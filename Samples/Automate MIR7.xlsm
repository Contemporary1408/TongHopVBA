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h.doduc\Desktop\"/>
    </mc:Choice>
  </mc:AlternateContent>
  <xr:revisionPtr revIDLastSave="0" documentId="13_ncr:1_{19741C4A-70D2-4288-AD83-CBCA1C0F8995}" xr6:coauthVersionLast="47" xr6:coauthVersionMax="47" xr10:uidLastSave="{00000000-0000-0000-0000-000000000000}"/>
  <bookViews>
    <workbookView xWindow="-120" yWindow="-120" windowWidth="20730" windowHeight="11040" activeTab="1" xr2:uid="{89BF5D98-C131-4010-8F11-DA0DF591EA2A}"/>
  </bookViews>
  <sheets>
    <sheet name="LIV" sheetId="1" r:id="rId1"/>
    <sheet name="Execute" sheetId="2" r:id="rId2"/>
  </sheets>
  <definedNames>
    <definedName name="_xlnm._FilterDatabase" localSheetId="0" hidden="1">LIV!$A$2:$AP$25</definedName>
    <definedName name="_Key1" hidden="1">#REF!</definedName>
    <definedName name="_Order1" hidden="1">255</definedName>
    <definedName name="_Sort" hidden="1">#REF!</definedName>
    <definedName name="AS2DocOpenMode" hidden="1">"AS2DocumentEdit"</definedName>
    <definedName name="HTML1_1" hidden="1">"'[職制2000年4月.XLS]全体(0001)'!$K$8"</definedName>
    <definedName name="HTML1_10" hidden="1">""</definedName>
    <definedName name="HTML1_11" hidden="1">1</definedName>
    <definedName name="HTML1_12" hidden="1">"E:SH0004.htm"</definedName>
    <definedName name="HTML1_2" hidden="1">1</definedName>
    <definedName name="HTML1_3" hidden="1">"職制図（2000/4/1)"</definedName>
    <definedName name="HTML1_4" hidden="1">"職制図（2000/4/1)"</definedName>
    <definedName name="HTML1_5" hidden="1">""</definedName>
    <definedName name="HTML1_6" hidden="1">-4146</definedName>
    <definedName name="HTML1_7" hidden="1">-4146</definedName>
    <definedName name="HTML1_8" hidden="1">"2000/04/27"</definedName>
    <definedName name="HTML1_9" hidden="1">"株式会社ブリヂストン"</definedName>
    <definedName name="HTMLCount" hidden="1">1</definedName>
    <definedName name="ｓ" hidden="1">#REF!</definedName>
    <definedName name="TextRefCopyRangeCount" hidden="1">5</definedName>
    <definedName name="XRefCopyRangeCount" hidden="1">1</definedName>
    <definedName name="Z_30836D28_82EB_417E_AA31_BAD60CE5BC77_.wvu.FilterData" localSheetId="0" hidden="1">LIV!$A$2:$AP$25</definedName>
    <definedName name="Z_43FFD46C_02DC_4017_ADCE_889E494A72CF_.wvu.FilterData" localSheetId="0" hidden="1">LIV!$A$2:$AP$25</definedName>
    <definedName name="Z_673E55D4_3657_45B8_8CB5_D2ADA2BA3AEB_.wvu.FilterData" localSheetId="0" hidden="1">LIV!$A$2:$AP$25</definedName>
    <definedName name="Z_7C6311C1_B6AC_49D7_B6C6_6AC6D1A015B6_.wvu.FilterData" localSheetId="0" hidden="1">LIV!$A$2:$AP$25</definedName>
    <definedName name="Z_8E659552_4EA5_4FD4_A968_998DE4B69377_.wvu.FilterData" localSheetId="0" hidden="1">LIV!$A$2:$AP$25</definedName>
    <definedName name="Z_B3469D7C_3C7B_47E1_88B3_F9B8DBCF9BA6_.wvu.FilterData" localSheetId="0" hidden="1">LIV!$A$2:$AP$25</definedName>
    <definedName name="Z_EFE5B04D_807C_4472_B3D5_17C942303E72_.wvu.FilterData" localSheetId="0" hidden="1">LIV!$A$2:$AP$25</definedName>
    <definedName name="Z_FB4BBD96_C78F_4BCA_97DA_F9F931D3536F_.wvu.FilterData" localSheetId="0" hidden="1">LIV!$A$2:$AP$25</definedName>
    <definedName name="Z_FCC8AA09_982F_43E3_90B8_4B2D3E3FD1B0_.wvu.FilterData" localSheetId="0" hidden="1">LIV!$A$2:$AP$25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2" i="2" l="1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P292" i="2"/>
  <c r="O292" i="2"/>
  <c r="N292" i="2"/>
  <c r="M292" i="2"/>
  <c r="L292" i="2"/>
  <c r="K292" i="2"/>
  <c r="I292" i="2"/>
  <c r="H292" i="2"/>
  <c r="G292" i="2"/>
  <c r="E292" i="2"/>
  <c r="D292" i="2"/>
  <c r="P291" i="2"/>
  <c r="O291" i="2"/>
  <c r="N291" i="2"/>
  <c r="M291" i="2"/>
  <c r="L291" i="2"/>
  <c r="K291" i="2"/>
  <c r="I291" i="2"/>
  <c r="H291" i="2"/>
  <c r="G291" i="2"/>
  <c r="E291" i="2"/>
  <c r="D291" i="2"/>
  <c r="P290" i="2"/>
  <c r="O290" i="2"/>
  <c r="N290" i="2"/>
  <c r="M290" i="2"/>
  <c r="L290" i="2"/>
  <c r="K290" i="2"/>
  <c r="I290" i="2"/>
  <c r="H290" i="2"/>
  <c r="G290" i="2"/>
  <c r="E290" i="2"/>
  <c r="D290" i="2"/>
  <c r="P289" i="2"/>
  <c r="O289" i="2"/>
  <c r="N289" i="2"/>
  <c r="M289" i="2"/>
  <c r="L289" i="2"/>
  <c r="K289" i="2"/>
  <c r="I289" i="2"/>
  <c r="H289" i="2"/>
  <c r="G289" i="2"/>
  <c r="E289" i="2"/>
  <c r="D289" i="2"/>
  <c r="P288" i="2"/>
  <c r="O288" i="2"/>
  <c r="N288" i="2"/>
  <c r="M288" i="2"/>
  <c r="L288" i="2"/>
  <c r="K288" i="2"/>
  <c r="I288" i="2"/>
  <c r="H288" i="2"/>
  <c r="G288" i="2"/>
  <c r="E288" i="2"/>
  <c r="D288" i="2"/>
  <c r="P287" i="2"/>
  <c r="O287" i="2"/>
  <c r="N287" i="2"/>
  <c r="M287" i="2"/>
  <c r="L287" i="2"/>
  <c r="K287" i="2"/>
  <c r="I287" i="2"/>
  <c r="H287" i="2"/>
  <c r="G287" i="2"/>
  <c r="E287" i="2"/>
  <c r="D287" i="2"/>
  <c r="P286" i="2"/>
  <c r="O286" i="2"/>
  <c r="N286" i="2"/>
  <c r="M286" i="2"/>
  <c r="L286" i="2"/>
  <c r="K286" i="2"/>
  <c r="I286" i="2"/>
  <c r="H286" i="2"/>
  <c r="G286" i="2"/>
  <c r="E286" i="2"/>
  <c r="D286" i="2"/>
  <c r="P285" i="2"/>
  <c r="O285" i="2"/>
  <c r="N285" i="2"/>
  <c r="M285" i="2"/>
  <c r="L285" i="2"/>
  <c r="K285" i="2"/>
  <c r="I285" i="2"/>
  <c r="H285" i="2"/>
  <c r="G285" i="2"/>
  <c r="E285" i="2"/>
  <c r="D285" i="2"/>
  <c r="P284" i="2"/>
  <c r="O284" i="2"/>
  <c r="N284" i="2"/>
  <c r="M284" i="2"/>
  <c r="L284" i="2"/>
  <c r="K284" i="2"/>
  <c r="I284" i="2"/>
  <c r="H284" i="2"/>
  <c r="G284" i="2"/>
  <c r="E284" i="2"/>
  <c r="D284" i="2"/>
  <c r="P283" i="2"/>
  <c r="O283" i="2"/>
  <c r="N283" i="2"/>
  <c r="M283" i="2"/>
  <c r="L283" i="2"/>
  <c r="K283" i="2"/>
  <c r="I283" i="2"/>
  <c r="H283" i="2"/>
  <c r="G283" i="2"/>
  <c r="E283" i="2"/>
  <c r="D283" i="2"/>
  <c r="P282" i="2"/>
  <c r="O282" i="2"/>
  <c r="N282" i="2"/>
  <c r="M282" i="2"/>
  <c r="L282" i="2"/>
  <c r="K282" i="2"/>
  <c r="I282" i="2"/>
  <c r="H282" i="2"/>
  <c r="G282" i="2"/>
  <c r="E282" i="2"/>
  <c r="D282" i="2"/>
  <c r="P281" i="2"/>
  <c r="O281" i="2"/>
  <c r="N281" i="2"/>
  <c r="M281" i="2"/>
  <c r="L281" i="2"/>
  <c r="K281" i="2"/>
  <c r="I281" i="2"/>
  <c r="H281" i="2"/>
  <c r="G281" i="2"/>
  <c r="E281" i="2"/>
  <c r="D281" i="2"/>
  <c r="P280" i="2"/>
  <c r="O280" i="2"/>
  <c r="N280" i="2"/>
  <c r="M280" i="2"/>
  <c r="L280" i="2"/>
  <c r="K280" i="2"/>
  <c r="I280" i="2"/>
  <c r="H280" i="2"/>
  <c r="G280" i="2"/>
  <c r="E280" i="2"/>
  <c r="D280" i="2"/>
  <c r="P279" i="2"/>
  <c r="O279" i="2"/>
  <c r="N279" i="2"/>
  <c r="M279" i="2"/>
  <c r="L279" i="2"/>
  <c r="K279" i="2"/>
  <c r="I279" i="2"/>
  <c r="H279" i="2"/>
  <c r="G279" i="2"/>
  <c r="E279" i="2"/>
  <c r="D279" i="2"/>
  <c r="P278" i="2"/>
  <c r="O278" i="2"/>
  <c r="N278" i="2"/>
  <c r="M278" i="2"/>
  <c r="L278" i="2"/>
  <c r="K278" i="2"/>
  <c r="I278" i="2"/>
  <c r="H278" i="2"/>
  <c r="G278" i="2"/>
  <c r="E278" i="2"/>
  <c r="D278" i="2"/>
  <c r="P277" i="2"/>
  <c r="O277" i="2"/>
  <c r="N277" i="2"/>
  <c r="M277" i="2"/>
  <c r="L277" i="2"/>
  <c r="K277" i="2"/>
  <c r="I277" i="2"/>
  <c r="H277" i="2"/>
  <c r="G277" i="2"/>
  <c r="E277" i="2"/>
  <c r="D277" i="2"/>
  <c r="P276" i="2"/>
  <c r="O276" i="2"/>
  <c r="N276" i="2"/>
  <c r="M276" i="2"/>
  <c r="L276" i="2"/>
  <c r="K276" i="2"/>
  <c r="I276" i="2"/>
  <c r="H276" i="2"/>
  <c r="G276" i="2"/>
  <c r="E276" i="2"/>
  <c r="D276" i="2"/>
  <c r="P275" i="2"/>
  <c r="O275" i="2"/>
  <c r="N275" i="2"/>
  <c r="M275" i="2"/>
  <c r="L275" i="2"/>
  <c r="K275" i="2"/>
  <c r="I275" i="2"/>
  <c r="H275" i="2"/>
  <c r="G275" i="2"/>
  <c r="E275" i="2"/>
  <c r="D275" i="2"/>
  <c r="P274" i="2"/>
  <c r="O274" i="2"/>
  <c r="N274" i="2"/>
  <c r="M274" i="2"/>
  <c r="L274" i="2"/>
  <c r="K274" i="2"/>
  <c r="I274" i="2"/>
  <c r="H274" i="2"/>
  <c r="G274" i="2"/>
  <c r="E274" i="2"/>
  <c r="D274" i="2"/>
  <c r="P273" i="2"/>
  <c r="O273" i="2"/>
  <c r="N273" i="2"/>
  <c r="M273" i="2"/>
  <c r="L273" i="2"/>
  <c r="K273" i="2"/>
  <c r="I273" i="2"/>
  <c r="H273" i="2"/>
  <c r="G273" i="2"/>
  <c r="E273" i="2"/>
  <c r="D273" i="2"/>
  <c r="P272" i="2"/>
  <c r="O272" i="2"/>
  <c r="N272" i="2"/>
  <c r="M272" i="2"/>
  <c r="L272" i="2"/>
  <c r="K272" i="2"/>
  <c r="I272" i="2"/>
  <c r="H272" i="2"/>
  <c r="G272" i="2"/>
  <c r="E272" i="2"/>
  <c r="D272" i="2"/>
  <c r="P271" i="2"/>
  <c r="O271" i="2"/>
  <c r="N271" i="2"/>
  <c r="M271" i="2"/>
  <c r="L271" i="2"/>
  <c r="K271" i="2"/>
  <c r="I271" i="2"/>
  <c r="H271" i="2"/>
  <c r="G271" i="2"/>
  <c r="E271" i="2"/>
  <c r="D271" i="2"/>
  <c r="P270" i="2"/>
  <c r="O270" i="2"/>
  <c r="N270" i="2"/>
  <c r="M270" i="2"/>
  <c r="L270" i="2"/>
  <c r="K270" i="2"/>
  <c r="I270" i="2"/>
  <c r="H270" i="2"/>
  <c r="G270" i="2"/>
  <c r="E270" i="2"/>
  <c r="D270" i="2"/>
  <c r="P269" i="2"/>
  <c r="O269" i="2"/>
  <c r="N269" i="2"/>
  <c r="M269" i="2"/>
  <c r="L269" i="2"/>
  <c r="K269" i="2"/>
  <c r="I269" i="2"/>
  <c r="H269" i="2"/>
  <c r="G269" i="2"/>
  <c r="E269" i="2"/>
  <c r="D269" i="2"/>
  <c r="P268" i="2"/>
  <c r="O268" i="2"/>
  <c r="N268" i="2"/>
  <c r="M268" i="2"/>
  <c r="L268" i="2"/>
  <c r="K268" i="2"/>
  <c r="I268" i="2"/>
  <c r="H268" i="2"/>
  <c r="G268" i="2"/>
  <c r="E268" i="2"/>
  <c r="D268" i="2"/>
  <c r="P267" i="2"/>
  <c r="O267" i="2"/>
  <c r="N267" i="2"/>
  <c r="M267" i="2"/>
  <c r="L267" i="2"/>
  <c r="K267" i="2"/>
  <c r="I267" i="2"/>
  <c r="H267" i="2"/>
  <c r="G267" i="2"/>
  <c r="E267" i="2"/>
  <c r="D267" i="2"/>
  <c r="P266" i="2"/>
  <c r="O266" i="2"/>
  <c r="N266" i="2"/>
  <c r="M266" i="2"/>
  <c r="L266" i="2"/>
  <c r="K266" i="2"/>
  <c r="I266" i="2"/>
  <c r="H266" i="2"/>
  <c r="G266" i="2"/>
  <c r="E266" i="2"/>
  <c r="D266" i="2"/>
  <c r="P265" i="2"/>
  <c r="O265" i="2"/>
  <c r="N265" i="2"/>
  <c r="M265" i="2"/>
  <c r="L265" i="2"/>
  <c r="K265" i="2"/>
  <c r="I265" i="2"/>
  <c r="H265" i="2"/>
  <c r="G265" i="2"/>
  <c r="E265" i="2"/>
  <c r="D265" i="2"/>
  <c r="P264" i="2"/>
  <c r="O264" i="2"/>
  <c r="N264" i="2"/>
  <c r="M264" i="2"/>
  <c r="L264" i="2"/>
  <c r="K264" i="2"/>
  <c r="I264" i="2"/>
  <c r="H264" i="2"/>
  <c r="G264" i="2"/>
  <c r="E264" i="2"/>
  <c r="D264" i="2"/>
  <c r="P263" i="2"/>
  <c r="O263" i="2"/>
  <c r="N263" i="2"/>
  <c r="M263" i="2"/>
  <c r="L263" i="2"/>
  <c r="K263" i="2"/>
  <c r="I263" i="2"/>
  <c r="H263" i="2"/>
  <c r="G263" i="2"/>
  <c r="E263" i="2"/>
  <c r="D263" i="2"/>
  <c r="P262" i="2"/>
  <c r="O262" i="2"/>
  <c r="N262" i="2"/>
  <c r="M262" i="2"/>
  <c r="L262" i="2"/>
  <c r="K262" i="2"/>
  <c r="I262" i="2"/>
  <c r="H262" i="2"/>
  <c r="G262" i="2"/>
  <c r="E262" i="2"/>
  <c r="D262" i="2"/>
  <c r="P261" i="2"/>
  <c r="O261" i="2"/>
  <c r="N261" i="2"/>
  <c r="M261" i="2"/>
  <c r="L261" i="2"/>
  <c r="K261" i="2"/>
  <c r="I261" i="2"/>
  <c r="H261" i="2"/>
  <c r="G261" i="2"/>
  <c r="E261" i="2"/>
  <c r="D261" i="2"/>
  <c r="P260" i="2"/>
  <c r="O260" i="2"/>
  <c r="N260" i="2"/>
  <c r="M260" i="2"/>
  <c r="L260" i="2"/>
  <c r="K260" i="2"/>
  <c r="I260" i="2"/>
  <c r="H260" i="2"/>
  <c r="G260" i="2"/>
  <c r="E260" i="2"/>
  <c r="D260" i="2"/>
  <c r="P259" i="2"/>
  <c r="O259" i="2"/>
  <c r="N259" i="2"/>
  <c r="M259" i="2"/>
  <c r="L259" i="2"/>
  <c r="K259" i="2"/>
  <c r="I259" i="2"/>
  <c r="H259" i="2"/>
  <c r="G259" i="2"/>
  <c r="E259" i="2"/>
  <c r="D259" i="2"/>
  <c r="P258" i="2"/>
  <c r="O258" i="2"/>
  <c r="N258" i="2"/>
  <c r="M258" i="2"/>
  <c r="L258" i="2"/>
  <c r="K258" i="2"/>
  <c r="I258" i="2"/>
  <c r="H258" i="2"/>
  <c r="G258" i="2"/>
  <c r="E258" i="2"/>
  <c r="D258" i="2"/>
  <c r="P257" i="2"/>
  <c r="O257" i="2"/>
  <c r="N257" i="2"/>
  <c r="M257" i="2"/>
  <c r="L257" i="2"/>
  <c r="K257" i="2"/>
  <c r="I257" i="2"/>
  <c r="H257" i="2"/>
  <c r="G257" i="2"/>
  <c r="E257" i="2"/>
  <c r="D257" i="2"/>
  <c r="P256" i="2"/>
  <c r="O256" i="2"/>
  <c r="N256" i="2"/>
  <c r="M256" i="2"/>
  <c r="L256" i="2"/>
  <c r="K256" i="2"/>
  <c r="I256" i="2"/>
  <c r="H256" i="2"/>
  <c r="G256" i="2"/>
  <c r="E256" i="2"/>
  <c r="D256" i="2"/>
  <c r="P255" i="2"/>
  <c r="O255" i="2"/>
  <c r="N255" i="2"/>
  <c r="M255" i="2"/>
  <c r="L255" i="2"/>
  <c r="K255" i="2"/>
  <c r="I255" i="2"/>
  <c r="H255" i="2"/>
  <c r="G255" i="2"/>
  <c r="E255" i="2"/>
  <c r="D255" i="2"/>
  <c r="P254" i="2"/>
  <c r="O254" i="2"/>
  <c r="N254" i="2"/>
  <c r="M254" i="2"/>
  <c r="L254" i="2"/>
  <c r="K254" i="2"/>
  <c r="I254" i="2"/>
  <c r="H254" i="2"/>
  <c r="G254" i="2"/>
  <c r="E254" i="2"/>
  <c r="D254" i="2"/>
  <c r="P253" i="2"/>
  <c r="O253" i="2"/>
  <c r="N253" i="2"/>
  <c r="M253" i="2"/>
  <c r="L253" i="2"/>
  <c r="K253" i="2"/>
  <c r="I253" i="2"/>
  <c r="H253" i="2"/>
  <c r="G253" i="2"/>
  <c r="E253" i="2"/>
  <c r="D253" i="2"/>
  <c r="P252" i="2"/>
  <c r="O252" i="2"/>
  <c r="N252" i="2"/>
  <c r="M252" i="2"/>
  <c r="L252" i="2"/>
  <c r="K252" i="2"/>
  <c r="I252" i="2"/>
  <c r="H252" i="2"/>
  <c r="G252" i="2"/>
  <c r="E252" i="2"/>
  <c r="D252" i="2"/>
  <c r="P251" i="2"/>
  <c r="O251" i="2"/>
  <c r="N251" i="2"/>
  <c r="M251" i="2"/>
  <c r="L251" i="2"/>
  <c r="K251" i="2"/>
  <c r="I251" i="2"/>
  <c r="H251" i="2"/>
  <c r="G251" i="2"/>
  <c r="E251" i="2"/>
  <c r="D251" i="2"/>
  <c r="P250" i="2"/>
  <c r="O250" i="2"/>
  <c r="N250" i="2"/>
  <c r="M250" i="2"/>
  <c r="L250" i="2"/>
  <c r="K250" i="2"/>
  <c r="I250" i="2"/>
  <c r="H250" i="2"/>
  <c r="G250" i="2"/>
  <c r="E250" i="2"/>
  <c r="D250" i="2"/>
  <c r="P249" i="2"/>
  <c r="O249" i="2"/>
  <c r="N249" i="2"/>
  <c r="M249" i="2"/>
  <c r="L249" i="2"/>
  <c r="K249" i="2"/>
  <c r="I249" i="2"/>
  <c r="H249" i="2"/>
  <c r="G249" i="2"/>
  <c r="E249" i="2"/>
  <c r="D249" i="2"/>
  <c r="P248" i="2"/>
  <c r="O248" i="2"/>
  <c r="N248" i="2"/>
  <c r="M248" i="2"/>
  <c r="L248" i="2"/>
  <c r="K248" i="2"/>
  <c r="I248" i="2"/>
  <c r="H248" i="2"/>
  <c r="G248" i="2"/>
  <c r="E248" i="2"/>
  <c r="D248" i="2"/>
  <c r="P247" i="2"/>
  <c r="O247" i="2"/>
  <c r="N247" i="2"/>
  <c r="M247" i="2"/>
  <c r="L247" i="2"/>
  <c r="K247" i="2"/>
  <c r="I247" i="2"/>
  <c r="H247" i="2"/>
  <c r="G247" i="2"/>
  <c r="E247" i="2"/>
  <c r="D247" i="2"/>
  <c r="P246" i="2"/>
  <c r="O246" i="2"/>
  <c r="N246" i="2"/>
  <c r="M246" i="2"/>
  <c r="L246" i="2"/>
  <c r="K246" i="2"/>
  <c r="I246" i="2"/>
  <c r="H246" i="2"/>
  <c r="G246" i="2"/>
  <c r="E246" i="2"/>
  <c r="D246" i="2"/>
  <c r="P245" i="2"/>
  <c r="O245" i="2"/>
  <c r="N245" i="2"/>
  <c r="M245" i="2"/>
  <c r="L245" i="2"/>
  <c r="K245" i="2"/>
  <c r="I245" i="2"/>
  <c r="H245" i="2"/>
  <c r="G245" i="2"/>
  <c r="E245" i="2"/>
  <c r="D245" i="2"/>
  <c r="P244" i="2"/>
  <c r="O244" i="2"/>
  <c r="N244" i="2"/>
  <c r="M244" i="2"/>
  <c r="L244" i="2"/>
  <c r="K244" i="2"/>
  <c r="I244" i="2"/>
  <c r="H244" i="2"/>
  <c r="G244" i="2"/>
  <c r="E244" i="2"/>
  <c r="D244" i="2"/>
  <c r="P243" i="2"/>
  <c r="O243" i="2"/>
  <c r="N243" i="2"/>
  <c r="M243" i="2"/>
  <c r="L243" i="2"/>
  <c r="K243" i="2"/>
  <c r="I243" i="2"/>
  <c r="H243" i="2"/>
  <c r="G243" i="2"/>
  <c r="E243" i="2"/>
  <c r="D243" i="2"/>
  <c r="P242" i="2"/>
  <c r="O242" i="2"/>
  <c r="N242" i="2"/>
  <c r="M242" i="2"/>
  <c r="L242" i="2"/>
  <c r="K242" i="2"/>
  <c r="I242" i="2"/>
  <c r="H242" i="2"/>
  <c r="G242" i="2"/>
  <c r="E242" i="2"/>
  <c r="D242" i="2"/>
  <c r="P241" i="2"/>
  <c r="O241" i="2"/>
  <c r="N241" i="2"/>
  <c r="M241" i="2"/>
  <c r="L241" i="2"/>
  <c r="K241" i="2"/>
  <c r="I241" i="2"/>
  <c r="H241" i="2"/>
  <c r="G241" i="2"/>
  <c r="E241" i="2"/>
  <c r="D241" i="2"/>
  <c r="P240" i="2"/>
  <c r="O240" i="2"/>
  <c r="N240" i="2"/>
  <c r="M240" i="2"/>
  <c r="L240" i="2"/>
  <c r="K240" i="2"/>
  <c r="I240" i="2"/>
  <c r="H240" i="2"/>
  <c r="G240" i="2"/>
  <c r="E240" i="2"/>
  <c r="D240" i="2"/>
  <c r="P239" i="2"/>
  <c r="O239" i="2"/>
  <c r="N239" i="2"/>
  <c r="M239" i="2"/>
  <c r="L239" i="2"/>
  <c r="K239" i="2"/>
  <c r="I239" i="2"/>
  <c r="H239" i="2"/>
  <c r="G239" i="2"/>
  <c r="E239" i="2"/>
  <c r="D239" i="2"/>
  <c r="P238" i="2"/>
  <c r="O238" i="2"/>
  <c r="N238" i="2"/>
  <c r="M238" i="2"/>
  <c r="L238" i="2"/>
  <c r="K238" i="2"/>
  <c r="I238" i="2"/>
  <c r="H238" i="2"/>
  <c r="G238" i="2"/>
  <c r="E238" i="2"/>
  <c r="D238" i="2"/>
  <c r="P237" i="2"/>
  <c r="O237" i="2"/>
  <c r="N237" i="2"/>
  <c r="M237" i="2"/>
  <c r="L237" i="2"/>
  <c r="K237" i="2"/>
  <c r="I237" i="2"/>
  <c r="H237" i="2"/>
  <c r="G237" i="2"/>
  <c r="E237" i="2"/>
  <c r="D237" i="2"/>
  <c r="P236" i="2"/>
  <c r="O236" i="2"/>
  <c r="N236" i="2"/>
  <c r="M236" i="2"/>
  <c r="L236" i="2"/>
  <c r="K236" i="2"/>
  <c r="I236" i="2"/>
  <c r="H236" i="2"/>
  <c r="G236" i="2"/>
  <c r="E236" i="2"/>
  <c r="D236" i="2"/>
  <c r="P235" i="2"/>
  <c r="O235" i="2"/>
  <c r="N235" i="2"/>
  <c r="M235" i="2"/>
  <c r="L235" i="2"/>
  <c r="K235" i="2"/>
  <c r="I235" i="2"/>
  <c r="H235" i="2"/>
  <c r="G235" i="2"/>
  <c r="E235" i="2"/>
  <c r="D235" i="2"/>
  <c r="P234" i="2"/>
  <c r="O234" i="2"/>
  <c r="N234" i="2"/>
  <c r="M234" i="2"/>
  <c r="L234" i="2"/>
  <c r="K234" i="2"/>
  <c r="I234" i="2"/>
  <c r="H234" i="2"/>
  <c r="G234" i="2"/>
  <c r="E234" i="2"/>
  <c r="D234" i="2"/>
  <c r="P233" i="2"/>
  <c r="O233" i="2"/>
  <c r="N233" i="2"/>
  <c r="M233" i="2"/>
  <c r="L233" i="2"/>
  <c r="K233" i="2"/>
  <c r="I233" i="2"/>
  <c r="H233" i="2"/>
  <c r="G233" i="2"/>
  <c r="E233" i="2"/>
  <c r="D233" i="2"/>
  <c r="P232" i="2"/>
  <c r="O232" i="2"/>
  <c r="N232" i="2"/>
  <c r="M232" i="2"/>
  <c r="L232" i="2"/>
  <c r="K232" i="2"/>
  <c r="I232" i="2"/>
  <c r="H232" i="2"/>
  <c r="G232" i="2"/>
  <c r="E232" i="2"/>
  <c r="D232" i="2"/>
  <c r="P231" i="2"/>
  <c r="O231" i="2"/>
  <c r="N231" i="2"/>
  <c r="M231" i="2"/>
  <c r="L231" i="2"/>
  <c r="K231" i="2"/>
  <c r="I231" i="2"/>
  <c r="H231" i="2"/>
  <c r="G231" i="2"/>
  <c r="E231" i="2"/>
  <c r="D231" i="2"/>
  <c r="P230" i="2"/>
  <c r="O230" i="2"/>
  <c r="N230" i="2"/>
  <c r="M230" i="2"/>
  <c r="L230" i="2"/>
  <c r="K230" i="2"/>
  <c r="I230" i="2"/>
  <c r="H230" i="2"/>
  <c r="G230" i="2"/>
  <c r="E230" i="2"/>
  <c r="D230" i="2"/>
  <c r="P229" i="2"/>
  <c r="O229" i="2"/>
  <c r="N229" i="2"/>
  <c r="M229" i="2"/>
  <c r="L229" i="2"/>
  <c r="K229" i="2"/>
  <c r="I229" i="2"/>
  <c r="H229" i="2"/>
  <c r="G229" i="2"/>
  <c r="E229" i="2"/>
  <c r="D229" i="2"/>
  <c r="P228" i="2"/>
  <c r="O228" i="2"/>
  <c r="N228" i="2"/>
  <c r="M228" i="2"/>
  <c r="L228" i="2"/>
  <c r="K228" i="2"/>
  <c r="I228" i="2"/>
  <c r="H228" i="2"/>
  <c r="G228" i="2"/>
  <c r="E228" i="2"/>
  <c r="D228" i="2"/>
  <c r="P227" i="2"/>
  <c r="O227" i="2"/>
  <c r="N227" i="2"/>
  <c r="M227" i="2"/>
  <c r="L227" i="2"/>
  <c r="K227" i="2"/>
  <c r="I227" i="2"/>
  <c r="H227" i="2"/>
  <c r="G227" i="2"/>
  <c r="E227" i="2"/>
  <c r="D227" i="2"/>
  <c r="P226" i="2"/>
  <c r="O226" i="2"/>
  <c r="N226" i="2"/>
  <c r="M226" i="2"/>
  <c r="L226" i="2"/>
  <c r="K226" i="2"/>
  <c r="I226" i="2"/>
  <c r="H226" i="2"/>
  <c r="G226" i="2"/>
  <c r="E226" i="2"/>
  <c r="D226" i="2"/>
  <c r="P225" i="2"/>
  <c r="O225" i="2"/>
  <c r="N225" i="2"/>
  <c r="M225" i="2"/>
  <c r="L225" i="2"/>
  <c r="K225" i="2"/>
  <c r="I225" i="2"/>
  <c r="H225" i="2"/>
  <c r="G225" i="2"/>
  <c r="E225" i="2"/>
  <c r="D225" i="2"/>
  <c r="P224" i="2"/>
  <c r="O224" i="2"/>
  <c r="N224" i="2"/>
  <c r="M224" i="2"/>
  <c r="L224" i="2"/>
  <c r="K224" i="2"/>
  <c r="I224" i="2"/>
  <c r="H224" i="2"/>
  <c r="G224" i="2"/>
  <c r="E224" i="2"/>
  <c r="D224" i="2"/>
  <c r="P223" i="2"/>
  <c r="O223" i="2"/>
  <c r="N223" i="2"/>
  <c r="M223" i="2"/>
  <c r="L223" i="2"/>
  <c r="K223" i="2"/>
  <c r="I223" i="2"/>
  <c r="H223" i="2"/>
  <c r="G223" i="2"/>
  <c r="E223" i="2"/>
  <c r="D223" i="2"/>
  <c r="P222" i="2"/>
  <c r="O222" i="2"/>
  <c r="N222" i="2"/>
  <c r="M222" i="2"/>
  <c r="L222" i="2"/>
  <c r="K222" i="2"/>
  <c r="I222" i="2"/>
  <c r="H222" i="2"/>
  <c r="G222" i="2"/>
  <c r="E222" i="2"/>
  <c r="D222" i="2"/>
  <c r="P221" i="2"/>
  <c r="O221" i="2"/>
  <c r="N221" i="2"/>
  <c r="M221" i="2"/>
  <c r="L221" i="2"/>
  <c r="K221" i="2"/>
  <c r="I221" i="2"/>
  <c r="H221" i="2"/>
  <c r="G221" i="2"/>
  <c r="E221" i="2"/>
  <c r="D221" i="2"/>
  <c r="P220" i="2"/>
  <c r="O220" i="2"/>
  <c r="N220" i="2"/>
  <c r="M220" i="2"/>
  <c r="L220" i="2"/>
  <c r="K220" i="2"/>
  <c r="I220" i="2"/>
  <c r="H220" i="2"/>
  <c r="G220" i="2"/>
  <c r="E220" i="2"/>
  <c r="D220" i="2"/>
  <c r="P219" i="2"/>
  <c r="O219" i="2"/>
  <c r="N219" i="2"/>
  <c r="M219" i="2"/>
  <c r="L219" i="2"/>
  <c r="K219" i="2"/>
  <c r="I219" i="2"/>
  <c r="H219" i="2"/>
  <c r="G219" i="2"/>
  <c r="E219" i="2"/>
  <c r="D219" i="2"/>
  <c r="P218" i="2"/>
  <c r="O218" i="2"/>
  <c r="N218" i="2"/>
  <c r="M218" i="2"/>
  <c r="L218" i="2"/>
  <c r="K218" i="2"/>
  <c r="I218" i="2"/>
  <c r="H218" i="2"/>
  <c r="G218" i="2"/>
  <c r="E218" i="2"/>
  <c r="D218" i="2"/>
  <c r="P217" i="2"/>
  <c r="O217" i="2"/>
  <c r="N217" i="2"/>
  <c r="M217" i="2"/>
  <c r="L217" i="2"/>
  <c r="K217" i="2"/>
  <c r="I217" i="2"/>
  <c r="H217" i="2"/>
  <c r="G217" i="2"/>
  <c r="E217" i="2"/>
  <c r="D217" i="2"/>
  <c r="P216" i="2"/>
  <c r="O216" i="2"/>
  <c r="N216" i="2"/>
  <c r="M216" i="2"/>
  <c r="L216" i="2"/>
  <c r="K216" i="2"/>
  <c r="I216" i="2"/>
  <c r="H216" i="2"/>
  <c r="G216" i="2"/>
  <c r="E216" i="2"/>
  <c r="D216" i="2"/>
  <c r="P215" i="2"/>
  <c r="O215" i="2"/>
  <c r="N215" i="2"/>
  <c r="M215" i="2"/>
  <c r="L215" i="2"/>
  <c r="K215" i="2"/>
  <c r="I215" i="2"/>
  <c r="H215" i="2"/>
  <c r="G215" i="2"/>
  <c r="E215" i="2"/>
  <c r="D215" i="2"/>
  <c r="P214" i="2"/>
  <c r="O214" i="2"/>
  <c r="N214" i="2"/>
  <c r="M214" i="2"/>
  <c r="L214" i="2"/>
  <c r="K214" i="2"/>
  <c r="I214" i="2"/>
  <c r="H214" i="2"/>
  <c r="G214" i="2"/>
  <c r="E214" i="2"/>
  <c r="D214" i="2"/>
  <c r="P213" i="2"/>
  <c r="O213" i="2"/>
  <c r="N213" i="2"/>
  <c r="M213" i="2"/>
  <c r="L213" i="2"/>
  <c r="K213" i="2"/>
  <c r="I213" i="2"/>
  <c r="H213" i="2"/>
  <c r="G213" i="2"/>
  <c r="E213" i="2"/>
  <c r="D213" i="2"/>
  <c r="P212" i="2"/>
  <c r="O212" i="2"/>
  <c r="N212" i="2"/>
  <c r="M212" i="2"/>
  <c r="L212" i="2"/>
  <c r="K212" i="2"/>
  <c r="I212" i="2"/>
  <c r="H212" i="2"/>
  <c r="G212" i="2"/>
  <c r="E212" i="2"/>
  <c r="D212" i="2"/>
  <c r="P211" i="2"/>
  <c r="O211" i="2"/>
  <c r="N211" i="2"/>
  <c r="M211" i="2"/>
  <c r="L211" i="2"/>
  <c r="K211" i="2"/>
  <c r="I211" i="2"/>
  <c r="H211" i="2"/>
  <c r="G211" i="2"/>
  <c r="E211" i="2"/>
  <c r="D211" i="2"/>
  <c r="P210" i="2"/>
  <c r="O210" i="2"/>
  <c r="N210" i="2"/>
  <c r="M210" i="2"/>
  <c r="L210" i="2"/>
  <c r="K210" i="2"/>
  <c r="I210" i="2"/>
  <c r="H210" i="2"/>
  <c r="G210" i="2"/>
  <c r="E210" i="2"/>
  <c r="D210" i="2"/>
  <c r="P209" i="2"/>
  <c r="O209" i="2"/>
  <c r="N209" i="2"/>
  <c r="M209" i="2"/>
  <c r="L209" i="2"/>
  <c r="K209" i="2"/>
  <c r="I209" i="2"/>
  <c r="H209" i="2"/>
  <c r="G209" i="2"/>
  <c r="E209" i="2"/>
  <c r="D209" i="2"/>
  <c r="P208" i="2"/>
  <c r="O208" i="2"/>
  <c r="N208" i="2"/>
  <c r="M208" i="2"/>
  <c r="L208" i="2"/>
  <c r="K208" i="2"/>
  <c r="I208" i="2"/>
  <c r="H208" i="2"/>
  <c r="G208" i="2"/>
  <c r="E208" i="2"/>
  <c r="D208" i="2"/>
  <c r="P207" i="2"/>
  <c r="O207" i="2"/>
  <c r="N207" i="2"/>
  <c r="M207" i="2"/>
  <c r="L207" i="2"/>
  <c r="K207" i="2"/>
  <c r="I207" i="2"/>
  <c r="H207" i="2"/>
  <c r="G207" i="2"/>
  <c r="E207" i="2"/>
  <c r="D207" i="2"/>
  <c r="P206" i="2"/>
  <c r="O206" i="2"/>
  <c r="N206" i="2"/>
  <c r="M206" i="2"/>
  <c r="L206" i="2"/>
  <c r="K206" i="2"/>
  <c r="I206" i="2"/>
  <c r="H206" i="2"/>
  <c r="G206" i="2"/>
  <c r="E206" i="2"/>
  <c r="D206" i="2"/>
  <c r="P205" i="2"/>
  <c r="O205" i="2"/>
  <c r="N205" i="2"/>
  <c r="M205" i="2"/>
  <c r="L205" i="2"/>
  <c r="K205" i="2"/>
  <c r="I205" i="2"/>
  <c r="H205" i="2"/>
  <c r="G205" i="2"/>
  <c r="E205" i="2"/>
  <c r="D205" i="2"/>
  <c r="P204" i="2"/>
  <c r="O204" i="2"/>
  <c r="N204" i="2"/>
  <c r="M204" i="2"/>
  <c r="L204" i="2"/>
  <c r="K204" i="2"/>
  <c r="I204" i="2"/>
  <c r="H204" i="2"/>
  <c r="G204" i="2"/>
  <c r="E204" i="2"/>
  <c r="D204" i="2"/>
  <c r="P203" i="2"/>
  <c r="O203" i="2"/>
  <c r="N203" i="2"/>
  <c r="M203" i="2"/>
  <c r="L203" i="2"/>
  <c r="K203" i="2"/>
  <c r="I203" i="2"/>
  <c r="H203" i="2"/>
  <c r="G203" i="2"/>
  <c r="E203" i="2"/>
  <c r="D203" i="2"/>
  <c r="P202" i="2"/>
  <c r="O202" i="2"/>
  <c r="N202" i="2"/>
  <c r="M202" i="2"/>
  <c r="L202" i="2"/>
  <c r="K202" i="2"/>
  <c r="I202" i="2"/>
  <c r="H202" i="2"/>
  <c r="G202" i="2"/>
  <c r="E202" i="2"/>
  <c r="D202" i="2"/>
  <c r="P201" i="2"/>
  <c r="O201" i="2"/>
  <c r="N201" i="2"/>
  <c r="M201" i="2"/>
  <c r="L201" i="2"/>
  <c r="K201" i="2"/>
  <c r="I201" i="2"/>
  <c r="H201" i="2"/>
  <c r="G201" i="2"/>
  <c r="E201" i="2"/>
  <c r="D201" i="2"/>
  <c r="P200" i="2"/>
  <c r="O200" i="2"/>
  <c r="N200" i="2"/>
  <c r="M200" i="2"/>
  <c r="L200" i="2"/>
  <c r="K200" i="2"/>
  <c r="I200" i="2"/>
  <c r="H200" i="2"/>
  <c r="G200" i="2"/>
  <c r="E200" i="2"/>
  <c r="D200" i="2"/>
  <c r="P199" i="2"/>
  <c r="O199" i="2"/>
  <c r="N199" i="2"/>
  <c r="M199" i="2"/>
  <c r="L199" i="2"/>
  <c r="K199" i="2"/>
  <c r="I199" i="2"/>
  <c r="H199" i="2"/>
  <c r="G199" i="2"/>
  <c r="E199" i="2"/>
  <c r="D199" i="2"/>
  <c r="P198" i="2"/>
  <c r="O198" i="2"/>
  <c r="N198" i="2"/>
  <c r="M198" i="2"/>
  <c r="L198" i="2"/>
  <c r="K198" i="2"/>
  <c r="I198" i="2"/>
  <c r="H198" i="2"/>
  <c r="G198" i="2"/>
  <c r="E198" i="2"/>
  <c r="D198" i="2"/>
  <c r="P197" i="2"/>
  <c r="O197" i="2"/>
  <c r="N197" i="2"/>
  <c r="M197" i="2"/>
  <c r="L197" i="2"/>
  <c r="K197" i="2"/>
  <c r="I197" i="2"/>
  <c r="H197" i="2"/>
  <c r="G197" i="2"/>
  <c r="E197" i="2"/>
  <c r="D197" i="2"/>
  <c r="P196" i="2"/>
  <c r="O196" i="2"/>
  <c r="N196" i="2"/>
  <c r="M196" i="2"/>
  <c r="L196" i="2"/>
  <c r="K196" i="2"/>
  <c r="I196" i="2"/>
  <c r="H196" i="2"/>
  <c r="G196" i="2"/>
  <c r="E196" i="2"/>
  <c r="D196" i="2"/>
  <c r="P195" i="2"/>
  <c r="O195" i="2"/>
  <c r="N195" i="2"/>
  <c r="M195" i="2"/>
  <c r="L195" i="2"/>
  <c r="K195" i="2"/>
  <c r="I195" i="2"/>
  <c r="H195" i="2"/>
  <c r="G195" i="2"/>
  <c r="E195" i="2"/>
  <c r="D195" i="2"/>
  <c r="P194" i="2"/>
  <c r="O194" i="2"/>
  <c r="N194" i="2"/>
  <c r="M194" i="2"/>
  <c r="L194" i="2"/>
  <c r="K194" i="2"/>
  <c r="I194" i="2"/>
  <c r="H194" i="2"/>
  <c r="G194" i="2"/>
  <c r="E194" i="2"/>
  <c r="D194" i="2"/>
  <c r="P193" i="2"/>
  <c r="O193" i="2"/>
  <c r="N193" i="2"/>
  <c r="M193" i="2"/>
  <c r="L193" i="2"/>
  <c r="K193" i="2"/>
  <c r="I193" i="2"/>
  <c r="H193" i="2"/>
  <c r="G193" i="2"/>
  <c r="E193" i="2"/>
  <c r="D193" i="2"/>
  <c r="P192" i="2"/>
  <c r="O192" i="2"/>
  <c r="N192" i="2"/>
  <c r="M192" i="2"/>
  <c r="L192" i="2"/>
  <c r="K192" i="2"/>
  <c r="I192" i="2"/>
  <c r="H192" i="2"/>
  <c r="G192" i="2"/>
  <c r="E192" i="2"/>
  <c r="D192" i="2"/>
  <c r="P191" i="2"/>
  <c r="O191" i="2"/>
  <c r="N191" i="2"/>
  <c r="M191" i="2"/>
  <c r="L191" i="2"/>
  <c r="K191" i="2"/>
  <c r="I191" i="2"/>
  <c r="H191" i="2"/>
  <c r="G191" i="2"/>
  <c r="E191" i="2"/>
  <c r="D191" i="2"/>
  <c r="P190" i="2"/>
  <c r="O190" i="2"/>
  <c r="N190" i="2"/>
  <c r="M190" i="2"/>
  <c r="L190" i="2"/>
  <c r="K190" i="2"/>
  <c r="I190" i="2"/>
  <c r="H190" i="2"/>
  <c r="G190" i="2"/>
  <c r="E190" i="2"/>
  <c r="D190" i="2"/>
  <c r="P189" i="2"/>
  <c r="O189" i="2"/>
  <c r="N189" i="2"/>
  <c r="M189" i="2"/>
  <c r="L189" i="2"/>
  <c r="K189" i="2"/>
  <c r="I189" i="2"/>
  <c r="H189" i="2"/>
  <c r="G189" i="2"/>
  <c r="E189" i="2"/>
  <c r="D189" i="2"/>
  <c r="P188" i="2"/>
  <c r="O188" i="2"/>
  <c r="N188" i="2"/>
  <c r="M188" i="2"/>
  <c r="L188" i="2"/>
  <c r="K188" i="2"/>
  <c r="I188" i="2"/>
  <c r="H188" i="2"/>
  <c r="G188" i="2"/>
  <c r="E188" i="2"/>
  <c r="D188" i="2"/>
  <c r="P187" i="2"/>
  <c r="O187" i="2"/>
  <c r="N187" i="2"/>
  <c r="M187" i="2"/>
  <c r="L187" i="2"/>
  <c r="K187" i="2"/>
  <c r="I187" i="2"/>
  <c r="H187" i="2"/>
  <c r="G187" i="2"/>
  <c r="E187" i="2"/>
  <c r="D187" i="2"/>
  <c r="P186" i="2"/>
  <c r="O186" i="2"/>
  <c r="N186" i="2"/>
  <c r="M186" i="2"/>
  <c r="L186" i="2"/>
  <c r="K186" i="2"/>
  <c r="I186" i="2"/>
  <c r="H186" i="2"/>
  <c r="G186" i="2"/>
  <c r="E186" i="2"/>
  <c r="D186" i="2"/>
  <c r="P185" i="2"/>
  <c r="O185" i="2"/>
  <c r="N185" i="2"/>
  <c r="M185" i="2"/>
  <c r="L185" i="2"/>
  <c r="K185" i="2"/>
  <c r="I185" i="2"/>
  <c r="H185" i="2"/>
  <c r="G185" i="2"/>
  <c r="E185" i="2"/>
  <c r="D185" i="2"/>
  <c r="P184" i="2"/>
  <c r="O184" i="2"/>
  <c r="N184" i="2"/>
  <c r="M184" i="2"/>
  <c r="L184" i="2"/>
  <c r="K184" i="2"/>
  <c r="I184" i="2"/>
  <c r="H184" i="2"/>
  <c r="G184" i="2"/>
  <c r="E184" i="2"/>
  <c r="D184" i="2"/>
  <c r="P183" i="2"/>
  <c r="O183" i="2"/>
  <c r="N183" i="2"/>
  <c r="M183" i="2"/>
  <c r="L183" i="2"/>
  <c r="K183" i="2"/>
  <c r="I183" i="2"/>
  <c r="H183" i="2"/>
  <c r="G183" i="2"/>
  <c r="E183" i="2"/>
  <c r="D183" i="2"/>
  <c r="P182" i="2"/>
  <c r="O182" i="2"/>
  <c r="N182" i="2"/>
  <c r="M182" i="2"/>
  <c r="L182" i="2"/>
  <c r="K182" i="2"/>
  <c r="I182" i="2"/>
  <c r="H182" i="2"/>
  <c r="G182" i="2"/>
  <c r="E182" i="2"/>
  <c r="D182" i="2"/>
  <c r="P181" i="2"/>
  <c r="O181" i="2"/>
  <c r="N181" i="2"/>
  <c r="M181" i="2"/>
  <c r="L181" i="2"/>
  <c r="K181" i="2"/>
  <c r="I181" i="2"/>
  <c r="H181" i="2"/>
  <c r="G181" i="2"/>
  <c r="E181" i="2"/>
  <c r="D181" i="2"/>
  <c r="P180" i="2"/>
  <c r="O180" i="2"/>
  <c r="N180" i="2"/>
  <c r="M180" i="2"/>
  <c r="L180" i="2"/>
  <c r="K180" i="2"/>
  <c r="I180" i="2"/>
  <c r="H180" i="2"/>
  <c r="G180" i="2"/>
  <c r="E180" i="2"/>
  <c r="D180" i="2"/>
  <c r="P179" i="2"/>
  <c r="O179" i="2"/>
  <c r="N179" i="2"/>
  <c r="M179" i="2"/>
  <c r="L179" i="2"/>
  <c r="K179" i="2"/>
  <c r="I179" i="2"/>
  <c r="H179" i="2"/>
  <c r="G179" i="2"/>
  <c r="E179" i="2"/>
  <c r="D179" i="2"/>
  <c r="P178" i="2"/>
  <c r="O178" i="2"/>
  <c r="N178" i="2"/>
  <c r="M178" i="2"/>
  <c r="L178" i="2"/>
  <c r="K178" i="2"/>
  <c r="I178" i="2"/>
  <c r="H178" i="2"/>
  <c r="G178" i="2"/>
  <c r="E178" i="2"/>
  <c r="D178" i="2"/>
  <c r="P177" i="2"/>
  <c r="O177" i="2"/>
  <c r="N177" i="2"/>
  <c r="M177" i="2"/>
  <c r="L177" i="2"/>
  <c r="K177" i="2"/>
  <c r="I177" i="2"/>
  <c r="H177" i="2"/>
  <c r="G177" i="2"/>
  <c r="E177" i="2"/>
  <c r="D177" i="2"/>
  <c r="P176" i="2"/>
  <c r="O176" i="2"/>
  <c r="N176" i="2"/>
  <c r="M176" i="2"/>
  <c r="L176" i="2"/>
  <c r="K176" i="2"/>
  <c r="I176" i="2"/>
  <c r="H176" i="2"/>
  <c r="G176" i="2"/>
  <c r="E176" i="2"/>
  <c r="D176" i="2"/>
  <c r="P175" i="2"/>
  <c r="O175" i="2"/>
  <c r="N175" i="2"/>
  <c r="M175" i="2"/>
  <c r="L175" i="2"/>
  <c r="K175" i="2"/>
  <c r="I175" i="2"/>
  <c r="H175" i="2"/>
  <c r="G175" i="2"/>
  <c r="E175" i="2"/>
  <c r="D175" i="2"/>
  <c r="P174" i="2"/>
  <c r="O174" i="2"/>
  <c r="N174" i="2"/>
  <c r="M174" i="2"/>
  <c r="L174" i="2"/>
  <c r="K174" i="2"/>
  <c r="I174" i="2"/>
  <c r="H174" i="2"/>
  <c r="G174" i="2"/>
  <c r="E174" i="2"/>
  <c r="D174" i="2"/>
  <c r="P173" i="2"/>
  <c r="O173" i="2"/>
  <c r="N173" i="2"/>
  <c r="M173" i="2"/>
  <c r="L173" i="2"/>
  <c r="K173" i="2"/>
  <c r="I173" i="2"/>
  <c r="H173" i="2"/>
  <c r="G173" i="2"/>
  <c r="E173" i="2"/>
  <c r="D173" i="2"/>
  <c r="P172" i="2"/>
  <c r="O172" i="2"/>
  <c r="N172" i="2"/>
  <c r="M172" i="2"/>
  <c r="L172" i="2"/>
  <c r="K172" i="2"/>
  <c r="I172" i="2"/>
  <c r="H172" i="2"/>
  <c r="G172" i="2"/>
  <c r="E172" i="2"/>
  <c r="D172" i="2"/>
  <c r="P171" i="2"/>
  <c r="O171" i="2"/>
  <c r="N171" i="2"/>
  <c r="M171" i="2"/>
  <c r="L171" i="2"/>
  <c r="K171" i="2"/>
  <c r="I171" i="2"/>
  <c r="H171" i="2"/>
  <c r="G171" i="2"/>
  <c r="E171" i="2"/>
  <c r="D171" i="2"/>
  <c r="P170" i="2"/>
  <c r="O170" i="2"/>
  <c r="N170" i="2"/>
  <c r="M170" i="2"/>
  <c r="L170" i="2"/>
  <c r="K170" i="2"/>
  <c r="I170" i="2"/>
  <c r="H170" i="2"/>
  <c r="G170" i="2"/>
  <c r="E170" i="2"/>
  <c r="D170" i="2"/>
  <c r="P169" i="2"/>
  <c r="O169" i="2"/>
  <c r="N169" i="2"/>
  <c r="M169" i="2"/>
  <c r="L169" i="2"/>
  <c r="K169" i="2"/>
  <c r="I169" i="2"/>
  <c r="H169" i="2"/>
  <c r="G169" i="2"/>
  <c r="E169" i="2"/>
  <c r="D169" i="2"/>
  <c r="P168" i="2"/>
  <c r="O168" i="2"/>
  <c r="N168" i="2"/>
  <c r="M168" i="2"/>
  <c r="L168" i="2"/>
  <c r="K168" i="2"/>
  <c r="I168" i="2"/>
  <c r="H168" i="2"/>
  <c r="G168" i="2"/>
  <c r="E168" i="2"/>
  <c r="D168" i="2"/>
  <c r="P167" i="2"/>
  <c r="O167" i="2"/>
  <c r="N167" i="2"/>
  <c r="M167" i="2"/>
  <c r="L167" i="2"/>
  <c r="K167" i="2"/>
  <c r="I167" i="2"/>
  <c r="H167" i="2"/>
  <c r="G167" i="2"/>
  <c r="E167" i="2"/>
  <c r="D167" i="2"/>
  <c r="P166" i="2"/>
  <c r="O166" i="2"/>
  <c r="N166" i="2"/>
  <c r="M166" i="2"/>
  <c r="L166" i="2"/>
  <c r="K166" i="2"/>
  <c r="I166" i="2"/>
  <c r="H166" i="2"/>
  <c r="G166" i="2"/>
  <c r="E166" i="2"/>
  <c r="D166" i="2"/>
  <c r="P165" i="2"/>
  <c r="O165" i="2"/>
  <c r="N165" i="2"/>
  <c r="M165" i="2"/>
  <c r="L165" i="2"/>
  <c r="K165" i="2"/>
  <c r="I165" i="2"/>
  <c r="H165" i="2"/>
  <c r="G165" i="2"/>
  <c r="E165" i="2"/>
  <c r="D165" i="2"/>
  <c r="P164" i="2"/>
  <c r="O164" i="2"/>
  <c r="N164" i="2"/>
  <c r="M164" i="2"/>
  <c r="L164" i="2"/>
  <c r="K164" i="2"/>
  <c r="I164" i="2"/>
  <c r="H164" i="2"/>
  <c r="G164" i="2"/>
  <c r="E164" i="2"/>
  <c r="D164" i="2"/>
  <c r="P163" i="2"/>
  <c r="O163" i="2"/>
  <c r="N163" i="2"/>
  <c r="M163" i="2"/>
  <c r="L163" i="2"/>
  <c r="K163" i="2"/>
  <c r="I163" i="2"/>
  <c r="H163" i="2"/>
  <c r="G163" i="2"/>
  <c r="E163" i="2"/>
  <c r="D163" i="2"/>
  <c r="P162" i="2"/>
  <c r="O162" i="2"/>
  <c r="N162" i="2"/>
  <c r="M162" i="2"/>
  <c r="L162" i="2"/>
  <c r="K162" i="2"/>
  <c r="I162" i="2"/>
  <c r="H162" i="2"/>
  <c r="G162" i="2"/>
  <c r="E162" i="2"/>
  <c r="D162" i="2"/>
  <c r="P161" i="2"/>
  <c r="O161" i="2"/>
  <c r="N161" i="2"/>
  <c r="M161" i="2"/>
  <c r="L161" i="2"/>
  <c r="K161" i="2"/>
  <c r="I161" i="2"/>
  <c r="H161" i="2"/>
  <c r="G161" i="2"/>
  <c r="E161" i="2"/>
  <c r="D161" i="2"/>
  <c r="P160" i="2"/>
  <c r="O160" i="2"/>
  <c r="N160" i="2"/>
  <c r="M160" i="2"/>
  <c r="L160" i="2"/>
  <c r="K160" i="2"/>
  <c r="I160" i="2"/>
  <c r="H160" i="2"/>
  <c r="G160" i="2"/>
  <c r="E160" i="2"/>
  <c r="D160" i="2"/>
  <c r="P159" i="2"/>
  <c r="O159" i="2"/>
  <c r="N159" i="2"/>
  <c r="M159" i="2"/>
  <c r="L159" i="2"/>
  <c r="K159" i="2"/>
  <c r="I159" i="2"/>
  <c r="H159" i="2"/>
  <c r="G159" i="2"/>
  <c r="E159" i="2"/>
  <c r="D159" i="2"/>
  <c r="P158" i="2"/>
  <c r="O158" i="2"/>
  <c r="N158" i="2"/>
  <c r="M158" i="2"/>
  <c r="L158" i="2"/>
  <c r="K158" i="2"/>
  <c r="I158" i="2"/>
  <c r="H158" i="2"/>
  <c r="G158" i="2"/>
  <c r="E158" i="2"/>
  <c r="D158" i="2"/>
  <c r="P157" i="2"/>
  <c r="O157" i="2"/>
  <c r="N157" i="2"/>
  <c r="M157" i="2"/>
  <c r="L157" i="2"/>
  <c r="K157" i="2"/>
  <c r="I157" i="2"/>
  <c r="H157" i="2"/>
  <c r="G157" i="2"/>
  <c r="E157" i="2"/>
  <c r="D157" i="2"/>
  <c r="P156" i="2"/>
  <c r="O156" i="2"/>
  <c r="N156" i="2"/>
  <c r="M156" i="2"/>
  <c r="L156" i="2"/>
  <c r="K156" i="2"/>
  <c r="I156" i="2"/>
  <c r="H156" i="2"/>
  <c r="G156" i="2"/>
  <c r="E156" i="2"/>
  <c r="D156" i="2"/>
  <c r="P155" i="2"/>
  <c r="O155" i="2"/>
  <c r="N155" i="2"/>
  <c r="M155" i="2"/>
  <c r="L155" i="2"/>
  <c r="K155" i="2"/>
  <c r="I155" i="2"/>
  <c r="H155" i="2"/>
  <c r="G155" i="2"/>
  <c r="E155" i="2"/>
  <c r="D155" i="2"/>
  <c r="P154" i="2"/>
  <c r="O154" i="2"/>
  <c r="N154" i="2"/>
  <c r="M154" i="2"/>
  <c r="L154" i="2"/>
  <c r="K154" i="2"/>
  <c r="I154" i="2"/>
  <c r="H154" i="2"/>
  <c r="G154" i="2"/>
  <c r="E154" i="2"/>
  <c r="D154" i="2"/>
  <c r="P153" i="2"/>
  <c r="O153" i="2"/>
  <c r="N153" i="2"/>
  <c r="M153" i="2"/>
  <c r="L153" i="2"/>
  <c r="K153" i="2"/>
  <c r="I153" i="2"/>
  <c r="H153" i="2"/>
  <c r="G153" i="2"/>
  <c r="E153" i="2"/>
  <c r="D153" i="2"/>
  <c r="P152" i="2"/>
  <c r="O152" i="2"/>
  <c r="N152" i="2"/>
  <c r="M152" i="2"/>
  <c r="L152" i="2"/>
  <c r="K152" i="2"/>
  <c r="I152" i="2"/>
  <c r="H152" i="2"/>
  <c r="G152" i="2"/>
  <c r="E152" i="2"/>
  <c r="D152" i="2"/>
  <c r="P151" i="2"/>
  <c r="O151" i="2"/>
  <c r="N151" i="2"/>
  <c r="M151" i="2"/>
  <c r="L151" i="2"/>
  <c r="K151" i="2"/>
  <c r="I151" i="2"/>
  <c r="H151" i="2"/>
  <c r="G151" i="2"/>
  <c r="E151" i="2"/>
  <c r="D151" i="2"/>
  <c r="P150" i="2"/>
  <c r="O150" i="2"/>
  <c r="N150" i="2"/>
  <c r="M150" i="2"/>
  <c r="L150" i="2"/>
  <c r="K150" i="2"/>
  <c r="I150" i="2"/>
  <c r="H150" i="2"/>
  <c r="G150" i="2"/>
  <c r="E150" i="2"/>
  <c r="D150" i="2"/>
  <c r="P149" i="2"/>
  <c r="O149" i="2"/>
  <c r="N149" i="2"/>
  <c r="M149" i="2"/>
  <c r="L149" i="2"/>
  <c r="K149" i="2"/>
  <c r="I149" i="2"/>
  <c r="H149" i="2"/>
  <c r="G149" i="2"/>
  <c r="E149" i="2"/>
  <c r="D149" i="2"/>
  <c r="P148" i="2"/>
  <c r="O148" i="2"/>
  <c r="N148" i="2"/>
  <c r="M148" i="2"/>
  <c r="L148" i="2"/>
  <c r="K148" i="2"/>
  <c r="I148" i="2"/>
  <c r="H148" i="2"/>
  <c r="G148" i="2"/>
  <c r="E148" i="2"/>
  <c r="D148" i="2"/>
  <c r="P147" i="2"/>
  <c r="O147" i="2"/>
  <c r="N147" i="2"/>
  <c r="M147" i="2"/>
  <c r="L147" i="2"/>
  <c r="K147" i="2"/>
  <c r="I147" i="2"/>
  <c r="H147" i="2"/>
  <c r="G147" i="2"/>
  <c r="E147" i="2"/>
  <c r="D147" i="2"/>
  <c r="P146" i="2"/>
  <c r="O146" i="2"/>
  <c r="N146" i="2"/>
  <c r="M146" i="2"/>
  <c r="L146" i="2"/>
  <c r="K146" i="2"/>
  <c r="I146" i="2"/>
  <c r="H146" i="2"/>
  <c r="G146" i="2"/>
  <c r="E146" i="2"/>
  <c r="D146" i="2"/>
  <c r="P145" i="2"/>
  <c r="O145" i="2"/>
  <c r="N145" i="2"/>
  <c r="M145" i="2"/>
  <c r="L145" i="2"/>
  <c r="K145" i="2"/>
  <c r="I145" i="2"/>
  <c r="H145" i="2"/>
  <c r="G145" i="2"/>
  <c r="E145" i="2"/>
  <c r="D145" i="2"/>
  <c r="P144" i="2"/>
  <c r="O144" i="2"/>
  <c r="N144" i="2"/>
  <c r="M144" i="2"/>
  <c r="L144" i="2"/>
  <c r="K144" i="2"/>
  <c r="I144" i="2"/>
  <c r="H144" i="2"/>
  <c r="G144" i="2"/>
  <c r="E144" i="2"/>
  <c r="D144" i="2"/>
  <c r="P143" i="2"/>
  <c r="O143" i="2"/>
  <c r="N143" i="2"/>
  <c r="M143" i="2"/>
  <c r="L143" i="2"/>
  <c r="K143" i="2"/>
  <c r="I143" i="2"/>
  <c r="H143" i="2"/>
  <c r="G143" i="2"/>
  <c r="E143" i="2"/>
  <c r="D143" i="2"/>
  <c r="P142" i="2"/>
  <c r="O142" i="2"/>
  <c r="N142" i="2"/>
  <c r="M142" i="2"/>
  <c r="L142" i="2"/>
  <c r="K142" i="2"/>
  <c r="I142" i="2"/>
  <c r="H142" i="2"/>
  <c r="G142" i="2"/>
  <c r="E142" i="2"/>
  <c r="D142" i="2"/>
  <c r="P141" i="2"/>
  <c r="O141" i="2"/>
  <c r="N141" i="2"/>
  <c r="M141" i="2"/>
  <c r="L141" i="2"/>
  <c r="K141" i="2"/>
  <c r="I141" i="2"/>
  <c r="H141" i="2"/>
  <c r="G141" i="2"/>
  <c r="E141" i="2"/>
  <c r="D141" i="2"/>
  <c r="P140" i="2"/>
  <c r="O140" i="2"/>
  <c r="N140" i="2"/>
  <c r="M140" i="2"/>
  <c r="L140" i="2"/>
  <c r="K140" i="2"/>
  <c r="I140" i="2"/>
  <c r="H140" i="2"/>
  <c r="G140" i="2"/>
  <c r="E140" i="2"/>
  <c r="D140" i="2"/>
  <c r="P139" i="2"/>
  <c r="O139" i="2"/>
  <c r="N139" i="2"/>
  <c r="M139" i="2"/>
  <c r="L139" i="2"/>
  <c r="K139" i="2"/>
  <c r="I139" i="2"/>
  <c r="H139" i="2"/>
  <c r="G139" i="2"/>
  <c r="E139" i="2"/>
  <c r="D139" i="2"/>
  <c r="P138" i="2"/>
  <c r="O138" i="2"/>
  <c r="N138" i="2"/>
  <c r="M138" i="2"/>
  <c r="L138" i="2"/>
  <c r="K138" i="2"/>
  <c r="I138" i="2"/>
  <c r="H138" i="2"/>
  <c r="G138" i="2"/>
  <c r="E138" i="2"/>
  <c r="D138" i="2"/>
  <c r="P137" i="2"/>
  <c r="O137" i="2"/>
  <c r="N137" i="2"/>
  <c r="M137" i="2"/>
  <c r="L137" i="2"/>
  <c r="K137" i="2"/>
  <c r="I137" i="2"/>
  <c r="H137" i="2"/>
  <c r="G137" i="2"/>
  <c r="E137" i="2"/>
  <c r="D137" i="2"/>
  <c r="P136" i="2"/>
  <c r="O136" i="2"/>
  <c r="N136" i="2"/>
  <c r="M136" i="2"/>
  <c r="L136" i="2"/>
  <c r="K136" i="2"/>
  <c r="I136" i="2"/>
  <c r="H136" i="2"/>
  <c r="G136" i="2"/>
  <c r="E136" i="2"/>
  <c r="D136" i="2"/>
  <c r="P135" i="2"/>
  <c r="O135" i="2"/>
  <c r="N135" i="2"/>
  <c r="M135" i="2"/>
  <c r="L135" i="2"/>
  <c r="K135" i="2"/>
  <c r="I135" i="2"/>
  <c r="H135" i="2"/>
  <c r="G135" i="2"/>
  <c r="E135" i="2"/>
  <c r="D135" i="2"/>
  <c r="P134" i="2"/>
  <c r="O134" i="2"/>
  <c r="N134" i="2"/>
  <c r="M134" i="2"/>
  <c r="L134" i="2"/>
  <c r="K134" i="2"/>
  <c r="I134" i="2"/>
  <c r="H134" i="2"/>
  <c r="G134" i="2"/>
  <c r="E134" i="2"/>
  <c r="D134" i="2"/>
  <c r="P133" i="2"/>
  <c r="O133" i="2"/>
  <c r="N133" i="2"/>
  <c r="M133" i="2"/>
  <c r="L133" i="2"/>
  <c r="K133" i="2"/>
  <c r="I133" i="2"/>
  <c r="H133" i="2"/>
  <c r="G133" i="2"/>
  <c r="E133" i="2"/>
  <c r="D133" i="2"/>
  <c r="P132" i="2"/>
  <c r="O132" i="2"/>
  <c r="N132" i="2"/>
  <c r="M132" i="2"/>
  <c r="L132" i="2"/>
  <c r="K132" i="2"/>
  <c r="I132" i="2"/>
  <c r="H132" i="2"/>
  <c r="G132" i="2"/>
  <c r="E132" i="2"/>
  <c r="D132" i="2"/>
  <c r="P131" i="2"/>
  <c r="O131" i="2"/>
  <c r="N131" i="2"/>
  <c r="M131" i="2"/>
  <c r="L131" i="2"/>
  <c r="K131" i="2"/>
  <c r="I131" i="2"/>
  <c r="H131" i="2"/>
  <c r="G131" i="2"/>
  <c r="E131" i="2"/>
  <c r="D131" i="2"/>
  <c r="P130" i="2"/>
  <c r="O130" i="2"/>
  <c r="N130" i="2"/>
  <c r="M130" i="2"/>
  <c r="L130" i="2"/>
  <c r="K130" i="2"/>
  <c r="I130" i="2"/>
  <c r="H130" i="2"/>
  <c r="G130" i="2"/>
  <c r="E130" i="2"/>
  <c r="D130" i="2"/>
  <c r="P129" i="2"/>
  <c r="O129" i="2"/>
  <c r="N129" i="2"/>
  <c r="M129" i="2"/>
  <c r="L129" i="2"/>
  <c r="K129" i="2"/>
  <c r="I129" i="2"/>
  <c r="H129" i="2"/>
  <c r="G129" i="2"/>
  <c r="E129" i="2"/>
  <c r="D129" i="2"/>
  <c r="P128" i="2"/>
  <c r="O128" i="2"/>
  <c r="N128" i="2"/>
  <c r="M128" i="2"/>
  <c r="L128" i="2"/>
  <c r="K128" i="2"/>
  <c r="I128" i="2"/>
  <c r="H128" i="2"/>
  <c r="G128" i="2"/>
  <c r="E128" i="2"/>
  <c r="D128" i="2"/>
  <c r="P127" i="2"/>
  <c r="O127" i="2"/>
  <c r="N127" i="2"/>
  <c r="M127" i="2"/>
  <c r="L127" i="2"/>
  <c r="K127" i="2"/>
  <c r="I127" i="2"/>
  <c r="H127" i="2"/>
  <c r="G127" i="2"/>
  <c r="E127" i="2"/>
  <c r="D127" i="2"/>
  <c r="P126" i="2"/>
  <c r="O126" i="2"/>
  <c r="N126" i="2"/>
  <c r="M126" i="2"/>
  <c r="L126" i="2"/>
  <c r="K126" i="2"/>
  <c r="I126" i="2"/>
  <c r="H126" i="2"/>
  <c r="G126" i="2"/>
  <c r="E126" i="2"/>
  <c r="D126" i="2"/>
  <c r="P125" i="2"/>
  <c r="O125" i="2"/>
  <c r="N125" i="2"/>
  <c r="M125" i="2"/>
  <c r="L125" i="2"/>
  <c r="K125" i="2"/>
  <c r="I125" i="2"/>
  <c r="H125" i="2"/>
  <c r="G125" i="2"/>
  <c r="E125" i="2"/>
  <c r="D125" i="2"/>
  <c r="P124" i="2"/>
  <c r="O124" i="2"/>
  <c r="N124" i="2"/>
  <c r="M124" i="2"/>
  <c r="L124" i="2"/>
  <c r="K124" i="2"/>
  <c r="I124" i="2"/>
  <c r="H124" i="2"/>
  <c r="G124" i="2"/>
  <c r="E124" i="2"/>
  <c r="D124" i="2"/>
  <c r="P123" i="2"/>
  <c r="O123" i="2"/>
  <c r="N123" i="2"/>
  <c r="M123" i="2"/>
  <c r="L123" i="2"/>
  <c r="K123" i="2"/>
  <c r="I123" i="2"/>
  <c r="H123" i="2"/>
  <c r="G123" i="2"/>
  <c r="E123" i="2"/>
  <c r="D123" i="2"/>
  <c r="P122" i="2"/>
  <c r="O122" i="2"/>
  <c r="N122" i="2"/>
  <c r="M122" i="2"/>
  <c r="L122" i="2"/>
  <c r="K122" i="2"/>
  <c r="I122" i="2"/>
  <c r="H122" i="2"/>
  <c r="G122" i="2"/>
  <c r="E122" i="2"/>
  <c r="D122" i="2"/>
  <c r="P121" i="2"/>
  <c r="O121" i="2"/>
  <c r="N121" i="2"/>
  <c r="M121" i="2"/>
  <c r="L121" i="2"/>
  <c r="K121" i="2"/>
  <c r="I121" i="2"/>
  <c r="H121" i="2"/>
  <c r="G121" i="2"/>
  <c r="E121" i="2"/>
  <c r="D121" i="2"/>
  <c r="P120" i="2"/>
  <c r="O120" i="2"/>
  <c r="N120" i="2"/>
  <c r="M120" i="2"/>
  <c r="L120" i="2"/>
  <c r="K120" i="2"/>
  <c r="I120" i="2"/>
  <c r="H120" i="2"/>
  <c r="G120" i="2"/>
  <c r="E120" i="2"/>
  <c r="D120" i="2"/>
  <c r="P119" i="2"/>
  <c r="O119" i="2"/>
  <c r="N119" i="2"/>
  <c r="M119" i="2"/>
  <c r="L119" i="2"/>
  <c r="K119" i="2"/>
  <c r="I119" i="2"/>
  <c r="H119" i="2"/>
  <c r="G119" i="2"/>
  <c r="E119" i="2"/>
  <c r="D119" i="2"/>
  <c r="P118" i="2"/>
  <c r="O118" i="2"/>
  <c r="N118" i="2"/>
  <c r="M118" i="2"/>
  <c r="L118" i="2"/>
  <c r="K118" i="2"/>
  <c r="I118" i="2"/>
  <c r="H118" i="2"/>
  <c r="G118" i="2"/>
  <c r="E118" i="2"/>
  <c r="D118" i="2"/>
  <c r="P117" i="2"/>
  <c r="O117" i="2"/>
  <c r="N117" i="2"/>
  <c r="M117" i="2"/>
  <c r="L117" i="2"/>
  <c r="K117" i="2"/>
  <c r="I117" i="2"/>
  <c r="H117" i="2"/>
  <c r="G117" i="2"/>
  <c r="E117" i="2"/>
  <c r="D117" i="2"/>
  <c r="P116" i="2"/>
  <c r="O116" i="2"/>
  <c r="N116" i="2"/>
  <c r="M116" i="2"/>
  <c r="L116" i="2"/>
  <c r="K116" i="2"/>
  <c r="I116" i="2"/>
  <c r="H116" i="2"/>
  <c r="G116" i="2"/>
  <c r="E116" i="2"/>
  <c r="D116" i="2"/>
  <c r="P115" i="2"/>
  <c r="O115" i="2"/>
  <c r="N115" i="2"/>
  <c r="M115" i="2"/>
  <c r="L115" i="2"/>
  <c r="K115" i="2"/>
  <c r="I115" i="2"/>
  <c r="H115" i="2"/>
  <c r="G115" i="2"/>
  <c r="E115" i="2"/>
  <c r="D115" i="2"/>
  <c r="P114" i="2"/>
  <c r="O114" i="2"/>
  <c r="N114" i="2"/>
  <c r="M114" i="2"/>
  <c r="L114" i="2"/>
  <c r="K114" i="2"/>
  <c r="I114" i="2"/>
  <c r="H114" i="2"/>
  <c r="G114" i="2"/>
  <c r="E114" i="2"/>
  <c r="D114" i="2"/>
  <c r="P113" i="2"/>
  <c r="O113" i="2"/>
  <c r="N113" i="2"/>
  <c r="M113" i="2"/>
  <c r="L113" i="2"/>
  <c r="K113" i="2"/>
  <c r="I113" i="2"/>
  <c r="H113" i="2"/>
  <c r="G113" i="2"/>
  <c r="E113" i="2"/>
  <c r="D113" i="2"/>
  <c r="P112" i="2"/>
  <c r="O112" i="2"/>
  <c r="N112" i="2"/>
  <c r="M112" i="2"/>
  <c r="L112" i="2"/>
  <c r="K112" i="2"/>
  <c r="I112" i="2"/>
  <c r="H112" i="2"/>
  <c r="G112" i="2"/>
  <c r="E112" i="2"/>
  <c r="D112" i="2"/>
  <c r="P111" i="2"/>
  <c r="O111" i="2"/>
  <c r="N111" i="2"/>
  <c r="M111" i="2"/>
  <c r="L111" i="2"/>
  <c r="K111" i="2"/>
  <c r="I111" i="2"/>
  <c r="H111" i="2"/>
  <c r="G111" i="2"/>
  <c r="E111" i="2"/>
  <c r="D111" i="2"/>
  <c r="P110" i="2"/>
  <c r="O110" i="2"/>
  <c r="N110" i="2"/>
  <c r="M110" i="2"/>
  <c r="L110" i="2"/>
  <c r="K110" i="2"/>
  <c r="I110" i="2"/>
  <c r="H110" i="2"/>
  <c r="G110" i="2"/>
  <c r="E110" i="2"/>
  <c r="D110" i="2"/>
  <c r="P109" i="2"/>
  <c r="O109" i="2"/>
  <c r="N109" i="2"/>
  <c r="M109" i="2"/>
  <c r="L109" i="2"/>
  <c r="K109" i="2"/>
  <c r="I109" i="2"/>
  <c r="H109" i="2"/>
  <c r="G109" i="2"/>
  <c r="E109" i="2"/>
  <c r="D109" i="2"/>
  <c r="P108" i="2"/>
  <c r="O108" i="2"/>
  <c r="N108" i="2"/>
  <c r="M108" i="2"/>
  <c r="L108" i="2"/>
  <c r="K108" i="2"/>
  <c r="I108" i="2"/>
  <c r="H108" i="2"/>
  <c r="G108" i="2"/>
  <c r="E108" i="2"/>
  <c r="D108" i="2"/>
  <c r="P107" i="2"/>
  <c r="O107" i="2"/>
  <c r="N107" i="2"/>
  <c r="M107" i="2"/>
  <c r="L107" i="2"/>
  <c r="K107" i="2"/>
  <c r="I107" i="2"/>
  <c r="H107" i="2"/>
  <c r="G107" i="2"/>
  <c r="E107" i="2"/>
  <c r="D107" i="2"/>
  <c r="P106" i="2"/>
  <c r="O106" i="2"/>
  <c r="N106" i="2"/>
  <c r="M106" i="2"/>
  <c r="L106" i="2"/>
  <c r="K106" i="2"/>
  <c r="I106" i="2"/>
  <c r="H106" i="2"/>
  <c r="G106" i="2"/>
  <c r="E106" i="2"/>
  <c r="D106" i="2"/>
  <c r="P105" i="2"/>
  <c r="O105" i="2"/>
  <c r="N105" i="2"/>
  <c r="M105" i="2"/>
  <c r="L105" i="2"/>
  <c r="K105" i="2"/>
  <c r="I105" i="2"/>
  <c r="H105" i="2"/>
  <c r="G105" i="2"/>
  <c r="E105" i="2"/>
  <c r="D105" i="2"/>
  <c r="P104" i="2"/>
  <c r="O104" i="2"/>
  <c r="N104" i="2"/>
  <c r="M104" i="2"/>
  <c r="L104" i="2"/>
  <c r="K104" i="2"/>
  <c r="I104" i="2"/>
  <c r="H104" i="2"/>
  <c r="G104" i="2"/>
  <c r="E104" i="2"/>
  <c r="D104" i="2"/>
  <c r="P103" i="2"/>
  <c r="O103" i="2"/>
  <c r="N103" i="2"/>
  <c r="M103" i="2"/>
  <c r="L103" i="2"/>
  <c r="K103" i="2"/>
  <c r="I103" i="2"/>
  <c r="H103" i="2"/>
  <c r="G103" i="2"/>
  <c r="E103" i="2"/>
  <c r="D103" i="2"/>
  <c r="P102" i="2"/>
  <c r="O102" i="2"/>
  <c r="N102" i="2"/>
  <c r="M102" i="2"/>
  <c r="L102" i="2"/>
  <c r="K102" i="2"/>
  <c r="I102" i="2"/>
  <c r="H102" i="2"/>
  <c r="G102" i="2"/>
  <c r="E102" i="2"/>
  <c r="D102" i="2"/>
  <c r="P101" i="2"/>
  <c r="O101" i="2"/>
  <c r="N101" i="2"/>
  <c r="M101" i="2"/>
  <c r="L101" i="2"/>
  <c r="K101" i="2"/>
  <c r="I101" i="2"/>
  <c r="H101" i="2"/>
  <c r="G101" i="2"/>
  <c r="E101" i="2"/>
  <c r="D101" i="2"/>
  <c r="P100" i="2"/>
  <c r="O100" i="2"/>
  <c r="N100" i="2"/>
  <c r="M100" i="2"/>
  <c r="L100" i="2"/>
  <c r="K100" i="2"/>
  <c r="I100" i="2"/>
  <c r="H100" i="2"/>
  <c r="G100" i="2"/>
  <c r="E100" i="2"/>
  <c r="D100" i="2"/>
  <c r="P99" i="2"/>
  <c r="O99" i="2"/>
  <c r="N99" i="2"/>
  <c r="M99" i="2"/>
  <c r="L99" i="2"/>
  <c r="K99" i="2"/>
  <c r="I99" i="2"/>
  <c r="H99" i="2"/>
  <c r="G99" i="2"/>
  <c r="E99" i="2"/>
  <c r="D99" i="2"/>
  <c r="P98" i="2"/>
  <c r="O98" i="2"/>
  <c r="N98" i="2"/>
  <c r="M98" i="2"/>
  <c r="L98" i="2"/>
  <c r="K98" i="2"/>
  <c r="I98" i="2"/>
  <c r="H98" i="2"/>
  <c r="G98" i="2"/>
  <c r="E98" i="2"/>
  <c r="D98" i="2"/>
  <c r="P97" i="2"/>
  <c r="O97" i="2"/>
  <c r="N97" i="2"/>
  <c r="M97" i="2"/>
  <c r="L97" i="2"/>
  <c r="K97" i="2"/>
  <c r="I97" i="2"/>
  <c r="H97" i="2"/>
  <c r="G97" i="2"/>
  <c r="E97" i="2"/>
  <c r="D97" i="2"/>
  <c r="P96" i="2"/>
  <c r="O96" i="2"/>
  <c r="N96" i="2"/>
  <c r="M96" i="2"/>
  <c r="L96" i="2"/>
  <c r="K96" i="2"/>
  <c r="I96" i="2"/>
  <c r="H96" i="2"/>
  <c r="G96" i="2"/>
  <c r="E96" i="2"/>
  <c r="D96" i="2"/>
  <c r="P95" i="2"/>
  <c r="O95" i="2"/>
  <c r="N95" i="2"/>
  <c r="M95" i="2"/>
  <c r="L95" i="2"/>
  <c r="K95" i="2"/>
  <c r="I95" i="2"/>
  <c r="H95" i="2"/>
  <c r="G95" i="2"/>
  <c r="E95" i="2"/>
  <c r="D95" i="2"/>
  <c r="P94" i="2"/>
  <c r="O94" i="2"/>
  <c r="N94" i="2"/>
  <c r="M94" i="2"/>
  <c r="L94" i="2"/>
  <c r="K94" i="2"/>
  <c r="I94" i="2"/>
  <c r="H94" i="2"/>
  <c r="G94" i="2"/>
  <c r="E94" i="2"/>
  <c r="D94" i="2"/>
  <c r="P93" i="2"/>
  <c r="O93" i="2"/>
  <c r="N93" i="2"/>
  <c r="M93" i="2"/>
  <c r="L93" i="2"/>
  <c r="K93" i="2"/>
  <c r="I93" i="2"/>
  <c r="H93" i="2"/>
  <c r="G93" i="2"/>
  <c r="E93" i="2"/>
  <c r="D93" i="2"/>
  <c r="P92" i="2"/>
  <c r="O92" i="2"/>
  <c r="N92" i="2"/>
  <c r="M92" i="2"/>
  <c r="L92" i="2"/>
  <c r="K92" i="2"/>
  <c r="I92" i="2"/>
  <c r="H92" i="2"/>
  <c r="G92" i="2"/>
  <c r="E92" i="2"/>
  <c r="D92" i="2"/>
  <c r="P91" i="2"/>
  <c r="O91" i="2"/>
  <c r="N91" i="2"/>
  <c r="M91" i="2"/>
  <c r="L91" i="2"/>
  <c r="K91" i="2"/>
  <c r="I91" i="2"/>
  <c r="H91" i="2"/>
  <c r="G91" i="2"/>
  <c r="E91" i="2"/>
  <c r="D91" i="2"/>
  <c r="P90" i="2"/>
  <c r="O90" i="2"/>
  <c r="N90" i="2"/>
  <c r="M90" i="2"/>
  <c r="L90" i="2"/>
  <c r="K90" i="2"/>
  <c r="I90" i="2"/>
  <c r="H90" i="2"/>
  <c r="G90" i="2"/>
  <c r="E90" i="2"/>
  <c r="D90" i="2"/>
  <c r="P89" i="2"/>
  <c r="O89" i="2"/>
  <c r="N89" i="2"/>
  <c r="M89" i="2"/>
  <c r="L89" i="2"/>
  <c r="K89" i="2"/>
  <c r="I89" i="2"/>
  <c r="H89" i="2"/>
  <c r="G89" i="2"/>
  <c r="E89" i="2"/>
  <c r="D89" i="2"/>
  <c r="P88" i="2"/>
  <c r="O88" i="2"/>
  <c r="N88" i="2"/>
  <c r="M88" i="2"/>
  <c r="L88" i="2"/>
  <c r="K88" i="2"/>
  <c r="I88" i="2"/>
  <c r="H88" i="2"/>
  <c r="G88" i="2"/>
  <c r="E88" i="2"/>
  <c r="D88" i="2"/>
  <c r="P87" i="2"/>
  <c r="O87" i="2"/>
  <c r="N87" i="2"/>
  <c r="M87" i="2"/>
  <c r="L87" i="2"/>
  <c r="K87" i="2"/>
  <c r="I87" i="2"/>
  <c r="H87" i="2"/>
  <c r="G87" i="2"/>
  <c r="E87" i="2"/>
  <c r="D87" i="2"/>
  <c r="P86" i="2"/>
  <c r="O86" i="2"/>
  <c r="N86" i="2"/>
  <c r="M86" i="2"/>
  <c r="L86" i="2"/>
  <c r="K86" i="2"/>
  <c r="I86" i="2"/>
  <c r="H86" i="2"/>
  <c r="G86" i="2"/>
  <c r="E86" i="2"/>
  <c r="D86" i="2"/>
  <c r="P85" i="2"/>
  <c r="O85" i="2"/>
  <c r="N85" i="2"/>
  <c r="M85" i="2"/>
  <c r="L85" i="2"/>
  <c r="K85" i="2"/>
  <c r="I85" i="2"/>
  <c r="H85" i="2"/>
  <c r="G85" i="2"/>
  <c r="E85" i="2"/>
  <c r="D85" i="2"/>
  <c r="P84" i="2"/>
  <c r="O84" i="2"/>
  <c r="N84" i="2"/>
  <c r="M84" i="2"/>
  <c r="L84" i="2"/>
  <c r="K84" i="2"/>
  <c r="I84" i="2"/>
  <c r="H84" i="2"/>
  <c r="G84" i="2"/>
  <c r="E84" i="2"/>
  <c r="D84" i="2"/>
  <c r="P83" i="2"/>
  <c r="O83" i="2"/>
  <c r="N83" i="2"/>
  <c r="M83" i="2"/>
  <c r="L83" i="2"/>
  <c r="K83" i="2"/>
  <c r="I83" i="2"/>
  <c r="H83" i="2"/>
  <c r="G83" i="2"/>
  <c r="E83" i="2"/>
  <c r="D83" i="2"/>
  <c r="P82" i="2"/>
  <c r="O82" i="2"/>
  <c r="N82" i="2"/>
  <c r="M82" i="2"/>
  <c r="L82" i="2"/>
  <c r="K82" i="2"/>
  <c r="I82" i="2"/>
  <c r="H82" i="2"/>
  <c r="G82" i="2"/>
  <c r="E82" i="2"/>
  <c r="D82" i="2"/>
  <c r="P81" i="2"/>
  <c r="O81" i="2"/>
  <c r="N81" i="2"/>
  <c r="M81" i="2"/>
  <c r="L81" i="2"/>
  <c r="K81" i="2"/>
  <c r="I81" i="2"/>
  <c r="H81" i="2"/>
  <c r="G81" i="2"/>
  <c r="E81" i="2"/>
  <c r="D81" i="2"/>
  <c r="P80" i="2"/>
  <c r="O80" i="2"/>
  <c r="N80" i="2"/>
  <c r="M80" i="2"/>
  <c r="L80" i="2"/>
  <c r="K80" i="2"/>
  <c r="I80" i="2"/>
  <c r="H80" i="2"/>
  <c r="G80" i="2"/>
  <c r="E80" i="2"/>
  <c r="D80" i="2"/>
  <c r="P79" i="2"/>
  <c r="O79" i="2"/>
  <c r="N79" i="2"/>
  <c r="M79" i="2"/>
  <c r="L79" i="2"/>
  <c r="K79" i="2"/>
  <c r="I79" i="2"/>
  <c r="H79" i="2"/>
  <c r="G79" i="2"/>
  <c r="E79" i="2"/>
  <c r="D79" i="2"/>
  <c r="P78" i="2"/>
  <c r="O78" i="2"/>
  <c r="N78" i="2"/>
  <c r="M78" i="2"/>
  <c r="L78" i="2"/>
  <c r="K78" i="2"/>
  <c r="I78" i="2"/>
  <c r="H78" i="2"/>
  <c r="G78" i="2"/>
  <c r="E78" i="2"/>
  <c r="D78" i="2"/>
  <c r="P77" i="2"/>
  <c r="O77" i="2"/>
  <c r="N77" i="2"/>
  <c r="M77" i="2"/>
  <c r="L77" i="2"/>
  <c r="K77" i="2"/>
  <c r="I77" i="2"/>
  <c r="H77" i="2"/>
  <c r="G77" i="2"/>
  <c r="E77" i="2"/>
  <c r="D77" i="2"/>
  <c r="P76" i="2"/>
  <c r="O76" i="2"/>
  <c r="N76" i="2"/>
  <c r="M76" i="2"/>
  <c r="L76" i="2"/>
  <c r="K76" i="2"/>
  <c r="I76" i="2"/>
  <c r="H76" i="2"/>
  <c r="G76" i="2"/>
  <c r="E76" i="2"/>
  <c r="D76" i="2"/>
  <c r="P75" i="2"/>
  <c r="O75" i="2"/>
  <c r="N75" i="2"/>
  <c r="M75" i="2"/>
  <c r="L75" i="2"/>
  <c r="K75" i="2"/>
  <c r="I75" i="2"/>
  <c r="H75" i="2"/>
  <c r="G75" i="2"/>
  <c r="E75" i="2"/>
  <c r="D75" i="2"/>
  <c r="P74" i="2"/>
  <c r="O74" i="2"/>
  <c r="N74" i="2"/>
  <c r="M74" i="2"/>
  <c r="L74" i="2"/>
  <c r="K74" i="2"/>
  <c r="I74" i="2"/>
  <c r="H74" i="2"/>
  <c r="G74" i="2"/>
  <c r="E74" i="2"/>
  <c r="D74" i="2"/>
  <c r="P73" i="2"/>
  <c r="O73" i="2"/>
  <c r="N73" i="2"/>
  <c r="M73" i="2"/>
  <c r="L73" i="2"/>
  <c r="K73" i="2"/>
  <c r="I73" i="2"/>
  <c r="H73" i="2"/>
  <c r="G73" i="2"/>
  <c r="E73" i="2"/>
  <c r="D73" i="2"/>
  <c r="P72" i="2"/>
  <c r="O72" i="2"/>
  <c r="N72" i="2"/>
  <c r="M72" i="2"/>
  <c r="L72" i="2"/>
  <c r="K72" i="2"/>
  <c r="I72" i="2"/>
  <c r="H72" i="2"/>
  <c r="G72" i="2"/>
  <c r="E72" i="2"/>
  <c r="D72" i="2"/>
  <c r="P71" i="2"/>
  <c r="O71" i="2"/>
  <c r="N71" i="2"/>
  <c r="M71" i="2"/>
  <c r="L71" i="2"/>
  <c r="K71" i="2"/>
  <c r="I71" i="2"/>
  <c r="H71" i="2"/>
  <c r="G71" i="2"/>
  <c r="E71" i="2"/>
  <c r="D71" i="2"/>
  <c r="P70" i="2"/>
  <c r="O70" i="2"/>
  <c r="N70" i="2"/>
  <c r="M70" i="2"/>
  <c r="L70" i="2"/>
  <c r="K70" i="2"/>
  <c r="I70" i="2"/>
  <c r="H70" i="2"/>
  <c r="G70" i="2"/>
  <c r="E70" i="2"/>
  <c r="D70" i="2"/>
  <c r="P69" i="2"/>
  <c r="O69" i="2"/>
  <c r="N69" i="2"/>
  <c r="M69" i="2"/>
  <c r="L69" i="2"/>
  <c r="K69" i="2"/>
  <c r="I69" i="2"/>
  <c r="H69" i="2"/>
  <c r="G69" i="2"/>
  <c r="E69" i="2"/>
  <c r="D69" i="2"/>
  <c r="P68" i="2"/>
  <c r="O68" i="2"/>
  <c r="N68" i="2"/>
  <c r="M68" i="2"/>
  <c r="L68" i="2"/>
  <c r="K68" i="2"/>
  <c r="I68" i="2"/>
  <c r="H68" i="2"/>
  <c r="G68" i="2"/>
  <c r="E68" i="2"/>
  <c r="D68" i="2"/>
  <c r="P67" i="2"/>
  <c r="O67" i="2"/>
  <c r="N67" i="2"/>
  <c r="M67" i="2"/>
  <c r="L67" i="2"/>
  <c r="K67" i="2"/>
  <c r="I67" i="2"/>
  <c r="H67" i="2"/>
  <c r="G67" i="2"/>
  <c r="E67" i="2"/>
  <c r="D67" i="2"/>
  <c r="P66" i="2"/>
  <c r="O66" i="2"/>
  <c r="N66" i="2"/>
  <c r="M66" i="2"/>
  <c r="L66" i="2"/>
  <c r="K66" i="2"/>
  <c r="I66" i="2"/>
  <c r="H66" i="2"/>
  <c r="G66" i="2"/>
  <c r="E66" i="2"/>
  <c r="D66" i="2"/>
  <c r="P65" i="2"/>
  <c r="O65" i="2"/>
  <c r="N65" i="2"/>
  <c r="M65" i="2"/>
  <c r="L65" i="2"/>
  <c r="K65" i="2"/>
  <c r="I65" i="2"/>
  <c r="H65" i="2"/>
  <c r="G65" i="2"/>
  <c r="E65" i="2"/>
  <c r="D65" i="2"/>
  <c r="P64" i="2"/>
  <c r="O64" i="2"/>
  <c r="N64" i="2"/>
  <c r="M64" i="2"/>
  <c r="L64" i="2"/>
  <c r="K64" i="2"/>
  <c r="I64" i="2"/>
  <c r="H64" i="2"/>
  <c r="G64" i="2"/>
  <c r="E64" i="2"/>
  <c r="D64" i="2"/>
  <c r="P63" i="2"/>
  <c r="O63" i="2"/>
  <c r="N63" i="2"/>
  <c r="M63" i="2"/>
  <c r="L63" i="2"/>
  <c r="K63" i="2"/>
  <c r="I63" i="2"/>
  <c r="H63" i="2"/>
  <c r="G63" i="2"/>
  <c r="E63" i="2"/>
  <c r="D63" i="2"/>
  <c r="P62" i="2"/>
  <c r="O62" i="2"/>
  <c r="N62" i="2"/>
  <c r="M62" i="2"/>
  <c r="L62" i="2"/>
  <c r="K62" i="2"/>
  <c r="I62" i="2"/>
  <c r="H62" i="2"/>
  <c r="G62" i="2"/>
  <c r="E62" i="2"/>
  <c r="D62" i="2"/>
  <c r="P61" i="2"/>
  <c r="O61" i="2"/>
  <c r="N61" i="2"/>
  <c r="M61" i="2"/>
  <c r="L61" i="2"/>
  <c r="K61" i="2"/>
  <c r="I61" i="2"/>
  <c r="H61" i="2"/>
  <c r="G61" i="2"/>
  <c r="E61" i="2"/>
  <c r="D61" i="2"/>
  <c r="P60" i="2"/>
  <c r="O60" i="2"/>
  <c r="N60" i="2"/>
  <c r="M60" i="2"/>
  <c r="L60" i="2"/>
  <c r="K60" i="2"/>
  <c r="I60" i="2"/>
  <c r="H60" i="2"/>
  <c r="G60" i="2"/>
  <c r="E60" i="2"/>
  <c r="D60" i="2"/>
  <c r="P59" i="2"/>
  <c r="O59" i="2"/>
  <c r="N59" i="2"/>
  <c r="M59" i="2"/>
  <c r="L59" i="2"/>
  <c r="K59" i="2"/>
  <c r="I59" i="2"/>
  <c r="H59" i="2"/>
  <c r="G59" i="2"/>
  <c r="E59" i="2"/>
  <c r="D59" i="2"/>
  <c r="P58" i="2"/>
  <c r="O58" i="2"/>
  <c r="N58" i="2"/>
  <c r="M58" i="2"/>
  <c r="L58" i="2"/>
  <c r="K58" i="2"/>
  <c r="I58" i="2"/>
  <c r="H58" i="2"/>
  <c r="G58" i="2"/>
  <c r="E58" i="2"/>
  <c r="D58" i="2"/>
  <c r="P57" i="2"/>
  <c r="O57" i="2"/>
  <c r="N57" i="2"/>
  <c r="M57" i="2"/>
  <c r="L57" i="2"/>
  <c r="K57" i="2"/>
  <c r="I57" i="2"/>
  <c r="H57" i="2"/>
  <c r="G57" i="2"/>
  <c r="E57" i="2"/>
  <c r="D57" i="2"/>
  <c r="P56" i="2"/>
  <c r="O56" i="2"/>
  <c r="N56" i="2"/>
  <c r="M56" i="2"/>
  <c r="L56" i="2"/>
  <c r="K56" i="2"/>
  <c r="I56" i="2"/>
  <c r="H56" i="2"/>
  <c r="G56" i="2"/>
  <c r="E56" i="2"/>
  <c r="D56" i="2"/>
  <c r="P55" i="2"/>
  <c r="O55" i="2"/>
  <c r="N55" i="2"/>
  <c r="M55" i="2"/>
  <c r="L55" i="2"/>
  <c r="K55" i="2"/>
  <c r="I55" i="2"/>
  <c r="H55" i="2"/>
  <c r="G55" i="2"/>
  <c r="E55" i="2"/>
  <c r="D55" i="2"/>
  <c r="P54" i="2"/>
  <c r="O54" i="2"/>
  <c r="N54" i="2"/>
  <c r="M54" i="2"/>
  <c r="L54" i="2"/>
  <c r="K54" i="2"/>
  <c r="I54" i="2"/>
  <c r="H54" i="2"/>
  <c r="G54" i="2"/>
  <c r="E54" i="2"/>
  <c r="D54" i="2"/>
  <c r="P53" i="2"/>
  <c r="O53" i="2"/>
  <c r="N53" i="2"/>
  <c r="M53" i="2"/>
  <c r="L53" i="2"/>
  <c r="K53" i="2"/>
  <c r="I53" i="2"/>
  <c r="H53" i="2"/>
  <c r="G53" i="2"/>
  <c r="E53" i="2"/>
  <c r="D53" i="2"/>
  <c r="P52" i="2"/>
  <c r="O52" i="2"/>
  <c r="N52" i="2"/>
  <c r="M52" i="2"/>
  <c r="L52" i="2"/>
  <c r="K52" i="2"/>
  <c r="I52" i="2"/>
  <c r="H52" i="2"/>
  <c r="G52" i="2"/>
  <c r="E52" i="2"/>
  <c r="D52" i="2"/>
  <c r="P51" i="2"/>
  <c r="O51" i="2"/>
  <c r="N51" i="2"/>
  <c r="M51" i="2"/>
  <c r="L51" i="2"/>
  <c r="K51" i="2"/>
  <c r="I51" i="2"/>
  <c r="H51" i="2"/>
  <c r="G51" i="2"/>
  <c r="E51" i="2"/>
  <c r="D51" i="2"/>
  <c r="P50" i="2"/>
  <c r="O50" i="2"/>
  <c r="N50" i="2"/>
  <c r="M50" i="2"/>
  <c r="L50" i="2"/>
  <c r="K50" i="2"/>
  <c r="I50" i="2"/>
  <c r="H50" i="2"/>
  <c r="G50" i="2"/>
  <c r="E50" i="2"/>
  <c r="D50" i="2"/>
  <c r="P49" i="2"/>
  <c r="O49" i="2"/>
  <c r="N49" i="2"/>
  <c r="M49" i="2"/>
  <c r="L49" i="2"/>
  <c r="K49" i="2"/>
  <c r="I49" i="2"/>
  <c r="H49" i="2"/>
  <c r="G49" i="2"/>
  <c r="E49" i="2"/>
  <c r="D49" i="2"/>
  <c r="P48" i="2"/>
  <c r="O48" i="2"/>
  <c r="N48" i="2"/>
  <c r="M48" i="2"/>
  <c r="L48" i="2"/>
  <c r="K48" i="2"/>
  <c r="I48" i="2"/>
  <c r="H48" i="2"/>
  <c r="G48" i="2"/>
  <c r="E48" i="2"/>
  <c r="D48" i="2"/>
  <c r="P47" i="2"/>
  <c r="O47" i="2"/>
  <c r="N47" i="2"/>
  <c r="M47" i="2"/>
  <c r="L47" i="2"/>
  <c r="K47" i="2"/>
  <c r="I47" i="2"/>
  <c r="H47" i="2"/>
  <c r="G47" i="2"/>
  <c r="E47" i="2"/>
  <c r="D47" i="2"/>
  <c r="P46" i="2"/>
  <c r="O46" i="2"/>
  <c r="N46" i="2"/>
  <c r="M46" i="2"/>
  <c r="L46" i="2"/>
  <c r="K46" i="2"/>
  <c r="I46" i="2"/>
  <c r="H46" i="2"/>
  <c r="G46" i="2"/>
  <c r="E46" i="2"/>
  <c r="D46" i="2"/>
  <c r="P45" i="2"/>
  <c r="O45" i="2"/>
  <c r="N45" i="2"/>
  <c r="M45" i="2"/>
  <c r="L45" i="2"/>
  <c r="K45" i="2"/>
  <c r="I45" i="2"/>
  <c r="H45" i="2"/>
  <c r="G45" i="2"/>
  <c r="E45" i="2"/>
  <c r="D45" i="2"/>
  <c r="P44" i="2"/>
  <c r="O44" i="2"/>
  <c r="N44" i="2"/>
  <c r="M44" i="2"/>
  <c r="L44" i="2"/>
  <c r="K44" i="2"/>
  <c r="I44" i="2"/>
  <c r="H44" i="2"/>
  <c r="G44" i="2"/>
  <c r="E44" i="2"/>
  <c r="D44" i="2"/>
  <c r="P43" i="2"/>
  <c r="O43" i="2"/>
  <c r="N43" i="2"/>
  <c r="M43" i="2"/>
  <c r="L43" i="2"/>
  <c r="K43" i="2"/>
  <c r="I43" i="2"/>
  <c r="H43" i="2"/>
  <c r="G43" i="2"/>
  <c r="E43" i="2"/>
  <c r="D43" i="2"/>
  <c r="P42" i="2"/>
  <c r="O42" i="2"/>
  <c r="N42" i="2"/>
  <c r="M42" i="2"/>
  <c r="L42" i="2"/>
  <c r="K42" i="2"/>
  <c r="I42" i="2"/>
  <c r="H42" i="2"/>
  <c r="G42" i="2"/>
  <c r="E42" i="2"/>
  <c r="D42" i="2"/>
  <c r="P41" i="2"/>
  <c r="O41" i="2"/>
  <c r="N41" i="2"/>
  <c r="M41" i="2"/>
  <c r="L41" i="2"/>
  <c r="K41" i="2"/>
  <c r="I41" i="2"/>
  <c r="H41" i="2"/>
  <c r="G41" i="2"/>
  <c r="E41" i="2"/>
  <c r="D41" i="2"/>
  <c r="P40" i="2"/>
  <c r="O40" i="2"/>
  <c r="N40" i="2"/>
  <c r="M40" i="2"/>
  <c r="L40" i="2"/>
  <c r="K40" i="2"/>
  <c r="I40" i="2"/>
  <c r="H40" i="2"/>
  <c r="G40" i="2"/>
  <c r="E40" i="2"/>
  <c r="D40" i="2"/>
  <c r="P39" i="2"/>
  <c r="O39" i="2"/>
  <c r="N39" i="2"/>
  <c r="M39" i="2"/>
  <c r="L39" i="2"/>
  <c r="K39" i="2"/>
  <c r="I39" i="2"/>
  <c r="H39" i="2"/>
  <c r="G39" i="2"/>
  <c r="E39" i="2"/>
  <c r="D39" i="2"/>
  <c r="P38" i="2"/>
  <c r="O38" i="2"/>
  <c r="N38" i="2"/>
  <c r="M38" i="2"/>
  <c r="L38" i="2"/>
  <c r="K38" i="2"/>
  <c r="I38" i="2"/>
  <c r="H38" i="2"/>
  <c r="G38" i="2"/>
  <c r="E38" i="2"/>
  <c r="D38" i="2"/>
  <c r="P37" i="2"/>
  <c r="O37" i="2"/>
  <c r="N37" i="2"/>
  <c r="M37" i="2"/>
  <c r="L37" i="2"/>
  <c r="K37" i="2"/>
  <c r="I37" i="2"/>
  <c r="H37" i="2"/>
  <c r="G37" i="2"/>
  <c r="E37" i="2"/>
  <c r="D37" i="2"/>
  <c r="P36" i="2"/>
  <c r="O36" i="2"/>
  <c r="N36" i="2"/>
  <c r="M36" i="2"/>
  <c r="L36" i="2"/>
  <c r="K36" i="2"/>
  <c r="I36" i="2"/>
  <c r="H36" i="2"/>
  <c r="G36" i="2"/>
  <c r="E36" i="2"/>
  <c r="D36" i="2"/>
  <c r="P35" i="2"/>
  <c r="O35" i="2"/>
  <c r="N35" i="2"/>
  <c r="M35" i="2"/>
  <c r="L35" i="2"/>
  <c r="K35" i="2"/>
  <c r="I35" i="2"/>
  <c r="H35" i="2"/>
  <c r="G35" i="2"/>
  <c r="E35" i="2"/>
  <c r="D35" i="2"/>
  <c r="P34" i="2"/>
  <c r="O34" i="2"/>
  <c r="N34" i="2"/>
  <c r="M34" i="2"/>
  <c r="L34" i="2"/>
  <c r="K34" i="2"/>
  <c r="I34" i="2"/>
  <c r="H34" i="2"/>
  <c r="G34" i="2"/>
  <c r="E34" i="2"/>
  <c r="D34" i="2"/>
  <c r="P33" i="2"/>
  <c r="O33" i="2"/>
  <c r="N33" i="2"/>
  <c r="M33" i="2"/>
  <c r="L33" i="2"/>
  <c r="K33" i="2"/>
  <c r="I33" i="2"/>
  <c r="H33" i="2"/>
  <c r="G33" i="2"/>
  <c r="E33" i="2"/>
  <c r="D33" i="2"/>
  <c r="P32" i="2"/>
  <c r="O32" i="2"/>
  <c r="N32" i="2"/>
  <c r="M32" i="2"/>
  <c r="L32" i="2"/>
  <c r="K32" i="2"/>
  <c r="I32" i="2"/>
  <c r="H32" i="2"/>
  <c r="G32" i="2"/>
  <c r="E32" i="2"/>
  <c r="D32" i="2"/>
  <c r="P31" i="2"/>
  <c r="O31" i="2"/>
  <c r="N31" i="2"/>
  <c r="M31" i="2"/>
  <c r="L31" i="2"/>
  <c r="K31" i="2"/>
  <c r="I31" i="2"/>
  <c r="H31" i="2"/>
  <c r="G31" i="2"/>
  <c r="E31" i="2"/>
  <c r="D31" i="2"/>
  <c r="P30" i="2"/>
  <c r="O30" i="2"/>
  <c r="N30" i="2"/>
  <c r="M30" i="2"/>
  <c r="L30" i="2"/>
  <c r="K30" i="2"/>
  <c r="I30" i="2"/>
  <c r="H30" i="2"/>
  <c r="G30" i="2"/>
  <c r="E30" i="2"/>
  <c r="D30" i="2"/>
  <c r="P29" i="2"/>
  <c r="O29" i="2"/>
  <c r="N29" i="2"/>
  <c r="M29" i="2"/>
  <c r="L29" i="2"/>
  <c r="K29" i="2"/>
  <c r="I29" i="2"/>
  <c r="H29" i="2"/>
  <c r="G29" i="2"/>
  <c r="E29" i="2"/>
  <c r="D29" i="2"/>
  <c r="P28" i="2"/>
  <c r="O28" i="2"/>
  <c r="N28" i="2"/>
  <c r="M28" i="2"/>
  <c r="L28" i="2"/>
  <c r="K28" i="2"/>
  <c r="I28" i="2"/>
  <c r="H28" i="2"/>
  <c r="G28" i="2"/>
  <c r="E28" i="2"/>
  <c r="D28" i="2"/>
  <c r="P27" i="2"/>
  <c r="O27" i="2"/>
  <c r="N27" i="2"/>
  <c r="M27" i="2"/>
  <c r="L27" i="2"/>
  <c r="K27" i="2"/>
  <c r="I27" i="2"/>
  <c r="H27" i="2"/>
  <c r="G27" i="2"/>
  <c r="E27" i="2"/>
  <c r="D27" i="2"/>
  <c r="P26" i="2"/>
  <c r="O26" i="2"/>
  <c r="N26" i="2"/>
  <c r="M26" i="2"/>
  <c r="L26" i="2"/>
  <c r="K26" i="2"/>
  <c r="I26" i="2"/>
  <c r="H26" i="2"/>
  <c r="G26" i="2"/>
  <c r="E26" i="2"/>
  <c r="D26" i="2"/>
  <c r="P25" i="2"/>
  <c r="O25" i="2"/>
  <c r="N25" i="2"/>
  <c r="M25" i="2"/>
  <c r="L25" i="2"/>
  <c r="K25" i="2"/>
  <c r="I25" i="2"/>
  <c r="H25" i="2"/>
  <c r="G25" i="2"/>
  <c r="E25" i="2"/>
  <c r="D25" i="2"/>
  <c r="P24" i="2"/>
  <c r="O24" i="2"/>
  <c r="N24" i="2"/>
  <c r="M24" i="2"/>
  <c r="L24" i="2"/>
  <c r="K24" i="2"/>
  <c r="I24" i="2"/>
  <c r="H24" i="2"/>
  <c r="G24" i="2"/>
  <c r="E24" i="2"/>
  <c r="D24" i="2"/>
  <c r="P23" i="2"/>
  <c r="O23" i="2"/>
  <c r="N23" i="2"/>
  <c r="M23" i="2"/>
  <c r="L23" i="2"/>
  <c r="K23" i="2"/>
  <c r="I23" i="2"/>
  <c r="H23" i="2"/>
  <c r="G23" i="2"/>
  <c r="E23" i="2"/>
  <c r="D23" i="2"/>
  <c r="P22" i="2"/>
  <c r="O22" i="2"/>
  <c r="N22" i="2"/>
  <c r="M22" i="2"/>
  <c r="L22" i="2"/>
  <c r="K22" i="2"/>
  <c r="I22" i="2"/>
  <c r="H22" i="2"/>
  <c r="G22" i="2"/>
  <c r="E22" i="2"/>
  <c r="D22" i="2"/>
  <c r="P21" i="2"/>
  <c r="O21" i="2"/>
  <c r="N21" i="2"/>
  <c r="M21" i="2"/>
  <c r="L21" i="2"/>
  <c r="K21" i="2"/>
  <c r="I21" i="2"/>
  <c r="H21" i="2"/>
  <c r="G21" i="2"/>
  <c r="E21" i="2"/>
  <c r="D21" i="2"/>
  <c r="P20" i="2"/>
  <c r="O20" i="2"/>
  <c r="N20" i="2"/>
  <c r="M20" i="2"/>
  <c r="L20" i="2"/>
  <c r="K20" i="2"/>
  <c r="I20" i="2"/>
  <c r="H20" i="2"/>
  <c r="G20" i="2"/>
  <c r="E20" i="2"/>
  <c r="D20" i="2"/>
  <c r="P19" i="2"/>
  <c r="O19" i="2"/>
  <c r="N19" i="2"/>
  <c r="M19" i="2"/>
  <c r="L19" i="2"/>
  <c r="K19" i="2"/>
  <c r="I19" i="2"/>
  <c r="H19" i="2"/>
  <c r="G19" i="2"/>
  <c r="E19" i="2"/>
  <c r="D19" i="2"/>
  <c r="P18" i="2"/>
  <c r="O18" i="2"/>
  <c r="N18" i="2"/>
  <c r="M18" i="2"/>
  <c r="L18" i="2"/>
  <c r="K18" i="2"/>
  <c r="I18" i="2"/>
  <c r="H18" i="2"/>
  <c r="G18" i="2"/>
  <c r="E18" i="2"/>
  <c r="D18" i="2"/>
  <c r="P17" i="2"/>
  <c r="O17" i="2"/>
  <c r="N17" i="2"/>
  <c r="M17" i="2"/>
  <c r="L17" i="2"/>
  <c r="K17" i="2"/>
  <c r="I17" i="2"/>
  <c r="H17" i="2"/>
  <c r="G17" i="2"/>
  <c r="E17" i="2"/>
  <c r="D17" i="2"/>
  <c r="P16" i="2"/>
  <c r="O16" i="2"/>
  <c r="N16" i="2"/>
  <c r="M16" i="2"/>
  <c r="L16" i="2"/>
  <c r="K16" i="2"/>
  <c r="I16" i="2"/>
  <c r="H16" i="2"/>
  <c r="G16" i="2"/>
  <c r="E16" i="2"/>
  <c r="D16" i="2"/>
  <c r="P15" i="2"/>
  <c r="O15" i="2"/>
  <c r="N15" i="2"/>
  <c r="M15" i="2"/>
  <c r="L15" i="2"/>
  <c r="K15" i="2"/>
  <c r="I15" i="2"/>
  <c r="H15" i="2"/>
  <c r="G15" i="2"/>
  <c r="E15" i="2"/>
  <c r="D15" i="2"/>
  <c r="O14" i="2"/>
  <c r="O13" i="2"/>
  <c r="O12" i="2"/>
  <c r="O11" i="2"/>
  <c r="O10" i="2"/>
  <c r="O9" i="2"/>
  <c r="O8" i="2"/>
  <c r="M14" i="2"/>
  <c r="M13" i="2"/>
  <c r="M12" i="2"/>
  <c r="M11" i="2"/>
  <c r="M10" i="2"/>
  <c r="M9" i="2"/>
  <c r="M8" i="2"/>
  <c r="K14" i="2"/>
  <c r="K13" i="2"/>
  <c r="K12" i="2"/>
  <c r="K11" i="2"/>
  <c r="K10" i="2"/>
  <c r="K9" i="2"/>
  <c r="K8" i="2"/>
  <c r="I14" i="2"/>
  <c r="I13" i="2"/>
  <c r="I12" i="2"/>
  <c r="I11" i="2"/>
  <c r="I10" i="2"/>
  <c r="I9" i="2"/>
  <c r="H14" i="2"/>
  <c r="H13" i="2"/>
  <c r="H12" i="2"/>
  <c r="H11" i="2"/>
  <c r="H10" i="2"/>
  <c r="H9" i="2"/>
  <c r="H8" i="2"/>
  <c r="G14" i="2"/>
  <c r="G13" i="2"/>
  <c r="G12" i="2"/>
  <c r="G11" i="2"/>
  <c r="G10" i="2"/>
  <c r="G9" i="2"/>
  <c r="E14" i="2"/>
  <c r="E13" i="2"/>
  <c r="E12" i="2"/>
  <c r="E11" i="2"/>
  <c r="E10" i="2"/>
  <c r="E9" i="2"/>
  <c r="E8" i="2"/>
  <c r="D14" i="2"/>
  <c r="D13" i="2"/>
  <c r="D12" i="2"/>
  <c r="D11" i="2"/>
  <c r="D10" i="2"/>
  <c r="D9" i="2"/>
  <c r="D8" i="2"/>
  <c r="P14" i="2"/>
  <c r="P13" i="2"/>
  <c r="P12" i="2"/>
  <c r="P11" i="2"/>
  <c r="P10" i="2"/>
  <c r="P9" i="2"/>
  <c r="P8" i="2"/>
  <c r="N14" i="2"/>
  <c r="N13" i="2"/>
  <c r="N12" i="2"/>
  <c r="N11" i="2"/>
  <c r="N10" i="2"/>
  <c r="N9" i="2"/>
  <c r="N8" i="2"/>
  <c r="L14" i="2"/>
  <c r="L13" i="2"/>
  <c r="L12" i="2"/>
  <c r="L11" i="2"/>
  <c r="L10" i="2"/>
  <c r="L9" i="2"/>
  <c r="L8" i="2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B8" i="2" s="1"/>
  <c r="AD8" i="1"/>
  <c r="AD7" i="1"/>
  <c r="AD6" i="1"/>
  <c r="AD5" i="1"/>
  <c r="AD4" i="1"/>
  <c r="AD3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Z25" i="1"/>
  <c r="W25" i="1"/>
  <c r="O25" i="1"/>
  <c r="K25" i="1"/>
  <c r="H25" i="1"/>
  <c r="F25" i="1"/>
  <c r="Z24" i="1"/>
  <c r="V24" i="1"/>
  <c r="O24" i="1"/>
  <c r="K24" i="1"/>
  <c r="H24" i="1"/>
  <c r="F24" i="1"/>
  <c r="Z23" i="1"/>
  <c r="V23" i="1"/>
  <c r="O23" i="1"/>
  <c r="K23" i="1"/>
  <c r="H23" i="1"/>
  <c r="F23" i="1"/>
  <c r="Z22" i="1"/>
  <c r="V22" i="1"/>
  <c r="O22" i="1"/>
  <c r="K22" i="1"/>
  <c r="H22" i="1"/>
  <c r="F22" i="1"/>
  <c r="Z21" i="1"/>
  <c r="W21" i="1"/>
  <c r="O21" i="1"/>
  <c r="K21" i="1"/>
  <c r="H21" i="1"/>
  <c r="F21" i="1"/>
  <c r="Z20" i="1"/>
  <c r="W20" i="1"/>
  <c r="V20" i="1"/>
  <c r="O20" i="1"/>
  <c r="K20" i="1"/>
  <c r="H20" i="1"/>
  <c r="F20" i="1"/>
  <c r="Z19" i="1"/>
  <c r="W19" i="1"/>
  <c r="V19" i="1"/>
  <c r="O19" i="1"/>
  <c r="K19" i="1"/>
  <c r="H19" i="1"/>
  <c r="F19" i="1"/>
  <c r="Z18" i="1"/>
  <c r="W18" i="1"/>
  <c r="O18" i="1"/>
  <c r="K18" i="1"/>
  <c r="H18" i="1"/>
  <c r="F18" i="1"/>
  <c r="Z17" i="1"/>
  <c r="V17" i="1"/>
  <c r="W17" i="1"/>
  <c r="O17" i="1"/>
  <c r="K17" i="1"/>
  <c r="H17" i="1"/>
  <c r="F17" i="1"/>
  <c r="Z16" i="1"/>
  <c r="W16" i="1"/>
  <c r="V16" i="1"/>
  <c r="O16" i="1"/>
  <c r="K16" i="1"/>
  <c r="H16" i="1"/>
  <c r="F16" i="1"/>
  <c r="Z15" i="1"/>
  <c r="W15" i="1"/>
  <c r="O15" i="1"/>
  <c r="K15" i="1"/>
  <c r="H15" i="1"/>
  <c r="F15" i="1"/>
  <c r="Z14" i="1"/>
  <c r="O14" i="1"/>
  <c r="K14" i="1"/>
  <c r="H14" i="1"/>
  <c r="F14" i="1"/>
  <c r="Z13" i="1"/>
  <c r="W13" i="1"/>
  <c r="O13" i="1"/>
  <c r="K13" i="1"/>
  <c r="H13" i="1"/>
  <c r="F13" i="1"/>
  <c r="Z12" i="1"/>
  <c r="W12" i="1"/>
  <c r="V12" i="1"/>
  <c r="O12" i="1"/>
  <c r="K12" i="1"/>
  <c r="H12" i="1"/>
  <c r="F12" i="1"/>
  <c r="Z11" i="1"/>
  <c r="V11" i="1"/>
  <c r="O11" i="1"/>
  <c r="K11" i="1"/>
  <c r="H11" i="1"/>
  <c r="F11" i="1"/>
  <c r="Z10" i="1"/>
  <c r="V10" i="1"/>
  <c r="O10" i="1"/>
  <c r="K10" i="1"/>
  <c r="H10" i="1"/>
  <c r="F10" i="1"/>
  <c r="Z9" i="1"/>
  <c r="W9" i="1"/>
  <c r="V9" i="1"/>
  <c r="K9" i="1"/>
  <c r="H9" i="1"/>
  <c r="F9" i="1"/>
  <c r="Z8" i="1"/>
  <c r="V8" i="1"/>
  <c r="W8" i="1"/>
  <c r="O8" i="1"/>
  <c r="K8" i="1"/>
  <c r="H8" i="1"/>
  <c r="F8" i="1"/>
  <c r="Z7" i="1"/>
  <c r="W7" i="1"/>
  <c r="V7" i="1"/>
  <c r="O7" i="1"/>
  <c r="K7" i="1"/>
  <c r="H7" i="1"/>
  <c r="F7" i="1"/>
  <c r="Z6" i="1"/>
  <c r="V6" i="1"/>
  <c r="W6" i="1"/>
  <c r="O6" i="1"/>
  <c r="K6" i="1"/>
  <c r="H6" i="1"/>
  <c r="F6" i="1"/>
  <c r="Z5" i="1"/>
  <c r="O5" i="1"/>
  <c r="K5" i="1"/>
  <c r="H5" i="1"/>
  <c r="F5" i="1"/>
  <c r="Z4" i="1"/>
  <c r="W4" i="1"/>
  <c r="G4" i="1" s="1"/>
  <c r="O4" i="1"/>
  <c r="K4" i="1"/>
  <c r="H4" i="1"/>
  <c r="F4" i="1"/>
  <c r="Z3" i="1"/>
  <c r="O3" i="1"/>
  <c r="K3" i="1"/>
  <c r="H3" i="1"/>
  <c r="F3" i="1"/>
  <c r="G8" i="2" l="1"/>
  <c r="G7" i="1"/>
  <c r="G6" i="1"/>
  <c r="G17" i="1"/>
  <c r="W11" i="1"/>
  <c r="G11" i="1" s="1"/>
  <c r="V21" i="1"/>
  <c r="G21" i="1" s="1"/>
  <c r="W23" i="1"/>
  <c r="G23" i="1" s="1"/>
  <c r="W24" i="1"/>
  <c r="G24" i="1" s="1"/>
  <c r="W22" i="1"/>
  <c r="G22" i="1" s="1"/>
  <c r="V4" i="1"/>
  <c r="W10" i="1"/>
  <c r="G10" i="1" s="1"/>
  <c r="G20" i="1"/>
  <c r="G9" i="1"/>
  <c r="I8" i="2" s="1"/>
  <c r="G19" i="1"/>
  <c r="V25" i="1"/>
  <c r="G25" i="1" s="1"/>
  <c r="G8" i="1"/>
  <c r="V18" i="1"/>
  <c r="G18" i="1" s="1"/>
  <c r="G12" i="1"/>
  <c r="G16" i="1"/>
  <c r="W3" i="1"/>
  <c r="G3" i="1" s="1"/>
  <c r="V3" i="1"/>
  <c r="W14" i="1"/>
  <c r="V14" i="1"/>
  <c r="W5" i="1"/>
  <c r="V5" i="1"/>
  <c r="V13" i="1"/>
  <c r="G13" i="1" s="1"/>
  <c r="V15" i="1"/>
  <c r="G15" i="1" s="1"/>
  <c r="G5" i="1" l="1"/>
  <c r="G14" i="1"/>
</calcChain>
</file>

<file path=xl/sharedStrings.xml><?xml version="1.0" encoding="utf-8"?>
<sst xmlns="http://schemas.openxmlformats.org/spreadsheetml/2006/main" count="268" uniqueCount="129">
  <si>
    <t>Checksheet Section</t>
  </si>
  <si>
    <t>Ngày AP</t>
  </si>
  <si>
    <t>Số phiếu AP</t>
  </si>
  <si>
    <t>Mã Vendor</t>
  </si>
  <si>
    <t>Vendor name</t>
  </si>
  <si>
    <t>Tài khoản có</t>
  </si>
  <si>
    <t>Diễn giải</t>
  </si>
  <si>
    <t>Tỷ giá SAP</t>
  </si>
  <si>
    <t>Tỷ giá</t>
  </si>
  <si>
    <t>Crcy</t>
  </si>
  <si>
    <t>Doc type</t>
  </si>
  <si>
    <t>Payment term</t>
  </si>
  <si>
    <t>Baseline date</t>
  </si>
  <si>
    <t>Day due on</t>
  </si>
  <si>
    <t>Due on</t>
  </si>
  <si>
    <t>Mã Vật tư</t>
  </si>
  <si>
    <t>BS Code</t>
  </si>
  <si>
    <t>Invoice no.</t>
  </si>
  <si>
    <t>Invoice date</t>
  </si>
  <si>
    <t>Budget code</t>
  </si>
  <si>
    <t>PO</t>
  </si>
  <si>
    <t>Số TK</t>
  </si>
  <si>
    <t>Mã kho</t>
  </si>
  <si>
    <t>Q'ty</t>
  </si>
  <si>
    <t>Unit Price</t>
  </si>
  <si>
    <t>Amount</t>
  </si>
  <si>
    <t>PO item no.</t>
  </si>
  <si>
    <t>Status</t>
  </si>
  <si>
    <t>Park no.</t>
  </si>
  <si>
    <t xml:space="preserve">Check Yusen </t>
  </si>
  <si>
    <t>Created by Contemporary</t>
  </si>
  <si>
    <t>GR</t>
  </si>
  <si>
    <t>X</t>
  </si>
  <si>
    <t>USD</t>
  </si>
  <si>
    <t>2F26</t>
  </si>
  <si>
    <t>GIT</t>
  </si>
  <si>
    <t>TB30</t>
  </si>
  <si>
    <t>JPY</t>
  </si>
  <si>
    <t>TS20</t>
  </si>
  <si>
    <t>TB90</t>
  </si>
  <si>
    <t>AP-24-0671</t>
  </si>
  <si>
    <t>V20232A</t>
  </si>
  <si>
    <t>TT18</t>
  </si>
  <si>
    <t>BTMV-20240301</t>
  </si>
  <si>
    <t>AP-24-0725</t>
  </si>
  <si>
    <t>V20026A</t>
  </si>
  <si>
    <t>TT72</t>
  </si>
  <si>
    <t>AP-24-0720</t>
  </si>
  <si>
    <t>AP-24-0810</t>
  </si>
  <si>
    <t>101463A</t>
  </si>
  <si>
    <t>TA62</t>
  </si>
  <si>
    <t>4163186</t>
  </si>
  <si>
    <t>AP-24-0811</t>
  </si>
  <si>
    <t>4163180</t>
  </si>
  <si>
    <t>AP-24-0812</t>
  </si>
  <si>
    <t>TA69</t>
  </si>
  <si>
    <t>4163183</t>
  </si>
  <si>
    <t>AP-24-0730</t>
  </si>
  <si>
    <t>971081A</t>
  </si>
  <si>
    <t>WE24</t>
  </si>
  <si>
    <t>4530006122</t>
  </si>
  <si>
    <t>WE31</t>
  </si>
  <si>
    <t>WE40</t>
  </si>
  <si>
    <t>WF18</t>
  </si>
  <si>
    <t>WF38</t>
  </si>
  <si>
    <t>WM01</t>
  </si>
  <si>
    <t>WN34</t>
  </si>
  <si>
    <t>WN37</t>
  </si>
  <si>
    <t>WN47</t>
  </si>
  <si>
    <t>WN50</t>
  </si>
  <si>
    <t>WN61</t>
  </si>
  <si>
    <t>WN96</t>
  </si>
  <si>
    <t>WS24</t>
  </si>
  <si>
    <t>WS27</t>
  </si>
  <si>
    <t>WP10</t>
  </si>
  <si>
    <t>WK46</t>
  </si>
  <si>
    <t>WN15A</t>
  </si>
  <si>
    <t>d</t>
  </si>
  <si>
    <t>LCY Huizhou Advanced Rubber Corp.</t>
  </si>
  <si>
    <t>BST Elastomers Co.,Ltd</t>
  </si>
  <si>
    <t>Bridgestone Singapore Pte Ltd.</t>
  </si>
  <si>
    <t>Bridgestone Logistics Co., Ltd</t>
  </si>
  <si>
    <t>DMSR000015</t>
  </si>
  <si>
    <t>DMSR000011</t>
  </si>
  <si>
    <t>DMNR000002</t>
  </si>
  <si>
    <t>DMNR000003</t>
  </si>
  <si>
    <t>DMCH000041</t>
  </si>
  <si>
    <t>DMCH000042</t>
  </si>
  <si>
    <t>DMCH000056</t>
  </si>
  <si>
    <t>DMCH000009</t>
  </si>
  <si>
    <t>DMCH000015</t>
  </si>
  <si>
    <t>DMCH000019</t>
  </si>
  <si>
    <t>DMCH000033</t>
  </si>
  <si>
    <t>DMCH000034</t>
  </si>
  <si>
    <t>DMCH000060</t>
  </si>
  <si>
    <t>DMCH000030</t>
  </si>
  <si>
    <t>DMCH000035</t>
  </si>
  <si>
    <t>DMCH000037</t>
  </si>
  <si>
    <t>DMCH000027</t>
  </si>
  <si>
    <t>DMCH000026</t>
  </si>
  <si>
    <t>DMCH000029</t>
  </si>
  <si>
    <t>DMCR000004</t>
  </si>
  <si>
    <t>DM</t>
  </si>
  <si>
    <t>AP number</t>
  </si>
  <si>
    <t>FirstRow</t>
  </si>
  <si>
    <t>LastRow</t>
  </si>
  <si>
    <t>Pst.date</t>
  </si>
  <si>
    <t>Bsl.date</t>
  </si>
  <si>
    <t>Inv.date</t>
  </si>
  <si>
    <t>Ref.</t>
  </si>
  <si>
    <t>TTL Am't</t>
  </si>
  <si>
    <t>Text</t>
  </si>
  <si>
    <t>Row</t>
  </si>
  <si>
    <t>Basic data</t>
  </si>
  <si>
    <t>Doc.type</t>
  </si>
  <si>
    <t>Ex.rate</t>
  </si>
  <si>
    <t>Bus.Area</t>
  </si>
  <si>
    <t>Assigment</t>
  </si>
  <si>
    <t>Header</t>
  </si>
  <si>
    <t>Details</t>
  </si>
  <si>
    <t>Pmt mthd</t>
  </si>
  <si>
    <t>Payment</t>
  </si>
  <si>
    <t>System message</t>
  </si>
  <si>
    <t>Username</t>
  </si>
  <si>
    <t>Password</t>
  </si>
  <si>
    <t>VHACS11</t>
  </si>
  <si>
    <t>Log01283187966@</t>
  </si>
  <si>
    <t>.</t>
  </si>
  <si>
    <t>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</si>
</sst>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#,##0.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8"/>
      <color theme="1"/>
      <name val="Arial"/>
      <family val="2"/>
    </font>
    <font>
      <i/>
      <sz val="9"/>
      <color rgb="FF00B0F0"/>
      <name val="Aptos Narrow"/>
      <family val="2"/>
      <scheme val="minor"/>
    </font>
    <font>
      <b/>
      <sz val="13.5"/>
      <color rgb="FF00008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64" fontId="0" fillId="2" borderId="0" xfId="0" applyNumberFormat="1" applyFill="1"/>
    <xf numFmtId="3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4" fontId="3" fillId="4" borderId="2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7" borderId="0" xfId="0" applyFill="1"/>
    <xf numFmtId="0" fontId="5" fillId="0" borderId="0" xfId="0" applyFont="1"/>
    <xf numFmtId="4" fontId="0" fillId="7" borderId="0" xfId="0" applyNumberFormat="1" applyFill="1"/>
    <xf numFmtId="49" fontId="0" fillId="0" borderId="0" xfId="0" quotePrefix="1" applyNumberFormat="1" applyAlignment="1">
      <alignment horizontal="center" vertical="center"/>
    </xf>
    <xf numFmtId="165" fontId="0" fillId="7" borderId="0" xfId="0" applyNumberFormat="1" applyFill="1"/>
    <xf numFmtId="1" fontId="0" fillId="7" borderId="0" xfId="0" applyNumberFormat="1" applyFill="1"/>
    <xf numFmtId="4" fontId="0" fillId="0" borderId="0" xfId="0" applyNumberFormat="1"/>
    <xf numFmtId="0" fontId="0" fillId="6" borderId="0" xfId="0" applyFill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64" fontId="1" fillId="2" borderId="1" xfId="0" applyNumberFormat="1" applyFont="1" applyFill="1" applyBorder="1" applyAlignment="1"/>
    <xf numFmtId="0" fontId="0" fillId="6" borderId="0" xfId="0" applyFill="1"/>
  </cellXfs>
  <cellStyles count="1">
    <cellStyle name="Normal" xfId="0" builtinId="0"/>
  </cellStyles>
  <dxfs count="2">
    <dxf>
      <fill>
        <patternFill>
          <bgColor theme="6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1</xdr:row>
      <xdr:rowOff>0</xdr:rowOff>
    </xdr:from>
    <xdr:to>
      <xdr:col>4</xdr:col>
      <xdr:colOff>533400</xdr:colOff>
      <xdr:row>3</xdr:row>
      <xdr:rowOff>161925</xdr:rowOff>
    </xdr:to>
    <xdr:sp macro="[0]!testPO" textlink="">
      <xdr:nvSpPr>
        <xdr:cNvPr id="2" name="Oval 1">
          <a:extLst>
            <a:ext uri="{FF2B5EF4-FFF2-40B4-BE49-F238E27FC236}">
              <a16:creationId xmlns:a16="http://schemas.microsoft.com/office/drawing/2014/main" id="{FBEFDBE1-EB8B-33B3-E005-421C479C5078}"/>
            </a:ext>
          </a:extLst>
        </xdr:cNvPr>
        <xdr:cNvSpPr/>
      </xdr:nvSpPr>
      <xdr:spPr>
        <a:xfrm>
          <a:off x="2962275" y="190500"/>
          <a:ext cx="1171575" cy="5429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8556-9C4E-4E0A-817B-1D46C4F1267F}">
  <sheetPr codeName="Sheet4">
    <tabColor rgb="FFFF0000"/>
  </sheetPr>
  <dimension ref="A1:AP1048101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R23" sqref="R23"/>
    </sheetView>
  </sheetViews>
  <sheetFormatPr defaultRowHeight="15" x14ac:dyDescent="0.25"/>
  <cols>
    <col min="1" max="1" width="6.42578125" customWidth="1"/>
    <col min="2" max="2" width="11.140625" style="22" customWidth="1"/>
    <col min="3" max="3" width="15.85546875" style="9" customWidth="1"/>
    <col min="4" max="4" width="11.85546875" customWidth="1"/>
    <col min="5" max="5" width="39.28515625" customWidth="1"/>
    <col min="6" max="6" width="10.28515625" customWidth="1"/>
    <col min="7" max="7" width="34" customWidth="1"/>
    <col min="8" max="8" width="10.42578125" customWidth="1"/>
    <col min="10" max="11" width="9.140625" style="20"/>
    <col min="12" max="12" width="8.42578125" style="20" customWidth="1"/>
    <col min="13" max="13" width="12.28515625" style="23" customWidth="1"/>
    <col min="14" max="14" width="11.28515625" customWidth="1"/>
    <col min="15" max="15" width="13.28515625" customWidth="1"/>
    <col min="16" max="16" width="12.85546875" customWidth="1"/>
    <col min="17" max="17" width="12" customWidth="1"/>
    <col min="18" max="18" width="20.28515625" style="24" customWidth="1"/>
    <col min="19" max="19" width="16" style="22" customWidth="1"/>
    <col min="20" max="20" width="6.42578125" customWidth="1"/>
    <col min="21" max="21" width="17.140625" customWidth="1"/>
    <col min="22" max="22" width="13.85546875" customWidth="1"/>
    <col min="23" max="23" width="9.140625" customWidth="1"/>
    <col min="24" max="24" width="10.140625" style="31" customWidth="1"/>
    <col min="25" max="25" width="9.140625" customWidth="1"/>
    <col min="26" max="26" width="13.28515625" customWidth="1"/>
    <col min="27" max="27" width="9.140625" style="20" customWidth="1"/>
    <col min="28" max="28" width="14.85546875" style="9" customWidth="1"/>
    <col min="29" max="29" width="19.5703125" customWidth="1"/>
    <col min="30" max="31" width="47.5703125" style="9" customWidth="1"/>
    <col min="32" max="32" width="10.140625" style="9" customWidth="1"/>
    <col min="35" max="35" width="11.28515625" customWidth="1"/>
    <col min="37" max="37" width="16.42578125" customWidth="1"/>
  </cols>
  <sheetData>
    <row r="1" spans="1:42" x14ac:dyDescent="0.25">
      <c r="B1" s="40" t="s">
        <v>0</v>
      </c>
      <c r="C1" s="40" t="s">
        <v>127</v>
      </c>
      <c r="D1" s="40"/>
      <c r="E1" s="40"/>
      <c r="F1" s="40"/>
      <c r="G1" s="40"/>
      <c r="H1" s="1"/>
      <c r="I1" s="1"/>
      <c r="J1" s="2"/>
      <c r="K1" s="2"/>
      <c r="L1" s="2"/>
      <c r="M1" s="3"/>
      <c r="N1" s="1"/>
      <c r="O1" s="1"/>
      <c r="P1" s="1"/>
      <c r="Q1" s="1"/>
      <c r="R1" s="4"/>
      <c r="S1" s="5"/>
      <c r="T1" s="1"/>
      <c r="U1" s="1"/>
      <c r="V1" s="1"/>
      <c r="W1" s="1"/>
      <c r="X1" s="6">
        <v>2</v>
      </c>
      <c r="Y1" s="1"/>
      <c r="Z1" s="7">
        <v>1</v>
      </c>
      <c r="AA1" s="2"/>
      <c r="AB1" s="8"/>
      <c r="AC1" s="1"/>
      <c r="AD1" s="8"/>
      <c r="AE1" s="8"/>
    </row>
    <row r="2" spans="1:42" s="20" customFormat="1" ht="33.75" customHeight="1" x14ac:dyDescent="0.2">
      <c r="A2" s="10">
        <v>0</v>
      </c>
      <c r="B2" s="11" t="s">
        <v>1</v>
      </c>
      <c r="C2" s="11" t="s">
        <v>2</v>
      </c>
      <c r="D2" s="11" t="s">
        <v>3</v>
      </c>
      <c r="E2" s="10" t="s">
        <v>4</v>
      </c>
      <c r="F2" s="12" t="s">
        <v>5</v>
      </c>
      <c r="G2" s="10" t="s">
        <v>6</v>
      </c>
      <c r="H2" s="10" t="s">
        <v>7</v>
      </c>
      <c r="I2" s="10" t="s">
        <v>8</v>
      </c>
      <c r="J2" s="11" t="s">
        <v>9</v>
      </c>
      <c r="K2" s="10" t="s">
        <v>10</v>
      </c>
      <c r="L2" s="13" t="s">
        <v>11</v>
      </c>
      <c r="M2" s="11" t="s">
        <v>12</v>
      </c>
      <c r="N2" s="11" t="s">
        <v>13</v>
      </c>
      <c r="O2" s="10" t="s">
        <v>14</v>
      </c>
      <c r="P2" s="10" t="s">
        <v>15</v>
      </c>
      <c r="Q2" s="11" t="s">
        <v>16</v>
      </c>
      <c r="R2" s="14" t="s">
        <v>17</v>
      </c>
      <c r="S2" s="11" t="s">
        <v>18</v>
      </c>
      <c r="T2" s="15" t="s">
        <v>19</v>
      </c>
      <c r="U2" s="11" t="s">
        <v>20</v>
      </c>
      <c r="V2" s="10" t="s">
        <v>21</v>
      </c>
      <c r="W2" s="10" t="s">
        <v>22</v>
      </c>
      <c r="X2" s="16" t="s">
        <v>23</v>
      </c>
      <c r="Y2" s="11" t="s">
        <v>24</v>
      </c>
      <c r="Z2" s="10" t="s">
        <v>25</v>
      </c>
      <c r="AA2" s="13" t="s">
        <v>26</v>
      </c>
      <c r="AB2" s="11" t="s">
        <v>27</v>
      </c>
      <c r="AC2" s="17" t="s">
        <v>28</v>
      </c>
      <c r="AD2" s="11" t="s">
        <v>112</v>
      </c>
      <c r="AE2" s="18" t="s">
        <v>29</v>
      </c>
      <c r="AF2" s="19"/>
      <c r="AP2" s="21" t="s">
        <v>30</v>
      </c>
    </row>
    <row r="3" spans="1:42" s="9" customFormat="1" ht="17.25" x14ac:dyDescent="0.25">
      <c r="A3">
        <f>ROW(C3)</f>
        <v>3</v>
      </c>
      <c r="B3" s="22">
        <v>45382</v>
      </c>
      <c r="C3" s="32" t="s">
        <v>40</v>
      </c>
      <c r="D3" t="s">
        <v>41</v>
      </c>
      <c r="E3" t="s">
        <v>78</v>
      </c>
      <c r="F3">
        <f t="shared" ref="F3:F25" si="0">IF(D3="T3005C0","3338100",+IF(LEFT(C3,2)="AP",IF(J3="VND",33110101,IF(J3="USD",33110102,IF(J3="JPY",33110103,IF(J3="THB",33110104,33110105)))),IF(W3="DM","15110000","15120000")))</f>
        <v>33110102</v>
      </c>
      <c r="G3" t="str">
        <f t="shared" ref="G3:G25" si="1">IF(AB3="GIT","GIT\"&amp;V3&amp;"\"&amp;W3&amp;"-"&amp;Q3&amp;"\Inv."&amp;R3&amp;"\"&amp;U3,IF(AB3="GR","GR\"&amp;W3&amp;"-"&amp;Q3&amp;"\Inv."&amp;R3&amp;"\"&amp;U3,IF(AB3="Envi","Enviroment tax\"&amp;W3&amp;"-"&amp;Q3&amp;"\Inv."&amp;R3&amp;"\"&amp;U3,IF(AB3="DF","Demurage fee\"&amp;V3&amp;"\"&amp;W3&amp;"-"&amp;Q3&amp;"\Inv."&amp;R3&amp;"\"&amp;U3,IF(AB3="FC","Freight charge\"&amp;V3&amp;"\"&amp;W3&amp;"-"&amp;Q3&amp;"\Inv."&amp;R3&amp;"\"&amp;U3,"")))))</f>
        <v>GR\DM-TT18\Inv.BTMV-20240301\4530006188</v>
      </c>
      <c r="H3">
        <f t="shared" ref="H3:H25" si="2">+IF(J3&lt;&gt;"",IF(J3="EUR",I3,IF(OR(J3="JPY",J3="THB"),ROUND(1000/I3,5),IF(J3="VND",ROUND(1000000/I3,5),1))),"")</f>
        <v>1</v>
      </c>
      <c r="I3">
        <v>1</v>
      </c>
      <c r="J3" s="20" t="s">
        <v>33</v>
      </c>
      <c r="K3" s="20" t="str">
        <f t="shared" ref="K3:K5" si="3">+IF(C3="","","RC")</f>
        <v>RC</v>
      </c>
      <c r="L3" s="20" t="s">
        <v>39</v>
      </c>
      <c r="M3" s="23">
        <v>45370</v>
      </c>
      <c r="N3">
        <v>90</v>
      </c>
      <c r="O3" s="22">
        <f t="shared" ref="O3:O25" si="4">IF(AND(M3&lt;&gt;"",N3&lt;&gt;""),M3+N3,IF(AND(M3="",N3=""),"check",DATE(2019,TEXT(MID(B3,4,2),"??")+1,25)))</f>
        <v>45460</v>
      </c>
      <c r="P3" t="s">
        <v>82</v>
      </c>
      <c r="Q3" t="s">
        <v>42</v>
      </c>
      <c r="R3" s="24" t="s">
        <v>43</v>
      </c>
      <c r="S3" s="22">
        <v>45366</v>
      </c>
      <c r="T3"/>
      <c r="U3">
        <v>4530006188</v>
      </c>
      <c r="V3">
        <f t="shared" ref="V3:V25" si="5">+IF(AND(AB3="GIT",LEFT(P3,2)="DM"),15110000,IF(AND(AB3="GIT",LEFT(P3,2)="IM"),15120000,IF(AND(AB3="GR",LEFT(P3,2)="DM"),15210000,IF(AND(AB3="GR",LEFT(P3,2)="IM"),15220000,"Check"))))</f>
        <v>15210000</v>
      </c>
      <c r="W3" t="str">
        <f t="shared" ref="W3:W25" si="6">+LEFT(P3,2)</f>
        <v>DM</v>
      </c>
      <c r="X3" s="27">
        <v>210</v>
      </c>
      <c r="Y3">
        <v>5.2969999999999997</v>
      </c>
      <c r="Z3" s="25">
        <f t="shared" ref="Z3:Z25" si="7">IF(J3="VND",ROUND(X3*Y3,0),IF(J3="USD",ROUND(X3*Y3,2),IF(J3="JPY",ROUND(X3*Y3,0),IF(J3="THB",ROUND(X3*Y3,0),ROUND(X3*Y3,2)))))</f>
        <v>1112.3699999999999</v>
      </c>
      <c r="AA3" s="20">
        <v>10</v>
      </c>
      <c r="AB3" s="9" t="s">
        <v>31</v>
      </c>
      <c r="AC3" s="26" t="s">
        <v>32</v>
      </c>
      <c r="AD3" s="9">
        <f>ROW(C3)</f>
        <v>3</v>
      </c>
      <c r="AE3" s="9" t="e">
        <v>#N/A</v>
      </c>
      <c r="AG3"/>
      <c r="AH3"/>
      <c r="AI3"/>
      <c r="AJ3"/>
      <c r="AK3"/>
      <c r="AL3"/>
      <c r="AM3"/>
      <c r="AN3"/>
      <c r="AO3"/>
      <c r="AP3"/>
    </row>
    <row r="4" spans="1:42" s="9" customFormat="1" ht="17.25" x14ac:dyDescent="0.25">
      <c r="A4">
        <f t="shared" ref="A4:A25" si="8">ROW(C4)</f>
        <v>4</v>
      </c>
      <c r="B4" s="22">
        <v>45382</v>
      </c>
      <c r="C4" s="32" t="s">
        <v>44</v>
      </c>
      <c r="D4" t="s">
        <v>45</v>
      </c>
      <c r="E4" t="s">
        <v>79</v>
      </c>
      <c r="F4">
        <f t="shared" si="0"/>
        <v>33110102</v>
      </c>
      <c r="G4" t="str">
        <f t="shared" si="1"/>
        <v>GR\DM-TT72\Inv.240121\4530006156</v>
      </c>
      <c r="H4">
        <f t="shared" si="2"/>
        <v>1</v>
      </c>
      <c r="I4">
        <v>1</v>
      </c>
      <c r="J4" s="20" t="s">
        <v>33</v>
      </c>
      <c r="K4" s="20" t="str">
        <f t="shared" si="3"/>
        <v>RC</v>
      </c>
      <c r="L4" s="20" t="s">
        <v>36</v>
      </c>
      <c r="M4" s="23">
        <v>45372</v>
      </c>
      <c r="N4">
        <v>30</v>
      </c>
      <c r="O4" s="22">
        <f t="shared" si="4"/>
        <v>45402</v>
      </c>
      <c r="P4" t="s">
        <v>83</v>
      </c>
      <c r="Q4" t="s">
        <v>46</v>
      </c>
      <c r="R4" s="20">
        <v>240121</v>
      </c>
      <c r="S4" s="22">
        <v>45372</v>
      </c>
      <c r="T4"/>
      <c r="U4">
        <v>4530006156</v>
      </c>
      <c r="V4">
        <f t="shared" si="5"/>
        <v>15210000</v>
      </c>
      <c r="W4" t="str">
        <f t="shared" si="6"/>
        <v>DM</v>
      </c>
      <c r="X4" s="27">
        <v>18900</v>
      </c>
      <c r="Y4">
        <v>1.7290000000000001</v>
      </c>
      <c r="Z4" s="25">
        <f t="shared" si="7"/>
        <v>32678.1</v>
      </c>
      <c r="AA4" s="20">
        <v>10</v>
      </c>
      <c r="AB4" s="9" t="s">
        <v>31</v>
      </c>
      <c r="AC4" s="26" t="s">
        <v>32</v>
      </c>
      <c r="AD4" s="9">
        <f t="shared" ref="AD4:AD25" si="9">ROW(C4)</f>
        <v>4</v>
      </c>
      <c r="AE4" s="9" t="b">
        <v>1</v>
      </c>
      <c r="AG4"/>
      <c r="AH4"/>
      <c r="AI4"/>
      <c r="AJ4"/>
      <c r="AK4"/>
      <c r="AL4"/>
      <c r="AM4"/>
      <c r="AN4"/>
      <c r="AO4"/>
      <c r="AP4"/>
    </row>
    <row r="5" spans="1:42" s="9" customFormat="1" ht="17.25" x14ac:dyDescent="0.25">
      <c r="A5">
        <f t="shared" si="8"/>
        <v>5</v>
      </c>
      <c r="B5" s="22">
        <v>45382</v>
      </c>
      <c r="C5" s="32" t="s">
        <v>47</v>
      </c>
      <c r="D5" t="s">
        <v>45</v>
      </c>
      <c r="E5" t="s">
        <v>79</v>
      </c>
      <c r="F5">
        <f t="shared" si="0"/>
        <v>33110102</v>
      </c>
      <c r="G5" t="str">
        <f t="shared" si="1"/>
        <v>GIT\15110000\DM-TT72\Inv.240122\4530006156</v>
      </c>
      <c r="H5">
        <f t="shared" si="2"/>
        <v>1</v>
      </c>
      <c r="I5">
        <v>1</v>
      </c>
      <c r="J5" s="20" t="s">
        <v>33</v>
      </c>
      <c r="K5" s="20" t="str">
        <f t="shared" si="3"/>
        <v>RC</v>
      </c>
      <c r="L5" s="20" t="s">
        <v>36</v>
      </c>
      <c r="M5" s="23">
        <v>45377</v>
      </c>
      <c r="N5">
        <v>30</v>
      </c>
      <c r="O5" s="22">
        <f t="shared" si="4"/>
        <v>45407</v>
      </c>
      <c r="P5" t="s">
        <v>83</v>
      </c>
      <c r="Q5" t="s">
        <v>46</v>
      </c>
      <c r="R5" s="20">
        <v>240122</v>
      </c>
      <c r="S5" s="22">
        <v>45377</v>
      </c>
      <c r="T5"/>
      <c r="U5">
        <v>4530006156</v>
      </c>
      <c r="V5">
        <f t="shared" si="5"/>
        <v>15110000</v>
      </c>
      <c r="W5" t="str">
        <f t="shared" si="6"/>
        <v>DM</v>
      </c>
      <c r="X5" s="27">
        <v>18900</v>
      </c>
      <c r="Y5">
        <v>1.7290000000000001</v>
      </c>
      <c r="Z5" s="25">
        <f t="shared" si="7"/>
        <v>32678.1</v>
      </c>
      <c r="AA5" s="20">
        <v>20</v>
      </c>
      <c r="AB5" s="9" t="s">
        <v>35</v>
      </c>
      <c r="AC5" s="26" t="s">
        <v>32</v>
      </c>
      <c r="AD5" s="9">
        <f t="shared" si="9"/>
        <v>5</v>
      </c>
      <c r="AE5" s="9" t="e">
        <v>#N/A</v>
      </c>
      <c r="AG5"/>
      <c r="AH5"/>
      <c r="AI5"/>
      <c r="AJ5"/>
      <c r="AK5"/>
      <c r="AL5"/>
      <c r="AM5"/>
      <c r="AN5"/>
      <c r="AO5"/>
      <c r="AP5"/>
    </row>
    <row r="6" spans="1:42" s="9" customFormat="1" ht="17.25" x14ac:dyDescent="0.25">
      <c r="A6">
        <f t="shared" si="8"/>
        <v>6</v>
      </c>
      <c r="B6" s="22">
        <v>45382</v>
      </c>
      <c r="C6" s="32" t="s">
        <v>48</v>
      </c>
      <c r="D6" t="s">
        <v>49</v>
      </c>
      <c r="E6" t="s">
        <v>80</v>
      </c>
      <c r="F6">
        <f t="shared" si="0"/>
        <v>33110102</v>
      </c>
      <c r="G6" t="str">
        <f t="shared" si="1"/>
        <v>GIT\15110000\DM-TA62\Inv.4163186\4530006026</v>
      </c>
      <c r="H6">
        <f t="shared" si="2"/>
        <v>1</v>
      </c>
      <c r="I6">
        <v>1</v>
      </c>
      <c r="J6" s="20" t="s">
        <v>33</v>
      </c>
      <c r="K6" s="20" t="str">
        <f t="shared" ref="K6:K25" si="10">+IF(C6="","","RC")</f>
        <v>RC</v>
      </c>
      <c r="L6" s="20" t="s">
        <v>34</v>
      </c>
      <c r="M6" s="23">
        <v>45377</v>
      </c>
      <c r="N6"/>
      <c r="O6" s="22">
        <f t="shared" si="4"/>
        <v>45986</v>
      </c>
      <c r="P6" t="s">
        <v>84</v>
      </c>
      <c r="Q6" t="s">
        <v>50</v>
      </c>
      <c r="R6" s="28" t="s">
        <v>51</v>
      </c>
      <c r="S6" s="22">
        <v>45377</v>
      </c>
      <c r="T6"/>
      <c r="U6">
        <v>4530006026</v>
      </c>
      <c r="V6">
        <f t="shared" si="5"/>
        <v>15110000</v>
      </c>
      <c r="W6" t="str">
        <f t="shared" si="6"/>
        <v>DM</v>
      </c>
      <c r="X6" s="27">
        <v>56700</v>
      </c>
      <c r="Y6">
        <v>1.7679</v>
      </c>
      <c r="Z6" s="25">
        <f t="shared" si="7"/>
        <v>100239.93</v>
      </c>
      <c r="AA6" s="20">
        <v>10</v>
      </c>
      <c r="AB6" s="9" t="s">
        <v>35</v>
      </c>
      <c r="AC6" s="26"/>
      <c r="AD6" s="9">
        <f t="shared" si="9"/>
        <v>6</v>
      </c>
      <c r="AE6" s="9" t="e">
        <v>#N/A</v>
      </c>
      <c r="AG6"/>
      <c r="AH6"/>
      <c r="AI6"/>
      <c r="AJ6"/>
      <c r="AK6"/>
      <c r="AL6"/>
      <c r="AM6"/>
      <c r="AN6"/>
      <c r="AO6"/>
      <c r="AP6"/>
    </row>
    <row r="7" spans="1:42" s="9" customFormat="1" ht="17.25" x14ac:dyDescent="0.25">
      <c r="A7">
        <f t="shared" si="8"/>
        <v>7</v>
      </c>
      <c r="B7" s="22">
        <v>45382</v>
      </c>
      <c r="C7" s="32" t="s">
        <v>52</v>
      </c>
      <c r="D7" t="s">
        <v>49</v>
      </c>
      <c r="E7" t="s">
        <v>80</v>
      </c>
      <c r="F7">
        <f t="shared" si="0"/>
        <v>33110102</v>
      </c>
      <c r="G7" t="str">
        <f t="shared" si="1"/>
        <v>GIT\15110000\DM-TA62\Inv.4163180\4530006027</v>
      </c>
      <c r="H7">
        <f t="shared" si="2"/>
        <v>1</v>
      </c>
      <c r="I7">
        <v>1</v>
      </c>
      <c r="J7" s="20" t="s">
        <v>33</v>
      </c>
      <c r="K7" s="20" t="str">
        <f t="shared" si="10"/>
        <v>RC</v>
      </c>
      <c r="L7" s="20" t="s">
        <v>34</v>
      </c>
      <c r="M7" s="23">
        <v>45380</v>
      </c>
      <c r="N7"/>
      <c r="O7" s="22">
        <f t="shared" si="4"/>
        <v>45986</v>
      </c>
      <c r="P7" t="s">
        <v>84</v>
      </c>
      <c r="Q7" t="s">
        <v>50</v>
      </c>
      <c r="R7" s="28" t="s">
        <v>53</v>
      </c>
      <c r="S7" s="22">
        <v>45380</v>
      </c>
      <c r="T7"/>
      <c r="U7">
        <v>4530006027</v>
      </c>
      <c r="V7">
        <f t="shared" si="5"/>
        <v>15110000</v>
      </c>
      <c r="W7" t="str">
        <f t="shared" si="6"/>
        <v>DM</v>
      </c>
      <c r="X7" s="27">
        <v>56700</v>
      </c>
      <c r="Y7">
        <v>1.7699</v>
      </c>
      <c r="Z7" s="25">
        <f t="shared" si="7"/>
        <v>100353.33</v>
      </c>
      <c r="AA7" s="20">
        <v>10</v>
      </c>
      <c r="AB7" s="9" t="s">
        <v>35</v>
      </c>
      <c r="AC7" s="26"/>
      <c r="AD7" s="9">
        <f t="shared" si="9"/>
        <v>7</v>
      </c>
      <c r="AE7" s="9" t="e">
        <v>#N/A</v>
      </c>
      <c r="AG7"/>
      <c r="AH7"/>
      <c r="AI7"/>
      <c r="AJ7"/>
      <c r="AK7"/>
      <c r="AL7"/>
      <c r="AM7"/>
      <c r="AN7"/>
      <c r="AO7"/>
      <c r="AP7"/>
    </row>
    <row r="8" spans="1:42" s="9" customFormat="1" ht="17.25" x14ac:dyDescent="0.25">
      <c r="A8">
        <f t="shared" si="8"/>
        <v>8</v>
      </c>
      <c r="B8" s="22">
        <v>45382</v>
      </c>
      <c r="C8" s="32" t="s">
        <v>54</v>
      </c>
      <c r="D8" t="s">
        <v>49</v>
      </c>
      <c r="E8" t="s">
        <v>80</v>
      </c>
      <c r="F8">
        <f t="shared" si="0"/>
        <v>33110102</v>
      </c>
      <c r="G8" t="str">
        <f t="shared" si="1"/>
        <v>GIT\15110000\DM-TA69\Inv.4163183\4530006028</v>
      </c>
      <c r="H8">
        <f t="shared" si="2"/>
        <v>1</v>
      </c>
      <c r="I8">
        <v>1</v>
      </c>
      <c r="J8" s="20" t="s">
        <v>33</v>
      </c>
      <c r="K8" s="20" t="str">
        <f t="shared" si="10"/>
        <v>RC</v>
      </c>
      <c r="L8" s="20" t="s">
        <v>34</v>
      </c>
      <c r="M8" s="23">
        <v>45377</v>
      </c>
      <c r="N8"/>
      <c r="O8" s="22">
        <f t="shared" si="4"/>
        <v>45986</v>
      </c>
      <c r="P8" t="s">
        <v>85</v>
      </c>
      <c r="Q8" t="s">
        <v>55</v>
      </c>
      <c r="R8" s="24" t="s">
        <v>56</v>
      </c>
      <c r="S8" s="22">
        <v>45377</v>
      </c>
      <c r="T8"/>
      <c r="U8">
        <v>4530006028</v>
      </c>
      <c r="V8">
        <f t="shared" si="5"/>
        <v>15110000</v>
      </c>
      <c r="W8" t="str">
        <f t="shared" si="6"/>
        <v>DM</v>
      </c>
      <c r="X8" s="27">
        <v>37800</v>
      </c>
      <c r="Y8">
        <v>1.7274</v>
      </c>
      <c r="Z8" s="25">
        <f t="shared" si="7"/>
        <v>65295.72</v>
      </c>
      <c r="AA8" s="20">
        <v>10</v>
      </c>
      <c r="AB8" s="9" t="s">
        <v>35</v>
      </c>
      <c r="AC8" s="26"/>
      <c r="AD8" s="9">
        <f t="shared" si="9"/>
        <v>8</v>
      </c>
      <c r="AE8" s="9" t="e">
        <v>#N/A</v>
      </c>
      <c r="AG8"/>
      <c r="AH8"/>
      <c r="AI8"/>
      <c r="AJ8"/>
      <c r="AK8"/>
      <c r="AL8"/>
      <c r="AM8"/>
      <c r="AN8"/>
      <c r="AO8"/>
      <c r="AP8"/>
    </row>
    <row r="9" spans="1:42" s="9" customFormat="1" ht="17.25" x14ac:dyDescent="0.25">
      <c r="A9">
        <f t="shared" si="8"/>
        <v>9</v>
      </c>
      <c r="B9" s="22">
        <v>45382</v>
      </c>
      <c r="C9" s="32" t="s">
        <v>57</v>
      </c>
      <c r="D9" t="s">
        <v>58</v>
      </c>
      <c r="E9" t="s">
        <v>81</v>
      </c>
      <c r="F9">
        <f t="shared" si="0"/>
        <v>33110103</v>
      </c>
      <c r="G9" t="str">
        <f t="shared" si="1"/>
        <v>GIT\15110000\DM-WE24\Inv.4530006122\4530006122</v>
      </c>
      <c r="H9">
        <f t="shared" si="2"/>
        <v>6.6427500000000004</v>
      </c>
      <c r="I9">
        <v>150.54</v>
      </c>
      <c r="J9" s="20" t="s">
        <v>37</v>
      </c>
      <c r="K9" s="20" t="str">
        <f t="shared" si="10"/>
        <v>RC</v>
      </c>
      <c r="L9" s="20" t="s">
        <v>38</v>
      </c>
      <c r="M9" s="23">
        <v>45374</v>
      </c>
      <c r="N9"/>
      <c r="O9" s="22">
        <v>45432</v>
      </c>
      <c r="P9" t="s">
        <v>86</v>
      </c>
      <c r="Q9" t="s">
        <v>59</v>
      </c>
      <c r="R9" s="24" t="s">
        <v>60</v>
      </c>
      <c r="S9" s="22">
        <v>45352</v>
      </c>
      <c r="T9"/>
      <c r="U9">
        <v>4530006122</v>
      </c>
      <c r="V9">
        <f t="shared" si="5"/>
        <v>15110000</v>
      </c>
      <c r="W9" t="str">
        <f t="shared" si="6"/>
        <v>DM</v>
      </c>
      <c r="X9" s="27">
        <v>4500</v>
      </c>
      <c r="Y9">
        <v>191</v>
      </c>
      <c r="Z9" s="25">
        <f t="shared" si="7"/>
        <v>859500</v>
      </c>
      <c r="AA9" s="20">
        <v>10</v>
      </c>
      <c r="AB9" s="9" t="s">
        <v>35</v>
      </c>
      <c r="AC9" s="26"/>
      <c r="AD9" s="9">
        <f t="shared" si="9"/>
        <v>9</v>
      </c>
      <c r="AE9" s="9" t="e">
        <v>#N/A</v>
      </c>
      <c r="AG9"/>
      <c r="AH9"/>
      <c r="AI9"/>
      <c r="AJ9"/>
      <c r="AK9"/>
      <c r="AL9"/>
      <c r="AM9"/>
      <c r="AN9"/>
      <c r="AO9"/>
      <c r="AP9"/>
    </row>
    <row r="10" spans="1:42" s="9" customFormat="1" ht="17.25" x14ac:dyDescent="0.25">
      <c r="A10">
        <f t="shared" si="8"/>
        <v>10</v>
      </c>
      <c r="B10" s="22">
        <v>45382</v>
      </c>
      <c r="C10" s="32" t="s">
        <v>57</v>
      </c>
      <c r="D10" t="s">
        <v>58</v>
      </c>
      <c r="E10" t="s">
        <v>81</v>
      </c>
      <c r="F10">
        <f t="shared" si="0"/>
        <v>33110103</v>
      </c>
      <c r="G10" t="str">
        <f t="shared" si="1"/>
        <v>GIT\15110000\DM-WE31\Inv.4530006122\4530006122</v>
      </c>
      <c r="H10">
        <f t="shared" si="2"/>
        <v>6.6427500000000004</v>
      </c>
      <c r="I10">
        <v>150.54</v>
      </c>
      <c r="J10" s="20" t="s">
        <v>37</v>
      </c>
      <c r="K10" s="20" t="str">
        <f t="shared" si="10"/>
        <v>RC</v>
      </c>
      <c r="L10" s="20" t="s">
        <v>38</v>
      </c>
      <c r="M10" s="23">
        <v>45374</v>
      </c>
      <c r="N10"/>
      <c r="O10" s="22">
        <f t="shared" si="4"/>
        <v>45986</v>
      </c>
      <c r="P10" t="s">
        <v>87</v>
      </c>
      <c r="Q10" t="s">
        <v>61</v>
      </c>
      <c r="R10" s="24" t="s">
        <v>60</v>
      </c>
      <c r="S10" s="22">
        <v>45352</v>
      </c>
      <c r="T10"/>
      <c r="U10">
        <v>4530006122</v>
      </c>
      <c r="V10">
        <f t="shared" si="5"/>
        <v>15110000</v>
      </c>
      <c r="W10" t="str">
        <f t="shared" si="6"/>
        <v>DM</v>
      </c>
      <c r="X10" s="27">
        <v>500</v>
      </c>
      <c r="Y10">
        <v>185</v>
      </c>
      <c r="Z10" s="30">
        <f t="shared" si="7"/>
        <v>92500</v>
      </c>
      <c r="AA10" s="20">
        <v>20</v>
      </c>
      <c r="AB10" s="9" t="s">
        <v>35</v>
      </c>
      <c r="AC10" s="26"/>
      <c r="AD10" s="9">
        <f t="shared" si="9"/>
        <v>10</v>
      </c>
      <c r="AE10" s="9" t="e">
        <v>#N/A</v>
      </c>
      <c r="AG10"/>
      <c r="AH10"/>
      <c r="AI10"/>
      <c r="AJ10"/>
      <c r="AK10"/>
      <c r="AL10"/>
      <c r="AM10"/>
      <c r="AN10"/>
      <c r="AO10"/>
      <c r="AP10"/>
    </row>
    <row r="11" spans="1:42" s="9" customFormat="1" ht="17.25" x14ac:dyDescent="0.25">
      <c r="A11">
        <f t="shared" si="8"/>
        <v>11</v>
      </c>
      <c r="B11" s="22">
        <v>45382</v>
      </c>
      <c r="C11" s="32" t="s">
        <v>57</v>
      </c>
      <c r="D11" t="s">
        <v>58</v>
      </c>
      <c r="E11" t="s">
        <v>81</v>
      </c>
      <c r="F11">
        <f t="shared" si="0"/>
        <v>33110103</v>
      </c>
      <c r="G11" t="str">
        <f t="shared" si="1"/>
        <v>GIT\15110000\DM-WE40\Inv.4530006122\4530006122</v>
      </c>
      <c r="H11">
        <f t="shared" si="2"/>
        <v>6.6427500000000004</v>
      </c>
      <c r="I11">
        <v>150.54</v>
      </c>
      <c r="J11" s="20" t="s">
        <v>37</v>
      </c>
      <c r="K11" s="20" t="str">
        <f t="shared" si="10"/>
        <v>RC</v>
      </c>
      <c r="L11" s="20" t="s">
        <v>38</v>
      </c>
      <c r="M11" s="23">
        <v>45374</v>
      </c>
      <c r="N11"/>
      <c r="O11" s="22">
        <f t="shared" si="4"/>
        <v>45986</v>
      </c>
      <c r="P11" t="s">
        <v>88</v>
      </c>
      <c r="Q11" t="s">
        <v>62</v>
      </c>
      <c r="R11" s="24" t="s">
        <v>60</v>
      </c>
      <c r="S11" s="22">
        <v>45352</v>
      </c>
      <c r="T11"/>
      <c r="U11">
        <v>4530006122</v>
      </c>
      <c r="V11">
        <f t="shared" si="5"/>
        <v>15110000</v>
      </c>
      <c r="W11" t="str">
        <f t="shared" si="6"/>
        <v>DM</v>
      </c>
      <c r="X11" s="27">
        <v>750</v>
      </c>
      <c r="Y11">
        <v>1307</v>
      </c>
      <c r="Z11" s="25">
        <f>IF(J11="VND",ROUND(X11*Y11,0),IF(J11="USD",ROUND(X11*Y11,2),IF(J11="JPY",ROUND(X11*Y11,0),IF(J11="THB",ROUND(X11*Y11,0),ROUND(X11*Y11,2)))))</f>
        <v>980250</v>
      </c>
      <c r="AA11" s="20">
        <v>30</v>
      </c>
      <c r="AB11" s="9" t="s">
        <v>35</v>
      </c>
      <c r="AC11" s="26"/>
      <c r="AD11" s="9">
        <f t="shared" si="9"/>
        <v>11</v>
      </c>
      <c r="AE11" s="9" t="e">
        <v>#N/A</v>
      </c>
      <c r="AG11"/>
      <c r="AH11"/>
      <c r="AI11"/>
      <c r="AJ11"/>
      <c r="AK11"/>
      <c r="AL11"/>
      <c r="AM11"/>
      <c r="AN11"/>
      <c r="AO11"/>
      <c r="AP11"/>
    </row>
    <row r="12" spans="1:42" s="9" customFormat="1" ht="17.25" x14ac:dyDescent="0.25">
      <c r="A12">
        <f t="shared" si="8"/>
        <v>12</v>
      </c>
      <c r="B12" s="22">
        <v>45382</v>
      </c>
      <c r="C12" s="32" t="s">
        <v>57</v>
      </c>
      <c r="D12" t="s">
        <v>58</v>
      </c>
      <c r="E12" t="s">
        <v>81</v>
      </c>
      <c r="F12">
        <f t="shared" si="0"/>
        <v>33110103</v>
      </c>
      <c r="G12" t="str">
        <f t="shared" si="1"/>
        <v>GIT\15110000\DM-WF18\Inv.4530006122\4530006122</v>
      </c>
      <c r="H12">
        <f t="shared" si="2"/>
        <v>6.6427500000000004</v>
      </c>
      <c r="I12">
        <v>150.54</v>
      </c>
      <c r="J12" s="20" t="s">
        <v>37</v>
      </c>
      <c r="K12" s="20" t="str">
        <f t="shared" si="10"/>
        <v>RC</v>
      </c>
      <c r="L12" s="20" t="s">
        <v>38</v>
      </c>
      <c r="M12" s="23">
        <v>45374</v>
      </c>
      <c r="N12"/>
      <c r="O12" s="22">
        <f t="shared" si="4"/>
        <v>45986</v>
      </c>
      <c r="P12" t="s">
        <v>89</v>
      </c>
      <c r="Q12" t="s">
        <v>63</v>
      </c>
      <c r="R12" s="24" t="s">
        <v>60</v>
      </c>
      <c r="S12" s="22">
        <v>45352</v>
      </c>
      <c r="T12"/>
      <c r="U12">
        <v>4530006122</v>
      </c>
      <c r="V12">
        <f t="shared" si="5"/>
        <v>15110000</v>
      </c>
      <c r="W12" t="str">
        <f t="shared" si="6"/>
        <v>DM</v>
      </c>
      <c r="X12" s="27">
        <v>600</v>
      </c>
      <c r="Y12">
        <v>657</v>
      </c>
      <c r="Z12" s="25">
        <f t="shared" ref="Z12:Z23" si="11">IF(J12="VND",ROUND(X12*Y12,0),IF(J12="USD",ROUND(X12*Y12,2),IF(J12="JPY",ROUND(X12*Y12,0),IF(J12="THB",ROUND(X12*Y12,0),ROUND(X12*Y12,2)))))</f>
        <v>394200</v>
      </c>
      <c r="AA12" s="20">
        <v>40</v>
      </c>
      <c r="AB12" s="9" t="s">
        <v>35</v>
      </c>
      <c r="AC12" s="26"/>
      <c r="AD12" s="9">
        <f t="shared" si="9"/>
        <v>12</v>
      </c>
      <c r="AE12" s="9" t="e">
        <v>#N/A</v>
      </c>
      <c r="AG12"/>
      <c r="AH12"/>
      <c r="AI12"/>
      <c r="AJ12"/>
      <c r="AK12"/>
      <c r="AL12"/>
      <c r="AM12"/>
      <c r="AN12"/>
      <c r="AO12"/>
      <c r="AP12"/>
    </row>
    <row r="13" spans="1:42" s="9" customFormat="1" ht="17.25" x14ac:dyDescent="0.25">
      <c r="A13">
        <f t="shared" si="8"/>
        <v>13</v>
      </c>
      <c r="B13" s="22">
        <v>45382</v>
      </c>
      <c r="C13" s="32" t="s">
        <v>57</v>
      </c>
      <c r="D13" t="s">
        <v>58</v>
      </c>
      <c r="E13" t="s">
        <v>81</v>
      </c>
      <c r="F13">
        <f t="shared" si="0"/>
        <v>33110103</v>
      </c>
      <c r="G13" t="str">
        <f t="shared" si="1"/>
        <v>GIT\15110000\DM-WF38\Inv.4530006122\4530006122</v>
      </c>
      <c r="H13">
        <f t="shared" si="2"/>
        <v>6.6427500000000004</v>
      </c>
      <c r="I13">
        <v>150.54</v>
      </c>
      <c r="J13" s="20" t="s">
        <v>37</v>
      </c>
      <c r="K13" s="20" t="str">
        <f t="shared" si="10"/>
        <v>RC</v>
      </c>
      <c r="L13" s="20" t="s">
        <v>38</v>
      </c>
      <c r="M13" s="23">
        <v>45374</v>
      </c>
      <c r="N13"/>
      <c r="O13" s="22">
        <f t="shared" si="4"/>
        <v>45986</v>
      </c>
      <c r="P13" t="s">
        <v>90</v>
      </c>
      <c r="Q13" t="s">
        <v>64</v>
      </c>
      <c r="R13" s="24" t="s">
        <v>60</v>
      </c>
      <c r="S13" s="22">
        <v>45352</v>
      </c>
      <c r="T13"/>
      <c r="U13">
        <v>4530006122</v>
      </c>
      <c r="V13">
        <f t="shared" si="5"/>
        <v>15110000</v>
      </c>
      <c r="W13" t="str">
        <f t="shared" si="6"/>
        <v>DM</v>
      </c>
      <c r="X13" s="27">
        <v>40</v>
      </c>
      <c r="Y13">
        <v>752</v>
      </c>
      <c r="Z13" s="25">
        <f t="shared" si="11"/>
        <v>30080</v>
      </c>
      <c r="AA13" s="20">
        <v>50</v>
      </c>
      <c r="AB13" s="9" t="s">
        <v>35</v>
      </c>
      <c r="AC13" s="26"/>
      <c r="AD13" s="9">
        <f t="shared" si="9"/>
        <v>13</v>
      </c>
      <c r="AE13" s="9" t="e">
        <v>#N/A</v>
      </c>
      <c r="AG13"/>
      <c r="AH13"/>
      <c r="AI13"/>
      <c r="AJ13"/>
      <c r="AK13"/>
      <c r="AL13"/>
      <c r="AM13"/>
      <c r="AN13"/>
      <c r="AO13"/>
      <c r="AP13"/>
    </row>
    <row r="14" spans="1:42" s="9" customFormat="1" ht="17.25" x14ac:dyDescent="0.25">
      <c r="A14">
        <f t="shared" si="8"/>
        <v>14</v>
      </c>
      <c r="B14" s="22">
        <v>45382</v>
      </c>
      <c r="C14" s="32" t="s">
        <v>57</v>
      </c>
      <c r="D14" t="s">
        <v>58</v>
      </c>
      <c r="E14" t="s">
        <v>81</v>
      </c>
      <c r="F14">
        <f t="shared" si="0"/>
        <v>33110103</v>
      </c>
      <c r="G14" t="str">
        <f t="shared" si="1"/>
        <v>GIT\15110000\DM-WM01\Inv.4530006122\4530006122</v>
      </c>
      <c r="H14">
        <f t="shared" si="2"/>
        <v>6.6427500000000004</v>
      </c>
      <c r="I14">
        <v>150.54</v>
      </c>
      <c r="J14" s="20" t="s">
        <v>37</v>
      </c>
      <c r="K14" s="20" t="str">
        <f t="shared" si="10"/>
        <v>RC</v>
      </c>
      <c r="L14" s="20" t="s">
        <v>38</v>
      </c>
      <c r="M14" s="23">
        <v>45374</v>
      </c>
      <c r="N14"/>
      <c r="O14" s="22">
        <f t="shared" si="4"/>
        <v>45986</v>
      </c>
      <c r="P14" t="s">
        <v>91</v>
      </c>
      <c r="Q14" t="s">
        <v>65</v>
      </c>
      <c r="R14" s="24" t="s">
        <v>60</v>
      </c>
      <c r="S14" s="22">
        <v>45352</v>
      </c>
      <c r="T14"/>
      <c r="U14">
        <v>4530006122</v>
      </c>
      <c r="V14">
        <f t="shared" si="5"/>
        <v>15110000</v>
      </c>
      <c r="W14" t="str">
        <f t="shared" si="6"/>
        <v>DM</v>
      </c>
      <c r="X14" s="27">
        <v>1680</v>
      </c>
      <c r="Y14">
        <v>581</v>
      </c>
      <c r="Z14" s="25">
        <f t="shared" si="11"/>
        <v>976080</v>
      </c>
      <c r="AA14" s="20">
        <v>60</v>
      </c>
      <c r="AB14" s="9" t="s">
        <v>35</v>
      </c>
      <c r="AC14" s="26"/>
      <c r="AD14" s="9">
        <f t="shared" si="9"/>
        <v>14</v>
      </c>
      <c r="AE14" s="9" t="e">
        <v>#N/A</v>
      </c>
      <c r="AG14"/>
      <c r="AH14"/>
      <c r="AI14"/>
      <c r="AJ14"/>
      <c r="AK14"/>
      <c r="AL14"/>
      <c r="AM14"/>
      <c r="AN14"/>
      <c r="AO14"/>
      <c r="AP14"/>
    </row>
    <row r="15" spans="1:42" s="9" customFormat="1" ht="17.25" x14ac:dyDescent="0.25">
      <c r="A15">
        <f t="shared" si="8"/>
        <v>15</v>
      </c>
      <c r="B15" s="22">
        <v>45382</v>
      </c>
      <c r="C15" s="32" t="s">
        <v>57</v>
      </c>
      <c r="D15" t="s">
        <v>58</v>
      </c>
      <c r="E15" t="s">
        <v>81</v>
      </c>
      <c r="F15">
        <f t="shared" si="0"/>
        <v>33110103</v>
      </c>
      <c r="G15" t="str">
        <f t="shared" si="1"/>
        <v>GIT\15110000\DM-WN34\Inv.4530006122\4530006122</v>
      </c>
      <c r="H15">
        <f t="shared" si="2"/>
        <v>6.6427500000000004</v>
      </c>
      <c r="I15">
        <v>150.54</v>
      </c>
      <c r="J15" s="20" t="s">
        <v>37</v>
      </c>
      <c r="K15" s="20" t="str">
        <f t="shared" si="10"/>
        <v>RC</v>
      </c>
      <c r="L15" s="20" t="s">
        <v>38</v>
      </c>
      <c r="M15" s="23">
        <v>45374</v>
      </c>
      <c r="N15"/>
      <c r="O15" s="22">
        <f t="shared" si="4"/>
        <v>45986</v>
      </c>
      <c r="P15" t="s">
        <v>92</v>
      </c>
      <c r="Q15" t="s">
        <v>66</v>
      </c>
      <c r="R15" s="24" t="s">
        <v>60</v>
      </c>
      <c r="S15" s="22">
        <v>45352</v>
      </c>
      <c r="T15"/>
      <c r="U15">
        <v>4530006122</v>
      </c>
      <c r="V15">
        <f t="shared" si="5"/>
        <v>15110000</v>
      </c>
      <c r="W15" t="str">
        <f t="shared" si="6"/>
        <v>DM</v>
      </c>
      <c r="X15" s="27">
        <v>1400</v>
      </c>
      <c r="Y15">
        <v>655</v>
      </c>
      <c r="Z15" s="25">
        <f t="shared" si="11"/>
        <v>917000</v>
      </c>
      <c r="AA15" s="20">
        <v>70</v>
      </c>
      <c r="AB15" s="9" t="s">
        <v>35</v>
      </c>
      <c r="AC15" s="26"/>
      <c r="AD15" s="9">
        <f t="shared" si="9"/>
        <v>15</v>
      </c>
      <c r="AE15" s="9" t="e">
        <v>#N/A</v>
      </c>
      <c r="AG15"/>
      <c r="AH15"/>
      <c r="AI15"/>
      <c r="AJ15"/>
      <c r="AK15"/>
      <c r="AL15"/>
      <c r="AM15"/>
      <c r="AN15"/>
      <c r="AO15"/>
      <c r="AP15"/>
    </row>
    <row r="16" spans="1:42" s="9" customFormat="1" ht="17.25" x14ac:dyDescent="0.25">
      <c r="A16">
        <f t="shared" si="8"/>
        <v>16</v>
      </c>
      <c r="B16" s="22">
        <v>45382</v>
      </c>
      <c r="C16" s="32" t="s">
        <v>57</v>
      </c>
      <c r="D16" t="s">
        <v>58</v>
      </c>
      <c r="E16" t="s">
        <v>81</v>
      </c>
      <c r="F16">
        <f t="shared" si="0"/>
        <v>33110103</v>
      </c>
      <c r="G16" t="str">
        <f t="shared" si="1"/>
        <v>GIT\15110000\DM-WN37\Inv.4530006122\4530006122</v>
      </c>
      <c r="H16">
        <f t="shared" si="2"/>
        <v>6.6427500000000004</v>
      </c>
      <c r="I16">
        <v>150.54</v>
      </c>
      <c r="J16" s="20" t="s">
        <v>37</v>
      </c>
      <c r="K16" s="20" t="str">
        <f t="shared" si="10"/>
        <v>RC</v>
      </c>
      <c r="L16" s="20" t="s">
        <v>38</v>
      </c>
      <c r="M16" s="23">
        <v>45374</v>
      </c>
      <c r="N16"/>
      <c r="O16" s="22">
        <f t="shared" si="4"/>
        <v>45986</v>
      </c>
      <c r="P16" t="s">
        <v>93</v>
      </c>
      <c r="Q16" t="s">
        <v>67</v>
      </c>
      <c r="R16" s="24" t="s">
        <v>60</v>
      </c>
      <c r="S16" s="22">
        <v>45352</v>
      </c>
      <c r="T16"/>
      <c r="U16">
        <v>4530006122</v>
      </c>
      <c r="V16">
        <f t="shared" si="5"/>
        <v>15110000</v>
      </c>
      <c r="W16" t="str">
        <f t="shared" si="6"/>
        <v>DM</v>
      </c>
      <c r="X16" s="29">
        <v>1250</v>
      </c>
      <c r="Y16">
        <v>337.5</v>
      </c>
      <c r="Z16" s="25">
        <f t="shared" si="11"/>
        <v>421875</v>
      </c>
      <c r="AA16" s="20">
        <v>80</v>
      </c>
      <c r="AB16" s="9" t="s">
        <v>35</v>
      </c>
      <c r="AC16" s="26"/>
      <c r="AD16" s="9">
        <f t="shared" si="9"/>
        <v>16</v>
      </c>
      <c r="AE16" s="9" t="e">
        <v>#N/A</v>
      </c>
      <c r="AG16"/>
      <c r="AH16"/>
      <c r="AI16"/>
      <c r="AJ16"/>
      <c r="AK16"/>
      <c r="AL16"/>
      <c r="AM16"/>
      <c r="AN16"/>
      <c r="AO16"/>
      <c r="AP16"/>
    </row>
    <row r="17" spans="1:42" s="9" customFormat="1" ht="17.25" x14ac:dyDescent="0.25">
      <c r="A17">
        <f t="shared" si="8"/>
        <v>17</v>
      </c>
      <c r="B17" s="22">
        <v>45382</v>
      </c>
      <c r="C17" s="32" t="s">
        <v>57</v>
      </c>
      <c r="D17" t="s">
        <v>58</v>
      </c>
      <c r="E17" t="s">
        <v>81</v>
      </c>
      <c r="F17">
        <f t="shared" si="0"/>
        <v>33110103</v>
      </c>
      <c r="G17" t="str">
        <f t="shared" si="1"/>
        <v>GIT\15110000\DM-WN47\Inv.4530006122\4530006122</v>
      </c>
      <c r="H17">
        <f t="shared" si="2"/>
        <v>6.6427500000000004</v>
      </c>
      <c r="I17">
        <v>150.54</v>
      </c>
      <c r="J17" s="20" t="s">
        <v>37</v>
      </c>
      <c r="K17" s="20" t="str">
        <f t="shared" si="10"/>
        <v>RC</v>
      </c>
      <c r="L17" s="20" t="s">
        <v>38</v>
      </c>
      <c r="M17" s="23">
        <v>45374</v>
      </c>
      <c r="N17"/>
      <c r="O17" s="22">
        <f t="shared" si="4"/>
        <v>45986</v>
      </c>
      <c r="P17" t="s">
        <v>94</v>
      </c>
      <c r="Q17" t="s">
        <v>68</v>
      </c>
      <c r="R17" s="24" t="s">
        <v>60</v>
      </c>
      <c r="S17" s="22">
        <v>45352</v>
      </c>
      <c r="T17"/>
      <c r="U17">
        <v>4530006122</v>
      </c>
      <c r="V17">
        <f t="shared" si="5"/>
        <v>15110000</v>
      </c>
      <c r="W17" t="str">
        <f t="shared" si="6"/>
        <v>DM</v>
      </c>
      <c r="X17" s="27">
        <v>2000</v>
      </c>
      <c r="Y17">
        <v>363.5</v>
      </c>
      <c r="Z17" s="25">
        <f t="shared" si="11"/>
        <v>727000</v>
      </c>
      <c r="AA17" s="20">
        <v>90</v>
      </c>
      <c r="AB17" s="9" t="s">
        <v>35</v>
      </c>
      <c r="AC17" s="26"/>
      <c r="AD17" s="9">
        <f t="shared" si="9"/>
        <v>17</v>
      </c>
      <c r="AE17" s="9" t="e">
        <v>#N/A</v>
      </c>
      <c r="AG17"/>
      <c r="AH17"/>
      <c r="AI17"/>
      <c r="AJ17"/>
      <c r="AK17"/>
      <c r="AL17"/>
      <c r="AM17"/>
      <c r="AN17"/>
      <c r="AO17"/>
      <c r="AP17"/>
    </row>
    <row r="18" spans="1:42" s="9" customFormat="1" ht="17.25" x14ac:dyDescent="0.25">
      <c r="A18">
        <f t="shared" si="8"/>
        <v>18</v>
      </c>
      <c r="B18" s="22">
        <v>45382</v>
      </c>
      <c r="C18" s="32" t="s">
        <v>57</v>
      </c>
      <c r="D18" t="s">
        <v>58</v>
      </c>
      <c r="E18" t="s">
        <v>81</v>
      </c>
      <c r="F18">
        <f t="shared" si="0"/>
        <v>33110103</v>
      </c>
      <c r="G18" t="str">
        <f t="shared" si="1"/>
        <v>GIT\15110000\DM-WN50\Inv.4530006122\4530006122</v>
      </c>
      <c r="H18">
        <f t="shared" si="2"/>
        <v>6.6427500000000004</v>
      </c>
      <c r="I18">
        <v>150.54</v>
      </c>
      <c r="J18" s="20" t="s">
        <v>37</v>
      </c>
      <c r="K18" s="20" t="str">
        <f t="shared" si="10"/>
        <v>RC</v>
      </c>
      <c r="L18" s="20" t="s">
        <v>38</v>
      </c>
      <c r="M18" s="23">
        <v>45374</v>
      </c>
      <c r="N18"/>
      <c r="O18" s="22">
        <f t="shared" si="4"/>
        <v>45986</v>
      </c>
      <c r="P18" t="s">
        <v>95</v>
      </c>
      <c r="Q18" t="s">
        <v>69</v>
      </c>
      <c r="R18" s="24" t="s">
        <v>60</v>
      </c>
      <c r="S18" s="22">
        <v>45352</v>
      </c>
      <c r="T18"/>
      <c r="U18">
        <v>4530006122</v>
      </c>
      <c r="V18">
        <f t="shared" si="5"/>
        <v>15110000</v>
      </c>
      <c r="W18" t="str">
        <f t="shared" si="6"/>
        <v>DM</v>
      </c>
      <c r="X18" s="27">
        <v>800</v>
      </c>
      <c r="Y18">
        <v>336.5</v>
      </c>
      <c r="Z18" s="25">
        <f t="shared" si="11"/>
        <v>269200</v>
      </c>
      <c r="AA18" s="20">
        <v>100</v>
      </c>
      <c r="AB18" s="9" t="s">
        <v>35</v>
      </c>
      <c r="AC18" s="26"/>
      <c r="AD18" s="9">
        <f t="shared" si="9"/>
        <v>18</v>
      </c>
      <c r="AE18" s="9" t="e">
        <v>#N/A</v>
      </c>
      <c r="AG18"/>
      <c r="AH18"/>
      <c r="AI18"/>
      <c r="AJ18"/>
      <c r="AK18"/>
      <c r="AL18"/>
      <c r="AM18"/>
      <c r="AN18"/>
      <c r="AO18"/>
      <c r="AP18"/>
    </row>
    <row r="19" spans="1:42" s="9" customFormat="1" ht="17.25" x14ac:dyDescent="0.25">
      <c r="A19">
        <f t="shared" si="8"/>
        <v>19</v>
      </c>
      <c r="B19" s="22">
        <v>45382</v>
      </c>
      <c r="C19" s="32" t="s">
        <v>57</v>
      </c>
      <c r="D19" t="s">
        <v>58</v>
      </c>
      <c r="E19" t="s">
        <v>81</v>
      </c>
      <c r="F19">
        <f t="shared" si="0"/>
        <v>33110103</v>
      </c>
      <c r="G19" t="str">
        <f t="shared" si="1"/>
        <v>GIT\15110000\DM-WN61\Inv.4530006122\4530006122</v>
      </c>
      <c r="H19">
        <f t="shared" si="2"/>
        <v>6.6427500000000004</v>
      </c>
      <c r="I19">
        <v>150.54</v>
      </c>
      <c r="J19" s="20" t="s">
        <v>37</v>
      </c>
      <c r="K19" s="20" t="str">
        <f t="shared" si="10"/>
        <v>RC</v>
      </c>
      <c r="L19" s="20" t="s">
        <v>38</v>
      </c>
      <c r="M19" s="23">
        <v>45374</v>
      </c>
      <c r="N19"/>
      <c r="O19" s="22">
        <f t="shared" si="4"/>
        <v>45986</v>
      </c>
      <c r="P19" t="s">
        <v>96</v>
      </c>
      <c r="Q19" t="s">
        <v>70</v>
      </c>
      <c r="R19" s="24" t="s">
        <v>60</v>
      </c>
      <c r="S19" s="22">
        <v>45352</v>
      </c>
      <c r="T19"/>
      <c r="U19">
        <v>4530006122</v>
      </c>
      <c r="V19">
        <f t="shared" si="5"/>
        <v>15110000</v>
      </c>
      <c r="W19" t="str">
        <f t="shared" si="6"/>
        <v>DM</v>
      </c>
      <c r="X19" s="27">
        <v>700</v>
      </c>
      <c r="Y19">
        <v>323</v>
      </c>
      <c r="Z19" s="25">
        <f t="shared" si="11"/>
        <v>226100</v>
      </c>
      <c r="AA19" s="20">
        <v>110</v>
      </c>
      <c r="AB19" s="9" t="s">
        <v>35</v>
      </c>
      <c r="AC19" s="26"/>
      <c r="AD19" s="9">
        <f t="shared" si="9"/>
        <v>19</v>
      </c>
      <c r="AE19" s="9" t="e">
        <v>#N/A</v>
      </c>
      <c r="AG19"/>
      <c r="AH19"/>
      <c r="AI19"/>
      <c r="AJ19"/>
      <c r="AK19"/>
      <c r="AL19"/>
      <c r="AM19"/>
      <c r="AN19"/>
      <c r="AO19"/>
      <c r="AP19"/>
    </row>
    <row r="20" spans="1:42" s="9" customFormat="1" ht="17.25" x14ac:dyDescent="0.25">
      <c r="A20">
        <f t="shared" si="8"/>
        <v>20</v>
      </c>
      <c r="B20" s="22">
        <v>45382</v>
      </c>
      <c r="C20" s="32" t="s">
        <v>57</v>
      </c>
      <c r="D20" t="s">
        <v>58</v>
      </c>
      <c r="E20" t="s">
        <v>81</v>
      </c>
      <c r="F20">
        <f t="shared" si="0"/>
        <v>33110103</v>
      </c>
      <c r="G20" t="str">
        <f t="shared" si="1"/>
        <v>GIT\15110000\DM-WN96\Inv.4530006122\4530006122</v>
      </c>
      <c r="H20">
        <f t="shared" si="2"/>
        <v>6.6427500000000004</v>
      </c>
      <c r="I20">
        <v>150.54</v>
      </c>
      <c r="J20" s="20" t="s">
        <v>37</v>
      </c>
      <c r="K20" s="20" t="str">
        <f t="shared" si="10"/>
        <v>RC</v>
      </c>
      <c r="L20" s="20" t="s">
        <v>38</v>
      </c>
      <c r="M20" s="23">
        <v>45374</v>
      </c>
      <c r="N20"/>
      <c r="O20" s="22">
        <f t="shared" si="4"/>
        <v>45986</v>
      </c>
      <c r="P20" t="s">
        <v>97</v>
      </c>
      <c r="Q20" t="s">
        <v>71</v>
      </c>
      <c r="R20" s="24" t="s">
        <v>60</v>
      </c>
      <c r="S20" s="22">
        <v>45352</v>
      </c>
      <c r="T20"/>
      <c r="U20">
        <v>4530006122</v>
      </c>
      <c r="V20">
        <f t="shared" si="5"/>
        <v>15110000</v>
      </c>
      <c r="W20" t="str">
        <f t="shared" si="6"/>
        <v>DM</v>
      </c>
      <c r="X20" s="27">
        <v>1000</v>
      </c>
      <c r="Y20">
        <v>841</v>
      </c>
      <c r="Z20" s="25">
        <f t="shared" si="11"/>
        <v>841000</v>
      </c>
      <c r="AA20" s="20">
        <v>120</v>
      </c>
      <c r="AB20" s="9" t="s">
        <v>35</v>
      </c>
      <c r="AC20" s="26"/>
      <c r="AD20" s="9">
        <f t="shared" si="9"/>
        <v>20</v>
      </c>
      <c r="AE20" s="9" t="e">
        <v>#N/A</v>
      </c>
      <c r="AG20"/>
      <c r="AH20"/>
      <c r="AI20"/>
      <c r="AJ20"/>
      <c r="AK20"/>
      <c r="AL20"/>
      <c r="AM20"/>
      <c r="AN20"/>
      <c r="AO20"/>
      <c r="AP20"/>
    </row>
    <row r="21" spans="1:42" s="9" customFormat="1" ht="17.25" x14ac:dyDescent="0.25">
      <c r="A21">
        <f t="shared" si="8"/>
        <v>21</v>
      </c>
      <c r="B21" s="22">
        <v>45382</v>
      </c>
      <c r="C21" s="32" t="s">
        <v>57</v>
      </c>
      <c r="D21" t="s">
        <v>58</v>
      </c>
      <c r="E21" t="s">
        <v>81</v>
      </c>
      <c r="F21">
        <f t="shared" si="0"/>
        <v>33110103</v>
      </c>
      <c r="G21" t="str">
        <f t="shared" si="1"/>
        <v>GIT\15110000\DM-WS24\Inv.4530006122\4530006122</v>
      </c>
      <c r="H21">
        <f t="shared" si="2"/>
        <v>6.6427500000000004</v>
      </c>
      <c r="I21">
        <v>150.54</v>
      </c>
      <c r="J21" s="20" t="s">
        <v>37</v>
      </c>
      <c r="K21" s="20" t="str">
        <f t="shared" si="10"/>
        <v>RC</v>
      </c>
      <c r="L21" s="20" t="s">
        <v>38</v>
      </c>
      <c r="M21" s="23">
        <v>45374</v>
      </c>
      <c r="N21"/>
      <c r="O21" s="22">
        <f t="shared" si="4"/>
        <v>45986</v>
      </c>
      <c r="P21" t="s">
        <v>98</v>
      </c>
      <c r="Q21" t="s">
        <v>72</v>
      </c>
      <c r="R21" s="24" t="s">
        <v>60</v>
      </c>
      <c r="S21" s="22">
        <v>45352</v>
      </c>
      <c r="T21"/>
      <c r="U21">
        <v>4530006122</v>
      </c>
      <c r="V21">
        <f t="shared" si="5"/>
        <v>15110000</v>
      </c>
      <c r="W21" t="str">
        <f t="shared" si="6"/>
        <v>DM</v>
      </c>
      <c r="X21" s="27">
        <v>1700</v>
      </c>
      <c r="Y21">
        <v>594.9</v>
      </c>
      <c r="Z21" s="25">
        <f t="shared" si="11"/>
        <v>1011330</v>
      </c>
      <c r="AA21" s="20">
        <v>130</v>
      </c>
      <c r="AB21" s="9" t="s">
        <v>35</v>
      </c>
      <c r="AC21" s="26"/>
      <c r="AD21" s="9">
        <f t="shared" si="9"/>
        <v>21</v>
      </c>
      <c r="AE21" s="9" t="e">
        <v>#N/A</v>
      </c>
      <c r="AG21"/>
      <c r="AH21"/>
      <c r="AI21"/>
      <c r="AJ21"/>
      <c r="AK21"/>
      <c r="AL21"/>
      <c r="AM21"/>
      <c r="AN21"/>
      <c r="AO21"/>
      <c r="AP21"/>
    </row>
    <row r="22" spans="1:42" s="9" customFormat="1" ht="17.25" x14ac:dyDescent="0.25">
      <c r="A22">
        <f t="shared" si="8"/>
        <v>22</v>
      </c>
      <c r="B22" s="22">
        <v>45382</v>
      </c>
      <c r="C22" s="32" t="s">
        <v>57</v>
      </c>
      <c r="D22" t="s">
        <v>58</v>
      </c>
      <c r="E22" t="s">
        <v>81</v>
      </c>
      <c r="F22">
        <f t="shared" si="0"/>
        <v>33110103</v>
      </c>
      <c r="G22" t="str">
        <f t="shared" si="1"/>
        <v>GIT\15110000\DM-WS27\Inv.4530006122\4530006122</v>
      </c>
      <c r="H22">
        <f t="shared" si="2"/>
        <v>6.6427500000000004</v>
      </c>
      <c r="I22">
        <v>150.54</v>
      </c>
      <c r="J22" s="20" t="s">
        <v>37</v>
      </c>
      <c r="K22" s="20" t="str">
        <f t="shared" si="10"/>
        <v>RC</v>
      </c>
      <c r="L22" s="20" t="s">
        <v>38</v>
      </c>
      <c r="M22" s="23">
        <v>45374</v>
      </c>
      <c r="N22"/>
      <c r="O22" s="22">
        <f t="shared" si="4"/>
        <v>45986</v>
      </c>
      <c r="P22" t="s">
        <v>99</v>
      </c>
      <c r="Q22" t="s">
        <v>73</v>
      </c>
      <c r="R22" s="24" t="s">
        <v>60</v>
      </c>
      <c r="S22" s="22">
        <v>45352</v>
      </c>
      <c r="T22"/>
      <c r="U22">
        <v>4530006122</v>
      </c>
      <c r="V22">
        <f t="shared" si="5"/>
        <v>15110000</v>
      </c>
      <c r="W22" t="str">
        <f t="shared" si="6"/>
        <v>DM</v>
      </c>
      <c r="X22" s="27">
        <v>255</v>
      </c>
      <c r="Y22">
        <v>276.7</v>
      </c>
      <c r="Z22" s="25">
        <f t="shared" si="11"/>
        <v>70559</v>
      </c>
      <c r="AA22" s="20">
        <v>140</v>
      </c>
      <c r="AB22" s="9" t="s">
        <v>35</v>
      </c>
      <c r="AC22" s="26"/>
      <c r="AD22" s="9">
        <f t="shared" si="9"/>
        <v>22</v>
      </c>
      <c r="AE22" s="9" t="e">
        <v>#N/A</v>
      </c>
      <c r="AG22"/>
      <c r="AH22"/>
      <c r="AI22"/>
      <c r="AJ22"/>
      <c r="AK22"/>
      <c r="AL22"/>
      <c r="AM22"/>
      <c r="AN22"/>
      <c r="AO22"/>
      <c r="AP22"/>
    </row>
    <row r="23" spans="1:42" s="9" customFormat="1" ht="17.25" x14ac:dyDescent="0.25">
      <c r="A23">
        <f t="shared" si="8"/>
        <v>23</v>
      </c>
      <c r="B23" s="22">
        <v>45382</v>
      </c>
      <c r="C23" s="32" t="s">
        <v>57</v>
      </c>
      <c r="D23" t="s">
        <v>58</v>
      </c>
      <c r="E23" t="s">
        <v>81</v>
      </c>
      <c r="F23">
        <f t="shared" si="0"/>
        <v>33110103</v>
      </c>
      <c r="G23" t="str">
        <f t="shared" si="1"/>
        <v>GIT\15110000\DM-WP10\Inv.4530006122\4530006122</v>
      </c>
      <c r="H23">
        <f t="shared" si="2"/>
        <v>6.6427500000000004</v>
      </c>
      <c r="I23">
        <v>150.54</v>
      </c>
      <c r="J23" s="20" t="s">
        <v>37</v>
      </c>
      <c r="K23" s="20" t="str">
        <f t="shared" si="10"/>
        <v>RC</v>
      </c>
      <c r="L23" s="20" t="s">
        <v>38</v>
      </c>
      <c r="M23" s="23">
        <v>45374</v>
      </c>
      <c r="N23"/>
      <c r="O23" s="22">
        <f t="shared" si="4"/>
        <v>45986</v>
      </c>
      <c r="P23" t="s">
        <v>100</v>
      </c>
      <c r="Q23" t="s">
        <v>74</v>
      </c>
      <c r="R23" s="24" t="s">
        <v>60</v>
      </c>
      <c r="S23" s="22">
        <v>45352</v>
      </c>
      <c r="T23"/>
      <c r="U23">
        <v>4530006122</v>
      </c>
      <c r="V23">
        <f t="shared" si="5"/>
        <v>15110000</v>
      </c>
      <c r="W23" t="str">
        <f t="shared" si="6"/>
        <v>DM</v>
      </c>
      <c r="X23" s="27">
        <v>40</v>
      </c>
      <c r="Y23">
        <v>818</v>
      </c>
      <c r="Z23" s="25">
        <f t="shared" si="11"/>
        <v>32720</v>
      </c>
      <c r="AA23" s="20">
        <v>150</v>
      </c>
      <c r="AB23" s="9" t="s">
        <v>35</v>
      </c>
      <c r="AC23" s="26"/>
      <c r="AD23" s="9">
        <f t="shared" si="9"/>
        <v>23</v>
      </c>
      <c r="AE23" s="9" t="e">
        <v>#N/A</v>
      </c>
      <c r="AG23"/>
      <c r="AH23"/>
      <c r="AI23"/>
      <c r="AJ23"/>
      <c r="AK23"/>
      <c r="AL23"/>
      <c r="AM23"/>
      <c r="AN23"/>
      <c r="AO23"/>
      <c r="AP23"/>
    </row>
    <row r="24" spans="1:42" s="9" customFormat="1" ht="17.25" x14ac:dyDescent="0.25">
      <c r="A24">
        <f t="shared" si="8"/>
        <v>24</v>
      </c>
      <c r="B24" s="22">
        <v>45382</v>
      </c>
      <c r="C24" s="32" t="s">
        <v>57</v>
      </c>
      <c r="D24" t="s">
        <v>58</v>
      </c>
      <c r="E24" t="s">
        <v>81</v>
      </c>
      <c r="F24">
        <f t="shared" si="0"/>
        <v>33110103</v>
      </c>
      <c r="G24" t="str">
        <f t="shared" si="1"/>
        <v>GIT\15110000\DM-WK46\Inv.4530006122\4530006122</v>
      </c>
      <c r="H24">
        <f t="shared" si="2"/>
        <v>6.6427500000000004</v>
      </c>
      <c r="I24">
        <v>150.54</v>
      </c>
      <c r="J24" s="20" t="s">
        <v>37</v>
      </c>
      <c r="K24" s="20" t="str">
        <f t="shared" si="10"/>
        <v>RC</v>
      </c>
      <c r="L24" s="20" t="s">
        <v>38</v>
      </c>
      <c r="M24" s="23">
        <v>45374</v>
      </c>
      <c r="N24"/>
      <c r="O24" s="22">
        <f t="shared" si="4"/>
        <v>45986</v>
      </c>
      <c r="P24" t="s">
        <v>101</v>
      </c>
      <c r="Q24" t="s">
        <v>75</v>
      </c>
      <c r="R24" s="24" t="s">
        <v>60</v>
      </c>
      <c r="S24" s="22">
        <v>45352</v>
      </c>
      <c r="T24"/>
      <c r="U24">
        <v>4530006122</v>
      </c>
      <c r="V24">
        <f t="shared" si="5"/>
        <v>15110000</v>
      </c>
      <c r="W24" t="str">
        <f t="shared" si="6"/>
        <v>DM</v>
      </c>
      <c r="X24" s="27">
        <v>2560</v>
      </c>
      <c r="Y24">
        <v>286</v>
      </c>
      <c r="Z24" s="25">
        <f t="shared" si="7"/>
        <v>732160</v>
      </c>
      <c r="AA24" s="20">
        <v>170</v>
      </c>
      <c r="AB24" s="9" t="s">
        <v>35</v>
      </c>
      <c r="AC24" s="26"/>
      <c r="AD24" s="9">
        <f t="shared" si="9"/>
        <v>24</v>
      </c>
      <c r="AE24" s="9" t="e">
        <v>#N/A</v>
      </c>
      <c r="AG24"/>
      <c r="AH24"/>
      <c r="AI24"/>
      <c r="AJ24"/>
      <c r="AK24"/>
      <c r="AL24"/>
      <c r="AM24"/>
      <c r="AN24"/>
      <c r="AO24"/>
      <c r="AP24"/>
    </row>
    <row r="25" spans="1:42" s="9" customFormat="1" ht="17.25" x14ac:dyDescent="0.25">
      <c r="A25">
        <f t="shared" si="8"/>
        <v>25</v>
      </c>
      <c r="B25" s="22">
        <v>45382</v>
      </c>
      <c r="C25" s="32" t="s">
        <v>57</v>
      </c>
      <c r="D25" t="s">
        <v>58</v>
      </c>
      <c r="E25" t="s">
        <v>81</v>
      </c>
      <c r="F25">
        <f t="shared" si="0"/>
        <v>33110103</v>
      </c>
      <c r="G25" t="str">
        <f t="shared" si="1"/>
        <v>GIT\15110000\DM-WN15A\Inv.4530006122\4530006122</v>
      </c>
      <c r="H25">
        <f t="shared" si="2"/>
        <v>6.6427500000000004</v>
      </c>
      <c r="I25">
        <v>150.54</v>
      </c>
      <c r="J25" s="20" t="s">
        <v>37</v>
      </c>
      <c r="K25" s="20" t="str">
        <f t="shared" si="10"/>
        <v>RC</v>
      </c>
      <c r="L25" s="20" t="s">
        <v>38</v>
      </c>
      <c r="M25" s="23">
        <v>45374</v>
      </c>
      <c r="N25"/>
      <c r="O25" s="22">
        <f t="shared" si="4"/>
        <v>45986</v>
      </c>
      <c r="P25" t="s">
        <v>102</v>
      </c>
      <c r="Q25" t="s">
        <v>76</v>
      </c>
      <c r="R25" s="24" t="s">
        <v>60</v>
      </c>
      <c r="S25" s="22">
        <v>45352</v>
      </c>
      <c r="T25"/>
      <c r="U25">
        <v>4530006122</v>
      </c>
      <c r="V25">
        <f t="shared" si="5"/>
        <v>15110000</v>
      </c>
      <c r="W25" t="str">
        <f t="shared" si="6"/>
        <v>DM</v>
      </c>
      <c r="X25" s="27">
        <v>2500</v>
      </c>
      <c r="Y25">
        <v>277</v>
      </c>
      <c r="Z25" s="25">
        <f t="shared" si="7"/>
        <v>692500</v>
      </c>
      <c r="AA25" s="20">
        <v>180</v>
      </c>
      <c r="AB25" s="9" t="s">
        <v>35</v>
      </c>
      <c r="AC25" s="26"/>
      <c r="AD25" s="9">
        <f t="shared" si="9"/>
        <v>25</v>
      </c>
      <c r="AE25" s="9" t="e">
        <v>#N/A</v>
      </c>
      <c r="AG25"/>
      <c r="AH25"/>
      <c r="AI25"/>
      <c r="AJ25"/>
      <c r="AK25"/>
      <c r="AL25"/>
      <c r="AM25"/>
      <c r="AN25"/>
      <c r="AO25"/>
      <c r="AP25"/>
    </row>
    <row r="26" spans="1:42" s="9" customFormat="1" ht="17.25" x14ac:dyDescent="0.25">
      <c r="A26"/>
      <c r="B26" s="22"/>
      <c r="D26"/>
      <c r="E26"/>
      <c r="F26"/>
      <c r="G26"/>
      <c r="H26"/>
      <c r="I26"/>
      <c r="J26" s="20"/>
      <c r="K26" s="20"/>
      <c r="L26" s="20"/>
      <c r="M26" s="23"/>
      <c r="N26"/>
      <c r="O26"/>
      <c r="P26"/>
      <c r="Q26"/>
      <c r="R26" s="24"/>
      <c r="S26" s="22"/>
      <c r="T26"/>
      <c r="U26"/>
      <c r="V26"/>
      <c r="W26"/>
      <c r="X26" s="31"/>
      <c r="Y26"/>
      <c r="Z26"/>
      <c r="AA26" s="20"/>
      <c r="AC26" s="26"/>
      <c r="AG26"/>
      <c r="AH26"/>
      <c r="AI26"/>
      <c r="AJ26"/>
      <c r="AK26"/>
      <c r="AL26"/>
      <c r="AM26"/>
      <c r="AN26"/>
      <c r="AO26"/>
      <c r="AP26"/>
    </row>
    <row r="27" spans="1:42" s="9" customFormat="1" ht="17.25" x14ac:dyDescent="0.25">
      <c r="A27"/>
      <c r="B27" s="22"/>
      <c r="D27"/>
      <c r="E27"/>
      <c r="F27"/>
      <c r="G27"/>
      <c r="H27"/>
      <c r="I27"/>
      <c r="J27" s="20"/>
      <c r="K27" s="20"/>
      <c r="L27" s="20"/>
      <c r="M27" s="23"/>
      <c r="N27"/>
      <c r="O27"/>
      <c r="P27"/>
      <c r="Q27"/>
      <c r="R27" s="24"/>
      <c r="S27" s="22"/>
      <c r="T27"/>
      <c r="U27"/>
      <c r="V27"/>
      <c r="W27"/>
      <c r="X27" s="31"/>
      <c r="Y27"/>
      <c r="Z27"/>
      <c r="AA27" s="20"/>
      <c r="AC27" s="26"/>
      <c r="AG27"/>
      <c r="AH27"/>
      <c r="AI27"/>
      <c r="AJ27"/>
      <c r="AK27"/>
      <c r="AL27"/>
      <c r="AM27"/>
      <c r="AN27"/>
      <c r="AO27"/>
      <c r="AP27"/>
    </row>
    <row r="1048101" spans="1:42" s="23" customFormat="1" x14ac:dyDescent="0.25">
      <c r="A1048101"/>
      <c r="B1048101" s="22"/>
      <c r="C1048101" s="9"/>
      <c r="D1048101"/>
      <c r="E1048101"/>
      <c r="F1048101"/>
      <c r="G1048101"/>
      <c r="H1048101"/>
      <c r="I1048101"/>
      <c r="J1048101" s="20"/>
      <c r="K1048101" s="20"/>
      <c r="L1048101" s="20" t="s">
        <v>77</v>
      </c>
      <c r="N1048101"/>
      <c r="O1048101"/>
      <c r="P1048101"/>
      <c r="Q1048101"/>
      <c r="R1048101" s="24"/>
      <c r="S1048101" s="22"/>
      <c r="T1048101"/>
      <c r="U1048101"/>
      <c r="V1048101"/>
      <c r="W1048101"/>
      <c r="X1048101" s="31"/>
      <c r="Y1048101"/>
      <c r="Z1048101"/>
      <c r="AA1048101" s="20"/>
      <c r="AB1048101" s="9"/>
      <c r="AC1048101"/>
      <c r="AD1048101" s="9"/>
      <c r="AE1048101" s="9"/>
      <c r="AF1048101" s="9"/>
      <c r="AG1048101"/>
      <c r="AH1048101"/>
      <c r="AI1048101"/>
      <c r="AJ1048101"/>
      <c r="AK1048101"/>
      <c r="AL1048101"/>
      <c r="AM1048101"/>
      <c r="AN1048101"/>
      <c r="AO1048101"/>
      <c r="AP1048101"/>
    </row>
  </sheetData>
  <autoFilter ref="A2:AP25" xr:uid="{00000000-0001-0000-0200-000000000000}"/>
  <dataConsolidate/>
  <conditionalFormatting sqref="AB1:AB1048576">
    <cfRule type="containsText" dxfId="1" priority="1" operator="containsText" text="GIT">
      <formula>NOT(ISERROR(SEARCH("GIT",AB1)))</formula>
    </cfRule>
    <cfRule type="containsText" dxfId="0" priority="2" operator="containsText" text="GR">
      <formula>NOT(ISERROR(SEARCH("GR",AB1)))</formula>
    </cfRule>
  </conditionalFormatting>
  <dataValidations count="3">
    <dataValidation type="list" allowBlank="1" showInputMessage="1" showErrorMessage="1" sqref="L3:L25" xr:uid="{F005636D-9405-4C4C-9232-F66D25EE20BE}">
      <formula1>#REF!</formula1>
    </dataValidation>
    <dataValidation allowBlank="1" showInputMessage="1" sqref="AD1:AF1048576" xr:uid="{C74CE6C6-52D6-4C06-982C-434B900578AF}"/>
    <dataValidation type="list" allowBlank="1" showInputMessage="1" showErrorMessage="1" sqref="AB3:AB1048576 J3:J1048576" xr:uid="{4B22785A-E1DF-4601-BFD6-AEC04B2197F0}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6CF82-1B24-417D-9455-458D8D046545}">
  <sheetPr codeName="Sheet1"/>
  <dimension ref="A1:Q292"/>
  <sheetViews>
    <sheetView tabSelected="1" workbookViewId="0">
      <selection activeCell="D8" sqref="D8"/>
    </sheetView>
  </sheetViews>
  <sheetFormatPr defaultRowHeight="15" x14ac:dyDescent="0.25"/>
  <cols>
    <col min="1" max="1" width="14.28515625" customWidth="1"/>
    <col min="2" max="2" width="17.42578125" customWidth="1"/>
    <col min="4" max="4" width="13.140625" customWidth="1"/>
    <col min="5" max="5" width="17.5703125" customWidth="1"/>
    <col min="6" max="6" width="12.140625" customWidth="1"/>
    <col min="9" max="9" width="46.28515625" customWidth="1"/>
    <col min="13" max="13" width="19.28515625" customWidth="1"/>
    <col min="14" max="14" width="10.7109375" bestFit="1" customWidth="1"/>
    <col min="15" max="15" width="12.85546875" customWidth="1"/>
    <col min="17" max="17" width="45.28515625" customWidth="1"/>
  </cols>
  <sheetData>
    <row r="1" spans="1:17" x14ac:dyDescent="0.25">
      <c r="A1" s="33" t="s">
        <v>123</v>
      </c>
      <c r="B1" s="33" t="s">
        <v>125</v>
      </c>
      <c r="C1" s="41" t="s">
        <v>128</v>
      </c>
    </row>
    <row r="2" spans="1:17" x14ac:dyDescent="0.25">
      <c r="A2" s="33" t="s">
        <v>124</v>
      </c>
      <c r="B2" s="33" t="s">
        <v>126</v>
      </c>
    </row>
    <row r="6" spans="1:17" x14ac:dyDescent="0.25">
      <c r="A6" s="37" t="s">
        <v>113</v>
      </c>
      <c r="B6" s="37"/>
      <c r="C6" s="37"/>
      <c r="D6" s="37"/>
      <c r="E6" s="37"/>
      <c r="F6" s="37"/>
      <c r="G6" s="37"/>
      <c r="H6" s="37"/>
      <c r="I6" s="37"/>
      <c r="J6" s="38" t="s">
        <v>119</v>
      </c>
      <c r="K6" s="38"/>
      <c r="L6" s="38"/>
      <c r="M6" s="38"/>
      <c r="N6" s="38"/>
      <c r="O6" s="39" t="s">
        <v>121</v>
      </c>
      <c r="P6" s="39"/>
    </row>
    <row r="7" spans="1:17" x14ac:dyDescent="0.25">
      <c r="A7" s="36" t="s">
        <v>103</v>
      </c>
      <c r="B7" s="36" t="s">
        <v>104</v>
      </c>
      <c r="C7" s="36" t="s">
        <v>105</v>
      </c>
      <c r="D7" s="36" t="s">
        <v>108</v>
      </c>
      <c r="E7" s="36" t="s">
        <v>109</v>
      </c>
      <c r="F7" s="36" t="s">
        <v>106</v>
      </c>
      <c r="G7" s="36" t="s">
        <v>110</v>
      </c>
      <c r="H7" s="36" t="s">
        <v>9</v>
      </c>
      <c r="I7" s="36" t="s">
        <v>111</v>
      </c>
      <c r="J7" s="36" t="s">
        <v>114</v>
      </c>
      <c r="K7" s="36" t="s">
        <v>115</v>
      </c>
      <c r="L7" s="36" t="s">
        <v>116</v>
      </c>
      <c r="M7" s="36" t="s">
        <v>117</v>
      </c>
      <c r="N7" s="36" t="s">
        <v>118</v>
      </c>
      <c r="O7" s="36" t="s">
        <v>107</v>
      </c>
      <c r="P7" s="36" t="s">
        <v>120</v>
      </c>
      <c r="Q7" s="35" t="s">
        <v>122</v>
      </c>
    </row>
    <row r="8" spans="1:17" x14ac:dyDescent="0.25">
      <c r="A8" s="34" t="s">
        <v>57</v>
      </c>
      <c r="B8" s="34">
        <f>IF(A8&lt;&gt;"",VLOOKUP(A8,LIV!$C:$AD,28,0),"")</f>
        <v>9</v>
      </c>
      <c r="C8" s="34">
        <f>IF(A8&lt;&gt;"",_xlfn.XLOOKUP(A8,LIV!$C:$C,LIV!$AD:$AD,,,-1),"")</f>
        <v>25</v>
      </c>
      <c r="D8" s="34" t="str">
        <f>TEXT(VLOOKUP(A8,LIV!$C:$S,17,0),"dd.mm.yyyy")</f>
        <v>01.03.2024</v>
      </c>
      <c r="E8" s="34" t="str">
        <f>VLOOKUP(A8,LIV!$C:$R,16,0)</f>
        <v>4530006122</v>
      </c>
      <c r="F8" s="34" t="str">
        <f>_xlfn.IFNA(TEXT(_xlfn.XLOOKUP(A8,LIV!$C:$C,LIV!$B:$B),"dd.mm.yyyy"),"")</f>
        <v>31.03.2024</v>
      </c>
      <c r="G8" s="34">
        <f>SUMIF(LIV!$C:$C,Execute!A8,LIV!$Z:$Z)</f>
        <v>9274054</v>
      </c>
      <c r="H8" s="34" t="str">
        <f>VLOOKUP(A8,LIV!$C:$J,8,0)</f>
        <v>JPY</v>
      </c>
      <c r="I8" s="34" t="str">
        <f>VLOOKUP(A8,LIV!$C:$G,5,0)</f>
        <v>GIT\15110000\DM-WE24\Inv.4530006122\4530006122</v>
      </c>
      <c r="J8" s="34" t="str">
        <f>IF(A8&lt;&gt;"",$C$1,"")</f>
        <v>RC</v>
      </c>
      <c r="K8" s="34">
        <f>VLOOKUP(A8,LIV!$C:$H,6,0)</f>
        <v>6.6427500000000004</v>
      </c>
      <c r="L8" s="34" t="str">
        <f t="shared" ref="L8:L14" si="0">IF(A8&lt;&gt;"","A01","")</f>
        <v>A01</v>
      </c>
      <c r="M8" s="34" t="str">
        <f>VLOOKUP(A8,LIV!$C:$R,16,0)</f>
        <v>4530006122</v>
      </c>
      <c r="N8" s="34" t="str">
        <f t="shared" ref="N8:N14" si="1">A8</f>
        <v>AP-24-0730</v>
      </c>
      <c r="O8" s="34" t="str">
        <f>TEXT(VLOOKUP(A8,LIV!$C:$M,11,0),"dd.mm.yyyy")</f>
        <v>23.03.2024</v>
      </c>
      <c r="P8" s="34" t="str">
        <f t="shared" ref="P8:P14" si="2">IF(A8&lt;&gt;"","T","")</f>
        <v>T</v>
      </c>
      <c r="Q8" s="33"/>
    </row>
    <row r="9" spans="1:17" x14ac:dyDescent="0.25">
      <c r="A9" s="34"/>
      <c r="B9" s="34" t="str">
        <f>IF(A9&lt;&gt;"",VLOOKUP(A9,LIV!$C:$AD,28,0),"")</f>
        <v/>
      </c>
      <c r="C9" s="34" t="str">
        <f>IF(A9&lt;&gt;"",_xlfn.XLOOKUP(A9,LIV!$C:$C,LIV!$AD:$AD,,,-1),"")</f>
        <v/>
      </c>
      <c r="D9" s="34" t="e">
        <f>TEXT(VLOOKUP(A9,LIV!$C:$S,17,0),"dd.mm.yyyy")</f>
        <v>#N/A</v>
      </c>
      <c r="E9" s="34" t="e">
        <f>VLOOKUP(A9,LIV!$C:$R,16,0)</f>
        <v>#N/A</v>
      </c>
      <c r="F9" s="34" t="str">
        <f>_xlfn.IFNA(TEXT(_xlfn.XLOOKUP(A9,LIV!$C:$C,LIV!$B:$B),"dd.mm.yyyy"),"")</f>
        <v>00.01.1900</v>
      </c>
      <c r="G9" s="34">
        <f>SUMIF(LIV!$C:$C,Execute!A9,LIV!$Z:$Z)</f>
        <v>0</v>
      </c>
      <c r="H9" s="34" t="e">
        <f>VLOOKUP(A9,LIV!$C:$J,8,0)</f>
        <v>#N/A</v>
      </c>
      <c r="I9" s="34" t="e">
        <f>VLOOKUP(A9,LIV!$C:$G,5,0)</f>
        <v>#N/A</v>
      </c>
      <c r="J9" s="34" t="str">
        <f t="shared" ref="J9:J72" si="3">IF(A9&lt;&gt;"",$C$1,"")</f>
        <v/>
      </c>
      <c r="K9" s="34" t="e">
        <f>VLOOKUP(A9,LIV!$C:$H,6,0)</f>
        <v>#N/A</v>
      </c>
      <c r="L9" s="34" t="str">
        <f t="shared" si="0"/>
        <v/>
      </c>
      <c r="M9" s="34" t="e">
        <f>VLOOKUP(A9,LIV!$C:$R,16,0)</f>
        <v>#N/A</v>
      </c>
      <c r="N9" s="34">
        <f t="shared" si="1"/>
        <v>0</v>
      </c>
      <c r="O9" s="34" t="e">
        <f>TEXT(VLOOKUP(A9,LIV!$C:$M,11,0),"dd.mm.yyyy")</f>
        <v>#N/A</v>
      </c>
      <c r="P9" s="34" t="str">
        <f t="shared" si="2"/>
        <v/>
      </c>
      <c r="Q9" s="33"/>
    </row>
    <row r="10" spans="1:17" x14ac:dyDescent="0.25">
      <c r="A10" s="34"/>
      <c r="B10" s="34" t="str">
        <f>IF(A10&lt;&gt;"",VLOOKUP(A10,LIV!$C:$AD,28,0),"")</f>
        <v/>
      </c>
      <c r="C10" s="34" t="str">
        <f>IF(A10&lt;&gt;"",_xlfn.XLOOKUP(A10,LIV!$C:$C,LIV!$AD:$AD,,,-1),"")</f>
        <v/>
      </c>
      <c r="D10" s="34" t="e">
        <f>TEXT(VLOOKUP(A10,LIV!$C:$S,17,0),"dd.mm.yyyy")</f>
        <v>#N/A</v>
      </c>
      <c r="E10" s="34" t="e">
        <f>VLOOKUP(A10,LIV!$C:$R,16,0)</f>
        <v>#N/A</v>
      </c>
      <c r="F10" s="34" t="str">
        <f>_xlfn.IFNA(TEXT(_xlfn.XLOOKUP(A10,LIV!$C:$C,LIV!$B:$B),"dd.mm.yyyy"),"")</f>
        <v>00.01.1900</v>
      </c>
      <c r="G10" s="34">
        <f>SUMIF(LIV!$C:$C,Execute!A10,LIV!$Z:$Z)</f>
        <v>0</v>
      </c>
      <c r="H10" s="34" t="e">
        <f>VLOOKUP(A10,LIV!$C:$J,8,0)</f>
        <v>#N/A</v>
      </c>
      <c r="I10" s="34" t="e">
        <f>VLOOKUP(A10,LIV!$C:$G,5,0)</f>
        <v>#N/A</v>
      </c>
      <c r="J10" s="34" t="str">
        <f t="shared" si="3"/>
        <v/>
      </c>
      <c r="K10" s="34" t="e">
        <f>VLOOKUP(A10,LIV!$C:$H,6,0)</f>
        <v>#N/A</v>
      </c>
      <c r="L10" s="34" t="str">
        <f t="shared" si="0"/>
        <v/>
      </c>
      <c r="M10" s="34" t="e">
        <f>VLOOKUP(A10,LIV!$C:$R,16,0)</f>
        <v>#N/A</v>
      </c>
      <c r="N10" s="34">
        <f t="shared" si="1"/>
        <v>0</v>
      </c>
      <c r="O10" s="34" t="e">
        <f>TEXT(VLOOKUP(A10,LIV!$C:$M,11,0),"dd.mm.yyyy")</f>
        <v>#N/A</v>
      </c>
      <c r="P10" s="34" t="str">
        <f t="shared" si="2"/>
        <v/>
      </c>
      <c r="Q10" s="33"/>
    </row>
    <row r="11" spans="1:17" x14ac:dyDescent="0.25">
      <c r="A11" s="34"/>
      <c r="B11" s="34" t="str">
        <f>IF(A11&lt;&gt;"",VLOOKUP(A11,LIV!$C:$AD,28,0),"")</f>
        <v/>
      </c>
      <c r="C11" s="34" t="str">
        <f>IF(A11&lt;&gt;"",_xlfn.XLOOKUP(A11,LIV!$C:$C,LIV!$AD:$AD,,,-1),"")</f>
        <v/>
      </c>
      <c r="D11" s="34" t="e">
        <f>TEXT(VLOOKUP(A11,LIV!$C:$S,17,0),"dd.mm.yyyy")</f>
        <v>#N/A</v>
      </c>
      <c r="E11" s="34" t="e">
        <f>VLOOKUP(A11,LIV!$C:$R,16,0)</f>
        <v>#N/A</v>
      </c>
      <c r="F11" s="34" t="str">
        <f>_xlfn.IFNA(TEXT(_xlfn.XLOOKUP(A11,LIV!$C:$C,LIV!$B:$B),"dd.mm.yyyy"),"")</f>
        <v>00.01.1900</v>
      </c>
      <c r="G11" s="34">
        <f>SUMIF(LIV!$C:$C,Execute!A11,LIV!$Z:$Z)</f>
        <v>0</v>
      </c>
      <c r="H11" s="34" t="e">
        <f>VLOOKUP(A11,LIV!$C:$J,8,0)</f>
        <v>#N/A</v>
      </c>
      <c r="I11" s="34" t="e">
        <f>VLOOKUP(A11,LIV!$C:$G,5,0)</f>
        <v>#N/A</v>
      </c>
      <c r="J11" s="34" t="str">
        <f t="shared" si="3"/>
        <v/>
      </c>
      <c r="K11" s="34" t="e">
        <f>VLOOKUP(A11,LIV!$C:$H,6,0)</f>
        <v>#N/A</v>
      </c>
      <c r="L11" s="34" t="str">
        <f t="shared" si="0"/>
        <v/>
      </c>
      <c r="M11" s="34" t="e">
        <f>VLOOKUP(A11,LIV!$C:$R,16,0)</f>
        <v>#N/A</v>
      </c>
      <c r="N11" s="34">
        <f t="shared" si="1"/>
        <v>0</v>
      </c>
      <c r="O11" s="34" t="e">
        <f>TEXT(VLOOKUP(A11,LIV!$C:$M,11,0),"dd.mm.yyyy")</f>
        <v>#N/A</v>
      </c>
      <c r="P11" s="34" t="str">
        <f t="shared" si="2"/>
        <v/>
      </c>
      <c r="Q11" s="33"/>
    </row>
    <row r="12" spans="1:17" x14ac:dyDescent="0.25">
      <c r="A12" s="34"/>
      <c r="B12" s="34" t="str">
        <f>IF(A12&lt;&gt;"",VLOOKUP(A12,LIV!$C:$AD,28,0),"")</f>
        <v/>
      </c>
      <c r="C12" s="34" t="str">
        <f>IF(A12&lt;&gt;"",_xlfn.XLOOKUP(A12,LIV!$C:$C,LIV!$AD:$AD,,,-1),"")</f>
        <v/>
      </c>
      <c r="D12" s="34" t="e">
        <f>TEXT(VLOOKUP(A12,LIV!$C:$S,17,0),"dd.mm.yyyy")</f>
        <v>#N/A</v>
      </c>
      <c r="E12" s="34" t="e">
        <f>VLOOKUP(A12,LIV!$C:$R,16,0)</f>
        <v>#N/A</v>
      </c>
      <c r="F12" s="34" t="str">
        <f>_xlfn.IFNA(TEXT(_xlfn.XLOOKUP(A12,LIV!$C:$C,LIV!$B:$B),"dd.mm.yyyy"),"")</f>
        <v>00.01.1900</v>
      </c>
      <c r="G12" s="34">
        <f>SUMIF(LIV!$C:$C,Execute!A12,LIV!$Z:$Z)</f>
        <v>0</v>
      </c>
      <c r="H12" s="34" t="e">
        <f>VLOOKUP(A12,LIV!$C:$J,8,0)</f>
        <v>#N/A</v>
      </c>
      <c r="I12" s="34" t="e">
        <f>VLOOKUP(A12,LIV!$C:$G,5,0)</f>
        <v>#N/A</v>
      </c>
      <c r="J12" s="34" t="str">
        <f t="shared" si="3"/>
        <v/>
      </c>
      <c r="K12" s="34" t="e">
        <f>VLOOKUP(A12,LIV!$C:$H,6,0)</f>
        <v>#N/A</v>
      </c>
      <c r="L12" s="34" t="str">
        <f t="shared" si="0"/>
        <v/>
      </c>
      <c r="M12" s="34" t="e">
        <f>VLOOKUP(A12,LIV!$C:$R,16,0)</f>
        <v>#N/A</v>
      </c>
      <c r="N12" s="34">
        <f t="shared" si="1"/>
        <v>0</v>
      </c>
      <c r="O12" s="34" t="e">
        <f>TEXT(VLOOKUP(A12,LIV!$C:$M,11,0),"dd.mm.yyyy")</f>
        <v>#N/A</v>
      </c>
      <c r="P12" s="34" t="str">
        <f t="shared" si="2"/>
        <v/>
      </c>
      <c r="Q12" s="33"/>
    </row>
    <row r="13" spans="1:17" x14ac:dyDescent="0.25">
      <c r="A13" s="34"/>
      <c r="B13" s="34" t="str">
        <f>IF(A13&lt;&gt;"",VLOOKUP(A13,LIV!$C:$AD,28,0),"")</f>
        <v/>
      </c>
      <c r="C13" s="34" t="str">
        <f>IF(A13&lt;&gt;"",_xlfn.XLOOKUP(A13,LIV!$C:$C,LIV!$AD:$AD,,,-1),"")</f>
        <v/>
      </c>
      <c r="D13" s="34" t="e">
        <f>TEXT(VLOOKUP(A13,LIV!$C:$S,17,0),"dd.mm.yyyy")</f>
        <v>#N/A</v>
      </c>
      <c r="E13" s="34" t="e">
        <f>VLOOKUP(A13,LIV!$C:$R,16,0)</f>
        <v>#N/A</v>
      </c>
      <c r="F13" s="34" t="str">
        <f>_xlfn.IFNA(TEXT(_xlfn.XLOOKUP(A13,LIV!$C:$C,LIV!$B:$B),"dd.mm.yyyy"),"")</f>
        <v>00.01.1900</v>
      </c>
      <c r="G13" s="34">
        <f>SUMIF(LIV!$C:$C,Execute!A13,LIV!$Z:$Z)</f>
        <v>0</v>
      </c>
      <c r="H13" s="34" t="e">
        <f>VLOOKUP(A13,LIV!$C:$J,8,0)</f>
        <v>#N/A</v>
      </c>
      <c r="I13" s="34" t="e">
        <f>VLOOKUP(A13,LIV!$C:$G,5,0)</f>
        <v>#N/A</v>
      </c>
      <c r="J13" s="34" t="str">
        <f t="shared" si="3"/>
        <v/>
      </c>
      <c r="K13" s="34" t="e">
        <f>VLOOKUP(A13,LIV!$C:$H,6,0)</f>
        <v>#N/A</v>
      </c>
      <c r="L13" s="34" t="str">
        <f t="shared" si="0"/>
        <v/>
      </c>
      <c r="M13" s="34" t="e">
        <f>VLOOKUP(A13,LIV!$C:$R,16,0)</f>
        <v>#N/A</v>
      </c>
      <c r="N13" s="34">
        <f t="shared" si="1"/>
        <v>0</v>
      </c>
      <c r="O13" s="34" t="e">
        <f>TEXT(VLOOKUP(A13,LIV!$C:$M,11,0),"dd.mm.yyyy")</f>
        <v>#N/A</v>
      </c>
      <c r="P13" s="34" t="str">
        <f t="shared" si="2"/>
        <v/>
      </c>
      <c r="Q13" s="33"/>
    </row>
    <row r="14" spans="1:17" x14ac:dyDescent="0.25">
      <c r="A14" s="34"/>
      <c r="B14" s="34" t="str">
        <f>IF(A14&lt;&gt;"",VLOOKUP(A14,LIV!$C:$AD,28,0),"")</f>
        <v/>
      </c>
      <c r="C14" s="34" t="str">
        <f>IF(A14&lt;&gt;"",_xlfn.XLOOKUP(A14,LIV!$C:$C,LIV!$AD:$AD,,,-1),"")</f>
        <v/>
      </c>
      <c r="D14" s="34" t="e">
        <f>TEXT(VLOOKUP(A14,LIV!$C:$S,17,0),"dd.mm.yyyy")</f>
        <v>#N/A</v>
      </c>
      <c r="E14" s="34" t="e">
        <f>VLOOKUP(A14,LIV!$C:$R,16,0)</f>
        <v>#N/A</v>
      </c>
      <c r="F14" s="34" t="str">
        <f>_xlfn.IFNA(TEXT(_xlfn.XLOOKUP(A14,LIV!$C:$C,LIV!$B:$B),"dd.mm.yyyy"),"")</f>
        <v>00.01.1900</v>
      </c>
      <c r="G14" s="34">
        <f>SUMIF(LIV!$C:$C,Execute!A14,LIV!$Z:$Z)</f>
        <v>0</v>
      </c>
      <c r="H14" s="34" t="e">
        <f>VLOOKUP(A14,LIV!$C:$J,8,0)</f>
        <v>#N/A</v>
      </c>
      <c r="I14" s="34" t="e">
        <f>VLOOKUP(A14,LIV!$C:$G,5,0)</f>
        <v>#N/A</v>
      </c>
      <c r="J14" s="34" t="str">
        <f t="shared" si="3"/>
        <v/>
      </c>
      <c r="K14" s="34" t="e">
        <f>VLOOKUP(A14,LIV!$C:$H,6,0)</f>
        <v>#N/A</v>
      </c>
      <c r="L14" s="34" t="str">
        <f t="shared" si="0"/>
        <v/>
      </c>
      <c r="M14" s="34" t="e">
        <f>VLOOKUP(A14,LIV!$C:$R,16,0)</f>
        <v>#N/A</v>
      </c>
      <c r="N14" s="34">
        <f t="shared" si="1"/>
        <v>0</v>
      </c>
      <c r="O14" s="34" t="e">
        <f>TEXT(VLOOKUP(A14,LIV!$C:$M,11,0),"dd.mm.yyyy")</f>
        <v>#N/A</v>
      </c>
      <c r="P14" s="34" t="str">
        <f t="shared" si="2"/>
        <v/>
      </c>
      <c r="Q14" s="33"/>
    </row>
    <row r="15" spans="1:17" x14ac:dyDescent="0.25">
      <c r="A15" s="34"/>
      <c r="B15" s="34" t="str">
        <f>IF(A15&lt;&gt;"",VLOOKUP(A15,LIV!$C:$AD,28,0),"")</f>
        <v/>
      </c>
      <c r="C15" s="34" t="str">
        <f>IF(A15&lt;&gt;"",_xlfn.XLOOKUP(A15,LIV!$C:$C,LIV!$AD:$AD,,,-1),"")</f>
        <v/>
      </c>
      <c r="D15" s="34" t="e">
        <f>TEXT(VLOOKUP(A15,LIV!$C:$S,17,0),"dd.mm.yyyy")</f>
        <v>#N/A</v>
      </c>
      <c r="E15" s="34" t="e">
        <f>VLOOKUP(A15,LIV!$C:$R,16,0)</f>
        <v>#N/A</v>
      </c>
      <c r="F15" s="34" t="str">
        <f>_xlfn.IFNA(TEXT(_xlfn.XLOOKUP(A15,LIV!$C:$C,LIV!$B:$B),"dd.mm.yyyy"),"")</f>
        <v>00.01.1900</v>
      </c>
      <c r="G15" s="34">
        <f>SUMIF(LIV!$C:$C,Execute!A15,LIV!$Z:$Z)</f>
        <v>0</v>
      </c>
      <c r="H15" s="34" t="e">
        <f>VLOOKUP(A15,LIV!$C:$J,8,0)</f>
        <v>#N/A</v>
      </c>
      <c r="I15" s="34" t="e">
        <f>VLOOKUP(A15,LIV!$C:$G,5,0)</f>
        <v>#N/A</v>
      </c>
      <c r="J15" s="34" t="str">
        <f t="shared" si="3"/>
        <v/>
      </c>
      <c r="K15" s="34" t="e">
        <f>VLOOKUP(A15,LIV!$C:$H,6,0)</f>
        <v>#N/A</v>
      </c>
      <c r="L15" s="34" t="str">
        <f t="shared" ref="L15:L78" si="4">IF(A15&lt;&gt;"","A01","")</f>
        <v/>
      </c>
      <c r="M15" s="34" t="e">
        <f>VLOOKUP(A15,LIV!$C:$R,16,0)</f>
        <v>#N/A</v>
      </c>
      <c r="N15" s="34">
        <f t="shared" ref="N15:N78" si="5">A15</f>
        <v>0</v>
      </c>
      <c r="O15" s="34" t="e">
        <f>TEXT(VLOOKUP(A15,LIV!$C:$M,11,0),"dd.mm.yyyy")</f>
        <v>#N/A</v>
      </c>
      <c r="P15" s="34" t="str">
        <f t="shared" ref="P15:P78" si="6">IF(A15&lt;&gt;"","T","")</f>
        <v/>
      </c>
      <c r="Q15" s="33"/>
    </row>
    <row r="16" spans="1:17" x14ac:dyDescent="0.25">
      <c r="A16" s="34"/>
      <c r="B16" s="34" t="str">
        <f>IF(A16&lt;&gt;"",VLOOKUP(A16,LIV!$C:$AD,28,0),"")</f>
        <v/>
      </c>
      <c r="C16" s="34" t="str">
        <f>IF(A16&lt;&gt;"",_xlfn.XLOOKUP(A16,LIV!$C:$C,LIV!$AD:$AD,,,-1),"")</f>
        <v/>
      </c>
      <c r="D16" s="34" t="e">
        <f>TEXT(VLOOKUP(A16,LIV!$C:$S,17,0),"dd.mm.yyyy")</f>
        <v>#N/A</v>
      </c>
      <c r="E16" s="34" t="e">
        <f>VLOOKUP(A16,LIV!$C:$R,16,0)</f>
        <v>#N/A</v>
      </c>
      <c r="F16" s="34" t="str">
        <f>_xlfn.IFNA(TEXT(_xlfn.XLOOKUP(A16,LIV!$C:$C,LIV!$B:$B),"dd.mm.yyyy"),"")</f>
        <v>00.01.1900</v>
      </c>
      <c r="G16" s="34">
        <f>SUMIF(LIV!$C:$C,Execute!A16,LIV!$Z:$Z)</f>
        <v>0</v>
      </c>
      <c r="H16" s="34" t="e">
        <f>VLOOKUP(A16,LIV!$C:$J,8,0)</f>
        <v>#N/A</v>
      </c>
      <c r="I16" s="34" t="e">
        <f>VLOOKUP(A16,LIV!$C:$G,5,0)</f>
        <v>#N/A</v>
      </c>
      <c r="J16" s="34" t="str">
        <f t="shared" si="3"/>
        <v/>
      </c>
      <c r="K16" s="34" t="e">
        <f>VLOOKUP(A16,LIV!$C:$H,6,0)</f>
        <v>#N/A</v>
      </c>
      <c r="L16" s="34" t="str">
        <f t="shared" si="4"/>
        <v/>
      </c>
      <c r="M16" s="34" t="e">
        <f>VLOOKUP(A16,LIV!$C:$R,16,0)</f>
        <v>#N/A</v>
      </c>
      <c r="N16" s="34">
        <f t="shared" si="5"/>
        <v>0</v>
      </c>
      <c r="O16" s="34" t="e">
        <f>TEXT(VLOOKUP(A16,LIV!$C:$M,11,0),"dd.mm.yyyy")</f>
        <v>#N/A</v>
      </c>
      <c r="P16" s="34" t="str">
        <f t="shared" si="6"/>
        <v/>
      </c>
      <c r="Q16" s="33"/>
    </row>
    <row r="17" spans="1:17" x14ac:dyDescent="0.25">
      <c r="A17" s="34"/>
      <c r="B17" s="34" t="str">
        <f>IF(A17&lt;&gt;"",VLOOKUP(A17,LIV!$C:$AD,28,0),"")</f>
        <v/>
      </c>
      <c r="C17" s="34" t="str">
        <f>IF(A17&lt;&gt;"",_xlfn.XLOOKUP(A17,LIV!$C:$C,LIV!$AD:$AD,,,-1),"")</f>
        <v/>
      </c>
      <c r="D17" s="34" t="e">
        <f>TEXT(VLOOKUP(A17,LIV!$C:$S,17,0),"dd.mm.yyyy")</f>
        <v>#N/A</v>
      </c>
      <c r="E17" s="34" t="e">
        <f>VLOOKUP(A17,LIV!$C:$R,16,0)</f>
        <v>#N/A</v>
      </c>
      <c r="F17" s="34" t="str">
        <f>_xlfn.IFNA(TEXT(_xlfn.XLOOKUP(A17,LIV!$C:$C,LIV!$B:$B),"dd.mm.yyyy"),"")</f>
        <v>00.01.1900</v>
      </c>
      <c r="G17" s="34">
        <f>SUMIF(LIV!$C:$C,Execute!A17,LIV!$Z:$Z)</f>
        <v>0</v>
      </c>
      <c r="H17" s="34" t="e">
        <f>VLOOKUP(A17,LIV!$C:$J,8,0)</f>
        <v>#N/A</v>
      </c>
      <c r="I17" s="34" t="e">
        <f>VLOOKUP(A17,LIV!$C:$G,5,0)</f>
        <v>#N/A</v>
      </c>
      <c r="J17" s="34" t="str">
        <f t="shared" si="3"/>
        <v/>
      </c>
      <c r="K17" s="34" t="e">
        <f>VLOOKUP(A17,LIV!$C:$H,6,0)</f>
        <v>#N/A</v>
      </c>
      <c r="L17" s="34" t="str">
        <f t="shared" si="4"/>
        <v/>
      </c>
      <c r="M17" s="34" t="e">
        <f>VLOOKUP(A17,LIV!$C:$R,16,0)</f>
        <v>#N/A</v>
      </c>
      <c r="N17" s="34">
        <f t="shared" si="5"/>
        <v>0</v>
      </c>
      <c r="O17" s="34" t="e">
        <f>TEXT(VLOOKUP(A17,LIV!$C:$M,11,0),"dd.mm.yyyy")</f>
        <v>#N/A</v>
      </c>
      <c r="P17" s="34" t="str">
        <f t="shared" si="6"/>
        <v/>
      </c>
      <c r="Q17" s="33"/>
    </row>
    <row r="18" spans="1:17" x14ac:dyDescent="0.25">
      <c r="A18" s="34"/>
      <c r="B18" s="34" t="str">
        <f>IF(A18&lt;&gt;"",VLOOKUP(A18,LIV!$C:$AD,28,0),"")</f>
        <v/>
      </c>
      <c r="C18" s="34" t="str">
        <f>IF(A18&lt;&gt;"",_xlfn.XLOOKUP(A18,LIV!$C:$C,LIV!$AD:$AD,,,-1),"")</f>
        <v/>
      </c>
      <c r="D18" s="34" t="e">
        <f>TEXT(VLOOKUP(A18,LIV!$C:$S,17,0),"dd.mm.yyyy")</f>
        <v>#N/A</v>
      </c>
      <c r="E18" s="34" t="e">
        <f>VLOOKUP(A18,LIV!$C:$R,16,0)</f>
        <v>#N/A</v>
      </c>
      <c r="F18" s="34" t="str">
        <f>_xlfn.IFNA(TEXT(_xlfn.XLOOKUP(A18,LIV!$C:$C,LIV!$B:$B),"dd.mm.yyyy"),"")</f>
        <v>00.01.1900</v>
      </c>
      <c r="G18" s="34">
        <f>SUMIF(LIV!$C:$C,Execute!A18,LIV!$Z:$Z)</f>
        <v>0</v>
      </c>
      <c r="H18" s="34" t="e">
        <f>VLOOKUP(A18,LIV!$C:$J,8,0)</f>
        <v>#N/A</v>
      </c>
      <c r="I18" s="34" t="e">
        <f>VLOOKUP(A18,LIV!$C:$G,5,0)</f>
        <v>#N/A</v>
      </c>
      <c r="J18" s="34" t="str">
        <f t="shared" si="3"/>
        <v/>
      </c>
      <c r="K18" s="34" t="e">
        <f>VLOOKUP(A18,LIV!$C:$H,6,0)</f>
        <v>#N/A</v>
      </c>
      <c r="L18" s="34" t="str">
        <f t="shared" si="4"/>
        <v/>
      </c>
      <c r="M18" s="34" t="e">
        <f>VLOOKUP(A18,LIV!$C:$R,16,0)</f>
        <v>#N/A</v>
      </c>
      <c r="N18" s="34">
        <f t="shared" si="5"/>
        <v>0</v>
      </c>
      <c r="O18" s="34" t="e">
        <f>TEXT(VLOOKUP(A18,LIV!$C:$M,11,0),"dd.mm.yyyy")</f>
        <v>#N/A</v>
      </c>
      <c r="P18" s="34" t="str">
        <f t="shared" si="6"/>
        <v/>
      </c>
      <c r="Q18" s="33"/>
    </row>
    <row r="19" spans="1:17" x14ac:dyDescent="0.25">
      <c r="A19" s="34"/>
      <c r="B19" s="34" t="str">
        <f>IF(A19&lt;&gt;"",VLOOKUP(A19,LIV!$C:$AD,28,0),"")</f>
        <v/>
      </c>
      <c r="C19" s="34" t="str">
        <f>IF(A19&lt;&gt;"",_xlfn.XLOOKUP(A19,LIV!$C:$C,LIV!$AD:$AD,,,-1),"")</f>
        <v/>
      </c>
      <c r="D19" s="34" t="e">
        <f>TEXT(VLOOKUP(A19,LIV!$C:$S,17,0),"dd.mm.yyyy")</f>
        <v>#N/A</v>
      </c>
      <c r="E19" s="34" t="e">
        <f>VLOOKUP(A19,LIV!$C:$R,16,0)</f>
        <v>#N/A</v>
      </c>
      <c r="F19" s="34" t="str">
        <f>_xlfn.IFNA(TEXT(_xlfn.XLOOKUP(A19,LIV!$C:$C,LIV!$B:$B),"dd.mm.yyyy"),"")</f>
        <v>00.01.1900</v>
      </c>
      <c r="G19" s="34">
        <f>SUMIF(LIV!$C:$C,Execute!A19,LIV!$Z:$Z)</f>
        <v>0</v>
      </c>
      <c r="H19" s="34" t="e">
        <f>VLOOKUP(A19,LIV!$C:$J,8,0)</f>
        <v>#N/A</v>
      </c>
      <c r="I19" s="34" t="e">
        <f>VLOOKUP(A19,LIV!$C:$G,5,0)</f>
        <v>#N/A</v>
      </c>
      <c r="J19" s="34" t="str">
        <f t="shared" si="3"/>
        <v/>
      </c>
      <c r="K19" s="34" t="e">
        <f>VLOOKUP(A19,LIV!$C:$H,6,0)</f>
        <v>#N/A</v>
      </c>
      <c r="L19" s="34" t="str">
        <f t="shared" si="4"/>
        <v/>
      </c>
      <c r="M19" s="34" t="e">
        <f>VLOOKUP(A19,LIV!$C:$R,16,0)</f>
        <v>#N/A</v>
      </c>
      <c r="N19" s="34">
        <f t="shared" si="5"/>
        <v>0</v>
      </c>
      <c r="O19" s="34" t="e">
        <f>TEXT(VLOOKUP(A19,LIV!$C:$M,11,0),"dd.mm.yyyy")</f>
        <v>#N/A</v>
      </c>
      <c r="P19" s="34" t="str">
        <f t="shared" si="6"/>
        <v/>
      </c>
      <c r="Q19" s="33"/>
    </row>
    <row r="20" spans="1:17" x14ac:dyDescent="0.25">
      <c r="A20" s="34"/>
      <c r="B20" s="34" t="str">
        <f>IF(A20&lt;&gt;"",VLOOKUP(A20,LIV!$C:$AD,28,0),"")</f>
        <v/>
      </c>
      <c r="C20" s="34" t="str">
        <f>IF(A20&lt;&gt;"",_xlfn.XLOOKUP(A20,LIV!$C:$C,LIV!$AD:$AD,,,-1),"")</f>
        <v/>
      </c>
      <c r="D20" s="34" t="e">
        <f>TEXT(VLOOKUP(A20,LIV!$C:$S,17,0),"dd.mm.yyyy")</f>
        <v>#N/A</v>
      </c>
      <c r="E20" s="34" t="e">
        <f>VLOOKUP(A20,LIV!$C:$R,16,0)</f>
        <v>#N/A</v>
      </c>
      <c r="F20" s="34" t="str">
        <f>_xlfn.IFNA(TEXT(_xlfn.XLOOKUP(A20,LIV!$C:$C,LIV!$B:$B),"dd.mm.yyyy"),"")</f>
        <v>00.01.1900</v>
      </c>
      <c r="G20" s="34">
        <f>SUMIF(LIV!$C:$C,Execute!A20,LIV!$Z:$Z)</f>
        <v>0</v>
      </c>
      <c r="H20" s="34" t="e">
        <f>VLOOKUP(A20,LIV!$C:$J,8,0)</f>
        <v>#N/A</v>
      </c>
      <c r="I20" s="34" t="e">
        <f>VLOOKUP(A20,LIV!$C:$G,5,0)</f>
        <v>#N/A</v>
      </c>
      <c r="J20" s="34" t="str">
        <f t="shared" si="3"/>
        <v/>
      </c>
      <c r="K20" s="34" t="e">
        <f>VLOOKUP(A20,LIV!$C:$H,6,0)</f>
        <v>#N/A</v>
      </c>
      <c r="L20" s="34" t="str">
        <f t="shared" si="4"/>
        <v/>
      </c>
      <c r="M20" s="34" t="e">
        <f>VLOOKUP(A20,LIV!$C:$R,16,0)</f>
        <v>#N/A</v>
      </c>
      <c r="N20" s="34">
        <f t="shared" si="5"/>
        <v>0</v>
      </c>
      <c r="O20" s="34" t="e">
        <f>TEXT(VLOOKUP(A20,LIV!$C:$M,11,0),"dd.mm.yyyy")</f>
        <v>#N/A</v>
      </c>
      <c r="P20" s="34" t="str">
        <f t="shared" si="6"/>
        <v/>
      </c>
      <c r="Q20" s="33"/>
    </row>
    <row r="21" spans="1:17" x14ac:dyDescent="0.25">
      <c r="A21" s="34"/>
      <c r="B21" s="34" t="str">
        <f>IF(A21&lt;&gt;"",VLOOKUP(A21,LIV!$C:$AD,28,0),"")</f>
        <v/>
      </c>
      <c r="C21" s="34" t="str">
        <f>IF(A21&lt;&gt;"",_xlfn.XLOOKUP(A21,LIV!$C:$C,LIV!$AD:$AD,,,-1),"")</f>
        <v/>
      </c>
      <c r="D21" s="34" t="e">
        <f>TEXT(VLOOKUP(A21,LIV!$C:$S,17,0),"dd.mm.yyyy")</f>
        <v>#N/A</v>
      </c>
      <c r="E21" s="34" t="e">
        <f>VLOOKUP(A21,LIV!$C:$R,16,0)</f>
        <v>#N/A</v>
      </c>
      <c r="F21" s="34" t="str">
        <f>_xlfn.IFNA(TEXT(_xlfn.XLOOKUP(A21,LIV!$C:$C,LIV!$B:$B),"dd.mm.yyyy"),"")</f>
        <v>00.01.1900</v>
      </c>
      <c r="G21" s="34">
        <f>SUMIF(LIV!$C:$C,Execute!A21,LIV!$Z:$Z)</f>
        <v>0</v>
      </c>
      <c r="H21" s="34" t="e">
        <f>VLOOKUP(A21,LIV!$C:$J,8,0)</f>
        <v>#N/A</v>
      </c>
      <c r="I21" s="34" t="e">
        <f>VLOOKUP(A21,LIV!$C:$G,5,0)</f>
        <v>#N/A</v>
      </c>
      <c r="J21" s="34" t="str">
        <f t="shared" si="3"/>
        <v/>
      </c>
      <c r="K21" s="34" t="e">
        <f>VLOOKUP(A21,LIV!$C:$H,6,0)</f>
        <v>#N/A</v>
      </c>
      <c r="L21" s="34" t="str">
        <f t="shared" si="4"/>
        <v/>
      </c>
      <c r="M21" s="34" t="e">
        <f>VLOOKUP(A21,LIV!$C:$R,16,0)</f>
        <v>#N/A</v>
      </c>
      <c r="N21" s="34">
        <f t="shared" si="5"/>
        <v>0</v>
      </c>
      <c r="O21" s="34" t="e">
        <f>TEXT(VLOOKUP(A21,LIV!$C:$M,11,0),"dd.mm.yyyy")</f>
        <v>#N/A</v>
      </c>
      <c r="P21" s="34" t="str">
        <f t="shared" si="6"/>
        <v/>
      </c>
      <c r="Q21" s="33"/>
    </row>
    <row r="22" spans="1:17" x14ac:dyDescent="0.25">
      <c r="A22" s="34"/>
      <c r="B22" s="34" t="str">
        <f>IF(A22&lt;&gt;"",VLOOKUP(A22,LIV!$C:$AD,28,0),"")</f>
        <v/>
      </c>
      <c r="C22" s="34" t="str">
        <f>IF(A22&lt;&gt;"",_xlfn.XLOOKUP(A22,LIV!$C:$C,LIV!$AD:$AD,,,-1),"")</f>
        <v/>
      </c>
      <c r="D22" s="34" t="e">
        <f>TEXT(VLOOKUP(A22,LIV!$C:$S,17,0),"dd.mm.yyyy")</f>
        <v>#N/A</v>
      </c>
      <c r="E22" s="34" t="e">
        <f>VLOOKUP(A22,LIV!$C:$R,16,0)</f>
        <v>#N/A</v>
      </c>
      <c r="F22" s="34" t="str">
        <f>_xlfn.IFNA(TEXT(_xlfn.XLOOKUP(A22,LIV!$C:$C,LIV!$B:$B),"dd.mm.yyyy"),"")</f>
        <v>00.01.1900</v>
      </c>
      <c r="G22" s="34">
        <f>SUMIF(LIV!$C:$C,Execute!A22,LIV!$Z:$Z)</f>
        <v>0</v>
      </c>
      <c r="H22" s="34" t="e">
        <f>VLOOKUP(A22,LIV!$C:$J,8,0)</f>
        <v>#N/A</v>
      </c>
      <c r="I22" s="34" t="e">
        <f>VLOOKUP(A22,LIV!$C:$G,5,0)</f>
        <v>#N/A</v>
      </c>
      <c r="J22" s="34" t="str">
        <f t="shared" si="3"/>
        <v/>
      </c>
      <c r="K22" s="34" t="e">
        <f>VLOOKUP(A22,LIV!$C:$H,6,0)</f>
        <v>#N/A</v>
      </c>
      <c r="L22" s="34" t="str">
        <f t="shared" si="4"/>
        <v/>
      </c>
      <c r="M22" s="34" t="e">
        <f>VLOOKUP(A22,LIV!$C:$R,16,0)</f>
        <v>#N/A</v>
      </c>
      <c r="N22" s="34">
        <f t="shared" si="5"/>
        <v>0</v>
      </c>
      <c r="O22" s="34" t="e">
        <f>TEXT(VLOOKUP(A22,LIV!$C:$M,11,0),"dd.mm.yyyy")</f>
        <v>#N/A</v>
      </c>
      <c r="P22" s="34" t="str">
        <f t="shared" si="6"/>
        <v/>
      </c>
      <c r="Q22" s="33"/>
    </row>
    <row r="23" spans="1:17" x14ac:dyDescent="0.25">
      <c r="A23" s="34"/>
      <c r="B23" s="34" t="str">
        <f>IF(A23&lt;&gt;"",VLOOKUP(A23,LIV!$C:$AD,28,0),"")</f>
        <v/>
      </c>
      <c r="C23" s="34" t="str">
        <f>IF(A23&lt;&gt;"",_xlfn.XLOOKUP(A23,LIV!$C:$C,LIV!$AD:$AD,,,-1),"")</f>
        <v/>
      </c>
      <c r="D23" s="34" t="e">
        <f>TEXT(VLOOKUP(A23,LIV!$C:$S,17,0),"dd.mm.yyyy")</f>
        <v>#N/A</v>
      </c>
      <c r="E23" s="34" t="e">
        <f>VLOOKUP(A23,LIV!$C:$R,16,0)</f>
        <v>#N/A</v>
      </c>
      <c r="F23" s="34" t="str">
        <f>_xlfn.IFNA(TEXT(_xlfn.XLOOKUP(A23,LIV!$C:$C,LIV!$B:$B),"dd.mm.yyyy"),"")</f>
        <v>00.01.1900</v>
      </c>
      <c r="G23" s="34">
        <f>SUMIF(LIV!$C:$C,Execute!A23,LIV!$Z:$Z)</f>
        <v>0</v>
      </c>
      <c r="H23" s="34" t="e">
        <f>VLOOKUP(A23,LIV!$C:$J,8,0)</f>
        <v>#N/A</v>
      </c>
      <c r="I23" s="34" t="e">
        <f>VLOOKUP(A23,LIV!$C:$G,5,0)</f>
        <v>#N/A</v>
      </c>
      <c r="J23" s="34" t="str">
        <f t="shared" si="3"/>
        <v/>
      </c>
      <c r="K23" s="34" t="e">
        <f>VLOOKUP(A23,LIV!$C:$H,6,0)</f>
        <v>#N/A</v>
      </c>
      <c r="L23" s="34" t="str">
        <f t="shared" si="4"/>
        <v/>
      </c>
      <c r="M23" s="34" t="e">
        <f>VLOOKUP(A23,LIV!$C:$R,16,0)</f>
        <v>#N/A</v>
      </c>
      <c r="N23" s="34">
        <f t="shared" si="5"/>
        <v>0</v>
      </c>
      <c r="O23" s="34" t="e">
        <f>TEXT(VLOOKUP(A23,LIV!$C:$M,11,0),"dd.mm.yyyy")</f>
        <v>#N/A</v>
      </c>
      <c r="P23" s="34" t="str">
        <f t="shared" si="6"/>
        <v/>
      </c>
      <c r="Q23" s="33"/>
    </row>
    <row r="24" spans="1:17" x14ac:dyDescent="0.25">
      <c r="A24" s="34"/>
      <c r="B24" s="34" t="str">
        <f>IF(A24&lt;&gt;"",VLOOKUP(A24,LIV!$C:$AD,28,0),"")</f>
        <v/>
      </c>
      <c r="C24" s="34" t="str">
        <f>IF(A24&lt;&gt;"",_xlfn.XLOOKUP(A24,LIV!$C:$C,LIV!$AD:$AD,,,-1),"")</f>
        <v/>
      </c>
      <c r="D24" s="34" t="e">
        <f>TEXT(VLOOKUP(A24,LIV!$C:$S,17,0),"dd.mm.yyyy")</f>
        <v>#N/A</v>
      </c>
      <c r="E24" s="34" t="e">
        <f>VLOOKUP(A24,LIV!$C:$R,16,0)</f>
        <v>#N/A</v>
      </c>
      <c r="F24" s="34" t="str">
        <f>_xlfn.IFNA(TEXT(_xlfn.XLOOKUP(A24,LIV!$C:$C,LIV!$B:$B),"dd.mm.yyyy"),"")</f>
        <v>00.01.1900</v>
      </c>
      <c r="G24" s="34">
        <f>SUMIF(LIV!$C:$C,Execute!A24,LIV!$Z:$Z)</f>
        <v>0</v>
      </c>
      <c r="H24" s="34" t="e">
        <f>VLOOKUP(A24,LIV!$C:$J,8,0)</f>
        <v>#N/A</v>
      </c>
      <c r="I24" s="34" t="e">
        <f>VLOOKUP(A24,LIV!$C:$G,5,0)</f>
        <v>#N/A</v>
      </c>
      <c r="J24" s="34" t="str">
        <f t="shared" si="3"/>
        <v/>
      </c>
      <c r="K24" s="34" t="e">
        <f>VLOOKUP(A24,LIV!$C:$H,6,0)</f>
        <v>#N/A</v>
      </c>
      <c r="L24" s="34" t="str">
        <f t="shared" si="4"/>
        <v/>
      </c>
      <c r="M24" s="34" t="e">
        <f>VLOOKUP(A24,LIV!$C:$R,16,0)</f>
        <v>#N/A</v>
      </c>
      <c r="N24" s="34">
        <f t="shared" si="5"/>
        <v>0</v>
      </c>
      <c r="O24" s="34" t="e">
        <f>TEXT(VLOOKUP(A24,LIV!$C:$M,11,0),"dd.mm.yyyy")</f>
        <v>#N/A</v>
      </c>
      <c r="P24" s="34" t="str">
        <f t="shared" si="6"/>
        <v/>
      </c>
      <c r="Q24" s="33"/>
    </row>
    <row r="25" spans="1:17" x14ac:dyDescent="0.25">
      <c r="A25" s="34"/>
      <c r="B25" s="34" t="str">
        <f>IF(A25&lt;&gt;"",VLOOKUP(A25,LIV!$C:$AD,28,0),"")</f>
        <v/>
      </c>
      <c r="C25" s="34" t="str">
        <f>IF(A25&lt;&gt;"",_xlfn.XLOOKUP(A25,LIV!$C:$C,LIV!$AD:$AD,,,-1),"")</f>
        <v/>
      </c>
      <c r="D25" s="34" t="e">
        <f>TEXT(VLOOKUP(A25,LIV!$C:$S,17,0),"dd.mm.yyyy")</f>
        <v>#N/A</v>
      </c>
      <c r="E25" s="34" t="e">
        <f>VLOOKUP(A25,LIV!$C:$R,16,0)</f>
        <v>#N/A</v>
      </c>
      <c r="F25" s="34" t="str">
        <f>_xlfn.IFNA(TEXT(_xlfn.XLOOKUP(A25,LIV!$C:$C,LIV!$B:$B),"dd.mm.yyyy"),"")</f>
        <v>00.01.1900</v>
      </c>
      <c r="G25" s="34">
        <f>SUMIF(LIV!$C:$C,Execute!A25,LIV!$Z:$Z)</f>
        <v>0</v>
      </c>
      <c r="H25" s="34" t="e">
        <f>VLOOKUP(A25,LIV!$C:$J,8,0)</f>
        <v>#N/A</v>
      </c>
      <c r="I25" s="34" t="e">
        <f>VLOOKUP(A25,LIV!$C:$G,5,0)</f>
        <v>#N/A</v>
      </c>
      <c r="J25" s="34" t="str">
        <f t="shared" si="3"/>
        <v/>
      </c>
      <c r="K25" s="34" t="e">
        <f>VLOOKUP(A25,LIV!$C:$H,6,0)</f>
        <v>#N/A</v>
      </c>
      <c r="L25" s="34" t="str">
        <f t="shared" si="4"/>
        <v/>
      </c>
      <c r="M25" s="34" t="e">
        <f>VLOOKUP(A25,LIV!$C:$R,16,0)</f>
        <v>#N/A</v>
      </c>
      <c r="N25" s="34">
        <f t="shared" si="5"/>
        <v>0</v>
      </c>
      <c r="O25" s="34" t="e">
        <f>TEXT(VLOOKUP(A25,LIV!$C:$M,11,0),"dd.mm.yyyy")</f>
        <v>#N/A</v>
      </c>
      <c r="P25" s="34" t="str">
        <f t="shared" si="6"/>
        <v/>
      </c>
      <c r="Q25" s="33"/>
    </row>
    <row r="26" spans="1:17" x14ac:dyDescent="0.25">
      <c r="A26" s="34"/>
      <c r="B26" s="34" t="str">
        <f>IF(A26&lt;&gt;"",VLOOKUP(A26,LIV!$C:$AD,28,0),"")</f>
        <v/>
      </c>
      <c r="C26" s="34" t="str">
        <f>IF(A26&lt;&gt;"",_xlfn.XLOOKUP(A26,LIV!$C:$C,LIV!$AD:$AD,,,-1),"")</f>
        <v/>
      </c>
      <c r="D26" s="34" t="e">
        <f>TEXT(VLOOKUP(A26,LIV!$C:$S,17,0),"dd.mm.yyyy")</f>
        <v>#N/A</v>
      </c>
      <c r="E26" s="34" t="e">
        <f>VLOOKUP(A26,LIV!$C:$R,16,0)</f>
        <v>#N/A</v>
      </c>
      <c r="F26" s="34" t="str">
        <f>_xlfn.IFNA(TEXT(_xlfn.XLOOKUP(A26,LIV!$C:$C,LIV!$B:$B),"dd.mm.yyyy"),"")</f>
        <v>00.01.1900</v>
      </c>
      <c r="G26" s="34">
        <f>SUMIF(LIV!$C:$C,Execute!A26,LIV!$Z:$Z)</f>
        <v>0</v>
      </c>
      <c r="H26" s="34" t="e">
        <f>VLOOKUP(A26,LIV!$C:$J,8,0)</f>
        <v>#N/A</v>
      </c>
      <c r="I26" s="34" t="e">
        <f>VLOOKUP(A26,LIV!$C:$G,5,0)</f>
        <v>#N/A</v>
      </c>
      <c r="J26" s="34" t="str">
        <f t="shared" si="3"/>
        <v/>
      </c>
      <c r="K26" s="34" t="e">
        <f>VLOOKUP(A26,LIV!$C:$H,6,0)</f>
        <v>#N/A</v>
      </c>
      <c r="L26" s="34" t="str">
        <f t="shared" si="4"/>
        <v/>
      </c>
      <c r="M26" s="34" t="e">
        <f>VLOOKUP(A26,LIV!$C:$R,16,0)</f>
        <v>#N/A</v>
      </c>
      <c r="N26" s="34">
        <f t="shared" si="5"/>
        <v>0</v>
      </c>
      <c r="O26" s="34" t="e">
        <f>TEXT(VLOOKUP(A26,LIV!$C:$M,11,0),"dd.mm.yyyy")</f>
        <v>#N/A</v>
      </c>
      <c r="P26" s="34" t="str">
        <f t="shared" si="6"/>
        <v/>
      </c>
      <c r="Q26" s="33"/>
    </row>
    <row r="27" spans="1:17" x14ac:dyDescent="0.25">
      <c r="A27" s="34"/>
      <c r="B27" s="34" t="str">
        <f>IF(A27&lt;&gt;"",VLOOKUP(A27,LIV!$C:$AD,28,0),"")</f>
        <v/>
      </c>
      <c r="C27" s="34" t="str">
        <f>IF(A27&lt;&gt;"",_xlfn.XLOOKUP(A27,LIV!$C:$C,LIV!$AD:$AD,,,-1),"")</f>
        <v/>
      </c>
      <c r="D27" s="34" t="e">
        <f>TEXT(VLOOKUP(A27,LIV!$C:$S,17,0),"dd.mm.yyyy")</f>
        <v>#N/A</v>
      </c>
      <c r="E27" s="34" t="e">
        <f>VLOOKUP(A27,LIV!$C:$R,16,0)</f>
        <v>#N/A</v>
      </c>
      <c r="F27" s="34" t="str">
        <f>_xlfn.IFNA(TEXT(_xlfn.XLOOKUP(A27,LIV!$C:$C,LIV!$B:$B),"dd.mm.yyyy"),"")</f>
        <v>00.01.1900</v>
      </c>
      <c r="G27" s="34">
        <f>SUMIF(LIV!$C:$C,Execute!A27,LIV!$Z:$Z)</f>
        <v>0</v>
      </c>
      <c r="H27" s="34" t="e">
        <f>VLOOKUP(A27,LIV!$C:$J,8,0)</f>
        <v>#N/A</v>
      </c>
      <c r="I27" s="34" t="e">
        <f>VLOOKUP(A27,LIV!$C:$G,5,0)</f>
        <v>#N/A</v>
      </c>
      <c r="J27" s="34" t="str">
        <f t="shared" si="3"/>
        <v/>
      </c>
      <c r="K27" s="34" t="e">
        <f>VLOOKUP(A27,LIV!$C:$H,6,0)</f>
        <v>#N/A</v>
      </c>
      <c r="L27" s="34" t="str">
        <f t="shared" si="4"/>
        <v/>
      </c>
      <c r="M27" s="34" t="e">
        <f>VLOOKUP(A27,LIV!$C:$R,16,0)</f>
        <v>#N/A</v>
      </c>
      <c r="N27" s="34">
        <f t="shared" si="5"/>
        <v>0</v>
      </c>
      <c r="O27" s="34" t="e">
        <f>TEXT(VLOOKUP(A27,LIV!$C:$M,11,0),"dd.mm.yyyy")</f>
        <v>#N/A</v>
      </c>
      <c r="P27" s="34" t="str">
        <f t="shared" si="6"/>
        <v/>
      </c>
      <c r="Q27" s="33"/>
    </row>
    <row r="28" spans="1:17" x14ac:dyDescent="0.25">
      <c r="A28" s="34"/>
      <c r="B28" s="34" t="str">
        <f>IF(A28&lt;&gt;"",VLOOKUP(A28,LIV!$C:$AD,28,0),"")</f>
        <v/>
      </c>
      <c r="C28" s="34" t="str">
        <f>IF(A28&lt;&gt;"",_xlfn.XLOOKUP(A28,LIV!$C:$C,LIV!$AD:$AD,,,-1),"")</f>
        <v/>
      </c>
      <c r="D28" s="34" t="e">
        <f>TEXT(VLOOKUP(A28,LIV!$C:$S,17,0),"dd.mm.yyyy")</f>
        <v>#N/A</v>
      </c>
      <c r="E28" s="34" t="e">
        <f>VLOOKUP(A28,LIV!$C:$R,16,0)</f>
        <v>#N/A</v>
      </c>
      <c r="F28" s="34" t="str">
        <f>_xlfn.IFNA(TEXT(_xlfn.XLOOKUP(A28,LIV!$C:$C,LIV!$B:$B),"dd.mm.yyyy"),"")</f>
        <v>00.01.1900</v>
      </c>
      <c r="G28" s="34">
        <f>SUMIF(LIV!$C:$C,Execute!A28,LIV!$Z:$Z)</f>
        <v>0</v>
      </c>
      <c r="H28" s="34" t="e">
        <f>VLOOKUP(A28,LIV!$C:$J,8,0)</f>
        <v>#N/A</v>
      </c>
      <c r="I28" s="34" t="e">
        <f>VLOOKUP(A28,LIV!$C:$G,5,0)</f>
        <v>#N/A</v>
      </c>
      <c r="J28" s="34" t="str">
        <f t="shared" si="3"/>
        <v/>
      </c>
      <c r="K28" s="34" t="e">
        <f>VLOOKUP(A28,LIV!$C:$H,6,0)</f>
        <v>#N/A</v>
      </c>
      <c r="L28" s="34" t="str">
        <f t="shared" si="4"/>
        <v/>
      </c>
      <c r="M28" s="34" t="e">
        <f>VLOOKUP(A28,LIV!$C:$R,16,0)</f>
        <v>#N/A</v>
      </c>
      <c r="N28" s="34">
        <f t="shared" si="5"/>
        <v>0</v>
      </c>
      <c r="O28" s="34" t="e">
        <f>TEXT(VLOOKUP(A28,LIV!$C:$M,11,0),"dd.mm.yyyy")</f>
        <v>#N/A</v>
      </c>
      <c r="P28" s="34" t="str">
        <f t="shared" si="6"/>
        <v/>
      </c>
      <c r="Q28" s="33"/>
    </row>
    <row r="29" spans="1:17" x14ac:dyDescent="0.25">
      <c r="A29" s="34"/>
      <c r="B29" s="34" t="str">
        <f>IF(A29&lt;&gt;"",VLOOKUP(A29,LIV!$C:$AD,28,0),"")</f>
        <v/>
      </c>
      <c r="C29" s="34" t="str">
        <f>IF(A29&lt;&gt;"",_xlfn.XLOOKUP(A29,LIV!$C:$C,LIV!$AD:$AD,,,-1),"")</f>
        <v/>
      </c>
      <c r="D29" s="34" t="e">
        <f>TEXT(VLOOKUP(A29,LIV!$C:$S,17,0),"dd.mm.yyyy")</f>
        <v>#N/A</v>
      </c>
      <c r="E29" s="34" t="e">
        <f>VLOOKUP(A29,LIV!$C:$R,16,0)</f>
        <v>#N/A</v>
      </c>
      <c r="F29" s="34" t="str">
        <f>_xlfn.IFNA(TEXT(_xlfn.XLOOKUP(A29,LIV!$C:$C,LIV!$B:$B),"dd.mm.yyyy"),"")</f>
        <v>00.01.1900</v>
      </c>
      <c r="G29" s="34">
        <f>SUMIF(LIV!$C:$C,Execute!A29,LIV!$Z:$Z)</f>
        <v>0</v>
      </c>
      <c r="H29" s="34" t="e">
        <f>VLOOKUP(A29,LIV!$C:$J,8,0)</f>
        <v>#N/A</v>
      </c>
      <c r="I29" s="34" t="e">
        <f>VLOOKUP(A29,LIV!$C:$G,5,0)</f>
        <v>#N/A</v>
      </c>
      <c r="J29" s="34" t="str">
        <f t="shared" si="3"/>
        <v/>
      </c>
      <c r="K29" s="34" t="e">
        <f>VLOOKUP(A29,LIV!$C:$H,6,0)</f>
        <v>#N/A</v>
      </c>
      <c r="L29" s="34" t="str">
        <f t="shared" si="4"/>
        <v/>
      </c>
      <c r="M29" s="34" t="e">
        <f>VLOOKUP(A29,LIV!$C:$R,16,0)</f>
        <v>#N/A</v>
      </c>
      <c r="N29" s="34">
        <f t="shared" si="5"/>
        <v>0</v>
      </c>
      <c r="O29" s="34" t="e">
        <f>TEXT(VLOOKUP(A29,LIV!$C:$M,11,0),"dd.mm.yyyy")</f>
        <v>#N/A</v>
      </c>
      <c r="P29" s="34" t="str">
        <f t="shared" si="6"/>
        <v/>
      </c>
      <c r="Q29" s="33"/>
    </row>
    <row r="30" spans="1:17" x14ac:dyDescent="0.25">
      <c r="A30" s="34"/>
      <c r="B30" s="34" t="str">
        <f>IF(A30&lt;&gt;"",VLOOKUP(A30,LIV!$C:$AD,28,0),"")</f>
        <v/>
      </c>
      <c r="C30" s="34" t="str">
        <f>IF(A30&lt;&gt;"",_xlfn.XLOOKUP(A30,LIV!$C:$C,LIV!$AD:$AD,,,-1),"")</f>
        <v/>
      </c>
      <c r="D30" s="34" t="e">
        <f>TEXT(VLOOKUP(A30,LIV!$C:$S,17,0),"dd.mm.yyyy")</f>
        <v>#N/A</v>
      </c>
      <c r="E30" s="34" t="e">
        <f>VLOOKUP(A30,LIV!$C:$R,16,0)</f>
        <v>#N/A</v>
      </c>
      <c r="F30" s="34" t="str">
        <f>_xlfn.IFNA(TEXT(_xlfn.XLOOKUP(A30,LIV!$C:$C,LIV!$B:$B),"dd.mm.yyyy"),"")</f>
        <v>00.01.1900</v>
      </c>
      <c r="G30" s="34">
        <f>SUMIF(LIV!$C:$C,Execute!A30,LIV!$Z:$Z)</f>
        <v>0</v>
      </c>
      <c r="H30" s="34" t="e">
        <f>VLOOKUP(A30,LIV!$C:$J,8,0)</f>
        <v>#N/A</v>
      </c>
      <c r="I30" s="34" t="e">
        <f>VLOOKUP(A30,LIV!$C:$G,5,0)</f>
        <v>#N/A</v>
      </c>
      <c r="J30" s="34" t="str">
        <f t="shared" si="3"/>
        <v/>
      </c>
      <c r="K30" s="34" t="e">
        <f>VLOOKUP(A30,LIV!$C:$H,6,0)</f>
        <v>#N/A</v>
      </c>
      <c r="L30" s="34" t="str">
        <f t="shared" si="4"/>
        <v/>
      </c>
      <c r="M30" s="34" t="e">
        <f>VLOOKUP(A30,LIV!$C:$R,16,0)</f>
        <v>#N/A</v>
      </c>
      <c r="N30" s="34">
        <f t="shared" si="5"/>
        <v>0</v>
      </c>
      <c r="O30" s="34" t="e">
        <f>TEXT(VLOOKUP(A30,LIV!$C:$M,11,0),"dd.mm.yyyy")</f>
        <v>#N/A</v>
      </c>
      <c r="P30" s="34" t="str">
        <f t="shared" si="6"/>
        <v/>
      </c>
      <c r="Q30" s="33"/>
    </row>
    <row r="31" spans="1:17" x14ac:dyDescent="0.25">
      <c r="A31" s="34"/>
      <c r="B31" s="34" t="str">
        <f>IF(A31&lt;&gt;"",VLOOKUP(A31,LIV!$C:$AD,28,0),"")</f>
        <v/>
      </c>
      <c r="C31" s="34" t="str">
        <f>IF(A31&lt;&gt;"",_xlfn.XLOOKUP(A31,LIV!$C:$C,LIV!$AD:$AD,,,-1),"")</f>
        <v/>
      </c>
      <c r="D31" s="34" t="e">
        <f>TEXT(VLOOKUP(A31,LIV!$C:$S,17,0),"dd.mm.yyyy")</f>
        <v>#N/A</v>
      </c>
      <c r="E31" s="34" t="e">
        <f>VLOOKUP(A31,LIV!$C:$R,16,0)</f>
        <v>#N/A</v>
      </c>
      <c r="F31" s="34" t="str">
        <f>_xlfn.IFNA(TEXT(_xlfn.XLOOKUP(A31,LIV!$C:$C,LIV!$B:$B),"dd.mm.yyyy"),"")</f>
        <v>00.01.1900</v>
      </c>
      <c r="G31" s="34">
        <f>SUMIF(LIV!$C:$C,Execute!A31,LIV!$Z:$Z)</f>
        <v>0</v>
      </c>
      <c r="H31" s="34" t="e">
        <f>VLOOKUP(A31,LIV!$C:$J,8,0)</f>
        <v>#N/A</v>
      </c>
      <c r="I31" s="34" t="e">
        <f>VLOOKUP(A31,LIV!$C:$G,5,0)</f>
        <v>#N/A</v>
      </c>
      <c r="J31" s="34" t="str">
        <f t="shared" si="3"/>
        <v/>
      </c>
      <c r="K31" s="34" t="e">
        <f>VLOOKUP(A31,LIV!$C:$H,6,0)</f>
        <v>#N/A</v>
      </c>
      <c r="L31" s="34" t="str">
        <f t="shared" si="4"/>
        <v/>
      </c>
      <c r="M31" s="34" t="e">
        <f>VLOOKUP(A31,LIV!$C:$R,16,0)</f>
        <v>#N/A</v>
      </c>
      <c r="N31" s="34">
        <f t="shared" si="5"/>
        <v>0</v>
      </c>
      <c r="O31" s="34" t="e">
        <f>TEXT(VLOOKUP(A31,LIV!$C:$M,11,0),"dd.mm.yyyy")</f>
        <v>#N/A</v>
      </c>
      <c r="P31" s="34" t="str">
        <f t="shared" si="6"/>
        <v/>
      </c>
      <c r="Q31" s="33"/>
    </row>
    <row r="32" spans="1:17" x14ac:dyDescent="0.25">
      <c r="A32" s="34"/>
      <c r="B32" s="34" t="str">
        <f>IF(A32&lt;&gt;"",VLOOKUP(A32,LIV!$C:$AD,28,0),"")</f>
        <v/>
      </c>
      <c r="C32" s="34" t="str">
        <f>IF(A32&lt;&gt;"",_xlfn.XLOOKUP(A32,LIV!$C:$C,LIV!$AD:$AD,,,-1),"")</f>
        <v/>
      </c>
      <c r="D32" s="34" t="e">
        <f>TEXT(VLOOKUP(A32,LIV!$C:$S,17,0),"dd.mm.yyyy")</f>
        <v>#N/A</v>
      </c>
      <c r="E32" s="34" t="e">
        <f>VLOOKUP(A32,LIV!$C:$R,16,0)</f>
        <v>#N/A</v>
      </c>
      <c r="F32" s="34" t="str">
        <f>_xlfn.IFNA(TEXT(_xlfn.XLOOKUP(A32,LIV!$C:$C,LIV!$B:$B),"dd.mm.yyyy"),"")</f>
        <v>00.01.1900</v>
      </c>
      <c r="G32" s="34">
        <f>SUMIF(LIV!$C:$C,Execute!A32,LIV!$Z:$Z)</f>
        <v>0</v>
      </c>
      <c r="H32" s="34" t="e">
        <f>VLOOKUP(A32,LIV!$C:$J,8,0)</f>
        <v>#N/A</v>
      </c>
      <c r="I32" s="34" t="e">
        <f>VLOOKUP(A32,LIV!$C:$G,5,0)</f>
        <v>#N/A</v>
      </c>
      <c r="J32" s="34" t="str">
        <f t="shared" si="3"/>
        <v/>
      </c>
      <c r="K32" s="34" t="e">
        <f>VLOOKUP(A32,LIV!$C:$H,6,0)</f>
        <v>#N/A</v>
      </c>
      <c r="L32" s="34" t="str">
        <f t="shared" si="4"/>
        <v/>
      </c>
      <c r="M32" s="34" t="e">
        <f>VLOOKUP(A32,LIV!$C:$R,16,0)</f>
        <v>#N/A</v>
      </c>
      <c r="N32" s="34">
        <f t="shared" si="5"/>
        <v>0</v>
      </c>
      <c r="O32" s="34" t="e">
        <f>TEXT(VLOOKUP(A32,LIV!$C:$M,11,0),"dd.mm.yyyy")</f>
        <v>#N/A</v>
      </c>
      <c r="P32" s="34" t="str">
        <f t="shared" si="6"/>
        <v/>
      </c>
      <c r="Q32" s="33"/>
    </row>
    <row r="33" spans="1:17" x14ac:dyDescent="0.25">
      <c r="A33" s="34"/>
      <c r="B33" s="34" t="str">
        <f>IF(A33&lt;&gt;"",VLOOKUP(A33,LIV!$C:$AD,28,0),"")</f>
        <v/>
      </c>
      <c r="C33" s="34" t="str">
        <f>IF(A33&lt;&gt;"",_xlfn.XLOOKUP(A33,LIV!$C:$C,LIV!$AD:$AD,,,-1),"")</f>
        <v/>
      </c>
      <c r="D33" s="34" t="e">
        <f>TEXT(VLOOKUP(A33,LIV!$C:$S,17,0),"dd.mm.yyyy")</f>
        <v>#N/A</v>
      </c>
      <c r="E33" s="34" t="e">
        <f>VLOOKUP(A33,LIV!$C:$R,16,0)</f>
        <v>#N/A</v>
      </c>
      <c r="F33" s="34" t="str">
        <f>_xlfn.IFNA(TEXT(_xlfn.XLOOKUP(A33,LIV!$C:$C,LIV!$B:$B),"dd.mm.yyyy"),"")</f>
        <v>00.01.1900</v>
      </c>
      <c r="G33" s="34">
        <f>SUMIF(LIV!$C:$C,Execute!A33,LIV!$Z:$Z)</f>
        <v>0</v>
      </c>
      <c r="H33" s="34" t="e">
        <f>VLOOKUP(A33,LIV!$C:$J,8,0)</f>
        <v>#N/A</v>
      </c>
      <c r="I33" s="34" t="e">
        <f>VLOOKUP(A33,LIV!$C:$G,5,0)</f>
        <v>#N/A</v>
      </c>
      <c r="J33" s="34" t="str">
        <f t="shared" si="3"/>
        <v/>
      </c>
      <c r="K33" s="34" t="e">
        <f>VLOOKUP(A33,LIV!$C:$H,6,0)</f>
        <v>#N/A</v>
      </c>
      <c r="L33" s="34" t="str">
        <f t="shared" si="4"/>
        <v/>
      </c>
      <c r="M33" s="34" t="e">
        <f>VLOOKUP(A33,LIV!$C:$R,16,0)</f>
        <v>#N/A</v>
      </c>
      <c r="N33" s="34">
        <f t="shared" si="5"/>
        <v>0</v>
      </c>
      <c r="O33" s="34" t="e">
        <f>TEXT(VLOOKUP(A33,LIV!$C:$M,11,0),"dd.mm.yyyy")</f>
        <v>#N/A</v>
      </c>
      <c r="P33" s="34" t="str">
        <f t="shared" si="6"/>
        <v/>
      </c>
      <c r="Q33" s="33"/>
    </row>
    <row r="34" spans="1:17" x14ac:dyDescent="0.25">
      <c r="A34" s="34"/>
      <c r="B34" s="34" t="str">
        <f>IF(A34&lt;&gt;"",VLOOKUP(A34,LIV!$C:$AD,28,0),"")</f>
        <v/>
      </c>
      <c r="C34" s="34" t="str">
        <f>IF(A34&lt;&gt;"",_xlfn.XLOOKUP(A34,LIV!$C:$C,LIV!$AD:$AD,,,-1),"")</f>
        <v/>
      </c>
      <c r="D34" s="34" t="e">
        <f>TEXT(VLOOKUP(A34,LIV!$C:$S,17,0),"dd.mm.yyyy")</f>
        <v>#N/A</v>
      </c>
      <c r="E34" s="34" t="e">
        <f>VLOOKUP(A34,LIV!$C:$R,16,0)</f>
        <v>#N/A</v>
      </c>
      <c r="F34" s="34" t="str">
        <f>_xlfn.IFNA(TEXT(_xlfn.XLOOKUP(A34,LIV!$C:$C,LIV!$B:$B),"dd.mm.yyyy"),"")</f>
        <v>00.01.1900</v>
      </c>
      <c r="G34" s="34">
        <f>SUMIF(LIV!$C:$C,Execute!A34,LIV!$Z:$Z)</f>
        <v>0</v>
      </c>
      <c r="H34" s="34" t="e">
        <f>VLOOKUP(A34,LIV!$C:$J,8,0)</f>
        <v>#N/A</v>
      </c>
      <c r="I34" s="34" t="e">
        <f>VLOOKUP(A34,LIV!$C:$G,5,0)</f>
        <v>#N/A</v>
      </c>
      <c r="J34" s="34" t="str">
        <f t="shared" si="3"/>
        <v/>
      </c>
      <c r="K34" s="34" t="e">
        <f>VLOOKUP(A34,LIV!$C:$H,6,0)</f>
        <v>#N/A</v>
      </c>
      <c r="L34" s="34" t="str">
        <f t="shared" si="4"/>
        <v/>
      </c>
      <c r="M34" s="34" t="e">
        <f>VLOOKUP(A34,LIV!$C:$R,16,0)</f>
        <v>#N/A</v>
      </c>
      <c r="N34" s="34">
        <f t="shared" si="5"/>
        <v>0</v>
      </c>
      <c r="O34" s="34" t="e">
        <f>TEXT(VLOOKUP(A34,LIV!$C:$M,11,0),"dd.mm.yyyy")</f>
        <v>#N/A</v>
      </c>
      <c r="P34" s="34" t="str">
        <f t="shared" si="6"/>
        <v/>
      </c>
      <c r="Q34" s="33"/>
    </row>
    <row r="35" spans="1:17" x14ac:dyDescent="0.25">
      <c r="A35" s="34"/>
      <c r="B35" s="34" t="str">
        <f>IF(A35&lt;&gt;"",VLOOKUP(A35,LIV!$C:$AD,28,0),"")</f>
        <v/>
      </c>
      <c r="C35" s="34" t="str">
        <f>IF(A35&lt;&gt;"",_xlfn.XLOOKUP(A35,LIV!$C:$C,LIV!$AD:$AD,,,-1),"")</f>
        <v/>
      </c>
      <c r="D35" s="34" t="e">
        <f>TEXT(VLOOKUP(A35,LIV!$C:$S,17,0),"dd.mm.yyyy")</f>
        <v>#N/A</v>
      </c>
      <c r="E35" s="34" t="e">
        <f>VLOOKUP(A35,LIV!$C:$R,16,0)</f>
        <v>#N/A</v>
      </c>
      <c r="F35" s="34" t="str">
        <f>_xlfn.IFNA(TEXT(_xlfn.XLOOKUP(A35,LIV!$C:$C,LIV!$B:$B),"dd.mm.yyyy"),"")</f>
        <v>00.01.1900</v>
      </c>
      <c r="G35" s="34">
        <f>SUMIF(LIV!$C:$C,Execute!A35,LIV!$Z:$Z)</f>
        <v>0</v>
      </c>
      <c r="H35" s="34" t="e">
        <f>VLOOKUP(A35,LIV!$C:$J,8,0)</f>
        <v>#N/A</v>
      </c>
      <c r="I35" s="34" t="e">
        <f>VLOOKUP(A35,LIV!$C:$G,5,0)</f>
        <v>#N/A</v>
      </c>
      <c r="J35" s="34" t="str">
        <f t="shared" si="3"/>
        <v/>
      </c>
      <c r="K35" s="34" t="e">
        <f>VLOOKUP(A35,LIV!$C:$H,6,0)</f>
        <v>#N/A</v>
      </c>
      <c r="L35" s="34" t="str">
        <f t="shared" si="4"/>
        <v/>
      </c>
      <c r="M35" s="34" t="e">
        <f>VLOOKUP(A35,LIV!$C:$R,16,0)</f>
        <v>#N/A</v>
      </c>
      <c r="N35" s="34">
        <f t="shared" si="5"/>
        <v>0</v>
      </c>
      <c r="O35" s="34" t="e">
        <f>TEXT(VLOOKUP(A35,LIV!$C:$M,11,0),"dd.mm.yyyy")</f>
        <v>#N/A</v>
      </c>
      <c r="P35" s="34" t="str">
        <f t="shared" si="6"/>
        <v/>
      </c>
      <c r="Q35" s="33"/>
    </row>
    <row r="36" spans="1:17" x14ac:dyDescent="0.25">
      <c r="A36" s="34"/>
      <c r="B36" s="34" t="str">
        <f>IF(A36&lt;&gt;"",VLOOKUP(A36,LIV!$C:$AD,28,0),"")</f>
        <v/>
      </c>
      <c r="C36" s="34" t="str">
        <f>IF(A36&lt;&gt;"",_xlfn.XLOOKUP(A36,LIV!$C:$C,LIV!$AD:$AD,,,-1),"")</f>
        <v/>
      </c>
      <c r="D36" s="34" t="e">
        <f>TEXT(VLOOKUP(A36,LIV!$C:$S,17,0),"dd.mm.yyyy")</f>
        <v>#N/A</v>
      </c>
      <c r="E36" s="34" t="e">
        <f>VLOOKUP(A36,LIV!$C:$R,16,0)</f>
        <v>#N/A</v>
      </c>
      <c r="F36" s="34" t="str">
        <f>_xlfn.IFNA(TEXT(_xlfn.XLOOKUP(A36,LIV!$C:$C,LIV!$B:$B),"dd.mm.yyyy"),"")</f>
        <v>00.01.1900</v>
      </c>
      <c r="G36" s="34">
        <f>SUMIF(LIV!$C:$C,Execute!A36,LIV!$Z:$Z)</f>
        <v>0</v>
      </c>
      <c r="H36" s="34" t="e">
        <f>VLOOKUP(A36,LIV!$C:$J,8,0)</f>
        <v>#N/A</v>
      </c>
      <c r="I36" s="34" t="e">
        <f>VLOOKUP(A36,LIV!$C:$G,5,0)</f>
        <v>#N/A</v>
      </c>
      <c r="J36" s="34" t="str">
        <f t="shared" si="3"/>
        <v/>
      </c>
      <c r="K36" s="34" t="e">
        <f>VLOOKUP(A36,LIV!$C:$H,6,0)</f>
        <v>#N/A</v>
      </c>
      <c r="L36" s="34" t="str">
        <f t="shared" si="4"/>
        <v/>
      </c>
      <c r="M36" s="34" t="e">
        <f>VLOOKUP(A36,LIV!$C:$R,16,0)</f>
        <v>#N/A</v>
      </c>
      <c r="N36" s="34">
        <f t="shared" si="5"/>
        <v>0</v>
      </c>
      <c r="O36" s="34" t="e">
        <f>TEXT(VLOOKUP(A36,LIV!$C:$M,11,0),"dd.mm.yyyy")</f>
        <v>#N/A</v>
      </c>
      <c r="P36" s="34" t="str">
        <f t="shared" si="6"/>
        <v/>
      </c>
      <c r="Q36" s="33"/>
    </row>
    <row r="37" spans="1:17" x14ac:dyDescent="0.25">
      <c r="A37" s="34"/>
      <c r="B37" s="34" t="str">
        <f>IF(A37&lt;&gt;"",VLOOKUP(A37,LIV!$C:$AD,28,0),"")</f>
        <v/>
      </c>
      <c r="C37" s="34" t="str">
        <f>IF(A37&lt;&gt;"",_xlfn.XLOOKUP(A37,LIV!$C:$C,LIV!$AD:$AD,,,-1),"")</f>
        <v/>
      </c>
      <c r="D37" s="34" t="e">
        <f>TEXT(VLOOKUP(A37,LIV!$C:$S,17,0),"dd.mm.yyyy")</f>
        <v>#N/A</v>
      </c>
      <c r="E37" s="34" t="e">
        <f>VLOOKUP(A37,LIV!$C:$R,16,0)</f>
        <v>#N/A</v>
      </c>
      <c r="F37" s="34" t="str">
        <f>_xlfn.IFNA(TEXT(_xlfn.XLOOKUP(A37,LIV!$C:$C,LIV!$B:$B),"dd.mm.yyyy"),"")</f>
        <v>00.01.1900</v>
      </c>
      <c r="G37" s="34">
        <f>SUMIF(LIV!$C:$C,Execute!A37,LIV!$Z:$Z)</f>
        <v>0</v>
      </c>
      <c r="H37" s="34" t="e">
        <f>VLOOKUP(A37,LIV!$C:$J,8,0)</f>
        <v>#N/A</v>
      </c>
      <c r="I37" s="34" t="e">
        <f>VLOOKUP(A37,LIV!$C:$G,5,0)</f>
        <v>#N/A</v>
      </c>
      <c r="J37" s="34" t="str">
        <f t="shared" si="3"/>
        <v/>
      </c>
      <c r="K37" s="34" t="e">
        <f>VLOOKUP(A37,LIV!$C:$H,6,0)</f>
        <v>#N/A</v>
      </c>
      <c r="L37" s="34" t="str">
        <f t="shared" si="4"/>
        <v/>
      </c>
      <c r="M37" s="34" t="e">
        <f>VLOOKUP(A37,LIV!$C:$R,16,0)</f>
        <v>#N/A</v>
      </c>
      <c r="N37" s="34">
        <f t="shared" si="5"/>
        <v>0</v>
      </c>
      <c r="O37" s="34" t="e">
        <f>TEXT(VLOOKUP(A37,LIV!$C:$M,11,0),"dd.mm.yyyy")</f>
        <v>#N/A</v>
      </c>
      <c r="P37" s="34" t="str">
        <f t="shared" si="6"/>
        <v/>
      </c>
      <c r="Q37" s="33"/>
    </row>
    <row r="38" spans="1:17" x14ac:dyDescent="0.25">
      <c r="A38" s="34"/>
      <c r="B38" s="34" t="str">
        <f>IF(A38&lt;&gt;"",VLOOKUP(A38,LIV!$C:$AD,28,0),"")</f>
        <v/>
      </c>
      <c r="C38" s="34" t="str">
        <f>IF(A38&lt;&gt;"",_xlfn.XLOOKUP(A38,LIV!$C:$C,LIV!$AD:$AD,,,-1),"")</f>
        <v/>
      </c>
      <c r="D38" s="34" t="e">
        <f>TEXT(VLOOKUP(A38,LIV!$C:$S,17,0),"dd.mm.yyyy")</f>
        <v>#N/A</v>
      </c>
      <c r="E38" s="34" t="e">
        <f>VLOOKUP(A38,LIV!$C:$R,16,0)</f>
        <v>#N/A</v>
      </c>
      <c r="F38" s="34" t="str">
        <f>_xlfn.IFNA(TEXT(_xlfn.XLOOKUP(A38,LIV!$C:$C,LIV!$B:$B),"dd.mm.yyyy"),"")</f>
        <v>00.01.1900</v>
      </c>
      <c r="G38" s="34">
        <f>SUMIF(LIV!$C:$C,Execute!A38,LIV!$Z:$Z)</f>
        <v>0</v>
      </c>
      <c r="H38" s="34" t="e">
        <f>VLOOKUP(A38,LIV!$C:$J,8,0)</f>
        <v>#N/A</v>
      </c>
      <c r="I38" s="34" t="e">
        <f>VLOOKUP(A38,LIV!$C:$G,5,0)</f>
        <v>#N/A</v>
      </c>
      <c r="J38" s="34" t="str">
        <f t="shared" si="3"/>
        <v/>
      </c>
      <c r="K38" s="34" t="e">
        <f>VLOOKUP(A38,LIV!$C:$H,6,0)</f>
        <v>#N/A</v>
      </c>
      <c r="L38" s="34" t="str">
        <f t="shared" si="4"/>
        <v/>
      </c>
      <c r="M38" s="34" t="e">
        <f>VLOOKUP(A38,LIV!$C:$R,16,0)</f>
        <v>#N/A</v>
      </c>
      <c r="N38" s="34">
        <f t="shared" si="5"/>
        <v>0</v>
      </c>
      <c r="O38" s="34" t="e">
        <f>TEXT(VLOOKUP(A38,LIV!$C:$M,11,0),"dd.mm.yyyy")</f>
        <v>#N/A</v>
      </c>
      <c r="P38" s="34" t="str">
        <f t="shared" si="6"/>
        <v/>
      </c>
      <c r="Q38" s="33"/>
    </row>
    <row r="39" spans="1:17" x14ac:dyDescent="0.25">
      <c r="A39" s="34"/>
      <c r="B39" s="34" t="str">
        <f>IF(A39&lt;&gt;"",VLOOKUP(A39,LIV!$C:$AD,28,0),"")</f>
        <v/>
      </c>
      <c r="C39" s="34" t="str">
        <f>IF(A39&lt;&gt;"",_xlfn.XLOOKUP(A39,LIV!$C:$C,LIV!$AD:$AD,,,-1),"")</f>
        <v/>
      </c>
      <c r="D39" s="34" t="e">
        <f>TEXT(VLOOKUP(A39,LIV!$C:$S,17,0),"dd.mm.yyyy")</f>
        <v>#N/A</v>
      </c>
      <c r="E39" s="34" t="e">
        <f>VLOOKUP(A39,LIV!$C:$R,16,0)</f>
        <v>#N/A</v>
      </c>
      <c r="F39" s="34" t="str">
        <f>_xlfn.IFNA(TEXT(_xlfn.XLOOKUP(A39,LIV!$C:$C,LIV!$B:$B),"dd.mm.yyyy"),"")</f>
        <v>00.01.1900</v>
      </c>
      <c r="G39" s="34">
        <f>SUMIF(LIV!$C:$C,Execute!A39,LIV!$Z:$Z)</f>
        <v>0</v>
      </c>
      <c r="H39" s="34" t="e">
        <f>VLOOKUP(A39,LIV!$C:$J,8,0)</f>
        <v>#N/A</v>
      </c>
      <c r="I39" s="34" t="e">
        <f>VLOOKUP(A39,LIV!$C:$G,5,0)</f>
        <v>#N/A</v>
      </c>
      <c r="J39" s="34" t="str">
        <f t="shared" si="3"/>
        <v/>
      </c>
      <c r="K39" s="34" t="e">
        <f>VLOOKUP(A39,LIV!$C:$H,6,0)</f>
        <v>#N/A</v>
      </c>
      <c r="L39" s="34" t="str">
        <f t="shared" si="4"/>
        <v/>
      </c>
      <c r="M39" s="34" t="e">
        <f>VLOOKUP(A39,LIV!$C:$R,16,0)</f>
        <v>#N/A</v>
      </c>
      <c r="N39" s="34">
        <f t="shared" si="5"/>
        <v>0</v>
      </c>
      <c r="O39" s="34" t="e">
        <f>TEXT(VLOOKUP(A39,LIV!$C:$M,11,0),"dd.mm.yyyy")</f>
        <v>#N/A</v>
      </c>
      <c r="P39" s="34" t="str">
        <f t="shared" si="6"/>
        <v/>
      </c>
      <c r="Q39" s="33"/>
    </row>
    <row r="40" spans="1:17" x14ac:dyDescent="0.25">
      <c r="A40" s="34"/>
      <c r="B40" s="34" t="str">
        <f>IF(A40&lt;&gt;"",VLOOKUP(A40,LIV!$C:$AD,28,0),"")</f>
        <v/>
      </c>
      <c r="C40" s="34" t="str">
        <f>IF(A40&lt;&gt;"",_xlfn.XLOOKUP(A40,LIV!$C:$C,LIV!$AD:$AD,,,-1),"")</f>
        <v/>
      </c>
      <c r="D40" s="34" t="e">
        <f>TEXT(VLOOKUP(A40,LIV!$C:$S,17,0),"dd.mm.yyyy")</f>
        <v>#N/A</v>
      </c>
      <c r="E40" s="34" t="e">
        <f>VLOOKUP(A40,LIV!$C:$R,16,0)</f>
        <v>#N/A</v>
      </c>
      <c r="F40" s="34" t="str">
        <f>_xlfn.IFNA(TEXT(_xlfn.XLOOKUP(A40,LIV!$C:$C,LIV!$B:$B),"dd.mm.yyyy"),"")</f>
        <v>00.01.1900</v>
      </c>
      <c r="G40" s="34">
        <f>SUMIF(LIV!$C:$C,Execute!A40,LIV!$Z:$Z)</f>
        <v>0</v>
      </c>
      <c r="H40" s="34" t="e">
        <f>VLOOKUP(A40,LIV!$C:$J,8,0)</f>
        <v>#N/A</v>
      </c>
      <c r="I40" s="34" t="e">
        <f>VLOOKUP(A40,LIV!$C:$G,5,0)</f>
        <v>#N/A</v>
      </c>
      <c r="J40" s="34" t="str">
        <f t="shared" si="3"/>
        <v/>
      </c>
      <c r="K40" s="34" t="e">
        <f>VLOOKUP(A40,LIV!$C:$H,6,0)</f>
        <v>#N/A</v>
      </c>
      <c r="L40" s="34" t="str">
        <f t="shared" si="4"/>
        <v/>
      </c>
      <c r="M40" s="34" t="e">
        <f>VLOOKUP(A40,LIV!$C:$R,16,0)</f>
        <v>#N/A</v>
      </c>
      <c r="N40" s="34">
        <f t="shared" si="5"/>
        <v>0</v>
      </c>
      <c r="O40" s="34" t="e">
        <f>TEXT(VLOOKUP(A40,LIV!$C:$M,11,0),"dd.mm.yyyy")</f>
        <v>#N/A</v>
      </c>
      <c r="P40" s="34" t="str">
        <f t="shared" si="6"/>
        <v/>
      </c>
      <c r="Q40" s="33"/>
    </row>
    <row r="41" spans="1:17" x14ac:dyDescent="0.25">
      <c r="A41" s="34"/>
      <c r="B41" s="34" t="str">
        <f>IF(A41&lt;&gt;"",VLOOKUP(A41,LIV!$C:$AD,28,0),"")</f>
        <v/>
      </c>
      <c r="C41" s="34" t="str">
        <f>IF(A41&lt;&gt;"",_xlfn.XLOOKUP(A41,LIV!$C:$C,LIV!$AD:$AD,,,-1),"")</f>
        <v/>
      </c>
      <c r="D41" s="34" t="e">
        <f>TEXT(VLOOKUP(A41,LIV!$C:$S,17,0),"dd.mm.yyyy")</f>
        <v>#N/A</v>
      </c>
      <c r="E41" s="34" t="e">
        <f>VLOOKUP(A41,LIV!$C:$R,16,0)</f>
        <v>#N/A</v>
      </c>
      <c r="F41" s="34" t="str">
        <f>_xlfn.IFNA(TEXT(_xlfn.XLOOKUP(A41,LIV!$C:$C,LIV!$B:$B),"dd.mm.yyyy"),"")</f>
        <v>00.01.1900</v>
      </c>
      <c r="G41" s="34">
        <f>SUMIF(LIV!$C:$C,Execute!A41,LIV!$Z:$Z)</f>
        <v>0</v>
      </c>
      <c r="H41" s="34" t="e">
        <f>VLOOKUP(A41,LIV!$C:$J,8,0)</f>
        <v>#N/A</v>
      </c>
      <c r="I41" s="34" t="e">
        <f>VLOOKUP(A41,LIV!$C:$G,5,0)</f>
        <v>#N/A</v>
      </c>
      <c r="J41" s="34" t="str">
        <f t="shared" si="3"/>
        <v/>
      </c>
      <c r="K41" s="34" t="e">
        <f>VLOOKUP(A41,LIV!$C:$H,6,0)</f>
        <v>#N/A</v>
      </c>
      <c r="L41" s="34" t="str">
        <f t="shared" si="4"/>
        <v/>
      </c>
      <c r="M41" s="34" t="e">
        <f>VLOOKUP(A41,LIV!$C:$R,16,0)</f>
        <v>#N/A</v>
      </c>
      <c r="N41" s="34">
        <f t="shared" si="5"/>
        <v>0</v>
      </c>
      <c r="O41" s="34" t="e">
        <f>TEXT(VLOOKUP(A41,LIV!$C:$M,11,0),"dd.mm.yyyy")</f>
        <v>#N/A</v>
      </c>
      <c r="P41" s="34" t="str">
        <f t="shared" si="6"/>
        <v/>
      </c>
      <c r="Q41" s="33"/>
    </row>
    <row r="42" spans="1:17" x14ac:dyDescent="0.25">
      <c r="A42" s="34"/>
      <c r="B42" s="34" t="str">
        <f>IF(A42&lt;&gt;"",VLOOKUP(A42,LIV!$C:$AD,28,0),"")</f>
        <v/>
      </c>
      <c r="C42" s="34" t="str">
        <f>IF(A42&lt;&gt;"",_xlfn.XLOOKUP(A42,LIV!$C:$C,LIV!$AD:$AD,,,-1),"")</f>
        <v/>
      </c>
      <c r="D42" s="34" t="e">
        <f>TEXT(VLOOKUP(A42,LIV!$C:$S,17,0),"dd.mm.yyyy")</f>
        <v>#N/A</v>
      </c>
      <c r="E42" s="34" t="e">
        <f>VLOOKUP(A42,LIV!$C:$R,16,0)</f>
        <v>#N/A</v>
      </c>
      <c r="F42" s="34" t="str">
        <f>_xlfn.IFNA(TEXT(_xlfn.XLOOKUP(A42,LIV!$C:$C,LIV!$B:$B),"dd.mm.yyyy"),"")</f>
        <v>00.01.1900</v>
      </c>
      <c r="G42" s="34">
        <f>SUMIF(LIV!$C:$C,Execute!A42,LIV!$Z:$Z)</f>
        <v>0</v>
      </c>
      <c r="H42" s="34" t="e">
        <f>VLOOKUP(A42,LIV!$C:$J,8,0)</f>
        <v>#N/A</v>
      </c>
      <c r="I42" s="34" t="e">
        <f>VLOOKUP(A42,LIV!$C:$G,5,0)</f>
        <v>#N/A</v>
      </c>
      <c r="J42" s="34" t="str">
        <f t="shared" si="3"/>
        <v/>
      </c>
      <c r="K42" s="34" t="e">
        <f>VLOOKUP(A42,LIV!$C:$H,6,0)</f>
        <v>#N/A</v>
      </c>
      <c r="L42" s="34" t="str">
        <f t="shared" si="4"/>
        <v/>
      </c>
      <c r="M42" s="34" t="e">
        <f>VLOOKUP(A42,LIV!$C:$R,16,0)</f>
        <v>#N/A</v>
      </c>
      <c r="N42" s="34">
        <f t="shared" si="5"/>
        <v>0</v>
      </c>
      <c r="O42" s="34" t="e">
        <f>TEXT(VLOOKUP(A42,LIV!$C:$M,11,0),"dd.mm.yyyy")</f>
        <v>#N/A</v>
      </c>
      <c r="P42" s="34" t="str">
        <f t="shared" si="6"/>
        <v/>
      </c>
      <c r="Q42" s="33"/>
    </row>
    <row r="43" spans="1:17" x14ac:dyDescent="0.25">
      <c r="A43" s="34"/>
      <c r="B43" s="34" t="str">
        <f>IF(A43&lt;&gt;"",VLOOKUP(A43,LIV!$C:$AD,28,0),"")</f>
        <v/>
      </c>
      <c r="C43" s="34" t="str">
        <f>IF(A43&lt;&gt;"",_xlfn.XLOOKUP(A43,LIV!$C:$C,LIV!$AD:$AD,,,-1),"")</f>
        <v/>
      </c>
      <c r="D43" s="34" t="e">
        <f>TEXT(VLOOKUP(A43,LIV!$C:$S,17,0),"dd.mm.yyyy")</f>
        <v>#N/A</v>
      </c>
      <c r="E43" s="34" t="e">
        <f>VLOOKUP(A43,LIV!$C:$R,16,0)</f>
        <v>#N/A</v>
      </c>
      <c r="F43" s="34" t="str">
        <f>_xlfn.IFNA(TEXT(_xlfn.XLOOKUP(A43,LIV!$C:$C,LIV!$B:$B),"dd.mm.yyyy"),"")</f>
        <v>00.01.1900</v>
      </c>
      <c r="G43" s="34">
        <f>SUMIF(LIV!$C:$C,Execute!A43,LIV!$Z:$Z)</f>
        <v>0</v>
      </c>
      <c r="H43" s="34" t="e">
        <f>VLOOKUP(A43,LIV!$C:$J,8,0)</f>
        <v>#N/A</v>
      </c>
      <c r="I43" s="34" t="e">
        <f>VLOOKUP(A43,LIV!$C:$G,5,0)</f>
        <v>#N/A</v>
      </c>
      <c r="J43" s="34" t="str">
        <f t="shared" si="3"/>
        <v/>
      </c>
      <c r="K43" s="34" t="e">
        <f>VLOOKUP(A43,LIV!$C:$H,6,0)</f>
        <v>#N/A</v>
      </c>
      <c r="L43" s="34" t="str">
        <f t="shared" si="4"/>
        <v/>
      </c>
      <c r="M43" s="34" t="e">
        <f>VLOOKUP(A43,LIV!$C:$R,16,0)</f>
        <v>#N/A</v>
      </c>
      <c r="N43" s="34">
        <f t="shared" si="5"/>
        <v>0</v>
      </c>
      <c r="O43" s="34" t="e">
        <f>TEXT(VLOOKUP(A43,LIV!$C:$M,11,0),"dd.mm.yyyy")</f>
        <v>#N/A</v>
      </c>
      <c r="P43" s="34" t="str">
        <f t="shared" si="6"/>
        <v/>
      </c>
      <c r="Q43" s="33"/>
    </row>
    <row r="44" spans="1:17" x14ac:dyDescent="0.25">
      <c r="A44" s="34"/>
      <c r="B44" s="34" t="str">
        <f>IF(A44&lt;&gt;"",VLOOKUP(A44,LIV!$C:$AD,28,0),"")</f>
        <v/>
      </c>
      <c r="C44" s="34" t="str">
        <f>IF(A44&lt;&gt;"",_xlfn.XLOOKUP(A44,LIV!$C:$C,LIV!$AD:$AD,,,-1),"")</f>
        <v/>
      </c>
      <c r="D44" s="34" t="e">
        <f>TEXT(VLOOKUP(A44,LIV!$C:$S,17,0),"dd.mm.yyyy")</f>
        <v>#N/A</v>
      </c>
      <c r="E44" s="34" t="e">
        <f>VLOOKUP(A44,LIV!$C:$R,16,0)</f>
        <v>#N/A</v>
      </c>
      <c r="F44" s="34" t="str">
        <f>_xlfn.IFNA(TEXT(_xlfn.XLOOKUP(A44,LIV!$C:$C,LIV!$B:$B),"dd.mm.yyyy"),"")</f>
        <v>00.01.1900</v>
      </c>
      <c r="G44" s="34">
        <f>SUMIF(LIV!$C:$C,Execute!A44,LIV!$Z:$Z)</f>
        <v>0</v>
      </c>
      <c r="H44" s="34" t="e">
        <f>VLOOKUP(A44,LIV!$C:$J,8,0)</f>
        <v>#N/A</v>
      </c>
      <c r="I44" s="34" t="e">
        <f>VLOOKUP(A44,LIV!$C:$G,5,0)</f>
        <v>#N/A</v>
      </c>
      <c r="J44" s="34" t="str">
        <f t="shared" si="3"/>
        <v/>
      </c>
      <c r="K44" s="34" t="e">
        <f>VLOOKUP(A44,LIV!$C:$H,6,0)</f>
        <v>#N/A</v>
      </c>
      <c r="L44" s="34" t="str">
        <f t="shared" si="4"/>
        <v/>
      </c>
      <c r="M44" s="34" t="e">
        <f>VLOOKUP(A44,LIV!$C:$R,16,0)</f>
        <v>#N/A</v>
      </c>
      <c r="N44" s="34">
        <f t="shared" si="5"/>
        <v>0</v>
      </c>
      <c r="O44" s="34" t="e">
        <f>TEXT(VLOOKUP(A44,LIV!$C:$M,11,0),"dd.mm.yyyy")</f>
        <v>#N/A</v>
      </c>
      <c r="P44" s="34" t="str">
        <f t="shared" si="6"/>
        <v/>
      </c>
      <c r="Q44" s="33"/>
    </row>
    <row r="45" spans="1:17" x14ac:dyDescent="0.25">
      <c r="A45" s="34"/>
      <c r="B45" s="34" t="str">
        <f>IF(A45&lt;&gt;"",VLOOKUP(A45,LIV!$C:$AD,28,0),"")</f>
        <v/>
      </c>
      <c r="C45" s="34" t="str">
        <f>IF(A45&lt;&gt;"",_xlfn.XLOOKUP(A45,LIV!$C:$C,LIV!$AD:$AD,,,-1),"")</f>
        <v/>
      </c>
      <c r="D45" s="34" t="e">
        <f>TEXT(VLOOKUP(A45,LIV!$C:$S,17,0),"dd.mm.yyyy")</f>
        <v>#N/A</v>
      </c>
      <c r="E45" s="34" t="e">
        <f>VLOOKUP(A45,LIV!$C:$R,16,0)</f>
        <v>#N/A</v>
      </c>
      <c r="F45" s="34" t="str">
        <f>_xlfn.IFNA(TEXT(_xlfn.XLOOKUP(A45,LIV!$C:$C,LIV!$B:$B),"dd.mm.yyyy"),"")</f>
        <v>00.01.1900</v>
      </c>
      <c r="G45" s="34">
        <f>SUMIF(LIV!$C:$C,Execute!A45,LIV!$Z:$Z)</f>
        <v>0</v>
      </c>
      <c r="H45" s="34" t="e">
        <f>VLOOKUP(A45,LIV!$C:$J,8,0)</f>
        <v>#N/A</v>
      </c>
      <c r="I45" s="34" t="e">
        <f>VLOOKUP(A45,LIV!$C:$G,5,0)</f>
        <v>#N/A</v>
      </c>
      <c r="J45" s="34" t="str">
        <f t="shared" si="3"/>
        <v/>
      </c>
      <c r="K45" s="34" t="e">
        <f>VLOOKUP(A45,LIV!$C:$H,6,0)</f>
        <v>#N/A</v>
      </c>
      <c r="L45" s="34" t="str">
        <f t="shared" si="4"/>
        <v/>
      </c>
      <c r="M45" s="34" t="e">
        <f>VLOOKUP(A45,LIV!$C:$R,16,0)</f>
        <v>#N/A</v>
      </c>
      <c r="N45" s="34">
        <f t="shared" si="5"/>
        <v>0</v>
      </c>
      <c r="O45" s="34" t="e">
        <f>TEXT(VLOOKUP(A45,LIV!$C:$M,11,0),"dd.mm.yyyy")</f>
        <v>#N/A</v>
      </c>
      <c r="P45" s="34" t="str">
        <f t="shared" si="6"/>
        <v/>
      </c>
      <c r="Q45" s="33"/>
    </row>
    <row r="46" spans="1:17" x14ac:dyDescent="0.25">
      <c r="A46" s="34"/>
      <c r="B46" s="34" t="str">
        <f>IF(A46&lt;&gt;"",VLOOKUP(A46,LIV!$C:$AD,28,0),"")</f>
        <v/>
      </c>
      <c r="C46" s="34" t="str">
        <f>IF(A46&lt;&gt;"",_xlfn.XLOOKUP(A46,LIV!$C:$C,LIV!$AD:$AD,,,-1),"")</f>
        <v/>
      </c>
      <c r="D46" s="34" t="e">
        <f>TEXT(VLOOKUP(A46,LIV!$C:$S,17,0),"dd.mm.yyyy")</f>
        <v>#N/A</v>
      </c>
      <c r="E46" s="34" t="e">
        <f>VLOOKUP(A46,LIV!$C:$R,16,0)</f>
        <v>#N/A</v>
      </c>
      <c r="F46" s="34" t="str">
        <f>_xlfn.IFNA(TEXT(_xlfn.XLOOKUP(A46,LIV!$C:$C,LIV!$B:$B),"dd.mm.yyyy"),"")</f>
        <v>00.01.1900</v>
      </c>
      <c r="G46" s="34">
        <f>SUMIF(LIV!$C:$C,Execute!A46,LIV!$Z:$Z)</f>
        <v>0</v>
      </c>
      <c r="H46" s="34" t="e">
        <f>VLOOKUP(A46,LIV!$C:$J,8,0)</f>
        <v>#N/A</v>
      </c>
      <c r="I46" s="34" t="e">
        <f>VLOOKUP(A46,LIV!$C:$G,5,0)</f>
        <v>#N/A</v>
      </c>
      <c r="J46" s="34" t="str">
        <f t="shared" si="3"/>
        <v/>
      </c>
      <c r="K46" s="34" t="e">
        <f>VLOOKUP(A46,LIV!$C:$H,6,0)</f>
        <v>#N/A</v>
      </c>
      <c r="L46" s="34" t="str">
        <f t="shared" si="4"/>
        <v/>
      </c>
      <c r="M46" s="34" t="e">
        <f>VLOOKUP(A46,LIV!$C:$R,16,0)</f>
        <v>#N/A</v>
      </c>
      <c r="N46" s="34">
        <f t="shared" si="5"/>
        <v>0</v>
      </c>
      <c r="O46" s="34" t="e">
        <f>TEXT(VLOOKUP(A46,LIV!$C:$M,11,0),"dd.mm.yyyy")</f>
        <v>#N/A</v>
      </c>
      <c r="P46" s="34" t="str">
        <f t="shared" si="6"/>
        <v/>
      </c>
      <c r="Q46" s="33"/>
    </row>
    <row r="47" spans="1:17" x14ac:dyDescent="0.25">
      <c r="A47" s="34"/>
      <c r="B47" s="34" t="str">
        <f>IF(A47&lt;&gt;"",VLOOKUP(A47,LIV!$C:$AD,28,0),"")</f>
        <v/>
      </c>
      <c r="C47" s="34" t="str">
        <f>IF(A47&lt;&gt;"",_xlfn.XLOOKUP(A47,LIV!$C:$C,LIV!$AD:$AD,,,-1),"")</f>
        <v/>
      </c>
      <c r="D47" s="34" t="e">
        <f>TEXT(VLOOKUP(A47,LIV!$C:$S,17,0),"dd.mm.yyyy")</f>
        <v>#N/A</v>
      </c>
      <c r="E47" s="34" t="e">
        <f>VLOOKUP(A47,LIV!$C:$R,16,0)</f>
        <v>#N/A</v>
      </c>
      <c r="F47" s="34" t="str">
        <f>_xlfn.IFNA(TEXT(_xlfn.XLOOKUP(A47,LIV!$C:$C,LIV!$B:$B),"dd.mm.yyyy"),"")</f>
        <v>00.01.1900</v>
      </c>
      <c r="G47" s="34">
        <f>SUMIF(LIV!$C:$C,Execute!A47,LIV!$Z:$Z)</f>
        <v>0</v>
      </c>
      <c r="H47" s="34" t="e">
        <f>VLOOKUP(A47,LIV!$C:$J,8,0)</f>
        <v>#N/A</v>
      </c>
      <c r="I47" s="34" t="e">
        <f>VLOOKUP(A47,LIV!$C:$G,5,0)</f>
        <v>#N/A</v>
      </c>
      <c r="J47" s="34" t="str">
        <f t="shared" si="3"/>
        <v/>
      </c>
      <c r="K47" s="34" t="e">
        <f>VLOOKUP(A47,LIV!$C:$H,6,0)</f>
        <v>#N/A</v>
      </c>
      <c r="L47" s="34" t="str">
        <f t="shared" si="4"/>
        <v/>
      </c>
      <c r="M47" s="34" t="e">
        <f>VLOOKUP(A47,LIV!$C:$R,16,0)</f>
        <v>#N/A</v>
      </c>
      <c r="N47" s="34">
        <f t="shared" si="5"/>
        <v>0</v>
      </c>
      <c r="O47" s="34" t="e">
        <f>TEXT(VLOOKUP(A47,LIV!$C:$M,11,0),"dd.mm.yyyy")</f>
        <v>#N/A</v>
      </c>
      <c r="P47" s="34" t="str">
        <f t="shared" si="6"/>
        <v/>
      </c>
      <c r="Q47" s="33"/>
    </row>
    <row r="48" spans="1:17" x14ac:dyDescent="0.25">
      <c r="A48" s="34"/>
      <c r="B48" s="34" t="str">
        <f>IF(A48&lt;&gt;"",VLOOKUP(A48,LIV!$C:$AD,28,0),"")</f>
        <v/>
      </c>
      <c r="C48" s="34" t="str">
        <f>IF(A48&lt;&gt;"",_xlfn.XLOOKUP(A48,LIV!$C:$C,LIV!$AD:$AD,,,-1),"")</f>
        <v/>
      </c>
      <c r="D48" s="34" t="e">
        <f>TEXT(VLOOKUP(A48,LIV!$C:$S,17,0),"dd.mm.yyyy")</f>
        <v>#N/A</v>
      </c>
      <c r="E48" s="34" t="e">
        <f>VLOOKUP(A48,LIV!$C:$R,16,0)</f>
        <v>#N/A</v>
      </c>
      <c r="F48" s="34" t="str">
        <f>_xlfn.IFNA(TEXT(_xlfn.XLOOKUP(A48,LIV!$C:$C,LIV!$B:$B),"dd.mm.yyyy"),"")</f>
        <v>00.01.1900</v>
      </c>
      <c r="G48" s="34">
        <f>SUMIF(LIV!$C:$C,Execute!A48,LIV!$Z:$Z)</f>
        <v>0</v>
      </c>
      <c r="H48" s="34" t="e">
        <f>VLOOKUP(A48,LIV!$C:$J,8,0)</f>
        <v>#N/A</v>
      </c>
      <c r="I48" s="34" t="e">
        <f>VLOOKUP(A48,LIV!$C:$G,5,0)</f>
        <v>#N/A</v>
      </c>
      <c r="J48" s="34" t="str">
        <f t="shared" si="3"/>
        <v/>
      </c>
      <c r="K48" s="34" t="e">
        <f>VLOOKUP(A48,LIV!$C:$H,6,0)</f>
        <v>#N/A</v>
      </c>
      <c r="L48" s="34" t="str">
        <f t="shared" si="4"/>
        <v/>
      </c>
      <c r="M48" s="34" t="e">
        <f>VLOOKUP(A48,LIV!$C:$R,16,0)</f>
        <v>#N/A</v>
      </c>
      <c r="N48" s="34">
        <f t="shared" si="5"/>
        <v>0</v>
      </c>
      <c r="O48" s="34" t="e">
        <f>TEXT(VLOOKUP(A48,LIV!$C:$M,11,0),"dd.mm.yyyy")</f>
        <v>#N/A</v>
      </c>
      <c r="P48" s="34" t="str">
        <f t="shared" si="6"/>
        <v/>
      </c>
      <c r="Q48" s="33"/>
    </row>
    <row r="49" spans="1:17" x14ac:dyDescent="0.25">
      <c r="A49" s="34"/>
      <c r="B49" s="34" t="str">
        <f>IF(A49&lt;&gt;"",VLOOKUP(A49,LIV!$C:$AD,28,0),"")</f>
        <v/>
      </c>
      <c r="C49" s="34" t="str">
        <f>IF(A49&lt;&gt;"",_xlfn.XLOOKUP(A49,LIV!$C:$C,LIV!$AD:$AD,,,-1),"")</f>
        <v/>
      </c>
      <c r="D49" s="34" t="e">
        <f>TEXT(VLOOKUP(A49,LIV!$C:$S,17,0),"dd.mm.yyyy")</f>
        <v>#N/A</v>
      </c>
      <c r="E49" s="34" t="e">
        <f>VLOOKUP(A49,LIV!$C:$R,16,0)</f>
        <v>#N/A</v>
      </c>
      <c r="F49" s="34" t="str">
        <f>_xlfn.IFNA(TEXT(_xlfn.XLOOKUP(A49,LIV!$C:$C,LIV!$B:$B),"dd.mm.yyyy"),"")</f>
        <v>00.01.1900</v>
      </c>
      <c r="G49" s="34">
        <f>SUMIF(LIV!$C:$C,Execute!A49,LIV!$Z:$Z)</f>
        <v>0</v>
      </c>
      <c r="H49" s="34" t="e">
        <f>VLOOKUP(A49,LIV!$C:$J,8,0)</f>
        <v>#N/A</v>
      </c>
      <c r="I49" s="34" t="e">
        <f>VLOOKUP(A49,LIV!$C:$G,5,0)</f>
        <v>#N/A</v>
      </c>
      <c r="J49" s="34" t="str">
        <f t="shared" si="3"/>
        <v/>
      </c>
      <c r="K49" s="34" t="e">
        <f>VLOOKUP(A49,LIV!$C:$H,6,0)</f>
        <v>#N/A</v>
      </c>
      <c r="L49" s="34" t="str">
        <f t="shared" si="4"/>
        <v/>
      </c>
      <c r="M49" s="34" t="e">
        <f>VLOOKUP(A49,LIV!$C:$R,16,0)</f>
        <v>#N/A</v>
      </c>
      <c r="N49" s="34">
        <f t="shared" si="5"/>
        <v>0</v>
      </c>
      <c r="O49" s="34" t="e">
        <f>TEXT(VLOOKUP(A49,LIV!$C:$M,11,0),"dd.mm.yyyy")</f>
        <v>#N/A</v>
      </c>
      <c r="P49" s="34" t="str">
        <f t="shared" si="6"/>
        <v/>
      </c>
      <c r="Q49" s="33"/>
    </row>
    <row r="50" spans="1:17" x14ac:dyDescent="0.25">
      <c r="A50" s="34"/>
      <c r="B50" s="34" t="str">
        <f>IF(A50&lt;&gt;"",VLOOKUP(A50,LIV!$C:$AD,28,0),"")</f>
        <v/>
      </c>
      <c r="C50" s="34" t="str">
        <f>IF(A50&lt;&gt;"",_xlfn.XLOOKUP(A50,LIV!$C:$C,LIV!$AD:$AD,,,-1),"")</f>
        <v/>
      </c>
      <c r="D50" s="34" t="e">
        <f>TEXT(VLOOKUP(A50,LIV!$C:$S,17,0),"dd.mm.yyyy")</f>
        <v>#N/A</v>
      </c>
      <c r="E50" s="34" t="e">
        <f>VLOOKUP(A50,LIV!$C:$R,16,0)</f>
        <v>#N/A</v>
      </c>
      <c r="F50" s="34" t="str">
        <f>_xlfn.IFNA(TEXT(_xlfn.XLOOKUP(A50,LIV!$C:$C,LIV!$B:$B),"dd.mm.yyyy"),"")</f>
        <v>00.01.1900</v>
      </c>
      <c r="G50" s="34">
        <f>SUMIF(LIV!$C:$C,Execute!A50,LIV!$Z:$Z)</f>
        <v>0</v>
      </c>
      <c r="H50" s="34" t="e">
        <f>VLOOKUP(A50,LIV!$C:$J,8,0)</f>
        <v>#N/A</v>
      </c>
      <c r="I50" s="34" t="e">
        <f>VLOOKUP(A50,LIV!$C:$G,5,0)</f>
        <v>#N/A</v>
      </c>
      <c r="J50" s="34" t="str">
        <f t="shared" si="3"/>
        <v/>
      </c>
      <c r="K50" s="34" t="e">
        <f>VLOOKUP(A50,LIV!$C:$H,6,0)</f>
        <v>#N/A</v>
      </c>
      <c r="L50" s="34" t="str">
        <f t="shared" si="4"/>
        <v/>
      </c>
      <c r="M50" s="34" t="e">
        <f>VLOOKUP(A50,LIV!$C:$R,16,0)</f>
        <v>#N/A</v>
      </c>
      <c r="N50" s="34">
        <f t="shared" si="5"/>
        <v>0</v>
      </c>
      <c r="O50" s="34" t="e">
        <f>TEXT(VLOOKUP(A50,LIV!$C:$M,11,0),"dd.mm.yyyy")</f>
        <v>#N/A</v>
      </c>
      <c r="P50" s="34" t="str">
        <f t="shared" si="6"/>
        <v/>
      </c>
      <c r="Q50" s="33"/>
    </row>
    <row r="51" spans="1:17" x14ac:dyDescent="0.25">
      <c r="A51" s="34"/>
      <c r="B51" s="34" t="str">
        <f>IF(A51&lt;&gt;"",VLOOKUP(A51,LIV!$C:$AD,28,0),"")</f>
        <v/>
      </c>
      <c r="C51" s="34" t="str">
        <f>IF(A51&lt;&gt;"",_xlfn.XLOOKUP(A51,LIV!$C:$C,LIV!$AD:$AD,,,-1),"")</f>
        <v/>
      </c>
      <c r="D51" s="34" t="e">
        <f>TEXT(VLOOKUP(A51,LIV!$C:$S,17,0),"dd.mm.yyyy")</f>
        <v>#N/A</v>
      </c>
      <c r="E51" s="34" t="e">
        <f>VLOOKUP(A51,LIV!$C:$R,16,0)</f>
        <v>#N/A</v>
      </c>
      <c r="F51" s="34" t="str">
        <f>_xlfn.IFNA(TEXT(_xlfn.XLOOKUP(A51,LIV!$C:$C,LIV!$B:$B),"dd.mm.yyyy"),"")</f>
        <v>00.01.1900</v>
      </c>
      <c r="G51" s="34">
        <f>SUMIF(LIV!$C:$C,Execute!A51,LIV!$Z:$Z)</f>
        <v>0</v>
      </c>
      <c r="H51" s="34" t="e">
        <f>VLOOKUP(A51,LIV!$C:$J,8,0)</f>
        <v>#N/A</v>
      </c>
      <c r="I51" s="34" t="e">
        <f>VLOOKUP(A51,LIV!$C:$G,5,0)</f>
        <v>#N/A</v>
      </c>
      <c r="J51" s="34" t="str">
        <f t="shared" si="3"/>
        <v/>
      </c>
      <c r="K51" s="34" t="e">
        <f>VLOOKUP(A51,LIV!$C:$H,6,0)</f>
        <v>#N/A</v>
      </c>
      <c r="L51" s="34" t="str">
        <f t="shared" si="4"/>
        <v/>
      </c>
      <c r="M51" s="34" t="e">
        <f>VLOOKUP(A51,LIV!$C:$R,16,0)</f>
        <v>#N/A</v>
      </c>
      <c r="N51" s="34">
        <f t="shared" si="5"/>
        <v>0</v>
      </c>
      <c r="O51" s="34" t="e">
        <f>TEXT(VLOOKUP(A51,LIV!$C:$M,11,0),"dd.mm.yyyy")</f>
        <v>#N/A</v>
      </c>
      <c r="P51" s="34" t="str">
        <f t="shared" si="6"/>
        <v/>
      </c>
      <c r="Q51" s="33"/>
    </row>
    <row r="52" spans="1:17" x14ac:dyDescent="0.25">
      <c r="A52" s="34"/>
      <c r="B52" s="34" t="str">
        <f>IF(A52&lt;&gt;"",VLOOKUP(A52,LIV!$C:$AD,28,0),"")</f>
        <v/>
      </c>
      <c r="C52" s="34" t="str">
        <f>IF(A52&lt;&gt;"",_xlfn.XLOOKUP(A52,LIV!$C:$C,LIV!$AD:$AD,,,-1),"")</f>
        <v/>
      </c>
      <c r="D52" s="34" t="e">
        <f>TEXT(VLOOKUP(A52,LIV!$C:$S,17,0),"dd.mm.yyyy")</f>
        <v>#N/A</v>
      </c>
      <c r="E52" s="34" t="e">
        <f>VLOOKUP(A52,LIV!$C:$R,16,0)</f>
        <v>#N/A</v>
      </c>
      <c r="F52" s="34" t="str">
        <f>_xlfn.IFNA(TEXT(_xlfn.XLOOKUP(A52,LIV!$C:$C,LIV!$B:$B),"dd.mm.yyyy"),"")</f>
        <v>00.01.1900</v>
      </c>
      <c r="G52" s="34">
        <f>SUMIF(LIV!$C:$C,Execute!A52,LIV!$Z:$Z)</f>
        <v>0</v>
      </c>
      <c r="H52" s="34" t="e">
        <f>VLOOKUP(A52,LIV!$C:$J,8,0)</f>
        <v>#N/A</v>
      </c>
      <c r="I52" s="34" t="e">
        <f>VLOOKUP(A52,LIV!$C:$G,5,0)</f>
        <v>#N/A</v>
      </c>
      <c r="J52" s="34" t="str">
        <f t="shared" si="3"/>
        <v/>
      </c>
      <c r="K52" s="34" t="e">
        <f>VLOOKUP(A52,LIV!$C:$H,6,0)</f>
        <v>#N/A</v>
      </c>
      <c r="L52" s="34" t="str">
        <f t="shared" si="4"/>
        <v/>
      </c>
      <c r="M52" s="34" t="e">
        <f>VLOOKUP(A52,LIV!$C:$R,16,0)</f>
        <v>#N/A</v>
      </c>
      <c r="N52" s="34">
        <f t="shared" si="5"/>
        <v>0</v>
      </c>
      <c r="O52" s="34" t="e">
        <f>TEXT(VLOOKUP(A52,LIV!$C:$M,11,0),"dd.mm.yyyy")</f>
        <v>#N/A</v>
      </c>
      <c r="P52" s="34" t="str">
        <f t="shared" si="6"/>
        <v/>
      </c>
      <c r="Q52" s="33"/>
    </row>
    <row r="53" spans="1:17" x14ac:dyDescent="0.25">
      <c r="A53" s="34"/>
      <c r="B53" s="34" t="str">
        <f>IF(A53&lt;&gt;"",VLOOKUP(A53,LIV!$C:$AD,28,0),"")</f>
        <v/>
      </c>
      <c r="C53" s="34" t="str">
        <f>IF(A53&lt;&gt;"",_xlfn.XLOOKUP(A53,LIV!$C:$C,LIV!$AD:$AD,,,-1),"")</f>
        <v/>
      </c>
      <c r="D53" s="34" t="e">
        <f>TEXT(VLOOKUP(A53,LIV!$C:$S,17,0),"dd.mm.yyyy")</f>
        <v>#N/A</v>
      </c>
      <c r="E53" s="34" t="e">
        <f>VLOOKUP(A53,LIV!$C:$R,16,0)</f>
        <v>#N/A</v>
      </c>
      <c r="F53" s="34" t="str">
        <f>_xlfn.IFNA(TEXT(_xlfn.XLOOKUP(A53,LIV!$C:$C,LIV!$B:$B),"dd.mm.yyyy"),"")</f>
        <v>00.01.1900</v>
      </c>
      <c r="G53" s="34">
        <f>SUMIF(LIV!$C:$C,Execute!A53,LIV!$Z:$Z)</f>
        <v>0</v>
      </c>
      <c r="H53" s="34" t="e">
        <f>VLOOKUP(A53,LIV!$C:$J,8,0)</f>
        <v>#N/A</v>
      </c>
      <c r="I53" s="34" t="e">
        <f>VLOOKUP(A53,LIV!$C:$G,5,0)</f>
        <v>#N/A</v>
      </c>
      <c r="J53" s="34" t="str">
        <f t="shared" si="3"/>
        <v/>
      </c>
      <c r="K53" s="34" t="e">
        <f>VLOOKUP(A53,LIV!$C:$H,6,0)</f>
        <v>#N/A</v>
      </c>
      <c r="L53" s="34" t="str">
        <f t="shared" si="4"/>
        <v/>
      </c>
      <c r="M53" s="34" t="e">
        <f>VLOOKUP(A53,LIV!$C:$R,16,0)</f>
        <v>#N/A</v>
      </c>
      <c r="N53" s="34">
        <f t="shared" si="5"/>
        <v>0</v>
      </c>
      <c r="O53" s="34" t="e">
        <f>TEXT(VLOOKUP(A53,LIV!$C:$M,11,0),"dd.mm.yyyy")</f>
        <v>#N/A</v>
      </c>
      <c r="P53" s="34" t="str">
        <f t="shared" si="6"/>
        <v/>
      </c>
      <c r="Q53" s="33"/>
    </row>
    <row r="54" spans="1:17" x14ac:dyDescent="0.25">
      <c r="A54" s="34"/>
      <c r="B54" s="34" t="str">
        <f>IF(A54&lt;&gt;"",VLOOKUP(A54,LIV!$C:$AD,28,0),"")</f>
        <v/>
      </c>
      <c r="C54" s="34" t="str">
        <f>IF(A54&lt;&gt;"",_xlfn.XLOOKUP(A54,LIV!$C:$C,LIV!$AD:$AD,,,-1),"")</f>
        <v/>
      </c>
      <c r="D54" s="34" t="e">
        <f>TEXT(VLOOKUP(A54,LIV!$C:$S,17,0),"dd.mm.yyyy")</f>
        <v>#N/A</v>
      </c>
      <c r="E54" s="34" t="e">
        <f>VLOOKUP(A54,LIV!$C:$R,16,0)</f>
        <v>#N/A</v>
      </c>
      <c r="F54" s="34" t="str">
        <f>_xlfn.IFNA(TEXT(_xlfn.XLOOKUP(A54,LIV!$C:$C,LIV!$B:$B),"dd.mm.yyyy"),"")</f>
        <v>00.01.1900</v>
      </c>
      <c r="G54" s="34">
        <f>SUMIF(LIV!$C:$C,Execute!A54,LIV!$Z:$Z)</f>
        <v>0</v>
      </c>
      <c r="H54" s="34" t="e">
        <f>VLOOKUP(A54,LIV!$C:$J,8,0)</f>
        <v>#N/A</v>
      </c>
      <c r="I54" s="34" t="e">
        <f>VLOOKUP(A54,LIV!$C:$G,5,0)</f>
        <v>#N/A</v>
      </c>
      <c r="J54" s="34" t="str">
        <f t="shared" si="3"/>
        <v/>
      </c>
      <c r="K54" s="34" t="e">
        <f>VLOOKUP(A54,LIV!$C:$H,6,0)</f>
        <v>#N/A</v>
      </c>
      <c r="L54" s="34" t="str">
        <f t="shared" si="4"/>
        <v/>
      </c>
      <c r="M54" s="34" t="e">
        <f>VLOOKUP(A54,LIV!$C:$R,16,0)</f>
        <v>#N/A</v>
      </c>
      <c r="N54" s="34">
        <f t="shared" si="5"/>
        <v>0</v>
      </c>
      <c r="O54" s="34" t="e">
        <f>TEXT(VLOOKUP(A54,LIV!$C:$M,11,0),"dd.mm.yyyy")</f>
        <v>#N/A</v>
      </c>
      <c r="P54" s="34" t="str">
        <f t="shared" si="6"/>
        <v/>
      </c>
      <c r="Q54" s="33"/>
    </row>
    <row r="55" spans="1:17" x14ac:dyDescent="0.25">
      <c r="A55" s="34"/>
      <c r="B55" s="34" t="str">
        <f>IF(A55&lt;&gt;"",VLOOKUP(A55,LIV!$C:$AD,28,0),"")</f>
        <v/>
      </c>
      <c r="C55" s="34" t="str">
        <f>IF(A55&lt;&gt;"",_xlfn.XLOOKUP(A55,LIV!$C:$C,LIV!$AD:$AD,,,-1),"")</f>
        <v/>
      </c>
      <c r="D55" s="34" t="e">
        <f>TEXT(VLOOKUP(A55,LIV!$C:$S,17,0),"dd.mm.yyyy")</f>
        <v>#N/A</v>
      </c>
      <c r="E55" s="34" t="e">
        <f>VLOOKUP(A55,LIV!$C:$R,16,0)</f>
        <v>#N/A</v>
      </c>
      <c r="F55" s="34" t="str">
        <f>_xlfn.IFNA(TEXT(_xlfn.XLOOKUP(A55,LIV!$C:$C,LIV!$B:$B),"dd.mm.yyyy"),"")</f>
        <v>00.01.1900</v>
      </c>
      <c r="G55" s="34">
        <f>SUMIF(LIV!$C:$C,Execute!A55,LIV!$Z:$Z)</f>
        <v>0</v>
      </c>
      <c r="H55" s="34" t="e">
        <f>VLOOKUP(A55,LIV!$C:$J,8,0)</f>
        <v>#N/A</v>
      </c>
      <c r="I55" s="34" t="e">
        <f>VLOOKUP(A55,LIV!$C:$G,5,0)</f>
        <v>#N/A</v>
      </c>
      <c r="J55" s="34" t="str">
        <f t="shared" si="3"/>
        <v/>
      </c>
      <c r="K55" s="34" t="e">
        <f>VLOOKUP(A55,LIV!$C:$H,6,0)</f>
        <v>#N/A</v>
      </c>
      <c r="L55" s="34" t="str">
        <f t="shared" si="4"/>
        <v/>
      </c>
      <c r="M55" s="34" t="e">
        <f>VLOOKUP(A55,LIV!$C:$R,16,0)</f>
        <v>#N/A</v>
      </c>
      <c r="N55" s="34">
        <f t="shared" si="5"/>
        <v>0</v>
      </c>
      <c r="O55" s="34" t="e">
        <f>TEXT(VLOOKUP(A55,LIV!$C:$M,11,0),"dd.mm.yyyy")</f>
        <v>#N/A</v>
      </c>
      <c r="P55" s="34" t="str">
        <f t="shared" si="6"/>
        <v/>
      </c>
      <c r="Q55" s="33"/>
    </row>
    <row r="56" spans="1:17" x14ac:dyDescent="0.25">
      <c r="A56" s="34"/>
      <c r="B56" s="34" t="str">
        <f>IF(A56&lt;&gt;"",VLOOKUP(A56,LIV!$C:$AD,28,0),"")</f>
        <v/>
      </c>
      <c r="C56" s="34" t="str">
        <f>IF(A56&lt;&gt;"",_xlfn.XLOOKUP(A56,LIV!$C:$C,LIV!$AD:$AD,,,-1),"")</f>
        <v/>
      </c>
      <c r="D56" s="34" t="e">
        <f>TEXT(VLOOKUP(A56,LIV!$C:$S,17,0),"dd.mm.yyyy")</f>
        <v>#N/A</v>
      </c>
      <c r="E56" s="34" t="e">
        <f>VLOOKUP(A56,LIV!$C:$R,16,0)</f>
        <v>#N/A</v>
      </c>
      <c r="F56" s="34" t="str">
        <f>_xlfn.IFNA(TEXT(_xlfn.XLOOKUP(A56,LIV!$C:$C,LIV!$B:$B),"dd.mm.yyyy"),"")</f>
        <v>00.01.1900</v>
      </c>
      <c r="G56" s="34">
        <f>SUMIF(LIV!$C:$C,Execute!A56,LIV!$Z:$Z)</f>
        <v>0</v>
      </c>
      <c r="H56" s="34" t="e">
        <f>VLOOKUP(A56,LIV!$C:$J,8,0)</f>
        <v>#N/A</v>
      </c>
      <c r="I56" s="34" t="e">
        <f>VLOOKUP(A56,LIV!$C:$G,5,0)</f>
        <v>#N/A</v>
      </c>
      <c r="J56" s="34" t="str">
        <f t="shared" si="3"/>
        <v/>
      </c>
      <c r="K56" s="34" t="e">
        <f>VLOOKUP(A56,LIV!$C:$H,6,0)</f>
        <v>#N/A</v>
      </c>
      <c r="L56" s="34" t="str">
        <f t="shared" si="4"/>
        <v/>
      </c>
      <c r="M56" s="34" t="e">
        <f>VLOOKUP(A56,LIV!$C:$R,16,0)</f>
        <v>#N/A</v>
      </c>
      <c r="N56" s="34">
        <f t="shared" si="5"/>
        <v>0</v>
      </c>
      <c r="O56" s="34" t="e">
        <f>TEXT(VLOOKUP(A56,LIV!$C:$M,11,0),"dd.mm.yyyy")</f>
        <v>#N/A</v>
      </c>
      <c r="P56" s="34" t="str">
        <f t="shared" si="6"/>
        <v/>
      </c>
      <c r="Q56" s="33"/>
    </row>
    <row r="57" spans="1:17" x14ac:dyDescent="0.25">
      <c r="A57" s="34"/>
      <c r="B57" s="34" t="str">
        <f>IF(A57&lt;&gt;"",VLOOKUP(A57,LIV!$C:$AD,28,0),"")</f>
        <v/>
      </c>
      <c r="C57" s="34" t="str">
        <f>IF(A57&lt;&gt;"",_xlfn.XLOOKUP(A57,LIV!$C:$C,LIV!$AD:$AD,,,-1),"")</f>
        <v/>
      </c>
      <c r="D57" s="34" t="e">
        <f>TEXT(VLOOKUP(A57,LIV!$C:$S,17,0),"dd.mm.yyyy")</f>
        <v>#N/A</v>
      </c>
      <c r="E57" s="34" t="e">
        <f>VLOOKUP(A57,LIV!$C:$R,16,0)</f>
        <v>#N/A</v>
      </c>
      <c r="F57" s="34" t="str">
        <f>_xlfn.IFNA(TEXT(_xlfn.XLOOKUP(A57,LIV!$C:$C,LIV!$B:$B),"dd.mm.yyyy"),"")</f>
        <v>00.01.1900</v>
      </c>
      <c r="G57" s="34">
        <f>SUMIF(LIV!$C:$C,Execute!A57,LIV!$Z:$Z)</f>
        <v>0</v>
      </c>
      <c r="H57" s="34" t="e">
        <f>VLOOKUP(A57,LIV!$C:$J,8,0)</f>
        <v>#N/A</v>
      </c>
      <c r="I57" s="34" t="e">
        <f>VLOOKUP(A57,LIV!$C:$G,5,0)</f>
        <v>#N/A</v>
      </c>
      <c r="J57" s="34" t="str">
        <f t="shared" si="3"/>
        <v/>
      </c>
      <c r="K57" s="34" t="e">
        <f>VLOOKUP(A57,LIV!$C:$H,6,0)</f>
        <v>#N/A</v>
      </c>
      <c r="L57" s="34" t="str">
        <f t="shared" si="4"/>
        <v/>
      </c>
      <c r="M57" s="34" t="e">
        <f>VLOOKUP(A57,LIV!$C:$R,16,0)</f>
        <v>#N/A</v>
      </c>
      <c r="N57" s="34">
        <f t="shared" si="5"/>
        <v>0</v>
      </c>
      <c r="O57" s="34" t="e">
        <f>TEXT(VLOOKUP(A57,LIV!$C:$M,11,0),"dd.mm.yyyy")</f>
        <v>#N/A</v>
      </c>
      <c r="P57" s="34" t="str">
        <f t="shared" si="6"/>
        <v/>
      </c>
      <c r="Q57" s="33"/>
    </row>
    <row r="58" spans="1:17" x14ac:dyDescent="0.25">
      <c r="A58" s="34"/>
      <c r="B58" s="34" t="str">
        <f>IF(A58&lt;&gt;"",VLOOKUP(A58,LIV!$C:$AD,28,0),"")</f>
        <v/>
      </c>
      <c r="C58" s="34" t="str">
        <f>IF(A58&lt;&gt;"",_xlfn.XLOOKUP(A58,LIV!$C:$C,LIV!$AD:$AD,,,-1),"")</f>
        <v/>
      </c>
      <c r="D58" s="34" t="e">
        <f>TEXT(VLOOKUP(A58,LIV!$C:$S,17,0),"dd.mm.yyyy")</f>
        <v>#N/A</v>
      </c>
      <c r="E58" s="34" t="e">
        <f>VLOOKUP(A58,LIV!$C:$R,16,0)</f>
        <v>#N/A</v>
      </c>
      <c r="F58" s="34" t="str">
        <f>_xlfn.IFNA(TEXT(_xlfn.XLOOKUP(A58,LIV!$C:$C,LIV!$B:$B),"dd.mm.yyyy"),"")</f>
        <v>00.01.1900</v>
      </c>
      <c r="G58" s="34">
        <f>SUMIF(LIV!$C:$C,Execute!A58,LIV!$Z:$Z)</f>
        <v>0</v>
      </c>
      <c r="H58" s="34" t="e">
        <f>VLOOKUP(A58,LIV!$C:$J,8,0)</f>
        <v>#N/A</v>
      </c>
      <c r="I58" s="34" t="e">
        <f>VLOOKUP(A58,LIV!$C:$G,5,0)</f>
        <v>#N/A</v>
      </c>
      <c r="J58" s="34" t="str">
        <f t="shared" si="3"/>
        <v/>
      </c>
      <c r="K58" s="34" t="e">
        <f>VLOOKUP(A58,LIV!$C:$H,6,0)</f>
        <v>#N/A</v>
      </c>
      <c r="L58" s="34" t="str">
        <f t="shared" si="4"/>
        <v/>
      </c>
      <c r="M58" s="34" t="e">
        <f>VLOOKUP(A58,LIV!$C:$R,16,0)</f>
        <v>#N/A</v>
      </c>
      <c r="N58" s="34">
        <f t="shared" si="5"/>
        <v>0</v>
      </c>
      <c r="O58" s="34" t="e">
        <f>TEXT(VLOOKUP(A58,LIV!$C:$M,11,0),"dd.mm.yyyy")</f>
        <v>#N/A</v>
      </c>
      <c r="P58" s="34" t="str">
        <f t="shared" si="6"/>
        <v/>
      </c>
      <c r="Q58" s="33"/>
    </row>
    <row r="59" spans="1:17" x14ac:dyDescent="0.25">
      <c r="A59" s="34"/>
      <c r="B59" s="34" t="str">
        <f>IF(A59&lt;&gt;"",VLOOKUP(A59,LIV!$C:$AD,28,0),"")</f>
        <v/>
      </c>
      <c r="C59" s="34" t="str">
        <f>IF(A59&lt;&gt;"",_xlfn.XLOOKUP(A59,LIV!$C:$C,LIV!$AD:$AD,,,-1),"")</f>
        <v/>
      </c>
      <c r="D59" s="34" t="e">
        <f>TEXT(VLOOKUP(A59,LIV!$C:$S,17,0),"dd.mm.yyyy")</f>
        <v>#N/A</v>
      </c>
      <c r="E59" s="34" t="e">
        <f>VLOOKUP(A59,LIV!$C:$R,16,0)</f>
        <v>#N/A</v>
      </c>
      <c r="F59" s="34" t="str">
        <f>_xlfn.IFNA(TEXT(_xlfn.XLOOKUP(A59,LIV!$C:$C,LIV!$B:$B),"dd.mm.yyyy"),"")</f>
        <v>00.01.1900</v>
      </c>
      <c r="G59" s="34">
        <f>SUMIF(LIV!$C:$C,Execute!A59,LIV!$Z:$Z)</f>
        <v>0</v>
      </c>
      <c r="H59" s="34" t="e">
        <f>VLOOKUP(A59,LIV!$C:$J,8,0)</f>
        <v>#N/A</v>
      </c>
      <c r="I59" s="34" t="e">
        <f>VLOOKUP(A59,LIV!$C:$G,5,0)</f>
        <v>#N/A</v>
      </c>
      <c r="J59" s="34" t="str">
        <f t="shared" si="3"/>
        <v/>
      </c>
      <c r="K59" s="34" t="e">
        <f>VLOOKUP(A59,LIV!$C:$H,6,0)</f>
        <v>#N/A</v>
      </c>
      <c r="L59" s="34" t="str">
        <f t="shared" si="4"/>
        <v/>
      </c>
      <c r="M59" s="34" t="e">
        <f>VLOOKUP(A59,LIV!$C:$R,16,0)</f>
        <v>#N/A</v>
      </c>
      <c r="N59" s="34">
        <f t="shared" si="5"/>
        <v>0</v>
      </c>
      <c r="O59" s="34" t="e">
        <f>TEXT(VLOOKUP(A59,LIV!$C:$M,11,0),"dd.mm.yyyy")</f>
        <v>#N/A</v>
      </c>
      <c r="P59" s="34" t="str">
        <f t="shared" si="6"/>
        <v/>
      </c>
      <c r="Q59" s="33"/>
    </row>
    <row r="60" spans="1:17" x14ac:dyDescent="0.25">
      <c r="A60" s="34"/>
      <c r="B60" s="34" t="str">
        <f>IF(A60&lt;&gt;"",VLOOKUP(A60,LIV!$C:$AD,28,0),"")</f>
        <v/>
      </c>
      <c r="C60" s="34" t="str">
        <f>IF(A60&lt;&gt;"",_xlfn.XLOOKUP(A60,LIV!$C:$C,LIV!$AD:$AD,,,-1),"")</f>
        <v/>
      </c>
      <c r="D60" s="34" t="e">
        <f>TEXT(VLOOKUP(A60,LIV!$C:$S,17,0),"dd.mm.yyyy")</f>
        <v>#N/A</v>
      </c>
      <c r="E60" s="34" t="e">
        <f>VLOOKUP(A60,LIV!$C:$R,16,0)</f>
        <v>#N/A</v>
      </c>
      <c r="F60" s="34" t="str">
        <f>_xlfn.IFNA(TEXT(_xlfn.XLOOKUP(A60,LIV!$C:$C,LIV!$B:$B),"dd.mm.yyyy"),"")</f>
        <v>00.01.1900</v>
      </c>
      <c r="G60" s="34">
        <f>SUMIF(LIV!$C:$C,Execute!A60,LIV!$Z:$Z)</f>
        <v>0</v>
      </c>
      <c r="H60" s="34" t="e">
        <f>VLOOKUP(A60,LIV!$C:$J,8,0)</f>
        <v>#N/A</v>
      </c>
      <c r="I60" s="34" t="e">
        <f>VLOOKUP(A60,LIV!$C:$G,5,0)</f>
        <v>#N/A</v>
      </c>
      <c r="J60" s="34" t="str">
        <f t="shared" si="3"/>
        <v/>
      </c>
      <c r="K60" s="34" t="e">
        <f>VLOOKUP(A60,LIV!$C:$H,6,0)</f>
        <v>#N/A</v>
      </c>
      <c r="L60" s="34" t="str">
        <f t="shared" si="4"/>
        <v/>
      </c>
      <c r="M60" s="34" t="e">
        <f>VLOOKUP(A60,LIV!$C:$R,16,0)</f>
        <v>#N/A</v>
      </c>
      <c r="N60" s="34">
        <f t="shared" si="5"/>
        <v>0</v>
      </c>
      <c r="O60" s="34" t="e">
        <f>TEXT(VLOOKUP(A60,LIV!$C:$M,11,0),"dd.mm.yyyy")</f>
        <v>#N/A</v>
      </c>
      <c r="P60" s="34" t="str">
        <f t="shared" si="6"/>
        <v/>
      </c>
      <c r="Q60" s="33"/>
    </row>
    <row r="61" spans="1:17" x14ac:dyDescent="0.25">
      <c r="A61" s="34"/>
      <c r="B61" s="34" t="str">
        <f>IF(A61&lt;&gt;"",VLOOKUP(A61,LIV!$C:$AD,28,0),"")</f>
        <v/>
      </c>
      <c r="C61" s="34" t="str">
        <f>IF(A61&lt;&gt;"",_xlfn.XLOOKUP(A61,LIV!$C:$C,LIV!$AD:$AD,,,-1),"")</f>
        <v/>
      </c>
      <c r="D61" s="34" t="e">
        <f>TEXT(VLOOKUP(A61,LIV!$C:$S,17,0),"dd.mm.yyyy")</f>
        <v>#N/A</v>
      </c>
      <c r="E61" s="34" t="e">
        <f>VLOOKUP(A61,LIV!$C:$R,16,0)</f>
        <v>#N/A</v>
      </c>
      <c r="F61" s="34" t="str">
        <f>_xlfn.IFNA(TEXT(_xlfn.XLOOKUP(A61,LIV!$C:$C,LIV!$B:$B),"dd.mm.yyyy"),"")</f>
        <v>00.01.1900</v>
      </c>
      <c r="G61" s="34">
        <f>SUMIF(LIV!$C:$C,Execute!A61,LIV!$Z:$Z)</f>
        <v>0</v>
      </c>
      <c r="H61" s="34" t="e">
        <f>VLOOKUP(A61,LIV!$C:$J,8,0)</f>
        <v>#N/A</v>
      </c>
      <c r="I61" s="34" t="e">
        <f>VLOOKUP(A61,LIV!$C:$G,5,0)</f>
        <v>#N/A</v>
      </c>
      <c r="J61" s="34" t="str">
        <f t="shared" si="3"/>
        <v/>
      </c>
      <c r="K61" s="34" t="e">
        <f>VLOOKUP(A61,LIV!$C:$H,6,0)</f>
        <v>#N/A</v>
      </c>
      <c r="L61" s="34" t="str">
        <f t="shared" si="4"/>
        <v/>
      </c>
      <c r="M61" s="34" t="e">
        <f>VLOOKUP(A61,LIV!$C:$R,16,0)</f>
        <v>#N/A</v>
      </c>
      <c r="N61" s="34">
        <f t="shared" si="5"/>
        <v>0</v>
      </c>
      <c r="O61" s="34" t="e">
        <f>TEXT(VLOOKUP(A61,LIV!$C:$M,11,0),"dd.mm.yyyy")</f>
        <v>#N/A</v>
      </c>
      <c r="P61" s="34" t="str">
        <f t="shared" si="6"/>
        <v/>
      </c>
      <c r="Q61" s="33"/>
    </row>
    <row r="62" spans="1:17" x14ac:dyDescent="0.25">
      <c r="A62" s="34"/>
      <c r="B62" s="34" t="str">
        <f>IF(A62&lt;&gt;"",VLOOKUP(A62,LIV!$C:$AD,28,0),"")</f>
        <v/>
      </c>
      <c r="C62" s="34" t="str">
        <f>IF(A62&lt;&gt;"",_xlfn.XLOOKUP(A62,LIV!$C:$C,LIV!$AD:$AD,,,-1),"")</f>
        <v/>
      </c>
      <c r="D62" s="34" t="e">
        <f>TEXT(VLOOKUP(A62,LIV!$C:$S,17,0),"dd.mm.yyyy")</f>
        <v>#N/A</v>
      </c>
      <c r="E62" s="34" t="e">
        <f>VLOOKUP(A62,LIV!$C:$R,16,0)</f>
        <v>#N/A</v>
      </c>
      <c r="F62" s="34" t="str">
        <f>_xlfn.IFNA(TEXT(_xlfn.XLOOKUP(A62,LIV!$C:$C,LIV!$B:$B),"dd.mm.yyyy"),"")</f>
        <v>00.01.1900</v>
      </c>
      <c r="G62" s="34">
        <f>SUMIF(LIV!$C:$C,Execute!A62,LIV!$Z:$Z)</f>
        <v>0</v>
      </c>
      <c r="H62" s="34" t="e">
        <f>VLOOKUP(A62,LIV!$C:$J,8,0)</f>
        <v>#N/A</v>
      </c>
      <c r="I62" s="34" t="e">
        <f>VLOOKUP(A62,LIV!$C:$G,5,0)</f>
        <v>#N/A</v>
      </c>
      <c r="J62" s="34" t="str">
        <f t="shared" si="3"/>
        <v/>
      </c>
      <c r="K62" s="34" t="e">
        <f>VLOOKUP(A62,LIV!$C:$H,6,0)</f>
        <v>#N/A</v>
      </c>
      <c r="L62" s="34" t="str">
        <f t="shared" si="4"/>
        <v/>
      </c>
      <c r="M62" s="34" t="e">
        <f>VLOOKUP(A62,LIV!$C:$R,16,0)</f>
        <v>#N/A</v>
      </c>
      <c r="N62" s="34">
        <f t="shared" si="5"/>
        <v>0</v>
      </c>
      <c r="O62" s="34" t="e">
        <f>TEXT(VLOOKUP(A62,LIV!$C:$M,11,0),"dd.mm.yyyy")</f>
        <v>#N/A</v>
      </c>
      <c r="P62" s="34" t="str">
        <f t="shared" si="6"/>
        <v/>
      </c>
      <c r="Q62" s="33"/>
    </row>
    <row r="63" spans="1:17" x14ac:dyDescent="0.25">
      <c r="A63" s="34"/>
      <c r="B63" s="34" t="str">
        <f>IF(A63&lt;&gt;"",VLOOKUP(A63,LIV!$C:$AD,28,0),"")</f>
        <v/>
      </c>
      <c r="C63" s="34" t="str">
        <f>IF(A63&lt;&gt;"",_xlfn.XLOOKUP(A63,LIV!$C:$C,LIV!$AD:$AD,,,-1),"")</f>
        <v/>
      </c>
      <c r="D63" s="34" t="e">
        <f>TEXT(VLOOKUP(A63,LIV!$C:$S,17,0),"dd.mm.yyyy")</f>
        <v>#N/A</v>
      </c>
      <c r="E63" s="34" t="e">
        <f>VLOOKUP(A63,LIV!$C:$R,16,0)</f>
        <v>#N/A</v>
      </c>
      <c r="F63" s="34" t="str">
        <f>_xlfn.IFNA(TEXT(_xlfn.XLOOKUP(A63,LIV!$C:$C,LIV!$B:$B),"dd.mm.yyyy"),"")</f>
        <v>00.01.1900</v>
      </c>
      <c r="G63" s="34">
        <f>SUMIF(LIV!$C:$C,Execute!A63,LIV!$Z:$Z)</f>
        <v>0</v>
      </c>
      <c r="H63" s="34" t="e">
        <f>VLOOKUP(A63,LIV!$C:$J,8,0)</f>
        <v>#N/A</v>
      </c>
      <c r="I63" s="34" t="e">
        <f>VLOOKUP(A63,LIV!$C:$G,5,0)</f>
        <v>#N/A</v>
      </c>
      <c r="J63" s="34" t="str">
        <f t="shared" si="3"/>
        <v/>
      </c>
      <c r="K63" s="34" t="e">
        <f>VLOOKUP(A63,LIV!$C:$H,6,0)</f>
        <v>#N/A</v>
      </c>
      <c r="L63" s="34" t="str">
        <f t="shared" si="4"/>
        <v/>
      </c>
      <c r="M63" s="34" t="e">
        <f>VLOOKUP(A63,LIV!$C:$R,16,0)</f>
        <v>#N/A</v>
      </c>
      <c r="N63" s="34">
        <f t="shared" si="5"/>
        <v>0</v>
      </c>
      <c r="O63" s="34" t="e">
        <f>TEXT(VLOOKUP(A63,LIV!$C:$M,11,0),"dd.mm.yyyy")</f>
        <v>#N/A</v>
      </c>
      <c r="P63" s="34" t="str">
        <f t="shared" si="6"/>
        <v/>
      </c>
      <c r="Q63" s="33"/>
    </row>
    <row r="64" spans="1:17" x14ac:dyDescent="0.25">
      <c r="A64" s="34"/>
      <c r="B64" s="34" t="str">
        <f>IF(A64&lt;&gt;"",VLOOKUP(A64,LIV!$C:$AD,28,0),"")</f>
        <v/>
      </c>
      <c r="C64" s="34" t="str">
        <f>IF(A64&lt;&gt;"",_xlfn.XLOOKUP(A64,LIV!$C:$C,LIV!$AD:$AD,,,-1),"")</f>
        <v/>
      </c>
      <c r="D64" s="34" t="e">
        <f>TEXT(VLOOKUP(A64,LIV!$C:$S,17,0),"dd.mm.yyyy")</f>
        <v>#N/A</v>
      </c>
      <c r="E64" s="34" t="e">
        <f>VLOOKUP(A64,LIV!$C:$R,16,0)</f>
        <v>#N/A</v>
      </c>
      <c r="F64" s="34" t="str">
        <f>_xlfn.IFNA(TEXT(_xlfn.XLOOKUP(A64,LIV!$C:$C,LIV!$B:$B),"dd.mm.yyyy"),"")</f>
        <v>00.01.1900</v>
      </c>
      <c r="G64" s="34">
        <f>SUMIF(LIV!$C:$C,Execute!A64,LIV!$Z:$Z)</f>
        <v>0</v>
      </c>
      <c r="H64" s="34" t="e">
        <f>VLOOKUP(A64,LIV!$C:$J,8,0)</f>
        <v>#N/A</v>
      </c>
      <c r="I64" s="34" t="e">
        <f>VLOOKUP(A64,LIV!$C:$G,5,0)</f>
        <v>#N/A</v>
      </c>
      <c r="J64" s="34" t="str">
        <f t="shared" si="3"/>
        <v/>
      </c>
      <c r="K64" s="34" t="e">
        <f>VLOOKUP(A64,LIV!$C:$H,6,0)</f>
        <v>#N/A</v>
      </c>
      <c r="L64" s="34" t="str">
        <f t="shared" si="4"/>
        <v/>
      </c>
      <c r="M64" s="34" t="e">
        <f>VLOOKUP(A64,LIV!$C:$R,16,0)</f>
        <v>#N/A</v>
      </c>
      <c r="N64" s="34">
        <f t="shared" si="5"/>
        <v>0</v>
      </c>
      <c r="O64" s="34" t="e">
        <f>TEXT(VLOOKUP(A64,LIV!$C:$M,11,0),"dd.mm.yyyy")</f>
        <v>#N/A</v>
      </c>
      <c r="P64" s="34" t="str">
        <f t="shared" si="6"/>
        <v/>
      </c>
      <c r="Q64" s="33"/>
    </row>
    <row r="65" spans="1:17" x14ac:dyDescent="0.25">
      <c r="A65" s="34"/>
      <c r="B65" s="34" t="str">
        <f>IF(A65&lt;&gt;"",VLOOKUP(A65,LIV!$C:$AD,28,0),"")</f>
        <v/>
      </c>
      <c r="C65" s="34" t="str">
        <f>IF(A65&lt;&gt;"",_xlfn.XLOOKUP(A65,LIV!$C:$C,LIV!$AD:$AD,,,-1),"")</f>
        <v/>
      </c>
      <c r="D65" s="34" t="e">
        <f>TEXT(VLOOKUP(A65,LIV!$C:$S,17,0),"dd.mm.yyyy")</f>
        <v>#N/A</v>
      </c>
      <c r="E65" s="34" t="e">
        <f>VLOOKUP(A65,LIV!$C:$R,16,0)</f>
        <v>#N/A</v>
      </c>
      <c r="F65" s="34" t="str">
        <f>_xlfn.IFNA(TEXT(_xlfn.XLOOKUP(A65,LIV!$C:$C,LIV!$B:$B),"dd.mm.yyyy"),"")</f>
        <v>00.01.1900</v>
      </c>
      <c r="G65" s="34">
        <f>SUMIF(LIV!$C:$C,Execute!A65,LIV!$Z:$Z)</f>
        <v>0</v>
      </c>
      <c r="H65" s="34" t="e">
        <f>VLOOKUP(A65,LIV!$C:$J,8,0)</f>
        <v>#N/A</v>
      </c>
      <c r="I65" s="34" t="e">
        <f>VLOOKUP(A65,LIV!$C:$G,5,0)</f>
        <v>#N/A</v>
      </c>
      <c r="J65" s="34" t="str">
        <f t="shared" si="3"/>
        <v/>
      </c>
      <c r="K65" s="34" t="e">
        <f>VLOOKUP(A65,LIV!$C:$H,6,0)</f>
        <v>#N/A</v>
      </c>
      <c r="L65" s="34" t="str">
        <f t="shared" si="4"/>
        <v/>
      </c>
      <c r="M65" s="34" t="e">
        <f>VLOOKUP(A65,LIV!$C:$R,16,0)</f>
        <v>#N/A</v>
      </c>
      <c r="N65" s="34">
        <f t="shared" si="5"/>
        <v>0</v>
      </c>
      <c r="O65" s="34" t="e">
        <f>TEXT(VLOOKUP(A65,LIV!$C:$M,11,0),"dd.mm.yyyy")</f>
        <v>#N/A</v>
      </c>
      <c r="P65" s="34" t="str">
        <f t="shared" si="6"/>
        <v/>
      </c>
      <c r="Q65" s="33"/>
    </row>
    <row r="66" spans="1:17" x14ac:dyDescent="0.25">
      <c r="A66" s="34"/>
      <c r="B66" s="34" t="str">
        <f>IF(A66&lt;&gt;"",VLOOKUP(A66,LIV!$C:$AD,28,0),"")</f>
        <v/>
      </c>
      <c r="C66" s="34" t="str">
        <f>IF(A66&lt;&gt;"",_xlfn.XLOOKUP(A66,LIV!$C:$C,LIV!$AD:$AD,,,-1),"")</f>
        <v/>
      </c>
      <c r="D66" s="34" t="e">
        <f>TEXT(VLOOKUP(A66,LIV!$C:$S,17,0),"dd.mm.yyyy")</f>
        <v>#N/A</v>
      </c>
      <c r="E66" s="34" t="e">
        <f>VLOOKUP(A66,LIV!$C:$R,16,0)</f>
        <v>#N/A</v>
      </c>
      <c r="F66" s="34" t="str">
        <f>_xlfn.IFNA(TEXT(_xlfn.XLOOKUP(A66,LIV!$C:$C,LIV!$B:$B),"dd.mm.yyyy"),"")</f>
        <v>00.01.1900</v>
      </c>
      <c r="G66" s="34">
        <f>SUMIF(LIV!$C:$C,Execute!A66,LIV!$Z:$Z)</f>
        <v>0</v>
      </c>
      <c r="H66" s="34" t="e">
        <f>VLOOKUP(A66,LIV!$C:$J,8,0)</f>
        <v>#N/A</v>
      </c>
      <c r="I66" s="34" t="e">
        <f>VLOOKUP(A66,LIV!$C:$G,5,0)</f>
        <v>#N/A</v>
      </c>
      <c r="J66" s="34" t="str">
        <f t="shared" si="3"/>
        <v/>
      </c>
      <c r="K66" s="34" t="e">
        <f>VLOOKUP(A66,LIV!$C:$H,6,0)</f>
        <v>#N/A</v>
      </c>
      <c r="L66" s="34" t="str">
        <f t="shared" si="4"/>
        <v/>
      </c>
      <c r="M66" s="34" t="e">
        <f>VLOOKUP(A66,LIV!$C:$R,16,0)</f>
        <v>#N/A</v>
      </c>
      <c r="N66" s="34">
        <f t="shared" si="5"/>
        <v>0</v>
      </c>
      <c r="O66" s="34" t="e">
        <f>TEXT(VLOOKUP(A66,LIV!$C:$M,11,0),"dd.mm.yyyy")</f>
        <v>#N/A</v>
      </c>
      <c r="P66" s="34" t="str">
        <f t="shared" si="6"/>
        <v/>
      </c>
      <c r="Q66" s="33"/>
    </row>
    <row r="67" spans="1:17" x14ac:dyDescent="0.25">
      <c r="A67" s="34"/>
      <c r="B67" s="34" t="str">
        <f>IF(A67&lt;&gt;"",VLOOKUP(A67,LIV!$C:$AD,28,0),"")</f>
        <v/>
      </c>
      <c r="C67" s="34" t="str">
        <f>IF(A67&lt;&gt;"",_xlfn.XLOOKUP(A67,LIV!$C:$C,LIV!$AD:$AD,,,-1),"")</f>
        <v/>
      </c>
      <c r="D67" s="34" t="e">
        <f>TEXT(VLOOKUP(A67,LIV!$C:$S,17,0),"dd.mm.yyyy")</f>
        <v>#N/A</v>
      </c>
      <c r="E67" s="34" t="e">
        <f>VLOOKUP(A67,LIV!$C:$R,16,0)</f>
        <v>#N/A</v>
      </c>
      <c r="F67" s="34" t="str">
        <f>_xlfn.IFNA(TEXT(_xlfn.XLOOKUP(A67,LIV!$C:$C,LIV!$B:$B),"dd.mm.yyyy"),"")</f>
        <v>00.01.1900</v>
      </c>
      <c r="G67" s="34">
        <f>SUMIF(LIV!$C:$C,Execute!A67,LIV!$Z:$Z)</f>
        <v>0</v>
      </c>
      <c r="H67" s="34" t="e">
        <f>VLOOKUP(A67,LIV!$C:$J,8,0)</f>
        <v>#N/A</v>
      </c>
      <c r="I67" s="34" t="e">
        <f>VLOOKUP(A67,LIV!$C:$G,5,0)</f>
        <v>#N/A</v>
      </c>
      <c r="J67" s="34" t="str">
        <f t="shared" si="3"/>
        <v/>
      </c>
      <c r="K67" s="34" t="e">
        <f>VLOOKUP(A67,LIV!$C:$H,6,0)</f>
        <v>#N/A</v>
      </c>
      <c r="L67" s="34" t="str">
        <f t="shared" si="4"/>
        <v/>
      </c>
      <c r="M67" s="34" t="e">
        <f>VLOOKUP(A67,LIV!$C:$R,16,0)</f>
        <v>#N/A</v>
      </c>
      <c r="N67" s="34">
        <f t="shared" si="5"/>
        <v>0</v>
      </c>
      <c r="O67" s="34" t="e">
        <f>TEXT(VLOOKUP(A67,LIV!$C:$M,11,0),"dd.mm.yyyy")</f>
        <v>#N/A</v>
      </c>
      <c r="P67" s="34" t="str">
        <f t="shared" si="6"/>
        <v/>
      </c>
      <c r="Q67" s="33"/>
    </row>
    <row r="68" spans="1:17" x14ac:dyDescent="0.25">
      <c r="A68" s="34"/>
      <c r="B68" s="34" t="str">
        <f>IF(A68&lt;&gt;"",VLOOKUP(A68,LIV!$C:$AD,28,0),"")</f>
        <v/>
      </c>
      <c r="C68" s="34" t="str">
        <f>IF(A68&lt;&gt;"",_xlfn.XLOOKUP(A68,LIV!$C:$C,LIV!$AD:$AD,,,-1),"")</f>
        <v/>
      </c>
      <c r="D68" s="34" t="e">
        <f>TEXT(VLOOKUP(A68,LIV!$C:$S,17,0),"dd.mm.yyyy")</f>
        <v>#N/A</v>
      </c>
      <c r="E68" s="34" t="e">
        <f>VLOOKUP(A68,LIV!$C:$R,16,0)</f>
        <v>#N/A</v>
      </c>
      <c r="F68" s="34" t="str">
        <f>_xlfn.IFNA(TEXT(_xlfn.XLOOKUP(A68,LIV!$C:$C,LIV!$B:$B),"dd.mm.yyyy"),"")</f>
        <v>00.01.1900</v>
      </c>
      <c r="G68" s="34">
        <f>SUMIF(LIV!$C:$C,Execute!A68,LIV!$Z:$Z)</f>
        <v>0</v>
      </c>
      <c r="H68" s="34" t="e">
        <f>VLOOKUP(A68,LIV!$C:$J,8,0)</f>
        <v>#N/A</v>
      </c>
      <c r="I68" s="34" t="e">
        <f>VLOOKUP(A68,LIV!$C:$G,5,0)</f>
        <v>#N/A</v>
      </c>
      <c r="J68" s="34" t="str">
        <f t="shared" si="3"/>
        <v/>
      </c>
      <c r="K68" s="34" t="e">
        <f>VLOOKUP(A68,LIV!$C:$H,6,0)</f>
        <v>#N/A</v>
      </c>
      <c r="L68" s="34" t="str">
        <f t="shared" si="4"/>
        <v/>
      </c>
      <c r="M68" s="34" t="e">
        <f>VLOOKUP(A68,LIV!$C:$R,16,0)</f>
        <v>#N/A</v>
      </c>
      <c r="N68" s="34">
        <f t="shared" si="5"/>
        <v>0</v>
      </c>
      <c r="O68" s="34" t="e">
        <f>TEXT(VLOOKUP(A68,LIV!$C:$M,11,0),"dd.mm.yyyy")</f>
        <v>#N/A</v>
      </c>
      <c r="P68" s="34" t="str">
        <f t="shared" si="6"/>
        <v/>
      </c>
      <c r="Q68" s="33"/>
    </row>
    <row r="69" spans="1:17" x14ac:dyDescent="0.25">
      <c r="A69" s="34"/>
      <c r="B69" s="34" t="str">
        <f>IF(A69&lt;&gt;"",VLOOKUP(A69,LIV!$C:$AD,28,0),"")</f>
        <v/>
      </c>
      <c r="C69" s="34" t="str">
        <f>IF(A69&lt;&gt;"",_xlfn.XLOOKUP(A69,LIV!$C:$C,LIV!$AD:$AD,,,-1),"")</f>
        <v/>
      </c>
      <c r="D69" s="34" t="e">
        <f>TEXT(VLOOKUP(A69,LIV!$C:$S,17,0),"dd.mm.yyyy")</f>
        <v>#N/A</v>
      </c>
      <c r="E69" s="34" t="e">
        <f>VLOOKUP(A69,LIV!$C:$R,16,0)</f>
        <v>#N/A</v>
      </c>
      <c r="F69" s="34" t="str">
        <f>_xlfn.IFNA(TEXT(_xlfn.XLOOKUP(A69,LIV!$C:$C,LIV!$B:$B),"dd.mm.yyyy"),"")</f>
        <v>00.01.1900</v>
      </c>
      <c r="G69" s="34">
        <f>SUMIF(LIV!$C:$C,Execute!A69,LIV!$Z:$Z)</f>
        <v>0</v>
      </c>
      <c r="H69" s="34" t="e">
        <f>VLOOKUP(A69,LIV!$C:$J,8,0)</f>
        <v>#N/A</v>
      </c>
      <c r="I69" s="34" t="e">
        <f>VLOOKUP(A69,LIV!$C:$G,5,0)</f>
        <v>#N/A</v>
      </c>
      <c r="J69" s="34" t="str">
        <f t="shared" si="3"/>
        <v/>
      </c>
      <c r="K69" s="34" t="e">
        <f>VLOOKUP(A69,LIV!$C:$H,6,0)</f>
        <v>#N/A</v>
      </c>
      <c r="L69" s="34" t="str">
        <f t="shared" si="4"/>
        <v/>
      </c>
      <c r="M69" s="34" t="e">
        <f>VLOOKUP(A69,LIV!$C:$R,16,0)</f>
        <v>#N/A</v>
      </c>
      <c r="N69" s="34">
        <f t="shared" si="5"/>
        <v>0</v>
      </c>
      <c r="O69" s="34" t="e">
        <f>TEXT(VLOOKUP(A69,LIV!$C:$M,11,0),"dd.mm.yyyy")</f>
        <v>#N/A</v>
      </c>
      <c r="P69" s="34" t="str">
        <f t="shared" si="6"/>
        <v/>
      </c>
      <c r="Q69" s="33"/>
    </row>
    <row r="70" spans="1:17" x14ac:dyDescent="0.25">
      <c r="A70" s="34"/>
      <c r="B70" s="34" t="str">
        <f>IF(A70&lt;&gt;"",VLOOKUP(A70,LIV!$C:$AD,28,0),"")</f>
        <v/>
      </c>
      <c r="C70" s="34" t="str">
        <f>IF(A70&lt;&gt;"",_xlfn.XLOOKUP(A70,LIV!$C:$C,LIV!$AD:$AD,,,-1),"")</f>
        <v/>
      </c>
      <c r="D70" s="34" t="e">
        <f>TEXT(VLOOKUP(A70,LIV!$C:$S,17,0),"dd.mm.yyyy")</f>
        <v>#N/A</v>
      </c>
      <c r="E70" s="34" t="e">
        <f>VLOOKUP(A70,LIV!$C:$R,16,0)</f>
        <v>#N/A</v>
      </c>
      <c r="F70" s="34" t="str">
        <f>_xlfn.IFNA(TEXT(_xlfn.XLOOKUP(A70,LIV!$C:$C,LIV!$B:$B),"dd.mm.yyyy"),"")</f>
        <v>00.01.1900</v>
      </c>
      <c r="G70" s="34">
        <f>SUMIF(LIV!$C:$C,Execute!A70,LIV!$Z:$Z)</f>
        <v>0</v>
      </c>
      <c r="H70" s="34" t="e">
        <f>VLOOKUP(A70,LIV!$C:$J,8,0)</f>
        <v>#N/A</v>
      </c>
      <c r="I70" s="34" t="e">
        <f>VLOOKUP(A70,LIV!$C:$G,5,0)</f>
        <v>#N/A</v>
      </c>
      <c r="J70" s="34" t="str">
        <f t="shared" si="3"/>
        <v/>
      </c>
      <c r="K70" s="34" t="e">
        <f>VLOOKUP(A70,LIV!$C:$H,6,0)</f>
        <v>#N/A</v>
      </c>
      <c r="L70" s="34" t="str">
        <f t="shared" si="4"/>
        <v/>
      </c>
      <c r="M70" s="34" t="e">
        <f>VLOOKUP(A70,LIV!$C:$R,16,0)</f>
        <v>#N/A</v>
      </c>
      <c r="N70" s="34">
        <f t="shared" si="5"/>
        <v>0</v>
      </c>
      <c r="O70" s="34" t="e">
        <f>TEXT(VLOOKUP(A70,LIV!$C:$M,11,0),"dd.mm.yyyy")</f>
        <v>#N/A</v>
      </c>
      <c r="P70" s="34" t="str">
        <f t="shared" si="6"/>
        <v/>
      </c>
      <c r="Q70" s="33"/>
    </row>
    <row r="71" spans="1:17" x14ac:dyDescent="0.25">
      <c r="A71" s="34"/>
      <c r="B71" s="34" t="str">
        <f>IF(A71&lt;&gt;"",VLOOKUP(A71,LIV!$C:$AD,28,0),"")</f>
        <v/>
      </c>
      <c r="C71" s="34" t="str">
        <f>IF(A71&lt;&gt;"",_xlfn.XLOOKUP(A71,LIV!$C:$C,LIV!$AD:$AD,,,-1),"")</f>
        <v/>
      </c>
      <c r="D71" s="34" t="e">
        <f>TEXT(VLOOKUP(A71,LIV!$C:$S,17,0),"dd.mm.yyyy")</f>
        <v>#N/A</v>
      </c>
      <c r="E71" s="34" t="e">
        <f>VLOOKUP(A71,LIV!$C:$R,16,0)</f>
        <v>#N/A</v>
      </c>
      <c r="F71" s="34" t="str">
        <f>_xlfn.IFNA(TEXT(_xlfn.XLOOKUP(A71,LIV!$C:$C,LIV!$B:$B),"dd.mm.yyyy"),"")</f>
        <v>00.01.1900</v>
      </c>
      <c r="G71" s="34">
        <f>SUMIF(LIV!$C:$C,Execute!A71,LIV!$Z:$Z)</f>
        <v>0</v>
      </c>
      <c r="H71" s="34" t="e">
        <f>VLOOKUP(A71,LIV!$C:$J,8,0)</f>
        <v>#N/A</v>
      </c>
      <c r="I71" s="34" t="e">
        <f>VLOOKUP(A71,LIV!$C:$G,5,0)</f>
        <v>#N/A</v>
      </c>
      <c r="J71" s="34" t="str">
        <f t="shared" si="3"/>
        <v/>
      </c>
      <c r="K71" s="34" t="e">
        <f>VLOOKUP(A71,LIV!$C:$H,6,0)</f>
        <v>#N/A</v>
      </c>
      <c r="L71" s="34" t="str">
        <f t="shared" si="4"/>
        <v/>
      </c>
      <c r="M71" s="34" t="e">
        <f>VLOOKUP(A71,LIV!$C:$R,16,0)</f>
        <v>#N/A</v>
      </c>
      <c r="N71" s="34">
        <f t="shared" si="5"/>
        <v>0</v>
      </c>
      <c r="O71" s="34" t="e">
        <f>TEXT(VLOOKUP(A71,LIV!$C:$M,11,0),"dd.mm.yyyy")</f>
        <v>#N/A</v>
      </c>
      <c r="P71" s="34" t="str">
        <f t="shared" si="6"/>
        <v/>
      </c>
      <c r="Q71" s="33"/>
    </row>
    <row r="72" spans="1:17" x14ac:dyDescent="0.25">
      <c r="A72" s="34"/>
      <c r="B72" s="34" t="str">
        <f>IF(A72&lt;&gt;"",VLOOKUP(A72,LIV!$C:$AD,28,0),"")</f>
        <v/>
      </c>
      <c r="C72" s="34" t="str">
        <f>IF(A72&lt;&gt;"",_xlfn.XLOOKUP(A72,LIV!$C:$C,LIV!$AD:$AD,,,-1),"")</f>
        <v/>
      </c>
      <c r="D72" s="34" t="e">
        <f>TEXT(VLOOKUP(A72,LIV!$C:$S,17,0),"dd.mm.yyyy")</f>
        <v>#N/A</v>
      </c>
      <c r="E72" s="34" t="e">
        <f>VLOOKUP(A72,LIV!$C:$R,16,0)</f>
        <v>#N/A</v>
      </c>
      <c r="F72" s="34" t="str">
        <f>_xlfn.IFNA(TEXT(_xlfn.XLOOKUP(A72,LIV!$C:$C,LIV!$B:$B),"dd.mm.yyyy"),"")</f>
        <v>00.01.1900</v>
      </c>
      <c r="G72" s="34">
        <f>SUMIF(LIV!$C:$C,Execute!A72,LIV!$Z:$Z)</f>
        <v>0</v>
      </c>
      <c r="H72" s="34" t="e">
        <f>VLOOKUP(A72,LIV!$C:$J,8,0)</f>
        <v>#N/A</v>
      </c>
      <c r="I72" s="34" t="e">
        <f>VLOOKUP(A72,LIV!$C:$G,5,0)</f>
        <v>#N/A</v>
      </c>
      <c r="J72" s="34" t="str">
        <f t="shared" si="3"/>
        <v/>
      </c>
      <c r="K72" s="34" t="e">
        <f>VLOOKUP(A72,LIV!$C:$H,6,0)</f>
        <v>#N/A</v>
      </c>
      <c r="L72" s="34" t="str">
        <f t="shared" si="4"/>
        <v/>
      </c>
      <c r="M72" s="34" t="e">
        <f>VLOOKUP(A72,LIV!$C:$R,16,0)</f>
        <v>#N/A</v>
      </c>
      <c r="N72" s="34">
        <f t="shared" si="5"/>
        <v>0</v>
      </c>
      <c r="O72" s="34" t="e">
        <f>TEXT(VLOOKUP(A72,LIV!$C:$M,11,0),"dd.mm.yyyy")</f>
        <v>#N/A</v>
      </c>
      <c r="P72" s="34" t="str">
        <f t="shared" si="6"/>
        <v/>
      </c>
      <c r="Q72" s="33"/>
    </row>
    <row r="73" spans="1:17" x14ac:dyDescent="0.25">
      <c r="A73" s="34"/>
      <c r="B73" s="34" t="str">
        <f>IF(A73&lt;&gt;"",VLOOKUP(A73,LIV!$C:$AD,28,0),"")</f>
        <v/>
      </c>
      <c r="C73" s="34" t="str">
        <f>IF(A73&lt;&gt;"",_xlfn.XLOOKUP(A73,LIV!$C:$C,LIV!$AD:$AD,,,-1),"")</f>
        <v/>
      </c>
      <c r="D73" s="34" t="e">
        <f>TEXT(VLOOKUP(A73,LIV!$C:$S,17,0),"dd.mm.yyyy")</f>
        <v>#N/A</v>
      </c>
      <c r="E73" s="34" t="e">
        <f>VLOOKUP(A73,LIV!$C:$R,16,0)</f>
        <v>#N/A</v>
      </c>
      <c r="F73" s="34" t="str">
        <f>_xlfn.IFNA(TEXT(_xlfn.XLOOKUP(A73,LIV!$C:$C,LIV!$B:$B),"dd.mm.yyyy"),"")</f>
        <v>00.01.1900</v>
      </c>
      <c r="G73" s="34">
        <f>SUMIF(LIV!$C:$C,Execute!A73,LIV!$Z:$Z)</f>
        <v>0</v>
      </c>
      <c r="H73" s="34" t="e">
        <f>VLOOKUP(A73,LIV!$C:$J,8,0)</f>
        <v>#N/A</v>
      </c>
      <c r="I73" s="34" t="e">
        <f>VLOOKUP(A73,LIV!$C:$G,5,0)</f>
        <v>#N/A</v>
      </c>
      <c r="J73" s="34" t="str">
        <f t="shared" ref="J73:J136" si="7">IF(A73&lt;&gt;"",$C$1,"")</f>
        <v/>
      </c>
      <c r="K73" s="34" t="e">
        <f>VLOOKUP(A73,LIV!$C:$H,6,0)</f>
        <v>#N/A</v>
      </c>
      <c r="L73" s="34" t="str">
        <f t="shared" si="4"/>
        <v/>
      </c>
      <c r="M73" s="34" t="e">
        <f>VLOOKUP(A73,LIV!$C:$R,16,0)</f>
        <v>#N/A</v>
      </c>
      <c r="N73" s="34">
        <f t="shared" si="5"/>
        <v>0</v>
      </c>
      <c r="O73" s="34" t="e">
        <f>TEXT(VLOOKUP(A73,LIV!$C:$M,11,0),"dd.mm.yyyy")</f>
        <v>#N/A</v>
      </c>
      <c r="P73" s="34" t="str">
        <f t="shared" si="6"/>
        <v/>
      </c>
      <c r="Q73" s="33"/>
    </row>
    <row r="74" spans="1:17" x14ac:dyDescent="0.25">
      <c r="A74" s="34"/>
      <c r="B74" s="34" t="str">
        <f>IF(A74&lt;&gt;"",VLOOKUP(A74,LIV!$C:$AD,28,0),"")</f>
        <v/>
      </c>
      <c r="C74" s="34" t="str">
        <f>IF(A74&lt;&gt;"",_xlfn.XLOOKUP(A74,LIV!$C:$C,LIV!$AD:$AD,,,-1),"")</f>
        <v/>
      </c>
      <c r="D74" s="34" t="e">
        <f>TEXT(VLOOKUP(A74,LIV!$C:$S,17,0),"dd.mm.yyyy")</f>
        <v>#N/A</v>
      </c>
      <c r="E74" s="34" t="e">
        <f>VLOOKUP(A74,LIV!$C:$R,16,0)</f>
        <v>#N/A</v>
      </c>
      <c r="F74" s="34" t="str">
        <f>_xlfn.IFNA(TEXT(_xlfn.XLOOKUP(A74,LIV!$C:$C,LIV!$B:$B),"dd.mm.yyyy"),"")</f>
        <v>00.01.1900</v>
      </c>
      <c r="G74" s="34">
        <f>SUMIF(LIV!$C:$C,Execute!A74,LIV!$Z:$Z)</f>
        <v>0</v>
      </c>
      <c r="H74" s="34" t="e">
        <f>VLOOKUP(A74,LIV!$C:$J,8,0)</f>
        <v>#N/A</v>
      </c>
      <c r="I74" s="34" t="e">
        <f>VLOOKUP(A74,LIV!$C:$G,5,0)</f>
        <v>#N/A</v>
      </c>
      <c r="J74" s="34" t="str">
        <f t="shared" si="7"/>
        <v/>
      </c>
      <c r="K74" s="34" t="e">
        <f>VLOOKUP(A74,LIV!$C:$H,6,0)</f>
        <v>#N/A</v>
      </c>
      <c r="L74" s="34" t="str">
        <f t="shared" si="4"/>
        <v/>
      </c>
      <c r="M74" s="34" t="e">
        <f>VLOOKUP(A74,LIV!$C:$R,16,0)</f>
        <v>#N/A</v>
      </c>
      <c r="N74" s="34">
        <f t="shared" si="5"/>
        <v>0</v>
      </c>
      <c r="O74" s="34" t="e">
        <f>TEXT(VLOOKUP(A74,LIV!$C:$M,11,0),"dd.mm.yyyy")</f>
        <v>#N/A</v>
      </c>
      <c r="P74" s="34" t="str">
        <f t="shared" si="6"/>
        <v/>
      </c>
      <c r="Q74" s="33"/>
    </row>
    <row r="75" spans="1:17" x14ac:dyDescent="0.25">
      <c r="A75" s="34"/>
      <c r="B75" s="34" t="str">
        <f>IF(A75&lt;&gt;"",VLOOKUP(A75,LIV!$C:$AD,28,0),"")</f>
        <v/>
      </c>
      <c r="C75" s="34" t="str">
        <f>IF(A75&lt;&gt;"",_xlfn.XLOOKUP(A75,LIV!$C:$C,LIV!$AD:$AD,,,-1),"")</f>
        <v/>
      </c>
      <c r="D75" s="34" t="e">
        <f>TEXT(VLOOKUP(A75,LIV!$C:$S,17,0),"dd.mm.yyyy")</f>
        <v>#N/A</v>
      </c>
      <c r="E75" s="34" t="e">
        <f>VLOOKUP(A75,LIV!$C:$R,16,0)</f>
        <v>#N/A</v>
      </c>
      <c r="F75" s="34" t="str">
        <f>_xlfn.IFNA(TEXT(_xlfn.XLOOKUP(A75,LIV!$C:$C,LIV!$B:$B),"dd.mm.yyyy"),"")</f>
        <v>00.01.1900</v>
      </c>
      <c r="G75" s="34">
        <f>SUMIF(LIV!$C:$C,Execute!A75,LIV!$Z:$Z)</f>
        <v>0</v>
      </c>
      <c r="H75" s="34" t="e">
        <f>VLOOKUP(A75,LIV!$C:$J,8,0)</f>
        <v>#N/A</v>
      </c>
      <c r="I75" s="34" t="e">
        <f>VLOOKUP(A75,LIV!$C:$G,5,0)</f>
        <v>#N/A</v>
      </c>
      <c r="J75" s="34" t="str">
        <f t="shared" si="7"/>
        <v/>
      </c>
      <c r="K75" s="34" t="e">
        <f>VLOOKUP(A75,LIV!$C:$H,6,0)</f>
        <v>#N/A</v>
      </c>
      <c r="L75" s="34" t="str">
        <f t="shared" si="4"/>
        <v/>
      </c>
      <c r="M75" s="34" t="e">
        <f>VLOOKUP(A75,LIV!$C:$R,16,0)</f>
        <v>#N/A</v>
      </c>
      <c r="N75" s="34">
        <f t="shared" si="5"/>
        <v>0</v>
      </c>
      <c r="O75" s="34" t="e">
        <f>TEXT(VLOOKUP(A75,LIV!$C:$M,11,0),"dd.mm.yyyy")</f>
        <v>#N/A</v>
      </c>
      <c r="P75" s="34" t="str">
        <f t="shared" si="6"/>
        <v/>
      </c>
      <c r="Q75" s="33"/>
    </row>
    <row r="76" spans="1:17" x14ac:dyDescent="0.25">
      <c r="A76" s="34"/>
      <c r="B76" s="34" t="str">
        <f>IF(A76&lt;&gt;"",VLOOKUP(A76,LIV!$C:$AD,28,0),"")</f>
        <v/>
      </c>
      <c r="C76" s="34" t="str">
        <f>IF(A76&lt;&gt;"",_xlfn.XLOOKUP(A76,LIV!$C:$C,LIV!$AD:$AD,,,-1),"")</f>
        <v/>
      </c>
      <c r="D76" s="34" t="e">
        <f>TEXT(VLOOKUP(A76,LIV!$C:$S,17,0),"dd.mm.yyyy")</f>
        <v>#N/A</v>
      </c>
      <c r="E76" s="34" t="e">
        <f>VLOOKUP(A76,LIV!$C:$R,16,0)</f>
        <v>#N/A</v>
      </c>
      <c r="F76" s="34" t="str">
        <f>_xlfn.IFNA(TEXT(_xlfn.XLOOKUP(A76,LIV!$C:$C,LIV!$B:$B),"dd.mm.yyyy"),"")</f>
        <v>00.01.1900</v>
      </c>
      <c r="G76" s="34">
        <f>SUMIF(LIV!$C:$C,Execute!A76,LIV!$Z:$Z)</f>
        <v>0</v>
      </c>
      <c r="H76" s="34" t="e">
        <f>VLOOKUP(A76,LIV!$C:$J,8,0)</f>
        <v>#N/A</v>
      </c>
      <c r="I76" s="34" t="e">
        <f>VLOOKUP(A76,LIV!$C:$G,5,0)</f>
        <v>#N/A</v>
      </c>
      <c r="J76" s="34" t="str">
        <f t="shared" si="7"/>
        <v/>
      </c>
      <c r="K76" s="34" t="e">
        <f>VLOOKUP(A76,LIV!$C:$H,6,0)</f>
        <v>#N/A</v>
      </c>
      <c r="L76" s="34" t="str">
        <f t="shared" si="4"/>
        <v/>
      </c>
      <c r="M76" s="34" t="e">
        <f>VLOOKUP(A76,LIV!$C:$R,16,0)</f>
        <v>#N/A</v>
      </c>
      <c r="N76" s="34">
        <f t="shared" si="5"/>
        <v>0</v>
      </c>
      <c r="O76" s="34" t="e">
        <f>TEXT(VLOOKUP(A76,LIV!$C:$M,11,0),"dd.mm.yyyy")</f>
        <v>#N/A</v>
      </c>
      <c r="P76" s="34" t="str">
        <f t="shared" si="6"/>
        <v/>
      </c>
      <c r="Q76" s="33"/>
    </row>
    <row r="77" spans="1:17" x14ac:dyDescent="0.25">
      <c r="A77" s="34"/>
      <c r="B77" s="34" t="str">
        <f>IF(A77&lt;&gt;"",VLOOKUP(A77,LIV!$C:$AD,28,0),"")</f>
        <v/>
      </c>
      <c r="C77" s="34" t="str">
        <f>IF(A77&lt;&gt;"",_xlfn.XLOOKUP(A77,LIV!$C:$C,LIV!$AD:$AD,,,-1),"")</f>
        <v/>
      </c>
      <c r="D77" s="34" t="e">
        <f>TEXT(VLOOKUP(A77,LIV!$C:$S,17,0),"dd.mm.yyyy")</f>
        <v>#N/A</v>
      </c>
      <c r="E77" s="34" t="e">
        <f>VLOOKUP(A77,LIV!$C:$R,16,0)</f>
        <v>#N/A</v>
      </c>
      <c r="F77" s="34" t="str">
        <f>_xlfn.IFNA(TEXT(_xlfn.XLOOKUP(A77,LIV!$C:$C,LIV!$B:$B),"dd.mm.yyyy"),"")</f>
        <v>00.01.1900</v>
      </c>
      <c r="G77" s="34">
        <f>SUMIF(LIV!$C:$C,Execute!A77,LIV!$Z:$Z)</f>
        <v>0</v>
      </c>
      <c r="H77" s="34" t="e">
        <f>VLOOKUP(A77,LIV!$C:$J,8,0)</f>
        <v>#N/A</v>
      </c>
      <c r="I77" s="34" t="e">
        <f>VLOOKUP(A77,LIV!$C:$G,5,0)</f>
        <v>#N/A</v>
      </c>
      <c r="J77" s="34" t="str">
        <f t="shared" si="7"/>
        <v/>
      </c>
      <c r="K77" s="34" t="e">
        <f>VLOOKUP(A77,LIV!$C:$H,6,0)</f>
        <v>#N/A</v>
      </c>
      <c r="L77" s="34" t="str">
        <f t="shared" si="4"/>
        <v/>
      </c>
      <c r="M77" s="34" t="e">
        <f>VLOOKUP(A77,LIV!$C:$R,16,0)</f>
        <v>#N/A</v>
      </c>
      <c r="N77" s="34">
        <f t="shared" si="5"/>
        <v>0</v>
      </c>
      <c r="O77" s="34" t="e">
        <f>TEXT(VLOOKUP(A77,LIV!$C:$M,11,0),"dd.mm.yyyy")</f>
        <v>#N/A</v>
      </c>
      <c r="P77" s="34" t="str">
        <f t="shared" si="6"/>
        <v/>
      </c>
      <c r="Q77" s="33"/>
    </row>
    <row r="78" spans="1:17" x14ac:dyDescent="0.25">
      <c r="A78" s="34"/>
      <c r="B78" s="34" t="str">
        <f>IF(A78&lt;&gt;"",VLOOKUP(A78,LIV!$C:$AD,28,0),"")</f>
        <v/>
      </c>
      <c r="C78" s="34" t="str">
        <f>IF(A78&lt;&gt;"",_xlfn.XLOOKUP(A78,LIV!$C:$C,LIV!$AD:$AD,,,-1),"")</f>
        <v/>
      </c>
      <c r="D78" s="34" t="e">
        <f>TEXT(VLOOKUP(A78,LIV!$C:$S,17,0),"dd.mm.yyyy")</f>
        <v>#N/A</v>
      </c>
      <c r="E78" s="34" t="e">
        <f>VLOOKUP(A78,LIV!$C:$R,16,0)</f>
        <v>#N/A</v>
      </c>
      <c r="F78" s="34" t="str">
        <f>_xlfn.IFNA(TEXT(_xlfn.XLOOKUP(A78,LIV!$C:$C,LIV!$B:$B),"dd.mm.yyyy"),"")</f>
        <v>00.01.1900</v>
      </c>
      <c r="G78" s="34">
        <f>SUMIF(LIV!$C:$C,Execute!A78,LIV!$Z:$Z)</f>
        <v>0</v>
      </c>
      <c r="H78" s="34" t="e">
        <f>VLOOKUP(A78,LIV!$C:$J,8,0)</f>
        <v>#N/A</v>
      </c>
      <c r="I78" s="34" t="e">
        <f>VLOOKUP(A78,LIV!$C:$G,5,0)</f>
        <v>#N/A</v>
      </c>
      <c r="J78" s="34" t="str">
        <f t="shared" si="7"/>
        <v/>
      </c>
      <c r="K78" s="34" t="e">
        <f>VLOOKUP(A78,LIV!$C:$H,6,0)</f>
        <v>#N/A</v>
      </c>
      <c r="L78" s="34" t="str">
        <f t="shared" si="4"/>
        <v/>
      </c>
      <c r="M78" s="34" t="e">
        <f>VLOOKUP(A78,LIV!$C:$R,16,0)</f>
        <v>#N/A</v>
      </c>
      <c r="N78" s="34">
        <f t="shared" si="5"/>
        <v>0</v>
      </c>
      <c r="O78" s="34" t="e">
        <f>TEXT(VLOOKUP(A78,LIV!$C:$M,11,0),"dd.mm.yyyy")</f>
        <v>#N/A</v>
      </c>
      <c r="P78" s="34" t="str">
        <f t="shared" si="6"/>
        <v/>
      </c>
      <c r="Q78" s="33"/>
    </row>
    <row r="79" spans="1:17" x14ac:dyDescent="0.25">
      <c r="A79" s="34"/>
      <c r="B79" s="34" t="str">
        <f>IF(A79&lt;&gt;"",VLOOKUP(A79,LIV!$C:$AD,28,0),"")</f>
        <v/>
      </c>
      <c r="C79" s="34" t="str">
        <f>IF(A79&lt;&gt;"",_xlfn.XLOOKUP(A79,LIV!$C:$C,LIV!$AD:$AD,,,-1),"")</f>
        <v/>
      </c>
      <c r="D79" s="34" t="e">
        <f>TEXT(VLOOKUP(A79,LIV!$C:$S,17,0),"dd.mm.yyyy")</f>
        <v>#N/A</v>
      </c>
      <c r="E79" s="34" t="e">
        <f>VLOOKUP(A79,LIV!$C:$R,16,0)</f>
        <v>#N/A</v>
      </c>
      <c r="F79" s="34" t="str">
        <f>_xlfn.IFNA(TEXT(_xlfn.XLOOKUP(A79,LIV!$C:$C,LIV!$B:$B),"dd.mm.yyyy"),"")</f>
        <v>00.01.1900</v>
      </c>
      <c r="G79" s="34">
        <f>SUMIF(LIV!$C:$C,Execute!A79,LIV!$Z:$Z)</f>
        <v>0</v>
      </c>
      <c r="H79" s="34" t="e">
        <f>VLOOKUP(A79,LIV!$C:$J,8,0)</f>
        <v>#N/A</v>
      </c>
      <c r="I79" s="34" t="e">
        <f>VLOOKUP(A79,LIV!$C:$G,5,0)</f>
        <v>#N/A</v>
      </c>
      <c r="J79" s="34" t="str">
        <f t="shared" si="7"/>
        <v/>
      </c>
      <c r="K79" s="34" t="e">
        <f>VLOOKUP(A79,LIV!$C:$H,6,0)</f>
        <v>#N/A</v>
      </c>
      <c r="L79" s="34" t="str">
        <f t="shared" ref="L79:L142" si="8">IF(A79&lt;&gt;"","A01","")</f>
        <v/>
      </c>
      <c r="M79" s="34" t="e">
        <f>VLOOKUP(A79,LIV!$C:$R,16,0)</f>
        <v>#N/A</v>
      </c>
      <c r="N79" s="34">
        <f t="shared" ref="N79:N142" si="9">A79</f>
        <v>0</v>
      </c>
      <c r="O79" s="34" t="e">
        <f>TEXT(VLOOKUP(A79,LIV!$C:$M,11,0),"dd.mm.yyyy")</f>
        <v>#N/A</v>
      </c>
      <c r="P79" s="34" t="str">
        <f t="shared" ref="P79:P142" si="10">IF(A79&lt;&gt;"","T","")</f>
        <v/>
      </c>
      <c r="Q79" s="33"/>
    </row>
    <row r="80" spans="1:17" x14ac:dyDescent="0.25">
      <c r="A80" s="34"/>
      <c r="B80" s="34" t="str">
        <f>IF(A80&lt;&gt;"",VLOOKUP(A80,LIV!$C:$AD,28,0),"")</f>
        <v/>
      </c>
      <c r="C80" s="34" t="str">
        <f>IF(A80&lt;&gt;"",_xlfn.XLOOKUP(A80,LIV!$C:$C,LIV!$AD:$AD,,,-1),"")</f>
        <v/>
      </c>
      <c r="D80" s="34" t="e">
        <f>TEXT(VLOOKUP(A80,LIV!$C:$S,17,0),"dd.mm.yyyy")</f>
        <v>#N/A</v>
      </c>
      <c r="E80" s="34" t="e">
        <f>VLOOKUP(A80,LIV!$C:$R,16,0)</f>
        <v>#N/A</v>
      </c>
      <c r="F80" s="34" t="str">
        <f>_xlfn.IFNA(TEXT(_xlfn.XLOOKUP(A80,LIV!$C:$C,LIV!$B:$B),"dd.mm.yyyy"),"")</f>
        <v>00.01.1900</v>
      </c>
      <c r="G80" s="34">
        <f>SUMIF(LIV!$C:$C,Execute!A80,LIV!$Z:$Z)</f>
        <v>0</v>
      </c>
      <c r="H80" s="34" t="e">
        <f>VLOOKUP(A80,LIV!$C:$J,8,0)</f>
        <v>#N/A</v>
      </c>
      <c r="I80" s="34" t="e">
        <f>VLOOKUP(A80,LIV!$C:$G,5,0)</f>
        <v>#N/A</v>
      </c>
      <c r="J80" s="34" t="str">
        <f t="shared" si="7"/>
        <v/>
      </c>
      <c r="K80" s="34" t="e">
        <f>VLOOKUP(A80,LIV!$C:$H,6,0)</f>
        <v>#N/A</v>
      </c>
      <c r="L80" s="34" t="str">
        <f t="shared" si="8"/>
        <v/>
      </c>
      <c r="M80" s="34" t="e">
        <f>VLOOKUP(A80,LIV!$C:$R,16,0)</f>
        <v>#N/A</v>
      </c>
      <c r="N80" s="34">
        <f t="shared" si="9"/>
        <v>0</v>
      </c>
      <c r="O80" s="34" t="e">
        <f>TEXT(VLOOKUP(A80,LIV!$C:$M,11,0),"dd.mm.yyyy")</f>
        <v>#N/A</v>
      </c>
      <c r="P80" s="34" t="str">
        <f t="shared" si="10"/>
        <v/>
      </c>
      <c r="Q80" s="33"/>
    </row>
    <row r="81" spans="1:17" x14ac:dyDescent="0.25">
      <c r="A81" s="34"/>
      <c r="B81" s="34" t="str">
        <f>IF(A81&lt;&gt;"",VLOOKUP(A81,LIV!$C:$AD,28,0),"")</f>
        <v/>
      </c>
      <c r="C81" s="34" t="str">
        <f>IF(A81&lt;&gt;"",_xlfn.XLOOKUP(A81,LIV!$C:$C,LIV!$AD:$AD,,,-1),"")</f>
        <v/>
      </c>
      <c r="D81" s="34" t="e">
        <f>TEXT(VLOOKUP(A81,LIV!$C:$S,17,0),"dd.mm.yyyy")</f>
        <v>#N/A</v>
      </c>
      <c r="E81" s="34" t="e">
        <f>VLOOKUP(A81,LIV!$C:$R,16,0)</f>
        <v>#N/A</v>
      </c>
      <c r="F81" s="34" t="str">
        <f>_xlfn.IFNA(TEXT(_xlfn.XLOOKUP(A81,LIV!$C:$C,LIV!$B:$B),"dd.mm.yyyy"),"")</f>
        <v>00.01.1900</v>
      </c>
      <c r="G81" s="34">
        <f>SUMIF(LIV!$C:$C,Execute!A81,LIV!$Z:$Z)</f>
        <v>0</v>
      </c>
      <c r="H81" s="34" t="e">
        <f>VLOOKUP(A81,LIV!$C:$J,8,0)</f>
        <v>#N/A</v>
      </c>
      <c r="I81" s="34" t="e">
        <f>VLOOKUP(A81,LIV!$C:$G,5,0)</f>
        <v>#N/A</v>
      </c>
      <c r="J81" s="34" t="str">
        <f t="shared" si="7"/>
        <v/>
      </c>
      <c r="K81" s="34" t="e">
        <f>VLOOKUP(A81,LIV!$C:$H,6,0)</f>
        <v>#N/A</v>
      </c>
      <c r="L81" s="34" t="str">
        <f t="shared" si="8"/>
        <v/>
      </c>
      <c r="M81" s="34" t="e">
        <f>VLOOKUP(A81,LIV!$C:$R,16,0)</f>
        <v>#N/A</v>
      </c>
      <c r="N81" s="34">
        <f t="shared" si="9"/>
        <v>0</v>
      </c>
      <c r="O81" s="34" t="e">
        <f>TEXT(VLOOKUP(A81,LIV!$C:$M,11,0),"dd.mm.yyyy")</f>
        <v>#N/A</v>
      </c>
      <c r="P81" s="34" t="str">
        <f t="shared" si="10"/>
        <v/>
      </c>
      <c r="Q81" s="33"/>
    </row>
    <row r="82" spans="1:17" x14ac:dyDescent="0.25">
      <c r="A82" s="34"/>
      <c r="B82" s="34" t="str">
        <f>IF(A82&lt;&gt;"",VLOOKUP(A82,LIV!$C:$AD,28,0),"")</f>
        <v/>
      </c>
      <c r="C82" s="34" t="str">
        <f>IF(A82&lt;&gt;"",_xlfn.XLOOKUP(A82,LIV!$C:$C,LIV!$AD:$AD,,,-1),"")</f>
        <v/>
      </c>
      <c r="D82" s="34" t="e">
        <f>TEXT(VLOOKUP(A82,LIV!$C:$S,17,0),"dd.mm.yyyy")</f>
        <v>#N/A</v>
      </c>
      <c r="E82" s="34" t="e">
        <f>VLOOKUP(A82,LIV!$C:$R,16,0)</f>
        <v>#N/A</v>
      </c>
      <c r="F82" s="34" t="str">
        <f>_xlfn.IFNA(TEXT(_xlfn.XLOOKUP(A82,LIV!$C:$C,LIV!$B:$B),"dd.mm.yyyy"),"")</f>
        <v>00.01.1900</v>
      </c>
      <c r="G82" s="34">
        <f>SUMIF(LIV!$C:$C,Execute!A82,LIV!$Z:$Z)</f>
        <v>0</v>
      </c>
      <c r="H82" s="34" t="e">
        <f>VLOOKUP(A82,LIV!$C:$J,8,0)</f>
        <v>#N/A</v>
      </c>
      <c r="I82" s="34" t="e">
        <f>VLOOKUP(A82,LIV!$C:$G,5,0)</f>
        <v>#N/A</v>
      </c>
      <c r="J82" s="34" t="str">
        <f t="shared" si="7"/>
        <v/>
      </c>
      <c r="K82" s="34" t="e">
        <f>VLOOKUP(A82,LIV!$C:$H,6,0)</f>
        <v>#N/A</v>
      </c>
      <c r="L82" s="34" t="str">
        <f t="shared" si="8"/>
        <v/>
      </c>
      <c r="M82" s="34" t="e">
        <f>VLOOKUP(A82,LIV!$C:$R,16,0)</f>
        <v>#N/A</v>
      </c>
      <c r="N82" s="34">
        <f t="shared" si="9"/>
        <v>0</v>
      </c>
      <c r="O82" s="34" t="e">
        <f>TEXT(VLOOKUP(A82,LIV!$C:$M,11,0),"dd.mm.yyyy")</f>
        <v>#N/A</v>
      </c>
      <c r="P82" s="34" t="str">
        <f t="shared" si="10"/>
        <v/>
      </c>
      <c r="Q82" s="33"/>
    </row>
    <row r="83" spans="1:17" x14ac:dyDescent="0.25">
      <c r="A83" s="34"/>
      <c r="B83" s="34" t="str">
        <f>IF(A83&lt;&gt;"",VLOOKUP(A83,LIV!$C:$AD,28,0),"")</f>
        <v/>
      </c>
      <c r="C83" s="34" t="str">
        <f>IF(A83&lt;&gt;"",_xlfn.XLOOKUP(A83,LIV!$C:$C,LIV!$AD:$AD,,,-1),"")</f>
        <v/>
      </c>
      <c r="D83" s="34" t="e">
        <f>TEXT(VLOOKUP(A83,LIV!$C:$S,17,0),"dd.mm.yyyy")</f>
        <v>#N/A</v>
      </c>
      <c r="E83" s="34" t="e">
        <f>VLOOKUP(A83,LIV!$C:$R,16,0)</f>
        <v>#N/A</v>
      </c>
      <c r="F83" s="34" t="str">
        <f>_xlfn.IFNA(TEXT(_xlfn.XLOOKUP(A83,LIV!$C:$C,LIV!$B:$B),"dd.mm.yyyy"),"")</f>
        <v>00.01.1900</v>
      </c>
      <c r="G83" s="34">
        <f>SUMIF(LIV!$C:$C,Execute!A83,LIV!$Z:$Z)</f>
        <v>0</v>
      </c>
      <c r="H83" s="34" t="e">
        <f>VLOOKUP(A83,LIV!$C:$J,8,0)</f>
        <v>#N/A</v>
      </c>
      <c r="I83" s="34" t="e">
        <f>VLOOKUP(A83,LIV!$C:$G,5,0)</f>
        <v>#N/A</v>
      </c>
      <c r="J83" s="34" t="str">
        <f t="shared" si="7"/>
        <v/>
      </c>
      <c r="K83" s="34" t="e">
        <f>VLOOKUP(A83,LIV!$C:$H,6,0)</f>
        <v>#N/A</v>
      </c>
      <c r="L83" s="34" t="str">
        <f t="shared" si="8"/>
        <v/>
      </c>
      <c r="M83" s="34" t="e">
        <f>VLOOKUP(A83,LIV!$C:$R,16,0)</f>
        <v>#N/A</v>
      </c>
      <c r="N83" s="34">
        <f t="shared" si="9"/>
        <v>0</v>
      </c>
      <c r="O83" s="34" t="e">
        <f>TEXT(VLOOKUP(A83,LIV!$C:$M,11,0),"dd.mm.yyyy")</f>
        <v>#N/A</v>
      </c>
      <c r="P83" s="34" t="str">
        <f t="shared" si="10"/>
        <v/>
      </c>
      <c r="Q83" s="33"/>
    </row>
    <row r="84" spans="1:17" x14ac:dyDescent="0.25">
      <c r="A84" s="34"/>
      <c r="B84" s="34" t="str">
        <f>IF(A84&lt;&gt;"",VLOOKUP(A84,LIV!$C:$AD,28,0),"")</f>
        <v/>
      </c>
      <c r="C84" s="34" t="str">
        <f>IF(A84&lt;&gt;"",_xlfn.XLOOKUP(A84,LIV!$C:$C,LIV!$AD:$AD,,,-1),"")</f>
        <v/>
      </c>
      <c r="D84" s="34" t="e">
        <f>TEXT(VLOOKUP(A84,LIV!$C:$S,17,0),"dd.mm.yyyy")</f>
        <v>#N/A</v>
      </c>
      <c r="E84" s="34" t="e">
        <f>VLOOKUP(A84,LIV!$C:$R,16,0)</f>
        <v>#N/A</v>
      </c>
      <c r="F84" s="34" t="str">
        <f>_xlfn.IFNA(TEXT(_xlfn.XLOOKUP(A84,LIV!$C:$C,LIV!$B:$B),"dd.mm.yyyy"),"")</f>
        <v>00.01.1900</v>
      </c>
      <c r="G84" s="34">
        <f>SUMIF(LIV!$C:$C,Execute!A84,LIV!$Z:$Z)</f>
        <v>0</v>
      </c>
      <c r="H84" s="34" t="e">
        <f>VLOOKUP(A84,LIV!$C:$J,8,0)</f>
        <v>#N/A</v>
      </c>
      <c r="I84" s="34" t="e">
        <f>VLOOKUP(A84,LIV!$C:$G,5,0)</f>
        <v>#N/A</v>
      </c>
      <c r="J84" s="34" t="str">
        <f t="shared" si="7"/>
        <v/>
      </c>
      <c r="K84" s="34" t="e">
        <f>VLOOKUP(A84,LIV!$C:$H,6,0)</f>
        <v>#N/A</v>
      </c>
      <c r="L84" s="34" t="str">
        <f t="shared" si="8"/>
        <v/>
      </c>
      <c r="M84" s="34" t="e">
        <f>VLOOKUP(A84,LIV!$C:$R,16,0)</f>
        <v>#N/A</v>
      </c>
      <c r="N84" s="34">
        <f t="shared" si="9"/>
        <v>0</v>
      </c>
      <c r="O84" s="34" t="e">
        <f>TEXT(VLOOKUP(A84,LIV!$C:$M,11,0),"dd.mm.yyyy")</f>
        <v>#N/A</v>
      </c>
      <c r="P84" s="34" t="str">
        <f t="shared" si="10"/>
        <v/>
      </c>
      <c r="Q84" s="33"/>
    </row>
    <row r="85" spans="1:17" x14ac:dyDescent="0.25">
      <c r="A85" s="34"/>
      <c r="B85" s="34" t="str">
        <f>IF(A85&lt;&gt;"",VLOOKUP(A85,LIV!$C:$AD,28,0),"")</f>
        <v/>
      </c>
      <c r="C85" s="34" t="str">
        <f>IF(A85&lt;&gt;"",_xlfn.XLOOKUP(A85,LIV!$C:$C,LIV!$AD:$AD,,,-1),"")</f>
        <v/>
      </c>
      <c r="D85" s="34" t="e">
        <f>TEXT(VLOOKUP(A85,LIV!$C:$S,17,0),"dd.mm.yyyy")</f>
        <v>#N/A</v>
      </c>
      <c r="E85" s="34" t="e">
        <f>VLOOKUP(A85,LIV!$C:$R,16,0)</f>
        <v>#N/A</v>
      </c>
      <c r="F85" s="34" t="str">
        <f>_xlfn.IFNA(TEXT(_xlfn.XLOOKUP(A85,LIV!$C:$C,LIV!$B:$B),"dd.mm.yyyy"),"")</f>
        <v>00.01.1900</v>
      </c>
      <c r="G85" s="34">
        <f>SUMIF(LIV!$C:$C,Execute!A85,LIV!$Z:$Z)</f>
        <v>0</v>
      </c>
      <c r="H85" s="34" t="e">
        <f>VLOOKUP(A85,LIV!$C:$J,8,0)</f>
        <v>#N/A</v>
      </c>
      <c r="I85" s="34" t="e">
        <f>VLOOKUP(A85,LIV!$C:$G,5,0)</f>
        <v>#N/A</v>
      </c>
      <c r="J85" s="34" t="str">
        <f t="shared" si="7"/>
        <v/>
      </c>
      <c r="K85" s="34" t="e">
        <f>VLOOKUP(A85,LIV!$C:$H,6,0)</f>
        <v>#N/A</v>
      </c>
      <c r="L85" s="34" t="str">
        <f t="shared" si="8"/>
        <v/>
      </c>
      <c r="M85" s="34" t="e">
        <f>VLOOKUP(A85,LIV!$C:$R,16,0)</f>
        <v>#N/A</v>
      </c>
      <c r="N85" s="34">
        <f t="shared" si="9"/>
        <v>0</v>
      </c>
      <c r="O85" s="34" t="e">
        <f>TEXT(VLOOKUP(A85,LIV!$C:$M,11,0),"dd.mm.yyyy")</f>
        <v>#N/A</v>
      </c>
      <c r="P85" s="34" t="str">
        <f t="shared" si="10"/>
        <v/>
      </c>
      <c r="Q85" s="33"/>
    </row>
    <row r="86" spans="1:17" x14ac:dyDescent="0.25">
      <c r="A86" s="34"/>
      <c r="B86" s="34" t="str">
        <f>IF(A86&lt;&gt;"",VLOOKUP(A86,LIV!$C:$AD,28,0),"")</f>
        <v/>
      </c>
      <c r="C86" s="34" t="str">
        <f>IF(A86&lt;&gt;"",_xlfn.XLOOKUP(A86,LIV!$C:$C,LIV!$AD:$AD,,,-1),"")</f>
        <v/>
      </c>
      <c r="D86" s="34" t="e">
        <f>TEXT(VLOOKUP(A86,LIV!$C:$S,17,0),"dd.mm.yyyy")</f>
        <v>#N/A</v>
      </c>
      <c r="E86" s="34" t="e">
        <f>VLOOKUP(A86,LIV!$C:$R,16,0)</f>
        <v>#N/A</v>
      </c>
      <c r="F86" s="34" t="str">
        <f>_xlfn.IFNA(TEXT(_xlfn.XLOOKUP(A86,LIV!$C:$C,LIV!$B:$B),"dd.mm.yyyy"),"")</f>
        <v>00.01.1900</v>
      </c>
      <c r="G86" s="34">
        <f>SUMIF(LIV!$C:$C,Execute!A86,LIV!$Z:$Z)</f>
        <v>0</v>
      </c>
      <c r="H86" s="34" t="e">
        <f>VLOOKUP(A86,LIV!$C:$J,8,0)</f>
        <v>#N/A</v>
      </c>
      <c r="I86" s="34" t="e">
        <f>VLOOKUP(A86,LIV!$C:$G,5,0)</f>
        <v>#N/A</v>
      </c>
      <c r="J86" s="34" t="str">
        <f t="shared" si="7"/>
        <v/>
      </c>
      <c r="K86" s="34" t="e">
        <f>VLOOKUP(A86,LIV!$C:$H,6,0)</f>
        <v>#N/A</v>
      </c>
      <c r="L86" s="34" t="str">
        <f t="shared" si="8"/>
        <v/>
      </c>
      <c r="M86" s="34" t="e">
        <f>VLOOKUP(A86,LIV!$C:$R,16,0)</f>
        <v>#N/A</v>
      </c>
      <c r="N86" s="34">
        <f t="shared" si="9"/>
        <v>0</v>
      </c>
      <c r="O86" s="34" t="e">
        <f>TEXT(VLOOKUP(A86,LIV!$C:$M,11,0),"dd.mm.yyyy")</f>
        <v>#N/A</v>
      </c>
      <c r="P86" s="34" t="str">
        <f t="shared" si="10"/>
        <v/>
      </c>
      <c r="Q86" s="33"/>
    </row>
    <row r="87" spans="1:17" x14ac:dyDescent="0.25">
      <c r="A87" s="34"/>
      <c r="B87" s="34" t="str">
        <f>IF(A87&lt;&gt;"",VLOOKUP(A87,LIV!$C:$AD,28,0),"")</f>
        <v/>
      </c>
      <c r="C87" s="34" t="str">
        <f>IF(A87&lt;&gt;"",_xlfn.XLOOKUP(A87,LIV!$C:$C,LIV!$AD:$AD,,,-1),"")</f>
        <v/>
      </c>
      <c r="D87" s="34" t="e">
        <f>TEXT(VLOOKUP(A87,LIV!$C:$S,17,0),"dd.mm.yyyy")</f>
        <v>#N/A</v>
      </c>
      <c r="E87" s="34" t="e">
        <f>VLOOKUP(A87,LIV!$C:$R,16,0)</f>
        <v>#N/A</v>
      </c>
      <c r="F87" s="34" t="str">
        <f>_xlfn.IFNA(TEXT(_xlfn.XLOOKUP(A87,LIV!$C:$C,LIV!$B:$B),"dd.mm.yyyy"),"")</f>
        <v>00.01.1900</v>
      </c>
      <c r="G87" s="34">
        <f>SUMIF(LIV!$C:$C,Execute!A87,LIV!$Z:$Z)</f>
        <v>0</v>
      </c>
      <c r="H87" s="34" t="e">
        <f>VLOOKUP(A87,LIV!$C:$J,8,0)</f>
        <v>#N/A</v>
      </c>
      <c r="I87" s="34" t="e">
        <f>VLOOKUP(A87,LIV!$C:$G,5,0)</f>
        <v>#N/A</v>
      </c>
      <c r="J87" s="34" t="str">
        <f t="shared" si="7"/>
        <v/>
      </c>
      <c r="K87" s="34" t="e">
        <f>VLOOKUP(A87,LIV!$C:$H,6,0)</f>
        <v>#N/A</v>
      </c>
      <c r="L87" s="34" t="str">
        <f t="shared" si="8"/>
        <v/>
      </c>
      <c r="M87" s="34" t="e">
        <f>VLOOKUP(A87,LIV!$C:$R,16,0)</f>
        <v>#N/A</v>
      </c>
      <c r="N87" s="34">
        <f t="shared" si="9"/>
        <v>0</v>
      </c>
      <c r="O87" s="34" t="e">
        <f>TEXT(VLOOKUP(A87,LIV!$C:$M,11,0),"dd.mm.yyyy")</f>
        <v>#N/A</v>
      </c>
      <c r="P87" s="34" t="str">
        <f t="shared" si="10"/>
        <v/>
      </c>
      <c r="Q87" s="33"/>
    </row>
    <row r="88" spans="1:17" x14ac:dyDescent="0.25">
      <c r="A88" s="34"/>
      <c r="B88" s="34" t="str">
        <f>IF(A88&lt;&gt;"",VLOOKUP(A88,LIV!$C:$AD,28,0),"")</f>
        <v/>
      </c>
      <c r="C88" s="34" t="str">
        <f>IF(A88&lt;&gt;"",_xlfn.XLOOKUP(A88,LIV!$C:$C,LIV!$AD:$AD,,,-1),"")</f>
        <v/>
      </c>
      <c r="D88" s="34" t="e">
        <f>TEXT(VLOOKUP(A88,LIV!$C:$S,17,0),"dd.mm.yyyy")</f>
        <v>#N/A</v>
      </c>
      <c r="E88" s="34" t="e">
        <f>VLOOKUP(A88,LIV!$C:$R,16,0)</f>
        <v>#N/A</v>
      </c>
      <c r="F88" s="34" t="str">
        <f>_xlfn.IFNA(TEXT(_xlfn.XLOOKUP(A88,LIV!$C:$C,LIV!$B:$B),"dd.mm.yyyy"),"")</f>
        <v>00.01.1900</v>
      </c>
      <c r="G88" s="34">
        <f>SUMIF(LIV!$C:$C,Execute!A88,LIV!$Z:$Z)</f>
        <v>0</v>
      </c>
      <c r="H88" s="34" t="e">
        <f>VLOOKUP(A88,LIV!$C:$J,8,0)</f>
        <v>#N/A</v>
      </c>
      <c r="I88" s="34" t="e">
        <f>VLOOKUP(A88,LIV!$C:$G,5,0)</f>
        <v>#N/A</v>
      </c>
      <c r="J88" s="34" t="str">
        <f t="shared" si="7"/>
        <v/>
      </c>
      <c r="K88" s="34" t="e">
        <f>VLOOKUP(A88,LIV!$C:$H,6,0)</f>
        <v>#N/A</v>
      </c>
      <c r="L88" s="34" t="str">
        <f t="shared" si="8"/>
        <v/>
      </c>
      <c r="M88" s="34" t="e">
        <f>VLOOKUP(A88,LIV!$C:$R,16,0)</f>
        <v>#N/A</v>
      </c>
      <c r="N88" s="34">
        <f t="shared" si="9"/>
        <v>0</v>
      </c>
      <c r="O88" s="34" t="e">
        <f>TEXT(VLOOKUP(A88,LIV!$C:$M,11,0),"dd.mm.yyyy")</f>
        <v>#N/A</v>
      </c>
      <c r="P88" s="34" t="str">
        <f t="shared" si="10"/>
        <v/>
      </c>
      <c r="Q88" s="33"/>
    </row>
    <row r="89" spans="1:17" x14ac:dyDescent="0.25">
      <c r="A89" s="34"/>
      <c r="B89" s="34" t="str">
        <f>IF(A89&lt;&gt;"",VLOOKUP(A89,LIV!$C:$AD,28,0),"")</f>
        <v/>
      </c>
      <c r="C89" s="34" t="str">
        <f>IF(A89&lt;&gt;"",_xlfn.XLOOKUP(A89,LIV!$C:$C,LIV!$AD:$AD,,,-1),"")</f>
        <v/>
      </c>
      <c r="D89" s="34" t="e">
        <f>TEXT(VLOOKUP(A89,LIV!$C:$S,17,0),"dd.mm.yyyy")</f>
        <v>#N/A</v>
      </c>
      <c r="E89" s="34" t="e">
        <f>VLOOKUP(A89,LIV!$C:$R,16,0)</f>
        <v>#N/A</v>
      </c>
      <c r="F89" s="34" t="str">
        <f>_xlfn.IFNA(TEXT(_xlfn.XLOOKUP(A89,LIV!$C:$C,LIV!$B:$B),"dd.mm.yyyy"),"")</f>
        <v>00.01.1900</v>
      </c>
      <c r="G89" s="34">
        <f>SUMIF(LIV!$C:$C,Execute!A89,LIV!$Z:$Z)</f>
        <v>0</v>
      </c>
      <c r="H89" s="34" t="e">
        <f>VLOOKUP(A89,LIV!$C:$J,8,0)</f>
        <v>#N/A</v>
      </c>
      <c r="I89" s="34" t="e">
        <f>VLOOKUP(A89,LIV!$C:$G,5,0)</f>
        <v>#N/A</v>
      </c>
      <c r="J89" s="34" t="str">
        <f t="shared" si="7"/>
        <v/>
      </c>
      <c r="K89" s="34" t="e">
        <f>VLOOKUP(A89,LIV!$C:$H,6,0)</f>
        <v>#N/A</v>
      </c>
      <c r="L89" s="34" t="str">
        <f t="shared" si="8"/>
        <v/>
      </c>
      <c r="M89" s="34" t="e">
        <f>VLOOKUP(A89,LIV!$C:$R,16,0)</f>
        <v>#N/A</v>
      </c>
      <c r="N89" s="34">
        <f t="shared" si="9"/>
        <v>0</v>
      </c>
      <c r="O89" s="34" t="e">
        <f>TEXT(VLOOKUP(A89,LIV!$C:$M,11,0),"dd.mm.yyyy")</f>
        <v>#N/A</v>
      </c>
      <c r="P89" s="34" t="str">
        <f t="shared" si="10"/>
        <v/>
      </c>
      <c r="Q89" s="33"/>
    </row>
    <row r="90" spans="1:17" x14ac:dyDescent="0.25">
      <c r="A90" s="34"/>
      <c r="B90" s="34" t="str">
        <f>IF(A90&lt;&gt;"",VLOOKUP(A90,LIV!$C:$AD,28,0),"")</f>
        <v/>
      </c>
      <c r="C90" s="34" t="str">
        <f>IF(A90&lt;&gt;"",_xlfn.XLOOKUP(A90,LIV!$C:$C,LIV!$AD:$AD,,,-1),"")</f>
        <v/>
      </c>
      <c r="D90" s="34" t="e">
        <f>TEXT(VLOOKUP(A90,LIV!$C:$S,17,0),"dd.mm.yyyy")</f>
        <v>#N/A</v>
      </c>
      <c r="E90" s="34" t="e">
        <f>VLOOKUP(A90,LIV!$C:$R,16,0)</f>
        <v>#N/A</v>
      </c>
      <c r="F90" s="34" t="str">
        <f>_xlfn.IFNA(TEXT(_xlfn.XLOOKUP(A90,LIV!$C:$C,LIV!$B:$B),"dd.mm.yyyy"),"")</f>
        <v>00.01.1900</v>
      </c>
      <c r="G90" s="34">
        <f>SUMIF(LIV!$C:$C,Execute!A90,LIV!$Z:$Z)</f>
        <v>0</v>
      </c>
      <c r="H90" s="34" t="e">
        <f>VLOOKUP(A90,LIV!$C:$J,8,0)</f>
        <v>#N/A</v>
      </c>
      <c r="I90" s="34" t="e">
        <f>VLOOKUP(A90,LIV!$C:$G,5,0)</f>
        <v>#N/A</v>
      </c>
      <c r="J90" s="34" t="str">
        <f t="shared" si="7"/>
        <v/>
      </c>
      <c r="K90" s="34" t="e">
        <f>VLOOKUP(A90,LIV!$C:$H,6,0)</f>
        <v>#N/A</v>
      </c>
      <c r="L90" s="34" t="str">
        <f t="shared" si="8"/>
        <v/>
      </c>
      <c r="M90" s="34" t="e">
        <f>VLOOKUP(A90,LIV!$C:$R,16,0)</f>
        <v>#N/A</v>
      </c>
      <c r="N90" s="34">
        <f t="shared" si="9"/>
        <v>0</v>
      </c>
      <c r="O90" s="34" t="e">
        <f>TEXT(VLOOKUP(A90,LIV!$C:$M,11,0),"dd.mm.yyyy")</f>
        <v>#N/A</v>
      </c>
      <c r="P90" s="34" t="str">
        <f t="shared" si="10"/>
        <v/>
      </c>
      <c r="Q90" s="33"/>
    </row>
    <row r="91" spans="1:17" x14ac:dyDescent="0.25">
      <c r="A91" s="34"/>
      <c r="B91" s="34" t="str">
        <f>IF(A91&lt;&gt;"",VLOOKUP(A91,LIV!$C:$AD,28,0),"")</f>
        <v/>
      </c>
      <c r="C91" s="34" t="str">
        <f>IF(A91&lt;&gt;"",_xlfn.XLOOKUP(A91,LIV!$C:$C,LIV!$AD:$AD,,,-1),"")</f>
        <v/>
      </c>
      <c r="D91" s="34" t="e">
        <f>TEXT(VLOOKUP(A91,LIV!$C:$S,17,0),"dd.mm.yyyy")</f>
        <v>#N/A</v>
      </c>
      <c r="E91" s="34" t="e">
        <f>VLOOKUP(A91,LIV!$C:$R,16,0)</f>
        <v>#N/A</v>
      </c>
      <c r="F91" s="34" t="str">
        <f>_xlfn.IFNA(TEXT(_xlfn.XLOOKUP(A91,LIV!$C:$C,LIV!$B:$B),"dd.mm.yyyy"),"")</f>
        <v>00.01.1900</v>
      </c>
      <c r="G91" s="34">
        <f>SUMIF(LIV!$C:$C,Execute!A91,LIV!$Z:$Z)</f>
        <v>0</v>
      </c>
      <c r="H91" s="34" t="e">
        <f>VLOOKUP(A91,LIV!$C:$J,8,0)</f>
        <v>#N/A</v>
      </c>
      <c r="I91" s="34" t="e">
        <f>VLOOKUP(A91,LIV!$C:$G,5,0)</f>
        <v>#N/A</v>
      </c>
      <c r="J91" s="34" t="str">
        <f t="shared" si="7"/>
        <v/>
      </c>
      <c r="K91" s="34" t="e">
        <f>VLOOKUP(A91,LIV!$C:$H,6,0)</f>
        <v>#N/A</v>
      </c>
      <c r="L91" s="34" t="str">
        <f t="shared" si="8"/>
        <v/>
      </c>
      <c r="M91" s="34" t="e">
        <f>VLOOKUP(A91,LIV!$C:$R,16,0)</f>
        <v>#N/A</v>
      </c>
      <c r="N91" s="34">
        <f t="shared" si="9"/>
        <v>0</v>
      </c>
      <c r="O91" s="34" t="e">
        <f>TEXT(VLOOKUP(A91,LIV!$C:$M,11,0),"dd.mm.yyyy")</f>
        <v>#N/A</v>
      </c>
      <c r="P91" s="34" t="str">
        <f t="shared" si="10"/>
        <v/>
      </c>
      <c r="Q91" s="33"/>
    </row>
    <row r="92" spans="1:17" x14ac:dyDescent="0.25">
      <c r="A92" s="34"/>
      <c r="B92" s="34" t="str">
        <f>IF(A92&lt;&gt;"",VLOOKUP(A92,LIV!$C:$AD,28,0),"")</f>
        <v/>
      </c>
      <c r="C92" s="34" t="str">
        <f>IF(A92&lt;&gt;"",_xlfn.XLOOKUP(A92,LIV!$C:$C,LIV!$AD:$AD,,,-1),"")</f>
        <v/>
      </c>
      <c r="D92" s="34" t="e">
        <f>TEXT(VLOOKUP(A92,LIV!$C:$S,17,0),"dd.mm.yyyy")</f>
        <v>#N/A</v>
      </c>
      <c r="E92" s="34" t="e">
        <f>VLOOKUP(A92,LIV!$C:$R,16,0)</f>
        <v>#N/A</v>
      </c>
      <c r="F92" s="34" t="str">
        <f>_xlfn.IFNA(TEXT(_xlfn.XLOOKUP(A92,LIV!$C:$C,LIV!$B:$B),"dd.mm.yyyy"),"")</f>
        <v>00.01.1900</v>
      </c>
      <c r="G92" s="34">
        <f>SUMIF(LIV!$C:$C,Execute!A92,LIV!$Z:$Z)</f>
        <v>0</v>
      </c>
      <c r="H92" s="34" t="e">
        <f>VLOOKUP(A92,LIV!$C:$J,8,0)</f>
        <v>#N/A</v>
      </c>
      <c r="I92" s="34" t="e">
        <f>VLOOKUP(A92,LIV!$C:$G,5,0)</f>
        <v>#N/A</v>
      </c>
      <c r="J92" s="34" t="str">
        <f t="shared" si="7"/>
        <v/>
      </c>
      <c r="K92" s="34" t="e">
        <f>VLOOKUP(A92,LIV!$C:$H,6,0)</f>
        <v>#N/A</v>
      </c>
      <c r="L92" s="34" t="str">
        <f t="shared" si="8"/>
        <v/>
      </c>
      <c r="M92" s="34" t="e">
        <f>VLOOKUP(A92,LIV!$C:$R,16,0)</f>
        <v>#N/A</v>
      </c>
      <c r="N92" s="34">
        <f t="shared" si="9"/>
        <v>0</v>
      </c>
      <c r="O92" s="34" t="e">
        <f>TEXT(VLOOKUP(A92,LIV!$C:$M,11,0),"dd.mm.yyyy")</f>
        <v>#N/A</v>
      </c>
      <c r="P92" s="34" t="str">
        <f t="shared" si="10"/>
        <v/>
      </c>
      <c r="Q92" s="33"/>
    </row>
    <row r="93" spans="1:17" x14ac:dyDescent="0.25">
      <c r="A93" s="34"/>
      <c r="B93" s="34" t="str">
        <f>IF(A93&lt;&gt;"",VLOOKUP(A93,LIV!$C:$AD,28,0),"")</f>
        <v/>
      </c>
      <c r="C93" s="34" t="str">
        <f>IF(A93&lt;&gt;"",_xlfn.XLOOKUP(A93,LIV!$C:$C,LIV!$AD:$AD,,,-1),"")</f>
        <v/>
      </c>
      <c r="D93" s="34" t="e">
        <f>TEXT(VLOOKUP(A93,LIV!$C:$S,17,0),"dd.mm.yyyy")</f>
        <v>#N/A</v>
      </c>
      <c r="E93" s="34" t="e">
        <f>VLOOKUP(A93,LIV!$C:$R,16,0)</f>
        <v>#N/A</v>
      </c>
      <c r="F93" s="34" t="str">
        <f>_xlfn.IFNA(TEXT(_xlfn.XLOOKUP(A93,LIV!$C:$C,LIV!$B:$B),"dd.mm.yyyy"),"")</f>
        <v>00.01.1900</v>
      </c>
      <c r="G93" s="34">
        <f>SUMIF(LIV!$C:$C,Execute!A93,LIV!$Z:$Z)</f>
        <v>0</v>
      </c>
      <c r="H93" s="34" t="e">
        <f>VLOOKUP(A93,LIV!$C:$J,8,0)</f>
        <v>#N/A</v>
      </c>
      <c r="I93" s="34" t="e">
        <f>VLOOKUP(A93,LIV!$C:$G,5,0)</f>
        <v>#N/A</v>
      </c>
      <c r="J93" s="34" t="str">
        <f t="shared" si="7"/>
        <v/>
      </c>
      <c r="K93" s="34" t="e">
        <f>VLOOKUP(A93,LIV!$C:$H,6,0)</f>
        <v>#N/A</v>
      </c>
      <c r="L93" s="34" t="str">
        <f t="shared" si="8"/>
        <v/>
      </c>
      <c r="M93" s="34" t="e">
        <f>VLOOKUP(A93,LIV!$C:$R,16,0)</f>
        <v>#N/A</v>
      </c>
      <c r="N93" s="34">
        <f t="shared" si="9"/>
        <v>0</v>
      </c>
      <c r="O93" s="34" t="e">
        <f>TEXT(VLOOKUP(A93,LIV!$C:$M,11,0),"dd.mm.yyyy")</f>
        <v>#N/A</v>
      </c>
      <c r="P93" s="34" t="str">
        <f t="shared" si="10"/>
        <v/>
      </c>
      <c r="Q93" s="33"/>
    </row>
    <row r="94" spans="1:17" x14ac:dyDescent="0.25">
      <c r="A94" s="34"/>
      <c r="B94" s="34" t="str">
        <f>IF(A94&lt;&gt;"",VLOOKUP(A94,LIV!$C:$AD,28,0),"")</f>
        <v/>
      </c>
      <c r="C94" s="34" t="str">
        <f>IF(A94&lt;&gt;"",_xlfn.XLOOKUP(A94,LIV!$C:$C,LIV!$AD:$AD,,,-1),"")</f>
        <v/>
      </c>
      <c r="D94" s="34" t="e">
        <f>TEXT(VLOOKUP(A94,LIV!$C:$S,17,0),"dd.mm.yyyy")</f>
        <v>#N/A</v>
      </c>
      <c r="E94" s="34" t="e">
        <f>VLOOKUP(A94,LIV!$C:$R,16,0)</f>
        <v>#N/A</v>
      </c>
      <c r="F94" s="34" t="str">
        <f>_xlfn.IFNA(TEXT(_xlfn.XLOOKUP(A94,LIV!$C:$C,LIV!$B:$B),"dd.mm.yyyy"),"")</f>
        <v>00.01.1900</v>
      </c>
      <c r="G94" s="34">
        <f>SUMIF(LIV!$C:$C,Execute!A94,LIV!$Z:$Z)</f>
        <v>0</v>
      </c>
      <c r="H94" s="34" t="e">
        <f>VLOOKUP(A94,LIV!$C:$J,8,0)</f>
        <v>#N/A</v>
      </c>
      <c r="I94" s="34" t="e">
        <f>VLOOKUP(A94,LIV!$C:$G,5,0)</f>
        <v>#N/A</v>
      </c>
      <c r="J94" s="34" t="str">
        <f t="shared" si="7"/>
        <v/>
      </c>
      <c r="K94" s="34" t="e">
        <f>VLOOKUP(A94,LIV!$C:$H,6,0)</f>
        <v>#N/A</v>
      </c>
      <c r="L94" s="34" t="str">
        <f t="shared" si="8"/>
        <v/>
      </c>
      <c r="M94" s="34" t="e">
        <f>VLOOKUP(A94,LIV!$C:$R,16,0)</f>
        <v>#N/A</v>
      </c>
      <c r="N94" s="34">
        <f t="shared" si="9"/>
        <v>0</v>
      </c>
      <c r="O94" s="34" t="e">
        <f>TEXT(VLOOKUP(A94,LIV!$C:$M,11,0),"dd.mm.yyyy")</f>
        <v>#N/A</v>
      </c>
      <c r="P94" s="34" t="str">
        <f t="shared" si="10"/>
        <v/>
      </c>
      <c r="Q94" s="33"/>
    </row>
    <row r="95" spans="1:17" x14ac:dyDescent="0.25">
      <c r="A95" s="34"/>
      <c r="B95" s="34" t="str">
        <f>IF(A95&lt;&gt;"",VLOOKUP(A95,LIV!$C:$AD,28,0),"")</f>
        <v/>
      </c>
      <c r="C95" s="34" t="str">
        <f>IF(A95&lt;&gt;"",_xlfn.XLOOKUP(A95,LIV!$C:$C,LIV!$AD:$AD,,,-1),"")</f>
        <v/>
      </c>
      <c r="D95" s="34" t="e">
        <f>TEXT(VLOOKUP(A95,LIV!$C:$S,17,0),"dd.mm.yyyy")</f>
        <v>#N/A</v>
      </c>
      <c r="E95" s="34" t="e">
        <f>VLOOKUP(A95,LIV!$C:$R,16,0)</f>
        <v>#N/A</v>
      </c>
      <c r="F95" s="34" t="str">
        <f>_xlfn.IFNA(TEXT(_xlfn.XLOOKUP(A95,LIV!$C:$C,LIV!$B:$B),"dd.mm.yyyy"),"")</f>
        <v>00.01.1900</v>
      </c>
      <c r="G95" s="34">
        <f>SUMIF(LIV!$C:$C,Execute!A95,LIV!$Z:$Z)</f>
        <v>0</v>
      </c>
      <c r="H95" s="34" t="e">
        <f>VLOOKUP(A95,LIV!$C:$J,8,0)</f>
        <v>#N/A</v>
      </c>
      <c r="I95" s="34" t="e">
        <f>VLOOKUP(A95,LIV!$C:$G,5,0)</f>
        <v>#N/A</v>
      </c>
      <c r="J95" s="34" t="str">
        <f t="shared" si="7"/>
        <v/>
      </c>
      <c r="K95" s="34" t="e">
        <f>VLOOKUP(A95,LIV!$C:$H,6,0)</f>
        <v>#N/A</v>
      </c>
      <c r="L95" s="34" t="str">
        <f t="shared" si="8"/>
        <v/>
      </c>
      <c r="M95" s="34" t="e">
        <f>VLOOKUP(A95,LIV!$C:$R,16,0)</f>
        <v>#N/A</v>
      </c>
      <c r="N95" s="34">
        <f t="shared" si="9"/>
        <v>0</v>
      </c>
      <c r="O95" s="34" t="e">
        <f>TEXT(VLOOKUP(A95,LIV!$C:$M,11,0),"dd.mm.yyyy")</f>
        <v>#N/A</v>
      </c>
      <c r="P95" s="34" t="str">
        <f t="shared" si="10"/>
        <v/>
      </c>
      <c r="Q95" s="33"/>
    </row>
    <row r="96" spans="1:17" x14ac:dyDescent="0.25">
      <c r="A96" s="34"/>
      <c r="B96" s="34" t="str">
        <f>IF(A96&lt;&gt;"",VLOOKUP(A96,LIV!$C:$AD,28,0),"")</f>
        <v/>
      </c>
      <c r="C96" s="34" t="str">
        <f>IF(A96&lt;&gt;"",_xlfn.XLOOKUP(A96,LIV!$C:$C,LIV!$AD:$AD,,,-1),"")</f>
        <v/>
      </c>
      <c r="D96" s="34" t="e">
        <f>TEXT(VLOOKUP(A96,LIV!$C:$S,17,0),"dd.mm.yyyy")</f>
        <v>#N/A</v>
      </c>
      <c r="E96" s="34" t="e">
        <f>VLOOKUP(A96,LIV!$C:$R,16,0)</f>
        <v>#N/A</v>
      </c>
      <c r="F96" s="34" t="str">
        <f>_xlfn.IFNA(TEXT(_xlfn.XLOOKUP(A96,LIV!$C:$C,LIV!$B:$B),"dd.mm.yyyy"),"")</f>
        <v>00.01.1900</v>
      </c>
      <c r="G96" s="34">
        <f>SUMIF(LIV!$C:$C,Execute!A96,LIV!$Z:$Z)</f>
        <v>0</v>
      </c>
      <c r="H96" s="34" t="e">
        <f>VLOOKUP(A96,LIV!$C:$J,8,0)</f>
        <v>#N/A</v>
      </c>
      <c r="I96" s="34" t="e">
        <f>VLOOKUP(A96,LIV!$C:$G,5,0)</f>
        <v>#N/A</v>
      </c>
      <c r="J96" s="34" t="str">
        <f t="shared" si="7"/>
        <v/>
      </c>
      <c r="K96" s="34" t="e">
        <f>VLOOKUP(A96,LIV!$C:$H,6,0)</f>
        <v>#N/A</v>
      </c>
      <c r="L96" s="34" t="str">
        <f t="shared" si="8"/>
        <v/>
      </c>
      <c r="M96" s="34" t="e">
        <f>VLOOKUP(A96,LIV!$C:$R,16,0)</f>
        <v>#N/A</v>
      </c>
      <c r="N96" s="34">
        <f t="shared" si="9"/>
        <v>0</v>
      </c>
      <c r="O96" s="34" t="e">
        <f>TEXT(VLOOKUP(A96,LIV!$C:$M,11,0),"dd.mm.yyyy")</f>
        <v>#N/A</v>
      </c>
      <c r="P96" s="34" t="str">
        <f t="shared" si="10"/>
        <v/>
      </c>
      <c r="Q96" s="33"/>
    </row>
    <row r="97" spans="1:17" x14ac:dyDescent="0.25">
      <c r="A97" s="34"/>
      <c r="B97" s="34" t="str">
        <f>IF(A97&lt;&gt;"",VLOOKUP(A97,LIV!$C:$AD,28,0),"")</f>
        <v/>
      </c>
      <c r="C97" s="34" t="str">
        <f>IF(A97&lt;&gt;"",_xlfn.XLOOKUP(A97,LIV!$C:$C,LIV!$AD:$AD,,,-1),"")</f>
        <v/>
      </c>
      <c r="D97" s="34" t="e">
        <f>TEXT(VLOOKUP(A97,LIV!$C:$S,17,0),"dd.mm.yyyy")</f>
        <v>#N/A</v>
      </c>
      <c r="E97" s="34" t="e">
        <f>VLOOKUP(A97,LIV!$C:$R,16,0)</f>
        <v>#N/A</v>
      </c>
      <c r="F97" s="34" t="str">
        <f>_xlfn.IFNA(TEXT(_xlfn.XLOOKUP(A97,LIV!$C:$C,LIV!$B:$B),"dd.mm.yyyy"),"")</f>
        <v>00.01.1900</v>
      </c>
      <c r="G97" s="34">
        <f>SUMIF(LIV!$C:$C,Execute!A97,LIV!$Z:$Z)</f>
        <v>0</v>
      </c>
      <c r="H97" s="34" t="e">
        <f>VLOOKUP(A97,LIV!$C:$J,8,0)</f>
        <v>#N/A</v>
      </c>
      <c r="I97" s="34" t="e">
        <f>VLOOKUP(A97,LIV!$C:$G,5,0)</f>
        <v>#N/A</v>
      </c>
      <c r="J97" s="34" t="str">
        <f t="shared" si="7"/>
        <v/>
      </c>
      <c r="K97" s="34" t="e">
        <f>VLOOKUP(A97,LIV!$C:$H,6,0)</f>
        <v>#N/A</v>
      </c>
      <c r="L97" s="34" t="str">
        <f t="shared" si="8"/>
        <v/>
      </c>
      <c r="M97" s="34" t="e">
        <f>VLOOKUP(A97,LIV!$C:$R,16,0)</f>
        <v>#N/A</v>
      </c>
      <c r="N97" s="34">
        <f t="shared" si="9"/>
        <v>0</v>
      </c>
      <c r="O97" s="34" t="e">
        <f>TEXT(VLOOKUP(A97,LIV!$C:$M,11,0),"dd.mm.yyyy")</f>
        <v>#N/A</v>
      </c>
      <c r="P97" s="34" t="str">
        <f t="shared" si="10"/>
        <v/>
      </c>
      <c r="Q97" s="33"/>
    </row>
    <row r="98" spans="1:17" x14ac:dyDescent="0.25">
      <c r="A98" s="34"/>
      <c r="B98" s="34" t="str">
        <f>IF(A98&lt;&gt;"",VLOOKUP(A98,LIV!$C:$AD,28,0),"")</f>
        <v/>
      </c>
      <c r="C98" s="34" t="str">
        <f>IF(A98&lt;&gt;"",_xlfn.XLOOKUP(A98,LIV!$C:$C,LIV!$AD:$AD,,,-1),"")</f>
        <v/>
      </c>
      <c r="D98" s="34" t="e">
        <f>TEXT(VLOOKUP(A98,LIV!$C:$S,17,0),"dd.mm.yyyy")</f>
        <v>#N/A</v>
      </c>
      <c r="E98" s="34" t="e">
        <f>VLOOKUP(A98,LIV!$C:$R,16,0)</f>
        <v>#N/A</v>
      </c>
      <c r="F98" s="34" t="str">
        <f>_xlfn.IFNA(TEXT(_xlfn.XLOOKUP(A98,LIV!$C:$C,LIV!$B:$B),"dd.mm.yyyy"),"")</f>
        <v>00.01.1900</v>
      </c>
      <c r="G98" s="34">
        <f>SUMIF(LIV!$C:$C,Execute!A98,LIV!$Z:$Z)</f>
        <v>0</v>
      </c>
      <c r="H98" s="34" t="e">
        <f>VLOOKUP(A98,LIV!$C:$J,8,0)</f>
        <v>#N/A</v>
      </c>
      <c r="I98" s="34" t="e">
        <f>VLOOKUP(A98,LIV!$C:$G,5,0)</f>
        <v>#N/A</v>
      </c>
      <c r="J98" s="34" t="str">
        <f t="shared" si="7"/>
        <v/>
      </c>
      <c r="K98" s="34" t="e">
        <f>VLOOKUP(A98,LIV!$C:$H,6,0)</f>
        <v>#N/A</v>
      </c>
      <c r="L98" s="34" t="str">
        <f t="shared" si="8"/>
        <v/>
      </c>
      <c r="M98" s="34" t="e">
        <f>VLOOKUP(A98,LIV!$C:$R,16,0)</f>
        <v>#N/A</v>
      </c>
      <c r="N98" s="34">
        <f t="shared" si="9"/>
        <v>0</v>
      </c>
      <c r="O98" s="34" t="e">
        <f>TEXT(VLOOKUP(A98,LIV!$C:$M,11,0),"dd.mm.yyyy")</f>
        <v>#N/A</v>
      </c>
      <c r="P98" s="34" t="str">
        <f t="shared" si="10"/>
        <v/>
      </c>
      <c r="Q98" s="33"/>
    </row>
    <row r="99" spans="1:17" x14ac:dyDescent="0.25">
      <c r="A99" s="34"/>
      <c r="B99" s="34" t="str">
        <f>IF(A99&lt;&gt;"",VLOOKUP(A99,LIV!$C:$AD,28,0),"")</f>
        <v/>
      </c>
      <c r="C99" s="34" t="str">
        <f>IF(A99&lt;&gt;"",_xlfn.XLOOKUP(A99,LIV!$C:$C,LIV!$AD:$AD,,,-1),"")</f>
        <v/>
      </c>
      <c r="D99" s="34" t="e">
        <f>TEXT(VLOOKUP(A99,LIV!$C:$S,17,0),"dd.mm.yyyy")</f>
        <v>#N/A</v>
      </c>
      <c r="E99" s="34" t="e">
        <f>VLOOKUP(A99,LIV!$C:$R,16,0)</f>
        <v>#N/A</v>
      </c>
      <c r="F99" s="34" t="str">
        <f>_xlfn.IFNA(TEXT(_xlfn.XLOOKUP(A99,LIV!$C:$C,LIV!$B:$B),"dd.mm.yyyy"),"")</f>
        <v>00.01.1900</v>
      </c>
      <c r="G99" s="34">
        <f>SUMIF(LIV!$C:$C,Execute!A99,LIV!$Z:$Z)</f>
        <v>0</v>
      </c>
      <c r="H99" s="34" t="e">
        <f>VLOOKUP(A99,LIV!$C:$J,8,0)</f>
        <v>#N/A</v>
      </c>
      <c r="I99" s="34" t="e">
        <f>VLOOKUP(A99,LIV!$C:$G,5,0)</f>
        <v>#N/A</v>
      </c>
      <c r="J99" s="34" t="str">
        <f t="shared" si="7"/>
        <v/>
      </c>
      <c r="K99" s="34" t="e">
        <f>VLOOKUP(A99,LIV!$C:$H,6,0)</f>
        <v>#N/A</v>
      </c>
      <c r="L99" s="34" t="str">
        <f t="shared" si="8"/>
        <v/>
      </c>
      <c r="M99" s="34" t="e">
        <f>VLOOKUP(A99,LIV!$C:$R,16,0)</f>
        <v>#N/A</v>
      </c>
      <c r="N99" s="34">
        <f t="shared" si="9"/>
        <v>0</v>
      </c>
      <c r="O99" s="34" t="e">
        <f>TEXT(VLOOKUP(A99,LIV!$C:$M,11,0),"dd.mm.yyyy")</f>
        <v>#N/A</v>
      </c>
      <c r="P99" s="34" t="str">
        <f t="shared" si="10"/>
        <v/>
      </c>
      <c r="Q99" s="33"/>
    </row>
    <row r="100" spans="1:17" x14ac:dyDescent="0.25">
      <c r="A100" s="34"/>
      <c r="B100" s="34" t="str">
        <f>IF(A100&lt;&gt;"",VLOOKUP(A100,LIV!$C:$AD,28,0),"")</f>
        <v/>
      </c>
      <c r="C100" s="34" t="str">
        <f>IF(A100&lt;&gt;"",_xlfn.XLOOKUP(A100,LIV!$C:$C,LIV!$AD:$AD,,,-1),"")</f>
        <v/>
      </c>
      <c r="D100" s="34" t="e">
        <f>TEXT(VLOOKUP(A100,LIV!$C:$S,17,0),"dd.mm.yyyy")</f>
        <v>#N/A</v>
      </c>
      <c r="E100" s="34" t="e">
        <f>VLOOKUP(A100,LIV!$C:$R,16,0)</f>
        <v>#N/A</v>
      </c>
      <c r="F100" s="34" t="str">
        <f>_xlfn.IFNA(TEXT(_xlfn.XLOOKUP(A100,LIV!$C:$C,LIV!$B:$B),"dd.mm.yyyy"),"")</f>
        <v>00.01.1900</v>
      </c>
      <c r="G100" s="34">
        <f>SUMIF(LIV!$C:$C,Execute!A100,LIV!$Z:$Z)</f>
        <v>0</v>
      </c>
      <c r="H100" s="34" t="e">
        <f>VLOOKUP(A100,LIV!$C:$J,8,0)</f>
        <v>#N/A</v>
      </c>
      <c r="I100" s="34" t="e">
        <f>VLOOKUP(A100,LIV!$C:$G,5,0)</f>
        <v>#N/A</v>
      </c>
      <c r="J100" s="34" t="str">
        <f t="shared" si="7"/>
        <v/>
      </c>
      <c r="K100" s="34" t="e">
        <f>VLOOKUP(A100,LIV!$C:$H,6,0)</f>
        <v>#N/A</v>
      </c>
      <c r="L100" s="34" t="str">
        <f t="shared" si="8"/>
        <v/>
      </c>
      <c r="M100" s="34" t="e">
        <f>VLOOKUP(A100,LIV!$C:$R,16,0)</f>
        <v>#N/A</v>
      </c>
      <c r="N100" s="34">
        <f t="shared" si="9"/>
        <v>0</v>
      </c>
      <c r="O100" s="34" t="e">
        <f>TEXT(VLOOKUP(A100,LIV!$C:$M,11,0),"dd.mm.yyyy")</f>
        <v>#N/A</v>
      </c>
      <c r="P100" s="34" t="str">
        <f t="shared" si="10"/>
        <v/>
      </c>
      <c r="Q100" s="33"/>
    </row>
    <row r="101" spans="1:17" x14ac:dyDescent="0.25">
      <c r="A101" s="34"/>
      <c r="B101" s="34" t="str">
        <f>IF(A101&lt;&gt;"",VLOOKUP(A101,LIV!$C:$AD,28,0),"")</f>
        <v/>
      </c>
      <c r="C101" s="34" t="str">
        <f>IF(A101&lt;&gt;"",_xlfn.XLOOKUP(A101,LIV!$C:$C,LIV!$AD:$AD,,,-1),"")</f>
        <v/>
      </c>
      <c r="D101" s="34" t="e">
        <f>TEXT(VLOOKUP(A101,LIV!$C:$S,17,0),"dd.mm.yyyy")</f>
        <v>#N/A</v>
      </c>
      <c r="E101" s="34" t="e">
        <f>VLOOKUP(A101,LIV!$C:$R,16,0)</f>
        <v>#N/A</v>
      </c>
      <c r="F101" s="34" t="str">
        <f>_xlfn.IFNA(TEXT(_xlfn.XLOOKUP(A101,LIV!$C:$C,LIV!$B:$B),"dd.mm.yyyy"),"")</f>
        <v>00.01.1900</v>
      </c>
      <c r="G101" s="34">
        <f>SUMIF(LIV!$C:$C,Execute!A101,LIV!$Z:$Z)</f>
        <v>0</v>
      </c>
      <c r="H101" s="34" t="e">
        <f>VLOOKUP(A101,LIV!$C:$J,8,0)</f>
        <v>#N/A</v>
      </c>
      <c r="I101" s="34" t="e">
        <f>VLOOKUP(A101,LIV!$C:$G,5,0)</f>
        <v>#N/A</v>
      </c>
      <c r="J101" s="34" t="str">
        <f t="shared" si="7"/>
        <v/>
      </c>
      <c r="K101" s="34" t="e">
        <f>VLOOKUP(A101,LIV!$C:$H,6,0)</f>
        <v>#N/A</v>
      </c>
      <c r="L101" s="34" t="str">
        <f t="shared" si="8"/>
        <v/>
      </c>
      <c r="M101" s="34" t="e">
        <f>VLOOKUP(A101,LIV!$C:$R,16,0)</f>
        <v>#N/A</v>
      </c>
      <c r="N101" s="34">
        <f t="shared" si="9"/>
        <v>0</v>
      </c>
      <c r="O101" s="34" t="e">
        <f>TEXT(VLOOKUP(A101,LIV!$C:$M,11,0),"dd.mm.yyyy")</f>
        <v>#N/A</v>
      </c>
      <c r="P101" s="34" t="str">
        <f t="shared" si="10"/>
        <v/>
      </c>
      <c r="Q101" s="33"/>
    </row>
    <row r="102" spans="1:17" x14ac:dyDescent="0.25">
      <c r="A102" s="34"/>
      <c r="B102" s="34" t="str">
        <f>IF(A102&lt;&gt;"",VLOOKUP(A102,LIV!$C:$AD,28,0),"")</f>
        <v/>
      </c>
      <c r="C102" s="34" t="str">
        <f>IF(A102&lt;&gt;"",_xlfn.XLOOKUP(A102,LIV!$C:$C,LIV!$AD:$AD,,,-1),"")</f>
        <v/>
      </c>
      <c r="D102" s="34" t="e">
        <f>TEXT(VLOOKUP(A102,LIV!$C:$S,17,0),"dd.mm.yyyy")</f>
        <v>#N/A</v>
      </c>
      <c r="E102" s="34" t="e">
        <f>VLOOKUP(A102,LIV!$C:$R,16,0)</f>
        <v>#N/A</v>
      </c>
      <c r="F102" s="34" t="str">
        <f>_xlfn.IFNA(TEXT(_xlfn.XLOOKUP(A102,LIV!$C:$C,LIV!$B:$B),"dd.mm.yyyy"),"")</f>
        <v>00.01.1900</v>
      </c>
      <c r="G102" s="34">
        <f>SUMIF(LIV!$C:$C,Execute!A102,LIV!$Z:$Z)</f>
        <v>0</v>
      </c>
      <c r="H102" s="34" t="e">
        <f>VLOOKUP(A102,LIV!$C:$J,8,0)</f>
        <v>#N/A</v>
      </c>
      <c r="I102" s="34" t="e">
        <f>VLOOKUP(A102,LIV!$C:$G,5,0)</f>
        <v>#N/A</v>
      </c>
      <c r="J102" s="34" t="str">
        <f t="shared" si="7"/>
        <v/>
      </c>
      <c r="K102" s="34" t="e">
        <f>VLOOKUP(A102,LIV!$C:$H,6,0)</f>
        <v>#N/A</v>
      </c>
      <c r="L102" s="34" t="str">
        <f t="shared" si="8"/>
        <v/>
      </c>
      <c r="M102" s="34" t="e">
        <f>VLOOKUP(A102,LIV!$C:$R,16,0)</f>
        <v>#N/A</v>
      </c>
      <c r="N102" s="34">
        <f t="shared" si="9"/>
        <v>0</v>
      </c>
      <c r="O102" s="34" t="e">
        <f>TEXT(VLOOKUP(A102,LIV!$C:$M,11,0),"dd.mm.yyyy")</f>
        <v>#N/A</v>
      </c>
      <c r="P102" s="34" t="str">
        <f t="shared" si="10"/>
        <v/>
      </c>
      <c r="Q102" s="33"/>
    </row>
    <row r="103" spans="1:17" x14ac:dyDescent="0.25">
      <c r="A103" s="34"/>
      <c r="B103" s="34" t="str">
        <f>IF(A103&lt;&gt;"",VLOOKUP(A103,LIV!$C:$AD,28,0),"")</f>
        <v/>
      </c>
      <c r="C103" s="34" t="str">
        <f>IF(A103&lt;&gt;"",_xlfn.XLOOKUP(A103,LIV!$C:$C,LIV!$AD:$AD,,,-1),"")</f>
        <v/>
      </c>
      <c r="D103" s="34" t="e">
        <f>TEXT(VLOOKUP(A103,LIV!$C:$S,17,0),"dd.mm.yyyy")</f>
        <v>#N/A</v>
      </c>
      <c r="E103" s="34" t="e">
        <f>VLOOKUP(A103,LIV!$C:$R,16,0)</f>
        <v>#N/A</v>
      </c>
      <c r="F103" s="34" t="str">
        <f>_xlfn.IFNA(TEXT(_xlfn.XLOOKUP(A103,LIV!$C:$C,LIV!$B:$B),"dd.mm.yyyy"),"")</f>
        <v>00.01.1900</v>
      </c>
      <c r="G103" s="34">
        <f>SUMIF(LIV!$C:$C,Execute!A103,LIV!$Z:$Z)</f>
        <v>0</v>
      </c>
      <c r="H103" s="34" t="e">
        <f>VLOOKUP(A103,LIV!$C:$J,8,0)</f>
        <v>#N/A</v>
      </c>
      <c r="I103" s="34" t="e">
        <f>VLOOKUP(A103,LIV!$C:$G,5,0)</f>
        <v>#N/A</v>
      </c>
      <c r="J103" s="34" t="str">
        <f t="shared" si="7"/>
        <v/>
      </c>
      <c r="K103" s="34" t="e">
        <f>VLOOKUP(A103,LIV!$C:$H,6,0)</f>
        <v>#N/A</v>
      </c>
      <c r="L103" s="34" t="str">
        <f t="shared" si="8"/>
        <v/>
      </c>
      <c r="M103" s="34" t="e">
        <f>VLOOKUP(A103,LIV!$C:$R,16,0)</f>
        <v>#N/A</v>
      </c>
      <c r="N103" s="34">
        <f t="shared" si="9"/>
        <v>0</v>
      </c>
      <c r="O103" s="34" t="e">
        <f>TEXT(VLOOKUP(A103,LIV!$C:$M,11,0),"dd.mm.yyyy")</f>
        <v>#N/A</v>
      </c>
      <c r="P103" s="34" t="str">
        <f t="shared" si="10"/>
        <v/>
      </c>
      <c r="Q103" s="33"/>
    </row>
    <row r="104" spans="1:17" x14ac:dyDescent="0.25">
      <c r="A104" s="34"/>
      <c r="B104" s="34" t="str">
        <f>IF(A104&lt;&gt;"",VLOOKUP(A104,LIV!$C:$AD,28,0),"")</f>
        <v/>
      </c>
      <c r="C104" s="34" t="str">
        <f>IF(A104&lt;&gt;"",_xlfn.XLOOKUP(A104,LIV!$C:$C,LIV!$AD:$AD,,,-1),"")</f>
        <v/>
      </c>
      <c r="D104" s="34" t="e">
        <f>TEXT(VLOOKUP(A104,LIV!$C:$S,17,0),"dd.mm.yyyy")</f>
        <v>#N/A</v>
      </c>
      <c r="E104" s="34" t="e">
        <f>VLOOKUP(A104,LIV!$C:$R,16,0)</f>
        <v>#N/A</v>
      </c>
      <c r="F104" s="34" t="str">
        <f>_xlfn.IFNA(TEXT(_xlfn.XLOOKUP(A104,LIV!$C:$C,LIV!$B:$B),"dd.mm.yyyy"),"")</f>
        <v>00.01.1900</v>
      </c>
      <c r="G104" s="34">
        <f>SUMIF(LIV!$C:$C,Execute!A104,LIV!$Z:$Z)</f>
        <v>0</v>
      </c>
      <c r="H104" s="34" t="e">
        <f>VLOOKUP(A104,LIV!$C:$J,8,0)</f>
        <v>#N/A</v>
      </c>
      <c r="I104" s="34" t="e">
        <f>VLOOKUP(A104,LIV!$C:$G,5,0)</f>
        <v>#N/A</v>
      </c>
      <c r="J104" s="34" t="str">
        <f t="shared" si="7"/>
        <v/>
      </c>
      <c r="K104" s="34" t="e">
        <f>VLOOKUP(A104,LIV!$C:$H,6,0)</f>
        <v>#N/A</v>
      </c>
      <c r="L104" s="34" t="str">
        <f t="shared" si="8"/>
        <v/>
      </c>
      <c r="M104" s="34" t="e">
        <f>VLOOKUP(A104,LIV!$C:$R,16,0)</f>
        <v>#N/A</v>
      </c>
      <c r="N104" s="34">
        <f t="shared" si="9"/>
        <v>0</v>
      </c>
      <c r="O104" s="34" t="e">
        <f>TEXT(VLOOKUP(A104,LIV!$C:$M,11,0),"dd.mm.yyyy")</f>
        <v>#N/A</v>
      </c>
      <c r="P104" s="34" t="str">
        <f t="shared" si="10"/>
        <v/>
      </c>
      <c r="Q104" s="33"/>
    </row>
    <row r="105" spans="1:17" x14ac:dyDescent="0.25">
      <c r="A105" s="34"/>
      <c r="B105" s="34" t="str">
        <f>IF(A105&lt;&gt;"",VLOOKUP(A105,LIV!$C:$AD,28,0),"")</f>
        <v/>
      </c>
      <c r="C105" s="34" t="str">
        <f>IF(A105&lt;&gt;"",_xlfn.XLOOKUP(A105,LIV!$C:$C,LIV!$AD:$AD,,,-1),"")</f>
        <v/>
      </c>
      <c r="D105" s="34" t="e">
        <f>TEXT(VLOOKUP(A105,LIV!$C:$S,17,0),"dd.mm.yyyy")</f>
        <v>#N/A</v>
      </c>
      <c r="E105" s="34" t="e">
        <f>VLOOKUP(A105,LIV!$C:$R,16,0)</f>
        <v>#N/A</v>
      </c>
      <c r="F105" s="34" t="str">
        <f>_xlfn.IFNA(TEXT(_xlfn.XLOOKUP(A105,LIV!$C:$C,LIV!$B:$B),"dd.mm.yyyy"),"")</f>
        <v>00.01.1900</v>
      </c>
      <c r="G105" s="34">
        <f>SUMIF(LIV!$C:$C,Execute!A105,LIV!$Z:$Z)</f>
        <v>0</v>
      </c>
      <c r="H105" s="34" t="e">
        <f>VLOOKUP(A105,LIV!$C:$J,8,0)</f>
        <v>#N/A</v>
      </c>
      <c r="I105" s="34" t="e">
        <f>VLOOKUP(A105,LIV!$C:$G,5,0)</f>
        <v>#N/A</v>
      </c>
      <c r="J105" s="34" t="str">
        <f t="shared" si="7"/>
        <v/>
      </c>
      <c r="K105" s="34" t="e">
        <f>VLOOKUP(A105,LIV!$C:$H,6,0)</f>
        <v>#N/A</v>
      </c>
      <c r="L105" s="34" t="str">
        <f t="shared" si="8"/>
        <v/>
      </c>
      <c r="M105" s="34" t="e">
        <f>VLOOKUP(A105,LIV!$C:$R,16,0)</f>
        <v>#N/A</v>
      </c>
      <c r="N105" s="34">
        <f t="shared" si="9"/>
        <v>0</v>
      </c>
      <c r="O105" s="34" t="e">
        <f>TEXT(VLOOKUP(A105,LIV!$C:$M,11,0),"dd.mm.yyyy")</f>
        <v>#N/A</v>
      </c>
      <c r="P105" s="34" t="str">
        <f t="shared" si="10"/>
        <v/>
      </c>
      <c r="Q105" s="33"/>
    </row>
    <row r="106" spans="1:17" x14ac:dyDescent="0.25">
      <c r="A106" s="34"/>
      <c r="B106" s="34" t="str">
        <f>IF(A106&lt;&gt;"",VLOOKUP(A106,LIV!$C:$AD,28,0),"")</f>
        <v/>
      </c>
      <c r="C106" s="34" t="str">
        <f>IF(A106&lt;&gt;"",_xlfn.XLOOKUP(A106,LIV!$C:$C,LIV!$AD:$AD,,,-1),"")</f>
        <v/>
      </c>
      <c r="D106" s="34" t="e">
        <f>TEXT(VLOOKUP(A106,LIV!$C:$S,17,0),"dd.mm.yyyy")</f>
        <v>#N/A</v>
      </c>
      <c r="E106" s="34" t="e">
        <f>VLOOKUP(A106,LIV!$C:$R,16,0)</f>
        <v>#N/A</v>
      </c>
      <c r="F106" s="34" t="str">
        <f>_xlfn.IFNA(TEXT(_xlfn.XLOOKUP(A106,LIV!$C:$C,LIV!$B:$B),"dd.mm.yyyy"),"")</f>
        <v>00.01.1900</v>
      </c>
      <c r="G106" s="34">
        <f>SUMIF(LIV!$C:$C,Execute!A106,LIV!$Z:$Z)</f>
        <v>0</v>
      </c>
      <c r="H106" s="34" t="e">
        <f>VLOOKUP(A106,LIV!$C:$J,8,0)</f>
        <v>#N/A</v>
      </c>
      <c r="I106" s="34" t="e">
        <f>VLOOKUP(A106,LIV!$C:$G,5,0)</f>
        <v>#N/A</v>
      </c>
      <c r="J106" s="34" t="str">
        <f t="shared" si="7"/>
        <v/>
      </c>
      <c r="K106" s="34" t="e">
        <f>VLOOKUP(A106,LIV!$C:$H,6,0)</f>
        <v>#N/A</v>
      </c>
      <c r="L106" s="34" t="str">
        <f t="shared" si="8"/>
        <v/>
      </c>
      <c r="M106" s="34" t="e">
        <f>VLOOKUP(A106,LIV!$C:$R,16,0)</f>
        <v>#N/A</v>
      </c>
      <c r="N106" s="34">
        <f t="shared" si="9"/>
        <v>0</v>
      </c>
      <c r="O106" s="34" t="e">
        <f>TEXT(VLOOKUP(A106,LIV!$C:$M,11,0),"dd.mm.yyyy")</f>
        <v>#N/A</v>
      </c>
      <c r="P106" s="34" t="str">
        <f t="shared" si="10"/>
        <v/>
      </c>
      <c r="Q106" s="33"/>
    </row>
    <row r="107" spans="1:17" x14ac:dyDescent="0.25">
      <c r="A107" s="34"/>
      <c r="B107" s="34" t="str">
        <f>IF(A107&lt;&gt;"",VLOOKUP(A107,LIV!$C:$AD,28,0),"")</f>
        <v/>
      </c>
      <c r="C107" s="34" t="str">
        <f>IF(A107&lt;&gt;"",_xlfn.XLOOKUP(A107,LIV!$C:$C,LIV!$AD:$AD,,,-1),"")</f>
        <v/>
      </c>
      <c r="D107" s="34" t="e">
        <f>TEXT(VLOOKUP(A107,LIV!$C:$S,17,0),"dd.mm.yyyy")</f>
        <v>#N/A</v>
      </c>
      <c r="E107" s="34" t="e">
        <f>VLOOKUP(A107,LIV!$C:$R,16,0)</f>
        <v>#N/A</v>
      </c>
      <c r="F107" s="34" t="str">
        <f>_xlfn.IFNA(TEXT(_xlfn.XLOOKUP(A107,LIV!$C:$C,LIV!$B:$B),"dd.mm.yyyy"),"")</f>
        <v>00.01.1900</v>
      </c>
      <c r="G107" s="34">
        <f>SUMIF(LIV!$C:$C,Execute!A107,LIV!$Z:$Z)</f>
        <v>0</v>
      </c>
      <c r="H107" s="34" t="e">
        <f>VLOOKUP(A107,LIV!$C:$J,8,0)</f>
        <v>#N/A</v>
      </c>
      <c r="I107" s="34" t="e">
        <f>VLOOKUP(A107,LIV!$C:$G,5,0)</f>
        <v>#N/A</v>
      </c>
      <c r="J107" s="34" t="str">
        <f t="shared" si="7"/>
        <v/>
      </c>
      <c r="K107" s="34" t="e">
        <f>VLOOKUP(A107,LIV!$C:$H,6,0)</f>
        <v>#N/A</v>
      </c>
      <c r="L107" s="34" t="str">
        <f t="shared" si="8"/>
        <v/>
      </c>
      <c r="M107" s="34" t="e">
        <f>VLOOKUP(A107,LIV!$C:$R,16,0)</f>
        <v>#N/A</v>
      </c>
      <c r="N107" s="34">
        <f t="shared" si="9"/>
        <v>0</v>
      </c>
      <c r="O107" s="34" t="e">
        <f>TEXT(VLOOKUP(A107,LIV!$C:$M,11,0),"dd.mm.yyyy")</f>
        <v>#N/A</v>
      </c>
      <c r="P107" s="34" t="str">
        <f t="shared" si="10"/>
        <v/>
      </c>
      <c r="Q107" s="33"/>
    </row>
    <row r="108" spans="1:17" x14ac:dyDescent="0.25">
      <c r="A108" s="34"/>
      <c r="B108" s="34" t="str">
        <f>IF(A108&lt;&gt;"",VLOOKUP(A108,LIV!$C:$AD,28,0),"")</f>
        <v/>
      </c>
      <c r="C108" s="34" t="str">
        <f>IF(A108&lt;&gt;"",_xlfn.XLOOKUP(A108,LIV!$C:$C,LIV!$AD:$AD,,,-1),"")</f>
        <v/>
      </c>
      <c r="D108" s="34" t="e">
        <f>TEXT(VLOOKUP(A108,LIV!$C:$S,17,0),"dd.mm.yyyy")</f>
        <v>#N/A</v>
      </c>
      <c r="E108" s="34" t="e">
        <f>VLOOKUP(A108,LIV!$C:$R,16,0)</f>
        <v>#N/A</v>
      </c>
      <c r="F108" s="34" t="str">
        <f>_xlfn.IFNA(TEXT(_xlfn.XLOOKUP(A108,LIV!$C:$C,LIV!$B:$B),"dd.mm.yyyy"),"")</f>
        <v>00.01.1900</v>
      </c>
      <c r="G108" s="34">
        <f>SUMIF(LIV!$C:$C,Execute!A108,LIV!$Z:$Z)</f>
        <v>0</v>
      </c>
      <c r="H108" s="34" t="e">
        <f>VLOOKUP(A108,LIV!$C:$J,8,0)</f>
        <v>#N/A</v>
      </c>
      <c r="I108" s="34" t="e">
        <f>VLOOKUP(A108,LIV!$C:$G,5,0)</f>
        <v>#N/A</v>
      </c>
      <c r="J108" s="34" t="str">
        <f t="shared" si="7"/>
        <v/>
      </c>
      <c r="K108" s="34" t="e">
        <f>VLOOKUP(A108,LIV!$C:$H,6,0)</f>
        <v>#N/A</v>
      </c>
      <c r="L108" s="34" t="str">
        <f t="shared" si="8"/>
        <v/>
      </c>
      <c r="M108" s="34" t="e">
        <f>VLOOKUP(A108,LIV!$C:$R,16,0)</f>
        <v>#N/A</v>
      </c>
      <c r="N108" s="34">
        <f t="shared" si="9"/>
        <v>0</v>
      </c>
      <c r="O108" s="34" t="e">
        <f>TEXT(VLOOKUP(A108,LIV!$C:$M,11,0),"dd.mm.yyyy")</f>
        <v>#N/A</v>
      </c>
      <c r="P108" s="34" t="str">
        <f t="shared" si="10"/>
        <v/>
      </c>
      <c r="Q108" s="33"/>
    </row>
    <row r="109" spans="1:17" x14ac:dyDescent="0.25">
      <c r="A109" s="34"/>
      <c r="B109" s="34" t="str">
        <f>IF(A109&lt;&gt;"",VLOOKUP(A109,LIV!$C:$AD,28,0),"")</f>
        <v/>
      </c>
      <c r="C109" s="34" t="str">
        <f>IF(A109&lt;&gt;"",_xlfn.XLOOKUP(A109,LIV!$C:$C,LIV!$AD:$AD,,,-1),"")</f>
        <v/>
      </c>
      <c r="D109" s="34" t="e">
        <f>TEXT(VLOOKUP(A109,LIV!$C:$S,17,0),"dd.mm.yyyy")</f>
        <v>#N/A</v>
      </c>
      <c r="E109" s="34" t="e">
        <f>VLOOKUP(A109,LIV!$C:$R,16,0)</f>
        <v>#N/A</v>
      </c>
      <c r="F109" s="34" t="str">
        <f>_xlfn.IFNA(TEXT(_xlfn.XLOOKUP(A109,LIV!$C:$C,LIV!$B:$B),"dd.mm.yyyy"),"")</f>
        <v>00.01.1900</v>
      </c>
      <c r="G109" s="34">
        <f>SUMIF(LIV!$C:$C,Execute!A109,LIV!$Z:$Z)</f>
        <v>0</v>
      </c>
      <c r="H109" s="34" t="e">
        <f>VLOOKUP(A109,LIV!$C:$J,8,0)</f>
        <v>#N/A</v>
      </c>
      <c r="I109" s="34" t="e">
        <f>VLOOKUP(A109,LIV!$C:$G,5,0)</f>
        <v>#N/A</v>
      </c>
      <c r="J109" s="34" t="str">
        <f t="shared" si="7"/>
        <v/>
      </c>
      <c r="K109" s="34" t="e">
        <f>VLOOKUP(A109,LIV!$C:$H,6,0)</f>
        <v>#N/A</v>
      </c>
      <c r="L109" s="34" t="str">
        <f t="shared" si="8"/>
        <v/>
      </c>
      <c r="M109" s="34" t="e">
        <f>VLOOKUP(A109,LIV!$C:$R,16,0)</f>
        <v>#N/A</v>
      </c>
      <c r="N109" s="34">
        <f t="shared" si="9"/>
        <v>0</v>
      </c>
      <c r="O109" s="34" t="e">
        <f>TEXT(VLOOKUP(A109,LIV!$C:$M,11,0),"dd.mm.yyyy")</f>
        <v>#N/A</v>
      </c>
      <c r="P109" s="34" t="str">
        <f t="shared" si="10"/>
        <v/>
      </c>
      <c r="Q109" s="33"/>
    </row>
    <row r="110" spans="1:17" x14ac:dyDescent="0.25">
      <c r="A110" s="34"/>
      <c r="B110" s="34" t="str">
        <f>IF(A110&lt;&gt;"",VLOOKUP(A110,LIV!$C:$AD,28,0),"")</f>
        <v/>
      </c>
      <c r="C110" s="34" t="str">
        <f>IF(A110&lt;&gt;"",_xlfn.XLOOKUP(A110,LIV!$C:$C,LIV!$AD:$AD,,,-1),"")</f>
        <v/>
      </c>
      <c r="D110" s="34" t="e">
        <f>TEXT(VLOOKUP(A110,LIV!$C:$S,17,0),"dd.mm.yyyy")</f>
        <v>#N/A</v>
      </c>
      <c r="E110" s="34" t="e">
        <f>VLOOKUP(A110,LIV!$C:$R,16,0)</f>
        <v>#N/A</v>
      </c>
      <c r="F110" s="34" t="str">
        <f>_xlfn.IFNA(TEXT(_xlfn.XLOOKUP(A110,LIV!$C:$C,LIV!$B:$B),"dd.mm.yyyy"),"")</f>
        <v>00.01.1900</v>
      </c>
      <c r="G110" s="34">
        <f>SUMIF(LIV!$C:$C,Execute!A110,LIV!$Z:$Z)</f>
        <v>0</v>
      </c>
      <c r="H110" s="34" t="e">
        <f>VLOOKUP(A110,LIV!$C:$J,8,0)</f>
        <v>#N/A</v>
      </c>
      <c r="I110" s="34" t="e">
        <f>VLOOKUP(A110,LIV!$C:$G,5,0)</f>
        <v>#N/A</v>
      </c>
      <c r="J110" s="34" t="str">
        <f t="shared" si="7"/>
        <v/>
      </c>
      <c r="K110" s="34" t="e">
        <f>VLOOKUP(A110,LIV!$C:$H,6,0)</f>
        <v>#N/A</v>
      </c>
      <c r="L110" s="34" t="str">
        <f t="shared" si="8"/>
        <v/>
      </c>
      <c r="M110" s="34" t="e">
        <f>VLOOKUP(A110,LIV!$C:$R,16,0)</f>
        <v>#N/A</v>
      </c>
      <c r="N110" s="34">
        <f t="shared" si="9"/>
        <v>0</v>
      </c>
      <c r="O110" s="34" t="e">
        <f>TEXT(VLOOKUP(A110,LIV!$C:$M,11,0),"dd.mm.yyyy")</f>
        <v>#N/A</v>
      </c>
      <c r="P110" s="34" t="str">
        <f t="shared" si="10"/>
        <v/>
      </c>
      <c r="Q110" s="33"/>
    </row>
    <row r="111" spans="1:17" x14ac:dyDescent="0.25">
      <c r="A111" s="34"/>
      <c r="B111" s="34" t="str">
        <f>IF(A111&lt;&gt;"",VLOOKUP(A111,LIV!$C:$AD,28,0),"")</f>
        <v/>
      </c>
      <c r="C111" s="34" t="str">
        <f>IF(A111&lt;&gt;"",_xlfn.XLOOKUP(A111,LIV!$C:$C,LIV!$AD:$AD,,,-1),"")</f>
        <v/>
      </c>
      <c r="D111" s="34" t="e">
        <f>TEXT(VLOOKUP(A111,LIV!$C:$S,17,0),"dd.mm.yyyy")</f>
        <v>#N/A</v>
      </c>
      <c r="E111" s="34" t="e">
        <f>VLOOKUP(A111,LIV!$C:$R,16,0)</f>
        <v>#N/A</v>
      </c>
      <c r="F111" s="34" t="str">
        <f>_xlfn.IFNA(TEXT(_xlfn.XLOOKUP(A111,LIV!$C:$C,LIV!$B:$B),"dd.mm.yyyy"),"")</f>
        <v>00.01.1900</v>
      </c>
      <c r="G111" s="34">
        <f>SUMIF(LIV!$C:$C,Execute!A111,LIV!$Z:$Z)</f>
        <v>0</v>
      </c>
      <c r="H111" s="34" t="e">
        <f>VLOOKUP(A111,LIV!$C:$J,8,0)</f>
        <v>#N/A</v>
      </c>
      <c r="I111" s="34" t="e">
        <f>VLOOKUP(A111,LIV!$C:$G,5,0)</f>
        <v>#N/A</v>
      </c>
      <c r="J111" s="34" t="str">
        <f t="shared" si="7"/>
        <v/>
      </c>
      <c r="K111" s="34" t="e">
        <f>VLOOKUP(A111,LIV!$C:$H,6,0)</f>
        <v>#N/A</v>
      </c>
      <c r="L111" s="34" t="str">
        <f t="shared" si="8"/>
        <v/>
      </c>
      <c r="M111" s="34" t="e">
        <f>VLOOKUP(A111,LIV!$C:$R,16,0)</f>
        <v>#N/A</v>
      </c>
      <c r="N111" s="34">
        <f t="shared" si="9"/>
        <v>0</v>
      </c>
      <c r="O111" s="34" t="e">
        <f>TEXT(VLOOKUP(A111,LIV!$C:$M,11,0),"dd.mm.yyyy")</f>
        <v>#N/A</v>
      </c>
      <c r="P111" s="34" t="str">
        <f t="shared" si="10"/>
        <v/>
      </c>
      <c r="Q111" s="33"/>
    </row>
    <row r="112" spans="1:17" x14ac:dyDescent="0.25">
      <c r="A112" s="34"/>
      <c r="B112" s="34" t="str">
        <f>IF(A112&lt;&gt;"",VLOOKUP(A112,LIV!$C:$AD,28,0),"")</f>
        <v/>
      </c>
      <c r="C112" s="34" t="str">
        <f>IF(A112&lt;&gt;"",_xlfn.XLOOKUP(A112,LIV!$C:$C,LIV!$AD:$AD,,,-1),"")</f>
        <v/>
      </c>
      <c r="D112" s="34" t="e">
        <f>TEXT(VLOOKUP(A112,LIV!$C:$S,17,0),"dd.mm.yyyy")</f>
        <v>#N/A</v>
      </c>
      <c r="E112" s="34" t="e">
        <f>VLOOKUP(A112,LIV!$C:$R,16,0)</f>
        <v>#N/A</v>
      </c>
      <c r="F112" s="34" t="str">
        <f>_xlfn.IFNA(TEXT(_xlfn.XLOOKUP(A112,LIV!$C:$C,LIV!$B:$B),"dd.mm.yyyy"),"")</f>
        <v>00.01.1900</v>
      </c>
      <c r="G112" s="34">
        <f>SUMIF(LIV!$C:$C,Execute!A112,LIV!$Z:$Z)</f>
        <v>0</v>
      </c>
      <c r="H112" s="34" t="e">
        <f>VLOOKUP(A112,LIV!$C:$J,8,0)</f>
        <v>#N/A</v>
      </c>
      <c r="I112" s="34" t="e">
        <f>VLOOKUP(A112,LIV!$C:$G,5,0)</f>
        <v>#N/A</v>
      </c>
      <c r="J112" s="34" t="str">
        <f t="shared" si="7"/>
        <v/>
      </c>
      <c r="K112" s="34" t="e">
        <f>VLOOKUP(A112,LIV!$C:$H,6,0)</f>
        <v>#N/A</v>
      </c>
      <c r="L112" s="34" t="str">
        <f t="shared" si="8"/>
        <v/>
      </c>
      <c r="M112" s="34" t="e">
        <f>VLOOKUP(A112,LIV!$C:$R,16,0)</f>
        <v>#N/A</v>
      </c>
      <c r="N112" s="34">
        <f t="shared" si="9"/>
        <v>0</v>
      </c>
      <c r="O112" s="34" t="e">
        <f>TEXT(VLOOKUP(A112,LIV!$C:$M,11,0),"dd.mm.yyyy")</f>
        <v>#N/A</v>
      </c>
      <c r="P112" s="34" t="str">
        <f t="shared" si="10"/>
        <v/>
      </c>
      <c r="Q112" s="33"/>
    </row>
    <row r="113" spans="1:17" x14ac:dyDescent="0.25">
      <c r="A113" s="34"/>
      <c r="B113" s="34" t="str">
        <f>IF(A113&lt;&gt;"",VLOOKUP(A113,LIV!$C:$AD,28,0),"")</f>
        <v/>
      </c>
      <c r="C113" s="34" t="str">
        <f>IF(A113&lt;&gt;"",_xlfn.XLOOKUP(A113,LIV!$C:$C,LIV!$AD:$AD,,,-1),"")</f>
        <v/>
      </c>
      <c r="D113" s="34" t="e">
        <f>TEXT(VLOOKUP(A113,LIV!$C:$S,17,0),"dd.mm.yyyy")</f>
        <v>#N/A</v>
      </c>
      <c r="E113" s="34" t="e">
        <f>VLOOKUP(A113,LIV!$C:$R,16,0)</f>
        <v>#N/A</v>
      </c>
      <c r="F113" s="34" t="str">
        <f>_xlfn.IFNA(TEXT(_xlfn.XLOOKUP(A113,LIV!$C:$C,LIV!$B:$B),"dd.mm.yyyy"),"")</f>
        <v>00.01.1900</v>
      </c>
      <c r="G113" s="34">
        <f>SUMIF(LIV!$C:$C,Execute!A113,LIV!$Z:$Z)</f>
        <v>0</v>
      </c>
      <c r="H113" s="34" t="e">
        <f>VLOOKUP(A113,LIV!$C:$J,8,0)</f>
        <v>#N/A</v>
      </c>
      <c r="I113" s="34" t="e">
        <f>VLOOKUP(A113,LIV!$C:$G,5,0)</f>
        <v>#N/A</v>
      </c>
      <c r="J113" s="34" t="str">
        <f t="shared" si="7"/>
        <v/>
      </c>
      <c r="K113" s="34" t="e">
        <f>VLOOKUP(A113,LIV!$C:$H,6,0)</f>
        <v>#N/A</v>
      </c>
      <c r="L113" s="34" t="str">
        <f t="shared" si="8"/>
        <v/>
      </c>
      <c r="M113" s="34" t="e">
        <f>VLOOKUP(A113,LIV!$C:$R,16,0)</f>
        <v>#N/A</v>
      </c>
      <c r="N113" s="34">
        <f t="shared" si="9"/>
        <v>0</v>
      </c>
      <c r="O113" s="34" t="e">
        <f>TEXT(VLOOKUP(A113,LIV!$C:$M,11,0),"dd.mm.yyyy")</f>
        <v>#N/A</v>
      </c>
      <c r="P113" s="34" t="str">
        <f t="shared" si="10"/>
        <v/>
      </c>
      <c r="Q113" s="33"/>
    </row>
    <row r="114" spans="1:17" x14ac:dyDescent="0.25">
      <c r="A114" s="34"/>
      <c r="B114" s="34" t="str">
        <f>IF(A114&lt;&gt;"",VLOOKUP(A114,LIV!$C:$AD,28,0),"")</f>
        <v/>
      </c>
      <c r="C114" s="34" t="str">
        <f>IF(A114&lt;&gt;"",_xlfn.XLOOKUP(A114,LIV!$C:$C,LIV!$AD:$AD,,,-1),"")</f>
        <v/>
      </c>
      <c r="D114" s="34" t="e">
        <f>TEXT(VLOOKUP(A114,LIV!$C:$S,17,0),"dd.mm.yyyy")</f>
        <v>#N/A</v>
      </c>
      <c r="E114" s="34" t="e">
        <f>VLOOKUP(A114,LIV!$C:$R,16,0)</f>
        <v>#N/A</v>
      </c>
      <c r="F114" s="34" t="str">
        <f>_xlfn.IFNA(TEXT(_xlfn.XLOOKUP(A114,LIV!$C:$C,LIV!$B:$B),"dd.mm.yyyy"),"")</f>
        <v>00.01.1900</v>
      </c>
      <c r="G114" s="34">
        <f>SUMIF(LIV!$C:$C,Execute!A114,LIV!$Z:$Z)</f>
        <v>0</v>
      </c>
      <c r="H114" s="34" t="e">
        <f>VLOOKUP(A114,LIV!$C:$J,8,0)</f>
        <v>#N/A</v>
      </c>
      <c r="I114" s="34" t="e">
        <f>VLOOKUP(A114,LIV!$C:$G,5,0)</f>
        <v>#N/A</v>
      </c>
      <c r="J114" s="34" t="str">
        <f t="shared" si="7"/>
        <v/>
      </c>
      <c r="K114" s="34" t="e">
        <f>VLOOKUP(A114,LIV!$C:$H,6,0)</f>
        <v>#N/A</v>
      </c>
      <c r="L114" s="34" t="str">
        <f t="shared" si="8"/>
        <v/>
      </c>
      <c r="M114" s="34" t="e">
        <f>VLOOKUP(A114,LIV!$C:$R,16,0)</f>
        <v>#N/A</v>
      </c>
      <c r="N114" s="34">
        <f t="shared" si="9"/>
        <v>0</v>
      </c>
      <c r="O114" s="34" t="e">
        <f>TEXT(VLOOKUP(A114,LIV!$C:$M,11,0),"dd.mm.yyyy")</f>
        <v>#N/A</v>
      </c>
      <c r="P114" s="34" t="str">
        <f t="shared" si="10"/>
        <v/>
      </c>
      <c r="Q114" s="33"/>
    </row>
    <row r="115" spans="1:17" x14ac:dyDescent="0.25">
      <c r="A115" s="34"/>
      <c r="B115" s="34" t="str">
        <f>IF(A115&lt;&gt;"",VLOOKUP(A115,LIV!$C:$AD,28,0),"")</f>
        <v/>
      </c>
      <c r="C115" s="34" t="str">
        <f>IF(A115&lt;&gt;"",_xlfn.XLOOKUP(A115,LIV!$C:$C,LIV!$AD:$AD,,,-1),"")</f>
        <v/>
      </c>
      <c r="D115" s="34" t="e">
        <f>TEXT(VLOOKUP(A115,LIV!$C:$S,17,0),"dd.mm.yyyy")</f>
        <v>#N/A</v>
      </c>
      <c r="E115" s="34" t="e">
        <f>VLOOKUP(A115,LIV!$C:$R,16,0)</f>
        <v>#N/A</v>
      </c>
      <c r="F115" s="34" t="str">
        <f>_xlfn.IFNA(TEXT(_xlfn.XLOOKUP(A115,LIV!$C:$C,LIV!$B:$B),"dd.mm.yyyy"),"")</f>
        <v>00.01.1900</v>
      </c>
      <c r="G115" s="34">
        <f>SUMIF(LIV!$C:$C,Execute!A115,LIV!$Z:$Z)</f>
        <v>0</v>
      </c>
      <c r="H115" s="34" t="e">
        <f>VLOOKUP(A115,LIV!$C:$J,8,0)</f>
        <v>#N/A</v>
      </c>
      <c r="I115" s="34" t="e">
        <f>VLOOKUP(A115,LIV!$C:$G,5,0)</f>
        <v>#N/A</v>
      </c>
      <c r="J115" s="34" t="str">
        <f t="shared" si="7"/>
        <v/>
      </c>
      <c r="K115" s="34" t="e">
        <f>VLOOKUP(A115,LIV!$C:$H,6,0)</f>
        <v>#N/A</v>
      </c>
      <c r="L115" s="34" t="str">
        <f t="shared" si="8"/>
        <v/>
      </c>
      <c r="M115" s="34" t="e">
        <f>VLOOKUP(A115,LIV!$C:$R,16,0)</f>
        <v>#N/A</v>
      </c>
      <c r="N115" s="34">
        <f t="shared" si="9"/>
        <v>0</v>
      </c>
      <c r="O115" s="34" t="e">
        <f>TEXT(VLOOKUP(A115,LIV!$C:$M,11,0),"dd.mm.yyyy")</f>
        <v>#N/A</v>
      </c>
      <c r="P115" s="34" t="str">
        <f t="shared" si="10"/>
        <v/>
      </c>
      <c r="Q115" s="33"/>
    </row>
    <row r="116" spans="1:17" x14ac:dyDescent="0.25">
      <c r="A116" s="34"/>
      <c r="B116" s="34" t="str">
        <f>IF(A116&lt;&gt;"",VLOOKUP(A116,LIV!$C:$AD,28,0),"")</f>
        <v/>
      </c>
      <c r="C116" s="34" t="str">
        <f>IF(A116&lt;&gt;"",_xlfn.XLOOKUP(A116,LIV!$C:$C,LIV!$AD:$AD,,,-1),"")</f>
        <v/>
      </c>
      <c r="D116" s="34" t="e">
        <f>TEXT(VLOOKUP(A116,LIV!$C:$S,17,0),"dd.mm.yyyy")</f>
        <v>#N/A</v>
      </c>
      <c r="E116" s="34" t="e">
        <f>VLOOKUP(A116,LIV!$C:$R,16,0)</f>
        <v>#N/A</v>
      </c>
      <c r="F116" s="34" t="str">
        <f>_xlfn.IFNA(TEXT(_xlfn.XLOOKUP(A116,LIV!$C:$C,LIV!$B:$B),"dd.mm.yyyy"),"")</f>
        <v>00.01.1900</v>
      </c>
      <c r="G116" s="34">
        <f>SUMIF(LIV!$C:$C,Execute!A116,LIV!$Z:$Z)</f>
        <v>0</v>
      </c>
      <c r="H116" s="34" t="e">
        <f>VLOOKUP(A116,LIV!$C:$J,8,0)</f>
        <v>#N/A</v>
      </c>
      <c r="I116" s="34" t="e">
        <f>VLOOKUP(A116,LIV!$C:$G,5,0)</f>
        <v>#N/A</v>
      </c>
      <c r="J116" s="34" t="str">
        <f t="shared" si="7"/>
        <v/>
      </c>
      <c r="K116" s="34" t="e">
        <f>VLOOKUP(A116,LIV!$C:$H,6,0)</f>
        <v>#N/A</v>
      </c>
      <c r="L116" s="34" t="str">
        <f t="shared" si="8"/>
        <v/>
      </c>
      <c r="M116" s="34" t="e">
        <f>VLOOKUP(A116,LIV!$C:$R,16,0)</f>
        <v>#N/A</v>
      </c>
      <c r="N116" s="34">
        <f t="shared" si="9"/>
        <v>0</v>
      </c>
      <c r="O116" s="34" t="e">
        <f>TEXT(VLOOKUP(A116,LIV!$C:$M,11,0),"dd.mm.yyyy")</f>
        <v>#N/A</v>
      </c>
      <c r="P116" s="34" t="str">
        <f t="shared" si="10"/>
        <v/>
      </c>
      <c r="Q116" s="33"/>
    </row>
    <row r="117" spans="1:17" x14ac:dyDescent="0.25">
      <c r="A117" s="34"/>
      <c r="B117" s="34" t="str">
        <f>IF(A117&lt;&gt;"",VLOOKUP(A117,LIV!$C:$AD,28,0),"")</f>
        <v/>
      </c>
      <c r="C117" s="34" t="str">
        <f>IF(A117&lt;&gt;"",_xlfn.XLOOKUP(A117,LIV!$C:$C,LIV!$AD:$AD,,,-1),"")</f>
        <v/>
      </c>
      <c r="D117" s="34" t="e">
        <f>TEXT(VLOOKUP(A117,LIV!$C:$S,17,0),"dd.mm.yyyy")</f>
        <v>#N/A</v>
      </c>
      <c r="E117" s="34" t="e">
        <f>VLOOKUP(A117,LIV!$C:$R,16,0)</f>
        <v>#N/A</v>
      </c>
      <c r="F117" s="34" t="str">
        <f>_xlfn.IFNA(TEXT(_xlfn.XLOOKUP(A117,LIV!$C:$C,LIV!$B:$B),"dd.mm.yyyy"),"")</f>
        <v>00.01.1900</v>
      </c>
      <c r="G117" s="34">
        <f>SUMIF(LIV!$C:$C,Execute!A117,LIV!$Z:$Z)</f>
        <v>0</v>
      </c>
      <c r="H117" s="34" t="e">
        <f>VLOOKUP(A117,LIV!$C:$J,8,0)</f>
        <v>#N/A</v>
      </c>
      <c r="I117" s="34" t="e">
        <f>VLOOKUP(A117,LIV!$C:$G,5,0)</f>
        <v>#N/A</v>
      </c>
      <c r="J117" s="34" t="str">
        <f t="shared" si="7"/>
        <v/>
      </c>
      <c r="K117" s="34" t="e">
        <f>VLOOKUP(A117,LIV!$C:$H,6,0)</f>
        <v>#N/A</v>
      </c>
      <c r="L117" s="34" t="str">
        <f t="shared" si="8"/>
        <v/>
      </c>
      <c r="M117" s="34" t="e">
        <f>VLOOKUP(A117,LIV!$C:$R,16,0)</f>
        <v>#N/A</v>
      </c>
      <c r="N117" s="34">
        <f t="shared" si="9"/>
        <v>0</v>
      </c>
      <c r="O117" s="34" t="e">
        <f>TEXT(VLOOKUP(A117,LIV!$C:$M,11,0),"dd.mm.yyyy")</f>
        <v>#N/A</v>
      </c>
      <c r="P117" s="34" t="str">
        <f t="shared" si="10"/>
        <v/>
      </c>
      <c r="Q117" s="33"/>
    </row>
    <row r="118" spans="1:17" x14ac:dyDescent="0.25">
      <c r="A118" s="34"/>
      <c r="B118" s="34" t="str">
        <f>IF(A118&lt;&gt;"",VLOOKUP(A118,LIV!$C:$AD,28,0),"")</f>
        <v/>
      </c>
      <c r="C118" s="34" t="str">
        <f>IF(A118&lt;&gt;"",_xlfn.XLOOKUP(A118,LIV!$C:$C,LIV!$AD:$AD,,,-1),"")</f>
        <v/>
      </c>
      <c r="D118" s="34" t="e">
        <f>TEXT(VLOOKUP(A118,LIV!$C:$S,17,0),"dd.mm.yyyy")</f>
        <v>#N/A</v>
      </c>
      <c r="E118" s="34" t="e">
        <f>VLOOKUP(A118,LIV!$C:$R,16,0)</f>
        <v>#N/A</v>
      </c>
      <c r="F118" s="34" t="str">
        <f>_xlfn.IFNA(TEXT(_xlfn.XLOOKUP(A118,LIV!$C:$C,LIV!$B:$B),"dd.mm.yyyy"),"")</f>
        <v>00.01.1900</v>
      </c>
      <c r="G118" s="34">
        <f>SUMIF(LIV!$C:$C,Execute!A118,LIV!$Z:$Z)</f>
        <v>0</v>
      </c>
      <c r="H118" s="34" t="e">
        <f>VLOOKUP(A118,LIV!$C:$J,8,0)</f>
        <v>#N/A</v>
      </c>
      <c r="I118" s="34" t="e">
        <f>VLOOKUP(A118,LIV!$C:$G,5,0)</f>
        <v>#N/A</v>
      </c>
      <c r="J118" s="34" t="str">
        <f t="shared" si="7"/>
        <v/>
      </c>
      <c r="K118" s="34" t="e">
        <f>VLOOKUP(A118,LIV!$C:$H,6,0)</f>
        <v>#N/A</v>
      </c>
      <c r="L118" s="34" t="str">
        <f t="shared" si="8"/>
        <v/>
      </c>
      <c r="M118" s="34" t="e">
        <f>VLOOKUP(A118,LIV!$C:$R,16,0)</f>
        <v>#N/A</v>
      </c>
      <c r="N118" s="34">
        <f t="shared" si="9"/>
        <v>0</v>
      </c>
      <c r="O118" s="34" t="e">
        <f>TEXT(VLOOKUP(A118,LIV!$C:$M,11,0),"dd.mm.yyyy")</f>
        <v>#N/A</v>
      </c>
      <c r="P118" s="34" t="str">
        <f t="shared" si="10"/>
        <v/>
      </c>
      <c r="Q118" s="33"/>
    </row>
    <row r="119" spans="1:17" x14ac:dyDescent="0.25">
      <c r="A119" s="34"/>
      <c r="B119" s="34" t="str">
        <f>IF(A119&lt;&gt;"",VLOOKUP(A119,LIV!$C:$AD,28,0),"")</f>
        <v/>
      </c>
      <c r="C119" s="34" t="str">
        <f>IF(A119&lt;&gt;"",_xlfn.XLOOKUP(A119,LIV!$C:$C,LIV!$AD:$AD,,,-1),"")</f>
        <v/>
      </c>
      <c r="D119" s="34" t="e">
        <f>TEXT(VLOOKUP(A119,LIV!$C:$S,17,0),"dd.mm.yyyy")</f>
        <v>#N/A</v>
      </c>
      <c r="E119" s="34" t="e">
        <f>VLOOKUP(A119,LIV!$C:$R,16,0)</f>
        <v>#N/A</v>
      </c>
      <c r="F119" s="34" t="str">
        <f>_xlfn.IFNA(TEXT(_xlfn.XLOOKUP(A119,LIV!$C:$C,LIV!$B:$B),"dd.mm.yyyy"),"")</f>
        <v>00.01.1900</v>
      </c>
      <c r="G119" s="34">
        <f>SUMIF(LIV!$C:$C,Execute!A119,LIV!$Z:$Z)</f>
        <v>0</v>
      </c>
      <c r="H119" s="34" t="e">
        <f>VLOOKUP(A119,LIV!$C:$J,8,0)</f>
        <v>#N/A</v>
      </c>
      <c r="I119" s="34" t="e">
        <f>VLOOKUP(A119,LIV!$C:$G,5,0)</f>
        <v>#N/A</v>
      </c>
      <c r="J119" s="34" t="str">
        <f t="shared" si="7"/>
        <v/>
      </c>
      <c r="K119" s="34" t="e">
        <f>VLOOKUP(A119,LIV!$C:$H,6,0)</f>
        <v>#N/A</v>
      </c>
      <c r="L119" s="34" t="str">
        <f t="shared" si="8"/>
        <v/>
      </c>
      <c r="M119" s="34" t="e">
        <f>VLOOKUP(A119,LIV!$C:$R,16,0)</f>
        <v>#N/A</v>
      </c>
      <c r="N119" s="34">
        <f t="shared" si="9"/>
        <v>0</v>
      </c>
      <c r="O119" s="34" t="e">
        <f>TEXT(VLOOKUP(A119,LIV!$C:$M,11,0),"dd.mm.yyyy")</f>
        <v>#N/A</v>
      </c>
      <c r="P119" s="34" t="str">
        <f t="shared" si="10"/>
        <v/>
      </c>
      <c r="Q119" s="33"/>
    </row>
    <row r="120" spans="1:17" x14ac:dyDescent="0.25">
      <c r="A120" s="34"/>
      <c r="B120" s="34" t="str">
        <f>IF(A120&lt;&gt;"",VLOOKUP(A120,LIV!$C:$AD,28,0),"")</f>
        <v/>
      </c>
      <c r="C120" s="34" t="str">
        <f>IF(A120&lt;&gt;"",_xlfn.XLOOKUP(A120,LIV!$C:$C,LIV!$AD:$AD,,,-1),"")</f>
        <v/>
      </c>
      <c r="D120" s="34" t="e">
        <f>TEXT(VLOOKUP(A120,LIV!$C:$S,17,0),"dd.mm.yyyy")</f>
        <v>#N/A</v>
      </c>
      <c r="E120" s="34" t="e">
        <f>VLOOKUP(A120,LIV!$C:$R,16,0)</f>
        <v>#N/A</v>
      </c>
      <c r="F120" s="34" t="str">
        <f>_xlfn.IFNA(TEXT(_xlfn.XLOOKUP(A120,LIV!$C:$C,LIV!$B:$B),"dd.mm.yyyy"),"")</f>
        <v>00.01.1900</v>
      </c>
      <c r="G120" s="34">
        <f>SUMIF(LIV!$C:$C,Execute!A120,LIV!$Z:$Z)</f>
        <v>0</v>
      </c>
      <c r="H120" s="34" t="e">
        <f>VLOOKUP(A120,LIV!$C:$J,8,0)</f>
        <v>#N/A</v>
      </c>
      <c r="I120" s="34" t="e">
        <f>VLOOKUP(A120,LIV!$C:$G,5,0)</f>
        <v>#N/A</v>
      </c>
      <c r="J120" s="34" t="str">
        <f t="shared" si="7"/>
        <v/>
      </c>
      <c r="K120" s="34" t="e">
        <f>VLOOKUP(A120,LIV!$C:$H,6,0)</f>
        <v>#N/A</v>
      </c>
      <c r="L120" s="34" t="str">
        <f t="shared" si="8"/>
        <v/>
      </c>
      <c r="M120" s="34" t="e">
        <f>VLOOKUP(A120,LIV!$C:$R,16,0)</f>
        <v>#N/A</v>
      </c>
      <c r="N120" s="34">
        <f t="shared" si="9"/>
        <v>0</v>
      </c>
      <c r="O120" s="34" t="e">
        <f>TEXT(VLOOKUP(A120,LIV!$C:$M,11,0),"dd.mm.yyyy")</f>
        <v>#N/A</v>
      </c>
      <c r="P120" s="34" t="str">
        <f t="shared" si="10"/>
        <v/>
      </c>
      <c r="Q120" s="33"/>
    </row>
    <row r="121" spans="1:17" x14ac:dyDescent="0.25">
      <c r="A121" s="34"/>
      <c r="B121" s="34" t="str">
        <f>IF(A121&lt;&gt;"",VLOOKUP(A121,LIV!$C:$AD,28,0),"")</f>
        <v/>
      </c>
      <c r="C121" s="34" t="str">
        <f>IF(A121&lt;&gt;"",_xlfn.XLOOKUP(A121,LIV!$C:$C,LIV!$AD:$AD,,,-1),"")</f>
        <v/>
      </c>
      <c r="D121" s="34" t="e">
        <f>TEXT(VLOOKUP(A121,LIV!$C:$S,17,0),"dd.mm.yyyy")</f>
        <v>#N/A</v>
      </c>
      <c r="E121" s="34" t="e">
        <f>VLOOKUP(A121,LIV!$C:$R,16,0)</f>
        <v>#N/A</v>
      </c>
      <c r="F121" s="34" t="str">
        <f>_xlfn.IFNA(TEXT(_xlfn.XLOOKUP(A121,LIV!$C:$C,LIV!$B:$B),"dd.mm.yyyy"),"")</f>
        <v>00.01.1900</v>
      </c>
      <c r="G121" s="34">
        <f>SUMIF(LIV!$C:$C,Execute!A121,LIV!$Z:$Z)</f>
        <v>0</v>
      </c>
      <c r="H121" s="34" t="e">
        <f>VLOOKUP(A121,LIV!$C:$J,8,0)</f>
        <v>#N/A</v>
      </c>
      <c r="I121" s="34" t="e">
        <f>VLOOKUP(A121,LIV!$C:$G,5,0)</f>
        <v>#N/A</v>
      </c>
      <c r="J121" s="34" t="str">
        <f t="shared" si="7"/>
        <v/>
      </c>
      <c r="K121" s="34" t="e">
        <f>VLOOKUP(A121,LIV!$C:$H,6,0)</f>
        <v>#N/A</v>
      </c>
      <c r="L121" s="34" t="str">
        <f t="shared" si="8"/>
        <v/>
      </c>
      <c r="M121" s="34" t="e">
        <f>VLOOKUP(A121,LIV!$C:$R,16,0)</f>
        <v>#N/A</v>
      </c>
      <c r="N121" s="34">
        <f t="shared" si="9"/>
        <v>0</v>
      </c>
      <c r="O121" s="34" t="e">
        <f>TEXT(VLOOKUP(A121,LIV!$C:$M,11,0),"dd.mm.yyyy")</f>
        <v>#N/A</v>
      </c>
      <c r="P121" s="34" t="str">
        <f t="shared" si="10"/>
        <v/>
      </c>
      <c r="Q121" s="33"/>
    </row>
    <row r="122" spans="1:17" x14ac:dyDescent="0.25">
      <c r="A122" s="34"/>
      <c r="B122" s="34" t="str">
        <f>IF(A122&lt;&gt;"",VLOOKUP(A122,LIV!$C:$AD,28,0),"")</f>
        <v/>
      </c>
      <c r="C122" s="34" t="str">
        <f>IF(A122&lt;&gt;"",_xlfn.XLOOKUP(A122,LIV!$C:$C,LIV!$AD:$AD,,,-1),"")</f>
        <v/>
      </c>
      <c r="D122" s="34" t="e">
        <f>TEXT(VLOOKUP(A122,LIV!$C:$S,17,0),"dd.mm.yyyy")</f>
        <v>#N/A</v>
      </c>
      <c r="E122" s="34" t="e">
        <f>VLOOKUP(A122,LIV!$C:$R,16,0)</f>
        <v>#N/A</v>
      </c>
      <c r="F122" s="34" t="str">
        <f>_xlfn.IFNA(TEXT(_xlfn.XLOOKUP(A122,LIV!$C:$C,LIV!$B:$B),"dd.mm.yyyy"),"")</f>
        <v>00.01.1900</v>
      </c>
      <c r="G122" s="34">
        <f>SUMIF(LIV!$C:$C,Execute!A122,LIV!$Z:$Z)</f>
        <v>0</v>
      </c>
      <c r="H122" s="34" t="e">
        <f>VLOOKUP(A122,LIV!$C:$J,8,0)</f>
        <v>#N/A</v>
      </c>
      <c r="I122" s="34" t="e">
        <f>VLOOKUP(A122,LIV!$C:$G,5,0)</f>
        <v>#N/A</v>
      </c>
      <c r="J122" s="34" t="str">
        <f t="shared" si="7"/>
        <v/>
      </c>
      <c r="K122" s="34" t="e">
        <f>VLOOKUP(A122,LIV!$C:$H,6,0)</f>
        <v>#N/A</v>
      </c>
      <c r="L122" s="34" t="str">
        <f t="shared" si="8"/>
        <v/>
      </c>
      <c r="M122" s="34" t="e">
        <f>VLOOKUP(A122,LIV!$C:$R,16,0)</f>
        <v>#N/A</v>
      </c>
      <c r="N122" s="34">
        <f t="shared" si="9"/>
        <v>0</v>
      </c>
      <c r="O122" s="34" t="e">
        <f>TEXT(VLOOKUP(A122,LIV!$C:$M,11,0),"dd.mm.yyyy")</f>
        <v>#N/A</v>
      </c>
      <c r="P122" s="34" t="str">
        <f t="shared" si="10"/>
        <v/>
      </c>
      <c r="Q122" s="33"/>
    </row>
    <row r="123" spans="1:17" x14ac:dyDescent="0.25">
      <c r="A123" s="34"/>
      <c r="B123" s="34" t="str">
        <f>IF(A123&lt;&gt;"",VLOOKUP(A123,LIV!$C:$AD,28,0),"")</f>
        <v/>
      </c>
      <c r="C123" s="34" t="str">
        <f>IF(A123&lt;&gt;"",_xlfn.XLOOKUP(A123,LIV!$C:$C,LIV!$AD:$AD,,,-1),"")</f>
        <v/>
      </c>
      <c r="D123" s="34" t="e">
        <f>TEXT(VLOOKUP(A123,LIV!$C:$S,17,0),"dd.mm.yyyy")</f>
        <v>#N/A</v>
      </c>
      <c r="E123" s="34" t="e">
        <f>VLOOKUP(A123,LIV!$C:$R,16,0)</f>
        <v>#N/A</v>
      </c>
      <c r="F123" s="34" t="str">
        <f>_xlfn.IFNA(TEXT(_xlfn.XLOOKUP(A123,LIV!$C:$C,LIV!$B:$B),"dd.mm.yyyy"),"")</f>
        <v>00.01.1900</v>
      </c>
      <c r="G123" s="34">
        <f>SUMIF(LIV!$C:$C,Execute!A123,LIV!$Z:$Z)</f>
        <v>0</v>
      </c>
      <c r="H123" s="34" t="e">
        <f>VLOOKUP(A123,LIV!$C:$J,8,0)</f>
        <v>#N/A</v>
      </c>
      <c r="I123" s="34" t="e">
        <f>VLOOKUP(A123,LIV!$C:$G,5,0)</f>
        <v>#N/A</v>
      </c>
      <c r="J123" s="34" t="str">
        <f t="shared" si="7"/>
        <v/>
      </c>
      <c r="K123" s="34" t="e">
        <f>VLOOKUP(A123,LIV!$C:$H,6,0)</f>
        <v>#N/A</v>
      </c>
      <c r="L123" s="34" t="str">
        <f t="shared" si="8"/>
        <v/>
      </c>
      <c r="M123" s="34" t="e">
        <f>VLOOKUP(A123,LIV!$C:$R,16,0)</f>
        <v>#N/A</v>
      </c>
      <c r="N123" s="34">
        <f t="shared" si="9"/>
        <v>0</v>
      </c>
      <c r="O123" s="34" t="e">
        <f>TEXT(VLOOKUP(A123,LIV!$C:$M,11,0),"dd.mm.yyyy")</f>
        <v>#N/A</v>
      </c>
      <c r="P123" s="34" t="str">
        <f t="shared" si="10"/>
        <v/>
      </c>
      <c r="Q123" s="33"/>
    </row>
    <row r="124" spans="1:17" x14ac:dyDescent="0.25">
      <c r="A124" s="34"/>
      <c r="B124" s="34" t="str">
        <f>IF(A124&lt;&gt;"",VLOOKUP(A124,LIV!$C:$AD,28,0),"")</f>
        <v/>
      </c>
      <c r="C124" s="34" t="str">
        <f>IF(A124&lt;&gt;"",_xlfn.XLOOKUP(A124,LIV!$C:$C,LIV!$AD:$AD,,,-1),"")</f>
        <v/>
      </c>
      <c r="D124" s="34" t="e">
        <f>TEXT(VLOOKUP(A124,LIV!$C:$S,17,0),"dd.mm.yyyy")</f>
        <v>#N/A</v>
      </c>
      <c r="E124" s="34" t="e">
        <f>VLOOKUP(A124,LIV!$C:$R,16,0)</f>
        <v>#N/A</v>
      </c>
      <c r="F124" s="34" t="str">
        <f>_xlfn.IFNA(TEXT(_xlfn.XLOOKUP(A124,LIV!$C:$C,LIV!$B:$B),"dd.mm.yyyy"),"")</f>
        <v>00.01.1900</v>
      </c>
      <c r="G124" s="34">
        <f>SUMIF(LIV!$C:$C,Execute!A124,LIV!$Z:$Z)</f>
        <v>0</v>
      </c>
      <c r="H124" s="34" t="e">
        <f>VLOOKUP(A124,LIV!$C:$J,8,0)</f>
        <v>#N/A</v>
      </c>
      <c r="I124" s="34" t="e">
        <f>VLOOKUP(A124,LIV!$C:$G,5,0)</f>
        <v>#N/A</v>
      </c>
      <c r="J124" s="34" t="str">
        <f t="shared" si="7"/>
        <v/>
      </c>
      <c r="K124" s="34" t="e">
        <f>VLOOKUP(A124,LIV!$C:$H,6,0)</f>
        <v>#N/A</v>
      </c>
      <c r="L124" s="34" t="str">
        <f t="shared" si="8"/>
        <v/>
      </c>
      <c r="M124" s="34" t="e">
        <f>VLOOKUP(A124,LIV!$C:$R,16,0)</f>
        <v>#N/A</v>
      </c>
      <c r="N124" s="34">
        <f t="shared" si="9"/>
        <v>0</v>
      </c>
      <c r="O124" s="34" t="e">
        <f>TEXT(VLOOKUP(A124,LIV!$C:$M,11,0),"dd.mm.yyyy")</f>
        <v>#N/A</v>
      </c>
      <c r="P124" s="34" t="str">
        <f t="shared" si="10"/>
        <v/>
      </c>
      <c r="Q124" s="33"/>
    </row>
    <row r="125" spans="1:17" x14ac:dyDescent="0.25">
      <c r="A125" s="34"/>
      <c r="B125" s="34" t="str">
        <f>IF(A125&lt;&gt;"",VLOOKUP(A125,LIV!$C:$AD,28,0),"")</f>
        <v/>
      </c>
      <c r="C125" s="34" t="str">
        <f>IF(A125&lt;&gt;"",_xlfn.XLOOKUP(A125,LIV!$C:$C,LIV!$AD:$AD,,,-1),"")</f>
        <v/>
      </c>
      <c r="D125" s="34" t="e">
        <f>TEXT(VLOOKUP(A125,LIV!$C:$S,17,0),"dd.mm.yyyy")</f>
        <v>#N/A</v>
      </c>
      <c r="E125" s="34" t="e">
        <f>VLOOKUP(A125,LIV!$C:$R,16,0)</f>
        <v>#N/A</v>
      </c>
      <c r="F125" s="34" t="str">
        <f>_xlfn.IFNA(TEXT(_xlfn.XLOOKUP(A125,LIV!$C:$C,LIV!$B:$B),"dd.mm.yyyy"),"")</f>
        <v>00.01.1900</v>
      </c>
      <c r="G125" s="34">
        <f>SUMIF(LIV!$C:$C,Execute!A125,LIV!$Z:$Z)</f>
        <v>0</v>
      </c>
      <c r="H125" s="34" t="e">
        <f>VLOOKUP(A125,LIV!$C:$J,8,0)</f>
        <v>#N/A</v>
      </c>
      <c r="I125" s="34" t="e">
        <f>VLOOKUP(A125,LIV!$C:$G,5,0)</f>
        <v>#N/A</v>
      </c>
      <c r="J125" s="34" t="str">
        <f t="shared" si="7"/>
        <v/>
      </c>
      <c r="K125" s="34" t="e">
        <f>VLOOKUP(A125,LIV!$C:$H,6,0)</f>
        <v>#N/A</v>
      </c>
      <c r="L125" s="34" t="str">
        <f t="shared" si="8"/>
        <v/>
      </c>
      <c r="M125" s="34" t="e">
        <f>VLOOKUP(A125,LIV!$C:$R,16,0)</f>
        <v>#N/A</v>
      </c>
      <c r="N125" s="34">
        <f t="shared" si="9"/>
        <v>0</v>
      </c>
      <c r="O125" s="34" t="e">
        <f>TEXT(VLOOKUP(A125,LIV!$C:$M,11,0),"dd.mm.yyyy")</f>
        <v>#N/A</v>
      </c>
      <c r="P125" s="34" t="str">
        <f t="shared" si="10"/>
        <v/>
      </c>
      <c r="Q125" s="33"/>
    </row>
    <row r="126" spans="1:17" x14ac:dyDescent="0.25">
      <c r="A126" s="34"/>
      <c r="B126" s="34" t="str">
        <f>IF(A126&lt;&gt;"",VLOOKUP(A126,LIV!$C:$AD,28,0),"")</f>
        <v/>
      </c>
      <c r="C126" s="34" t="str">
        <f>IF(A126&lt;&gt;"",_xlfn.XLOOKUP(A126,LIV!$C:$C,LIV!$AD:$AD,,,-1),"")</f>
        <v/>
      </c>
      <c r="D126" s="34" t="e">
        <f>TEXT(VLOOKUP(A126,LIV!$C:$S,17,0),"dd.mm.yyyy")</f>
        <v>#N/A</v>
      </c>
      <c r="E126" s="34" t="e">
        <f>VLOOKUP(A126,LIV!$C:$R,16,0)</f>
        <v>#N/A</v>
      </c>
      <c r="F126" s="34" t="str">
        <f>_xlfn.IFNA(TEXT(_xlfn.XLOOKUP(A126,LIV!$C:$C,LIV!$B:$B),"dd.mm.yyyy"),"")</f>
        <v>00.01.1900</v>
      </c>
      <c r="G126" s="34">
        <f>SUMIF(LIV!$C:$C,Execute!A126,LIV!$Z:$Z)</f>
        <v>0</v>
      </c>
      <c r="H126" s="34" t="e">
        <f>VLOOKUP(A126,LIV!$C:$J,8,0)</f>
        <v>#N/A</v>
      </c>
      <c r="I126" s="34" t="e">
        <f>VLOOKUP(A126,LIV!$C:$G,5,0)</f>
        <v>#N/A</v>
      </c>
      <c r="J126" s="34" t="str">
        <f t="shared" si="7"/>
        <v/>
      </c>
      <c r="K126" s="34" t="e">
        <f>VLOOKUP(A126,LIV!$C:$H,6,0)</f>
        <v>#N/A</v>
      </c>
      <c r="L126" s="34" t="str">
        <f t="shared" si="8"/>
        <v/>
      </c>
      <c r="M126" s="34" t="e">
        <f>VLOOKUP(A126,LIV!$C:$R,16,0)</f>
        <v>#N/A</v>
      </c>
      <c r="N126" s="34">
        <f t="shared" si="9"/>
        <v>0</v>
      </c>
      <c r="O126" s="34" t="e">
        <f>TEXT(VLOOKUP(A126,LIV!$C:$M,11,0),"dd.mm.yyyy")</f>
        <v>#N/A</v>
      </c>
      <c r="P126" s="34" t="str">
        <f t="shared" si="10"/>
        <v/>
      </c>
      <c r="Q126" s="33"/>
    </row>
    <row r="127" spans="1:17" x14ac:dyDescent="0.25">
      <c r="A127" s="34"/>
      <c r="B127" s="34" t="str">
        <f>IF(A127&lt;&gt;"",VLOOKUP(A127,LIV!$C:$AD,28,0),"")</f>
        <v/>
      </c>
      <c r="C127" s="34" t="str">
        <f>IF(A127&lt;&gt;"",_xlfn.XLOOKUP(A127,LIV!$C:$C,LIV!$AD:$AD,,,-1),"")</f>
        <v/>
      </c>
      <c r="D127" s="34" t="e">
        <f>TEXT(VLOOKUP(A127,LIV!$C:$S,17,0),"dd.mm.yyyy")</f>
        <v>#N/A</v>
      </c>
      <c r="E127" s="34" t="e">
        <f>VLOOKUP(A127,LIV!$C:$R,16,0)</f>
        <v>#N/A</v>
      </c>
      <c r="F127" s="34" t="str">
        <f>_xlfn.IFNA(TEXT(_xlfn.XLOOKUP(A127,LIV!$C:$C,LIV!$B:$B),"dd.mm.yyyy"),"")</f>
        <v>00.01.1900</v>
      </c>
      <c r="G127" s="34">
        <f>SUMIF(LIV!$C:$C,Execute!A127,LIV!$Z:$Z)</f>
        <v>0</v>
      </c>
      <c r="H127" s="34" t="e">
        <f>VLOOKUP(A127,LIV!$C:$J,8,0)</f>
        <v>#N/A</v>
      </c>
      <c r="I127" s="34" t="e">
        <f>VLOOKUP(A127,LIV!$C:$G,5,0)</f>
        <v>#N/A</v>
      </c>
      <c r="J127" s="34" t="str">
        <f t="shared" si="7"/>
        <v/>
      </c>
      <c r="K127" s="34" t="e">
        <f>VLOOKUP(A127,LIV!$C:$H,6,0)</f>
        <v>#N/A</v>
      </c>
      <c r="L127" s="34" t="str">
        <f t="shared" si="8"/>
        <v/>
      </c>
      <c r="M127" s="34" t="e">
        <f>VLOOKUP(A127,LIV!$C:$R,16,0)</f>
        <v>#N/A</v>
      </c>
      <c r="N127" s="34">
        <f t="shared" si="9"/>
        <v>0</v>
      </c>
      <c r="O127" s="34" t="e">
        <f>TEXT(VLOOKUP(A127,LIV!$C:$M,11,0),"dd.mm.yyyy")</f>
        <v>#N/A</v>
      </c>
      <c r="P127" s="34" t="str">
        <f t="shared" si="10"/>
        <v/>
      </c>
      <c r="Q127" s="33"/>
    </row>
    <row r="128" spans="1:17" x14ac:dyDescent="0.25">
      <c r="A128" s="34"/>
      <c r="B128" s="34" t="str">
        <f>IF(A128&lt;&gt;"",VLOOKUP(A128,LIV!$C:$AD,28,0),"")</f>
        <v/>
      </c>
      <c r="C128" s="34" t="str">
        <f>IF(A128&lt;&gt;"",_xlfn.XLOOKUP(A128,LIV!$C:$C,LIV!$AD:$AD,,,-1),"")</f>
        <v/>
      </c>
      <c r="D128" s="34" t="e">
        <f>TEXT(VLOOKUP(A128,LIV!$C:$S,17,0),"dd.mm.yyyy")</f>
        <v>#N/A</v>
      </c>
      <c r="E128" s="34" t="e">
        <f>VLOOKUP(A128,LIV!$C:$R,16,0)</f>
        <v>#N/A</v>
      </c>
      <c r="F128" s="34" t="str">
        <f>_xlfn.IFNA(TEXT(_xlfn.XLOOKUP(A128,LIV!$C:$C,LIV!$B:$B),"dd.mm.yyyy"),"")</f>
        <v>00.01.1900</v>
      </c>
      <c r="G128" s="34">
        <f>SUMIF(LIV!$C:$C,Execute!A128,LIV!$Z:$Z)</f>
        <v>0</v>
      </c>
      <c r="H128" s="34" t="e">
        <f>VLOOKUP(A128,LIV!$C:$J,8,0)</f>
        <v>#N/A</v>
      </c>
      <c r="I128" s="34" t="e">
        <f>VLOOKUP(A128,LIV!$C:$G,5,0)</f>
        <v>#N/A</v>
      </c>
      <c r="J128" s="34" t="str">
        <f t="shared" si="7"/>
        <v/>
      </c>
      <c r="K128" s="34" t="e">
        <f>VLOOKUP(A128,LIV!$C:$H,6,0)</f>
        <v>#N/A</v>
      </c>
      <c r="L128" s="34" t="str">
        <f t="shared" si="8"/>
        <v/>
      </c>
      <c r="M128" s="34" t="e">
        <f>VLOOKUP(A128,LIV!$C:$R,16,0)</f>
        <v>#N/A</v>
      </c>
      <c r="N128" s="34">
        <f t="shared" si="9"/>
        <v>0</v>
      </c>
      <c r="O128" s="34" t="e">
        <f>TEXT(VLOOKUP(A128,LIV!$C:$M,11,0),"dd.mm.yyyy")</f>
        <v>#N/A</v>
      </c>
      <c r="P128" s="34" t="str">
        <f t="shared" si="10"/>
        <v/>
      </c>
      <c r="Q128" s="33"/>
    </row>
    <row r="129" spans="1:17" x14ac:dyDescent="0.25">
      <c r="A129" s="34"/>
      <c r="B129" s="34" t="str">
        <f>IF(A129&lt;&gt;"",VLOOKUP(A129,LIV!$C:$AD,28,0),"")</f>
        <v/>
      </c>
      <c r="C129" s="34" t="str">
        <f>IF(A129&lt;&gt;"",_xlfn.XLOOKUP(A129,LIV!$C:$C,LIV!$AD:$AD,,,-1),"")</f>
        <v/>
      </c>
      <c r="D129" s="34" t="e">
        <f>TEXT(VLOOKUP(A129,LIV!$C:$S,17,0),"dd.mm.yyyy")</f>
        <v>#N/A</v>
      </c>
      <c r="E129" s="34" t="e">
        <f>VLOOKUP(A129,LIV!$C:$R,16,0)</f>
        <v>#N/A</v>
      </c>
      <c r="F129" s="34" t="str">
        <f>_xlfn.IFNA(TEXT(_xlfn.XLOOKUP(A129,LIV!$C:$C,LIV!$B:$B),"dd.mm.yyyy"),"")</f>
        <v>00.01.1900</v>
      </c>
      <c r="G129" s="34">
        <f>SUMIF(LIV!$C:$C,Execute!A129,LIV!$Z:$Z)</f>
        <v>0</v>
      </c>
      <c r="H129" s="34" t="e">
        <f>VLOOKUP(A129,LIV!$C:$J,8,0)</f>
        <v>#N/A</v>
      </c>
      <c r="I129" s="34" t="e">
        <f>VLOOKUP(A129,LIV!$C:$G,5,0)</f>
        <v>#N/A</v>
      </c>
      <c r="J129" s="34" t="str">
        <f t="shared" si="7"/>
        <v/>
      </c>
      <c r="K129" s="34" t="e">
        <f>VLOOKUP(A129,LIV!$C:$H,6,0)</f>
        <v>#N/A</v>
      </c>
      <c r="L129" s="34" t="str">
        <f t="shared" si="8"/>
        <v/>
      </c>
      <c r="M129" s="34" t="e">
        <f>VLOOKUP(A129,LIV!$C:$R,16,0)</f>
        <v>#N/A</v>
      </c>
      <c r="N129" s="34">
        <f t="shared" si="9"/>
        <v>0</v>
      </c>
      <c r="O129" s="34" t="e">
        <f>TEXT(VLOOKUP(A129,LIV!$C:$M,11,0),"dd.mm.yyyy")</f>
        <v>#N/A</v>
      </c>
      <c r="P129" s="34" t="str">
        <f t="shared" si="10"/>
        <v/>
      </c>
      <c r="Q129" s="33"/>
    </row>
    <row r="130" spans="1:17" x14ac:dyDescent="0.25">
      <c r="A130" s="34"/>
      <c r="B130" s="34" t="str">
        <f>IF(A130&lt;&gt;"",VLOOKUP(A130,LIV!$C:$AD,28,0),"")</f>
        <v/>
      </c>
      <c r="C130" s="34" t="str">
        <f>IF(A130&lt;&gt;"",_xlfn.XLOOKUP(A130,LIV!$C:$C,LIV!$AD:$AD,,,-1),"")</f>
        <v/>
      </c>
      <c r="D130" s="34" t="e">
        <f>TEXT(VLOOKUP(A130,LIV!$C:$S,17,0),"dd.mm.yyyy")</f>
        <v>#N/A</v>
      </c>
      <c r="E130" s="34" t="e">
        <f>VLOOKUP(A130,LIV!$C:$R,16,0)</f>
        <v>#N/A</v>
      </c>
      <c r="F130" s="34" t="str">
        <f>_xlfn.IFNA(TEXT(_xlfn.XLOOKUP(A130,LIV!$C:$C,LIV!$B:$B),"dd.mm.yyyy"),"")</f>
        <v>00.01.1900</v>
      </c>
      <c r="G130" s="34">
        <f>SUMIF(LIV!$C:$C,Execute!A130,LIV!$Z:$Z)</f>
        <v>0</v>
      </c>
      <c r="H130" s="34" t="e">
        <f>VLOOKUP(A130,LIV!$C:$J,8,0)</f>
        <v>#N/A</v>
      </c>
      <c r="I130" s="34" t="e">
        <f>VLOOKUP(A130,LIV!$C:$G,5,0)</f>
        <v>#N/A</v>
      </c>
      <c r="J130" s="34" t="str">
        <f t="shared" si="7"/>
        <v/>
      </c>
      <c r="K130" s="34" t="e">
        <f>VLOOKUP(A130,LIV!$C:$H,6,0)</f>
        <v>#N/A</v>
      </c>
      <c r="L130" s="34" t="str">
        <f t="shared" si="8"/>
        <v/>
      </c>
      <c r="M130" s="34" t="e">
        <f>VLOOKUP(A130,LIV!$C:$R,16,0)</f>
        <v>#N/A</v>
      </c>
      <c r="N130" s="34">
        <f t="shared" si="9"/>
        <v>0</v>
      </c>
      <c r="O130" s="34" t="e">
        <f>TEXT(VLOOKUP(A130,LIV!$C:$M,11,0),"dd.mm.yyyy")</f>
        <v>#N/A</v>
      </c>
      <c r="P130" s="34" t="str">
        <f t="shared" si="10"/>
        <v/>
      </c>
      <c r="Q130" s="33"/>
    </row>
    <row r="131" spans="1:17" x14ac:dyDescent="0.25">
      <c r="A131" s="34"/>
      <c r="B131" s="34" t="str">
        <f>IF(A131&lt;&gt;"",VLOOKUP(A131,LIV!$C:$AD,28,0),"")</f>
        <v/>
      </c>
      <c r="C131" s="34" t="str">
        <f>IF(A131&lt;&gt;"",_xlfn.XLOOKUP(A131,LIV!$C:$C,LIV!$AD:$AD,,,-1),"")</f>
        <v/>
      </c>
      <c r="D131" s="34" t="e">
        <f>TEXT(VLOOKUP(A131,LIV!$C:$S,17,0),"dd.mm.yyyy")</f>
        <v>#N/A</v>
      </c>
      <c r="E131" s="34" t="e">
        <f>VLOOKUP(A131,LIV!$C:$R,16,0)</f>
        <v>#N/A</v>
      </c>
      <c r="F131" s="34" t="str">
        <f>_xlfn.IFNA(TEXT(_xlfn.XLOOKUP(A131,LIV!$C:$C,LIV!$B:$B),"dd.mm.yyyy"),"")</f>
        <v>00.01.1900</v>
      </c>
      <c r="G131" s="34">
        <f>SUMIF(LIV!$C:$C,Execute!A131,LIV!$Z:$Z)</f>
        <v>0</v>
      </c>
      <c r="H131" s="34" t="e">
        <f>VLOOKUP(A131,LIV!$C:$J,8,0)</f>
        <v>#N/A</v>
      </c>
      <c r="I131" s="34" t="e">
        <f>VLOOKUP(A131,LIV!$C:$G,5,0)</f>
        <v>#N/A</v>
      </c>
      <c r="J131" s="34" t="str">
        <f t="shared" si="7"/>
        <v/>
      </c>
      <c r="K131" s="34" t="e">
        <f>VLOOKUP(A131,LIV!$C:$H,6,0)</f>
        <v>#N/A</v>
      </c>
      <c r="L131" s="34" t="str">
        <f t="shared" si="8"/>
        <v/>
      </c>
      <c r="M131" s="34" t="e">
        <f>VLOOKUP(A131,LIV!$C:$R,16,0)</f>
        <v>#N/A</v>
      </c>
      <c r="N131" s="34">
        <f t="shared" si="9"/>
        <v>0</v>
      </c>
      <c r="O131" s="34" t="e">
        <f>TEXT(VLOOKUP(A131,LIV!$C:$M,11,0),"dd.mm.yyyy")</f>
        <v>#N/A</v>
      </c>
      <c r="P131" s="34" t="str">
        <f t="shared" si="10"/>
        <v/>
      </c>
      <c r="Q131" s="33"/>
    </row>
    <row r="132" spans="1:17" x14ac:dyDescent="0.25">
      <c r="A132" s="34"/>
      <c r="B132" s="34" t="str">
        <f>IF(A132&lt;&gt;"",VLOOKUP(A132,LIV!$C:$AD,28,0),"")</f>
        <v/>
      </c>
      <c r="C132" s="34" t="str">
        <f>IF(A132&lt;&gt;"",_xlfn.XLOOKUP(A132,LIV!$C:$C,LIV!$AD:$AD,,,-1),"")</f>
        <v/>
      </c>
      <c r="D132" s="34" t="e">
        <f>TEXT(VLOOKUP(A132,LIV!$C:$S,17,0),"dd.mm.yyyy")</f>
        <v>#N/A</v>
      </c>
      <c r="E132" s="34" t="e">
        <f>VLOOKUP(A132,LIV!$C:$R,16,0)</f>
        <v>#N/A</v>
      </c>
      <c r="F132" s="34" t="str">
        <f>_xlfn.IFNA(TEXT(_xlfn.XLOOKUP(A132,LIV!$C:$C,LIV!$B:$B),"dd.mm.yyyy"),"")</f>
        <v>00.01.1900</v>
      </c>
      <c r="G132" s="34">
        <f>SUMIF(LIV!$C:$C,Execute!A132,LIV!$Z:$Z)</f>
        <v>0</v>
      </c>
      <c r="H132" s="34" t="e">
        <f>VLOOKUP(A132,LIV!$C:$J,8,0)</f>
        <v>#N/A</v>
      </c>
      <c r="I132" s="34" t="e">
        <f>VLOOKUP(A132,LIV!$C:$G,5,0)</f>
        <v>#N/A</v>
      </c>
      <c r="J132" s="34" t="str">
        <f t="shared" si="7"/>
        <v/>
      </c>
      <c r="K132" s="34" t="e">
        <f>VLOOKUP(A132,LIV!$C:$H,6,0)</f>
        <v>#N/A</v>
      </c>
      <c r="L132" s="34" t="str">
        <f t="shared" si="8"/>
        <v/>
      </c>
      <c r="M132" s="34" t="e">
        <f>VLOOKUP(A132,LIV!$C:$R,16,0)</f>
        <v>#N/A</v>
      </c>
      <c r="N132" s="34">
        <f t="shared" si="9"/>
        <v>0</v>
      </c>
      <c r="O132" s="34" t="e">
        <f>TEXT(VLOOKUP(A132,LIV!$C:$M,11,0),"dd.mm.yyyy")</f>
        <v>#N/A</v>
      </c>
      <c r="P132" s="34" t="str">
        <f t="shared" si="10"/>
        <v/>
      </c>
      <c r="Q132" s="33"/>
    </row>
    <row r="133" spans="1:17" x14ac:dyDescent="0.25">
      <c r="A133" s="34"/>
      <c r="B133" s="34" t="str">
        <f>IF(A133&lt;&gt;"",VLOOKUP(A133,LIV!$C:$AD,28,0),"")</f>
        <v/>
      </c>
      <c r="C133" s="34" t="str">
        <f>IF(A133&lt;&gt;"",_xlfn.XLOOKUP(A133,LIV!$C:$C,LIV!$AD:$AD,,,-1),"")</f>
        <v/>
      </c>
      <c r="D133" s="34" t="e">
        <f>TEXT(VLOOKUP(A133,LIV!$C:$S,17,0),"dd.mm.yyyy")</f>
        <v>#N/A</v>
      </c>
      <c r="E133" s="34" t="e">
        <f>VLOOKUP(A133,LIV!$C:$R,16,0)</f>
        <v>#N/A</v>
      </c>
      <c r="F133" s="34" t="str">
        <f>_xlfn.IFNA(TEXT(_xlfn.XLOOKUP(A133,LIV!$C:$C,LIV!$B:$B),"dd.mm.yyyy"),"")</f>
        <v>00.01.1900</v>
      </c>
      <c r="G133" s="34">
        <f>SUMIF(LIV!$C:$C,Execute!A133,LIV!$Z:$Z)</f>
        <v>0</v>
      </c>
      <c r="H133" s="34" t="e">
        <f>VLOOKUP(A133,LIV!$C:$J,8,0)</f>
        <v>#N/A</v>
      </c>
      <c r="I133" s="34" t="e">
        <f>VLOOKUP(A133,LIV!$C:$G,5,0)</f>
        <v>#N/A</v>
      </c>
      <c r="J133" s="34" t="str">
        <f t="shared" si="7"/>
        <v/>
      </c>
      <c r="K133" s="34" t="e">
        <f>VLOOKUP(A133,LIV!$C:$H,6,0)</f>
        <v>#N/A</v>
      </c>
      <c r="L133" s="34" t="str">
        <f t="shared" si="8"/>
        <v/>
      </c>
      <c r="M133" s="34" t="e">
        <f>VLOOKUP(A133,LIV!$C:$R,16,0)</f>
        <v>#N/A</v>
      </c>
      <c r="N133" s="34">
        <f t="shared" si="9"/>
        <v>0</v>
      </c>
      <c r="O133" s="34" t="e">
        <f>TEXT(VLOOKUP(A133,LIV!$C:$M,11,0),"dd.mm.yyyy")</f>
        <v>#N/A</v>
      </c>
      <c r="P133" s="34" t="str">
        <f t="shared" si="10"/>
        <v/>
      </c>
      <c r="Q133" s="33"/>
    </row>
    <row r="134" spans="1:17" x14ac:dyDescent="0.25">
      <c r="A134" s="34"/>
      <c r="B134" s="34" t="str">
        <f>IF(A134&lt;&gt;"",VLOOKUP(A134,LIV!$C:$AD,28,0),"")</f>
        <v/>
      </c>
      <c r="C134" s="34" t="str">
        <f>IF(A134&lt;&gt;"",_xlfn.XLOOKUP(A134,LIV!$C:$C,LIV!$AD:$AD,,,-1),"")</f>
        <v/>
      </c>
      <c r="D134" s="34" t="e">
        <f>TEXT(VLOOKUP(A134,LIV!$C:$S,17,0),"dd.mm.yyyy")</f>
        <v>#N/A</v>
      </c>
      <c r="E134" s="34" t="e">
        <f>VLOOKUP(A134,LIV!$C:$R,16,0)</f>
        <v>#N/A</v>
      </c>
      <c r="F134" s="34" t="str">
        <f>_xlfn.IFNA(TEXT(_xlfn.XLOOKUP(A134,LIV!$C:$C,LIV!$B:$B),"dd.mm.yyyy"),"")</f>
        <v>00.01.1900</v>
      </c>
      <c r="G134" s="34">
        <f>SUMIF(LIV!$C:$C,Execute!A134,LIV!$Z:$Z)</f>
        <v>0</v>
      </c>
      <c r="H134" s="34" t="e">
        <f>VLOOKUP(A134,LIV!$C:$J,8,0)</f>
        <v>#N/A</v>
      </c>
      <c r="I134" s="34" t="e">
        <f>VLOOKUP(A134,LIV!$C:$G,5,0)</f>
        <v>#N/A</v>
      </c>
      <c r="J134" s="34" t="str">
        <f t="shared" si="7"/>
        <v/>
      </c>
      <c r="K134" s="34" t="e">
        <f>VLOOKUP(A134,LIV!$C:$H,6,0)</f>
        <v>#N/A</v>
      </c>
      <c r="L134" s="34" t="str">
        <f t="shared" si="8"/>
        <v/>
      </c>
      <c r="M134" s="34" t="e">
        <f>VLOOKUP(A134,LIV!$C:$R,16,0)</f>
        <v>#N/A</v>
      </c>
      <c r="N134" s="34">
        <f t="shared" si="9"/>
        <v>0</v>
      </c>
      <c r="O134" s="34" t="e">
        <f>TEXT(VLOOKUP(A134,LIV!$C:$M,11,0),"dd.mm.yyyy")</f>
        <v>#N/A</v>
      </c>
      <c r="P134" s="34" t="str">
        <f t="shared" si="10"/>
        <v/>
      </c>
      <c r="Q134" s="33"/>
    </row>
    <row r="135" spans="1:17" x14ac:dyDescent="0.25">
      <c r="A135" s="34"/>
      <c r="B135" s="34" t="str">
        <f>IF(A135&lt;&gt;"",VLOOKUP(A135,LIV!$C:$AD,28,0),"")</f>
        <v/>
      </c>
      <c r="C135" s="34" t="str">
        <f>IF(A135&lt;&gt;"",_xlfn.XLOOKUP(A135,LIV!$C:$C,LIV!$AD:$AD,,,-1),"")</f>
        <v/>
      </c>
      <c r="D135" s="34" t="e">
        <f>TEXT(VLOOKUP(A135,LIV!$C:$S,17,0),"dd.mm.yyyy")</f>
        <v>#N/A</v>
      </c>
      <c r="E135" s="34" t="e">
        <f>VLOOKUP(A135,LIV!$C:$R,16,0)</f>
        <v>#N/A</v>
      </c>
      <c r="F135" s="34" t="str">
        <f>_xlfn.IFNA(TEXT(_xlfn.XLOOKUP(A135,LIV!$C:$C,LIV!$B:$B),"dd.mm.yyyy"),"")</f>
        <v>00.01.1900</v>
      </c>
      <c r="G135" s="34">
        <f>SUMIF(LIV!$C:$C,Execute!A135,LIV!$Z:$Z)</f>
        <v>0</v>
      </c>
      <c r="H135" s="34" t="e">
        <f>VLOOKUP(A135,LIV!$C:$J,8,0)</f>
        <v>#N/A</v>
      </c>
      <c r="I135" s="34" t="e">
        <f>VLOOKUP(A135,LIV!$C:$G,5,0)</f>
        <v>#N/A</v>
      </c>
      <c r="J135" s="34" t="str">
        <f t="shared" si="7"/>
        <v/>
      </c>
      <c r="K135" s="34" t="e">
        <f>VLOOKUP(A135,LIV!$C:$H,6,0)</f>
        <v>#N/A</v>
      </c>
      <c r="L135" s="34" t="str">
        <f t="shared" si="8"/>
        <v/>
      </c>
      <c r="M135" s="34" t="e">
        <f>VLOOKUP(A135,LIV!$C:$R,16,0)</f>
        <v>#N/A</v>
      </c>
      <c r="N135" s="34">
        <f t="shared" si="9"/>
        <v>0</v>
      </c>
      <c r="O135" s="34" t="e">
        <f>TEXT(VLOOKUP(A135,LIV!$C:$M,11,0),"dd.mm.yyyy")</f>
        <v>#N/A</v>
      </c>
      <c r="P135" s="34" t="str">
        <f t="shared" si="10"/>
        <v/>
      </c>
      <c r="Q135" s="33"/>
    </row>
    <row r="136" spans="1:17" x14ac:dyDescent="0.25">
      <c r="A136" s="34"/>
      <c r="B136" s="34" t="str">
        <f>IF(A136&lt;&gt;"",VLOOKUP(A136,LIV!$C:$AD,28,0),"")</f>
        <v/>
      </c>
      <c r="C136" s="34" t="str">
        <f>IF(A136&lt;&gt;"",_xlfn.XLOOKUP(A136,LIV!$C:$C,LIV!$AD:$AD,,,-1),"")</f>
        <v/>
      </c>
      <c r="D136" s="34" t="e">
        <f>TEXT(VLOOKUP(A136,LIV!$C:$S,17,0),"dd.mm.yyyy")</f>
        <v>#N/A</v>
      </c>
      <c r="E136" s="34" t="e">
        <f>VLOOKUP(A136,LIV!$C:$R,16,0)</f>
        <v>#N/A</v>
      </c>
      <c r="F136" s="34" t="str">
        <f>_xlfn.IFNA(TEXT(_xlfn.XLOOKUP(A136,LIV!$C:$C,LIV!$B:$B),"dd.mm.yyyy"),"")</f>
        <v>00.01.1900</v>
      </c>
      <c r="G136" s="34">
        <f>SUMIF(LIV!$C:$C,Execute!A136,LIV!$Z:$Z)</f>
        <v>0</v>
      </c>
      <c r="H136" s="34" t="e">
        <f>VLOOKUP(A136,LIV!$C:$J,8,0)</f>
        <v>#N/A</v>
      </c>
      <c r="I136" s="34" t="e">
        <f>VLOOKUP(A136,LIV!$C:$G,5,0)</f>
        <v>#N/A</v>
      </c>
      <c r="J136" s="34" t="str">
        <f t="shared" si="7"/>
        <v/>
      </c>
      <c r="K136" s="34" t="e">
        <f>VLOOKUP(A136,LIV!$C:$H,6,0)</f>
        <v>#N/A</v>
      </c>
      <c r="L136" s="34" t="str">
        <f t="shared" si="8"/>
        <v/>
      </c>
      <c r="M136" s="34" t="e">
        <f>VLOOKUP(A136,LIV!$C:$R,16,0)</f>
        <v>#N/A</v>
      </c>
      <c r="N136" s="34">
        <f t="shared" si="9"/>
        <v>0</v>
      </c>
      <c r="O136" s="34" t="e">
        <f>TEXT(VLOOKUP(A136,LIV!$C:$M,11,0),"dd.mm.yyyy")</f>
        <v>#N/A</v>
      </c>
      <c r="P136" s="34" t="str">
        <f t="shared" si="10"/>
        <v/>
      </c>
      <c r="Q136" s="33"/>
    </row>
    <row r="137" spans="1:17" x14ac:dyDescent="0.25">
      <c r="A137" s="34"/>
      <c r="B137" s="34" t="str">
        <f>IF(A137&lt;&gt;"",VLOOKUP(A137,LIV!$C:$AD,28,0),"")</f>
        <v/>
      </c>
      <c r="C137" s="34" t="str">
        <f>IF(A137&lt;&gt;"",_xlfn.XLOOKUP(A137,LIV!$C:$C,LIV!$AD:$AD,,,-1),"")</f>
        <v/>
      </c>
      <c r="D137" s="34" t="e">
        <f>TEXT(VLOOKUP(A137,LIV!$C:$S,17,0),"dd.mm.yyyy")</f>
        <v>#N/A</v>
      </c>
      <c r="E137" s="34" t="e">
        <f>VLOOKUP(A137,LIV!$C:$R,16,0)</f>
        <v>#N/A</v>
      </c>
      <c r="F137" s="34" t="str">
        <f>_xlfn.IFNA(TEXT(_xlfn.XLOOKUP(A137,LIV!$C:$C,LIV!$B:$B),"dd.mm.yyyy"),"")</f>
        <v>00.01.1900</v>
      </c>
      <c r="G137" s="34">
        <f>SUMIF(LIV!$C:$C,Execute!A137,LIV!$Z:$Z)</f>
        <v>0</v>
      </c>
      <c r="H137" s="34" t="e">
        <f>VLOOKUP(A137,LIV!$C:$J,8,0)</f>
        <v>#N/A</v>
      </c>
      <c r="I137" s="34" t="e">
        <f>VLOOKUP(A137,LIV!$C:$G,5,0)</f>
        <v>#N/A</v>
      </c>
      <c r="J137" s="34" t="str">
        <f t="shared" ref="J137:J200" si="11">IF(A137&lt;&gt;"",$C$1,"")</f>
        <v/>
      </c>
      <c r="K137" s="34" t="e">
        <f>VLOOKUP(A137,LIV!$C:$H,6,0)</f>
        <v>#N/A</v>
      </c>
      <c r="L137" s="34" t="str">
        <f t="shared" si="8"/>
        <v/>
      </c>
      <c r="M137" s="34" t="e">
        <f>VLOOKUP(A137,LIV!$C:$R,16,0)</f>
        <v>#N/A</v>
      </c>
      <c r="N137" s="34">
        <f t="shared" si="9"/>
        <v>0</v>
      </c>
      <c r="O137" s="34" t="e">
        <f>TEXT(VLOOKUP(A137,LIV!$C:$M,11,0),"dd.mm.yyyy")</f>
        <v>#N/A</v>
      </c>
      <c r="P137" s="34" t="str">
        <f t="shared" si="10"/>
        <v/>
      </c>
      <c r="Q137" s="33"/>
    </row>
    <row r="138" spans="1:17" x14ac:dyDescent="0.25">
      <c r="A138" s="34"/>
      <c r="B138" s="34" t="str">
        <f>IF(A138&lt;&gt;"",VLOOKUP(A138,LIV!$C:$AD,28,0),"")</f>
        <v/>
      </c>
      <c r="C138" s="34" t="str">
        <f>IF(A138&lt;&gt;"",_xlfn.XLOOKUP(A138,LIV!$C:$C,LIV!$AD:$AD,,,-1),"")</f>
        <v/>
      </c>
      <c r="D138" s="34" t="e">
        <f>TEXT(VLOOKUP(A138,LIV!$C:$S,17,0),"dd.mm.yyyy")</f>
        <v>#N/A</v>
      </c>
      <c r="E138" s="34" t="e">
        <f>VLOOKUP(A138,LIV!$C:$R,16,0)</f>
        <v>#N/A</v>
      </c>
      <c r="F138" s="34" t="str">
        <f>_xlfn.IFNA(TEXT(_xlfn.XLOOKUP(A138,LIV!$C:$C,LIV!$B:$B),"dd.mm.yyyy"),"")</f>
        <v>00.01.1900</v>
      </c>
      <c r="G138" s="34">
        <f>SUMIF(LIV!$C:$C,Execute!A138,LIV!$Z:$Z)</f>
        <v>0</v>
      </c>
      <c r="H138" s="34" t="e">
        <f>VLOOKUP(A138,LIV!$C:$J,8,0)</f>
        <v>#N/A</v>
      </c>
      <c r="I138" s="34" t="e">
        <f>VLOOKUP(A138,LIV!$C:$G,5,0)</f>
        <v>#N/A</v>
      </c>
      <c r="J138" s="34" t="str">
        <f t="shared" si="11"/>
        <v/>
      </c>
      <c r="K138" s="34" t="e">
        <f>VLOOKUP(A138,LIV!$C:$H,6,0)</f>
        <v>#N/A</v>
      </c>
      <c r="L138" s="34" t="str">
        <f t="shared" si="8"/>
        <v/>
      </c>
      <c r="M138" s="34" t="e">
        <f>VLOOKUP(A138,LIV!$C:$R,16,0)</f>
        <v>#N/A</v>
      </c>
      <c r="N138" s="34">
        <f t="shared" si="9"/>
        <v>0</v>
      </c>
      <c r="O138" s="34" t="e">
        <f>TEXT(VLOOKUP(A138,LIV!$C:$M,11,0),"dd.mm.yyyy")</f>
        <v>#N/A</v>
      </c>
      <c r="P138" s="34" t="str">
        <f t="shared" si="10"/>
        <v/>
      </c>
      <c r="Q138" s="33"/>
    </row>
    <row r="139" spans="1:17" x14ac:dyDescent="0.25">
      <c r="A139" s="34"/>
      <c r="B139" s="34" t="str">
        <f>IF(A139&lt;&gt;"",VLOOKUP(A139,LIV!$C:$AD,28,0),"")</f>
        <v/>
      </c>
      <c r="C139" s="34" t="str">
        <f>IF(A139&lt;&gt;"",_xlfn.XLOOKUP(A139,LIV!$C:$C,LIV!$AD:$AD,,,-1),"")</f>
        <v/>
      </c>
      <c r="D139" s="34" t="e">
        <f>TEXT(VLOOKUP(A139,LIV!$C:$S,17,0),"dd.mm.yyyy")</f>
        <v>#N/A</v>
      </c>
      <c r="E139" s="34" t="e">
        <f>VLOOKUP(A139,LIV!$C:$R,16,0)</f>
        <v>#N/A</v>
      </c>
      <c r="F139" s="34" t="str">
        <f>_xlfn.IFNA(TEXT(_xlfn.XLOOKUP(A139,LIV!$C:$C,LIV!$B:$B),"dd.mm.yyyy"),"")</f>
        <v>00.01.1900</v>
      </c>
      <c r="G139" s="34">
        <f>SUMIF(LIV!$C:$C,Execute!A139,LIV!$Z:$Z)</f>
        <v>0</v>
      </c>
      <c r="H139" s="34" t="e">
        <f>VLOOKUP(A139,LIV!$C:$J,8,0)</f>
        <v>#N/A</v>
      </c>
      <c r="I139" s="34" t="e">
        <f>VLOOKUP(A139,LIV!$C:$G,5,0)</f>
        <v>#N/A</v>
      </c>
      <c r="J139" s="34" t="str">
        <f t="shared" si="11"/>
        <v/>
      </c>
      <c r="K139" s="34" t="e">
        <f>VLOOKUP(A139,LIV!$C:$H,6,0)</f>
        <v>#N/A</v>
      </c>
      <c r="L139" s="34" t="str">
        <f t="shared" si="8"/>
        <v/>
      </c>
      <c r="M139" s="34" t="e">
        <f>VLOOKUP(A139,LIV!$C:$R,16,0)</f>
        <v>#N/A</v>
      </c>
      <c r="N139" s="34">
        <f t="shared" si="9"/>
        <v>0</v>
      </c>
      <c r="O139" s="34" t="e">
        <f>TEXT(VLOOKUP(A139,LIV!$C:$M,11,0),"dd.mm.yyyy")</f>
        <v>#N/A</v>
      </c>
      <c r="P139" s="34" t="str">
        <f t="shared" si="10"/>
        <v/>
      </c>
      <c r="Q139" s="33"/>
    </row>
    <row r="140" spans="1:17" x14ac:dyDescent="0.25">
      <c r="A140" s="34"/>
      <c r="B140" s="34" t="str">
        <f>IF(A140&lt;&gt;"",VLOOKUP(A140,LIV!$C:$AD,28,0),"")</f>
        <v/>
      </c>
      <c r="C140" s="34" t="str">
        <f>IF(A140&lt;&gt;"",_xlfn.XLOOKUP(A140,LIV!$C:$C,LIV!$AD:$AD,,,-1),"")</f>
        <v/>
      </c>
      <c r="D140" s="34" t="e">
        <f>TEXT(VLOOKUP(A140,LIV!$C:$S,17,0),"dd.mm.yyyy")</f>
        <v>#N/A</v>
      </c>
      <c r="E140" s="34" t="e">
        <f>VLOOKUP(A140,LIV!$C:$R,16,0)</f>
        <v>#N/A</v>
      </c>
      <c r="F140" s="34" t="str">
        <f>_xlfn.IFNA(TEXT(_xlfn.XLOOKUP(A140,LIV!$C:$C,LIV!$B:$B),"dd.mm.yyyy"),"")</f>
        <v>00.01.1900</v>
      </c>
      <c r="G140" s="34">
        <f>SUMIF(LIV!$C:$C,Execute!A140,LIV!$Z:$Z)</f>
        <v>0</v>
      </c>
      <c r="H140" s="34" t="e">
        <f>VLOOKUP(A140,LIV!$C:$J,8,0)</f>
        <v>#N/A</v>
      </c>
      <c r="I140" s="34" t="e">
        <f>VLOOKUP(A140,LIV!$C:$G,5,0)</f>
        <v>#N/A</v>
      </c>
      <c r="J140" s="34" t="str">
        <f t="shared" si="11"/>
        <v/>
      </c>
      <c r="K140" s="34" t="e">
        <f>VLOOKUP(A140,LIV!$C:$H,6,0)</f>
        <v>#N/A</v>
      </c>
      <c r="L140" s="34" t="str">
        <f t="shared" si="8"/>
        <v/>
      </c>
      <c r="M140" s="34" t="e">
        <f>VLOOKUP(A140,LIV!$C:$R,16,0)</f>
        <v>#N/A</v>
      </c>
      <c r="N140" s="34">
        <f t="shared" si="9"/>
        <v>0</v>
      </c>
      <c r="O140" s="34" t="e">
        <f>TEXT(VLOOKUP(A140,LIV!$C:$M,11,0),"dd.mm.yyyy")</f>
        <v>#N/A</v>
      </c>
      <c r="P140" s="34" t="str">
        <f t="shared" si="10"/>
        <v/>
      </c>
      <c r="Q140" s="33"/>
    </row>
    <row r="141" spans="1:17" x14ac:dyDescent="0.25">
      <c r="A141" s="34"/>
      <c r="B141" s="34" t="str">
        <f>IF(A141&lt;&gt;"",VLOOKUP(A141,LIV!$C:$AD,28,0),"")</f>
        <v/>
      </c>
      <c r="C141" s="34" t="str">
        <f>IF(A141&lt;&gt;"",_xlfn.XLOOKUP(A141,LIV!$C:$C,LIV!$AD:$AD,,,-1),"")</f>
        <v/>
      </c>
      <c r="D141" s="34" t="e">
        <f>TEXT(VLOOKUP(A141,LIV!$C:$S,17,0),"dd.mm.yyyy")</f>
        <v>#N/A</v>
      </c>
      <c r="E141" s="34" t="e">
        <f>VLOOKUP(A141,LIV!$C:$R,16,0)</f>
        <v>#N/A</v>
      </c>
      <c r="F141" s="34" t="str">
        <f>_xlfn.IFNA(TEXT(_xlfn.XLOOKUP(A141,LIV!$C:$C,LIV!$B:$B),"dd.mm.yyyy"),"")</f>
        <v>00.01.1900</v>
      </c>
      <c r="G141" s="34">
        <f>SUMIF(LIV!$C:$C,Execute!A141,LIV!$Z:$Z)</f>
        <v>0</v>
      </c>
      <c r="H141" s="34" t="e">
        <f>VLOOKUP(A141,LIV!$C:$J,8,0)</f>
        <v>#N/A</v>
      </c>
      <c r="I141" s="34" t="e">
        <f>VLOOKUP(A141,LIV!$C:$G,5,0)</f>
        <v>#N/A</v>
      </c>
      <c r="J141" s="34" t="str">
        <f t="shared" si="11"/>
        <v/>
      </c>
      <c r="K141" s="34" t="e">
        <f>VLOOKUP(A141,LIV!$C:$H,6,0)</f>
        <v>#N/A</v>
      </c>
      <c r="L141" s="34" t="str">
        <f t="shared" si="8"/>
        <v/>
      </c>
      <c r="M141" s="34" t="e">
        <f>VLOOKUP(A141,LIV!$C:$R,16,0)</f>
        <v>#N/A</v>
      </c>
      <c r="N141" s="34">
        <f t="shared" si="9"/>
        <v>0</v>
      </c>
      <c r="O141" s="34" t="e">
        <f>TEXT(VLOOKUP(A141,LIV!$C:$M,11,0),"dd.mm.yyyy")</f>
        <v>#N/A</v>
      </c>
      <c r="P141" s="34" t="str">
        <f t="shared" si="10"/>
        <v/>
      </c>
      <c r="Q141" s="33"/>
    </row>
    <row r="142" spans="1:17" x14ac:dyDescent="0.25">
      <c r="A142" s="34"/>
      <c r="B142" s="34" t="str">
        <f>IF(A142&lt;&gt;"",VLOOKUP(A142,LIV!$C:$AD,28,0),"")</f>
        <v/>
      </c>
      <c r="C142" s="34" t="str">
        <f>IF(A142&lt;&gt;"",_xlfn.XLOOKUP(A142,LIV!$C:$C,LIV!$AD:$AD,,,-1),"")</f>
        <v/>
      </c>
      <c r="D142" s="34" t="e">
        <f>TEXT(VLOOKUP(A142,LIV!$C:$S,17,0),"dd.mm.yyyy")</f>
        <v>#N/A</v>
      </c>
      <c r="E142" s="34" t="e">
        <f>VLOOKUP(A142,LIV!$C:$R,16,0)</f>
        <v>#N/A</v>
      </c>
      <c r="F142" s="34" t="str">
        <f>_xlfn.IFNA(TEXT(_xlfn.XLOOKUP(A142,LIV!$C:$C,LIV!$B:$B),"dd.mm.yyyy"),"")</f>
        <v>00.01.1900</v>
      </c>
      <c r="G142" s="34">
        <f>SUMIF(LIV!$C:$C,Execute!A142,LIV!$Z:$Z)</f>
        <v>0</v>
      </c>
      <c r="H142" s="34" t="e">
        <f>VLOOKUP(A142,LIV!$C:$J,8,0)</f>
        <v>#N/A</v>
      </c>
      <c r="I142" s="34" t="e">
        <f>VLOOKUP(A142,LIV!$C:$G,5,0)</f>
        <v>#N/A</v>
      </c>
      <c r="J142" s="34" t="str">
        <f t="shared" si="11"/>
        <v/>
      </c>
      <c r="K142" s="34" t="e">
        <f>VLOOKUP(A142,LIV!$C:$H,6,0)</f>
        <v>#N/A</v>
      </c>
      <c r="L142" s="34" t="str">
        <f t="shared" si="8"/>
        <v/>
      </c>
      <c r="M142" s="34" t="e">
        <f>VLOOKUP(A142,LIV!$C:$R,16,0)</f>
        <v>#N/A</v>
      </c>
      <c r="N142" s="34">
        <f t="shared" si="9"/>
        <v>0</v>
      </c>
      <c r="O142" s="34" t="e">
        <f>TEXT(VLOOKUP(A142,LIV!$C:$M,11,0),"dd.mm.yyyy")</f>
        <v>#N/A</v>
      </c>
      <c r="P142" s="34" t="str">
        <f t="shared" si="10"/>
        <v/>
      </c>
      <c r="Q142" s="33"/>
    </row>
    <row r="143" spans="1:17" x14ac:dyDescent="0.25">
      <c r="A143" s="34"/>
      <c r="B143" s="34" t="str">
        <f>IF(A143&lt;&gt;"",VLOOKUP(A143,LIV!$C:$AD,28,0),"")</f>
        <v/>
      </c>
      <c r="C143" s="34" t="str">
        <f>IF(A143&lt;&gt;"",_xlfn.XLOOKUP(A143,LIV!$C:$C,LIV!$AD:$AD,,,-1),"")</f>
        <v/>
      </c>
      <c r="D143" s="34" t="e">
        <f>TEXT(VLOOKUP(A143,LIV!$C:$S,17,0),"dd.mm.yyyy")</f>
        <v>#N/A</v>
      </c>
      <c r="E143" s="34" t="e">
        <f>VLOOKUP(A143,LIV!$C:$R,16,0)</f>
        <v>#N/A</v>
      </c>
      <c r="F143" s="34" t="str">
        <f>_xlfn.IFNA(TEXT(_xlfn.XLOOKUP(A143,LIV!$C:$C,LIV!$B:$B),"dd.mm.yyyy"),"")</f>
        <v>00.01.1900</v>
      </c>
      <c r="G143" s="34">
        <f>SUMIF(LIV!$C:$C,Execute!A143,LIV!$Z:$Z)</f>
        <v>0</v>
      </c>
      <c r="H143" s="34" t="e">
        <f>VLOOKUP(A143,LIV!$C:$J,8,0)</f>
        <v>#N/A</v>
      </c>
      <c r="I143" s="34" t="e">
        <f>VLOOKUP(A143,LIV!$C:$G,5,0)</f>
        <v>#N/A</v>
      </c>
      <c r="J143" s="34" t="str">
        <f t="shared" si="11"/>
        <v/>
      </c>
      <c r="K143" s="34" t="e">
        <f>VLOOKUP(A143,LIV!$C:$H,6,0)</f>
        <v>#N/A</v>
      </c>
      <c r="L143" s="34" t="str">
        <f t="shared" ref="L143:L206" si="12">IF(A143&lt;&gt;"","A01","")</f>
        <v/>
      </c>
      <c r="M143" s="34" t="e">
        <f>VLOOKUP(A143,LIV!$C:$R,16,0)</f>
        <v>#N/A</v>
      </c>
      <c r="N143" s="34">
        <f t="shared" ref="N143:N206" si="13">A143</f>
        <v>0</v>
      </c>
      <c r="O143" s="34" t="e">
        <f>TEXT(VLOOKUP(A143,LIV!$C:$M,11,0),"dd.mm.yyyy")</f>
        <v>#N/A</v>
      </c>
      <c r="P143" s="34" t="str">
        <f t="shared" ref="P143:P206" si="14">IF(A143&lt;&gt;"","T","")</f>
        <v/>
      </c>
      <c r="Q143" s="33"/>
    </row>
    <row r="144" spans="1:17" x14ac:dyDescent="0.25">
      <c r="A144" s="34"/>
      <c r="B144" s="34" t="str">
        <f>IF(A144&lt;&gt;"",VLOOKUP(A144,LIV!$C:$AD,28,0),"")</f>
        <v/>
      </c>
      <c r="C144" s="34" t="str">
        <f>IF(A144&lt;&gt;"",_xlfn.XLOOKUP(A144,LIV!$C:$C,LIV!$AD:$AD,,,-1),"")</f>
        <v/>
      </c>
      <c r="D144" s="34" t="e">
        <f>TEXT(VLOOKUP(A144,LIV!$C:$S,17,0),"dd.mm.yyyy")</f>
        <v>#N/A</v>
      </c>
      <c r="E144" s="34" t="e">
        <f>VLOOKUP(A144,LIV!$C:$R,16,0)</f>
        <v>#N/A</v>
      </c>
      <c r="F144" s="34" t="str">
        <f>_xlfn.IFNA(TEXT(_xlfn.XLOOKUP(A144,LIV!$C:$C,LIV!$B:$B),"dd.mm.yyyy"),"")</f>
        <v>00.01.1900</v>
      </c>
      <c r="G144" s="34">
        <f>SUMIF(LIV!$C:$C,Execute!A144,LIV!$Z:$Z)</f>
        <v>0</v>
      </c>
      <c r="H144" s="34" t="e">
        <f>VLOOKUP(A144,LIV!$C:$J,8,0)</f>
        <v>#N/A</v>
      </c>
      <c r="I144" s="34" t="e">
        <f>VLOOKUP(A144,LIV!$C:$G,5,0)</f>
        <v>#N/A</v>
      </c>
      <c r="J144" s="34" t="str">
        <f t="shared" si="11"/>
        <v/>
      </c>
      <c r="K144" s="34" t="e">
        <f>VLOOKUP(A144,LIV!$C:$H,6,0)</f>
        <v>#N/A</v>
      </c>
      <c r="L144" s="34" t="str">
        <f t="shared" si="12"/>
        <v/>
      </c>
      <c r="M144" s="34" t="e">
        <f>VLOOKUP(A144,LIV!$C:$R,16,0)</f>
        <v>#N/A</v>
      </c>
      <c r="N144" s="34">
        <f t="shared" si="13"/>
        <v>0</v>
      </c>
      <c r="O144" s="34" t="e">
        <f>TEXT(VLOOKUP(A144,LIV!$C:$M,11,0),"dd.mm.yyyy")</f>
        <v>#N/A</v>
      </c>
      <c r="P144" s="34" t="str">
        <f t="shared" si="14"/>
        <v/>
      </c>
      <c r="Q144" s="33"/>
    </row>
    <row r="145" spans="1:17" x14ac:dyDescent="0.25">
      <c r="A145" s="34"/>
      <c r="B145" s="34" t="str">
        <f>IF(A145&lt;&gt;"",VLOOKUP(A145,LIV!$C:$AD,28,0),"")</f>
        <v/>
      </c>
      <c r="C145" s="34" t="str">
        <f>IF(A145&lt;&gt;"",_xlfn.XLOOKUP(A145,LIV!$C:$C,LIV!$AD:$AD,,,-1),"")</f>
        <v/>
      </c>
      <c r="D145" s="34" t="e">
        <f>TEXT(VLOOKUP(A145,LIV!$C:$S,17,0),"dd.mm.yyyy")</f>
        <v>#N/A</v>
      </c>
      <c r="E145" s="34" t="e">
        <f>VLOOKUP(A145,LIV!$C:$R,16,0)</f>
        <v>#N/A</v>
      </c>
      <c r="F145" s="34" t="str">
        <f>_xlfn.IFNA(TEXT(_xlfn.XLOOKUP(A145,LIV!$C:$C,LIV!$B:$B),"dd.mm.yyyy"),"")</f>
        <v>00.01.1900</v>
      </c>
      <c r="G145" s="34">
        <f>SUMIF(LIV!$C:$C,Execute!A145,LIV!$Z:$Z)</f>
        <v>0</v>
      </c>
      <c r="H145" s="34" t="e">
        <f>VLOOKUP(A145,LIV!$C:$J,8,0)</f>
        <v>#N/A</v>
      </c>
      <c r="I145" s="34" t="e">
        <f>VLOOKUP(A145,LIV!$C:$G,5,0)</f>
        <v>#N/A</v>
      </c>
      <c r="J145" s="34" t="str">
        <f t="shared" si="11"/>
        <v/>
      </c>
      <c r="K145" s="34" t="e">
        <f>VLOOKUP(A145,LIV!$C:$H,6,0)</f>
        <v>#N/A</v>
      </c>
      <c r="L145" s="34" t="str">
        <f t="shared" si="12"/>
        <v/>
      </c>
      <c r="M145" s="34" t="e">
        <f>VLOOKUP(A145,LIV!$C:$R,16,0)</f>
        <v>#N/A</v>
      </c>
      <c r="N145" s="34">
        <f t="shared" si="13"/>
        <v>0</v>
      </c>
      <c r="O145" s="34" t="e">
        <f>TEXT(VLOOKUP(A145,LIV!$C:$M,11,0),"dd.mm.yyyy")</f>
        <v>#N/A</v>
      </c>
      <c r="P145" s="34" t="str">
        <f t="shared" si="14"/>
        <v/>
      </c>
      <c r="Q145" s="33"/>
    </row>
    <row r="146" spans="1:17" x14ac:dyDescent="0.25">
      <c r="A146" s="34"/>
      <c r="B146" s="34" t="str">
        <f>IF(A146&lt;&gt;"",VLOOKUP(A146,LIV!$C:$AD,28,0),"")</f>
        <v/>
      </c>
      <c r="C146" s="34" t="str">
        <f>IF(A146&lt;&gt;"",_xlfn.XLOOKUP(A146,LIV!$C:$C,LIV!$AD:$AD,,,-1),"")</f>
        <v/>
      </c>
      <c r="D146" s="34" t="e">
        <f>TEXT(VLOOKUP(A146,LIV!$C:$S,17,0),"dd.mm.yyyy")</f>
        <v>#N/A</v>
      </c>
      <c r="E146" s="34" t="e">
        <f>VLOOKUP(A146,LIV!$C:$R,16,0)</f>
        <v>#N/A</v>
      </c>
      <c r="F146" s="34" t="str">
        <f>_xlfn.IFNA(TEXT(_xlfn.XLOOKUP(A146,LIV!$C:$C,LIV!$B:$B),"dd.mm.yyyy"),"")</f>
        <v>00.01.1900</v>
      </c>
      <c r="G146" s="34">
        <f>SUMIF(LIV!$C:$C,Execute!A146,LIV!$Z:$Z)</f>
        <v>0</v>
      </c>
      <c r="H146" s="34" t="e">
        <f>VLOOKUP(A146,LIV!$C:$J,8,0)</f>
        <v>#N/A</v>
      </c>
      <c r="I146" s="34" t="e">
        <f>VLOOKUP(A146,LIV!$C:$G,5,0)</f>
        <v>#N/A</v>
      </c>
      <c r="J146" s="34" t="str">
        <f t="shared" si="11"/>
        <v/>
      </c>
      <c r="K146" s="34" t="e">
        <f>VLOOKUP(A146,LIV!$C:$H,6,0)</f>
        <v>#N/A</v>
      </c>
      <c r="L146" s="34" t="str">
        <f t="shared" si="12"/>
        <v/>
      </c>
      <c r="M146" s="34" t="e">
        <f>VLOOKUP(A146,LIV!$C:$R,16,0)</f>
        <v>#N/A</v>
      </c>
      <c r="N146" s="34">
        <f t="shared" si="13"/>
        <v>0</v>
      </c>
      <c r="O146" s="34" t="e">
        <f>TEXT(VLOOKUP(A146,LIV!$C:$M,11,0),"dd.mm.yyyy")</f>
        <v>#N/A</v>
      </c>
      <c r="P146" s="34" t="str">
        <f t="shared" si="14"/>
        <v/>
      </c>
      <c r="Q146" s="33"/>
    </row>
    <row r="147" spans="1:17" x14ac:dyDescent="0.25">
      <c r="A147" s="34"/>
      <c r="B147" s="34" t="str">
        <f>IF(A147&lt;&gt;"",VLOOKUP(A147,LIV!$C:$AD,28,0),"")</f>
        <v/>
      </c>
      <c r="C147" s="34" t="str">
        <f>IF(A147&lt;&gt;"",_xlfn.XLOOKUP(A147,LIV!$C:$C,LIV!$AD:$AD,,,-1),"")</f>
        <v/>
      </c>
      <c r="D147" s="34" t="e">
        <f>TEXT(VLOOKUP(A147,LIV!$C:$S,17,0),"dd.mm.yyyy")</f>
        <v>#N/A</v>
      </c>
      <c r="E147" s="34" t="e">
        <f>VLOOKUP(A147,LIV!$C:$R,16,0)</f>
        <v>#N/A</v>
      </c>
      <c r="F147" s="34" t="str">
        <f>_xlfn.IFNA(TEXT(_xlfn.XLOOKUP(A147,LIV!$C:$C,LIV!$B:$B),"dd.mm.yyyy"),"")</f>
        <v>00.01.1900</v>
      </c>
      <c r="G147" s="34">
        <f>SUMIF(LIV!$C:$C,Execute!A147,LIV!$Z:$Z)</f>
        <v>0</v>
      </c>
      <c r="H147" s="34" t="e">
        <f>VLOOKUP(A147,LIV!$C:$J,8,0)</f>
        <v>#N/A</v>
      </c>
      <c r="I147" s="34" t="e">
        <f>VLOOKUP(A147,LIV!$C:$G,5,0)</f>
        <v>#N/A</v>
      </c>
      <c r="J147" s="34" t="str">
        <f t="shared" si="11"/>
        <v/>
      </c>
      <c r="K147" s="34" t="e">
        <f>VLOOKUP(A147,LIV!$C:$H,6,0)</f>
        <v>#N/A</v>
      </c>
      <c r="L147" s="34" t="str">
        <f t="shared" si="12"/>
        <v/>
      </c>
      <c r="M147" s="34" t="e">
        <f>VLOOKUP(A147,LIV!$C:$R,16,0)</f>
        <v>#N/A</v>
      </c>
      <c r="N147" s="34">
        <f t="shared" si="13"/>
        <v>0</v>
      </c>
      <c r="O147" s="34" t="e">
        <f>TEXT(VLOOKUP(A147,LIV!$C:$M,11,0),"dd.mm.yyyy")</f>
        <v>#N/A</v>
      </c>
      <c r="P147" s="34" t="str">
        <f t="shared" si="14"/>
        <v/>
      </c>
      <c r="Q147" s="33"/>
    </row>
    <row r="148" spans="1:17" x14ac:dyDescent="0.25">
      <c r="A148" s="34"/>
      <c r="B148" s="34" t="str">
        <f>IF(A148&lt;&gt;"",VLOOKUP(A148,LIV!$C:$AD,28,0),"")</f>
        <v/>
      </c>
      <c r="C148" s="34" t="str">
        <f>IF(A148&lt;&gt;"",_xlfn.XLOOKUP(A148,LIV!$C:$C,LIV!$AD:$AD,,,-1),"")</f>
        <v/>
      </c>
      <c r="D148" s="34" t="e">
        <f>TEXT(VLOOKUP(A148,LIV!$C:$S,17,0),"dd.mm.yyyy")</f>
        <v>#N/A</v>
      </c>
      <c r="E148" s="34" t="e">
        <f>VLOOKUP(A148,LIV!$C:$R,16,0)</f>
        <v>#N/A</v>
      </c>
      <c r="F148" s="34" t="str">
        <f>_xlfn.IFNA(TEXT(_xlfn.XLOOKUP(A148,LIV!$C:$C,LIV!$B:$B),"dd.mm.yyyy"),"")</f>
        <v>00.01.1900</v>
      </c>
      <c r="G148" s="34">
        <f>SUMIF(LIV!$C:$C,Execute!A148,LIV!$Z:$Z)</f>
        <v>0</v>
      </c>
      <c r="H148" s="34" t="e">
        <f>VLOOKUP(A148,LIV!$C:$J,8,0)</f>
        <v>#N/A</v>
      </c>
      <c r="I148" s="34" t="e">
        <f>VLOOKUP(A148,LIV!$C:$G,5,0)</f>
        <v>#N/A</v>
      </c>
      <c r="J148" s="34" t="str">
        <f t="shared" si="11"/>
        <v/>
      </c>
      <c r="K148" s="34" t="e">
        <f>VLOOKUP(A148,LIV!$C:$H,6,0)</f>
        <v>#N/A</v>
      </c>
      <c r="L148" s="34" t="str">
        <f t="shared" si="12"/>
        <v/>
      </c>
      <c r="M148" s="34" t="e">
        <f>VLOOKUP(A148,LIV!$C:$R,16,0)</f>
        <v>#N/A</v>
      </c>
      <c r="N148" s="34">
        <f t="shared" si="13"/>
        <v>0</v>
      </c>
      <c r="O148" s="34" t="e">
        <f>TEXT(VLOOKUP(A148,LIV!$C:$M,11,0),"dd.mm.yyyy")</f>
        <v>#N/A</v>
      </c>
      <c r="P148" s="34" t="str">
        <f t="shared" si="14"/>
        <v/>
      </c>
      <c r="Q148" s="33"/>
    </row>
    <row r="149" spans="1:17" x14ac:dyDescent="0.25">
      <c r="A149" s="34"/>
      <c r="B149" s="34" t="str">
        <f>IF(A149&lt;&gt;"",VLOOKUP(A149,LIV!$C:$AD,28,0),"")</f>
        <v/>
      </c>
      <c r="C149" s="34" t="str">
        <f>IF(A149&lt;&gt;"",_xlfn.XLOOKUP(A149,LIV!$C:$C,LIV!$AD:$AD,,,-1),"")</f>
        <v/>
      </c>
      <c r="D149" s="34" t="e">
        <f>TEXT(VLOOKUP(A149,LIV!$C:$S,17,0),"dd.mm.yyyy")</f>
        <v>#N/A</v>
      </c>
      <c r="E149" s="34" t="e">
        <f>VLOOKUP(A149,LIV!$C:$R,16,0)</f>
        <v>#N/A</v>
      </c>
      <c r="F149" s="34" t="str">
        <f>_xlfn.IFNA(TEXT(_xlfn.XLOOKUP(A149,LIV!$C:$C,LIV!$B:$B),"dd.mm.yyyy"),"")</f>
        <v>00.01.1900</v>
      </c>
      <c r="G149" s="34">
        <f>SUMIF(LIV!$C:$C,Execute!A149,LIV!$Z:$Z)</f>
        <v>0</v>
      </c>
      <c r="H149" s="34" t="e">
        <f>VLOOKUP(A149,LIV!$C:$J,8,0)</f>
        <v>#N/A</v>
      </c>
      <c r="I149" s="34" t="e">
        <f>VLOOKUP(A149,LIV!$C:$G,5,0)</f>
        <v>#N/A</v>
      </c>
      <c r="J149" s="34" t="str">
        <f t="shared" si="11"/>
        <v/>
      </c>
      <c r="K149" s="34" t="e">
        <f>VLOOKUP(A149,LIV!$C:$H,6,0)</f>
        <v>#N/A</v>
      </c>
      <c r="L149" s="34" t="str">
        <f t="shared" si="12"/>
        <v/>
      </c>
      <c r="M149" s="34" t="e">
        <f>VLOOKUP(A149,LIV!$C:$R,16,0)</f>
        <v>#N/A</v>
      </c>
      <c r="N149" s="34">
        <f t="shared" si="13"/>
        <v>0</v>
      </c>
      <c r="O149" s="34" t="e">
        <f>TEXT(VLOOKUP(A149,LIV!$C:$M,11,0),"dd.mm.yyyy")</f>
        <v>#N/A</v>
      </c>
      <c r="P149" s="34" t="str">
        <f t="shared" si="14"/>
        <v/>
      </c>
      <c r="Q149" s="33"/>
    </row>
    <row r="150" spans="1:17" x14ac:dyDescent="0.25">
      <c r="A150" s="34"/>
      <c r="B150" s="34" t="str">
        <f>IF(A150&lt;&gt;"",VLOOKUP(A150,LIV!$C:$AD,28,0),"")</f>
        <v/>
      </c>
      <c r="C150" s="34" t="str">
        <f>IF(A150&lt;&gt;"",_xlfn.XLOOKUP(A150,LIV!$C:$C,LIV!$AD:$AD,,,-1),"")</f>
        <v/>
      </c>
      <c r="D150" s="34" t="e">
        <f>TEXT(VLOOKUP(A150,LIV!$C:$S,17,0),"dd.mm.yyyy")</f>
        <v>#N/A</v>
      </c>
      <c r="E150" s="34" t="e">
        <f>VLOOKUP(A150,LIV!$C:$R,16,0)</f>
        <v>#N/A</v>
      </c>
      <c r="F150" s="34" t="str">
        <f>_xlfn.IFNA(TEXT(_xlfn.XLOOKUP(A150,LIV!$C:$C,LIV!$B:$B),"dd.mm.yyyy"),"")</f>
        <v>00.01.1900</v>
      </c>
      <c r="G150" s="34">
        <f>SUMIF(LIV!$C:$C,Execute!A150,LIV!$Z:$Z)</f>
        <v>0</v>
      </c>
      <c r="H150" s="34" t="e">
        <f>VLOOKUP(A150,LIV!$C:$J,8,0)</f>
        <v>#N/A</v>
      </c>
      <c r="I150" s="34" t="e">
        <f>VLOOKUP(A150,LIV!$C:$G,5,0)</f>
        <v>#N/A</v>
      </c>
      <c r="J150" s="34" t="str">
        <f t="shared" si="11"/>
        <v/>
      </c>
      <c r="K150" s="34" t="e">
        <f>VLOOKUP(A150,LIV!$C:$H,6,0)</f>
        <v>#N/A</v>
      </c>
      <c r="L150" s="34" t="str">
        <f t="shared" si="12"/>
        <v/>
      </c>
      <c r="M150" s="34" t="e">
        <f>VLOOKUP(A150,LIV!$C:$R,16,0)</f>
        <v>#N/A</v>
      </c>
      <c r="N150" s="34">
        <f t="shared" si="13"/>
        <v>0</v>
      </c>
      <c r="O150" s="34" t="e">
        <f>TEXT(VLOOKUP(A150,LIV!$C:$M,11,0),"dd.mm.yyyy")</f>
        <v>#N/A</v>
      </c>
      <c r="P150" s="34" t="str">
        <f t="shared" si="14"/>
        <v/>
      </c>
      <c r="Q150" s="33"/>
    </row>
    <row r="151" spans="1:17" x14ac:dyDescent="0.25">
      <c r="A151" s="34"/>
      <c r="B151" s="34" t="str">
        <f>IF(A151&lt;&gt;"",VLOOKUP(A151,LIV!$C:$AD,28,0),"")</f>
        <v/>
      </c>
      <c r="C151" s="34" t="str">
        <f>IF(A151&lt;&gt;"",_xlfn.XLOOKUP(A151,LIV!$C:$C,LIV!$AD:$AD,,,-1),"")</f>
        <v/>
      </c>
      <c r="D151" s="34" t="e">
        <f>TEXT(VLOOKUP(A151,LIV!$C:$S,17,0),"dd.mm.yyyy")</f>
        <v>#N/A</v>
      </c>
      <c r="E151" s="34" t="e">
        <f>VLOOKUP(A151,LIV!$C:$R,16,0)</f>
        <v>#N/A</v>
      </c>
      <c r="F151" s="34" t="str">
        <f>_xlfn.IFNA(TEXT(_xlfn.XLOOKUP(A151,LIV!$C:$C,LIV!$B:$B),"dd.mm.yyyy"),"")</f>
        <v>00.01.1900</v>
      </c>
      <c r="G151" s="34">
        <f>SUMIF(LIV!$C:$C,Execute!A151,LIV!$Z:$Z)</f>
        <v>0</v>
      </c>
      <c r="H151" s="34" t="e">
        <f>VLOOKUP(A151,LIV!$C:$J,8,0)</f>
        <v>#N/A</v>
      </c>
      <c r="I151" s="34" t="e">
        <f>VLOOKUP(A151,LIV!$C:$G,5,0)</f>
        <v>#N/A</v>
      </c>
      <c r="J151" s="34" t="str">
        <f t="shared" si="11"/>
        <v/>
      </c>
      <c r="K151" s="34" t="e">
        <f>VLOOKUP(A151,LIV!$C:$H,6,0)</f>
        <v>#N/A</v>
      </c>
      <c r="L151" s="34" t="str">
        <f t="shared" si="12"/>
        <v/>
      </c>
      <c r="M151" s="34" t="e">
        <f>VLOOKUP(A151,LIV!$C:$R,16,0)</f>
        <v>#N/A</v>
      </c>
      <c r="N151" s="34">
        <f t="shared" si="13"/>
        <v>0</v>
      </c>
      <c r="O151" s="34" t="e">
        <f>TEXT(VLOOKUP(A151,LIV!$C:$M,11,0),"dd.mm.yyyy")</f>
        <v>#N/A</v>
      </c>
      <c r="P151" s="34" t="str">
        <f t="shared" si="14"/>
        <v/>
      </c>
      <c r="Q151" s="33"/>
    </row>
    <row r="152" spans="1:17" x14ac:dyDescent="0.25">
      <c r="A152" s="34"/>
      <c r="B152" s="34" t="str">
        <f>IF(A152&lt;&gt;"",VLOOKUP(A152,LIV!$C:$AD,28,0),"")</f>
        <v/>
      </c>
      <c r="C152" s="34" t="str">
        <f>IF(A152&lt;&gt;"",_xlfn.XLOOKUP(A152,LIV!$C:$C,LIV!$AD:$AD,,,-1),"")</f>
        <v/>
      </c>
      <c r="D152" s="34" t="e">
        <f>TEXT(VLOOKUP(A152,LIV!$C:$S,17,0),"dd.mm.yyyy")</f>
        <v>#N/A</v>
      </c>
      <c r="E152" s="34" t="e">
        <f>VLOOKUP(A152,LIV!$C:$R,16,0)</f>
        <v>#N/A</v>
      </c>
      <c r="F152" s="34" t="str">
        <f>_xlfn.IFNA(TEXT(_xlfn.XLOOKUP(A152,LIV!$C:$C,LIV!$B:$B),"dd.mm.yyyy"),"")</f>
        <v>00.01.1900</v>
      </c>
      <c r="G152" s="34">
        <f>SUMIF(LIV!$C:$C,Execute!A152,LIV!$Z:$Z)</f>
        <v>0</v>
      </c>
      <c r="H152" s="34" t="e">
        <f>VLOOKUP(A152,LIV!$C:$J,8,0)</f>
        <v>#N/A</v>
      </c>
      <c r="I152" s="34" t="e">
        <f>VLOOKUP(A152,LIV!$C:$G,5,0)</f>
        <v>#N/A</v>
      </c>
      <c r="J152" s="34" t="str">
        <f t="shared" si="11"/>
        <v/>
      </c>
      <c r="K152" s="34" t="e">
        <f>VLOOKUP(A152,LIV!$C:$H,6,0)</f>
        <v>#N/A</v>
      </c>
      <c r="L152" s="34" t="str">
        <f t="shared" si="12"/>
        <v/>
      </c>
      <c r="M152" s="34" t="e">
        <f>VLOOKUP(A152,LIV!$C:$R,16,0)</f>
        <v>#N/A</v>
      </c>
      <c r="N152" s="34">
        <f t="shared" si="13"/>
        <v>0</v>
      </c>
      <c r="O152" s="34" t="e">
        <f>TEXT(VLOOKUP(A152,LIV!$C:$M,11,0),"dd.mm.yyyy")</f>
        <v>#N/A</v>
      </c>
      <c r="P152" s="34" t="str">
        <f t="shared" si="14"/>
        <v/>
      </c>
      <c r="Q152" s="33"/>
    </row>
    <row r="153" spans="1:17" x14ac:dyDescent="0.25">
      <c r="A153" s="34"/>
      <c r="B153" s="34" t="str">
        <f>IF(A153&lt;&gt;"",VLOOKUP(A153,LIV!$C:$AD,28,0),"")</f>
        <v/>
      </c>
      <c r="C153" s="34" t="str">
        <f>IF(A153&lt;&gt;"",_xlfn.XLOOKUP(A153,LIV!$C:$C,LIV!$AD:$AD,,,-1),"")</f>
        <v/>
      </c>
      <c r="D153" s="34" t="e">
        <f>TEXT(VLOOKUP(A153,LIV!$C:$S,17,0),"dd.mm.yyyy")</f>
        <v>#N/A</v>
      </c>
      <c r="E153" s="34" t="e">
        <f>VLOOKUP(A153,LIV!$C:$R,16,0)</f>
        <v>#N/A</v>
      </c>
      <c r="F153" s="34" t="str">
        <f>_xlfn.IFNA(TEXT(_xlfn.XLOOKUP(A153,LIV!$C:$C,LIV!$B:$B),"dd.mm.yyyy"),"")</f>
        <v>00.01.1900</v>
      </c>
      <c r="G153" s="34">
        <f>SUMIF(LIV!$C:$C,Execute!A153,LIV!$Z:$Z)</f>
        <v>0</v>
      </c>
      <c r="H153" s="34" t="e">
        <f>VLOOKUP(A153,LIV!$C:$J,8,0)</f>
        <v>#N/A</v>
      </c>
      <c r="I153" s="34" t="e">
        <f>VLOOKUP(A153,LIV!$C:$G,5,0)</f>
        <v>#N/A</v>
      </c>
      <c r="J153" s="34" t="str">
        <f t="shared" si="11"/>
        <v/>
      </c>
      <c r="K153" s="34" t="e">
        <f>VLOOKUP(A153,LIV!$C:$H,6,0)</f>
        <v>#N/A</v>
      </c>
      <c r="L153" s="34" t="str">
        <f t="shared" si="12"/>
        <v/>
      </c>
      <c r="M153" s="34" t="e">
        <f>VLOOKUP(A153,LIV!$C:$R,16,0)</f>
        <v>#N/A</v>
      </c>
      <c r="N153" s="34">
        <f t="shared" si="13"/>
        <v>0</v>
      </c>
      <c r="O153" s="34" t="e">
        <f>TEXT(VLOOKUP(A153,LIV!$C:$M,11,0),"dd.mm.yyyy")</f>
        <v>#N/A</v>
      </c>
      <c r="P153" s="34" t="str">
        <f t="shared" si="14"/>
        <v/>
      </c>
      <c r="Q153" s="33"/>
    </row>
    <row r="154" spans="1:17" x14ac:dyDescent="0.25">
      <c r="A154" s="34"/>
      <c r="B154" s="34" t="str">
        <f>IF(A154&lt;&gt;"",VLOOKUP(A154,LIV!$C:$AD,28,0),"")</f>
        <v/>
      </c>
      <c r="C154" s="34" t="str">
        <f>IF(A154&lt;&gt;"",_xlfn.XLOOKUP(A154,LIV!$C:$C,LIV!$AD:$AD,,,-1),"")</f>
        <v/>
      </c>
      <c r="D154" s="34" t="e">
        <f>TEXT(VLOOKUP(A154,LIV!$C:$S,17,0),"dd.mm.yyyy")</f>
        <v>#N/A</v>
      </c>
      <c r="E154" s="34" t="e">
        <f>VLOOKUP(A154,LIV!$C:$R,16,0)</f>
        <v>#N/A</v>
      </c>
      <c r="F154" s="34" t="str">
        <f>_xlfn.IFNA(TEXT(_xlfn.XLOOKUP(A154,LIV!$C:$C,LIV!$B:$B),"dd.mm.yyyy"),"")</f>
        <v>00.01.1900</v>
      </c>
      <c r="G154" s="34">
        <f>SUMIF(LIV!$C:$C,Execute!A154,LIV!$Z:$Z)</f>
        <v>0</v>
      </c>
      <c r="H154" s="34" t="e">
        <f>VLOOKUP(A154,LIV!$C:$J,8,0)</f>
        <v>#N/A</v>
      </c>
      <c r="I154" s="34" t="e">
        <f>VLOOKUP(A154,LIV!$C:$G,5,0)</f>
        <v>#N/A</v>
      </c>
      <c r="J154" s="34" t="str">
        <f t="shared" si="11"/>
        <v/>
      </c>
      <c r="K154" s="34" t="e">
        <f>VLOOKUP(A154,LIV!$C:$H,6,0)</f>
        <v>#N/A</v>
      </c>
      <c r="L154" s="34" t="str">
        <f t="shared" si="12"/>
        <v/>
      </c>
      <c r="M154" s="34" t="e">
        <f>VLOOKUP(A154,LIV!$C:$R,16,0)</f>
        <v>#N/A</v>
      </c>
      <c r="N154" s="34">
        <f t="shared" si="13"/>
        <v>0</v>
      </c>
      <c r="O154" s="34" t="e">
        <f>TEXT(VLOOKUP(A154,LIV!$C:$M,11,0),"dd.mm.yyyy")</f>
        <v>#N/A</v>
      </c>
      <c r="P154" s="34" t="str">
        <f t="shared" si="14"/>
        <v/>
      </c>
      <c r="Q154" s="33"/>
    </row>
    <row r="155" spans="1:17" x14ac:dyDescent="0.25">
      <c r="A155" s="34"/>
      <c r="B155" s="34" t="str">
        <f>IF(A155&lt;&gt;"",VLOOKUP(A155,LIV!$C:$AD,28,0),"")</f>
        <v/>
      </c>
      <c r="C155" s="34" t="str">
        <f>IF(A155&lt;&gt;"",_xlfn.XLOOKUP(A155,LIV!$C:$C,LIV!$AD:$AD,,,-1),"")</f>
        <v/>
      </c>
      <c r="D155" s="34" t="e">
        <f>TEXT(VLOOKUP(A155,LIV!$C:$S,17,0),"dd.mm.yyyy")</f>
        <v>#N/A</v>
      </c>
      <c r="E155" s="34" t="e">
        <f>VLOOKUP(A155,LIV!$C:$R,16,0)</f>
        <v>#N/A</v>
      </c>
      <c r="F155" s="34" t="str">
        <f>_xlfn.IFNA(TEXT(_xlfn.XLOOKUP(A155,LIV!$C:$C,LIV!$B:$B),"dd.mm.yyyy"),"")</f>
        <v>00.01.1900</v>
      </c>
      <c r="G155" s="34">
        <f>SUMIF(LIV!$C:$C,Execute!A155,LIV!$Z:$Z)</f>
        <v>0</v>
      </c>
      <c r="H155" s="34" t="e">
        <f>VLOOKUP(A155,LIV!$C:$J,8,0)</f>
        <v>#N/A</v>
      </c>
      <c r="I155" s="34" t="e">
        <f>VLOOKUP(A155,LIV!$C:$G,5,0)</f>
        <v>#N/A</v>
      </c>
      <c r="J155" s="34" t="str">
        <f t="shared" si="11"/>
        <v/>
      </c>
      <c r="K155" s="34" t="e">
        <f>VLOOKUP(A155,LIV!$C:$H,6,0)</f>
        <v>#N/A</v>
      </c>
      <c r="L155" s="34" t="str">
        <f t="shared" si="12"/>
        <v/>
      </c>
      <c r="M155" s="34" t="e">
        <f>VLOOKUP(A155,LIV!$C:$R,16,0)</f>
        <v>#N/A</v>
      </c>
      <c r="N155" s="34">
        <f t="shared" si="13"/>
        <v>0</v>
      </c>
      <c r="O155" s="34" t="e">
        <f>TEXT(VLOOKUP(A155,LIV!$C:$M,11,0),"dd.mm.yyyy")</f>
        <v>#N/A</v>
      </c>
      <c r="P155" s="34" t="str">
        <f t="shared" si="14"/>
        <v/>
      </c>
      <c r="Q155" s="33"/>
    </row>
    <row r="156" spans="1:17" x14ac:dyDescent="0.25">
      <c r="A156" s="34"/>
      <c r="B156" s="34" t="str">
        <f>IF(A156&lt;&gt;"",VLOOKUP(A156,LIV!$C:$AD,28,0),"")</f>
        <v/>
      </c>
      <c r="C156" s="34" t="str">
        <f>IF(A156&lt;&gt;"",_xlfn.XLOOKUP(A156,LIV!$C:$C,LIV!$AD:$AD,,,-1),"")</f>
        <v/>
      </c>
      <c r="D156" s="34" t="e">
        <f>TEXT(VLOOKUP(A156,LIV!$C:$S,17,0),"dd.mm.yyyy")</f>
        <v>#N/A</v>
      </c>
      <c r="E156" s="34" t="e">
        <f>VLOOKUP(A156,LIV!$C:$R,16,0)</f>
        <v>#N/A</v>
      </c>
      <c r="F156" s="34" t="str">
        <f>_xlfn.IFNA(TEXT(_xlfn.XLOOKUP(A156,LIV!$C:$C,LIV!$B:$B),"dd.mm.yyyy"),"")</f>
        <v>00.01.1900</v>
      </c>
      <c r="G156" s="34">
        <f>SUMIF(LIV!$C:$C,Execute!A156,LIV!$Z:$Z)</f>
        <v>0</v>
      </c>
      <c r="H156" s="34" t="e">
        <f>VLOOKUP(A156,LIV!$C:$J,8,0)</f>
        <v>#N/A</v>
      </c>
      <c r="I156" s="34" t="e">
        <f>VLOOKUP(A156,LIV!$C:$G,5,0)</f>
        <v>#N/A</v>
      </c>
      <c r="J156" s="34" t="str">
        <f t="shared" si="11"/>
        <v/>
      </c>
      <c r="K156" s="34" t="e">
        <f>VLOOKUP(A156,LIV!$C:$H,6,0)</f>
        <v>#N/A</v>
      </c>
      <c r="L156" s="34" t="str">
        <f t="shared" si="12"/>
        <v/>
      </c>
      <c r="M156" s="34" t="e">
        <f>VLOOKUP(A156,LIV!$C:$R,16,0)</f>
        <v>#N/A</v>
      </c>
      <c r="N156" s="34">
        <f t="shared" si="13"/>
        <v>0</v>
      </c>
      <c r="O156" s="34" t="e">
        <f>TEXT(VLOOKUP(A156,LIV!$C:$M,11,0),"dd.mm.yyyy")</f>
        <v>#N/A</v>
      </c>
      <c r="P156" s="34" t="str">
        <f t="shared" si="14"/>
        <v/>
      </c>
      <c r="Q156" s="33"/>
    </row>
    <row r="157" spans="1:17" x14ac:dyDescent="0.25">
      <c r="A157" s="34"/>
      <c r="B157" s="34" t="str">
        <f>IF(A157&lt;&gt;"",VLOOKUP(A157,LIV!$C:$AD,28,0),"")</f>
        <v/>
      </c>
      <c r="C157" s="34" t="str">
        <f>IF(A157&lt;&gt;"",_xlfn.XLOOKUP(A157,LIV!$C:$C,LIV!$AD:$AD,,,-1),"")</f>
        <v/>
      </c>
      <c r="D157" s="34" t="e">
        <f>TEXT(VLOOKUP(A157,LIV!$C:$S,17,0),"dd.mm.yyyy")</f>
        <v>#N/A</v>
      </c>
      <c r="E157" s="34" t="e">
        <f>VLOOKUP(A157,LIV!$C:$R,16,0)</f>
        <v>#N/A</v>
      </c>
      <c r="F157" s="34" t="str">
        <f>_xlfn.IFNA(TEXT(_xlfn.XLOOKUP(A157,LIV!$C:$C,LIV!$B:$B),"dd.mm.yyyy"),"")</f>
        <v>00.01.1900</v>
      </c>
      <c r="G157" s="34">
        <f>SUMIF(LIV!$C:$C,Execute!A157,LIV!$Z:$Z)</f>
        <v>0</v>
      </c>
      <c r="H157" s="34" t="e">
        <f>VLOOKUP(A157,LIV!$C:$J,8,0)</f>
        <v>#N/A</v>
      </c>
      <c r="I157" s="34" t="e">
        <f>VLOOKUP(A157,LIV!$C:$G,5,0)</f>
        <v>#N/A</v>
      </c>
      <c r="J157" s="34" t="str">
        <f t="shared" si="11"/>
        <v/>
      </c>
      <c r="K157" s="34" t="e">
        <f>VLOOKUP(A157,LIV!$C:$H,6,0)</f>
        <v>#N/A</v>
      </c>
      <c r="L157" s="34" t="str">
        <f t="shared" si="12"/>
        <v/>
      </c>
      <c r="M157" s="34" t="e">
        <f>VLOOKUP(A157,LIV!$C:$R,16,0)</f>
        <v>#N/A</v>
      </c>
      <c r="N157" s="34">
        <f t="shared" si="13"/>
        <v>0</v>
      </c>
      <c r="O157" s="34" t="e">
        <f>TEXT(VLOOKUP(A157,LIV!$C:$M,11,0),"dd.mm.yyyy")</f>
        <v>#N/A</v>
      </c>
      <c r="P157" s="34" t="str">
        <f t="shared" si="14"/>
        <v/>
      </c>
      <c r="Q157" s="33"/>
    </row>
    <row r="158" spans="1:17" x14ac:dyDescent="0.25">
      <c r="A158" s="34"/>
      <c r="B158" s="34" t="str">
        <f>IF(A158&lt;&gt;"",VLOOKUP(A158,LIV!$C:$AD,28,0),"")</f>
        <v/>
      </c>
      <c r="C158" s="34" t="str">
        <f>IF(A158&lt;&gt;"",_xlfn.XLOOKUP(A158,LIV!$C:$C,LIV!$AD:$AD,,,-1),"")</f>
        <v/>
      </c>
      <c r="D158" s="34" t="e">
        <f>TEXT(VLOOKUP(A158,LIV!$C:$S,17,0),"dd.mm.yyyy")</f>
        <v>#N/A</v>
      </c>
      <c r="E158" s="34" t="e">
        <f>VLOOKUP(A158,LIV!$C:$R,16,0)</f>
        <v>#N/A</v>
      </c>
      <c r="F158" s="34" t="str">
        <f>_xlfn.IFNA(TEXT(_xlfn.XLOOKUP(A158,LIV!$C:$C,LIV!$B:$B),"dd.mm.yyyy"),"")</f>
        <v>00.01.1900</v>
      </c>
      <c r="G158" s="34">
        <f>SUMIF(LIV!$C:$C,Execute!A158,LIV!$Z:$Z)</f>
        <v>0</v>
      </c>
      <c r="H158" s="34" t="e">
        <f>VLOOKUP(A158,LIV!$C:$J,8,0)</f>
        <v>#N/A</v>
      </c>
      <c r="I158" s="34" t="e">
        <f>VLOOKUP(A158,LIV!$C:$G,5,0)</f>
        <v>#N/A</v>
      </c>
      <c r="J158" s="34" t="str">
        <f t="shared" si="11"/>
        <v/>
      </c>
      <c r="K158" s="34" t="e">
        <f>VLOOKUP(A158,LIV!$C:$H,6,0)</f>
        <v>#N/A</v>
      </c>
      <c r="L158" s="34" t="str">
        <f t="shared" si="12"/>
        <v/>
      </c>
      <c r="M158" s="34" t="e">
        <f>VLOOKUP(A158,LIV!$C:$R,16,0)</f>
        <v>#N/A</v>
      </c>
      <c r="N158" s="34">
        <f t="shared" si="13"/>
        <v>0</v>
      </c>
      <c r="O158" s="34" t="e">
        <f>TEXT(VLOOKUP(A158,LIV!$C:$M,11,0),"dd.mm.yyyy")</f>
        <v>#N/A</v>
      </c>
      <c r="P158" s="34" t="str">
        <f t="shared" si="14"/>
        <v/>
      </c>
      <c r="Q158" s="33"/>
    </row>
    <row r="159" spans="1:17" x14ac:dyDescent="0.25">
      <c r="A159" s="34"/>
      <c r="B159" s="34" t="str">
        <f>IF(A159&lt;&gt;"",VLOOKUP(A159,LIV!$C:$AD,28,0),"")</f>
        <v/>
      </c>
      <c r="C159" s="34" t="str">
        <f>IF(A159&lt;&gt;"",_xlfn.XLOOKUP(A159,LIV!$C:$C,LIV!$AD:$AD,,,-1),"")</f>
        <v/>
      </c>
      <c r="D159" s="34" t="e">
        <f>TEXT(VLOOKUP(A159,LIV!$C:$S,17,0),"dd.mm.yyyy")</f>
        <v>#N/A</v>
      </c>
      <c r="E159" s="34" t="e">
        <f>VLOOKUP(A159,LIV!$C:$R,16,0)</f>
        <v>#N/A</v>
      </c>
      <c r="F159" s="34" t="str">
        <f>_xlfn.IFNA(TEXT(_xlfn.XLOOKUP(A159,LIV!$C:$C,LIV!$B:$B),"dd.mm.yyyy"),"")</f>
        <v>00.01.1900</v>
      </c>
      <c r="G159" s="34">
        <f>SUMIF(LIV!$C:$C,Execute!A159,LIV!$Z:$Z)</f>
        <v>0</v>
      </c>
      <c r="H159" s="34" t="e">
        <f>VLOOKUP(A159,LIV!$C:$J,8,0)</f>
        <v>#N/A</v>
      </c>
      <c r="I159" s="34" t="e">
        <f>VLOOKUP(A159,LIV!$C:$G,5,0)</f>
        <v>#N/A</v>
      </c>
      <c r="J159" s="34" t="str">
        <f t="shared" si="11"/>
        <v/>
      </c>
      <c r="K159" s="34" t="e">
        <f>VLOOKUP(A159,LIV!$C:$H,6,0)</f>
        <v>#N/A</v>
      </c>
      <c r="L159" s="34" t="str">
        <f t="shared" si="12"/>
        <v/>
      </c>
      <c r="M159" s="34" t="e">
        <f>VLOOKUP(A159,LIV!$C:$R,16,0)</f>
        <v>#N/A</v>
      </c>
      <c r="N159" s="34">
        <f t="shared" si="13"/>
        <v>0</v>
      </c>
      <c r="O159" s="34" t="e">
        <f>TEXT(VLOOKUP(A159,LIV!$C:$M,11,0),"dd.mm.yyyy")</f>
        <v>#N/A</v>
      </c>
      <c r="P159" s="34" t="str">
        <f t="shared" si="14"/>
        <v/>
      </c>
      <c r="Q159" s="33"/>
    </row>
    <row r="160" spans="1:17" x14ac:dyDescent="0.25">
      <c r="A160" s="34"/>
      <c r="B160" s="34" t="str">
        <f>IF(A160&lt;&gt;"",VLOOKUP(A160,LIV!$C:$AD,28,0),"")</f>
        <v/>
      </c>
      <c r="C160" s="34" t="str">
        <f>IF(A160&lt;&gt;"",_xlfn.XLOOKUP(A160,LIV!$C:$C,LIV!$AD:$AD,,,-1),"")</f>
        <v/>
      </c>
      <c r="D160" s="34" t="e">
        <f>TEXT(VLOOKUP(A160,LIV!$C:$S,17,0),"dd.mm.yyyy")</f>
        <v>#N/A</v>
      </c>
      <c r="E160" s="34" t="e">
        <f>VLOOKUP(A160,LIV!$C:$R,16,0)</f>
        <v>#N/A</v>
      </c>
      <c r="F160" s="34" t="str">
        <f>_xlfn.IFNA(TEXT(_xlfn.XLOOKUP(A160,LIV!$C:$C,LIV!$B:$B),"dd.mm.yyyy"),"")</f>
        <v>00.01.1900</v>
      </c>
      <c r="G160" s="34">
        <f>SUMIF(LIV!$C:$C,Execute!A160,LIV!$Z:$Z)</f>
        <v>0</v>
      </c>
      <c r="H160" s="34" t="e">
        <f>VLOOKUP(A160,LIV!$C:$J,8,0)</f>
        <v>#N/A</v>
      </c>
      <c r="I160" s="34" t="e">
        <f>VLOOKUP(A160,LIV!$C:$G,5,0)</f>
        <v>#N/A</v>
      </c>
      <c r="J160" s="34" t="str">
        <f t="shared" si="11"/>
        <v/>
      </c>
      <c r="K160" s="34" t="e">
        <f>VLOOKUP(A160,LIV!$C:$H,6,0)</f>
        <v>#N/A</v>
      </c>
      <c r="L160" s="34" t="str">
        <f t="shared" si="12"/>
        <v/>
      </c>
      <c r="M160" s="34" t="e">
        <f>VLOOKUP(A160,LIV!$C:$R,16,0)</f>
        <v>#N/A</v>
      </c>
      <c r="N160" s="34">
        <f t="shared" si="13"/>
        <v>0</v>
      </c>
      <c r="O160" s="34" t="e">
        <f>TEXT(VLOOKUP(A160,LIV!$C:$M,11,0),"dd.mm.yyyy")</f>
        <v>#N/A</v>
      </c>
      <c r="P160" s="34" t="str">
        <f t="shared" si="14"/>
        <v/>
      </c>
      <c r="Q160" s="33"/>
    </row>
    <row r="161" spans="1:17" x14ac:dyDescent="0.25">
      <c r="A161" s="34"/>
      <c r="B161" s="34" t="str">
        <f>IF(A161&lt;&gt;"",VLOOKUP(A161,LIV!$C:$AD,28,0),"")</f>
        <v/>
      </c>
      <c r="C161" s="34" t="str">
        <f>IF(A161&lt;&gt;"",_xlfn.XLOOKUP(A161,LIV!$C:$C,LIV!$AD:$AD,,,-1),"")</f>
        <v/>
      </c>
      <c r="D161" s="34" t="e">
        <f>TEXT(VLOOKUP(A161,LIV!$C:$S,17,0),"dd.mm.yyyy")</f>
        <v>#N/A</v>
      </c>
      <c r="E161" s="34" t="e">
        <f>VLOOKUP(A161,LIV!$C:$R,16,0)</f>
        <v>#N/A</v>
      </c>
      <c r="F161" s="34" t="str">
        <f>_xlfn.IFNA(TEXT(_xlfn.XLOOKUP(A161,LIV!$C:$C,LIV!$B:$B),"dd.mm.yyyy"),"")</f>
        <v>00.01.1900</v>
      </c>
      <c r="G161" s="34">
        <f>SUMIF(LIV!$C:$C,Execute!A161,LIV!$Z:$Z)</f>
        <v>0</v>
      </c>
      <c r="H161" s="34" t="e">
        <f>VLOOKUP(A161,LIV!$C:$J,8,0)</f>
        <v>#N/A</v>
      </c>
      <c r="I161" s="34" t="e">
        <f>VLOOKUP(A161,LIV!$C:$G,5,0)</f>
        <v>#N/A</v>
      </c>
      <c r="J161" s="34" t="str">
        <f t="shared" si="11"/>
        <v/>
      </c>
      <c r="K161" s="34" t="e">
        <f>VLOOKUP(A161,LIV!$C:$H,6,0)</f>
        <v>#N/A</v>
      </c>
      <c r="L161" s="34" t="str">
        <f t="shared" si="12"/>
        <v/>
      </c>
      <c r="M161" s="34" t="e">
        <f>VLOOKUP(A161,LIV!$C:$R,16,0)</f>
        <v>#N/A</v>
      </c>
      <c r="N161" s="34">
        <f t="shared" si="13"/>
        <v>0</v>
      </c>
      <c r="O161" s="34" t="e">
        <f>TEXT(VLOOKUP(A161,LIV!$C:$M,11,0),"dd.mm.yyyy")</f>
        <v>#N/A</v>
      </c>
      <c r="P161" s="34" t="str">
        <f t="shared" si="14"/>
        <v/>
      </c>
      <c r="Q161" s="33"/>
    </row>
    <row r="162" spans="1:17" x14ac:dyDescent="0.25">
      <c r="A162" s="34"/>
      <c r="B162" s="34" t="str">
        <f>IF(A162&lt;&gt;"",VLOOKUP(A162,LIV!$C:$AD,28,0),"")</f>
        <v/>
      </c>
      <c r="C162" s="34" t="str">
        <f>IF(A162&lt;&gt;"",_xlfn.XLOOKUP(A162,LIV!$C:$C,LIV!$AD:$AD,,,-1),"")</f>
        <v/>
      </c>
      <c r="D162" s="34" t="e">
        <f>TEXT(VLOOKUP(A162,LIV!$C:$S,17,0),"dd.mm.yyyy")</f>
        <v>#N/A</v>
      </c>
      <c r="E162" s="34" t="e">
        <f>VLOOKUP(A162,LIV!$C:$R,16,0)</f>
        <v>#N/A</v>
      </c>
      <c r="F162" s="34" t="str">
        <f>_xlfn.IFNA(TEXT(_xlfn.XLOOKUP(A162,LIV!$C:$C,LIV!$B:$B),"dd.mm.yyyy"),"")</f>
        <v>00.01.1900</v>
      </c>
      <c r="G162" s="34">
        <f>SUMIF(LIV!$C:$C,Execute!A162,LIV!$Z:$Z)</f>
        <v>0</v>
      </c>
      <c r="H162" s="34" t="e">
        <f>VLOOKUP(A162,LIV!$C:$J,8,0)</f>
        <v>#N/A</v>
      </c>
      <c r="I162" s="34" t="e">
        <f>VLOOKUP(A162,LIV!$C:$G,5,0)</f>
        <v>#N/A</v>
      </c>
      <c r="J162" s="34" t="str">
        <f t="shared" si="11"/>
        <v/>
      </c>
      <c r="K162" s="34" t="e">
        <f>VLOOKUP(A162,LIV!$C:$H,6,0)</f>
        <v>#N/A</v>
      </c>
      <c r="L162" s="34" t="str">
        <f t="shared" si="12"/>
        <v/>
      </c>
      <c r="M162" s="34" t="e">
        <f>VLOOKUP(A162,LIV!$C:$R,16,0)</f>
        <v>#N/A</v>
      </c>
      <c r="N162" s="34">
        <f t="shared" si="13"/>
        <v>0</v>
      </c>
      <c r="O162" s="34" t="e">
        <f>TEXT(VLOOKUP(A162,LIV!$C:$M,11,0),"dd.mm.yyyy")</f>
        <v>#N/A</v>
      </c>
      <c r="P162" s="34" t="str">
        <f t="shared" si="14"/>
        <v/>
      </c>
      <c r="Q162" s="33"/>
    </row>
    <row r="163" spans="1:17" x14ac:dyDescent="0.25">
      <c r="A163" s="34"/>
      <c r="B163" s="34" t="str">
        <f>IF(A163&lt;&gt;"",VLOOKUP(A163,LIV!$C:$AD,28,0),"")</f>
        <v/>
      </c>
      <c r="C163" s="34" t="str">
        <f>IF(A163&lt;&gt;"",_xlfn.XLOOKUP(A163,LIV!$C:$C,LIV!$AD:$AD,,,-1),"")</f>
        <v/>
      </c>
      <c r="D163" s="34" t="e">
        <f>TEXT(VLOOKUP(A163,LIV!$C:$S,17,0),"dd.mm.yyyy")</f>
        <v>#N/A</v>
      </c>
      <c r="E163" s="34" t="e">
        <f>VLOOKUP(A163,LIV!$C:$R,16,0)</f>
        <v>#N/A</v>
      </c>
      <c r="F163" s="34" t="str">
        <f>_xlfn.IFNA(TEXT(_xlfn.XLOOKUP(A163,LIV!$C:$C,LIV!$B:$B),"dd.mm.yyyy"),"")</f>
        <v>00.01.1900</v>
      </c>
      <c r="G163" s="34">
        <f>SUMIF(LIV!$C:$C,Execute!A163,LIV!$Z:$Z)</f>
        <v>0</v>
      </c>
      <c r="H163" s="34" t="e">
        <f>VLOOKUP(A163,LIV!$C:$J,8,0)</f>
        <v>#N/A</v>
      </c>
      <c r="I163" s="34" t="e">
        <f>VLOOKUP(A163,LIV!$C:$G,5,0)</f>
        <v>#N/A</v>
      </c>
      <c r="J163" s="34" t="str">
        <f t="shared" si="11"/>
        <v/>
      </c>
      <c r="K163" s="34" t="e">
        <f>VLOOKUP(A163,LIV!$C:$H,6,0)</f>
        <v>#N/A</v>
      </c>
      <c r="L163" s="34" t="str">
        <f t="shared" si="12"/>
        <v/>
      </c>
      <c r="M163" s="34" t="e">
        <f>VLOOKUP(A163,LIV!$C:$R,16,0)</f>
        <v>#N/A</v>
      </c>
      <c r="N163" s="34">
        <f t="shared" si="13"/>
        <v>0</v>
      </c>
      <c r="O163" s="34" t="e">
        <f>TEXT(VLOOKUP(A163,LIV!$C:$M,11,0),"dd.mm.yyyy")</f>
        <v>#N/A</v>
      </c>
      <c r="P163" s="34" t="str">
        <f t="shared" si="14"/>
        <v/>
      </c>
      <c r="Q163" s="33"/>
    </row>
    <row r="164" spans="1:17" x14ac:dyDescent="0.25">
      <c r="A164" s="34"/>
      <c r="B164" s="34" t="str">
        <f>IF(A164&lt;&gt;"",VLOOKUP(A164,LIV!$C:$AD,28,0),"")</f>
        <v/>
      </c>
      <c r="C164" s="34" t="str">
        <f>IF(A164&lt;&gt;"",_xlfn.XLOOKUP(A164,LIV!$C:$C,LIV!$AD:$AD,,,-1),"")</f>
        <v/>
      </c>
      <c r="D164" s="34" t="e">
        <f>TEXT(VLOOKUP(A164,LIV!$C:$S,17,0),"dd.mm.yyyy")</f>
        <v>#N/A</v>
      </c>
      <c r="E164" s="34" t="e">
        <f>VLOOKUP(A164,LIV!$C:$R,16,0)</f>
        <v>#N/A</v>
      </c>
      <c r="F164" s="34" t="str">
        <f>_xlfn.IFNA(TEXT(_xlfn.XLOOKUP(A164,LIV!$C:$C,LIV!$B:$B),"dd.mm.yyyy"),"")</f>
        <v>00.01.1900</v>
      </c>
      <c r="G164" s="34">
        <f>SUMIF(LIV!$C:$C,Execute!A164,LIV!$Z:$Z)</f>
        <v>0</v>
      </c>
      <c r="H164" s="34" t="e">
        <f>VLOOKUP(A164,LIV!$C:$J,8,0)</f>
        <v>#N/A</v>
      </c>
      <c r="I164" s="34" t="e">
        <f>VLOOKUP(A164,LIV!$C:$G,5,0)</f>
        <v>#N/A</v>
      </c>
      <c r="J164" s="34" t="str">
        <f t="shared" si="11"/>
        <v/>
      </c>
      <c r="K164" s="34" t="e">
        <f>VLOOKUP(A164,LIV!$C:$H,6,0)</f>
        <v>#N/A</v>
      </c>
      <c r="L164" s="34" t="str">
        <f t="shared" si="12"/>
        <v/>
      </c>
      <c r="M164" s="34" t="e">
        <f>VLOOKUP(A164,LIV!$C:$R,16,0)</f>
        <v>#N/A</v>
      </c>
      <c r="N164" s="34">
        <f t="shared" si="13"/>
        <v>0</v>
      </c>
      <c r="O164" s="34" t="e">
        <f>TEXT(VLOOKUP(A164,LIV!$C:$M,11,0),"dd.mm.yyyy")</f>
        <v>#N/A</v>
      </c>
      <c r="P164" s="34" t="str">
        <f t="shared" si="14"/>
        <v/>
      </c>
      <c r="Q164" s="33"/>
    </row>
    <row r="165" spans="1:17" x14ac:dyDescent="0.25">
      <c r="A165" s="34"/>
      <c r="B165" s="34" t="str">
        <f>IF(A165&lt;&gt;"",VLOOKUP(A165,LIV!$C:$AD,28,0),"")</f>
        <v/>
      </c>
      <c r="C165" s="34" t="str">
        <f>IF(A165&lt;&gt;"",_xlfn.XLOOKUP(A165,LIV!$C:$C,LIV!$AD:$AD,,,-1),"")</f>
        <v/>
      </c>
      <c r="D165" s="34" t="e">
        <f>TEXT(VLOOKUP(A165,LIV!$C:$S,17,0),"dd.mm.yyyy")</f>
        <v>#N/A</v>
      </c>
      <c r="E165" s="34" t="e">
        <f>VLOOKUP(A165,LIV!$C:$R,16,0)</f>
        <v>#N/A</v>
      </c>
      <c r="F165" s="34" t="str">
        <f>_xlfn.IFNA(TEXT(_xlfn.XLOOKUP(A165,LIV!$C:$C,LIV!$B:$B),"dd.mm.yyyy"),"")</f>
        <v>00.01.1900</v>
      </c>
      <c r="G165" s="34">
        <f>SUMIF(LIV!$C:$C,Execute!A165,LIV!$Z:$Z)</f>
        <v>0</v>
      </c>
      <c r="H165" s="34" t="e">
        <f>VLOOKUP(A165,LIV!$C:$J,8,0)</f>
        <v>#N/A</v>
      </c>
      <c r="I165" s="34" t="e">
        <f>VLOOKUP(A165,LIV!$C:$G,5,0)</f>
        <v>#N/A</v>
      </c>
      <c r="J165" s="34" t="str">
        <f t="shared" si="11"/>
        <v/>
      </c>
      <c r="K165" s="34" t="e">
        <f>VLOOKUP(A165,LIV!$C:$H,6,0)</f>
        <v>#N/A</v>
      </c>
      <c r="L165" s="34" t="str">
        <f t="shared" si="12"/>
        <v/>
      </c>
      <c r="M165" s="34" t="e">
        <f>VLOOKUP(A165,LIV!$C:$R,16,0)</f>
        <v>#N/A</v>
      </c>
      <c r="N165" s="34">
        <f t="shared" si="13"/>
        <v>0</v>
      </c>
      <c r="O165" s="34" t="e">
        <f>TEXT(VLOOKUP(A165,LIV!$C:$M,11,0),"dd.mm.yyyy")</f>
        <v>#N/A</v>
      </c>
      <c r="P165" s="34" t="str">
        <f t="shared" si="14"/>
        <v/>
      </c>
      <c r="Q165" s="33"/>
    </row>
    <row r="166" spans="1:17" x14ac:dyDescent="0.25">
      <c r="A166" s="34"/>
      <c r="B166" s="34" t="str">
        <f>IF(A166&lt;&gt;"",VLOOKUP(A166,LIV!$C:$AD,28,0),"")</f>
        <v/>
      </c>
      <c r="C166" s="34" t="str">
        <f>IF(A166&lt;&gt;"",_xlfn.XLOOKUP(A166,LIV!$C:$C,LIV!$AD:$AD,,,-1),"")</f>
        <v/>
      </c>
      <c r="D166" s="34" t="e">
        <f>TEXT(VLOOKUP(A166,LIV!$C:$S,17,0),"dd.mm.yyyy")</f>
        <v>#N/A</v>
      </c>
      <c r="E166" s="34" t="e">
        <f>VLOOKUP(A166,LIV!$C:$R,16,0)</f>
        <v>#N/A</v>
      </c>
      <c r="F166" s="34" t="str">
        <f>_xlfn.IFNA(TEXT(_xlfn.XLOOKUP(A166,LIV!$C:$C,LIV!$B:$B),"dd.mm.yyyy"),"")</f>
        <v>00.01.1900</v>
      </c>
      <c r="G166" s="34">
        <f>SUMIF(LIV!$C:$C,Execute!A166,LIV!$Z:$Z)</f>
        <v>0</v>
      </c>
      <c r="H166" s="34" t="e">
        <f>VLOOKUP(A166,LIV!$C:$J,8,0)</f>
        <v>#N/A</v>
      </c>
      <c r="I166" s="34" t="e">
        <f>VLOOKUP(A166,LIV!$C:$G,5,0)</f>
        <v>#N/A</v>
      </c>
      <c r="J166" s="34" t="str">
        <f t="shared" si="11"/>
        <v/>
      </c>
      <c r="K166" s="34" t="e">
        <f>VLOOKUP(A166,LIV!$C:$H,6,0)</f>
        <v>#N/A</v>
      </c>
      <c r="L166" s="34" t="str">
        <f t="shared" si="12"/>
        <v/>
      </c>
      <c r="M166" s="34" t="e">
        <f>VLOOKUP(A166,LIV!$C:$R,16,0)</f>
        <v>#N/A</v>
      </c>
      <c r="N166" s="34">
        <f t="shared" si="13"/>
        <v>0</v>
      </c>
      <c r="O166" s="34" t="e">
        <f>TEXT(VLOOKUP(A166,LIV!$C:$M,11,0),"dd.mm.yyyy")</f>
        <v>#N/A</v>
      </c>
      <c r="P166" s="34" t="str">
        <f t="shared" si="14"/>
        <v/>
      </c>
      <c r="Q166" s="33"/>
    </row>
    <row r="167" spans="1:17" x14ac:dyDescent="0.25">
      <c r="A167" s="34"/>
      <c r="B167" s="34" t="str">
        <f>IF(A167&lt;&gt;"",VLOOKUP(A167,LIV!$C:$AD,28,0),"")</f>
        <v/>
      </c>
      <c r="C167" s="34" t="str">
        <f>IF(A167&lt;&gt;"",_xlfn.XLOOKUP(A167,LIV!$C:$C,LIV!$AD:$AD,,,-1),"")</f>
        <v/>
      </c>
      <c r="D167" s="34" t="e">
        <f>TEXT(VLOOKUP(A167,LIV!$C:$S,17,0),"dd.mm.yyyy")</f>
        <v>#N/A</v>
      </c>
      <c r="E167" s="34" t="e">
        <f>VLOOKUP(A167,LIV!$C:$R,16,0)</f>
        <v>#N/A</v>
      </c>
      <c r="F167" s="34" t="str">
        <f>_xlfn.IFNA(TEXT(_xlfn.XLOOKUP(A167,LIV!$C:$C,LIV!$B:$B),"dd.mm.yyyy"),"")</f>
        <v>00.01.1900</v>
      </c>
      <c r="G167" s="34">
        <f>SUMIF(LIV!$C:$C,Execute!A167,LIV!$Z:$Z)</f>
        <v>0</v>
      </c>
      <c r="H167" s="34" t="e">
        <f>VLOOKUP(A167,LIV!$C:$J,8,0)</f>
        <v>#N/A</v>
      </c>
      <c r="I167" s="34" t="e">
        <f>VLOOKUP(A167,LIV!$C:$G,5,0)</f>
        <v>#N/A</v>
      </c>
      <c r="J167" s="34" t="str">
        <f t="shared" si="11"/>
        <v/>
      </c>
      <c r="K167" s="34" t="e">
        <f>VLOOKUP(A167,LIV!$C:$H,6,0)</f>
        <v>#N/A</v>
      </c>
      <c r="L167" s="34" t="str">
        <f t="shared" si="12"/>
        <v/>
      </c>
      <c r="M167" s="34" t="e">
        <f>VLOOKUP(A167,LIV!$C:$R,16,0)</f>
        <v>#N/A</v>
      </c>
      <c r="N167" s="34">
        <f t="shared" si="13"/>
        <v>0</v>
      </c>
      <c r="O167" s="34" t="e">
        <f>TEXT(VLOOKUP(A167,LIV!$C:$M,11,0),"dd.mm.yyyy")</f>
        <v>#N/A</v>
      </c>
      <c r="P167" s="34" t="str">
        <f t="shared" si="14"/>
        <v/>
      </c>
      <c r="Q167" s="33"/>
    </row>
    <row r="168" spans="1:17" x14ac:dyDescent="0.25">
      <c r="A168" s="34"/>
      <c r="B168" s="34" t="str">
        <f>IF(A168&lt;&gt;"",VLOOKUP(A168,LIV!$C:$AD,28,0),"")</f>
        <v/>
      </c>
      <c r="C168" s="34" t="str">
        <f>IF(A168&lt;&gt;"",_xlfn.XLOOKUP(A168,LIV!$C:$C,LIV!$AD:$AD,,,-1),"")</f>
        <v/>
      </c>
      <c r="D168" s="34" t="e">
        <f>TEXT(VLOOKUP(A168,LIV!$C:$S,17,0),"dd.mm.yyyy")</f>
        <v>#N/A</v>
      </c>
      <c r="E168" s="34" t="e">
        <f>VLOOKUP(A168,LIV!$C:$R,16,0)</f>
        <v>#N/A</v>
      </c>
      <c r="F168" s="34" t="str">
        <f>_xlfn.IFNA(TEXT(_xlfn.XLOOKUP(A168,LIV!$C:$C,LIV!$B:$B),"dd.mm.yyyy"),"")</f>
        <v>00.01.1900</v>
      </c>
      <c r="G168" s="34">
        <f>SUMIF(LIV!$C:$C,Execute!A168,LIV!$Z:$Z)</f>
        <v>0</v>
      </c>
      <c r="H168" s="34" t="e">
        <f>VLOOKUP(A168,LIV!$C:$J,8,0)</f>
        <v>#N/A</v>
      </c>
      <c r="I168" s="34" t="e">
        <f>VLOOKUP(A168,LIV!$C:$G,5,0)</f>
        <v>#N/A</v>
      </c>
      <c r="J168" s="34" t="str">
        <f t="shared" si="11"/>
        <v/>
      </c>
      <c r="K168" s="34" t="e">
        <f>VLOOKUP(A168,LIV!$C:$H,6,0)</f>
        <v>#N/A</v>
      </c>
      <c r="L168" s="34" t="str">
        <f t="shared" si="12"/>
        <v/>
      </c>
      <c r="M168" s="34" t="e">
        <f>VLOOKUP(A168,LIV!$C:$R,16,0)</f>
        <v>#N/A</v>
      </c>
      <c r="N168" s="34">
        <f t="shared" si="13"/>
        <v>0</v>
      </c>
      <c r="O168" s="34" t="e">
        <f>TEXT(VLOOKUP(A168,LIV!$C:$M,11,0),"dd.mm.yyyy")</f>
        <v>#N/A</v>
      </c>
      <c r="P168" s="34" t="str">
        <f t="shared" si="14"/>
        <v/>
      </c>
      <c r="Q168" s="33"/>
    </row>
    <row r="169" spans="1:17" x14ac:dyDescent="0.25">
      <c r="A169" s="34"/>
      <c r="B169" s="34" t="str">
        <f>IF(A169&lt;&gt;"",VLOOKUP(A169,LIV!$C:$AD,28,0),"")</f>
        <v/>
      </c>
      <c r="C169" s="34" t="str">
        <f>IF(A169&lt;&gt;"",_xlfn.XLOOKUP(A169,LIV!$C:$C,LIV!$AD:$AD,,,-1),"")</f>
        <v/>
      </c>
      <c r="D169" s="34" t="e">
        <f>TEXT(VLOOKUP(A169,LIV!$C:$S,17,0),"dd.mm.yyyy")</f>
        <v>#N/A</v>
      </c>
      <c r="E169" s="34" t="e">
        <f>VLOOKUP(A169,LIV!$C:$R,16,0)</f>
        <v>#N/A</v>
      </c>
      <c r="F169" s="34" t="str">
        <f>_xlfn.IFNA(TEXT(_xlfn.XLOOKUP(A169,LIV!$C:$C,LIV!$B:$B),"dd.mm.yyyy"),"")</f>
        <v>00.01.1900</v>
      </c>
      <c r="G169" s="34">
        <f>SUMIF(LIV!$C:$C,Execute!A169,LIV!$Z:$Z)</f>
        <v>0</v>
      </c>
      <c r="H169" s="34" t="e">
        <f>VLOOKUP(A169,LIV!$C:$J,8,0)</f>
        <v>#N/A</v>
      </c>
      <c r="I169" s="34" t="e">
        <f>VLOOKUP(A169,LIV!$C:$G,5,0)</f>
        <v>#N/A</v>
      </c>
      <c r="J169" s="34" t="str">
        <f t="shared" si="11"/>
        <v/>
      </c>
      <c r="K169" s="34" t="e">
        <f>VLOOKUP(A169,LIV!$C:$H,6,0)</f>
        <v>#N/A</v>
      </c>
      <c r="L169" s="34" t="str">
        <f t="shared" si="12"/>
        <v/>
      </c>
      <c r="M169" s="34" t="e">
        <f>VLOOKUP(A169,LIV!$C:$R,16,0)</f>
        <v>#N/A</v>
      </c>
      <c r="N169" s="34">
        <f t="shared" si="13"/>
        <v>0</v>
      </c>
      <c r="O169" s="34" t="e">
        <f>TEXT(VLOOKUP(A169,LIV!$C:$M,11,0),"dd.mm.yyyy")</f>
        <v>#N/A</v>
      </c>
      <c r="P169" s="34" t="str">
        <f t="shared" si="14"/>
        <v/>
      </c>
      <c r="Q169" s="33"/>
    </row>
    <row r="170" spans="1:17" x14ac:dyDescent="0.25">
      <c r="A170" s="34"/>
      <c r="B170" s="34" t="str">
        <f>IF(A170&lt;&gt;"",VLOOKUP(A170,LIV!$C:$AD,28,0),"")</f>
        <v/>
      </c>
      <c r="C170" s="34" t="str">
        <f>IF(A170&lt;&gt;"",_xlfn.XLOOKUP(A170,LIV!$C:$C,LIV!$AD:$AD,,,-1),"")</f>
        <v/>
      </c>
      <c r="D170" s="34" t="e">
        <f>TEXT(VLOOKUP(A170,LIV!$C:$S,17,0),"dd.mm.yyyy")</f>
        <v>#N/A</v>
      </c>
      <c r="E170" s="34" t="e">
        <f>VLOOKUP(A170,LIV!$C:$R,16,0)</f>
        <v>#N/A</v>
      </c>
      <c r="F170" s="34" t="str">
        <f>_xlfn.IFNA(TEXT(_xlfn.XLOOKUP(A170,LIV!$C:$C,LIV!$B:$B),"dd.mm.yyyy"),"")</f>
        <v>00.01.1900</v>
      </c>
      <c r="G170" s="34">
        <f>SUMIF(LIV!$C:$C,Execute!A170,LIV!$Z:$Z)</f>
        <v>0</v>
      </c>
      <c r="H170" s="34" t="e">
        <f>VLOOKUP(A170,LIV!$C:$J,8,0)</f>
        <v>#N/A</v>
      </c>
      <c r="I170" s="34" t="e">
        <f>VLOOKUP(A170,LIV!$C:$G,5,0)</f>
        <v>#N/A</v>
      </c>
      <c r="J170" s="34" t="str">
        <f t="shared" si="11"/>
        <v/>
      </c>
      <c r="K170" s="34" t="e">
        <f>VLOOKUP(A170,LIV!$C:$H,6,0)</f>
        <v>#N/A</v>
      </c>
      <c r="L170" s="34" t="str">
        <f t="shared" si="12"/>
        <v/>
      </c>
      <c r="M170" s="34" t="e">
        <f>VLOOKUP(A170,LIV!$C:$R,16,0)</f>
        <v>#N/A</v>
      </c>
      <c r="N170" s="34">
        <f t="shared" si="13"/>
        <v>0</v>
      </c>
      <c r="O170" s="34" t="e">
        <f>TEXT(VLOOKUP(A170,LIV!$C:$M,11,0),"dd.mm.yyyy")</f>
        <v>#N/A</v>
      </c>
      <c r="P170" s="34" t="str">
        <f t="shared" si="14"/>
        <v/>
      </c>
      <c r="Q170" s="33"/>
    </row>
    <row r="171" spans="1:17" x14ac:dyDescent="0.25">
      <c r="A171" s="34"/>
      <c r="B171" s="34" t="str">
        <f>IF(A171&lt;&gt;"",VLOOKUP(A171,LIV!$C:$AD,28,0),"")</f>
        <v/>
      </c>
      <c r="C171" s="34" t="str">
        <f>IF(A171&lt;&gt;"",_xlfn.XLOOKUP(A171,LIV!$C:$C,LIV!$AD:$AD,,,-1),"")</f>
        <v/>
      </c>
      <c r="D171" s="34" t="e">
        <f>TEXT(VLOOKUP(A171,LIV!$C:$S,17,0),"dd.mm.yyyy")</f>
        <v>#N/A</v>
      </c>
      <c r="E171" s="34" t="e">
        <f>VLOOKUP(A171,LIV!$C:$R,16,0)</f>
        <v>#N/A</v>
      </c>
      <c r="F171" s="34" t="str">
        <f>_xlfn.IFNA(TEXT(_xlfn.XLOOKUP(A171,LIV!$C:$C,LIV!$B:$B),"dd.mm.yyyy"),"")</f>
        <v>00.01.1900</v>
      </c>
      <c r="G171" s="34">
        <f>SUMIF(LIV!$C:$C,Execute!A171,LIV!$Z:$Z)</f>
        <v>0</v>
      </c>
      <c r="H171" s="34" t="e">
        <f>VLOOKUP(A171,LIV!$C:$J,8,0)</f>
        <v>#N/A</v>
      </c>
      <c r="I171" s="34" t="e">
        <f>VLOOKUP(A171,LIV!$C:$G,5,0)</f>
        <v>#N/A</v>
      </c>
      <c r="J171" s="34" t="str">
        <f t="shared" si="11"/>
        <v/>
      </c>
      <c r="K171" s="34" t="e">
        <f>VLOOKUP(A171,LIV!$C:$H,6,0)</f>
        <v>#N/A</v>
      </c>
      <c r="L171" s="34" t="str">
        <f t="shared" si="12"/>
        <v/>
      </c>
      <c r="M171" s="34" t="e">
        <f>VLOOKUP(A171,LIV!$C:$R,16,0)</f>
        <v>#N/A</v>
      </c>
      <c r="N171" s="34">
        <f t="shared" si="13"/>
        <v>0</v>
      </c>
      <c r="O171" s="34" t="e">
        <f>TEXT(VLOOKUP(A171,LIV!$C:$M,11,0),"dd.mm.yyyy")</f>
        <v>#N/A</v>
      </c>
      <c r="P171" s="34" t="str">
        <f t="shared" si="14"/>
        <v/>
      </c>
      <c r="Q171" s="33"/>
    </row>
    <row r="172" spans="1:17" x14ac:dyDescent="0.25">
      <c r="A172" s="34"/>
      <c r="B172" s="34" t="str">
        <f>IF(A172&lt;&gt;"",VLOOKUP(A172,LIV!$C:$AD,28,0),"")</f>
        <v/>
      </c>
      <c r="C172" s="34" t="str">
        <f>IF(A172&lt;&gt;"",_xlfn.XLOOKUP(A172,LIV!$C:$C,LIV!$AD:$AD,,,-1),"")</f>
        <v/>
      </c>
      <c r="D172" s="34" t="e">
        <f>TEXT(VLOOKUP(A172,LIV!$C:$S,17,0),"dd.mm.yyyy")</f>
        <v>#N/A</v>
      </c>
      <c r="E172" s="34" t="e">
        <f>VLOOKUP(A172,LIV!$C:$R,16,0)</f>
        <v>#N/A</v>
      </c>
      <c r="F172" s="34" t="str">
        <f>_xlfn.IFNA(TEXT(_xlfn.XLOOKUP(A172,LIV!$C:$C,LIV!$B:$B),"dd.mm.yyyy"),"")</f>
        <v>00.01.1900</v>
      </c>
      <c r="G172" s="34">
        <f>SUMIF(LIV!$C:$C,Execute!A172,LIV!$Z:$Z)</f>
        <v>0</v>
      </c>
      <c r="H172" s="34" t="e">
        <f>VLOOKUP(A172,LIV!$C:$J,8,0)</f>
        <v>#N/A</v>
      </c>
      <c r="I172" s="34" t="e">
        <f>VLOOKUP(A172,LIV!$C:$G,5,0)</f>
        <v>#N/A</v>
      </c>
      <c r="J172" s="34" t="str">
        <f t="shared" si="11"/>
        <v/>
      </c>
      <c r="K172" s="34" t="e">
        <f>VLOOKUP(A172,LIV!$C:$H,6,0)</f>
        <v>#N/A</v>
      </c>
      <c r="L172" s="34" t="str">
        <f t="shared" si="12"/>
        <v/>
      </c>
      <c r="M172" s="34" t="e">
        <f>VLOOKUP(A172,LIV!$C:$R,16,0)</f>
        <v>#N/A</v>
      </c>
      <c r="N172" s="34">
        <f t="shared" si="13"/>
        <v>0</v>
      </c>
      <c r="O172" s="34" t="e">
        <f>TEXT(VLOOKUP(A172,LIV!$C:$M,11,0),"dd.mm.yyyy")</f>
        <v>#N/A</v>
      </c>
      <c r="P172" s="34" t="str">
        <f t="shared" si="14"/>
        <v/>
      </c>
      <c r="Q172" s="33"/>
    </row>
    <row r="173" spans="1:17" x14ac:dyDescent="0.25">
      <c r="A173" s="34"/>
      <c r="B173" s="34" t="str">
        <f>IF(A173&lt;&gt;"",VLOOKUP(A173,LIV!$C:$AD,28,0),"")</f>
        <v/>
      </c>
      <c r="C173" s="34" t="str">
        <f>IF(A173&lt;&gt;"",_xlfn.XLOOKUP(A173,LIV!$C:$C,LIV!$AD:$AD,,,-1),"")</f>
        <v/>
      </c>
      <c r="D173" s="34" t="e">
        <f>TEXT(VLOOKUP(A173,LIV!$C:$S,17,0),"dd.mm.yyyy")</f>
        <v>#N/A</v>
      </c>
      <c r="E173" s="34" t="e">
        <f>VLOOKUP(A173,LIV!$C:$R,16,0)</f>
        <v>#N/A</v>
      </c>
      <c r="F173" s="34" t="str">
        <f>_xlfn.IFNA(TEXT(_xlfn.XLOOKUP(A173,LIV!$C:$C,LIV!$B:$B),"dd.mm.yyyy"),"")</f>
        <v>00.01.1900</v>
      </c>
      <c r="G173" s="34">
        <f>SUMIF(LIV!$C:$C,Execute!A173,LIV!$Z:$Z)</f>
        <v>0</v>
      </c>
      <c r="H173" s="34" t="e">
        <f>VLOOKUP(A173,LIV!$C:$J,8,0)</f>
        <v>#N/A</v>
      </c>
      <c r="I173" s="34" t="e">
        <f>VLOOKUP(A173,LIV!$C:$G,5,0)</f>
        <v>#N/A</v>
      </c>
      <c r="J173" s="34" t="str">
        <f t="shared" si="11"/>
        <v/>
      </c>
      <c r="K173" s="34" t="e">
        <f>VLOOKUP(A173,LIV!$C:$H,6,0)</f>
        <v>#N/A</v>
      </c>
      <c r="L173" s="34" t="str">
        <f t="shared" si="12"/>
        <v/>
      </c>
      <c r="M173" s="34" t="e">
        <f>VLOOKUP(A173,LIV!$C:$R,16,0)</f>
        <v>#N/A</v>
      </c>
      <c r="N173" s="34">
        <f t="shared" si="13"/>
        <v>0</v>
      </c>
      <c r="O173" s="34" t="e">
        <f>TEXT(VLOOKUP(A173,LIV!$C:$M,11,0),"dd.mm.yyyy")</f>
        <v>#N/A</v>
      </c>
      <c r="P173" s="34" t="str">
        <f t="shared" si="14"/>
        <v/>
      </c>
      <c r="Q173" s="33"/>
    </row>
    <row r="174" spans="1:17" x14ac:dyDescent="0.25">
      <c r="A174" s="34"/>
      <c r="B174" s="34" t="str">
        <f>IF(A174&lt;&gt;"",VLOOKUP(A174,LIV!$C:$AD,28,0),"")</f>
        <v/>
      </c>
      <c r="C174" s="34" t="str">
        <f>IF(A174&lt;&gt;"",_xlfn.XLOOKUP(A174,LIV!$C:$C,LIV!$AD:$AD,,,-1),"")</f>
        <v/>
      </c>
      <c r="D174" s="34" t="e">
        <f>TEXT(VLOOKUP(A174,LIV!$C:$S,17,0),"dd.mm.yyyy")</f>
        <v>#N/A</v>
      </c>
      <c r="E174" s="34" t="e">
        <f>VLOOKUP(A174,LIV!$C:$R,16,0)</f>
        <v>#N/A</v>
      </c>
      <c r="F174" s="34" t="str">
        <f>_xlfn.IFNA(TEXT(_xlfn.XLOOKUP(A174,LIV!$C:$C,LIV!$B:$B),"dd.mm.yyyy"),"")</f>
        <v>00.01.1900</v>
      </c>
      <c r="G174" s="34">
        <f>SUMIF(LIV!$C:$C,Execute!A174,LIV!$Z:$Z)</f>
        <v>0</v>
      </c>
      <c r="H174" s="34" t="e">
        <f>VLOOKUP(A174,LIV!$C:$J,8,0)</f>
        <v>#N/A</v>
      </c>
      <c r="I174" s="34" t="e">
        <f>VLOOKUP(A174,LIV!$C:$G,5,0)</f>
        <v>#N/A</v>
      </c>
      <c r="J174" s="34" t="str">
        <f t="shared" si="11"/>
        <v/>
      </c>
      <c r="K174" s="34" t="e">
        <f>VLOOKUP(A174,LIV!$C:$H,6,0)</f>
        <v>#N/A</v>
      </c>
      <c r="L174" s="34" t="str">
        <f t="shared" si="12"/>
        <v/>
      </c>
      <c r="M174" s="34" t="e">
        <f>VLOOKUP(A174,LIV!$C:$R,16,0)</f>
        <v>#N/A</v>
      </c>
      <c r="N174" s="34">
        <f t="shared" si="13"/>
        <v>0</v>
      </c>
      <c r="O174" s="34" t="e">
        <f>TEXT(VLOOKUP(A174,LIV!$C:$M,11,0),"dd.mm.yyyy")</f>
        <v>#N/A</v>
      </c>
      <c r="P174" s="34" t="str">
        <f t="shared" si="14"/>
        <v/>
      </c>
      <c r="Q174" s="33"/>
    </row>
    <row r="175" spans="1:17" x14ac:dyDescent="0.25">
      <c r="A175" s="34"/>
      <c r="B175" s="34" t="str">
        <f>IF(A175&lt;&gt;"",VLOOKUP(A175,LIV!$C:$AD,28,0),"")</f>
        <v/>
      </c>
      <c r="C175" s="34" t="str">
        <f>IF(A175&lt;&gt;"",_xlfn.XLOOKUP(A175,LIV!$C:$C,LIV!$AD:$AD,,,-1),"")</f>
        <v/>
      </c>
      <c r="D175" s="34" t="e">
        <f>TEXT(VLOOKUP(A175,LIV!$C:$S,17,0),"dd.mm.yyyy")</f>
        <v>#N/A</v>
      </c>
      <c r="E175" s="34" t="e">
        <f>VLOOKUP(A175,LIV!$C:$R,16,0)</f>
        <v>#N/A</v>
      </c>
      <c r="F175" s="34" t="str">
        <f>_xlfn.IFNA(TEXT(_xlfn.XLOOKUP(A175,LIV!$C:$C,LIV!$B:$B),"dd.mm.yyyy"),"")</f>
        <v>00.01.1900</v>
      </c>
      <c r="G175" s="34">
        <f>SUMIF(LIV!$C:$C,Execute!A175,LIV!$Z:$Z)</f>
        <v>0</v>
      </c>
      <c r="H175" s="34" t="e">
        <f>VLOOKUP(A175,LIV!$C:$J,8,0)</f>
        <v>#N/A</v>
      </c>
      <c r="I175" s="34" t="e">
        <f>VLOOKUP(A175,LIV!$C:$G,5,0)</f>
        <v>#N/A</v>
      </c>
      <c r="J175" s="34" t="str">
        <f t="shared" si="11"/>
        <v/>
      </c>
      <c r="K175" s="34" t="e">
        <f>VLOOKUP(A175,LIV!$C:$H,6,0)</f>
        <v>#N/A</v>
      </c>
      <c r="L175" s="34" t="str">
        <f t="shared" si="12"/>
        <v/>
      </c>
      <c r="M175" s="34" t="e">
        <f>VLOOKUP(A175,LIV!$C:$R,16,0)</f>
        <v>#N/A</v>
      </c>
      <c r="N175" s="34">
        <f t="shared" si="13"/>
        <v>0</v>
      </c>
      <c r="O175" s="34" t="e">
        <f>TEXT(VLOOKUP(A175,LIV!$C:$M,11,0),"dd.mm.yyyy")</f>
        <v>#N/A</v>
      </c>
      <c r="P175" s="34" t="str">
        <f t="shared" si="14"/>
        <v/>
      </c>
      <c r="Q175" s="33"/>
    </row>
    <row r="176" spans="1:17" x14ac:dyDescent="0.25">
      <c r="A176" s="34"/>
      <c r="B176" s="34" t="str">
        <f>IF(A176&lt;&gt;"",VLOOKUP(A176,LIV!$C:$AD,28,0),"")</f>
        <v/>
      </c>
      <c r="C176" s="34" t="str">
        <f>IF(A176&lt;&gt;"",_xlfn.XLOOKUP(A176,LIV!$C:$C,LIV!$AD:$AD,,,-1),"")</f>
        <v/>
      </c>
      <c r="D176" s="34" t="e">
        <f>TEXT(VLOOKUP(A176,LIV!$C:$S,17,0),"dd.mm.yyyy")</f>
        <v>#N/A</v>
      </c>
      <c r="E176" s="34" t="e">
        <f>VLOOKUP(A176,LIV!$C:$R,16,0)</f>
        <v>#N/A</v>
      </c>
      <c r="F176" s="34" t="str">
        <f>_xlfn.IFNA(TEXT(_xlfn.XLOOKUP(A176,LIV!$C:$C,LIV!$B:$B),"dd.mm.yyyy"),"")</f>
        <v>00.01.1900</v>
      </c>
      <c r="G176" s="34">
        <f>SUMIF(LIV!$C:$C,Execute!A176,LIV!$Z:$Z)</f>
        <v>0</v>
      </c>
      <c r="H176" s="34" t="e">
        <f>VLOOKUP(A176,LIV!$C:$J,8,0)</f>
        <v>#N/A</v>
      </c>
      <c r="I176" s="34" t="e">
        <f>VLOOKUP(A176,LIV!$C:$G,5,0)</f>
        <v>#N/A</v>
      </c>
      <c r="J176" s="34" t="str">
        <f t="shared" si="11"/>
        <v/>
      </c>
      <c r="K176" s="34" t="e">
        <f>VLOOKUP(A176,LIV!$C:$H,6,0)</f>
        <v>#N/A</v>
      </c>
      <c r="L176" s="34" t="str">
        <f t="shared" si="12"/>
        <v/>
      </c>
      <c r="M176" s="34" t="e">
        <f>VLOOKUP(A176,LIV!$C:$R,16,0)</f>
        <v>#N/A</v>
      </c>
      <c r="N176" s="34">
        <f t="shared" si="13"/>
        <v>0</v>
      </c>
      <c r="O176" s="34" t="e">
        <f>TEXT(VLOOKUP(A176,LIV!$C:$M,11,0),"dd.mm.yyyy")</f>
        <v>#N/A</v>
      </c>
      <c r="P176" s="34" t="str">
        <f t="shared" si="14"/>
        <v/>
      </c>
      <c r="Q176" s="33"/>
    </row>
    <row r="177" spans="1:17" x14ac:dyDescent="0.25">
      <c r="A177" s="34"/>
      <c r="B177" s="34" t="str">
        <f>IF(A177&lt;&gt;"",VLOOKUP(A177,LIV!$C:$AD,28,0),"")</f>
        <v/>
      </c>
      <c r="C177" s="34" t="str">
        <f>IF(A177&lt;&gt;"",_xlfn.XLOOKUP(A177,LIV!$C:$C,LIV!$AD:$AD,,,-1),"")</f>
        <v/>
      </c>
      <c r="D177" s="34" t="e">
        <f>TEXT(VLOOKUP(A177,LIV!$C:$S,17,0),"dd.mm.yyyy")</f>
        <v>#N/A</v>
      </c>
      <c r="E177" s="34" t="e">
        <f>VLOOKUP(A177,LIV!$C:$R,16,0)</f>
        <v>#N/A</v>
      </c>
      <c r="F177" s="34" t="str">
        <f>_xlfn.IFNA(TEXT(_xlfn.XLOOKUP(A177,LIV!$C:$C,LIV!$B:$B),"dd.mm.yyyy"),"")</f>
        <v>00.01.1900</v>
      </c>
      <c r="G177" s="34">
        <f>SUMIF(LIV!$C:$C,Execute!A177,LIV!$Z:$Z)</f>
        <v>0</v>
      </c>
      <c r="H177" s="34" t="e">
        <f>VLOOKUP(A177,LIV!$C:$J,8,0)</f>
        <v>#N/A</v>
      </c>
      <c r="I177" s="34" t="e">
        <f>VLOOKUP(A177,LIV!$C:$G,5,0)</f>
        <v>#N/A</v>
      </c>
      <c r="J177" s="34" t="str">
        <f t="shared" si="11"/>
        <v/>
      </c>
      <c r="K177" s="34" t="e">
        <f>VLOOKUP(A177,LIV!$C:$H,6,0)</f>
        <v>#N/A</v>
      </c>
      <c r="L177" s="34" t="str">
        <f t="shared" si="12"/>
        <v/>
      </c>
      <c r="M177" s="34" t="e">
        <f>VLOOKUP(A177,LIV!$C:$R,16,0)</f>
        <v>#N/A</v>
      </c>
      <c r="N177" s="34">
        <f t="shared" si="13"/>
        <v>0</v>
      </c>
      <c r="O177" s="34" t="e">
        <f>TEXT(VLOOKUP(A177,LIV!$C:$M,11,0),"dd.mm.yyyy")</f>
        <v>#N/A</v>
      </c>
      <c r="P177" s="34" t="str">
        <f t="shared" si="14"/>
        <v/>
      </c>
      <c r="Q177" s="33"/>
    </row>
    <row r="178" spans="1:17" x14ac:dyDescent="0.25">
      <c r="A178" s="34"/>
      <c r="B178" s="34" t="str">
        <f>IF(A178&lt;&gt;"",VLOOKUP(A178,LIV!$C:$AD,28,0),"")</f>
        <v/>
      </c>
      <c r="C178" s="34" t="str">
        <f>IF(A178&lt;&gt;"",_xlfn.XLOOKUP(A178,LIV!$C:$C,LIV!$AD:$AD,,,-1),"")</f>
        <v/>
      </c>
      <c r="D178" s="34" t="e">
        <f>TEXT(VLOOKUP(A178,LIV!$C:$S,17,0),"dd.mm.yyyy")</f>
        <v>#N/A</v>
      </c>
      <c r="E178" s="34" t="e">
        <f>VLOOKUP(A178,LIV!$C:$R,16,0)</f>
        <v>#N/A</v>
      </c>
      <c r="F178" s="34" t="str">
        <f>_xlfn.IFNA(TEXT(_xlfn.XLOOKUP(A178,LIV!$C:$C,LIV!$B:$B),"dd.mm.yyyy"),"")</f>
        <v>00.01.1900</v>
      </c>
      <c r="G178" s="34">
        <f>SUMIF(LIV!$C:$C,Execute!A178,LIV!$Z:$Z)</f>
        <v>0</v>
      </c>
      <c r="H178" s="34" t="e">
        <f>VLOOKUP(A178,LIV!$C:$J,8,0)</f>
        <v>#N/A</v>
      </c>
      <c r="I178" s="34" t="e">
        <f>VLOOKUP(A178,LIV!$C:$G,5,0)</f>
        <v>#N/A</v>
      </c>
      <c r="J178" s="34" t="str">
        <f t="shared" si="11"/>
        <v/>
      </c>
      <c r="K178" s="34" t="e">
        <f>VLOOKUP(A178,LIV!$C:$H,6,0)</f>
        <v>#N/A</v>
      </c>
      <c r="L178" s="34" t="str">
        <f t="shared" si="12"/>
        <v/>
      </c>
      <c r="M178" s="34" t="e">
        <f>VLOOKUP(A178,LIV!$C:$R,16,0)</f>
        <v>#N/A</v>
      </c>
      <c r="N178" s="34">
        <f t="shared" si="13"/>
        <v>0</v>
      </c>
      <c r="O178" s="34" t="e">
        <f>TEXT(VLOOKUP(A178,LIV!$C:$M,11,0),"dd.mm.yyyy")</f>
        <v>#N/A</v>
      </c>
      <c r="P178" s="34" t="str">
        <f t="shared" si="14"/>
        <v/>
      </c>
      <c r="Q178" s="33"/>
    </row>
    <row r="179" spans="1:17" x14ac:dyDescent="0.25">
      <c r="A179" s="34"/>
      <c r="B179" s="34" t="str">
        <f>IF(A179&lt;&gt;"",VLOOKUP(A179,LIV!$C:$AD,28,0),"")</f>
        <v/>
      </c>
      <c r="C179" s="34" t="str">
        <f>IF(A179&lt;&gt;"",_xlfn.XLOOKUP(A179,LIV!$C:$C,LIV!$AD:$AD,,,-1),"")</f>
        <v/>
      </c>
      <c r="D179" s="34" t="e">
        <f>TEXT(VLOOKUP(A179,LIV!$C:$S,17,0),"dd.mm.yyyy")</f>
        <v>#N/A</v>
      </c>
      <c r="E179" s="34" t="e">
        <f>VLOOKUP(A179,LIV!$C:$R,16,0)</f>
        <v>#N/A</v>
      </c>
      <c r="F179" s="34" t="str">
        <f>_xlfn.IFNA(TEXT(_xlfn.XLOOKUP(A179,LIV!$C:$C,LIV!$B:$B),"dd.mm.yyyy"),"")</f>
        <v>00.01.1900</v>
      </c>
      <c r="G179" s="34">
        <f>SUMIF(LIV!$C:$C,Execute!A179,LIV!$Z:$Z)</f>
        <v>0</v>
      </c>
      <c r="H179" s="34" t="e">
        <f>VLOOKUP(A179,LIV!$C:$J,8,0)</f>
        <v>#N/A</v>
      </c>
      <c r="I179" s="34" t="e">
        <f>VLOOKUP(A179,LIV!$C:$G,5,0)</f>
        <v>#N/A</v>
      </c>
      <c r="J179" s="34" t="str">
        <f t="shared" si="11"/>
        <v/>
      </c>
      <c r="K179" s="34" t="e">
        <f>VLOOKUP(A179,LIV!$C:$H,6,0)</f>
        <v>#N/A</v>
      </c>
      <c r="L179" s="34" t="str">
        <f t="shared" si="12"/>
        <v/>
      </c>
      <c r="M179" s="34" t="e">
        <f>VLOOKUP(A179,LIV!$C:$R,16,0)</f>
        <v>#N/A</v>
      </c>
      <c r="N179" s="34">
        <f t="shared" si="13"/>
        <v>0</v>
      </c>
      <c r="O179" s="34" t="e">
        <f>TEXT(VLOOKUP(A179,LIV!$C:$M,11,0),"dd.mm.yyyy")</f>
        <v>#N/A</v>
      </c>
      <c r="P179" s="34" t="str">
        <f t="shared" si="14"/>
        <v/>
      </c>
      <c r="Q179" s="33"/>
    </row>
    <row r="180" spans="1:17" x14ac:dyDescent="0.25">
      <c r="A180" s="34"/>
      <c r="B180" s="34" t="str">
        <f>IF(A180&lt;&gt;"",VLOOKUP(A180,LIV!$C:$AD,28,0),"")</f>
        <v/>
      </c>
      <c r="C180" s="34" t="str">
        <f>IF(A180&lt;&gt;"",_xlfn.XLOOKUP(A180,LIV!$C:$C,LIV!$AD:$AD,,,-1),"")</f>
        <v/>
      </c>
      <c r="D180" s="34" t="e">
        <f>TEXT(VLOOKUP(A180,LIV!$C:$S,17,0),"dd.mm.yyyy")</f>
        <v>#N/A</v>
      </c>
      <c r="E180" s="34" t="e">
        <f>VLOOKUP(A180,LIV!$C:$R,16,0)</f>
        <v>#N/A</v>
      </c>
      <c r="F180" s="34" t="str">
        <f>_xlfn.IFNA(TEXT(_xlfn.XLOOKUP(A180,LIV!$C:$C,LIV!$B:$B),"dd.mm.yyyy"),"")</f>
        <v>00.01.1900</v>
      </c>
      <c r="G180" s="34">
        <f>SUMIF(LIV!$C:$C,Execute!A180,LIV!$Z:$Z)</f>
        <v>0</v>
      </c>
      <c r="H180" s="34" t="e">
        <f>VLOOKUP(A180,LIV!$C:$J,8,0)</f>
        <v>#N/A</v>
      </c>
      <c r="I180" s="34" t="e">
        <f>VLOOKUP(A180,LIV!$C:$G,5,0)</f>
        <v>#N/A</v>
      </c>
      <c r="J180" s="34" t="str">
        <f t="shared" si="11"/>
        <v/>
      </c>
      <c r="K180" s="34" t="e">
        <f>VLOOKUP(A180,LIV!$C:$H,6,0)</f>
        <v>#N/A</v>
      </c>
      <c r="L180" s="34" t="str">
        <f t="shared" si="12"/>
        <v/>
      </c>
      <c r="M180" s="34" t="e">
        <f>VLOOKUP(A180,LIV!$C:$R,16,0)</f>
        <v>#N/A</v>
      </c>
      <c r="N180" s="34">
        <f t="shared" si="13"/>
        <v>0</v>
      </c>
      <c r="O180" s="34" t="e">
        <f>TEXT(VLOOKUP(A180,LIV!$C:$M,11,0),"dd.mm.yyyy")</f>
        <v>#N/A</v>
      </c>
      <c r="P180" s="34" t="str">
        <f t="shared" si="14"/>
        <v/>
      </c>
      <c r="Q180" s="33"/>
    </row>
    <row r="181" spans="1:17" x14ac:dyDescent="0.25">
      <c r="A181" s="34"/>
      <c r="B181" s="34" t="str">
        <f>IF(A181&lt;&gt;"",VLOOKUP(A181,LIV!$C:$AD,28,0),"")</f>
        <v/>
      </c>
      <c r="C181" s="34" t="str">
        <f>IF(A181&lt;&gt;"",_xlfn.XLOOKUP(A181,LIV!$C:$C,LIV!$AD:$AD,,,-1),"")</f>
        <v/>
      </c>
      <c r="D181" s="34" t="e">
        <f>TEXT(VLOOKUP(A181,LIV!$C:$S,17,0),"dd.mm.yyyy")</f>
        <v>#N/A</v>
      </c>
      <c r="E181" s="34" t="e">
        <f>VLOOKUP(A181,LIV!$C:$R,16,0)</f>
        <v>#N/A</v>
      </c>
      <c r="F181" s="34" t="str">
        <f>_xlfn.IFNA(TEXT(_xlfn.XLOOKUP(A181,LIV!$C:$C,LIV!$B:$B),"dd.mm.yyyy"),"")</f>
        <v>00.01.1900</v>
      </c>
      <c r="G181" s="34">
        <f>SUMIF(LIV!$C:$C,Execute!A181,LIV!$Z:$Z)</f>
        <v>0</v>
      </c>
      <c r="H181" s="34" t="e">
        <f>VLOOKUP(A181,LIV!$C:$J,8,0)</f>
        <v>#N/A</v>
      </c>
      <c r="I181" s="34" t="e">
        <f>VLOOKUP(A181,LIV!$C:$G,5,0)</f>
        <v>#N/A</v>
      </c>
      <c r="J181" s="34" t="str">
        <f t="shared" si="11"/>
        <v/>
      </c>
      <c r="K181" s="34" t="e">
        <f>VLOOKUP(A181,LIV!$C:$H,6,0)</f>
        <v>#N/A</v>
      </c>
      <c r="L181" s="34" t="str">
        <f t="shared" si="12"/>
        <v/>
      </c>
      <c r="M181" s="34" t="e">
        <f>VLOOKUP(A181,LIV!$C:$R,16,0)</f>
        <v>#N/A</v>
      </c>
      <c r="N181" s="34">
        <f t="shared" si="13"/>
        <v>0</v>
      </c>
      <c r="O181" s="34" t="e">
        <f>TEXT(VLOOKUP(A181,LIV!$C:$M,11,0),"dd.mm.yyyy")</f>
        <v>#N/A</v>
      </c>
      <c r="P181" s="34" t="str">
        <f t="shared" si="14"/>
        <v/>
      </c>
      <c r="Q181" s="33"/>
    </row>
    <row r="182" spans="1:17" x14ac:dyDescent="0.25">
      <c r="A182" s="34"/>
      <c r="B182" s="34" t="str">
        <f>IF(A182&lt;&gt;"",VLOOKUP(A182,LIV!$C:$AD,28,0),"")</f>
        <v/>
      </c>
      <c r="C182" s="34" t="str">
        <f>IF(A182&lt;&gt;"",_xlfn.XLOOKUP(A182,LIV!$C:$C,LIV!$AD:$AD,,,-1),"")</f>
        <v/>
      </c>
      <c r="D182" s="34" t="e">
        <f>TEXT(VLOOKUP(A182,LIV!$C:$S,17,0),"dd.mm.yyyy")</f>
        <v>#N/A</v>
      </c>
      <c r="E182" s="34" t="e">
        <f>VLOOKUP(A182,LIV!$C:$R,16,0)</f>
        <v>#N/A</v>
      </c>
      <c r="F182" s="34" t="str">
        <f>_xlfn.IFNA(TEXT(_xlfn.XLOOKUP(A182,LIV!$C:$C,LIV!$B:$B),"dd.mm.yyyy"),"")</f>
        <v>00.01.1900</v>
      </c>
      <c r="G182" s="34">
        <f>SUMIF(LIV!$C:$C,Execute!A182,LIV!$Z:$Z)</f>
        <v>0</v>
      </c>
      <c r="H182" s="34" t="e">
        <f>VLOOKUP(A182,LIV!$C:$J,8,0)</f>
        <v>#N/A</v>
      </c>
      <c r="I182" s="34" t="e">
        <f>VLOOKUP(A182,LIV!$C:$G,5,0)</f>
        <v>#N/A</v>
      </c>
      <c r="J182" s="34" t="str">
        <f t="shared" si="11"/>
        <v/>
      </c>
      <c r="K182" s="34" t="e">
        <f>VLOOKUP(A182,LIV!$C:$H,6,0)</f>
        <v>#N/A</v>
      </c>
      <c r="L182" s="34" t="str">
        <f t="shared" si="12"/>
        <v/>
      </c>
      <c r="M182" s="34" t="e">
        <f>VLOOKUP(A182,LIV!$C:$R,16,0)</f>
        <v>#N/A</v>
      </c>
      <c r="N182" s="34">
        <f t="shared" si="13"/>
        <v>0</v>
      </c>
      <c r="O182" s="34" t="e">
        <f>TEXT(VLOOKUP(A182,LIV!$C:$M,11,0),"dd.mm.yyyy")</f>
        <v>#N/A</v>
      </c>
      <c r="P182" s="34" t="str">
        <f t="shared" si="14"/>
        <v/>
      </c>
      <c r="Q182" s="33"/>
    </row>
    <row r="183" spans="1:17" x14ac:dyDescent="0.25">
      <c r="A183" s="34"/>
      <c r="B183" s="34" t="str">
        <f>IF(A183&lt;&gt;"",VLOOKUP(A183,LIV!$C:$AD,28,0),"")</f>
        <v/>
      </c>
      <c r="C183" s="34" t="str">
        <f>IF(A183&lt;&gt;"",_xlfn.XLOOKUP(A183,LIV!$C:$C,LIV!$AD:$AD,,,-1),"")</f>
        <v/>
      </c>
      <c r="D183" s="34" t="e">
        <f>TEXT(VLOOKUP(A183,LIV!$C:$S,17,0),"dd.mm.yyyy")</f>
        <v>#N/A</v>
      </c>
      <c r="E183" s="34" t="e">
        <f>VLOOKUP(A183,LIV!$C:$R,16,0)</f>
        <v>#N/A</v>
      </c>
      <c r="F183" s="34" t="str">
        <f>_xlfn.IFNA(TEXT(_xlfn.XLOOKUP(A183,LIV!$C:$C,LIV!$B:$B),"dd.mm.yyyy"),"")</f>
        <v>00.01.1900</v>
      </c>
      <c r="G183" s="34">
        <f>SUMIF(LIV!$C:$C,Execute!A183,LIV!$Z:$Z)</f>
        <v>0</v>
      </c>
      <c r="H183" s="34" t="e">
        <f>VLOOKUP(A183,LIV!$C:$J,8,0)</f>
        <v>#N/A</v>
      </c>
      <c r="I183" s="34" t="e">
        <f>VLOOKUP(A183,LIV!$C:$G,5,0)</f>
        <v>#N/A</v>
      </c>
      <c r="J183" s="34" t="str">
        <f t="shared" si="11"/>
        <v/>
      </c>
      <c r="K183" s="34" t="e">
        <f>VLOOKUP(A183,LIV!$C:$H,6,0)</f>
        <v>#N/A</v>
      </c>
      <c r="L183" s="34" t="str">
        <f t="shared" si="12"/>
        <v/>
      </c>
      <c r="M183" s="34" t="e">
        <f>VLOOKUP(A183,LIV!$C:$R,16,0)</f>
        <v>#N/A</v>
      </c>
      <c r="N183" s="34">
        <f t="shared" si="13"/>
        <v>0</v>
      </c>
      <c r="O183" s="34" t="e">
        <f>TEXT(VLOOKUP(A183,LIV!$C:$M,11,0),"dd.mm.yyyy")</f>
        <v>#N/A</v>
      </c>
      <c r="P183" s="34" t="str">
        <f t="shared" si="14"/>
        <v/>
      </c>
      <c r="Q183" s="33"/>
    </row>
    <row r="184" spans="1:17" x14ac:dyDescent="0.25">
      <c r="A184" s="34"/>
      <c r="B184" s="34" t="str">
        <f>IF(A184&lt;&gt;"",VLOOKUP(A184,LIV!$C:$AD,28,0),"")</f>
        <v/>
      </c>
      <c r="C184" s="34" t="str">
        <f>IF(A184&lt;&gt;"",_xlfn.XLOOKUP(A184,LIV!$C:$C,LIV!$AD:$AD,,,-1),"")</f>
        <v/>
      </c>
      <c r="D184" s="34" t="e">
        <f>TEXT(VLOOKUP(A184,LIV!$C:$S,17,0),"dd.mm.yyyy")</f>
        <v>#N/A</v>
      </c>
      <c r="E184" s="34" t="e">
        <f>VLOOKUP(A184,LIV!$C:$R,16,0)</f>
        <v>#N/A</v>
      </c>
      <c r="F184" s="34" t="str">
        <f>_xlfn.IFNA(TEXT(_xlfn.XLOOKUP(A184,LIV!$C:$C,LIV!$B:$B),"dd.mm.yyyy"),"")</f>
        <v>00.01.1900</v>
      </c>
      <c r="G184" s="34">
        <f>SUMIF(LIV!$C:$C,Execute!A184,LIV!$Z:$Z)</f>
        <v>0</v>
      </c>
      <c r="H184" s="34" t="e">
        <f>VLOOKUP(A184,LIV!$C:$J,8,0)</f>
        <v>#N/A</v>
      </c>
      <c r="I184" s="34" t="e">
        <f>VLOOKUP(A184,LIV!$C:$G,5,0)</f>
        <v>#N/A</v>
      </c>
      <c r="J184" s="34" t="str">
        <f t="shared" si="11"/>
        <v/>
      </c>
      <c r="K184" s="34" t="e">
        <f>VLOOKUP(A184,LIV!$C:$H,6,0)</f>
        <v>#N/A</v>
      </c>
      <c r="L184" s="34" t="str">
        <f t="shared" si="12"/>
        <v/>
      </c>
      <c r="M184" s="34" t="e">
        <f>VLOOKUP(A184,LIV!$C:$R,16,0)</f>
        <v>#N/A</v>
      </c>
      <c r="N184" s="34">
        <f t="shared" si="13"/>
        <v>0</v>
      </c>
      <c r="O184" s="34" t="e">
        <f>TEXT(VLOOKUP(A184,LIV!$C:$M,11,0),"dd.mm.yyyy")</f>
        <v>#N/A</v>
      </c>
      <c r="P184" s="34" t="str">
        <f t="shared" si="14"/>
        <v/>
      </c>
      <c r="Q184" s="33"/>
    </row>
    <row r="185" spans="1:17" x14ac:dyDescent="0.25">
      <c r="A185" s="34"/>
      <c r="B185" s="34" t="str">
        <f>IF(A185&lt;&gt;"",VLOOKUP(A185,LIV!$C:$AD,28,0),"")</f>
        <v/>
      </c>
      <c r="C185" s="34" t="str">
        <f>IF(A185&lt;&gt;"",_xlfn.XLOOKUP(A185,LIV!$C:$C,LIV!$AD:$AD,,,-1),"")</f>
        <v/>
      </c>
      <c r="D185" s="34" t="e">
        <f>TEXT(VLOOKUP(A185,LIV!$C:$S,17,0),"dd.mm.yyyy")</f>
        <v>#N/A</v>
      </c>
      <c r="E185" s="34" t="e">
        <f>VLOOKUP(A185,LIV!$C:$R,16,0)</f>
        <v>#N/A</v>
      </c>
      <c r="F185" s="34" t="str">
        <f>_xlfn.IFNA(TEXT(_xlfn.XLOOKUP(A185,LIV!$C:$C,LIV!$B:$B),"dd.mm.yyyy"),"")</f>
        <v>00.01.1900</v>
      </c>
      <c r="G185" s="34">
        <f>SUMIF(LIV!$C:$C,Execute!A185,LIV!$Z:$Z)</f>
        <v>0</v>
      </c>
      <c r="H185" s="34" t="e">
        <f>VLOOKUP(A185,LIV!$C:$J,8,0)</f>
        <v>#N/A</v>
      </c>
      <c r="I185" s="34" t="e">
        <f>VLOOKUP(A185,LIV!$C:$G,5,0)</f>
        <v>#N/A</v>
      </c>
      <c r="J185" s="34" t="str">
        <f t="shared" si="11"/>
        <v/>
      </c>
      <c r="K185" s="34" t="e">
        <f>VLOOKUP(A185,LIV!$C:$H,6,0)</f>
        <v>#N/A</v>
      </c>
      <c r="L185" s="34" t="str">
        <f t="shared" si="12"/>
        <v/>
      </c>
      <c r="M185" s="34" t="e">
        <f>VLOOKUP(A185,LIV!$C:$R,16,0)</f>
        <v>#N/A</v>
      </c>
      <c r="N185" s="34">
        <f t="shared" si="13"/>
        <v>0</v>
      </c>
      <c r="O185" s="34" t="e">
        <f>TEXT(VLOOKUP(A185,LIV!$C:$M,11,0),"dd.mm.yyyy")</f>
        <v>#N/A</v>
      </c>
      <c r="P185" s="34" t="str">
        <f t="shared" si="14"/>
        <v/>
      </c>
      <c r="Q185" s="33"/>
    </row>
    <row r="186" spans="1:17" x14ac:dyDescent="0.25">
      <c r="A186" s="34"/>
      <c r="B186" s="34" t="str">
        <f>IF(A186&lt;&gt;"",VLOOKUP(A186,LIV!$C:$AD,28,0),"")</f>
        <v/>
      </c>
      <c r="C186" s="34" t="str">
        <f>IF(A186&lt;&gt;"",_xlfn.XLOOKUP(A186,LIV!$C:$C,LIV!$AD:$AD,,,-1),"")</f>
        <v/>
      </c>
      <c r="D186" s="34" t="e">
        <f>TEXT(VLOOKUP(A186,LIV!$C:$S,17,0),"dd.mm.yyyy")</f>
        <v>#N/A</v>
      </c>
      <c r="E186" s="34" t="e">
        <f>VLOOKUP(A186,LIV!$C:$R,16,0)</f>
        <v>#N/A</v>
      </c>
      <c r="F186" s="34" t="str">
        <f>_xlfn.IFNA(TEXT(_xlfn.XLOOKUP(A186,LIV!$C:$C,LIV!$B:$B),"dd.mm.yyyy"),"")</f>
        <v>00.01.1900</v>
      </c>
      <c r="G186" s="34">
        <f>SUMIF(LIV!$C:$C,Execute!A186,LIV!$Z:$Z)</f>
        <v>0</v>
      </c>
      <c r="H186" s="34" t="e">
        <f>VLOOKUP(A186,LIV!$C:$J,8,0)</f>
        <v>#N/A</v>
      </c>
      <c r="I186" s="34" t="e">
        <f>VLOOKUP(A186,LIV!$C:$G,5,0)</f>
        <v>#N/A</v>
      </c>
      <c r="J186" s="34" t="str">
        <f t="shared" si="11"/>
        <v/>
      </c>
      <c r="K186" s="34" t="e">
        <f>VLOOKUP(A186,LIV!$C:$H,6,0)</f>
        <v>#N/A</v>
      </c>
      <c r="L186" s="34" t="str">
        <f t="shared" si="12"/>
        <v/>
      </c>
      <c r="M186" s="34" t="e">
        <f>VLOOKUP(A186,LIV!$C:$R,16,0)</f>
        <v>#N/A</v>
      </c>
      <c r="N186" s="34">
        <f t="shared" si="13"/>
        <v>0</v>
      </c>
      <c r="O186" s="34" t="e">
        <f>TEXT(VLOOKUP(A186,LIV!$C:$M,11,0),"dd.mm.yyyy")</f>
        <v>#N/A</v>
      </c>
      <c r="P186" s="34" t="str">
        <f t="shared" si="14"/>
        <v/>
      </c>
      <c r="Q186" s="33"/>
    </row>
    <row r="187" spans="1:17" x14ac:dyDescent="0.25">
      <c r="A187" s="34"/>
      <c r="B187" s="34" t="str">
        <f>IF(A187&lt;&gt;"",VLOOKUP(A187,LIV!$C:$AD,28,0),"")</f>
        <v/>
      </c>
      <c r="C187" s="34" t="str">
        <f>IF(A187&lt;&gt;"",_xlfn.XLOOKUP(A187,LIV!$C:$C,LIV!$AD:$AD,,,-1),"")</f>
        <v/>
      </c>
      <c r="D187" s="34" t="e">
        <f>TEXT(VLOOKUP(A187,LIV!$C:$S,17,0),"dd.mm.yyyy")</f>
        <v>#N/A</v>
      </c>
      <c r="E187" s="34" t="e">
        <f>VLOOKUP(A187,LIV!$C:$R,16,0)</f>
        <v>#N/A</v>
      </c>
      <c r="F187" s="34" t="str">
        <f>_xlfn.IFNA(TEXT(_xlfn.XLOOKUP(A187,LIV!$C:$C,LIV!$B:$B),"dd.mm.yyyy"),"")</f>
        <v>00.01.1900</v>
      </c>
      <c r="G187" s="34">
        <f>SUMIF(LIV!$C:$C,Execute!A187,LIV!$Z:$Z)</f>
        <v>0</v>
      </c>
      <c r="H187" s="34" t="e">
        <f>VLOOKUP(A187,LIV!$C:$J,8,0)</f>
        <v>#N/A</v>
      </c>
      <c r="I187" s="34" t="e">
        <f>VLOOKUP(A187,LIV!$C:$G,5,0)</f>
        <v>#N/A</v>
      </c>
      <c r="J187" s="34" t="str">
        <f t="shared" si="11"/>
        <v/>
      </c>
      <c r="K187" s="34" t="e">
        <f>VLOOKUP(A187,LIV!$C:$H,6,0)</f>
        <v>#N/A</v>
      </c>
      <c r="L187" s="34" t="str">
        <f t="shared" si="12"/>
        <v/>
      </c>
      <c r="M187" s="34" t="e">
        <f>VLOOKUP(A187,LIV!$C:$R,16,0)</f>
        <v>#N/A</v>
      </c>
      <c r="N187" s="34">
        <f t="shared" si="13"/>
        <v>0</v>
      </c>
      <c r="O187" s="34" t="e">
        <f>TEXT(VLOOKUP(A187,LIV!$C:$M,11,0),"dd.mm.yyyy")</f>
        <v>#N/A</v>
      </c>
      <c r="P187" s="34" t="str">
        <f t="shared" si="14"/>
        <v/>
      </c>
      <c r="Q187" s="33"/>
    </row>
    <row r="188" spans="1:17" x14ac:dyDescent="0.25">
      <c r="A188" s="34"/>
      <c r="B188" s="34" t="str">
        <f>IF(A188&lt;&gt;"",VLOOKUP(A188,LIV!$C:$AD,28,0),"")</f>
        <v/>
      </c>
      <c r="C188" s="34" t="str">
        <f>IF(A188&lt;&gt;"",_xlfn.XLOOKUP(A188,LIV!$C:$C,LIV!$AD:$AD,,,-1),"")</f>
        <v/>
      </c>
      <c r="D188" s="34" t="e">
        <f>TEXT(VLOOKUP(A188,LIV!$C:$S,17,0),"dd.mm.yyyy")</f>
        <v>#N/A</v>
      </c>
      <c r="E188" s="34" t="e">
        <f>VLOOKUP(A188,LIV!$C:$R,16,0)</f>
        <v>#N/A</v>
      </c>
      <c r="F188" s="34" t="str">
        <f>_xlfn.IFNA(TEXT(_xlfn.XLOOKUP(A188,LIV!$C:$C,LIV!$B:$B),"dd.mm.yyyy"),"")</f>
        <v>00.01.1900</v>
      </c>
      <c r="G188" s="34">
        <f>SUMIF(LIV!$C:$C,Execute!A188,LIV!$Z:$Z)</f>
        <v>0</v>
      </c>
      <c r="H188" s="34" t="e">
        <f>VLOOKUP(A188,LIV!$C:$J,8,0)</f>
        <v>#N/A</v>
      </c>
      <c r="I188" s="34" t="e">
        <f>VLOOKUP(A188,LIV!$C:$G,5,0)</f>
        <v>#N/A</v>
      </c>
      <c r="J188" s="34" t="str">
        <f t="shared" si="11"/>
        <v/>
      </c>
      <c r="K188" s="34" t="e">
        <f>VLOOKUP(A188,LIV!$C:$H,6,0)</f>
        <v>#N/A</v>
      </c>
      <c r="L188" s="34" t="str">
        <f t="shared" si="12"/>
        <v/>
      </c>
      <c r="M188" s="34" t="e">
        <f>VLOOKUP(A188,LIV!$C:$R,16,0)</f>
        <v>#N/A</v>
      </c>
      <c r="N188" s="34">
        <f t="shared" si="13"/>
        <v>0</v>
      </c>
      <c r="O188" s="34" t="e">
        <f>TEXT(VLOOKUP(A188,LIV!$C:$M,11,0),"dd.mm.yyyy")</f>
        <v>#N/A</v>
      </c>
      <c r="P188" s="34" t="str">
        <f t="shared" si="14"/>
        <v/>
      </c>
      <c r="Q188" s="33"/>
    </row>
    <row r="189" spans="1:17" x14ac:dyDescent="0.25">
      <c r="A189" s="34"/>
      <c r="B189" s="34" t="str">
        <f>IF(A189&lt;&gt;"",VLOOKUP(A189,LIV!$C:$AD,28,0),"")</f>
        <v/>
      </c>
      <c r="C189" s="34" t="str">
        <f>IF(A189&lt;&gt;"",_xlfn.XLOOKUP(A189,LIV!$C:$C,LIV!$AD:$AD,,,-1),"")</f>
        <v/>
      </c>
      <c r="D189" s="34" t="e">
        <f>TEXT(VLOOKUP(A189,LIV!$C:$S,17,0),"dd.mm.yyyy")</f>
        <v>#N/A</v>
      </c>
      <c r="E189" s="34" t="e">
        <f>VLOOKUP(A189,LIV!$C:$R,16,0)</f>
        <v>#N/A</v>
      </c>
      <c r="F189" s="34" t="str">
        <f>_xlfn.IFNA(TEXT(_xlfn.XLOOKUP(A189,LIV!$C:$C,LIV!$B:$B),"dd.mm.yyyy"),"")</f>
        <v>00.01.1900</v>
      </c>
      <c r="G189" s="34">
        <f>SUMIF(LIV!$C:$C,Execute!A189,LIV!$Z:$Z)</f>
        <v>0</v>
      </c>
      <c r="H189" s="34" t="e">
        <f>VLOOKUP(A189,LIV!$C:$J,8,0)</f>
        <v>#N/A</v>
      </c>
      <c r="I189" s="34" t="e">
        <f>VLOOKUP(A189,LIV!$C:$G,5,0)</f>
        <v>#N/A</v>
      </c>
      <c r="J189" s="34" t="str">
        <f t="shared" si="11"/>
        <v/>
      </c>
      <c r="K189" s="34" t="e">
        <f>VLOOKUP(A189,LIV!$C:$H,6,0)</f>
        <v>#N/A</v>
      </c>
      <c r="L189" s="34" t="str">
        <f t="shared" si="12"/>
        <v/>
      </c>
      <c r="M189" s="34" t="e">
        <f>VLOOKUP(A189,LIV!$C:$R,16,0)</f>
        <v>#N/A</v>
      </c>
      <c r="N189" s="34">
        <f t="shared" si="13"/>
        <v>0</v>
      </c>
      <c r="O189" s="34" t="e">
        <f>TEXT(VLOOKUP(A189,LIV!$C:$M,11,0),"dd.mm.yyyy")</f>
        <v>#N/A</v>
      </c>
      <c r="P189" s="34" t="str">
        <f t="shared" si="14"/>
        <v/>
      </c>
      <c r="Q189" s="33"/>
    </row>
    <row r="190" spans="1:17" x14ac:dyDescent="0.25">
      <c r="A190" s="34"/>
      <c r="B190" s="34" t="str">
        <f>IF(A190&lt;&gt;"",VLOOKUP(A190,LIV!$C:$AD,28,0),"")</f>
        <v/>
      </c>
      <c r="C190" s="34" t="str">
        <f>IF(A190&lt;&gt;"",_xlfn.XLOOKUP(A190,LIV!$C:$C,LIV!$AD:$AD,,,-1),"")</f>
        <v/>
      </c>
      <c r="D190" s="34" t="e">
        <f>TEXT(VLOOKUP(A190,LIV!$C:$S,17,0),"dd.mm.yyyy")</f>
        <v>#N/A</v>
      </c>
      <c r="E190" s="34" t="e">
        <f>VLOOKUP(A190,LIV!$C:$R,16,0)</f>
        <v>#N/A</v>
      </c>
      <c r="F190" s="34" t="str">
        <f>_xlfn.IFNA(TEXT(_xlfn.XLOOKUP(A190,LIV!$C:$C,LIV!$B:$B),"dd.mm.yyyy"),"")</f>
        <v>00.01.1900</v>
      </c>
      <c r="G190" s="34">
        <f>SUMIF(LIV!$C:$C,Execute!A190,LIV!$Z:$Z)</f>
        <v>0</v>
      </c>
      <c r="H190" s="34" t="e">
        <f>VLOOKUP(A190,LIV!$C:$J,8,0)</f>
        <v>#N/A</v>
      </c>
      <c r="I190" s="34" t="e">
        <f>VLOOKUP(A190,LIV!$C:$G,5,0)</f>
        <v>#N/A</v>
      </c>
      <c r="J190" s="34" t="str">
        <f t="shared" si="11"/>
        <v/>
      </c>
      <c r="K190" s="34" t="e">
        <f>VLOOKUP(A190,LIV!$C:$H,6,0)</f>
        <v>#N/A</v>
      </c>
      <c r="L190" s="34" t="str">
        <f t="shared" si="12"/>
        <v/>
      </c>
      <c r="M190" s="34" t="e">
        <f>VLOOKUP(A190,LIV!$C:$R,16,0)</f>
        <v>#N/A</v>
      </c>
      <c r="N190" s="34">
        <f t="shared" si="13"/>
        <v>0</v>
      </c>
      <c r="O190" s="34" t="e">
        <f>TEXT(VLOOKUP(A190,LIV!$C:$M,11,0),"dd.mm.yyyy")</f>
        <v>#N/A</v>
      </c>
      <c r="P190" s="34" t="str">
        <f t="shared" si="14"/>
        <v/>
      </c>
      <c r="Q190" s="33"/>
    </row>
    <row r="191" spans="1:17" x14ac:dyDescent="0.25">
      <c r="A191" s="34"/>
      <c r="B191" s="34" t="str">
        <f>IF(A191&lt;&gt;"",VLOOKUP(A191,LIV!$C:$AD,28,0),"")</f>
        <v/>
      </c>
      <c r="C191" s="34" t="str">
        <f>IF(A191&lt;&gt;"",_xlfn.XLOOKUP(A191,LIV!$C:$C,LIV!$AD:$AD,,,-1),"")</f>
        <v/>
      </c>
      <c r="D191" s="34" t="e">
        <f>TEXT(VLOOKUP(A191,LIV!$C:$S,17,0),"dd.mm.yyyy")</f>
        <v>#N/A</v>
      </c>
      <c r="E191" s="34" t="e">
        <f>VLOOKUP(A191,LIV!$C:$R,16,0)</f>
        <v>#N/A</v>
      </c>
      <c r="F191" s="34" t="str">
        <f>_xlfn.IFNA(TEXT(_xlfn.XLOOKUP(A191,LIV!$C:$C,LIV!$B:$B),"dd.mm.yyyy"),"")</f>
        <v>00.01.1900</v>
      </c>
      <c r="G191" s="34">
        <f>SUMIF(LIV!$C:$C,Execute!A191,LIV!$Z:$Z)</f>
        <v>0</v>
      </c>
      <c r="H191" s="34" t="e">
        <f>VLOOKUP(A191,LIV!$C:$J,8,0)</f>
        <v>#N/A</v>
      </c>
      <c r="I191" s="34" t="e">
        <f>VLOOKUP(A191,LIV!$C:$G,5,0)</f>
        <v>#N/A</v>
      </c>
      <c r="J191" s="34" t="str">
        <f t="shared" si="11"/>
        <v/>
      </c>
      <c r="K191" s="34" t="e">
        <f>VLOOKUP(A191,LIV!$C:$H,6,0)</f>
        <v>#N/A</v>
      </c>
      <c r="L191" s="34" t="str">
        <f t="shared" si="12"/>
        <v/>
      </c>
      <c r="M191" s="34" t="e">
        <f>VLOOKUP(A191,LIV!$C:$R,16,0)</f>
        <v>#N/A</v>
      </c>
      <c r="N191" s="34">
        <f t="shared" si="13"/>
        <v>0</v>
      </c>
      <c r="O191" s="34" t="e">
        <f>TEXT(VLOOKUP(A191,LIV!$C:$M,11,0),"dd.mm.yyyy")</f>
        <v>#N/A</v>
      </c>
      <c r="P191" s="34" t="str">
        <f t="shared" si="14"/>
        <v/>
      </c>
      <c r="Q191" s="33"/>
    </row>
    <row r="192" spans="1:17" x14ac:dyDescent="0.25">
      <c r="A192" s="34"/>
      <c r="B192" s="34" t="str">
        <f>IF(A192&lt;&gt;"",VLOOKUP(A192,LIV!$C:$AD,28,0),"")</f>
        <v/>
      </c>
      <c r="C192" s="34" t="str">
        <f>IF(A192&lt;&gt;"",_xlfn.XLOOKUP(A192,LIV!$C:$C,LIV!$AD:$AD,,,-1),"")</f>
        <v/>
      </c>
      <c r="D192" s="34" t="e">
        <f>TEXT(VLOOKUP(A192,LIV!$C:$S,17,0),"dd.mm.yyyy")</f>
        <v>#N/A</v>
      </c>
      <c r="E192" s="34" t="e">
        <f>VLOOKUP(A192,LIV!$C:$R,16,0)</f>
        <v>#N/A</v>
      </c>
      <c r="F192" s="34" t="str">
        <f>_xlfn.IFNA(TEXT(_xlfn.XLOOKUP(A192,LIV!$C:$C,LIV!$B:$B),"dd.mm.yyyy"),"")</f>
        <v>00.01.1900</v>
      </c>
      <c r="G192" s="34">
        <f>SUMIF(LIV!$C:$C,Execute!A192,LIV!$Z:$Z)</f>
        <v>0</v>
      </c>
      <c r="H192" s="34" t="e">
        <f>VLOOKUP(A192,LIV!$C:$J,8,0)</f>
        <v>#N/A</v>
      </c>
      <c r="I192" s="34" t="e">
        <f>VLOOKUP(A192,LIV!$C:$G,5,0)</f>
        <v>#N/A</v>
      </c>
      <c r="J192" s="34" t="str">
        <f t="shared" si="11"/>
        <v/>
      </c>
      <c r="K192" s="34" t="e">
        <f>VLOOKUP(A192,LIV!$C:$H,6,0)</f>
        <v>#N/A</v>
      </c>
      <c r="L192" s="34" t="str">
        <f t="shared" si="12"/>
        <v/>
      </c>
      <c r="M192" s="34" t="e">
        <f>VLOOKUP(A192,LIV!$C:$R,16,0)</f>
        <v>#N/A</v>
      </c>
      <c r="N192" s="34">
        <f t="shared" si="13"/>
        <v>0</v>
      </c>
      <c r="O192" s="34" t="e">
        <f>TEXT(VLOOKUP(A192,LIV!$C:$M,11,0),"dd.mm.yyyy")</f>
        <v>#N/A</v>
      </c>
      <c r="P192" s="34" t="str">
        <f t="shared" si="14"/>
        <v/>
      </c>
      <c r="Q192" s="33"/>
    </row>
    <row r="193" spans="1:17" x14ac:dyDescent="0.25">
      <c r="A193" s="34"/>
      <c r="B193" s="34" t="str">
        <f>IF(A193&lt;&gt;"",VLOOKUP(A193,LIV!$C:$AD,28,0),"")</f>
        <v/>
      </c>
      <c r="C193" s="34" t="str">
        <f>IF(A193&lt;&gt;"",_xlfn.XLOOKUP(A193,LIV!$C:$C,LIV!$AD:$AD,,,-1),"")</f>
        <v/>
      </c>
      <c r="D193" s="34" t="e">
        <f>TEXT(VLOOKUP(A193,LIV!$C:$S,17,0),"dd.mm.yyyy")</f>
        <v>#N/A</v>
      </c>
      <c r="E193" s="34" t="e">
        <f>VLOOKUP(A193,LIV!$C:$R,16,0)</f>
        <v>#N/A</v>
      </c>
      <c r="F193" s="34" t="str">
        <f>_xlfn.IFNA(TEXT(_xlfn.XLOOKUP(A193,LIV!$C:$C,LIV!$B:$B),"dd.mm.yyyy"),"")</f>
        <v>00.01.1900</v>
      </c>
      <c r="G193" s="34">
        <f>SUMIF(LIV!$C:$C,Execute!A193,LIV!$Z:$Z)</f>
        <v>0</v>
      </c>
      <c r="H193" s="34" t="e">
        <f>VLOOKUP(A193,LIV!$C:$J,8,0)</f>
        <v>#N/A</v>
      </c>
      <c r="I193" s="34" t="e">
        <f>VLOOKUP(A193,LIV!$C:$G,5,0)</f>
        <v>#N/A</v>
      </c>
      <c r="J193" s="34" t="str">
        <f t="shared" si="11"/>
        <v/>
      </c>
      <c r="K193" s="34" t="e">
        <f>VLOOKUP(A193,LIV!$C:$H,6,0)</f>
        <v>#N/A</v>
      </c>
      <c r="L193" s="34" t="str">
        <f t="shared" si="12"/>
        <v/>
      </c>
      <c r="M193" s="34" t="e">
        <f>VLOOKUP(A193,LIV!$C:$R,16,0)</f>
        <v>#N/A</v>
      </c>
      <c r="N193" s="34">
        <f t="shared" si="13"/>
        <v>0</v>
      </c>
      <c r="O193" s="34" t="e">
        <f>TEXT(VLOOKUP(A193,LIV!$C:$M,11,0),"dd.mm.yyyy")</f>
        <v>#N/A</v>
      </c>
      <c r="P193" s="34" t="str">
        <f t="shared" si="14"/>
        <v/>
      </c>
      <c r="Q193" s="33"/>
    </row>
    <row r="194" spans="1:17" x14ac:dyDescent="0.25">
      <c r="A194" s="34"/>
      <c r="B194" s="34" t="str">
        <f>IF(A194&lt;&gt;"",VLOOKUP(A194,LIV!$C:$AD,28,0),"")</f>
        <v/>
      </c>
      <c r="C194" s="34" t="str">
        <f>IF(A194&lt;&gt;"",_xlfn.XLOOKUP(A194,LIV!$C:$C,LIV!$AD:$AD,,,-1),"")</f>
        <v/>
      </c>
      <c r="D194" s="34" t="e">
        <f>TEXT(VLOOKUP(A194,LIV!$C:$S,17,0),"dd.mm.yyyy")</f>
        <v>#N/A</v>
      </c>
      <c r="E194" s="34" t="e">
        <f>VLOOKUP(A194,LIV!$C:$R,16,0)</f>
        <v>#N/A</v>
      </c>
      <c r="F194" s="34" t="str">
        <f>_xlfn.IFNA(TEXT(_xlfn.XLOOKUP(A194,LIV!$C:$C,LIV!$B:$B),"dd.mm.yyyy"),"")</f>
        <v>00.01.1900</v>
      </c>
      <c r="G194" s="34">
        <f>SUMIF(LIV!$C:$C,Execute!A194,LIV!$Z:$Z)</f>
        <v>0</v>
      </c>
      <c r="H194" s="34" t="e">
        <f>VLOOKUP(A194,LIV!$C:$J,8,0)</f>
        <v>#N/A</v>
      </c>
      <c r="I194" s="34" t="e">
        <f>VLOOKUP(A194,LIV!$C:$G,5,0)</f>
        <v>#N/A</v>
      </c>
      <c r="J194" s="34" t="str">
        <f t="shared" si="11"/>
        <v/>
      </c>
      <c r="K194" s="34" t="e">
        <f>VLOOKUP(A194,LIV!$C:$H,6,0)</f>
        <v>#N/A</v>
      </c>
      <c r="L194" s="34" t="str">
        <f t="shared" si="12"/>
        <v/>
      </c>
      <c r="M194" s="34" t="e">
        <f>VLOOKUP(A194,LIV!$C:$R,16,0)</f>
        <v>#N/A</v>
      </c>
      <c r="N194" s="34">
        <f t="shared" si="13"/>
        <v>0</v>
      </c>
      <c r="O194" s="34" t="e">
        <f>TEXT(VLOOKUP(A194,LIV!$C:$M,11,0),"dd.mm.yyyy")</f>
        <v>#N/A</v>
      </c>
      <c r="P194" s="34" t="str">
        <f t="shared" si="14"/>
        <v/>
      </c>
      <c r="Q194" s="33"/>
    </row>
    <row r="195" spans="1:17" x14ac:dyDescent="0.25">
      <c r="A195" s="34"/>
      <c r="B195" s="34" t="str">
        <f>IF(A195&lt;&gt;"",VLOOKUP(A195,LIV!$C:$AD,28,0),"")</f>
        <v/>
      </c>
      <c r="C195" s="34" t="str">
        <f>IF(A195&lt;&gt;"",_xlfn.XLOOKUP(A195,LIV!$C:$C,LIV!$AD:$AD,,,-1),"")</f>
        <v/>
      </c>
      <c r="D195" s="34" t="e">
        <f>TEXT(VLOOKUP(A195,LIV!$C:$S,17,0),"dd.mm.yyyy")</f>
        <v>#N/A</v>
      </c>
      <c r="E195" s="34" t="e">
        <f>VLOOKUP(A195,LIV!$C:$R,16,0)</f>
        <v>#N/A</v>
      </c>
      <c r="F195" s="34" t="str">
        <f>_xlfn.IFNA(TEXT(_xlfn.XLOOKUP(A195,LIV!$C:$C,LIV!$B:$B),"dd.mm.yyyy"),"")</f>
        <v>00.01.1900</v>
      </c>
      <c r="G195" s="34">
        <f>SUMIF(LIV!$C:$C,Execute!A195,LIV!$Z:$Z)</f>
        <v>0</v>
      </c>
      <c r="H195" s="34" t="e">
        <f>VLOOKUP(A195,LIV!$C:$J,8,0)</f>
        <v>#N/A</v>
      </c>
      <c r="I195" s="34" t="e">
        <f>VLOOKUP(A195,LIV!$C:$G,5,0)</f>
        <v>#N/A</v>
      </c>
      <c r="J195" s="34" t="str">
        <f t="shared" si="11"/>
        <v/>
      </c>
      <c r="K195" s="34" t="e">
        <f>VLOOKUP(A195,LIV!$C:$H,6,0)</f>
        <v>#N/A</v>
      </c>
      <c r="L195" s="34" t="str">
        <f t="shared" si="12"/>
        <v/>
      </c>
      <c r="M195" s="34" t="e">
        <f>VLOOKUP(A195,LIV!$C:$R,16,0)</f>
        <v>#N/A</v>
      </c>
      <c r="N195" s="34">
        <f t="shared" si="13"/>
        <v>0</v>
      </c>
      <c r="O195" s="34" t="e">
        <f>TEXT(VLOOKUP(A195,LIV!$C:$M,11,0),"dd.mm.yyyy")</f>
        <v>#N/A</v>
      </c>
      <c r="P195" s="34" t="str">
        <f t="shared" si="14"/>
        <v/>
      </c>
      <c r="Q195" s="33"/>
    </row>
    <row r="196" spans="1:17" x14ac:dyDescent="0.25">
      <c r="A196" s="34"/>
      <c r="B196" s="34" t="str">
        <f>IF(A196&lt;&gt;"",VLOOKUP(A196,LIV!$C:$AD,28,0),"")</f>
        <v/>
      </c>
      <c r="C196" s="34" t="str">
        <f>IF(A196&lt;&gt;"",_xlfn.XLOOKUP(A196,LIV!$C:$C,LIV!$AD:$AD,,,-1),"")</f>
        <v/>
      </c>
      <c r="D196" s="34" t="e">
        <f>TEXT(VLOOKUP(A196,LIV!$C:$S,17,0),"dd.mm.yyyy")</f>
        <v>#N/A</v>
      </c>
      <c r="E196" s="34" t="e">
        <f>VLOOKUP(A196,LIV!$C:$R,16,0)</f>
        <v>#N/A</v>
      </c>
      <c r="F196" s="34" t="str">
        <f>_xlfn.IFNA(TEXT(_xlfn.XLOOKUP(A196,LIV!$C:$C,LIV!$B:$B),"dd.mm.yyyy"),"")</f>
        <v>00.01.1900</v>
      </c>
      <c r="G196" s="34">
        <f>SUMIF(LIV!$C:$C,Execute!A196,LIV!$Z:$Z)</f>
        <v>0</v>
      </c>
      <c r="H196" s="34" t="e">
        <f>VLOOKUP(A196,LIV!$C:$J,8,0)</f>
        <v>#N/A</v>
      </c>
      <c r="I196" s="34" t="e">
        <f>VLOOKUP(A196,LIV!$C:$G,5,0)</f>
        <v>#N/A</v>
      </c>
      <c r="J196" s="34" t="str">
        <f t="shared" si="11"/>
        <v/>
      </c>
      <c r="K196" s="34" t="e">
        <f>VLOOKUP(A196,LIV!$C:$H,6,0)</f>
        <v>#N/A</v>
      </c>
      <c r="L196" s="34" t="str">
        <f t="shared" si="12"/>
        <v/>
      </c>
      <c r="M196" s="34" t="e">
        <f>VLOOKUP(A196,LIV!$C:$R,16,0)</f>
        <v>#N/A</v>
      </c>
      <c r="N196" s="34">
        <f t="shared" si="13"/>
        <v>0</v>
      </c>
      <c r="O196" s="34" t="e">
        <f>TEXT(VLOOKUP(A196,LIV!$C:$M,11,0),"dd.mm.yyyy")</f>
        <v>#N/A</v>
      </c>
      <c r="P196" s="34" t="str">
        <f t="shared" si="14"/>
        <v/>
      </c>
      <c r="Q196" s="33"/>
    </row>
    <row r="197" spans="1:17" x14ac:dyDescent="0.25">
      <c r="A197" s="34"/>
      <c r="B197" s="34" t="str">
        <f>IF(A197&lt;&gt;"",VLOOKUP(A197,LIV!$C:$AD,28,0),"")</f>
        <v/>
      </c>
      <c r="C197" s="34" t="str">
        <f>IF(A197&lt;&gt;"",_xlfn.XLOOKUP(A197,LIV!$C:$C,LIV!$AD:$AD,,,-1),"")</f>
        <v/>
      </c>
      <c r="D197" s="34" t="e">
        <f>TEXT(VLOOKUP(A197,LIV!$C:$S,17,0),"dd.mm.yyyy")</f>
        <v>#N/A</v>
      </c>
      <c r="E197" s="34" t="e">
        <f>VLOOKUP(A197,LIV!$C:$R,16,0)</f>
        <v>#N/A</v>
      </c>
      <c r="F197" s="34" t="str">
        <f>_xlfn.IFNA(TEXT(_xlfn.XLOOKUP(A197,LIV!$C:$C,LIV!$B:$B),"dd.mm.yyyy"),"")</f>
        <v>00.01.1900</v>
      </c>
      <c r="G197" s="34">
        <f>SUMIF(LIV!$C:$C,Execute!A197,LIV!$Z:$Z)</f>
        <v>0</v>
      </c>
      <c r="H197" s="34" t="e">
        <f>VLOOKUP(A197,LIV!$C:$J,8,0)</f>
        <v>#N/A</v>
      </c>
      <c r="I197" s="34" t="e">
        <f>VLOOKUP(A197,LIV!$C:$G,5,0)</f>
        <v>#N/A</v>
      </c>
      <c r="J197" s="34" t="str">
        <f t="shared" si="11"/>
        <v/>
      </c>
      <c r="K197" s="34" t="e">
        <f>VLOOKUP(A197,LIV!$C:$H,6,0)</f>
        <v>#N/A</v>
      </c>
      <c r="L197" s="34" t="str">
        <f t="shared" si="12"/>
        <v/>
      </c>
      <c r="M197" s="34" t="e">
        <f>VLOOKUP(A197,LIV!$C:$R,16,0)</f>
        <v>#N/A</v>
      </c>
      <c r="N197" s="34">
        <f t="shared" si="13"/>
        <v>0</v>
      </c>
      <c r="O197" s="34" t="e">
        <f>TEXT(VLOOKUP(A197,LIV!$C:$M,11,0),"dd.mm.yyyy")</f>
        <v>#N/A</v>
      </c>
      <c r="P197" s="34" t="str">
        <f t="shared" si="14"/>
        <v/>
      </c>
      <c r="Q197" s="33"/>
    </row>
    <row r="198" spans="1:17" x14ac:dyDescent="0.25">
      <c r="A198" s="34"/>
      <c r="B198" s="34" t="str">
        <f>IF(A198&lt;&gt;"",VLOOKUP(A198,LIV!$C:$AD,28,0),"")</f>
        <v/>
      </c>
      <c r="C198" s="34" t="str">
        <f>IF(A198&lt;&gt;"",_xlfn.XLOOKUP(A198,LIV!$C:$C,LIV!$AD:$AD,,,-1),"")</f>
        <v/>
      </c>
      <c r="D198" s="34" t="e">
        <f>TEXT(VLOOKUP(A198,LIV!$C:$S,17,0),"dd.mm.yyyy")</f>
        <v>#N/A</v>
      </c>
      <c r="E198" s="34" t="e">
        <f>VLOOKUP(A198,LIV!$C:$R,16,0)</f>
        <v>#N/A</v>
      </c>
      <c r="F198" s="34" t="str">
        <f>_xlfn.IFNA(TEXT(_xlfn.XLOOKUP(A198,LIV!$C:$C,LIV!$B:$B),"dd.mm.yyyy"),"")</f>
        <v>00.01.1900</v>
      </c>
      <c r="G198" s="34">
        <f>SUMIF(LIV!$C:$C,Execute!A198,LIV!$Z:$Z)</f>
        <v>0</v>
      </c>
      <c r="H198" s="34" t="e">
        <f>VLOOKUP(A198,LIV!$C:$J,8,0)</f>
        <v>#N/A</v>
      </c>
      <c r="I198" s="34" t="e">
        <f>VLOOKUP(A198,LIV!$C:$G,5,0)</f>
        <v>#N/A</v>
      </c>
      <c r="J198" s="34" t="str">
        <f t="shared" si="11"/>
        <v/>
      </c>
      <c r="K198" s="34" t="e">
        <f>VLOOKUP(A198,LIV!$C:$H,6,0)</f>
        <v>#N/A</v>
      </c>
      <c r="L198" s="34" t="str">
        <f t="shared" si="12"/>
        <v/>
      </c>
      <c r="M198" s="34" t="e">
        <f>VLOOKUP(A198,LIV!$C:$R,16,0)</f>
        <v>#N/A</v>
      </c>
      <c r="N198" s="34">
        <f t="shared" si="13"/>
        <v>0</v>
      </c>
      <c r="O198" s="34" t="e">
        <f>TEXT(VLOOKUP(A198,LIV!$C:$M,11,0),"dd.mm.yyyy")</f>
        <v>#N/A</v>
      </c>
      <c r="P198" s="34" t="str">
        <f t="shared" si="14"/>
        <v/>
      </c>
      <c r="Q198" s="33"/>
    </row>
    <row r="199" spans="1:17" x14ac:dyDescent="0.25">
      <c r="A199" s="34"/>
      <c r="B199" s="34" t="str">
        <f>IF(A199&lt;&gt;"",VLOOKUP(A199,LIV!$C:$AD,28,0),"")</f>
        <v/>
      </c>
      <c r="C199" s="34" t="str">
        <f>IF(A199&lt;&gt;"",_xlfn.XLOOKUP(A199,LIV!$C:$C,LIV!$AD:$AD,,,-1),"")</f>
        <v/>
      </c>
      <c r="D199" s="34" t="e">
        <f>TEXT(VLOOKUP(A199,LIV!$C:$S,17,0),"dd.mm.yyyy")</f>
        <v>#N/A</v>
      </c>
      <c r="E199" s="34" t="e">
        <f>VLOOKUP(A199,LIV!$C:$R,16,0)</f>
        <v>#N/A</v>
      </c>
      <c r="F199" s="34" t="str">
        <f>_xlfn.IFNA(TEXT(_xlfn.XLOOKUP(A199,LIV!$C:$C,LIV!$B:$B),"dd.mm.yyyy"),"")</f>
        <v>00.01.1900</v>
      </c>
      <c r="G199" s="34">
        <f>SUMIF(LIV!$C:$C,Execute!A199,LIV!$Z:$Z)</f>
        <v>0</v>
      </c>
      <c r="H199" s="34" t="e">
        <f>VLOOKUP(A199,LIV!$C:$J,8,0)</f>
        <v>#N/A</v>
      </c>
      <c r="I199" s="34" t="e">
        <f>VLOOKUP(A199,LIV!$C:$G,5,0)</f>
        <v>#N/A</v>
      </c>
      <c r="J199" s="34" t="str">
        <f t="shared" si="11"/>
        <v/>
      </c>
      <c r="K199" s="34" t="e">
        <f>VLOOKUP(A199,LIV!$C:$H,6,0)</f>
        <v>#N/A</v>
      </c>
      <c r="L199" s="34" t="str">
        <f t="shared" si="12"/>
        <v/>
      </c>
      <c r="M199" s="34" t="e">
        <f>VLOOKUP(A199,LIV!$C:$R,16,0)</f>
        <v>#N/A</v>
      </c>
      <c r="N199" s="34">
        <f t="shared" si="13"/>
        <v>0</v>
      </c>
      <c r="O199" s="34" t="e">
        <f>TEXT(VLOOKUP(A199,LIV!$C:$M,11,0),"dd.mm.yyyy")</f>
        <v>#N/A</v>
      </c>
      <c r="P199" s="34" t="str">
        <f t="shared" si="14"/>
        <v/>
      </c>
      <c r="Q199" s="33"/>
    </row>
    <row r="200" spans="1:17" x14ac:dyDescent="0.25">
      <c r="A200" s="34"/>
      <c r="B200" s="34" t="str">
        <f>IF(A200&lt;&gt;"",VLOOKUP(A200,LIV!$C:$AD,28,0),"")</f>
        <v/>
      </c>
      <c r="C200" s="34" t="str">
        <f>IF(A200&lt;&gt;"",_xlfn.XLOOKUP(A200,LIV!$C:$C,LIV!$AD:$AD,,,-1),"")</f>
        <v/>
      </c>
      <c r="D200" s="34" t="e">
        <f>TEXT(VLOOKUP(A200,LIV!$C:$S,17,0),"dd.mm.yyyy")</f>
        <v>#N/A</v>
      </c>
      <c r="E200" s="34" t="e">
        <f>VLOOKUP(A200,LIV!$C:$R,16,0)</f>
        <v>#N/A</v>
      </c>
      <c r="F200" s="34" t="str">
        <f>_xlfn.IFNA(TEXT(_xlfn.XLOOKUP(A200,LIV!$C:$C,LIV!$B:$B),"dd.mm.yyyy"),"")</f>
        <v>00.01.1900</v>
      </c>
      <c r="G200" s="34">
        <f>SUMIF(LIV!$C:$C,Execute!A200,LIV!$Z:$Z)</f>
        <v>0</v>
      </c>
      <c r="H200" s="34" t="e">
        <f>VLOOKUP(A200,LIV!$C:$J,8,0)</f>
        <v>#N/A</v>
      </c>
      <c r="I200" s="34" t="e">
        <f>VLOOKUP(A200,LIV!$C:$G,5,0)</f>
        <v>#N/A</v>
      </c>
      <c r="J200" s="34" t="str">
        <f t="shared" si="11"/>
        <v/>
      </c>
      <c r="K200" s="34" t="e">
        <f>VLOOKUP(A200,LIV!$C:$H,6,0)</f>
        <v>#N/A</v>
      </c>
      <c r="L200" s="34" t="str">
        <f t="shared" si="12"/>
        <v/>
      </c>
      <c r="M200" s="34" t="e">
        <f>VLOOKUP(A200,LIV!$C:$R,16,0)</f>
        <v>#N/A</v>
      </c>
      <c r="N200" s="34">
        <f t="shared" si="13"/>
        <v>0</v>
      </c>
      <c r="O200" s="34" t="e">
        <f>TEXT(VLOOKUP(A200,LIV!$C:$M,11,0),"dd.mm.yyyy")</f>
        <v>#N/A</v>
      </c>
      <c r="P200" s="34" t="str">
        <f t="shared" si="14"/>
        <v/>
      </c>
      <c r="Q200" s="33"/>
    </row>
    <row r="201" spans="1:17" x14ac:dyDescent="0.25">
      <c r="A201" s="34"/>
      <c r="B201" s="34" t="str">
        <f>IF(A201&lt;&gt;"",VLOOKUP(A201,LIV!$C:$AD,28,0),"")</f>
        <v/>
      </c>
      <c r="C201" s="34" t="str">
        <f>IF(A201&lt;&gt;"",_xlfn.XLOOKUP(A201,LIV!$C:$C,LIV!$AD:$AD,,,-1),"")</f>
        <v/>
      </c>
      <c r="D201" s="34" t="e">
        <f>TEXT(VLOOKUP(A201,LIV!$C:$S,17,0),"dd.mm.yyyy")</f>
        <v>#N/A</v>
      </c>
      <c r="E201" s="34" t="e">
        <f>VLOOKUP(A201,LIV!$C:$R,16,0)</f>
        <v>#N/A</v>
      </c>
      <c r="F201" s="34" t="str">
        <f>_xlfn.IFNA(TEXT(_xlfn.XLOOKUP(A201,LIV!$C:$C,LIV!$B:$B),"dd.mm.yyyy"),"")</f>
        <v>00.01.1900</v>
      </c>
      <c r="G201" s="34">
        <f>SUMIF(LIV!$C:$C,Execute!A201,LIV!$Z:$Z)</f>
        <v>0</v>
      </c>
      <c r="H201" s="34" t="e">
        <f>VLOOKUP(A201,LIV!$C:$J,8,0)</f>
        <v>#N/A</v>
      </c>
      <c r="I201" s="34" t="e">
        <f>VLOOKUP(A201,LIV!$C:$G,5,0)</f>
        <v>#N/A</v>
      </c>
      <c r="J201" s="34" t="str">
        <f t="shared" ref="J201:J264" si="15">IF(A201&lt;&gt;"",$C$1,"")</f>
        <v/>
      </c>
      <c r="K201" s="34" t="e">
        <f>VLOOKUP(A201,LIV!$C:$H,6,0)</f>
        <v>#N/A</v>
      </c>
      <c r="L201" s="34" t="str">
        <f t="shared" si="12"/>
        <v/>
      </c>
      <c r="M201" s="34" t="e">
        <f>VLOOKUP(A201,LIV!$C:$R,16,0)</f>
        <v>#N/A</v>
      </c>
      <c r="N201" s="34">
        <f t="shared" si="13"/>
        <v>0</v>
      </c>
      <c r="O201" s="34" t="e">
        <f>TEXT(VLOOKUP(A201,LIV!$C:$M,11,0),"dd.mm.yyyy")</f>
        <v>#N/A</v>
      </c>
      <c r="P201" s="34" t="str">
        <f t="shared" si="14"/>
        <v/>
      </c>
      <c r="Q201" s="33"/>
    </row>
    <row r="202" spans="1:17" x14ac:dyDescent="0.25">
      <c r="A202" s="34"/>
      <c r="B202" s="34" t="str">
        <f>IF(A202&lt;&gt;"",VLOOKUP(A202,LIV!$C:$AD,28,0),"")</f>
        <v/>
      </c>
      <c r="C202" s="34" t="str">
        <f>IF(A202&lt;&gt;"",_xlfn.XLOOKUP(A202,LIV!$C:$C,LIV!$AD:$AD,,,-1),"")</f>
        <v/>
      </c>
      <c r="D202" s="34" t="e">
        <f>TEXT(VLOOKUP(A202,LIV!$C:$S,17,0),"dd.mm.yyyy")</f>
        <v>#N/A</v>
      </c>
      <c r="E202" s="34" t="e">
        <f>VLOOKUP(A202,LIV!$C:$R,16,0)</f>
        <v>#N/A</v>
      </c>
      <c r="F202" s="34" t="str">
        <f>_xlfn.IFNA(TEXT(_xlfn.XLOOKUP(A202,LIV!$C:$C,LIV!$B:$B),"dd.mm.yyyy"),"")</f>
        <v>00.01.1900</v>
      </c>
      <c r="G202" s="34">
        <f>SUMIF(LIV!$C:$C,Execute!A202,LIV!$Z:$Z)</f>
        <v>0</v>
      </c>
      <c r="H202" s="34" t="e">
        <f>VLOOKUP(A202,LIV!$C:$J,8,0)</f>
        <v>#N/A</v>
      </c>
      <c r="I202" s="34" t="e">
        <f>VLOOKUP(A202,LIV!$C:$G,5,0)</f>
        <v>#N/A</v>
      </c>
      <c r="J202" s="34" t="str">
        <f t="shared" si="15"/>
        <v/>
      </c>
      <c r="K202" s="34" t="e">
        <f>VLOOKUP(A202,LIV!$C:$H,6,0)</f>
        <v>#N/A</v>
      </c>
      <c r="L202" s="34" t="str">
        <f t="shared" si="12"/>
        <v/>
      </c>
      <c r="M202" s="34" t="e">
        <f>VLOOKUP(A202,LIV!$C:$R,16,0)</f>
        <v>#N/A</v>
      </c>
      <c r="N202" s="34">
        <f t="shared" si="13"/>
        <v>0</v>
      </c>
      <c r="O202" s="34" t="e">
        <f>TEXT(VLOOKUP(A202,LIV!$C:$M,11,0),"dd.mm.yyyy")</f>
        <v>#N/A</v>
      </c>
      <c r="P202" s="34" t="str">
        <f t="shared" si="14"/>
        <v/>
      </c>
      <c r="Q202" s="33"/>
    </row>
    <row r="203" spans="1:17" x14ac:dyDescent="0.25">
      <c r="A203" s="34"/>
      <c r="B203" s="34" t="str">
        <f>IF(A203&lt;&gt;"",VLOOKUP(A203,LIV!$C:$AD,28,0),"")</f>
        <v/>
      </c>
      <c r="C203" s="34" t="str">
        <f>IF(A203&lt;&gt;"",_xlfn.XLOOKUP(A203,LIV!$C:$C,LIV!$AD:$AD,,,-1),"")</f>
        <v/>
      </c>
      <c r="D203" s="34" t="e">
        <f>TEXT(VLOOKUP(A203,LIV!$C:$S,17,0),"dd.mm.yyyy")</f>
        <v>#N/A</v>
      </c>
      <c r="E203" s="34" t="e">
        <f>VLOOKUP(A203,LIV!$C:$R,16,0)</f>
        <v>#N/A</v>
      </c>
      <c r="F203" s="34" t="str">
        <f>_xlfn.IFNA(TEXT(_xlfn.XLOOKUP(A203,LIV!$C:$C,LIV!$B:$B),"dd.mm.yyyy"),"")</f>
        <v>00.01.1900</v>
      </c>
      <c r="G203" s="34">
        <f>SUMIF(LIV!$C:$C,Execute!A203,LIV!$Z:$Z)</f>
        <v>0</v>
      </c>
      <c r="H203" s="34" t="e">
        <f>VLOOKUP(A203,LIV!$C:$J,8,0)</f>
        <v>#N/A</v>
      </c>
      <c r="I203" s="34" t="e">
        <f>VLOOKUP(A203,LIV!$C:$G,5,0)</f>
        <v>#N/A</v>
      </c>
      <c r="J203" s="34" t="str">
        <f t="shared" si="15"/>
        <v/>
      </c>
      <c r="K203" s="34" t="e">
        <f>VLOOKUP(A203,LIV!$C:$H,6,0)</f>
        <v>#N/A</v>
      </c>
      <c r="L203" s="34" t="str">
        <f t="shared" si="12"/>
        <v/>
      </c>
      <c r="M203" s="34" t="e">
        <f>VLOOKUP(A203,LIV!$C:$R,16,0)</f>
        <v>#N/A</v>
      </c>
      <c r="N203" s="34">
        <f t="shared" si="13"/>
        <v>0</v>
      </c>
      <c r="O203" s="34" t="e">
        <f>TEXT(VLOOKUP(A203,LIV!$C:$M,11,0),"dd.mm.yyyy")</f>
        <v>#N/A</v>
      </c>
      <c r="P203" s="34" t="str">
        <f t="shared" si="14"/>
        <v/>
      </c>
      <c r="Q203" s="33"/>
    </row>
    <row r="204" spans="1:17" x14ac:dyDescent="0.25">
      <c r="A204" s="34"/>
      <c r="B204" s="34" t="str">
        <f>IF(A204&lt;&gt;"",VLOOKUP(A204,LIV!$C:$AD,28,0),"")</f>
        <v/>
      </c>
      <c r="C204" s="34" t="str">
        <f>IF(A204&lt;&gt;"",_xlfn.XLOOKUP(A204,LIV!$C:$C,LIV!$AD:$AD,,,-1),"")</f>
        <v/>
      </c>
      <c r="D204" s="34" t="e">
        <f>TEXT(VLOOKUP(A204,LIV!$C:$S,17,0),"dd.mm.yyyy")</f>
        <v>#N/A</v>
      </c>
      <c r="E204" s="34" t="e">
        <f>VLOOKUP(A204,LIV!$C:$R,16,0)</f>
        <v>#N/A</v>
      </c>
      <c r="F204" s="34" t="str">
        <f>_xlfn.IFNA(TEXT(_xlfn.XLOOKUP(A204,LIV!$C:$C,LIV!$B:$B),"dd.mm.yyyy"),"")</f>
        <v>00.01.1900</v>
      </c>
      <c r="G204" s="34">
        <f>SUMIF(LIV!$C:$C,Execute!A204,LIV!$Z:$Z)</f>
        <v>0</v>
      </c>
      <c r="H204" s="34" t="e">
        <f>VLOOKUP(A204,LIV!$C:$J,8,0)</f>
        <v>#N/A</v>
      </c>
      <c r="I204" s="34" t="e">
        <f>VLOOKUP(A204,LIV!$C:$G,5,0)</f>
        <v>#N/A</v>
      </c>
      <c r="J204" s="34" t="str">
        <f t="shared" si="15"/>
        <v/>
      </c>
      <c r="K204" s="34" t="e">
        <f>VLOOKUP(A204,LIV!$C:$H,6,0)</f>
        <v>#N/A</v>
      </c>
      <c r="L204" s="34" t="str">
        <f t="shared" si="12"/>
        <v/>
      </c>
      <c r="M204" s="34" t="e">
        <f>VLOOKUP(A204,LIV!$C:$R,16,0)</f>
        <v>#N/A</v>
      </c>
      <c r="N204" s="34">
        <f t="shared" si="13"/>
        <v>0</v>
      </c>
      <c r="O204" s="34" t="e">
        <f>TEXT(VLOOKUP(A204,LIV!$C:$M,11,0),"dd.mm.yyyy")</f>
        <v>#N/A</v>
      </c>
      <c r="P204" s="34" t="str">
        <f t="shared" si="14"/>
        <v/>
      </c>
      <c r="Q204" s="33"/>
    </row>
    <row r="205" spans="1:17" x14ac:dyDescent="0.25">
      <c r="A205" s="34"/>
      <c r="B205" s="34" t="str">
        <f>IF(A205&lt;&gt;"",VLOOKUP(A205,LIV!$C:$AD,28,0),"")</f>
        <v/>
      </c>
      <c r="C205" s="34" t="str">
        <f>IF(A205&lt;&gt;"",_xlfn.XLOOKUP(A205,LIV!$C:$C,LIV!$AD:$AD,,,-1),"")</f>
        <v/>
      </c>
      <c r="D205" s="34" t="e">
        <f>TEXT(VLOOKUP(A205,LIV!$C:$S,17,0),"dd.mm.yyyy")</f>
        <v>#N/A</v>
      </c>
      <c r="E205" s="34" t="e">
        <f>VLOOKUP(A205,LIV!$C:$R,16,0)</f>
        <v>#N/A</v>
      </c>
      <c r="F205" s="34" t="str">
        <f>_xlfn.IFNA(TEXT(_xlfn.XLOOKUP(A205,LIV!$C:$C,LIV!$B:$B),"dd.mm.yyyy"),"")</f>
        <v>00.01.1900</v>
      </c>
      <c r="G205" s="34">
        <f>SUMIF(LIV!$C:$C,Execute!A205,LIV!$Z:$Z)</f>
        <v>0</v>
      </c>
      <c r="H205" s="34" t="e">
        <f>VLOOKUP(A205,LIV!$C:$J,8,0)</f>
        <v>#N/A</v>
      </c>
      <c r="I205" s="34" t="e">
        <f>VLOOKUP(A205,LIV!$C:$G,5,0)</f>
        <v>#N/A</v>
      </c>
      <c r="J205" s="34" t="str">
        <f t="shared" si="15"/>
        <v/>
      </c>
      <c r="K205" s="34" t="e">
        <f>VLOOKUP(A205,LIV!$C:$H,6,0)</f>
        <v>#N/A</v>
      </c>
      <c r="L205" s="34" t="str">
        <f t="shared" si="12"/>
        <v/>
      </c>
      <c r="M205" s="34" t="e">
        <f>VLOOKUP(A205,LIV!$C:$R,16,0)</f>
        <v>#N/A</v>
      </c>
      <c r="N205" s="34">
        <f t="shared" si="13"/>
        <v>0</v>
      </c>
      <c r="O205" s="34" t="e">
        <f>TEXT(VLOOKUP(A205,LIV!$C:$M,11,0),"dd.mm.yyyy")</f>
        <v>#N/A</v>
      </c>
      <c r="P205" s="34" t="str">
        <f t="shared" si="14"/>
        <v/>
      </c>
      <c r="Q205" s="33"/>
    </row>
    <row r="206" spans="1:17" x14ac:dyDescent="0.25">
      <c r="A206" s="34"/>
      <c r="B206" s="34" t="str">
        <f>IF(A206&lt;&gt;"",VLOOKUP(A206,LIV!$C:$AD,28,0),"")</f>
        <v/>
      </c>
      <c r="C206" s="34" t="str">
        <f>IF(A206&lt;&gt;"",_xlfn.XLOOKUP(A206,LIV!$C:$C,LIV!$AD:$AD,,,-1),"")</f>
        <v/>
      </c>
      <c r="D206" s="34" t="e">
        <f>TEXT(VLOOKUP(A206,LIV!$C:$S,17,0),"dd.mm.yyyy")</f>
        <v>#N/A</v>
      </c>
      <c r="E206" s="34" t="e">
        <f>VLOOKUP(A206,LIV!$C:$R,16,0)</f>
        <v>#N/A</v>
      </c>
      <c r="F206" s="34" t="str">
        <f>_xlfn.IFNA(TEXT(_xlfn.XLOOKUP(A206,LIV!$C:$C,LIV!$B:$B),"dd.mm.yyyy"),"")</f>
        <v>00.01.1900</v>
      </c>
      <c r="G206" s="34">
        <f>SUMIF(LIV!$C:$C,Execute!A206,LIV!$Z:$Z)</f>
        <v>0</v>
      </c>
      <c r="H206" s="34" t="e">
        <f>VLOOKUP(A206,LIV!$C:$J,8,0)</f>
        <v>#N/A</v>
      </c>
      <c r="I206" s="34" t="e">
        <f>VLOOKUP(A206,LIV!$C:$G,5,0)</f>
        <v>#N/A</v>
      </c>
      <c r="J206" s="34" t="str">
        <f t="shared" si="15"/>
        <v/>
      </c>
      <c r="K206" s="34" t="e">
        <f>VLOOKUP(A206,LIV!$C:$H,6,0)</f>
        <v>#N/A</v>
      </c>
      <c r="L206" s="34" t="str">
        <f t="shared" si="12"/>
        <v/>
      </c>
      <c r="M206" s="34" t="e">
        <f>VLOOKUP(A206,LIV!$C:$R,16,0)</f>
        <v>#N/A</v>
      </c>
      <c r="N206" s="34">
        <f t="shared" si="13"/>
        <v>0</v>
      </c>
      <c r="O206" s="34" t="e">
        <f>TEXT(VLOOKUP(A206,LIV!$C:$M,11,0),"dd.mm.yyyy")</f>
        <v>#N/A</v>
      </c>
      <c r="P206" s="34" t="str">
        <f t="shared" si="14"/>
        <v/>
      </c>
      <c r="Q206" s="33"/>
    </row>
    <row r="207" spans="1:17" x14ac:dyDescent="0.25">
      <c r="A207" s="34"/>
      <c r="B207" s="34" t="str">
        <f>IF(A207&lt;&gt;"",VLOOKUP(A207,LIV!$C:$AD,28,0),"")</f>
        <v/>
      </c>
      <c r="C207" s="34" t="str">
        <f>IF(A207&lt;&gt;"",_xlfn.XLOOKUP(A207,LIV!$C:$C,LIV!$AD:$AD,,,-1),"")</f>
        <v/>
      </c>
      <c r="D207" s="34" t="e">
        <f>TEXT(VLOOKUP(A207,LIV!$C:$S,17,0),"dd.mm.yyyy")</f>
        <v>#N/A</v>
      </c>
      <c r="E207" s="34" t="e">
        <f>VLOOKUP(A207,LIV!$C:$R,16,0)</f>
        <v>#N/A</v>
      </c>
      <c r="F207" s="34" t="str">
        <f>_xlfn.IFNA(TEXT(_xlfn.XLOOKUP(A207,LIV!$C:$C,LIV!$B:$B),"dd.mm.yyyy"),"")</f>
        <v>00.01.1900</v>
      </c>
      <c r="G207" s="34">
        <f>SUMIF(LIV!$C:$C,Execute!A207,LIV!$Z:$Z)</f>
        <v>0</v>
      </c>
      <c r="H207" s="34" t="e">
        <f>VLOOKUP(A207,LIV!$C:$J,8,0)</f>
        <v>#N/A</v>
      </c>
      <c r="I207" s="34" t="e">
        <f>VLOOKUP(A207,LIV!$C:$G,5,0)</f>
        <v>#N/A</v>
      </c>
      <c r="J207" s="34" t="str">
        <f t="shared" si="15"/>
        <v/>
      </c>
      <c r="K207" s="34" t="e">
        <f>VLOOKUP(A207,LIV!$C:$H,6,0)</f>
        <v>#N/A</v>
      </c>
      <c r="L207" s="34" t="str">
        <f t="shared" ref="L207:L270" si="16">IF(A207&lt;&gt;"","A01","")</f>
        <v/>
      </c>
      <c r="M207" s="34" t="e">
        <f>VLOOKUP(A207,LIV!$C:$R,16,0)</f>
        <v>#N/A</v>
      </c>
      <c r="N207" s="34">
        <f t="shared" ref="N207:N270" si="17">A207</f>
        <v>0</v>
      </c>
      <c r="O207" s="34" t="e">
        <f>TEXT(VLOOKUP(A207,LIV!$C:$M,11,0),"dd.mm.yyyy")</f>
        <v>#N/A</v>
      </c>
      <c r="P207" s="34" t="str">
        <f t="shared" ref="P207:P270" si="18">IF(A207&lt;&gt;"","T","")</f>
        <v/>
      </c>
      <c r="Q207" s="33"/>
    </row>
    <row r="208" spans="1:17" x14ac:dyDescent="0.25">
      <c r="A208" s="34"/>
      <c r="B208" s="34" t="str">
        <f>IF(A208&lt;&gt;"",VLOOKUP(A208,LIV!$C:$AD,28,0),"")</f>
        <v/>
      </c>
      <c r="C208" s="34" t="str">
        <f>IF(A208&lt;&gt;"",_xlfn.XLOOKUP(A208,LIV!$C:$C,LIV!$AD:$AD,,,-1),"")</f>
        <v/>
      </c>
      <c r="D208" s="34" t="e">
        <f>TEXT(VLOOKUP(A208,LIV!$C:$S,17,0),"dd.mm.yyyy")</f>
        <v>#N/A</v>
      </c>
      <c r="E208" s="34" t="e">
        <f>VLOOKUP(A208,LIV!$C:$R,16,0)</f>
        <v>#N/A</v>
      </c>
      <c r="F208" s="34" t="str">
        <f>_xlfn.IFNA(TEXT(_xlfn.XLOOKUP(A208,LIV!$C:$C,LIV!$B:$B),"dd.mm.yyyy"),"")</f>
        <v>00.01.1900</v>
      </c>
      <c r="G208" s="34">
        <f>SUMIF(LIV!$C:$C,Execute!A208,LIV!$Z:$Z)</f>
        <v>0</v>
      </c>
      <c r="H208" s="34" t="e">
        <f>VLOOKUP(A208,LIV!$C:$J,8,0)</f>
        <v>#N/A</v>
      </c>
      <c r="I208" s="34" t="e">
        <f>VLOOKUP(A208,LIV!$C:$G,5,0)</f>
        <v>#N/A</v>
      </c>
      <c r="J208" s="34" t="str">
        <f t="shared" si="15"/>
        <v/>
      </c>
      <c r="K208" s="34" t="e">
        <f>VLOOKUP(A208,LIV!$C:$H,6,0)</f>
        <v>#N/A</v>
      </c>
      <c r="L208" s="34" t="str">
        <f t="shared" si="16"/>
        <v/>
      </c>
      <c r="M208" s="34" t="e">
        <f>VLOOKUP(A208,LIV!$C:$R,16,0)</f>
        <v>#N/A</v>
      </c>
      <c r="N208" s="34">
        <f t="shared" si="17"/>
        <v>0</v>
      </c>
      <c r="O208" s="34" t="e">
        <f>TEXT(VLOOKUP(A208,LIV!$C:$M,11,0),"dd.mm.yyyy")</f>
        <v>#N/A</v>
      </c>
      <c r="P208" s="34" t="str">
        <f t="shared" si="18"/>
        <v/>
      </c>
      <c r="Q208" s="33"/>
    </row>
    <row r="209" spans="1:17" x14ac:dyDescent="0.25">
      <c r="A209" s="34"/>
      <c r="B209" s="34" t="str">
        <f>IF(A209&lt;&gt;"",VLOOKUP(A209,LIV!$C:$AD,28,0),"")</f>
        <v/>
      </c>
      <c r="C209" s="34" t="str">
        <f>IF(A209&lt;&gt;"",_xlfn.XLOOKUP(A209,LIV!$C:$C,LIV!$AD:$AD,,,-1),"")</f>
        <v/>
      </c>
      <c r="D209" s="34" t="e">
        <f>TEXT(VLOOKUP(A209,LIV!$C:$S,17,0),"dd.mm.yyyy")</f>
        <v>#N/A</v>
      </c>
      <c r="E209" s="34" t="e">
        <f>VLOOKUP(A209,LIV!$C:$R,16,0)</f>
        <v>#N/A</v>
      </c>
      <c r="F209" s="34" t="str">
        <f>_xlfn.IFNA(TEXT(_xlfn.XLOOKUP(A209,LIV!$C:$C,LIV!$B:$B),"dd.mm.yyyy"),"")</f>
        <v>00.01.1900</v>
      </c>
      <c r="G209" s="34">
        <f>SUMIF(LIV!$C:$C,Execute!A209,LIV!$Z:$Z)</f>
        <v>0</v>
      </c>
      <c r="H209" s="34" t="e">
        <f>VLOOKUP(A209,LIV!$C:$J,8,0)</f>
        <v>#N/A</v>
      </c>
      <c r="I209" s="34" t="e">
        <f>VLOOKUP(A209,LIV!$C:$G,5,0)</f>
        <v>#N/A</v>
      </c>
      <c r="J209" s="34" t="str">
        <f t="shared" si="15"/>
        <v/>
      </c>
      <c r="K209" s="34" t="e">
        <f>VLOOKUP(A209,LIV!$C:$H,6,0)</f>
        <v>#N/A</v>
      </c>
      <c r="L209" s="34" t="str">
        <f t="shared" si="16"/>
        <v/>
      </c>
      <c r="M209" s="34" t="e">
        <f>VLOOKUP(A209,LIV!$C:$R,16,0)</f>
        <v>#N/A</v>
      </c>
      <c r="N209" s="34">
        <f t="shared" si="17"/>
        <v>0</v>
      </c>
      <c r="O209" s="34" t="e">
        <f>TEXT(VLOOKUP(A209,LIV!$C:$M,11,0),"dd.mm.yyyy")</f>
        <v>#N/A</v>
      </c>
      <c r="P209" s="34" t="str">
        <f t="shared" si="18"/>
        <v/>
      </c>
      <c r="Q209" s="33"/>
    </row>
    <row r="210" spans="1:17" x14ac:dyDescent="0.25">
      <c r="A210" s="34"/>
      <c r="B210" s="34" t="str">
        <f>IF(A210&lt;&gt;"",VLOOKUP(A210,LIV!$C:$AD,28,0),"")</f>
        <v/>
      </c>
      <c r="C210" s="34" t="str">
        <f>IF(A210&lt;&gt;"",_xlfn.XLOOKUP(A210,LIV!$C:$C,LIV!$AD:$AD,,,-1),"")</f>
        <v/>
      </c>
      <c r="D210" s="34" t="e">
        <f>TEXT(VLOOKUP(A210,LIV!$C:$S,17,0),"dd.mm.yyyy")</f>
        <v>#N/A</v>
      </c>
      <c r="E210" s="34" t="e">
        <f>VLOOKUP(A210,LIV!$C:$R,16,0)</f>
        <v>#N/A</v>
      </c>
      <c r="F210" s="34" t="str">
        <f>_xlfn.IFNA(TEXT(_xlfn.XLOOKUP(A210,LIV!$C:$C,LIV!$B:$B),"dd.mm.yyyy"),"")</f>
        <v>00.01.1900</v>
      </c>
      <c r="G210" s="34">
        <f>SUMIF(LIV!$C:$C,Execute!A210,LIV!$Z:$Z)</f>
        <v>0</v>
      </c>
      <c r="H210" s="34" t="e">
        <f>VLOOKUP(A210,LIV!$C:$J,8,0)</f>
        <v>#N/A</v>
      </c>
      <c r="I210" s="34" t="e">
        <f>VLOOKUP(A210,LIV!$C:$G,5,0)</f>
        <v>#N/A</v>
      </c>
      <c r="J210" s="34" t="str">
        <f t="shared" si="15"/>
        <v/>
      </c>
      <c r="K210" s="34" t="e">
        <f>VLOOKUP(A210,LIV!$C:$H,6,0)</f>
        <v>#N/A</v>
      </c>
      <c r="L210" s="34" t="str">
        <f t="shared" si="16"/>
        <v/>
      </c>
      <c r="M210" s="34" t="e">
        <f>VLOOKUP(A210,LIV!$C:$R,16,0)</f>
        <v>#N/A</v>
      </c>
      <c r="N210" s="34">
        <f t="shared" si="17"/>
        <v>0</v>
      </c>
      <c r="O210" s="34" t="e">
        <f>TEXT(VLOOKUP(A210,LIV!$C:$M,11,0),"dd.mm.yyyy")</f>
        <v>#N/A</v>
      </c>
      <c r="P210" s="34" t="str">
        <f t="shared" si="18"/>
        <v/>
      </c>
      <c r="Q210" s="33"/>
    </row>
    <row r="211" spans="1:17" x14ac:dyDescent="0.25">
      <c r="A211" s="34"/>
      <c r="B211" s="34" t="str">
        <f>IF(A211&lt;&gt;"",VLOOKUP(A211,LIV!$C:$AD,28,0),"")</f>
        <v/>
      </c>
      <c r="C211" s="34" t="str">
        <f>IF(A211&lt;&gt;"",_xlfn.XLOOKUP(A211,LIV!$C:$C,LIV!$AD:$AD,,,-1),"")</f>
        <v/>
      </c>
      <c r="D211" s="34" t="e">
        <f>TEXT(VLOOKUP(A211,LIV!$C:$S,17,0),"dd.mm.yyyy")</f>
        <v>#N/A</v>
      </c>
      <c r="E211" s="34" t="e">
        <f>VLOOKUP(A211,LIV!$C:$R,16,0)</f>
        <v>#N/A</v>
      </c>
      <c r="F211" s="34" t="str">
        <f>_xlfn.IFNA(TEXT(_xlfn.XLOOKUP(A211,LIV!$C:$C,LIV!$B:$B),"dd.mm.yyyy"),"")</f>
        <v>00.01.1900</v>
      </c>
      <c r="G211" s="34">
        <f>SUMIF(LIV!$C:$C,Execute!A211,LIV!$Z:$Z)</f>
        <v>0</v>
      </c>
      <c r="H211" s="34" t="e">
        <f>VLOOKUP(A211,LIV!$C:$J,8,0)</f>
        <v>#N/A</v>
      </c>
      <c r="I211" s="34" t="e">
        <f>VLOOKUP(A211,LIV!$C:$G,5,0)</f>
        <v>#N/A</v>
      </c>
      <c r="J211" s="34" t="str">
        <f t="shared" si="15"/>
        <v/>
      </c>
      <c r="K211" s="34" t="e">
        <f>VLOOKUP(A211,LIV!$C:$H,6,0)</f>
        <v>#N/A</v>
      </c>
      <c r="L211" s="34" t="str">
        <f t="shared" si="16"/>
        <v/>
      </c>
      <c r="M211" s="34" t="e">
        <f>VLOOKUP(A211,LIV!$C:$R,16,0)</f>
        <v>#N/A</v>
      </c>
      <c r="N211" s="34">
        <f t="shared" si="17"/>
        <v>0</v>
      </c>
      <c r="O211" s="34" t="e">
        <f>TEXT(VLOOKUP(A211,LIV!$C:$M,11,0),"dd.mm.yyyy")</f>
        <v>#N/A</v>
      </c>
      <c r="P211" s="34" t="str">
        <f t="shared" si="18"/>
        <v/>
      </c>
      <c r="Q211" s="33"/>
    </row>
    <row r="212" spans="1:17" x14ac:dyDescent="0.25">
      <c r="A212" s="34"/>
      <c r="B212" s="34" t="str">
        <f>IF(A212&lt;&gt;"",VLOOKUP(A212,LIV!$C:$AD,28,0),"")</f>
        <v/>
      </c>
      <c r="C212" s="34" t="str">
        <f>IF(A212&lt;&gt;"",_xlfn.XLOOKUP(A212,LIV!$C:$C,LIV!$AD:$AD,,,-1),"")</f>
        <v/>
      </c>
      <c r="D212" s="34" t="e">
        <f>TEXT(VLOOKUP(A212,LIV!$C:$S,17,0),"dd.mm.yyyy")</f>
        <v>#N/A</v>
      </c>
      <c r="E212" s="34" t="e">
        <f>VLOOKUP(A212,LIV!$C:$R,16,0)</f>
        <v>#N/A</v>
      </c>
      <c r="F212" s="34" t="str">
        <f>_xlfn.IFNA(TEXT(_xlfn.XLOOKUP(A212,LIV!$C:$C,LIV!$B:$B),"dd.mm.yyyy"),"")</f>
        <v>00.01.1900</v>
      </c>
      <c r="G212" s="34">
        <f>SUMIF(LIV!$C:$C,Execute!A212,LIV!$Z:$Z)</f>
        <v>0</v>
      </c>
      <c r="H212" s="34" t="e">
        <f>VLOOKUP(A212,LIV!$C:$J,8,0)</f>
        <v>#N/A</v>
      </c>
      <c r="I212" s="34" t="e">
        <f>VLOOKUP(A212,LIV!$C:$G,5,0)</f>
        <v>#N/A</v>
      </c>
      <c r="J212" s="34" t="str">
        <f t="shared" si="15"/>
        <v/>
      </c>
      <c r="K212" s="34" t="e">
        <f>VLOOKUP(A212,LIV!$C:$H,6,0)</f>
        <v>#N/A</v>
      </c>
      <c r="L212" s="34" t="str">
        <f t="shared" si="16"/>
        <v/>
      </c>
      <c r="M212" s="34" t="e">
        <f>VLOOKUP(A212,LIV!$C:$R,16,0)</f>
        <v>#N/A</v>
      </c>
      <c r="N212" s="34">
        <f t="shared" si="17"/>
        <v>0</v>
      </c>
      <c r="O212" s="34" t="e">
        <f>TEXT(VLOOKUP(A212,LIV!$C:$M,11,0),"dd.mm.yyyy")</f>
        <v>#N/A</v>
      </c>
      <c r="P212" s="34" t="str">
        <f t="shared" si="18"/>
        <v/>
      </c>
      <c r="Q212" s="33"/>
    </row>
    <row r="213" spans="1:17" x14ac:dyDescent="0.25">
      <c r="A213" s="34"/>
      <c r="B213" s="34" t="str">
        <f>IF(A213&lt;&gt;"",VLOOKUP(A213,LIV!$C:$AD,28,0),"")</f>
        <v/>
      </c>
      <c r="C213" s="34" t="str">
        <f>IF(A213&lt;&gt;"",_xlfn.XLOOKUP(A213,LIV!$C:$C,LIV!$AD:$AD,,,-1),"")</f>
        <v/>
      </c>
      <c r="D213" s="34" t="e">
        <f>TEXT(VLOOKUP(A213,LIV!$C:$S,17,0),"dd.mm.yyyy")</f>
        <v>#N/A</v>
      </c>
      <c r="E213" s="34" t="e">
        <f>VLOOKUP(A213,LIV!$C:$R,16,0)</f>
        <v>#N/A</v>
      </c>
      <c r="F213" s="34" t="str">
        <f>_xlfn.IFNA(TEXT(_xlfn.XLOOKUP(A213,LIV!$C:$C,LIV!$B:$B),"dd.mm.yyyy"),"")</f>
        <v>00.01.1900</v>
      </c>
      <c r="G213" s="34">
        <f>SUMIF(LIV!$C:$C,Execute!A213,LIV!$Z:$Z)</f>
        <v>0</v>
      </c>
      <c r="H213" s="34" t="e">
        <f>VLOOKUP(A213,LIV!$C:$J,8,0)</f>
        <v>#N/A</v>
      </c>
      <c r="I213" s="34" t="e">
        <f>VLOOKUP(A213,LIV!$C:$G,5,0)</f>
        <v>#N/A</v>
      </c>
      <c r="J213" s="34" t="str">
        <f t="shared" si="15"/>
        <v/>
      </c>
      <c r="K213" s="34" t="e">
        <f>VLOOKUP(A213,LIV!$C:$H,6,0)</f>
        <v>#N/A</v>
      </c>
      <c r="L213" s="34" t="str">
        <f t="shared" si="16"/>
        <v/>
      </c>
      <c r="M213" s="34" t="e">
        <f>VLOOKUP(A213,LIV!$C:$R,16,0)</f>
        <v>#N/A</v>
      </c>
      <c r="N213" s="34">
        <f t="shared" si="17"/>
        <v>0</v>
      </c>
      <c r="O213" s="34" t="e">
        <f>TEXT(VLOOKUP(A213,LIV!$C:$M,11,0),"dd.mm.yyyy")</f>
        <v>#N/A</v>
      </c>
      <c r="P213" s="34" t="str">
        <f t="shared" si="18"/>
        <v/>
      </c>
      <c r="Q213" s="33"/>
    </row>
    <row r="214" spans="1:17" x14ac:dyDescent="0.25">
      <c r="A214" s="34"/>
      <c r="B214" s="34" t="str">
        <f>IF(A214&lt;&gt;"",VLOOKUP(A214,LIV!$C:$AD,28,0),"")</f>
        <v/>
      </c>
      <c r="C214" s="34" t="str">
        <f>IF(A214&lt;&gt;"",_xlfn.XLOOKUP(A214,LIV!$C:$C,LIV!$AD:$AD,,,-1),"")</f>
        <v/>
      </c>
      <c r="D214" s="34" t="e">
        <f>TEXT(VLOOKUP(A214,LIV!$C:$S,17,0),"dd.mm.yyyy")</f>
        <v>#N/A</v>
      </c>
      <c r="E214" s="34" t="e">
        <f>VLOOKUP(A214,LIV!$C:$R,16,0)</f>
        <v>#N/A</v>
      </c>
      <c r="F214" s="34" t="str">
        <f>_xlfn.IFNA(TEXT(_xlfn.XLOOKUP(A214,LIV!$C:$C,LIV!$B:$B),"dd.mm.yyyy"),"")</f>
        <v>00.01.1900</v>
      </c>
      <c r="G214" s="34">
        <f>SUMIF(LIV!$C:$C,Execute!A214,LIV!$Z:$Z)</f>
        <v>0</v>
      </c>
      <c r="H214" s="34" t="e">
        <f>VLOOKUP(A214,LIV!$C:$J,8,0)</f>
        <v>#N/A</v>
      </c>
      <c r="I214" s="34" t="e">
        <f>VLOOKUP(A214,LIV!$C:$G,5,0)</f>
        <v>#N/A</v>
      </c>
      <c r="J214" s="34" t="str">
        <f t="shared" si="15"/>
        <v/>
      </c>
      <c r="K214" s="34" t="e">
        <f>VLOOKUP(A214,LIV!$C:$H,6,0)</f>
        <v>#N/A</v>
      </c>
      <c r="L214" s="34" t="str">
        <f t="shared" si="16"/>
        <v/>
      </c>
      <c r="M214" s="34" t="e">
        <f>VLOOKUP(A214,LIV!$C:$R,16,0)</f>
        <v>#N/A</v>
      </c>
      <c r="N214" s="34">
        <f t="shared" si="17"/>
        <v>0</v>
      </c>
      <c r="O214" s="34" t="e">
        <f>TEXT(VLOOKUP(A214,LIV!$C:$M,11,0),"dd.mm.yyyy")</f>
        <v>#N/A</v>
      </c>
      <c r="P214" s="34" t="str">
        <f t="shared" si="18"/>
        <v/>
      </c>
      <c r="Q214" s="33"/>
    </row>
    <row r="215" spans="1:17" x14ac:dyDescent="0.25">
      <c r="A215" s="34"/>
      <c r="B215" s="34" t="str">
        <f>IF(A215&lt;&gt;"",VLOOKUP(A215,LIV!$C:$AD,28,0),"")</f>
        <v/>
      </c>
      <c r="C215" s="34" t="str">
        <f>IF(A215&lt;&gt;"",_xlfn.XLOOKUP(A215,LIV!$C:$C,LIV!$AD:$AD,,,-1),"")</f>
        <v/>
      </c>
      <c r="D215" s="34" t="e">
        <f>TEXT(VLOOKUP(A215,LIV!$C:$S,17,0),"dd.mm.yyyy")</f>
        <v>#N/A</v>
      </c>
      <c r="E215" s="34" t="e">
        <f>VLOOKUP(A215,LIV!$C:$R,16,0)</f>
        <v>#N/A</v>
      </c>
      <c r="F215" s="34" t="str">
        <f>_xlfn.IFNA(TEXT(_xlfn.XLOOKUP(A215,LIV!$C:$C,LIV!$B:$B),"dd.mm.yyyy"),"")</f>
        <v>00.01.1900</v>
      </c>
      <c r="G215" s="34">
        <f>SUMIF(LIV!$C:$C,Execute!A215,LIV!$Z:$Z)</f>
        <v>0</v>
      </c>
      <c r="H215" s="34" t="e">
        <f>VLOOKUP(A215,LIV!$C:$J,8,0)</f>
        <v>#N/A</v>
      </c>
      <c r="I215" s="34" t="e">
        <f>VLOOKUP(A215,LIV!$C:$G,5,0)</f>
        <v>#N/A</v>
      </c>
      <c r="J215" s="34" t="str">
        <f t="shared" si="15"/>
        <v/>
      </c>
      <c r="K215" s="34" t="e">
        <f>VLOOKUP(A215,LIV!$C:$H,6,0)</f>
        <v>#N/A</v>
      </c>
      <c r="L215" s="34" t="str">
        <f t="shared" si="16"/>
        <v/>
      </c>
      <c r="M215" s="34" t="e">
        <f>VLOOKUP(A215,LIV!$C:$R,16,0)</f>
        <v>#N/A</v>
      </c>
      <c r="N215" s="34">
        <f t="shared" si="17"/>
        <v>0</v>
      </c>
      <c r="O215" s="34" t="e">
        <f>TEXT(VLOOKUP(A215,LIV!$C:$M,11,0),"dd.mm.yyyy")</f>
        <v>#N/A</v>
      </c>
      <c r="P215" s="34" t="str">
        <f t="shared" si="18"/>
        <v/>
      </c>
      <c r="Q215" s="33"/>
    </row>
    <row r="216" spans="1:17" x14ac:dyDescent="0.25">
      <c r="A216" s="34"/>
      <c r="B216" s="34" t="str">
        <f>IF(A216&lt;&gt;"",VLOOKUP(A216,LIV!$C:$AD,28,0),"")</f>
        <v/>
      </c>
      <c r="C216" s="34" t="str">
        <f>IF(A216&lt;&gt;"",_xlfn.XLOOKUP(A216,LIV!$C:$C,LIV!$AD:$AD,,,-1),"")</f>
        <v/>
      </c>
      <c r="D216" s="34" t="e">
        <f>TEXT(VLOOKUP(A216,LIV!$C:$S,17,0),"dd.mm.yyyy")</f>
        <v>#N/A</v>
      </c>
      <c r="E216" s="34" t="e">
        <f>VLOOKUP(A216,LIV!$C:$R,16,0)</f>
        <v>#N/A</v>
      </c>
      <c r="F216" s="34" t="str">
        <f>_xlfn.IFNA(TEXT(_xlfn.XLOOKUP(A216,LIV!$C:$C,LIV!$B:$B),"dd.mm.yyyy"),"")</f>
        <v>00.01.1900</v>
      </c>
      <c r="G216" s="34">
        <f>SUMIF(LIV!$C:$C,Execute!A216,LIV!$Z:$Z)</f>
        <v>0</v>
      </c>
      <c r="H216" s="34" t="e">
        <f>VLOOKUP(A216,LIV!$C:$J,8,0)</f>
        <v>#N/A</v>
      </c>
      <c r="I216" s="34" t="e">
        <f>VLOOKUP(A216,LIV!$C:$G,5,0)</f>
        <v>#N/A</v>
      </c>
      <c r="J216" s="34" t="str">
        <f t="shared" si="15"/>
        <v/>
      </c>
      <c r="K216" s="34" t="e">
        <f>VLOOKUP(A216,LIV!$C:$H,6,0)</f>
        <v>#N/A</v>
      </c>
      <c r="L216" s="34" t="str">
        <f t="shared" si="16"/>
        <v/>
      </c>
      <c r="M216" s="34" t="e">
        <f>VLOOKUP(A216,LIV!$C:$R,16,0)</f>
        <v>#N/A</v>
      </c>
      <c r="N216" s="34">
        <f t="shared" si="17"/>
        <v>0</v>
      </c>
      <c r="O216" s="34" t="e">
        <f>TEXT(VLOOKUP(A216,LIV!$C:$M,11,0),"dd.mm.yyyy")</f>
        <v>#N/A</v>
      </c>
      <c r="P216" s="34" t="str">
        <f t="shared" si="18"/>
        <v/>
      </c>
      <c r="Q216" s="33"/>
    </row>
    <row r="217" spans="1:17" x14ac:dyDescent="0.25">
      <c r="A217" s="34"/>
      <c r="B217" s="34" t="str">
        <f>IF(A217&lt;&gt;"",VLOOKUP(A217,LIV!$C:$AD,28,0),"")</f>
        <v/>
      </c>
      <c r="C217" s="34" t="str">
        <f>IF(A217&lt;&gt;"",_xlfn.XLOOKUP(A217,LIV!$C:$C,LIV!$AD:$AD,,,-1),"")</f>
        <v/>
      </c>
      <c r="D217" s="34" t="e">
        <f>TEXT(VLOOKUP(A217,LIV!$C:$S,17,0),"dd.mm.yyyy")</f>
        <v>#N/A</v>
      </c>
      <c r="E217" s="34" t="e">
        <f>VLOOKUP(A217,LIV!$C:$R,16,0)</f>
        <v>#N/A</v>
      </c>
      <c r="F217" s="34" t="str">
        <f>_xlfn.IFNA(TEXT(_xlfn.XLOOKUP(A217,LIV!$C:$C,LIV!$B:$B),"dd.mm.yyyy"),"")</f>
        <v>00.01.1900</v>
      </c>
      <c r="G217" s="34">
        <f>SUMIF(LIV!$C:$C,Execute!A217,LIV!$Z:$Z)</f>
        <v>0</v>
      </c>
      <c r="H217" s="34" t="e">
        <f>VLOOKUP(A217,LIV!$C:$J,8,0)</f>
        <v>#N/A</v>
      </c>
      <c r="I217" s="34" t="e">
        <f>VLOOKUP(A217,LIV!$C:$G,5,0)</f>
        <v>#N/A</v>
      </c>
      <c r="J217" s="34" t="str">
        <f t="shared" si="15"/>
        <v/>
      </c>
      <c r="K217" s="34" t="e">
        <f>VLOOKUP(A217,LIV!$C:$H,6,0)</f>
        <v>#N/A</v>
      </c>
      <c r="L217" s="34" t="str">
        <f t="shared" si="16"/>
        <v/>
      </c>
      <c r="M217" s="34" t="e">
        <f>VLOOKUP(A217,LIV!$C:$R,16,0)</f>
        <v>#N/A</v>
      </c>
      <c r="N217" s="34">
        <f t="shared" si="17"/>
        <v>0</v>
      </c>
      <c r="O217" s="34" t="e">
        <f>TEXT(VLOOKUP(A217,LIV!$C:$M,11,0),"dd.mm.yyyy")</f>
        <v>#N/A</v>
      </c>
      <c r="P217" s="34" t="str">
        <f t="shared" si="18"/>
        <v/>
      </c>
      <c r="Q217" s="33"/>
    </row>
    <row r="218" spans="1:17" x14ac:dyDescent="0.25">
      <c r="A218" s="34"/>
      <c r="B218" s="34" t="str">
        <f>IF(A218&lt;&gt;"",VLOOKUP(A218,LIV!$C:$AD,28,0),"")</f>
        <v/>
      </c>
      <c r="C218" s="34" t="str">
        <f>IF(A218&lt;&gt;"",_xlfn.XLOOKUP(A218,LIV!$C:$C,LIV!$AD:$AD,,,-1),"")</f>
        <v/>
      </c>
      <c r="D218" s="34" t="e">
        <f>TEXT(VLOOKUP(A218,LIV!$C:$S,17,0),"dd.mm.yyyy")</f>
        <v>#N/A</v>
      </c>
      <c r="E218" s="34" t="e">
        <f>VLOOKUP(A218,LIV!$C:$R,16,0)</f>
        <v>#N/A</v>
      </c>
      <c r="F218" s="34" t="str">
        <f>_xlfn.IFNA(TEXT(_xlfn.XLOOKUP(A218,LIV!$C:$C,LIV!$B:$B),"dd.mm.yyyy"),"")</f>
        <v>00.01.1900</v>
      </c>
      <c r="G218" s="34">
        <f>SUMIF(LIV!$C:$C,Execute!A218,LIV!$Z:$Z)</f>
        <v>0</v>
      </c>
      <c r="H218" s="34" t="e">
        <f>VLOOKUP(A218,LIV!$C:$J,8,0)</f>
        <v>#N/A</v>
      </c>
      <c r="I218" s="34" t="e">
        <f>VLOOKUP(A218,LIV!$C:$G,5,0)</f>
        <v>#N/A</v>
      </c>
      <c r="J218" s="34" t="str">
        <f t="shared" si="15"/>
        <v/>
      </c>
      <c r="K218" s="34" t="e">
        <f>VLOOKUP(A218,LIV!$C:$H,6,0)</f>
        <v>#N/A</v>
      </c>
      <c r="L218" s="34" t="str">
        <f t="shared" si="16"/>
        <v/>
      </c>
      <c r="M218" s="34" t="e">
        <f>VLOOKUP(A218,LIV!$C:$R,16,0)</f>
        <v>#N/A</v>
      </c>
      <c r="N218" s="34">
        <f t="shared" si="17"/>
        <v>0</v>
      </c>
      <c r="O218" s="34" t="e">
        <f>TEXT(VLOOKUP(A218,LIV!$C:$M,11,0),"dd.mm.yyyy")</f>
        <v>#N/A</v>
      </c>
      <c r="P218" s="34" t="str">
        <f t="shared" si="18"/>
        <v/>
      </c>
      <c r="Q218" s="33"/>
    </row>
    <row r="219" spans="1:17" x14ac:dyDescent="0.25">
      <c r="A219" s="34"/>
      <c r="B219" s="34" t="str">
        <f>IF(A219&lt;&gt;"",VLOOKUP(A219,LIV!$C:$AD,28,0),"")</f>
        <v/>
      </c>
      <c r="C219" s="34" t="str">
        <f>IF(A219&lt;&gt;"",_xlfn.XLOOKUP(A219,LIV!$C:$C,LIV!$AD:$AD,,,-1),"")</f>
        <v/>
      </c>
      <c r="D219" s="34" t="e">
        <f>TEXT(VLOOKUP(A219,LIV!$C:$S,17,0),"dd.mm.yyyy")</f>
        <v>#N/A</v>
      </c>
      <c r="E219" s="34" t="e">
        <f>VLOOKUP(A219,LIV!$C:$R,16,0)</f>
        <v>#N/A</v>
      </c>
      <c r="F219" s="34" t="str">
        <f>_xlfn.IFNA(TEXT(_xlfn.XLOOKUP(A219,LIV!$C:$C,LIV!$B:$B),"dd.mm.yyyy"),"")</f>
        <v>00.01.1900</v>
      </c>
      <c r="G219" s="34">
        <f>SUMIF(LIV!$C:$C,Execute!A219,LIV!$Z:$Z)</f>
        <v>0</v>
      </c>
      <c r="H219" s="34" t="e">
        <f>VLOOKUP(A219,LIV!$C:$J,8,0)</f>
        <v>#N/A</v>
      </c>
      <c r="I219" s="34" t="e">
        <f>VLOOKUP(A219,LIV!$C:$G,5,0)</f>
        <v>#N/A</v>
      </c>
      <c r="J219" s="34" t="str">
        <f t="shared" si="15"/>
        <v/>
      </c>
      <c r="K219" s="34" t="e">
        <f>VLOOKUP(A219,LIV!$C:$H,6,0)</f>
        <v>#N/A</v>
      </c>
      <c r="L219" s="34" t="str">
        <f t="shared" si="16"/>
        <v/>
      </c>
      <c r="M219" s="34" t="e">
        <f>VLOOKUP(A219,LIV!$C:$R,16,0)</f>
        <v>#N/A</v>
      </c>
      <c r="N219" s="34">
        <f t="shared" si="17"/>
        <v>0</v>
      </c>
      <c r="O219" s="34" t="e">
        <f>TEXT(VLOOKUP(A219,LIV!$C:$M,11,0),"dd.mm.yyyy")</f>
        <v>#N/A</v>
      </c>
      <c r="P219" s="34" t="str">
        <f t="shared" si="18"/>
        <v/>
      </c>
      <c r="Q219" s="33"/>
    </row>
    <row r="220" spans="1:17" x14ac:dyDescent="0.25">
      <c r="A220" s="34"/>
      <c r="B220" s="34" t="str">
        <f>IF(A220&lt;&gt;"",VLOOKUP(A220,LIV!$C:$AD,28,0),"")</f>
        <v/>
      </c>
      <c r="C220" s="34" t="str">
        <f>IF(A220&lt;&gt;"",_xlfn.XLOOKUP(A220,LIV!$C:$C,LIV!$AD:$AD,,,-1),"")</f>
        <v/>
      </c>
      <c r="D220" s="34" t="e">
        <f>TEXT(VLOOKUP(A220,LIV!$C:$S,17,0),"dd.mm.yyyy")</f>
        <v>#N/A</v>
      </c>
      <c r="E220" s="34" t="e">
        <f>VLOOKUP(A220,LIV!$C:$R,16,0)</f>
        <v>#N/A</v>
      </c>
      <c r="F220" s="34" t="str">
        <f>_xlfn.IFNA(TEXT(_xlfn.XLOOKUP(A220,LIV!$C:$C,LIV!$B:$B),"dd.mm.yyyy"),"")</f>
        <v>00.01.1900</v>
      </c>
      <c r="G220" s="34">
        <f>SUMIF(LIV!$C:$C,Execute!A220,LIV!$Z:$Z)</f>
        <v>0</v>
      </c>
      <c r="H220" s="34" t="e">
        <f>VLOOKUP(A220,LIV!$C:$J,8,0)</f>
        <v>#N/A</v>
      </c>
      <c r="I220" s="34" t="e">
        <f>VLOOKUP(A220,LIV!$C:$G,5,0)</f>
        <v>#N/A</v>
      </c>
      <c r="J220" s="34" t="str">
        <f t="shared" si="15"/>
        <v/>
      </c>
      <c r="K220" s="34" t="e">
        <f>VLOOKUP(A220,LIV!$C:$H,6,0)</f>
        <v>#N/A</v>
      </c>
      <c r="L220" s="34" t="str">
        <f t="shared" si="16"/>
        <v/>
      </c>
      <c r="M220" s="34" t="e">
        <f>VLOOKUP(A220,LIV!$C:$R,16,0)</f>
        <v>#N/A</v>
      </c>
      <c r="N220" s="34">
        <f t="shared" si="17"/>
        <v>0</v>
      </c>
      <c r="O220" s="34" t="e">
        <f>TEXT(VLOOKUP(A220,LIV!$C:$M,11,0),"dd.mm.yyyy")</f>
        <v>#N/A</v>
      </c>
      <c r="P220" s="34" t="str">
        <f t="shared" si="18"/>
        <v/>
      </c>
      <c r="Q220" s="33"/>
    </row>
    <row r="221" spans="1:17" x14ac:dyDescent="0.25">
      <c r="A221" s="34"/>
      <c r="B221" s="34" t="str">
        <f>IF(A221&lt;&gt;"",VLOOKUP(A221,LIV!$C:$AD,28,0),"")</f>
        <v/>
      </c>
      <c r="C221" s="34" t="str">
        <f>IF(A221&lt;&gt;"",_xlfn.XLOOKUP(A221,LIV!$C:$C,LIV!$AD:$AD,,,-1),"")</f>
        <v/>
      </c>
      <c r="D221" s="34" t="e">
        <f>TEXT(VLOOKUP(A221,LIV!$C:$S,17,0),"dd.mm.yyyy")</f>
        <v>#N/A</v>
      </c>
      <c r="E221" s="34" t="e">
        <f>VLOOKUP(A221,LIV!$C:$R,16,0)</f>
        <v>#N/A</v>
      </c>
      <c r="F221" s="34" t="str">
        <f>_xlfn.IFNA(TEXT(_xlfn.XLOOKUP(A221,LIV!$C:$C,LIV!$B:$B),"dd.mm.yyyy"),"")</f>
        <v>00.01.1900</v>
      </c>
      <c r="G221" s="34">
        <f>SUMIF(LIV!$C:$C,Execute!A221,LIV!$Z:$Z)</f>
        <v>0</v>
      </c>
      <c r="H221" s="34" t="e">
        <f>VLOOKUP(A221,LIV!$C:$J,8,0)</f>
        <v>#N/A</v>
      </c>
      <c r="I221" s="34" t="e">
        <f>VLOOKUP(A221,LIV!$C:$G,5,0)</f>
        <v>#N/A</v>
      </c>
      <c r="J221" s="34" t="str">
        <f t="shared" si="15"/>
        <v/>
      </c>
      <c r="K221" s="34" t="e">
        <f>VLOOKUP(A221,LIV!$C:$H,6,0)</f>
        <v>#N/A</v>
      </c>
      <c r="L221" s="34" t="str">
        <f t="shared" si="16"/>
        <v/>
      </c>
      <c r="M221" s="34" t="e">
        <f>VLOOKUP(A221,LIV!$C:$R,16,0)</f>
        <v>#N/A</v>
      </c>
      <c r="N221" s="34">
        <f t="shared" si="17"/>
        <v>0</v>
      </c>
      <c r="O221" s="34" t="e">
        <f>TEXT(VLOOKUP(A221,LIV!$C:$M,11,0),"dd.mm.yyyy")</f>
        <v>#N/A</v>
      </c>
      <c r="P221" s="34" t="str">
        <f t="shared" si="18"/>
        <v/>
      </c>
      <c r="Q221" s="33"/>
    </row>
    <row r="222" spans="1:17" x14ac:dyDescent="0.25">
      <c r="A222" s="34"/>
      <c r="B222" s="34" t="str">
        <f>IF(A222&lt;&gt;"",VLOOKUP(A222,LIV!$C:$AD,28,0),"")</f>
        <v/>
      </c>
      <c r="C222" s="34" t="str">
        <f>IF(A222&lt;&gt;"",_xlfn.XLOOKUP(A222,LIV!$C:$C,LIV!$AD:$AD,,,-1),"")</f>
        <v/>
      </c>
      <c r="D222" s="34" t="e">
        <f>TEXT(VLOOKUP(A222,LIV!$C:$S,17,0),"dd.mm.yyyy")</f>
        <v>#N/A</v>
      </c>
      <c r="E222" s="34" t="e">
        <f>VLOOKUP(A222,LIV!$C:$R,16,0)</f>
        <v>#N/A</v>
      </c>
      <c r="F222" s="34" t="str">
        <f>_xlfn.IFNA(TEXT(_xlfn.XLOOKUP(A222,LIV!$C:$C,LIV!$B:$B),"dd.mm.yyyy"),"")</f>
        <v>00.01.1900</v>
      </c>
      <c r="G222" s="34">
        <f>SUMIF(LIV!$C:$C,Execute!A222,LIV!$Z:$Z)</f>
        <v>0</v>
      </c>
      <c r="H222" s="34" t="e">
        <f>VLOOKUP(A222,LIV!$C:$J,8,0)</f>
        <v>#N/A</v>
      </c>
      <c r="I222" s="34" t="e">
        <f>VLOOKUP(A222,LIV!$C:$G,5,0)</f>
        <v>#N/A</v>
      </c>
      <c r="J222" s="34" t="str">
        <f t="shared" si="15"/>
        <v/>
      </c>
      <c r="K222" s="34" t="e">
        <f>VLOOKUP(A222,LIV!$C:$H,6,0)</f>
        <v>#N/A</v>
      </c>
      <c r="L222" s="34" t="str">
        <f t="shared" si="16"/>
        <v/>
      </c>
      <c r="M222" s="34" t="e">
        <f>VLOOKUP(A222,LIV!$C:$R,16,0)</f>
        <v>#N/A</v>
      </c>
      <c r="N222" s="34">
        <f t="shared" si="17"/>
        <v>0</v>
      </c>
      <c r="O222" s="34" t="e">
        <f>TEXT(VLOOKUP(A222,LIV!$C:$M,11,0),"dd.mm.yyyy")</f>
        <v>#N/A</v>
      </c>
      <c r="P222" s="34" t="str">
        <f t="shared" si="18"/>
        <v/>
      </c>
      <c r="Q222" s="33"/>
    </row>
    <row r="223" spans="1:17" x14ac:dyDescent="0.25">
      <c r="A223" s="34"/>
      <c r="B223" s="34" t="str">
        <f>IF(A223&lt;&gt;"",VLOOKUP(A223,LIV!$C:$AD,28,0),"")</f>
        <v/>
      </c>
      <c r="C223" s="34" t="str">
        <f>IF(A223&lt;&gt;"",_xlfn.XLOOKUP(A223,LIV!$C:$C,LIV!$AD:$AD,,,-1),"")</f>
        <v/>
      </c>
      <c r="D223" s="34" t="e">
        <f>TEXT(VLOOKUP(A223,LIV!$C:$S,17,0),"dd.mm.yyyy")</f>
        <v>#N/A</v>
      </c>
      <c r="E223" s="34" t="e">
        <f>VLOOKUP(A223,LIV!$C:$R,16,0)</f>
        <v>#N/A</v>
      </c>
      <c r="F223" s="34" t="str">
        <f>_xlfn.IFNA(TEXT(_xlfn.XLOOKUP(A223,LIV!$C:$C,LIV!$B:$B),"dd.mm.yyyy"),"")</f>
        <v>00.01.1900</v>
      </c>
      <c r="G223" s="34">
        <f>SUMIF(LIV!$C:$C,Execute!A223,LIV!$Z:$Z)</f>
        <v>0</v>
      </c>
      <c r="H223" s="34" t="e">
        <f>VLOOKUP(A223,LIV!$C:$J,8,0)</f>
        <v>#N/A</v>
      </c>
      <c r="I223" s="34" t="e">
        <f>VLOOKUP(A223,LIV!$C:$G,5,0)</f>
        <v>#N/A</v>
      </c>
      <c r="J223" s="34" t="str">
        <f t="shared" si="15"/>
        <v/>
      </c>
      <c r="K223" s="34" t="e">
        <f>VLOOKUP(A223,LIV!$C:$H,6,0)</f>
        <v>#N/A</v>
      </c>
      <c r="L223" s="34" t="str">
        <f t="shared" si="16"/>
        <v/>
      </c>
      <c r="M223" s="34" t="e">
        <f>VLOOKUP(A223,LIV!$C:$R,16,0)</f>
        <v>#N/A</v>
      </c>
      <c r="N223" s="34">
        <f t="shared" si="17"/>
        <v>0</v>
      </c>
      <c r="O223" s="34" t="e">
        <f>TEXT(VLOOKUP(A223,LIV!$C:$M,11,0),"dd.mm.yyyy")</f>
        <v>#N/A</v>
      </c>
      <c r="P223" s="34" t="str">
        <f t="shared" si="18"/>
        <v/>
      </c>
      <c r="Q223" s="33"/>
    </row>
    <row r="224" spans="1:17" x14ac:dyDescent="0.25">
      <c r="A224" s="34"/>
      <c r="B224" s="34" t="str">
        <f>IF(A224&lt;&gt;"",VLOOKUP(A224,LIV!$C:$AD,28,0),"")</f>
        <v/>
      </c>
      <c r="C224" s="34" t="str">
        <f>IF(A224&lt;&gt;"",_xlfn.XLOOKUP(A224,LIV!$C:$C,LIV!$AD:$AD,,,-1),"")</f>
        <v/>
      </c>
      <c r="D224" s="34" t="e">
        <f>TEXT(VLOOKUP(A224,LIV!$C:$S,17,0),"dd.mm.yyyy")</f>
        <v>#N/A</v>
      </c>
      <c r="E224" s="34" t="e">
        <f>VLOOKUP(A224,LIV!$C:$R,16,0)</f>
        <v>#N/A</v>
      </c>
      <c r="F224" s="34" t="str">
        <f>_xlfn.IFNA(TEXT(_xlfn.XLOOKUP(A224,LIV!$C:$C,LIV!$B:$B),"dd.mm.yyyy"),"")</f>
        <v>00.01.1900</v>
      </c>
      <c r="G224" s="34">
        <f>SUMIF(LIV!$C:$C,Execute!A224,LIV!$Z:$Z)</f>
        <v>0</v>
      </c>
      <c r="H224" s="34" t="e">
        <f>VLOOKUP(A224,LIV!$C:$J,8,0)</f>
        <v>#N/A</v>
      </c>
      <c r="I224" s="34" t="e">
        <f>VLOOKUP(A224,LIV!$C:$G,5,0)</f>
        <v>#N/A</v>
      </c>
      <c r="J224" s="34" t="str">
        <f t="shared" si="15"/>
        <v/>
      </c>
      <c r="K224" s="34" t="e">
        <f>VLOOKUP(A224,LIV!$C:$H,6,0)</f>
        <v>#N/A</v>
      </c>
      <c r="L224" s="34" t="str">
        <f t="shared" si="16"/>
        <v/>
      </c>
      <c r="M224" s="34" t="e">
        <f>VLOOKUP(A224,LIV!$C:$R,16,0)</f>
        <v>#N/A</v>
      </c>
      <c r="N224" s="34">
        <f t="shared" si="17"/>
        <v>0</v>
      </c>
      <c r="O224" s="34" t="e">
        <f>TEXT(VLOOKUP(A224,LIV!$C:$M,11,0),"dd.mm.yyyy")</f>
        <v>#N/A</v>
      </c>
      <c r="P224" s="34" t="str">
        <f t="shared" si="18"/>
        <v/>
      </c>
      <c r="Q224" s="33"/>
    </row>
    <row r="225" spans="1:17" x14ac:dyDescent="0.25">
      <c r="A225" s="34"/>
      <c r="B225" s="34" t="str">
        <f>IF(A225&lt;&gt;"",VLOOKUP(A225,LIV!$C:$AD,28,0),"")</f>
        <v/>
      </c>
      <c r="C225" s="34" t="str">
        <f>IF(A225&lt;&gt;"",_xlfn.XLOOKUP(A225,LIV!$C:$C,LIV!$AD:$AD,,,-1),"")</f>
        <v/>
      </c>
      <c r="D225" s="34" t="e">
        <f>TEXT(VLOOKUP(A225,LIV!$C:$S,17,0),"dd.mm.yyyy")</f>
        <v>#N/A</v>
      </c>
      <c r="E225" s="34" t="e">
        <f>VLOOKUP(A225,LIV!$C:$R,16,0)</f>
        <v>#N/A</v>
      </c>
      <c r="F225" s="34" t="str">
        <f>_xlfn.IFNA(TEXT(_xlfn.XLOOKUP(A225,LIV!$C:$C,LIV!$B:$B),"dd.mm.yyyy"),"")</f>
        <v>00.01.1900</v>
      </c>
      <c r="G225" s="34">
        <f>SUMIF(LIV!$C:$C,Execute!A225,LIV!$Z:$Z)</f>
        <v>0</v>
      </c>
      <c r="H225" s="34" t="e">
        <f>VLOOKUP(A225,LIV!$C:$J,8,0)</f>
        <v>#N/A</v>
      </c>
      <c r="I225" s="34" t="e">
        <f>VLOOKUP(A225,LIV!$C:$G,5,0)</f>
        <v>#N/A</v>
      </c>
      <c r="J225" s="34" t="str">
        <f t="shared" si="15"/>
        <v/>
      </c>
      <c r="K225" s="34" t="e">
        <f>VLOOKUP(A225,LIV!$C:$H,6,0)</f>
        <v>#N/A</v>
      </c>
      <c r="L225" s="34" t="str">
        <f t="shared" si="16"/>
        <v/>
      </c>
      <c r="M225" s="34" t="e">
        <f>VLOOKUP(A225,LIV!$C:$R,16,0)</f>
        <v>#N/A</v>
      </c>
      <c r="N225" s="34">
        <f t="shared" si="17"/>
        <v>0</v>
      </c>
      <c r="O225" s="34" t="e">
        <f>TEXT(VLOOKUP(A225,LIV!$C:$M,11,0),"dd.mm.yyyy")</f>
        <v>#N/A</v>
      </c>
      <c r="P225" s="34" t="str">
        <f t="shared" si="18"/>
        <v/>
      </c>
      <c r="Q225" s="33"/>
    </row>
    <row r="226" spans="1:17" x14ac:dyDescent="0.25">
      <c r="A226" s="34"/>
      <c r="B226" s="34" t="str">
        <f>IF(A226&lt;&gt;"",VLOOKUP(A226,LIV!$C:$AD,28,0),"")</f>
        <v/>
      </c>
      <c r="C226" s="34" t="str">
        <f>IF(A226&lt;&gt;"",_xlfn.XLOOKUP(A226,LIV!$C:$C,LIV!$AD:$AD,,,-1),"")</f>
        <v/>
      </c>
      <c r="D226" s="34" t="e">
        <f>TEXT(VLOOKUP(A226,LIV!$C:$S,17,0),"dd.mm.yyyy")</f>
        <v>#N/A</v>
      </c>
      <c r="E226" s="34" t="e">
        <f>VLOOKUP(A226,LIV!$C:$R,16,0)</f>
        <v>#N/A</v>
      </c>
      <c r="F226" s="34" t="str">
        <f>_xlfn.IFNA(TEXT(_xlfn.XLOOKUP(A226,LIV!$C:$C,LIV!$B:$B),"dd.mm.yyyy"),"")</f>
        <v>00.01.1900</v>
      </c>
      <c r="G226" s="34">
        <f>SUMIF(LIV!$C:$C,Execute!A226,LIV!$Z:$Z)</f>
        <v>0</v>
      </c>
      <c r="H226" s="34" t="e">
        <f>VLOOKUP(A226,LIV!$C:$J,8,0)</f>
        <v>#N/A</v>
      </c>
      <c r="I226" s="34" t="e">
        <f>VLOOKUP(A226,LIV!$C:$G,5,0)</f>
        <v>#N/A</v>
      </c>
      <c r="J226" s="34" t="str">
        <f t="shared" si="15"/>
        <v/>
      </c>
      <c r="K226" s="34" t="e">
        <f>VLOOKUP(A226,LIV!$C:$H,6,0)</f>
        <v>#N/A</v>
      </c>
      <c r="L226" s="34" t="str">
        <f t="shared" si="16"/>
        <v/>
      </c>
      <c r="M226" s="34" t="e">
        <f>VLOOKUP(A226,LIV!$C:$R,16,0)</f>
        <v>#N/A</v>
      </c>
      <c r="N226" s="34">
        <f t="shared" si="17"/>
        <v>0</v>
      </c>
      <c r="O226" s="34" t="e">
        <f>TEXT(VLOOKUP(A226,LIV!$C:$M,11,0),"dd.mm.yyyy")</f>
        <v>#N/A</v>
      </c>
      <c r="P226" s="34" t="str">
        <f t="shared" si="18"/>
        <v/>
      </c>
      <c r="Q226" s="33"/>
    </row>
    <row r="227" spans="1:17" x14ac:dyDescent="0.25">
      <c r="A227" s="34"/>
      <c r="B227" s="34" t="str">
        <f>IF(A227&lt;&gt;"",VLOOKUP(A227,LIV!$C:$AD,28,0),"")</f>
        <v/>
      </c>
      <c r="C227" s="34" t="str">
        <f>IF(A227&lt;&gt;"",_xlfn.XLOOKUP(A227,LIV!$C:$C,LIV!$AD:$AD,,,-1),"")</f>
        <v/>
      </c>
      <c r="D227" s="34" t="e">
        <f>TEXT(VLOOKUP(A227,LIV!$C:$S,17,0),"dd.mm.yyyy")</f>
        <v>#N/A</v>
      </c>
      <c r="E227" s="34" t="e">
        <f>VLOOKUP(A227,LIV!$C:$R,16,0)</f>
        <v>#N/A</v>
      </c>
      <c r="F227" s="34" t="str">
        <f>_xlfn.IFNA(TEXT(_xlfn.XLOOKUP(A227,LIV!$C:$C,LIV!$B:$B),"dd.mm.yyyy"),"")</f>
        <v>00.01.1900</v>
      </c>
      <c r="G227" s="34">
        <f>SUMIF(LIV!$C:$C,Execute!A227,LIV!$Z:$Z)</f>
        <v>0</v>
      </c>
      <c r="H227" s="34" t="e">
        <f>VLOOKUP(A227,LIV!$C:$J,8,0)</f>
        <v>#N/A</v>
      </c>
      <c r="I227" s="34" t="e">
        <f>VLOOKUP(A227,LIV!$C:$G,5,0)</f>
        <v>#N/A</v>
      </c>
      <c r="J227" s="34" t="str">
        <f t="shared" si="15"/>
        <v/>
      </c>
      <c r="K227" s="34" t="e">
        <f>VLOOKUP(A227,LIV!$C:$H,6,0)</f>
        <v>#N/A</v>
      </c>
      <c r="L227" s="34" t="str">
        <f t="shared" si="16"/>
        <v/>
      </c>
      <c r="M227" s="34" t="e">
        <f>VLOOKUP(A227,LIV!$C:$R,16,0)</f>
        <v>#N/A</v>
      </c>
      <c r="N227" s="34">
        <f t="shared" si="17"/>
        <v>0</v>
      </c>
      <c r="O227" s="34" t="e">
        <f>TEXT(VLOOKUP(A227,LIV!$C:$M,11,0),"dd.mm.yyyy")</f>
        <v>#N/A</v>
      </c>
      <c r="P227" s="34" t="str">
        <f t="shared" si="18"/>
        <v/>
      </c>
      <c r="Q227" s="33"/>
    </row>
    <row r="228" spans="1:17" x14ac:dyDescent="0.25">
      <c r="A228" s="34"/>
      <c r="B228" s="34" t="str">
        <f>IF(A228&lt;&gt;"",VLOOKUP(A228,LIV!$C:$AD,28,0),"")</f>
        <v/>
      </c>
      <c r="C228" s="34" t="str">
        <f>IF(A228&lt;&gt;"",_xlfn.XLOOKUP(A228,LIV!$C:$C,LIV!$AD:$AD,,,-1),"")</f>
        <v/>
      </c>
      <c r="D228" s="34" t="e">
        <f>TEXT(VLOOKUP(A228,LIV!$C:$S,17,0),"dd.mm.yyyy")</f>
        <v>#N/A</v>
      </c>
      <c r="E228" s="34" t="e">
        <f>VLOOKUP(A228,LIV!$C:$R,16,0)</f>
        <v>#N/A</v>
      </c>
      <c r="F228" s="34" t="str">
        <f>_xlfn.IFNA(TEXT(_xlfn.XLOOKUP(A228,LIV!$C:$C,LIV!$B:$B),"dd.mm.yyyy"),"")</f>
        <v>00.01.1900</v>
      </c>
      <c r="G228" s="34">
        <f>SUMIF(LIV!$C:$C,Execute!A228,LIV!$Z:$Z)</f>
        <v>0</v>
      </c>
      <c r="H228" s="34" t="e">
        <f>VLOOKUP(A228,LIV!$C:$J,8,0)</f>
        <v>#N/A</v>
      </c>
      <c r="I228" s="34" t="e">
        <f>VLOOKUP(A228,LIV!$C:$G,5,0)</f>
        <v>#N/A</v>
      </c>
      <c r="J228" s="34" t="str">
        <f t="shared" si="15"/>
        <v/>
      </c>
      <c r="K228" s="34" t="e">
        <f>VLOOKUP(A228,LIV!$C:$H,6,0)</f>
        <v>#N/A</v>
      </c>
      <c r="L228" s="34" t="str">
        <f t="shared" si="16"/>
        <v/>
      </c>
      <c r="M228" s="34" t="e">
        <f>VLOOKUP(A228,LIV!$C:$R,16,0)</f>
        <v>#N/A</v>
      </c>
      <c r="N228" s="34">
        <f t="shared" si="17"/>
        <v>0</v>
      </c>
      <c r="O228" s="34" t="e">
        <f>TEXT(VLOOKUP(A228,LIV!$C:$M,11,0),"dd.mm.yyyy")</f>
        <v>#N/A</v>
      </c>
      <c r="P228" s="34" t="str">
        <f t="shared" si="18"/>
        <v/>
      </c>
      <c r="Q228" s="33"/>
    </row>
    <row r="229" spans="1:17" x14ac:dyDescent="0.25">
      <c r="A229" s="34"/>
      <c r="B229" s="34" t="str">
        <f>IF(A229&lt;&gt;"",VLOOKUP(A229,LIV!$C:$AD,28,0),"")</f>
        <v/>
      </c>
      <c r="C229" s="34" t="str">
        <f>IF(A229&lt;&gt;"",_xlfn.XLOOKUP(A229,LIV!$C:$C,LIV!$AD:$AD,,,-1),"")</f>
        <v/>
      </c>
      <c r="D229" s="34" t="e">
        <f>TEXT(VLOOKUP(A229,LIV!$C:$S,17,0),"dd.mm.yyyy")</f>
        <v>#N/A</v>
      </c>
      <c r="E229" s="34" t="e">
        <f>VLOOKUP(A229,LIV!$C:$R,16,0)</f>
        <v>#N/A</v>
      </c>
      <c r="F229" s="34" t="str">
        <f>_xlfn.IFNA(TEXT(_xlfn.XLOOKUP(A229,LIV!$C:$C,LIV!$B:$B),"dd.mm.yyyy"),"")</f>
        <v>00.01.1900</v>
      </c>
      <c r="G229" s="34">
        <f>SUMIF(LIV!$C:$C,Execute!A229,LIV!$Z:$Z)</f>
        <v>0</v>
      </c>
      <c r="H229" s="34" t="e">
        <f>VLOOKUP(A229,LIV!$C:$J,8,0)</f>
        <v>#N/A</v>
      </c>
      <c r="I229" s="34" t="e">
        <f>VLOOKUP(A229,LIV!$C:$G,5,0)</f>
        <v>#N/A</v>
      </c>
      <c r="J229" s="34" t="str">
        <f t="shared" si="15"/>
        <v/>
      </c>
      <c r="K229" s="34" t="e">
        <f>VLOOKUP(A229,LIV!$C:$H,6,0)</f>
        <v>#N/A</v>
      </c>
      <c r="L229" s="34" t="str">
        <f t="shared" si="16"/>
        <v/>
      </c>
      <c r="M229" s="34" t="e">
        <f>VLOOKUP(A229,LIV!$C:$R,16,0)</f>
        <v>#N/A</v>
      </c>
      <c r="N229" s="34">
        <f t="shared" si="17"/>
        <v>0</v>
      </c>
      <c r="O229" s="34" t="e">
        <f>TEXT(VLOOKUP(A229,LIV!$C:$M,11,0),"dd.mm.yyyy")</f>
        <v>#N/A</v>
      </c>
      <c r="P229" s="34" t="str">
        <f t="shared" si="18"/>
        <v/>
      </c>
      <c r="Q229" s="33"/>
    </row>
    <row r="230" spans="1:17" x14ac:dyDescent="0.25">
      <c r="A230" s="34"/>
      <c r="B230" s="34" t="str">
        <f>IF(A230&lt;&gt;"",VLOOKUP(A230,LIV!$C:$AD,28,0),"")</f>
        <v/>
      </c>
      <c r="C230" s="34" t="str">
        <f>IF(A230&lt;&gt;"",_xlfn.XLOOKUP(A230,LIV!$C:$C,LIV!$AD:$AD,,,-1),"")</f>
        <v/>
      </c>
      <c r="D230" s="34" t="e">
        <f>TEXT(VLOOKUP(A230,LIV!$C:$S,17,0),"dd.mm.yyyy")</f>
        <v>#N/A</v>
      </c>
      <c r="E230" s="34" t="e">
        <f>VLOOKUP(A230,LIV!$C:$R,16,0)</f>
        <v>#N/A</v>
      </c>
      <c r="F230" s="34" t="str">
        <f>_xlfn.IFNA(TEXT(_xlfn.XLOOKUP(A230,LIV!$C:$C,LIV!$B:$B),"dd.mm.yyyy"),"")</f>
        <v>00.01.1900</v>
      </c>
      <c r="G230" s="34">
        <f>SUMIF(LIV!$C:$C,Execute!A230,LIV!$Z:$Z)</f>
        <v>0</v>
      </c>
      <c r="H230" s="34" t="e">
        <f>VLOOKUP(A230,LIV!$C:$J,8,0)</f>
        <v>#N/A</v>
      </c>
      <c r="I230" s="34" t="e">
        <f>VLOOKUP(A230,LIV!$C:$G,5,0)</f>
        <v>#N/A</v>
      </c>
      <c r="J230" s="34" t="str">
        <f t="shared" si="15"/>
        <v/>
      </c>
      <c r="K230" s="34" t="e">
        <f>VLOOKUP(A230,LIV!$C:$H,6,0)</f>
        <v>#N/A</v>
      </c>
      <c r="L230" s="34" t="str">
        <f t="shared" si="16"/>
        <v/>
      </c>
      <c r="M230" s="34" t="e">
        <f>VLOOKUP(A230,LIV!$C:$R,16,0)</f>
        <v>#N/A</v>
      </c>
      <c r="N230" s="34">
        <f t="shared" si="17"/>
        <v>0</v>
      </c>
      <c r="O230" s="34" t="e">
        <f>TEXT(VLOOKUP(A230,LIV!$C:$M,11,0),"dd.mm.yyyy")</f>
        <v>#N/A</v>
      </c>
      <c r="P230" s="34" t="str">
        <f t="shared" si="18"/>
        <v/>
      </c>
      <c r="Q230" s="33"/>
    </row>
    <row r="231" spans="1:17" x14ac:dyDescent="0.25">
      <c r="A231" s="34"/>
      <c r="B231" s="34" t="str">
        <f>IF(A231&lt;&gt;"",VLOOKUP(A231,LIV!$C:$AD,28,0),"")</f>
        <v/>
      </c>
      <c r="C231" s="34" t="str">
        <f>IF(A231&lt;&gt;"",_xlfn.XLOOKUP(A231,LIV!$C:$C,LIV!$AD:$AD,,,-1),"")</f>
        <v/>
      </c>
      <c r="D231" s="34" t="e">
        <f>TEXT(VLOOKUP(A231,LIV!$C:$S,17,0),"dd.mm.yyyy")</f>
        <v>#N/A</v>
      </c>
      <c r="E231" s="34" t="e">
        <f>VLOOKUP(A231,LIV!$C:$R,16,0)</f>
        <v>#N/A</v>
      </c>
      <c r="F231" s="34" t="str">
        <f>_xlfn.IFNA(TEXT(_xlfn.XLOOKUP(A231,LIV!$C:$C,LIV!$B:$B),"dd.mm.yyyy"),"")</f>
        <v>00.01.1900</v>
      </c>
      <c r="G231" s="34">
        <f>SUMIF(LIV!$C:$C,Execute!A231,LIV!$Z:$Z)</f>
        <v>0</v>
      </c>
      <c r="H231" s="34" t="e">
        <f>VLOOKUP(A231,LIV!$C:$J,8,0)</f>
        <v>#N/A</v>
      </c>
      <c r="I231" s="34" t="e">
        <f>VLOOKUP(A231,LIV!$C:$G,5,0)</f>
        <v>#N/A</v>
      </c>
      <c r="J231" s="34" t="str">
        <f t="shared" si="15"/>
        <v/>
      </c>
      <c r="K231" s="34" t="e">
        <f>VLOOKUP(A231,LIV!$C:$H,6,0)</f>
        <v>#N/A</v>
      </c>
      <c r="L231" s="34" t="str">
        <f t="shared" si="16"/>
        <v/>
      </c>
      <c r="M231" s="34" t="e">
        <f>VLOOKUP(A231,LIV!$C:$R,16,0)</f>
        <v>#N/A</v>
      </c>
      <c r="N231" s="34">
        <f t="shared" si="17"/>
        <v>0</v>
      </c>
      <c r="O231" s="34" t="e">
        <f>TEXT(VLOOKUP(A231,LIV!$C:$M,11,0),"dd.mm.yyyy")</f>
        <v>#N/A</v>
      </c>
      <c r="P231" s="34" t="str">
        <f t="shared" si="18"/>
        <v/>
      </c>
      <c r="Q231" s="33"/>
    </row>
    <row r="232" spans="1:17" x14ac:dyDescent="0.25">
      <c r="A232" s="34"/>
      <c r="B232" s="34" t="str">
        <f>IF(A232&lt;&gt;"",VLOOKUP(A232,LIV!$C:$AD,28,0),"")</f>
        <v/>
      </c>
      <c r="C232" s="34" t="str">
        <f>IF(A232&lt;&gt;"",_xlfn.XLOOKUP(A232,LIV!$C:$C,LIV!$AD:$AD,,,-1),"")</f>
        <v/>
      </c>
      <c r="D232" s="34" t="e">
        <f>TEXT(VLOOKUP(A232,LIV!$C:$S,17,0),"dd.mm.yyyy")</f>
        <v>#N/A</v>
      </c>
      <c r="E232" s="34" t="e">
        <f>VLOOKUP(A232,LIV!$C:$R,16,0)</f>
        <v>#N/A</v>
      </c>
      <c r="F232" s="34" t="str">
        <f>_xlfn.IFNA(TEXT(_xlfn.XLOOKUP(A232,LIV!$C:$C,LIV!$B:$B),"dd.mm.yyyy"),"")</f>
        <v>00.01.1900</v>
      </c>
      <c r="G232" s="34">
        <f>SUMIF(LIV!$C:$C,Execute!A232,LIV!$Z:$Z)</f>
        <v>0</v>
      </c>
      <c r="H232" s="34" t="e">
        <f>VLOOKUP(A232,LIV!$C:$J,8,0)</f>
        <v>#N/A</v>
      </c>
      <c r="I232" s="34" t="e">
        <f>VLOOKUP(A232,LIV!$C:$G,5,0)</f>
        <v>#N/A</v>
      </c>
      <c r="J232" s="34" t="str">
        <f t="shared" si="15"/>
        <v/>
      </c>
      <c r="K232" s="34" t="e">
        <f>VLOOKUP(A232,LIV!$C:$H,6,0)</f>
        <v>#N/A</v>
      </c>
      <c r="L232" s="34" t="str">
        <f t="shared" si="16"/>
        <v/>
      </c>
      <c r="M232" s="34" t="e">
        <f>VLOOKUP(A232,LIV!$C:$R,16,0)</f>
        <v>#N/A</v>
      </c>
      <c r="N232" s="34">
        <f t="shared" si="17"/>
        <v>0</v>
      </c>
      <c r="O232" s="34" t="e">
        <f>TEXT(VLOOKUP(A232,LIV!$C:$M,11,0),"dd.mm.yyyy")</f>
        <v>#N/A</v>
      </c>
      <c r="P232" s="34" t="str">
        <f t="shared" si="18"/>
        <v/>
      </c>
      <c r="Q232" s="33"/>
    </row>
    <row r="233" spans="1:17" x14ac:dyDescent="0.25">
      <c r="A233" s="34"/>
      <c r="B233" s="34" t="str">
        <f>IF(A233&lt;&gt;"",VLOOKUP(A233,LIV!$C:$AD,28,0),"")</f>
        <v/>
      </c>
      <c r="C233" s="34" t="str">
        <f>IF(A233&lt;&gt;"",_xlfn.XLOOKUP(A233,LIV!$C:$C,LIV!$AD:$AD,,,-1),"")</f>
        <v/>
      </c>
      <c r="D233" s="34" t="e">
        <f>TEXT(VLOOKUP(A233,LIV!$C:$S,17,0),"dd.mm.yyyy")</f>
        <v>#N/A</v>
      </c>
      <c r="E233" s="34" t="e">
        <f>VLOOKUP(A233,LIV!$C:$R,16,0)</f>
        <v>#N/A</v>
      </c>
      <c r="F233" s="34" t="str">
        <f>_xlfn.IFNA(TEXT(_xlfn.XLOOKUP(A233,LIV!$C:$C,LIV!$B:$B),"dd.mm.yyyy"),"")</f>
        <v>00.01.1900</v>
      </c>
      <c r="G233" s="34">
        <f>SUMIF(LIV!$C:$C,Execute!A233,LIV!$Z:$Z)</f>
        <v>0</v>
      </c>
      <c r="H233" s="34" t="e">
        <f>VLOOKUP(A233,LIV!$C:$J,8,0)</f>
        <v>#N/A</v>
      </c>
      <c r="I233" s="34" t="e">
        <f>VLOOKUP(A233,LIV!$C:$G,5,0)</f>
        <v>#N/A</v>
      </c>
      <c r="J233" s="34" t="str">
        <f t="shared" si="15"/>
        <v/>
      </c>
      <c r="K233" s="34" t="e">
        <f>VLOOKUP(A233,LIV!$C:$H,6,0)</f>
        <v>#N/A</v>
      </c>
      <c r="L233" s="34" t="str">
        <f t="shared" si="16"/>
        <v/>
      </c>
      <c r="M233" s="34" t="e">
        <f>VLOOKUP(A233,LIV!$C:$R,16,0)</f>
        <v>#N/A</v>
      </c>
      <c r="N233" s="34">
        <f t="shared" si="17"/>
        <v>0</v>
      </c>
      <c r="O233" s="34" t="e">
        <f>TEXT(VLOOKUP(A233,LIV!$C:$M,11,0),"dd.mm.yyyy")</f>
        <v>#N/A</v>
      </c>
      <c r="P233" s="34" t="str">
        <f t="shared" si="18"/>
        <v/>
      </c>
      <c r="Q233" s="33"/>
    </row>
    <row r="234" spans="1:17" x14ac:dyDescent="0.25">
      <c r="A234" s="34"/>
      <c r="B234" s="34" t="str">
        <f>IF(A234&lt;&gt;"",VLOOKUP(A234,LIV!$C:$AD,28,0),"")</f>
        <v/>
      </c>
      <c r="C234" s="34" t="str">
        <f>IF(A234&lt;&gt;"",_xlfn.XLOOKUP(A234,LIV!$C:$C,LIV!$AD:$AD,,,-1),"")</f>
        <v/>
      </c>
      <c r="D234" s="34" t="e">
        <f>TEXT(VLOOKUP(A234,LIV!$C:$S,17,0),"dd.mm.yyyy")</f>
        <v>#N/A</v>
      </c>
      <c r="E234" s="34" t="e">
        <f>VLOOKUP(A234,LIV!$C:$R,16,0)</f>
        <v>#N/A</v>
      </c>
      <c r="F234" s="34" t="str">
        <f>_xlfn.IFNA(TEXT(_xlfn.XLOOKUP(A234,LIV!$C:$C,LIV!$B:$B),"dd.mm.yyyy"),"")</f>
        <v>00.01.1900</v>
      </c>
      <c r="G234" s="34">
        <f>SUMIF(LIV!$C:$C,Execute!A234,LIV!$Z:$Z)</f>
        <v>0</v>
      </c>
      <c r="H234" s="34" t="e">
        <f>VLOOKUP(A234,LIV!$C:$J,8,0)</f>
        <v>#N/A</v>
      </c>
      <c r="I234" s="34" t="e">
        <f>VLOOKUP(A234,LIV!$C:$G,5,0)</f>
        <v>#N/A</v>
      </c>
      <c r="J234" s="34" t="str">
        <f t="shared" si="15"/>
        <v/>
      </c>
      <c r="K234" s="34" t="e">
        <f>VLOOKUP(A234,LIV!$C:$H,6,0)</f>
        <v>#N/A</v>
      </c>
      <c r="L234" s="34" t="str">
        <f t="shared" si="16"/>
        <v/>
      </c>
      <c r="M234" s="34" t="e">
        <f>VLOOKUP(A234,LIV!$C:$R,16,0)</f>
        <v>#N/A</v>
      </c>
      <c r="N234" s="34">
        <f t="shared" si="17"/>
        <v>0</v>
      </c>
      <c r="O234" s="34" t="e">
        <f>TEXT(VLOOKUP(A234,LIV!$C:$M,11,0),"dd.mm.yyyy")</f>
        <v>#N/A</v>
      </c>
      <c r="P234" s="34" t="str">
        <f t="shared" si="18"/>
        <v/>
      </c>
      <c r="Q234" s="33"/>
    </row>
    <row r="235" spans="1:17" x14ac:dyDescent="0.25">
      <c r="A235" s="34"/>
      <c r="B235" s="34" t="str">
        <f>IF(A235&lt;&gt;"",VLOOKUP(A235,LIV!$C:$AD,28,0),"")</f>
        <v/>
      </c>
      <c r="C235" s="34" t="str">
        <f>IF(A235&lt;&gt;"",_xlfn.XLOOKUP(A235,LIV!$C:$C,LIV!$AD:$AD,,,-1),"")</f>
        <v/>
      </c>
      <c r="D235" s="34" t="e">
        <f>TEXT(VLOOKUP(A235,LIV!$C:$S,17,0),"dd.mm.yyyy")</f>
        <v>#N/A</v>
      </c>
      <c r="E235" s="34" t="e">
        <f>VLOOKUP(A235,LIV!$C:$R,16,0)</f>
        <v>#N/A</v>
      </c>
      <c r="F235" s="34" t="str">
        <f>_xlfn.IFNA(TEXT(_xlfn.XLOOKUP(A235,LIV!$C:$C,LIV!$B:$B),"dd.mm.yyyy"),"")</f>
        <v>00.01.1900</v>
      </c>
      <c r="G235" s="34">
        <f>SUMIF(LIV!$C:$C,Execute!A235,LIV!$Z:$Z)</f>
        <v>0</v>
      </c>
      <c r="H235" s="34" t="e">
        <f>VLOOKUP(A235,LIV!$C:$J,8,0)</f>
        <v>#N/A</v>
      </c>
      <c r="I235" s="34" t="e">
        <f>VLOOKUP(A235,LIV!$C:$G,5,0)</f>
        <v>#N/A</v>
      </c>
      <c r="J235" s="34" t="str">
        <f t="shared" si="15"/>
        <v/>
      </c>
      <c r="K235" s="34" t="e">
        <f>VLOOKUP(A235,LIV!$C:$H,6,0)</f>
        <v>#N/A</v>
      </c>
      <c r="L235" s="34" t="str">
        <f t="shared" si="16"/>
        <v/>
      </c>
      <c r="M235" s="34" t="e">
        <f>VLOOKUP(A235,LIV!$C:$R,16,0)</f>
        <v>#N/A</v>
      </c>
      <c r="N235" s="34">
        <f t="shared" si="17"/>
        <v>0</v>
      </c>
      <c r="O235" s="34" t="e">
        <f>TEXT(VLOOKUP(A235,LIV!$C:$M,11,0),"dd.mm.yyyy")</f>
        <v>#N/A</v>
      </c>
      <c r="P235" s="34" t="str">
        <f t="shared" si="18"/>
        <v/>
      </c>
      <c r="Q235" s="33"/>
    </row>
    <row r="236" spans="1:17" x14ac:dyDescent="0.25">
      <c r="A236" s="34"/>
      <c r="B236" s="34" t="str">
        <f>IF(A236&lt;&gt;"",VLOOKUP(A236,LIV!$C:$AD,28,0),"")</f>
        <v/>
      </c>
      <c r="C236" s="34" t="str">
        <f>IF(A236&lt;&gt;"",_xlfn.XLOOKUP(A236,LIV!$C:$C,LIV!$AD:$AD,,,-1),"")</f>
        <v/>
      </c>
      <c r="D236" s="34" t="e">
        <f>TEXT(VLOOKUP(A236,LIV!$C:$S,17,0),"dd.mm.yyyy")</f>
        <v>#N/A</v>
      </c>
      <c r="E236" s="34" t="e">
        <f>VLOOKUP(A236,LIV!$C:$R,16,0)</f>
        <v>#N/A</v>
      </c>
      <c r="F236" s="34" t="str">
        <f>_xlfn.IFNA(TEXT(_xlfn.XLOOKUP(A236,LIV!$C:$C,LIV!$B:$B),"dd.mm.yyyy"),"")</f>
        <v>00.01.1900</v>
      </c>
      <c r="G236" s="34">
        <f>SUMIF(LIV!$C:$C,Execute!A236,LIV!$Z:$Z)</f>
        <v>0</v>
      </c>
      <c r="H236" s="34" t="e">
        <f>VLOOKUP(A236,LIV!$C:$J,8,0)</f>
        <v>#N/A</v>
      </c>
      <c r="I236" s="34" t="e">
        <f>VLOOKUP(A236,LIV!$C:$G,5,0)</f>
        <v>#N/A</v>
      </c>
      <c r="J236" s="34" t="str">
        <f t="shared" si="15"/>
        <v/>
      </c>
      <c r="K236" s="34" t="e">
        <f>VLOOKUP(A236,LIV!$C:$H,6,0)</f>
        <v>#N/A</v>
      </c>
      <c r="L236" s="34" t="str">
        <f t="shared" si="16"/>
        <v/>
      </c>
      <c r="M236" s="34" t="e">
        <f>VLOOKUP(A236,LIV!$C:$R,16,0)</f>
        <v>#N/A</v>
      </c>
      <c r="N236" s="34">
        <f t="shared" si="17"/>
        <v>0</v>
      </c>
      <c r="O236" s="34" t="e">
        <f>TEXT(VLOOKUP(A236,LIV!$C:$M,11,0),"dd.mm.yyyy")</f>
        <v>#N/A</v>
      </c>
      <c r="P236" s="34" t="str">
        <f t="shared" si="18"/>
        <v/>
      </c>
      <c r="Q236" s="33"/>
    </row>
    <row r="237" spans="1:17" x14ac:dyDescent="0.25">
      <c r="A237" s="34"/>
      <c r="B237" s="34" t="str">
        <f>IF(A237&lt;&gt;"",VLOOKUP(A237,LIV!$C:$AD,28,0),"")</f>
        <v/>
      </c>
      <c r="C237" s="34" t="str">
        <f>IF(A237&lt;&gt;"",_xlfn.XLOOKUP(A237,LIV!$C:$C,LIV!$AD:$AD,,,-1),"")</f>
        <v/>
      </c>
      <c r="D237" s="34" t="e">
        <f>TEXT(VLOOKUP(A237,LIV!$C:$S,17,0),"dd.mm.yyyy")</f>
        <v>#N/A</v>
      </c>
      <c r="E237" s="34" t="e">
        <f>VLOOKUP(A237,LIV!$C:$R,16,0)</f>
        <v>#N/A</v>
      </c>
      <c r="F237" s="34" t="str">
        <f>_xlfn.IFNA(TEXT(_xlfn.XLOOKUP(A237,LIV!$C:$C,LIV!$B:$B),"dd.mm.yyyy"),"")</f>
        <v>00.01.1900</v>
      </c>
      <c r="G237" s="34">
        <f>SUMIF(LIV!$C:$C,Execute!A237,LIV!$Z:$Z)</f>
        <v>0</v>
      </c>
      <c r="H237" s="34" t="e">
        <f>VLOOKUP(A237,LIV!$C:$J,8,0)</f>
        <v>#N/A</v>
      </c>
      <c r="I237" s="34" t="e">
        <f>VLOOKUP(A237,LIV!$C:$G,5,0)</f>
        <v>#N/A</v>
      </c>
      <c r="J237" s="34" t="str">
        <f t="shared" si="15"/>
        <v/>
      </c>
      <c r="K237" s="34" t="e">
        <f>VLOOKUP(A237,LIV!$C:$H,6,0)</f>
        <v>#N/A</v>
      </c>
      <c r="L237" s="34" t="str">
        <f t="shared" si="16"/>
        <v/>
      </c>
      <c r="M237" s="34" t="e">
        <f>VLOOKUP(A237,LIV!$C:$R,16,0)</f>
        <v>#N/A</v>
      </c>
      <c r="N237" s="34">
        <f t="shared" si="17"/>
        <v>0</v>
      </c>
      <c r="O237" s="34" t="e">
        <f>TEXT(VLOOKUP(A237,LIV!$C:$M,11,0),"dd.mm.yyyy")</f>
        <v>#N/A</v>
      </c>
      <c r="P237" s="34" t="str">
        <f t="shared" si="18"/>
        <v/>
      </c>
      <c r="Q237" s="33"/>
    </row>
    <row r="238" spans="1:17" x14ac:dyDescent="0.25">
      <c r="A238" s="34"/>
      <c r="B238" s="34" t="str">
        <f>IF(A238&lt;&gt;"",VLOOKUP(A238,LIV!$C:$AD,28,0),"")</f>
        <v/>
      </c>
      <c r="C238" s="34" t="str">
        <f>IF(A238&lt;&gt;"",_xlfn.XLOOKUP(A238,LIV!$C:$C,LIV!$AD:$AD,,,-1),"")</f>
        <v/>
      </c>
      <c r="D238" s="34" t="e">
        <f>TEXT(VLOOKUP(A238,LIV!$C:$S,17,0),"dd.mm.yyyy")</f>
        <v>#N/A</v>
      </c>
      <c r="E238" s="34" t="e">
        <f>VLOOKUP(A238,LIV!$C:$R,16,0)</f>
        <v>#N/A</v>
      </c>
      <c r="F238" s="34" t="str">
        <f>_xlfn.IFNA(TEXT(_xlfn.XLOOKUP(A238,LIV!$C:$C,LIV!$B:$B),"dd.mm.yyyy"),"")</f>
        <v>00.01.1900</v>
      </c>
      <c r="G238" s="34">
        <f>SUMIF(LIV!$C:$C,Execute!A238,LIV!$Z:$Z)</f>
        <v>0</v>
      </c>
      <c r="H238" s="34" t="e">
        <f>VLOOKUP(A238,LIV!$C:$J,8,0)</f>
        <v>#N/A</v>
      </c>
      <c r="I238" s="34" t="e">
        <f>VLOOKUP(A238,LIV!$C:$G,5,0)</f>
        <v>#N/A</v>
      </c>
      <c r="J238" s="34" t="str">
        <f t="shared" si="15"/>
        <v/>
      </c>
      <c r="K238" s="34" t="e">
        <f>VLOOKUP(A238,LIV!$C:$H,6,0)</f>
        <v>#N/A</v>
      </c>
      <c r="L238" s="34" t="str">
        <f t="shared" si="16"/>
        <v/>
      </c>
      <c r="M238" s="34" t="e">
        <f>VLOOKUP(A238,LIV!$C:$R,16,0)</f>
        <v>#N/A</v>
      </c>
      <c r="N238" s="34">
        <f t="shared" si="17"/>
        <v>0</v>
      </c>
      <c r="O238" s="34" t="e">
        <f>TEXT(VLOOKUP(A238,LIV!$C:$M,11,0),"dd.mm.yyyy")</f>
        <v>#N/A</v>
      </c>
      <c r="P238" s="34" t="str">
        <f t="shared" si="18"/>
        <v/>
      </c>
      <c r="Q238" s="33"/>
    </row>
    <row r="239" spans="1:17" x14ac:dyDescent="0.25">
      <c r="A239" s="34"/>
      <c r="B239" s="34" t="str">
        <f>IF(A239&lt;&gt;"",VLOOKUP(A239,LIV!$C:$AD,28,0),"")</f>
        <v/>
      </c>
      <c r="C239" s="34" t="str">
        <f>IF(A239&lt;&gt;"",_xlfn.XLOOKUP(A239,LIV!$C:$C,LIV!$AD:$AD,,,-1),"")</f>
        <v/>
      </c>
      <c r="D239" s="34" t="e">
        <f>TEXT(VLOOKUP(A239,LIV!$C:$S,17,0),"dd.mm.yyyy")</f>
        <v>#N/A</v>
      </c>
      <c r="E239" s="34" t="e">
        <f>VLOOKUP(A239,LIV!$C:$R,16,0)</f>
        <v>#N/A</v>
      </c>
      <c r="F239" s="34" t="str">
        <f>_xlfn.IFNA(TEXT(_xlfn.XLOOKUP(A239,LIV!$C:$C,LIV!$B:$B),"dd.mm.yyyy"),"")</f>
        <v>00.01.1900</v>
      </c>
      <c r="G239" s="34">
        <f>SUMIF(LIV!$C:$C,Execute!A239,LIV!$Z:$Z)</f>
        <v>0</v>
      </c>
      <c r="H239" s="34" t="e">
        <f>VLOOKUP(A239,LIV!$C:$J,8,0)</f>
        <v>#N/A</v>
      </c>
      <c r="I239" s="34" t="e">
        <f>VLOOKUP(A239,LIV!$C:$G,5,0)</f>
        <v>#N/A</v>
      </c>
      <c r="J239" s="34" t="str">
        <f t="shared" si="15"/>
        <v/>
      </c>
      <c r="K239" s="34" t="e">
        <f>VLOOKUP(A239,LIV!$C:$H,6,0)</f>
        <v>#N/A</v>
      </c>
      <c r="L239" s="34" t="str">
        <f t="shared" si="16"/>
        <v/>
      </c>
      <c r="M239" s="34" t="e">
        <f>VLOOKUP(A239,LIV!$C:$R,16,0)</f>
        <v>#N/A</v>
      </c>
      <c r="N239" s="34">
        <f t="shared" si="17"/>
        <v>0</v>
      </c>
      <c r="O239" s="34" t="e">
        <f>TEXT(VLOOKUP(A239,LIV!$C:$M,11,0),"dd.mm.yyyy")</f>
        <v>#N/A</v>
      </c>
      <c r="P239" s="34" t="str">
        <f t="shared" si="18"/>
        <v/>
      </c>
      <c r="Q239" s="33"/>
    </row>
    <row r="240" spans="1:17" x14ac:dyDescent="0.25">
      <c r="A240" s="34"/>
      <c r="B240" s="34" t="str">
        <f>IF(A240&lt;&gt;"",VLOOKUP(A240,LIV!$C:$AD,28,0),"")</f>
        <v/>
      </c>
      <c r="C240" s="34" t="str">
        <f>IF(A240&lt;&gt;"",_xlfn.XLOOKUP(A240,LIV!$C:$C,LIV!$AD:$AD,,,-1),"")</f>
        <v/>
      </c>
      <c r="D240" s="34" t="e">
        <f>TEXT(VLOOKUP(A240,LIV!$C:$S,17,0),"dd.mm.yyyy")</f>
        <v>#N/A</v>
      </c>
      <c r="E240" s="34" t="e">
        <f>VLOOKUP(A240,LIV!$C:$R,16,0)</f>
        <v>#N/A</v>
      </c>
      <c r="F240" s="34" t="str">
        <f>_xlfn.IFNA(TEXT(_xlfn.XLOOKUP(A240,LIV!$C:$C,LIV!$B:$B),"dd.mm.yyyy"),"")</f>
        <v>00.01.1900</v>
      </c>
      <c r="G240" s="34">
        <f>SUMIF(LIV!$C:$C,Execute!A240,LIV!$Z:$Z)</f>
        <v>0</v>
      </c>
      <c r="H240" s="34" t="e">
        <f>VLOOKUP(A240,LIV!$C:$J,8,0)</f>
        <v>#N/A</v>
      </c>
      <c r="I240" s="34" t="e">
        <f>VLOOKUP(A240,LIV!$C:$G,5,0)</f>
        <v>#N/A</v>
      </c>
      <c r="J240" s="34" t="str">
        <f t="shared" si="15"/>
        <v/>
      </c>
      <c r="K240" s="34" t="e">
        <f>VLOOKUP(A240,LIV!$C:$H,6,0)</f>
        <v>#N/A</v>
      </c>
      <c r="L240" s="34" t="str">
        <f t="shared" si="16"/>
        <v/>
      </c>
      <c r="M240" s="34" t="e">
        <f>VLOOKUP(A240,LIV!$C:$R,16,0)</f>
        <v>#N/A</v>
      </c>
      <c r="N240" s="34">
        <f t="shared" si="17"/>
        <v>0</v>
      </c>
      <c r="O240" s="34" t="e">
        <f>TEXT(VLOOKUP(A240,LIV!$C:$M,11,0),"dd.mm.yyyy")</f>
        <v>#N/A</v>
      </c>
      <c r="P240" s="34" t="str">
        <f t="shared" si="18"/>
        <v/>
      </c>
      <c r="Q240" s="33"/>
    </row>
    <row r="241" spans="1:17" x14ac:dyDescent="0.25">
      <c r="A241" s="34"/>
      <c r="B241" s="34" t="str">
        <f>IF(A241&lt;&gt;"",VLOOKUP(A241,LIV!$C:$AD,28,0),"")</f>
        <v/>
      </c>
      <c r="C241" s="34" t="str">
        <f>IF(A241&lt;&gt;"",_xlfn.XLOOKUP(A241,LIV!$C:$C,LIV!$AD:$AD,,,-1),"")</f>
        <v/>
      </c>
      <c r="D241" s="34" t="e">
        <f>TEXT(VLOOKUP(A241,LIV!$C:$S,17,0),"dd.mm.yyyy")</f>
        <v>#N/A</v>
      </c>
      <c r="E241" s="34" t="e">
        <f>VLOOKUP(A241,LIV!$C:$R,16,0)</f>
        <v>#N/A</v>
      </c>
      <c r="F241" s="34" t="str">
        <f>_xlfn.IFNA(TEXT(_xlfn.XLOOKUP(A241,LIV!$C:$C,LIV!$B:$B),"dd.mm.yyyy"),"")</f>
        <v>00.01.1900</v>
      </c>
      <c r="G241" s="34">
        <f>SUMIF(LIV!$C:$C,Execute!A241,LIV!$Z:$Z)</f>
        <v>0</v>
      </c>
      <c r="H241" s="34" t="e">
        <f>VLOOKUP(A241,LIV!$C:$J,8,0)</f>
        <v>#N/A</v>
      </c>
      <c r="I241" s="34" t="e">
        <f>VLOOKUP(A241,LIV!$C:$G,5,0)</f>
        <v>#N/A</v>
      </c>
      <c r="J241" s="34" t="str">
        <f t="shared" si="15"/>
        <v/>
      </c>
      <c r="K241" s="34" t="e">
        <f>VLOOKUP(A241,LIV!$C:$H,6,0)</f>
        <v>#N/A</v>
      </c>
      <c r="L241" s="34" t="str">
        <f t="shared" si="16"/>
        <v/>
      </c>
      <c r="M241" s="34" t="e">
        <f>VLOOKUP(A241,LIV!$C:$R,16,0)</f>
        <v>#N/A</v>
      </c>
      <c r="N241" s="34">
        <f t="shared" si="17"/>
        <v>0</v>
      </c>
      <c r="O241" s="34" t="e">
        <f>TEXT(VLOOKUP(A241,LIV!$C:$M,11,0),"dd.mm.yyyy")</f>
        <v>#N/A</v>
      </c>
      <c r="P241" s="34" t="str">
        <f t="shared" si="18"/>
        <v/>
      </c>
      <c r="Q241" s="33"/>
    </row>
    <row r="242" spans="1:17" x14ac:dyDescent="0.25">
      <c r="A242" s="34"/>
      <c r="B242" s="34" t="str">
        <f>IF(A242&lt;&gt;"",VLOOKUP(A242,LIV!$C:$AD,28,0),"")</f>
        <v/>
      </c>
      <c r="C242" s="34" t="str">
        <f>IF(A242&lt;&gt;"",_xlfn.XLOOKUP(A242,LIV!$C:$C,LIV!$AD:$AD,,,-1),"")</f>
        <v/>
      </c>
      <c r="D242" s="34" t="e">
        <f>TEXT(VLOOKUP(A242,LIV!$C:$S,17,0),"dd.mm.yyyy")</f>
        <v>#N/A</v>
      </c>
      <c r="E242" s="34" t="e">
        <f>VLOOKUP(A242,LIV!$C:$R,16,0)</f>
        <v>#N/A</v>
      </c>
      <c r="F242" s="34" t="str">
        <f>_xlfn.IFNA(TEXT(_xlfn.XLOOKUP(A242,LIV!$C:$C,LIV!$B:$B),"dd.mm.yyyy"),"")</f>
        <v>00.01.1900</v>
      </c>
      <c r="G242" s="34">
        <f>SUMIF(LIV!$C:$C,Execute!A242,LIV!$Z:$Z)</f>
        <v>0</v>
      </c>
      <c r="H242" s="34" t="e">
        <f>VLOOKUP(A242,LIV!$C:$J,8,0)</f>
        <v>#N/A</v>
      </c>
      <c r="I242" s="34" t="e">
        <f>VLOOKUP(A242,LIV!$C:$G,5,0)</f>
        <v>#N/A</v>
      </c>
      <c r="J242" s="34" t="str">
        <f t="shared" si="15"/>
        <v/>
      </c>
      <c r="K242" s="34" t="e">
        <f>VLOOKUP(A242,LIV!$C:$H,6,0)</f>
        <v>#N/A</v>
      </c>
      <c r="L242" s="34" t="str">
        <f t="shared" si="16"/>
        <v/>
      </c>
      <c r="M242" s="34" t="e">
        <f>VLOOKUP(A242,LIV!$C:$R,16,0)</f>
        <v>#N/A</v>
      </c>
      <c r="N242" s="34">
        <f t="shared" si="17"/>
        <v>0</v>
      </c>
      <c r="O242" s="34" t="e">
        <f>TEXT(VLOOKUP(A242,LIV!$C:$M,11,0),"dd.mm.yyyy")</f>
        <v>#N/A</v>
      </c>
      <c r="P242" s="34" t="str">
        <f t="shared" si="18"/>
        <v/>
      </c>
      <c r="Q242" s="33"/>
    </row>
    <row r="243" spans="1:17" x14ac:dyDescent="0.25">
      <c r="A243" s="34"/>
      <c r="B243" s="34" t="str">
        <f>IF(A243&lt;&gt;"",VLOOKUP(A243,LIV!$C:$AD,28,0),"")</f>
        <v/>
      </c>
      <c r="C243" s="34" t="str">
        <f>IF(A243&lt;&gt;"",_xlfn.XLOOKUP(A243,LIV!$C:$C,LIV!$AD:$AD,,,-1),"")</f>
        <v/>
      </c>
      <c r="D243" s="34" t="e">
        <f>TEXT(VLOOKUP(A243,LIV!$C:$S,17,0),"dd.mm.yyyy")</f>
        <v>#N/A</v>
      </c>
      <c r="E243" s="34" t="e">
        <f>VLOOKUP(A243,LIV!$C:$R,16,0)</f>
        <v>#N/A</v>
      </c>
      <c r="F243" s="34" t="str">
        <f>_xlfn.IFNA(TEXT(_xlfn.XLOOKUP(A243,LIV!$C:$C,LIV!$B:$B),"dd.mm.yyyy"),"")</f>
        <v>00.01.1900</v>
      </c>
      <c r="G243" s="34">
        <f>SUMIF(LIV!$C:$C,Execute!A243,LIV!$Z:$Z)</f>
        <v>0</v>
      </c>
      <c r="H243" s="34" t="e">
        <f>VLOOKUP(A243,LIV!$C:$J,8,0)</f>
        <v>#N/A</v>
      </c>
      <c r="I243" s="34" t="e">
        <f>VLOOKUP(A243,LIV!$C:$G,5,0)</f>
        <v>#N/A</v>
      </c>
      <c r="J243" s="34" t="str">
        <f t="shared" si="15"/>
        <v/>
      </c>
      <c r="K243" s="34" t="e">
        <f>VLOOKUP(A243,LIV!$C:$H,6,0)</f>
        <v>#N/A</v>
      </c>
      <c r="L243" s="34" t="str">
        <f t="shared" si="16"/>
        <v/>
      </c>
      <c r="M243" s="34" t="e">
        <f>VLOOKUP(A243,LIV!$C:$R,16,0)</f>
        <v>#N/A</v>
      </c>
      <c r="N243" s="34">
        <f t="shared" si="17"/>
        <v>0</v>
      </c>
      <c r="O243" s="34" t="e">
        <f>TEXT(VLOOKUP(A243,LIV!$C:$M,11,0),"dd.mm.yyyy")</f>
        <v>#N/A</v>
      </c>
      <c r="P243" s="34" t="str">
        <f t="shared" si="18"/>
        <v/>
      </c>
      <c r="Q243" s="33"/>
    </row>
    <row r="244" spans="1:17" x14ac:dyDescent="0.25">
      <c r="A244" s="34"/>
      <c r="B244" s="34" t="str">
        <f>IF(A244&lt;&gt;"",VLOOKUP(A244,LIV!$C:$AD,28,0),"")</f>
        <v/>
      </c>
      <c r="C244" s="34" t="str">
        <f>IF(A244&lt;&gt;"",_xlfn.XLOOKUP(A244,LIV!$C:$C,LIV!$AD:$AD,,,-1),"")</f>
        <v/>
      </c>
      <c r="D244" s="34" t="e">
        <f>TEXT(VLOOKUP(A244,LIV!$C:$S,17,0),"dd.mm.yyyy")</f>
        <v>#N/A</v>
      </c>
      <c r="E244" s="34" t="e">
        <f>VLOOKUP(A244,LIV!$C:$R,16,0)</f>
        <v>#N/A</v>
      </c>
      <c r="F244" s="34" t="str">
        <f>_xlfn.IFNA(TEXT(_xlfn.XLOOKUP(A244,LIV!$C:$C,LIV!$B:$B),"dd.mm.yyyy"),"")</f>
        <v>00.01.1900</v>
      </c>
      <c r="G244" s="34">
        <f>SUMIF(LIV!$C:$C,Execute!A244,LIV!$Z:$Z)</f>
        <v>0</v>
      </c>
      <c r="H244" s="34" t="e">
        <f>VLOOKUP(A244,LIV!$C:$J,8,0)</f>
        <v>#N/A</v>
      </c>
      <c r="I244" s="34" t="e">
        <f>VLOOKUP(A244,LIV!$C:$G,5,0)</f>
        <v>#N/A</v>
      </c>
      <c r="J244" s="34" t="str">
        <f t="shared" si="15"/>
        <v/>
      </c>
      <c r="K244" s="34" t="e">
        <f>VLOOKUP(A244,LIV!$C:$H,6,0)</f>
        <v>#N/A</v>
      </c>
      <c r="L244" s="34" t="str">
        <f t="shared" si="16"/>
        <v/>
      </c>
      <c r="M244" s="34" t="e">
        <f>VLOOKUP(A244,LIV!$C:$R,16,0)</f>
        <v>#N/A</v>
      </c>
      <c r="N244" s="34">
        <f t="shared" si="17"/>
        <v>0</v>
      </c>
      <c r="O244" s="34" t="e">
        <f>TEXT(VLOOKUP(A244,LIV!$C:$M,11,0),"dd.mm.yyyy")</f>
        <v>#N/A</v>
      </c>
      <c r="P244" s="34" t="str">
        <f t="shared" si="18"/>
        <v/>
      </c>
      <c r="Q244" s="33"/>
    </row>
    <row r="245" spans="1:17" x14ac:dyDescent="0.25">
      <c r="A245" s="34"/>
      <c r="B245" s="34" t="str">
        <f>IF(A245&lt;&gt;"",VLOOKUP(A245,LIV!$C:$AD,28,0),"")</f>
        <v/>
      </c>
      <c r="C245" s="34" t="str">
        <f>IF(A245&lt;&gt;"",_xlfn.XLOOKUP(A245,LIV!$C:$C,LIV!$AD:$AD,,,-1),"")</f>
        <v/>
      </c>
      <c r="D245" s="34" t="e">
        <f>TEXT(VLOOKUP(A245,LIV!$C:$S,17,0),"dd.mm.yyyy")</f>
        <v>#N/A</v>
      </c>
      <c r="E245" s="34" t="e">
        <f>VLOOKUP(A245,LIV!$C:$R,16,0)</f>
        <v>#N/A</v>
      </c>
      <c r="F245" s="34" t="str">
        <f>_xlfn.IFNA(TEXT(_xlfn.XLOOKUP(A245,LIV!$C:$C,LIV!$B:$B),"dd.mm.yyyy"),"")</f>
        <v>00.01.1900</v>
      </c>
      <c r="G245" s="34">
        <f>SUMIF(LIV!$C:$C,Execute!A245,LIV!$Z:$Z)</f>
        <v>0</v>
      </c>
      <c r="H245" s="34" t="e">
        <f>VLOOKUP(A245,LIV!$C:$J,8,0)</f>
        <v>#N/A</v>
      </c>
      <c r="I245" s="34" t="e">
        <f>VLOOKUP(A245,LIV!$C:$G,5,0)</f>
        <v>#N/A</v>
      </c>
      <c r="J245" s="34" t="str">
        <f t="shared" si="15"/>
        <v/>
      </c>
      <c r="K245" s="34" t="e">
        <f>VLOOKUP(A245,LIV!$C:$H,6,0)</f>
        <v>#N/A</v>
      </c>
      <c r="L245" s="34" t="str">
        <f t="shared" si="16"/>
        <v/>
      </c>
      <c r="M245" s="34" t="e">
        <f>VLOOKUP(A245,LIV!$C:$R,16,0)</f>
        <v>#N/A</v>
      </c>
      <c r="N245" s="34">
        <f t="shared" si="17"/>
        <v>0</v>
      </c>
      <c r="O245" s="34" t="e">
        <f>TEXT(VLOOKUP(A245,LIV!$C:$M,11,0),"dd.mm.yyyy")</f>
        <v>#N/A</v>
      </c>
      <c r="P245" s="34" t="str">
        <f t="shared" si="18"/>
        <v/>
      </c>
      <c r="Q245" s="33"/>
    </row>
    <row r="246" spans="1:17" x14ac:dyDescent="0.25">
      <c r="A246" s="34"/>
      <c r="B246" s="34" t="str">
        <f>IF(A246&lt;&gt;"",VLOOKUP(A246,LIV!$C:$AD,28,0),"")</f>
        <v/>
      </c>
      <c r="C246" s="34" t="str">
        <f>IF(A246&lt;&gt;"",_xlfn.XLOOKUP(A246,LIV!$C:$C,LIV!$AD:$AD,,,-1),"")</f>
        <v/>
      </c>
      <c r="D246" s="34" t="e">
        <f>TEXT(VLOOKUP(A246,LIV!$C:$S,17,0),"dd.mm.yyyy")</f>
        <v>#N/A</v>
      </c>
      <c r="E246" s="34" t="e">
        <f>VLOOKUP(A246,LIV!$C:$R,16,0)</f>
        <v>#N/A</v>
      </c>
      <c r="F246" s="34" t="str">
        <f>_xlfn.IFNA(TEXT(_xlfn.XLOOKUP(A246,LIV!$C:$C,LIV!$B:$B),"dd.mm.yyyy"),"")</f>
        <v>00.01.1900</v>
      </c>
      <c r="G246" s="34">
        <f>SUMIF(LIV!$C:$C,Execute!A246,LIV!$Z:$Z)</f>
        <v>0</v>
      </c>
      <c r="H246" s="34" t="e">
        <f>VLOOKUP(A246,LIV!$C:$J,8,0)</f>
        <v>#N/A</v>
      </c>
      <c r="I246" s="34" t="e">
        <f>VLOOKUP(A246,LIV!$C:$G,5,0)</f>
        <v>#N/A</v>
      </c>
      <c r="J246" s="34" t="str">
        <f t="shared" si="15"/>
        <v/>
      </c>
      <c r="K246" s="34" t="e">
        <f>VLOOKUP(A246,LIV!$C:$H,6,0)</f>
        <v>#N/A</v>
      </c>
      <c r="L246" s="34" t="str">
        <f t="shared" si="16"/>
        <v/>
      </c>
      <c r="M246" s="34" t="e">
        <f>VLOOKUP(A246,LIV!$C:$R,16,0)</f>
        <v>#N/A</v>
      </c>
      <c r="N246" s="34">
        <f t="shared" si="17"/>
        <v>0</v>
      </c>
      <c r="O246" s="34" t="e">
        <f>TEXT(VLOOKUP(A246,LIV!$C:$M,11,0),"dd.mm.yyyy")</f>
        <v>#N/A</v>
      </c>
      <c r="P246" s="34" t="str">
        <f t="shared" si="18"/>
        <v/>
      </c>
      <c r="Q246" s="33"/>
    </row>
    <row r="247" spans="1:17" x14ac:dyDescent="0.25">
      <c r="A247" s="34"/>
      <c r="B247" s="34" t="str">
        <f>IF(A247&lt;&gt;"",VLOOKUP(A247,LIV!$C:$AD,28,0),"")</f>
        <v/>
      </c>
      <c r="C247" s="34" t="str">
        <f>IF(A247&lt;&gt;"",_xlfn.XLOOKUP(A247,LIV!$C:$C,LIV!$AD:$AD,,,-1),"")</f>
        <v/>
      </c>
      <c r="D247" s="34" t="e">
        <f>TEXT(VLOOKUP(A247,LIV!$C:$S,17,0),"dd.mm.yyyy")</f>
        <v>#N/A</v>
      </c>
      <c r="E247" s="34" t="e">
        <f>VLOOKUP(A247,LIV!$C:$R,16,0)</f>
        <v>#N/A</v>
      </c>
      <c r="F247" s="34" t="str">
        <f>_xlfn.IFNA(TEXT(_xlfn.XLOOKUP(A247,LIV!$C:$C,LIV!$B:$B),"dd.mm.yyyy"),"")</f>
        <v>00.01.1900</v>
      </c>
      <c r="G247" s="34">
        <f>SUMIF(LIV!$C:$C,Execute!A247,LIV!$Z:$Z)</f>
        <v>0</v>
      </c>
      <c r="H247" s="34" t="e">
        <f>VLOOKUP(A247,LIV!$C:$J,8,0)</f>
        <v>#N/A</v>
      </c>
      <c r="I247" s="34" t="e">
        <f>VLOOKUP(A247,LIV!$C:$G,5,0)</f>
        <v>#N/A</v>
      </c>
      <c r="J247" s="34" t="str">
        <f t="shared" si="15"/>
        <v/>
      </c>
      <c r="K247" s="34" t="e">
        <f>VLOOKUP(A247,LIV!$C:$H,6,0)</f>
        <v>#N/A</v>
      </c>
      <c r="L247" s="34" t="str">
        <f t="shared" si="16"/>
        <v/>
      </c>
      <c r="M247" s="34" t="e">
        <f>VLOOKUP(A247,LIV!$C:$R,16,0)</f>
        <v>#N/A</v>
      </c>
      <c r="N247" s="34">
        <f t="shared" si="17"/>
        <v>0</v>
      </c>
      <c r="O247" s="34" t="e">
        <f>TEXT(VLOOKUP(A247,LIV!$C:$M,11,0),"dd.mm.yyyy")</f>
        <v>#N/A</v>
      </c>
      <c r="P247" s="34" t="str">
        <f t="shared" si="18"/>
        <v/>
      </c>
      <c r="Q247" s="33"/>
    </row>
    <row r="248" spans="1:17" x14ac:dyDescent="0.25">
      <c r="A248" s="34"/>
      <c r="B248" s="34" t="str">
        <f>IF(A248&lt;&gt;"",VLOOKUP(A248,LIV!$C:$AD,28,0),"")</f>
        <v/>
      </c>
      <c r="C248" s="34" t="str">
        <f>IF(A248&lt;&gt;"",_xlfn.XLOOKUP(A248,LIV!$C:$C,LIV!$AD:$AD,,,-1),"")</f>
        <v/>
      </c>
      <c r="D248" s="34" t="e">
        <f>TEXT(VLOOKUP(A248,LIV!$C:$S,17,0),"dd.mm.yyyy")</f>
        <v>#N/A</v>
      </c>
      <c r="E248" s="34" t="e">
        <f>VLOOKUP(A248,LIV!$C:$R,16,0)</f>
        <v>#N/A</v>
      </c>
      <c r="F248" s="34" t="str">
        <f>_xlfn.IFNA(TEXT(_xlfn.XLOOKUP(A248,LIV!$C:$C,LIV!$B:$B),"dd.mm.yyyy"),"")</f>
        <v>00.01.1900</v>
      </c>
      <c r="G248" s="34">
        <f>SUMIF(LIV!$C:$C,Execute!A248,LIV!$Z:$Z)</f>
        <v>0</v>
      </c>
      <c r="H248" s="34" t="e">
        <f>VLOOKUP(A248,LIV!$C:$J,8,0)</f>
        <v>#N/A</v>
      </c>
      <c r="I248" s="34" t="e">
        <f>VLOOKUP(A248,LIV!$C:$G,5,0)</f>
        <v>#N/A</v>
      </c>
      <c r="J248" s="34" t="str">
        <f t="shared" si="15"/>
        <v/>
      </c>
      <c r="K248" s="34" t="e">
        <f>VLOOKUP(A248,LIV!$C:$H,6,0)</f>
        <v>#N/A</v>
      </c>
      <c r="L248" s="34" t="str">
        <f t="shared" si="16"/>
        <v/>
      </c>
      <c r="M248" s="34" t="e">
        <f>VLOOKUP(A248,LIV!$C:$R,16,0)</f>
        <v>#N/A</v>
      </c>
      <c r="N248" s="34">
        <f t="shared" si="17"/>
        <v>0</v>
      </c>
      <c r="O248" s="34" t="e">
        <f>TEXT(VLOOKUP(A248,LIV!$C:$M,11,0),"dd.mm.yyyy")</f>
        <v>#N/A</v>
      </c>
      <c r="P248" s="34" t="str">
        <f t="shared" si="18"/>
        <v/>
      </c>
      <c r="Q248" s="33"/>
    </row>
    <row r="249" spans="1:17" x14ac:dyDescent="0.25">
      <c r="A249" s="34"/>
      <c r="B249" s="34" t="str">
        <f>IF(A249&lt;&gt;"",VLOOKUP(A249,LIV!$C:$AD,28,0),"")</f>
        <v/>
      </c>
      <c r="C249" s="34" t="str">
        <f>IF(A249&lt;&gt;"",_xlfn.XLOOKUP(A249,LIV!$C:$C,LIV!$AD:$AD,,,-1),"")</f>
        <v/>
      </c>
      <c r="D249" s="34" t="e">
        <f>TEXT(VLOOKUP(A249,LIV!$C:$S,17,0),"dd.mm.yyyy")</f>
        <v>#N/A</v>
      </c>
      <c r="E249" s="34" t="e">
        <f>VLOOKUP(A249,LIV!$C:$R,16,0)</f>
        <v>#N/A</v>
      </c>
      <c r="F249" s="34" t="str">
        <f>_xlfn.IFNA(TEXT(_xlfn.XLOOKUP(A249,LIV!$C:$C,LIV!$B:$B),"dd.mm.yyyy"),"")</f>
        <v>00.01.1900</v>
      </c>
      <c r="G249" s="34">
        <f>SUMIF(LIV!$C:$C,Execute!A249,LIV!$Z:$Z)</f>
        <v>0</v>
      </c>
      <c r="H249" s="34" t="e">
        <f>VLOOKUP(A249,LIV!$C:$J,8,0)</f>
        <v>#N/A</v>
      </c>
      <c r="I249" s="34" t="e">
        <f>VLOOKUP(A249,LIV!$C:$G,5,0)</f>
        <v>#N/A</v>
      </c>
      <c r="J249" s="34" t="str">
        <f t="shared" si="15"/>
        <v/>
      </c>
      <c r="K249" s="34" t="e">
        <f>VLOOKUP(A249,LIV!$C:$H,6,0)</f>
        <v>#N/A</v>
      </c>
      <c r="L249" s="34" t="str">
        <f t="shared" si="16"/>
        <v/>
      </c>
      <c r="M249" s="34" t="e">
        <f>VLOOKUP(A249,LIV!$C:$R,16,0)</f>
        <v>#N/A</v>
      </c>
      <c r="N249" s="34">
        <f t="shared" si="17"/>
        <v>0</v>
      </c>
      <c r="O249" s="34" t="e">
        <f>TEXT(VLOOKUP(A249,LIV!$C:$M,11,0),"dd.mm.yyyy")</f>
        <v>#N/A</v>
      </c>
      <c r="P249" s="34" t="str">
        <f t="shared" si="18"/>
        <v/>
      </c>
      <c r="Q249" s="33"/>
    </row>
    <row r="250" spans="1:17" x14ac:dyDescent="0.25">
      <c r="A250" s="34"/>
      <c r="B250" s="34" t="str">
        <f>IF(A250&lt;&gt;"",VLOOKUP(A250,LIV!$C:$AD,28,0),"")</f>
        <v/>
      </c>
      <c r="C250" s="34" t="str">
        <f>IF(A250&lt;&gt;"",_xlfn.XLOOKUP(A250,LIV!$C:$C,LIV!$AD:$AD,,,-1),"")</f>
        <v/>
      </c>
      <c r="D250" s="34" t="e">
        <f>TEXT(VLOOKUP(A250,LIV!$C:$S,17,0),"dd.mm.yyyy")</f>
        <v>#N/A</v>
      </c>
      <c r="E250" s="34" t="e">
        <f>VLOOKUP(A250,LIV!$C:$R,16,0)</f>
        <v>#N/A</v>
      </c>
      <c r="F250" s="34" t="str">
        <f>_xlfn.IFNA(TEXT(_xlfn.XLOOKUP(A250,LIV!$C:$C,LIV!$B:$B),"dd.mm.yyyy"),"")</f>
        <v>00.01.1900</v>
      </c>
      <c r="G250" s="34">
        <f>SUMIF(LIV!$C:$C,Execute!A250,LIV!$Z:$Z)</f>
        <v>0</v>
      </c>
      <c r="H250" s="34" t="e">
        <f>VLOOKUP(A250,LIV!$C:$J,8,0)</f>
        <v>#N/A</v>
      </c>
      <c r="I250" s="34" t="e">
        <f>VLOOKUP(A250,LIV!$C:$G,5,0)</f>
        <v>#N/A</v>
      </c>
      <c r="J250" s="34" t="str">
        <f t="shared" si="15"/>
        <v/>
      </c>
      <c r="K250" s="34" t="e">
        <f>VLOOKUP(A250,LIV!$C:$H,6,0)</f>
        <v>#N/A</v>
      </c>
      <c r="L250" s="34" t="str">
        <f t="shared" si="16"/>
        <v/>
      </c>
      <c r="M250" s="34" t="e">
        <f>VLOOKUP(A250,LIV!$C:$R,16,0)</f>
        <v>#N/A</v>
      </c>
      <c r="N250" s="34">
        <f t="shared" si="17"/>
        <v>0</v>
      </c>
      <c r="O250" s="34" t="e">
        <f>TEXT(VLOOKUP(A250,LIV!$C:$M,11,0),"dd.mm.yyyy")</f>
        <v>#N/A</v>
      </c>
      <c r="P250" s="34" t="str">
        <f t="shared" si="18"/>
        <v/>
      </c>
      <c r="Q250" s="33"/>
    </row>
    <row r="251" spans="1:17" x14ac:dyDescent="0.25">
      <c r="A251" s="34"/>
      <c r="B251" s="34" t="str">
        <f>IF(A251&lt;&gt;"",VLOOKUP(A251,LIV!$C:$AD,28,0),"")</f>
        <v/>
      </c>
      <c r="C251" s="34" t="str">
        <f>IF(A251&lt;&gt;"",_xlfn.XLOOKUP(A251,LIV!$C:$C,LIV!$AD:$AD,,,-1),"")</f>
        <v/>
      </c>
      <c r="D251" s="34" t="e">
        <f>TEXT(VLOOKUP(A251,LIV!$C:$S,17,0),"dd.mm.yyyy")</f>
        <v>#N/A</v>
      </c>
      <c r="E251" s="34" t="e">
        <f>VLOOKUP(A251,LIV!$C:$R,16,0)</f>
        <v>#N/A</v>
      </c>
      <c r="F251" s="34" t="str">
        <f>_xlfn.IFNA(TEXT(_xlfn.XLOOKUP(A251,LIV!$C:$C,LIV!$B:$B),"dd.mm.yyyy"),"")</f>
        <v>00.01.1900</v>
      </c>
      <c r="G251" s="34">
        <f>SUMIF(LIV!$C:$C,Execute!A251,LIV!$Z:$Z)</f>
        <v>0</v>
      </c>
      <c r="H251" s="34" t="e">
        <f>VLOOKUP(A251,LIV!$C:$J,8,0)</f>
        <v>#N/A</v>
      </c>
      <c r="I251" s="34" t="e">
        <f>VLOOKUP(A251,LIV!$C:$G,5,0)</f>
        <v>#N/A</v>
      </c>
      <c r="J251" s="34" t="str">
        <f t="shared" si="15"/>
        <v/>
      </c>
      <c r="K251" s="34" t="e">
        <f>VLOOKUP(A251,LIV!$C:$H,6,0)</f>
        <v>#N/A</v>
      </c>
      <c r="L251" s="34" t="str">
        <f t="shared" si="16"/>
        <v/>
      </c>
      <c r="M251" s="34" t="e">
        <f>VLOOKUP(A251,LIV!$C:$R,16,0)</f>
        <v>#N/A</v>
      </c>
      <c r="N251" s="34">
        <f t="shared" si="17"/>
        <v>0</v>
      </c>
      <c r="O251" s="34" t="e">
        <f>TEXT(VLOOKUP(A251,LIV!$C:$M,11,0),"dd.mm.yyyy")</f>
        <v>#N/A</v>
      </c>
      <c r="P251" s="34" t="str">
        <f t="shared" si="18"/>
        <v/>
      </c>
      <c r="Q251" s="33"/>
    </row>
    <row r="252" spans="1:17" x14ac:dyDescent="0.25">
      <c r="A252" s="34"/>
      <c r="B252" s="34" t="str">
        <f>IF(A252&lt;&gt;"",VLOOKUP(A252,LIV!$C:$AD,28,0),"")</f>
        <v/>
      </c>
      <c r="C252" s="34" t="str">
        <f>IF(A252&lt;&gt;"",_xlfn.XLOOKUP(A252,LIV!$C:$C,LIV!$AD:$AD,,,-1),"")</f>
        <v/>
      </c>
      <c r="D252" s="34" t="e">
        <f>TEXT(VLOOKUP(A252,LIV!$C:$S,17,0),"dd.mm.yyyy")</f>
        <v>#N/A</v>
      </c>
      <c r="E252" s="34" t="e">
        <f>VLOOKUP(A252,LIV!$C:$R,16,0)</f>
        <v>#N/A</v>
      </c>
      <c r="F252" s="34" t="str">
        <f>_xlfn.IFNA(TEXT(_xlfn.XLOOKUP(A252,LIV!$C:$C,LIV!$B:$B),"dd.mm.yyyy"),"")</f>
        <v>00.01.1900</v>
      </c>
      <c r="G252" s="34">
        <f>SUMIF(LIV!$C:$C,Execute!A252,LIV!$Z:$Z)</f>
        <v>0</v>
      </c>
      <c r="H252" s="34" t="e">
        <f>VLOOKUP(A252,LIV!$C:$J,8,0)</f>
        <v>#N/A</v>
      </c>
      <c r="I252" s="34" t="e">
        <f>VLOOKUP(A252,LIV!$C:$G,5,0)</f>
        <v>#N/A</v>
      </c>
      <c r="J252" s="34" t="str">
        <f t="shared" si="15"/>
        <v/>
      </c>
      <c r="K252" s="34" t="e">
        <f>VLOOKUP(A252,LIV!$C:$H,6,0)</f>
        <v>#N/A</v>
      </c>
      <c r="L252" s="34" t="str">
        <f t="shared" si="16"/>
        <v/>
      </c>
      <c r="M252" s="34" t="e">
        <f>VLOOKUP(A252,LIV!$C:$R,16,0)</f>
        <v>#N/A</v>
      </c>
      <c r="N252" s="34">
        <f t="shared" si="17"/>
        <v>0</v>
      </c>
      <c r="O252" s="34" t="e">
        <f>TEXT(VLOOKUP(A252,LIV!$C:$M,11,0),"dd.mm.yyyy")</f>
        <v>#N/A</v>
      </c>
      <c r="P252" s="34" t="str">
        <f t="shared" si="18"/>
        <v/>
      </c>
      <c r="Q252" s="33"/>
    </row>
    <row r="253" spans="1:17" x14ac:dyDescent="0.25">
      <c r="A253" s="34"/>
      <c r="B253" s="34" t="str">
        <f>IF(A253&lt;&gt;"",VLOOKUP(A253,LIV!$C:$AD,28,0),"")</f>
        <v/>
      </c>
      <c r="C253" s="34" t="str">
        <f>IF(A253&lt;&gt;"",_xlfn.XLOOKUP(A253,LIV!$C:$C,LIV!$AD:$AD,,,-1),"")</f>
        <v/>
      </c>
      <c r="D253" s="34" t="e">
        <f>TEXT(VLOOKUP(A253,LIV!$C:$S,17,0),"dd.mm.yyyy")</f>
        <v>#N/A</v>
      </c>
      <c r="E253" s="34" t="e">
        <f>VLOOKUP(A253,LIV!$C:$R,16,0)</f>
        <v>#N/A</v>
      </c>
      <c r="F253" s="34" t="str">
        <f>_xlfn.IFNA(TEXT(_xlfn.XLOOKUP(A253,LIV!$C:$C,LIV!$B:$B),"dd.mm.yyyy"),"")</f>
        <v>00.01.1900</v>
      </c>
      <c r="G253" s="34">
        <f>SUMIF(LIV!$C:$C,Execute!A253,LIV!$Z:$Z)</f>
        <v>0</v>
      </c>
      <c r="H253" s="34" t="e">
        <f>VLOOKUP(A253,LIV!$C:$J,8,0)</f>
        <v>#N/A</v>
      </c>
      <c r="I253" s="34" t="e">
        <f>VLOOKUP(A253,LIV!$C:$G,5,0)</f>
        <v>#N/A</v>
      </c>
      <c r="J253" s="34" t="str">
        <f t="shared" si="15"/>
        <v/>
      </c>
      <c r="K253" s="34" t="e">
        <f>VLOOKUP(A253,LIV!$C:$H,6,0)</f>
        <v>#N/A</v>
      </c>
      <c r="L253" s="34" t="str">
        <f t="shared" si="16"/>
        <v/>
      </c>
      <c r="M253" s="34" t="e">
        <f>VLOOKUP(A253,LIV!$C:$R,16,0)</f>
        <v>#N/A</v>
      </c>
      <c r="N253" s="34">
        <f t="shared" si="17"/>
        <v>0</v>
      </c>
      <c r="O253" s="34" t="e">
        <f>TEXT(VLOOKUP(A253,LIV!$C:$M,11,0),"dd.mm.yyyy")</f>
        <v>#N/A</v>
      </c>
      <c r="P253" s="34" t="str">
        <f t="shared" si="18"/>
        <v/>
      </c>
      <c r="Q253" s="33"/>
    </row>
    <row r="254" spans="1:17" x14ac:dyDescent="0.25">
      <c r="A254" s="34"/>
      <c r="B254" s="34" t="str">
        <f>IF(A254&lt;&gt;"",VLOOKUP(A254,LIV!$C:$AD,28,0),"")</f>
        <v/>
      </c>
      <c r="C254" s="34" t="str">
        <f>IF(A254&lt;&gt;"",_xlfn.XLOOKUP(A254,LIV!$C:$C,LIV!$AD:$AD,,,-1),"")</f>
        <v/>
      </c>
      <c r="D254" s="34" t="e">
        <f>TEXT(VLOOKUP(A254,LIV!$C:$S,17,0),"dd.mm.yyyy")</f>
        <v>#N/A</v>
      </c>
      <c r="E254" s="34" t="e">
        <f>VLOOKUP(A254,LIV!$C:$R,16,0)</f>
        <v>#N/A</v>
      </c>
      <c r="F254" s="34" t="str">
        <f>_xlfn.IFNA(TEXT(_xlfn.XLOOKUP(A254,LIV!$C:$C,LIV!$B:$B),"dd.mm.yyyy"),"")</f>
        <v>00.01.1900</v>
      </c>
      <c r="G254" s="34">
        <f>SUMIF(LIV!$C:$C,Execute!A254,LIV!$Z:$Z)</f>
        <v>0</v>
      </c>
      <c r="H254" s="34" t="e">
        <f>VLOOKUP(A254,LIV!$C:$J,8,0)</f>
        <v>#N/A</v>
      </c>
      <c r="I254" s="34" t="e">
        <f>VLOOKUP(A254,LIV!$C:$G,5,0)</f>
        <v>#N/A</v>
      </c>
      <c r="J254" s="34" t="str">
        <f t="shared" si="15"/>
        <v/>
      </c>
      <c r="K254" s="34" t="e">
        <f>VLOOKUP(A254,LIV!$C:$H,6,0)</f>
        <v>#N/A</v>
      </c>
      <c r="L254" s="34" t="str">
        <f t="shared" si="16"/>
        <v/>
      </c>
      <c r="M254" s="34" t="e">
        <f>VLOOKUP(A254,LIV!$C:$R,16,0)</f>
        <v>#N/A</v>
      </c>
      <c r="N254" s="34">
        <f t="shared" si="17"/>
        <v>0</v>
      </c>
      <c r="O254" s="34" t="e">
        <f>TEXT(VLOOKUP(A254,LIV!$C:$M,11,0),"dd.mm.yyyy")</f>
        <v>#N/A</v>
      </c>
      <c r="P254" s="34" t="str">
        <f t="shared" si="18"/>
        <v/>
      </c>
      <c r="Q254" s="33"/>
    </row>
    <row r="255" spans="1:17" x14ac:dyDescent="0.25">
      <c r="A255" s="34"/>
      <c r="B255" s="34" t="str">
        <f>IF(A255&lt;&gt;"",VLOOKUP(A255,LIV!$C:$AD,28,0),"")</f>
        <v/>
      </c>
      <c r="C255" s="34" t="str">
        <f>IF(A255&lt;&gt;"",_xlfn.XLOOKUP(A255,LIV!$C:$C,LIV!$AD:$AD,,,-1),"")</f>
        <v/>
      </c>
      <c r="D255" s="34" t="e">
        <f>TEXT(VLOOKUP(A255,LIV!$C:$S,17,0),"dd.mm.yyyy")</f>
        <v>#N/A</v>
      </c>
      <c r="E255" s="34" t="e">
        <f>VLOOKUP(A255,LIV!$C:$R,16,0)</f>
        <v>#N/A</v>
      </c>
      <c r="F255" s="34" t="str">
        <f>_xlfn.IFNA(TEXT(_xlfn.XLOOKUP(A255,LIV!$C:$C,LIV!$B:$B),"dd.mm.yyyy"),"")</f>
        <v>00.01.1900</v>
      </c>
      <c r="G255" s="34">
        <f>SUMIF(LIV!$C:$C,Execute!A255,LIV!$Z:$Z)</f>
        <v>0</v>
      </c>
      <c r="H255" s="34" t="e">
        <f>VLOOKUP(A255,LIV!$C:$J,8,0)</f>
        <v>#N/A</v>
      </c>
      <c r="I255" s="34" t="e">
        <f>VLOOKUP(A255,LIV!$C:$G,5,0)</f>
        <v>#N/A</v>
      </c>
      <c r="J255" s="34" t="str">
        <f t="shared" si="15"/>
        <v/>
      </c>
      <c r="K255" s="34" t="e">
        <f>VLOOKUP(A255,LIV!$C:$H,6,0)</f>
        <v>#N/A</v>
      </c>
      <c r="L255" s="34" t="str">
        <f t="shared" si="16"/>
        <v/>
      </c>
      <c r="M255" s="34" t="e">
        <f>VLOOKUP(A255,LIV!$C:$R,16,0)</f>
        <v>#N/A</v>
      </c>
      <c r="N255" s="34">
        <f t="shared" si="17"/>
        <v>0</v>
      </c>
      <c r="O255" s="34" t="e">
        <f>TEXT(VLOOKUP(A255,LIV!$C:$M,11,0),"dd.mm.yyyy")</f>
        <v>#N/A</v>
      </c>
      <c r="P255" s="34" t="str">
        <f t="shared" si="18"/>
        <v/>
      </c>
      <c r="Q255" s="33"/>
    </row>
    <row r="256" spans="1:17" x14ac:dyDescent="0.25">
      <c r="A256" s="34"/>
      <c r="B256" s="34" t="str">
        <f>IF(A256&lt;&gt;"",VLOOKUP(A256,LIV!$C:$AD,28,0),"")</f>
        <v/>
      </c>
      <c r="C256" s="34" t="str">
        <f>IF(A256&lt;&gt;"",_xlfn.XLOOKUP(A256,LIV!$C:$C,LIV!$AD:$AD,,,-1),"")</f>
        <v/>
      </c>
      <c r="D256" s="34" t="e">
        <f>TEXT(VLOOKUP(A256,LIV!$C:$S,17,0),"dd.mm.yyyy")</f>
        <v>#N/A</v>
      </c>
      <c r="E256" s="34" t="e">
        <f>VLOOKUP(A256,LIV!$C:$R,16,0)</f>
        <v>#N/A</v>
      </c>
      <c r="F256" s="34" t="str">
        <f>_xlfn.IFNA(TEXT(_xlfn.XLOOKUP(A256,LIV!$C:$C,LIV!$B:$B),"dd.mm.yyyy"),"")</f>
        <v>00.01.1900</v>
      </c>
      <c r="G256" s="34">
        <f>SUMIF(LIV!$C:$C,Execute!A256,LIV!$Z:$Z)</f>
        <v>0</v>
      </c>
      <c r="H256" s="34" t="e">
        <f>VLOOKUP(A256,LIV!$C:$J,8,0)</f>
        <v>#N/A</v>
      </c>
      <c r="I256" s="34" t="e">
        <f>VLOOKUP(A256,LIV!$C:$G,5,0)</f>
        <v>#N/A</v>
      </c>
      <c r="J256" s="34" t="str">
        <f t="shared" si="15"/>
        <v/>
      </c>
      <c r="K256" s="34" t="e">
        <f>VLOOKUP(A256,LIV!$C:$H,6,0)</f>
        <v>#N/A</v>
      </c>
      <c r="L256" s="34" t="str">
        <f t="shared" si="16"/>
        <v/>
      </c>
      <c r="M256" s="34" t="e">
        <f>VLOOKUP(A256,LIV!$C:$R,16,0)</f>
        <v>#N/A</v>
      </c>
      <c r="N256" s="34">
        <f t="shared" si="17"/>
        <v>0</v>
      </c>
      <c r="O256" s="34" t="e">
        <f>TEXT(VLOOKUP(A256,LIV!$C:$M,11,0),"dd.mm.yyyy")</f>
        <v>#N/A</v>
      </c>
      <c r="P256" s="34" t="str">
        <f t="shared" si="18"/>
        <v/>
      </c>
      <c r="Q256" s="33"/>
    </row>
    <row r="257" spans="1:17" x14ac:dyDescent="0.25">
      <c r="A257" s="34"/>
      <c r="B257" s="34" t="str">
        <f>IF(A257&lt;&gt;"",VLOOKUP(A257,LIV!$C:$AD,28,0),"")</f>
        <v/>
      </c>
      <c r="C257" s="34" t="str">
        <f>IF(A257&lt;&gt;"",_xlfn.XLOOKUP(A257,LIV!$C:$C,LIV!$AD:$AD,,,-1),"")</f>
        <v/>
      </c>
      <c r="D257" s="34" t="e">
        <f>TEXT(VLOOKUP(A257,LIV!$C:$S,17,0),"dd.mm.yyyy")</f>
        <v>#N/A</v>
      </c>
      <c r="E257" s="34" t="e">
        <f>VLOOKUP(A257,LIV!$C:$R,16,0)</f>
        <v>#N/A</v>
      </c>
      <c r="F257" s="34" t="str">
        <f>_xlfn.IFNA(TEXT(_xlfn.XLOOKUP(A257,LIV!$C:$C,LIV!$B:$B),"dd.mm.yyyy"),"")</f>
        <v>00.01.1900</v>
      </c>
      <c r="G257" s="34">
        <f>SUMIF(LIV!$C:$C,Execute!A257,LIV!$Z:$Z)</f>
        <v>0</v>
      </c>
      <c r="H257" s="34" t="e">
        <f>VLOOKUP(A257,LIV!$C:$J,8,0)</f>
        <v>#N/A</v>
      </c>
      <c r="I257" s="34" t="e">
        <f>VLOOKUP(A257,LIV!$C:$G,5,0)</f>
        <v>#N/A</v>
      </c>
      <c r="J257" s="34" t="str">
        <f t="shared" si="15"/>
        <v/>
      </c>
      <c r="K257" s="34" t="e">
        <f>VLOOKUP(A257,LIV!$C:$H,6,0)</f>
        <v>#N/A</v>
      </c>
      <c r="L257" s="34" t="str">
        <f t="shared" si="16"/>
        <v/>
      </c>
      <c r="M257" s="34" t="e">
        <f>VLOOKUP(A257,LIV!$C:$R,16,0)</f>
        <v>#N/A</v>
      </c>
      <c r="N257" s="34">
        <f t="shared" si="17"/>
        <v>0</v>
      </c>
      <c r="O257" s="34" t="e">
        <f>TEXT(VLOOKUP(A257,LIV!$C:$M,11,0),"dd.mm.yyyy")</f>
        <v>#N/A</v>
      </c>
      <c r="P257" s="34" t="str">
        <f t="shared" si="18"/>
        <v/>
      </c>
      <c r="Q257" s="33"/>
    </row>
    <row r="258" spans="1:17" x14ac:dyDescent="0.25">
      <c r="A258" s="34"/>
      <c r="B258" s="34" t="str">
        <f>IF(A258&lt;&gt;"",VLOOKUP(A258,LIV!$C:$AD,28,0),"")</f>
        <v/>
      </c>
      <c r="C258" s="34" t="str">
        <f>IF(A258&lt;&gt;"",_xlfn.XLOOKUP(A258,LIV!$C:$C,LIV!$AD:$AD,,,-1),"")</f>
        <v/>
      </c>
      <c r="D258" s="34" t="e">
        <f>TEXT(VLOOKUP(A258,LIV!$C:$S,17,0),"dd.mm.yyyy")</f>
        <v>#N/A</v>
      </c>
      <c r="E258" s="34" t="e">
        <f>VLOOKUP(A258,LIV!$C:$R,16,0)</f>
        <v>#N/A</v>
      </c>
      <c r="F258" s="34" t="str">
        <f>_xlfn.IFNA(TEXT(_xlfn.XLOOKUP(A258,LIV!$C:$C,LIV!$B:$B),"dd.mm.yyyy"),"")</f>
        <v>00.01.1900</v>
      </c>
      <c r="G258" s="34">
        <f>SUMIF(LIV!$C:$C,Execute!A258,LIV!$Z:$Z)</f>
        <v>0</v>
      </c>
      <c r="H258" s="34" t="e">
        <f>VLOOKUP(A258,LIV!$C:$J,8,0)</f>
        <v>#N/A</v>
      </c>
      <c r="I258" s="34" t="e">
        <f>VLOOKUP(A258,LIV!$C:$G,5,0)</f>
        <v>#N/A</v>
      </c>
      <c r="J258" s="34" t="str">
        <f t="shared" si="15"/>
        <v/>
      </c>
      <c r="K258" s="34" t="e">
        <f>VLOOKUP(A258,LIV!$C:$H,6,0)</f>
        <v>#N/A</v>
      </c>
      <c r="L258" s="34" t="str">
        <f t="shared" si="16"/>
        <v/>
      </c>
      <c r="M258" s="34" t="e">
        <f>VLOOKUP(A258,LIV!$C:$R,16,0)</f>
        <v>#N/A</v>
      </c>
      <c r="N258" s="34">
        <f t="shared" si="17"/>
        <v>0</v>
      </c>
      <c r="O258" s="34" t="e">
        <f>TEXT(VLOOKUP(A258,LIV!$C:$M,11,0),"dd.mm.yyyy")</f>
        <v>#N/A</v>
      </c>
      <c r="P258" s="34" t="str">
        <f t="shared" si="18"/>
        <v/>
      </c>
      <c r="Q258" s="33"/>
    </row>
    <row r="259" spans="1:17" x14ac:dyDescent="0.25">
      <c r="A259" s="34"/>
      <c r="B259" s="34" t="str">
        <f>IF(A259&lt;&gt;"",VLOOKUP(A259,LIV!$C:$AD,28,0),"")</f>
        <v/>
      </c>
      <c r="C259" s="34" t="str">
        <f>IF(A259&lt;&gt;"",_xlfn.XLOOKUP(A259,LIV!$C:$C,LIV!$AD:$AD,,,-1),"")</f>
        <v/>
      </c>
      <c r="D259" s="34" t="e">
        <f>TEXT(VLOOKUP(A259,LIV!$C:$S,17,0),"dd.mm.yyyy")</f>
        <v>#N/A</v>
      </c>
      <c r="E259" s="34" t="e">
        <f>VLOOKUP(A259,LIV!$C:$R,16,0)</f>
        <v>#N/A</v>
      </c>
      <c r="F259" s="34" t="str">
        <f>_xlfn.IFNA(TEXT(_xlfn.XLOOKUP(A259,LIV!$C:$C,LIV!$B:$B),"dd.mm.yyyy"),"")</f>
        <v>00.01.1900</v>
      </c>
      <c r="G259" s="34">
        <f>SUMIF(LIV!$C:$C,Execute!A259,LIV!$Z:$Z)</f>
        <v>0</v>
      </c>
      <c r="H259" s="34" t="e">
        <f>VLOOKUP(A259,LIV!$C:$J,8,0)</f>
        <v>#N/A</v>
      </c>
      <c r="I259" s="34" t="e">
        <f>VLOOKUP(A259,LIV!$C:$G,5,0)</f>
        <v>#N/A</v>
      </c>
      <c r="J259" s="34" t="str">
        <f t="shared" si="15"/>
        <v/>
      </c>
      <c r="K259" s="34" t="e">
        <f>VLOOKUP(A259,LIV!$C:$H,6,0)</f>
        <v>#N/A</v>
      </c>
      <c r="L259" s="34" t="str">
        <f t="shared" si="16"/>
        <v/>
      </c>
      <c r="M259" s="34" t="e">
        <f>VLOOKUP(A259,LIV!$C:$R,16,0)</f>
        <v>#N/A</v>
      </c>
      <c r="N259" s="34">
        <f t="shared" si="17"/>
        <v>0</v>
      </c>
      <c r="O259" s="34" t="e">
        <f>TEXT(VLOOKUP(A259,LIV!$C:$M,11,0),"dd.mm.yyyy")</f>
        <v>#N/A</v>
      </c>
      <c r="P259" s="34" t="str">
        <f t="shared" si="18"/>
        <v/>
      </c>
      <c r="Q259" s="33"/>
    </row>
    <row r="260" spans="1:17" x14ac:dyDescent="0.25">
      <c r="A260" s="34"/>
      <c r="B260" s="34" t="str">
        <f>IF(A260&lt;&gt;"",VLOOKUP(A260,LIV!$C:$AD,28,0),"")</f>
        <v/>
      </c>
      <c r="C260" s="34" t="str">
        <f>IF(A260&lt;&gt;"",_xlfn.XLOOKUP(A260,LIV!$C:$C,LIV!$AD:$AD,,,-1),"")</f>
        <v/>
      </c>
      <c r="D260" s="34" t="e">
        <f>TEXT(VLOOKUP(A260,LIV!$C:$S,17,0),"dd.mm.yyyy")</f>
        <v>#N/A</v>
      </c>
      <c r="E260" s="34" t="e">
        <f>VLOOKUP(A260,LIV!$C:$R,16,0)</f>
        <v>#N/A</v>
      </c>
      <c r="F260" s="34" t="str">
        <f>_xlfn.IFNA(TEXT(_xlfn.XLOOKUP(A260,LIV!$C:$C,LIV!$B:$B),"dd.mm.yyyy"),"")</f>
        <v>00.01.1900</v>
      </c>
      <c r="G260" s="34">
        <f>SUMIF(LIV!$C:$C,Execute!A260,LIV!$Z:$Z)</f>
        <v>0</v>
      </c>
      <c r="H260" s="34" t="e">
        <f>VLOOKUP(A260,LIV!$C:$J,8,0)</f>
        <v>#N/A</v>
      </c>
      <c r="I260" s="34" t="e">
        <f>VLOOKUP(A260,LIV!$C:$G,5,0)</f>
        <v>#N/A</v>
      </c>
      <c r="J260" s="34" t="str">
        <f t="shared" si="15"/>
        <v/>
      </c>
      <c r="K260" s="34" t="e">
        <f>VLOOKUP(A260,LIV!$C:$H,6,0)</f>
        <v>#N/A</v>
      </c>
      <c r="L260" s="34" t="str">
        <f t="shared" si="16"/>
        <v/>
      </c>
      <c r="M260" s="34" t="e">
        <f>VLOOKUP(A260,LIV!$C:$R,16,0)</f>
        <v>#N/A</v>
      </c>
      <c r="N260" s="34">
        <f t="shared" si="17"/>
        <v>0</v>
      </c>
      <c r="O260" s="34" t="e">
        <f>TEXT(VLOOKUP(A260,LIV!$C:$M,11,0),"dd.mm.yyyy")</f>
        <v>#N/A</v>
      </c>
      <c r="P260" s="34" t="str">
        <f t="shared" si="18"/>
        <v/>
      </c>
      <c r="Q260" s="33"/>
    </row>
    <row r="261" spans="1:17" x14ac:dyDescent="0.25">
      <c r="A261" s="34"/>
      <c r="B261" s="34" t="str">
        <f>IF(A261&lt;&gt;"",VLOOKUP(A261,LIV!$C:$AD,28,0),"")</f>
        <v/>
      </c>
      <c r="C261" s="34" t="str">
        <f>IF(A261&lt;&gt;"",_xlfn.XLOOKUP(A261,LIV!$C:$C,LIV!$AD:$AD,,,-1),"")</f>
        <v/>
      </c>
      <c r="D261" s="34" t="e">
        <f>TEXT(VLOOKUP(A261,LIV!$C:$S,17,0),"dd.mm.yyyy")</f>
        <v>#N/A</v>
      </c>
      <c r="E261" s="34" t="e">
        <f>VLOOKUP(A261,LIV!$C:$R,16,0)</f>
        <v>#N/A</v>
      </c>
      <c r="F261" s="34" t="str">
        <f>_xlfn.IFNA(TEXT(_xlfn.XLOOKUP(A261,LIV!$C:$C,LIV!$B:$B),"dd.mm.yyyy"),"")</f>
        <v>00.01.1900</v>
      </c>
      <c r="G261" s="34">
        <f>SUMIF(LIV!$C:$C,Execute!A261,LIV!$Z:$Z)</f>
        <v>0</v>
      </c>
      <c r="H261" s="34" t="e">
        <f>VLOOKUP(A261,LIV!$C:$J,8,0)</f>
        <v>#N/A</v>
      </c>
      <c r="I261" s="34" t="e">
        <f>VLOOKUP(A261,LIV!$C:$G,5,0)</f>
        <v>#N/A</v>
      </c>
      <c r="J261" s="34" t="str">
        <f t="shared" si="15"/>
        <v/>
      </c>
      <c r="K261" s="34" t="e">
        <f>VLOOKUP(A261,LIV!$C:$H,6,0)</f>
        <v>#N/A</v>
      </c>
      <c r="L261" s="34" t="str">
        <f t="shared" si="16"/>
        <v/>
      </c>
      <c r="M261" s="34" t="e">
        <f>VLOOKUP(A261,LIV!$C:$R,16,0)</f>
        <v>#N/A</v>
      </c>
      <c r="N261" s="34">
        <f t="shared" si="17"/>
        <v>0</v>
      </c>
      <c r="O261" s="34" t="e">
        <f>TEXT(VLOOKUP(A261,LIV!$C:$M,11,0),"dd.mm.yyyy")</f>
        <v>#N/A</v>
      </c>
      <c r="P261" s="34" t="str">
        <f t="shared" si="18"/>
        <v/>
      </c>
      <c r="Q261" s="33"/>
    </row>
    <row r="262" spans="1:17" x14ac:dyDescent="0.25">
      <c r="A262" s="34"/>
      <c r="B262" s="34" t="str">
        <f>IF(A262&lt;&gt;"",VLOOKUP(A262,LIV!$C:$AD,28,0),"")</f>
        <v/>
      </c>
      <c r="C262" s="34" t="str">
        <f>IF(A262&lt;&gt;"",_xlfn.XLOOKUP(A262,LIV!$C:$C,LIV!$AD:$AD,,,-1),"")</f>
        <v/>
      </c>
      <c r="D262" s="34" t="e">
        <f>TEXT(VLOOKUP(A262,LIV!$C:$S,17,0),"dd.mm.yyyy")</f>
        <v>#N/A</v>
      </c>
      <c r="E262" s="34" t="e">
        <f>VLOOKUP(A262,LIV!$C:$R,16,0)</f>
        <v>#N/A</v>
      </c>
      <c r="F262" s="34" t="str">
        <f>_xlfn.IFNA(TEXT(_xlfn.XLOOKUP(A262,LIV!$C:$C,LIV!$B:$B),"dd.mm.yyyy"),"")</f>
        <v>00.01.1900</v>
      </c>
      <c r="G262" s="34">
        <f>SUMIF(LIV!$C:$C,Execute!A262,LIV!$Z:$Z)</f>
        <v>0</v>
      </c>
      <c r="H262" s="34" t="e">
        <f>VLOOKUP(A262,LIV!$C:$J,8,0)</f>
        <v>#N/A</v>
      </c>
      <c r="I262" s="34" t="e">
        <f>VLOOKUP(A262,LIV!$C:$G,5,0)</f>
        <v>#N/A</v>
      </c>
      <c r="J262" s="34" t="str">
        <f t="shared" si="15"/>
        <v/>
      </c>
      <c r="K262" s="34" t="e">
        <f>VLOOKUP(A262,LIV!$C:$H,6,0)</f>
        <v>#N/A</v>
      </c>
      <c r="L262" s="34" t="str">
        <f t="shared" si="16"/>
        <v/>
      </c>
      <c r="M262" s="34" t="e">
        <f>VLOOKUP(A262,LIV!$C:$R,16,0)</f>
        <v>#N/A</v>
      </c>
      <c r="N262" s="34">
        <f t="shared" si="17"/>
        <v>0</v>
      </c>
      <c r="O262" s="34" t="e">
        <f>TEXT(VLOOKUP(A262,LIV!$C:$M,11,0),"dd.mm.yyyy")</f>
        <v>#N/A</v>
      </c>
      <c r="P262" s="34" t="str">
        <f t="shared" si="18"/>
        <v/>
      </c>
      <c r="Q262" s="33"/>
    </row>
    <row r="263" spans="1:17" x14ac:dyDescent="0.25">
      <c r="A263" s="34"/>
      <c r="B263" s="34" t="str">
        <f>IF(A263&lt;&gt;"",VLOOKUP(A263,LIV!$C:$AD,28,0),"")</f>
        <v/>
      </c>
      <c r="C263" s="34" t="str">
        <f>IF(A263&lt;&gt;"",_xlfn.XLOOKUP(A263,LIV!$C:$C,LIV!$AD:$AD,,,-1),"")</f>
        <v/>
      </c>
      <c r="D263" s="34" t="e">
        <f>TEXT(VLOOKUP(A263,LIV!$C:$S,17,0),"dd.mm.yyyy")</f>
        <v>#N/A</v>
      </c>
      <c r="E263" s="34" t="e">
        <f>VLOOKUP(A263,LIV!$C:$R,16,0)</f>
        <v>#N/A</v>
      </c>
      <c r="F263" s="34" t="str">
        <f>_xlfn.IFNA(TEXT(_xlfn.XLOOKUP(A263,LIV!$C:$C,LIV!$B:$B),"dd.mm.yyyy"),"")</f>
        <v>00.01.1900</v>
      </c>
      <c r="G263" s="34">
        <f>SUMIF(LIV!$C:$C,Execute!A263,LIV!$Z:$Z)</f>
        <v>0</v>
      </c>
      <c r="H263" s="34" t="e">
        <f>VLOOKUP(A263,LIV!$C:$J,8,0)</f>
        <v>#N/A</v>
      </c>
      <c r="I263" s="34" t="e">
        <f>VLOOKUP(A263,LIV!$C:$G,5,0)</f>
        <v>#N/A</v>
      </c>
      <c r="J263" s="34" t="str">
        <f t="shared" si="15"/>
        <v/>
      </c>
      <c r="K263" s="34" t="e">
        <f>VLOOKUP(A263,LIV!$C:$H,6,0)</f>
        <v>#N/A</v>
      </c>
      <c r="L263" s="34" t="str">
        <f t="shared" si="16"/>
        <v/>
      </c>
      <c r="M263" s="34" t="e">
        <f>VLOOKUP(A263,LIV!$C:$R,16,0)</f>
        <v>#N/A</v>
      </c>
      <c r="N263" s="34">
        <f t="shared" si="17"/>
        <v>0</v>
      </c>
      <c r="O263" s="34" t="e">
        <f>TEXT(VLOOKUP(A263,LIV!$C:$M,11,0),"dd.mm.yyyy")</f>
        <v>#N/A</v>
      </c>
      <c r="P263" s="34" t="str">
        <f t="shared" si="18"/>
        <v/>
      </c>
      <c r="Q263" s="33"/>
    </row>
    <row r="264" spans="1:17" x14ac:dyDescent="0.25">
      <c r="A264" s="34"/>
      <c r="B264" s="34" t="str">
        <f>IF(A264&lt;&gt;"",VLOOKUP(A264,LIV!$C:$AD,28,0),"")</f>
        <v/>
      </c>
      <c r="C264" s="34" t="str">
        <f>IF(A264&lt;&gt;"",_xlfn.XLOOKUP(A264,LIV!$C:$C,LIV!$AD:$AD,,,-1),"")</f>
        <v/>
      </c>
      <c r="D264" s="34" t="e">
        <f>TEXT(VLOOKUP(A264,LIV!$C:$S,17,0),"dd.mm.yyyy")</f>
        <v>#N/A</v>
      </c>
      <c r="E264" s="34" t="e">
        <f>VLOOKUP(A264,LIV!$C:$R,16,0)</f>
        <v>#N/A</v>
      </c>
      <c r="F264" s="34" t="str">
        <f>_xlfn.IFNA(TEXT(_xlfn.XLOOKUP(A264,LIV!$C:$C,LIV!$B:$B),"dd.mm.yyyy"),"")</f>
        <v>00.01.1900</v>
      </c>
      <c r="G264" s="34">
        <f>SUMIF(LIV!$C:$C,Execute!A264,LIV!$Z:$Z)</f>
        <v>0</v>
      </c>
      <c r="H264" s="34" t="e">
        <f>VLOOKUP(A264,LIV!$C:$J,8,0)</f>
        <v>#N/A</v>
      </c>
      <c r="I264" s="34" t="e">
        <f>VLOOKUP(A264,LIV!$C:$G,5,0)</f>
        <v>#N/A</v>
      </c>
      <c r="J264" s="34" t="str">
        <f t="shared" si="15"/>
        <v/>
      </c>
      <c r="K264" s="34" t="e">
        <f>VLOOKUP(A264,LIV!$C:$H,6,0)</f>
        <v>#N/A</v>
      </c>
      <c r="L264" s="34" t="str">
        <f t="shared" si="16"/>
        <v/>
      </c>
      <c r="M264" s="34" t="e">
        <f>VLOOKUP(A264,LIV!$C:$R,16,0)</f>
        <v>#N/A</v>
      </c>
      <c r="N264" s="34">
        <f t="shared" si="17"/>
        <v>0</v>
      </c>
      <c r="O264" s="34" t="e">
        <f>TEXT(VLOOKUP(A264,LIV!$C:$M,11,0),"dd.mm.yyyy")</f>
        <v>#N/A</v>
      </c>
      <c r="P264" s="34" t="str">
        <f t="shared" si="18"/>
        <v/>
      </c>
      <c r="Q264" s="33"/>
    </row>
    <row r="265" spans="1:17" x14ac:dyDescent="0.25">
      <c r="A265" s="34"/>
      <c r="B265" s="34" t="str">
        <f>IF(A265&lt;&gt;"",VLOOKUP(A265,LIV!$C:$AD,28,0),"")</f>
        <v/>
      </c>
      <c r="C265" s="34" t="str">
        <f>IF(A265&lt;&gt;"",_xlfn.XLOOKUP(A265,LIV!$C:$C,LIV!$AD:$AD,,,-1),"")</f>
        <v/>
      </c>
      <c r="D265" s="34" t="e">
        <f>TEXT(VLOOKUP(A265,LIV!$C:$S,17,0),"dd.mm.yyyy")</f>
        <v>#N/A</v>
      </c>
      <c r="E265" s="34" t="e">
        <f>VLOOKUP(A265,LIV!$C:$R,16,0)</f>
        <v>#N/A</v>
      </c>
      <c r="F265" s="34" t="str">
        <f>_xlfn.IFNA(TEXT(_xlfn.XLOOKUP(A265,LIV!$C:$C,LIV!$B:$B),"dd.mm.yyyy"),"")</f>
        <v>00.01.1900</v>
      </c>
      <c r="G265" s="34">
        <f>SUMIF(LIV!$C:$C,Execute!A265,LIV!$Z:$Z)</f>
        <v>0</v>
      </c>
      <c r="H265" s="34" t="e">
        <f>VLOOKUP(A265,LIV!$C:$J,8,0)</f>
        <v>#N/A</v>
      </c>
      <c r="I265" s="34" t="e">
        <f>VLOOKUP(A265,LIV!$C:$G,5,0)</f>
        <v>#N/A</v>
      </c>
      <c r="J265" s="34" t="str">
        <f t="shared" ref="J265:J292" si="19">IF(A265&lt;&gt;"",$C$1,"")</f>
        <v/>
      </c>
      <c r="K265" s="34" t="e">
        <f>VLOOKUP(A265,LIV!$C:$H,6,0)</f>
        <v>#N/A</v>
      </c>
      <c r="L265" s="34" t="str">
        <f t="shared" si="16"/>
        <v/>
      </c>
      <c r="M265" s="34" t="e">
        <f>VLOOKUP(A265,LIV!$C:$R,16,0)</f>
        <v>#N/A</v>
      </c>
      <c r="N265" s="34">
        <f t="shared" si="17"/>
        <v>0</v>
      </c>
      <c r="O265" s="34" t="e">
        <f>TEXT(VLOOKUP(A265,LIV!$C:$M,11,0),"dd.mm.yyyy")</f>
        <v>#N/A</v>
      </c>
      <c r="P265" s="34" t="str">
        <f t="shared" si="18"/>
        <v/>
      </c>
      <c r="Q265" s="33"/>
    </row>
    <row r="266" spans="1:17" x14ac:dyDescent="0.25">
      <c r="A266" s="34"/>
      <c r="B266" s="34" t="str">
        <f>IF(A266&lt;&gt;"",VLOOKUP(A266,LIV!$C:$AD,28,0),"")</f>
        <v/>
      </c>
      <c r="C266" s="34" t="str">
        <f>IF(A266&lt;&gt;"",_xlfn.XLOOKUP(A266,LIV!$C:$C,LIV!$AD:$AD,,,-1),"")</f>
        <v/>
      </c>
      <c r="D266" s="34" t="e">
        <f>TEXT(VLOOKUP(A266,LIV!$C:$S,17,0),"dd.mm.yyyy")</f>
        <v>#N/A</v>
      </c>
      <c r="E266" s="34" t="e">
        <f>VLOOKUP(A266,LIV!$C:$R,16,0)</f>
        <v>#N/A</v>
      </c>
      <c r="F266" s="34" t="str">
        <f>_xlfn.IFNA(TEXT(_xlfn.XLOOKUP(A266,LIV!$C:$C,LIV!$B:$B),"dd.mm.yyyy"),"")</f>
        <v>00.01.1900</v>
      </c>
      <c r="G266" s="34">
        <f>SUMIF(LIV!$C:$C,Execute!A266,LIV!$Z:$Z)</f>
        <v>0</v>
      </c>
      <c r="H266" s="34" t="e">
        <f>VLOOKUP(A266,LIV!$C:$J,8,0)</f>
        <v>#N/A</v>
      </c>
      <c r="I266" s="34" t="e">
        <f>VLOOKUP(A266,LIV!$C:$G,5,0)</f>
        <v>#N/A</v>
      </c>
      <c r="J266" s="34" t="str">
        <f t="shared" si="19"/>
        <v/>
      </c>
      <c r="K266" s="34" t="e">
        <f>VLOOKUP(A266,LIV!$C:$H,6,0)</f>
        <v>#N/A</v>
      </c>
      <c r="L266" s="34" t="str">
        <f t="shared" si="16"/>
        <v/>
      </c>
      <c r="M266" s="34" t="e">
        <f>VLOOKUP(A266,LIV!$C:$R,16,0)</f>
        <v>#N/A</v>
      </c>
      <c r="N266" s="34">
        <f t="shared" si="17"/>
        <v>0</v>
      </c>
      <c r="O266" s="34" t="e">
        <f>TEXT(VLOOKUP(A266,LIV!$C:$M,11,0),"dd.mm.yyyy")</f>
        <v>#N/A</v>
      </c>
      <c r="P266" s="34" t="str">
        <f t="shared" si="18"/>
        <v/>
      </c>
      <c r="Q266" s="33"/>
    </row>
    <row r="267" spans="1:17" x14ac:dyDescent="0.25">
      <c r="A267" s="34"/>
      <c r="B267" s="34" t="str">
        <f>IF(A267&lt;&gt;"",VLOOKUP(A267,LIV!$C:$AD,28,0),"")</f>
        <v/>
      </c>
      <c r="C267" s="34" t="str">
        <f>IF(A267&lt;&gt;"",_xlfn.XLOOKUP(A267,LIV!$C:$C,LIV!$AD:$AD,,,-1),"")</f>
        <v/>
      </c>
      <c r="D267" s="34" t="e">
        <f>TEXT(VLOOKUP(A267,LIV!$C:$S,17,0),"dd.mm.yyyy")</f>
        <v>#N/A</v>
      </c>
      <c r="E267" s="34" t="e">
        <f>VLOOKUP(A267,LIV!$C:$R,16,0)</f>
        <v>#N/A</v>
      </c>
      <c r="F267" s="34" t="str">
        <f>_xlfn.IFNA(TEXT(_xlfn.XLOOKUP(A267,LIV!$C:$C,LIV!$B:$B),"dd.mm.yyyy"),"")</f>
        <v>00.01.1900</v>
      </c>
      <c r="G267" s="34">
        <f>SUMIF(LIV!$C:$C,Execute!A267,LIV!$Z:$Z)</f>
        <v>0</v>
      </c>
      <c r="H267" s="34" t="e">
        <f>VLOOKUP(A267,LIV!$C:$J,8,0)</f>
        <v>#N/A</v>
      </c>
      <c r="I267" s="34" t="e">
        <f>VLOOKUP(A267,LIV!$C:$G,5,0)</f>
        <v>#N/A</v>
      </c>
      <c r="J267" s="34" t="str">
        <f t="shared" si="19"/>
        <v/>
      </c>
      <c r="K267" s="34" t="e">
        <f>VLOOKUP(A267,LIV!$C:$H,6,0)</f>
        <v>#N/A</v>
      </c>
      <c r="L267" s="34" t="str">
        <f t="shared" si="16"/>
        <v/>
      </c>
      <c r="M267" s="34" t="e">
        <f>VLOOKUP(A267,LIV!$C:$R,16,0)</f>
        <v>#N/A</v>
      </c>
      <c r="N267" s="34">
        <f t="shared" si="17"/>
        <v>0</v>
      </c>
      <c r="O267" s="34" t="e">
        <f>TEXT(VLOOKUP(A267,LIV!$C:$M,11,0),"dd.mm.yyyy")</f>
        <v>#N/A</v>
      </c>
      <c r="P267" s="34" t="str">
        <f t="shared" si="18"/>
        <v/>
      </c>
      <c r="Q267" s="33"/>
    </row>
    <row r="268" spans="1:17" x14ac:dyDescent="0.25">
      <c r="A268" s="34"/>
      <c r="B268" s="34" t="str">
        <f>IF(A268&lt;&gt;"",VLOOKUP(A268,LIV!$C:$AD,28,0),"")</f>
        <v/>
      </c>
      <c r="C268" s="34" t="str">
        <f>IF(A268&lt;&gt;"",_xlfn.XLOOKUP(A268,LIV!$C:$C,LIV!$AD:$AD,,,-1),"")</f>
        <v/>
      </c>
      <c r="D268" s="34" t="e">
        <f>TEXT(VLOOKUP(A268,LIV!$C:$S,17,0),"dd.mm.yyyy")</f>
        <v>#N/A</v>
      </c>
      <c r="E268" s="34" t="e">
        <f>VLOOKUP(A268,LIV!$C:$R,16,0)</f>
        <v>#N/A</v>
      </c>
      <c r="F268" s="34" t="str">
        <f>_xlfn.IFNA(TEXT(_xlfn.XLOOKUP(A268,LIV!$C:$C,LIV!$B:$B),"dd.mm.yyyy"),"")</f>
        <v>00.01.1900</v>
      </c>
      <c r="G268" s="34">
        <f>SUMIF(LIV!$C:$C,Execute!A268,LIV!$Z:$Z)</f>
        <v>0</v>
      </c>
      <c r="H268" s="34" t="e">
        <f>VLOOKUP(A268,LIV!$C:$J,8,0)</f>
        <v>#N/A</v>
      </c>
      <c r="I268" s="34" t="e">
        <f>VLOOKUP(A268,LIV!$C:$G,5,0)</f>
        <v>#N/A</v>
      </c>
      <c r="J268" s="34" t="str">
        <f t="shared" si="19"/>
        <v/>
      </c>
      <c r="K268" s="34" t="e">
        <f>VLOOKUP(A268,LIV!$C:$H,6,0)</f>
        <v>#N/A</v>
      </c>
      <c r="L268" s="34" t="str">
        <f t="shared" si="16"/>
        <v/>
      </c>
      <c r="M268" s="34" t="e">
        <f>VLOOKUP(A268,LIV!$C:$R,16,0)</f>
        <v>#N/A</v>
      </c>
      <c r="N268" s="34">
        <f t="shared" si="17"/>
        <v>0</v>
      </c>
      <c r="O268" s="34" t="e">
        <f>TEXT(VLOOKUP(A268,LIV!$C:$M,11,0),"dd.mm.yyyy")</f>
        <v>#N/A</v>
      </c>
      <c r="P268" s="34" t="str">
        <f t="shared" si="18"/>
        <v/>
      </c>
      <c r="Q268" s="33"/>
    </row>
    <row r="269" spans="1:17" x14ac:dyDescent="0.25">
      <c r="A269" s="34"/>
      <c r="B269" s="34" t="str">
        <f>IF(A269&lt;&gt;"",VLOOKUP(A269,LIV!$C:$AD,28,0),"")</f>
        <v/>
      </c>
      <c r="C269" s="34" t="str">
        <f>IF(A269&lt;&gt;"",_xlfn.XLOOKUP(A269,LIV!$C:$C,LIV!$AD:$AD,,,-1),"")</f>
        <v/>
      </c>
      <c r="D269" s="34" t="e">
        <f>TEXT(VLOOKUP(A269,LIV!$C:$S,17,0),"dd.mm.yyyy")</f>
        <v>#N/A</v>
      </c>
      <c r="E269" s="34" t="e">
        <f>VLOOKUP(A269,LIV!$C:$R,16,0)</f>
        <v>#N/A</v>
      </c>
      <c r="F269" s="34" t="str">
        <f>_xlfn.IFNA(TEXT(_xlfn.XLOOKUP(A269,LIV!$C:$C,LIV!$B:$B),"dd.mm.yyyy"),"")</f>
        <v>00.01.1900</v>
      </c>
      <c r="G269" s="34">
        <f>SUMIF(LIV!$C:$C,Execute!A269,LIV!$Z:$Z)</f>
        <v>0</v>
      </c>
      <c r="H269" s="34" t="e">
        <f>VLOOKUP(A269,LIV!$C:$J,8,0)</f>
        <v>#N/A</v>
      </c>
      <c r="I269" s="34" t="e">
        <f>VLOOKUP(A269,LIV!$C:$G,5,0)</f>
        <v>#N/A</v>
      </c>
      <c r="J269" s="34" t="str">
        <f t="shared" si="19"/>
        <v/>
      </c>
      <c r="K269" s="34" t="e">
        <f>VLOOKUP(A269,LIV!$C:$H,6,0)</f>
        <v>#N/A</v>
      </c>
      <c r="L269" s="34" t="str">
        <f t="shared" si="16"/>
        <v/>
      </c>
      <c r="M269" s="34" t="e">
        <f>VLOOKUP(A269,LIV!$C:$R,16,0)</f>
        <v>#N/A</v>
      </c>
      <c r="N269" s="34">
        <f t="shared" si="17"/>
        <v>0</v>
      </c>
      <c r="O269" s="34" t="e">
        <f>TEXT(VLOOKUP(A269,LIV!$C:$M,11,0),"dd.mm.yyyy")</f>
        <v>#N/A</v>
      </c>
      <c r="P269" s="34" t="str">
        <f t="shared" si="18"/>
        <v/>
      </c>
      <c r="Q269" s="33"/>
    </row>
    <row r="270" spans="1:17" x14ac:dyDescent="0.25">
      <c r="A270" s="34"/>
      <c r="B270" s="34" t="str">
        <f>IF(A270&lt;&gt;"",VLOOKUP(A270,LIV!$C:$AD,28,0),"")</f>
        <v/>
      </c>
      <c r="C270" s="34" t="str">
        <f>IF(A270&lt;&gt;"",_xlfn.XLOOKUP(A270,LIV!$C:$C,LIV!$AD:$AD,,,-1),"")</f>
        <v/>
      </c>
      <c r="D270" s="34" t="e">
        <f>TEXT(VLOOKUP(A270,LIV!$C:$S,17,0),"dd.mm.yyyy")</f>
        <v>#N/A</v>
      </c>
      <c r="E270" s="34" t="e">
        <f>VLOOKUP(A270,LIV!$C:$R,16,0)</f>
        <v>#N/A</v>
      </c>
      <c r="F270" s="34" t="str">
        <f>_xlfn.IFNA(TEXT(_xlfn.XLOOKUP(A270,LIV!$C:$C,LIV!$B:$B),"dd.mm.yyyy"),"")</f>
        <v>00.01.1900</v>
      </c>
      <c r="G270" s="34">
        <f>SUMIF(LIV!$C:$C,Execute!A270,LIV!$Z:$Z)</f>
        <v>0</v>
      </c>
      <c r="H270" s="34" t="e">
        <f>VLOOKUP(A270,LIV!$C:$J,8,0)</f>
        <v>#N/A</v>
      </c>
      <c r="I270" s="34" t="e">
        <f>VLOOKUP(A270,LIV!$C:$G,5,0)</f>
        <v>#N/A</v>
      </c>
      <c r="J270" s="34" t="str">
        <f t="shared" si="19"/>
        <v/>
      </c>
      <c r="K270" s="34" t="e">
        <f>VLOOKUP(A270,LIV!$C:$H,6,0)</f>
        <v>#N/A</v>
      </c>
      <c r="L270" s="34" t="str">
        <f t="shared" si="16"/>
        <v/>
      </c>
      <c r="M270" s="34" t="e">
        <f>VLOOKUP(A270,LIV!$C:$R,16,0)</f>
        <v>#N/A</v>
      </c>
      <c r="N270" s="34">
        <f t="shared" si="17"/>
        <v>0</v>
      </c>
      <c r="O270" s="34" t="e">
        <f>TEXT(VLOOKUP(A270,LIV!$C:$M,11,0),"dd.mm.yyyy")</f>
        <v>#N/A</v>
      </c>
      <c r="P270" s="34" t="str">
        <f t="shared" si="18"/>
        <v/>
      </c>
      <c r="Q270" s="33"/>
    </row>
    <row r="271" spans="1:17" x14ac:dyDescent="0.25">
      <c r="A271" s="34"/>
      <c r="B271" s="34" t="str">
        <f>IF(A271&lt;&gt;"",VLOOKUP(A271,LIV!$C:$AD,28,0),"")</f>
        <v/>
      </c>
      <c r="C271" s="34" t="str">
        <f>IF(A271&lt;&gt;"",_xlfn.XLOOKUP(A271,LIV!$C:$C,LIV!$AD:$AD,,,-1),"")</f>
        <v/>
      </c>
      <c r="D271" s="34" t="e">
        <f>TEXT(VLOOKUP(A271,LIV!$C:$S,17,0),"dd.mm.yyyy")</f>
        <v>#N/A</v>
      </c>
      <c r="E271" s="34" t="e">
        <f>VLOOKUP(A271,LIV!$C:$R,16,0)</f>
        <v>#N/A</v>
      </c>
      <c r="F271" s="34" t="str">
        <f>_xlfn.IFNA(TEXT(_xlfn.XLOOKUP(A271,LIV!$C:$C,LIV!$B:$B),"dd.mm.yyyy"),"")</f>
        <v>00.01.1900</v>
      </c>
      <c r="G271" s="34">
        <f>SUMIF(LIV!$C:$C,Execute!A271,LIV!$Z:$Z)</f>
        <v>0</v>
      </c>
      <c r="H271" s="34" t="e">
        <f>VLOOKUP(A271,LIV!$C:$J,8,0)</f>
        <v>#N/A</v>
      </c>
      <c r="I271" s="34" t="e">
        <f>VLOOKUP(A271,LIV!$C:$G,5,0)</f>
        <v>#N/A</v>
      </c>
      <c r="J271" s="34" t="str">
        <f t="shared" si="19"/>
        <v/>
      </c>
      <c r="K271" s="34" t="e">
        <f>VLOOKUP(A271,LIV!$C:$H,6,0)</f>
        <v>#N/A</v>
      </c>
      <c r="L271" s="34" t="str">
        <f t="shared" ref="L271:L292" si="20">IF(A271&lt;&gt;"","A01","")</f>
        <v/>
      </c>
      <c r="M271" s="34" t="e">
        <f>VLOOKUP(A271,LIV!$C:$R,16,0)</f>
        <v>#N/A</v>
      </c>
      <c r="N271" s="34">
        <f t="shared" ref="N271:N292" si="21">A271</f>
        <v>0</v>
      </c>
      <c r="O271" s="34" t="e">
        <f>TEXT(VLOOKUP(A271,LIV!$C:$M,11,0),"dd.mm.yyyy")</f>
        <v>#N/A</v>
      </c>
      <c r="P271" s="34" t="str">
        <f t="shared" ref="P271:P292" si="22">IF(A271&lt;&gt;"","T","")</f>
        <v/>
      </c>
      <c r="Q271" s="33"/>
    </row>
    <row r="272" spans="1:17" x14ac:dyDescent="0.25">
      <c r="A272" s="34"/>
      <c r="B272" s="34" t="str">
        <f>IF(A272&lt;&gt;"",VLOOKUP(A272,LIV!$C:$AD,28,0),"")</f>
        <v/>
      </c>
      <c r="C272" s="34" t="str">
        <f>IF(A272&lt;&gt;"",_xlfn.XLOOKUP(A272,LIV!$C:$C,LIV!$AD:$AD,,,-1),"")</f>
        <v/>
      </c>
      <c r="D272" s="34" t="e">
        <f>TEXT(VLOOKUP(A272,LIV!$C:$S,17,0),"dd.mm.yyyy")</f>
        <v>#N/A</v>
      </c>
      <c r="E272" s="34" t="e">
        <f>VLOOKUP(A272,LIV!$C:$R,16,0)</f>
        <v>#N/A</v>
      </c>
      <c r="F272" s="34" t="str">
        <f>_xlfn.IFNA(TEXT(_xlfn.XLOOKUP(A272,LIV!$C:$C,LIV!$B:$B),"dd.mm.yyyy"),"")</f>
        <v>00.01.1900</v>
      </c>
      <c r="G272" s="34">
        <f>SUMIF(LIV!$C:$C,Execute!A272,LIV!$Z:$Z)</f>
        <v>0</v>
      </c>
      <c r="H272" s="34" t="e">
        <f>VLOOKUP(A272,LIV!$C:$J,8,0)</f>
        <v>#N/A</v>
      </c>
      <c r="I272" s="34" t="e">
        <f>VLOOKUP(A272,LIV!$C:$G,5,0)</f>
        <v>#N/A</v>
      </c>
      <c r="J272" s="34" t="str">
        <f t="shared" si="19"/>
        <v/>
      </c>
      <c r="K272" s="34" t="e">
        <f>VLOOKUP(A272,LIV!$C:$H,6,0)</f>
        <v>#N/A</v>
      </c>
      <c r="L272" s="34" t="str">
        <f t="shared" si="20"/>
        <v/>
      </c>
      <c r="M272" s="34" t="e">
        <f>VLOOKUP(A272,LIV!$C:$R,16,0)</f>
        <v>#N/A</v>
      </c>
      <c r="N272" s="34">
        <f t="shared" si="21"/>
        <v>0</v>
      </c>
      <c r="O272" s="34" t="e">
        <f>TEXT(VLOOKUP(A272,LIV!$C:$M,11,0),"dd.mm.yyyy")</f>
        <v>#N/A</v>
      </c>
      <c r="P272" s="34" t="str">
        <f t="shared" si="22"/>
        <v/>
      </c>
      <c r="Q272" s="33"/>
    </row>
    <row r="273" spans="1:17" x14ac:dyDescent="0.25">
      <c r="A273" s="34"/>
      <c r="B273" s="34" t="str">
        <f>IF(A273&lt;&gt;"",VLOOKUP(A273,LIV!$C:$AD,28,0),"")</f>
        <v/>
      </c>
      <c r="C273" s="34" t="str">
        <f>IF(A273&lt;&gt;"",_xlfn.XLOOKUP(A273,LIV!$C:$C,LIV!$AD:$AD,,,-1),"")</f>
        <v/>
      </c>
      <c r="D273" s="34" t="e">
        <f>TEXT(VLOOKUP(A273,LIV!$C:$S,17,0),"dd.mm.yyyy")</f>
        <v>#N/A</v>
      </c>
      <c r="E273" s="34" t="e">
        <f>VLOOKUP(A273,LIV!$C:$R,16,0)</f>
        <v>#N/A</v>
      </c>
      <c r="F273" s="34" t="str">
        <f>_xlfn.IFNA(TEXT(_xlfn.XLOOKUP(A273,LIV!$C:$C,LIV!$B:$B),"dd.mm.yyyy"),"")</f>
        <v>00.01.1900</v>
      </c>
      <c r="G273" s="34">
        <f>SUMIF(LIV!$C:$C,Execute!A273,LIV!$Z:$Z)</f>
        <v>0</v>
      </c>
      <c r="H273" s="34" t="e">
        <f>VLOOKUP(A273,LIV!$C:$J,8,0)</f>
        <v>#N/A</v>
      </c>
      <c r="I273" s="34" t="e">
        <f>VLOOKUP(A273,LIV!$C:$G,5,0)</f>
        <v>#N/A</v>
      </c>
      <c r="J273" s="34" t="str">
        <f t="shared" si="19"/>
        <v/>
      </c>
      <c r="K273" s="34" t="e">
        <f>VLOOKUP(A273,LIV!$C:$H,6,0)</f>
        <v>#N/A</v>
      </c>
      <c r="L273" s="34" t="str">
        <f t="shared" si="20"/>
        <v/>
      </c>
      <c r="M273" s="34" t="e">
        <f>VLOOKUP(A273,LIV!$C:$R,16,0)</f>
        <v>#N/A</v>
      </c>
      <c r="N273" s="34">
        <f t="shared" si="21"/>
        <v>0</v>
      </c>
      <c r="O273" s="34" t="e">
        <f>TEXT(VLOOKUP(A273,LIV!$C:$M,11,0),"dd.mm.yyyy")</f>
        <v>#N/A</v>
      </c>
      <c r="P273" s="34" t="str">
        <f t="shared" si="22"/>
        <v/>
      </c>
      <c r="Q273" s="33"/>
    </row>
    <row r="274" spans="1:17" x14ac:dyDescent="0.25">
      <c r="A274" s="34"/>
      <c r="B274" s="34" t="str">
        <f>IF(A274&lt;&gt;"",VLOOKUP(A274,LIV!$C:$AD,28,0),"")</f>
        <v/>
      </c>
      <c r="C274" s="34" t="str">
        <f>IF(A274&lt;&gt;"",_xlfn.XLOOKUP(A274,LIV!$C:$C,LIV!$AD:$AD,,,-1),"")</f>
        <v/>
      </c>
      <c r="D274" s="34" t="e">
        <f>TEXT(VLOOKUP(A274,LIV!$C:$S,17,0),"dd.mm.yyyy")</f>
        <v>#N/A</v>
      </c>
      <c r="E274" s="34" t="e">
        <f>VLOOKUP(A274,LIV!$C:$R,16,0)</f>
        <v>#N/A</v>
      </c>
      <c r="F274" s="34" t="str">
        <f>_xlfn.IFNA(TEXT(_xlfn.XLOOKUP(A274,LIV!$C:$C,LIV!$B:$B),"dd.mm.yyyy"),"")</f>
        <v>00.01.1900</v>
      </c>
      <c r="G274" s="34">
        <f>SUMIF(LIV!$C:$C,Execute!A274,LIV!$Z:$Z)</f>
        <v>0</v>
      </c>
      <c r="H274" s="34" t="e">
        <f>VLOOKUP(A274,LIV!$C:$J,8,0)</f>
        <v>#N/A</v>
      </c>
      <c r="I274" s="34" t="e">
        <f>VLOOKUP(A274,LIV!$C:$G,5,0)</f>
        <v>#N/A</v>
      </c>
      <c r="J274" s="34" t="str">
        <f t="shared" si="19"/>
        <v/>
      </c>
      <c r="K274" s="34" t="e">
        <f>VLOOKUP(A274,LIV!$C:$H,6,0)</f>
        <v>#N/A</v>
      </c>
      <c r="L274" s="34" t="str">
        <f t="shared" si="20"/>
        <v/>
      </c>
      <c r="M274" s="34" t="e">
        <f>VLOOKUP(A274,LIV!$C:$R,16,0)</f>
        <v>#N/A</v>
      </c>
      <c r="N274" s="34">
        <f t="shared" si="21"/>
        <v>0</v>
      </c>
      <c r="O274" s="34" t="e">
        <f>TEXT(VLOOKUP(A274,LIV!$C:$M,11,0),"dd.mm.yyyy")</f>
        <v>#N/A</v>
      </c>
      <c r="P274" s="34" t="str">
        <f t="shared" si="22"/>
        <v/>
      </c>
      <c r="Q274" s="33"/>
    </row>
    <row r="275" spans="1:17" x14ac:dyDescent="0.25">
      <c r="A275" s="34"/>
      <c r="B275" s="34" t="str">
        <f>IF(A275&lt;&gt;"",VLOOKUP(A275,LIV!$C:$AD,28,0),"")</f>
        <v/>
      </c>
      <c r="C275" s="34" t="str">
        <f>IF(A275&lt;&gt;"",_xlfn.XLOOKUP(A275,LIV!$C:$C,LIV!$AD:$AD,,,-1),"")</f>
        <v/>
      </c>
      <c r="D275" s="34" t="e">
        <f>TEXT(VLOOKUP(A275,LIV!$C:$S,17,0),"dd.mm.yyyy")</f>
        <v>#N/A</v>
      </c>
      <c r="E275" s="34" t="e">
        <f>VLOOKUP(A275,LIV!$C:$R,16,0)</f>
        <v>#N/A</v>
      </c>
      <c r="F275" s="34" t="str">
        <f>_xlfn.IFNA(TEXT(_xlfn.XLOOKUP(A275,LIV!$C:$C,LIV!$B:$B),"dd.mm.yyyy"),"")</f>
        <v>00.01.1900</v>
      </c>
      <c r="G275" s="34">
        <f>SUMIF(LIV!$C:$C,Execute!A275,LIV!$Z:$Z)</f>
        <v>0</v>
      </c>
      <c r="H275" s="34" t="e">
        <f>VLOOKUP(A275,LIV!$C:$J,8,0)</f>
        <v>#N/A</v>
      </c>
      <c r="I275" s="34" t="e">
        <f>VLOOKUP(A275,LIV!$C:$G,5,0)</f>
        <v>#N/A</v>
      </c>
      <c r="J275" s="34" t="str">
        <f t="shared" si="19"/>
        <v/>
      </c>
      <c r="K275" s="34" t="e">
        <f>VLOOKUP(A275,LIV!$C:$H,6,0)</f>
        <v>#N/A</v>
      </c>
      <c r="L275" s="34" t="str">
        <f t="shared" si="20"/>
        <v/>
      </c>
      <c r="M275" s="34" t="e">
        <f>VLOOKUP(A275,LIV!$C:$R,16,0)</f>
        <v>#N/A</v>
      </c>
      <c r="N275" s="34">
        <f t="shared" si="21"/>
        <v>0</v>
      </c>
      <c r="O275" s="34" t="e">
        <f>TEXT(VLOOKUP(A275,LIV!$C:$M,11,0),"dd.mm.yyyy")</f>
        <v>#N/A</v>
      </c>
      <c r="P275" s="34" t="str">
        <f t="shared" si="22"/>
        <v/>
      </c>
      <c r="Q275" s="33"/>
    </row>
    <row r="276" spans="1:17" x14ac:dyDescent="0.25">
      <c r="A276" s="34"/>
      <c r="B276" s="34" t="str">
        <f>IF(A276&lt;&gt;"",VLOOKUP(A276,LIV!$C:$AD,28,0),"")</f>
        <v/>
      </c>
      <c r="C276" s="34" t="str">
        <f>IF(A276&lt;&gt;"",_xlfn.XLOOKUP(A276,LIV!$C:$C,LIV!$AD:$AD,,,-1),"")</f>
        <v/>
      </c>
      <c r="D276" s="34" t="e">
        <f>TEXT(VLOOKUP(A276,LIV!$C:$S,17,0),"dd.mm.yyyy")</f>
        <v>#N/A</v>
      </c>
      <c r="E276" s="34" t="e">
        <f>VLOOKUP(A276,LIV!$C:$R,16,0)</f>
        <v>#N/A</v>
      </c>
      <c r="F276" s="34" t="str">
        <f>_xlfn.IFNA(TEXT(_xlfn.XLOOKUP(A276,LIV!$C:$C,LIV!$B:$B),"dd.mm.yyyy"),"")</f>
        <v>00.01.1900</v>
      </c>
      <c r="G276" s="34">
        <f>SUMIF(LIV!$C:$C,Execute!A276,LIV!$Z:$Z)</f>
        <v>0</v>
      </c>
      <c r="H276" s="34" t="e">
        <f>VLOOKUP(A276,LIV!$C:$J,8,0)</f>
        <v>#N/A</v>
      </c>
      <c r="I276" s="34" t="e">
        <f>VLOOKUP(A276,LIV!$C:$G,5,0)</f>
        <v>#N/A</v>
      </c>
      <c r="J276" s="34" t="str">
        <f t="shared" si="19"/>
        <v/>
      </c>
      <c r="K276" s="34" t="e">
        <f>VLOOKUP(A276,LIV!$C:$H,6,0)</f>
        <v>#N/A</v>
      </c>
      <c r="L276" s="34" t="str">
        <f t="shared" si="20"/>
        <v/>
      </c>
      <c r="M276" s="34" t="e">
        <f>VLOOKUP(A276,LIV!$C:$R,16,0)</f>
        <v>#N/A</v>
      </c>
      <c r="N276" s="34">
        <f t="shared" si="21"/>
        <v>0</v>
      </c>
      <c r="O276" s="34" t="e">
        <f>TEXT(VLOOKUP(A276,LIV!$C:$M,11,0),"dd.mm.yyyy")</f>
        <v>#N/A</v>
      </c>
      <c r="P276" s="34" t="str">
        <f t="shared" si="22"/>
        <v/>
      </c>
      <c r="Q276" s="33"/>
    </row>
    <row r="277" spans="1:17" x14ac:dyDescent="0.25">
      <c r="A277" s="34"/>
      <c r="B277" s="34" t="str">
        <f>IF(A277&lt;&gt;"",VLOOKUP(A277,LIV!$C:$AD,28,0),"")</f>
        <v/>
      </c>
      <c r="C277" s="34" t="str">
        <f>IF(A277&lt;&gt;"",_xlfn.XLOOKUP(A277,LIV!$C:$C,LIV!$AD:$AD,,,-1),"")</f>
        <v/>
      </c>
      <c r="D277" s="34" t="e">
        <f>TEXT(VLOOKUP(A277,LIV!$C:$S,17,0),"dd.mm.yyyy")</f>
        <v>#N/A</v>
      </c>
      <c r="E277" s="34" t="e">
        <f>VLOOKUP(A277,LIV!$C:$R,16,0)</f>
        <v>#N/A</v>
      </c>
      <c r="F277" s="34" t="str">
        <f>_xlfn.IFNA(TEXT(_xlfn.XLOOKUP(A277,LIV!$C:$C,LIV!$B:$B),"dd.mm.yyyy"),"")</f>
        <v>00.01.1900</v>
      </c>
      <c r="G277" s="34">
        <f>SUMIF(LIV!$C:$C,Execute!A277,LIV!$Z:$Z)</f>
        <v>0</v>
      </c>
      <c r="H277" s="34" t="e">
        <f>VLOOKUP(A277,LIV!$C:$J,8,0)</f>
        <v>#N/A</v>
      </c>
      <c r="I277" s="34" t="e">
        <f>VLOOKUP(A277,LIV!$C:$G,5,0)</f>
        <v>#N/A</v>
      </c>
      <c r="J277" s="34" t="str">
        <f t="shared" si="19"/>
        <v/>
      </c>
      <c r="K277" s="34" t="e">
        <f>VLOOKUP(A277,LIV!$C:$H,6,0)</f>
        <v>#N/A</v>
      </c>
      <c r="L277" s="34" t="str">
        <f t="shared" si="20"/>
        <v/>
      </c>
      <c r="M277" s="34" t="e">
        <f>VLOOKUP(A277,LIV!$C:$R,16,0)</f>
        <v>#N/A</v>
      </c>
      <c r="N277" s="34">
        <f t="shared" si="21"/>
        <v>0</v>
      </c>
      <c r="O277" s="34" t="e">
        <f>TEXT(VLOOKUP(A277,LIV!$C:$M,11,0),"dd.mm.yyyy")</f>
        <v>#N/A</v>
      </c>
      <c r="P277" s="34" t="str">
        <f t="shared" si="22"/>
        <v/>
      </c>
      <c r="Q277" s="33"/>
    </row>
    <row r="278" spans="1:17" x14ac:dyDescent="0.25">
      <c r="A278" s="34"/>
      <c r="B278" s="34" t="str">
        <f>IF(A278&lt;&gt;"",VLOOKUP(A278,LIV!$C:$AD,28,0),"")</f>
        <v/>
      </c>
      <c r="C278" s="34" t="str">
        <f>IF(A278&lt;&gt;"",_xlfn.XLOOKUP(A278,LIV!$C:$C,LIV!$AD:$AD,,,-1),"")</f>
        <v/>
      </c>
      <c r="D278" s="34" t="e">
        <f>TEXT(VLOOKUP(A278,LIV!$C:$S,17,0),"dd.mm.yyyy")</f>
        <v>#N/A</v>
      </c>
      <c r="E278" s="34" t="e">
        <f>VLOOKUP(A278,LIV!$C:$R,16,0)</f>
        <v>#N/A</v>
      </c>
      <c r="F278" s="34" t="str">
        <f>_xlfn.IFNA(TEXT(_xlfn.XLOOKUP(A278,LIV!$C:$C,LIV!$B:$B),"dd.mm.yyyy"),"")</f>
        <v>00.01.1900</v>
      </c>
      <c r="G278" s="34">
        <f>SUMIF(LIV!$C:$C,Execute!A278,LIV!$Z:$Z)</f>
        <v>0</v>
      </c>
      <c r="H278" s="34" t="e">
        <f>VLOOKUP(A278,LIV!$C:$J,8,0)</f>
        <v>#N/A</v>
      </c>
      <c r="I278" s="34" t="e">
        <f>VLOOKUP(A278,LIV!$C:$G,5,0)</f>
        <v>#N/A</v>
      </c>
      <c r="J278" s="34" t="str">
        <f t="shared" si="19"/>
        <v/>
      </c>
      <c r="K278" s="34" t="e">
        <f>VLOOKUP(A278,LIV!$C:$H,6,0)</f>
        <v>#N/A</v>
      </c>
      <c r="L278" s="34" t="str">
        <f t="shared" si="20"/>
        <v/>
      </c>
      <c r="M278" s="34" t="e">
        <f>VLOOKUP(A278,LIV!$C:$R,16,0)</f>
        <v>#N/A</v>
      </c>
      <c r="N278" s="34">
        <f t="shared" si="21"/>
        <v>0</v>
      </c>
      <c r="O278" s="34" t="e">
        <f>TEXT(VLOOKUP(A278,LIV!$C:$M,11,0),"dd.mm.yyyy")</f>
        <v>#N/A</v>
      </c>
      <c r="P278" s="34" t="str">
        <f t="shared" si="22"/>
        <v/>
      </c>
      <c r="Q278" s="33"/>
    </row>
    <row r="279" spans="1:17" x14ac:dyDescent="0.25">
      <c r="A279" s="34"/>
      <c r="B279" s="34" t="str">
        <f>IF(A279&lt;&gt;"",VLOOKUP(A279,LIV!$C:$AD,28,0),"")</f>
        <v/>
      </c>
      <c r="C279" s="34" t="str">
        <f>IF(A279&lt;&gt;"",_xlfn.XLOOKUP(A279,LIV!$C:$C,LIV!$AD:$AD,,,-1),"")</f>
        <v/>
      </c>
      <c r="D279" s="34" t="e">
        <f>TEXT(VLOOKUP(A279,LIV!$C:$S,17,0),"dd.mm.yyyy")</f>
        <v>#N/A</v>
      </c>
      <c r="E279" s="34" t="e">
        <f>VLOOKUP(A279,LIV!$C:$R,16,0)</f>
        <v>#N/A</v>
      </c>
      <c r="F279" s="34" t="str">
        <f>_xlfn.IFNA(TEXT(_xlfn.XLOOKUP(A279,LIV!$C:$C,LIV!$B:$B),"dd.mm.yyyy"),"")</f>
        <v>00.01.1900</v>
      </c>
      <c r="G279" s="34">
        <f>SUMIF(LIV!$C:$C,Execute!A279,LIV!$Z:$Z)</f>
        <v>0</v>
      </c>
      <c r="H279" s="34" t="e">
        <f>VLOOKUP(A279,LIV!$C:$J,8,0)</f>
        <v>#N/A</v>
      </c>
      <c r="I279" s="34" t="e">
        <f>VLOOKUP(A279,LIV!$C:$G,5,0)</f>
        <v>#N/A</v>
      </c>
      <c r="J279" s="34" t="str">
        <f t="shared" si="19"/>
        <v/>
      </c>
      <c r="K279" s="34" t="e">
        <f>VLOOKUP(A279,LIV!$C:$H,6,0)</f>
        <v>#N/A</v>
      </c>
      <c r="L279" s="34" t="str">
        <f t="shared" si="20"/>
        <v/>
      </c>
      <c r="M279" s="34" t="e">
        <f>VLOOKUP(A279,LIV!$C:$R,16,0)</f>
        <v>#N/A</v>
      </c>
      <c r="N279" s="34">
        <f t="shared" si="21"/>
        <v>0</v>
      </c>
      <c r="O279" s="34" t="e">
        <f>TEXT(VLOOKUP(A279,LIV!$C:$M,11,0),"dd.mm.yyyy")</f>
        <v>#N/A</v>
      </c>
      <c r="P279" s="34" t="str">
        <f t="shared" si="22"/>
        <v/>
      </c>
      <c r="Q279" s="33"/>
    </row>
    <row r="280" spans="1:17" x14ac:dyDescent="0.25">
      <c r="A280" s="34"/>
      <c r="B280" s="34" t="str">
        <f>IF(A280&lt;&gt;"",VLOOKUP(A280,LIV!$C:$AD,28,0),"")</f>
        <v/>
      </c>
      <c r="C280" s="34" t="str">
        <f>IF(A280&lt;&gt;"",_xlfn.XLOOKUP(A280,LIV!$C:$C,LIV!$AD:$AD,,,-1),"")</f>
        <v/>
      </c>
      <c r="D280" s="34" t="e">
        <f>TEXT(VLOOKUP(A280,LIV!$C:$S,17,0),"dd.mm.yyyy")</f>
        <v>#N/A</v>
      </c>
      <c r="E280" s="34" t="e">
        <f>VLOOKUP(A280,LIV!$C:$R,16,0)</f>
        <v>#N/A</v>
      </c>
      <c r="F280" s="34" t="str">
        <f>_xlfn.IFNA(TEXT(_xlfn.XLOOKUP(A280,LIV!$C:$C,LIV!$B:$B),"dd.mm.yyyy"),"")</f>
        <v>00.01.1900</v>
      </c>
      <c r="G280" s="34">
        <f>SUMIF(LIV!$C:$C,Execute!A280,LIV!$Z:$Z)</f>
        <v>0</v>
      </c>
      <c r="H280" s="34" t="e">
        <f>VLOOKUP(A280,LIV!$C:$J,8,0)</f>
        <v>#N/A</v>
      </c>
      <c r="I280" s="34" t="e">
        <f>VLOOKUP(A280,LIV!$C:$G,5,0)</f>
        <v>#N/A</v>
      </c>
      <c r="J280" s="34" t="str">
        <f t="shared" si="19"/>
        <v/>
      </c>
      <c r="K280" s="34" t="e">
        <f>VLOOKUP(A280,LIV!$C:$H,6,0)</f>
        <v>#N/A</v>
      </c>
      <c r="L280" s="34" t="str">
        <f t="shared" si="20"/>
        <v/>
      </c>
      <c r="M280" s="34" t="e">
        <f>VLOOKUP(A280,LIV!$C:$R,16,0)</f>
        <v>#N/A</v>
      </c>
      <c r="N280" s="34">
        <f t="shared" si="21"/>
        <v>0</v>
      </c>
      <c r="O280" s="34" t="e">
        <f>TEXT(VLOOKUP(A280,LIV!$C:$M,11,0),"dd.mm.yyyy")</f>
        <v>#N/A</v>
      </c>
      <c r="P280" s="34" t="str">
        <f t="shared" si="22"/>
        <v/>
      </c>
      <c r="Q280" s="33"/>
    </row>
    <row r="281" spans="1:17" x14ac:dyDescent="0.25">
      <c r="A281" s="34"/>
      <c r="B281" s="34" t="str">
        <f>IF(A281&lt;&gt;"",VLOOKUP(A281,LIV!$C:$AD,28,0),"")</f>
        <v/>
      </c>
      <c r="C281" s="34" t="str">
        <f>IF(A281&lt;&gt;"",_xlfn.XLOOKUP(A281,LIV!$C:$C,LIV!$AD:$AD,,,-1),"")</f>
        <v/>
      </c>
      <c r="D281" s="34" t="e">
        <f>TEXT(VLOOKUP(A281,LIV!$C:$S,17,0),"dd.mm.yyyy")</f>
        <v>#N/A</v>
      </c>
      <c r="E281" s="34" t="e">
        <f>VLOOKUP(A281,LIV!$C:$R,16,0)</f>
        <v>#N/A</v>
      </c>
      <c r="F281" s="34" t="str">
        <f>_xlfn.IFNA(TEXT(_xlfn.XLOOKUP(A281,LIV!$C:$C,LIV!$B:$B),"dd.mm.yyyy"),"")</f>
        <v>00.01.1900</v>
      </c>
      <c r="G281" s="34">
        <f>SUMIF(LIV!$C:$C,Execute!A281,LIV!$Z:$Z)</f>
        <v>0</v>
      </c>
      <c r="H281" s="34" t="e">
        <f>VLOOKUP(A281,LIV!$C:$J,8,0)</f>
        <v>#N/A</v>
      </c>
      <c r="I281" s="34" t="e">
        <f>VLOOKUP(A281,LIV!$C:$G,5,0)</f>
        <v>#N/A</v>
      </c>
      <c r="J281" s="34" t="str">
        <f t="shared" si="19"/>
        <v/>
      </c>
      <c r="K281" s="34" t="e">
        <f>VLOOKUP(A281,LIV!$C:$H,6,0)</f>
        <v>#N/A</v>
      </c>
      <c r="L281" s="34" t="str">
        <f t="shared" si="20"/>
        <v/>
      </c>
      <c r="M281" s="34" t="e">
        <f>VLOOKUP(A281,LIV!$C:$R,16,0)</f>
        <v>#N/A</v>
      </c>
      <c r="N281" s="34">
        <f t="shared" si="21"/>
        <v>0</v>
      </c>
      <c r="O281" s="34" t="e">
        <f>TEXT(VLOOKUP(A281,LIV!$C:$M,11,0),"dd.mm.yyyy")</f>
        <v>#N/A</v>
      </c>
      <c r="P281" s="34" t="str">
        <f t="shared" si="22"/>
        <v/>
      </c>
      <c r="Q281" s="33"/>
    </row>
    <row r="282" spans="1:17" x14ac:dyDescent="0.25">
      <c r="A282" s="34"/>
      <c r="B282" s="34" t="str">
        <f>IF(A282&lt;&gt;"",VLOOKUP(A282,LIV!$C:$AD,28,0),"")</f>
        <v/>
      </c>
      <c r="C282" s="34" t="str">
        <f>IF(A282&lt;&gt;"",_xlfn.XLOOKUP(A282,LIV!$C:$C,LIV!$AD:$AD,,,-1),"")</f>
        <v/>
      </c>
      <c r="D282" s="34" t="e">
        <f>TEXT(VLOOKUP(A282,LIV!$C:$S,17,0),"dd.mm.yyyy")</f>
        <v>#N/A</v>
      </c>
      <c r="E282" s="34" t="e">
        <f>VLOOKUP(A282,LIV!$C:$R,16,0)</f>
        <v>#N/A</v>
      </c>
      <c r="F282" s="34" t="str">
        <f>_xlfn.IFNA(TEXT(_xlfn.XLOOKUP(A282,LIV!$C:$C,LIV!$B:$B),"dd.mm.yyyy"),"")</f>
        <v>00.01.1900</v>
      </c>
      <c r="G282" s="34">
        <f>SUMIF(LIV!$C:$C,Execute!A282,LIV!$Z:$Z)</f>
        <v>0</v>
      </c>
      <c r="H282" s="34" t="e">
        <f>VLOOKUP(A282,LIV!$C:$J,8,0)</f>
        <v>#N/A</v>
      </c>
      <c r="I282" s="34" t="e">
        <f>VLOOKUP(A282,LIV!$C:$G,5,0)</f>
        <v>#N/A</v>
      </c>
      <c r="J282" s="34" t="str">
        <f t="shared" si="19"/>
        <v/>
      </c>
      <c r="K282" s="34" t="e">
        <f>VLOOKUP(A282,LIV!$C:$H,6,0)</f>
        <v>#N/A</v>
      </c>
      <c r="L282" s="34" t="str">
        <f t="shared" si="20"/>
        <v/>
      </c>
      <c r="M282" s="34" t="e">
        <f>VLOOKUP(A282,LIV!$C:$R,16,0)</f>
        <v>#N/A</v>
      </c>
      <c r="N282" s="34">
        <f t="shared" si="21"/>
        <v>0</v>
      </c>
      <c r="O282" s="34" t="e">
        <f>TEXT(VLOOKUP(A282,LIV!$C:$M,11,0),"dd.mm.yyyy")</f>
        <v>#N/A</v>
      </c>
      <c r="P282" s="34" t="str">
        <f t="shared" si="22"/>
        <v/>
      </c>
      <c r="Q282" s="33"/>
    </row>
    <row r="283" spans="1:17" x14ac:dyDescent="0.25">
      <c r="A283" s="34"/>
      <c r="B283" s="34" t="str">
        <f>IF(A283&lt;&gt;"",VLOOKUP(A283,LIV!$C:$AD,28,0),"")</f>
        <v/>
      </c>
      <c r="C283" s="34" t="str">
        <f>IF(A283&lt;&gt;"",_xlfn.XLOOKUP(A283,LIV!$C:$C,LIV!$AD:$AD,,,-1),"")</f>
        <v/>
      </c>
      <c r="D283" s="34" t="e">
        <f>TEXT(VLOOKUP(A283,LIV!$C:$S,17,0),"dd.mm.yyyy")</f>
        <v>#N/A</v>
      </c>
      <c r="E283" s="34" t="e">
        <f>VLOOKUP(A283,LIV!$C:$R,16,0)</f>
        <v>#N/A</v>
      </c>
      <c r="F283" s="34" t="str">
        <f>_xlfn.IFNA(TEXT(_xlfn.XLOOKUP(A283,LIV!$C:$C,LIV!$B:$B),"dd.mm.yyyy"),"")</f>
        <v>00.01.1900</v>
      </c>
      <c r="G283" s="34">
        <f>SUMIF(LIV!$C:$C,Execute!A283,LIV!$Z:$Z)</f>
        <v>0</v>
      </c>
      <c r="H283" s="34" t="e">
        <f>VLOOKUP(A283,LIV!$C:$J,8,0)</f>
        <v>#N/A</v>
      </c>
      <c r="I283" s="34" t="e">
        <f>VLOOKUP(A283,LIV!$C:$G,5,0)</f>
        <v>#N/A</v>
      </c>
      <c r="J283" s="34" t="str">
        <f t="shared" si="19"/>
        <v/>
      </c>
      <c r="K283" s="34" t="e">
        <f>VLOOKUP(A283,LIV!$C:$H,6,0)</f>
        <v>#N/A</v>
      </c>
      <c r="L283" s="34" t="str">
        <f t="shared" si="20"/>
        <v/>
      </c>
      <c r="M283" s="34" t="e">
        <f>VLOOKUP(A283,LIV!$C:$R,16,0)</f>
        <v>#N/A</v>
      </c>
      <c r="N283" s="34">
        <f t="shared" si="21"/>
        <v>0</v>
      </c>
      <c r="O283" s="34" t="e">
        <f>TEXT(VLOOKUP(A283,LIV!$C:$M,11,0),"dd.mm.yyyy")</f>
        <v>#N/A</v>
      </c>
      <c r="P283" s="34" t="str">
        <f t="shared" si="22"/>
        <v/>
      </c>
      <c r="Q283" s="33"/>
    </row>
    <row r="284" spans="1:17" x14ac:dyDescent="0.25">
      <c r="A284" s="34"/>
      <c r="B284" s="34" t="str">
        <f>IF(A284&lt;&gt;"",VLOOKUP(A284,LIV!$C:$AD,28,0),"")</f>
        <v/>
      </c>
      <c r="C284" s="34" t="str">
        <f>IF(A284&lt;&gt;"",_xlfn.XLOOKUP(A284,LIV!$C:$C,LIV!$AD:$AD,,,-1),"")</f>
        <v/>
      </c>
      <c r="D284" s="34" t="e">
        <f>TEXT(VLOOKUP(A284,LIV!$C:$S,17,0),"dd.mm.yyyy")</f>
        <v>#N/A</v>
      </c>
      <c r="E284" s="34" t="e">
        <f>VLOOKUP(A284,LIV!$C:$R,16,0)</f>
        <v>#N/A</v>
      </c>
      <c r="F284" s="34" t="str">
        <f>_xlfn.IFNA(TEXT(_xlfn.XLOOKUP(A284,LIV!$C:$C,LIV!$B:$B),"dd.mm.yyyy"),"")</f>
        <v>00.01.1900</v>
      </c>
      <c r="G284" s="34">
        <f>SUMIF(LIV!$C:$C,Execute!A284,LIV!$Z:$Z)</f>
        <v>0</v>
      </c>
      <c r="H284" s="34" t="e">
        <f>VLOOKUP(A284,LIV!$C:$J,8,0)</f>
        <v>#N/A</v>
      </c>
      <c r="I284" s="34" t="e">
        <f>VLOOKUP(A284,LIV!$C:$G,5,0)</f>
        <v>#N/A</v>
      </c>
      <c r="J284" s="34" t="str">
        <f t="shared" si="19"/>
        <v/>
      </c>
      <c r="K284" s="34" t="e">
        <f>VLOOKUP(A284,LIV!$C:$H,6,0)</f>
        <v>#N/A</v>
      </c>
      <c r="L284" s="34" t="str">
        <f t="shared" si="20"/>
        <v/>
      </c>
      <c r="M284" s="34" t="e">
        <f>VLOOKUP(A284,LIV!$C:$R,16,0)</f>
        <v>#N/A</v>
      </c>
      <c r="N284" s="34">
        <f t="shared" si="21"/>
        <v>0</v>
      </c>
      <c r="O284" s="34" t="e">
        <f>TEXT(VLOOKUP(A284,LIV!$C:$M,11,0),"dd.mm.yyyy")</f>
        <v>#N/A</v>
      </c>
      <c r="P284" s="34" t="str">
        <f t="shared" si="22"/>
        <v/>
      </c>
      <c r="Q284" s="33"/>
    </row>
    <row r="285" spans="1:17" x14ac:dyDescent="0.25">
      <c r="A285" s="34"/>
      <c r="B285" s="34" t="str">
        <f>IF(A285&lt;&gt;"",VLOOKUP(A285,LIV!$C:$AD,28,0),"")</f>
        <v/>
      </c>
      <c r="C285" s="34" t="str">
        <f>IF(A285&lt;&gt;"",_xlfn.XLOOKUP(A285,LIV!$C:$C,LIV!$AD:$AD,,,-1),"")</f>
        <v/>
      </c>
      <c r="D285" s="34" t="e">
        <f>TEXT(VLOOKUP(A285,LIV!$C:$S,17,0),"dd.mm.yyyy")</f>
        <v>#N/A</v>
      </c>
      <c r="E285" s="34" t="e">
        <f>VLOOKUP(A285,LIV!$C:$R,16,0)</f>
        <v>#N/A</v>
      </c>
      <c r="F285" s="34" t="str">
        <f>_xlfn.IFNA(TEXT(_xlfn.XLOOKUP(A285,LIV!$C:$C,LIV!$B:$B),"dd.mm.yyyy"),"")</f>
        <v>00.01.1900</v>
      </c>
      <c r="G285" s="34">
        <f>SUMIF(LIV!$C:$C,Execute!A285,LIV!$Z:$Z)</f>
        <v>0</v>
      </c>
      <c r="H285" s="34" t="e">
        <f>VLOOKUP(A285,LIV!$C:$J,8,0)</f>
        <v>#N/A</v>
      </c>
      <c r="I285" s="34" t="e">
        <f>VLOOKUP(A285,LIV!$C:$G,5,0)</f>
        <v>#N/A</v>
      </c>
      <c r="J285" s="34" t="str">
        <f t="shared" si="19"/>
        <v/>
      </c>
      <c r="K285" s="34" t="e">
        <f>VLOOKUP(A285,LIV!$C:$H,6,0)</f>
        <v>#N/A</v>
      </c>
      <c r="L285" s="34" t="str">
        <f t="shared" si="20"/>
        <v/>
      </c>
      <c r="M285" s="34" t="e">
        <f>VLOOKUP(A285,LIV!$C:$R,16,0)</f>
        <v>#N/A</v>
      </c>
      <c r="N285" s="34">
        <f t="shared" si="21"/>
        <v>0</v>
      </c>
      <c r="O285" s="34" t="e">
        <f>TEXT(VLOOKUP(A285,LIV!$C:$M,11,0),"dd.mm.yyyy")</f>
        <v>#N/A</v>
      </c>
      <c r="P285" s="34" t="str">
        <f t="shared" si="22"/>
        <v/>
      </c>
      <c r="Q285" s="33"/>
    </row>
    <row r="286" spans="1:17" x14ac:dyDescent="0.25">
      <c r="A286" s="34"/>
      <c r="B286" s="34" t="str">
        <f>IF(A286&lt;&gt;"",VLOOKUP(A286,LIV!$C:$AD,28,0),"")</f>
        <v/>
      </c>
      <c r="C286" s="34" t="str">
        <f>IF(A286&lt;&gt;"",_xlfn.XLOOKUP(A286,LIV!$C:$C,LIV!$AD:$AD,,,-1),"")</f>
        <v/>
      </c>
      <c r="D286" s="34" t="e">
        <f>TEXT(VLOOKUP(A286,LIV!$C:$S,17,0),"dd.mm.yyyy")</f>
        <v>#N/A</v>
      </c>
      <c r="E286" s="34" t="e">
        <f>VLOOKUP(A286,LIV!$C:$R,16,0)</f>
        <v>#N/A</v>
      </c>
      <c r="F286" s="34" t="str">
        <f>_xlfn.IFNA(TEXT(_xlfn.XLOOKUP(A286,LIV!$C:$C,LIV!$B:$B),"dd.mm.yyyy"),"")</f>
        <v>00.01.1900</v>
      </c>
      <c r="G286" s="34">
        <f>SUMIF(LIV!$C:$C,Execute!A286,LIV!$Z:$Z)</f>
        <v>0</v>
      </c>
      <c r="H286" s="34" t="e">
        <f>VLOOKUP(A286,LIV!$C:$J,8,0)</f>
        <v>#N/A</v>
      </c>
      <c r="I286" s="34" t="e">
        <f>VLOOKUP(A286,LIV!$C:$G,5,0)</f>
        <v>#N/A</v>
      </c>
      <c r="J286" s="34" t="str">
        <f t="shared" si="19"/>
        <v/>
      </c>
      <c r="K286" s="34" t="e">
        <f>VLOOKUP(A286,LIV!$C:$H,6,0)</f>
        <v>#N/A</v>
      </c>
      <c r="L286" s="34" t="str">
        <f t="shared" si="20"/>
        <v/>
      </c>
      <c r="M286" s="34" t="e">
        <f>VLOOKUP(A286,LIV!$C:$R,16,0)</f>
        <v>#N/A</v>
      </c>
      <c r="N286" s="34">
        <f t="shared" si="21"/>
        <v>0</v>
      </c>
      <c r="O286" s="34" t="e">
        <f>TEXT(VLOOKUP(A286,LIV!$C:$M,11,0),"dd.mm.yyyy")</f>
        <v>#N/A</v>
      </c>
      <c r="P286" s="34" t="str">
        <f t="shared" si="22"/>
        <v/>
      </c>
      <c r="Q286" s="33"/>
    </row>
    <row r="287" spans="1:17" x14ac:dyDescent="0.25">
      <c r="A287" s="34"/>
      <c r="B287" s="34" t="str">
        <f>IF(A287&lt;&gt;"",VLOOKUP(A287,LIV!$C:$AD,28,0),"")</f>
        <v/>
      </c>
      <c r="C287" s="34" t="str">
        <f>IF(A287&lt;&gt;"",_xlfn.XLOOKUP(A287,LIV!$C:$C,LIV!$AD:$AD,,,-1),"")</f>
        <v/>
      </c>
      <c r="D287" s="34" t="e">
        <f>TEXT(VLOOKUP(A287,LIV!$C:$S,17,0),"dd.mm.yyyy")</f>
        <v>#N/A</v>
      </c>
      <c r="E287" s="34" t="e">
        <f>VLOOKUP(A287,LIV!$C:$R,16,0)</f>
        <v>#N/A</v>
      </c>
      <c r="F287" s="34" t="str">
        <f>_xlfn.IFNA(TEXT(_xlfn.XLOOKUP(A287,LIV!$C:$C,LIV!$B:$B),"dd.mm.yyyy"),"")</f>
        <v>00.01.1900</v>
      </c>
      <c r="G287" s="34">
        <f>SUMIF(LIV!$C:$C,Execute!A287,LIV!$Z:$Z)</f>
        <v>0</v>
      </c>
      <c r="H287" s="34" t="e">
        <f>VLOOKUP(A287,LIV!$C:$J,8,0)</f>
        <v>#N/A</v>
      </c>
      <c r="I287" s="34" t="e">
        <f>VLOOKUP(A287,LIV!$C:$G,5,0)</f>
        <v>#N/A</v>
      </c>
      <c r="J287" s="34" t="str">
        <f t="shared" si="19"/>
        <v/>
      </c>
      <c r="K287" s="34" t="e">
        <f>VLOOKUP(A287,LIV!$C:$H,6,0)</f>
        <v>#N/A</v>
      </c>
      <c r="L287" s="34" t="str">
        <f t="shared" si="20"/>
        <v/>
      </c>
      <c r="M287" s="34" t="e">
        <f>VLOOKUP(A287,LIV!$C:$R,16,0)</f>
        <v>#N/A</v>
      </c>
      <c r="N287" s="34">
        <f t="shared" si="21"/>
        <v>0</v>
      </c>
      <c r="O287" s="34" t="e">
        <f>TEXT(VLOOKUP(A287,LIV!$C:$M,11,0),"dd.mm.yyyy")</f>
        <v>#N/A</v>
      </c>
      <c r="P287" s="34" t="str">
        <f t="shared" si="22"/>
        <v/>
      </c>
      <c r="Q287" s="33"/>
    </row>
    <row r="288" spans="1:17" x14ac:dyDescent="0.25">
      <c r="A288" s="34"/>
      <c r="B288" s="34" t="str">
        <f>IF(A288&lt;&gt;"",VLOOKUP(A288,LIV!$C:$AD,28,0),"")</f>
        <v/>
      </c>
      <c r="C288" s="34" t="str">
        <f>IF(A288&lt;&gt;"",_xlfn.XLOOKUP(A288,LIV!$C:$C,LIV!$AD:$AD,,,-1),"")</f>
        <v/>
      </c>
      <c r="D288" s="34" t="e">
        <f>TEXT(VLOOKUP(A288,LIV!$C:$S,17,0),"dd.mm.yyyy")</f>
        <v>#N/A</v>
      </c>
      <c r="E288" s="34" t="e">
        <f>VLOOKUP(A288,LIV!$C:$R,16,0)</f>
        <v>#N/A</v>
      </c>
      <c r="F288" s="34" t="str">
        <f>_xlfn.IFNA(TEXT(_xlfn.XLOOKUP(A288,LIV!$C:$C,LIV!$B:$B),"dd.mm.yyyy"),"")</f>
        <v>00.01.1900</v>
      </c>
      <c r="G288" s="34">
        <f>SUMIF(LIV!$C:$C,Execute!A288,LIV!$Z:$Z)</f>
        <v>0</v>
      </c>
      <c r="H288" s="34" t="e">
        <f>VLOOKUP(A288,LIV!$C:$J,8,0)</f>
        <v>#N/A</v>
      </c>
      <c r="I288" s="34" t="e">
        <f>VLOOKUP(A288,LIV!$C:$G,5,0)</f>
        <v>#N/A</v>
      </c>
      <c r="J288" s="34" t="str">
        <f t="shared" si="19"/>
        <v/>
      </c>
      <c r="K288" s="34" t="e">
        <f>VLOOKUP(A288,LIV!$C:$H,6,0)</f>
        <v>#N/A</v>
      </c>
      <c r="L288" s="34" t="str">
        <f t="shared" si="20"/>
        <v/>
      </c>
      <c r="M288" s="34" t="e">
        <f>VLOOKUP(A288,LIV!$C:$R,16,0)</f>
        <v>#N/A</v>
      </c>
      <c r="N288" s="34">
        <f t="shared" si="21"/>
        <v>0</v>
      </c>
      <c r="O288" s="34" t="e">
        <f>TEXT(VLOOKUP(A288,LIV!$C:$M,11,0),"dd.mm.yyyy")</f>
        <v>#N/A</v>
      </c>
      <c r="P288" s="34" t="str">
        <f t="shared" si="22"/>
        <v/>
      </c>
      <c r="Q288" s="33"/>
    </row>
    <row r="289" spans="1:17" x14ac:dyDescent="0.25">
      <c r="A289" s="34"/>
      <c r="B289" s="34" t="str">
        <f>IF(A289&lt;&gt;"",VLOOKUP(A289,LIV!$C:$AD,28,0),"")</f>
        <v/>
      </c>
      <c r="C289" s="34" t="str">
        <f>IF(A289&lt;&gt;"",_xlfn.XLOOKUP(A289,LIV!$C:$C,LIV!$AD:$AD,,,-1),"")</f>
        <v/>
      </c>
      <c r="D289" s="34" t="e">
        <f>TEXT(VLOOKUP(A289,LIV!$C:$S,17,0),"dd.mm.yyyy")</f>
        <v>#N/A</v>
      </c>
      <c r="E289" s="34" t="e">
        <f>VLOOKUP(A289,LIV!$C:$R,16,0)</f>
        <v>#N/A</v>
      </c>
      <c r="F289" s="34" t="str">
        <f>_xlfn.IFNA(TEXT(_xlfn.XLOOKUP(A289,LIV!$C:$C,LIV!$B:$B),"dd.mm.yyyy"),"")</f>
        <v>00.01.1900</v>
      </c>
      <c r="G289" s="34">
        <f>SUMIF(LIV!$C:$C,Execute!A289,LIV!$Z:$Z)</f>
        <v>0</v>
      </c>
      <c r="H289" s="34" t="e">
        <f>VLOOKUP(A289,LIV!$C:$J,8,0)</f>
        <v>#N/A</v>
      </c>
      <c r="I289" s="34" t="e">
        <f>VLOOKUP(A289,LIV!$C:$G,5,0)</f>
        <v>#N/A</v>
      </c>
      <c r="J289" s="34" t="str">
        <f t="shared" si="19"/>
        <v/>
      </c>
      <c r="K289" s="34" t="e">
        <f>VLOOKUP(A289,LIV!$C:$H,6,0)</f>
        <v>#N/A</v>
      </c>
      <c r="L289" s="34" t="str">
        <f t="shared" si="20"/>
        <v/>
      </c>
      <c r="M289" s="34" t="e">
        <f>VLOOKUP(A289,LIV!$C:$R,16,0)</f>
        <v>#N/A</v>
      </c>
      <c r="N289" s="34">
        <f t="shared" si="21"/>
        <v>0</v>
      </c>
      <c r="O289" s="34" t="e">
        <f>TEXT(VLOOKUP(A289,LIV!$C:$M,11,0),"dd.mm.yyyy")</f>
        <v>#N/A</v>
      </c>
      <c r="P289" s="34" t="str">
        <f t="shared" si="22"/>
        <v/>
      </c>
      <c r="Q289" s="33"/>
    </row>
    <row r="290" spans="1:17" x14ac:dyDescent="0.25">
      <c r="A290" s="34"/>
      <c r="B290" s="34" t="str">
        <f>IF(A290&lt;&gt;"",VLOOKUP(A290,LIV!$C:$AD,28,0),"")</f>
        <v/>
      </c>
      <c r="C290" s="34" t="str">
        <f>IF(A290&lt;&gt;"",_xlfn.XLOOKUP(A290,LIV!$C:$C,LIV!$AD:$AD,,,-1),"")</f>
        <v/>
      </c>
      <c r="D290" s="34" t="e">
        <f>TEXT(VLOOKUP(A290,LIV!$C:$S,17,0),"dd.mm.yyyy")</f>
        <v>#N/A</v>
      </c>
      <c r="E290" s="34" t="e">
        <f>VLOOKUP(A290,LIV!$C:$R,16,0)</f>
        <v>#N/A</v>
      </c>
      <c r="F290" s="34" t="str">
        <f>_xlfn.IFNA(TEXT(_xlfn.XLOOKUP(A290,LIV!$C:$C,LIV!$B:$B),"dd.mm.yyyy"),"")</f>
        <v>00.01.1900</v>
      </c>
      <c r="G290" s="34">
        <f>SUMIF(LIV!$C:$C,Execute!A290,LIV!$Z:$Z)</f>
        <v>0</v>
      </c>
      <c r="H290" s="34" t="e">
        <f>VLOOKUP(A290,LIV!$C:$J,8,0)</f>
        <v>#N/A</v>
      </c>
      <c r="I290" s="34" t="e">
        <f>VLOOKUP(A290,LIV!$C:$G,5,0)</f>
        <v>#N/A</v>
      </c>
      <c r="J290" s="34" t="str">
        <f t="shared" si="19"/>
        <v/>
      </c>
      <c r="K290" s="34" t="e">
        <f>VLOOKUP(A290,LIV!$C:$H,6,0)</f>
        <v>#N/A</v>
      </c>
      <c r="L290" s="34" t="str">
        <f t="shared" si="20"/>
        <v/>
      </c>
      <c r="M290" s="34" t="e">
        <f>VLOOKUP(A290,LIV!$C:$R,16,0)</f>
        <v>#N/A</v>
      </c>
      <c r="N290" s="34">
        <f t="shared" si="21"/>
        <v>0</v>
      </c>
      <c r="O290" s="34" t="e">
        <f>TEXT(VLOOKUP(A290,LIV!$C:$M,11,0),"dd.mm.yyyy")</f>
        <v>#N/A</v>
      </c>
      <c r="P290" s="34" t="str">
        <f t="shared" si="22"/>
        <v/>
      </c>
      <c r="Q290" s="33"/>
    </row>
    <row r="291" spans="1:17" x14ac:dyDescent="0.25">
      <c r="A291" s="34"/>
      <c r="B291" s="34" t="str">
        <f>IF(A291&lt;&gt;"",VLOOKUP(A291,LIV!$C:$AD,28,0),"")</f>
        <v/>
      </c>
      <c r="C291" s="34" t="str">
        <f>IF(A291&lt;&gt;"",_xlfn.XLOOKUP(A291,LIV!$C:$C,LIV!$AD:$AD,,,-1),"")</f>
        <v/>
      </c>
      <c r="D291" s="34" t="e">
        <f>TEXT(VLOOKUP(A291,LIV!$C:$S,17,0),"dd.mm.yyyy")</f>
        <v>#N/A</v>
      </c>
      <c r="E291" s="34" t="e">
        <f>VLOOKUP(A291,LIV!$C:$R,16,0)</f>
        <v>#N/A</v>
      </c>
      <c r="F291" s="34" t="str">
        <f>_xlfn.IFNA(TEXT(_xlfn.XLOOKUP(A291,LIV!$C:$C,LIV!$B:$B),"dd.mm.yyyy"),"")</f>
        <v>00.01.1900</v>
      </c>
      <c r="G291" s="34">
        <f>SUMIF(LIV!$C:$C,Execute!A291,LIV!$Z:$Z)</f>
        <v>0</v>
      </c>
      <c r="H291" s="34" t="e">
        <f>VLOOKUP(A291,LIV!$C:$J,8,0)</f>
        <v>#N/A</v>
      </c>
      <c r="I291" s="34" t="e">
        <f>VLOOKUP(A291,LIV!$C:$G,5,0)</f>
        <v>#N/A</v>
      </c>
      <c r="J291" s="34" t="str">
        <f t="shared" si="19"/>
        <v/>
      </c>
      <c r="K291" s="34" t="e">
        <f>VLOOKUP(A291,LIV!$C:$H,6,0)</f>
        <v>#N/A</v>
      </c>
      <c r="L291" s="34" t="str">
        <f t="shared" si="20"/>
        <v/>
      </c>
      <c r="M291" s="34" t="e">
        <f>VLOOKUP(A291,LIV!$C:$R,16,0)</f>
        <v>#N/A</v>
      </c>
      <c r="N291" s="34">
        <f t="shared" si="21"/>
        <v>0</v>
      </c>
      <c r="O291" s="34" t="e">
        <f>TEXT(VLOOKUP(A291,LIV!$C:$M,11,0),"dd.mm.yyyy")</f>
        <v>#N/A</v>
      </c>
      <c r="P291" s="34" t="str">
        <f t="shared" si="22"/>
        <v/>
      </c>
      <c r="Q291" s="33"/>
    </row>
    <row r="292" spans="1:17" x14ac:dyDescent="0.25">
      <c r="A292" s="34"/>
      <c r="B292" s="34" t="str">
        <f>IF(A292&lt;&gt;"",VLOOKUP(A292,LIV!$C:$AD,28,0),"")</f>
        <v/>
      </c>
      <c r="C292" s="34" t="str">
        <f>IF(A292&lt;&gt;"",_xlfn.XLOOKUP(A292,LIV!$C:$C,LIV!$AD:$AD,,,-1),"")</f>
        <v/>
      </c>
      <c r="D292" s="34" t="e">
        <f>TEXT(VLOOKUP(A292,LIV!$C:$S,17,0),"dd.mm.yyyy")</f>
        <v>#N/A</v>
      </c>
      <c r="E292" s="34" t="e">
        <f>VLOOKUP(A292,LIV!$C:$R,16,0)</f>
        <v>#N/A</v>
      </c>
      <c r="F292" s="34" t="str">
        <f>_xlfn.IFNA(TEXT(_xlfn.XLOOKUP(A292,LIV!$C:$C,LIV!$B:$B),"dd.mm.yyyy"),"")</f>
        <v>00.01.1900</v>
      </c>
      <c r="G292" s="34">
        <f>SUMIF(LIV!$C:$C,Execute!A292,LIV!$Z:$Z)</f>
        <v>0</v>
      </c>
      <c r="H292" s="34" t="e">
        <f>VLOOKUP(A292,LIV!$C:$J,8,0)</f>
        <v>#N/A</v>
      </c>
      <c r="I292" s="34" t="e">
        <f>VLOOKUP(A292,LIV!$C:$G,5,0)</f>
        <v>#N/A</v>
      </c>
      <c r="J292" s="34" t="str">
        <f t="shared" si="19"/>
        <v/>
      </c>
      <c r="K292" s="34" t="e">
        <f>VLOOKUP(A292,LIV!$C:$H,6,0)</f>
        <v>#N/A</v>
      </c>
      <c r="L292" s="34" t="str">
        <f t="shared" si="20"/>
        <v/>
      </c>
      <c r="M292" s="34" t="e">
        <f>VLOOKUP(A292,LIV!$C:$R,16,0)</f>
        <v>#N/A</v>
      </c>
      <c r="N292" s="34">
        <f t="shared" si="21"/>
        <v>0</v>
      </c>
      <c r="O292" s="34" t="e">
        <f>TEXT(VLOOKUP(A292,LIV!$C:$M,11,0),"dd.mm.yyyy")</f>
        <v>#N/A</v>
      </c>
      <c r="P292" s="34" t="str">
        <f t="shared" si="22"/>
        <v/>
      </c>
      <c r="Q292" s="33"/>
    </row>
  </sheetData>
  <mergeCells count="3">
    <mergeCell ref="A6:I6"/>
    <mergeCell ref="J6:N6"/>
    <mergeCell ref="O6:P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LIV</vt:lpstr>
      <vt:lpstr>Execute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2024-04-04T02:25:50Z</dcterms:created>
  <dcterms:modified xsi:type="dcterms:W3CDTF">2024-04-05T07:13:07Z</dcterms:modified>
</cp:coreProperties>
</file>