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0115" windowHeight="7680" activeTab="1"/>
  </bookViews>
  <sheets>
    <sheet name="Data" sheetId="1" r:id="rId1"/>
    <sheet name="Form IN" sheetId="2" r:id="rId2"/>
    <sheet name="8511" sheetId="4" r:id="rId3"/>
    <sheet name="8512" sheetId="5" r:id="rId4"/>
    <sheet name="321H" sheetId="6" r:id="rId5"/>
    <sheet name="Sheet7" sheetId="7" r:id="rId6"/>
  </sheets>
  <definedNames>
    <definedName name="_xlnm._FilterDatabase" localSheetId="4" hidden="1">'321H'!$A$5:$Y$38</definedName>
    <definedName name="_xlnm._FilterDatabase" localSheetId="0" hidden="1">Data!$A$5:$Y$180</definedName>
    <definedName name="_xlnm.Print_Titles" localSheetId="5">Sheet7!$4:$4</definedName>
  </definedNames>
  <calcPr calcId="145621"/>
</workbook>
</file>

<file path=xl/calcChain.xml><?xml version="1.0" encoding="utf-8"?>
<calcChain xmlns="http://schemas.openxmlformats.org/spreadsheetml/2006/main">
  <c r="G1" i="2" l="1"/>
  <c r="F1" i="2"/>
  <c r="B1" i="2"/>
  <c r="C1" i="2" l="1"/>
  <c r="F14" i="2" l="1"/>
  <c r="F13" i="2"/>
  <c r="B14" i="2"/>
  <c r="B13" i="2"/>
  <c r="C18" i="2" s="1"/>
  <c r="G28" i="2" l="1"/>
  <c r="G26" i="2"/>
  <c r="G22" i="2"/>
  <c r="G20" i="2"/>
  <c r="G27" i="2"/>
  <c r="G25" i="2"/>
  <c r="G21" i="2"/>
  <c r="G18" i="2"/>
  <c r="C27" i="2"/>
  <c r="C25" i="2"/>
  <c r="C21" i="2"/>
  <c r="C28" i="2"/>
  <c r="C26" i="2"/>
  <c r="C22" i="2"/>
  <c r="C20" i="2"/>
  <c r="G19" i="2" l="1"/>
  <c r="C19" i="2"/>
</calcChain>
</file>

<file path=xl/comments1.xml><?xml version="1.0" encoding="utf-8"?>
<comments xmlns="http://schemas.openxmlformats.org/spreadsheetml/2006/main">
  <authors>
    <author>MsExcel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 xml:space="preserve">subject cua email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 xml:space="preserve">subject cua email
</t>
        </r>
      </text>
    </comment>
  </commentList>
</comments>
</file>

<file path=xl/sharedStrings.xml><?xml version="1.0" encoding="utf-8"?>
<sst xmlns="http://schemas.openxmlformats.org/spreadsheetml/2006/main" count="2224" uniqueCount="616">
  <si>
    <t>STT</t>
  </si>
  <si>
    <t>Họ và tên (*)</t>
  </si>
  <si>
    <t>Mã số thuế</t>
  </si>
  <si>
    <t>Số CMND/
Hộ chiếu</t>
  </si>
  <si>
    <t>Cá nhân ủy quyền quyết toán thay</t>
  </si>
  <si>
    <t>Thu nhập chịu thuế</t>
  </si>
  <si>
    <t>Các khoản giảm trừ</t>
  </si>
  <si>
    <t>Thu nhập tính thuế</t>
  </si>
  <si>
    <t>Số thuế TNCN đã khấu trừ</t>
  </si>
  <si>
    <t>Số thuế TNCN được giảm do làm việc trong KKT</t>
  </si>
  <si>
    <t>Chi tiết kết quả quyết toán thay cho cá nhân nộp thuế</t>
  </si>
  <si>
    <t>Địa chỉ email</t>
  </si>
  <si>
    <t>Bộ phận</t>
  </si>
  <si>
    <t>Vị trí</t>
  </si>
  <si>
    <t>BTMV-code</t>
  </si>
  <si>
    <t>Tổng số</t>
  </si>
  <si>
    <t xml:space="preserve">Trong đó: TNCT được giảm thuế </t>
  </si>
  <si>
    <t>Số lượng NPT tính giảm trừ</t>
  </si>
  <si>
    <t>Tổng số tiền  giảm trừ gia cảnh</t>
  </si>
  <si>
    <t>Từ thiện, nhân đạo, khuyến học</t>
  </si>
  <si>
    <t>Bảo hiểm được trừ</t>
  </si>
  <si>
    <t>Quĩ hưu trí tự nguyện được trừ</t>
  </si>
  <si>
    <t>Tổng số thuế 
phải nộp</t>
  </si>
  <si>
    <t>Số thuế đã nộp thừa</t>
  </si>
  <si>
    <t>Số thuế còn phải nộp</t>
  </si>
  <si>
    <t>Làm việc trong KKT</t>
  </si>
  <si>
    <t>Theo Hiệp định</t>
  </si>
  <si>
    <t>[06]</t>
  </si>
  <si>
    <t>[07]</t>
  </si>
  <si>
    <t>[08]</t>
  </si>
  <si>
    <t>[09]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</si>
  <si>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</si>
  <si>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</si>
  <si>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</si>
  <si>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</si>
  <si>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</si>
  <si>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</si>
  <si>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</si>
  <si>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</si>
  <si>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</si>
  <si>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</si>
  <si>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[20]</t>
  </si>
  <si>
    <t>[21]</t>
  </si>
  <si>
    <t>[22]</t>
  </si>
  <si>
    <t>[23]</t>
  </si>
  <si>
    <t>[24]</t>
  </si>
  <si>
    <t>[25]</t>
  </si>
  <si>
    <t>[26]</t>
  </si>
  <si>
    <t>ĐẶNG HỮU ĐÀI</t>
  </si>
  <si>
    <t>8275715159</t>
  </si>
  <si>
    <t>031495752</t>
  </si>
  <si>
    <t>x</t>
  </si>
  <si>
    <t>Operator</t>
  </si>
  <si>
    <t>ĐOÀN THANH SƠN</t>
  </si>
  <si>
    <t>8108286013</t>
  </si>
  <si>
    <t>121734109</t>
  </si>
  <si>
    <t>NGUYỄN VĂN HẢI</t>
  </si>
  <si>
    <t>8035432397</t>
  </si>
  <si>
    <t>031472455</t>
  </si>
  <si>
    <t>PHẠM CÔNG TÙNG</t>
  </si>
  <si>
    <t>8275715215</t>
  </si>
  <si>
    <t>031371467</t>
  </si>
  <si>
    <t>Senior Operator</t>
  </si>
  <si>
    <t>PHẠM VĂN HÙNG</t>
  </si>
  <si>
    <t>8275715247</t>
  </si>
  <si>
    <t>031474635</t>
  </si>
  <si>
    <t>VŨ ĐỨC CƯỜNG</t>
  </si>
  <si>
    <t>8275715254</t>
  </si>
  <si>
    <t>031587488</t>
  </si>
  <si>
    <t>NGÔ ĐỨC HUY</t>
  </si>
  <si>
    <t>8106671154</t>
  </si>
  <si>
    <t>031697021</t>
  </si>
  <si>
    <t>3212H</t>
  </si>
  <si>
    <t>NGUYỄN ĐÌNH LẬP</t>
  </si>
  <si>
    <t>8062271131</t>
  </si>
  <si>
    <t>031569110</t>
  </si>
  <si>
    <t>ĐỖ QUỐC ĐÔNG</t>
  </si>
  <si>
    <t>8079280550</t>
  </si>
  <si>
    <t>031614466</t>
  </si>
  <si>
    <t>DƯƠNG VĂN KHÁNH</t>
  </si>
  <si>
    <t>8304801239</t>
  </si>
  <si>
    <t>031962141</t>
  </si>
  <si>
    <t>LẠI QUANG VIỆT</t>
  </si>
  <si>
    <t>8304801119</t>
  </si>
  <si>
    <t>031688327</t>
  </si>
  <si>
    <t>NGUYỄN ĐỨC HIỆP</t>
  </si>
  <si>
    <t>8094141745</t>
  </si>
  <si>
    <t>031281340</t>
  </si>
  <si>
    <t>NGUYỄN DUY MẠNH</t>
  </si>
  <si>
    <t>0201066145</t>
  </si>
  <si>
    <t>031558804</t>
  </si>
  <si>
    <t>NGUYỄN DUY TRƯỜNG</t>
  </si>
  <si>
    <t>8304801158</t>
  </si>
  <si>
    <t>031636040</t>
  </si>
  <si>
    <t>NGUYỄN HUY HOÀNG</t>
  </si>
  <si>
    <t>8304800997</t>
  </si>
  <si>
    <t>031605902</t>
  </si>
  <si>
    <t>NGUYỄN THẾ HOÀN</t>
  </si>
  <si>
    <t>8304801221</t>
  </si>
  <si>
    <t>031410235</t>
  </si>
  <si>
    <t>PHẠM DUY QUANG</t>
  </si>
  <si>
    <t>8304801101</t>
  </si>
  <si>
    <t>031740917</t>
  </si>
  <si>
    <t>PHẠM VĂN CƯƠNG</t>
  </si>
  <si>
    <t>8304801165</t>
  </si>
  <si>
    <t>031379130</t>
  </si>
  <si>
    <t>PHẠM VĂN HẬU</t>
  </si>
  <si>
    <t>8320072537</t>
  </si>
  <si>
    <t>031564594</t>
  </si>
  <si>
    <t>PHẠM VĂN TUẤN</t>
  </si>
  <si>
    <t>8304801140</t>
  </si>
  <si>
    <t>031740252</t>
  </si>
  <si>
    <t>TRẦN MINH NAM</t>
  </si>
  <si>
    <t>8026859295</t>
  </si>
  <si>
    <t>131685459</t>
  </si>
  <si>
    <t>PHẠM VĂN NAM</t>
  </si>
  <si>
    <t>8098950264</t>
  </si>
  <si>
    <t>031742214</t>
  </si>
  <si>
    <t>PHẠM VĂN THÀNH</t>
  </si>
  <si>
    <t>8065789066</t>
  </si>
  <si>
    <t>031520440</t>
  </si>
  <si>
    <t>TRẦN MẠNH HÙNG</t>
  </si>
  <si>
    <t>8140644707</t>
  </si>
  <si>
    <t>031267650</t>
  </si>
  <si>
    <t>TRẦN VĂN QUẢNG</t>
  </si>
  <si>
    <t>8305572824</t>
  </si>
  <si>
    <t>031304700</t>
  </si>
  <si>
    <t>PHẠM VĂN ANH</t>
  </si>
  <si>
    <t>8071660455</t>
  </si>
  <si>
    <t>031401718</t>
  </si>
  <si>
    <t>ĐOÀN TRUNG NAM</t>
  </si>
  <si>
    <t>8064576040</t>
  </si>
  <si>
    <t>031554666</t>
  </si>
  <si>
    <t>NGUYỄN HỮU BÌNH</t>
  </si>
  <si>
    <t>8341043110</t>
  </si>
  <si>
    <t>031529239</t>
  </si>
  <si>
    <t>NGUYỄN PHÚC ĐẠT</t>
  </si>
  <si>
    <t>8341043086</t>
  </si>
  <si>
    <t>031700235</t>
  </si>
  <si>
    <t>LÊ VĂN TÚ</t>
  </si>
  <si>
    <t>8065856410</t>
  </si>
  <si>
    <t>031486680</t>
  </si>
  <si>
    <t>NGUYỄN TIẾN VŨ</t>
  </si>
  <si>
    <t>8345383069</t>
  </si>
  <si>
    <t>031797248</t>
  </si>
  <si>
    <t>NGUYỄN VĂN ĐẠT</t>
  </si>
  <si>
    <t>8345383083</t>
  </si>
  <si>
    <t>031871421</t>
  </si>
  <si>
    <t>NGUYỄN VĂN QUANG</t>
  </si>
  <si>
    <t>8300872743</t>
  </si>
  <si>
    <t>031261956</t>
  </si>
  <si>
    <t>PHẠM TRƯỜNG THÔNG</t>
  </si>
  <si>
    <t>8204702996</t>
  </si>
  <si>
    <t>031537387</t>
  </si>
  <si>
    <t>TRẦN VĂN ĐÔNG</t>
  </si>
  <si>
    <t>8088183176</t>
  </si>
  <si>
    <t>091082600</t>
  </si>
  <si>
    <t>NGUYỄN VĂN MINH</t>
  </si>
  <si>
    <t>8345383100</t>
  </si>
  <si>
    <t>031666126</t>
  </si>
  <si>
    <t>NGUYỄN XUÂN ĐƯƠNG</t>
  </si>
  <si>
    <t>8161243456</t>
  </si>
  <si>
    <t>031650590</t>
  </si>
  <si>
    <t>LÊ TẤT TUẤN</t>
  </si>
  <si>
    <t>8325521017</t>
  </si>
  <si>
    <t>031470523</t>
  </si>
  <si>
    <t>NGUYỄN THẾ THẮNG</t>
  </si>
  <si>
    <t>8132860408</t>
  </si>
  <si>
    <t>031771468</t>
  </si>
  <si>
    <t>ĐOÀN NGỌC TUÂN</t>
  </si>
  <si>
    <t>8112045116</t>
  </si>
  <si>
    <t>031555927</t>
  </si>
  <si>
    <t>NGUYỄN VIẾT ĐOÀN</t>
  </si>
  <si>
    <t>8065777303</t>
  </si>
  <si>
    <t>031520348</t>
  </si>
  <si>
    <t>NGUYỄN XUÂN TẬP</t>
  </si>
  <si>
    <t>8035445300</t>
  </si>
  <si>
    <t>031333751</t>
  </si>
  <si>
    <t>NGUYỄN XUÂN TOÀN</t>
  </si>
  <si>
    <t>0309695692</t>
  </si>
  <si>
    <t>031306836</t>
  </si>
  <si>
    <t>PHÙNG TIẾN TÙNG</t>
  </si>
  <si>
    <t>8068805076</t>
  </si>
  <si>
    <t>031550290</t>
  </si>
  <si>
    <t>TRỊNH VĂN BÍNH</t>
  </si>
  <si>
    <t>8345383397</t>
  </si>
  <si>
    <t>031418517</t>
  </si>
  <si>
    <t>VŨ KHẮC TIỆP</t>
  </si>
  <si>
    <t>8101715432</t>
  </si>
  <si>
    <t>031592680</t>
  </si>
  <si>
    <t>ĐÀO VĂN TẠC</t>
  </si>
  <si>
    <t>8345383527</t>
  </si>
  <si>
    <t>031720755</t>
  </si>
  <si>
    <t>NGUYỄN TRUNG THÀNH</t>
  </si>
  <si>
    <t>8345383541</t>
  </si>
  <si>
    <t>031882741</t>
  </si>
  <si>
    <t>NGUYỄN VĂN PHÚC</t>
  </si>
  <si>
    <t>8345383559</t>
  </si>
  <si>
    <t>031781115</t>
  </si>
  <si>
    <t>VŨ MẠNH CƯỜNG</t>
  </si>
  <si>
    <t>8345383598</t>
  </si>
  <si>
    <t>031607809</t>
  </si>
  <si>
    <t>NGUYỄN LƯƠNG DŨNG</t>
  </si>
  <si>
    <t>8035457271</t>
  </si>
  <si>
    <t>031174999</t>
  </si>
  <si>
    <t>NGUYỄN THẾ MẠNH</t>
  </si>
  <si>
    <t>8345383622</t>
  </si>
  <si>
    <t>031471022</t>
  </si>
  <si>
    <t>PHẠM VĂN VINH</t>
  </si>
  <si>
    <t>8068804883</t>
  </si>
  <si>
    <t>031650515</t>
  </si>
  <si>
    <t>BÙI TRẮC DUY</t>
  </si>
  <si>
    <t>8081921427</t>
  </si>
  <si>
    <t>031665231</t>
  </si>
  <si>
    <t>ĐỖ ĐĂNG BÌNH</t>
  </si>
  <si>
    <t>8345383693</t>
  </si>
  <si>
    <t>031822865</t>
  </si>
  <si>
    <t>HOÀNG QUỐC HƯNG</t>
  </si>
  <si>
    <t>8352288641</t>
  </si>
  <si>
    <t>031716243</t>
  </si>
  <si>
    <t>VŨ TRỌNG DUY</t>
  </si>
  <si>
    <t>8309794225</t>
  </si>
  <si>
    <t>031873691</t>
  </si>
  <si>
    <t>ĐỖ MINH TẤN</t>
  </si>
  <si>
    <t>8345383735</t>
  </si>
  <si>
    <t>031672365</t>
  </si>
  <si>
    <t>NGUYỄN HÙNG VIỆT</t>
  </si>
  <si>
    <t>8345383742</t>
  </si>
  <si>
    <t>031915940</t>
  </si>
  <si>
    <t>Junior Operator</t>
  </si>
  <si>
    <t>NGUYỄN HỮU TÀI</t>
  </si>
  <si>
    <t>8402724448</t>
  </si>
  <si>
    <t>031559921</t>
  </si>
  <si>
    <t>NGUYỄN VĂN HUY</t>
  </si>
  <si>
    <t>8088876300</t>
  </si>
  <si>
    <t>031813609</t>
  </si>
  <si>
    <t>LÊ VĂN THIỀU</t>
  </si>
  <si>
    <t>8345383774</t>
  </si>
  <si>
    <t>031763188</t>
  </si>
  <si>
    <t>NGUYỄN VĂN LỢI</t>
  </si>
  <si>
    <t>8080859712</t>
  </si>
  <si>
    <t>031525215</t>
  </si>
  <si>
    <t>BÙI VĂN DƯƠNG</t>
  </si>
  <si>
    <t>8345383781</t>
  </si>
  <si>
    <t>031962623</t>
  </si>
  <si>
    <t>PHÙNG QUANG PHƯỚC</t>
  </si>
  <si>
    <t>8112257304</t>
  </si>
  <si>
    <t>031386233</t>
  </si>
  <si>
    <t>BÙI VĂN QUÝ</t>
  </si>
  <si>
    <t>8465540242</t>
  </si>
  <si>
    <t>031611959</t>
  </si>
  <si>
    <t>BÙI VĂN THANH</t>
  </si>
  <si>
    <t>5700882028</t>
  </si>
  <si>
    <t>031330518</t>
  </si>
  <si>
    <t>TRẦN TRỌNG TẤN</t>
  </si>
  <si>
    <t>8114622626</t>
  </si>
  <si>
    <t>173278909</t>
  </si>
  <si>
    <t>VŨ QUỐC HIỆU</t>
  </si>
  <si>
    <t>8079270175</t>
  </si>
  <si>
    <t>031582275</t>
  </si>
  <si>
    <t>DƯƠNG VIỆT HÙNG</t>
  </si>
  <si>
    <t>8345383862</t>
  </si>
  <si>
    <t>031822739</t>
  </si>
  <si>
    <t>NGUYỄN MẠNH KHIÊM</t>
  </si>
  <si>
    <t>8346210157</t>
  </si>
  <si>
    <t>031471683</t>
  </si>
  <si>
    <t>NGUYỄN VĂN KHUÊ</t>
  </si>
  <si>
    <t>8065538633</t>
  </si>
  <si>
    <t>031281482</t>
  </si>
  <si>
    <t>NGUYỄN MẠNH KIÊN</t>
  </si>
  <si>
    <t>8074031871</t>
  </si>
  <si>
    <t>031660310</t>
  </si>
  <si>
    <t>NGUYỄN QUANG VINH</t>
  </si>
  <si>
    <t>8131217089</t>
  </si>
  <si>
    <t>031618393</t>
  </si>
  <si>
    <t>VŨ ĐỨC BÌNH</t>
  </si>
  <si>
    <t>8100283331</t>
  </si>
  <si>
    <t>031307686</t>
  </si>
  <si>
    <t>VŨ HUY SƠN</t>
  </si>
  <si>
    <t>5701076616</t>
  </si>
  <si>
    <t>100830371</t>
  </si>
  <si>
    <t>LƯƠNG NGỌC TÚ</t>
  </si>
  <si>
    <t>8345383968</t>
  </si>
  <si>
    <t>031720457</t>
  </si>
  <si>
    <t>ĐOÀN VĂN TIẾN</t>
  </si>
  <si>
    <t>8346210340</t>
  </si>
  <si>
    <t>031718477</t>
  </si>
  <si>
    <t>ĐÀO VĂN HIẾU</t>
  </si>
  <si>
    <t>8338995247</t>
  </si>
  <si>
    <t>031428229</t>
  </si>
  <si>
    <t>DƯƠNG ĐỨC HOÀN</t>
  </si>
  <si>
    <t>8294528355</t>
  </si>
  <si>
    <t>031920800</t>
  </si>
  <si>
    <t>TRỊNH VĂN HÓA</t>
  </si>
  <si>
    <t>8402724617</t>
  </si>
  <si>
    <t>031496430</t>
  </si>
  <si>
    <t>ĐÀM VĂN ĐỆ</t>
  </si>
  <si>
    <t>8055845152</t>
  </si>
  <si>
    <t>031238422</t>
  </si>
  <si>
    <t>NGUYỄN ĐÌNH TUẤN</t>
  </si>
  <si>
    <t>8080781600</t>
  </si>
  <si>
    <t>031512633</t>
  </si>
  <si>
    <t>NGUYỄN THẾ LINH</t>
  </si>
  <si>
    <t>8352288793</t>
  </si>
  <si>
    <t>031459293</t>
  </si>
  <si>
    <t>TRẦN TIẾN CHÍNH</t>
  </si>
  <si>
    <t>8085026400</t>
  </si>
  <si>
    <t>031483433</t>
  </si>
  <si>
    <t>VŨ DUY ĐẠT</t>
  </si>
  <si>
    <t>8428752922</t>
  </si>
  <si>
    <t>031774216</t>
  </si>
  <si>
    <t>NGUYỄN QUANG HƯNG</t>
  </si>
  <si>
    <t>8093081500</t>
  </si>
  <si>
    <t>031559062</t>
  </si>
  <si>
    <t>ĐÀO VĂN HẢI</t>
  </si>
  <si>
    <t>8465539857</t>
  </si>
  <si>
    <t>031447246</t>
  </si>
  <si>
    <t>NGUYỄN TIẾN ĐỨC</t>
  </si>
  <si>
    <t>8070901637</t>
  </si>
  <si>
    <t>031177526</t>
  </si>
  <si>
    <t>VŨ VĂN THÀNH</t>
  </si>
  <si>
    <t>8320578933</t>
  </si>
  <si>
    <t>031659923</t>
  </si>
  <si>
    <t>VŨ ĐỨC SƠN</t>
  </si>
  <si>
    <t>8116508284</t>
  </si>
  <si>
    <t>031760909</t>
  </si>
  <si>
    <t>NGUYỄN VĂN LINH</t>
  </si>
  <si>
    <t>8352288673</t>
  </si>
  <si>
    <t>151775332</t>
  </si>
  <si>
    <t>VŨ VĂN LỢI</t>
  </si>
  <si>
    <t>8095230109</t>
  </si>
  <si>
    <t>031475109</t>
  </si>
  <si>
    <t>VŨ VĂN TRƯỜNG</t>
  </si>
  <si>
    <t>8051555879</t>
  </si>
  <si>
    <t>031659042</t>
  </si>
  <si>
    <t>ĐOÀN VĂN NĂNG</t>
  </si>
  <si>
    <t>8352288698</t>
  </si>
  <si>
    <t>163226604</t>
  </si>
  <si>
    <t>BÙI VĂN CƯỜNG</t>
  </si>
  <si>
    <t>8087882735</t>
  </si>
  <si>
    <t>031470637</t>
  </si>
  <si>
    <t>ĐẶNG HỒNG QUÂN</t>
  </si>
  <si>
    <t>8047576499</t>
  </si>
  <si>
    <t>031429976</t>
  </si>
  <si>
    <t>PHẠM ĐỨC LIÊM</t>
  </si>
  <si>
    <t>8465540274</t>
  </si>
  <si>
    <t>031752055</t>
  </si>
  <si>
    <t>NGUYỄN VĂN HÙNG</t>
  </si>
  <si>
    <t>8116551106</t>
  </si>
  <si>
    <t>031636613</t>
  </si>
  <si>
    <t>NGÔ VĂN TRƯỞNG</t>
  </si>
  <si>
    <t>8276741521</t>
  </si>
  <si>
    <t>031164690</t>
  </si>
  <si>
    <t xml:space="preserve">TRẦN HÒA BÌNH </t>
  </si>
  <si>
    <t>8322039856</t>
  </si>
  <si>
    <t>031540663</t>
  </si>
  <si>
    <t>TÔ VĂN NAM</t>
  </si>
  <si>
    <t>8335327668</t>
  </si>
  <si>
    <t>031824029</t>
  </si>
  <si>
    <t>PHẠM VĂN TUYÊN</t>
  </si>
  <si>
    <t>8077766916</t>
  </si>
  <si>
    <t>031524925</t>
  </si>
  <si>
    <t xml:space="preserve">PHẠM VĂN QUẢNG </t>
  </si>
  <si>
    <t>8077769748</t>
  </si>
  <si>
    <t>031422624</t>
  </si>
  <si>
    <t>PHẠM NHẬT</t>
  </si>
  <si>
    <t>8073020323</t>
  </si>
  <si>
    <t>031459568</t>
  </si>
  <si>
    <t>NGUYỄN VĂN KHẢI</t>
  </si>
  <si>
    <t>8348675630</t>
  </si>
  <si>
    <t>031589008</t>
  </si>
  <si>
    <t>NGUYỄN VĂN CHUNG</t>
  </si>
  <si>
    <t>8348675648</t>
  </si>
  <si>
    <t>031671228</t>
  </si>
  <si>
    <t>LÊ VĂN QUYẾT</t>
  </si>
  <si>
    <t>8332323288</t>
  </si>
  <si>
    <t>031513258</t>
  </si>
  <si>
    <t>HÀ XUÂN LỘC</t>
  </si>
  <si>
    <t>8348675743</t>
  </si>
  <si>
    <t>031470450</t>
  </si>
  <si>
    <t>ĐINH VĂN MÃO</t>
  </si>
  <si>
    <t>8371117680</t>
  </si>
  <si>
    <t>031496271</t>
  </si>
  <si>
    <t>ĐÀO VĂN YÊN</t>
  </si>
  <si>
    <t>8018239139</t>
  </si>
  <si>
    <t>031645549</t>
  </si>
  <si>
    <t>ĐẶNG VĂN ĐÀI</t>
  </si>
  <si>
    <t>8348675824</t>
  </si>
  <si>
    <t>151656249</t>
  </si>
  <si>
    <t>ĐẶNG HẢI QUỲNH</t>
  </si>
  <si>
    <t>8071142774</t>
  </si>
  <si>
    <t>031439773</t>
  </si>
  <si>
    <t xml:space="preserve">BÙI VĂN DOANH </t>
  </si>
  <si>
    <t>8348675831</t>
  </si>
  <si>
    <t>031771918</t>
  </si>
  <si>
    <t>NGUYỄN VIỆT ANH</t>
  </si>
  <si>
    <t>8330427524</t>
  </si>
  <si>
    <t>031670976</t>
  </si>
  <si>
    <t>ĐOÀN XUÂN CUNG</t>
  </si>
  <si>
    <t>8350219441</t>
  </si>
  <si>
    <t>031586811</t>
  </si>
  <si>
    <t>TRẦN QUANG THỊNH</t>
  </si>
  <si>
    <t>8350219498</t>
  </si>
  <si>
    <t>031821351</t>
  </si>
  <si>
    <t>VŨ ĐÌNH DUY</t>
  </si>
  <si>
    <t>8350219561</t>
  </si>
  <si>
    <t>031660489</t>
  </si>
  <si>
    <t>TRẦN VĂN TIẾN</t>
  </si>
  <si>
    <t>8350219593</t>
  </si>
  <si>
    <t>031720226</t>
  </si>
  <si>
    <t>NGUYỄN NGỌC VINH</t>
  </si>
  <si>
    <t>8350219667</t>
  </si>
  <si>
    <t>031307111</t>
  </si>
  <si>
    <t>PHẠM VĂN HOÀNG</t>
  </si>
  <si>
    <t>8350219723</t>
  </si>
  <si>
    <t>031481848</t>
  </si>
  <si>
    <t>NGUYỄN VĂN BÁCH</t>
  </si>
  <si>
    <t>8350219730</t>
  </si>
  <si>
    <t>031449592</t>
  </si>
  <si>
    <t>TÔ THỊNH VƯỢNG</t>
  </si>
  <si>
    <t>8350219811</t>
  </si>
  <si>
    <t>031708041</t>
  </si>
  <si>
    <t xml:space="preserve">BÙI VĂN THAO </t>
  </si>
  <si>
    <t>8325820225</t>
  </si>
  <si>
    <t>031513450</t>
  </si>
  <si>
    <t>PHẠM XUÂN BIÊN</t>
  </si>
  <si>
    <t>8350219882</t>
  </si>
  <si>
    <t>151320979</t>
  </si>
  <si>
    <t>NGUYỄN NGỌC QUANG</t>
  </si>
  <si>
    <t>8350219917</t>
  </si>
  <si>
    <t>031470423</t>
  </si>
  <si>
    <t xml:space="preserve">HOÀNG VĂN HOÀN </t>
  </si>
  <si>
    <t>8283640612</t>
  </si>
  <si>
    <t>031551085</t>
  </si>
  <si>
    <t xml:space="preserve">TRẦN VĂN HÙNG </t>
  </si>
  <si>
    <t>8350220020</t>
  </si>
  <si>
    <t>031855289</t>
  </si>
  <si>
    <t xml:space="preserve">TRẦN VĂN CẢNH </t>
  </si>
  <si>
    <t>8350220077</t>
  </si>
  <si>
    <t>031768751</t>
  </si>
  <si>
    <t>TRẦN QUANG CẢNH</t>
  </si>
  <si>
    <t>8350220158</t>
  </si>
  <si>
    <t>031589056</t>
  </si>
  <si>
    <t>NGUYỄN ĐỨC CHIẾN</t>
  </si>
  <si>
    <t>8304215354</t>
  </si>
  <si>
    <t>031493741</t>
  </si>
  <si>
    <t>VŨ VĂN HIỆP</t>
  </si>
  <si>
    <t>8100181925</t>
  </si>
  <si>
    <t>031539887</t>
  </si>
  <si>
    <t>KHÚC VĂN VIỆN</t>
  </si>
  <si>
    <t>8070267611</t>
  </si>
  <si>
    <t>031355747</t>
  </si>
  <si>
    <t>PHẠM BÁ CƯỜNG</t>
  </si>
  <si>
    <t>8094136953</t>
  </si>
  <si>
    <t>031389227</t>
  </si>
  <si>
    <t>NGUYỄN MẠNH CƯỜNG</t>
  </si>
  <si>
    <t>8378435410</t>
  </si>
  <si>
    <t>031470458</t>
  </si>
  <si>
    <t>NGUYỄN QUANG LINH</t>
  </si>
  <si>
    <t>8350220246</t>
  </si>
  <si>
    <t>031726097</t>
  </si>
  <si>
    <t>NGUYỄN ĐỨC DUẨN</t>
  </si>
  <si>
    <t>8103342095</t>
  </si>
  <si>
    <t>162746509</t>
  </si>
  <si>
    <t>ĐINH HỮU KIÊN</t>
  </si>
  <si>
    <t>8350220285</t>
  </si>
  <si>
    <t>031544186</t>
  </si>
  <si>
    <t>VŨ ĐÌNH THI</t>
  </si>
  <si>
    <t>8289589306</t>
  </si>
  <si>
    <t>031676296</t>
  </si>
  <si>
    <t>TRẦN MẠNH TUYẾN</t>
  </si>
  <si>
    <t>8032066142</t>
  </si>
  <si>
    <t>031612025</t>
  </si>
  <si>
    <t>VŨ TRỌNG SƠN</t>
  </si>
  <si>
    <t>8354343432</t>
  </si>
  <si>
    <t>031460637</t>
  </si>
  <si>
    <t>ĐẶNG VĂN CHUNG</t>
  </si>
  <si>
    <t>8354343471</t>
  </si>
  <si>
    <t>031273029</t>
  </si>
  <si>
    <t>NGUYỄN THẾ QUANG</t>
  </si>
  <si>
    <t>8354343506</t>
  </si>
  <si>
    <t>031603733</t>
  </si>
  <si>
    <t>NGUYỄN ĐÌNH TÙNG</t>
  </si>
  <si>
    <t>8111741738</t>
  </si>
  <si>
    <t>031728817</t>
  </si>
  <si>
    <t>NGUYỄN ĐÌNH TÌNH</t>
  </si>
  <si>
    <t>8112470625</t>
  </si>
  <si>
    <t>031496753</t>
  </si>
  <si>
    <t xml:space="preserve">LÊ VĂN TÙNG </t>
  </si>
  <si>
    <t>8357490403</t>
  </si>
  <si>
    <t>031870551</t>
  </si>
  <si>
    <t xml:space="preserve">NGUYỄN MẠNH TOÀN </t>
  </si>
  <si>
    <t>8165233032</t>
  </si>
  <si>
    <t>031751261</t>
  </si>
  <si>
    <t xml:space="preserve">ĐÀM QUỐC TRƯỜNG </t>
  </si>
  <si>
    <t>8065862862</t>
  </si>
  <si>
    <t>031145074</t>
  </si>
  <si>
    <t>PHẠM VĂN ĐIỀU</t>
  </si>
  <si>
    <t>8357490516</t>
  </si>
  <si>
    <t>142614427</t>
  </si>
  <si>
    <t>TRẦN VĂN THẮNG</t>
  </si>
  <si>
    <t>8357490530</t>
  </si>
  <si>
    <t>031612300</t>
  </si>
  <si>
    <t>HÀ PHÚ THIỆP</t>
  </si>
  <si>
    <t>8053369902</t>
  </si>
  <si>
    <t>031512133</t>
  </si>
  <si>
    <t>NGUYỄN VĂN VƯƠNG</t>
  </si>
  <si>
    <t>8313368621</t>
  </si>
  <si>
    <t>031617443</t>
  </si>
  <si>
    <t>NGUYỄN CÔNG LƯƠNG</t>
  </si>
  <si>
    <t>8091817545</t>
  </si>
  <si>
    <t>151700880</t>
  </si>
  <si>
    <t>ĐOÀN HUY PHONG</t>
  </si>
  <si>
    <t>8322406168</t>
  </si>
  <si>
    <t>031452684</t>
  </si>
  <si>
    <t>NGUYỄN VĂN NGỌ</t>
  </si>
  <si>
    <t>8091953957</t>
  </si>
  <si>
    <t>031718578</t>
  </si>
  <si>
    <t>VŨ VĂN THUẤN</t>
  </si>
  <si>
    <t>8067424487</t>
  </si>
  <si>
    <t>031281096</t>
  </si>
  <si>
    <t>NGUYỄN QUANG ĐẠT</t>
  </si>
  <si>
    <t>8077767162</t>
  </si>
  <si>
    <t>031536546</t>
  </si>
  <si>
    <t>PHÙNG VĂN BÌNH</t>
  </si>
  <si>
    <t>8366429941</t>
  </si>
  <si>
    <t>031449318</t>
  </si>
  <si>
    <t>LÊ NGỌC TIẾN</t>
  </si>
  <si>
    <t>8026715906</t>
  </si>
  <si>
    <t>172319380</t>
  </si>
  <si>
    <t>8288381344</t>
  </si>
  <si>
    <t>031231282</t>
  </si>
  <si>
    <t>TẠ HỮU MẠNH</t>
  </si>
  <si>
    <t>8067424656</t>
  </si>
  <si>
    <t>031357355</t>
  </si>
  <si>
    <t>NGUYỄN VĂN TRUNG</t>
  </si>
  <si>
    <t>8087213050</t>
  </si>
  <si>
    <t>031595511</t>
  </si>
  <si>
    <t>BÙI NGỌC LÂM</t>
  </si>
  <si>
    <t>8366430351</t>
  </si>
  <si>
    <t>031873568</t>
  </si>
  <si>
    <t>NGUYỄN VĂN ĐƯỜNG</t>
  </si>
  <si>
    <t>8066698703</t>
  </si>
  <si>
    <t>031112839</t>
  </si>
  <si>
    <t>PHÙNG VĂN DŨNG</t>
  </si>
  <si>
    <t>8193495008</t>
  </si>
  <si>
    <t>031449911</t>
  </si>
  <si>
    <t>NGUYỄN VĂN ĐỒNG</t>
  </si>
  <si>
    <t>8320872540</t>
  </si>
  <si>
    <t>031493784</t>
  </si>
  <si>
    <t>LÊ TIẾN CƯỜNG</t>
  </si>
  <si>
    <t>8366430513</t>
  </si>
  <si>
    <t>031686641</t>
  </si>
  <si>
    <t>PHẠM VĂN TÚ</t>
  </si>
  <si>
    <t>8108359751</t>
  </si>
  <si>
    <t>031257638</t>
  </si>
  <si>
    <t>TỐNG ĐỨC HIỆP</t>
  </si>
  <si>
    <t>8366430584</t>
  </si>
  <si>
    <t>125095233</t>
  </si>
  <si>
    <t>MAI VĂN CƯỜNG</t>
  </si>
  <si>
    <t>8115386273</t>
  </si>
  <si>
    <t>031546609</t>
  </si>
  <si>
    <t>PHẠM TUẤN CƯỜNG</t>
  </si>
  <si>
    <t>8366429645</t>
  </si>
  <si>
    <t>031744147</t>
  </si>
  <si>
    <t>ĐOÀN VĂN TÂN</t>
  </si>
  <si>
    <t>8032893431</t>
  </si>
  <si>
    <t>031456591</t>
  </si>
  <si>
    <t>NGUYỄN MINH HOÀNG</t>
  </si>
  <si>
    <t>8302543060</t>
  </si>
  <si>
    <t>031506689</t>
  </si>
  <si>
    <t>NGUYỄN HỮU KHÁ</t>
  </si>
  <si>
    <t>8068510361</t>
  </si>
  <si>
    <t>031540083</t>
  </si>
  <si>
    <t xml:space="preserve">Junior Operator </t>
  </si>
  <si>
    <t>PHẠM VĂN ĐẠI</t>
  </si>
  <si>
    <t>8374707134</t>
  </si>
  <si>
    <t>031752194</t>
  </si>
  <si>
    <t>KẾT QUẢ QUYẾT TOÁN THUẾ TNCN 2016</t>
  </si>
  <si>
    <t>Kính gửi Anh/Chị</t>
  </si>
  <si>
    <t>Code :</t>
  </si>
  <si>
    <t>Tên :</t>
  </si>
  <si>
    <t>THU NHẬP</t>
  </si>
  <si>
    <t>Diễn giải</t>
  </si>
  <si>
    <t>Số tiền</t>
  </si>
  <si>
    <t xml:space="preserve">Thu nhập chịu thuế (1) </t>
  </si>
  <si>
    <t>Các khoản giảm trừ (2)=(2a)+(2b)</t>
  </si>
  <si>
    <t>Giảm trừ gia cảnh (2a)</t>
  </si>
  <si>
    <t>Bảo hiểm (2b)</t>
  </si>
  <si>
    <t>Thu nhập tính thuế (3) = (1)-(2)</t>
  </si>
  <si>
    <t>THUẾ THU NHẬP CÁ NHÂN</t>
  </si>
  <si>
    <t>Số thuế thu nhập cá nhân đã khấu trừ (4)</t>
  </si>
  <si>
    <t>Số thuế phải nộp sau quyết toán(5)</t>
  </si>
  <si>
    <t>Số thuế đã nộp thừa (6)=(4)-(5)</t>
  </si>
  <si>
    <t>Số thuế còn phải khấu trừ thêm(7)=(5)-(4)</t>
  </si>
  <si>
    <t>Anh/Chị có bất cứ thắc mắc nào thì liên hệ với phòng kế toán để được giải đáp.</t>
  </si>
  <si>
    <t>(Gặp Giang: Số điện thoại: 1616 hoặc số Dect : 51612/ Hoặc Ms Quỳnh số Dect : 51615)</t>
  </si>
  <si>
    <t>Hạn liên hệ chậm nhất là ngày 10/4/2017.</t>
  </si>
  <si>
    <t>Trân trọng.</t>
  </si>
  <si>
    <t>Bui Giang (1611)</t>
  </si>
  <si>
    <t>Dưới đây là kết quả quyết toán thuế thu nhập cá nhân năm 2016 mà Anh/Chị đã ủy quyền</t>
  </si>
  <si>
    <t>cho công ty quyết toán thay. Phòng Tài chính – Kế toán xin thông báo để Anh/Chị được biết.</t>
  </si>
  <si>
    <r>
      <t xml:space="preserve">-Trường hợp Anh/Chị có </t>
    </r>
    <r>
      <rPr>
        <b/>
        <sz val="10"/>
        <color indexed="8"/>
        <rFont val="Calibri"/>
        <family val="2"/>
      </rPr>
      <t>"Số thuế đã nộp thừa"</t>
    </r>
    <r>
      <rPr>
        <sz val="10"/>
        <color indexed="8"/>
        <rFont val="Calibri"/>
        <family val="2"/>
      </rPr>
      <t xml:space="preserve"> sẽ được hoàn trả vào lương tháng </t>
    </r>
  </si>
  <si>
    <r>
      <t>04/2017 của Anh/ Chị (</t>
    </r>
    <r>
      <rPr>
        <i/>
        <sz val="10"/>
        <color rgb="FF000000"/>
        <rFont val="Calibri"/>
        <family val="2"/>
      </rPr>
      <t>Ngày thanh toán lương 10/05/2017</t>
    </r>
    <r>
      <rPr>
        <sz val="10"/>
        <color rgb="FF000000"/>
        <rFont val="Calibri"/>
        <family val="2"/>
      </rPr>
      <t>)</t>
    </r>
  </si>
  <si>
    <r>
      <t>-Trường hợp Anh/Chị có "</t>
    </r>
    <r>
      <rPr>
        <b/>
        <sz val="10"/>
        <color indexed="8"/>
        <rFont val="Calibri"/>
        <family val="2"/>
      </rPr>
      <t xml:space="preserve">Số thuế còn phải khấu trừ thêm" </t>
    </r>
    <r>
      <rPr>
        <sz val="10"/>
        <color indexed="8"/>
        <rFont val="Calibri"/>
        <family val="2"/>
      </rPr>
      <t>sẽ được  khấu trừ bắt đầu từ</t>
    </r>
  </si>
  <si>
    <r>
      <t>lương 04/2017 (</t>
    </r>
    <r>
      <rPr>
        <i/>
        <sz val="10"/>
        <color rgb="FF000000"/>
        <rFont val="Calibri"/>
        <family val="2"/>
      </rPr>
      <t>Ngày thanh toán lương 10/05/2017</t>
    </r>
    <r>
      <rPr>
        <sz val="10"/>
        <color rgb="FF000000"/>
        <rFont val="Calibri"/>
        <family val="2"/>
      </rPr>
      <t>) của Anh/Chị</t>
    </r>
  </si>
  <si>
    <t xml:space="preserve"> (Tối đa là 30% lương cơ bản/tháng) </t>
  </si>
  <si>
    <r>
      <t>lương 04/2017 (</t>
    </r>
    <r>
      <rPr>
        <i/>
        <sz val="10"/>
        <color rgb="FF000000"/>
        <rFont val="Calibri"/>
        <family val="2"/>
      </rPr>
      <t>Ngày thanh toán lương 10/05/2017</t>
    </r>
    <r>
      <rPr>
        <sz val="10"/>
        <color rgb="FF000000"/>
        <rFont val="Calibri"/>
        <family val="2"/>
      </rPr>
      <t>) của Anh/Chị.</t>
    </r>
  </si>
  <si>
    <t>DANH SÁCH GỬI THÔNG BÁO KẾT QUẢ QUYẾT TOÁN THUẾ THU NHẬP CÁ NHÂN</t>
  </si>
  <si>
    <t>Bộ phận :</t>
  </si>
  <si>
    <t>Stt</t>
  </si>
  <si>
    <t>Code</t>
  </si>
  <si>
    <t>Họ tên</t>
  </si>
  <si>
    <t>Ghi chú</t>
  </si>
  <si>
    <t>Ký nhận</t>
  </si>
  <si>
    <t>8511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</si>
</sst>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&quot;BTMV-&quot;0000"/>
    <numFmt numFmtId="165" formatCode="#,##0;\(#,##0\)"/>
    <numFmt numFmtId="166" formatCode="_(* #,##0_);_(* \(#,##0\);_(* &quot;-&quot;??_);_(@_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9"/>
      <color rgb="FFFF0000"/>
      <name val="Arial"/>
      <family val="2"/>
    </font>
    <font>
      <sz val="10"/>
      <name val="Arial"/>
      <family val="2"/>
    </font>
    <font>
      <b/>
      <sz val="10"/>
      <color theme="3"/>
      <name val="Times New Roman"/>
      <family val="1"/>
    </font>
    <font>
      <sz val="11"/>
      <color rgb="FF000000"/>
      <name val="Calibri"/>
      <family val="2"/>
    </font>
    <font>
      <sz val="11"/>
      <color theme="3"/>
      <name val="Times New Roman"/>
      <family val="1"/>
    </font>
    <font>
      <b/>
      <sz val="15"/>
      <color theme="3"/>
      <name val="Times New Roman"/>
      <family val="1"/>
    </font>
    <font>
      <b/>
      <sz val="9"/>
      <color indexed="81"/>
      <name val="Tahoma"/>
      <family val="2"/>
    </font>
    <font>
      <b/>
      <sz val="12"/>
      <color theme="1"/>
      <name val="Times New Roman"/>
      <family val="1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i/>
      <sz val="10"/>
      <color rgb="FF000000"/>
      <name val="Calibri"/>
      <family val="2"/>
    </font>
    <font>
      <sz val="10"/>
      <color theme="3"/>
      <name val="Times New Roman"/>
      <family val="1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Times New Roman"/>
      <family val="1"/>
    </font>
    <font>
      <b/>
      <i/>
      <sz val="10"/>
      <color theme="1"/>
      <name val="Calibri"/>
      <family val="2"/>
    </font>
    <font>
      <sz val="10"/>
      <color theme="1"/>
      <name val="Times New Roman"/>
      <family val="1"/>
    </font>
    <font>
      <b/>
      <sz val="15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/>
  </cellStyleXfs>
  <cellXfs count="95">
    <xf numFmtId="0" fontId="0" fillId="0" borderId="0" xfId="0"/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 wrapText="1"/>
    </xf>
    <xf numFmtId="0" fontId="4" fillId="2" borderId="0" xfId="0" applyFont="1" applyFill="1" applyAlignment="1" applyProtection="1">
      <alignment horizontal="center" vertical="center"/>
    </xf>
    <xf numFmtId="0" fontId="5" fillId="2" borderId="5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3" fillId="2" borderId="7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vertical="center" wrapText="1"/>
    </xf>
    <xf numFmtId="0" fontId="3" fillId="3" borderId="7" xfId="0" applyFont="1" applyFill="1" applyBorder="1" applyAlignment="1" applyProtection="1">
      <alignment horizontal="center" vertical="center" wrapText="1"/>
    </xf>
    <xf numFmtId="3" fontId="3" fillId="3" borderId="7" xfId="0" applyNumberFormat="1" applyFont="1" applyFill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3" fontId="4" fillId="3" borderId="7" xfId="0" applyNumberFormat="1" applyFont="1" applyFill="1" applyBorder="1" applyAlignment="1" applyProtection="1">
      <alignment horizontal="center" vertical="center" wrapText="1"/>
    </xf>
    <xf numFmtId="164" fontId="4" fillId="3" borderId="7" xfId="0" applyNumberFormat="1" applyFont="1" applyFill="1" applyBorder="1" applyAlignment="1" applyProtection="1">
      <alignment horizontal="center" vertical="center"/>
    </xf>
    <xf numFmtId="49" fontId="4" fillId="3" borderId="7" xfId="0" applyNumberFormat="1" applyFont="1" applyFill="1" applyBorder="1" applyAlignment="1" applyProtection="1">
      <alignment vertical="center"/>
    </xf>
    <xf numFmtId="49" fontId="4" fillId="3" borderId="7" xfId="0" applyNumberFormat="1" applyFont="1" applyFill="1" applyBorder="1" applyAlignment="1" applyProtection="1">
      <alignment horizontal="left" vertical="center" shrinkToFit="1"/>
    </xf>
    <xf numFmtId="49" fontId="4" fillId="3" borderId="7" xfId="0" applyNumberFormat="1" applyFont="1" applyFill="1" applyBorder="1" applyAlignment="1" applyProtection="1">
      <alignment vertical="center" shrinkToFit="1"/>
    </xf>
    <xf numFmtId="0" fontId="4" fillId="3" borderId="7" xfId="0" applyFont="1" applyFill="1" applyBorder="1" applyAlignment="1" applyProtection="1">
      <alignment horizontal="center" vertical="center"/>
    </xf>
    <xf numFmtId="165" fontId="4" fillId="3" borderId="7" xfId="0" applyNumberFormat="1" applyFont="1" applyFill="1" applyBorder="1" applyAlignment="1" applyProtection="1">
      <alignment horizontal="right" vertical="center"/>
    </xf>
    <xf numFmtId="165" fontId="4" fillId="0" borderId="7" xfId="0" applyNumberFormat="1" applyFont="1" applyBorder="1" applyAlignment="1" applyProtection="1">
      <alignment horizontal="right"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3" fontId="4" fillId="3" borderId="2" xfId="0" applyNumberFormat="1" applyFont="1" applyFill="1" applyBorder="1" applyAlignment="1" applyProtection="1">
      <alignment vertical="center" wrapText="1"/>
    </xf>
    <xf numFmtId="0" fontId="4" fillId="3" borderId="7" xfId="0" applyNumberFormat="1" applyFont="1" applyFill="1" applyBorder="1" applyAlignment="1" applyProtection="1">
      <alignment vertical="center"/>
    </xf>
    <xf numFmtId="0" fontId="4" fillId="3" borderId="7" xfId="0" applyNumberFormat="1" applyFont="1" applyFill="1" applyBorder="1" applyAlignment="1" applyProtection="1">
      <alignment horizontal="right" vertical="center"/>
    </xf>
    <xf numFmtId="0" fontId="9" fillId="0" borderId="0" xfId="2" applyFont="1" applyFill="1" applyBorder="1" applyAlignment="1">
      <alignment vertical="top" wrapText="1"/>
    </xf>
    <xf numFmtId="0" fontId="10" fillId="0" borderId="0" xfId="2" applyFont="1" applyFill="1" applyBorder="1" applyAlignment="1">
      <alignment vertical="center" wrapText="1"/>
    </xf>
    <xf numFmtId="0" fontId="8" fillId="0" borderId="0" xfId="0" applyFont="1" applyAlignment="1">
      <alignment horizontal="left"/>
    </xf>
    <xf numFmtId="0" fontId="12" fillId="0" borderId="0" xfId="2" applyFont="1" applyAlignment="1">
      <alignment vertical="center"/>
    </xf>
    <xf numFmtId="0" fontId="13" fillId="0" borderId="0" xfId="0" applyFont="1"/>
    <xf numFmtId="0" fontId="7" fillId="0" borderId="0" xfId="2" applyFont="1" applyAlignment="1">
      <alignment vertical="center"/>
    </xf>
    <xf numFmtId="0" fontId="14" fillId="0" borderId="0" xfId="0" applyFont="1" applyAlignment="1" applyProtection="1">
      <alignment vertical="center"/>
    </xf>
    <xf numFmtId="0" fontId="14" fillId="0" borderId="0" xfId="0" applyFont="1" applyAlignment="1">
      <alignment vertical="center"/>
    </xf>
    <xf numFmtId="0" fontId="14" fillId="0" borderId="0" xfId="0" quotePrefix="1" applyFont="1" applyAlignment="1" applyProtection="1">
      <alignment vertical="center"/>
    </xf>
    <xf numFmtId="0" fontId="18" fillId="0" borderId="0" xfId="2" applyFont="1" applyFill="1" applyBorder="1" applyAlignment="1">
      <alignment vertical="top" wrapText="1"/>
    </xf>
    <xf numFmtId="166" fontId="18" fillId="0" borderId="0" xfId="2" applyNumberFormat="1" applyFont="1" applyFill="1" applyBorder="1" applyAlignment="1">
      <alignment vertical="top" wrapText="1"/>
    </xf>
    <xf numFmtId="0" fontId="14" fillId="0" borderId="0" xfId="0" applyFont="1" applyAlignment="1">
      <alignment horizontal="left" vertical="center" indent="1"/>
    </xf>
    <xf numFmtId="164" fontId="13" fillId="0" borderId="0" xfId="0" quotePrefix="1" applyNumberFormat="1" applyFont="1" applyAlignment="1">
      <alignment horizontal="left" vertical="center"/>
    </xf>
    <xf numFmtId="0" fontId="13" fillId="0" borderId="0" xfId="0" quotePrefix="1" applyFont="1" applyAlignment="1">
      <alignment horizontal="left" vertical="center"/>
    </xf>
    <xf numFmtId="0" fontId="13" fillId="0" borderId="8" xfId="0" applyFont="1" applyBorder="1" applyAlignment="1">
      <alignment horizontal="center" vertical="center"/>
    </xf>
    <xf numFmtId="166" fontId="19" fillId="0" borderId="11" xfId="1" applyNumberFormat="1" applyFont="1" applyFill="1" applyBorder="1" applyAlignment="1">
      <alignment vertical="top" wrapText="1"/>
    </xf>
    <xf numFmtId="166" fontId="20" fillId="0" borderId="11" xfId="1" applyNumberFormat="1" applyFont="1" applyFill="1" applyBorder="1" applyAlignment="1">
      <alignment vertical="top" wrapText="1"/>
    </xf>
    <xf numFmtId="0" fontId="14" fillId="0" borderId="12" xfId="0" applyFont="1" applyBorder="1" applyAlignment="1">
      <alignment vertical="center"/>
    </xf>
    <xf numFmtId="0" fontId="17" fillId="0" borderId="11" xfId="0" applyFont="1" applyBorder="1"/>
    <xf numFmtId="0" fontId="14" fillId="0" borderId="13" xfId="0" applyFont="1" applyBorder="1" applyAlignment="1">
      <alignment vertical="center"/>
    </xf>
    <xf numFmtId="0" fontId="17" fillId="0" borderId="14" xfId="0" applyFont="1" applyBorder="1"/>
    <xf numFmtId="166" fontId="19" fillId="0" borderId="15" xfId="1" applyNumberFormat="1" applyFont="1" applyFill="1" applyBorder="1" applyAlignment="1">
      <alignment vertical="top" wrapText="1"/>
    </xf>
    <xf numFmtId="0" fontId="14" fillId="0" borderId="0" xfId="0" applyFont="1"/>
    <xf numFmtId="0" fontId="7" fillId="0" borderId="0" xfId="2" applyFont="1" applyFill="1" applyBorder="1" applyAlignment="1">
      <alignment vertical="center" wrapText="1"/>
    </xf>
    <xf numFmtId="0" fontId="17" fillId="0" borderId="0" xfId="0" applyFont="1"/>
    <xf numFmtId="0" fontId="14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1" fillId="0" borderId="0" xfId="0" applyFont="1"/>
    <xf numFmtId="0" fontId="21" fillId="0" borderId="0" xfId="2" applyFont="1" applyAlignment="1">
      <alignment vertical="center"/>
    </xf>
    <xf numFmtId="0" fontId="22" fillId="0" borderId="0" xfId="0" applyFont="1"/>
    <xf numFmtId="0" fontId="21" fillId="0" borderId="0" xfId="2" applyFont="1" applyFill="1" applyBorder="1" applyAlignment="1">
      <alignment vertical="center" wrapText="1"/>
    </xf>
    <xf numFmtId="0" fontId="23" fillId="0" borderId="0" xfId="2" applyFont="1" applyFill="1" applyBorder="1" applyAlignment="1">
      <alignment vertical="top" wrapText="1"/>
    </xf>
    <xf numFmtId="0" fontId="0" fillId="0" borderId="0" xfId="0" applyFont="1"/>
    <xf numFmtId="0" fontId="0" fillId="0" borderId="17" xfId="0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 vertical="center"/>
    </xf>
    <xf numFmtId="164" fontId="0" fillId="0" borderId="18" xfId="0" applyNumberFormat="1" applyBorder="1" applyAlignment="1">
      <alignment horizontal="center"/>
    </xf>
    <xf numFmtId="0" fontId="0" fillId="0" borderId="18" xfId="0" applyBorder="1"/>
    <xf numFmtId="0" fontId="0" fillId="0" borderId="19" xfId="0" applyBorder="1" applyAlignment="1">
      <alignment horizontal="center" vertical="center"/>
    </xf>
    <xf numFmtId="164" fontId="0" fillId="0" borderId="19" xfId="0" applyNumberFormat="1" applyBorder="1" applyAlignment="1">
      <alignment horizontal="center"/>
    </xf>
    <xf numFmtId="0" fontId="0" fillId="0" borderId="19" xfId="0" applyBorder="1"/>
    <xf numFmtId="0" fontId="2" fillId="0" borderId="8" xfId="0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" fillId="0" borderId="8" xfId="0" quotePrefix="1" applyFont="1" applyBorder="1" applyAlignment="1">
      <alignment vertical="center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3" fontId="3" fillId="2" borderId="1" xfId="0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3" xfId="0" applyFont="1" applyFill="1" applyBorder="1" applyAlignment="1" applyProtection="1">
      <alignment horizontal="center" vertical="center" wrapText="1"/>
    </xf>
    <xf numFmtId="0" fontId="13" fillId="4" borderId="8" xfId="0" applyFont="1" applyFill="1" applyBorder="1" applyAlignment="1">
      <alignment horizontal="left" vertical="center" indent="2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left"/>
    </xf>
    <xf numFmtId="0" fontId="13" fillId="0" borderId="10" xfId="0" applyFont="1" applyBorder="1" applyAlignment="1">
      <alignment horizontal="left"/>
    </xf>
    <xf numFmtId="0" fontId="13" fillId="0" borderId="12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7" fillId="0" borderId="0" xfId="2" applyFont="1" applyAlignment="1">
      <alignment horizontal="left" vertical="center"/>
    </xf>
    <xf numFmtId="0" fontId="13" fillId="0" borderId="9" xfId="0" applyFont="1" applyBorder="1" applyAlignment="1">
      <alignment horizontal="left" vertical="center"/>
    </xf>
    <xf numFmtId="0" fontId="13" fillId="0" borderId="10" xfId="0" applyFont="1" applyBorder="1" applyAlignment="1">
      <alignment horizontal="left" vertical="center"/>
    </xf>
    <xf numFmtId="0" fontId="13" fillId="0" borderId="12" xfId="0" applyFont="1" applyBorder="1" applyAlignment="1">
      <alignment horizontal="left" vertical="center"/>
    </xf>
    <xf numFmtId="0" fontId="13" fillId="0" borderId="11" xfId="0" applyFont="1" applyBorder="1" applyAlignment="1">
      <alignment horizontal="left" vertical="center"/>
    </xf>
    <xf numFmtId="0" fontId="13" fillId="0" borderId="13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166" fontId="25" fillId="0" borderId="11" xfId="1" applyNumberFormat="1" applyFont="1" applyFill="1" applyBorder="1" applyAlignment="1">
      <alignment vertical="top" wrapText="1"/>
    </xf>
  </cellXfs>
  <cellStyles count="3">
    <cellStyle name="Comma" xfId="1" builtinId="3"/>
    <cellStyle name="Normal" xfId="0" builtinId="0"/>
    <cellStyle name="Normal 1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2:Y180"/>
  <sheetViews>
    <sheetView workbookViewId="0">
      <selection activeCell="A2" sqref="A2:Y178"/>
    </sheetView>
  </sheetViews>
  <sheetFormatPr defaultRowHeight="15" x14ac:dyDescent="0.25"/>
  <cols>
    <col min="2" max="2" width="13.140625" customWidth="1"/>
    <col min="3" max="3" width="15.85546875" customWidth="1"/>
    <col min="4" max="4" width="17.28515625" customWidth="1"/>
    <col min="5" max="5" width="13.85546875" customWidth="1"/>
    <col min="7" max="7" width="15.7109375" customWidth="1"/>
    <col min="8" max="8" width="15.140625" customWidth="1"/>
    <col min="10" max="10" width="10.140625" customWidth="1"/>
    <col min="11" max="11" width="14.7109375" customWidth="1"/>
    <col min="13" max="13" width="12.5703125" customWidth="1"/>
    <col min="16" max="16" width="11.42578125" customWidth="1"/>
  </cols>
  <sheetData>
    <row r="2" spans="1:25" ht="26.25" customHeight="1" x14ac:dyDescent="0.25">
      <c r="A2" s="74" t="s">
        <v>0</v>
      </c>
      <c r="B2" s="1"/>
      <c r="C2" s="77" t="s">
        <v>1</v>
      </c>
      <c r="D2" s="74" t="s">
        <v>2</v>
      </c>
      <c r="E2" s="74" t="s">
        <v>3</v>
      </c>
      <c r="F2" s="74" t="s">
        <v>4</v>
      </c>
      <c r="G2" s="78" t="s">
        <v>5</v>
      </c>
      <c r="H2" s="80"/>
      <c r="I2" s="79"/>
      <c r="J2" s="78" t="s">
        <v>6</v>
      </c>
      <c r="K2" s="80"/>
      <c r="L2" s="80"/>
      <c r="M2" s="80"/>
      <c r="N2" s="79"/>
      <c r="O2" s="74" t="s">
        <v>7</v>
      </c>
      <c r="P2" s="77" t="s">
        <v>8</v>
      </c>
      <c r="Q2" s="74" t="s">
        <v>9</v>
      </c>
      <c r="R2" s="2"/>
      <c r="S2" s="78" t="s">
        <v>10</v>
      </c>
      <c r="T2" s="80"/>
      <c r="U2" s="79"/>
      <c r="V2" s="3"/>
      <c r="W2" s="74" t="s">
        <v>11</v>
      </c>
      <c r="X2" s="74" t="s">
        <v>12</v>
      </c>
      <c r="Y2" s="74" t="s">
        <v>13</v>
      </c>
    </row>
    <row r="3" spans="1:25" ht="36" x14ac:dyDescent="0.25">
      <c r="A3" s="75"/>
      <c r="B3" s="4" t="s">
        <v>14</v>
      </c>
      <c r="C3" s="75"/>
      <c r="D3" s="75"/>
      <c r="E3" s="75"/>
      <c r="F3" s="75"/>
      <c r="G3" s="77" t="s">
        <v>15</v>
      </c>
      <c r="H3" s="78" t="s">
        <v>16</v>
      </c>
      <c r="I3" s="79"/>
      <c r="J3" s="74" t="s">
        <v>17</v>
      </c>
      <c r="K3" s="74" t="s">
        <v>18</v>
      </c>
      <c r="L3" s="74" t="s">
        <v>19</v>
      </c>
      <c r="M3" s="74" t="s">
        <v>20</v>
      </c>
      <c r="N3" s="74" t="s">
        <v>21</v>
      </c>
      <c r="O3" s="75"/>
      <c r="P3" s="75"/>
      <c r="Q3" s="75"/>
      <c r="R3" s="2"/>
      <c r="S3" s="74" t="s">
        <v>22</v>
      </c>
      <c r="T3" s="5" t="s">
        <v>23</v>
      </c>
      <c r="U3" s="5" t="s">
        <v>24</v>
      </c>
      <c r="V3" s="3"/>
      <c r="W3" s="75"/>
      <c r="X3" s="75"/>
      <c r="Y3" s="75"/>
    </row>
    <row r="4" spans="1:25" ht="24" x14ac:dyDescent="0.25">
      <c r="A4" s="76"/>
      <c r="B4" s="6"/>
      <c r="C4" s="76"/>
      <c r="D4" s="76"/>
      <c r="E4" s="76"/>
      <c r="F4" s="76"/>
      <c r="G4" s="76"/>
      <c r="H4" s="7" t="s">
        <v>25</v>
      </c>
      <c r="I4" s="7" t="s">
        <v>26</v>
      </c>
      <c r="J4" s="76"/>
      <c r="K4" s="76"/>
      <c r="L4" s="76"/>
      <c r="M4" s="76"/>
      <c r="N4" s="76"/>
      <c r="O4" s="76"/>
      <c r="P4" s="76"/>
      <c r="Q4" s="76"/>
      <c r="R4" s="2"/>
      <c r="S4" s="76"/>
      <c r="T4" s="8"/>
      <c r="U4" s="8"/>
      <c r="V4" s="3"/>
      <c r="W4" s="76"/>
      <c r="X4" s="76"/>
      <c r="Y4" s="76"/>
    </row>
    <row r="5" spans="1:25" x14ac:dyDescent="0.25">
      <c r="A5" s="9" t="s">
        <v>27</v>
      </c>
      <c r="B5" s="10"/>
      <c r="C5" s="9" t="s">
        <v>28</v>
      </c>
      <c r="D5" s="9" t="s">
        <v>29</v>
      </c>
      <c r="E5" s="9" t="s">
        <v>30</v>
      </c>
      <c r="F5" s="10" t="s">
        <v>31</v>
      </c>
      <c r="G5" s="9" t="s">
        <v>32</v>
      </c>
      <c r="H5" s="9" t="s">
        <v>33</v>
      </c>
      <c r="I5" s="9" t="s">
        <v>34</v>
      </c>
      <c r="J5" s="11" t="s">
        <v>35</v>
      </c>
      <c r="K5" s="9" t="s">
        <v>36</v>
      </c>
      <c r="L5" s="9" t="s">
        <v>37</v>
      </c>
      <c r="M5" s="9" t="s">
        <v>38</v>
      </c>
      <c r="N5" s="9" t="s">
        <v>39</v>
      </c>
      <c r="O5" s="9" t="s">
        <v>40</v>
      </c>
      <c r="P5" s="9" t="s">
        <v>41</v>
      </c>
      <c r="Q5" s="12" t="s">
        <v>42</v>
      </c>
      <c r="R5" s="9" t="s">
        <v>42</v>
      </c>
      <c r="S5" s="9" t="s">
        <v>43</v>
      </c>
      <c r="T5" s="9" t="s">
        <v>44</v>
      </c>
      <c r="U5" s="9" t="s">
        <v>45</v>
      </c>
      <c r="V5" s="3"/>
      <c r="W5" s="9" t="s">
        <v>46</v>
      </c>
      <c r="X5" s="9" t="s">
        <v>47</v>
      </c>
      <c r="Y5" s="9"/>
    </row>
    <row r="6" spans="1:25" hidden="1" x14ac:dyDescent="0.25">
      <c r="A6" s="13">
        <v>1</v>
      </c>
      <c r="B6" s="14">
        <v>97</v>
      </c>
      <c r="C6" s="15" t="s">
        <v>48</v>
      </c>
      <c r="D6" s="16" t="s">
        <v>49</v>
      </c>
      <c r="E6" s="17" t="s">
        <v>50</v>
      </c>
      <c r="F6" s="18" t="s">
        <v>51</v>
      </c>
      <c r="G6" s="19">
        <v>78544323</v>
      </c>
      <c r="H6" s="19">
        <v>78544323</v>
      </c>
      <c r="I6" s="19">
        <v>0</v>
      </c>
      <c r="J6" s="20">
        <v>0</v>
      </c>
      <c r="K6" s="19">
        <v>108000000</v>
      </c>
      <c r="L6" s="21">
        <v>0</v>
      </c>
      <c r="M6" s="19">
        <v>6014258</v>
      </c>
      <c r="N6" s="19">
        <v>0</v>
      </c>
      <c r="O6" s="19">
        <v>0</v>
      </c>
      <c r="P6" s="19">
        <v>22822</v>
      </c>
      <c r="Q6" s="19">
        <v>0</v>
      </c>
      <c r="R6" s="22"/>
      <c r="S6" s="19">
        <v>0</v>
      </c>
      <c r="T6" s="19">
        <v>22822</v>
      </c>
      <c r="U6" s="19">
        <v>0</v>
      </c>
      <c r="V6" s="3"/>
      <c r="W6" s="23">
        <v>0</v>
      </c>
      <c r="X6" s="24">
        <v>8512</v>
      </c>
      <c r="Y6" s="24" t="s">
        <v>52</v>
      </c>
    </row>
    <row r="7" spans="1:25" hidden="1" x14ac:dyDescent="0.25">
      <c r="A7" s="13">
        <v>2</v>
      </c>
      <c r="B7" s="14">
        <v>100</v>
      </c>
      <c r="C7" s="15" t="s">
        <v>53</v>
      </c>
      <c r="D7" s="16" t="s">
        <v>54</v>
      </c>
      <c r="E7" s="17" t="s">
        <v>55</v>
      </c>
      <c r="F7" s="18" t="s">
        <v>51</v>
      </c>
      <c r="G7" s="19">
        <v>83938140</v>
      </c>
      <c r="H7" s="19">
        <v>83938140</v>
      </c>
      <c r="I7" s="19">
        <v>0</v>
      </c>
      <c r="J7" s="20">
        <v>0</v>
      </c>
      <c r="K7" s="19">
        <v>108000000</v>
      </c>
      <c r="L7" s="21">
        <v>0</v>
      </c>
      <c r="M7" s="19">
        <v>6709198</v>
      </c>
      <c r="N7" s="19">
        <v>0</v>
      </c>
      <c r="O7" s="19">
        <v>0</v>
      </c>
      <c r="P7" s="19">
        <v>34245</v>
      </c>
      <c r="Q7" s="19">
        <v>0</v>
      </c>
      <c r="R7" s="22"/>
      <c r="S7" s="19">
        <v>0</v>
      </c>
      <c r="T7" s="19">
        <v>34245</v>
      </c>
      <c r="U7" s="19">
        <v>0</v>
      </c>
      <c r="V7" s="3"/>
      <c r="W7" s="23">
        <v>0</v>
      </c>
      <c r="X7" s="24">
        <v>8512</v>
      </c>
      <c r="Y7" s="24" t="s">
        <v>52</v>
      </c>
    </row>
    <row r="8" spans="1:25" hidden="1" x14ac:dyDescent="0.25">
      <c r="A8" s="13">
        <v>3</v>
      </c>
      <c r="B8" s="14">
        <v>115</v>
      </c>
      <c r="C8" s="15" t="s">
        <v>56</v>
      </c>
      <c r="D8" s="16" t="s">
        <v>57</v>
      </c>
      <c r="E8" s="17" t="s">
        <v>58</v>
      </c>
      <c r="F8" s="18" t="s">
        <v>51</v>
      </c>
      <c r="G8" s="19">
        <v>87968214</v>
      </c>
      <c r="H8" s="19">
        <v>87968214</v>
      </c>
      <c r="I8" s="19">
        <v>0</v>
      </c>
      <c r="J8" s="20">
        <v>0</v>
      </c>
      <c r="K8" s="19">
        <v>108000000</v>
      </c>
      <c r="L8" s="21">
        <v>0</v>
      </c>
      <c r="M8" s="19">
        <v>6620246</v>
      </c>
      <c r="N8" s="19">
        <v>0</v>
      </c>
      <c r="O8" s="19">
        <v>0</v>
      </c>
      <c r="P8" s="19">
        <v>43544</v>
      </c>
      <c r="Q8" s="19">
        <v>0</v>
      </c>
      <c r="R8" s="22"/>
      <c r="S8" s="19">
        <v>0</v>
      </c>
      <c r="T8" s="19">
        <v>43544</v>
      </c>
      <c r="U8" s="19">
        <v>0</v>
      </c>
      <c r="V8" s="3"/>
      <c r="W8" s="23">
        <v>0</v>
      </c>
      <c r="X8" s="24">
        <v>8511</v>
      </c>
      <c r="Y8" s="24" t="s">
        <v>52</v>
      </c>
    </row>
    <row r="9" spans="1:25" hidden="1" x14ac:dyDescent="0.25">
      <c r="A9" s="13">
        <v>4</v>
      </c>
      <c r="B9" s="14">
        <v>124</v>
      </c>
      <c r="C9" s="15" t="s">
        <v>59</v>
      </c>
      <c r="D9" s="16" t="s">
        <v>60</v>
      </c>
      <c r="E9" s="17" t="s">
        <v>61</v>
      </c>
      <c r="F9" s="18" t="s">
        <v>51</v>
      </c>
      <c r="G9" s="19">
        <v>91615683</v>
      </c>
      <c r="H9" s="19">
        <v>91615683</v>
      </c>
      <c r="I9" s="19">
        <v>0</v>
      </c>
      <c r="J9" s="20">
        <v>0</v>
      </c>
      <c r="K9" s="19">
        <v>108000000</v>
      </c>
      <c r="L9" s="21">
        <v>0</v>
      </c>
      <c r="M9" s="19">
        <v>7111287</v>
      </c>
      <c r="N9" s="19">
        <v>0</v>
      </c>
      <c r="O9" s="19">
        <v>0</v>
      </c>
      <c r="P9" s="19">
        <v>50456</v>
      </c>
      <c r="Q9" s="19">
        <v>0</v>
      </c>
      <c r="R9" s="22"/>
      <c r="S9" s="19">
        <v>0</v>
      </c>
      <c r="T9" s="19">
        <v>50456</v>
      </c>
      <c r="U9" s="19">
        <v>0</v>
      </c>
      <c r="V9" s="3"/>
      <c r="W9" s="23">
        <v>0</v>
      </c>
      <c r="X9" s="24">
        <v>8511</v>
      </c>
      <c r="Y9" s="24" t="s">
        <v>62</v>
      </c>
    </row>
    <row r="10" spans="1:25" hidden="1" x14ac:dyDescent="0.25">
      <c r="A10" s="13">
        <v>5</v>
      </c>
      <c r="B10" s="14">
        <v>127</v>
      </c>
      <c r="C10" s="15" t="s">
        <v>63</v>
      </c>
      <c r="D10" s="16" t="s">
        <v>64</v>
      </c>
      <c r="E10" s="17" t="s">
        <v>65</v>
      </c>
      <c r="F10" s="18" t="s">
        <v>51</v>
      </c>
      <c r="G10" s="19">
        <v>94101422</v>
      </c>
      <c r="H10" s="19">
        <v>94101422</v>
      </c>
      <c r="I10" s="19">
        <v>0</v>
      </c>
      <c r="J10" s="20">
        <v>0</v>
      </c>
      <c r="K10" s="19">
        <v>108000000</v>
      </c>
      <c r="L10" s="21">
        <v>0</v>
      </c>
      <c r="M10" s="19">
        <v>7391464</v>
      </c>
      <c r="N10" s="19">
        <v>0</v>
      </c>
      <c r="O10" s="19">
        <v>0</v>
      </c>
      <c r="P10" s="19">
        <v>40350</v>
      </c>
      <c r="Q10" s="19">
        <v>0</v>
      </c>
      <c r="R10" s="22"/>
      <c r="S10" s="19">
        <v>0</v>
      </c>
      <c r="T10" s="19">
        <v>40350</v>
      </c>
      <c r="U10" s="19">
        <v>0</v>
      </c>
      <c r="V10" s="3"/>
      <c r="W10" s="23">
        <v>0</v>
      </c>
      <c r="X10" s="24">
        <v>8511</v>
      </c>
      <c r="Y10" s="24" t="s">
        <v>62</v>
      </c>
    </row>
    <row r="11" spans="1:25" hidden="1" x14ac:dyDescent="0.25">
      <c r="A11" s="13">
        <v>6</v>
      </c>
      <c r="B11" s="14">
        <v>132</v>
      </c>
      <c r="C11" s="15" t="s">
        <v>66</v>
      </c>
      <c r="D11" s="16" t="s">
        <v>67</v>
      </c>
      <c r="E11" s="17" t="s">
        <v>68</v>
      </c>
      <c r="F11" s="18" t="s">
        <v>51</v>
      </c>
      <c r="G11" s="19">
        <v>83016036</v>
      </c>
      <c r="H11" s="19">
        <v>83016036</v>
      </c>
      <c r="I11" s="19">
        <v>0</v>
      </c>
      <c r="J11" s="20">
        <v>0</v>
      </c>
      <c r="K11" s="19">
        <v>108000000</v>
      </c>
      <c r="L11" s="21">
        <v>0</v>
      </c>
      <c r="M11" s="19">
        <v>6620246</v>
      </c>
      <c r="N11" s="19">
        <v>0</v>
      </c>
      <c r="O11" s="19">
        <v>0</v>
      </c>
      <c r="P11" s="19">
        <v>32690</v>
      </c>
      <c r="Q11" s="19">
        <v>0</v>
      </c>
      <c r="R11" s="22"/>
      <c r="S11" s="19">
        <v>0</v>
      </c>
      <c r="T11" s="19">
        <v>32690</v>
      </c>
      <c r="U11" s="19">
        <v>0</v>
      </c>
      <c r="V11" s="3"/>
      <c r="W11" s="23">
        <v>0</v>
      </c>
      <c r="X11" s="24">
        <v>8512</v>
      </c>
      <c r="Y11" s="24" t="s">
        <v>52</v>
      </c>
    </row>
    <row r="12" spans="1:25" x14ac:dyDescent="0.25">
      <c r="A12" s="13">
        <v>7</v>
      </c>
      <c r="B12" s="14">
        <v>209</v>
      </c>
      <c r="C12" s="15" t="s">
        <v>69</v>
      </c>
      <c r="D12" s="16" t="s">
        <v>70</v>
      </c>
      <c r="E12" s="17" t="s">
        <v>71</v>
      </c>
      <c r="F12" s="18" t="s">
        <v>51</v>
      </c>
      <c r="G12" s="19">
        <v>78003878</v>
      </c>
      <c r="H12" s="19">
        <v>78003878</v>
      </c>
      <c r="I12" s="19">
        <v>0</v>
      </c>
      <c r="J12" s="20">
        <v>0</v>
      </c>
      <c r="K12" s="19">
        <v>108000000</v>
      </c>
      <c r="L12" s="21">
        <v>0</v>
      </c>
      <c r="M12" s="19">
        <v>6867930</v>
      </c>
      <c r="N12" s="19">
        <v>0</v>
      </c>
      <c r="O12" s="19">
        <v>0</v>
      </c>
      <c r="P12" s="19">
        <v>29576</v>
      </c>
      <c r="Q12" s="19">
        <v>0</v>
      </c>
      <c r="R12" s="22"/>
      <c r="S12" s="19">
        <v>0</v>
      </c>
      <c r="T12" s="19">
        <v>29576</v>
      </c>
      <c r="U12" s="19">
        <v>0</v>
      </c>
      <c r="V12" s="3"/>
      <c r="W12" s="23">
        <v>0</v>
      </c>
      <c r="X12" s="24" t="s">
        <v>72</v>
      </c>
      <c r="Y12" s="24" t="s">
        <v>52</v>
      </c>
    </row>
    <row r="13" spans="1:25" x14ac:dyDescent="0.25">
      <c r="A13" s="13">
        <v>8</v>
      </c>
      <c r="B13" s="14">
        <v>210</v>
      </c>
      <c r="C13" s="15" t="s">
        <v>73</v>
      </c>
      <c r="D13" s="16" t="s">
        <v>74</v>
      </c>
      <c r="E13" s="17" t="s">
        <v>75</v>
      </c>
      <c r="F13" s="18" t="s">
        <v>51</v>
      </c>
      <c r="G13" s="19">
        <v>86560372</v>
      </c>
      <c r="H13" s="19">
        <v>86560372</v>
      </c>
      <c r="I13" s="19">
        <v>0</v>
      </c>
      <c r="J13" s="20">
        <v>0</v>
      </c>
      <c r="K13" s="19">
        <v>108000000</v>
      </c>
      <c r="L13" s="21">
        <v>0</v>
      </c>
      <c r="M13" s="19">
        <v>6709198</v>
      </c>
      <c r="N13" s="19">
        <v>0</v>
      </c>
      <c r="O13" s="19">
        <v>0</v>
      </c>
      <c r="P13" s="19">
        <v>50273</v>
      </c>
      <c r="Q13" s="19">
        <v>0</v>
      </c>
      <c r="R13" s="22"/>
      <c r="S13" s="19">
        <v>0</v>
      </c>
      <c r="T13" s="19">
        <v>50273</v>
      </c>
      <c r="U13" s="19">
        <v>0</v>
      </c>
      <c r="V13" s="3"/>
      <c r="W13" s="23">
        <v>0</v>
      </c>
      <c r="X13" s="24" t="s">
        <v>72</v>
      </c>
      <c r="Y13" s="24" t="s">
        <v>52</v>
      </c>
    </row>
    <row r="14" spans="1:25" x14ac:dyDescent="0.25">
      <c r="A14" s="13">
        <v>9</v>
      </c>
      <c r="B14" s="14">
        <v>233</v>
      </c>
      <c r="C14" s="15" t="s">
        <v>76</v>
      </c>
      <c r="D14" s="16" t="s">
        <v>77</v>
      </c>
      <c r="E14" s="17" t="s">
        <v>78</v>
      </c>
      <c r="F14" s="18" t="s">
        <v>51</v>
      </c>
      <c r="G14" s="19">
        <v>79186487</v>
      </c>
      <c r="H14" s="19">
        <v>79186487</v>
      </c>
      <c r="I14" s="19">
        <v>0</v>
      </c>
      <c r="J14" s="20">
        <v>0</v>
      </c>
      <c r="K14" s="19">
        <v>108000000</v>
      </c>
      <c r="L14" s="21">
        <v>0</v>
      </c>
      <c r="M14" s="19">
        <v>6093839</v>
      </c>
      <c r="N14" s="19">
        <v>0</v>
      </c>
      <c r="O14" s="19">
        <v>0</v>
      </c>
      <c r="P14" s="19">
        <v>19143</v>
      </c>
      <c r="Q14" s="19">
        <v>0</v>
      </c>
      <c r="R14" s="22"/>
      <c r="S14" s="19">
        <v>0</v>
      </c>
      <c r="T14" s="19">
        <v>19143</v>
      </c>
      <c r="U14" s="19">
        <v>0</v>
      </c>
      <c r="V14" s="3"/>
      <c r="W14" s="23">
        <v>0</v>
      </c>
      <c r="X14" s="24" t="s">
        <v>72</v>
      </c>
      <c r="Y14" s="24" t="s">
        <v>52</v>
      </c>
    </row>
    <row r="15" spans="1:25" x14ac:dyDescent="0.25">
      <c r="A15" s="13">
        <v>10</v>
      </c>
      <c r="B15" s="14">
        <v>235</v>
      </c>
      <c r="C15" s="15" t="s">
        <v>79</v>
      </c>
      <c r="D15" s="16" t="s">
        <v>80</v>
      </c>
      <c r="E15" s="17" t="s">
        <v>81</v>
      </c>
      <c r="F15" s="18" t="s">
        <v>51</v>
      </c>
      <c r="G15" s="19">
        <v>83010945</v>
      </c>
      <c r="H15" s="19">
        <v>83010945</v>
      </c>
      <c r="I15" s="19">
        <v>0</v>
      </c>
      <c r="J15" s="20">
        <v>0</v>
      </c>
      <c r="K15" s="19">
        <v>108000000</v>
      </c>
      <c r="L15" s="21">
        <v>0</v>
      </c>
      <c r="M15" s="19">
        <v>6575771</v>
      </c>
      <c r="N15" s="19">
        <v>0</v>
      </c>
      <c r="O15" s="19">
        <v>0</v>
      </c>
      <c r="P15" s="19">
        <v>22124</v>
      </c>
      <c r="Q15" s="19">
        <v>0</v>
      </c>
      <c r="R15" s="22"/>
      <c r="S15" s="19">
        <v>0</v>
      </c>
      <c r="T15" s="19">
        <v>22124</v>
      </c>
      <c r="U15" s="19">
        <v>0</v>
      </c>
      <c r="V15" s="3"/>
      <c r="W15" s="23">
        <v>0</v>
      </c>
      <c r="X15" s="24" t="s">
        <v>72</v>
      </c>
      <c r="Y15" s="24" t="s">
        <v>52</v>
      </c>
    </row>
    <row r="16" spans="1:25" hidden="1" x14ac:dyDescent="0.25">
      <c r="A16" s="13">
        <v>11</v>
      </c>
      <c r="B16" s="14">
        <v>237</v>
      </c>
      <c r="C16" s="15" t="s">
        <v>82</v>
      </c>
      <c r="D16" s="16" t="s">
        <v>83</v>
      </c>
      <c r="E16" s="17" t="s">
        <v>84</v>
      </c>
      <c r="F16" s="18" t="s">
        <v>51</v>
      </c>
      <c r="G16" s="19">
        <v>75145542</v>
      </c>
      <c r="H16" s="19">
        <v>75145542</v>
      </c>
      <c r="I16" s="19">
        <v>0</v>
      </c>
      <c r="J16" s="20">
        <v>0</v>
      </c>
      <c r="K16" s="19">
        <v>108000000</v>
      </c>
      <c r="L16" s="21">
        <v>0</v>
      </c>
      <c r="M16" s="19">
        <v>6060154</v>
      </c>
      <c r="N16" s="19">
        <v>0</v>
      </c>
      <c r="O16" s="19">
        <v>0</v>
      </c>
      <c r="P16" s="19">
        <v>25604</v>
      </c>
      <c r="Q16" s="19">
        <v>0</v>
      </c>
      <c r="R16" s="22"/>
      <c r="S16" s="19">
        <v>0</v>
      </c>
      <c r="T16" s="19">
        <v>25604</v>
      </c>
      <c r="U16" s="19">
        <v>0</v>
      </c>
      <c r="V16" s="3"/>
      <c r="W16" s="23">
        <v>0</v>
      </c>
      <c r="X16" s="24">
        <v>8512</v>
      </c>
      <c r="Y16" s="24" t="s">
        <v>52</v>
      </c>
    </row>
    <row r="17" spans="1:25" x14ac:dyDescent="0.25">
      <c r="A17" s="13">
        <v>12</v>
      </c>
      <c r="B17" s="14">
        <v>244</v>
      </c>
      <c r="C17" s="15" t="s">
        <v>85</v>
      </c>
      <c r="D17" s="16" t="s">
        <v>86</v>
      </c>
      <c r="E17" s="17" t="s">
        <v>87</v>
      </c>
      <c r="F17" s="18" t="s">
        <v>51</v>
      </c>
      <c r="G17" s="19">
        <v>86914117</v>
      </c>
      <c r="H17" s="19">
        <v>86914117</v>
      </c>
      <c r="I17" s="19">
        <v>0</v>
      </c>
      <c r="J17" s="20">
        <v>0</v>
      </c>
      <c r="K17" s="19">
        <v>108000000</v>
      </c>
      <c r="L17" s="21">
        <v>0</v>
      </c>
      <c r="M17" s="19">
        <v>6664726</v>
      </c>
      <c r="N17" s="19">
        <v>0</v>
      </c>
      <c r="O17" s="19">
        <v>0</v>
      </c>
      <c r="P17" s="19">
        <v>14510</v>
      </c>
      <c r="Q17" s="19">
        <v>0</v>
      </c>
      <c r="R17" s="22"/>
      <c r="S17" s="19">
        <v>0</v>
      </c>
      <c r="T17" s="19">
        <v>14510</v>
      </c>
      <c r="U17" s="19">
        <v>0</v>
      </c>
      <c r="V17" s="3"/>
      <c r="W17" s="23">
        <v>0</v>
      </c>
      <c r="X17" s="24" t="s">
        <v>72</v>
      </c>
      <c r="Y17" s="24" t="s">
        <v>52</v>
      </c>
    </row>
    <row r="18" spans="1:25" hidden="1" x14ac:dyDescent="0.25">
      <c r="A18" s="13">
        <v>13</v>
      </c>
      <c r="B18" s="14">
        <v>247</v>
      </c>
      <c r="C18" s="15" t="s">
        <v>88</v>
      </c>
      <c r="D18" s="16" t="s">
        <v>89</v>
      </c>
      <c r="E18" s="17" t="s">
        <v>90</v>
      </c>
      <c r="F18" s="18" t="s">
        <v>51</v>
      </c>
      <c r="G18" s="19">
        <v>78808131</v>
      </c>
      <c r="H18" s="19">
        <v>78808131</v>
      </c>
      <c r="I18" s="19">
        <v>0</v>
      </c>
      <c r="J18" s="20">
        <v>0</v>
      </c>
      <c r="K18" s="19">
        <v>108000000</v>
      </c>
      <c r="L18" s="21">
        <v>0</v>
      </c>
      <c r="M18" s="19">
        <v>6575771</v>
      </c>
      <c r="N18" s="19">
        <v>0</v>
      </c>
      <c r="O18" s="19">
        <v>0</v>
      </c>
      <c r="P18" s="19">
        <v>12912</v>
      </c>
      <c r="Q18" s="19">
        <v>0</v>
      </c>
      <c r="R18" s="22"/>
      <c r="S18" s="19">
        <v>0</v>
      </c>
      <c r="T18" s="19">
        <v>12912</v>
      </c>
      <c r="U18" s="19">
        <v>0</v>
      </c>
      <c r="V18" s="3"/>
      <c r="W18" s="23">
        <v>0</v>
      </c>
      <c r="X18" s="24">
        <v>8511</v>
      </c>
      <c r="Y18" s="24" t="s">
        <v>52</v>
      </c>
    </row>
    <row r="19" spans="1:25" hidden="1" x14ac:dyDescent="0.25">
      <c r="A19" s="13">
        <v>14</v>
      </c>
      <c r="B19" s="14">
        <v>248</v>
      </c>
      <c r="C19" s="15" t="s">
        <v>91</v>
      </c>
      <c r="D19" s="16" t="s">
        <v>92</v>
      </c>
      <c r="E19" s="17" t="s">
        <v>93</v>
      </c>
      <c r="F19" s="18" t="s">
        <v>51</v>
      </c>
      <c r="G19" s="19">
        <v>78906854</v>
      </c>
      <c r="H19" s="19">
        <v>78906854</v>
      </c>
      <c r="I19" s="19">
        <v>0</v>
      </c>
      <c r="J19" s="20">
        <v>0</v>
      </c>
      <c r="K19" s="19">
        <v>108000000</v>
      </c>
      <c r="L19" s="21">
        <v>0</v>
      </c>
      <c r="M19" s="19">
        <v>6154871</v>
      </c>
      <c r="N19" s="19">
        <v>0</v>
      </c>
      <c r="O19" s="19">
        <v>0</v>
      </c>
      <c r="P19" s="19">
        <v>25286</v>
      </c>
      <c r="Q19" s="19">
        <v>0</v>
      </c>
      <c r="R19" s="22"/>
      <c r="S19" s="19">
        <v>0</v>
      </c>
      <c r="T19" s="19">
        <v>25286</v>
      </c>
      <c r="U19" s="19">
        <v>0</v>
      </c>
      <c r="V19" s="3"/>
      <c r="W19" s="23">
        <v>0</v>
      </c>
      <c r="X19" s="24">
        <v>8511</v>
      </c>
      <c r="Y19" s="24" t="s">
        <v>52</v>
      </c>
    </row>
    <row r="20" spans="1:25" hidden="1" x14ac:dyDescent="0.25">
      <c r="A20" s="13">
        <v>15</v>
      </c>
      <c r="B20" s="14">
        <v>250</v>
      </c>
      <c r="C20" s="15" t="s">
        <v>94</v>
      </c>
      <c r="D20" s="16" t="s">
        <v>95</v>
      </c>
      <c r="E20" s="17" t="s">
        <v>96</v>
      </c>
      <c r="F20" s="18" t="s">
        <v>51</v>
      </c>
      <c r="G20" s="19">
        <v>79912922</v>
      </c>
      <c r="H20" s="19">
        <v>79912922</v>
      </c>
      <c r="I20" s="19">
        <v>0</v>
      </c>
      <c r="J20" s="20">
        <v>0</v>
      </c>
      <c r="K20" s="19">
        <v>108000000</v>
      </c>
      <c r="L20" s="21">
        <v>0</v>
      </c>
      <c r="M20" s="19">
        <v>6575771</v>
      </c>
      <c r="N20" s="19">
        <v>0</v>
      </c>
      <c r="O20" s="19">
        <v>0</v>
      </c>
      <c r="P20" s="19">
        <v>10445</v>
      </c>
      <c r="Q20" s="19">
        <v>0</v>
      </c>
      <c r="R20" s="22"/>
      <c r="S20" s="19">
        <v>0</v>
      </c>
      <c r="T20" s="19">
        <v>10445</v>
      </c>
      <c r="U20" s="19">
        <v>0</v>
      </c>
      <c r="V20" s="3"/>
      <c r="W20" s="23">
        <v>0</v>
      </c>
      <c r="X20" s="24">
        <v>8511</v>
      </c>
      <c r="Y20" s="24" t="s">
        <v>52</v>
      </c>
    </row>
    <row r="21" spans="1:25" hidden="1" x14ac:dyDescent="0.25">
      <c r="A21" s="13">
        <v>16</v>
      </c>
      <c r="B21" s="14">
        <v>254</v>
      </c>
      <c r="C21" s="15" t="s">
        <v>97</v>
      </c>
      <c r="D21" s="16" t="s">
        <v>98</v>
      </c>
      <c r="E21" s="17" t="s">
        <v>99</v>
      </c>
      <c r="F21" s="18" t="s">
        <v>51</v>
      </c>
      <c r="G21" s="19">
        <v>81220845</v>
      </c>
      <c r="H21" s="19">
        <v>81220845</v>
      </c>
      <c r="I21" s="19">
        <v>0</v>
      </c>
      <c r="J21" s="20">
        <v>0</v>
      </c>
      <c r="K21" s="19">
        <v>108000000</v>
      </c>
      <c r="L21" s="21">
        <v>0</v>
      </c>
      <c r="M21" s="19">
        <v>6620246</v>
      </c>
      <c r="N21" s="19">
        <v>0</v>
      </c>
      <c r="O21" s="19">
        <v>0</v>
      </c>
      <c r="P21" s="19">
        <v>15961</v>
      </c>
      <c r="Q21" s="19">
        <v>0</v>
      </c>
      <c r="R21" s="22"/>
      <c r="S21" s="19">
        <v>0</v>
      </c>
      <c r="T21" s="19">
        <v>15961</v>
      </c>
      <c r="U21" s="19">
        <v>0</v>
      </c>
      <c r="V21" s="3"/>
      <c r="W21" s="23">
        <v>0</v>
      </c>
      <c r="X21" s="24">
        <v>8512</v>
      </c>
      <c r="Y21" s="24" t="s">
        <v>52</v>
      </c>
    </row>
    <row r="22" spans="1:25" hidden="1" x14ac:dyDescent="0.25">
      <c r="A22" s="13">
        <v>17</v>
      </c>
      <c r="B22" s="14">
        <v>265</v>
      </c>
      <c r="C22" s="15" t="s">
        <v>100</v>
      </c>
      <c r="D22" s="16" t="s">
        <v>101</v>
      </c>
      <c r="E22" s="17" t="s">
        <v>102</v>
      </c>
      <c r="F22" s="18" t="s">
        <v>51</v>
      </c>
      <c r="G22" s="19">
        <v>82758168</v>
      </c>
      <c r="H22" s="19">
        <v>82758168</v>
      </c>
      <c r="I22" s="19">
        <v>0</v>
      </c>
      <c r="J22" s="20">
        <v>0</v>
      </c>
      <c r="K22" s="19">
        <v>108000000</v>
      </c>
      <c r="L22" s="21">
        <v>0</v>
      </c>
      <c r="M22" s="19">
        <v>6575771</v>
      </c>
      <c r="N22" s="19">
        <v>0</v>
      </c>
      <c r="O22" s="19">
        <v>0</v>
      </c>
      <c r="P22" s="19">
        <v>26848</v>
      </c>
      <c r="Q22" s="19">
        <v>0</v>
      </c>
      <c r="R22" s="22"/>
      <c r="S22" s="19">
        <v>0</v>
      </c>
      <c r="T22" s="19">
        <v>26848</v>
      </c>
      <c r="U22" s="19">
        <v>0</v>
      </c>
      <c r="V22" s="3"/>
      <c r="W22" s="23">
        <v>0</v>
      </c>
      <c r="X22" s="24">
        <v>8512</v>
      </c>
      <c r="Y22" s="24" t="s">
        <v>52</v>
      </c>
    </row>
    <row r="23" spans="1:25" hidden="1" x14ac:dyDescent="0.25">
      <c r="A23" s="13">
        <v>18</v>
      </c>
      <c r="B23" s="14">
        <v>271</v>
      </c>
      <c r="C23" s="15" t="s">
        <v>103</v>
      </c>
      <c r="D23" s="16" t="s">
        <v>104</v>
      </c>
      <c r="E23" s="17" t="s">
        <v>105</v>
      </c>
      <c r="F23" s="18" t="s">
        <v>51</v>
      </c>
      <c r="G23" s="19">
        <v>89223134</v>
      </c>
      <c r="H23" s="19">
        <v>89223134</v>
      </c>
      <c r="I23" s="19">
        <v>0</v>
      </c>
      <c r="J23" s="20">
        <v>0</v>
      </c>
      <c r="K23" s="19">
        <v>108000000</v>
      </c>
      <c r="L23" s="21">
        <v>0</v>
      </c>
      <c r="M23" s="19">
        <v>6982601</v>
      </c>
      <c r="N23" s="19">
        <v>0</v>
      </c>
      <c r="O23" s="19">
        <v>0</v>
      </c>
      <c r="P23" s="19">
        <v>42726</v>
      </c>
      <c r="Q23" s="19">
        <v>0</v>
      </c>
      <c r="R23" s="22"/>
      <c r="S23" s="19">
        <v>0</v>
      </c>
      <c r="T23" s="19">
        <v>42726</v>
      </c>
      <c r="U23" s="19">
        <v>0</v>
      </c>
      <c r="V23" s="3"/>
      <c r="W23" s="23">
        <v>0</v>
      </c>
      <c r="X23" s="24">
        <v>8511</v>
      </c>
      <c r="Y23" s="24" t="s">
        <v>62</v>
      </c>
    </row>
    <row r="24" spans="1:25" x14ac:dyDescent="0.25">
      <c r="A24" s="13">
        <v>19</v>
      </c>
      <c r="B24" s="14">
        <v>272</v>
      </c>
      <c r="C24" s="15" t="s">
        <v>106</v>
      </c>
      <c r="D24" s="16" t="s">
        <v>107</v>
      </c>
      <c r="E24" s="17" t="s">
        <v>108</v>
      </c>
      <c r="F24" s="18" t="s">
        <v>51</v>
      </c>
      <c r="G24" s="19">
        <v>88110660</v>
      </c>
      <c r="H24" s="19">
        <v>88110660</v>
      </c>
      <c r="I24" s="19">
        <v>0</v>
      </c>
      <c r="J24" s="20">
        <v>0</v>
      </c>
      <c r="K24" s="19">
        <v>108000000</v>
      </c>
      <c r="L24" s="21">
        <v>0</v>
      </c>
      <c r="M24" s="19">
        <v>7099566</v>
      </c>
      <c r="N24" s="19">
        <v>0</v>
      </c>
      <c r="O24" s="19">
        <v>0</v>
      </c>
      <c r="P24" s="19">
        <v>33007</v>
      </c>
      <c r="Q24" s="19">
        <v>0</v>
      </c>
      <c r="R24" s="22"/>
      <c r="S24" s="19">
        <v>0</v>
      </c>
      <c r="T24" s="19">
        <v>33007</v>
      </c>
      <c r="U24" s="19">
        <v>0</v>
      </c>
      <c r="V24" s="3"/>
      <c r="W24" s="23">
        <v>0</v>
      </c>
      <c r="X24" s="24" t="s">
        <v>72</v>
      </c>
      <c r="Y24" s="24" t="s">
        <v>62</v>
      </c>
    </row>
    <row r="25" spans="1:25" hidden="1" x14ac:dyDescent="0.25">
      <c r="A25" s="13">
        <v>20</v>
      </c>
      <c r="B25" s="14">
        <v>274</v>
      </c>
      <c r="C25" s="15" t="s">
        <v>109</v>
      </c>
      <c r="D25" s="16" t="s">
        <v>110</v>
      </c>
      <c r="E25" s="17" t="s">
        <v>111</v>
      </c>
      <c r="F25" s="18" t="s">
        <v>51</v>
      </c>
      <c r="G25" s="19">
        <v>81189001</v>
      </c>
      <c r="H25" s="19">
        <v>81189001</v>
      </c>
      <c r="I25" s="19">
        <v>0</v>
      </c>
      <c r="J25" s="20">
        <v>0</v>
      </c>
      <c r="K25" s="19">
        <v>108000000</v>
      </c>
      <c r="L25" s="21">
        <v>0</v>
      </c>
      <c r="M25" s="19">
        <v>6575771</v>
      </c>
      <c r="N25" s="19">
        <v>0</v>
      </c>
      <c r="O25" s="19">
        <v>0</v>
      </c>
      <c r="P25" s="19">
        <v>34832</v>
      </c>
      <c r="Q25" s="19">
        <v>0</v>
      </c>
      <c r="R25" s="22"/>
      <c r="S25" s="19">
        <v>0</v>
      </c>
      <c r="T25" s="19">
        <v>34832</v>
      </c>
      <c r="U25" s="19">
        <v>0</v>
      </c>
      <c r="V25" s="3"/>
      <c r="W25" s="23">
        <v>0</v>
      </c>
      <c r="X25" s="24">
        <v>8512</v>
      </c>
      <c r="Y25" s="24" t="s">
        <v>52</v>
      </c>
    </row>
    <row r="26" spans="1:25" hidden="1" x14ac:dyDescent="0.25">
      <c r="A26" s="13">
        <v>21</v>
      </c>
      <c r="B26" s="14">
        <v>276</v>
      </c>
      <c r="C26" s="15" t="s">
        <v>112</v>
      </c>
      <c r="D26" s="16" t="s">
        <v>113</v>
      </c>
      <c r="E26" s="17" t="s">
        <v>114</v>
      </c>
      <c r="F26" s="18" t="s">
        <v>51</v>
      </c>
      <c r="G26" s="19">
        <v>87870385</v>
      </c>
      <c r="H26" s="19">
        <v>87870385</v>
      </c>
      <c r="I26" s="19">
        <v>0</v>
      </c>
      <c r="J26" s="20">
        <v>0</v>
      </c>
      <c r="K26" s="19">
        <v>108000000</v>
      </c>
      <c r="L26" s="21">
        <v>0</v>
      </c>
      <c r="M26" s="19">
        <v>6756350</v>
      </c>
      <c r="N26" s="19">
        <v>0</v>
      </c>
      <c r="O26" s="19">
        <v>0</v>
      </c>
      <c r="P26" s="19">
        <v>36470</v>
      </c>
      <c r="Q26" s="19">
        <v>0</v>
      </c>
      <c r="R26" s="22"/>
      <c r="S26" s="19">
        <v>0</v>
      </c>
      <c r="T26" s="19">
        <v>36470</v>
      </c>
      <c r="U26" s="19">
        <v>0</v>
      </c>
      <c r="V26" s="3"/>
      <c r="W26" s="23">
        <v>0</v>
      </c>
      <c r="X26" s="24">
        <v>8512</v>
      </c>
      <c r="Y26" s="24" t="s">
        <v>52</v>
      </c>
    </row>
    <row r="27" spans="1:25" hidden="1" x14ac:dyDescent="0.25">
      <c r="A27" s="13">
        <v>22</v>
      </c>
      <c r="B27" s="14">
        <v>282</v>
      </c>
      <c r="C27" s="15" t="s">
        <v>115</v>
      </c>
      <c r="D27" s="16" t="s">
        <v>116</v>
      </c>
      <c r="E27" s="17" t="s">
        <v>117</v>
      </c>
      <c r="F27" s="18" t="s">
        <v>51</v>
      </c>
      <c r="G27" s="19">
        <v>76266263</v>
      </c>
      <c r="H27" s="19">
        <v>76266263</v>
      </c>
      <c r="I27" s="19">
        <v>0</v>
      </c>
      <c r="J27" s="20">
        <v>0</v>
      </c>
      <c r="K27" s="19">
        <v>108000000</v>
      </c>
      <c r="L27" s="21">
        <v>0</v>
      </c>
      <c r="M27" s="19">
        <v>6372877</v>
      </c>
      <c r="N27" s="19">
        <v>0</v>
      </c>
      <c r="O27" s="19">
        <v>0</v>
      </c>
      <c r="P27" s="19">
        <v>19546</v>
      </c>
      <c r="Q27" s="19">
        <v>0</v>
      </c>
      <c r="R27" s="22"/>
      <c r="S27" s="19">
        <v>0</v>
      </c>
      <c r="T27" s="19">
        <v>19546</v>
      </c>
      <c r="U27" s="19">
        <v>0</v>
      </c>
      <c r="V27" s="3"/>
      <c r="W27" s="23">
        <v>0</v>
      </c>
      <c r="X27" s="24">
        <v>8511</v>
      </c>
      <c r="Y27" s="24" t="s">
        <v>52</v>
      </c>
    </row>
    <row r="28" spans="1:25" hidden="1" x14ac:dyDescent="0.25">
      <c r="A28" s="13">
        <v>23</v>
      </c>
      <c r="B28" s="14">
        <v>283</v>
      </c>
      <c r="C28" s="15" t="s">
        <v>118</v>
      </c>
      <c r="D28" s="16" t="s">
        <v>119</v>
      </c>
      <c r="E28" s="17" t="s">
        <v>120</v>
      </c>
      <c r="F28" s="18" t="s">
        <v>51</v>
      </c>
      <c r="G28" s="19">
        <v>85912162</v>
      </c>
      <c r="H28" s="19">
        <v>85912162</v>
      </c>
      <c r="I28" s="19">
        <v>0</v>
      </c>
      <c r="J28" s="20">
        <v>0</v>
      </c>
      <c r="K28" s="19">
        <v>108000000</v>
      </c>
      <c r="L28" s="21">
        <v>0</v>
      </c>
      <c r="M28" s="19">
        <v>6734639</v>
      </c>
      <c r="N28" s="19">
        <v>0</v>
      </c>
      <c r="O28" s="19">
        <v>0</v>
      </c>
      <c r="P28" s="19">
        <v>39215</v>
      </c>
      <c r="Q28" s="19">
        <v>0</v>
      </c>
      <c r="R28" s="22"/>
      <c r="S28" s="19">
        <v>0</v>
      </c>
      <c r="T28" s="19">
        <v>39215</v>
      </c>
      <c r="U28" s="19">
        <v>0</v>
      </c>
      <c r="V28" s="3"/>
      <c r="W28" s="23">
        <v>0</v>
      </c>
      <c r="X28" s="24">
        <v>8511</v>
      </c>
      <c r="Y28" s="24" t="s">
        <v>52</v>
      </c>
    </row>
    <row r="29" spans="1:25" x14ac:dyDescent="0.25">
      <c r="A29" s="13">
        <v>24</v>
      </c>
      <c r="B29" s="14">
        <v>285</v>
      </c>
      <c r="C29" s="15" t="s">
        <v>121</v>
      </c>
      <c r="D29" s="16" t="s">
        <v>122</v>
      </c>
      <c r="E29" s="17" t="s">
        <v>123</v>
      </c>
      <c r="F29" s="18" t="s">
        <v>51</v>
      </c>
      <c r="G29" s="19">
        <v>87277714</v>
      </c>
      <c r="H29" s="19">
        <v>87277714</v>
      </c>
      <c r="I29" s="19">
        <v>0</v>
      </c>
      <c r="J29" s="20">
        <v>0</v>
      </c>
      <c r="K29" s="19">
        <v>108000000</v>
      </c>
      <c r="L29" s="21">
        <v>0</v>
      </c>
      <c r="M29" s="19">
        <v>6620246</v>
      </c>
      <c r="N29" s="19">
        <v>0</v>
      </c>
      <c r="O29" s="19">
        <v>0</v>
      </c>
      <c r="P29" s="19">
        <v>23232</v>
      </c>
      <c r="Q29" s="19">
        <v>0</v>
      </c>
      <c r="R29" s="22"/>
      <c r="S29" s="19">
        <v>0</v>
      </c>
      <c r="T29" s="19">
        <v>23232</v>
      </c>
      <c r="U29" s="19">
        <v>0</v>
      </c>
      <c r="V29" s="3"/>
      <c r="W29" s="23">
        <v>0</v>
      </c>
      <c r="X29" s="24" t="s">
        <v>72</v>
      </c>
      <c r="Y29" s="24" t="s">
        <v>52</v>
      </c>
    </row>
    <row r="30" spans="1:25" x14ac:dyDescent="0.25">
      <c r="A30" s="13">
        <v>25</v>
      </c>
      <c r="B30" s="14">
        <v>289</v>
      </c>
      <c r="C30" s="15" t="s">
        <v>124</v>
      </c>
      <c r="D30" s="16" t="s">
        <v>125</v>
      </c>
      <c r="E30" s="17" t="s">
        <v>126</v>
      </c>
      <c r="F30" s="18" t="s">
        <v>51</v>
      </c>
      <c r="G30" s="19">
        <v>79676836</v>
      </c>
      <c r="H30" s="19">
        <v>79676836</v>
      </c>
      <c r="I30" s="19">
        <v>0</v>
      </c>
      <c r="J30" s="20">
        <v>0</v>
      </c>
      <c r="K30" s="19">
        <v>108000000</v>
      </c>
      <c r="L30" s="21">
        <v>0</v>
      </c>
      <c r="M30" s="19">
        <v>6124355</v>
      </c>
      <c r="N30" s="19">
        <v>0</v>
      </c>
      <c r="O30" s="19">
        <v>0</v>
      </c>
      <c r="P30" s="19">
        <v>10924</v>
      </c>
      <c r="Q30" s="19">
        <v>0</v>
      </c>
      <c r="R30" s="22"/>
      <c r="S30" s="19">
        <v>0</v>
      </c>
      <c r="T30" s="19">
        <v>10924</v>
      </c>
      <c r="U30" s="19">
        <v>0</v>
      </c>
      <c r="V30" s="3"/>
      <c r="W30" s="23">
        <v>0</v>
      </c>
      <c r="X30" s="24" t="s">
        <v>72</v>
      </c>
      <c r="Y30" s="24" t="s">
        <v>52</v>
      </c>
    </row>
    <row r="31" spans="1:25" hidden="1" x14ac:dyDescent="0.25">
      <c r="A31" s="13">
        <v>26</v>
      </c>
      <c r="B31" s="14">
        <v>344</v>
      </c>
      <c r="C31" s="15" t="s">
        <v>127</v>
      </c>
      <c r="D31" s="16" t="s">
        <v>128</v>
      </c>
      <c r="E31" s="17" t="s">
        <v>129</v>
      </c>
      <c r="F31" s="18" t="s">
        <v>51</v>
      </c>
      <c r="G31" s="19">
        <v>86617822</v>
      </c>
      <c r="H31" s="19">
        <v>86617822</v>
      </c>
      <c r="I31" s="19">
        <v>0</v>
      </c>
      <c r="J31" s="20">
        <v>0</v>
      </c>
      <c r="K31" s="19">
        <v>108000000</v>
      </c>
      <c r="L31" s="21">
        <v>0</v>
      </c>
      <c r="M31" s="19">
        <v>6664726</v>
      </c>
      <c r="N31" s="19">
        <v>0</v>
      </c>
      <c r="O31" s="19">
        <v>0</v>
      </c>
      <c r="P31" s="19">
        <v>52800</v>
      </c>
      <c r="Q31" s="19">
        <v>0</v>
      </c>
      <c r="R31" s="22"/>
      <c r="S31" s="19">
        <v>0</v>
      </c>
      <c r="T31" s="19">
        <v>52800</v>
      </c>
      <c r="U31" s="19">
        <v>0</v>
      </c>
      <c r="V31" s="3"/>
      <c r="W31" s="23">
        <v>0</v>
      </c>
      <c r="X31" s="24">
        <v>8512</v>
      </c>
      <c r="Y31" s="24" t="s">
        <v>52</v>
      </c>
    </row>
    <row r="32" spans="1:25" x14ac:dyDescent="0.25">
      <c r="A32" s="13">
        <v>27</v>
      </c>
      <c r="B32" s="14">
        <v>356</v>
      </c>
      <c r="C32" s="15" t="s">
        <v>130</v>
      </c>
      <c r="D32" s="16" t="s">
        <v>131</v>
      </c>
      <c r="E32" s="17" t="s">
        <v>132</v>
      </c>
      <c r="F32" s="18" t="s">
        <v>51</v>
      </c>
      <c r="G32" s="19">
        <v>83089398</v>
      </c>
      <c r="H32" s="19">
        <v>83089398</v>
      </c>
      <c r="I32" s="19">
        <v>0</v>
      </c>
      <c r="J32" s="20">
        <v>0</v>
      </c>
      <c r="K32" s="19">
        <v>108000000</v>
      </c>
      <c r="L32" s="21">
        <v>0</v>
      </c>
      <c r="M32" s="19">
        <v>6575771</v>
      </c>
      <c r="N32" s="19">
        <v>0</v>
      </c>
      <c r="O32" s="19">
        <v>0</v>
      </c>
      <c r="P32" s="19">
        <v>23792</v>
      </c>
      <c r="Q32" s="19">
        <v>0</v>
      </c>
      <c r="R32" s="22"/>
      <c r="S32" s="19">
        <v>0</v>
      </c>
      <c r="T32" s="19">
        <v>23792</v>
      </c>
      <c r="U32" s="19">
        <v>0</v>
      </c>
      <c r="V32" s="3"/>
      <c r="W32" s="23">
        <v>0</v>
      </c>
      <c r="X32" s="24" t="s">
        <v>72</v>
      </c>
      <c r="Y32" s="24" t="s">
        <v>52</v>
      </c>
    </row>
    <row r="33" spans="1:25" x14ac:dyDescent="0.25">
      <c r="A33" s="13">
        <v>28</v>
      </c>
      <c r="B33" s="14">
        <v>360</v>
      </c>
      <c r="C33" s="15" t="s">
        <v>133</v>
      </c>
      <c r="D33" s="16" t="s">
        <v>134</v>
      </c>
      <c r="E33" s="17" t="s">
        <v>135</v>
      </c>
      <c r="F33" s="18" t="s">
        <v>51</v>
      </c>
      <c r="G33" s="19">
        <v>89092025</v>
      </c>
      <c r="H33" s="19">
        <v>89092025</v>
      </c>
      <c r="I33" s="19">
        <v>0</v>
      </c>
      <c r="J33" s="20">
        <v>0</v>
      </c>
      <c r="K33" s="19">
        <v>108000000</v>
      </c>
      <c r="L33" s="21">
        <v>0</v>
      </c>
      <c r="M33" s="19">
        <v>6620246</v>
      </c>
      <c r="N33" s="19">
        <v>0</v>
      </c>
      <c r="O33" s="19">
        <v>0</v>
      </c>
      <c r="P33" s="19">
        <v>28466</v>
      </c>
      <c r="Q33" s="19">
        <v>0</v>
      </c>
      <c r="R33" s="22"/>
      <c r="S33" s="19">
        <v>0</v>
      </c>
      <c r="T33" s="19">
        <v>28466</v>
      </c>
      <c r="U33" s="19">
        <v>0</v>
      </c>
      <c r="V33" s="3"/>
      <c r="W33" s="23">
        <v>0</v>
      </c>
      <c r="X33" s="24" t="s">
        <v>72</v>
      </c>
      <c r="Y33" s="24" t="s">
        <v>52</v>
      </c>
    </row>
    <row r="34" spans="1:25" x14ac:dyDescent="0.25">
      <c r="A34" s="13">
        <v>29</v>
      </c>
      <c r="B34" s="14">
        <v>362</v>
      </c>
      <c r="C34" s="15" t="s">
        <v>136</v>
      </c>
      <c r="D34" s="16" t="s">
        <v>137</v>
      </c>
      <c r="E34" s="17" t="s">
        <v>138</v>
      </c>
      <c r="F34" s="18" t="s">
        <v>51</v>
      </c>
      <c r="G34" s="19">
        <v>85528291</v>
      </c>
      <c r="H34" s="19">
        <v>85528291</v>
      </c>
      <c r="I34" s="19">
        <v>0</v>
      </c>
      <c r="J34" s="20">
        <v>0</v>
      </c>
      <c r="K34" s="19">
        <v>108000000</v>
      </c>
      <c r="L34" s="21">
        <v>0</v>
      </c>
      <c r="M34" s="19">
        <v>6664726</v>
      </c>
      <c r="N34" s="19">
        <v>0</v>
      </c>
      <c r="O34" s="19">
        <v>0</v>
      </c>
      <c r="P34" s="19">
        <v>15791</v>
      </c>
      <c r="Q34" s="19">
        <v>0</v>
      </c>
      <c r="R34" s="22"/>
      <c r="S34" s="19">
        <v>0</v>
      </c>
      <c r="T34" s="19">
        <v>15791</v>
      </c>
      <c r="U34" s="19">
        <v>0</v>
      </c>
      <c r="V34" s="3"/>
      <c r="W34" s="23">
        <v>0</v>
      </c>
      <c r="X34" s="24" t="s">
        <v>72</v>
      </c>
      <c r="Y34" s="24" t="s">
        <v>52</v>
      </c>
    </row>
    <row r="35" spans="1:25" hidden="1" x14ac:dyDescent="0.25">
      <c r="A35" s="13">
        <v>30</v>
      </c>
      <c r="B35" s="14">
        <v>376</v>
      </c>
      <c r="C35" s="15" t="s">
        <v>139</v>
      </c>
      <c r="D35" s="16" t="s">
        <v>140</v>
      </c>
      <c r="E35" s="17" t="s">
        <v>141</v>
      </c>
      <c r="F35" s="18" t="s">
        <v>51</v>
      </c>
      <c r="G35" s="19">
        <v>84796472</v>
      </c>
      <c r="H35" s="19">
        <v>84796472</v>
      </c>
      <c r="I35" s="19">
        <v>0</v>
      </c>
      <c r="J35" s="20">
        <v>0</v>
      </c>
      <c r="K35" s="19">
        <v>108000000</v>
      </c>
      <c r="L35" s="21">
        <v>0</v>
      </c>
      <c r="M35" s="19">
        <v>6575771</v>
      </c>
      <c r="N35" s="19">
        <v>0</v>
      </c>
      <c r="O35" s="19">
        <v>0</v>
      </c>
      <c r="P35" s="19">
        <v>24898</v>
      </c>
      <c r="Q35" s="19">
        <v>0</v>
      </c>
      <c r="R35" s="22"/>
      <c r="S35" s="19">
        <v>0</v>
      </c>
      <c r="T35" s="19">
        <v>24898</v>
      </c>
      <c r="U35" s="19">
        <v>0</v>
      </c>
      <c r="V35" s="3"/>
      <c r="W35" s="23">
        <v>0</v>
      </c>
      <c r="X35" s="24">
        <v>8511</v>
      </c>
      <c r="Y35" s="24" t="s">
        <v>52</v>
      </c>
    </row>
    <row r="36" spans="1:25" hidden="1" x14ac:dyDescent="0.25">
      <c r="A36" s="13">
        <v>31</v>
      </c>
      <c r="B36" s="14">
        <v>377</v>
      </c>
      <c r="C36" s="15" t="s">
        <v>142</v>
      </c>
      <c r="D36" s="16" t="s">
        <v>143</v>
      </c>
      <c r="E36" s="17" t="s">
        <v>144</v>
      </c>
      <c r="F36" s="18" t="s">
        <v>51</v>
      </c>
      <c r="G36" s="19">
        <v>76283058</v>
      </c>
      <c r="H36" s="19">
        <v>76283058</v>
      </c>
      <c r="I36" s="19">
        <v>0</v>
      </c>
      <c r="J36" s="20">
        <v>0</v>
      </c>
      <c r="K36" s="19">
        <v>108000000</v>
      </c>
      <c r="L36" s="21">
        <v>0</v>
      </c>
      <c r="M36" s="19">
        <v>6124355</v>
      </c>
      <c r="N36" s="19">
        <v>0</v>
      </c>
      <c r="O36" s="19">
        <v>0</v>
      </c>
      <c r="P36" s="19">
        <v>12952</v>
      </c>
      <c r="Q36" s="19">
        <v>0</v>
      </c>
      <c r="R36" s="22"/>
      <c r="S36" s="19">
        <v>0</v>
      </c>
      <c r="T36" s="19">
        <v>12952</v>
      </c>
      <c r="U36" s="19">
        <v>0</v>
      </c>
      <c r="V36" s="3"/>
      <c r="W36" s="23">
        <v>0</v>
      </c>
      <c r="X36" s="24">
        <v>8511</v>
      </c>
      <c r="Y36" s="24" t="s">
        <v>52</v>
      </c>
    </row>
    <row r="37" spans="1:25" hidden="1" x14ac:dyDescent="0.25">
      <c r="A37" s="13">
        <v>32</v>
      </c>
      <c r="B37" s="14">
        <v>379</v>
      </c>
      <c r="C37" s="15" t="s">
        <v>145</v>
      </c>
      <c r="D37" s="16" t="s">
        <v>146</v>
      </c>
      <c r="E37" s="17" t="s">
        <v>147</v>
      </c>
      <c r="F37" s="18" t="s">
        <v>51</v>
      </c>
      <c r="G37" s="19">
        <v>82067424</v>
      </c>
      <c r="H37" s="19">
        <v>82067424</v>
      </c>
      <c r="I37" s="19">
        <v>0</v>
      </c>
      <c r="J37" s="20">
        <v>0</v>
      </c>
      <c r="K37" s="19">
        <v>108000000</v>
      </c>
      <c r="L37" s="21">
        <v>0</v>
      </c>
      <c r="M37" s="19">
        <v>6689703</v>
      </c>
      <c r="N37" s="19">
        <v>0</v>
      </c>
      <c r="O37" s="19">
        <v>0</v>
      </c>
      <c r="P37" s="19">
        <v>17542</v>
      </c>
      <c r="Q37" s="19">
        <v>0</v>
      </c>
      <c r="R37" s="22"/>
      <c r="S37" s="19">
        <v>0</v>
      </c>
      <c r="T37" s="19">
        <v>17542</v>
      </c>
      <c r="U37" s="19">
        <v>0</v>
      </c>
      <c r="V37" s="3"/>
      <c r="W37" s="23">
        <v>0</v>
      </c>
      <c r="X37" s="24">
        <v>8511</v>
      </c>
      <c r="Y37" s="24" t="s">
        <v>52</v>
      </c>
    </row>
    <row r="38" spans="1:25" hidden="1" x14ac:dyDescent="0.25">
      <c r="A38" s="13">
        <v>33</v>
      </c>
      <c r="B38" s="14">
        <v>381</v>
      </c>
      <c r="C38" s="15" t="s">
        <v>148</v>
      </c>
      <c r="D38" s="16" t="s">
        <v>149</v>
      </c>
      <c r="E38" s="17" t="s">
        <v>150</v>
      </c>
      <c r="F38" s="18" t="s">
        <v>51</v>
      </c>
      <c r="G38" s="19">
        <v>92108710</v>
      </c>
      <c r="H38" s="19">
        <v>92108710</v>
      </c>
      <c r="I38" s="19">
        <v>0</v>
      </c>
      <c r="J38" s="20">
        <v>0</v>
      </c>
      <c r="K38" s="19">
        <v>108000000</v>
      </c>
      <c r="L38" s="21">
        <v>0</v>
      </c>
      <c r="M38" s="19">
        <v>7331862</v>
      </c>
      <c r="N38" s="19">
        <v>0</v>
      </c>
      <c r="O38" s="19">
        <v>0</v>
      </c>
      <c r="P38" s="19">
        <v>40954</v>
      </c>
      <c r="Q38" s="19">
        <v>0</v>
      </c>
      <c r="R38" s="22"/>
      <c r="S38" s="19">
        <v>0</v>
      </c>
      <c r="T38" s="19">
        <v>40954</v>
      </c>
      <c r="U38" s="19">
        <v>0</v>
      </c>
      <c r="V38" s="3"/>
      <c r="W38" s="23">
        <v>0</v>
      </c>
      <c r="X38" s="24">
        <v>8511</v>
      </c>
      <c r="Y38" s="24" t="s">
        <v>62</v>
      </c>
    </row>
    <row r="39" spans="1:25" hidden="1" x14ac:dyDescent="0.25">
      <c r="A39" s="13">
        <v>34</v>
      </c>
      <c r="B39" s="14">
        <v>382</v>
      </c>
      <c r="C39" s="15" t="s">
        <v>151</v>
      </c>
      <c r="D39" s="16" t="s">
        <v>152</v>
      </c>
      <c r="E39" s="17" t="s">
        <v>153</v>
      </c>
      <c r="F39" s="18" t="s">
        <v>51</v>
      </c>
      <c r="G39" s="19">
        <v>82054383</v>
      </c>
      <c r="H39" s="19">
        <v>82054383</v>
      </c>
      <c r="I39" s="19">
        <v>0</v>
      </c>
      <c r="J39" s="20">
        <v>0</v>
      </c>
      <c r="K39" s="19">
        <v>108000000</v>
      </c>
      <c r="L39" s="21">
        <v>0</v>
      </c>
      <c r="M39" s="19">
        <v>6575771</v>
      </c>
      <c r="N39" s="19">
        <v>0</v>
      </c>
      <c r="O39" s="19">
        <v>0</v>
      </c>
      <c r="P39" s="19">
        <v>10072</v>
      </c>
      <c r="Q39" s="19">
        <v>0</v>
      </c>
      <c r="R39" s="22"/>
      <c r="S39" s="19">
        <v>0</v>
      </c>
      <c r="T39" s="19">
        <v>10072</v>
      </c>
      <c r="U39" s="19">
        <v>0</v>
      </c>
      <c r="V39" s="3"/>
      <c r="W39" s="23">
        <v>0</v>
      </c>
      <c r="X39" s="24">
        <v>8511</v>
      </c>
      <c r="Y39" s="24" t="s">
        <v>52</v>
      </c>
    </row>
    <row r="40" spans="1:25" hidden="1" x14ac:dyDescent="0.25">
      <c r="A40" s="13">
        <v>35</v>
      </c>
      <c r="B40" s="14">
        <v>384</v>
      </c>
      <c r="C40" s="15" t="s">
        <v>154</v>
      </c>
      <c r="D40" s="16" t="s">
        <v>155</v>
      </c>
      <c r="E40" s="17" t="s">
        <v>156</v>
      </c>
      <c r="F40" s="18" t="s">
        <v>51</v>
      </c>
      <c r="G40" s="19">
        <v>84333493</v>
      </c>
      <c r="H40" s="19">
        <v>84333493</v>
      </c>
      <c r="I40" s="19">
        <v>0</v>
      </c>
      <c r="J40" s="20">
        <v>0</v>
      </c>
      <c r="K40" s="19">
        <v>108000000</v>
      </c>
      <c r="L40" s="21">
        <v>0</v>
      </c>
      <c r="M40" s="19">
        <v>6689703</v>
      </c>
      <c r="N40" s="19">
        <v>0</v>
      </c>
      <c r="O40" s="19">
        <v>0</v>
      </c>
      <c r="P40" s="19">
        <v>31408</v>
      </c>
      <c r="Q40" s="19">
        <v>0</v>
      </c>
      <c r="R40" s="22"/>
      <c r="S40" s="19">
        <v>0</v>
      </c>
      <c r="T40" s="19">
        <v>31408</v>
      </c>
      <c r="U40" s="19">
        <v>0</v>
      </c>
      <c r="V40" s="3"/>
      <c r="W40" s="23">
        <v>0</v>
      </c>
      <c r="X40" s="24">
        <v>8511</v>
      </c>
      <c r="Y40" s="24" t="s">
        <v>52</v>
      </c>
    </row>
    <row r="41" spans="1:25" hidden="1" x14ac:dyDescent="0.25">
      <c r="A41" s="13">
        <v>36</v>
      </c>
      <c r="B41" s="14">
        <v>385</v>
      </c>
      <c r="C41" s="15" t="s">
        <v>157</v>
      </c>
      <c r="D41" s="16" t="s">
        <v>158</v>
      </c>
      <c r="E41" s="17" t="s">
        <v>159</v>
      </c>
      <c r="F41" s="18" t="s">
        <v>51</v>
      </c>
      <c r="G41" s="19">
        <v>85247415</v>
      </c>
      <c r="H41" s="19">
        <v>85247415</v>
      </c>
      <c r="I41" s="19">
        <v>0</v>
      </c>
      <c r="J41" s="20">
        <v>0</v>
      </c>
      <c r="K41" s="19">
        <v>108000000</v>
      </c>
      <c r="L41" s="21">
        <v>0</v>
      </c>
      <c r="M41" s="19">
        <v>6644764</v>
      </c>
      <c r="N41" s="19">
        <v>0</v>
      </c>
      <c r="O41" s="19">
        <v>0</v>
      </c>
      <c r="P41" s="19">
        <v>33241</v>
      </c>
      <c r="Q41" s="19">
        <v>0</v>
      </c>
      <c r="R41" s="22"/>
      <c r="S41" s="19">
        <v>0</v>
      </c>
      <c r="T41" s="19">
        <v>33241</v>
      </c>
      <c r="U41" s="19">
        <v>0</v>
      </c>
      <c r="V41" s="3"/>
      <c r="W41" s="23">
        <v>0</v>
      </c>
      <c r="X41" s="24">
        <v>8511</v>
      </c>
      <c r="Y41" s="24" t="s">
        <v>52</v>
      </c>
    </row>
    <row r="42" spans="1:25" hidden="1" x14ac:dyDescent="0.25">
      <c r="A42" s="13">
        <v>37</v>
      </c>
      <c r="B42" s="14">
        <v>388</v>
      </c>
      <c r="C42" s="15" t="s">
        <v>160</v>
      </c>
      <c r="D42" s="16" t="s">
        <v>161</v>
      </c>
      <c r="E42" s="17" t="s">
        <v>162</v>
      </c>
      <c r="F42" s="18" t="s">
        <v>51</v>
      </c>
      <c r="G42" s="19">
        <v>74963008</v>
      </c>
      <c r="H42" s="19">
        <v>74963008</v>
      </c>
      <c r="I42" s="19">
        <v>0</v>
      </c>
      <c r="J42" s="20">
        <v>0</v>
      </c>
      <c r="K42" s="19">
        <v>108000000</v>
      </c>
      <c r="L42" s="21">
        <v>0</v>
      </c>
      <c r="M42" s="19">
        <v>6124355</v>
      </c>
      <c r="N42" s="19">
        <v>0</v>
      </c>
      <c r="O42" s="19">
        <v>0</v>
      </c>
      <c r="P42" s="19">
        <v>14905</v>
      </c>
      <c r="Q42" s="19">
        <v>0</v>
      </c>
      <c r="R42" s="22"/>
      <c r="S42" s="19">
        <v>0</v>
      </c>
      <c r="T42" s="19">
        <v>14905</v>
      </c>
      <c r="U42" s="19">
        <v>0</v>
      </c>
      <c r="V42" s="3"/>
      <c r="W42" s="23">
        <v>0</v>
      </c>
      <c r="X42" s="24">
        <v>8511</v>
      </c>
      <c r="Y42" s="24" t="s">
        <v>52</v>
      </c>
    </row>
    <row r="43" spans="1:25" hidden="1" x14ac:dyDescent="0.25">
      <c r="A43" s="13">
        <v>38</v>
      </c>
      <c r="B43" s="14">
        <v>393</v>
      </c>
      <c r="C43" s="15" t="s">
        <v>163</v>
      </c>
      <c r="D43" s="16" t="s">
        <v>164</v>
      </c>
      <c r="E43" s="17" t="s">
        <v>165</v>
      </c>
      <c r="F43" s="18" t="s">
        <v>51</v>
      </c>
      <c r="G43" s="19">
        <v>83749859</v>
      </c>
      <c r="H43" s="19">
        <v>83749859</v>
      </c>
      <c r="I43" s="19">
        <v>0</v>
      </c>
      <c r="J43" s="20">
        <v>0</v>
      </c>
      <c r="K43" s="19">
        <v>108000000</v>
      </c>
      <c r="L43" s="21">
        <v>0</v>
      </c>
      <c r="M43" s="19">
        <v>6689703</v>
      </c>
      <c r="N43" s="19">
        <v>0</v>
      </c>
      <c r="O43" s="19">
        <v>0</v>
      </c>
      <c r="P43" s="19">
        <v>36546</v>
      </c>
      <c r="Q43" s="19">
        <v>0</v>
      </c>
      <c r="R43" s="22"/>
      <c r="S43" s="19">
        <v>0</v>
      </c>
      <c r="T43" s="19">
        <v>36546</v>
      </c>
      <c r="U43" s="19">
        <v>0</v>
      </c>
      <c r="V43" s="3"/>
      <c r="W43" s="23">
        <v>0</v>
      </c>
      <c r="X43" s="24">
        <v>8511</v>
      </c>
      <c r="Y43" s="24" t="s">
        <v>52</v>
      </c>
    </row>
    <row r="44" spans="1:25" hidden="1" x14ac:dyDescent="0.25">
      <c r="A44" s="13">
        <v>39</v>
      </c>
      <c r="B44" s="14">
        <v>394</v>
      </c>
      <c r="C44" s="15" t="s">
        <v>166</v>
      </c>
      <c r="D44" s="16" t="s">
        <v>167</v>
      </c>
      <c r="E44" s="17" t="s">
        <v>168</v>
      </c>
      <c r="F44" s="18" t="s">
        <v>51</v>
      </c>
      <c r="G44" s="19">
        <v>84677350</v>
      </c>
      <c r="H44" s="19">
        <v>84677350</v>
      </c>
      <c r="I44" s="19">
        <v>0</v>
      </c>
      <c r="J44" s="20">
        <v>0</v>
      </c>
      <c r="K44" s="19">
        <v>108000000</v>
      </c>
      <c r="L44" s="21">
        <v>0</v>
      </c>
      <c r="M44" s="19">
        <v>6620246</v>
      </c>
      <c r="N44" s="19">
        <v>0</v>
      </c>
      <c r="O44" s="19">
        <v>0</v>
      </c>
      <c r="P44" s="19">
        <v>24611</v>
      </c>
      <c r="Q44" s="19">
        <v>0</v>
      </c>
      <c r="R44" s="22"/>
      <c r="S44" s="19">
        <v>0</v>
      </c>
      <c r="T44" s="19">
        <v>24611</v>
      </c>
      <c r="U44" s="19">
        <v>0</v>
      </c>
      <c r="V44" s="3"/>
      <c r="W44" s="23">
        <v>0</v>
      </c>
      <c r="X44" s="24">
        <v>8511</v>
      </c>
      <c r="Y44" s="24" t="s">
        <v>52</v>
      </c>
    </row>
    <row r="45" spans="1:25" hidden="1" x14ac:dyDescent="0.25">
      <c r="A45" s="13">
        <v>40</v>
      </c>
      <c r="B45" s="14">
        <v>426</v>
      </c>
      <c r="C45" s="15" t="s">
        <v>169</v>
      </c>
      <c r="D45" s="16" t="s">
        <v>170</v>
      </c>
      <c r="E45" s="17" t="s">
        <v>171</v>
      </c>
      <c r="F45" s="18" t="s">
        <v>51</v>
      </c>
      <c r="G45" s="19">
        <v>80206041</v>
      </c>
      <c r="H45" s="19">
        <v>80206041</v>
      </c>
      <c r="I45" s="19">
        <v>0</v>
      </c>
      <c r="J45" s="20">
        <v>0</v>
      </c>
      <c r="K45" s="19">
        <v>108000000</v>
      </c>
      <c r="L45" s="21">
        <v>0</v>
      </c>
      <c r="M45" s="19">
        <v>6267652</v>
      </c>
      <c r="N45" s="19">
        <v>0</v>
      </c>
      <c r="O45" s="19">
        <v>0</v>
      </c>
      <c r="P45" s="19">
        <v>37876</v>
      </c>
      <c r="Q45" s="19">
        <v>0</v>
      </c>
      <c r="R45" s="22"/>
      <c r="S45" s="19">
        <v>0</v>
      </c>
      <c r="T45" s="19">
        <v>37876</v>
      </c>
      <c r="U45" s="19">
        <v>0</v>
      </c>
      <c r="V45" s="3"/>
      <c r="W45" s="23">
        <v>0</v>
      </c>
      <c r="X45" s="24">
        <v>8511</v>
      </c>
      <c r="Y45" s="24" t="s">
        <v>52</v>
      </c>
    </row>
    <row r="46" spans="1:25" hidden="1" x14ac:dyDescent="0.25">
      <c r="A46" s="13">
        <v>41</v>
      </c>
      <c r="B46" s="14">
        <v>440</v>
      </c>
      <c r="C46" s="15" t="s">
        <v>172</v>
      </c>
      <c r="D46" s="16" t="s">
        <v>173</v>
      </c>
      <c r="E46" s="17" t="s">
        <v>174</v>
      </c>
      <c r="F46" s="18" t="s">
        <v>51</v>
      </c>
      <c r="G46" s="19">
        <v>81107887</v>
      </c>
      <c r="H46" s="19">
        <v>81107887</v>
      </c>
      <c r="I46" s="19">
        <v>0</v>
      </c>
      <c r="J46" s="20">
        <v>0</v>
      </c>
      <c r="K46" s="19">
        <v>108000000</v>
      </c>
      <c r="L46" s="21">
        <v>0</v>
      </c>
      <c r="M46" s="19">
        <v>6575771</v>
      </c>
      <c r="N46" s="19">
        <v>0</v>
      </c>
      <c r="O46" s="19">
        <v>0</v>
      </c>
      <c r="P46" s="19">
        <v>17044</v>
      </c>
      <c r="Q46" s="19">
        <v>0</v>
      </c>
      <c r="R46" s="22"/>
      <c r="S46" s="19">
        <v>0</v>
      </c>
      <c r="T46" s="19">
        <v>17044</v>
      </c>
      <c r="U46" s="19">
        <v>0</v>
      </c>
      <c r="V46" s="3"/>
      <c r="W46" s="23">
        <v>0</v>
      </c>
      <c r="X46" s="24">
        <v>8511</v>
      </c>
      <c r="Y46" s="24" t="s">
        <v>52</v>
      </c>
    </row>
    <row r="47" spans="1:25" hidden="1" x14ac:dyDescent="0.25">
      <c r="A47" s="13">
        <v>42</v>
      </c>
      <c r="B47" s="14">
        <v>443</v>
      </c>
      <c r="C47" s="15" t="s">
        <v>175</v>
      </c>
      <c r="D47" s="16" t="s">
        <v>176</v>
      </c>
      <c r="E47" s="17" t="s">
        <v>177</v>
      </c>
      <c r="F47" s="18" t="s">
        <v>51</v>
      </c>
      <c r="G47" s="19">
        <v>78372538</v>
      </c>
      <c r="H47" s="19">
        <v>78372538</v>
      </c>
      <c r="I47" s="19">
        <v>0</v>
      </c>
      <c r="J47" s="20">
        <v>0</v>
      </c>
      <c r="K47" s="19">
        <v>108000000</v>
      </c>
      <c r="L47" s="21">
        <v>0</v>
      </c>
      <c r="M47" s="19">
        <v>6170827</v>
      </c>
      <c r="N47" s="19">
        <v>0</v>
      </c>
      <c r="O47" s="19">
        <v>0</v>
      </c>
      <c r="P47" s="19">
        <v>16156</v>
      </c>
      <c r="Q47" s="19">
        <v>0</v>
      </c>
      <c r="R47" s="22"/>
      <c r="S47" s="19">
        <v>0</v>
      </c>
      <c r="T47" s="19">
        <v>16156</v>
      </c>
      <c r="U47" s="19">
        <v>0</v>
      </c>
      <c r="V47" s="3"/>
      <c r="W47" s="23">
        <v>0</v>
      </c>
      <c r="X47" s="24">
        <v>8512</v>
      </c>
      <c r="Y47" s="24" t="s">
        <v>52</v>
      </c>
    </row>
    <row r="48" spans="1:25" hidden="1" x14ac:dyDescent="0.25">
      <c r="A48" s="13">
        <v>43</v>
      </c>
      <c r="B48" s="14">
        <v>444</v>
      </c>
      <c r="C48" s="15" t="s">
        <v>178</v>
      </c>
      <c r="D48" s="16" t="s">
        <v>179</v>
      </c>
      <c r="E48" s="17" t="s">
        <v>180</v>
      </c>
      <c r="F48" s="18" t="s">
        <v>51</v>
      </c>
      <c r="G48" s="19">
        <v>82457137</v>
      </c>
      <c r="H48" s="19">
        <v>82457137</v>
      </c>
      <c r="I48" s="19">
        <v>0</v>
      </c>
      <c r="J48" s="20">
        <v>0</v>
      </c>
      <c r="K48" s="19">
        <v>108000000</v>
      </c>
      <c r="L48" s="21">
        <v>0</v>
      </c>
      <c r="M48" s="19">
        <v>6620246</v>
      </c>
      <c r="N48" s="19">
        <v>0</v>
      </c>
      <c r="O48" s="19">
        <v>0</v>
      </c>
      <c r="P48" s="19">
        <v>17958</v>
      </c>
      <c r="Q48" s="19">
        <v>0</v>
      </c>
      <c r="R48" s="22"/>
      <c r="S48" s="19">
        <v>0</v>
      </c>
      <c r="T48" s="19">
        <v>17958</v>
      </c>
      <c r="U48" s="19">
        <v>0</v>
      </c>
      <c r="V48" s="3"/>
      <c r="W48" s="23">
        <v>0</v>
      </c>
      <c r="X48" s="24">
        <v>8512</v>
      </c>
      <c r="Y48" s="24" t="s">
        <v>52</v>
      </c>
    </row>
    <row r="49" spans="1:25" hidden="1" x14ac:dyDescent="0.25">
      <c r="A49" s="13">
        <v>44</v>
      </c>
      <c r="B49" s="14">
        <v>450</v>
      </c>
      <c r="C49" s="15" t="s">
        <v>181</v>
      </c>
      <c r="D49" s="16" t="s">
        <v>182</v>
      </c>
      <c r="E49" s="17" t="s">
        <v>183</v>
      </c>
      <c r="F49" s="18" t="s">
        <v>51</v>
      </c>
      <c r="G49" s="19">
        <v>83864834</v>
      </c>
      <c r="H49" s="19">
        <v>83864834</v>
      </c>
      <c r="I49" s="19">
        <v>0</v>
      </c>
      <c r="J49" s="20">
        <v>0</v>
      </c>
      <c r="K49" s="19">
        <v>108000000</v>
      </c>
      <c r="L49" s="21">
        <v>0</v>
      </c>
      <c r="M49" s="19">
        <v>6620246</v>
      </c>
      <c r="N49" s="19">
        <v>0</v>
      </c>
      <c r="O49" s="19">
        <v>0</v>
      </c>
      <c r="P49" s="19">
        <v>26005</v>
      </c>
      <c r="Q49" s="19">
        <v>0</v>
      </c>
      <c r="R49" s="22"/>
      <c r="S49" s="19">
        <v>0</v>
      </c>
      <c r="T49" s="19">
        <v>26005</v>
      </c>
      <c r="U49" s="19">
        <v>0</v>
      </c>
      <c r="V49" s="3"/>
      <c r="W49" s="23">
        <v>0</v>
      </c>
      <c r="X49" s="24">
        <v>8512</v>
      </c>
      <c r="Y49" s="24" t="s">
        <v>52</v>
      </c>
    </row>
    <row r="50" spans="1:25" hidden="1" x14ac:dyDescent="0.25">
      <c r="A50" s="13">
        <v>45</v>
      </c>
      <c r="B50" s="14">
        <v>453</v>
      </c>
      <c r="C50" s="15" t="s">
        <v>184</v>
      </c>
      <c r="D50" s="16" t="s">
        <v>185</v>
      </c>
      <c r="E50" s="17" t="s">
        <v>186</v>
      </c>
      <c r="F50" s="18" t="s">
        <v>51</v>
      </c>
      <c r="G50" s="19">
        <v>94088620</v>
      </c>
      <c r="H50" s="19">
        <v>94088620</v>
      </c>
      <c r="I50" s="19">
        <v>0</v>
      </c>
      <c r="J50" s="20">
        <v>0</v>
      </c>
      <c r="K50" s="19">
        <v>108000000</v>
      </c>
      <c r="L50" s="21">
        <v>0</v>
      </c>
      <c r="M50" s="19">
        <v>7024198</v>
      </c>
      <c r="N50" s="19">
        <v>0</v>
      </c>
      <c r="O50" s="19">
        <v>0</v>
      </c>
      <c r="P50" s="19">
        <v>68709</v>
      </c>
      <c r="Q50" s="19">
        <v>0</v>
      </c>
      <c r="R50" s="22"/>
      <c r="S50" s="19">
        <v>0</v>
      </c>
      <c r="T50" s="19">
        <v>68709</v>
      </c>
      <c r="U50" s="19">
        <v>0</v>
      </c>
      <c r="V50" s="3"/>
      <c r="W50" s="23">
        <v>0</v>
      </c>
      <c r="X50" s="24">
        <v>8512</v>
      </c>
      <c r="Y50" s="24" t="s">
        <v>52</v>
      </c>
    </row>
    <row r="51" spans="1:25" hidden="1" x14ac:dyDescent="0.25">
      <c r="A51" s="13">
        <v>46</v>
      </c>
      <c r="B51" s="14">
        <v>459</v>
      </c>
      <c r="C51" s="15" t="s">
        <v>187</v>
      </c>
      <c r="D51" s="16" t="s">
        <v>188</v>
      </c>
      <c r="E51" s="17" t="s">
        <v>189</v>
      </c>
      <c r="F51" s="18" t="s">
        <v>51</v>
      </c>
      <c r="G51" s="19">
        <v>84133278</v>
      </c>
      <c r="H51" s="19">
        <v>84133278</v>
      </c>
      <c r="I51" s="19">
        <v>0</v>
      </c>
      <c r="J51" s="20">
        <v>0</v>
      </c>
      <c r="K51" s="19">
        <v>108000000</v>
      </c>
      <c r="L51" s="21">
        <v>0</v>
      </c>
      <c r="M51" s="19">
        <v>6620246</v>
      </c>
      <c r="N51" s="19">
        <v>0</v>
      </c>
      <c r="O51" s="19">
        <v>0</v>
      </c>
      <c r="P51" s="19">
        <v>46246</v>
      </c>
      <c r="Q51" s="19">
        <v>0</v>
      </c>
      <c r="R51" s="22"/>
      <c r="S51" s="19">
        <v>0</v>
      </c>
      <c r="T51" s="19">
        <v>46246</v>
      </c>
      <c r="U51" s="19">
        <v>0</v>
      </c>
      <c r="V51" s="3"/>
      <c r="W51" s="23">
        <v>0</v>
      </c>
      <c r="X51" s="24">
        <v>8512</v>
      </c>
      <c r="Y51" s="24" t="s">
        <v>52</v>
      </c>
    </row>
    <row r="52" spans="1:25" hidden="1" x14ac:dyDescent="0.25">
      <c r="A52" s="13">
        <v>47</v>
      </c>
      <c r="B52" s="14">
        <v>476</v>
      </c>
      <c r="C52" s="15" t="s">
        <v>190</v>
      </c>
      <c r="D52" s="16" t="s">
        <v>191</v>
      </c>
      <c r="E52" s="17" t="s">
        <v>192</v>
      </c>
      <c r="F52" s="18" t="s">
        <v>51</v>
      </c>
      <c r="G52" s="19">
        <v>79719617</v>
      </c>
      <c r="H52" s="19">
        <v>79719617</v>
      </c>
      <c r="I52" s="19">
        <v>0</v>
      </c>
      <c r="J52" s="20">
        <v>0</v>
      </c>
      <c r="K52" s="19">
        <v>108000000</v>
      </c>
      <c r="L52" s="21">
        <v>0</v>
      </c>
      <c r="M52" s="19">
        <v>6575771</v>
      </c>
      <c r="N52" s="19">
        <v>0</v>
      </c>
      <c r="O52" s="19">
        <v>0</v>
      </c>
      <c r="P52" s="19">
        <v>16857</v>
      </c>
      <c r="Q52" s="19">
        <v>0</v>
      </c>
      <c r="R52" s="22"/>
      <c r="S52" s="19">
        <v>0</v>
      </c>
      <c r="T52" s="19">
        <v>16857</v>
      </c>
      <c r="U52" s="19">
        <v>0</v>
      </c>
      <c r="V52" s="3"/>
      <c r="W52" s="23">
        <v>0</v>
      </c>
      <c r="X52" s="24">
        <v>8511</v>
      </c>
      <c r="Y52" s="24" t="s">
        <v>52</v>
      </c>
    </row>
    <row r="53" spans="1:25" hidden="1" x14ac:dyDescent="0.25">
      <c r="A53" s="13">
        <v>48</v>
      </c>
      <c r="B53" s="14">
        <v>480</v>
      </c>
      <c r="C53" s="15" t="s">
        <v>193</v>
      </c>
      <c r="D53" s="16" t="s">
        <v>194</v>
      </c>
      <c r="E53" s="17" t="s">
        <v>195</v>
      </c>
      <c r="F53" s="18" t="s">
        <v>51</v>
      </c>
      <c r="G53" s="19">
        <v>68950845</v>
      </c>
      <c r="H53" s="19">
        <v>68950845</v>
      </c>
      <c r="I53" s="19">
        <v>0</v>
      </c>
      <c r="J53" s="20">
        <v>0</v>
      </c>
      <c r="K53" s="19">
        <v>108000000</v>
      </c>
      <c r="L53" s="21">
        <v>0</v>
      </c>
      <c r="M53" s="19">
        <v>6030023</v>
      </c>
      <c r="N53" s="19">
        <v>0</v>
      </c>
      <c r="O53" s="19">
        <v>0</v>
      </c>
      <c r="P53" s="19">
        <v>11655</v>
      </c>
      <c r="Q53" s="19">
        <v>0</v>
      </c>
      <c r="R53" s="22"/>
      <c r="S53" s="19">
        <v>0</v>
      </c>
      <c r="T53" s="19">
        <v>11655</v>
      </c>
      <c r="U53" s="19">
        <v>0</v>
      </c>
      <c r="V53" s="3"/>
      <c r="W53" s="23">
        <v>0</v>
      </c>
      <c r="X53" s="24">
        <v>8512</v>
      </c>
      <c r="Y53" s="24" t="s">
        <v>52</v>
      </c>
    </row>
    <row r="54" spans="1:25" hidden="1" x14ac:dyDescent="0.25">
      <c r="A54" s="13">
        <v>49</v>
      </c>
      <c r="B54" s="14">
        <v>481</v>
      </c>
      <c r="C54" s="15" t="s">
        <v>196</v>
      </c>
      <c r="D54" s="16" t="s">
        <v>197</v>
      </c>
      <c r="E54" s="17" t="s">
        <v>198</v>
      </c>
      <c r="F54" s="18" t="s">
        <v>51</v>
      </c>
      <c r="G54" s="19">
        <v>79202578</v>
      </c>
      <c r="H54" s="19">
        <v>79202578</v>
      </c>
      <c r="I54" s="19">
        <v>0</v>
      </c>
      <c r="J54" s="20">
        <v>0</v>
      </c>
      <c r="K54" s="19">
        <v>108000000</v>
      </c>
      <c r="L54" s="21">
        <v>0</v>
      </c>
      <c r="M54" s="19">
        <v>6236650</v>
      </c>
      <c r="N54" s="19">
        <v>0</v>
      </c>
      <c r="O54" s="19">
        <v>0</v>
      </c>
      <c r="P54" s="19">
        <v>32294</v>
      </c>
      <c r="Q54" s="19">
        <v>0</v>
      </c>
      <c r="R54" s="22"/>
      <c r="S54" s="19">
        <v>0</v>
      </c>
      <c r="T54" s="19">
        <v>32294</v>
      </c>
      <c r="U54" s="19">
        <v>0</v>
      </c>
      <c r="V54" s="3"/>
      <c r="W54" s="23">
        <v>0</v>
      </c>
      <c r="X54" s="24">
        <v>8512</v>
      </c>
      <c r="Y54" s="24" t="s">
        <v>52</v>
      </c>
    </row>
    <row r="55" spans="1:25" x14ac:dyDescent="0.25">
      <c r="A55" s="13">
        <v>50</v>
      </c>
      <c r="B55" s="14">
        <v>487</v>
      </c>
      <c r="C55" s="15" t="s">
        <v>199</v>
      </c>
      <c r="D55" s="16" t="s">
        <v>200</v>
      </c>
      <c r="E55" s="17" t="s">
        <v>201</v>
      </c>
      <c r="F55" s="18" t="s">
        <v>51</v>
      </c>
      <c r="G55" s="19">
        <v>85368256</v>
      </c>
      <c r="H55" s="19">
        <v>85368256</v>
      </c>
      <c r="I55" s="19">
        <v>0</v>
      </c>
      <c r="J55" s="20">
        <v>0</v>
      </c>
      <c r="K55" s="19">
        <v>108000000</v>
      </c>
      <c r="L55" s="21">
        <v>0</v>
      </c>
      <c r="M55" s="19">
        <v>6154871</v>
      </c>
      <c r="N55" s="19">
        <v>0</v>
      </c>
      <c r="O55" s="19">
        <v>0</v>
      </c>
      <c r="P55" s="19">
        <v>65804</v>
      </c>
      <c r="Q55" s="19">
        <v>0</v>
      </c>
      <c r="R55" s="22"/>
      <c r="S55" s="19">
        <v>0</v>
      </c>
      <c r="T55" s="19">
        <v>65804</v>
      </c>
      <c r="U55" s="19">
        <v>0</v>
      </c>
      <c r="V55" s="3"/>
      <c r="W55" s="23">
        <v>0</v>
      </c>
      <c r="X55" s="24" t="s">
        <v>72</v>
      </c>
      <c r="Y55" s="24" t="s">
        <v>52</v>
      </c>
    </row>
    <row r="56" spans="1:25" x14ac:dyDescent="0.25">
      <c r="A56" s="13">
        <v>51</v>
      </c>
      <c r="B56" s="14">
        <v>491</v>
      </c>
      <c r="C56" s="15" t="s">
        <v>202</v>
      </c>
      <c r="D56" s="16" t="s">
        <v>203</v>
      </c>
      <c r="E56" s="17" t="s">
        <v>204</v>
      </c>
      <c r="F56" s="18" t="s">
        <v>51</v>
      </c>
      <c r="G56" s="19">
        <v>86477016</v>
      </c>
      <c r="H56" s="19">
        <v>86477016</v>
      </c>
      <c r="I56" s="19">
        <v>0</v>
      </c>
      <c r="J56" s="20">
        <v>0</v>
      </c>
      <c r="K56" s="19">
        <v>108000000</v>
      </c>
      <c r="L56" s="21">
        <v>0</v>
      </c>
      <c r="M56" s="19">
        <v>6620246</v>
      </c>
      <c r="N56" s="19">
        <v>0</v>
      </c>
      <c r="O56" s="19">
        <v>0</v>
      </c>
      <c r="P56" s="19">
        <v>29737</v>
      </c>
      <c r="Q56" s="19">
        <v>0</v>
      </c>
      <c r="R56" s="22"/>
      <c r="S56" s="19">
        <v>0</v>
      </c>
      <c r="T56" s="19">
        <v>29737</v>
      </c>
      <c r="U56" s="19">
        <v>0</v>
      </c>
      <c r="V56" s="3"/>
      <c r="W56" s="23">
        <v>0</v>
      </c>
      <c r="X56" s="24" t="s">
        <v>72</v>
      </c>
      <c r="Y56" s="24" t="s">
        <v>52</v>
      </c>
    </row>
    <row r="57" spans="1:25" hidden="1" x14ac:dyDescent="0.25">
      <c r="A57" s="13">
        <v>52</v>
      </c>
      <c r="B57" s="14">
        <v>497</v>
      </c>
      <c r="C57" s="15" t="s">
        <v>205</v>
      </c>
      <c r="D57" s="16" t="s">
        <v>206</v>
      </c>
      <c r="E57" s="17" t="s">
        <v>207</v>
      </c>
      <c r="F57" s="18" t="s">
        <v>51</v>
      </c>
      <c r="G57" s="19">
        <v>81725668</v>
      </c>
      <c r="H57" s="19">
        <v>81725668</v>
      </c>
      <c r="I57" s="19">
        <v>0</v>
      </c>
      <c r="J57" s="20">
        <v>0</v>
      </c>
      <c r="K57" s="19">
        <v>108000000</v>
      </c>
      <c r="L57" s="21">
        <v>0</v>
      </c>
      <c r="M57" s="19">
        <v>6664726</v>
      </c>
      <c r="N57" s="19">
        <v>0</v>
      </c>
      <c r="O57" s="19">
        <v>0</v>
      </c>
      <c r="P57" s="19">
        <v>23332</v>
      </c>
      <c r="Q57" s="19">
        <v>0</v>
      </c>
      <c r="R57" s="22"/>
      <c r="S57" s="19">
        <v>0</v>
      </c>
      <c r="T57" s="19">
        <v>23332</v>
      </c>
      <c r="U57" s="19">
        <v>0</v>
      </c>
      <c r="V57" s="3"/>
      <c r="W57" s="23">
        <v>0</v>
      </c>
      <c r="X57" s="24">
        <v>8512</v>
      </c>
      <c r="Y57" s="24" t="s">
        <v>52</v>
      </c>
    </row>
    <row r="58" spans="1:25" hidden="1" x14ac:dyDescent="0.25">
      <c r="A58" s="13">
        <v>53</v>
      </c>
      <c r="B58" s="14">
        <v>504</v>
      </c>
      <c r="C58" s="15" t="s">
        <v>208</v>
      </c>
      <c r="D58" s="16" t="s">
        <v>209</v>
      </c>
      <c r="E58" s="17" t="s">
        <v>210</v>
      </c>
      <c r="F58" s="18" t="s">
        <v>51</v>
      </c>
      <c r="G58" s="19">
        <v>86862143</v>
      </c>
      <c r="H58" s="19">
        <v>86862143</v>
      </c>
      <c r="I58" s="19">
        <v>0</v>
      </c>
      <c r="J58" s="20">
        <v>0</v>
      </c>
      <c r="K58" s="19">
        <v>108000000</v>
      </c>
      <c r="L58" s="21">
        <v>0</v>
      </c>
      <c r="M58" s="19">
        <v>6575771</v>
      </c>
      <c r="N58" s="19">
        <v>0</v>
      </c>
      <c r="O58" s="19">
        <v>0</v>
      </c>
      <c r="P58" s="19">
        <v>35326</v>
      </c>
      <c r="Q58" s="19">
        <v>0</v>
      </c>
      <c r="R58" s="22"/>
      <c r="S58" s="19">
        <v>0</v>
      </c>
      <c r="T58" s="19">
        <v>35326</v>
      </c>
      <c r="U58" s="19">
        <v>0</v>
      </c>
      <c r="V58" s="3"/>
      <c r="W58" s="23">
        <v>0</v>
      </c>
      <c r="X58" s="24">
        <v>8512</v>
      </c>
      <c r="Y58" s="24" t="s">
        <v>52</v>
      </c>
    </row>
    <row r="59" spans="1:25" hidden="1" x14ac:dyDescent="0.25">
      <c r="A59" s="13">
        <v>54</v>
      </c>
      <c r="B59" s="14">
        <v>507</v>
      </c>
      <c r="C59" s="15" t="s">
        <v>211</v>
      </c>
      <c r="D59" s="16" t="s">
        <v>212</v>
      </c>
      <c r="E59" s="17" t="s">
        <v>213</v>
      </c>
      <c r="F59" s="18" t="s">
        <v>51</v>
      </c>
      <c r="G59" s="19">
        <v>82880281</v>
      </c>
      <c r="H59" s="19">
        <v>82880281</v>
      </c>
      <c r="I59" s="19">
        <v>0</v>
      </c>
      <c r="J59" s="20">
        <v>0</v>
      </c>
      <c r="K59" s="19">
        <v>108000000</v>
      </c>
      <c r="L59" s="21">
        <v>0</v>
      </c>
      <c r="M59" s="19">
        <v>6575771</v>
      </c>
      <c r="N59" s="19">
        <v>0</v>
      </c>
      <c r="O59" s="19">
        <v>0</v>
      </c>
      <c r="P59" s="19">
        <v>25005</v>
      </c>
      <c r="Q59" s="19">
        <v>0</v>
      </c>
      <c r="R59" s="22"/>
      <c r="S59" s="19">
        <v>0</v>
      </c>
      <c r="T59" s="19">
        <v>25005</v>
      </c>
      <c r="U59" s="19">
        <v>0</v>
      </c>
      <c r="V59" s="3"/>
      <c r="W59" s="23">
        <v>0</v>
      </c>
      <c r="X59" s="24">
        <v>8511</v>
      </c>
      <c r="Y59" s="24" t="s">
        <v>52</v>
      </c>
    </row>
    <row r="60" spans="1:25" hidden="1" x14ac:dyDescent="0.25">
      <c r="A60" s="13">
        <v>55</v>
      </c>
      <c r="B60" s="14">
        <v>509</v>
      </c>
      <c r="C60" s="15" t="s">
        <v>214</v>
      </c>
      <c r="D60" s="16" t="s">
        <v>215</v>
      </c>
      <c r="E60" s="17" t="s">
        <v>216</v>
      </c>
      <c r="F60" s="18" t="s">
        <v>51</v>
      </c>
      <c r="G60" s="19">
        <v>77374576</v>
      </c>
      <c r="H60" s="19">
        <v>77374576</v>
      </c>
      <c r="I60" s="19">
        <v>0</v>
      </c>
      <c r="J60" s="20">
        <v>0</v>
      </c>
      <c r="K60" s="19">
        <v>108000000</v>
      </c>
      <c r="L60" s="21">
        <v>0</v>
      </c>
      <c r="M60" s="19">
        <v>6575771</v>
      </c>
      <c r="N60" s="19">
        <v>0</v>
      </c>
      <c r="O60" s="19">
        <v>0</v>
      </c>
      <c r="P60" s="19">
        <v>10829</v>
      </c>
      <c r="Q60" s="19">
        <v>0</v>
      </c>
      <c r="R60" s="22"/>
      <c r="S60" s="19">
        <v>0</v>
      </c>
      <c r="T60" s="19">
        <v>10829</v>
      </c>
      <c r="U60" s="19">
        <v>0</v>
      </c>
      <c r="V60" s="3"/>
      <c r="W60" s="23">
        <v>0</v>
      </c>
      <c r="X60" s="24">
        <v>8511</v>
      </c>
      <c r="Y60" s="24" t="s">
        <v>52</v>
      </c>
    </row>
    <row r="61" spans="1:25" hidden="1" x14ac:dyDescent="0.25">
      <c r="A61" s="13">
        <v>56</v>
      </c>
      <c r="B61" s="14">
        <v>516</v>
      </c>
      <c r="C61" s="15" t="s">
        <v>217</v>
      </c>
      <c r="D61" s="16" t="s">
        <v>218</v>
      </c>
      <c r="E61" s="17" t="s">
        <v>219</v>
      </c>
      <c r="F61" s="18" t="s">
        <v>51</v>
      </c>
      <c r="G61" s="19">
        <v>80563202</v>
      </c>
      <c r="H61" s="19">
        <v>80563202</v>
      </c>
      <c r="I61" s="19">
        <v>0</v>
      </c>
      <c r="J61" s="20">
        <v>0</v>
      </c>
      <c r="K61" s="19">
        <v>108000000</v>
      </c>
      <c r="L61" s="21">
        <v>0</v>
      </c>
      <c r="M61" s="19">
        <v>6575771</v>
      </c>
      <c r="N61" s="19">
        <v>0</v>
      </c>
      <c r="O61" s="19">
        <v>0</v>
      </c>
      <c r="P61" s="19">
        <v>11858</v>
      </c>
      <c r="Q61" s="19">
        <v>0</v>
      </c>
      <c r="R61" s="22"/>
      <c r="S61" s="19">
        <v>0</v>
      </c>
      <c r="T61" s="19">
        <v>11858</v>
      </c>
      <c r="U61" s="19">
        <v>0</v>
      </c>
      <c r="V61" s="3"/>
      <c r="W61" s="23">
        <v>0</v>
      </c>
      <c r="X61" s="24">
        <v>8511</v>
      </c>
      <c r="Y61" s="24" t="s">
        <v>52</v>
      </c>
    </row>
    <row r="62" spans="1:25" hidden="1" x14ac:dyDescent="0.25">
      <c r="A62" s="13">
        <v>57</v>
      </c>
      <c r="B62" s="14">
        <v>518</v>
      </c>
      <c r="C62" s="15" t="s">
        <v>220</v>
      </c>
      <c r="D62" s="16" t="s">
        <v>221</v>
      </c>
      <c r="E62" s="17" t="s">
        <v>222</v>
      </c>
      <c r="F62" s="18" t="s">
        <v>51</v>
      </c>
      <c r="G62" s="19">
        <v>78884192</v>
      </c>
      <c r="H62" s="19">
        <v>78884192</v>
      </c>
      <c r="I62" s="19">
        <v>0</v>
      </c>
      <c r="J62" s="20">
        <v>0</v>
      </c>
      <c r="K62" s="19">
        <v>108000000</v>
      </c>
      <c r="L62" s="21">
        <v>0</v>
      </c>
      <c r="M62" s="19">
        <v>6575771</v>
      </c>
      <c r="N62" s="19">
        <v>0</v>
      </c>
      <c r="O62" s="19">
        <v>0</v>
      </c>
      <c r="P62" s="19">
        <v>16020</v>
      </c>
      <c r="Q62" s="19">
        <v>0</v>
      </c>
      <c r="R62" s="22"/>
      <c r="S62" s="19">
        <v>0</v>
      </c>
      <c r="T62" s="19">
        <v>16020</v>
      </c>
      <c r="U62" s="19">
        <v>0</v>
      </c>
      <c r="V62" s="3"/>
      <c r="W62" s="23">
        <v>0</v>
      </c>
      <c r="X62" s="24">
        <v>8511</v>
      </c>
      <c r="Y62" s="24" t="s">
        <v>52</v>
      </c>
    </row>
    <row r="63" spans="1:25" hidden="1" x14ac:dyDescent="0.25">
      <c r="A63" s="13">
        <v>58</v>
      </c>
      <c r="B63" s="14">
        <v>523</v>
      </c>
      <c r="C63" s="15" t="s">
        <v>223</v>
      </c>
      <c r="D63" s="16" t="s">
        <v>224</v>
      </c>
      <c r="E63" s="17" t="s">
        <v>225</v>
      </c>
      <c r="F63" s="18" t="s">
        <v>51</v>
      </c>
      <c r="G63" s="19">
        <v>77266971</v>
      </c>
      <c r="H63" s="19">
        <v>77266971</v>
      </c>
      <c r="I63" s="19">
        <v>0</v>
      </c>
      <c r="J63" s="20">
        <v>0</v>
      </c>
      <c r="K63" s="19">
        <v>108000000</v>
      </c>
      <c r="L63" s="21">
        <v>0</v>
      </c>
      <c r="M63" s="19">
        <v>6575771</v>
      </c>
      <c r="N63" s="19">
        <v>0</v>
      </c>
      <c r="O63" s="19">
        <v>0</v>
      </c>
      <c r="P63" s="19">
        <v>16094</v>
      </c>
      <c r="Q63" s="19">
        <v>0</v>
      </c>
      <c r="R63" s="22"/>
      <c r="S63" s="19">
        <v>0</v>
      </c>
      <c r="T63" s="19">
        <v>16094</v>
      </c>
      <c r="U63" s="19">
        <v>0</v>
      </c>
      <c r="V63" s="3"/>
      <c r="W63" s="23">
        <v>0</v>
      </c>
      <c r="X63" s="24">
        <v>8511</v>
      </c>
      <c r="Y63" s="24" t="s">
        <v>52</v>
      </c>
    </row>
    <row r="64" spans="1:25" hidden="1" x14ac:dyDescent="0.25">
      <c r="A64" s="13">
        <v>59</v>
      </c>
      <c r="B64" s="14">
        <v>524</v>
      </c>
      <c r="C64" s="15" t="s">
        <v>226</v>
      </c>
      <c r="D64" s="16" t="s">
        <v>227</v>
      </c>
      <c r="E64" s="17" t="s">
        <v>228</v>
      </c>
      <c r="F64" s="18" t="s">
        <v>51</v>
      </c>
      <c r="G64" s="19">
        <v>73545518</v>
      </c>
      <c r="H64" s="19">
        <v>73545518</v>
      </c>
      <c r="I64" s="19">
        <v>0</v>
      </c>
      <c r="J64" s="20">
        <v>0</v>
      </c>
      <c r="K64" s="19">
        <v>108000000</v>
      </c>
      <c r="L64" s="21">
        <v>0</v>
      </c>
      <c r="M64" s="19">
        <v>5836759</v>
      </c>
      <c r="N64" s="19">
        <v>0</v>
      </c>
      <c r="O64" s="19">
        <v>0</v>
      </c>
      <c r="P64" s="19">
        <v>12800</v>
      </c>
      <c r="Q64" s="19">
        <v>0</v>
      </c>
      <c r="R64" s="22"/>
      <c r="S64" s="19">
        <v>0</v>
      </c>
      <c r="T64" s="19">
        <v>12800</v>
      </c>
      <c r="U64" s="19">
        <v>0</v>
      </c>
      <c r="V64" s="3"/>
      <c r="W64" s="23">
        <v>0</v>
      </c>
      <c r="X64" s="24">
        <v>8511</v>
      </c>
      <c r="Y64" s="24" t="s">
        <v>229</v>
      </c>
    </row>
    <row r="65" spans="1:25" hidden="1" x14ac:dyDescent="0.25">
      <c r="A65" s="13">
        <v>60</v>
      </c>
      <c r="B65" s="14">
        <v>526</v>
      </c>
      <c r="C65" s="15" t="s">
        <v>230</v>
      </c>
      <c r="D65" s="16" t="s">
        <v>231</v>
      </c>
      <c r="E65" s="17" t="s">
        <v>232</v>
      </c>
      <c r="F65" s="18" t="s">
        <v>51</v>
      </c>
      <c r="G65" s="19">
        <v>83637142</v>
      </c>
      <c r="H65" s="19">
        <v>83637142</v>
      </c>
      <c r="I65" s="19">
        <v>0</v>
      </c>
      <c r="J65" s="20">
        <v>0</v>
      </c>
      <c r="K65" s="19">
        <v>108000000</v>
      </c>
      <c r="L65" s="21">
        <v>0</v>
      </c>
      <c r="M65" s="19">
        <v>6575771</v>
      </c>
      <c r="N65" s="19">
        <v>0</v>
      </c>
      <c r="O65" s="19">
        <v>0</v>
      </c>
      <c r="P65" s="19">
        <v>21431</v>
      </c>
      <c r="Q65" s="19">
        <v>0</v>
      </c>
      <c r="R65" s="22"/>
      <c r="S65" s="19">
        <v>0</v>
      </c>
      <c r="T65" s="19">
        <v>21431</v>
      </c>
      <c r="U65" s="19">
        <v>0</v>
      </c>
      <c r="V65" s="3"/>
      <c r="W65" s="23">
        <v>0</v>
      </c>
      <c r="X65" s="24">
        <v>8511</v>
      </c>
      <c r="Y65" s="24" t="s">
        <v>52</v>
      </c>
    </row>
    <row r="66" spans="1:25" hidden="1" x14ac:dyDescent="0.25">
      <c r="A66" s="13">
        <v>61</v>
      </c>
      <c r="B66" s="14">
        <v>527</v>
      </c>
      <c r="C66" s="15" t="s">
        <v>233</v>
      </c>
      <c r="D66" s="16" t="s">
        <v>234</v>
      </c>
      <c r="E66" s="17" t="s">
        <v>235</v>
      </c>
      <c r="F66" s="18" t="s">
        <v>51</v>
      </c>
      <c r="G66" s="19">
        <v>85968800</v>
      </c>
      <c r="H66" s="19">
        <v>85968800</v>
      </c>
      <c r="I66" s="19">
        <v>0</v>
      </c>
      <c r="J66" s="20">
        <v>0</v>
      </c>
      <c r="K66" s="19">
        <v>108000000</v>
      </c>
      <c r="L66" s="21">
        <v>0</v>
      </c>
      <c r="M66" s="19">
        <v>6575771</v>
      </c>
      <c r="N66" s="19">
        <v>0</v>
      </c>
      <c r="O66" s="19">
        <v>0</v>
      </c>
      <c r="P66" s="19">
        <v>29634</v>
      </c>
      <c r="Q66" s="19">
        <v>0</v>
      </c>
      <c r="R66" s="22"/>
      <c r="S66" s="19">
        <v>0</v>
      </c>
      <c r="T66" s="19">
        <v>29634</v>
      </c>
      <c r="U66" s="19">
        <v>0</v>
      </c>
      <c r="V66" s="3"/>
      <c r="W66" s="23">
        <v>0</v>
      </c>
      <c r="X66" s="24">
        <v>8511</v>
      </c>
      <c r="Y66" s="24" t="s">
        <v>52</v>
      </c>
    </row>
    <row r="67" spans="1:25" hidden="1" x14ac:dyDescent="0.25">
      <c r="A67" s="13">
        <v>62</v>
      </c>
      <c r="B67" s="14">
        <v>528</v>
      </c>
      <c r="C67" s="15" t="s">
        <v>236</v>
      </c>
      <c r="D67" s="16" t="s">
        <v>237</v>
      </c>
      <c r="E67" s="17" t="s">
        <v>238</v>
      </c>
      <c r="F67" s="18" t="s">
        <v>51</v>
      </c>
      <c r="G67" s="19">
        <v>84563425</v>
      </c>
      <c r="H67" s="19">
        <v>84563425</v>
      </c>
      <c r="I67" s="19">
        <v>0</v>
      </c>
      <c r="J67" s="20">
        <v>0</v>
      </c>
      <c r="K67" s="19">
        <v>108000000</v>
      </c>
      <c r="L67" s="21">
        <v>0</v>
      </c>
      <c r="M67" s="19">
        <v>6664726</v>
      </c>
      <c r="N67" s="19">
        <v>0</v>
      </c>
      <c r="O67" s="19">
        <v>0</v>
      </c>
      <c r="P67" s="19">
        <v>35492</v>
      </c>
      <c r="Q67" s="19">
        <v>0</v>
      </c>
      <c r="R67" s="22"/>
      <c r="S67" s="19">
        <v>0</v>
      </c>
      <c r="T67" s="19">
        <v>35492</v>
      </c>
      <c r="U67" s="19">
        <v>0</v>
      </c>
      <c r="V67" s="3"/>
      <c r="W67" s="23">
        <v>0</v>
      </c>
      <c r="X67" s="24">
        <v>8511</v>
      </c>
      <c r="Y67" s="24" t="s">
        <v>52</v>
      </c>
    </row>
    <row r="68" spans="1:25" hidden="1" x14ac:dyDescent="0.25">
      <c r="A68" s="13">
        <v>63</v>
      </c>
      <c r="B68" s="14">
        <v>529</v>
      </c>
      <c r="C68" s="15" t="s">
        <v>239</v>
      </c>
      <c r="D68" s="16" t="s">
        <v>240</v>
      </c>
      <c r="E68" s="17" t="s">
        <v>241</v>
      </c>
      <c r="F68" s="18" t="s">
        <v>51</v>
      </c>
      <c r="G68" s="19">
        <v>89199383</v>
      </c>
      <c r="H68" s="19">
        <v>89199383</v>
      </c>
      <c r="I68" s="19">
        <v>0</v>
      </c>
      <c r="J68" s="20">
        <v>1</v>
      </c>
      <c r="K68" s="19">
        <v>118800000</v>
      </c>
      <c r="L68" s="21">
        <v>0</v>
      </c>
      <c r="M68" s="19">
        <v>6935246</v>
      </c>
      <c r="N68" s="19">
        <v>0</v>
      </c>
      <c r="O68" s="19">
        <v>0</v>
      </c>
      <c r="P68" s="19">
        <v>36381</v>
      </c>
      <c r="Q68" s="19">
        <v>0</v>
      </c>
      <c r="R68" s="22"/>
      <c r="S68" s="19">
        <v>0</v>
      </c>
      <c r="T68" s="19">
        <v>36381</v>
      </c>
      <c r="U68" s="19">
        <v>0</v>
      </c>
      <c r="V68" s="3"/>
      <c r="W68" s="23">
        <v>0</v>
      </c>
      <c r="X68" s="24">
        <v>8511</v>
      </c>
      <c r="Y68" s="24" t="s">
        <v>52</v>
      </c>
    </row>
    <row r="69" spans="1:25" hidden="1" x14ac:dyDescent="0.25">
      <c r="A69" s="13">
        <v>64</v>
      </c>
      <c r="B69" s="14">
        <v>531</v>
      </c>
      <c r="C69" s="15" t="s">
        <v>242</v>
      </c>
      <c r="D69" s="16" t="s">
        <v>243</v>
      </c>
      <c r="E69" s="17" t="s">
        <v>244</v>
      </c>
      <c r="F69" s="18" t="s">
        <v>51</v>
      </c>
      <c r="G69" s="19">
        <v>82246375</v>
      </c>
      <c r="H69" s="19">
        <v>82246375</v>
      </c>
      <c r="I69" s="19">
        <v>0</v>
      </c>
      <c r="J69" s="20">
        <v>0</v>
      </c>
      <c r="K69" s="19">
        <v>108000000</v>
      </c>
      <c r="L69" s="21">
        <v>0</v>
      </c>
      <c r="M69" s="19">
        <v>6620246</v>
      </c>
      <c r="N69" s="19">
        <v>0</v>
      </c>
      <c r="O69" s="19">
        <v>0</v>
      </c>
      <c r="P69" s="19">
        <v>19709</v>
      </c>
      <c r="Q69" s="19">
        <v>0</v>
      </c>
      <c r="R69" s="22"/>
      <c r="S69" s="19">
        <v>0</v>
      </c>
      <c r="T69" s="19">
        <v>19709</v>
      </c>
      <c r="U69" s="19">
        <v>0</v>
      </c>
      <c r="V69" s="3"/>
      <c r="W69" s="23">
        <v>0</v>
      </c>
      <c r="X69" s="24">
        <v>8511</v>
      </c>
      <c r="Y69" s="24" t="s">
        <v>52</v>
      </c>
    </row>
    <row r="70" spans="1:25" hidden="1" x14ac:dyDescent="0.25">
      <c r="A70" s="13">
        <v>65</v>
      </c>
      <c r="B70" s="14">
        <v>537</v>
      </c>
      <c r="C70" s="15" t="s">
        <v>245</v>
      </c>
      <c r="D70" s="16" t="s">
        <v>246</v>
      </c>
      <c r="E70" s="17" t="s">
        <v>247</v>
      </c>
      <c r="F70" s="18" t="s">
        <v>51</v>
      </c>
      <c r="G70" s="19">
        <v>78611190</v>
      </c>
      <c r="H70" s="19">
        <v>78611190</v>
      </c>
      <c r="I70" s="19">
        <v>0</v>
      </c>
      <c r="J70" s="20">
        <v>0</v>
      </c>
      <c r="K70" s="19">
        <v>108000000</v>
      </c>
      <c r="L70" s="21">
        <v>0</v>
      </c>
      <c r="M70" s="19">
        <v>6124355</v>
      </c>
      <c r="N70" s="19">
        <v>0</v>
      </c>
      <c r="O70" s="19">
        <v>0</v>
      </c>
      <c r="P70" s="19">
        <v>41779</v>
      </c>
      <c r="Q70" s="19">
        <v>0</v>
      </c>
      <c r="R70" s="22"/>
      <c r="S70" s="19">
        <v>0</v>
      </c>
      <c r="T70" s="19">
        <v>41779</v>
      </c>
      <c r="U70" s="19">
        <v>0</v>
      </c>
      <c r="V70" s="3"/>
      <c r="W70" s="23">
        <v>0</v>
      </c>
      <c r="X70" s="24">
        <v>8512</v>
      </c>
      <c r="Y70" s="24" t="s">
        <v>52</v>
      </c>
    </row>
    <row r="71" spans="1:25" hidden="1" x14ac:dyDescent="0.25">
      <c r="A71" s="13">
        <v>66</v>
      </c>
      <c r="B71" s="14">
        <v>539</v>
      </c>
      <c r="C71" s="15" t="s">
        <v>248</v>
      </c>
      <c r="D71" s="16" t="s">
        <v>249</v>
      </c>
      <c r="E71" s="17" t="s">
        <v>250</v>
      </c>
      <c r="F71" s="18" t="s">
        <v>51</v>
      </c>
      <c r="G71" s="19">
        <v>78560729</v>
      </c>
      <c r="H71" s="19">
        <v>78560729</v>
      </c>
      <c r="I71" s="19">
        <v>0</v>
      </c>
      <c r="J71" s="20">
        <v>0</v>
      </c>
      <c r="K71" s="19">
        <v>108000000</v>
      </c>
      <c r="L71" s="21">
        <v>0</v>
      </c>
      <c r="M71" s="19">
        <v>6154871</v>
      </c>
      <c r="N71" s="19">
        <v>0</v>
      </c>
      <c r="O71" s="19">
        <v>0</v>
      </c>
      <c r="P71" s="19">
        <v>33016</v>
      </c>
      <c r="Q71" s="19">
        <v>0</v>
      </c>
      <c r="R71" s="22"/>
      <c r="S71" s="19">
        <v>0</v>
      </c>
      <c r="T71" s="19">
        <v>33016</v>
      </c>
      <c r="U71" s="19">
        <v>0</v>
      </c>
      <c r="V71" s="3"/>
      <c r="W71" s="23">
        <v>0</v>
      </c>
      <c r="X71" s="24">
        <v>8512</v>
      </c>
      <c r="Y71" s="24" t="s">
        <v>52</v>
      </c>
    </row>
    <row r="72" spans="1:25" hidden="1" x14ac:dyDescent="0.25">
      <c r="A72" s="13">
        <v>67</v>
      </c>
      <c r="B72" s="14">
        <v>541</v>
      </c>
      <c r="C72" s="15" t="s">
        <v>251</v>
      </c>
      <c r="D72" s="16" t="s">
        <v>252</v>
      </c>
      <c r="E72" s="17" t="s">
        <v>253</v>
      </c>
      <c r="F72" s="18" t="s">
        <v>51</v>
      </c>
      <c r="G72" s="19">
        <v>81809334</v>
      </c>
      <c r="H72" s="19">
        <v>81809334</v>
      </c>
      <c r="I72" s="19">
        <v>0</v>
      </c>
      <c r="J72" s="20">
        <v>0</v>
      </c>
      <c r="K72" s="19">
        <v>108000000</v>
      </c>
      <c r="L72" s="21">
        <v>0</v>
      </c>
      <c r="M72" s="19">
        <v>6575771</v>
      </c>
      <c r="N72" s="19">
        <v>0</v>
      </c>
      <c r="O72" s="19">
        <v>0</v>
      </c>
      <c r="P72" s="19">
        <v>18568</v>
      </c>
      <c r="Q72" s="19">
        <v>0</v>
      </c>
      <c r="R72" s="22"/>
      <c r="S72" s="19">
        <v>0</v>
      </c>
      <c r="T72" s="19">
        <v>18568</v>
      </c>
      <c r="U72" s="19">
        <v>0</v>
      </c>
      <c r="V72" s="3"/>
      <c r="W72" s="23">
        <v>0</v>
      </c>
      <c r="X72" s="24">
        <v>8512</v>
      </c>
      <c r="Y72" s="24" t="s">
        <v>52</v>
      </c>
    </row>
    <row r="73" spans="1:25" hidden="1" x14ac:dyDescent="0.25">
      <c r="A73" s="13">
        <v>68</v>
      </c>
      <c r="B73" s="14">
        <v>542</v>
      </c>
      <c r="C73" s="15" t="s">
        <v>254</v>
      </c>
      <c r="D73" s="16" t="s">
        <v>255</v>
      </c>
      <c r="E73" s="17" t="s">
        <v>256</v>
      </c>
      <c r="F73" s="18" t="s">
        <v>51</v>
      </c>
      <c r="G73" s="19">
        <v>80598739</v>
      </c>
      <c r="H73" s="19">
        <v>80598739</v>
      </c>
      <c r="I73" s="19">
        <v>0</v>
      </c>
      <c r="J73" s="20">
        <v>0</v>
      </c>
      <c r="K73" s="19">
        <v>108000000</v>
      </c>
      <c r="L73" s="21">
        <v>0</v>
      </c>
      <c r="M73" s="19">
        <v>6575771</v>
      </c>
      <c r="N73" s="19">
        <v>0</v>
      </c>
      <c r="O73" s="19">
        <v>0</v>
      </c>
      <c r="P73" s="19">
        <v>19304</v>
      </c>
      <c r="Q73" s="19">
        <v>0</v>
      </c>
      <c r="R73" s="22"/>
      <c r="S73" s="19">
        <v>0</v>
      </c>
      <c r="T73" s="19">
        <v>19304</v>
      </c>
      <c r="U73" s="19">
        <v>0</v>
      </c>
      <c r="V73" s="3"/>
      <c r="W73" s="23">
        <v>0</v>
      </c>
      <c r="X73" s="24">
        <v>8512</v>
      </c>
      <c r="Y73" s="24" t="s">
        <v>52</v>
      </c>
    </row>
    <row r="74" spans="1:25" hidden="1" x14ac:dyDescent="0.25">
      <c r="A74" s="13">
        <v>69</v>
      </c>
      <c r="B74" s="14">
        <v>565</v>
      </c>
      <c r="C74" s="15" t="s">
        <v>257</v>
      </c>
      <c r="D74" s="16" t="s">
        <v>258</v>
      </c>
      <c r="E74" s="17" t="s">
        <v>259</v>
      </c>
      <c r="F74" s="18" t="s">
        <v>51</v>
      </c>
      <c r="G74" s="19">
        <v>78049265</v>
      </c>
      <c r="H74" s="19">
        <v>78049265</v>
      </c>
      <c r="I74" s="19">
        <v>0</v>
      </c>
      <c r="J74" s="20">
        <v>0</v>
      </c>
      <c r="K74" s="19">
        <v>108000000</v>
      </c>
      <c r="L74" s="21">
        <v>0</v>
      </c>
      <c r="M74" s="19">
        <v>6282458</v>
      </c>
      <c r="N74" s="19">
        <v>0</v>
      </c>
      <c r="O74" s="19">
        <v>0</v>
      </c>
      <c r="P74" s="19">
        <v>11881</v>
      </c>
      <c r="Q74" s="19">
        <v>0</v>
      </c>
      <c r="R74" s="22"/>
      <c r="S74" s="19">
        <v>0</v>
      </c>
      <c r="T74" s="19">
        <v>11881</v>
      </c>
      <c r="U74" s="19">
        <v>0</v>
      </c>
      <c r="V74" s="3"/>
      <c r="W74" s="23">
        <v>0</v>
      </c>
      <c r="X74" s="24">
        <v>8511</v>
      </c>
      <c r="Y74" s="24" t="s">
        <v>52</v>
      </c>
    </row>
    <row r="75" spans="1:25" hidden="1" x14ac:dyDescent="0.25">
      <c r="A75" s="13">
        <v>70</v>
      </c>
      <c r="B75" s="14">
        <v>566</v>
      </c>
      <c r="C75" s="15" t="s">
        <v>260</v>
      </c>
      <c r="D75" s="16" t="s">
        <v>261</v>
      </c>
      <c r="E75" s="17" t="s">
        <v>262</v>
      </c>
      <c r="F75" s="18" t="s">
        <v>51</v>
      </c>
      <c r="G75" s="19">
        <v>76276454</v>
      </c>
      <c r="H75" s="19">
        <v>76276454</v>
      </c>
      <c r="I75" s="19">
        <v>0</v>
      </c>
      <c r="J75" s="20">
        <v>0</v>
      </c>
      <c r="K75" s="19">
        <v>108000000</v>
      </c>
      <c r="L75" s="21">
        <v>0</v>
      </c>
      <c r="M75" s="19">
        <v>6170827</v>
      </c>
      <c r="N75" s="19">
        <v>0</v>
      </c>
      <c r="O75" s="19">
        <v>0</v>
      </c>
      <c r="P75" s="19">
        <v>17762</v>
      </c>
      <c r="Q75" s="19">
        <v>0</v>
      </c>
      <c r="R75" s="22"/>
      <c r="S75" s="19">
        <v>0</v>
      </c>
      <c r="T75" s="19">
        <v>17762</v>
      </c>
      <c r="U75" s="19">
        <v>0</v>
      </c>
      <c r="V75" s="3"/>
      <c r="W75" s="23">
        <v>0</v>
      </c>
      <c r="X75" s="24">
        <v>8511</v>
      </c>
      <c r="Y75" s="24" t="s">
        <v>52</v>
      </c>
    </row>
    <row r="76" spans="1:25" hidden="1" x14ac:dyDescent="0.25">
      <c r="A76" s="13">
        <v>71</v>
      </c>
      <c r="B76" s="14">
        <v>571</v>
      </c>
      <c r="C76" s="15" t="s">
        <v>263</v>
      </c>
      <c r="D76" s="16" t="s">
        <v>264</v>
      </c>
      <c r="E76" s="17" t="s">
        <v>265</v>
      </c>
      <c r="F76" s="18" t="s">
        <v>51</v>
      </c>
      <c r="G76" s="19">
        <v>85762103</v>
      </c>
      <c r="H76" s="19">
        <v>85762103</v>
      </c>
      <c r="I76" s="19">
        <v>0</v>
      </c>
      <c r="J76" s="20">
        <v>0</v>
      </c>
      <c r="K76" s="19">
        <v>108000000</v>
      </c>
      <c r="L76" s="21">
        <v>0</v>
      </c>
      <c r="M76" s="19">
        <v>6282458</v>
      </c>
      <c r="N76" s="19">
        <v>0</v>
      </c>
      <c r="O76" s="19">
        <v>0</v>
      </c>
      <c r="P76" s="19">
        <v>38414</v>
      </c>
      <c r="Q76" s="19">
        <v>0</v>
      </c>
      <c r="R76" s="22"/>
      <c r="S76" s="19">
        <v>0</v>
      </c>
      <c r="T76" s="19">
        <v>38414</v>
      </c>
      <c r="U76" s="19">
        <v>0</v>
      </c>
      <c r="V76" s="3"/>
      <c r="W76" s="23">
        <v>0</v>
      </c>
      <c r="X76" s="24">
        <v>8511</v>
      </c>
      <c r="Y76" s="24" t="s">
        <v>52</v>
      </c>
    </row>
    <row r="77" spans="1:25" hidden="1" x14ac:dyDescent="0.25">
      <c r="A77" s="13">
        <v>72</v>
      </c>
      <c r="B77" s="14">
        <v>572</v>
      </c>
      <c r="C77" s="15" t="s">
        <v>266</v>
      </c>
      <c r="D77" s="16" t="s">
        <v>267</v>
      </c>
      <c r="E77" s="17" t="s">
        <v>268</v>
      </c>
      <c r="F77" s="18" t="s">
        <v>51</v>
      </c>
      <c r="G77" s="19">
        <v>74719580</v>
      </c>
      <c r="H77" s="19">
        <v>74719580</v>
      </c>
      <c r="I77" s="19">
        <v>0</v>
      </c>
      <c r="J77" s="20">
        <v>0</v>
      </c>
      <c r="K77" s="19">
        <v>108000000</v>
      </c>
      <c r="L77" s="21">
        <v>0</v>
      </c>
      <c r="M77" s="19">
        <v>6090288</v>
      </c>
      <c r="N77" s="19">
        <v>0</v>
      </c>
      <c r="O77" s="19">
        <v>0</v>
      </c>
      <c r="P77" s="19">
        <v>12542</v>
      </c>
      <c r="Q77" s="19">
        <v>0</v>
      </c>
      <c r="R77" s="22"/>
      <c r="S77" s="19">
        <v>0</v>
      </c>
      <c r="T77" s="19">
        <v>12542</v>
      </c>
      <c r="U77" s="19">
        <v>0</v>
      </c>
      <c r="V77" s="3"/>
      <c r="W77" s="23">
        <v>0</v>
      </c>
      <c r="X77" s="24">
        <v>8511</v>
      </c>
      <c r="Y77" s="24" t="s">
        <v>52</v>
      </c>
    </row>
    <row r="78" spans="1:25" hidden="1" x14ac:dyDescent="0.25">
      <c r="A78" s="13">
        <v>73</v>
      </c>
      <c r="B78" s="14">
        <v>573</v>
      </c>
      <c r="C78" s="15" t="s">
        <v>269</v>
      </c>
      <c r="D78" s="16" t="s">
        <v>270</v>
      </c>
      <c r="E78" s="17" t="s">
        <v>271</v>
      </c>
      <c r="F78" s="18" t="s">
        <v>51</v>
      </c>
      <c r="G78" s="19">
        <v>79386515</v>
      </c>
      <c r="H78" s="19">
        <v>79386515</v>
      </c>
      <c r="I78" s="19">
        <v>0</v>
      </c>
      <c r="J78" s="20">
        <v>0</v>
      </c>
      <c r="K78" s="19">
        <v>108000000</v>
      </c>
      <c r="L78" s="21">
        <v>0</v>
      </c>
      <c r="M78" s="19">
        <v>6090288</v>
      </c>
      <c r="N78" s="19">
        <v>0</v>
      </c>
      <c r="O78" s="19">
        <v>0</v>
      </c>
      <c r="P78" s="19">
        <v>17657</v>
      </c>
      <c r="Q78" s="19">
        <v>0</v>
      </c>
      <c r="R78" s="22"/>
      <c r="S78" s="19">
        <v>0</v>
      </c>
      <c r="T78" s="19">
        <v>17657</v>
      </c>
      <c r="U78" s="19">
        <v>0</v>
      </c>
      <c r="V78" s="3"/>
      <c r="W78" s="23">
        <v>0</v>
      </c>
      <c r="X78" s="24">
        <v>8511</v>
      </c>
      <c r="Y78" s="24" t="s">
        <v>52</v>
      </c>
    </row>
    <row r="79" spans="1:25" hidden="1" x14ac:dyDescent="0.25">
      <c r="A79" s="13">
        <v>74</v>
      </c>
      <c r="B79" s="14">
        <v>576</v>
      </c>
      <c r="C79" s="15" t="s">
        <v>272</v>
      </c>
      <c r="D79" s="16" t="s">
        <v>273</v>
      </c>
      <c r="E79" s="17" t="s">
        <v>274</v>
      </c>
      <c r="F79" s="18" t="s">
        <v>51</v>
      </c>
      <c r="G79" s="19">
        <v>76451405</v>
      </c>
      <c r="H79" s="19">
        <v>76451405</v>
      </c>
      <c r="I79" s="19">
        <v>0</v>
      </c>
      <c r="J79" s="20">
        <v>0</v>
      </c>
      <c r="K79" s="19">
        <v>108000000</v>
      </c>
      <c r="L79" s="21">
        <v>0</v>
      </c>
      <c r="M79" s="19">
        <v>6060154</v>
      </c>
      <c r="N79" s="19">
        <v>0</v>
      </c>
      <c r="O79" s="19">
        <v>0</v>
      </c>
      <c r="P79" s="19">
        <v>13683</v>
      </c>
      <c r="Q79" s="19">
        <v>0</v>
      </c>
      <c r="R79" s="22"/>
      <c r="S79" s="19">
        <v>0</v>
      </c>
      <c r="T79" s="19">
        <v>13683</v>
      </c>
      <c r="U79" s="19">
        <v>0</v>
      </c>
      <c r="V79" s="3"/>
      <c r="W79" s="23">
        <v>0</v>
      </c>
      <c r="X79" s="24">
        <v>8511</v>
      </c>
      <c r="Y79" s="24" t="s">
        <v>52</v>
      </c>
    </row>
    <row r="80" spans="1:25" hidden="1" x14ac:dyDescent="0.25">
      <c r="A80" s="13">
        <v>75</v>
      </c>
      <c r="B80" s="14">
        <v>579</v>
      </c>
      <c r="C80" s="15" t="s">
        <v>275</v>
      </c>
      <c r="D80" s="16" t="s">
        <v>276</v>
      </c>
      <c r="E80" s="17" t="s">
        <v>277</v>
      </c>
      <c r="F80" s="18" t="s">
        <v>51</v>
      </c>
      <c r="G80" s="19">
        <v>79823128</v>
      </c>
      <c r="H80" s="19">
        <v>79823128</v>
      </c>
      <c r="I80" s="19">
        <v>0</v>
      </c>
      <c r="J80" s="20">
        <v>0</v>
      </c>
      <c r="K80" s="19">
        <v>108000000</v>
      </c>
      <c r="L80" s="21">
        <v>0</v>
      </c>
      <c r="M80" s="19">
        <v>6170827</v>
      </c>
      <c r="N80" s="19">
        <v>0</v>
      </c>
      <c r="O80" s="19">
        <v>0</v>
      </c>
      <c r="P80" s="19">
        <v>12386</v>
      </c>
      <c r="Q80" s="19">
        <v>0</v>
      </c>
      <c r="R80" s="22"/>
      <c r="S80" s="19">
        <v>0</v>
      </c>
      <c r="T80" s="19">
        <v>12386</v>
      </c>
      <c r="U80" s="19">
        <v>0</v>
      </c>
      <c r="V80" s="3"/>
      <c r="W80" s="23">
        <v>0</v>
      </c>
      <c r="X80" s="24">
        <v>8511</v>
      </c>
      <c r="Y80" s="24" t="s">
        <v>52</v>
      </c>
    </row>
    <row r="81" spans="1:25" hidden="1" x14ac:dyDescent="0.25">
      <c r="A81" s="13">
        <v>76</v>
      </c>
      <c r="B81" s="14">
        <v>607</v>
      </c>
      <c r="C81" s="15" t="s">
        <v>278</v>
      </c>
      <c r="D81" s="16" t="s">
        <v>279</v>
      </c>
      <c r="E81" s="17" t="s">
        <v>280</v>
      </c>
      <c r="F81" s="18" t="s">
        <v>51</v>
      </c>
      <c r="G81" s="19">
        <v>83806782</v>
      </c>
      <c r="H81" s="19">
        <v>83806782</v>
      </c>
      <c r="I81" s="19">
        <v>0</v>
      </c>
      <c r="J81" s="20">
        <v>0</v>
      </c>
      <c r="K81" s="19">
        <v>108000000</v>
      </c>
      <c r="L81" s="21">
        <v>0</v>
      </c>
      <c r="M81" s="19">
        <v>6170827</v>
      </c>
      <c r="N81" s="19">
        <v>0</v>
      </c>
      <c r="O81" s="19">
        <v>0</v>
      </c>
      <c r="P81" s="19">
        <v>32811</v>
      </c>
      <c r="Q81" s="19">
        <v>0</v>
      </c>
      <c r="R81" s="22"/>
      <c r="S81" s="19">
        <v>0</v>
      </c>
      <c r="T81" s="19">
        <v>32811</v>
      </c>
      <c r="U81" s="19">
        <v>0</v>
      </c>
      <c r="V81" s="3"/>
      <c r="W81" s="23">
        <v>0</v>
      </c>
      <c r="X81" s="24">
        <v>8512</v>
      </c>
      <c r="Y81" s="24" t="s">
        <v>52</v>
      </c>
    </row>
    <row r="82" spans="1:25" hidden="1" x14ac:dyDescent="0.25">
      <c r="A82" s="13">
        <v>77</v>
      </c>
      <c r="B82" s="14">
        <v>614</v>
      </c>
      <c r="C82" s="15" t="s">
        <v>281</v>
      </c>
      <c r="D82" s="16" t="s">
        <v>282</v>
      </c>
      <c r="E82" s="17" t="s">
        <v>283</v>
      </c>
      <c r="F82" s="18" t="s">
        <v>51</v>
      </c>
      <c r="G82" s="19">
        <v>86772641</v>
      </c>
      <c r="H82" s="19">
        <v>86772641</v>
      </c>
      <c r="I82" s="19">
        <v>0</v>
      </c>
      <c r="J82" s="20">
        <v>0</v>
      </c>
      <c r="K82" s="19">
        <v>108000000</v>
      </c>
      <c r="L82" s="21">
        <v>0</v>
      </c>
      <c r="M82" s="19">
        <v>6267652</v>
      </c>
      <c r="N82" s="19">
        <v>0</v>
      </c>
      <c r="O82" s="19">
        <v>0</v>
      </c>
      <c r="P82" s="19">
        <v>58369</v>
      </c>
      <c r="Q82" s="19">
        <v>0</v>
      </c>
      <c r="R82" s="22"/>
      <c r="S82" s="19">
        <v>0</v>
      </c>
      <c r="T82" s="19">
        <v>58369</v>
      </c>
      <c r="U82" s="19">
        <v>0</v>
      </c>
      <c r="V82" s="3"/>
      <c r="W82" s="23">
        <v>0</v>
      </c>
      <c r="X82" s="24">
        <v>8512</v>
      </c>
      <c r="Y82" s="24" t="s">
        <v>52</v>
      </c>
    </row>
    <row r="83" spans="1:25" x14ac:dyDescent="0.25">
      <c r="A83" s="13">
        <v>78</v>
      </c>
      <c r="B83" s="14">
        <v>632</v>
      </c>
      <c r="C83" s="15" t="s">
        <v>284</v>
      </c>
      <c r="D83" s="16" t="s">
        <v>285</v>
      </c>
      <c r="E83" s="17" t="s">
        <v>286</v>
      </c>
      <c r="F83" s="18" t="s">
        <v>51</v>
      </c>
      <c r="G83" s="19">
        <v>80872354</v>
      </c>
      <c r="H83" s="19">
        <v>80872354</v>
      </c>
      <c r="I83" s="19">
        <v>0</v>
      </c>
      <c r="J83" s="20">
        <v>0</v>
      </c>
      <c r="K83" s="19">
        <v>108000000</v>
      </c>
      <c r="L83" s="21">
        <v>0</v>
      </c>
      <c r="M83" s="19">
        <v>6060154</v>
      </c>
      <c r="N83" s="19">
        <v>0</v>
      </c>
      <c r="O83" s="19">
        <v>0</v>
      </c>
      <c r="P83" s="19">
        <v>21989</v>
      </c>
      <c r="Q83" s="19">
        <v>0</v>
      </c>
      <c r="R83" s="22"/>
      <c r="S83" s="19">
        <v>0</v>
      </c>
      <c r="T83" s="19">
        <v>21989</v>
      </c>
      <c r="U83" s="19">
        <v>0</v>
      </c>
      <c r="V83" s="3"/>
      <c r="W83" s="23">
        <v>0</v>
      </c>
      <c r="X83" s="24" t="s">
        <v>72</v>
      </c>
      <c r="Y83" s="24" t="s">
        <v>52</v>
      </c>
    </row>
    <row r="84" spans="1:25" hidden="1" x14ac:dyDescent="0.25">
      <c r="A84" s="13">
        <v>79</v>
      </c>
      <c r="B84" s="14">
        <v>647</v>
      </c>
      <c r="C84" s="15" t="s">
        <v>287</v>
      </c>
      <c r="D84" s="16" t="s">
        <v>288</v>
      </c>
      <c r="E84" s="17" t="s">
        <v>289</v>
      </c>
      <c r="F84" s="18" t="s">
        <v>51</v>
      </c>
      <c r="G84" s="19">
        <v>76956748</v>
      </c>
      <c r="H84" s="19">
        <v>76956748</v>
      </c>
      <c r="I84" s="19">
        <v>0</v>
      </c>
      <c r="J84" s="20">
        <v>0</v>
      </c>
      <c r="K84" s="19">
        <v>108000000</v>
      </c>
      <c r="L84" s="21">
        <v>0</v>
      </c>
      <c r="M84" s="19">
        <v>6090288</v>
      </c>
      <c r="N84" s="19">
        <v>0</v>
      </c>
      <c r="O84" s="19">
        <v>0</v>
      </c>
      <c r="P84" s="19">
        <v>12119</v>
      </c>
      <c r="Q84" s="19">
        <v>0</v>
      </c>
      <c r="R84" s="22"/>
      <c r="S84" s="19">
        <v>0</v>
      </c>
      <c r="T84" s="19">
        <v>12119</v>
      </c>
      <c r="U84" s="19">
        <v>0</v>
      </c>
      <c r="V84" s="3"/>
      <c r="W84" s="23">
        <v>0</v>
      </c>
      <c r="X84" s="24">
        <v>8512</v>
      </c>
      <c r="Y84" s="24" t="s">
        <v>52</v>
      </c>
    </row>
    <row r="85" spans="1:25" hidden="1" x14ac:dyDescent="0.25">
      <c r="A85" s="13">
        <v>80</v>
      </c>
      <c r="B85" s="14">
        <v>649</v>
      </c>
      <c r="C85" s="15" t="s">
        <v>290</v>
      </c>
      <c r="D85" s="16" t="s">
        <v>291</v>
      </c>
      <c r="E85" s="17" t="s">
        <v>292</v>
      </c>
      <c r="F85" s="18" t="s">
        <v>51</v>
      </c>
      <c r="G85" s="19">
        <v>79978058</v>
      </c>
      <c r="H85" s="19">
        <v>79978058</v>
      </c>
      <c r="I85" s="19">
        <v>0</v>
      </c>
      <c r="J85" s="20">
        <v>0</v>
      </c>
      <c r="K85" s="19">
        <v>108000000</v>
      </c>
      <c r="L85" s="21">
        <v>0</v>
      </c>
      <c r="M85" s="19">
        <v>6142977</v>
      </c>
      <c r="N85" s="19">
        <v>0</v>
      </c>
      <c r="O85" s="19">
        <v>0</v>
      </c>
      <c r="P85" s="19">
        <v>25861</v>
      </c>
      <c r="Q85" s="19">
        <v>0</v>
      </c>
      <c r="R85" s="22"/>
      <c r="S85" s="19">
        <v>0</v>
      </c>
      <c r="T85" s="19">
        <v>25861</v>
      </c>
      <c r="U85" s="19">
        <v>0</v>
      </c>
      <c r="V85" s="3"/>
      <c r="W85" s="23">
        <v>0</v>
      </c>
      <c r="X85" s="24">
        <v>8511</v>
      </c>
      <c r="Y85" s="24" t="s">
        <v>52</v>
      </c>
    </row>
    <row r="86" spans="1:25" hidden="1" x14ac:dyDescent="0.25">
      <c r="A86" s="13">
        <v>81</v>
      </c>
      <c r="B86" s="14">
        <v>657</v>
      </c>
      <c r="C86" s="15" t="s">
        <v>293</v>
      </c>
      <c r="D86" s="16" t="s">
        <v>294</v>
      </c>
      <c r="E86" s="17" t="s">
        <v>295</v>
      </c>
      <c r="F86" s="18" t="s">
        <v>51</v>
      </c>
      <c r="G86" s="19">
        <v>77089162</v>
      </c>
      <c r="H86" s="19">
        <v>77089162</v>
      </c>
      <c r="I86" s="19">
        <v>0</v>
      </c>
      <c r="J86" s="20">
        <v>0</v>
      </c>
      <c r="K86" s="19">
        <v>108000000</v>
      </c>
      <c r="L86" s="21">
        <v>0</v>
      </c>
      <c r="M86" s="19">
        <v>6140215</v>
      </c>
      <c r="N86" s="19">
        <v>0</v>
      </c>
      <c r="O86" s="19">
        <v>0</v>
      </c>
      <c r="P86" s="19">
        <v>14745</v>
      </c>
      <c r="Q86" s="19">
        <v>0</v>
      </c>
      <c r="R86" s="22"/>
      <c r="S86" s="19">
        <v>0</v>
      </c>
      <c r="T86" s="19">
        <v>14745</v>
      </c>
      <c r="U86" s="19">
        <v>0</v>
      </c>
      <c r="V86" s="3"/>
      <c r="W86" s="23">
        <v>0</v>
      </c>
      <c r="X86" s="24">
        <v>8512</v>
      </c>
      <c r="Y86" s="24" t="s">
        <v>52</v>
      </c>
    </row>
    <row r="87" spans="1:25" hidden="1" x14ac:dyDescent="0.25">
      <c r="A87" s="13">
        <v>82</v>
      </c>
      <c r="B87" s="14">
        <v>662</v>
      </c>
      <c r="C87" s="15" t="s">
        <v>296</v>
      </c>
      <c r="D87" s="16" t="s">
        <v>297</v>
      </c>
      <c r="E87" s="17" t="s">
        <v>298</v>
      </c>
      <c r="F87" s="18" t="s">
        <v>51</v>
      </c>
      <c r="G87" s="19">
        <v>73709263</v>
      </c>
      <c r="H87" s="19">
        <v>73709263</v>
      </c>
      <c r="I87" s="19">
        <v>0</v>
      </c>
      <c r="J87" s="20">
        <v>0</v>
      </c>
      <c r="K87" s="19">
        <v>108000000</v>
      </c>
      <c r="L87" s="21">
        <v>0</v>
      </c>
      <c r="M87" s="19">
        <v>6090288</v>
      </c>
      <c r="N87" s="19">
        <v>0</v>
      </c>
      <c r="O87" s="19">
        <v>0</v>
      </c>
      <c r="P87" s="19">
        <v>17507</v>
      </c>
      <c r="Q87" s="19">
        <v>0</v>
      </c>
      <c r="R87" s="22"/>
      <c r="S87" s="19">
        <v>0</v>
      </c>
      <c r="T87" s="19">
        <v>17507</v>
      </c>
      <c r="U87" s="19">
        <v>0</v>
      </c>
      <c r="V87" s="3"/>
      <c r="W87" s="23">
        <v>0</v>
      </c>
      <c r="X87" s="24">
        <v>8512</v>
      </c>
      <c r="Y87" s="24" t="s">
        <v>52</v>
      </c>
    </row>
    <row r="88" spans="1:25" x14ac:dyDescent="0.25">
      <c r="A88" s="13">
        <v>83</v>
      </c>
      <c r="B88" s="14">
        <v>672</v>
      </c>
      <c r="C88" s="15" t="s">
        <v>299</v>
      </c>
      <c r="D88" s="16" t="s">
        <v>300</v>
      </c>
      <c r="E88" s="17" t="s">
        <v>301</v>
      </c>
      <c r="F88" s="18" t="s">
        <v>51</v>
      </c>
      <c r="G88" s="19">
        <v>86557370</v>
      </c>
      <c r="H88" s="19">
        <v>86557370</v>
      </c>
      <c r="I88" s="19">
        <v>0</v>
      </c>
      <c r="J88" s="20">
        <v>0</v>
      </c>
      <c r="K88" s="19">
        <v>108000000</v>
      </c>
      <c r="L88" s="21">
        <v>0</v>
      </c>
      <c r="M88" s="19">
        <v>6170827</v>
      </c>
      <c r="N88" s="19">
        <v>0</v>
      </c>
      <c r="O88" s="19">
        <v>0</v>
      </c>
      <c r="P88" s="19">
        <v>55925</v>
      </c>
      <c r="Q88" s="19">
        <v>0</v>
      </c>
      <c r="R88" s="22"/>
      <c r="S88" s="19">
        <v>0</v>
      </c>
      <c r="T88" s="19">
        <v>55925</v>
      </c>
      <c r="U88" s="19">
        <v>0</v>
      </c>
      <c r="V88" s="3"/>
      <c r="W88" s="23">
        <v>0</v>
      </c>
      <c r="X88" s="24" t="s">
        <v>72</v>
      </c>
      <c r="Y88" s="24" t="s">
        <v>52</v>
      </c>
    </row>
    <row r="89" spans="1:25" hidden="1" x14ac:dyDescent="0.25">
      <c r="A89" s="13">
        <v>84</v>
      </c>
      <c r="B89" s="14">
        <v>676</v>
      </c>
      <c r="C89" s="15" t="s">
        <v>302</v>
      </c>
      <c r="D89" s="16" t="s">
        <v>303</v>
      </c>
      <c r="E89" s="17" t="s">
        <v>304</v>
      </c>
      <c r="F89" s="18" t="s">
        <v>51</v>
      </c>
      <c r="G89" s="19">
        <v>80524923</v>
      </c>
      <c r="H89" s="19">
        <v>80524923</v>
      </c>
      <c r="I89" s="19">
        <v>0</v>
      </c>
      <c r="J89" s="20">
        <v>0</v>
      </c>
      <c r="K89" s="19">
        <v>108000000</v>
      </c>
      <c r="L89" s="21">
        <v>0</v>
      </c>
      <c r="M89" s="19">
        <v>6142977</v>
      </c>
      <c r="N89" s="19">
        <v>0</v>
      </c>
      <c r="O89" s="19">
        <v>0</v>
      </c>
      <c r="P89" s="19">
        <v>32001</v>
      </c>
      <c r="Q89" s="19">
        <v>0</v>
      </c>
      <c r="R89" s="22"/>
      <c r="S89" s="19">
        <v>0</v>
      </c>
      <c r="T89" s="19">
        <v>32001</v>
      </c>
      <c r="U89" s="19">
        <v>0</v>
      </c>
      <c r="V89" s="3"/>
      <c r="W89" s="23">
        <v>0</v>
      </c>
      <c r="X89" s="24">
        <v>8511</v>
      </c>
      <c r="Y89" s="24" t="s">
        <v>52</v>
      </c>
    </row>
    <row r="90" spans="1:25" x14ac:dyDescent="0.25">
      <c r="A90" s="13">
        <v>85</v>
      </c>
      <c r="B90" s="14">
        <v>684</v>
      </c>
      <c r="C90" s="15" t="s">
        <v>305</v>
      </c>
      <c r="D90" s="16" t="s">
        <v>306</v>
      </c>
      <c r="E90" s="17" t="s">
        <v>307</v>
      </c>
      <c r="F90" s="18" t="s">
        <v>51</v>
      </c>
      <c r="G90" s="19">
        <v>78854090</v>
      </c>
      <c r="H90" s="19">
        <v>78854090</v>
      </c>
      <c r="I90" s="19">
        <v>0</v>
      </c>
      <c r="J90" s="20">
        <v>0</v>
      </c>
      <c r="K90" s="19">
        <v>108000000</v>
      </c>
      <c r="L90" s="21">
        <v>0</v>
      </c>
      <c r="M90" s="19">
        <v>6170827</v>
      </c>
      <c r="N90" s="19">
        <v>0</v>
      </c>
      <c r="O90" s="19">
        <v>0</v>
      </c>
      <c r="P90" s="19">
        <v>23797</v>
      </c>
      <c r="Q90" s="19">
        <v>0</v>
      </c>
      <c r="R90" s="22"/>
      <c r="S90" s="19">
        <v>0</v>
      </c>
      <c r="T90" s="19">
        <v>23797</v>
      </c>
      <c r="U90" s="19">
        <v>0</v>
      </c>
      <c r="V90" s="3"/>
      <c r="W90" s="23">
        <v>0</v>
      </c>
      <c r="X90" s="24" t="s">
        <v>72</v>
      </c>
      <c r="Y90" s="24" t="s">
        <v>52</v>
      </c>
    </row>
    <row r="91" spans="1:25" x14ac:dyDescent="0.25">
      <c r="A91" s="13">
        <v>86</v>
      </c>
      <c r="B91" s="14">
        <v>685</v>
      </c>
      <c r="C91" s="15" t="s">
        <v>308</v>
      </c>
      <c r="D91" s="16" t="s">
        <v>309</v>
      </c>
      <c r="E91" s="17" t="s">
        <v>310</v>
      </c>
      <c r="F91" s="18" t="s">
        <v>51</v>
      </c>
      <c r="G91" s="19">
        <v>78290093</v>
      </c>
      <c r="H91" s="19">
        <v>78290093</v>
      </c>
      <c r="I91" s="19">
        <v>0</v>
      </c>
      <c r="J91" s="20">
        <v>0</v>
      </c>
      <c r="K91" s="19">
        <v>108000000</v>
      </c>
      <c r="L91" s="21">
        <v>0</v>
      </c>
      <c r="M91" s="19">
        <v>6174640</v>
      </c>
      <c r="N91" s="19">
        <v>0</v>
      </c>
      <c r="O91" s="19">
        <v>0</v>
      </c>
      <c r="P91" s="19">
        <v>27186</v>
      </c>
      <c r="Q91" s="19">
        <v>0</v>
      </c>
      <c r="R91" s="22"/>
      <c r="S91" s="19">
        <v>0</v>
      </c>
      <c r="T91" s="19">
        <v>27186</v>
      </c>
      <c r="U91" s="19">
        <v>0</v>
      </c>
      <c r="V91" s="3"/>
      <c r="W91" s="23">
        <v>0</v>
      </c>
      <c r="X91" s="24" t="s">
        <v>72</v>
      </c>
      <c r="Y91" s="24" t="s">
        <v>52</v>
      </c>
    </row>
    <row r="92" spans="1:25" x14ac:dyDescent="0.25">
      <c r="A92" s="13">
        <v>87</v>
      </c>
      <c r="B92" s="14">
        <v>704</v>
      </c>
      <c r="C92" s="15" t="s">
        <v>311</v>
      </c>
      <c r="D92" s="16" t="s">
        <v>312</v>
      </c>
      <c r="E92" s="17" t="s">
        <v>313</v>
      </c>
      <c r="F92" s="18" t="s">
        <v>51</v>
      </c>
      <c r="G92" s="19">
        <v>75929213</v>
      </c>
      <c r="H92" s="19">
        <v>75929213</v>
      </c>
      <c r="I92" s="19">
        <v>0</v>
      </c>
      <c r="J92" s="20">
        <v>0</v>
      </c>
      <c r="K92" s="19">
        <v>108000000</v>
      </c>
      <c r="L92" s="21">
        <v>0</v>
      </c>
      <c r="M92" s="19">
        <v>6060154</v>
      </c>
      <c r="N92" s="19">
        <v>0</v>
      </c>
      <c r="O92" s="19">
        <v>0</v>
      </c>
      <c r="P92" s="19">
        <v>14192</v>
      </c>
      <c r="Q92" s="19">
        <v>0</v>
      </c>
      <c r="R92" s="22"/>
      <c r="S92" s="19">
        <v>0</v>
      </c>
      <c r="T92" s="19">
        <v>14192</v>
      </c>
      <c r="U92" s="19">
        <v>0</v>
      </c>
      <c r="V92" s="3"/>
      <c r="W92" s="23">
        <v>0</v>
      </c>
      <c r="X92" s="24" t="s">
        <v>72</v>
      </c>
      <c r="Y92" s="24" t="s">
        <v>52</v>
      </c>
    </row>
    <row r="93" spans="1:25" hidden="1" x14ac:dyDescent="0.25">
      <c r="A93" s="13">
        <v>88</v>
      </c>
      <c r="B93" s="14">
        <v>735</v>
      </c>
      <c r="C93" s="15" t="s">
        <v>314</v>
      </c>
      <c r="D93" s="16" t="s">
        <v>315</v>
      </c>
      <c r="E93" s="17" t="s">
        <v>316</v>
      </c>
      <c r="F93" s="18" t="s">
        <v>51</v>
      </c>
      <c r="G93" s="19">
        <v>78347434</v>
      </c>
      <c r="H93" s="19">
        <v>78347434</v>
      </c>
      <c r="I93" s="19">
        <v>0</v>
      </c>
      <c r="J93" s="20">
        <v>0</v>
      </c>
      <c r="K93" s="19">
        <v>108000000</v>
      </c>
      <c r="L93" s="21">
        <v>0</v>
      </c>
      <c r="M93" s="19">
        <v>6140215</v>
      </c>
      <c r="N93" s="19">
        <v>0</v>
      </c>
      <c r="O93" s="19">
        <v>0</v>
      </c>
      <c r="P93" s="19">
        <v>14191</v>
      </c>
      <c r="Q93" s="19">
        <v>0</v>
      </c>
      <c r="R93" s="22"/>
      <c r="S93" s="19">
        <v>0</v>
      </c>
      <c r="T93" s="19">
        <v>14191</v>
      </c>
      <c r="U93" s="19">
        <v>0</v>
      </c>
      <c r="V93" s="3"/>
      <c r="W93" s="23">
        <v>0</v>
      </c>
      <c r="X93" s="24">
        <v>8511</v>
      </c>
      <c r="Y93" s="24" t="s">
        <v>52</v>
      </c>
    </row>
    <row r="94" spans="1:25" hidden="1" x14ac:dyDescent="0.25">
      <c r="A94" s="13">
        <v>89</v>
      </c>
      <c r="B94" s="14">
        <v>746</v>
      </c>
      <c r="C94" s="15" t="s">
        <v>317</v>
      </c>
      <c r="D94" s="16" t="s">
        <v>318</v>
      </c>
      <c r="E94" s="17" t="s">
        <v>319</v>
      </c>
      <c r="F94" s="18" t="s">
        <v>51</v>
      </c>
      <c r="G94" s="19">
        <v>75739306</v>
      </c>
      <c r="H94" s="19">
        <v>75739306</v>
      </c>
      <c r="I94" s="19">
        <v>0</v>
      </c>
      <c r="J94" s="20">
        <v>0</v>
      </c>
      <c r="K94" s="19">
        <v>108000000</v>
      </c>
      <c r="L94" s="21">
        <v>0</v>
      </c>
      <c r="M94" s="19">
        <v>5876295</v>
      </c>
      <c r="N94" s="19">
        <v>0</v>
      </c>
      <c r="O94" s="19">
        <v>0</v>
      </c>
      <c r="P94" s="19">
        <v>18150</v>
      </c>
      <c r="Q94" s="19">
        <v>0</v>
      </c>
      <c r="R94" s="22"/>
      <c r="S94" s="19">
        <v>0</v>
      </c>
      <c r="T94" s="19">
        <v>18150</v>
      </c>
      <c r="U94" s="19">
        <v>0</v>
      </c>
      <c r="V94" s="3"/>
      <c r="W94" s="23">
        <v>0</v>
      </c>
      <c r="X94" s="24">
        <v>8511</v>
      </c>
      <c r="Y94" s="24" t="s">
        <v>229</v>
      </c>
    </row>
    <row r="95" spans="1:25" hidden="1" x14ac:dyDescent="0.25">
      <c r="A95" s="13">
        <v>90</v>
      </c>
      <c r="B95" s="14">
        <v>749</v>
      </c>
      <c r="C95" s="15" t="s">
        <v>320</v>
      </c>
      <c r="D95" s="16" t="s">
        <v>321</v>
      </c>
      <c r="E95" s="17" t="s">
        <v>322</v>
      </c>
      <c r="F95" s="18" t="s">
        <v>51</v>
      </c>
      <c r="G95" s="19">
        <v>77022977</v>
      </c>
      <c r="H95" s="19">
        <v>77022977</v>
      </c>
      <c r="I95" s="19">
        <v>0</v>
      </c>
      <c r="J95" s="20">
        <v>0</v>
      </c>
      <c r="K95" s="19">
        <v>108000000</v>
      </c>
      <c r="L95" s="21">
        <v>0</v>
      </c>
      <c r="M95" s="19">
        <v>6201438</v>
      </c>
      <c r="N95" s="19">
        <v>0</v>
      </c>
      <c r="O95" s="19">
        <v>0</v>
      </c>
      <c r="P95" s="19">
        <v>11173</v>
      </c>
      <c r="Q95" s="19">
        <v>0</v>
      </c>
      <c r="R95" s="22"/>
      <c r="S95" s="19">
        <v>0</v>
      </c>
      <c r="T95" s="19">
        <v>11173</v>
      </c>
      <c r="U95" s="19">
        <v>0</v>
      </c>
      <c r="V95" s="3"/>
      <c r="W95" s="23">
        <v>0</v>
      </c>
      <c r="X95" s="24">
        <v>8511</v>
      </c>
      <c r="Y95" s="24" t="s">
        <v>52</v>
      </c>
    </row>
    <row r="96" spans="1:25" hidden="1" x14ac:dyDescent="0.25">
      <c r="A96" s="13">
        <v>91</v>
      </c>
      <c r="B96" s="14">
        <v>761</v>
      </c>
      <c r="C96" s="15" t="s">
        <v>323</v>
      </c>
      <c r="D96" s="16" t="s">
        <v>324</v>
      </c>
      <c r="E96" s="17" t="s">
        <v>325</v>
      </c>
      <c r="F96" s="18" t="s">
        <v>51</v>
      </c>
      <c r="G96" s="19">
        <v>74176430</v>
      </c>
      <c r="H96" s="19">
        <v>74176430</v>
      </c>
      <c r="I96" s="19">
        <v>0</v>
      </c>
      <c r="J96" s="20">
        <v>0</v>
      </c>
      <c r="K96" s="19">
        <v>108000000</v>
      </c>
      <c r="L96" s="21">
        <v>0</v>
      </c>
      <c r="M96" s="19">
        <v>6201438</v>
      </c>
      <c r="N96" s="19">
        <v>0</v>
      </c>
      <c r="O96" s="19">
        <v>0</v>
      </c>
      <c r="P96" s="19">
        <v>13380</v>
      </c>
      <c r="Q96" s="19">
        <v>0</v>
      </c>
      <c r="R96" s="22"/>
      <c r="S96" s="19">
        <v>0</v>
      </c>
      <c r="T96" s="19">
        <v>13380</v>
      </c>
      <c r="U96" s="19">
        <v>0</v>
      </c>
      <c r="V96" s="3"/>
      <c r="W96" s="23">
        <v>0</v>
      </c>
      <c r="X96" s="24">
        <v>8511</v>
      </c>
      <c r="Y96" s="24" t="s">
        <v>52</v>
      </c>
    </row>
    <row r="97" spans="1:25" hidden="1" x14ac:dyDescent="0.25">
      <c r="A97" s="13">
        <v>92</v>
      </c>
      <c r="B97" s="14">
        <v>766</v>
      </c>
      <c r="C97" s="15" t="s">
        <v>326</v>
      </c>
      <c r="D97" s="16" t="s">
        <v>327</v>
      </c>
      <c r="E97" s="17" t="s">
        <v>328</v>
      </c>
      <c r="F97" s="18" t="s">
        <v>51</v>
      </c>
      <c r="G97" s="19">
        <v>82819277</v>
      </c>
      <c r="H97" s="19">
        <v>82819277</v>
      </c>
      <c r="I97" s="19">
        <v>0</v>
      </c>
      <c r="J97" s="20">
        <v>0</v>
      </c>
      <c r="K97" s="19">
        <v>108000000</v>
      </c>
      <c r="L97" s="21">
        <v>0</v>
      </c>
      <c r="M97" s="19">
        <v>6282458</v>
      </c>
      <c r="N97" s="19">
        <v>0</v>
      </c>
      <c r="O97" s="19">
        <v>0</v>
      </c>
      <c r="P97" s="19">
        <v>45115</v>
      </c>
      <c r="Q97" s="19">
        <v>0</v>
      </c>
      <c r="R97" s="22"/>
      <c r="S97" s="19">
        <v>0</v>
      </c>
      <c r="T97" s="19">
        <v>45115</v>
      </c>
      <c r="U97" s="19">
        <v>0</v>
      </c>
      <c r="V97" s="3"/>
      <c r="W97" s="23">
        <v>0</v>
      </c>
      <c r="X97" s="24">
        <v>8512</v>
      </c>
      <c r="Y97" s="24" t="s">
        <v>52</v>
      </c>
    </row>
    <row r="98" spans="1:25" hidden="1" x14ac:dyDescent="0.25">
      <c r="A98" s="13">
        <v>93</v>
      </c>
      <c r="B98" s="14">
        <v>771</v>
      </c>
      <c r="C98" s="15" t="s">
        <v>329</v>
      </c>
      <c r="D98" s="16" t="s">
        <v>330</v>
      </c>
      <c r="E98" s="17" t="s">
        <v>331</v>
      </c>
      <c r="F98" s="18" t="s">
        <v>51</v>
      </c>
      <c r="G98" s="19">
        <v>76210624</v>
      </c>
      <c r="H98" s="19">
        <v>76210624</v>
      </c>
      <c r="I98" s="19">
        <v>0</v>
      </c>
      <c r="J98" s="20">
        <v>0</v>
      </c>
      <c r="K98" s="19">
        <v>108000000</v>
      </c>
      <c r="L98" s="21">
        <v>0</v>
      </c>
      <c r="M98" s="19">
        <v>6060154</v>
      </c>
      <c r="N98" s="19">
        <v>0</v>
      </c>
      <c r="O98" s="19">
        <v>0</v>
      </c>
      <c r="P98" s="19">
        <v>23315</v>
      </c>
      <c r="Q98" s="19">
        <v>0</v>
      </c>
      <c r="R98" s="22"/>
      <c r="S98" s="19">
        <v>0</v>
      </c>
      <c r="T98" s="19">
        <v>23315</v>
      </c>
      <c r="U98" s="19">
        <v>0</v>
      </c>
      <c r="V98" s="3"/>
      <c r="W98" s="23">
        <v>0</v>
      </c>
      <c r="X98" s="24">
        <v>8512</v>
      </c>
      <c r="Y98" s="24" t="s">
        <v>52</v>
      </c>
    </row>
    <row r="99" spans="1:25" hidden="1" x14ac:dyDescent="0.25">
      <c r="A99" s="13">
        <v>94</v>
      </c>
      <c r="B99" s="14">
        <v>772</v>
      </c>
      <c r="C99" s="15" t="s">
        <v>332</v>
      </c>
      <c r="D99" s="16" t="s">
        <v>333</v>
      </c>
      <c r="E99" s="17" t="s">
        <v>334</v>
      </c>
      <c r="F99" s="18" t="s">
        <v>51</v>
      </c>
      <c r="G99" s="19">
        <v>78429651</v>
      </c>
      <c r="H99" s="19">
        <v>78429651</v>
      </c>
      <c r="I99" s="19">
        <v>0</v>
      </c>
      <c r="J99" s="20">
        <v>0</v>
      </c>
      <c r="K99" s="19">
        <v>108000000</v>
      </c>
      <c r="L99" s="21">
        <v>0</v>
      </c>
      <c r="M99" s="19">
        <v>6090288</v>
      </c>
      <c r="N99" s="19">
        <v>0</v>
      </c>
      <c r="O99" s="19">
        <v>0</v>
      </c>
      <c r="P99" s="19">
        <v>29401</v>
      </c>
      <c r="Q99" s="19">
        <v>0</v>
      </c>
      <c r="R99" s="22"/>
      <c r="S99" s="19">
        <v>0</v>
      </c>
      <c r="T99" s="19">
        <v>29401</v>
      </c>
      <c r="U99" s="19">
        <v>0</v>
      </c>
      <c r="V99" s="3"/>
      <c r="W99" s="23">
        <v>0</v>
      </c>
      <c r="X99" s="24">
        <v>8512</v>
      </c>
      <c r="Y99" s="24" t="s">
        <v>52</v>
      </c>
    </row>
    <row r="100" spans="1:25" hidden="1" x14ac:dyDescent="0.25">
      <c r="A100" s="13">
        <v>95</v>
      </c>
      <c r="B100" s="14">
        <v>774</v>
      </c>
      <c r="C100" s="15" t="s">
        <v>335</v>
      </c>
      <c r="D100" s="16" t="s">
        <v>336</v>
      </c>
      <c r="E100" s="17" t="s">
        <v>337</v>
      </c>
      <c r="F100" s="18" t="s">
        <v>51</v>
      </c>
      <c r="G100" s="19">
        <v>82881987</v>
      </c>
      <c r="H100" s="19">
        <v>82881987</v>
      </c>
      <c r="I100" s="19">
        <v>0</v>
      </c>
      <c r="J100" s="20">
        <v>0</v>
      </c>
      <c r="K100" s="19">
        <v>108000000</v>
      </c>
      <c r="L100" s="21">
        <v>0</v>
      </c>
      <c r="M100" s="19">
        <v>6251366</v>
      </c>
      <c r="N100" s="19">
        <v>0</v>
      </c>
      <c r="O100" s="19">
        <v>0</v>
      </c>
      <c r="P100" s="19">
        <v>47155</v>
      </c>
      <c r="Q100" s="19">
        <v>0</v>
      </c>
      <c r="R100" s="22"/>
      <c r="S100" s="19">
        <v>0</v>
      </c>
      <c r="T100" s="19">
        <v>47155</v>
      </c>
      <c r="U100" s="19">
        <v>0</v>
      </c>
      <c r="V100" s="3"/>
      <c r="W100" s="23">
        <v>0</v>
      </c>
      <c r="X100" s="24">
        <v>8512</v>
      </c>
      <c r="Y100" s="24" t="s">
        <v>52</v>
      </c>
    </row>
    <row r="101" spans="1:25" hidden="1" x14ac:dyDescent="0.25">
      <c r="A101" s="13">
        <v>96</v>
      </c>
      <c r="B101" s="14">
        <v>777</v>
      </c>
      <c r="C101" s="15" t="s">
        <v>338</v>
      </c>
      <c r="D101" s="16" t="s">
        <v>339</v>
      </c>
      <c r="E101" s="17" t="s">
        <v>340</v>
      </c>
      <c r="F101" s="18" t="s">
        <v>51</v>
      </c>
      <c r="G101" s="19">
        <v>80427992</v>
      </c>
      <c r="H101" s="19">
        <v>80427992</v>
      </c>
      <c r="I101" s="19">
        <v>0</v>
      </c>
      <c r="J101" s="20">
        <v>0</v>
      </c>
      <c r="K101" s="19">
        <v>108000000</v>
      </c>
      <c r="L101" s="21">
        <v>0</v>
      </c>
      <c r="M101" s="19">
        <v>6170827</v>
      </c>
      <c r="N101" s="19">
        <v>0</v>
      </c>
      <c r="O101" s="19">
        <v>0</v>
      </c>
      <c r="P101" s="19">
        <v>36451</v>
      </c>
      <c r="Q101" s="19">
        <v>0</v>
      </c>
      <c r="R101" s="22"/>
      <c r="S101" s="19">
        <v>0</v>
      </c>
      <c r="T101" s="19">
        <v>36451</v>
      </c>
      <c r="U101" s="19">
        <v>0</v>
      </c>
      <c r="V101" s="3"/>
      <c r="W101" s="23">
        <v>0</v>
      </c>
      <c r="X101" s="24">
        <v>8512</v>
      </c>
      <c r="Y101" s="24" t="s">
        <v>52</v>
      </c>
    </row>
    <row r="102" spans="1:25" hidden="1" x14ac:dyDescent="0.25">
      <c r="A102" s="13">
        <v>97</v>
      </c>
      <c r="B102" s="14">
        <v>778</v>
      </c>
      <c r="C102" s="15" t="s">
        <v>341</v>
      </c>
      <c r="D102" s="16" t="s">
        <v>342</v>
      </c>
      <c r="E102" s="17" t="s">
        <v>343</v>
      </c>
      <c r="F102" s="18" t="s">
        <v>51</v>
      </c>
      <c r="G102" s="19">
        <v>79650307</v>
      </c>
      <c r="H102" s="19">
        <v>79650307</v>
      </c>
      <c r="I102" s="19">
        <v>0</v>
      </c>
      <c r="J102" s="20">
        <v>0</v>
      </c>
      <c r="K102" s="19">
        <v>108000000</v>
      </c>
      <c r="L102" s="21">
        <v>0</v>
      </c>
      <c r="M102" s="19">
        <v>6120419</v>
      </c>
      <c r="N102" s="19">
        <v>0</v>
      </c>
      <c r="O102" s="19">
        <v>0</v>
      </c>
      <c r="P102" s="19">
        <v>35394</v>
      </c>
      <c r="Q102" s="19">
        <v>0</v>
      </c>
      <c r="R102" s="22"/>
      <c r="S102" s="19">
        <v>0</v>
      </c>
      <c r="T102" s="19">
        <v>35394</v>
      </c>
      <c r="U102" s="19">
        <v>0</v>
      </c>
      <c r="V102" s="3"/>
      <c r="W102" s="23">
        <v>0</v>
      </c>
      <c r="X102" s="24">
        <v>8512</v>
      </c>
      <c r="Y102" s="24" t="s">
        <v>52</v>
      </c>
    </row>
    <row r="103" spans="1:25" hidden="1" x14ac:dyDescent="0.25">
      <c r="A103" s="13">
        <v>98</v>
      </c>
      <c r="B103" s="14">
        <v>790</v>
      </c>
      <c r="C103" s="15" t="s">
        <v>344</v>
      </c>
      <c r="D103" s="16" t="s">
        <v>345</v>
      </c>
      <c r="E103" s="17" t="s">
        <v>346</v>
      </c>
      <c r="F103" s="18" t="s">
        <v>51</v>
      </c>
      <c r="G103" s="19">
        <v>75070996</v>
      </c>
      <c r="H103" s="19">
        <v>75070996</v>
      </c>
      <c r="I103" s="19">
        <v>0</v>
      </c>
      <c r="J103" s="20">
        <v>0</v>
      </c>
      <c r="K103" s="19">
        <v>108000000</v>
      </c>
      <c r="L103" s="21">
        <v>0</v>
      </c>
      <c r="M103" s="19">
        <v>6140215</v>
      </c>
      <c r="N103" s="19">
        <v>0</v>
      </c>
      <c r="O103" s="19">
        <v>0</v>
      </c>
      <c r="P103" s="19">
        <v>17467</v>
      </c>
      <c r="Q103" s="19">
        <v>0</v>
      </c>
      <c r="R103" s="22"/>
      <c r="S103" s="19">
        <v>0</v>
      </c>
      <c r="T103" s="19">
        <v>17467</v>
      </c>
      <c r="U103" s="19">
        <v>0</v>
      </c>
      <c r="V103" s="3"/>
      <c r="W103" s="23">
        <v>0</v>
      </c>
      <c r="X103" s="24">
        <v>8512</v>
      </c>
      <c r="Y103" s="24" t="s">
        <v>52</v>
      </c>
    </row>
    <row r="104" spans="1:25" x14ac:dyDescent="0.25">
      <c r="A104" s="13">
        <v>99</v>
      </c>
      <c r="B104" s="14">
        <v>833</v>
      </c>
      <c r="C104" s="15" t="s">
        <v>347</v>
      </c>
      <c r="D104" s="16" t="s">
        <v>348</v>
      </c>
      <c r="E104" s="17" t="s">
        <v>349</v>
      </c>
      <c r="F104" s="18" t="s">
        <v>51</v>
      </c>
      <c r="G104" s="19">
        <v>75278641</v>
      </c>
      <c r="H104" s="19">
        <v>75278641</v>
      </c>
      <c r="I104" s="19">
        <v>0</v>
      </c>
      <c r="J104" s="20">
        <v>0</v>
      </c>
      <c r="K104" s="19">
        <v>108000000</v>
      </c>
      <c r="L104" s="21">
        <v>0</v>
      </c>
      <c r="M104" s="19">
        <v>6140215</v>
      </c>
      <c r="N104" s="19">
        <v>0</v>
      </c>
      <c r="O104" s="19">
        <v>0</v>
      </c>
      <c r="P104" s="19">
        <v>14732</v>
      </c>
      <c r="Q104" s="19">
        <v>0</v>
      </c>
      <c r="R104" s="22"/>
      <c r="S104" s="19">
        <v>0</v>
      </c>
      <c r="T104" s="19">
        <v>14732</v>
      </c>
      <c r="U104" s="19">
        <v>0</v>
      </c>
      <c r="V104" s="3"/>
      <c r="W104" s="23">
        <v>0</v>
      </c>
      <c r="X104" s="24" t="s">
        <v>72</v>
      </c>
      <c r="Y104" s="24" t="s">
        <v>52</v>
      </c>
    </row>
    <row r="105" spans="1:25" x14ac:dyDescent="0.25">
      <c r="A105" s="13">
        <v>100</v>
      </c>
      <c r="B105" s="14">
        <v>839</v>
      </c>
      <c r="C105" s="15" t="s">
        <v>350</v>
      </c>
      <c r="D105" s="16" t="s">
        <v>351</v>
      </c>
      <c r="E105" s="17" t="s">
        <v>352</v>
      </c>
      <c r="F105" s="18" t="s">
        <v>51</v>
      </c>
      <c r="G105" s="19">
        <v>85986719</v>
      </c>
      <c r="H105" s="19">
        <v>85986719</v>
      </c>
      <c r="I105" s="19">
        <v>0</v>
      </c>
      <c r="J105" s="20">
        <v>0</v>
      </c>
      <c r="K105" s="19">
        <v>108000000</v>
      </c>
      <c r="L105" s="21">
        <v>0</v>
      </c>
      <c r="M105" s="19">
        <v>6485827</v>
      </c>
      <c r="N105" s="19">
        <v>0</v>
      </c>
      <c r="O105" s="19">
        <v>0</v>
      </c>
      <c r="P105" s="19">
        <v>15333</v>
      </c>
      <c r="Q105" s="19">
        <v>0</v>
      </c>
      <c r="R105" s="22"/>
      <c r="S105" s="19">
        <v>0</v>
      </c>
      <c r="T105" s="19">
        <v>15333</v>
      </c>
      <c r="U105" s="19">
        <v>0</v>
      </c>
      <c r="V105" s="3"/>
      <c r="W105" s="23">
        <v>0</v>
      </c>
      <c r="X105" s="24" t="s">
        <v>72</v>
      </c>
      <c r="Y105" s="24" t="s">
        <v>52</v>
      </c>
    </row>
    <row r="106" spans="1:25" hidden="1" x14ac:dyDescent="0.25">
      <c r="A106" s="13">
        <v>101</v>
      </c>
      <c r="B106" s="14">
        <v>867</v>
      </c>
      <c r="C106" s="15" t="s">
        <v>353</v>
      </c>
      <c r="D106" s="16" t="s">
        <v>354</v>
      </c>
      <c r="E106" s="17" t="s">
        <v>355</v>
      </c>
      <c r="F106" s="18" t="s">
        <v>51</v>
      </c>
      <c r="G106" s="19">
        <v>79840590</v>
      </c>
      <c r="H106" s="19">
        <v>79840590</v>
      </c>
      <c r="I106" s="19">
        <v>0</v>
      </c>
      <c r="J106" s="20">
        <v>0</v>
      </c>
      <c r="K106" s="19">
        <v>108000000</v>
      </c>
      <c r="L106" s="21">
        <v>0</v>
      </c>
      <c r="M106" s="19">
        <v>6112533</v>
      </c>
      <c r="N106" s="19">
        <v>0</v>
      </c>
      <c r="O106" s="19">
        <v>0</v>
      </c>
      <c r="P106" s="19">
        <v>43220</v>
      </c>
      <c r="Q106" s="19">
        <v>0</v>
      </c>
      <c r="R106" s="22"/>
      <c r="S106" s="19">
        <v>0</v>
      </c>
      <c r="T106" s="19">
        <v>43220</v>
      </c>
      <c r="U106" s="19">
        <v>0</v>
      </c>
      <c r="V106" s="3"/>
      <c r="W106" s="23">
        <v>0</v>
      </c>
      <c r="X106" s="24">
        <v>8511</v>
      </c>
      <c r="Y106" s="24" t="s">
        <v>52</v>
      </c>
    </row>
    <row r="107" spans="1:25" hidden="1" x14ac:dyDescent="0.25">
      <c r="A107" s="13">
        <v>102</v>
      </c>
      <c r="B107" s="14">
        <v>869</v>
      </c>
      <c r="C107" s="15" t="s">
        <v>356</v>
      </c>
      <c r="D107" s="16" t="s">
        <v>357</v>
      </c>
      <c r="E107" s="17" t="s">
        <v>358</v>
      </c>
      <c r="F107" s="18" t="s">
        <v>51</v>
      </c>
      <c r="G107" s="19">
        <v>71807731</v>
      </c>
      <c r="H107" s="19">
        <v>71807731</v>
      </c>
      <c r="I107" s="19">
        <v>0</v>
      </c>
      <c r="J107" s="20">
        <v>0</v>
      </c>
      <c r="K107" s="19">
        <v>108000000</v>
      </c>
      <c r="L107" s="21">
        <v>0</v>
      </c>
      <c r="M107" s="19">
        <v>6062966</v>
      </c>
      <c r="N107" s="19">
        <v>0</v>
      </c>
      <c r="O107" s="19">
        <v>0</v>
      </c>
      <c r="P107" s="19">
        <v>10830</v>
      </c>
      <c r="Q107" s="19">
        <v>0</v>
      </c>
      <c r="R107" s="22"/>
      <c r="S107" s="19">
        <v>0</v>
      </c>
      <c r="T107" s="19">
        <v>10830</v>
      </c>
      <c r="U107" s="19">
        <v>0</v>
      </c>
      <c r="V107" s="3"/>
      <c r="W107" s="23">
        <v>0</v>
      </c>
      <c r="X107" s="24">
        <v>8512</v>
      </c>
      <c r="Y107" s="24" t="s">
        <v>52</v>
      </c>
    </row>
    <row r="108" spans="1:25" hidden="1" x14ac:dyDescent="0.25">
      <c r="A108" s="13">
        <v>103</v>
      </c>
      <c r="B108" s="14">
        <v>874</v>
      </c>
      <c r="C108" s="15" t="s">
        <v>359</v>
      </c>
      <c r="D108" s="16" t="s">
        <v>360</v>
      </c>
      <c r="E108" s="17" t="s">
        <v>361</v>
      </c>
      <c r="F108" s="18" t="s">
        <v>51</v>
      </c>
      <c r="G108" s="19">
        <v>74364499</v>
      </c>
      <c r="H108" s="19">
        <v>74364499</v>
      </c>
      <c r="I108" s="19">
        <v>0</v>
      </c>
      <c r="J108" s="20">
        <v>0</v>
      </c>
      <c r="K108" s="19">
        <v>108000000</v>
      </c>
      <c r="L108" s="21">
        <v>0</v>
      </c>
      <c r="M108" s="19">
        <v>6032998</v>
      </c>
      <c r="N108" s="19">
        <v>0</v>
      </c>
      <c r="O108" s="19">
        <v>0</v>
      </c>
      <c r="P108" s="19">
        <v>21391</v>
      </c>
      <c r="Q108" s="19">
        <v>0</v>
      </c>
      <c r="R108" s="22"/>
      <c r="S108" s="19">
        <v>0</v>
      </c>
      <c r="T108" s="19">
        <v>21391</v>
      </c>
      <c r="U108" s="19">
        <v>0</v>
      </c>
      <c r="V108" s="3"/>
      <c r="W108" s="23">
        <v>0</v>
      </c>
      <c r="X108" s="24">
        <v>8512</v>
      </c>
      <c r="Y108" s="24" t="s">
        <v>52</v>
      </c>
    </row>
    <row r="109" spans="1:25" hidden="1" x14ac:dyDescent="0.25">
      <c r="A109" s="13">
        <v>104</v>
      </c>
      <c r="B109" s="14">
        <v>877</v>
      </c>
      <c r="C109" s="15" t="s">
        <v>362</v>
      </c>
      <c r="D109" s="16" t="s">
        <v>363</v>
      </c>
      <c r="E109" s="17" t="s">
        <v>364</v>
      </c>
      <c r="F109" s="18" t="s">
        <v>51</v>
      </c>
      <c r="G109" s="19">
        <v>78479925</v>
      </c>
      <c r="H109" s="19">
        <v>78479925</v>
      </c>
      <c r="I109" s="19">
        <v>0</v>
      </c>
      <c r="J109" s="20">
        <v>0</v>
      </c>
      <c r="K109" s="19">
        <v>108000000</v>
      </c>
      <c r="L109" s="21">
        <v>0</v>
      </c>
      <c r="M109" s="19">
        <v>6092937</v>
      </c>
      <c r="N109" s="19">
        <v>0</v>
      </c>
      <c r="O109" s="19">
        <v>0</v>
      </c>
      <c r="P109" s="19">
        <v>29564</v>
      </c>
      <c r="Q109" s="19">
        <v>0</v>
      </c>
      <c r="R109" s="22"/>
      <c r="S109" s="19">
        <v>0</v>
      </c>
      <c r="T109" s="19">
        <v>29564</v>
      </c>
      <c r="U109" s="19">
        <v>0</v>
      </c>
      <c r="V109" s="3"/>
      <c r="W109" s="23">
        <v>0</v>
      </c>
      <c r="X109" s="24">
        <v>8511</v>
      </c>
      <c r="Y109" s="24" t="s">
        <v>52</v>
      </c>
    </row>
    <row r="110" spans="1:25" hidden="1" x14ac:dyDescent="0.25">
      <c r="A110" s="13">
        <v>105</v>
      </c>
      <c r="B110" s="14">
        <v>884</v>
      </c>
      <c r="C110" s="15" t="s">
        <v>365</v>
      </c>
      <c r="D110" s="16" t="s">
        <v>366</v>
      </c>
      <c r="E110" s="17" t="s">
        <v>367</v>
      </c>
      <c r="F110" s="18" t="s">
        <v>51</v>
      </c>
      <c r="G110" s="19">
        <v>77209420</v>
      </c>
      <c r="H110" s="19">
        <v>77209420</v>
      </c>
      <c r="I110" s="19">
        <v>0</v>
      </c>
      <c r="J110" s="20">
        <v>0</v>
      </c>
      <c r="K110" s="19">
        <v>108000000</v>
      </c>
      <c r="L110" s="21">
        <v>0</v>
      </c>
      <c r="M110" s="19">
        <v>6032998</v>
      </c>
      <c r="N110" s="19">
        <v>0</v>
      </c>
      <c r="O110" s="19">
        <v>0</v>
      </c>
      <c r="P110" s="19">
        <v>17420</v>
      </c>
      <c r="Q110" s="19">
        <v>0</v>
      </c>
      <c r="R110" s="22"/>
      <c r="S110" s="19">
        <v>0</v>
      </c>
      <c r="T110" s="19">
        <v>17420</v>
      </c>
      <c r="U110" s="19">
        <v>0</v>
      </c>
      <c r="V110" s="3"/>
      <c r="W110" s="23">
        <v>0</v>
      </c>
      <c r="X110" s="24">
        <v>8512</v>
      </c>
      <c r="Y110" s="24" t="s">
        <v>52</v>
      </c>
    </row>
    <row r="111" spans="1:25" hidden="1" x14ac:dyDescent="0.25">
      <c r="A111" s="13">
        <v>106</v>
      </c>
      <c r="B111" s="14">
        <v>891</v>
      </c>
      <c r="C111" s="15" t="s">
        <v>368</v>
      </c>
      <c r="D111" s="16" t="s">
        <v>369</v>
      </c>
      <c r="E111" s="17" t="s">
        <v>370</v>
      </c>
      <c r="F111" s="18" t="s">
        <v>51</v>
      </c>
      <c r="G111" s="19">
        <v>75809516</v>
      </c>
      <c r="H111" s="19">
        <v>75809516</v>
      </c>
      <c r="I111" s="19">
        <v>0</v>
      </c>
      <c r="J111" s="20">
        <v>0</v>
      </c>
      <c r="K111" s="19">
        <v>108000000</v>
      </c>
      <c r="L111" s="21">
        <v>0</v>
      </c>
      <c r="M111" s="19">
        <v>6032998</v>
      </c>
      <c r="N111" s="19">
        <v>0</v>
      </c>
      <c r="O111" s="19">
        <v>0</v>
      </c>
      <c r="P111" s="19">
        <v>20764</v>
      </c>
      <c r="Q111" s="19">
        <v>0</v>
      </c>
      <c r="R111" s="22"/>
      <c r="S111" s="19">
        <v>0</v>
      </c>
      <c r="T111" s="19">
        <v>20764</v>
      </c>
      <c r="U111" s="19">
        <v>0</v>
      </c>
      <c r="V111" s="3"/>
      <c r="W111" s="23">
        <v>0</v>
      </c>
      <c r="X111" s="24">
        <v>8512</v>
      </c>
      <c r="Y111" s="24" t="s">
        <v>52</v>
      </c>
    </row>
    <row r="112" spans="1:25" hidden="1" x14ac:dyDescent="0.25">
      <c r="A112" s="13">
        <v>107</v>
      </c>
      <c r="B112" s="14">
        <v>892</v>
      </c>
      <c r="C112" s="15" t="s">
        <v>371</v>
      </c>
      <c r="D112" s="16" t="s">
        <v>372</v>
      </c>
      <c r="E112" s="17" t="s">
        <v>373</v>
      </c>
      <c r="F112" s="18" t="s">
        <v>51</v>
      </c>
      <c r="G112" s="19">
        <v>75521359</v>
      </c>
      <c r="H112" s="19">
        <v>75521359</v>
      </c>
      <c r="I112" s="19">
        <v>0</v>
      </c>
      <c r="J112" s="20">
        <v>0</v>
      </c>
      <c r="K112" s="19">
        <v>108000000</v>
      </c>
      <c r="L112" s="21">
        <v>0</v>
      </c>
      <c r="M112" s="19">
        <v>6062966</v>
      </c>
      <c r="N112" s="19">
        <v>0</v>
      </c>
      <c r="O112" s="19">
        <v>0</v>
      </c>
      <c r="P112" s="19">
        <v>12480</v>
      </c>
      <c r="Q112" s="19">
        <v>0</v>
      </c>
      <c r="R112" s="22"/>
      <c r="S112" s="19">
        <v>0</v>
      </c>
      <c r="T112" s="19">
        <v>12480</v>
      </c>
      <c r="U112" s="19">
        <v>0</v>
      </c>
      <c r="V112" s="3"/>
      <c r="W112" s="23">
        <v>0</v>
      </c>
      <c r="X112" s="24">
        <v>8512</v>
      </c>
      <c r="Y112" s="24" t="s">
        <v>52</v>
      </c>
    </row>
    <row r="113" spans="1:25" hidden="1" x14ac:dyDescent="0.25">
      <c r="A113" s="13">
        <v>108</v>
      </c>
      <c r="B113" s="14">
        <v>901</v>
      </c>
      <c r="C113" s="15" t="s">
        <v>374</v>
      </c>
      <c r="D113" s="16" t="s">
        <v>375</v>
      </c>
      <c r="E113" s="17" t="s">
        <v>376</v>
      </c>
      <c r="F113" s="18" t="s">
        <v>51</v>
      </c>
      <c r="G113" s="19">
        <v>78970199</v>
      </c>
      <c r="H113" s="19">
        <v>78970199</v>
      </c>
      <c r="I113" s="19">
        <v>0</v>
      </c>
      <c r="J113" s="20">
        <v>0</v>
      </c>
      <c r="K113" s="19">
        <v>108000000</v>
      </c>
      <c r="L113" s="21">
        <v>0</v>
      </c>
      <c r="M113" s="19">
        <v>6112533</v>
      </c>
      <c r="N113" s="19">
        <v>0</v>
      </c>
      <c r="O113" s="19">
        <v>0</v>
      </c>
      <c r="P113" s="19">
        <v>23183</v>
      </c>
      <c r="Q113" s="19">
        <v>0</v>
      </c>
      <c r="R113" s="22"/>
      <c r="S113" s="19">
        <v>0</v>
      </c>
      <c r="T113" s="19">
        <v>23183</v>
      </c>
      <c r="U113" s="19">
        <v>0</v>
      </c>
      <c r="V113" s="3"/>
      <c r="W113" s="23">
        <v>0</v>
      </c>
      <c r="X113" s="24">
        <v>8512</v>
      </c>
      <c r="Y113" s="24" t="s">
        <v>52</v>
      </c>
    </row>
    <row r="114" spans="1:25" hidden="1" x14ac:dyDescent="0.25">
      <c r="A114" s="13">
        <v>109</v>
      </c>
      <c r="B114" s="14">
        <v>909</v>
      </c>
      <c r="C114" s="15" t="s">
        <v>377</v>
      </c>
      <c r="D114" s="16" t="s">
        <v>378</v>
      </c>
      <c r="E114" s="17" t="s">
        <v>379</v>
      </c>
      <c r="F114" s="18" t="s">
        <v>51</v>
      </c>
      <c r="G114" s="19">
        <v>76582294</v>
      </c>
      <c r="H114" s="19">
        <v>76582294</v>
      </c>
      <c r="I114" s="19">
        <v>0</v>
      </c>
      <c r="J114" s="20">
        <v>0</v>
      </c>
      <c r="K114" s="19">
        <v>108000000</v>
      </c>
      <c r="L114" s="21">
        <v>0</v>
      </c>
      <c r="M114" s="19">
        <v>6032998</v>
      </c>
      <c r="N114" s="19">
        <v>0</v>
      </c>
      <c r="O114" s="19">
        <v>0</v>
      </c>
      <c r="P114" s="19">
        <v>21089</v>
      </c>
      <c r="Q114" s="19">
        <v>0</v>
      </c>
      <c r="R114" s="22"/>
      <c r="S114" s="19">
        <v>0</v>
      </c>
      <c r="T114" s="19">
        <v>21089</v>
      </c>
      <c r="U114" s="19">
        <v>0</v>
      </c>
      <c r="V114" s="3"/>
      <c r="W114" s="23">
        <v>0</v>
      </c>
      <c r="X114" s="24">
        <v>8512</v>
      </c>
      <c r="Y114" s="24" t="s">
        <v>52</v>
      </c>
    </row>
    <row r="115" spans="1:25" hidden="1" x14ac:dyDescent="0.25">
      <c r="A115" s="13">
        <v>110</v>
      </c>
      <c r="B115" s="14">
        <v>919</v>
      </c>
      <c r="C115" s="15" t="s">
        <v>380</v>
      </c>
      <c r="D115" s="16" t="s">
        <v>381</v>
      </c>
      <c r="E115" s="17" t="s">
        <v>382</v>
      </c>
      <c r="F115" s="18" t="s">
        <v>51</v>
      </c>
      <c r="G115" s="19">
        <v>80545944</v>
      </c>
      <c r="H115" s="19">
        <v>80545944</v>
      </c>
      <c r="I115" s="19">
        <v>0</v>
      </c>
      <c r="J115" s="20">
        <v>0</v>
      </c>
      <c r="K115" s="19">
        <v>108000000</v>
      </c>
      <c r="L115" s="21">
        <v>0</v>
      </c>
      <c r="M115" s="19">
        <v>6062966</v>
      </c>
      <c r="N115" s="19">
        <v>0</v>
      </c>
      <c r="O115" s="19">
        <v>0</v>
      </c>
      <c r="P115" s="19">
        <v>27765</v>
      </c>
      <c r="Q115" s="19">
        <v>0</v>
      </c>
      <c r="R115" s="22"/>
      <c r="S115" s="19">
        <v>0</v>
      </c>
      <c r="T115" s="19">
        <v>27765</v>
      </c>
      <c r="U115" s="19">
        <v>0</v>
      </c>
      <c r="V115" s="3"/>
      <c r="W115" s="23">
        <v>0</v>
      </c>
      <c r="X115" s="24">
        <v>8511</v>
      </c>
      <c r="Y115" s="24" t="s">
        <v>52</v>
      </c>
    </row>
    <row r="116" spans="1:25" hidden="1" x14ac:dyDescent="0.25">
      <c r="A116" s="13">
        <v>111</v>
      </c>
      <c r="B116" s="14">
        <v>920</v>
      </c>
      <c r="C116" s="15" t="s">
        <v>383</v>
      </c>
      <c r="D116" s="16" t="s">
        <v>384</v>
      </c>
      <c r="E116" s="17" t="s">
        <v>385</v>
      </c>
      <c r="F116" s="18" t="s">
        <v>51</v>
      </c>
      <c r="G116" s="19">
        <v>79670329</v>
      </c>
      <c r="H116" s="19">
        <v>79670329</v>
      </c>
      <c r="I116" s="19">
        <v>0</v>
      </c>
      <c r="J116" s="20">
        <v>0</v>
      </c>
      <c r="K116" s="19">
        <v>108000000</v>
      </c>
      <c r="L116" s="21">
        <v>0</v>
      </c>
      <c r="M116" s="19">
        <v>6062966</v>
      </c>
      <c r="N116" s="19">
        <v>0</v>
      </c>
      <c r="O116" s="19">
        <v>0</v>
      </c>
      <c r="P116" s="19">
        <v>34787</v>
      </c>
      <c r="Q116" s="19">
        <v>0</v>
      </c>
      <c r="R116" s="22"/>
      <c r="S116" s="19">
        <v>0</v>
      </c>
      <c r="T116" s="19">
        <v>34787</v>
      </c>
      <c r="U116" s="19">
        <v>0</v>
      </c>
      <c r="V116" s="3"/>
      <c r="W116" s="23">
        <v>0</v>
      </c>
      <c r="X116" s="24">
        <v>8512</v>
      </c>
      <c r="Y116" s="24" t="s">
        <v>52</v>
      </c>
    </row>
    <row r="117" spans="1:25" hidden="1" x14ac:dyDescent="0.25">
      <c r="A117" s="13">
        <v>112</v>
      </c>
      <c r="B117" s="14">
        <v>921</v>
      </c>
      <c r="C117" s="15" t="s">
        <v>386</v>
      </c>
      <c r="D117" s="16" t="s">
        <v>387</v>
      </c>
      <c r="E117" s="17" t="s">
        <v>388</v>
      </c>
      <c r="F117" s="18" t="s">
        <v>51</v>
      </c>
      <c r="G117" s="19">
        <v>78999113</v>
      </c>
      <c r="H117" s="19">
        <v>78999113</v>
      </c>
      <c r="I117" s="19">
        <v>0</v>
      </c>
      <c r="J117" s="20">
        <v>0</v>
      </c>
      <c r="K117" s="19">
        <v>108000000</v>
      </c>
      <c r="L117" s="21">
        <v>0</v>
      </c>
      <c r="M117" s="19">
        <v>6062966</v>
      </c>
      <c r="N117" s="19">
        <v>0</v>
      </c>
      <c r="O117" s="19">
        <v>0</v>
      </c>
      <c r="P117" s="19">
        <v>23592</v>
      </c>
      <c r="Q117" s="19">
        <v>0</v>
      </c>
      <c r="R117" s="22"/>
      <c r="S117" s="19">
        <v>0</v>
      </c>
      <c r="T117" s="19">
        <v>23592</v>
      </c>
      <c r="U117" s="19">
        <v>0</v>
      </c>
      <c r="V117" s="3"/>
      <c r="W117" s="23">
        <v>0</v>
      </c>
      <c r="X117" s="24">
        <v>8512</v>
      </c>
      <c r="Y117" s="24" t="s">
        <v>52</v>
      </c>
    </row>
    <row r="118" spans="1:25" hidden="1" x14ac:dyDescent="0.25">
      <c r="A118" s="13">
        <v>113</v>
      </c>
      <c r="B118" s="14">
        <v>923</v>
      </c>
      <c r="C118" s="15" t="s">
        <v>389</v>
      </c>
      <c r="D118" s="16" t="s">
        <v>390</v>
      </c>
      <c r="E118" s="17" t="s">
        <v>391</v>
      </c>
      <c r="F118" s="18" t="s">
        <v>51</v>
      </c>
      <c r="G118" s="19">
        <v>77053058</v>
      </c>
      <c r="H118" s="19">
        <v>77053058</v>
      </c>
      <c r="I118" s="19">
        <v>0</v>
      </c>
      <c r="J118" s="20">
        <v>0</v>
      </c>
      <c r="K118" s="19">
        <v>108000000</v>
      </c>
      <c r="L118" s="21">
        <v>0</v>
      </c>
      <c r="M118" s="19">
        <v>6062966</v>
      </c>
      <c r="N118" s="19">
        <v>0</v>
      </c>
      <c r="O118" s="19">
        <v>0</v>
      </c>
      <c r="P118" s="19">
        <v>22223</v>
      </c>
      <c r="Q118" s="19">
        <v>0</v>
      </c>
      <c r="R118" s="22"/>
      <c r="S118" s="19">
        <v>0</v>
      </c>
      <c r="T118" s="19">
        <v>22223</v>
      </c>
      <c r="U118" s="19">
        <v>0</v>
      </c>
      <c r="V118" s="3"/>
      <c r="W118" s="23">
        <v>0</v>
      </c>
      <c r="X118" s="24">
        <v>8512</v>
      </c>
      <c r="Y118" s="24" t="s">
        <v>52</v>
      </c>
    </row>
    <row r="119" spans="1:25" hidden="1" x14ac:dyDescent="0.25">
      <c r="A119" s="13">
        <v>114</v>
      </c>
      <c r="B119" s="14">
        <v>927</v>
      </c>
      <c r="C119" s="15" t="s">
        <v>392</v>
      </c>
      <c r="D119" s="16" t="s">
        <v>393</v>
      </c>
      <c r="E119" s="17" t="s">
        <v>394</v>
      </c>
      <c r="F119" s="18" t="s">
        <v>51</v>
      </c>
      <c r="G119" s="19">
        <v>74178481</v>
      </c>
      <c r="H119" s="19">
        <v>74178481</v>
      </c>
      <c r="I119" s="19">
        <v>0</v>
      </c>
      <c r="J119" s="20">
        <v>0</v>
      </c>
      <c r="K119" s="19">
        <v>108000000</v>
      </c>
      <c r="L119" s="21">
        <v>0</v>
      </c>
      <c r="M119" s="19">
        <v>5757348</v>
      </c>
      <c r="N119" s="19">
        <v>0</v>
      </c>
      <c r="O119" s="19">
        <v>0</v>
      </c>
      <c r="P119" s="19">
        <v>15723</v>
      </c>
      <c r="Q119" s="19">
        <v>0</v>
      </c>
      <c r="R119" s="22"/>
      <c r="S119" s="19">
        <v>0</v>
      </c>
      <c r="T119" s="19">
        <v>15723</v>
      </c>
      <c r="U119" s="19">
        <v>0</v>
      </c>
      <c r="V119" s="3"/>
      <c r="W119" s="23">
        <v>0</v>
      </c>
      <c r="X119" s="24">
        <v>8511</v>
      </c>
      <c r="Y119" s="24" t="s">
        <v>229</v>
      </c>
    </row>
    <row r="120" spans="1:25" x14ac:dyDescent="0.25">
      <c r="A120" s="13">
        <v>115</v>
      </c>
      <c r="B120" s="14">
        <v>934</v>
      </c>
      <c r="C120" s="15" t="s">
        <v>395</v>
      </c>
      <c r="D120" s="16" t="s">
        <v>396</v>
      </c>
      <c r="E120" s="17" t="s">
        <v>397</v>
      </c>
      <c r="F120" s="18" t="s">
        <v>51</v>
      </c>
      <c r="G120" s="19">
        <v>81641307</v>
      </c>
      <c r="H120" s="19">
        <v>81641307</v>
      </c>
      <c r="I120" s="19">
        <v>0</v>
      </c>
      <c r="J120" s="20">
        <v>0</v>
      </c>
      <c r="K120" s="19">
        <v>108000000</v>
      </c>
      <c r="L120" s="21">
        <v>0</v>
      </c>
      <c r="M120" s="19">
        <v>6032998</v>
      </c>
      <c r="N120" s="19">
        <v>0</v>
      </c>
      <c r="O120" s="19">
        <v>0</v>
      </c>
      <c r="P120" s="19">
        <v>47474</v>
      </c>
      <c r="Q120" s="19">
        <v>0</v>
      </c>
      <c r="R120" s="22"/>
      <c r="S120" s="19">
        <v>0</v>
      </c>
      <c r="T120" s="19">
        <v>47474</v>
      </c>
      <c r="U120" s="19">
        <v>0</v>
      </c>
      <c r="V120" s="3"/>
      <c r="W120" s="23">
        <v>0</v>
      </c>
      <c r="X120" s="24" t="s">
        <v>72</v>
      </c>
      <c r="Y120" s="24" t="s">
        <v>52</v>
      </c>
    </row>
    <row r="121" spans="1:25" x14ac:dyDescent="0.25">
      <c r="A121" s="13">
        <v>116</v>
      </c>
      <c r="B121" s="14">
        <v>961</v>
      </c>
      <c r="C121" s="15" t="s">
        <v>398</v>
      </c>
      <c r="D121" s="16" t="s">
        <v>399</v>
      </c>
      <c r="E121" s="17" t="s">
        <v>400</v>
      </c>
      <c r="F121" s="18" t="s">
        <v>51</v>
      </c>
      <c r="G121" s="19">
        <v>83107757</v>
      </c>
      <c r="H121" s="19">
        <v>83107757</v>
      </c>
      <c r="I121" s="19">
        <v>0</v>
      </c>
      <c r="J121" s="20">
        <v>0</v>
      </c>
      <c r="K121" s="19">
        <v>108000000</v>
      </c>
      <c r="L121" s="21">
        <v>0</v>
      </c>
      <c r="M121" s="19">
        <v>6062966</v>
      </c>
      <c r="N121" s="19">
        <v>0</v>
      </c>
      <c r="O121" s="19">
        <v>0</v>
      </c>
      <c r="P121" s="19">
        <v>26823</v>
      </c>
      <c r="Q121" s="19">
        <v>0</v>
      </c>
      <c r="R121" s="22"/>
      <c r="S121" s="19">
        <v>0</v>
      </c>
      <c r="T121" s="19">
        <v>26823</v>
      </c>
      <c r="U121" s="19">
        <v>0</v>
      </c>
      <c r="V121" s="3"/>
      <c r="W121" s="23">
        <v>0</v>
      </c>
      <c r="X121" s="24" t="s">
        <v>72</v>
      </c>
      <c r="Y121" s="24" t="s">
        <v>52</v>
      </c>
    </row>
    <row r="122" spans="1:25" x14ac:dyDescent="0.25">
      <c r="A122" s="13">
        <v>117</v>
      </c>
      <c r="B122" s="14">
        <v>969</v>
      </c>
      <c r="C122" s="15" t="s">
        <v>401</v>
      </c>
      <c r="D122" s="16" t="s">
        <v>402</v>
      </c>
      <c r="E122" s="17" t="s">
        <v>403</v>
      </c>
      <c r="F122" s="18" t="s">
        <v>51</v>
      </c>
      <c r="G122" s="19">
        <v>78410135</v>
      </c>
      <c r="H122" s="19">
        <v>78410135</v>
      </c>
      <c r="I122" s="19">
        <v>0</v>
      </c>
      <c r="J122" s="20">
        <v>0</v>
      </c>
      <c r="K122" s="19">
        <v>108000000</v>
      </c>
      <c r="L122" s="21">
        <v>0</v>
      </c>
      <c r="M122" s="19">
        <v>6142977</v>
      </c>
      <c r="N122" s="19">
        <v>0</v>
      </c>
      <c r="O122" s="19">
        <v>0</v>
      </c>
      <c r="P122" s="19">
        <v>18320</v>
      </c>
      <c r="Q122" s="19">
        <v>0</v>
      </c>
      <c r="R122" s="22"/>
      <c r="S122" s="19">
        <v>0</v>
      </c>
      <c r="T122" s="19">
        <v>18320</v>
      </c>
      <c r="U122" s="19">
        <v>0</v>
      </c>
      <c r="V122" s="3"/>
      <c r="W122" s="23">
        <v>0</v>
      </c>
      <c r="X122" s="24" t="s">
        <v>72</v>
      </c>
      <c r="Y122" s="24" t="s">
        <v>52</v>
      </c>
    </row>
    <row r="123" spans="1:25" x14ac:dyDescent="0.25">
      <c r="A123" s="13">
        <v>118</v>
      </c>
      <c r="B123" s="14">
        <v>977</v>
      </c>
      <c r="C123" s="15" t="s">
        <v>404</v>
      </c>
      <c r="D123" s="16" t="s">
        <v>405</v>
      </c>
      <c r="E123" s="17" t="s">
        <v>406</v>
      </c>
      <c r="F123" s="18" t="s">
        <v>51</v>
      </c>
      <c r="G123" s="19">
        <v>79473601</v>
      </c>
      <c r="H123" s="19">
        <v>79473601</v>
      </c>
      <c r="I123" s="19">
        <v>0</v>
      </c>
      <c r="J123" s="20">
        <v>0</v>
      </c>
      <c r="K123" s="19">
        <v>108000000</v>
      </c>
      <c r="L123" s="21">
        <v>0</v>
      </c>
      <c r="M123" s="19">
        <v>6032998</v>
      </c>
      <c r="N123" s="19">
        <v>0</v>
      </c>
      <c r="O123" s="19">
        <v>0</v>
      </c>
      <c r="P123" s="19">
        <v>18299</v>
      </c>
      <c r="Q123" s="19">
        <v>0</v>
      </c>
      <c r="R123" s="22"/>
      <c r="S123" s="19">
        <v>0</v>
      </c>
      <c r="T123" s="19">
        <v>18299</v>
      </c>
      <c r="U123" s="19">
        <v>0</v>
      </c>
      <c r="V123" s="3"/>
      <c r="W123" s="23">
        <v>0</v>
      </c>
      <c r="X123" s="24" t="s">
        <v>72</v>
      </c>
      <c r="Y123" s="24" t="s">
        <v>52</v>
      </c>
    </row>
    <row r="124" spans="1:25" x14ac:dyDescent="0.25">
      <c r="A124" s="13">
        <v>119</v>
      </c>
      <c r="B124" s="14">
        <v>981</v>
      </c>
      <c r="C124" s="15" t="s">
        <v>407</v>
      </c>
      <c r="D124" s="16" t="s">
        <v>408</v>
      </c>
      <c r="E124" s="17" t="s">
        <v>409</v>
      </c>
      <c r="F124" s="18" t="s">
        <v>51</v>
      </c>
      <c r="G124" s="19">
        <v>77547860</v>
      </c>
      <c r="H124" s="19">
        <v>77547860</v>
      </c>
      <c r="I124" s="19">
        <v>0</v>
      </c>
      <c r="J124" s="20">
        <v>0</v>
      </c>
      <c r="K124" s="19">
        <v>108000000</v>
      </c>
      <c r="L124" s="21">
        <v>0</v>
      </c>
      <c r="M124" s="19">
        <v>6082083</v>
      </c>
      <c r="N124" s="19">
        <v>0</v>
      </c>
      <c r="O124" s="19">
        <v>0</v>
      </c>
      <c r="P124" s="19">
        <v>18790</v>
      </c>
      <c r="Q124" s="19">
        <v>0</v>
      </c>
      <c r="R124" s="22"/>
      <c r="S124" s="19">
        <v>0</v>
      </c>
      <c r="T124" s="19">
        <v>18790</v>
      </c>
      <c r="U124" s="19">
        <v>0</v>
      </c>
      <c r="V124" s="3"/>
      <c r="W124" s="23">
        <v>0</v>
      </c>
      <c r="X124" s="24" t="s">
        <v>72</v>
      </c>
      <c r="Y124" s="24" t="s">
        <v>52</v>
      </c>
    </row>
    <row r="125" spans="1:25" hidden="1" x14ac:dyDescent="0.25">
      <c r="A125" s="13">
        <v>120</v>
      </c>
      <c r="B125" s="14">
        <v>990</v>
      </c>
      <c r="C125" s="15" t="s">
        <v>410</v>
      </c>
      <c r="D125" s="16" t="s">
        <v>411</v>
      </c>
      <c r="E125" s="17" t="s">
        <v>412</v>
      </c>
      <c r="F125" s="18" t="s">
        <v>51</v>
      </c>
      <c r="G125" s="19">
        <v>82267544</v>
      </c>
      <c r="H125" s="19">
        <v>82267544</v>
      </c>
      <c r="I125" s="19">
        <v>0</v>
      </c>
      <c r="J125" s="20">
        <v>0</v>
      </c>
      <c r="K125" s="19">
        <v>108000000</v>
      </c>
      <c r="L125" s="21">
        <v>0</v>
      </c>
      <c r="M125" s="19">
        <v>6377966</v>
      </c>
      <c r="N125" s="19">
        <v>0</v>
      </c>
      <c r="O125" s="19">
        <v>0</v>
      </c>
      <c r="P125" s="19">
        <v>22673</v>
      </c>
      <c r="Q125" s="19">
        <v>0</v>
      </c>
      <c r="R125" s="22"/>
      <c r="S125" s="19">
        <v>0</v>
      </c>
      <c r="T125" s="19">
        <v>22673</v>
      </c>
      <c r="U125" s="19">
        <v>0</v>
      </c>
      <c r="V125" s="3"/>
      <c r="W125" s="23">
        <v>0</v>
      </c>
      <c r="X125" s="24">
        <v>8511</v>
      </c>
      <c r="Y125" s="24" t="s">
        <v>52</v>
      </c>
    </row>
    <row r="126" spans="1:25" hidden="1" x14ac:dyDescent="0.25">
      <c r="A126" s="13">
        <v>121</v>
      </c>
      <c r="B126" s="14">
        <v>1003</v>
      </c>
      <c r="C126" s="15" t="s">
        <v>413</v>
      </c>
      <c r="D126" s="16" t="s">
        <v>414</v>
      </c>
      <c r="E126" s="17" t="s">
        <v>415</v>
      </c>
      <c r="F126" s="18" t="s">
        <v>51</v>
      </c>
      <c r="G126" s="19">
        <v>77157946</v>
      </c>
      <c r="H126" s="19">
        <v>77157946</v>
      </c>
      <c r="I126" s="19">
        <v>0</v>
      </c>
      <c r="J126" s="20">
        <v>0</v>
      </c>
      <c r="K126" s="19">
        <v>108000000</v>
      </c>
      <c r="L126" s="21">
        <v>0</v>
      </c>
      <c r="M126" s="19">
        <v>6062966</v>
      </c>
      <c r="N126" s="19">
        <v>0</v>
      </c>
      <c r="O126" s="19">
        <v>0</v>
      </c>
      <c r="P126" s="19">
        <v>17079</v>
      </c>
      <c r="Q126" s="19">
        <v>0</v>
      </c>
      <c r="R126" s="22"/>
      <c r="S126" s="19">
        <v>0</v>
      </c>
      <c r="T126" s="19">
        <v>17079</v>
      </c>
      <c r="U126" s="19">
        <v>0</v>
      </c>
      <c r="V126" s="3"/>
      <c r="W126" s="23">
        <v>0</v>
      </c>
      <c r="X126" s="24">
        <v>8511</v>
      </c>
      <c r="Y126" s="24" t="s">
        <v>52</v>
      </c>
    </row>
    <row r="127" spans="1:25" hidden="1" x14ac:dyDescent="0.25">
      <c r="A127" s="13">
        <v>122</v>
      </c>
      <c r="B127" s="14">
        <v>1006</v>
      </c>
      <c r="C127" s="15" t="s">
        <v>416</v>
      </c>
      <c r="D127" s="16" t="s">
        <v>417</v>
      </c>
      <c r="E127" s="17" t="s">
        <v>418</v>
      </c>
      <c r="F127" s="18" t="s">
        <v>51</v>
      </c>
      <c r="G127" s="19">
        <v>77021581</v>
      </c>
      <c r="H127" s="19">
        <v>77021581</v>
      </c>
      <c r="I127" s="19">
        <v>0</v>
      </c>
      <c r="J127" s="20">
        <v>0</v>
      </c>
      <c r="K127" s="19">
        <v>108000000</v>
      </c>
      <c r="L127" s="21">
        <v>0</v>
      </c>
      <c r="M127" s="19">
        <v>6173421</v>
      </c>
      <c r="N127" s="19">
        <v>0</v>
      </c>
      <c r="O127" s="19">
        <v>0</v>
      </c>
      <c r="P127" s="19">
        <v>10620</v>
      </c>
      <c r="Q127" s="19">
        <v>0</v>
      </c>
      <c r="R127" s="22"/>
      <c r="S127" s="19">
        <v>0</v>
      </c>
      <c r="T127" s="19">
        <v>10620</v>
      </c>
      <c r="U127" s="19">
        <v>0</v>
      </c>
      <c r="V127" s="3"/>
      <c r="W127" s="23">
        <v>0</v>
      </c>
      <c r="X127" s="24">
        <v>8511</v>
      </c>
      <c r="Y127" s="24" t="s">
        <v>52</v>
      </c>
    </row>
    <row r="128" spans="1:25" hidden="1" x14ac:dyDescent="0.25">
      <c r="A128" s="13">
        <v>123</v>
      </c>
      <c r="B128" s="14">
        <v>1017</v>
      </c>
      <c r="C128" s="15" t="s">
        <v>419</v>
      </c>
      <c r="D128" s="16" t="s">
        <v>420</v>
      </c>
      <c r="E128" s="17" t="s">
        <v>421</v>
      </c>
      <c r="F128" s="18" t="s">
        <v>51</v>
      </c>
      <c r="G128" s="19">
        <v>77148010</v>
      </c>
      <c r="H128" s="19">
        <v>77148010</v>
      </c>
      <c r="I128" s="19">
        <v>0</v>
      </c>
      <c r="J128" s="20">
        <v>0</v>
      </c>
      <c r="K128" s="19">
        <v>108000000</v>
      </c>
      <c r="L128" s="21">
        <v>0</v>
      </c>
      <c r="M128" s="19">
        <v>6032998</v>
      </c>
      <c r="N128" s="19">
        <v>0</v>
      </c>
      <c r="O128" s="19">
        <v>0</v>
      </c>
      <c r="P128" s="19">
        <v>31229</v>
      </c>
      <c r="Q128" s="19">
        <v>0</v>
      </c>
      <c r="R128" s="22"/>
      <c r="S128" s="19">
        <v>0</v>
      </c>
      <c r="T128" s="19">
        <v>31229</v>
      </c>
      <c r="U128" s="19">
        <v>0</v>
      </c>
      <c r="V128" s="3"/>
      <c r="W128" s="23">
        <v>0</v>
      </c>
      <c r="X128" s="24">
        <v>8511</v>
      </c>
      <c r="Y128" s="24" t="s">
        <v>52</v>
      </c>
    </row>
    <row r="129" spans="1:25" hidden="1" x14ac:dyDescent="0.25">
      <c r="A129" s="13">
        <v>124</v>
      </c>
      <c r="B129" s="14">
        <v>1021</v>
      </c>
      <c r="C129" s="15" t="s">
        <v>422</v>
      </c>
      <c r="D129" s="16" t="s">
        <v>423</v>
      </c>
      <c r="E129" s="17" t="s">
        <v>424</v>
      </c>
      <c r="F129" s="18" t="s">
        <v>51</v>
      </c>
      <c r="G129" s="19">
        <v>69924998</v>
      </c>
      <c r="H129" s="19">
        <v>69924998</v>
      </c>
      <c r="I129" s="19">
        <v>0</v>
      </c>
      <c r="J129" s="20">
        <v>0</v>
      </c>
      <c r="K129" s="19">
        <v>108000000</v>
      </c>
      <c r="L129" s="21">
        <v>0</v>
      </c>
      <c r="M129" s="19">
        <v>5900019</v>
      </c>
      <c r="N129" s="19">
        <v>0</v>
      </c>
      <c r="O129" s="19">
        <v>0</v>
      </c>
      <c r="P129" s="19">
        <v>12581</v>
      </c>
      <c r="Q129" s="19">
        <v>0</v>
      </c>
      <c r="R129" s="22"/>
      <c r="S129" s="19">
        <v>0</v>
      </c>
      <c r="T129" s="19">
        <v>12581</v>
      </c>
      <c r="U129" s="19">
        <v>0</v>
      </c>
      <c r="V129" s="3"/>
      <c r="W129" s="23">
        <v>0</v>
      </c>
      <c r="X129" s="24">
        <v>8511</v>
      </c>
      <c r="Y129" s="24" t="s">
        <v>229</v>
      </c>
    </row>
    <row r="130" spans="1:25" hidden="1" x14ac:dyDescent="0.25">
      <c r="A130" s="13">
        <v>125</v>
      </c>
      <c r="B130" s="14">
        <v>1028</v>
      </c>
      <c r="C130" s="15" t="s">
        <v>425</v>
      </c>
      <c r="D130" s="16" t="s">
        <v>426</v>
      </c>
      <c r="E130" s="17" t="s">
        <v>427</v>
      </c>
      <c r="F130" s="18" t="s">
        <v>51</v>
      </c>
      <c r="G130" s="19">
        <v>77373737</v>
      </c>
      <c r="H130" s="19">
        <v>77373737</v>
      </c>
      <c r="I130" s="19">
        <v>0</v>
      </c>
      <c r="J130" s="20">
        <v>0</v>
      </c>
      <c r="K130" s="19">
        <v>108000000</v>
      </c>
      <c r="L130" s="21">
        <v>0</v>
      </c>
      <c r="M130" s="19">
        <v>6092937</v>
      </c>
      <c r="N130" s="19">
        <v>0</v>
      </c>
      <c r="O130" s="19">
        <v>0</v>
      </c>
      <c r="P130" s="19">
        <v>14707</v>
      </c>
      <c r="Q130" s="19">
        <v>0</v>
      </c>
      <c r="R130" s="22"/>
      <c r="S130" s="19">
        <v>0</v>
      </c>
      <c r="T130" s="19">
        <v>14707</v>
      </c>
      <c r="U130" s="19">
        <v>0</v>
      </c>
      <c r="V130" s="3"/>
      <c r="W130" s="23">
        <v>0</v>
      </c>
      <c r="X130" s="24">
        <v>8511</v>
      </c>
      <c r="Y130" s="24" t="s">
        <v>52</v>
      </c>
    </row>
    <row r="131" spans="1:25" hidden="1" x14ac:dyDescent="0.25">
      <c r="A131" s="13">
        <v>126</v>
      </c>
      <c r="B131" s="14">
        <v>1029</v>
      </c>
      <c r="C131" s="15" t="s">
        <v>428</v>
      </c>
      <c r="D131" s="16" t="s">
        <v>429</v>
      </c>
      <c r="E131" s="17" t="s">
        <v>430</v>
      </c>
      <c r="F131" s="18" t="s">
        <v>51</v>
      </c>
      <c r="G131" s="19">
        <v>73034062</v>
      </c>
      <c r="H131" s="19">
        <v>73034062</v>
      </c>
      <c r="I131" s="19">
        <v>0</v>
      </c>
      <c r="J131" s="20">
        <v>0</v>
      </c>
      <c r="K131" s="19">
        <v>108000000</v>
      </c>
      <c r="L131" s="21">
        <v>0</v>
      </c>
      <c r="M131" s="19">
        <v>5900019</v>
      </c>
      <c r="N131" s="19">
        <v>0</v>
      </c>
      <c r="O131" s="19">
        <v>0</v>
      </c>
      <c r="P131" s="19">
        <v>13159</v>
      </c>
      <c r="Q131" s="19">
        <v>0</v>
      </c>
      <c r="R131" s="22"/>
      <c r="S131" s="19">
        <v>0</v>
      </c>
      <c r="T131" s="19">
        <v>13159</v>
      </c>
      <c r="U131" s="19">
        <v>0</v>
      </c>
      <c r="V131" s="3"/>
      <c r="W131" s="23">
        <v>0</v>
      </c>
      <c r="X131" s="24">
        <v>8511</v>
      </c>
      <c r="Y131" s="24" t="s">
        <v>229</v>
      </c>
    </row>
    <row r="132" spans="1:25" hidden="1" x14ac:dyDescent="0.25">
      <c r="A132" s="13">
        <v>127</v>
      </c>
      <c r="B132" s="14">
        <v>1044</v>
      </c>
      <c r="C132" s="15" t="s">
        <v>431</v>
      </c>
      <c r="D132" s="16" t="s">
        <v>432</v>
      </c>
      <c r="E132" s="17" t="s">
        <v>433</v>
      </c>
      <c r="F132" s="18" t="s">
        <v>51</v>
      </c>
      <c r="G132" s="19">
        <v>69713704</v>
      </c>
      <c r="H132" s="19">
        <v>69713704</v>
      </c>
      <c r="I132" s="19">
        <v>0</v>
      </c>
      <c r="J132" s="20">
        <v>0</v>
      </c>
      <c r="K132" s="19">
        <v>108000000</v>
      </c>
      <c r="L132" s="21">
        <v>0</v>
      </c>
      <c r="M132" s="19">
        <v>5900019</v>
      </c>
      <c r="N132" s="19">
        <v>0</v>
      </c>
      <c r="O132" s="19">
        <v>0</v>
      </c>
      <c r="P132" s="19">
        <v>22872</v>
      </c>
      <c r="Q132" s="19">
        <v>0</v>
      </c>
      <c r="R132" s="22"/>
      <c r="S132" s="19">
        <v>0</v>
      </c>
      <c r="T132" s="19">
        <v>22872</v>
      </c>
      <c r="U132" s="19">
        <v>0</v>
      </c>
      <c r="V132" s="3"/>
      <c r="W132" s="23">
        <v>0</v>
      </c>
      <c r="X132" s="24">
        <v>8511</v>
      </c>
      <c r="Y132" s="24" t="s">
        <v>229</v>
      </c>
    </row>
    <row r="133" spans="1:25" hidden="1" x14ac:dyDescent="0.25">
      <c r="A133" s="13">
        <v>128</v>
      </c>
      <c r="B133" s="14">
        <v>1045</v>
      </c>
      <c r="C133" s="15" t="s">
        <v>434</v>
      </c>
      <c r="D133" s="16" t="s">
        <v>435</v>
      </c>
      <c r="E133" s="17" t="s">
        <v>436</v>
      </c>
      <c r="F133" s="18" t="s">
        <v>51</v>
      </c>
      <c r="G133" s="19">
        <v>76549131</v>
      </c>
      <c r="H133" s="19">
        <v>76549131</v>
      </c>
      <c r="I133" s="19">
        <v>0</v>
      </c>
      <c r="J133" s="20">
        <v>0</v>
      </c>
      <c r="K133" s="19">
        <v>108000000</v>
      </c>
      <c r="L133" s="21">
        <v>0</v>
      </c>
      <c r="M133" s="19">
        <v>6092937</v>
      </c>
      <c r="N133" s="19">
        <v>0</v>
      </c>
      <c r="O133" s="19">
        <v>0</v>
      </c>
      <c r="P133" s="19">
        <v>11809</v>
      </c>
      <c r="Q133" s="19">
        <v>0</v>
      </c>
      <c r="R133" s="22"/>
      <c r="S133" s="19">
        <v>0</v>
      </c>
      <c r="T133" s="19">
        <v>11809</v>
      </c>
      <c r="U133" s="19">
        <v>0</v>
      </c>
      <c r="V133" s="3"/>
      <c r="W133" s="23">
        <v>0</v>
      </c>
      <c r="X133" s="24">
        <v>8511</v>
      </c>
      <c r="Y133" s="24" t="s">
        <v>52</v>
      </c>
    </row>
    <row r="134" spans="1:25" hidden="1" x14ac:dyDescent="0.25">
      <c r="A134" s="13">
        <v>129</v>
      </c>
      <c r="B134" s="14">
        <v>1050</v>
      </c>
      <c r="C134" s="15" t="s">
        <v>437</v>
      </c>
      <c r="D134" s="16" t="s">
        <v>438</v>
      </c>
      <c r="E134" s="17" t="s">
        <v>439</v>
      </c>
      <c r="F134" s="18" t="s">
        <v>51</v>
      </c>
      <c r="G134" s="19">
        <v>72858718</v>
      </c>
      <c r="H134" s="19">
        <v>72858718</v>
      </c>
      <c r="I134" s="19">
        <v>0</v>
      </c>
      <c r="J134" s="20">
        <v>0</v>
      </c>
      <c r="K134" s="19">
        <v>108000000</v>
      </c>
      <c r="L134" s="21">
        <v>0</v>
      </c>
      <c r="M134" s="19">
        <v>5844230</v>
      </c>
      <c r="N134" s="19">
        <v>0</v>
      </c>
      <c r="O134" s="19">
        <v>0</v>
      </c>
      <c r="P134" s="19">
        <v>15294</v>
      </c>
      <c r="Q134" s="19">
        <v>0</v>
      </c>
      <c r="R134" s="22"/>
      <c r="S134" s="19">
        <v>0</v>
      </c>
      <c r="T134" s="19">
        <v>15294</v>
      </c>
      <c r="U134" s="19">
        <v>0</v>
      </c>
      <c r="V134" s="3"/>
      <c r="W134" s="23">
        <v>0</v>
      </c>
      <c r="X134" s="24">
        <v>8512</v>
      </c>
      <c r="Y134" s="24" t="s">
        <v>229</v>
      </c>
    </row>
    <row r="135" spans="1:25" hidden="1" x14ac:dyDescent="0.25">
      <c r="A135" s="13">
        <v>130</v>
      </c>
      <c r="B135" s="14">
        <v>1066</v>
      </c>
      <c r="C135" s="15" t="s">
        <v>440</v>
      </c>
      <c r="D135" s="16" t="s">
        <v>441</v>
      </c>
      <c r="E135" s="17" t="s">
        <v>442</v>
      </c>
      <c r="F135" s="18" t="s">
        <v>51</v>
      </c>
      <c r="G135" s="19">
        <v>75079118</v>
      </c>
      <c r="H135" s="19">
        <v>75079118</v>
      </c>
      <c r="I135" s="19">
        <v>0</v>
      </c>
      <c r="J135" s="20">
        <v>0</v>
      </c>
      <c r="K135" s="19">
        <v>108000000</v>
      </c>
      <c r="L135" s="21">
        <v>0</v>
      </c>
      <c r="M135" s="19">
        <v>5844230</v>
      </c>
      <c r="N135" s="19">
        <v>0</v>
      </c>
      <c r="O135" s="19">
        <v>0</v>
      </c>
      <c r="P135" s="19">
        <v>21389</v>
      </c>
      <c r="Q135" s="19">
        <v>0</v>
      </c>
      <c r="R135" s="22"/>
      <c r="S135" s="19">
        <v>0</v>
      </c>
      <c r="T135" s="19">
        <v>21389</v>
      </c>
      <c r="U135" s="19">
        <v>0</v>
      </c>
      <c r="V135" s="3"/>
      <c r="W135" s="23">
        <v>0</v>
      </c>
      <c r="X135" s="24">
        <v>8512</v>
      </c>
      <c r="Y135" s="24" t="s">
        <v>229</v>
      </c>
    </row>
    <row r="136" spans="1:25" hidden="1" x14ac:dyDescent="0.25">
      <c r="A136" s="13">
        <v>131</v>
      </c>
      <c r="B136" s="14">
        <v>1070</v>
      </c>
      <c r="C136" s="15" t="s">
        <v>443</v>
      </c>
      <c r="D136" s="16" t="s">
        <v>444</v>
      </c>
      <c r="E136" s="17" t="s">
        <v>445</v>
      </c>
      <c r="F136" s="18" t="s">
        <v>51</v>
      </c>
      <c r="G136" s="19">
        <v>77548712</v>
      </c>
      <c r="H136" s="19">
        <v>77548712</v>
      </c>
      <c r="I136" s="19">
        <v>0</v>
      </c>
      <c r="J136" s="20">
        <v>0</v>
      </c>
      <c r="K136" s="19">
        <v>108000000</v>
      </c>
      <c r="L136" s="21">
        <v>0</v>
      </c>
      <c r="M136" s="19">
        <v>6142977</v>
      </c>
      <c r="N136" s="19">
        <v>0</v>
      </c>
      <c r="O136" s="19">
        <v>0</v>
      </c>
      <c r="P136" s="19">
        <v>17875</v>
      </c>
      <c r="Q136" s="19">
        <v>0</v>
      </c>
      <c r="R136" s="22"/>
      <c r="S136" s="19">
        <v>0</v>
      </c>
      <c r="T136" s="19">
        <v>17875</v>
      </c>
      <c r="U136" s="19">
        <v>0</v>
      </c>
      <c r="V136" s="3"/>
      <c r="W136" s="23">
        <v>0</v>
      </c>
      <c r="X136" s="24">
        <v>8512</v>
      </c>
      <c r="Y136" s="24" t="s">
        <v>52</v>
      </c>
    </row>
    <row r="137" spans="1:25" hidden="1" x14ac:dyDescent="0.25">
      <c r="A137" s="13">
        <v>132</v>
      </c>
      <c r="B137" s="14">
        <v>1078</v>
      </c>
      <c r="C137" s="15" t="s">
        <v>446</v>
      </c>
      <c r="D137" s="16" t="s">
        <v>447</v>
      </c>
      <c r="E137" s="17" t="s">
        <v>448</v>
      </c>
      <c r="F137" s="18" t="s">
        <v>51</v>
      </c>
      <c r="G137" s="19">
        <v>74143044</v>
      </c>
      <c r="H137" s="19">
        <v>74143044</v>
      </c>
      <c r="I137" s="19">
        <v>0</v>
      </c>
      <c r="J137" s="20">
        <v>0</v>
      </c>
      <c r="K137" s="19">
        <v>108000000</v>
      </c>
      <c r="L137" s="21">
        <v>0</v>
      </c>
      <c r="M137" s="19">
        <v>5804902</v>
      </c>
      <c r="N137" s="19">
        <v>0</v>
      </c>
      <c r="O137" s="19">
        <v>0</v>
      </c>
      <c r="P137" s="19">
        <v>10477</v>
      </c>
      <c r="Q137" s="19">
        <v>0</v>
      </c>
      <c r="R137" s="22"/>
      <c r="S137" s="19">
        <v>0</v>
      </c>
      <c r="T137" s="19">
        <v>10477</v>
      </c>
      <c r="U137" s="19">
        <v>0</v>
      </c>
      <c r="V137" s="3"/>
      <c r="W137" s="23">
        <v>0</v>
      </c>
      <c r="X137" s="24">
        <v>8512</v>
      </c>
      <c r="Y137" s="24" t="s">
        <v>229</v>
      </c>
    </row>
    <row r="138" spans="1:25" hidden="1" x14ac:dyDescent="0.25">
      <c r="A138" s="13">
        <v>133</v>
      </c>
      <c r="B138" s="14">
        <v>1082</v>
      </c>
      <c r="C138" s="15" t="s">
        <v>449</v>
      </c>
      <c r="D138" s="16" t="s">
        <v>450</v>
      </c>
      <c r="E138" s="17" t="s">
        <v>451</v>
      </c>
      <c r="F138" s="18" t="s">
        <v>51</v>
      </c>
      <c r="G138" s="19">
        <v>81085147</v>
      </c>
      <c r="H138" s="19">
        <v>81085147</v>
      </c>
      <c r="I138" s="19">
        <v>0</v>
      </c>
      <c r="J138" s="20">
        <v>0</v>
      </c>
      <c r="K138" s="19">
        <v>108000000</v>
      </c>
      <c r="L138" s="21">
        <v>0</v>
      </c>
      <c r="M138" s="19">
        <v>6062966</v>
      </c>
      <c r="N138" s="19">
        <v>0</v>
      </c>
      <c r="O138" s="19">
        <v>0</v>
      </c>
      <c r="P138" s="19">
        <v>44253</v>
      </c>
      <c r="Q138" s="19">
        <v>0</v>
      </c>
      <c r="R138" s="22"/>
      <c r="S138" s="19">
        <v>0</v>
      </c>
      <c r="T138" s="19">
        <v>44253</v>
      </c>
      <c r="U138" s="19">
        <v>0</v>
      </c>
      <c r="V138" s="3"/>
      <c r="W138" s="23">
        <v>0</v>
      </c>
      <c r="X138" s="24">
        <v>8512</v>
      </c>
      <c r="Y138" s="24" t="s">
        <v>52</v>
      </c>
    </row>
    <row r="139" spans="1:25" hidden="1" x14ac:dyDescent="0.25">
      <c r="A139" s="13">
        <v>134</v>
      </c>
      <c r="B139" s="14">
        <v>1084</v>
      </c>
      <c r="C139" s="15" t="s">
        <v>452</v>
      </c>
      <c r="D139" s="16" t="s">
        <v>453</v>
      </c>
      <c r="E139" s="17" t="s">
        <v>454</v>
      </c>
      <c r="F139" s="18" t="s">
        <v>51</v>
      </c>
      <c r="G139" s="19">
        <v>81896598</v>
      </c>
      <c r="H139" s="19">
        <v>81896598</v>
      </c>
      <c r="I139" s="19">
        <v>0</v>
      </c>
      <c r="J139" s="20">
        <v>0</v>
      </c>
      <c r="K139" s="19">
        <v>108000000</v>
      </c>
      <c r="L139" s="21">
        <v>0</v>
      </c>
      <c r="M139" s="19">
        <v>6092937</v>
      </c>
      <c r="N139" s="19">
        <v>0</v>
      </c>
      <c r="O139" s="19">
        <v>0</v>
      </c>
      <c r="P139" s="19">
        <v>37428</v>
      </c>
      <c r="Q139" s="19">
        <v>0</v>
      </c>
      <c r="R139" s="22"/>
      <c r="S139" s="19">
        <v>0</v>
      </c>
      <c r="T139" s="19">
        <v>37428</v>
      </c>
      <c r="U139" s="19">
        <v>0</v>
      </c>
      <c r="V139" s="3"/>
      <c r="W139" s="23">
        <v>0</v>
      </c>
      <c r="X139" s="24">
        <v>8512</v>
      </c>
      <c r="Y139" s="24" t="s">
        <v>52</v>
      </c>
    </row>
    <row r="140" spans="1:25" hidden="1" x14ac:dyDescent="0.25">
      <c r="A140" s="13">
        <v>135</v>
      </c>
      <c r="B140" s="14">
        <v>1085</v>
      </c>
      <c r="C140" s="15" t="s">
        <v>455</v>
      </c>
      <c r="D140" s="16" t="s">
        <v>456</v>
      </c>
      <c r="E140" s="17" t="s">
        <v>457</v>
      </c>
      <c r="F140" s="18" t="s">
        <v>51</v>
      </c>
      <c r="G140" s="19">
        <v>69778957</v>
      </c>
      <c r="H140" s="19">
        <v>69778957</v>
      </c>
      <c r="I140" s="19">
        <v>0</v>
      </c>
      <c r="J140" s="20">
        <v>0</v>
      </c>
      <c r="K140" s="19">
        <v>108000000</v>
      </c>
      <c r="L140" s="21">
        <v>0</v>
      </c>
      <c r="M140" s="19">
        <v>5333177</v>
      </c>
      <c r="N140" s="19">
        <v>0</v>
      </c>
      <c r="O140" s="19">
        <v>0</v>
      </c>
      <c r="P140" s="19">
        <v>14942</v>
      </c>
      <c r="Q140" s="19">
        <v>0</v>
      </c>
      <c r="R140" s="22"/>
      <c r="S140" s="19">
        <v>0</v>
      </c>
      <c r="T140" s="19">
        <v>14942</v>
      </c>
      <c r="U140" s="19">
        <v>0</v>
      </c>
      <c r="V140" s="3"/>
      <c r="W140" s="23">
        <v>0</v>
      </c>
      <c r="X140" s="24">
        <v>8512</v>
      </c>
      <c r="Y140" s="24" t="s">
        <v>229</v>
      </c>
    </row>
    <row r="141" spans="1:25" hidden="1" x14ac:dyDescent="0.25">
      <c r="A141" s="13">
        <v>136</v>
      </c>
      <c r="B141" s="14">
        <v>1090</v>
      </c>
      <c r="C141" s="15" t="s">
        <v>458</v>
      </c>
      <c r="D141" s="16" t="s">
        <v>459</v>
      </c>
      <c r="E141" s="17" t="s">
        <v>460</v>
      </c>
      <c r="F141" s="18" t="s">
        <v>51</v>
      </c>
      <c r="G141" s="19">
        <v>79076297</v>
      </c>
      <c r="H141" s="19">
        <v>79076297</v>
      </c>
      <c r="I141" s="19">
        <v>0</v>
      </c>
      <c r="J141" s="20">
        <v>0</v>
      </c>
      <c r="K141" s="19">
        <v>108000000</v>
      </c>
      <c r="L141" s="21">
        <v>0</v>
      </c>
      <c r="M141" s="19">
        <v>6032998</v>
      </c>
      <c r="N141" s="19">
        <v>0</v>
      </c>
      <c r="O141" s="19">
        <v>0</v>
      </c>
      <c r="P141" s="19">
        <v>25944</v>
      </c>
      <c r="Q141" s="19">
        <v>0</v>
      </c>
      <c r="R141" s="22"/>
      <c r="S141" s="19">
        <v>0</v>
      </c>
      <c r="T141" s="19">
        <v>25944</v>
      </c>
      <c r="U141" s="19">
        <v>0</v>
      </c>
      <c r="V141" s="3"/>
      <c r="W141" s="23">
        <v>0</v>
      </c>
      <c r="X141" s="24">
        <v>8512</v>
      </c>
      <c r="Y141" s="24" t="s">
        <v>52</v>
      </c>
    </row>
    <row r="142" spans="1:25" hidden="1" x14ac:dyDescent="0.25">
      <c r="A142" s="13">
        <v>137</v>
      </c>
      <c r="B142" s="14">
        <v>1099</v>
      </c>
      <c r="C142" s="15" t="s">
        <v>461</v>
      </c>
      <c r="D142" s="16" t="s">
        <v>462</v>
      </c>
      <c r="E142" s="17" t="s">
        <v>463</v>
      </c>
      <c r="F142" s="18" t="s">
        <v>51</v>
      </c>
      <c r="G142" s="19">
        <v>80234585</v>
      </c>
      <c r="H142" s="19">
        <v>80234585</v>
      </c>
      <c r="I142" s="19">
        <v>0</v>
      </c>
      <c r="J142" s="20">
        <v>0</v>
      </c>
      <c r="K142" s="19">
        <v>108000000</v>
      </c>
      <c r="L142" s="21">
        <v>0</v>
      </c>
      <c r="M142" s="19">
        <v>6092937</v>
      </c>
      <c r="N142" s="19">
        <v>0</v>
      </c>
      <c r="O142" s="19">
        <v>0</v>
      </c>
      <c r="P142" s="19">
        <v>22740</v>
      </c>
      <c r="Q142" s="19">
        <v>0</v>
      </c>
      <c r="R142" s="22"/>
      <c r="S142" s="19">
        <v>0</v>
      </c>
      <c r="T142" s="19">
        <v>22740</v>
      </c>
      <c r="U142" s="19">
        <v>0</v>
      </c>
      <c r="V142" s="3"/>
      <c r="W142" s="23">
        <v>0</v>
      </c>
      <c r="X142" s="24">
        <v>8512</v>
      </c>
      <c r="Y142" s="24" t="s">
        <v>52</v>
      </c>
    </row>
    <row r="143" spans="1:25" hidden="1" x14ac:dyDescent="0.25">
      <c r="A143" s="13">
        <v>138</v>
      </c>
      <c r="B143" s="14">
        <v>1101</v>
      </c>
      <c r="C143" s="15" t="s">
        <v>464</v>
      </c>
      <c r="D143" s="16" t="s">
        <v>465</v>
      </c>
      <c r="E143" s="17" t="s">
        <v>466</v>
      </c>
      <c r="F143" s="18" t="s">
        <v>51</v>
      </c>
      <c r="G143" s="19">
        <v>75913588</v>
      </c>
      <c r="H143" s="19">
        <v>75913588</v>
      </c>
      <c r="I143" s="19">
        <v>0</v>
      </c>
      <c r="J143" s="20">
        <v>0</v>
      </c>
      <c r="K143" s="19">
        <v>108000000</v>
      </c>
      <c r="L143" s="21">
        <v>0</v>
      </c>
      <c r="M143" s="19">
        <v>6062966</v>
      </c>
      <c r="N143" s="19">
        <v>0</v>
      </c>
      <c r="O143" s="19">
        <v>0</v>
      </c>
      <c r="P143" s="19">
        <v>17072</v>
      </c>
      <c r="Q143" s="19">
        <v>0</v>
      </c>
      <c r="R143" s="22"/>
      <c r="S143" s="19">
        <v>0</v>
      </c>
      <c r="T143" s="19">
        <v>17072</v>
      </c>
      <c r="U143" s="19">
        <v>0</v>
      </c>
      <c r="V143" s="3"/>
      <c r="W143" s="23">
        <v>0</v>
      </c>
      <c r="X143" s="24">
        <v>8512</v>
      </c>
      <c r="Y143" s="24" t="s">
        <v>52</v>
      </c>
    </row>
    <row r="144" spans="1:25" hidden="1" x14ac:dyDescent="0.25">
      <c r="A144" s="13">
        <v>139</v>
      </c>
      <c r="B144" s="14">
        <v>1102</v>
      </c>
      <c r="C144" s="15" t="s">
        <v>467</v>
      </c>
      <c r="D144" s="16" t="s">
        <v>468</v>
      </c>
      <c r="E144" s="17" t="s">
        <v>469</v>
      </c>
      <c r="F144" s="18" t="s">
        <v>51</v>
      </c>
      <c r="G144" s="19">
        <v>81152639</v>
      </c>
      <c r="H144" s="19">
        <v>81152639</v>
      </c>
      <c r="I144" s="19">
        <v>0</v>
      </c>
      <c r="J144" s="20">
        <v>0</v>
      </c>
      <c r="K144" s="19">
        <v>108000000</v>
      </c>
      <c r="L144" s="21">
        <v>0</v>
      </c>
      <c r="M144" s="19">
        <v>6092937</v>
      </c>
      <c r="N144" s="19">
        <v>0</v>
      </c>
      <c r="O144" s="19">
        <v>0</v>
      </c>
      <c r="P144" s="19">
        <v>32939</v>
      </c>
      <c r="Q144" s="19">
        <v>0</v>
      </c>
      <c r="R144" s="22"/>
      <c r="S144" s="19">
        <v>0</v>
      </c>
      <c r="T144" s="19">
        <v>32939</v>
      </c>
      <c r="U144" s="19">
        <v>0</v>
      </c>
      <c r="V144" s="3"/>
      <c r="W144" s="23">
        <v>0</v>
      </c>
      <c r="X144" s="24">
        <v>8512</v>
      </c>
      <c r="Y144" s="24" t="s">
        <v>52</v>
      </c>
    </row>
    <row r="145" spans="1:25" hidden="1" x14ac:dyDescent="0.25">
      <c r="A145" s="13">
        <v>140</v>
      </c>
      <c r="B145" s="14">
        <v>1128</v>
      </c>
      <c r="C145" s="15" t="s">
        <v>470</v>
      </c>
      <c r="D145" s="16" t="s">
        <v>471</v>
      </c>
      <c r="E145" s="17" t="s">
        <v>472</v>
      </c>
      <c r="F145" s="18" t="s">
        <v>51</v>
      </c>
      <c r="G145" s="19">
        <v>77967174</v>
      </c>
      <c r="H145" s="19">
        <v>77967174</v>
      </c>
      <c r="I145" s="19">
        <v>0</v>
      </c>
      <c r="J145" s="20">
        <v>0</v>
      </c>
      <c r="K145" s="19">
        <v>108000000</v>
      </c>
      <c r="L145" s="21">
        <v>0</v>
      </c>
      <c r="M145" s="19">
        <v>6032998</v>
      </c>
      <c r="N145" s="19">
        <v>0</v>
      </c>
      <c r="O145" s="19">
        <v>0</v>
      </c>
      <c r="P145" s="19">
        <v>18164</v>
      </c>
      <c r="Q145" s="19">
        <v>0</v>
      </c>
      <c r="R145" s="22"/>
      <c r="S145" s="19">
        <v>0</v>
      </c>
      <c r="T145" s="19">
        <v>18164</v>
      </c>
      <c r="U145" s="19">
        <v>0</v>
      </c>
      <c r="V145" s="3"/>
      <c r="W145" s="23">
        <v>0</v>
      </c>
      <c r="X145" s="24">
        <v>8512</v>
      </c>
      <c r="Y145" s="24" t="s">
        <v>52</v>
      </c>
    </row>
    <row r="146" spans="1:25" hidden="1" x14ac:dyDescent="0.25">
      <c r="A146" s="13">
        <v>141</v>
      </c>
      <c r="B146" s="14">
        <v>1129</v>
      </c>
      <c r="C146" s="15" t="s">
        <v>473</v>
      </c>
      <c r="D146" s="16" t="s">
        <v>474</v>
      </c>
      <c r="E146" s="17" t="s">
        <v>475</v>
      </c>
      <c r="F146" s="18" t="s">
        <v>51</v>
      </c>
      <c r="G146" s="19">
        <v>73775005</v>
      </c>
      <c r="H146" s="19">
        <v>73775005</v>
      </c>
      <c r="I146" s="19">
        <v>0</v>
      </c>
      <c r="J146" s="20">
        <v>0</v>
      </c>
      <c r="K146" s="19">
        <v>108000000</v>
      </c>
      <c r="L146" s="21">
        <v>0</v>
      </c>
      <c r="M146" s="19">
        <v>5982954</v>
      </c>
      <c r="N146" s="19">
        <v>0</v>
      </c>
      <c r="O146" s="19">
        <v>0</v>
      </c>
      <c r="P146" s="19">
        <v>22701</v>
      </c>
      <c r="Q146" s="19">
        <v>0</v>
      </c>
      <c r="R146" s="22"/>
      <c r="S146" s="19">
        <v>0</v>
      </c>
      <c r="T146" s="19">
        <v>22701</v>
      </c>
      <c r="U146" s="19">
        <v>0</v>
      </c>
      <c r="V146" s="3"/>
      <c r="W146" s="23">
        <v>0</v>
      </c>
      <c r="X146" s="24">
        <v>8512</v>
      </c>
      <c r="Y146" s="24" t="s">
        <v>52</v>
      </c>
    </row>
    <row r="147" spans="1:25" hidden="1" x14ac:dyDescent="0.25">
      <c r="A147" s="13">
        <v>142</v>
      </c>
      <c r="B147" s="14">
        <v>1134</v>
      </c>
      <c r="C147" s="15" t="s">
        <v>476</v>
      </c>
      <c r="D147" s="16" t="s">
        <v>477</v>
      </c>
      <c r="E147" s="17" t="s">
        <v>478</v>
      </c>
      <c r="F147" s="18" t="s">
        <v>51</v>
      </c>
      <c r="G147" s="19">
        <v>77005281</v>
      </c>
      <c r="H147" s="19">
        <v>77005281</v>
      </c>
      <c r="I147" s="19">
        <v>0</v>
      </c>
      <c r="J147" s="20">
        <v>0</v>
      </c>
      <c r="K147" s="19">
        <v>108000000</v>
      </c>
      <c r="L147" s="21">
        <v>0</v>
      </c>
      <c r="M147" s="19">
        <v>6032998</v>
      </c>
      <c r="N147" s="19">
        <v>0</v>
      </c>
      <c r="O147" s="19">
        <v>0</v>
      </c>
      <c r="P147" s="19">
        <v>25511</v>
      </c>
      <c r="Q147" s="19">
        <v>0</v>
      </c>
      <c r="R147" s="22"/>
      <c r="S147" s="19">
        <v>0</v>
      </c>
      <c r="T147" s="19">
        <v>25511</v>
      </c>
      <c r="U147" s="19">
        <v>0</v>
      </c>
      <c r="V147" s="3"/>
      <c r="W147" s="23">
        <v>0</v>
      </c>
      <c r="X147" s="24">
        <v>8512</v>
      </c>
      <c r="Y147" s="24" t="s">
        <v>52</v>
      </c>
    </row>
    <row r="148" spans="1:25" hidden="1" x14ac:dyDescent="0.25">
      <c r="A148" s="13">
        <v>143</v>
      </c>
      <c r="B148" s="14">
        <v>1138</v>
      </c>
      <c r="C148" s="15" t="s">
        <v>479</v>
      </c>
      <c r="D148" s="16" t="s">
        <v>480</v>
      </c>
      <c r="E148" s="17" t="s">
        <v>481</v>
      </c>
      <c r="F148" s="18" t="s">
        <v>51</v>
      </c>
      <c r="G148" s="19">
        <v>79961779</v>
      </c>
      <c r="H148" s="19">
        <v>79961779</v>
      </c>
      <c r="I148" s="19">
        <v>0</v>
      </c>
      <c r="J148" s="20">
        <v>0</v>
      </c>
      <c r="K148" s="19">
        <v>108000000</v>
      </c>
      <c r="L148" s="21">
        <v>0</v>
      </c>
      <c r="M148" s="19">
        <v>6062966</v>
      </c>
      <c r="N148" s="19">
        <v>0</v>
      </c>
      <c r="O148" s="19">
        <v>0</v>
      </c>
      <c r="P148" s="19">
        <v>31103</v>
      </c>
      <c r="Q148" s="19">
        <v>0</v>
      </c>
      <c r="R148" s="22"/>
      <c r="S148" s="19">
        <v>0</v>
      </c>
      <c r="T148" s="19">
        <v>31103</v>
      </c>
      <c r="U148" s="19">
        <v>0</v>
      </c>
      <c r="V148" s="3"/>
      <c r="W148" s="23">
        <v>0</v>
      </c>
      <c r="X148" s="24">
        <v>8512</v>
      </c>
      <c r="Y148" s="24" t="s">
        <v>52</v>
      </c>
    </row>
    <row r="149" spans="1:25" hidden="1" x14ac:dyDescent="0.25">
      <c r="A149" s="13">
        <v>144</v>
      </c>
      <c r="B149" s="14">
        <v>1141</v>
      </c>
      <c r="C149" s="15" t="s">
        <v>482</v>
      </c>
      <c r="D149" s="16" t="s">
        <v>483</v>
      </c>
      <c r="E149" s="17" t="s">
        <v>484</v>
      </c>
      <c r="F149" s="18" t="s">
        <v>51</v>
      </c>
      <c r="G149" s="19">
        <v>76365675</v>
      </c>
      <c r="H149" s="19">
        <v>76365675</v>
      </c>
      <c r="I149" s="19">
        <v>0</v>
      </c>
      <c r="J149" s="20">
        <v>0</v>
      </c>
      <c r="K149" s="19">
        <v>108000000</v>
      </c>
      <c r="L149" s="21">
        <v>0</v>
      </c>
      <c r="M149" s="19">
        <v>5982954</v>
      </c>
      <c r="N149" s="19">
        <v>0</v>
      </c>
      <c r="O149" s="19">
        <v>0</v>
      </c>
      <c r="P149" s="19">
        <v>14642</v>
      </c>
      <c r="Q149" s="19">
        <v>0</v>
      </c>
      <c r="R149" s="22"/>
      <c r="S149" s="19">
        <v>0</v>
      </c>
      <c r="T149" s="19">
        <v>14642</v>
      </c>
      <c r="U149" s="19">
        <v>0</v>
      </c>
      <c r="V149" s="3"/>
      <c r="W149" s="23">
        <v>0</v>
      </c>
      <c r="X149" s="24">
        <v>8512</v>
      </c>
      <c r="Y149" s="24" t="s">
        <v>52</v>
      </c>
    </row>
    <row r="150" spans="1:25" hidden="1" x14ac:dyDescent="0.25">
      <c r="A150" s="13">
        <v>145</v>
      </c>
      <c r="B150" s="14">
        <v>1142</v>
      </c>
      <c r="C150" s="15" t="s">
        <v>485</v>
      </c>
      <c r="D150" s="16" t="s">
        <v>486</v>
      </c>
      <c r="E150" s="17" t="s">
        <v>487</v>
      </c>
      <c r="F150" s="18" t="s">
        <v>51</v>
      </c>
      <c r="G150" s="19">
        <v>76218242</v>
      </c>
      <c r="H150" s="19">
        <v>76218242</v>
      </c>
      <c r="I150" s="19">
        <v>0</v>
      </c>
      <c r="J150" s="20">
        <v>0</v>
      </c>
      <c r="K150" s="19">
        <v>108000000</v>
      </c>
      <c r="L150" s="21">
        <v>0</v>
      </c>
      <c r="M150" s="19">
        <v>6142977</v>
      </c>
      <c r="N150" s="19">
        <v>0</v>
      </c>
      <c r="O150" s="19">
        <v>0</v>
      </c>
      <c r="P150" s="19">
        <v>20009</v>
      </c>
      <c r="Q150" s="19">
        <v>0</v>
      </c>
      <c r="R150" s="22"/>
      <c r="S150" s="19">
        <v>0</v>
      </c>
      <c r="T150" s="19">
        <v>20009</v>
      </c>
      <c r="U150" s="19">
        <v>0</v>
      </c>
      <c r="V150" s="3"/>
      <c r="W150" s="23">
        <v>0</v>
      </c>
      <c r="X150" s="24">
        <v>8512</v>
      </c>
      <c r="Y150" s="24" t="s">
        <v>52</v>
      </c>
    </row>
    <row r="151" spans="1:25" hidden="1" x14ac:dyDescent="0.25">
      <c r="A151" s="13">
        <v>146</v>
      </c>
      <c r="B151" s="14">
        <v>1194</v>
      </c>
      <c r="C151" s="15" t="s">
        <v>488</v>
      </c>
      <c r="D151" s="16" t="s">
        <v>489</v>
      </c>
      <c r="E151" s="17" t="s">
        <v>490</v>
      </c>
      <c r="F151" s="18" t="s">
        <v>51</v>
      </c>
      <c r="G151" s="19">
        <v>77372187</v>
      </c>
      <c r="H151" s="19">
        <v>77372187</v>
      </c>
      <c r="I151" s="19">
        <v>0</v>
      </c>
      <c r="J151" s="20">
        <v>0</v>
      </c>
      <c r="K151" s="19">
        <v>108000000</v>
      </c>
      <c r="L151" s="21">
        <v>0</v>
      </c>
      <c r="M151" s="19">
        <v>6032998</v>
      </c>
      <c r="N151" s="19">
        <v>0</v>
      </c>
      <c r="O151" s="19">
        <v>0</v>
      </c>
      <c r="P151" s="19">
        <v>19023</v>
      </c>
      <c r="Q151" s="19">
        <v>0</v>
      </c>
      <c r="R151" s="22"/>
      <c r="S151" s="19">
        <v>0</v>
      </c>
      <c r="T151" s="19">
        <v>19023</v>
      </c>
      <c r="U151" s="19">
        <v>0</v>
      </c>
      <c r="V151" s="3"/>
      <c r="W151" s="23">
        <v>0</v>
      </c>
      <c r="X151" s="24">
        <v>8511</v>
      </c>
      <c r="Y151" s="24" t="s">
        <v>52</v>
      </c>
    </row>
    <row r="152" spans="1:25" hidden="1" x14ac:dyDescent="0.25">
      <c r="A152" s="13">
        <v>147</v>
      </c>
      <c r="B152" s="14">
        <v>1195</v>
      </c>
      <c r="C152" s="15" t="s">
        <v>491</v>
      </c>
      <c r="D152" s="16" t="s">
        <v>492</v>
      </c>
      <c r="E152" s="17" t="s">
        <v>493</v>
      </c>
      <c r="F152" s="18" t="s">
        <v>51</v>
      </c>
      <c r="G152" s="19">
        <v>76317374</v>
      </c>
      <c r="H152" s="19">
        <v>76317374</v>
      </c>
      <c r="I152" s="19">
        <v>0</v>
      </c>
      <c r="J152" s="20">
        <v>0</v>
      </c>
      <c r="K152" s="19">
        <v>108000000</v>
      </c>
      <c r="L152" s="21">
        <v>0</v>
      </c>
      <c r="M152" s="19">
        <v>6062966</v>
      </c>
      <c r="N152" s="19">
        <v>0</v>
      </c>
      <c r="O152" s="19">
        <v>0</v>
      </c>
      <c r="P152" s="19">
        <v>12271</v>
      </c>
      <c r="Q152" s="19">
        <v>0</v>
      </c>
      <c r="R152" s="22"/>
      <c r="S152" s="19">
        <v>0</v>
      </c>
      <c r="T152" s="19">
        <v>12271</v>
      </c>
      <c r="U152" s="19">
        <v>0</v>
      </c>
      <c r="V152" s="3"/>
      <c r="W152" s="23">
        <v>0</v>
      </c>
      <c r="X152" s="24">
        <v>8511</v>
      </c>
      <c r="Y152" s="24" t="s">
        <v>52</v>
      </c>
    </row>
    <row r="153" spans="1:25" hidden="1" x14ac:dyDescent="0.25">
      <c r="A153" s="13">
        <v>148</v>
      </c>
      <c r="B153" s="14">
        <v>1221</v>
      </c>
      <c r="C153" s="15" t="s">
        <v>494</v>
      </c>
      <c r="D153" s="16" t="s">
        <v>495</v>
      </c>
      <c r="E153" s="17" t="s">
        <v>496</v>
      </c>
      <c r="F153" s="18" t="s">
        <v>51</v>
      </c>
      <c r="G153" s="19">
        <v>65934556</v>
      </c>
      <c r="H153" s="19">
        <v>65934556</v>
      </c>
      <c r="I153" s="19">
        <v>0</v>
      </c>
      <c r="J153" s="20">
        <v>0</v>
      </c>
      <c r="K153" s="19">
        <v>108000000</v>
      </c>
      <c r="L153" s="21">
        <v>0</v>
      </c>
      <c r="M153" s="19">
        <v>5804902</v>
      </c>
      <c r="N153" s="19">
        <v>0</v>
      </c>
      <c r="O153" s="19">
        <v>0</v>
      </c>
      <c r="P153" s="19">
        <v>13575</v>
      </c>
      <c r="Q153" s="19">
        <v>0</v>
      </c>
      <c r="R153" s="22"/>
      <c r="S153" s="19">
        <v>0</v>
      </c>
      <c r="T153" s="19">
        <v>13575</v>
      </c>
      <c r="U153" s="19">
        <v>0</v>
      </c>
      <c r="V153" s="3"/>
      <c r="W153" s="23">
        <v>0</v>
      </c>
      <c r="X153" s="24">
        <v>8512</v>
      </c>
      <c r="Y153" s="24" t="s">
        <v>229</v>
      </c>
    </row>
    <row r="154" spans="1:25" x14ac:dyDescent="0.25">
      <c r="A154" s="13">
        <v>149</v>
      </c>
      <c r="B154" s="14">
        <v>1224</v>
      </c>
      <c r="C154" s="15" t="s">
        <v>497</v>
      </c>
      <c r="D154" s="16" t="s">
        <v>498</v>
      </c>
      <c r="E154" s="17" t="s">
        <v>499</v>
      </c>
      <c r="F154" s="18" t="s">
        <v>51</v>
      </c>
      <c r="G154" s="19">
        <v>75020908</v>
      </c>
      <c r="H154" s="19">
        <v>75020908</v>
      </c>
      <c r="I154" s="19">
        <v>0</v>
      </c>
      <c r="J154" s="20">
        <v>0</v>
      </c>
      <c r="K154" s="19">
        <v>108000000</v>
      </c>
      <c r="L154" s="21">
        <v>0</v>
      </c>
      <c r="M154" s="19">
        <v>5804902</v>
      </c>
      <c r="N154" s="19">
        <v>0</v>
      </c>
      <c r="O154" s="19">
        <v>0</v>
      </c>
      <c r="P154" s="19">
        <v>31094</v>
      </c>
      <c r="Q154" s="19">
        <v>0</v>
      </c>
      <c r="R154" s="22"/>
      <c r="S154" s="19">
        <v>0</v>
      </c>
      <c r="T154" s="19">
        <v>31094</v>
      </c>
      <c r="U154" s="19">
        <v>0</v>
      </c>
      <c r="V154" s="3"/>
      <c r="W154" s="23">
        <v>0</v>
      </c>
      <c r="X154" s="24" t="s">
        <v>72</v>
      </c>
      <c r="Y154" s="24" t="s">
        <v>229</v>
      </c>
    </row>
    <row r="155" spans="1:25" x14ac:dyDescent="0.25">
      <c r="A155" s="13">
        <v>150</v>
      </c>
      <c r="B155" s="14">
        <v>1229</v>
      </c>
      <c r="C155" s="15" t="s">
        <v>500</v>
      </c>
      <c r="D155" s="16" t="s">
        <v>501</v>
      </c>
      <c r="E155" s="17" t="s">
        <v>502</v>
      </c>
      <c r="F155" s="18" t="s">
        <v>51</v>
      </c>
      <c r="G155" s="19">
        <v>80795796</v>
      </c>
      <c r="H155" s="19">
        <v>80795796</v>
      </c>
      <c r="I155" s="19">
        <v>0</v>
      </c>
      <c r="J155" s="20">
        <v>0</v>
      </c>
      <c r="K155" s="19">
        <v>108000000</v>
      </c>
      <c r="L155" s="21">
        <v>0</v>
      </c>
      <c r="M155" s="19">
        <v>5844230</v>
      </c>
      <c r="N155" s="19">
        <v>0</v>
      </c>
      <c r="O155" s="19">
        <v>0</v>
      </c>
      <c r="P155" s="19">
        <v>35341</v>
      </c>
      <c r="Q155" s="19">
        <v>0</v>
      </c>
      <c r="R155" s="22"/>
      <c r="S155" s="19">
        <v>0</v>
      </c>
      <c r="T155" s="19">
        <v>35341</v>
      </c>
      <c r="U155" s="19">
        <v>0</v>
      </c>
      <c r="V155" s="3"/>
      <c r="W155" s="23">
        <v>0</v>
      </c>
      <c r="X155" s="24" t="s">
        <v>72</v>
      </c>
      <c r="Y155" s="24" t="s">
        <v>229</v>
      </c>
    </row>
    <row r="156" spans="1:25" hidden="1" x14ac:dyDescent="0.25">
      <c r="A156" s="13">
        <v>151</v>
      </c>
      <c r="B156" s="14">
        <v>1239</v>
      </c>
      <c r="C156" s="15" t="s">
        <v>503</v>
      </c>
      <c r="D156" s="16" t="s">
        <v>504</v>
      </c>
      <c r="E156" s="17" t="s">
        <v>505</v>
      </c>
      <c r="F156" s="18" t="s">
        <v>51</v>
      </c>
      <c r="G156" s="19">
        <v>74246351</v>
      </c>
      <c r="H156" s="19">
        <v>74246351</v>
      </c>
      <c r="I156" s="19">
        <v>0</v>
      </c>
      <c r="J156" s="20">
        <v>0</v>
      </c>
      <c r="K156" s="19">
        <v>108000000</v>
      </c>
      <c r="L156" s="21">
        <v>0</v>
      </c>
      <c r="M156" s="19">
        <v>6032998</v>
      </c>
      <c r="N156" s="19">
        <v>0</v>
      </c>
      <c r="O156" s="19">
        <v>0</v>
      </c>
      <c r="P156" s="19">
        <v>28606</v>
      </c>
      <c r="Q156" s="19">
        <v>0</v>
      </c>
      <c r="R156" s="22"/>
      <c r="S156" s="19">
        <v>0</v>
      </c>
      <c r="T156" s="19">
        <v>28606</v>
      </c>
      <c r="U156" s="19">
        <v>0</v>
      </c>
      <c r="V156" s="3"/>
      <c r="W156" s="23">
        <v>0</v>
      </c>
      <c r="X156" s="24">
        <v>8511</v>
      </c>
      <c r="Y156" s="24" t="s">
        <v>52</v>
      </c>
    </row>
    <row r="157" spans="1:25" hidden="1" x14ac:dyDescent="0.25">
      <c r="A157" s="13">
        <v>152</v>
      </c>
      <c r="B157" s="14">
        <v>1263</v>
      </c>
      <c r="C157" s="15" t="s">
        <v>506</v>
      </c>
      <c r="D157" s="16" t="s">
        <v>507</v>
      </c>
      <c r="E157" s="17" t="s">
        <v>508</v>
      </c>
      <c r="F157" s="18" t="s">
        <v>51</v>
      </c>
      <c r="G157" s="19">
        <v>74778740</v>
      </c>
      <c r="H157" s="19">
        <v>74778740</v>
      </c>
      <c r="I157" s="19">
        <v>0</v>
      </c>
      <c r="J157" s="20">
        <v>0</v>
      </c>
      <c r="K157" s="19">
        <v>108000000</v>
      </c>
      <c r="L157" s="21">
        <v>0</v>
      </c>
      <c r="M157" s="19">
        <v>5844230</v>
      </c>
      <c r="N157" s="19">
        <v>0</v>
      </c>
      <c r="O157" s="19">
        <v>0</v>
      </c>
      <c r="P157" s="19">
        <v>12319</v>
      </c>
      <c r="Q157" s="19">
        <v>0</v>
      </c>
      <c r="R157" s="22"/>
      <c r="S157" s="19">
        <v>0</v>
      </c>
      <c r="T157" s="19">
        <v>12319</v>
      </c>
      <c r="U157" s="19">
        <v>0</v>
      </c>
      <c r="V157" s="3"/>
      <c r="W157" s="23">
        <v>0</v>
      </c>
      <c r="X157" s="24">
        <v>8511</v>
      </c>
      <c r="Y157" s="24" t="s">
        <v>229</v>
      </c>
    </row>
    <row r="158" spans="1:25" hidden="1" x14ac:dyDescent="0.25">
      <c r="A158" s="13">
        <v>153</v>
      </c>
      <c r="B158" s="14">
        <v>1266</v>
      </c>
      <c r="C158" s="15" t="s">
        <v>509</v>
      </c>
      <c r="D158" s="16" t="s">
        <v>510</v>
      </c>
      <c r="E158" s="17" t="s">
        <v>511</v>
      </c>
      <c r="F158" s="18" t="s">
        <v>51</v>
      </c>
      <c r="G158" s="19">
        <v>76595061</v>
      </c>
      <c r="H158" s="19">
        <v>76595061</v>
      </c>
      <c r="I158" s="19">
        <v>0</v>
      </c>
      <c r="J158" s="20">
        <v>0</v>
      </c>
      <c r="K158" s="19">
        <v>108000000</v>
      </c>
      <c r="L158" s="21">
        <v>0</v>
      </c>
      <c r="M158" s="19">
        <v>5844230</v>
      </c>
      <c r="N158" s="19">
        <v>0</v>
      </c>
      <c r="O158" s="19">
        <v>0</v>
      </c>
      <c r="P158" s="19">
        <v>14630</v>
      </c>
      <c r="Q158" s="19">
        <v>0</v>
      </c>
      <c r="R158" s="22"/>
      <c r="S158" s="19">
        <v>0</v>
      </c>
      <c r="T158" s="19">
        <v>14630</v>
      </c>
      <c r="U158" s="19">
        <v>0</v>
      </c>
      <c r="V158" s="3"/>
      <c r="W158" s="23">
        <v>0</v>
      </c>
      <c r="X158" s="24">
        <v>8512</v>
      </c>
      <c r="Y158" s="24" t="s">
        <v>229</v>
      </c>
    </row>
    <row r="159" spans="1:25" hidden="1" x14ac:dyDescent="0.25">
      <c r="A159" s="13">
        <v>154</v>
      </c>
      <c r="B159" s="14">
        <v>1267</v>
      </c>
      <c r="C159" s="15" t="s">
        <v>512</v>
      </c>
      <c r="D159" s="16" t="s">
        <v>513</v>
      </c>
      <c r="E159" s="17" t="s">
        <v>514</v>
      </c>
      <c r="F159" s="18" t="s">
        <v>51</v>
      </c>
      <c r="G159" s="19">
        <v>70474909</v>
      </c>
      <c r="H159" s="19">
        <v>70474909</v>
      </c>
      <c r="I159" s="19">
        <v>0</v>
      </c>
      <c r="J159" s="20">
        <v>0</v>
      </c>
      <c r="K159" s="19">
        <v>108000000</v>
      </c>
      <c r="L159" s="21">
        <v>0</v>
      </c>
      <c r="M159" s="19">
        <v>5804902</v>
      </c>
      <c r="N159" s="19">
        <v>0</v>
      </c>
      <c r="O159" s="19">
        <v>0</v>
      </c>
      <c r="P159" s="19">
        <v>15077</v>
      </c>
      <c r="Q159" s="19">
        <v>0</v>
      </c>
      <c r="R159" s="22"/>
      <c r="S159" s="19">
        <v>0</v>
      </c>
      <c r="T159" s="19">
        <v>15077</v>
      </c>
      <c r="U159" s="19">
        <v>0</v>
      </c>
      <c r="V159" s="3"/>
      <c r="W159" s="23">
        <v>0</v>
      </c>
      <c r="X159" s="24">
        <v>8511</v>
      </c>
      <c r="Y159" s="24" t="s">
        <v>229</v>
      </c>
    </row>
    <row r="160" spans="1:25" x14ac:dyDescent="0.25">
      <c r="A160" s="13">
        <v>155</v>
      </c>
      <c r="B160" s="14">
        <v>1277</v>
      </c>
      <c r="C160" s="15" t="s">
        <v>515</v>
      </c>
      <c r="D160" s="16" t="s">
        <v>516</v>
      </c>
      <c r="E160" s="17" t="s">
        <v>517</v>
      </c>
      <c r="F160" s="18" t="s">
        <v>51</v>
      </c>
      <c r="G160" s="19">
        <v>75757872</v>
      </c>
      <c r="H160" s="19">
        <v>75757872</v>
      </c>
      <c r="I160" s="19">
        <v>0</v>
      </c>
      <c r="J160" s="20">
        <v>0</v>
      </c>
      <c r="K160" s="19">
        <v>108000000</v>
      </c>
      <c r="L160" s="21">
        <v>0</v>
      </c>
      <c r="M160" s="19">
        <v>5804902</v>
      </c>
      <c r="N160" s="19">
        <v>0</v>
      </c>
      <c r="O160" s="19">
        <v>0</v>
      </c>
      <c r="P160" s="19">
        <v>16347</v>
      </c>
      <c r="Q160" s="19">
        <v>0</v>
      </c>
      <c r="R160" s="22"/>
      <c r="S160" s="19">
        <v>0</v>
      </c>
      <c r="T160" s="19">
        <v>16347</v>
      </c>
      <c r="U160" s="19">
        <v>0</v>
      </c>
      <c r="V160" s="3"/>
      <c r="W160" s="23">
        <v>0</v>
      </c>
      <c r="X160" s="24" t="s">
        <v>72</v>
      </c>
      <c r="Y160" s="24" t="s">
        <v>229</v>
      </c>
    </row>
    <row r="161" spans="1:25" x14ac:dyDescent="0.25">
      <c r="A161" s="13">
        <v>156</v>
      </c>
      <c r="B161" s="14">
        <v>1282</v>
      </c>
      <c r="C161" s="15" t="s">
        <v>518</v>
      </c>
      <c r="D161" s="16" t="s">
        <v>519</v>
      </c>
      <c r="E161" s="17" t="s">
        <v>520</v>
      </c>
      <c r="F161" s="18" t="s">
        <v>51</v>
      </c>
      <c r="G161" s="19">
        <v>80098498</v>
      </c>
      <c r="H161" s="19">
        <v>80098498</v>
      </c>
      <c r="I161" s="19">
        <v>0</v>
      </c>
      <c r="J161" s="20">
        <v>0</v>
      </c>
      <c r="K161" s="19">
        <v>108000000</v>
      </c>
      <c r="L161" s="21">
        <v>0</v>
      </c>
      <c r="M161" s="19">
        <v>5900019</v>
      </c>
      <c r="N161" s="19">
        <v>0</v>
      </c>
      <c r="O161" s="19">
        <v>0</v>
      </c>
      <c r="P161" s="19">
        <v>23159</v>
      </c>
      <c r="Q161" s="19">
        <v>0</v>
      </c>
      <c r="R161" s="22"/>
      <c r="S161" s="19">
        <v>0</v>
      </c>
      <c r="T161" s="19">
        <v>23159</v>
      </c>
      <c r="U161" s="19">
        <v>0</v>
      </c>
      <c r="V161" s="3"/>
      <c r="W161" s="23">
        <v>0</v>
      </c>
      <c r="X161" s="24" t="s">
        <v>72</v>
      </c>
      <c r="Y161" s="24" t="s">
        <v>229</v>
      </c>
    </row>
    <row r="162" spans="1:25" hidden="1" x14ac:dyDescent="0.25">
      <c r="A162" s="13">
        <v>157</v>
      </c>
      <c r="B162" s="14">
        <v>1314</v>
      </c>
      <c r="C162" s="15" t="s">
        <v>521</v>
      </c>
      <c r="D162" s="16" t="s">
        <v>522</v>
      </c>
      <c r="E162" s="17" t="s">
        <v>523</v>
      </c>
      <c r="F162" s="18" t="s">
        <v>51</v>
      </c>
      <c r="G162" s="19">
        <v>73983608</v>
      </c>
      <c r="H162" s="19">
        <v>73983608</v>
      </c>
      <c r="I162" s="19">
        <v>0</v>
      </c>
      <c r="J162" s="20">
        <v>0</v>
      </c>
      <c r="K162" s="19">
        <v>108000000</v>
      </c>
      <c r="L162" s="21">
        <v>0</v>
      </c>
      <c r="M162" s="19">
        <v>5804902</v>
      </c>
      <c r="N162" s="19">
        <v>0</v>
      </c>
      <c r="O162" s="19">
        <v>0</v>
      </c>
      <c r="P162" s="19">
        <v>20174</v>
      </c>
      <c r="Q162" s="19">
        <v>0</v>
      </c>
      <c r="R162" s="22"/>
      <c r="S162" s="19">
        <v>0</v>
      </c>
      <c r="T162" s="19">
        <v>20174</v>
      </c>
      <c r="U162" s="19">
        <v>0</v>
      </c>
      <c r="V162" s="3"/>
      <c r="W162" s="23">
        <v>0</v>
      </c>
      <c r="X162" s="24">
        <v>8512</v>
      </c>
      <c r="Y162" s="24" t="s">
        <v>229</v>
      </c>
    </row>
    <row r="163" spans="1:25" hidden="1" x14ac:dyDescent="0.25">
      <c r="A163" s="13">
        <v>158</v>
      </c>
      <c r="B163" s="14">
        <v>1283</v>
      </c>
      <c r="C163" s="15" t="s">
        <v>524</v>
      </c>
      <c r="D163" s="16" t="s">
        <v>525</v>
      </c>
      <c r="E163" s="17" t="s">
        <v>526</v>
      </c>
      <c r="F163" s="18" t="s">
        <v>51</v>
      </c>
      <c r="G163" s="19">
        <v>77240234</v>
      </c>
      <c r="H163" s="19">
        <v>77240234</v>
      </c>
      <c r="I163" s="19">
        <v>0</v>
      </c>
      <c r="J163" s="20">
        <v>0</v>
      </c>
      <c r="K163" s="19">
        <v>108000000</v>
      </c>
      <c r="L163" s="21">
        <v>0</v>
      </c>
      <c r="M163" s="19">
        <v>5844230</v>
      </c>
      <c r="N163" s="19">
        <v>0</v>
      </c>
      <c r="O163" s="19">
        <v>0</v>
      </c>
      <c r="P163" s="19">
        <v>23420</v>
      </c>
      <c r="Q163" s="19">
        <v>0</v>
      </c>
      <c r="R163" s="22"/>
      <c r="S163" s="19">
        <v>0</v>
      </c>
      <c r="T163" s="19">
        <v>23420</v>
      </c>
      <c r="U163" s="19">
        <v>0</v>
      </c>
      <c r="V163" s="3"/>
      <c r="W163" s="23">
        <v>0</v>
      </c>
      <c r="X163" s="24">
        <v>8512</v>
      </c>
      <c r="Y163" s="24" t="s">
        <v>229</v>
      </c>
    </row>
    <row r="164" spans="1:25" x14ac:dyDescent="0.25">
      <c r="A164" s="13">
        <v>159</v>
      </c>
      <c r="B164" s="14">
        <v>1336</v>
      </c>
      <c r="C164" s="15" t="s">
        <v>527</v>
      </c>
      <c r="D164" s="16" t="s">
        <v>528</v>
      </c>
      <c r="E164" s="17" t="s">
        <v>529</v>
      </c>
      <c r="F164" s="18" t="s">
        <v>51</v>
      </c>
      <c r="G164" s="19">
        <v>80638075</v>
      </c>
      <c r="H164" s="19">
        <v>80638075</v>
      </c>
      <c r="I164" s="19">
        <v>0</v>
      </c>
      <c r="J164" s="20">
        <v>0</v>
      </c>
      <c r="K164" s="19">
        <v>108000000</v>
      </c>
      <c r="L164" s="21">
        <v>0</v>
      </c>
      <c r="M164" s="19">
        <v>5844230</v>
      </c>
      <c r="N164" s="19">
        <v>0</v>
      </c>
      <c r="O164" s="19">
        <v>0</v>
      </c>
      <c r="P164" s="19">
        <v>30671</v>
      </c>
      <c r="Q164" s="19">
        <v>0</v>
      </c>
      <c r="R164" s="22"/>
      <c r="S164" s="19">
        <v>0</v>
      </c>
      <c r="T164" s="19">
        <v>30671</v>
      </c>
      <c r="U164" s="19">
        <v>0</v>
      </c>
      <c r="V164" s="3"/>
      <c r="W164" s="23">
        <v>0</v>
      </c>
      <c r="X164" s="24" t="s">
        <v>72</v>
      </c>
      <c r="Y164" s="24" t="s">
        <v>229</v>
      </c>
    </row>
    <row r="165" spans="1:25" hidden="1" x14ac:dyDescent="0.25">
      <c r="A165" s="13">
        <v>160</v>
      </c>
      <c r="B165" s="14">
        <v>1339</v>
      </c>
      <c r="C165" s="15" t="s">
        <v>395</v>
      </c>
      <c r="D165" s="16" t="s">
        <v>530</v>
      </c>
      <c r="E165" s="17" t="s">
        <v>531</v>
      </c>
      <c r="F165" s="18" t="s">
        <v>51</v>
      </c>
      <c r="G165" s="19">
        <v>72232596</v>
      </c>
      <c r="H165" s="19">
        <v>72232596</v>
      </c>
      <c r="I165" s="19">
        <v>0</v>
      </c>
      <c r="J165" s="20">
        <v>0</v>
      </c>
      <c r="K165" s="19">
        <v>108000000</v>
      </c>
      <c r="L165" s="21">
        <v>0</v>
      </c>
      <c r="M165" s="19">
        <v>5804902</v>
      </c>
      <c r="N165" s="19">
        <v>0</v>
      </c>
      <c r="O165" s="19">
        <v>0</v>
      </c>
      <c r="P165" s="19">
        <v>13626</v>
      </c>
      <c r="Q165" s="19">
        <v>0</v>
      </c>
      <c r="R165" s="22"/>
      <c r="S165" s="19">
        <v>0</v>
      </c>
      <c r="T165" s="19">
        <v>13626</v>
      </c>
      <c r="U165" s="19">
        <v>0</v>
      </c>
      <c r="V165" s="3"/>
      <c r="W165" s="23">
        <v>0</v>
      </c>
      <c r="X165" s="24">
        <v>8511</v>
      </c>
      <c r="Y165" s="24" t="s">
        <v>229</v>
      </c>
    </row>
    <row r="166" spans="1:25" hidden="1" x14ac:dyDescent="0.25">
      <c r="A166" s="13">
        <v>161</v>
      </c>
      <c r="B166" s="14">
        <v>1348</v>
      </c>
      <c r="C166" s="15" t="s">
        <v>532</v>
      </c>
      <c r="D166" s="16" t="s">
        <v>533</v>
      </c>
      <c r="E166" s="17" t="s">
        <v>534</v>
      </c>
      <c r="F166" s="18" t="s">
        <v>51</v>
      </c>
      <c r="G166" s="19">
        <v>75090564</v>
      </c>
      <c r="H166" s="19">
        <v>75090564</v>
      </c>
      <c r="I166" s="19">
        <v>0</v>
      </c>
      <c r="J166" s="20">
        <v>0</v>
      </c>
      <c r="K166" s="19">
        <v>108000000</v>
      </c>
      <c r="L166" s="21">
        <v>0</v>
      </c>
      <c r="M166" s="19">
        <v>5900019</v>
      </c>
      <c r="N166" s="19">
        <v>0</v>
      </c>
      <c r="O166" s="19">
        <v>0</v>
      </c>
      <c r="P166" s="19">
        <v>23536</v>
      </c>
      <c r="Q166" s="19">
        <v>0</v>
      </c>
      <c r="R166" s="22"/>
      <c r="S166" s="19">
        <v>0</v>
      </c>
      <c r="T166" s="19">
        <v>23536</v>
      </c>
      <c r="U166" s="19">
        <v>0</v>
      </c>
      <c r="V166" s="3"/>
      <c r="W166" s="23">
        <v>0</v>
      </c>
      <c r="X166" s="24">
        <v>8511</v>
      </c>
      <c r="Y166" s="24" t="s">
        <v>229</v>
      </c>
    </row>
    <row r="167" spans="1:25" hidden="1" x14ac:dyDescent="0.25">
      <c r="A167" s="13">
        <v>162</v>
      </c>
      <c r="B167" s="14">
        <v>1375</v>
      </c>
      <c r="C167" s="15" t="s">
        <v>535</v>
      </c>
      <c r="D167" s="16" t="s">
        <v>536</v>
      </c>
      <c r="E167" s="17" t="s">
        <v>537</v>
      </c>
      <c r="F167" s="18" t="s">
        <v>51</v>
      </c>
      <c r="G167" s="19">
        <v>74066592</v>
      </c>
      <c r="H167" s="19">
        <v>74066592</v>
      </c>
      <c r="I167" s="19">
        <v>0</v>
      </c>
      <c r="J167" s="20">
        <v>0</v>
      </c>
      <c r="K167" s="19">
        <v>108000000</v>
      </c>
      <c r="L167" s="21">
        <v>0</v>
      </c>
      <c r="M167" s="19">
        <v>5844230</v>
      </c>
      <c r="N167" s="19">
        <v>0</v>
      </c>
      <c r="O167" s="19">
        <v>0</v>
      </c>
      <c r="P167" s="19">
        <v>12888</v>
      </c>
      <c r="Q167" s="19">
        <v>0</v>
      </c>
      <c r="R167" s="22"/>
      <c r="S167" s="19">
        <v>0</v>
      </c>
      <c r="T167" s="19">
        <v>12888</v>
      </c>
      <c r="U167" s="19">
        <v>0</v>
      </c>
      <c r="V167" s="3"/>
      <c r="W167" s="23">
        <v>0</v>
      </c>
      <c r="X167" s="24">
        <v>8511</v>
      </c>
      <c r="Y167" s="24" t="s">
        <v>229</v>
      </c>
    </row>
    <row r="168" spans="1:25" x14ac:dyDescent="0.25">
      <c r="A168" s="13">
        <v>163</v>
      </c>
      <c r="B168" s="14">
        <v>1421</v>
      </c>
      <c r="C168" s="15" t="s">
        <v>538</v>
      </c>
      <c r="D168" s="16" t="s">
        <v>539</v>
      </c>
      <c r="E168" s="17" t="s">
        <v>540</v>
      </c>
      <c r="F168" s="18" t="s">
        <v>51</v>
      </c>
      <c r="G168" s="19">
        <v>76963148</v>
      </c>
      <c r="H168" s="19">
        <v>76963148</v>
      </c>
      <c r="I168" s="19">
        <v>0</v>
      </c>
      <c r="J168" s="20">
        <v>0</v>
      </c>
      <c r="K168" s="19">
        <v>108000000</v>
      </c>
      <c r="L168" s="21">
        <v>0</v>
      </c>
      <c r="M168" s="19">
        <v>5939982</v>
      </c>
      <c r="N168" s="19">
        <v>0</v>
      </c>
      <c r="O168" s="19">
        <v>0</v>
      </c>
      <c r="P168" s="19">
        <v>19670</v>
      </c>
      <c r="Q168" s="19">
        <v>0</v>
      </c>
      <c r="R168" s="22"/>
      <c r="S168" s="19">
        <v>0</v>
      </c>
      <c r="T168" s="19">
        <v>19670</v>
      </c>
      <c r="U168" s="19">
        <v>0</v>
      </c>
      <c r="V168" s="3"/>
      <c r="W168" s="23">
        <v>0</v>
      </c>
      <c r="X168" s="24" t="s">
        <v>72</v>
      </c>
      <c r="Y168" s="24" t="s">
        <v>229</v>
      </c>
    </row>
    <row r="169" spans="1:25" x14ac:dyDescent="0.25">
      <c r="A169" s="13">
        <v>164</v>
      </c>
      <c r="B169" s="14">
        <v>1431</v>
      </c>
      <c r="C169" s="15" t="s">
        <v>541</v>
      </c>
      <c r="D169" s="16" t="s">
        <v>542</v>
      </c>
      <c r="E169" s="17" t="s">
        <v>543</v>
      </c>
      <c r="F169" s="18" t="s">
        <v>51</v>
      </c>
      <c r="G169" s="19">
        <v>75406577</v>
      </c>
      <c r="H169" s="19">
        <v>75406577</v>
      </c>
      <c r="I169" s="19">
        <v>0</v>
      </c>
      <c r="J169" s="20">
        <v>0</v>
      </c>
      <c r="K169" s="19">
        <v>108000000</v>
      </c>
      <c r="L169" s="21">
        <v>0</v>
      </c>
      <c r="M169" s="19">
        <v>5844230</v>
      </c>
      <c r="N169" s="19">
        <v>0</v>
      </c>
      <c r="O169" s="19">
        <v>0</v>
      </c>
      <c r="P169" s="19">
        <v>31281</v>
      </c>
      <c r="Q169" s="19">
        <v>0</v>
      </c>
      <c r="R169" s="22"/>
      <c r="S169" s="19">
        <v>0</v>
      </c>
      <c r="T169" s="19">
        <v>31281</v>
      </c>
      <c r="U169" s="19">
        <v>0</v>
      </c>
      <c r="V169" s="3"/>
      <c r="W169" s="23">
        <v>0</v>
      </c>
      <c r="X169" s="24" t="s">
        <v>72</v>
      </c>
      <c r="Y169" s="24" t="s">
        <v>229</v>
      </c>
    </row>
    <row r="170" spans="1:25" hidden="1" x14ac:dyDescent="0.25">
      <c r="A170" s="13">
        <v>165</v>
      </c>
      <c r="B170" s="14">
        <v>1451</v>
      </c>
      <c r="C170" s="15" t="s">
        <v>544</v>
      </c>
      <c r="D170" s="16" t="s">
        <v>545</v>
      </c>
      <c r="E170" s="17" t="s">
        <v>546</v>
      </c>
      <c r="F170" s="18" t="s">
        <v>51</v>
      </c>
      <c r="G170" s="19">
        <v>76878097</v>
      </c>
      <c r="H170" s="19">
        <v>76878097</v>
      </c>
      <c r="I170" s="19">
        <v>0</v>
      </c>
      <c r="J170" s="20">
        <v>0</v>
      </c>
      <c r="K170" s="19">
        <v>108000000</v>
      </c>
      <c r="L170" s="21">
        <v>0</v>
      </c>
      <c r="M170" s="19">
        <v>5883550</v>
      </c>
      <c r="N170" s="19">
        <v>0</v>
      </c>
      <c r="O170" s="19">
        <v>0</v>
      </c>
      <c r="P170" s="19">
        <v>12916</v>
      </c>
      <c r="Q170" s="19">
        <v>0</v>
      </c>
      <c r="R170" s="22"/>
      <c r="S170" s="19">
        <v>0</v>
      </c>
      <c r="T170" s="19">
        <v>12916</v>
      </c>
      <c r="U170" s="19">
        <v>0</v>
      </c>
      <c r="V170" s="3"/>
      <c r="W170" s="23">
        <v>0</v>
      </c>
      <c r="X170" s="24">
        <v>8512</v>
      </c>
      <c r="Y170" s="24" t="s">
        <v>229</v>
      </c>
    </row>
    <row r="171" spans="1:25" x14ac:dyDescent="0.25">
      <c r="A171" s="13">
        <v>166</v>
      </c>
      <c r="B171" s="14">
        <v>1456</v>
      </c>
      <c r="C171" s="15" t="s">
        <v>547</v>
      </c>
      <c r="D171" s="16" t="s">
        <v>548</v>
      </c>
      <c r="E171" s="17" t="s">
        <v>549</v>
      </c>
      <c r="F171" s="18" t="s">
        <v>51</v>
      </c>
      <c r="G171" s="19">
        <v>76510311</v>
      </c>
      <c r="H171" s="19">
        <v>76510311</v>
      </c>
      <c r="I171" s="19">
        <v>0</v>
      </c>
      <c r="J171" s="20">
        <v>0</v>
      </c>
      <c r="K171" s="19">
        <v>108000000</v>
      </c>
      <c r="L171" s="21">
        <v>0</v>
      </c>
      <c r="M171" s="19">
        <v>5804902</v>
      </c>
      <c r="N171" s="19">
        <v>0</v>
      </c>
      <c r="O171" s="19">
        <v>0</v>
      </c>
      <c r="P171" s="19">
        <v>11274</v>
      </c>
      <c r="Q171" s="19">
        <v>0</v>
      </c>
      <c r="R171" s="22"/>
      <c r="S171" s="19">
        <v>0</v>
      </c>
      <c r="T171" s="19">
        <v>11274</v>
      </c>
      <c r="U171" s="19">
        <v>0</v>
      </c>
      <c r="V171" s="3"/>
      <c r="W171" s="23">
        <v>0</v>
      </c>
      <c r="X171" s="24" t="s">
        <v>72</v>
      </c>
      <c r="Y171" s="24" t="s">
        <v>229</v>
      </c>
    </row>
    <row r="172" spans="1:25" hidden="1" x14ac:dyDescent="0.25">
      <c r="A172" s="13">
        <v>167</v>
      </c>
      <c r="B172" s="14">
        <v>1458</v>
      </c>
      <c r="C172" s="15" t="s">
        <v>550</v>
      </c>
      <c r="D172" s="16" t="s">
        <v>551</v>
      </c>
      <c r="E172" s="17" t="s">
        <v>552</v>
      </c>
      <c r="F172" s="18" t="s">
        <v>51</v>
      </c>
      <c r="G172" s="19">
        <v>74806894</v>
      </c>
      <c r="H172" s="19">
        <v>74806894</v>
      </c>
      <c r="I172" s="19">
        <v>0</v>
      </c>
      <c r="J172" s="20">
        <v>0</v>
      </c>
      <c r="K172" s="19">
        <v>108000000</v>
      </c>
      <c r="L172" s="21">
        <v>0</v>
      </c>
      <c r="M172" s="19">
        <v>5883550</v>
      </c>
      <c r="N172" s="19">
        <v>0</v>
      </c>
      <c r="O172" s="19">
        <v>0</v>
      </c>
      <c r="P172" s="19">
        <v>17898</v>
      </c>
      <c r="Q172" s="19">
        <v>0</v>
      </c>
      <c r="R172" s="22"/>
      <c r="S172" s="19">
        <v>0</v>
      </c>
      <c r="T172" s="19">
        <v>17898</v>
      </c>
      <c r="U172" s="19">
        <v>0</v>
      </c>
      <c r="V172" s="3"/>
      <c r="W172" s="23">
        <v>0</v>
      </c>
      <c r="X172" s="24">
        <v>8512</v>
      </c>
      <c r="Y172" s="24" t="s">
        <v>229</v>
      </c>
    </row>
    <row r="173" spans="1:25" hidden="1" x14ac:dyDescent="0.25">
      <c r="A173" s="13">
        <v>168</v>
      </c>
      <c r="B173" s="14">
        <v>1464</v>
      </c>
      <c r="C173" s="15" t="s">
        <v>553</v>
      </c>
      <c r="D173" s="16" t="s">
        <v>554</v>
      </c>
      <c r="E173" s="17" t="s">
        <v>555</v>
      </c>
      <c r="F173" s="18" t="s">
        <v>51</v>
      </c>
      <c r="G173" s="19">
        <v>74891279</v>
      </c>
      <c r="H173" s="19">
        <v>74891279</v>
      </c>
      <c r="I173" s="19">
        <v>0</v>
      </c>
      <c r="J173" s="20">
        <v>0</v>
      </c>
      <c r="K173" s="19">
        <v>108000000</v>
      </c>
      <c r="L173" s="21">
        <v>0</v>
      </c>
      <c r="M173" s="19">
        <v>5883550</v>
      </c>
      <c r="N173" s="19">
        <v>0</v>
      </c>
      <c r="O173" s="19">
        <v>0</v>
      </c>
      <c r="P173" s="19">
        <v>27158</v>
      </c>
      <c r="Q173" s="19">
        <v>0</v>
      </c>
      <c r="R173" s="22"/>
      <c r="S173" s="19">
        <v>0</v>
      </c>
      <c r="T173" s="19">
        <v>27158</v>
      </c>
      <c r="U173" s="19">
        <v>0</v>
      </c>
      <c r="V173" s="3"/>
      <c r="W173" s="23">
        <v>0</v>
      </c>
      <c r="X173" s="24">
        <v>8512</v>
      </c>
      <c r="Y173" s="24" t="s">
        <v>229</v>
      </c>
    </row>
    <row r="174" spans="1:25" hidden="1" x14ac:dyDescent="0.25">
      <c r="A174" s="13">
        <v>169</v>
      </c>
      <c r="B174" s="14">
        <v>1472</v>
      </c>
      <c r="C174" s="15" t="s">
        <v>556</v>
      </c>
      <c r="D174" s="16" t="s">
        <v>557</v>
      </c>
      <c r="E174" s="17" t="s">
        <v>558</v>
      </c>
      <c r="F174" s="18" t="s">
        <v>51</v>
      </c>
      <c r="G174" s="19">
        <v>77425671</v>
      </c>
      <c r="H174" s="19">
        <v>77425671</v>
      </c>
      <c r="I174" s="19">
        <v>0</v>
      </c>
      <c r="J174" s="20">
        <v>0</v>
      </c>
      <c r="K174" s="19">
        <v>108000000</v>
      </c>
      <c r="L174" s="21">
        <v>0</v>
      </c>
      <c r="M174" s="19">
        <v>5844230</v>
      </c>
      <c r="N174" s="19">
        <v>0</v>
      </c>
      <c r="O174" s="19">
        <v>0</v>
      </c>
      <c r="P174" s="19">
        <v>25064</v>
      </c>
      <c r="Q174" s="19">
        <v>0</v>
      </c>
      <c r="R174" s="22"/>
      <c r="S174" s="19">
        <v>0</v>
      </c>
      <c r="T174" s="19">
        <v>25064</v>
      </c>
      <c r="U174" s="19">
        <v>0</v>
      </c>
      <c r="V174" s="3"/>
      <c r="W174" s="23">
        <v>0</v>
      </c>
      <c r="X174" s="24">
        <v>8512</v>
      </c>
      <c r="Y174" s="24" t="s">
        <v>229</v>
      </c>
    </row>
    <row r="175" spans="1:25" hidden="1" x14ac:dyDescent="0.25">
      <c r="A175" s="13">
        <v>170</v>
      </c>
      <c r="B175" s="14">
        <v>1476</v>
      </c>
      <c r="C175" s="15" t="s">
        <v>559</v>
      </c>
      <c r="D175" s="16" t="s">
        <v>560</v>
      </c>
      <c r="E175" s="17" t="s">
        <v>561</v>
      </c>
      <c r="F175" s="18" t="s">
        <v>51</v>
      </c>
      <c r="G175" s="19">
        <v>74838342</v>
      </c>
      <c r="H175" s="19">
        <v>74838342</v>
      </c>
      <c r="I175" s="19">
        <v>0</v>
      </c>
      <c r="J175" s="20">
        <v>0</v>
      </c>
      <c r="K175" s="19">
        <v>108000000</v>
      </c>
      <c r="L175" s="21">
        <v>0</v>
      </c>
      <c r="M175" s="19">
        <v>5804902</v>
      </c>
      <c r="N175" s="19">
        <v>0</v>
      </c>
      <c r="O175" s="19">
        <v>0</v>
      </c>
      <c r="P175" s="19">
        <v>24311</v>
      </c>
      <c r="Q175" s="19">
        <v>0</v>
      </c>
      <c r="R175" s="22"/>
      <c r="S175" s="19">
        <v>0</v>
      </c>
      <c r="T175" s="19">
        <v>24311</v>
      </c>
      <c r="U175" s="19">
        <v>0</v>
      </c>
      <c r="V175" s="3"/>
      <c r="W175" s="23">
        <v>0</v>
      </c>
      <c r="X175" s="24">
        <v>8512</v>
      </c>
      <c r="Y175" s="24" t="s">
        <v>229</v>
      </c>
    </row>
    <row r="176" spans="1:25" hidden="1" x14ac:dyDescent="0.25">
      <c r="A176" s="13">
        <v>171</v>
      </c>
      <c r="B176" s="14">
        <v>1522</v>
      </c>
      <c r="C176" s="15" t="s">
        <v>562</v>
      </c>
      <c r="D176" s="16" t="s">
        <v>563</v>
      </c>
      <c r="E176" s="17" t="s">
        <v>564</v>
      </c>
      <c r="F176" s="18" t="s">
        <v>51</v>
      </c>
      <c r="G176" s="19">
        <v>72259104</v>
      </c>
      <c r="H176" s="19">
        <v>72259104</v>
      </c>
      <c r="I176" s="19">
        <v>0</v>
      </c>
      <c r="J176" s="20">
        <v>0</v>
      </c>
      <c r="K176" s="19">
        <v>108000000</v>
      </c>
      <c r="L176" s="21">
        <v>0</v>
      </c>
      <c r="M176" s="19">
        <v>5748476</v>
      </c>
      <c r="N176" s="19">
        <v>0</v>
      </c>
      <c r="O176" s="19">
        <v>0</v>
      </c>
      <c r="P176" s="19">
        <v>12301</v>
      </c>
      <c r="Q176" s="19">
        <v>0</v>
      </c>
      <c r="R176" s="22"/>
      <c r="S176" s="19">
        <v>0</v>
      </c>
      <c r="T176" s="19">
        <v>12301</v>
      </c>
      <c r="U176" s="19">
        <v>0</v>
      </c>
      <c r="V176" s="3"/>
      <c r="W176" s="23">
        <v>0</v>
      </c>
      <c r="X176" s="24">
        <v>8511</v>
      </c>
      <c r="Y176" s="24" t="s">
        <v>229</v>
      </c>
    </row>
    <row r="177" spans="1:25" hidden="1" x14ac:dyDescent="0.25">
      <c r="A177" s="13">
        <v>172</v>
      </c>
      <c r="B177" s="14">
        <v>1524</v>
      </c>
      <c r="C177" s="15" t="s">
        <v>565</v>
      </c>
      <c r="D177" s="16" t="s">
        <v>566</v>
      </c>
      <c r="E177" s="17" t="s">
        <v>567</v>
      </c>
      <c r="F177" s="18" t="s">
        <v>51</v>
      </c>
      <c r="G177" s="19">
        <v>74180781</v>
      </c>
      <c r="H177" s="19">
        <v>74180781</v>
      </c>
      <c r="I177" s="19">
        <v>0</v>
      </c>
      <c r="J177" s="20">
        <v>0</v>
      </c>
      <c r="K177" s="19">
        <v>108000000</v>
      </c>
      <c r="L177" s="21">
        <v>0</v>
      </c>
      <c r="M177" s="19">
        <v>5748476</v>
      </c>
      <c r="N177" s="19">
        <v>0</v>
      </c>
      <c r="O177" s="19">
        <v>0</v>
      </c>
      <c r="P177" s="19">
        <v>17376</v>
      </c>
      <c r="Q177" s="19">
        <v>0</v>
      </c>
      <c r="R177" s="22"/>
      <c r="S177" s="19">
        <v>0</v>
      </c>
      <c r="T177" s="19">
        <v>17376</v>
      </c>
      <c r="U177" s="19">
        <v>0</v>
      </c>
      <c r="V177" s="3"/>
      <c r="W177" s="23">
        <v>0</v>
      </c>
      <c r="X177" s="24">
        <v>8512</v>
      </c>
      <c r="Y177" s="24" t="s">
        <v>229</v>
      </c>
    </row>
    <row r="178" spans="1:25" hidden="1" x14ac:dyDescent="0.25">
      <c r="A178" s="13">
        <v>173</v>
      </c>
      <c r="B178" s="14">
        <v>1539</v>
      </c>
      <c r="C178" s="15" t="s">
        <v>568</v>
      </c>
      <c r="D178" s="16" t="s">
        <v>569</v>
      </c>
      <c r="E178" s="17" t="s">
        <v>570</v>
      </c>
      <c r="F178" s="18" t="s">
        <v>51</v>
      </c>
      <c r="G178" s="19">
        <v>73864539</v>
      </c>
      <c r="H178" s="19">
        <v>73864539</v>
      </c>
      <c r="I178" s="19">
        <v>0</v>
      </c>
      <c r="J178" s="20">
        <v>0</v>
      </c>
      <c r="K178" s="19">
        <v>108000000</v>
      </c>
      <c r="L178" s="21">
        <v>0</v>
      </c>
      <c r="M178" s="19">
        <v>5748476</v>
      </c>
      <c r="N178" s="19">
        <v>0</v>
      </c>
      <c r="O178" s="19">
        <v>0</v>
      </c>
      <c r="P178" s="19">
        <v>17900</v>
      </c>
      <c r="Q178" s="19">
        <v>0</v>
      </c>
      <c r="R178" s="22"/>
      <c r="S178" s="19">
        <v>0</v>
      </c>
      <c r="T178" s="19">
        <v>17900</v>
      </c>
      <c r="U178" s="19">
        <v>0</v>
      </c>
      <c r="V178" s="3"/>
      <c r="W178" s="23">
        <v>0</v>
      </c>
      <c r="X178" s="24">
        <v>8512</v>
      </c>
      <c r="Y178" s="24" t="s">
        <v>229</v>
      </c>
    </row>
    <row r="179" spans="1:25" hidden="1" x14ac:dyDescent="0.25">
      <c r="A179" s="13">
        <v>174</v>
      </c>
      <c r="B179" s="14">
        <v>1623</v>
      </c>
      <c r="C179" s="15" t="s">
        <v>571</v>
      </c>
      <c r="D179" s="16" t="s">
        <v>572</v>
      </c>
      <c r="E179" s="17" t="s">
        <v>573</v>
      </c>
      <c r="F179" s="18" t="s">
        <v>51</v>
      </c>
      <c r="G179" s="19">
        <v>74650897</v>
      </c>
      <c r="H179" s="19">
        <v>74650897</v>
      </c>
      <c r="I179" s="19">
        <v>0</v>
      </c>
      <c r="J179" s="20">
        <v>0</v>
      </c>
      <c r="K179" s="19">
        <v>108000000</v>
      </c>
      <c r="L179" s="21">
        <v>0</v>
      </c>
      <c r="M179" s="19">
        <v>5748476</v>
      </c>
      <c r="N179" s="19">
        <v>0</v>
      </c>
      <c r="O179" s="19">
        <v>0</v>
      </c>
      <c r="P179" s="19">
        <v>10476</v>
      </c>
      <c r="Q179" s="19">
        <v>0</v>
      </c>
      <c r="R179" s="22"/>
      <c r="S179" s="19">
        <v>0</v>
      </c>
      <c r="T179" s="19">
        <v>10476</v>
      </c>
      <c r="U179" s="19">
        <v>0</v>
      </c>
      <c r="V179" s="3"/>
      <c r="W179" s="23">
        <v>0</v>
      </c>
      <c r="X179" s="24">
        <v>8511</v>
      </c>
      <c r="Y179" s="24" t="s">
        <v>574</v>
      </c>
    </row>
    <row r="180" spans="1:25" hidden="1" x14ac:dyDescent="0.25">
      <c r="A180" s="13">
        <v>175</v>
      </c>
      <c r="B180" s="14">
        <v>1674</v>
      </c>
      <c r="C180" s="15" t="s">
        <v>575</v>
      </c>
      <c r="D180" s="16" t="s">
        <v>576</v>
      </c>
      <c r="E180" s="17" t="s">
        <v>577</v>
      </c>
      <c r="F180" s="18" t="s">
        <v>51</v>
      </c>
      <c r="G180" s="19">
        <v>73821276</v>
      </c>
      <c r="H180" s="19">
        <v>73821276</v>
      </c>
      <c r="I180" s="19">
        <v>0</v>
      </c>
      <c r="J180" s="20">
        <v>0</v>
      </c>
      <c r="K180" s="19">
        <v>108000000</v>
      </c>
      <c r="L180" s="21">
        <v>0</v>
      </c>
      <c r="M180" s="19">
        <v>5748476</v>
      </c>
      <c r="N180" s="19">
        <v>0</v>
      </c>
      <c r="O180" s="19">
        <v>0</v>
      </c>
      <c r="P180" s="19">
        <v>16529</v>
      </c>
      <c r="Q180" s="19">
        <v>0</v>
      </c>
      <c r="R180" s="22"/>
      <c r="S180" s="19">
        <v>0</v>
      </c>
      <c r="T180" s="19">
        <v>16529</v>
      </c>
      <c r="U180" s="19">
        <v>0</v>
      </c>
      <c r="V180" s="3"/>
      <c r="W180" s="23">
        <v>0</v>
      </c>
      <c r="X180" s="24">
        <v>8511</v>
      </c>
      <c r="Y180" s="24" t="s">
        <v>229</v>
      </c>
    </row>
  </sheetData>
  <autoFilter ref="A5:Y180">
    <filterColumn colId="23">
      <filters>
        <filter val="3212H"/>
      </filters>
    </filterColumn>
  </autoFilter>
  <mergeCells count="22">
    <mergeCell ref="G2:I2"/>
    <mergeCell ref="A2:A4"/>
    <mergeCell ref="C2:C4"/>
    <mergeCell ref="D2:D4"/>
    <mergeCell ref="E2:E4"/>
    <mergeCell ref="F2:F4"/>
    <mergeCell ref="X2:X4"/>
    <mergeCell ref="Y2:Y4"/>
    <mergeCell ref="G3:G4"/>
    <mergeCell ref="H3:I3"/>
    <mergeCell ref="J3:J4"/>
    <mergeCell ref="K3:K4"/>
    <mergeCell ref="L3:L4"/>
    <mergeCell ref="M3:M4"/>
    <mergeCell ref="N3:N4"/>
    <mergeCell ref="S3:S4"/>
    <mergeCell ref="J2:N2"/>
    <mergeCell ref="O2:O4"/>
    <mergeCell ref="P2:P4"/>
    <mergeCell ref="Q2:Q4"/>
    <mergeCell ref="S2:U2"/>
    <mergeCell ref="W2:W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G37"/>
  <sheetViews>
    <sheetView tabSelected="1" view="pageBreakPreview" zoomScale="115" zoomScaleNormal="100" zoomScaleSheetLayoutView="115" workbookViewId="0">
      <selection activeCell="E2" sqref="E2"/>
    </sheetView>
  </sheetViews>
  <sheetFormatPr defaultRowHeight="15" x14ac:dyDescent="0.25"/>
  <cols>
    <col min="1" max="1" width="13" customWidth="1"/>
    <col min="2" max="2" width="33" customWidth="1"/>
    <col min="3" max="3" width="24.85546875" customWidth="1"/>
    <col min="4" max="4" width="4.85546875" customWidth="1"/>
    <col min="5" max="5" width="13" customWidth="1"/>
    <col min="6" max="6" width="33" customWidth="1"/>
    <col min="7" max="7" width="24.85546875" customWidth="1"/>
  </cols>
  <sheetData>
    <row r="1" spans="1:7" ht="20.25" customHeight="1" x14ac:dyDescent="0.25">
      <c r="A1" s="53">
        <v>69</v>
      </c>
      <c r="B1" s="54">
        <f>VLOOKUP(A1,'8511'!$A$6:$U$100,2,0)</f>
        <v>1623</v>
      </c>
      <c r="C1" s="55" t="str">
        <f>VLOOKUP(A1,'8511'!$A$6:$U$100,3,0)</f>
        <v>NGUYỄN HỮU KHÁ</v>
      </c>
      <c r="D1" s="52"/>
      <c r="E1" s="53">
        <v>32</v>
      </c>
      <c r="F1" s="54">
        <f>VLOOKUP(E1,'321H'!$A$6:$U$100,2,0)</f>
        <v>1431</v>
      </c>
      <c r="G1" s="55" t="str">
        <f>VLOOKUP(E1,'321H'!$A$6:$U$100,3,0)</f>
        <v>NGUYỄN VĂN ĐƯỜNG</v>
      </c>
    </row>
    <row r="2" spans="1:7" ht="15" customHeight="1" x14ac:dyDescent="0.25">
      <c r="A2" s="51"/>
      <c r="B2" s="51"/>
      <c r="C2" s="51"/>
      <c r="D2" s="51"/>
      <c r="E2" s="51"/>
      <c r="F2" s="51"/>
      <c r="G2" s="51"/>
    </row>
    <row r="3" spans="1:7" s="56" customFormat="1" ht="15.75" x14ac:dyDescent="0.25">
      <c r="A3" s="28" t="s">
        <v>578</v>
      </c>
      <c r="B3" s="28"/>
      <c r="C3" s="28"/>
      <c r="E3" s="28" t="s">
        <v>578</v>
      </c>
      <c r="F3" s="57"/>
      <c r="G3" s="57"/>
    </row>
    <row r="4" spans="1:7" x14ac:dyDescent="0.25">
      <c r="A4" s="29" t="s">
        <v>579</v>
      </c>
      <c r="B4" s="30"/>
      <c r="C4" s="30"/>
      <c r="E4" s="29" t="s">
        <v>579</v>
      </c>
      <c r="F4" s="30"/>
      <c r="G4" s="30"/>
    </row>
    <row r="5" spans="1:7" x14ac:dyDescent="0.25">
      <c r="A5" s="87"/>
      <c r="B5" s="87"/>
      <c r="C5" s="87"/>
      <c r="E5" s="87"/>
      <c r="F5" s="87"/>
      <c r="G5" s="87"/>
    </row>
    <row r="6" spans="1:7" x14ac:dyDescent="0.25">
      <c r="A6" s="31" t="s">
        <v>600</v>
      </c>
      <c r="B6" s="32"/>
      <c r="C6" s="32"/>
      <c r="E6" s="31" t="s">
        <v>600</v>
      </c>
      <c r="F6" s="32"/>
      <c r="G6" s="32"/>
    </row>
    <row r="7" spans="1:7" x14ac:dyDescent="0.25">
      <c r="A7" s="31" t="s">
        <v>601</v>
      </c>
      <c r="B7" s="32"/>
      <c r="C7" s="32"/>
      <c r="E7" s="31" t="s">
        <v>601</v>
      </c>
      <c r="F7" s="32"/>
      <c r="G7" s="32"/>
    </row>
    <row r="8" spans="1:7" x14ac:dyDescent="0.25">
      <c r="A8" s="33" t="s">
        <v>604</v>
      </c>
      <c r="B8" s="32"/>
      <c r="C8" s="32"/>
      <c r="E8" s="33" t="s">
        <v>604</v>
      </c>
      <c r="F8" s="32"/>
      <c r="G8" s="32"/>
    </row>
    <row r="9" spans="1:7" x14ac:dyDescent="0.25">
      <c r="A9" s="31" t="s">
        <v>605</v>
      </c>
      <c r="B9" s="32"/>
      <c r="C9" s="32"/>
      <c r="E9" s="31" t="s">
        <v>607</v>
      </c>
      <c r="F9" s="32"/>
      <c r="G9" s="32"/>
    </row>
    <row r="10" spans="1:7" x14ac:dyDescent="0.25">
      <c r="A10" s="33" t="s">
        <v>606</v>
      </c>
      <c r="B10" s="32"/>
      <c r="C10" s="32"/>
      <c r="E10" s="33" t="s">
        <v>606</v>
      </c>
      <c r="F10" s="32"/>
      <c r="G10" s="32"/>
    </row>
    <row r="11" spans="1:7" x14ac:dyDescent="0.25">
      <c r="A11" s="33" t="s">
        <v>602</v>
      </c>
      <c r="B11" s="32"/>
      <c r="C11" s="32"/>
      <c r="E11" s="33" t="s">
        <v>602</v>
      </c>
      <c r="F11" s="32"/>
      <c r="G11" s="32"/>
    </row>
    <row r="12" spans="1:7" x14ac:dyDescent="0.25">
      <c r="A12" s="33" t="s">
        <v>603</v>
      </c>
      <c r="B12" s="34"/>
      <c r="C12" s="35"/>
      <c r="E12" s="33" t="s">
        <v>603</v>
      </c>
      <c r="F12" s="34"/>
      <c r="G12" s="35"/>
    </row>
    <row r="13" spans="1:7" x14ac:dyDescent="0.25">
      <c r="A13" s="36" t="s">
        <v>580</v>
      </c>
      <c r="B13" s="37">
        <f>$B$1</f>
        <v>1623</v>
      </c>
      <c r="C13" s="34"/>
      <c r="E13" s="36" t="s">
        <v>580</v>
      </c>
      <c r="F13" s="37">
        <f>$F$1</f>
        <v>1431</v>
      </c>
      <c r="G13" s="34"/>
    </row>
    <row r="14" spans="1:7" x14ac:dyDescent="0.25">
      <c r="A14" s="36" t="s">
        <v>581</v>
      </c>
      <c r="B14" s="38" t="str">
        <f>$C$1</f>
        <v>NGUYỄN HỮU KHÁ</v>
      </c>
      <c r="C14" s="34"/>
      <c r="E14" s="36" t="s">
        <v>581</v>
      </c>
      <c r="F14" s="38" t="str">
        <f>$G$1</f>
        <v>NGUYỄN VĂN ĐƯỜNG</v>
      </c>
      <c r="G14" s="34"/>
    </row>
    <row r="15" spans="1:7" x14ac:dyDescent="0.25">
      <c r="A15" s="32"/>
      <c r="B15" s="34"/>
      <c r="C15" s="34"/>
      <c r="E15" s="32"/>
      <c r="F15" s="34"/>
      <c r="G15" s="34"/>
    </row>
    <row r="16" spans="1:7" x14ac:dyDescent="0.25">
      <c r="A16" s="81" t="s">
        <v>582</v>
      </c>
      <c r="B16" s="81"/>
      <c r="C16" s="81"/>
      <c r="E16" s="81" t="s">
        <v>582</v>
      </c>
      <c r="F16" s="81"/>
      <c r="G16" s="81"/>
    </row>
    <row r="17" spans="1:7" x14ac:dyDescent="0.25">
      <c r="A17" s="82" t="s">
        <v>583</v>
      </c>
      <c r="B17" s="82"/>
      <c r="C17" s="39" t="s">
        <v>584</v>
      </c>
      <c r="E17" s="82" t="s">
        <v>583</v>
      </c>
      <c r="F17" s="82"/>
      <c r="G17" s="39" t="s">
        <v>584</v>
      </c>
    </row>
    <row r="18" spans="1:7" ht="17.25" customHeight="1" x14ac:dyDescent="0.25">
      <c r="A18" s="88" t="s">
        <v>585</v>
      </c>
      <c r="B18" s="89"/>
      <c r="C18" s="41">
        <f>VLOOKUP($B$13,'8511'!$B$6:$U$100,6,0)</f>
        <v>74650897</v>
      </c>
      <c r="E18" s="88" t="s">
        <v>585</v>
      </c>
      <c r="F18" s="89"/>
      <c r="G18" s="41">
        <f>VLOOKUP($F$13,'321H'!$B$6:$U$100,6,0)</f>
        <v>75406577</v>
      </c>
    </row>
    <row r="19" spans="1:7" ht="17.25" customHeight="1" x14ac:dyDescent="0.25">
      <c r="A19" s="90" t="s">
        <v>586</v>
      </c>
      <c r="B19" s="91"/>
      <c r="C19" s="41">
        <f>SUM(C20:C21)</f>
        <v>113748476</v>
      </c>
      <c r="E19" s="90" t="s">
        <v>586</v>
      </c>
      <c r="F19" s="91"/>
      <c r="G19" s="94">
        <f>SUM(G20:G21)</f>
        <v>113844230</v>
      </c>
    </row>
    <row r="20" spans="1:7" ht="17.25" customHeight="1" x14ac:dyDescent="0.25">
      <c r="A20" s="42"/>
      <c r="B20" s="43" t="s">
        <v>587</v>
      </c>
      <c r="C20" s="40">
        <f>VLOOKUP($B$13,'8511'!$B$6:$U$100,10,0)</f>
        <v>108000000</v>
      </c>
      <c r="E20" s="42"/>
      <c r="F20" s="43" t="s">
        <v>587</v>
      </c>
      <c r="G20" s="40">
        <f>VLOOKUP($F$13,'321H'!$B$6:$U$100,10,0)</f>
        <v>108000000</v>
      </c>
    </row>
    <row r="21" spans="1:7" ht="17.25" customHeight="1" x14ac:dyDescent="0.25">
      <c r="A21" s="42"/>
      <c r="B21" s="43" t="s">
        <v>588</v>
      </c>
      <c r="C21" s="40">
        <f>VLOOKUP($B$13,'8511'!$B$6:$U$100,12,0)</f>
        <v>5748476</v>
      </c>
      <c r="E21" s="42"/>
      <c r="F21" s="43" t="s">
        <v>588</v>
      </c>
      <c r="G21" s="40">
        <f>VLOOKUP($F$13,'321H'!$B$6:$U$100,12,0)</f>
        <v>5844230</v>
      </c>
    </row>
    <row r="22" spans="1:7" ht="17.25" customHeight="1" x14ac:dyDescent="0.25">
      <c r="A22" s="92" t="s">
        <v>589</v>
      </c>
      <c r="B22" s="93"/>
      <c r="C22" s="41">
        <f>VLOOKUP($B$13,'8511'!$B$6:$U$100,14,0)</f>
        <v>0</v>
      </c>
      <c r="E22" s="92" t="s">
        <v>589</v>
      </c>
      <c r="F22" s="93"/>
      <c r="G22" s="41">
        <f>VLOOKUP($F$13,'321H'!$B$6:$U$100,14,0)</f>
        <v>0</v>
      </c>
    </row>
    <row r="23" spans="1:7" x14ac:dyDescent="0.25">
      <c r="A23" s="81" t="s">
        <v>590</v>
      </c>
      <c r="B23" s="81"/>
      <c r="C23" s="81"/>
      <c r="E23" s="81" t="s">
        <v>590</v>
      </c>
      <c r="F23" s="81"/>
      <c r="G23" s="81"/>
    </row>
    <row r="24" spans="1:7" x14ac:dyDescent="0.25">
      <c r="A24" s="82" t="s">
        <v>583</v>
      </c>
      <c r="B24" s="82"/>
      <c r="C24" s="39" t="s">
        <v>584</v>
      </c>
      <c r="E24" s="82" t="s">
        <v>583</v>
      </c>
      <c r="F24" s="82"/>
      <c r="G24" s="39" t="s">
        <v>584</v>
      </c>
    </row>
    <row r="25" spans="1:7" ht="17.25" customHeight="1" x14ac:dyDescent="0.25">
      <c r="A25" s="83" t="s">
        <v>591</v>
      </c>
      <c r="B25" s="84"/>
      <c r="C25" s="41">
        <f>VLOOKUP($B$13,'8511'!$B$6:$U$100,15,0)</f>
        <v>10476</v>
      </c>
      <c r="E25" s="83" t="s">
        <v>591</v>
      </c>
      <c r="F25" s="84"/>
      <c r="G25" s="41">
        <f>VLOOKUP($F$13,'321H'!$B$6:$U$100,15,0)</f>
        <v>31281</v>
      </c>
    </row>
    <row r="26" spans="1:7" ht="17.25" customHeight="1" x14ac:dyDescent="0.25">
      <c r="A26" s="85" t="s">
        <v>592</v>
      </c>
      <c r="B26" s="86"/>
      <c r="C26" s="41">
        <f>VLOOKUP($B$13,'8511'!$B$6:$U$100,18,0)</f>
        <v>0</v>
      </c>
      <c r="E26" s="85" t="s">
        <v>592</v>
      </c>
      <c r="F26" s="86"/>
      <c r="G26" s="41">
        <f>VLOOKUP($F$13,'321H'!$B$6:$U$100,18,0)</f>
        <v>0</v>
      </c>
    </row>
    <row r="27" spans="1:7" ht="17.25" customHeight="1" x14ac:dyDescent="0.25">
      <c r="A27" s="42"/>
      <c r="B27" s="43" t="s">
        <v>593</v>
      </c>
      <c r="C27" s="40">
        <f>VLOOKUP($B$13,'8511'!$B$6:$U$100,19,0)</f>
        <v>10476</v>
      </c>
      <c r="E27" s="42"/>
      <c r="F27" s="43" t="s">
        <v>593</v>
      </c>
      <c r="G27" s="40">
        <f>VLOOKUP($F$13,'321H'!$B$6:$U$100,19,0)</f>
        <v>31281</v>
      </c>
    </row>
    <row r="28" spans="1:7" ht="17.25" customHeight="1" x14ac:dyDescent="0.25">
      <c r="A28" s="44"/>
      <c r="B28" s="45" t="s">
        <v>594</v>
      </c>
      <c r="C28" s="46">
        <f>VLOOKUP($B$13,'8511'!$B$6:$U$100,20,0)</f>
        <v>0</v>
      </c>
      <c r="E28" s="44"/>
      <c r="F28" s="45" t="s">
        <v>594</v>
      </c>
      <c r="G28" s="46">
        <f>VLOOKUP($F$13,'321H'!$B$6:$U$100,20,0)</f>
        <v>0</v>
      </c>
    </row>
    <row r="29" spans="1:7" x14ac:dyDescent="0.25">
      <c r="A29" s="32"/>
      <c r="B29" s="34"/>
      <c r="C29" s="34"/>
      <c r="E29" s="32"/>
      <c r="F29" s="34"/>
      <c r="G29" s="34"/>
    </row>
    <row r="30" spans="1:7" x14ac:dyDescent="0.25">
      <c r="A30" s="47" t="s">
        <v>595</v>
      </c>
      <c r="B30" s="48"/>
      <c r="C30" s="34"/>
      <c r="E30" s="47" t="s">
        <v>595</v>
      </c>
      <c r="F30" s="48"/>
      <c r="G30" s="34"/>
    </row>
    <row r="31" spans="1:7" x14ac:dyDescent="0.25">
      <c r="A31" s="49" t="s">
        <v>596</v>
      </c>
      <c r="B31" s="48"/>
      <c r="C31" s="34"/>
      <c r="E31" s="49" t="s">
        <v>596</v>
      </c>
      <c r="F31" s="48"/>
      <c r="G31" s="34"/>
    </row>
    <row r="32" spans="1:7" x14ac:dyDescent="0.25">
      <c r="A32" s="49"/>
      <c r="B32" s="48"/>
      <c r="C32" s="34"/>
      <c r="E32" s="49"/>
      <c r="F32" s="48"/>
      <c r="G32" s="34"/>
    </row>
    <row r="33" spans="1:7" s="61" customFormat="1" x14ac:dyDescent="0.25">
      <c r="A33" s="58" t="s">
        <v>597</v>
      </c>
      <c r="B33" s="59"/>
      <c r="C33" s="60"/>
      <c r="E33" s="58" t="s">
        <v>597</v>
      </c>
      <c r="F33" s="59"/>
      <c r="G33" s="60"/>
    </row>
    <row r="34" spans="1:7" x14ac:dyDescent="0.25">
      <c r="A34" s="47"/>
      <c r="B34" s="48"/>
      <c r="C34" s="34"/>
      <c r="E34" s="47"/>
      <c r="F34" s="48"/>
      <c r="G34" s="34"/>
    </row>
    <row r="35" spans="1:7" x14ac:dyDescent="0.25">
      <c r="A35" s="47" t="s">
        <v>598</v>
      </c>
      <c r="B35" s="48"/>
      <c r="C35" s="34"/>
      <c r="E35" s="47" t="s">
        <v>598</v>
      </c>
      <c r="F35" s="48"/>
      <c r="G35" s="34"/>
    </row>
    <row r="36" spans="1:7" x14ac:dyDescent="0.25">
      <c r="A36" s="50" t="s">
        <v>599</v>
      </c>
      <c r="B36" s="48"/>
      <c r="C36" s="34"/>
      <c r="E36" s="50" t="s">
        <v>599</v>
      </c>
      <c r="F36" s="48"/>
      <c r="G36" s="34"/>
    </row>
    <row r="37" spans="1:7" ht="19.5" x14ac:dyDescent="0.25">
      <c r="A37" s="27"/>
      <c r="B37" s="26"/>
      <c r="C37" s="25"/>
      <c r="E37" s="50"/>
      <c r="F37" s="48"/>
      <c r="G37" s="34"/>
    </row>
  </sheetData>
  <mergeCells count="20">
    <mergeCell ref="E22:F22"/>
    <mergeCell ref="A5:C5"/>
    <mergeCell ref="A16:C16"/>
    <mergeCell ref="A17:B17"/>
    <mergeCell ref="A18:B18"/>
    <mergeCell ref="A19:B19"/>
    <mergeCell ref="A22:B22"/>
    <mergeCell ref="E5:G5"/>
    <mergeCell ref="E16:G16"/>
    <mergeCell ref="E17:F17"/>
    <mergeCell ref="E18:F18"/>
    <mergeCell ref="E19:F19"/>
    <mergeCell ref="E23:G23"/>
    <mergeCell ref="E24:F24"/>
    <mergeCell ref="E25:F25"/>
    <mergeCell ref="E26:F26"/>
    <mergeCell ref="A23:C23"/>
    <mergeCell ref="A24:B24"/>
    <mergeCell ref="A25:B25"/>
    <mergeCell ref="A26:B26"/>
  </mergeCells>
  <pageMargins left="0.16" right="0.16" top="0.2" bottom="0.16" header="0.18" footer="0.2"/>
  <pageSetup paperSize="9" orientation="landscape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Y75"/>
  <sheetViews>
    <sheetView topLeftCell="G1" workbookViewId="0">
      <selection activeCell="X75" sqref="X6:Y75"/>
    </sheetView>
  </sheetViews>
  <sheetFormatPr defaultRowHeight="15" x14ac:dyDescent="0.25"/>
  <cols>
    <col min="2" max="2" width="12.140625" customWidth="1"/>
    <col min="3" max="3" width="23.42578125" customWidth="1"/>
    <col min="4" max="4" width="17.42578125" customWidth="1"/>
    <col min="5" max="5" width="13.85546875" customWidth="1"/>
    <col min="7" max="7" width="11.5703125" customWidth="1"/>
    <col min="8" max="8" width="14.140625" customWidth="1"/>
    <col min="11" max="11" width="13.140625" customWidth="1"/>
  </cols>
  <sheetData>
    <row r="2" spans="1:25" x14ac:dyDescent="0.25">
      <c r="A2" s="74" t="s">
        <v>0</v>
      </c>
      <c r="B2" s="1"/>
      <c r="C2" s="77" t="s">
        <v>1</v>
      </c>
      <c r="D2" s="74" t="s">
        <v>2</v>
      </c>
      <c r="E2" s="74" t="s">
        <v>3</v>
      </c>
      <c r="F2" s="74" t="s">
        <v>4</v>
      </c>
      <c r="G2" s="78" t="s">
        <v>5</v>
      </c>
      <c r="H2" s="80"/>
      <c r="I2" s="79"/>
      <c r="J2" s="78" t="s">
        <v>6</v>
      </c>
      <c r="K2" s="80"/>
      <c r="L2" s="80"/>
      <c r="M2" s="80"/>
      <c r="N2" s="79"/>
      <c r="O2" s="74" t="s">
        <v>7</v>
      </c>
      <c r="P2" s="77" t="s">
        <v>8</v>
      </c>
      <c r="Q2" s="74" t="s">
        <v>9</v>
      </c>
      <c r="R2" s="2"/>
      <c r="S2" s="78" t="s">
        <v>10</v>
      </c>
      <c r="T2" s="80"/>
      <c r="U2" s="79"/>
      <c r="V2" s="3"/>
      <c r="W2" s="74" t="s">
        <v>11</v>
      </c>
      <c r="X2" s="74" t="s">
        <v>12</v>
      </c>
      <c r="Y2" s="74" t="s">
        <v>13</v>
      </c>
    </row>
    <row r="3" spans="1:25" ht="36" x14ac:dyDescent="0.25">
      <c r="A3" s="75"/>
      <c r="B3" s="4" t="s">
        <v>14</v>
      </c>
      <c r="C3" s="75"/>
      <c r="D3" s="75"/>
      <c r="E3" s="75"/>
      <c r="F3" s="75"/>
      <c r="G3" s="77" t="s">
        <v>15</v>
      </c>
      <c r="H3" s="78" t="s">
        <v>16</v>
      </c>
      <c r="I3" s="79"/>
      <c r="J3" s="74" t="s">
        <v>17</v>
      </c>
      <c r="K3" s="74" t="s">
        <v>18</v>
      </c>
      <c r="L3" s="74" t="s">
        <v>19</v>
      </c>
      <c r="M3" s="74" t="s">
        <v>20</v>
      </c>
      <c r="N3" s="74" t="s">
        <v>21</v>
      </c>
      <c r="O3" s="75"/>
      <c r="P3" s="75"/>
      <c r="Q3" s="75"/>
      <c r="R3" s="2"/>
      <c r="S3" s="74" t="s">
        <v>22</v>
      </c>
      <c r="T3" s="5" t="s">
        <v>23</v>
      </c>
      <c r="U3" s="5" t="s">
        <v>24</v>
      </c>
      <c r="V3" s="3"/>
      <c r="W3" s="75"/>
      <c r="X3" s="75"/>
      <c r="Y3" s="75"/>
    </row>
    <row r="4" spans="1:25" ht="24" x14ac:dyDescent="0.25">
      <c r="A4" s="76"/>
      <c r="B4" s="6"/>
      <c r="C4" s="76"/>
      <c r="D4" s="76"/>
      <c r="E4" s="76"/>
      <c r="F4" s="76"/>
      <c r="G4" s="76"/>
      <c r="H4" s="7" t="s">
        <v>25</v>
      </c>
      <c r="I4" s="7" t="s">
        <v>26</v>
      </c>
      <c r="J4" s="76"/>
      <c r="K4" s="76"/>
      <c r="L4" s="76"/>
      <c r="M4" s="76"/>
      <c r="N4" s="76"/>
      <c r="O4" s="76"/>
      <c r="P4" s="76"/>
      <c r="Q4" s="76"/>
      <c r="R4" s="2"/>
      <c r="S4" s="76"/>
      <c r="T4" s="8"/>
      <c r="U4" s="8"/>
      <c r="V4" s="3"/>
      <c r="W4" s="76"/>
      <c r="X4" s="76"/>
      <c r="Y4" s="76"/>
    </row>
    <row r="5" spans="1:25" x14ac:dyDescent="0.25">
      <c r="A5" s="9" t="s">
        <v>27</v>
      </c>
      <c r="B5" s="10"/>
      <c r="C5" s="9" t="s">
        <v>28</v>
      </c>
      <c r="D5" s="9" t="s">
        <v>29</v>
      </c>
      <c r="E5" s="9" t="s">
        <v>30</v>
      </c>
      <c r="F5" s="10" t="s">
        <v>31</v>
      </c>
      <c r="G5" s="9" t="s">
        <v>32</v>
      </c>
      <c r="H5" s="9" t="s">
        <v>33</v>
      </c>
      <c r="I5" s="9" t="s">
        <v>34</v>
      </c>
      <c r="J5" s="11" t="s">
        <v>35</v>
      </c>
      <c r="K5" s="9" t="s">
        <v>36</v>
      </c>
      <c r="L5" s="9" t="s">
        <v>37</v>
      </c>
      <c r="M5" s="9" t="s">
        <v>38</v>
      </c>
      <c r="N5" s="9" t="s">
        <v>39</v>
      </c>
      <c r="O5" s="9" t="s">
        <v>40</v>
      </c>
      <c r="P5" s="9" t="s">
        <v>41</v>
      </c>
      <c r="Q5" s="12" t="s">
        <v>42</v>
      </c>
      <c r="R5" s="9" t="s">
        <v>42</v>
      </c>
      <c r="S5" s="9" t="s">
        <v>43</v>
      </c>
      <c r="T5" s="9" t="s">
        <v>44</v>
      </c>
      <c r="U5" s="9" t="s">
        <v>45</v>
      </c>
      <c r="V5" s="3"/>
      <c r="W5" s="9" t="s">
        <v>46</v>
      </c>
      <c r="X5" s="9" t="s">
        <v>47</v>
      </c>
      <c r="Y5" s="9"/>
    </row>
    <row r="6" spans="1:25" x14ac:dyDescent="0.25">
      <c r="A6" s="13">
        <v>1</v>
      </c>
      <c r="B6" s="14">
        <v>115</v>
      </c>
      <c r="C6" s="15" t="s">
        <v>56</v>
      </c>
      <c r="D6" s="16" t="s">
        <v>57</v>
      </c>
      <c r="E6" s="17" t="s">
        <v>58</v>
      </c>
      <c r="F6" s="18" t="s">
        <v>51</v>
      </c>
      <c r="G6" s="19">
        <v>87968214</v>
      </c>
      <c r="H6" s="19">
        <v>87968214</v>
      </c>
      <c r="I6" s="19">
        <v>0</v>
      </c>
      <c r="J6" s="20">
        <v>0</v>
      </c>
      <c r="K6" s="19">
        <v>108000000</v>
      </c>
      <c r="L6" s="21">
        <v>0</v>
      </c>
      <c r="M6" s="19">
        <v>6620246</v>
      </c>
      <c r="N6" s="19">
        <v>0</v>
      </c>
      <c r="O6" s="19">
        <v>0</v>
      </c>
      <c r="P6" s="19">
        <v>43544</v>
      </c>
      <c r="Q6" s="19">
        <v>0</v>
      </c>
      <c r="R6" s="22"/>
      <c r="S6" s="19">
        <v>0</v>
      </c>
      <c r="T6" s="19">
        <v>43544</v>
      </c>
      <c r="U6" s="19">
        <v>0</v>
      </c>
      <c r="V6" s="3"/>
      <c r="W6" s="23">
        <v>0</v>
      </c>
      <c r="X6" s="24">
        <v>8511</v>
      </c>
      <c r="Y6" s="24" t="s">
        <v>52</v>
      </c>
    </row>
    <row r="7" spans="1:25" x14ac:dyDescent="0.25">
      <c r="A7" s="13">
        <v>2</v>
      </c>
      <c r="B7" s="14">
        <v>124</v>
      </c>
      <c r="C7" s="15" t="s">
        <v>59</v>
      </c>
      <c r="D7" s="16" t="s">
        <v>60</v>
      </c>
      <c r="E7" s="17" t="s">
        <v>61</v>
      </c>
      <c r="F7" s="18" t="s">
        <v>51</v>
      </c>
      <c r="G7" s="19">
        <v>91615683</v>
      </c>
      <c r="H7" s="19">
        <v>91615683</v>
      </c>
      <c r="I7" s="19">
        <v>0</v>
      </c>
      <c r="J7" s="20">
        <v>0</v>
      </c>
      <c r="K7" s="19">
        <v>108000000</v>
      </c>
      <c r="L7" s="21">
        <v>0</v>
      </c>
      <c r="M7" s="19">
        <v>7111287</v>
      </c>
      <c r="N7" s="19">
        <v>0</v>
      </c>
      <c r="O7" s="19">
        <v>0</v>
      </c>
      <c r="P7" s="19">
        <v>50456</v>
      </c>
      <c r="Q7" s="19">
        <v>0</v>
      </c>
      <c r="R7" s="22"/>
      <c r="S7" s="19">
        <v>0</v>
      </c>
      <c r="T7" s="19">
        <v>50456</v>
      </c>
      <c r="U7" s="19">
        <v>0</v>
      </c>
      <c r="V7" s="3"/>
      <c r="W7" s="23">
        <v>0</v>
      </c>
      <c r="X7" s="24">
        <v>8511</v>
      </c>
      <c r="Y7" s="24" t="s">
        <v>62</v>
      </c>
    </row>
    <row r="8" spans="1:25" x14ac:dyDescent="0.25">
      <c r="A8" s="13">
        <v>3</v>
      </c>
      <c r="B8" s="14">
        <v>127</v>
      </c>
      <c r="C8" s="15" t="s">
        <v>63</v>
      </c>
      <c r="D8" s="16" t="s">
        <v>64</v>
      </c>
      <c r="E8" s="17" t="s">
        <v>65</v>
      </c>
      <c r="F8" s="18" t="s">
        <v>51</v>
      </c>
      <c r="G8" s="19">
        <v>94101422</v>
      </c>
      <c r="H8" s="19">
        <v>94101422</v>
      </c>
      <c r="I8" s="19">
        <v>0</v>
      </c>
      <c r="J8" s="20">
        <v>0</v>
      </c>
      <c r="K8" s="19">
        <v>108000000</v>
      </c>
      <c r="L8" s="21">
        <v>0</v>
      </c>
      <c r="M8" s="19">
        <v>7391464</v>
      </c>
      <c r="N8" s="19">
        <v>0</v>
      </c>
      <c r="O8" s="19">
        <v>0</v>
      </c>
      <c r="P8" s="19">
        <v>40350</v>
      </c>
      <c r="Q8" s="19">
        <v>0</v>
      </c>
      <c r="R8" s="22"/>
      <c r="S8" s="19">
        <v>0</v>
      </c>
      <c r="T8" s="19">
        <v>40350</v>
      </c>
      <c r="U8" s="19">
        <v>0</v>
      </c>
      <c r="V8" s="3"/>
      <c r="W8" s="23">
        <v>0</v>
      </c>
      <c r="X8" s="24">
        <v>8511</v>
      </c>
      <c r="Y8" s="24" t="s">
        <v>62</v>
      </c>
    </row>
    <row r="9" spans="1:25" x14ac:dyDescent="0.25">
      <c r="A9" s="13">
        <v>4</v>
      </c>
      <c r="B9" s="14">
        <v>247</v>
      </c>
      <c r="C9" s="15" t="s">
        <v>88</v>
      </c>
      <c r="D9" s="16" t="s">
        <v>89</v>
      </c>
      <c r="E9" s="17" t="s">
        <v>90</v>
      </c>
      <c r="F9" s="18" t="s">
        <v>51</v>
      </c>
      <c r="G9" s="19">
        <v>78808131</v>
      </c>
      <c r="H9" s="19">
        <v>78808131</v>
      </c>
      <c r="I9" s="19">
        <v>0</v>
      </c>
      <c r="J9" s="20">
        <v>0</v>
      </c>
      <c r="K9" s="19">
        <v>108000000</v>
      </c>
      <c r="L9" s="21">
        <v>0</v>
      </c>
      <c r="M9" s="19">
        <v>6575771</v>
      </c>
      <c r="N9" s="19">
        <v>0</v>
      </c>
      <c r="O9" s="19">
        <v>0</v>
      </c>
      <c r="P9" s="19">
        <v>12912</v>
      </c>
      <c r="Q9" s="19">
        <v>0</v>
      </c>
      <c r="R9" s="22"/>
      <c r="S9" s="19">
        <v>0</v>
      </c>
      <c r="T9" s="19">
        <v>12912</v>
      </c>
      <c r="U9" s="19">
        <v>0</v>
      </c>
      <c r="V9" s="3"/>
      <c r="W9" s="23">
        <v>0</v>
      </c>
      <c r="X9" s="24">
        <v>8511</v>
      </c>
      <c r="Y9" s="24" t="s">
        <v>52</v>
      </c>
    </row>
    <row r="10" spans="1:25" x14ac:dyDescent="0.25">
      <c r="A10" s="13">
        <v>5</v>
      </c>
      <c r="B10" s="14">
        <v>248</v>
      </c>
      <c r="C10" s="15" t="s">
        <v>91</v>
      </c>
      <c r="D10" s="16" t="s">
        <v>92</v>
      </c>
      <c r="E10" s="17" t="s">
        <v>93</v>
      </c>
      <c r="F10" s="18" t="s">
        <v>51</v>
      </c>
      <c r="G10" s="19">
        <v>78906854</v>
      </c>
      <c r="H10" s="19">
        <v>78906854</v>
      </c>
      <c r="I10" s="19">
        <v>0</v>
      </c>
      <c r="J10" s="20">
        <v>0</v>
      </c>
      <c r="K10" s="19">
        <v>108000000</v>
      </c>
      <c r="L10" s="21">
        <v>0</v>
      </c>
      <c r="M10" s="19">
        <v>6154871</v>
      </c>
      <c r="N10" s="19">
        <v>0</v>
      </c>
      <c r="O10" s="19">
        <v>0</v>
      </c>
      <c r="P10" s="19">
        <v>25286</v>
      </c>
      <c r="Q10" s="19">
        <v>0</v>
      </c>
      <c r="R10" s="22"/>
      <c r="S10" s="19">
        <v>0</v>
      </c>
      <c r="T10" s="19">
        <v>25286</v>
      </c>
      <c r="U10" s="19">
        <v>0</v>
      </c>
      <c r="V10" s="3"/>
      <c r="W10" s="23">
        <v>0</v>
      </c>
      <c r="X10" s="24">
        <v>8511</v>
      </c>
      <c r="Y10" s="24" t="s">
        <v>52</v>
      </c>
    </row>
    <row r="11" spans="1:25" x14ac:dyDescent="0.25">
      <c r="A11" s="13">
        <v>6</v>
      </c>
      <c r="B11" s="14">
        <v>250</v>
      </c>
      <c r="C11" s="15" t="s">
        <v>94</v>
      </c>
      <c r="D11" s="16" t="s">
        <v>95</v>
      </c>
      <c r="E11" s="17" t="s">
        <v>96</v>
      </c>
      <c r="F11" s="18" t="s">
        <v>51</v>
      </c>
      <c r="G11" s="19">
        <v>79912922</v>
      </c>
      <c r="H11" s="19">
        <v>79912922</v>
      </c>
      <c r="I11" s="19">
        <v>0</v>
      </c>
      <c r="J11" s="20">
        <v>0</v>
      </c>
      <c r="K11" s="19">
        <v>108000000</v>
      </c>
      <c r="L11" s="21">
        <v>0</v>
      </c>
      <c r="M11" s="19">
        <v>6575771</v>
      </c>
      <c r="N11" s="19">
        <v>0</v>
      </c>
      <c r="O11" s="19">
        <v>0</v>
      </c>
      <c r="P11" s="19">
        <v>10445</v>
      </c>
      <c r="Q11" s="19">
        <v>0</v>
      </c>
      <c r="R11" s="22"/>
      <c r="S11" s="19">
        <v>0</v>
      </c>
      <c r="T11" s="19">
        <v>10445</v>
      </c>
      <c r="U11" s="19">
        <v>0</v>
      </c>
      <c r="V11" s="3"/>
      <c r="W11" s="23">
        <v>0</v>
      </c>
      <c r="X11" s="24">
        <v>8511</v>
      </c>
      <c r="Y11" s="24" t="s">
        <v>52</v>
      </c>
    </row>
    <row r="12" spans="1:25" x14ac:dyDescent="0.25">
      <c r="A12" s="13">
        <v>7</v>
      </c>
      <c r="B12" s="14">
        <v>271</v>
      </c>
      <c r="C12" s="15" t="s">
        <v>103</v>
      </c>
      <c r="D12" s="16" t="s">
        <v>104</v>
      </c>
      <c r="E12" s="17" t="s">
        <v>105</v>
      </c>
      <c r="F12" s="18" t="s">
        <v>51</v>
      </c>
      <c r="G12" s="19">
        <v>89223134</v>
      </c>
      <c r="H12" s="19">
        <v>89223134</v>
      </c>
      <c r="I12" s="19">
        <v>0</v>
      </c>
      <c r="J12" s="20">
        <v>0</v>
      </c>
      <c r="K12" s="19">
        <v>108000000</v>
      </c>
      <c r="L12" s="21">
        <v>0</v>
      </c>
      <c r="M12" s="19">
        <v>6982601</v>
      </c>
      <c r="N12" s="19">
        <v>0</v>
      </c>
      <c r="O12" s="19">
        <v>0</v>
      </c>
      <c r="P12" s="19">
        <v>42726</v>
      </c>
      <c r="Q12" s="19">
        <v>0</v>
      </c>
      <c r="R12" s="22"/>
      <c r="S12" s="19">
        <v>0</v>
      </c>
      <c r="T12" s="19">
        <v>42726</v>
      </c>
      <c r="U12" s="19">
        <v>0</v>
      </c>
      <c r="V12" s="3"/>
      <c r="W12" s="23">
        <v>0</v>
      </c>
      <c r="X12" s="24">
        <v>8511</v>
      </c>
      <c r="Y12" s="24" t="s">
        <v>62</v>
      </c>
    </row>
    <row r="13" spans="1:25" x14ac:dyDescent="0.25">
      <c r="A13" s="13">
        <v>8</v>
      </c>
      <c r="B13" s="14">
        <v>282</v>
      </c>
      <c r="C13" s="15" t="s">
        <v>115</v>
      </c>
      <c r="D13" s="16" t="s">
        <v>116</v>
      </c>
      <c r="E13" s="17" t="s">
        <v>117</v>
      </c>
      <c r="F13" s="18" t="s">
        <v>51</v>
      </c>
      <c r="G13" s="19">
        <v>76266263</v>
      </c>
      <c r="H13" s="19">
        <v>76266263</v>
      </c>
      <c r="I13" s="19">
        <v>0</v>
      </c>
      <c r="J13" s="20">
        <v>0</v>
      </c>
      <c r="K13" s="19">
        <v>108000000</v>
      </c>
      <c r="L13" s="21">
        <v>0</v>
      </c>
      <c r="M13" s="19">
        <v>6372877</v>
      </c>
      <c r="N13" s="19">
        <v>0</v>
      </c>
      <c r="O13" s="19">
        <v>0</v>
      </c>
      <c r="P13" s="19">
        <v>19546</v>
      </c>
      <c r="Q13" s="19">
        <v>0</v>
      </c>
      <c r="R13" s="22"/>
      <c r="S13" s="19">
        <v>0</v>
      </c>
      <c r="T13" s="19">
        <v>19546</v>
      </c>
      <c r="U13" s="19">
        <v>0</v>
      </c>
      <c r="V13" s="3"/>
      <c r="W13" s="23">
        <v>0</v>
      </c>
      <c r="X13" s="24">
        <v>8511</v>
      </c>
      <c r="Y13" s="24" t="s">
        <v>52</v>
      </c>
    </row>
    <row r="14" spans="1:25" x14ac:dyDescent="0.25">
      <c r="A14" s="13">
        <v>9</v>
      </c>
      <c r="B14" s="14">
        <v>283</v>
      </c>
      <c r="C14" s="15" t="s">
        <v>118</v>
      </c>
      <c r="D14" s="16" t="s">
        <v>119</v>
      </c>
      <c r="E14" s="17" t="s">
        <v>120</v>
      </c>
      <c r="F14" s="18" t="s">
        <v>51</v>
      </c>
      <c r="G14" s="19">
        <v>85912162</v>
      </c>
      <c r="H14" s="19">
        <v>85912162</v>
      </c>
      <c r="I14" s="19">
        <v>0</v>
      </c>
      <c r="J14" s="20">
        <v>0</v>
      </c>
      <c r="K14" s="19">
        <v>108000000</v>
      </c>
      <c r="L14" s="21">
        <v>0</v>
      </c>
      <c r="M14" s="19">
        <v>6734639</v>
      </c>
      <c r="N14" s="19">
        <v>0</v>
      </c>
      <c r="O14" s="19">
        <v>0</v>
      </c>
      <c r="P14" s="19">
        <v>39215</v>
      </c>
      <c r="Q14" s="19">
        <v>0</v>
      </c>
      <c r="R14" s="22"/>
      <c r="S14" s="19">
        <v>0</v>
      </c>
      <c r="T14" s="19">
        <v>39215</v>
      </c>
      <c r="U14" s="19">
        <v>0</v>
      </c>
      <c r="V14" s="3"/>
      <c r="W14" s="23">
        <v>0</v>
      </c>
      <c r="X14" s="24">
        <v>8511</v>
      </c>
      <c r="Y14" s="24" t="s">
        <v>52</v>
      </c>
    </row>
    <row r="15" spans="1:25" x14ac:dyDescent="0.25">
      <c r="A15" s="13">
        <v>10</v>
      </c>
      <c r="B15" s="14">
        <v>376</v>
      </c>
      <c r="C15" s="15" t="s">
        <v>139</v>
      </c>
      <c r="D15" s="16" t="s">
        <v>140</v>
      </c>
      <c r="E15" s="17" t="s">
        <v>141</v>
      </c>
      <c r="F15" s="18" t="s">
        <v>51</v>
      </c>
      <c r="G15" s="19">
        <v>84796472</v>
      </c>
      <c r="H15" s="19">
        <v>84796472</v>
      </c>
      <c r="I15" s="19">
        <v>0</v>
      </c>
      <c r="J15" s="20">
        <v>0</v>
      </c>
      <c r="K15" s="19">
        <v>108000000</v>
      </c>
      <c r="L15" s="21">
        <v>0</v>
      </c>
      <c r="M15" s="19">
        <v>6575771</v>
      </c>
      <c r="N15" s="19">
        <v>0</v>
      </c>
      <c r="O15" s="19">
        <v>0</v>
      </c>
      <c r="P15" s="19">
        <v>24898</v>
      </c>
      <c r="Q15" s="19">
        <v>0</v>
      </c>
      <c r="R15" s="22"/>
      <c r="S15" s="19">
        <v>0</v>
      </c>
      <c r="T15" s="19">
        <v>24898</v>
      </c>
      <c r="U15" s="19">
        <v>0</v>
      </c>
      <c r="V15" s="3"/>
      <c r="W15" s="23">
        <v>0</v>
      </c>
      <c r="X15" s="24">
        <v>8511</v>
      </c>
      <c r="Y15" s="24" t="s">
        <v>52</v>
      </c>
    </row>
    <row r="16" spans="1:25" x14ac:dyDescent="0.25">
      <c r="A16" s="13">
        <v>11</v>
      </c>
      <c r="B16" s="14">
        <v>377</v>
      </c>
      <c r="C16" s="15" t="s">
        <v>142</v>
      </c>
      <c r="D16" s="16" t="s">
        <v>143</v>
      </c>
      <c r="E16" s="17" t="s">
        <v>144</v>
      </c>
      <c r="F16" s="18" t="s">
        <v>51</v>
      </c>
      <c r="G16" s="19">
        <v>76283058</v>
      </c>
      <c r="H16" s="19">
        <v>76283058</v>
      </c>
      <c r="I16" s="19">
        <v>0</v>
      </c>
      <c r="J16" s="20">
        <v>0</v>
      </c>
      <c r="K16" s="19">
        <v>108000000</v>
      </c>
      <c r="L16" s="21">
        <v>0</v>
      </c>
      <c r="M16" s="19">
        <v>6124355</v>
      </c>
      <c r="N16" s="19">
        <v>0</v>
      </c>
      <c r="O16" s="19">
        <v>0</v>
      </c>
      <c r="P16" s="19">
        <v>12952</v>
      </c>
      <c r="Q16" s="19">
        <v>0</v>
      </c>
      <c r="R16" s="22"/>
      <c r="S16" s="19">
        <v>0</v>
      </c>
      <c r="T16" s="19">
        <v>12952</v>
      </c>
      <c r="U16" s="19">
        <v>0</v>
      </c>
      <c r="V16" s="3"/>
      <c r="W16" s="23">
        <v>0</v>
      </c>
      <c r="X16" s="24">
        <v>8511</v>
      </c>
      <c r="Y16" s="24" t="s">
        <v>52</v>
      </c>
    </row>
    <row r="17" spans="1:25" x14ac:dyDescent="0.25">
      <c r="A17" s="13">
        <v>12</v>
      </c>
      <c r="B17" s="14">
        <v>379</v>
      </c>
      <c r="C17" s="15" t="s">
        <v>145</v>
      </c>
      <c r="D17" s="16" t="s">
        <v>146</v>
      </c>
      <c r="E17" s="17" t="s">
        <v>147</v>
      </c>
      <c r="F17" s="18" t="s">
        <v>51</v>
      </c>
      <c r="G17" s="19">
        <v>82067424</v>
      </c>
      <c r="H17" s="19">
        <v>82067424</v>
      </c>
      <c r="I17" s="19">
        <v>0</v>
      </c>
      <c r="J17" s="20">
        <v>0</v>
      </c>
      <c r="K17" s="19">
        <v>108000000</v>
      </c>
      <c r="L17" s="21">
        <v>0</v>
      </c>
      <c r="M17" s="19">
        <v>6689703</v>
      </c>
      <c r="N17" s="19">
        <v>0</v>
      </c>
      <c r="O17" s="19">
        <v>0</v>
      </c>
      <c r="P17" s="19">
        <v>17542</v>
      </c>
      <c r="Q17" s="19">
        <v>0</v>
      </c>
      <c r="R17" s="22"/>
      <c r="S17" s="19">
        <v>0</v>
      </c>
      <c r="T17" s="19">
        <v>17542</v>
      </c>
      <c r="U17" s="19">
        <v>0</v>
      </c>
      <c r="V17" s="3"/>
      <c r="W17" s="23">
        <v>0</v>
      </c>
      <c r="X17" s="24">
        <v>8511</v>
      </c>
      <c r="Y17" s="24" t="s">
        <v>52</v>
      </c>
    </row>
    <row r="18" spans="1:25" x14ac:dyDescent="0.25">
      <c r="A18" s="13">
        <v>13</v>
      </c>
      <c r="B18" s="14">
        <v>381</v>
      </c>
      <c r="C18" s="15" t="s">
        <v>148</v>
      </c>
      <c r="D18" s="16" t="s">
        <v>149</v>
      </c>
      <c r="E18" s="17" t="s">
        <v>150</v>
      </c>
      <c r="F18" s="18" t="s">
        <v>51</v>
      </c>
      <c r="G18" s="19">
        <v>92108710</v>
      </c>
      <c r="H18" s="19">
        <v>92108710</v>
      </c>
      <c r="I18" s="19">
        <v>0</v>
      </c>
      <c r="J18" s="20">
        <v>0</v>
      </c>
      <c r="K18" s="19">
        <v>108000000</v>
      </c>
      <c r="L18" s="21">
        <v>0</v>
      </c>
      <c r="M18" s="19">
        <v>7331862</v>
      </c>
      <c r="N18" s="19">
        <v>0</v>
      </c>
      <c r="O18" s="19">
        <v>0</v>
      </c>
      <c r="P18" s="19">
        <v>40954</v>
      </c>
      <c r="Q18" s="19">
        <v>0</v>
      </c>
      <c r="R18" s="22"/>
      <c r="S18" s="19">
        <v>0</v>
      </c>
      <c r="T18" s="19">
        <v>40954</v>
      </c>
      <c r="U18" s="19">
        <v>0</v>
      </c>
      <c r="V18" s="3"/>
      <c r="W18" s="23">
        <v>0</v>
      </c>
      <c r="X18" s="24">
        <v>8511</v>
      </c>
      <c r="Y18" s="24" t="s">
        <v>62</v>
      </c>
    </row>
    <row r="19" spans="1:25" x14ac:dyDescent="0.25">
      <c r="A19" s="13">
        <v>14</v>
      </c>
      <c r="B19" s="14">
        <v>382</v>
      </c>
      <c r="C19" s="15" t="s">
        <v>151</v>
      </c>
      <c r="D19" s="16" t="s">
        <v>152</v>
      </c>
      <c r="E19" s="17" t="s">
        <v>153</v>
      </c>
      <c r="F19" s="18" t="s">
        <v>51</v>
      </c>
      <c r="G19" s="19">
        <v>82054383</v>
      </c>
      <c r="H19" s="19">
        <v>82054383</v>
      </c>
      <c r="I19" s="19">
        <v>0</v>
      </c>
      <c r="J19" s="20">
        <v>0</v>
      </c>
      <c r="K19" s="19">
        <v>108000000</v>
      </c>
      <c r="L19" s="21">
        <v>0</v>
      </c>
      <c r="M19" s="19">
        <v>6575771</v>
      </c>
      <c r="N19" s="19">
        <v>0</v>
      </c>
      <c r="O19" s="19">
        <v>0</v>
      </c>
      <c r="P19" s="19">
        <v>10072</v>
      </c>
      <c r="Q19" s="19">
        <v>0</v>
      </c>
      <c r="R19" s="22"/>
      <c r="S19" s="19">
        <v>0</v>
      </c>
      <c r="T19" s="19">
        <v>10072</v>
      </c>
      <c r="U19" s="19">
        <v>0</v>
      </c>
      <c r="V19" s="3"/>
      <c r="W19" s="23">
        <v>0</v>
      </c>
      <c r="X19" s="24">
        <v>8511</v>
      </c>
      <c r="Y19" s="24" t="s">
        <v>52</v>
      </c>
    </row>
    <row r="20" spans="1:25" x14ac:dyDescent="0.25">
      <c r="A20" s="13">
        <v>15</v>
      </c>
      <c r="B20" s="14">
        <v>384</v>
      </c>
      <c r="C20" s="15" t="s">
        <v>154</v>
      </c>
      <c r="D20" s="16" t="s">
        <v>155</v>
      </c>
      <c r="E20" s="17" t="s">
        <v>156</v>
      </c>
      <c r="F20" s="18" t="s">
        <v>51</v>
      </c>
      <c r="G20" s="19">
        <v>84333493</v>
      </c>
      <c r="H20" s="19">
        <v>84333493</v>
      </c>
      <c r="I20" s="19">
        <v>0</v>
      </c>
      <c r="J20" s="20">
        <v>0</v>
      </c>
      <c r="K20" s="19">
        <v>108000000</v>
      </c>
      <c r="L20" s="21">
        <v>0</v>
      </c>
      <c r="M20" s="19">
        <v>6689703</v>
      </c>
      <c r="N20" s="19">
        <v>0</v>
      </c>
      <c r="O20" s="19">
        <v>0</v>
      </c>
      <c r="P20" s="19">
        <v>31408</v>
      </c>
      <c r="Q20" s="19">
        <v>0</v>
      </c>
      <c r="R20" s="22"/>
      <c r="S20" s="19">
        <v>0</v>
      </c>
      <c r="T20" s="19">
        <v>31408</v>
      </c>
      <c r="U20" s="19">
        <v>0</v>
      </c>
      <c r="V20" s="3"/>
      <c r="W20" s="23">
        <v>0</v>
      </c>
      <c r="X20" s="24">
        <v>8511</v>
      </c>
      <c r="Y20" s="24" t="s">
        <v>52</v>
      </c>
    </row>
    <row r="21" spans="1:25" x14ac:dyDescent="0.25">
      <c r="A21" s="13">
        <v>16</v>
      </c>
      <c r="B21" s="14">
        <v>385</v>
      </c>
      <c r="C21" s="15" t="s">
        <v>157</v>
      </c>
      <c r="D21" s="16" t="s">
        <v>158</v>
      </c>
      <c r="E21" s="17" t="s">
        <v>159</v>
      </c>
      <c r="F21" s="18" t="s">
        <v>51</v>
      </c>
      <c r="G21" s="19">
        <v>85247415</v>
      </c>
      <c r="H21" s="19">
        <v>85247415</v>
      </c>
      <c r="I21" s="19">
        <v>0</v>
      </c>
      <c r="J21" s="20">
        <v>0</v>
      </c>
      <c r="K21" s="19">
        <v>108000000</v>
      </c>
      <c r="L21" s="21">
        <v>0</v>
      </c>
      <c r="M21" s="19">
        <v>6644764</v>
      </c>
      <c r="N21" s="19">
        <v>0</v>
      </c>
      <c r="O21" s="19">
        <v>0</v>
      </c>
      <c r="P21" s="19">
        <v>33241</v>
      </c>
      <c r="Q21" s="19">
        <v>0</v>
      </c>
      <c r="R21" s="22"/>
      <c r="S21" s="19">
        <v>0</v>
      </c>
      <c r="T21" s="19">
        <v>33241</v>
      </c>
      <c r="U21" s="19">
        <v>0</v>
      </c>
      <c r="V21" s="3"/>
      <c r="W21" s="23">
        <v>0</v>
      </c>
      <c r="X21" s="24">
        <v>8511</v>
      </c>
      <c r="Y21" s="24" t="s">
        <v>52</v>
      </c>
    </row>
    <row r="22" spans="1:25" x14ac:dyDescent="0.25">
      <c r="A22" s="13">
        <v>17</v>
      </c>
      <c r="B22" s="14">
        <v>388</v>
      </c>
      <c r="C22" s="15" t="s">
        <v>160</v>
      </c>
      <c r="D22" s="16" t="s">
        <v>161</v>
      </c>
      <c r="E22" s="17" t="s">
        <v>162</v>
      </c>
      <c r="F22" s="18" t="s">
        <v>51</v>
      </c>
      <c r="G22" s="19">
        <v>74963008</v>
      </c>
      <c r="H22" s="19">
        <v>74963008</v>
      </c>
      <c r="I22" s="19">
        <v>0</v>
      </c>
      <c r="J22" s="20">
        <v>0</v>
      </c>
      <c r="K22" s="19">
        <v>108000000</v>
      </c>
      <c r="L22" s="21">
        <v>0</v>
      </c>
      <c r="M22" s="19">
        <v>6124355</v>
      </c>
      <c r="N22" s="19">
        <v>0</v>
      </c>
      <c r="O22" s="19">
        <v>0</v>
      </c>
      <c r="P22" s="19">
        <v>14905</v>
      </c>
      <c r="Q22" s="19">
        <v>0</v>
      </c>
      <c r="R22" s="22"/>
      <c r="S22" s="19">
        <v>0</v>
      </c>
      <c r="T22" s="19">
        <v>14905</v>
      </c>
      <c r="U22" s="19">
        <v>0</v>
      </c>
      <c r="V22" s="3"/>
      <c r="W22" s="23">
        <v>0</v>
      </c>
      <c r="X22" s="24">
        <v>8511</v>
      </c>
      <c r="Y22" s="24" t="s">
        <v>52</v>
      </c>
    </row>
    <row r="23" spans="1:25" x14ac:dyDescent="0.25">
      <c r="A23" s="13">
        <v>18</v>
      </c>
      <c r="B23" s="14">
        <v>393</v>
      </c>
      <c r="C23" s="15" t="s">
        <v>163</v>
      </c>
      <c r="D23" s="16" t="s">
        <v>164</v>
      </c>
      <c r="E23" s="17" t="s">
        <v>165</v>
      </c>
      <c r="F23" s="18" t="s">
        <v>51</v>
      </c>
      <c r="G23" s="19">
        <v>83749859</v>
      </c>
      <c r="H23" s="19">
        <v>83749859</v>
      </c>
      <c r="I23" s="19">
        <v>0</v>
      </c>
      <c r="J23" s="20">
        <v>0</v>
      </c>
      <c r="K23" s="19">
        <v>108000000</v>
      </c>
      <c r="L23" s="21">
        <v>0</v>
      </c>
      <c r="M23" s="19">
        <v>6689703</v>
      </c>
      <c r="N23" s="19">
        <v>0</v>
      </c>
      <c r="O23" s="19">
        <v>0</v>
      </c>
      <c r="P23" s="19">
        <v>36546</v>
      </c>
      <c r="Q23" s="19">
        <v>0</v>
      </c>
      <c r="R23" s="22"/>
      <c r="S23" s="19">
        <v>0</v>
      </c>
      <c r="T23" s="19">
        <v>36546</v>
      </c>
      <c r="U23" s="19">
        <v>0</v>
      </c>
      <c r="V23" s="3"/>
      <c r="W23" s="23">
        <v>0</v>
      </c>
      <c r="X23" s="24">
        <v>8511</v>
      </c>
      <c r="Y23" s="24" t="s">
        <v>52</v>
      </c>
    </row>
    <row r="24" spans="1:25" x14ac:dyDescent="0.25">
      <c r="A24" s="13">
        <v>19</v>
      </c>
      <c r="B24" s="14">
        <v>394</v>
      </c>
      <c r="C24" s="15" t="s">
        <v>166</v>
      </c>
      <c r="D24" s="16" t="s">
        <v>167</v>
      </c>
      <c r="E24" s="17" t="s">
        <v>168</v>
      </c>
      <c r="F24" s="18" t="s">
        <v>51</v>
      </c>
      <c r="G24" s="19">
        <v>84677350</v>
      </c>
      <c r="H24" s="19">
        <v>84677350</v>
      </c>
      <c r="I24" s="19">
        <v>0</v>
      </c>
      <c r="J24" s="20">
        <v>0</v>
      </c>
      <c r="K24" s="19">
        <v>108000000</v>
      </c>
      <c r="L24" s="21">
        <v>0</v>
      </c>
      <c r="M24" s="19">
        <v>6620246</v>
      </c>
      <c r="N24" s="19">
        <v>0</v>
      </c>
      <c r="O24" s="19">
        <v>0</v>
      </c>
      <c r="P24" s="19">
        <v>24611</v>
      </c>
      <c r="Q24" s="19">
        <v>0</v>
      </c>
      <c r="R24" s="22"/>
      <c r="S24" s="19">
        <v>0</v>
      </c>
      <c r="T24" s="19">
        <v>24611</v>
      </c>
      <c r="U24" s="19">
        <v>0</v>
      </c>
      <c r="V24" s="3"/>
      <c r="W24" s="23">
        <v>0</v>
      </c>
      <c r="X24" s="24">
        <v>8511</v>
      </c>
      <c r="Y24" s="24" t="s">
        <v>52</v>
      </c>
    </row>
    <row r="25" spans="1:25" x14ac:dyDescent="0.25">
      <c r="A25" s="13">
        <v>20</v>
      </c>
      <c r="B25" s="14">
        <v>426</v>
      </c>
      <c r="C25" s="15" t="s">
        <v>169</v>
      </c>
      <c r="D25" s="16" t="s">
        <v>170</v>
      </c>
      <c r="E25" s="17" t="s">
        <v>171</v>
      </c>
      <c r="F25" s="18" t="s">
        <v>51</v>
      </c>
      <c r="G25" s="19">
        <v>80206041</v>
      </c>
      <c r="H25" s="19">
        <v>80206041</v>
      </c>
      <c r="I25" s="19">
        <v>0</v>
      </c>
      <c r="J25" s="20">
        <v>0</v>
      </c>
      <c r="K25" s="19">
        <v>108000000</v>
      </c>
      <c r="L25" s="21">
        <v>0</v>
      </c>
      <c r="M25" s="19">
        <v>6267652</v>
      </c>
      <c r="N25" s="19">
        <v>0</v>
      </c>
      <c r="O25" s="19">
        <v>0</v>
      </c>
      <c r="P25" s="19">
        <v>37876</v>
      </c>
      <c r="Q25" s="19">
        <v>0</v>
      </c>
      <c r="R25" s="22"/>
      <c r="S25" s="19">
        <v>0</v>
      </c>
      <c r="T25" s="19">
        <v>37876</v>
      </c>
      <c r="U25" s="19">
        <v>0</v>
      </c>
      <c r="V25" s="3"/>
      <c r="W25" s="23">
        <v>0</v>
      </c>
      <c r="X25" s="24">
        <v>8511</v>
      </c>
      <c r="Y25" s="24" t="s">
        <v>52</v>
      </c>
    </row>
    <row r="26" spans="1:25" x14ac:dyDescent="0.25">
      <c r="A26" s="13">
        <v>21</v>
      </c>
      <c r="B26" s="14">
        <v>440</v>
      </c>
      <c r="C26" s="15" t="s">
        <v>172</v>
      </c>
      <c r="D26" s="16" t="s">
        <v>173</v>
      </c>
      <c r="E26" s="17" t="s">
        <v>174</v>
      </c>
      <c r="F26" s="18" t="s">
        <v>51</v>
      </c>
      <c r="G26" s="19">
        <v>81107887</v>
      </c>
      <c r="H26" s="19">
        <v>81107887</v>
      </c>
      <c r="I26" s="19">
        <v>0</v>
      </c>
      <c r="J26" s="20">
        <v>0</v>
      </c>
      <c r="K26" s="19">
        <v>108000000</v>
      </c>
      <c r="L26" s="21">
        <v>0</v>
      </c>
      <c r="M26" s="19">
        <v>6575771</v>
      </c>
      <c r="N26" s="19">
        <v>0</v>
      </c>
      <c r="O26" s="19">
        <v>0</v>
      </c>
      <c r="P26" s="19">
        <v>17044</v>
      </c>
      <c r="Q26" s="19">
        <v>0</v>
      </c>
      <c r="R26" s="22"/>
      <c r="S26" s="19">
        <v>0</v>
      </c>
      <c r="T26" s="19">
        <v>17044</v>
      </c>
      <c r="U26" s="19">
        <v>0</v>
      </c>
      <c r="V26" s="3"/>
      <c r="W26" s="23">
        <v>0</v>
      </c>
      <c r="X26" s="24">
        <v>8511</v>
      </c>
      <c r="Y26" s="24" t="s">
        <v>52</v>
      </c>
    </row>
    <row r="27" spans="1:25" x14ac:dyDescent="0.25">
      <c r="A27" s="13">
        <v>22</v>
      </c>
      <c r="B27" s="14">
        <v>476</v>
      </c>
      <c r="C27" s="15" t="s">
        <v>190</v>
      </c>
      <c r="D27" s="16" t="s">
        <v>191</v>
      </c>
      <c r="E27" s="17" t="s">
        <v>192</v>
      </c>
      <c r="F27" s="18" t="s">
        <v>51</v>
      </c>
      <c r="G27" s="19">
        <v>79719617</v>
      </c>
      <c r="H27" s="19">
        <v>79719617</v>
      </c>
      <c r="I27" s="19">
        <v>0</v>
      </c>
      <c r="J27" s="20">
        <v>0</v>
      </c>
      <c r="K27" s="19">
        <v>108000000</v>
      </c>
      <c r="L27" s="21">
        <v>0</v>
      </c>
      <c r="M27" s="19">
        <v>6575771</v>
      </c>
      <c r="N27" s="19">
        <v>0</v>
      </c>
      <c r="O27" s="19">
        <v>0</v>
      </c>
      <c r="P27" s="19">
        <v>16857</v>
      </c>
      <c r="Q27" s="19">
        <v>0</v>
      </c>
      <c r="R27" s="22"/>
      <c r="S27" s="19">
        <v>0</v>
      </c>
      <c r="T27" s="19">
        <v>16857</v>
      </c>
      <c r="U27" s="19">
        <v>0</v>
      </c>
      <c r="V27" s="3"/>
      <c r="W27" s="23">
        <v>0</v>
      </c>
      <c r="X27" s="24">
        <v>8511</v>
      </c>
      <c r="Y27" s="24" t="s">
        <v>52</v>
      </c>
    </row>
    <row r="28" spans="1:25" x14ac:dyDescent="0.25">
      <c r="A28" s="13">
        <v>23</v>
      </c>
      <c r="B28" s="14">
        <v>507</v>
      </c>
      <c r="C28" s="15" t="s">
        <v>211</v>
      </c>
      <c r="D28" s="16" t="s">
        <v>212</v>
      </c>
      <c r="E28" s="17" t="s">
        <v>213</v>
      </c>
      <c r="F28" s="18" t="s">
        <v>51</v>
      </c>
      <c r="G28" s="19">
        <v>82880281</v>
      </c>
      <c r="H28" s="19">
        <v>82880281</v>
      </c>
      <c r="I28" s="19">
        <v>0</v>
      </c>
      <c r="J28" s="20">
        <v>0</v>
      </c>
      <c r="K28" s="19">
        <v>108000000</v>
      </c>
      <c r="L28" s="21">
        <v>0</v>
      </c>
      <c r="M28" s="19">
        <v>6575771</v>
      </c>
      <c r="N28" s="19">
        <v>0</v>
      </c>
      <c r="O28" s="19">
        <v>0</v>
      </c>
      <c r="P28" s="19">
        <v>25005</v>
      </c>
      <c r="Q28" s="19">
        <v>0</v>
      </c>
      <c r="R28" s="22"/>
      <c r="S28" s="19">
        <v>0</v>
      </c>
      <c r="T28" s="19">
        <v>25005</v>
      </c>
      <c r="U28" s="19">
        <v>0</v>
      </c>
      <c r="V28" s="3"/>
      <c r="W28" s="23">
        <v>0</v>
      </c>
      <c r="X28" s="24">
        <v>8511</v>
      </c>
      <c r="Y28" s="24" t="s">
        <v>52</v>
      </c>
    </row>
    <row r="29" spans="1:25" x14ac:dyDescent="0.25">
      <c r="A29" s="13">
        <v>24</v>
      </c>
      <c r="B29" s="14">
        <v>509</v>
      </c>
      <c r="C29" s="15" t="s">
        <v>214</v>
      </c>
      <c r="D29" s="16" t="s">
        <v>215</v>
      </c>
      <c r="E29" s="17" t="s">
        <v>216</v>
      </c>
      <c r="F29" s="18" t="s">
        <v>51</v>
      </c>
      <c r="G29" s="19">
        <v>77374576</v>
      </c>
      <c r="H29" s="19">
        <v>77374576</v>
      </c>
      <c r="I29" s="19">
        <v>0</v>
      </c>
      <c r="J29" s="20">
        <v>0</v>
      </c>
      <c r="K29" s="19">
        <v>108000000</v>
      </c>
      <c r="L29" s="21">
        <v>0</v>
      </c>
      <c r="M29" s="19">
        <v>6575771</v>
      </c>
      <c r="N29" s="19">
        <v>0</v>
      </c>
      <c r="O29" s="19">
        <v>0</v>
      </c>
      <c r="P29" s="19">
        <v>10829</v>
      </c>
      <c r="Q29" s="19">
        <v>0</v>
      </c>
      <c r="R29" s="22"/>
      <c r="S29" s="19">
        <v>0</v>
      </c>
      <c r="T29" s="19">
        <v>10829</v>
      </c>
      <c r="U29" s="19">
        <v>0</v>
      </c>
      <c r="V29" s="3"/>
      <c r="W29" s="23">
        <v>0</v>
      </c>
      <c r="X29" s="24">
        <v>8511</v>
      </c>
      <c r="Y29" s="24" t="s">
        <v>52</v>
      </c>
    </row>
    <row r="30" spans="1:25" x14ac:dyDescent="0.25">
      <c r="A30" s="13">
        <v>25</v>
      </c>
      <c r="B30" s="14">
        <v>516</v>
      </c>
      <c r="C30" s="15" t="s">
        <v>217</v>
      </c>
      <c r="D30" s="16" t="s">
        <v>218</v>
      </c>
      <c r="E30" s="17" t="s">
        <v>219</v>
      </c>
      <c r="F30" s="18" t="s">
        <v>51</v>
      </c>
      <c r="G30" s="19">
        <v>80563202</v>
      </c>
      <c r="H30" s="19">
        <v>80563202</v>
      </c>
      <c r="I30" s="19">
        <v>0</v>
      </c>
      <c r="J30" s="20">
        <v>0</v>
      </c>
      <c r="K30" s="19">
        <v>108000000</v>
      </c>
      <c r="L30" s="21">
        <v>0</v>
      </c>
      <c r="M30" s="19">
        <v>6575771</v>
      </c>
      <c r="N30" s="19">
        <v>0</v>
      </c>
      <c r="O30" s="19">
        <v>0</v>
      </c>
      <c r="P30" s="19">
        <v>11858</v>
      </c>
      <c r="Q30" s="19">
        <v>0</v>
      </c>
      <c r="R30" s="22"/>
      <c r="S30" s="19">
        <v>0</v>
      </c>
      <c r="T30" s="19">
        <v>11858</v>
      </c>
      <c r="U30" s="19">
        <v>0</v>
      </c>
      <c r="V30" s="3"/>
      <c r="W30" s="23">
        <v>0</v>
      </c>
      <c r="X30" s="24">
        <v>8511</v>
      </c>
      <c r="Y30" s="24" t="s">
        <v>52</v>
      </c>
    </row>
    <row r="31" spans="1:25" x14ac:dyDescent="0.25">
      <c r="A31" s="13">
        <v>26</v>
      </c>
      <c r="B31" s="14">
        <v>518</v>
      </c>
      <c r="C31" s="15" t="s">
        <v>220</v>
      </c>
      <c r="D31" s="16" t="s">
        <v>221</v>
      </c>
      <c r="E31" s="17" t="s">
        <v>222</v>
      </c>
      <c r="F31" s="18" t="s">
        <v>51</v>
      </c>
      <c r="G31" s="19">
        <v>78884192</v>
      </c>
      <c r="H31" s="19">
        <v>78884192</v>
      </c>
      <c r="I31" s="19">
        <v>0</v>
      </c>
      <c r="J31" s="20">
        <v>0</v>
      </c>
      <c r="K31" s="19">
        <v>108000000</v>
      </c>
      <c r="L31" s="21">
        <v>0</v>
      </c>
      <c r="M31" s="19">
        <v>6575771</v>
      </c>
      <c r="N31" s="19">
        <v>0</v>
      </c>
      <c r="O31" s="19">
        <v>0</v>
      </c>
      <c r="P31" s="19">
        <v>16020</v>
      </c>
      <c r="Q31" s="19">
        <v>0</v>
      </c>
      <c r="R31" s="22"/>
      <c r="S31" s="19">
        <v>0</v>
      </c>
      <c r="T31" s="19">
        <v>16020</v>
      </c>
      <c r="U31" s="19">
        <v>0</v>
      </c>
      <c r="V31" s="3"/>
      <c r="W31" s="23">
        <v>0</v>
      </c>
      <c r="X31" s="24">
        <v>8511</v>
      </c>
      <c r="Y31" s="24" t="s">
        <v>52</v>
      </c>
    </row>
    <row r="32" spans="1:25" x14ac:dyDescent="0.25">
      <c r="A32" s="13">
        <v>27</v>
      </c>
      <c r="B32" s="14">
        <v>523</v>
      </c>
      <c r="C32" s="15" t="s">
        <v>223</v>
      </c>
      <c r="D32" s="16" t="s">
        <v>224</v>
      </c>
      <c r="E32" s="17" t="s">
        <v>225</v>
      </c>
      <c r="F32" s="18" t="s">
        <v>51</v>
      </c>
      <c r="G32" s="19">
        <v>77266971</v>
      </c>
      <c r="H32" s="19">
        <v>77266971</v>
      </c>
      <c r="I32" s="19">
        <v>0</v>
      </c>
      <c r="J32" s="20">
        <v>0</v>
      </c>
      <c r="K32" s="19">
        <v>108000000</v>
      </c>
      <c r="L32" s="21">
        <v>0</v>
      </c>
      <c r="M32" s="19">
        <v>6575771</v>
      </c>
      <c r="N32" s="19">
        <v>0</v>
      </c>
      <c r="O32" s="19">
        <v>0</v>
      </c>
      <c r="P32" s="19">
        <v>16094</v>
      </c>
      <c r="Q32" s="19">
        <v>0</v>
      </c>
      <c r="R32" s="22"/>
      <c r="S32" s="19">
        <v>0</v>
      </c>
      <c r="T32" s="19">
        <v>16094</v>
      </c>
      <c r="U32" s="19">
        <v>0</v>
      </c>
      <c r="V32" s="3"/>
      <c r="W32" s="23">
        <v>0</v>
      </c>
      <c r="X32" s="24">
        <v>8511</v>
      </c>
      <c r="Y32" s="24" t="s">
        <v>52</v>
      </c>
    </row>
    <row r="33" spans="1:25" x14ac:dyDescent="0.25">
      <c r="A33" s="13">
        <v>28</v>
      </c>
      <c r="B33" s="14">
        <v>524</v>
      </c>
      <c r="C33" s="15" t="s">
        <v>226</v>
      </c>
      <c r="D33" s="16" t="s">
        <v>227</v>
      </c>
      <c r="E33" s="17" t="s">
        <v>228</v>
      </c>
      <c r="F33" s="18" t="s">
        <v>51</v>
      </c>
      <c r="G33" s="19">
        <v>73545518</v>
      </c>
      <c r="H33" s="19">
        <v>73545518</v>
      </c>
      <c r="I33" s="19">
        <v>0</v>
      </c>
      <c r="J33" s="20">
        <v>0</v>
      </c>
      <c r="K33" s="19">
        <v>108000000</v>
      </c>
      <c r="L33" s="21">
        <v>0</v>
      </c>
      <c r="M33" s="19">
        <v>5836759</v>
      </c>
      <c r="N33" s="19">
        <v>0</v>
      </c>
      <c r="O33" s="19">
        <v>0</v>
      </c>
      <c r="P33" s="19">
        <v>12800</v>
      </c>
      <c r="Q33" s="19">
        <v>0</v>
      </c>
      <c r="R33" s="22"/>
      <c r="S33" s="19">
        <v>0</v>
      </c>
      <c r="T33" s="19">
        <v>12800</v>
      </c>
      <c r="U33" s="19">
        <v>0</v>
      </c>
      <c r="V33" s="3"/>
      <c r="W33" s="23">
        <v>0</v>
      </c>
      <c r="X33" s="24">
        <v>8511</v>
      </c>
      <c r="Y33" s="24" t="s">
        <v>229</v>
      </c>
    </row>
    <row r="34" spans="1:25" x14ac:dyDescent="0.25">
      <c r="A34" s="13">
        <v>29</v>
      </c>
      <c r="B34" s="14">
        <v>526</v>
      </c>
      <c r="C34" s="15" t="s">
        <v>230</v>
      </c>
      <c r="D34" s="16" t="s">
        <v>231</v>
      </c>
      <c r="E34" s="17" t="s">
        <v>232</v>
      </c>
      <c r="F34" s="18" t="s">
        <v>51</v>
      </c>
      <c r="G34" s="19">
        <v>83637142</v>
      </c>
      <c r="H34" s="19">
        <v>83637142</v>
      </c>
      <c r="I34" s="19">
        <v>0</v>
      </c>
      <c r="J34" s="20">
        <v>0</v>
      </c>
      <c r="K34" s="19">
        <v>108000000</v>
      </c>
      <c r="L34" s="21">
        <v>0</v>
      </c>
      <c r="M34" s="19">
        <v>6575771</v>
      </c>
      <c r="N34" s="19">
        <v>0</v>
      </c>
      <c r="O34" s="19">
        <v>0</v>
      </c>
      <c r="P34" s="19">
        <v>21431</v>
      </c>
      <c r="Q34" s="19">
        <v>0</v>
      </c>
      <c r="R34" s="22"/>
      <c r="S34" s="19">
        <v>0</v>
      </c>
      <c r="T34" s="19">
        <v>21431</v>
      </c>
      <c r="U34" s="19">
        <v>0</v>
      </c>
      <c r="V34" s="3"/>
      <c r="W34" s="23">
        <v>0</v>
      </c>
      <c r="X34" s="24">
        <v>8511</v>
      </c>
      <c r="Y34" s="24" t="s">
        <v>52</v>
      </c>
    </row>
    <row r="35" spans="1:25" x14ac:dyDescent="0.25">
      <c r="A35" s="13">
        <v>30</v>
      </c>
      <c r="B35" s="14">
        <v>527</v>
      </c>
      <c r="C35" s="15" t="s">
        <v>233</v>
      </c>
      <c r="D35" s="16" t="s">
        <v>234</v>
      </c>
      <c r="E35" s="17" t="s">
        <v>235</v>
      </c>
      <c r="F35" s="18" t="s">
        <v>51</v>
      </c>
      <c r="G35" s="19">
        <v>85968800</v>
      </c>
      <c r="H35" s="19">
        <v>85968800</v>
      </c>
      <c r="I35" s="19">
        <v>0</v>
      </c>
      <c r="J35" s="20">
        <v>0</v>
      </c>
      <c r="K35" s="19">
        <v>108000000</v>
      </c>
      <c r="L35" s="21">
        <v>0</v>
      </c>
      <c r="M35" s="19">
        <v>6575771</v>
      </c>
      <c r="N35" s="19">
        <v>0</v>
      </c>
      <c r="O35" s="19">
        <v>0</v>
      </c>
      <c r="P35" s="19">
        <v>29634</v>
      </c>
      <c r="Q35" s="19">
        <v>0</v>
      </c>
      <c r="R35" s="22"/>
      <c r="S35" s="19">
        <v>0</v>
      </c>
      <c r="T35" s="19">
        <v>29634</v>
      </c>
      <c r="U35" s="19">
        <v>0</v>
      </c>
      <c r="V35" s="3"/>
      <c r="W35" s="23">
        <v>0</v>
      </c>
      <c r="X35" s="24">
        <v>8511</v>
      </c>
      <c r="Y35" s="24" t="s">
        <v>52</v>
      </c>
    </row>
    <row r="36" spans="1:25" x14ac:dyDescent="0.25">
      <c r="A36" s="13">
        <v>31</v>
      </c>
      <c r="B36" s="14">
        <v>528</v>
      </c>
      <c r="C36" s="15" t="s">
        <v>236</v>
      </c>
      <c r="D36" s="16" t="s">
        <v>237</v>
      </c>
      <c r="E36" s="17" t="s">
        <v>238</v>
      </c>
      <c r="F36" s="18" t="s">
        <v>51</v>
      </c>
      <c r="G36" s="19">
        <v>84563425</v>
      </c>
      <c r="H36" s="19">
        <v>84563425</v>
      </c>
      <c r="I36" s="19">
        <v>0</v>
      </c>
      <c r="J36" s="20">
        <v>0</v>
      </c>
      <c r="K36" s="19">
        <v>108000000</v>
      </c>
      <c r="L36" s="21">
        <v>0</v>
      </c>
      <c r="M36" s="19">
        <v>6664726</v>
      </c>
      <c r="N36" s="19">
        <v>0</v>
      </c>
      <c r="O36" s="19">
        <v>0</v>
      </c>
      <c r="P36" s="19">
        <v>35492</v>
      </c>
      <c r="Q36" s="19">
        <v>0</v>
      </c>
      <c r="R36" s="22"/>
      <c r="S36" s="19">
        <v>0</v>
      </c>
      <c r="T36" s="19">
        <v>35492</v>
      </c>
      <c r="U36" s="19">
        <v>0</v>
      </c>
      <c r="V36" s="3"/>
      <c r="W36" s="23">
        <v>0</v>
      </c>
      <c r="X36" s="24">
        <v>8511</v>
      </c>
      <c r="Y36" s="24" t="s">
        <v>52</v>
      </c>
    </row>
    <row r="37" spans="1:25" x14ac:dyDescent="0.25">
      <c r="A37" s="13">
        <v>32</v>
      </c>
      <c r="B37" s="14">
        <v>529</v>
      </c>
      <c r="C37" s="15" t="s">
        <v>239</v>
      </c>
      <c r="D37" s="16" t="s">
        <v>240</v>
      </c>
      <c r="E37" s="17" t="s">
        <v>241</v>
      </c>
      <c r="F37" s="18" t="s">
        <v>51</v>
      </c>
      <c r="G37" s="19">
        <v>89199383</v>
      </c>
      <c r="H37" s="19">
        <v>89199383</v>
      </c>
      <c r="I37" s="19">
        <v>0</v>
      </c>
      <c r="J37" s="20">
        <v>1</v>
      </c>
      <c r="K37" s="19">
        <v>118800000</v>
      </c>
      <c r="L37" s="21">
        <v>0</v>
      </c>
      <c r="M37" s="19">
        <v>6935246</v>
      </c>
      <c r="N37" s="19">
        <v>0</v>
      </c>
      <c r="O37" s="19">
        <v>0</v>
      </c>
      <c r="P37" s="19">
        <v>36381</v>
      </c>
      <c r="Q37" s="19">
        <v>0</v>
      </c>
      <c r="R37" s="22"/>
      <c r="S37" s="19">
        <v>0</v>
      </c>
      <c r="T37" s="19">
        <v>36381</v>
      </c>
      <c r="U37" s="19">
        <v>0</v>
      </c>
      <c r="V37" s="3"/>
      <c r="W37" s="23">
        <v>0</v>
      </c>
      <c r="X37" s="24">
        <v>8511</v>
      </c>
      <c r="Y37" s="24" t="s">
        <v>52</v>
      </c>
    </row>
    <row r="38" spans="1:25" x14ac:dyDescent="0.25">
      <c r="A38" s="13">
        <v>33</v>
      </c>
      <c r="B38" s="14">
        <v>531</v>
      </c>
      <c r="C38" s="15" t="s">
        <v>242</v>
      </c>
      <c r="D38" s="16" t="s">
        <v>243</v>
      </c>
      <c r="E38" s="17" t="s">
        <v>244</v>
      </c>
      <c r="F38" s="18" t="s">
        <v>51</v>
      </c>
      <c r="G38" s="19">
        <v>82246375</v>
      </c>
      <c r="H38" s="19">
        <v>82246375</v>
      </c>
      <c r="I38" s="19">
        <v>0</v>
      </c>
      <c r="J38" s="20">
        <v>0</v>
      </c>
      <c r="K38" s="19">
        <v>108000000</v>
      </c>
      <c r="L38" s="21">
        <v>0</v>
      </c>
      <c r="M38" s="19">
        <v>6620246</v>
      </c>
      <c r="N38" s="19">
        <v>0</v>
      </c>
      <c r="O38" s="19">
        <v>0</v>
      </c>
      <c r="P38" s="19">
        <v>19709</v>
      </c>
      <c r="Q38" s="19">
        <v>0</v>
      </c>
      <c r="R38" s="22"/>
      <c r="S38" s="19">
        <v>0</v>
      </c>
      <c r="T38" s="19">
        <v>19709</v>
      </c>
      <c r="U38" s="19">
        <v>0</v>
      </c>
      <c r="V38" s="3"/>
      <c r="W38" s="23">
        <v>0</v>
      </c>
      <c r="X38" s="24">
        <v>8511</v>
      </c>
      <c r="Y38" s="24" t="s">
        <v>52</v>
      </c>
    </row>
    <row r="39" spans="1:25" x14ac:dyDescent="0.25">
      <c r="A39" s="13">
        <v>34</v>
      </c>
      <c r="B39" s="14">
        <v>565</v>
      </c>
      <c r="C39" s="15" t="s">
        <v>257</v>
      </c>
      <c r="D39" s="16" t="s">
        <v>258</v>
      </c>
      <c r="E39" s="17" t="s">
        <v>259</v>
      </c>
      <c r="F39" s="18" t="s">
        <v>51</v>
      </c>
      <c r="G39" s="19">
        <v>78049265</v>
      </c>
      <c r="H39" s="19">
        <v>78049265</v>
      </c>
      <c r="I39" s="19">
        <v>0</v>
      </c>
      <c r="J39" s="20">
        <v>0</v>
      </c>
      <c r="K39" s="19">
        <v>108000000</v>
      </c>
      <c r="L39" s="21">
        <v>0</v>
      </c>
      <c r="M39" s="19">
        <v>6282458</v>
      </c>
      <c r="N39" s="19">
        <v>0</v>
      </c>
      <c r="O39" s="19">
        <v>0</v>
      </c>
      <c r="P39" s="19">
        <v>11881</v>
      </c>
      <c r="Q39" s="19">
        <v>0</v>
      </c>
      <c r="R39" s="22"/>
      <c r="S39" s="19">
        <v>0</v>
      </c>
      <c r="T39" s="19">
        <v>11881</v>
      </c>
      <c r="U39" s="19">
        <v>0</v>
      </c>
      <c r="V39" s="3"/>
      <c r="W39" s="23">
        <v>0</v>
      </c>
      <c r="X39" s="24">
        <v>8511</v>
      </c>
      <c r="Y39" s="24" t="s">
        <v>52</v>
      </c>
    </row>
    <row r="40" spans="1:25" x14ac:dyDescent="0.25">
      <c r="A40" s="13">
        <v>35</v>
      </c>
      <c r="B40" s="14">
        <v>566</v>
      </c>
      <c r="C40" s="15" t="s">
        <v>260</v>
      </c>
      <c r="D40" s="16" t="s">
        <v>261</v>
      </c>
      <c r="E40" s="17" t="s">
        <v>262</v>
      </c>
      <c r="F40" s="18" t="s">
        <v>51</v>
      </c>
      <c r="G40" s="19">
        <v>76276454</v>
      </c>
      <c r="H40" s="19">
        <v>76276454</v>
      </c>
      <c r="I40" s="19">
        <v>0</v>
      </c>
      <c r="J40" s="20">
        <v>0</v>
      </c>
      <c r="K40" s="19">
        <v>108000000</v>
      </c>
      <c r="L40" s="21">
        <v>0</v>
      </c>
      <c r="M40" s="19">
        <v>6170827</v>
      </c>
      <c r="N40" s="19">
        <v>0</v>
      </c>
      <c r="O40" s="19">
        <v>0</v>
      </c>
      <c r="P40" s="19">
        <v>17762</v>
      </c>
      <c r="Q40" s="19">
        <v>0</v>
      </c>
      <c r="R40" s="22"/>
      <c r="S40" s="19">
        <v>0</v>
      </c>
      <c r="T40" s="19">
        <v>17762</v>
      </c>
      <c r="U40" s="19">
        <v>0</v>
      </c>
      <c r="V40" s="3"/>
      <c r="W40" s="23">
        <v>0</v>
      </c>
      <c r="X40" s="24">
        <v>8511</v>
      </c>
      <c r="Y40" s="24" t="s">
        <v>52</v>
      </c>
    </row>
    <row r="41" spans="1:25" x14ac:dyDescent="0.25">
      <c r="A41" s="13">
        <v>36</v>
      </c>
      <c r="B41" s="14">
        <v>571</v>
      </c>
      <c r="C41" s="15" t="s">
        <v>263</v>
      </c>
      <c r="D41" s="16" t="s">
        <v>264</v>
      </c>
      <c r="E41" s="17" t="s">
        <v>265</v>
      </c>
      <c r="F41" s="18" t="s">
        <v>51</v>
      </c>
      <c r="G41" s="19">
        <v>85762103</v>
      </c>
      <c r="H41" s="19">
        <v>85762103</v>
      </c>
      <c r="I41" s="19">
        <v>0</v>
      </c>
      <c r="J41" s="20">
        <v>0</v>
      </c>
      <c r="K41" s="19">
        <v>108000000</v>
      </c>
      <c r="L41" s="21">
        <v>0</v>
      </c>
      <c r="M41" s="19">
        <v>6282458</v>
      </c>
      <c r="N41" s="19">
        <v>0</v>
      </c>
      <c r="O41" s="19">
        <v>0</v>
      </c>
      <c r="P41" s="19">
        <v>38414</v>
      </c>
      <c r="Q41" s="19">
        <v>0</v>
      </c>
      <c r="R41" s="22"/>
      <c r="S41" s="19">
        <v>0</v>
      </c>
      <c r="T41" s="19">
        <v>38414</v>
      </c>
      <c r="U41" s="19">
        <v>0</v>
      </c>
      <c r="V41" s="3"/>
      <c r="W41" s="23">
        <v>0</v>
      </c>
      <c r="X41" s="24">
        <v>8511</v>
      </c>
      <c r="Y41" s="24" t="s">
        <v>52</v>
      </c>
    </row>
    <row r="42" spans="1:25" x14ac:dyDescent="0.25">
      <c r="A42" s="13">
        <v>37</v>
      </c>
      <c r="B42" s="14">
        <v>572</v>
      </c>
      <c r="C42" s="15" t="s">
        <v>266</v>
      </c>
      <c r="D42" s="16" t="s">
        <v>267</v>
      </c>
      <c r="E42" s="17" t="s">
        <v>268</v>
      </c>
      <c r="F42" s="18" t="s">
        <v>51</v>
      </c>
      <c r="G42" s="19">
        <v>74719580</v>
      </c>
      <c r="H42" s="19">
        <v>74719580</v>
      </c>
      <c r="I42" s="19">
        <v>0</v>
      </c>
      <c r="J42" s="20">
        <v>0</v>
      </c>
      <c r="K42" s="19">
        <v>108000000</v>
      </c>
      <c r="L42" s="21">
        <v>0</v>
      </c>
      <c r="M42" s="19">
        <v>6090288</v>
      </c>
      <c r="N42" s="19">
        <v>0</v>
      </c>
      <c r="O42" s="19">
        <v>0</v>
      </c>
      <c r="P42" s="19">
        <v>12542</v>
      </c>
      <c r="Q42" s="19">
        <v>0</v>
      </c>
      <c r="R42" s="22"/>
      <c r="S42" s="19">
        <v>0</v>
      </c>
      <c r="T42" s="19">
        <v>12542</v>
      </c>
      <c r="U42" s="19">
        <v>0</v>
      </c>
      <c r="V42" s="3"/>
      <c r="W42" s="23">
        <v>0</v>
      </c>
      <c r="X42" s="24">
        <v>8511</v>
      </c>
      <c r="Y42" s="24" t="s">
        <v>52</v>
      </c>
    </row>
    <row r="43" spans="1:25" x14ac:dyDescent="0.25">
      <c r="A43" s="13">
        <v>38</v>
      </c>
      <c r="B43" s="14">
        <v>573</v>
      </c>
      <c r="C43" s="15" t="s">
        <v>269</v>
      </c>
      <c r="D43" s="16" t="s">
        <v>270</v>
      </c>
      <c r="E43" s="17" t="s">
        <v>271</v>
      </c>
      <c r="F43" s="18" t="s">
        <v>51</v>
      </c>
      <c r="G43" s="19">
        <v>79386515</v>
      </c>
      <c r="H43" s="19">
        <v>79386515</v>
      </c>
      <c r="I43" s="19">
        <v>0</v>
      </c>
      <c r="J43" s="20">
        <v>0</v>
      </c>
      <c r="K43" s="19">
        <v>108000000</v>
      </c>
      <c r="L43" s="21">
        <v>0</v>
      </c>
      <c r="M43" s="19">
        <v>6090288</v>
      </c>
      <c r="N43" s="19">
        <v>0</v>
      </c>
      <c r="O43" s="19">
        <v>0</v>
      </c>
      <c r="P43" s="19">
        <v>17657</v>
      </c>
      <c r="Q43" s="19">
        <v>0</v>
      </c>
      <c r="R43" s="22"/>
      <c r="S43" s="19">
        <v>0</v>
      </c>
      <c r="T43" s="19">
        <v>17657</v>
      </c>
      <c r="U43" s="19">
        <v>0</v>
      </c>
      <c r="V43" s="3"/>
      <c r="W43" s="23">
        <v>0</v>
      </c>
      <c r="X43" s="24">
        <v>8511</v>
      </c>
      <c r="Y43" s="24" t="s">
        <v>52</v>
      </c>
    </row>
    <row r="44" spans="1:25" x14ac:dyDescent="0.25">
      <c r="A44" s="13">
        <v>39</v>
      </c>
      <c r="B44" s="14">
        <v>576</v>
      </c>
      <c r="C44" s="15" t="s">
        <v>272</v>
      </c>
      <c r="D44" s="16" t="s">
        <v>273</v>
      </c>
      <c r="E44" s="17" t="s">
        <v>274</v>
      </c>
      <c r="F44" s="18" t="s">
        <v>51</v>
      </c>
      <c r="G44" s="19">
        <v>76451405</v>
      </c>
      <c r="H44" s="19">
        <v>76451405</v>
      </c>
      <c r="I44" s="19">
        <v>0</v>
      </c>
      <c r="J44" s="20">
        <v>0</v>
      </c>
      <c r="K44" s="19">
        <v>108000000</v>
      </c>
      <c r="L44" s="21">
        <v>0</v>
      </c>
      <c r="M44" s="19">
        <v>6060154</v>
      </c>
      <c r="N44" s="19">
        <v>0</v>
      </c>
      <c r="O44" s="19">
        <v>0</v>
      </c>
      <c r="P44" s="19">
        <v>13683</v>
      </c>
      <c r="Q44" s="19">
        <v>0</v>
      </c>
      <c r="R44" s="22"/>
      <c r="S44" s="19">
        <v>0</v>
      </c>
      <c r="T44" s="19">
        <v>13683</v>
      </c>
      <c r="U44" s="19">
        <v>0</v>
      </c>
      <c r="V44" s="3"/>
      <c r="W44" s="23">
        <v>0</v>
      </c>
      <c r="X44" s="24">
        <v>8511</v>
      </c>
      <c r="Y44" s="24" t="s">
        <v>52</v>
      </c>
    </row>
    <row r="45" spans="1:25" x14ac:dyDescent="0.25">
      <c r="A45" s="13">
        <v>40</v>
      </c>
      <c r="B45" s="14">
        <v>579</v>
      </c>
      <c r="C45" s="15" t="s">
        <v>275</v>
      </c>
      <c r="D45" s="16" t="s">
        <v>276</v>
      </c>
      <c r="E45" s="17" t="s">
        <v>277</v>
      </c>
      <c r="F45" s="18" t="s">
        <v>51</v>
      </c>
      <c r="G45" s="19">
        <v>79823128</v>
      </c>
      <c r="H45" s="19">
        <v>79823128</v>
      </c>
      <c r="I45" s="19">
        <v>0</v>
      </c>
      <c r="J45" s="20">
        <v>0</v>
      </c>
      <c r="K45" s="19">
        <v>108000000</v>
      </c>
      <c r="L45" s="21">
        <v>0</v>
      </c>
      <c r="M45" s="19">
        <v>6170827</v>
      </c>
      <c r="N45" s="19">
        <v>0</v>
      </c>
      <c r="O45" s="19">
        <v>0</v>
      </c>
      <c r="P45" s="19">
        <v>12386</v>
      </c>
      <c r="Q45" s="19">
        <v>0</v>
      </c>
      <c r="R45" s="22"/>
      <c r="S45" s="19">
        <v>0</v>
      </c>
      <c r="T45" s="19">
        <v>12386</v>
      </c>
      <c r="U45" s="19">
        <v>0</v>
      </c>
      <c r="V45" s="3"/>
      <c r="W45" s="23">
        <v>0</v>
      </c>
      <c r="X45" s="24">
        <v>8511</v>
      </c>
      <c r="Y45" s="24" t="s">
        <v>52</v>
      </c>
    </row>
    <row r="46" spans="1:25" x14ac:dyDescent="0.25">
      <c r="A46" s="13">
        <v>41</v>
      </c>
      <c r="B46" s="14">
        <v>649</v>
      </c>
      <c r="C46" s="15" t="s">
        <v>290</v>
      </c>
      <c r="D46" s="16" t="s">
        <v>291</v>
      </c>
      <c r="E46" s="17" t="s">
        <v>292</v>
      </c>
      <c r="F46" s="18" t="s">
        <v>51</v>
      </c>
      <c r="G46" s="19">
        <v>79978058</v>
      </c>
      <c r="H46" s="19">
        <v>79978058</v>
      </c>
      <c r="I46" s="19">
        <v>0</v>
      </c>
      <c r="J46" s="20">
        <v>0</v>
      </c>
      <c r="K46" s="19">
        <v>108000000</v>
      </c>
      <c r="L46" s="21">
        <v>0</v>
      </c>
      <c r="M46" s="19">
        <v>6142977</v>
      </c>
      <c r="N46" s="19">
        <v>0</v>
      </c>
      <c r="O46" s="19">
        <v>0</v>
      </c>
      <c r="P46" s="19">
        <v>25861</v>
      </c>
      <c r="Q46" s="19">
        <v>0</v>
      </c>
      <c r="R46" s="22"/>
      <c r="S46" s="19">
        <v>0</v>
      </c>
      <c r="T46" s="19">
        <v>25861</v>
      </c>
      <c r="U46" s="19">
        <v>0</v>
      </c>
      <c r="V46" s="3"/>
      <c r="W46" s="23">
        <v>0</v>
      </c>
      <c r="X46" s="24">
        <v>8511</v>
      </c>
      <c r="Y46" s="24" t="s">
        <v>52</v>
      </c>
    </row>
    <row r="47" spans="1:25" x14ac:dyDescent="0.25">
      <c r="A47" s="13">
        <v>42</v>
      </c>
      <c r="B47" s="14">
        <v>676</v>
      </c>
      <c r="C47" s="15" t="s">
        <v>302</v>
      </c>
      <c r="D47" s="16" t="s">
        <v>303</v>
      </c>
      <c r="E47" s="17" t="s">
        <v>304</v>
      </c>
      <c r="F47" s="18" t="s">
        <v>51</v>
      </c>
      <c r="G47" s="19">
        <v>80524923</v>
      </c>
      <c r="H47" s="19">
        <v>80524923</v>
      </c>
      <c r="I47" s="19">
        <v>0</v>
      </c>
      <c r="J47" s="20">
        <v>0</v>
      </c>
      <c r="K47" s="19">
        <v>108000000</v>
      </c>
      <c r="L47" s="21">
        <v>0</v>
      </c>
      <c r="M47" s="19">
        <v>6142977</v>
      </c>
      <c r="N47" s="19">
        <v>0</v>
      </c>
      <c r="O47" s="19">
        <v>0</v>
      </c>
      <c r="P47" s="19">
        <v>32001</v>
      </c>
      <c r="Q47" s="19">
        <v>0</v>
      </c>
      <c r="R47" s="22"/>
      <c r="S47" s="19">
        <v>0</v>
      </c>
      <c r="T47" s="19">
        <v>32001</v>
      </c>
      <c r="U47" s="19">
        <v>0</v>
      </c>
      <c r="V47" s="3"/>
      <c r="W47" s="23">
        <v>0</v>
      </c>
      <c r="X47" s="24">
        <v>8511</v>
      </c>
      <c r="Y47" s="24" t="s">
        <v>52</v>
      </c>
    </row>
    <row r="48" spans="1:25" x14ac:dyDescent="0.25">
      <c r="A48" s="13">
        <v>43</v>
      </c>
      <c r="B48" s="14">
        <v>735</v>
      </c>
      <c r="C48" s="15" t="s">
        <v>314</v>
      </c>
      <c r="D48" s="16" t="s">
        <v>315</v>
      </c>
      <c r="E48" s="17" t="s">
        <v>316</v>
      </c>
      <c r="F48" s="18" t="s">
        <v>51</v>
      </c>
      <c r="G48" s="19">
        <v>78347434</v>
      </c>
      <c r="H48" s="19">
        <v>78347434</v>
      </c>
      <c r="I48" s="19">
        <v>0</v>
      </c>
      <c r="J48" s="20">
        <v>0</v>
      </c>
      <c r="K48" s="19">
        <v>108000000</v>
      </c>
      <c r="L48" s="21">
        <v>0</v>
      </c>
      <c r="M48" s="19">
        <v>6140215</v>
      </c>
      <c r="N48" s="19">
        <v>0</v>
      </c>
      <c r="O48" s="19">
        <v>0</v>
      </c>
      <c r="P48" s="19">
        <v>14191</v>
      </c>
      <c r="Q48" s="19">
        <v>0</v>
      </c>
      <c r="R48" s="22"/>
      <c r="S48" s="19">
        <v>0</v>
      </c>
      <c r="T48" s="19">
        <v>14191</v>
      </c>
      <c r="U48" s="19">
        <v>0</v>
      </c>
      <c r="V48" s="3"/>
      <c r="W48" s="23">
        <v>0</v>
      </c>
      <c r="X48" s="24">
        <v>8511</v>
      </c>
      <c r="Y48" s="24" t="s">
        <v>52</v>
      </c>
    </row>
    <row r="49" spans="1:25" x14ac:dyDescent="0.25">
      <c r="A49" s="13">
        <v>44</v>
      </c>
      <c r="B49" s="14">
        <v>746</v>
      </c>
      <c r="C49" s="15" t="s">
        <v>317</v>
      </c>
      <c r="D49" s="16" t="s">
        <v>318</v>
      </c>
      <c r="E49" s="17" t="s">
        <v>319</v>
      </c>
      <c r="F49" s="18" t="s">
        <v>51</v>
      </c>
      <c r="G49" s="19">
        <v>75739306</v>
      </c>
      <c r="H49" s="19">
        <v>75739306</v>
      </c>
      <c r="I49" s="19">
        <v>0</v>
      </c>
      <c r="J49" s="20">
        <v>0</v>
      </c>
      <c r="K49" s="19">
        <v>108000000</v>
      </c>
      <c r="L49" s="21">
        <v>0</v>
      </c>
      <c r="M49" s="19">
        <v>5876295</v>
      </c>
      <c r="N49" s="19">
        <v>0</v>
      </c>
      <c r="O49" s="19">
        <v>0</v>
      </c>
      <c r="P49" s="19">
        <v>18150</v>
      </c>
      <c r="Q49" s="19">
        <v>0</v>
      </c>
      <c r="R49" s="22"/>
      <c r="S49" s="19">
        <v>0</v>
      </c>
      <c r="T49" s="19">
        <v>18150</v>
      </c>
      <c r="U49" s="19">
        <v>0</v>
      </c>
      <c r="V49" s="3"/>
      <c r="W49" s="23">
        <v>0</v>
      </c>
      <c r="X49" s="24">
        <v>8511</v>
      </c>
      <c r="Y49" s="24" t="s">
        <v>229</v>
      </c>
    </row>
    <row r="50" spans="1:25" x14ac:dyDescent="0.25">
      <c r="A50" s="13">
        <v>45</v>
      </c>
      <c r="B50" s="14">
        <v>749</v>
      </c>
      <c r="C50" s="15" t="s">
        <v>320</v>
      </c>
      <c r="D50" s="16" t="s">
        <v>321</v>
      </c>
      <c r="E50" s="17" t="s">
        <v>322</v>
      </c>
      <c r="F50" s="18" t="s">
        <v>51</v>
      </c>
      <c r="G50" s="19">
        <v>77022977</v>
      </c>
      <c r="H50" s="19">
        <v>77022977</v>
      </c>
      <c r="I50" s="19">
        <v>0</v>
      </c>
      <c r="J50" s="20">
        <v>0</v>
      </c>
      <c r="K50" s="19">
        <v>108000000</v>
      </c>
      <c r="L50" s="21">
        <v>0</v>
      </c>
      <c r="M50" s="19">
        <v>6201438</v>
      </c>
      <c r="N50" s="19">
        <v>0</v>
      </c>
      <c r="O50" s="19">
        <v>0</v>
      </c>
      <c r="P50" s="19">
        <v>11173</v>
      </c>
      <c r="Q50" s="19">
        <v>0</v>
      </c>
      <c r="R50" s="22"/>
      <c r="S50" s="19">
        <v>0</v>
      </c>
      <c r="T50" s="19">
        <v>11173</v>
      </c>
      <c r="U50" s="19">
        <v>0</v>
      </c>
      <c r="V50" s="3"/>
      <c r="W50" s="23">
        <v>0</v>
      </c>
      <c r="X50" s="24">
        <v>8511</v>
      </c>
      <c r="Y50" s="24" t="s">
        <v>52</v>
      </c>
    </row>
    <row r="51" spans="1:25" x14ac:dyDescent="0.25">
      <c r="A51" s="13">
        <v>46</v>
      </c>
      <c r="B51" s="14">
        <v>761</v>
      </c>
      <c r="C51" s="15" t="s">
        <v>323</v>
      </c>
      <c r="D51" s="16" t="s">
        <v>324</v>
      </c>
      <c r="E51" s="17" t="s">
        <v>325</v>
      </c>
      <c r="F51" s="18" t="s">
        <v>51</v>
      </c>
      <c r="G51" s="19">
        <v>74176430</v>
      </c>
      <c r="H51" s="19">
        <v>74176430</v>
      </c>
      <c r="I51" s="19">
        <v>0</v>
      </c>
      <c r="J51" s="20">
        <v>0</v>
      </c>
      <c r="K51" s="19">
        <v>108000000</v>
      </c>
      <c r="L51" s="21">
        <v>0</v>
      </c>
      <c r="M51" s="19">
        <v>6201438</v>
      </c>
      <c r="N51" s="19">
        <v>0</v>
      </c>
      <c r="O51" s="19">
        <v>0</v>
      </c>
      <c r="P51" s="19">
        <v>13380</v>
      </c>
      <c r="Q51" s="19">
        <v>0</v>
      </c>
      <c r="R51" s="22"/>
      <c r="S51" s="19">
        <v>0</v>
      </c>
      <c r="T51" s="19">
        <v>13380</v>
      </c>
      <c r="U51" s="19">
        <v>0</v>
      </c>
      <c r="V51" s="3"/>
      <c r="W51" s="23">
        <v>0</v>
      </c>
      <c r="X51" s="24">
        <v>8511</v>
      </c>
      <c r="Y51" s="24" t="s">
        <v>52</v>
      </c>
    </row>
    <row r="52" spans="1:25" x14ac:dyDescent="0.25">
      <c r="A52" s="13">
        <v>47</v>
      </c>
      <c r="B52" s="14">
        <v>867</v>
      </c>
      <c r="C52" s="15" t="s">
        <v>353</v>
      </c>
      <c r="D52" s="16" t="s">
        <v>354</v>
      </c>
      <c r="E52" s="17" t="s">
        <v>355</v>
      </c>
      <c r="F52" s="18" t="s">
        <v>51</v>
      </c>
      <c r="G52" s="19">
        <v>79840590</v>
      </c>
      <c r="H52" s="19">
        <v>79840590</v>
      </c>
      <c r="I52" s="19">
        <v>0</v>
      </c>
      <c r="J52" s="20">
        <v>0</v>
      </c>
      <c r="K52" s="19">
        <v>108000000</v>
      </c>
      <c r="L52" s="21">
        <v>0</v>
      </c>
      <c r="M52" s="19">
        <v>6112533</v>
      </c>
      <c r="N52" s="19">
        <v>0</v>
      </c>
      <c r="O52" s="19">
        <v>0</v>
      </c>
      <c r="P52" s="19">
        <v>43220</v>
      </c>
      <c r="Q52" s="19">
        <v>0</v>
      </c>
      <c r="R52" s="22"/>
      <c r="S52" s="19">
        <v>0</v>
      </c>
      <c r="T52" s="19">
        <v>43220</v>
      </c>
      <c r="U52" s="19">
        <v>0</v>
      </c>
      <c r="V52" s="3"/>
      <c r="W52" s="23">
        <v>0</v>
      </c>
      <c r="X52" s="24">
        <v>8511</v>
      </c>
      <c r="Y52" s="24" t="s">
        <v>52</v>
      </c>
    </row>
    <row r="53" spans="1:25" x14ac:dyDescent="0.25">
      <c r="A53" s="13">
        <v>48</v>
      </c>
      <c r="B53" s="14">
        <v>877</v>
      </c>
      <c r="C53" s="15" t="s">
        <v>362</v>
      </c>
      <c r="D53" s="16" t="s">
        <v>363</v>
      </c>
      <c r="E53" s="17" t="s">
        <v>364</v>
      </c>
      <c r="F53" s="18" t="s">
        <v>51</v>
      </c>
      <c r="G53" s="19">
        <v>78479925</v>
      </c>
      <c r="H53" s="19">
        <v>78479925</v>
      </c>
      <c r="I53" s="19">
        <v>0</v>
      </c>
      <c r="J53" s="20">
        <v>0</v>
      </c>
      <c r="K53" s="19">
        <v>108000000</v>
      </c>
      <c r="L53" s="21">
        <v>0</v>
      </c>
      <c r="M53" s="19">
        <v>6092937</v>
      </c>
      <c r="N53" s="19">
        <v>0</v>
      </c>
      <c r="O53" s="19">
        <v>0</v>
      </c>
      <c r="P53" s="19">
        <v>29564</v>
      </c>
      <c r="Q53" s="19">
        <v>0</v>
      </c>
      <c r="R53" s="22"/>
      <c r="S53" s="19">
        <v>0</v>
      </c>
      <c r="T53" s="19">
        <v>29564</v>
      </c>
      <c r="U53" s="19">
        <v>0</v>
      </c>
      <c r="V53" s="3"/>
      <c r="W53" s="23">
        <v>0</v>
      </c>
      <c r="X53" s="24">
        <v>8511</v>
      </c>
      <c r="Y53" s="24" t="s">
        <v>52</v>
      </c>
    </row>
    <row r="54" spans="1:25" x14ac:dyDescent="0.25">
      <c r="A54" s="13">
        <v>49</v>
      </c>
      <c r="B54" s="14">
        <v>919</v>
      </c>
      <c r="C54" s="15" t="s">
        <v>380</v>
      </c>
      <c r="D54" s="16" t="s">
        <v>381</v>
      </c>
      <c r="E54" s="17" t="s">
        <v>382</v>
      </c>
      <c r="F54" s="18" t="s">
        <v>51</v>
      </c>
      <c r="G54" s="19">
        <v>80545944</v>
      </c>
      <c r="H54" s="19">
        <v>80545944</v>
      </c>
      <c r="I54" s="19">
        <v>0</v>
      </c>
      <c r="J54" s="20">
        <v>0</v>
      </c>
      <c r="K54" s="19">
        <v>108000000</v>
      </c>
      <c r="L54" s="21">
        <v>0</v>
      </c>
      <c r="M54" s="19">
        <v>6062966</v>
      </c>
      <c r="N54" s="19">
        <v>0</v>
      </c>
      <c r="O54" s="19">
        <v>0</v>
      </c>
      <c r="P54" s="19">
        <v>27765</v>
      </c>
      <c r="Q54" s="19">
        <v>0</v>
      </c>
      <c r="R54" s="22"/>
      <c r="S54" s="19">
        <v>0</v>
      </c>
      <c r="T54" s="19">
        <v>27765</v>
      </c>
      <c r="U54" s="19">
        <v>0</v>
      </c>
      <c r="V54" s="3"/>
      <c r="W54" s="23">
        <v>0</v>
      </c>
      <c r="X54" s="24">
        <v>8511</v>
      </c>
      <c r="Y54" s="24" t="s">
        <v>52</v>
      </c>
    </row>
    <row r="55" spans="1:25" x14ac:dyDescent="0.25">
      <c r="A55" s="13">
        <v>50</v>
      </c>
      <c r="B55" s="14">
        <v>927</v>
      </c>
      <c r="C55" s="15" t="s">
        <v>392</v>
      </c>
      <c r="D55" s="16" t="s">
        <v>393</v>
      </c>
      <c r="E55" s="17" t="s">
        <v>394</v>
      </c>
      <c r="F55" s="18" t="s">
        <v>51</v>
      </c>
      <c r="G55" s="19">
        <v>74178481</v>
      </c>
      <c r="H55" s="19">
        <v>74178481</v>
      </c>
      <c r="I55" s="19">
        <v>0</v>
      </c>
      <c r="J55" s="20">
        <v>0</v>
      </c>
      <c r="K55" s="19">
        <v>108000000</v>
      </c>
      <c r="L55" s="21">
        <v>0</v>
      </c>
      <c r="M55" s="19">
        <v>5757348</v>
      </c>
      <c r="N55" s="19">
        <v>0</v>
      </c>
      <c r="O55" s="19">
        <v>0</v>
      </c>
      <c r="P55" s="19">
        <v>15723</v>
      </c>
      <c r="Q55" s="19">
        <v>0</v>
      </c>
      <c r="R55" s="22"/>
      <c r="S55" s="19">
        <v>0</v>
      </c>
      <c r="T55" s="19">
        <v>15723</v>
      </c>
      <c r="U55" s="19">
        <v>0</v>
      </c>
      <c r="V55" s="3"/>
      <c r="W55" s="23">
        <v>0</v>
      </c>
      <c r="X55" s="24">
        <v>8511</v>
      </c>
      <c r="Y55" s="24" t="s">
        <v>229</v>
      </c>
    </row>
    <row r="56" spans="1:25" x14ac:dyDescent="0.25">
      <c r="A56" s="13">
        <v>51</v>
      </c>
      <c r="B56" s="14">
        <v>990</v>
      </c>
      <c r="C56" s="15" t="s">
        <v>410</v>
      </c>
      <c r="D56" s="16" t="s">
        <v>411</v>
      </c>
      <c r="E56" s="17" t="s">
        <v>412</v>
      </c>
      <c r="F56" s="18" t="s">
        <v>51</v>
      </c>
      <c r="G56" s="19">
        <v>82267544</v>
      </c>
      <c r="H56" s="19">
        <v>82267544</v>
      </c>
      <c r="I56" s="19">
        <v>0</v>
      </c>
      <c r="J56" s="20">
        <v>0</v>
      </c>
      <c r="K56" s="19">
        <v>108000000</v>
      </c>
      <c r="L56" s="21">
        <v>0</v>
      </c>
      <c r="M56" s="19">
        <v>6377966</v>
      </c>
      <c r="N56" s="19">
        <v>0</v>
      </c>
      <c r="O56" s="19">
        <v>0</v>
      </c>
      <c r="P56" s="19">
        <v>22673</v>
      </c>
      <c r="Q56" s="19">
        <v>0</v>
      </c>
      <c r="R56" s="22"/>
      <c r="S56" s="19">
        <v>0</v>
      </c>
      <c r="T56" s="19">
        <v>22673</v>
      </c>
      <c r="U56" s="19">
        <v>0</v>
      </c>
      <c r="V56" s="3"/>
      <c r="W56" s="23">
        <v>0</v>
      </c>
      <c r="X56" s="24">
        <v>8511</v>
      </c>
      <c r="Y56" s="24" t="s">
        <v>52</v>
      </c>
    </row>
    <row r="57" spans="1:25" x14ac:dyDescent="0.25">
      <c r="A57" s="13">
        <v>52</v>
      </c>
      <c r="B57" s="14">
        <v>1003</v>
      </c>
      <c r="C57" s="15" t="s">
        <v>413</v>
      </c>
      <c r="D57" s="16" t="s">
        <v>414</v>
      </c>
      <c r="E57" s="17" t="s">
        <v>415</v>
      </c>
      <c r="F57" s="18" t="s">
        <v>51</v>
      </c>
      <c r="G57" s="19">
        <v>77157946</v>
      </c>
      <c r="H57" s="19">
        <v>77157946</v>
      </c>
      <c r="I57" s="19">
        <v>0</v>
      </c>
      <c r="J57" s="20">
        <v>0</v>
      </c>
      <c r="K57" s="19">
        <v>108000000</v>
      </c>
      <c r="L57" s="21">
        <v>0</v>
      </c>
      <c r="M57" s="19">
        <v>6062966</v>
      </c>
      <c r="N57" s="19">
        <v>0</v>
      </c>
      <c r="O57" s="19">
        <v>0</v>
      </c>
      <c r="P57" s="19">
        <v>17079</v>
      </c>
      <c r="Q57" s="19">
        <v>0</v>
      </c>
      <c r="R57" s="22"/>
      <c r="S57" s="19">
        <v>0</v>
      </c>
      <c r="T57" s="19">
        <v>17079</v>
      </c>
      <c r="U57" s="19">
        <v>0</v>
      </c>
      <c r="V57" s="3"/>
      <c r="W57" s="23">
        <v>0</v>
      </c>
      <c r="X57" s="24">
        <v>8511</v>
      </c>
      <c r="Y57" s="24" t="s">
        <v>52</v>
      </c>
    </row>
    <row r="58" spans="1:25" x14ac:dyDescent="0.25">
      <c r="A58" s="13">
        <v>53</v>
      </c>
      <c r="B58" s="14">
        <v>1006</v>
      </c>
      <c r="C58" s="15" t="s">
        <v>416</v>
      </c>
      <c r="D58" s="16" t="s">
        <v>417</v>
      </c>
      <c r="E58" s="17" t="s">
        <v>418</v>
      </c>
      <c r="F58" s="18" t="s">
        <v>51</v>
      </c>
      <c r="G58" s="19">
        <v>77021581</v>
      </c>
      <c r="H58" s="19">
        <v>77021581</v>
      </c>
      <c r="I58" s="19">
        <v>0</v>
      </c>
      <c r="J58" s="20">
        <v>0</v>
      </c>
      <c r="K58" s="19">
        <v>108000000</v>
      </c>
      <c r="L58" s="21">
        <v>0</v>
      </c>
      <c r="M58" s="19">
        <v>6173421</v>
      </c>
      <c r="N58" s="19">
        <v>0</v>
      </c>
      <c r="O58" s="19">
        <v>0</v>
      </c>
      <c r="P58" s="19">
        <v>10620</v>
      </c>
      <c r="Q58" s="19">
        <v>0</v>
      </c>
      <c r="R58" s="22"/>
      <c r="S58" s="19">
        <v>0</v>
      </c>
      <c r="T58" s="19">
        <v>10620</v>
      </c>
      <c r="U58" s="19">
        <v>0</v>
      </c>
      <c r="V58" s="3"/>
      <c r="W58" s="23">
        <v>0</v>
      </c>
      <c r="X58" s="24">
        <v>8511</v>
      </c>
      <c r="Y58" s="24" t="s">
        <v>52</v>
      </c>
    </row>
    <row r="59" spans="1:25" x14ac:dyDescent="0.25">
      <c r="A59" s="13">
        <v>54</v>
      </c>
      <c r="B59" s="14">
        <v>1017</v>
      </c>
      <c r="C59" s="15" t="s">
        <v>419</v>
      </c>
      <c r="D59" s="16" t="s">
        <v>420</v>
      </c>
      <c r="E59" s="17" t="s">
        <v>421</v>
      </c>
      <c r="F59" s="18" t="s">
        <v>51</v>
      </c>
      <c r="G59" s="19">
        <v>77148010</v>
      </c>
      <c r="H59" s="19">
        <v>77148010</v>
      </c>
      <c r="I59" s="19">
        <v>0</v>
      </c>
      <c r="J59" s="20">
        <v>0</v>
      </c>
      <c r="K59" s="19">
        <v>108000000</v>
      </c>
      <c r="L59" s="21">
        <v>0</v>
      </c>
      <c r="M59" s="19">
        <v>6032998</v>
      </c>
      <c r="N59" s="19">
        <v>0</v>
      </c>
      <c r="O59" s="19">
        <v>0</v>
      </c>
      <c r="P59" s="19">
        <v>31229</v>
      </c>
      <c r="Q59" s="19">
        <v>0</v>
      </c>
      <c r="R59" s="22"/>
      <c r="S59" s="19">
        <v>0</v>
      </c>
      <c r="T59" s="19">
        <v>31229</v>
      </c>
      <c r="U59" s="19">
        <v>0</v>
      </c>
      <c r="V59" s="3"/>
      <c r="W59" s="23">
        <v>0</v>
      </c>
      <c r="X59" s="24">
        <v>8511</v>
      </c>
      <c r="Y59" s="24" t="s">
        <v>52</v>
      </c>
    </row>
    <row r="60" spans="1:25" x14ac:dyDescent="0.25">
      <c r="A60" s="13">
        <v>55</v>
      </c>
      <c r="B60" s="14">
        <v>1021</v>
      </c>
      <c r="C60" s="15" t="s">
        <v>422</v>
      </c>
      <c r="D60" s="16" t="s">
        <v>423</v>
      </c>
      <c r="E60" s="17" t="s">
        <v>424</v>
      </c>
      <c r="F60" s="18" t="s">
        <v>51</v>
      </c>
      <c r="G60" s="19">
        <v>69924998</v>
      </c>
      <c r="H60" s="19">
        <v>69924998</v>
      </c>
      <c r="I60" s="19">
        <v>0</v>
      </c>
      <c r="J60" s="20">
        <v>0</v>
      </c>
      <c r="K60" s="19">
        <v>108000000</v>
      </c>
      <c r="L60" s="21">
        <v>0</v>
      </c>
      <c r="M60" s="19">
        <v>5900019</v>
      </c>
      <c r="N60" s="19">
        <v>0</v>
      </c>
      <c r="O60" s="19">
        <v>0</v>
      </c>
      <c r="P60" s="19">
        <v>12581</v>
      </c>
      <c r="Q60" s="19">
        <v>0</v>
      </c>
      <c r="R60" s="22"/>
      <c r="S60" s="19">
        <v>0</v>
      </c>
      <c r="T60" s="19">
        <v>12581</v>
      </c>
      <c r="U60" s="19">
        <v>0</v>
      </c>
      <c r="V60" s="3"/>
      <c r="W60" s="23">
        <v>0</v>
      </c>
      <c r="X60" s="24">
        <v>8511</v>
      </c>
      <c r="Y60" s="24" t="s">
        <v>229</v>
      </c>
    </row>
    <row r="61" spans="1:25" x14ac:dyDescent="0.25">
      <c r="A61" s="13">
        <v>56</v>
      </c>
      <c r="B61" s="14">
        <v>1028</v>
      </c>
      <c r="C61" s="15" t="s">
        <v>425</v>
      </c>
      <c r="D61" s="16" t="s">
        <v>426</v>
      </c>
      <c r="E61" s="17" t="s">
        <v>427</v>
      </c>
      <c r="F61" s="18" t="s">
        <v>51</v>
      </c>
      <c r="G61" s="19">
        <v>77373737</v>
      </c>
      <c r="H61" s="19">
        <v>77373737</v>
      </c>
      <c r="I61" s="19">
        <v>0</v>
      </c>
      <c r="J61" s="20">
        <v>0</v>
      </c>
      <c r="K61" s="19">
        <v>108000000</v>
      </c>
      <c r="L61" s="21">
        <v>0</v>
      </c>
      <c r="M61" s="19">
        <v>6092937</v>
      </c>
      <c r="N61" s="19">
        <v>0</v>
      </c>
      <c r="O61" s="19">
        <v>0</v>
      </c>
      <c r="P61" s="19">
        <v>14707</v>
      </c>
      <c r="Q61" s="19">
        <v>0</v>
      </c>
      <c r="R61" s="22"/>
      <c r="S61" s="19">
        <v>0</v>
      </c>
      <c r="T61" s="19">
        <v>14707</v>
      </c>
      <c r="U61" s="19">
        <v>0</v>
      </c>
      <c r="V61" s="3"/>
      <c r="W61" s="23">
        <v>0</v>
      </c>
      <c r="X61" s="24">
        <v>8511</v>
      </c>
      <c r="Y61" s="24" t="s">
        <v>52</v>
      </c>
    </row>
    <row r="62" spans="1:25" x14ac:dyDescent="0.25">
      <c r="A62" s="13">
        <v>57</v>
      </c>
      <c r="B62" s="14">
        <v>1029</v>
      </c>
      <c r="C62" s="15" t="s">
        <v>428</v>
      </c>
      <c r="D62" s="16" t="s">
        <v>429</v>
      </c>
      <c r="E62" s="17" t="s">
        <v>430</v>
      </c>
      <c r="F62" s="18" t="s">
        <v>51</v>
      </c>
      <c r="G62" s="19">
        <v>73034062</v>
      </c>
      <c r="H62" s="19">
        <v>73034062</v>
      </c>
      <c r="I62" s="19">
        <v>0</v>
      </c>
      <c r="J62" s="20">
        <v>0</v>
      </c>
      <c r="K62" s="19">
        <v>108000000</v>
      </c>
      <c r="L62" s="21">
        <v>0</v>
      </c>
      <c r="M62" s="19">
        <v>5900019</v>
      </c>
      <c r="N62" s="19">
        <v>0</v>
      </c>
      <c r="O62" s="19">
        <v>0</v>
      </c>
      <c r="P62" s="19">
        <v>13159</v>
      </c>
      <c r="Q62" s="19">
        <v>0</v>
      </c>
      <c r="R62" s="22"/>
      <c r="S62" s="19">
        <v>0</v>
      </c>
      <c r="T62" s="19">
        <v>13159</v>
      </c>
      <c r="U62" s="19">
        <v>0</v>
      </c>
      <c r="V62" s="3"/>
      <c r="W62" s="23">
        <v>0</v>
      </c>
      <c r="X62" s="24">
        <v>8511</v>
      </c>
      <c r="Y62" s="24" t="s">
        <v>229</v>
      </c>
    </row>
    <row r="63" spans="1:25" x14ac:dyDescent="0.25">
      <c r="A63" s="13">
        <v>58</v>
      </c>
      <c r="B63" s="14">
        <v>1044</v>
      </c>
      <c r="C63" s="15" t="s">
        <v>431</v>
      </c>
      <c r="D63" s="16" t="s">
        <v>432</v>
      </c>
      <c r="E63" s="17" t="s">
        <v>433</v>
      </c>
      <c r="F63" s="18" t="s">
        <v>51</v>
      </c>
      <c r="G63" s="19">
        <v>69713704</v>
      </c>
      <c r="H63" s="19">
        <v>69713704</v>
      </c>
      <c r="I63" s="19">
        <v>0</v>
      </c>
      <c r="J63" s="20">
        <v>0</v>
      </c>
      <c r="K63" s="19">
        <v>108000000</v>
      </c>
      <c r="L63" s="21">
        <v>0</v>
      </c>
      <c r="M63" s="19">
        <v>5900019</v>
      </c>
      <c r="N63" s="19">
        <v>0</v>
      </c>
      <c r="O63" s="19">
        <v>0</v>
      </c>
      <c r="P63" s="19">
        <v>22872</v>
      </c>
      <c r="Q63" s="19">
        <v>0</v>
      </c>
      <c r="R63" s="22"/>
      <c r="S63" s="19">
        <v>0</v>
      </c>
      <c r="T63" s="19">
        <v>22872</v>
      </c>
      <c r="U63" s="19">
        <v>0</v>
      </c>
      <c r="V63" s="3"/>
      <c r="W63" s="23">
        <v>0</v>
      </c>
      <c r="X63" s="24">
        <v>8511</v>
      </c>
      <c r="Y63" s="24" t="s">
        <v>229</v>
      </c>
    </row>
    <row r="64" spans="1:25" x14ac:dyDescent="0.25">
      <c r="A64" s="13">
        <v>59</v>
      </c>
      <c r="B64" s="14">
        <v>1045</v>
      </c>
      <c r="C64" s="15" t="s">
        <v>434</v>
      </c>
      <c r="D64" s="16" t="s">
        <v>435</v>
      </c>
      <c r="E64" s="17" t="s">
        <v>436</v>
      </c>
      <c r="F64" s="18" t="s">
        <v>51</v>
      </c>
      <c r="G64" s="19">
        <v>76549131</v>
      </c>
      <c r="H64" s="19">
        <v>76549131</v>
      </c>
      <c r="I64" s="19">
        <v>0</v>
      </c>
      <c r="J64" s="20">
        <v>0</v>
      </c>
      <c r="K64" s="19">
        <v>108000000</v>
      </c>
      <c r="L64" s="21">
        <v>0</v>
      </c>
      <c r="M64" s="19">
        <v>6092937</v>
      </c>
      <c r="N64" s="19">
        <v>0</v>
      </c>
      <c r="O64" s="19">
        <v>0</v>
      </c>
      <c r="P64" s="19">
        <v>11809</v>
      </c>
      <c r="Q64" s="19">
        <v>0</v>
      </c>
      <c r="R64" s="22"/>
      <c r="S64" s="19">
        <v>0</v>
      </c>
      <c r="T64" s="19">
        <v>11809</v>
      </c>
      <c r="U64" s="19">
        <v>0</v>
      </c>
      <c r="V64" s="3"/>
      <c r="W64" s="23">
        <v>0</v>
      </c>
      <c r="X64" s="24">
        <v>8511</v>
      </c>
      <c r="Y64" s="24" t="s">
        <v>52</v>
      </c>
    </row>
    <row r="65" spans="1:25" x14ac:dyDescent="0.25">
      <c r="A65" s="13">
        <v>60</v>
      </c>
      <c r="B65" s="14">
        <v>1194</v>
      </c>
      <c r="C65" s="15" t="s">
        <v>488</v>
      </c>
      <c r="D65" s="16" t="s">
        <v>489</v>
      </c>
      <c r="E65" s="17" t="s">
        <v>490</v>
      </c>
      <c r="F65" s="18" t="s">
        <v>51</v>
      </c>
      <c r="G65" s="19">
        <v>77372187</v>
      </c>
      <c r="H65" s="19">
        <v>77372187</v>
      </c>
      <c r="I65" s="19">
        <v>0</v>
      </c>
      <c r="J65" s="20">
        <v>0</v>
      </c>
      <c r="K65" s="19">
        <v>108000000</v>
      </c>
      <c r="L65" s="21">
        <v>0</v>
      </c>
      <c r="M65" s="19">
        <v>6032998</v>
      </c>
      <c r="N65" s="19">
        <v>0</v>
      </c>
      <c r="O65" s="19">
        <v>0</v>
      </c>
      <c r="P65" s="19">
        <v>19023</v>
      </c>
      <c r="Q65" s="19">
        <v>0</v>
      </c>
      <c r="R65" s="22"/>
      <c r="S65" s="19">
        <v>0</v>
      </c>
      <c r="T65" s="19">
        <v>19023</v>
      </c>
      <c r="U65" s="19">
        <v>0</v>
      </c>
      <c r="V65" s="3"/>
      <c r="W65" s="23">
        <v>0</v>
      </c>
      <c r="X65" s="24">
        <v>8511</v>
      </c>
      <c r="Y65" s="24" t="s">
        <v>52</v>
      </c>
    </row>
    <row r="66" spans="1:25" x14ac:dyDescent="0.25">
      <c r="A66" s="13">
        <v>61</v>
      </c>
      <c r="B66" s="14">
        <v>1195</v>
      </c>
      <c r="C66" s="15" t="s">
        <v>491</v>
      </c>
      <c r="D66" s="16" t="s">
        <v>492</v>
      </c>
      <c r="E66" s="17" t="s">
        <v>493</v>
      </c>
      <c r="F66" s="18" t="s">
        <v>51</v>
      </c>
      <c r="G66" s="19">
        <v>76317374</v>
      </c>
      <c r="H66" s="19">
        <v>76317374</v>
      </c>
      <c r="I66" s="19">
        <v>0</v>
      </c>
      <c r="J66" s="20">
        <v>0</v>
      </c>
      <c r="K66" s="19">
        <v>108000000</v>
      </c>
      <c r="L66" s="21">
        <v>0</v>
      </c>
      <c r="M66" s="19">
        <v>6062966</v>
      </c>
      <c r="N66" s="19">
        <v>0</v>
      </c>
      <c r="O66" s="19">
        <v>0</v>
      </c>
      <c r="P66" s="19">
        <v>12271</v>
      </c>
      <c r="Q66" s="19">
        <v>0</v>
      </c>
      <c r="R66" s="22"/>
      <c r="S66" s="19">
        <v>0</v>
      </c>
      <c r="T66" s="19">
        <v>12271</v>
      </c>
      <c r="U66" s="19">
        <v>0</v>
      </c>
      <c r="V66" s="3"/>
      <c r="W66" s="23">
        <v>0</v>
      </c>
      <c r="X66" s="24">
        <v>8511</v>
      </c>
      <c r="Y66" s="24" t="s">
        <v>52</v>
      </c>
    </row>
    <row r="67" spans="1:25" x14ac:dyDescent="0.25">
      <c r="A67" s="13">
        <v>62</v>
      </c>
      <c r="B67" s="14">
        <v>1239</v>
      </c>
      <c r="C67" s="15" t="s">
        <v>503</v>
      </c>
      <c r="D67" s="16" t="s">
        <v>504</v>
      </c>
      <c r="E67" s="17" t="s">
        <v>505</v>
      </c>
      <c r="F67" s="18" t="s">
        <v>51</v>
      </c>
      <c r="G67" s="19">
        <v>74246351</v>
      </c>
      <c r="H67" s="19">
        <v>74246351</v>
      </c>
      <c r="I67" s="19">
        <v>0</v>
      </c>
      <c r="J67" s="20">
        <v>0</v>
      </c>
      <c r="K67" s="19">
        <v>108000000</v>
      </c>
      <c r="L67" s="21">
        <v>0</v>
      </c>
      <c r="M67" s="19">
        <v>6032998</v>
      </c>
      <c r="N67" s="19">
        <v>0</v>
      </c>
      <c r="O67" s="19">
        <v>0</v>
      </c>
      <c r="P67" s="19">
        <v>28606</v>
      </c>
      <c r="Q67" s="19">
        <v>0</v>
      </c>
      <c r="R67" s="22"/>
      <c r="S67" s="19">
        <v>0</v>
      </c>
      <c r="T67" s="19">
        <v>28606</v>
      </c>
      <c r="U67" s="19">
        <v>0</v>
      </c>
      <c r="V67" s="3"/>
      <c r="W67" s="23">
        <v>0</v>
      </c>
      <c r="X67" s="24">
        <v>8511</v>
      </c>
      <c r="Y67" s="24" t="s">
        <v>52</v>
      </c>
    </row>
    <row r="68" spans="1:25" x14ac:dyDescent="0.25">
      <c r="A68" s="13">
        <v>63</v>
      </c>
      <c r="B68" s="14">
        <v>1263</v>
      </c>
      <c r="C68" s="15" t="s">
        <v>506</v>
      </c>
      <c r="D68" s="16" t="s">
        <v>507</v>
      </c>
      <c r="E68" s="17" t="s">
        <v>508</v>
      </c>
      <c r="F68" s="18" t="s">
        <v>51</v>
      </c>
      <c r="G68" s="19">
        <v>74778740</v>
      </c>
      <c r="H68" s="19">
        <v>74778740</v>
      </c>
      <c r="I68" s="19">
        <v>0</v>
      </c>
      <c r="J68" s="20">
        <v>0</v>
      </c>
      <c r="K68" s="19">
        <v>108000000</v>
      </c>
      <c r="L68" s="21">
        <v>0</v>
      </c>
      <c r="M68" s="19">
        <v>5844230</v>
      </c>
      <c r="N68" s="19">
        <v>0</v>
      </c>
      <c r="O68" s="19">
        <v>0</v>
      </c>
      <c r="P68" s="19">
        <v>12319</v>
      </c>
      <c r="Q68" s="19">
        <v>0</v>
      </c>
      <c r="R68" s="22"/>
      <c r="S68" s="19">
        <v>0</v>
      </c>
      <c r="T68" s="19">
        <v>12319</v>
      </c>
      <c r="U68" s="19">
        <v>0</v>
      </c>
      <c r="V68" s="3"/>
      <c r="W68" s="23">
        <v>0</v>
      </c>
      <c r="X68" s="24">
        <v>8511</v>
      </c>
      <c r="Y68" s="24" t="s">
        <v>229</v>
      </c>
    </row>
    <row r="69" spans="1:25" x14ac:dyDescent="0.25">
      <c r="A69" s="13">
        <v>64</v>
      </c>
      <c r="B69" s="14">
        <v>1267</v>
      </c>
      <c r="C69" s="15" t="s">
        <v>512</v>
      </c>
      <c r="D69" s="16" t="s">
        <v>513</v>
      </c>
      <c r="E69" s="17" t="s">
        <v>514</v>
      </c>
      <c r="F69" s="18" t="s">
        <v>51</v>
      </c>
      <c r="G69" s="19">
        <v>70474909</v>
      </c>
      <c r="H69" s="19">
        <v>70474909</v>
      </c>
      <c r="I69" s="19">
        <v>0</v>
      </c>
      <c r="J69" s="20">
        <v>0</v>
      </c>
      <c r="K69" s="19">
        <v>108000000</v>
      </c>
      <c r="L69" s="21">
        <v>0</v>
      </c>
      <c r="M69" s="19">
        <v>5804902</v>
      </c>
      <c r="N69" s="19">
        <v>0</v>
      </c>
      <c r="O69" s="19">
        <v>0</v>
      </c>
      <c r="P69" s="19">
        <v>15077</v>
      </c>
      <c r="Q69" s="19">
        <v>0</v>
      </c>
      <c r="R69" s="22"/>
      <c r="S69" s="19">
        <v>0</v>
      </c>
      <c r="T69" s="19">
        <v>15077</v>
      </c>
      <c r="U69" s="19">
        <v>0</v>
      </c>
      <c r="V69" s="3"/>
      <c r="W69" s="23">
        <v>0</v>
      </c>
      <c r="X69" s="24">
        <v>8511</v>
      </c>
      <c r="Y69" s="24" t="s">
        <v>229</v>
      </c>
    </row>
    <row r="70" spans="1:25" x14ac:dyDescent="0.25">
      <c r="A70" s="13">
        <v>65</v>
      </c>
      <c r="B70" s="14">
        <v>1339</v>
      </c>
      <c r="C70" s="15" t="s">
        <v>395</v>
      </c>
      <c r="D70" s="16" t="s">
        <v>530</v>
      </c>
      <c r="E70" s="17" t="s">
        <v>531</v>
      </c>
      <c r="F70" s="18" t="s">
        <v>51</v>
      </c>
      <c r="G70" s="19">
        <v>72232596</v>
      </c>
      <c r="H70" s="19">
        <v>72232596</v>
      </c>
      <c r="I70" s="19">
        <v>0</v>
      </c>
      <c r="J70" s="20">
        <v>0</v>
      </c>
      <c r="K70" s="19">
        <v>108000000</v>
      </c>
      <c r="L70" s="21">
        <v>0</v>
      </c>
      <c r="M70" s="19">
        <v>5804902</v>
      </c>
      <c r="N70" s="19">
        <v>0</v>
      </c>
      <c r="O70" s="19">
        <v>0</v>
      </c>
      <c r="P70" s="19">
        <v>13626</v>
      </c>
      <c r="Q70" s="19">
        <v>0</v>
      </c>
      <c r="R70" s="22"/>
      <c r="S70" s="19">
        <v>0</v>
      </c>
      <c r="T70" s="19">
        <v>13626</v>
      </c>
      <c r="U70" s="19">
        <v>0</v>
      </c>
      <c r="V70" s="3"/>
      <c r="W70" s="23">
        <v>0</v>
      </c>
      <c r="X70" s="24">
        <v>8511</v>
      </c>
      <c r="Y70" s="24" t="s">
        <v>229</v>
      </c>
    </row>
    <row r="71" spans="1:25" x14ac:dyDescent="0.25">
      <c r="A71" s="13">
        <v>66</v>
      </c>
      <c r="B71" s="14">
        <v>1348</v>
      </c>
      <c r="C71" s="15" t="s">
        <v>532</v>
      </c>
      <c r="D71" s="16" t="s">
        <v>533</v>
      </c>
      <c r="E71" s="17" t="s">
        <v>534</v>
      </c>
      <c r="F71" s="18" t="s">
        <v>51</v>
      </c>
      <c r="G71" s="19">
        <v>75090564</v>
      </c>
      <c r="H71" s="19">
        <v>75090564</v>
      </c>
      <c r="I71" s="19">
        <v>0</v>
      </c>
      <c r="J71" s="20">
        <v>0</v>
      </c>
      <c r="K71" s="19">
        <v>108000000</v>
      </c>
      <c r="L71" s="21">
        <v>0</v>
      </c>
      <c r="M71" s="19">
        <v>5900019</v>
      </c>
      <c r="N71" s="19">
        <v>0</v>
      </c>
      <c r="O71" s="19">
        <v>0</v>
      </c>
      <c r="P71" s="19">
        <v>23536</v>
      </c>
      <c r="Q71" s="19">
        <v>0</v>
      </c>
      <c r="R71" s="22"/>
      <c r="S71" s="19">
        <v>0</v>
      </c>
      <c r="T71" s="19">
        <v>23536</v>
      </c>
      <c r="U71" s="19">
        <v>0</v>
      </c>
      <c r="V71" s="3"/>
      <c r="W71" s="23">
        <v>0</v>
      </c>
      <c r="X71" s="24">
        <v>8511</v>
      </c>
      <c r="Y71" s="24" t="s">
        <v>229</v>
      </c>
    </row>
    <row r="72" spans="1:25" x14ac:dyDescent="0.25">
      <c r="A72" s="13">
        <v>67</v>
      </c>
      <c r="B72" s="14">
        <v>1375</v>
      </c>
      <c r="C72" s="15" t="s">
        <v>535</v>
      </c>
      <c r="D72" s="16" t="s">
        <v>536</v>
      </c>
      <c r="E72" s="17" t="s">
        <v>537</v>
      </c>
      <c r="F72" s="18" t="s">
        <v>51</v>
      </c>
      <c r="G72" s="19">
        <v>74066592</v>
      </c>
      <c r="H72" s="19">
        <v>74066592</v>
      </c>
      <c r="I72" s="19">
        <v>0</v>
      </c>
      <c r="J72" s="20">
        <v>0</v>
      </c>
      <c r="K72" s="19">
        <v>108000000</v>
      </c>
      <c r="L72" s="21">
        <v>0</v>
      </c>
      <c r="M72" s="19">
        <v>5844230</v>
      </c>
      <c r="N72" s="19">
        <v>0</v>
      </c>
      <c r="O72" s="19">
        <v>0</v>
      </c>
      <c r="P72" s="19">
        <v>12888</v>
      </c>
      <c r="Q72" s="19">
        <v>0</v>
      </c>
      <c r="R72" s="22"/>
      <c r="S72" s="19">
        <v>0</v>
      </c>
      <c r="T72" s="19">
        <v>12888</v>
      </c>
      <c r="U72" s="19">
        <v>0</v>
      </c>
      <c r="V72" s="3"/>
      <c r="W72" s="23">
        <v>0</v>
      </c>
      <c r="X72" s="24">
        <v>8511</v>
      </c>
      <c r="Y72" s="24" t="s">
        <v>229</v>
      </c>
    </row>
    <row r="73" spans="1:25" x14ac:dyDescent="0.25">
      <c r="A73" s="13">
        <v>68</v>
      </c>
      <c r="B73" s="14">
        <v>1522</v>
      </c>
      <c r="C73" s="15" t="s">
        <v>562</v>
      </c>
      <c r="D73" s="16" t="s">
        <v>563</v>
      </c>
      <c r="E73" s="17" t="s">
        <v>564</v>
      </c>
      <c r="F73" s="18" t="s">
        <v>51</v>
      </c>
      <c r="G73" s="19">
        <v>72259104</v>
      </c>
      <c r="H73" s="19">
        <v>72259104</v>
      </c>
      <c r="I73" s="19">
        <v>0</v>
      </c>
      <c r="J73" s="20">
        <v>0</v>
      </c>
      <c r="K73" s="19">
        <v>108000000</v>
      </c>
      <c r="L73" s="21">
        <v>0</v>
      </c>
      <c r="M73" s="19">
        <v>5748476</v>
      </c>
      <c r="N73" s="19">
        <v>0</v>
      </c>
      <c r="O73" s="19">
        <v>0</v>
      </c>
      <c r="P73" s="19">
        <v>12301</v>
      </c>
      <c r="Q73" s="19">
        <v>0</v>
      </c>
      <c r="R73" s="22"/>
      <c r="S73" s="19">
        <v>0</v>
      </c>
      <c r="T73" s="19">
        <v>12301</v>
      </c>
      <c r="U73" s="19">
        <v>0</v>
      </c>
      <c r="V73" s="3"/>
      <c r="W73" s="23">
        <v>0</v>
      </c>
      <c r="X73" s="24">
        <v>8511</v>
      </c>
      <c r="Y73" s="24" t="s">
        <v>229</v>
      </c>
    </row>
    <row r="74" spans="1:25" x14ac:dyDescent="0.25">
      <c r="A74" s="13">
        <v>69</v>
      </c>
      <c r="B74" s="14">
        <v>1623</v>
      </c>
      <c r="C74" s="15" t="s">
        <v>571</v>
      </c>
      <c r="D74" s="16" t="s">
        <v>572</v>
      </c>
      <c r="E74" s="17" t="s">
        <v>573</v>
      </c>
      <c r="F74" s="18" t="s">
        <v>51</v>
      </c>
      <c r="G74" s="19">
        <v>74650897</v>
      </c>
      <c r="H74" s="19">
        <v>74650897</v>
      </c>
      <c r="I74" s="19">
        <v>0</v>
      </c>
      <c r="J74" s="20">
        <v>0</v>
      </c>
      <c r="K74" s="19">
        <v>108000000</v>
      </c>
      <c r="L74" s="21">
        <v>0</v>
      </c>
      <c r="M74" s="19">
        <v>5748476</v>
      </c>
      <c r="N74" s="19">
        <v>0</v>
      </c>
      <c r="O74" s="19">
        <v>0</v>
      </c>
      <c r="P74" s="19">
        <v>10476</v>
      </c>
      <c r="Q74" s="19">
        <v>0</v>
      </c>
      <c r="R74" s="22"/>
      <c r="S74" s="19">
        <v>0</v>
      </c>
      <c r="T74" s="19">
        <v>10476</v>
      </c>
      <c r="U74" s="19">
        <v>0</v>
      </c>
      <c r="V74" s="3"/>
      <c r="W74" s="23">
        <v>0</v>
      </c>
      <c r="X74" s="24">
        <v>8511</v>
      </c>
      <c r="Y74" s="24" t="s">
        <v>574</v>
      </c>
    </row>
    <row r="75" spans="1:25" x14ac:dyDescent="0.25">
      <c r="A75" s="13">
        <v>70</v>
      </c>
      <c r="B75" s="14">
        <v>1674</v>
      </c>
      <c r="C75" s="15" t="s">
        <v>575</v>
      </c>
      <c r="D75" s="16" t="s">
        <v>576</v>
      </c>
      <c r="E75" s="17" t="s">
        <v>577</v>
      </c>
      <c r="F75" s="18" t="s">
        <v>51</v>
      </c>
      <c r="G75" s="19">
        <v>73821276</v>
      </c>
      <c r="H75" s="19">
        <v>73821276</v>
      </c>
      <c r="I75" s="19">
        <v>0</v>
      </c>
      <c r="J75" s="20">
        <v>0</v>
      </c>
      <c r="K75" s="19">
        <v>108000000</v>
      </c>
      <c r="L75" s="21">
        <v>0</v>
      </c>
      <c r="M75" s="19">
        <v>5748476</v>
      </c>
      <c r="N75" s="19">
        <v>0</v>
      </c>
      <c r="O75" s="19">
        <v>0</v>
      </c>
      <c r="P75" s="19">
        <v>16529</v>
      </c>
      <c r="Q75" s="19">
        <v>0</v>
      </c>
      <c r="R75" s="22"/>
      <c r="S75" s="19">
        <v>0</v>
      </c>
      <c r="T75" s="19">
        <v>16529</v>
      </c>
      <c r="U75" s="19">
        <v>0</v>
      </c>
      <c r="V75" s="3"/>
      <c r="W75" s="23">
        <v>0</v>
      </c>
      <c r="X75" s="24">
        <v>8511</v>
      </c>
      <c r="Y75" s="24" t="s">
        <v>229</v>
      </c>
    </row>
  </sheetData>
  <mergeCells count="22">
    <mergeCell ref="G2:I2"/>
    <mergeCell ref="A2:A4"/>
    <mergeCell ref="C2:C4"/>
    <mergeCell ref="D2:D4"/>
    <mergeCell ref="E2:E4"/>
    <mergeCell ref="F2:F4"/>
    <mergeCell ref="X2:X4"/>
    <mergeCell ref="Y2:Y4"/>
    <mergeCell ref="G3:G4"/>
    <mergeCell ref="H3:I3"/>
    <mergeCell ref="J3:J4"/>
    <mergeCell ref="K3:K4"/>
    <mergeCell ref="L3:L4"/>
    <mergeCell ref="M3:M4"/>
    <mergeCell ref="N3:N4"/>
    <mergeCell ref="S3:S4"/>
    <mergeCell ref="J2:N2"/>
    <mergeCell ref="O2:O4"/>
    <mergeCell ref="P2:P4"/>
    <mergeCell ref="Q2:Q4"/>
    <mergeCell ref="S2:U2"/>
    <mergeCell ref="W2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Y77"/>
  <sheetViews>
    <sheetView topLeftCell="A55" workbookViewId="0">
      <selection activeCell="X77" sqref="X6:Y77"/>
    </sheetView>
  </sheetViews>
  <sheetFormatPr defaultRowHeight="15" x14ac:dyDescent="0.25"/>
  <cols>
    <col min="2" max="2" width="16" customWidth="1"/>
    <col min="3" max="3" width="24" customWidth="1"/>
    <col min="4" max="4" width="14.28515625" customWidth="1"/>
    <col min="7" max="7" width="12.7109375" customWidth="1"/>
    <col min="8" max="8" width="12.85546875" customWidth="1"/>
    <col min="11" max="11" width="14" customWidth="1"/>
  </cols>
  <sheetData>
    <row r="2" spans="1:25" ht="33" customHeight="1" x14ac:dyDescent="0.25">
      <c r="A2" s="74" t="s">
        <v>0</v>
      </c>
      <c r="B2" s="1"/>
      <c r="C2" s="77" t="s">
        <v>1</v>
      </c>
      <c r="D2" s="74" t="s">
        <v>2</v>
      </c>
      <c r="E2" s="74" t="s">
        <v>3</v>
      </c>
      <c r="F2" s="74" t="s">
        <v>4</v>
      </c>
      <c r="G2" s="78" t="s">
        <v>5</v>
      </c>
      <c r="H2" s="80"/>
      <c r="I2" s="79"/>
      <c r="J2" s="78" t="s">
        <v>6</v>
      </c>
      <c r="K2" s="80"/>
      <c r="L2" s="80"/>
      <c r="M2" s="80"/>
      <c r="N2" s="79"/>
      <c r="O2" s="74" t="s">
        <v>7</v>
      </c>
      <c r="P2" s="77" t="s">
        <v>8</v>
      </c>
      <c r="Q2" s="74" t="s">
        <v>9</v>
      </c>
      <c r="R2" s="2"/>
      <c r="S2" s="78" t="s">
        <v>10</v>
      </c>
      <c r="T2" s="80"/>
      <c r="U2" s="79"/>
      <c r="V2" s="3"/>
      <c r="W2" s="74" t="s">
        <v>11</v>
      </c>
      <c r="X2" s="74" t="s">
        <v>12</v>
      </c>
      <c r="Y2" s="74" t="s">
        <v>13</v>
      </c>
    </row>
    <row r="3" spans="1:25" ht="36" x14ac:dyDescent="0.25">
      <c r="A3" s="75"/>
      <c r="B3" s="4" t="s">
        <v>14</v>
      </c>
      <c r="C3" s="75"/>
      <c r="D3" s="75"/>
      <c r="E3" s="75"/>
      <c r="F3" s="75"/>
      <c r="G3" s="77" t="s">
        <v>15</v>
      </c>
      <c r="H3" s="78" t="s">
        <v>16</v>
      </c>
      <c r="I3" s="79"/>
      <c r="J3" s="74" t="s">
        <v>17</v>
      </c>
      <c r="K3" s="74" t="s">
        <v>18</v>
      </c>
      <c r="L3" s="74" t="s">
        <v>19</v>
      </c>
      <c r="M3" s="74" t="s">
        <v>20</v>
      </c>
      <c r="N3" s="74" t="s">
        <v>21</v>
      </c>
      <c r="O3" s="75"/>
      <c r="P3" s="75"/>
      <c r="Q3" s="75"/>
      <c r="R3" s="2"/>
      <c r="S3" s="74" t="s">
        <v>22</v>
      </c>
      <c r="T3" s="5" t="s">
        <v>23</v>
      </c>
      <c r="U3" s="5" t="s">
        <v>24</v>
      </c>
      <c r="V3" s="3"/>
      <c r="W3" s="75"/>
      <c r="X3" s="75"/>
      <c r="Y3" s="75"/>
    </row>
    <row r="4" spans="1:25" ht="24" x14ac:dyDescent="0.25">
      <c r="A4" s="76"/>
      <c r="B4" s="6"/>
      <c r="C4" s="76"/>
      <c r="D4" s="76"/>
      <c r="E4" s="76"/>
      <c r="F4" s="76"/>
      <c r="G4" s="76"/>
      <c r="H4" s="7" t="s">
        <v>25</v>
      </c>
      <c r="I4" s="7" t="s">
        <v>26</v>
      </c>
      <c r="J4" s="76"/>
      <c r="K4" s="76"/>
      <c r="L4" s="76"/>
      <c r="M4" s="76"/>
      <c r="N4" s="76"/>
      <c r="O4" s="76"/>
      <c r="P4" s="76"/>
      <c r="Q4" s="76"/>
      <c r="R4" s="2"/>
      <c r="S4" s="76"/>
      <c r="T4" s="8"/>
      <c r="U4" s="8"/>
      <c r="V4" s="3"/>
      <c r="W4" s="76"/>
      <c r="X4" s="76"/>
      <c r="Y4" s="76"/>
    </row>
    <row r="5" spans="1:25" x14ac:dyDescent="0.25">
      <c r="A5" s="9" t="s">
        <v>27</v>
      </c>
      <c r="B5" s="10"/>
      <c r="C5" s="9" t="s">
        <v>28</v>
      </c>
      <c r="D5" s="9" t="s">
        <v>29</v>
      </c>
      <c r="E5" s="9" t="s">
        <v>30</v>
      </c>
      <c r="F5" s="10" t="s">
        <v>31</v>
      </c>
      <c r="G5" s="9" t="s">
        <v>32</v>
      </c>
      <c r="H5" s="9" t="s">
        <v>33</v>
      </c>
      <c r="I5" s="9" t="s">
        <v>34</v>
      </c>
      <c r="J5" s="11" t="s">
        <v>35</v>
      </c>
      <c r="K5" s="9" t="s">
        <v>36</v>
      </c>
      <c r="L5" s="9" t="s">
        <v>37</v>
      </c>
      <c r="M5" s="9" t="s">
        <v>38</v>
      </c>
      <c r="N5" s="9" t="s">
        <v>39</v>
      </c>
      <c r="O5" s="9" t="s">
        <v>40</v>
      </c>
      <c r="P5" s="9" t="s">
        <v>41</v>
      </c>
      <c r="Q5" s="12" t="s">
        <v>42</v>
      </c>
      <c r="R5" s="9" t="s">
        <v>42</v>
      </c>
      <c r="S5" s="9" t="s">
        <v>43</v>
      </c>
      <c r="T5" s="9" t="s">
        <v>44</v>
      </c>
      <c r="U5" s="9" t="s">
        <v>45</v>
      </c>
      <c r="V5" s="3"/>
      <c r="W5" s="9" t="s">
        <v>46</v>
      </c>
      <c r="X5" s="9" t="s">
        <v>47</v>
      </c>
      <c r="Y5" s="9"/>
    </row>
    <row r="6" spans="1:25" x14ac:dyDescent="0.25">
      <c r="A6" s="13">
        <v>1</v>
      </c>
      <c r="B6" s="14">
        <v>97</v>
      </c>
      <c r="C6" s="15" t="s">
        <v>48</v>
      </c>
      <c r="D6" s="16" t="s">
        <v>49</v>
      </c>
      <c r="E6" s="17" t="s">
        <v>50</v>
      </c>
      <c r="F6" s="18" t="s">
        <v>51</v>
      </c>
      <c r="G6" s="19">
        <v>78544323</v>
      </c>
      <c r="H6" s="19">
        <v>78544323</v>
      </c>
      <c r="I6" s="19">
        <v>0</v>
      </c>
      <c r="J6" s="20">
        <v>0</v>
      </c>
      <c r="K6" s="19">
        <v>108000000</v>
      </c>
      <c r="L6" s="21">
        <v>0</v>
      </c>
      <c r="M6" s="19">
        <v>6014258</v>
      </c>
      <c r="N6" s="19">
        <v>0</v>
      </c>
      <c r="O6" s="19">
        <v>0</v>
      </c>
      <c r="P6" s="19">
        <v>22822</v>
      </c>
      <c r="Q6" s="19">
        <v>0</v>
      </c>
      <c r="R6" s="22"/>
      <c r="S6" s="19">
        <v>0</v>
      </c>
      <c r="T6" s="19">
        <v>22822</v>
      </c>
      <c r="U6" s="19">
        <v>0</v>
      </c>
      <c r="V6" s="3"/>
      <c r="W6" s="23">
        <v>0</v>
      </c>
      <c r="X6" s="24">
        <v>8512</v>
      </c>
      <c r="Y6" s="24" t="s">
        <v>52</v>
      </c>
    </row>
    <row r="7" spans="1:25" x14ac:dyDescent="0.25">
      <c r="A7" s="13">
        <v>2</v>
      </c>
      <c r="B7" s="14">
        <v>100</v>
      </c>
      <c r="C7" s="15" t="s">
        <v>53</v>
      </c>
      <c r="D7" s="16" t="s">
        <v>54</v>
      </c>
      <c r="E7" s="17" t="s">
        <v>55</v>
      </c>
      <c r="F7" s="18" t="s">
        <v>51</v>
      </c>
      <c r="G7" s="19">
        <v>83938140</v>
      </c>
      <c r="H7" s="19">
        <v>83938140</v>
      </c>
      <c r="I7" s="19">
        <v>0</v>
      </c>
      <c r="J7" s="20">
        <v>0</v>
      </c>
      <c r="K7" s="19">
        <v>108000000</v>
      </c>
      <c r="L7" s="21">
        <v>0</v>
      </c>
      <c r="M7" s="19">
        <v>6709198</v>
      </c>
      <c r="N7" s="19">
        <v>0</v>
      </c>
      <c r="O7" s="19">
        <v>0</v>
      </c>
      <c r="P7" s="19">
        <v>34245</v>
      </c>
      <c r="Q7" s="19">
        <v>0</v>
      </c>
      <c r="R7" s="22"/>
      <c r="S7" s="19">
        <v>0</v>
      </c>
      <c r="T7" s="19">
        <v>34245</v>
      </c>
      <c r="U7" s="19">
        <v>0</v>
      </c>
      <c r="V7" s="3"/>
      <c r="W7" s="23">
        <v>0</v>
      </c>
      <c r="X7" s="24">
        <v>8512</v>
      </c>
      <c r="Y7" s="24" t="s">
        <v>52</v>
      </c>
    </row>
    <row r="8" spans="1:25" x14ac:dyDescent="0.25">
      <c r="A8" s="13">
        <v>3</v>
      </c>
      <c r="B8" s="14">
        <v>132</v>
      </c>
      <c r="C8" s="15" t="s">
        <v>66</v>
      </c>
      <c r="D8" s="16" t="s">
        <v>67</v>
      </c>
      <c r="E8" s="17" t="s">
        <v>68</v>
      </c>
      <c r="F8" s="18" t="s">
        <v>51</v>
      </c>
      <c r="G8" s="19">
        <v>83016036</v>
      </c>
      <c r="H8" s="19">
        <v>83016036</v>
      </c>
      <c r="I8" s="19">
        <v>0</v>
      </c>
      <c r="J8" s="20">
        <v>0</v>
      </c>
      <c r="K8" s="19">
        <v>108000000</v>
      </c>
      <c r="L8" s="21">
        <v>0</v>
      </c>
      <c r="M8" s="19">
        <v>6620246</v>
      </c>
      <c r="N8" s="19">
        <v>0</v>
      </c>
      <c r="O8" s="19">
        <v>0</v>
      </c>
      <c r="P8" s="19">
        <v>32690</v>
      </c>
      <c r="Q8" s="19">
        <v>0</v>
      </c>
      <c r="R8" s="22"/>
      <c r="S8" s="19">
        <v>0</v>
      </c>
      <c r="T8" s="19">
        <v>32690</v>
      </c>
      <c r="U8" s="19">
        <v>0</v>
      </c>
      <c r="V8" s="3"/>
      <c r="W8" s="23">
        <v>0</v>
      </c>
      <c r="X8" s="24">
        <v>8512</v>
      </c>
      <c r="Y8" s="24" t="s">
        <v>52</v>
      </c>
    </row>
    <row r="9" spans="1:25" x14ac:dyDescent="0.25">
      <c r="A9" s="13">
        <v>4</v>
      </c>
      <c r="B9" s="14">
        <v>237</v>
      </c>
      <c r="C9" s="15" t="s">
        <v>82</v>
      </c>
      <c r="D9" s="16" t="s">
        <v>83</v>
      </c>
      <c r="E9" s="17" t="s">
        <v>84</v>
      </c>
      <c r="F9" s="18" t="s">
        <v>51</v>
      </c>
      <c r="G9" s="19">
        <v>75145542</v>
      </c>
      <c r="H9" s="19">
        <v>75145542</v>
      </c>
      <c r="I9" s="19">
        <v>0</v>
      </c>
      <c r="J9" s="20">
        <v>0</v>
      </c>
      <c r="K9" s="19">
        <v>108000000</v>
      </c>
      <c r="L9" s="21">
        <v>0</v>
      </c>
      <c r="M9" s="19">
        <v>6060154</v>
      </c>
      <c r="N9" s="19">
        <v>0</v>
      </c>
      <c r="O9" s="19">
        <v>0</v>
      </c>
      <c r="P9" s="19">
        <v>25604</v>
      </c>
      <c r="Q9" s="19">
        <v>0</v>
      </c>
      <c r="R9" s="22"/>
      <c r="S9" s="19">
        <v>0</v>
      </c>
      <c r="T9" s="19">
        <v>25604</v>
      </c>
      <c r="U9" s="19">
        <v>0</v>
      </c>
      <c r="V9" s="3"/>
      <c r="W9" s="23">
        <v>0</v>
      </c>
      <c r="X9" s="24">
        <v>8512</v>
      </c>
      <c r="Y9" s="24" t="s">
        <v>52</v>
      </c>
    </row>
    <row r="10" spans="1:25" x14ac:dyDescent="0.25">
      <c r="A10" s="13">
        <v>5</v>
      </c>
      <c r="B10" s="14">
        <v>254</v>
      </c>
      <c r="C10" s="15" t="s">
        <v>97</v>
      </c>
      <c r="D10" s="16" t="s">
        <v>98</v>
      </c>
      <c r="E10" s="17" t="s">
        <v>99</v>
      </c>
      <c r="F10" s="18" t="s">
        <v>51</v>
      </c>
      <c r="G10" s="19">
        <v>81220845</v>
      </c>
      <c r="H10" s="19">
        <v>81220845</v>
      </c>
      <c r="I10" s="19">
        <v>0</v>
      </c>
      <c r="J10" s="20">
        <v>0</v>
      </c>
      <c r="K10" s="19">
        <v>108000000</v>
      </c>
      <c r="L10" s="21">
        <v>0</v>
      </c>
      <c r="M10" s="19">
        <v>6620246</v>
      </c>
      <c r="N10" s="19">
        <v>0</v>
      </c>
      <c r="O10" s="19">
        <v>0</v>
      </c>
      <c r="P10" s="19">
        <v>15961</v>
      </c>
      <c r="Q10" s="19">
        <v>0</v>
      </c>
      <c r="R10" s="22"/>
      <c r="S10" s="19">
        <v>0</v>
      </c>
      <c r="T10" s="19">
        <v>15961</v>
      </c>
      <c r="U10" s="19">
        <v>0</v>
      </c>
      <c r="V10" s="3"/>
      <c r="W10" s="23">
        <v>0</v>
      </c>
      <c r="X10" s="24">
        <v>8512</v>
      </c>
      <c r="Y10" s="24" t="s">
        <v>52</v>
      </c>
    </row>
    <row r="11" spans="1:25" x14ac:dyDescent="0.25">
      <c r="A11" s="13">
        <v>6</v>
      </c>
      <c r="B11" s="14">
        <v>265</v>
      </c>
      <c r="C11" s="15" t="s">
        <v>100</v>
      </c>
      <c r="D11" s="16" t="s">
        <v>101</v>
      </c>
      <c r="E11" s="17" t="s">
        <v>102</v>
      </c>
      <c r="F11" s="18" t="s">
        <v>51</v>
      </c>
      <c r="G11" s="19">
        <v>82758168</v>
      </c>
      <c r="H11" s="19">
        <v>82758168</v>
      </c>
      <c r="I11" s="19">
        <v>0</v>
      </c>
      <c r="J11" s="20">
        <v>0</v>
      </c>
      <c r="K11" s="19">
        <v>108000000</v>
      </c>
      <c r="L11" s="21">
        <v>0</v>
      </c>
      <c r="M11" s="19">
        <v>6575771</v>
      </c>
      <c r="N11" s="19">
        <v>0</v>
      </c>
      <c r="O11" s="19">
        <v>0</v>
      </c>
      <c r="P11" s="19">
        <v>26848</v>
      </c>
      <c r="Q11" s="19">
        <v>0</v>
      </c>
      <c r="R11" s="22"/>
      <c r="S11" s="19">
        <v>0</v>
      </c>
      <c r="T11" s="19">
        <v>26848</v>
      </c>
      <c r="U11" s="19">
        <v>0</v>
      </c>
      <c r="V11" s="3"/>
      <c r="W11" s="23">
        <v>0</v>
      </c>
      <c r="X11" s="24">
        <v>8512</v>
      </c>
      <c r="Y11" s="24" t="s">
        <v>52</v>
      </c>
    </row>
    <row r="12" spans="1:25" x14ac:dyDescent="0.25">
      <c r="A12" s="13">
        <v>7</v>
      </c>
      <c r="B12" s="14">
        <v>274</v>
      </c>
      <c r="C12" s="15" t="s">
        <v>109</v>
      </c>
      <c r="D12" s="16" t="s">
        <v>110</v>
      </c>
      <c r="E12" s="17" t="s">
        <v>111</v>
      </c>
      <c r="F12" s="18" t="s">
        <v>51</v>
      </c>
      <c r="G12" s="19">
        <v>81189001</v>
      </c>
      <c r="H12" s="19">
        <v>81189001</v>
      </c>
      <c r="I12" s="19">
        <v>0</v>
      </c>
      <c r="J12" s="20">
        <v>0</v>
      </c>
      <c r="K12" s="19">
        <v>108000000</v>
      </c>
      <c r="L12" s="21">
        <v>0</v>
      </c>
      <c r="M12" s="19">
        <v>6575771</v>
      </c>
      <c r="N12" s="19">
        <v>0</v>
      </c>
      <c r="O12" s="19">
        <v>0</v>
      </c>
      <c r="P12" s="19">
        <v>34832</v>
      </c>
      <c r="Q12" s="19">
        <v>0</v>
      </c>
      <c r="R12" s="22"/>
      <c r="S12" s="19">
        <v>0</v>
      </c>
      <c r="T12" s="19">
        <v>34832</v>
      </c>
      <c r="U12" s="19">
        <v>0</v>
      </c>
      <c r="V12" s="3"/>
      <c r="W12" s="23">
        <v>0</v>
      </c>
      <c r="X12" s="24">
        <v>8512</v>
      </c>
      <c r="Y12" s="24" t="s">
        <v>52</v>
      </c>
    </row>
    <row r="13" spans="1:25" x14ac:dyDescent="0.25">
      <c r="A13" s="13">
        <v>8</v>
      </c>
      <c r="B13" s="14">
        <v>276</v>
      </c>
      <c r="C13" s="15" t="s">
        <v>112</v>
      </c>
      <c r="D13" s="16" t="s">
        <v>113</v>
      </c>
      <c r="E13" s="17" t="s">
        <v>114</v>
      </c>
      <c r="F13" s="18" t="s">
        <v>51</v>
      </c>
      <c r="G13" s="19">
        <v>87870385</v>
      </c>
      <c r="H13" s="19">
        <v>87870385</v>
      </c>
      <c r="I13" s="19">
        <v>0</v>
      </c>
      <c r="J13" s="20">
        <v>0</v>
      </c>
      <c r="K13" s="19">
        <v>108000000</v>
      </c>
      <c r="L13" s="21">
        <v>0</v>
      </c>
      <c r="M13" s="19">
        <v>6756350</v>
      </c>
      <c r="N13" s="19">
        <v>0</v>
      </c>
      <c r="O13" s="19">
        <v>0</v>
      </c>
      <c r="P13" s="19">
        <v>36470</v>
      </c>
      <c r="Q13" s="19">
        <v>0</v>
      </c>
      <c r="R13" s="22"/>
      <c r="S13" s="19">
        <v>0</v>
      </c>
      <c r="T13" s="19">
        <v>36470</v>
      </c>
      <c r="U13" s="19">
        <v>0</v>
      </c>
      <c r="V13" s="3"/>
      <c r="W13" s="23">
        <v>0</v>
      </c>
      <c r="X13" s="24">
        <v>8512</v>
      </c>
      <c r="Y13" s="24" t="s">
        <v>52</v>
      </c>
    </row>
    <row r="14" spans="1:25" x14ac:dyDescent="0.25">
      <c r="A14" s="13">
        <v>9</v>
      </c>
      <c r="B14" s="14">
        <v>344</v>
      </c>
      <c r="C14" s="15" t="s">
        <v>127</v>
      </c>
      <c r="D14" s="16" t="s">
        <v>128</v>
      </c>
      <c r="E14" s="17" t="s">
        <v>129</v>
      </c>
      <c r="F14" s="18" t="s">
        <v>51</v>
      </c>
      <c r="G14" s="19">
        <v>86617822</v>
      </c>
      <c r="H14" s="19">
        <v>86617822</v>
      </c>
      <c r="I14" s="19">
        <v>0</v>
      </c>
      <c r="J14" s="20">
        <v>0</v>
      </c>
      <c r="K14" s="19">
        <v>108000000</v>
      </c>
      <c r="L14" s="21">
        <v>0</v>
      </c>
      <c r="M14" s="19">
        <v>6664726</v>
      </c>
      <c r="N14" s="19">
        <v>0</v>
      </c>
      <c r="O14" s="19">
        <v>0</v>
      </c>
      <c r="P14" s="19">
        <v>52800</v>
      </c>
      <c r="Q14" s="19">
        <v>0</v>
      </c>
      <c r="R14" s="22"/>
      <c r="S14" s="19">
        <v>0</v>
      </c>
      <c r="T14" s="19">
        <v>52800</v>
      </c>
      <c r="U14" s="19">
        <v>0</v>
      </c>
      <c r="V14" s="3"/>
      <c r="W14" s="23">
        <v>0</v>
      </c>
      <c r="X14" s="24">
        <v>8512</v>
      </c>
      <c r="Y14" s="24" t="s">
        <v>52</v>
      </c>
    </row>
    <row r="15" spans="1:25" x14ac:dyDescent="0.25">
      <c r="A15" s="13">
        <v>10</v>
      </c>
      <c r="B15" s="14">
        <v>443</v>
      </c>
      <c r="C15" s="15" t="s">
        <v>175</v>
      </c>
      <c r="D15" s="16" t="s">
        <v>176</v>
      </c>
      <c r="E15" s="17" t="s">
        <v>177</v>
      </c>
      <c r="F15" s="18" t="s">
        <v>51</v>
      </c>
      <c r="G15" s="19">
        <v>78372538</v>
      </c>
      <c r="H15" s="19">
        <v>78372538</v>
      </c>
      <c r="I15" s="19">
        <v>0</v>
      </c>
      <c r="J15" s="20">
        <v>0</v>
      </c>
      <c r="K15" s="19">
        <v>108000000</v>
      </c>
      <c r="L15" s="21">
        <v>0</v>
      </c>
      <c r="M15" s="19">
        <v>6170827</v>
      </c>
      <c r="N15" s="19">
        <v>0</v>
      </c>
      <c r="O15" s="19">
        <v>0</v>
      </c>
      <c r="P15" s="19">
        <v>16156</v>
      </c>
      <c r="Q15" s="19">
        <v>0</v>
      </c>
      <c r="R15" s="22"/>
      <c r="S15" s="19">
        <v>0</v>
      </c>
      <c r="T15" s="19">
        <v>16156</v>
      </c>
      <c r="U15" s="19">
        <v>0</v>
      </c>
      <c r="V15" s="3"/>
      <c r="W15" s="23">
        <v>0</v>
      </c>
      <c r="X15" s="24">
        <v>8512</v>
      </c>
      <c r="Y15" s="24" t="s">
        <v>52</v>
      </c>
    </row>
    <row r="16" spans="1:25" x14ac:dyDescent="0.25">
      <c r="A16" s="13">
        <v>11</v>
      </c>
      <c r="B16" s="14">
        <v>444</v>
      </c>
      <c r="C16" s="15" t="s">
        <v>178</v>
      </c>
      <c r="D16" s="16" t="s">
        <v>179</v>
      </c>
      <c r="E16" s="17" t="s">
        <v>180</v>
      </c>
      <c r="F16" s="18" t="s">
        <v>51</v>
      </c>
      <c r="G16" s="19">
        <v>82457137</v>
      </c>
      <c r="H16" s="19">
        <v>82457137</v>
      </c>
      <c r="I16" s="19">
        <v>0</v>
      </c>
      <c r="J16" s="20">
        <v>0</v>
      </c>
      <c r="K16" s="19">
        <v>108000000</v>
      </c>
      <c r="L16" s="21">
        <v>0</v>
      </c>
      <c r="M16" s="19">
        <v>6620246</v>
      </c>
      <c r="N16" s="19">
        <v>0</v>
      </c>
      <c r="O16" s="19">
        <v>0</v>
      </c>
      <c r="P16" s="19">
        <v>17958</v>
      </c>
      <c r="Q16" s="19">
        <v>0</v>
      </c>
      <c r="R16" s="22"/>
      <c r="S16" s="19">
        <v>0</v>
      </c>
      <c r="T16" s="19">
        <v>17958</v>
      </c>
      <c r="U16" s="19">
        <v>0</v>
      </c>
      <c r="V16" s="3"/>
      <c r="W16" s="23">
        <v>0</v>
      </c>
      <c r="X16" s="24">
        <v>8512</v>
      </c>
      <c r="Y16" s="24" t="s">
        <v>52</v>
      </c>
    </row>
    <row r="17" spans="1:25" x14ac:dyDescent="0.25">
      <c r="A17" s="13">
        <v>12</v>
      </c>
      <c r="B17" s="14">
        <v>450</v>
      </c>
      <c r="C17" s="15" t="s">
        <v>181</v>
      </c>
      <c r="D17" s="16" t="s">
        <v>182</v>
      </c>
      <c r="E17" s="17" t="s">
        <v>183</v>
      </c>
      <c r="F17" s="18" t="s">
        <v>51</v>
      </c>
      <c r="G17" s="19">
        <v>83864834</v>
      </c>
      <c r="H17" s="19">
        <v>83864834</v>
      </c>
      <c r="I17" s="19">
        <v>0</v>
      </c>
      <c r="J17" s="20">
        <v>0</v>
      </c>
      <c r="K17" s="19">
        <v>108000000</v>
      </c>
      <c r="L17" s="21">
        <v>0</v>
      </c>
      <c r="M17" s="19">
        <v>6620246</v>
      </c>
      <c r="N17" s="19">
        <v>0</v>
      </c>
      <c r="O17" s="19">
        <v>0</v>
      </c>
      <c r="P17" s="19">
        <v>26005</v>
      </c>
      <c r="Q17" s="19">
        <v>0</v>
      </c>
      <c r="R17" s="22"/>
      <c r="S17" s="19">
        <v>0</v>
      </c>
      <c r="T17" s="19">
        <v>26005</v>
      </c>
      <c r="U17" s="19">
        <v>0</v>
      </c>
      <c r="V17" s="3"/>
      <c r="W17" s="23">
        <v>0</v>
      </c>
      <c r="X17" s="24">
        <v>8512</v>
      </c>
      <c r="Y17" s="24" t="s">
        <v>52</v>
      </c>
    </row>
    <row r="18" spans="1:25" x14ac:dyDescent="0.25">
      <c r="A18" s="13">
        <v>13</v>
      </c>
      <c r="B18" s="14">
        <v>453</v>
      </c>
      <c r="C18" s="15" t="s">
        <v>184</v>
      </c>
      <c r="D18" s="16" t="s">
        <v>185</v>
      </c>
      <c r="E18" s="17" t="s">
        <v>186</v>
      </c>
      <c r="F18" s="18" t="s">
        <v>51</v>
      </c>
      <c r="G18" s="19">
        <v>94088620</v>
      </c>
      <c r="H18" s="19">
        <v>94088620</v>
      </c>
      <c r="I18" s="19">
        <v>0</v>
      </c>
      <c r="J18" s="20">
        <v>0</v>
      </c>
      <c r="K18" s="19">
        <v>108000000</v>
      </c>
      <c r="L18" s="21">
        <v>0</v>
      </c>
      <c r="M18" s="19">
        <v>7024198</v>
      </c>
      <c r="N18" s="19">
        <v>0</v>
      </c>
      <c r="O18" s="19">
        <v>0</v>
      </c>
      <c r="P18" s="19">
        <v>68709</v>
      </c>
      <c r="Q18" s="19">
        <v>0</v>
      </c>
      <c r="R18" s="22"/>
      <c r="S18" s="19">
        <v>0</v>
      </c>
      <c r="T18" s="19">
        <v>68709</v>
      </c>
      <c r="U18" s="19">
        <v>0</v>
      </c>
      <c r="V18" s="3"/>
      <c r="W18" s="23">
        <v>0</v>
      </c>
      <c r="X18" s="24">
        <v>8512</v>
      </c>
      <c r="Y18" s="24" t="s">
        <v>52</v>
      </c>
    </row>
    <row r="19" spans="1:25" x14ac:dyDescent="0.25">
      <c r="A19" s="13">
        <v>14</v>
      </c>
      <c r="B19" s="14">
        <v>459</v>
      </c>
      <c r="C19" s="15" t="s">
        <v>187</v>
      </c>
      <c r="D19" s="16" t="s">
        <v>188</v>
      </c>
      <c r="E19" s="17" t="s">
        <v>189</v>
      </c>
      <c r="F19" s="18" t="s">
        <v>51</v>
      </c>
      <c r="G19" s="19">
        <v>84133278</v>
      </c>
      <c r="H19" s="19">
        <v>84133278</v>
      </c>
      <c r="I19" s="19">
        <v>0</v>
      </c>
      <c r="J19" s="20">
        <v>0</v>
      </c>
      <c r="K19" s="19">
        <v>108000000</v>
      </c>
      <c r="L19" s="21">
        <v>0</v>
      </c>
      <c r="M19" s="19">
        <v>6620246</v>
      </c>
      <c r="N19" s="19">
        <v>0</v>
      </c>
      <c r="O19" s="19">
        <v>0</v>
      </c>
      <c r="P19" s="19">
        <v>46246</v>
      </c>
      <c r="Q19" s="19">
        <v>0</v>
      </c>
      <c r="R19" s="22"/>
      <c r="S19" s="19">
        <v>0</v>
      </c>
      <c r="T19" s="19">
        <v>46246</v>
      </c>
      <c r="U19" s="19">
        <v>0</v>
      </c>
      <c r="V19" s="3"/>
      <c r="W19" s="23">
        <v>0</v>
      </c>
      <c r="X19" s="24">
        <v>8512</v>
      </c>
      <c r="Y19" s="24" t="s">
        <v>52</v>
      </c>
    </row>
    <row r="20" spans="1:25" x14ac:dyDescent="0.25">
      <c r="A20" s="13">
        <v>15</v>
      </c>
      <c r="B20" s="14">
        <v>480</v>
      </c>
      <c r="C20" s="15" t="s">
        <v>193</v>
      </c>
      <c r="D20" s="16" t="s">
        <v>194</v>
      </c>
      <c r="E20" s="17" t="s">
        <v>195</v>
      </c>
      <c r="F20" s="18" t="s">
        <v>51</v>
      </c>
      <c r="G20" s="19">
        <v>68950845</v>
      </c>
      <c r="H20" s="19">
        <v>68950845</v>
      </c>
      <c r="I20" s="19">
        <v>0</v>
      </c>
      <c r="J20" s="20">
        <v>0</v>
      </c>
      <c r="K20" s="19">
        <v>108000000</v>
      </c>
      <c r="L20" s="21">
        <v>0</v>
      </c>
      <c r="M20" s="19">
        <v>6030023</v>
      </c>
      <c r="N20" s="19">
        <v>0</v>
      </c>
      <c r="O20" s="19">
        <v>0</v>
      </c>
      <c r="P20" s="19">
        <v>11655</v>
      </c>
      <c r="Q20" s="19">
        <v>0</v>
      </c>
      <c r="R20" s="22"/>
      <c r="S20" s="19">
        <v>0</v>
      </c>
      <c r="T20" s="19">
        <v>11655</v>
      </c>
      <c r="U20" s="19">
        <v>0</v>
      </c>
      <c r="V20" s="3"/>
      <c r="W20" s="23">
        <v>0</v>
      </c>
      <c r="X20" s="24">
        <v>8512</v>
      </c>
      <c r="Y20" s="24" t="s">
        <v>52</v>
      </c>
    </row>
    <row r="21" spans="1:25" x14ac:dyDescent="0.25">
      <c r="A21" s="13">
        <v>16</v>
      </c>
      <c r="B21" s="14">
        <v>481</v>
      </c>
      <c r="C21" s="15" t="s">
        <v>196</v>
      </c>
      <c r="D21" s="16" t="s">
        <v>197</v>
      </c>
      <c r="E21" s="17" t="s">
        <v>198</v>
      </c>
      <c r="F21" s="18" t="s">
        <v>51</v>
      </c>
      <c r="G21" s="19">
        <v>79202578</v>
      </c>
      <c r="H21" s="19">
        <v>79202578</v>
      </c>
      <c r="I21" s="19">
        <v>0</v>
      </c>
      <c r="J21" s="20">
        <v>0</v>
      </c>
      <c r="K21" s="19">
        <v>108000000</v>
      </c>
      <c r="L21" s="21">
        <v>0</v>
      </c>
      <c r="M21" s="19">
        <v>6236650</v>
      </c>
      <c r="N21" s="19">
        <v>0</v>
      </c>
      <c r="O21" s="19">
        <v>0</v>
      </c>
      <c r="P21" s="19">
        <v>32294</v>
      </c>
      <c r="Q21" s="19">
        <v>0</v>
      </c>
      <c r="R21" s="22"/>
      <c r="S21" s="19">
        <v>0</v>
      </c>
      <c r="T21" s="19">
        <v>32294</v>
      </c>
      <c r="U21" s="19">
        <v>0</v>
      </c>
      <c r="V21" s="3"/>
      <c r="W21" s="23">
        <v>0</v>
      </c>
      <c r="X21" s="24">
        <v>8512</v>
      </c>
      <c r="Y21" s="24" t="s">
        <v>52</v>
      </c>
    </row>
    <row r="22" spans="1:25" x14ac:dyDescent="0.25">
      <c r="A22" s="13">
        <v>17</v>
      </c>
      <c r="B22" s="14">
        <v>497</v>
      </c>
      <c r="C22" s="15" t="s">
        <v>205</v>
      </c>
      <c r="D22" s="16" t="s">
        <v>206</v>
      </c>
      <c r="E22" s="17" t="s">
        <v>207</v>
      </c>
      <c r="F22" s="18" t="s">
        <v>51</v>
      </c>
      <c r="G22" s="19">
        <v>81725668</v>
      </c>
      <c r="H22" s="19">
        <v>81725668</v>
      </c>
      <c r="I22" s="19">
        <v>0</v>
      </c>
      <c r="J22" s="20">
        <v>0</v>
      </c>
      <c r="K22" s="19">
        <v>108000000</v>
      </c>
      <c r="L22" s="21">
        <v>0</v>
      </c>
      <c r="M22" s="19">
        <v>6664726</v>
      </c>
      <c r="N22" s="19">
        <v>0</v>
      </c>
      <c r="O22" s="19">
        <v>0</v>
      </c>
      <c r="P22" s="19">
        <v>23332</v>
      </c>
      <c r="Q22" s="19">
        <v>0</v>
      </c>
      <c r="R22" s="22"/>
      <c r="S22" s="19">
        <v>0</v>
      </c>
      <c r="T22" s="19">
        <v>23332</v>
      </c>
      <c r="U22" s="19">
        <v>0</v>
      </c>
      <c r="V22" s="3"/>
      <c r="W22" s="23">
        <v>0</v>
      </c>
      <c r="X22" s="24">
        <v>8512</v>
      </c>
      <c r="Y22" s="24" t="s">
        <v>52</v>
      </c>
    </row>
    <row r="23" spans="1:25" x14ac:dyDescent="0.25">
      <c r="A23" s="13">
        <v>18</v>
      </c>
      <c r="B23" s="14">
        <v>504</v>
      </c>
      <c r="C23" s="15" t="s">
        <v>208</v>
      </c>
      <c r="D23" s="16" t="s">
        <v>209</v>
      </c>
      <c r="E23" s="17" t="s">
        <v>210</v>
      </c>
      <c r="F23" s="18" t="s">
        <v>51</v>
      </c>
      <c r="G23" s="19">
        <v>86862143</v>
      </c>
      <c r="H23" s="19">
        <v>86862143</v>
      </c>
      <c r="I23" s="19">
        <v>0</v>
      </c>
      <c r="J23" s="20">
        <v>0</v>
      </c>
      <c r="K23" s="19">
        <v>108000000</v>
      </c>
      <c r="L23" s="21">
        <v>0</v>
      </c>
      <c r="M23" s="19">
        <v>6575771</v>
      </c>
      <c r="N23" s="19">
        <v>0</v>
      </c>
      <c r="O23" s="19">
        <v>0</v>
      </c>
      <c r="P23" s="19">
        <v>35326</v>
      </c>
      <c r="Q23" s="19">
        <v>0</v>
      </c>
      <c r="R23" s="22"/>
      <c r="S23" s="19">
        <v>0</v>
      </c>
      <c r="T23" s="19">
        <v>35326</v>
      </c>
      <c r="U23" s="19">
        <v>0</v>
      </c>
      <c r="V23" s="3"/>
      <c r="W23" s="23">
        <v>0</v>
      </c>
      <c r="X23" s="24">
        <v>8512</v>
      </c>
      <c r="Y23" s="24" t="s">
        <v>52</v>
      </c>
    </row>
    <row r="24" spans="1:25" x14ac:dyDescent="0.25">
      <c r="A24" s="13">
        <v>19</v>
      </c>
      <c r="B24" s="14">
        <v>537</v>
      </c>
      <c r="C24" s="15" t="s">
        <v>245</v>
      </c>
      <c r="D24" s="16" t="s">
        <v>246</v>
      </c>
      <c r="E24" s="17" t="s">
        <v>247</v>
      </c>
      <c r="F24" s="18" t="s">
        <v>51</v>
      </c>
      <c r="G24" s="19">
        <v>78611190</v>
      </c>
      <c r="H24" s="19">
        <v>78611190</v>
      </c>
      <c r="I24" s="19">
        <v>0</v>
      </c>
      <c r="J24" s="20">
        <v>0</v>
      </c>
      <c r="K24" s="19">
        <v>108000000</v>
      </c>
      <c r="L24" s="21">
        <v>0</v>
      </c>
      <c r="M24" s="19">
        <v>6124355</v>
      </c>
      <c r="N24" s="19">
        <v>0</v>
      </c>
      <c r="O24" s="19">
        <v>0</v>
      </c>
      <c r="P24" s="19">
        <v>41779</v>
      </c>
      <c r="Q24" s="19">
        <v>0</v>
      </c>
      <c r="R24" s="22"/>
      <c r="S24" s="19">
        <v>0</v>
      </c>
      <c r="T24" s="19">
        <v>41779</v>
      </c>
      <c r="U24" s="19">
        <v>0</v>
      </c>
      <c r="V24" s="3"/>
      <c r="W24" s="23">
        <v>0</v>
      </c>
      <c r="X24" s="24">
        <v>8512</v>
      </c>
      <c r="Y24" s="24" t="s">
        <v>52</v>
      </c>
    </row>
    <row r="25" spans="1:25" x14ac:dyDescent="0.25">
      <c r="A25" s="13">
        <v>20</v>
      </c>
      <c r="B25" s="14">
        <v>539</v>
      </c>
      <c r="C25" s="15" t="s">
        <v>248</v>
      </c>
      <c r="D25" s="16" t="s">
        <v>249</v>
      </c>
      <c r="E25" s="17" t="s">
        <v>250</v>
      </c>
      <c r="F25" s="18" t="s">
        <v>51</v>
      </c>
      <c r="G25" s="19">
        <v>78560729</v>
      </c>
      <c r="H25" s="19">
        <v>78560729</v>
      </c>
      <c r="I25" s="19">
        <v>0</v>
      </c>
      <c r="J25" s="20">
        <v>0</v>
      </c>
      <c r="K25" s="19">
        <v>108000000</v>
      </c>
      <c r="L25" s="21">
        <v>0</v>
      </c>
      <c r="M25" s="19">
        <v>6154871</v>
      </c>
      <c r="N25" s="19">
        <v>0</v>
      </c>
      <c r="O25" s="19">
        <v>0</v>
      </c>
      <c r="P25" s="19">
        <v>33016</v>
      </c>
      <c r="Q25" s="19">
        <v>0</v>
      </c>
      <c r="R25" s="22"/>
      <c r="S25" s="19">
        <v>0</v>
      </c>
      <c r="T25" s="19">
        <v>33016</v>
      </c>
      <c r="U25" s="19">
        <v>0</v>
      </c>
      <c r="V25" s="3"/>
      <c r="W25" s="23">
        <v>0</v>
      </c>
      <c r="X25" s="24">
        <v>8512</v>
      </c>
      <c r="Y25" s="24" t="s">
        <v>52</v>
      </c>
    </row>
    <row r="26" spans="1:25" x14ac:dyDescent="0.25">
      <c r="A26" s="13">
        <v>21</v>
      </c>
      <c r="B26" s="14">
        <v>541</v>
      </c>
      <c r="C26" s="15" t="s">
        <v>251</v>
      </c>
      <c r="D26" s="16" t="s">
        <v>252</v>
      </c>
      <c r="E26" s="17" t="s">
        <v>253</v>
      </c>
      <c r="F26" s="18" t="s">
        <v>51</v>
      </c>
      <c r="G26" s="19">
        <v>81809334</v>
      </c>
      <c r="H26" s="19">
        <v>81809334</v>
      </c>
      <c r="I26" s="19">
        <v>0</v>
      </c>
      <c r="J26" s="20">
        <v>0</v>
      </c>
      <c r="K26" s="19">
        <v>108000000</v>
      </c>
      <c r="L26" s="21">
        <v>0</v>
      </c>
      <c r="M26" s="19">
        <v>6575771</v>
      </c>
      <c r="N26" s="19">
        <v>0</v>
      </c>
      <c r="O26" s="19">
        <v>0</v>
      </c>
      <c r="P26" s="19">
        <v>18568</v>
      </c>
      <c r="Q26" s="19">
        <v>0</v>
      </c>
      <c r="R26" s="22"/>
      <c r="S26" s="19">
        <v>0</v>
      </c>
      <c r="T26" s="19">
        <v>18568</v>
      </c>
      <c r="U26" s="19">
        <v>0</v>
      </c>
      <c r="V26" s="3"/>
      <c r="W26" s="23">
        <v>0</v>
      </c>
      <c r="X26" s="24">
        <v>8512</v>
      </c>
      <c r="Y26" s="24" t="s">
        <v>52</v>
      </c>
    </row>
    <row r="27" spans="1:25" x14ac:dyDescent="0.25">
      <c r="A27" s="13">
        <v>22</v>
      </c>
      <c r="B27" s="14">
        <v>542</v>
      </c>
      <c r="C27" s="15" t="s">
        <v>254</v>
      </c>
      <c r="D27" s="16" t="s">
        <v>255</v>
      </c>
      <c r="E27" s="17" t="s">
        <v>256</v>
      </c>
      <c r="F27" s="18" t="s">
        <v>51</v>
      </c>
      <c r="G27" s="19">
        <v>80598739</v>
      </c>
      <c r="H27" s="19">
        <v>80598739</v>
      </c>
      <c r="I27" s="19">
        <v>0</v>
      </c>
      <c r="J27" s="20">
        <v>0</v>
      </c>
      <c r="K27" s="19">
        <v>108000000</v>
      </c>
      <c r="L27" s="21">
        <v>0</v>
      </c>
      <c r="M27" s="19">
        <v>6575771</v>
      </c>
      <c r="N27" s="19">
        <v>0</v>
      </c>
      <c r="O27" s="19">
        <v>0</v>
      </c>
      <c r="P27" s="19">
        <v>19304</v>
      </c>
      <c r="Q27" s="19">
        <v>0</v>
      </c>
      <c r="R27" s="22"/>
      <c r="S27" s="19">
        <v>0</v>
      </c>
      <c r="T27" s="19">
        <v>19304</v>
      </c>
      <c r="U27" s="19">
        <v>0</v>
      </c>
      <c r="V27" s="3"/>
      <c r="W27" s="23">
        <v>0</v>
      </c>
      <c r="X27" s="24">
        <v>8512</v>
      </c>
      <c r="Y27" s="24" t="s">
        <v>52</v>
      </c>
    </row>
    <row r="28" spans="1:25" x14ac:dyDescent="0.25">
      <c r="A28" s="13">
        <v>23</v>
      </c>
      <c r="B28" s="14">
        <v>607</v>
      </c>
      <c r="C28" s="15" t="s">
        <v>278</v>
      </c>
      <c r="D28" s="16" t="s">
        <v>279</v>
      </c>
      <c r="E28" s="17" t="s">
        <v>280</v>
      </c>
      <c r="F28" s="18" t="s">
        <v>51</v>
      </c>
      <c r="G28" s="19">
        <v>83806782</v>
      </c>
      <c r="H28" s="19">
        <v>83806782</v>
      </c>
      <c r="I28" s="19">
        <v>0</v>
      </c>
      <c r="J28" s="20">
        <v>0</v>
      </c>
      <c r="K28" s="19">
        <v>108000000</v>
      </c>
      <c r="L28" s="21">
        <v>0</v>
      </c>
      <c r="M28" s="19">
        <v>6170827</v>
      </c>
      <c r="N28" s="19">
        <v>0</v>
      </c>
      <c r="O28" s="19">
        <v>0</v>
      </c>
      <c r="P28" s="19">
        <v>32811</v>
      </c>
      <c r="Q28" s="19">
        <v>0</v>
      </c>
      <c r="R28" s="22"/>
      <c r="S28" s="19">
        <v>0</v>
      </c>
      <c r="T28" s="19">
        <v>32811</v>
      </c>
      <c r="U28" s="19">
        <v>0</v>
      </c>
      <c r="V28" s="3"/>
      <c r="W28" s="23">
        <v>0</v>
      </c>
      <c r="X28" s="24">
        <v>8512</v>
      </c>
      <c r="Y28" s="24" t="s">
        <v>52</v>
      </c>
    </row>
    <row r="29" spans="1:25" x14ac:dyDescent="0.25">
      <c r="A29" s="13">
        <v>24</v>
      </c>
      <c r="B29" s="14">
        <v>614</v>
      </c>
      <c r="C29" s="15" t="s">
        <v>281</v>
      </c>
      <c r="D29" s="16" t="s">
        <v>282</v>
      </c>
      <c r="E29" s="17" t="s">
        <v>283</v>
      </c>
      <c r="F29" s="18" t="s">
        <v>51</v>
      </c>
      <c r="G29" s="19">
        <v>86772641</v>
      </c>
      <c r="H29" s="19">
        <v>86772641</v>
      </c>
      <c r="I29" s="19">
        <v>0</v>
      </c>
      <c r="J29" s="20">
        <v>0</v>
      </c>
      <c r="K29" s="19">
        <v>108000000</v>
      </c>
      <c r="L29" s="21">
        <v>0</v>
      </c>
      <c r="M29" s="19">
        <v>6267652</v>
      </c>
      <c r="N29" s="19">
        <v>0</v>
      </c>
      <c r="O29" s="19">
        <v>0</v>
      </c>
      <c r="P29" s="19">
        <v>58369</v>
      </c>
      <c r="Q29" s="19">
        <v>0</v>
      </c>
      <c r="R29" s="22"/>
      <c r="S29" s="19">
        <v>0</v>
      </c>
      <c r="T29" s="19">
        <v>58369</v>
      </c>
      <c r="U29" s="19">
        <v>0</v>
      </c>
      <c r="V29" s="3"/>
      <c r="W29" s="23">
        <v>0</v>
      </c>
      <c r="X29" s="24">
        <v>8512</v>
      </c>
      <c r="Y29" s="24" t="s">
        <v>52</v>
      </c>
    </row>
    <row r="30" spans="1:25" x14ac:dyDescent="0.25">
      <c r="A30" s="13">
        <v>25</v>
      </c>
      <c r="B30" s="14">
        <v>647</v>
      </c>
      <c r="C30" s="15" t="s">
        <v>287</v>
      </c>
      <c r="D30" s="16" t="s">
        <v>288</v>
      </c>
      <c r="E30" s="17" t="s">
        <v>289</v>
      </c>
      <c r="F30" s="18" t="s">
        <v>51</v>
      </c>
      <c r="G30" s="19">
        <v>76956748</v>
      </c>
      <c r="H30" s="19">
        <v>76956748</v>
      </c>
      <c r="I30" s="19">
        <v>0</v>
      </c>
      <c r="J30" s="20">
        <v>0</v>
      </c>
      <c r="K30" s="19">
        <v>108000000</v>
      </c>
      <c r="L30" s="21">
        <v>0</v>
      </c>
      <c r="M30" s="19">
        <v>6090288</v>
      </c>
      <c r="N30" s="19">
        <v>0</v>
      </c>
      <c r="O30" s="19">
        <v>0</v>
      </c>
      <c r="P30" s="19">
        <v>12119</v>
      </c>
      <c r="Q30" s="19">
        <v>0</v>
      </c>
      <c r="R30" s="22"/>
      <c r="S30" s="19">
        <v>0</v>
      </c>
      <c r="T30" s="19">
        <v>12119</v>
      </c>
      <c r="U30" s="19">
        <v>0</v>
      </c>
      <c r="V30" s="3"/>
      <c r="W30" s="23">
        <v>0</v>
      </c>
      <c r="X30" s="24">
        <v>8512</v>
      </c>
      <c r="Y30" s="24" t="s">
        <v>52</v>
      </c>
    </row>
    <row r="31" spans="1:25" x14ac:dyDescent="0.25">
      <c r="A31" s="13">
        <v>26</v>
      </c>
      <c r="B31" s="14">
        <v>657</v>
      </c>
      <c r="C31" s="15" t="s">
        <v>293</v>
      </c>
      <c r="D31" s="16" t="s">
        <v>294</v>
      </c>
      <c r="E31" s="17" t="s">
        <v>295</v>
      </c>
      <c r="F31" s="18" t="s">
        <v>51</v>
      </c>
      <c r="G31" s="19">
        <v>77089162</v>
      </c>
      <c r="H31" s="19">
        <v>77089162</v>
      </c>
      <c r="I31" s="19">
        <v>0</v>
      </c>
      <c r="J31" s="20">
        <v>0</v>
      </c>
      <c r="K31" s="19">
        <v>108000000</v>
      </c>
      <c r="L31" s="21">
        <v>0</v>
      </c>
      <c r="M31" s="19">
        <v>6140215</v>
      </c>
      <c r="N31" s="19">
        <v>0</v>
      </c>
      <c r="O31" s="19">
        <v>0</v>
      </c>
      <c r="P31" s="19">
        <v>14745</v>
      </c>
      <c r="Q31" s="19">
        <v>0</v>
      </c>
      <c r="R31" s="22"/>
      <c r="S31" s="19">
        <v>0</v>
      </c>
      <c r="T31" s="19">
        <v>14745</v>
      </c>
      <c r="U31" s="19">
        <v>0</v>
      </c>
      <c r="V31" s="3"/>
      <c r="W31" s="23">
        <v>0</v>
      </c>
      <c r="X31" s="24">
        <v>8512</v>
      </c>
      <c r="Y31" s="24" t="s">
        <v>52</v>
      </c>
    </row>
    <row r="32" spans="1:25" x14ac:dyDescent="0.25">
      <c r="A32" s="13">
        <v>27</v>
      </c>
      <c r="B32" s="14">
        <v>662</v>
      </c>
      <c r="C32" s="15" t="s">
        <v>296</v>
      </c>
      <c r="D32" s="16" t="s">
        <v>297</v>
      </c>
      <c r="E32" s="17" t="s">
        <v>298</v>
      </c>
      <c r="F32" s="18" t="s">
        <v>51</v>
      </c>
      <c r="G32" s="19">
        <v>73709263</v>
      </c>
      <c r="H32" s="19">
        <v>73709263</v>
      </c>
      <c r="I32" s="19">
        <v>0</v>
      </c>
      <c r="J32" s="20">
        <v>0</v>
      </c>
      <c r="K32" s="19">
        <v>108000000</v>
      </c>
      <c r="L32" s="21">
        <v>0</v>
      </c>
      <c r="M32" s="19">
        <v>6090288</v>
      </c>
      <c r="N32" s="19">
        <v>0</v>
      </c>
      <c r="O32" s="19">
        <v>0</v>
      </c>
      <c r="P32" s="19">
        <v>17507</v>
      </c>
      <c r="Q32" s="19">
        <v>0</v>
      </c>
      <c r="R32" s="22"/>
      <c r="S32" s="19">
        <v>0</v>
      </c>
      <c r="T32" s="19">
        <v>17507</v>
      </c>
      <c r="U32" s="19">
        <v>0</v>
      </c>
      <c r="V32" s="3"/>
      <c r="W32" s="23">
        <v>0</v>
      </c>
      <c r="X32" s="24">
        <v>8512</v>
      </c>
      <c r="Y32" s="24" t="s">
        <v>52</v>
      </c>
    </row>
    <row r="33" spans="1:25" x14ac:dyDescent="0.25">
      <c r="A33" s="13">
        <v>28</v>
      </c>
      <c r="B33" s="14">
        <v>766</v>
      </c>
      <c r="C33" s="15" t="s">
        <v>326</v>
      </c>
      <c r="D33" s="16" t="s">
        <v>327</v>
      </c>
      <c r="E33" s="17" t="s">
        <v>328</v>
      </c>
      <c r="F33" s="18" t="s">
        <v>51</v>
      </c>
      <c r="G33" s="19">
        <v>82819277</v>
      </c>
      <c r="H33" s="19">
        <v>82819277</v>
      </c>
      <c r="I33" s="19">
        <v>0</v>
      </c>
      <c r="J33" s="20">
        <v>0</v>
      </c>
      <c r="K33" s="19">
        <v>108000000</v>
      </c>
      <c r="L33" s="21">
        <v>0</v>
      </c>
      <c r="M33" s="19">
        <v>6282458</v>
      </c>
      <c r="N33" s="19">
        <v>0</v>
      </c>
      <c r="O33" s="19">
        <v>0</v>
      </c>
      <c r="P33" s="19">
        <v>45115</v>
      </c>
      <c r="Q33" s="19">
        <v>0</v>
      </c>
      <c r="R33" s="22"/>
      <c r="S33" s="19">
        <v>0</v>
      </c>
      <c r="T33" s="19">
        <v>45115</v>
      </c>
      <c r="U33" s="19">
        <v>0</v>
      </c>
      <c r="V33" s="3"/>
      <c r="W33" s="23">
        <v>0</v>
      </c>
      <c r="X33" s="24">
        <v>8512</v>
      </c>
      <c r="Y33" s="24" t="s">
        <v>52</v>
      </c>
    </row>
    <row r="34" spans="1:25" x14ac:dyDescent="0.25">
      <c r="A34" s="13">
        <v>29</v>
      </c>
      <c r="B34" s="14">
        <v>771</v>
      </c>
      <c r="C34" s="15" t="s">
        <v>329</v>
      </c>
      <c r="D34" s="16" t="s">
        <v>330</v>
      </c>
      <c r="E34" s="17" t="s">
        <v>331</v>
      </c>
      <c r="F34" s="18" t="s">
        <v>51</v>
      </c>
      <c r="G34" s="19">
        <v>76210624</v>
      </c>
      <c r="H34" s="19">
        <v>76210624</v>
      </c>
      <c r="I34" s="19">
        <v>0</v>
      </c>
      <c r="J34" s="20">
        <v>0</v>
      </c>
      <c r="K34" s="19">
        <v>108000000</v>
      </c>
      <c r="L34" s="21">
        <v>0</v>
      </c>
      <c r="M34" s="19">
        <v>6060154</v>
      </c>
      <c r="N34" s="19">
        <v>0</v>
      </c>
      <c r="O34" s="19">
        <v>0</v>
      </c>
      <c r="P34" s="19">
        <v>23315</v>
      </c>
      <c r="Q34" s="19">
        <v>0</v>
      </c>
      <c r="R34" s="22"/>
      <c r="S34" s="19">
        <v>0</v>
      </c>
      <c r="T34" s="19">
        <v>23315</v>
      </c>
      <c r="U34" s="19">
        <v>0</v>
      </c>
      <c r="V34" s="3"/>
      <c r="W34" s="23">
        <v>0</v>
      </c>
      <c r="X34" s="24">
        <v>8512</v>
      </c>
      <c r="Y34" s="24" t="s">
        <v>52</v>
      </c>
    </row>
    <row r="35" spans="1:25" x14ac:dyDescent="0.25">
      <c r="A35" s="13">
        <v>30</v>
      </c>
      <c r="B35" s="14">
        <v>772</v>
      </c>
      <c r="C35" s="15" t="s">
        <v>332</v>
      </c>
      <c r="D35" s="16" t="s">
        <v>333</v>
      </c>
      <c r="E35" s="17" t="s">
        <v>334</v>
      </c>
      <c r="F35" s="18" t="s">
        <v>51</v>
      </c>
      <c r="G35" s="19">
        <v>78429651</v>
      </c>
      <c r="H35" s="19">
        <v>78429651</v>
      </c>
      <c r="I35" s="19">
        <v>0</v>
      </c>
      <c r="J35" s="20">
        <v>0</v>
      </c>
      <c r="K35" s="19">
        <v>108000000</v>
      </c>
      <c r="L35" s="21">
        <v>0</v>
      </c>
      <c r="M35" s="19">
        <v>6090288</v>
      </c>
      <c r="N35" s="19">
        <v>0</v>
      </c>
      <c r="O35" s="19">
        <v>0</v>
      </c>
      <c r="P35" s="19">
        <v>29401</v>
      </c>
      <c r="Q35" s="19">
        <v>0</v>
      </c>
      <c r="R35" s="22"/>
      <c r="S35" s="19">
        <v>0</v>
      </c>
      <c r="T35" s="19">
        <v>29401</v>
      </c>
      <c r="U35" s="19">
        <v>0</v>
      </c>
      <c r="V35" s="3"/>
      <c r="W35" s="23">
        <v>0</v>
      </c>
      <c r="X35" s="24">
        <v>8512</v>
      </c>
      <c r="Y35" s="24" t="s">
        <v>52</v>
      </c>
    </row>
    <row r="36" spans="1:25" x14ac:dyDescent="0.25">
      <c r="A36" s="13">
        <v>31</v>
      </c>
      <c r="B36" s="14">
        <v>774</v>
      </c>
      <c r="C36" s="15" t="s">
        <v>335</v>
      </c>
      <c r="D36" s="16" t="s">
        <v>336</v>
      </c>
      <c r="E36" s="17" t="s">
        <v>337</v>
      </c>
      <c r="F36" s="18" t="s">
        <v>51</v>
      </c>
      <c r="G36" s="19">
        <v>82881987</v>
      </c>
      <c r="H36" s="19">
        <v>82881987</v>
      </c>
      <c r="I36" s="19">
        <v>0</v>
      </c>
      <c r="J36" s="20">
        <v>0</v>
      </c>
      <c r="K36" s="19">
        <v>108000000</v>
      </c>
      <c r="L36" s="21">
        <v>0</v>
      </c>
      <c r="M36" s="19">
        <v>6251366</v>
      </c>
      <c r="N36" s="19">
        <v>0</v>
      </c>
      <c r="O36" s="19">
        <v>0</v>
      </c>
      <c r="P36" s="19">
        <v>47155</v>
      </c>
      <c r="Q36" s="19">
        <v>0</v>
      </c>
      <c r="R36" s="22"/>
      <c r="S36" s="19">
        <v>0</v>
      </c>
      <c r="T36" s="19">
        <v>47155</v>
      </c>
      <c r="U36" s="19">
        <v>0</v>
      </c>
      <c r="V36" s="3"/>
      <c r="W36" s="23">
        <v>0</v>
      </c>
      <c r="X36" s="24">
        <v>8512</v>
      </c>
      <c r="Y36" s="24" t="s">
        <v>52</v>
      </c>
    </row>
    <row r="37" spans="1:25" x14ac:dyDescent="0.25">
      <c r="A37" s="13">
        <v>32</v>
      </c>
      <c r="B37" s="14">
        <v>777</v>
      </c>
      <c r="C37" s="15" t="s">
        <v>338</v>
      </c>
      <c r="D37" s="16" t="s">
        <v>339</v>
      </c>
      <c r="E37" s="17" t="s">
        <v>340</v>
      </c>
      <c r="F37" s="18" t="s">
        <v>51</v>
      </c>
      <c r="G37" s="19">
        <v>80427992</v>
      </c>
      <c r="H37" s="19">
        <v>80427992</v>
      </c>
      <c r="I37" s="19">
        <v>0</v>
      </c>
      <c r="J37" s="20">
        <v>0</v>
      </c>
      <c r="K37" s="19">
        <v>108000000</v>
      </c>
      <c r="L37" s="21">
        <v>0</v>
      </c>
      <c r="M37" s="19">
        <v>6170827</v>
      </c>
      <c r="N37" s="19">
        <v>0</v>
      </c>
      <c r="O37" s="19">
        <v>0</v>
      </c>
      <c r="P37" s="19">
        <v>36451</v>
      </c>
      <c r="Q37" s="19">
        <v>0</v>
      </c>
      <c r="R37" s="22"/>
      <c r="S37" s="19">
        <v>0</v>
      </c>
      <c r="T37" s="19">
        <v>36451</v>
      </c>
      <c r="U37" s="19">
        <v>0</v>
      </c>
      <c r="V37" s="3"/>
      <c r="W37" s="23">
        <v>0</v>
      </c>
      <c r="X37" s="24">
        <v>8512</v>
      </c>
      <c r="Y37" s="24" t="s">
        <v>52</v>
      </c>
    </row>
    <row r="38" spans="1:25" x14ac:dyDescent="0.25">
      <c r="A38" s="13">
        <v>33</v>
      </c>
      <c r="B38" s="14">
        <v>778</v>
      </c>
      <c r="C38" s="15" t="s">
        <v>341</v>
      </c>
      <c r="D38" s="16" t="s">
        <v>342</v>
      </c>
      <c r="E38" s="17" t="s">
        <v>343</v>
      </c>
      <c r="F38" s="18" t="s">
        <v>51</v>
      </c>
      <c r="G38" s="19">
        <v>79650307</v>
      </c>
      <c r="H38" s="19">
        <v>79650307</v>
      </c>
      <c r="I38" s="19">
        <v>0</v>
      </c>
      <c r="J38" s="20">
        <v>0</v>
      </c>
      <c r="K38" s="19">
        <v>108000000</v>
      </c>
      <c r="L38" s="21">
        <v>0</v>
      </c>
      <c r="M38" s="19">
        <v>6120419</v>
      </c>
      <c r="N38" s="19">
        <v>0</v>
      </c>
      <c r="O38" s="19">
        <v>0</v>
      </c>
      <c r="P38" s="19">
        <v>35394</v>
      </c>
      <c r="Q38" s="19">
        <v>0</v>
      </c>
      <c r="R38" s="22"/>
      <c r="S38" s="19">
        <v>0</v>
      </c>
      <c r="T38" s="19">
        <v>35394</v>
      </c>
      <c r="U38" s="19">
        <v>0</v>
      </c>
      <c r="V38" s="3"/>
      <c r="W38" s="23">
        <v>0</v>
      </c>
      <c r="X38" s="24">
        <v>8512</v>
      </c>
      <c r="Y38" s="24" t="s">
        <v>52</v>
      </c>
    </row>
    <row r="39" spans="1:25" x14ac:dyDescent="0.25">
      <c r="A39" s="13">
        <v>34</v>
      </c>
      <c r="B39" s="14">
        <v>790</v>
      </c>
      <c r="C39" s="15" t="s">
        <v>344</v>
      </c>
      <c r="D39" s="16" t="s">
        <v>345</v>
      </c>
      <c r="E39" s="17" t="s">
        <v>346</v>
      </c>
      <c r="F39" s="18" t="s">
        <v>51</v>
      </c>
      <c r="G39" s="19">
        <v>75070996</v>
      </c>
      <c r="H39" s="19">
        <v>75070996</v>
      </c>
      <c r="I39" s="19">
        <v>0</v>
      </c>
      <c r="J39" s="20">
        <v>0</v>
      </c>
      <c r="K39" s="19">
        <v>108000000</v>
      </c>
      <c r="L39" s="21">
        <v>0</v>
      </c>
      <c r="M39" s="19">
        <v>6140215</v>
      </c>
      <c r="N39" s="19">
        <v>0</v>
      </c>
      <c r="O39" s="19">
        <v>0</v>
      </c>
      <c r="P39" s="19">
        <v>17467</v>
      </c>
      <c r="Q39" s="19">
        <v>0</v>
      </c>
      <c r="R39" s="22"/>
      <c r="S39" s="19">
        <v>0</v>
      </c>
      <c r="T39" s="19">
        <v>17467</v>
      </c>
      <c r="U39" s="19">
        <v>0</v>
      </c>
      <c r="V39" s="3"/>
      <c r="W39" s="23">
        <v>0</v>
      </c>
      <c r="X39" s="24">
        <v>8512</v>
      </c>
      <c r="Y39" s="24" t="s">
        <v>52</v>
      </c>
    </row>
    <row r="40" spans="1:25" x14ac:dyDescent="0.25">
      <c r="A40" s="13">
        <v>35</v>
      </c>
      <c r="B40" s="14">
        <v>869</v>
      </c>
      <c r="C40" s="15" t="s">
        <v>356</v>
      </c>
      <c r="D40" s="16" t="s">
        <v>357</v>
      </c>
      <c r="E40" s="17" t="s">
        <v>358</v>
      </c>
      <c r="F40" s="18" t="s">
        <v>51</v>
      </c>
      <c r="G40" s="19">
        <v>71807731</v>
      </c>
      <c r="H40" s="19">
        <v>71807731</v>
      </c>
      <c r="I40" s="19">
        <v>0</v>
      </c>
      <c r="J40" s="20">
        <v>0</v>
      </c>
      <c r="K40" s="19">
        <v>108000000</v>
      </c>
      <c r="L40" s="21">
        <v>0</v>
      </c>
      <c r="M40" s="19">
        <v>6062966</v>
      </c>
      <c r="N40" s="19">
        <v>0</v>
      </c>
      <c r="O40" s="19">
        <v>0</v>
      </c>
      <c r="P40" s="19">
        <v>10830</v>
      </c>
      <c r="Q40" s="19">
        <v>0</v>
      </c>
      <c r="R40" s="22"/>
      <c r="S40" s="19">
        <v>0</v>
      </c>
      <c r="T40" s="19">
        <v>10830</v>
      </c>
      <c r="U40" s="19">
        <v>0</v>
      </c>
      <c r="V40" s="3"/>
      <c r="W40" s="23">
        <v>0</v>
      </c>
      <c r="X40" s="24">
        <v>8512</v>
      </c>
      <c r="Y40" s="24" t="s">
        <v>52</v>
      </c>
    </row>
    <row r="41" spans="1:25" x14ac:dyDescent="0.25">
      <c r="A41" s="13">
        <v>36</v>
      </c>
      <c r="B41" s="14">
        <v>874</v>
      </c>
      <c r="C41" s="15" t="s">
        <v>359</v>
      </c>
      <c r="D41" s="16" t="s">
        <v>360</v>
      </c>
      <c r="E41" s="17" t="s">
        <v>361</v>
      </c>
      <c r="F41" s="18" t="s">
        <v>51</v>
      </c>
      <c r="G41" s="19">
        <v>74364499</v>
      </c>
      <c r="H41" s="19">
        <v>74364499</v>
      </c>
      <c r="I41" s="19">
        <v>0</v>
      </c>
      <c r="J41" s="20">
        <v>0</v>
      </c>
      <c r="K41" s="19">
        <v>108000000</v>
      </c>
      <c r="L41" s="21">
        <v>0</v>
      </c>
      <c r="M41" s="19">
        <v>6032998</v>
      </c>
      <c r="N41" s="19">
        <v>0</v>
      </c>
      <c r="O41" s="19">
        <v>0</v>
      </c>
      <c r="P41" s="19">
        <v>21391</v>
      </c>
      <c r="Q41" s="19">
        <v>0</v>
      </c>
      <c r="R41" s="22"/>
      <c r="S41" s="19">
        <v>0</v>
      </c>
      <c r="T41" s="19">
        <v>21391</v>
      </c>
      <c r="U41" s="19">
        <v>0</v>
      </c>
      <c r="V41" s="3"/>
      <c r="W41" s="23">
        <v>0</v>
      </c>
      <c r="X41" s="24">
        <v>8512</v>
      </c>
      <c r="Y41" s="24" t="s">
        <v>52</v>
      </c>
    </row>
    <row r="42" spans="1:25" x14ac:dyDescent="0.25">
      <c r="A42" s="13">
        <v>37</v>
      </c>
      <c r="B42" s="14">
        <v>884</v>
      </c>
      <c r="C42" s="15" t="s">
        <v>365</v>
      </c>
      <c r="D42" s="16" t="s">
        <v>366</v>
      </c>
      <c r="E42" s="17" t="s">
        <v>367</v>
      </c>
      <c r="F42" s="18" t="s">
        <v>51</v>
      </c>
      <c r="G42" s="19">
        <v>77209420</v>
      </c>
      <c r="H42" s="19">
        <v>77209420</v>
      </c>
      <c r="I42" s="19">
        <v>0</v>
      </c>
      <c r="J42" s="20">
        <v>0</v>
      </c>
      <c r="K42" s="19">
        <v>108000000</v>
      </c>
      <c r="L42" s="21">
        <v>0</v>
      </c>
      <c r="M42" s="19">
        <v>6032998</v>
      </c>
      <c r="N42" s="19">
        <v>0</v>
      </c>
      <c r="O42" s="19">
        <v>0</v>
      </c>
      <c r="P42" s="19">
        <v>17420</v>
      </c>
      <c r="Q42" s="19">
        <v>0</v>
      </c>
      <c r="R42" s="22"/>
      <c r="S42" s="19">
        <v>0</v>
      </c>
      <c r="T42" s="19">
        <v>17420</v>
      </c>
      <c r="U42" s="19">
        <v>0</v>
      </c>
      <c r="V42" s="3"/>
      <c r="W42" s="23">
        <v>0</v>
      </c>
      <c r="X42" s="24">
        <v>8512</v>
      </c>
      <c r="Y42" s="24" t="s">
        <v>52</v>
      </c>
    </row>
    <row r="43" spans="1:25" x14ac:dyDescent="0.25">
      <c r="A43" s="13">
        <v>38</v>
      </c>
      <c r="B43" s="14">
        <v>891</v>
      </c>
      <c r="C43" s="15" t="s">
        <v>368</v>
      </c>
      <c r="D43" s="16" t="s">
        <v>369</v>
      </c>
      <c r="E43" s="17" t="s">
        <v>370</v>
      </c>
      <c r="F43" s="18" t="s">
        <v>51</v>
      </c>
      <c r="G43" s="19">
        <v>75809516</v>
      </c>
      <c r="H43" s="19">
        <v>75809516</v>
      </c>
      <c r="I43" s="19">
        <v>0</v>
      </c>
      <c r="J43" s="20">
        <v>0</v>
      </c>
      <c r="K43" s="19">
        <v>108000000</v>
      </c>
      <c r="L43" s="21">
        <v>0</v>
      </c>
      <c r="M43" s="19">
        <v>6032998</v>
      </c>
      <c r="N43" s="19">
        <v>0</v>
      </c>
      <c r="O43" s="19">
        <v>0</v>
      </c>
      <c r="P43" s="19">
        <v>20764</v>
      </c>
      <c r="Q43" s="19">
        <v>0</v>
      </c>
      <c r="R43" s="22"/>
      <c r="S43" s="19">
        <v>0</v>
      </c>
      <c r="T43" s="19">
        <v>20764</v>
      </c>
      <c r="U43" s="19">
        <v>0</v>
      </c>
      <c r="V43" s="3"/>
      <c r="W43" s="23">
        <v>0</v>
      </c>
      <c r="X43" s="24">
        <v>8512</v>
      </c>
      <c r="Y43" s="24" t="s">
        <v>52</v>
      </c>
    </row>
    <row r="44" spans="1:25" x14ac:dyDescent="0.25">
      <c r="A44" s="13">
        <v>39</v>
      </c>
      <c r="B44" s="14">
        <v>892</v>
      </c>
      <c r="C44" s="15" t="s">
        <v>371</v>
      </c>
      <c r="D44" s="16" t="s">
        <v>372</v>
      </c>
      <c r="E44" s="17" t="s">
        <v>373</v>
      </c>
      <c r="F44" s="18" t="s">
        <v>51</v>
      </c>
      <c r="G44" s="19">
        <v>75521359</v>
      </c>
      <c r="H44" s="19">
        <v>75521359</v>
      </c>
      <c r="I44" s="19">
        <v>0</v>
      </c>
      <c r="J44" s="20">
        <v>0</v>
      </c>
      <c r="K44" s="19">
        <v>108000000</v>
      </c>
      <c r="L44" s="21">
        <v>0</v>
      </c>
      <c r="M44" s="19">
        <v>6062966</v>
      </c>
      <c r="N44" s="19">
        <v>0</v>
      </c>
      <c r="O44" s="19">
        <v>0</v>
      </c>
      <c r="P44" s="19">
        <v>12480</v>
      </c>
      <c r="Q44" s="19">
        <v>0</v>
      </c>
      <c r="R44" s="22"/>
      <c r="S44" s="19">
        <v>0</v>
      </c>
      <c r="T44" s="19">
        <v>12480</v>
      </c>
      <c r="U44" s="19">
        <v>0</v>
      </c>
      <c r="V44" s="3"/>
      <c r="W44" s="23">
        <v>0</v>
      </c>
      <c r="X44" s="24">
        <v>8512</v>
      </c>
      <c r="Y44" s="24" t="s">
        <v>52</v>
      </c>
    </row>
    <row r="45" spans="1:25" x14ac:dyDescent="0.25">
      <c r="A45" s="13">
        <v>40</v>
      </c>
      <c r="B45" s="14">
        <v>901</v>
      </c>
      <c r="C45" s="15" t="s">
        <v>374</v>
      </c>
      <c r="D45" s="16" t="s">
        <v>375</v>
      </c>
      <c r="E45" s="17" t="s">
        <v>376</v>
      </c>
      <c r="F45" s="18" t="s">
        <v>51</v>
      </c>
      <c r="G45" s="19">
        <v>78970199</v>
      </c>
      <c r="H45" s="19">
        <v>78970199</v>
      </c>
      <c r="I45" s="19">
        <v>0</v>
      </c>
      <c r="J45" s="20">
        <v>0</v>
      </c>
      <c r="K45" s="19">
        <v>108000000</v>
      </c>
      <c r="L45" s="21">
        <v>0</v>
      </c>
      <c r="M45" s="19">
        <v>6112533</v>
      </c>
      <c r="N45" s="19">
        <v>0</v>
      </c>
      <c r="O45" s="19">
        <v>0</v>
      </c>
      <c r="P45" s="19">
        <v>23183</v>
      </c>
      <c r="Q45" s="19">
        <v>0</v>
      </c>
      <c r="R45" s="22"/>
      <c r="S45" s="19">
        <v>0</v>
      </c>
      <c r="T45" s="19">
        <v>23183</v>
      </c>
      <c r="U45" s="19">
        <v>0</v>
      </c>
      <c r="V45" s="3"/>
      <c r="W45" s="23">
        <v>0</v>
      </c>
      <c r="X45" s="24">
        <v>8512</v>
      </c>
      <c r="Y45" s="24" t="s">
        <v>52</v>
      </c>
    </row>
    <row r="46" spans="1:25" x14ac:dyDescent="0.25">
      <c r="A46" s="13">
        <v>41</v>
      </c>
      <c r="B46" s="14">
        <v>909</v>
      </c>
      <c r="C46" s="15" t="s">
        <v>377</v>
      </c>
      <c r="D46" s="16" t="s">
        <v>378</v>
      </c>
      <c r="E46" s="17" t="s">
        <v>379</v>
      </c>
      <c r="F46" s="18" t="s">
        <v>51</v>
      </c>
      <c r="G46" s="19">
        <v>76582294</v>
      </c>
      <c r="H46" s="19">
        <v>76582294</v>
      </c>
      <c r="I46" s="19">
        <v>0</v>
      </c>
      <c r="J46" s="20">
        <v>0</v>
      </c>
      <c r="K46" s="19">
        <v>108000000</v>
      </c>
      <c r="L46" s="21">
        <v>0</v>
      </c>
      <c r="M46" s="19">
        <v>6032998</v>
      </c>
      <c r="N46" s="19">
        <v>0</v>
      </c>
      <c r="O46" s="19">
        <v>0</v>
      </c>
      <c r="P46" s="19">
        <v>21089</v>
      </c>
      <c r="Q46" s="19">
        <v>0</v>
      </c>
      <c r="R46" s="22"/>
      <c r="S46" s="19">
        <v>0</v>
      </c>
      <c r="T46" s="19">
        <v>21089</v>
      </c>
      <c r="U46" s="19">
        <v>0</v>
      </c>
      <c r="V46" s="3"/>
      <c r="W46" s="23">
        <v>0</v>
      </c>
      <c r="X46" s="24">
        <v>8512</v>
      </c>
      <c r="Y46" s="24" t="s">
        <v>52</v>
      </c>
    </row>
    <row r="47" spans="1:25" x14ac:dyDescent="0.25">
      <c r="A47" s="13">
        <v>42</v>
      </c>
      <c r="B47" s="14">
        <v>920</v>
      </c>
      <c r="C47" s="15" t="s">
        <v>383</v>
      </c>
      <c r="D47" s="16" t="s">
        <v>384</v>
      </c>
      <c r="E47" s="17" t="s">
        <v>385</v>
      </c>
      <c r="F47" s="18" t="s">
        <v>51</v>
      </c>
      <c r="G47" s="19">
        <v>79670329</v>
      </c>
      <c r="H47" s="19">
        <v>79670329</v>
      </c>
      <c r="I47" s="19">
        <v>0</v>
      </c>
      <c r="J47" s="20">
        <v>0</v>
      </c>
      <c r="K47" s="19">
        <v>108000000</v>
      </c>
      <c r="L47" s="21">
        <v>0</v>
      </c>
      <c r="M47" s="19">
        <v>6062966</v>
      </c>
      <c r="N47" s="19">
        <v>0</v>
      </c>
      <c r="O47" s="19">
        <v>0</v>
      </c>
      <c r="P47" s="19">
        <v>34787</v>
      </c>
      <c r="Q47" s="19">
        <v>0</v>
      </c>
      <c r="R47" s="22"/>
      <c r="S47" s="19">
        <v>0</v>
      </c>
      <c r="T47" s="19">
        <v>34787</v>
      </c>
      <c r="U47" s="19">
        <v>0</v>
      </c>
      <c r="V47" s="3"/>
      <c r="W47" s="23">
        <v>0</v>
      </c>
      <c r="X47" s="24">
        <v>8512</v>
      </c>
      <c r="Y47" s="24" t="s">
        <v>52</v>
      </c>
    </row>
    <row r="48" spans="1:25" x14ac:dyDescent="0.25">
      <c r="A48" s="13">
        <v>43</v>
      </c>
      <c r="B48" s="14">
        <v>921</v>
      </c>
      <c r="C48" s="15" t="s">
        <v>386</v>
      </c>
      <c r="D48" s="16" t="s">
        <v>387</v>
      </c>
      <c r="E48" s="17" t="s">
        <v>388</v>
      </c>
      <c r="F48" s="18" t="s">
        <v>51</v>
      </c>
      <c r="G48" s="19">
        <v>78999113</v>
      </c>
      <c r="H48" s="19">
        <v>78999113</v>
      </c>
      <c r="I48" s="19">
        <v>0</v>
      </c>
      <c r="J48" s="20">
        <v>0</v>
      </c>
      <c r="K48" s="19">
        <v>108000000</v>
      </c>
      <c r="L48" s="21">
        <v>0</v>
      </c>
      <c r="M48" s="19">
        <v>6062966</v>
      </c>
      <c r="N48" s="19">
        <v>0</v>
      </c>
      <c r="O48" s="19">
        <v>0</v>
      </c>
      <c r="P48" s="19">
        <v>23592</v>
      </c>
      <c r="Q48" s="19">
        <v>0</v>
      </c>
      <c r="R48" s="22"/>
      <c r="S48" s="19">
        <v>0</v>
      </c>
      <c r="T48" s="19">
        <v>23592</v>
      </c>
      <c r="U48" s="19">
        <v>0</v>
      </c>
      <c r="V48" s="3"/>
      <c r="W48" s="23">
        <v>0</v>
      </c>
      <c r="X48" s="24">
        <v>8512</v>
      </c>
      <c r="Y48" s="24" t="s">
        <v>52</v>
      </c>
    </row>
    <row r="49" spans="1:25" x14ac:dyDescent="0.25">
      <c r="A49" s="13">
        <v>44</v>
      </c>
      <c r="B49" s="14">
        <v>923</v>
      </c>
      <c r="C49" s="15" t="s">
        <v>389</v>
      </c>
      <c r="D49" s="16" t="s">
        <v>390</v>
      </c>
      <c r="E49" s="17" t="s">
        <v>391</v>
      </c>
      <c r="F49" s="18" t="s">
        <v>51</v>
      </c>
      <c r="G49" s="19">
        <v>77053058</v>
      </c>
      <c r="H49" s="19">
        <v>77053058</v>
      </c>
      <c r="I49" s="19">
        <v>0</v>
      </c>
      <c r="J49" s="20">
        <v>0</v>
      </c>
      <c r="K49" s="19">
        <v>108000000</v>
      </c>
      <c r="L49" s="21">
        <v>0</v>
      </c>
      <c r="M49" s="19">
        <v>6062966</v>
      </c>
      <c r="N49" s="19">
        <v>0</v>
      </c>
      <c r="O49" s="19">
        <v>0</v>
      </c>
      <c r="P49" s="19">
        <v>22223</v>
      </c>
      <c r="Q49" s="19">
        <v>0</v>
      </c>
      <c r="R49" s="22"/>
      <c r="S49" s="19">
        <v>0</v>
      </c>
      <c r="T49" s="19">
        <v>22223</v>
      </c>
      <c r="U49" s="19">
        <v>0</v>
      </c>
      <c r="V49" s="3"/>
      <c r="W49" s="23">
        <v>0</v>
      </c>
      <c r="X49" s="24">
        <v>8512</v>
      </c>
      <c r="Y49" s="24" t="s">
        <v>52</v>
      </c>
    </row>
    <row r="50" spans="1:25" x14ac:dyDescent="0.25">
      <c r="A50" s="13">
        <v>45</v>
      </c>
      <c r="B50" s="14">
        <v>1050</v>
      </c>
      <c r="C50" s="15" t="s">
        <v>437</v>
      </c>
      <c r="D50" s="16" t="s">
        <v>438</v>
      </c>
      <c r="E50" s="17" t="s">
        <v>439</v>
      </c>
      <c r="F50" s="18" t="s">
        <v>51</v>
      </c>
      <c r="G50" s="19">
        <v>72858718</v>
      </c>
      <c r="H50" s="19">
        <v>72858718</v>
      </c>
      <c r="I50" s="19">
        <v>0</v>
      </c>
      <c r="J50" s="20">
        <v>0</v>
      </c>
      <c r="K50" s="19">
        <v>108000000</v>
      </c>
      <c r="L50" s="21">
        <v>0</v>
      </c>
      <c r="M50" s="19">
        <v>5844230</v>
      </c>
      <c r="N50" s="19">
        <v>0</v>
      </c>
      <c r="O50" s="19">
        <v>0</v>
      </c>
      <c r="P50" s="19">
        <v>15294</v>
      </c>
      <c r="Q50" s="19">
        <v>0</v>
      </c>
      <c r="R50" s="22"/>
      <c r="S50" s="19">
        <v>0</v>
      </c>
      <c r="T50" s="19">
        <v>15294</v>
      </c>
      <c r="U50" s="19">
        <v>0</v>
      </c>
      <c r="V50" s="3"/>
      <c r="W50" s="23">
        <v>0</v>
      </c>
      <c r="X50" s="24">
        <v>8512</v>
      </c>
      <c r="Y50" s="24" t="s">
        <v>229</v>
      </c>
    </row>
    <row r="51" spans="1:25" x14ac:dyDescent="0.25">
      <c r="A51" s="13">
        <v>46</v>
      </c>
      <c r="B51" s="14">
        <v>1066</v>
      </c>
      <c r="C51" s="15" t="s">
        <v>440</v>
      </c>
      <c r="D51" s="16" t="s">
        <v>441</v>
      </c>
      <c r="E51" s="17" t="s">
        <v>442</v>
      </c>
      <c r="F51" s="18" t="s">
        <v>51</v>
      </c>
      <c r="G51" s="19">
        <v>75079118</v>
      </c>
      <c r="H51" s="19">
        <v>75079118</v>
      </c>
      <c r="I51" s="19">
        <v>0</v>
      </c>
      <c r="J51" s="20">
        <v>0</v>
      </c>
      <c r="K51" s="19">
        <v>108000000</v>
      </c>
      <c r="L51" s="21">
        <v>0</v>
      </c>
      <c r="M51" s="19">
        <v>5844230</v>
      </c>
      <c r="N51" s="19">
        <v>0</v>
      </c>
      <c r="O51" s="19">
        <v>0</v>
      </c>
      <c r="P51" s="19">
        <v>21389</v>
      </c>
      <c r="Q51" s="19">
        <v>0</v>
      </c>
      <c r="R51" s="22"/>
      <c r="S51" s="19">
        <v>0</v>
      </c>
      <c r="T51" s="19">
        <v>21389</v>
      </c>
      <c r="U51" s="19">
        <v>0</v>
      </c>
      <c r="V51" s="3"/>
      <c r="W51" s="23">
        <v>0</v>
      </c>
      <c r="X51" s="24">
        <v>8512</v>
      </c>
      <c r="Y51" s="24" t="s">
        <v>229</v>
      </c>
    </row>
    <row r="52" spans="1:25" x14ac:dyDescent="0.25">
      <c r="A52" s="13">
        <v>47</v>
      </c>
      <c r="B52" s="14">
        <v>1070</v>
      </c>
      <c r="C52" s="15" t="s">
        <v>443</v>
      </c>
      <c r="D52" s="16" t="s">
        <v>444</v>
      </c>
      <c r="E52" s="17" t="s">
        <v>445</v>
      </c>
      <c r="F52" s="18" t="s">
        <v>51</v>
      </c>
      <c r="G52" s="19">
        <v>77548712</v>
      </c>
      <c r="H52" s="19">
        <v>77548712</v>
      </c>
      <c r="I52" s="19">
        <v>0</v>
      </c>
      <c r="J52" s="20">
        <v>0</v>
      </c>
      <c r="K52" s="19">
        <v>108000000</v>
      </c>
      <c r="L52" s="21">
        <v>0</v>
      </c>
      <c r="M52" s="19">
        <v>6142977</v>
      </c>
      <c r="N52" s="19">
        <v>0</v>
      </c>
      <c r="O52" s="19">
        <v>0</v>
      </c>
      <c r="P52" s="19">
        <v>17875</v>
      </c>
      <c r="Q52" s="19">
        <v>0</v>
      </c>
      <c r="R52" s="22"/>
      <c r="S52" s="19">
        <v>0</v>
      </c>
      <c r="T52" s="19">
        <v>17875</v>
      </c>
      <c r="U52" s="19">
        <v>0</v>
      </c>
      <c r="V52" s="3"/>
      <c r="W52" s="23">
        <v>0</v>
      </c>
      <c r="X52" s="24">
        <v>8512</v>
      </c>
      <c r="Y52" s="24" t="s">
        <v>52</v>
      </c>
    </row>
    <row r="53" spans="1:25" x14ac:dyDescent="0.25">
      <c r="A53" s="13">
        <v>48</v>
      </c>
      <c r="B53" s="14">
        <v>1078</v>
      </c>
      <c r="C53" s="15" t="s">
        <v>446</v>
      </c>
      <c r="D53" s="16" t="s">
        <v>447</v>
      </c>
      <c r="E53" s="17" t="s">
        <v>448</v>
      </c>
      <c r="F53" s="18" t="s">
        <v>51</v>
      </c>
      <c r="G53" s="19">
        <v>74143044</v>
      </c>
      <c r="H53" s="19">
        <v>74143044</v>
      </c>
      <c r="I53" s="19">
        <v>0</v>
      </c>
      <c r="J53" s="20">
        <v>0</v>
      </c>
      <c r="K53" s="19">
        <v>108000000</v>
      </c>
      <c r="L53" s="21">
        <v>0</v>
      </c>
      <c r="M53" s="19">
        <v>5804902</v>
      </c>
      <c r="N53" s="19">
        <v>0</v>
      </c>
      <c r="O53" s="19">
        <v>0</v>
      </c>
      <c r="P53" s="19">
        <v>10477</v>
      </c>
      <c r="Q53" s="19">
        <v>0</v>
      </c>
      <c r="R53" s="22"/>
      <c r="S53" s="19">
        <v>0</v>
      </c>
      <c r="T53" s="19">
        <v>10477</v>
      </c>
      <c r="U53" s="19">
        <v>0</v>
      </c>
      <c r="V53" s="3"/>
      <c r="W53" s="23">
        <v>0</v>
      </c>
      <c r="X53" s="24">
        <v>8512</v>
      </c>
      <c r="Y53" s="24" t="s">
        <v>229</v>
      </c>
    </row>
    <row r="54" spans="1:25" x14ac:dyDescent="0.25">
      <c r="A54" s="13">
        <v>49</v>
      </c>
      <c r="B54" s="14">
        <v>1082</v>
      </c>
      <c r="C54" s="15" t="s">
        <v>449</v>
      </c>
      <c r="D54" s="16" t="s">
        <v>450</v>
      </c>
      <c r="E54" s="17" t="s">
        <v>451</v>
      </c>
      <c r="F54" s="18" t="s">
        <v>51</v>
      </c>
      <c r="G54" s="19">
        <v>81085147</v>
      </c>
      <c r="H54" s="19">
        <v>81085147</v>
      </c>
      <c r="I54" s="19">
        <v>0</v>
      </c>
      <c r="J54" s="20">
        <v>0</v>
      </c>
      <c r="K54" s="19">
        <v>108000000</v>
      </c>
      <c r="L54" s="21">
        <v>0</v>
      </c>
      <c r="M54" s="19">
        <v>6062966</v>
      </c>
      <c r="N54" s="19">
        <v>0</v>
      </c>
      <c r="O54" s="19">
        <v>0</v>
      </c>
      <c r="P54" s="19">
        <v>44253</v>
      </c>
      <c r="Q54" s="19">
        <v>0</v>
      </c>
      <c r="R54" s="22"/>
      <c r="S54" s="19">
        <v>0</v>
      </c>
      <c r="T54" s="19">
        <v>44253</v>
      </c>
      <c r="U54" s="19">
        <v>0</v>
      </c>
      <c r="V54" s="3"/>
      <c r="W54" s="23">
        <v>0</v>
      </c>
      <c r="X54" s="24">
        <v>8512</v>
      </c>
      <c r="Y54" s="24" t="s">
        <v>52</v>
      </c>
    </row>
    <row r="55" spans="1:25" x14ac:dyDescent="0.25">
      <c r="A55" s="13">
        <v>50</v>
      </c>
      <c r="B55" s="14">
        <v>1084</v>
      </c>
      <c r="C55" s="15" t="s">
        <v>452</v>
      </c>
      <c r="D55" s="16" t="s">
        <v>453</v>
      </c>
      <c r="E55" s="17" t="s">
        <v>454</v>
      </c>
      <c r="F55" s="18" t="s">
        <v>51</v>
      </c>
      <c r="G55" s="19">
        <v>81896598</v>
      </c>
      <c r="H55" s="19">
        <v>81896598</v>
      </c>
      <c r="I55" s="19">
        <v>0</v>
      </c>
      <c r="J55" s="20">
        <v>0</v>
      </c>
      <c r="K55" s="19">
        <v>108000000</v>
      </c>
      <c r="L55" s="21">
        <v>0</v>
      </c>
      <c r="M55" s="19">
        <v>6092937</v>
      </c>
      <c r="N55" s="19">
        <v>0</v>
      </c>
      <c r="O55" s="19">
        <v>0</v>
      </c>
      <c r="P55" s="19">
        <v>37428</v>
      </c>
      <c r="Q55" s="19">
        <v>0</v>
      </c>
      <c r="R55" s="22"/>
      <c r="S55" s="19">
        <v>0</v>
      </c>
      <c r="T55" s="19">
        <v>37428</v>
      </c>
      <c r="U55" s="19">
        <v>0</v>
      </c>
      <c r="V55" s="3"/>
      <c r="W55" s="23">
        <v>0</v>
      </c>
      <c r="X55" s="24">
        <v>8512</v>
      </c>
      <c r="Y55" s="24" t="s">
        <v>52</v>
      </c>
    </row>
    <row r="56" spans="1:25" x14ac:dyDescent="0.25">
      <c r="A56" s="13">
        <v>51</v>
      </c>
      <c r="B56" s="14">
        <v>1085</v>
      </c>
      <c r="C56" s="15" t="s">
        <v>455</v>
      </c>
      <c r="D56" s="16" t="s">
        <v>456</v>
      </c>
      <c r="E56" s="17" t="s">
        <v>457</v>
      </c>
      <c r="F56" s="18" t="s">
        <v>51</v>
      </c>
      <c r="G56" s="19">
        <v>69778957</v>
      </c>
      <c r="H56" s="19">
        <v>69778957</v>
      </c>
      <c r="I56" s="19">
        <v>0</v>
      </c>
      <c r="J56" s="20">
        <v>0</v>
      </c>
      <c r="K56" s="19">
        <v>108000000</v>
      </c>
      <c r="L56" s="21">
        <v>0</v>
      </c>
      <c r="M56" s="19">
        <v>5333177</v>
      </c>
      <c r="N56" s="19">
        <v>0</v>
      </c>
      <c r="O56" s="19">
        <v>0</v>
      </c>
      <c r="P56" s="19">
        <v>14942</v>
      </c>
      <c r="Q56" s="19">
        <v>0</v>
      </c>
      <c r="R56" s="22"/>
      <c r="S56" s="19">
        <v>0</v>
      </c>
      <c r="T56" s="19">
        <v>14942</v>
      </c>
      <c r="U56" s="19">
        <v>0</v>
      </c>
      <c r="V56" s="3"/>
      <c r="W56" s="23">
        <v>0</v>
      </c>
      <c r="X56" s="24">
        <v>8512</v>
      </c>
      <c r="Y56" s="24" t="s">
        <v>229</v>
      </c>
    </row>
    <row r="57" spans="1:25" x14ac:dyDescent="0.25">
      <c r="A57" s="13">
        <v>52</v>
      </c>
      <c r="B57" s="14">
        <v>1090</v>
      </c>
      <c r="C57" s="15" t="s">
        <v>458</v>
      </c>
      <c r="D57" s="16" t="s">
        <v>459</v>
      </c>
      <c r="E57" s="17" t="s">
        <v>460</v>
      </c>
      <c r="F57" s="18" t="s">
        <v>51</v>
      </c>
      <c r="G57" s="19">
        <v>79076297</v>
      </c>
      <c r="H57" s="19">
        <v>79076297</v>
      </c>
      <c r="I57" s="19">
        <v>0</v>
      </c>
      <c r="J57" s="20">
        <v>0</v>
      </c>
      <c r="K57" s="19">
        <v>108000000</v>
      </c>
      <c r="L57" s="21">
        <v>0</v>
      </c>
      <c r="M57" s="19">
        <v>6032998</v>
      </c>
      <c r="N57" s="19">
        <v>0</v>
      </c>
      <c r="O57" s="19">
        <v>0</v>
      </c>
      <c r="P57" s="19">
        <v>25944</v>
      </c>
      <c r="Q57" s="19">
        <v>0</v>
      </c>
      <c r="R57" s="22"/>
      <c r="S57" s="19">
        <v>0</v>
      </c>
      <c r="T57" s="19">
        <v>25944</v>
      </c>
      <c r="U57" s="19">
        <v>0</v>
      </c>
      <c r="V57" s="3"/>
      <c r="W57" s="23">
        <v>0</v>
      </c>
      <c r="X57" s="24">
        <v>8512</v>
      </c>
      <c r="Y57" s="24" t="s">
        <v>52</v>
      </c>
    </row>
    <row r="58" spans="1:25" x14ac:dyDescent="0.25">
      <c r="A58" s="13">
        <v>53</v>
      </c>
      <c r="B58" s="14">
        <v>1099</v>
      </c>
      <c r="C58" s="15" t="s">
        <v>461</v>
      </c>
      <c r="D58" s="16" t="s">
        <v>462</v>
      </c>
      <c r="E58" s="17" t="s">
        <v>463</v>
      </c>
      <c r="F58" s="18" t="s">
        <v>51</v>
      </c>
      <c r="G58" s="19">
        <v>80234585</v>
      </c>
      <c r="H58" s="19">
        <v>80234585</v>
      </c>
      <c r="I58" s="19">
        <v>0</v>
      </c>
      <c r="J58" s="20">
        <v>0</v>
      </c>
      <c r="K58" s="19">
        <v>108000000</v>
      </c>
      <c r="L58" s="21">
        <v>0</v>
      </c>
      <c r="M58" s="19">
        <v>6092937</v>
      </c>
      <c r="N58" s="19">
        <v>0</v>
      </c>
      <c r="O58" s="19">
        <v>0</v>
      </c>
      <c r="P58" s="19">
        <v>22740</v>
      </c>
      <c r="Q58" s="19">
        <v>0</v>
      </c>
      <c r="R58" s="22"/>
      <c r="S58" s="19">
        <v>0</v>
      </c>
      <c r="T58" s="19">
        <v>22740</v>
      </c>
      <c r="U58" s="19">
        <v>0</v>
      </c>
      <c r="V58" s="3"/>
      <c r="W58" s="23">
        <v>0</v>
      </c>
      <c r="X58" s="24">
        <v>8512</v>
      </c>
      <c r="Y58" s="24" t="s">
        <v>52</v>
      </c>
    </row>
    <row r="59" spans="1:25" x14ac:dyDescent="0.25">
      <c r="A59" s="13">
        <v>54</v>
      </c>
      <c r="B59" s="14">
        <v>1101</v>
      </c>
      <c r="C59" s="15" t="s">
        <v>464</v>
      </c>
      <c r="D59" s="16" t="s">
        <v>465</v>
      </c>
      <c r="E59" s="17" t="s">
        <v>466</v>
      </c>
      <c r="F59" s="18" t="s">
        <v>51</v>
      </c>
      <c r="G59" s="19">
        <v>75913588</v>
      </c>
      <c r="H59" s="19">
        <v>75913588</v>
      </c>
      <c r="I59" s="19">
        <v>0</v>
      </c>
      <c r="J59" s="20">
        <v>0</v>
      </c>
      <c r="K59" s="19">
        <v>108000000</v>
      </c>
      <c r="L59" s="21">
        <v>0</v>
      </c>
      <c r="M59" s="19">
        <v>6062966</v>
      </c>
      <c r="N59" s="19">
        <v>0</v>
      </c>
      <c r="O59" s="19">
        <v>0</v>
      </c>
      <c r="P59" s="19">
        <v>17072</v>
      </c>
      <c r="Q59" s="19">
        <v>0</v>
      </c>
      <c r="R59" s="22"/>
      <c r="S59" s="19">
        <v>0</v>
      </c>
      <c r="T59" s="19">
        <v>17072</v>
      </c>
      <c r="U59" s="19">
        <v>0</v>
      </c>
      <c r="V59" s="3"/>
      <c r="W59" s="23">
        <v>0</v>
      </c>
      <c r="X59" s="24">
        <v>8512</v>
      </c>
      <c r="Y59" s="24" t="s">
        <v>52</v>
      </c>
    </row>
    <row r="60" spans="1:25" x14ac:dyDescent="0.25">
      <c r="A60" s="13">
        <v>55</v>
      </c>
      <c r="B60" s="14">
        <v>1102</v>
      </c>
      <c r="C60" s="15" t="s">
        <v>467</v>
      </c>
      <c r="D60" s="16" t="s">
        <v>468</v>
      </c>
      <c r="E60" s="17" t="s">
        <v>469</v>
      </c>
      <c r="F60" s="18" t="s">
        <v>51</v>
      </c>
      <c r="G60" s="19">
        <v>81152639</v>
      </c>
      <c r="H60" s="19">
        <v>81152639</v>
      </c>
      <c r="I60" s="19">
        <v>0</v>
      </c>
      <c r="J60" s="20">
        <v>0</v>
      </c>
      <c r="K60" s="19">
        <v>108000000</v>
      </c>
      <c r="L60" s="21">
        <v>0</v>
      </c>
      <c r="M60" s="19">
        <v>6092937</v>
      </c>
      <c r="N60" s="19">
        <v>0</v>
      </c>
      <c r="O60" s="19">
        <v>0</v>
      </c>
      <c r="P60" s="19">
        <v>32939</v>
      </c>
      <c r="Q60" s="19">
        <v>0</v>
      </c>
      <c r="R60" s="22"/>
      <c r="S60" s="19">
        <v>0</v>
      </c>
      <c r="T60" s="19">
        <v>32939</v>
      </c>
      <c r="U60" s="19">
        <v>0</v>
      </c>
      <c r="V60" s="3"/>
      <c r="W60" s="23">
        <v>0</v>
      </c>
      <c r="X60" s="24">
        <v>8512</v>
      </c>
      <c r="Y60" s="24" t="s">
        <v>52</v>
      </c>
    </row>
    <row r="61" spans="1:25" x14ac:dyDescent="0.25">
      <c r="A61" s="13">
        <v>56</v>
      </c>
      <c r="B61" s="14">
        <v>1128</v>
      </c>
      <c r="C61" s="15" t="s">
        <v>470</v>
      </c>
      <c r="D61" s="16" t="s">
        <v>471</v>
      </c>
      <c r="E61" s="17" t="s">
        <v>472</v>
      </c>
      <c r="F61" s="18" t="s">
        <v>51</v>
      </c>
      <c r="G61" s="19">
        <v>77967174</v>
      </c>
      <c r="H61" s="19">
        <v>77967174</v>
      </c>
      <c r="I61" s="19">
        <v>0</v>
      </c>
      <c r="J61" s="20">
        <v>0</v>
      </c>
      <c r="K61" s="19">
        <v>108000000</v>
      </c>
      <c r="L61" s="21">
        <v>0</v>
      </c>
      <c r="M61" s="19">
        <v>6032998</v>
      </c>
      <c r="N61" s="19">
        <v>0</v>
      </c>
      <c r="O61" s="19">
        <v>0</v>
      </c>
      <c r="P61" s="19">
        <v>18164</v>
      </c>
      <c r="Q61" s="19">
        <v>0</v>
      </c>
      <c r="R61" s="22"/>
      <c r="S61" s="19">
        <v>0</v>
      </c>
      <c r="T61" s="19">
        <v>18164</v>
      </c>
      <c r="U61" s="19">
        <v>0</v>
      </c>
      <c r="V61" s="3"/>
      <c r="W61" s="23">
        <v>0</v>
      </c>
      <c r="X61" s="24">
        <v>8512</v>
      </c>
      <c r="Y61" s="24" t="s">
        <v>52</v>
      </c>
    </row>
    <row r="62" spans="1:25" x14ac:dyDescent="0.25">
      <c r="A62" s="13">
        <v>57</v>
      </c>
      <c r="B62" s="14">
        <v>1129</v>
      </c>
      <c r="C62" s="15" t="s">
        <v>473</v>
      </c>
      <c r="D62" s="16" t="s">
        <v>474</v>
      </c>
      <c r="E62" s="17" t="s">
        <v>475</v>
      </c>
      <c r="F62" s="18" t="s">
        <v>51</v>
      </c>
      <c r="G62" s="19">
        <v>73775005</v>
      </c>
      <c r="H62" s="19">
        <v>73775005</v>
      </c>
      <c r="I62" s="19">
        <v>0</v>
      </c>
      <c r="J62" s="20">
        <v>0</v>
      </c>
      <c r="K62" s="19">
        <v>108000000</v>
      </c>
      <c r="L62" s="21">
        <v>0</v>
      </c>
      <c r="M62" s="19">
        <v>5982954</v>
      </c>
      <c r="N62" s="19">
        <v>0</v>
      </c>
      <c r="O62" s="19">
        <v>0</v>
      </c>
      <c r="P62" s="19">
        <v>22701</v>
      </c>
      <c r="Q62" s="19">
        <v>0</v>
      </c>
      <c r="R62" s="22"/>
      <c r="S62" s="19">
        <v>0</v>
      </c>
      <c r="T62" s="19">
        <v>22701</v>
      </c>
      <c r="U62" s="19">
        <v>0</v>
      </c>
      <c r="V62" s="3"/>
      <c r="W62" s="23">
        <v>0</v>
      </c>
      <c r="X62" s="24">
        <v>8512</v>
      </c>
      <c r="Y62" s="24" t="s">
        <v>52</v>
      </c>
    </row>
    <row r="63" spans="1:25" x14ac:dyDescent="0.25">
      <c r="A63" s="13">
        <v>58</v>
      </c>
      <c r="B63" s="14">
        <v>1134</v>
      </c>
      <c r="C63" s="15" t="s">
        <v>476</v>
      </c>
      <c r="D63" s="16" t="s">
        <v>477</v>
      </c>
      <c r="E63" s="17" t="s">
        <v>478</v>
      </c>
      <c r="F63" s="18" t="s">
        <v>51</v>
      </c>
      <c r="G63" s="19">
        <v>77005281</v>
      </c>
      <c r="H63" s="19">
        <v>77005281</v>
      </c>
      <c r="I63" s="19">
        <v>0</v>
      </c>
      <c r="J63" s="20">
        <v>0</v>
      </c>
      <c r="K63" s="19">
        <v>108000000</v>
      </c>
      <c r="L63" s="21">
        <v>0</v>
      </c>
      <c r="M63" s="19">
        <v>6032998</v>
      </c>
      <c r="N63" s="19">
        <v>0</v>
      </c>
      <c r="O63" s="19">
        <v>0</v>
      </c>
      <c r="P63" s="19">
        <v>25511</v>
      </c>
      <c r="Q63" s="19">
        <v>0</v>
      </c>
      <c r="R63" s="22"/>
      <c r="S63" s="19">
        <v>0</v>
      </c>
      <c r="T63" s="19">
        <v>25511</v>
      </c>
      <c r="U63" s="19">
        <v>0</v>
      </c>
      <c r="V63" s="3"/>
      <c r="W63" s="23">
        <v>0</v>
      </c>
      <c r="X63" s="24">
        <v>8512</v>
      </c>
      <c r="Y63" s="24" t="s">
        <v>52</v>
      </c>
    </row>
    <row r="64" spans="1:25" x14ac:dyDescent="0.25">
      <c r="A64" s="13">
        <v>59</v>
      </c>
      <c r="B64" s="14">
        <v>1138</v>
      </c>
      <c r="C64" s="15" t="s">
        <v>479</v>
      </c>
      <c r="D64" s="16" t="s">
        <v>480</v>
      </c>
      <c r="E64" s="17" t="s">
        <v>481</v>
      </c>
      <c r="F64" s="18" t="s">
        <v>51</v>
      </c>
      <c r="G64" s="19">
        <v>79961779</v>
      </c>
      <c r="H64" s="19">
        <v>79961779</v>
      </c>
      <c r="I64" s="19">
        <v>0</v>
      </c>
      <c r="J64" s="20">
        <v>0</v>
      </c>
      <c r="K64" s="19">
        <v>108000000</v>
      </c>
      <c r="L64" s="21">
        <v>0</v>
      </c>
      <c r="M64" s="19">
        <v>6062966</v>
      </c>
      <c r="N64" s="19">
        <v>0</v>
      </c>
      <c r="O64" s="19">
        <v>0</v>
      </c>
      <c r="P64" s="19">
        <v>31103</v>
      </c>
      <c r="Q64" s="19">
        <v>0</v>
      </c>
      <c r="R64" s="22"/>
      <c r="S64" s="19">
        <v>0</v>
      </c>
      <c r="T64" s="19">
        <v>31103</v>
      </c>
      <c r="U64" s="19">
        <v>0</v>
      </c>
      <c r="V64" s="3"/>
      <c r="W64" s="23">
        <v>0</v>
      </c>
      <c r="X64" s="24">
        <v>8512</v>
      </c>
      <c r="Y64" s="24" t="s">
        <v>52</v>
      </c>
    </row>
    <row r="65" spans="1:25" x14ac:dyDescent="0.25">
      <c r="A65" s="13">
        <v>60</v>
      </c>
      <c r="B65" s="14">
        <v>1141</v>
      </c>
      <c r="C65" s="15" t="s">
        <v>482</v>
      </c>
      <c r="D65" s="16" t="s">
        <v>483</v>
      </c>
      <c r="E65" s="17" t="s">
        <v>484</v>
      </c>
      <c r="F65" s="18" t="s">
        <v>51</v>
      </c>
      <c r="G65" s="19">
        <v>76365675</v>
      </c>
      <c r="H65" s="19">
        <v>76365675</v>
      </c>
      <c r="I65" s="19">
        <v>0</v>
      </c>
      <c r="J65" s="20">
        <v>0</v>
      </c>
      <c r="K65" s="19">
        <v>108000000</v>
      </c>
      <c r="L65" s="21">
        <v>0</v>
      </c>
      <c r="M65" s="19">
        <v>5982954</v>
      </c>
      <c r="N65" s="19">
        <v>0</v>
      </c>
      <c r="O65" s="19">
        <v>0</v>
      </c>
      <c r="P65" s="19">
        <v>14642</v>
      </c>
      <c r="Q65" s="19">
        <v>0</v>
      </c>
      <c r="R65" s="22"/>
      <c r="S65" s="19">
        <v>0</v>
      </c>
      <c r="T65" s="19">
        <v>14642</v>
      </c>
      <c r="U65" s="19">
        <v>0</v>
      </c>
      <c r="V65" s="3"/>
      <c r="W65" s="23">
        <v>0</v>
      </c>
      <c r="X65" s="24">
        <v>8512</v>
      </c>
      <c r="Y65" s="24" t="s">
        <v>52</v>
      </c>
    </row>
    <row r="66" spans="1:25" x14ac:dyDescent="0.25">
      <c r="A66" s="13">
        <v>61</v>
      </c>
      <c r="B66" s="14">
        <v>1142</v>
      </c>
      <c r="C66" s="15" t="s">
        <v>485</v>
      </c>
      <c r="D66" s="16" t="s">
        <v>486</v>
      </c>
      <c r="E66" s="17" t="s">
        <v>487</v>
      </c>
      <c r="F66" s="18" t="s">
        <v>51</v>
      </c>
      <c r="G66" s="19">
        <v>76218242</v>
      </c>
      <c r="H66" s="19">
        <v>76218242</v>
      </c>
      <c r="I66" s="19">
        <v>0</v>
      </c>
      <c r="J66" s="20">
        <v>0</v>
      </c>
      <c r="K66" s="19">
        <v>108000000</v>
      </c>
      <c r="L66" s="21">
        <v>0</v>
      </c>
      <c r="M66" s="19">
        <v>6142977</v>
      </c>
      <c r="N66" s="19">
        <v>0</v>
      </c>
      <c r="O66" s="19">
        <v>0</v>
      </c>
      <c r="P66" s="19">
        <v>20009</v>
      </c>
      <c r="Q66" s="19">
        <v>0</v>
      </c>
      <c r="R66" s="22"/>
      <c r="S66" s="19">
        <v>0</v>
      </c>
      <c r="T66" s="19">
        <v>20009</v>
      </c>
      <c r="U66" s="19">
        <v>0</v>
      </c>
      <c r="V66" s="3"/>
      <c r="W66" s="23">
        <v>0</v>
      </c>
      <c r="X66" s="24">
        <v>8512</v>
      </c>
      <c r="Y66" s="24" t="s">
        <v>52</v>
      </c>
    </row>
    <row r="67" spans="1:25" x14ac:dyDescent="0.25">
      <c r="A67" s="13">
        <v>62</v>
      </c>
      <c r="B67" s="14">
        <v>1221</v>
      </c>
      <c r="C67" s="15" t="s">
        <v>494</v>
      </c>
      <c r="D67" s="16" t="s">
        <v>495</v>
      </c>
      <c r="E67" s="17" t="s">
        <v>496</v>
      </c>
      <c r="F67" s="18" t="s">
        <v>51</v>
      </c>
      <c r="G67" s="19">
        <v>65934556</v>
      </c>
      <c r="H67" s="19">
        <v>65934556</v>
      </c>
      <c r="I67" s="19">
        <v>0</v>
      </c>
      <c r="J67" s="20">
        <v>0</v>
      </c>
      <c r="K67" s="19">
        <v>108000000</v>
      </c>
      <c r="L67" s="21">
        <v>0</v>
      </c>
      <c r="M67" s="19">
        <v>5804902</v>
      </c>
      <c r="N67" s="19">
        <v>0</v>
      </c>
      <c r="O67" s="19">
        <v>0</v>
      </c>
      <c r="P67" s="19">
        <v>13575</v>
      </c>
      <c r="Q67" s="19">
        <v>0</v>
      </c>
      <c r="R67" s="22"/>
      <c r="S67" s="19">
        <v>0</v>
      </c>
      <c r="T67" s="19">
        <v>13575</v>
      </c>
      <c r="U67" s="19">
        <v>0</v>
      </c>
      <c r="V67" s="3"/>
      <c r="W67" s="23">
        <v>0</v>
      </c>
      <c r="X67" s="24">
        <v>8512</v>
      </c>
      <c r="Y67" s="24" t="s">
        <v>229</v>
      </c>
    </row>
    <row r="68" spans="1:25" x14ac:dyDescent="0.25">
      <c r="A68" s="13">
        <v>63</v>
      </c>
      <c r="B68" s="14">
        <v>1266</v>
      </c>
      <c r="C68" s="15" t="s">
        <v>509</v>
      </c>
      <c r="D68" s="16" t="s">
        <v>510</v>
      </c>
      <c r="E68" s="17" t="s">
        <v>511</v>
      </c>
      <c r="F68" s="18" t="s">
        <v>51</v>
      </c>
      <c r="G68" s="19">
        <v>76595061</v>
      </c>
      <c r="H68" s="19">
        <v>76595061</v>
      </c>
      <c r="I68" s="19">
        <v>0</v>
      </c>
      <c r="J68" s="20">
        <v>0</v>
      </c>
      <c r="K68" s="19">
        <v>108000000</v>
      </c>
      <c r="L68" s="21">
        <v>0</v>
      </c>
      <c r="M68" s="19">
        <v>5844230</v>
      </c>
      <c r="N68" s="19">
        <v>0</v>
      </c>
      <c r="O68" s="19">
        <v>0</v>
      </c>
      <c r="P68" s="19">
        <v>14630</v>
      </c>
      <c r="Q68" s="19">
        <v>0</v>
      </c>
      <c r="R68" s="22"/>
      <c r="S68" s="19">
        <v>0</v>
      </c>
      <c r="T68" s="19">
        <v>14630</v>
      </c>
      <c r="U68" s="19">
        <v>0</v>
      </c>
      <c r="V68" s="3"/>
      <c r="W68" s="23">
        <v>0</v>
      </c>
      <c r="X68" s="24">
        <v>8512</v>
      </c>
      <c r="Y68" s="24" t="s">
        <v>229</v>
      </c>
    </row>
    <row r="69" spans="1:25" x14ac:dyDescent="0.25">
      <c r="A69" s="13">
        <v>64</v>
      </c>
      <c r="B69" s="14">
        <v>1314</v>
      </c>
      <c r="C69" s="15" t="s">
        <v>521</v>
      </c>
      <c r="D69" s="16" t="s">
        <v>522</v>
      </c>
      <c r="E69" s="17" t="s">
        <v>523</v>
      </c>
      <c r="F69" s="18" t="s">
        <v>51</v>
      </c>
      <c r="G69" s="19">
        <v>73983608</v>
      </c>
      <c r="H69" s="19">
        <v>73983608</v>
      </c>
      <c r="I69" s="19">
        <v>0</v>
      </c>
      <c r="J69" s="20">
        <v>0</v>
      </c>
      <c r="K69" s="19">
        <v>108000000</v>
      </c>
      <c r="L69" s="21">
        <v>0</v>
      </c>
      <c r="M69" s="19">
        <v>5804902</v>
      </c>
      <c r="N69" s="19">
        <v>0</v>
      </c>
      <c r="O69" s="19">
        <v>0</v>
      </c>
      <c r="P69" s="19">
        <v>20174</v>
      </c>
      <c r="Q69" s="19">
        <v>0</v>
      </c>
      <c r="R69" s="22"/>
      <c r="S69" s="19">
        <v>0</v>
      </c>
      <c r="T69" s="19">
        <v>20174</v>
      </c>
      <c r="U69" s="19">
        <v>0</v>
      </c>
      <c r="V69" s="3"/>
      <c r="W69" s="23">
        <v>0</v>
      </c>
      <c r="X69" s="24">
        <v>8512</v>
      </c>
      <c r="Y69" s="24" t="s">
        <v>229</v>
      </c>
    </row>
    <row r="70" spans="1:25" x14ac:dyDescent="0.25">
      <c r="A70" s="13">
        <v>65</v>
      </c>
      <c r="B70" s="14">
        <v>1283</v>
      </c>
      <c r="C70" s="15" t="s">
        <v>524</v>
      </c>
      <c r="D70" s="16" t="s">
        <v>525</v>
      </c>
      <c r="E70" s="17" t="s">
        <v>526</v>
      </c>
      <c r="F70" s="18" t="s">
        <v>51</v>
      </c>
      <c r="G70" s="19">
        <v>77240234</v>
      </c>
      <c r="H70" s="19">
        <v>77240234</v>
      </c>
      <c r="I70" s="19">
        <v>0</v>
      </c>
      <c r="J70" s="20">
        <v>0</v>
      </c>
      <c r="K70" s="19">
        <v>108000000</v>
      </c>
      <c r="L70" s="21">
        <v>0</v>
      </c>
      <c r="M70" s="19">
        <v>5844230</v>
      </c>
      <c r="N70" s="19">
        <v>0</v>
      </c>
      <c r="O70" s="19">
        <v>0</v>
      </c>
      <c r="P70" s="19">
        <v>23420</v>
      </c>
      <c r="Q70" s="19">
        <v>0</v>
      </c>
      <c r="R70" s="22"/>
      <c r="S70" s="19">
        <v>0</v>
      </c>
      <c r="T70" s="19">
        <v>23420</v>
      </c>
      <c r="U70" s="19">
        <v>0</v>
      </c>
      <c r="V70" s="3"/>
      <c r="W70" s="23">
        <v>0</v>
      </c>
      <c r="X70" s="24">
        <v>8512</v>
      </c>
      <c r="Y70" s="24" t="s">
        <v>229</v>
      </c>
    </row>
    <row r="71" spans="1:25" x14ac:dyDescent="0.25">
      <c r="A71" s="13">
        <v>66</v>
      </c>
      <c r="B71" s="14">
        <v>1451</v>
      </c>
      <c r="C71" s="15" t="s">
        <v>544</v>
      </c>
      <c r="D71" s="16" t="s">
        <v>545</v>
      </c>
      <c r="E71" s="17" t="s">
        <v>546</v>
      </c>
      <c r="F71" s="18" t="s">
        <v>51</v>
      </c>
      <c r="G71" s="19">
        <v>76878097</v>
      </c>
      <c r="H71" s="19">
        <v>76878097</v>
      </c>
      <c r="I71" s="19">
        <v>0</v>
      </c>
      <c r="J71" s="20">
        <v>0</v>
      </c>
      <c r="K71" s="19">
        <v>108000000</v>
      </c>
      <c r="L71" s="21">
        <v>0</v>
      </c>
      <c r="M71" s="19">
        <v>5883550</v>
      </c>
      <c r="N71" s="19">
        <v>0</v>
      </c>
      <c r="O71" s="19">
        <v>0</v>
      </c>
      <c r="P71" s="19">
        <v>12916</v>
      </c>
      <c r="Q71" s="19">
        <v>0</v>
      </c>
      <c r="R71" s="22"/>
      <c r="S71" s="19">
        <v>0</v>
      </c>
      <c r="T71" s="19">
        <v>12916</v>
      </c>
      <c r="U71" s="19">
        <v>0</v>
      </c>
      <c r="V71" s="3"/>
      <c r="W71" s="23">
        <v>0</v>
      </c>
      <c r="X71" s="24">
        <v>8512</v>
      </c>
      <c r="Y71" s="24" t="s">
        <v>229</v>
      </c>
    </row>
    <row r="72" spans="1:25" x14ac:dyDescent="0.25">
      <c r="A72" s="13">
        <v>67</v>
      </c>
      <c r="B72" s="14">
        <v>1458</v>
      </c>
      <c r="C72" s="15" t="s">
        <v>550</v>
      </c>
      <c r="D72" s="16" t="s">
        <v>551</v>
      </c>
      <c r="E72" s="17" t="s">
        <v>552</v>
      </c>
      <c r="F72" s="18" t="s">
        <v>51</v>
      </c>
      <c r="G72" s="19">
        <v>74806894</v>
      </c>
      <c r="H72" s="19">
        <v>74806894</v>
      </c>
      <c r="I72" s="19">
        <v>0</v>
      </c>
      <c r="J72" s="20">
        <v>0</v>
      </c>
      <c r="K72" s="19">
        <v>108000000</v>
      </c>
      <c r="L72" s="21">
        <v>0</v>
      </c>
      <c r="M72" s="19">
        <v>5883550</v>
      </c>
      <c r="N72" s="19">
        <v>0</v>
      </c>
      <c r="O72" s="19">
        <v>0</v>
      </c>
      <c r="P72" s="19">
        <v>17898</v>
      </c>
      <c r="Q72" s="19">
        <v>0</v>
      </c>
      <c r="R72" s="22"/>
      <c r="S72" s="19">
        <v>0</v>
      </c>
      <c r="T72" s="19">
        <v>17898</v>
      </c>
      <c r="U72" s="19">
        <v>0</v>
      </c>
      <c r="V72" s="3"/>
      <c r="W72" s="23">
        <v>0</v>
      </c>
      <c r="X72" s="24">
        <v>8512</v>
      </c>
      <c r="Y72" s="24" t="s">
        <v>229</v>
      </c>
    </row>
    <row r="73" spans="1:25" x14ac:dyDescent="0.25">
      <c r="A73" s="13">
        <v>68</v>
      </c>
      <c r="B73" s="14">
        <v>1464</v>
      </c>
      <c r="C73" s="15" t="s">
        <v>553</v>
      </c>
      <c r="D73" s="16" t="s">
        <v>554</v>
      </c>
      <c r="E73" s="17" t="s">
        <v>555</v>
      </c>
      <c r="F73" s="18" t="s">
        <v>51</v>
      </c>
      <c r="G73" s="19">
        <v>74891279</v>
      </c>
      <c r="H73" s="19">
        <v>74891279</v>
      </c>
      <c r="I73" s="19">
        <v>0</v>
      </c>
      <c r="J73" s="20">
        <v>0</v>
      </c>
      <c r="K73" s="19">
        <v>108000000</v>
      </c>
      <c r="L73" s="21">
        <v>0</v>
      </c>
      <c r="M73" s="19">
        <v>5883550</v>
      </c>
      <c r="N73" s="19">
        <v>0</v>
      </c>
      <c r="O73" s="19">
        <v>0</v>
      </c>
      <c r="P73" s="19">
        <v>27158</v>
      </c>
      <c r="Q73" s="19">
        <v>0</v>
      </c>
      <c r="R73" s="22"/>
      <c r="S73" s="19">
        <v>0</v>
      </c>
      <c r="T73" s="19">
        <v>27158</v>
      </c>
      <c r="U73" s="19">
        <v>0</v>
      </c>
      <c r="V73" s="3"/>
      <c r="W73" s="23">
        <v>0</v>
      </c>
      <c r="X73" s="24">
        <v>8512</v>
      </c>
      <c r="Y73" s="24" t="s">
        <v>229</v>
      </c>
    </row>
    <row r="74" spans="1:25" x14ac:dyDescent="0.25">
      <c r="A74" s="13">
        <v>69</v>
      </c>
      <c r="B74" s="14">
        <v>1472</v>
      </c>
      <c r="C74" s="15" t="s">
        <v>556</v>
      </c>
      <c r="D74" s="16" t="s">
        <v>557</v>
      </c>
      <c r="E74" s="17" t="s">
        <v>558</v>
      </c>
      <c r="F74" s="18" t="s">
        <v>51</v>
      </c>
      <c r="G74" s="19">
        <v>77425671</v>
      </c>
      <c r="H74" s="19">
        <v>77425671</v>
      </c>
      <c r="I74" s="19">
        <v>0</v>
      </c>
      <c r="J74" s="20">
        <v>0</v>
      </c>
      <c r="K74" s="19">
        <v>108000000</v>
      </c>
      <c r="L74" s="21">
        <v>0</v>
      </c>
      <c r="M74" s="19">
        <v>5844230</v>
      </c>
      <c r="N74" s="19">
        <v>0</v>
      </c>
      <c r="O74" s="19">
        <v>0</v>
      </c>
      <c r="P74" s="19">
        <v>25064</v>
      </c>
      <c r="Q74" s="19">
        <v>0</v>
      </c>
      <c r="R74" s="22"/>
      <c r="S74" s="19">
        <v>0</v>
      </c>
      <c r="T74" s="19">
        <v>25064</v>
      </c>
      <c r="U74" s="19">
        <v>0</v>
      </c>
      <c r="V74" s="3"/>
      <c r="W74" s="23">
        <v>0</v>
      </c>
      <c r="X74" s="24">
        <v>8512</v>
      </c>
      <c r="Y74" s="24" t="s">
        <v>229</v>
      </c>
    </row>
    <row r="75" spans="1:25" x14ac:dyDescent="0.25">
      <c r="A75" s="13">
        <v>70</v>
      </c>
      <c r="B75" s="14">
        <v>1476</v>
      </c>
      <c r="C75" s="15" t="s">
        <v>559</v>
      </c>
      <c r="D75" s="16" t="s">
        <v>560</v>
      </c>
      <c r="E75" s="17" t="s">
        <v>561</v>
      </c>
      <c r="F75" s="18" t="s">
        <v>51</v>
      </c>
      <c r="G75" s="19">
        <v>74838342</v>
      </c>
      <c r="H75" s="19">
        <v>74838342</v>
      </c>
      <c r="I75" s="19">
        <v>0</v>
      </c>
      <c r="J75" s="20">
        <v>0</v>
      </c>
      <c r="K75" s="19">
        <v>108000000</v>
      </c>
      <c r="L75" s="21">
        <v>0</v>
      </c>
      <c r="M75" s="19">
        <v>5804902</v>
      </c>
      <c r="N75" s="19">
        <v>0</v>
      </c>
      <c r="O75" s="19">
        <v>0</v>
      </c>
      <c r="P75" s="19">
        <v>24311</v>
      </c>
      <c r="Q75" s="19">
        <v>0</v>
      </c>
      <c r="R75" s="22"/>
      <c r="S75" s="19">
        <v>0</v>
      </c>
      <c r="T75" s="19">
        <v>24311</v>
      </c>
      <c r="U75" s="19">
        <v>0</v>
      </c>
      <c r="V75" s="3"/>
      <c r="W75" s="23">
        <v>0</v>
      </c>
      <c r="X75" s="24">
        <v>8512</v>
      </c>
      <c r="Y75" s="24" t="s">
        <v>229</v>
      </c>
    </row>
    <row r="76" spans="1:25" x14ac:dyDescent="0.25">
      <c r="A76" s="13">
        <v>71</v>
      </c>
      <c r="B76" s="14">
        <v>1524</v>
      </c>
      <c r="C76" s="15" t="s">
        <v>565</v>
      </c>
      <c r="D76" s="16" t="s">
        <v>566</v>
      </c>
      <c r="E76" s="17" t="s">
        <v>567</v>
      </c>
      <c r="F76" s="18" t="s">
        <v>51</v>
      </c>
      <c r="G76" s="19">
        <v>74180781</v>
      </c>
      <c r="H76" s="19">
        <v>74180781</v>
      </c>
      <c r="I76" s="19">
        <v>0</v>
      </c>
      <c r="J76" s="20">
        <v>0</v>
      </c>
      <c r="K76" s="19">
        <v>108000000</v>
      </c>
      <c r="L76" s="21">
        <v>0</v>
      </c>
      <c r="M76" s="19">
        <v>5748476</v>
      </c>
      <c r="N76" s="19">
        <v>0</v>
      </c>
      <c r="O76" s="19">
        <v>0</v>
      </c>
      <c r="P76" s="19">
        <v>17376</v>
      </c>
      <c r="Q76" s="19">
        <v>0</v>
      </c>
      <c r="R76" s="22"/>
      <c r="S76" s="19">
        <v>0</v>
      </c>
      <c r="T76" s="19">
        <v>17376</v>
      </c>
      <c r="U76" s="19">
        <v>0</v>
      </c>
      <c r="V76" s="3"/>
      <c r="W76" s="23">
        <v>0</v>
      </c>
      <c r="X76" s="24">
        <v>8512</v>
      </c>
      <c r="Y76" s="24" t="s">
        <v>229</v>
      </c>
    </row>
    <row r="77" spans="1:25" x14ac:dyDescent="0.25">
      <c r="A77" s="13">
        <v>72</v>
      </c>
      <c r="B77" s="14">
        <v>1539</v>
      </c>
      <c r="C77" s="15" t="s">
        <v>568</v>
      </c>
      <c r="D77" s="16" t="s">
        <v>569</v>
      </c>
      <c r="E77" s="17" t="s">
        <v>570</v>
      </c>
      <c r="F77" s="18" t="s">
        <v>51</v>
      </c>
      <c r="G77" s="19">
        <v>73864539</v>
      </c>
      <c r="H77" s="19">
        <v>73864539</v>
      </c>
      <c r="I77" s="19">
        <v>0</v>
      </c>
      <c r="J77" s="20">
        <v>0</v>
      </c>
      <c r="K77" s="19">
        <v>108000000</v>
      </c>
      <c r="L77" s="21">
        <v>0</v>
      </c>
      <c r="M77" s="19">
        <v>5748476</v>
      </c>
      <c r="N77" s="19">
        <v>0</v>
      </c>
      <c r="O77" s="19">
        <v>0</v>
      </c>
      <c r="P77" s="19">
        <v>17900</v>
      </c>
      <c r="Q77" s="19">
        <v>0</v>
      </c>
      <c r="R77" s="22"/>
      <c r="S77" s="19">
        <v>0</v>
      </c>
      <c r="T77" s="19">
        <v>17900</v>
      </c>
      <c r="U77" s="19">
        <v>0</v>
      </c>
      <c r="V77" s="3"/>
      <c r="W77" s="23">
        <v>0</v>
      </c>
      <c r="X77" s="24">
        <v>8512</v>
      </c>
      <c r="Y77" s="24" t="s">
        <v>229</v>
      </c>
    </row>
  </sheetData>
  <mergeCells count="22">
    <mergeCell ref="G2:I2"/>
    <mergeCell ref="A2:A4"/>
    <mergeCell ref="C2:C4"/>
    <mergeCell ref="D2:D4"/>
    <mergeCell ref="E2:E4"/>
    <mergeCell ref="F2:F4"/>
    <mergeCell ref="X2:X4"/>
    <mergeCell ref="Y2:Y4"/>
    <mergeCell ref="G3:G4"/>
    <mergeCell ref="H3:I3"/>
    <mergeCell ref="J3:J4"/>
    <mergeCell ref="K3:K4"/>
    <mergeCell ref="L3:L4"/>
    <mergeCell ref="M3:M4"/>
    <mergeCell ref="N3:N4"/>
    <mergeCell ref="S3:S4"/>
    <mergeCell ref="J2:N2"/>
    <mergeCell ref="O2:O4"/>
    <mergeCell ref="P2:P4"/>
    <mergeCell ref="Q2:Q4"/>
    <mergeCell ref="S2:U2"/>
    <mergeCell ref="W2:W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Y38"/>
  <sheetViews>
    <sheetView topLeftCell="H1" workbookViewId="0">
      <selection activeCell="Y38" sqref="Y6:Y38"/>
    </sheetView>
  </sheetViews>
  <sheetFormatPr defaultRowHeight="15" x14ac:dyDescent="0.25"/>
  <cols>
    <col min="2" max="2" width="11.5703125" customWidth="1"/>
    <col min="3" max="3" width="21.7109375" customWidth="1"/>
    <col min="4" max="4" width="12.140625" customWidth="1"/>
    <col min="5" max="5" width="11.28515625" customWidth="1"/>
    <col min="7" max="7" width="13.28515625" customWidth="1"/>
    <col min="8" max="8" width="12.140625" customWidth="1"/>
    <col min="11" max="11" width="14" customWidth="1"/>
    <col min="13" max="13" width="13.42578125" customWidth="1"/>
    <col min="24" max="24" width="12" customWidth="1"/>
  </cols>
  <sheetData>
    <row r="2" spans="1:25" ht="32.25" customHeight="1" x14ac:dyDescent="0.25">
      <c r="A2" s="74" t="s">
        <v>0</v>
      </c>
      <c r="B2" s="1"/>
      <c r="C2" s="77" t="s">
        <v>1</v>
      </c>
      <c r="D2" s="74" t="s">
        <v>2</v>
      </c>
      <c r="E2" s="74" t="s">
        <v>3</v>
      </c>
      <c r="F2" s="74" t="s">
        <v>4</v>
      </c>
      <c r="G2" s="78" t="s">
        <v>5</v>
      </c>
      <c r="H2" s="80"/>
      <c r="I2" s="79"/>
      <c r="J2" s="78" t="s">
        <v>6</v>
      </c>
      <c r="K2" s="80"/>
      <c r="L2" s="80"/>
      <c r="M2" s="80"/>
      <c r="N2" s="79"/>
      <c r="O2" s="74" t="s">
        <v>7</v>
      </c>
      <c r="P2" s="77" t="s">
        <v>8</v>
      </c>
      <c r="Q2" s="74" t="s">
        <v>9</v>
      </c>
      <c r="R2" s="2"/>
      <c r="S2" s="78" t="s">
        <v>10</v>
      </c>
      <c r="T2" s="80"/>
      <c r="U2" s="79"/>
      <c r="V2" s="3"/>
      <c r="W2" s="74" t="s">
        <v>11</v>
      </c>
      <c r="X2" s="74" t="s">
        <v>12</v>
      </c>
      <c r="Y2" s="74" t="s">
        <v>13</v>
      </c>
    </row>
    <row r="3" spans="1:25" ht="36" x14ac:dyDescent="0.25">
      <c r="A3" s="75"/>
      <c r="B3" s="4" t="s">
        <v>14</v>
      </c>
      <c r="C3" s="75"/>
      <c r="D3" s="75"/>
      <c r="E3" s="75"/>
      <c r="F3" s="75"/>
      <c r="G3" s="77" t="s">
        <v>15</v>
      </c>
      <c r="H3" s="78" t="s">
        <v>16</v>
      </c>
      <c r="I3" s="79"/>
      <c r="J3" s="74" t="s">
        <v>17</v>
      </c>
      <c r="K3" s="74" t="s">
        <v>18</v>
      </c>
      <c r="L3" s="74" t="s">
        <v>19</v>
      </c>
      <c r="M3" s="74" t="s">
        <v>20</v>
      </c>
      <c r="N3" s="74" t="s">
        <v>21</v>
      </c>
      <c r="O3" s="75"/>
      <c r="P3" s="75"/>
      <c r="Q3" s="75"/>
      <c r="R3" s="2"/>
      <c r="S3" s="74" t="s">
        <v>22</v>
      </c>
      <c r="T3" s="5" t="s">
        <v>23</v>
      </c>
      <c r="U3" s="5" t="s">
        <v>24</v>
      </c>
      <c r="V3" s="3"/>
      <c r="W3" s="75"/>
      <c r="X3" s="75"/>
      <c r="Y3" s="75"/>
    </row>
    <row r="4" spans="1:25" ht="24" x14ac:dyDescent="0.25">
      <c r="A4" s="76"/>
      <c r="B4" s="6"/>
      <c r="C4" s="76"/>
      <c r="D4" s="76"/>
      <c r="E4" s="76"/>
      <c r="F4" s="76"/>
      <c r="G4" s="76"/>
      <c r="H4" s="7" t="s">
        <v>25</v>
      </c>
      <c r="I4" s="7" t="s">
        <v>26</v>
      </c>
      <c r="J4" s="76"/>
      <c r="K4" s="76"/>
      <c r="L4" s="76"/>
      <c r="M4" s="76"/>
      <c r="N4" s="76"/>
      <c r="O4" s="76"/>
      <c r="P4" s="76"/>
      <c r="Q4" s="76"/>
      <c r="R4" s="2"/>
      <c r="S4" s="76"/>
      <c r="T4" s="8"/>
      <c r="U4" s="8"/>
      <c r="V4" s="3"/>
      <c r="W4" s="76"/>
      <c r="X4" s="76"/>
      <c r="Y4" s="76"/>
    </row>
    <row r="5" spans="1:25" x14ac:dyDescent="0.25">
      <c r="A5" s="9" t="s">
        <v>27</v>
      </c>
      <c r="B5" s="10"/>
      <c r="C5" s="9" t="s">
        <v>28</v>
      </c>
      <c r="D5" s="9" t="s">
        <v>29</v>
      </c>
      <c r="E5" s="9" t="s">
        <v>30</v>
      </c>
      <c r="F5" s="10" t="s">
        <v>31</v>
      </c>
      <c r="G5" s="9" t="s">
        <v>32</v>
      </c>
      <c r="H5" s="9" t="s">
        <v>33</v>
      </c>
      <c r="I5" s="9" t="s">
        <v>34</v>
      </c>
      <c r="J5" s="11" t="s">
        <v>35</v>
      </c>
      <c r="K5" s="9" t="s">
        <v>36</v>
      </c>
      <c r="L5" s="9" t="s">
        <v>37</v>
      </c>
      <c r="M5" s="9" t="s">
        <v>38</v>
      </c>
      <c r="N5" s="9" t="s">
        <v>39</v>
      </c>
      <c r="O5" s="9" t="s">
        <v>40</v>
      </c>
      <c r="P5" s="9" t="s">
        <v>41</v>
      </c>
      <c r="Q5" s="12" t="s">
        <v>42</v>
      </c>
      <c r="R5" s="9" t="s">
        <v>42</v>
      </c>
      <c r="S5" s="9" t="s">
        <v>43</v>
      </c>
      <c r="T5" s="9" t="s">
        <v>44</v>
      </c>
      <c r="U5" s="9" t="s">
        <v>45</v>
      </c>
      <c r="V5" s="3"/>
      <c r="W5" s="9" t="s">
        <v>46</v>
      </c>
      <c r="X5" s="9" t="s">
        <v>47</v>
      </c>
      <c r="Y5" s="9"/>
    </row>
    <row r="6" spans="1:25" x14ac:dyDescent="0.25">
      <c r="A6" s="13">
        <v>1</v>
      </c>
      <c r="B6" s="14">
        <v>209</v>
      </c>
      <c r="C6" s="15" t="s">
        <v>69</v>
      </c>
      <c r="D6" s="16" t="s">
        <v>70</v>
      </c>
      <c r="E6" s="17" t="s">
        <v>71</v>
      </c>
      <c r="F6" s="18" t="s">
        <v>51</v>
      </c>
      <c r="G6" s="19">
        <v>78003878</v>
      </c>
      <c r="H6" s="19">
        <v>78003878</v>
      </c>
      <c r="I6" s="19">
        <v>0</v>
      </c>
      <c r="J6" s="20">
        <v>0</v>
      </c>
      <c r="K6" s="19">
        <v>108000000</v>
      </c>
      <c r="L6" s="21">
        <v>0</v>
      </c>
      <c r="M6" s="19">
        <v>6867930</v>
      </c>
      <c r="N6" s="19">
        <v>0</v>
      </c>
      <c r="O6" s="19">
        <v>0</v>
      </c>
      <c r="P6" s="19">
        <v>29576</v>
      </c>
      <c r="Q6" s="19">
        <v>0</v>
      </c>
      <c r="R6" s="22"/>
      <c r="S6" s="19">
        <v>0</v>
      </c>
      <c r="T6" s="19">
        <v>29576</v>
      </c>
      <c r="U6" s="19">
        <v>0</v>
      </c>
      <c r="V6" s="3"/>
      <c r="W6" s="23">
        <v>0</v>
      </c>
      <c r="X6" s="24" t="s">
        <v>72</v>
      </c>
      <c r="Y6" s="24" t="s">
        <v>52</v>
      </c>
    </row>
    <row r="7" spans="1:25" x14ac:dyDescent="0.25">
      <c r="A7" s="13">
        <v>2</v>
      </c>
      <c r="B7" s="14">
        <v>210</v>
      </c>
      <c r="C7" s="15" t="s">
        <v>73</v>
      </c>
      <c r="D7" s="16" t="s">
        <v>74</v>
      </c>
      <c r="E7" s="17" t="s">
        <v>75</v>
      </c>
      <c r="F7" s="18" t="s">
        <v>51</v>
      </c>
      <c r="G7" s="19">
        <v>86560372</v>
      </c>
      <c r="H7" s="19">
        <v>86560372</v>
      </c>
      <c r="I7" s="19">
        <v>0</v>
      </c>
      <c r="J7" s="20">
        <v>0</v>
      </c>
      <c r="K7" s="19">
        <v>108000000</v>
      </c>
      <c r="L7" s="21">
        <v>0</v>
      </c>
      <c r="M7" s="19">
        <v>6709198</v>
      </c>
      <c r="N7" s="19">
        <v>0</v>
      </c>
      <c r="O7" s="19">
        <v>0</v>
      </c>
      <c r="P7" s="19">
        <v>50273</v>
      </c>
      <c r="Q7" s="19">
        <v>0</v>
      </c>
      <c r="R7" s="22"/>
      <c r="S7" s="19">
        <v>0</v>
      </c>
      <c r="T7" s="19">
        <v>50273</v>
      </c>
      <c r="U7" s="19">
        <v>0</v>
      </c>
      <c r="V7" s="3"/>
      <c r="W7" s="23">
        <v>0</v>
      </c>
      <c r="X7" s="24" t="s">
        <v>72</v>
      </c>
      <c r="Y7" s="24" t="s">
        <v>52</v>
      </c>
    </row>
    <row r="8" spans="1:25" x14ac:dyDescent="0.25">
      <c r="A8" s="13">
        <v>3</v>
      </c>
      <c r="B8" s="14">
        <v>233</v>
      </c>
      <c r="C8" s="15" t="s">
        <v>76</v>
      </c>
      <c r="D8" s="16" t="s">
        <v>77</v>
      </c>
      <c r="E8" s="17" t="s">
        <v>78</v>
      </c>
      <c r="F8" s="18" t="s">
        <v>51</v>
      </c>
      <c r="G8" s="19">
        <v>79186487</v>
      </c>
      <c r="H8" s="19">
        <v>79186487</v>
      </c>
      <c r="I8" s="19">
        <v>0</v>
      </c>
      <c r="J8" s="20">
        <v>0</v>
      </c>
      <c r="K8" s="19">
        <v>108000000</v>
      </c>
      <c r="L8" s="21">
        <v>0</v>
      </c>
      <c r="M8" s="19">
        <v>6093839</v>
      </c>
      <c r="N8" s="19">
        <v>0</v>
      </c>
      <c r="O8" s="19">
        <v>0</v>
      </c>
      <c r="P8" s="19">
        <v>19143</v>
      </c>
      <c r="Q8" s="19">
        <v>0</v>
      </c>
      <c r="R8" s="22"/>
      <c r="S8" s="19">
        <v>0</v>
      </c>
      <c r="T8" s="19">
        <v>19143</v>
      </c>
      <c r="U8" s="19">
        <v>0</v>
      </c>
      <c r="V8" s="3"/>
      <c r="W8" s="23">
        <v>0</v>
      </c>
      <c r="X8" s="24" t="s">
        <v>72</v>
      </c>
      <c r="Y8" s="24" t="s">
        <v>52</v>
      </c>
    </row>
    <row r="9" spans="1:25" x14ac:dyDescent="0.25">
      <c r="A9" s="13">
        <v>4</v>
      </c>
      <c r="B9" s="14">
        <v>235</v>
      </c>
      <c r="C9" s="15" t="s">
        <v>79</v>
      </c>
      <c r="D9" s="16" t="s">
        <v>80</v>
      </c>
      <c r="E9" s="17" t="s">
        <v>81</v>
      </c>
      <c r="F9" s="18" t="s">
        <v>51</v>
      </c>
      <c r="G9" s="19">
        <v>83010945</v>
      </c>
      <c r="H9" s="19">
        <v>83010945</v>
      </c>
      <c r="I9" s="19">
        <v>0</v>
      </c>
      <c r="J9" s="20">
        <v>0</v>
      </c>
      <c r="K9" s="19">
        <v>108000000</v>
      </c>
      <c r="L9" s="21">
        <v>0</v>
      </c>
      <c r="M9" s="19">
        <v>6575771</v>
      </c>
      <c r="N9" s="19">
        <v>0</v>
      </c>
      <c r="O9" s="19">
        <v>0</v>
      </c>
      <c r="P9" s="19">
        <v>22124</v>
      </c>
      <c r="Q9" s="19">
        <v>0</v>
      </c>
      <c r="R9" s="22"/>
      <c r="S9" s="19">
        <v>0</v>
      </c>
      <c r="T9" s="19">
        <v>22124</v>
      </c>
      <c r="U9" s="19">
        <v>0</v>
      </c>
      <c r="V9" s="3"/>
      <c r="W9" s="23">
        <v>0</v>
      </c>
      <c r="X9" s="24" t="s">
        <v>72</v>
      </c>
      <c r="Y9" s="24" t="s">
        <v>52</v>
      </c>
    </row>
    <row r="10" spans="1:25" x14ac:dyDescent="0.25">
      <c r="A10" s="13">
        <v>5</v>
      </c>
      <c r="B10" s="14">
        <v>244</v>
      </c>
      <c r="C10" s="15" t="s">
        <v>85</v>
      </c>
      <c r="D10" s="16" t="s">
        <v>86</v>
      </c>
      <c r="E10" s="17" t="s">
        <v>87</v>
      </c>
      <c r="F10" s="18" t="s">
        <v>51</v>
      </c>
      <c r="G10" s="19">
        <v>86914117</v>
      </c>
      <c r="H10" s="19">
        <v>86914117</v>
      </c>
      <c r="I10" s="19">
        <v>0</v>
      </c>
      <c r="J10" s="20">
        <v>0</v>
      </c>
      <c r="K10" s="19">
        <v>108000000</v>
      </c>
      <c r="L10" s="21">
        <v>0</v>
      </c>
      <c r="M10" s="19">
        <v>6664726</v>
      </c>
      <c r="N10" s="19">
        <v>0</v>
      </c>
      <c r="O10" s="19">
        <v>0</v>
      </c>
      <c r="P10" s="19">
        <v>14510</v>
      </c>
      <c r="Q10" s="19">
        <v>0</v>
      </c>
      <c r="R10" s="22"/>
      <c r="S10" s="19">
        <v>0</v>
      </c>
      <c r="T10" s="19">
        <v>14510</v>
      </c>
      <c r="U10" s="19">
        <v>0</v>
      </c>
      <c r="V10" s="3"/>
      <c r="W10" s="23">
        <v>0</v>
      </c>
      <c r="X10" s="24" t="s">
        <v>72</v>
      </c>
      <c r="Y10" s="24" t="s">
        <v>52</v>
      </c>
    </row>
    <row r="11" spans="1:25" x14ac:dyDescent="0.25">
      <c r="A11" s="13">
        <v>6</v>
      </c>
      <c r="B11" s="14">
        <v>272</v>
      </c>
      <c r="C11" s="15" t="s">
        <v>106</v>
      </c>
      <c r="D11" s="16" t="s">
        <v>107</v>
      </c>
      <c r="E11" s="17" t="s">
        <v>108</v>
      </c>
      <c r="F11" s="18" t="s">
        <v>51</v>
      </c>
      <c r="G11" s="19">
        <v>88110660</v>
      </c>
      <c r="H11" s="19">
        <v>88110660</v>
      </c>
      <c r="I11" s="19">
        <v>0</v>
      </c>
      <c r="J11" s="20">
        <v>0</v>
      </c>
      <c r="K11" s="19">
        <v>108000000</v>
      </c>
      <c r="L11" s="21">
        <v>0</v>
      </c>
      <c r="M11" s="19">
        <v>7099566</v>
      </c>
      <c r="N11" s="19">
        <v>0</v>
      </c>
      <c r="O11" s="19">
        <v>0</v>
      </c>
      <c r="P11" s="19">
        <v>33007</v>
      </c>
      <c r="Q11" s="19">
        <v>0</v>
      </c>
      <c r="R11" s="22"/>
      <c r="S11" s="19">
        <v>0</v>
      </c>
      <c r="T11" s="19">
        <v>33007</v>
      </c>
      <c r="U11" s="19">
        <v>0</v>
      </c>
      <c r="V11" s="3"/>
      <c r="W11" s="23">
        <v>0</v>
      </c>
      <c r="X11" s="24" t="s">
        <v>72</v>
      </c>
      <c r="Y11" s="24" t="s">
        <v>62</v>
      </c>
    </row>
    <row r="12" spans="1:25" x14ac:dyDescent="0.25">
      <c r="A12" s="13">
        <v>7</v>
      </c>
      <c r="B12" s="14">
        <v>285</v>
      </c>
      <c r="C12" s="15" t="s">
        <v>121</v>
      </c>
      <c r="D12" s="16" t="s">
        <v>122</v>
      </c>
      <c r="E12" s="17" t="s">
        <v>123</v>
      </c>
      <c r="F12" s="18" t="s">
        <v>51</v>
      </c>
      <c r="G12" s="19">
        <v>87277714</v>
      </c>
      <c r="H12" s="19">
        <v>87277714</v>
      </c>
      <c r="I12" s="19">
        <v>0</v>
      </c>
      <c r="J12" s="20">
        <v>0</v>
      </c>
      <c r="K12" s="19">
        <v>108000000</v>
      </c>
      <c r="L12" s="21">
        <v>0</v>
      </c>
      <c r="M12" s="19">
        <v>6620246</v>
      </c>
      <c r="N12" s="19">
        <v>0</v>
      </c>
      <c r="O12" s="19">
        <v>0</v>
      </c>
      <c r="P12" s="19">
        <v>23232</v>
      </c>
      <c r="Q12" s="19">
        <v>0</v>
      </c>
      <c r="R12" s="22"/>
      <c r="S12" s="19">
        <v>0</v>
      </c>
      <c r="T12" s="19">
        <v>23232</v>
      </c>
      <c r="U12" s="19">
        <v>0</v>
      </c>
      <c r="V12" s="3"/>
      <c r="W12" s="23">
        <v>0</v>
      </c>
      <c r="X12" s="24" t="s">
        <v>72</v>
      </c>
      <c r="Y12" s="24" t="s">
        <v>52</v>
      </c>
    </row>
    <row r="13" spans="1:25" x14ac:dyDescent="0.25">
      <c r="A13" s="13">
        <v>8</v>
      </c>
      <c r="B13" s="14">
        <v>289</v>
      </c>
      <c r="C13" s="15" t="s">
        <v>124</v>
      </c>
      <c r="D13" s="16" t="s">
        <v>125</v>
      </c>
      <c r="E13" s="17" t="s">
        <v>126</v>
      </c>
      <c r="F13" s="18" t="s">
        <v>51</v>
      </c>
      <c r="G13" s="19">
        <v>79676836</v>
      </c>
      <c r="H13" s="19">
        <v>79676836</v>
      </c>
      <c r="I13" s="19">
        <v>0</v>
      </c>
      <c r="J13" s="20">
        <v>0</v>
      </c>
      <c r="K13" s="19">
        <v>108000000</v>
      </c>
      <c r="L13" s="21">
        <v>0</v>
      </c>
      <c r="M13" s="19">
        <v>6124355</v>
      </c>
      <c r="N13" s="19">
        <v>0</v>
      </c>
      <c r="O13" s="19">
        <v>0</v>
      </c>
      <c r="P13" s="19">
        <v>10924</v>
      </c>
      <c r="Q13" s="19">
        <v>0</v>
      </c>
      <c r="R13" s="22"/>
      <c r="S13" s="19">
        <v>0</v>
      </c>
      <c r="T13" s="19">
        <v>10924</v>
      </c>
      <c r="U13" s="19">
        <v>0</v>
      </c>
      <c r="V13" s="3"/>
      <c r="W13" s="23">
        <v>0</v>
      </c>
      <c r="X13" s="24" t="s">
        <v>72</v>
      </c>
      <c r="Y13" s="24" t="s">
        <v>52</v>
      </c>
    </row>
    <row r="14" spans="1:25" x14ac:dyDescent="0.25">
      <c r="A14" s="13">
        <v>9</v>
      </c>
      <c r="B14" s="14">
        <v>356</v>
      </c>
      <c r="C14" s="15" t="s">
        <v>130</v>
      </c>
      <c r="D14" s="16" t="s">
        <v>131</v>
      </c>
      <c r="E14" s="17" t="s">
        <v>132</v>
      </c>
      <c r="F14" s="18" t="s">
        <v>51</v>
      </c>
      <c r="G14" s="19">
        <v>83089398</v>
      </c>
      <c r="H14" s="19">
        <v>83089398</v>
      </c>
      <c r="I14" s="19">
        <v>0</v>
      </c>
      <c r="J14" s="20">
        <v>0</v>
      </c>
      <c r="K14" s="19">
        <v>108000000</v>
      </c>
      <c r="L14" s="21">
        <v>0</v>
      </c>
      <c r="M14" s="19">
        <v>6575771</v>
      </c>
      <c r="N14" s="19">
        <v>0</v>
      </c>
      <c r="O14" s="19">
        <v>0</v>
      </c>
      <c r="P14" s="19">
        <v>23792</v>
      </c>
      <c r="Q14" s="19">
        <v>0</v>
      </c>
      <c r="R14" s="22"/>
      <c r="S14" s="19">
        <v>0</v>
      </c>
      <c r="T14" s="19">
        <v>23792</v>
      </c>
      <c r="U14" s="19">
        <v>0</v>
      </c>
      <c r="V14" s="3"/>
      <c r="W14" s="23">
        <v>0</v>
      </c>
      <c r="X14" s="24" t="s">
        <v>72</v>
      </c>
      <c r="Y14" s="24" t="s">
        <v>52</v>
      </c>
    </row>
    <row r="15" spans="1:25" x14ac:dyDescent="0.25">
      <c r="A15" s="13">
        <v>10</v>
      </c>
      <c r="B15" s="14">
        <v>360</v>
      </c>
      <c r="C15" s="15" t="s">
        <v>133</v>
      </c>
      <c r="D15" s="16" t="s">
        <v>134</v>
      </c>
      <c r="E15" s="17" t="s">
        <v>135</v>
      </c>
      <c r="F15" s="18" t="s">
        <v>51</v>
      </c>
      <c r="G15" s="19">
        <v>89092025</v>
      </c>
      <c r="H15" s="19">
        <v>89092025</v>
      </c>
      <c r="I15" s="19">
        <v>0</v>
      </c>
      <c r="J15" s="20">
        <v>0</v>
      </c>
      <c r="K15" s="19">
        <v>108000000</v>
      </c>
      <c r="L15" s="21">
        <v>0</v>
      </c>
      <c r="M15" s="19">
        <v>6620246</v>
      </c>
      <c r="N15" s="19">
        <v>0</v>
      </c>
      <c r="O15" s="19">
        <v>0</v>
      </c>
      <c r="P15" s="19">
        <v>28466</v>
      </c>
      <c r="Q15" s="19">
        <v>0</v>
      </c>
      <c r="R15" s="22"/>
      <c r="S15" s="19">
        <v>0</v>
      </c>
      <c r="T15" s="19">
        <v>28466</v>
      </c>
      <c r="U15" s="19">
        <v>0</v>
      </c>
      <c r="V15" s="3"/>
      <c r="W15" s="23">
        <v>0</v>
      </c>
      <c r="X15" s="24" t="s">
        <v>72</v>
      </c>
      <c r="Y15" s="24" t="s">
        <v>52</v>
      </c>
    </row>
    <row r="16" spans="1:25" x14ac:dyDescent="0.25">
      <c r="A16" s="13">
        <v>11</v>
      </c>
      <c r="B16" s="14">
        <v>362</v>
      </c>
      <c r="C16" s="15" t="s">
        <v>136</v>
      </c>
      <c r="D16" s="16" t="s">
        <v>137</v>
      </c>
      <c r="E16" s="17" t="s">
        <v>138</v>
      </c>
      <c r="F16" s="18" t="s">
        <v>51</v>
      </c>
      <c r="G16" s="19">
        <v>85528291</v>
      </c>
      <c r="H16" s="19">
        <v>85528291</v>
      </c>
      <c r="I16" s="19">
        <v>0</v>
      </c>
      <c r="J16" s="20">
        <v>0</v>
      </c>
      <c r="K16" s="19">
        <v>108000000</v>
      </c>
      <c r="L16" s="21">
        <v>0</v>
      </c>
      <c r="M16" s="19">
        <v>6664726</v>
      </c>
      <c r="N16" s="19">
        <v>0</v>
      </c>
      <c r="O16" s="19">
        <v>0</v>
      </c>
      <c r="P16" s="19">
        <v>15791</v>
      </c>
      <c r="Q16" s="19">
        <v>0</v>
      </c>
      <c r="R16" s="22"/>
      <c r="S16" s="19">
        <v>0</v>
      </c>
      <c r="T16" s="19">
        <v>15791</v>
      </c>
      <c r="U16" s="19">
        <v>0</v>
      </c>
      <c r="V16" s="3"/>
      <c r="W16" s="23">
        <v>0</v>
      </c>
      <c r="X16" s="24" t="s">
        <v>72</v>
      </c>
      <c r="Y16" s="24" t="s">
        <v>52</v>
      </c>
    </row>
    <row r="17" spans="1:25" x14ac:dyDescent="0.25">
      <c r="A17" s="13">
        <v>12</v>
      </c>
      <c r="B17" s="14">
        <v>487</v>
      </c>
      <c r="C17" s="15" t="s">
        <v>199</v>
      </c>
      <c r="D17" s="16" t="s">
        <v>200</v>
      </c>
      <c r="E17" s="17" t="s">
        <v>201</v>
      </c>
      <c r="F17" s="18" t="s">
        <v>51</v>
      </c>
      <c r="G17" s="19">
        <v>85368256</v>
      </c>
      <c r="H17" s="19">
        <v>85368256</v>
      </c>
      <c r="I17" s="19">
        <v>0</v>
      </c>
      <c r="J17" s="20">
        <v>0</v>
      </c>
      <c r="K17" s="19">
        <v>108000000</v>
      </c>
      <c r="L17" s="21">
        <v>0</v>
      </c>
      <c r="M17" s="19">
        <v>6154871</v>
      </c>
      <c r="N17" s="19">
        <v>0</v>
      </c>
      <c r="O17" s="19">
        <v>0</v>
      </c>
      <c r="P17" s="19">
        <v>65804</v>
      </c>
      <c r="Q17" s="19">
        <v>0</v>
      </c>
      <c r="R17" s="22"/>
      <c r="S17" s="19">
        <v>0</v>
      </c>
      <c r="T17" s="19">
        <v>65804</v>
      </c>
      <c r="U17" s="19">
        <v>0</v>
      </c>
      <c r="V17" s="3"/>
      <c r="W17" s="23">
        <v>0</v>
      </c>
      <c r="X17" s="24" t="s">
        <v>72</v>
      </c>
      <c r="Y17" s="24" t="s">
        <v>52</v>
      </c>
    </row>
    <row r="18" spans="1:25" x14ac:dyDescent="0.25">
      <c r="A18" s="13">
        <v>13</v>
      </c>
      <c r="B18" s="14">
        <v>491</v>
      </c>
      <c r="C18" s="15" t="s">
        <v>202</v>
      </c>
      <c r="D18" s="16" t="s">
        <v>203</v>
      </c>
      <c r="E18" s="17" t="s">
        <v>204</v>
      </c>
      <c r="F18" s="18" t="s">
        <v>51</v>
      </c>
      <c r="G18" s="19">
        <v>86477016</v>
      </c>
      <c r="H18" s="19">
        <v>86477016</v>
      </c>
      <c r="I18" s="19">
        <v>0</v>
      </c>
      <c r="J18" s="20">
        <v>0</v>
      </c>
      <c r="K18" s="19">
        <v>108000000</v>
      </c>
      <c r="L18" s="21">
        <v>0</v>
      </c>
      <c r="M18" s="19">
        <v>6620246</v>
      </c>
      <c r="N18" s="19">
        <v>0</v>
      </c>
      <c r="O18" s="19">
        <v>0</v>
      </c>
      <c r="P18" s="19">
        <v>29737</v>
      </c>
      <c r="Q18" s="19">
        <v>0</v>
      </c>
      <c r="R18" s="22"/>
      <c r="S18" s="19">
        <v>0</v>
      </c>
      <c r="T18" s="19">
        <v>29737</v>
      </c>
      <c r="U18" s="19">
        <v>0</v>
      </c>
      <c r="V18" s="3"/>
      <c r="W18" s="23">
        <v>0</v>
      </c>
      <c r="X18" s="24" t="s">
        <v>72</v>
      </c>
      <c r="Y18" s="24" t="s">
        <v>52</v>
      </c>
    </row>
    <row r="19" spans="1:25" x14ac:dyDescent="0.25">
      <c r="A19" s="13">
        <v>14</v>
      </c>
      <c r="B19" s="14">
        <v>632</v>
      </c>
      <c r="C19" s="15" t="s">
        <v>284</v>
      </c>
      <c r="D19" s="16" t="s">
        <v>285</v>
      </c>
      <c r="E19" s="17" t="s">
        <v>286</v>
      </c>
      <c r="F19" s="18" t="s">
        <v>51</v>
      </c>
      <c r="G19" s="19">
        <v>80872354</v>
      </c>
      <c r="H19" s="19">
        <v>80872354</v>
      </c>
      <c r="I19" s="19">
        <v>0</v>
      </c>
      <c r="J19" s="20">
        <v>0</v>
      </c>
      <c r="K19" s="19">
        <v>108000000</v>
      </c>
      <c r="L19" s="21">
        <v>0</v>
      </c>
      <c r="M19" s="19">
        <v>6060154</v>
      </c>
      <c r="N19" s="19">
        <v>0</v>
      </c>
      <c r="O19" s="19">
        <v>0</v>
      </c>
      <c r="P19" s="19">
        <v>21989</v>
      </c>
      <c r="Q19" s="19">
        <v>0</v>
      </c>
      <c r="R19" s="22"/>
      <c r="S19" s="19">
        <v>0</v>
      </c>
      <c r="T19" s="19">
        <v>21989</v>
      </c>
      <c r="U19" s="19">
        <v>0</v>
      </c>
      <c r="V19" s="3"/>
      <c r="W19" s="23">
        <v>0</v>
      </c>
      <c r="X19" s="24" t="s">
        <v>72</v>
      </c>
      <c r="Y19" s="24" t="s">
        <v>52</v>
      </c>
    </row>
    <row r="20" spans="1:25" x14ac:dyDescent="0.25">
      <c r="A20" s="13">
        <v>15</v>
      </c>
      <c r="B20" s="14">
        <v>672</v>
      </c>
      <c r="C20" s="15" t="s">
        <v>299</v>
      </c>
      <c r="D20" s="16" t="s">
        <v>300</v>
      </c>
      <c r="E20" s="17" t="s">
        <v>301</v>
      </c>
      <c r="F20" s="18" t="s">
        <v>51</v>
      </c>
      <c r="G20" s="19">
        <v>86557370</v>
      </c>
      <c r="H20" s="19">
        <v>86557370</v>
      </c>
      <c r="I20" s="19">
        <v>0</v>
      </c>
      <c r="J20" s="20">
        <v>0</v>
      </c>
      <c r="K20" s="19">
        <v>108000000</v>
      </c>
      <c r="L20" s="21">
        <v>0</v>
      </c>
      <c r="M20" s="19">
        <v>6170827</v>
      </c>
      <c r="N20" s="19">
        <v>0</v>
      </c>
      <c r="O20" s="19">
        <v>0</v>
      </c>
      <c r="P20" s="19">
        <v>55925</v>
      </c>
      <c r="Q20" s="19">
        <v>0</v>
      </c>
      <c r="R20" s="22"/>
      <c r="S20" s="19">
        <v>0</v>
      </c>
      <c r="T20" s="19">
        <v>55925</v>
      </c>
      <c r="U20" s="19">
        <v>0</v>
      </c>
      <c r="V20" s="3"/>
      <c r="W20" s="23">
        <v>0</v>
      </c>
      <c r="X20" s="24" t="s">
        <v>72</v>
      </c>
      <c r="Y20" s="24" t="s">
        <v>52</v>
      </c>
    </row>
    <row r="21" spans="1:25" x14ac:dyDescent="0.25">
      <c r="A21" s="13">
        <v>16</v>
      </c>
      <c r="B21" s="14">
        <v>684</v>
      </c>
      <c r="C21" s="15" t="s">
        <v>305</v>
      </c>
      <c r="D21" s="16" t="s">
        <v>306</v>
      </c>
      <c r="E21" s="17" t="s">
        <v>307</v>
      </c>
      <c r="F21" s="18" t="s">
        <v>51</v>
      </c>
      <c r="G21" s="19">
        <v>78854090</v>
      </c>
      <c r="H21" s="19">
        <v>78854090</v>
      </c>
      <c r="I21" s="19">
        <v>0</v>
      </c>
      <c r="J21" s="20">
        <v>0</v>
      </c>
      <c r="K21" s="19">
        <v>108000000</v>
      </c>
      <c r="L21" s="21">
        <v>0</v>
      </c>
      <c r="M21" s="19">
        <v>6170827</v>
      </c>
      <c r="N21" s="19">
        <v>0</v>
      </c>
      <c r="O21" s="19">
        <v>0</v>
      </c>
      <c r="P21" s="19">
        <v>23797</v>
      </c>
      <c r="Q21" s="19">
        <v>0</v>
      </c>
      <c r="R21" s="22"/>
      <c r="S21" s="19">
        <v>0</v>
      </c>
      <c r="T21" s="19">
        <v>23797</v>
      </c>
      <c r="U21" s="19">
        <v>0</v>
      </c>
      <c r="V21" s="3"/>
      <c r="W21" s="23">
        <v>0</v>
      </c>
      <c r="X21" s="24" t="s">
        <v>72</v>
      </c>
      <c r="Y21" s="24" t="s">
        <v>52</v>
      </c>
    </row>
    <row r="22" spans="1:25" x14ac:dyDescent="0.25">
      <c r="A22" s="13">
        <v>17</v>
      </c>
      <c r="B22" s="14">
        <v>685</v>
      </c>
      <c r="C22" s="15" t="s">
        <v>308</v>
      </c>
      <c r="D22" s="16" t="s">
        <v>309</v>
      </c>
      <c r="E22" s="17" t="s">
        <v>310</v>
      </c>
      <c r="F22" s="18" t="s">
        <v>51</v>
      </c>
      <c r="G22" s="19">
        <v>78290093</v>
      </c>
      <c r="H22" s="19">
        <v>78290093</v>
      </c>
      <c r="I22" s="19">
        <v>0</v>
      </c>
      <c r="J22" s="20">
        <v>0</v>
      </c>
      <c r="K22" s="19">
        <v>108000000</v>
      </c>
      <c r="L22" s="21">
        <v>0</v>
      </c>
      <c r="M22" s="19">
        <v>6174640</v>
      </c>
      <c r="N22" s="19">
        <v>0</v>
      </c>
      <c r="O22" s="19">
        <v>0</v>
      </c>
      <c r="P22" s="19">
        <v>27186</v>
      </c>
      <c r="Q22" s="19">
        <v>0</v>
      </c>
      <c r="R22" s="22"/>
      <c r="S22" s="19">
        <v>0</v>
      </c>
      <c r="T22" s="19">
        <v>27186</v>
      </c>
      <c r="U22" s="19">
        <v>0</v>
      </c>
      <c r="V22" s="3"/>
      <c r="W22" s="23">
        <v>0</v>
      </c>
      <c r="X22" s="24" t="s">
        <v>72</v>
      </c>
      <c r="Y22" s="24" t="s">
        <v>52</v>
      </c>
    </row>
    <row r="23" spans="1:25" x14ac:dyDescent="0.25">
      <c r="A23" s="13">
        <v>18</v>
      </c>
      <c r="B23" s="14">
        <v>704</v>
      </c>
      <c r="C23" s="15" t="s">
        <v>311</v>
      </c>
      <c r="D23" s="16" t="s">
        <v>312</v>
      </c>
      <c r="E23" s="17" t="s">
        <v>313</v>
      </c>
      <c r="F23" s="18" t="s">
        <v>51</v>
      </c>
      <c r="G23" s="19">
        <v>75929213</v>
      </c>
      <c r="H23" s="19">
        <v>75929213</v>
      </c>
      <c r="I23" s="19">
        <v>0</v>
      </c>
      <c r="J23" s="20">
        <v>0</v>
      </c>
      <c r="K23" s="19">
        <v>108000000</v>
      </c>
      <c r="L23" s="21">
        <v>0</v>
      </c>
      <c r="M23" s="19">
        <v>6060154</v>
      </c>
      <c r="N23" s="19">
        <v>0</v>
      </c>
      <c r="O23" s="19">
        <v>0</v>
      </c>
      <c r="P23" s="19">
        <v>14192</v>
      </c>
      <c r="Q23" s="19">
        <v>0</v>
      </c>
      <c r="R23" s="22"/>
      <c r="S23" s="19">
        <v>0</v>
      </c>
      <c r="T23" s="19">
        <v>14192</v>
      </c>
      <c r="U23" s="19">
        <v>0</v>
      </c>
      <c r="V23" s="3"/>
      <c r="W23" s="23">
        <v>0</v>
      </c>
      <c r="X23" s="24" t="s">
        <v>72</v>
      </c>
      <c r="Y23" s="24" t="s">
        <v>52</v>
      </c>
    </row>
    <row r="24" spans="1:25" x14ac:dyDescent="0.25">
      <c r="A24" s="13">
        <v>19</v>
      </c>
      <c r="B24" s="14">
        <v>833</v>
      </c>
      <c r="C24" s="15" t="s">
        <v>347</v>
      </c>
      <c r="D24" s="16" t="s">
        <v>348</v>
      </c>
      <c r="E24" s="17" t="s">
        <v>349</v>
      </c>
      <c r="F24" s="18" t="s">
        <v>51</v>
      </c>
      <c r="G24" s="19">
        <v>75278641</v>
      </c>
      <c r="H24" s="19">
        <v>75278641</v>
      </c>
      <c r="I24" s="19">
        <v>0</v>
      </c>
      <c r="J24" s="20">
        <v>0</v>
      </c>
      <c r="K24" s="19">
        <v>108000000</v>
      </c>
      <c r="L24" s="21">
        <v>0</v>
      </c>
      <c r="M24" s="19">
        <v>6140215</v>
      </c>
      <c r="N24" s="19">
        <v>0</v>
      </c>
      <c r="O24" s="19">
        <v>0</v>
      </c>
      <c r="P24" s="19">
        <v>14732</v>
      </c>
      <c r="Q24" s="19">
        <v>0</v>
      </c>
      <c r="R24" s="22"/>
      <c r="S24" s="19">
        <v>0</v>
      </c>
      <c r="T24" s="19">
        <v>14732</v>
      </c>
      <c r="U24" s="19">
        <v>0</v>
      </c>
      <c r="V24" s="3"/>
      <c r="W24" s="23">
        <v>0</v>
      </c>
      <c r="X24" s="24" t="s">
        <v>72</v>
      </c>
      <c r="Y24" s="24" t="s">
        <v>52</v>
      </c>
    </row>
    <row r="25" spans="1:25" x14ac:dyDescent="0.25">
      <c r="A25" s="13">
        <v>20</v>
      </c>
      <c r="B25" s="14">
        <v>839</v>
      </c>
      <c r="C25" s="15" t="s">
        <v>350</v>
      </c>
      <c r="D25" s="16" t="s">
        <v>351</v>
      </c>
      <c r="E25" s="17" t="s">
        <v>352</v>
      </c>
      <c r="F25" s="18" t="s">
        <v>51</v>
      </c>
      <c r="G25" s="19">
        <v>85986719</v>
      </c>
      <c r="H25" s="19">
        <v>85986719</v>
      </c>
      <c r="I25" s="19">
        <v>0</v>
      </c>
      <c r="J25" s="20">
        <v>0</v>
      </c>
      <c r="K25" s="19">
        <v>108000000</v>
      </c>
      <c r="L25" s="21">
        <v>0</v>
      </c>
      <c r="M25" s="19">
        <v>6485827</v>
      </c>
      <c r="N25" s="19">
        <v>0</v>
      </c>
      <c r="O25" s="19">
        <v>0</v>
      </c>
      <c r="P25" s="19">
        <v>15333</v>
      </c>
      <c r="Q25" s="19">
        <v>0</v>
      </c>
      <c r="R25" s="22"/>
      <c r="S25" s="19">
        <v>0</v>
      </c>
      <c r="T25" s="19">
        <v>15333</v>
      </c>
      <c r="U25" s="19">
        <v>0</v>
      </c>
      <c r="V25" s="3"/>
      <c r="W25" s="23">
        <v>0</v>
      </c>
      <c r="X25" s="24" t="s">
        <v>72</v>
      </c>
      <c r="Y25" s="24" t="s">
        <v>52</v>
      </c>
    </row>
    <row r="26" spans="1:25" x14ac:dyDescent="0.25">
      <c r="A26" s="13">
        <v>21</v>
      </c>
      <c r="B26" s="14">
        <v>934</v>
      </c>
      <c r="C26" s="15" t="s">
        <v>395</v>
      </c>
      <c r="D26" s="16" t="s">
        <v>396</v>
      </c>
      <c r="E26" s="17" t="s">
        <v>397</v>
      </c>
      <c r="F26" s="18" t="s">
        <v>51</v>
      </c>
      <c r="G26" s="19">
        <v>81641307</v>
      </c>
      <c r="H26" s="19">
        <v>81641307</v>
      </c>
      <c r="I26" s="19">
        <v>0</v>
      </c>
      <c r="J26" s="20">
        <v>0</v>
      </c>
      <c r="K26" s="19">
        <v>108000000</v>
      </c>
      <c r="L26" s="21">
        <v>0</v>
      </c>
      <c r="M26" s="19">
        <v>6032998</v>
      </c>
      <c r="N26" s="19">
        <v>0</v>
      </c>
      <c r="O26" s="19">
        <v>0</v>
      </c>
      <c r="P26" s="19">
        <v>47474</v>
      </c>
      <c r="Q26" s="19">
        <v>0</v>
      </c>
      <c r="R26" s="22"/>
      <c r="S26" s="19">
        <v>0</v>
      </c>
      <c r="T26" s="19">
        <v>47474</v>
      </c>
      <c r="U26" s="19">
        <v>0</v>
      </c>
      <c r="V26" s="3"/>
      <c r="W26" s="23">
        <v>0</v>
      </c>
      <c r="X26" s="24" t="s">
        <v>72</v>
      </c>
      <c r="Y26" s="24" t="s">
        <v>52</v>
      </c>
    </row>
    <row r="27" spans="1:25" x14ac:dyDescent="0.25">
      <c r="A27" s="13">
        <v>22</v>
      </c>
      <c r="B27" s="14">
        <v>961</v>
      </c>
      <c r="C27" s="15" t="s">
        <v>398</v>
      </c>
      <c r="D27" s="16" t="s">
        <v>399</v>
      </c>
      <c r="E27" s="17" t="s">
        <v>400</v>
      </c>
      <c r="F27" s="18" t="s">
        <v>51</v>
      </c>
      <c r="G27" s="19">
        <v>83107757</v>
      </c>
      <c r="H27" s="19">
        <v>83107757</v>
      </c>
      <c r="I27" s="19">
        <v>0</v>
      </c>
      <c r="J27" s="20">
        <v>0</v>
      </c>
      <c r="K27" s="19">
        <v>108000000</v>
      </c>
      <c r="L27" s="21">
        <v>0</v>
      </c>
      <c r="M27" s="19">
        <v>6062966</v>
      </c>
      <c r="N27" s="19">
        <v>0</v>
      </c>
      <c r="O27" s="19">
        <v>0</v>
      </c>
      <c r="P27" s="19">
        <v>26823</v>
      </c>
      <c r="Q27" s="19">
        <v>0</v>
      </c>
      <c r="R27" s="22"/>
      <c r="S27" s="19">
        <v>0</v>
      </c>
      <c r="T27" s="19">
        <v>26823</v>
      </c>
      <c r="U27" s="19">
        <v>0</v>
      </c>
      <c r="V27" s="3"/>
      <c r="W27" s="23">
        <v>0</v>
      </c>
      <c r="X27" s="24" t="s">
        <v>72</v>
      </c>
      <c r="Y27" s="24" t="s">
        <v>52</v>
      </c>
    </row>
    <row r="28" spans="1:25" x14ac:dyDescent="0.25">
      <c r="A28" s="13">
        <v>23</v>
      </c>
      <c r="B28" s="14">
        <v>969</v>
      </c>
      <c r="C28" s="15" t="s">
        <v>401</v>
      </c>
      <c r="D28" s="16" t="s">
        <v>402</v>
      </c>
      <c r="E28" s="17" t="s">
        <v>403</v>
      </c>
      <c r="F28" s="18" t="s">
        <v>51</v>
      </c>
      <c r="G28" s="19">
        <v>78410135</v>
      </c>
      <c r="H28" s="19">
        <v>78410135</v>
      </c>
      <c r="I28" s="19">
        <v>0</v>
      </c>
      <c r="J28" s="20">
        <v>0</v>
      </c>
      <c r="K28" s="19">
        <v>108000000</v>
      </c>
      <c r="L28" s="21">
        <v>0</v>
      </c>
      <c r="M28" s="19">
        <v>6142977</v>
      </c>
      <c r="N28" s="19">
        <v>0</v>
      </c>
      <c r="O28" s="19">
        <v>0</v>
      </c>
      <c r="P28" s="19">
        <v>18320</v>
      </c>
      <c r="Q28" s="19">
        <v>0</v>
      </c>
      <c r="R28" s="22"/>
      <c r="S28" s="19">
        <v>0</v>
      </c>
      <c r="T28" s="19">
        <v>18320</v>
      </c>
      <c r="U28" s="19">
        <v>0</v>
      </c>
      <c r="V28" s="3"/>
      <c r="W28" s="23">
        <v>0</v>
      </c>
      <c r="X28" s="24" t="s">
        <v>72</v>
      </c>
      <c r="Y28" s="24" t="s">
        <v>52</v>
      </c>
    </row>
    <row r="29" spans="1:25" x14ac:dyDescent="0.25">
      <c r="A29" s="13">
        <v>24</v>
      </c>
      <c r="B29" s="14">
        <v>977</v>
      </c>
      <c r="C29" s="15" t="s">
        <v>404</v>
      </c>
      <c r="D29" s="16" t="s">
        <v>405</v>
      </c>
      <c r="E29" s="17" t="s">
        <v>406</v>
      </c>
      <c r="F29" s="18" t="s">
        <v>51</v>
      </c>
      <c r="G29" s="19">
        <v>79473601</v>
      </c>
      <c r="H29" s="19">
        <v>79473601</v>
      </c>
      <c r="I29" s="19">
        <v>0</v>
      </c>
      <c r="J29" s="20">
        <v>0</v>
      </c>
      <c r="K29" s="19">
        <v>108000000</v>
      </c>
      <c r="L29" s="21">
        <v>0</v>
      </c>
      <c r="M29" s="19">
        <v>6032998</v>
      </c>
      <c r="N29" s="19">
        <v>0</v>
      </c>
      <c r="O29" s="19">
        <v>0</v>
      </c>
      <c r="P29" s="19">
        <v>18299</v>
      </c>
      <c r="Q29" s="19">
        <v>0</v>
      </c>
      <c r="R29" s="22"/>
      <c r="S29" s="19">
        <v>0</v>
      </c>
      <c r="T29" s="19">
        <v>18299</v>
      </c>
      <c r="U29" s="19">
        <v>0</v>
      </c>
      <c r="V29" s="3"/>
      <c r="W29" s="23">
        <v>0</v>
      </c>
      <c r="X29" s="24" t="s">
        <v>72</v>
      </c>
      <c r="Y29" s="24" t="s">
        <v>52</v>
      </c>
    </row>
    <row r="30" spans="1:25" x14ac:dyDescent="0.25">
      <c r="A30" s="13">
        <v>25</v>
      </c>
      <c r="B30" s="14">
        <v>981</v>
      </c>
      <c r="C30" s="15" t="s">
        <v>407</v>
      </c>
      <c r="D30" s="16" t="s">
        <v>408</v>
      </c>
      <c r="E30" s="17" t="s">
        <v>409</v>
      </c>
      <c r="F30" s="18" t="s">
        <v>51</v>
      </c>
      <c r="G30" s="19">
        <v>77547860</v>
      </c>
      <c r="H30" s="19">
        <v>77547860</v>
      </c>
      <c r="I30" s="19">
        <v>0</v>
      </c>
      <c r="J30" s="20">
        <v>0</v>
      </c>
      <c r="K30" s="19">
        <v>108000000</v>
      </c>
      <c r="L30" s="21">
        <v>0</v>
      </c>
      <c r="M30" s="19">
        <v>6082083</v>
      </c>
      <c r="N30" s="19">
        <v>0</v>
      </c>
      <c r="O30" s="19">
        <v>0</v>
      </c>
      <c r="P30" s="19">
        <v>18790</v>
      </c>
      <c r="Q30" s="19">
        <v>0</v>
      </c>
      <c r="R30" s="22"/>
      <c r="S30" s="19">
        <v>0</v>
      </c>
      <c r="T30" s="19">
        <v>18790</v>
      </c>
      <c r="U30" s="19">
        <v>0</v>
      </c>
      <c r="V30" s="3"/>
      <c r="W30" s="23">
        <v>0</v>
      </c>
      <c r="X30" s="24" t="s">
        <v>72</v>
      </c>
      <c r="Y30" s="24" t="s">
        <v>52</v>
      </c>
    </row>
    <row r="31" spans="1:25" x14ac:dyDescent="0.25">
      <c r="A31" s="13">
        <v>26</v>
      </c>
      <c r="B31" s="14">
        <v>1224</v>
      </c>
      <c r="C31" s="15" t="s">
        <v>497</v>
      </c>
      <c r="D31" s="16" t="s">
        <v>498</v>
      </c>
      <c r="E31" s="17" t="s">
        <v>499</v>
      </c>
      <c r="F31" s="18" t="s">
        <v>51</v>
      </c>
      <c r="G31" s="19">
        <v>75020908</v>
      </c>
      <c r="H31" s="19">
        <v>75020908</v>
      </c>
      <c r="I31" s="19">
        <v>0</v>
      </c>
      <c r="J31" s="20">
        <v>0</v>
      </c>
      <c r="K31" s="19">
        <v>108000000</v>
      </c>
      <c r="L31" s="21">
        <v>0</v>
      </c>
      <c r="M31" s="19">
        <v>5804902</v>
      </c>
      <c r="N31" s="19">
        <v>0</v>
      </c>
      <c r="O31" s="19">
        <v>0</v>
      </c>
      <c r="P31" s="19">
        <v>31094</v>
      </c>
      <c r="Q31" s="19">
        <v>0</v>
      </c>
      <c r="R31" s="22"/>
      <c r="S31" s="19">
        <v>0</v>
      </c>
      <c r="T31" s="19">
        <v>31094</v>
      </c>
      <c r="U31" s="19">
        <v>0</v>
      </c>
      <c r="V31" s="3"/>
      <c r="W31" s="23">
        <v>0</v>
      </c>
      <c r="X31" s="24" t="s">
        <v>72</v>
      </c>
      <c r="Y31" s="24" t="s">
        <v>229</v>
      </c>
    </row>
    <row r="32" spans="1:25" x14ac:dyDescent="0.25">
      <c r="A32" s="13">
        <v>27</v>
      </c>
      <c r="B32" s="14">
        <v>1229</v>
      </c>
      <c r="C32" s="15" t="s">
        <v>500</v>
      </c>
      <c r="D32" s="16" t="s">
        <v>501</v>
      </c>
      <c r="E32" s="17" t="s">
        <v>502</v>
      </c>
      <c r="F32" s="18" t="s">
        <v>51</v>
      </c>
      <c r="G32" s="19">
        <v>80795796</v>
      </c>
      <c r="H32" s="19">
        <v>80795796</v>
      </c>
      <c r="I32" s="19">
        <v>0</v>
      </c>
      <c r="J32" s="20">
        <v>0</v>
      </c>
      <c r="K32" s="19">
        <v>108000000</v>
      </c>
      <c r="L32" s="21">
        <v>0</v>
      </c>
      <c r="M32" s="19">
        <v>5844230</v>
      </c>
      <c r="N32" s="19">
        <v>0</v>
      </c>
      <c r="O32" s="19">
        <v>0</v>
      </c>
      <c r="P32" s="19">
        <v>35341</v>
      </c>
      <c r="Q32" s="19">
        <v>0</v>
      </c>
      <c r="R32" s="22"/>
      <c r="S32" s="19">
        <v>0</v>
      </c>
      <c r="T32" s="19">
        <v>35341</v>
      </c>
      <c r="U32" s="19">
        <v>0</v>
      </c>
      <c r="V32" s="3"/>
      <c r="W32" s="23">
        <v>0</v>
      </c>
      <c r="X32" s="24" t="s">
        <v>72</v>
      </c>
      <c r="Y32" s="24" t="s">
        <v>229</v>
      </c>
    </row>
    <row r="33" spans="1:25" x14ac:dyDescent="0.25">
      <c r="A33" s="13">
        <v>28</v>
      </c>
      <c r="B33" s="14">
        <v>1277</v>
      </c>
      <c r="C33" s="15" t="s">
        <v>515</v>
      </c>
      <c r="D33" s="16" t="s">
        <v>516</v>
      </c>
      <c r="E33" s="17" t="s">
        <v>517</v>
      </c>
      <c r="F33" s="18" t="s">
        <v>51</v>
      </c>
      <c r="G33" s="19">
        <v>75757872</v>
      </c>
      <c r="H33" s="19">
        <v>75757872</v>
      </c>
      <c r="I33" s="19">
        <v>0</v>
      </c>
      <c r="J33" s="20">
        <v>0</v>
      </c>
      <c r="K33" s="19">
        <v>108000000</v>
      </c>
      <c r="L33" s="21">
        <v>0</v>
      </c>
      <c r="M33" s="19">
        <v>5804902</v>
      </c>
      <c r="N33" s="19">
        <v>0</v>
      </c>
      <c r="O33" s="19">
        <v>0</v>
      </c>
      <c r="P33" s="19">
        <v>16347</v>
      </c>
      <c r="Q33" s="19">
        <v>0</v>
      </c>
      <c r="R33" s="22"/>
      <c r="S33" s="19">
        <v>0</v>
      </c>
      <c r="T33" s="19">
        <v>16347</v>
      </c>
      <c r="U33" s="19">
        <v>0</v>
      </c>
      <c r="V33" s="3"/>
      <c r="W33" s="23">
        <v>0</v>
      </c>
      <c r="X33" s="24" t="s">
        <v>72</v>
      </c>
      <c r="Y33" s="24" t="s">
        <v>229</v>
      </c>
    </row>
    <row r="34" spans="1:25" x14ac:dyDescent="0.25">
      <c r="A34" s="13">
        <v>29</v>
      </c>
      <c r="B34" s="14">
        <v>1282</v>
      </c>
      <c r="C34" s="15" t="s">
        <v>518</v>
      </c>
      <c r="D34" s="16" t="s">
        <v>519</v>
      </c>
      <c r="E34" s="17" t="s">
        <v>520</v>
      </c>
      <c r="F34" s="18" t="s">
        <v>51</v>
      </c>
      <c r="G34" s="19">
        <v>80098498</v>
      </c>
      <c r="H34" s="19">
        <v>80098498</v>
      </c>
      <c r="I34" s="19">
        <v>0</v>
      </c>
      <c r="J34" s="20">
        <v>0</v>
      </c>
      <c r="K34" s="19">
        <v>108000000</v>
      </c>
      <c r="L34" s="21">
        <v>0</v>
      </c>
      <c r="M34" s="19">
        <v>5900019</v>
      </c>
      <c r="N34" s="19">
        <v>0</v>
      </c>
      <c r="O34" s="19">
        <v>0</v>
      </c>
      <c r="P34" s="19">
        <v>23159</v>
      </c>
      <c r="Q34" s="19">
        <v>0</v>
      </c>
      <c r="R34" s="22"/>
      <c r="S34" s="19">
        <v>0</v>
      </c>
      <c r="T34" s="19">
        <v>23159</v>
      </c>
      <c r="U34" s="19">
        <v>0</v>
      </c>
      <c r="V34" s="3"/>
      <c r="W34" s="23">
        <v>0</v>
      </c>
      <c r="X34" s="24" t="s">
        <v>72</v>
      </c>
      <c r="Y34" s="24" t="s">
        <v>229</v>
      </c>
    </row>
    <row r="35" spans="1:25" x14ac:dyDescent="0.25">
      <c r="A35" s="13">
        <v>30</v>
      </c>
      <c r="B35" s="14">
        <v>1336</v>
      </c>
      <c r="C35" s="15" t="s">
        <v>527</v>
      </c>
      <c r="D35" s="16" t="s">
        <v>528</v>
      </c>
      <c r="E35" s="17" t="s">
        <v>529</v>
      </c>
      <c r="F35" s="18" t="s">
        <v>51</v>
      </c>
      <c r="G35" s="19">
        <v>80638075</v>
      </c>
      <c r="H35" s="19">
        <v>80638075</v>
      </c>
      <c r="I35" s="19">
        <v>0</v>
      </c>
      <c r="J35" s="20">
        <v>0</v>
      </c>
      <c r="K35" s="19">
        <v>108000000</v>
      </c>
      <c r="L35" s="21">
        <v>0</v>
      </c>
      <c r="M35" s="19">
        <v>5844230</v>
      </c>
      <c r="N35" s="19">
        <v>0</v>
      </c>
      <c r="O35" s="19">
        <v>0</v>
      </c>
      <c r="P35" s="19">
        <v>30671</v>
      </c>
      <c r="Q35" s="19">
        <v>0</v>
      </c>
      <c r="R35" s="22"/>
      <c r="S35" s="19">
        <v>0</v>
      </c>
      <c r="T35" s="19">
        <v>30671</v>
      </c>
      <c r="U35" s="19">
        <v>0</v>
      </c>
      <c r="V35" s="3"/>
      <c r="W35" s="23">
        <v>0</v>
      </c>
      <c r="X35" s="24" t="s">
        <v>72</v>
      </c>
      <c r="Y35" s="24" t="s">
        <v>229</v>
      </c>
    </row>
    <row r="36" spans="1:25" x14ac:dyDescent="0.25">
      <c r="A36" s="13">
        <v>31</v>
      </c>
      <c r="B36" s="14">
        <v>1421</v>
      </c>
      <c r="C36" s="15" t="s">
        <v>538</v>
      </c>
      <c r="D36" s="16" t="s">
        <v>539</v>
      </c>
      <c r="E36" s="17" t="s">
        <v>540</v>
      </c>
      <c r="F36" s="18" t="s">
        <v>51</v>
      </c>
      <c r="G36" s="19">
        <v>76963148</v>
      </c>
      <c r="H36" s="19">
        <v>76963148</v>
      </c>
      <c r="I36" s="19">
        <v>0</v>
      </c>
      <c r="J36" s="20">
        <v>0</v>
      </c>
      <c r="K36" s="19">
        <v>108000000</v>
      </c>
      <c r="L36" s="21">
        <v>0</v>
      </c>
      <c r="M36" s="19">
        <v>5939982</v>
      </c>
      <c r="N36" s="19">
        <v>0</v>
      </c>
      <c r="O36" s="19">
        <v>0</v>
      </c>
      <c r="P36" s="19">
        <v>19670</v>
      </c>
      <c r="Q36" s="19">
        <v>0</v>
      </c>
      <c r="R36" s="22"/>
      <c r="S36" s="19">
        <v>0</v>
      </c>
      <c r="T36" s="19">
        <v>19670</v>
      </c>
      <c r="U36" s="19">
        <v>0</v>
      </c>
      <c r="V36" s="3"/>
      <c r="W36" s="23">
        <v>0</v>
      </c>
      <c r="X36" s="24" t="s">
        <v>72</v>
      </c>
      <c r="Y36" s="24" t="s">
        <v>229</v>
      </c>
    </row>
    <row r="37" spans="1:25" x14ac:dyDescent="0.25">
      <c r="A37" s="13">
        <v>32</v>
      </c>
      <c r="B37" s="14">
        <v>1431</v>
      </c>
      <c r="C37" s="15" t="s">
        <v>541</v>
      </c>
      <c r="D37" s="16" t="s">
        <v>542</v>
      </c>
      <c r="E37" s="17" t="s">
        <v>543</v>
      </c>
      <c r="F37" s="18" t="s">
        <v>51</v>
      </c>
      <c r="G37" s="19">
        <v>75406577</v>
      </c>
      <c r="H37" s="19">
        <v>75406577</v>
      </c>
      <c r="I37" s="19">
        <v>0</v>
      </c>
      <c r="J37" s="20">
        <v>0</v>
      </c>
      <c r="K37" s="19">
        <v>108000000</v>
      </c>
      <c r="L37" s="21">
        <v>0</v>
      </c>
      <c r="M37" s="19">
        <v>5844230</v>
      </c>
      <c r="N37" s="19">
        <v>0</v>
      </c>
      <c r="O37" s="19">
        <v>0</v>
      </c>
      <c r="P37" s="19">
        <v>31281</v>
      </c>
      <c r="Q37" s="19">
        <v>0</v>
      </c>
      <c r="R37" s="22"/>
      <c r="S37" s="19">
        <v>0</v>
      </c>
      <c r="T37" s="19">
        <v>31281</v>
      </c>
      <c r="U37" s="19">
        <v>0</v>
      </c>
      <c r="V37" s="3"/>
      <c r="W37" s="23">
        <v>0</v>
      </c>
      <c r="X37" s="24" t="s">
        <v>72</v>
      </c>
      <c r="Y37" s="24" t="s">
        <v>229</v>
      </c>
    </row>
    <row r="38" spans="1:25" x14ac:dyDescent="0.25">
      <c r="A38" s="13">
        <v>33</v>
      </c>
      <c r="B38" s="14">
        <v>1456</v>
      </c>
      <c r="C38" s="15" t="s">
        <v>547</v>
      </c>
      <c r="D38" s="16" t="s">
        <v>548</v>
      </c>
      <c r="E38" s="17" t="s">
        <v>549</v>
      </c>
      <c r="F38" s="18" t="s">
        <v>51</v>
      </c>
      <c r="G38" s="19">
        <v>76510311</v>
      </c>
      <c r="H38" s="19">
        <v>76510311</v>
      </c>
      <c r="I38" s="19">
        <v>0</v>
      </c>
      <c r="J38" s="20">
        <v>0</v>
      </c>
      <c r="K38" s="19">
        <v>108000000</v>
      </c>
      <c r="L38" s="21">
        <v>0</v>
      </c>
      <c r="M38" s="19">
        <v>5804902</v>
      </c>
      <c r="N38" s="19">
        <v>0</v>
      </c>
      <c r="O38" s="19">
        <v>0</v>
      </c>
      <c r="P38" s="19">
        <v>11274</v>
      </c>
      <c r="Q38" s="19">
        <v>0</v>
      </c>
      <c r="R38" s="22"/>
      <c r="S38" s="19">
        <v>0</v>
      </c>
      <c r="T38" s="19">
        <v>11274</v>
      </c>
      <c r="U38" s="19">
        <v>0</v>
      </c>
      <c r="V38" s="3"/>
      <c r="W38" s="23">
        <v>0</v>
      </c>
      <c r="X38" s="24" t="s">
        <v>72</v>
      </c>
      <c r="Y38" s="24" t="s">
        <v>229</v>
      </c>
    </row>
  </sheetData>
  <autoFilter ref="A5:Y38"/>
  <mergeCells count="22">
    <mergeCell ref="G2:I2"/>
    <mergeCell ref="A2:A4"/>
    <mergeCell ref="C2:C4"/>
    <mergeCell ref="D2:D4"/>
    <mergeCell ref="E2:E4"/>
    <mergeCell ref="F2:F4"/>
    <mergeCell ref="X2:X4"/>
    <mergeCell ref="Y2:Y4"/>
    <mergeCell ref="G3:G4"/>
    <mergeCell ref="H3:I3"/>
    <mergeCell ref="J3:J4"/>
    <mergeCell ref="K3:K4"/>
    <mergeCell ref="L3:L4"/>
    <mergeCell ref="M3:M4"/>
    <mergeCell ref="N3:N4"/>
    <mergeCell ref="S3:S4"/>
    <mergeCell ref="J2:N2"/>
    <mergeCell ref="O2:O4"/>
    <mergeCell ref="P2:P4"/>
    <mergeCell ref="Q2:Q4"/>
    <mergeCell ref="S2:U2"/>
    <mergeCell ref="W2:W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76"/>
  <sheetViews>
    <sheetView topLeftCell="A28" workbookViewId="0">
      <selection activeCell="D5" sqref="D5:E74"/>
    </sheetView>
  </sheetViews>
  <sheetFormatPr defaultRowHeight="15" x14ac:dyDescent="0.25"/>
  <cols>
    <col min="1" max="1" width="8" style="51" customWidth="1"/>
    <col min="2" max="2" width="14.42578125" customWidth="1"/>
    <col min="3" max="3" width="23" customWidth="1"/>
    <col min="4" max="4" width="11" customWidth="1"/>
    <col min="5" max="5" width="15.7109375" customWidth="1"/>
    <col min="6" max="6" width="16.7109375" customWidth="1"/>
    <col min="7" max="7" width="10.140625" customWidth="1"/>
  </cols>
  <sheetData>
    <row r="1" spans="1:7" ht="30.75" customHeight="1" x14ac:dyDescent="0.25">
      <c r="A1" s="72" t="s">
        <v>608</v>
      </c>
    </row>
    <row r="2" spans="1:7" x14ac:dyDescent="0.25">
      <c r="C2" s="71" t="s">
        <v>609</v>
      </c>
      <c r="D2" s="73" t="s">
        <v>615</v>
      </c>
    </row>
    <row r="3" spans="1:7" ht="11.25" customHeight="1" x14ac:dyDescent="0.25"/>
    <row r="4" spans="1:7" ht="25.5" customHeight="1" x14ac:dyDescent="0.25">
      <c r="A4" s="53" t="s">
        <v>610</v>
      </c>
      <c r="B4" s="53" t="s">
        <v>611</v>
      </c>
      <c r="C4" s="53" t="s">
        <v>612</v>
      </c>
      <c r="D4" s="53" t="s">
        <v>12</v>
      </c>
      <c r="E4" s="53" t="s">
        <v>13</v>
      </c>
      <c r="F4" s="53" t="s">
        <v>614</v>
      </c>
      <c r="G4" s="53" t="s">
        <v>613</v>
      </c>
    </row>
    <row r="5" spans="1:7" ht="17.25" customHeight="1" x14ac:dyDescent="0.25">
      <c r="A5" s="62">
        <v>1</v>
      </c>
      <c r="B5" s="63">
        <v>115</v>
      </c>
      <c r="C5" s="64" t="s">
        <v>56</v>
      </c>
      <c r="D5" s="64">
        <v>8511</v>
      </c>
      <c r="E5" s="64" t="s">
        <v>52</v>
      </c>
      <c r="F5" s="64"/>
      <c r="G5" s="64"/>
    </row>
    <row r="6" spans="1:7" ht="17.25" customHeight="1" x14ac:dyDescent="0.25">
      <c r="A6" s="65">
        <v>2</v>
      </c>
      <c r="B6" s="66">
        <v>124</v>
      </c>
      <c r="C6" s="67" t="s">
        <v>59</v>
      </c>
      <c r="D6" s="67">
        <v>8511</v>
      </c>
      <c r="E6" s="67" t="s">
        <v>62</v>
      </c>
      <c r="F6" s="67"/>
      <c r="G6" s="67"/>
    </row>
    <row r="7" spans="1:7" ht="17.25" customHeight="1" x14ac:dyDescent="0.25">
      <c r="A7" s="65">
        <v>3</v>
      </c>
      <c r="B7" s="66">
        <v>127</v>
      </c>
      <c r="C7" s="67" t="s">
        <v>63</v>
      </c>
      <c r="D7" s="67">
        <v>8511</v>
      </c>
      <c r="E7" s="67" t="s">
        <v>62</v>
      </c>
      <c r="F7" s="67"/>
      <c r="G7" s="67"/>
    </row>
    <row r="8" spans="1:7" ht="17.25" customHeight="1" x14ac:dyDescent="0.25">
      <c r="A8" s="65">
        <v>4</v>
      </c>
      <c r="B8" s="66">
        <v>247</v>
      </c>
      <c r="C8" s="67" t="s">
        <v>88</v>
      </c>
      <c r="D8" s="67">
        <v>8511</v>
      </c>
      <c r="E8" s="67" t="s">
        <v>52</v>
      </c>
      <c r="F8" s="67"/>
      <c r="G8" s="67"/>
    </row>
    <row r="9" spans="1:7" ht="17.25" customHeight="1" x14ac:dyDescent="0.25">
      <c r="A9" s="65">
        <v>5</v>
      </c>
      <c r="B9" s="66">
        <v>248</v>
      </c>
      <c r="C9" s="67" t="s">
        <v>91</v>
      </c>
      <c r="D9" s="67">
        <v>8511</v>
      </c>
      <c r="E9" s="67" t="s">
        <v>52</v>
      </c>
      <c r="F9" s="67"/>
      <c r="G9" s="67"/>
    </row>
    <row r="10" spans="1:7" ht="17.25" customHeight="1" x14ac:dyDescent="0.25">
      <c r="A10" s="65">
        <v>6</v>
      </c>
      <c r="B10" s="66">
        <v>250</v>
      </c>
      <c r="C10" s="67" t="s">
        <v>94</v>
      </c>
      <c r="D10" s="67">
        <v>8511</v>
      </c>
      <c r="E10" s="67" t="s">
        <v>52</v>
      </c>
      <c r="F10" s="67"/>
      <c r="G10" s="67"/>
    </row>
    <row r="11" spans="1:7" ht="17.25" customHeight="1" x14ac:dyDescent="0.25">
      <c r="A11" s="65">
        <v>7</v>
      </c>
      <c r="B11" s="66">
        <v>271</v>
      </c>
      <c r="C11" s="67" t="s">
        <v>103</v>
      </c>
      <c r="D11" s="67">
        <v>8511</v>
      </c>
      <c r="E11" s="67" t="s">
        <v>62</v>
      </c>
      <c r="F11" s="67"/>
      <c r="G11" s="67"/>
    </row>
    <row r="12" spans="1:7" ht="17.25" customHeight="1" x14ac:dyDescent="0.25">
      <c r="A12" s="65">
        <v>8</v>
      </c>
      <c r="B12" s="66">
        <v>282</v>
      </c>
      <c r="C12" s="67" t="s">
        <v>115</v>
      </c>
      <c r="D12" s="67">
        <v>8511</v>
      </c>
      <c r="E12" s="67" t="s">
        <v>52</v>
      </c>
      <c r="F12" s="67"/>
      <c r="G12" s="67"/>
    </row>
    <row r="13" spans="1:7" ht="17.25" customHeight="1" x14ac:dyDescent="0.25">
      <c r="A13" s="65">
        <v>9</v>
      </c>
      <c r="B13" s="66">
        <v>283</v>
      </c>
      <c r="C13" s="67" t="s">
        <v>118</v>
      </c>
      <c r="D13" s="67">
        <v>8511</v>
      </c>
      <c r="E13" s="67" t="s">
        <v>52</v>
      </c>
      <c r="F13" s="67"/>
      <c r="G13" s="67"/>
    </row>
    <row r="14" spans="1:7" ht="17.25" customHeight="1" x14ac:dyDescent="0.25">
      <c r="A14" s="65">
        <v>10</v>
      </c>
      <c r="B14" s="66">
        <v>376</v>
      </c>
      <c r="C14" s="67" t="s">
        <v>139</v>
      </c>
      <c r="D14" s="67">
        <v>8511</v>
      </c>
      <c r="E14" s="67" t="s">
        <v>52</v>
      </c>
      <c r="F14" s="67"/>
      <c r="G14" s="67"/>
    </row>
    <row r="15" spans="1:7" ht="17.25" customHeight="1" x14ac:dyDescent="0.25">
      <c r="A15" s="65">
        <v>11</v>
      </c>
      <c r="B15" s="66">
        <v>377</v>
      </c>
      <c r="C15" s="67" t="s">
        <v>142</v>
      </c>
      <c r="D15" s="67">
        <v>8511</v>
      </c>
      <c r="E15" s="67" t="s">
        <v>52</v>
      </c>
      <c r="F15" s="67"/>
      <c r="G15" s="67"/>
    </row>
    <row r="16" spans="1:7" ht="17.25" customHeight="1" x14ac:dyDescent="0.25">
      <c r="A16" s="65">
        <v>12</v>
      </c>
      <c r="B16" s="66">
        <v>379</v>
      </c>
      <c r="C16" s="67" t="s">
        <v>145</v>
      </c>
      <c r="D16" s="67">
        <v>8511</v>
      </c>
      <c r="E16" s="67" t="s">
        <v>52</v>
      </c>
      <c r="F16" s="67"/>
      <c r="G16" s="67"/>
    </row>
    <row r="17" spans="1:7" ht="17.25" customHeight="1" x14ac:dyDescent="0.25">
      <c r="A17" s="65">
        <v>13</v>
      </c>
      <c r="B17" s="66">
        <v>381</v>
      </c>
      <c r="C17" s="67" t="s">
        <v>148</v>
      </c>
      <c r="D17" s="67">
        <v>8511</v>
      </c>
      <c r="E17" s="67" t="s">
        <v>62</v>
      </c>
      <c r="F17" s="67"/>
      <c r="G17" s="67"/>
    </row>
    <row r="18" spans="1:7" ht="17.25" customHeight="1" x14ac:dyDescent="0.25">
      <c r="A18" s="65">
        <v>14</v>
      </c>
      <c r="B18" s="66">
        <v>382</v>
      </c>
      <c r="C18" s="67" t="s">
        <v>151</v>
      </c>
      <c r="D18" s="67">
        <v>8511</v>
      </c>
      <c r="E18" s="67" t="s">
        <v>52</v>
      </c>
      <c r="F18" s="67"/>
      <c r="G18" s="67"/>
    </row>
    <row r="19" spans="1:7" ht="17.25" customHeight="1" x14ac:dyDescent="0.25">
      <c r="A19" s="65">
        <v>15</v>
      </c>
      <c r="B19" s="66">
        <v>384</v>
      </c>
      <c r="C19" s="67" t="s">
        <v>154</v>
      </c>
      <c r="D19" s="67">
        <v>8511</v>
      </c>
      <c r="E19" s="67" t="s">
        <v>52</v>
      </c>
      <c r="F19" s="67"/>
      <c r="G19" s="67"/>
    </row>
    <row r="20" spans="1:7" ht="17.25" customHeight="1" x14ac:dyDescent="0.25">
      <c r="A20" s="65">
        <v>16</v>
      </c>
      <c r="B20" s="66">
        <v>385</v>
      </c>
      <c r="C20" s="67" t="s">
        <v>157</v>
      </c>
      <c r="D20" s="67">
        <v>8511</v>
      </c>
      <c r="E20" s="67" t="s">
        <v>52</v>
      </c>
      <c r="F20" s="67"/>
      <c r="G20" s="67"/>
    </row>
    <row r="21" spans="1:7" ht="17.25" customHeight="1" x14ac:dyDescent="0.25">
      <c r="A21" s="65">
        <v>17</v>
      </c>
      <c r="B21" s="66">
        <v>388</v>
      </c>
      <c r="C21" s="67" t="s">
        <v>160</v>
      </c>
      <c r="D21" s="67">
        <v>8511</v>
      </c>
      <c r="E21" s="67" t="s">
        <v>52</v>
      </c>
      <c r="F21" s="67"/>
      <c r="G21" s="67"/>
    </row>
    <row r="22" spans="1:7" ht="17.25" customHeight="1" x14ac:dyDescent="0.25">
      <c r="A22" s="65">
        <v>18</v>
      </c>
      <c r="B22" s="66">
        <v>393</v>
      </c>
      <c r="C22" s="67" t="s">
        <v>163</v>
      </c>
      <c r="D22" s="67">
        <v>8511</v>
      </c>
      <c r="E22" s="67" t="s">
        <v>52</v>
      </c>
      <c r="F22" s="67"/>
      <c r="G22" s="67"/>
    </row>
    <row r="23" spans="1:7" ht="17.25" customHeight="1" x14ac:dyDescent="0.25">
      <c r="A23" s="65">
        <v>19</v>
      </c>
      <c r="B23" s="66">
        <v>394</v>
      </c>
      <c r="C23" s="67" t="s">
        <v>166</v>
      </c>
      <c r="D23" s="67">
        <v>8511</v>
      </c>
      <c r="E23" s="67" t="s">
        <v>52</v>
      </c>
      <c r="F23" s="67"/>
      <c r="G23" s="67"/>
    </row>
    <row r="24" spans="1:7" ht="17.25" customHeight="1" x14ac:dyDescent="0.25">
      <c r="A24" s="65">
        <v>20</v>
      </c>
      <c r="B24" s="66">
        <v>426</v>
      </c>
      <c r="C24" s="67" t="s">
        <v>169</v>
      </c>
      <c r="D24" s="67">
        <v>8511</v>
      </c>
      <c r="E24" s="67" t="s">
        <v>52</v>
      </c>
      <c r="F24" s="67"/>
      <c r="G24" s="67"/>
    </row>
    <row r="25" spans="1:7" ht="17.25" customHeight="1" x14ac:dyDescent="0.25">
      <c r="A25" s="65">
        <v>21</v>
      </c>
      <c r="B25" s="66">
        <v>440</v>
      </c>
      <c r="C25" s="67" t="s">
        <v>172</v>
      </c>
      <c r="D25" s="67">
        <v>8511</v>
      </c>
      <c r="E25" s="67" t="s">
        <v>52</v>
      </c>
      <c r="F25" s="67"/>
      <c r="G25" s="67"/>
    </row>
    <row r="26" spans="1:7" ht="17.25" customHeight="1" x14ac:dyDescent="0.25">
      <c r="A26" s="65">
        <v>22</v>
      </c>
      <c r="B26" s="66">
        <v>476</v>
      </c>
      <c r="C26" s="67" t="s">
        <v>190</v>
      </c>
      <c r="D26" s="67">
        <v>8511</v>
      </c>
      <c r="E26" s="67" t="s">
        <v>52</v>
      </c>
      <c r="F26" s="67"/>
      <c r="G26" s="67"/>
    </row>
    <row r="27" spans="1:7" ht="17.25" customHeight="1" x14ac:dyDescent="0.25">
      <c r="A27" s="65">
        <v>23</v>
      </c>
      <c r="B27" s="66">
        <v>507</v>
      </c>
      <c r="C27" s="67" t="s">
        <v>211</v>
      </c>
      <c r="D27" s="67">
        <v>8511</v>
      </c>
      <c r="E27" s="67" t="s">
        <v>52</v>
      </c>
      <c r="F27" s="67"/>
      <c r="G27" s="67"/>
    </row>
    <row r="28" spans="1:7" ht="17.25" customHeight="1" x14ac:dyDescent="0.25">
      <c r="A28" s="65">
        <v>24</v>
      </c>
      <c r="B28" s="66">
        <v>509</v>
      </c>
      <c r="C28" s="67" t="s">
        <v>214</v>
      </c>
      <c r="D28" s="67">
        <v>8511</v>
      </c>
      <c r="E28" s="67" t="s">
        <v>52</v>
      </c>
      <c r="F28" s="67"/>
      <c r="G28" s="67"/>
    </row>
    <row r="29" spans="1:7" ht="17.25" customHeight="1" x14ac:dyDescent="0.25">
      <c r="A29" s="65">
        <v>25</v>
      </c>
      <c r="B29" s="66">
        <v>516</v>
      </c>
      <c r="C29" s="67" t="s">
        <v>217</v>
      </c>
      <c r="D29" s="67">
        <v>8511</v>
      </c>
      <c r="E29" s="67" t="s">
        <v>52</v>
      </c>
      <c r="F29" s="67"/>
      <c r="G29" s="67"/>
    </row>
    <row r="30" spans="1:7" ht="17.25" customHeight="1" x14ac:dyDescent="0.25">
      <c r="A30" s="65">
        <v>26</v>
      </c>
      <c r="B30" s="66">
        <v>518</v>
      </c>
      <c r="C30" s="67" t="s">
        <v>220</v>
      </c>
      <c r="D30" s="67">
        <v>8511</v>
      </c>
      <c r="E30" s="67" t="s">
        <v>52</v>
      </c>
      <c r="F30" s="67"/>
      <c r="G30" s="67"/>
    </row>
    <row r="31" spans="1:7" ht="17.25" customHeight="1" x14ac:dyDescent="0.25">
      <c r="A31" s="65">
        <v>27</v>
      </c>
      <c r="B31" s="66">
        <v>523</v>
      </c>
      <c r="C31" s="67" t="s">
        <v>223</v>
      </c>
      <c r="D31" s="67">
        <v>8511</v>
      </c>
      <c r="E31" s="67" t="s">
        <v>52</v>
      </c>
      <c r="F31" s="67"/>
      <c r="G31" s="67"/>
    </row>
    <row r="32" spans="1:7" ht="17.25" customHeight="1" x14ac:dyDescent="0.25">
      <c r="A32" s="65">
        <v>28</v>
      </c>
      <c r="B32" s="66">
        <v>524</v>
      </c>
      <c r="C32" s="67" t="s">
        <v>226</v>
      </c>
      <c r="D32" s="67">
        <v>8511</v>
      </c>
      <c r="E32" s="67" t="s">
        <v>229</v>
      </c>
      <c r="F32" s="67"/>
      <c r="G32" s="67"/>
    </row>
    <row r="33" spans="1:7" ht="17.25" customHeight="1" x14ac:dyDescent="0.25">
      <c r="A33" s="65">
        <v>29</v>
      </c>
      <c r="B33" s="66">
        <v>526</v>
      </c>
      <c r="C33" s="67" t="s">
        <v>230</v>
      </c>
      <c r="D33" s="67">
        <v>8511</v>
      </c>
      <c r="E33" s="67" t="s">
        <v>52</v>
      </c>
      <c r="F33" s="67"/>
      <c r="G33" s="67"/>
    </row>
    <row r="34" spans="1:7" ht="17.25" customHeight="1" x14ac:dyDescent="0.25">
      <c r="A34" s="65">
        <v>30</v>
      </c>
      <c r="B34" s="66">
        <v>527</v>
      </c>
      <c r="C34" s="67" t="s">
        <v>233</v>
      </c>
      <c r="D34" s="67">
        <v>8511</v>
      </c>
      <c r="E34" s="67" t="s">
        <v>52</v>
      </c>
      <c r="F34" s="67"/>
      <c r="G34" s="67"/>
    </row>
    <row r="35" spans="1:7" ht="17.25" customHeight="1" x14ac:dyDescent="0.25">
      <c r="A35" s="65">
        <v>31</v>
      </c>
      <c r="B35" s="66">
        <v>528</v>
      </c>
      <c r="C35" s="67" t="s">
        <v>236</v>
      </c>
      <c r="D35" s="67">
        <v>8511</v>
      </c>
      <c r="E35" s="67" t="s">
        <v>52</v>
      </c>
      <c r="F35" s="67"/>
      <c r="G35" s="67"/>
    </row>
    <row r="36" spans="1:7" ht="17.25" customHeight="1" x14ac:dyDescent="0.25">
      <c r="A36" s="65">
        <v>32</v>
      </c>
      <c r="B36" s="66">
        <v>529</v>
      </c>
      <c r="C36" s="67" t="s">
        <v>239</v>
      </c>
      <c r="D36" s="67">
        <v>8511</v>
      </c>
      <c r="E36" s="67" t="s">
        <v>52</v>
      </c>
      <c r="F36" s="67"/>
      <c r="G36" s="67"/>
    </row>
    <row r="37" spans="1:7" ht="17.25" customHeight="1" x14ac:dyDescent="0.25">
      <c r="A37" s="65">
        <v>33</v>
      </c>
      <c r="B37" s="66">
        <v>531</v>
      </c>
      <c r="C37" s="67" t="s">
        <v>242</v>
      </c>
      <c r="D37" s="67">
        <v>8511</v>
      </c>
      <c r="E37" s="67" t="s">
        <v>52</v>
      </c>
      <c r="F37" s="67"/>
      <c r="G37" s="67"/>
    </row>
    <row r="38" spans="1:7" ht="17.25" customHeight="1" x14ac:dyDescent="0.25">
      <c r="A38" s="65">
        <v>34</v>
      </c>
      <c r="B38" s="66">
        <v>565</v>
      </c>
      <c r="C38" s="67" t="s">
        <v>257</v>
      </c>
      <c r="D38" s="67">
        <v>8511</v>
      </c>
      <c r="E38" s="67" t="s">
        <v>52</v>
      </c>
      <c r="F38" s="67"/>
      <c r="G38" s="67"/>
    </row>
    <row r="39" spans="1:7" ht="17.25" customHeight="1" x14ac:dyDescent="0.25">
      <c r="A39" s="65">
        <v>35</v>
      </c>
      <c r="B39" s="66">
        <v>566</v>
      </c>
      <c r="C39" s="67" t="s">
        <v>260</v>
      </c>
      <c r="D39" s="67">
        <v>8511</v>
      </c>
      <c r="E39" s="67" t="s">
        <v>52</v>
      </c>
      <c r="F39" s="67"/>
      <c r="G39" s="67"/>
    </row>
    <row r="40" spans="1:7" ht="17.25" customHeight="1" x14ac:dyDescent="0.25">
      <c r="A40" s="65">
        <v>36</v>
      </c>
      <c r="B40" s="66">
        <v>571</v>
      </c>
      <c r="C40" s="67" t="s">
        <v>263</v>
      </c>
      <c r="D40" s="67">
        <v>8511</v>
      </c>
      <c r="E40" s="67" t="s">
        <v>52</v>
      </c>
      <c r="F40" s="67"/>
      <c r="G40" s="67"/>
    </row>
    <row r="41" spans="1:7" ht="17.25" customHeight="1" x14ac:dyDescent="0.25">
      <c r="A41" s="65">
        <v>37</v>
      </c>
      <c r="B41" s="66">
        <v>572</v>
      </c>
      <c r="C41" s="67" t="s">
        <v>266</v>
      </c>
      <c r="D41" s="67">
        <v>8511</v>
      </c>
      <c r="E41" s="67" t="s">
        <v>52</v>
      </c>
      <c r="F41" s="67"/>
      <c r="G41" s="67"/>
    </row>
    <row r="42" spans="1:7" ht="17.25" customHeight="1" x14ac:dyDescent="0.25">
      <c r="A42" s="65">
        <v>38</v>
      </c>
      <c r="B42" s="66">
        <v>573</v>
      </c>
      <c r="C42" s="67" t="s">
        <v>269</v>
      </c>
      <c r="D42" s="67">
        <v>8511</v>
      </c>
      <c r="E42" s="67" t="s">
        <v>52</v>
      </c>
      <c r="F42" s="67"/>
      <c r="G42" s="67"/>
    </row>
    <row r="43" spans="1:7" ht="17.25" customHeight="1" x14ac:dyDescent="0.25">
      <c r="A43" s="65">
        <v>39</v>
      </c>
      <c r="B43" s="66">
        <v>576</v>
      </c>
      <c r="C43" s="67" t="s">
        <v>272</v>
      </c>
      <c r="D43" s="67">
        <v>8511</v>
      </c>
      <c r="E43" s="67" t="s">
        <v>52</v>
      </c>
      <c r="F43" s="67"/>
      <c r="G43" s="67"/>
    </row>
    <row r="44" spans="1:7" ht="17.25" customHeight="1" x14ac:dyDescent="0.25">
      <c r="A44" s="65">
        <v>40</v>
      </c>
      <c r="B44" s="66">
        <v>579</v>
      </c>
      <c r="C44" s="67" t="s">
        <v>275</v>
      </c>
      <c r="D44" s="67">
        <v>8511</v>
      </c>
      <c r="E44" s="67" t="s">
        <v>52</v>
      </c>
      <c r="F44" s="67"/>
      <c r="G44" s="67"/>
    </row>
    <row r="45" spans="1:7" ht="17.25" customHeight="1" x14ac:dyDescent="0.25">
      <c r="A45" s="65">
        <v>41</v>
      </c>
      <c r="B45" s="66">
        <v>649</v>
      </c>
      <c r="C45" s="67" t="s">
        <v>290</v>
      </c>
      <c r="D45" s="67">
        <v>8511</v>
      </c>
      <c r="E45" s="67" t="s">
        <v>52</v>
      </c>
      <c r="F45" s="67"/>
      <c r="G45" s="67"/>
    </row>
    <row r="46" spans="1:7" ht="17.25" customHeight="1" x14ac:dyDescent="0.25">
      <c r="A46" s="65">
        <v>42</v>
      </c>
      <c r="B46" s="66">
        <v>676</v>
      </c>
      <c r="C46" s="67" t="s">
        <v>302</v>
      </c>
      <c r="D46" s="67">
        <v>8511</v>
      </c>
      <c r="E46" s="67" t="s">
        <v>52</v>
      </c>
      <c r="F46" s="67"/>
      <c r="G46" s="67"/>
    </row>
    <row r="47" spans="1:7" ht="17.25" customHeight="1" x14ac:dyDescent="0.25">
      <c r="A47" s="65">
        <v>43</v>
      </c>
      <c r="B47" s="66">
        <v>735</v>
      </c>
      <c r="C47" s="67" t="s">
        <v>314</v>
      </c>
      <c r="D47" s="67">
        <v>8511</v>
      </c>
      <c r="E47" s="67" t="s">
        <v>52</v>
      </c>
      <c r="F47" s="67"/>
      <c r="G47" s="67"/>
    </row>
    <row r="48" spans="1:7" ht="17.25" customHeight="1" x14ac:dyDescent="0.25">
      <c r="A48" s="65">
        <v>44</v>
      </c>
      <c r="B48" s="66">
        <v>746</v>
      </c>
      <c r="C48" s="67" t="s">
        <v>317</v>
      </c>
      <c r="D48" s="67">
        <v>8511</v>
      </c>
      <c r="E48" s="67" t="s">
        <v>229</v>
      </c>
      <c r="F48" s="67"/>
      <c r="G48" s="67"/>
    </row>
    <row r="49" spans="1:7" ht="17.25" customHeight="1" x14ac:dyDescent="0.25">
      <c r="A49" s="65">
        <v>45</v>
      </c>
      <c r="B49" s="66">
        <v>749</v>
      </c>
      <c r="C49" s="67" t="s">
        <v>320</v>
      </c>
      <c r="D49" s="67">
        <v>8511</v>
      </c>
      <c r="E49" s="67" t="s">
        <v>52</v>
      </c>
      <c r="F49" s="67"/>
      <c r="G49" s="67"/>
    </row>
    <row r="50" spans="1:7" ht="17.25" customHeight="1" x14ac:dyDescent="0.25">
      <c r="A50" s="65">
        <v>46</v>
      </c>
      <c r="B50" s="66">
        <v>761</v>
      </c>
      <c r="C50" s="67" t="s">
        <v>323</v>
      </c>
      <c r="D50" s="67">
        <v>8511</v>
      </c>
      <c r="E50" s="67" t="s">
        <v>52</v>
      </c>
      <c r="F50" s="67"/>
      <c r="G50" s="67"/>
    </row>
    <row r="51" spans="1:7" ht="17.25" customHeight="1" x14ac:dyDescent="0.25">
      <c r="A51" s="65">
        <v>47</v>
      </c>
      <c r="B51" s="66">
        <v>867</v>
      </c>
      <c r="C51" s="67" t="s">
        <v>353</v>
      </c>
      <c r="D51" s="67">
        <v>8511</v>
      </c>
      <c r="E51" s="67" t="s">
        <v>52</v>
      </c>
      <c r="F51" s="67"/>
      <c r="G51" s="67"/>
    </row>
    <row r="52" spans="1:7" ht="17.25" customHeight="1" x14ac:dyDescent="0.25">
      <c r="A52" s="65">
        <v>48</v>
      </c>
      <c r="B52" s="66">
        <v>877</v>
      </c>
      <c r="C52" s="67" t="s">
        <v>362</v>
      </c>
      <c r="D52" s="67">
        <v>8511</v>
      </c>
      <c r="E52" s="67" t="s">
        <v>52</v>
      </c>
      <c r="F52" s="67"/>
      <c r="G52" s="67"/>
    </row>
    <row r="53" spans="1:7" ht="17.25" customHeight="1" x14ac:dyDescent="0.25">
      <c r="A53" s="65">
        <v>49</v>
      </c>
      <c r="B53" s="66">
        <v>919</v>
      </c>
      <c r="C53" s="67" t="s">
        <v>380</v>
      </c>
      <c r="D53" s="67">
        <v>8511</v>
      </c>
      <c r="E53" s="67" t="s">
        <v>52</v>
      </c>
      <c r="F53" s="67"/>
      <c r="G53" s="67"/>
    </row>
    <row r="54" spans="1:7" ht="17.25" customHeight="1" x14ac:dyDescent="0.25">
      <c r="A54" s="65">
        <v>50</v>
      </c>
      <c r="B54" s="66">
        <v>927</v>
      </c>
      <c r="C54" s="67" t="s">
        <v>392</v>
      </c>
      <c r="D54" s="67">
        <v>8511</v>
      </c>
      <c r="E54" s="67" t="s">
        <v>229</v>
      </c>
      <c r="F54" s="67"/>
      <c r="G54" s="67"/>
    </row>
    <row r="55" spans="1:7" ht="17.25" customHeight="1" x14ac:dyDescent="0.25">
      <c r="A55" s="65">
        <v>51</v>
      </c>
      <c r="B55" s="66">
        <v>990</v>
      </c>
      <c r="C55" s="67" t="s">
        <v>410</v>
      </c>
      <c r="D55" s="67">
        <v>8511</v>
      </c>
      <c r="E55" s="67" t="s">
        <v>52</v>
      </c>
      <c r="F55" s="67"/>
      <c r="G55" s="67"/>
    </row>
    <row r="56" spans="1:7" ht="17.25" customHeight="1" x14ac:dyDescent="0.25">
      <c r="A56" s="65">
        <v>52</v>
      </c>
      <c r="B56" s="66">
        <v>1003</v>
      </c>
      <c r="C56" s="67" t="s">
        <v>413</v>
      </c>
      <c r="D56" s="67">
        <v>8511</v>
      </c>
      <c r="E56" s="67" t="s">
        <v>52</v>
      </c>
      <c r="F56" s="67"/>
      <c r="G56" s="67"/>
    </row>
    <row r="57" spans="1:7" ht="17.25" customHeight="1" x14ac:dyDescent="0.25">
      <c r="A57" s="65">
        <v>53</v>
      </c>
      <c r="B57" s="66">
        <v>1006</v>
      </c>
      <c r="C57" s="67" t="s">
        <v>416</v>
      </c>
      <c r="D57" s="67">
        <v>8511</v>
      </c>
      <c r="E57" s="67" t="s">
        <v>52</v>
      </c>
      <c r="F57" s="67"/>
      <c r="G57" s="67"/>
    </row>
    <row r="58" spans="1:7" ht="17.25" customHeight="1" x14ac:dyDescent="0.25">
      <c r="A58" s="65">
        <v>54</v>
      </c>
      <c r="B58" s="66">
        <v>1017</v>
      </c>
      <c r="C58" s="67" t="s">
        <v>419</v>
      </c>
      <c r="D58" s="67">
        <v>8511</v>
      </c>
      <c r="E58" s="67" t="s">
        <v>52</v>
      </c>
      <c r="F58" s="67"/>
      <c r="G58" s="67"/>
    </row>
    <row r="59" spans="1:7" ht="17.25" customHeight="1" x14ac:dyDescent="0.25">
      <c r="A59" s="65">
        <v>55</v>
      </c>
      <c r="B59" s="66">
        <v>1021</v>
      </c>
      <c r="C59" s="67" t="s">
        <v>422</v>
      </c>
      <c r="D59" s="67">
        <v>8511</v>
      </c>
      <c r="E59" s="67" t="s">
        <v>229</v>
      </c>
      <c r="F59" s="67"/>
      <c r="G59" s="67"/>
    </row>
    <row r="60" spans="1:7" ht="17.25" customHeight="1" x14ac:dyDescent="0.25">
      <c r="A60" s="65">
        <v>56</v>
      </c>
      <c r="B60" s="66">
        <v>1028</v>
      </c>
      <c r="C60" s="67" t="s">
        <v>425</v>
      </c>
      <c r="D60" s="67">
        <v>8511</v>
      </c>
      <c r="E60" s="67" t="s">
        <v>52</v>
      </c>
      <c r="F60" s="67"/>
      <c r="G60" s="67"/>
    </row>
    <row r="61" spans="1:7" ht="17.25" customHeight="1" x14ac:dyDescent="0.25">
      <c r="A61" s="65">
        <v>57</v>
      </c>
      <c r="B61" s="66">
        <v>1029</v>
      </c>
      <c r="C61" s="67" t="s">
        <v>428</v>
      </c>
      <c r="D61" s="67">
        <v>8511</v>
      </c>
      <c r="E61" s="67" t="s">
        <v>229</v>
      </c>
      <c r="F61" s="67"/>
      <c r="G61" s="67"/>
    </row>
    <row r="62" spans="1:7" ht="17.25" customHeight="1" x14ac:dyDescent="0.25">
      <c r="A62" s="65">
        <v>58</v>
      </c>
      <c r="B62" s="66">
        <v>1044</v>
      </c>
      <c r="C62" s="67" t="s">
        <v>431</v>
      </c>
      <c r="D62" s="67">
        <v>8511</v>
      </c>
      <c r="E62" s="67" t="s">
        <v>229</v>
      </c>
      <c r="F62" s="67"/>
      <c r="G62" s="67"/>
    </row>
    <row r="63" spans="1:7" ht="17.25" customHeight="1" x14ac:dyDescent="0.25">
      <c r="A63" s="65">
        <v>59</v>
      </c>
      <c r="B63" s="66">
        <v>1045</v>
      </c>
      <c r="C63" s="67" t="s">
        <v>434</v>
      </c>
      <c r="D63" s="67">
        <v>8511</v>
      </c>
      <c r="E63" s="67" t="s">
        <v>52</v>
      </c>
      <c r="F63" s="67"/>
      <c r="G63" s="67"/>
    </row>
    <row r="64" spans="1:7" ht="17.25" customHeight="1" x14ac:dyDescent="0.25">
      <c r="A64" s="65">
        <v>60</v>
      </c>
      <c r="B64" s="66">
        <v>1194</v>
      </c>
      <c r="C64" s="67" t="s">
        <v>488</v>
      </c>
      <c r="D64" s="67">
        <v>8511</v>
      </c>
      <c r="E64" s="67" t="s">
        <v>52</v>
      </c>
      <c r="F64" s="67"/>
      <c r="G64" s="67"/>
    </row>
    <row r="65" spans="1:7" ht="17.25" customHeight="1" x14ac:dyDescent="0.25">
      <c r="A65" s="65">
        <v>61</v>
      </c>
      <c r="B65" s="66">
        <v>1195</v>
      </c>
      <c r="C65" s="67" t="s">
        <v>491</v>
      </c>
      <c r="D65" s="67">
        <v>8511</v>
      </c>
      <c r="E65" s="67" t="s">
        <v>52</v>
      </c>
      <c r="F65" s="67"/>
      <c r="G65" s="67"/>
    </row>
    <row r="66" spans="1:7" ht="17.25" customHeight="1" x14ac:dyDescent="0.25">
      <c r="A66" s="65">
        <v>62</v>
      </c>
      <c r="B66" s="66">
        <v>1239</v>
      </c>
      <c r="C66" s="67" t="s">
        <v>503</v>
      </c>
      <c r="D66" s="67">
        <v>8511</v>
      </c>
      <c r="E66" s="67" t="s">
        <v>52</v>
      </c>
      <c r="F66" s="67"/>
      <c r="G66" s="67"/>
    </row>
    <row r="67" spans="1:7" ht="17.25" customHeight="1" x14ac:dyDescent="0.25">
      <c r="A67" s="65">
        <v>63</v>
      </c>
      <c r="B67" s="66">
        <v>1263</v>
      </c>
      <c r="C67" s="67" t="s">
        <v>506</v>
      </c>
      <c r="D67" s="67">
        <v>8511</v>
      </c>
      <c r="E67" s="67" t="s">
        <v>229</v>
      </c>
      <c r="F67" s="67"/>
      <c r="G67" s="67"/>
    </row>
    <row r="68" spans="1:7" ht="17.25" customHeight="1" x14ac:dyDescent="0.25">
      <c r="A68" s="65">
        <v>64</v>
      </c>
      <c r="B68" s="66">
        <v>1267</v>
      </c>
      <c r="C68" s="67" t="s">
        <v>512</v>
      </c>
      <c r="D68" s="67">
        <v>8511</v>
      </c>
      <c r="E68" s="67" t="s">
        <v>229</v>
      </c>
      <c r="F68" s="67"/>
      <c r="G68" s="67"/>
    </row>
    <row r="69" spans="1:7" ht="17.25" customHeight="1" x14ac:dyDescent="0.25">
      <c r="A69" s="65">
        <v>65</v>
      </c>
      <c r="B69" s="66">
        <v>1339</v>
      </c>
      <c r="C69" s="67" t="s">
        <v>395</v>
      </c>
      <c r="D69" s="67">
        <v>8511</v>
      </c>
      <c r="E69" s="67" t="s">
        <v>229</v>
      </c>
      <c r="F69" s="67"/>
      <c r="G69" s="67"/>
    </row>
    <row r="70" spans="1:7" ht="17.25" customHeight="1" x14ac:dyDescent="0.25">
      <c r="A70" s="65">
        <v>66</v>
      </c>
      <c r="B70" s="66">
        <v>1348</v>
      </c>
      <c r="C70" s="67" t="s">
        <v>532</v>
      </c>
      <c r="D70" s="67">
        <v>8511</v>
      </c>
      <c r="E70" s="67" t="s">
        <v>229</v>
      </c>
      <c r="F70" s="67"/>
      <c r="G70" s="67"/>
    </row>
    <row r="71" spans="1:7" ht="17.25" customHeight="1" x14ac:dyDescent="0.25">
      <c r="A71" s="65">
        <v>67</v>
      </c>
      <c r="B71" s="66">
        <v>1375</v>
      </c>
      <c r="C71" s="67" t="s">
        <v>535</v>
      </c>
      <c r="D71" s="67">
        <v>8511</v>
      </c>
      <c r="E71" s="67" t="s">
        <v>229</v>
      </c>
      <c r="F71" s="67"/>
      <c r="G71" s="67"/>
    </row>
    <row r="72" spans="1:7" ht="17.25" customHeight="1" x14ac:dyDescent="0.25">
      <c r="A72" s="65">
        <v>68</v>
      </c>
      <c r="B72" s="66">
        <v>1522</v>
      </c>
      <c r="C72" s="67" t="s">
        <v>562</v>
      </c>
      <c r="D72" s="67">
        <v>8511</v>
      </c>
      <c r="E72" s="67" t="s">
        <v>229</v>
      </c>
      <c r="F72" s="67"/>
      <c r="G72" s="67"/>
    </row>
    <row r="73" spans="1:7" ht="17.25" customHeight="1" x14ac:dyDescent="0.25">
      <c r="A73" s="65">
        <v>69</v>
      </c>
      <c r="B73" s="66">
        <v>1623</v>
      </c>
      <c r="C73" s="67" t="s">
        <v>571</v>
      </c>
      <c r="D73" s="67">
        <v>8511</v>
      </c>
      <c r="E73" s="67" t="s">
        <v>574</v>
      </c>
      <c r="F73" s="67"/>
      <c r="G73" s="67"/>
    </row>
    <row r="74" spans="1:7" ht="17.25" customHeight="1" x14ac:dyDescent="0.25">
      <c r="A74" s="65">
        <v>70</v>
      </c>
      <c r="B74" s="66">
        <v>1674</v>
      </c>
      <c r="C74" s="67" t="s">
        <v>575</v>
      </c>
      <c r="D74" s="67">
        <v>8511</v>
      </c>
      <c r="E74" s="67" t="s">
        <v>229</v>
      </c>
      <c r="F74" s="67"/>
      <c r="G74" s="67"/>
    </row>
    <row r="75" spans="1:7" ht="17.25" customHeight="1" x14ac:dyDescent="0.25">
      <c r="A75" s="65"/>
      <c r="B75" s="66"/>
      <c r="C75" s="67"/>
      <c r="D75" s="67"/>
      <c r="E75" s="67"/>
      <c r="F75" s="67"/>
      <c r="G75" s="67"/>
    </row>
    <row r="76" spans="1:7" ht="17.25" customHeight="1" x14ac:dyDescent="0.25">
      <c r="A76" s="68"/>
      <c r="B76" s="69"/>
      <c r="C76" s="70"/>
      <c r="D76" s="70"/>
      <c r="E76" s="70"/>
      <c r="F76" s="70"/>
      <c r="G76" s="70"/>
    </row>
  </sheetData>
  <pageMargins left="0.36" right="0.25" top="0.35" bottom="0.33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Form IN</vt:lpstr>
      <vt:lpstr>8511</vt:lpstr>
      <vt:lpstr>8512</vt:lpstr>
      <vt:lpstr>321H</vt:lpstr>
      <vt:lpstr>Sheet7</vt:lpstr>
      <vt:lpstr>Sheet7!Print_Titles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Bui Thi Giang</dc:creator>
  <cp:lastModifiedBy>Bui Thi Giang</cp:lastModifiedBy>
  <cp:lastPrinted>2017-04-05T04:17:21Z</cp:lastPrinted>
  <dcterms:created xsi:type="dcterms:W3CDTF">2017-04-05T01:57:54Z</dcterms:created>
  <dcterms:modified xsi:type="dcterms:W3CDTF">2017-04-05T06:18:37Z</dcterms:modified>
</cp:coreProperties>
</file>