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18.29.7\BTMV-Data\4-ACCOUNTING\27.Budget report\Act vs budget report\2024\4.Apr\Capex\"/>
    </mc:Choice>
  </mc:AlternateContent>
  <xr:revisionPtr revIDLastSave="0" documentId="13_ncr:1_{56CA6438-857E-412F-9506-A4E19B89A39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_ACT" sheetId="5" r:id="rId1"/>
    <sheet name="Detail" sheetId="1" r:id="rId2"/>
    <sheet name="DATA_LF2" sheetId="4" r:id="rId3"/>
  </sheets>
  <externalReferences>
    <externalReference r:id="rId4"/>
  </externalReferences>
  <definedNames>
    <definedName name="__123Graph_A" hidden="1">#REF!</definedName>
    <definedName name="__123Graph_B" hidden="1">#REF!</definedName>
    <definedName name="__123Graph_X" hidden="1">#REF!</definedName>
    <definedName name="_xlnm._FilterDatabase" localSheetId="0" hidden="1">DATA_ACT!#REF!</definedName>
    <definedName name="_xlnm._FilterDatabase" localSheetId="2" hidden="1">DATA_LF2!$B$4:$B$1183</definedName>
    <definedName name="_xlnm._FilterDatabase" localSheetId="1" hidden="1">Detail!$A$6:$AS$1006</definedName>
    <definedName name="AS2DocOpenMode" hidden="1">"AS2DocumentEdit"</definedName>
    <definedName name="CostCenter">Detail!$G$2</definedName>
    <definedName name="_xlnm.Extract" localSheetId="2">DATA_LF2!$Z$4</definedName>
    <definedName name="FirstDate">VLOOKUP(LEFT(MTD,7),RangeDate[],2,0)</definedName>
    <definedName name="FirstRow">IFERROR(MATCH(CostCenter,DataOB[Dept. Code],0),1)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Count" hidden="1">1</definedName>
    <definedName name="LastDate">VLOOKUP(LEFT(MTD,7),RangeDate[],3,0)</definedName>
    <definedName name="LastRow">FirstRow+NumCostCenter</definedName>
    <definedName name="LISTCC">DATA_LF2!$Z$5:$Z$24</definedName>
    <definedName name="MonthName">Detail!$C$2</definedName>
    <definedName name="MTD">Detail!$C$3</definedName>
    <definedName name="NumCostCenter">IF(CostCenter&lt;&gt;"ALL",COUNTIF(DataOB[Dept. Code],CostCenter),COUNTA(DataOB[Dept. Code]))</definedName>
    <definedName name="_xlnm.Print_Area" localSheetId="1">Detail!$B$2:$AF$1007</definedName>
    <definedName name="TextRefCopyRangeCount" hidden="1">5</definedName>
    <definedName name="XRefCopyRangeCount" hidden="1">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2" i="5" l="1"/>
  <c r="L252" i="5"/>
  <c r="M252" i="5" s="1"/>
  <c r="N252" i="5"/>
  <c r="K253" i="5"/>
  <c r="L253" i="5"/>
  <c r="M253" i="5" s="1"/>
  <c r="N253" i="5"/>
  <c r="K254" i="5"/>
  <c r="L254" i="5"/>
  <c r="M254" i="5" s="1"/>
  <c r="N254" i="5"/>
  <c r="K255" i="5"/>
  <c r="L255" i="5"/>
  <c r="M255" i="5" s="1"/>
  <c r="N255" i="5"/>
  <c r="K256" i="5"/>
  <c r="L256" i="5"/>
  <c r="M256" i="5" s="1"/>
  <c r="N256" i="5"/>
  <c r="K257" i="5"/>
  <c r="L257" i="5"/>
  <c r="M257" i="5" s="1"/>
  <c r="N257" i="5"/>
  <c r="K258" i="5"/>
  <c r="L258" i="5"/>
  <c r="M258" i="5" s="1"/>
  <c r="N258" i="5"/>
  <c r="K259" i="5"/>
  <c r="L259" i="5"/>
  <c r="M259" i="5" s="1"/>
  <c r="N259" i="5"/>
  <c r="K260" i="5"/>
  <c r="L260" i="5"/>
  <c r="M260" i="5" s="1"/>
  <c r="N260" i="5"/>
  <c r="K261" i="5"/>
  <c r="L261" i="5"/>
  <c r="M261" i="5" s="1"/>
  <c r="N261" i="5"/>
  <c r="K262" i="5"/>
  <c r="L262" i="5"/>
  <c r="M262" i="5" s="1"/>
  <c r="N262" i="5"/>
  <c r="K263" i="5"/>
  <c r="L263" i="5"/>
  <c r="M263" i="5" s="1"/>
  <c r="N263" i="5"/>
  <c r="K264" i="5"/>
  <c r="L264" i="5"/>
  <c r="M264" i="5" s="1"/>
  <c r="N264" i="5"/>
  <c r="K265" i="5"/>
  <c r="L265" i="5"/>
  <c r="M265" i="5" s="1"/>
  <c r="N265" i="5"/>
  <c r="K266" i="5"/>
  <c r="L266" i="5"/>
  <c r="M266" i="5" s="1"/>
  <c r="N266" i="5"/>
  <c r="K267" i="5"/>
  <c r="L267" i="5"/>
  <c r="M267" i="5" s="1"/>
  <c r="N267" i="5"/>
  <c r="K268" i="5"/>
  <c r="L268" i="5"/>
  <c r="M268" i="5" s="1"/>
  <c r="N268" i="5"/>
  <c r="K269" i="5"/>
  <c r="L269" i="5"/>
  <c r="M269" i="5" s="1"/>
  <c r="N269" i="5"/>
  <c r="K270" i="5"/>
  <c r="L270" i="5"/>
  <c r="M270" i="5" s="1"/>
  <c r="N270" i="5"/>
  <c r="K271" i="5"/>
  <c r="L271" i="5"/>
  <c r="M271" i="5" s="1"/>
  <c r="N271" i="5"/>
  <c r="K272" i="5"/>
  <c r="L272" i="5"/>
  <c r="M272" i="5" s="1"/>
  <c r="N272" i="5"/>
  <c r="K273" i="5"/>
  <c r="L273" i="5"/>
  <c r="M273" i="5" s="1"/>
  <c r="N273" i="5"/>
  <c r="K274" i="5"/>
  <c r="L274" i="5"/>
  <c r="M274" i="5" s="1"/>
  <c r="N274" i="5"/>
  <c r="K275" i="5"/>
  <c r="L275" i="5"/>
  <c r="M275" i="5" s="1"/>
  <c r="N275" i="5"/>
  <c r="K276" i="5"/>
  <c r="L276" i="5"/>
  <c r="M276" i="5" s="1"/>
  <c r="N276" i="5"/>
  <c r="K277" i="5"/>
  <c r="L277" i="5"/>
  <c r="M277" i="5" s="1"/>
  <c r="N277" i="5"/>
  <c r="K278" i="5"/>
  <c r="L278" i="5"/>
  <c r="M278" i="5" s="1"/>
  <c r="N278" i="5"/>
  <c r="K279" i="5"/>
  <c r="L279" i="5"/>
  <c r="M279" i="5" s="1"/>
  <c r="N279" i="5"/>
  <c r="K280" i="5"/>
  <c r="L280" i="5"/>
  <c r="M280" i="5" s="1"/>
  <c r="N280" i="5"/>
  <c r="K281" i="5"/>
  <c r="L281" i="5"/>
  <c r="M281" i="5" s="1"/>
  <c r="N281" i="5"/>
  <c r="K282" i="5"/>
  <c r="L282" i="5"/>
  <c r="M282" i="5" s="1"/>
  <c r="N282" i="5"/>
  <c r="K283" i="5"/>
  <c r="L283" i="5"/>
  <c r="M283" i="5" s="1"/>
  <c r="N283" i="5"/>
  <c r="K284" i="5"/>
  <c r="L284" i="5"/>
  <c r="M284" i="5" s="1"/>
  <c r="N284" i="5"/>
  <c r="K285" i="5"/>
  <c r="L285" i="5"/>
  <c r="M285" i="5" s="1"/>
  <c r="N285" i="5"/>
  <c r="K286" i="5"/>
  <c r="L286" i="5"/>
  <c r="M286" i="5" s="1"/>
  <c r="N286" i="5"/>
  <c r="K287" i="5"/>
  <c r="L287" i="5"/>
  <c r="M287" i="5" s="1"/>
  <c r="N287" i="5"/>
  <c r="K288" i="5"/>
  <c r="L288" i="5"/>
  <c r="M288" i="5" s="1"/>
  <c r="N288" i="5"/>
  <c r="K289" i="5"/>
  <c r="L289" i="5"/>
  <c r="M289" i="5" s="1"/>
  <c r="N289" i="5"/>
  <c r="K290" i="5"/>
  <c r="L290" i="5"/>
  <c r="M290" i="5" s="1"/>
  <c r="N290" i="5"/>
  <c r="K291" i="5"/>
  <c r="L291" i="5"/>
  <c r="M291" i="5" s="1"/>
  <c r="N291" i="5"/>
  <c r="K292" i="5"/>
  <c r="L292" i="5"/>
  <c r="M292" i="5" s="1"/>
  <c r="N292" i="5"/>
  <c r="K293" i="5"/>
  <c r="L293" i="5"/>
  <c r="M293" i="5" s="1"/>
  <c r="N293" i="5"/>
  <c r="K294" i="5"/>
  <c r="L294" i="5"/>
  <c r="M294" i="5" s="1"/>
  <c r="N294" i="5"/>
  <c r="K295" i="5"/>
  <c r="L295" i="5"/>
  <c r="M295" i="5" s="1"/>
  <c r="N295" i="5"/>
  <c r="K296" i="5"/>
  <c r="L296" i="5"/>
  <c r="M296" i="5" s="1"/>
  <c r="N296" i="5"/>
  <c r="K297" i="5"/>
  <c r="L297" i="5"/>
  <c r="M297" i="5" s="1"/>
  <c r="N297" i="5"/>
  <c r="K298" i="5"/>
  <c r="L298" i="5"/>
  <c r="M298" i="5" s="1"/>
  <c r="N298" i="5"/>
  <c r="K299" i="5"/>
  <c r="L299" i="5"/>
  <c r="M299" i="5" s="1"/>
  <c r="N299" i="5"/>
  <c r="K300" i="5"/>
  <c r="L300" i="5"/>
  <c r="M300" i="5" s="1"/>
  <c r="N300" i="5"/>
  <c r="K301" i="5"/>
  <c r="L301" i="5"/>
  <c r="M301" i="5" s="1"/>
  <c r="N301" i="5"/>
  <c r="K302" i="5"/>
  <c r="L302" i="5"/>
  <c r="M302" i="5" s="1"/>
  <c r="N302" i="5"/>
  <c r="K303" i="5"/>
  <c r="L303" i="5"/>
  <c r="M303" i="5" s="1"/>
  <c r="N303" i="5"/>
  <c r="K304" i="5"/>
  <c r="L304" i="5"/>
  <c r="M304" i="5" s="1"/>
  <c r="N304" i="5"/>
  <c r="K305" i="5"/>
  <c r="L305" i="5"/>
  <c r="M305" i="5" s="1"/>
  <c r="N305" i="5"/>
  <c r="K306" i="5"/>
  <c r="L306" i="5"/>
  <c r="M306" i="5" s="1"/>
  <c r="N306" i="5"/>
  <c r="K307" i="5"/>
  <c r="L307" i="5"/>
  <c r="M307" i="5" s="1"/>
  <c r="N307" i="5"/>
  <c r="K308" i="5"/>
  <c r="L308" i="5"/>
  <c r="M308" i="5" s="1"/>
  <c r="N308" i="5"/>
  <c r="K309" i="5"/>
  <c r="L309" i="5"/>
  <c r="M309" i="5" s="1"/>
  <c r="N309" i="5"/>
  <c r="K310" i="5"/>
  <c r="L310" i="5"/>
  <c r="M310" i="5" s="1"/>
  <c r="N310" i="5"/>
  <c r="K311" i="5"/>
  <c r="L311" i="5"/>
  <c r="M311" i="5" s="1"/>
  <c r="N311" i="5"/>
  <c r="K312" i="5"/>
  <c r="L312" i="5"/>
  <c r="M312" i="5" s="1"/>
  <c r="N312" i="5"/>
  <c r="K313" i="5"/>
  <c r="L313" i="5"/>
  <c r="M313" i="5" s="1"/>
  <c r="N313" i="5"/>
  <c r="K314" i="5"/>
  <c r="L314" i="5"/>
  <c r="M314" i="5" s="1"/>
  <c r="N314" i="5"/>
  <c r="K315" i="5"/>
  <c r="L315" i="5"/>
  <c r="M315" i="5" s="1"/>
  <c r="N315" i="5"/>
  <c r="K316" i="5"/>
  <c r="L316" i="5"/>
  <c r="M316" i="5" s="1"/>
  <c r="N316" i="5"/>
  <c r="K317" i="5"/>
  <c r="L317" i="5"/>
  <c r="M317" i="5" s="1"/>
  <c r="N317" i="5"/>
  <c r="K318" i="5"/>
  <c r="L318" i="5"/>
  <c r="M318" i="5" s="1"/>
  <c r="N318" i="5"/>
  <c r="K319" i="5"/>
  <c r="L319" i="5"/>
  <c r="M319" i="5" s="1"/>
  <c r="N319" i="5"/>
  <c r="K320" i="5"/>
  <c r="L320" i="5"/>
  <c r="M320" i="5" s="1"/>
  <c r="N320" i="5"/>
  <c r="K321" i="5"/>
  <c r="L321" i="5"/>
  <c r="M321" i="5" s="1"/>
  <c r="N321" i="5"/>
  <c r="K322" i="5"/>
  <c r="L322" i="5"/>
  <c r="M322" i="5" s="1"/>
  <c r="N322" i="5"/>
  <c r="K323" i="5"/>
  <c r="L323" i="5"/>
  <c r="M323" i="5" s="1"/>
  <c r="N323" i="5"/>
  <c r="K324" i="5"/>
  <c r="L324" i="5"/>
  <c r="M324" i="5" s="1"/>
  <c r="N324" i="5"/>
  <c r="K325" i="5"/>
  <c r="L325" i="5"/>
  <c r="M325" i="5" s="1"/>
  <c r="N325" i="5"/>
  <c r="K326" i="5"/>
  <c r="L326" i="5"/>
  <c r="M326" i="5" s="1"/>
  <c r="N326" i="5"/>
  <c r="K327" i="5"/>
  <c r="L327" i="5"/>
  <c r="M327" i="5" s="1"/>
  <c r="N327" i="5"/>
  <c r="K328" i="5"/>
  <c r="L328" i="5"/>
  <c r="M328" i="5" s="1"/>
  <c r="N328" i="5"/>
  <c r="K329" i="5"/>
  <c r="L329" i="5"/>
  <c r="M329" i="5" s="1"/>
  <c r="N329" i="5"/>
  <c r="K330" i="5"/>
  <c r="L330" i="5"/>
  <c r="M330" i="5" s="1"/>
  <c r="N330" i="5"/>
  <c r="K331" i="5"/>
  <c r="L331" i="5"/>
  <c r="M331" i="5" s="1"/>
  <c r="N331" i="5"/>
  <c r="K332" i="5"/>
  <c r="L332" i="5"/>
  <c r="M332" i="5" s="1"/>
  <c r="N332" i="5"/>
  <c r="K333" i="5"/>
  <c r="L333" i="5"/>
  <c r="M333" i="5" s="1"/>
  <c r="N333" i="5"/>
  <c r="K334" i="5"/>
  <c r="L334" i="5"/>
  <c r="M334" i="5" s="1"/>
  <c r="N334" i="5"/>
  <c r="K335" i="5"/>
  <c r="L335" i="5"/>
  <c r="M335" i="5" s="1"/>
  <c r="N335" i="5"/>
  <c r="K336" i="5"/>
  <c r="L336" i="5"/>
  <c r="M336" i="5" s="1"/>
  <c r="N336" i="5"/>
  <c r="K337" i="5"/>
  <c r="L337" i="5"/>
  <c r="M337" i="5"/>
  <c r="N337" i="5"/>
  <c r="K338" i="5"/>
  <c r="L338" i="5"/>
  <c r="M338" i="5"/>
  <c r="N338" i="5"/>
  <c r="K339" i="5"/>
  <c r="L339" i="5"/>
  <c r="M339" i="5"/>
  <c r="N339" i="5"/>
  <c r="K340" i="5"/>
  <c r="L340" i="5"/>
  <c r="M340" i="5"/>
  <c r="N340" i="5"/>
  <c r="K341" i="5"/>
  <c r="L341" i="5"/>
  <c r="M341" i="5" s="1"/>
  <c r="N341" i="5"/>
  <c r="K342" i="5"/>
  <c r="L342" i="5"/>
  <c r="M342" i="5" s="1"/>
  <c r="N342" i="5"/>
  <c r="K343" i="5"/>
  <c r="L343" i="5"/>
  <c r="M343" i="5" s="1"/>
  <c r="N343" i="5"/>
  <c r="K344" i="5"/>
  <c r="L344" i="5"/>
  <c r="M344" i="5" s="1"/>
  <c r="N344" i="5"/>
  <c r="K345" i="5"/>
  <c r="L345" i="5"/>
  <c r="M345" i="5" s="1"/>
  <c r="N345" i="5"/>
  <c r="K346" i="5"/>
  <c r="L346" i="5"/>
  <c r="M346" i="5" s="1"/>
  <c r="N346" i="5"/>
  <c r="K347" i="5"/>
  <c r="L347" i="5"/>
  <c r="M347" i="5" s="1"/>
  <c r="N347" i="5"/>
  <c r="K348" i="5"/>
  <c r="L348" i="5"/>
  <c r="M348" i="5" s="1"/>
  <c r="N348" i="5"/>
  <c r="K349" i="5"/>
  <c r="L349" i="5"/>
  <c r="M349" i="5" s="1"/>
  <c r="N349" i="5"/>
  <c r="K350" i="5"/>
  <c r="L350" i="5"/>
  <c r="M350" i="5" s="1"/>
  <c r="N350" i="5"/>
  <c r="K351" i="5"/>
  <c r="L351" i="5"/>
  <c r="M351" i="5" s="1"/>
  <c r="N351" i="5"/>
  <c r="K352" i="5"/>
  <c r="L352" i="5"/>
  <c r="M352" i="5" s="1"/>
  <c r="N352" i="5"/>
  <c r="K353" i="5"/>
  <c r="L353" i="5"/>
  <c r="M353" i="5" s="1"/>
  <c r="N353" i="5"/>
  <c r="K354" i="5"/>
  <c r="L354" i="5"/>
  <c r="M354" i="5" s="1"/>
  <c r="N354" i="5"/>
  <c r="K355" i="5"/>
  <c r="L355" i="5"/>
  <c r="M355" i="5" s="1"/>
  <c r="N355" i="5"/>
  <c r="K356" i="5"/>
  <c r="L356" i="5"/>
  <c r="M356" i="5" s="1"/>
  <c r="N356" i="5"/>
  <c r="K357" i="5"/>
  <c r="L357" i="5"/>
  <c r="M357" i="5" s="1"/>
  <c r="N357" i="5"/>
  <c r="K358" i="5"/>
  <c r="L358" i="5"/>
  <c r="M358" i="5" s="1"/>
  <c r="N358" i="5"/>
  <c r="K359" i="5"/>
  <c r="L359" i="5"/>
  <c r="M359" i="5" s="1"/>
  <c r="N359" i="5"/>
  <c r="K360" i="5"/>
  <c r="L360" i="5"/>
  <c r="M360" i="5" s="1"/>
  <c r="N360" i="5"/>
  <c r="K361" i="5"/>
  <c r="L361" i="5"/>
  <c r="M361" i="5" s="1"/>
  <c r="N361" i="5"/>
  <c r="K362" i="5"/>
  <c r="L362" i="5"/>
  <c r="M362" i="5" s="1"/>
  <c r="N362" i="5"/>
  <c r="K363" i="5"/>
  <c r="L363" i="5"/>
  <c r="M363" i="5" s="1"/>
  <c r="N363" i="5"/>
  <c r="K364" i="5"/>
  <c r="L364" i="5"/>
  <c r="M364" i="5" s="1"/>
  <c r="N364" i="5"/>
  <c r="K365" i="5"/>
  <c r="L365" i="5"/>
  <c r="M365" i="5" s="1"/>
  <c r="N365" i="5"/>
  <c r="K366" i="5"/>
  <c r="L366" i="5"/>
  <c r="M366" i="5" s="1"/>
  <c r="N366" i="5"/>
  <c r="K367" i="5"/>
  <c r="L367" i="5"/>
  <c r="M367" i="5" s="1"/>
  <c r="N367" i="5"/>
  <c r="K368" i="5"/>
  <c r="L368" i="5"/>
  <c r="M368" i="5" s="1"/>
  <c r="N368" i="5"/>
  <c r="K369" i="5"/>
  <c r="L369" i="5"/>
  <c r="M369" i="5" s="1"/>
  <c r="N369" i="5"/>
  <c r="K370" i="5"/>
  <c r="L370" i="5"/>
  <c r="M370" i="5" s="1"/>
  <c r="N370" i="5"/>
  <c r="K371" i="5"/>
  <c r="L371" i="5"/>
  <c r="M371" i="5" s="1"/>
  <c r="N371" i="5"/>
  <c r="K372" i="5"/>
  <c r="L372" i="5"/>
  <c r="M372" i="5" s="1"/>
  <c r="N372" i="5"/>
  <c r="K373" i="5"/>
  <c r="L373" i="5"/>
  <c r="M373" i="5" s="1"/>
  <c r="N373" i="5"/>
  <c r="K374" i="5"/>
  <c r="L374" i="5"/>
  <c r="M374" i="5" s="1"/>
  <c r="N374" i="5"/>
  <c r="K375" i="5"/>
  <c r="L375" i="5"/>
  <c r="M375" i="5" s="1"/>
  <c r="N375" i="5"/>
  <c r="K376" i="5"/>
  <c r="L376" i="5"/>
  <c r="M376" i="5" s="1"/>
  <c r="N376" i="5"/>
  <c r="K377" i="5"/>
  <c r="L377" i="5"/>
  <c r="M377" i="5" s="1"/>
  <c r="N377" i="5"/>
  <c r="K378" i="5"/>
  <c r="L378" i="5"/>
  <c r="M378" i="5" s="1"/>
  <c r="N378" i="5"/>
  <c r="K379" i="5"/>
  <c r="L379" i="5"/>
  <c r="M379" i="5" s="1"/>
  <c r="N379" i="5"/>
  <c r="K380" i="5"/>
  <c r="L380" i="5"/>
  <c r="M380" i="5" s="1"/>
  <c r="N380" i="5"/>
  <c r="K381" i="5"/>
  <c r="L381" i="5"/>
  <c r="M381" i="5" s="1"/>
  <c r="N381" i="5"/>
  <c r="K382" i="5"/>
  <c r="L382" i="5"/>
  <c r="M382" i="5" s="1"/>
  <c r="N382" i="5"/>
  <c r="K383" i="5"/>
  <c r="L383" i="5"/>
  <c r="M383" i="5" s="1"/>
  <c r="N383" i="5"/>
  <c r="K384" i="5"/>
  <c r="L384" i="5"/>
  <c r="M384" i="5" s="1"/>
  <c r="N384" i="5"/>
  <c r="K385" i="5"/>
  <c r="L385" i="5"/>
  <c r="M385" i="5" s="1"/>
  <c r="N385" i="5"/>
  <c r="K386" i="5"/>
  <c r="L386" i="5"/>
  <c r="M386" i="5" s="1"/>
  <c r="N386" i="5"/>
  <c r="K387" i="5"/>
  <c r="L387" i="5"/>
  <c r="M387" i="5" s="1"/>
  <c r="N387" i="5"/>
  <c r="K388" i="5"/>
  <c r="L388" i="5"/>
  <c r="M388" i="5" s="1"/>
  <c r="N388" i="5"/>
  <c r="K389" i="5"/>
  <c r="L389" i="5"/>
  <c r="M389" i="5" s="1"/>
  <c r="N389" i="5"/>
  <c r="K390" i="5"/>
  <c r="L390" i="5"/>
  <c r="M390" i="5" s="1"/>
  <c r="N390" i="5"/>
  <c r="K391" i="5"/>
  <c r="L391" i="5"/>
  <c r="M391" i="5" s="1"/>
  <c r="N391" i="5"/>
  <c r="K392" i="5"/>
  <c r="L392" i="5"/>
  <c r="M392" i="5" s="1"/>
  <c r="N392" i="5"/>
  <c r="K393" i="5"/>
  <c r="L393" i="5"/>
  <c r="M393" i="5" s="1"/>
  <c r="N393" i="5"/>
  <c r="K394" i="5"/>
  <c r="L394" i="5"/>
  <c r="M394" i="5" s="1"/>
  <c r="N394" i="5"/>
  <c r="K395" i="5"/>
  <c r="L395" i="5"/>
  <c r="M395" i="5" s="1"/>
  <c r="N395" i="5"/>
  <c r="K396" i="5"/>
  <c r="L396" i="5"/>
  <c r="M396" i="5" s="1"/>
  <c r="N396" i="5"/>
  <c r="K397" i="5"/>
  <c r="L397" i="5"/>
  <c r="M397" i="5" s="1"/>
  <c r="N397" i="5"/>
  <c r="K398" i="5"/>
  <c r="L398" i="5"/>
  <c r="M398" i="5" s="1"/>
  <c r="N398" i="5"/>
  <c r="K399" i="5"/>
  <c r="L399" i="5"/>
  <c r="M399" i="5" s="1"/>
  <c r="N399" i="5"/>
  <c r="K400" i="5"/>
  <c r="L400" i="5"/>
  <c r="M400" i="5" s="1"/>
  <c r="N400" i="5"/>
  <c r="K401" i="5"/>
  <c r="L401" i="5"/>
  <c r="M401" i="5" s="1"/>
  <c r="N401" i="5"/>
  <c r="K402" i="5"/>
  <c r="L402" i="5"/>
  <c r="M402" i="5" s="1"/>
  <c r="N402" i="5"/>
  <c r="K403" i="5"/>
  <c r="L403" i="5"/>
  <c r="M403" i="5" s="1"/>
  <c r="N403" i="5"/>
  <c r="K404" i="5"/>
  <c r="L404" i="5"/>
  <c r="M404" i="5" s="1"/>
  <c r="N404" i="5"/>
  <c r="K405" i="5"/>
  <c r="L405" i="5"/>
  <c r="M405" i="5" s="1"/>
  <c r="N405" i="5"/>
  <c r="K406" i="5"/>
  <c r="L406" i="5"/>
  <c r="M406" i="5" s="1"/>
  <c r="N406" i="5"/>
  <c r="K407" i="5"/>
  <c r="L407" i="5"/>
  <c r="M407" i="5" s="1"/>
  <c r="N407" i="5"/>
  <c r="K408" i="5"/>
  <c r="L408" i="5"/>
  <c r="M408" i="5" s="1"/>
  <c r="N408" i="5"/>
  <c r="K409" i="5"/>
  <c r="L409" i="5"/>
  <c r="M409" i="5" s="1"/>
  <c r="N409" i="5"/>
  <c r="K410" i="5"/>
  <c r="L410" i="5"/>
  <c r="M410" i="5" s="1"/>
  <c r="N410" i="5"/>
  <c r="K411" i="5"/>
  <c r="L411" i="5"/>
  <c r="M411" i="5" s="1"/>
  <c r="N411" i="5"/>
  <c r="K412" i="5"/>
  <c r="L412" i="5"/>
  <c r="M412" i="5" s="1"/>
  <c r="N412" i="5"/>
  <c r="K413" i="5"/>
  <c r="L413" i="5"/>
  <c r="M413" i="5" s="1"/>
  <c r="N413" i="5"/>
  <c r="K414" i="5"/>
  <c r="L414" i="5"/>
  <c r="M414" i="5" s="1"/>
  <c r="N414" i="5"/>
  <c r="K415" i="5"/>
  <c r="L415" i="5"/>
  <c r="M415" i="5" s="1"/>
  <c r="N415" i="5"/>
  <c r="K416" i="5"/>
  <c r="L416" i="5"/>
  <c r="M416" i="5" s="1"/>
  <c r="N416" i="5"/>
  <c r="K417" i="5"/>
  <c r="L417" i="5"/>
  <c r="M417" i="5" s="1"/>
  <c r="N417" i="5"/>
  <c r="K418" i="5"/>
  <c r="L418" i="5"/>
  <c r="M418" i="5" s="1"/>
  <c r="N418" i="5"/>
  <c r="K419" i="5"/>
  <c r="L419" i="5"/>
  <c r="M419" i="5" s="1"/>
  <c r="N419" i="5"/>
  <c r="K420" i="5"/>
  <c r="L420" i="5"/>
  <c r="M420" i="5" s="1"/>
  <c r="N420" i="5"/>
  <c r="K421" i="5"/>
  <c r="L421" i="5"/>
  <c r="M421" i="5" s="1"/>
  <c r="N421" i="5"/>
  <c r="K422" i="5"/>
  <c r="L422" i="5"/>
  <c r="M422" i="5" s="1"/>
  <c r="N422" i="5"/>
  <c r="K423" i="5"/>
  <c r="L423" i="5"/>
  <c r="M423" i="5" s="1"/>
  <c r="N423" i="5"/>
  <c r="K424" i="5"/>
  <c r="L424" i="5"/>
  <c r="M424" i="5" s="1"/>
  <c r="N424" i="5"/>
  <c r="K425" i="5"/>
  <c r="L425" i="5"/>
  <c r="M425" i="5" s="1"/>
  <c r="N425" i="5"/>
  <c r="K426" i="5"/>
  <c r="L426" i="5"/>
  <c r="M426" i="5" s="1"/>
  <c r="N426" i="5"/>
  <c r="K427" i="5"/>
  <c r="L427" i="5"/>
  <c r="M427" i="5" s="1"/>
  <c r="N427" i="5"/>
  <c r="K428" i="5"/>
  <c r="L428" i="5"/>
  <c r="M428" i="5" s="1"/>
  <c r="N428" i="5"/>
  <c r="K429" i="5"/>
  <c r="L429" i="5"/>
  <c r="M429" i="5" s="1"/>
  <c r="N429" i="5"/>
  <c r="K430" i="5"/>
  <c r="L430" i="5"/>
  <c r="M430" i="5" s="1"/>
  <c r="N430" i="5"/>
  <c r="K431" i="5"/>
  <c r="L431" i="5"/>
  <c r="M431" i="5" s="1"/>
  <c r="N431" i="5"/>
  <c r="K432" i="5"/>
  <c r="L432" i="5"/>
  <c r="M432" i="5" s="1"/>
  <c r="N432" i="5"/>
  <c r="K433" i="5"/>
  <c r="L433" i="5"/>
  <c r="M433" i="5" s="1"/>
  <c r="N433" i="5"/>
  <c r="K434" i="5"/>
  <c r="L434" i="5"/>
  <c r="M434" i="5" s="1"/>
  <c r="N434" i="5"/>
  <c r="K435" i="5"/>
  <c r="L435" i="5"/>
  <c r="M435" i="5" s="1"/>
  <c r="N435" i="5"/>
  <c r="K436" i="5"/>
  <c r="L436" i="5"/>
  <c r="M436" i="5" s="1"/>
  <c r="N436" i="5"/>
  <c r="K437" i="5"/>
  <c r="L437" i="5"/>
  <c r="M437" i="5" s="1"/>
  <c r="N437" i="5"/>
  <c r="K438" i="5"/>
  <c r="L438" i="5"/>
  <c r="M438" i="5" s="1"/>
  <c r="N438" i="5"/>
  <c r="K439" i="5"/>
  <c r="L439" i="5"/>
  <c r="M439" i="5" s="1"/>
  <c r="N439" i="5"/>
  <c r="K440" i="5"/>
  <c r="L440" i="5"/>
  <c r="M440" i="5" s="1"/>
  <c r="N440" i="5"/>
  <c r="K441" i="5"/>
  <c r="L441" i="5"/>
  <c r="M441" i="5" s="1"/>
  <c r="N441" i="5"/>
  <c r="K442" i="5"/>
  <c r="L442" i="5"/>
  <c r="M442" i="5" s="1"/>
  <c r="N442" i="5"/>
  <c r="K443" i="5"/>
  <c r="L443" i="5"/>
  <c r="M443" i="5" s="1"/>
  <c r="N443" i="5"/>
  <c r="K444" i="5"/>
  <c r="L444" i="5"/>
  <c r="M444" i="5" s="1"/>
  <c r="N444" i="5"/>
  <c r="K445" i="5"/>
  <c r="L445" i="5"/>
  <c r="M445" i="5" s="1"/>
  <c r="N445" i="5"/>
  <c r="M241" i="5"/>
  <c r="K131" i="5"/>
  <c r="L131" i="5"/>
  <c r="M131" i="5" s="1"/>
  <c r="N131" i="5"/>
  <c r="K132" i="5"/>
  <c r="L132" i="5"/>
  <c r="M132" i="5" s="1"/>
  <c r="N132" i="5"/>
  <c r="K133" i="5"/>
  <c r="L133" i="5"/>
  <c r="M133" i="5" s="1"/>
  <c r="N133" i="5"/>
  <c r="K134" i="5"/>
  <c r="L134" i="5"/>
  <c r="M134" i="5" s="1"/>
  <c r="N134" i="5"/>
  <c r="K135" i="5"/>
  <c r="L135" i="5"/>
  <c r="M135" i="5" s="1"/>
  <c r="N135" i="5"/>
  <c r="K136" i="5"/>
  <c r="L136" i="5"/>
  <c r="M136" i="5" s="1"/>
  <c r="N136" i="5"/>
  <c r="K137" i="5"/>
  <c r="L137" i="5"/>
  <c r="M137" i="5" s="1"/>
  <c r="N137" i="5"/>
  <c r="K138" i="5"/>
  <c r="L138" i="5"/>
  <c r="M138" i="5" s="1"/>
  <c r="N138" i="5"/>
  <c r="K139" i="5"/>
  <c r="L139" i="5"/>
  <c r="M139" i="5" s="1"/>
  <c r="N139" i="5"/>
  <c r="K140" i="5"/>
  <c r="L140" i="5"/>
  <c r="M140" i="5" s="1"/>
  <c r="N140" i="5"/>
  <c r="K141" i="5"/>
  <c r="L141" i="5"/>
  <c r="M141" i="5" s="1"/>
  <c r="N141" i="5"/>
  <c r="K142" i="5"/>
  <c r="L142" i="5"/>
  <c r="M142" i="5" s="1"/>
  <c r="N142" i="5"/>
  <c r="K143" i="5"/>
  <c r="L143" i="5"/>
  <c r="M143" i="5" s="1"/>
  <c r="N143" i="5"/>
  <c r="K144" i="5"/>
  <c r="L144" i="5"/>
  <c r="M144" i="5" s="1"/>
  <c r="N144" i="5"/>
  <c r="K145" i="5"/>
  <c r="L145" i="5"/>
  <c r="M145" i="5" s="1"/>
  <c r="N145" i="5"/>
  <c r="K146" i="5"/>
  <c r="L146" i="5"/>
  <c r="M146" i="5"/>
  <c r="N146" i="5"/>
  <c r="K147" i="5"/>
  <c r="L147" i="5"/>
  <c r="M147" i="5"/>
  <c r="N147" i="5"/>
  <c r="K148" i="5"/>
  <c r="L148" i="5"/>
  <c r="M148" i="5"/>
  <c r="N148" i="5"/>
  <c r="K149" i="5"/>
  <c r="L149" i="5"/>
  <c r="M149" i="5" s="1"/>
  <c r="N149" i="5"/>
  <c r="K150" i="5"/>
  <c r="L150" i="5"/>
  <c r="M150" i="5" s="1"/>
  <c r="N150" i="5"/>
  <c r="K151" i="5"/>
  <c r="L151" i="5"/>
  <c r="M151" i="5" s="1"/>
  <c r="N151" i="5"/>
  <c r="K152" i="5"/>
  <c r="L152" i="5"/>
  <c r="M152" i="5" s="1"/>
  <c r="N152" i="5"/>
  <c r="K153" i="5"/>
  <c r="L153" i="5"/>
  <c r="M153" i="5" s="1"/>
  <c r="N153" i="5"/>
  <c r="K154" i="5"/>
  <c r="L154" i="5"/>
  <c r="M154" i="5" s="1"/>
  <c r="N154" i="5"/>
  <c r="K155" i="5"/>
  <c r="L155" i="5"/>
  <c r="M155" i="5" s="1"/>
  <c r="N155" i="5"/>
  <c r="K156" i="5"/>
  <c r="L156" i="5"/>
  <c r="M156" i="5" s="1"/>
  <c r="N156" i="5"/>
  <c r="K157" i="5"/>
  <c r="L157" i="5"/>
  <c r="M157" i="5" s="1"/>
  <c r="N157" i="5"/>
  <c r="K158" i="5"/>
  <c r="L158" i="5"/>
  <c r="M158" i="5" s="1"/>
  <c r="N158" i="5"/>
  <c r="K159" i="5"/>
  <c r="L159" i="5"/>
  <c r="M159" i="5" s="1"/>
  <c r="N159" i="5"/>
  <c r="K160" i="5"/>
  <c r="L160" i="5"/>
  <c r="M160" i="5" s="1"/>
  <c r="N160" i="5"/>
  <c r="K161" i="5"/>
  <c r="L161" i="5"/>
  <c r="M161" i="5" s="1"/>
  <c r="N161" i="5"/>
  <c r="K162" i="5"/>
  <c r="L162" i="5"/>
  <c r="M162" i="5" s="1"/>
  <c r="N162" i="5"/>
  <c r="K163" i="5"/>
  <c r="L163" i="5"/>
  <c r="M163" i="5" s="1"/>
  <c r="N163" i="5"/>
  <c r="K164" i="5"/>
  <c r="L164" i="5"/>
  <c r="M164" i="5" s="1"/>
  <c r="N164" i="5"/>
  <c r="K165" i="5"/>
  <c r="L165" i="5"/>
  <c r="M165" i="5" s="1"/>
  <c r="N165" i="5"/>
  <c r="K166" i="5"/>
  <c r="L166" i="5"/>
  <c r="M166" i="5" s="1"/>
  <c r="N166" i="5"/>
  <c r="K167" i="5"/>
  <c r="L167" i="5"/>
  <c r="M167" i="5" s="1"/>
  <c r="N167" i="5"/>
  <c r="K168" i="5"/>
  <c r="L168" i="5"/>
  <c r="M168" i="5" s="1"/>
  <c r="N168" i="5"/>
  <c r="K169" i="5"/>
  <c r="L169" i="5"/>
  <c r="M169" i="5" s="1"/>
  <c r="N169" i="5"/>
  <c r="K170" i="5"/>
  <c r="L170" i="5"/>
  <c r="M170" i="5" s="1"/>
  <c r="N170" i="5"/>
  <c r="K171" i="5"/>
  <c r="L171" i="5"/>
  <c r="M171" i="5" s="1"/>
  <c r="N171" i="5"/>
  <c r="K172" i="5"/>
  <c r="L172" i="5"/>
  <c r="M172" i="5" s="1"/>
  <c r="N172" i="5"/>
  <c r="K173" i="5"/>
  <c r="L173" i="5"/>
  <c r="M173" i="5" s="1"/>
  <c r="N173" i="5"/>
  <c r="K174" i="5"/>
  <c r="L174" i="5"/>
  <c r="M174" i="5" s="1"/>
  <c r="N174" i="5"/>
  <c r="K175" i="5"/>
  <c r="L175" i="5"/>
  <c r="M175" i="5" s="1"/>
  <c r="N175" i="5"/>
  <c r="K176" i="5"/>
  <c r="L176" i="5"/>
  <c r="M176" i="5" s="1"/>
  <c r="N176" i="5"/>
  <c r="K177" i="5"/>
  <c r="L177" i="5"/>
  <c r="M177" i="5" s="1"/>
  <c r="N177" i="5"/>
  <c r="K178" i="5"/>
  <c r="L178" i="5"/>
  <c r="M178" i="5" s="1"/>
  <c r="N178" i="5"/>
  <c r="K179" i="5"/>
  <c r="L179" i="5"/>
  <c r="M179" i="5" s="1"/>
  <c r="N179" i="5"/>
  <c r="K180" i="5"/>
  <c r="L180" i="5"/>
  <c r="M180" i="5" s="1"/>
  <c r="N180" i="5"/>
  <c r="K181" i="5"/>
  <c r="L181" i="5"/>
  <c r="M181" i="5" s="1"/>
  <c r="N181" i="5"/>
  <c r="K182" i="5"/>
  <c r="L182" i="5"/>
  <c r="M182" i="5" s="1"/>
  <c r="N182" i="5"/>
  <c r="K183" i="5"/>
  <c r="L183" i="5"/>
  <c r="M183" i="5" s="1"/>
  <c r="N183" i="5"/>
  <c r="K184" i="5"/>
  <c r="L184" i="5"/>
  <c r="M184" i="5" s="1"/>
  <c r="N184" i="5"/>
  <c r="K185" i="5"/>
  <c r="L185" i="5"/>
  <c r="M185" i="5" s="1"/>
  <c r="N185" i="5"/>
  <c r="K186" i="5"/>
  <c r="L186" i="5"/>
  <c r="M186" i="5" s="1"/>
  <c r="N186" i="5"/>
  <c r="K187" i="5"/>
  <c r="L187" i="5"/>
  <c r="M187" i="5" s="1"/>
  <c r="N187" i="5"/>
  <c r="K188" i="5"/>
  <c r="L188" i="5"/>
  <c r="M188" i="5" s="1"/>
  <c r="N188" i="5"/>
  <c r="K189" i="5"/>
  <c r="L189" i="5"/>
  <c r="M189" i="5" s="1"/>
  <c r="N189" i="5"/>
  <c r="K190" i="5"/>
  <c r="L190" i="5"/>
  <c r="M190" i="5" s="1"/>
  <c r="N190" i="5"/>
  <c r="K191" i="5"/>
  <c r="L191" i="5"/>
  <c r="M191" i="5" s="1"/>
  <c r="N191" i="5"/>
  <c r="K192" i="5"/>
  <c r="L192" i="5"/>
  <c r="M192" i="5" s="1"/>
  <c r="N192" i="5"/>
  <c r="K193" i="5"/>
  <c r="L193" i="5"/>
  <c r="M193" i="5" s="1"/>
  <c r="N193" i="5"/>
  <c r="K194" i="5"/>
  <c r="L194" i="5"/>
  <c r="M194" i="5" s="1"/>
  <c r="N194" i="5"/>
  <c r="K195" i="5"/>
  <c r="L195" i="5"/>
  <c r="M195" i="5" s="1"/>
  <c r="N195" i="5"/>
  <c r="K196" i="5"/>
  <c r="L196" i="5"/>
  <c r="M196" i="5" s="1"/>
  <c r="N196" i="5"/>
  <c r="K197" i="5"/>
  <c r="L197" i="5"/>
  <c r="M197" i="5" s="1"/>
  <c r="N197" i="5"/>
  <c r="K198" i="5"/>
  <c r="L198" i="5"/>
  <c r="M198" i="5" s="1"/>
  <c r="N198" i="5"/>
  <c r="K199" i="5"/>
  <c r="L199" i="5"/>
  <c r="M199" i="5" s="1"/>
  <c r="N199" i="5"/>
  <c r="K200" i="5"/>
  <c r="L200" i="5"/>
  <c r="M200" i="5" s="1"/>
  <c r="N200" i="5"/>
  <c r="K201" i="5"/>
  <c r="L201" i="5"/>
  <c r="M201" i="5" s="1"/>
  <c r="N201" i="5"/>
  <c r="K202" i="5"/>
  <c r="L202" i="5"/>
  <c r="M202" i="5" s="1"/>
  <c r="N202" i="5"/>
  <c r="K203" i="5"/>
  <c r="L203" i="5"/>
  <c r="M203" i="5" s="1"/>
  <c r="N203" i="5"/>
  <c r="K204" i="5"/>
  <c r="L204" i="5"/>
  <c r="M204" i="5" s="1"/>
  <c r="N204" i="5"/>
  <c r="K205" i="5"/>
  <c r="L205" i="5"/>
  <c r="M205" i="5" s="1"/>
  <c r="N205" i="5"/>
  <c r="K206" i="5"/>
  <c r="L206" i="5"/>
  <c r="M206" i="5" s="1"/>
  <c r="N206" i="5"/>
  <c r="K207" i="5"/>
  <c r="L207" i="5"/>
  <c r="M207" i="5" s="1"/>
  <c r="N207" i="5"/>
  <c r="K208" i="5"/>
  <c r="L208" i="5"/>
  <c r="M208" i="5" s="1"/>
  <c r="N208" i="5"/>
  <c r="K209" i="5"/>
  <c r="L209" i="5"/>
  <c r="M209" i="5" s="1"/>
  <c r="N209" i="5"/>
  <c r="K210" i="5"/>
  <c r="L210" i="5"/>
  <c r="M210" i="5" s="1"/>
  <c r="N210" i="5"/>
  <c r="K211" i="5"/>
  <c r="L211" i="5"/>
  <c r="M211" i="5" s="1"/>
  <c r="N211" i="5"/>
  <c r="K212" i="5"/>
  <c r="L212" i="5"/>
  <c r="M212" i="5" s="1"/>
  <c r="N212" i="5"/>
  <c r="K213" i="5"/>
  <c r="L213" i="5"/>
  <c r="M213" i="5" s="1"/>
  <c r="N213" i="5"/>
  <c r="K214" i="5"/>
  <c r="L214" i="5"/>
  <c r="M214" i="5" s="1"/>
  <c r="N214" i="5"/>
  <c r="K215" i="5"/>
  <c r="L215" i="5"/>
  <c r="M215" i="5" s="1"/>
  <c r="N215" i="5"/>
  <c r="K216" i="5"/>
  <c r="L216" i="5"/>
  <c r="M216" i="5" s="1"/>
  <c r="N216" i="5"/>
  <c r="K217" i="5"/>
  <c r="L217" i="5"/>
  <c r="M217" i="5" s="1"/>
  <c r="N217" i="5"/>
  <c r="K218" i="5"/>
  <c r="L218" i="5"/>
  <c r="M218" i="5" s="1"/>
  <c r="N218" i="5"/>
  <c r="K219" i="5"/>
  <c r="L219" i="5"/>
  <c r="M219" i="5" s="1"/>
  <c r="N219" i="5"/>
  <c r="K220" i="5"/>
  <c r="L220" i="5"/>
  <c r="M220" i="5" s="1"/>
  <c r="N220" i="5"/>
  <c r="K221" i="5"/>
  <c r="L221" i="5"/>
  <c r="M221" i="5" s="1"/>
  <c r="N221" i="5"/>
  <c r="K222" i="5"/>
  <c r="L222" i="5"/>
  <c r="M222" i="5" s="1"/>
  <c r="N222" i="5"/>
  <c r="K223" i="5"/>
  <c r="L223" i="5"/>
  <c r="M223" i="5" s="1"/>
  <c r="N223" i="5"/>
  <c r="K224" i="5"/>
  <c r="L224" i="5"/>
  <c r="M224" i="5" s="1"/>
  <c r="N224" i="5"/>
  <c r="K225" i="5"/>
  <c r="L225" i="5"/>
  <c r="M225" i="5" s="1"/>
  <c r="N225" i="5"/>
  <c r="K226" i="5"/>
  <c r="L226" i="5"/>
  <c r="M226" i="5" s="1"/>
  <c r="N226" i="5"/>
  <c r="K227" i="5"/>
  <c r="L227" i="5"/>
  <c r="M227" i="5" s="1"/>
  <c r="N227" i="5"/>
  <c r="K228" i="5"/>
  <c r="L228" i="5"/>
  <c r="M228" i="5" s="1"/>
  <c r="N228" i="5"/>
  <c r="K229" i="5"/>
  <c r="L229" i="5"/>
  <c r="M229" i="5" s="1"/>
  <c r="N229" i="5"/>
  <c r="K230" i="5"/>
  <c r="L230" i="5"/>
  <c r="M230" i="5" s="1"/>
  <c r="N230" i="5"/>
  <c r="K231" i="5"/>
  <c r="L231" i="5"/>
  <c r="M231" i="5" s="1"/>
  <c r="N231" i="5"/>
  <c r="K232" i="5"/>
  <c r="L232" i="5"/>
  <c r="M232" i="5" s="1"/>
  <c r="N232" i="5"/>
  <c r="K233" i="5"/>
  <c r="L233" i="5"/>
  <c r="M233" i="5" s="1"/>
  <c r="N233" i="5"/>
  <c r="K234" i="5"/>
  <c r="L234" i="5"/>
  <c r="M234" i="5" s="1"/>
  <c r="N234" i="5"/>
  <c r="K235" i="5"/>
  <c r="L235" i="5"/>
  <c r="M235" i="5" s="1"/>
  <c r="N235" i="5"/>
  <c r="K236" i="5"/>
  <c r="L236" i="5"/>
  <c r="M236" i="5" s="1"/>
  <c r="N236" i="5"/>
  <c r="K237" i="5"/>
  <c r="L237" i="5"/>
  <c r="M237" i="5" s="1"/>
  <c r="N237" i="5"/>
  <c r="K238" i="5"/>
  <c r="L238" i="5"/>
  <c r="M238" i="5" s="1"/>
  <c r="N238" i="5"/>
  <c r="K239" i="5"/>
  <c r="L239" i="5"/>
  <c r="M239" i="5" s="1"/>
  <c r="N239" i="5"/>
  <c r="K240" i="5"/>
  <c r="L240" i="5"/>
  <c r="M240" i="5" s="1"/>
  <c r="N240" i="5"/>
  <c r="K241" i="5"/>
  <c r="L241" i="5"/>
  <c r="N241" i="5"/>
  <c r="K242" i="5"/>
  <c r="L242" i="5"/>
  <c r="M242" i="5" s="1"/>
  <c r="N242" i="5"/>
  <c r="K243" i="5"/>
  <c r="L243" i="5"/>
  <c r="M243" i="5" s="1"/>
  <c r="N243" i="5"/>
  <c r="K244" i="5"/>
  <c r="L244" i="5"/>
  <c r="M244" i="5" s="1"/>
  <c r="N244" i="5"/>
  <c r="K245" i="5"/>
  <c r="L245" i="5"/>
  <c r="M245" i="5" s="1"/>
  <c r="N245" i="5"/>
  <c r="K246" i="5"/>
  <c r="L246" i="5"/>
  <c r="M246" i="5" s="1"/>
  <c r="N246" i="5"/>
  <c r="K247" i="5"/>
  <c r="L247" i="5"/>
  <c r="M247" i="5" s="1"/>
  <c r="N247" i="5"/>
  <c r="K248" i="5"/>
  <c r="L248" i="5"/>
  <c r="M248" i="5" s="1"/>
  <c r="N248" i="5"/>
  <c r="K249" i="5"/>
  <c r="L249" i="5"/>
  <c r="M249" i="5" s="1"/>
  <c r="N249" i="5"/>
  <c r="K250" i="5"/>
  <c r="L250" i="5"/>
  <c r="M250" i="5" s="1"/>
  <c r="N250" i="5"/>
  <c r="K251" i="5"/>
  <c r="L251" i="5"/>
  <c r="M251" i="5" s="1"/>
  <c r="N251" i="5"/>
  <c r="B8" i="1"/>
  <c r="C8" i="1" s="1"/>
  <c r="B9" i="1"/>
  <c r="F9" i="1" s="1"/>
  <c r="B10" i="1"/>
  <c r="D10" i="1" s="1"/>
  <c r="B11" i="1"/>
  <c r="F11" i="1" s="1"/>
  <c r="B12" i="1"/>
  <c r="C12" i="1" s="1"/>
  <c r="B13" i="1"/>
  <c r="C13" i="1" s="1"/>
  <c r="B14" i="1"/>
  <c r="D14" i="1" s="1"/>
  <c r="F14" i="1"/>
  <c r="B15" i="1"/>
  <c r="F15" i="1" s="1"/>
  <c r="B16" i="1"/>
  <c r="C16" i="1" s="1"/>
  <c r="B17" i="1"/>
  <c r="C17" i="1" s="1"/>
  <c r="B18" i="1"/>
  <c r="B19" i="1"/>
  <c r="F19" i="1" s="1"/>
  <c r="B20" i="1"/>
  <c r="E20" i="1" s="1"/>
  <c r="B21" i="1"/>
  <c r="D21" i="1" s="1"/>
  <c r="B22" i="1"/>
  <c r="D22" i="1" s="1"/>
  <c r="C22" i="1"/>
  <c r="B23" i="1"/>
  <c r="F23" i="1" s="1"/>
  <c r="B24" i="1"/>
  <c r="E24" i="1" s="1"/>
  <c r="B25" i="1"/>
  <c r="D25" i="1" s="1"/>
  <c r="B26" i="1"/>
  <c r="D26" i="1" s="1"/>
  <c r="B27" i="1"/>
  <c r="F27" i="1" s="1"/>
  <c r="B28" i="1"/>
  <c r="C28" i="1" s="1"/>
  <c r="B29" i="1"/>
  <c r="C29" i="1" s="1"/>
  <c r="E29" i="1"/>
  <c r="F29" i="1"/>
  <c r="B30" i="1"/>
  <c r="F30" i="1" s="1"/>
  <c r="B31" i="1"/>
  <c r="F31" i="1"/>
  <c r="B32" i="1"/>
  <c r="C32" i="1" s="1"/>
  <c r="B33" i="1"/>
  <c r="D33" i="1" s="1"/>
  <c r="B34" i="1"/>
  <c r="B35" i="1"/>
  <c r="F35" i="1" s="1"/>
  <c r="B36" i="1"/>
  <c r="E36" i="1" s="1"/>
  <c r="B37" i="1"/>
  <c r="D37" i="1" s="1"/>
  <c r="B38" i="1"/>
  <c r="D38" i="1" s="1"/>
  <c r="B39" i="1"/>
  <c r="F39" i="1" s="1"/>
  <c r="B40" i="1"/>
  <c r="B41" i="1"/>
  <c r="D41" i="1" s="1"/>
  <c r="B42" i="1"/>
  <c r="D42" i="1" s="1"/>
  <c r="B43" i="1"/>
  <c r="F43" i="1" s="1"/>
  <c r="B44" i="1"/>
  <c r="C44" i="1" s="1"/>
  <c r="B45" i="1"/>
  <c r="D45" i="1" s="1"/>
  <c r="E45" i="1"/>
  <c r="B46" i="1"/>
  <c r="F46" i="1" s="1"/>
  <c r="B47" i="1"/>
  <c r="F47" i="1" s="1"/>
  <c r="B48" i="1"/>
  <c r="C48" i="1" s="1"/>
  <c r="E48" i="1"/>
  <c r="B49" i="1"/>
  <c r="C49" i="1" s="1"/>
  <c r="B50" i="1"/>
  <c r="B51" i="1"/>
  <c r="F51" i="1" s="1"/>
  <c r="B52" i="1"/>
  <c r="E52" i="1" s="1"/>
  <c r="B53" i="1"/>
  <c r="D53" i="1" s="1"/>
  <c r="B54" i="1"/>
  <c r="D54" i="1" s="1"/>
  <c r="B55" i="1"/>
  <c r="F55" i="1" s="1"/>
  <c r="B56" i="1"/>
  <c r="E56" i="1" s="1"/>
  <c r="B57" i="1"/>
  <c r="D57" i="1" s="1"/>
  <c r="F57" i="1"/>
  <c r="B58" i="1"/>
  <c r="D58" i="1" s="1"/>
  <c r="B59" i="1"/>
  <c r="F59" i="1" s="1"/>
  <c r="B60" i="1"/>
  <c r="C60" i="1" s="1"/>
  <c r="B61" i="1"/>
  <c r="C61" i="1" s="1"/>
  <c r="B62" i="1"/>
  <c r="F62" i="1" s="1"/>
  <c r="B63" i="1"/>
  <c r="F63" i="1" s="1"/>
  <c r="B64" i="1"/>
  <c r="C64" i="1" s="1"/>
  <c r="B65" i="1"/>
  <c r="D65" i="1" s="1"/>
  <c r="B66" i="1"/>
  <c r="B67" i="1"/>
  <c r="F67" i="1" s="1"/>
  <c r="B68" i="1"/>
  <c r="E68" i="1" s="1"/>
  <c r="B69" i="1"/>
  <c r="D69" i="1" s="1"/>
  <c r="F69" i="1"/>
  <c r="B70" i="1"/>
  <c r="D70" i="1" s="1"/>
  <c r="F70" i="1"/>
  <c r="B71" i="1"/>
  <c r="F71" i="1" s="1"/>
  <c r="B72" i="1"/>
  <c r="B73" i="1"/>
  <c r="E73" i="1" s="1"/>
  <c r="C73" i="1"/>
  <c r="B74" i="1"/>
  <c r="D74" i="1" s="1"/>
  <c r="B75" i="1"/>
  <c r="E75" i="1" s="1"/>
  <c r="B76" i="1"/>
  <c r="D76" i="1" s="1"/>
  <c r="B77" i="1"/>
  <c r="D77" i="1" s="1"/>
  <c r="B78" i="1"/>
  <c r="C78" i="1" s="1"/>
  <c r="B79" i="1"/>
  <c r="B80" i="1"/>
  <c r="D80" i="1" s="1"/>
  <c r="B81" i="1"/>
  <c r="E81" i="1" s="1"/>
  <c r="B82" i="1"/>
  <c r="B83" i="1"/>
  <c r="B84" i="1"/>
  <c r="D84" i="1" s="1"/>
  <c r="B85" i="1"/>
  <c r="D85" i="1" s="1"/>
  <c r="F85" i="1"/>
  <c r="B86" i="1"/>
  <c r="C86" i="1" s="1"/>
  <c r="B87" i="1"/>
  <c r="F87" i="1" s="1"/>
  <c r="B88" i="1"/>
  <c r="E88" i="1" s="1"/>
  <c r="B89" i="1"/>
  <c r="C89" i="1" s="1"/>
  <c r="B90" i="1"/>
  <c r="B91" i="1"/>
  <c r="E91" i="1" s="1"/>
  <c r="B92" i="1"/>
  <c r="D92" i="1" s="1"/>
  <c r="B93" i="1"/>
  <c r="D93" i="1" s="1"/>
  <c r="B94" i="1"/>
  <c r="C94" i="1" s="1"/>
  <c r="B95" i="1"/>
  <c r="B96" i="1"/>
  <c r="B97" i="1"/>
  <c r="B98" i="1"/>
  <c r="B99" i="1"/>
  <c r="B100" i="1"/>
  <c r="D100" i="1" s="1"/>
  <c r="F100" i="1"/>
  <c r="B101" i="1"/>
  <c r="D101" i="1" s="1"/>
  <c r="F101" i="1"/>
  <c r="B102" i="1"/>
  <c r="C102" i="1" s="1"/>
  <c r="B103" i="1"/>
  <c r="F103" i="1" s="1"/>
  <c r="B104" i="1"/>
  <c r="E104" i="1" s="1"/>
  <c r="D104" i="1"/>
  <c r="B105" i="1"/>
  <c r="C105" i="1" s="1"/>
  <c r="F105" i="1"/>
  <c r="B106" i="1"/>
  <c r="B107" i="1"/>
  <c r="E107" i="1" s="1"/>
  <c r="B108" i="1"/>
  <c r="D108" i="1" s="1"/>
  <c r="C108" i="1"/>
  <c r="B109" i="1"/>
  <c r="D109" i="1" s="1"/>
  <c r="B110" i="1"/>
  <c r="C110" i="1" s="1"/>
  <c r="B111" i="1"/>
  <c r="B112" i="1"/>
  <c r="B113" i="1"/>
  <c r="B114" i="1"/>
  <c r="B115" i="1"/>
  <c r="B116" i="1"/>
  <c r="D116" i="1" s="1"/>
  <c r="B117" i="1"/>
  <c r="D117" i="1" s="1"/>
  <c r="B118" i="1"/>
  <c r="C118" i="1" s="1"/>
  <c r="B119" i="1"/>
  <c r="F119" i="1" s="1"/>
  <c r="B120" i="1"/>
  <c r="E120" i="1" s="1"/>
  <c r="B121" i="1"/>
  <c r="C121" i="1" s="1"/>
  <c r="B122" i="1"/>
  <c r="B123" i="1"/>
  <c r="E123" i="1" s="1"/>
  <c r="B124" i="1"/>
  <c r="D124" i="1" s="1"/>
  <c r="B125" i="1"/>
  <c r="D125" i="1"/>
  <c r="B126" i="1"/>
  <c r="B127" i="1"/>
  <c r="C127" i="1" s="1"/>
  <c r="B128" i="1"/>
  <c r="C128" i="1" s="1"/>
  <c r="B129" i="1"/>
  <c r="E129" i="1" s="1"/>
  <c r="B130" i="1"/>
  <c r="D130" i="1" s="1"/>
  <c r="B131" i="1"/>
  <c r="C131" i="1" s="1"/>
  <c r="B132" i="1"/>
  <c r="D132" i="1" s="1"/>
  <c r="B133" i="1"/>
  <c r="E133" i="1" s="1"/>
  <c r="B134" i="1"/>
  <c r="D134" i="1" s="1"/>
  <c r="B135" i="1"/>
  <c r="B136" i="1"/>
  <c r="D136" i="1" s="1"/>
  <c r="B137" i="1"/>
  <c r="E137" i="1" s="1"/>
  <c r="B138" i="1"/>
  <c r="D138" i="1" s="1"/>
  <c r="B139" i="1"/>
  <c r="C139" i="1" s="1"/>
  <c r="B140" i="1"/>
  <c r="D140" i="1" s="1"/>
  <c r="B141" i="1"/>
  <c r="B142" i="1"/>
  <c r="D142" i="1" s="1"/>
  <c r="B143" i="1"/>
  <c r="B144" i="1"/>
  <c r="D144" i="1" s="1"/>
  <c r="B145" i="1"/>
  <c r="D145" i="1" s="1"/>
  <c r="B146" i="1"/>
  <c r="C146" i="1" s="1"/>
  <c r="B147" i="1"/>
  <c r="C147" i="1" s="1"/>
  <c r="B148" i="1"/>
  <c r="C148" i="1" s="1"/>
  <c r="B149" i="1"/>
  <c r="E149" i="1" s="1"/>
  <c r="B150" i="1"/>
  <c r="C150" i="1" s="1"/>
  <c r="B151" i="1"/>
  <c r="C151" i="1" s="1"/>
  <c r="B152" i="1"/>
  <c r="C152" i="1" s="1"/>
  <c r="E152" i="1"/>
  <c r="B153" i="1"/>
  <c r="E153" i="1" s="1"/>
  <c r="F153" i="1"/>
  <c r="B154" i="1"/>
  <c r="C154" i="1" s="1"/>
  <c r="B155" i="1"/>
  <c r="C155" i="1" s="1"/>
  <c r="B156" i="1"/>
  <c r="E156" i="1" s="1"/>
  <c r="F156" i="1"/>
  <c r="B157" i="1"/>
  <c r="E157" i="1" s="1"/>
  <c r="B158" i="1"/>
  <c r="C158" i="1" s="1"/>
  <c r="B159" i="1"/>
  <c r="B160" i="1"/>
  <c r="E160" i="1" s="1"/>
  <c r="B161" i="1"/>
  <c r="B162" i="1"/>
  <c r="C162" i="1" s="1"/>
  <c r="B163" i="1"/>
  <c r="B164" i="1"/>
  <c r="E164" i="1" s="1"/>
  <c r="B165" i="1"/>
  <c r="B166" i="1"/>
  <c r="C166" i="1" s="1"/>
  <c r="B167" i="1"/>
  <c r="B168" i="1"/>
  <c r="E168" i="1" s="1"/>
  <c r="B169" i="1"/>
  <c r="B170" i="1"/>
  <c r="C170" i="1" s="1"/>
  <c r="B171" i="1"/>
  <c r="B172" i="1"/>
  <c r="E172" i="1" s="1"/>
  <c r="B173" i="1"/>
  <c r="B174" i="1"/>
  <c r="C174" i="1" s="1"/>
  <c r="B175" i="1"/>
  <c r="C175" i="1" s="1"/>
  <c r="B176" i="1"/>
  <c r="F176" i="1" s="1"/>
  <c r="B177" i="1"/>
  <c r="E177" i="1" s="1"/>
  <c r="B178" i="1"/>
  <c r="C178" i="1" s="1"/>
  <c r="B179" i="1"/>
  <c r="C179" i="1" s="1"/>
  <c r="B180" i="1"/>
  <c r="F180" i="1" s="1"/>
  <c r="B181" i="1"/>
  <c r="B182" i="1"/>
  <c r="E182" i="1" s="1"/>
  <c r="B183" i="1"/>
  <c r="B184" i="1"/>
  <c r="F184" i="1" s="1"/>
  <c r="B185" i="1"/>
  <c r="B186" i="1"/>
  <c r="B187" i="1"/>
  <c r="E187" i="1" s="1"/>
  <c r="B188" i="1"/>
  <c r="B189" i="1"/>
  <c r="B190" i="1"/>
  <c r="E190" i="1" s="1"/>
  <c r="B191" i="1"/>
  <c r="B192" i="1"/>
  <c r="D192" i="1" s="1"/>
  <c r="B193" i="1"/>
  <c r="C193" i="1" s="1"/>
  <c r="B194" i="1"/>
  <c r="E194" i="1" s="1"/>
  <c r="B195" i="1"/>
  <c r="B196" i="1"/>
  <c r="F196" i="1" s="1"/>
  <c r="B197" i="1"/>
  <c r="B198" i="1"/>
  <c r="E198" i="1" s="1"/>
  <c r="B199" i="1"/>
  <c r="B200" i="1"/>
  <c r="D200" i="1" s="1"/>
  <c r="B201" i="1"/>
  <c r="C201" i="1" s="1"/>
  <c r="B202" i="1"/>
  <c r="B203" i="1"/>
  <c r="E203" i="1" s="1"/>
  <c r="B204" i="1"/>
  <c r="B205" i="1"/>
  <c r="B206" i="1"/>
  <c r="E206" i="1" s="1"/>
  <c r="B207" i="1"/>
  <c r="C207" i="1" s="1"/>
  <c r="B208" i="1"/>
  <c r="D208" i="1" s="1"/>
  <c r="B209" i="1"/>
  <c r="C209" i="1" s="1"/>
  <c r="B210" i="1"/>
  <c r="E210" i="1" s="1"/>
  <c r="B211" i="1"/>
  <c r="B212" i="1"/>
  <c r="F212" i="1" s="1"/>
  <c r="B213" i="1"/>
  <c r="B214" i="1"/>
  <c r="B215" i="1"/>
  <c r="F215" i="1" s="1"/>
  <c r="B216" i="1"/>
  <c r="E216" i="1" s="1"/>
  <c r="B217" i="1"/>
  <c r="C217" i="1" s="1"/>
  <c r="B218" i="1"/>
  <c r="B219" i="1"/>
  <c r="B220" i="1"/>
  <c r="F220" i="1" s="1"/>
  <c r="B221" i="1"/>
  <c r="B222" i="1"/>
  <c r="B223" i="1"/>
  <c r="D223" i="1" s="1"/>
  <c r="B224" i="1"/>
  <c r="D224" i="1" s="1"/>
  <c r="B225" i="1"/>
  <c r="B226" i="1"/>
  <c r="B227" i="1"/>
  <c r="B228" i="1"/>
  <c r="B229" i="1"/>
  <c r="C229" i="1" s="1"/>
  <c r="B230" i="1"/>
  <c r="F230" i="1" s="1"/>
  <c r="B231" i="1"/>
  <c r="B232" i="1"/>
  <c r="E232" i="1" s="1"/>
  <c r="B233" i="1"/>
  <c r="B234" i="1"/>
  <c r="B235" i="1"/>
  <c r="B236" i="1"/>
  <c r="B237" i="1"/>
  <c r="B238" i="1"/>
  <c r="C238" i="1" s="1"/>
  <c r="B239" i="1"/>
  <c r="B240" i="1"/>
  <c r="B241" i="1"/>
  <c r="B242" i="1"/>
  <c r="B243" i="1"/>
  <c r="B244" i="1"/>
  <c r="C244" i="1" s="1"/>
  <c r="B245" i="1"/>
  <c r="C245" i="1" s="1"/>
  <c r="B246" i="1"/>
  <c r="B247" i="1"/>
  <c r="B248" i="1"/>
  <c r="B249" i="1"/>
  <c r="B250" i="1"/>
  <c r="F250" i="1" s="1"/>
  <c r="B251" i="1"/>
  <c r="C251" i="1" s="1"/>
  <c r="B252" i="1"/>
  <c r="D252" i="1" s="1"/>
  <c r="B253" i="1"/>
  <c r="F253" i="1" s="1"/>
  <c r="B254" i="1"/>
  <c r="B255" i="1"/>
  <c r="B256" i="1"/>
  <c r="B257" i="1"/>
  <c r="C257" i="1" s="1"/>
  <c r="B258" i="1"/>
  <c r="F258" i="1" s="1"/>
  <c r="B259" i="1"/>
  <c r="B260" i="1"/>
  <c r="D260" i="1" s="1"/>
  <c r="B261" i="1"/>
  <c r="F261" i="1" s="1"/>
  <c r="B262" i="1"/>
  <c r="B263" i="1"/>
  <c r="C263" i="1" s="1"/>
  <c r="B264" i="1"/>
  <c r="B265" i="1"/>
  <c r="C265" i="1" s="1"/>
  <c r="B266" i="1"/>
  <c r="F266" i="1" s="1"/>
  <c r="B267" i="1"/>
  <c r="B268" i="1"/>
  <c r="B269" i="1"/>
  <c r="C269" i="1" s="1"/>
  <c r="B270" i="1"/>
  <c r="B271" i="1"/>
  <c r="F271" i="1" s="1"/>
  <c r="B272" i="1"/>
  <c r="B273" i="1"/>
  <c r="F273" i="1" s="1"/>
  <c r="B274" i="1"/>
  <c r="F274" i="1" s="1"/>
  <c r="B275" i="1"/>
  <c r="B276" i="1"/>
  <c r="B277" i="1"/>
  <c r="B278" i="1"/>
  <c r="B279" i="1"/>
  <c r="B280" i="1"/>
  <c r="F280" i="1" s="1"/>
  <c r="B281" i="1"/>
  <c r="C281" i="1" s="1"/>
  <c r="B282" i="1"/>
  <c r="F282" i="1" s="1"/>
  <c r="B283" i="1"/>
  <c r="F283" i="1" s="1"/>
  <c r="B284" i="1"/>
  <c r="B285" i="1"/>
  <c r="D285" i="1" s="1"/>
  <c r="B286" i="1"/>
  <c r="B287" i="1"/>
  <c r="B288" i="1"/>
  <c r="B289" i="1"/>
  <c r="B290" i="1"/>
  <c r="F290" i="1" s="1"/>
  <c r="B291" i="1"/>
  <c r="B292" i="1"/>
  <c r="B293" i="1"/>
  <c r="E293" i="1" s="1"/>
  <c r="B294" i="1"/>
  <c r="B295" i="1"/>
  <c r="E295" i="1" s="1"/>
  <c r="B296" i="1"/>
  <c r="B297" i="1"/>
  <c r="B298" i="1"/>
  <c r="D298" i="1" s="1"/>
  <c r="B299" i="1"/>
  <c r="B300" i="1"/>
  <c r="D300" i="1" s="1"/>
  <c r="B301" i="1"/>
  <c r="E301" i="1" s="1"/>
  <c r="B302" i="1"/>
  <c r="E302" i="1" s="1"/>
  <c r="B303" i="1"/>
  <c r="D303" i="1" s="1"/>
  <c r="B304" i="1"/>
  <c r="C304" i="1" s="1"/>
  <c r="B305" i="1"/>
  <c r="F305" i="1" s="1"/>
  <c r="B306" i="1"/>
  <c r="D306" i="1" s="1"/>
  <c r="B307" i="1"/>
  <c r="E307" i="1" s="1"/>
  <c r="B308" i="1"/>
  <c r="E308" i="1" s="1"/>
  <c r="B309" i="1"/>
  <c r="C309" i="1" s="1"/>
  <c r="B310" i="1"/>
  <c r="B311" i="1"/>
  <c r="B312" i="1"/>
  <c r="B313" i="1"/>
  <c r="D313" i="1" s="1"/>
  <c r="B314" i="1"/>
  <c r="B315" i="1"/>
  <c r="E315" i="1" s="1"/>
  <c r="B316" i="1"/>
  <c r="B317" i="1"/>
  <c r="E317" i="1" s="1"/>
  <c r="C317" i="1"/>
  <c r="D317" i="1"/>
  <c r="F317" i="1"/>
  <c r="B318" i="1"/>
  <c r="F318" i="1"/>
  <c r="B319" i="1"/>
  <c r="F319" i="1" s="1"/>
  <c r="B320" i="1"/>
  <c r="B321" i="1"/>
  <c r="E321" i="1" s="1"/>
  <c r="B322" i="1"/>
  <c r="B323" i="1"/>
  <c r="C323" i="1" s="1"/>
  <c r="B324" i="1"/>
  <c r="D324" i="1" s="1"/>
  <c r="B325" i="1"/>
  <c r="E325" i="1" s="1"/>
  <c r="B326" i="1"/>
  <c r="F326" i="1" s="1"/>
  <c r="B327" i="1"/>
  <c r="F327" i="1" s="1"/>
  <c r="B328" i="1"/>
  <c r="D328" i="1" s="1"/>
  <c r="B329" i="1"/>
  <c r="E329" i="1" s="1"/>
  <c r="B330" i="1"/>
  <c r="B331" i="1"/>
  <c r="B332" i="1"/>
  <c r="F332" i="1" s="1"/>
  <c r="B333" i="1"/>
  <c r="F333" i="1" s="1"/>
  <c r="B334" i="1"/>
  <c r="F334" i="1" s="1"/>
  <c r="B335" i="1"/>
  <c r="B336" i="1"/>
  <c r="E336" i="1" s="1"/>
  <c r="B337" i="1"/>
  <c r="E337" i="1" s="1"/>
  <c r="C337" i="1"/>
  <c r="B338" i="1"/>
  <c r="B339" i="1"/>
  <c r="F339" i="1" s="1"/>
  <c r="B340" i="1"/>
  <c r="D340" i="1" s="1"/>
  <c r="B341" i="1"/>
  <c r="E341" i="1" s="1"/>
  <c r="B342" i="1"/>
  <c r="F342" i="1" s="1"/>
  <c r="B343" i="1"/>
  <c r="F343" i="1" s="1"/>
  <c r="B344" i="1"/>
  <c r="B345" i="1"/>
  <c r="E345" i="1" s="1"/>
  <c r="B346" i="1"/>
  <c r="B347" i="1"/>
  <c r="B348" i="1"/>
  <c r="B349" i="1"/>
  <c r="D349" i="1" s="1"/>
  <c r="C349" i="1"/>
  <c r="B350" i="1"/>
  <c r="F350" i="1" s="1"/>
  <c r="B351" i="1"/>
  <c r="F351" i="1" s="1"/>
  <c r="B352" i="1"/>
  <c r="B353" i="1"/>
  <c r="D353" i="1" s="1"/>
  <c r="B354" i="1"/>
  <c r="B355" i="1"/>
  <c r="F355" i="1" s="1"/>
  <c r="B356" i="1"/>
  <c r="B357" i="1"/>
  <c r="E357" i="1" s="1"/>
  <c r="B358" i="1"/>
  <c r="F358" i="1" s="1"/>
  <c r="B359" i="1"/>
  <c r="C359" i="1" s="1"/>
  <c r="B360" i="1"/>
  <c r="B361" i="1"/>
  <c r="B362" i="1"/>
  <c r="B363" i="1"/>
  <c r="B364" i="1"/>
  <c r="F364" i="1" s="1"/>
  <c r="B365" i="1"/>
  <c r="C365" i="1" s="1"/>
  <c r="B366" i="1"/>
  <c r="F366" i="1" s="1"/>
  <c r="B367" i="1"/>
  <c r="B368" i="1"/>
  <c r="B369" i="1"/>
  <c r="B370" i="1"/>
  <c r="B371" i="1"/>
  <c r="E371" i="1" s="1"/>
  <c r="B372" i="1"/>
  <c r="F372" i="1" s="1"/>
  <c r="B373" i="1"/>
  <c r="D373" i="1" s="1"/>
  <c r="B374" i="1"/>
  <c r="F374" i="1" s="1"/>
  <c r="B375" i="1"/>
  <c r="C375" i="1" s="1"/>
  <c r="B376" i="1"/>
  <c r="D376" i="1" s="1"/>
  <c r="B377" i="1"/>
  <c r="B378" i="1"/>
  <c r="B379" i="1"/>
  <c r="B380" i="1"/>
  <c r="F380" i="1" s="1"/>
  <c r="B381" i="1"/>
  <c r="E381" i="1" s="1"/>
  <c r="B382" i="1"/>
  <c r="F382" i="1" s="1"/>
  <c r="B383" i="1"/>
  <c r="B384" i="1"/>
  <c r="E384" i="1" s="1"/>
  <c r="B385" i="1"/>
  <c r="F385" i="1" s="1"/>
  <c r="D385" i="1"/>
  <c r="B386" i="1"/>
  <c r="B387" i="1"/>
  <c r="E387" i="1"/>
  <c r="B388" i="1"/>
  <c r="F388" i="1" s="1"/>
  <c r="B389" i="1"/>
  <c r="F389" i="1" s="1"/>
  <c r="B390" i="1"/>
  <c r="F390" i="1" s="1"/>
  <c r="B391" i="1"/>
  <c r="B392" i="1"/>
  <c r="D392" i="1" s="1"/>
  <c r="B393" i="1"/>
  <c r="B394" i="1"/>
  <c r="B395" i="1"/>
  <c r="E395" i="1" s="1"/>
  <c r="B396" i="1"/>
  <c r="F396" i="1" s="1"/>
  <c r="B397" i="1"/>
  <c r="B398" i="1"/>
  <c r="F398" i="1" s="1"/>
  <c r="B399" i="1"/>
  <c r="F399" i="1" s="1"/>
  <c r="B400" i="1"/>
  <c r="B401" i="1"/>
  <c r="E401" i="1" s="1"/>
  <c r="B402" i="1"/>
  <c r="B403" i="1"/>
  <c r="F403" i="1" s="1"/>
  <c r="B404" i="1"/>
  <c r="F404" i="1" s="1"/>
  <c r="B405" i="1"/>
  <c r="B406" i="1"/>
  <c r="F406" i="1" s="1"/>
  <c r="B407" i="1"/>
  <c r="F407" i="1" s="1"/>
  <c r="B408" i="1"/>
  <c r="B409" i="1"/>
  <c r="B410" i="1"/>
  <c r="B411" i="1"/>
  <c r="C411" i="1" s="1"/>
  <c r="B412" i="1"/>
  <c r="B413" i="1"/>
  <c r="B414" i="1"/>
  <c r="F414" i="1" s="1"/>
  <c r="B415" i="1"/>
  <c r="C415" i="1" s="1"/>
  <c r="B416" i="1"/>
  <c r="B417" i="1"/>
  <c r="B418" i="1"/>
  <c r="B419" i="1"/>
  <c r="B420" i="1"/>
  <c r="F420" i="1" s="1"/>
  <c r="B421" i="1"/>
  <c r="B422" i="1"/>
  <c r="F422" i="1" s="1"/>
  <c r="B423" i="1"/>
  <c r="D423" i="1" s="1"/>
  <c r="B424" i="1"/>
  <c r="E424" i="1" s="1"/>
  <c r="D424" i="1"/>
  <c r="B425" i="1"/>
  <c r="B426" i="1"/>
  <c r="B427" i="1"/>
  <c r="C427" i="1" s="1"/>
  <c r="B428" i="1"/>
  <c r="B429" i="1"/>
  <c r="E429" i="1" s="1"/>
  <c r="B430" i="1"/>
  <c r="B431" i="1"/>
  <c r="E431" i="1" s="1"/>
  <c r="B432" i="1"/>
  <c r="D432" i="1" s="1"/>
  <c r="B433" i="1"/>
  <c r="D433" i="1" s="1"/>
  <c r="B434" i="1"/>
  <c r="B435" i="1"/>
  <c r="B436" i="1"/>
  <c r="B437" i="1"/>
  <c r="B438" i="1"/>
  <c r="B439" i="1"/>
  <c r="F439" i="1" s="1"/>
  <c r="B440" i="1"/>
  <c r="D440" i="1" s="1"/>
  <c r="B441" i="1"/>
  <c r="B442" i="1"/>
  <c r="D442" i="1" s="1"/>
  <c r="B443" i="1"/>
  <c r="B444" i="1"/>
  <c r="D444" i="1" s="1"/>
  <c r="B445" i="1"/>
  <c r="C445" i="1" s="1"/>
  <c r="D445" i="1"/>
  <c r="B446" i="1"/>
  <c r="D446" i="1" s="1"/>
  <c r="B447" i="1"/>
  <c r="F447" i="1" s="1"/>
  <c r="B448" i="1"/>
  <c r="B449" i="1"/>
  <c r="F449" i="1" s="1"/>
  <c r="B450" i="1"/>
  <c r="B451" i="1"/>
  <c r="B452" i="1"/>
  <c r="B453" i="1"/>
  <c r="C453" i="1" s="1"/>
  <c r="B454" i="1"/>
  <c r="B455" i="1"/>
  <c r="B456" i="1"/>
  <c r="D456" i="1" s="1"/>
  <c r="B457" i="1"/>
  <c r="B458" i="1"/>
  <c r="D458" i="1" s="1"/>
  <c r="B459" i="1"/>
  <c r="F459" i="1" s="1"/>
  <c r="B460" i="1"/>
  <c r="B461" i="1"/>
  <c r="B462" i="1"/>
  <c r="D462" i="1" s="1"/>
  <c r="B463" i="1"/>
  <c r="B464" i="1"/>
  <c r="F464" i="1" s="1"/>
  <c r="B465" i="1"/>
  <c r="E465" i="1" s="1"/>
  <c r="B466" i="1"/>
  <c r="F466" i="1" s="1"/>
  <c r="B467" i="1"/>
  <c r="B468" i="1"/>
  <c r="B469" i="1"/>
  <c r="F469" i="1" s="1"/>
  <c r="B470" i="1"/>
  <c r="B471" i="1"/>
  <c r="F471" i="1" s="1"/>
  <c r="B472" i="1"/>
  <c r="D472" i="1" s="1"/>
  <c r="B473" i="1"/>
  <c r="E473" i="1" s="1"/>
  <c r="B474" i="1"/>
  <c r="D474" i="1" s="1"/>
  <c r="B475" i="1"/>
  <c r="D475" i="1" s="1"/>
  <c r="B476" i="1"/>
  <c r="D476" i="1" s="1"/>
  <c r="B477" i="1"/>
  <c r="F477" i="1" s="1"/>
  <c r="B478" i="1"/>
  <c r="B479" i="1"/>
  <c r="D479" i="1" s="1"/>
  <c r="C479" i="1"/>
  <c r="B480" i="1"/>
  <c r="F480" i="1" s="1"/>
  <c r="B481" i="1"/>
  <c r="F481" i="1" s="1"/>
  <c r="B482" i="1"/>
  <c r="B483" i="1"/>
  <c r="C483" i="1" s="1"/>
  <c r="B484" i="1"/>
  <c r="B485" i="1"/>
  <c r="B486" i="1"/>
  <c r="B487" i="1"/>
  <c r="F487" i="1" s="1"/>
  <c r="B488" i="1"/>
  <c r="D488" i="1" s="1"/>
  <c r="B489" i="1"/>
  <c r="F489" i="1" s="1"/>
  <c r="B490" i="1"/>
  <c r="D490" i="1" s="1"/>
  <c r="B491" i="1"/>
  <c r="B492" i="1"/>
  <c r="D492" i="1" s="1"/>
  <c r="B493" i="1"/>
  <c r="C493" i="1" s="1"/>
  <c r="B494" i="1"/>
  <c r="B495" i="1"/>
  <c r="B496" i="1"/>
  <c r="B497" i="1"/>
  <c r="E497" i="1" s="1"/>
  <c r="B498" i="1"/>
  <c r="F498" i="1" s="1"/>
  <c r="B499" i="1"/>
  <c r="F499" i="1" s="1"/>
  <c r="B500" i="1"/>
  <c r="B501" i="1"/>
  <c r="C501" i="1" s="1"/>
  <c r="B502" i="1"/>
  <c r="B503" i="1"/>
  <c r="C503" i="1" s="1"/>
  <c r="B504" i="1"/>
  <c r="D504" i="1" s="1"/>
  <c r="B505" i="1"/>
  <c r="B506" i="1"/>
  <c r="D506" i="1" s="1"/>
  <c r="B507" i="1"/>
  <c r="F507" i="1" s="1"/>
  <c r="B508" i="1"/>
  <c r="B509" i="1"/>
  <c r="E509" i="1" s="1"/>
  <c r="B510" i="1"/>
  <c r="E510" i="1" s="1"/>
  <c r="B511" i="1"/>
  <c r="B512" i="1"/>
  <c r="C512" i="1" s="1"/>
  <c r="B513" i="1"/>
  <c r="C513" i="1" s="1"/>
  <c r="B514" i="1"/>
  <c r="B515" i="1"/>
  <c r="D515" i="1" s="1"/>
  <c r="B516" i="1"/>
  <c r="B517" i="1"/>
  <c r="C517" i="1" s="1"/>
  <c r="B518" i="1"/>
  <c r="B519" i="1"/>
  <c r="B520" i="1"/>
  <c r="B521" i="1"/>
  <c r="D521" i="1" s="1"/>
  <c r="B522" i="1"/>
  <c r="B523" i="1"/>
  <c r="F523" i="1" s="1"/>
  <c r="B524" i="1"/>
  <c r="B525" i="1"/>
  <c r="B526" i="1"/>
  <c r="F526" i="1" s="1"/>
  <c r="B527" i="1"/>
  <c r="B528" i="1"/>
  <c r="F528" i="1" s="1"/>
  <c r="B529" i="1"/>
  <c r="B530" i="1"/>
  <c r="B531" i="1"/>
  <c r="F531" i="1" s="1"/>
  <c r="B532" i="1"/>
  <c r="B533" i="1"/>
  <c r="B534" i="1"/>
  <c r="C534" i="1" s="1"/>
  <c r="B535" i="1"/>
  <c r="B536" i="1"/>
  <c r="E536" i="1" s="1"/>
  <c r="B537" i="1"/>
  <c r="E537" i="1" s="1"/>
  <c r="B538" i="1"/>
  <c r="F538" i="1" s="1"/>
  <c r="B539" i="1"/>
  <c r="F539" i="1" s="1"/>
  <c r="B540" i="1"/>
  <c r="E540" i="1" s="1"/>
  <c r="B541" i="1"/>
  <c r="D541" i="1" s="1"/>
  <c r="B542" i="1"/>
  <c r="F542" i="1" s="1"/>
  <c r="B543" i="1"/>
  <c r="B544" i="1"/>
  <c r="C544" i="1" s="1"/>
  <c r="B545" i="1"/>
  <c r="B546" i="1"/>
  <c r="C546" i="1" s="1"/>
  <c r="B547" i="1"/>
  <c r="F547" i="1" s="1"/>
  <c r="B548" i="1"/>
  <c r="C548" i="1" s="1"/>
  <c r="B549" i="1"/>
  <c r="E549" i="1" s="1"/>
  <c r="B550" i="1"/>
  <c r="B551" i="1"/>
  <c r="B552" i="1"/>
  <c r="F552" i="1" s="1"/>
  <c r="B553" i="1"/>
  <c r="D553" i="1" s="1"/>
  <c r="B554" i="1"/>
  <c r="B555" i="1"/>
  <c r="F555" i="1" s="1"/>
  <c r="B556" i="1"/>
  <c r="B557" i="1"/>
  <c r="E557" i="1" s="1"/>
  <c r="B558" i="1"/>
  <c r="F558" i="1" s="1"/>
  <c r="B559" i="1"/>
  <c r="B560" i="1"/>
  <c r="D560" i="1" s="1"/>
  <c r="B561" i="1"/>
  <c r="E561" i="1" s="1"/>
  <c r="B562" i="1"/>
  <c r="D562" i="1" s="1"/>
  <c r="B563" i="1"/>
  <c r="F563" i="1" s="1"/>
  <c r="B564" i="1"/>
  <c r="D564" i="1" s="1"/>
  <c r="B565" i="1"/>
  <c r="D565" i="1" s="1"/>
  <c r="B566" i="1"/>
  <c r="C566" i="1" s="1"/>
  <c r="B567" i="1"/>
  <c r="B568" i="1"/>
  <c r="F568" i="1" s="1"/>
  <c r="B569" i="1"/>
  <c r="B570" i="1"/>
  <c r="C570" i="1" s="1"/>
  <c r="B571" i="1"/>
  <c r="F571" i="1" s="1"/>
  <c r="B572" i="1"/>
  <c r="E572" i="1" s="1"/>
  <c r="B573" i="1"/>
  <c r="F573" i="1" s="1"/>
  <c r="B574" i="1"/>
  <c r="B575" i="1"/>
  <c r="B576" i="1"/>
  <c r="C576" i="1" s="1"/>
  <c r="B577" i="1"/>
  <c r="E577" i="1" s="1"/>
  <c r="B578" i="1"/>
  <c r="B579" i="1"/>
  <c r="F579" i="1" s="1"/>
  <c r="B580" i="1"/>
  <c r="C580" i="1" s="1"/>
  <c r="B581" i="1"/>
  <c r="D581" i="1" s="1"/>
  <c r="B582" i="1"/>
  <c r="C582" i="1" s="1"/>
  <c r="B583" i="1"/>
  <c r="B584" i="1"/>
  <c r="F584" i="1" s="1"/>
  <c r="B585" i="1"/>
  <c r="F585" i="1" s="1"/>
  <c r="B586" i="1"/>
  <c r="B587" i="1"/>
  <c r="F587" i="1" s="1"/>
  <c r="B588" i="1"/>
  <c r="B589" i="1"/>
  <c r="B590" i="1"/>
  <c r="F590" i="1" s="1"/>
  <c r="B591" i="1"/>
  <c r="B592" i="1"/>
  <c r="F592" i="1" s="1"/>
  <c r="B593" i="1"/>
  <c r="E593" i="1" s="1"/>
  <c r="B594" i="1"/>
  <c r="B595" i="1"/>
  <c r="F595" i="1" s="1"/>
  <c r="B596" i="1"/>
  <c r="B597" i="1"/>
  <c r="E597" i="1" s="1"/>
  <c r="B598" i="1"/>
  <c r="D598" i="1" s="1"/>
  <c r="B599" i="1"/>
  <c r="B600" i="1"/>
  <c r="B601" i="1"/>
  <c r="E601" i="1" s="1"/>
  <c r="B602" i="1"/>
  <c r="B603" i="1"/>
  <c r="F603" i="1" s="1"/>
  <c r="B604" i="1"/>
  <c r="B605" i="1"/>
  <c r="B606" i="1"/>
  <c r="C606" i="1" s="1"/>
  <c r="B607" i="1"/>
  <c r="B608" i="1"/>
  <c r="F608" i="1" s="1"/>
  <c r="B609" i="1"/>
  <c r="E609" i="1" s="1"/>
  <c r="B610" i="1"/>
  <c r="B611" i="1"/>
  <c r="F611" i="1" s="1"/>
  <c r="B612" i="1"/>
  <c r="F612" i="1" s="1"/>
  <c r="B613" i="1"/>
  <c r="B614" i="1"/>
  <c r="D614" i="1" s="1"/>
  <c r="B615" i="1"/>
  <c r="B616" i="1"/>
  <c r="B617" i="1"/>
  <c r="F617" i="1" s="1"/>
  <c r="B618" i="1"/>
  <c r="E618" i="1" s="1"/>
  <c r="B619" i="1"/>
  <c r="F619" i="1" s="1"/>
  <c r="B620" i="1"/>
  <c r="D620" i="1" s="1"/>
  <c r="B621" i="1"/>
  <c r="B622" i="1"/>
  <c r="D622" i="1" s="1"/>
  <c r="B623" i="1"/>
  <c r="B624" i="1"/>
  <c r="F624" i="1" s="1"/>
  <c r="B625" i="1"/>
  <c r="E625" i="1" s="1"/>
  <c r="B626" i="1"/>
  <c r="B627" i="1"/>
  <c r="F627" i="1" s="1"/>
  <c r="B628" i="1"/>
  <c r="E628" i="1" s="1"/>
  <c r="B629" i="1"/>
  <c r="E629" i="1" s="1"/>
  <c r="B630" i="1"/>
  <c r="B631" i="1"/>
  <c r="B632" i="1"/>
  <c r="F632" i="1" s="1"/>
  <c r="B633" i="1"/>
  <c r="B634" i="1"/>
  <c r="D634" i="1" s="1"/>
  <c r="B635" i="1"/>
  <c r="F635" i="1" s="1"/>
  <c r="B636" i="1"/>
  <c r="E636" i="1" s="1"/>
  <c r="B637" i="1"/>
  <c r="B638" i="1"/>
  <c r="E638" i="1" s="1"/>
  <c r="B639" i="1"/>
  <c r="B640" i="1"/>
  <c r="B641" i="1"/>
  <c r="E641" i="1" s="1"/>
  <c r="B642" i="1"/>
  <c r="B643" i="1"/>
  <c r="F643" i="1" s="1"/>
  <c r="B644" i="1"/>
  <c r="B645" i="1"/>
  <c r="F645" i="1" s="1"/>
  <c r="B646" i="1"/>
  <c r="B647" i="1"/>
  <c r="B648" i="1"/>
  <c r="E648" i="1" s="1"/>
  <c r="B649" i="1"/>
  <c r="B650" i="1"/>
  <c r="B651" i="1"/>
  <c r="F651" i="1" s="1"/>
  <c r="B652" i="1"/>
  <c r="B653" i="1"/>
  <c r="D653" i="1" s="1"/>
  <c r="B654" i="1"/>
  <c r="B655" i="1"/>
  <c r="D655" i="1" s="1"/>
  <c r="B656" i="1"/>
  <c r="D656" i="1" s="1"/>
  <c r="B657" i="1"/>
  <c r="B658" i="1"/>
  <c r="B659" i="1"/>
  <c r="F659" i="1" s="1"/>
  <c r="B660" i="1"/>
  <c r="F660" i="1" s="1"/>
  <c r="B661" i="1"/>
  <c r="F661" i="1" s="1"/>
  <c r="B662" i="1"/>
  <c r="F662" i="1" s="1"/>
  <c r="B663" i="1"/>
  <c r="B664" i="1"/>
  <c r="F664" i="1" s="1"/>
  <c r="B665" i="1"/>
  <c r="B666" i="1"/>
  <c r="F666" i="1" s="1"/>
  <c r="B667" i="1"/>
  <c r="D667" i="1" s="1"/>
  <c r="B668" i="1"/>
  <c r="B669" i="1"/>
  <c r="D669" i="1" s="1"/>
  <c r="B670" i="1"/>
  <c r="B671" i="1"/>
  <c r="B672" i="1"/>
  <c r="D672" i="1" s="1"/>
  <c r="B673" i="1"/>
  <c r="D673" i="1" s="1"/>
  <c r="B674" i="1"/>
  <c r="D674" i="1" s="1"/>
  <c r="B675" i="1"/>
  <c r="C675" i="1" s="1"/>
  <c r="B676" i="1"/>
  <c r="B677" i="1"/>
  <c r="E677" i="1" s="1"/>
  <c r="B678" i="1"/>
  <c r="D678" i="1" s="1"/>
  <c r="B679" i="1"/>
  <c r="C679" i="1" s="1"/>
  <c r="B680" i="1"/>
  <c r="E680" i="1" s="1"/>
  <c r="B681" i="1"/>
  <c r="B682" i="1"/>
  <c r="B683" i="1"/>
  <c r="C683" i="1" s="1"/>
  <c r="B684" i="1"/>
  <c r="B685" i="1"/>
  <c r="E685" i="1" s="1"/>
  <c r="B686" i="1"/>
  <c r="B687" i="1"/>
  <c r="C687" i="1" s="1"/>
  <c r="B688" i="1"/>
  <c r="E688" i="1" s="1"/>
  <c r="B689" i="1"/>
  <c r="D689" i="1" s="1"/>
  <c r="B690" i="1"/>
  <c r="C690" i="1" s="1"/>
  <c r="B691" i="1"/>
  <c r="E691" i="1" s="1"/>
  <c r="B692" i="1"/>
  <c r="B693" i="1"/>
  <c r="E693" i="1" s="1"/>
  <c r="B694" i="1"/>
  <c r="B695" i="1"/>
  <c r="C695" i="1" s="1"/>
  <c r="B696" i="1"/>
  <c r="E696" i="1" s="1"/>
  <c r="B697" i="1"/>
  <c r="D697" i="1" s="1"/>
  <c r="B698" i="1"/>
  <c r="C698" i="1" s="1"/>
  <c r="B699" i="1"/>
  <c r="E699" i="1" s="1"/>
  <c r="B700" i="1"/>
  <c r="B701" i="1"/>
  <c r="E701" i="1" s="1"/>
  <c r="B702" i="1"/>
  <c r="B703" i="1"/>
  <c r="C703" i="1" s="1"/>
  <c r="B704" i="1"/>
  <c r="E704" i="1" s="1"/>
  <c r="B705" i="1"/>
  <c r="B706" i="1"/>
  <c r="C706" i="1" s="1"/>
  <c r="B707" i="1"/>
  <c r="E707" i="1" s="1"/>
  <c r="D707" i="1"/>
  <c r="B708" i="1"/>
  <c r="B709" i="1"/>
  <c r="E709" i="1" s="1"/>
  <c r="B710" i="1"/>
  <c r="B711" i="1"/>
  <c r="C711" i="1" s="1"/>
  <c r="B712" i="1"/>
  <c r="B713" i="1"/>
  <c r="D713" i="1" s="1"/>
  <c r="B714" i="1"/>
  <c r="C714" i="1" s="1"/>
  <c r="B715" i="1"/>
  <c r="B716" i="1"/>
  <c r="B717" i="1"/>
  <c r="F717" i="1" s="1"/>
  <c r="B718" i="1"/>
  <c r="B719" i="1"/>
  <c r="C719" i="1" s="1"/>
  <c r="B720" i="1"/>
  <c r="E720" i="1" s="1"/>
  <c r="B721" i="1"/>
  <c r="B722" i="1"/>
  <c r="C722" i="1" s="1"/>
  <c r="B723" i="1"/>
  <c r="E723" i="1" s="1"/>
  <c r="B724" i="1"/>
  <c r="B725" i="1"/>
  <c r="F725" i="1" s="1"/>
  <c r="E725" i="1"/>
  <c r="B726" i="1"/>
  <c r="C726" i="1" s="1"/>
  <c r="B727" i="1"/>
  <c r="F727" i="1" s="1"/>
  <c r="B728" i="1"/>
  <c r="E728" i="1" s="1"/>
  <c r="B729" i="1"/>
  <c r="B730" i="1"/>
  <c r="C730" i="1" s="1"/>
  <c r="B731" i="1"/>
  <c r="C731" i="1" s="1"/>
  <c r="B732" i="1"/>
  <c r="B733" i="1"/>
  <c r="D733" i="1" s="1"/>
  <c r="B734" i="1"/>
  <c r="C734" i="1" s="1"/>
  <c r="B735" i="1"/>
  <c r="B736" i="1"/>
  <c r="B737" i="1"/>
  <c r="F737" i="1" s="1"/>
  <c r="B738" i="1"/>
  <c r="C738" i="1" s="1"/>
  <c r="B739" i="1"/>
  <c r="C739" i="1" s="1"/>
  <c r="B740" i="1"/>
  <c r="B741" i="1"/>
  <c r="C741" i="1" s="1"/>
  <c r="B742" i="1"/>
  <c r="C742" i="1" s="1"/>
  <c r="B743" i="1"/>
  <c r="F743" i="1" s="1"/>
  <c r="B744" i="1"/>
  <c r="E744" i="1" s="1"/>
  <c r="B745" i="1"/>
  <c r="B746" i="1"/>
  <c r="C746" i="1" s="1"/>
  <c r="B747" i="1"/>
  <c r="E747" i="1" s="1"/>
  <c r="B748" i="1"/>
  <c r="E748" i="1" s="1"/>
  <c r="B749" i="1"/>
  <c r="B750" i="1"/>
  <c r="C750" i="1" s="1"/>
  <c r="B751" i="1"/>
  <c r="D751" i="1" s="1"/>
  <c r="B752" i="1"/>
  <c r="B753" i="1"/>
  <c r="D753" i="1" s="1"/>
  <c r="B754" i="1"/>
  <c r="C754" i="1" s="1"/>
  <c r="B755" i="1"/>
  <c r="E755" i="1" s="1"/>
  <c r="B756" i="1"/>
  <c r="B757" i="1"/>
  <c r="E757" i="1" s="1"/>
  <c r="B758" i="1"/>
  <c r="B759" i="1"/>
  <c r="C759" i="1" s="1"/>
  <c r="B760" i="1"/>
  <c r="B761" i="1"/>
  <c r="D761" i="1" s="1"/>
  <c r="B762" i="1"/>
  <c r="C762" i="1" s="1"/>
  <c r="B763" i="1"/>
  <c r="D763" i="1" s="1"/>
  <c r="B764" i="1"/>
  <c r="E764" i="1" s="1"/>
  <c r="B765" i="1"/>
  <c r="D765" i="1" s="1"/>
  <c r="B766" i="1"/>
  <c r="C766" i="1" s="1"/>
  <c r="B767" i="1"/>
  <c r="D767" i="1" s="1"/>
  <c r="B768" i="1"/>
  <c r="B769" i="1"/>
  <c r="C769" i="1" s="1"/>
  <c r="B770" i="1"/>
  <c r="C770" i="1" s="1"/>
  <c r="B771" i="1"/>
  <c r="F771" i="1" s="1"/>
  <c r="B772" i="1"/>
  <c r="E772" i="1" s="1"/>
  <c r="B773" i="1"/>
  <c r="B774" i="1"/>
  <c r="C774" i="1" s="1"/>
  <c r="B775" i="1"/>
  <c r="B776" i="1"/>
  <c r="B777" i="1"/>
  <c r="D777" i="1" s="1"/>
  <c r="B778" i="1"/>
  <c r="C778" i="1" s="1"/>
  <c r="B779" i="1"/>
  <c r="C779" i="1" s="1"/>
  <c r="B780" i="1"/>
  <c r="E780" i="1" s="1"/>
  <c r="B781" i="1"/>
  <c r="F781" i="1" s="1"/>
  <c r="B782" i="1"/>
  <c r="C782" i="1" s="1"/>
  <c r="B783" i="1"/>
  <c r="C783" i="1" s="1"/>
  <c r="B784" i="1"/>
  <c r="B785" i="1"/>
  <c r="E785" i="1" s="1"/>
  <c r="B786" i="1"/>
  <c r="C786" i="1" s="1"/>
  <c r="B787" i="1"/>
  <c r="B788" i="1"/>
  <c r="B789" i="1"/>
  <c r="C789" i="1" s="1"/>
  <c r="B790" i="1"/>
  <c r="C790" i="1" s="1"/>
  <c r="B791" i="1"/>
  <c r="E791" i="1" s="1"/>
  <c r="B792" i="1"/>
  <c r="B793" i="1"/>
  <c r="F793" i="1" s="1"/>
  <c r="B794" i="1"/>
  <c r="C794" i="1" s="1"/>
  <c r="B795" i="1"/>
  <c r="B796" i="1"/>
  <c r="B797" i="1"/>
  <c r="B798" i="1"/>
  <c r="C798" i="1" s="1"/>
  <c r="B799" i="1"/>
  <c r="C799" i="1" s="1"/>
  <c r="B800" i="1"/>
  <c r="D800" i="1" s="1"/>
  <c r="B801" i="1"/>
  <c r="E801" i="1" s="1"/>
  <c r="B802" i="1"/>
  <c r="C802" i="1" s="1"/>
  <c r="B803" i="1"/>
  <c r="C803" i="1" s="1"/>
  <c r="B804" i="1"/>
  <c r="B805" i="1"/>
  <c r="C805" i="1" s="1"/>
  <c r="B806" i="1"/>
  <c r="C806" i="1" s="1"/>
  <c r="B807" i="1"/>
  <c r="B808" i="1"/>
  <c r="B809" i="1"/>
  <c r="F809" i="1" s="1"/>
  <c r="B810" i="1"/>
  <c r="C810" i="1" s="1"/>
  <c r="B811" i="1"/>
  <c r="F811" i="1" s="1"/>
  <c r="B812" i="1"/>
  <c r="F812" i="1" s="1"/>
  <c r="B813" i="1"/>
  <c r="E813" i="1" s="1"/>
  <c r="B814" i="1"/>
  <c r="C814" i="1" s="1"/>
  <c r="B815" i="1"/>
  <c r="D815" i="1" s="1"/>
  <c r="B816" i="1"/>
  <c r="B817" i="1"/>
  <c r="B818" i="1"/>
  <c r="C818" i="1" s="1"/>
  <c r="B819" i="1"/>
  <c r="C819" i="1" s="1"/>
  <c r="B820" i="1"/>
  <c r="B821" i="1"/>
  <c r="C821" i="1" s="1"/>
  <c r="B822" i="1"/>
  <c r="C822" i="1" s="1"/>
  <c r="B823" i="1"/>
  <c r="B824" i="1"/>
  <c r="B825" i="1"/>
  <c r="F825" i="1" s="1"/>
  <c r="B826" i="1"/>
  <c r="C826" i="1" s="1"/>
  <c r="B827" i="1"/>
  <c r="F827" i="1" s="1"/>
  <c r="B828" i="1"/>
  <c r="F828" i="1" s="1"/>
  <c r="B829" i="1"/>
  <c r="E829" i="1" s="1"/>
  <c r="B830" i="1"/>
  <c r="C830" i="1" s="1"/>
  <c r="B831" i="1"/>
  <c r="D831" i="1" s="1"/>
  <c r="B832" i="1"/>
  <c r="D832" i="1" s="1"/>
  <c r="B833" i="1"/>
  <c r="D833" i="1" s="1"/>
  <c r="F833" i="1"/>
  <c r="B834" i="1"/>
  <c r="C834" i="1" s="1"/>
  <c r="B835" i="1"/>
  <c r="C835" i="1" s="1"/>
  <c r="B836" i="1"/>
  <c r="B837" i="1"/>
  <c r="C837" i="1" s="1"/>
  <c r="B838" i="1"/>
  <c r="C838" i="1" s="1"/>
  <c r="B839" i="1"/>
  <c r="B840" i="1"/>
  <c r="E840" i="1" s="1"/>
  <c r="F840" i="1"/>
  <c r="B841" i="1"/>
  <c r="C841" i="1" s="1"/>
  <c r="B842" i="1"/>
  <c r="C842" i="1" s="1"/>
  <c r="B843" i="1"/>
  <c r="C843" i="1" s="1"/>
  <c r="F843" i="1"/>
  <c r="B844" i="1"/>
  <c r="E844" i="1" s="1"/>
  <c r="B845" i="1"/>
  <c r="B846" i="1"/>
  <c r="C846" i="1" s="1"/>
  <c r="B847" i="1"/>
  <c r="B848" i="1"/>
  <c r="E848" i="1" s="1"/>
  <c r="B849" i="1"/>
  <c r="E849" i="1" s="1"/>
  <c r="B850" i="1"/>
  <c r="C850" i="1" s="1"/>
  <c r="B851" i="1"/>
  <c r="E851" i="1" s="1"/>
  <c r="B852" i="1"/>
  <c r="D852" i="1" s="1"/>
  <c r="B853" i="1"/>
  <c r="C853" i="1" s="1"/>
  <c r="B854" i="1"/>
  <c r="C854" i="1" s="1"/>
  <c r="B855" i="1"/>
  <c r="F855" i="1" s="1"/>
  <c r="B856" i="1"/>
  <c r="F856" i="1" s="1"/>
  <c r="B857" i="1"/>
  <c r="C857" i="1" s="1"/>
  <c r="B858" i="1"/>
  <c r="C858" i="1" s="1"/>
  <c r="B859" i="1"/>
  <c r="B860" i="1"/>
  <c r="E860" i="1" s="1"/>
  <c r="B861" i="1"/>
  <c r="B862" i="1"/>
  <c r="C862" i="1" s="1"/>
  <c r="B863" i="1"/>
  <c r="F863" i="1" s="1"/>
  <c r="B864" i="1"/>
  <c r="E864" i="1" s="1"/>
  <c r="B865" i="1"/>
  <c r="B866" i="1"/>
  <c r="C866" i="1" s="1"/>
  <c r="B867" i="1"/>
  <c r="E867" i="1" s="1"/>
  <c r="B868" i="1"/>
  <c r="D868" i="1" s="1"/>
  <c r="B869" i="1"/>
  <c r="C869" i="1" s="1"/>
  <c r="B870" i="1"/>
  <c r="C870" i="1" s="1"/>
  <c r="B871" i="1"/>
  <c r="E871" i="1" s="1"/>
  <c r="B872" i="1"/>
  <c r="F872" i="1" s="1"/>
  <c r="B873" i="1"/>
  <c r="C873" i="1" s="1"/>
  <c r="B874" i="1"/>
  <c r="C874" i="1" s="1"/>
  <c r="B875" i="1"/>
  <c r="B876" i="1"/>
  <c r="D876" i="1" s="1"/>
  <c r="B877" i="1"/>
  <c r="B878" i="1"/>
  <c r="C878" i="1" s="1"/>
  <c r="B879" i="1"/>
  <c r="E879" i="1" s="1"/>
  <c r="B880" i="1"/>
  <c r="E880" i="1" s="1"/>
  <c r="B881" i="1"/>
  <c r="B882" i="1"/>
  <c r="C882" i="1" s="1"/>
  <c r="B883" i="1"/>
  <c r="E883" i="1" s="1"/>
  <c r="B884" i="1"/>
  <c r="D884" i="1" s="1"/>
  <c r="B885" i="1"/>
  <c r="E885" i="1" s="1"/>
  <c r="B886" i="1"/>
  <c r="C886" i="1" s="1"/>
  <c r="B887" i="1"/>
  <c r="C887" i="1" s="1"/>
  <c r="B888" i="1"/>
  <c r="F888" i="1" s="1"/>
  <c r="B889" i="1"/>
  <c r="D889" i="1" s="1"/>
  <c r="B890" i="1"/>
  <c r="C890" i="1" s="1"/>
  <c r="B891" i="1"/>
  <c r="C891" i="1" s="1"/>
  <c r="B892" i="1"/>
  <c r="E892" i="1" s="1"/>
  <c r="B893" i="1"/>
  <c r="B894" i="1"/>
  <c r="C894" i="1" s="1"/>
  <c r="B895" i="1"/>
  <c r="B896" i="1"/>
  <c r="E896" i="1" s="1"/>
  <c r="B897" i="1"/>
  <c r="D897" i="1" s="1"/>
  <c r="B898" i="1"/>
  <c r="C898" i="1" s="1"/>
  <c r="B899" i="1"/>
  <c r="C899" i="1" s="1"/>
  <c r="B900" i="1"/>
  <c r="E900" i="1" s="1"/>
  <c r="B901" i="1"/>
  <c r="D901" i="1" s="1"/>
  <c r="B902" i="1"/>
  <c r="C902" i="1" s="1"/>
  <c r="B903" i="1"/>
  <c r="C903" i="1" s="1"/>
  <c r="B904" i="1"/>
  <c r="E904" i="1" s="1"/>
  <c r="B905" i="1"/>
  <c r="D905" i="1" s="1"/>
  <c r="B906" i="1"/>
  <c r="C906" i="1" s="1"/>
  <c r="B907" i="1"/>
  <c r="D907" i="1" s="1"/>
  <c r="B908" i="1"/>
  <c r="B909" i="1"/>
  <c r="B910" i="1"/>
  <c r="C910" i="1" s="1"/>
  <c r="B911" i="1"/>
  <c r="E911" i="1" s="1"/>
  <c r="B912" i="1"/>
  <c r="E912" i="1" s="1"/>
  <c r="B913" i="1"/>
  <c r="D913" i="1" s="1"/>
  <c r="B914" i="1"/>
  <c r="C914" i="1" s="1"/>
  <c r="B915" i="1"/>
  <c r="C915" i="1" s="1"/>
  <c r="B916" i="1"/>
  <c r="E916" i="1" s="1"/>
  <c r="B917" i="1"/>
  <c r="D917" i="1" s="1"/>
  <c r="B918" i="1"/>
  <c r="C918" i="1" s="1"/>
  <c r="B919" i="1"/>
  <c r="E919" i="1" s="1"/>
  <c r="B920" i="1"/>
  <c r="E920" i="1" s="1"/>
  <c r="B921" i="1"/>
  <c r="D921" i="1" s="1"/>
  <c r="B922" i="1"/>
  <c r="C922" i="1" s="1"/>
  <c r="B923" i="1"/>
  <c r="E923" i="1" s="1"/>
  <c r="C923" i="1"/>
  <c r="B924" i="1"/>
  <c r="E924" i="1" s="1"/>
  <c r="B925" i="1"/>
  <c r="C925" i="1" s="1"/>
  <c r="B926" i="1"/>
  <c r="C926" i="1" s="1"/>
  <c r="B927" i="1"/>
  <c r="E927" i="1" s="1"/>
  <c r="B928" i="1"/>
  <c r="E928" i="1" s="1"/>
  <c r="B929" i="1"/>
  <c r="D929" i="1" s="1"/>
  <c r="B930" i="1"/>
  <c r="C930" i="1" s="1"/>
  <c r="B931" i="1"/>
  <c r="C931" i="1" s="1"/>
  <c r="B932" i="1"/>
  <c r="E932" i="1" s="1"/>
  <c r="B933" i="1"/>
  <c r="D933" i="1" s="1"/>
  <c r="B934" i="1"/>
  <c r="C934" i="1" s="1"/>
  <c r="B935" i="1"/>
  <c r="F935" i="1" s="1"/>
  <c r="B936" i="1"/>
  <c r="E936" i="1" s="1"/>
  <c r="B937" i="1"/>
  <c r="B938" i="1"/>
  <c r="C938" i="1" s="1"/>
  <c r="B939" i="1"/>
  <c r="C939" i="1" s="1"/>
  <c r="B940" i="1"/>
  <c r="E940" i="1" s="1"/>
  <c r="B941" i="1"/>
  <c r="D941" i="1" s="1"/>
  <c r="B942" i="1"/>
  <c r="C942" i="1" s="1"/>
  <c r="B943" i="1"/>
  <c r="E943" i="1" s="1"/>
  <c r="B944" i="1"/>
  <c r="E944" i="1" s="1"/>
  <c r="B945" i="1"/>
  <c r="D945" i="1" s="1"/>
  <c r="B946" i="1"/>
  <c r="C946" i="1" s="1"/>
  <c r="B947" i="1"/>
  <c r="C947" i="1" s="1"/>
  <c r="B948" i="1"/>
  <c r="E948" i="1" s="1"/>
  <c r="B949" i="1"/>
  <c r="D949" i="1" s="1"/>
  <c r="B950" i="1"/>
  <c r="C950" i="1" s="1"/>
  <c r="B951" i="1"/>
  <c r="C951" i="1" s="1"/>
  <c r="B952" i="1"/>
  <c r="E952" i="1" s="1"/>
  <c r="B953" i="1"/>
  <c r="D953" i="1" s="1"/>
  <c r="B954" i="1"/>
  <c r="C954" i="1" s="1"/>
  <c r="B955" i="1"/>
  <c r="E955" i="1" s="1"/>
  <c r="B956" i="1"/>
  <c r="E956" i="1" s="1"/>
  <c r="B957" i="1"/>
  <c r="C957" i="1" s="1"/>
  <c r="B958" i="1"/>
  <c r="C958" i="1" s="1"/>
  <c r="B959" i="1"/>
  <c r="E959" i="1" s="1"/>
  <c r="B960" i="1"/>
  <c r="E960" i="1" s="1"/>
  <c r="B961" i="1"/>
  <c r="D961" i="1" s="1"/>
  <c r="B962" i="1"/>
  <c r="C962" i="1" s="1"/>
  <c r="B963" i="1"/>
  <c r="C963" i="1" s="1"/>
  <c r="B964" i="1"/>
  <c r="E964" i="1" s="1"/>
  <c r="B965" i="1"/>
  <c r="D965" i="1" s="1"/>
  <c r="B966" i="1"/>
  <c r="C966" i="1" s="1"/>
  <c r="B967" i="1"/>
  <c r="F967" i="1" s="1"/>
  <c r="B968" i="1"/>
  <c r="E968" i="1" s="1"/>
  <c r="B969" i="1"/>
  <c r="D969" i="1" s="1"/>
  <c r="B970" i="1"/>
  <c r="C970" i="1" s="1"/>
  <c r="B971" i="1"/>
  <c r="E971" i="1" s="1"/>
  <c r="B972" i="1"/>
  <c r="E972" i="1" s="1"/>
  <c r="B973" i="1"/>
  <c r="D973" i="1" s="1"/>
  <c r="B974" i="1"/>
  <c r="C974" i="1" s="1"/>
  <c r="B975" i="1"/>
  <c r="C975" i="1" s="1"/>
  <c r="B976" i="1"/>
  <c r="E976" i="1" s="1"/>
  <c r="B977" i="1"/>
  <c r="D977" i="1" s="1"/>
  <c r="B978" i="1"/>
  <c r="C978" i="1" s="1"/>
  <c r="B979" i="1"/>
  <c r="E979" i="1" s="1"/>
  <c r="B980" i="1"/>
  <c r="E980" i="1" s="1"/>
  <c r="B981" i="1"/>
  <c r="D981" i="1" s="1"/>
  <c r="F981" i="1"/>
  <c r="B982" i="1"/>
  <c r="C982" i="1" s="1"/>
  <c r="B983" i="1"/>
  <c r="C983" i="1" s="1"/>
  <c r="B984" i="1"/>
  <c r="E984" i="1" s="1"/>
  <c r="D984" i="1"/>
  <c r="B985" i="1"/>
  <c r="D985" i="1" s="1"/>
  <c r="B986" i="1"/>
  <c r="C986" i="1" s="1"/>
  <c r="B987" i="1"/>
  <c r="E987" i="1" s="1"/>
  <c r="C987" i="1"/>
  <c r="F987" i="1"/>
  <c r="B988" i="1"/>
  <c r="E988" i="1" s="1"/>
  <c r="B989" i="1"/>
  <c r="D989" i="1" s="1"/>
  <c r="B990" i="1"/>
  <c r="C990" i="1" s="1"/>
  <c r="B991" i="1"/>
  <c r="E991" i="1" s="1"/>
  <c r="B992" i="1"/>
  <c r="E992" i="1" s="1"/>
  <c r="B993" i="1"/>
  <c r="D993" i="1" s="1"/>
  <c r="B994" i="1"/>
  <c r="C994" i="1" s="1"/>
  <c r="B995" i="1"/>
  <c r="D995" i="1" s="1"/>
  <c r="B996" i="1"/>
  <c r="E996" i="1" s="1"/>
  <c r="B997" i="1"/>
  <c r="D997" i="1" s="1"/>
  <c r="B998" i="1"/>
  <c r="C998" i="1" s="1"/>
  <c r="B999" i="1"/>
  <c r="C999" i="1" s="1"/>
  <c r="B1000" i="1"/>
  <c r="E1000" i="1" s="1"/>
  <c r="B1001" i="1"/>
  <c r="D1001" i="1" s="1"/>
  <c r="B1002" i="1"/>
  <c r="C1002" i="1" s="1"/>
  <c r="B1003" i="1"/>
  <c r="C1003" i="1" s="1"/>
  <c r="B1004" i="1"/>
  <c r="E1004" i="1" s="1"/>
  <c r="U11" i="1" l="1"/>
  <c r="F680" i="1"/>
  <c r="F517" i="1"/>
  <c r="E445" i="1"/>
  <c r="F210" i="1"/>
  <c r="E207" i="1"/>
  <c r="F168" i="1"/>
  <c r="C132" i="1"/>
  <c r="C130" i="1"/>
  <c r="F49" i="1"/>
  <c r="F48" i="1"/>
  <c r="C45" i="1"/>
  <c r="D16" i="1"/>
  <c r="T14" i="1"/>
  <c r="F1003" i="1"/>
  <c r="D891" i="1"/>
  <c r="F371" i="1"/>
  <c r="E84" i="1"/>
  <c r="E49" i="1"/>
  <c r="F17" i="1"/>
  <c r="E1003" i="1"/>
  <c r="F905" i="1"/>
  <c r="F697" i="1"/>
  <c r="F453" i="1"/>
  <c r="F446" i="1"/>
  <c r="E373" i="1"/>
  <c r="C341" i="1"/>
  <c r="D131" i="1"/>
  <c r="C129" i="1"/>
  <c r="C92" i="1"/>
  <c r="F89" i="1"/>
  <c r="C84" i="1"/>
  <c r="F81" i="1"/>
  <c r="D49" i="1"/>
  <c r="F45" i="1"/>
  <c r="E17" i="1"/>
  <c r="V14" i="1"/>
  <c r="C995" i="1"/>
  <c r="D992" i="1"/>
  <c r="C955" i="1"/>
  <c r="F907" i="1"/>
  <c r="F867" i="1"/>
  <c r="C833" i="1"/>
  <c r="D780" i="1"/>
  <c r="E731" i="1"/>
  <c r="C707" i="1"/>
  <c r="D680" i="1"/>
  <c r="D577" i="1"/>
  <c r="E562" i="1"/>
  <c r="C497" i="1"/>
  <c r="C449" i="1"/>
  <c r="D381" i="1"/>
  <c r="C373" i="1"/>
  <c r="E200" i="1"/>
  <c r="F194" i="1"/>
  <c r="F172" i="1"/>
  <c r="C168" i="1"/>
  <c r="D156" i="1"/>
  <c r="C153" i="1"/>
  <c r="F140" i="1"/>
  <c r="C134" i="1"/>
  <c r="F28" i="1"/>
  <c r="F16" i="1"/>
  <c r="C927" i="1"/>
  <c r="D924" i="1"/>
  <c r="C863" i="1"/>
  <c r="F689" i="1"/>
  <c r="F509" i="1"/>
  <c r="C433" i="1"/>
  <c r="D401" i="1"/>
  <c r="C381" i="1"/>
  <c r="C295" i="1"/>
  <c r="F232" i="1"/>
  <c r="F201" i="1"/>
  <c r="C200" i="1"/>
  <c r="F174" i="1"/>
  <c r="D172" i="1"/>
  <c r="F160" i="1"/>
  <c r="C156" i="1"/>
  <c r="C136" i="1"/>
  <c r="F127" i="1"/>
  <c r="E100" i="1"/>
  <c r="E87" i="1"/>
  <c r="F61" i="1"/>
  <c r="C959" i="1"/>
  <c r="D956" i="1"/>
  <c r="E855" i="1"/>
  <c r="C785" i="1"/>
  <c r="F695" i="1"/>
  <c r="D549" i="1"/>
  <c r="F515" i="1"/>
  <c r="D498" i="1"/>
  <c r="E403" i="1"/>
  <c r="C401" i="1"/>
  <c r="E304" i="1"/>
  <c r="F301" i="1"/>
  <c r="F120" i="1"/>
  <c r="F216" i="1"/>
  <c r="F200" i="1"/>
  <c r="D168" i="1"/>
  <c r="E155" i="1"/>
  <c r="D153" i="1"/>
  <c r="F148" i="1"/>
  <c r="F132" i="1"/>
  <c r="D120" i="1"/>
  <c r="F84" i="1"/>
  <c r="F80" i="1"/>
  <c r="F73" i="1"/>
  <c r="C65" i="1"/>
  <c r="F53" i="1"/>
  <c r="D48" i="1"/>
  <c r="F41" i="1"/>
  <c r="F13" i="1"/>
  <c r="F787" i="1"/>
  <c r="C787" i="1"/>
  <c r="D1004" i="1"/>
  <c r="D1003" i="1"/>
  <c r="D987" i="1"/>
  <c r="D979" i="1"/>
  <c r="D972" i="1"/>
  <c r="F969" i="1"/>
  <c r="D909" i="1"/>
  <c r="E909" i="1"/>
  <c r="E903" i="1"/>
  <c r="D817" i="1"/>
  <c r="E817" i="1"/>
  <c r="C775" i="1"/>
  <c r="F775" i="1"/>
  <c r="E951" i="1"/>
  <c r="F865" i="1"/>
  <c r="E865" i="1"/>
  <c r="C767" i="1"/>
  <c r="F693" i="1"/>
  <c r="F683" i="1"/>
  <c r="E678" i="1"/>
  <c r="E634" i="1"/>
  <c r="F598" i="1"/>
  <c r="F198" i="1"/>
  <c r="C164" i="1"/>
  <c r="C157" i="1"/>
  <c r="D44" i="1"/>
  <c r="C33" i="1"/>
  <c r="F12" i="1"/>
  <c r="F473" i="1"/>
  <c r="F144" i="1"/>
  <c r="F116" i="1"/>
  <c r="F76" i="1"/>
  <c r="E61" i="1"/>
  <c r="F60" i="1"/>
  <c r="F779" i="1"/>
  <c r="F767" i="1"/>
  <c r="F582" i="1"/>
  <c r="F576" i="1"/>
  <c r="F561" i="1"/>
  <c r="C515" i="1"/>
  <c r="D509" i="1"/>
  <c r="F497" i="1"/>
  <c r="D480" i="1"/>
  <c r="E475" i="1"/>
  <c r="D473" i="1"/>
  <c r="E423" i="1"/>
  <c r="F349" i="1"/>
  <c r="C301" i="1"/>
  <c r="F298" i="1"/>
  <c r="D207" i="1"/>
  <c r="C172" i="1"/>
  <c r="F164" i="1"/>
  <c r="D160" i="1"/>
  <c r="F151" i="1"/>
  <c r="F149" i="1"/>
  <c r="F147" i="1"/>
  <c r="F145" i="1"/>
  <c r="E144" i="1"/>
  <c r="F142" i="1"/>
  <c r="F136" i="1"/>
  <c r="D133" i="1"/>
  <c r="E132" i="1"/>
  <c r="F131" i="1"/>
  <c r="F130" i="1"/>
  <c r="F129" i="1"/>
  <c r="F128" i="1"/>
  <c r="C124" i="1"/>
  <c r="F121" i="1"/>
  <c r="F117" i="1"/>
  <c r="E116" i="1"/>
  <c r="E103" i="1"/>
  <c r="C100" i="1"/>
  <c r="F88" i="1"/>
  <c r="C81" i="1"/>
  <c r="E76" i="1"/>
  <c r="C74" i="1"/>
  <c r="C70" i="1"/>
  <c r="F65" i="1"/>
  <c r="F64" i="1"/>
  <c r="D61" i="1"/>
  <c r="E60" i="1"/>
  <c r="F58" i="1"/>
  <c r="C54" i="1"/>
  <c r="F38" i="1"/>
  <c r="F33" i="1"/>
  <c r="F32" i="1"/>
  <c r="D29" i="1"/>
  <c r="E28" i="1"/>
  <c r="F26" i="1"/>
  <c r="D17" i="1"/>
  <c r="E16" i="1"/>
  <c r="E13" i="1"/>
  <c r="D779" i="1"/>
  <c r="E767" i="1"/>
  <c r="E765" i="1"/>
  <c r="E739" i="1"/>
  <c r="F733" i="1"/>
  <c r="D699" i="1"/>
  <c r="F672" i="1"/>
  <c r="D632" i="1"/>
  <c r="F629" i="1"/>
  <c r="F606" i="1"/>
  <c r="D576" i="1"/>
  <c r="D557" i="1"/>
  <c r="D497" i="1"/>
  <c r="C477" i="1"/>
  <c r="C473" i="1"/>
  <c r="E433" i="1"/>
  <c r="F431" i="1"/>
  <c r="F424" i="1"/>
  <c r="C423" i="1"/>
  <c r="F381" i="1"/>
  <c r="C351" i="1"/>
  <c r="E349" i="1"/>
  <c r="D341" i="1"/>
  <c r="E319" i="1"/>
  <c r="D302" i="1"/>
  <c r="C283" i="1"/>
  <c r="C220" i="1"/>
  <c r="F217" i="1"/>
  <c r="F182" i="1"/>
  <c r="D164" i="1"/>
  <c r="C160" i="1"/>
  <c r="D157" i="1"/>
  <c r="F155" i="1"/>
  <c r="F152" i="1"/>
  <c r="E151" i="1"/>
  <c r="E147" i="1"/>
  <c r="C144" i="1"/>
  <c r="E136" i="1"/>
  <c r="E134" i="1"/>
  <c r="C133" i="1"/>
  <c r="E131" i="1"/>
  <c r="E130" i="1"/>
  <c r="D129" i="1"/>
  <c r="E128" i="1"/>
  <c r="E119" i="1"/>
  <c r="C116" i="1"/>
  <c r="F104" i="1"/>
  <c r="D88" i="1"/>
  <c r="C76" i="1"/>
  <c r="E65" i="1"/>
  <c r="D64" i="1"/>
  <c r="D60" i="1"/>
  <c r="C58" i="1"/>
  <c r="F44" i="1"/>
  <c r="C42" i="1"/>
  <c r="C38" i="1"/>
  <c r="E33" i="1"/>
  <c r="D32" i="1"/>
  <c r="D28" i="1"/>
  <c r="C26" i="1"/>
  <c r="E169" i="1"/>
  <c r="C169" i="1"/>
  <c r="D169" i="1"/>
  <c r="F540" i="1"/>
  <c r="E513" i="1"/>
  <c r="F465" i="1"/>
  <c r="D399" i="1"/>
  <c r="C399" i="1"/>
  <c r="E392" i="1"/>
  <c r="F392" i="1"/>
  <c r="F367" i="1"/>
  <c r="C367" i="1"/>
  <c r="E309" i="1"/>
  <c r="F309" i="1"/>
  <c r="D281" i="1"/>
  <c r="E281" i="1"/>
  <c r="D265" i="1"/>
  <c r="E265" i="1"/>
  <c r="C215" i="1"/>
  <c r="D215" i="1"/>
  <c r="E215" i="1"/>
  <c r="C176" i="1"/>
  <c r="D176" i="1"/>
  <c r="E176" i="1"/>
  <c r="E173" i="1"/>
  <c r="C173" i="1"/>
  <c r="D173" i="1"/>
  <c r="C167" i="1"/>
  <c r="E167" i="1"/>
  <c r="F167" i="1"/>
  <c r="E113" i="1"/>
  <c r="D113" i="1"/>
  <c r="C113" i="1"/>
  <c r="F113" i="1"/>
  <c r="E96" i="1"/>
  <c r="C96" i="1"/>
  <c r="D96" i="1"/>
  <c r="F96" i="1"/>
  <c r="F90" i="1"/>
  <c r="C90" i="1"/>
  <c r="E83" i="1"/>
  <c r="F83" i="1"/>
  <c r="C72" i="1"/>
  <c r="E72" i="1"/>
  <c r="D72" i="1"/>
  <c r="F72" i="1"/>
  <c r="D18" i="1"/>
  <c r="C18" i="1"/>
  <c r="F18" i="1"/>
  <c r="F513" i="1"/>
  <c r="D391" i="1"/>
  <c r="E391" i="1"/>
  <c r="C275" i="1"/>
  <c r="F275" i="1"/>
  <c r="C259" i="1"/>
  <c r="E259" i="1"/>
  <c r="C183" i="1"/>
  <c r="D183" i="1"/>
  <c r="E183" i="1"/>
  <c r="F183" i="1"/>
  <c r="F955" i="1"/>
  <c r="E941" i="1"/>
  <c r="F939" i="1"/>
  <c r="F819" i="1"/>
  <c r="D755" i="1"/>
  <c r="F753" i="1"/>
  <c r="F751" i="1"/>
  <c r="F703" i="1"/>
  <c r="F701" i="1"/>
  <c r="F622" i="1"/>
  <c r="E564" i="1"/>
  <c r="E560" i="1"/>
  <c r="E548" i="1"/>
  <c r="D540" i="1"/>
  <c r="D513" i="1"/>
  <c r="C509" i="1"/>
  <c r="F479" i="1"/>
  <c r="D465" i="1"/>
  <c r="F391" i="1"/>
  <c r="D384" i="1"/>
  <c r="F337" i="1"/>
  <c r="D333" i="1"/>
  <c r="C333" i="1"/>
  <c r="D329" i="1"/>
  <c r="C305" i="1"/>
  <c r="E303" i="1"/>
  <c r="F277" i="1"/>
  <c r="E277" i="1"/>
  <c r="C231" i="1"/>
  <c r="D231" i="1"/>
  <c r="E229" i="1"/>
  <c r="D229" i="1"/>
  <c r="E188" i="1"/>
  <c r="C188" i="1"/>
  <c r="D188" i="1"/>
  <c r="F188" i="1"/>
  <c r="C171" i="1"/>
  <c r="E171" i="1"/>
  <c r="F171" i="1"/>
  <c r="E161" i="1"/>
  <c r="C161" i="1"/>
  <c r="D161" i="1"/>
  <c r="E112" i="1"/>
  <c r="C112" i="1"/>
  <c r="D112" i="1"/>
  <c r="F112" i="1"/>
  <c r="F106" i="1"/>
  <c r="C106" i="1"/>
  <c r="E99" i="1"/>
  <c r="F99" i="1"/>
  <c r="C40" i="1"/>
  <c r="D40" i="1"/>
  <c r="F40" i="1"/>
  <c r="E40" i="1"/>
  <c r="E347" i="1"/>
  <c r="C347" i="1"/>
  <c r="D279" i="1"/>
  <c r="E279" i="1"/>
  <c r="C163" i="1"/>
  <c r="E163" i="1"/>
  <c r="F163" i="1"/>
  <c r="C135" i="1"/>
  <c r="D135" i="1"/>
  <c r="E135" i="1"/>
  <c r="E97" i="1"/>
  <c r="D97" i="1"/>
  <c r="C97" i="1"/>
  <c r="F97" i="1"/>
  <c r="F564" i="1"/>
  <c r="F995" i="1"/>
  <c r="F977" i="1"/>
  <c r="D955" i="1"/>
  <c r="F953" i="1"/>
  <c r="C943" i="1"/>
  <c r="C941" i="1"/>
  <c r="F903" i="1"/>
  <c r="F851" i="1"/>
  <c r="D844" i="1"/>
  <c r="D799" i="1"/>
  <c r="F764" i="1"/>
  <c r="C755" i="1"/>
  <c r="E753" i="1"/>
  <c r="F748" i="1"/>
  <c r="E703" i="1"/>
  <c r="F696" i="1"/>
  <c r="F688" i="1"/>
  <c r="C636" i="1"/>
  <c r="C622" i="1"/>
  <c r="F597" i="1"/>
  <c r="F572" i="1"/>
  <c r="C564" i="1"/>
  <c r="F557" i="1"/>
  <c r="F549" i="1"/>
  <c r="D548" i="1"/>
  <c r="C540" i="1"/>
  <c r="F537" i="1"/>
  <c r="E479" i="1"/>
  <c r="F475" i="1"/>
  <c r="D466" i="1"/>
  <c r="C465" i="1"/>
  <c r="F433" i="1"/>
  <c r="F423" i="1"/>
  <c r="F401" i="1"/>
  <c r="C391" i="1"/>
  <c r="F365" i="1"/>
  <c r="E355" i="1"/>
  <c r="D337" i="1"/>
  <c r="C329" i="1"/>
  <c r="C307" i="1"/>
  <c r="F281" i="1"/>
  <c r="C279" i="1"/>
  <c r="E269" i="1"/>
  <c r="D269" i="1"/>
  <c r="F269" i="1"/>
  <c r="F265" i="1"/>
  <c r="E260" i="1"/>
  <c r="F260" i="1"/>
  <c r="D253" i="1"/>
  <c r="C216" i="1"/>
  <c r="D216" i="1"/>
  <c r="C184" i="1"/>
  <c r="D184" i="1"/>
  <c r="E184" i="1"/>
  <c r="E165" i="1"/>
  <c r="C165" i="1"/>
  <c r="D165" i="1"/>
  <c r="C159" i="1"/>
  <c r="E159" i="1"/>
  <c r="F159" i="1"/>
  <c r="C143" i="1"/>
  <c r="E143" i="1"/>
  <c r="F143" i="1"/>
  <c r="F122" i="1"/>
  <c r="C122" i="1"/>
  <c r="E115" i="1"/>
  <c r="F115" i="1"/>
  <c r="D66" i="1"/>
  <c r="C66" i="1"/>
  <c r="F66" i="1"/>
  <c r="D50" i="1"/>
  <c r="C50" i="1"/>
  <c r="F50" i="1"/>
  <c r="D34" i="1"/>
  <c r="C34" i="1"/>
  <c r="F34" i="1"/>
  <c r="F179" i="1"/>
  <c r="D177" i="1"/>
  <c r="F175" i="1"/>
  <c r="D152" i="1"/>
  <c r="D149" i="1"/>
  <c r="E148" i="1"/>
  <c r="E140" i="1"/>
  <c r="E125" i="1"/>
  <c r="C125" i="1"/>
  <c r="E109" i="1"/>
  <c r="C109" i="1"/>
  <c r="E93" i="1"/>
  <c r="C93" i="1"/>
  <c r="C68" i="1"/>
  <c r="F68" i="1"/>
  <c r="D68" i="1"/>
  <c r="C56" i="1"/>
  <c r="F56" i="1"/>
  <c r="D56" i="1"/>
  <c r="C52" i="1"/>
  <c r="D52" i="1"/>
  <c r="F52" i="1"/>
  <c r="D46" i="1"/>
  <c r="C46" i="1"/>
  <c r="F37" i="1"/>
  <c r="C36" i="1"/>
  <c r="F36" i="1"/>
  <c r="D36" i="1"/>
  <c r="F25" i="1"/>
  <c r="C24" i="1"/>
  <c r="F24" i="1"/>
  <c r="D24" i="1"/>
  <c r="F21" i="1"/>
  <c r="C20" i="1"/>
  <c r="D20" i="1"/>
  <c r="F20" i="1"/>
  <c r="E179" i="1"/>
  <c r="C177" i="1"/>
  <c r="E175" i="1"/>
  <c r="F157" i="1"/>
  <c r="C149" i="1"/>
  <c r="D148" i="1"/>
  <c r="E145" i="1"/>
  <c r="C145" i="1"/>
  <c r="C140" i="1"/>
  <c r="D128" i="1"/>
  <c r="D126" i="1"/>
  <c r="F126" i="1"/>
  <c r="F124" i="1"/>
  <c r="C120" i="1"/>
  <c r="F118" i="1"/>
  <c r="E117" i="1"/>
  <c r="C117" i="1"/>
  <c r="F108" i="1"/>
  <c r="C104" i="1"/>
  <c r="F102" i="1"/>
  <c r="E101" i="1"/>
  <c r="C101" i="1"/>
  <c r="F92" i="1"/>
  <c r="C88" i="1"/>
  <c r="F86" i="1"/>
  <c r="E85" i="1"/>
  <c r="C85" i="1"/>
  <c r="C41" i="1"/>
  <c r="E41" i="1"/>
  <c r="C9" i="1"/>
  <c r="D9" i="1"/>
  <c r="E9" i="1"/>
  <c r="E141" i="1"/>
  <c r="F141" i="1"/>
  <c r="F125" i="1"/>
  <c r="E124" i="1"/>
  <c r="E121" i="1"/>
  <c r="D121" i="1"/>
  <c r="F109" i="1"/>
  <c r="E108" i="1"/>
  <c r="E105" i="1"/>
  <c r="D105" i="1"/>
  <c r="F93" i="1"/>
  <c r="E92" i="1"/>
  <c r="E89" i="1"/>
  <c r="D89" i="1"/>
  <c r="C80" i="1"/>
  <c r="E80" i="1"/>
  <c r="E77" i="1"/>
  <c r="F77" i="1"/>
  <c r="C77" i="1"/>
  <c r="E69" i="1"/>
  <c r="C69" i="1"/>
  <c r="D62" i="1"/>
  <c r="C62" i="1"/>
  <c r="E57" i="1"/>
  <c r="C57" i="1"/>
  <c r="C53" i="1"/>
  <c r="E53" i="1"/>
  <c r="E37" i="1"/>
  <c r="C37" i="1"/>
  <c r="D30" i="1"/>
  <c r="C30" i="1"/>
  <c r="E25" i="1"/>
  <c r="C25" i="1"/>
  <c r="C21" i="1"/>
  <c r="E21" i="1"/>
  <c r="D81" i="1"/>
  <c r="F74" i="1"/>
  <c r="D73" i="1"/>
  <c r="E64" i="1"/>
  <c r="F54" i="1"/>
  <c r="E44" i="1"/>
  <c r="F42" i="1"/>
  <c r="E32" i="1"/>
  <c r="F22" i="1"/>
  <c r="C14" i="1"/>
  <c r="D13" i="1"/>
  <c r="E12" i="1"/>
  <c r="F10" i="1"/>
  <c r="F8" i="1"/>
  <c r="D12" i="1"/>
  <c r="C10" i="1"/>
  <c r="E8" i="1"/>
  <c r="D8" i="1"/>
  <c r="F178" i="1"/>
  <c r="F162" i="1"/>
  <c r="F150" i="1"/>
  <c r="F146" i="1"/>
  <c r="C111" i="1"/>
  <c r="D111" i="1"/>
  <c r="D98" i="1"/>
  <c r="E98" i="1"/>
  <c r="D82" i="1"/>
  <c r="E82" i="1"/>
  <c r="D179" i="1"/>
  <c r="E178" i="1"/>
  <c r="F177" i="1"/>
  <c r="D159" i="1"/>
  <c r="D155" i="1"/>
  <c r="E154" i="1"/>
  <c r="D151" i="1"/>
  <c r="E150" i="1"/>
  <c r="D147" i="1"/>
  <c r="E146" i="1"/>
  <c r="D143" i="1"/>
  <c r="E142" i="1"/>
  <c r="D141" i="1"/>
  <c r="F139" i="1"/>
  <c r="F138" i="1"/>
  <c r="F137" i="1"/>
  <c r="E127" i="1"/>
  <c r="E126" i="1"/>
  <c r="F123" i="1"/>
  <c r="D118" i="1"/>
  <c r="E118" i="1"/>
  <c r="C115" i="1"/>
  <c r="D115" i="1"/>
  <c r="F110" i="1"/>
  <c r="F107" i="1"/>
  <c r="D102" i="1"/>
  <c r="E102" i="1"/>
  <c r="C99" i="1"/>
  <c r="D99" i="1"/>
  <c r="F94" i="1"/>
  <c r="F91" i="1"/>
  <c r="D86" i="1"/>
  <c r="E86" i="1"/>
  <c r="C83" i="1"/>
  <c r="D83" i="1"/>
  <c r="F78" i="1"/>
  <c r="F75" i="1"/>
  <c r="C71" i="1"/>
  <c r="D71" i="1"/>
  <c r="E71" i="1"/>
  <c r="C63" i="1"/>
  <c r="D63" i="1"/>
  <c r="E63" i="1"/>
  <c r="C55" i="1"/>
  <c r="D55" i="1"/>
  <c r="E55" i="1"/>
  <c r="C47" i="1"/>
  <c r="D47" i="1"/>
  <c r="E47" i="1"/>
  <c r="C39" i="1"/>
  <c r="D39" i="1"/>
  <c r="E39" i="1"/>
  <c r="C31" i="1"/>
  <c r="D31" i="1"/>
  <c r="E31" i="1"/>
  <c r="C23" i="1"/>
  <c r="D23" i="1"/>
  <c r="E23" i="1"/>
  <c r="C15" i="1"/>
  <c r="D15" i="1"/>
  <c r="E15" i="1"/>
  <c r="F170" i="1"/>
  <c r="F166" i="1"/>
  <c r="F158" i="1"/>
  <c r="F154" i="1"/>
  <c r="D114" i="1"/>
  <c r="E114" i="1"/>
  <c r="C95" i="1"/>
  <c r="D95" i="1"/>
  <c r="C79" i="1"/>
  <c r="D79" i="1"/>
  <c r="D175" i="1"/>
  <c r="E174" i="1"/>
  <c r="F173" i="1"/>
  <c r="D171" i="1"/>
  <c r="E170" i="1"/>
  <c r="F169" i="1"/>
  <c r="D167" i="1"/>
  <c r="E166" i="1"/>
  <c r="F165" i="1"/>
  <c r="D163" i="1"/>
  <c r="E162" i="1"/>
  <c r="F161" i="1"/>
  <c r="E158" i="1"/>
  <c r="D178" i="1"/>
  <c r="D174" i="1"/>
  <c r="D170" i="1"/>
  <c r="D166" i="1"/>
  <c r="D162" i="1"/>
  <c r="D158" i="1"/>
  <c r="D154" i="1"/>
  <c r="D150" i="1"/>
  <c r="D146" i="1"/>
  <c r="C142" i="1"/>
  <c r="C141" i="1"/>
  <c r="E139" i="1"/>
  <c r="E138" i="1"/>
  <c r="D137" i="1"/>
  <c r="F135" i="1"/>
  <c r="F134" i="1"/>
  <c r="F133" i="1"/>
  <c r="D127" i="1"/>
  <c r="C126" i="1"/>
  <c r="D122" i="1"/>
  <c r="E122" i="1"/>
  <c r="C119" i="1"/>
  <c r="D119" i="1"/>
  <c r="F114" i="1"/>
  <c r="F111" i="1"/>
  <c r="D106" i="1"/>
  <c r="E106" i="1"/>
  <c r="C103" i="1"/>
  <c r="D103" i="1"/>
  <c r="F98" i="1"/>
  <c r="F95" i="1"/>
  <c r="D90" i="1"/>
  <c r="E90" i="1"/>
  <c r="C87" i="1"/>
  <c r="D87" i="1"/>
  <c r="F82" i="1"/>
  <c r="F79" i="1"/>
  <c r="D139" i="1"/>
  <c r="C138" i="1"/>
  <c r="C137" i="1"/>
  <c r="C123" i="1"/>
  <c r="D123" i="1"/>
  <c r="C114" i="1"/>
  <c r="E111" i="1"/>
  <c r="D110" i="1"/>
  <c r="E110" i="1"/>
  <c r="C107" i="1"/>
  <c r="D107" i="1"/>
  <c r="C98" i="1"/>
  <c r="E95" i="1"/>
  <c r="D94" i="1"/>
  <c r="E94" i="1"/>
  <c r="C91" i="1"/>
  <c r="D91" i="1"/>
  <c r="C82" i="1"/>
  <c r="E79" i="1"/>
  <c r="D78" i="1"/>
  <c r="E78" i="1"/>
  <c r="C75" i="1"/>
  <c r="D75" i="1"/>
  <c r="C67" i="1"/>
  <c r="D67" i="1"/>
  <c r="E67" i="1"/>
  <c r="C59" i="1"/>
  <c r="D59" i="1"/>
  <c r="E59" i="1"/>
  <c r="C51" i="1"/>
  <c r="D51" i="1"/>
  <c r="E51" i="1"/>
  <c r="C43" i="1"/>
  <c r="D43" i="1"/>
  <c r="E43" i="1"/>
  <c r="C35" i="1"/>
  <c r="D35" i="1"/>
  <c r="E35" i="1"/>
  <c r="C27" i="1"/>
  <c r="D27" i="1"/>
  <c r="E27" i="1"/>
  <c r="C19" i="1"/>
  <c r="D19" i="1"/>
  <c r="E19" i="1"/>
  <c r="C11" i="1"/>
  <c r="D11" i="1"/>
  <c r="E11" i="1"/>
  <c r="E74" i="1"/>
  <c r="E70" i="1"/>
  <c r="E66" i="1"/>
  <c r="E62" i="1"/>
  <c r="E58" i="1"/>
  <c r="E54" i="1"/>
  <c r="E50" i="1"/>
  <c r="E46" i="1"/>
  <c r="E42" i="1"/>
  <c r="E38" i="1"/>
  <c r="E34" i="1"/>
  <c r="E30" i="1"/>
  <c r="E26" i="1"/>
  <c r="E22" i="1"/>
  <c r="E18" i="1"/>
  <c r="E14" i="1"/>
  <c r="E10" i="1"/>
  <c r="D893" i="1"/>
  <c r="C893" i="1"/>
  <c r="C795" i="1"/>
  <c r="D795" i="1"/>
  <c r="E795" i="1"/>
  <c r="F795" i="1"/>
  <c r="E760" i="1"/>
  <c r="F760" i="1"/>
  <c r="D658" i="1"/>
  <c r="E658" i="1"/>
  <c r="F658" i="1"/>
  <c r="C604" i="1"/>
  <c r="D604" i="1"/>
  <c r="E604" i="1"/>
  <c r="F496" i="1"/>
  <c r="D496" i="1"/>
  <c r="D1000" i="1"/>
  <c r="C979" i="1"/>
  <c r="F951" i="1"/>
  <c r="D940" i="1"/>
  <c r="E939" i="1"/>
  <c r="D939" i="1"/>
  <c r="D923" i="1"/>
  <c r="F921" i="1"/>
  <c r="C919" i="1"/>
  <c r="F919" i="1"/>
  <c r="C911" i="1"/>
  <c r="C909" i="1"/>
  <c r="E895" i="1"/>
  <c r="C895" i="1"/>
  <c r="D892" i="1"/>
  <c r="E891" i="1"/>
  <c r="F891" i="1"/>
  <c r="C885" i="1"/>
  <c r="D871" i="1"/>
  <c r="C871" i="1"/>
  <c r="E823" i="1"/>
  <c r="F823" i="1"/>
  <c r="D721" i="1"/>
  <c r="F721" i="1"/>
  <c r="C668" i="1"/>
  <c r="E668" i="1"/>
  <c r="F668" i="1"/>
  <c r="E613" i="1"/>
  <c r="F613" i="1"/>
  <c r="C552" i="1"/>
  <c r="D552" i="1"/>
  <c r="E552" i="1"/>
  <c r="E525" i="1"/>
  <c r="D525" i="1"/>
  <c r="F525" i="1"/>
  <c r="E505" i="1"/>
  <c r="F505" i="1"/>
  <c r="D491" i="1"/>
  <c r="C491" i="1"/>
  <c r="E491" i="1"/>
  <c r="F491" i="1"/>
  <c r="D455" i="1"/>
  <c r="E455" i="1"/>
  <c r="F455" i="1"/>
  <c r="E214" i="1"/>
  <c r="F214" i="1"/>
  <c r="D881" i="1"/>
  <c r="C881" i="1"/>
  <c r="C735" i="1"/>
  <c r="D735" i="1"/>
  <c r="E735" i="1"/>
  <c r="F735" i="1"/>
  <c r="D705" i="1"/>
  <c r="F705" i="1"/>
  <c r="D600" i="1"/>
  <c r="E600" i="1"/>
  <c r="E514" i="1"/>
  <c r="C514" i="1"/>
  <c r="F514" i="1"/>
  <c r="D467" i="1"/>
  <c r="E467" i="1"/>
  <c r="F467" i="1"/>
  <c r="F419" i="1"/>
  <c r="E419" i="1"/>
  <c r="C247" i="1"/>
  <c r="E247" i="1"/>
  <c r="C199" i="1"/>
  <c r="D199" i="1"/>
  <c r="F199" i="1"/>
  <c r="D991" i="1"/>
  <c r="D980" i="1"/>
  <c r="D976" i="1"/>
  <c r="F973" i="1"/>
  <c r="D971" i="1"/>
  <c r="C967" i="1"/>
  <c r="E967" i="1"/>
  <c r="D957" i="1"/>
  <c r="E957" i="1"/>
  <c r="C935" i="1"/>
  <c r="E935" i="1"/>
  <c r="D925" i="1"/>
  <c r="E925" i="1"/>
  <c r="E907" i="1"/>
  <c r="C907" i="1"/>
  <c r="F881" i="1"/>
  <c r="E712" i="1"/>
  <c r="F712" i="1"/>
  <c r="D652" i="1"/>
  <c r="E652" i="1"/>
  <c r="C644" i="1"/>
  <c r="E644" i="1"/>
  <c r="F644" i="1"/>
  <c r="D602" i="1"/>
  <c r="E602" i="1"/>
  <c r="F602" i="1"/>
  <c r="C596" i="1"/>
  <c r="E596" i="1"/>
  <c r="F596" i="1"/>
  <c r="E520" i="1"/>
  <c r="C520" i="1"/>
  <c r="D520" i="1"/>
  <c r="F520" i="1"/>
  <c r="C469" i="1"/>
  <c r="D469" i="1"/>
  <c r="E469" i="1"/>
  <c r="D451" i="1"/>
  <c r="C451" i="1"/>
  <c r="E451" i="1"/>
  <c r="F451" i="1"/>
  <c r="C413" i="1"/>
  <c r="F413" i="1"/>
  <c r="C291" i="1"/>
  <c r="E291" i="1"/>
  <c r="E204" i="1"/>
  <c r="C204" i="1"/>
  <c r="F204" i="1"/>
  <c r="E847" i="1"/>
  <c r="C847" i="1"/>
  <c r="E824" i="1"/>
  <c r="F824" i="1"/>
  <c r="C991" i="1"/>
  <c r="D988" i="1"/>
  <c r="C971" i="1"/>
  <c r="D937" i="1"/>
  <c r="F937" i="1"/>
  <c r="E908" i="1"/>
  <c r="D908" i="1"/>
  <c r="E893" i="1"/>
  <c r="F889" i="1"/>
  <c r="D887" i="1"/>
  <c r="E887" i="1"/>
  <c r="E881" i="1"/>
  <c r="D879" i="1"/>
  <c r="C879" i="1"/>
  <c r="E876" i="1"/>
  <c r="F876" i="1"/>
  <c r="E869" i="1"/>
  <c r="D865" i="1"/>
  <c r="C865" i="1"/>
  <c r="D863" i="1"/>
  <c r="E863" i="1"/>
  <c r="E853" i="1"/>
  <c r="D847" i="1"/>
  <c r="E796" i="1"/>
  <c r="D796" i="1"/>
  <c r="F796" i="1"/>
  <c r="E736" i="1"/>
  <c r="D736" i="1"/>
  <c r="F736" i="1"/>
  <c r="E715" i="1"/>
  <c r="C715" i="1"/>
  <c r="F604" i="1"/>
  <c r="D550" i="1"/>
  <c r="E550" i="1"/>
  <c r="F550" i="1"/>
  <c r="D511" i="1"/>
  <c r="E511" i="1"/>
  <c r="C457" i="1"/>
  <c r="F457" i="1"/>
  <c r="C191" i="1"/>
  <c r="D191" i="1"/>
  <c r="F844" i="1"/>
  <c r="E833" i="1"/>
  <c r="C817" i="1"/>
  <c r="F791" i="1"/>
  <c r="F780" i="1"/>
  <c r="E779" i="1"/>
  <c r="F777" i="1"/>
  <c r="E775" i="1"/>
  <c r="F765" i="1"/>
  <c r="D764" i="1"/>
  <c r="E759" i="1"/>
  <c r="D739" i="1"/>
  <c r="F731" i="1"/>
  <c r="F720" i="1"/>
  <c r="E711" i="1"/>
  <c r="F704" i="1"/>
  <c r="C699" i="1"/>
  <c r="E695" i="1"/>
  <c r="C680" i="1"/>
  <c r="F674" i="1"/>
  <c r="F667" i="1"/>
  <c r="D651" i="1"/>
  <c r="D636" i="1"/>
  <c r="F634" i="1"/>
  <c r="E622" i="1"/>
  <c r="F614" i="1"/>
  <c r="D580" i="1"/>
  <c r="F577" i="1"/>
  <c r="E576" i="1"/>
  <c r="C568" i="1"/>
  <c r="F562" i="1"/>
  <c r="D561" i="1"/>
  <c r="F817" i="1"/>
  <c r="F699" i="1"/>
  <c r="F999" i="1"/>
  <c r="F983" i="1"/>
  <c r="C875" i="1"/>
  <c r="F875" i="1"/>
  <c r="D797" i="1"/>
  <c r="E797" i="1"/>
  <c r="E752" i="1"/>
  <c r="F752" i="1"/>
  <c r="C694" i="1"/>
  <c r="F694" i="1"/>
  <c r="C684" i="1"/>
  <c r="E684" i="1"/>
  <c r="D650" i="1"/>
  <c r="E650" i="1"/>
  <c r="C616" i="1"/>
  <c r="D616" i="1"/>
  <c r="D578" i="1"/>
  <c r="E578" i="1"/>
  <c r="D554" i="1"/>
  <c r="E554" i="1"/>
  <c r="D530" i="1"/>
  <c r="E530" i="1"/>
  <c r="F530" i="1"/>
  <c r="D482" i="1"/>
  <c r="F482" i="1"/>
  <c r="D397" i="1"/>
  <c r="E397" i="1"/>
  <c r="D393" i="1"/>
  <c r="F393" i="1"/>
  <c r="D383" i="1"/>
  <c r="C383" i="1"/>
  <c r="F383" i="1"/>
  <c r="E363" i="1"/>
  <c r="C363" i="1"/>
  <c r="C185" i="1"/>
  <c r="F185" i="1"/>
  <c r="E999" i="1"/>
  <c r="E983" i="1"/>
  <c r="E975" i="1"/>
  <c r="C859" i="1"/>
  <c r="F859" i="1"/>
  <c r="D849" i="1"/>
  <c r="C849" i="1"/>
  <c r="F831" i="1"/>
  <c r="E828" i="1"/>
  <c r="D828" i="1"/>
  <c r="F815" i="1"/>
  <c r="E812" i="1"/>
  <c r="D812" i="1"/>
  <c r="F783" i="1"/>
  <c r="D769" i="1"/>
  <c r="E769" i="1"/>
  <c r="D749" i="1"/>
  <c r="F749" i="1"/>
  <c r="C747" i="1"/>
  <c r="F747" i="1"/>
  <c r="D741" i="1"/>
  <c r="F741" i="1"/>
  <c r="C686" i="1"/>
  <c r="F686" i="1"/>
  <c r="D630" i="1"/>
  <c r="F630" i="1"/>
  <c r="E529" i="1"/>
  <c r="D529" i="1"/>
  <c r="F529" i="1"/>
  <c r="D459" i="1"/>
  <c r="C459" i="1"/>
  <c r="E459" i="1"/>
  <c r="D439" i="1"/>
  <c r="C439" i="1"/>
  <c r="E439" i="1"/>
  <c r="C429" i="1"/>
  <c r="D429" i="1"/>
  <c r="D407" i="1"/>
  <c r="C407" i="1"/>
  <c r="E407" i="1"/>
  <c r="D375" i="1"/>
  <c r="E375" i="1"/>
  <c r="F375" i="1"/>
  <c r="D323" i="1"/>
  <c r="E323" i="1"/>
  <c r="F323" i="1"/>
  <c r="E995" i="1"/>
  <c r="F968" i="1"/>
  <c r="E961" i="1"/>
  <c r="F943" i="1"/>
  <c r="F927" i="1"/>
  <c r="F923" i="1"/>
  <c r="E913" i="1"/>
  <c r="F904" i="1"/>
  <c r="E897" i="1"/>
  <c r="F895" i="1"/>
  <c r="F860" i="1"/>
  <c r="E831" i="1"/>
  <c r="E815" i="1"/>
  <c r="F799" i="1"/>
  <c r="E783" i="1"/>
  <c r="E776" i="1"/>
  <c r="F776" i="1"/>
  <c r="C758" i="1"/>
  <c r="F758" i="1"/>
  <c r="D723" i="1"/>
  <c r="F719" i="1"/>
  <c r="F715" i="1"/>
  <c r="C710" i="1"/>
  <c r="F710" i="1"/>
  <c r="D701" i="1"/>
  <c r="C701" i="1"/>
  <c r="D691" i="1"/>
  <c r="F687" i="1"/>
  <c r="E656" i="1"/>
  <c r="D654" i="1"/>
  <c r="F654" i="1"/>
  <c r="F650" i="1"/>
  <c r="E620" i="1"/>
  <c r="F616" i="1"/>
  <c r="F601" i="1"/>
  <c r="F580" i="1"/>
  <c r="D566" i="1"/>
  <c r="E566" i="1"/>
  <c r="C560" i="1"/>
  <c r="F560" i="1"/>
  <c r="C505" i="1"/>
  <c r="D505" i="1"/>
  <c r="E489" i="1"/>
  <c r="C489" i="1"/>
  <c r="D489" i="1"/>
  <c r="C481" i="1"/>
  <c r="D481" i="1"/>
  <c r="E481" i="1"/>
  <c r="D413" i="1"/>
  <c r="E413" i="1"/>
  <c r="F397" i="1"/>
  <c r="D389" i="1"/>
  <c r="C389" i="1"/>
  <c r="E389" i="1"/>
  <c r="D365" i="1"/>
  <c r="E365" i="1"/>
  <c r="D359" i="1"/>
  <c r="E359" i="1"/>
  <c r="F359" i="1"/>
  <c r="E316" i="1"/>
  <c r="D316" i="1"/>
  <c r="E287" i="1"/>
  <c r="F287" i="1"/>
  <c r="E264" i="1"/>
  <c r="D264" i="1"/>
  <c r="F264" i="1"/>
  <c r="D238" i="1"/>
  <c r="F238" i="1"/>
  <c r="C227" i="1"/>
  <c r="E227" i="1"/>
  <c r="E224" i="1"/>
  <c r="F224" i="1"/>
  <c r="C224" i="1"/>
  <c r="E208" i="1"/>
  <c r="C208" i="1"/>
  <c r="F208" i="1"/>
  <c r="C187" i="1"/>
  <c r="D187" i="1"/>
  <c r="F975" i="1"/>
  <c r="C827" i="1"/>
  <c r="D827" i="1"/>
  <c r="C811" i="1"/>
  <c r="D811" i="1"/>
  <c r="D801" i="1"/>
  <c r="F801" i="1"/>
  <c r="E732" i="1"/>
  <c r="F732" i="1"/>
  <c r="D717" i="1"/>
  <c r="C717" i="1"/>
  <c r="D682" i="1"/>
  <c r="F682" i="1"/>
  <c r="D662" i="1"/>
  <c r="C662" i="1"/>
  <c r="E633" i="1"/>
  <c r="F633" i="1"/>
  <c r="D590" i="1"/>
  <c r="C590" i="1"/>
  <c r="D528" i="1"/>
  <c r="E528" i="1"/>
  <c r="D495" i="1"/>
  <c r="C495" i="1"/>
  <c r="E495" i="1"/>
  <c r="E485" i="1"/>
  <c r="C485" i="1"/>
  <c r="D485" i="1"/>
  <c r="E417" i="1"/>
  <c r="F417" i="1"/>
  <c r="E360" i="1"/>
  <c r="F360" i="1"/>
  <c r="F236" i="1"/>
  <c r="E236" i="1"/>
  <c r="C763" i="1"/>
  <c r="F763" i="1"/>
  <c r="D757" i="1"/>
  <c r="C757" i="1"/>
  <c r="D737" i="1"/>
  <c r="E737" i="1"/>
  <c r="F723" i="1"/>
  <c r="C718" i="1"/>
  <c r="F718" i="1"/>
  <c r="D709" i="1"/>
  <c r="C709" i="1"/>
  <c r="F691" i="1"/>
  <c r="D666" i="1"/>
  <c r="E666" i="1"/>
  <c r="F656" i="1"/>
  <c r="D638" i="1"/>
  <c r="C638" i="1"/>
  <c r="C628" i="1"/>
  <c r="F628" i="1"/>
  <c r="F620" i="1"/>
  <c r="E617" i="1"/>
  <c r="D617" i="1"/>
  <c r="C532" i="1"/>
  <c r="F532" i="1"/>
  <c r="D522" i="1"/>
  <c r="C522" i="1"/>
  <c r="E522" i="1"/>
  <c r="D501" i="1"/>
  <c r="E501" i="1"/>
  <c r="D343" i="1"/>
  <c r="C343" i="1"/>
  <c r="E343" i="1"/>
  <c r="E276" i="1"/>
  <c r="F276" i="1"/>
  <c r="D276" i="1"/>
  <c r="C228" i="1"/>
  <c r="E228" i="1"/>
  <c r="D228" i="1"/>
  <c r="F228" i="1"/>
  <c r="D999" i="1"/>
  <c r="F991" i="1"/>
  <c r="D983" i="1"/>
  <c r="F979" i="1"/>
  <c r="D975" i="1"/>
  <c r="F971" i="1"/>
  <c r="F959" i="1"/>
  <c r="F952" i="1"/>
  <c r="E945" i="1"/>
  <c r="F936" i="1"/>
  <c r="E929" i="1"/>
  <c r="F920" i="1"/>
  <c r="F911" i="1"/>
  <c r="D996" i="1"/>
  <c r="D968" i="1"/>
  <c r="F963" i="1"/>
  <c r="C961" i="1"/>
  <c r="D959" i="1"/>
  <c r="F957" i="1"/>
  <c r="F956" i="1"/>
  <c r="D952" i="1"/>
  <c r="F947" i="1"/>
  <c r="C945" i="1"/>
  <c r="D943" i="1"/>
  <c r="F941" i="1"/>
  <c r="F940" i="1"/>
  <c r="D936" i="1"/>
  <c r="F931" i="1"/>
  <c r="C929" i="1"/>
  <c r="D927" i="1"/>
  <c r="F925" i="1"/>
  <c r="F924" i="1"/>
  <c r="D920" i="1"/>
  <c r="F915" i="1"/>
  <c r="C913" i="1"/>
  <c r="D911" i="1"/>
  <c r="F909" i="1"/>
  <c r="F908" i="1"/>
  <c r="D904" i="1"/>
  <c r="F899" i="1"/>
  <c r="C897" i="1"/>
  <c r="D895" i="1"/>
  <c r="F893" i="1"/>
  <c r="F892" i="1"/>
  <c r="F883" i="1"/>
  <c r="F879" i="1"/>
  <c r="D860" i="1"/>
  <c r="D855" i="1"/>
  <c r="C855" i="1"/>
  <c r="F849" i="1"/>
  <c r="F847" i="1"/>
  <c r="C831" i="1"/>
  <c r="D829" i="1"/>
  <c r="F829" i="1"/>
  <c r="E827" i="1"/>
  <c r="C815" i="1"/>
  <c r="D813" i="1"/>
  <c r="F813" i="1"/>
  <c r="E811" i="1"/>
  <c r="E808" i="1"/>
  <c r="F808" i="1"/>
  <c r="C801" i="1"/>
  <c r="E799" i="1"/>
  <c r="F797" i="1"/>
  <c r="E792" i="1"/>
  <c r="F792" i="1"/>
  <c r="D785" i="1"/>
  <c r="F785" i="1"/>
  <c r="D783" i="1"/>
  <c r="D781" i="1"/>
  <c r="E781" i="1"/>
  <c r="F769" i="1"/>
  <c r="E763" i="1"/>
  <c r="F761" i="1"/>
  <c r="F759" i="1"/>
  <c r="F757" i="1"/>
  <c r="F755" i="1"/>
  <c r="D752" i="1"/>
  <c r="C751" i="1"/>
  <c r="E751" i="1"/>
  <c r="E741" i="1"/>
  <c r="F739" i="1"/>
  <c r="D725" i="1"/>
  <c r="C725" i="1"/>
  <c r="C723" i="1"/>
  <c r="E719" i="1"/>
  <c r="E717" i="1"/>
  <c r="D715" i="1"/>
  <c r="F713" i="1"/>
  <c r="F711" i="1"/>
  <c r="F709" i="1"/>
  <c r="F707" i="1"/>
  <c r="C702" i="1"/>
  <c r="F702" i="1"/>
  <c r="D693" i="1"/>
  <c r="C693" i="1"/>
  <c r="C691" i="1"/>
  <c r="E687" i="1"/>
  <c r="F684" i="1"/>
  <c r="C682" i="1"/>
  <c r="F673" i="1"/>
  <c r="C672" i="1"/>
  <c r="E672" i="1"/>
  <c r="E662" i="1"/>
  <c r="C656" i="1"/>
  <c r="C652" i="1"/>
  <c r="F652" i="1"/>
  <c r="C650" i="1"/>
  <c r="C648" i="1"/>
  <c r="F648" i="1"/>
  <c r="F638" i="1"/>
  <c r="F636" i="1"/>
  <c r="D633" i="1"/>
  <c r="C632" i="1"/>
  <c r="E632" i="1"/>
  <c r="C620" i="1"/>
  <c r="D618" i="1"/>
  <c r="F618" i="1"/>
  <c r="E616" i="1"/>
  <c r="C612" i="1"/>
  <c r="E612" i="1"/>
  <c r="D606" i="1"/>
  <c r="E606" i="1"/>
  <c r="D601" i="1"/>
  <c r="C600" i="1"/>
  <c r="F600" i="1"/>
  <c r="E590" i="1"/>
  <c r="D584" i="1"/>
  <c r="E584" i="1"/>
  <c r="D582" i="1"/>
  <c r="E582" i="1"/>
  <c r="E580" i="1"/>
  <c r="F578" i="1"/>
  <c r="E573" i="1"/>
  <c r="D573" i="1"/>
  <c r="C554" i="1"/>
  <c r="D542" i="1"/>
  <c r="C542" i="1"/>
  <c r="E542" i="1"/>
  <c r="C530" i="1"/>
  <c r="C528" i="1"/>
  <c r="F501" i="1"/>
  <c r="F485" i="1"/>
  <c r="D483" i="1"/>
  <c r="E483" i="1"/>
  <c r="F483" i="1"/>
  <c r="D460" i="1"/>
  <c r="F460" i="1"/>
  <c r="C437" i="1"/>
  <c r="E437" i="1"/>
  <c r="F437" i="1"/>
  <c r="F429" i="1"/>
  <c r="D417" i="1"/>
  <c r="E408" i="1"/>
  <c r="D408" i="1"/>
  <c r="F408" i="1"/>
  <c r="C397" i="1"/>
  <c r="E376" i="1"/>
  <c r="F376" i="1"/>
  <c r="D360" i="1"/>
  <c r="E344" i="1"/>
  <c r="D344" i="1"/>
  <c r="F344" i="1"/>
  <c r="D336" i="1"/>
  <c r="E324" i="1"/>
  <c r="F324" i="1"/>
  <c r="D305" i="1"/>
  <c r="E305" i="1"/>
  <c r="E292" i="1"/>
  <c r="D292" i="1"/>
  <c r="F292" i="1"/>
  <c r="E248" i="1"/>
  <c r="D248" i="1"/>
  <c r="F248" i="1"/>
  <c r="E244" i="1"/>
  <c r="D244" i="1"/>
  <c r="F244" i="1"/>
  <c r="E237" i="1"/>
  <c r="F237" i="1"/>
  <c r="C237" i="1"/>
  <c r="D237" i="1"/>
  <c r="D263" i="1"/>
  <c r="E263" i="1"/>
  <c r="D259" i="1"/>
  <c r="F259" i="1"/>
  <c r="D230" i="1"/>
  <c r="C230" i="1"/>
  <c r="D226" i="1"/>
  <c r="E226" i="1"/>
  <c r="F548" i="1"/>
  <c r="F445" i="1"/>
  <c r="F373" i="1"/>
  <c r="F341" i="1"/>
  <c r="F329" i="1"/>
  <c r="D291" i="1"/>
  <c r="F291" i="1"/>
  <c r="D275" i="1"/>
  <c r="E275" i="1"/>
  <c r="E253" i="1"/>
  <c r="C253" i="1"/>
  <c r="D247" i="1"/>
  <c r="F247" i="1"/>
  <c r="D242" i="1"/>
  <c r="E242" i="1"/>
  <c r="E225" i="1"/>
  <c r="D225" i="1"/>
  <c r="C203" i="1"/>
  <c r="D203" i="1"/>
  <c r="E192" i="1"/>
  <c r="F192" i="1"/>
  <c r="C192" i="1"/>
  <c r="F231" i="1"/>
  <c r="D204" i="1"/>
  <c r="E199" i="1"/>
  <c r="E191" i="1"/>
  <c r="F1001" i="1"/>
  <c r="D877" i="1"/>
  <c r="C877" i="1"/>
  <c r="E836" i="1"/>
  <c r="D836" i="1"/>
  <c r="F836" i="1"/>
  <c r="C807" i="1"/>
  <c r="D807" i="1"/>
  <c r="E784" i="1"/>
  <c r="F784" i="1"/>
  <c r="E724" i="1"/>
  <c r="D724" i="1"/>
  <c r="F724" i="1"/>
  <c r="E708" i="1"/>
  <c r="D708" i="1"/>
  <c r="F708" i="1"/>
  <c r="E692" i="1"/>
  <c r="D692" i="1"/>
  <c r="F692" i="1"/>
  <c r="D657" i="1"/>
  <c r="F657" i="1"/>
  <c r="C640" i="1"/>
  <c r="D640" i="1"/>
  <c r="E640" i="1"/>
  <c r="E605" i="1"/>
  <c r="D605" i="1"/>
  <c r="F605" i="1"/>
  <c r="E545" i="1"/>
  <c r="D545" i="1"/>
  <c r="F545" i="1"/>
  <c r="C461" i="1"/>
  <c r="D461" i="1"/>
  <c r="E461" i="1"/>
  <c r="F461" i="1"/>
  <c r="C441" i="1"/>
  <c r="D441" i="1"/>
  <c r="E441" i="1"/>
  <c r="F441" i="1"/>
  <c r="E416" i="1"/>
  <c r="F416" i="1"/>
  <c r="D416" i="1"/>
  <c r="D405" i="1"/>
  <c r="C405" i="1"/>
  <c r="E405" i="1"/>
  <c r="F405" i="1"/>
  <c r="C361" i="1"/>
  <c r="D361" i="1"/>
  <c r="F361" i="1"/>
  <c r="E361" i="1"/>
  <c r="D335" i="1"/>
  <c r="F335" i="1"/>
  <c r="C335" i="1"/>
  <c r="E335" i="1"/>
  <c r="E1001" i="1"/>
  <c r="E993" i="1"/>
  <c r="E989" i="1"/>
  <c r="E985" i="1"/>
  <c r="E981" i="1"/>
  <c r="E977" i="1"/>
  <c r="E973" i="1"/>
  <c r="E969" i="1"/>
  <c r="D967" i="1"/>
  <c r="F965" i="1"/>
  <c r="F964" i="1"/>
  <c r="E963" i="1"/>
  <c r="E953" i="1"/>
  <c r="D951" i="1"/>
  <c r="F949" i="1"/>
  <c r="F948" i="1"/>
  <c r="E947" i="1"/>
  <c r="E937" i="1"/>
  <c r="D935" i="1"/>
  <c r="F933" i="1"/>
  <c r="F932" i="1"/>
  <c r="E931" i="1"/>
  <c r="E921" i="1"/>
  <c r="D919" i="1"/>
  <c r="F917" i="1"/>
  <c r="F916" i="1"/>
  <c r="E915" i="1"/>
  <c r="E905" i="1"/>
  <c r="D903" i="1"/>
  <c r="F901" i="1"/>
  <c r="F900" i="1"/>
  <c r="E899" i="1"/>
  <c r="E889" i="1"/>
  <c r="E888" i="1"/>
  <c r="D888" i="1"/>
  <c r="D885" i="1"/>
  <c r="F885" i="1"/>
  <c r="D883" i="1"/>
  <c r="F880" i="1"/>
  <c r="E875" i="1"/>
  <c r="F873" i="1"/>
  <c r="E872" i="1"/>
  <c r="D872" i="1"/>
  <c r="D869" i="1"/>
  <c r="F869" i="1"/>
  <c r="D867" i="1"/>
  <c r="F864" i="1"/>
  <c r="E859" i="1"/>
  <c r="F857" i="1"/>
  <c r="E856" i="1"/>
  <c r="D856" i="1"/>
  <c r="D853" i="1"/>
  <c r="F853" i="1"/>
  <c r="D851" i="1"/>
  <c r="F848" i="1"/>
  <c r="E843" i="1"/>
  <c r="F841" i="1"/>
  <c r="F835" i="1"/>
  <c r="D825" i="1"/>
  <c r="C825" i="1"/>
  <c r="E825" i="1"/>
  <c r="D821" i="1"/>
  <c r="E821" i="1"/>
  <c r="F821" i="1"/>
  <c r="D819" i="1"/>
  <c r="E819" i="1"/>
  <c r="F803" i="1"/>
  <c r="D793" i="1"/>
  <c r="C793" i="1"/>
  <c r="E793" i="1"/>
  <c r="D789" i="1"/>
  <c r="E789" i="1"/>
  <c r="F789" i="1"/>
  <c r="D787" i="1"/>
  <c r="E787" i="1"/>
  <c r="C771" i="1"/>
  <c r="D771" i="1"/>
  <c r="E771" i="1"/>
  <c r="E740" i="1"/>
  <c r="D740" i="1"/>
  <c r="F740" i="1"/>
  <c r="E681" i="1"/>
  <c r="C681" i="1"/>
  <c r="F681" i="1"/>
  <c r="D642" i="1"/>
  <c r="C642" i="1"/>
  <c r="E642" i="1"/>
  <c r="F642" i="1"/>
  <c r="E621" i="1"/>
  <c r="D621" i="1"/>
  <c r="F621" i="1"/>
  <c r="C592" i="1"/>
  <c r="D592" i="1"/>
  <c r="E592" i="1"/>
  <c r="C524" i="1"/>
  <c r="D524" i="1"/>
  <c r="E524" i="1"/>
  <c r="F524" i="1"/>
  <c r="D448" i="1"/>
  <c r="F448" i="1"/>
  <c r="F997" i="1"/>
  <c r="F993" i="1"/>
  <c r="F989" i="1"/>
  <c r="F985" i="1"/>
  <c r="D861" i="1"/>
  <c r="C861" i="1"/>
  <c r="D845" i="1"/>
  <c r="C845" i="1"/>
  <c r="C839" i="1"/>
  <c r="D839" i="1"/>
  <c r="E816" i="1"/>
  <c r="F816" i="1"/>
  <c r="E804" i="1"/>
  <c r="D804" i="1"/>
  <c r="F804" i="1"/>
  <c r="D745" i="1"/>
  <c r="C745" i="1"/>
  <c r="E745" i="1"/>
  <c r="F745" i="1"/>
  <c r="E716" i="1"/>
  <c r="D716" i="1"/>
  <c r="F716" i="1"/>
  <c r="E700" i="1"/>
  <c r="D700" i="1"/>
  <c r="F700" i="1"/>
  <c r="C676" i="1"/>
  <c r="D676" i="1"/>
  <c r="E676" i="1"/>
  <c r="D626" i="1"/>
  <c r="C626" i="1"/>
  <c r="E626" i="1"/>
  <c r="F626" i="1"/>
  <c r="C588" i="1"/>
  <c r="D588" i="1"/>
  <c r="E588" i="1"/>
  <c r="F588" i="1"/>
  <c r="D435" i="1"/>
  <c r="C435" i="1"/>
  <c r="E435" i="1"/>
  <c r="F435" i="1"/>
  <c r="E412" i="1"/>
  <c r="D412" i="1"/>
  <c r="F412" i="1"/>
  <c r="E377" i="1"/>
  <c r="C377" i="1"/>
  <c r="D377" i="1"/>
  <c r="F377" i="1"/>
  <c r="D289" i="1"/>
  <c r="C289" i="1"/>
  <c r="F289" i="1"/>
  <c r="E289" i="1"/>
  <c r="E997" i="1"/>
  <c r="C1001" i="1"/>
  <c r="C997" i="1"/>
  <c r="C993" i="1"/>
  <c r="C989" i="1"/>
  <c r="C985" i="1"/>
  <c r="C981" i="1"/>
  <c r="C977" i="1"/>
  <c r="C973" i="1"/>
  <c r="C969" i="1"/>
  <c r="E965" i="1"/>
  <c r="D964" i="1"/>
  <c r="D963" i="1"/>
  <c r="F961" i="1"/>
  <c r="F960" i="1"/>
  <c r="C953" i="1"/>
  <c r="E949" i="1"/>
  <c r="D948" i="1"/>
  <c r="D947" i="1"/>
  <c r="F945" i="1"/>
  <c r="F944" i="1"/>
  <c r="C937" i="1"/>
  <c r="E933" i="1"/>
  <c r="D932" i="1"/>
  <c r="D931" i="1"/>
  <c r="F929" i="1"/>
  <c r="F928" i="1"/>
  <c r="C921" i="1"/>
  <c r="E917" i="1"/>
  <c r="D916" i="1"/>
  <c r="D915" i="1"/>
  <c r="F913" i="1"/>
  <c r="F912" i="1"/>
  <c r="C905" i="1"/>
  <c r="E901" i="1"/>
  <c r="D900" i="1"/>
  <c r="D899" i="1"/>
  <c r="F897" i="1"/>
  <c r="F896" i="1"/>
  <c r="C889" i="1"/>
  <c r="F887" i="1"/>
  <c r="C883" i="1"/>
  <c r="D880" i="1"/>
  <c r="F877" i="1"/>
  <c r="D875" i="1"/>
  <c r="F871" i="1"/>
  <c r="C867" i="1"/>
  <c r="D864" i="1"/>
  <c r="F861" i="1"/>
  <c r="D859" i="1"/>
  <c r="C851" i="1"/>
  <c r="D848" i="1"/>
  <c r="F845" i="1"/>
  <c r="D843" i="1"/>
  <c r="F839" i="1"/>
  <c r="E832" i="1"/>
  <c r="F832" i="1"/>
  <c r="C823" i="1"/>
  <c r="D823" i="1"/>
  <c r="E820" i="1"/>
  <c r="D820" i="1"/>
  <c r="F820" i="1"/>
  <c r="F807" i="1"/>
  <c r="E800" i="1"/>
  <c r="F800" i="1"/>
  <c r="C791" i="1"/>
  <c r="D791" i="1"/>
  <c r="E788" i="1"/>
  <c r="D788" i="1"/>
  <c r="F788" i="1"/>
  <c r="D773" i="1"/>
  <c r="C773" i="1"/>
  <c r="E773" i="1"/>
  <c r="F773" i="1"/>
  <c r="E756" i="1"/>
  <c r="D756" i="1"/>
  <c r="F756" i="1"/>
  <c r="C727" i="1"/>
  <c r="D727" i="1"/>
  <c r="E727" i="1"/>
  <c r="D671" i="1"/>
  <c r="F671" i="1"/>
  <c r="E637" i="1"/>
  <c r="D637" i="1"/>
  <c r="F637" i="1"/>
  <c r="C608" i="1"/>
  <c r="D608" i="1"/>
  <c r="E608" i="1"/>
  <c r="D594" i="1"/>
  <c r="C594" i="1"/>
  <c r="E594" i="1"/>
  <c r="F594" i="1"/>
  <c r="D586" i="1"/>
  <c r="E586" i="1"/>
  <c r="C586" i="1"/>
  <c r="F586" i="1"/>
  <c r="C556" i="1"/>
  <c r="D556" i="1"/>
  <c r="E556" i="1"/>
  <c r="F556" i="1"/>
  <c r="D508" i="1"/>
  <c r="F508" i="1"/>
  <c r="D463" i="1"/>
  <c r="E463" i="1"/>
  <c r="F463" i="1"/>
  <c r="C463" i="1"/>
  <c r="F450" i="1"/>
  <c r="D450" i="1"/>
  <c r="D443" i="1"/>
  <c r="E443" i="1"/>
  <c r="F443" i="1"/>
  <c r="C443" i="1"/>
  <c r="C965" i="1"/>
  <c r="D960" i="1"/>
  <c r="C949" i="1"/>
  <c r="D944" i="1"/>
  <c r="C933" i="1"/>
  <c r="D928" i="1"/>
  <c r="C917" i="1"/>
  <c r="D912" i="1"/>
  <c r="C901" i="1"/>
  <c r="D896" i="1"/>
  <c r="E884" i="1"/>
  <c r="F884" i="1"/>
  <c r="E877" i="1"/>
  <c r="D873" i="1"/>
  <c r="E873" i="1"/>
  <c r="E868" i="1"/>
  <c r="F868" i="1"/>
  <c r="E861" i="1"/>
  <c r="D857" i="1"/>
  <c r="E857" i="1"/>
  <c r="E852" i="1"/>
  <c r="F852" i="1"/>
  <c r="E845" i="1"/>
  <c r="D841" i="1"/>
  <c r="E841" i="1"/>
  <c r="E839" i="1"/>
  <c r="D837" i="1"/>
  <c r="E837" i="1"/>
  <c r="F837" i="1"/>
  <c r="D835" i="1"/>
  <c r="E835" i="1"/>
  <c r="D816" i="1"/>
  <c r="D809" i="1"/>
  <c r="C809" i="1"/>
  <c r="E809" i="1"/>
  <c r="E807" i="1"/>
  <c r="D805" i="1"/>
  <c r="E805" i="1"/>
  <c r="F805" i="1"/>
  <c r="D803" i="1"/>
  <c r="E803" i="1"/>
  <c r="D784" i="1"/>
  <c r="E768" i="1"/>
  <c r="D768" i="1"/>
  <c r="F768" i="1"/>
  <c r="C743" i="1"/>
  <c r="D743" i="1"/>
  <c r="E743" i="1"/>
  <c r="D729" i="1"/>
  <c r="C729" i="1"/>
  <c r="E729" i="1"/>
  <c r="F729" i="1"/>
  <c r="F676" i="1"/>
  <c r="D670" i="1"/>
  <c r="C670" i="1"/>
  <c r="E670" i="1"/>
  <c r="F670" i="1"/>
  <c r="C664" i="1"/>
  <c r="D664" i="1"/>
  <c r="E664" i="1"/>
  <c r="C660" i="1"/>
  <c r="D660" i="1"/>
  <c r="E660" i="1"/>
  <c r="D646" i="1"/>
  <c r="C646" i="1"/>
  <c r="E646" i="1"/>
  <c r="F646" i="1"/>
  <c r="F640" i="1"/>
  <c r="C624" i="1"/>
  <c r="D624" i="1"/>
  <c r="E624" i="1"/>
  <c r="D610" i="1"/>
  <c r="C610" i="1"/>
  <c r="E610" i="1"/>
  <c r="F610" i="1"/>
  <c r="E589" i="1"/>
  <c r="D589" i="1"/>
  <c r="F589" i="1"/>
  <c r="D574" i="1"/>
  <c r="C574" i="1"/>
  <c r="E574" i="1"/>
  <c r="F574" i="1"/>
  <c r="D494" i="1"/>
  <c r="F494" i="1"/>
  <c r="D840" i="1"/>
  <c r="C829" i="1"/>
  <c r="D824" i="1"/>
  <c r="C813" i="1"/>
  <c r="D808" i="1"/>
  <c r="C797" i="1"/>
  <c r="D792" i="1"/>
  <c r="C781" i="1"/>
  <c r="E777" i="1"/>
  <c r="D776" i="1"/>
  <c r="D775" i="1"/>
  <c r="F772" i="1"/>
  <c r="C765" i="1"/>
  <c r="E761" i="1"/>
  <c r="D760" i="1"/>
  <c r="D759" i="1"/>
  <c r="C753" i="1"/>
  <c r="E749" i="1"/>
  <c r="D748" i="1"/>
  <c r="D747" i="1"/>
  <c r="F744" i="1"/>
  <c r="C737" i="1"/>
  <c r="E733" i="1"/>
  <c r="D732" i="1"/>
  <c r="D731" i="1"/>
  <c r="F728" i="1"/>
  <c r="E721" i="1"/>
  <c r="D720" i="1"/>
  <c r="D719" i="1"/>
  <c r="E713" i="1"/>
  <c r="D712" i="1"/>
  <c r="D711" i="1"/>
  <c r="E705" i="1"/>
  <c r="D704" i="1"/>
  <c r="D703" i="1"/>
  <c r="E697" i="1"/>
  <c r="D696" i="1"/>
  <c r="D695" i="1"/>
  <c r="E689" i="1"/>
  <c r="D688" i="1"/>
  <c r="D687" i="1"/>
  <c r="D684" i="1"/>
  <c r="D683" i="1"/>
  <c r="F675" i="1"/>
  <c r="E674" i="1"/>
  <c r="D668" i="1"/>
  <c r="C666" i="1"/>
  <c r="D659" i="1"/>
  <c r="C658" i="1"/>
  <c r="E654" i="1"/>
  <c r="D648" i="1"/>
  <c r="D645" i="1"/>
  <c r="D644" i="1"/>
  <c r="F641" i="1"/>
  <c r="C634" i="1"/>
  <c r="E630" i="1"/>
  <c r="D629" i="1"/>
  <c r="D628" i="1"/>
  <c r="F625" i="1"/>
  <c r="C618" i="1"/>
  <c r="E614" i="1"/>
  <c r="D613" i="1"/>
  <c r="D612" i="1"/>
  <c r="F609" i="1"/>
  <c r="C602" i="1"/>
  <c r="E598" i="1"/>
  <c r="D597" i="1"/>
  <c r="D596" i="1"/>
  <c r="F593" i="1"/>
  <c r="C584" i="1"/>
  <c r="E581" i="1"/>
  <c r="F581" i="1"/>
  <c r="D570" i="1"/>
  <c r="E570" i="1"/>
  <c r="F570" i="1"/>
  <c r="D568" i="1"/>
  <c r="E568" i="1"/>
  <c r="F544" i="1"/>
  <c r="F536" i="1"/>
  <c r="D517" i="1"/>
  <c r="E517" i="1"/>
  <c r="D503" i="1"/>
  <c r="E503" i="1"/>
  <c r="F503" i="1"/>
  <c r="F493" i="1"/>
  <c r="D487" i="1"/>
  <c r="C487" i="1"/>
  <c r="E487" i="1"/>
  <c r="D477" i="1"/>
  <c r="E477" i="1"/>
  <c r="D464" i="1"/>
  <c r="F444" i="1"/>
  <c r="D430" i="1"/>
  <c r="F430" i="1"/>
  <c r="D267" i="1"/>
  <c r="E267" i="1"/>
  <c r="F267" i="1"/>
  <c r="C267" i="1"/>
  <c r="C211" i="1"/>
  <c r="E211" i="1"/>
  <c r="F211" i="1"/>
  <c r="D211" i="1"/>
  <c r="C777" i="1"/>
  <c r="D772" i="1"/>
  <c r="C761" i="1"/>
  <c r="C749" i="1"/>
  <c r="D744" i="1"/>
  <c r="C733" i="1"/>
  <c r="D728" i="1"/>
  <c r="F722" i="1"/>
  <c r="C721" i="1"/>
  <c r="F714" i="1"/>
  <c r="C713" i="1"/>
  <c r="F706" i="1"/>
  <c r="C705" i="1"/>
  <c r="F698" i="1"/>
  <c r="C697" i="1"/>
  <c r="F690" i="1"/>
  <c r="C689" i="1"/>
  <c r="E679" i="1"/>
  <c r="D677" i="1"/>
  <c r="D675" i="1"/>
  <c r="C674" i="1"/>
  <c r="D661" i="1"/>
  <c r="F655" i="1"/>
  <c r="C654" i="1"/>
  <c r="D641" i="1"/>
  <c r="C630" i="1"/>
  <c r="D625" i="1"/>
  <c r="C614" i="1"/>
  <c r="D609" i="1"/>
  <c r="C598" i="1"/>
  <c r="D593" i="1"/>
  <c r="E585" i="1"/>
  <c r="D585" i="1"/>
  <c r="C572" i="1"/>
  <c r="D572" i="1"/>
  <c r="E569" i="1"/>
  <c r="D569" i="1"/>
  <c r="F569" i="1"/>
  <c r="D558" i="1"/>
  <c r="C558" i="1"/>
  <c r="E558" i="1"/>
  <c r="E541" i="1"/>
  <c r="F541" i="1"/>
  <c r="D538" i="1"/>
  <c r="C538" i="1"/>
  <c r="E538" i="1"/>
  <c r="D534" i="1"/>
  <c r="E534" i="1"/>
  <c r="F534" i="1"/>
  <c r="D532" i="1"/>
  <c r="E532" i="1"/>
  <c r="D526" i="1"/>
  <c r="C526" i="1"/>
  <c r="E526" i="1"/>
  <c r="C516" i="1"/>
  <c r="D516" i="1"/>
  <c r="F516" i="1"/>
  <c r="E512" i="1"/>
  <c r="D510" i="1"/>
  <c r="D507" i="1"/>
  <c r="C507" i="1"/>
  <c r="E507" i="1"/>
  <c r="D499" i="1"/>
  <c r="C499" i="1"/>
  <c r="E499" i="1"/>
  <c r="D478" i="1"/>
  <c r="F478" i="1"/>
  <c r="D457" i="1"/>
  <c r="E457" i="1"/>
  <c r="D453" i="1"/>
  <c r="E453" i="1"/>
  <c r="D447" i="1"/>
  <c r="C447" i="1"/>
  <c r="E447" i="1"/>
  <c r="C425" i="1"/>
  <c r="D425" i="1"/>
  <c r="E425" i="1"/>
  <c r="F425" i="1"/>
  <c r="E400" i="1"/>
  <c r="F400" i="1"/>
  <c r="D400" i="1"/>
  <c r="D379" i="1"/>
  <c r="C379" i="1"/>
  <c r="F379" i="1"/>
  <c r="E379" i="1"/>
  <c r="E369" i="1"/>
  <c r="F369" i="1"/>
  <c r="C369" i="1"/>
  <c r="D369" i="1"/>
  <c r="E348" i="1"/>
  <c r="D348" i="1"/>
  <c r="F348" i="1"/>
  <c r="E320" i="1"/>
  <c r="D320" i="1"/>
  <c r="F320" i="1"/>
  <c r="C297" i="1"/>
  <c r="F297" i="1"/>
  <c r="D297" i="1"/>
  <c r="E297" i="1"/>
  <c r="D240" i="1"/>
  <c r="E240" i="1"/>
  <c r="C240" i="1"/>
  <c r="F240" i="1"/>
  <c r="E221" i="1"/>
  <c r="C221" i="1"/>
  <c r="D221" i="1"/>
  <c r="F221" i="1"/>
  <c r="E565" i="1"/>
  <c r="F565" i="1"/>
  <c r="E553" i="1"/>
  <c r="F553" i="1"/>
  <c r="D546" i="1"/>
  <c r="E546" i="1"/>
  <c r="F546" i="1"/>
  <c r="D544" i="1"/>
  <c r="E544" i="1"/>
  <c r="C536" i="1"/>
  <c r="D536" i="1"/>
  <c r="E533" i="1"/>
  <c r="D533" i="1"/>
  <c r="F533" i="1"/>
  <c r="E521" i="1"/>
  <c r="F521" i="1"/>
  <c r="D493" i="1"/>
  <c r="E493" i="1"/>
  <c r="D471" i="1"/>
  <c r="C471" i="1"/>
  <c r="E471" i="1"/>
  <c r="D449" i="1"/>
  <c r="E449" i="1"/>
  <c r="E428" i="1"/>
  <c r="D428" i="1"/>
  <c r="F428" i="1"/>
  <c r="D421" i="1"/>
  <c r="C421" i="1"/>
  <c r="E421" i="1"/>
  <c r="F421" i="1"/>
  <c r="C409" i="1"/>
  <c r="D409" i="1"/>
  <c r="E409" i="1"/>
  <c r="F409" i="1"/>
  <c r="D331" i="1"/>
  <c r="C331" i="1"/>
  <c r="E331" i="1"/>
  <c r="F331" i="1"/>
  <c r="D299" i="1"/>
  <c r="E299" i="1"/>
  <c r="C299" i="1"/>
  <c r="F299" i="1"/>
  <c r="E284" i="1"/>
  <c r="F284" i="1"/>
  <c r="D284" i="1"/>
  <c r="C249" i="1"/>
  <c r="D249" i="1"/>
  <c r="E249" i="1"/>
  <c r="F249" i="1"/>
  <c r="C578" i="1"/>
  <c r="C562" i="1"/>
  <c r="C550" i="1"/>
  <c r="D537" i="1"/>
  <c r="F492" i="1"/>
  <c r="F476" i="1"/>
  <c r="C475" i="1"/>
  <c r="C467" i="1"/>
  <c r="F462" i="1"/>
  <c r="C455" i="1"/>
  <c r="D437" i="1"/>
  <c r="F434" i="1"/>
  <c r="D434" i="1"/>
  <c r="E427" i="1"/>
  <c r="D419" i="1"/>
  <c r="C419" i="1"/>
  <c r="C417" i="1"/>
  <c r="F415" i="1"/>
  <c r="E411" i="1"/>
  <c r="D403" i="1"/>
  <c r="C403" i="1"/>
  <c r="D395" i="1"/>
  <c r="C395" i="1"/>
  <c r="F395" i="1"/>
  <c r="E393" i="1"/>
  <c r="C393" i="1"/>
  <c r="D387" i="1"/>
  <c r="F387" i="1"/>
  <c r="C387" i="1"/>
  <c r="C385" i="1"/>
  <c r="E385" i="1"/>
  <c r="E368" i="1"/>
  <c r="F368" i="1"/>
  <c r="D368" i="1"/>
  <c r="E353" i="1"/>
  <c r="F353" i="1"/>
  <c r="C353" i="1"/>
  <c r="C345" i="1"/>
  <c r="D345" i="1"/>
  <c r="F345" i="1"/>
  <c r="D327" i="1"/>
  <c r="E327" i="1"/>
  <c r="C327" i="1"/>
  <c r="C325" i="1"/>
  <c r="D325" i="1"/>
  <c r="F325" i="1"/>
  <c r="E313" i="1"/>
  <c r="C313" i="1"/>
  <c r="F313" i="1"/>
  <c r="C308" i="1"/>
  <c r="F308" i="1"/>
  <c r="D308" i="1"/>
  <c r="D296" i="1"/>
  <c r="F296" i="1"/>
  <c r="E288" i="1"/>
  <c r="D288" i="1"/>
  <c r="F288" i="1"/>
  <c r="D180" i="1"/>
  <c r="E180" i="1"/>
  <c r="C180" i="1"/>
  <c r="F566" i="1"/>
  <c r="F554" i="1"/>
  <c r="F522" i="1"/>
  <c r="F495" i="1"/>
  <c r="F432" i="1"/>
  <c r="D431" i="1"/>
  <c r="C431" i="1"/>
  <c r="E420" i="1"/>
  <c r="D420" i="1"/>
  <c r="E404" i="1"/>
  <c r="D404" i="1"/>
  <c r="E380" i="1"/>
  <c r="D380" i="1"/>
  <c r="E372" i="1"/>
  <c r="D372" i="1"/>
  <c r="D357" i="1"/>
  <c r="C357" i="1"/>
  <c r="F357" i="1"/>
  <c r="E352" i="1"/>
  <c r="F352" i="1"/>
  <c r="D352" i="1"/>
  <c r="D339" i="1"/>
  <c r="E339" i="1"/>
  <c r="C339" i="1"/>
  <c r="D315" i="1"/>
  <c r="F315" i="1"/>
  <c r="C315" i="1"/>
  <c r="E306" i="1"/>
  <c r="F306" i="1"/>
  <c r="C306" i="1"/>
  <c r="C293" i="1"/>
  <c r="D293" i="1"/>
  <c r="F293" i="1"/>
  <c r="E280" i="1"/>
  <c r="D280" i="1"/>
  <c r="D273" i="1"/>
  <c r="E273" i="1"/>
  <c r="C273" i="1"/>
  <c r="E256" i="1"/>
  <c r="D256" i="1"/>
  <c r="F256" i="1"/>
  <c r="D196" i="1"/>
  <c r="E196" i="1"/>
  <c r="C196" i="1"/>
  <c r="D427" i="1"/>
  <c r="F427" i="1"/>
  <c r="D415" i="1"/>
  <c r="E415" i="1"/>
  <c r="D411" i="1"/>
  <c r="F411" i="1"/>
  <c r="E396" i="1"/>
  <c r="D396" i="1"/>
  <c r="E388" i="1"/>
  <c r="D388" i="1"/>
  <c r="E364" i="1"/>
  <c r="D364" i="1"/>
  <c r="E356" i="1"/>
  <c r="D356" i="1"/>
  <c r="F356" i="1"/>
  <c r="D321" i="1"/>
  <c r="C321" i="1"/>
  <c r="F321" i="1"/>
  <c r="E314" i="1"/>
  <c r="F314" i="1"/>
  <c r="C314" i="1"/>
  <c r="E285" i="1"/>
  <c r="F285" i="1"/>
  <c r="C285" i="1"/>
  <c r="E268" i="1"/>
  <c r="F268" i="1"/>
  <c r="D268" i="1"/>
  <c r="C261" i="1"/>
  <c r="D261" i="1"/>
  <c r="E261" i="1"/>
  <c r="D255" i="1"/>
  <c r="C255" i="1"/>
  <c r="E255" i="1"/>
  <c r="F255" i="1"/>
  <c r="C243" i="1"/>
  <c r="E243" i="1"/>
  <c r="D222" i="1"/>
  <c r="C222" i="1"/>
  <c r="F222" i="1"/>
  <c r="D212" i="1"/>
  <c r="E212" i="1"/>
  <c r="C212" i="1"/>
  <c r="C195" i="1"/>
  <c r="E195" i="1"/>
  <c r="F195" i="1"/>
  <c r="D195" i="1"/>
  <c r="E399" i="1"/>
  <c r="F384" i="1"/>
  <c r="E383" i="1"/>
  <c r="D371" i="1"/>
  <c r="C371" i="1"/>
  <c r="D355" i="1"/>
  <c r="C355" i="1"/>
  <c r="F336" i="1"/>
  <c r="E333" i="1"/>
  <c r="E332" i="1"/>
  <c r="D332" i="1"/>
  <c r="D319" i="1"/>
  <c r="C319" i="1"/>
  <c r="F316" i="1"/>
  <c r="D309" i="1"/>
  <c r="D307" i="1"/>
  <c r="F307" i="1"/>
  <c r="D301" i="1"/>
  <c r="C300" i="1"/>
  <c r="F300" i="1"/>
  <c r="D287" i="1"/>
  <c r="C287" i="1"/>
  <c r="D271" i="1"/>
  <c r="C271" i="1"/>
  <c r="E271" i="1"/>
  <c r="D257" i="1"/>
  <c r="E257" i="1"/>
  <c r="D251" i="1"/>
  <c r="E251" i="1"/>
  <c r="F251" i="1"/>
  <c r="D245" i="1"/>
  <c r="E245" i="1"/>
  <c r="E241" i="1"/>
  <c r="D241" i="1"/>
  <c r="C239" i="1"/>
  <c r="D239" i="1"/>
  <c r="F239" i="1"/>
  <c r="C232" i="1"/>
  <c r="D232" i="1"/>
  <c r="D220" i="1"/>
  <c r="E220" i="1"/>
  <c r="C197" i="1"/>
  <c r="F197" i="1"/>
  <c r="D367" i="1"/>
  <c r="E367" i="1"/>
  <c r="D363" i="1"/>
  <c r="F363" i="1"/>
  <c r="D351" i="1"/>
  <c r="E351" i="1"/>
  <c r="D347" i="1"/>
  <c r="F347" i="1"/>
  <c r="E340" i="1"/>
  <c r="F340" i="1"/>
  <c r="E328" i="1"/>
  <c r="F328" i="1"/>
  <c r="D295" i="1"/>
  <c r="F295" i="1"/>
  <c r="D283" i="1"/>
  <c r="E283" i="1"/>
  <c r="C277" i="1"/>
  <c r="D277" i="1"/>
  <c r="E272" i="1"/>
  <c r="D272" i="1"/>
  <c r="F272" i="1"/>
  <c r="F257" i="1"/>
  <c r="E252" i="1"/>
  <c r="F252" i="1"/>
  <c r="F245" i="1"/>
  <c r="C236" i="1"/>
  <c r="D236" i="1"/>
  <c r="C223" i="1"/>
  <c r="F223" i="1"/>
  <c r="C213" i="1"/>
  <c r="F213" i="1"/>
  <c r="C181" i="1"/>
  <c r="F181" i="1"/>
  <c r="F279" i="1"/>
  <c r="F263" i="1"/>
  <c r="F229" i="1"/>
  <c r="F207" i="1"/>
  <c r="F203" i="1"/>
  <c r="F191" i="1"/>
  <c r="F187" i="1"/>
  <c r="F990" i="1"/>
  <c r="F950" i="1"/>
  <c r="F922" i="1"/>
  <c r="F918" i="1"/>
  <c r="F866" i="1"/>
  <c r="F838" i="1"/>
  <c r="F822" i="1"/>
  <c r="F818" i="1"/>
  <c r="F802" i="1"/>
  <c r="F798" i="1"/>
  <c r="F750" i="1"/>
  <c r="F742" i="1"/>
  <c r="F734" i="1"/>
  <c r="E665" i="1"/>
  <c r="C665" i="1"/>
  <c r="C663" i="1"/>
  <c r="E663" i="1"/>
  <c r="E649" i="1"/>
  <c r="C649" i="1"/>
  <c r="C647" i="1"/>
  <c r="E647" i="1"/>
  <c r="C639" i="1"/>
  <c r="D639" i="1"/>
  <c r="E639" i="1"/>
  <c r="C631" i="1"/>
  <c r="D631" i="1"/>
  <c r="E631" i="1"/>
  <c r="C623" i="1"/>
  <c r="D623" i="1"/>
  <c r="E623" i="1"/>
  <c r="C615" i="1"/>
  <c r="D615" i="1"/>
  <c r="E615" i="1"/>
  <c r="C607" i="1"/>
  <c r="D607" i="1"/>
  <c r="E607" i="1"/>
  <c r="C599" i="1"/>
  <c r="D599" i="1"/>
  <c r="E599" i="1"/>
  <c r="C591" i="1"/>
  <c r="D591" i="1"/>
  <c r="E591" i="1"/>
  <c r="C583" i="1"/>
  <c r="D583" i="1"/>
  <c r="E583" i="1"/>
  <c r="C575" i="1"/>
  <c r="D575" i="1"/>
  <c r="E575" i="1"/>
  <c r="C567" i="1"/>
  <c r="D567" i="1"/>
  <c r="E567" i="1"/>
  <c r="C559" i="1"/>
  <c r="D559" i="1"/>
  <c r="E559" i="1"/>
  <c r="C551" i="1"/>
  <c r="D551" i="1"/>
  <c r="E551" i="1"/>
  <c r="C543" i="1"/>
  <c r="D543" i="1"/>
  <c r="E543" i="1"/>
  <c r="C535" i="1"/>
  <c r="D535" i="1"/>
  <c r="E535" i="1"/>
  <c r="C527" i="1"/>
  <c r="D527" i="1"/>
  <c r="E527" i="1"/>
  <c r="C519" i="1"/>
  <c r="D519" i="1"/>
  <c r="E519" i="1"/>
  <c r="E484" i="1"/>
  <c r="C484" i="1"/>
  <c r="D484" i="1"/>
  <c r="F484" i="1"/>
  <c r="E468" i="1"/>
  <c r="C468" i="1"/>
  <c r="D468" i="1"/>
  <c r="F468" i="1"/>
  <c r="C438" i="1"/>
  <c r="E438" i="1"/>
  <c r="D438" i="1"/>
  <c r="F438" i="1"/>
  <c r="C322" i="1"/>
  <c r="D322" i="1"/>
  <c r="E322" i="1"/>
  <c r="F322" i="1"/>
  <c r="D311" i="1"/>
  <c r="C311" i="1"/>
  <c r="E311" i="1"/>
  <c r="F311" i="1"/>
  <c r="C246" i="1"/>
  <c r="D246" i="1"/>
  <c r="E246" i="1"/>
  <c r="F246" i="1"/>
  <c r="F982" i="1"/>
  <c r="F978" i="1"/>
  <c r="F954" i="1"/>
  <c r="F938" i="1"/>
  <c r="F934" i="1"/>
  <c r="F882" i="1"/>
  <c r="F878" i="1"/>
  <c r="F874" i="1"/>
  <c r="F858" i="1"/>
  <c r="F806" i="1"/>
  <c r="F778" i="1"/>
  <c r="F762" i="1"/>
  <c r="F754" i="1"/>
  <c r="F746" i="1"/>
  <c r="F738" i="1"/>
  <c r="F730" i="1"/>
  <c r="F726" i="1"/>
  <c r="C1004" i="1"/>
  <c r="E1002" i="1"/>
  <c r="C1000" i="1"/>
  <c r="E998" i="1"/>
  <c r="C996" i="1"/>
  <c r="E994" i="1"/>
  <c r="C992" i="1"/>
  <c r="E990" i="1"/>
  <c r="C988" i="1"/>
  <c r="E986" i="1"/>
  <c r="C984" i="1"/>
  <c r="E982" i="1"/>
  <c r="C980" i="1"/>
  <c r="E978" i="1"/>
  <c r="C976" i="1"/>
  <c r="E974" i="1"/>
  <c r="C972" i="1"/>
  <c r="E970" i="1"/>
  <c r="C968" i="1"/>
  <c r="E966" i="1"/>
  <c r="C964" i="1"/>
  <c r="E962" i="1"/>
  <c r="C960" i="1"/>
  <c r="E958" i="1"/>
  <c r="C956" i="1"/>
  <c r="E954" i="1"/>
  <c r="C952" i="1"/>
  <c r="E950" i="1"/>
  <c r="C948" i="1"/>
  <c r="E946" i="1"/>
  <c r="C944" i="1"/>
  <c r="E942" i="1"/>
  <c r="C940" i="1"/>
  <c r="E938" i="1"/>
  <c r="C936" i="1"/>
  <c r="E934" i="1"/>
  <c r="C932" i="1"/>
  <c r="E930" i="1"/>
  <c r="C928" i="1"/>
  <c r="E926" i="1"/>
  <c r="C924" i="1"/>
  <c r="E922" i="1"/>
  <c r="C920" i="1"/>
  <c r="E918" i="1"/>
  <c r="C916" i="1"/>
  <c r="E914" i="1"/>
  <c r="C912" i="1"/>
  <c r="E910" i="1"/>
  <c r="C908" i="1"/>
  <c r="E906" i="1"/>
  <c r="C904" i="1"/>
  <c r="E902" i="1"/>
  <c r="C900" i="1"/>
  <c r="E898" i="1"/>
  <c r="C896" i="1"/>
  <c r="E894" i="1"/>
  <c r="C892" i="1"/>
  <c r="E890" i="1"/>
  <c r="C888" i="1"/>
  <c r="E886" i="1"/>
  <c r="C884" i="1"/>
  <c r="E882" i="1"/>
  <c r="C880" i="1"/>
  <c r="E878" i="1"/>
  <c r="C876" i="1"/>
  <c r="E874" i="1"/>
  <c r="C872" i="1"/>
  <c r="E870" i="1"/>
  <c r="C868" i="1"/>
  <c r="E866" i="1"/>
  <c r="C864" i="1"/>
  <c r="E862" i="1"/>
  <c r="C860" i="1"/>
  <c r="E858" i="1"/>
  <c r="C856" i="1"/>
  <c r="E854" i="1"/>
  <c r="C852" i="1"/>
  <c r="E850" i="1"/>
  <c r="C848" i="1"/>
  <c r="E846" i="1"/>
  <c r="C844" i="1"/>
  <c r="E842" i="1"/>
  <c r="C840" i="1"/>
  <c r="E838" i="1"/>
  <c r="C836" i="1"/>
  <c r="E834" i="1"/>
  <c r="C832" i="1"/>
  <c r="E830" i="1"/>
  <c r="C828" i="1"/>
  <c r="E826" i="1"/>
  <c r="C824" i="1"/>
  <c r="E822" i="1"/>
  <c r="C820" i="1"/>
  <c r="E818" i="1"/>
  <c r="C816" i="1"/>
  <c r="E814" i="1"/>
  <c r="C812" i="1"/>
  <c r="E810" i="1"/>
  <c r="C808" i="1"/>
  <c r="E806" i="1"/>
  <c r="C804" i="1"/>
  <c r="E802" i="1"/>
  <c r="C800" i="1"/>
  <c r="E798" i="1"/>
  <c r="C796" i="1"/>
  <c r="E794" i="1"/>
  <c r="C792" i="1"/>
  <c r="E790" i="1"/>
  <c r="C788" i="1"/>
  <c r="E786" i="1"/>
  <c r="C784" i="1"/>
  <c r="E782" i="1"/>
  <c r="C780" i="1"/>
  <c r="E778" i="1"/>
  <c r="C776" i="1"/>
  <c r="E774" i="1"/>
  <c r="C772" i="1"/>
  <c r="E770" i="1"/>
  <c r="C768" i="1"/>
  <c r="E766" i="1"/>
  <c r="C764" i="1"/>
  <c r="E762" i="1"/>
  <c r="C760" i="1"/>
  <c r="E758" i="1"/>
  <c r="C756" i="1"/>
  <c r="E754" i="1"/>
  <c r="C752" i="1"/>
  <c r="E750" i="1"/>
  <c r="C748" i="1"/>
  <c r="E746" i="1"/>
  <c r="C744" i="1"/>
  <c r="E742" i="1"/>
  <c r="C740" i="1"/>
  <c r="E738" i="1"/>
  <c r="C736" i="1"/>
  <c r="E734" i="1"/>
  <c r="C732" i="1"/>
  <c r="E730" i="1"/>
  <c r="C728" i="1"/>
  <c r="E726" i="1"/>
  <c r="C724" i="1"/>
  <c r="E722" i="1"/>
  <c r="C720" i="1"/>
  <c r="E718" i="1"/>
  <c r="C716" i="1"/>
  <c r="E714" i="1"/>
  <c r="C712" i="1"/>
  <c r="E710" i="1"/>
  <c r="C708" i="1"/>
  <c r="E706" i="1"/>
  <c r="C704" i="1"/>
  <c r="E702" i="1"/>
  <c r="C700" i="1"/>
  <c r="E698" i="1"/>
  <c r="C696" i="1"/>
  <c r="E694" i="1"/>
  <c r="C692" i="1"/>
  <c r="E690" i="1"/>
  <c r="C688" i="1"/>
  <c r="E686" i="1"/>
  <c r="F685" i="1"/>
  <c r="D679" i="1"/>
  <c r="C678" i="1"/>
  <c r="C677" i="1"/>
  <c r="E675" i="1"/>
  <c r="E669" i="1"/>
  <c r="C669" i="1"/>
  <c r="C667" i="1"/>
  <c r="E667" i="1"/>
  <c r="E653" i="1"/>
  <c r="C653" i="1"/>
  <c r="C651" i="1"/>
  <c r="E651" i="1"/>
  <c r="E518" i="1"/>
  <c r="C518" i="1"/>
  <c r="D518" i="1"/>
  <c r="F518" i="1"/>
  <c r="E500" i="1"/>
  <c r="C500" i="1"/>
  <c r="D500" i="1"/>
  <c r="F500" i="1"/>
  <c r="C454" i="1"/>
  <c r="E454" i="1"/>
  <c r="D454" i="1"/>
  <c r="F454" i="1"/>
  <c r="C418" i="1"/>
  <c r="D418" i="1"/>
  <c r="E418" i="1"/>
  <c r="F418" i="1"/>
  <c r="C402" i="1"/>
  <c r="D402" i="1"/>
  <c r="E402" i="1"/>
  <c r="F402" i="1"/>
  <c r="C386" i="1"/>
  <c r="D386" i="1"/>
  <c r="E386" i="1"/>
  <c r="F386" i="1"/>
  <c r="C370" i="1"/>
  <c r="D370" i="1"/>
  <c r="E370" i="1"/>
  <c r="F370" i="1"/>
  <c r="C354" i="1"/>
  <c r="D354" i="1"/>
  <c r="E354" i="1"/>
  <c r="F354" i="1"/>
  <c r="C330" i="1"/>
  <c r="D330" i="1"/>
  <c r="E330" i="1"/>
  <c r="F330" i="1"/>
  <c r="F1002" i="1"/>
  <c r="F986" i="1"/>
  <c r="F970" i="1"/>
  <c r="F966" i="1"/>
  <c r="F962" i="1"/>
  <c r="F946" i="1"/>
  <c r="F930" i="1"/>
  <c r="F910" i="1"/>
  <c r="F906" i="1"/>
  <c r="F902" i="1"/>
  <c r="F886" i="1"/>
  <c r="F870" i="1"/>
  <c r="F854" i="1"/>
  <c r="F850" i="1"/>
  <c r="F834" i="1"/>
  <c r="F830" i="1"/>
  <c r="F810" i="1"/>
  <c r="F794" i="1"/>
  <c r="F790" i="1"/>
  <c r="F774" i="1"/>
  <c r="F770" i="1"/>
  <c r="D1002" i="1"/>
  <c r="F1000" i="1"/>
  <c r="D994" i="1"/>
  <c r="F992" i="1"/>
  <c r="D986" i="1"/>
  <c r="F984" i="1"/>
  <c r="D978" i="1"/>
  <c r="F976" i="1"/>
  <c r="D970" i="1"/>
  <c r="D966" i="1"/>
  <c r="D962" i="1"/>
  <c r="D958" i="1"/>
  <c r="D954" i="1"/>
  <c r="D950" i="1"/>
  <c r="D946" i="1"/>
  <c r="D942" i="1"/>
  <c r="D938" i="1"/>
  <c r="D934" i="1"/>
  <c r="D930" i="1"/>
  <c r="D926" i="1"/>
  <c r="D922" i="1"/>
  <c r="D918" i="1"/>
  <c r="D914" i="1"/>
  <c r="D910" i="1"/>
  <c r="D906" i="1"/>
  <c r="D902" i="1"/>
  <c r="D898" i="1"/>
  <c r="D894" i="1"/>
  <c r="D890" i="1"/>
  <c r="D886" i="1"/>
  <c r="D882" i="1"/>
  <c r="D878" i="1"/>
  <c r="D874" i="1"/>
  <c r="D870" i="1"/>
  <c r="D866" i="1"/>
  <c r="D862" i="1"/>
  <c r="D858" i="1"/>
  <c r="D854" i="1"/>
  <c r="D850" i="1"/>
  <c r="D846" i="1"/>
  <c r="D842" i="1"/>
  <c r="D838" i="1"/>
  <c r="D834" i="1"/>
  <c r="D830" i="1"/>
  <c r="D826" i="1"/>
  <c r="D822" i="1"/>
  <c r="D818" i="1"/>
  <c r="D814" i="1"/>
  <c r="D810" i="1"/>
  <c r="D806" i="1"/>
  <c r="D802" i="1"/>
  <c r="D798" i="1"/>
  <c r="D794" i="1"/>
  <c r="D790" i="1"/>
  <c r="D786" i="1"/>
  <c r="D782" i="1"/>
  <c r="D778" i="1"/>
  <c r="D774" i="1"/>
  <c r="D770" i="1"/>
  <c r="D766" i="1"/>
  <c r="D762" i="1"/>
  <c r="D758" i="1"/>
  <c r="D754" i="1"/>
  <c r="D750" i="1"/>
  <c r="D746" i="1"/>
  <c r="D742" i="1"/>
  <c r="D738" i="1"/>
  <c r="D734" i="1"/>
  <c r="D730" i="1"/>
  <c r="D726" i="1"/>
  <c r="D722" i="1"/>
  <c r="D718" i="1"/>
  <c r="D714" i="1"/>
  <c r="D710" i="1"/>
  <c r="D706" i="1"/>
  <c r="D702" i="1"/>
  <c r="D698" i="1"/>
  <c r="D694" i="1"/>
  <c r="D690" i="1"/>
  <c r="D686" i="1"/>
  <c r="D685" i="1"/>
  <c r="E673" i="1"/>
  <c r="C673" i="1"/>
  <c r="C671" i="1"/>
  <c r="E671" i="1"/>
  <c r="F665" i="1"/>
  <c r="F663" i="1"/>
  <c r="E657" i="1"/>
  <c r="C657" i="1"/>
  <c r="C655" i="1"/>
  <c r="E655" i="1"/>
  <c r="F649" i="1"/>
  <c r="F647" i="1"/>
  <c r="C643" i="1"/>
  <c r="D643" i="1"/>
  <c r="E643" i="1"/>
  <c r="C635" i="1"/>
  <c r="D635" i="1"/>
  <c r="E635" i="1"/>
  <c r="C627" i="1"/>
  <c r="D627" i="1"/>
  <c r="E627" i="1"/>
  <c r="C619" i="1"/>
  <c r="D619" i="1"/>
  <c r="E619" i="1"/>
  <c r="C611" i="1"/>
  <c r="D611" i="1"/>
  <c r="E611" i="1"/>
  <c r="C603" i="1"/>
  <c r="D603" i="1"/>
  <c r="E603" i="1"/>
  <c r="C595" i="1"/>
  <c r="D595" i="1"/>
  <c r="E595" i="1"/>
  <c r="C587" i="1"/>
  <c r="D587" i="1"/>
  <c r="E587" i="1"/>
  <c r="C579" i="1"/>
  <c r="D579" i="1"/>
  <c r="E579" i="1"/>
  <c r="C571" i="1"/>
  <c r="D571" i="1"/>
  <c r="E571" i="1"/>
  <c r="C563" i="1"/>
  <c r="D563" i="1"/>
  <c r="E563" i="1"/>
  <c r="C555" i="1"/>
  <c r="D555" i="1"/>
  <c r="E555" i="1"/>
  <c r="C547" i="1"/>
  <c r="D547" i="1"/>
  <c r="E547" i="1"/>
  <c r="C539" i="1"/>
  <c r="D539" i="1"/>
  <c r="E539" i="1"/>
  <c r="C531" i="1"/>
  <c r="D531" i="1"/>
  <c r="E531" i="1"/>
  <c r="C523" i="1"/>
  <c r="D523" i="1"/>
  <c r="E523" i="1"/>
  <c r="C486" i="1"/>
  <c r="E486" i="1"/>
  <c r="D486" i="1"/>
  <c r="F486" i="1"/>
  <c r="C470" i="1"/>
  <c r="E470" i="1"/>
  <c r="D470" i="1"/>
  <c r="F470" i="1"/>
  <c r="E436" i="1"/>
  <c r="C436" i="1"/>
  <c r="D436" i="1"/>
  <c r="F436" i="1"/>
  <c r="C338" i="1"/>
  <c r="D338" i="1"/>
  <c r="E338" i="1"/>
  <c r="F338" i="1"/>
  <c r="F998" i="1"/>
  <c r="F994" i="1"/>
  <c r="F974" i="1"/>
  <c r="F958" i="1"/>
  <c r="F942" i="1"/>
  <c r="F926" i="1"/>
  <c r="F914" i="1"/>
  <c r="F898" i="1"/>
  <c r="F894" i="1"/>
  <c r="F890" i="1"/>
  <c r="F862" i="1"/>
  <c r="F846" i="1"/>
  <c r="F842" i="1"/>
  <c r="F826" i="1"/>
  <c r="F814" i="1"/>
  <c r="F786" i="1"/>
  <c r="F782" i="1"/>
  <c r="F766" i="1"/>
  <c r="F1004" i="1"/>
  <c r="D998" i="1"/>
  <c r="F996" i="1"/>
  <c r="D990" i="1"/>
  <c r="F988" i="1"/>
  <c r="D982" i="1"/>
  <c r="F980" i="1"/>
  <c r="D974" i="1"/>
  <c r="F972" i="1"/>
  <c r="C685" i="1"/>
  <c r="E683" i="1"/>
  <c r="E682" i="1"/>
  <c r="D681" i="1"/>
  <c r="F679" i="1"/>
  <c r="F678" i="1"/>
  <c r="F677" i="1"/>
  <c r="F669" i="1"/>
  <c r="D665" i="1"/>
  <c r="D663" i="1"/>
  <c r="E661" i="1"/>
  <c r="C661" i="1"/>
  <c r="C659" i="1"/>
  <c r="E659" i="1"/>
  <c r="F653" i="1"/>
  <c r="D649" i="1"/>
  <c r="D647" i="1"/>
  <c r="E645" i="1"/>
  <c r="C645" i="1"/>
  <c r="F639" i="1"/>
  <c r="F631" i="1"/>
  <c r="F623" i="1"/>
  <c r="F615" i="1"/>
  <c r="F607" i="1"/>
  <c r="F599" i="1"/>
  <c r="F591" i="1"/>
  <c r="F583" i="1"/>
  <c r="F575" i="1"/>
  <c r="F567" i="1"/>
  <c r="F559" i="1"/>
  <c r="F551" i="1"/>
  <c r="F543" i="1"/>
  <c r="F535" i="1"/>
  <c r="F527" i="1"/>
  <c r="F519" i="1"/>
  <c r="C502" i="1"/>
  <c r="E502" i="1"/>
  <c r="D502" i="1"/>
  <c r="F502" i="1"/>
  <c r="E452" i="1"/>
  <c r="C452" i="1"/>
  <c r="D452" i="1"/>
  <c r="F452" i="1"/>
  <c r="C426" i="1"/>
  <c r="D426" i="1"/>
  <c r="E426" i="1"/>
  <c r="F426" i="1"/>
  <c r="C410" i="1"/>
  <c r="D410" i="1"/>
  <c r="E410" i="1"/>
  <c r="F410" i="1"/>
  <c r="C394" i="1"/>
  <c r="D394" i="1"/>
  <c r="E394" i="1"/>
  <c r="F394" i="1"/>
  <c r="C378" i="1"/>
  <c r="D378" i="1"/>
  <c r="E378" i="1"/>
  <c r="F378" i="1"/>
  <c r="C362" i="1"/>
  <c r="D362" i="1"/>
  <c r="E362" i="1"/>
  <c r="F362" i="1"/>
  <c r="C346" i="1"/>
  <c r="D346" i="1"/>
  <c r="E346" i="1"/>
  <c r="F346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45" i="1"/>
  <c r="C541" i="1"/>
  <c r="C537" i="1"/>
  <c r="C533" i="1"/>
  <c r="C529" i="1"/>
  <c r="C525" i="1"/>
  <c r="C521" i="1"/>
  <c r="D512" i="1"/>
  <c r="C511" i="1"/>
  <c r="C510" i="1"/>
  <c r="C506" i="1"/>
  <c r="E506" i="1"/>
  <c r="E504" i="1"/>
  <c r="C504" i="1"/>
  <c r="C490" i="1"/>
  <c r="E490" i="1"/>
  <c r="E488" i="1"/>
  <c r="C488" i="1"/>
  <c r="C474" i="1"/>
  <c r="E474" i="1"/>
  <c r="E472" i="1"/>
  <c r="C472" i="1"/>
  <c r="C458" i="1"/>
  <c r="E458" i="1"/>
  <c r="E456" i="1"/>
  <c r="C456" i="1"/>
  <c r="C442" i="1"/>
  <c r="E442" i="1"/>
  <c r="E440" i="1"/>
  <c r="C440" i="1"/>
  <c r="E310" i="1"/>
  <c r="C310" i="1"/>
  <c r="D310" i="1"/>
  <c r="F310" i="1"/>
  <c r="C286" i="1"/>
  <c r="D286" i="1"/>
  <c r="E286" i="1"/>
  <c r="F286" i="1"/>
  <c r="C270" i="1"/>
  <c r="D270" i="1"/>
  <c r="E270" i="1"/>
  <c r="F270" i="1"/>
  <c r="C254" i="1"/>
  <c r="D254" i="1"/>
  <c r="E254" i="1"/>
  <c r="F254" i="1"/>
  <c r="E508" i="1"/>
  <c r="C508" i="1"/>
  <c r="C494" i="1"/>
  <c r="E494" i="1"/>
  <c r="E492" i="1"/>
  <c r="C492" i="1"/>
  <c r="C478" i="1"/>
  <c r="E478" i="1"/>
  <c r="E476" i="1"/>
  <c r="C476" i="1"/>
  <c r="C462" i="1"/>
  <c r="E462" i="1"/>
  <c r="E460" i="1"/>
  <c r="C460" i="1"/>
  <c r="C446" i="1"/>
  <c r="E446" i="1"/>
  <c r="E444" i="1"/>
  <c r="C444" i="1"/>
  <c r="C430" i="1"/>
  <c r="E430" i="1"/>
  <c r="C422" i="1"/>
  <c r="D422" i="1"/>
  <c r="E422" i="1"/>
  <c r="C414" i="1"/>
  <c r="D414" i="1"/>
  <c r="E414" i="1"/>
  <c r="C406" i="1"/>
  <c r="D406" i="1"/>
  <c r="E406" i="1"/>
  <c r="C398" i="1"/>
  <c r="D398" i="1"/>
  <c r="E398" i="1"/>
  <c r="C390" i="1"/>
  <c r="D390" i="1"/>
  <c r="E390" i="1"/>
  <c r="C382" i="1"/>
  <c r="D382" i="1"/>
  <c r="E382" i="1"/>
  <c r="C374" i="1"/>
  <c r="D374" i="1"/>
  <c r="E374" i="1"/>
  <c r="C366" i="1"/>
  <c r="D366" i="1"/>
  <c r="E366" i="1"/>
  <c r="C358" i="1"/>
  <c r="D358" i="1"/>
  <c r="E358" i="1"/>
  <c r="C350" i="1"/>
  <c r="D350" i="1"/>
  <c r="E350" i="1"/>
  <c r="C342" i="1"/>
  <c r="D342" i="1"/>
  <c r="E342" i="1"/>
  <c r="C334" i="1"/>
  <c r="D334" i="1"/>
  <c r="E334" i="1"/>
  <c r="C326" i="1"/>
  <c r="D326" i="1"/>
  <c r="E326" i="1"/>
  <c r="C318" i="1"/>
  <c r="D318" i="1"/>
  <c r="E318" i="1"/>
  <c r="E516" i="1"/>
  <c r="E515" i="1"/>
  <c r="D514" i="1"/>
  <c r="F512" i="1"/>
  <c r="F511" i="1"/>
  <c r="F510" i="1"/>
  <c r="F506" i="1"/>
  <c r="F504" i="1"/>
  <c r="C498" i="1"/>
  <c r="E498" i="1"/>
  <c r="E496" i="1"/>
  <c r="C496" i="1"/>
  <c r="F490" i="1"/>
  <c r="F488" i="1"/>
  <c r="C482" i="1"/>
  <c r="E482" i="1"/>
  <c r="E480" i="1"/>
  <c r="C480" i="1"/>
  <c r="F474" i="1"/>
  <c r="F472" i="1"/>
  <c r="C466" i="1"/>
  <c r="E466" i="1"/>
  <c r="E464" i="1"/>
  <c r="C464" i="1"/>
  <c r="F458" i="1"/>
  <c r="F456" i="1"/>
  <c r="C450" i="1"/>
  <c r="E450" i="1"/>
  <c r="E448" i="1"/>
  <c r="C448" i="1"/>
  <c r="F442" i="1"/>
  <c r="F440" i="1"/>
  <c r="C434" i="1"/>
  <c r="E434" i="1"/>
  <c r="E432" i="1"/>
  <c r="C432" i="1"/>
  <c r="C312" i="1"/>
  <c r="D312" i="1"/>
  <c r="E312" i="1"/>
  <c r="F312" i="1"/>
  <c r="C294" i="1"/>
  <c r="D294" i="1"/>
  <c r="E294" i="1"/>
  <c r="F294" i="1"/>
  <c r="C278" i="1"/>
  <c r="D278" i="1"/>
  <c r="E278" i="1"/>
  <c r="F278" i="1"/>
  <c r="C262" i="1"/>
  <c r="D262" i="1"/>
  <c r="E262" i="1"/>
  <c r="F262" i="1"/>
  <c r="C428" i="1"/>
  <c r="C424" i="1"/>
  <c r="C420" i="1"/>
  <c r="C416" i="1"/>
  <c r="C412" i="1"/>
  <c r="C408" i="1"/>
  <c r="C40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D314" i="1"/>
  <c r="D304" i="1"/>
  <c r="C303" i="1"/>
  <c r="C302" i="1"/>
  <c r="E300" i="1"/>
  <c r="C235" i="1"/>
  <c r="D235" i="1"/>
  <c r="E235" i="1"/>
  <c r="F235" i="1"/>
  <c r="D205" i="1"/>
  <c r="E205" i="1"/>
  <c r="C205" i="1"/>
  <c r="F205" i="1"/>
  <c r="D189" i="1"/>
  <c r="E189" i="1"/>
  <c r="C189" i="1"/>
  <c r="F189" i="1"/>
  <c r="C298" i="1"/>
  <c r="E298" i="1"/>
  <c r="E296" i="1"/>
  <c r="C296" i="1"/>
  <c r="C290" i="1"/>
  <c r="D290" i="1"/>
  <c r="E290" i="1"/>
  <c r="C282" i="1"/>
  <c r="D282" i="1"/>
  <c r="E282" i="1"/>
  <c r="C274" i="1"/>
  <c r="D274" i="1"/>
  <c r="E274" i="1"/>
  <c r="C266" i="1"/>
  <c r="D266" i="1"/>
  <c r="E266" i="1"/>
  <c r="C258" i="1"/>
  <c r="D258" i="1"/>
  <c r="E258" i="1"/>
  <c r="C250" i="1"/>
  <c r="D250" i="1"/>
  <c r="E250" i="1"/>
  <c r="D234" i="1"/>
  <c r="C234" i="1"/>
  <c r="E234" i="1"/>
  <c r="F234" i="1"/>
  <c r="C219" i="1"/>
  <c r="D219" i="1"/>
  <c r="E219" i="1"/>
  <c r="F219" i="1"/>
  <c r="F304" i="1"/>
  <c r="F303" i="1"/>
  <c r="F302" i="1"/>
  <c r="E233" i="1"/>
  <c r="C233" i="1"/>
  <c r="D233" i="1"/>
  <c r="F233" i="1"/>
  <c r="D218" i="1"/>
  <c r="C218" i="1"/>
  <c r="E218" i="1"/>
  <c r="F218" i="1"/>
  <c r="C202" i="1"/>
  <c r="D202" i="1"/>
  <c r="E202" i="1"/>
  <c r="F202" i="1"/>
  <c r="C186" i="1"/>
  <c r="D186" i="1"/>
  <c r="E186" i="1"/>
  <c r="F18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D243" i="1"/>
  <c r="C242" i="1"/>
  <c r="C241" i="1"/>
  <c r="E239" i="1"/>
  <c r="E238" i="1"/>
  <c r="D227" i="1"/>
  <c r="C226" i="1"/>
  <c r="C225" i="1"/>
  <c r="E223" i="1"/>
  <c r="E222" i="1"/>
  <c r="D209" i="1"/>
  <c r="E209" i="1"/>
  <c r="C206" i="1"/>
  <c r="D206" i="1"/>
  <c r="D193" i="1"/>
  <c r="E193" i="1"/>
  <c r="C190" i="1"/>
  <c r="D190" i="1"/>
  <c r="D213" i="1"/>
  <c r="E213" i="1"/>
  <c r="C210" i="1"/>
  <c r="D210" i="1"/>
  <c r="D197" i="1"/>
  <c r="E197" i="1"/>
  <c r="C194" i="1"/>
  <c r="D194" i="1"/>
  <c r="D181" i="1"/>
  <c r="E181" i="1"/>
  <c r="F243" i="1"/>
  <c r="F242" i="1"/>
  <c r="F241" i="1"/>
  <c r="E231" i="1"/>
  <c r="E230" i="1"/>
  <c r="F227" i="1"/>
  <c r="F226" i="1"/>
  <c r="F225" i="1"/>
  <c r="D217" i="1"/>
  <c r="E217" i="1"/>
  <c r="C214" i="1"/>
  <c r="D214" i="1"/>
  <c r="F209" i="1"/>
  <c r="F206" i="1"/>
  <c r="D201" i="1"/>
  <c r="E201" i="1"/>
  <c r="C198" i="1"/>
  <c r="D198" i="1"/>
  <c r="F193" i="1"/>
  <c r="F190" i="1"/>
  <c r="D185" i="1"/>
  <c r="E185" i="1"/>
  <c r="C182" i="1"/>
  <c r="D182" i="1"/>
  <c r="L83" i="5" l="1"/>
  <c r="M83" i="5" s="1"/>
  <c r="N83" i="5"/>
  <c r="L84" i="5"/>
  <c r="M84" i="5" s="1"/>
  <c r="N84" i="5"/>
  <c r="L85" i="5"/>
  <c r="M85" i="5" s="1"/>
  <c r="N85" i="5"/>
  <c r="L86" i="5"/>
  <c r="M86" i="5" s="1"/>
  <c r="N86" i="5"/>
  <c r="L87" i="5"/>
  <c r="M87" i="5" s="1"/>
  <c r="N87" i="5"/>
  <c r="L88" i="5"/>
  <c r="M88" i="5" s="1"/>
  <c r="N88" i="5"/>
  <c r="L89" i="5"/>
  <c r="M89" i="5" s="1"/>
  <c r="N89" i="5"/>
  <c r="L90" i="5"/>
  <c r="M90" i="5" s="1"/>
  <c r="N90" i="5"/>
  <c r="L91" i="5"/>
  <c r="M91" i="5" s="1"/>
  <c r="N91" i="5"/>
  <c r="L92" i="5"/>
  <c r="M92" i="5" s="1"/>
  <c r="N92" i="5"/>
  <c r="L93" i="5"/>
  <c r="M93" i="5" s="1"/>
  <c r="N93" i="5"/>
  <c r="L94" i="5"/>
  <c r="M94" i="5" s="1"/>
  <c r="N94" i="5"/>
  <c r="L95" i="5"/>
  <c r="M95" i="5" s="1"/>
  <c r="N95" i="5"/>
  <c r="L96" i="5"/>
  <c r="M96" i="5" s="1"/>
  <c r="N96" i="5"/>
  <c r="L97" i="5"/>
  <c r="M97" i="5" s="1"/>
  <c r="N97" i="5"/>
  <c r="L98" i="5"/>
  <c r="M98" i="5" s="1"/>
  <c r="N98" i="5"/>
  <c r="L99" i="5"/>
  <c r="M99" i="5" s="1"/>
  <c r="N99" i="5"/>
  <c r="L100" i="5"/>
  <c r="M100" i="5" s="1"/>
  <c r="N100" i="5"/>
  <c r="L101" i="5"/>
  <c r="M101" i="5" s="1"/>
  <c r="N101" i="5"/>
  <c r="L102" i="5"/>
  <c r="M102" i="5" s="1"/>
  <c r="N102" i="5"/>
  <c r="L103" i="5"/>
  <c r="M103" i="5" s="1"/>
  <c r="N103" i="5"/>
  <c r="L104" i="5"/>
  <c r="M104" i="5" s="1"/>
  <c r="N104" i="5"/>
  <c r="L105" i="5"/>
  <c r="M105" i="5" s="1"/>
  <c r="N105" i="5"/>
  <c r="L106" i="5"/>
  <c r="M106" i="5" s="1"/>
  <c r="N106" i="5"/>
  <c r="L107" i="5"/>
  <c r="M107" i="5" s="1"/>
  <c r="N107" i="5"/>
  <c r="L108" i="5"/>
  <c r="M108" i="5" s="1"/>
  <c r="N108" i="5"/>
  <c r="L109" i="5"/>
  <c r="M109" i="5" s="1"/>
  <c r="N109" i="5"/>
  <c r="L110" i="5"/>
  <c r="M110" i="5" s="1"/>
  <c r="N110" i="5"/>
  <c r="L111" i="5"/>
  <c r="M111" i="5" s="1"/>
  <c r="N111" i="5"/>
  <c r="L112" i="5"/>
  <c r="M112" i="5" s="1"/>
  <c r="N112" i="5"/>
  <c r="L113" i="5"/>
  <c r="M113" i="5" s="1"/>
  <c r="N113" i="5"/>
  <c r="L114" i="5"/>
  <c r="M114" i="5" s="1"/>
  <c r="N114" i="5"/>
  <c r="L115" i="5"/>
  <c r="M115" i="5" s="1"/>
  <c r="N115" i="5"/>
  <c r="L116" i="5"/>
  <c r="M116" i="5" s="1"/>
  <c r="N116" i="5"/>
  <c r="L117" i="5"/>
  <c r="M117" i="5" s="1"/>
  <c r="N117" i="5"/>
  <c r="L118" i="5"/>
  <c r="M118" i="5" s="1"/>
  <c r="N118" i="5"/>
  <c r="L119" i="5"/>
  <c r="M119" i="5" s="1"/>
  <c r="N119" i="5"/>
  <c r="L120" i="5"/>
  <c r="M120" i="5" s="1"/>
  <c r="N120" i="5"/>
  <c r="L121" i="5"/>
  <c r="M121" i="5" s="1"/>
  <c r="N121" i="5"/>
  <c r="L122" i="5"/>
  <c r="M122" i="5" s="1"/>
  <c r="N122" i="5"/>
  <c r="L123" i="5"/>
  <c r="M123" i="5" s="1"/>
  <c r="N123" i="5"/>
  <c r="L124" i="5"/>
  <c r="M124" i="5" s="1"/>
  <c r="N124" i="5"/>
  <c r="L125" i="5"/>
  <c r="M125" i="5" s="1"/>
  <c r="N125" i="5"/>
  <c r="L126" i="5"/>
  <c r="M126" i="5" s="1"/>
  <c r="N126" i="5"/>
  <c r="L127" i="5"/>
  <c r="M127" i="5" s="1"/>
  <c r="N127" i="5"/>
  <c r="L128" i="5"/>
  <c r="M128" i="5" s="1"/>
  <c r="N128" i="5"/>
  <c r="L129" i="5"/>
  <c r="M129" i="5" s="1"/>
  <c r="N129" i="5"/>
  <c r="L130" i="5"/>
  <c r="M130" i="5" s="1"/>
  <c r="N130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B1005" i="1"/>
  <c r="C1005" i="1" s="1"/>
  <c r="N82" i="5"/>
  <c r="L82" i="5"/>
  <c r="M82" i="5" s="1"/>
  <c r="K82" i="5"/>
  <c r="N81" i="5"/>
  <c r="L81" i="5"/>
  <c r="M81" i="5" s="1"/>
  <c r="K81" i="5"/>
  <c r="N80" i="5"/>
  <c r="L80" i="5"/>
  <c r="M80" i="5" s="1"/>
  <c r="K80" i="5"/>
  <c r="N79" i="5"/>
  <c r="L79" i="5"/>
  <c r="M79" i="5" s="1"/>
  <c r="K79" i="5"/>
  <c r="N78" i="5"/>
  <c r="L78" i="5"/>
  <c r="M78" i="5" s="1"/>
  <c r="K78" i="5"/>
  <c r="N77" i="5"/>
  <c r="L77" i="5"/>
  <c r="M77" i="5" s="1"/>
  <c r="K77" i="5"/>
  <c r="N76" i="5"/>
  <c r="L76" i="5"/>
  <c r="M76" i="5" s="1"/>
  <c r="K76" i="5"/>
  <c r="N75" i="5"/>
  <c r="L75" i="5"/>
  <c r="M75" i="5" s="1"/>
  <c r="K75" i="5"/>
  <c r="N74" i="5"/>
  <c r="L74" i="5"/>
  <c r="M74" i="5" s="1"/>
  <c r="K74" i="5"/>
  <c r="N73" i="5"/>
  <c r="L73" i="5"/>
  <c r="M73" i="5" s="1"/>
  <c r="K73" i="5"/>
  <c r="N72" i="5"/>
  <c r="L72" i="5"/>
  <c r="M72" i="5" s="1"/>
  <c r="K72" i="5"/>
  <c r="N71" i="5"/>
  <c r="L71" i="5"/>
  <c r="M71" i="5" s="1"/>
  <c r="K71" i="5"/>
  <c r="N70" i="5"/>
  <c r="L70" i="5"/>
  <c r="M70" i="5" s="1"/>
  <c r="K70" i="5"/>
  <c r="N69" i="5"/>
  <c r="L69" i="5"/>
  <c r="M69" i="5" s="1"/>
  <c r="K69" i="5"/>
  <c r="N68" i="5"/>
  <c r="L68" i="5"/>
  <c r="M68" i="5" s="1"/>
  <c r="K68" i="5"/>
  <c r="N67" i="5"/>
  <c r="L67" i="5"/>
  <c r="M67" i="5" s="1"/>
  <c r="K67" i="5"/>
  <c r="N66" i="5"/>
  <c r="L66" i="5"/>
  <c r="M66" i="5" s="1"/>
  <c r="K66" i="5"/>
  <c r="N65" i="5"/>
  <c r="L65" i="5"/>
  <c r="M65" i="5" s="1"/>
  <c r="K65" i="5"/>
  <c r="N64" i="5"/>
  <c r="L64" i="5"/>
  <c r="M64" i="5" s="1"/>
  <c r="K64" i="5"/>
  <c r="N63" i="5"/>
  <c r="L63" i="5"/>
  <c r="M63" i="5" s="1"/>
  <c r="K63" i="5"/>
  <c r="N62" i="5"/>
  <c r="L62" i="5"/>
  <c r="M62" i="5" s="1"/>
  <c r="K62" i="5"/>
  <c r="N61" i="5"/>
  <c r="L61" i="5"/>
  <c r="M61" i="5" s="1"/>
  <c r="K61" i="5"/>
  <c r="N60" i="5"/>
  <c r="L60" i="5"/>
  <c r="M60" i="5" s="1"/>
  <c r="K60" i="5"/>
  <c r="N59" i="5"/>
  <c r="L59" i="5"/>
  <c r="M59" i="5" s="1"/>
  <c r="K59" i="5"/>
  <c r="N58" i="5"/>
  <c r="L58" i="5"/>
  <c r="M58" i="5" s="1"/>
  <c r="K58" i="5"/>
  <c r="N57" i="5"/>
  <c r="L57" i="5"/>
  <c r="M57" i="5" s="1"/>
  <c r="K57" i="5"/>
  <c r="N56" i="5"/>
  <c r="L56" i="5"/>
  <c r="M56" i="5" s="1"/>
  <c r="K56" i="5"/>
  <c r="N55" i="5"/>
  <c r="L55" i="5"/>
  <c r="M55" i="5" s="1"/>
  <c r="K55" i="5"/>
  <c r="N54" i="5"/>
  <c r="L54" i="5"/>
  <c r="M54" i="5" s="1"/>
  <c r="K54" i="5"/>
  <c r="N53" i="5"/>
  <c r="L53" i="5"/>
  <c r="M53" i="5" s="1"/>
  <c r="K53" i="5"/>
  <c r="N52" i="5"/>
  <c r="L52" i="5"/>
  <c r="M52" i="5" s="1"/>
  <c r="K52" i="5"/>
  <c r="N51" i="5"/>
  <c r="M51" i="5"/>
  <c r="L51" i="5"/>
  <c r="K51" i="5"/>
  <c r="N50" i="5"/>
  <c r="M50" i="5"/>
  <c r="L50" i="5"/>
  <c r="K50" i="5"/>
  <c r="N49" i="5"/>
  <c r="M49" i="5"/>
  <c r="L49" i="5"/>
  <c r="K49" i="5"/>
  <c r="N48" i="5"/>
  <c r="M48" i="5"/>
  <c r="L48" i="5"/>
  <c r="K48" i="5"/>
  <c r="N47" i="5"/>
  <c r="M47" i="5"/>
  <c r="L47" i="5"/>
  <c r="K47" i="5"/>
  <c r="N46" i="5"/>
  <c r="M46" i="5"/>
  <c r="L46" i="5"/>
  <c r="K46" i="5"/>
  <c r="N45" i="5"/>
  <c r="M45" i="5"/>
  <c r="L45" i="5"/>
  <c r="K45" i="5"/>
  <c r="N44" i="5"/>
  <c r="M44" i="5"/>
  <c r="L44" i="5"/>
  <c r="K44" i="5"/>
  <c r="N43" i="5"/>
  <c r="M43" i="5"/>
  <c r="L43" i="5"/>
  <c r="K43" i="5"/>
  <c r="N42" i="5"/>
  <c r="M42" i="5"/>
  <c r="L42" i="5"/>
  <c r="K42" i="5"/>
  <c r="N41" i="5"/>
  <c r="M41" i="5"/>
  <c r="L41" i="5"/>
  <c r="K41" i="5"/>
  <c r="N40" i="5"/>
  <c r="M40" i="5"/>
  <c r="L40" i="5"/>
  <c r="K40" i="5"/>
  <c r="N39" i="5"/>
  <c r="M39" i="5"/>
  <c r="L39" i="5"/>
  <c r="K39" i="5"/>
  <c r="N38" i="5"/>
  <c r="M38" i="5"/>
  <c r="L38" i="5"/>
  <c r="K38" i="5"/>
  <c r="N37" i="5"/>
  <c r="M37" i="5"/>
  <c r="L37" i="5"/>
  <c r="K37" i="5"/>
  <c r="N36" i="5"/>
  <c r="M36" i="5"/>
  <c r="L36" i="5"/>
  <c r="K36" i="5"/>
  <c r="N35" i="5"/>
  <c r="M35" i="5"/>
  <c r="L35" i="5"/>
  <c r="K35" i="5"/>
  <c r="N34" i="5"/>
  <c r="M34" i="5"/>
  <c r="L34" i="5"/>
  <c r="K34" i="5"/>
  <c r="N33" i="5"/>
  <c r="M33" i="5"/>
  <c r="L33" i="5"/>
  <c r="K33" i="5"/>
  <c r="N32" i="5"/>
  <c r="M32" i="5"/>
  <c r="L32" i="5"/>
  <c r="K32" i="5"/>
  <c r="N31" i="5"/>
  <c r="M31" i="5"/>
  <c r="L31" i="5"/>
  <c r="K31" i="5"/>
  <c r="G2" i="5"/>
  <c r="B7" i="1" l="1"/>
  <c r="E7" i="1" s="1"/>
  <c r="E1005" i="1" l="1"/>
  <c r="K7" i="5" l="1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G62" i="1" l="1"/>
  <c r="L23" i="5" l="1"/>
  <c r="M23" i="5" s="1"/>
  <c r="N23" i="5"/>
  <c r="L24" i="5"/>
  <c r="M24" i="5" s="1"/>
  <c r="N24" i="5"/>
  <c r="L25" i="5"/>
  <c r="M25" i="5" s="1"/>
  <c r="N25" i="5"/>
  <c r="L26" i="5"/>
  <c r="M26" i="5" s="1"/>
  <c r="N26" i="5"/>
  <c r="L27" i="5"/>
  <c r="M27" i="5" s="1"/>
  <c r="N27" i="5"/>
  <c r="L28" i="5"/>
  <c r="M28" i="5" s="1"/>
  <c r="N28" i="5"/>
  <c r="L29" i="5"/>
  <c r="M29" i="5" s="1"/>
  <c r="N29" i="5"/>
  <c r="L30" i="5"/>
  <c r="M30" i="5" s="1"/>
  <c r="N30" i="5"/>
  <c r="L17" i="5" l="1"/>
  <c r="M17" i="5" s="1"/>
  <c r="N17" i="5"/>
  <c r="L18" i="5"/>
  <c r="M18" i="5" s="1"/>
  <c r="N18" i="5"/>
  <c r="L19" i="5"/>
  <c r="M19" i="5" s="1"/>
  <c r="N19" i="5"/>
  <c r="L20" i="5"/>
  <c r="M20" i="5" s="1"/>
  <c r="N20" i="5"/>
  <c r="L21" i="5"/>
  <c r="M21" i="5" s="1"/>
  <c r="N21" i="5"/>
  <c r="L22" i="5"/>
  <c r="M22" i="5" s="1"/>
  <c r="N22" i="5"/>
  <c r="G252" i="1" l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930" i="1" l="1"/>
  <c r="L930" i="1"/>
  <c r="AC1005" i="1"/>
  <c r="AC1004" i="1"/>
  <c r="Z1003" i="1"/>
  <c r="AB1002" i="1"/>
  <c r="AD1001" i="1"/>
  <c r="Z1000" i="1"/>
  <c r="AA999" i="1"/>
  <c r="AB997" i="1"/>
  <c r="AE996" i="1"/>
  <c r="Y995" i="1"/>
  <c r="AC994" i="1"/>
  <c r="AA993" i="1"/>
  <c r="AE992" i="1"/>
  <c r="AE991" i="1"/>
  <c r="AE989" i="1"/>
  <c r="Y988" i="1"/>
  <c r="AA987" i="1"/>
  <c r="V985" i="1"/>
  <c r="AC981" i="1"/>
  <c r="AC980" i="1"/>
  <c r="AD975" i="1"/>
  <c r="X974" i="1"/>
  <c r="AC973" i="1"/>
  <c r="AC972" i="1"/>
  <c r="AE971" i="1"/>
  <c r="AC970" i="1"/>
  <c r="Z969" i="1"/>
  <c r="AE968" i="1"/>
  <c r="AD967" i="1"/>
  <c r="AD966" i="1"/>
  <c r="W965" i="1"/>
  <c r="AC964" i="1"/>
  <c r="U963" i="1"/>
  <c r="AB962" i="1"/>
  <c r="AD960" i="1"/>
  <c r="AE959" i="1"/>
  <c r="AC957" i="1"/>
  <c r="X954" i="1"/>
  <c r="AA953" i="1"/>
  <c r="V952" i="1"/>
  <c r="AE951" i="1"/>
  <c r="V946" i="1"/>
  <c r="X944" i="1"/>
  <c r="V941" i="1"/>
  <c r="X940" i="1"/>
  <c r="AC938" i="1"/>
  <c r="AC937" i="1"/>
  <c r="AC934" i="1"/>
  <c r="AC933" i="1"/>
  <c r="AD932" i="1"/>
  <c r="Z930" i="1"/>
  <c r="AC929" i="1"/>
  <c r="AB927" i="1"/>
  <c r="Z926" i="1"/>
  <c r="AC925" i="1"/>
  <c r="AD924" i="1"/>
  <c r="AB923" i="1"/>
  <c r="W922" i="1"/>
  <c r="AA921" i="1"/>
  <c r="AC920" i="1"/>
  <c r="AE919" i="1"/>
  <c r="AE918" i="1"/>
  <c r="AC917" i="1"/>
  <c r="X916" i="1"/>
  <c r="AA914" i="1"/>
  <c r="U913" i="1"/>
  <c r="AC912" i="1"/>
  <c r="AD911" i="1"/>
  <c r="AC910" i="1"/>
  <c r="AC909" i="1"/>
  <c r="AC908" i="1"/>
  <c r="AA907" i="1"/>
  <c r="AC906" i="1"/>
  <c r="AC904" i="1"/>
  <c r="AA902" i="1"/>
  <c r="T900" i="1"/>
  <c r="U897" i="1"/>
  <c r="AC896" i="1"/>
  <c r="AD895" i="1"/>
  <c r="AC894" i="1"/>
  <c r="AC893" i="1"/>
  <c r="T892" i="1"/>
  <c r="AD891" i="1"/>
  <c r="AC889" i="1"/>
  <c r="AB888" i="1"/>
  <c r="AE887" i="1"/>
  <c r="AD886" i="1"/>
  <c r="AD884" i="1"/>
  <c r="AC882" i="1"/>
  <c r="AC880" i="1"/>
  <c r="AA879" i="1"/>
  <c r="AC878" i="1"/>
  <c r="AC877" i="1"/>
  <c r="AC876" i="1"/>
  <c r="AA875" i="1"/>
  <c r="AC874" i="1"/>
  <c r="AC872" i="1"/>
  <c r="AA871" i="1"/>
  <c r="AC870" i="1"/>
  <c r="U869" i="1"/>
  <c r="Y868" i="1"/>
  <c r="AE867" i="1"/>
  <c r="AC866" i="1"/>
  <c r="AC865" i="1"/>
  <c r="U864" i="1"/>
  <c r="AC863" i="1"/>
  <c r="AC862" i="1"/>
  <c r="AC861" i="1"/>
  <c r="AC860" i="1"/>
  <c r="AC859" i="1"/>
  <c r="V858" i="1"/>
  <c r="AC856" i="1"/>
  <c r="AA854" i="1"/>
  <c r="AC853" i="1"/>
  <c r="Y852" i="1"/>
  <c r="AA850" i="1"/>
  <c r="AE849" i="1"/>
  <c r="AC847" i="1"/>
  <c r="AC846" i="1"/>
  <c r="X845" i="1"/>
  <c r="AC844" i="1"/>
  <c r="AC842" i="1"/>
  <c r="AC841" i="1"/>
  <c r="AC840" i="1"/>
  <c r="AC839" i="1"/>
  <c r="AE838" i="1"/>
  <c r="Y836" i="1"/>
  <c r="AC835" i="1"/>
  <c r="AC834" i="1"/>
  <c r="AD833" i="1"/>
  <c r="U832" i="1"/>
  <c r="AC831" i="1"/>
  <c r="AC830" i="1"/>
  <c r="AC829" i="1"/>
  <c r="AC827" i="1"/>
  <c r="AC826" i="1"/>
  <c r="AC825" i="1"/>
  <c r="AC824" i="1"/>
  <c r="AE822" i="1"/>
  <c r="AC821" i="1"/>
  <c r="Y819" i="1"/>
  <c r="AC818" i="1"/>
  <c r="AC817" i="1"/>
  <c r="Y816" i="1"/>
  <c r="Y815" i="1"/>
  <c r="AD814" i="1"/>
  <c r="AC813" i="1"/>
  <c r="U812" i="1"/>
  <c r="AC811" i="1"/>
  <c r="AB810" i="1"/>
  <c r="Y809" i="1"/>
  <c r="AD807" i="1"/>
  <c r="AC806" i="1"/>
  <c r="U805" i="1"/>
  <c r="AC804" i="1"/>
  <c r="AE802" i="1"/>
  <c r="L800" i="1"/>
  <c r="AD799" i="1"/>
  <c r="AE798" i="1"/>
  <c r="AC797" i="1"/>
  <c r="AC796" i="1"/>
  <c r="AE790" i="1"/>
  <c r="AC789" i="1"/>
  <c r="V788" i="1"/>
  <c r="AD787" i="1"/>
  <c r="AE786" i="1"/>
  <c r="AC784" i="1"/>
  <c r="AE783" i="1"/>
  <c r="AC781" i="1"/>
  <c r="AC780" i="1"/>
  <c r="W779" i="1"/>
  <c r="T778" i="1"/>
  <c r="AD776" i="1"/>
  <c r="AD775" i="1"/>
  <c r="AA773" i="1"/>
  <c r="Z772" i="1"/>
  <c r="Z770" i="1"/>
  <c r="AA769" i="1"/>
  <c r="Y767" i="1"/>
  <c r="V766" i="1"/>
  <c r="AA765" i="1"/>
  <c r="Z764" i="1"/>
  <c r="AE761" i="1"/>
  <c r="AC760" i="1"/>
  <c r="W759" i="1"/>
  <c r="AE758" i="1"/>
  <c r="AC757" i="1"/>
  <c r="AC756" i="1"/>
  <c r="AD755" i="1"/>
  <c r="AE754" i="1"/>
  <c r="U753" i="1"/>
  <c r="AC752" i="1"/>
  <c r="AD751" i="1"/>
  <c r="AE750" i="1"/>
  <c r="Y749" i="1"/>
  <c r="AC748" i="1"/>
  <c r="AD747" i="1"/>
  <c r="AE746" i="1"/>
  <c r="U745" i="1"/>
  <c r="AC744" i="1"/>
  <c r="AD743" i="1"/>
  <c r="AE742" i="1"/>
  <c r="AC741" i="1"/>
  <c r="AC740" i="1"/>
  <c r="AD739" i="1"/>
  <c r="AE738" i="1"/>
  <c r="U737" i="1"/>
  <c r="AC736" i="1"/>
  <c r="AD735" i="1"/>
  <c r="AE734" i="1"/>
  <c r="AC733" i="1"/>
  <c r="AC732" i="1"/>
  <c r="AD731" i="1"/>
  <c r="AE730" i="1"/>
  <c r="AC728" i="1"/>
  <c r="AD727" i="1"/>
  <c r="AE726" i="1"/>
  <c r="AC725" i="1"/>
  <c r="AD723" i="1"/>
  <c r="AE722" i="1"/>
  <c r="AC720" i="1"/>
  <c r="AD719" i="1"/>
  <c r="AE718" i="1"/>
  <c r="AC717" i="1"/>
  <c r="Z716" i="1"/>
  <c r="AD715" i="1"/>
  <c r="AE714" i="1"/>
  <c r="U713" i="1"/>
  <c r="AC712" i="1"/>
  <c r="AD711" i="1"/>
  <c r="AE710" i="1"/>
  <c r="AC709" i="1"/>
  <c r="T708" i="1"/>
  <c r="AD707" i="1"/>
  <c r="AE706" i="1"/>
  <c r="U705" i="1"/>
  <c r="AC704" i="1"/>
  <c r="AE703" i="1"/>
  <c r="V702" i="1"/>
  <c r="AC701" i="1"/>
  <c r="AD699" i="1"/>
  <c r="AE698" i="1"/>
  <c r="AE694" i="1"/>
  <c r="AC693" i="1"/>
  <c r="Z690" i="1"/>
  <c r="AB688" i="1"/>
  <c r="AE687" i="1"/>
  <c r="X686" i="1"/>
  <c r="Y685" i="1"/>
  <c r="W683" i="1"/>
  <c r="AC680" i="1"/>
  <c r="W679" i="1"/>
  <c r="AE678" i="1"/>
  <c r="W675" i="1"/>
  <c r="AE674" i="1"/>
  <c r="L672" i="1"/>
  <c r="W671" i="1"/>
  <c r="AE670" i="1"/>
  <c r="W667" i="1"/>
  <c r="AE666" i="1"/>
  <c r="Z664" i="1"/>
  <c r="W663" i="1"/>
  <c r="AE662" i="1"/>
  <c r="AB658" i="1"/>
  <c r="U655" i="1"/>
  <c r="AC651" i="1"/>
  <c r="AC650" i="1"/>
  <c r="AD649" i="1"/>
  <c r="U647" i="1"/>
  <c r="AA645" i="1"/>
  <c r="AE644" i="1"/>
  <c r="AC643" i="1"/>
  <c r="AD641" i="1"/>
  <c r="AB640" i="1"/>
  <c r="U639" i="1"/>
  <c r="AC638" i="1"/>
  <c r="AD637" i="1"/>
  <c r="AC636" i="1"/>
  <c r="AC635" i="1"/>
  <c r="L634" i="1"/>
  <c r="AE633" i="1"/>
  <c r="AB632" i="1"/>
  <c r="L630" i="1"/>
  <c r="AD629" i="1"/>
  <c r="AC628" i="1"/>
  <c r="AC627" i="1"/>
  <c r="T626" i="1"/>
  <c r="AD625" i="1"/>
  <c r="AE624" i="1"/>
  <c r="AC622" i="1"/>
  <c r="AD621" i="1"/>
  <c r="T620" i="1"/>
  <c r="L618" i="1"/>
  <c r="AE617" i="1"/>
  <c r="AD616" i="1"/>
  <c r="AC614" i="1"/>
  <c r="AE613" i="1"/>
  <c r="X612" i="1"/>
  <c r="Y611" i="1"/>
  <c r="Z610" i="1"/>
  <c r="W609" i="1"/>
  <c r="Z608" i="1"/>
  <c r="AC607" i="1"/>
  <c r="Z606" i="1"/>
  <c r="AD605" i="1"/>
  <c r="AE604" i="1"/>
  <c r="Y603" i="1"/>
  <c r="AC602" i="1"/>
  <c r="AD601" i="1"/>
  <c r="AE600" i="1"/>
  <c r="AC599" i="1"/>
  <c r="AC598" i="1"/>
  <c r="AD597" i="1"/>
  <c r="AE596" i="1"/>
  <c r="AC594" i="1"/>
  <c r="AE592" i="1"/>
  <c r="AC591" i="1"/>
  <c r="AC590" i="1"/>
  <c r="AD589" i="1"/>
  <c r="AE588" i="1"/>
  <c r="W587" i="1"/>
  <c r="AC586" i="1"/>
  <c r="AE585" i="1"/>
  <c r="AE584" i="1"/>
  <c r="Y583" i="1"/>
  <c r="AC582" i="1"/>
  <c r="AE581" i="1"/>
  <c r="AE580" i="1"/>
  <c r="Y579" i="1"/>
  <c r="AC578" i="1"/>
  <c r="W577" i="1"/>
  <c r="AE576" i="1"/>
  <c r="Y575" i="1"/>
  <c r="AC574" i="1"/>
  <c r="AE572" i="1"/>
  <c r="W571" i="1"/>
  <c r="AC570" i="1"/>
  <c r="AE569" i="1"/>
  <c r="AE568" i="1"/>
  <c r="W567" i="1"/>
  <c r="AC566" i="1"/>
  <c r="AE565" i="1"/>
  <c r="AE564" i="1"/>
  <c r="AE561" i="1"/>
  <c r="Y559" i="1"/>
  <c r="Z558" i="1"/>
  <c r="U557" i="1"/>
  <c r="Y555" i="1"/>
  <c r="AE553" i="1"/>
  <c r="AC550" i="1"/>
  <c r="X546" i="1"/>
  <c r="Z544" i="1"/>
  <c r="L542" i="1"/>
  <c r="Y541" i="1"/>
  <c r="AC540" i="1"/>
  <c r="V539" i="1"/>
  <c r="AB537" i="1"/>
  <c r="AD536" i="1"/>
  <c r="AC535" i="1"/>
  <c r="AC534" i="1"/>
  <c r="AB533" i="1"/>
  <c r="AE531" i="1"/>
  <c r="AC530" i="1"/>
  <c r="AB529" i="1"/>
  <c r="Y528" i="1"/>
  <c r="AC527" i="1"/>
  <c r="AC526" i="1"/>
  <c r="AB525" i="1"/>
  <c r="AC524" i="1"/>
  <c r="AC522" i="1"/>
  <c r="AB521" i="1"/>
  <c r="V520" i="1"/>
  <c r="AC519" i="1"/>
  <c r="AC518" i="1"/>
  <c r="Y517" i="1"/>
  <c r="AC515" i="1"/>
  <c r="AA514" i="1"/>
  <c r="AB513" i="1"/>
  <c r="AD512" i="1"/>
  <c r="W511" i="1"/>
  <c r="AA510" i="1"/>
  <c r="AC508" i="1"/>
  <c r="Z507" i="1"/>
  <c r="AB505" i="1"/>
  <c r="AC503" i="1"/>
  <c r="AB501" i="1"/>
  <c r="AC500" i="1"/>
  <c r="AC499" i="1"/>
  <c r="AC498" i="1"/>
  <c r="AB497" i="1"/>
  <c r="AC495" i="1"/>
  <c r="AC494" i="1"/>
  <c r="AB493" i="1"/>
  <c r="AC491" i="1"/>
  <c r="AC490" i="1"/>
  <c r="AB489" i="1"/>
  <c r="Z488" i="1"/>
  <c r="AC487" i="1"/>
  <c r="AC486" i="1"/>
  <c r="AB485" i="1"/>
  <c r="AC484" i="1"/>
  <c r="AC483" i="1"/>
  <c r="AC482" i="1"/>
  <c r="AB481" i="1"/>
  <c r="Z480" i="1"/>
  <c r="AC479" i="1"/>
  <c r="AC478" i="1"/>
  <c r="T477" i="1"/>
  <c r="AC476" i="1"/>
  <c r="AC475" i="1"/>
  <c r="AC474" i="1"/>
  <c r="AB473" i="1"/>
  <c r="Z472" i="1"/>
  <c r="AC471" i="1"/>
  <c r="AD470" i="1"/>
  <c r="AB469" i="1"/>
  <c r="Z468" i="1"/>
  <c r="AC467" i="1"/>
  <c r="AD466" i="1"/>
  <c r="AB465" i="1"/>
  <c r="AC463" i="1"/>
  <c r="AD462" i="1"/>
  <c r="AB461" i="1"/>
  <c r="Z460" i="1"/>
  <c r="AD458" i="1"/>
  <c r="AB457" i="1"/>
  <c r="AC455" i="1"/>
  <c r="AD454" i="1"/>
  <c r="AB453" i="1"/>
  <c r="Z452" i="1"/>
  <c r="AC451" i="1"/>
  <c r="AD450" i="1"/>
  <c r="AB449" i="1"/>
  <c r="Z448" i="1"/>
  <c r="AC447" i="1"/>
  <c r="Y446" i="1"/>
  <c r="AC445" i="1"/>
  <c r="AC444" i="1"/>
  <c r="AD443" i="1"/>
  <c r="Y442" i="1"/>
  <c r="AC441" i="1"/>
  <c r="AC440" i="1"/>
  <c r="AD439" i="1"/>
  <c r="U438" i="1"/>
  <c r="AC437" i="1"/>
  <c r="AC436" i="1"/>
  <c r="AC433" i="1"/>
  <c r="AC432" i="1"/>
  <c r="AD431" i="1"/>
  <c r="AC429" i="1"/>
  <c r="AC428" i="1"/>
  <c r="AD427" i="1"/>
  <c r="Y426" i="1"/>
  <c r="AC425" i="1"/>
  <c r="AC424" i="1"/>
  <c r="AD423" i="1"/>
  <c r="AC421" i="1"/>
  <c r="AC420" i="1"/>
  <c r="AD419" i="1"/>
  <c r="AC417" i="1"/>
  <c r="AC416" i="1"/>
  <c r="AD415" i="1"/>
  <c r="AC413" i="1"/>
  <c r="AC412" i="1"/>
  <c r="AD411" i="1"/>
  <c r="AC410" i="1"/>
  <c r="AC409" i="1"/>
  <c r="AC408" i="1"/>
  <c r="AD407" i="1"/>
  <c r="AC405" i="1"/>
  <c r="AC404" i="1"/>
  <c r="AD403" i="1"/>
  <c r="AC402" i="1"/>
  <c r="AC401" i="1"/>
  <c r="AC400" i="1"/>
  <c r="AD399" i="1"/>
  <c r="AB398" i="1"/>
  <c r="Z397" i="1"/>
  <c r="AC396" i="1"/>
  <c r="AD395" i="1"/>
  <c r="AB394" i="1"/>
  <c r="Z393" i="1"/>
  <c r="AC392" i="1"/>
  <c r="AD391" i="1"/>
  <c r="AB390" i="1"/>
  <c r="Z389" i="1"/>
  <c r="AC388" i="1"/>
  <c r="AD387" i="1"/>
  <c r="AB386" i="1"/>
  <c r="AC384" i="1"/>
  <c r="AD383" i="1"/>
  <c r="AB382" i="1"/>
  <c r="Z381" i="1"/>
  <c r="AC380" i="1"/>
  <c r="AD379" i="1"/>
  <c r="AB378" i="1"/>
  <c r="Z377" i="1"/>
  <c r="AC376" i="1"/>
  <c r="AD375" i="1"/>
  <c r="AB374" i="1"/>
  <c r="Z373" i="1"/>
  <c r="AC372" i="1"/>
  <c r="AD371" i="1"/>
  <c r="AB370" i="1"/>
  <c r="Z369" i="1"/>
  <c r="AC368" i="1"/>
  <c r="AB366" i="1"/>
  <c r="Z365" i="1"/>
  <c r="AC364" i="1"/>
  <c r="AD363" i="1"/>
  <c r="AB362" i="1"/>
  <c r="Z361" i="1"/>
  <c r="AC360" i="1"/>
  <c r="AD359" i="1"/>
  <c r="AB358" i="1"/>
  <c r="Z357" i="1"/>
  <c r="AD355" i="1"/>
  <c r="AB354" i="1"/>
  <c r="Z353" i="1"/>
  <c r="AC352" i="1"/>
  <c r="AD351" i="1"/>
  <c r="X350" i="1"/>
  <c r="AC349" i="1"/>
  <c r="AC348" i="1"/>
  <c r="AD347" i="1"/>
  <c r="Y346" i="1"/>
  <c r="AC345" i="1"/>
  <c r="AC344" i="1"/>
  <c r="AD343" i="1"/>
  <c r="AB342" i="1"/>
  <c r="AC341" i="1"/>
  <c r="AC340" i="1"/>
  <c r="AD339" i="1"/>
  <c r="X338" i="1"/>
  <c r="AC336" i="1"/>
  <c r="AD335" i="1"/>
  <c r="AB334" i="1"/>
  <c r="AD331" i="1"/>
  <c r="AB330" i="1"/>
  <c r="AD327" i="1"/>
  <c r="AB326" i="1"/>
  <c r="AC324" i="1"/>
  <c r="AD323" i="1"/>
  <c r="AB322" i="1"/>
  <c r="U321" i="1"/>
  <c r="AC320" i="1"/>
  <c r="AB318" i="1"/>
  <c r="AC316" i="1"/>
  <c r="AD315" i="1"/>
  <c r="T314" i="1"/>
  <c r="AC313" i="1"/>
  <c r="AD311" i="1"/>
  <c r="T310" i="1"/>
  <c r="AC308" i="1"/>
  <c r="U305" i="1"/>
  <c r="AD303" i="1"/>
  <c r="AB302" i="1"/>
  <c r="AC300" i="1"/>
  <c r="AE299" i="1"/>
  <c r="T298" i="1"/>
  <c r="U297" i="1"/>
  <c r="V292" i="1"/>
  <c r="AA291" i="1"/>
  <c r="U289" i="1"/>
  <c r="AA287" i="1"/>
  <c r="AB286" i="1"/>
  <c r="AC284" i="1"/>
  <c r="AC283" i="1"/>
  <c r="X282" i="1"/>
  <c r="Z281" i="1"/>
  <c r="AC276" i="1"/>
  <c r="AC275" i="1"/>
  <c r="AD273" i="1"/>
  <c r="AC272" i="1"/>
  <c r="V271" i="1"/>
  <c r="W268" i="1"/>
  <c r="AB266" i="1"/>
  <c r="V265" i="1"/>
  <c r="AC264" i="1"/>
  <c r="AC263" i="1"/>
  <c r="AB262" i="1"/>
  <c r="AC259" i="1"/>
  <c r="AB258" i="1"/>
  <c r="Y257" i="1"/>
  <c r="AC256" i="1"/>
  <c r="AC255" i="1"/>
  <c r="AB254" i="1"/>
  <c r="AC252" i="1"/>
  <c r="AB250" i="1"/>
  <c r="AD249" i="1"/>
  <c r="AC248" i="1"/>
  <c r="AC247" i="1"/>
  <c r="AC245" i="1"/>
  <c r="AC244" i="1"/>
  <c r="AC243" i="1"/>
  <c r="AB242" i="1"/>
  <c r="AD241" i="1"/>
  <c r="AC240" i="1"/>
  <c r="AC239" i="1"/>
  <c r="U238" i="1"/>
  <c r="Y237" i="1"/>
  <c r="U234" i="1"/>
  <c r="X233" i="1"/>
  <c r="AA232" i="1"/>
  <c r="U230" i="1"/>
  <c r="AD229" i="1"/>
  <c r="Y228" i="1"/>
  <c r="AC227" i="1"/>
  <c r="AC225" i="1"/>
  <c r="AD224" i="1"/>
  <c r="AC223" i="1"/>
  <c r="AC222" i="1"/>
  <c r="AC221" i="1"/>
  <c r="AD220" i="1"/>
  <c r="AC219" i="1"/>
  <c r="AC217" i="1"/>
  <c r="AD216" i="1"/>
  <c r="AC215" i="1"/>
  <c r="AC214" i="1"/>
  <c r="AB213" i="1"/>
  <c r="AD212" i="1"/>
  <c r="AC211" i="1"/>
  <c r="AC209" i="1"/>
  <c r="AD208" i="1"/>
  <c r="AC207" i="1"/>
  <c r="AC206" i="1"/>
  <c r="AC203" i="1"/>
  <c r="AC202" i="1"/>
  <c r="AC201" i="1"/>
  <c r="AC199" i="1"/>
  <c r="AC198" i="1"/>
  <c r="AE197" i="1"/>
  <c r="AD196" i="1"/>
  <c r="AC195" i="1"/>
  <c r="AD194" i="1"/>
  <c r="T193" i="1"/>
  <c r="AD192" i="1"/>
  <c r="AC191" i="1"/>
  <c r="AC190" i="1"/>
  <c r="AC189" i="1"/>
  <c r="AC187" i="1"/>
  <c r="AC186" i="1"/>
  <c r="AC185" i="1"/>
  <c r="X184" i="1"/>
  <c r="AC183" i="1"/>
  <c r="Z182" i="1"/>
  <c r="AD180" i="1"/>
  <c r="Y179" i="1"/>
  <c r="Z178" i="1"/>
  <c r="AC177" i="1"/>
  <c r="AD176" i="1"/>
  <c r="Y175" i="1"/>
  <c r="Z174" i="1"/>
  <c r="AC173" i="1"/>
  <c r="AD172" i="1"/>
  <c r="Y171" i="1"/>
  <c r="Z170" i="1"/>
  <c r="AC169" i="1"/>
  <c r="AD168" i="1"/>
  <c r="Y167" i="1"/>
  <c r="Z166" i="1"/>
  <c r="AC165" i="1"/>
  <c r="AD164" i="1"/>
  <c r="Y163" i="1"/>
  <c r="Z162" i="1"/>
  <c r="AC161" i="1"/>
  <c r="AD160" i="1"/>
  <c r="Y159" i="1"/>
  <c r="Z158" i="1"/>
  <c r="AC157" i="1"/>
  <c r="AD156" i="1"/>
  <c r="AC153" i="1"/>
  <c r="AD152" i="1"/>
  <c r="Y151" i="1"/>
  <c r="Y150" i="1"/>
  <c r="AC149" i="1"/>
  <c r="AD148" i="1"/>
  <c r="Y147" i="1"/>
  <c r="Y146" i="1"/>
  <c r="AC145" i="1"/>
  <c r="AD144" i="1"/>
  <c r="Y143" i="1"/>
  <c r="Y142" i="1"/>
  <c r="AC141" i="1"/>
  <c r="AD140" i="1"/>
  <c r="Y138" i="1"/>
  <c r="AC137" i="1"/>
  <c r="AD136" i="1"/>
  <c r="Y135" i="1"/>
  <c r="Y134" i="1"/>
  <c r="AC133" i="1"/>
  <c r="AD132" i="1"/>
  <c r="Y130" i="1"/>
  <c r="AC129" i="1"/>
  <c r="AE128" i="1"/>
  <c r="Y127" i="1"/>
  <c r="Y126" i="1"/>
  <c r="AC125" i="1"/>
  <c r="AB124" i="1"/>
  <c r="Y123" i="1"/>
  <c r="Z122" i="1"/>
  <c r="AC121" i="1"/>
  <c r="AD120" i="1"/>
  <c r="Y118" i="1"/>
  <c r="AC117" i="1"/>
  <c r="AD116" i="1"/>
  <c r="Y114" i="1"/>
  <c r="AC113" i="1"/>
  <c r="AD112" i="1"/>
  <c r="AB111" i="1"/>
  <c r="Y110" i="1"/>
  <c r="W109" i="1"/>
  <c r="AD108" i="1"/>
  <c r="AB107" i="1"/>
  <c r="AE105" i="1"/>
  <c r="AC104" i="1"/>
  <c r="AB103" i="1"/>
  <c r="AE101" i="1"/>
  <c r="AD100" i="1"/>
  <c r="Y99" i="1"/>
  <c r="AA97" i="1"/>
  <c r="AD96" i="1"/>
  <c r="AC95" i="1"/>
  <c r="AC93" i="1"/>
  <c r="AD92" i="1"/>
  <c r="Y91" i="1"/>
  <c r="AC90" i="1"/>
  <c r="AC89" i="1"/>
  <c r="AD88" i="1"/>
  <c r="Y87" i="1"/>
  <c r="AC86" i="1"/>
  <c r="AC85" i="1"/>
  <c r="AD84" i="1"/>
  <c r="Y83" i="1"/>
  <c r="AC81" i="1"/>
  <c r="AD80" i="1"/>
  <c r="AC77" i="1"/>
  <c r="AD76" i="1"/>
  <c r="AB75" i="1"/>
  <c r="Z74" i="1"/>
  <c r="AC73" i="1"/>
  <c r="AD72" i="1"/>
  <c r="AB71" i="1"/>
  <c r="AD70" i="1"/>
  <c r="AC69" i="1"/>
  <c r="AD68" i="1"/>
  <c r="AC65" i="1"/>
  <c r="AD64" i="1"/>
  <c r="X63" i="1"/>
  <c r="AC61" i="1"/>
  <c r="AD60" i="1"/>
  <c r="AC57" i="1"/>
  <c r="AC56" i="1"/>
  <c r="T55" i="1"/>
  <c r="AC53" i="1"/>
  <c r="AC52" i="1"/>
  <c r="T51" i="1"/>
  <c r="AC49" i="1"/>
  <c r="AC48" i="1"/>
  <c r="T47" i="1"/>
  <c r="AC45" i="1"/>
  <c r="AC44" i="1"/>
  <c r="T43" i="1"/>
  <c r="U42" i="1"/>
  <c r="AD41" i="1"/>
  <c r="AC40" i="1"/>
  <c r="AE39" i="1"/>
  <c r="AD37" i="1"/>
  <c r="AC36" i="1"/>
  <c r="AE35" i="1"/>
  <c r="AD34" i="1"/>
  <c r="AD33" i="1"/>
  <c r="AC32" i="1"/>
  <c r="Y31" i="1"/>
  <c r="AD30" i="1"/>
  <c r="AE28" i="1"/>
  <c r="T27" i="1"/>
  <c r="AC26" i="1"/>
  <c r="AD25" i="1"/>
  <c r="V24" i="1"/>
  <c r="AB22" i="1"/>
  <c r="AD21" i="1"/>
  <c r="AC20" i="1"/>
  <c r="Y19" i="1"/>
  <c r="AC18" i="1"/>
  <c r="AD17" i="1"/>
  <c r="AC16" i="1"/>
  <c r="AD13" i="1"/>
  <c r="AC12" i="1"/>
  <c r="AE11" i="1"/>
  <c r="Y10" i="1"/>
  <c r="AD8" i="1"/>
  <c r="Z8" i="1" l="1"/>
  <c r="AC19" i="1"/>
  <c r="Z401" i="1"/>
  <c r="AE975" i="1"/>
  <c r="G141" i="1"/>
  <c r="T578" i="1"/>
  <c r="AG578" i="1" s="1"/>
  <c r="V141" i="1"/>
  <c r="AD578" i="1"/>
  <c r="AD644" i="1"/>
  <c r="AB387" i="1"/>
  <c r="G176" i="1"/>
  <c r="W743" i="1"/>
  <c r="X894" i="1"/>
  <c r="AD142" i="1"/>
  <c r="X163" i="1"/>
  <c r="G209" i="1"/>
  <c r="AB283" i="1"/>
  <c r="T286" i="1"/>
  <c r="AG286" i="1" s="1"/>
  <c r="T355" i="1"/>
  <c r="AG355" i="1" s="1"/>
  <c r="Y410" i="1"/>
  <c r="AE474" i="1"/>
  <c r="AA711" i="1"/>
  <c r="L882" i="1"/>
  <c r="AB904" i="1"/>
  <c r="W37" i="1"/>
  <c r="AB355" i="1"/>
  <c r="AE420" i="1"/>
  <c r="L680" i="1"/>
  <c r="T764" i="1"/>
  <c r="AG764" i="1" s="1"/>
  <c r="V770" i="1"/>
  <c r="X882" i="1"/>
  <c r="X960" i="1"/>
  <c r="L992" i="1"/>
  <c r="AB51" i="1"/>
  <c r="AE113" i="1"/>
  <c r="W117" i="1"/>
  <c r="AD267" i="1"/>
  <c r="X351" i="1"/>
  <c r="T387" i="1"/>
  <c r="AG387" i="1" s="1"/>
  <c r="AA411" i="1"/>
  <c r="L471" i="1"/>
  <c r="V475" i="1"/>
  <c r="W559" i="1"/>
  <c r="AC565" i="1"/>
  <c r="W579" i="1"/>
  <c r="X802" i="1"/>
  <c r="L813" i="1"/>
  <c r="AA833" i="1"/>
  <c r="Z863" i="1"/>
  <c r="AD878" i="1"/>
  <c r="AB896" i="1"/>
  <c r="V920" i="1"/>
  <c r="AC922" i="1"/>
  <c r="V925" i="1"/>
  <c r="X933" i="1"/>
  <c r="AC961" i="1"/>
  <c r="W980" i="1"/>
  <c r="Y35" i="1"/>
  <c r="AA73" i="1"/>
  <c r="AD114" i="1"/>
  <c r="V125" i="1"/>
  <c r="G216" i="1"/>
  <c r="L271" i="1"/>
  <c r="V472" i="1"/>
  <c r="Y480" i="1"/>
  <c r="AB584" i="1"/>
  <c r="T686" i="1"/>
  <c r="AG686" i="1" s="1"/>
  <c r="AE779" i="1"/>
  <c r="T806" i="1"/>
  <c r="AG806" i="1" s="1"/>
  <c r="L938" i="1"/>
  <c r="L981" i="1"/>
  <c r="G53" i="1"/>
  <c r="G60" i="1"/>
  <c r="X67" i="1"/>
  <c r="T80" i="1"/>
  <c r="AG80" i="1" s="1"/>
  <c r="AD141" i="1"/>
  <c r="T175" i="1"/>
  <c r="AG175" i="1" s="1"/>
  <c r="T220" i="1"/>
  <c r="AG220" i="1" s="1"/>
  <c r="T371" i="1"/>
  <c r="AG371" i="1" s="1"/>
  <c r="AE416" i="1"/>
  <c r="Y434" i="1"/>
  <c r="L436" i="1"/>
  <c r="Z530" i="1"/>
  <c r="Y533" i="1"/>
  <c r="L708" i="1"/>
  <c r="AB742" i="1"/>
  <c r="W769" i="1"/>
  <c r="AE773" i="1"/>
  <c r="L786" i="1"/>
  <c r="AB804" i="1"/>
  <c r="L867" i="1"/>
  <c r="X896" i="1"/>
  <c r="T962" i="1"/>
  <c r="AG962" i="1" s="1"/>
  <c r="AD200" i="1"/>
  <c r="AC261" i="1"/>
  <c r="U261" i="1"/>
  <c r="AB549" i="1"/>
  <c r="T549" i="1"/>
  <c r="AG549" i="1" s="1"/>
  <c r="AE945" i="1"/>
  <c r="T945" i="1"/>
  <c r="AG945" i="1" s="1"/>
  <c r="AD977" i="1"/>
  <c r="Y977" i="1"/>
  <c r="G25" i="1"/>
  <c r="Y27" i="1"/>
  <c r="AB36" i="1"/>
  <c r="AD42" i="1"/>
  <c r="AA60" i="1"/>
  <c r="AD118" i="1"/>
  <c r="AD126" i="1"/>
  <c r="AC236" i="1"/>
  <c r="AA236" i="1"/>
  <c r="AC251" i="1"/>
  <c r="AE279" i="1"/>
  <c r="T294" i="1"/>
  <c r="AG294" i="1" s="1"/>
  <c r="Y294" i="1"/>
  <c r="AC304" i="1"/>
  <c r="AD319" i="1"/>
  <c r="AD367" i="1"/>
  <c r="AD496" i="1"/>
  <c r="AC648" i="1"/>
  <c r="AC684" i="1"/>
  <c r="V684" i="1"/>
  <c r="Y801" i="1"/>
  <c r="AC801" i="1"/>
  <c r="L851" i="1"/>
  <c r="V851" i="1"/>
  <c r="AC890" i="1"/>
  <c r="X890" i="1"/>
  <c r="AD958" i="1"/>
  <c r="X958" i="1"/>
  <c r="Z193" i="1"/>
  <c r="AC210" i="1"/>
  <c r="Y278" i="1"/>
  <c r="AD307" i="1"/>
  <c r="AA307" i="1"/>
  <c r="Z385" i="1"/>
  <c r="AD983" i="1"/>
  <c r="X983" i="1"/>
  <c r="AC990" i="1"/>
  <c r="X990" i="1"/>
  <c r="T16" i="1"/>
  <c r="AG16" i="1" s="1"/>
  <c r="Z16" i="1"/>
  <c r="T19" i="1"/>
  <c r="AG19" i="1" s="1"/>
  <c r="T20" i="1"/>
  <c r="AG20" i="1" s="1"/>
  <c r="V25" i="1"/>
  <c r="X26" i="1"/>
  <c r="T35" i="1"/>
  <c r="AG35" i="1" s="1"/>
  <c r="AB55" i="1"/>
  <c r="T67" i="1"/>
  <c r="AG67" i="1" s="1"/>
  <c r="G81" i="1"/>
  <c r="Z89" i="1"/>
  <c r="AE117" i="1"/>
  <c r="V121" i="1"/>
  <c r="T156" i="1"/>
  <c r="AG156" i="1" s="1"/>
  <c r="AD184" i="1"/>
  <c r="G184" i="1"/>
  <c r="AC218" i="1"/>
  <c r="AC280" i="1"/>
  <c r="L280" i="1"/>
  <c r="AC292" i="1"/>
  <c r="AA295" i="1"/>
  <c r="W295" i="1"/>
  <c r="AC312" i="1"/>
  <c r="AC328" i="1"/>
  <c r="AD328" i="1"/>
  <c r="V328" i="1"/>
  <c r="AC332" i="1"/>
  <c r="V332" i="1"/>
  <c r="AC356" i="1"/>
  <c r="W356" i="1"/>
  <c r="AC459" i="1"/>
  <c r="W459" i="1"/>
  <c r="Y551" i="1"/>
  <c r="W551" i="1"/>
  <c r="AD593" i="1"/>
  <c r="W593" i="1"/>
  <c r="AD695" i="1"/>
  <c r="W695" i="1"/>
  <c r="AC724" i="1"/>
  <c r="AD724" i="1"/>
  <c r="Y763" i="1"/>
  <c r="AE883" i="1"/>
  <c r="AA883" i="1"/>
  <c r="AD928" i="1"/>
  <c r="T928" i="1"/>
  <c r="AG928" i="1" s="1"/>
  <c r="AB936" i="1"/>
  <c r="T936" i="1"/>
  <c r="AG936" i="1" s="1"/>
  <c r="AC976" i="1"/>
  <c r="AE976" i="1"/>
  <c r="AA976" i="1"/>
  <c r="W976" i="1"/>
  <c r="AE979" i="1"/>
  <c r="W979" i="1"/>
  <c r="AE20" i="1"/>
  <c r="AC25" i="1"/>
  <c r="AD26" i="1"/>
  <c r="Y154" i="1"/>
  <c r="AC181" i="1"/>
  <c r="T181" i="1"/>
  <c r="AG181" i="1" s="1"/>
  <c r="AD188" i="1"/>
  <c r="T188" i="1"/>
  <c r="AG188" i="1" s="1"/>
  <c r="AC213" i="1"/>
  <c r="AC260" i="1"/>
  <c r="AC277" i="1"/>
  <c r="U277" i="1"/>
  <c r="AC296" i="1"/>
  <c r="Z296" i="1"/>
  <c r="AB306" i="1"/>
  <c r="Y306" i="1"/>
  <c r="T306" i="1"/>
  <c r="AG306" i="1" s="1"/>
  <c r="AD435" i="1"/>
  <c r="AA435" i="1"/>
  <c r="Z456" i="1"/>
  <c r="Y456" i="1"/>
  <c r="Z464" i="1"/>
  <c r="X774" i="1"/>
  <c r="V774" i="1"/>
  <c r="AD791" i="1"/>
  <c r="AC808" i="1"/>
  <c r="AD808" i="1"/>
  <c r="AC828" i="1"/>
  <c r="Y828" i="1"/>
  <c r="AC837" i="1"/>
  <c r="AB837" i="1"/>
  <c r="AD948" i="1"/>
  <c r="V976" i="1"/>
  <c r="X176" i="1"/>
  <c r="AD209" i="1"/>
  <c r="Z225" i="1"/>
  <c r="AC229" i="1"/>
  <c r="X255" i="1"/>
  <c r="T283" i="1"/>
  <c r="AG283" i="1" s="1"/>
  <c r="X399" i="1"/>
  <c r="Z806" i="1"/>
  <c r="W829" i="1"/>
  <c r="W853" i="1"/>
  <c r="V896" i="1"/>
  <c r="T904" i="1"/>
  <c r="AG904" i="1" s="1"/>
  <c r="X908" i="1"/>
  <c r="AD925" i="1"/>
  <c r="X929" i="1"/>
  <c r="Z933" i="1"/>
  <c r="L962" i="1"/>
  <c r="AB992" i="1"/>
  <c r="W644" i="1"/>
  <c r="AD829" i="1"/>
  <c r="AB908" i="1"/>
  <c r="AC305" i="1"/>
  <c r="AA327" i="1"/>
  <c r="AA331" i="1"/>
  <c r="W388" i="1"/>
  <c r="AD405" i="1"/>
  <c r="AC434" i="1"/>
  <c r="L440" i="1"/>
  <c r="AD455" i="1"/>
  <c r="AA495" i="1"/>
  <c r="AB550" i="1"/>
  <c r="W555" i="1"/>
  <c r="Z592" i="1"/>
  <c r="X644" i="1"/>
  <c r="AD680" i="1"/>
  <c r="X720" i="1"/>
  <c r="W723" i="1"/>
  <c r="V738" i="1"/>
  <c r="AD786" i="1"/>
  <c r="T796" i="1"/>
  <c r="AG796" i="1" s="1"/>
  <c r="T872" i="1"/>
  <c r="AG872" i="1" s="1"/>
  <c r="L878" i="1"/>
  <c r="Z894" i="1"/>
  <c r="AD962" i="1"/>
  <c r="L973" i="1"/>
  <c r="AA33" i="1"/>
  <c r="AA49" i="1"/>
  <c r="W53" i="1"/>
  <c r="T60" i="1"/>
  <c r="AG60" i="1" s="1"/>
  <c r="W89" i="1"/>
  <c r="T108" i="1"/>
  <c r="AG108" i="1" s="1"/>
  <c r="V117" i="1"/>
  <c r="AA136" i="1"/>
  <c r="AA137" i="1"/>
  <c r="V145" i="1"/>
  <c r="AA152" i="1"/>
  <c r="Z154" i="1"/>
  <c r="G156" i="1"/>
  <c r="T160" i="1"/>
  <c r="AG160" i="1" s="1"/>
  <c r="AA164" i="1"/>
  <c r="X171" i="1"/>
  <c r="T176" i="1"/>
  <c r="AG176" i="1" s="1"/>
  <c r="T184" i="1"/>
  <c r="AG184" i="1" s="1"/>
  <c r="AC193" i="1"/>
  <c r="AE193" i="1"/>
  <c r="AB193" i="1"/>
  <c r="AD204" i="1"/>
  <c r="T204" i="1"/>
  <c r="AG204" i="1" s="1"/>
  <c r="G204" i="1"/>
  <c r="X204" i="1"/>
  <c r="AB8" i="1"/>
  <c r="Z20" i="1"/>
  <c r="V21" i="1"/>
  <c r="V22" i="1"/>
  <c r="V28" i="1"/>
  <c r="AA53" i="1"/>
  <c r="AA108" i="1"/>
  <c r="AA145" i="1"/>
  <c r="AC194" i="1"/>
  <c r="AC205" i="1"/>
  <c r="AC226" i="1"/>
  <c r="X18" i="1"/>
  <c r="AD18" i="1"/>
  <c r="AA17" i="1"/>
  <c r="AD20" i="1"/>
  <c r="AA21" i="1"/>
  <c r="AD22" i="1"/>
  <c r="W36" i="1"/>
  <c r="AE53" i="1"/>
  <c r="X76" i="1"/>
  <c r="Z81" i="1"/>
  <c r="T87" i="1"/>
  <c r="AG87" i="1" s="1"/>
  <c r="G89" i="1"/>
  <c r="AD89" i="1"/>
  <c r="AB100" i="1"/>
  <c r="W101" i="1"/>
  <c r="G108" i="1"/>
  <c r="AB108" i="1"/>
  <c r="AA112" i="1"/>
  <c r="G117" i="1"/>
  <c r="AA117" i="1"/>
  <c r="AD121" i="1"/>
  <c r="G132" i="1"/>
  <c r="AE145" i="1"/>
  <c r="Y155" i="1"/>
  <c r="X156" i="1"/>
  <c r="G169" i="1"/>
  <c r="AA180" i="1"/>
  <c r="Z181" i="1"/>
  <c r="AC231" i="1"/>
  <c r="G231" i="1"/>
  <c r="X231" i="1"/>
  <c r="AC235" i="1"/>
  <c r="T235" i="1"/>
  <c r="AG235" i="1" s="1"/>
  <c r="Z235" i="1"/>
  <c r="X132" i="1"/>
  <c r="AD146" i="1"/>
  <c r="X169" i="1"/>
  <c r="T171" i="1"/>
  <c r="AG171" i="1" s="1"/>
  <c r="AE181" i="1"/>
  <c r="AC197" i="1"/>
  <c r="T197" i="1"/>
  <c r="AG197" i="1" s="1"/>
  <c r="Z197" i="1"/>
  <c r="AE235" i="1"/>
  <c r="AA196" i="1"/>
  <c r="Z198" i="1"/>
  <c r="AB200" i="1"/>
  <c r="X216" i="1"/>
  <c r="AD218" i="1"/>
  <c r="AE225" i="1"/>
  <c r="G251" i="1"/>
  <c r="W255" i="1"/>
  <c r="V263" i="1"/>
  <c r="AE283" i="1"/>
  <c r="W284" i="1"/>
  <c r="AD292" i="1"/>
  <c r="AD296" i="1"/>
  <c r="AD332" i="1"/>
  <c r="AA335" i="1"/>
  <c r="AD340" i="1"/>
  <c r="L357" i="1"/>
  <c r="AD369" i="1"/>
  <c r="AB371" i="1"/>
  <c r="AE372" i="1"/>
  <c r="X378" i="1"/>
  <c r="AA383" i="1"/>
  <c r="L389" i="1"/>
  <c r="AA399" i="1"/>
  <c r="AA400" i="1"/>
  <c r="L401" i="1"/>
  <c r="AE403" i="1"/>
  <c r="AB407" i="1"/>
  <c r="AB431" i="1"/>
  <c r="AD432" i="1"/>
  <c r="AE440" i="1"/>
  <c r="AD444" i="1"/>
  <c r="V455" i="1"/>
  <c r="X457" i="1"/>
  <c r="AB474" i="1"/>
  <c r="AB478" i="1"/>
  <c r="Y493" i="1"/>
  <c r="X497" i="1"/>
  <c r="AD499" i="1"/>
  <c r="AC502" i="1"/>
  <c r="AA502" i="1"/>
  <c r="AB509" i="1"/>
  <c r="Y509" i="1"/>
  <c r="T546" i="1"/>
  <c r="AG546" i="1" s="1"/>
  <c r="X263" i="1"/>
  <c r="AD284" i="1"/>
  <c r="W316" i="1"/>
  <c r="AB383" i="1"/>
  <c r="AE400" i="1"/>
  <c r="V478" i="1"/>
  <c r="AD478" i="1"/>
  <c r="AD506" i="1"/>
  <c r="W506" i="1"/>
  <c r="AC531" i="1"/>
  <c r="V534" i="1"/>
  <c r="AC542" i="1"/>
  <c r="W209" i="1"/>
  <c r="T225" i="1"/>
  <c r="AG225" i="1" s="1"/>
  <c r="Y229" i="1"/>
  <c r="X251" i="1"/>
  <c r="T254" i="1"/>
  <c r="AG254" i="1" s="1"/>
  <c r="AB255" i="1"/>
  <c r="AB263" i="1"/>
  <c r="T270" i="1"/>
  <c r="AG270" i="1" s="1"/>
  <c r="AA280" i="1"/>
  <c r="X283" i="1"/>
  <c r="Y286" i="1"/>
  <c r="W296" i="1"/>
  <c r="V304" i="1"/>
  <c r="W312" i="1"/>
  <c r="Z316" i="1"/>
  <c r="AA323" i="1"/>
  <c r="V324" i="1"/>
  <c r="V336" i="1"/>
  <c r="AD353" i="1"/>
  <c r="AE356" i="1"/>
  <c r="X362" i="1"/>
  <c r="AA367" i="1"/>
  <c r="L373" i="1"/>
  <c r="AD385" i="1"/>
  <c r="AE388" i="1"/>
  <c r="X394" i="1"/>
  <c r="L397" i="1"/>
  <c r="T403" i="1"/>
  <c r="AG403" i="1" s="1"/>
  <c r="T407" i="1"/>
  <c r="AG407" i="1" s="1"/>
  <c r="AB411" i="1"/>
  <c r="L416" i="1"/>
  <c r="Z417" i="1"/>
  <c r="AA419" i="1"/>
  <c r="L420" i="1"/>
  <c r="Z421" i="1"/>
  <c r="T423" i="1"/>
  <c r="AG423" i="1" s="1"/>
  <c r="AD445" i="1"/>
  <c r="Z459" i="1"/>
  <c r="AA471" i="1"/>
  <c r="T474" i="1"/>
  <c r="AG474" i="1" s="1"/>
  <c r="AD475" i="1"/>
  <c r="W478" i="1"/>
  <c r="AE495" i="1"/>
  <c r="V496" i="1"/>
  <c r="Z504" i="1"/>
  <c r="Y504" i="1"/>
  <c r="X529" i="1"/>
  <c r="AA247" i="1"/>
  <c r="V255" i="1"/>
  <c r="AD255" i="1"/>
  <c r="Z300" i="1"/>
  <c r="AD304" i="1"/>
  <c r="AD312" i="1"/>
  <c r="Y314" i="1"/>
  <c r="AD316" i="1"/>
  <c r="Y318" i="1"/>
  <c r="AD324" i="1"/>
  <c r="AB367" i="1"/>
  <c r="W372" i="1"/>
  <c r="W403" i="1"/>
  <c r="AA407" i="1"/>
  <c r="AA416" i="1"/>
  <c r="AA420" i="1"/>
  <c r="X423" i="1"/>
  <c r="AD429" i="1"/>
  <c r="T431" i="1"/>
  <c r="AG431" i="1" s="1"/>
  <c r="V432" i="1"/>
  <c r="AD433" i="1"/>
  <c r="AE435" i="1"/>
  <c r="AE436" i="1"/>
  <c r="AA440" i="1"/>
  <c r="L441" i="1"/>
  <c r="V444" i="1"/>
  <c r="Z474" i="1"/>
  <c r="X478" i="1"/>
  <c r="X481" i="1"/>
  <c r="L487" i="1"/>
  <c r="W491" i="1"/>
  <c r="T493" i="1"/>
  <c r="AG493" i="1" s="1"/>
  <c r="T501" i="1"/>
  <c r="AG501" i="1" s="1"/>
  <c r="AC507" i="1"/>
  <c r="W507" i="1"/>
  <c r="AC523" i="1"/>
  <c r="W523" i="1"/>
  <c r="W531" i="1"/>
  <c r="Z596" i="1"/>
  <c r="U603" i="1"/>
  <c r="T604" i="1"/>
  <c r="AG604" i="1" s="1"/>
  <c r="AA605" i="1"/>
  <c r="X610" i="1"/>
  <c r="V612" i="1"/>
  <c r="AA621" i="1"/>
  <c r="X636" i="1"/>
  <c r="T644" i="1"/>
  <c r="AG644" i="1" s="1"/>
  <c r="V646" i="1"/>
  <c r="W648" i="1"/>
  <c r="X660" i="1"/>
  <c r="Z680" i="1"/>
  <c r="Z684" i="1"/>
  <c r="AA685" i="1"/>
  <c r="Z686" i="1"/>
  <c r="AD694" i="1"/>
  <c r="AA695" i="1"/>
  <c r="W699" i="1"/>
  <c r="V704" i="1"/>
  <c r="AB706" i="1"/>
  <c r="AD710" i="1"/>
  <c r="X712" i="1"/>
  <c r="W715" i="1"/>
  <c r="AA731" i="1"/>
  <c r="V732" i="1"/>
  <c r="AB734" i="1"/>
  <c r="AD746" i="1"/>
  <c r="X748" i="1"/>
  <c r="W761" i="1"/>
  <c r="W763" i="1"/>
  <c r="W773" i="1"/>
  <c r="W783" i="1"/>
  <c r="Z786" i="1"/>
  <c r="AA791" i="1"/>
  <c r="V808" i="1"/>
  <c r="AC809" i="1"/>
  <c r="W810" i="1"/>
  <c r="X813" i="1"/>
  <c r="V815" i="1"/>
  <c r="AC822" i="1"/>
  <c r="V822" i="1"/>
  <c r="L845" i="1"/>
  <c r="V604" i="1"/>
  <c r="AB648" i="1"/>
  <c r="AD684" i="1"/>
  <c r="L698" i="1"/>
  <c r="AB704" i="1"/>
  <c r="AB712" i="1"/>
  <c r="L714" i="1"/>
  <c r="X728" i="1"/>
  <c r="V730" i="1"/>
  <c r="AB732" i="1"/>
  <c r="AB748" i="1"/>
  <c r="AB760" i="1"/>
  <c r="X810" i="1"/>
  <c r="AC815" i="1"/>
  <c r="AC833" i="1"/>
  <c r="L833" i="1"/>
  <c r="AC843" i="1"/>
  <c r="AD843" i="1"/>
  <c r="AC857" i="1"/>
  <c r="X857" i="1"/>
  <c r="AD550" i="1"/>
  <c r="AE555" i="1"/>
  <c r="AE559" i="1"/>
  <c r="X564" i="1"/>
  <c r="L588" i="1"/>
  <c r="AB592" i="1"/>
  <c r="AD604" i="1"/>
  <c r="U611" i="1"/>
  <c r="AD620" i="1"/>
  <c r="T622" i="1"/>
  <c r="AG622" i="1" s="1"/>
  <c r="T684" i="1"/>
  <c r="AG684" i="1" s="1"/>
  <c r="W687" i="1"/>
  <c r="T694" i="1"/>
  <c r="AG694" i="1" s="1"/>
  <c r="Z698" i="1"/>
  <c r="L706" i="1"/>
  <c r="Z714" i="1"/>
  <c r="AD730" i="1"/>
  <c r="L734" i="1"/>
  <c r="AA747" i="1"/>
  <c r="Z774" i="1"/>
  <c r="L776" i="1"/>
  <c r="Z802" i="1"/>
  <c r="AE810" i="1"/>
  <c r="W814" i="1"/>
  <c r="AB564" i="1"/>
  <c r="AB594" i="1"/>
  <c r="L596" i="1"/>
  <c r="L610" i="1"/>
  <c r="Z618" i="1"/>
  <c r="W625" i="1"/>
  <c r="Y627" i="1"/>
  <c r="AA640" i="1"/>
  <c r="Z694" i="1"/>
  <c r="Z706" i="1"/>
  <c r="V712" i="1"/>
  <c r="Z734" i="1"/>
  <c r="V748" i="1"/>
  <c r="X752" i="1"/>
  <c r="AC823" i="1"/>
  <c r="L823" i="1"/>
  <c r="AC838" i="1"/>
  <c r="L838" i="1"/>
  <c r="AC845" i="1"/>
  <c r="AD845" i="1"/>
  <c r="AA845" i="1"/>
  <c r="AD855" i="1"/>
  <c r="V855" i="1"/>
  <c r="Z850" i="1"/>
  <c r="X853" i="1"/>
  <c r="AA866" i="1"/>
  <c r="AB868" i="1"/>
  <c r="X872" i="1"/>
  <c r="V878" i="1"/>
  <c r="AD882" i="1"/>
  <c r="AB890" i="1"/>
  <c r="W891" i="1"/>
  <c r="W895" i="1"/>
  <c r="X910" i="1"/>
  <c r="T921" i="1"/>
  <c r="AG921" i="1" s="1"/>
  <c r="AD921" i="1"/>
  <c r="V923" i="1"/>
  <c r="AB924" i="1"/>
  <c r="X925" i="1"/>
  <c r="AE925" i="1"/>
  <c r="X927" i="1"/>
  <c r="X932" i="1"/>
  <c r="Z934" i="1"/>
  <c r="X937" i="1"/>
  <c r="AE937" i="1"/>
  <c r="AA948" i="1"/>
  <c r="V964" i="1"/>
  <c r="AD964" i="1"/>
  <c r="AB967" i="1"/>
  <c r="T972" i="1"/>
  <c r="AG972" i="1" s="1"/>
  <c r="W975" i="1"/>
  <c r="AC988" i="1"/>
  <c r="Y989" i="1"/>
  <c r="L990" i="1"/>
  <c r="AD990" i="1"/>
  <c r="T992" i="1"/>
  <c r="AG992" i="1" s="1"/>
  <c r="AD996" i="1"/>
  <c r="T1003" i="1"/>
  <c r="AG1003" i="1" s="1"/>
  <c r="W1004" i="1"/>
  <c r="X829" i="1"/>
  <c r="W837" i="1"/>
  <c r="AD853" i="1"/>
  <c r="AC867" i="1"/>
  <c r="AB872" i="1"/>
  <c r="X878" i="1"/>
  <c r="L890" i="1"/>
  <c r="AD890" i="1"/>
  <c r="AA891" i="1"/>
  <c r="Y893" i="1"/>
  <c r="L894" i="1"/>
  <c r="AD894" i="1"/>
  <c r="AA895" i="1"/>
  <c r="W906" i="1"/>
  <c r="T908" i="1"/>
  <c r="AG908" i="1" s="1"/>
  <c r="AD908" i="1"/>
  <c r="AB910" i="1"/>
  <c r="W911" i="1"/>
  <c r="T912" i="1"/>
  <c r="AG912" i="1" s="1"/>
  <c r="AA919" i="1"/>
  <c r="X920" i="1"/>
  <c r="V921" i="1"/>
  <c r="AE921" i="1"/>
  <c r="X923" i="1"/>
  <c r="L925" i="1"/>
  <c r="Z925" i="1"/>
  <c r="AA928" i="1"/>
  <c r="Z929" i="1"/>
  <c r="AA932" i="1"/>
  <c r="AD934" i="1"/>
  <c r="L937" i="1"/>
  <c r="Z937" i="1"/>
  <c r="Z938" i="1"/>
  <c r="Z945" i="1"/>
  <c r="L946" i="1"/>
  <c r="X964" i="1"/>
  <c r="AE964" i="1"/>
  <c r="T967" i="1"/>
  <c r="AG967" i="1" s="1"/>
  <c r="W971" i="1"/>
  <c r="Z972" i="1"/>
  <c r="AB975" i="1"/>
  <c r="V977" i="1"/>
  <c r="W990" i="1"/>
  <c r="Z992" i="1"/>
  <c r="T996" i="1"/>
  <c r="AG996" i="1" s="1"/>
  <c r="V999" i="1"/>
  <c r="AE1004" i="1"/>
  <c r="AA862" i="1"/>
  <c r="L863" i="1"/>
  <c r="AA878" i="1"/>
  <c r="W890" i="1"/>
  <c r="T894" i="1"/>
  <c r="AG894" i="1" s="1"/>
  <c r="AE894" i="1"/>
  <c r="T896" i="1"/>
  <c r="AG896" i="1" s="1"/>
  <c r="AD896" i="1"/>
  <c r="AB906" i="1"/>
  <c r="V908" i="1"/>
  <c r="L910" i="1"/>
  <c r="AD910" i="1"/>
  <c r="AA911" i="1"/>
  <c r="AB912" i="1"/>
  <c r="X918" i="1"/>
  <c r="AB920" i="1"/>
  <c r="X921" i="1"/>
  <c r="AC923" i="1"/>
  <c r="T924" i="1"/>
  <c r="AG924" i="1" s="1"/>
  <c r="T925" i="1"/>
  <c r="AG925" i="1" s="1"/>
  <c r="AA925" i="1"/>
  <c r="Y926" i="1"/>
  <c r="AB928" i="1"/>
  <c r="L929" i="1"/>
  <c r="AD929" i="1"/>
  <c r="Y930" i="1"/>
  <c r="AB932" i="1"/>
  <c r="L933" i="1"/>
  <c r="AD933" i="1"/>
  <c r="T937" i="1"/>
  <c r="AG937" i="1" s="1"/>
  <c r="AB937" i="1"/>
  <c r="AD938" i="1"/>
  <c r="AA945" i="1"/>
  <c r="AA959" i="1"/>
  <c r="L964" i="1"/>
  <c r="Z964" i="1"/>
  <c r="X967" i="1"/>
  <c r="V969" i="1"/>
  <c r="AE972" i="1"/>
  <c r="V996" i="1"/>
  <c r="AE862" i="1"/>
  <c r="W910" i="1"/>
  <c r="T920" i="1"/>
  <c r="AG920" i="1" s="1"/>
  <c r="AD920" i="1"/>
  <c r="AD923" i="1"/>
  <c r="AA924" i="1"/>
  <c r="T929" i="1"/>
  <c r="AG929" i="1" s="1"/>
  <c r="AE929" i="1"/>
  <c r="T932" i="1"/>
  <c r="AG932" i="1" s="1"/>
  <c r="T933" i="1"/>
  <c r="AG933" i="1" s="1"/>
  <c r="AE933" i="1"/>
  <c r="L934" i="1"/>
  <c r="W937" i="1"/>
  <c r="AD937" i="1"/>
  <c r="X948" i="1"/>
  <c r="Z958" i="1"/>
  <c r="Z960" i="1"/>
  <c r="T964" i="1"/>
  <c r="AG964" i="1" s="1"/>
  <c r="AA964" i="1"/>
  <c r="AA967" i="1"/>
  <c r="Z968" i="1"/>
  <c r="T974" i="1"/>
  <c r="AG974" i="1" s="1"/>
  <c r="T975" i="1"/>
  <c r="AG975" i="1" s="1"/>
  <c r="L976" i="1"/>
  <c r="AD976" i="1"/>
  <c r="Z977" i="1"/>
  <c r="AE980" i="1"/>
  <c r="AA983" i="1"/>
  <c r="L988" i="1"/>
  <c r="T989" i="1"/>
  <c r="AG989" i="1" s="1"/>
  <c r="AB990" i="1"/>
  <c r="AA991" i="1"/>
  <c r="X994" i="1"/>
  <c r="AB996" i="1"/>
  <c r="L1005" i="1"/>
  <c r="AC15" i="1"/>
  <c r="AE15" i="1"/>
  <c r="Y23" i="1"/>
  <c r="T23" i="1"/>
  <c r="AG23" i="1" s="1"/>
  <c r="V34" i="1"/>
  <c r="T8" i="1"/>
  <c r="AG8" i="1" s="1"/>
  <c r="T15" i="1"/>
  <c r="AG15" i="1" s="1"/>
  <c r="AC24" i="1"/>
  <c r="Z24" i="1"/>
  <c r="AE24" i="1"/>
  <c r="X24" i="1"/>
  <c r="AA24" i="1"/>
  <c r="AC28" i="1"/>
  <c r="AA28" i="1"/>
  <c r="Z28" i="1"/>
  <c r="G28" i="1"/>
  <c r="AD29" i="1"/>
  <c r="V29" i="1"/>
  <c r="AD14" i="1"/>
  <c r="Y14" i="1"/>
  <c r="AC8" i="1"/>
  <c r="AE8" i="1"/>
  <c r="X8" i="1"/>
  <c r="G8" i="1"/>
  <c r="W8" i="1"/>
  <c r="AD24" i="1"/>
  <c r="T28" i="1"/>
  <c r="AG28" i="1" s="1"/>
  <c r="T24" i="1"/>
  <c r="AG24" i="1" s="1"/>
  <c r="Y34" i="1"/>
  <c r="AC34" i="1"/>
  <c r="T34" i="1"/>
  <c r="AG34" i="1" s="1"/>
  <c r="AB34" i="1"/>
  <c r="X34" i="1"/>
  <c r="Y38" i="1"/>
  <c r="Z45" i="1"/>
  <c r="W57" i="1"/>
  <c r="X60" i="1"/>
  <c r="AE65" i="1"/>
  <c r="AE68" i="1"/>
  <c r="T72" i="1"/>
  <c r="AG72" i="1" s="1"/>
  <c r="AA76" i="1"/>
  <c r="W81" i="1"/>
  <c r="X83" i="1"/>
  <c r="X84" i="1"/>
  <c r="Y90" i="1"/>
  <c r="T96" i="1"/>
  <c r="AG96" i="1" s="1"/>
  <c r="Z100" i="1"/>
  <c r="AD104" i="1"/>
  <c r="W112" i="1"/>
  <c r="AA113" i="1"/>
  <c r="T116" i="1"/>
  <c r="AG116" i="1" s="1"/>
  <c r="AD117" i="1"/>
  <c r="Z121" i="1"/>
  <c r="G125" i="1"/>
  <c r="AA129" i="1"/>
  <c r="AD130" i="1"/>
  <c r="T132" i="1"/>
  <c r="AG132" i="1" s="1"/>
  <c r="AE137" i="1"/>
  <c r="Y139" i="1"/>
  <c r="X140" i="1"/>
  <c r="AD145" i="1"/>
  <c r="X148" i="1"/>
  <c r="G157" i="1"/>
  <c r="G160" i="1"/>
  <c r="T163" i="1"/>
  <c r="AG163" i="1" s="1"/>
  <c r="T165" i="1"/>
  <c r="AG165" i="1" s="1"/>
  <c r="AE165" i="1"/>
  <c r="G168" i="1"/>
  <c r="AD169" i="1"/>
  <c r="Z173" i="1"/>
  <c r="X179" i="1"/>
  <c r="W181" i="1"/>
  <c r="G185" i="1"/>
  <c r="X188" i="1"/>
  <c r="W197" i="1"/>
  <c r="T200" i="1"/>
  <c r="AG200" i="1" s="1"/>
  <c r="AB204" i="1"/>
  <c r="X205" i="1"/>
  <c r="AD206" i="1"/>
  <c r="AA208" i="1"/>
  <c r="X209" i="1"/>
  <c r="AE209" i="1"/>
  <c r="T213" i="1"/>
  <c r="AG213" i="1" s="1"/>
  <c r="AE213" i="1"/>
  <c r="Z214" i="1"/>
  <c r="T216" i="1"/>
  <c r="AG216" i="1" s="1"/>
  <c r="G217" i="1"/>
  <c r="X220" i="1"/>
  <c r="AB225" i="1"/>
  <c r="Z227" i="1"/>
  <c r="AA228" i="1"/>
  <c r="G232" i="1"/>
  <c r="W235" i="1"/>
  <c r="W236" i="1"/>
  <c r="T246" i="1"/>
  <c r="AG246" i="1" s="1"/>
  <c r="AD247" i="1"/>
  <c r="L263" i="1"/>
  <c r="AA263" i="1"/>
  <c r="AC267" i="1"/>
  <c r="L267" i="1"/>
  <c r="AC268" i="1"/>
  <c r="AB290" i="1"/>
  <c r="Y290" i="1"/>
  <c r="T290" i="1"/>
  <c r="AG290" i="1" s="1"/>
  <c r="AE19" i="1"/>
  <c r="V38" i="1"/>
  <c r="T39" i="1"/>
  <c r="AG39" i="1" s="1"/>
  <c r="W40" i="1"/>
  <c r="W41" i="1"/>
  <c r="AA45" i="1"/>
  <c r="AB47" i="1"/>
  <c r="G49" i="1"/>
  <c r="AE49" i="1"/>
  <c r="Z57" i="1"/>
  <c r="V61" i="1"/>
  <c r="W68" i="1"/>
  <c r="X72" i="1"/>
  <c r="AA84" i="1"/>
  <c r="Y86" i="1"/>
  <c r="X96" i="1"/>
  <c r="V104" i="1"/>
  <c r="W116" i="1"/>
  <c r="W120" i="1"/>
  <c r="X123" i="1"/>
  <c r="AD129" i="1"/>
  <c r="Z138" i="1"/>
  <c r="AB140" i="1"/>
  <c r="AB148" i="1"/>
  <c r="W153" i="1"/>
  <c r="W165" i="1"/>
  <c r="T168" i="1"/>
  <c r="AG168" i="1" s="1"/>
  <c r="AB173" i="1"/>
  <c r="AB188" i="1"/>
  <c r="X200" i="1"/>
  <c r="AD205" i="1"/>
  <c r="Z209" i="1"/>
  <c r="Z210" i="1"/>
  <c r="W213" i="1"/>
  <c r="AB220" i="1"/>
  <c r="AB227" i="1"/>
  <c r="AD228" i="1"/>
  <c r="V232" i="1"/>
  <c r="Y233" i="1"/>
  <c r="V247" i="1"/>
  <c r="X250" i="1"/>
  <c r="W252" i="1"/>
  <c r="V264" i="1"/>
  <c r="Y265" i="1"/>
  <c r="AB274" i="1"/>
  <c r="AD281" i="1"/>
  <c r="Y281" i="1"/>
  <c r="AC288" i="1"/>
  <c r="V288" i="1"/>
  <c r="AD288" i="1"/>
  <c r="X22" i="1"/>
  <c r="AE16" i="1"/>
  <c r="X20" i="1"/>
  <c r="AC22" i="1"/>
  <c r="AC38" i="1"/>
  <c r="Y39" i="1"/>
  <c r="AB40" i="1"/>
  <c r="Z42" i="1"/>
  <c r="AB43" i="1"/>
  <c r="G45" i="1"/>
  <c r="AE45" i="1"/>
  <c r="W49" i="1"/>
  <c r="Z53" i="1"/>
  <c r="AA57" i="1"/>
  <c r="T59" i="1"/>
  <c r="AG59" i="1" s="1"/>
  <c r="AB60" i="1"/>
  <c r="AD61" i="1"/>
  <c r="W65" i="1"/>
  <c r="X68" i="1"/>
  <c r="AA72" i="1"/>
  <c r="V74" i="1"/>
  <c r="AB80" i="1"/>
  <c r="AD81" i="1"/>
  <c r="V89" i="1"/>
  <c r="AE89" i="1"/>
  <c r="Y94" i="1"/>
  <c r="AA96" i="1"/>
  <c r="V97" i="1"/>
  <c r="AC99" i="1"/>
  <c r="T100" i="1"/>
  <c r="AG100" i="1" s="1"/>
  <c r="X104" i="1"/>
  <c r="X108" i="1"/>
  <c r="G109" i="1"/>
  <c r="AE112" i="1"/>
  <c r="Z114" i="1"/>
  <c r="AA116" i="1"/>
  <c r="Z118" i="1"/>
  <c r="AA120" i="1"/>
  <c r="AD125" i="1"/>
  <c r="V129" i="1"/>
  <c r="AE129" i="1"/>
  <c r="AB132" i="1"/>
  <c r="W137" i="1"/>
  <c r="AD138" i="1"/>
  <c r="G140" i="1"/>
  <c r="G145" i="1"/>
  <c r="W145" i="1"/>
  <c r="Z146" i="1"/>
  <c r="G148" i="1"/>
  <c r="AA153" i="1"/>
  <c r="AB156" i="1"/>
  <c r="X157" i="1"/>
  <c r="T159" i="1"/>
  <c r="AG159" i="1" s="1"/>
  <c r="X160" i="1"/>
  <c r="Z165" i="1"/>
  <c r="X168" i="1"/>
  <c r="T173" i="1"/>
  <c r="AG173" i="1" s="1"/>
  <c r="AE173" i="1"/>
  <c r="AB176" i="1"/>
  <c r="AB181" i="1"/>
  <c r="AB184" i="1"/>
  <c r="X185" i="1"/>
  <c r="AD186" i="1"/>
  <c r="G188" i="1"/>
  <c r="W193" i="1"/>
  <c r="Z194" i="1"/>
  <c r="AB197" i="1"/>
  <c r="G200" i="1"/>
  <c r="AA200" i="1"/>
  <c r="G205" i="1"/>
  <c r="T209" i="1"/>
  <c r="AG209" i="1" s="1"/>
  <c r="AB209" i="1"/>
  <c r="AD210" i="1"/>
  <c r="Z213" i="1"/>
  <c r="AB216" i="1"/>
  <c r="X217" i="1"/>
  <c r="G220" i="1"/>
  <c r="W225" i="1"/>
  <c r="AA226" i="1"/>
  <c r="T227" i="1"/>
  <c r="AG227" i="1" s="1"/>
  <c r="AE227" i="1"/>
  <c r="X229" i="1"/>
  <c r="AD231" i="1"/>
  <c r="AC232" i="1"/>
  <c r="AB235" i="1"/>
  <c r="AD236" i="1"/>
  <c r="X237" i="1"/>
  <c r="X242" i="1"/>
  <c r="U245" i="1"/>
  <c r="X247" i="1"/>
  <c r="AD251" i="1"/>
  <c r="AE252" i="1"/>
  <c r="L255" i="1"/>
  <c r="AA255" i="1"/>
  <c r="W263" i="1"/>
  <c r="AD263" i="1"/>
  <c r="AD264" i="1"/>
  <c r="X267" i="1"/>
  <c r="AE268" i="1"/>
  <c r="AC271" i="1"/>
  <c r="AA271" i="1"/>
  <c r="X271" i="1"/>
  <c r="X274" i="1"/>
  <c r="W279" i="1"/>
  <c r="T279" i="1"/>
  <c r="AG279" i="1" s="1"/>
  <c r="Z288" i="1"/>
  <c r="W45" i="1"/>
  <c r="Z49" i="1"/>
  <c r="G57" i="1"/>
  <c r="AE57" i="1"/>
  <c r="X59" i="1"/>
  <c r="Z65" i="1"/>
  <c r="AA68" i="1"/>
  <c r="AB72" i="1"/>
  <c r="V81" i="1"/>
  <c r="AE81" i="1"/>
  <c r="T83" i="1"/>
  <c r="AG83" i="1" s="1"/>
  <c r="AB96" i="1"/>
  <c r="W100" i="1"/>
  <c r="AA104" i="1"/>
  <c r="W105" i="1"/>
  <c r="AE109" i="1"/>
  <c r="W113" i="1"/>
  <c r="AE116" i="1"/>
  <c r="AE120" i="1"/>
  <c r="G129" i="1"/>
  <c r="W129" i="1"/>
  <c r="Z130" i="1"/>
  <c r="T140" i="1"/>
  <c r="AG140" i="1" s="1"/>
  <c r="T148" i="1"/>
  <c r="AG148" i="1" s="1"/>
  <c r="AE153" i="1"/>
  <c r="AE157" i="1"/>
  <c r="AB160" i="1"/>
  <c r="AB165" i="1"/>
  <c r="AB168" i="1"/>
  <c r="W173" i="1"/>
  <c r="T179" i="1"/>
  <c r="AG179" i="1" s="1"/>
  <c r="AD185" i="1"/>
  <c r="AD217" i="1"/>
  <c r="W227" i="1"/>
  <c r="W228" i="1"/>
  <c r="AC237" i="1"/>
  <c r="AB278" i="1"/>
  <c r="T278" i="1"/>
  <c r="AG278" i="1" s="1"/>
  <c r="V281" i="1"/>
  <c r="Z320" i="1"/>
  <c r="T326" i="1"/>
  <c r="AG326" i="1" s="1"/>
  <c r="T334" i="1"/>
  <c r="AG334" i="1" s="1"/>
  <c r="Y338" i="1"/>
  <c r="AA339" i="1"/>
  <c r="X343" i="1"/>
  <c r="Y353" i="1"/>
  <c r="AB359" i="1"/>
  <c r="AB363" i="1"/>
  <c r="AE364" i="1"/>
  <c r="X367" i="1"/>
  <c r="Y369" i="1"/>
  <c r="AB375" i="1"/>
  <c r="AB379" i="1"/>
  <c r="AE380" i="1"/>
  <c r="X383" i="1"/>
  <c r="Y385" i="1"/>
  <c r="AB391" i="1"/>
  <c r="AB395" i="1"/>
  <c r="AE396" i="1"/>
  <c r="W399" i="1"/>
  <c r="W400" i="1"/>
  <c r="L403" i="1"/>
  <c r="AB403" i="1"/>
  <c r="W404" i="1"/>
  <c r="Z405" i="1"/>
  <c r="X411" i="1"/>
  <c r="L417" i="1"/>
  <c r="L421" i="1"/>
  <c r="AC426" i="1"/>
  <c r="X427" i="1"/>
  <c r="Z437" i="1"/>
  <c r="AC446" i="1"/>
  <c r="X447" i="1"/>
  <c r="AD448" i="1"/>
  <c r="AD451" i="1"/>
  <c r="X454" i="1"/>
  <c r="AD464" i="1"/>
  <c r="AD467" i="1"/>
  <c r="X470" i="1"/>
  <c r="AD479" i="1"/>
  <c r="W486" i="1"/>
  <c r="W490" i="1"/>
  <c r="V491" i="1"/>
  <c r="AE491" i="1"/>
  <c r="X498" i="1"/>
  <c r="AE498" i="1"/>
  <c r="Z520" i="1"/>
  <c r="T522" i="1"/>
  <c r="AG522" i="1" s="1"/>
  <c r="AE522" i="1"/>
  <c r="AC538" i="1"/>
  <c r="AD538" i="1"/>
  <c r="W538" i="1"/>
  <c r="T538" i="1"/>
  <c r="AG538" i="1" s="1"/>
  <c r="AE538" i="1"/>
  <c r="AC547" i="1"/>
  <c r="W547" i="1"/>
  <c r="Z547" i="1"/>
  <c r="AE547" i="1"/>
  <c r="AC554" i="1"/>
  <c r="AD554" i="1"/>
  <c r="T554" i="1"/>
  <c r="AG554" i="1" s="1"/>
  <c r="Y563" i="1"/>
  <c r="AA563" i="1"/>
  <c r="W280" i="1"/>
  <c r="L283" i="1"/>
  <c r="Z283" i="1"/>
  <c r="V284" i="1"/>
  <c r="AE284" i="1"/>
  <c r="W299" i="1"/>
  <c r="AD300" i="1"/>
  <c r="V308" i="1"/>
  <c r="V312" i="1"/>
  <c r="AE312" i="1"/>
  <c r="AD320" i="1"/>
  <c r="Y326" i="1"/>
  <c r="Z328" i="1"/>
  <c r="Y334" i="1"/>
  <c r="Z336" i="1"/>
  <c r="AB338" i="1"/>
  <c r="V340" i="1"/>
  <c r="AE340" i="1"/>
  <c r="AA343" i="1"/>
  <c r="T359" i="1"/>
  <c r="AG359" i="1" s="1"/>
  <c r="L361" i="1"/>
  <c r="T375" i="1"/>
  <c r="AG375" i="1" s="1"/>
  <c r="L377" i="1"/>
  <c r="T391" i="1"/>
  <c r="AG391" i="1" s="1"/>
  <c r="L393" i="1"/>
  <c r="AA404" i="1"/>
  <c r="AB427" i="1"/>
  <c r="L447" i="1"/>
  <c r="AA447" i="1"/>
  <c r="V451" i="1"/>
  <c r="AE451" i="1"/>
  <c r="AA454" i="1"/>
  <c r="V467" i="1"/>
  <c r="AE467" i="1"/>
  <c r="AA470" i="1"/>
  <c r="AD480" i="1"/>
  <c r="AA486" i="1"/>
  <c r="Z490" i="1"/>
  <c r="L498" i="1"/>
  <c r="Z498" i="1"/>
  <c r="V499" i="1"/>
  <c r="AE499" i="1"/>
  <c r="X522" i="1"/>
  <c r="Z523" i="1"/>
  <c r="AE530" i="1"/>
  <c r="W534" i="1"/>
  <c r="X538" i="1"/>
  <c r="AC539" i="1"/>
  <c r="Z539" i="1"/>
  <c r="W539" i="1"/>
  <c r="AC543" i="1"/>
  <c r="V543" i="1"/>
  <c r="AD543" i="1"/>
  <c r="AE552" i="1"/>
  <c r="X552" i="1"/>
  <c r="AE556" i="1"/>
  <c r="X556" i="1"/>
  <c r="L558" i="1"/>
  <c r="AE560" i="1"/>
  <c r="X560" i="1"/>
  <c r="AE563" i="1"/>
  <c r="V300" i="1"/>
  <c r="AE300" i="1"/>
  <c r="T302" i="1"/>
  <c r="AG302" i="1" s="1"/>
  <c r="AA303" i="1"/>
  <c r="Z308" i="1"/>
  <c r="T322" i="1"/>
  <c r="AG322" i="1" s="1"/>
  <c r="T330" i="1"/>
  <c r="AG330" i="1" s="1"/>
  <c r="AD336" i="1"/>
  <c r="W340" i="1"/>
  <c r="AB343" i="1"/>
  <c r="X359" i="1"/>
  <c r="Y361" i="1"/>
  <c r="L365" i="1"/>
  <c r="X375" i="1"/>
  <c r="Y377" i="1"/>
  <c r="L381" i="1"/>
  <c r="X391" i="1"/>
  <c r="Y393" i="1"/>
  <c r="L404" i="1"/>
  <c r="AD404" i="1"/>
  <c r="W435" i="1"/>
  <c r="W436" i="1"/>
  <c r="Z441" i="1"/>
  <c r="V447" i="1"/>
  <c r="AB447" i="1"/>
  <c r="W451" i="1"/>
  <c r="AD456" i="1"/>
  <c r="AD459" i="1"/>
  <c r="X462" i="1"/>
  <c r="V463" i="1"/>
  <c r="W467" i="1"/>
  <c r="W474" i="1"/>
  <c r="Z475" i="1"/>
  <c r="L478" i="1"/>
  <c r="AA478" i="1"/>
  <c r="T485" i="1"/>
  <c r="AG485" i="1" s="1"/>
  <c r="AB486" i="1"/>
  <c r="AA487" i="1"/>
  <c r="V488" i="1"/>
  <c r="AB490" i="1"/>
  <c r="Z491" i="1"/>
  <c r="L495" i="1"/>
  <c r="Z496" i="1"/>
  <c r="T498" i="1"/>
  <c r="AG498" i="1" s="1"/>
  <c r="AB498" i="1"/>
  <c r="W499" i="1"/>
  <c r="X505" i="1"/>
  <c r="AD507" i="1"/>
  <c r="V519" i="1"/>
  <c r="Z522" i="1"/>
  <c r="AE523" i="1"/>
  <c r="T525" i="1"/>
  <c r="AG525" i="1" s="1"/>
  <c r="W527" i="1"/>
  <c r="Z528" i="1"/>
  <c r="Z531" i="1"/>
  <c r="AA534" i="1"/>
  <c r="L535" i="1"/>
  <c r="V536" i="1"/>
  <c r="Z538" i="1"/>
  <c r="AD539" i="1"/>
  <c r="AB545" i="1"/>
  <c r="X545" i="1"/>
  <c r="V547" i="1"/>
  <c r="V554" i="1"/>
  <c r="AE280" i="1"/>
  <c r="W283" i="1"/>
  <c r="AD283" i="1"/>
  <c r="Z284" i="1"/>
  <c r="AC289" i="1"/>
  <c r="Z292" i="1"/>
  <c r="V296" i="1"/>
  <c r="AE296" i="1"/>
  <c r="Y298" i="1"/>
  <c r="W300" i="1"/>
  <c r="Y302" i="1"/>
  <c r="Z304" i="1"/>
  <c r="AD308" i="1"/>
  <c r="Y310" i="1"/>
  <c r="Z312" i="1"/>
  <c r="V316" i="1"/>
  <c r="AE316" i="1"/>
  <c r="T318" i="1"/>
  <c r="AG318" i="1" s="1"/>
  <c r="AA319" i="1"/>
  <c r="V320" i="1"/>
  <c r="AC321" i="1"/>
  <c r="Y322" i="1"/>
  <c r="Z324" i="1"/>
  <c r="Y330" i="1"/>
  <c r="Z332" i="1"/>
  <c r="T338" i="1"/>
  <c r="AG338" i="1" s="1"/>
  <c r="Z340" i="1"/>
  <c r="T343" i="1"/>
  <c r="AG343" i="1" s="1"/>
  <c r="T346" i="1"/>
  <c r="AG346" i="1" s="1"/>
  <c r="Z348" i="1"/>
  <c r="AB350" i="1"/>
  <c r="L353" i="1"/>
  <c r="X354" i="1"/>
  <c r="AA359" i="1"/>
  <c r="AD361" i="1"/>
  <c r="T363" i="1"/>
  <c r="AG363" i="1" s="1"/>
  <c r="W364" i="1"/>
  <c r="T367" i="1"/>
  <c r="AG367" i="1" s="1"/>
  <c r="L369" i="1"/>
  <c r="X370" i="1"/>
  <c r="AA375" i="1"/>
  <c r="AD377" i="1"/>
  <c r="T379" i="1"/>
  <c r="AG379" i="1" s="1"/>
  <c r="W380" i="1"/>
  <c r="T383" i="1"/>
  <c r="AG383" i="1" s="1"/>
  <c r="L385" i="1"/>
  <c r="X386" i="1"/>
  <c r="AA391" i="1"/>
  <c r="AD393" i="1"/>
  <c r="T395" i="1"/>
  <c r="AG395" i="1" s="1"/>
  <c r="W396" i="1"/>
  <c r="AE399" i="1"/>
  <c r="L400" i="1"/>
  <c r="AA403" i="1"/>
  <c r="V404" i="1"/>
  <c r="AE404" i="1"/>
  <c r="L405" i="1"/>
  <c r="X407" i="1"/>
  <c r="T411" i="1"/>
  <c r="AG411" i="1" s="1"/>
  <c r="W416" i="1"/>
  <c r="Y418" i="1"/>
  <c r="W420" i="1"/>
  <c r="AB423" i="1"/>
  <c r="T427" i="1"/>
  <c r="AG427" i="1" s="1"/>
  <c r="X435" i="1"/>
  <c r="AA436" i="1"/>
  <c r="L437" i="1"/>
  <c r="W440" i="1"/>
  <c r="AD441" i="1"/>
  <c r="W447" i="1"/>
  <c r="AD447" i="1"/>
  <c r="Y448" i="1"/>
  <c r="X449" i="1"/>
  <c r="Z451" i="1"/>
  <c r="V459" i="1"/>
  <c r="AE459" i="1"/>
  <c r="AA462" i="1"/>
  <c r="AD463" i="1"/>
  <c r="Y464" i="1"/>
  <c r="X465" i="1"/>
  <c r="Z467" i="1"/>
  <c r="V479" i="1"/>
  <c r="Y485" i="1"/>
  <c r="V486" i="1"/>
  <c r="T490" i="1"/>
  <c r="AG490" i="1" s="1"/>
  <c r="AE490" i="1"/>
  <c r="AD491" i="1"/>
  <c r="W495" i="1"/>
  <c r="W498" i="1"/>
  <c r="AD498" i="1"/>
  <c r="Z499" i="1"/>
  <c r="V502" i="1"/>
  <c r="V507" i="1"/>
  <c r="AE507" i="1"/>
  <c r="T509" i="1"/>
  <c r="AG509" i="1" s="1"/>
  <c r="AD519" i="1"/>
  <c r="Y520" i="1"/>
  <c r="X521" i="1"/>
  <c r="L522" i="1"/>
  <c r="AD522" i="1"/>
  <c r="AE527" i="1"/>
  <c r="T530" i="1"/>
  <c r="AG530" i="1" s="1"/>
  <c r="T533" i="1"/>
  <c r="AG533" i="1" s="1"/>
  <c r="AB534" i="1"/>
  <c r="AA535" i="1"/>
  <c r="L538" i="1"/>
  <c r="AB538" i="1"/>
  <c r="AE539" i="1"/>
  <c r="V544" i="1"/>
  <c r="Y544" i="1"/>
  <c r="AC546" i="1"/>
  <c r="Z546" i="1"/>
  <c r="AD546" i="1"/>
  <c r="L546" i="1"/>
  <c r="AE546" i="1"/>
  <c r="AD547" i="1"/>
  <c r="AB554" i="1"/>
  <c r="AC558" i="1"/>
  <c r="AD558" i="1"/>
  <c r="T558" i="1"/>
  <c r="AG558" i="1" s="1"/>
  <c r="V558" i="1"/>
  <c r="AB558" i="1"/>
  <c r="AC562" i="1"/>
  <c r="Z562" i="1"/>
  <c r="L562" i="1"/>
  <c r="AD542" i="1"/>
  <c r="V550" i="1"/>
  <c r="AE551" i="1"/>
  <c r="AA555" i="1"/>
  <c r="AA559" i="1"/>
  <c r="V564" i="1"/>
  <c r="X566" i="1"/>
  <c r="T568" i="1"/>
  <c r="AG568" i="1" s="1"/>
  <c r="W569" i="1"/>
  <c r="AB572" i="1"/>
  <c r="AB574" i="1"/>
  <c r="AA575" i="1"/>
  <c r="X576" i="1"/>
  <c r="AC577" i="1"/>
  <c r="Z578" i="1"/>
  <c r="AE579" i="1"/>
  <c r="V584" i="1"/>
  <c r="Z588" i="1"/>
  <c r="W589" i="1"/>
  <c r="Y591" i="1"/>
  <c r="L592" i="1"/>
  <c r="Z600" i="1"/>
  <c r="Z604" i="1"/>
  <c r="AB610" i="1"/>
  <c r="AB612" i="1"/>
  <c r="X614" i="1"/>
  <c r="Y615" i="1"/>
  <c r="AB622" i="1"/>
  <c r="Y623" i="1"/>
  <c r="X624" i="1"/>
  <c r="AB628" i="1"/>
  <c r="W629" i="1"/>
  <c r="T630" i="1"/>
  <c r="AG630" i="1" s="1"/>
  <c r="L636" i="1"/>
  <c r="AD636" i="1"/>
  <c r="W637" i="1"/>
  <c r="AD638" i="1"/>
  <c r="AC652" i="1"/>
  <c r="AE652" i="1"/>
  <c r="X652" i="1"/>
  <c r="T652" i="1"/>
  <c r="AG652" i="1" s="1"/>
  <c r="AD652" i="1"/>
  <c r="AC654" i="1"/>
  <c r="T654" i="1"/>
  <c r="AG654" i="1" s="1"/>
  <c r="AB654" i="1"/>
  <c r="AC656" i="1"/>
  <c r="L656" i="1"/>
  <c r="AD657" i="1"/>
  <c r="Y661" i="1"/>
  <c r="L664" i="1"/>
  <c r="Y669" i="1"/>
  <c r="AC676" i="1"/>
  <c r="Z676" i="1"/>
  <c r="Y681" i="1"/>
  <c r="AB568" i="1"/>
  <c r="L574" i="1"/>
  <c r="AE575" i="1"/>
  <c r="AB576" i="1"/>
  <c r="L578" i="1"/>
  <c r="AB578" i="1"/>
  <c r="AA583" i="1"/>
  <c r="X584" i="1"/>
  <c r="AB588" i="1"/>
  <c r="T592" i="1"/>
  <c r="AG592" i="1" s="1"/>
  <c r="T594" i="1"/>
  <c r="AG594" i="1" s="1"/>
  <c r="L604" i="1"/>
  <c r="AB604" i="1"/>
  <c r="W605" i="1"/>
  <c r="AB614" i="1"/>
  <c r="W621" i="1"/>
  <c r="AD622" i="1"/>
  <c r="AC623" i="1"/>
  <c r="Z624" i="1"/>
  <c r="L628" i="1"/>
  <c r="AD628" i="1"/>
  <c r="AB630" i="1"/>
  <c r="T636" i="1"/>
  <c r="AG636" i="1" s="1"/>
  <c r="AE636" i="1"/>
  <c r="AA637" i="1"/>
  <c r="T638" i="1"/>
  <c r="AG638" i="1" s="1"/>
  <c r="AC646" i="1"/>
  <c r="AB646" i="1"/>
  <c r="AD646" i="1"/>
  <c r="W652" i="1"/>
  <c r="AD653" i="1"/>
  <c r="AA653" i="1"/>
  <c r="AD654" i="1"/>
  <c r="W657" i="1"/>
  <c r="AC659" i="1"/>
  <c r="Y659" i="1"/>
  <c r="AC668" i="1"/>
  <c r="Y673" i="1"/>
  <c r="L676" i="1"/>
  <c r="AA681" i="1"/>
  <c r="T574" i="1"/>
  <c r="AG574" i="1" s="1"/>
  <c r="T576" i="1"/>
  <c r="AG576" i="1" s="1"/>
  <c r="AD576" i="1"/>
  <c r="AE583" i="1"/>
  <c r="T614" i="1"/>
  <c r="AG614" i="1" s="1"/>
  <c r="AD614" i="1"/>
  <c r="L624" i="1"/>
  <c r="AB624" i="1"/>
  <c r="W628" i="1"/>
  <c r="V638" i="1"/>
  <c r="AD645" i="1"/>
  <c r="Z652" i="1"/>
  <c r="X656" i="1"/>
  <c r="AC658" i="1"/>
  <c r="T658" i="1"/>
  <c r="AG658" i="1" s="1"/>
  <c r="Y665" i="1"/>
  <c r="L668" i="1"/>
  <c r="Y677" i="1"/>
  <c r="X542" i="1"/>
  <c r="Y549" i="1"/>
  <c r="T550" i="1"/>
  <c r="AG550" i="1" s="1"/>
  <c r="AA551" i="1"/>
  <c r="T564" i="1"/>
  <c r="AG564" i="1" s="1"/>
  <c r="AD564" i="1"/>
  <c r="X570" i="1"/>
  <c r="T572" i="1"/>
  <c r="AG572" i="1" s="1"/>
  <c r="Z574" i="1"/>
  <c r="V576" i="1"/>
  <c r="V578" i="1"/>
  <c r="AA579" i="1"/>
  <c r="X580" i="1"/>
  <c r="T584" i="1"/>
  <c r="AG584" i="1" s="1"/>
  <c r="AD584" i="1"/>
  <c r="T588" i="1"/>
  <c r="AG588" i="1" s="1"/>
  <c r="L600" i="1"/>
  <c r="W601" i="1"/>
  <c r="AE609" i="1"/>
  <c r="V614" i="1"/>
  <c r="AA617" i="1"/>
  <c r="V622" i="1"/>
  <c r="T624" i="1"/>
  <c r="AG624" i="1" s="1"/>
  <c r="X628" i="1"/>
  <c r="X634" i="1"/>
  <c r="Z636" i="1"/>
  <c r="AB638" i="1"/>
  <c r="AC644" i="1"/>
  <c r="AB644" i="1"/>
  <c r="L644" i="1"/>
  <c r="Z644" i="1"/>
  <c r="W645" i="1"/>
  <c r="T646" i="1"/>
  <c r="AG646" i="1" s="1"/>
  <c r="L652" i="1"/>
  <c r="AB652" i="1"/>
  <c r="W653" i="1"/>
  <c r="V654" i="1"/>
  <c r="AD656" i="1"/>
  <c r="AC660" i="1"/>
  <c r="L660" i="1"/>
  <c r="Z660" i="1"/>
  <c r="AC664" i="1"/>
  <c r="Z668" i="1"/>
  <c r="AC672" i="1"/>
  <c r="Z672" i="1"/>
  <c r="AA677" i="1"/>
  <c r="V680" i="1"/>
  <c r="L684" i="1"/>
  <c r="AB684" i="1"/>
  <c r="W685" i="1"/>
  <c r="Z688" i="1"/>
  <c r="V690" i="1"/>
  <c r="L694" i="1"/>
  <c r="AB694" i="1"/>
  <c r="T698" i="1"/>
  <c r="AG698" i="1" s="1"/>
  <c r="T704" i="1"/>
  <c r="AG704" i="1" s="1"/>
  <c r="AD704" i="1"/>
  <c r="T714" i="1"/>
  <c r="AG714" i="1" s="1"/>
  <c r="AD718" i="1"/>
  <c r="V720" i="1"/>
  <c r="Z722" i="1"/>
  <c r="AB724" i="1"/>
  <c r="T732" i="1"/>
  <c r="AG732" i="1" s="1"/>
  <c r="AD732" i="1"/>
  <c r="AA739" i="1"/>
  <c r="AB740" i="1"/>
  <c r="Z742" i="1"/>
  <c r="AC749" i="1"/>
  <c r="AD750" i="1"/>
  <c r="V752" i="1"/>
  <c r="Z754" i="1"/>
  <c r="Z760" i="1"/>
  <c r="T768" i="1"/>
  <c r="AG768" i="1" s="1"/>
  <c r="AB780" i="1"/>
  <c r="AB784" i="1"/>
  <c r="AA787" i="1"/>
  <c r="AD788" i="1"/>
  <c r="Z790" i="1"/>
  <c r="W826" i="1"/>
  <c r="Z839" i="1"/>
  <c r="W842" i="1"/>
  <c r="AE871" i="1"/>
  <c r="V874" i="1"/>
  <c r="L722" i="1"/>
  <c r="AB722" i="1"/>
  <c r="T740" i="1"/>
  <c r="AG740" i="1" s="1"/>
  <c r="AD740" i="1"/>
  <c r="X768" i="1"/>
  <c r="T780" i="1"/>
  <c r="AG780" i="1" s="1"/>
  <c r="AD780" i="1"/>
  <c r="AD790" i="1"/>
  <c r="X796" i="1"/>
  <c r="L802" i="1"/>
  <c r="AB802" i="1"/>
  <c r="AA807" i="1"/>
  <c r="L810" i="1"/>
  <c r="Z810" i="1"/>
  <c r="W822" i="1"/>
  <c r="Z823" i="1"/>
  <c r="AA826" i="1"/>
  <c r="L827" i="1"/>
  <c r="L829" i="1"/>
  <c r="AA829" i="1"/>
  <c r="V833" i="1"/>
  <c r="W838" i="1"/>
  <c r="AD839" i="1"/>
  <c r="AA842" i="1"/>
  <c r="L853" i="1"/>
  <c r="AA853" i="1"/>
  <c r="AA857" i="1"/>
  <c r="L862" i="1"/>
  <c r="AE866" i="1"/>
  <c r="AD868" i="1"/>
  <c r="X874" i="1"/>
  <c r="Y683" i="1"/>
  <c r="V694" i="1"/>
  <c r="AB698" i="1"/>
  <c r="X704" i="1"/>
  <c r="T706" i="1"/>
  <c r="AG706" i="1" s="1"/>
  <c r="V710" i="1"/>
  <c r="T712" i="1"/>
  <c r="AG712" i="1" s="1"/>
  <c r="AD712" i="1"/>
  <c r="AB714" i="1"/>
  <c r="AA719" i="1"/>
  <c r="AB720" i="1"/>
  <c r="T722" i="1"/>
  <c r="AG722" i="1" s="1"/>
  <c r="AD722" i="1"/>
  <c r="AA723" i="1"/>
  <c r="T724" i="1"/>
  <c r="AG724" i="1" s="1"/>
  <c r="X732" i="1"/>
  <c r="T734" i="1"/>
  <c r="AG734" i="1" s="1"/>
  <c r="AD738" i="1"/>
  <c r="V740" i="1"/>
  <c r="L742" i="1"/>
  <c r="V746" i="1"/>
  <c r="T748" i="1"/>
  <c r="AG748" i="1" s="1"/>
  <c r="AD748" i="1"/>
  <c r="AA751" i="1"/>
  <c r="AB752" i="1"/>
  <c r="L760" i="1"/>
  <c r="X764" i="1"/>
  <c r="Z768" i="1"/>
  <c r="X770" i="1"/>
  <c r="AA775" i="1"/>
  <c r="V776" i="1"/>
  <c r="V780" i="1"/>
  <c r="T784" i="1"/>
  <c r="AG784" i="1" s="1"/>
  <c r="V786" i="1"/>
  <c r="L790" i="1"/>
  <c r="AB796" i="1"/>
  <c r="L798" i="1"/>
  <c r="AA799" i="1"/>
  <c r="T802" i="1"/>
  <c r="AG802" i="1" s="1"/>
  <c r="T804" i="1"/>
  <c r="AG804" i="1" s="1"/>
  <c r="AE806" i="1"/>
  <c r="T810" i="1"/>
  <c r="AG810" i="1" s="1"/>
  <c r="AC810" i="1"/>
  <c r="AD813" i="1"/>
  <c r="AA822" i="1"/>
  <c r="AD823" i="1"/>
  <c r="W825" i="1"/>
  <c r="AE826" i="1"/>
  <c r="Z827" i="1"/>
  <c r="V829" i="1"/>
  <c r="AB829" i="1"/>
  <c r="V830" i="1"/>
  <c r="AD831" i="1"/>
  <c r="X833" i="1"/>
  <c r="AA838" i="1"/>
  <c r="AE842" i="1"/>
  <c r="L843" i="1"/>
  <c r="V845" i="1"/>
  <c r="V853" i="1"/>
  <c r="AB853" i="1"/>
  <c r="L857" i="1"/>
  <c r="AD857" i="1"/>
  <c r="AD859" i="1"/>
  <c r="W862" i="1"/>
  <c r="L866" i="1"/>
  <c r="T868" i="1"/>
  <c r="AG868" i="1" s="1"/>
  <c r="AA874" i="1"/>
  <c r="Z884" i="1"/>
  <c r="Y889" i="1"/>
  <c r="AE683" i="1"/>
  <c r="W707" i="1"/>
  <c r="V718" i="1"/>
  <c r="T720" i="1"/>
  <c r="AG720" i="1" s="1"/>
  <c r="AD720" i="1"/>
  <c r="V722" i="1"/>
  <c r="V724" i="1"/>
  <c r="W735" i="1"/>
  <c r="X740" i="1"/>
  <c r="T742" i="1"/>
  <c r="AG742" i="1" s="1"/>
  <c r="V750" i="1"/>
  <c r="T752" i="1"/>
  <c r="AG752" i="1" s="1"/>
  <c r="AD752" i="1"/>
  <c r="L754" i="1"/>
  <c r="T760" i="1"/>
  <c r="AG760" i="1" s="1"/>
  <c r="X780" i="1"/>
  <c r="X784" i="1"/>
  <c r="W787" i="1"/>
  <c r="L788" i="1"/>
  <c r="V790" i="1"/>
  <c r="Z798" i="1"/>
  <c r="X804" i="1"/>
  <c r="L822" i="1"/>
  <c r="AD822" i="1"/>
  <c r="AB825" i="1"/>
  <c r="L826" i="1"/>
  <c r="AD830" i="1"/>
  <c r="L839" i="1"/>
  <c r="L842" i="1"/>
  <c r="Z843" i="1"/>
  <c r="V857" i="1"/>
  <c r="W866" i="1"/>
  <c r="X868" i="1"/>
  <c r="W871" i="1"/>
  <c r="L874" i="1"/>
  <c r="AD874" i="1"/>
  <c r="X11" i="1"/>
  <c r="Y30" i="1"/>
  <c r="AE31" i="1"/>
  <c r="V32" i="1"/>
  <c r="AA32" i="1"/>
  <c r="W33" i="1"/>
  <c r="V36" i="1"/>
  <c r="AA36" i="1"/>
  <c r="V37" i="1"/>
  <c r="T38" i="1"/>
  <c r="AG38" i="1" s="1"/>
  <c r="AB38" i="1"/>
  <c r="V40" i="1"/>
  <c r="AA40" i="1"/>
  <c r="V41" i="1"/>
  <c r="AC42" i="1"/>
  <c r="W44" i="1"/>
  <c r="AB44" i="1"/>
  <c r="W48" i="1"/>
  <c r="AB48" i="1"/>
  <c r="W52" i="1"/>
  <c r="AB52" i="1"/>
  <c r="W56" i="1"/>
  <c r="AB56" i="1"/>
  <c r="AA61" i="1"/>
  <c r="AB63" i="1"/>
  <c r="T64" i="1"/>
  <c r="AG64" i="1" s="1"/>
  <c r="AB64" i="1"/>
  <c r="W69" i="1"/>
  <c r="AE69" i="1"/>
  <c r="Z73" i="1"/>
  <c r="AD74" i="1"/>
  <c r="W76" i="1"/>
  <c r="AE76" i="1"/>
  <c r="Z77" i="1"/>
  <c r="AA80" i="1"/>
  <c r="W84" i="1"/>
  <c r="AE84" i="1"/>
  <c r="Z85" i="1"/>
  <c r="AB87" i="1"/>
  <c r="X88" i="1"/>
  <c r="AA89" i="1"/>
  <c r="AB91" i="1"/>
  <c r="X92" i="1"/>
  <c r="AE92" i="1"/>
  <c r="W93" i="1"/>
  <c r="AE93" i="1"/>
  <c r="AD98" i="1"/>
  <c r="AC101" i="1"/>
  <c r="AD101" i="1"/>
  <c r="V101" i="1"/>
  <c r="Z101" i="1"/>
  <c r="AA101" i="1"/>
  <c r="T103" i="1"/>
  <c r="AG103" i="1" s="1"/>
  <c r="X107" i="1"/>
  <c r="X111" i="1"/>
  <c r="Y119" i="1"/>
  <c r="V16" i="1"/>
  <c r="AA16" i="1"/>
  <c r="Y18" i="1"/>
  <c r="W32" i="1"/>
  <c r="AB32" i="1"/>
  <c r="X52" i="1"/>
  <c r="AD52" i="1"/>
  <c r="X56" i="1"/>
  <c r="AD56" i="1"/>
  <c r="W64" i="1"/>
  <c r="AE64" i="1"/>
  <c r="Z69" i="1"/>
  <c r="V70" i="1"/>
  <c r="AA77" i="1"/>
  <c r="AA85" i="1"/>
  <c r="AA88" i="1"/>
  <c r="T91" i="1"/>
  <c r="T92" i="1"/>
  <c r="AG92" i="1" s="1"/>
  <c r="Z92" i="1"/>
  <c r="Z93" i="1"/>
  <c r="Z94" i="1"/>
  <c r="V94" i="1"/>
  <c r="AC97" i="1"/>
  <c r="AE97" i="1"/>
  <c r="W97" i="1"/>
  <c r="AD97" i="1"/>
  <c r="AC109" i="1"/>
  <c r="Z109" i="1"/>
  <c r="AD109" i="1"/>
  <c r="V109" i="1"/>
  <c r="AA109" i="1"/>
  <c r="Y131" i="1"/>
  <c r="T10" i="1"/>
  <c r="AG10" i="1" s="1"/>
  <c r="AB10" i="1"/>
  <c r="AG14" i="1"/>
  <c r="AB14" i="1"/>
  <c r="X15" i="1"/>
  <c r="X44" i="1"/>
  <c r="AD44" i="1"/>
  <c r="X48" i="1"/>
  <c r="AD48" i="1"/>
  <c r="X10" i="1"/>
  <c r="AC11" i="1"/>
  <c r="X12" i="1"/>
  <c r="X19" i="1"/>
  <c r="AE23" i="1"/>
  <c r="W28" i="1"/>
  <c r="AB28" i="1"/>
  <c r="AA29" i="1"/>
  <c r="V30" i="1"/>
  <c r="AC30" i="1"/>
  <c r="T31" i="1"/>
  <c r="X32" i="1"/>
  <c r="AD32" i="1"/>
  <c r="G33" i="1"/>
  <c r="AC33" i="1"/>
  <c r="G36" i="1"/>
  <c r="X36" i="1"/>
  <c r="AD36" i="1"/>
  <c r="G37" i="1"/>
  <c r="AA37" i="1"/>
  <c r="X38" i="1"/>
  <c r="AD38" i="1"/>
  <c r="G40" i="1"/>
  <c r="X40" i="1"/>
  <c r="AD40" i="1"/>
  <c r="G41" i="1"/>
  <c r="AA41" i="1"/>
  <c r="V42" i="1"/>
  <c r="T44" i="1"/>
  <c r="AG44" i="1" s="1"/>
  <c r="Z44" i="1"/>
  <c r="AE44" i="1"/>
  <c r="T48" i="1"/>
  <c r="AG48" i="1" s="1"/>
  <c r="Z48" i="1"/>
  <c r="AE48" i="1"/>
  <c r="T52" i="1"/>
  <c r="AG52" i="1" s="1"/>
  <c r="Z52" i="1"/>
  <c r="AE52" i="1"/>
  <c r="T56" i="1"/>
  <c r="AG56" i="1" s="1"/>
  <c r="Z56" i="1"/>
  <c r="AE56" i="1"/>
  <c r="AB59" i="1"/>
  <c r="W61" i="1"/>
  <c r="AE61" i="1"/>
  <c r="T63" i="1"/>
  <c r="AG63" i="1" s="1"/>
  <c r="G64" i="1"/>
  <c r="X64" i="1"/>
  <c r="AA65" i="1"/>
  <c r="AB67" i="1"/>
  <c r="AA69" i="1"/>
  <c r="Z70" i="1"/>
  <c r="Y71" i="1"/>
  <c r="V73" i="1"/>
  <c r="AD73" i="1"/>
  <c r="Y74" i="1"/>
  <c r="V77" i="1"/>
  <c r="AD77" i="1"/>
  <c r="W80" i="1"/>
  <c r="AE80" i="1"/>
  <c r="V85" i="1"/>
  <c r="AD85" i="1"/>
  <c r="T88" i="1"/>
  <c r="AG88" i="1" s="1"/>
  <c r="AB88" i="1"/>
  <c r="X91" i="1"/>
  <c r="V92" i="1"/>
  <c r="AA92" i="1"/>
  <c r="AA93" i="1"/>
  <c r="Z98" i="1"/>
  <c r="V98" i="1"/>
  <c r="T107" i="1"/>
  <c r="AG107" i="1" s="1"/>
  <c r="Y107" i="1"/>
  <c r="Y111" i="1"/>
  <c r="T111" i="1"/>
  <c r="AG111" i="1" s="1"/>
  <c r="AD124" i="1"/>
  <c r="AA124" i="1"/>
  <c r="X124" i="1"/>
  <c r="G124" i="1"/>
  <c r="AE124" i="1"/>
  <c r="W124" i="1"/>
  <c r="AD128" i="1"/>
  <c r="AB128" i="1"/>
  <c r="T128" i="1"/>
  <c r="AG128" i="1" s="1"/>
  <c r="AA128" i="1"/>
  <c r="X128" i="1"/>
  <c r="G128" i="1"/>
  <c r="V12" i="1"/>
  <c r="AA12" i="1"/>
  <c r="V10" i="1"/>
  <c r="AC10" i="1"/>
  <c r="Y11" i="1"/>
  <c r="W12" i="1"/>
  <c r="AB12" i="1"/>
  <c r="Y26" i="1"/>
  <c r="AE27" i="1"/>
  <c r="W29" i="1"/>
  <c r="T30" i="1"/>
  <c r="AG30" i="1" s="1"/>
  <c r="AB30" i="1"/>
  <c r="AD10" i="1"/>
  <c r="AD12" i="1"/>
  <c r="AC14" i="1"/>
  <c r="Y15" i="1"/>
  <c r="W16" i="1"/>
  <c r="AB16" i="1"/>
  <c r="T18" i="1"/>
  <c r="AG18" i="1" s="1"/>
  <c r="AB18" i="1"/>
  <c r="V20" i="1"/>
  <c r="AA20" i="1"/>
  <c r="Y22" i="1"/>
  <c r="W25" i="1"/>
  <c r="T26" i="1"/>
  <c r="AG26" i="1" s="1"/>
  <c r="AB26" i="1"/>
  <c r="V8" i="1"/>
  <c r="AA8" i="1"/>
  <c r="T11" i="1"/>
  <c r="AG11" i="1" s="1"/>
  <c r="T12" i="1"/>
  <c r="AG12" i="1" s="1"/>
  <c r="Z12" i="1"/>
  <c r="AE12" i="1"/>
  <c r="X14" i="1"/>
  <c r="X16" i="1"/>
  <c r="AD16" i="1"/>
  <c r="V17" i="1"/>
  <c r="V18" i="1"/>
  <c r="W20" i="1"/>
  <c r="AB20" i="1"/>
  <c r="T22" i="1"/>
  <c r="AG22" i="1" s="1"/>
  <c r="W24" i="1"/>
  <c r="AB24" i="1"/>
  <c r="AA25" i="1"/>
  <c r="V26" i="1"/>
  <c r="X28" i="1"/>
  <c r="AD28" i="1"/>
  <c r="AC29" i="1"/>
  <c r="X30" i="1"/>
  <c r="G32" i="1"/>
  <c r="T32" i="1"/>
  <c r="AG32" i="1" s="1"/>
  <c r="Z32" i="1"/>
  <c r="AE32" i="1"/>
  <c r="V33" i="1"/>
  <c r="T36" i="1"/>
  <c r="AG36" i="1" s="1"/>
  <c r="Z36" i="1"/>
  <c r="AE36" i="1"/>
  <c r="AC37" i="1"/>
  <c r="T40" i="1"/>
  <c r="AG40" i="1" s="1"/>
  <c r="Z40" i="1"/>
  <c r="AE40" i="1"/>
  <c r="AC41" i="1"/>
  <c r="G44" i="1"/>
  <c r="V44" i="1"/>
  <c r="AA44" i="1"/>
  <c r="V45" i="1"/>
  <c r="AD45" i="1"/>
  <c r="G48" i="1"/>
  <c r="V48" i="1"/>
  <c r="AA48" i="1"/>
  <c r="V49" i="1"/>
  <c r="AD49" i="1"/>
  <c r="G52" i="1"/>
  <c r="V52" i="1"/>
  <c r="AA52" i="1"/>
  <c r="V53" i="1"/>
  <c r="AD53" i="1"/>
  <c r="G56" i="1"/>
  <c r="V56" i="1"/>
  <c r="AA56" i="1"/>
  <c r="V57" i="1"/>
  <c r="AD57" i="1"/>
  <c r="W60" i="1"/>
  <c r="AE60" i="1"/>
  <c r="Z61" i="1"/>
  <c r="AA64" i="1"/>
  <c r="V65" i="1"/>
  <c r="AD65" i="1"/>
  <c r="T68" i="1"/>
  <c r="AG68" i="1" s="1"/>
  <c r="AB68" i="1"/>
  <c r="V69" i="1"/>
  <c r="AD69" i="1"/>
  <c r="W72" i="1"/>
  <c r="AE72" i="1"/>
  <c r="W73" i="1"/>
  <c r="AE73" i="1"/>
  <c r="Y75" i="1"/>
  <c r="T76" i="1"/>
  <c r="AG76" i="1" s="1"/>
  <c r="AB76" i="1"/>
  <c r="W77" i="1"/>
  <c r="AE77" i="1"/>
  <c r="G80" i="1"/>
  <c r="X80" i="1"/>
  <c r="AA81" i="1"/>
  <c r="AB83" i="1"/>
  <c r="T84" i="1"/>
  <c r="AG84" i="1" s="1"/>
  <c r="AB84" i="1"/>
  <c r="G85" i="1"/>
  <c r="W85" i="1"/>
  <c r="AE85" i="1"/>
  <c r="X87" i="1"/>
  <c r="G88" i="1"/>
  <c r="W88" i="1"/>
  <c r="AE88" i="1"/>
  <c r="W92" i="1"/>
  <c r="AB92" i="1"/>
  <c r="V93" i="1"/>
  <c r="AD93" i="1"/>
  <c r="AD94" i="1"/>
  <c r="G97" i="1"/>
  <c r="Z97" i="1"/>
  <c r="Y98" i="1"/>
  <c r="Y103" i="1"/>
  <c r="X103" i="1"/>
  <c r="AC105" i="1"/>
  <c r="Z105" i="1"/>
  <c r="AD105" i="1"/>
  <c r="V105" i="1"/>
  <c r="AA105" i="1"/>
  <c r="Y115" i="1"/>
  <c r="T124" i="1"/>
  <c r="AG124" i="1" s="1"/>
  <c r="W128" i="1"/>
  <c r="W96" i="1"/>
  <c r="AE96" i="1"/>
  <c r="X100" i="1"/>
  <c r="AE100" i="1"/>
  <c r="G104" i="1"/>
  <c r="W104" i="1"/>
  <c r="AB104" i="1"/>
  <c r="X112" i="1"/>
  <c r="Z113" i="1"/>
  <c r="V114" i="1"/>
  <c r="G116" i="1"/>
  <c r="X116" i="1"/>
  <c r="Z117" i="1"/>
  <c r="V118" i="1"/>
  <c r="G120" i="1"/>
  <c r="T120" i="1"/>
  <c r="AG120" i="1" s="1"/>
  <c r="AB120" i="1"/>
  <c r="G121" i="1"/>
  <c r="W121" i="1"/>
  <c r="AE121" i="1"/>
  <c r="T123" i="1"/>
  <c r="AG123" i="1" s="1"/>
  <c r="W125" i="1"/>
  <c r="AE125" i="1"/>
  <c r="Z129" i="1"/>
  <c r="V130" i="1"/>
  <c r="AA132" i="1"/>
  <c r="AA133" i="1"/>
  <c r="Z134" i="1"/>
  <c r="T136" i="1"/>
  <c r="AG136" i="1" s="1"/>
  <c r="AB136" i="1"/>
  <c r="G137" i="1"/>
  <c r="V137" i="1"/>
  <c r="AD137" i="1"/>
  <c r="W140" i="1"/>
  <c r="AE140" i="1"/>
  <c r="W141" i="1"/>
  <c r="AE141" i="1"/>
  <c r="G144" i="1"/>
  <c r="X144" i="1"/>
  <c r="Z145" i="1"/>
  <c r="V146" i="1"/>
  <c r="AA148" i="1"/>
  <c r="AA149" i="1"/>
  <c r="Z150" i="1"/>
  <c r="T152" i="1"/>
  <c r="AG152" i="1" s="1"/>
  <c r="AB152" i="1"/>
  <c r="G153" i="1"/>
  <c r="V153" i="1"/>
  <c r="AD153" i="1"/>
  <c r="AD154" i="1"/>
  <c r="W156" i="1"/>
  <c r="AE156" i="1"/>
  <c r="T157" i="1"/>
  <c r="AG157" i="1" s="1"/>
  <c r="Z157" i="1"/>
  <c r="X159" i="1"/>
  <c r="AA160" i="1"/>
  <c r="W161" i="1"/>
  <c r="AB161" i="1"/>
  <c r="AB163" i="1"/>
  <c r="T164" i="1"/>
  <c r="AG164" i="1" s="1"/>
  <c r="AB164" i="1"/>
  <c r="G165" i="1"/>
  <c r="X165" i="1"/>
  <c r="AD165" i="1"/>
  <c r="W168" i="1"/>
  <c r="AE168" i="1"/>
  <c r="T169" i="1"/>
  <c r="AG169" i="1" s="1"/>
  <c r="Z169" i="1"/>
  <c r="AE169" i="1"/>
  <c r="G172" i="1"/>
  <c r="X172" i="1"/>
  <c r="V173" i="1"/>
  <c r="AA173" i="1"/>
  <c r="X175" i="1"/>
  <c r="AA176" i="1"/>
  <c r="W177" i="1"/>
  <c r="AB177" i="1"/>
  <c r="AB179" i="1"/>
  <c r="T180" i="1"/>
  <c r="AG180" i="1" s="1"/>
  <c r="AB180" i="1"/>
  <c r="G181" i="1"/>
  <c r="X181" i="1"/>
  <c r="AD181" i="1"/>
  <c r="W184" i="1"/>
  <c r="AE184" i="1"/>
  <c r="T185" i="1"/>
  <c r="AG185" i="1" s="1"/>
  <c r="Z185" i="1"/>
  <c r="AE185" i="1"/>
  <c r="AA188" i="1"/>
  <c r="W189" i="1"/>
  <c r="AB189" i="1"/>
  <c r="Z190" i="1"/>
  <c r="G192" i="1"/>
  <c r="X192" i="1"/>
  <c r="V193" i="1"/>
  <c r="AA193" i="1"/>
  <c r="V194" i="1"/>
  <c r="T196" i="1"/>
  <c r="AG196" i="1" s="1"/>
  <c r="AB196" i="1"/>
  <c r="G197" i="1"/>
  <c r="X197" i="1"/>
  <c r="AD197" i="1"/>
  <c r="AD198" i="1"/>
  <c r="W201" i="1"/>
  <c r="AB201" i="1"/>
  <c r="Z202" i="1"/>
  <c r="W204" i="1"/>
  <c r="AE204" i="1"/>
  <c r="T205" i="1"/>
  <c r="AG205" i="1" s="1"/>
  <c r="Z205" i="1"/>
  <c r="AE205" i="1"/>
  <c r="T208" i="1"/>
  <c r="AG208" i="1" s="1"/>
  <c r="AB208" i="1"/>
  <c r="G212" i="1"/>
  <c r="X212" i="1"/>
  <c r="V213" i="1"/>
  <c r="AA213" i="1"/>
  <c r="V214" i="1"/>
  <c r="W216" i="1"/>
  <c r="AE216" i="1"/>
  <c r="T217" i="1"/>
  <c r="AG217" i="1" s="1"/>
  <c r="Z217" i="1"/>
  <c r="AE217" i="1"/>
  <c r="AA220" i="1"/>
  <c r="W221" i="1"/>
  <c r="AB221" i="1"/>
  <c r="Z222" i="1"/>
  <c r="G224" i="1"/>
  <c r="X224" i="1"/>
  <c r="V225" i="1"/>
  <c r="AA225" i="1"/>
  <c r="V226" i="1"/>
  <c r="G227" i="1"/>
  <c r="X227" i="1"/>
  <c r="AD227" i="1"/>
  <c r="G228" i="1"/>
  <c r="V228" i="1"/>
  <c r="AC228" i="1"/>
  <c r="T231" i="1"/>
  <c r="AG231" i="1" s="1"/>
  <c r="Z231" i="1"/>
  <c r="AE231" i="1"/>
  <c r="W232" i="1"/>
  <c r="AD232" i="1"/>
  <c r="AC233" i="1"/>
  <c r="V235" i="1"/>
  <c r="AA235" i="1"/>
  <c r="Y236" i="1"/>
  <c r="T237" i="1"/>
  <c r="AG237" i="1" s="1"/>
  <c r="AD237" i="1"/>
  <c r="W239" i="1"/>
  <c r="AB239" i="1"/>
  <c r="AA240" i="1"/>
  <c r="V241" i="1"/>
  <c r="W243" i="1"/>
  <c r="AB243" i="1"/>
  <c r="V244" i="1"/>
  <c r="AD244" i="1"/>
  <c r="Y246" i="1"/>
  <c r="G247" i="1"/>
  <c r="W247" i="1"/>
  <c r="AB247" i="1"/>
  <c r="AA248" i="1"/>
  <c r="V249" i="1"/>
  <c r="W251" i="1"/>
  <c r="AB251" i="1"/>
  <c r="V252" i="1"/>
  <c r="AD252" i="1"/>
  <c r="T255" i="1"/>
  <c r="AG255" i="1" s="1"/>
  <c r="Z255" i="1"/>
  <c r="AE255" i="1"/>
  <c r="W256" i="1"/>
  <c r="AE256" i="1"/>
  <c r="Z257" i="1"/>
  <c r="X258" i="1"/>
  <c r="T259" i="1"/>
  <c r="AG259" i="1" s="1"/>
  <c r="Z259" i="1"/>
  <c r="AE259" i="1"/>
  <c r="Z260" i="1"/>
  <c r="T263" i="1"/>
  <c r="AG263" i="1" s="1"/>
  <c r="Z263" i="1"/>
  <c r="AE263" i="1"/>
  <c r="W264" i="1"/>
  <c r="AE264" i="1"/>
  <c r="Z265" i="1"/>
  <c r="X266" i="1"/>
  <c r="T267" i="1"/>
  <c r="AG267" i="1" s="1"/>
  <c r="Z267" i="1"/>
  <c r="AE267" i="1"/>
  <c r="Z268" i="1"/>
  <c r="Y270" i="1"/>
  <c r="W271" i="1"/>
  <c r="AB271" i="1"/>
  <c r="L272" i="1"/>
  <c r="AA272" i="1"/>
  <c r="V273" i="1"/>
  <c r="W275" i="1"/>
  <c r="AB275" i="1"/>
  <c r="V276" i="1"/>
  <c r="AD276" i="1"/>
  <c r="AD291" i="1"/>
  <c r="AB291" i="1"/>
  <c r="T291" i="1"/>
  <c r="AG291" i="1" s="1"/>
  <c r="X291" i="1"/>
  <c r="AE291" i="1"/>
  <c r="Z125" i="1"/>
  <c r="V126" i="1"/>
  <c r="G133" i="1"/>
  <c r="V133" i="1"/>
  <c r="AD133" i="1"/>
  <c r="AD134" i="1"/>
  <c r="W136" i="1"/>
  <c r="AE136" i="1"/>
  <c r="Z141" i="1"/>
  <c r="V142" i="1"/>
  <c r="AA144" i="1"/>
  <c r="G149" i="1"/>
  <c r="V149" i="1"/>
  <c r="AD149" i="1"/>
  <c r="AD150" i="1"/>
  <c r="W152" i="1"/>
  <c r="AE152" i="1"/>
  <c r="V157" i="1"/>
  <c r="AA157" i="1"/>
  <c r="AB159" i="1"/>
  <c r="G161" i="1"/>
  <c r="X161" i="1"/>
  <c r="AD161" i="1"/>
  <c r="W164" i="1"/>
  <c r="AE164" i="1"/>
  <c r="T167" i="1"/>
  <c r="AG167" i="1" s="1"/>
  <c r="V169" i="1"/>
  <c r="AA169" i="1"/>
  <c r="AA172" i="1"/>
  <c r="AB175" i="1"/>
  <c r="G177" i="1"/>
  <c r="X177" i="1"/>
  <c r="AD177" i="1"/>
  <c r="W180" i="1"/>
  <c r="AE180" i="1"/>
  <c r="V185" i="1"/>
  <c r="AA185" i="1"/>
  <c r="V186" i="1"/>
  <c r="G189" i="1"/>
  <c r="X189" i="1"/>
  <c r="AD189" i="1"/>
  <c r="AD190" i="1"/>
  <c r="AA192" i="1"/>
  <c r="W196" i="1"/>
  <c r="AE196" i="1"/>
  <c r="G201" i="1"/>
  <c r="X201" i="1"/>
  <c r="AD201" i="1"/>
  <c r="AD202" i="1"/>
  <c r="V205" i="1"/>
  <c r="AA205" i="1"/>
  <c r="V206" i="1"/>
  <c r="W208" i="1"/>
  <c r="AE208" i="1"/>
  <c r="AA212" i="1"/>
  <c r="V217" i="1"/>
  <c r="AA217" i="1"/>
  <c r="V218" i="1"/>
  <c r="G221" i="1"/>
  <c r="X221" i="1"/>
  <c r="AD221" i="1"/>
  <c r="AD222" i="1"/>
  <c r="AA224" i="1"/>
  <c r="V231" i="1"/>
  <c r="AA231" i="1"/>
  <c r="Y232" i="1"/>
  <c r="T233" i="1"/>
  <c r="AG233" i="1" s="1"/>
  <c r="AD233" i="1"/>
  <c r="G239" i="1"/>
  <c r="X239" i="1"/>
  <c r="AD239" i="1"/>
  <c r="G240" i="1"/>
  <c r="V240" i="1"/>
  <c r="AD240" i="1"/>
  <c r="Y241" i="1"/>
  <c r="G243" i="1"/>
  <c r="X243" i="1"/>
  <c r="AD243" i="1"/>
  <c r="G244" i="1"/>
  <c r="W244" i="1"/>
  <c r="AE244" i="1"/>
  <c r="AB246" i="1"/>
  <c r="G248" i="1"/>
  <c r="V248" i="1"/>
  <c r="AD248" i="1"/>
  <c r="Y249" i="1"/>
  <c r="Z256" i="1"/>
  <c r="L257" i="1"/>
  <c r="AD257" i="1"/>
  <c r="V259" i="1"/>
  <c r="AA259" i="1"/>
  <c r="L260" i="1"/>
  <c r="AA260" i="1"/>
  <c r="T262" i="1"/>
  <c r="AG262" i="1" s="1"/>
  <c r="Z264" i="1"/>
  <c r="L265" i="1"/>
  <c r="AD265" i="1"/>
  <c r="V267" i="1"/>
  <c r="AA267" i="1"/>
  <c r="L268" i="1"/>
  <c r="AA268" i="1"/>
  <c r="AB270" i="1"/>
  <c r="AD271" i="1"/>
  <c r="V272" i="1"/>
  <c r="AD272" i="1"/>
  <c r="Y273" i="1"/>
  <c r="L275" i="1"/>
  <c r="X275" i="1"/>
  <c r="AD275" i="1"/>
  <c r="W276" i="1"/>
  <c r="AE276" i="1"/>
  <c r="AC279" i="1"/>
  <c r="AA279" i="1"/>
  <c r="V279" i="1"/>
  <c r="AD279" i="1"/>
  <c r="X279" i="1"/>
  <c r="L279" i="1"/>
  <c r="Z279" i="1"/>
  <c r="W287" i="1"/>
  <c r="V100" i="1"/>
  <c r="AA100" i="1"/>
  <c r="T104" i="1"/>
  <c r="AG104" i="1" s="1"/>
  <c r="Z104" i="1"/>
  <c r="AE104" i="1"/>
  <c r="W108" i="1"/>
  <c r="AE108" i="1"/>
  <c r="T112" i="1"/>
  <c r="AG112" i="1" s="1"/>
  <c r="AB112" i="1"/>
  <c r="G113" i="1"/>
  <c r="V113" i="1"/>
  <c r="AD113" i="1"/>
  <c r="V116" i="1"/>
  <c r="AB116" i="1"/>
  <c r="X120" i="1"/>
  <c r="AA121" i="1"/>
  <c r="AB123" i="1"/>
  <c r="AA125" i="1"/>
  <c r="Z126" i="1"/>
  <c r="W132" i="1"/>
  <c r="AE132" i="1"/>
  <c r="W133" i="1"/>
  <c r="AE133" i="1"/>
  <c r="X136" i="1"/>
  <c r="Z137" i="1"/>
  <c r="V138" i="1"/>
  <c r="AA140" i="1"/>
  <c r="AA141" i="1"/>
  <c r="Z142" i="1"/>
  <c r="T144" i="1"/>
  <c r="AG144" i="1" s="1"/>
  <c r="AB144" i="1"/>
  <c r="W148" i="1"/>
  <c r="AE148" i="1"/>
  <c r="W149" i="1"/>
  <c r="AE149" i="1"/>
  <c r="G152" i="1"/>
  <c r="X152" i="1"/>
  <c r="Z153" i="1"/>
  <c r="V154" i="1"/>
  <c r="AA156" i="1"/>
  <c r="W157" i="1"/>
  <c r="AD157" i="1"/>
  <c r="W160" i="1"/>
  <c r="AE160" i="1"/>
  <c r="T161" i="1"/>
  <c r="AG161" i="1" s="1"/>
  <c r="Z161" i="1"/>
  <c r="AE161" i="1"/>
  <c r="G164" i="1"/>
  <c r="X164" i="1"/>
  <c r="V165" i="1"/>
  <c r="AA165" i="1"/>
  <c r="X167" i="1"/>
  <c r="AA168" i="1"/>
  <c r="W169" i="1"/>
  <c r="AB169" i="1"/>
  <c r="AB171" i="1"/>
  <c r="T172" i="1"/>
  <c r="AG172" i="1" s="1"/>
  <c r="AB172" i="1"/>
  <c r="G173" i="1"/>
  <c r="X173" i="1"/>
  <c r="AD173" i="1"/>
  <c r="W176" i="1"/>
  <c r="AE176" i="1"/>
  <c r="T177" i="1"/>
  <c r="AG177" i="1" s="1"/>
  <c r="Z177" i="1"/>
  <c r="AE177" i="1"/>
  <c r="G180" i="1"/>
  <c r="X180" i="1"/>
  <c r="V181" i="1"/>
  <c r="AA181" i="1"/>
  <c r="AA184" i="1"/>
  <c r="W185" i="1"/>
  <c r="AB185" i="1"/>
  <c r="Z186" i="1"/>
  <c r="W188" i="1"/>
  <c r="AE188" i="1"/>
  <c r="T189" i="1"/>
  <c r="AG189" i="1" s="1"/>
  <c r="Z189" i="1"/>
  <c r="AE189" i="1"/>
  <c r="T192" i="1"/>
  <c r="AG192" i="1" s="1"/>
  <c r="AB192" i="1"/>
  <c r="G193" i="1"/>
  <c r="X193" i="1"/>
  <c r="AD193" i="1"/>
  <c r="G196" i="1"/>
  <c r="X196" i="1"/>
  <c r="V197" i="1"/>
  <c r="AA197" i="1"/>
  <c r="V198" i="1"/>
  <c r="W200" i="1"/>
  <c r="AE200" i="1"/>
  <c r="T201" i="1"/>
  <c r="AG201" i="1" s="1"/>
  <c r="Z201" i="1"/>
  <c r="AE201" i="1"/>
  <c r="AA204" i="1"/>
  <c r="W205" i="1"/>
  <c r="AB205" i="1"/>
  <c r="Z206" i="1"/>
  <c r="G208" i="1"/>
  <c r="X208" i="1"/>
  <c r="V209" i="1"/>
  <c r="AA209" i="1"/>
  <c r="V210" i="1"/>
  <c r="T212" i="1"/>
  <c r="AG212" i="1" s="1"/>
  <c r="AB212" i="1"/>
  <c r="G213" i="1"/>
  <c r="X213" i="1"/>
  <c r="AD213" i="1"/>
  <c r="AD214" i="1"/>
  <c r="AA216" i="1"/>
  <c r="W217" i="1"/>
  <c r="AB217" i="1"/>
  <c r="Z218" i="1"/>
  <c r="W220" i="1"/>
  <c r="AE220" i="1"/>
  <c r="T221" i="1"/>
  <c r="AG221" i="1" s="1"/>
  <c r="Z221" i="1"/>
  <c r="AE221" i="1"/>
  <c r="T224" i="1"/>
  <c r="AG224" i="1" s="1"/>
  <c r="AB224" i="1"/>
  <c r="G225" i="1"/>
  <c r="X225" i="1"/>
  <c r="AD225" i="1"/>
  <c r="V227" i="1"/>
  <c r="AA227" i="1"/>
  <c r="T229" i="1"/>
  <c r="AG229" i="1" s="1"/>
  <c r="W231" i="1"/>
  <c r="AB231" i="1"/>
  <c r="G235" i="1"/>
  <c r="X235" i="1"/>
  <c r="AD235" i="1"/>
  <c r="G236" i="1"/>
  <c r="V236" i="1"/>
  <c r="T239" i="1"/>
  <c r="AG239" i="1" s="1"/>
  <c r="Z239" i="1"/>
  <c r="AE239" i="1"/>
  <c r="W240" i="1"/>
  <c r="AE240" i="1"/>
  <c r="Z241" i="1"/>
  <c r="T243" i="1"/>
  <c r="AG243" i="1" s="1"/>
  <c r="Z243" i="1"/>
  <c r="AE243" i="1"/>
  <c r="Z244" i="1"/>
  <c r="T247" i="1"/>
  <c r="AG247" i="1" s="1"/>
  <c r="Z247" i="1"/>
  <c r="AE247" i="1"/>
  <c r="W248" i="1"/>
  <c r="AE248" i="1"/>
  <c r="Z249" i="1"/>
  <c r="T251" i="1"/>
  <c r="AG251" i="1" s="1"/>
  <c r="Z251" i="1"/>
  <c r="AE251" i="1"/>
  <c r="Z252" i="1"/>
  <c r="Y254" i="1"/>
  <c r="L256" i="1"/>
  <c r="AA256" i="1"/>
  <c r="V257" i="1"/>
  <c r="W259" i="1"/>
  <c r="AB259" i="1"/>
  <c r="V260" i="1"/>
  <c r="AD260" i="1"/>
  <c r="Y262" i="1"/>
  <c r="L264" i="1"/>
  <c r="AA264" i="1"/>
  <c r="W267" i="1"/>
  <c r="AB267" i="1"/>
  <c r="V268" i="1"/>
  <c r="AD268" i="1"/>
  <c r="T271" i="1"/>
  <c r="AG271" i="1" s="1"/>
  <c r="Z271" i="1"/>
  <c r="AE271" i="1"/>
  <c r="W272" i="1"/>
  <c r="AE272" i="1"/>
  <c r="Z273" i="1"/>
  <c r="T275" i="1"/>
  <c r="AG275" i="1" s="1"/>
  <c r="Z275" i="1"/>
  <c r="AE275" i="1"/>
  <c r="Z276" i="1"/>
  <c r="AB279" i="1"/>
  <c r="AB282" i="1"/>
  <c r="W291" i="1"/>
  <c r="AC297" i="1"/>
  <c r="AD299" i="1"/>
  <c r="AA299" i="1"/>
  <c r="X299" i="1"/>
  <c r="AB299" i="1"/>
  <c r="T299" i="1"/>
  <c r="AG299" i="1" s="1"/>
  <c r="Z133" i="1"/>
  <c r="V134" i="1"/>
  <c r="W144" i="1"/>
  <c r="AE144" i="1"/>
  <c r="Z149" i="1"/>
  <c r="V150" i="1"/>
  <c r="V161" i="1"/>
  <c r="AA161" i="1"/>
  <c r="AB167" i="1"/>
  <c r="W172" i="1"/>
  <c r="AE172" i="1"/>
  <c r="V177" i="1"/>
  <c r="AA177" i="1"/>
  <c r="V189" i="1"/>
  <c r="AA189" i="1"/>
  <c r="V190" i="1"/>
  <c r="W192" i="1"/>
  <c r="AE192" i="1"/>
  <c r="V201" i="1"/>
  <c r="AA201" i="1"/>
  <c r="V202" i="1"/>
  <c r="W212" i="1"/>
  <c r="AE212" i="1"/>
  <c r="V221" i="1"/>
  <c r="AA221" i="1"/>
  <c r="V222" i="1"/>
  <c r="W224" i="1"/>
  <c r="AE224" i="1"/>
  <c r="V239" i="1"/>
  <c r="AA239" i="1"/>
  <c r="Z240" i="1"/>
  <c r="V243" i="1"/>
  <c r="AA243" i="1"/>
  <c r="AA244" i="1"/>
  <c r="Z248" i="1"/>
  <c r="V251" i="1"/>
  <c r="AA251" i="1"/>
  <c r="L252" i="1"/>
  <c r="AA252" i="1"/>
  <c r="V256" i="1"/>
  <c r="AD256" i="1"/>
  <c r="L259" i="1"/>
  <c r="X259" i="1"/>
  <c r="AD259" i="1"/>
  <c r="W260" i="1"/>
  <c r="AE260" i="1"/>
  <c r="Z272" i="1"/>
  <c r="L273" i="1"/>
  <c r="V275" i="1"/>
  <c r="AA275" i="1"/>
  <c r="L276" i="1"/>
  <c r="AA276" i="1"/>
  <c r="AD287" i="1"/>
  <c r="AB287" i="1"/>
  <c r="T287" i="1"/>
  <c r="AG287" i="1" s="1"/>
  <c r="X287" i="1"/>
  <c r="AE287" i="1"/>
  <c r="AD295" i="1"/>
  <c r="X295" i="1"/>
  <c r="AB295" i="1"/>
  <c r="T295" i="1"/>
  <c r="AG295" i="1" s="1"/>
  <c r="AE295" i="1"/>
  <c r="V280" i="1"/>
  <c r="AD280" i="1"/>
  <c r="L288" i="1"/>
  <c r="AA288" i="1"/>
  <c r="L292" i="1"/>
  <c r="AA292" i="1"/>
  <c r="AB294" i="1"/>
  <c r="AB298" i="1"/>
  <c r="X303" i="1"/>
  <c r="L304" i="1"/>
  <c r="AA304" i="1"/>
  <c r="X307" i="1"/>
  <c r="L308" i="1"/>
  <c r="AA308" i="1"/>
  <c r="AB310" i="1"/>
  <c r="T311" i="1"/>
  <c r="AG311" i="1" s="1"/>
  <c r="AB311" i="1"/>
  <c r="AB314" i="1"/>
  <c r="T315" i="1"/>
  <c r="AG315" i="1" s="1"/>
  <c r="AB315" i="1"/>
  <c r="X319" i="1"/>
  <c r="L320" i="1"/>
  <c r="AA320" i="1"/>
  <c r="X323" i="1"/>
  <c r="L324" i="1"/>
  <c r="AA324" i="1"/>
  <c r="X326" i="1"/>
  <c r="X327" i="1"/>
  <c r="L328" i="1"/>
  <c r="AA328" i="1"/>
  <c r="X330" i="1"/>
  <c r="X331" i="1"/>
  <c r="L332" i="1"/>
  <c r="AA332" i="1"/>
  <c r="X334" i="1"/>
  <c r="X335" i="1"/>
  <c r="L336" i="1"/>
  <c r="AA336" i="1"/>
  <c r="X339" i="1"/>
  <c r="L340" i="1"/>
  <c r="AA340" i="1"/>
  <c r="T342" i="1"/>
  <c r="AG342" i="1" s="1"/>
  <c r="W343" i="1"/>
  <c r="AE343" i="1"/>
  <c r="Z344" i="1"/>
  <c r="AB346" i="1"/>
  <c r="T347" i="1"/>
  <c r="AG347" i="1" s="1"/>
  <c r="AB347" i="1"/>
  <c r="W348" i="1"/>
  <c r="AE348" i="1"/>
  <c r="Y350" i="1"/>
  <c r="W351" i="1"/>
  <c r="AE351" i="1"/>
  <c r="Z352" i="1"/>
  <c r="V353" i="1"/>
  <c r="AA355" i="1"/>
  <c r="V356" i="1"/>
  <c r="AD356" i="1"/>
  <c r="AD357" i="1"/>
  <c r="W359" i="1"/>
  <c r="AE359" i="1"/>
  <c r="Z360" i="1"/>
  <c r="V361" i="1"/>
  <c r="AA363" i="1"/>
  <c r="V364" i="1"/>
  <c r="AD364" i="1"/>
  <c r="AD365" i="1"/>
  <c r="W367" i="1"/>
  <c r="AE367" i="1"/>
  <c r="Z368" i="1"/>
  <c r="V369" i="1"/>
  <c r="AA371" i="1"/>
  <c r="V372" i="1"/>
  <c r="AD372" i="1"/>
  <c r="AD373" i="1"/>
  <c r="W375" i="1"/>
  <c r="AE375" i="1"/>
  <c r="Z376" i="1"/>
  <c r="V377" i="1"/>
  <c r="AA379" i="1"/>
  <c r="V380" i="1"/>
  <c r="AD380" i="1"/>
  <c r="AD381" i="1"/>
  <c r="W383" i="1"/>
  <c r="AE383" i="1"/>
  <c r="Z384" i="1"/>
  <c r="V385" i="1"/>
  <c r="AA387" i="1"/>
  <c r="V388" i="1"/>
  <c r="AD388" i="1"/>
  <c r="AD389" i="1"/>
  <c r="W391" i="1"/>
  <c r="AE391" i="1"/>
  <c r="Z392" i="1"/>
  <c r="V393" i="1"/>
  <c r="AA395" i="1"/>
  <c r="V396" i="1"/>
  <c r="AD396" i="1"/>
  <c r="AD397" i="1"/>
  <c r="T399" i="1"/>
  <c r="AG399" i="1" s="1"/>
  <c r="AB399" i="1"/>
  <c r="V400" i="1"/>
  <c r="AD400" i="1"/>
  <c r="AD401" i="1"/>
  <c r="X403" i="1"/>
  <c r="Z404" i="1"/>
  <c r="V405" i="1"/>
  <c r="W407" i="1"/>
  <c r="AE407" i="1"/>
  <c r="W408" i="1"/>
  <c r="AE408" i="1"/>
  <c r="L409" i="1"/>
  <c r="W411" i="1"/>
  <c r="AE411" i="1"/>
  <c r="W412" i="1"/>
  <c r="AE412" i="1"/>
  <c r="L413" i="1"/>
  <c r="T415" i="1"/>
  <c r="AG415" i="1" s="1"/>
  <c r="AB415" i="1"/>
  <c r="V416" i="1"/>
  <c r="AD416" i="1"/>
  <c r="AD417" i="1"/>
  <c r="AC418" i="1"/>
  <c r="T419" i="1"/>
  <c r="AG419" i="1" s="1"/>
  <c r="AB419" i="1"/>
  <c r="V420" i="1"/>
  <c r="AD420" i="1"/>
  <c r="AD421" i="1"/>
  <c r="AA423" i="1"/>
  <c r="L424" i="1"/>
  <c r="AA424" i="1"/>
  <c r="Z425" i="1"/>
  <c r="AA427" i="1"/>
  <c r="L428" i="1"/>
  <c r="AA428" i="1"/>
  <c r="Z429" i="1"/>
  <c r="L431" i="1"/>
  <c r="AA431" i="1"/>
  <c r="L432" i="1"/>
  <c r="AA432" i="1"/>
  <c r="Z433" i="1"/>
  <c r="Z436" i="1"/>
  <c r="V437" i="1"/>
  <c r="T439" i="1"/>
  <c r="AG439" i="1" s="1"/>
  <c r="AB439" i="1"/>
  <c r="V440" i="1"/>
  <c r="AD440" i="1"/>
  <c r="AC442" i="1"/>
  <c r="AA443" i="1"/>
  <c r="L444" i="1"/>
  <c r="AA444" i="1"/>
  <c r="Z445" i="1"/>
  <c r="T450" i="1"/>
  <c r="AG450" i="1" s="1"/>
  <c r="AB450" i="1"/>
  <c r="L452" i="1"/>
  <c r="L455" i="1"/>
  <c r="AA455" i="1"/>
  <c r="T458" i="1"/>
  <c r="AG458" i="1" s="1"/>
  <c r="AB458" i="1"/>
  <c r="L460" i="1"/>
  <c r="L463" i="1"/>
  <c r="AA463" i="1"/>
  <c r="T466" i="1"/>
  <c r="AG466" i="1" s="1"/>
  <c r="AB466" i="1"/>
  <c r="L468" i="1"/>
  <c r="Z471" i="1"/>
  <c r="L472" i="1"/>
  <c r="AD472" i="1"/>
  <c r="V474" i="1"/>
  <c r="AA474" i="1"/>
  <c r="L475" i="1"/>
  <c r="AA475" i="1"/>
  <c r="U476" i="1"/>
  <c r="Y477" i="1"/>
  <c r="L479" i="1"/>
  <c r="AA479" i="1"/>
  <c r="T482" i="1"/>
  <c r="AG482" i="1" s="1"/>
  <c r="Z482" i="1"/>
  <c r="AE482" i="1"/>
  <c r="Z483" i="1"/>
  <c r="Z487" i="1"/>
  <c r="L488" i="1"/>
  <c r="AD488" i="1"/>
  <c r="V490" i="1"/>
  <c r="AA490" i="1"/>
  <c r="L491" i="1"/>
  <c r="AA491" i="1"/>
  <c r="L494" i="1"/>
  <c r="X494" i="1"/>
  <c r="AD494" i="1"/>
  <c r="V495" i="1"/>
  <c r="AD495" i="1"/>
  <c r="Y496" i="1"/>
  <c r="T502" i="1"/>
  <c r="AG502" i="1" s="1"/>
  <c r="Z502" i="1"/>
  <c r="AE502" i="1"/>
  <c r="W503" i="1"/>
  <c r="AE503" i="1"/>
  <c r="AD504" i="1"/>
  <c r="AC506" i="1"/>
  <c r="AA506" i="1"/>
  <c r="V506" i="1"/>
  <c r="X506" i="1"/>
  <c r="AE506" i="1"/>
  <c r="V510" i="1"/>
  <c r="AC511" i="1"/>
  <c r="AD511" i="1"/>
  <c r="V511" i="1"/>
  <c r="AA511" i="1"/>
  <c r="L511" i="1"/>
  <c r="Z511" i="1"/>
  <c r="L512" i="1"/>
  <c r="W311" i="1"/>
  <c r="AE311" i="1"/>
  <c r="W315" i="1"/>
  <c r="AE315" i="1"/>
  <c r="X342" i="1"/>
  <c r="L344" i="1"/>
  <c r="AA344" i="1"/>
  <c r="W347" i="1"/>
  <c r="AE347" i="1"/>
  <c r="L352" i="1"/>
  <c r="AA352" i="1"/>
  <c r="L360" i="1"/>
  <c r="AA360" i="1"/>
  <c r="L368" i="1"/>
  <c r="AA368" i="1"/>
  <c r="L376" i="1"/>
  <c r="AA376" i="1"/>
  <c r="L384" i="1"/>
  <c r="AA384" i="1"/>
  <c r="L392" i="1"/>
  <c r="AA392" i="1"/>
  <c r="Z408" i="1"/>
  <c r="V409" i="1"/>
  <c r="Z412" i="1"/>
  <c r="V413" i="1"/>
  <c r="W415" i="1"/>
  <c r="AE415" i="1"/>
  <c r="W419" i="1"/>
  <c r="AE419" i="1"/>
  <c r="V424" i="1"/>
  <c r="AD424" i="1"/>
  <c r="AD425" i="1"/>
  <c r="V428" i="1"/>
  <c r="AD428" i="1"/>
  <c r="W439" i="1"/>
  <c r="AE439" i="1"/>
  <c r="T443" i="1"/>
  <c r="AG443" i="1" s="1"/>
  <c r="AB443" i="1"/>
  <c r="W450" i="1"/>
  <c r="AE450" i="1"/>
  <c r="V452" i="1"/>
  <c r="W458" i="1"/>
  <c r="AE458" i="1"/>
  <c r="V460" i="1"/>
  <c r="W466" i="1"/>
  <c r="AE466" i="1"/>
  <c r="V468" i="1"/>
  <c r="AB477" i="1"/>
  <c r="V482" i="1"/>
  <c r="AA482" i="1"/>
  <c r="L483" i="1"/>
  <c r="AA483" i="1"/>
  <c r="U484" i="1"/>
  <c r="T494" i="1"/>
  <c r="AG494" i="1" s="1"/>
  <c r="Z494" i="1"/>
  <c r="AE494" i="1"/>
  <c r="Z503" i="1"/>
  <c r="L504" i="1"/>
  <c r="L506" i="1"/>
  <c r="Z506" i="1"/>
  <c r="Z510" i="1"/>
  <c r="AE511" i="1"/>
  <c r="V514" i="1"/>
  <c r="Z280" i="1"/>
  <c r="L281" i="1"/>
  <c r="V283" i="1"/>
  <c r="AA283" i="1"/>
  <c r="L284" i="1"/>
  <c r="AA284" i="1"/>
  <c r="W288" i="1"/>
  <c r="AE288" i="1"/>
  <c r="W292" i="1"/>
  <c r="AE292" i="1"/>
  <c r="L296" i="1"/>
  <c r="AA296" i="1"/>
  <c r="L300" i="1"/>
  <c r="AA300" i="1"/>
  <c r="T303" i="1"/>
  <c r="AG303" i="1" s="1"/>
  <c r="AB303" i="1"/>
  <c r="W304" i="1"/>
  <c r="AE304" i="1"/>
  <c r="T307" i="1"/>
  <c r="AG307" i="1" s="1"/>
  <c r="AB307" i="1"/>
  <c r="W308" i="1"/>
  <c r="AE308" i="1"/>
  <c r="X311" i="1"/>
  <c r="L312" i="1"/>
  <c r="AA312" i="1"/>
  <c r="U313" i="1"/>
  <c r="X315" i="1"/>
  <c r="L316" i="1"/>
  <c r="AA316" i="1"/>
  <c r="T319" i="1"/>
  <c r="AG319" i="1" s="1"/>
  <c r="AB319" i="1"/>
  <c r="W320" i="1"/>
  <c r="AE320" i="1"/>
  <c r="T323" i="1"/>
  <c r="AG323" i="1" s="1"/>
  <c r="AB323" i="1"/>
  <c r="W324" i="1"/>
  <c r="AE324" i="1"/>
  <c r="T327" i="1"/>
  <c r="AG327" i="1" s="1"/>
  <c r="AB327" i="1"/>
  <c r="W328" i="1"/>
  <c r="AE328" i="1"/>
  <c r="T331" i="1"/>
  <c r="AG331" i="1" s="1"/>
  <c r="AB331" i="1"/>
  <c r="W332" i="1"/>
  <c r="AE332" i="1"/>
  <c r="T335" i="1"/>
  <c r="AG335" i="1" s="1"/>
  <c r="AB335" i="1"/>
  <c r="W336" i="1"/>
  <c r="AE336" i="1"/>
  <c r="T339" i="1"/>
  <c r="AG339" i="1" s="1"/>
  <c r="AB339" i="1"/>
  <c r="Y342" i="1"/>
  <c r="V344" i="1"/>
  <c r="AD344" i="1"/>
  <c r="X346" i="1"/>
  <c r="X347" i="1"/>
  <c r="L348" i="1"/>
  <c r="AA348" i="1"/>
  <c r="T350" i="1"/>
  <c r="AG350" i="1" s="1"/>
  <c r="AA351" i="1"/>
  <c r="V352" i="1"/>
  <c r="AD352" i="1"/>
  <c r="W355" i="1"/>
  <c r="AE355" i="1"/>
  <c r="Z356" i="1"/>
  <c r="V357" i="1"/>
  <c r="V360" i="1"/>
  <c r="AD360" i="1"/>
  <c r="W363" i="1"/>
  <c r="AE363" i="1"/>
  <c r="Z364" i="1"/>
  <c r="V365" i="1"/>
  <c r="V368" i="1"/>
  <c r="AD368" i="1"/>
  <c r="W371" i="1"/>
  <c r="AE371" i="1"/>
  <c r="Z372" i="1"/>
  <c r="V373" i="1"/>
  <c r="V376" i="1"/>
  <c r="AD376" i="1"/>
  <c r="W379" i="1"/>
  <c r="AE379" i="1"/>
  <c r="Z380" i="1"/>
  <c r="V381" i="1"/>
  <c r="V384" i="1"/>
  <c r="AD384" i="1"/>
  <c r="W387" i="1"/>
  <c r="AE387" i="1"/>
  <c r="Z388" i="1"/>
  <c r="V389" i="1"/>
  <c r="V392" i="1"/>
  <c r="AD392" i="1"/>
  <c r="W395" i="1"/>
  <c r="AE395" i="1"/>
  <c r="Z396" i="1"/>
  <c r="V397" i="1"/>
  <c r="Z400" i="1"/>
  <c r="V401" i="1"/>
  <c r="L408" i="1"/>
  <c r="AA408" i="1"/>
  <c r="Z409" i="1"/>
  <c r="L412" i="1"/>
  <c r="AA412" i="1"/>
  <c r="Z413" i="1"/>
  <c r="X415" i="1"/>
  <c r="Z416" i="1"/>
  <c r="V417" i="1"/>
  <c r="X419" i="1"/>
  <c r="Z420" i="1"/>
  <c r="V421" i="1"/>
  <c r="W423" i="1"/>
  <c r="AE423" i="1"/>
  <c r="W424" i="1"/>
  <c r="AE424" i="1"/>
  <c r="L425" i="1"/>
  <c r="W427" i="1"/>
  <c r="AE427" i="1"/>
  <c r="W428" i="1"/>
  <c r="AE428" i="1"/>
  <c r="L429" i="1"/>
  <c r="W431" i="1"/>
  <c r="AE431" i="1"/>
  <c r="W432" i="1"/>
  <c r="AE432" i="1"/>
  <c r="L433" i="1"/>
  <c r="T435" i="1"/>
  <c r="AG435" i="1" s="1"/>
  <c r="AB435" i="1"/>
  <c r="V436" i="1"/>
  <c r="AD436" i="1"/>
  <c r="AD437" i="1"/>
  <c r="X439" i="1"/>
  <c r="Z440" i="1"/>
  <c r="V441" i="1"/>
  <c r="W443" i="1"/>
  <c r="AE443" i="1"/>
  <c r="W444" i="1"/>
  <c r="AE444" i="1"/>
  <c r="L445" i="1"/>
  <c r="T447" i="1"/>
  <c r="AG447" i="1" s="1"/>
  <c r="Z447" i="1"/>
  <c r="AE447" i="1"/>
  <c r="L448" i="1"/>
  <c r="X450" i="1"/>
  <c r="L451" i="1"/>
  <c r="AA451" i="1"/>
  <c r="Y452" i="1"/>
  <c r="X453" i="1"/>
  <c r="T454" i="1"/>
  <c r="AG454" i="1" s="1"/>
  <c r="AB454" i="1"/>
  <c r="W455" i="1"/>
  <c r="AE455" i="1"/>
  <c r="L456" i="1"/>
  <c r="X458" i="1"/>
  <c r="L459" i="1"/>
  <c r="AA459" i="1"/>
  <c r="Y460" i="1"/>
  <c r="X461" i="1"/>
  <c r="T462" i="1"/>
  <c r="AG462" i="1" s="1"/>
  <c r="AB462" i="1"/>
  <c r="W463" i="1"/>
  <c r="AE463" i="1"/>
  <c r="L464" i="1"/>
  <c r="X466" i="1"/>
  <c r="L467" i="1"/>
  <c r="AA467" i="1"/>
  <c r="Y468" i="1"/>
  <c r="X469" i="1"/>
  <c r="T470" i="1"/>
  <c r="AG470" i="1" s="1"/>
  <c r="AB470" i="1"/>
  <c r="V471" i="1"/>
  <c r="AD471" i="1"/>
  <c r="Y472" i="1"/>
  <c r="L474" i="1"/>
  <c r="X474" i="1"/>
  <c r="AD474" i="1"/>
  <c r="W475" i="1"/>
  <c r="AE475" i="1"/>
  <c r="T478" i="1"/>
  <c r="AG478" i="1" s="1"/>
  <c r="Z478" i="1"/>
  <c r="AE478" i="1"/>
  <c r="W479" i="1"/>
  <c r="AE479" i="1"/>
  <c r="L480" i="1"/>
  <c r="W482" i="1"/>
  <c r="AB482" i="1"/>
  <c r="V483" i="1"/>
  <c r="AD483" i="1"/>
  <c r="L486" i="1"/>
  <c r="X486" i="1"/>
  <c r="AD486" i="1"/>
  <c r="V487" i="1"/>
  <c r="AD487" i="1"/>
  <c r="Y488" i="1"/>
  <c r="L490" i="1"/>
  <c r="X490" i="1"/>
  <c r="AD490" i="1"/>
  <c r="V494" i="1"/>
  <c r="AA494" i="1"/>
  <c r="Z495" i="1"/>
  <c r="L496" i="1"/>
  <c r="V498" i="1"/>
  <c r="AA498" i="1"/>
  <c r="L499" i="1"/>
  <c r="AA499" i="1"/>
  <c r="U500" i="1"/>
  <c r="Y501" i="1"/>
  <c r="W502" i="1"/>
  <c r="AB502" i="1"/>
  <c r="L503" i="1"/>
  <c r="AA503" i="1"/>
  <c r="V504" i="1"/>
  <c r="T506" i="1"/>
  <c r="AG506" i="1" s="1"/>
  <c r="AB506" i="1"/>
  <c r="Z512" i="1"/>
  <c r="Y512" i="1"/>
  <c r="V512" i="1"/>
  <c r="W303" i="1"/>
  <c r="AE303" i="1"/>
  <c r="W307" i="1"/>
  <c r="AE307" i="1"/>
  <c r="AA311" i="1"/>
  <c r="AA315" i="1"/>
  <c r="W319" i="1"/>
  <c r="AE319" i="1"/>
  <c r="W323" i="1"/>
  <c r="AE323" i="1"/>
  <c r="W327" i="1"/>
  <c r="AE327" i="1"/>
  <c r="W331" i="1"/>
  <c r="AE331" i="1"/>
  <c r="W335" i="1"/>
  <c r="AE335" i="1"/>
  <c r="W339" i="1"/>
  <c r="AE339" i="1"/>
  <c r="W344" i="1"/>
  <c r="AE344" i="1"/>
  <c r="AA347" i="1"/>
  <c r="V348" i="1"/>
  <c r="AD348" i="1"/>
  <c r="T351" i="1"/>
  <c r="AG351" i="1" s="1"/>
  <c r="AB351" i="1"/>
  <c r="W352" i="1"/>
  <c r="AE352" i="1"/>
  <c r="X355" i="1"/>
  <c r="L356" i="1"/>
  <c r="AA356" i="1"/>
  <c r="Y357" i="1"/>
  <c r="X358" i="1"/>
  <c r="W360" i="1"/>
  <c r="AE360" i="1"/>
  <c r="X363" i="1"/>
  <c r="L364" i="1"/>
  <c r="AA364" i="1"/>
  <c r="Y365" i="1"/>
  <c r="X366" i="1"/>
  <c r="W368" i="1"/>
  <c r="AE368" i="1"/>
  <c r="X371" i="1"/>
  <c r="L372" i="1"/>
  <c r="AA372" i="1"/>
  <c r="Y373" i="1"/>
  <c r="X374" i="1"/>
  <c r="W376" i="1"/>
  <c r="AE376" i="1"/>
  <c r="X379" i="1"/>
  <c r="L380" i="1"/>
  <c r="AA380" i="1"/>
  <c r="Y381" i="1"/>
  <c r="X382" i="1"/>
  <c r="W384" i="1"/>
  <c r="AE384" i="1"/>
  <c r="X387" i="1"/>
  <c r="L388" i="1"/>
  <c r="AA388" i="1"/>
  <c r="Y389" i="1"/>
  <c r="X390" i="1"/>
  <c r="W392" i="1"/>
  <c r="AE392" i="1"/>
  <c r="X395" i="1"/>
  <c r="L396" i="1"/>
  <c r="AA396" i="1"/>
  <c r="Y397" i="1"/>
  <c r="X398" i="1"/>
  <c r="Y402" i="1"/>
  <c r="V408" i="1"/>
  <c r="AD408" i="1"/>
  <c r="AD409" i="1"/>
  <c r="V412" i="1"/>
  <c r="AD412" i="1"/>
  <c r="AD413" i="1"/>
  <c r="AA415" i="1"/>
  <c r="Z424" i="1"/>
  <c r="V425" i="1"/>
  <c r="Z428" i="1"/>
  <c r="V429" i="1"/>
  <c r="X431" i="1"/>
  <c r="Z432" i="1"/>
  <c r="V433" i="1"/>
  <c r="AA439" i="1"/>
  <c r="X443" i="1"/>
  <c r="Z444" i="1"/>
  <c r="V445" i="1"/>
  <c r="V448" i="1"/>
  <c r="AA450" i="1"/>
  <c r="AD452" i="1"/>
  <c r="W454" i="1"/>
  <c r="AE454" i="1"/>
  <c r="Z455" i="1"/>
  <c r="V456" i="1"/>
  <c r="AA458" i="1"/>
  <c r="AD460" i="1"/>
  <c r="W462" i="1"/>
  <c r="AE462" i="1"/>
  <c r="Z463" i="1"/>
  <c r="V464" i="1"/>
  <c r="AA466" i="1"/>
  <c r="AD468" i="1"/>
  <c r="W470" i="1"/>
  <c r="AE470" i="1"/>
  <c r="W471" i="1"/>
  <c r="AE471" i="1"/>
  <c r="X473" i="1"/>
  <c r="Z479" i="1"/>
  <c r="V480" i="1"/>
  <c r="L482" i="1"/>
  <c r="X482" i="1"/>
  <c r="AD482" i="1"/>
  <c r="W483" i="1"/>
  <c r="AE483" i="1"/>
  <c r="T486" i="1"/>
  <c r="AG486" i="1" s="1"/>
  <c r="Z486" i="1"/>
  <c r="AE486" i="1"/>
  <c r="W487" i="1"/>
  <c r="AE487" i="1"/>
  <c r="X489" i="1"/>
  <c r="W494" i="1"/>
  <c r="AB494" i="1"/>
  <c r="L502" i="1"/>
  <c r="X502" i="1"/>
  <c r="AD502" i="1"/>
  <c r="V503" i="1"/>
  <c r="AD503" i="1"/>
  <c r="AC510" i="1"/>
  <c r="AD510" i="1"/>
  <c r="X510" i="1"/>
  <c r="L510" i="1"/>
  <c r="AB510" i="1"/>
  <c r="W510" i="1"/>
  <c r="T510" i="1"/>
  <c r="AG510" i="1" s="1"/>
  <c r="AE510" i="1"/>
  <c r="AC514" i="1"/>
  <c r="AE514" i="1"/>
  <c r="Z514" i="1"/>
  <c r="T514" i="1"/>
  <c r="AG514" i="1" s="1"/>
  <c r="AD514" i="1"/>
  <c r="X514" i="1"/>
  <c r="L514" i="1"/>
  <c r="AB514" i="1"/>
  <c r="W514" i="1"/>
  <c r="L515" i="1"/>
  <c r="AA515" i="1"/>
  <c r="AB517" i="1"/>
  <c r="L518" i="1"/>
  <c r="X518" i="1"/>
  <c r="AD518" i="1"/>
  <c r="T526" i="1"/>
  <c r="AG526" i="1" s="1"/>
  <c r="Z526" i="1"/>
  <c r="AE526" i="1"/>
  <c r="AB541" i="1"/>
  <c r="Y567" i="1"/>
  <c r="Y571" i="1"/>
  <c r="L582" i="1"/>
  <c r="Z582" i="1"/>
  <c r="X586" i="1"/>
  <c r="Y587" i="1"/>
  <c r="L590" i="1"/>
  <c r="Z590" i="1"/>
  <c r="L594" i="1"/>
  <c r="Z594" i="1"/>
  <c r="X596" i="1"/>
  <c r="AE597" i="1"/>
  <c r="X598" i="1"/>
  <c r="X600" i="1"/>
  <c r="AE601" i="1"/>
  <c r="X602" i="1"/>
  <c r="X604" i="1"/>
  <c r="AE605" i="1"/>
  <c r="Y607" i="1"/>
  <c r="AE612" i="1"/>
  <c r="Z612" i="1"/>
  <c r="L612" i="1"/>
  <c r="T612" i="1"/>
  <c r="AG612" i="1" s="1"/>
  <c r="AD612" i="1"/>
  <c r="AC615" i="1"/>
  <c r="L616" i="1"/>
  <c r="AB626" i="1"/>
  <c r="AC630" i="1"/>
  <c r="X630" i="1"/>
  <c r="AD630" i="1"/>
  <c r="V630" i="1"/>
  <c r="Z630" i="1"/>
  <c r="W632" i="1"/>
  <c r="W640" i="1"/>
  <c r="V515" i="1"/>
  <c r="AD515" i="1"/>
  <c r="T518" i="1"/>
  <c r="AG518" i="1" s="1"/>
  <c r="Z518" i="1"/>
  <c r="AE518" i="1"/>
  <c r="W519" i="1"/>
  <c r="AE519" i="1"/>
  <c r="V526" i="1"/>
  <c r="AA526" i="1"/>
  <c r="Z527" i="1"/>
  <c r="L528" i="1"/>
  <c r="AD528" i="1"/>
  <c r="V530" i="1"/>
  <c r="AA530" i="1"/>
  <c r="L531" i="1"/>
  <c r="AA531" i="1"/>
  <c r="L534" i="1"/>
  <c r="X534" i="1"/>
  <c r="AD534" i="1"/>
  <c r="V535" i="1"/>
  <c r="AD535" i="1"/>
  <c r="Y536" i="1"/>
  <c r="T542" i="1"/>
  <c r="AG542" i="1" s="1"/>
  <c r="Z542" i="1"/>
  <c r="AE542" i="1"/>
  <c r="W543" i="1"/>
  <c r="AE543" i="1"/>
  <c r="L552" i="1"/>
  <c r="Z552" i="1"/>
  <c r="L556" i="1"/>
  <c r="Z556" i="1"/>
  <c r="L560" i="1"/>
  <c r="Z560" i="1"/>
  <c r="AC561" i="1"/>
  <c r="T562" i="1"/>
  <c r="AG562" i="1" s="1"/>
  <c r="AB562" i="1"/>
  <c r="L566" i="1"/>
  <c r="Z566" i="1"/>
  <c r="AA567" i="1"/>
  <c r="V568" i="1"/>
  <c r="AD568" i="1"/>
  <c r="L570" i="1"/>
  <c r="Z570" i="1"/>
  <c r="AA571" i="1"/>
  <c r="V572" i="1"/>
  <c r="AD572" i="1"/>
  <c r="AE577" i="1"/>
  <c r="L580" i="1"/>
  <c r="Z580" i="1"/>
  <c r="T582" i="1"/>
  <c r="AG582" i="1" s="1"/>
  <c r="AB582" i="1"/>
  <c r="L586" i="1"/>
  <c r="Z586" i="1"/>
  <c r="AA587" i="1"/>
  <c r="T590" i="1"/>
  <c r="AG590" i="1" s="1"/>
  <c r="AB590" i="1"/>
  <c r="L598" i="1"/>
  <c r="Z598" i="1"/>
  <c r="L602" i="1"/>
  <c r="Z602" i="1"/>
  <c r="AC606" i="1"/>
  <c r="AD606" i="1"/>
  <c r="V606" i="1"/>
  <c r="L606" i="1"/>
  <c r="AB606" i="1"/>
  <c r="AE608" i="1"/>
  <c r="AD608" i="1"/>
  <c r="V608" i="1"/>
  <c r="L608" i="1"/>
  <c r="AB608" i="1"/>
  <c r="AD613" i="1"/>
  <c r="AE616" i="1"/>
  <c r="AB616" i="1"/>
  <c r="T616" i="1"/>
  <c r="AG616" i="1" s="1"/>
  <c r="V616" i="1"/>
  <c r="AD617" i="1"/>
  <c r="W617" i="1"/>
  <c r="AC618" i="1"/>
  <c r="AD618" i="1"/>
  <c r="AB618" i="1"/>
  <c r="T618" i="1"/>
  <c r="AG618" i="1" s="1"/>
  <c r="V618" i="1"/>
  <c r="AE620" i="1"/>
  <c r="Z620" i="1"/>
  <c r="L620" i="1"/>
  <c r="X620" i="1"/>
  <c r="V620" i="1"/>
  <c r="L626" i="1"/>
  <c r="AA632" i="1"/>
  <c r="AC642" i="1"/>
  <c r="X642" i="1"/>
  <c r="AD642" i="1"/>
  <c r="V642" i="1"/>
  <c r="AB642" i="1"/>
  <c r="T642" i="1"/>
  <c r="AG642" i="1" s="1"/>
  <c r="W515" i="1"/>
  <c r="AE515" i="1"/>
  <c r="T517" i="1"/>
  <c r="AG517" i="1" s="1"/>
  <c r="V518" i="1"/>
  <c r="AA518" i="1"/>
  <c r="Z519" i="1"/>
  <c r="L520" i="1"/>
  <c r="AD520" i="1"/>
  <c r="V522" i="1"/>
  <c r="AA522" i="1"/>
  <c r="L523" i="1"/>
  <c r="AA523" i="1"/>
  <c r="U524" i="1"/>
  <c r="Y525" i="1"/>
  <c r="W526" i="1"/>
  <c r="AB526" i="1"/>
  <c r="L527" i="1"/>
  <c r="AA527" i="1"/>
  <c r="V528" i="1"/>
  <c r="W530" i="1"/>
  <c r="AB530" i="1"/>
  <c r="V531" i="1"/>
  <c r="AD531" i="1"/>
  <c r="T534" i="1"/>
  <c r="AG534" i="1" s="1"/>
  <c r="Z534" i="1"/>
  <c r="AE534" i="1"/>
  <c r="W535" i="1"/>
  <c r="AE535" i="1"/>
  <c r="Z536" i="1"/>
  <c r="X537" i="1"/>
  <c r="T541" i="1"/>
  <c r="AG541" i="1" s="1"/>
  <c r="V542" i="1"/>
  <c r="AA542" i="1"/>
  <c r="Z543" i="1"/>
  <c r="L544" i="1"/>
  <c r="AD544" i="1"/>
  <c r="V546" i="1"/>
  <c r="AA546" i="1"/>
  <c r="L547" i="1"/>
  <c r="AA547" i="1"/>
  <c r="X550" i="1"/>
  <c r="T552" i="1"/>
  <c r="AG552" i="1" s="1"/>
  <c r="AB552" i="1"/>
  <c r="W553" i="1"/>
  <c r="X554" i="1"/>
  <c r="T556" i="1"/>
  <c r="AG556" i="1" s="1"/>
  <c r="AB556" i="1"/>
  <c r="X558" i="1"/>
  <c r="T560" i="1"/>
  <c r="AG560" i="1" s="1"/>
  <c r="AB560" i="1"/>
  <c r="V562" i="1"/>
  <c r="AD562" i="1"/>
  <c r="W563" i="1"/>
  <c r="L564" i="1"/>
  <c r="Z564" i="1"/>
  <c r="T566" i="1"/>
  <c r="AG566" i="1" s="1"/>
  <c r="AB566" i="1"/>
  <c r="AE567" i="1"/>
  <c r="X568" i="1"/>
  <c r="T570" i="1"/>
  <c r="AG570" i="1" s="1"/>
  <c r="AB570" i="1"/>
  <c r="AE571" i="1"/>
  <c r="X572" i="1"/>
  <c r="V574" i="1"/>
  <c r="AD574" i="1"/>
  <c r="W575" i="1"/>
  <c r="L576" i="1"/>
  <c r="Z576" i="1"/>
  <c r="X578" i="1"/>
  <c r="T580" i="1"/>
  <c r="AG580" i="1" s="1"/>
  <c r="AB580" i="1"/>
  <c r="W581" i="1"/>
  <c r="V582" i="1"/>
  <c r="AD582" i="1"/>
  <c r="W583" i="1"/>
  <c r="L584" i="1"/>
  <c r="Z584" i="1"/>
  <c r="T586" i="1"/>
  <c r="AG586" i="1" s="1"/>
  <c r="AB586" i="1"/>
  <c r="AE587" i="1"/>
  <c r="V588" i="1"/>
  <c r="AD588" i="1"/>
  <c r="AA589" i="1"/>
  <c r="V590" i="1"/>
  <c r="AD590" i="1"/>
  <c r="V592" i="1"/>
  <c r="AD592" i="1"/>
  <c r="AA593" i="1"/>
  <c r="V594" i="1"/>
  <c r="AD594" i="1"/>
  <c r="T596" i="1"/>
  <c r="AG596" i="1" s="1"/>
  <c r="AB596" i="1"/>
  <c r="W597" i="1"/>
  <c r="T598" i="1"/>
  <c r="AG598" i="1" s="1"/>
  <c r="AB598" i="1"/>
  <c r="Y599" i="1"/>
  <c r="T600" i="1"/>
  <c r="AG600" i="1" s="1"/>
  <c r="AB600" i="1"/>
  <c r="T602" i="1"/>
  <c r="AG602" i="1" s="1"/>
  <c r="AB602" i="1"/>
  <c r="T606" i="1"/>
  <c r="AG606" i="1" s="1"/>
  <c r="T608" i="1"/>
  <c r="AG608" i="1" s="1"/>
  <c r="AD609" i="1"/>
  <c r="AA609" i="1"/>
  <c r="AC610" i="1"/>
  <c r="AD610" i="1"/>
  <c r="V610" i="1"/>
  <c r="T610" i="1"/>
  <c r="AG610" i="1" s="1"/>
  <c r="W613" i="1"/>
  <c r="X616" i="1"/>
  <c r="X618" i="1"/>
  <c r="AB620" i="1"/>
  <c r="AC634" i="1"/>
  <c r="AD634" i="1"/>
  <c r="V634" i="1"/>
  <c r="AB634" i="1"/>
  <c r="T634" i="1"/>
  <c r="AG634" i="1" s="1"/>
  <c r="Z634" i="1"/>
  <c r="L642" i="1"/>
  <c r="L507" i="1"/>
  <c r="AA507" i="1"/>
  <c r="X513" i="1"/>
  <c r="Z515" i="1"/>
  <c r="W518" i="1"/>
  <c r="AB518" i="1"/>
  <c r="L519" i="1"/>
  <c r="AA519" i="1"/>
  <c r="W522" i="1"/>
  <c r="AB522" i="1"/>
  <c r="V523" i="1"/>
  <c r="AD523" i="1"/>
  <c r="L526" i="1"/>
  <c r="X526" i="1"/>
  <c r="AD526" i="1"/>
  <c r="V527" i="1"/>
  <c r="AD527" i="1"/>
  <c r="L530" i="1"/>
  <c r="X530" i="1"/>
  <c r="AD530" i="1"/>
  <c r="Z535" i="1"/>
  <c r="L536" i="1"/>
  <c r="V538" i="1"/>
  <c r="AA538" i="1"/>
  <c r="L539" i="1"/>
  <c r="AA539" i="1"/>
  <c r="U540" i="1"/>
  <c r="W542" i="1"/>
  <c r="AB542" i="1"/>
  <c r="L543" i="1"/>
  <c r="AA543" i="1"/>
  <c r="W546" i="1"/>
  <c r="AB546" i="1"/>
  <c r="L550" i="1"/>
  <c r="Z550" i="1"/>
  <c r="V552" i="1"/>
  <c r="AD552" i="1"/>
  <c r="L554" i="1"/>
  <c r="Z554" i="1"/>
  <c r="V556" i="1"/>
  <c r="AD556" i="1"/>
  <c r="V560" i="1"/>
  <c r="AD560" i="1"/>
  <c r="X562" i="1"/>
  <c r="W565" i="1"/>
  <c r="V566" i="1"/>
  <c r="AD566" i="1"/>
  <c r="L568" i="1"/>
  <c r="Z568" i="1"/>
  <c r="V570" i="1"/>
  <c r="AD570" i="1"/>
  <c r="L572" i="1"/>
  <c r="Z572" i="1"/>
  <c r="X574" i="1"/>
  <c r="V580" i="1"/>
  <c r="AD580" i="1"/>
  <c r="AC581" i="1"/>
  <c r="X582" i="1"/>
  <c r="W585" i="1"/>
  <c r="V586" i="1"/>
  <c r="AD586" i="1"/>
  <c r="X588" i="1"/>
  <c r="AE589" i="1"/>
  <c r="X590" i="1"/>
  <c r="X592" i="1"/>
  <c r="AE593" i="1"/>
  <c r="X594" i="1"/>
  <c r="V596" i="1"/>
  <c r="AD596" i="1"/>
  <c r="AA597" i="1"/>
  <c r="V598" i="1"/>
  <c r="AD598" i="1"/>
  <c r="V600" i="1"/>
  <c r="AD600" i="1"/>
  <c r="AA601" i="1"/>
  <c r="V602" i="1"/>
  <c r="AD602" i="1"/>
  <c r="X606" i="1"/>
  <c r="X608" i="1"/>
  <c r="AA613" i="1"/>
  <c r="Z616" i="1"/>
  <c r="AC626" i="1"/>
  <c r="X626" i="1"/>
  <c r="AD626" i="1"/>
  <c r="V626" i="1"/>
  <c r="Z626" i="1"/>
  <c r="AC632" i="1"/>
  <c r="AE632" i="1"/>
  <c r="Z632" i="1"/>
  <c r="T632" i="1"/>
  <c r="AG632" i="1" s="1"/>
  <c r="AD632" i="1"/>
  <c r="X632" i="1"/>
  <c r="L632" i="1"/>
  <c r="V632" i="1"/>
  <c r="AD633" i="1"/>
  <c r="AA633" i="1"/>
  <c r="W633" i="1"/>
  <c r="AC640" i="1"/>
  <c r="AE640" i="1"/>
  <c r="Z640" i="1"/>
  <c r="T640" i="1"/>
  <c r="AG640" i="1" s="1"/>
  <c r="AD640" i="1"/>
  <c r="X640" i="1"/>
  <c r="L640" i="1"/>
  <c r="V640" i="1"/>
  <c r="Z642" i="1"/>
  <c r="L650" i="1"/>
  <c r="Z650" i="1"/>
  <c r="X662" i="1"/>
  <c r="Y663" i="1"/>
  <c r="X666" i="1"/>
  <c r="Y667" i="1"/>
  <c r="X670" i="1"/>
  <c r="Y671" i="1"/>
  <c r="X674" i="1"/>
  <c r="Y675" i="1"/>
  <c r="X678" i="1"/>
  <c r="Y679" i="1"/>
  <c r="AE682" i="1"/>
  <c r="AD682" i="1"/>
  <c r="V682" i="1"/>
  <c r="L682" i="1"/>
  <c r="AB682" i="1"/>
  <c r="AD691" i="1"/>
  <c r="W691" i="1"/>
  <c r="AC692" i="1"/>
  <c r="AB692" i="1"/>
  <c r="T692" i="1"/>
  <c r="AG692" i="1" s="1"/>
  <c r="V692" i="1"/>
  <c r="AC696" i="1"/>
  <c r="X696" i="1"/>
  <c r="T696" i="1"/>
  <c r="AG696" i="1" s="1"/>
  <c r="AD696" i="1"/>
  <c r="AC700" i="1"/>
  <c r="X700" i="1"/>
  <c r="AD700" i="1"/>
  <c r="V700" i="1"/>
  <c r="Z700" i="1"/>
  <c r="AE702" i="1"/>
  <c r="AB702" i="1"/>
  <c r="T702" i="1"/>
  <c r="AG702" i="1" s="1"/>
  <c r="Z702" i="1"/>
  <c r="L702" i="1"/>
  <c r="X702" i="1"/>
  <c r="L716" i="1"/>
  <c r="L614" i="1"/>
  <c r="Z614" i="1"/>
  <c r="AE621" i="1"/>
  <c r="X622" i="1"/>
  <c r="V624" i="1"/>
  <c r="AD624" i="1"/>
  <c r="AA625" i="1"/>
  <c r="T628" i="1"/>
  <c r="AG628" i="1" s="1"/>
  <c r="Z628" i="1"/>
  <c r="AE628" i="1"/>
  <c r="AA629" i="1"/>
  <c r="V636" i="1"/>
  <c r="AA636" i="1"/>
  <c r="AE637" i="1"/>
  <c r="X638" i="1"/>
  <c r="W641" i="1"/>
  <c r="V644" i="1"/>
  <c r="AA644" i="1"/>
  <c r="AE645" i="1"/>
  <c r="X646" i="1"/>
  <c r="L648" i="1"/>
  <c r="X648" i="1"/>
  <c r="AD648" i="1"/>
  <c r="W649" i="1"/>
  <c r="T650" i="1"/>
  <c r="AG650" i="1" s="1"/>
  <c r="AB650" i="1"/>
  <c r="V652" i="1"/>
  <c r="AA652" i="1"/>
  <c r="AE653" i="1"/>
  <c r="X654" i="1"/>
  <c r="T656" i="1"/>
  <c r="AG656" i="1" s="1"/>
  <c r="Z656" i="1"/>
  <c r="AE656" i="1"/>
  <c r="AA657" i="1"/>
  <c r="V658" i="1"/>
  <c r="AD658" i="1"/>
  <c r="T660" i="1"/>
  <c r="AG660" i="1" s="1"/>
  <c r="AB660" i="1"/>
  <c r="W661" i="1"/>
  <c r="L662" i="1"/>
  <c r="Z662" i="1"/>
  <c r="AA663" i="1"/>
  <c r="T664" i="1"/>
  <c r="AG664" i="1" s="1"/>
  <c r="AB664" i="1"/>
  <c r="W665" i="1"/>
  <c r="L666" i="1"/>
  <c r="Z666" i="1"/>
  <c r="AA667" i="1"/>
  <c r="T668" i="1"/>
  <c r="AG668" i="1" s="1"/>
  <c r="AB668" i="1"/>
  <c r="W669" i="1"/>
  <c r="L670" i="1"/>
  <c r="Z670" i="1"/>
  <c r="AA671" i="1"/>
  <c r="T672" i="1"/>
  <c r="AG672" i="1" s="1"/>
  <c r="AB672" i="1"/>
  <c r="W673" i="1"/>
  <c r="L674" i="1"/>
  <c r="Z674" i="1"/>
  <c r="AA675" i="1"/>
  <c r="T676" i="1"/>
  <c r="AG676" i="1" s="1"/>
  <c r="AB676" i="1"/>
  <c r="W677" i="1"/>
  <c r="L678" i="1"/>
  <c r="Z678" i="1"/>
  <c r="AA679" i="1"/>
  <c r="T680" i="1"/>
  <c r="AG680" i="1" s="1"/>
  <c r="AB680" i="1"/>
  <c r="W681" i="1"/>
  <c r="T682" i="1"/>
  <c r="AG682" i="1" s="1"/>
  <c r="AA683" i="1"/>
  <c r="AE686" i="1"/>
  <c r="AD686" i="1"/>
  <c r="V686" i="1"/>
  <c r="L686" i="1"/>
  <c r="AB686" i="1"/>
  <c r="L688" i="1"/>
  <c r="X690" i="1"/>
  <c r="X692" i="1"/>
  <c r="V696" i="1"/>
  <c r="AB700" i="1"/>
  <c r="AD702" i="1"/>
  <c r="AC708" i="1"/>
  <c r="X708" i="1"/>
  <c r="AD708" i="1"/>
  <c r="V708" i="1"/>
  <c r="Z708" i="1"/>
  <c r="L622" i="1"/>
  <c r="Z622" i="1"/>
  <c r="AE625" i="1"/>
  <c r="V628" i="1"/>
  <c r="AA628" i="1"/>
  <c r="AE629" i="1"/>
  <c r="W636" i="1"/>
  <c r="AB636" i="1"/>
  <c r="L638" i="1"/>
  <c r="Z638" i="1"/>
  <c r="AA641" i="1"/>
  <c r="L646" i="1"/>
  <c r="Z646" i="1"/>
  <c r="T648" i="1"/>
  <c r="AG648" i="1" s="1"/>
  <c r="Z648" i="1"/>
  <c r="AE648" i="1"/>
  <c r="AA649" i="1"/>
  <c r="V650" i="1"/>
  <c r="AD650" i="1"/>
  <c r="L654" i="1"/>
  <c r="Z654" i="1"/>
  <c r="V656" i="1"/>
  <c r="AA656" i="1"/>
  <c r="AE657" i="1"/>
  <c r="X658" i="1"/>
  <c r="V660" i="1"/>
  <c r="AD660" i="1"/>
  <c r="AA661" i="1"/>
  <c r="T662" i="1"/>
  <c r="AG662" i="1" s="1"/>
  <c r="AB662" i="1"/>
  <c r="AE663" i="1"/>
  <c r="V664" i="1"/>
  <c r="AD664" i="1"/>
  <c r="AA665" i="1"/>
  <c r="T666" i="1"/>
  <c r="AG666" i="1" s="1"/>
  <c r="AB666" i="1"/>
  <c r="AE667" i="1"/>
  <c r="V668" i="1"/>
  <c r="AD668" i="1"/>
  <c r="AA669" i="1"/>
  <c r="T670" i="1"/>
  <c r="AG670" i="1" s="1"/>
  <c r="AB670" i="1"/>
  <c r="AE671" i="1"/>
  <c r="V672" i="1"/>
  <c r="AD672" i="1"/>
  <c r="AA673" i="1"/>
  <c r="T674" i="1"/>
  <c r="AG674" i="1" s="1"/>
  <c r="AB674" i="1"/>
  <c r="AE675" i="1"/>
  <c r="V676" i="1"/>
  <c r="AD676" i="1"/>
  <c r="T678" i="1"/>
  <c r="AG678" i="1" s="1"/>
  <c r="AB678" i="1"/>
  <c r="AE679" i="1"/>
  <c r="X682" i="1"/>
  <c r="AD687" i="1"/>
  <c r="AA687" i="1"/>
  <c r="AC688" i="1"/>
  <c r="AD688" i="1"/>
  <c r="V688" i="1"/>
  <c r="T688" i="1"/>
  <c r="AG688" i="1" s="1"/>
  <c r="AA691" i="1"/>
  <c r="Z692" i="1"/>
  <c r="Z696" i="1"/>
  <c r="L700" i="1"/>
  <c r="AD703" i="1"/>
  <c r="W703" i="1"/>
  <c r="AB708" i="1"/>
  <c r="AE641" i="1"/>
  <c r="V648" i="1"/>
  <c r="AA648" i="1"/>
  <c r="AE649" i="1"/>
  <c r="X650" i="1"/>
  <c r="W656" i="1"/>
  <c r="AB656" i="1"/>
  <c r="L658" i="1"/>
  <c r="Z658" i="1"/>
  <c r="AE661" i="1"/>
  <c r="V662" i="1"/>
  <c r="AD662" i="1"/>
  <c r="X664" i="1"/>
  <c r="AE665" i="1"/>
  <c r="V666" i="1"/>
  <c r="AD666" i="1"/>
  <c r="X668" i="1"/>
  <c r="AE669" i="1"/>
  <c r="V670" i="1"/>
  <c r="AD670" i="1"/>
  <c r="X672" i="1"/>
  <c r="AE673" i="1"/>
  <c r="V674" i="1"/>
  <c r="AD674" i="1"/>
  <c r="X676" i="1"/>
  <c r="AE677" i="1"/>
  <c r="V678" i="1"/>
  <c r="AD678" i="1"/>
  <c r="X680" i="1"/>
  <c r="AE681" i="1"/>
  <c r="Z682" i="1"/>
  <c r="X688" i="1"/>
  <c r="AE690" i="1"/>
  <c r="AB690" i="1"/>
  <c r="T690" i="1"/>
  <c r="AG690" i="1" s="1"/>
  <c r="L690" i="1"/>
  <c r="AD690" i="1"/>
  <c r="AE691" i="1"/>
  <c r="L692" i="1"/>
  <c r="AD692" i="1"/>
  <c r="L696" i="1"/>
  <c r="AB696" i="1"/>
  <c r="T700" i="1"/>
  <c r="AG700" i="1" s="1"/>
  <c r="AA703" i="1"/>
  <c r="AC716" i="1"/>
  <c r="X716" i="1"/>
  <c r="AD716" i="1"/>
  <c r="V716" i="1"/>
  <c r="AB716" i="1"/>
  <c r="T716" i="1"/>
  <c r="AG716" i="1" s="1"/>
  <c r="X726" i="1"/>
  <c r="AE727" i="1"/>
  <c r="L736" i="1"/>
  <c r="Z736" i="1"/>
  <c r="L744" i="1"/>
  <c r="Z744" i="1"/>
  <c r="X756" i="1"/>
  <c r="X758" i="1"/>
  <c r="Y759" i="1"/>
  <c r="AE762" i="1"/>
  <c r="AB762" i="1"/>
  <c r="T762" i="1"/>
  <c r="AG762" i="1" s="1"/>
  <c r="Z762" i="1"/>
  <c r="AE766" i="1"/>
  <c r="AB766" i="1"/>
  <c r="T766" i="1"/>
  <c r="AG766" i="1" s="1"/>
  <c r="L766" i="1"/>
  <c r="AD766" i="1"/>
  <c r="AE771" i="1"/>
  <c r="AA771" i="1"/>
  <c r="AE782" i="1"/>
  <c r="Z782" i="1"/>
  <c r="L782" i="1"/>
  <c r="AD782" i="1"/>
  <c r="V782" i="1"/>
  <c r="X782" i="1"/>
  <c r="AD795" i="1"/>
  <c r="W795" i="1"/>
  <c r="AA795" i="1"/>
  <c r="AC800" i="1"/>
  <c r="AD800" i="1"/>
  <c r="V800" i="1"/>
  <c r="AB800" i="1"/>
  <c r="T800" i="1"/>
  <c r="AG800" i="1" s="1"/>
  <c r="X800" i="1"/>
  <c r="X710" i="1"/>
  <c r="AE711" i="1"/>
  <c r="X718" i="1"/>
  <c r="AE719" i="1"/>
  <c r="L726" i="1"/>
  <c r="Z726" i="1"/>
  <c r="L728" i="1"/>
  <c r="Z728" i="1"/>
  <c r="X730" i="1"/>
  <c r="AE731" i="1"/>
  <c r="T736" i="1"/>
  <c r="AG736" i="1" s="1"/>
  <c r="AB736" i="1"/>
  <c r="X738" i="1"/>
  <c r="AE739" i="1"/>
  <c r="T744" i="1"/>
  <c r="AG744" i="1" s="1"/>
  <c r="AB744" i="1"/>
  <c r="X746" i="1"/>
  <c r="AE747" i="1"/>
  <c r="X750" i="1"/>
  <c r="AE751" i="1"/>
  <c r="T754" i="1"/>
  <c r="AG754" i="1" s="1"/>
  <c r="AB754" i="1"/>
  <c r="W755" i="1"/>
  <c r="L756" i="1"/>
  <c r="Z756" i="1"/>
  <c r="L758" i="1"/>
  <c r="Z758" i="1"/>
  <c r="AA759" i="1"/>
  <c r="L762" i="1"/>
  <c r="AD762" i="1"/>
  <c r="AE767" i="1"/>
  <c r="AA767" i="1"/>
  <c r="AC772" i="1"/>
  <c r="AD772" i="1"/>
  <c r="V772" i="1"/>
  <c r="L772" i="1"/>
  <c r="AB772" i="1"/>
  <c r="AE778" i="1"/>
  <c r="AD778" i="1"/>
  <c r="V778" i="1"/>
  <c r="Z778" i="1"/>
  <c r="L778" i="1"/>
  <c r="X778" i="1"/>
  <c r="AB782" i="1"/>
  <c r="AC792" i="1"/>
  <c r="AD792" i="1"/>
  <c r="V792" i="1"/>
  <c r="AB792" i="1"/>
  <c r="T792" i="1"/>
  <c r="AG792" i="1" s="1"/>
  <c r="X792" i="1"/>
  <c r="AE794" i="1"/>
  <c r="AB794" i="1"/>
  <c r="T794" i="1"/>
  <c r="AG794" i="1" s="1"/>
  <c r="Z794" i="1"/>
  <c r="L794" i="1"/>
  <c r="AD794" i="1"/>
  <c r="V794" i="1"/>
  <c r="AE795" i="1"/>
  <c r="AD803" i="1"/>
  <c r="W803" i="1"/>
  <c r="AA803" i="1"/>
  <c r="X684" i="1"/>
  <c r="AE685" i="1"/>
  <c r="X694" i="1"/>
  <c r="AE695" i="1"/>
  <c r="V698" i="1"/>
  <c r="AD698" i="1"/>
  <c r="AA699" i="1"/>
  <c r="L704" i="1"/>
  <c r="Z704" i="1"/>
  <c r="V706" i="1"/>
  <c r="AD706" i="1"/>
  <c r="AA707" i="1"/>
  <c r="L710" i="1"/>
  <c r="Z710" i="1"/>
  <c r="L712" i="1"/>
  <c r="Z712" i="1"/>
  <c r="V714" i="1"/>
  <c r="AD714" i="1"/>
  <c r="AA715" i="1"/>
  <c r="L718" i="1"/>
  <c r="Z718" i="1"/>
  <c r="L720" i="1"/>
  <c r="Z720" i="1"/>
  <c r="X722" i="1"/>
  <c r="AE723" i="1"/>
  <c r="X724" i="1"/>
  <c r="T726" i="1"/>
  <c r="AG726" i="1" s="1"/>
  <c r="AB726" i="1"/>
  <c r="W727" i="1"/>
  <c r="T728" i="1"/>
  <c r="AG728" i="1" s="1"/>
  <c r="AB728" i="1"/>
  <c r="L730" i="1"/>
  <c r="Z730" i="1"/>
  <c r="L732" i="1"/>
  <c r="Z732" i="1"/>
  <c r="V734" i="1"/>
  <c r="AD734" i="1"/>
  <c r="AA735" i="1"/>
  <c r="V736" i="1"/>
  <c r="AD736" i="1"/>
  <c r="L738" i="1"/>
  <c r="Z738" i="1"/>
  <c r="L740" i="1"/>
  <c r="Z740" i="1"/>
  <c r="V742" i="1"/>
  <c r="AD742" i="1"/>
  <c r="AA743" i="1"/>
  <c r="V744" i="1"/>
  <c r="AD744" i="1"/>
  <c r="L746" i="1"/>
  <c r="Z746" i="1"/>
  <c r="L748" i="1"/>
  <c r="Z748" i="1"/>
  <c r="L750" i="1"/>
  <c r="Z750" i="1"/>
  <c r="L752" i="1"/>
  <c r="Z752" i="1"/>
  <c r="V754" i="1"/>
  <c r="AD754" i="1"/>
  <c r="AA755" i="1"/>
  <c r="T756" i="1"/>
  <c r="AG756" i="1" s="1"/>
  <c r="AB756" i="1"/>
  <c r="Y757" i="1"/>
  <c r="T758" i="1"/>
  <c r="AG758" i="1" s="1"/>
  <c r="AB758" i="1"/>
  <c r="AE759" i="1"/>
  <c r="V760" i="1"/>
  <c r="AD760" i="1"/>
  <c r="AA761" i="1"/>
  <c r="V762" i="1"/>
  <c r="AE763" i="1"/>
  <c r="AA763" i="1"/>
  <c r="W765" i="1"/>
  <c r="X766" i="1"/>
  <c r="AC768" i="1"/>
  <c r="AD768" i="1"/>
  <c r="V768" i="1"/>
  <c r="L768" i="1"/>
  <c r="AB768" i="1"/>
  <c r="AE769" i="1"/>
  <c r="W771" i="1"/>
  <c r="T772" i="1"/>
  <c r="AG772" i="1" s="1"/>
  <c r="AE774" i="1"/>
  <c r="AB774" i="1"/>
  <c r="T774" i="1"/>
  <c r="AG774" i="1" s="1"/>
  <c r="L774" i="1"/>
  <c r="AD774" i="1"/>
  <c r="AC776" i="1"/>
  <c r="X776" i="1"/>
  <c r="AB776" i="1"/>
  <c r="T776" i="1"/>
  <c r="AG776" i="1" s="1"/>
  <c r="Z776" i="1"/>
  <c r="AB778" i="1"/>
  <c r="AD783" i="1"/>
  <c r="AA783" i="1"/>
  <c r="L792" i="1"/>
  <c r="Z800" i="1"/>
  <c r="AE803" i="1"/>
  <c r="X698" i="1"/>
  <c r="AE699" i="1"/>
  <c r="X706" i="1"/>
  <c r="AE707" i="1"/>
  <c r="T710" i="1"/>
  <c r="AG710" i="1" s="1"/>
  <c r="AB710" i="1"/>
  <c r="W711" i="1"/>
  <c r="X714" i="1"/>
  <c r="AE715" i="1"/>
  <c r="T718" i="1"/>
  <c r="AG718" i="1" s="1"/>
  <c r="AB718" i="1"/>
  <c r="W719" i="1"/>
  <c r="L724" i="1"/>
  <c r="Z724" i="1"/>
  <c r="V726" i="1"/>
  <c r="AD726" i="1"/>
  <c r="AA727" i="1"/>
  <c r="V728" i="1"/>
  <c r="AD728" i="1"/>
  <c r="T730" i="1"/>
  <c r="AG730" i="1" s="1"/>
  <c r="AB730" i="1"/>
  <c r="W731" i="1"/>
  <c r="X734" i="1"/>
  <c r="AE735" i="1"/>
  <c r="X736" i="1"/>
  <c r="T738" i="1"/>
  <c r="AG738" i="1" s="1"/>
  <c r="AB738" i="1"/>
  <c r="W739" i="1"/>
  <c r="X742" i="1"/>
  <c r="AE743" i="1"/>
  <c r="X744" i="1"/>
  <c r="T746" i="1"/>
  <c r="AG746" i="1" s="1"/>
  <c r="AB746" i="1"/>
  <c r="W747" i="1"/>
  <c r="T750" i="1"/>
  <c r="AG750" i="1" s="1"/>
  <c r="AB750" i="1"/>
  <c r="W751" i="1"/>
  <c r="X754" i="1"/>
  <c r="AE755" i="1"/>
  <c r="V756" i="1"/>
  <c r="AD756" i="1"/>
  <c r="V758" i="1"/>
  <c r="AD758" i="1"/>
  <c r="X760" i="1"/>
  <c r="X762" i="1"/>
  <c r="AC764" i="1"/>
  <c r="AD764" i="1"/>
  <c r="V764" i="1"/>
  <c r="L764" i="1"/>
  <c r="AB764" i="1"/>
  <c r="AE765" i="1"/>
  <c r="Z766" i="1"/>
  <c r="W767" i="1"/>
  <c r="AE770" i="1"/>
  <c r="AB770" i="1"/>
  <c r="T770" i="1"/>
  <c r="AG770" i="1" s="1"/>
  <c r="L770" i="1"/>
  <c r="AD770" i="1"/>
  <c r="Y771" i="1"/>
  <c r="X772" i="1"/>
  <c r="AD779" i="1"/>
  <c r="AA779" i="1"/>
  <c r="T782" i="1"/>
  <c r="AG782" i="1" s="1"/>
  <c r="AC788" i="1"/>
  <c r="X788" i="1"/>
  <c r="AB788" i="1"/>
  <c r="T788" i="1"/>
  <c r="AG788" i="1" s="1"/>
  <c r="Z788" i="1"/>
  <c r="Z792" i="1"/>
  <c r="X794" i="1"/>
  <c r="W775" i="1"/>
  <c r="L780" i="1"/>
  <c r="Z780" i="1"/>
  <c r="V784" i="1"/>
  <c r="AD784" i="1"/>
  <c r="T786" i="1"/>
  <c r="AG786" i="1" s="1"/>
  <c r="AB786" i="1"/>
  <c r="X790" i="1"/>
  <c r="AE791" i="1"/>
  <c r="V796" i="1"/>
  <c r="AD796" i="1"/>
  <c r="X798" i="1"/>
  <c r="AE799" i="1"/>
  <c r="V802" i="1"/>
  <c r="AD802" i="1"/>
  <c r="V804" i="1"/>
  <c r="AD804" i="1"/>
  <c r="L806" i="1"/>
  <c r="X806" i="1"/>
  <c r="AD806" i="1"/>
  <c r="W807" i="1"/>
  <c r="T808" i="1"/>
  <c r="AG808" i="1" s="1"/>
  <c r="AB808" i="1"/>
  <c r="X811" i="1"/>
  <c r="AD811" i="1"/>
  <c r="W813" i="1"/>
  <c r="AB813" i="1"/>
  <c r="T815" i="1"/>
  <c r="AG815" i="1" s="1"/>
  <c r="AB815" i="1"/>
  <c r="T817" i="1"/>
  <c r="AG817" i="1" s="1"/>
  <c r="Z817" i="1"/>
  <c r="AE817" i="1"/>
  <c r="W818" i="1"/>
  <c r="AE818" i="1"/>
  <c r="L819" i="1"/>
  <c r="L821" i="1"/>
  <c r="X821" i="1"/>
  <c r="AD821" i="1"/>
  <c r="V825" i="1"/>
  <c r="AA825" i="1"/>
  <c r="Z826" i="1"/>
  <c r="V827" i="1"/>
  <c r="L830" i="1"/>
  <c r="AA830" i="1"/>
  <c r="Z831" i="1"/>
  <c r="T833" i="1"/>
  <c r="AG833" i="1" s="1"/>
  <c r="Z833" i="1"/>
  <c r="AE833" i="1"/>
  <c r="W834" i="1"/>
  <c r="AE834" i="1"/>
  <c r="L835" i="1"/>
  <c r="V837" i="1"/>
  <c r="AA837" i="1"/>
  <c r="Z838" i="1"/>
  <c r="V839" i="1"/>
  <c r="L841" i="1"/>
  <c r="X841" i="1"/>
  <c r="AD841" i="1"/>
  <c r="V842" i="1"/>
  <c r="AD842" i="1"/>
  <c r="T845" i="1"/>
  <c r="AG845" i="1" s="1"/>
  <c r="Z845" i="1"/>
  <c r="AE845" i="1"/>
  <c r="W846" i="1"/>
  <c r="AE846" i="1"/>
  <c r="L847" i="1"/>
  <c r="L849" i="1"/>
  <c r="X849" i="1"/>
  <c r="V854" i="1"/>
  <c r="AC855" i="1"/>
  <c r="L855" i="1"/>
  <c r="Z855" i="1"/>
  <c r="L811" i="1"/>
  <c r="Y811" i="1"/>
  <c r="V817" i="1"/>
  <c r="AA817" i="1"/>
  <c r="Z818" i="1"/>
  <c r="V819" i="1"/>
  <c r="T821" i="1"/>
  <c r="AG821" i="1" s="1"/>
  <c r="Z821" i="1"/>
  <c r="AE821" i="1"/>
  <c r="Z834" i="1"/>
  <c r="V835" i="1"/>
  <c r="T841" i="1"/>
  <c r="AG841" i="1" s="1"/>
  <c r="Z841" i="1"/>
  <c r="AE841" i="1"/>
  <c r="Z846" i="1"/>
  <c r="V847" i="1"/>
  <c r="AC849" i="1"/>
  <c r="AD849" i="1"/>
  <c r="T849" i="1"/>
  <c r="AG849" i="1" s="1"/>
  <c r="Z849" i="1"/>
  <c r="AC850" i="1"/>
  <c r="AD850" i="1"/>
  <c r="V850" i="1"/>
  <c r="L850" i="1"/>
  <c r="AE850" i="1"/>
  <c r="Z854" i="1"/>
  <c r="AC858" i="1"/>
  <c r="AE858" i="1"/>
  <c r="W858" i="1"/>
  <c r="AA858" i="1"/>
  <c r="L858" i="1"/>
  <c r="Z858" i="1"/>
  <c r="AE775" i="1"/>
  <c r="L784" i="1"/>
  <c r="Z784" i="1"/>
  <c r="X786" i="1"/>
  <c r="AE787" i="1"/>
  <c r="T790" i="1"/>
  <c r="AG790" i="1" s="1"/>
  <c r="AB790" i="1"/>
  <c r="W791" i="1"/>
  <c r="L796" i="1"/>
  <c r="Z796" i="1"/>
  <c r="T798" i="1"/>
  <c r="AG798" i="1" s="1"/>
  <c r="AB798" i="1"/>
  <c r="W799" i="1"/>
  <c r="L804" i="1"/>
  <c r="Z804" i="1"/>
  <c r="V806" i="1"/>
  <c r="AA806" i="1"/>
  <c r="AE807" i="1"/>
  <c r="X808" i="1"/>
  <c r="V810" i="1"/>
  <c r="AA810" i="1"/>
  <c r="T811" i="1"/>
  <c r="AG811" i="1" s="1"/>
  <c r="AB811" i="1"/>
  <c r="T813" i="1"/>
  <c r="AG813" i="1" s="1"/>
  <c r="Z813" i="1"/>
  <c r="AE813" i="1"/>
  <c r="AC814" i="1"/>
  <c r="X815" i="1"/>
  <c r="AD815" i="1"/>
  <c r="W817" i="1"/>
  <c r="AB817" i="1"/>
  <c r="L818" i="1"/>
  <c r="AA818" i="1"/>
  <c r="Z819" i="1"/>
  <c r="V821" i="1"/>
  <c r="AA821" i="1"/>
  <c r="Z822" i="1"/>
  <c r="V823" i="1"/>
  <c r="L825" i="1"/>
  <c r="X825" i="1"/>
  <c r="AD825" i="1"/>
  <c r="V826" i="1"/>
  <c r="AD826" i="1"/>
  <c r="AD827" i="1"/>
  <c r="T829" i="1"/>
  <c r="AG829" i="1" s="1"/>
  <c r="Z829" i="1"/>
  <c r="AE829" i="1"/>
  <c r="W830" i="1"/>
  <c r="AE830" i="1"/>
  <c r="L831" i="1"/>
  <c r="W833" i="1"/>
  <c r="AB833" i="1"/>
  <c r="L834" i="1"/>
  <c r="AA834" i="1"/>
  <c r="Z835" i="1"/>
  <c r="L837" i="1"/>
  <c r="X837" i="1"/>
  <c r="AD837" i="1"/>
  <c r="V838" i="1"/>
  <c r="AD838" i="1"/>
  <c r="V841" i="1"/>
  <c r="AA841" i="1"/>
  <c r="Z842" i="1"/>
  <c r="V843" i="1"/>
  <c r="W845" i="1"/>
  <c r="AB845" i="1"/>
  <c r="L846" i="1"/>
  <c r="AA846" i="1"/>
  <c r="Z847" i="1"/>
  <c r="V849" i="1"/>
  <c r="AA849" i="1"/>
  <c r="W850" i="1"/>
  <c r="AC851" i="1"/>
  <c r="AD851" i="1"/>
  <c r="Z851" i="1"/>
  <c r="AD858" i="1"/>
  <c r="V798" i="1"/>
  <c r="AD798" i="1"/>
  <c r="W806" i="1"/>
  <c r="AB806" i="1"/>
  <c r="L808" i="1"/>
  <c r="Z808" i="1"/>
  <c r="V811" i="1"/>
  <c r="V813" i="1"/>
  <c r="AA813" i="1"/>
  <c r="L815" i="1"/>
  <c r="L817" i="1"/>
  <c r="X817" i="1"/>
  <c r="AD817" i="1"/>
  <c r="V818" i="1"/>
  <c r="AD818" i="1"/>
  <c r="AD819" i="1"/>
  <c r="W821" i="1"/>
  <c r="AB821" i="1"/>
  <c r="T825" i="1"/>
  <c r="AG825" i="1" s="1"/>
  <c r="Z825" i="1"/>
  <c r="AE825" i="1"/>
  <c r="Z830" i="1"/>
  <c r="V831" i="1"/>
  <c r="V834" i="1"/>
  <c r="AD834" i="1"/>
  <c r="AD835" i="1"/>
  <c r="T837" i="1"/>
  <c r="AG837" i="1" s="1"/>
  <c r="Z837" i="1"/>
  <c r="AE837" i="1"/>
  <c r="W841" i="1"/>
  <c r="AB841" i="1"/>
  <c r="Y844" i="1"/>
  <c r="V846" i="1"/>
  <c r="AD846" i="1"/>
  <c r="AD847" i="1"/>
  <c r="W849" i="1"/>
  <c r="AB849" i="1"/>
  <c r="AC854" i="1"/>
  <c r="AE854" i="1"/>
  <c r="W854" i="1"/>
  <c r="L854" i="1"/>
  <c r="AD854" i="1"/>
  <c r="T853" i="1"/>
  <c r="AG853" i="1" s="1"/>
  <c r="Z853" i="1"/>
  <c r="AE853" i="1"/>
  <c r="W857" i="1"/>
  <c r="AB857" i="1"/>
  <c r="Z859" i="1"/>
  <c r="Y860" i="1"/>
  <c r="L861" i="1"/>
  <c r="X861" i="1"/>
  <c r="AD861" i="1"/>
  <c r="V862" i="1"/>
  <c r="AD862" i="1"/>
  <c r="AD863" i="1"/>
  <c r="V865" i="1"/>
  <c r="AA865" i="1"/>
  <c r="Z866" i="1"/>
  <c r="W867" i="1"/>
  <c r="V868" i="1"/>
  <c r="AC868" i="1"/>
  <c r="L870" i="1"/>
  <c r="X870" i="1"/>
  <c r="AD870" i="1"/>
  <c r="L872" i="1"/>
  <c r="Z872" i="1"/>
  <c r="W874" i="1"/>
  <c r="AB874" i="1"/>
  <c r="AE875" i="1"/>
  <c r="X876" i="1"/>
  <c r="T878" i="1"/>
  <c r="AG878" i="1" s="1"/>
  <c r="Z878" i="1"/>
  <c r="AE878" i="1"/>
  <c r="W879" i="1"/>
  <c r="T880" i="1"/>
  <c r="AG880" i="1" s="1"/>
  <c r="AB880" i="1"/>
  <c r="W882" i="1"/>
  <c r="AB882" i="1"/>
  <c r="X884" i="1"/>
  <c r="W886" i="1"/>
  <c r="L888" i="1"/>
  <c r="AC898" i="1"/>
  <c r="AE898" i="1"/>
  <c r="Z898" i="1"/>
  <c r="T898" i="1"/>
  <c r="AG898" i="1" s="1"/>
  <c r="AD898" i="1"/>
  <c r="X898" i="1"/>
  <c r="L898" i="1"/>
  <c r="V898" i="1"/>
  <c r="AD899" i="1"/>
  <c r="AC899" i="1"/>
  <c r="W899" i="1"/>
  <c r="L900" i="1"/>
  <c r="V914" i="1"/>
  <c r="Y931" i="1"/>
  <c r="T931" i="1"/>
  <c r="AG931" i="1" s="1"/>
  <c r="AB931" i="1"/>
  <c r="X931" i="1"/>
  <c r="AE950" i="1"/>
  <c r="AB950" i="1"/>
  <c r="T950" i="1"/>
  <c r="AG950" i="1" s="1"/>
  <c r="Z950" i="1"/>
  <c r="L950" i="1"/>
  <c r="AD950" i="1"/>
  <c r="X950" i="1"/>
  <c r="AC956" i="1"/>
  <c r="AD956" i="1"/>
  <c r="V956" i="1"/>
  <c r="Z956" i="1"/>
  <c r="X956" i="1"/>
  <c r="T956" i="1"/>
  <c r="AG956" i="1" s="1"/>
  <c r="L956" i="1"/>
  <c r="T861" i="1"/>
  <c r="AG861" i="1" s="1"/>
  <c r="Z861" i="1"/>
  <c r="AE861" i="1"/>
  <c r="W865" i="1"/>
  <c r="AB865" i="1"/>
  <c r="T870" i="1"/>
  <c r="AG870" i="1" s="1"/>
  <c r="Z870" i="1"/>
  <c r="AE870" i="1"/>
  <c r="L876" i="1"/>
  <c r="Z876" i="1"/>
  <c r="Y879" i="1"/>
  <c r="V880" i="1"/>
  <c r="AD880" i="1"/>
  <c r="AC886" i="1"/>
  <c r="AE886" i="1"/>
  <c r="Z886" i="1"/>
  <c r="T886" i="1"/>
  <c r="AG886" i="1" s="1"/>
  <c r="X886" i="1"/>
  <c r="AD887" i="1"/>
  <c r="AA887" i="1"/>
  <c r="AC888" i="1"/>
  <c r="AD888" i="1"/>
  <c r="V888" i="1"/>
  <c r="T888" i="1"/>
  <c r="AG888" i="1" s="1"/>
  <c r="AC892" i="1"/>
  <c r="X892" i="1"/>
  <c r="AD892" i="1"/>
  <c r="V892" i="1"/>
  <c r="Z892" i="1"/>
  <c r="W898" i="1"/>
  <c r="AC902" i="1"/>
  <c r="AE902" i="1"/>
  <c r="Z902" i="1"/>
  <c r="T902" i="1"/>
  <c r="AG902" i="1" s="1"/>
  <c r="AD902" i="1"/>
  <c r="X902" i="1"/>
  <c r="L902" i="1"/>
  <c r="AB902" i="1"/>
  <c r="W902" i="1"/>
  <c r="AA903" i="1"/>
  <c r="Y903" i="1"/>
  <c r="AC942" i="1"/>
  <c r="AD942" i="1"/>
  <c r="Z942" i="1"/>
  <c r="V942" i="1"/>
  <c r="L942" i="1"/>
  <c r="V950" i="1"/>
  <c r="AB956" i="1"/>
  <c r="T857" i="1"/>
  <c r="AG857" i="1" s="1"/>
  <c r="Z857" i="1"/>
  <c r="AE857" i="1"/>
  <c r="L859" i="1"/>
  <c r="V861" i="1"/>
  <c r="AA861" i="1"/>
  <c r="Z862" i="1"/>
  <c r="V863" i="1"/>
  <c r="L865" i="1"/>
  <c r="X865" i="1"/>
  <c r="AD865" i="1"/>
  <c r="V866" i="1"/>
  <c r="AD866" i="1"/>
  <c r="L868" i="1"/>
  <c r="V870" i="1"/>
  <c r="AA870" i="1"/>
  <c r="Y871" i="1"/>
  <c r="V872" i="1"/>
  <c r="AD872" i="1"/>
  <c r="T874" i="1"/>
  <c r="AG874" i="1" s="1"/>
  <c r="Z874" i="1"/>
  <c r="AE874" i="1"/>
  <c r="W875" i="1"/>
  <c r="T876" i="1"/>
  <c r="AG876" i="1" s="1"/>
  <c r="AB876" i="1"/>
  <c r="W878" i="1"/>
  <c r="AB878" i="1"/>
  <c r="AE879" i="1"/>
  <c r="X880" i="1"/>
  <c r="T882" i="1"/>
  <c r="AG882" i="1" s="1"/>
  <c r="Z882" i="1"/>
  <c r="AE882" i="1"/>
  <c r="L884" i="1"/>
  <c r="L886" i="1"/>
  <c r="AA886" i="1"/>
  <c r="X888" i="1"/>
  <c r="AB892" i="1"/>
  <c r="AA898" i="1"/>
  <c r="AD900" i="1"/>
  <c r="X900" i="1"/>
  <c r="AC900" i="1"/>
  <c r="V900" i="1"/>
  <c r="Y900" i="1"/>
  <c r="AC914" i="1"/>
  <c r="AE914" i="1"/>
  <c r="Z914" i="1"/>
  <c r="T914" i="1"/>
  <c r="AG914" i="1" s="1"/>
  <c r="AD914" i="1"/>
  <c r="X914" i="1"/>
  <c r="L914" i="1"/>
  <c r="AB914" i="1"/>
  <c r="W914" i="1"/>
  <c r="AD915" i="1"/>
  <c r="AA915" i="1"/>
  <c r="W915" i="1"/>
  <c r="AC949" i="1"/>
  <c r="AE949" i="1"/>
  <c r="Z949" i="1"/>
  <c r="T949" i="1"/>
  <c r="AG949" i="1" s="1"/>
  <c r="AD949" i="1"/>
  <c r="X949" i="1"/>
  <c r="L949" i="1"/>
  <c r="AB949" i="1"/>
  <c r="AA949" i="1"/>
  <c r="W949" i="1"/>
  <c r="V859" i="1"/>
  <c r="W861" i="1"/>
  <c r="AB861" i="1"/>
  <c r="T865" i="1"/>
  <c r="AG865" i="1" s="1"/>
  <c r="Z865" i="1"/>
  <c r="AE865" i="1"/>
  <c r="W870" i="1"/>
  <c r="AB870" i="1"/>
  <c r="Y875" i="1"/>
  <c r="V876" i="1"/>
  <c r="AD876" i="1"/>
  <c r="L880" i="1"/>
  <c r="Z880" i="1"/>
  <c r="V882" i="1"/>
  <c r="AA882" i="1"/>
  <c r="AD883" i="1"/>
  <c r="W883" i="1"/>
  <c r="AC884" i="1"/>
  <c r="AB884" i="1"/>
  <c r="T884" i="1"/>
  <c r="AG884" i="1" s="1"/>
  <c r="V884" i="1"/>
  <c r="AC885" i="1"/>
  <c r="Y885" i="1"/>
  <c r="V886" i="1"/>
  <c r="AB886" i="1"/>
  <c r="W887" i="1"/>
  <c r="Z888" i="1"/>
  <c r="L892" i="1"/>
  <c r="AB898" i="1"/>
  <c r="AB900" i="1"/>
  <c r="V902" i="1"/>
  <c r="AE915" i="1"/>
  <c r="AC941" i="1"/>
  <c r="AD941" i="1"/>
  <c r="X941" i="1"/>
  <c r="L941" i="1"/>
  <c r="AB941" i="1"/>
  <c r="W941" i="1"/>
  <c r="AE941" i="1"/>
  <c r="T941" i="1"/>
  <c r="AG941" i="1" s="1"/>
  <c r="AA941" i="1"/>
  <c r="Z941" i="1"/>
  <c r="V949" i="1"/>
  <c r="AC984" i="1"/>
  <c r="AE984" i="1"/>
  <c r="W984" i="1"/>
  <c r="AD984" i="1"/>
  <c r="V984" i="1"/>
  <c r="AA984" i="1"/>
  <c r="L984" i="1"/>
  <c r="Z984" i="1"/>
  <c r="T890" i="1"/>
  <c r="AG890" i="1" s="1"/>
  <c r="Z890" i="1"/>
  <c r="AE890" i="1"/>
  <c r="V894" i="1"/>
  <c r="AA894" i="1"/>
  <c r="AE895" i="1"/>
  <c r="V904" i="1"/>
  <c r="AD904" i="1"/>
  <c r="L906" i="1"/>
  <c r="X906" i="1"/>
  <c r="AD906" i="1"/>
  <c r="Y907" i="1"/>
  <c r="T910" i="1"/>
  <c r="AG910" i="1" s="1"/>
  <c r="Z910" i="1"/>
  <c r="AE910" i="1"/>
  <c r="V912" i="1"/>
  <c r="AD912" i="1"/>
  <c r="AC916" i="1"/>
  <c r="AD916" i="1"/>
  <c r="L916" i="1"/>
  <c r="Z916" i="1"/>
  <c r="AC918" i="1"/>
  <c r="AB918" i="1"/>
  <c r="W918" i="1"/>
  <c r="L918" i="1"/>
  <c r="Z918" i="1"/>
  <c r="AD919" i="1"/>
  <c r="Y935" i="1"/>
  <c r="W936" i="1"/>
  <c r="W940" i="1"/>
  <c r="AD944" i="1"/>
  <c r="AB944" i="1"/>
  <c r="T944" i="1"/>
  <c r="AG944" i="1" s="1"/>
  <c r="AA944" i="1"/>
  <c r="AE944" i="1"/>
  <c r="AC947" i="1"/>
  <c r="Y947" i="1"/>
  <c r="AC952" i="1"/>
  <c r="AB952" i="1"/>
  <c r="T952" i="1"/>
  <c r="AG952" i="1" s="1"/>
  <c r="Z952" i="1"/>
  <c r="L952" i="1"/>
  <c r="X952" i="1"/>
  <c r="AE954" i="1"/>
  <c r="AD954" i="1"/>
  <c r="V954" i="1"/>
  <c r="AB954" i="1"/>
  <c r="T954" i="1"/>
  <c r="AG954" i="1" s="1"/>
  <c r="Z954" i="1"/>
  <c r="V890" i="1"/>
  <c r="AA890" i="1"/>
  <c r="AE891" i="1"/>
  <c r="W894" i="1"/>
  <c r="AB894" i="1"/>
  <c r="L896" i="1"/>
  <c r="Z896" i="1"/>
  <c r="X904" i="1"/>
  <c r="T906" i="1"/>
  <c r="AG906" i="1" s="1"/>
  <c r="Z906" i="1"/>
  <c r="AE906" i="1"/>
  <c r="L908" i="1"/>
  <c r="Z908" i="1"/>
  <c r="V910" i="1"/>
  <c r="AA910" i="1"/>
  <c r="AE911" i="1"/>
  <c r="X912" i="1"/>
  <c r="T916" i="1"/>
  <c r="AG916" i="1" s="1"/>
  <c r="AB916" i="1"/>
  <c r="T918" i="1"/>
  <c r="AG918" i="1" s="1"/>
  <c r="AA918" i="1"/>
  <c r="W919" i="1"/>
  <c r="AC921" i="1"/>
  <c r="AB921" i="1"/>
  <c r="W921" i="1"/>
  <c r="L921" i="1"/>
  <c r="Z921" i="1"/>
  <c r="AD922" i="1"/>
  <c r="AC935" i="1"/>
  <c r="AC939" i="1"/>
  <c r="Y939" i="1"/>
  <c r="AC945" i="1"/>
  <c r="AD945" i="1"/>
  <c r="X945" i="1"/>
  <c r="L945" i="1"/>
  <c r="AB945" i="1"/>
  <c r="W945" i="1"/>
  <c r="V945" i="1"/>
  <c r="AC946" i="1"/>
  <c r="AD946" i="1"/>
  <c r="Z946" i="1"/>
  <c r="AD952" i="1"/>
  <c r="AA955" i="1"/>
  <c r="AE955" i="1"/>
  <c r="W955" i="1"/>
  <c r="L904" i="1"/>
  <c r="Z904" i="1"/>
  <c r="V906" i="1"/>
  <c r="AA906" i="1"/>
  <c r="L912" i="1"/>
  <c r="Z912" i="1"/>
  <c r="V916" i="1"/>
  <c r="V918" i="1"/>
  <c r="AD918" i="1"/>
  <c r="Y927" i="1"/>
  <c r="T927" i="1"/>
  <c r="AG927" i="1" s="1"/>
  <c r="AD936" i="1"/>
  <c r="AA936" i="1"/>
  <c r="X936" i="1"/>
  <c r="AE936" i="1"/>
  <c r="AD940" i="1"/>
  <c r="AB940" i="1"/>
  <c r="T940" i="1"/>
  <c r="AG940" i="1" s="1"/>
  <c r="AA940" i="1"/>
  <c r="AE940" i="1"/>
  <c r="AC943" i="1"/>
  <c r="Y943" i="1"/>
  <c r="W944" i="1"/>
  <c r="AA951" i="1"/>
  <c r="W951" i="1"/>
  <c r="Y953" i="1"/>
  <c r="L954" i="1"/>
  <c r="V966" i="1"/>
  <c r="AB966" i="1"/>
  <c r="L966" i="1"/>
  <c r="Y966" i="1"/>
  <c r="T966" i="1"/>
  <c r="AG966" i="1" s="1"/>
  <c r="L923" i="1"/>
  <c r="Y923" i="1"/>
  <c r="W924" i="1"/>
  <c r="AE924" i="1"/>
  <c r="W928" i="1"/>
  <c r="AE928" i="1"/>
  <c r="V929" i="1"/>
  <c r="AA929" i="1"/>
  <c r="W932" i="1"/>
  <c r="AE932" i="1"/>
  <c r="V933" i="1"/>
  <c r="AA933" i="1"/>
  <c r="V934" i="1"/>
  <c r="V937" i="1"/>
  <c r="AA937" i="1"/>
  <c r="V938" i="1"/>
  <c r="T948" i="1"/>
  <c r="AG948" i="1" s="1"/>
  <c r="AB948" i="1"/>
  <c r="L958" i="1"/>
  <c r="L960" i="1"/>
  <c r="Y962" i="1"/>
  <c r="V962" i="1"/>
  <c r="AD965" i="1"/>
  <c r="AC965" i="1"/>
  <c r="AB968" i="1"/>
  <c r="AD979" i="1"/>
  <c r="AB979" i="1"/>
  <c r="T979" i="1"/>
  <c r="AG979" i="1" s="1"/>
  <c r="AA979" i="1"/>
  <c r="X979" i="1"/>
  <c r="AE998" i="1"/>
  <c r="AC998" i="1"/>
  <c r="X998" i="1"/>
  <c r="Z1001" i="1"/>
  <c r="Y1001" i="1"/>
  <c r="V1001" i="1"/>
  <c r="AC1003" i="1"/>
  <c r="AD1003" i="1"/>
  <c r="X1003" i="1"/>
  <c r="L1003" i="1"/>
  <c r="AB1003" i="1"/>
  <c r="W1003" i="1"/>
  <c r="AA1003" i="1"/>
  <c r="V1003" i="1"/>
  <c r="AE1003" i="1"/>
  <c r="L920" i="1"/>
  <c r="Z920" i="1"/>
  <c r="T923" i="1"/>
  <c r="AG923" i="1" s="1"/>
  <c r="X924" i="1"/>
  <c r="W925" i="1"/>
  <c r="AB925" i="1"/>
  <c r="X928" i="1"/>
  <c r="W929" i="1"/>
  <c r="AB929" i="1"/>
  <c r="W933" i="1"/>
  <c r="AB933" i="1"/>
  <c r="W948" i="1"/>
  <c r="AE948" i="1"/>
  <c r="AE958" i="1"/>
  <c r="AB958" i="1"/>
  <c r="T958" i="1"/>
  <c r="AG958" i="1" s="1"/>
  <c r="V958" i="1"/>
  <c r="AD959" i="1"/>
  <c r="W959" i="1"/>
  <c r="AC960" i="1"/>
  <c r="AB960" i="1"/>
  <c r="T960" i="1"/>
  <c r="AG960" i="1" s="1"/>
  <c r="V960" i="1"/>
  <c r="AD961" i="1"/>
  <c r="W961" i="1"/>
  <c r="T968" i="1"/>
  <c r="AG968" i="1" s="1"/>
  <c r="AC982" i="1"/>
  <c r="Y982" i="1"/>
  <c r="AD987" i="1"/>
  <c r="V987" i="1"/>
  <c r="AC999" i="1"/>
  <c r="AE999" i="1"/>
  <c r="Z999" i="1"/>
  <c r="T999" i="1"/>
  <c r="AG999" i="1" s="1"/>
  <c r="AD999" i="1"/>
  <c r="X999" i="1"/>
  <c r="L999" i="1"/>
  <c r="AB999" i="1"/>
  <c r="W999" i="1"/>
  <c r="AC1000" i="1"/>
  <c r="AE1000" i="1"/>
  <c r="W1000" i="1"/>
  <c r="AD1000" i="1"/>
  <c r="V1000" i="1"/>
  <c r="AA1000" i="1"/>
  <c r="L1000" i="1"/>
  <c r="L1001" i="1"/>
  <c r="AC968" i="1"/>
  <c r="AA968" i="1"/>
  <c r="V968" i="1"/>
  <c r="AD968" i="1"/>
  <c r="X968" i="1"/>
  <c r="L968" i="1"/>
  <c r="W968" i="1"/>
  <c r="AD971" i="1"/>
  <c r="AB971" i="1"/>
  <c r="T971" i="1"/>
  <c r="AG971" i="1" s="1"/>
  <c r="AA971" i="1"/>
  <c r="X971" i="1"/>
  <c r="AC985" i="1"/>
  <c r="L985" i="1"/>
  <c r="AD985" i="1"/>
  <c r="Z985" i="1"/>
  <c r="AA995" i="1"/>
  <c r="W995" i="1"/>
  <c r="AE995" i="1"/>
  <c r="V972" i="1"/>
  <c r="AA972" i="1"/>
  <c r="V973" i="1"/>
  <c r="Z980" i="1"/>
  <c r="V981" i="1"/>
  <c r="T988" i="1"/>
  <c r="AG988" i="1" s="1"/>
  <c r="AD988" i="1"/>
  <c r="L994" i="1"/>
  <c r="Z994" i="1"/>
  <c r="Z1004" i="1"/>
  <c r="V1005" i="1"/>
  <c r="W972" i="1"/>
  <c r="AB972" i="1"/>
  <c r="Z973" i="1"/>
  <c r="AB974" i="1"/>
  <c r="X975" i="1"/>
  <c r="Z976" i="1"/>
  <c r="L977" i="1"/>
  <c r="L980" i="1"/>
  <c r="AA980" i="1"/>
  <c r="Z981" i="1"/>
  <c r="T983" i="1"/>
  <c r="AG983" i="1" s="1"/>
  <c r="AB983" i="1"/>
  <c r="X988" i="1"/>
  <c r="T990" i="1"/>
  <c r="AG990" i="1" s="1"/>
  <c r="Z990" i="1"/>
  <c r="AE990" i="1"/>
  <c r="V992" i="1"/>
  <c r="AD992" i="1"/>
  <c r="T994" i="1"/>
  <c r="AG994" i="1" s="1"/>
  <c r="AB994" i="1"/>
  <c r="X996" i="1"/>
  <c r="L1004" i="1"/>
  <c r="AA1004" i="1"/>
  <c r="Z1005" i="1"/>
  <c r="W964" i="1"/>
  <c r="AB964" i="1"/>
  <c r="W967" i="1"/>
  <c r="AE967" i="1"/>
  <c r="L972" i="1"/>
  <c r="X972" i="1"/>
  <c r="AD972" i="1"/>
  <c r="AA975" i="1"/>
  <c r="V980" i="1"/>
  <c r="AD980" i="1"/>
  <c r="AD981" i="1"/>
  <c r="W983" i="1"/>
  <c r="AE983" i="1"/>
  <c r="V990" i="1"/>
  <c r="AA990" i="1"/>
  <c r="X992" i="1"/>
  <c r="V994" i="1"/>
  <c r="AD994" i="1"/>
  <c r="L996" i="1"/>
  <c r="Z996" i="1"/>
  <c r="Y1002" i="1"/>
  <c r="V1004" i="1"/>
  <c r="AD1004" i="1"/>
  <c r="AD1005" i="1"/>
  <c r="AB46" i="1"/>
  <c r="X46" i="1"/>
  <c r="T46" i="1"/>
  <c r="AE46" i="1"/>
  <c r="AA46" i="1"/>
  <c r="W46" i="1"/>
  <c r="G46" i="1"/>
  <c r="U46" i="1"/>
  <c r="AC46" i="1"/>
  <c r="AB50" i="1"/>
  <c r="X50" i="1"/>
  <c r="T50" i="1"/>
  <c r="AE50" i="1"/>
  <c r="AA50" i="1"/>
  <c r="W50" i="1"/>
  <c r="G50" i="1"/>
  <c r="U50" i="1"/>
  <c r="AC50" i="1"/>
  <c r="AB54" i="1"/>
  <c r="X54" i="1"/>
  <c r="T54" i="1"/>
  <c r="AE54" i="1"/>
  <c r="AA54" i="1"/>
  <c r="W54" i="1"/>
  <c r="G54" i="1"/>
  <c r="U54" i="1"/>
  <c r="AC54" i="1"/>
  <c r="AB58" i="1"/>
  <c r="X58" i="1"/>
  <c r="T58" i="1"/>
  <c r="AE58" i="1"/>
  <c r="AA58" i="1"/>
  <c r="W58" i="1"/>
  <c r="G58" i="1"/>
  <c r="U58" i="1"/>
  <c r="AC58" i="1"/>
  <c r="AB62" i="1"/>
  <c r="X62" i="1"/>
  <c r="T62" i="1"/>
  <c r="AE62" i="1"/>
  <c r="AA62" i="1"/>
  <c r="W62" i="1"/>
  <c r="U62" i="1"/>
  <c r="AC62" i="1"/>
  <c r="AB66" i="1"/>
  <c r="X66" i="1"/>
  <c r="T66" i="1"/>
  <c r="AE66" i="1"/>
  <c r="AA66" i="1"/>
  <c r="W66" i="1"/>
  <c r="U66" i="1"/>
  <c r="AC66" i="1"/>
  <c r="AB78" i="1"/>
  <c r="X78" i="1"/>
  <c r="T78" i="1"/>
  <c r="AE78" i="1"/>
  <c r="AA78" i="1"/>
  <c r="W78" i="1"/>
  <c r="Z78" i="1"/>
  <c r="Y78" i="1"/>
  <c r="AE79" i="1"/>
  <c r="AA79" i="1"/>
  <c r="W79" i="1"/>
  <c r="G79" i="1"/>
  <c r="AD79" i="1"/>
  <c r="Z79" i="1"/>
  <c r="V79" i="1"/>
  <c r="Y79" i="1"/>
  <c r="AB79" i="1"/>
  <c r="AB82" i="1"/>
  <c r="X82" i="1"/>
  <c r="T82" i="1"/>
  <c r="AE82" i="1"/>
  <c r="AA82" i="1"/>
  <c r="W82" i="1"/>
  <c r="G82" i="1"/>
  <c r="Z82" i="1"/>
  <c r="Y82" i="1"/>
  <c r="AB102" i="1"/>
  <c r="X102" i="1"/>
  <c r="T102" i="1"/>
  <c r="AE102" i="1"/>
  <c r="AA102" i="1"/>
  <c r="W102" i="1"/>
  <c r="AD102" i="1"/>
  <c r="V102" i="1"/>
  <c r="Z102" i="1"/>
  <c r="U102" i="1"/>
  <c r="AB106" i="1"/>
  <c r="X106" i="1"/>
  <c r="T106" i="1"/>
  <c r="AE106" i="1"/>
  <c r="AA106" i="1"/>
  <c r="W106" i="1"/>
  <c r="Z106" i="1"/>
  <c r="AD106" i="1"/>
  <c r="V106" i="1"/>
  <c r="U106" i="1"/>
  <c r="AB9" i="1"/>
  <c r="X9" i="1"/>
  <c r="T9" i="1"/>
  <c r="U9" i="1"/>
  <c r="V9" i="1"/>
  <c r="AA9" i="1"/>
  <c r="W9" i="1"/>
  <c r="AD23" i="1"/>
  <c r="Z23" i="1"/>
  <c r="V23" i="1"/>
  <c r="U23" i="1"/>
  <c r="AA23" i="1"/>
  <c r="AD35" i="1"/>
  <c r="Z35" i="1"/>
  <c r="V35" i="1"/>
  <c r="U35" i="1"/>
  <c r="AA35" i="1"/>
  <c r="AD39" i="1"/>
  <c r="Z39" i="1"/>
  <c r="V39" i="1"/>
  <c r="U39" i="1"/>
  <c r="AA39" i="1"/>
  <c r="AE43" i="1"/>
  <c r="AA43" i="1"/>
  <c r="W43" i="1"/>
  <c r="G43" i="1"/>
  <c r="AD43" i="1"/>
  <c r="Z43" i="1"/>
  <c r="V43" i="1"/>
  <c r="U43" i="1"/>
  <c r="AC43" i="1"/>
  <c r="V46" i="1"/>
  <c r="AD46" i="1"/>
  <c r="AE47" i="1"/>
  <c r="AA47" i="1"/>
  <c r="W47" i="1"/>
  <c r="G47" i="1"/>
  <c r="AD47" i="1"/>
  <c r="Z47" i="1"/>
  <c r="V47" i="1"/>
  <c r="U47" i="1"/>
  <c r="AC47" i="1"/>
  <c r="V50" i="1"/>
  <c r="AD50" i="1"/>
  <c r="AE51" i="1"/>
  <c r="AA51" i="1"/>
  <c r="W51" i="1"/>
  <c r="G51" i="1"/>
  <c r="AD51" i="1"/>
  <c r="Z51" i="1"/>
  <c r="V51" i="1"/>
  <c r="U51" i="1"/>
  <c r="AC51" i="1"/>
  <c r="V54" i="1"/>
  <c r="AD54" i="1"/>
  <c r="AE55" i="1"/>
  <c r="AA55" i="1"/>
  <c r="W55" i="1"/>
  <c r="G55" i="1"/>
  <c r="AD55" i="1"/>
  <c r="Z55" i="1"/>
  <c r="V55" i="1"/>
  <c r="U55" i="1"/>
  <c r="AC55" i="1"/>
  <c r="V58" i="1"/>
  <c r="AD58" i="1"/>
  <c r="AE59" i="1"/>
  <c r="AA59" i="1"/>
  <c r="W59" i="1"/>
  <c r="AD59" i="1"/>
  <c r="Z59" i="1"/>
  <c r="V59" i="1"/>
  <c r="U59" i="1"/>
  <c r="AC59" i="1"/>
  <c r="V62" i="1"/>
  <c r="AD62" i="1"/>
  <c r="AE63" i="1"/>
  <c r="AA63" i="1"/>
  <c r="W63" i="1"/>
  <c r="G63" i="1"/>
  <c r="AD63" i="1"/>
  <c r="Z63" i="1"/>
  <c r="V63" i="1"/>
  <c r="U63" i="1"/>
  <c r="AC63" i="1"/>
  <c r="V66" i="1"/>
  <c r="AD66" i="1"/>
  <c r="AE67" i="1"/>
  <c r="AA67" i="1"/>
  <c r="W67" i="1"/>
  <c r="AD67" i="1"/>
  <c r="Z67" i="1"/>
  <c r="V67" i="1"/>
  <c r="U67" i="1"/>
  <c r="AC67" i="1"/>
  <c r="AB70" i="1"/>
  <c r="X70" i="1"/>
  <c r="T70" i="1"/>
  <c r="AE70" i="1"/>
  <c r="AA70" i="1"/>
  <c r="W70" i="1"/>
  <c r="U70" i="1"/>
  <c r="AC70" i="1"/>
  <c r="T71" i="1"/>
  <c r="AB74" i="1"/>
  <c r="X74" i="1"/>
  <c r="T74" i="1"/>
  <c r="AE74" i="1"/>
  <c r="AA74" i="1"/>
  <c r="W74" i="1"/>
  <c r="U74" i="1"/>
  <c r="AC74" i="1"/>
  <c r="T75" i="1"/>
  <c r="AC78" i="1"/>
  <c r="T79" i="1"/>
  <c r="AC79" i="1"/>
  <c r="AC82" i="1"/>
  <c r="AB86" i="1"/>
  <c r="X86" i="1"/>
  <c r="T86" i="1"/>
  <c r="AE86" i="1"/>
  <c r="AA86" i="1"/>
  <c r="W86" i="1"/>
  <c r="AD86" i="1"/>
  <c r="V86" i="1"/>
  <c r="Z86" i="1"/>
  <c r="U86" i="1"/>
  <c r="Y102" i="1"/>
  <c r="Y106" i="1"/>
  <c r="Z9" i="1"/>
  <c r="AE9" i="1"/>
  <c r="V13" i="1"/>
  <c r="AA13" i="1"/>
  <c r="G9" i="1"/>
  <c r="AC9" i="1"/>
  <c r="AD11" i="1"/>
  <c r="Z11" i="1"/>
  <c r="V11" i="1"/>
  <c r="AA11" i="1"/>
  <c r="W13" i="1"/>
  <c r="AC13" i="1"/>
  <c r="AD15" i="1"/>
  <c r="Z15" i="1"/>
  <c r="V15" i="1"/>
  <c r="U15" i="1"/>
  <c r="AA15" i="1"/>
  <c r="G17" i="1"/>
  <c r="W17" i="1"/>
  <c r="AC17" i="1"/>
  <c r="AD19" i="1"/>
  <c r="Z19" i="1"/>
  <c r="V19" i="1"/>
  <c r="U19" i="1"/>
  <c r="AA19" i="1"/>
  <c r="W21" i="1"/>
  <c r="AC21" i="1"/>
  <c r="AD27" i="1"/>
  <c r="Z27" i="1"/>
  <c r="V27" i="1"/>
  <c r="U27" i="1"/>
  <c r="AA27" i="1"/>
  <c r="AD31" i="1"/>
  <c r="Z31" i="1"/>
  <c r="V31" i="1"/>
  <c r="U31" i="1"/>
  <c r="AA31" i="1"/>
  <c r="Y9" i="1"/>
  <c r="AD9" i="1"/>
  <c r="AE10" i="1"/>
  <c r="AA10" i="1"/>
  <c r="W10" i="1"/>
  <c r="U10" i="1"/>
  <c r="Z10" i="1"/>
  <c r="G11" i="1"/>
  <c r="W11" i="1"/>
  <c r="AB11" i="1"/>
  <c r="Y13" i="1"/>
  <c r="AE14" i="1"/>
  <c r="AA14" i="1"/>
  <c r="W14" i="1"/>
  <c r="U14" i="1"/>
  <c r="Z14" i="1"/>
  <c r="G15" i="1"/>
  <c r="W15" i="1"/>
  <c r="AB15" i="1"/>
  <c r="Y17" i="1"/>
  <c r="AE18" i="1"/>
  <c r="AA18" i="1"/>
  <c r="W18" i="1"/>
  <c r="G18" i="1"/>
  <c r="U18" i="1"/>
  <c r="Z18" i="1"/>
  <c r="G19" i="1"/>
  <c r="W19" i="1"/>
  <c r="AB19" i="1"/>
  <c r="Y21" i="1"/>
  <c r="AE22" i="1"/>
  <c r="AA22" i="1"/>
  <c r="W22" i="1"/>
  <c r="U22" i="1"/>
  <c r="Z22" i="1"/>
  <c r="G23" i="1"/>
  <c r="W23" i="1"/>
  <c r="AB23" i="1"/>
  <c r="Y25" i="1"/>
  <c r="AE26" i="1"/>
  <c r="AA26" i="1"/>
  <c r="W26" i="1"/>
  <c r="U26" i="1"/>
  <c r="Z26" i="1"/>
  <c r="W27" i="1"/>
  <c r="AB27" i="1"/>
  <c r="AG27" i="1"/>
  <c r="Y29" i="1"/>
  <c r="AE30" i="1"/>
  <c r="AA30" i="1"/>
  <c r="W30" i="1"/>
  <c r="U30" i="1"/>
  <c r="Z30" i="1"/>
  <c r="G31" i="1"/>
  <c r="W31" i="1"/>
  <c r="AB31" i="1"/>
  <c r="Y33" i="1"/>
  <c r="AE34" i="1"/>
  <c r="AA34" i="1"/>
  <c r="W34" i="1"/>
  <c r="G34" i="1"/>
  <c r="U34" i="1"/>
  <c r="Z34" i="1"/>
  <c r="G35" i="1"/>
  <c r="W35" i="1"/>
  <c r="AB35" i="1"/>
  <c r="Y37" i="1"/>
  <c r="AE38" i="1"/>
  <c r="AA38" i="1"/>
  <c r="W38" i="1"/>
  <c r="G38" i="1"/>
  <c r="U38" i="1"/>
  <c r="Z38" i="1"/>
  <c r="G39" i="1"/>
  <c r="W39" i="1"/>
  <c r="AB39" i="1"/>
  <c r="Y41" i="1"/>
  <c r="AB42" i="1"/>
  <c r="X42" i="1"/>
  <c r="T42" i="1"/>
  <c r="AE42" i="1"/>
  <c r="AA42" i="1"/>
  <c r="W42" i="1"/>
  <c r="G42" i="1"/>
  <c r="Y42" i="1"/>
  <c r="X43" i="1"/>
  <c r="Y46" i="1"/>
  <c r="X47" i="1"/>
  <c r="Y50" i="1"/>
  <c r="X51" i="1"/>
  <c r="Y54" i="1"/>
  <c r="X55" i="1"/>
  <c r="Y58" i="1"/>
  <c r="Y62" i="1"/>
  <c r="Y66" i="1"/>
  <c r="AE71" i="1"/>
  <c r="AA71" i="1"/>
  <c r="W71" i="1"/>
  <c r="AD71" i="1"/>
  <c r="Z71" i="1"/>
  <c r="V71" i="1"/>
  <c r="U71" i="1"/>
  <c r="AC71" i="1"/>
  <c r="AE75" i="1"/>
  <c r="AA75" i="1"/>
  <c r="W75" i="1"/>
  <c r="AD75" i="1"/>
  <c r="Z75" i="1"/>
  <c r="V75" i="1"/>
  <c r="U75" i="1"/>
  <c r="AC75" i="1"/>
  <c r="U78" i="1"/>
  <c r="AD78" i="1"/>
  <c r="U79" i="1"/>
  <c r="U82" i="1"/>
  <c r="AD82" i="1"/>
  <c r="AE95" i="1"/>
  <c r="AA95" i="1"/>
  <c r="W95" i="1"/>
  <c r="G95" i="1"/>
  <c r="AD95" i="1"/>
  <c r="Z95" i="1"/>
  <c r="V95" i="1"/>
  <c r="X95" i="1"/>
  <c r="AB95" i="1"/>
  <c r="T95" i="1"/>
  <c r="U95" i="1"/>
  <c r="AE99" i="1"/>
  <c r="AA99" i="1"/>
  <c r="W99" i="1"/>
  <c r="G99" i="1"/>
  <c r="AD99" i="1"/>
  <c r="Z99" i="1"/>
  <c r="V99" i="1"/>
  <c r="X99" i="1"/>
  <c r="AB99" i="1"/>
  <c r="T99" i="1"/>
  <c r="U99" i="1"/>
  <c r="AC102" i="1"/>
  <c r="AC106" i="1"/>
  <c r="AB13" i="1"/>
  <c r="X13" i="1"/>
  <c r="T13" i="1"/>
  <c r="U13" i="1"/>
  <c r="Z13" i="1"/>
  <c r="AE13" i="1"/>
  <c r="AB17" i="1"/>
  <c r="X17" i="1"/>
  <c r="T17" i="1"/>
  <c r="U17" i="1"/>
  <c r="Z17" i="1"/>
  <c r="AE17" i="1"/>
  <c r="AB21" i="1"/>
  <c r="X21" i="1"/>
  <c r="T21" i="1"/>
  <c r="U21" i="1"/>
  <c r="Z21" i="1"/>
  <c r="AE21" i="1"/>
  <c r="X23" i="1"/>
  <c r="AC23" i="1"/>
  <c r="AB25" i="1"/>
  <c r="X25" i="1"/>
  <c r="T25" i="1"/>
  <c r="U25" i="1"/>
  <c r="Z25" i="1"/>
  <c r="AE25" i="1"/>
  <c r="X27" i="1"/>
  <c r="AC27" i="1"/>
  <c r="AB29" i="1"/>
  <c r="X29" i="1"/>
  <c r="T29" i="1"/>
  <c r="U29" i="1"/>
  <c r="Z29" i="1"/>
  <c r="AE29" i="1"/>
  <c r="X31" i="1"/>
  <c r="AC31" i="1"/>
  <c r="AB33" i="1"/>
  <c r="X33" i="1"/>
  <c r="T33" i="1"/>
  <c r="U33" i="1"/>
  <c r="Z33" i="1"/>
  <c r="AE33" i="1"/>
  <c r="X35" i="1"/>
  <c r="AC35" i="1"/>
  <c r="AB37" i="1"/>
  <c r="X37" i="1"/>
  <c r="T37" i="1"/>
  <c r="U37" i="1"/>
  <c r="Z37" i="1"/>
  <c r="AE37" i="1"/>
  <c r="X39" i="1"/>
  <c r="AC39" i="1"/>
  <c r="AB41" i="1"/>
  <c r="X41" i="1"/>
  <c r="T41" i="1"/>
  <c r="U41" i="1"/>
  <c r="Z41" i="1"/>
  <c r="AE41" i="1"/>
  <c r="Y43" i="1"/>
  <c r="AG43" i="1"/>
  <c r="Z46" i="1"/>
  <c r="Y47" i="1"/>
  <c r="AG47" i="1"/>
  <c r="Z50" i="1"/>
  <c r="Y51" i="1"/>
  <c r="AG51" i="1"/>
  <c r="Z54" i="1"/>
  <c r="Y55" i="1"/>
  <c r="AG55" i="1"/>
  <c r="Z58" i="1"/>
  <c r="Y59" i="1"/>
  <c r="Z62" i="1"/>
  <c r="Y63" i="1"/>
  <c r="Z66" i="1"/>
  <c r="Y67" i="1"/>
  <c r="Y70" i="1"/>
  <c r="X71" i="1"/>
  <c r="X75" i="1"/>
  <c r="V78" i="1"/>
  <c r="X79" i="1"/>
  <c r="V82" i="1"/>
  <c r="AB90" i="1"/>
  <c r="X90" i="1"/>
  <c r="T90" i="1"/>
  <c r="AE90" i="1"/>
  <c r="AA90" i="1"/>
  <c r="W90" i="1"/>
  <c r="Z90" i="1"/>
  <c r="AD90" i="1"/>
  <c r="V90" i="1"/>
  <c r="U90" i="1"/>
  <c r="Y95" i="1"/>
  <c r="AB110" i="1"/>
  <c r="X110" i="1"/>
  <c r="T110" i="1"/>
  <c r="AE110" i="1"/>
  <c r="AA110" i="1"/>
  <c r="W110" i="1"/>
  <c r="G110" i="1"/>
  <c r="U110" i="1"/>
  <c r="AC110" i="1"/>
  <c r="AE115" i="1"/>
  <c r="AA115" i="1"/>
  <c r="W115" i="1"/>
  <c r="G115" i="1"/>
  <c r="AD115" i="1"/>
  <c r="Z115" i="1"/>
  <c r="V115" i="1"/>
  <c r="U115" i="1"/>
  <c r="AC115" i="1"/>
  <c r="AE119" i="1"/>
  <c r="AA119" i="1"/>
  <c r="W119" i="1"/>
  <c r="G119" i="1"/>
  <c r="AD119" i="1"/>
  <c r="Z119" i="1"/>
  <c r="V119" i="1"/>
  <c r="U119" i="1"/>
  <c r="AC119" i="1"/>
  <c r="Y122" i="1"/>
  <c r="AE127" i="1"/>
  <c r="AA127" i="1"/>
  <c r="W127" i="1"/>
  <c r="G127" i="1"/>
  <c r="AD127" i="1"/>
  <c r="Z127" i="1"/>
  <c r="V127" i="1"/>
  <c r="U127" i="1"/>
  <c r="AC127" i="1"/>
  <c r="AE131" i="1"/>
  <c r="AA131" i="1"/>
  <c r="W131" i="1"/>
  <c r="G131" i="1"/>
  <c r="AD131" i="1"/>
  <c r="Z131" i="1"/>
  <c r="V131" i="1"/>
  <c r="U131" i="1"/>
  <c r="AC131" i="1"/>
  <c r="AE135" i="1"/>
  <c r="AA135" i="1"/>
  <c r="W135" i="1"/>
  <c r="G135" i="1"/>
  <c r="AD135" i="1"/>
  <c r="Z135" i="1"/>
  <c r="V135" i="1"/>
  <c r="U135" i="1"/>
  <c r="AC135" i="1"/>
  <c r="AE139" i="1"/>
  <c r="AA139" i="1"/>
  <c r="W139" i="1"/>
  <c r="G139" i="1"/>
  <c r="AD139" i="1"/>
  <c r="Z139" i="1"/>
  <c r="V139" i="1"/>
  <c r="U139" i="1"/>
  <c r="AC139" i="1"/>
  <c r="AE143" i="1"/>
  <c r="AA143" i="1"/>
  <c r="W143" i="1"/>
  <c r="G143" i="1"/>
  <c r="AD143" i="1"/>
  <c r="Z143" i="1"/>
  <c r="V143" i="1"/>
  <c r="U143" i="1"/>
  <c r="AC143" i="1"/>
  <c r="AE147" i="1"/>
  <c r="AA147" i="1"/>
  <c r="W147" i="1"/>
  <c r="G147" i="1"/>
  <c r="AD147" i="1"/>
  <c r="Z147" i="1"/>
  <c r="V147" i="1"/>
  <c r="U147" i="1"/>
  <c r="AC147" i="1"/>
  <c r="AE151" i="1"/>
  <c r="AA151" i="1"/>
  <c r="W151" i="1"/>
  <c r="G151" i="1"/>
  <c r="AD151" i="1"/>
  <c r="Z151" i="1"/>
  <c r="V151" i="1"/>
  <c r="U151" i="1"/>
  <c r="AC151" i="1"/>
  <c r="AE155" i="1"/>
  <c r="AA155" i="1"/>
  <c r="W155" i="1"/>
  <c r="G155" i="1"/>
  <c r="AD155" i="1"/>
  <c r="Z155" i="1"/>
  <c r="V155" i="1"/>
  <c r="U155" i="1"/>
  <c r="AC155" i="1"/>
  <c r="Y158" i="1"/>
  <c r="Y162" i="1"/>
  <c r="Y166" i="1"/>
  <c r="Y170" i="1"/>
  <c r="Y174" i="1"/>
  <c r="Y178" i="1"/>
  <c r="Y182" i="1"/>
  <c r="AB187" i="1"/>
  <c r="X187" i="1"/>
  <c r="T187" i="1"/>
  <c r="AE187" i="1"/>
  <c r="AA187" i="1"/>
  <c r="W187" i="1"/>
  <c r="G187" i="1"/>
  <c r="AD187" i="1"/>
  <c r="Z187" i="1"/>
  <c r="V187" i="1"/>
  <c r="U187" i="1"/>
  <c r="AB195" i="1"/>
  <c r="X195" i="1"/>
  <c r="T195" i="1"/>
  <c r="AE195" i="1"/>
  <c r="AA195" i="1"/>
  <c r="W195" i="1"/>
  <c r="G195" i="1"/>
  <c r="AD195" i="1"/>
  <c r="Z195" i="1"/>
  <c r="V195" i="1"/>
  <c r="U195" i="1"/>
  <c r="AB203" i="1"/>
  <c r="X203" i="1"/>
  <c r="T203" i="1"/>
  <c r="AE203" i="1"/>
  <c r="AA203" i="1"/>
  <c r="W203" i="1"/>
  <c r="G203" i="1"/>
  <c r="AD203" i="1"/>
  <c r="Z203" i="1"/>
  <c r="V203" i="1"/>
  <c r="U203" i="1"/>
  <c r="AB211" i="1"/>
  <c r="X211" i="1"/>
  <c r="T211" i="1"/>
  <c r="AE211" i="1"/>
  <c r="AA211" i="1"/>
  <c r="W211" i="1"/>
  <c r="G211" i="1"/>
  <c r="AD211" i="1"/>
  <c r="Z211" i="1"/>
  <c r="V211" i="1"/>
  <c r="U211" i="1"/>
  <c r="AB219" i="1"/>
  <c r="X219" i="1"/>
  <c r="T219" i="1"/>
  <c r="AE219" i="1"/>
  <c r="AA219" i="1"/>
  <c r="W219" i="1"/>
  <c r="G219" i="1"/>
  <c r="AD219" i="1"/>
  <c r="Z219" i="1"/>
  <c r="V219" i="1"/>
  <c r="U219" i="1"/>
  <c r="U223" i="1"/>
  <c r="AE91" i="1"/>
  <c r="AA91" i="1"/>
  <c r="W91" i="1"/>
  <c r="G91" i="1"/>
  <c r="AD91" i="1"/>
  <c r="Z91" i="1"/>
  <c r="V91" i="1"/>
  <c r="U91" i="1"/>
  <c r="AC91" i="1"/>
  <c r="AB94" i="1"/>
  <c r="X94" i="1"/>
  <c r="T94" i="1"/>
  <c r="AE94" i="1"/>
  <c r="AA94" i="1"/>
  <c r="W94" i="1"/>
  <c r="U94" i="1"/>
  <c r="AC94" i="1"/>
  <c r="AB98" i="1"/>
  <c r="X98" i="1"/>
  <c r="T98" i="1"/>
  <c r="AE98" i="1"/>
  <c r="AA98" i="1"/>
  <c r="W98" i="1"/>
  <c r="U98" i="1"/>
  <c r="AC98" i="1"/>
  <c r="AE107" i="1"/>
  <c r="AA107" i="1"/>
  <c r="W107" i="1"/>
  <c r="G107" i="1"/>
  <c r="AD107" i="1"/>
  <c r="Z107" i="1"/>
  <c r="V107" i="1"/>
  <c r="U107" i="1"/>
  <c r="AC107" i="1"/>
  <c r="V110" i="1"/>
  <c r="AD110" i="1"/>
  <c r="AE111" i="1"/>
  <c r="AA111" i="1"/>
  <c r="W111" i="1"/>
  <c r="G111" i="1"/>
  <c r="AD111" i="1"/>
  <c r="Z111" i="1"/>
  <c r="V111" i="1"/>
  <c r="U111" i="1"/>
  <c r="AC111" i="1"/>
  <c r="X115" i="1"/>
  <c r="X119" i="1"/>
  <c r="X127" i="1"/>
  <c r="X131" i="1"/>
  <c r="X135" i="1"/>
  <c r="X139" i="1"/>
  <c r="X143" i="1"/>
  <c r="X147" i="1"/>
  <c r="X151" i="1"/>
  <c r="X155" i="1"/>
  <c r="Y187" i="1"/>
  <c r="Y195" i="1"/>
  <c r="Y203" i="1"/>
  <c r="Y211" i="1"/>
  <c r="Y219" i="1"/>
  <c r="AB122" i="1"/>
  <c r="X122" i="1"/>
  <c r="T122" i="1"/>
  <c r="AE122" i="1"/>
  <c r="AA122" i="1"/>
  <c r="W122" i="1"/>
  <c r="G122" i="1"/>
  <c r="U122" i="1"/>
  <c r="AC122" i="1"/>
  <c r="AB158" i="1"/>
  <c r="X158" i="1"/>
  <c r="T158" i="1"/>
  <c r="AE158" i="1"/>
  <c r="AA158" i="1"/>
  <c r="W158" i="1"/>
  <c r="G158" i="1"/>
  <c r="U158" i="1"/>
  <c r="AC158" i="1"/>
  <c r="AB162" i="1"/>
  <c r="X162" i="1"/>
  <c r="T162" i="1"/>
  <c r="AE162" i="1"/>
  <c r="AA162" i="1"/>
  <c r="W162" i="1"/>
  <c r="G162" i="1"/>
  <c r="U162" i="1"/>
  <c r="AC162" i="1"/>
  <c r="AB166" i="1"/>
  <c r="X166" i="1"/>
  <c r="T166" i="1"/>
  <c r="AE166" i="1"/>
  <c r="AA166" i="1"/>
  <c r="W166" i="1"/>
  <c r="G166" i="1"/>
  <c r="U166" i="1"/>
  <c r="AC166" i="1"/>
  <c r="AB170" i="1"/>
  <c r="X170" i="1"/>
  <c r="T170" i="1"/>
  <c r="AE170" i="1"/>
  <c r="AA170" i="1"/>
  <c r="W170" i="1"/>
  <c r="G170" i="1"/>
  <c r="U170" i="1"/>
  <c r="AC170" i="1"/>
  <c r="AB174" i="1"/>
  <c r="X174" i="1"/>
  <c r="T174" i="1"/>
  <c r="AE174" i="1"/>
  <c r="AA174" i="1"/>
  <c r="W174" i="1"/>
  <c r="G174" i="1"/>
  <c r="U174" i="1"/>
  <c r="AC174" i="1"/>
  <c r="AB178" i="1"/>
  <c r="X178" i="1"/>
  <c r="T178" i="1"/>
  <c r="AE178" i="1"/>
  <c r="AA178" i="1"/>
  <c r="W178" i="1"/>
  <c r="G178" i="1"/>
  <c r="U178" i="1"/>
  <c r="AC178" i="1"/>
  <c r="AB182" i="1"/>
  <c r="X182" i="1"/>
  <c r="T182" i="1"/>
  <c r="AE182" i="1"/>
  <c r="AA182" i="1"/>
  <c r="W182" i="1"/>
  <c r="G182" i="1"/>
  <c r="U182" i="1"/>
  <c r="AC182" i="1"/>
  <c r="AB183" i="1"/>
  <c r="X183" i="1"/>
  <c r="T183" i="1"/>
  <c r="AE183" i="1"/>
  <c r="AA183" i="1"/>
  <c r="W183" i="1"/>
  <c r="G183" i="1"/>
  <c r="AD183" i="1"/>
  <c r="Z183" i="1"/>
  <c r="V183" i="1"/>
  <c r="U183" i="1"/>
  <c r="AB191" i="1"/>
  <c r="X191" i="1"/>
  <c r="T191" i="1"/>
  <c r="AE191" i="1"/>
  <c r="AA191" i="1"/>
  <c r="W191" i="1"/>
  <c r="G191" i="1"/>
  <c r="AD191" i="1"/>
  <c r="Z191" i="1"/>
  <c r="V191" i="1"/>
  <c r="U191" i="1"/>
  <c r="AB199" i="1"/>
  <c r="X199" i="1"/>
  <c r="T199" i="1"/>
  <c r="AE199" i="1"/>
  <c r="AA199" i="1"/>
  <c r="W199" i="1"/>
  <c r="G199" i="1"/>
  <c r="AD199" i="1"/>
  <c r="Z199" i="1"/>
  <c r="V199" i="1"/>
  <c r="U199" i="1"/>
  <c r="AB207" i="1"/>
  <c r="X207" i="1"/>
  <c r="T207" i="1"/>
  <c r="AE207" i="1"/>
  <c r="AA207" i="1"/>
  <c r="W207" i="1"/>
  <c r="G207" i="1"/>
  <c r="AD207" i="1"/>
  <c r="Z207" i="1"/>
  <c r="V207" i="1"/>
  <c r="U207" i="1"/>
  <c r="AB215" i="1"/>
  <c r="X215" i="1"/>
  <c r="T215" i="1"/>
  <c r="AE215" i="1"/>
  <c r="AA215" i="1"/>
  <c r="W215" i="1"/>
  <c r="G215" i="1"/>
  <c r="AD215" i="1"/>
  <c r="Z215" i="1"/>
  <c r="V215" i="1"/>
  <c r="U215" i="1"/>
  <c r="AB223" i="1"/>
  <c r="X223" i="1"/>
  <c r="T223" i="1"/>
  <c r="AE223" i="1"/>
  <c r="AA223" i="1"/>
  <c r="W223" i="1"/>
  <c r="G223" i="1"/>
  <c r="AD223" i="1"/>
  <c r="Z223" i="1"/>
  <c r="V223" i="1"/>
  <c r="Y223" i="1"/>
  <c r="AE83" i="1"/>
  <c r="AA83" i="1"/>
  <c r="W83" i="1"/>
  <c r="G83" i="1"/>
  <c r="AD83" i="1"/>
  <c r="Z83" i="1"/>
  <c r="V83" i="1"/>
  <c r="U83" i="1"/>
  <c r="AC83" i="1"/>
  <c r="AE87" i="1"/>
  <c r="AA87" i="1"/>
  <c r="W87" i="1"/>
  <c r="G87" i="1"/>
  <c r="AD87" i="1"/>
  <c r="Z87" i="1"/>
  <c r="V87" i="1"/>
  <c r="U87" i="1"/>
  <c r="AC87" i="1"/>
  <c r="AE103" i="1"/>
  <c r="AA103" i="1"/>
  <c r="W103" i="1"/>
  <c r="G103" i="1"/>
  <c r="AD103" i="1"/>
  <c r="Z103" i="1"/>
  <c r="V103" i="1"/>
  <c r="U103" i="1"/>
  <c r="AC103" i="1"/>
  <c r="Z110" i="1"/>
  <c r="AB114" i="1"/>
  <c r="X114" i="1"/>
  <c r="T114" i="1"/>
  <c r="AE114" i="1"/>
  <c r="AA114" i="1"/>
  <c r="W114" i="1"/>
  <c r="G114" i="1"/>
  <c r="U114" i="1"/>
  <c r="AC114" i="1"/>
  <c r="T115" i="1"/>
  <c r="AB115" i="1"/>
  <c r="AB118" i="1"/>
  <c r="X118" i="1"/>
  <c r="T118" i="1"/>
  <c r="AE118" i="1"/>
  <c r="AA118" i="1"/>
  <c r="W118" i="1"/>
  <c r="G118" i="1"/>
  <c r="U118" i="1"/>
  <c r="AC118" i="1"/>
  <c r="T119" i="1"/>
  <c r="AB119" i="1"/>
  <c r="V122" i="1"/>
  <c r="AD122" i="1"/>
  <c r="AE123" i="1"/>
  <c r="AA123" i="1"/>
  <c r="W123" i="1"/>
  <c r="G123" i="1"/>
  <c r="AD123" i="1"/>
  <c r="Z123" i="1"/>
  <c r="V123" i="1"/>
  <c r="U123" i="1"/>
  <c r="AC123" i="1"/>
  <c r="AB126" i="1"/>
  <c r="X126" i="1"/>
  <c r="T126" i="1"/>
  <c r="AE126" i="1"/>
  <c r="AA126" i="1"/>
  <c r="W126" i="1"/>
  <c r="G126" i="1"/>
  <c r="U126" i="1"/>
  <c r="AC126" i="1"/>
  <c r="T127" i="1"/>
  <c r="AB127" i="1"/>
  <c r="AB130" i="1"/>
  <c r="X130" i="1"/>
  <c r="T130" i="1"/>
  <c r="AE130" i="1"/>
  <c r="AA130" i="1"/>
  <c r="W130" i="1"/>
  <c r="G130" i="1"/>
  <c r="U130" i="1"/>
  <c r="AC130" i="1"/>
  <c r="T131" i="1"/>
  <c r="AB131" i="1"/>
  <c r="AB134" i="1"/>
  <c r="X134" i="1"/>
  <c r="T134" i="1"/>
  <c r="AE134" i="1"/>
  <c r="AA134" i="1"/>
  <c r="W134" i="1"/>
  <c r="G134" i="1"/>
  <c r="U134" i="1"/>
  <c r="AC134" i="1"/>
  <c r="T135" i="1"/>
  <c r="AB135" i="1"/>
  <c r="AB138" i="1"/>
  <c r="X138" i="1"/>
  <c r="T138" i="1"/>
  <c r="AE138" i="1"/>
  <c r="AA138" i="1"/>
  <c r="W138" i="1"/>
  <c r="G138" i="1"/>
  <c r="U138" i="1"/>
  <c r="AC138" i="1"/>
  <c r="T139" i="1"/>
  <c r="AB139" i="1"/>
  <c r="AB142" i="1"/>
  <c r="X142" i="1"/>
  <c r="T142" i="1"/>
  <c r="AE142" i="1"/>
  <c r="AA142" i="1"/>
  <c r="W142" i="1"/>
  <c r="G142" i="1"/>
  <c r="U142" i="1"/>
  <c r="AC142" i="1"/>
  <c r="T143" i="1"/>
  <c r="AB143" i="1"/>
  <c r="AB146" i="1"/>
  <c r="X146" i="1"/>
  <c r="T146" i="1"/>
  <c r="AE146" i="1"/>
  <c r="AA146" i="1"/>
  <c r="W146" i="1"/>
  <c r="G146" i="1"/>
  <c r="U146" i="1"/>
  <c r="AC146" i="1"/>
  <c r="T147" i="1"/>
  <c r="AB147" i="1"/>
  <c r="AB150" i="1"/>
  <c r="X150" i="1"/>
  <c r="T150" i="1"/>
  <c r="AE150" i="1"/>
  <c r="AA150" i="1"/>
  <c r="W150" i="1"/>
  <c r="G150" i="1"/>
  <c r="U150" i="1"/>
  <c r="AC150" i="1"/>
  <c r="T151" i="1"/>
  <c r="AB151" i="1"/>
  <c r="AB154" i="1"/>
  <c r="X154" i="1"/>
  <c r="T154" i="1"/>
  <c r="AE154" i="1"/>
  <c r="AA154" i="1"/>
  <c r="W154" i="1"/>
  <c r="G154" i="1"/>
  <c r="U154" i="1"/>
  <c r="AC154" i="1"/>
  <c r="T155" i="1"/>
  <c r="AB155" i="1"/>
  <c r="V158" i="1"/>
  <c r="AD158" i="1"/>
  <c r="AE159" i="1"/>
  <c r="AA159" i="1"/>
  <c r="W159" i="1"/>
  <c r="G159" i="1"/>
  <c r="AD159" i="1"/>
  <c r="Z159" i="1"/>
  <c r="V159" i="1"/>
  <c r="U159" i="1"/>
  <c r="AC159" i="1"/>
  <c r="V162" i="1"/>
  <c r="AD162" i="1"/>
  <c r="AE163" i="1"/>
  <c r="AA163" i="1"/>
  <c r="W163" i="1"/>
  <c r="G163" i="1"/>
  <c r="AD163" i="1"/>
  <c r="Z163" i="1"/>
  <c r="V163" i="1"/>
  <c r="U163" i="1"/>
  <c r="AC163" i="1"/>
  <c r="V166" i="1"/>
  <c r="AD166" i="1"/>
  <c r="AE167" i="1"/>
  <c r="AA167" i="1"/>
  <c r="W167" i="1"/>
  <c r="G167" i="1"/>
  <c r="AD167" i="1"/>
  <c r="Z167" i="1"/>
  <c r="V167" i="1"/>
  <c r="U167" i="1"/>
  <c r="AC167" i="1"/>
  <c r="V170" i="1"/>
  <c r="AD170" i="1"/>
  <c r="AE171" i="1"/>
  <c r="AA171" i="1"/>
  <c r="W171" i="1"/>
  <c r="G171" i="1"/>
  <c r="AD171" i="1"/>
  <c r="Z171" i="1"/>
  <c r="V171" i="1"/>
  <c r="U171" i="1"/>
  <c r="AC171" i="1"/>
  <c r="V174" i="1"/>
  <c r="AD174" i="1"/>
  <c r="AE175" i="1"/>
  <c r="AA175" i="1"/>
  <c r="W175" i="1"/>
  <c r="G175" i="1"/>
  <c r="AD175" i="1"/>
  <c r="Z175" i="1"/>
  <c r="V175" i="1"/>
  <c r="U175" i="1"/>
  <c r="AC175" i="1"/>
  <c r="V178" i="1"/>
  <c r="AD178" i="1"/>
  <c r="AE179" i="1"/>
  <c r="AA179" i="1"/>
  <c r="W179" i="1"/>
  <c r="G179" i="1"/>
  <c r="AD179" i="1"/>
  <c r="Z179" i="1"/>
  <c r="V179" i="1"/>
  <c r="U179" i="1"/>
  <c r="AC179" i="1"/>
  <c r="V182" i="1"/>
  <c r="AD182" i="1"/>
  <c r="Y183" i="1"/>
  <c r="Y191" i="1"/>
  <c r="Y199" i="1"/>
  <c r="Y207" i="1"/>
  <c r="Y215" i="1"/>
  <c r="AB253" i="1"/>
  <c r="X253" i="1"/>
  <c r="T253" i="1"/>
  <c r="AE253" i="1"/>
  <c r="AA253" i="1"/>
  <c r="W253" i="1"/>
  <c r="Z253" i="1"/>
  <c r="Y253" i="1"/>
  <c r="AD253" i="1"/>
  <c r="V253" i="1"/>
  <c r="L253" i="1"/>
  <c r="AB269" i="1"/>
  <c r="X269" i="1"/>
  <c r="T269" i="1"/>
  <c r="AE269" i="1"/>
  <c r="AA269" i="1"/>
  <c r="W269" i="1"/>
  <c r="Z269" i="1"/>
  <c r="Y269" i="1"/>
  <c r="AD269" i="1"/>
  <c r="V269" i="1"/>
  <c r="L269" i="1"/>
  <c r="AB285" i="1"/>
  <c r="X285" i="1"/>
  <c r="T285" i="1"/>
  <c r="AE285" i="1"/>
  <c r="AA285" i="1"/>
  <c r="W285" i="1"/>
  <c r="Z285" i="1"/>
  <c r="Y285" i="1"/>
  <c r="AD285" i="1"/>
  <c r="V285" i="1"/>
  <c r="L285" i="1"/>
  <c r="AB293" i="1"/>
  <c r="X293" i="1"/>
  <c r="T293" i="1"/>
  <c r="AE293" i="1"/>
  <c r="AA293" i="1"/>
  <c r="W293" i="1"/>
  <c r="Z293" i="1"/>
  <c r="Y293" i="1"/>
  <c r="AD293" i="1"/>
  <c r="V293" i="1"/>
  <c r="L293" i="1"/>
  <c r="AB301" i="1"/>
  <c r="X301" i="1"/>
  <c r="T301" i="1"/>
  <c r="AE301" i="1"/>
  <c r="AA301" i="1"/>
  <c r="W301" i="1"/>
  <c r="Z301" i="1"/>
  <c r="Y301" i="1"/>
  <c r="AD301" i="1"/>
  <c r="V301" i="1"/>
  <c r="L301" i="1"/>
  <c r="AB309" i="1"/>
  <c r="X309" i="1"/>
  <c r="T309" i="1"/>
  <c r="AE309" i="1"/>
  <c r="AA309" i="1"/>
  <c r="W309" i="1"/>
  <c r="Z309" i="1"/>
  <c r="Y309" i="1"/>
  <c r="AD309" i="1"/>
  <c r="V309" i="1"/>
  <c r="L309" i="1"/>
  <c r="AB317" i="1"/>
  <c r="X317" i="1"/>
  <c r="T317" i="1"/>
  <c r="AE317" i="1"/>
  <c r="AA317" i="1"/>
  <c r="W317" i="1"/>
  <c r="Z317" i="1"/>
  <c r="Y317" i="1"/>
  <c r="AD317" i="1"/>
  <c r="V317" i="1"/>
  <c r="L317" i="1"/>
  <c r="AB325" i="1"/>
  <c r="X325" i="1"/>
  <c r="T325" i="1"/>
  <c r="AE325" i="1"/>
  <c r="AA325" i="1"/>
  <c r="W325" i="1"/>
  <c r="Z325" i="1"/>
  <c r="Y325" i="1"/>
  <c r="AD325" i="1"/>
  <c r="V325" i="1"/>
  <c r="L325" i="1"/>
  <c r="AB329" i="1"/>
  <c r="X329" i="1"/>
  <c r="T329" i="1"/>
  <c r="AE329" i="1"/>
  <c r="AA329" i="1"/>
  <c r="W329" i="1"/>
  <c r="Z329" i="1"/>
  <c r="Y329" i="1"/>
  <c r="AD329" i="1"/>
  <c r="V329" i="1"/>
  <c r="L329" i="1"/>
  <c r="AB333" i="1"/>
  <c r="X333" i="1"/>
  <c r="T333" i="1"/>
  <c r="AE333" i="1"/>
  <c r="AA333" i="1"/>
  <c r="W333" i="1"/>
  <c r="Z333" i="1"/>
  <c r="Y333" i="1"/>
  <c r="AD333" i="1"/>
  <c r="V333" i="1"/>
  <c r="L333" i="1"/>
  <c r="AB337" i="1"/>
  <c r="X337" i="1"/>
  <c r="T337" i="1"/>
  <c r="AE337" i="1"/>
  <c r="AA337" i="1"/>
  <c r="W337" i="1"/>
  <c r="Z337" i="1"/>
  <c r="Y337" i="1"/>
  <c r="AD337" i="1"/>
  <c r="V337" i="1"/>
  <c r="L337" i="1"/>
  <c r="AB341" i="1"/>
  <c r="X341" i="1"/>
  <c r="T341" i="1"/>
  <c r="AE341" i="1"/>
  <c r="AA341" i="1"/>
  <c r="W341" i="1"/>
  <c r="Z341" i="1"/>
  <c r="Y341" i="1"/>
  <c r="AD341" i="1"/>
  <c r="V341" i="1"/>
  <c r="L341" i="1"/>
  <c r="AB345" i="1"/>
  <c r="X345" i="1"/>
  <c r="T345" i="1"/>
  <c r="AE345" i="1"/>
  <c r="AA345" i="1"/>
  <c r="W345" i="1"/>
  <c r="Z345" i="1"/>
  <c r="Y345" i="1"/>
  <c r="AD345" i="1"/>
  <c r="V345" i="1"/>
  <c r="L345" i="1"/>
  <c r="AB349" i="1"/>
  <c r="X349" i="1"/>
  <c r="T349" i="1"/>
  <c r="AE349" i="1"/>
  <c r="AA349" i="1"/>
  <c r="W349" i="1"/>
  <c r="Z349" i="1"/>
  <c r="Y349" i="1"/>
  <c r="AD349" i="1"/>
  <c r="V349" i="1"/>
  <c r="L349" i="1"/>
  <c r="AG310" i="1"/>
  <c r="AB406" i="1"/>
  <c r="X406" i="1"/>
  <c r="T406" i="1"/>
  <c r="AE406" i="1"/>
  <c r="AA406" i="1"/>
  <c r="W406" i="1"/>
  <c r="AD406" i="1"/>
  <c r="Z406" i="1"/>
  <c r="V406" i="1"/>
  <c r="L406" i="1"/>
  <c r="AC406" i="1"/>
  <c r="Y406" i="1"/>
  <c r="U406" i="1"/>
  <c r="AB414" i="1"/>
  <c r="X414" i="1"/>
  <c r="T414" i="1"/>
  <c r="AE414" i="1"/>
  <c r="AA414" i="1"/>
  <c r="W414" i="1"/>
  <c r="AD414" i="1"/>
  <c r="Z414" i="1"/>
  <c r="V414" i="1"/>
  <c r="L414" i="1"/>
  <c r="AC414" i="1"/>
  <c r="Y414" i="1"/>
  <c r="U414" i="1"/>
  <c r="AB422" i="1"/>
  <c r="X422" i="1"/>
  <c r="T422" i="1"/>
  <c r="AE422" i="1"/>
  <c r="AA422" i="1"/>
  <c r="W422" i="1"/>
  <c r="AD422" i="1"/>
  <c r="Z422" i="1"/>
  <c r="V422" i="1"/>
  <c r="L422" i="1"/>
  <c r="AC422" i="1"/>
  <c r="Y422" i="1"/>
  <c r="U422" i="1"/>
  <c r="AD230" i="1"/>
  <c r="Z230" i="1"/>
  <c r="V230" i="1"/>
  <c r="AE230" i="1"/>
  <c r="Y230" i="1"/>
  <c r="T230" i="1"/>
  <c r="AC230" i="1"/>
  <c r="X230" i="1"/>
  <c r="AB230" i="1"/>
  <c r="W230" i="1"/>
  <c r="G230" i="1"/>
  <c r="AA230" i="1"/>
  <c r="AD234" i="1"/>
  <c r="Z234" i="1"/>
  <c r="V234" i="1"/>
  <c r="AE234" i="1"/>
  <c r="Y234" i="1"/>
  <c r="T234" i="1"/>
  <c r="AC234" i="1"/>
  <c r="X234" i="1"/>
  <c r="AB234" i="1"/>
  <c r="W234" i="1"/>
  <c r="G234" i="1"/>
  <c r="AA234" i="1"/>
  <c r="AD238" i="1"/>
  <c r="Z238" i="1"/>
  <c r="V238" i="1"/>
  <c r="AE238" i="1"/>
  <c r="Y238" i="1"/>
  <c r="T238" i="1"/>
  <c r="AC238" i="1"/>
  <c r="X238" i="1"/>
  <c r="AB238" i="1"/>
  <c r="W238" i="1"/>
  <c r="G238" i="1"/>
  <c r="AA238" i="1"/>
  <c r="AB245" i="1"/>
  <c r="X245" i="1"/>
  <c r="T245" i="1"/>
  <c r="AE245" i="1"/>
  <c r="AA245" i="1"/>
  <c r="W245" i="1"/>
  <c r="G245" i="1"/>
  <c r="Z245" i="1"/>
  <c r="Y245" i="1"/>
  <c r="AD245" i="1"/>
  <c r="V245" i="1"/>
  <c r="U253" i="1"/>
  <c r="AB261" i="1"/>
  <c r="X261" i="1"/>
  <c r="T261" i="1"/>
  <c r="AE261" i="1"/>
  <c r="AA261" i="1"/>
  <c r="W261" i="1"/>
  <c r="Z261" i="1"/>
  <c r="Y261" i="1"/>
  <c r="AD261" i="1"/>
  <c r="V261" i="1"/>
  <c r="L261" i="1"/>
  <c r="U269" i="1"/>
  <c r="AB277" i="1"/>
  <c r="X277" i="1"/>
  <c r="T277" i="1"/>
  <c r="AE277" i="1"/>
  <c r="AA277" i="1"/>
  <c r="W277" i="1"/>
  <c r="Z277" i="1"/>
  <c r="Y277" i="1"/>
  <c r="AD277" i="1"/>
  <c r="V277" i="1"/>
  <c r="L277" i="1"/>
  <c r="U285" i="1"/>
  <c r="AB289" i="1"/>
  <c r="X289" i="1"/>
  <c r="T289" i="1"/>
  <c r="AE289" i="1"/>
  <c r="AA289" i="1"/>
  <c r="W289" i="1"/>
  <c r="Z289" i="1"/>
  <c r="Y289" i="1"/>
  <c r="AD289" i="1"/>
  <c r="V289" i="1"/>
  <c r="L289" i="1"/>
  <c r="U293" i="1"/>
  <c r="AB297" i="1"/>
  <c r="X297" i="1"/>
  <c r="T297" i="1"/>
  <c r="AE297" i="1"/>
  <c r="AA297" i="1"/>
  <c r="W297" i="1"/>
  <c r="Z297" i="1"/>
  <c r="Y297" i="1"/>
  <c r="AD297" i="1"/>
  <c r="V297" i="1"/>
  <c r="L297" i="1"/>
  <c r="U301" i="1"/>
  <c r="AB305" i="1"/>
  <c r="X305" i="1"/>
  <c r="T305" i="1"/>
  <c r="AE305" i="1"/>
  <c r="AA305" i="1"/>
  <c r="W305" i="1"/>
  <c r="Z305" i="1"/>
  <c r="Y305" i="1"/>
  <c r="AD305" i="1"/>
  <c r="V305" i="1"/>
  <c r="L305" i="1"/>
  <c r="U309" i="1"/>
  <c r="AB313" i="1"/>
  <c r="X313" i="1"/>
  <c r="T313" i="1"/>
  <c r="AE313" i="1"/>
  <c r="AA313" i="1"/>
  <c r="W313" i="1"/>
  <c r="Z313" i="1"/>
  <c r="Y313" i="1"/>
  <c r="AD313" i="1"/>
  <c r="V313" i="1"/>
  <c r="L313" i="1"/>
  <c r="U317" i="1"/>
  <c r="AB321" i="1"/>
  <c r="X321" i="1"/>
  <c r="T321" i="1"/>
  <c r="AE321" i="1"/>
  <c r="AA321" i="1"/>
  <c r="W321" i="1"/>
  <c r="Z321" i="1"/>
  <c r="Y321" i="1"/>
  <c r="AD321" i="1"/>
  <c r="V321" i="1"/>
  <c r="L321" i="1"/>
  <c r="U325" i="1"/>
  <c r="U329" i="1"/>
  <c r="U333" i="1"/>
  <c r="U337" i="1"/>
  <c r="U341" i="1"/>
  <c r="U345" i="1"/>
  <c r="U349" i="1"/>
  <c r="AC253" i="1"/>
  <c r="AC269" i="1"/>
  <c r="AC285" i="1"/>
  <c r="AC293" i="1"/>
  <c r="AG298" i="1"/>
  <c r="AC301" i="1"/>
  <c r="AC309" i="1"/>
  <c r="AG314" i="1"/>
  <c r="AC317" i="1"/>
  <c r="AC325" i="1"/>
  <c r="AC329" i="1"/>
  <c r="AC333" i="1"/>
  <c r="AC337" i="1"/>
  <c r="AB516" i="1"/>
  <c r="X516" i="1"/>
  <c r="T516" i="1"/>
  <c r="AE516" i="1"/>
  <c r="AA516" i="1"/>
  <c r="W516" i="1"/>
  <c r="Z516" i="1"/>
  <c r="Y516" i="1"/>
  <c r="AD516" i="1"/>
  <c r="V516" i="1"/>
  <c r="L516" i="1"/>
  <c r="AC516" i="1"/>
  <c r="U516" i="1"/>
  <c r="AB729" i="1"/>
  <c r="X729" i="1"/>
  <c r="T729" i="1"/>
  <c r="AE729" i="1"/>
  <c r="AA729" i="1"/>
  <c r="W729" i="1"/>
  <c r="AD729" i="1"/>
  <c r="Z729" i="1"/>
  <c r="V729" i="1"/>
  <c r="L729" i="1"/>
  <c r="AC729" i="1"/>
  <c r="Y729" i="1"/>
  <c r="U729" i="1"/>
  <c r="AB430" i="1"/>
  <c r="X430" i="1"/>
  <c r="T430" i="1"/>
  <c r="AE430" i="1"/>
  <c r="AA430" i="1"/>
  <c r="W430" i="1"/>
  <c r="AD430" i="1"/>
  <c r="Z430" i="1"/>
  <c r="V430" i="1"/>
  <c r="L430" i="1"/>
  <c r="AC430" i="1"/>
  <c r="Y430" i="1"/>
  <c r="AB492" i="1"/>
  <c r="X492" i="1"/>
  <c r="T492" i="1"/>
  <c r="AE492" i="1"/>
  <c r="AA492" i="1"/>
  <c r="W492" i="1"/>
  <c r="Z492" i="1"/>
  <c r="Y492" i="1"/>
  <c r="AD492" i="1"/>
  <c r="V492" i="1"/>
  <c r="L492" i="1"/>
  <c r="AC492" i="1"/>
  <c r="U492" i="1"/>
  <c r="AB532" i="1"/>
  <c r="X532" i="1"/>
  <c r="T532" i="1"/>
  <c r="AE532" i="1"/>
  <c r="AA532" i="1"/>
  <c r="W532" i="1"/>
  <c r="Z532" i="1"/>
  <c r="Y532" i="1"/>
  <c r="AD532" i="1"/>
  <c r="V532" i="1"/>
  <c r="L532" i="1"/>
  <c r="AC532" i="1"/>
  <c r="U532" i="1"/>
  <c r="U430" i="1"/>
  <c r="AB438" i="1"/>
  <c r="X438" i="1"/>
  <c r="T438" i="1"/>
  <c r="AE438" i="1"/>
  <c r="AA438" i="1"/>
  <c r="W438" i="1"/>
  <c r="AD438" i="1"/>
  <c r="Z438" i="1"/>
  <c r="V438" i="1"/>
  <c r="L438" i="1"/>
  <c r="AC438" i="1"/>
  <c r="Y438" i="1"/>
  <c r="AB548" i="1"/>
  <c r="X548" i="1"/>
  <c r="T548" i="1"/>
  <c r="AE548" i="1"/>
  <c r="AA548" i="1"/>
  <c r="W548" i="1"/>
  <c r="Z548" i="1"/>
  <c r="Y548" i="1"/>
  <c r="AD548" i="1"/>
  <c r="V548" i="1"/>
  <c r="L548" i="1"/>
  <c r="AC548" i="1"/>
  <c r="U548" i="1"/>
  <c r="AB595" i="1"/>
  <c r="X595" i="1"/>
  <c r="T595" i="1"/>
  <c r="AE595" i="1"/>
  <c r="AA595" i="1"/>
  <c r="W595" i="1"/>
  <c r="AD595" i="1"/>
  <c r="Z595" i="1"/>
  <c r="V595" i="1"/>
  <c r="L595" i="1"/>
  <c r="AC595" i="1"/>
  <c r="Y595" i="1"/>
  <c r="U595" i="1"/>
  <c r="U8" i="1"/>
  <c r="Y8" i="1"/>
  <c r="U12" i="1"/>
  <c r="Y12" i="1"/>
  <c r="U16" i="1"/>
  <c r="Y16" i="1"/>
  <c r="U20" i="1"/>
  <c r="Y20" i="1"/>
  <c r="U24" i="1"/>
  <c r="Y24" i="1"/>
  <c r="U28" i="1"/>
  <c r="Y28" i="1"/>
  <c r="U32" i="1"/>
  <c r="Y32" i="1"/>
  <c r="U36" i="1"/>
  <c r="Y36" i="1"/>
  <c r="U40" i="1"/>
  <c r="Y40" i="1"/>
  <c r="U44" i="1"/>
  <c r="Y44" i="1"/>
  <c r="T45" i="1"/>
  <c r="X45" i="1"/>
  <c r="AB45" i="1"/>
  <c r="U48" i="1"/>
  <c r="Y48" i="1"/>
  <c r="T49" i="1"/>
  <c r="X49" i="1"/>
  <c r="AB49" i="1"/>
  <c r="U52" i="1"/>
  <c r="Y52" i="1"/>
  <c r="T53" i="1"/>
  <c r="X53" i="1"/>
  <c r="AB53" i="1"/>
  <c r="U56" i="1"/>
  <c r="Y56" i="1"/>
  <c r="T57" i="1"/>
  <c r="X57" i="1"/>
  <c r="AB57" i="1"/>
  <c r="U60" i="1"/>
  <c r="Y60" i="1"/>
  <c r="AC60" i="1"/>
  <c r="T61" i="1"/>
  <c r="X61" i="1"/>
  <c r="AB61" i="1"/>
  <c r="U64" i="1"/>
  <c r="Y64" i="1"/>
  <c r="AC64" i="1"/>
  <c r="T65" i="1"/>
  <c r="X65" i="1"/>
  <c r="AB65" i="1"/>
  <c r="U68" i="1"/>
  <c r="Y68" i="1"/>
  <c r="AC68" i="1"/>
  <c r="T69" i="1"/>
  <c r="X69" i="1"/>
  <c r="AB69" i="1"/>
  <c r="U72" i="1"/>
  <c r="Y72" i="1"/>
  <c r="AC72" i="1"/>
  <c r="T73" i="1"/>
  <c r="X73" i="1"/>
  <c r="AB73" i="1"/>
  <c r="U76" i="1"/>
  <c r="Y76" i="1"/>
  <c r="AC76" i="1"/>
  <c r="T77" i="1"/>
  <c r="X77" i="1"/>
  <c r="AB77" i="1"/>
  <c r="U80" i="1"/>
  <c r="Y80" i="1"/>
  <c r="AC80" i="1"/>
  <c r="T81" i="1"/>
  <c r="X81" i="1"/>
  <c r="AB81" i="1"/>
  <c r="U84" i="1"/>
  <c r="Y84" i="1"/>
  <c r="AC84" i="1"/>
  <c r="T85" i="1"/>
  <c r="X85" i="1"/>
  <c r="AB85" i="1"/>
  <c r="U88" i="1"/>
  <c r="Y88" i="1"/>
  <c r="AC88" i="1"/>
  <c r="T89" i="1"/>
  <c r="X89" i="1"/>
  <c r="AB89" i="1"/>
  <c r="U92" i="1"/>
  <c r="Y92" i="1"/>
  <c r="AC92" i="1"/>
  <c r="T93" i="1"/>
  <c r="X93" i="1"/>
  <c r="AB93" i="1"/>
  <c r="U96" i="1"/>
  <c r="Y96" i="1"/>
  <c r="AC96" i="1"/>
  <c r="T97" i="1"/>
  <c r="X97" i="1"/>
  <c r="AB97" i="1"/>
  <c r="U100" i="1"/>
  <c r="Y100" i="1"/>
  <c r="AC100" i="1"/>
  <c r="T101" i="1"/>
  <c r="X101" i="1"/>
  <c r="AB101" i="1"/>
  <c r="U104" i="1"/>
  <c r="Y104" i="1"/>
  <c r="T105" i="1"/>
  <c r="X105" i="1"/>
  <c r="AB105" i="1"/>
  <c r="U108" i="1"/>
  <c r="Y108" i="1"/>
  <c r="AC108" i="1"/>
  <c r="T109" i="1"/>
  <c r="X109" i="1"/>
  <c r="AB109" i="1"/>
  <c r="U112" i="1"/>
  <c r="Y112" i="1"/>
  <c r="AC112" i="1"/>
  <c r="T113" i="1"/>
  <c r="X113" i="1"/>
  <c r="AB113" i="1"/>
  <c r="U116" i="1"/>
  <c r="Y116" i="1"/>
  <c r="AC116" i="1"/>
  <c r="T117" i="1"/>
  <c r="X117" i="1"/>
  <c r="AB117" i="1"/>
  <c r="U120" i="1"/>
  <c r="Y120" i="1"/>
  <c r="AC120" i="1"/>
  <c r="T121" i="1"/>
  <c r="X121" i="1"/>
  <c r="AB121" i="1"/>
  <c r="U124" i="1"/>
  <c r="Y124" i="1"/>
  <c r="AC124" i="1"/>
  <c r="T125" i="1"/>
  <c r="X125" i="1"/>
  <c r="AB125" i="1"/>
  <c r="U128" i="1"/>
  <c r="Y128" i="1"/>
  <c r="AC128" i="1"/>
  <c r="T129" i="1"/>
  <c r="X129" i="1"/>
  <c r="AB129" i="1"/>
  <c r="U132" i="1"/>
  <c r="Y132" i="1"/>
  <c r="AC132" i="1"/>
  <c r="T133" i="1"/>
  <c r="X133" i="1"/>
  <c r="AB133" i="1"/>
  <c r="U136" i="1"/>
  <c r="Y136" i="1"/>
  <c r="AC136" i="1"/>
  <c r="T137" i="1"/>
  <c r="X137" i="1"/>
  <c r="AB137" i="1"/>
  <c r="U140" i="1"/>
  <c r="Y140" i="1"/>
  <c r="AC140" i="1"/>
  <c r="T141" i="1"/>
  <c r="X141" i="1"/>
  <c r="AB141" i="1"/>
  <c r="U144" i="1"/>
  <c r="Y144" i="1"/>
  <c r="AC144" i="1"/>
  <c r="T145" i="1"/>
  <c r="X145" i="1"/>
  <c r="AB145" i="1"/>
  <c r="U148" i="1"/>
  <c r="Y148" i="1"/>
  <c r="AC148" i="1"/>
  <c r="T149" i="1"/>
  <c r="X149" i="1"/>
  <c r="AB149" i="1"/>
  <c r="U152" i="1"/>
  <c r="Y152" i="1"/>
  <c r="AC152" i="1"/>
  <c r="T153" i="1"/>
  <c r="X153" i="1"/>
  <c r="AB153" i="1"/>
  <c r="U156" i="1"/>
  <c r="Y156" i="1"/>
  <c r="AC156" i="1"/>
  <c r="AB157" i="1"/>
  <c r="U160" i="1"/>
  <c r="Y160" i="1"/>
  <c r="AC160" i="1"/>
  <c r="U164" i="1"/>
  <c r="Y164" i="1"/>
  <c r="AC164" i="1"/>
  <c r="U168" i="1"/>
  <c r="Y168" i="1"/>
  <c r="AC168" i="1"/>
  <c r="U172" i="1"/>
  <c r="Y172" i="1"/>
  <c r="AC172" i="1"/>
  <c r="U176" i="1"/>
  <c r="Y176" i="1"/>
  <c r="AC176" i="1"/>
  <c r="U180" i="1"/>
  <c r="Y180" i="1"/>
  <c r="AC180" i="1"/>
  <c r="U184" i="1"/>
  <c r="Y184" i="1"/>
  <c r="AC184" i="1"/>
  <c r="G186" i="1"/>
  <c r="W186" i="1"/>
  <c r="AA186" i="1"/>
  <c r="AE186" i="1"/>
  <c r="U188" i="1"/>
  <c r="Y188" i="1"/>
  <c r="AC188" i="1"/>
  <c r="G190" i="1"/>
  <c r="W190" i="1"/>
  <c r="AA190" i="1"/>
  <c r="AE190" i="1"/>
  <c r="U192" i="1"/>
  <c r="Y192" i="1"/>
  <c r="AC192" i="1"/>
  <c r="G194" i="1"/>
  <c r="W194" i="1"/>
  <c r="AA194" i="1"/>
  <c r="AE194" i="1"/>
  <c r="U196" i="1"/>
  <c r="Y196" i="1"/>
  <c r="AC196" i="1"/>
  <c r="G198" i="1"/>
  <c r="W198" i="1"/>
  <c r="AA198" i="1"/>
  <c r="AE198" i="1"/>
  <c r="U200" i="1"/>
  <c r="Y200" i="1"/>
  <c r="AC200" i="1"/>
  <c r="G202" i="1"/>
  <c r="W202" i="1"/>
  <c r="AA202" i="1"/>
  <c r="AE202" i="1"/>
  <c r="U204" i="1"/>
  <c r="Y204" i="1"/>
  <c r="AC204" i="1"/>
  <c r="G206" i="1"/>
  <c r="W206" i="1"/>
  <c r="AA206" i="1"/>
  <c r="AE206" i="1"/>
  <c r="U208" i="1"/>
  <c r="Y208" i="1"/>
  <c r="AC208" i="1"/>
  <c r="G210" i="1"/>
  <c r="W210" i="1"/>
  <c r="AA210" i="1"/>
  <c r="AE210" i="1"/>
  <c r="U212" i="1"/>
  <c r="Y212" i="1"/>
  <c r="AC212" i="1"/>
  <c r="G214" i="1"/>
  <c r="W214" i="1"/>
  <c r="AA214" i="1"/>
  <c r="AE214" i="1"/>
  <c r="U216" i="1"/>
  <c r="Y216" i="1"/>
  <c r="AC216" i="1"/>
  <c r="G218" i="1"/>
  <c r="W218" i="1"/>
  <c r="AA218" i="1"/>
  <c r="AE218" i="1"/>
  <c r="U220" i="1"/>
  <c r="Y220" i="1"/>
  <c r="AC220" i="1"/>
  <c r="G222" i="1"/>
  <c r="W222" i="1"/>
  <c r="AA222" i="1"/>
  <c r="AE222" i="1"/>
  <c r="U224" i="1"/>
  <c r="Y224" i="1"/>
  <c r="AC224" i="1"/>
  <c r="G226" i="1"/>
  <c r="W226" i="1"/>
  <c r="AB226" i="1"/>
  <c r="AE229" i="1"/>
  <c r="AA229" i="1"/>
  <c r="W229" i="1"/>
  <c r="G229" i="1"/>
  <c r="U229" i="1"/>
  <c r="Z229" i="1"/>
  <c r="AE233" i="1"/>
  <c r="AA233" i="1"/>
  <c r="W233" i="1"/>
  <c r="G233" i="1"/>
  <c r="U233" i="1"/>
  <c r="Z233" i="1"/>
  <c r="AE237" i="1"/>
  <c r="AA237" i="1"/>
  <c r="W237" i="1"/>
  <c r="G237" i="1"/>
  <c r="U237" i="1"/>
  <c r="Z237" i="1"/>
  <c r="Y242" i="1"/>
  <c r="AE246" i="1"/>
  <c r="AA246" i="1"/>
  <c r="W246" i="1"/>
  <c r="G246" i="1"/>
  <c r="AD246" i="1"/>
  <c r="Z246" i="1"/>
  <c r="V246" i="1"/>
  <c r="L246" i="1"/>
  <c r="U246" i="1"/>
  <c r="AC246" i="1"/>
  <c r="Y250" i="1"/>
  <c r="AE254" i="1"/>
  <c r="AA254" i="1"/>
  <c r="W254" i="1"/>
  <c r="AD254" i="1"/>
  <c r="Z254" i="1"/>
  <c r="V254" i="1"/>
  <c r="L254" i="1"/>
  <c r="U254" i="1"/>
  <c r="AC254" i="1"/>
  <c r="Y258" i="1"/>
  <c r="AE262" i="1"/>
  <c r="AA262" i="1"/>
  <c r="W262" i="1"/>
  <c r="AD262" i="1"/>
  <c r="Z262" i="1"/>
  <c r="V262" i="1"/>
  <c r="L262" i="1"/>
  <c r="U262" i="1"/>
  <c r="AC262" i="1"/>
  <c r="Y266" i="1"/>
  <c r="AE270" i="1"/>
  <c r="AA270" i="1"/>
  <c r="W270" i="1"/>
  <c r="AD270" i="1"/>
  <c r="Z270" i="1"/>
  <c r="V270" i="1"/>
  <c r="L270" i="1"/>
  <c r="U270" i="1"/>
  <c r="AC270" i="1"/>
  <c r="Y274" i="1"/>
  <c r="AE278" i="1"/>
  <c r="AA278" i="1"/>
  <c r="W278" i="1"/>
  <c r="AD278" i="1"/>
  <c r="Z278" i="1"/>
  <c r="V278" i="1"/>
  <c r="L278" i="1"/>
  <c r="U278" i="1"/>
  <c r="AC278" i="1"/>
  <c r="Y282" i="1"/>
  <c r="AE286" i="1"/>
  <c r="AA286" i="1"/>
  <c r="W286" i="1"/>
  <c r="AD286" i="1"/>
  <c r="Z286" i="1"/>
  <c r="V286" i="1"/>
  <c r="L286" i="1"/>
  <c r="U286" i="1"/>
  <c r="AC286" i="1"/>
  <c r="AE290" i="1"/>
  <c r="AA290" i="1"/>
  <c r="W290" i="1"/>
  <c r="AD290" i="1"/>
  <c r="Z290" i="1"/>
  <c r="V290" i="1"/>
  <c r="L290" i="1"/>
  <c r="U290" i="1"/>
  <c r="AC290" i="1"/>
  <c r="AE294" i="1"/>
  <c r="AA294" i="1"/>
  <c r="W294" i="1"/>
  <c r="AD294" i="1"/>
  <c r="Z294" i="1"/>
  <c r="V294" i="1"/>
  <c r="L294" i="1"/>
  <c r="U294" i="1"/>
  <c r="AC294" i="1"/>
  <c r="AE298" i="1"/>
  <c r="AA298" i="1"/>
  <c r="W298" i="1"/>
  <c r="AD298" i="1"/>
  <c r="Z298" i="1"/>
  <c r="V298" i="1"/>
  <c r="L298" i="1"/>
  <c r="U298" i="1"/>
  <c r="AC298" i="1"/>
  <c r="AE302" i="1"/>
  <c r="AA302" i="1"/>
  <c r="W302" i="1"/>
  <c r="AD302" i="1"/>
  <c r="Z302" i="1"/>
  <c r="V302" i="1"/>
  <c r="L302" i="1"/>
  <c r="U302" i="1"/>
  <c r="AC302" i="1"/>
  <c r="AE306" i="1"/>
  <c r="AA306" i="1"/>
  <c r="W306" i="1"/>
  <c r="AD306" i="1"/>
  <c r="Z306" i="1"/>
  <c r="V306" i="1"/>
  <c r="L306" i="1"/>
  <c r="U306" i="1"/>
  <c r="AC306" i="1"/>
  <c r="AE310" i="1"/>
  <c r="AA310" i="1"/>
  <c r="W310" i="1"/>
  <c r="AD310" i="1"/>
  <c r="Z310" i="1"/>
  <c r="V310" i="1"/>
  <c r="L310" i="1"/>
  <c r="U310" i="1"/>
  <c r="AC310" i="1"/>
  <c r="AE314" i="1"/>
  <c r="AA314" i="1"/>
  <c r="W314" i="1"/>
  <c r="AD314" i="1"/>
  <c r="Z314" i="1"/>
  <c r="V314" i="1"/>
  <c r="L314" i="1"/>
  <c r="U314" i="1"/>
  <c r="AC314" i="1"/>
  <c r="AE318" i="1"/>
  <c r="AA318" i="1"/>
  <c r="W318" i="1"/>
  <c r="AD318" i="1"/>
  <c r="Z318" i="1"/>
  <c r="V318" i="1"/>
  <c r="L318" i="1"/>
  <c r="U318" i="1"/>
  <c r="AC318" i="1"/>
  <c r="AE322" i="1"/>
  <c r="AA322" i="1"/>
  <c r="W322" i="1"/>
  <c r="AD322" i="1"/>
  <c r="Z322" i="1"/>
  <c r="V322" i="1"/>
  <c r="L322" i="1"/>
  <c r="U322" i="1"/>
  <c r="AC322" i="1"/>
  <c r="AE326" i="1"/>
  <c r="AA326" i="1"/>
  <c r="W326" i="1"/>
  <c r="AD326" i="1"/>
  <c r="Z326" i="1"/>
  <c r="V326" i="1"/>
  <c r="L326" i="1"/>
  <c r="U326" i="1"/>
  <c r="AC326" i="1"/>
  <c r="AE330" i="1"/>
  <c r="AA330" i="1"/>
  <c r="W330" i="1"/>
  <c r="AD330" i="1"/>
  <c r="Z330" i="1"/>
  <c r="V330" i="1"/>
  <c r="L330" i="1"/>
  <c r="U330" i="1"/>
  <c r="AC330" i="1"/>
  <c r="AE334" i="1"/>
  <c r="AA334" i="1"/>
  <c r="W334" i="1"/>
  <c r="AD334" i="1"/>
  <c r="Z334" i="1"/>
  <c r="V334" i="1"/>
  <c r="L334" i="1"/>
  <c r="U334" i="1"/>
  <c r="AC334" i="1"/>
  <c r="AE338" i="1"/>
  <c r="AA338" i="1"/>
  <c r="W338" i="1"/>
  <c r="AD338" i="1"/>
  <c r="Z338" i="1"/>
  <c r="V338" i="1"/>
  <c r="L338" i="1"/>
  <c r="U338" i="1"/>
  <c r="AC338" i="1"/>
  <c r="AE342" i="1"/>
  <c r="AA342" i="1"/>
  <c r="W342" i="1"/>
  <c r="AD342" i="1"/>
  <c r="Z342" i="1"/>
  <c r="V342" i="1"/>
  <c r="L342" i="1"/>
  <c r="U342" i="1"/>
  <c r="AC342" i="1"/>
  <c r="AE346" i="1"/>
  <c r="AA346" i="1"/>
  <c r="W346" i="1"/>
  <c r="AD346" i="1"/>
  <c r="Z346" i="1"/>
  <c r="V346" i="1"/>
  <c r="L346" i="1"/>
  <c r="U346" i="1"/>
  <c r="AC346" i="1"/>
  <c r="AE350" i="1"/>
  <c r="AA350" i="1"/>
  <c r="W350" i="1"/>
  <c r="AD350" i="1"/>
  <c r="Z350" i="1"/>
  <c r="V350" i="1"/>
  <c r="L350" i="1"/>
  <c r="U350" i="1"/>
  <c r="AC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AB434" i="1"/>
  <c r="X434" i="1"/>
  <c r="T434" i="1"/>
  <c r="AE434" i="1"/>
  <c r="AA434" i="1"/>
  <c r="W434" i="1"/>
  <c r="AD434" i="1"/>
  <c r="Z434" i="1"/>
  <c r="V434" i="1"/>
  <c r="L434" i="1"/>
  <c r="U434" i="1"/>
  <c r="AB446" i="1"/>
  <c r="X446" i="1"/>
  <c r="T446" i="1"/>
  <c r="AE446" i="1"/>
  <c r="AA446" i="1"/>
  <c r="W446" i="1"/>
  <c r="AD446" i="1"/>
  <c r="Z446" i="1"/>
  <c r="V446" i="1"/>
  <c r="L446" i="1"/>
  <c r="U446" i="1"/>
  <c r="U508" i="1"/>
  <c r="U45" i="1"/>
  <c r="Y45" i="1"/>
  <c r="U49" i="1"/>
  <c r="Y49" i="1"/>
  <c r="U53" i="1"/>
  <c r="Y53" i="1"/>
  <c r="U57" i="1"/>
  <c r="Y57" i="1"/>
  <c r="V60" i="1"/>
  <c r="Z60" i="1"/>
  <c r="U61" i="1"/>
  <c r="Y61" i="1"/>
  <c r="V64" i="1"/>
  <c r="Z64" i="1"/>
  <c r="U65" i="1"/>
  <c r="Y65" i="1"/>
  <c r="V68" i="1"/>
  <c r="Z68" i="1"/>
  <c r="U69" i="1"/>
  <c r="Y69" i="1"/>
  <c r="V72" i="1"/>
  <c r="Z72" i="1"/>
  <c r="U73" i="1"/>
  <c r="Y73" i="1"/>
  <c r="V76" i="1"/>
  <c r="Z76" i="1"/>
  <c r="U77" i="1"/>
  <c r="Y77" i="1"/>
  <c r="V80" i="1"/>
  <c r="Z80" i="1"/>
  <c r="U81" i="1"/>
  <c r="Y81" i="1"/>
  <c r="V84" i="1"/>
  <c r="Z84" i="1"/>
  <c r="U85" i="1"/>
  <c r="Y85" i="1"/>
  <c r="V88" i="1"/>
  <c r="Z88" i="1"/>
  <c r="U89" i="1"/>
  <c r="Y89" i="1"/>
  <c r="U93" i="1"/>
  <c r="Y93" i="1"/>
  <c r="V96" i="1"/>
  <c r="Z96" i="1"/>
  <c r="U97" i="1"/>
  <c r="Y97" i="1"/>
  <c r="U101" i="1"/>
  <c r="Y101" i="1"/>
  <c r="U105" i="1"/>
  <c r="Y105" i="1"/>
  <c r="V108" i="1"/>
  <c r="Z108" i="1"/>
  <c r="U109" i="1"/>
  <c r="Y109" i="1"/>
  <c r="V112" i="1"/>
  <c r="Z112" i="1"/>
  <c r="U113" i="1"/>
  <c r="Y113" i="1"/>
  <c r="Z116" i="1"/>
  <c r="U117" i="1"/>
  <c r="Y117" i="1"/>
  <c r="V120" i="1"/>
  <c r="Z120" i="1"/>
  <c r="U121" i="1"/>
  <c r="Y121" i="1"/>
  <c r="V124" i="1"/>
  <c r="Z124" i="1"/>
  <c r="U125" i="1"/>
  <c r="Y125" i="1"/>
  <c r="V128" i="1"/>
  <c r="Z128" i="1"/>
  <c r="U129" i="1"/>
  <c r="Y129" i="1"/>
  <c r="V132" i="1"/>
  <c r="Z132" i="1"/>
  <c r="U133" i="1"/>
  <c r="Y133" i="1"/>
  <c r="V136" i="1"/>
  <c r="Z136" i="1"/>
  <c r="U137" i="1"/>
  <c r="Y137" i="1"/>
  <c r="V140" i="1"/>
  <c r="Z140" i="1"/>
  <c r="U141" i="1"/>
  <c r="Y141" i="1"/>
  <c r="V144" i="1"/>
  <c r="Z144" i="1"/>
  <c r="U145" i="1"/>
  <c r="Y145" i="1"/>
  <c r="V148" i="1"/>
  <c r="Z148" i="1"/>
  <c r="U149" i="1"/>
  <c r="Y149" i="1"/>
  <c r="V152" i="1"/>
  <c r="Z152" i="1"/>
  <c r="U153" i="1"/>
  <c r="Y153" i="1"/>
  <c r="V156" i="1"/>
  <c r="Z156" i="1"/>
  <c r="U157" i="1"/>
  <c r="Y157" i="1"/>
  <c r="V160" i="1"/>
  <c r="Z160" i="1"/>
  <c r="U161" i="1"/>
  <c r="Y161" i="1"/>
  <c r="V164" i="1"/>
  <c r="Z164" i="1"/>
  <c r="U165" i="1"/>
  <c r="Y165" i="1"/>
  <c r="V168" i="1"/>
  <c r="Z168" i="1"/>
  <c r="U169" i="1"/>
  <c r="Y169" i="1"/>
  <c r="V172" i="1"/>
  <c r="Z172" i="1"/>
  <c r="U173" i="1"/>
  <c r="Y173" i="1"/>
  <c r="V176" i="1"/>
  <c r="Z176" i="1"/>
  <c r="U177" i="1"/>
  <c r="Y177" i="1"/>
  <c r="V180" i="1"/>
  <c r="Z180" i="1"/>
  <c r="U181" i="1"/>
  <c r="Y181" i="1"/>
  <c r="V184" i="1"/>
  <c r="Z184" i="1"/>
  <c r="U185" i="1"/>
  <c r="Y185" i="1"/>
  <c r="T186" i="1"/>
  <c r="X186" i="1"/>
  <c r="AB186" i="1"/>
  <c r="V188" i="1"/>
  <c r="Z188" i="1"/>
  <c r="U189" i="1"/>
  <c r="Y189" i="1"/>
  <c r="T190" i="1"/>
  <c r="X190" i="1"/>
  <c r="AB190" i="1"/>
  <c r="V192" i="1"/>
  <c r="Z192" i="1"/>
  <c r="U193" i="1"/>
  <c r="Y193" i="1"/>
  <c r="AG193" i="1"/>
  <c r="T194" i="1"/>
  <c r="X194" i="1"/>
  <c r="AB194" i="1"/>
  <c r="V196" i="1"/>
  <c r="Z196" i="1"/>
  <c r="U197" i="1"/>
  <c r="Y197" i="1"/>
  <c r="T198" i="1"/>
  <c r="X198" i="1"/>
  <c r="AB198" i="1"/>
  <c r="V200" i="1"/>
  <c r="Z200" i="1"/>
  <c r="U201" i="1"/>
  <c r="Y201" i="1"/>
  <c r="T202" i="1"/>
  <c r="X202" i="1"/>
  <c r="AB202" i="1"/>
  <c r="V204" i="1"/>
  <c r="Z204" i="1"/>
  <c r="U205" i="1"/>
  <c r="Y205" i="1"/>
  <c r="T206" i="1"/>
  <c r="X206" i="1"/>
  <c r="AB206" i="1"/>
  <c r="V208" i="1"/>
  <c r="Z208" i="1"/>
  <c r="U209" i="1"/>
  <c r="Y209" i="1"/>
  <c r="T210" i="1"/>
  <c r="X210" i="1"/>
  <c r="AB210" i="1"/>
  <c r="V212" i="1"/>
  <c r="Z212" i="1"/>
  <c r="U213" i="1"/>
  <c r="Y213" i="1"/>
  <c r="T214" i="1"/>
  <c r="X214" i="1"/>
  <c r="AB214" i="1"/>
  <c r="V216" i="1"/>
  <c r="Z216" i="1"/>
  <c r="U217" i="1"/>
  <c r="Y217" i="1"/>
  <c r="T218" i="1"/>
  <c r="X218" i="1"/>
  <c r="AB218" i="1"/>
  <c r="V220" i="1"/>
  <c r="Z220" i="1"/>
  <c r="U221" i="1"/>
  <c r="Y221" i="1"/>
  <c r="T222" i="1"/>
  <c r="X222" i="1"/>
  <c r="AB222" i="1"/>
  <c r="V224" i="1"/>
  <c r="Z224" i="1"/>
  <c r="U225" i="1"/>
  <c r="Y225" i="1"/>
  <c r="T226" i="1"/>
  <c r="X226" i="1"/>
  <c r="AB228" i="1"/>
  <c r="X228" i="1"/>
  <c r="T228" i="1"/>
  <c r="U228" i="1"/>
  <c r="Z228" i="1"/>
  <c r="AE228" i="1"/>
  <c r="V229" i="1"/>
  <c r="AB229" i="1"/>
  <c r="AB232" i="1"/>
  <c r="X232" i="1"/>
  <c r="T232" i="1"/>
  <c r="U232" i="1"/>
  <c r="Z232" i="1"/>
  <c r="AE232" i="1"/>
  <c r="V233" i="1"/>
  <c r="AB233" i="1"/>
  <c r="AB236" i="1"/>
  <c r="X236" i="1"/>
  <c r="T236" i="1"/>
  <c r="U236" i="1"/>
  <c r="Z236" i="1"/>
  <c r="AE236" i="1"/>
  <c r="V237" i="1"/>
  <c r="AB237" i="1"/>
  <c r="AB241" i="1"/>
  <c r="X241" i="1"/>
  <c r="T241" i="1"/>
  <c r="AE241" i="1"/>
  <c r="AA241" i="1"/>
  <c r="W241" i="1"/>
  <c r="G241" i="1"/>
  <c r="U241" i="1"/>
  <c r="AC241" i="1"/>
  <c r="T242" i="1"/>
  <c r="X246" i="1"/>
  <c r="AB249" i="1"/>
  <c r="X249" i="1"/>
  <c r="T249" i="1"/>
  <c r="AE249" i="1"/>
  <c r="AA249" i="1"/>
  <c r="W249" i="1"/>
  <c r="G249" i="1"/>
  <c r="U249" i="1"/>
  <c r="AC249" i="1"/>
  <c r="T250" i="1"/>
  <c r="X254" i="1"/>
  <c r="AB257" i="1"/>
  <c r="X257" i="1"/>
  <c r="T257" i="1"/>
  <c r="AE257" i="1"/>
  <c r="AA257" i="1"/>
  <c r="W257" i="1"/>
  <c r="U257" i="1"/>
  <c r="AC257" i="1"/>
  <c r="T258" i="1"/>
  <c r="X262" i="1"/>
  <c r="AB265" i="1"/>
  <c r="X265" i="1"/>
  <c r="T265" i="1"/>
  <c r="AE265" i="1"/>
  <c r="AA265" i="1"/>
  <c r="W265" i="1"/>
  <c r="U265" i="1"/>
  <c r="AC265" i="1"/>
  <c r="T266" i="1"/>
  <c r="X270" i="1"/>
  <c r="AB273" i="1"/>
  <c r="X273" i="1"/>
  <c r="T273" i="1"/>
  <c r="AE273" i="1"/>
  <c r="AA273" i="1"/>
  <c r="W273" i="1"/>
  <c r="U273" i="1"/>
  <c r="AC273" i="1"/>
  <c r="T274" i="1"/>
  <c r="X278" i="1"/>
  <c r="AB281" i="1"/>
  <c r="X281" i="1"/>
  <c r="T281" i="1"/>
  <c r="AE281" i="1"/>
  <c r="AA281" i="1"/>
  <c r="W281" i="1"/>
  <c r="U281" i="1"/>
  <c r="AC281" i="1"/>
  <c r="T282" i="1"/>
  <c r="X286" i="1"/>
  <c r="X290" i="1"/>
  <c r="X294" i="1"/>
  <c r="X298" i="1"/>
  <c r="X302" i="1"/>
  <c r="X306" i="1"/>
  <c r="X310" i="1"/>
  <c r="X314" i="1"/>
  <c r="X318" i="1"/>
  <c r="X322" i="1"/>
  <c r="AB353" i="1"/>
  <c r="X353" i="1"/>
  <c r="T353" i="1"/>
  <c r="AE353" i="1"/>
  <c r="AA353" i="1"/>
  <c r="W353" i="1"/>
  <c r="U353" i="1"/>
  <c r="AC353" i="1"/>
  <c r="T354" i="1"/>
  <c r="AB357" i="1"/>
  <c r="X357" i="1"/>
  <c r="T357" i="1"/>
  <c r="AE357" i="1"/>
  <c r="AA357" i="1"/>
  <c r="W357" i="1"/>
  <c r="U357" i="1"/>
  <c r="AC357" i="1"/>
  <c r="T358" i="1"/>
  <c r="AB361" i="1"/>
  <c r="X361" i="1"/>
  <c r="T361" i="1"/>
  <c r="AE361" i="1"/>
  <c r="AA361" i="1"/>
  <c r="W361" i="1"/>
  <c r="U361" i="1"/>
  <c r="AC361" i="1"/>
  <c r="T362" i="1"/>
  <c r="AB365" i="1"/>
  <c r="X365" i="1"/>
  <c r="T365" i="1"/>
  <c r="AE365" i="1"/>
  <c r="AA365" i="1"/>
  <c r="W365" i="1"/>
  <c r="U365" i="1"/>
  <c r="AC365" i="1"/>
  <c r="T366" i="1"/>
  <c r="AB369" i="1"/>
  <c r="X369" i="1"/>
  <c r="T369" i="1"/>
  <c r="AE369" i="1"/>
  <c r="AA369" i="1"/>
  <c r="W369" i="1"/>
  <c r="U369" i="1"/>
  <c r="AC369" i="1"/>
  <c r="T370" i="1"/>
  <c r="AB373" i="1"/>
  <c r="X373" i="1"/>
  <c r="T373" i="1"/>
  <c r="AE373" i="1"/>
  <c r="AA373" i="1"/>
  <c r="W373" i="1"/>
  <c r="U373" i="1"/>
  <c r="AC373" i="1"/>
  <c r="T374" i="1"/>
  <c r="AB377" i="1"/>
  <c r="X377" i="1"/>
  <c r="T377" i="1"/>
  <c r="AE377" i="1"/>
  <c r="AA377" i="1"/>
  <c r="W377" i="1"/>
  <c r="U377" i="1"/>
  <c r="AC377" i="1"/>
  <c r="T378" i="1"/>
  <c r="AB381" i="1"/>
  <c r="X381" i="1"/>
  <c r="T381" i="1"/>
  <c r="AE381" i="1"/>
  <c r="AA381" i="1"/>
  <c r="W381" i="1"/>
  <c r="U381" i="1"/>
  <c r="AC381" i="1"/>
  <c r="T382" i="1"/>
  <c r="AB385" i="1"/>
  <c r="X385" i="1"/>
  <c r="T385" i="1"/>
  <c r="AE385" i="1"/>
  <c r="AA385" i="1"/>
  <c r="W385" i="1"/>
  <c r="U385" i="1"/>
  <c r="AC385" i="1"/>
  <c r="T386" i="1"/>
  <c r="AB389" i="1"/>
  <c r="X389" i="1"/>
  <c r="T389" i="1"/>
  <c r="AE389" i="1"/>
  <c r="AA389" i="1"/>
  <c r="W389" i="1"/>
  <c r="U389" i="1"/>
  <c r="AC389" i="1"/>
  <c r="T390" i="1"/>
  <c r="AB393" i="1"/>
  <c r="X393" i="1"/>
  <c r="T393" i="1"/>
  <c r="AE393" i="1"/>
  <c r="AA393" i="1"/>
  <c r="W393" i="1"/>
  <c r="U393" i="1"/>
  <c r="AC393" i="1"/>
  <c r="T394" i="1"/>
  <c r="AB397" i="1"/>
  <c r="X397" i="1"/>
  <c r="T397" i="1"/>
  <c r="AE397" i="1"/>
  <c r="AA397" i="1"/>
  <c r="W397" i="1"/>
  <c r="U397" i="1"/>
  <c r="AC397" i="1"/>
  <c r="T398" i="1"/>
  <c r="AB410" i="1"/>
  <c r="X410" i="1"/>
  <c r="T410" i="1"/>
  <c r="AE410" i="1"/>
  <c r="AA410" i="1"/>
  <c r="W410" i="1"/>
  <c r="AD410" i="1"/>
  <c r="Z410" i="1"/>
  <c r="V410" i="1"/>
  <c r="L410" i="1"/>
  <c r="U410" i="1"/>
  <c r="AB418" i="1"/>
  <c r="X418" i="1"/>
  <c r="T418" i="1"/>
  <c r="AE418" i="1"/>
  <c r="AA418" i="1"/>
  <c r="W418" i="1"/>
  <c r="AD418" i="1"/>
  <c r="Z418" i="1"/>
  <c r="V418" i="1"/>
  <c r="L418" i="1"/>
  <c r="U418" i="1"/>
  <c r="AB426" i="1"/>
  <c r="X426" i="1"/>
  <c r="T426" i="1"/>
  <c r="AE426" i="1"/>
  <c r="AA426" i="1"/>
  <c r="W426" i="1"/>
  <c r="AD426" i="1"/>
  <c r="Z426" i="1"/>
  <c r="V426" i="1"/>
  <c r="L426" i="1"/>
  <c r="U426" i="1"/>
  <c r="AB442" i="1"/>
  <c r="X442" i="1"/>
  <c r="T442" i="1"/>
  <c r="AE442" i="1"/>
  <c r="AA442" i="1"/>
  <c r="W442" i="1"/>
  <c r="AD442" i="1"/>
  <c r="Z442" i="1"/>
  <c r="V442" i="1"/>
  <c r="L442" i="1"/>
  <c r="U442" i="1"/>
  <c r="AB476" i="1"/>
  <c r="X476" i="1"/>
  <c r="T476" i="1"/>
  <c r="AE476" i="1"/>
  <c r="AA476" i="1"/>
  <c r="W476" i="1"/>
  <c r="Z476" i="1"/>
  <c r="Y476" i="1"/>
  <c r="AD476" i="1"/>
  <c r="V476" i="1"/>
  <c r="L476" i="1"/>
  <c r="AB484" i="1"/>
  <c r="X484" i="1"/>
  <c r="T484" i="1"/>
  <c r="AE484" i="1"/>
  <c r="AA484" i="1"/>
  <c r="W484" i="1"/>
  <c r="Z484" i="1"/>
  <c r="Y484" i="1"/>
  <c r="AD484" i="1"/>
  <c r="V484" i="1"/>
  <c r="L484" i="1"/>
  <c r="AB500" i="1"/>
  <c r="X500" i="1"/>
  <c r="T500" i="1"/>
  <c r="AE500" i="1"/>
  <c r="AA500" i="1"/>
  <c r="W500" i="1"/>
  <c r="Z500" i="1"/>
  <c r="Y500" i="1"/>
  <c r="AD500" i="1"/>
  <c r="V500" i="1"/>
  <c r="L500" i="1"/>
  <c r="AB524" i="1"/>
  <c r="X524" i="1"/>
  <c r="T524" i="1"/>
  <c r="AE524" i="1"/>
  <c r="AA524" i="1"/>
  <c r="W524" i="1"/>
  <c r="Z524" i="1"/>
  <c r="Y524" i="1"/>
  <c r="AD524" i="1"/>
  <c r="V524" i="1"/>
  <c r="L524" i="1"/>
  <c r="AB540" i="1"/>
  <c r="X540" i="1"/>
  <c r="T540" i="1"/>
  <c r="AE540" i="1"/>
  <c r="AA540" i="1"/>
  <c r="W540" i="1"/>
  <c r="Z540" i="1"/>
  <c r="Y540" i="1"/>
  <c r="AD540" i="1"/>
  <c r="V540" i="1"/>
  <c r="L540" i="1"/>
  <c r="AD573" i="1"/>
  <c r="Z573" i="1"/>
  <c r="V573" i="1"/>
  <c r="L573" i="1"/>
  <c r="AB573" i="1"/>
  <c r="X573" i="1"/>
  <c r="T573" i="1"/>
  <c r="AA573" i="1"/>
  <c r="Y573" i="1"/>
  <c r="AE573" i="1"/>
  <c r="AC573" i="1"/>
  <c r="W573" i="1"/>
  <c r="U186" i="1"/>
  <c r="Y186" i="1"/>
  <c r="U190" i="1"/>
  <c r="Y190" i="1"/>
  <c r="U194" i="1"/>
  <c r="Y194" i="1"/>
  <c r="U198" i="1"/>
  <c r="Y198" i="1"/>
  <c r="U202" i="1"/>
  <c r="Y202" i="1"/>
  <c r="U206" i="1"/>
  <c r="Y206" i="1"/>
  <c r="U210" i="1"/>
  <c r="Y210" i="1"/>
  <c r="U214" i="1"/>
  <c r="Y214" i="1"/>
  <c r="U218" i="1"/>
  <c r="Y218" i="1"/>
  <c r="U222" i="1"/>
  <c r="Y222" i="1"/>
  <c r="AD226" i="1"/>
  <c r="Z226" i="1"/>
  <c r="U226" i="1"/>
  <c r="Y226" i="1"/>
  <c r="AE226" i="1"/>
  <c r="AE242" i="1"/>
  <c r="AA242" i="1"/>
  <c r="W242" i="1"/>
  <c r="G242" i="1"/>
  <c r="AD242" i="1"/>
  <c r="Z242" i="1"/>
  <c r="V242" i="1"/>
  <c r="U242" i="1"/>
  <c r="AC242" i="1"/>
  <c r="AE250" i="1"/>
  <c r="AA250" i="1"/>
  <c r="W250" i="1"/>
  <c r="G250" i="1"/>
  <c r="AD250" i="1"/>
  <c r="Z250" i="1"/>
  <c r="V250" i="1"/>
  <c r="U250" i="1"/>
  <c r="AC250" i="1"/>
  <c r="AE258" i="1"/>
  <c r="AA258" i="1"/>
  <c r="W258" i="1"/>
  <c r="AD258" i="1"/>
  <c r="Z258" i="1"/>
  <c r="V258" i="1"/>
  <c r="L258" i="1"/>
  <c r="U258" i="1"/>
  <c r="AC258" i="1"/>
  <c r="AE266" i="1"/>
  <c r="AA266" i="1"/>
  <c r="W266" i="1"/>
  <c r="AD266" i="1"/>
  <c r="Z266" i="1"/>
  <c r="V266" i="1"/>
  <c r="L266" i="1"/>
  <c r="U266" i="1"/>
  <c r="AC266" i="1"/>
  <c r="AE274" i="1"/>
  <c r="AA274" i="1"/>
  <c r="W274" i="1"/>
  <c r="AD274" i="1"/>
  <c r="Z274" i="1"/>
  <c r="V274" i="1"/>
  <c r="L274" i="1"/>
  <c r="U274" i="1"/>
  <c r="AC274" i="1"/>
  <c r="AE282" i="1"/>
  <c r="AA282" i="1"/>
  <c r="W282" i="1"/>
  <c r="AD282" i="1"/>
  <c r="Z282" i="1"/>
  <c r="V282" i="1"/>
  <c r="L282" i="1"/>
  <c r="U282" i="1"/>
  <c r="AC282" i="1"/>
  <c r="AE354" i="1"/>
  <c r="AA354" i="1"/>
  <c r="W354" i="1"/>
  <c r="AD354" i="1"/>
  <c r="Z354" i="1"/>
  <c r="V354" i="1"/>
  <c r="L354" i="1"/>
  <c r="U354" i="1"/>
  <c r="AC354" i="1"/>
  <c r="AE358" i="1"/>
  <c r="AA358" i="1"/>
  <c r="W358" i="1"/>
  <c r="AD358" i="1"/>
  <c r="Z358" i="1"/>
  <c r="V358" i="1"/>
  <c r="L358" i="1"/>
  <c r="U358" i="1"/>
  <c r="AC358" i="1"/>
  <c r="AE362" i="1"/>
  <c r="AA362" i="1"/>
  <c r="W362" i="1"/>
  <c r="AD362" i="1"/>
  <c r="Z362" i="1"/>
  <c r="V362" i="1"/>
  <c r="L362" i="1"/>
  <c r="U362" i="1"/>
  <c r="AC362" i="1"/>
  <c r="AE366" i="1"/>
  <c r="AA366" i="1"/>
  <c r="W366" i="1"/>
  <c r="AD366" i="1"/>
  <c r="Z366" i="1"/>
  <c r="V366" i="1"/>
  <c r="L366" i="1"/>
  <c r="U366" i="1"/>
  <c r="AC366" i="1"/>
  <c r="AE370" i="1"/>
  <c r="AA370" i="1"/>
  <c r="W370" i="1"/>
  <c r="AD370" i="1"/>
  <c r="Z370" i="1"/>
  <c r="V370" i="1"/>
  <c r="L370" i="1"/>
  <c r="U370" i="1"/>
  <c r="AC370" i="1"/>
  <c r="AE374" i="1"/>
  <c r="AA374" i="1"/>
  <c r="W374" i="1"/>
  <c r="AD374" i="1"/>
  <c r="Z374" i="1"/>
  <c r="V374" i="1"/>
  <c r="L374" i="1"/>
  <c r="U374" i="1"/>
  <c r="AC374" i="1"/>
  <c r="AE378" i="1"/>
  <c r="AA378" i="1"/>
  <c r="W378" i="1"/>
  <c r="AD378" i="1"/>
  <c r="Z378" i="1"/>
  <c r="V378" i="1"/>
  <c r="L378" i="1"/>
  <c r="U378" i="1"/>
  <c r="AC378" i="1"/>
  <c r="AE382" i="1"/>
  <c r="AA382" i="1"/>
  <c r="W382" i="1"/>
  <c r="AD382" i="1"/>
  <c r="Z382" i="1"/>
  <c r="V382" i="1"/>
  <c r="L382" i="1"/>
  <c r="U382" i="1"/>
  <c r="AC382" i="1"/>
  <c r="AE386" i="1"/>
  <c r="AA386" i="1"/>
  <c r="W386" i="1"/>
  <c r="AD386" i="1"/>
  <c r="Z386" i="1"/>
  <c r="V386" i="1"/>
  <c r="L386" i="1"/>
  <c r="U386" i="1"/>
  <c r="AC386" i="1"/>
  <c r="AE390" i="1"/>
  <c r="AA390" i="1"/>
  <c r="W390" i="1"/>
  <c r="AD390" i="1"/>
  <c r="Z390" i="1"/>
  <c r="V390" i="1"/>
  <c r="L390" i="1"/>
  <c r="U390" i="1"/>
  <c r="AC390" i="1"/>
  <c r="AE394" i="1"/>
  <c r="AA394" i="1"/>
  <c r="W394" i="1"/>
  <c r="AD394" i="1"/>
  <c r="Z394" i="1"/>
  <c r="V394" i="1"/>
  <c r="L394" i="1"/>
  <c r="U394" i="1"/>
  <c r="AC394" i="1"/>
  <c r="AE398" i="1"/>
  <c r="AA398" i="1"/>
  <c r="W398" i="1"/>
  <c r="AD398" i="1"/>
  <c r="Z398" i="1"/>
  <c r="V398" i="1"/>
  <c r="L398" i="1"/>
  <c r="U398" i="1"/>
  <c r="AC398" i="1"/>
  <c r="AB402" i="1"/>
  <c r="X402" i="1"/>
  <c r="T402" i="1"/>
  <c r="AE402" i="1"/>
  <c r="AA402" i="1"/>
  <c r="W402" i="1"/>
  <c r="AD402" i="1"/>
  <c r="Z402" i="1"/>
  <c r="V402" i="1"/>
  <c r="L402" i="1"/>
  <c r="U402" i="1"/>
  <c r="AG477" i="1"/>
  <c r="AB508" i="1"/>
  <c r="X508" i="1"/>
  <c r="T508" i="1"/>
  <c r="AE508" i="1"/>
  <c r="AA508" i="1"/>
  <c r="W508" i="1"/>
  <c r="Z508" i="1"/>
  <c r="Y508" i="1"/>
  <c r="AD508" i="1"/>
  <c r="V508" i="1"/>
  <c r="L508" i="1"/>
  <c r="AD557" i="1"/>
  <c r="Z557" i="1"/>
  <c r="V557" i="1"/>
  <c r="L557" i="1"/>
  <c r="AB557" i="1"/>
  <c r="X557" i="1"/>
  <c r="T557" i="1"/>
  <c r="AA557" i="1"/>
  <c r="Y557" i="1"/>
  <c r="AE557" i="1"/>
  <c r="AC557" i="1"/>
  <c r="W557" i="1"/>
  <c r="U573" i="1"/>
  <c r="U227" i="1"/>
  <c r="Y227" i="1"/>
  <c r="U231" i="1"/>
  <c r="Y231" i="1"/>
  <c r="U235" i="1"/>
  <c r="Y235" i="1"/>
  <c r="U239" i="1"/>
  <c r="Y239" i="1"/>
  <c r="T240" i="1"/>
  <c r="X240" i="1"/>
  <c r="AB240" i="1"/>
  <c r="U243" i="1"/>
  <c r="Y243" i="1"/>
  <c r="T244" i="1"/>
  <c r="X244" i="1"/>
  <c r="AB244" i="1"/>
  <c r="U247" i="1"/>
  <c r="Y247" i="1"/>
  <c r="T248" i="1"/>
  <c r="X248" i="1"/>
  <c r="AB248" i="1"/>
  <c r="U251" i="1"/>
  <c r="Y251" i="1"/>
  <c r="T252" i="1"/>
  <c r="X252" i="1"/>
  <c r="AB252" i="1"/>
  <c r="U255" i="1"/>
  <c r="Y255" i="1"/>
  <c r="T256" i="1"/>
  <c r="X256" i="1"/>
  <c r="AB256" i="1"/>
  <c r="U259" i="1"/>
  <c r="Y259" i="1"/>
  <c r="T260" i="1"/>
  <c r="X260" i="1"/>
  <c r="AB260" i="1"/>
  <c r="U263" i="1"/>
  <c r="Y263" i="1"/>
  <c r="T264" i="1"/>
  <c r="X264" i="1"/>
  <c r="AB264" i="1"/>
  <c r="U267" i="1"/>
  <c r="Y267" i="1"/>
  <c r="T268" i="1"/>
  <c r="X268" i="1"/>
  <c r="AB268" i="1"/>
  <c r="U271" i="1"/>
  <c r="Y271" i="1"/>
  <c r="T272" i="1"/>
  <c r="X272" i="1"/>
  <c r="AB272" i="1"/>
  <c r="U275" i="1"/>
  <c r="Y275" i="1"/>
  <c r="T276" i="1"/>
  <c r="X276" i="1"/>
  <c r="AB276" i="1"/>
  <c r="U279" i="1"/>
  <c r="Y279" i="1"/>
  <c r="T280" i="1"/>
  <c r="X280" i="1"/>
  <c r="AB280" i="1"/>
  <c r="U283" i="1"/>
  <c r="Y283" i="1"/>
  <c r="T284" i="1"/>
  <c r="X284" i="1"/>
  <c r="AB284" i="1"/>
  <c r="U287" i="1"/>
  <c r="Y287" i="1"/>
  <c r="AC287" i="1"/>
  <c r="T288" i="1"/>
  <c r="X288" i="1"/>
  <c r="AB288" i="1"/>
  <c r="U291" i="1"/>
  <c r="Y291" i="1"/>
  <c r="AC291" i="1"/>
  <c r="T292" i="1"/>
  <c r="X292" i="1"/>
  <c r="AB292" i="1"/>
  <c r="U295" i="1"/>
  <c r="Y295" i="1"/>
  <c r="AC295" i="1"/>
  <c r="T296" i="1"/>
  <c r="X296" i="1"/>
  <c r="AB296" i="1"/>
  <c r="U299" i="1"/>
  <c r="Y299" i="1"/>
  <c r="AC299" i="1"/>
  <c r="T300" i="1"/>
  <c r="X300" i="1"/>
  <c r="AB300" i="1"/>
  <c r="U303" i="1"/>
  <c r="Y303" i="1"/>
  <c r="AC303" i="1"/>
  <c r="T304" i="1"/>
  <c r="X304" i="1"/>
  <c r="AB304" i="1"/>
  <c r="U307" i="1"/>
  <c r="Y307" i="1"/>
  <c r="AC307" i="1"/>
  <c r="T308" i="1"/>
  <c r="X308" i="1"/>
  <c r="AB308" i="1"/>
  <c r="U311" i="1"/>
  <c r="Y311" i="1"/>
  <c r="AC311" i="1"/>
  <c r="T312" i="1"/>
  <c r="X312" i="1"/>
  <c r="AB312" i="1"/>
  <c r="U315" i="1"/>
  <c r="Y315" i="1"/>
  <c r="AC315" i="1"/>
  <c r="T316" i="1"/>
  <c r="X316" i="1"/>
  <c r="AB316" i="1"/>
  <c r="U319" i="1"/>
  <c r="Y319" i="1"/>
  <c r="AC319" i="1"/>
  <c r="T320" i="1"/>
  <c r="X320" i="1"/>
  <c r="AB320" i="1"/>
  <c r="U323" i="1"/>
  <c r="Y323" i="1"/>
  <c r="AC323" i="1"/>
  <c r="T324" i="1"/>
  <c r="X324" i="1"/>
  <c r="AB324" i="1"/>
  <c r="U327" i="1"/>
  <c r="Y327" i="1"/>
  <c r="AC327" i="1"/>
  <c r="T328" i="1"/>
  <c r="X328" i="1"/>
  <c r="AB328" i="1"/>
  <c r="U331" i="1"/>
  <c r="Y331" i="1"/>
  <c r="AC331" i="1"/>
  <c r="T332" i="1"/>
  <c r="X332" i="1"/>
  <c r="AB332" i="1"/>
  <c r="U335" i="1"/>
  <c r="Y335" i="1"/>
  <c r="AC335" i="1"/>
  <c r="T336" i="1"/>
  <c r="X336" i="1"/>
  <c r="AB336" i="1"/>
  <c r="U339" i="1"/>
  <c r="Y339" i="1"/>
  <c r="AC339" i="1"/>
  <c r="T340" i="1"/>
  <c r="X340" i="1"/>
  <c r="AB340" i="1"/>
  <c r="U343" i="1"/>
  <c r="Y343" i="1"/>
  <c r="AC343" i="1"/>
  <c r="T344" i="1"/>
  <c r="X344" i="1"/>
  <c r="AB344" i="1"/>
  <c r="U347" i="1"/>
  <c r="Y347" i="1"/>
  <c r="AC347" i="1"/>
  <c r="T348" i="1"/>
  <c r="X348" i="1"/>
  <c r="AB348" i="1"/>
  <c r="U351" i="1"/>
  <c r="Y351" i="1"/>
  <c r="AC351" i="1"/>
  <c r="T352" i="1"/>
  <c r="X352" i="1"/>
  <c r="AB352" i="1"/>
  <c r="U355" i="1"/>
  <c r="Y355" i="1"/>
  <c r="AC355" i="1"/>
  <c r="T356" i="1"/>
  <c r="X356" i="1"/>
  <c r="AB356" i="1"/>
  <c r="U359" i="1"/>
  <c r="Y359" i="1"/>
  <c r="AC359" i="1"/>
  <c r="T360" i="1"/>
  <c r="X360" i="1"/>
  <c r="AB360" i="1"/>
  <c r="U363" i="1"/>
  <c r="Y363" i="1"/>
  <c r="AC363" i="1"/>
  <c r="T364" i="1"/>
  <c r="X364" i="1"/>
  <c r="AB364" i="1"/>
  <c r="U367" i="1"/>
  <c r="Y367" i="1"/>
  <c r="AC367" i="1"/>
  <c r="T368" i="1"/>
  <c r="X368" i="1"/>
  <c r="AB368" i="1"/>
  <c r="U371" i="1"/>
  <c r="Y371" i="1"/>
  <c r="AC371" i="1"/>
  <c r="T372" i="1"/>
  <c r="X372" i="1"/>
  <c r="AB372" i="1"/>
  <c r="U375" i="1"/>
  <c r="Y375" i="1"/>
  <c r="AC375" i="1"/>
  <c r="T376" i="1"/>
  <c r="X376" i="1"/>
  <c r="AB376" i="1"/>
  <c r="U379" i="1"/>
  <c r="Y379" i="1"/>
  <c r="AC379" i="1"/>
  <c r="T380" i="1"/>
  <c r="X380" i="1"/>
  <c r="AB380" i="1"/>
  <c r="U383" i="1"/>
  <c r="Y383" i="1"/>
  <c r="AC383" i="1"/>
  <c r="T384" i="1"/>
  <c r="X384" i="1"/>
  <c r="AB384" i="1"/>
  <c r="U387" i="1"/>
  <c r="Y387" i="1"/>
  <c r="AC387" i="1"/>
  <c r="T388" i="1"/>
  <c r="X388" i="1"/>
  <c r="AB388" i="1"/>
  <c r="U391" i="1"/>
  <c r="Y391" i="1"/>
  <c r="AC391" i="1"/>
  <c r="T392" i="1"/>
  <c r="X392" i="1"/>
  <c r="AB392" i="1"/>
  <c r="U395" i="1"/>
  <c r="Y395" i="1"/>
  <c r="AC395" i="1"/>
  <c r="T396" i="1"/>
  <c r="X396" i="1"/>
  <c r="AB396" i="1"/>
  <c r="U399" i="1"/>
  <c r="Y399" i="1"/>
  <c r="AC399" i="1"/>
  <c r="T400" i="1"/>
  <c r="X400" i="1"/>
  <c r="AB400" i="1"/>
  <c r="W401" i="1"/>
  <c r="AA401" i="1"/>
  <c r="AE401" i="1"/>
  <c r="U403" i="1"/>
  <c r="Y403" i="1"/>
  <c r="AC403" i="1"/>
  <c r="T404" i="1"/>
  <c r="X404" i="1"/>
  <c r="AB404" i="1"/>
  <c r="W405" i="1"/>
  <c r="AA405" i="1"/>
  <c r="AE405" i="1"/>
  <c r="U407" i="1"/>
  <c r="Y407" i="1"/>
  <c r="AC407" i="1"/>
  <c r="T408" i="1"/>
  <c r="X408" i="1"/>
  <c r="AB408" i="1"/>
  <c r="W409" i="1"/>
  <c r="AA409" i="1"/>
  <c r="AE409" i="1"/>
  <c r="U411" i="1"/>
  <c r="Y411" i="1"/>
  <c r="AC411" i="1"/>
  <c r="T412" i="1"/>
  <c r="X412" i="1"/>
  <c r="AB412" i="1"/>
  <c r="W413" i="1"/>
  <c r="AA413" i="1"/>
  <c r="AE413" i="1"/>
  <c r="U415" i="1"/>
  <c r="Y415" i="1"/>
  <c r="AC415" i="1"/>
  <c r="T416" i="1"/>
  <c r="X416" i="1"/>
  <c r="AB416" i="1"/>
  <c r="W417" i="1"/>
  <c r="AA417" i="1"/>
  <c r="AE417" i="1"/>
  <c r="U419" i="1"/>
  <c r="Y419" i="1"/>
  <c r="AC419" i="1"/>
  <c r="T420" i="1"/>
  <c r="X420" i="1"/>
  <c r="AB420" i="1"/>
  <c r="W421" i="1"/>
  <c r="AA421" i="1"/>
  <c r="AE421" i="1"/>
  <c r="U423" i="1"/>
  <c r="Y423" i="1"/>
  <c r="AC423" i="1"/>
  <c r="T424" i="1"/>
  <c r="X424" i="1"/>
  <c r="AB424" i="1"/>
  <c r="W425" i="1"/>
  <c r="AA425" i="1"/>
  <c r="AE425" i="1"/>
  <c r="U427" i="1"/>
  <c r="Y427" i="1"/>
  <c r="AC427" i="1"/>
  <c r="T428" i="1"/>
  <c r="X428" i="1"/>
  <c r="AB428" i="1"/>
  <c r="W429" i="1"/>
  <c r="AA429" i="1"/>
  <c r="AE429" i="1"/>
  <c r="U431" i="1"/>
  <c r="Y431" i="1"/>
  <c r="AC431" i="1"/>
  <c r="T432" i="1"/>
  <c r="X432" i="1"/>
  <c r="AB432" i="1"/>
  <c r="W433" i="1"/>
  <c r="AA433" i="1"/>
  <c r="AE433" i="1"/>
  <c r="U435" i="1"/>
  <c r="Y435" i="1"/>
  <c r="AC435" i="1"/>
  <c r="T436" i="1"/>
  <c r="X436" i="1"/>
  <c r="AB436" i="1"/>
  <c r="W437" i="1"/>
  <c r="AA437" i="1"/>
  <c r="AE437" i="1"/>
  <c r="U439" i="1"/>
  <c r="Y439" i="1"/>
  <c r="AC439" i="1"/>
  <c r="T440" i="1"/>
  <c r="X440" i="1"/>
  <c r="AB440" i="1"/>
  <c r="W441" i="1"/>
  <c r="AA441" i="1"/>
  <c r="AE441" i="1"/>
  <c r="U443" i="1"/>
  <c r="Y443" i="1"/>
  <c r="AC443" i="1"/>
  <c r="T444" i="1"/>
  <c r="X444" i="1"/>
  <c r="AB444" i="1"/>
  <c r="W445" i="1"/>
  <c r="AA445" i="1"/>
  <c r="AE445" i="1"/>
  <c r="Y449" i="1"/>
  <c r="Y453" i="1"/>
  <c r="Y457" i="1"/>
  <c r="Y461" i="1"/>
  <c r="Y465" i="1"/>
  <c r="Y469" i="1"/>
  <c r="Y473" i="1"/>
  <c r="AE477" i="1"/>
  <c r="AA477" i="1"/>
  <c r="W477" i="1"/>
  <c r="AD477" i="1"/>
  <c r="Z477" i="1"/>
  <c r="V477" i="1"/>
  <c r="L477" i="1"/>
  <c r="U477" i="1"/>
  <c r="AC477" i="1"/>
  <c r="Y481" i="1"/>
  <c r="AE485" i="1"/>
  <c r="AA485" i="1"/>
  <c r="W485" i="1"/>
  <c r="AD485" i="1"/>
  <c r="Z485" i="1"/>
  <c r="V485" i="1"/>
  <c r="L485" i="1"/>
  <c r="U485" i="1"/>
  <c r="AC485" i="1"/>
  <c r="Y489" i="1"/>
  <c r="AE493" i="1"/>
  <c r="AA493" i="1"/>
  <c r="W493" i="1"/>
  <c r="AD493" i="1"/>
  <c r="Z493" i="1"/>
  <c r="V493" i="1"/>
  <c r="L493" i="1"/>
  <c r="U493" i="1"/>
  <c r="AC493" i="1"/>
  <c r="Y497" i="1"/>
  <c r="AE501" i="1"/>
  <c r="AA501" i="1"/>
  <c r="W501" i="1"/>
  <c r="AD501" i="1"/>
  <c r="Z501" i="1"/>
  <c r="V501" i="1"/>
  <c r="L501" i="1"/>
  <c r="U501" i="1"/>
  <c r="AC501" i="1"/>
  <c r="Y505" i="1"/>
  <c r="AE509" i="1"/>
  <c r="AA509" i="1"/>
  <c r="W509" i="1"/>
  <c r="AD509" i="1"/>
  <c r="Z509" i="1"/>
  <c r="V509" i="1"/>
  <c r="L509" i="1"/>
  <c r="U509" i="1"/>
  <c r="AC509" i="1"/>
  <c r="Y513" i="1"/>
  <c r="AE517" i="1"/>
  <c r="AA517" i="1"/>
  <c r="W517" i="1"/>
  <c r="AD517" i="1"/>
  <c r="Z517" i="1"/>
  <c r="V517" i="1"/>
  <c r="L517" i="1"/>
  <c r="U517" i="1"/>
  <c r="AC517" i="1"/>
  <c r="Y521" i="1"/>
  <c r="AE525" i="1"/>
  <c r="AA525" i="1"/>
  <c r="W525" i="1"/>
  <c r="AD525" i="1"/>
  <c r="Z525" i="1"/>
  <c r="V525" i="1"/>
  <c r="L525" i="1"/>
  <c r="U525" i="1"/>
  <c r="AC525" i="1"/>
  <c r="Y529" i="1"/>
  <c r="AE533" i="1"/>
  <c r="AA533" i="1"/>
  <c r="W533" i="1"/>
  <c r="AD533" i="1"/>
  <c r="Z533" i="1"/>
  <c r="V533" i="1"/>
  <c r="L533" i="1"/>
  <c r="U533" i="1"/>
  <c r="AC533" i="1"/>
  <c r="Y537" i="1"/>
  <c r="AE541" i="1"/>
  <c r="AA541" i="1"/>
  <c r="W541" i="1"/>
  <c r="AD541" i="1"/>
  <c r="Z541" i="1"/>
  <c r="V541" i="1"/>
  <c r="L541" i="1"/>
  <c r="U541" i="1"/>
  <c r="AC541" i="1"/>
  <c r="Y545" i="1"/>
  <c r="AE549" i="1"/>
  <c r="AA549" i="1"/>
  <c r="W549" i="1"/>
  <c r="AD549" i="1"/>
  <c r="Z549" i="1"/>
  <c r="V549" i="1"/>
  <c r="L549" i="1"/>
  <c r="U549" i="1"/>
  <c r="AC549" i="1"/>
  <c r="AC553" i="1"/>
  <c r="AD561" i="1"/>
  <c r="Z561" i="1"/>
  <c r="V561" i="1"/>
  <c r="L561" i="1"/>
  <c r="AB561" i="1"/>
  <c r="X561" i="1"/>
  <c r="T561" i="1"/>
  <c r="AA561" i="1"/>
  <c r="Y561" i="1"/>
  <c r="U561" i="1"/>
  <c r="AC569" i="1"/>
  <c r="AD577" i="1"/>
  <c r="Z577" i="1"/>
  <c r="V577" i="1"/>
  <c r="L577" i="1"/>
  <c r="AB577" i="1"/>
  <c r="X577" i="1"/>
  <c r="T577" i="1"/>
  <c r="AA577" i="1"/>
  <c r="Y577" i="1"/>
  <c r="U577" i="1"/>
  <c r="AC585" i="1"/>
  <c r="AB603" i="1"/>
  <c r="X603" i="1"/>
  <c r="T603" i="1"/>
  <c r="AE603" i="1"/>
  <c r="AA603" i="1"/>
  <c r="W603" i="1"/>
  <c r="AD603" i="1"/>
  <c r="Z603" i="1"/>
  <c r="V603" i="1"/>
  <c r="L603" i="1"/>
  <c r="AC603" i="1"/>
  <c r="U240" i="1"/>
  <c r="Y240" i="1"/>
  <c r="U244" i="1"/>
  <c r="Y244" i="1"/>
  <c r="U248" i="1"/>
  <c r="Y248" i="1"/>
  <c r="U252" i="1"/>
  <c r="Y252" i="1"/>
  <c r="U256" i="1"/>
  <c r="Y256" i="1"/>
  <c r="U260" i="1"/>
  <c r="Y260" i="1"/>
  <c r="U264" i="1"/>
  <c r="Y264" i="1"/>
  <c r="U268" i="1"/>
  <c r="Y268" i="1"/>
  <c r="U272" i="1"/>
  <c r="Y272" i="1"/>
  <c r="U276" i="1"/>
  <c r="Y276" i="1"/>
  <c r="U280" i="1"/>
  <c r="Y280" i="1"/>
  <c r="U284" i="1"/>
  <c r="Y284" i="1"/>
  <c r="L287" i="1"/>
  <c r="V287" i="1"/>
  <c r="Z287" i="1"/>
  <c r="U288" i="1"/>
  <c r="Y288" i="1"/>
  <c r="L291" i="1"/>
  <c r="V291" i="1"/>
  <c r="Z291" i="1"/>
  <c r="U292" i="1"/>
  <c r="Y292" i="1"/>
  <c r="L295" i="1"/>
  <c r="V295" i="1"/>
  <c r="Z295" i="1"/>
  <c r="U296" i="1"/>
  <c r="Y296" i="1"/>
  <c r="L299" i="1"/>
  <c r="V299" i="1"/>
  <c r="Z299" i="1"/>
  <c r="U300" i="1"/>
  <c r="Y300" i="1"/>
  <c r="L303" i="1"/>
  <c r="V303" i="1"/>
  <c r="Z303" i="1"/>
  <c r="U304" i="1"/>
  <c r="Y304" i="1"/>
  <c r="L307" i="1"/>
  <c r="V307" i="1"/>
  <c r="Z307" i="1"/>
  <c r="U308" i="1"/>
  <c r="Y308" i="1"/>
  <c r="L311" i="1"/>
  <c r="V311" i="1"/>
  <c r="Z311" i="1"/>
  <c r="U312" i="1"/>
  <c r="Y312" i="1"/>
  <c r="L315" i="1"/>
  <c r="V315" i="1"/>
  <c r="Z315" i="1"/>
  <c r="U316" i="1"/>
  <c r="Y316" i="1"/>
  <c r="L319" i="1"/>
  <c r="V319" i="1"/>
  <c r="Z319" i="1"/>
  <c r="U320" i="1"/>
  <c r="Y320" i="1"/>
  <c r="L323" i="1"/>
  <c r="V323" i="1"/>
  <c r="Z323" i="1"/>
  <c r="U324" i="1"/>
  <c r="Y324" i="1"/>
  <c r="L327" i="1"/>
  <c r="V327" i="1"/>
  <c r="Z327" i="1"/>
  <c r="U328" i="1"/>
  <c r="Y328" i="1"/>
  <c r="L331" i="1"/>
  <c r="V331" i="1"/>
  <c r="Z331" i="1"/>
  <c r="U332" i="1"/>
  <c r="Y332" i="1"/>
  <c r="L335" i="1"/>
  <c r="V335" i="1"/>
  <c r="Z335" i="1"/>
  <c r="U336" i="1"/>
  <c r="Y336" i="1"/>
  <c r="L339" i="1"/>
  <c r="V339" i="1"/>
  <c r="Z339" i="1"/>
  <c r="U340" i="1"/>
  <c r="Y340" i="1"/>
  <c r="L343" i="1"/>
  <c r="V343" i="1"/>
  <c r="Z343" i="1"/>
  <c r="U344" i="1"/>
  <c r="Y344" i="1"/>
  <c r="L347" i="1"/>
  <c r="V347" i="1"/>
  <c r="Z347" i="1"/>
  <c r="U348" i="1"/>
  <c r="Y348" i="1"/>
  <c r="L351" i="1"/>
  <c r="V351" i="1"/>
  <c r="Z351" i="1"/>
  <c r="U352" i="1"/>
  <c r="Y352" i="1"/>
  <c r="L355" i="1"/>
  <c r="V355" i="1"/>
  <c r="Z355" i="1"/>
  <c r="U356" i="1"/>
  <c r="Y356" i="1"/>
  <c r="L359" i="1"/>
  <c r="V359" i="1"/>
  <c r="Z359" i="1"/>
  <c r="U360" i="1"/>
  <c r="Y360" i="1"/>
  <c r="L363" i="1"/>
  <c r="V363" i="1"/>
  <c r="Z363" i="1"/>
  <c r="U364" i="1"/>
  <c r="Y364" i="1"/>
  <c r="L367" i="1"/>
  <c r="V367" i="1"/>
  <c r="Z367" i="1"/>
  <c r="U368" i="1"/>
  <c r="Y368" i="1"/>
  <c r="L371" i="1"/>
  <c r="V371" i="1"/>
  <c r="Z371" i="1"/>
  <c r="U372" i="1"/>
  <c r="Y372" i="1"/>
  <c r="L375" i="1"/>
  <c r="V375" i="1"/>
  <c r="Z375" i="1"/>
  <c r="U376" i="1"/>
  <c r="Y376" i="1"/>
  <c r="L379" i="1"/>
  <c r="V379" i="1"/>
  <c r="Z379" i="1"/>
  <c r="U380" i="1"/>
  <c r="Y380" i="1"/>
  <c r="L383" i="1"/>
  <c r="V383" i="1"/>
  <c r="Z383" i="1"/>
  <c r="U384" i="1"/>
  <c r="Y384" i="1"/>
  <c r="L387" i="1"/>
  <c r="V387" i="1"/>
  <c r="Z387" i="1"/>
  <c r="U388" i="1"/>
  <c r="Y388" i="1"/>
  <c r="L391" i="1"/>
  <c r="V391" i="1"/>
  <c r="Z391" i="1"/>
  <c r="U392" i="1"/>
  <c r="Y392" i="1"/>
  <c r="L395" i="1"/>
  <c r="V395" i="1"/>
  <c r="Z395" i="1"/>
  <c r="U396" i="1"/>
  <c r="Y396" i="1"/>
  <c r="L399" i="1"/>
  <c r="V399" i="1"/>
  <c r="Z399" i="1"/>
  <c r="U400" i="1"/>
  <c r="Y400" i="1"/>
  <c r="T401" i="1"/>
  <c r="X401" i="1"/>
  <c r="AB401" i="1"/>
  <c r="V403" i="1"/>
  <c r="Z403" i="1"/>
  <c r="U404" i="1"/>
  <c r="Y404" i="1"/>
  <c r="T405" i="1"/>
  <c r="X405" i="1"/>
  <c r="AB405" i="1"/>
  <c r="L407" i="1"/>
  <c r="V407" i="1"/>
  <c r="Z407" i="1"/>
  <c r="U408" i="1"/>
  <c r="Y408" i="1"/>
  <c r="T409" i="1"/>
  <c r="X409" i="1"/>
  <c r="AB409" i="1"/>
  <c r="L411" i="1"/>
  <c r="V411" i="1"/>
  <c r="Z411" i="1"/>
  <c r="U412" i="1"/>
  <c r="Y412" i="1"/>
  <c r="T413" i="1"/>
  <c r="X413" i="1"/>
  <c r="AB413" i="1"/>
  <c r="L415" i="1"/>
  <c r="V415" i="1"/>
  <c r="Z415" i="1"/>
  <c r="U416" i="1"/>
  <c r="Y416" i="1"/>
  <c r="T417" i="1"/>
  <c r="X417" i="1"/>
  <c r="AB417" i="1"/>
  <c r="L419" i="1"/>
  <c r="V419" i="1"/>
  <c r="Z419" i="1"/>
  <c r="U420" i="1"/>
  <c r="Y420" i="1"/>
  <c r="T421" i="1"/>
  <c r="X421" i="1"/>
  <c r="AB421" i="1"/>
  <c r="L423" i="1"/>
  <c r="V423" i="1"/>
  <c r="Z423" i="1"/>
  <c r="U424" i="1"/>
  <c r="Y424" i="1"/>
  <c r="T425" i="1"/>
  <c r="X425" i="1"/>
  <c r="AB425" i="1"/>
  <c r="L427" i="1"/>
  <c r="V427" i="1"/>
  <c r="Z427" i="1"/>
  <c r="U428" i="1"/>
  <c r="Y428" i="1"/>
  <c r="T429" i="1"/>
  <c r="X429" i="1"/>
  <c r="AB429" i="1"/>
  <c r="V431" i="1"/>
  <c r="Z431" i="1"/>
  <c r="U432" i="1"/>
  <c r="Y432" i="1"/>
  <c r="T433" i="1"/>
  <c r="X433" i="1"/>
  <c r="AB433" i="1"/>
  <c r="L435" i="1"/>
  <c r="V435" i="1"/>
  <c r="Z435" i="1"/>
  <c r="U436" i="1"/>
  <c r="Y436" i="1"/>
  <c r="T437" i="1"/>
  <c r="X437" i="1"/>
  <c r="AB437" i="1"/>
  <c r="L439" i="1"/>
  <c r="V439" i="1"/>
  <c r="Z439" i="1"/>
  <c r="U440" i="1"/>
  <c r="Y440" i="1"/>
  <c r="T441" i="1"/>
  <c r="X441" i="1"/>
  <c r="AB441" i="1"/>
  <c r="L443" i="1"/>
  <c r="V443" i="1"/>
  <c r="Z443" i="1"/>
  <c r="U444" i="1"/>
  <c r="Y444" i="1"/>
  <c r="T445" i="1"/>
  <c r="X445" i="1"/>
  <c r="AB445" i="1"/>
  <c r="AB448" i="1"/>
  <c r="X448" i="1"/>
  <c r="T448" i="1"/>
  <c r="AE448" i="1"/>
  <c r="AA448" i="1"/>
  <c r="W448" i="1"/>
  <c r="U448" i="1"/>
  <c r="AC448" i="1"/>
  <c r="T449" i="1"/>
  <c r="AB452" i="1"/>
  <c r="X452" i="1"/>
  <c r="T452" i="1"/>
  <c r="AE452" i="1"/>
  <c r="AA452" i="1"/>
  <c r="W452" i="1"/>
  <c r="U452" i="1"/>
  <c r="AC452" i="1"/>
  <c r="T453" i="1"/>
  <c r="AB456" i="1"/>
  <c r="X456" i="1"/>
  <c r="T456" i="1"/>
  <c r="AE456" i="1"/>
  <c r="AA456" i="1"/>
  <c r="W456" i="1"/>
  <c r="U456" i="1"/>
  <c r="AC456" i="1"/>
  <c r="T457" i="1"/>
  <c r="AB460" i="1"/>
  <c r="X460" i="1"/>
  <c r="T460" i="1"/>
  <c r="AE460" i="1"/>
  <c r="AA460" i="1"/>
  <c r="W460" i="1"/>
  <c r="U460" i="1"/>
  <c r="AC460" i="1"/>
  <c r="T461" i="1"/>
  <c r="AB464" i="1"/>
  <c r="X464" i="1"/>
  <c r="T464" i="1"/>
  <c r="AE464" i="1"/>
  <c r="AA464" i="1"/>
  <c r="W464" i="1"/>
  <c r="U464" i="1"/>
  <c r="AC464" i="1"/>
  <c r="T465" i="1"/>
  <c r="AB468" i="1"/>
  <c r="X468" i="1"/>
  <c r="T468" i="1"/>
  <c r="AE468" i="1"/>
  <c r="AA468" i="1"/>
  <c r="W468" i="1"/>
  <c r="U468" i="1"/>
  <c r="AC468" i="1"/>
  <c r="T469" i="1"/>
  <c r="AB472" i="1"/>
  <c r="X472" i="1"/>
  <c r="T472" i="1"/>
  <c r="AE472" i="1"/>
  <c r="AA472" i="1"/>
  <c r="W472" i="1"/>
  <c r="U472" i="1"/>
  <c r="AC472" i="1"/>
  <c r="T473" i="1"/>
  <c r="X477" i="1"/>
  <c r="AB480" i="1"/>
  <c r="X480" i="1"/>
  <c r="T480" i="1"/>
  <c r="AE480" i="1"/>
  <c r="AA480" i="1"/>
  <c r="W480" i="1"/>
  <c r="U480" i="1"/>
  <c r="AC480" i="1"/>
  <c r="T481" i="1"/>
  <c r="X485" i="1"/>
  <c r="AB488" i="1"/>
  <c r="X488" i="1"/>
  <c r="T488" i="1"/>
  <c r="AE488" i="1"/>
  <c r="AA488" i="1"/>
  <c r="W488" i="1"/>
  <c r="U488" i="1"/>
  <c r="AC488" i="1"/>
  <c r="T489" i="1"/>
  <c r="X493" i="1"/>
  <c r="AB496" i="1"/>
  <c r="X496" i="1"/>
  <c r="T496" i="1"/>
  <c r="AE496" i="1"/>
  <c r="AA496" i="1"/>
  <c r="W496" i="1"/>
  <c r="U496" i="1"/>
  <c r="AC496" i="1"/>
  <c r="T497" i="1"/>
  <c r="X501" i="1"/>
  <c r="AB504" i="1"/>
  <c r="X504" i="1"/>
  <c r="T504" i="1"/>
  <c r="AE504" i="1"/>
  <c r="AA504" i="1"/>
  <c r="W504" i="1"/>
  <c r="U504" i="1"/>
  <c r="AC504" i="1"/>
  <c r="T505" i="1"/>
  <c r="X509" i="1"/>
  <c r="AB512" i="1"/>
  <c r="X512" i="1"/>
  <c r="T512" i="1"/>
  <c r="AE512" i="1"/>
  <c r="AA512" i="1"/>
  <c r="W512" i="1"/>
  <c r="U512" i="1"/>
  <c r="AC512" i="1"/>
  <c r="T513" i="1"/>
  <c r="X517" i="1"/>
  <c r="AB520" i="1"/>
  <c r="X520" i="1"/>
  <c r="T520" i="1"/>
  <c r="AE520" i="1"/>
  <c r="AA520" i="1"/>
  <c r="W520" i="1"/>
  <c r="U520" i="1"/>
  <c r="AC520" i="1"/>
  <c r="T521" i="1"/>
  <c r="X525" i="1"/>
  <c r="AB528" i="1"/>
  <c r="X528" i="1"/>
  <c r="T528" i="1"/>
  <c r="AE528" i="1"/>
  <c r="AA528" i="1"/>
  <c r="W528" i="1"/>
  <c r="U528" i="1"/>
  <c r="AC528" i="1"/>
  <c r="T529" i="1"/>
  <c r="X533" i="1"/>
  <c r="AB536" i="1"/>
  <c r="X536" i="1"/>
  <c r="T536" i="1"/>
  <c r="AE536" i="1"/>
  <c r="AA536" i="1"/>
  <c r="W536" i="1"/>
  <c r="U536" i="1"/>
  <c r="AC536" i="1"/>
  <c r="T537" i="1"/>
  <c r="X541" i="1"/>
  <c r="AB544" i="1"/>
  <c r="X544" i="1"/>
  <c r="T544" i="1"/>
  <c r="AE544" i="1"/>
  <c r="AA544" i="1"/>
  <c r="W544" i="1"/>
  <c r="U544" i="1"/>
  <c r="AC544" i="1"/>
  <c r="T545" i="1"/>
  <c r="X549" i="1"/>
  <c r="W561" i="1"/>
  <c r="AD565" i="1"/>
  <c r="Z565" i="1"/>
  <c r="V565" i="1"/>
  <c r="L565" i="1"/>
  <c r="AB565" i="1"/>
  <c r="X565" i="1"/>
  <c r="T565" i="1"/>
  <c r="AA565" i="1"/>
  <c r="Y565" i="1"/>
  <c r="U565" i="1"/>
  <c r="AD581" i="1"/>
  <c r="Z581" i="1"/>
  <c r="V581" i="1"/>
  <c r="L581" i="1"/>
  <c r="AB581" i="1"/>
  <c r="X581" i="1"/>
  <c r="T581" i="1"/>
  <c r="AA581" i="1"/>
  <c r="Y581" i="1"/>
  <c r="U581" i="1"/>
  <c r="AB611" i="1"/>
  <c r="X611" i="1"/>
  <c r="T611" i="1"/>
  <c r="AE611" i="1"/>
  <c r="AA611" i="1"/>
  <c r="W611" i="1"/>
  <c r="AD611" i="1"/>
  <c r="Z611" i="1"/>
  <c r="V611" i="1"/>
  <c r="L611" i="1"/>
  <c r="AC611" i="1"/>
  <c r="AB619" i="1"/>
  <c r="X619" i="1"/>
  <c r="T619" i="1"/>
  <c r="AE619" i="1"/>
  <c r="AA619" i="1"/>
  <c r="W619" i="1"/>
  <c r="AD619" i="1"/>
  <c r="Z619" i="1"/>
  <c r="V619" i="1"/>
  <c r="L619" i="1"/>
  <c r="AC619" i="1"/>
  <c r="Y619" i="1"/>
  <c r="AB631" i="1"/>
  <c r="X631" i="1"/>
  <c r="T631" i="1"/>
  <c r="AE631" i="1"/>
  <c r="AA631" i="1"/>
  <c r="W631" i="1"/>
  <c r="AD631" i="1"/>
  <c r="Z631" i="1"/>
  <c r="V631" i="1"/>
  <c r="L631" i="1"/>
  <c r="AC631" i="1"/>
  <c r="Y631" i="1"/>
  <c r="AB639" i="1"/>
  <c r="X639" i="1"/>
  <c r="T639" i="1"/>
  <c r="AE639" i="1"/>
  <c r="AA639" i="1"/>
  <c r="W639" i="1"/>
  <c r="AD639" i="1"/>
  <c r="Z639" i="1"/>
  <c r="V639" i="1"/>
  <c r="L639" i="1"/>
  <c r="AC639" i="1"/>
  <c r="Y639" i="1"/>
  <c r="AB647" i="1"/>
  <c r="X647" i="1"/>
  <c r="T647" i="1"/>
  <c r="AE647" i="1"/>
  <c r="AA647" i="1"/>
  <c r="W647" i="1"/>
  <c r="AD647" i="1"/>
  <c r="Z647" i="1"/>
  <c r="V647" i="1"/>
  <c r="L647" i="1"/>
  <c r="AC647" i="1"/>
  <c r="Y647" i="1"/>
  <c r="AB655" i="1"/>
  <c r="X655" i="1"/>
  <c r="T655" i="1"/>
  <c r="AE655" i="1"/>
  <c r="AA655" i="1"/>
  <c r="W655" i="1"/>
  <c r="AD655" i="1"/>
  <c r="Z655" i="1"/>
  <c r="V655" i="1"/>
  <c r="L655" i="1"/>
  <c r="AC655" i="1"/>
  <c r="Y655" i="1"/>
  <c r="U401" i="1"/>
  <c r="Y401" i="1"/>
  <c r="U405" i="1"/>
  <c r="Y405" i="1"/>
  <c r="U409" i="1"/>
  <c r="Y409" i="1"/>
  <c r="U413" i="1"/>
  <c r="Y413" i="1"/>
  <c r="U417" i="1"/>
  <c r="Y417" i="1"/>
  <c r="U421" i="1"/>
  <c r="Y421" i="1"/>
  <c r="U425" i="1"/>
  <c r="Y425" i="1"/>
  <c r="U429" i="1"/>
  <c r="Y429" i="1"/>
  <c r="U433" i="1"/>
  <c r="Y433" i="1"/>
  <c r="U437" i="1"/>
  <c r="Y437" i="1"/>
  <c r="U441" i="1"/>
  <c r="Y441" i="1"/>
  <c r="U445" i="1"/>
  <c r="Y445" i="1"/>
  <c r="AE449" i="1"/>
  <c r="AA449" i="1"/>
  <c r="W449" i="1"/>
  <c r="AD449" i="1"/>
  <c r="Z449" i="1"/>
  <c r="V449" i="1"/>
  <c r="L449" i="1"/>
  <c r="U449" i="1"/>
  <c r="AC449" i="1"/>
  <c r="AE453" i="1"/>
  <c r="AA453" i="1"/>
  <c r="W453" i="1"/>
  <c r="AD453" i="1"/>
  <c r="Z453" i="1"/>
  <c r="V453" i="1"/>
  <c r="L453" i="1"/>
  <c r="U453" i="1"/>
  <c r="AC453" i="1"/>
  <c r="AE457" i="1"/>
  <c r="AA457" i="1"/>
  <c r="W457" i="1"/>
  <c r="AD457" i="1"/>
  <c r="Z457" i="1"/>
  <c r="V457" i="1"/>
  <c r="L457" i="1"/>
  <c r="U457" i="1"/>
  <c r="AC457" i="1"/>
  <c r="AE461" i="1"/>
  <c r="AA461" i="1"/>
  <c r="W461" i="1"/>
  <c r="AD461" i="1"/>
  <c r="Z461" i="1"/>
  <c r="V461" i="1"/>
  <c r="L461" i="1"/>
  <c r="U461" i="1"/>
  <c r="AC461" i="1"/>
  <c r="AE465" i="1"/>
  <c r="AA465" i="1"/>
  <c r="W465" i="1"/>
  <c r="AD465" i="1"/>
  <c r="Z465" i="1"/>
  <c r="V465" i="1"/>
  <c r="L465" i="1"/>
  <c r="U465" i="1"/>
  <c r="AC465" i="1"/>
  <c r="AE469" i="1"/>
  <c r="AA469" i="1"/>
  <c r="W469" i="1"/>
  <c r="AD469" i="1"/>
  <c r="Z469" i="1"/>
  <c r="V469" i="1"/>
  <c r="L469" i="1"/>
  <c r="U469" i="1"/>
  <c r="AC469" i="1"/>
  <c r="AE473" i="1"/>
  <c r="AA473" i="1"/>
  <c r="W473" i="1"/>
  <c r="AD473" i="1"/>
  <c r="Z473" i="1"/>
  <c r="V473" i="1"/>
  <c r="L473" i="1"/>
  <c r="U473" i="1"/>
  <c r="AC473" i="1"/>
  <c r="AE481" i="1"/>
  <c r="AA481" i="1"/>
  <c r="W481" i="1"/>
  <c r="AD481" i="1"/>
  <c r="Z481" i="1"/>
  <c r="V481" i="1"/>
  <c r="L481" i="1"/>
  <c r="U481" i="1"/>
  <c r="AC481" i="1"/>
  <c r="AE489" i="1"/>
  <c r="AA489" i="1"/>
  <c r="W489" i="1"/>
  <c r="AD489" i="1"/>
  <c r="Z489" i="1"/>
  <c r="V489" i="1"/>
  <c r="L489" i="1"/>
  <c r="U489" i="1"/>
  <c r="AC489" i="1"/>
  <c r="AE497" i="1"/>
  <c r="AA497" i="1"/>
  <c r="W497" i="1"/>
  <c r="AD497" i="1"/>
  <c r="Z497" i="1"/>
  <c r="V497" i="1"/>
  <c r="L497" i="1"/>
  <c r="U497" i="1"/>
  <c r="AC497" i="1"/>
  <c r="AE505" i="1"/>
  <c r="AA505" i="1"/>
  <c r="W505" i="1"/>
  <c r="AD505" i="1"/>
  <c r="Z505" i="1"/>
  <c r="V505" i="1"/>
  <c r="L505" i="1"/>
  <c r="U505" i="1"/>
  <c r="AC505" i="1"/>
  <c r="AE513" i="1"/>
  <c r="AA513" i="1"/>
  <c r="W513" i="1"/>
  <c r="AD513" i="1"/>
  <c r="Z513" i="1"/>
  <c r="V513" i="1"/>
  <c r="L513" i="1"/>
  <c r="U513" i="1"/>
  <c r="AC513" i="1"/>
  <c r="AE521" i="1"/>
  <c r="AA521" i="1"/>
  <c r="W521" i="1"/>
  <c r="AD521" i="1"/>
  <c r="Z521" i="1"/>
  <c r="V521" i="1"/>
  <c r="L521" i="1"/>
  <c r="U521" i="1"/>
  <c r="AC521" i="1"/>
  <c r="AE529" i="1"/>
  <c r="AA529" i="1"/>
  <c r="W529" i="1"/>
  <c r="AD529" i="1"/>
  <c r="Z529" i="1"/>
  <c r="V529" i="1"/>
  <c r="L529" i="1"/>
  <c r="U529" i="1"/>
  <c r="AC529" i="1"/>
  <c r="AE537" i="1"/>
  <c r="AA537" i="1"/>
  <c r="W537" i="1"/>
  <c r="AD537" i="1"/>
  <c r="Z537" i="1"/>
  <c r="V537" i="1"/>
  <c r="L537" i="1"/>
  <c r="U537" i="1"/>
  <c r="AC537" i="1"/>
  <c r="AE545" i="1"/>
  <c r="AA545" i="1"/>
  <c r="W545" i="1"/>
  <c r="AD545" i="1"/>
  <c r="Z545" i="1"/>
  <c r="V545" i="1"/>
  <c r="L545" i="1"/>
  <c r="U545" i="1"/>
  <c r="AC545" i="1"/>
  <c r="AD553" i="1"/>
  <c r="Z553" i="1"/>
  <c r="V553" i="1"/>
  <c r="L553" i="1"/>
  <c r="AB553" i="1"/>
  <c r="X553" i="1"/>
  <c r="T553" i="1"/>
  <c r="AA553" i="1"/>
  <c r="Y553" i="1"/>
  <c r="U553" i="1"/>
  <c r="AD569" i="1"/>
  <c r="Z569" i="1"/>
  <c r="V569" i="1"/>
  <c r="L569" i="1"/>
  <c r="AB569" i="1"/>
  <c r="X569" i="1"/>
  <c r="T569" i="1"/>
  <c r="AA569" i="1"/>
  <c r="Y569" i="1"/>
  <c r="U569" i="1"/>
  <c r="AD585" i="1"/>
  <c r="Z585" i="1"/>
  <c r="V585" i="1"/>
  <c r="L585" i="1"/>
  <c r="AB585" i="1"/>
  <c r="X585" i="1"/>
  <c r="T585" i="1"/>
  <c r="AA585" i="1"/>
  <c r="Y585" i="1"/>
  <c r="U585" i="1"/>
  <c r="U619" i="1"/>
  <c r="U631" i="1"/>
  <c r="AB697" i="1"/>
  <c r="X697" i="1"/>
  <c r="T697" i="1"/>
  <c r="AE697" i="1"/>
  <c r="AA697" i="1"/>
  <c r="W697" i="1"/>
  <c r="AD697" i="1"/>
  <c r="Z697" i="1"/>
  <c r="V697" i="1"/>
  <c r="L697" i="1"/>
  <c r="AC697" i="1"/>
  <c r="Y697" i="1"/>
  <c r="U697" i="1"/>
  <c r="AB689" i="1"/>
  <c r="X689" i="1"/>
  <c r="T689" i="1"/>
  <c r="AE689" i="1"/>
  <c r="AA689" i="1"/>
  <c r="W689" i="1"/>
  <c r="AD689" i="1"/>
  <c r="Z689" i="1"/>
  <c r="V689" i="1"/>
  <c r="L689" i="1"/>
  <c r="AC689" i="1"/>
  <c r="Y689" i="1"/>
  <c r="AB721" i="1"/>
  <c r="X721" i="1"/>
  <c r="T721" i="1"/>
  <c r="AE721" i="1"/>
  <c r="AA721" i="1"/>
  <c r="W721" i="1"/>
  <c r="AD721" i="1"/>
  <c r="Z721" i="1"/>
  <c r="V721" i="1"/>
  <c r="L721" i="1"/>
  <c r="AC721" i="1"/>
  <c r="Y721" i="1"/>
  <c r="AB793" i="1"/>
  <c r="X793" i="1"/>
  <c r="T793" i="1"/>
  <c r="AE793" i="1"/>
  <c r="AA793" i="1"/>
  <c r="W793" i="1"/>
  <c r="AD793" i="1"/>
  <c r="Z793" i="1"/>
  <c r="V793" i="1"/>
  <c r="L793" i="1"/>
  <c r="AC793" i="1"/>
  <c r="Y793" i="1"/>
  <c r="U793" i="1"/>
  <c r="U450" i="1"/>
  <c r="Y450" i="1"/>
  <c r="AC450" i="1"/>
  <c r="T451" i="1"/>
  <c r="X451" i="1"/>
  <c r="AB451" i="1"/>
  <c r="U454" i="1"/>
  <c r="Y454" i="1"/>
  <c r="AC454" i="1"/>
  <c r="T455" i="1"/>
  <c r="X455" i="1"/>
  <c r="AB455" i="1"/>
  <c r="U458" i="1"/>
  <c r="Y458" i="1"/>
  <c r="AC458" i="1"/>
  <c r="T459" i="1"/>
  <c r="X459" i="1"/>
  <c r="AB459" i="1"/>
  <c r="U462" i="1"/>
  <c r="Y462" i="1"/>
  <c r="AC462" i="1"/>
  <c r="T463" i="1"/>
  <c r="X463" i="1"/>
  <c r="AB463" i="1"/>
  <c r="U466" i="1"/>
  <c r="Y466" i="1"/>
  <c r="AC466" i="1"/>
  <c r="T467" i="1"/>
  <c r="X467" i="1"/>
  <c r="AB467" i="1"/>
  <c r="U470" i="1"/>
  <c r="Y470" i="1"/>
  <c r="AC470" i="1"/>
  <c r="T471" i="1"/>
  <c r="X471" i="1"/>
  <c r="AB471" i="1"/>
  <c r="U474" i="1"/>
  <c r="Y474" i="1"/>
  <c r="T475" i="1"/>
  <c r="X475" i="1"/>
  <c r="AB475" i="1"/>
  <c r="U478" i="1"/>
  <c r="Y478" i="1"/>
  <c r="T479" i="1"/>
  <c r="X479" i="1"/>
  <c r="AB479" i="1"/>
  <c r="U482" i="1"/>
  <c r="Y482" i="1"/>
  <c r="T483" i="1"/>
  <c r="X483" i="1"/>
  <c r="AB483" i="1"/>
  <c r="U486" i="1"/>
  <c r="Y486" i="1"/>
  <c r="T487" i="1"/>
  <c r="X487" i="1"/>
  <c r="AB487" i="1"/>
  <c r="U490" i="1"/>
  <c r="Y490" i="1"/>
  <c r="T491" i="1"/>
  <c r="X491" i="1"/>
  <c r="AB491" i="1"/>
  <c r="U494" i="1"/>
  <c r="Y494" i="1"/>
  <c r="T495" i="1"/>
  <c r="X495" i="1"/>
  <c r="AB495" i="1"/>
  <c r="U498" i="1"/>
  <c r="Y498" i="1"/>
  <c r="T499" i="1"/>
  <c r="X499" i="1"/>
  <c r="AB499" i="1"/>
  <c r="U502" i="1"/>
  <c r="Y502" i="1"/>
  <c r="T503" i="1"/>
  <c r="X503" i="1"/>
  <c r="AB503" i="1"/>
  <c r="U506" i="1"/>
  <c r="Y506" i="1"/>
  <c r="T507" i="1"/>
  <c r="X507" i="1"/>
  <c r="AB507" i="1"/>
  <c r="U510" i="1"/>
  <c r="Y510" i="1"/>
  <c r="T511" i="1"/>
  <c r="X511" i="1"/>
  <c r="AB511" i="1"/>
  <c r="U514" i="1"/>
  <c r="Y514" i="1"/>
  <c r="T515" i="1"/>
  <c r="X515" i="1"/>
  <c r="AB515" i="1"/>
  <c r="U518" i="1"/>
  <c r="Y518" i="1"/>
  <c r="T519" i="1"/>
  <c r="X519" i="1"/>
  <c r="AB519" i="1"/>
  <c r="U522" i="1"/>
  <c r="Y522" i="1"/>
  <c r="T523" i="1"/>
  <c r="X523" i="1"/>
  <c r="AB523" i="1"/>
  <c r="U526" i="1"/>
  <c r="Y526" i="1"/>
  <c r="T527" i="1"/>
  <c r="X527" i="1"/>
  <c r="AB527" i="1"/>
  <c r="U530" i="1"/>
  <c r="Y530" i="1"/>
  <c r="T531" i="1"/>
  <c r="X531" i="1"/>
  <c r="AB531" i="1"/>
  <c r="U534" i="1"/>
  <c r="Y534" i="1"/>
  <c r="T535" i="1"/>
  <c r="X535" i="1"/>
  <c r="AB535" i="1"/>
  <c r="U538" i="1"/>
  <c r="Y538" i="1"/>
  <c r="T539" i="1"/>
  <c r="X539" i="1"/>
  <c r="AB539" i="1"/>
  <c r="U542" i="1"/>
  <c r="Y542" i="1"/>
  <c r="T543" i="1"/>
  <c r="X543" i="1"/>
  <c r="AB543" i="1"/>
  <c r="U546" i="1"/>
  <c r="Y546" i="1"/>
  <c r="T547" i="1"/>
  <c r="X547" i="1"/>
  <c r="AB547" i="1"/>
  <c r="AB551" i="1"/>
  <c r="X551" i="1"/>
  <c r="T551" i="1"/>
  <c r="AD551" i="1"/>
  <c r="Z551" i="1"/>
  <c r="V551" i="1"/>
  <c r="L551" i="1"/>
  <c r="U551" i="1"/>
  <c r="AC551" i="1"/>
  <c r="AB555" i="1"/>
  <c r="X555" i="1"/>
  <c r="T555" i="1"/>
  <c r="AD555" i="1"/>
  <c r="Z555" i="1"/>
  <c r="V555" i="1"/>
  <c r="L555" i="1"/>
  <c r="U555" i="1"/>
  <c r="AC555" i="1"/>
  <c r="AB559" i="1"/>
  <c r="X559" i="1"/>
  <c r="T559" i="1"/>
  <c r="AD559" i="1"/>
  <c r="Z559" i="1"/>
  <c r="V559" i="1"/>
  <c r="L559" i="1"/>
  <c r="U559" i="1"/>
  <c r="AC559" i="1"/>
  <c r="AB563" i="1"/>
  <c r="X563" i="1"/>
  <c r="T563" i="1"/>
  <c r="AD563" i="1"/>
  <c r="Z563" i="1"/>
  <c r="V563" i="1"/>
  <c r="L563" i="1"/>
  <c r="U563" i="1"/>
  <c r="AC563" i="1"/>
  <c r="AB567" i="1"/>
  <c r="X567" i="1"/>
  <c r="T567" i="1"/>
  <c r="AD567" i="1"/>
  <c r="Z567" i="1"/>
  <c r="V567" i="1"/>
  <c r="L567" i="1"/>
  <c r="U567" i="1"/>
  <c r="AC567" i="1"/>
  <c r="AB571" i="1"/>
  <c r="X571" i="1"/>
  <c r="T571" i="1"/>
  <c r="AD571" i="1"/>
  <c r="Z571" i="1"/>
  <c r="V571" i="1"/>
  <c r="L571" i="1"/>
  <c r="U571" i="1"/>
  <c r="AC571" i="1"/>
  <c r="AB575" i="1"/>
  <c r="X575" i="1"/>
  <c r="T575" i="1"/>
  <c r="AD575" i="1"/>
  <c r="Z575" i="1"/>
  <c r="V575" i="1"/>
  <c r="L575" i="1"/>
  <c r="U575" i="1"/>
  <c r="AC575" i="1"/>
  <c r="AB579" i="1"/>
  <c r="X579" i="1"/>
  <c r="T579" i="1"/>
  <c r="AD579" i="1"/>
  <c r="Z579" i="1"/>
  <c r="V579" i="1"/>
  <c r="L579" i="1"/>
  <c r="U579" i="1"/>
  <c r="AC579" i="1"/>
  <c r="AB583" i="1"/>
  <c r="X583" i="1"/>
  <c r="T583" i="1"/>
  <c r="AD583" i="1"/>
  <c r="Z583" i="1"/>
  <c r="V583" i="1"/>
  <c r="L583" i="1"/>
  <c r="U583" i="1"/>
  <c r="AC583" i="1"/>
  <c r="AB587" i="1"/>
  <c r="X587" i="1"/>
  <c r="T587" i="1"/>
  <c r="AD587" i="1"/>
  <c r="Z587" i="1"/>
  <c r="V587" i="1"/>
  <c r="L587" i="1"/>
  <c r="U587" i="1"/>
  <c r="AC587" i="1"/>
  <c r="AB591" i="1"/>
  <c r="X591" i="1"/>
  <c r="T591" i="1"/>
  <c r="AE591" i="1"/>
  <c r="AA591" i="1"/>
  <c r="W591" i="1"/>
  <c r="AD591" i="1"/>
  <c r="Z591" i="1"/>
  <c r="V591" i="1"/>
  <c r="L591" i="1"/>
  <c r="U591" i="1"/>
  <c r="AB599" i="1"/>
  <c r="X599" i="1"/>
  <c r="T599" i="1"/>
  <c r="AE599" i="1"/>
  <c r="AA599" i="1"/>
  <c r="W599" i="1"/>
  <c r="AD599" i="1"/>
  <c r="Z599" i="1"/>
  <c r="V599" i="1"/>
  <c r="L599" i="1"/>
  <c r="U599" i="1"/>
  <c r="AB607" i="1"/>
  <c r="X607" i="1"/>
  <c r="T607" i="1"/>
  <c r="AE607" i="1"/>
  <c r="AA607" i="1"/>
  <c r="W607" i="1"/>
  <c r="AD607" i="1"/>
  <c r="Z607" i="1"/>
  <c r="V607" i="1"/>
  <c r="L607" i="1"/>
  <c r="U607" i="1"/>
  <c r="AB615" i="1"/>
  <c r="X615" i="1"/>
  <c r="T615" i="1"/>
  <c r="AE615" i="1"/>
  <c r="AA615" i="1"/>
  <c r="W615" i="1"/>
  <c r="AD615" i="1"/>
  <c r="Z615" i="1"/>
  <c r="V615" i="1"/>
  <c r="L615" i="1"/>
  <c r="U615" i="1"/>
  <c r="AB627" i="1"/>
  <c r="X627" i="1"/>
  <c r="T627" i="1"/>
  <c r="AE627" i="1"/>
  <c r="AA627" i="1"/>
  <c r="W627" i="1"/>
  <c r="AD627" i="1"/>
  <c r="Z627" i="1"/>
  <c r="V627" i="1"/>
  <c r="L627" i="1"/>
  <c r="U627" i="1"/>
  <c r="AB635" i="1"/>
  <c r="X635" i="1"/>
  <c r="T635" i="1"/>
  <c r="AE635" i="1"/>
  <c r="AA635" i="1"/>
  <c r="W635" i="1"/>
  <c r="AD635" i="1"/>
  <c r="Z635" i="1"/>
  <c r="V635" i="1"/>
  <c r="L635" i="1"/>
  <c r="U635" i="1"/>
  <c r="AB643" i="1"/>
  <c r="X643" i="1"/>
  <c r="T643" i="1"/>
  <c r="AE643" i="1"/>
  <c r="AA643" i="1"/>
  <c r="W643" i="1"/>
  <c r="AD643" i="1"/>
  <c r="Z643" i="1"/>
  <c r="V643" i="1"/>
  <c r="L643" i="1"/>
  <c r="U643" i="1"/>
  <c r="AB651" i="1"/>
  <c r="X651" i="1"/>
  <c r="T651" i="1"/>
  <c r="AE651" i="1"/>
  <c r="AA651" i="1"/>
  <c r="W651" i="1"/>
  <c r="AD651" i="1"/>
  <c r="Z651" i="1"/>
  <c r="V651" i="1"/>
  <c r="L651" i="1"/>
  <c r="U651" i="1"/>
  <c r="AB659" i="1"/>
  <c r="X659" i="1"/>
  <c r="T659" i="1"/>
  <c r="AE659" i="1"/>
  <c r="AA659" i="1"/>
  <c r="W659" i="1"/>
  <c r="AD659" i="1"/>
  <c r="Z659" i="1"/>
  <c r="V659" i="1"/>
  <c r="L659" i="1"/>
  <c r="U659" i="1"/>
  <c r="U689" i="1"/>
  <c r="AB713" i="1"/>
  <c r="X713" i="1"/>
  <c r="T713" i="1"/>
  <c r="AE713" i="1"/>
  <c r="AA713" i="1"/>
  <c r="W713" i="1"/>
  <c r="AD713" i="1"/>
  <c r="Z713" i="1"/>
  <c r="V713" i="1"/>
  <c r="L713" i="1"/>
  <c r="AC713" i="1"/>
  <c r="Y713" i="1"/>
  <c r="U721" i="1"/>
  <c r="AB745" i="1"/>
  <c r="X745" i="1"/>
  <c r="T745" i="1"/>
  <c r="AE745" i="1"/>
  <c r="AA745" i="1"/>
  <c r="W745" i="1"/>
  <c r="AD745" i="1"/>
  <c r="Z745" i="1"/>
  <c r="V745" i="1"/>
  <c r="L745" i="1"/>
  <c r="AC745" i="1"/>
  <c r="Y745" i="1"/>
  <c r="U447" i="1"/>
  <c r="Y447" i="1"/>
  <c r="L450" i="1"/>
  <c r="V450" i="1"/>
  <c r="Z450" i="1"/>
  <c r="U451" i="1"/>
  <c r="Y451" i="1"/>
  <c r="L454" i="1"/>
  <c r="V454" i="1"/>
  <c r="Z454" i="1"/>
  <c r="U455" i="1"/>
  <c r="Y455" i="1"/>
  <c r="L458" i="1"/>
  <c r="V458" i="1"/>
  <c r="Z458" i="1"/>
  <c r="U459" i="1"/>
  <c r="Y459" i="1"/>
  <c r="L462" i="1"/>
  <c r="V462" i="1"/>
  <c r="Z462" i="1"/>
  <c r="U463" i="1"/>
  <c r="Y463" i="1"/>
  <c r="L466" i="1"/>
  <c r="V466" i="1"/>
  <c r="Z466" i="1"/>
  <c r="U467" i="1"/>
  <c r="Y467" i="1"/>
  <c r="L470" i="1"/>
  <c r="V470" i="1"/>
  <c r="Z470" i="1"/>
  <c r="U471" i="1"/>
  <c r="Y471" i="1"/>
  <c r="U475" i="1"/>
  <c r="Y475" i="1"/>
  <c r="U479" i="1"/>
  <c r="Y479" i="1"/>
  <c r="U483" i="1"/>
  <c r="Y483" i="1"/>
  <c r="U487" i="1"/>
  <c r="Y487" i="1"/>
  <c r="U491" i="1"/>
  <c r="Y491" i="1"/>
  <c r="U495" i="1"/>
  <c r="Y495" i="1"/>
  <c r="U499" i="1"/>
  <c r="Y499" i="1"/>
  <c r="U503" i="1"/>
  <c r="Y503" i="1"/>
  <c r="U507" i="1"/>
  <c r="Y507" i="1"/>
  <c r="U511" i="1"/>
  <c r="Y511" i="1"/>
  <c r="U515" i="1"/>
  <c r="Y515" i="1"/>
  <c r="U519" i="1"/>
  <c r="Y519" i="1"/>
  <c r="U523" i="1"/>
  <c r="Y523" i="1"/>
  <c r="U527" i="1"/>
  <c r="Y527" i="1"/>
  <c r="U531" i="1"/>
  <c r="Y531" i="1"/>
  <c r="U535" i="1"/>
  <c r="Y535" i="1"/>
  <c r="U539" i="1"/>
  <c r="Y539" i="1"/>
  <c r="U543" i="1"/>
  <c r="Y543" i="1"/>
  <c r="U547" i="1"/>
  <c r="Y547" i="1"/>
  <c r="AG620" i="1"/>
  <c r="AB623" i="1"/>
  <c r="X623" i="1"/>
  <c r="T623" i="1"/>
  <c r="AE623" i="1"/>
  <c r="AA623" i="1"/>
  <c r="W623" i="1"/>
  <c r="AD623" i="1"/>
  <c r="Z623" i="1"/>
  <c r="V623" i="1"/>
  <c r="L623" i="1"/>
  <c r="U623" i="1"/>
  <c r="Y635" i="1"/>
  <c r="Y643" i="1"/>
  <c r="Y651" i="1"/>
  <c r="AB705" i="1"/>
  <c r="X705" i="1"/>
  <c r="T705" i="1"/>
  <c r="AE705" i="1"/>
  <c r="AA705" i="1"/>
  <c r="W705" i="1"/>
  <c r="AD705" i="1"/>
  <c r="Z705" i="1"/>
  <c r="V705" i="1"/>
  <c r="L705" i="1"/>
  <c r="AC705" i="1"/>
  <c r="Y705" i="1"/>
  <c r="AB737" i="1"/>
  <c r="X737" i="1"/>
  <c r="T737" i="1"/>
  <c r="AE737" i="1"/>
  <c r="AA737" i="1"/>
  <c r="W737" i="1"/>
  <c r="AD737" i="1"/>
  <c r="Z737" i="1"/>
  <c r="V737" i="1"/>
  <c r="L737" i="1"/>
  <c r="AC737" i="1"/>
  <c r="Y737" i="1"/>
  <c r="AB753" i="1"/>
  <c r="X753" i="1"/>
  <c r="T753" i="1"/>
  <c r="AE753" i="1"/>
  <c r="AA753" i="1"/>
  <c r="W753" i="1"/>
  <c r="AD753" i="1"/>
  <c r="Z753" i="1"/>
  <c r="V753" i="1"/>
  <c r="L753" i="1"/>
  <c r="AC753" i="1"/>
  <c r="Y753" i="1"/>
  <c r="W550" i="1"/>
  <c r="AA550" i="1"/>
  <c r="AE550" i="1"/>
  <c r="U552" i="1"/>
  <c r="Y552" i="1"/>
  <c r="AC552" i="1"/>
  <c r="W554" i="1"/>
  <c r="AA554" i="1"/>
  <c r="AE554" i="1"/>
  <c r="U556" i="1"/>
  <c r="Y556" i="1"/>
  <c r="AC556" i="1"/>
  <c r="W558" i="1"/>
  <c r="AA558" i="1"/>
  <c r="AE558" i="1"/>
  <c r="U560" i="1"/>
  <c r="Y560" i="1"/>
  <c r="AC560" i="1"/>
  <c r="W562" i="1"/>
  <c r="AA562" i="1"/>
  <c r="AE562" i="1"/>
  <c r="U564" i="1"/>
  <c r="Y564" i="1"/>
  <c r="AC564" i="1"/>
  <c r="W566" i="1"/>
  <c r="AA566" i="1"/>
  <c r="AE566" i="1"/>
  <c r="U568" i="1"/>
  <c r="Y568" i="1"/>
  <c r="AC568" i="1"/>
  <c r="W570" i="1"/>
  <c r="AA570" i="1"/>
  <c r="AE570" i="1"/>
  <c r="U572" i="1"/>
  <c r="Y572" i="1"/>
  <c r="AC572" i="1"/>
  <c r="W574" i="1"/>
  <c r="AA574" i="1"/>
  <c r="AE574" i="1"/>
  <c r="U576" i="1"/>
  <c r="Y576" i="1"/>
  <c r="AC576" i="1"/>
  <c r="W578" i="1"/>
  <c r="AA578" i="1"/>
  <c r="AE578" i="1"/>
  <c r="U580" i="1"/>
  <c r="Y580" i="1"/>
  <c r="AC580" i="1"/>
  <c r="W582" i="1"/>
  <c r="AA582" i="1"/>
  <c r="AE582" i="1"/>
  <c r="U584" i="1"/>
  <c r="Y584" i="1"/>
  <c r="AC584" i="1"/>
  <c r="W586" i="1"/>
  <c r="AA586" i="1"/>
  <c r="AE586" i="1"/>
  <c r="U588" i="1"/>
  <c r="Y588" i="1"/>
  <c r="AC588" i="1"/>
  <c r="T589" i="1"/>
  <c r="X589" i="1"/>
  <c r="AB589" i="1"/>
  <c r="W590" i="1"/>
  <c r="AA590" i="1"/>
  <c r="AE590" i="1"/>
  <c r="U592" i="1"/>
  <c r="Y592" i="1"/>
  <c r="AC592" i="1"/>
  <c r="T593" i="1"/>
  <c r="X593" i="1"/>
  <c r="AB593" i="1"/>
  <c r="W594" i="1"/>
  <c r="AA594" i="1"/>
  <c r="AE594" i="1"/>
  <c r="U596" i="1"/>
  <c r="Y596" i="1"/>
  <c r="AC596" i="1"/>
  <c r="T597" i="1"/>
  <c r="X597" i="1"/>
  <c r="AB597" i="1"/>
  <c r="W598" i="1"/>
  <c r="AA598" i="1"/>
  <c r="AE598" i="1"/>
  <c r="U600" i="1"/>
  <c r="Y600" i="1"/>
  <c r="AC600" i="1"/>
  <c r="T601" i="1"/>
  <c r="X601" i="1"/>
  <c r="AB601" i="1"/>
  <c r="W602" i="1"/>
  <c r="AA602" i="1"/>
  <c r="AE602" i="1"/>
  <c r="U604" i="1"/>
  <c r="Y604" i="1"/>
  <c r="AC604" i="1"/>
  <c r="T605" i="1"/>
  <c r="X605" i="1"/>
  <c r="AB605" i="1"/>
  <c r="W606" i="1"/>
  <c r="AA606" i="1"/>
  <c r="AE606" i="1"/>
  <c r="U608" i="1"/>
  <c r="Y608" i="1"/>
  <c r="AC608" i="1"/>
  <c r="T609" i="1"/>
  <c r="X609" i="1"/>
  <c r="AB609" i="1"/>
  <c r="W610" i="1"/>
  <c r="AA610" i="1"/>
  <c r="AE610" i="1"/>
  <c r="U612" i="1"/>
  <c r="Y612" i="1"/>
  <c r="AC612" i="1"/>
  <c r="T613" i="1"/>
  <c r="X613" i="1"/>
  <c r="AB613" i="1"/>
  <c r="W614" i="1"/>
  <c r="AA614" i="1"/>
  <c r="AE614" i="1"/>
  <c r="U616" i="1"/>
  <c r="Y616" i="1"/>
  <c r="AC616" i="1"/>
  <c r="T617" i="1"/>
  <c r="X617" i="1"/>
  <c r="AB617" i="1"/>
  <c r="W618" i="1"/>
  <c r="AA618" i="1"/>
  <c r="AE618" i="1"/>
  <c r="U620" i="1"/>
  <c r="Y620" i="1"/>
  <c r="AC620" i="1"/>
  <c r="T621" i="1"/>
  <c r="X621" i="1"/>
  <c r="AB621" i="1"/>
  <c r="W622" i="1"/>
  <c r="AA622" i="1"/>
  <c r="AE622" i="1"/>
  <c r="U624" i="1"/>
  <c r="Y624" i="1"/>
  <c r="AC624" i="1"/>
  <c r="T625" i="1"/>
  <c r="X625" i="1"/>
  <c r="AB625" i="1"/>
  <c r="W626" i="1"/>
  <c r="AA626" i="1"/>
  <c r="AE626" i="1"/>
  <c r="U628" i="1"/>
  <c r="Y628" i="1"/>
  <c r="T629" i="1"/>
  <c r="X629" i="1"/>
  <c r="AB629" i="1"/>
  <c r="W630" i="1"/>
  <c r="AA630" i="1"/>
  <c r="AE630" i="1"/>
  <c r="U632" i="1"/>
  <c r="Y632" i="1"/>
  <c r="T633" i="1"/>
  <c r="X633" i="1"/>
  <c r="AB633" i="1"/>
  <c r="W634" i="1"/>
  <c r="AA634" i="1"/>
  <c r="AE634" i="1"/>
  <c r="U636" i="1"/>
  <c r="Y636" i="1"/>
  <c r="T637" i="1"/>
  <c r="X637" i="1"/>
  <c r="AB637" i="1"/>
  <c r="W638" i="1"/>
  <c r="AA638" i="1"/>
  <c r="AE638" i="1"/>
  <c r="U640" i="1"/>
  <c r="Y640" i="1"/>
  <c r="T641" i="1"/>
  <c r="X641" i="1"/>
  <c r="AB641" i="1"/>
  <c r="W642" i="1"/>
  <c r="AA642" i="1"/>
  <c r="AE642" i="1"/>
  <c r="U644" i="1"/>
  <c r="Y644" i="1"/>
  <c r="T645" i="1"/>
  <c r="X645" i="1"/>
  <c r="AB645" i="1"/>
  <c r="W646" i="1"/>
  <c r="AA646" i="1"/>
  <c r="AE646" i="1"/>
  <c r="U648" i="1"/>
  <c r="Y648" i="1"/>
  <c r="T649" i="1"/>
  <c r="X649" i="1"/>
  <c r="AB649" i="1"/>
  <c r="W650" i="1"/>
  <c r="AA650" i="1"/>
  <c r="AE650" i="1"/>
  <c r="U652" i="1"/>
  <c r="Y652" i="1"/>
  <c r="T653" i="1"/>
  <c r="X653" i="1"/>
  <c r="AB653" i="1"/>
  <c r="W654" i="1"/>
  <c r="AA654" i="1"/>
  <c r="AE654" i="1"/>
  <c r="U656" i="1"/>
  <c r="Y656" i="1"/>
  <c r="T657" i="1"/>
  <c r="X657" i="1"/>
  <c r="AB657" i="1"/>
  <c r="W658" i="1"/>
  <c r="AA658" i="1"/>
  <c r="AE658" i="1"/>
  <c r="AD663" i="1"/>
  <c r="Z663" i="1"/>
  <c r="V663" i="1"/>
  <c r="L663" i="1"/>
  <c r="AB663" i="1"/>
  <c r="X663" i="1"/>
  <c r="T663" i="1"/>
  <c r="U663" i="1"/>
  <c r="AC663" i="1"/>
  <c r="AD667" i="1"/>
  <c r="Z667" i="1"/>
  <c r="V667" i="1"/>
  <c r="L667" i="1"/>
  <c r="AB667" i="1"/>
  <c r="X667" i="1"/>
  <c r="T667" i="1"/>
  <c r="U667" i="1"/>
  <c r="AC667" i="1"/>
  <c r="AD671" i="1"/>
  <c r="Z671" i="1"/>
  <c r="V671" i="1"/>
  <c r="L671" i="1"/>
  <c r="AB671" i="1"/>
  <c r="X671" i="1"/>
  <c r="T671" i="1"/>
  <c r="U671" i="1"/>
  <c r="AC671" i="1"/>
  <c r="AD675" i="1"/>
  <c r="Z675" i="1"/>
  <c r="V675" i="1"/>
  <c r="L675" i="1"/>
  <c r="AB675" i="1"/>
  <c r="X675" i="1"/>
  <c r="T675" i="1"/>
  <c r="U675" i="1"/>
  <c r="AC675" i="1"/>
  <c r="AD679" i="1"/>
  <c r="Z679" i="1"/>
  <c r="V679" i="1"/>
  <c r="L679" i="1"/>
  <c r="AB679" i="1"/>
  <c r="X679" i="1"/>
  <c r="T679" i="1"/>
  <c r="U679" i="1"/>
  <c r="AC679" i="1"/>
  <c r="AD683" i="1"/>
  <c r="Z683" i="1"/>
  <c r="V683" i="1"/>
  <c r="L683" i="1"/>
  <c r="AB683" i="1"/>
  <c r="X683" i="1"/>
  <c r="T683" i="1"/>
  <c r="U683" i="1"/>
  <c r="AC683" i="1"/>
  <c r="AB785" i="1"/>
  <c r="X785" i="1"/>
  <c r="T785" i="1"/>
  <c r="AE785" i="1"/>
  <c r="AA785" i="1"/>
  <c r="W785" i="1"/>
  <c r="AD785" i="1"/>
  <c r="Z785" i="1"/>
  <c r="V785" i="1"/>
  <c r="L785" i="1"/>
  <c r="AC785" i="1"/>
  <c r="Y785" i="1"/>
  <c r="AE820" i="1"/>
  <c r="AA820" i="1"/>
  <c r="W820" i="1"/>
  <c r="AD820" i="1"/>
  <c r="Z820" i="1"/>
  <c r="V820" i="1"/>
  <c r="L820" i="1"/>
  <c r="AB820" i="1"/>
  <c r="T820" i="1"/>
  <c r="Y820" i="1"/>
  <c r="X820" i="1"/>
  <c r="AC820" i="1"/>
  <c r="U820" i="1"/>
  <c r="AB873" i="1"/>
  <c r="X873" i="1"/>
  <c r="T873" i="1"/>
  <c r="AD873" i="1"/>
  <c r="Z873" i="1"/>
  <c r="V873" i="1"/>
  <c r="L873" i="1"/>
  <c r="AA873" i="1"/>
  <c r="Y873" i="1"/>
  <c r="AE873" i="1"/>
  <c r="W873" i="1"/>
  <c r="AC873" i="1"/>
  <c r="U873" i="1"/>
  <c r="U589" i="1"/>
  <c r="Y589" i="1"/>
  <c r="AC589" i="1"/>
  <c r="U593" i="1"/>
  <c r="Y593" i="1"/>
  <c r="AC593" i="1"/>
  <c r="U597" i="1"/>
  <c r="Y597" i="1"/>
  <c r="AC597" i="1"/>
  <c r="U601" i="1"/>
  <c r="Y601" i="1"/>
  <c r="AC601" i="1"/>
  <c r="U605" i="1"/>
  <c r="Y605" i="1"/>
  <c r="AC605" i="1"/>
  <c r="U609" i="1"/>
  <c r="Y609" i="1"/>
  <c r="AC609" i="1"/>
  <c r="U613" i="1"/>
  <c r="Y613" i="1"/>
  <c r="AC613" i="1"/>
  <c r="U617" i="1"/>
  <c r="Y617" i="1"/>
  <c r="AC617" i="1"/>
  <c r="U621" i="1"/>
  <c r="Y621" i="1"/>
  <c r="AC621" i="1"/>
  <c r="U625" i="1"/>
  <c r="Y625" i="1"/>
  <c r="AC625" i="1"/>
  <c r="U629" i="1"/>
  <c r="Y629" i="1"/>
  <c r="AC629" i="1"/>
  <c r="U633" i="1"/>
  <c r="Y633" i="1"/>
  <c r="AC633" i="1"/>
  <c r="U637" i="1"/>
  <c r="Y637" i="1"/>
  <c r="AC637" i="1"/>
  <c r="U641" i="1"/>
  <c r="Y641" i="1"/>
  <c r="AC641" i="1"/>
  <c r="U645" i="1"/>
  <c r="Y645" i="1"/>
  <c r="AC645" i="1"/>
  <c r="U649" i="1"/>
  <c r="Y649" i="1"/>
  <c r="AC649" i="1"/>
  <c r="U653" i="1"/>
  <c r="Y653" i="1"/>
  <c r="AC653" i="1"/>
  <c r="U657" i="1"/>
  <c r="Y657" i="1"/>
  <c r="AC657" i="1"/>
  <c r="AB693" i="1"/>
  <c r="X693" i="1"/>
  <c r="T693" i="1"/>
  <c r="AE693" i="1"/>
  <c r="AA693" i="1"/>
  <c r="W693" i="1"/>
  <c r="AD693" i="1"/>
  <c r="Z693" i="1"/>
  <c r="V693" i="1"/>
  <c r="L693" i="1"/>
  <c r="U693" i="1"/>
  <c r="AB701" i="1"/>
  <c r="X701" i="1"/>
  <c r="T701" i="1"/>
  <c r="AE701" i="1"/>
  <c r="AA701" i="1"/>
  <c r="W701" i="1"/>
  <c r="AD701" i="1"/>
  <c r="Z701" i="1"/>
  <c r="V701" i="1"/>
  <c r="L701" i="1"/>
  <c r="U701" i="1"/>
  <c r="AB709" i="1"/>
  <c r="X709" i="1"/>
  <c r="T709" i="1"/>
  <c r="AE709" i="1"/>
  <c r="AA709" i="1"/>
  <c r="W709" i="1"/>
  <c r="AD709" i="1"/>
  <c r="Z709" i="1"/>
  <c r="V709" i="1"/>
  <c r="L709" i="1"/>
  <c r="U709" i="1"/>
  <c r="AB717" i="1"/>
  <c r="X717" i="1"/>
  <c r="T717" i="1"/>
  <c r="AE717" i="1"/>
  <c r="AA717" i="1"/>
  <c r="W717" i="1"/>
  <c r="AD717" i="1"/>
  <c r="Z717" i="1"/>
  <c r="V717" i="1"/>
  <c r="L717" i="1"/>
  <c r="U717" i="1"/>
  <c r="AB725" i="1"/>
  <c r="X725" i="1"/>
  <c r="T725" i="1"/>
  <c r="AE725" i="1"/>
  <c r="AA725" i="1"/>
  <c r="W725" i="1"/>
  <c r="AD725" i="1"/>
  <c r="Z725" i="1"/>
  <c r="V725" i="1"/>
  <c r="L725" i="1"/>
  <c r="U725" i="1"/>
  <c r="AB733" i="1"/>
  <c r="X733" i="1"/>
  <c r="T733" i="1"/>
  <c r="AE733" i="1"/>
  <c r="AA733" i="1"/>
  <c r="W733" i="1"/>
  <c r="AD733" i="1"/>
  <c r="Z733" i="1"/>
  <c r="V733" i="1"/>
  <c r="L733" i="1"/>
  <c r="U733" i="1"/>
  <c r="AB741" i="1"/>
  <c r="X741" i="1"/>
  <c r="T741" i="1"/>
  <c r="AE741" i="1"/>
  <c r="AA741" i="1"/>
  <c r="W741" i="1"/>
  <c r="AD741" i="1"/>
  <c r="Z741" i="1"/>
  <c r="V741" i="1"/>
  <c r="L741" i="1"/>
  <c r="U741" i="1"/>
  <c r="AB749" i="1"/>
  <c r="X749" i="1"/>
  <c r="T749" i="1"/>
  <c r="AE749" i="1"/>
  <c r="AA749" i="1"/>
  <c r="W749" i="1"/>
  <c r="AD749" i="1"/>
  <c r="Z749" i="1"/>
  <c r="V749" i="1"/>
  <c r="L749" i="1"/>
  <c r="U749" i="1"/>
  <c r="AB777" i="1"/>
  <c r="X777" i="1"/>
  <c r="T777" i="1"/>
  <c r="AE777" i="1"/>
  <c r="AA777" i="1"/>
  <c r="W777" i="1"/>
  <c r="AD777" i="1"/>
  <c r="Z777" i="1"/>
  <c r="V777" i="1"/>
  <c r="L777" i="1"/>
  <c r="AC777" i="1"/>
  <c r="Y777" i="1"/>
  <c r="U785" i="1"/>
  <c r="U550" i="1"/>
  <c r="Y550" i="1"/>
  <c r="W552" i="1"/>
  <c r="AA552" i="1"/>
  <c r="U554" i="1"/>
  <c r="Y554" i="1"/>
  <c r="W556" i="1"/>
  <c r="AA556" i="1"/>
  <c r="U558" i="1"/>
  <c r="Y558" i="1"/>
  <c r="W560" i="1"/>
  <c r="AA560" i="1"/>
  <c r="U562" i="1"/>
  <c r="Y562" i="1"/>
  <c r="W564" i="1"/>
  <c r="AA564" i="1"/>
  <c r="U566" i="1"/>
  <c r="Y566" i="1"/>
  <c r="W568" i="1"/>
  <c r="AA568" i="1"/>
  <c r="U570" i="1"/>
  <c r="Y570" i="1"/>
  <c r="W572" i="1"/>
  <c r="AA572" i="1"/>
  <c r="U574" i="1"/>
  <c r="Y574" i="1"/>
  <c r="W576" i="1"/>
  <c r="AA576" i="1"/>
  <c r="U578" i="1"/>
  <c r="Y578" i="1"/>
  <c r="W580" i="1"/>
  <c r="AA580" i="1"/>
  <c r="U582" i="1"/>
  <c r="Y582" i="1"/>
  <c r="W584" i="1"/>
  <c r="AA584" i="1"/>
  <c r="U586" i="1"/>
  <c r="Y586" i="1"/>
  <c r="W588" i="1"/>
  <c r="AA588" i="1"/>
  <c r="L589" i="1"/>
  <c r="V589" i="1"/>
  <c r="Z589" i="1"/>
  <c r="U590" i="1"/>
  <c r="Y590" i="1"/>
  <c r="W592" i="1"/>
  <c r="AA592" i="1"/>
  <c r="L593" i="1"/>
  <c r="V593" i="1"/>
  <c r="Z593" i="1"/>
  <c r="U594" i="1"/>
  <c r="Y594" i="1"/>
  <c r="W596" i="1"/>
  <c r="AA596" i="1"/>
  <c r="L597" i="1"/>
  <c r="V597" i="1"/>
  <c r="Z597" i="1"/>
  <c r="U598" i="1"/>
  <c r="Y598" i="1"/>
  <c r="W600" i="1"/>
  <c r="AA600" i="1"/>
  <c r="L601" i="1"/>
  <c r="V601" i="1"/>
  <c r="Z601" i="1"/>
  <c r="U602" i="1"/>
  <c r="Y602" i="1"/>
  <c r="W604" i="1"/>
  <c r="AA604" i="1"/>
  <c r="L605" i="1"/>
  <c r="V605" i="1"/>
  <c r="Z605" i="1"/>
  <c r="U606" i="1"/>
  <c r="Y606" i="1"/>
  <c r="W608" i="1"/>
  <c r="AA608" i="1"/>
  <c r="L609" i="1"/>
  <c r="V609" i="1"/>
  <c r="Z609" i="1"/>
  <c r="U610" i="1"/>
  <c r="Y610" i="1"/>
  <c r="W612" i="1"/>
  <c r="AA612" i="1"/>
  <c r="L613" i="1"/>
  <c r="V613" i="1"/>
  <c r="Z613" i="1"/>
  <c r="U614" i="1"/>
  <c r="Y614" i="1"/>
  <c r="W616" i="1"/>
  <c r="AA616" i="1"/>
  <c r="L617" i="1"/>
  <c r="V617" i="1"/>
  <c r="Z617" i="1"/>
  <c r="U618" i="1"/>
  <c r="Y618" i="1"/>
  <c r="W620" i="1"/>
  <c r="AA620" i="1"/>
  <c r="L621" i="1"/>
  <c r="V621" i="1"/>
  <c r="Z621" i="1"/>
  <c r="U622" i="1"/>
  <c r="Y622" i="1"/>
  <c r="W624" i="1"/>
  <c r="AA624" i="1"/>
  <c r="L625" i="1"/>
  <c r="V625" i="1"/>
  <c r="Z625" i="1"/>
  <c r="U626" i="1"/>
  <c r="Y626" i="1"/>
  <c r="AG626" i="1"/>
  <c r="L629" i="1"/>
  <c r="V629" i="1"/>
  <c r="Z629" i="1"/>
  <c r="U630" i="1"/>
  <c r="Y630" i="1"/>
  <c r="L633" i="1"/>
  <c r="V633" i="1"/>
  <c r="Z633" i="1"/>
  <c r="U634" i="1"/>
  <c r="Y634" i="1"/>
  <c r="L637" i="1"/>
  <c r="V637" i="1"/>
  <c r="Z637" i="1"/>
  <c r="U638" i="1"/>
  <c r="Y638" i="1"/>
  <c r="L641" i="1"/>
  <c r="V641" i="1"/>
  <c r="Z641" i="1"/>
  <c r="U642" i="1"/>
  <c r="Y642" i="1"/>
  <c r="L645" i="1"/>
  <c r="V645" i="1"/>
  <c r="Z645" i="1"/>
  <c r="U646" i="1"/>
  <c r="Y646" i="1"/>
  <c r="L649" i="1"/>
  <c r="V649" i="1"/>
  <c r="Z649" i="1"/>
  <c r="U650" i="1"/>
  <c r="Y650" i="1"/>
  <c r="L653" i="1"/>
  <c r="V653" i="1"/>
  <c r="Z653" i="1"/>
  <c r="U654" i="1"/>
  <c r="Y654" i="1"/>
  <c r="L657" i="1"/>
  <c r="V657" i="1"/>
  <c r="Z657" i="1"/>
  <c r="U658" i="1"/>
  <c r="Y658" i="1"/>
  <c r="AB661" i="1"/>
  <c r="X661" i="1"/>
  <c r="T661" i="1"/>
  <c r="AD661" i="1"/>
  <c r="Z661" i="1"/>
  <c r="V661" i="1"/>
  <c r="L661" i="1"/>
  <c r="U661" i="1"/>
  <c r="AC661" i="1"/>
  <c r="AB665" i="1"/>
  <c r="X665" i="1"/>
  <c r="T665" i="1"/>
  <c r="AD665" i="1"/>
  <c r="Z665" i="1"/>
  <c r="V665" i="1"/>
  <c r="L665" i="1"/>
  <c r="U665" i="1"/>
  <c r="AC665" i="1"/>
  <c r="AB669" i="1"/>
  <c r="X669" i="1"/>
  <c r="T669" i="1"/>
  <c r="AD669" i="1"/>
  <c r="Z669" i="1"/>
  <c r="V669" i="1"/>
  <c r="L669" i="1"/>
  <c r="U669" i="1"/>
  <c r="AC669" i="1"/>
  <c r="AB673" i="1"/>
  <c r="X673" i="1"/>
  <c r="T673" i="1"/>
  <c r="AD673" i="1"/>
  <c r="Z673" i="1"/>
  <c r="V673" i="1"/>
  <c r="L673" i="1"/>
  <c r="U673" i="1"/>
  <c r="AC673" i="1"/>
  <c r="AB677" i="1"/>
  <c r="X677" i="1"/>
  <c r="T677" i="1"/>
  <c r="AD677" i="1"/>
  <c r="Z677" i="1"/>
  <c r="V677" i="1"/>
  <c r="L677" i="1"/>
  <c r="U677" i="1"/>
  <c r="AC677" i="1"/>
  <c r="AB681" i="1"/>
  <c r="X681" i="1"/>
  <c r="T681" i="1"/>
  <c r="AD681" i="1"/>
  <c r="Z681" i="1"/>
  <c r="V681" i="1"/>
  <c r="L681" i="1"/>
  <c r="U681" i="1"/>
  <c r="AC681" i="1"/>
  <c r="AB685" i="1"/>
  <c r="X685" i="1"/>
  <c r="T685" i="1"/>
  <c r="AD685" i="1"/>
  <c r="Z685" i="1"/>
  <c r="V685" i="1"/>
  <c r="L685" i="1"/>
  <c r="U685" i="1"/>
  <c r="AC685" i="1"/>
  <c r="Y693" i="1"/>
  <c r="Y701" i="1"/>
  <c r="Y709" i="1"/>
  <c r="Y717" i="1"/>
  <c r="Y725" i="1"/>
  <c r="Y733" i="1"/>
  <c r="Y741" i="1"/>
  <c r="AB757" i="1"/>
  <c r="X757" i="1"/>
  <c r="T757" i="1"/>
  <c r="AE757" i="1"/>
  <c r="AA757" i="1"/>
  <c r="W757" i="1"/>
  <c r="AD757" i="1"/>
  <c r="Z757" i="1"/>
  <c r="V757" i="1"/>
  <c r="L757" i="1"/>
  <c r="U757" i="1"/>
  <c r="U777" i="1"/>
  <c r="AB805" i="1"/>
  <c r="X805" i="1"/>
  <c r="T805" i="1"/>
  <c r="AE805" i="1"/>
  <c r="AA805" i="1"/>
  <c r="W805" i="1"/>
  <c r="AD805" i="1"/>
  <c r="Z805" i="1"/>
  <c r="V805" i="1"/>
  <c r="L805" i="1"/>
  <c r="AC805" i="1"/>
  <c r="Y805" i="1"/>
  <c r="W660" i="1"/>
  <c r="AA660" i="1"/>
  <c r="AE660" i="1"/>
  <c r="U662" i="1"/>
  <c r="Y662" i="1"/>
  <c r="AC662" i="1"/>
  <c r="W664" i="1"/>
  <c r="AA664" i="1"/>
  <c r="AE664" i="1"/>
  <c r="U666" i="1"/>
  <c r="Y666" i="1"/>
  <c r="AC666" i="1"/>
  <c r="W668" i="1"/>
  <c r="AA668" i="1"/>
  <c r="AE668" i="1"/>
  <c r="U670" i="1"/>
  <c r="Y670" i="1"/>
  <c r="AC670" i="1"/>
  <c r="W672" i="1"/>
  <c r="AA672" i="1"/>
  <c r="AE672" i="1"/>
  <c r="U674" i="1"/>
  <c r="Y674" i="1"/>
  <c r="AC674" i="1"/>
  <c r="W676" i="1"/>
  <c r="AA676" i="1"/>
  <c r="AE676" i="1"/>
  <c r="U678" i="1"/>
  <c r="Y678" i="1"/>
  <c r="AC678" i="1"/>
  <c r="W680" i="1"/>
  <c r="AA680" i="1"/>
  <c r="AE680" i="1"/>
  <c r="U682" i="1"/>
  <c r="Y682" i="1"/>
  <c r="AC682" i="1"/>
  <c r="W684" i="1"/>
  <c r="AA684" i="1"/>
  <c r="AE684" i="1"/>
  <c r="U686" i="1"/>
  <c r="Y686" i="1"/>
  <c r="AC686" i="1"/>
  <c r="T687" i="1"/>
  <c r="X687" i="1"/>
  <c r="AB687" i="1"/>
  <c r="W688" i="1"/>
  <c r="AA688" i="1"/>
  <c r="AE688" i="1"/>
  <c r="U690" i="1"/>
  <c r="Y690" i="1"/>
  <c r="AC690" i="1"/>
  <c r="T691" i="1"/>
  <c r="X691" i="1"/>
  <c r="AB691" i="1"/>
  <c r="W692" i="1"/>
  <c r="AA692" i="1"/>
  <c r="AE692" i="1"/>
  <c r="U694" i="1"/>
  <c r="Y694" i="1"/>
  <c r="AC694" i="1"/>
  <c r="T695" i="1"/>
  <c r="X695" i="1"/>
  <c r="AB695" i="1"/>
  <c r="W696" i="1"/>
  <c r="AA696" i="1"/>
  <c r="AE696" i="1"/>
  <c r="U698" i="1"/>
  <c r="Y698" i="1"/>
  <c r="AC698" i="1"/>
  <c r="T699" i="1"/>
  <c r="X699" i="1"/>
  <c r="AB699" i="1"/>
  <c r="W700" i="1"/>
  <c r="AA700" i="1"/>
  <c r="AE700" i="1"/>
  <c r="U702" i="1"/>
  <c r="Y702" i="1"/>
  <c r="AC702" i="1"/>
  <c r="T703" i="1"/>
  <c r="X703" i="1"/>
  <c r="AB703" i="1"/>
  <c r="W704" i="1"/>
  <c r="AA704" i="1"/>
  <c r="AE704" i="1"/>
  <c r="U706" i="1"/>
  <c r="Y706" i="1"/>
  <c r="AC706" i="1"/>
  <c r="T707" i="1"/>
  <c r="X707" i="1"/>
  <c r="AB707" i="1"/>
  <c r="W708" i="1"/>
  <c r="AA708" i="1"/>
  <c r="AE708" i="1"/>
  <c r="U710" i="1"/>
  <c r="Y710" i="1"/>
  <c r="AC710" i="1"/>
  <c r="T711" i="1"/>
  <c r="X711" i="1"/>
  <c r="AB711" i="1"/>
  <c r="W712" i="1"/>
  <c r="AA712" i="1"/>
  <c r="AE712" i="1"/>
  <c r="U714" i="1"/>
  <c r="Y714" i="1"/>
  <c r="AC714" i="1"/>
  <c r="T715" i="1"/>
  <c r="X715" i="1"/>
  <c r="AB715" i="1"/>
  <c r="W716" i="1"/>
  <c r="AA716" i="1"/>
  <c r="AE716" i="1"/>
  <c r="U718" i="1"/>
  <c r="Y718" i="1"/>
  <c r="AC718" i="1"/>
  <c r="T719" i="1"/>
  <c r="X719" i="1"/>
  <c r="AB719" i="1"/>
  <c r="W720" i="1"/>
  <c r="AA720" i="1"/>
  <c r="AE720" i="1"/>
  <c r="U722" i="1"/>
  <c r="Y722" i="1"/>
  <c r="AC722" i="1"/>
  <c r="T723" i="1"/>
  <c r="X723" i="1"/>
  <c r="AB723" i="1"/>
  <c r="W724" i="1"/>
  <c r="AA724" i="1"/>
  <c r="AE724" i="1"/>
  <c r="U726" i="1"/>
  <c r="Y726" i="1"/>
  <c r="AC726" i="1"/>
  <c r="T727" i="1"/>
  <c r="X727" i="1"/>
  <c r="AB727" i="1"/>
  <c r="W728" i="1"/>
  <c r="AA728" i="1"/>
  <c r="AE728" i="1"/>
  <c r="U730" i="1"/>
  <c r="Y730" i="1"/>
  <c r="AC730" i="1"/>
  <c r="T731" i="1"/>
  <c r="X731" i="1"/>
  <c r="AB731" i="1"/>
  <c r="W732" i="1"/>
  <c r="AA732" i="1"/>
  <c r="AE732" i="1"/>
  <c r="U734" i="1"/>
  <c r="Y734" i="1"/>
  <c r="AC734" i="1"/>
  <c r="T735" i="1"/>
  <c r="X735" i="1"/>
  <c r="AB735" i="1"/>
  <c r="W736" i="1"/>
  <c r="AA736" i="1"/>
  <c r="AE736" i="1"/>
  <c r="U738" i="1"/>
  <c r="Y738" i="1"/>
  <c r="AC738" i="1"/>
  <c r="T739" i="1"/>
  <c r="X739" i="1"/>
  <c r="AB739" i="1"/>
  <c r="W740" i="1"/>
  <c r="AA740" i="1"/>
  <c r="AE740" i="1"/>
  <c r="U742" i="1"/>
  <c r="Y742" i="1"/>
  <c r="AC742" i="1"/>
  <c r="T743" i="1"/>
  <c r="X743" i="1"/>
  <c r="AB743" i="1"/>
  <c r="W744" i="1"/>
  <c r="AA744" i="1"/>
  <c r="AE744" i="1"/>
  <c r="U746" i="1"/>
  <c r="Y746" i="1"/>
  <c r="AC746" i="1"/>
  <c r="T747" i="1"/>
  <c r="X747" i="1"/>
  <c r="AB747" i="1"/>
  <c r="W748" i="1"/>
  <c r="AA748" i="1"/>
  <c r="AE748" i="1"/>
  <c r="U750" i="1"/>
  <c r="Y750" i="1"/>
  <c r="AC750" i="1"/>
  <c r="T751" i="1"/>
  <c r="X751" i="1"/>
  <c r="AB751" i="1"/>
  <c r="W752" i="1"/>
  <c r="AA752" i="1"/>
  <c r="AE752" i="1"/>
  <c r="U754" i="1"/>
  <c r="Y754" i="1"/>
  <c r="AC754" i="1"/>
  <c r="T755" i="1"/>
  <c r="X755" i="1"/>
  <c r="AB755" i="1"/>
  <c r="W756" i="1"/>
  <c r="AA756" i="1"/>
  <c r="AE756" i="1"/>
  <c r="AB761" i="1"/>
  <c r="X761" i="1"/>
  <c r="T761" i="1"/>
  <c r="AD761" i="1"/>
  <c r="Z761" i="1"/>
  <c r="V761" i="1"/>
  <c r="L761" i="1"/>
  <c r="U761" i="1"/>
  <c r="AC761" i="1"/>
  <c r="AB765" i="1"/>
  <c r="X765" i="1"/>
  <c r="T765" i="1"/>
  <c r="AD765" i="1"/>
  <c r="Z765" i="1"/>
  <c r="V765" i="1"/>
  <c r="L765" i="1"/>
  <c r="U765" i="1"/>
  <c r="AC765" i="1"/>
  <c r="AB769" i="1"/>
  <c r="X769" i="1"/>
  <c r="T769" i="1"/>
  <c r="AD769" i="1"/>
  <c r="Z769" i="1"/>
  <c r="V769" i="1"/>
  <c r="L769" i="1"/>
  <c r="U769" i="1"/>
  <c r="AC769" i="1"/>
  <c r="AB773" i="1"/>
  <c r="X773" i="1"/>
  <c r="T773" i="1"/>
  <c r="AD773" i="1"/>
  <c r="Z773" i="1"/>
  <c r="V773" i="1"/>
  <c r="L773" i="1"/>
  <c r="U773" i="1"/>
  <c r="AC773" i="1"/>
  <c r="AB801" i="1"/>
  <c r="X801" i="1"/>
  <c r="T801" i="1"/>
  <c r="AE801" i="1"/>
  <c r="AA801" i="1"/>
  <c r="W801" i="1"/>
  <c r="AD801" i="1"/>
  <c r="Z801" i="1"/>
  <c r="V801" i="1"/>
  <c r="L801" i="1"/>
  <c r="U801" i="1"/>
  <c r="AE816" i="1"/>
  <c r="AA816" i="1"/>
  <c r="W816" i="1"/>
  <c r="AD816" i="1"/>
  <c r="Z816" i="1"/>
  <c r="V816" i="1"/>
  <c r="L816" i="1"/>
  <c r="X816" i="1"/>
  <c r="AC816" i="1"/>
  <c r="U816" i="1"/>
  <c r="AB816" i="1"/>
  <c r="T816" i="1"/>
  <c r="AB848" i="1"/>
  <c r="X848" i="1"/>
  <c r="T848" i="1"/>
  <c r="AE848" i="1"/>
  <c r="AA848" i="1"/>
  <c r="W848" i="1"/>
  <c r="AD848" i="1"/>
  <c r="Z848" i="1"/>
  <c r="V848" i="1"/>
  <c r="L848" i="1"/>
  <c r="AC848" i="1"/>
  <c r="Y848" i="1"/>
  <c r="AB905" i="1"/>
  <c r="X905" i="1"/>
  <c r="T905" i="1"/>
  <c r="AD905" i="1"/>
  <c r="Z905" i="1"/>
  <c r="V905" i="1"/>
  <c r="L905" i="1"/>
  <c r="AA905" i="1"/>
  <c r="Y905" i="1"/>
  <c r="AE905" i="1"/>
  <c r="W905" i="1"/>
  <c r="AC905" i="1"/>
  <c r="U905" i="1"/>
  <c r="U687" i="1"/>
  <c r="Y687" i="1"/>
  <c r="AC687" i="1"/>
  <c r="U691" i="1"/>
  <c r="Y691" i="1"/>
  <c r="AC691" i="1"/>
  <c r="U695" i="1"/>
  <c r="Y695" i="1"/>
  <c r="AC695" i="1"/>
  <c r="U699" i="1"/>
  <c r="Y699" i="1"/>
  <c r="AC699" i="1"/>
  <c r="U703" i="1"/>
  <c r="Y703" i="1"/>
  <c r="AC703" i="1"/>
  <c r="U707" i="1"/>
  <c r="Y707" i="1"/>
  <c r="AC707" i="1"/>
  <c r="U711" i="1"/>
  <c r="Y711" i="1"/>
  <c r="AC711" i="1"/>
  <c r="U715" i="1"/>
  <c r="Y715" i="1"/>
  <c r="AC715" i="1"/>
  <c r="U719" i="1"/>
  <c r="Y719" i="1"/>
  <c r="AC719" i="1"/>
  <c r="U723" i="1"/>
  <c r="Y723" i="1"/>
  <c r="AC723" i="1"/>
  <c r="U727" i="1"/>
  <c r="Y727" i="1"/>
  <c r="AC727" i="1"/>
  <c r="U731" i="1"/>
  <c r="Y731" i="1"/>
  <c r="AC731" i="1"/>
  <c r="U735" i="1"/>
  <c r="Y735" i="1"/>
  <c r="AC735" i="1"/>
  <c r="U739" i="1"/>
  <c r="Y739" i="1"/>
  <c r="AC739" i="1"/>
  <c r="U743" i="1"/>
  <c r="Y743" i="1"/>
  <c r="AC743" i="1"/>
  <c r="U747" i="1"/>
  <c r="Y747" i="1"/>
  <c r="AC747" i="1"/>
  <c r="U751" i="1"/>
  <c r="Y751" i="1"/>
  <c r="AC751" i="1"/>
  <c r="U755" i="1"/>
  <c r="Y755" i="1"/>
  <c r="AC755" i="1"/>
  <c r="AG778" i="1"/>
  <c r="AB781" i="1"/>
  <c r="X781" i="1"/>
  <c r="T781" i="1"/>
  <c r="AE781" i="1"/>
  <c r="AA781" i="1"/>
  <c r="W781" i="1"/>
  <c r="AD781" i="1"/>
  <c r="Z781" i="1"/>
  <c r="V781" i="1"/>
  <c r="L781" i="1"/>
  <c r="U781" i="1"/>
  <c r="AB789" i="1"/>
  <c r="X789" i="1"/>
  <c r="T789" i="1"/>
  <c r="AE789" i="1"/>
  <c r="AA789" i="1"/>
  <c r="W789" i="1"/>
  <c r="AD789" i="1"/>
  <c r="Z789" i="1"/>
  <c r="V789" i="1"/>
  <c r="L789" i="1"/>
  <c r="U789" i="1"/>
  <c r="AB797" i="1"/>
  <c r="X797" i="1"/>
  <c r="T797" i="1"/>
  <c r="AE797" i="1"/>
  <c r="AA797" i="1"/>
  <c r="W797" i="1"/>
  <c r="AD797" i="1"/>
  <c r="Z797" i="1"/>
  <c r="V797" i="1"/>
  <c r="L797" i="1"/>
  <c r="U797" i="1"/>
  <c r="AB809" i="1"/>
  <c r="X809" i="1"/>
  <c r="T809" i="1"/>
  <c r="AE809" i="1"/>
  <c r="AA809" i="1"/>
  <c r="W809" i="1"/>
  <c r="AD809" i="1"/>
  <c r="Z809" i="1"/>
  <c r="V809" i="1"/>
  <c r="L809" i="1"/>
  <c r="U809" i="1"/>
  <c r="AD812" i="1"/>
  <c r="Z812" i="1"/>
  <c r="V812" i="1"/>
  <c r="L812" i="1"/>
  <c r="AE812" i="1"/>
  <c r="Y812" i="1"/>
  <c r="T812" i="1"/>
  <c r="AC812" i="1"/>
  <c r="X812" i="1"/>
  <c r="AB812" i="1"/>
  <c r="W812" i="1"/>
  <c r="AA812" i="1"/>
  <c r="U848" i="1"/>
  <c r="U660" i="1"/>
  <c r="Y660" i="1"/>
  <c r="W662" i="1"/>
  <c r="AA662" i="1"/>
  <c r="U664" i="1"/>
  <c r="Y664" i="1"/>
  <c r="W666" i="1"/>
  <c r="AA666" i="1"/>
  <c r="U668" i="1"/>
  <c r="Y668" i="1"/>
  <c r="W670" i="1"/>
  <c r="AA670" i="1"/>
  <c r="U672" i="1"/>
  <c r="Y672" i="1"/>
  <c r="W674" i="1"/>
  <c r="AA674" i="1"/>
  <c r="U676" i="1"/>
  <c r="Y676" i="1"/>
  <c r="W678" i="1"/>
  <c r="AA678" i="1"/>
  <c r="U680" i="1"/>
  <c r="Y680" i="1"/>
  <c r="W682" i="1"/>
  <c r="AA682" i="1"/>
  <c r="U684" i="1"/>
  <c r="Y684" i="1"/>
  <c r="W686" i="1"/>
  <c r="AA686" i="1"/>
  <c r="L687" i="1"/>
  <c r="V687" i="1"/>
  <c r="Z687" i="1"/>
  <c r="U688" i="1"/>
  <c r="Y688" i="1"/>
  <c r="W690" i="1"/>
  <c r="AA690" i="1"/>
  <c r="L691" i="1"/>
  <c r="V691" i="1"/>
  <c r="Z691" i="1"/>
  <c r="U692" i="1"/>
  <c r="Y692" i="1"/>
  <c r="W694" i="1"/>
  <c r="AA694" i="1"/>
  <c r="L695" i="1"/>
  <c r="V695" i="1"/>
  <c r="Z695" i="1"/>
  <c r="U696" i="1"/>
  <c r="Y696" i="1"/>
  <c r="W698" i="1"/>
  <c r="AA698" i="1"/>
  <c r="L699" i="1"/>
  <c r="V699" i="1"/>
  <c r="Z699" i="1"/>
  <c r="U700" i="1"/>
  <c r="Y700" i="1"/>
  <c r="W702" i="1"/>
  <c r="AA702" i="1"/>
  <c r="L703" i="1"/>
  <c r="V703" i="1"/>
  <c r="Z703" i="1"/>
  <c r="U704" i="1"/>
  <c r="Y704" i="1"/>
  <c r="W706" i="1"/>
  <c r="AA706" i="1"/>
  <c r="L707" i="1"/>
  <c r="V707" i="1"/>
  <c r="Z707" i="1"/>
  <c r="U708" i="1"/>
  <c r="Y708" i="1"/>
  <c r="AG708" i="1"/>
  <c r="W710" i="1"/>
  <c r="AA710" i="1"/>
  <c r="L711" i="1"/>
  <c r="V711" i="1"/>
  <c r="Z711" i="1"/>
  <c r="U712" i="1"/>
  <c r="Y712" i="1"/>
  <c r="W714" i="1"/>
  <c r="AA714" i="1"/>
  <c r="L715" i="1"/>
  <c r="V715" i="1"/>
  <c r="Z715" i="1"/>
  <c r="U716" i="1"/>
  <c r="Y716" i="1"/>
  <c r="W718" i="1"/>
  <c r="AA718" i="1"/>
  <c r="L719" i="1"/>
  <c r="V719" i="1"/>
  <c r="Z719" i="1"/>
  <c r="U720" i="1"/>
  <c r="Y720" i="1"/>
  <c r="W722" i="1"/>
  <c r="AA722" i="1"/>
  <c r="L723" i="1"/>
  <c r="V723" i="1"/>
  <c r="Z723" i="1"/>
  <c r="U724" i="1"/>
  <c r="Y724" i="1"/>
  <c r="W726" i="1"/>
  <c r="AA726" i="1"/>
  <c r="L727" i="1"/>
  <c r="V727" i="1"/>
  <c r="Z727" i="1"/>
  <c r="U728" i="1"/>
  <c r="Y728" i="1"/>
  <c r="W730" i="1"/>
  <c r="AA730" i="1"/>
  <c r="L731" i="1"/>
  <c r="V731" i="1"/>
  <c r="Z731" i="1"/>
  <c r="U732" i="1"/>
  <c r="Y732" i="1"/>
  <c r="W734" i="1"/>
  <c r="AA734" i="1"/>
  <c r="L735" i="1"/>
  <c r="V735" i="1"/>
  <c r="Z735" i="1"/>
  <c r="U736" i="1"/>
  <c r="Y736" i="1"/>
  <c r="W738" i="1"/>
  <c r="AA738" i="1"/>
  <c r="L739" i="1"/>
  <c r="V739" i="1"/>
  <c r="Z739" i="1"/>
  <c r="U740" i="1"/>
  <c r="Y740" i="1"/>
  <c r="W742" i="1"/>
  <c r="AA742" i="1"/>
  <c r="L743" i="1"/>
  <c r="V743" i="1"/>
  <c r="Z743" i="1"/>
  <c r="U744" i="1"/>
  <c r="Y744" i="1"/>
  <c r="W746" i="1"/>
  <c r="AA746" i="1"/>
  <c r="L747" i="1"/>
  <c r="V747" i="1"/>
  <c r="Z747" i="1"/>
  <c r="U748" i="1"/>
  <c r="Y748" i="1"/>
  <c r="W750" i="1"/>
  <c r="AA750" i="1"/>
  <c r="L751" i="1"/>
  <c r="V751" i="1"/>
  <c r="Z751" i="1"/>
  <c r="U752" i="1"/>
  <c r="Y752" i="1"/>
  <c r="W754" i="1"/>
  <c r="AA754" i="1"/>
  <c r="L755" i="1"/>
  <c r="V755" i="1"/>
  <c r="Z755" i="1"/>
  <c r="U756" i="1"/>
  <c r="Y756" i="1"/>
  <c r="AD759" i="1"/>
  <c r="Z759" i="1"/>
  <c r="V759" i="1"/>
  <c r="L759" i="1"/>
  <c r="AB759" i="1"/>
  <c r="X759" i="1"/>
  <c r="T759" i="1"/>
  <c r="U759" i="1"/>
  <c r="AC759" i="1"/>
  <c r="Y761" i="1"/>
  <c r="AD763" i="1"/>
  <c r="Z763" i="1"/>
  <c r="V763" i="1"/>
  <c r="L763" i="1"/>
  <c r="AB763" i="1"/>
  <c r="X763" i="1"/>
  <c r="T763" i="1"/>
  <c r="U763" i="1"/>
  <c r="AC763" i="1"/>
  <c r="Y765" i="1"/>
  <c r="AD767" i="1"/>
  <c r="Z767" i="1"/>
  <c r="V767" i="1"/>
  <c r="L767" i="1"/>
  <c r="AB767" i="1"/>
  <c r="X767" i="1"/>
  <c r="T767" i="1"/>
  <c r="U767" i="1"/>
  <c r="AC767" i="1"/>
  <c r="Y769" i="1"/>
  <c r="AD771" i="1"/>
  <c r="Z771" i="1"/>
  <c r="V771" i="1"/>
  <c r="L771" i="1"/>
  <c r="AB771" i="1"/>
  <c r="X771" i="1"/>
  <c r="T771" i="1"/>
  <c r="U771" i="1"/>
  <c r="AC771" i="1"/>
  <c r="Y773" i="1"/>
  <c r="Y781" i="1"/>
  <c r="Y789" i="1"/>
  <c r="Y797" i="1"/>
  <c r="AB832" i="1"/>
  <c r="X832" i="1"/>
  <c r="T832" i="1"/>
  <c r="AE832" i="1"/>
  <c r="AA832" i="1"/>
  <c r="W832" i="1"/>
  <c r="AD832" i="1"/>
  <c r="Z832" i="1"/>
  <c r="V832" i="1"/>
  <c r="L832" i="1"/>
  <c r="AC832" i="1"/>
  <c r="Y832" i="1"/>
  <c r="AB864" i="1"/>
  <c r="X864" i="1"/>
  <c r="T864" i="1"/>
  <c r="AE864" i="1"/>
  <c r="AA864" i="1"/>
  <c r="W864" i="1"/>
  <c r="AD864" i="1"/>
  <c r="Z864" i="1"/>
  <c r="V864" i="1"/>
  <c r="L864" i="1"/>
  <c r="AC864" i="1"/>
  <c r="Y864" i="1"/>
  <c r="U758" i="1"/>
  <c r="Y758" i="1"/>
  <c r="AC758" i="1"/>
  <c r="W760" i="1"/>
  <c r="AA760" i="1"/>
  <c r="AE760" i="1"/>
  <c r="U762" i="1"/>
  <c r="Y762" i="1"/>
  <c r="AC762" i="1"/>
  <c r="W764" i="1"/>
  <c r="AA764" i="1"/>
  <c r="AE764" i="1"/>
  <c r="U766" i="1"/>
  <c r="Y766" i="1"/>
  <c r="AC766" i="1"/>
  <c r="W768" i="1"/>
  <c r="AA768" i="1"/>
  <c r="AE768" i="1"/>
  <c r="U770" i="1"/>
  <c r="Y770" i="1"/>
  <c r="AC770" i="1"/>
  <c r="W772" i="1"/>
  <c r="AA772" i="1"/>
  <c r="AE772" i="1"/>
  <c r="U774" i="1"/>
  <c r="Y774" i="1"/>
  <c r="AC774" i="1"/>
  <c r="T775" i="1"/>
  <c r="X775" i="1"/>
  <c r="AB775" i="1"/>
  <c r="W776" i="1"/>
  <c r="AA776" i="1"/>
  <c r="AE776" i="1"/>
  <c r="U778" i="1"/>
  <c r="Y778" i="1"/>
  <c r="AC778" i="1"/>
  <c r="T779" i="1"/>
  <c r="X779" i="1"/>
  <c r="AB779" i="1"/>
  <c r="W780" i="1"/>
  <c r="AA780" i="1"/>
  <c r="AE780" i="1"/>
  <c r="U782" i="1"/>
  <c r="Y782" i="1"/>
  <c r="AC782" i="1"/>
  <c r="T783" i="1"/>
  <c r="X783" i="1"/>
  <c r="AB783" i="1"/>
  <c r="W784" i="1"/>
  <c r="AA784" i="1"/>
  <c r="AE784" i="1"/>
  <c r="U786" i="1"/>
  <c r="Y786" i="1"/>
  <c r="AC786" i="1"/>
  <c r="T787" i="1"/>
  <c r="X787" i="1"/>
  <c r="AB787" i="1"/>
  <c r="W788" i="1"/>
  <c r="AA788" i="1"/>
  <c r="AE788" i="1"/>
  <c r="U790" i="1"/>
  <c r="Y790" i="1"/>
  <c r="AC790" i="1"/>
  <c r="T791" i="1"/>
  <c r="X791" i="1"/>
  <c r="AB791" i="1"/>
  <c r="W792" i="1"/>
  <c r="AA792" i="1"/>
  <c r="AE792" i="1"/>
  <c r="U794" i="1"/>
  <c r="Y794" i="1"/>
  <c r="AC794" i="1"/>
  <c r="T795" i="1"/>
  <c r="X795" i="1"/>
  <c r="AB795" i="1"/>
  <c r="W796" i="1"/>
  <c r="AA796" i="1"/>
  <c r="AE796" i="1"/>
  <c r="U798" i="1"/>
  <c r="Y798" i="1"/>
  <c r="AC798" i="1"/>
  <c r="T799" i="1"/>
  <c r="X799" i="1"/>
  <c r="AB799" i="1"/>
  <c r="W800" i="1"/>
  <c r="AA800" i="1"/>
  <c r="AE800" i="1"/>
  <c r="U802" i="1"/>
  <c r="Y802" i="1"/>
  <c r="AC802" i="1"/>
  <c r="T803" i="1"/>
  <c r="X803" i="1"/>
  <c r="AB803" i="1"/>
  <c r="W804" i="1"/>
  <c r="AA804" i="1"/>
  <c r="AE804" i="1"/>
  <c r="U806" i="1"/>
  <c r="Y806" i="1"/>
  <c r="T807" i="1"/>
  <c r="X807" i="1"/>
  <c r="AB807" i="1"/>
  <c r="W808" i="1"/>
  <c r="AA808" i="1"/>
  <c r="AE808" i="1"/>
  <c r="U810" i="1"/>
  <c r="Y810" i="1"/>
  <c r="AD810" i="1"/>
  <c r="AE811" i="1"/>
  <c r="AA811" i="1"/>
  <c r="W811" i="1"/>
  <c r="U811" i="1"/>
  <c r="Z811" i="1"/>
  <c r="L814" i="1"/>
  <c r="Y814" i="1"/>
  <c r="AE815" i="1"/>
  <c r="AA815" i="1"/>
  <c r="W815" i="1"/>
  <c r="U815" i="1"/>
  <c r="Z815" i="1"/>
  <c r="AB836" i="1"/>
  <c r="X836" i="1"/>
  <c r="T836" i="1"/>
  <c r="AE836" i="1"/>
  <c r="AA836" i="1"/>
  <c r="W836" i="1"/>
  <c r="AD836" i="1"/>
  <c r="Z836" i="1"/>
  <c r="V836" i="1"/>
  <c r="L836" i="1"/>
  <c r="U836" i="1"/>
  <c r="AB852" i="1"/>
  <c r="X852" i="1"/>
  <c r="T852" i="1"/>
  <c r="AE852" i="1"/>
  <c r="AA852" i="1"/>
  <c r="W852" i="1"/>
  <c r="AD852" i="1"/>
  <c r="Z852" i="1"/>
  <c r="V852" i="1"/>
  <c r="L852" i="1"/>
  <c r="U852" i="1"/>
  <c r="AB877" i="1"/>
  <c r="X877" i="1"/>
  <c r="T877" i="1"/>
  <c r="AD877" i="1"/>
  <c r="Z877" i="1"/>
  <c r="V877" i="1"/>
  <c r="L877" i="1"/>
  <c r="AA877" i="1"/>
  <c r="Y877" i="1"/>
  <c r="AE877" i="1"/>
  <c r="W877" i="1"/>
  <c r="U775" i="1"/>
  <c r="Y775" i="1"/>
  <c r="AC775" i="1"/>
  <c r="U779" i="1"/>
  <c r="Y779" i="1"/>
  <c r="AC779" i="1"/>
  <c r="U783" i="1"/>
  <c r="Y783" i="1"/>
  <c r="AC783" i="1"/>
  <c r="U787" i="1"/>
  <c r="Y787" i="1"/>
  <c r="AC787" i="1"/>
  <c r="U791" i="1"/>
  <c r="Y791" i="1"/>
  <c r="AC791" i="1"/>
  <c r="U795" i="1"/>
  <c r="Y795" i="1"/>
  <c r="AC795" i="1"/>
  <c r="U799" i="1"/>
  <c r="Y799" i="1"/>
  <c r="AC799" i="1"/>
  <c r="U803" i="1"/>
  <c r="Y803" i="1"/>
  <c r="AC803" i="1"/>
  <c r="U807" i="1"/>
  <c r="Y807" i="1"/>
  <c r="AC807" i="1"/>
  <c r="AB814" i="1"/>
  <c r="X814" i="1"/>
  <c r="T814" i="1"/>
  <c r="U814" i="1"/>
  <c r="Z814" i="1"/>
  <c r="AE814" i="1"/>
  <c r="AB824" i="1"/>
  <c r="X824" i="1"/>
  <c r="T824" i="1"/>
  <c r="AE824" i="1"/>
  <c r="AA824" i="1"/>
  <c r="W824" i="1"/>
  <c r="AD824" i="1"/>
  <c r="Z824" i="1"/>
  <c r="V824" i="1"/>
  <c r="L824" i="1"/>
  <c r="U824" i="1"/>
  <c r="AB840" i="1"/>
  <c r="X840" i="1"/>
  <c r="T840" i="1"/>
  <c r="AE840" i="1"/>
  <c r="AA840" i="1"/>
  <c r="W840" i="1"/>
  <c r="AD840" i="1"/>
  <c r="Z840" i="1"/>
  <c r="V840" i="1"/>
  <c r="L840" i="1"/>
  <c r="U840" i="1"/>
  <c r="AB856" i="1"/>
  <c r="X856" i="1"/>
  <c r="T856" i="1"/>
  <c r="AE856" i="1"/>
  <c r="AA856" i="1"/>
  <c r="W856" i="1"/>
  <c r="AD856" i="1"/>
  <c r="Z856" i="1"/>
  <c r="V856" i="1"/>
  <c r="L856" i="1"/>
  <c r="U856" i="1"/>
  <c r="AB869" i="1"/>
  <c r="X869" i="1"/>
  <c r="AD869" i="1"/>
  <c r="Z869" i="1"/>
  <c r="V869" i="1"/>
  <c r="L869" i="1"/>
  <c r="AA869" i="1"/>
  <c r="T869" i="1"/>
  <c r="Y869" i="1"/>
  <c r="AE869" i="1"/>
  <c r="W869" i="1"/>
  <c r="AC869" i="1"/>
  <c r="AB881" i="1"/>
  <c r="X881" i="1"/>
  <c r="T881" i="1"/>
  <c r="AE881" i="1"/>
  <c r="AA881" i="1"/>
  <c r="W881" i="1"/>
  <c r="AD881" i="1"/>
  <c r="Z881" i="1"/>
  <c r="V881" i="1"/>
  <c r="L881" i="1"/>
  <c r="AC881" i="1"/>
  <c r="Y881" i="1"/>
  <c r="U881" i="1"/>
  <c r="AB901" i="1"/>
  <c r="X901" i="1"/>
  <c r="AD901" i="1"/>
  <c r="Z901" i="1"/>
  <c r="V901" i="1"/>
  <c r="L901" i="1"/>
  <c r="AA901" i="1"/>
  <c r="T901" i="1"/>
  <c r="Y901" i="1"/>
  <c r="AE901" i="1"/>
  <c r="W901" i="1"/>
  <c r="U901" i="1"/>
  <c r="W758" i="1"/>
  <c r="AA758" i="1"/>
  <c r="U760" i="1"/>
  <c r="Y760" i="1"/>
  <c r="W762" i="1"/>
  <c r="AA762" i="1"/>
  <c r="U764" i="1"/>
  <c r="Y764" i="1"/>
  <c r="W766" i="1"/>
  <c r="AA766" i="1"/>
  <c r="U768" i="1"/>
  <c r="Y768" i="1"/>
  <c r="W770" i="1"/>
  <c r="AA770" i="1"/>
  <c r="U772" i="1"/>
  <c r="Y772" i="1"/>
  <c r="W774" i="1"/>
  <c r="AA774" i="1"/>
  <c r="L775" i="1"/>
  <c r="V775" i="1"/>
  <c r="Z775" i="1"/>
  <c r="U776" i="1"/>
  <c r="Y776" i="1"/>
  <c r="W778" i="1"/>
  <c r="AA778" i="1"/>
  <c r="L779" i="1"/>
  <c r="V779" i="1"/>
  <c r="Z779" i="1"/>
  <c r="U780" i="1"/>
  <c r="Y780" i="1"/>
  <c r="W782" i="1"/>
  <c r="AA782" i="1"/>
  <c r="L783" i="1"/>
  <c r="V783" i="1"/>
  <c r="Z783" i="1"/>
  <c r="U784" i="1"/>
  <c r="Y784" i="1"/>
  <c r="W786" i="1"/>
  <c r="AA786" i="1"/>
  <c r="L787" i="1"/>
  <c r="V787" i="1"/>
  <c r="Z787" i="1"/>
  <c r="U788" i="1"/>
  <c r="Y788" i="1"/>
  <c r="W790" i="1"/>
  <c r="AA790" i="1"/>
  <c r="L791" i="1"/>
  <c r="V791" i="1"/>
  <c r="Z791" i="1"/>
  <c r="U792" i="1"/>
  <c r="Y792" i="1"/>
  <c r="W794" i="1"/>
  <c r="AA794" i="1"/>
  <c r="L795" i="1"/>
  <c r="V795" i="1"/>
  <c r="Z795" i="1"/>
  <c r="U796" i="1"/>
  <c r="Y796" i="1"/>
  <c r="W798" i="1"/>
  <c r="AA798" i="1"/>
  <c r="L799" i="1"/>
  <c r="V799" i="1"/>
  <c r="Z799" i="1"/>
  <c r="U800" i="1"/>
  <c r="Y800" i="1"/>
  <c r="W802" i="1"/>
  <c r="AA802" i="1"/>
  <c r="L803" i="1"/>
  <c r="V803" i="1"/>
  <c r="Z803" i="1"/>
  <c r="U804" i="1"/>
  <c r="Y804" i="1"/>
  <c r="L807" i="1"/>
  <c r="V807" i="1"/>
  <c r="Z807" i="1"/>
  <c r="U808" i="1"/>
  <c r="Y808" i="1"/>
  <c r="V814" i="1"/>
  <c r="AA814" i="1"/>
  <c r="AB819" i="1"/>
  <c r="X819" i="1"/>
  <c r="T819" i="1"/>
  <c r="AE819" i="1"/>
  <c r="AA819" i="1"/>
  <c r="W819" i="1"/>
  <c r="U819" i="1"/>
  <c r="AC819" i="1"/>
  <c r="Y824" i="1"/>
  <c r="AB828" i="1"/>
  <c r="X828" i="1"/>
  <c r="T828" i="1"/>
  <c r="AE828" i="1"/>
  <c r="AA828" i="1"/>
  <c r="W828" i="1"/>
  <c r="AD828" i="1"/>
  <c r="Z828" i="1"/>
  <c r="V828" i="1"/>
  <c r="L828" i="1"/>
  <c r="U828" i="1"/>
  <c r="AC836" i="1"/>
  <c r="Y840" i="1"/>
  <c r="AB844" i="1"/>
  <c r="X844" i="1"/>
  <c r="T844" i="1"/>
  <c r="AE844" i="1"/>
  <c r="AA844" i="1"/>
  <c r="W844" i="1"/>
  <c r="AD844" i="1"/>
  <c r="Z844" i="1"/>
  <c r="V844" i="1"/>
  <c r="L844" i="1"/>
  <c r="U844" i="1"/>
  <c r="AC852" i="1"/>
  <c r="Y856" i="1"/>
  <c r="AB860" i="1"/>
  <c r="X860" i="1"/>
  <c r="T860" i="1"/>
  <c r="AE860" i="1"/>
  <c r="AA860" i="1"/>
  <c r="W860" i="1"/>
  <c r="AD860" i="1"/>
  <c r="Z860" i="1"/>
  <c r="V860" i="1"/>
  <c r="L860" i="1"/>
  <c r="U860" i="1"/>
  <c r="U877" i="1"/>
  <c r="AC901" i="1"/>
  <c r="U813" i="1"/>
  <c r="Y813" i="1"/>
  <c r="U817" i="1"/>
  <c r="Y817" i="1"/>
  <c r="T818" i="1"/>
  <c r="X818" i="1"/>
  <c r="AB818" i="1"/>
  <c r="U821" i="1"/>
  <c r="Y821" i="1"/>
  <c r="T822" i="1"/>
  <c r="X822" i="1"/>
  <c r="AB822" i="1"/>
  <c r="W823" i="1"/>
  <c r="AA823" i="1"/>
  <c r="AE823" i="1"/>
  <c r="U825" i="1"/>
  <c r="Y825" i="1"/>
  <c r="T826" i="1"/>
  <c r="X826" i="1"/>
  <c r="AB826" i="1"/>
  <c r="W827" i="1"/>
  <c r="AA827" i="1"/>
  <c r="AE827" i="1"/>
  <c r="U829" i="1"/>
  <c r="Y829" i="1"/>
  <c r="T830" i="1"/>
  <c r="X830" i="1"/>
  <c r="AB830" i="1"/>
  <c r="W831" i="1"/>
  <c r="AA831" i="1"/>
  <c r="AE831" i="1"/>
  <c r="U833" i="1"/>
  <c r="Y833" i="1"/>
  <c r="T834" i="1"/>
  <c r="X834" i="1"/>
  <c r="AB834" i="1"/>
  <c r="W835" i="1"/>
  <c r="AA835" i="1"/>
  <c r="AE835" i="1"/>
  <c r="U837" i="1"/>
  <c r="Y837" i="1"/>
  <c r="T838" i="1"/>
  <c r="X838" i="1"/>
  <c r="AB838" i="1"/>
  <c r="W839" i="1"/>
  <c r="AA839" i="1"/>
  <c r="AE839" i="1"/>
  <c r="U841" i="1"/>
  <c r="Y841" i="1"/>
  <c r="T842" i="1"/>
  <c r="X842" i="1"/>
  <c r="AB842" i="1"/>
  <c r="W843" i="1"/>
  <c r="AA843" i="1"/>
  <c r="AE843" i="1"/>
  <c r="U845" i="1"/>
  <c r="Y845" i="1"/>
  <c r="T846" i="1"/>
  <c r="X846" i="1"/>
  <c r="AB846" i="1"/>
  <c r="W847" i="1"/>
  <c r="AA847" i="1"/>
  <c r="AE847" i="1"/>
  <c r="U849" i="1"/>
  <c r="Y849" i="1"/>
  <c r="T850" i="1"/>
  <c r="X850" i="1"/>
  <c r="AB850" i="1"/>
  <c r="W851" i="1"/>
  <c r="AA851" i="1"/>
  <c r="AE851" i="1"/>
  <c r="U853" i="1"/>
  <c r="Y853" i="1"/>
  <c r="T854" i="1"/>
  <c r="X854" i="1"/>
  <c r="AB854" i="1"/>
  <c r="W855" i="1"/>
  <c r="AA855" i="1"/>
  <c r="AE855" i="1"/>
  <c r="U857" i="1"/>
  <c r="Y857" i="1"/>
  <c r="T858" i="1"/>
  <c r="X858" i="1"/>
  <c r="AB858" i="1"/>
  <c r="W859" i="1"/>
  <c r="AA859" i="1"/>
  <c r="AE859" i="1"/>
  <c r="U861" i="1"/>
  <c r="Y861" i="1"/>
  <c r="T862" i="1"/>
  <c r="X862" i="1"/>
  <c r="AB862" i="1"/>
  <c r="W863" i="1"/>
  <c r="AA863" i="1"/>
  <c r="AE863" i="1"/>
  <c r="U865" i="1"/>
  <c r="Y865" i="1"/>
  <c r="T866" i="1"/>
  <c r="X866" i="1"/>
  <c r="AB866" i="1"/>
  <c r="Y867" i="1"/>
  <c r="AD867" i="1"/>
  <c r="AE868" i="1"/>
  <c r="AA868" i="1"/>
  <c r="W868" i="1"/>
  <c r="U868" i="1"/>
  <c r="Z868" i="1"/>
  <c r="AB889" i="1"/>
  <c r="X889" i="1"/>
  <c r="T889" i="1"/>
  <c r="AE889" i="1"/>
  <c r="AA889" i="1"/>
  <c r="W889" i="1"/>
  <c r="AD889" i="1"/>
  <c r="Z889" i="1"/>
  <c r="V889" i="1"/>
  <c r="L889" i="1"/>
  <c r="U889" i="1"/>
  <c r="AD897" i="1"/>
  <c r="Z897" i="1"/>
  <c r="V897" i="1"/>
  <c r="L897" i="1"/>
  <c r="AE897" i="1"/>
  <c r="Y897" i="1"/>
  <c r="T897" i="1"/>
  <c r="AC897" i="1"/>
  <c r="X897" i="1"/>
  <c r="AB897" i="1"/>
  <c r="W897" i="1"/>
  <c r="AA897" i="1"/>
  <c r="U818" i="1"/>
  <c r="Y818" i="1"/>
  <c r="U822" i="1"/>
  <c r="Y822" i="1"/>
  <c r="T823" i="1"/>
  <c r="X823" i="1"/>
  <c r="AB823" i="1"/>
  <c r="U826" i="1"/>
  <c r="Y826" i="1"/>
  <c r="T827" i="1"/>
  <c r="X827" i="1"/>
  <c r="AB827" i="1"/>
  <c r="U830" i="1"/>
  <c r="Y830" i="1"/>
  <c r="T831" i="1"/>
  <c r="X831" i="1"/>
  <c r="AB831" i="1"/>
  <c r="U834" i="1"/>
  <c r="Y834" i="1"/>
  <c r="T835" i="1"/>
  <c r="X835" i="1"/>
  <c r="AB835" i="1"/>
  <c r="U838" i="1"/>
  <c r="Y838" i="1"/>
  <c r="T839" i="1"/>
  <c r="X839" i="1"/>
  <c r="AB839" i="1"/>
  <c r="U842" i="1"/>
  <c r="Y842" i="1"/>
  <c r="T843" i="1"/>
  <c r="X843" i="1"/>
  <c r="AB843" i="1"/>
  <c r="U846" i="1"/>
  <c r="Y846" i="1"/>
  <c r="T847" i="1"/>
  <c r="X847" i="1"/>
  <c r="AB847" i="1"/>
  <c r="U850" i="1"/>
  <c r="Y850" i="1"/>
  <c r="T851" i="1"/>
  <c r="X851" i="1"/>
  <c r="AB851" i="1"/>
  <c r="U854" i="1"/>
  <c r="Y854" i="1"/>
  <c r="T855" i="1"/>
  <c r="X855" i="1"/>
  <c r="AB855" i="1"/>
  <c r="U858" i="1"/>
  <c r="Y858" i="1"/>
  <c r="T859" i="1"/>
  <c r="X859" i="1"/>
  <c r="AB859" i="1"/>
  <c r="U862" i="1"/>
  <c r="Y862" i="1"/>
  <c r="T863" i="1"/>
  <c r="X863" i="1"/>
  <c r="AB863" i="1"/>
  <c r="U866" i="1"/>
  <c r="Y866" i="1"/>
  <c r="U867" i="1"/>
  <c r="Z867" i="1"/>
  <c r="AD871" i="1"/>
  <c r="Z871" i="1"/>
  <c r="V871" i="1"/>
  <c r="L871" i="1"/>
  <c r="AB871" i="1"/>
  <c r="X871" i="1"/>
  <c r="T871" i="1"/>
  <c r="U871" i="1"/>
  <c r="AC871" i="1"/>
  <c r="AD875" i="1"/>
  <c r="Z875" i="1"/>
  <c r="V875" i="1"/>
  <c r="L875" i="1"/>
  <c r="AB875" i="1"/>
  <c r="X875" i="1"/>
  <c r="T875" i="1"/>
  <c r="U875" i="1"/>
  <c r="AC875" i="1"/>
  <c r="AD879" i="1"/>
  <c r="Z879" i="1"/>
  <c r="V879" i="1"/>
  <c r="L879" i="1"/>
  <c r="AB879" i="1"/>
  <c r="X879" i="1"/>
  <c r="T879" i="1"/>
  <c r="U879" i="1"/>
  <c r="AC879" i="1"/>
  <c r="U823" i="1"/>
  <c r="Y823" i="1"/>
  <c r="U827" i="1"/>
  <c r="Y827" i="1"/>
  <c r="U831" i="1"/>
  <c r="Y831" i="1"/>
  <c r="U835" i="1"/>
  <c r="Y835" i="1"/>
  <c r="U839" i="1"/>
  <c r="Y839" i="1"/>
  <c r="U843" i="1"/>
  <c r="Y843" i="1"/>
  <c r="U847" i="1"/>
  <c r="Y847" i="1"/>
  <c r="U851" i="1"/>
  <c r="Y851" i="1"/>
  <c r="U855" i="1"/>
  <c r="Y855" i="1"/>
  <c r="U859" i="1"/>
  <c r="Y859" i="1"/>
  <c r="U863" i="1"/>
  <c r="Y863" i="1"/>
  <c r="AB867" i="1"/>
  <c r="X867" i="1"/>
  <c r="T867" i="1"/>
  <c r="V867" i="1"/>
  <c r="AA867" i="1"/>
  <c r="AB885" i="1"/>
  <c r="X885" i="1"/>
  <c r="T885" i="1"/>
  <c r="AE885" i="1"/>
  <c r="AA885" i="1"/>
  <c r="W885" i="1"/>
  <c r="AD885" i="1"/>
  <c r="Z885" i="1"/>
  <c r="V885" i="1"/>
  <c r="L885" i="1"/>
  <c r="U885" i="1"/>
  <c r="AB893" i="1"/>
  <c r="X893" i="1"/>
  <c r="T893" i="1"/>
  <c r="AE893" i="1"/>
  <c r="AA893" i="1"/>
  <c r="W893" i="1"/>
  <c r="AD893" i="1"/>
  <c r="Z893" i="1"/>
  <c r="V893" i="1"/>
  <c r="L893" i="1"/>
  <c r="U893" i="1"/>
  <c r="AG900" i="1"/>
  <c r="AB909" i="1"/>
  <c r="X909" i="1"/>
  <c r="T909" i="1"/>
  <c r="AE909" i="1"/>
  <c r="AA909" i="1"/>
  <c r="W909" i="1"/>
  <c r="AD909" i="1"/>
  <c r="Z909" i="1"/>
  <c r="V909" i="1"/>
  <c r="L909" i="1"/>
  <c r="Y909" i="1"/>
  <c r="U909" i="1"/>
  <c r="AB913" i="1"/>
  <c r="X913" i="1"/>
  <c r="T913" i="1"/>
  <c r="AE913" i="1"/>
  <c r="AA913" i="1"/>
  <c r="W913" i="1"/>
  <c r="AD913" i="1"/>
  <c r="Z913" i="1"/>
  <c r="V913" i="1"/>
  <c r="L913" i="1"/>
  <c r="AC913" i="1"/>
  <c r="Y913" i="1"/>
  <c r="U870" i="1"/>
  <c r="Y870" i="1"/>
  <c r="W872" i="1"/>
  <c r="AA872" i="1"/>
  <c r="AE872" i="1"/>
  <c r="U874" i="1"/>
  <c r="Y874" i="1"/>
  <c r="W876" i="1"/>
  <c r="AA876" i="1"/>
  <c r="AE876" i="1"/>
  <c r="U878" i="1"/>
  <c r="Y878" i="1"/>
  <c r="W880" i="1"/>
  <c r="AA880" i="1"/>
  <c r="AE880" i="1"/>
  <c r="U882" i="1"/>
  <c r="Y882" i="1"/>
  <c r="T883" i="1"/>
  <c r="X883" i="1"/>
  <c r="AB883" i="1"/>
  <c r="W884" i="1"/>
  <c r="AA884" i="1"/>
  <c r="AE884" i="1"/>
  <c r="U886" i="1"/>
  <c r="Y886" i="1"/>
  <c r="T887" i="1"/>
  <c r="X887" i="1"/>
  <c r="AB887" i="1"/>
  <c r="W888" i="1"/>
  <c r="AA888" i="1"/>
  <c r="AE888" i="1"/>
  <c r="U890" i="1"/>
  <c r="Y890" i="1"/>
  <c r="T891" i="1"/>
  <c r="X891" i="1"/>
  <c r="AB891" i="1"/>
  <c r="W892" i="1"/>
  <c r="AA892" i="1"/>
  <c r="AE892" i="1"/>
  <c r="U894" i="1"/>
  <c r="Y894" i="1"/>
  <c r="T895" i="1"/>
  <c r="X895" i="1"/>
  <c r="AB895" i="1"/>
  <c r="W896" i="1"/>
  <c r="AA896" i="1"/>
  <c r="AE896" i="1"/>
  <c r="L899" i="1"/>
  <c r="Y899" i="1"/>
  <c r="AE900" i="1"/>
  <c r="AA900" i="1"/>
  <c r="W900" i="1"/>
  <c r="U900" i="1"/>
  <c r="Z900" i="1"/>
  <c r="U883" i="1"/>
  <c r="Y883" i="1"/>
  <c r="AC883" i="1"/>
  <c r="U887" i="1"/>
  <c r="Y887" i="1"/>
  <c r="AC887" i="1"/>
  <c r="U891" i="1"/>
  <c r="Y891" i="1"/>
  <c r="AC891" i="1"/>
  <c r="U895" i="1"/>
  <c r="Y895" i="1"/>
  <c r="AC895" i="1"/>
  <c r="AB899" i="1"/>
  <c r="X899" i="1"/>
  <c r="T899" i="1"/>
  <c r="U899" i="1"/>
  <c r="Z899" i="1"/>
  <c r="AE899" i="1"/>
  <c r="AD903" i="1"/>
  <c r="Z903" i="1"/>
  <c r="V903" i="1"/>
  <c r="L903" i="1"/>
  <c r="AB903" i="1"/>
  <c r="X903" i="1"/>
  <c r="T903" i="1"/>
  <c r="U903" i="1"/>
  <c r="AC903" i="1"/>
  <c r="AD907" i="1"/>
  <c r="Z907" i="1"/>
  <c r="V907" i="1"/>
  <c r="L907" i="1"/>
  <c r="AB907" i="1"/>
  <c r="X907" i="1"/>
  <c r="T907" i="1"/>
  <c r="U907" i="1"/>
  <c r="AC907" i="1"/>
  <c r="AB917" i="1"/>
  <c r="X917" i="1"/>
  <c r="T917" i="1"/>
  <c r="AE917" i="1"/>
  <c r="AA917" i="1"/>
  <c r="W917" i="1"/>
  <c r="AD917" i="1"/>
  <c r="Z917" i="1"/>
  <c r="V917" i="1"/>
  <c r="L917" i="1"/>
  <c r="U917" i="1"/>
  <c r="U872" i="1"/>
  <c r="Y872" i="1"/>
  <c r="U876" i="1"/>
  <c r="Y876" i="1"/>
  <c r="U880" i="1"/>
  <c r="Y880" i="1"/>
  <c r="L883" i="1"/>
  <c r="V883" i="1"/>
  <c r="Z883" i="1"/>
  <c r="U884" i="1"/>
  <c r="Y884" i="1"/>
  <c r="L887" i="1"/>
  <c r="V887" i="1"/>
  <c r="Z887" i="1"/>
  <c r="U888" i="1"/>
  <c r="Y888" i="1"/>
  <c r="L891" i="1"/>
  <c r="V891" i="1"/>
  <c r="Z891" i="1"/>
  <c r="U892" i="1"/>
  <c r="Y892" i="1"/>
  <c r="AG892" i="1"/>
  <c r="L895" i="1"/>
  <c r="V895" i="1"/>
  <c r="Z895" i="1"/>
  <c r="U896" i="1"/>
  <c r="Y896" i="1"/>
  <c r="V899" i="1"/>
  <c r="AA899" i="1"/>
  <c r="W903" i="1"/>
  <c r="AE903" i="1"/>
  <c r="W907" i="1"/>
  <c r="AE907" i="1"/>
  <c r="Y917" i="1"/>
  <c r="U898" i="1"/>
  <c r="Y898" i="1"/>
  <c r="U902" i="1"/>
  <c r="Y902" i="1"/>
  <c r="W904" i="1"/>
  <c r="AA904" i="1"/>
  <c r="AE904" i="1"/>
  <c r="U906" i="1"/>
  <c r="Y906" i="1"/>
  <c r="W908" i="1"/>
  <c r="AA908" i="1"/>
  <c r="AE908" i="1"/>
  <c r="U910" i="1"/>
  <c r="Y910" i="1"/>
  <c r="T911" i="1"/>
  <c r="X911" i="1"/>
  <c r="AB911" i="1"/>
  <c r="W912" i="1"/>
  <c r="AA912" i="1"/>
  <c r="AE912" i="1"/>
  <c r="U914" i="1"/>
  <c r="Y914" i="1"/>
  <c r="T915" i="1"/>
  <c r="X915" i="1"/>
  <c r="AB915" i="1"/>
  <c r="W916" i="1"/>
  <c r="AA916" i="1"/>
  <c r="AE916" i="1"/>
  <c r="U918" i="1"/>
  <c r="Y918" i="1"/>
  <c r="T919" i="1"/>
  <c r="X919" i="1"/>
  <c r="AB919" i="1"/>
  <c r="W920" i="1"/>
  <c r="AA920" i="1"/>
  <c r="AE920" i="1"/>
  <c r="L922" i="1"/>
  <c r="Y922" i="1"/>
  <c r="AE923" i="1"/>
  <c r="AA923" i="1"/>
  <c r="W923" i="1"/>
  <c r="U923" i="1"/>
  <c r="Z923" i="1"/>
  <c r="AB935" i="1"/>
  <c r="X935" i="1"/>
  <c r="T935" i="1"/>
  <c r="AE935" i="1"/>
  <c r="AA935" i="1"/>
  <c r="W935" i="1"/>
  <c r="AD935" i="1"/>
  <c r="Z935" i="1"/>
  <c r="V935" i="1"/>
  <c r="L935" i="1"/>
  <c r="U935" i="1"/>
  <c r="AB943" i="1"/>
  <c r="X943" i="1"/>
  <c r="T943" i="1"/>
  <c r="AE943" i="1"/>
  <c r="AA943" i="1"/>
  <c r="W943" i="1"/>
  <c r="AD943" i="1"/>
  <c r="Z943" i="1"/>
  <c r="V943" i="1"/>
  <c r="L943" i="1"/>
  <c r="U943" i="1"/>
  <c r="U911" i="1"/>
  <c r="Y911" i="1"/>
  <c r="AC911" i="1"/>
  <c r="U915" i="1"/>
  <c r="Y915" i="1"/>
  <c r="AC915" i="1"/>
  <c r="U919" i="1"/>
  <c r="Y919" i="1"/>
  <c r="AC919" i="1"/>
  <c r="AB922" i="1"/>
  <c r="X922" i="1"/>
  <c r="T922" i="1"/>
  <c r="U922" i="1"/>
  <c r="Z922" i="1"/>
  <c r="AE922" i="1"/>
  <c r="AB926" i="1"/>
  <c r="X926" i="1"/>
  <c r="T926" i="1"/>
  <c r="AE926" i="1"/>
  <c r="AA926" i="1"/>
  <c r="W926" i="1"/>
  <c r="U926" i="1"/>
  <c r="AC926" i="1"/>
  <c r="AB930" i="1"/>
  <c r="X930" i="1"/>
  <c r="T930" i="1"/>
  <c r="AE930" i="1"/>
  <c r="AA930" i="1"/>
  <c r="W930" i="1"/>
  <c r="U930" i="1"/>
  <c r="AC930" i="1"/>
  <c r="U904" i="1"/>
  <c r="Y904" i="1"/>
  <c r="U908" i="1"/>
  <c r="Y908" i="1"/>
  <c r="L911" i="1"/>
  <c r="V911" i="1"/>
  <c r="Z911" i="1"/>
  <c r="U912" i="1"/>
  <c r="Y912" i="1"/>
  <c r="L915" i="1"/>
  <c r="V915" i="1"/>
  <c r="Z915" i="1"/>
  <c r="U916" i="1"/>
  <c r="Y916" i="1"/>
  <c r="L919" i="1"/>
  <c r="V919" i="1"/>
  <c r="Z919" i="1"/>
  <c r="U920" i="1"/>
  <c r="Y920" i="1"/>
  <c r="V922" i="1"/>
  <c r="AA922" i="1"/>
  <c r="L926" i="1"/>
  <c r="V926" i="1"/>
  <c r="AD926" i="1"/>
  <c r="AE927" i="1"/>
  <c r="AA927" i="1"/>
  <c r="W927" i="1"/>
  <c r="AD927" i="1"/>
  <c r="Z927" i="1"/>
  <c r="V927" i="1"/>
  <c r="L927" i="1"/>
  <c r="U927" i="1"/>
  <c r="AC927" i="1"/>
  <c r="V930" i="1"/>
  <c r="AD930" i="1"/>
  <c r="AE931" i="1"/>
  <c r="AA931" i="1"/>
  <c r="W931" i="1"/>
  <c r="AD931" i="1"/>
  <c r="Z931" i="1"/>
  <c r="V931" i="1"/>
  <c r="L931" i="1"/>
  <c r="U931" i="1"/>
  <c r="AC931" i="1"/>
  <c r="AB939" i="1"/>
  <c r="X939" i="1"/>
  <c r="T939" i="1"/>
  <c r="AE939" i="1"/>
  <c r="AA939" i="1"/>
  <c r="W939" i="1"/>
  <c r="AD939" i="1"/>
  <c r="Z939" i="1"/>
  <c r="V939" i="1"/>
  <c r="L939" i="1"/>
  <c r="U939" i="1"/>
  <c r="AB947" i="1"/>
  <c r="X947" i="1"/>
  <c r="T947" i="1"/>
  <c r="AE947" i="1"/>
  <c r="AA947" i="1"/>
  <c r="W947" i="1"/>
  <c r="AD947" i="1"/>
  <c r="Z947" i="1"/>
  <c r="V947" i="1"/>
  <c r="L947" i="1"/>
  <c r="U947" i="1"/>
  <c r="U924" i="1"/>
  <c r="Y924" i="1"/>
  <c r="AC924" i="1"/>
  <c r="U928" i="1"/>
  <c r="Y928" i="1"/>
  <c r="AC928" i="1"/>
  <c r="U932" i="1"/>
  <c r="Y932" i="1"/>
  <c r="AC932" i="1"/>
  <c r="W934" i="1"/>
  <c r="AA934" i="1"/>
  <c r="AE934" i="1"/>
  <c r="U936" i="1"/>
  <c r="Y936" i="1"/>
  <c r="AC936" i="1"/>
  <c r="W938" i="1"/>
  <c r="AA938" i="1"/>
  <c r="AE938" i="1"/>
  <c r="U940" i="1"/>
  <c r="Y940" i="1"/>
  <c r="AC940" i="1"/>
  <c r="W942" i="1"/>
  <c r="AA942" i="1"/>
  <c r="AE942" i="1"/>
  <c r="U944" i="1"/>
  <c r="Y944" i="1"/>
  <c r="AC944" i="1"/>
  <c r="W946" i="1"/>
  <c r="AA946" i="1"/>
  <c r="AE946" i="1"/>
  <c r="U948" i="1"/>
  <c r="Y948" i="1"/>
  <c r="AC948" i="1"/>
  <c r="Y951" i="1"/>
  <c r="AB953" i="1"/>
  <c r="X953" i="1"/>
  <c r="T953" i="1"/>
  <c r="AD953" i="1"/>
  <c r="Z953" i="1"/>
  <c r="V953" i="1"/>
  <c r="L953" i="1"/>
  <c r="U953" i="1"/>
  <c r="AC953" i="1"/>
  <c r="Y955" i="1"/>
  <c r="AB957" i="1"/>
  <c r="X957" i="1"/>
  <c r="T957" i="1"/>
  <c r="AE957" i="1"/>
  <c r="AA957" i="1"/>
  <c r="W957" i="1"/>
  <c r="AD957" i="1"/>
  <c r="Z957" i="1"/>
  <c r="V957" i="1"/>
  <c r="L957" i="1"/>
  <c r="U957" i="1"/>
  <c r="U921" i="1"/>
  <c r="Y921" i="1"/>
  <c r="L924" i="1"/>
  <c r="V924" i="1"/>
  <c r="Z924" i="1"/>
  <c r="U925" i="1"/>
  <c r="Y925" i="1"/>
  <c r="L928" i="1"/>
  <c r="V928" i="1"/>
  <c r="Z928" i="1"/>
  <c r="U929" i="1"/>
  <c r="Y929" i="1"/>
  <c r="L932" i="1"/>
  <c r="V932" i="1"/>
  <c r="Z932" i="1"/>
  <c r="U933" i="1"/>
  <c r="Y933" i="1"/>
  <c r="T934" i="1"/>
  <c r="X934" i="1"/>
  <c r="AB934" i="1"/>
  <c r="L936" i="1"/>
  <c r="V936" i="1"/>
  <c r="Z936" i="1"/>
  <c r="U937" i="1"/>
  <c r="Y937" i="1"/>
  <c r="T938" i="1"/>
  <c r="X938" i="1"/>
  <c r="AB938" i="1"/>
  <c r="L940" i="1"/>
  <c r="V940" i="1"/>
  <c r="Z940" i="1"/>
  <c r="U941" i="1"/>
  <c r="Y941" i="1"/>
  <c r="T942" i="1"/>
  <c r="X942" i="1"/>
  <c r="AB942" i="1"/>
  <c r="L944" i="1"/>
  <c r="V944" i="1"/>
  <c r="Z944" i="1"/>
  <c r="U945" i="1"/>
  <c r="Y945" i="1"/>
  <c r="T946" i="1"/>
  <c r="X946" i="1"/>
  <c r="AB946" i="1"/>
  <c r="L948" i="1"/>
  <c r="V948" i="1"/>
  <c r="Z948" i="1"/>
  <c r="U949" i="1"/>
  <c r="Y949" i="1"/>
  <c r="W953" i="1"/>
  <c r="AE953" i="1"/>
  <c r="Y957" i="1"/>
  <c r="U934" i="1"/>
  <c r="Y934" i="1"/>
  <c r="U938" i="1"/>
  <c r="Y938" i="1"/>
  <c r="U942" i="1"/>
  <c r="Y942" i="1"/>
  <c r="U946" i="1"/>
  <c r="Y946" i="1"/>
  <c r="AD951" i="1"/>
  <c r="Z951" i="1"/>
  <c r="V951" i="1"/>
  <c r="L951" i="1"/>
  <c r="AB951" i="1"/>
  <c r="X951" i="1"/>
  <c r="T951" i="1"/>
  <c r="U951" i="1"/>
  <c r="AC951" i="1"/>
  <c r="AD955" i="1"/>
  <c r="Z955" i="1"/>
  <c r="V955" i="1"/>
  <c r="L955" i="1"/>
  <c r="AB955" i="1"/>
  <c r="X955" i="1"/>
  <c r="T955" i="1"/>
  <c r="U955" i="1"/>
  <c r="AC955" i="1"/>
  <c r="AD963" i="1"/>
  <c r="Z963" i="1"/>
  <c r="V963" i="1"/>
  <c r="L963" i="1"/>
  <c r="AE963" i="1"/>
  <c r="Y963" i="1"/>
  <c r="T963" i="1"/>
  <c r="AC963" i="1"/>
  <c r="X963" i="1"/>
  <c r="AB963" i="1"/>
  <c r="W963" i="1"/>
  <c r="AA963" i="1"/>
  <c r="U950" i="1"/>
  <c r="Y950" i="1"/>
  <c r="AC950" i="1"/>
  <c r="W952" i="1"/>
  <c r="AA952" i="1"/>
  <c r="AE952" i="1"/>
  <c r="U954" i="1"/>
  <c r="Y954" i="1"/>
  <c r="AC954" i="1"/>
  <c r="W956" i="1"/>
  <c r="AA956" i="1"/>
  <c r="AE956" i="1"/>
  <c r="U958" i="1"/>
  <c r="Y958" i="1"/>
  <c r="AC958" i="1"/>
  <c r="T959" i="1"/>
  <c r="X959" i="1"/>
  <c r="AB959" i="1"/>
  <c r="W960" i="1"/>
  <c r="AA960" i="1"/>
  <c r="AE960" i="1"/>
  <c r="L961" i="1"/>
  <c r="Y961" i="1"/>
  <c r="AE962" i="1"/>
  <c r="AA962" i="1"/>
  <c r="W962" i="1"/>
  <c r="U962" i="1"/>
  <c r="Z962" i="1"/>
  <c r="L965" i="1"/>
  <c r="Y965" i="1"/>
  <c r="AE966" i="1"/>
  <c r="AA966" i="1"/>
  <c r="W966" i="1"/>
  <c r="U966" i="1"/>
  <c r="Z966" i="1"/>
  <c r="U959" i="1"/>
  <c r="Y959" i="1"/>
  <c r="AC959" i="1"/>
  <c r="AB961" i="1"/>
  <c r="X961" i="1"/>
  <c r="T961" i="1"/>
  <c r="U961" i="1"/>
  <c r="Z961" i="1"/>
  <c r="AE961" i="1"/>
  <c r="AB965" i="1"/>
  <c r="X965" i="1"/>
  <c r="T965" i="1"/>
  <c r="U965" i="1"/>
  <c r="Z965" i="1"/>
  <c r="AE965" i="1"/>
  <c r="AC969" i="1"/>
  <c r="Y969" i="1"/>
  <c r="U969" i="1"/>
  <c r="AB969" i="1"/>
  <c r="X969" i="1"/>
  <c r="T969" i="1"/>
  <c r="AE969" i="1"/>
  <c r="AA969" i="1"/>
  <c r="W969" i="1"/>
  <c r="L969" i="1"/>
  <c r="AD969" i="1"/>
  <c r="AB970" i="1"/>
  <c r="X970" i="1"/>
  <c r="T970" i="1"/>
  <c r="AE970" i="1"/>
  <c r="AA970" i="1"/>
  <c r="W970" i="1"/>
  <c r="AD970" i="1"/>
  <c r="Z970" i="1"/>
  <c r="V970" i="1"/>
  <c r="L970" i="1"/>
  <c r="U970" i="1"/>
  <c r="W950" i="1"/>
  <c r="AA950" i="1"/>
  <c r="U952" i="1"/>
  <c r="Y952" i="1"/>
  <c r="W954" i="1"/>
  <c r="AA954" i="1"/>
  <c r="U956" i="1"/>
  <c r="Y956" i="1"/>
  <c r="W958" i="1"/>
  <c r="AA958" i="1"/>
  <c r="L959" i="1"/>
  <c r="V959" i="1"/>
  <c r="Z959" i="1"/>
  <c r="U960" i="1"/>
  <c r="Y960" i="1"/>
  <c r="V961" i="1"/>
  <c r="AA961" i="1"/>
  <c r="X962" i="1"/>
  <c r="AC962" i="1"/>
  <c r="V965" i="1"/>
  <c r="AA965" i="1"/>
  <c r="X966" i="1"/>
  <c r="AC966" i="1"/>
  <c r="Y970" i="1"/>
  <c r="U967" i="1"/>
  <c r="Y967" i="1"/>
  <c r="AC967" i="1"/>
  <c r="U971" i="1"/>
  <c r="Y971" i="1"/>
  <c r="AC971" i="1"/>
  <c r="W973" i="1"/>
  <c r="AB973" i="1"/>
  <c r="U974" i="1"/>
  <c r="AC974" i="1"/>
  <c r="AB978" i="1"/>
  <c r="X978" i="1"/>
  <c r="T978" i="1"/>
  <c r="AE978" i="1"/>
  <c r="AA978" i="1"/>
  <c r="W978" i="1"/>
  <c r="AD978" i="1"/>
  <c r="Z978" i="1"/>
  <c r="V978" i="1"/>
  <c r="L978" i="1"/>
  <c r="U978" i="1"/>
  <c r="AB986" i="1"/>
  <c r="X986" i="1"/>
  <c r="T986" i="1"/>
  <c r="AE986" i="1"/>
  <c r="AA986" i="1"/>
  <c r="W986" i="1"/>
  <c r="AD986" i="1"/>
  <c r="Z986" i="1"/>
  <c r="V986" i="1"/>
  <c r="L986" i="1"/>
  <c r="U986" i="1"/>
  <c r="U964" i="1"/>
  <c r="Y964" i="1"/>
  <c r="L967" i="1"/>
  <c r="V967" i="1"/>
  <c r="Z967" i="1"/>
  <c r="U968" i="1"/>
  <c r="Y968" i="1"/>
  <c r="L971" i="1"/>
  <c r="V971" i="1"/>
  <c r="Z971" i="1"/>
  <c r="U972" i="1"/>
  <c r="Y972" i="1"/>
  <c r="T973" i="1"/>
  <c r="X973" i="1"/>
  <c r="AB977" i="1"/>
  <c r="X977" i="1"/>
  <c r="T977" i="1"/>
  <c r="AE977" i="1"/>
  <c r="AA977" i="1"/>
  <c r="W977" i="1"/>
  <c r="U977" i="1"/>
  <c r="AC977" i="1"/>
  <c r="Y978" i="1"/>
  <c r="Y986" i="1"/>
  <c r="AE973" i="1"/>
  <c r="AA973" i="1"/>
  <c r="U973" i="1"/>
  <c r="Y973" i="1"/>
  <c r="AD973" i="1"/>
  <c r="AE974" i="1"/>
  <c r="AA974" i="1"/>
  <c r="W974" i="1"/>
  <c r="AD974" i="1"/>
  <c r="Z974" i="1"/>
  <c r="V974" i="1"/>
  <c r="L974" i="1"/>
  <c r="Y974" i="1"/>
  <c r="AC978" i="1"/>
  <c r="AB982" i="1"/>
  <c r="X982" i="1"/>
  <c r="T982" i="1"/>
  <c r="AE982" i="1"/>
  <c r="AA982" i="1"/>
  <c r="W982" i="1"/>
  <c r="AD982" i="1"/>
  <c r="Z982" i="1"/>
  <c r="V982" i="1"/>
  <c r="L982" i="1"/>
  <c r="U982" i="1"/>
  <c r="AC986" i="1"/>
  <c r="U975" i="1"/>
  <c r="Y975" i="1"/>
  <c r="AC975" i="1"/>
  <c r="T976" i="1"/>
  <c r="X976" i="1"/>
  <c r="AB976" i="1"/>
  <c r="U979" i="1"/>
  <c r="Y979" i="1"/>
  <c r="AC979" i="1"/>
  <c r="T980" i="1"/>
  <c r="X980" i="1"/>
  <c r="AB980" i="1"/>
  <c r="W981" i="1"/>
  <c r="AA981" i="1"/>
  <c r="AE981" i="1"/>
  <c r="U983" i="1"/>
  <c r="Y983" i="1"/>
  <c r="AC983" i="1"/>
  <c r="T984" i="1"/>
  <c r="X984" i="1"/>
  <c r="AB984" i="1"/>
  <c r="W985" i="1"/>
  <c r="AA985" i="1"/>
  <c r="AE985" i="1"/>
  <c r="W987" i="1"/>
  <c r="AC987" i="1"/>
  <c r="AD989" i="1"/>
  <c r="Z989" i="1"/>
  <c r="V989" i="1"/>
  <c r="L989" i="1"/>
  <c r="U989" i="1"/>
  <c r="AA989" i="1"/>
  <c r="L991" i="1"/>
  <c r="V991" i="1"/>
  <c r="AD991" i="1"/>
  <c r="L975" i="1"/>
  <c r="V975" i="1"/>
  <c r="Z975" i="1"/>
  <c r="U976" i="1"/>
  <c r="Y976" i="1"/>
  <c r="L979" i="1"/>
  <c r="V979" i="1"/>
  <c r="Z979" i="1"/>
  <c r="U980" i="1"/>
  <c r="Y980" i="1"/>
  <c r="T981" i="1"/>
  <c r="X981" i="1"/>
  <c r="AB981" i="1"/>
  <c r="L983" i="1"/>
  <c r="V983" i="1"/>
  <c r="Z983" i="1"/>
  <c r="U984" i="1"/>
  <c r="Y984" i="1"/>
  <c r="T985" i="1"/>
  <c r="X985" i="1"/>
  <c r="AB985" i="1"/>
  <c r="L987" i="1"/>
  <c r="Y987" i="1"/>
  <c r="AE988" i="1"/>
  <c r="AA988" i="1"/>
  <c r="W988" i="1"/>
  <c r="U988" i="1"/>
  <c r="Z988" i="1"/>
  <c r="W989" i="1"/>
  <c r="AB989" i="1"/>
  <c r="W991" i="1"/>
  <c r="U981" i="1"/>
  <c r="Y981" i="1"/>
  <c r="U985" i="1"/>
  <c r="Y985" i="1"/>
  <c r="AB987" i="1"/>
  <c r="X987" i="1"/>
  <c r="T987" i="1"/>
  <c r="U987" i="1"/>
  <c r="Z987" i="1"/>
  <c r="AE987" i="1"/>
  <c r="V988" i="1"/>
  <c r="AB988" i="1"/>
  <c r="X989" i="1"/>
  <c r="AC989" i="1"/>
  <c r="AC991" i="1"/>
  <c r="Y991" i="1"/>
  <c r="U991" i="1"/>
  <c r="AB991" i="1"/>
  <c r="X991" i="1"/>
  <c r="T991" i="1"/>
  <c r="Z991" i="1"/>
  <c r="AD993" i="1"/>
  <c r="Z993" i="1"/>
  <c r="V993" i="1"/>
  <c r="L993" i="1"/>
  <c r="AB993" i="1"/>
  <c r="X993" i="1"/>
  <c r="T993" i="1"/>
  <c r="U993" i="1"/>
  <c r="AC993" i="1"/>
  <c r="AE997" i="1"/>
  <c r="AA997" i="1"/>
  <c r="Z997" i="1"/>
  <c r="V997" i="1"/>
  <c r="L997" i="1"/>
  <c r="AC997" i="1"/>
  <c r="X997" i="1"/>
  <c r="T997" i="1"/>
  <c r="U997" i="1"/>
  <c r="AD997" i="1"/>
  <c r="U990" i="1"/>
  <c r="Y990" i="1"/>
  <c r="W993" i="1"/>
  <c r="AE993" i="1"/>
  <c r="W997" i="1"/>
  <c r="Y993" i="1"/>
  <c r="AB995" i="1"/>
  <c r="X995" i="1"/>
  <c r="T995" i="1"/>
  <c r="AD995" i="1"/>
  <c r="Z995" i="1"/>
  <c r="V995" i="1"/>
  <c r="L995" i="1"/>
  <c r="U995" i="1"/>
  <c r="AC995" i="1"/>
  <c r="Y997" i="1"/>
  <c r="U992" i="1"/>
  <c r="Y992" i="1"/>
  <c r="AC992" i="1"/>
  <c r="W994" i="1"/>
  <c r="AA994" i="1"/>
  <c r="AE994" i="1"/>
  <c r="U996" i="1"/>
  <c r="Y996" i="1"/>
  <c r="AC996" i="1"/>
  <c r="T998" i="1"/>
  <c r="Y998" i="1"/>
  <c r="AB1001" i="1"/>
  <c r="X1001" i="1"/>
  <c r="T1001" i="1"/>
  <c r="AE1001" i="1"/>
  <c r="AA1001" i="1"/>
  <c r="W1001" i="1"/>
  <c r="U1001" i="1"/>
  <c r="AC1001" i="1"/>
  <c r="T1002" i="1"/>
  <c r="AD998" i="1"/>
  <c r="Z998" i="1"/>
  <c r="V998" i="1"/>
  <c r="L998" i="1"/>
  <c r="U998" i="1"/>
  <c r="AA998" i="1"/>
  <c r="AE1002" i="1"/>
  <c r="AA1002" i="1"/>
  <c r="W1002" i="1"/>
  <c r="AD1002" i="1"/>
  <c r="Z1002" i="1"/>
  <c r="V1002" i="1"/>
  <c r="L1002" i="1"/>
  <c r="U1002" i="1"/>
  <c r="AC1002" i="1"/>
  <c r="W992" i="1"/>
  <c r="AA992" i="1"/>
  <c r="U994" i="1"/>
  <c r="Y994" i="1"/>
  <c r="W996" i="1"/>
  <c r="AA996" i="1"/>
  <c r="W998" i="1"/>
  <c r="AB998" i="1"/>
  <c r="X1002" i="1"/>
  <c r="U999" i="1"/>
  <c r="Y999" i="1"/>
  <c r="T1000" i="1"/>
  <c r="X1000" i="1"/>
  <c r="AB1000" i="1"/>
  <c r="U1003" i="1"/>
  <c r="Y1003" i="1"/>
  <c r="T1004" i="1"/>
  <c r="X1004" i="1"/>
  <c r="AB1004" i="1"/>
  <c r="D1005" i="1"/>
  <c r="W1005" i="1"/>
  <c r="AA1005" i="1"/>
  <c r="AE1005" i="1"/>
  <c r="U1000" i="1"/>
  <c r="Y1000" i="1"/>
  <c r="U1004" i="1"/>
  <c r="Y1004" i="1"/>
  <c r="T1005" i="1"/>
  <c r="X1005" i="1"/>
  <c r="AB1005" i="1"/>
  <c r="F1005" i="1"/>
  <c r="U1005" i="1"/>
  <c r="Y1005" i="1"/>
  <c r="L250" i="1" l="1"/>
  <c r="L251" i="1"/>
  <c r="L249" i="1"/>
  <c r="L248" i="1"/>
  <c r="L247" i="1"/>
  <c r="L245" i="1"/>
  <c r="L244" i="1"/>
  <c r="L243" i="1"/>
  <c r="L242" i="1"/>
  <c r="L241" i="1"/>
  <c r="L240" i="1"/>
  <c r="L239" i="1"/>
  <c r="L238" i="1"/>
  <c r="L231" i="1"/>
  <c r="L236" i="1"/>
  <c r="L237" i="1"/>
  <c r="L234" i="1"/>
  <c r="L235" i="1"/>
  <c r="L232" i="1"/>
  <c r="L233" i="1"/>
  <c r="L230" i="1"/>
  <c r="L176" i="1"/>
  <c r="L216" i="1"/>
  <c r="L141" i="1"/>
  <c r="L229" i="1"/>
  <c r="L228" i="1"/>
  <c r="L227" i="1"/>
  <c r="L226" i="1"/>
  <c r="L225" i="1"/>
  <c r="L169" i="1"/>
  <c r="L204" i="1"/>
  <c r="L209" i="1"/>
  <c r="L199" i="1"/>
  <c r="L132" i="1"/>
  <c r="L139" i="1"/>
  <c r="L168" i="1"/>
  <c r="L160" i="1"/>
  <c r="L187" i="1"/>
  <c r="L215" i="1"/>
  <c r="L211" i="1"/>
  <c r="L172" i="1"/>
  <c r="L195" i="1"/>
  <c r="L220" i="1"/>
  <c r="L180" i="1"/>
  <c r="L156" i="1"/>
  <c r="L192" i="1"/>
  <c r="L183" i="1"/>
  <c r="L208" i="1"/>
  <c r="L212" i="1"/>
  <c r="L224" i="1"/>
  <c r="L196" i="1"/>
  <c r="L163" i="1"/>
  <c r="L164" i="1"/>
  <c r="L171" i="1"/>
  <c r="L179" i="1"/>
  <c r="L191" i="1"/>
  <c r="L219" i="1"/>
  <c r="L184" i="1"/>
  <c r="L155" i="1"/>
  <c r="L175" i="1"/>
  <c r="L213" i="1"/>
  <c r="L221" i="1"/>
  <c r="L210" i="1"/>
  <c r="L206" i="1"/>
  <c r="L217" i="1"/>
  <c r="L185" i="1"/>
  <c r="L214" i="1"/>
  <c r="L222" i="1"/>
  <c r="L218" i="1"/>
  <c r="L159" i="1"/>
  <c r="L197" i="1"/>
  <c r="L201" i="1"/>
  <c r="L198" i="1"/>
  <c r="L193" i="1"/>
  <c r="L194" i="1"/>
  <c r="L147" i="1"/>
  <c r="L170" i="1"/>
  <c r="L162" i="1"/>
  <c r="L188" i="1"/>
  <c r="L190" i="1"/>
  <c r="L189" i="1"/>
  <c r="L182" i="1"/>
  <c r="L186" i="1"/>
  <c r="L178" i="1"/>
  <c r="L173" i="1"/>
  <c r="L177" i="1"/>
  <c r="L181" i="1"/>
  <c r="L174" i="1"/>
  <c r="L167" i="1"/>
  <c r="L151" i="1"/>
  <c r="L166" i="1"/>
  <c r="L165" i="1"/>
  <c r="L158" i="1"/>
  <c r="L161" i="1"/>
  <c r="L157" i="1"/>
  <c r="L154" i="1"/>
  <c r="L143" i="1"/>
  <c r="L144" i="1"/>
  <c r="L148" i="1"/>
  <c r="L150" i="1"/>
  <c r="L149" i="1"/>
  <c r="L146" i="1"/>
  <c r="L145" i="1"/>
  <c r="L140" i="1"/>
  <c r="L142" i="1"/>
  <c r="L131" i="1"/>
  <c r="L130" i="1"/>
  <c r="L127" i="1"/>
  <c r="L133" i="1"/>
  <c r="L134" i="1"/>
  <c r="L126" i="1"/>
  <c r="L124" i="1"/>
  <c r="L125" i="1"/>
  <c r="L121" i="1"/>
  <c r="AH168" i="1"/>
  <c r="L118" i="1"/>
  <c r="AH176" i="1"/>
  <c r="AH160" i="1"/>
  <c r="L114" i="1"/>
  <c r="L113" i="1"/>
  <c r="G13" i="1"/>
  <c r="L90" i="1"/>
  <c r="G90" i="1"/>
  <c r="L100" i="1"/>
  <c r="G100" i="1"/>
  <c r="L92" i="1"/>
  <c r="G92" i="1"/>
  <c r="L22" i="1"/>
  <c r="G22" i="1"/>
  <c r="L106" i="1"/>
  <c r="G106" i="1"/>
  <c r="L30" i="1"/>
  <c r="G30" i="1"/>
  <c r="L26" i="1"/>
  <c r="G26" i="1"/>
  <c r="L10" i="1"/>
  <c r="G10" i="1"/>
  <c r="L102" i="1"/>
  <c r="G102" i="1"/>
  <c r="L112" i="1"/>
  <c r="G112" i="1"/>
  <c r="L93" i="1"/>
  <c r="G93" i="1"/>
  <c r="L98" i="1"/>
  <c r="G98" i="1"/>
  <c r="L94" i="1"/>
  <c r="G94" i="1"/>
  <c r="L27" i="1"/>
  <c r="G27" i="1"/>
  <c r="L21" i="1"/>
  <c r="G21" i="1"/>
  <c r="L29" i="1"/>
  <c r="G29" i="1"/>
  <c r="L105" i="1"/>
  <c r="G105" i="1"/>
  <c r="L96" i="1"/>
  <c r="G96" i="1"/>
  <c r="L20" i="1"/>
  <c r="G20" i="1"/>
  <c r="L101" i="1"/>
  <c r="G101" i="1"/>
  <c r="AJ254" i="1"/>
  <c r="L99" i="1"/>
  <c r="L95" i="1"/>
  <c r="L104" i="1"/>
  <c r="L103" i="1"/>
  <c r="L97" i="1"/>
  <c r="L42" i="1"/>
  <c r="L83" i="1"/>
  <c r="L38" i="1"/>
  <c r="AJ294" i="1"/>
  <c r="AJ306" i="1"/>
  <c r="AJ493" i="1"/>
  <c r="AH932" i="1"/>
  <c r="L64" i="1"/>
  <c r="L28" i="1"/>
  <c r="AH624" i="1"/>
  <c r="AH604" i="1"/>
  <c r="AJ246" i="1"/>
  <c r="L34" i="1"/>
  <c r="AH576" i="1"/>
  <c r="L63" i="1"/>
  <c r="AI766" i="1"/>
  <c r="H774" i="1"/>
  <c r="J774" i="1" s="1"/>
  <c r="AH307" i="1"/>
  <c r="H473" i="1"/>
  <c r="J473" i="1" s="1"/>
  <c r="H461" i="1"/>
  <c r="J461" i="1" s="1"/>
  <c r="H931" i="1"/>
  <c r="J931" i="1" s="1"/>
  <c r="H505" i="1"/>
  <c r="J505" i="1" s="1"/>
  <c r="H489" i="1"/>
  <c r="J489" i="1" s="1"/>
  <c r="H350" i="1"/>
  <c r="J350" i="1" s="1"/>
  <c r="H346" i="1"/>
  <c r="J346" i="1" s="1"/>
  <c r="H342" i="1"/>
  <c r="J342" i="1" s="1"/>
  <c r="H338" i="1"/>
  <c r="J338" i="1" s="1"/>
  <c r="H334" i="1"/>
  <c r="I334" i="1" s="1"/>
  <c r="H330" i="1"/>
  <c r="I330" i="1" s="1"/>
  <c r="H326" i="1"/>
  <c r="J326" i="1" s="1"/>
  <c r="H91" i="1"/>
  <c r="I91" i="1" s="1"/>
  <c r="H783" i="1"/>
  <c r="I783" i="1" s="1"/>
  <c r="H779" i="1"/>
  <c r="J779" i="1" s="1"/>
  <c r="H403" i="1"/>
  <c r="J403" i="1" s="1"/>
  <c r="H83" i="1"/>
  <c r="J83" i="1" s="1"/>
  <c r="H545" i="1"/>
  <c r="I545" i="1" s="1"/>
  <c r="H529" i="1"/>
  <c r="J529" i="1" s="1"/>
  <c r="H609" i="1"/>
  <c r="I609" i="1" s="1"/>
  <c r="H179" i="1"/>
  <c r="I179" i="1" s="1"/>
  <c r="H171" i="1"/>
  <c r="I171" i="1" s="1"/>
  <c r="H167" i="1"/>
  <c r="I167" i="1" s="1"/>
  <c r="H163" i="1"/>
  <c r="J163" i="1" s="1"/>
  <c r="H159" i="1"/>
  <c r="I159" i="1" s="1"/>
  <c r="H123" i="1"/>
  <c r="I123" i="1" s="1"/>
  <c r="H469" i="1"/>
  <c r="J469" i="1" s="1"/>
  <c r="H390" i="1"/>
  <c r="I390" i="1" s="1"/>
  <c r="H374" i="1"/>
  <c r="I374" i="1" s="1"/>
  <c r="H358" i="1"/>
  <c r="J358" i="1" s="1"/>
  <c r="H274" i="1"/>
  <c r="J274" i="1" s="1"/>
  <c r="H258" i="1"/>
  <c r="J258" i="1" s="1"/>
  <c r="H457" i="1"/>
  <c r="J457" i="1" s="1"/>
  <c r="AH172" i="1"/>
  <c r="AH164" i="1"/>
  <c r="H537" i="1"/>
  <c r="J537" i="1" s="1"/>
  <c r="H394" i="1"/>
  <c r="I394" i="1" s="1"/>
  <c r="H378" i="1"/>
  <c r="J378" i="1" s="1"/>
  <c r="H362" i="1"/>
  <c r="J362" i="1" s="1"/>
  <c r="H282" i="1"/>
  <c r="J282" i="1" s="1"/>
  <c r="H266" i="1"/>
  <c r="J266" i="1" s="1"/>
  <c r="H386" i="1"/>
  <c r="J386" i="1" s="1"/>
  <c r="H370" i="1"/>
  <c r="I370" i="1" s="1"/>
  <c r="H354" i="1"/>
  <c r="I354" i="1" s="1"/>
  <c r="H979" i="1"/>
  <c r="J979" i="1" s="1"/>
  <c r="H975" i="1"/>
  <c r="J975" i="1" s="1"/>
  <c r="H702" i="1"/>
  <c r="J702" i="1" s="1"/>
  <c r="H971" i="1"/>
  <c r="J971" i="1" s="1"/>
  <c r="H967" i="1"/>
  <c r="I967" i="1" s="1"/>
  <c r="H695" i="1"/>
  <c r="I695" i="1" s="1"/>
  <c r="H111" i="1"/>
  <c r="J111" i="1" s="1"/>
  <c r="H449" i="1"/>
  <c r="I449" i="1" s="1"/>
  <c r="H59" i="1"/>
  <c r="H116" i="1"/>
  <c r="I116" i="1" s="1"/>
  <c r="H63" i="1"/>
  <c r="H882" i="1"/>
  <c r="I882" i="1" s="1"/>
  <c r="H810" i="1"/>
  <c r="J810" i="1" s="1"/>
  <c r="H271" i="1"/>
  <c r="I271" i="1" s="1"/>
  <c r="H8" i="1"/>
  <c r="J8" i="1" s="1"/>
  <c r="H788" i="1"/>
  <c r="J788" i="1" s="1"/>
  <c r="H513" i="1"/>
  <c r="J513" i="1" s="1"/>
  <c r="H925" i="1"/>
  <c r="J925" i="1" s="1"/>
  <c r="H896" i="1"/>
  <c r="I896" i="1" s="1"/>
  <c r="H770" i="1"/>
  <c r="I770" i="1" s="1"/>
  <c r="H295" i="1"/>
  <c r="I295" i="1" s="1"/>
  <c r="H941" i="1"/>
  <c r="J941" i="1" s="1"/>
  <c r="L8" i="1"/>
  <c r="H175" i="1"/>
  <c r="I175" i="1" s="1"/>
  <c r="H927" i="1"/>
  <c r="J927" i="1" s="1"/>
  <c r="H446" i="1"/>
  <c r="J446" i="1" s="1"/>
  <c r="H322" i="1"/>
  <c r="J322" i="1" s="1"/>
  <c r="H314" i="1"/>
  <c r="I314" i="1" s="1"/>
  <c r="H306" i="1"/>
  <c r="J306" i="1" s="1"/>
  <c r="H298" i="1"/>
  <c r="J298" i="1" s="1"/>
  <c r="H290" i="1"/>
  <c r="J290" i="1" s="1"/>
  <c r="H270" i="1"/>
  <c r="I270" i="1" s="1"/>
  <c r="H438" i="1"/>
  <c r="I438" i="1" s="1"/>
  <c r="H203" i="1"/>
  <c r="J203" i="1" s="1"/>
  <c r="H825" i="1"/>
  <c r="I825" i="1" s="1"/>
  <c r="H24" i="1"/>
  <c r="H860" i="1"/>
  <c r="J860" i="1" s="1"/>
  <c r="H828" i="1"/>
  <c r="I828" i="1" s="1"/>
  <c r="H814" i="1"/>
  <c r="J814" i="1" s="1"/>
  <c r="H824" i="1"/>
  <c r="J824" i="1" s="1"/>
  <c r="H852" i="1"/>
  <c r="I852" i="1" s="1"/>
  <c r="H809" i="1"/>
  <c r="J809" i="1" s="1"/>
  <c r="H605" i="1"/>
  <c r="I605" i="1" s="1"/>
  <c r="H601" i="1"/>
  <c r="I601" i="1" s="1"/>
  <c r="H733" i="1"/>
  <c r="J733" i="1" s="1"/>
  <c r="H693" i="1"/>
  <c r="I693" i="1" s="1"/>
  <c r="H705" i="1"/>
  <c r="I705" i="1" s="1"/>
  <c r="H713" i="1"/>
  <c r="J713" i="1" s="1"/>
  <c r="H651" i="1"/>
  <c r="J651" i="1" s="1"/>
  <c r="H615" i="1"/>
  <c r="J615" i="1" s="1"/>
  <c r="H655" i="1"/>
  <c r="J655" i="1" s="1"/>
  <c r="H619" i="1"/>
  <c r="J619" i="1" s="1"/>
  <c r="H472" i="1"/>
  <c r="I472" i="1" s="1"/>
  <c r="AK63" i="1"/>
  <c r="H970" i="1"/>
  <c r="I970" i="1" s="1"/>
  <c r="H939" i="1"/>
  <c r="J939" i="1" s="1"/>
  <c r="H922" i="1"/>
  <c r="I922" i="1" s="1"/>
  <c r="H893" i="1"/>
  <c r="I893" i="1" s="1"/>
  <c r="H766" i="1"/>
  <c r="I766" i="1" s="1"/>
  <c r="H738" i="1"/>
  <c r="J738" i="1" s="1"/>
  <c r="H250" i="1"/>
  <c r="J250" i="1" s="1"/>
  <c r="H242" i="1"/>
  <c r="I242" i="1" s="1"/>
  <c r="H87" i="1"/>
  <c r="J87" i="1" s="1"/>
  <c r="H67" i="1"/>
  <c r="H398" i="1"/>
  <c r="I398" i="1" s="1"/>
  <c r="H382" i="1"/>
  <c r="J382" i="1" s="1"/>
  <c r="H366" i="1"/>
  <c r="J366" i="1" s="1"/>
  <c r="H985" i="1"/>
  <c r="I985" i="1" s="1"/>
  <c r="H743" i="1"/>
  <c r="J743" i="1" s="1"/>
  <c r="H687" i="1"/>
  <c r="I687" i="1" s="1"/>
  <c r="H477" i="1"/>
  <c r="I477" i="1" s="1"/>
  <c r="H402" i="1"/>
  <c r="J402" i="1" s="1"/>
  <c r="H426" i="1"/>
  <c r="I426" i="1" s="1"/>
  <c r="H223" i="1"/>
  <c r="J223" i="1" s="1"/>
  <c r="H191" i="1"/>
  <c r="I191" i="1" s="1"/>
  <c r="H183" i="1"/>
  <c r="I183" i="1" s="1"/>
  <c r="H294" i="1"/>
  <c r="I294" i="1" s="1"/>
  <c r="H310" i="1"/>
  <c r="J310" i="1" s="1"/>
  <c r="H302" i="1"/>
  <c r="J302" i="1" s="1"/>
  <c r="H318" i="1"/>
  <c r="J318" i="1" s="1"/>
  <c r="H911" i="1"/>
  <c r="J911" i="1" s="1"/>
  <c r="H679" i="1"/>
  <c r="I679" i="1" s="1"/>
  <c r="H286" i="1"/>
  <c r="J286" i="1" s="1"/>
  <c r="H254" i="1"/>
  <c r="J254" i="1" s="1"/>
  <c r="H871" i="1"/>
  <c r="J871" i="1" s="1"/>
  <c r="H759" i="1"/>
  <c r="I759" i="1" s="1"/>
  <c r="H663" i="1"/>
  <c r="I663" i="1" s="1"/>
  <c r="H986" i="1"/>
  <c r="I986" i="1" s="1"/>
  <c r="H957" i="1"/>
  <c r="I957" i="1" s="1"/>
  <c r="H917" i="1"/>
  <c r="I917" i="1" s="1"/>
  <c r="H889" i="1"/>
  <c r="J889" i="1" s="1"/>
  <c r="H844" i="1"/>
  <c r="J844" i="1" s="1"/>
  <c r="H856" i="1"/>
  <c r="I856" i="1" s="1"/>
  <c r="H832" i="1"/>
  <c r="I832" i="1" s="1"/>
  <c r="H789" i="1"/>
  <c r="J789" i="1" s="1"/>
  <c r="H848" i="1"/>
  <c r="J848" i="1" s="1"/>
  <c r="H805" i="1"/>
  <c r="I805" i="1" s="1"/>
  <c r="H777" i="1"/>
  <c r="I777" i="1" s="1"/>
  <c r="H749" i="1"/>
  <c r="I749" i="1" s="1"/>
  <c r="H717" i="1"/>
  <c r="J717" i="1" s="1"/>
  <c r="H785" i="1"/>
  <c r="J785" i="1" s="1"/>
  <c r="H75" i="1"/>
  <c r="H71" i="1"/>
  <c r="H990" i="1"/>
  <c r="J990" i="1" s="1"/>
  <c r="H920" i="1"/>
  <c r="I920" i="1" s="1"/>
  <c r="H807" i="1"/>
  <c r="I807" i="1" s="1"/>
  <c r="H589" i="1"/>
  <c r="I589" i="1" s="1"/>
  <c r="H671" i="1"/>
  <c r="I671" i="1" s="1"/>
  <c r="H753" i="1"/>
  <c r="J753" i="1" s="1"/>
  <c r="H623" i="1"/>
  <c r="J623" i="1" s="1"/>
  <c r="H745" i="1"/>
  <c r="J745" i="1" s="1"/>
  <c r="H635" i="1"/>
  <c r="J635" i="1" s="1"/>
  <c r="H591" i="1"/>
  <c r="J591" i="1" s="1"/>
  <c r="H587" i="1"/>
  <c r="I587" i="1" s="1"/>
  <c r="H579" i="1"/>
  <c r="J579" i="1" s="1"/>
  <c r="H571" i="1"/>
  <c r="I571" i="1" s="1"/>
  <c r="H567" i="1"/>
  <c r="I567" i="1" s="1"/>
  <c r="H555" i="1"/>
  <c r="I555" i="1" s="1"/>
  <c r="H551" i="1"/>
  <c r="I551" i="1" s="1"/>
  <c r="H721" i="1"/>
  <c r="I721" i="1" s="1"/>
  <c r="H497" i="1"/>
  <c r="J497" i="1" s="1"/>
  <c r="H481" i="1"/>
  <c r="J481" i="1" s="1"/>
  <c r="H639" i="1"/>
  <c r="I639" i="1" s="1"/>
  <c r="H520" i="1"/>
  <c r="I520" i="1" s="1"/>
  <c r="H603" i="1"/>
  <c r="J603" i="1" s="1"/>
  <c r="H207" i="1"/>
  <c r="I207" i="1" s="1"/>
  <c r="H219" i="1"/>
  <c r="J219" i="1" s="1"/>
  <c r="H161" i="1"/>
  <c r="I161" i="1" s="1"/>
  <c r="H521" i="1"/>
  <c r="J521" i="1" s="1"/>
  <c r="H952" i="1"/>
  <c r="I952" i="1" s="1"/>
  <c r="H924" i="1"/>
  <c r="J924" i="1" s="1"/>
  <c r="H684" i="1"/>
  <c r="I684" i="1" s="1"/>
  <c r="H465" i="1"/>
  <c r="I465" i="1" s="1"/>
  <c r="H453" i="1"/>
  <c r="J453" i="1" s="1"/>
  <c r="H68" i="1"/>
  <c r="H103" i="1"/>
  <c r="I103" i="1" s="1"/>
  <c r="H107" i="1"/>
  <c r="J107" i="1" s="1"/>
  <c r="H143" i="1"/>
  <c r="I143" i="1" s="1"/>
  <c r="H139" i="1"/>
  <c r="I139" i="1" s="1"/>
  <c r="L25" i="1"/>
  <c r="H890" i="1"/>
  <c r="I890" i="1" s="1"/>
  <c r="H43" i="1"/>
  <c r="J43" i="1" s="1"/>
  <c r="H842" i="1"/>
  <c r="J842" i="1" s="1"/>
  <c r="H475" i="1"/>
  <c r="J475" i="1" s="1"/>
  <c r="H292" i="1"/>
  <c r="I292" i="1" s="1"/>
  <c r="H400" i="1"/>
  <c r="J400" i="1" s="1"/>
  <c r="H236" i="1"/>
  <c r="I236" i="1" s="1"/>
  <c r="H978" i="1"/>
  <c r="J978" i="1" s="1"/>
  <c r="H965" i="1"/>
  <c r="I965" i="1" s="1"/>
  <c r="H947" i="1"/>
  <c r="I947" i="1" s="1"/>
  <c r="H851" i="1"/>
  <c r="J851" i="1" s="1"/>
  <c r="H840" i="1"/>
  <c r="I840" i="1" s="1"/>
  <c r="H864" i="1"/>
  <c r="J864" i="1" s="1"/>
  <c r="H715" i="1"/>
  <c r="I715" i="1" s="1"/>
  <c r="H781" i="1"/>
  <c r="J781" i="1" s="1"/>
  <c r="H741" i="1"/>
  <c r="I741" i="1" s="1"/>
  <c r="H709" i="1"/>
  <c r="I709" i="1" s="1"/>
  <c r="H820" i="1"/>
  <c r="J820" i="1" s="1"/>
  <c r="H675" i="1"/>
  <c r="I675" i="1" s="1"/>
  <c r="H659" i="1"/>
  <c r="J659" i="1" s="1"/>
  <c r="H627" i="1"/>
  <c r="J627" i="1" s="1"/>
  <c r="H793" i="1"/>
  <c r="J793" i="1" s="1"/>
  <c r="H697" i="1"/>
  <c r="J697" i="1" s="1"/>
  <c r="H647" i="1"/>
  <c r="J647" i="1" s="1"/>
  <c r="H577" i="1"/>
  <c r="J577" i="1" s="1"/>
  <c r="H549" i="1"/>
  <c r="I549" i="1" s="1"/>
  <c r="H533" i="1"/>
  <c r="J533" i="1" s="1"/>
  <c r="H517" i="1"/>
  <c r="J517" i="1" s="1"/>
  <c r="H501" i="1"/>
  <c r="J501" i="1" s="1"/>
  <c r="H485" i="1"/>
  <c r="J485" i="1" s="1"/>
  <c r="H442" i="1"/>
  <c r="J442" i="1" s="1"/>
  <c r="H595" i="1"/>
  <c r="J595" i="1" s="1"/>
  <c r="H729" i="1"/>
  <c r="I729" i="1" s="1"/>
  <c r="H414" i="1"/>
  <c r="I414" i="1" s="1"/>
  <c r="H199" i="1"/>
  <c r="J199" i="1" s="1"/>
  <c r="H211" i="1"/>
  <c r="J211" i="1" s="1"/>
  <c r="H119" i="1"/>
  <c r="J119" i="1" s="1"/>
  <c r="H115" i="1"/>
  <c r="J115" i="1" s="1"/>
  <c r="H95" i="1"/>
  <c r="I95" i="1" s="1"/>
  <c r="H55" i="1"/>
  <c r="H1004" i="1"/>
  <c r="I1004" i="1" s="1"/>
  <c r="H837" i="1"/>
  <c r="I837" i="1" s="1"/>
  <c r="H531" i="1"/>
  <c r="J531" i="1" s="1"/>
  <c r="H328" i="1"/>
  <c r="I328" i="1" s="1"/>
  <c r="H280" i="1"/>
  <c r="I280" i="1" s="1"/>
  <c r="H141" i="1"/>
  <c r="I141" i="1" s="1"/>
  <c r="H125" i="1"/>
  <c r="J125" i="1" s="1"/>
  <c r="H121" i="1"/>
  <c r="I121" i="1" s="1"/>
  <c r="H486" i="1"/>
  <c r="I486" i="1" s="1"/>
  <c r="H1002" i="1"/>
  <c r="J1002" i="1" s="1"/>
  <c r="H803" i="1"/>
  <c r="I803" i="1" s="1"/>
  <c r="H278" i="1"/>
  <c r="I278" i="1" s="1"/>
  <c r="H262" i="1"/>
  <c r="I262" i="1" s="1"/>
  <c r="H246" i="1"/>
  <c r="J246" i="1" s="1"/>
  <c r="H99" i="1"/>
  <c r="J99" i="1" s="1"/>
  <c r="H51" i="1"/>
  <c r="J51" i="1" s="1"/>
  <c r="H511" i="1"/>
  <c r="I511" i="1" s="1"/>
  <c r="H197" i="1"/>
  <c r="J197" i="1" s="1"/>
  <c r="H25" i="1"/>
  <c r="J25" i="1" s="1"/>
  <c r="H539" i="1"/>
  <c r="I539" i="1" s="1"/>
  <c r="H284" i="1"/>
  <c r="I284" i="1" s="1"/>
  <c r="H982" i="1"/>
  <c r="I982" i="1" s="1"/>
  <c r="H946" i="1"/>
  <c r="I946" i="1" s="1"/>
  <c r="H943" i="1"/>
  <c r="J943" i="1" s="1"/>
  <c r="H935" i="1"/>
  <c r="I935" i="1" s="1"/>
  <c r="H913" i="1"/>
  <c r="I913" i="1" s="1"/>
  <c r="H885" i="1"/>
  <c r="I885" i="1" s="1"/>
  <c r="H836" i="1"/>
  <c r="J836" i="1" s="1"/>
  <c r="H797" i="1"/>
  <c r="J797" i="1" s="1"/>
  <c r="H801" i="1"/>
  <c r="I801" i="1" s="1"/>
  <c r="H769" i="1"/>
  <c r="J769" i="1" s="1"/>
  <c r="H761" i="1"/>
  <c r="I761" i="1" s="1"/>
  <c r="H757" i="1"/>
  <c r="J757" i="1" s="1"/>
  <c r="H725" i="1"/>
  <c r="I725" i="1" s="1"/>
  <c r="H683" i="1"/>
  <c r="J683" i="1" s="1"/>
  <c r="H667" i="1"/>
  <c r="I667" i="1" s="1"/>
  <c r="H737" i="1"/>
  <c r="J737" i="1" s="1"/>
  <c r="H643" i="1"/>
  <c r="J643" i="1" s="1"/>
  <c r="H607" i="1"/>
  <c r="J607" i="1" s="1"/>
  <c r="H599" i="1"/>
  <c r="I599" i="1" s="1"/>
  <c r="H689" i="1"/>
  <c r="J689" i="1" s="1"/>
  <c r="H631" i="1"/>
  <c r="J631" i="1" s="1"/>
  <c r="H611" i="1"/>
  <c r="J611" i="1" s="1"/>
  <c r="H541" i="1"/>
  <c r="J541" i="1" s="1"/>
  <c r="H525" i="1"/>
  <c r="J525" i="1" s="1"/>
  <c r="H509" i="1"/>
  <c r="I509" i="1" s="1"/>
  <c r="H493" i="1"/>
  <c r="J493" i="1" s="1"/>
  <c r="H418" i="1"/>
  <c r="I418" i="1" s="1"/>
  <c r="H265" i="1"/>
  <c r="I265" i="1" s="1"/>
  <c r="H434" i="1"/>
  <c r="J434" i="1" s="1"/>
  <c r="H430" i="1"/>
  <c r="I430" i="1" s="1"/>
  <c r="H422" i="1"/>
  <c r="J422" i="1" s="1"/>
  <c r="H406" i="1"/>
  <c r="J406" i="1" s="1"/>
  <c r="H215" i="1"/>
  <c r="I215" i="1" s="1"/>
  <c r="H195" i="1"/>
  <c r="J195" i="1" s="1"/>
  <c r="H187" i="1"/>
  <c r="I187" i="1" s="1"/>
  <c r="H155" i="1"/>
  <c r="I155" i="1" s="1"/>
  <c r="H151" i="1"/>
  <c r="I151" i="1" s="1"/>
  <c r="H147" i="1"/>
  <c r="J147" i="1" s="1"/>
  <c r="H135" i="1"/>
  <c r="I135" i="1" s="1"/>
  <c r="H131" i="1"/>
  <c r="I131" i="1" s="1"/>
  <c r="H127" i="1"/>
  <c r="J127" i="1" s="1"/>
  <c r="H79" i="1"/>
  <c r="I79" i="1" s="1"/>
  <c r="H862" i="1"/>
  <c r="I862" i="1" s="1"/>
  <c r="H858" i="1"/>
  <c r="I858" i="1" s="1"/>
  <c r="H332" i="1"/>
  <c r="I332" i="1" s="1"/>
  <c r="H396" i="1"/>
  <c r="J396" i="1" s="1"/>
  <c r="H268" i="1"/>
  <c r="I268" i="1" s="1"/>
  <c r="H252" i="1"/>
  <c r="I252" i="1" s="1"/>
  <c r="H213" i="1"/>
  <c r="I213" i="1" s="1"/>
  <c r="H153" i="1"/>
  <c r="I153" i="1" s="1"/>
  <c r="H109" i="1"/>
  <c r="I109" i="1" s="1"/>
  <c r="H37" i="1"/>
  <c r="H976" i="1"/>
  <c r="J976" i="1" s="1"/>
  <c r="H410" i="1"/>
  <c r="J410" i="1" s="1"/>
  <c r="H723" i="1"/>
  <c r="J723" i="1" s="1"/>
  <c r="H701" i="1"/>
  <c r="J701" i="1" s="1"/>
  <c r="AI896" i="1"/>
  <c r="H891" i="1"/>
  <c r="J891" i="1" s="1"/>
  <c r="L48" i="1"/>
  <c r="H727" i="1"/>
  <c r="J727" i="1" s="1"/>
  <c r="H703" i="1"/>
  <c r="I703" i="1" s="1"/>
  <c r="AI646" i="1"/>
  <c r="H563" i="1"/>
  <c r="J563" i="1" s="1"/>
  <c r="H419" i="1"/>
  <c r="J419" i="1" s="1"/>
  <c r="H371" i="1"/>
  <c r="J371" i="1" s="1"/>
  <c r="H367" i="1"/>
  <c r="J367" i="1" s="1"/>
  <c r="AJ517" i="1"/>
  <c r="H283" i="1"/>
  <c r="I283" i="1" s="1"/>
  <c r="H795" i="1"/>
  <c r="J795" i="1" s="1"/>
  <c r="H787" i="1"/>
  <c r="I787" i="1" s="1"/>
  <c r="H771" i="1"/>
  <c r="I771" i="1" s="1"/>
  <c r="H691" i="1"/>
  <c r="J691" i="1" s="1"/>
  <c r="H466" i="1"/>
  <c r="I466" i="1" s="1"/>
  <c r="H454" i="1"/>
  <c r="I454" i="1" s="1"/>
  <c r="AH485" i="1"/>
  <c r="AH383" i="1"/>
  <c r="AH339" i="1"/>
  <c r="AH319" i="1"/>
  <c r="H96" i="1"/>
  <c r="AI326" i="1"/>
  <c r="H416" i="1"/>
  <c r="I416" i="1" s="1"/>
  <c r="AI950" i="1"/>
  <c r="H887" i="1"/>
  <c r="J887" i="1" s="1"/>
  <c r="H867" i="1"/>
  <c r="J867" i="1" s="1"/>
  <c r="H799" i="1"/>
  <c r="J799" i="1" s="1"/>
  <c r="H735" i="1"/>
  <c r="I735" i="1" s="1"/>
  <c r="H681" i="1"/>
  <c r="J681" i="1" s="1"/>
  <c r="H665" i="1"/>
  <c r="J665" i="1" s="1"/>
  <c r="AJ474" i="1"/>
  <c r="H347" i="1"/>
  <c r="I347" i="1" s="1"/>
  <c r="H343" i="1"/>
  <c r="I343" i="1" s="1"/>
  <c r="H299" i="1"/>
  <c r="I299" i="1" s="1"/>
  <c r="H204" i="1"/>
  <c r="J204" i="1" s="1"/>
  <c r="H200" i="1"/>
  <c r="I200" i="1" s="1"/>
  <c r="H172" i="1"/>
  <c r="J172" i="1" s="1"/>
  <c r="H164" i="1"/>
  <c r="I164" i="1" s="1"/>
  <c r="H156" i="1"/>
  <c r="I156" i="1" s="1"/>
  <c r="H144" i="1"/>
  <c r="I144" i="1" s="1"/>
  <c r="H826" i="1"/>
  <c r="J826" i="1" s="1"/>
  <c r="L31" i="1"/>
  <c r="H932" i="1"/>
  <c r="H47" i="1"/>
  <c r="H928" i="1"/>
  <c r="J928" i="1" s="1"/>
  <c r="H866" i="1"/>
  <c r="I866" i="1" s="1"/>
  <c r="H45" i="1"/>
  <c r="H41" i="1"/>
  <c r="H621" i="1"/>
  <c r="J621" i="1" s="1"/>
  <c r="AK213" i="1"/>
  <c r="H538" i="1"/>
  <c r="I538" i="1" s="1"/>
  <c r="H474" i="1"/>
  <c r="J474" i="1" s="1"/>
  <c r="H364" i="1"/>
  <c r="I364" i="1" s="1"/>
  <c r="H100" i="1"/>
  <c r="H279" i="1"/>
  <c r="J279" i="1" s="1"/>
  <c r="H228" i="1"/>
  <c r="I228" i="1" s="1"/>
  <c r="H225" i="1"/>
  <c r="I225" i="1" s="1"/>
  <c r="H193" i="1"/>
  <c r="I193" i="1" s="1"/>
  <c r="H57" i="1"/>
  <c r="H117" i="1"/>
  <c r="I117" i="1" s="1"/>
  <c r="H959" i="1"/>
  <c r="J959" i="1" s="1"/>
  <c r="H653" i="1"/>
  <c r="J653" i="1" s="1"/>
  <c r="H208" i="1"/>
  <c r="J208" i="1" s="1"/>
  <c r="H184" i="1"/>
  <c r="J184" i="1" s="1"/>
  <c r="AJ906" i="1"/>
  <c r="AH494" i="1"/>
  <c r="AH36" i="1"/>
  <c r="H506" i="1"/>
  <c r="J506" i="1" s="1"/>
  <c r="H983" i="1"/>
  <c r="I983" i="1" s="1"/>
  <c r="AJ968" i="1"/>
  <c r="H108" i="1"/>
  <c r="I108" i="1" s="1"/>
  <c r="AH794" i="1"/>
  <c r="H443" i="1"/>
  <c r="I443" i="1" s="1"/>
  <c r="AJ501" i="1"/>
  <c r="H677" i="1"/>
  <c r="J677" i="1" s="1"/>
  <c r="H661" i="1"/>
  <c r="J661" i="1" s="1"/>
  <c r="H597" i="1"/>
  <c r="J597" i="1" s="1"/>
  <c r="H585" i="1"/>
  <c r="J585" i="1" s="1"/>
  <c r="H335" i="1"/>
  <c r="J335" i="1" s="1"/>
  <c r="H327" i="1"/>
  <c r="I327" i="1" s="1"/>
  <c r="H319" i="1"/>
  <c r="I319" i="1" s="1"/>
  <c r="H315" i="1"/>
  <c r="I315" i="1" s="1"/>
  <c r="H303" i="1"/>
  <c r="I303" i="1" s="1"/>
  <c r="H176" i="1"/>
  <c r="J176" i="1" s="1"/>
  <c r="H168" i="1"/>
  <c r="J168" i="1" s="1"/>
  <c r="AJ24" i="1"/>
  <c r="AJ163" i="1"/>
  <c r="H948" i="1"/>
  <c r="I948" i="1" s="1"/>
  <c r="H915" i="1"/>
  <c r="I915" i="1" s="1"/>
  <c r="AK1003" i="1"/>
  <c r="AJ994" i="1"/>
  <c r="H951" i="1"/>
  <c r="J951" i="1" s="1"/>
  <c r="AH718" i="1"/>
  <c r="H641" i="1"/>
  <c r="I641" i="1" s="1"/>
  <c r="H431" i="1"/>
  <c r="J431" i="1" s="1"/>
  <c r="H220" i="1"/>
  <c r="I220" i="1" s="1"/>
  <c r="H216" i="1"/>
  <c r="I216" i="1" s="1"/>
  <c r="H196" i="1"/>
  <c r="I196" i="1" s="1"/>
  <c r="AH88" i="1"/>
  <c r="AJ12" i="1"/>
  <c r="H628" i="1"/>
  <c r="J628" i="1" s="1"/>
  <c r="H527" i="1"/>
  <c r="H209" i="1"/>
  <c r="J209" i="1" s="1"/>
  <c r="L43" i="1"/>
  <c r="H955" i="1"/>
  <c r="J955" i="1" s="1"/>
  <c r="H875" i="1"/>
  <c r="J875" i="1" s="1"/>
  <c r="H711" i="1"/>
  <c r="J711" i="1" s="1"/>
  <c r="H755" i="1"/>
  <c r="J755" i="1" s="1"/>
  <c r="H553" i="1"/>
  <c r="I553" i="1" s="1"/>
  <c r="H407" i="1"/>
  <c r="J407" i="1" s="1"/>
  <c r="H395" i="1"/>
  <c r="J395" i="1" s="1"/>
  <c r="H391" i="1"/>
  <c r="J391" i="1" s="1"/>
  <c r="H363" i="1"/>
  <c r="I363" i="1" s="1"/>
  <c r="H359" i="1"/>
  <c r="J359" i="1" s="1"/>
  <c r="AH419" i="1"/>
  <c r="AH327" i="1"/>
  <c r="AH311" i="1"/>
  <c r="AH295" i="1"/>
  <c r="AH287" i="1"/>
  <c r="H212" i="1"/>
  <c r="I212" i="1" s="1"/>
  <c r="H140" i="1"/>
  <c r="I140" i="1" s="1"/>
  <c r="H136" i="1"/>
  <c r="H132" i="1"/>
  <c r="I132" i="1" s="1"/>
  <c r="H128" i="1"/>
  <c r="I128" i="1" s="1"/>
  <c r="H124" i="1"/>
  <c r="I124" i="1" s="1"/>
  <c r="H84" i="1"/>
  <c r="AI342" i="1"/>
  <c r="H773" i="1"/>
  <c r="J773" i="1" s="1"/>
  <c r="H625" i="1"/>
  <c r="I625" i="1" s="1"/>
  <c r="H593" i="1"/>
  <c r="J593" i="1" s="1"/>
  <c r="H998" i="1"/>
  <c r="J998" i="1" s="1"/>
  <c r="H995" i="1"/>
  <c r="I995" i="1" s="1"/>
  <c r="H993" i="1"/>
  <c r="J993" i="1" s="1"/>
  <c r="AJ549" i="1"/>
  <c r="AI742" i="1"/>
  <c r="AI694" i="1"/>
  <c r="H645" i="1"/>
  <c r="J645" i="1" s="1"/>
  <c r="H559" i="1"/>
  <c r="I559" i="1" s="1"/>
  <c r="AH427" i="1"/>
  <c r="AI912" i="1"/>
  <c r="H411" i="1"/>
  <c r="J411" i="1" s="1"/>
  <c r="H379" i="1"/>
  <c r="J379" i="1" s="1"/>
  <c r="H375" i="1"/>
  <c r="J375" i="1" s="1"/>
  <c r="AH180" i="1"/>
  <c r="H86" i="1"/>
  <c r="H62" i="1"/>
  <c r="H46" i="1"/>
  <c r="AH35" i="1"/>
  <c r="H48" i="1"/>
  <c r="H36" i="1"/>
  <c r="H507" i="1"/>
  <c r="I507" i="1" s="1"/>
  <c r="H613" i="1"/>
  <c r="J613" i="1" s="1"/>
  <c r="H80" i="1"/>
  <c r="H76" i="1"/>
  <c r="H72" i="1"/>
  <c r="AK330" i="1"/>
  <c r="H178" i="1"/>
  <c r="I178" i="1" s="1"/>
  <c r="H170" i="1"/>
  <c r="J170" i="1" s="1"/>
  <c r="H162" i="1"/>
  <c r="I162" i="1" s="1"/>
  <c r="H122" i="1"/>
  <c r="J122" i="1" s="1"/>
  <c r="L47" i="1"/>
  <c r="H633" i="1"/>
  <c r="I633" i="1" s="1"/>
  <c r="H462" i="1"/>
  <c r="I462" i="1" s="1"/>
  <c r="H458" i="1"/>
  <c r="I458" i="1" s="1"/>
  <c r="H581" i="1"/>
  <c r="J581" i="1" s="1"/>
  <c r="H188" i="1"/>
  <c r="J188" i="1" s="1"/>
  <c r="H78" i="1"/>
  <c r="H910" i="1"/>
  <c r="J910" i="1" s="1"/>
  <c r="H838" i="1"/>
  <c r="J838" i="1" s="1"/>
  <c r="H420" i="1"/>
  <c r="J420" i="1" s="1"/>
  <c r="H380" i="1"/>
  <c r="J380" i="1" s="1"/>
  <c r="H944" i="1"/>
  <c r="I944" i="1" s="1"/>
  <c r="H919" i="1"/>
  <c r="J919" i="1" s="1"/>
  <c r="AI872" i="1"/>
  <c r="AJ894" i="1"/>
  <c r="H763" i="1"/>
  <c r="I763" i="1" s="1"/>
  <c r="H707" i="1"/>
  <c r="J707" i="1" s="1"/>
  <c r="H699" i="1"/>
  <c r="I699" i="1" s="1"/>
  <c r="H685" i="1"/>
  <c r="J685" i="1" s="1"/>
  <c r="H669" i="1"/>
  <c r="I669" i="1" s="1"/>
  <c r="H629" i="1"/>
  <c r="J629" i="1" s="1"/>
  <c r="AK652" i="1"/>
  <c r="H399" i="1"/>
  <c r="J399" i="1" s="1"/>
  <c r="AJ533" i="1"/>
  <c r="H180" i="1"/>
  <c r="I180" i="1" s="1"/>
  <c r="H498" i="1"/>
  <c r="J498" i="1" s="1"/>
  <c r="H251" i="1"/>
  <c r="H181" i="1"/>
  <c r="I181" i="1" s="1"/>
  <c r="H267" i="1"/>
  <c r="J267" i="1" s="1"/>
  <c r="H231" i="1"/>
  <c r="I231" i="1" s="1"/>
  <c r="H185" i="1"/>
  <c r="J185" i="1" s="1"/>
  <c r="H169" i="1"/>
  <c r="I169" i="1" s="1"/>
  <c r="H235" i="1"/>
  <c r="J235" i="1" s="1"/>
  <c r="H173" i="1"/>
  <c r="I173" i="1" s="1"/>
  <c r="H491" i="1"/>
  <c r="I491" i="1" s="1"/>
  <c r="AH898" i="1"/>
  <c r="H883" i="1"/>
  <c r="J883" i="1" s="1"/>
  <c r="AJ857" i="1"/>
  <c r="AI758" i="1"/>
  <c r="H583" i="1"/>
  <c r="I583" i="1" s="1"/>
  <c r="H575" i="1"/>
  <c r="I575" i="1" s="1"/>
  <c r="H339" i="1"/>
  <c r="I339" i="1" s="1"/>
  <c r="H331" i="1"/>
  <c r="I331" i="1" s="1"/>
  <c r="H323" i="1"/>
  <c r="I323" i="1" s="1"/>
  <c r="H311" i="1"/>
  <c r="I311" i="1" s="1"/>
  <c r="H307" i="1"/>
  <c r="I307" i="1" s="1"/>
  <c r="H291" i="1"/>
  <c r="I291" i="1" s="1"/>
  <c r="AH283" i="1"/>
  <c r="H224" i="1"/>
  <c r="J224" i="1" s="1"/>
  <c r="AK181" i="1"/>
  <c r="H88" i="1"/>
  <c r="J88" i="1" s="1"/>
  <c r="AJ278" i="1"/>
  <c r="AJ20" i="1"/>
  <c r="H165" i="1"/>
  <c r="I165" i="1" s="1"/>
  <c r="H53" i="1"/>
  <c r="J53" i="1" s="1"/>
  <c r="H44" i="1"/>
  <c r="H829" i="1"/>
  <c r="H879" i="1"/>
  <c r="I879" i="1" s="1"/>
  <c r="AJ825" i="1"/>
  <c r="H765" i="1"/>
  <c r="I765" i="1" s="1"/>
  <c r="AH656" i="1"/>
  <c r="AI640" i="1"/>
  <c r="AI996" i="1"/>
  <c r="AK964" i="1"/>
  <c r="H936" i="1"/>
  <c r="I936" i="1" s="1"/>
  <c r="H895" i="1"/>
  <c r="J895" i="1" s="1"/>
  <c r="H775" i="1"/>
  <c r="J775" i="1" s="1"/>
  <c r="H719" i="1"/>
  <c r="I719" i="1" s="1"/>
  <c r="H637" i="1"/>
  <c r="I637" i="1" s="1"/>
  <c r="AI612" i="1"/>
  <c r="H569" i="1"/>
  <c r="J569" i="1" s="1"/>
  <c r="H565" i="1"/>
  <c r="J565" i="1" s="1"/>
  <c r="AH435" i="1"/>
  <c r="AK197" i="1"/>
  <c r="H192" i="1"/>
  <c r="J192" i="1" s="1"/>
  <c r="AK165" i="1"/>
  <c r="H120" i="1"/>
  <c r="I120" i="1" s="1"/>
  <c r="H64" i="1"/>
  <c r="H980" i="1"/>
  <c r="I980" i="1" s="1"/>
  <c r="H937" i="1"/>
  <c r="I937" i="1" s="1"/>
  <c r="H648" i="1"/>
  <c r="I648" i="1" s="1"/>
  <c r="H523" i="1"/>
  <c r="J523" i="1" s="1"/>
  <c r="H503" i="1"/>
  <c r="J503" i="1" s="1"/>
  <c r="L53" i="1"/>
  <c r="AI882" i="1"/>
  <c r="AI618" i="1"/>
  <c r="H160" i="1"/>
  <c r="I160" i="1" s="1"/>
  <c r="H60" i="1"/>
  <c r="H961" i="1"/>
  <c r="J961" i="1" s="1"/>
  <c r="AI918" i="1"/>
  <c r="H899" i="1"/>
  <c r="J899" i="1" s="1"/>
  <c r="AH853" i="1"/>
  <c r="AK837" i="1"/>
  <c r="AH821" i="1"/>
  <c r="H791" i="1"/>
  <c r="I791" i="1" s="1"/>
  <c r="H881" i="1"/>
  <c r="I881" i="1" s="1"/>
  <c r="H877" i="1"/>
  <c r="J877" i="1" s="1"/>
  <c r="H905" i="1"/>
  <c r="J905" i="1" s="1"/>
  <c r="H673" i="1"/>
  <c r="J673" i="1" s="1"/>
  <c r="H657" i="1"/>
  <c r="I657" i="1" s="1"/>
  <c r="AI562" i="1"/>
  <c r="H470" i="1"/>
  <c r="J470" i="1" s="1"/>
  <c r="H450" i="1"/>
  <c r="J450" i="1" s="1"/>
  <c r="H439" i="1"/>
  <c r="J439" i="1" s="1"/>
  <c r="H423" i="1"/>
  <c r="J423" i="1" s="1"/>
  <c r="H415" i="1"/>
  <c r="J415" i="1" s="1"/>
  <c r="H387" i="1"/>
  <c r="J387" i="1" s="1"/>
  <c r="H383" i="1"/>
  <c r="J383" i="1" s="1"/>
  <c r="H355" i="1"/>
  <c r="J355" i="1" s="1"/>
  <c r="H351" i="1"/>
  <c r="J351" i="1" s="1"/>
  <c r="AJ541" i="1"/>
  <c r="AI251" i="1"/>
  <c r="H152" i="1"/>
  <c r="I152" i="1" s="1"/>
  <c r="H148" i="1"/>
  <c r="I148" i="1" s="1"/>
  <c r="H112" i="1"/>
  <c r="AH108" i="1"/>
  <c r="AK167" i="1"/>
  <c r="AL111" i="1"/>
  <c r="H110" i="1"/>
  <c r="H412" i="1"/>
  <c r="I412" i="1" s="1"/>
  <c r="H348" i="1"/>
  <c r="H424" i="1"/>
  <c r="I424" i="1" s="1"/>
  <c r="H490" i="1"/>
  <c r="I490" i="1" s="1"/>
  <c r="H388" i="1"/>
  <c r="J388" i="1" s="1"/>
  <c r="H356" i="1"/>
  <c r="J356" i="1" s="1"/>
  <c r="H177" i="1"/>
  <c r="J177" i="1" s="1"/>
  <c r="H248" i="1"/>
  <c r="J248" i="1" s="1"/>
  <c r="H940" i="1"/>
  <c r="J940" i="1" s="1"/>
  <c r="AI931" i="1"/>
  <c r="H930" i="1"/>
  <c r="J930" i="1" s="1"/>
  <c r="AI910" i="1"/>
  <c r="H767" i="1"/>
  <c r="I767" i="1" s="1"/>
  <c r="H751" i="1"/>
  <c r="I751" i="1" s="1"/>
  <c r="H747" i="1"/>
  <c r="I747" i="1" s="1"/>
  <c r="H739" i="1"/>
  <c r="J739" i="1" s="1"/>
  <c r="H731" i="1"/>
  <c r="I731" i="1" s="1"/>
  <c r="AH664" i="1"/>
  <c r="H649" i="1"/>
  <c r="J649" i="1" s="1"/>
  <c r="H617" i="1"/>
  <c r="I617" i="1" s="1"/>
  <c r="AI546" i="1"/>
  <c r="AI482" i="1"/>
  <c r="H287" i="1"/>
  <c r="I287" i="1" s="1"/>
  <c r="H237" i="1"/>
  <c r="J237" i="1" s="1"/>
  <c r="AK173" i="1"/>
  <c r="H11" i="1"/>
  <c r="H644" i="1"/>
  <c r="J644" i="1" s="1"/>
  <c r="H275" i="1"/>
  <c r="I275" i="1" s="1"/>
  <c r="H243" i="1"/>
  <c r="I243" i="1" s="1"/>
  <c r="H137" i="1"/>
  <c r="J137" i="1" s="1"/>
  <c r="H52" i="1"/>
  <c r="H89" i="1"/>
  <c r="AH44" i="1"/>
  <c r="H66" i="1"/>
  <c r="H58" i="1"/>
  <c r="H436" i="1"/>
  <c r="H495" i="1"/>
  <c r="H239" i="1"/>
  <c r="I239" i="1" s="1"/>
  <c r="H113" i="1"/>
  <c r="H93" i="1"/>
  <c r="H499" i="1"/>
  <c r="H61" i="1"/>
  <c r="H349" i="1"/>
  <c r="J349" i="1" s="1"/>
  <c r="H337" i="1"/>
  <c r="J337" i="1" s="1"/>
  <c r="H317" i="1"/>
  <c r="J317" i="1" s="1"/>
  <c r="H293" i="1"/>
  <c r="J293" i="1" s="1"/>
  <c r="H897" i="1"/>
  <c r="I897" i="1" s="1"/>
  <c r="H573" i="1"/>
  <c r="I573" i="1" s="1"/>
  <c r="H229" i="1"/>
  <c r="J229" i="1" s="1"/>
  <c r="H516" i="1"/>
  <c r="J516" i="1" s="1"/>
  <c r="H321" i="1"/>
  <c r="J321" i="1" s="1"/>
  <c r="H289" i="1"/>
  <c r="J289" i="1" s="1"/>
  <c r="H82" i="1"/>
  <c r="H54" i="1"/>
  <c r="H106" i="1"/>
  <c r="H968" i="1"/>
  <c r="I968" i="1" s="1"/>
  <c r="H949" i="1"/>
  <c r="I949" i="1" s="1"/>
  <c r="H861" i="1"/>
  <c r="I861" i="1" s="1"/>
  <c r="H914" i="1"/>
  <c r="J914" i="1" s="1"/>
  <c r="H846" i="1"/>
  <c r="I846" i="1" s="1"/>
  <c r="H821" i="1"/>
  <c r="J821" i="1" s="1"/>
  <c r="H806" i="1"/>
  <c r="I806" i="1" s="1"/>
  <c r="H850" i="1"/>
  <c r="J850" i="1" s="1"/>
  <c r="H368" i="1"/>
  <c r="J368" i="1" s="1"/>
  <c r="H510" i="1"/>
  <c r="I510" i="1" s="1"/>
  <c r="H221" i="1"/>
  <c r="I221" i="1" s="1"/>
  <c r="H189" i="1"/>
  <c r="I189" i="1" s="1"/>
  <c r="H49" i="1"/>
  <c r="H340" i="1"/>
  <c r="H345" i="1"/>
  <c r="J345" i="1" s="1"/>
  <c r="H329" i="1"/>
  <c r="J329" i="1" s="1"/>
  <c r="H301" i="1"/>
  <c r="J301" i="1" s="1"/>
  <c r="H269" i="1"/>
  <c r="J269" i="1" s="1"/>
  <c r="H997" i="1"/>
  <c r="J997" i="1" s="1"/>
  <c r="H991" i="1"/>
  <c r="I991" i="1" s="1"/>
  <c r="H557" i="1"/>
  <c r="J557" i="1" s="1"/>
  <c r="H508" i="1"/>
  <c r="J508" i="1" s="1"/>
  <c r="H906" i="1"/>
  <c r="J906" i="1" s="1"/>
  <c r="H834" i="1"/>
  <c r="J834" i="1" s="1"/>
  <c r="H849" i="1"/>
  <c r="J849" i="1" s="1"/>
  <c r="H652" i="1"/>
  <c r="I652" i="1" s="1"/>
  <c r="H640" i="1"/>
  <c r="J640" i="1" s="1"/>
  <c r="H440" i="1"/>
  <c r="J440" i="1" s="1"/>
  <c r="H372" i="1"/>
  <c r="J372" i="1" s="1"/>
  <c r="H227" i="1"/>
  <c r="I227" i="1" s="1"/>
  <c r="H65" i="1"/>
  <c r="H853" i="1"/>
  <c r="I853" i="1" s="1"/>
  <c r="H404" i="1"/>
  <c r="I404" i="1" s="1"/>
  <c r="H296" i="1"/>
  <c r="I296" i="1" s="1"/>
  <c r="H255" i="1"/>
  <c r="I255" i="1" s="1"/>
  <c r="H907" i="1"/>
  <c r="J907" i="1" s="1"/>
  <c r="H546" i="1"/>
  <c r="I546" i="1" s="1"/>
  <c r="H101" i="1"/>
  <c r="H459" i="1"/>
  <c r="I459" i="1" s="1"/>
  <c r="H312" i="1"/>
  <c r="H492" i="1"/>
  <c r="J492" i="1" s="1"/>
  <c r="H297" i="1"/>
  <c r="J297" i="1" s="1"/>
  <c r="H245" i="1"/>
  <c r="J245" i="1" s="1"/>
  <c r="H341" i="1"/>
  <c r="J341" i="1" s="1"/>
  <c r="H333" i="1"/>
  <c r="J333" i="1" s="1"/>
  <c r="H325" i="1"/>
  <c r="J325" i="1" s="1"/>
  <c r="H309" i="1"/>
  <c r="J309" i="1" s="1"/>
  <c r="H285" i="1"/>
  <c r="J285" i="1" s="1"/>
  <c r="H253" i="1"/>
  <c r="J253" i="1" s="1"/>
  <c r="H13" i="1"/>
  <c r="H929" i="1"/>
  <c r="I929" i="1" s="1"/>
  <c r="H272" i="1"/>
  <c r="J272" i="1" s="1"/>
  <c r="H238" i="1"/>
  <c r="J238" i="1" s="1"/>
  <c r="H973" i="1"/>
  <c r="I973" i="1" s="1"/>
  <c r="H958" i="1"/>
  <c r="J958" i="1" s="1"/>
  <c r="H954" i="1"/>
  <c r="I954" i="1" s="1"/>
  <c r="H876" i="1"/>
  <c r="J876" i="1" s="1"/>
  <c r="H950" i="1"/>
  <c r="J950" i="1" s="1"/>
  <c r="H892" i="1"/>
  <c r="J892" i="1" s="1"/>
  <c r="H843" i="1"/>
  <c r="I843" i="1" s="1"/>
  <c r="H847" i="1"/>
  <c r="I847" i="1" s="1"/>
  <c r="H819" i="1"/>
  <c r="J819" i="1" s="1"/>
  <c r="H758" i="1"/>
  <c r="J758" i="1" s="1"/>
  <c r="H728" i="1"/>
  <c r="H726" i="1"/>
  <c r="I726" i="1" s="1"/>
  <c r="H706" i="1"/>
  <c r="J706" i="1" s="1"/>
  <c r="H670" i="1"/>
  <c r="I670" i="1" s="1"/>
  <c r="H664" i="1"/>
  <c r="I664" i="1" s="1"/>
  <c r="H650" i="1"/>
  <c r="J650" i="1" s="1"/>
  <c r="H708" i="1"/>
  <c r="J708" i="1" s="1"/>
  <c r="H692" i="1"/>
  <c r="J692" i="1" s="1"/>
  <c r="H580" i="1"/>
  <c r="H560" i="1"/>
  <c r="J560" i="1" s="1"/>
  <c r="H552" i="1"/>
  <c r="I552" i="1" s="1"/>
  <c r="H634" i="1"/>
  <c r="H590" i="1"/>
  <c r="I590" i="1" s="1"/>
  <c r="H588" i="1"/>
  <c r="I588" i="1" s="1"/>
  <c r="H582" i="1"/>
  <c r="J582" i="1" s="1"/>
  <c r="H574" i="1"/>
  <c r="J574" i="1" s="1"/>
  <c r="H642" i="1"/>
  <c r="J642" i="1" s="1"/>
  <c r="H620" i="1"/>
  <c r="J620" i="1" s="1"/>
  <c r="H568" i="1"/>
  <c r="I568" i="1" s="1"/>
  <c r="H526" i="1"/>
  <c r="J526" i="1" s="1"/>
  <c r="H630" i="1"/>
  <c r="J630" i="1" s="1"/>
  <c r="H456" i="1"/>
  <c r="I456" i="1" s="1"/>
  <c r="H433" i="1"/>
  <c r="H429" i="1"/>
  <c r="H73" i="1"/>
  <c r="H816" i="1"/>
  <c r="J816" i="1" s="1"/>
  <c r="H561" i="1"/>
  <c r="J561" i="1" s="1"/>
  <c r="H234" i="1"/>
  <c r="I234" i="1" s="1"/>
  <c r="H27" i="1"/>
  <c r="H992" i="1"/>
  <c r="J992" i="1" s="1"/>
  <c r="H981" i="1"/>
  <c r="I981" i="1" s="1"/>
  <c r="H987" i="1"/>
  <c r="I987" i="1" s="1"/>
  <c r="H960" i="1"/>
  <c r="H1001" i="1"/>
  <c r="H938" i="1"/>
  <c r="H934" i="1"/>
  <c r="H966" i="1"/>
  <c r="I966" i="1" s="1"/>
  <c r="H916" i="1"/>
  <c r="H912" i="1"/>
  <c r="I912" i="1" s="1"/>
  <c r="H902" i="1"/>
  <c r="I902" i="1" s="1"/>
  <c r="H859" i="1"/>
  <c r="H863" i="1"/>
  <c r="I863" i="1" s="1"/>
  <c r="H956" i="1"/>
  <c r="J956" i="1" s="1"/>
  <c r="H898" i="1"/>
  <c r="I898" i="1" s="1"/>
  <c r="H811" i="1"/>
  <c r="I811" i="1" s="1"/>
  <c r="H798" i="1"/>
  <c r="J798" i="1" s="1"/>
  <c r="H823" i="1"/>
  <c r="H802" i="1"/>
  <c r="J802" i="1" s="1"/>
  <c r="H764" i="1"/>
  <c r="J764" i="1" s="1"/>
  <c r="H762" i="1"/>
  <c r="I762" i="1" s="1"/>
  <c r="H760" i="1"/>
  <c r="J760" i="1" s="1"/>
  <c r="H792" i="1"/>
  <c r="J792" i="1" s="1"/>
  <c r="H772" i="1"/>
  <c r="J772" i="1" s="1"/>
  <c r="H800" i="1"/>
  <c r="J800" i="1" s="1"/>
  <c r="H716" i="1"/>
  <c r="J716" i="1" s="1"/>
  <c r="H666" i="1"/>
  <c r="J666" i="1" s="1"/>
  <c r="H676" i="1"/>
  <c r="I676" i="1" s="1"/>
  <c r="H660" i="1"/>
  <c r="I660" i="1" s="1"/>
  <c r="H696" i="1"/>
  <c r="J696" i="1" s="1"/>
  <c r="H686" i="1"/>
  <c r="J686" i="1" s="1"/>
  <c r="H586" i="1"/>
  <c r="J586" i="1" s="1"/>
  <c r="H610" i="1"/>
  <c r="I610" i="1" s="1"/>
  <c r="H594" i="1"/>
  <c r="J594" i="1" s="1"/>
  <c r="H592" i="1"/>
  <c r="J592" i="1" s="1"/>
  <c r="H562" i="1"/>
  <c r="J562" i="1" s="1"/>
  <c r="H273" i="1"/>
  <c r="I273" i="1" s="1"/>
  <c r="H241" i="1"/>
  <c r="I241" i="1" s="1"/>
  <c r="H146" i="1"/>
  <c r="J146" i="1" s="1"/>
  <c r="H114" i="1"/>
  <c r="H26" i="1"/>
  <c r="H17" i="1"/>
  <c r="H926" i="1"/>
  <c r="J926" i="1" s="1"/>
  <c r="H988" i="1"/>
  <c r="J988" i="1" s="1"/>
  <c r="H989" i="1"/>
  <c r="I989" i="1" s="1"/>
  <c r="H974" i="1"/>
  <c r="J974" i="1" s="1"/>
  <c r="H963" i="1"/>
  <c r="I963" i="1" s="1"/>
  <c r="H903" i="1"/>
  <c r="I903" i="1" s="1"/>
  <c r="H909" i="1"/>
  <c r="J909" i="1" s="1"/>
  <c r="H901" i="1"/>
  <c r="J901" i="1" s="1"/>
  <c r="H869" i="1"/>
  <c r="I869" i="1" s="1"/>
  <c r="H812" i="1"/>
  <c r="J812" i="1" s="1"/>
  <c r="H873" i="1"/>
  <c r="I873" i="1" s="1"/>
  <c r="H540" i="1"/>
  <c r="J540" i="1" s="1"/>
  <c r="H524" i="1"/>
  <c r="J524" i="1" s="1"/>
  <c r="H500" i="1"/>
  <c r="J500" i="1" s="1"/>
  <c r="H484" i="1"/>
  <c r="J484" i="1" s="1"/>
  <c r="H476" i="1"/>
  <c r="J476" i="1" s="1"/>
  <c r="H233" i="1"/>
  <c r="J233" i="1" s="1"/>
  <c r="H532" i="1"/>
  <c r="J532" i="1" s="1"/>
  <c r="H313" i="1"/>
  <c r="J313" i="1" s="1"/>
  <c r="H277" i="1"/>
  <c r="J277" i="1" s="1"/>
  <c r="H230" i="1"/>
  <c r="J230" i="1" s="1"/>
  <c r="H182" i="1"/>
  <c r="J182" i="1" s="1"/>
  <c r="H174" i="1"/>
  <c r="I174" i="1" s="1"/>
  <c r="H166" i="1"/>
  <c r="J166" i="1" s="1"/>
  <c r="H158" i="1"/>
  <c r="J158" i="1" s="1"/>
  <c r="H19" i="1"/>
  <c r="H50" i="1"/>
  <c r="H9" i="1"/>
  <c r="J9" i="1" s="1"/>
  <c r="H102" i="1"/>
  <c r="H994" i="1"/>
  <c r="J994" i="1" s="1"/>
  <c r="H1005" i="1"/>
  <c r="I1005" i="1" s="1"/>
  <c r="H972" i="1"/>
  <c r="I972" i="1" s="1"/>
  <c r="H1000" i="1"/>
  <c r="I1000" i="1" s="1"/>
  <c r="H1003" i="1"/>
  <c r="J1003" i="1" s="1"/>
  <c r="H962" i="1"/>
  <c r="I962" i="1" s="1"/>
  <c r="H945" i="1"/>
  <c r="J945" i="1" s="1"/>
  <c r="H904" i="1"/>
  <c r="I904" i="1" s="1"/>
  <c r="H984" i="1"/>
  <c r="I984" i="1" s="1"/>
  <c r="H886" i="1"/>
  <c r="J886" i="1" s="1"/>
  <c r="H884" i="1"/>
  <c r="J884" i="1" s="1"/>
  <c r="H942" i="1"/>
  <c r="J942" i="1" s="1"/>
  <c r="H868" i="1"/>
  <c r="I868" i="1" s="1"/>
  <c r="H835" i="1"/>
  <c r="I835" i="1" s="1"/>
  <c r="H854" i="1"/>
  <c r="I854" i="1" s="1"/>
  <c r="H827" i="1"/>
  <c r="J827" i="1" s="1"/>
  <c r="H804" i="1"/>
  <c r="I804" i="1" s="1"/>
  <c r="H754" i="1"/>
  <c r="I754" i="1" s="1"/>
  <c r="H744" i="1"/>
  <c r="I744" i="1" s="1"/>
  <c r="H742" i="1"/>
  <c r="J742" i="1" s="1"/>
  <c r="H714" i="1"/>
  <c r="I714" i="1" s="1"/>
  <c r="H698" i="1"/>
  <c r="I698" i="1" s="1"/>
  <c r="H794" i="1"/>
  <c r="J794" i="1" s="1"/>
  <c r="H782" i="1"/>
  <c r="J782" i="1" s="1"/>
  <c r="H678" i="1"/>
  <c r="I678" i="1" s="1"/>
  <c r="H662" i="1"/>
  <c r="I662" i="1" s="1"/>
  <c r="H672" i="1"/>
  <c r="J672" i="1" s="1"/>
  <c r="H658" i="1"/>
  <c r="J658" i="1" s="1"/>
  <c r="H636" i="1"/>
  <c r="J636" i="1" s="1"/>
  <c r="H700" i="1"/>
  <c r="J700" i="1" s="1"/>
  <c r="H682" i="1"/>
  <c r="J682" i="1" s="1"/>
  <c r="H598" i="1"/>
  <c r="J598" i="1" s="1"/>
  <c r="H596" i="1"/>
  <c r="J596" i="1" s="1"/>
  <c r="H570" i="1"/>
  <c r="J570" i="1" s="1"/>
  <c r="H259" i="1"/>
  <c r="I259" i="1" s="1"/>
  <c r="H133" i="1"/>
  <c r="I133" i="1" s="1"/>
  <c r="H953" i="1"/>
  <c r="J953" i="1" s="1"/>
  <c r="H548" i="1"/>
  <c r="J548" i="1" s="1"/>
  <c r="H305" i="1"/>
  <c r="J305" i="1" s="1"/>
  <c r="H261" i="1"/>
  <c r="J261" i="1" s="1"/>
  <c r="H90" i="1"/>
  <c r="H31" i="1"/>
  <c r="H15" i="1"/>
  <c r="H39" i="1"/>
  <c r="H23" i="1"/>
  <c r="J23" i="1" s="1"/>
  <c r="H933" i="1"/>
  <c r="I933" i="1" s="1"/>
  <c r="H918" i="1"/>
  <c r="J918" i="1" s="1"/>
  <c r="H894" i="1"/>
  <c r="I894" i="1" s="1"/>
  <c r="H900" i="1"/>
  <c r="I900" i="1" s="1"/>
  <c r="H872" i="1"/>
  <c r="H870" i="1"/>
  <c r="I870" i="1" s="1"/>
  <c r="H888" i="1"/>
  <c r="J888" i="1" s="1"/>
  <c r="H880" i="1"/>
  <c r="J880" i="1" s="1"/>
  <c r="H865" i="1"/>
  <c r="J865" i="1" s="1"/>
  <c r="H831" i="1"/>
  <c r="J831" i="1" s="1"/>
  <c r="H818" i="1"/>
  <c r="I818" i="1" s="1"/>
  <c r="H813" i="1"/>
  <c r="I813" i="1" s="1"/>
  <c r="H841" i="1"/>
  <c r="J841" i="1" s="1"/>
  <c r="H817" i="1"/>
  <c r="H839" i="1"/>
  <c r="J839" i="1" s="1"/>
  <c r="H796" i="1"/>
  <c r="H784" i="1"/>
  <c r="H756" i="1"/>
  <c r="J756" i="1" s="1"/>
  <c r="H768" i="1"/>
  <c r="J768" i="1" s="1"/>
  <c r="H736" i="1"/>
  <c r="J736" i="1" s="1"/>
  <c r="H734" i="1"/>
  <c r="I734" i="1" s="1"/>
  <c r="H778" i="1"/>
  <c r="J778" i="1" s="1"/>
  <c r="H674" i="1"/>
  <c r="J674" i="1" s="1"/>
  <c r="H688" i="1"/>
  <c r="J688" i="1" s="1"/>
  <c r="H668" i="1"/>
  <c r="J668" i="1" s="1"/>
  <c r="H656" i="1"/>
  <c r="I656" i="1" s="1"/>
  <c r="H624" i="1"/>
  <c r="J624" i="1" s="1"/>
  <c r="H632" i="1"/>
  <c r="J632" i="1" s="1"/>
  <c r="H626" i="1"/>
  <c r="J626" i="1" s="1"/>
  <c r="H602" i="1"/>
  <c r="J602" i="1" s="1"/>
  <c r="H600" i="1"/>
  <c r="I600" i="1" s="1"/>
  <c r="H566" i="1"/>
  <c r="J566" i="1" s="1"/>
  <c r="H556" i="1"/>
  <c r="J556" i="1" s="1"/>
  <c r="H542" i="1"/>
  <c r="J542" i="1" s="1"/>
  <c r="H483" i="1"/>
  <c r="I483" i="1" s="1"/>
  <c r="H401" i="1"/>
  <c r="J401" i="1" s="1"/>
  <c r="H389" i="1"/>
  <c r="I389" i="1" s="1"/>
  <c r="H357" i="1"/>
  <c r="I357" i="1" s="1"/>
  <c r="H468" i="1"/>
  <c r="I468" i="1" s="1"/>
  <c r="H405" i="1"/>
  <c r="H385" i="1"/>
  <c r="I385" i="1" s="1"/>
  <c r="H353" i="1"/>
  <c r="I353" i="1" s="1"/>
  <c r="H202" i="1"/>
  <c r="I202" i="1" s="1"/>
  <c r="H94" i="1"/>
  <c r="H857" i="1"/>
  <c r="I857" i="1" s="1"/>
  <c r="H830" i="1"/>
  <c r="J830" i="1" s="1"/>
  <c r="H680" i="1"/>
  <c r="H576" i="1"/>
  <c r="J576" i="1" s="1"/>
  <c r="H544" i="1"/>
  <c r="I544" i="1" s="1"/>
  <c r="H502" i="1"/>
  <c r="I502" i="1" s="1"/>
  <c r="H536" i="1"/>
  <c r="I536" i="1" s="1"/>
  <c r="H519" i="1"/>
  <c r="J519" i="1" s="1"/>
  <c r="H308" i="1"/>
  <c r="H264" i="1"/>
  <c r="I264" i="1" s="1"/>
  <c r="H748" i="1"/>
  <c r="H815" i="1"/>
  <c r="I815" i="1" s="1"/>
  <c r="H808" i="1"/>
  <c r="J808" i="1" s="1"/>
  <c r="H704" i="1"/>
  <c r="H518" i="1"/>
  <c r="I518" i="1" s="1"/>
  <c r="H608" i="1"/>
  <c r="J608" i="1" s="1"/>
  <c r="H572" i="1"/>
  <c r="I572" i="1" s="1"/>
  <c r="H535" i="1"/>
  <c r="J535" i="1" s="1"/>
  <c r="H448" i="1"/>
  <c r="I448" i="1" s="1"/>
  <c r="H512" i="1"/>
  <c r="J512" i="1" s="1"/>
  <c r="H504" i="1"/>
  <c r="I504" i="1" s="1"/>
  <c r="H487" i="1"/>
  <c r="J487" i="1" s="1"/>
  <c r="H471" i="1"/>
  <c r="H421" i="1"/>
  <c r="J421" i="1" s="1"/>
  <c r="H417" i="1"/>
  <c r="J417" i="1" s="1"/>
  <c r="H392" i="1"/>
  <c r="J392" i="1" s="1"/>
  <c r="H381" i="1"/>
  <c r="I381" i="1" s="1"/>
  <c r="H360" i="1"/>
  <c r="J360" i="1" s="1"/>
  <c r="H344" i="1"/>
  <c r="I344" i="1" s="1"/>
  <c r="H482" i="1"/>
  <c r="I482" i="1" s="1"/>
  <c r="H413" i="1"/>
  <c r="J413" i="1" s="1"/>
  <c r="H437" i="1"/>
  <c r="I437" i="1" s="1"/>
  <c r="H377" i="1"/>
  <c r="J377" i="1" s="1"/>
  <c r="H256" i="1"/>
  <c r="J256" i="1" s="1"/>
  <c r="H260" i="1"/>
  <c r="I260" i="1" s="1"/>
  <c r="H240" i="1"/>
  <c r="J240" i="1" s="1"/>
  <c r="H218" i="1"/>
  <c r="J218" i="1" s="1"/>
  <c r="H206" i="1"/>
  <c r="J206" i="1" s="1"/>
  <c r="H186" i="1"/>
  <c r="J186" i="1" s="1"/>
  <c r="H149" i="1"/>
  <c r="I149" i="1" s="1"/>
  <c r="H142" i="1"/>
  <c r="J142" i="1" s="1"/>
  <c r="H249" i="1"/>
  <c r="I249" i="1" s="1"/>
  <c r="H105" i="1"/>
  <c r="H12" i="1"/>
  <c r="H85" i="1"/>
  <c r="J85" i="1" s="1"/>
  <c r="H42" i="1"/>
  <c r="H750" i="1"/>
  <c r="J750" i="1" s="1"/>
  <c r="H845" i="1"/>
  <c r="I845" i="1" s="1"/>
  <c r="H786" i="1"/>
  <c r="H776" i="1"/>
  <c r="H746" i="1"/>
  <c r="H874" i="1"/>
  <c r="J874" i="1" s="1"/>
  <c r="H752" i="1"/>
  <c r="H690" i="1"/>
  <c r="I690" i="1" s="1"/>
  <c r="H654" i="1"/>
  <c r="I654" i="1" s="1"/>
  <c r="H614" i="1"/>
  <c r="I614" i="1" s="1"/>
  <c r="H550" i="1"/>
  <c r="I550" i="1" s="1"/>
  <c r="H558" i="1"/>
  <c r="H554" i="1"/>
  <c r="I554" i="1" s="1"/>
  <c r="H488" i="1"/>
  <c r="H463" i="1"/>
  <c r="I463" i="1" s="1"/>
  <c r="H447" i="1"/>
  <c r="I447" i="1" s="1"/>
  <c r="H81" i="1"/>
  <c r="J81" i="1" s="1"/>
  <c r="H964" i="1"/>
  <c r="H732" i="1"/>
  <c r="H444" i="1"/>
  <c r="I444" i="1" s="1"/>
  <c r="H336" i="1"/>
  <c r="I336" i="1" s="1"/>
  <c r="H534" i="1"/>
  <c r="I534" i="1" s="1"/>
  <c r="H28" i="1"/>
  <c r="H528" i="1"/>
  <c r="H606" i="1"/>
  <c r="J606" i="1" s="1"/>
  <c r="H530" i="1"/>
  <c r="I530" i="1" s="1"/>
  <c r="H480" i="1"/>
  <c r="I480" i="1" s="1"/>
  <c r="H445" i="1"/>
  <c r="I445" i="1" s="1"/>
  <c r="H425" i="1"/>
  <c r="J425" i="1" s="1"/>
  <c r="H408" i="1"/>
  <c r="I408" i="1" s="1"/>
  <c r="H384" i="1"/>
  <c r="J384" i="1" s="1"/>
  <c r="H373" i="1"/>
  <c r="I373" i="1" s="1"/>
  <c r="H352" i="1"/>
  <c r="J352" i="1" s="1"/>
  <c r="H452" i="1"/>
  <c r="I452" i="1" s="1"/>
  <c r="H428" i="1"/>
  <c r="I428" i="1" s="1"/>
  <c r="H369" i="1"/>
  <c r="I369" i="1" s="1"/>
  <c r="H222" i="1"/>
  <c r="J222" i="1" s="1"/>
  <c r="H201" i="1"/>
  <c r="J201" i="1" s="1"/>
  <c r="H190" i="1"/>
  <c r="I190" i="1" s="1"/>
  <c r="H257" i="1"/>
  <c r="I257" i="1" s="1"/>
  <c r="H138" i="1"/>
  <c r="J138" i="1" s="1"/>
  <c r="H157" i="1"/>
  <c r="J157" i="1" s="1"/>
  <c r="H126" i="1"/>
  <c r="J126" i="1" s="1"/>
  <c r="H226" i="1"/>
  <c r="J226" i="1" s="1"/>
  <c r="H214" i="1"/>
  <c r="I214" i="1" s="1"/>
  <c r="H194" i="1"/>
  <c r="J194" i="1" s="1"/>
  <c r="H130" i="1"/>
  <c r="J130" i="1" s="1"/>
  <c r="H69" i="1"/>
  <c r="H56" i="1"/>
  <c r="H14" i="1"/>
  <c r="H10" i="1"/>
  <c r="H92" i="1"/>
  <c r="H77" i="1"/>
  <c r="H70" i="1"/>
  <c r="H16" i="1"/>
  <c r="H40" i="1"/>
  <c r="J40" i="1" s="1"/>
  <c r="H32" i="1"/>
  <c r="H724" i="1"/>
  <c r="I724" i="1" s="1"/>
  <c r="H694" i="1"/>
  <c r="H720" i="1"/>
  <c r="H578" i="1"/>
  <c r="H584" i="1"/>
  <c r="I584" i="1" s="1"/>
  <c r="H479" i="1"/>
  <c r="J479" i="1" s="1"/>
  <c r="H320" i="1"/>
  <c r="I320" i="1" s="1"/>
  <c r="H316" i="1"/>
  <c r="H300" i="1"/>
  <c r="J300" i="1" s="1"/>
  <c r="H543" i="1"/>
  <c r="I543" i="1" s="1"/>
  <c r="H451" i="1"/>
  <c r="J451" i="1" s="1"/>
  <c r="H97" i="1"/>
  <c r="J97" i="1" s="1"/>
  <c r="H74" i="1"/>
  <c r="H232" i="1"/>
  <c r="J232" i="1" s="1"/>
  <c r="H104" i="1"/>
  <c r="I104" i="1" s="1"/>
  <c r="H38" i="1"/>
  <c r="J38" i="1" s="1"/>
  <c r="H996" i="1"/>
  <c r="H969" i="1"/>
  <c r="I969" i="1" s="1"/>
  <c r="H908" i="1"/>
  <c r="H999" i="1"/>
  <c r="H977" i="1"/>
  <c r="H921" i="1"/>
  <c r="H923" i="1"/>
  <c r="I923" i="1" s="1"/>
  <c r="H878" i="1"/>
  <c r="I878" i="1" s="1"/>
  <c r="H855" i="1"/>
  <c r="J855" i="1" s="1"/>
  <c r="H822" i="1"/>
  <c r="I822" i="1" s="1"/>
  <c r="H646" i="1"/>
  <c r="J646" i="1" s="1"/>
  <c r="H496" i="1"/>
  <c r="H263" i="1"/>
  <c r="I263" i="1" s="1"/>
  <c r="H22" i="1"/>
  <c r="H522" i="1"/>
  <c r="I522" i="1" s="1"/>
  <c r="H618" i="1"/>
  <c r="I618" i="1" s="1"/>
  <c r="H616" i="1"/>
  <c r="H515" i="1"/>
  <c r="I515" i="1" s="1"/>
  <c r="H464" i="1"/>
  <c r="I464" i="1" s="1"/>
  <c r="H494" i="1"/>
  <c r="J494" i="1" s="1"/>
  <c r="H441" i="1"/>
  <c r="H397" i="1"/>
  <c r="I397" i="1" s="1"/>
  <c r="H376" i="1"/>
  <c r="J376" i="1" s="1"/>
  <c r="H365" i="1"/>
  <c r="I365" i="1" s="1"/>
  <c r="H514" i="1"/>
  <c r="I514" i="1" s="1"/>
  <c r="H460" i="1"/>
  <c r="I460" i="1" s="1"/>
  <c r="H409" i="1"/>
  <c r="I409" i="1" s="1"/>
  <c r="H393" i="1"/>
  <c r="I393" i="1" s="1"/>
  <c r="H361" i="1"/>
  <c r="I361" i="1" s="1"/>
  <c r="H150" i="1"/>
  <c r="J150" i="1" s="1"/>
  <c r="H134" i="1"/>
  <c r="J134" i="1" s="1"/>
  <c r="H210" i="1"/>
  <c r="J210" i="1" s="1"/>
  <c r="H198" i="1"/>
  <c r="I198" i="1" s="1"/>
  <c r="H154" i="1"/>
  <c r="J154" i="1" s="1"/>
  <c r="H217" i="1"/>
  <c r="I217" i="1" s="1"/>
  <c r="H205" i="1"/>
  <c r="I205" i="1" s="1"/>
  <c r="H276" i="1"/>
  <c r="I276" i="1" s="1"/>
  <c r="H244" i="1"/>
  <c r="I244" i="1" s="1"/>
  <c r="H118" i="1"/>
  <c r="J118" i="1" s="1"/>
  <c r="H33" i="1"/>
  <c r="H20" i="1"/>
  <c r="H98" i="1"/>
  <c r="H30" i="1"/>
  <c r="H790" i="1"/>
  <c r="J790" i="1" s="1"/>
  <c r="H722" i="1"/>
  <c r="J722" i="1" s="1"/>
  <c r="H718" i="1"/>
  <c r="J718" i="1" s="1"/>
  <c r="H780" i="1"/>
  <c r="J780" i="1" s="1"/>
  <c r="H740" i="1"/>
  <c r="H710" i="1"/>
  <c r="H833" i="1"/>
  <c r="I833" i="1" s="1"/>
  <c r="H622" i="1"/>
  <c r="J622" i="1" s="1"/>
  <c r="H638" i="1"/>
  <c r="I638" i="1" s="1"/>
  <c r="H564" i="1"/>
  <c r="H547" i="1"/>
  <c r="H467" i="1"/>
  <c r="J467" i="1" s="1"/>
  <c r="H281" i="1"/>
  <c r="H129" i="1"/>
  <c r="I129" i="1" s="1"/>
  <c r="H288" i="1"/>
  <c r="H247" i="1"/>
  <c r="I247" i="1" s="1"/>
  <c r="H29" i="1"/>
  <c r="H34" i="1"/>
  <c r="H712" i="1"/>
  <c r="H730" i="1"/>
  <c r="H604" i="1"/>
  <c r="I604" i="1" s="1"/>
  <c r="H612" i="1"/>
  <c r="I612" i="1" s="1"/>
  <c r="H432" i="1"/>
  <c r="I432" i="1" s="1"/>
  <c r="H324" i="1"/>
  <c r="H304" i="1"/>
  <c r="H478" i="1"/>
  <c r="I478" i="1" s="1"/>
  <c r="H455" i="1"/>
  <c r="J455" i="1" s="1"/>
  <c r="H21" i="1"/>
  <c r="H145" i="1"/>
  <c r="L17" i="1"/>
  <c r="AK908" i="1"/>
  <c r="AL38" i="1"/>
  <c r="AL34" i="1"/>
  <c r="AM1003" i="1"/>
  <c r="AJ680" i="1"/>
  <c r="AJ672" i="1"/>
  <c r="AK920" i="1"/>
  <c r="AI908" i="1"/>
  <c r="AL644" i="1"/>
  <c r="AR34" i="1"/>
  <c r="AI27" i="1"/>
  <c r="AR26" i="1"/>
  <c r="AI31" i="1"/>
  <c r="AM514" i="1"/>
  <c r="AL498" i="1"/>
  <c r="AR350" i="1"/>
  <c r="AP346" i="1"/>
  <c r="AR338" i="1"/>
  <c r="AR334" i="1"/>
  <c r="AI10" i="1"/>
  <c r="AI314" i="1"/>
  <c r="AK956" i="1"/>
  <c r="AM878" i="1"/>
  <c r="AK804" i="1"/>
  <c r="AP636" i="1"/>
  <c r="AI15" i="1"/>
  <c r="L51" i="1"/>
  <c r="AJ952" i="1"/>
  <c r="AI888" i="1"/>
  <c r="AI774" i="1"/>
  <c r="AQ628" i="1"/>
  <c r="AK221" i="1"/>
  <c r="AN217" i="1"/>
  <c r="AH84" i="1"/>
  <c r="AO55" i="1"/>
  <c r="AO47" i="1"/>
  <c r="AR35" i="1"/>
  <c r="AG31" i="1"/>
  <c r="AH31" i="1"/>
  <c r="AI829" i="1"/>
  <c r="AR972" i="1"/>
  <c r="AQ956" i="1"/>
  <c r="AM954" i="1"/>
  <c r="AI966" i="1"/>
  <c r="AH948" i="1"/>
  <c r="AH944" i="1"/>
  <c r="AK870" i="1"/>
  <c r="AK796" i="1"/>
  <c r="AI792" i="1"/>
  <c r="AK780" i="1"/>
  <c r="AI776" i="1"/>
  <c r="AI796" i="1"/>
  <c r="AK688" i="1"/>
  <c r="AI750" i="1"/>
  <c r="AI730" i="1"/>
  <c r="AK712" i="1"/>
  <c r="AI702" i="1"/>
  <c r="AI678" i="1"/>
  <c r="AH608" i="1"/>
  <c r="AI596" i="1"/>
  <c r="AH271" i="1"/>
  <c r="AK189" i="1"/>
  <c r="AN185" i="1"/>
  <c r="AK157" i="1"/>
  <c r="AJ941" i="1"/>
  <c r="AJ925" i="1"/>
  <c r="AK972" i="1"/>
  <c r="AJ949" i="1"/>
  <c r="AK800" i="1"/>
  <c r="AK612" i="1"/>
  <c r="AK606" i="1"/>
  <c r="AI598" i="1"/>
  <c r="AH632" i="1"/>
  <c r="AH526" i="1"/>
  <c r="AK510" i="1"/>
  <c r="AQ318" i="1"/>
  <c r="AQ310" i="1"/>
  <c r="AQ302" i="1"/>
  <c r="AQ298" i="1"/>
  <c r="AQ286" i="1"/>
  <c r="AM39" i="1"/>
  <c r="AR921" i="1"/>
  <c r="AO924" i="1"/>
  <c r="AM916" i="1"/>
  <c r="AM912" i="1"/>
  <c r="AR902" i="1"/>
  <c r="AL900" i="1"/>
  <c r="AQ886" i="1"/>
  <c r="AQ861" i="1"/>
  <c r="AO845" i="1"/>
  <c r="AQ829" i="1"/>
  <c r="AM728" i="1"/>
  <c r="AR720" i="1"/>
  <c r="AM696" i="1"/>
  <c r="AI608" i="1"/>
  <c r="AK477" i="1"/>
  <c r="AK443" i="1"/>
  <c r="AP255" i="1"/>
  <c r="AQ104" i="1"/>
  <c r="AL100" i="1"/>
  <c r="AL28" i="1"/>
  <c r="AF123" i="1"/>
  <c r="Q123" i="1" s="1"/>
  <c r="AI940" i="1"/>
  <c r="AI924" i="1"/>
  <c r="AJ752" i="1"/>
  <c r="AM746" i="1"/>
  <c r="AJ736" i="1"/>
  <c r="AM730" i="1"/>
  <c r="AJ724" i="1"/>
  <c r="AM714" i="1"/>
  <c r="AQ648" i="1"/>
  <c r="AN169" i="1"/>
  <c r="AK163" i="1"/>
  <c r="AO43" i="1"/>
  <c r="AI39" i="1"/>
  <c r="AH546" i="1"/>
  <c r="AM920" i="1"/>
  <c r="AO914" i="1"/>
  <c r="AK598" i="1"/>
  <c r="AH482" i="1"/>
  <c r="AN27" i="1"/>
  <c r="AP22" i="1"/>
  <c r="L36" i="1"/>
  <c r="AG91" i="1"/>
  <c r="AL91" i="1"/>
  <c r="AL952" i="1"/>
  <c r="AR960" i="1"/>
  <c r="AK916" i="1"/>
  <c r="AQ904" i="1"/>
  <c r="AQ841" i="1"/>
  <c r="AJ720" i="1"/>
  <c r="AK720" i="1"/>
  <c r="AK636" i="1"/>
  <c r="AK331" i="1"/>
  <c r="AJ323" i="1"/>
  <c r="AP30" i="1"/>
  <c r="AL19" i="1"/>
  <c r="AI19" i="1"/>
  <c r="AN19" i="1"/>
  <c r="AI808" i="1"/>
  <c r="AK808" i="1"/>
  <c r="AL928" i="1"/>
  <c r="AN892" i="1"/>
  <c r="AJ868" i="1"/>
  <c r="AK752" i="1"/>
  <c r="AF740" i="1"/>
  <c r="Q740" i="1" s="1"/>
  <c r="R740" i="1" s="1"/>
  <c r="AN732" i="1"/>
  <c r="AM999" i="1"/>
  <c r="AI988" i="1"/>
  <c r="AK948" i="1"/>
  <c r="AN788" i="1"/>
  <c r="AR786" i="1"/>
  <c r="AN776" i="1"/>
  <c r="AO772" i="1"/>
  <c r="AO764" i="1"/>
  <c r="AI746" i="1"/>
  <c r="AH746" i="1"/>
  <c r="AR614" i="1"/>
  <c r="AF652" i="1"/>
  <c r="Q652" i="1" s="1"/>
  <c r="R652" i="1" s="1"/>
  <c r="AF542" i="1"/>
  <c r="Q542" i="1" s="1"/>
  <c r="R542" i="1" s="1"/>
  <c r="AK542" i="1"/>
  <c r="AF478" i="1"/>
  <c r="Q478" i="1" s="1"/>
  <c r="R478" i="1" s="1"/>
  <c r="AK478" i="1"/>
  <c r="AJ343" i="1"/>
  <c r="AO335" i="1"/>
  <c r="AK335" i="1"/>
  <c r="AL331" i="1"/>
  <c r="AL315" i="1"/>
  <c r="AJ303" i="1"/>
  <c r="AL303" i="1"/>
  <c r="AK299" i="1"/>
  <c r="AJ291" i="1"/>
  <c r="AM239" i="1"/>
  <c r="AP239" i="1"/>
  <c r="AQ239" i="1"/>
  <c r="AI541" i="1"/>
  <c r="AL343" i="1"/>
  <c r="AO974" i="1"/>
  <c r="AK896" i="1"/>
  <c r="AM902" i="1"/>
  <c r="AQ744" i="1"/>
  <c r="AJ744" i="1"/>
  <c r="AR738" i="1"/>
  <c r="AO933" i="1"/>
  <c r="AJ931" i="1"/>
  <c r="AK944" i="1"/>
  <c r="AL923" i="1"/>
  <c r="AH923" i="1"/>
  <c r="AO870" i="1"/>
  <c r="AM794" i="1"/>
  <c r="AO784" i="1"/>
  <c r="AF780" i="1"/>
  <c r="Q780" i="1" s="1"/>
  <c r="R780" i="1" s="1"/>
  <c r="AO815" i="1"/>
  <c r="AK744" i="1"/>
  <c r="AQ447" i="1"/>
  <c r="AP652" i="1"/>
  <c r="AH1003" i="1"/>
  <c r="AQ983" i="1"/>
  <c r="AP979" i="1"/>
  <c r="AL962" i="1"/>
  <c r="AO945" i="1"/>
  <c r="AO929" i="1"/>
  <c r="AF916" i="1"/>
  <c r="Q916" i="1" s="1"/>
  <c r="R916" i="1" s="1"/>
  <c r="AK912" i="1"/>
  <c r="AF923" i="1"/>
  <c r="Q923" i="1" s="1"/>
  <c r="R923" i="1" s="1"/>
  <c r="AP918" i="1"/>
  <c r="AQ914" i="1"/>
  <c r="AO902" i="1"/>
  <c r="AN884" i="1"/>
  <c r="AP880" i="1"/>
  <c r="AH918" i="1"/>
  <c r="AL894" i="1"/>
  <c r="AM874" i="1"/>
  <c r="AR865" i="1"/>
  <c r="AM853" i="1"/>
  <c r="AI849" i="1"/>
  <c r="AP837" i="1"/>
  <c r="AR833" i="1"/>
  <c r="AM821" i="1"/>
  <c r="AL817" i="1"/>
  <c r="AH817" i="1"/>
  <c r="AF808" i="1"/>
  <c r="Q808" i="1" s="1"/>
  <c r="R808" i="1" s="1"/>
  <c r="AJ688" i="1"/>
  <c r="AO650" i="1"/>
  <c r="AO634" i="1"/>
  <c r="AI614" i="1"/>
  <c r="AK614" i="1"/>
  <c r="AM608" i="1"/>
  <c r="AO602" i="1"/>
  <c r="AR598" i="1"/>
  <c r="AQ596" i="1"/>
  <c r="AF578" i="1"/>
  <c r="Q578" i="1" s="1"/>
  <c r="R578" i="1" s="1"/>
  <c r="AP91" i="1"/>
  <c r="AN15" i="1"/>
  <c r="AL22" i="1"/>
  <c r="AR22" i="1"/>
  <c r="L37" i="1"/>
  <c r="AQ804" i="1"/>
  <c r="AM800" i="1"/>
  <c r="AF796" i="1"/>
  <c r="Q796" i="1" s="1"/>
  <c r="R796" i="1" s="1"/>
  <c r="AR752" i="1"/>
  <c r="AQ712" i="1"/>
  <c r="AF708" i="1"/>
  <c r="Q708" i="1" s="1"/>
  <c r="R708" i="1" s="1"/>
  <c r="AR706" i="1"/>
  <c r="AJ704" i="1"/>
  <c r="AN700" i="1"/>
  <c r="AQ698" i="1"/>
  <c r="AR688" i="1"/>
  <c r="AL596" i="1"/>
  <c r="AQ594" i="1"/>
  <c r="AK590" i="1"/>
  <c r="AP530" i="1"/>
  <c r="AR514" i="1"/>
  <c r="AR498" i="1"/>
  <c r="AL283" i="1"/>
  <c r="AO279" i="1"/>
  <c r="AL267" i="1"/>
  <c r="AL263" i="1"/>
  <c r="AL251" i="1"/>
  <c r="AO247" i="1"/>
  <c r="AM231" i="1"/>
  <c r="AO225" i="1"/>
  <c r="AF59" i="1"/>
  <c r="Q59" i="1" s="1"/>
  <c r="AF51" i="1"/>
  <c r="Q51" i="1" s="1"/>
  <c r="L44" i="1"/>
  <c r="H18" i="1"/>
  <c r="AF18" i="1"/>
  <c r="Q18" i="1" s="1"/>
  <c r="AL538" i="1"/>
  <c r="AL522" i="1"/>
  <c r="AL506" i="1"/>
  <c r="AL490" i="1"/>
  <c r="AL474" i="1"/>
  <c r="AO339" i="1"/>
  <c r="AO307" i="1"/>
  <c r="AO295" i="1"/>
  <c r="AM485" i="1"/>
  <c r="AR31" i="1"/>
  <c r="H35" i="1"/>
  <c r="AI35" i="1"/>
  <c r="AH23" i="1"/>
  <c r="AI23" i="1"/>
  <c r="AJ262" i="1"/>
  <c r="AP48" i="1"/>
  <c r="AP32" i="1"/>
  <c r="AO16" i="1"/>
  <c r="AP179" i="1"/>
  <c r="AM175" i="1"/>
  <c r="AP171" i="1"/>
  <c r="AF167" i="1"/>
  <c r="Q167" i="1" s="1"/>
  <c r="AI91" i="1"/>
  <c r="AF63" i="1"/>
  <c r="Q63" i="1" s="1"/>
  <c r="AN35" i="1"/>
  <c r="AN43" i="1"/>
  <c r="AQ34" i="1"/>
  <c r="AP18" i="1"/>
  <c r="AQ11" i="1"/>
  <c r="AQ15" i="1"/>
  <c r="AN63" i="1"/>
  <c r="AR11" i="1"/>
  <c r="AK205" i="1"/>
  <c r="AN201" i="1"/>
  <c r="AO193" i="1"/>
  <c r="AI56" i="1"/>
  <c r="AQ87" i="1"/>
  <c r="AQ83" i="1"/>
  <c r="AQ107" i="1"/>
  <c r="AN67" i="1"/>
  <c r="AO63" i="1"/>
  <c r="AP38" i="1"/>
  <c r="AQ26" i="1"/>
  <c r="AI18" i="1"/>
  <c r="AP14" i="1"/>
  <c r="AJ989" i="1"/>
  <c r="AI936" i="1"/>
  <c r="AM996" i="1"/>
  <c r="AR994" i="1"/>
  <c r="AN992" i="1"/>
  <c r="AR999" i="1"/>
  <c r="AL983" i="1"/>
  <c r="AK968" i="1"/>
  <c r="AK979" i="1"/>
  <c r="AP974" i="1"/>
  <c r="AN971" i="1"/>
  <c r="AJ964" i="1"/>
  <c r="AM956" i="1"/>
  <c r="AI974" i="1"/>
  <c r="AQ962" i="1"/>
  <c r="AL958" i="1"/>
  <c r="AJ950" i="1"/>
  <c r="AR937" i="1"/>
  <c r="AP948" i="1"/>
  <c r="AM944" i="1"/>
  <c r="AN933" i="1"/>
  <c r="AJ924" i="1"/>
  <c r="AP921" i="1"/>
  <c r="AP952" i="1"/>
  <c r="AL931" i="1"/>
  <c r="AQ923" i="1"/>
  <c r="AL914" i="1"/>
  <c r="AJ898" i="1"/>
  <c r="AQ896" i="1"/>
  <c r="AK892" i="1"/>
  <c r="AQ888" i="1"/>
  <c r="AK884" i="1"/>
  <c r="AN872" i="1"/>
  <c r="AI923" i="1"/>
  <c r="AJ896" i="1"/>
  <c r="AJ928" i="1"/>
  <c r="AJ900" i="1"/>
  <c r="AP890" i="1"/>
  <c r="AP886" i="1"/>
  <c r="AQ880" i="1"/>
  <c r="AQ870" i="1"/>
  <c r="AH900" i="1"/>
  <c r="AK872" i="1"/>
  <c r="AQ894" i="1"/>
  <c r="AH880" i="1"/>
  <c r="AI870" i="1"/>
  <c r="AJ914" i="1"/>
  <c r="AJ878" i="1"/>
  <c r="AP861" i="1"/>
  <c r="AM845" i="1"/>
  <c r="AP829" i="1"/>
  <c r="AM813" i="1"/>
  <c r="AI845" i="1"/>
  <c r="AK813" i="1"/>
  <c r="AK788" i="1"/>
  <c r="AO780" i="1"/>
  <c r="AM778" i="1"/>
  <c r="AN808" i="1"/>
  <c r="AJ811" i="1"/>
  <c r="AR810" i="1"/>
  <c r="AF806" i="1"/>
  <c r="Q806" i="1" s="1"/>
  <c r="R806" i="1" s="1"/>
  <c r="AI788" i="1"/>
  <c r="AJ778" i="1"/>
  <c r="AP770" i="1"/>
  <c r="AP762" i="1"/>
  <c r="AO756" i="1"/>
  <c r="AP754" i="1"/>
  <c r="AK736" i="1"/>
  <c r="AO728" i="1"/>
  <c r="AF724" i="1"/>
  <c r="Q724" i="1" s="1"/>
  <c r="R724" i="1" s="1"/>
  <c r="AP722" i="1"/>
  <c r="AK704" i="1"/>
  <c r="AQ696" i="1"/>
  <c r="AF692" i="1"/>
  <c r="Q692" i="1" s="1"/>
  <c r="R692" i="1" s="1"/>
  <c r="AP690" i="1"/>
  <c r="AP684" i="1"/>
  <c r="AP676" i="1"/>
  <c r="AP668" i="1"/>
  <c r="AP660" i="1"/>
  <c r="AH778" i="1"/>
  <c r="AJ740" i="1"/>
  <c r="AJ696" i="1"/>
  <c r="AN630" i="1"/>
  <c r="AQ610" i="1"/>
  <c r="AQ606" i="1"/>
  <c r="AN644" i="1"/>
  <c r="AN628" i="1"/>
  <c r="AP620" i="1"/>
  <c r="AM616" i="1"/>
  <c r="AF644" i="1"/>
  <c r="Q644" i="1" s="1"/>
  <c r="R644" i="1" s="1"/>
  <c r="AM538" i="1"/>
  <c r="AM522" i="1"/>
  <c r="AQ652" i="1"/>
  <c r="AP644" i="1"/>
  <c r="AL636" i="1"/>
  <c r="AK628" i="1"/>
  <c r="AL546" i="1"/>
  <c r="AH530" i="1"/>
  <c r="AM498" i="1"/>
  <c r="AL482" i="1"/>
  <c r="AJ538" i="1"/>
  <c r="AJ530" i="1"/>
  <c r="AR283" i="1"/>
  <c r="AR267" i="1"/>
  <c r="AN235" i="1"/>
  <c r="AK541" i="1"/>
  <c r="AO485" i="1"/>
  <c r="AJ239" i="1"/>
  <c r="AK311" i="1"/>
  <c r="AF271" i="1"/>
  <c r="Q271" i="1" s="1"/>
  <c r="R271" i="1" s="1"/>
  <c r="AJ267" i="1"/>
  <c r="AN255" i="1"/>
  <c r="AN225" i="1"/>
  <c r="AN193" i="1"/>
  <c r="AN161" i="1"/>
  <c r="AP342" i="1"/>
  <c r="AP326" i="1"/>
  <c r="AM237" i="1"/>
  <c r="AO40" i="1"/>
  <c r="AP8" i="1"/>
  <c r="AI346" i="1"/>
  <c r="AL342" i="1"/>
  <c r="AJ326" i="1"/>
  <c r="AO179" i="1"/>
  <c r="AO167" i="1"/>
  <c r="AF103" i="1"/>
  <c r="Q103" i="1" s="1"/>
  <c r="AJ179" i="1"/>
  <c r="AH123" i="1"/>
  <c r="AN167" i="1"/>
  <c r="AK91" i="1"/>
  <c r="AF34" i="1"/>
  <c r="Q34" i="1" s="1"/>
  <c r="AP34" i="1"/>
  <c r="AQ31" i="1"/>
  <c r="AQ63" i="1"/>
  <c r="AP59" i="1"/>
  <c r="AQ55" i="1"/>
  <c r="AM51" i="1"/>
  <c r="AI47" i="1"/>
  <c r="AP975" i="1"/>
  <c r="AJ983" i="1"/>
  <c r="AN941" i="1"/>
  <c r="AJ884" i="1"/>
  <c r="AI880" i="1"/>
  <c r="AO992" i="1"/>
  <c r="AK992" i="1"/>
  <c r="AQ989" i="1"/>
  <c r="AR974" i="1"/>
  <c r="AR979" i="1"/>
  <c r="AN972" i="1"/>
  <c r="AH979" i="1"/>
  <c r="AJ972" i="1"/>
  <c r="AJ967" i="1"/>
  <c r="AQ950" i="1"/>
  <c r="AM962" i="1"/>
  <c r="AL975" i="1"/>
  <c r="AF948" i="1"/>
  <c r="Q948" i="1" s="1"/>
  <c r="R948" i="1" s="1"/>
  <c r="AQ944" i="1"/>
  <c r="AQ940" i="1"/>
  <c r="AO936" i="1"/>
  <c r="AN925" i="1"/>
  <c r="AQ931" i="1"/>
  <c r="AF908" i="1"/>
  <c r="Q908" i="1" s="1"/>
  <c r="R908" i="1" s="1"/>
  <c r="AH962" i="1"/>
  <c r="AO920" i="1"/>
  <c r="AO916" i="1"/>
  <c r="AK928" i="1"/>
  <c r="AI914" i="1"/>
  <c r="AJ892" i="1"/>
  <c r="AK910" i="1"/>
  <c r="AM898" i="1"/>
  <c r="AI900" i="1"/>
  <c r="AJ870" i="1"/>
  <c r="AI861" i="1"/>
  <c r="AM817" i="1"/>
  <c r="AN792" i="1"/>
  <c r="AJ798" i="1"/>
  <c r="AI780" i="1"/>
  <c r="AN748" i="1"/>
  <c r="AM744" i="1"/>
  <c r="AK728" i="1"/>
  <c r="AN716" i="1"/>
  <c r="AM712" i="1"/>
  <c r="AK696" i="1"/>
  <c r="AJ712" i="1"/>
  <c r="AJ692" i="1"/>
  <c r="AQ658" i="1"/>
  <c r="AN642" i="1"/>
  <c r="AQ626" i="1"/>
  <c r="AL624" i="1"/>
  <c r="AQ644" i="1"/>
  <c r="AL628" i="1"/>
  <c r="AM546" i="1"/>
  <c r="AL530" i="1"/>
  <c r="AH514" i="1"/>
  <c r="AM482" i="1"/>
  <c r="AJ498" i="1"/>
  <c r="AQ546" i="1"/>
  <c r="AI530" i="1"/>
  <c r="AQ525" i="1"/>
  <c r="AQ514" i="1"/>
  <c r="AQ509" i="1"/>
  <c r="AI498" i="1"/>
  <c r="AF485" i="1"/>
  <c r="Q485" i="1" s="1"/>
  <c r="R485" i="1" s="1"/>
  <c r="AQ482" i="1"/>
  <c r="AQ477" i="1"/>
  <c r="AF431" i="1"/>
  <c r="Q431" i="1" s="1"/>
  <c r="R431" i="1" s="1"/>
  <c r="AQ423" i="1"/>
  <c r="AP419" i="1"/>
  <c r="AQ415" i="1"/>
  <c r="AI411" i="1"/>
  <c r="AQ407" i="1"/>
  <c r="AJ403" i="1"/>
  <c r="AM399" i="1"/>
  <c r="AL395" i="1"/>
  <c r="AL391" i="1"/>
  <c r="AL387" i="1"/>
  <c r="AL379" i="1"/>
  <c r="AO375" i="1"/>
  <c r="AL371" i="1"/>
  <c r="AP367" i="1"/>
  <c r="AL363" i="1"/>
  <c r="AL359" i="1"/>
  <c r="AL355" i="1"/>
  <c r="AP351" i="1"/>
  <c r="AO347" i="1"/>
  <c r="AQ343" i="1"/>
  <c r="AI339" i="1"/>
  <c r="AQ335" i="1"/>
  <c r="AO331" i="1"/>
  <c r="AQ327" i="1"/>
  <c r="AI323" i="1"/>
  <c r="AP319" i="1"/>
  <c r="AO315" i="1"/>
  <c r="AL307" i="1"/>
  <c r="AP303" i="1"/>
  <c r="AO299" i="1"/>
  <c r="AL291" i="1"/>
  <c r="AP287" i="1"/>
  <c r="AH251" i="1"/>
  <c r="AK235" i="1"/>
  <c r="AK347" i="1"/>
  <c r="AJ339" i="1"/>
  <c r="AL327" i="1"/>
  <c r="AO323" i="1"/>
  <c r="AL319" i="1"/>
  <c r="AO311" i="1"/>
  <c r="AJ307" i="1"/>
  <c r="AL299" i="1"/>
  <c r="AO291" i="1"/>
  <c r="AL287" i="1"/>
  <c r="AO262" i="1"/>
  <c r="AM270" i="1"/>
  <c r="AP224" i="1"/>
  <c r="AP220" i="1"/>
  <c r="AI216" i="1"/>
  <c r="AP212" i="1"/>
  <c r="AM208" i="1"/>
  <c r="AP204" i="1"/>
  <c r="AQ200" i="1"/>
  <c r="AP196" i="1"/>
  <c r="AP192" i="1"/>
  <c r="AP188" i="1"/>
  <c r="AI184" i="1"/>
  <c r="AL96" i="1"/>
  <c r="AP92" i="1"/>
  <c r="AQ80" i="1"/>
  <c r="AP76" i="1"/>
  <c r="AN72" i="1"/>
  <c r="AP68" i="1"/>
  <c r="AQ64" i="1"/>
  <c r="AI60" i="1"/>
  <c r="AI262" i="1"/>
  <c r="AK346" i="1"/>
  <c r="AO330" i="1"/>
  <c r="AK179" i="1"/>
  <c r="AP163" i="1"/>
  <c r="AO159" i="1"/>
  <c r="AK123" i="1"/>
  <c r="AP103" i="1"/>
  <c r="AH179" i="1"/>
  <c r="AL167" i="1"/>
  <c r="AH163" i="1"/>
  <c r="AI123" i="1"/>
  <c r="AK111" i="1"/>
  <c r="AO59" i="1"/>
  <c r="AR39" i="1"/>
  <c r="AL30" i="1"/>
  <c r="AR27" i="1"/>
  <c r="AL26" i="1"/>
  <c r="AR23" i="1"/>
  <c r="AF26" i="1"/>
  <c r="Q26" i="1" s="1"/>
  <c r="AP26" i="1"/>
  <c r="AP23" i="1"/>
  <c r="AQ19" i="1"/>
  <c r="AM18" i="1"/>
  <c r="AF10" i="1"/>
  <c r="Q10" i="1" s="1"/>
  <c r="AP10" i="1"/>
  <c r="AJ35" i="1"/>
  <c r="AP989" i="1"/>
  <c r="AF975" i="1"/>
  <c r="Q975" i="1" s="1"/>
  <c r="R975" i="1" s="1"/>
  <c r="AP1003" i="1"/>
  <c r="AH999" i="1"/>
  <c r="AI992" i="1"/>
  <c r="AH996" i="1"/>
  <c r="AR968" i="1"/>
  <c r="AI989" i="1"/>
  <c r="AK974" i="1"/>
  <c r="AJ956" i="1"/>
  <c r="AL966" i="1"/>
  <c r="AF962" i="1"/>
  <c r="Q962" i="1" s="1"/>
  <c r="R962" i="1" s="1"/>
  <c r="AI956" i="1"/>
  <c r="AN949" i="1"/>
  <c r="AP940" i="1"/>
  <c r="AM936" i="1"/>
  <c r="AL932" i="1"/>
  <c r="AP928" i="1"/>
  <c r="AM931" i="1"/>
  <c r="AP927" i="1"/>
  <c r="AO921" i="1"/>
  <c r="AR920" i="1"/>
  <c r="AN908" i="1"/>
  <c r="AI962" i="1"/>
  <c r="AO941" i="1"/>
  <c r="AJ920" i="1"/>
  <c r="AM921" i="1"/>
  <c r="AP910" i="1"/>
  <c r="AI932" i="1"/>
  <c r="AH928" i="1"/>
  <c r="AR892" i="1"/>
  <c r="AK888" i="1"/>
  <c r="AR884" i="1"/>
  <c r="AL876" i="1"/>
  <c r="AJ888" i="1"/>
  <c r="AK918" i="1"/>
  <c r="AH910" i="1"/>
  <c r="AI892" i="1"/>
  <c r="AI884" i="1"/>
  <c r="AO878" i="1"/>
  <c r="AR874" i="1"/>
  <c r="AQ872" i="1"/>
  <c r="AP900" i="1"/>
  <c r="AQ900" i="1"/>
  <c r="AL886" i="1"/>
  <c r="AJ813" i="1"/>
  <c r="AM804" i="1"/>
  <c r="AO800" i="1"/>
  <c r="AO796" i="1"/>
  <c r="AQ788" i="1"/>
  <c r="AH813" i="1"/>
  <c r="AI804" i="1"/>
  <c r="AJ794" i="1"/>
  <c r="AM790" i="1"/>
  <c r="AR736" i="1"/>
  <c r="AR704" i="1"/>
  <c r="AJ728" i="1"/>
  <c r="AJ708" i="1"/>
  <c r="AR744" i="1"/>
  <c r="AL734" i="1"/>
  <c r="AR728" i="1"/>
  <c r="AP726" i="1"/>
  <c r="AL714" i="1"/>
  <c r="AR712" i="1"/>
  <c r="AM710" i="1"/>
  <c r="AM698" i="1"/>
  <c r="AR696" i="1"/>
  <c r="AP682" i="1"/>
  <c r="AK674" i="1"/>
  <c r="AN670" i="1"/>
  <c r="AP666" i="1"/>
  <c r="AP662" i="1"/>
  <c r="AN654" i="1"/>
  <c r="AM638" i="1"/>
  <c r="AO598" i="1"/>
  <c r="AQ590" i="1"/>
  <c r="AH730" i="1"/>
  <c r="AQ656" i="1"/>
  <c r="AN652" i="1"/>
  <c r="AP640" i="1"/>
  <c r="AN636" i="1"/>
  <c r="AO588" i="1"/>
  <c r="AP584" i="1"/>
  <c r="AO572" i="1"/>
  <c r="AK568" i="1"/>
  <c r="AQ560" i="1"/>
  <c r="AO556" i="1"/>
  <c r="AK552" i="1"/>
  <c r="AJ636" i="1"/>
  <c r="AJ628" i="1"/>
  <c r="AL652" i="1"/>
  <c r="AK644" i="1"/>
  <c r="AQ636" i="1"/>
  <c r="AP628" i="1"/>
  <c r="AM530" i="1"/>
  <c r="AL514" i="1"/>
  <c r="AH498" i="1"/>
  <c r="AM541" i="1"/>
  <c r="AP485" i="1"/>
  <c r="AO477" i="1"/>
  <c r="AH541" i="1"/>
  <c r="AK485" i="1"/>
  <c r="AI485" i="1"/>
  <c r="AI477" i="1"/>
  <c r="AH267" i="1"/>
  <c r="AO239" i="1"/>
  <c r="AL347" i="1"/>
  <c r="AH343" i="1"/>
  <c r="AJ327" i="1"/>
  <c r="AH323" i="1"/>
  <c r="AJ319" i="1"/>
  <c r="AK315" i="1"/>
  <c r="AH303" i="1"/>
  <c r="AK295" i="1"/>
  <c r="AH291" i="1"/>
  <c r="AJ287" i="1"/>
  <c r="AN209" i="1"/>
  <c r="AO201" i="1"/>
  <c r="AN177" i="1"/>
  <c r="AO169" i="1"/>
  <c r="AP330" i="1"/>
  <c r="AM229" i="1"/>
  <c r="AO156" i="1"/>
  <c r="AO152" i="1"/>
  <c r="AO148" i="1"/>
  <c r="AO144" i="1"/>
  <c r="AO140" i="1"/>
  <c r="AO136" i="1"/>
  <c r="AO132" i="1"/>
  <c r="AO128" i="1"/>
  <c r="AO124" i="1"/>
  <c r="AP120" i="1"/>
  <c r="AL116" i="1"/>
  <c r="AL112" i="1"/>
  <c r="AJ342" i="1"/>
  <c r="AJ330" i="1"/>
  <c r="AI330" i="1"/>
  <c r="AL326" i="1"/>
  <c r="AF163" i="1"/>
  <c r="Q163" i="1" s="1"/>
  <c r="AO111" i="1"/>
  <c r="AI179" i="1"/>
  <c r="AI163" i="1"/>
  <c r="AM123" i="1"/>
  <c r="AP111" i="1"/>
  <c r="AL103" i="1"/>
  <c r="AF55" i="1"/>
  <c r="Q55" i="1" s="1"/>
  <c r="AF43" i="1"/>
  <c r="Q43" i="1" s="1"/>
  <c r="AL35" i="1"/>
  <c r="AR19" i="1"/>
  <c r="L18" i="1"/>
  <c r="AJ27" i="1"/>
  <c r="AL15" i="1"/>
  <c r="AN999" i="1"/>
  <c r="AN966" i="1"/>
  <c r="AH966" i="1"/>
  <c r="AK782" i="1"/>
  <c r="AP347" i="1"/>
  <c r="AR339" i="1"/>
  <c r="AR335" i="1"/>
  <c r="AP331" i="1"/>
  <c r="AR323" i="1"/>
  <c r="AP315" i="1"/>
  <c r="AR311" i="1"/>
  <c r="AR307" i="1"/>
  <c r="AP299" i="1"/>
  <c r="AR295" i="1"/>
  <c r="AR291" i="1"/>
  <c r="AI443" i="1"/>
  <c r="AM322" i="1"/>
  <c r="AM290" i="1"/>
  <c r="AO346" i="1"/>
  <c r="AJ123" i="1"/>
  <c r="L35" i="1"/>
  <c r="AQ27" i="1"/>
  <c r="AJ11" i="1"/>
  <c r="AM67" i="1"/>
  <c r="AP43" i="1"/>
  <c r="AL39" i="1"/>
  <c r="AQ23" i="1"/>
  <c r="L32" i="1"/>
  <c r="AR1002" i="1"/>
  <c r="AQ1002" i="1"/>
  <c r="AM1002" i="1"/>
  <c r="AI1002" i="1"/>
  <c r="AP1002" i="1"/>
  <c r="AL1002" i="1"/>
  <c r="AH1002" i="1"/>
  <c r="AN1002" i="1"/>
  <c r="AF1002" i="1"/>
  <c r="AK1002" i="1"/>
  <c r="AJ1002" i="1"/>
  <c r="AO1002" i="1"/>
  <c r="AG1002" i="1"/>
  <c r="AQ994" i="1"/>
  <c r="AJ990" i="1"/>
  <c r="AP990" i="1"/>
  <c r="AO985" i="1"/>
  <c r="AK985" i="1"/>
  <c r="AG985" i="1"/>
  <c r="AR985" i="1"/>
  <c r="AN985" i="1"/>
  <c r="AJ985" i="1"/>
  <c r="AF985" i="1"/>
  <c r="AQ985" i="1"/>
  <c r="AM985" i="1"/>
  <c r="AI985" i="1"/>
  <c r="AL985" i="1"/>
  <c r="AH985" i="1"/>
  <c r="AP985" i="1"/>
  <c r="AM990" i="1"/>
  <c r="AQ973" i="1"/>
  <c r="AM973" i="1"/>
  <c r="AI973" i="1"/>
  <c r="AO973" i="1"/>
  <c r="AJ973" i="1"/>
  <c r="AN973" i="1"/>
  <c r="AH973" i="1"/>
  <c r="AR973" i="1"/>
  <c r="AL973" i="1"/>
  <c r="AG973" i="1"/>
  <c r="AP973" i="1"/>
  <c r="AK973" i="1"/>
  <c r="AF973" i="1"/>
  <c r="AR978" i="1"/>
  <c r="AN978" i="1"/>
  <c r="AJ978" i="1"/>
  <c r="AF978" i="1"/>
  <c r="AQ978" i="1"/>
  <c r="AM978" i="1"/>
  <c r="AI978" i="1"/>
  <c r="AP978" i="1"/>
  <c r="AL978" i="1"/>
  <c r="AH978" i="1"/>
  <c r="AO978" i="1"/>
  <c r="AK978" i="1"/>
  <c r="AG978" i="1"/>
  <c r="AM971" i="1"/>
  <c r="AP959" i="1"/>
  <c r="AL959" i="1"/>
  <c r="AH959" i="1"/>
  <c r="AO959" i="1"/>
  <c r="AK959" i="1"/>
  <c r="AG959" i="1"/>
  <c r="AR959" i="1"/>
  <c r="AN959" i="1"/>
  <c r="AJ959" i="1"/>
  <c r="AF959" i="1"/>
  <c r="AQ959" i="1"/>
  <c r="AM959" i="1"/>
  <c r="AI959" i="1"/>
  <c r="AH967" i="1"/>
  <c r="AR1003" i="1"/>
  <c r="AQ999" i="1"/>
  <c r="AK999" i="1"/>
  <c r="AP999" i="1"/>
  <c r="AR995" i="1"/>
  <c r="AN995" i="1"/>
  <c r="AJ995" i="1"/>
  <c r="AF995" i="1"/>
  <c r="AP995" i="1"/>
  <c r="AL995" i="1"/>
  <c r="AH995" i="1"/>
  <c r="AK995" i="1"/>
  <c r="AQ995" i="1"/>
  <c r="AI995" i="1"/>
  <c r="AO995" i="1"/>
  <c r="AG995" i="1"/>
  <c r="AM995" i="1"/>
  <c r="AK994" i="1"/>
  <c r="AQ992" i="1"/>
  <c r="AK988" i="1"/>
  <c r="AO983" i="1"/>
  <c r="AF996" i="1"/>
  <c r="AN979" i="1"/>
  <c r="AN1003" i="1"/>
  <c r="AF1003" i="1"/>
  <c r="AO1000" i="1"/>
  <c r="AK1000" i="1"/>
  <c r="AG1000" i="1"/>
  <c r="AR1000" i="1"/>
  <c r="AN1000" i="1"/>
  <c r="AJ1000" i="1"/>
  <c r="AF1000" i="1"/>
  <c r="AP1000" i="1"/>
  <c r="AH1000" i="1"/>
  <c r="AM1000" i="1"/>
  <c r="AL1000" i="1"/>
  <c r="AQ1000" i="1"/>
  <c r="AI1000" i="1"/>
  <c r="AL1003" i="1"/>
  <c r="AQ1003" i="1"/>
  <c r="AF999" i="1"/>
  <c r="AJ999" i="1"/>
  <c r="AO999" i="1"/>
  <c r="AJ1003" i="1"/>
  <c r="AM994" i="1"/>
  <c r="AO994" i="1"/>
  <c r="AO991" i="1"/>
  <c r="AK991" i="1"/>
  <c r="AG991" i="1"/>
  <c r="AR991" i="1"/>
  <c r="AN991" i="1"/>
  <c r="AJ991" i="1"/>
  <c r="AF991" i="1"/>
  <c r="AP991" i="1"/>
  <c r="AH991" i="1"/>
  <c r="AM991" i="1"/>
  <c r="AL991" i="1"/>
  <c r="AQ991" i="1"/>
  <c r="AI991" i="1"/>
  <c r="AR987" i="1"/>
  <c r="AN987" i="1"/>
  <c r="AJ987" i="1"/>
  <c r="AF987" i="1"/>
  <c r="AP987" i="1"/>
  <c r="AK987" i="1"/>
  <c r="AO987" i="1"/>
  <c r="AI987" i="1"/>
  <c r="AM987" i="1"/>
  <c r="AH987" i="1"/>
  <c r="AQ987" i="1"/>
  <c r="AL987" i="1"/>
  <c r="AG987" i="1"/>
  <c r="AH992" i="1"/>
  <c r="AF988" i="1"/>
  <c r="AP984" i="1"/>
  <c r="AL984" i="1"/>
  <c r="AH984" i="1"/>
  <c r="AO984" i="1"/>
  <c r="AK984" i="1"/>
  <c r="AG984" i="1"/>
  <c r="AR984" i="1"/>
  <c r="AN984" i="1"/>
  <c r="AJ984" i="1"/>
  <c r="AF984" i="1"/>
  <c r="AI984" i="1"/>
  <c r="AQ984" i="1"/>
  <c r="AM984" i="1"/>
  <c r="AF983" i="1"/>
  <c r="AR983" i="1"/>
  <c r="AP980" i="1"/>
  <c r="AL980" i="1"/>
  <c r="AH980" i="1"/>
  <c r="AO980" i="1"/>
  <c r="AK980" i="1"/>
  <c r="AG980" i="1"/>
  <c r="AR980" i="1"/>
  <c r="AN980" i="1"/>
  <c r="AJ980" i="1"/>
  <c r="AF980" i="1"/>
  <c r="AQ980" i="1"/>
  <c r="AM980" i="1"/>
  <c r="AI980" i="1"/>
  <c r="AF979" i="1"/>
  <c r="AJ979" i="1"/>
  <c r="AO976" i="1"/>
  <c r="AK976" i="1"/>
  <c r="AG976" i="1"/>
  <c r="AR976" i="1"/>
  <c r="AN976" i="1"/>
  <c r="AJ976" i="1"/>
  <c r="AF976" i="1"/>
  <c r="AM976" i="1"/>
  <c r="AL976" i="1"/>
  <c r="AQ976" i="1"/>
  <c r="AI976" i="1"/>
  <c r="AP976" i="1"/>
  <c r="AH976" i="1"/>
  <c r="AN983" i="1"/>
  <c r="AH983" i="1"/>
  <c r="AM983" i="1"/>
  <c r="AJ996" i="1"/>
  <c r="AN996" i="1"/>
  <c r="AK996" i="1"/>
  <c r="AQ996" i="1"/>
  <c r="AH990" i="1"/>
  <c r="AN990" i="1"/>
  <c r="AM968" i="1"/>
  <c r="AL968" i="1"/>
  <c r="AQ968" i="1"/>
  <c r="AI968" i="1"/>
  <c r="AH968" i="1"/>
  <c r="AP968" i="1"/>
  <c r="AN964" i="1"/>
  <c r="AI964" i="1"/>
  <c r="AR964" i="1"/>
  <c r="AM964" i="1"/>
  <c r="AH964" i="1"/>
  <c r="AQ964" i="1"/>
  <c r="AL964" i="1"/>
  <c r="AF964" i="1"/>
  <c r="AK989" i="1"/>
  <c r="AR989" i="1"/>
  <c r="AL989" i="1"/>
  <c r="AL979" i="1"/>
  <c r="AQ979" i="1"/>
  <c r="AN968" i="1"/>
  <c r="AO971" i="1"/>
  <c r="AI971" i="1"/>
  <c r="AR965" i="1"/>
  <c r="AN965" i="1"/>
  <c r="AJ965" i="1"/>
  <c r="AF965" i="1"/>
  <c r="AQ965" i="1"/>
  <c r="AL965" i="1"/>
  <c r="AG965" i="1"/>
  <c r="AP965" i="1"/>
  <c r="AK965" i="1"/>
  <c r="AO965" i="1"/>
  <c r="AI965" i="1"/>
  <c r="AM965" i="1"/>
  <c r="AH965" i="1"/>
  <c r="AR961" i="1"/>
  <c r="AN961" i="1"/>
  <c r="AJ961" i="1"/>
  <c r="AF961" i="1"/>
  <c r="AQ961" i="1"/>
  <c r="AL961" i="1"/>
  <c r="AG961" i="1"/>
  <c r="AP961" i="1"/>
  <c r="AK961" i="1"/>
  <c r="AO961" i="1"/>
  <c r="AI961" i="1"/>
  <c r="AM961" i="1"/>
  <c r="AH961" i="1"/>
  <c r="AJ960" i="1"/>
  <c r="AN956" i="1"/>
  <c r="AL954" i="1"/>
  <c r="AP954" i="1"/>
  <c r="AH954" i="1"/>
  <c r="AN954" i="1"/>
  <c r="AF954" i="1"/>
  <c r="AL950" i="1"/>
  <c r="AP950" i="1"/>
  <c r="AH950" i="1"/>
  <c r="AN950" i="1"/>
  <c r="AF950" i="1"/>
  <c r="AM975" i="1"/>
  <c r="AQ975" i="1"/>
  <c r="AH975" i="1"/>
  <c r="AI967" i="1"/>
  <c r="AO967" i="1"/>
  <c r="AN958" i="1"/>
  <c r="AH958" i="1"/>
  <c r="AM958" i="1"/>
  <c r="AK954" i="1"/>
  <c r="AQ954" i="1"/>
  <c r="AR950" i="1"/>
  <c r="AO950" i="1"/>
  <c r="AK949" i="1"/>
  <c r="AO946" i="1"/>
  <c r="AK946" i="1"/>
  <c r="AG946" i="1"/>
  <c r="AR946" i="1"/>
  <c r="AN946" i="1"/>
  <c r="AJ946" i="1"/>
  <c r="AF946" i="1"/>
  <c r="AQ946" i="1"/>
  <c r="AM946" i="1"/>
  <c r="AI946" i="1"/>
  <c r="AP946" i="1"/>
  <c r="AL946" i="1"/>
  <c r="AH946" i="1"/>
  <c r="AK941" i="1"/>
  <c r="AO938" i="1"/>
  <c r="AK938" i="1"/>
  <c r="AG938" i="1"/>
  <c r="AR938" i="1"/>
  <c r="AN938" i="1"/>
  <c r="AJ938" i="1"/>
  <c r="AF938" i="1"/>
  <c r="AQ938" i="1"/>
  <c r="AM938" i="1"/>
  <c r="AI938" i="1"/>
  <c r="AP938" i="1"/>
  <c r="AL938" i="1"/>
  <c r="AH938" i="1"/>
  <c r="AK933" i="1"/>
  <c r="AK925" i="1"/>
  <c r="AR949" i="1"/>
  <c r="AR945" i="1"/>
  <c r="AR941" i="1"/>
  <c r="AR933" i="1"/>
  <c r="AR929" i="1"/>
  <c r="AR925" i="1"/>
  <c r="AR967" i="1"/>
  <c r="AK966" i="1"/>
  <c r="AR966" i="1"/>
  <c r="AM966" i="1"/>
  <c r="AO948" i="1"/>
  <c r="AI948" i="1"/>
  <c r="AK940" i="1"/>
  <c r="AR939" i="1"/>
  <c r="AN939" i="1"/>
  <c r="AJ939" i="1"/>
  <c r="AF939" i="1"/>
  <c r="AQ939" i="1"/>
  <c r="AM939" i="1"/>
  <c r="AI939" i="1"/>
  <c r="AP939" i="1"/>
  <c r="AL939" i="1"/>
  <c r="AH939" i="1"/>
  <c r="AK939" i="1"/>
  <c r="AG939" i="1"/>
  <c r="AO939" i="1"/>
  <c r="AK931" i="1"/>
  <c r="AO925" i="1"/>
  <c r="AK921" i="1"/>
  <c r="AH916" i="1"/>
  <c r="AP916" i="1"/>
  <c r="AL916" i="1"/>
  <c r="AO962" i="1"/>
  <c r="AN962" i="1"/>
  <c r="AH952" i="1"/>
  <c r="AQ952" i="1"/>
  <c r="AO949" i="1"/>
  <c r="AH931" i="1"/>
  <c r="AR927" i="1"/>
  <c r="AF920" i="1"/>
  <c r="AJ916" i="1"/>
  <c r="AJ912" i="1"/>
  <c r="AL944" i="1"/>
  <c r="AN936" i="1"/>
  <c r="AH936" i="1"/>
  <c r="AJ923" i="1"/>
  <c r="AI920" i="1"/>
  <c r="AQ916" i="1"/>
  <c r="AN914" i="1"/>
  <c r="AF914" i="1"/>
  <c r="AP902" i="1"/>
  <c r="AH902" i="1"/>
  <c r="AN932" i="1"/>
  <c r="AK932" i="1"/>
  <c r="AP932" i="1"/>
  <c r="AI928" i="1"/>
  <c r="AO928" i="1"/>
  <c r="AM924" i="1"/>
  <c r="AQ924" i="1"/>
  <c r="AH924" i="1"/>
  <c r="AR914" i="1"/>
  <c r="AH914" i="1"/>
  <c r="AM914" i="1"/>
  <c r="AJ908" i="1"/>
  <c r="AR904" i="1"/>
  <c r="AF902" i="1"/>
  <c r="AP898" i="1"/>
  <c r="AO898" i="1"/>
  <c r="AL896" i="1"/>
  <c r="AH896" i="1"/>
  <c r="AP896" i="1"/>
  <c r="AL888" i="1"/>
  <c r="AH888" i="1"/>
  <c r="AP888" i="1"/>
  <c r="AL872" i="1"/>
  <c r="AR952" i="1"/>
  <c r="AO923" i="1"/>
  <c r="AN923" i="1"/>
  <c r="AF918" i="1"/>
  <c r="AP907" i="1"/>
  <c r="AL907" i="1"/>
  <c r="AH907" i="1"/>
  <c r="AR907" i="1"/>
  <c r="AN907" i="1"/>
  <c r="AJ907" i="1"/>
  <c r="AF907" i="1"/>
  <c r="AM907" i="1"/>
  <c r="AK907" i="1"/>
  <c r="AQ907" i="1"/>
  <c r="AI907" i="1"/>
  <c r="AO907" i="1"/>
  <c r="AG907" i="1"/>
  <c r="AO906" i="1"/>
  <c r="AL902" i="1"/>
  <c r="AI902" i="1"/>
  <c r="AR899" i="1"/>
  <c r="AN899" i="1"/>
  <c r="AJ899" i="1"/>
  <c r="AF899" i="1"/>
  <c r="AQ899" i="1"/>
  <c r="AL899" i="1"/>
  <c r="AG899" i="1"/>
  <c r="AP899" i="1"/>
  <c r="AK899" i="1"/>
  <c r="AO899" i="1"/>
  <c r="AI899" i="1"/>
  <c r="AH899" i="1"/>
  <c r="AM899" i="1"/>
  <c r="AN896" i="1"/>
  <c r="AN888" i="1"/>
  <c r="AJ932" i="1"/>
  <c r="AO918" i="1"/>
  <c r="AO910" i="1"/>
  <c r="AM896" i="1"/>
  <c r="AP895" i="1"/>
  <c r="AL895" i="1"/>
  <c r="AH895" i="1"/>
  <c r="AO895" i="1"/>
  <c r="AK895" i="1"/>
  <c r="AG895" i="1"/>
  <c r="AR895" i="1"/>
  <c r="AN895" i="1"/>
  <c r="AJ895" i="1"/>
  <c r="AF895" i="1"/>
  <c r="AI895" i="1"/>
  <c r="AQ895" i="1"/>
  <c r="AM895" i="1"/>
  <c r="AM888" i="1"/>
  <c r="AP887" i="1"/>
  <c r="AL887" i="1"/>
  <c r="AH887" i="1"/>
  <c r="AO887" i="1"/>
  <c r="AK887" i="1"/>
  <c r="AG887" i="1"/>
  <c r="AR887" i="1"/>
  <c r="AN887" i="1"/>
  <c r="AJ887" i="1"/>
  <c r="AF887" i="1"/>
  <c r="AI887" i="1"/>
  <c r="AQ887" i="1"/>
  <c r="AM887" i="1"/>
  <c r="AN878" i="1"/>
  <c r="AF878" i="1"/>
  <c r="AH878" i="1"/>
  <c r="AP878" i="1"/>
  <c r="AR913" i="1"/>
  <c r="AN913" i="1"/>
  <c r="AJ913" i="1"/>
  <c r="AF913" i="1"/>
  <c r="AQ913" i="1"/>
  <c r="AM913" i="1"/>
  <c r="AI913" i="1"/>
  <c r="AP913" i="1"/>
  <c r="AL913" i="1"/>
  <c r="AH913" i="1"/>
  <c r="AG913" i="1"/>
  <c r="AO913" i="1"/>
  <c r="AK913" i="1"/>
  <c r="AK900" i="1"/>
  <c r="AR900" i="1"/>
  <c r="AM900" i="1"/>
  <c r="AJ880" i="1"/>
  <c r="AJ876" i="1"/>
  <c r="AJ872" i="1"/>
  <c r="AR894" i="1"/>
  <c r="AH894" i="1"/>
  <c r="AM894" i="1"/>
  <c r="AR886" i="1"/>
  <c r="AH886" i="1"/>
  <c r="AM886" i="1"/>
  <c r="AL878" i="1"/>
  <c r="AI878" i="1"/>
  <c r="AL874" i="1"/>
  <c r="AI874" i="1"/>
  <c r="AH872" i="1"/>
  <c r="AP871" i="1"/>
  <c r="AL871" i="1"/>
  <c r="AH871" i="1"/>
  <c r="AR871" i="1"/>
  <c r="AN871" i="1"/>
  <c r="AJ871" i="1"/>
  <c r="AF871" i="1"/>
  <c r="AM871" i="1"/>
  <c r="AK871" i="1"/>
  <c r="AQ871" i="1"/>
  <c r="AI871" i="1"/>
  <c r="AO871" i="1"/>
  <c r="AG871" i="1"/>
  <c r="AO859" i="1"/>
  <c r="AK859" i="1"/>
  <c r="AG859" i="1"/>
  <c r="AR859" i="1"/>
  <c r="AN859" i="1"/>
  <c r="AJ859" i="1"/>
  <c r="AF859" i="1"/>
  <c r="AQ859" i="1"/>
  <c r="AM859" i="1"/>
  <c r="AI859" i="1"/>
  <c r="AP859" i="1"/>
  <c r="AL859" i="1"/>
  <c r="AH859" i="1"/>
  <c r="AO843" i="1"/>
  <c r="AK843" i="1"/>
  <c r="AG843" i="1"/>
  <c r="AR843" i="1"/>
  <c r="AN843" i="1"/>
  <c r="AJ843" i="1"/>
  <c r="AF843" i="1"/>
  <c r="AQ843" i="1"/>
  <c r="AM843" i="1"/>
  <c r="AI843" i="1"/>
  <c r="AP843" i="1"/>
  <c r="AL843" i="1"/>
  <c r="AH843" i="1"/>
  <c r="AO827" i="1"/>
  <c r="AK827" i="1"/>
  <c r="AG827" i="1"/>
  <c r="AR827" i="1"/>
  <c r="AN827" i="1"/>
  <c r="AJ827" i="1"/>
  <c r="AF827" i="1"/>
  <c r="AQ827" i="1"/>
  <c r="AM827" i="1"/>
  <c r="AI827" i="1"/>
  <c r="AP827" i="1"/>
  <c r="AL827" i="1"/>
  <c r="AH827" i="1"/>
  <c r="AR932" i="1"/>
  <c r="AF880" i="1"/>
  <c r="AJ874" i="1"/>
  <c r="AP866" i="1"/>
  <c r="AL866" i="1"/>
  <c r="AH866" i="1"/>
  <c r="AO866" i="1"/>
  <c r="AK866" i="1"/>
  <c r="AG866" i="1"/>
  <c r="AR866" i="1"/>
  <c r="AN866" i="1"/>
  <c r="AJ866" i="1"/>
  <c r="AF866" i="1"/>
  <c r="AI866" i="1"/>
  <c r="AQ866" i="1"/>
  <c r="AM866" i="1"/>
  <c r="AJ853" i="1"/>
  <c r="AF853" i="1"/>
  <c r="AN853" i="1"/>
  <c r="AP850" i="1"/>
  <c r="AL850" i="1"/>
  <c r="AH850" i="1"/>
  <c r="AO850" i="1"/>
  <c r="AK850" i="1"/>
  <c r="AG850" i="1"/>
  <c r="AR850" i="1"/>
  <c r="AN850" i="1"/>
  <c r="AJ850" i="1"/>
  <c r="AF850" i="1"/>
  <c r="AI850" i="1"/>
  <c r="AQ850" i="1"/>
  <c r="AM850" i="1"/>
  <c r="AJ837" i="1"/>
  <c r="AF837" i="1"/>
  <c r="AN837" i="1"/>
  <c r="AP834" i="1"/>
  <c r="AL834" i="1"/>
  <c r="AH834" i="1"/>
  <c r="AO834" i="1"/>
  <c r="AK834" i="1"/>
  <c r="AG834" i="1"/>
  <c r="AR834" i="1"/>
  <c r="AN834" i="1"/>
  <c r="AJ834" i="1"/>
  <c r="AF834" i="1"/>
  <c r="AI834" i="1"/>
  <c r="AQ834" i="1"/>
  <c r="AM834" i="1"/>
  <c r="AJ821" i="1"/>
  <c r="AF821" i="1"/>
  <c r="AN821" i="1"/>
  <c r="AO818" i="1"/>
  <c r="AK818" i="1"/>
  <c r="AG818" i="1"/>
  <c r="AR818" i="1"/>
  <c r="AN818" i="1"/>
  <c r="AJ818" i="1"/>
  <c r="AF818" i="1"/>
  <c r="AL818" i="1"/>
  <c r="AQ818" i="1"/>
  <c r="AI818" i="1"/>
  <c r="AP818" i="1"/>
  <c r="AH818" i="1"/>
  <c r="AM818" i="1"/>
  <c r="AK861" i="1"/>
  <c r="AR860" i="1"/>
  <c r="AN860" i="1"/>
  <c r="AJ860" i="1"/>
  <c r="AF860" i="1"/>
  <c r="AQ860" i="1"/>
  <c r="AM860" i="1"/>
  <c r="AI860" i="1"/>
  <c r="AP860" i="1"/>
  <c r="AL860" i="1"/>
  <c r="AH860" i="1"/>
  <c r="AK860" i="1"/>
  <c r="AG860" i="1"/>
  <c r="AO860" i="1"/>
  <c r="AF857" i="1"/>
  <c r="AR845" i="1"/>
  <c r="AH845" i="1"/>
  <c r="AK829" i="1"/>
  <c r="AR828" i="1"/>
  <c r="AN828" i="1"/>
  <c r="AJ828" i="1"/>
  <c r="AF828" i="1"/>
  <c r="AQ828" i="1"/>
  <c r="AM828" i="1"/>
  <c r="AI828" i="1"/>
  <c r="AP828" i="1"/>
  <c r="AL828" i="1"/>
  <c r="AH828" i="1"/>
  <c r="AK828" i="1"/>
  <c r="AG828" i="1"/>
  <c r="AO828" i="1"/>
  <c r="AF825" i="1"/>
  <c r="AF817" i="1"/>
  <c r="AP813" i="1"/>
  <c r="AO813" i="1"/>
  <c r="AH808" i="1"/>
  <c r="AP808" i="1"/>
  <c r="AL808" i="1"/>
  <c r="AK792" i="1"/>
  <c r="AH788" i="1"/>
  <c r="AP788" i="1"/>
  <c r="AL788" i="1"/>
  <c r="AK776" i="1"/>
  <c r="AR768" i="1"/>
  <c r="AO768" i="1"/>
  <c r="AM768" i="1"/>
  <c r="AN768" i="1"/>
  <c r="AK768" i="1"/>
  <c r="AI768" i="1"/>
  <c r="AF768" i="1"/>
  <c r="AR760" i="1"/>
  <c r="AJ760" i="1"/>
  <c r="AR857" i="1"/>
  <c r="AH857" i="1"/>
  <c r="AM857" i="1"/>
  <c r="AL841" i="1"/>
  <c r="AK825" i="1"/>
  <c r="AP825" i="1"/>
  <c r="AR824" i="1"/>
  <c r="AN824" i="1"/>
  <c r="AJ824" i="1"/>
  <c r="AF824" i="1"/>
  <c r="AQ824" i="1"/>
  <c r="AM824" i="1"/>
  <c r="AI824" i="1"/>
  <c r="AP824" i="1"/>
  <c r="AL824" i="1"/>
  <c r="AH824" i="1"/>
  <c r="AO824" i="1"/>
  <c r="AK824" i="1"/>
  <c r="AG824" i="1"/>
  <c r="AO817" i="1"/>
  <c r="AR808" i="1"/>
  <c r="AR804" i="1"/>
  <c r="AR800" i="1"/>
  <c r="AR796" i="1"/>
  <c r="AR792" i="1"/>
  <c r="AR788" i="1"/>
  <c r="AR784" i="1"/>
  <c r="AR780" i="1"/>
  <c r="AR776" i="1"/>
  <c r="AO868" i="1"/>
  <c r="AN868" i="1"/>
  <c r="AO853" i="1"/>
  <c r="AI853" i="1"/>
  <c r="AL837" i="1"/>
  <c r="AQ837" i="1"/>
  <c r="AO821" i="1"/>
  <c r="AI821" i="1"/>
  <c r="AP803" i="1"/>
  <c r="AL803" i="1"/>
  <c r="AH803" i="1"/>
  <c r="AO803" i="1"/>
  <c r="AK803" i="1"/>
  <c r="AG803" i="1"/>
  <c r="AR803" i="1"/>
  <c r="AN803" i="1"/>
  <c r="AJ803" i="1"/>
  <c r="AF803" i="1"/>
  <c r="AM803" i="1"/>
  <c r="AI803" i="1"/>
  <c r="AQ803" i="1"/>
  <c r="AN802" i="1"/>
  <c r="AI800" i="1"/>
  <c r="AQ792" i="1"/>
  <c r="AM788" i="1"/>
  <c r="AP787" i="1"/>
  <c r="AL787" i="1"/>
  <c r="AH787" i="1"/>
  <c r="AO787" i="1"/>
  <c r="AK787" i="1"/>
  <c r="AG787" i="1"/>
  <c r="AR787" i="1"/>
  <c r="AN787" i="1"/>
  <c r="AJ787" i="1"/>
  <c r="AF787" i="1"/>
  <c r="AQ787" i="1"/>
  <c r="AM787" i="1"/>
  <c r="AI787" i="1"/>
  <c r="AF786" i="1"/>
  <c r="AI784" i="1"/>
  <c r="AQ776" i="1"/>
  <c r="AO888" i="1"/>
  <c r="AN882" i="1"/>
  <c r="AH882" i="1"/>
  <c r="AM882" i="1"/>
  <c r="AR864" i="1"/>
  <c r="AN864" i="1"/>
  <c r="AJ864" i="1"/>
  <c r="AF864" i="1"/>
  <c r="AQ864" i="1"/>
  <c r="AM864" i="1"/>
  <c r="AI864" i="1"/>
  <c r="AP864" i="1"/>
  <c r="AL864" i="1"/>
  <c r="AH864" i="1"/>
  <c r="AG864" i="1"/>
  <c r="AO864" i="1"/>
  <c r="AK864" i="1"/>
  <c r="AR817" i="1"/>
  <c r="AL806" i="1"/>
  <c r="AQ806" i="1"/>
  <c r="AR778" i="1"/>
  <c r="AK756" i="1"/>
  <c r="AP752" i="1"/>
  <c r="AL752" i="1"/>
  <c r="AH752" i="1"/>
  <c r="AK740" i="1"/>
  <c r="AP736" i="1"/>
  <c r="AL736" i="1"/>
  <c r="AH736" i="1"/>
  <c r="AK724" i="1"/>
  <c r="AP720" i="1"/>
  <c r="AL720" i="1"/>
  <c r="AH720" i="1"/>
  <c r="AK708" i="1"/>
  <c r="AP704" i="1"/>
  <c r="AL704" i="1"/>
  <c r="AH704" i="1"/>
  <c r="AK692" i="1"/>
  <c r="AP688" i="1"/>
  <c r="AL688" i="1"/>
  <c r="AH688" i="1"/>
  <c r="AJ865" i="1"/>
  <c r="AO865" i="1"/>
  <c r="AI865" i="1"/>
  <c r="AL833" i="1"/>
  <c r="AQ833" i="1"/>
  <c r="AP812" i="1"/>
  <c r="AL812" i="1"/>
  <c r="AH812" i="1"/>
  <c r="AO812" i="1"/>
  <c r="AJ812" i="1"/>
  <c r="AN812" i="1"/>
  <c r="AI812" i="1"/>
  <c r="AR812" i="1"/>
  <c r="AM812" i="1"/>
  <c r="AG812" i="1"/>
  <c r="AF812" i="1"/>
  <c r="AQ812" i="1"/>
  <c r="AK812" i="1"/>
  <c r="AR798" i="1"/>
  <c r="AO794" i="1"/>
  <c r="AI794" i="1"/>
  <c r="AL786" i="1"/>
  <c r="AQ786" i="1"/>
  <c r="AO778" i="1"/>
  <c r="AI778" i="1"/>
  <c r="AJ770" i="1"/>
  <c r="AI770" i="1"/>
  <c r="AJ766" i="1"/>
  <c r="AJ762" i="1"/>
  <c r="AI762" i="1"/>
  <c r="AJ758" i="1"/>
  <c r="AN756" i="1"/>
  <c r="AN752" i="1"/>
  <c r="AN744" i="1"/>
  <c r="AN740" i="1"/>
  <c r="AN736" i="1"/>
  <c r="AN728" i="1"/>
  <c r="AN724" i="1"/>
  <c r="AN720" i="1"/>
  <c r="AN712" i="1"/>
  <c r="AN708" i="1"/>
  <c r="AN704" i="1"/>
  <c r="AN696" i="1"/>
  <c r="AN692" i="1"/>
  <c r="AN688" i="1"/>
  <c r="AJ890" i="1"/>
  <c r="AO890" i="1"/>
  <c r="AI890" i="1"/>
  <c r="AO811" i="1"/>
  <c r="AN811" i="1"/>
  <c r="AH810" i="1"/>
  <c r="AP810" i="1"/>
  <c r="AF810" i="1"/>
  <c r="AO808" i="1"/>
  <c r="AL798" i="1"/>
  <c r="AQ798" i="1"/>
  <c r="AH770" i="1"/>
  <c r="AR761" i="1"/>
  <c r="AN761" i="1"/>
  <c r="AJ761" i="1"/>
  <c r="AF761" i="1"/>
  <c r="AP761" i="1"/>
  <c r="AL761" i="1"/>
  <c r="AH761" i="1"/>
  <c r="AO761" i="1"/>
  <c r="AG761" i="1"/>
  <c r="AM761" i="1"/>
  <c r="AK761" i="1"/>
  <c r="AQ761" i="1"/>
  <c r="AI761" i="1"/>
  <c r="AQ756" i="1"/>
  <c r="AP755" i="1"/>
  <c r="AL755" i="1"/>
  <c r="AH755" i="1"/>
  <c r="AO755" i="1"/>
  <c r="AK755" i="1"/>
  <c r="AG755" i="1"/>
  <c r="AR755" i="1"/>
  <c r="AN755" i="1"/>
  <c r="AJ755" i="1"/>
  <c r="AF755" i="1"/>
  <c r="AQ755" i="1"/>
  <c r="AM755" i="1"/>
  <c r="AI755" i="1"/>
  <c r="AR754" i="1"/>
  <c r="AJ754" i="1"/>
  <c r="AF754" i="1"/>
  <c r="AI752" i="1"/>
  <c r="AM740" i="1"/>
  <c r="AP739" i="1"/>
  <c r="AL739" i="1"/>
  <c r="AH739" i="1"/>
  <c r="AO739" i="1"/>
  <c r="AK739" i="1"/>
  <c r="AG739" i="1"/>
  <c r="AR739" i="1"/>
  <c r="AN739" i="1"/>
  <c r="AJ739" i="1"/>
  <c r="AF739" i="1"/>
  <c r="AQ739" i="1"/>
  <c r="AM739" i="1"/>
  <c r="AI739" i="1"/>
  <c r="AF738" i="1"/>
  <c r="AJ738" i="1"/>
  <c r="AI736" i="1"/>
  <c r="AQ728" i="1"/>
  <c r="AM724" i="1"/>
  <c r="AP723" i="1"/>
  <c r="AL723" i="1"/>
  <c r="AH723" i="1"/>
  <c r="AO723" i="1"/>
  <c r="AK723" i="1"/>
  <c r="AG723" i="1"/>
  <c r="AR723" i="1"/>
  <c r="AN723" i="1"/>
  <c r="AJ723" i="1"/>
  <c r="AF723" i="1"/>
  <c r="AQ723" i="1"/>
  <c r="AM723" i="1"/>
  <c r="AI723" i="1"/>
  <c r="AF722" i="1"/>
  <c r="AJ722" i="1"/>
  <c r="AI720" i="1"/>
  <c r="AM708" i="1"/>
  <c r="AP707" i="1"/>
  <c r="AL707" i="1"/>
  <c r="AH707" i="1"/>
  <c r="AO707" i="1"/>
  <c r="AK707" i="1"/>
  <c r="AG707" i="1"/>
  <c r="AR707" i="1"/>
  <c r="AN707" i="1"/>
  <c r="AJ707" i="1"/>
  <c r="AF707" i="1"/>
  <c r="AQ707" i="1"/>
  <c r="AM707" i="1"/>
  <c r="AI707" i="1"/>
  <c r="AF706" i="1"/>
  <c r="AQ706" i="1"/>
  <c r="AL706" i="1"/>
  <c r="AJ706" i="1"/>
  <c r="AM706" i="1"/>
  <c r="AH706" i="1"/>
  <c r="AN706" i="1"/>
  <c r="AI704" i="1"/>
  <c r="AM692" i="1"/>
  <c r="AP691" i="1"/>
  <c r="AL691" i="1"/>
  <c r="AH691" i="1"/>
  <c r="AO691" i="1"/>
  <c r="AK691" i="1"/>
  <c r="AG691" i="1"/>
  <c r="AR691" i="1"/>
  <c r="AN691" i="1"/>
  <c r="AJ691" i="1"/>
  <c r="AF691" i="1"/>
  <c r="AQ691" i="1"/>
  <c r="AM691" i="1"/>
  <c r="AI691" i="1"/>
  <c r="AF690" i="1"/>
  <c r="AJ690" i="1"/>
  <c r="AQ690" i="1"/>
  <c r="AL690" i="1"/>
  <c r="AM690" i="1"/>
  <c r="AH690" i="1"/>
  <c r="AN690" i="1"/>
  <c r="AI688" i="1"/>
  <c r="AL790" i="1"/>
  <c r="AQ790" i="1"/>
  <c r="AH760" i="1"/>
  <c r="AQ760" i="1"/>
  <c r="AR757" i="1"/>
  <c r="AN757" i="1"/>
  <c r="AJ757" i="1"/>
  <c r="AP757" i="1"/>
  <c r="AK757" i="1"/>
  <c r="AF757" i="1"/>
  <c r="AO757" i="1"/>
  <c r="AI757" i="1"/>
  <c r="AM757" i="1"/>
  <c r="AH757" i="1"/>
  <c r="AL757" i="1"/>
  <c r="AG757" i="1"/>
  <c r="AQ757" i="1"/>
  <c r="AO752" i="1"/>
  <c r="AO736" i="1"/>
  <c r="AR730" i="1"/>
  <c r="AO704" i="1"/>
  <c r="AR698" i="1"/>
  <c r="AR685" i="1"/>
  <c r="AN685" i="1"/>
  <c r="AJ685" i="1"/>
  <c r="AF685" i="1"/>
  <c r="AP685" i="1"/>
  <c r="AL685" i="1"/>
  <c r="AH685" i="1"/>
  <c r="AK685" i="1"/>
  <c r="AQ685" i="1"/>
  <c r="AI685" i="1"/>
  <c r="AO685" i="1"/>
  <c r="AG685" i="1"/>
  <c r="AM685" i="1"/>
  <c r="AL680" i="1"/>
  <c r="AR669" i="1"/>
  <c r="AN669" i="1"/>
  <c r="AJ669" i="1"/>
  <c r="AF669" i="1"/>
  <c r="AP669" i="1"/>
  <c r="AL669" i="1"/>
  <c r="AH669" i="1"/>
  <c r="AK669" i="1"/>
  <c r="AQ669" i="1"/>
  <c r="AI669" i="1"/>
  <c r="AO669" i="1"/>
  <c r="AG669" i="1"/>
  <c r="AM669" i="1"/>
  <c r="AL664" i="1"/>
  <c r="AK654" i="1"/>
  <c r="AK646" i="1"/>
  <c r="AK638" i="1"/>
  <c r="AK630" i="1"/>
  <c r="AK610" i="1"/>
  <c r="AH606" i="1"/>
  <c r="AP606" i="1"/>
  <c r="AL606" i="1"/>
  <c r="AF606" i="1"/>
  <c r="AO606" i="1"/>
  <c r="AI606" i="1"/>
  <c r="AJ606" i="1"/>
  <c r="AK594" i="1"/>
  <c r="AH590" i="1"/>
  <c r="AP590" i="1"/>
  <c r="AL590" i="1"/>
  <c r="AF590" i="1"/>
  <c r="AI590" i="1"/>
  <c r="AJ590" i="1"/>
  <c r="AO590" i="1"/>
  <c r="AJ815" i="1"/>
  <c r="AN815" i="1"/>
  <c r="AL802" i="1"/>
  <c r="AQ802" i="1"/>
  <c r="AF764" i="1"/>
  <c r="AI764" i="1"/>
  <c r="AK764" i="1"/>
  <c r="AL754" i="1"/>
  <c r="AQ754" i="1"/>
  <c r="AO746" i="1"/>
  <c r="AL738" i="1"/>
  <c r="AQ738" i="1"/>
  <c r="AO730" i="1"/>
  <c r="AL722" i="1"/>
  <c r="AQ722" i="1"/>
  <c r="AK706" i="1"/>
  <c r="AR701" i="1"/>
  <c r="AN701" i="1"/>
  <c r="AJ701" i="1"/>
  <c r="AF701" i="1"/>
  <c r="AQ701" i="1"/>
  <c r="AM701" i="1"/>
  <c r="AI701" i="1"/>
  <c r="AP701" i="1"/>
  <c r="AL701" i="1"/>
  <c r="AH701" i="1"/>
  <c r="AO701" i="1"/>
  <c r="AK701" i="1"/>
  <c r="AG701" i="1"/>
  <c r="AN698" i="1"/>
  <c r="AO690" i="1"/>
  <c r="AJ684" i="1"/>
  <c r="AJ676" i="1"/>
  <c r="AJ668" i="1"/>
  <c r="AJ664" i="1"/>
  <c r="AJ660" i="1"/>
  <c r="AN658" i="1"/>
  <c r="AN650" i="1"/>
  <c r="AN634" i="1"/>
  <c r="AN626" i="1"/>
  <c r="AN618" i="1"/>
  <c r="AN610" i="1"/>
  <c r="AN602" i="1"/>
  <c r="AN594" i="1"/>
  <c r="AO849" i="1"/>
  <c r="AN806" i="1"/>
  <c r="AR785" i="1"/>
  <c r="AN785" i="1"/>
  <c r="AJ785" i="1"/>
  <c r="AF785" i="1"/>
  <c r="AQ785" i="1"/>
  <c r="AM785" i="1"/>
  <c r="AI785" i="1"/>
  <c r="AP785" i="1"/>
  <c r="AL785" i="1"/>
  <c r="AH785" i="1"/>
  <c r="AG785" i="1"/>
  <c r="AO785" i="1"/>
  <c r="AK785" i="1"/>
  <c r="AQ768" i="1"/>
  <c r="AP663" i="1"/>
  <c r="AL663" i="1"/>
  <c r="AH663" i="1"/>
  <c r="AR663" i="1"/>
  <c r="AN663" i="1"/>
  <c r="AJ663" i="1"/>
  <c r="AF663" i="1"/>
  <c r="AO663" i="1"/>
  <c r="AG663" i="1"/>
  <c r="AM663" i="1"/>
  <c r="AK663" i="1"/>
  <c r="AI663" i="1"/>
  <c r="AQ663" i="1"/>
  <c r="AM654" i="1"/>
  <c r="AP653" i="1"/>
  <c r="AL653" i="1"/>
  <c r="AH653" i="1"/>
  <c r="AO653" i="1"/>
  <c r="AK653" i="1"/>
  <c r="AG653" i="1"/>
  <c r="AR653" i="1"/>
  <c r="AN653" i="1"/>
  <c r="AJ653" i="1"/>
  <c r="AF653" i="1"/>
  <c r="AM653" i="1"/>
  <c r="AI653" i="1"/>
  <c r="AQ653" i="1"/>
  <c r="AN640" i="1"/>
  <c r="AJ640" i="1"/>
  <c r="AF640" i="1"/>
  <c r="AQ640" i="1"/>
  <c r="AL640" i="1"/>
  <c r="AM640" i="1"/>
  <c r="AH640" i="1"/>
  <c r="AR640" i="1"/>
  <c r="AI630" i="1"/>
  <c r="AM606" i="1"/>
  <c r="AR782" i="1"/>
  <c r="AP782" i="1"/>
  <c r="AN772" i="1"/>
  <c r="AK772" i="1"/>
  <c r="AR753" i="1"/>
  <c r="AN753" i="1"/>
  <c r="AJ753" i="1"/>
  <c r="AF753" i="1"/>
  <c r="AQ753" i="1"/>
  <c r="AM753" i="1"/>
  <c r="AI753" i="1"/>
  <c r="AP753" i="1"/>
  <c r="AL753" i="1"/>
  <c r="AH753" i="1"/>
  <c r="AG753" i="1"/>
  <c r="AO753" i="1"/>
  <c r="AK753" i="1"/>
  <c r="AN742" i="1"/>
  <c r="AF726" i="1"/>
  <c r="AH674" i="1"/>
  <c r="AQ674" i="1"/>
  <c r="AL648" i="1"/>
  <c r="AK640" i="1"/>
  <c r="AO638" i="1"/>
  <c r="AK584" i="1"/>
  <c r="AR576" i="1"/>
  <c r="AQ576" i="1"/>
  <c r="AR560" i="1"/>
  <c r="AO750" i="1"/>
  <c r="AQ734" i="1"/>
  <c r="AO702" i="1"/>
  <c r="AL662" i="1"/>
  <c r="AO662" i="1"/>
  <c r="AR627" i="1"/>
  <c r="AN627" i="1"/>
  <c r="AJ627" i="1"/>
  <c r="AF627" i="1"/>
  <c r="AQ627" i="1"/>
  <c r="AM627" i="1"/>
  <c r="AI627" i="1"/>
  <c r="AP627" i="1"/>
  <c r="AL627" i="1"/>
  <c r="AH627" i="1"/>
  <c r="AO627" i="1"/>
  <c r="AK627" i="1"/>
  <c r="AG627" i="1"/>
  <c r="AN624" i="1"/>
  <c r="AM624" i="1"/>
  <c r="AL612" i="1"/>
  <c r="AM604" i="1"/>
  <c r="AP596" i="1"/>
  <c r="AR579" i="1"/>
  <c r="AN579" i="1"/>
  <c r="AJ579" i="1"/>
  <c r="AF579" i="1"/>
  <c r="AP579" i="1"/>
  <c r="AL579" i="1"/>
  <c r="AH579" i="1"/>
  <c r="AM579" i="1"/>
  <c r="AK579" i="1"/>
  <c r="AG579" i="1"/>
  <c r="AQ579" i="1"/>
  <c r="AO579" i="1"/>
  <c r="AI579" i="1"/>
  <c r="AJ742" i="1"/>
  <c r="AJ710" i="1"/>
  <c r="AR689" i="1"/>
  <c r="AN689" i="1"/>
  <c r="AJ689" i="1"/>
  <c r="AF689" i="1"/>
  <c r="AQ689" i="1"/>
  <c r="AM689" i="1"/>
  <c r="AI689" i="1"/>
  <c r="AP689" i="1"/>
  <c r="AL689" i="1"/>
  <c r="AH689" i="1"/>
  <c r="AG689" i="1"/>
  <c r="AO689" i="1"/>
  <c r="AK689" i="1"/>
  <c r="AL682" i="1"/>
  <c r="AO682" i="1"/>
  <c r="AH666" i="1"/>
  <c r="AI666" i="1"/>
  <c r="AF616" i="1"/>
  <c r="AH616" i="1"/>
  <c r="AQ578" i="1"/>
  <c r="AN562" i="1"/>
  <c r="AJ718" i="1"/>
  <c r="AJ670" i="1"/>
  <c r="AQ670" i="1"/>
  <c r="AR655" i="1"/>
  <c r="AN655" i="1"/>
  <c r="AJ655" i="1"/>
  <c r="AF655" i="1"/>
  <c r="AQ655" i="1"/>
  <c r="AM655" i="1"/>
  <c r="AI655" i="1"/>
  <c r="AP655" i="1"/>
  <c r="AL655" i="1"/>
  <c r="AH655" i="1"/>
  <c r="AG655" i="1"/>
  <c r="AO655" i="1"/>
  <c r="AK655" i="1"/>
  <c r="AR619" i="1"/>
  <c r="AN619" i="1"/>
  <c r="AJ619" i="1"/>
  <c r="AF619" i="1"/>
  <c r="AQ619" i="1"/>
  <c r="AM619" i="1"/>
  <c r="AI619" i="1"/>
  <c r="AP619" i="1"/>
  <c r="AL619" i="1"/>
  <c r="AH619" i="1"/>
  <c r="AG619" i="1"/>
  <c r="AO619" i="1"/>
  <c r="AK619" i="1"/>
  <c r="AQ489" i="1"/>
  <c r="AM489" i="1"/>
  <c r="AI489" i="1"/>
  <c r="AP489" i="1"/>
  <c r="AL489" i="1"/>
  <c r="AH489" i="1"/>
  <c r="AK489" i="1"/>
  <c r="AR489" i="1"/>
  <c r="AJ489" i="1"/>
  <c r="AO489" i="1"/>
  <c r="AG489" i="1"/>
  <c r="AF489" i="1"/>
  <c r="AN489" i="1"/>
  <c r="AR488" i="1"/>
  <c r="AN488" i="1"/>
  <c r="AJ488" i="1"/>
  <c r="AF488" i="1"/>
  <c r="AQ488" i="1"/>
  <c r="AM488" i="1"/>
  <c r="AI488" i="1"/>
  <c r="AL488" i="1"/>
  <c r="AK488" i="1"/>
  <c r="AP488" i="1"/>
  <c r="AH488" i="1"/>
  <c r="AO488" i="1"/>
  <c r="AG488" i="1"/>
  <c r="AF443" i="1"/>
  <c r="AM439" i="1"/>
  <c r="AQ435" i="1"/>
  <c r="AQ427" i="1"/>
  <c r="AR988" i="1"/>
  <c r="AL992" i="1"/>
  <c r="AP960" i="1"/>
  <c r="AO969" i="1"/>
  <c r="AK969" i="1"/>
  <c r="AG969" i="1"/>
  <c r="AR969" i="1"/>
  <c r="AN969" i="1"/>
  <c r="AJ969" i="1"/>
  <c r="AF969" i="1"/>
  <c r="AQ969" i="1"/>
  <c r="AM969" i="1"/>
  <c r="AI969" i="1"/>
  <c r="AH969" i="1"/>
  <c r="AP969" i="1"/>
  <c r="AL969" i="1"/>
  <c r="AM967" i="1"/>
  <c r="AP951" i="1"/>
  <c r="AL951" i="1"/>
  <c r="AH951" i="1"/>
  <c r="AR951" i="1"/>
  <c r="AN951" i="1"/>
  <c r="AJ951" i="1"/>
  <c r="AF951" i="1"/>
  <c r="AK951" i="1"/>
  <c r="AQ951" i="1"/>
  <c r="AI951" i="1"/>
  <c r="AO951" i="1"/>
  <c r="AG951" i="1"/>
  <c r="AM951" i="1"/>
  <c r="AP937" i="1"/>
  <c r="AL937" i="1"/>
  <c r="AH937" i="1"/>
  <c r="AQ937" i="1"/>
  <c r="AM937" i="1"/>
  <c r="AI937" i="1"/>
  <c r="AN945" i="1"/>
  <c r="AN937" i="1"/>
  <c r="AN929" i="1"/>
  <c r="AJ966" i="1"/>
  <c r="AQ966" i="1"/>
  <c r="AN948" i="1"/>
  <c r="AM948" i="1"/>
  <c r="AN927" i="1"/>
  <c r="AF927" i="1"/>
  <c r="AP904" i="1"/>
  <c r="AH904" i="1"/>
  <c r="AL904" i="1"/>
  <c r="AR930" i="1"/>
  <c r="AN930" i="1"/>
  <c r="AJ930" i="1"/>
  <c r="AF930" i="1"/>
  <c r="AQ930" i="1"/>
  <c r="AM930" i="1"/>
  <c r="AI930" i="1"/>
  <c r="AL930" i="1"/>
  <c r="AK930" i="1"/>
  <c r="AP930" i="1"/>
  <c r="AH930" i="1"/>
  <c r="AO930" i="1"/>
  <c r="AG930" i="1"/>
  <c r="AJ927" i="1"/>
  <c r="AI927" i="1"/>
  <c r="AP920" i="1"/>
  <c r="AF912" i="1"/>
  <c r="AP944" i="1"/>
  <c r="AR943" i="1"/>
  <c r="AN943" i="1"/>
  <c r="AJ943" i="1"/>
  <c r="AF943" i="1"/>
  <c r="AQ943" i="1"/>
  <c r="AM943" i="1"/>
  <c r="AI943" i="1"/>
  <c r="AP943" i="1"/>
  <c r="AL943" i="1"/>
  <c r="AH943" i="1"/>
  <c r="AO943" i="1"/>
  <c r="AK943" i="1"/>
  <c r="AG943" i="1"/>
  <c r="AL936" i="1"/>
  <c r="AQ936" i="1"/>
  <c r="AP915" i="1"/>
  <c r="AL915" i="1"/>
  <c r="AH915" i="1"/>
  <c r="AO915" i="1"/>
  <c r="AK915" i="1"/>
  <c r="AG915" i="1"/>
  <c r="AR915" i="1"/>
  <c r="AN915" i="1"/>
  <c r="AJ915" i="1"/>
  <c r="AF915" i="1"/>
  <c r="AQ915" i="1"/>
  <c r="AM915" i="1"/>
  <c r="AI915" i="1"/>
  <c r="AH906" i="1"/>
  <c r="AP906" i="1"/>
  <c r="AO932" i="1"/>
  <c r="AM928" i="1"/>
  <c r="AQ928" i="1"/>
  <c r="AF924" i="1"/>
  <c r="AL924" i="1"/>
  <c r="AJ904" i="1"/>
  <c r="AF940" i="1"/>
  <c r="AR917" i="1"/>
  <c r="AN917" i="1"/>
  <c r="AJ917" i="1"/>
  <c r="AF917" i="1"/>
  <c r="AQ917" i="1"/>
  <c r="AM917" i="1"/>
  <c r="AI917" i="1"/>
  <c r="AP917" i="1"/>
  <c r="AL917" i="1"/>
  <c r="AH917" i="1"/>
  <c r="AO917" i="1"/>
  <c r="AK917" i="1"/>
  <c r="AG917" i="1"/>
  <c r="AL906" i="1"/>
  <c r="AI906" i="1"/>
  <c r="AR918" i="1"/>
  <c r="AM918" i="1"/>
  <c r="AR910" i="1"/>
  <c r="AM910" i="1"/>
  <c r="AF904" i="1"/>
  <c r="AQ892" i="1"/>
  <c r="AQ884" i="1"/>
  <c r="AR924" i="1"/>
  <c r="AR909" i="1"/>
  <c r="AN909" i="1"/>
  <c r="AJ909" i="1"/>
  <c r="AF909" i="1"/>
  <c r="AQ909" i="1"/>
  <c r="AM909" i="1"/>
  <c r="AI909" i="1"/>
  <c r="AP909" i="1"/>
  <c r="AL909" i="1"/>
  <c r="AH909" i="1"/>
  <c r="AO909" i="1"/>
  <c r="AK909" i="1"/>
  <c r="AG909" i="1"/>
  <c r="AK880" i="1"/>
  <c r="AI876" i="1"/>
  <c r="AK876" i="1"/>
  <c r="AR906" i="1"/>
  <c r="AL870" i="1"/>
  <c r="AO863" i="1"/>
  <c r="AK863" i="1"/>
  <c r="AG863" i="1"/>
  <c r="AR863" i="1"/>
  <c r="AN863" i="1"/>
  <c r="AJ863" i="1"/>
  <c r="AF863" i="1"/>
  <c r="AQ863" i="1"/>
  <c r="AM863" i="1"/>
  <c r="AI863" i="1"/>
  <c r="AP863" i="1"/>
  <c r="AL863" i="1"/>
  <c r="AH863" i="1"/>
  <c r="AO847" i="1"/>
  <c r="AK847" i="1"/>
  <c r="AG847" i="1"/>
  <c r="AR847" i="1"/>
  <c r="AN847" i="1"/>
  <c r="AJ847" i="1"/>
  <c r="AF847" i="1"/>
  <c r="AQ847" i="1"/>
  <c r="AM847" i="1"/>
  <c r="AI847" i="1"/>
  <c r="AP847" i="1"/>
  <c r="AL847" i="1"/>
  <c r="AH847" i="1"/>
  <c r="AO831" i="1"/>
  <c r="AK831" i="1"/>
  <c r="AG831" i="1"/>
  <c r="AR831" i="1"/>
  <c r="AN831" i="1"/>
  <c r="AJ831" i="1"/>
  <c r="AF831" i="1"/>
  <c r="AQ831" i="1"/>
  <c r="AM831" i="1"/>
  <c r="AI831" i="1"/>
  <c r="AP831" i="1"/>
  <c r="AL831" i="1"/>
  <c r="AH831" i="1"/>
  <c r="AP897" i="1"/>
  <c r="AL897" i="1"/>
  <c r="AH897" i="1"/>
  <c r="AO897" i="1"/>
  <c r="AJ897" i="1"/>
  <c r="AN897" i="1"/>
  <c r="AI897" i="1"/>
  <c r="AR897" i="1"/>
  <c r="AM897" i="1"/>
  <c r="AG897" i="1"/>
  <c r="AK897" i="1"/>
  <c r="AF897" i="1"/>
  <c r="AQ897" i="1"/>
  <c r="AP854" i="1"/>
  <c r="AL854" i="1"/>
  <c r="AH854" i="1"/>
  <c r="AO854" i="1"/>
  <c r="AK854" i="1"/>
  <c r="AG854" i="1"/>
  <c r="AR854" i="1"/>
  <c r="AN854" i="1"/>
  <c r="AJ854" i="1"/>
  <c r="AF854" i="1"/>
  <c r="AQ854" i="1"/>
  <c r="AM854" i="1"/>
  <c r="AI854" i="1"/>
  <c r="AJ841" i="1"/>
  <c r="AN841" i="1"/>
  <c r="AP838" i="1"/>
  <c r="AL838" i="1"/>
  <c r="AH838" i="1"/>
  <c r="AO838" i="1"/>
  <c r="AK838" i="1"/>
  <c r="AG838" i="1"/>
  <c r="AR838" i="1"/>
  <c r="AN838" i="1"/>
  <c r="AJ838" i="1"/>
  <c r="AF838" i="1"/>
  <c r="AQ838" i="1"/>
  <c r="AM838" i="1"/>
  <c r="AI838" i="1"/>
  <c r="AP822" i="1"/>
  <c r="AL822" i="1"/>
  <c r="AH822" i="1"/>
  <c r="AO822" i="1"/>
  <c r="AK822" i="1"/>
  <c r="AG822" i="1"/>
  <c r="AR822" i="1"/>
  <c r="AN822" i="1"/>
  <c r="AJ822" i="1"/>
  <c r="AF822" i="1"/>
  <c r="AQ822" i="1"/>
  <c r="AM822" i="1"/>
  <c r="AI822" i="1"/>
  <c r="AO861" i="1"/>
  <c r="AL845" i="1"/>
  <c r="AQ845" i="1"/>
  <c r="AO829" i="1"/>
  <c r="AP784" i="1"/>
  <c r="AL784" i="1"/>
  <c r="AH784" i="1"/>
  <c r="AR928" i="1"/>
  <c r="AR901" i="1"/>
  <c r="AN901" i="1"/>
  <c r="AJ901" i="1"/>
  <c r="AF901" i="1"/>
  <c r="AP901" i="1"/>
  <c r="AL901" i="1"/>
  <c r="AH901" i="1"/>
  <c r="AQ901" i="1"/>
  <c r="AI901" i="1"/>
  <c r="AO901" i="1"/>
  <c r="AG901" i="1"/>
  <c r="AM901" i="1"/>
  <c r="AK901" i="1"/>
  <c r="AR869" i="1"/>
  <c r="AN869" i="1"/>
  <c r="AJ869" i="1"/>
  <c r="AF869" i="1"/>
  <c r="AP869" i="1"/>
  <c r="AL869" i="1"/>
  <c r="AH869" i="1"/>
  <c r="AQ869" i="1"/>
  <c r="AI869" i="1"/>
  <c r="AO869" i="1"/>
  <c r="AG869" i="1"/>
  <c r="AM869" i="1"/>
  <c r="AK869" i="1"/>
  <c r="AL857" i="1"/>
  <c r="AQ857" i="1"/>
  <c r="AK841" i="1"/>
  <c r="AP841" i="1"/>
  <c r="AR840" i="1"/>
  <c r="AN840" i="1"/>
  <c r="AJ840" i="1"/>
  <c r="AF840" i="1"/>
  <c r="AQ840" i="1"/>
  <c r="AM840" i="1"/>
  <c r="AI840" i="1"/>
  <c r="AP840" i="1"/>
  <c r="AL840" i="1"/>
  <c r="AH840" i="1"/>
  <c r="AO840" i="1"/>
  <c r="AK840" i="1"/>
  <c r="AG840" i="1"/>
  <c r="AO825" i="1"/>
  <c r="AI825" i="1"/>
  <c r="AR814" i="1"/>
  <c r="AN814" i="1"/>
  <c r="AJ814" i="1"/>
  <c r="AF814" i="1"/>
  <c r="AQ814" i="1"/>
  <c r="AL814" i="1"/>
  <c r="AG814" i="1"/>
  <c r="AP814" i="1"/>
  <c r="AK814" i="1"/>
  <c r="AO814" i="1"/>
  <c r="AI814" i="1"/>
  <c r="AM814" i="1"/>
  <c r="AH814" i="1"/>
  <c r="AN804" i="1"/>
  <c r="AN800" i="1"/>
  <c r="AN796" i="1"/>
  <c r="AN784" i="1"/>
  <c r="AN780" i="1"/>
  <c r="AF868" i="1"/>
  <c r="AL868" i="1"/>
  <c r="AI868" i="1"/>
  <c r="AR853" i="1"/>
  <c r="AR836" i="1"/>
  <c r="AN836" i="1"/>
  <c r="AJ836" i="1"/>
  <c r="AF836" i="1"/>
  <c r="AQ836" i="1"/>
  <c r="AM836" i="1"/>
  <c r="AI836" i="1"/>
  <c r="AP836" i="1"/>
  <c r="AL836" i="1"/>
  <c r="AH836" i="1"/>
  <c r="AO836" i="1"/>
  <c r="AK836" i="1"/>
  <c r="AG836" i="1"/>
  <c r="AR821" i="1"/>
  <c r="AJ817" i="1"/>
  <c r="AQ808" i="1"/>
  <c r="AQ796" i="1"/>
  <c r="AM792" i="1"/>
  <c r="AP791" i="1"/>
  <c r="AL791" i="1"/>
  <c r="AH791" i="1"/>
  <c r="AO791" i="1"/>
  <c r="AK791" i="1"/>
  <c r="AG791" i="1"/>
  <c r="AR791" i="1"/>
  <c r="AN791" i="1"/>
  <c r="AJ791" i="1"/>
  <c r="AF791" i="1"/>
  <c r="AM791" i="1"/>
  <c r="AI791" i="1"/>
  <c r="AQ791" i="1"/>
  <c r="AQ780" i="1"/>
  <c r="AM776" i="1"/>
  <c r="AP775" i="1"/>
  <c r="AL775" i="1"/>
  <c r="AH775" i="1"/>
  <c r="AO775" i="1"/>
  <c r="AK775" i="1"/>
  <c r="AG775" i="1"/>
  <c r="AR775" i="1"/>
  <c r="AN775" i="1"/>
  <c r="AJ775" i="1"/>
  <c r="AF775" i="1"/>
  <c r="AM775" i="1"/>
  <c r="AI775" i="1"/>
  <c r="AQ775" i="1"/>
  <c r="AN774" i="1"/>
  <c r="AF774" i="1"/>
  <c r="AR774" i="1"/>
  <c r="AF770" i="1"/>
  <c r="AN770" i="1"/>
  <c r="AN766" i="1"/>
  <c r="AF766" i="1"/>
  <c r="AN762" i="1"/>
  <c r="AF762" i="1"/>
  <c r="AN758" i="1"/>
  <c r="AF758" i="1"/>
  <c r="AR882" i="1"/>
  <c r="AL882" i="1"/>
  <c r="AQ882" i="1"/>
  <c r="AK806" i="1"/>
  <c r="AP806" i="1"/>
  <c r="AO804" i="1"/>
  <c r="AO776" i="1"/>
  <c r="AP771" i="1"/>
  <c r="AL771" i="1"/>
  <c r="AH771" i="1"/>
  <c r="AR771" i="1"/>
  <c r="AN771" i="1"/>
  <c r="AJ771" i="1"/>
  <c r="AF771" i="1"/>
  <c r="AK771" i="1"/>
  <c r="AQ771" i="1"/>
  <c r="AI771" i="1"/>
  <c r="AO771" i="1"/>
  <c r="AG771" i="1"/>
  <c r="AM771" i="1"/>
  <c r="AP767" i="1"/>
  <c r="AL767" i="1"/>
  <c r="AH767" i="1"/>
  <c r="AR767" i="1"/>
  <c r="AN767" i="1"/>
  <c r="AJ767" i="1"/>
  <c r="AF767" i="1"/>
  <c r="AK767" i="1"/>
  <c r="AQ767" i="1"/>
  <c r="AI767" i="1"/>
  <c r="AO767" i="1"/>
  <c r="AG767" i="1"/>
  <c r="AM767" i="1"/>
  <c r="AP763" i="1"/>
  <c r="AL763" i="1"/>
  <c r="AH763" i="1"/>
  <c r="AR763" i="1"/>
  <c r="AN763" i="1"/>
  <c r="AJ763" i="1"/>
  <c r="AF763" i="1"/>
  <c r="AK763" i="1"/>
  <c r="AQ763" i="1"/>
  <c r="AI763" i="1"/>
  <c r="AO763" i="1"/>
  <c r="AG763" i="1"/>
  <c r="AM763" i="1"/>
  <c r="AP759" i="1"/>
  <c r="AL759" i="1"/>
  <c r="AH759" i="1"/>
  <c r="AR759" i="1"/>
  <c r="AN759" i="1"/>
  <c r="AJ759" i="1"/>
  <c r="AF759" i="1"/>
  <c r="AK759" i="1"/>
  <c r="AQ759" i="1"/>
  <c r="AI759" i="1"/>
  <c r="AO759" i="1"/>
  <c r="AG759" i="1"/>
  <c r="AM759" i="1"/>
  <c r="AH748" i="1"/>
  <c r="AP748" i="1"/>
  <c r="AL748" i="1"/>
  <c r="AH732" i="1"/>
  <c r="AP732" i="1"/>
  <c r="AL732" i="1"/>
  <c r="AH716" i="1"/>
  <c r="AP716" i="1"/>
  <c r="AL716" i="1"/>
  <c r="AH700" i="1"/>
  <c r="AP700" i="1"/>
  <c r="AL700" i="1"/>
  <c r="AN680" i="1"/>
  <c r="AF680" i="1"/>
  <c r="AP680" i="1"/>
  <c r="AO680" i="1"/>
  <c r="AM680" i="1"/>
  <c r="AK680" i="1"/>
  <c r="AI680" i="1"/>
  <c r="AN672" i="1"/>
  <c r="AF672" i="1"/>
  <c r="AH672" i="1"/>
  <c r="AO672" i="1"/>
  <c r="AM672" i="1"/>
  <c r="AK672" i="1"/>
  <c r="AI672" i="1"/>
  <c r="AN664" i="1"/>
  <c r="AF664" i="1"/>
  <c r="AO664" i="1"/>
  <c r="AM664" i="1"/>
  <c r="AK664" i="1"/>
  <c r="AI664" i="1"/>
  <c r="AN865" i="1"/>
  <c r="AH865" i="1"/>
  <c r="AM865" i="1"/>
  <c r="AF833" i="1"/>
  <c r="AK833" i="1"/>
  <c r="AP833" i="1"/>
  <c r="AN825" i="1"/>
  <c r="AR797" i="1"/>
  <c r="AN797" i="1"/>
  <c r="AJ797" i="1"/>
  <c r="AF797" i="1"/>
  <c r="AQ797" i="1"/>
  <c r="AM797" i="1"/>
  <c r="AI797" i="1"/>
  <c r="AP797" i="1"/>
  <c r="AL797" i="1"/>
  <c r="AH797" i="1"/>
  <c r="AO797" i="1"/>
  <c r="AK797" i="1"/>
  <c r="AG797" i="1"/>
  <c r="AN794" i="1"/>
  <c r="AK786" i="1"/>
  <c r="AP786" i="1"/>
  <c r="AR781" i="1"/>
  <c r="AN781" i="1"/>
  <c r="AJ781" i="1"/>
  <c r="AF781" i="1"/>
  <c r="AQ781" i="1"/>
  <c r="AM781" i="1"/>
  <c r="AI781" i="1"/>
  <c r="AP781" i="1"/>
  <c r="AL781" i="1"/>
  <c r="AH781" i="1"/>
  <c r="AO781" i="1"/>
  <c r="AK781" i="1"/>
  <c r="AG781" i="1"/>
  <c r="AN778" i="1"/>
  <c r="AK774" i="1"/>
  <c r="AM774" i="1"/>
  <c r="AM770" i="1"/>
  <c r="AM766" i="1"/>
  <c r="AM762" i="1"/>
  <c r="AM758" i="1"/>
  <c r="AJ756" i="1"/>
  <c r="AJ748" i="1"/>
  <c r="AJ732" i="1"/>
  <c r="AJ716" i="1"/>
  <c r="AJ700" i="1"/>
  <c r="AO896" i="1"/>
  <c r="AN890" i="1"/>
  <c r="AH890" i="1"/>
  <c r="AM890" i="1"/>
  <c r="AR848" i="1"/>
  <c r="AN848" i="1"/>
  <c r="AJ848" i="1"/>
  <c r="AF848" i="1"/>
  <c r="AQ848" i="1"/>
  <c r="AM848" i="1"/>
  <c r="AI848" i="1"/>
  <c r="AP848" i="1"/>
  <c r="AL848" i="1"/>
  <c r="AH848" i="1"/>
  <c r="AG848" i="1"/>
  <c r="AO848" i="1"/>
  <c r="AK848" i="1"/>
  <c r="AF811" i="1"/>
  <c r="AL811" i="1"/>
  <c r="AI811" i="1"/>
  <c r="AI810" i="1"/>
  <c r="AJ810" i="1"/>
  <c r="AJ806" i="1"/>
  <c r="AK798" i="1"/>
  <c r="AP798" i="1"/>
  <c r="AR773" i="1"/>
  <c r="AN773" i="1"/>
  <c r="AJ773" i="1"/>
  <c r="AF773" i="1"/>
  <c r="AP773" i="1"/>
  <c r="AL773" i="1"/>
  <c r="AH773" i="1"/>
  <c r="AO773" i="1"/>
  <c r="AG773" i="1"/>
  <c r="AM773" i="1"/>
  <c r="AK773" i="1"/>
  <c r="AI773" i="1"/>
  <c r="AQ773" i="1"/>
  <c r="AH766" i="1"/>
  <c r="AM756" i="1"/>
  <c r="AQ748" i="1"/>
  <c r="AP743" i="1"/>
  <c r="AL743" i="1"/>
  <c r="AH743" i="1"/>
  <c r="AO743" i="1"/>
  <c r="AK743" i="1"/>
  <c r="AG743" i="1"/>
  <c r="AR743" i="1"/>
  <c r="AN743" i="1"/>
  <c r="AJ743" i="1"/>
  <c r="AF743" i="1"/>
  <c r="AM743" i="1"/>
  <c r="AI743" i="1"/>
  <c r="AQ743" i="1"/>
  <c r="AP742" i="1"/>
  <c r="AK742" i="1"/>
  <c r="AR742" i="1"/>
  <c r="AQ742" i="1"/>
  <c r="AL742" i="1"/>
  <c r="AI740" i="1"/>
  <c r="AQ732" i="1"/>
  <c r="AP727" i="1"/>
  <c r="AL727" i="1"/>
  <c r="AH727" i="1"/>
  <c r="AO727" i="1"/>
  <c r="AK727" i="1"/>
  <c r="AG727" i="1"/>
  <c r="AR727" i="1"/>
  <c r="AN727" i="1"/>
  <c r="AJ727" i="1"/>
  <c r="AF727" i="1"/>
  <c r="AM727" i="1"/>
  <c r="AI727" i="1"/>
  <c r="AQ727" i="1"/>
  <c r="AN726" i="1"/>
  <c r="AQ726" i="1"/>
  <c r="AL726" i="1"/>
  <c r="AM726" i="1"/>
  <c r="AH726" i="1"/>
  <c r="AJ726" i="1"/>
  <c r="AI724" i="1"/>
  <c r="AQ716" i="1"/>
  <c r="AP711" i="1"/>
  <c r="AL711" i="1"/>
  <c r="AH711" i="1"/>
  <c r="AO711" i="1"/>
  <c r="AK711" i="1"/>
  <c r="AG711" i="1"/>
  <c r="AR711" i="1"/>
  <c r="AN711" i="1"/>
  <c r="AJ711" i="1"/>
  <c r="AF711" i="1"/>
  <c r="AM711" i="1"/>
  <c r="AI711" i="1"/>
  <c r="AQ711" i="1"/>
  <c r="AI710" i="1"/>
  <c r="AO710" i="1"/>
  <c r="AF710" i="1"/>
  <c r="AP710" i="1"/>
  <c r="AK710" i="1"/>
  <c r="AR710" i="1"/>
  <c r="AI708" i="1"/>
  <c r="AQ700" i="1"/>
  <c r="AP695" i="1"/>
  <c r="AL695" i="1"/>
  <c r="AH695" i="1"/>
  <c r="AO695" i="1"/>
  <c r="AK695" i="1"/>
  <c r="AG695" i="1"/>
  <c r="AR695" i="1"/>
  <c r="AN695" i="1"/>
  <c r="AJ695" i="1"/>
  <c r="AF695" i="1"/>
  <c r="AM695" i="1"/>
  <c r="AI695" i="1"/>
  <c r="AQ695" i="1"/>
  <c r="AN694" i="1"/>
  <c r="AQ694" i="1"/>
  <c r="AL694" i="1"/>
  <c r="AM694" i="1"/>
  <c r="AH694" i="1"/>
  <c r="AJ694" i="1"/>
  <c r="AI692" i="1"/>
  <c r="AR805" i="1"/>
  <c r="AN805" i="1"/>
  <c r="AJ805" i="1"/>
  <c r="AF805" i="1"/>
  <c r="AQ805" i="1"/>
  <c r="AM805" i="1"/>
  <c r="AI805" i="1"/>
  <c r="AP805" i="1"/>
  <c r="AL805" i="1"/>
  <c r="AH805" i="1"/>
  <c r="AG805" i="1"/>
  <c r="AO805" i="1"/>
  <c r="AK805" i="1"/>
  <c r="AR790" i="1"/>
  <c r="AK790" i="1"/>
  <c r="AP790" i="1"/>
  <c r="AL760" i="1"/>
  <c r="AP760" i="1"/>
  <c r="AR722" i="1"/>
  <c r="AO696" i="1"/>
  <c r="AR690" i="1"/>
  <c r="AR681" i="1"/>
  <c r="AN681" i="1"/>
  <c r="AJ681" i="1"/>
  <c r="AF681" i="1"/>
  <c r="AP681" i="1"/>
  <c r="AL681" i="1"/>
  <c r="AH681" i="1"/>
  <c r="AK681" i="1"/>
  <c r="AQ681" i="1"/>
  <c r="AI681" i="1"/>
  <c r="AO681" i="1"/>
  <c r="AG681" i="1"/>
  <c r="AM681" i="1"/>
  <c r="AL676" i="1"/>
  <c r="AR665" i="1"/>
  <c r="AN665" i="1"/>
  <c r="AJ665" i="1"/>
  <c r="AF665" i="1"/>
  <c r="AP665" i="1"/>
  <c r="AL665" i="1"/>
  <c r="AH665" i="1"/>
  <c r="AK665" i="1"/>
  <c r="AQ665" i="1"/>
  <c r="AI665" i="1"/>
  <c r="AO665" i="1"/>
  <c r="AG665" i="1"/>
  <c r="AM665" i="1"/>
  <c r="AL660" i="1"/>
  <c r="AH658" i="1"/>
  <c r="AP658" i="1"/>
  <c r="AL658" i="1"/>
  <c r="AI658" i="1"/>
  <c r="AF658" i="1"/>
  <c r="AM658" i="1"/>
  <c r="AJ658" i="1"/>
  <c r="AH650" i="1"/>
  <c r="AP650" i="1"/>
  <c r="AL650" i="1"/>
  <c r="AI650" i="1"/>
  <c r="AF650" i="1"/>
  <c r="AM650" i="1"/>
  <c r="AJ650" i="1"/>
  <c r="AH642" i="1"/>
  <c r="AP642" i="1"/>
  <c r="AL642" i="1"/>
  <c r="AI642" i="1"/>
  <c r="AF642" i="1"/>
  <c r="AM642" i="1"/>
  <c r="AJ642" i="1"/>
  <c r="AH634" i="1"/>
  <c r="AP634" i="1"/>
  <c r="AL634" i="1"/>
  <c r="AI634" i="1"/>
  <c r="AF634" i="1"/>
  <c r="AM634" i="1"/>
  <c r="AJ634" i="1"/>
  <c r="AH626" i="1"/>
  <c r="AP626" i="1"/>
  <c r="AL626" i="1"/>
  <c r="AI626" i="1"/>
  <c r="AF626" i="1"/>
  <c r="AM626" i="1"/>
  <c r="AJ626" i="1"/>
  <c r="AP622" i="1"/>
  <c r="AL622" i="1"/>
  <c r="AH622" i="1"/>
  <c r="AF622" i="1"/>
  <c r="AO622" i="1"/>
  <c r="AI622" i="1"/>
  <c r="AJ622" i="1"/>
  <c r="AP618" i="1"/>
  <c r="AL618" i="1"/>
  <c r="AH618" i="1"/>
  <c r="AQ618" i="1"/>
  <c r="AF618" i="1"/>
  <c r="AJ618" i="1"/>
  <c r="AP602" i="1"/>
  <c r="AL602" i="1"/>
  <c r="AH602" i="1"/>
  <c r="AQ602" i="1"/>
  <c r="AF602" i="1"/>
  <c r="AJ602" i="1"/>
  <c r="AP582" i="1"/>
  <c r="AQ582" i="1"/>
  <c r="AF582" i="1"/>
  <c r="AR582" i="1"/>
  <c r="AO582" i="1"/>
  <c r="AM582" i="1"/>
  <c r="AL582" i="1"/>
  <c r="AK582" i="1"/>
  <c r="AI582" i="1"/>
  <c r="AJ582" i="1"/>
  <c r="AN582" i="1"/>
  <c r="AH582" i="1"/>
  <c r="AR574" i="1"/>
  <c r="AH574" i="1"/>
  <c r="AO574" i="1"/>
  <c r="AM574" i="1"/>
  <c r="AL574" i="1"/>
  <c r="AK574" i="1"/>
  <c r="AI574" i="1"/>
  <c r="AP574" i="1"/>
  <c r="AJ574" i="1"/>
  <c r="AQ574" i="1"/>
  <c r="AF574" i="1"/>
  <c r="AP566" i="1"/>
  <c r="AN566" i="1"/>
  <c r="AH566" i="1"/>
  <c r="AQ566" i="1"/>
  <c r="AF566" i="1"/>
  <c r="AR566" i="1"/>
  <c r="AO566" i="1"/>
  <c r="AM566" i="1"/>
  <c r="AL566" i="1"/>
  <c r="AK566" i="1"/>
  <c r="AI566" i="1"/>
  <c r="AJ566" i="1"/>
  <c r="AR558" i="1"/>
  <c r="AH558" i="1"/>
  <c r="AN558" i="1"/>
  <c r="AQ558" i="1"/>
  <c r="AF558" i="1"/>
  <c r="AJ558" i="1"/>
  <c r="AK558" i="1"/>
  <c r="AI558" i="1"/>
  <c r="AP558" i="1"/>
  <c r="AP550" i="1"/>
  <c r="AQ550" i="1"/>
  <c r="AF550" i="1"/>
  <c r="AR550" i="1"/>
  <c r="AO550" i="1"/>
  <c r="AM550" i="1"/>
  <c r="AL550" i="1"/>
  <c r="AK550" i="1"/>
  <c r="AI550" i="1"/>
  <c r="AJ550" i="1"/>
  <c r="AN550" i="1"/>
  <c r="AH550" i="1"/>
  <c r="AF815" i="1"/>
  <c r="AL815" i="1"/>
  <c r="AI815" i="1"/>
  <c r="AR802" i="1"/>
  <c r="AK802" i="1"/>
  <c r="AP802" i="1"/>
  <c r="AN764" i="1"/>
  <c r="AM764" i="1"/>
  <c r="AK754" i="1"/>
  <c r="AR749" i="1"/>
  <c r="AN749" i="1"/>
  <c r="AJ749" i="1"/>
  <c r="AF749" i="1"/>
  <c r="AQ749" i="1"/>
  <c r="AM749" i="1"/>
  <c r="AI749" i="1"/>
  <c r="AP749" i="1"/>
  <c r="AL749" i="1"/>
  <c r="AH749" i="1"/>
  <c r="AO749" i="1"/>
  <c r="AK749" i="1"/>
  <c r="AG749" i="1"/>
  <c r="AN746" i="1"/>
  <c r="AK738" i="1"/>
  <c r="AP738" i="1"/>
  <c r="AR733" i="1"/>
  <c r="AN733" i="1"/>
  <c r="AJ733" i="1"/>
  <c r="AF733" i="1"/>
  <c r="AQ733" i="1"/>
  <c r="AM733" i="1"/>
  <c r="AI733" i="1"/>
  <c r="AP733" i="1"/>
  <c r="AL733" i="1"/>
  <c r="AH733" i="1"/>
  <c r="AO733" i="1"/>
  <c r="AK733" i="1"/>
  <c r="AG733" i="1"/>
  <c r="AN730" i="1"/>
  <c r="AK722" i="1"/>
  <c r="AR717" i="1"/>
  <c r="AN717" i="1"/>
  <c r="AJ717" i="1"/>
  <c r="AF717" i="1"/>
  <c r="AQ717" i="1"/>
  <c r="AM717" i="1"/>
  <c r="AI717" i="1"/>
  <c r="AP717" i="1"/>
  <c r="AL717" i="1"/>
  <c r="AH717" i="1"/>
  <c r="AO717" i="1"/>
  <c r="AK717" i="1"/>
  <c r="AG717" i="1"/>
  <c r="AN714" i="1"/>
  <c r="AO706" i="1"/>
  <c r="AQ684" i="1"/>
  <c r="AQ680" i="1"/>
  <c r="AQ676" i="1"/>
  <c r="AQ672" i="1"/>
  <c r="AQ668" i="1"/>
  <c r="AQ664" i="1"/>
  <c r="AQ660" i="1"/>
  <c r="AR654" i="1"/>
  <c r="AR646" i="1"/>
  <c r="AR638" i="1"/>
  <c r="AR630" i="1"/>
  <c r="AR622" i="1"/>
  <c r="AR606" i="1"/>
  <c r="AR590" i="1"/>
  <c r="AJ849" i="1"/>
  <c r="AH849" i="1"/>
  <c r="AL768" i="1"/>
  <c r="AO732" i="1"/>
  <c r="AO700" i="1"/>
  <c r="AH676" i="1"/>
  <c r="AP675" i="1"/>
  <c r="AL675" i="1"/>
  <c r="AH675" i="1"/>
  <c r="AR675" i="1"/>
  <c r="AN675" i="1"/>
  <c r="AJ675" i="1"/>
  <c r="AF675" i="1"/>
  <c r="AO675" i="1"/>
  <c r="AG675" i="1"/>
  <c r="AM675" i="1"/>
  <c r="AK675" i="1"/>
  <c r="AQ675" i="1"/>
  <c r="AI675" i="1"/>
  <c r="AI654" i="1"/>
  <c r="AQ650" i="1"/>
  <c r="AM646" i="1"/>
  <c r="AP645" i="1"/>
  <c r="AL645" i="1"/>
  <c r="AH645" i="1"/>
  <c r="AO645" i="1"/>
  <c r="AK645" i="1"/>
  <c r="AG645" i="1"/>
  <c r="AR645" i="1"/>
  <c r="AN645" i="1"/>
  <c r="AJ645" i="1"/>
  <c r="AF645" i="1"/>
  <c r="AM645" i="1"/>
  <c r="AI645" i="1"/>
  <c r="AQ645" i="1"/>
  <c r="AJ632" i="1"/>
  <c r="AF632" i="1"/>
  <c r="AP632" i="1"/>
  <c r="AK632" i="1"/>
  <c r="AN632" i="1"/>
  <c r="AQ632" i="1"/>
  <c r="AL632" i="1"/>
  <c r="AQ622" i="1"/>
  <c r="AP621" i="1"/>
  <c r="AL621" i="1"/>
  <c r="AH621" i="1"/>
  <c r="AO621" i="1"/>
  <c r="AK621" i="1"/>
  <c r="AG621" i="1"/>
  <c r="AR621" i="1"/>
  <c r="AN621" i="1"/>
  <c r="AJ621" i="1"/>
  <c r="AF621" i="1"/>
  <c r="AQ621" i="1"/>
  <c r="AM621" i="1"/>
  <c r="AI621" i="1"/>
  <c r="AF620" i="1"/>
  <c r="AR620" i="1"/>
  <c r="AM620" i="1"/>
  <c r="AH620" i="1"/>
  <c r="AN620" i="1"/>
  <c r="AJ620" i="1"/>
  <c r="AI620" i="1"/>
  <c r="AO620" i="1"/>
  <c r="AR608" i="1"/>
  <c r="AM602" i="1"/>
  <c r="AP601" i="1"/>
  <c r="AL601" i="1"/>
  <c r="AH601" i="1"/>
  <c r="AO601" i="1"/>
  <c r="AK601" i="1"/>
  <c r="AG601" i="1"/>
  <c r="AR601" i="1"/>
  <c r="AN601" i="1"/>
  <c r="AJ601" i="1"/>
  <c r="AF601" i="1"/>
  <c r="AM601" i="1"/>
  <c r="AI601" i="1"/>
  <c r="AQ601" i="1"/>
  <c r="AN600" i="1"/>
  <c r="AR600" i="1"/>
  <c r="AQ600" i="1"/>
  <c r="AL600" i="1"/>
  <c r="AM600" i="1"/>
  <c r="AH600" i="1"/>
  <c r="AJ600" i="1"/>
  <c r="AI600" i="1"/>
  <c r="AO600" i="1"/>
  <c r="AF600" i="1"/>
  <c r="AP600" i="1"/>
  <c r="AK600" i="1"/>
  <c r="AP589" i="1"/>
  <c r="AL589" i="1"/>
  <c r="AH589" i="1"/>
  <c r="AO589" i="1"/>
  <c r="AK589" i="1"/>
  <c r="AG589" i="1"/>
  <c r="AR589" i="1"/>
  <c r="AN589" i="1"/>
  <c r="AJ589" i="1"/>
  <c r="AF589" i="1"/>
  <c r="AQ589" i="1"/>
  <c r="AM589" i="1"/>
  <c r="AI589" i="1"/>
  <c r="AR588" i="1"/>
  <c r="AJ588" i="1"/>
  <c r="AF588" i="1"/>
  <c r="AP588" i="1"/>
  <c r="AK588" i="1"/>
  <c r="AQ588" i="1"/>
  <c r="AL588" i="1"/>
  <c r="AN584" i="1"/>
  <c r="AL584" i="1"/>
  <c r="AF584" i="1"/>
  <c r="AM584" i="1"/>
  <c r="AI584" i="1"/>
  <c r="AJ584" i="1"/>
  <c r="AF580" i="1"/>
  <c r="AN580" i="1"/>
  <c r="AL580" i="1"/>
  <c r="AP580" i="1"/>
  <c r="AM580" i="1"/>
  <c r="AH580" i="1"/>
  <c r="AI580" i="1"/>
  <c r="AJ580" i="1"/>
  <c r="AL576" i="1"/>
  <c r="AF576" i="1"/>
  <c r="AN576" i="1"/>
  <c r="AM576" i="1"/>
  <c r="AI576" i="1"/>
  <c r="AJ576" i="1"/>
  <c r="AP576" i="1"/>
  <c r="AN572" i="1"/>
  <c r="AL572" i="1"/>
  <c r="AF572" i="1"/>
  <c r="AM572" i="1"/>
  <c r="AH572" i="1"/>
  <c r="AI572" i="1"/>
  <c r="AJ572" i="1"/>
  <c r="AN568" i="1"/>
  <c r="AL568" i="1"/>
  <c r="AF568" i="1"/>
  <c r="AM568" i="1"/>
  <c r="AI568" i="1"/>
  <c r="AJ568" i="1"/>
  <c r="AF564" i="1"/>
  <c r="AN564" i="1"/>
  <c r="AL564" i="1"/>
  <c r="AM564" i="1"/>
  <c r="AH564" i="1"/>
  <c r="AI564" i="1"/>
  <c r="AJ564" i="1"/>
  <c r="AP564" i="1"/>
  <c r="AL560" i="1"/>
  <c r="AF560" i="1"/>
  <c r="AN560" i="1"/>
  <c r="AP560" i="1"/>
  <c r="AM560" i="1"/>
  <c r="AI560" i="1"/>
  <c r="AJ560" i="1"/>
  <c r="AN556" i="1"/>
  <c r="AL556" i="1"/>
  <c r="AF556" i="1"/>
  <c r="AP556" i="1"/>
  <c r="AM556" i="1"/>
  <c r="AH556" i="1"/>
  <c r="AI556" i="1"/>
  <c r="AJ556" i="1"/>
  <c r="AN552" i="1"/>
  <c r="AL552" i="1"/>
  <c r="AF552" i="1"/>
  <c r="AM552" i="1"/>
  <c r="AP552" i="1"/>
  <c r="AI552" i="1"/>
  <c r="AJ552" i="1"/>
  <c r="AQ782" i="1"/>
  <c r="AI772" i="1"/>
  <c r="AI726" i="1"/>
  <c r="AK694" i="1"/>
  <c r="AL656" i="1"/>
  <c r="AP648" i="1"/>
  <c r="AO640" i="1"/>
  <c r="AR632" i="1"/>
  <c r="AI632" i="1"/>
  <c r="AQ620" i="1"/>
  <c r="AO584" i="1"/>
  <c r="AK580" i="1"/>
  <c r="AR572" i="1"/>
  <c r="AQ572" i="1"/>
  <c r="AO568" i="1"/>
  <c r="AK564" i="1"/>
  <c r="AR556" i="1"/>
  <c r="AQ556" i="1"/>
  <c r="AO552" i="1"/>
  <c r="AF750" i="1"/>
  <c r="AH750" i="1"/>
  <c r="AH734" i="1"/>
  <c r="AF702" i="1"/>
  <c r="AH702" i="1"/>
  <c r="AL678" i="1"/>
  <c r="AO678" i="1"/>
  <c r="AH662" i="1"/>
  <c r="AI662" i="1"/>
  <c r="AQ624" i="1"/>
  <c r="AP612" i="1"/>
  <c r="AO604" i="1"/>
  <c r="AH588" i="1"/>
  <c r="AR587" i="1"/>
  <c r="AN587" i="1"/>
  <c r="AJ587" i="1"/>
  <c r="AF587" i="1"/>
  <c r="AP587" i="1"/>
  <c r="AL587" i="1"/>
  <c r="AH587" i="1"/>
  <c r="AM587" i="1"/>
  <c r="AK587" i="1"/>
  <c r="AO587" i="1"/>
  <c r="AI587" i="1"/>
  <c r="AG587" i="1"/>
  <c r="AQ587" i="1"/>
  <c r="AH584" i="1"/>
  <c r="AR555" i="1"/>
  <c r="AN555" i="1"/>
  <c r="AJ555" i="1"/>
  <c r="AF555" i="1"/>
  <c r="AP555" i="1"/>
  <c r="AL555" i="1"/>
  <c r="AH555" i="1"/>
  <c r="AM555" i="1"/>
  <c r="AK555" i="1"/>
  <c r="AO555" i="1"/>
  <c r="AI555" i="1"/>
  <c r="AG555" i="1"/>
  <c r="AQ555" i="1"/>
  <c r="AH552" i="1"/>
  <c r="AO547" i="1"/>
  <c r="AK547" i="1"/>
  <c r="AG547" i="1"/>
  <c r="AR547" i="1"/>
  <c r="AN547" i="1"/>
  <c r="AJ547" i="1"/>
  <c r="AF547" i="1"/>
  <c r="AQ547" i="1"/>
  <c r="AI547" i="1"/>
  <c r="AP547" i="1"/>
  <c r="AH547" i="1"/>
  <c r="AM547" i="1"/>
  <c r="AL547" i="1"/>
  <c r="AQ534" i="1"/>
  <c r="AI534" i="1"/>
  <c r="AR534" i="1"/>
  <c r="AJ534" i="1"/>
  <c r="AO534" i="1"/>
  <c r="AN534" i="1"/>
  <c r="AP534" i="1"/>
  <c r="AK534" i="1"/>
  <c r="AL534" i="1"/>
  <c r="AH534" i="1"/>
  <c r="AM534" i="1"/>
  <c r="AF534" i="1"/>
  <c r="AO531" i="1"/>
  <c r="AK531" i="1"/>
  <c r="AG531" i="1"/>
  <c r="AR531" i="1"/>
  <c r="AN531" i="1"/>
  <c r="AJ531" i="1"/>
  <c r="AF531" i="1"/>
  <c r="AQ531" i="1"/>
  <c r="AI531" i="1"/>
  <c r="AP531" i="1"/>
  <c r="AH531" i="1"/>
  <c r="AM531" i="1"/>
  <c r="AL531" i="1"/>
  <c r="AQ518" i="1"/>
  <c r="AI518" i="1"/>
  <c r="AR518" i="1"/>
  <c r="AJ518" i="1"/>
  <c r="AL518" i="1"/>
  <c r="AH518" i="1"/>
  <c r="AM518" i="1"/>
  <c r="AF518" i="1"/>
  <c r="AO518" i="1"/>
  <c r="AP518" i="1"/>
  <c r="AK518" i="1"/>
  <c r="AO515" i="1"/>
  <c r="AK515" i="1"/>
  <c r="AG515" i="1"/>
  <c r="AR515" i="1"/>
  <c r="AN515" i="1"/>
  <c r="AJ515" i="1"/>
  <c r="AF515" i="1"/>
  <c r="AQ515" i="1"/>
  <c r="AI515" i="1"/>
  <c r="AP515" i="1"/>
  <c r="AH515" i="1"/>
  <c r="AM515" i="1"/>
  <c r="AL515" i="1"/>
  <c r="AQ502" i="1"/>
  <c r="AI502" i="1"/>
  <c r="AR502" i="1"/>
  <c r="AJ502" i="1"/>
  <c r="AO502" i="1"/>
  <c r="AN502" i="1"/>
  <c r="AP502" i="1"/>
  <c r="AK502" i="1"/>
  <c r="AL502" i="1"/>
  <c r="AH502" i="1"/>
  <c r="AM502" i="1"/>
  <c r="AF502" i="1"/>
  <c r="AO499" i="1"/>
  <c r="AK499" i="1"/>
  <c r="AG499" i="1"/>
  <c r="AR499" i="1"/>
  <c r="AN499" i="1"/>
  <c r="AJ499" i="1"/>
  <c r="AF499" i="1"/>
  <c r="AQ499" i="1"/>
  <c r="AI499" i="1"/>
  <c r="AP499" i="1"/>
  <c r="AH499" i="1"/>
  <c r="AM499" i="1"/>
  <c r="AL499" i="1"/>
  <c r="AQ486" i="1"/>
  <c r="AI486" i="1"/>
  <c r="AR486" i="1"/>
  <c r="AJ486" i="1"/>
  <c r="AL486" i="1"/>
  <c r="AH486" i="1"/>
  <c r="AM486" i="1"/>
  <c r="AF486" i="1"/>
  <c r="AO486" i="1"/>
  <c r="AP486" i="1"/>
  <c r="AK486" i="1"/>
  <c r="AO483" i="1"/>
  <c r="AK483" i="1"/>
  <c r="AG483" i="1"/>
  <c r="AR483" i="1"/>
  <c r="AN483" i="1"/>
  <c r="AJ483" i="1"/>
  <c r="AF483" i="1"/>
  <c r="AQ483" i="1"/>
  <c r="AI483" i="1"/>
  <c r="AP483" i="1"/>
  <c r="AH483" i="1"/>
  <c r="AM483" i="1"/>
  <c r="AL483" i="1"/>
  <c r="AM742" i="1"/>
  <c r="AQ710" i="1"/>
  <c r="AH682" i="1"/>
  <c r="AI682" i="1"/>
  <c r="AP664" i="1"/>
  <c r="AJ616" i="1"/>
  <c r="AI616" i="1"/>
  <c r="AP553" i="1"/>
  <c r="AL553" i="1"/>
  <c r="AH553" i="1"/>
  <c r="AR553" i="1"/>
  <c r="AN553" i="1"/>
  <c r="AJ553" i="1"/>
  <c r="AF553" i="1"/>
  <c r="AQ553" i="1"/>
  <c r="AI553" i="1"/>
  <c r="AO553" i="1"/>
  <c r="AG553" i="1"/>
  <c r="AK553" i="1"/>
  <c r="AM553" i="1"/>
  <c r="AN574" i="1"/>
  <c r="AO558" i="1"/>
  <c r="AO443" i="1"/>
  <c r="AP443" i="1"/>
  <c r="H435" i="1"/>
  <c r="J435" i="1" s="1"/>
  <c r="AM435" i="1"/>
  <c r="AN435" i="1"/>
  <c r="AI435" i="1"/>
  <c r="AO435" i="1"/>
  <c r="H427" i="1"/>
  <c r="J427" i="1" s="1"/>
  <c r="AM427" i="1"/>
  <c r="AN427" i="1"/>
  <c r="AI427" i="1"/>
  <c r="AO427" i="1"/>
  <c r="AR1001" i="1"/>
  <c r="AN1001" i="1"/>
  <c r="AJ1001" i="1"/>
  <c r="AF1001" i="1"/>
  <c r="AQ1001" i="1"/>
  <c r="AM1001" i="1"/>
  <c r="AI1001" i="1"/>
  <c r="AO1001" i="1"/>
  <c r="AG1001" i="1"/>
  <c r="AL1001" i="1"/>
  <c r="AK1001" i="1"/>
  <c r="AP1001" i="1"/>
  <c r="AH1001" i="1"/>
  <c r="AP992" i="1"/>
  <c r="AO981" i="1"/>
  <c r="AK981" i="1"/>
  <c r="AG981" i="1"/>
  <c r="AR981" i="1"/>
  <c r="AN981" i="1"/>
  <c r="AJ981" i="1"/>
  <c r="AF981" i="1"/>
  <c r="AQ981" i="1"/>
  <c r="AM981" i="1"/>
  <c r="AI981" i="1"/>
  <c r="AP981" i="1"/>
  <c r="AL981" i="1"/>
  <c r="AH981" i="1"/>
  <c r="AM988" i="1"/>
  <c r="AO996" i="1"/>
  <c r="AR971" i="1"/>
  <c r="AF971" i="1"/>
  <c r="AR958" i="1"/>
  <c r="AP963" i="1"/>
  <c r="AL963" i="1"/>
  <c r="AH963" i="1"/>
  <c r="AO963" i="1"/>
  <c r="AJ963" i="1"/>
  <c r="AN963" i="1"/>
  <c r="AI963" i="1"/>
  <c r="AR963" i="1"/>
  <c r="AM963" i="1"/>
  <c r="AG963" i="1"/>
  <c r="AQ963" i="1"/>
  <c r="AK963" i="1"/>
  <c r="AF963" i="1"/>
  <c r="AQ958" i="1"/>
  <c r="AP955" i="1"/>
  <c r="AL955" i="1"/>
  <c r="AH955" i="1"/>
  <c r="AR955" i="1"/>
  <c r="AN955" i="1"/>
  <c r="AJ955" i="1"/>
  <c r="AF955" i="1"/>
  <c r="AK955" i="1"/>
  <c r="AQ955" i="1"/>
  <c r="AI955" i="1"/>
  <c r="AO955" i="1"/>
  <c r="AG955" i="1"/>
  <c r="AM955" i="1"/>
  <c r="AR954" i="1"/>
  <c r="AO954" i="1"/>
  <c r="AP945" i="1"/>
  <c r="AL945" i="1"/>
  <c r="AH945" i="1"/>
  <c r="AQ945" i="1"/>
  <c r="AM945" i="1"/>
  <c r="AI945" i="1"/>
  <c r="AM929" i="1"/>
  <c r="AL929" i="1"/>
  <c r="AQ929" i="1"/>
  <c r="AI929" i="1"/>
  <c r="AH929" i="1"/>
  <c r="AP929" i="1"/>
  <c r="AP966" i="1"/>
  <c r="AO940" i="1"/>
  <c r="AO1003" i="1"/>
  <c r="AI1003" i="1"/>
  <c r="AP998" i="1"/>
  <c r="AL998" i="1"/>
  <c r="AH998" i="1"/>
  <c r="AR998" i="1"/>
  <c r="AM998" i="1"/>
  <c r="AG998" i="1"/>
  <c r="AQ998" i="1"/>
  <c r="AK998" i="1"/>
  <c r="AF998" i="1"/>
  <c r="AO998" i="1"/>
  <c r="AJ998" i="1"/>
  <c r="AN998" i="1"/>
  <c r="AI998" i="1"/>
  <c r="AR992" i="1"/>
  <c r="AJ992" i="1"/>
  <c r="AI999" i="1"/>
  <c r="AL999" i="1"/>
  <c r="AQ997" i="1"/>
  <c r="AM997" i="1"/>
  <c r="AI997" i="1"/>
  <c r="AP997" i="1"/>
  <c r="AK997" i="1"/>
  <c r="AF997" i="1"/>
  <c r="AN997" i="1"/>
  <c r="AH997" i="1"/>
  <c r="AJ997" i="1"/>
  <c r="AR997" i="1"/>
  <c r="AG997" i="1"/>
  <c r="AO997" i="1"/>
  <c r="AL997" i="1"/>
  <c r="AL988" i="1"/>
  <c r="AF992" i="1"/>
  <c r="AM992" i="1"/>
  <c r="AP988" i="1"/>
  <c r="AH988" i="1"/>
  <c r="AN988" i="1"/>
  <c r="AO988" i="1"/>
  <c r="AQ988" i="1"/>
  <c r="AK983" i="1"/>
  <c r="AP983" i="1"/>
  <c r="AR982" i="1"/>
  <c r="AN982" i="1"/>
  <c r="AJ982" i="1"/>
  <c r="AF982" i="1"/>
  <c r="AQ982" i="1"/>
  <c r="AM982" i="1"/>
  <c r="AI982" i="1"/>
  <c r="AP982" i="1"/>
  <c r="AL982" i="1"/>
  <c r="AH982" i="1"/>
  <c r="AK982" i="1"/>
  <c r="AG982" i="1"/>
  <c r="AO982" i="1"/>
  <c r="AL996" i="1"/>
  <c r="AP996" i="1"/>
  <c r="AL990" i="1"/>
  <c r="AR990" i="1"/>
  <c r="AK990" i="1"/>
  <c r="AP972" i="1"/>
  <c r="AL972" i="1"/>
  <c r="AH972" i="1"/>
  <c r="AM972" i="1"/>
  <c r="AI972" i="1"/>
  <c r="AQ972" i="1"/>
  <c r="AO989" i="1"/>
  <c r="AN989" i="1"/>
  <c r="AO979" i="1"/>
  <c r="AI979" i="1"/>
  <c r="AJ974" i="1"/>
  <c r="AF972" i="1"/>
  <c r="AF968" i="1"/>
  <c r="AO968" i="1"/>
  <c r="AP964" i="1"/>
  <c r="AO964" i="1"/>
  <c r="AK960" i="1"/>
  <c r="AL956" i="1"/>
  <c r="AH956" i="1"/>
  <c r="AP956" i="1"/>
  <c r="AF974" i="1"/>
  <c r="AH974" i="1"/>
  <c r="AM974" i="1"/>
  <c r="AL971" i="1"/>
  <c r="AQ971" i="1"/>
  <c r="AO960" i="1"/>
  <c r="AF956" i="1"/>
  <c r="AO972" i="1"/>
  <c r="AI960" i="1"/>
  <c r="AJ975" i="1"/>
  <c r="AN975" i="1"/>
  <c r="AK975" i="1"/>
  <c r="AF967" i="1"/>
  <c r="AL967" i="1"/>
  <c r="AK958" i="1"/>
  <c r="AP958" i="1"/>
  <c r="AJ954" i="1"/>
  <c r="AI954" i="1"/>
  <c r="AM950" i="1"/>
  <c r="AK945" i="1"/>
  <c r="AO942" i="1"/>
  <c r="AK942" i="1"/>
  <c r="AG942" i="1"/>
  <c r="AR942" i="1"/>
  <c r="AN942" i="1"/>
  <c r="AJ942" i="1"/>
  <c r="AF942" i="1"/>
  <c r="AQ942" i="1"/>
  <c r="AM942" i="1"/>
  <c r="AI942" i="1"/>
  <c r="AL942" i="1"/>
  <c r="AH942" i="1"/>
  <c r="AP942" i="1"/>
  <c r="AK937" i="1"/>
  <c r="AO934" i="1"/>
  <c r="AK934" i="1"/>
  <c r="AG934" i="1"/>
  <c r="AR934" i="1"/>
  <c r="AN934" i="1"/>
  <c r="AJ934" i="1"/>
  <c r="AF934" i="1"/>
  <c r="AQ934" i="1"/>
  <c r="AM934" i="1"/>
  <c r="AI934" i="1"/>
  <c r="AL934" i="1"/>
  <c r="AH934" i="1"/>
  <c r="AP934" i="1"/>
  <c r="AK929" i="1"/>
  <c r="AJ971" i="1"/>
  <c r="AF958" i="1"/>
  <c r="AR953" i="1"/>
  <c r="AN953" i="1"/>
  <c r="AJ953" i="1"/>
  <c r="AF953" i="1"/>
  <c r="AP953" i="1"/>
  <c r="AL953" i="1"/>
  <c r="AH953" i="1"/>
  <c r="AO953" i="1"/>
  <c r="AG953" i="1"/>
  <c r="AM953" i="1"/>
  <c r="AK953" i="1"/>
  <c r="AQ953" i="1"/>
  <c r="AI953" i="1"/>
  <c r="AJ948" i="1"/>
  <c r="AR948" i="1"/>
  <c r="AJ945" i="1"/>
  <c r="AF944" i="1"/>
  <c r="AR944" i="1"/>
  <c r="AJ944" i="1"/>
  <c r="AJ940" i="1"/>
  <c r="AR940" i="1"/>
  <c r="AJ937" i="1"/>
  <c r="AF936" i="1"/>
  <c r="AR936" i="1"/>
  <c r="AJ936" i="1"/>
  <c r="AJ933" i="1"/>
  <c r="AJ929" i="1"/>
  <c r="AO966" i="1"/>
  <c r="AL948" i="1"/>
  <c r="AQ948" i="1"/>
  <c r="AN940" i="1"/>
  <c r="AH940" i="1"/>
  <c r="AM940" i="1"/>
  <c r="AN931" i="1"/>
  <c r="AF931" i="1"/>
  <c r="AJ921" i="1"/>
  <c r="AQ920" i="1"/>
  <c r="AL920" i="1"/>
  <c r="AH920" i="1"/>
  <c r="AP912" i="1"/>
  <c r="AL912" i="1"/>
  <c r="AH912" i="1"/>
  <c r="AP908" i="1"/>
  <c r="AH908" i="1"/>
  <c r="AL908" i="1"/>
  <c r="AK962" i="1"/>
  <c r="AR962" i="1"/>
  <c r="AF952" i="1"/>
  <c r="AI952" i="1"/>
  <c r="AK952" i="1"/>
  <c r="AR931" i="1"/>
  <c r="AP931" i="1"/>
  <c r="AH927" i="1"/>
  <c r="AM927" i="1"/>
  <c r="AN920" i="1"/>
  <c r="AR916" i="1"/>
  <c r="AR912" i="1"/>
  <c r="AJ958" i="1"/>
  <c r="AO944" i="1"/>
  <c r="AI944" i="1"/>
  <c r="AK936" i="1"/>
  <c r="AP936" i="1"/>
  <c r="AR935" i="1"/>
  <c r="AN935" i="1"/>
  <c r="AJ935" i="1"/>
  <c r="AF935" i="1"/>
  <c r="AQ935" i="1"/>
  <c r="AM935" i="1"/>
  <c r="AI935" i="1"/>
  <c r="AP935" i="1"/>
  <c r="AL935" i="1"/>
  <c r="AH935" i="1"/>
  <c r="AO935" i="1"/>
  <c r="AK935" i="1"/>
  <c r="AG935" i="1"/>
  <c r="AH921" i="1"/>
  <c r="AJ918" i="1"/>
  <c r="AN918" i="1"/>
  <c r="AI916" i="1"/>
  <c r="AQ912" i="1"/>
  <c r="AJ910" i="1"/>
  <c r="AF910" i="1"/>
  <c r="AN910" i="1"/>
  <c r="AM932" i="1"/>
  <c r="AQ932" i="1"/>
  <c r="AF928" i="1"/>
  <c r="AN924" i="1"/>
  <c r="AK924" i="1"/>
  <c r="AP924" i="1"/>
  <c r="AK914" i="1"/>
  <c r="AP914" i="1"/>
  <c r="AO912" i="1"/>
  <c r="AM908" i="1"/>
  <c r="AO908" i="1"/>
  <c r="AN906" i="1"/>
  <c r="AI904" i="1"/>
  <c r="AK904" i="1"/>
  <c r="AP892" i="1"/>
  <c r="AL892" i="1"/>
  <c r="AH892" i="1"/>
  <c r="AP884" i="1"/>
  <c r="AL884" i="1"/>
  <c r="AH884" i="1"/>
  <c r="AL880" i="1"/>
  <c r="AO931" i="1"/>
  <c r="AK923" i="1"/>
  <c r="AR923" i="1"/>
  <c r="AM923" i="1"/>
  <c r="AM906" i="1"/>
  <c r="AK902" i="1"/>
  <c r="AQ902" i="1"/>
  <c r="AF896" i="1"/>
  <c r="AF892" i="1"/>
  <c r="AF888" i="1"/>
  <c r="AF884" i="1"/>
  <c r="AL918" i="1"/>
  <c r="AQ918" i="1"/>
  <c r="AL910" i="1"/>
  <c r="AQ910" i="1"/>
  <c r="AJ902" i="1"/>
  <c r="AM892" i="1"/>
  <c r="AP891" i="1"/>
  <c r="AL891" i="1"/>
  <c r="AH891" i="1"/>
  <c r="AO891" i="1"/>
  <c r="AK891" i="1"/>
  <c r="AG891" i="1"/>
  <c r="AR891" i="1"/>
  <c r="AN891" i="1"/>
  <c r="AJ891" i="1"/>
  <c r="AF891" i="1"/>
  <c r="AQ891" i="1"/>
  <c r="AM891" i="1"/>
  <c r="AI891" i="1"/>
  <c r="AM884" i="1"/>
  <c r="AP883" i="1"/>
  <c r="AL883" i="1"/>
  <c r="AH883" i="1"/>
  <c r="AO883" i="1"/>
  <c r="AK883" i="1"/>
  <c r="AG883" i="1"/>
  <c r="AR883" i="1"/>
  <c r="AN883" i="1"/>
  <c r="AJ883" i="1"/>
  <c r="AF883" i="1"/>
  <c r="AQ883" i="1"/>
  <c r="AM883" i="1"/>
  <c r="AI883" i="1"/>
  <c r="AN870" i="1"/>
  <c r="AF870" i="1"/>
  <c r="AP870" i="1"/>
  <c r="AH870" i="1"/>
  <c r="AO900" i="1"/>
  <c r="AN900" i="1"/>
  <c r="AF894" i="1"/>
  <c r="AM880" i="1"/>
  <c r="AO880" i="1"/>
  <c r="AM876" i="1"/>
  <c r="AO876" i="1"/>
  <c r="AM872" i="1"/>
  <c r="AO872" i="1"/>
  <c r="AR867" i="1"/>
  <c r="AN867" i="1"/>
  <c r="AJ867" i="1"/>
  <c r="AF867" i="1"/>
  <c r="AQ867" i="1"/>
  <c r="AL867" i="1"/>
  <c r="AG867" i="1"/>
  <c r="AP867" i="1"/>
  <c r="AK867" i="1"/>
  <c r="AO867" i="1"/>
  <c r="AI867" i="1"/>
  <c r="AM867" i="1"/>
  <c r="AH867" i="1"/>
  <c r="AK894" i="1"/>
  <c r="AP894" i="1"/>
  <c r="AO892" i="1"/>
  <c r="AK886" i="1"/>
  <c r="AO884" i="1"/>
  <c r="AK878" i="1"/>
  <c r="AQ878" i="1"/>
  <c r="AK874" i="1"/>
  <c r="AQ874" i="1"/>
  <c r="AM870" i="1"/>
  <c r="AO851" i="1"/>
  <c r="AK851" i="1"/>
  <c r="AG851" i="1"/>
  <c r="AR851" i="1"/>
  <c r="AN851" i="1"/>
  <c r="AJ851" i="1"/>
  <c r="AF851" i="1"/>
  <c r="AQ851" i="1"/>
  <c r="AM851" i="1"/>
  <c r="AI851" i="1"/>
  <c r="AL851" i="1"/>
  <c r="AH851" i="1"/>
  <c r="AP851" i="1"/>
  <c r="AO835" i="1"/>
  <c r="AK835" i="1"/>
  <c r="AG835" i="1"/>
  <c r="AR835" i="1"/>
  <c r="AN835" i="1"/>
  <c r="AJ835" i="1"/>
  <c r="AF835" i="1"/>
  <c r="AQ835" i="1"/>
  <c r="AM835" i="1"/>
  <c r="AI835" i="1"/>
  <c r="AL835" i="1"/>
  <c r="AH835" i="1"/>
  <c r="AP835" i="1"/>
  <c r="AN904" i="1"/>
  <c r="AN876" i="1"/>
  <c r="AF872" i="1"/>
  <c r="AN861" i="1"/>
  <c r="AJ861" i="1"/>
  <c r="AF861" i="1"/>
  <c r="AP858" i="1"/>
  <c r="AL858" i="1"/>
  <c r="AH858" i="1"/>
  <c r="AO858" i="1"/>
  <c r="AK858" i="1"/>
  <c r="AG858" i="1"/>
  <c r="AR858" i="1"/>
  <c r="AN858" i="1"/>
  <c r="AJ858" i="1"/>
  <c r="AF858" i="1"/>
  <c r="AQ858" i="1"/>
  <c r="AM858" i="1"/>
  <c r="AI858" i="1"/>
  <c r="AN845" i="1"/>
  <c r="AJ845" i="1"/>
  <c r="AF845" i="1"/>
  <c r="AP842" i="1"/>
  <c r="AL842" i="1"/>
  <c r="AH842" i="1"/>
  <c r="AO842" i="1"/>
  <c r="AK842" i="1"/>
  <c r="AG842" i="1"/>
  <c r="AR842" i="1"/>
  <c r="AN842" i="1"/>
  <c r="AJ842" i="1"/>
  <c r="AF842" i="1"/>
  <c r="AQ842" i="1"/>
  <c r="AM842" i="1"/>
  <c r="AI842" i="1"/>
  <c r="AN829" i="1"/>
  <c r="AJ829" i="1"/>
  <c r="AF829" i="1"/>
  <c r="AP826" i="1"/>
  <c r="AL826" i="1"/>
  <c r="AH826" i="1"/>
  <c r="AO826" i="1"/>
  <c r="AK826" i="1"/>
  <c r="AG826" i="1"/>
  <c r="AR826" i="1"/>
  <c r="AN826" i="1"/>
  <c r="AJ826" i="1"/>
  <c r="AF826" i="1"/>
  <c r="AQ826" i="1"/>
  <c r="AM826" i="1"/>
  <c r="AI826" i="1"/>
  <c r="AN813" i="1"/>
  <c r="AI813" i="1"/>
  <c r="AF813" i="1"/>
  <c r="AQ813" i="1"/>
  <c r="AL813" i="1"/>
  <c r="AR861" i="1"/>
  <c r="AH861" i="1"/>
  <c r="AM861" i="1"/>
  <c r="AK845" i="1"/>
  <c r="AP845" i="1"/>
  <c r="AR844" i="1"/>
  <c r="AN844" i="1"/>
  <c r="AJ844" i="1"/>
  <c r="AF844" i="1"/>
  <c r="AQ844" i="1"/>
  <c r="AM844" i="1"/>
  <c r="AI844" i="1"/>
  <c r="AP844" i="1"/>
  <c r="AL844" i="1"/>
  <c r="AH844" i="1"/>
  <c r="AK844" i="1"/>
  <c r="AG844" i="1"/>
  <c r="AO844" i="1"/>
  <c r="AF841" i="1"/>
  <c r="AR829" i="1"/>
  <c r="AH829" i="1"/>
  <c r="AM829" i="1"/>
  <c r="AP804" i="1"/>
  <c r="AL804" i="1"/>
  <c r="AH804" i="1"/>
  <c r="AL800" i="1"/>
  <c r="AH800" i="1"/>
  <c r="AP800" i="1"/>
  <c r="AH796" i="1"/>
  <c r="AP796" i="1"/>
  <c r="AL796" i="1"/>
  <c r="AK784" i="1"/>
  <c r="AH780" i="1"/>
  <c r="AP780" i="1"/>
  <c r="AL780" i="1"/>
  <c r="AP772" i="1"/>
  <c r="AL772" i="1"/>
  <c r="AQ772" i="1"/>
  <c r="AH772" i="1"/>
  <c r="AR772" i="1"/>
  <c r="AR764" i="1"/>
  <c r="AJ764" i="1"/>
  <c r="AR881" i="1"/>
  <c r="AN881" i="1"/>
  <c r="AJ881" i="1"/>
  <c r="AF881" i="1"/>
  <c r="AQ881" i="1"/>
  <c r="AM881" i="1"/>
  <c r="AI881" i="1"/>
  <c r="AP881" i="1"/>
  <c r="AL881" i="1"/>
  <c r="AH881" i="1"/>
  <c r="AO881" i="1"/>
  <c r="AK881" i="1"/>
  <c r="AG881" i="1"/>
  <c r="AR878" i="1"/>
  <c r="AK857" i="1"/>
  <c r="AP857" i="1"/>
  <c r="AR856" i="1"/>
  <c r="AN856" i="1"/>
  <c r="AJ856" i="1"/>
  <c r="AF856" i="1"/>
  <c r="AQ856" i="1"/>
  <c r="AM856" i="1"/>
  <c r="AI856" i="1"/>
  <c r="AP856" i="1"/>
  <c r="AL856" i="1"/>
  <c r="AH856" i="1"/>
  <c r="AO856" i="1"/>
  <c r="AK856" i="1"/>
  <c r="AG856" i="1"/>
  <c r="AO841" i="1"/>
  <c r="AI841" i="1"/>
  <c r="AR825" i="1"/>
  <c r="AH825" i="1"/>
  <c r="AM825" i="1"/>
  <c r="AJ808" i="1"/>
  <c r="AJ804" i="1"/>
  <c r="AJ800" i="1"/>
  <c r="AJ796" i="1"/>
  <c r="AJ792" i="1"/>
  <c r="AJ788" i="1"/>
  <c r="AJ784" i="1"/>
  <c r="AJ780" i="1"/>
  <c r="AJ776" i="1"/>
  <c r="AR877" i="1"/>
  <c r="AN877" i="1"/>
  <c r="AJ877" i="1"/>
  <c r="AF877" i="1"/>
  <c r="AP877" i="1"/>
  <c r="AL877" i="1"/>
  <c r="AH877" i="1"/>
  <c r="AQ877" i="1"/>
  <c r="AI877" i="1"/>
  <c r="AO877" i="1"/>
  <c r="AG877" i="1"/>
  <c r="AM877" i="1"/>
  <c r="AK877" i="1"/>
  <c r="AK868" i="1"/>
  <c r="AR868" i="1"/>
  <c r="AM868" i="1"/>
  <c r="AL853" i="1"/>
  <c r="AQ853" i="1"/>
  <c r="AO837" i="1"/>
  <c r="AI837" i="1"/>
  <c r="AL821" i="1"/>
  <c r="AQ821" i="1"/>
  <c r="AM808" i="1"/>
  <c r="AP807" i="1"/>
  <c r="AL807" i="1"/>
  <c r="AH807" i="1"/>
  <c r="AO807" i="1"/>
  <c r="AK807" i="1"/>
  <c r="AG807" i="1"/>
  <c r="AR807" i="1"/>
  <c r="AN807" i="1"/>
  <c r="AJ807" i="1"/>
  <c r="AF807" i="1"/>
  <c r="AQ807" i="1"/>
  <c r="AM807" i="1"/>
  <c r="AI807" i="1"/>
  <c r="AQ800" i="1"/>
  <c r="AM796" i="1"/>
  <c r="AP795" i="1"/>
  <c r="AL795" i="1"/>
  <c r="AH795" i="1"/>
  <c r="AO795" i="1"/>
  <c r="AK795" i="1"/>
  <c r="AG795" i="1"/>
  <c r="AR795" i="1"/>
  <c r="AN795" i="1"/>
  <c r="AJ795" i="1"/>
  <c r="AF795" i="1"/>
  <c r="AQ795" i="1"/>
  <c r="AM795" i="1"/>
  <c r="AI795" i="1"/>
  <c r="AF794" i="1"/>
  <c r="AQ784" i="1"/>
  <c r="AM780" i="1"/>
  <c r="AP779" i="1"/>
  <c r="AL779" i="1"/>
  <c r="AH779" i="1"/>
  <c r="AO779" i="1"/>
  <c r="AK779" i="1"/>
  <c r="AG779" i="1"/>
  <c r="AR779" i="1"/>
  <c r="AN779" i="1"/>
  <c r="AJ779" i="1"/>
  <c r="AF779" i="1"/>
  <c r="AQ779" i="1"/>
  <c r="AM779" i="1"/>
  <c r="AI779" i="1"/>
  <c r="AF778" i="1"/>
  <c r="AF882" i="1"/>
  <c r="AK882" i="1"/>
  <c r="AP882" i="1"/>
  <c r="AO806" i="1"/>
  <c r="AI806" i="1"/>
  <c r="AF798" i="1"/>
  <c r="AR794" i="1"/>
  <c r="AL774" i="1"/>
  <c r="AL770" i="1"/>
  <c r="AL766" i="1"/>
  <c r="AL762" i="1"/>
  <c r="AL758" i="1"/>
  <c r="AK748" i="1"/>
  <c r="AP744" i="1"/>
  <c r="AL744" i="1"/>
  <c r="AH744" i="1"/>
  <c r="AK732" i="1"/>
  <c r="AP728" i="1"/>
  <c r="AL728" i="1"/>
  <c r="AH728" i="1"/>
  <c r="AK716" i="1"/>
  <c r="AP712" i="1"/>
  <c r="AL712" i="1"/>
  <c r="AH712" i="1"/>
  <c r="AK700" i="1"/>
  <c r="AP696" i="1"/>
  <c r="AL696" i="1"/>
  <c r="AH696" i="1"/>
  <c r="AR870" i="1"/>
  <c r="AL865" i="1"/>
  <c r="AQ865" i="1"/>
  <c r="AJ833" i="1"/>
  <c r="AO833" i="1"/>
  <c r="AI833" i="1"/>
  <c r="AR813" i="1"/>
  <c r="AM810" i="1"/>
  <c r="AL794" i="1"/>
  <c r="AQ794" i="1"/>
  <c r="AO786" i="1"/>
  <c r="AI786" i="1"/>
  <c r="AL778" i="1"/>
  <c r="AQ778" i="1"/>
  <c r="AO774" i="1"/>
  <c r="AQ774" i="1"/>
  <c r="AK770" i="1"/>
  <c r="AQ770" i="1"/>
  <c r="AK766" i="1"/>
  <c r="AQ766" i="1"/>
  <c r="AK762" i="1"/>
  <c r="AQ762" i="1"/>
  <c r="AK758" i="1"/>
  <c r="AQ758" i="1"/>
  <c r="AF756" i="1"/>
  <c r="AF752" i="1"/>
  <c r="AF748" i="1"/>
  <c r="AF744" i="1"/>
  <c r="AF736" i="1"/>
  <c r="AF732" i="1"/>
  <c r="AF728" i="1"/>
  <c r="AF720" i="1"/>
  <c r="AF716" i="1"/>
  <c r="AF712" i="1"/>
  <c r="AF704" i="1"/>
  <c r="AF700" i="1"/>
  <c r="AF696" i="1"/>
  <c r="AF688" i="1"/>
  <c r="AR905" i="1"/>
  <c r="AN905" i="1"/>
  <c r="AJ905" i="1"/>
  <c r="AF905" i="1"/>
  <c r="AP905" i="1"/>
  <c r="AL905" i="1"/>
  <c r="AH905" i="1"/>
  <c r="AQ905" i="1"/>
  <c r="AI905" i="1"/>
  <c r="AO905" i="1"/>
  <c r="AG905" i="1"/>
  <c r="AM905" i="1"/>
  <c r="AK905" i="1"/>
  <c r="AR890" i="1"/>
  <c r="AL890" i="1"/>
  <c r="AQ890" i="1"/>
  <c r="AK811" i="1"/>
  <c r="AR811" i="1"/>
  <c r="AM811" i="1"/>
  <c r="AO810" i="1"/>
  <c r="AL810" i="1"/>
  <c r="AN810" i="1"/>
  <c r="AO798" i="1"/>
  <c r="AI798" i="1"/>
  <c r="AR769" i="1"/>
  <c r="AN769" i="1"/>
  <c r="AJ769" i="1"/>
  <c r="AF769" i="1"/>
  <c r="AP769" i="1"/>
  <c r="AL769" i="1"/>
  <c r="AH769" i="1"/>
  <c r="AO769" i="1"/>
  <c r="AG769" i="1"/>
  <c r="AM769" i="1"/>
  <c r="AK769" i="1"/>
  <c r="AQ769" i="1"/>
  <c r="AI769" i="1"/>
  <c r="AH762" i="1"/>
  <c r="AI756" i="1"/>
  <c r="AQ752" i="1"/>
  <c r="AM748" i="1"/>
  <c r="AP747" i="1"/>
  <c r="AL747" i="1"/>
  <c r="AH747" i="1"/>
  <c r="AO747" i="1"/>
  <c r="AK747" i="1"/>
  <c r="AG747" i="1"/>
  <c r="AR747" i="1"/>
  <c r="AN747" i="1"/>
  <c r="AJ747" i="1"/>
  <c r="AF747" i="1"/>
  <c r="AQ747" i="1"/>
  <c r="AM747" i="1"/>
  <c r="AI747" i="1"/>
  <c r="AF746" i="1"/>
  <c r="AI744" i="1"/>
  <c r="AQ736" i="1"/>
  <c r="AM732" i="1"/>
  <c r="AP731" i="1"/>
  <c r="AL731" i="1"/>
  <c r="AH731" i="1"/>
  <c r="AO731" i="1"/>
  <c r="AK731" i="1"/>
  <c r="AG731" i="1"/>
  <c r="AR731" i="1"/>
  <c r="AN731" i="1"/>
  <c r="AJ731" i="1"/>
  <c r="AF731" i="1"/>
  <c r="AQ731" i="1"/>
  <c r="AM731" i="1"/>
  <c r="AI731" i="1"/>
  <c r="AF730" i="1"/>
  <c r="AJ730" i="1"/>
  <c r="AI728" i="1"/>
  <c r="AQ720" i="1"/>
  <c r="AM716" i="1"/>
  <c r="AP715" i="1"/>
  <c r="AL715" i="1"/>
  <c r="AH715" i="1"/>
  <c r="AO715" i="1"/>
  <c r="AK715" i="1"/>
  <c r="AG715" i="1"/>
  <c r="AR715" i="1"/>
  <c r="AN715" i="1"/>
  <c r="AJ715" i="1"/>
  <c r="AF715" i="1"/>
  <c r="AQ715" i="1"/>
  <c r="AM715" i="1"/>
  <c r="AI715" i="1"/>
  <c r="AF714" i="1"/>
  <c r="AI714" i="1"/>
  <c r="AO714" i="1"/>
  <c r="AP714" i="1"/>
  <c r="AK714" i="1"/>
  <c r="AI712" i="1"/>
  <c r="AQ704" i="1"/>
  <c r="AM700" i="1"/>
  <c r="AP699" i="1"/>
  <c r="AL699" i="1"/>
  <c r="AH699" i="1"/>
  <c r="AO699" i="1"/>
  <c r="AK699" i="1"/>
  <c r="AG699" i="1"/>
  <c r="AR699" i="1"/>
  <c r="AN699" i="1"/>
  <c r="AJ699" i="1"/>
  <c r="AF699" i="1"/>
  <c r="AQ699" i="1"/>
  <c r="AM699" i="1"/>
  <c r="AI699" i="1"/>
  <c r="AF698" i="1"/>
  <c r="AI698" i="1"/>
  <c r="AO698" i="1"/>
  <c r="AJ698" i="1"/>
  <c r="AP698" i="1"/>
  <c r="AK698" i="1"/>
  <c r="AI696" i="1"/>
  <c r="AQ688" i="1"/>
  <c r="AF790" i="1"/>
  <c r="AO790" i="1"/>
  <c r="AI790" i="1"/>
  <c r="AF760" i="1"/>
  <c r="AI760" i="1"/>
  <c r="AK760" i="1"/>
  <c r="AR746" i="1"/>
  <c r="AO720" i="1"/>
  <c r="AR714" i="1"/>
  <c r="AO688" i="1"/>
  <c r="AR677" i="1"/>
  <c r="AN677" i="1"/>
  <c r="AJ677" i="1"/>
  <c r="AF677" i="1"/>
  <c r="AP677" i="1"/>
  <c r="AL677" i="1"/>
  <c r="AH677" i="1"/>
  <c r="AK677" i="1"/>
  <c r="AQ677" i="1"/>
  <c r="AI677" i="1"/>
  <c r="AO677" i="1"/>
  <c r="AG677" i="1"/>
  <c r="AM677" i="1"/>
  <c r="AL672" i="1"/>
  <c r="AR661" i="1"/>
  <c r="AN661" i="1"/>
  <c r="AJ661" i="1"/>
  <c r="AF661" i="1"/>
  <c r="AP661" i="1"/>
  <c r="AL661" i="1"/>
  <c r="AH661" i="1"/>
  <c r="AK661" i="1"/>
  <c r="AQ661" i="1"/>
  <c r="AI661" i="1"/>
  <c r="AO661" i="1"/>
  <c r="AG661" i="1"/>
  <c r="AM661" i="1"/>
  <c r="AK658" i="1"/>
  <c r="AK650" i="1"/>
  <c r="AK642" i="1"/>
  <c r="AK634" i="1"/>
  <c r="AK626" i="1"/>
  <c r="AK622" i="1"/>
  <c r="AK618" i="1"/>
  <c r="AH614" i="1"/>
  <c r="AL614" i="1"/>
  <c r="AP614" i="1"/>
  <c r="AO614" i="1"/>
  <c r="AM614" i="1"/>
  <c r="AF614" i="1"/>
  <c r="AQ614" i="1"/>
  <c r="AJ614" i="1"/>
  <c r="AK602" i="1"/>
  <c r="AH598" i="1"/>
  <c r="AP598" i="1"/>
  <c r="AL598" i="1"/>
  <c r="AM598" i="1"/>
  <c r="AF598" i="1"/>
  <c r="AQ598" i="1"/>
  <c r="AJ598" i="1"/>
  <c r="AK815" i="1"/>
  <c r="AR815" i="1"/>
  <c r="AM815" i="1"/>
  <c r="AF802" i="1"/>
  <c r="AO802" i="1"/>
  <c r="AI802" i="1"/>
  <c r="AJ786" i="1"/>
  <c r="AR777" i="1"/>
  <c r="AN777" i="1"/>
  <c r="AJ777" i="1"/>
  <c r="AF777" i="1"/>
  <c r="AQ777" i="1"/>
  <c r="AM777" i="1"/>
  <c r="AI777" i="1"/>
  <c r="AP777" i="1"/>
  <c r="AL777" i="1"/>
  <c r="AH777" i="1"/>
  <c r="AG777" i="1"/>
  <c r="AO777" i="1"/>
  <c r="AK777" i="1"/>
  <c r="AP766" i="1"/>
  <c r="AH764" i="1"/>
  <c r="AQ764" i="1"/>
  <c r="AO754" i="1"/>
  <c r="AI754" i="1"/>
  <c r="AL746" i="1"/>
  <c r="AQ746" i="1"/>
  <c r="AO738" i="1"/>
  <c r="AI738" i="1"/>
  <c r="AL730" i="1"/>
  <c r="AQ730" i="1"/>
  <c r="AO722" i="1"/>
  <c r="AI722" i="1"/>
  <c r="AQ714" i="1"/>
  <c r="AP706" i="1"/>
  <c r="AH698" i="1"/>
  <c r="AI690" i="1"/>
  <c r="AN646" i="1"/>
  <c r="AN638" i="1"/>
  <c r="AN622" i="1"/>
  <c r="AN614" i="1"/>
  <c r="AN606" i="1"/>
  <c r="AN598" i="1"/>
  <c r="AN590" i="1"/>
  <c r="AN849" i="1"/>
  <c r="AR820" i="1"/>
  <c r="AQ820" i="1"/>
  <c r="AM820" i="1"/>
  <c r="AI820" i="1"/>
  <c r="AP820" i="1"/>
  <c r="AL820" i="1"/>
  <c r="AH820" i="1"/>
  <c r="AJ820" i="1"/>
  <c r="AO820" i="1"/>
  <c r="AG820" i="1"/>
  <c r="AN820" i="1"/>
  <c r="AF820" i="1"/>
  <c r="AK820" i="1"/>
  <c r="AH768" i="1"/>
  <c r="AH680" i="1"/>
  <c r="AP679" i="1"/>
  <c r="AL679" i="1"/>
  <c r="AH679" i="1"/>
  <c r="AR679" i="1"/>
  <c r="AN679" i="1"/>
  <c r="AJ679" i="1"/>
  <c r="AF679" i="1"/>
  <c r="AO679" i="1"/>
  <c r="AG679" i="1"/>
  <c r="AM679" i="1"/>
  <c r="AK679" i="1"/>
  <c r="AI679" i="1"/>
  <c r="AQ679" i="1"/>
  <c r="AJ656" i="1"/>
  <c r="AF656" i="1"/>
  <c r="AI656" i="1"/>
  <c r="AO656" i="1"/>
  <c r="AP656" i="1"/>
  <c r="AK656" i="1"/>
  <c r="AN656" i="1"/>
  <c r="AQ642" i="1"/>
  <c r="AP637" i="1"/>
  <c r="AL637" i="1"/>
  <c r="AH637" i="1"/>
  <c r="AO637" i="1"/>
  <c r="AK637" i="1"/>
  <c r="AG637" i="1"/>
  <c r="AR637" i="1"/>
  <c r="AN637" i="1"/>
  <c r="AJ637" i="1"/>
  <c r="AF637" i="1"/>
  <c r="AM637" i="1"/>
  <c r="AI637" i="1"/>
  <c r="AQ637" i="1"/>
  <c r="AM622" i="1"/>
  <c r="AI602" i="1"/>
  <c r="AM590" i="1"/>
  <c r="AJ772" i="1"/>
  <c r="AM772" i="1"/>
  <c r="AK726" i="1"/>
  <c r="AJ714" i="1"/>
  <c r="AR705" i="1"/>
  <c r="AN705" i="1"/>
  <c r="AJ705" i="1"/>
  <c r="AF705" i="1"/>
  <c r="AQ705" i="1"/>
  <c r="AM705" i="1"/>
  <c r="AI705" i="1"/>
  <c r="AP705" i="1"/>
  <c r="AL705" i="1"/>
  <c r="AH705" i="1"/>
  <c r="AG705" i="1"/>
  <c r="AO705" i="1"/>
  <c r="AK705" i="1"/>
  <c r="AR694" i="1"/>
  <c r="AO694" i="1"/>
  <c r="AJ682" i="1"/>
  <c r="AR656" i="1"/>
  <c r="AM656" i="1"/>
  <c r="AM632" i="1"/>
  <c r="AK620" i="1"/>
  <c r="AO618" i="1"/>
  <c r="AR584" i="1"/>
  <c r="AQ584" i="1"/>
  <c r="AO580" i="1"/>
  <c r="AK576" i="1"/>
  <c r="AR568" i="1"/>
  <c r="AQ568" i="1"/>
  <c r="AO564" i="1"/>
  <c r="AK560" i="1"/>
  <c r="AR552" i="1"/>
  <c r="AQ552" i="1"/>
  <c r="AJ750" i="1"/>
  <c r="AR745" i="1"/>
  <c r="AN745" i="1"/>
  <c r="AJ745" i="1"/>
  <c r="AF745" i="1"/>
  <c r="AQ745" i="1"/>
  <c r="AM745" i="1"/>
  <c r="AI745" i="1"/>
  <c r="AP745" i="1"/>
  <c r="AL745" i="1"/>
  <c r="AH745" i="1"/>
  <c r="AG745" i="1"/>
  <c r="AO745" i="1"/>
  <c r="AK745" i="1"/>
  <c r="AJ702" i="1"/>
  <c r="AH678" i="1"/>
  <c r="AR659" i="1"/>
  <c r="AN659" i="1"/>
  <c r="AJ659" i="1"/>
  <c r="AF659" i="1"/>
  <c r="AQ659" i="1"/>
  <c r="AM659" i="1"/>
  <c r="AI659" i="1"/>
  <c r="AP659" i="1"/>
  <c r="AL659" i="1"/>
  <c r="AH659" i="1"/>
  <c r="AO659" i="1"/>
  <c r="AK659" i="1"/>
  <c r="AG659" i="1"/>
  <c r="AQ612" i="1"/>
  <c r="AK596" i="1"/>
  <c r="AR591" i="1"/>
  <c r="AN591" i="1"/>
  <c r="AJ591" i="1"/>
  <c r="AF591" i="1"/>
  <c r="AQ591" i="1"/>
  <c r="AM591" i="1"/>
  <c r="AI591" i="1"/>
  <c r="AP591" i="1"/>
  <c r="AL591" i="1"/>
  <c r="AH591" i="1"/>
  <c r="AO591" i="1"/>
  <c r="AK591" i="1"/>
  <c r="AG591" i="1"/>
  <c r="AN588" i="1"/>
  <c r="AI588" i="1"/>
  <c r="AR563" i="1"/>
  <c r="AN563" i="1"/>
  <c r="AJ563" i="1"/>
  <c r="AF563" i="1"/>
  <c r="AP563" i="1"/>
  <c r="AL563" i="1"/>
  <c r="AH563" i="1"/>
  <c r="AM563" i="1"/>
  <c r="AK563" i="1"/>
  <c r="AG563" i="1"/>
  <c r="AQ563" i="1"/>
  <c r="AO563" i="1"/>
  <c r="AI563" i="1"/>
  <c r="AH560" i="1"/>
  <c r="AP542" i="1"/>
  <c r="AL542" i="1"/>
  <c r="AN542" i="1"/>
  <c r="AN538" i="1"/>
  <c r="AF538" i="1"/>
  <c r="AR538" i="1"/>
  <c r="AI538" i="1"/>
  <c r="AO538" i="1"/>
  <c r="AQ538" i="1"/>
  <c r="AP538" i="1"/>
  <c r="AK538" i="1"/>
  <c r="AO535" i="1"/>
  <c r="AK535" i="1"/>
  <c r="AG535" i="1"/>
  <c r="AR535" i="1"/>
  <c r="AN535" i="1"/>
  <c r="AJ535" i="1"/>
  <c r="AF535" i="1"/>
  <c r="AM535" i="1"/>
  <c r="AL535" i="1"/>
  <c r="AQ535" i="1"/>
  <c r="AI535" i="1"/>
  <c r="AH535" i="1"/>
  <c r="AP535" i="1"/>
  <c r="AM526" i="1"/>
  <c r="AO526" i="1"/>
  <c r="AN522" i="1"/>
  <c r="AF522" i="1"/>
  <c r="AJ522" i="1"/>
  <c r="AO522" i="1"/>
  <c r="AP522" i="1"/>
  <c r="AK522" i="1"/>
  <c r="AI522" i="1"/>
  <c r="AR522" i="1"/>
  <c r="AQ522" i="1"/>
  <c r="AO519" i="1"/>
  <c r="AK519" i="1"/>
  <c r="AG519" i="1"/>
  <c r="AR519" i="1"/>
  <c r="AN519" i="1"/>
  <c r="AJ519" i="1"/>
  <c r="AF519" i="1"/>
  <c r="AM519" i="1"/>
  <c r="AL519" i="1"/>
  <c r="AQ519" i="1"/>
  <c r="AI519" i="1"/>
  <c r="AH519" i="1"/>
  <c r="AP519" i="1"/>
  <c r="AP510" i="1"/>
  <c r="AL510" i="1"/>
  <c r="AN510" i="1"/>
  <c r="AN506" i="1"/>
  <c r="AF506" i="1"/>
  <c r="AI506" i="1"/>
  <c r="AO506" i="1"/>
  <c r="AR506" i="1"/>
  <c r="AQ506" i="1"/>
  <c r="AP506" i="1"/>
  <c r="AK506" i="1"/>
  <c r="AH506" i="1"/>
  <c r="AM506" i="1"/>
  <c r="AO503" i="1"/>
  <c r="AK503" i="1"/>
  <c r="AG503" i="1"/>
  <c r="AR503" i="1"/>
  <c r="AN503" i="1"/>
  <c r="AJ503" i="1"/>
  <c r="AF503" i="1"/>
  <c r="AM503" i="1"/>
  <c r="AL503" i="1"/>
  <c r="AQ503" i="1"/>
  <c r="AI503" i="1"/>
  <c r="AP503" i="1"/>
  <c r="AH503" i="1"/>
  <c r="AM494" i="1"/>
  <c r="AO494" i="1"/>
  <c r="AN490" i="1"/>
  <c r="AF490" i="1"/>
  <c r="AJ490" i="1"/>
  <c r="AO490" i="1"/>
  <c r="AP490" i="1"/>
  <c r="AK490" i="1"/>
  <c r="AI490" i="1"/>
  <c r="AR490" i="1"/>
  <c r="AQ490" i="1"/>
  <c r="AH490" i="1"/>
  <c r="AM490" i="1"/>
  <c r="AO487" i="1"/>
  <c r="AK487" i="1"/>
  <c r="AG487" i="1"/>
  <c r="AR487" i="1"/>
  <c r="AN487" i="1"/>
  <c r="AJ487" i="1"/>
  <c r="AF487" i="1"/>
  <c r="AM487" i="1"/>
  <c r="AL487" i="1"/>
  <c r="AQ487" i="1"/>
  <c r="AI487" i="1"/>
  <c r="AP487" i="1"/>
  <c r="AH487" i="1"/>
  <c r="AP478" i="1"/>
  <c r="AL478" i="1"/>
  <c r="AN478" i="1"/>
  <c r="AN474" i="1"/>
  <c r="AF474" i="1"/>
  <c r="AI474" i="1"/>
  <c r="AO474" i="1"/>
  <c r="AQ474" i="1"/>
  <c r="AP474" i="1"/>
  <c r="AK474" i="1"/>
  <c r="AR474" i="1"/>
  <c r="AH474" i="1"/>
  <c r="AM474" i="1"/>
  <c r="AO471" i="1"/>
  <c r="AK471" i="1"/>
  <c r="AG471" i="1"/>
  <c r="AR471" i="1"/>
  <c r="AN471" i="1"/>
  <c r="AJ471" i="1"/>
  <c r="AF471" i="1"/>
  <c r="AM471" i="1"/>
  <c r="AL471" i="1"/>
  <c r="AQ471" i="1"/>
  <c r="AI471" i="1"/>
  <c r="AH471" i="1"/>
  <c r="AP471" i="1"/>
  <c r="AJ470" i="1"/>
  <c r="AH470" i="1"/>
  <c r="AQ470" i="1"/>
  <c r="AM470" i="1"/>
  <c r="AO470" i="1"/>
  <c r="AI470" i="1"/>
  <c r="AP470" i="1"/>
  <c r="AK470" i="1"/>
  <c r="AN470" i="1"/>
  <c r="AR470" i="1"/>
  <c r="AL470" i="1"/>
  <c r="AF470" i="1"/>
  <c r="AO467" i="1"/>
  <c r="AK467" i="1"/>
  <c r="AG467" i="1"/>
  <c r="AR467" i="1"/>
  <c r="AN467" i="1"/>
  <c r="AJ467" i="1"/>
  <c r="AF467" i="1"/>
  <c r="AM467" i="1"/>
  <c r="AL467" i="1"/>
  <c r="AQ467" i="1"/>
  <c r="AI467" i="1"/>
  <c r="AP467" i="1"/>
  <c r="AH467" i="1"/>
  <c r="AH466" i="1"/>
  <c r="AQ466" i="1"/>
  <c r="AM466" i="1"/>
  <c r="AO466" i="1"/>
  <c r="AI466" i="1"/>
  <c r="AR466" i="1"/>
  <c r="AP466" i="1"/>
  <c r="AK466" i="1"/>
  <c r="AN466" i="1"/>
  <c r="AJ466" i="1"/>
  <c r="AL466" i="1"/>
  <c r="AF466" i="1"/>
  <c r="AO463" i="1"/>
  <c r="AK463" i="1"/>
  <c r="AG463" i="1"/>
  <c r="AR463" i="1"/>
  <c r="AN463" i="1"/>
  <c r="AJ463" i="1"/>
  <c r="AF463" i="1"/>
  <c r="AM463" i="1"/>
  <c r="AL463" i="1"/>
  <c r="AQ463" i="1"/>
  <c r="AI463" i="1"/>
  <c r="AP463" i="1"/>
  <c r="AH463" i="1"/>
  <c r="AJ462" i="1"/>
  <c r="AH462" i="1"/>
  <c r="AQ462" i="1"/>
  <c r="AM462" i="1"/>
  <c r="AR462" i="1"/>
  <c r="AO462" i="1"/>
  <c r="AI462" i="1"/>
  <c r="AP462" i="1"/>
  <c r="AK462" i="1"/>
  <c r="AN462" i="1"/>
  <c r="AL462" i="1"/>
  <c r="AF462" i="1"/>
  <c r="AO459" i="1"/>
  <c r="AK459" i="1"/>
  <c r="AG459" i="1"/>
  <c r="AR459" i="1"/>
  <c r="AN459" i="1"/>
  <c r="AJ459" i="1"/>
  <c r="AF459" i="1"/>
  <c r="AM459" i="1"/>
  <c r="AL459" i="1"/>
  <c r="AQ459" i="1"/>
  <c r="AI459" i="1"/>
  <c r="AP459" i="1"/>
  <c r="AH459" i="1"/>
  <c r="AP458" i="1"/>
  <c r="AK458" i="1"/>
  <c r="AN458" i="1"/>
  <c r="AJ458" i="1"/>
  <c r="AL458" i="1"/>
  <c r="AF458" i="1"/>
  <c r="AH458" i="1"/>
  <c r="AQ458" i="1"/>
  <c r="AM458" i="1"/>
  <c r="AO458" i="1"/>
  <c r="AI458" i="1"/>
  <c r="AR458" i="1"/>
  <c r="AO455" i="1"/>
  <c r="AK455" i="1"/>
  <c r="AG455" i="1"/>
  <c r="AR455" i="1"/>
  <c r="AN455" i="1"/>
  <c r="AJ455" i="1"/>
  <c r="AF455" i="1"/>
  <c r="AM455" i="1"/>
  <c r="AL455" i="1"/>
  <c r="AQ455" i="1"/>
  <c r="AI455" i="1"/>
  <c r="AP455" i="1"/>
  <c r="AH455" i="1"/>
  <c r="AJ454" i="1"/>
  <c r="AH454" i="1"/>
  <c r="AQ454" i="1"/>
  <c r="AM454" i="1"/>
  <c r="AR454" i="1"/>
  <c r="AO454" i="1"/>
  <c r="AI454" i="1"/>
  <c r="AP454" i="1"/>
  <c r="AK454" i="1"/>
  <c r="AN454" i="1"/>
  <c r="AL454" i="1"/>
  <c r="AF454" i="1"/>
  <c r="AO451" i="1"/>
  <c r="AK451" i="1"/>
  <c r="AG451" i="1"/>
  <c r="AR451" i="1"/>
  <c r="AN451" i="1"/>
  <c r="AJ451" i="1"/>
  <c r="AF451" i="1"/>
  <c r="AM451" i="1"/>
  <c r="AL451" i="1"/>
  <c r="AQ451" i="1"/>
  <c r="AI451" i="1"/>
  <c r="AP451" i="1"/>
  <c r="AH451" i="1"/>
  <c r="AP450" i="1"/>
  <c r="AK450" i="1"/>
  <c r="AN450" i="1"/>
  <c r="AJ450" i="1"/>
  <c r="AL450" i="1"/>
  <c r="AF450" i="1"/>
  <c r="AH450" i="1"/>
  <c r="AQ450" i="1"/>
  <c r="AM450" i="1"/>
  <c r="AO450" i="1"/>
  <c r="AI450" i="1"/>
  <c r="AR450" i="1"/>
  <c r="AN790" i="1"/>
  <c r="AO742" i="1"/>
  <c r="AH710" i="1"/>
  <c r="AO658" i="1"/>
  <c r="AO642" i="1"/>
  <c r="AO626" i="1"/>
  <c r="AR697" i="1"/>
  <c r="AN697" i="1"/>
  <c r="AJ697" i="1"/>
  <c r="AF697" i="1"/>
  <c r="AQ697" i="1"/>
  <c r="AM697" i="1"/>
  <c r="AI697" i="1"/>
  <c r="AP697" i="1"/>
  <c r="AL697" i="1"/>
  <c r="AH697" i="1"/>
  <c r="AG697" i="1"/>
  <c r="AO697" i="1"/>
  <c r="AK697" i="1"/>
  <c r="AP572" i="1"/>
  <c r="AH538" i="1"/>
  <c r="AH522" i="1"/>
  <c r="AJ608" i="1"/>
  <c r="AL558" i="1"/>
  <c r="AN518" i="1"/>
  <c r="AF510" i="1"/>
  <c r="AJ506" i="1"/>
  <c r="AP1004" i="1"/>
  <c r="AL1004" i="1"/>
  <c r="AH1004" i="1"/>
  <c r="AO1004" i="1"/>
  <c r="AK1004" i="1"/>
  <c r="AG1004" i="1"/>
  <c r="AR1004" i="1"/>
  <c r="AN1004" i="1"/>
  <c r="AJ1004" i="1"/>
  <c r="AF1004" i="1"/>
  <c r="AM1004" i="1"/>
  <c r="AI1004" i="1"/>
  <c r="AQ1004" i="1"/>
  <c r="AR996" i="1"/>
  <c r="AF990" i="1"/>
  <c r="AQ960" i="1"/>
  <c r="AL960" i="1"/>
  <c r="AH960" i="1"/>
  <c r="AH971" i="1"/>
  <c r="AF960" i="1"/>
  <c r="AM960" i="1"/>
  <c r="AQ967" i="1"/>
  <c r="AO1005" i="1"/>
  <c r="AK1005" i="1"/>
  <c r="AG1005" i="1"/>
  <c r="AR1005" i="1"/>
  <c r="AN1005" i="1"/>
  <c r="AJ1005" i="1"/>
  <c r="AF1005" i="1"/>
  <c r="AQ1005" i="1"/>
  <c r="AM1005" i="1"/>
  <c r="AI1005" i="1"/>
  <c r="AP1005" i="1"/>
  <c r="AL1005" i="1"/>
  <c r="AH1005" i="1"/>
  <c r="AL994" i="1"/>
  <c r="AP994" i="1"/>
  <c r="AH994" i="1"/>
  <c r="AN994" i="1"/>
  <c r="AF994" i="1"/>
  <c r="AI994" i="1"/>
  <c r="AP993" i="1"/>
  <c r="AL993" i="1"/>
  <c r="AH993" i="1"/>
  <c r="AR993" i="1"/>
  <c r="AN993" i="1"/>
  <c r="AJ993" i="1"/>
  <c r="AF993" i="1"/>
  <c r="AO993" i="1"/>
  <c r="AG993" i="1"/>
  <c r="AM993" i="1"/>
  <c r="AK993" i="1"/>
  <c r="AQ993" i="1"/>
  <c r="AI993" i="1"/>
  <c r="AJ988" i="1"/>
  <c r="AI983" i="1"/>
  <c r="AQ990" i="1"/>
  <c r="AI990" i="1"/>
  <c r="AO990" i="1"/>
  <c r="AO977" i="1"/>
  <c r="AR977" i="1"/>
  <c r="AN977" i="1"/>
  <c r="AJ977" i="1"/>
  <c r="AF977" i="1"/>
  <c r="AQ977" i="1"/>
  <c r="AM977" i="1"/>
  <c r="AI977" i="1"/>
  <c r="AL977" i="1"/>
  <c r="AK977" i="1"/>
  <c r="AH977" i="1"/>
  <c r="AP977" i="1"/>
  <c r="AG977" i="1"/>
  <c r="AF989" i="1"/>
  <c r="AM989" i="1"/>
  <c r="AH989" i="1"/>
  <c r="AO986" i="1"/>
  <c r="AN986" i="1"/>
  <c r="AJ986" i="1"/>
  <c r="AF986" i="1"/>
  <c r="AR986" i="1"/>
  <c r="AM986" i="1"/>
  <c r="AI986" i="1"/>
  <c r="AQ986" i="1"/>
  <c r="AL986" i="1"/>
  <c r="AH986" i="1"/>
  <c r="AP986" i="1"/>
  <c r="AK986" i="1"/>
  <c r="AG986" i="1"/>
  <c r="AM979" i="1"/>
  <c r="AN974" i="1"/>
  <c r="AL974" i="1"/>
  <c r="AQ974" i="1"/>
  <c r="AK971" i="1"/>
  <c r="AP971" i="1"/>
  <c r="AR970" i="1"/>
  <c r="AN970" i="1"/>
  <c r="AJ970" i="1"/>
  <c r="AF970" i="1"/>
  <c r="AQ970" i="1"/>
  <c r="AM970" i="1"/>
  <c r="AI970" i="1"/>
  <c r="AP970" i="1"/>
  <c r="AL970" i="1"/>
  <c r="AH970" i="1"/>
  <c r="AO970" i="1"/>
  <c r="AK970" i="1"/>
  <c r="AG970" i="1"/>
  <c r="AN960" i="1"/>
  <c r="AR956" i="1"/>
  <c r="AR975" i="1"/>
  <c r="AI975" i="1"/>
  <c r="AO975" i="1"/>
  <c r="AN967" i="1"/>
  <c r="AK967" i="1"/>
  <c r="AP967" i="1"/>
  <c r="AO958" i="1"/>
  <c r="AI958" i="1"/>
  <c r="AK950" i="1"/>
  <c r="AP949" i="1"/>
  <c r="AL949" i="1"/>
  <c r="AH949" i="1"/>
  <c r="AI949" i="1"/>
  <c r="AQ949" i="1"/>
  <c r="AM949" i="1"/>
  <c r="AP941" i="1"/>
  <c r="AL941" i="1"/>
  <c r="AH941" i="1"/>
  <c r="AI941" i="1"/>
  <c r="AQ941" i="1"/>
  <c r="AM941" i="1"/>
  <c r="AM933" i="1"/>
  <c r="AL933" i="1"/>
  <c r="AQ933" i="1"/>
  <c r="AI933" i="1"/>
  <c r="AH933" i="1"/>
  <c r="AP933" i="1"/>
  <c r="AM925" i="1"/>
  <c r="AL925" i="1"/>
  <c r="AQ925" i="1"/>
  <c r="AI925" i="1"/>
  <c r="AH925" i="1"/>
  <c r="AP925" i="1"/>
  <c r="AN921" i="1"/>
  <c r="AI921" i="1"/>
  <c r="AQ921" i="1"/>
  <c r="AL921" i="1"/>
  <c r="AF921" i="1"/>
  <c r="AR957" i="1"/>
  <c r="AN957" i="1"/>
  <c r="AJ957" i="1"/>
  <c r="AF957" i="1"/>
  <c r="AQ957" i="1"/>
  <c r="AM957" i="1"/>
  <c r="AI957" i="1"/>
  <c r="AP957" i="1"/>
  <c r="AL957" i="1"/>
  <c r="AH957" i="1"/>
  <c r="AO957" i="1"/>
  <c r="AK957" i="1"/>
  <c r="AG957" i="1"/>
  <c r="AF949" i="1"/>
  <c r="AF945" i="1"/>
  <c r="AF941" i="1"/>
  <c r="AF937" i="1"/>
  <c r="AF933" i="1"/>
  <c r="AF929" i="1"/>
  <c r="AF925" i="1"/>
  <c r="AF966" i="1"/>
  <c r="AR947" i="1"/>
  <c r="AN947" i="1"/>
  <c r="AJ947" i="1"/>
  <c r="AF947" i="1"/>
  <c r="AQ947" i="1"/>
  <c r="AM947" i="1"/>
  <c r="AI947" i="1"/>
  <c r="AP947" i="1"/>
  <c r="AL947" i="1"/>
  <c r="AH947" i="1"/>
  <c r="AK947" i="1"/>
  <c r="AG947" i="1"/>
  <c r="AO947" i="1"/>
  <c r="AL940" i="1"/>
  <c r="AK927" i="1"/>
  <c r="AJ962" i="1"/>
  <c r="AP962" i="1"/>
  <c r="AN952" i="1"/>
  <c r="AM952" i="1"/>
  <c r="AO952" i="1"/>
  <c r="AL927" i="1"/>
  <c r="AQ927" i="1"/>
  <c r="AR926" i="1"/>
  <c r="AN926" i="1"/>
  <c r="AJ926" i="1"/>
  <c r="AF926" i="1"/>
  <c r="AQ926" i="1"/>
  <c r="AM926" i="1"/>
  <c r="AI926" i="1"/>
  <c r="AL926" i="1"/>
  <c r="AK926" i="1"/>
  <c r="AP926" i="1"/>
  <c r="AH926" i="1"/>
  <c r="AO926" i="1"/>
  <c r="AG926" i="1"/>
  <c r="AR922" i="1"/>
  <c r="AN922" i="1"/>
  <c r="AJ922" i="1"/>
  <c r="AF922" i="1"/>
  <c r="AQ922" i="1"/>
  <c r="AL922" i="1"/>
  <c r="AG922" i="1"/>
  <c r="AP922" i="1"/>
  <c r="AK922" i="1"/>
  <c r="AO922" i="1"/>
  <c r="AI922" i="1"/>
  <c r="AM922" i="1"/>
  <c r="AH922" i="1"/>
  <c r="AN916" i="1"/>
  <c r="AN912" i="1"/>
  <c r="AN944" i="1"/>
  <c r="AP919" i="1"/>
  <c r="AL919" i="1"/>
  <c r="AH919" i="1"/>
  <c r="AO919" i="1"/>
  <c r="AK919" i="1"/>
  <c r="AG919" i="1"/>
  <c r="AR919" i="1"/>
  <c r="AN919" i="1"/>
  <c r="AJ919" i="1"/>
  <c r="AF919" i="1"/>
  <c r="AM919" i="1"/>
  <c r="AI919" i="1"/>
  <c r="AQ919" i="1"/>
  <c r="AP911" i="1"/>
  <c r="AL911" i="1"/>
  <c r="AH911" i="1"/>
  <c r="AO911" i="1"/>
  <c r="AK911" i="1"/>
  <c r="AG911" i="1"/>
  <c r="AR911" i="1"/>
  <c r="AN911" i="1"/>
  <c r="AJ911" i="1"/>
  <c r="AF911" i="1"/>
  <c r="AM911" i="1"/>
  <c r="AI911" i="1"/>
  <c r="AQ911" i="1"/>
  <c r="AN898" i="1"/>
  <c r="AI898" i="1"/>
  <c r="AL898" i="1"/>
  <c r="AF898" i="1"/>
  <c r="AQ898" i="1"/>
  <c r="AF932" i="1"/>
  <c r="AN928" i="1"/>
  <c r="AR908" i="1"/>
  <c r="AQ908" i="1"/>
  <c r="AF906" i="1"/>
  <c r="AM904" i="1"/>
  <c r="AO904" i="1"/>
  <c r="AN902" i="1"/>
  <c r="AK898" i="1"/>
  <c r="AO927" i="1"/>
  <c r="AP923" i="1"/>
  <c r="AK906" i="1"/>
  <c r="AQ906" i="1"/>
  <c r="AP903" i="1"/>
  <c r="AL903" i="1"/>
  <c r="AH903" i="1"/>
  <c r="AR903" i="1"/>
  <c r="AN903" i="1"/>
  <c r="AJ903" i="1"/>
  <c r="AF903" i="1"/>
  <c r="AM903" i="1"/>
  <c r="AK903" i="1"/>
  <c r="AQ903" i="1"/>
  <c r="AI903" i="1"/>
  <c r="AO903" i="1"/>
  <c r="AG903" i="1"/>
  <c r="AR896" i="1"/>
  <c r="AR888" i="1"/>
  <c r="AO937" i="1"/>
  <c r="AF886" i="1"/>
  <c r="AN886" i="1"/>
  <c r="AJ886" i="1"/>
  <c r="AN874" i="1"/>
  <c r="AF874" i="1"/>
  <c r="AP874" i="1"/>
  <c r="AH874" i="1"/>
  <c r="AF900" i="1"/>
  <c r="AR893" i="1"/>
  <c r="AN893" i="1"/>
  <c r="AJ893" i="1"/>
  <c r="AF893" i="1"/>
  <c r="AQ893" i="1"/>
  <c r="AM893" i="1"/>
  <c r="AI893" i="1"/>
  <c r="AP893" i="1"/>
  <c r="AL893" i="1"/>
  <c r="AH893" i="1"/>
  <c r="AK893" i="1"/>
  <c r="AG893" i="1"/>
  <c r="AO893" i="1"/>
  <c r="AR885" i="1"/>
  <c r="AN885" i="1"/>
  <c r="AJ885" i="1"/>
  <c r="AF885" i="1"/>
  <c r="AQ885" i="1"/>
  <c r="AM885" i="1"/>
  <c r="AI885" i="1"/>
  <c r="AP885" i="1"/>
  <c r="AL885" i="1"/>
  <c r="AH885" i="1"/>
  <c r="AK885" i="1"/>
  <c r="AG885" i="1"/>
  <c r="AO885" i="1"/>
  <c r="AR880" i="1"/>
  <c r="AR876" i="1"/>
  <c r="AQ876" i="1"/>
  <c r="AR872" i="1"/>
  <c r="AO894" i="1"/>
  <c r="AI894" i="1"/>
  <c r="AO886" i="1"/>
  <c r="AI886" i="1"/>
  <c r="AP879" i="1"/>
  <c r="AL879" i="1"/>
  <c r="AH879" i="1"/>
  <c r="AR879" i="1"/>
  <c r="AN879" i="1"/>
  <c r="AJ879" i="1"/>
  <c r="AF879" i="1"/>
  <c r="AM879" i="1"/>
  <c r="AK879" i="1"/>
  <c r="AQ879" i="1"/>
  <c r="AI879" i="1"/>
  <c r="AO879" i="1"/>
  <c r="AG879" i="1"/>
  <c r="AH876" i="1"/>
  <c r="AP875" i="1"/>
  <c r="AL875" i="1"/>
  <c r="AH875" i="1"/>
  <c r="AR875" i="1"/>
  <c r="AN875" i="1"/>
  <c r="AJ875" i="1"/>
  <c r="AF875" i="1"/>
  <c r="AM875" i="1"/>
  <c r="AK875" i="1"/>
  <c r="AQ875" i="1"/>
  <c r="AI875" i="1"/>
  <c r="AG875" i="1"/>
  <c r="AO875" i="1"/>
  <c r="AO874" i="1"/>
  <c r="AO855" i="1"/>
  <c r="AK855" i="1"/>
  <c r="AG855" i="1"/>
  <c r="AR855" i="1"/>
  <c r="AN855" i="1"/>
  <c r="AJ855" i="1"/>
  <c r="AF855" i="1"/>
  <c r="AQ855" i="1"/>
  <c r="AM855" i="1"/>
  <c r="AI855" i="1"/>
  <c r="AH855" i="1"/>
  <c r="AP855" i="1"/>
  <c r="AL855" i="1"/>
  <c r="AO839" i="1"/>
  <c r="AK839" i="1"/>
  <c r="AG839" i="1"/>
  <c r="AR839" i="1"/>
  <c r="AN839" i="1"/>
  <c r="AJ839" i="1"/>
  <c r="AF839" i="1"/>
  <c r="AQ839" i="1"/>
  <c r="AM839" i="1"/>
  <c r="AI839" i="1"/>
  <c r="AH839" i="1"/>
  <c r="AP839" i="1"/>
  <c r="AL839" i="1"/>
  <c r="AO823" i="1"/>
  <c r="AK823" i="1"/>
  <c r="AG823" i="1"/>
  <c r="AR823" i="1"/>
  <c r="AN823" i="1"/>
  <c r="AJ823" i="1"/>
  <c r="AF823" i="1"/>
  <c r="AQ823" i="1"/>
  <c r="AM823" i="1"/>
  <c r="AI823" i="1"/>
  <c r="AH823" i="1"/>
  <c r="AP823" i="1"/>
  <c r="AL823" i="1"/>
  <c r="AO956" i="1"/>
  <c r="AR898" i="1"/>
  <c r="AR889" i="1"/>
  <c r="AN889" i="1"/>
  <c r="AJ889" i="1"/>
  <c r="AF889" i="1"/>
  <c r="AQ889" i="1"/>
  <c r="AM889" i="1"/>
  <c r="AI889" i="1"/>
  <c r="AP889" i="1"/>
  <c r="AL889" i="1"/>
  <c r="AH889" i="1"/>
  <c r="AO889" i="1"/>
  <c r="AK889" i="1"/>
  <c r="AG889" i="1"/>
  <c r="AN880" i="1"/>
  <c r="AF876" i="1"/>
  <c r="AP862" i="1"/>
  <c r="AL862" i="1"/>
  <c r="AH862" i="1"/>
  <c r="AO862" i="1"/>
  <c r="AK862" i="1"/>
  <c r="AG862" i="1"/>
  <c r="AR862" i="1"/>
  <c r="AN862" i="1"/>
  <c r="AJ862" i="1"/>
  <c r="AF862" i="1"/>
  <c r="AM862" i="1"/>
  <c r="AI862" i="1"/>
  <c r="AQ862" i="1"/>
  <c r="AP849" i="1"/>
  <c r="AK849" i="1"/>
  <c r="AF849" i="1"/>
  <c r="AQ849" i="1"/>
  <c r="AL849" i="1"/>
  <c r="AR849" i="1"/>
  <c r="AP846" i="1"/>
  <c r="AL846" i="1"/>
  <c r="AH846" i="1"/>
  <c r="AO846" i="1"/>
  <c r="AK846" i="1"/>
  <c r="AG846" i="1"/>
  <c r="AR846" i="1"/>
  <c r="AN846" i="1"/>
  <c r="AJ846" i="1"/>
  <c r="AF846" i="1"/>
  <c r="AM846" i="1"/>
  <c r="AI846" i="1"/>
  <c r="AQ846" i="1"/>
  <c r="AP830" i="1"/>
  <c r="AL830" i="1"/>
  <c r="AH830" i="1"/>
  <c r="AO830" i="1"/>
  <c r="AK830" i="1"/>
  <c r="AG830" i="1"/>
  <c r="AR830" i="1"/>
  <c r="AN830" i="1"/>
  <c r="AJ830" i="1"/>
  <c r="AF830" i="1"/>
  <c r="AM830" i="1"/>
  <c r="AI830" i="1"/>
  <c r="AQ830" i="1"/>
  <c r="AQ817" i="1"/>
  <c r="AI817" i="1"/>
  <c r="AN894" i="1"/>
  <c r="AL861" i="1"/>
  <c r="AL829" i="1"/>
  <c r="AR819" i="1"/>
  <c r="AN819" i="1"/>
  <c r="AJ819" i="1"/>
  <c r="AF819" i="1"/>
  <c r="AQ819" i="1"/>
  <c r="AM819" i="1"/>
  <c r="AI819" i="1"/>
  <c r="AK819" i="1"/>
  <c r="AP819" i="1"/>
  <c r="AH819" i="1"/>
  <c r="AO819" i="1"/>
  <c r="AG819" i="1"/>
  <c r="AL819" i="1"/>
  <c r="AN817" i="1"/>
  <c r="AP792" i="1"/>
  <c r="AL792" i="1"/>
  <c r="AH792" i="1"/>
  <c r="AP776" i="1"/>
  <c r="AL776" i="1"/>
  <c r="AH776" i="1"/>
  <c r="AP876" i="1"/>
  <c r="AO857" i="1"/>
  <c r="AI857" i="1"/>
  <c r="AR841" i="1"/>
  <c r="AH841" i="1"/>
  <c r="AM841" i="1"/>
  <c r="AL825" i="1"/>
  <c r="AQ825" i="1"/>
  <c r="AK817" i="1"/>
  <c r="AP817" i="1"/>
  <c r="AF804" i="1"/>
  <c r="AF800" i="1"/>
  <c r="AF792" i="1"/>
  <c r="AF788" i="1"/>
  <c r="AF784" i="1"/>
  <c r="AF776" i="1"/>
  <c r="AP872" i="1"/>
  <c r="AP868" i="1"/>
  <c r="AH868" i="1"/>
  <c r="AQ868" i="1"/>
  <c r="AK853" i="1"/>
  <c r="AP853" i="1"/>
  <c r="AR852" i="1"/>
  <c r="AN852" i="1"/>
  <c r="AJ852" i="1"/>
  <c r="AF852" i="1"/>
  <c r="AQ852" i="1"/>
  <c r="AM852" i="1"/>
  <c r="AI852" i="1"/>
  <c r="AP852" i="1"/>
  <c r="AL852" i="1"/>
  <c r="AH852" i="1"/>
  <c r="AO852" i="1"/>
  <c r="AK852" i="1"/>
  <c r="AG852" i="1"/>
  <c r="AR837" i="1"/>
  <c r="AH837" i="1"/>
  <c r="AM837" i="1"/>
  <c r="AK821" i="1"/>
  <c r="AP821" i="1"/>
  <c r="AP799" i="1"/>
  <c r="AL799" i="1"/>
  <c r="AH799" i="1"/>
  <c r="AO799" i="1"/>
  <c r="AK799" i="1"/>
  <c r="AG799" i="1"/>
  <c r="AR799" i="1"/>
  <c r="AN799" i="1"/>
  <c r="AJ799" i="1"/>
  <c r="AF799" i="1"/>
  <c r="AI799" i="1"/>
  <c r="AQ799" i="1"/>
  <c r="AM799" i="1"/>
  <c r="AM784" i="1"/>
  <c r="AP783" i="1"/>
  <c r="AL783" i="1"/>
  <c r="AH783" i="1"/>
  <c r="AO783" i="1"/>
  <c r="AK783" i="1"/>
  <c r="AG783" i="1"/>
  <c r="AR783" i="1"/>
  <c r="AN783" i="1"/>
  <c r="AJ783" i="1"/>
  <c r="AF783" i="1"/>
  <c r="AM783" i="1"/>
  <c r="AI783" i="1"/>
  <c r="AQ783" i="1"/>
  <c r="AM782" i="1"/>
  <c r="AH782" i="1"/>
  <c r="AJ782" i="1"/>
  <c r="AI782" i="1"/>
  <c r="AO782" i="1"/>
  <c r="AF782" i="1"/>
  <c r="AJ882" i="1"/>
  <c r="AO882" i="1"/>
  <c r="AR832" i="1"/>
  <c r="AN832" i="1"/>
  <c r="AJ832" i="1"/>
  <c r="AF832" i="1"/>
  <c r="AQ832" i="1"/>
  <c r="AM832" i="1"/>
  <c r="AI832" i="1"/>
  <c r="AP832" i="1"/>
  <c r="AL832" i="1"/>
  <c r="AH832" i="1"/>
  <c r="AG832" i="1"/>
  <c r="AO832" i="1"/>
  <c r="AK832" i="1"/>
  <c r="AR806" i="1"/>
  <c r="AH806" i="1"/>
  <c r="AM806" i="1"/>
  <c r="AO792" i="1"/>
  <c r="AP756" i="1"/>
  <c r="AL756" i="1"/>
  <c r="AH756" i="1"/>
  <c r="AH740" i="1"/>
  <c r="AP740" i="1"/>
  <c r="AL740" i="1"/>
  <c r="AO740" i="1"/>
  <c r="AH724" i="1"/>
  <c r="AP724" i="1"/>
  <c r="AL724" i="1"/>
  <c r="AO724" i="1"/>
  <c r="AH708" i="1"/>
  <c r="AP708" i="1"/>
  <c r="AL708" i="1"/>
  <c r="AO708" i="1"/>
  <c r="AH692" i="1"/>
  <c r="AP692" i="1"/>
  <c r="AL692" i="1"/>
  <c r="AO692" i="1"/>
  <c r="AN684" i="1"/>
  <c r="AF684" i="1"/>
  <c r="AO684" i="1"/>
  <c r="AM684" i="1"/>
  <c r="AH684" i="1"/>
  <c r="AK684" i="1"/>
  <c r="AI684" i="1"/>
  <c r="AF676" i="1"/>
  <c r="AN676" i="1"/>
  <c r="AO676" i="1"/>
  <c r="AM676" i="1"/>
  <c r="AK676" i="1"/>
  <c r="AI676" i="1"/>
  <c r="AN668" i="1"/>
  <c r="AF668" i="1"/>
  <c r="AO668" i="1"/>
  <c r="AM668" i="1"/>
  <c r="AH668" i="1"/>
  <c r="AK668" i="1"/>
  <c r="AI668" i="1"/>
  <c r="AF660" i="1"/>
  <c r="AN660" i="1"/>
  <c r="AO660" i="1"/>
  <c r="AM660" i="1"/>
  <c r="AK660" i="1"/>
  <c r="AI660" i="1"/>
  <c r="AF865" i="1"/>
  <c r="AK865" i="1"/>
  <c r="AP865" i="1"/>
  <c r="AN857" i="1"/>
  <c r="AN833" i="1"/>
  <c r="AH833" i="1"/>
  <c r="AM833" i="1"/>
  <c r="AR809" i="1"/>
  <c r="AN809" i="1"/>
  <c r="AJ809" i="1"/>
  <c r="AF809" i="1"/>
  <c r="AQ809" i="1"/>
  <c r="AM809" i="1"/>
  <c r="AI809" i="1"/>
  <c r="AP809" i="1"/>
  <c r="AL809" i="1"/>
  <c r="AH809" i="1"/>
  <c r="AO809" i="1"/>
  <c r="AK809" i="1"/>
  <c r="AG809" i="1"/>
  <c r="AK794" i="1"/>
  <c r="AP794" i="1"/>
  <c r="AR789" i="1"/>
  <c r="AN789" i="1"/>
  <c r="AJ789" i="1"/>
  <c r="AF789" i="1"/>
  <c r="AQ789" i="1"/>
  <c r="AM789" i="1"/>
  <c r="AI789" i="1"/>
  <c r="AP789" i="1"/>
  <c r="AL789" i="1"/>
  <c r="AH789" i="1"/>
  <c r="AO789" i="1"/>
  <c r="AK789" i="1"/>
  <c r="AG789" i="1"/>
  <c r="AN786" i="1"/>
  <c r="AH786" i="1"/>
  <c r="AM786" i="1"/>
  <c r="AK778" i="1"/>
  <c r="AP778" i="1"/>
  <c r="AJ774" i="1"/>
  <c r="AP774" i="1"/>
  <c r="AR770" i="1"/>
  <c r="AO770" i="1"/>
  <c r="AR766" i="1"/>
  <c r="AO766" i="1"/>
  <c r="AR762" i="1"/>
  <c r="AO762" i="1"/>
  <c r="AR758" i="1"/>
  <c r="AO758" i="1"/>
  <c r="AR756" i="1"/>
  <c r="AR748" i="1"/>
  <c r="AR740" i="1"/>
  <c r="AR732" i="1"/>
  <c r="AR724" i="1"/>
  <c r="AR716" i="1"/>
  <c r="AR708" i="1"/>
  <c r="AR700" i="1"/>
  <c r="AR692" i="1"/>
  <c r="AF890" i="1"/>
  <c r="AK890" i="1"/>
  <c r="AQ816" i="1"/>
  <c r="AM816" i="1"/>
  <c r="AI816" i="1"/>
  <c r="AP816" i="1"/>
  <c r="AL816" i="1"/>
  <c r="AH816" i="1"/>
  <c r="AN816" i="1"/>
  <c r="AF816" i="1"/>
  <c r="AK816" i="1"/>
  <c r="AR816" i="1"/>
  <c r="AJ816" i="1"/>
  <c r="AO816" i="1"/>
  <c r="AG816" i="1"/>
  <c r="AP811" i="1"/>
  <c r="AH811" i="1"/>
  <c r="AQ811" i="1"/>
  <c r="AK810" i="1"/>
  <c r="AQ810" i="1"/>
  <c r="AR801" i="1"/>
  <c r="AN801" i="1"/>
  <c r="AJ801" i="1"/>
  <c r="AF801" i="1"/>
  <c r="AQ801" i="1"/>
  <c r="AM801" i="1"/>
  <c r="AI801" i="1"/>
  <c r="AP801" i="1"/>
  <c r="AL801" i="1"/>
  <c r="AH801" i="1"/>
  <c r="AO801" i="1"/>
  <c r="AK801" i="1"/>
  <c r="AG801" i="1"/>
  <c r="AN798" i="1"/>
  <c r="AH798" i="1"/>
  <c r="AM798" i="1"/>
  <c r="AO788" i="1"/>
  <c r="AH774" i="1"/>
  <c r="AR765" i="1"/>
  <c r="AN765" i="1"/>
  <c r="AJ765" i="1"/>
  <c r="AF765" i="1"/>
  <c r="AP765" i="1"/>
  <c r="AL765" i="1"/>
  <c r="AH765" i="1"/>
  <c r="AO765" i="1"/>
  <c r="AG765" i="1"/>
  <c r="AM765" i="1"/>
  <c r="AK765" i="1"/>
  <c r="AQ765" i="1"/>
  <c r="AI765" i="1"/>
  <c r="AH758" i="1"/>
  <c r="AM752" i="1"/>
  <c r="AP751" i="1"/>
  <c r="AL751" i="1"/>
  <c r="AH751" i="1"/>
  <c r="AO751" i="1"/>
  <c r="AK751" i="1"/>
  <c r="AG751" i="1"/>
  <c r="AR751" i="1"/>
  <c r="AN751" i="1"/>
  <c r="AJ751" i="1"/>
  <c r="AF751" i="1"/>
  <c r="AM751" i="1"/>
  <c r="AI751" i="1"/>
  <c r="AQ751" i="1"/>
  <c r="AN750" i="1"/>
  <c r="AP750" i="1"/>
  <c r="AK750" i="1"/>
  <c r="AR750" i="1"/>
  <c r="AQ750" i="1"/>
  <c r="AL750" i="1"/>
  <c r="AI748" i="1"/>
  <c r="AQ740" i="1"/>
  <c r="AM736" i="1"/>
  <c r="AP735" i="1"/>
  <c r="AL735" i="1"/>
  <c r="AH735" i="1"/>
  <c r="AO735" i="1"/>
  <c r="AK735" i="1"/>
  <c r="AG735" i="1"/>
  <c r="AR735" i="1"/>
  <c r="AN735" i="1"/>
  <c r="AJ735" i="1"/>
  <c r="AF735" i="1"/>
  <c r="AM735" i="1"/>
  <c r="AI735" i="1"/>
  <c r="AQ735" i="1"/>
  <c r="AN734" i="1"/>
  <c r="AI734" i="1"/>
  <c r="AO734" i="1"/>
  <c r="AF734" i="1"/>
  <c r="AP734" i="1"/>
  <c r="AK734" i="1"/>
  <c r="AR734" i="1"/>
  <c r="AI732" i="1"/>
  <c r="AQ724" i="1"/>
  <c r="AM720" i="1"/>
  <c r="AP719" i="1"/>
  <c r="AL719" i="1"/>
  <c r="AH719" i="1"/>
  <c r="AO719" i="1"/>
  <c r="AK719" i="1"/>
  <c r="AG719" i="1"/>
  <c r="AR719" i="1"/>
  <c r="AN719" i="1"/>
  <c r="AJ719" i="1"/>
  <c r="AF719" i="1"/>
  <c r="AM719" i="1"/>
  <c r="AI719" i="1"/>
  <c r="AQ719" i="1"/>
  <c r="AP718" i="1"/>
  <c r="AK718" i="1"/>
  <c r="AR718" i="1"/>
  <c r="AQ718" i="1"/>
  <c r="AL718" i="1"/>
  <c r="AN718" i="1"/>
  <c r="AI718" i="1"/>
  <c r="AO718" i="1"/>
  <c r="AF718" i="1"/>
  <c r="AI716" i="1"/>
  <c r="AQ708" i="1"/>
  <c r="AM704" i="1"/>
  <c r="AP703" i="1"/>
  <c r="AL703" i="1"/>
  <c r="AH703" i="1"/>
  <c r="AO703" i="1"/>
  <c r="AK703" i="1"/>
  <c r="AG703" i="1"/>
  <c r="AR703" i="1"/>
  <c r="AN703" i="1"/>
  <c r="AJ703" i="1"/>
  <c r="AF703" i="1"/>
  <c r="AM703" i="1"/>
  <c r="AI703" i="1"/>
  <c r="AQ703" i="1"/>
  <c r="AN702" i="1"/>
  <c r="AP702" i="1"/>
  <c r="AK702" i="1"/>
  <c r="AR702" i="1"/>
  <c r="AQ702" i="1"/>
  <c r="AL702" i="1"/>
  <c r="AI700" i="1"/>
  <c r="AQ692" i="1"/>
  <c r="AM688" i="1"/>
  <c r="AP687" i="1"/>
  <c r="AL687" i="1"/>
  <c r="AH687" i="1"/>
  <c r="AO687" i="1"/>
  <c r="AK687" i="1"/>
  <c r="AG687" i="1"/>
  <c r="AR687" i="1"/>
  <c r="AN687" i="1"/>
  <c r="AJ687" i="1"/>
  <c r="AF687" i="1"/>
  <c r="AM687" i="1"/>
  <c r="AI687" i="1"/>
  <c r="AQ687" i="1"/>
  <c r="AM686" i="1"/>
  <c r="AH686" i="1"/>
  <c r="AJ686" i="1"/>
  <c r="AI686" i="1"/>
  <c r="AO686" i="1"/>
  <c r="AF686" i="1"/>
  <c r="AP686" i="1"/>
  <c r="AK686" i="1"/>
  <c r="AR686" i="1"/>
  <c r="AQ686" i="1"/>
  <c r="AL686" i="1"/>
  <c r="AN686" i="1"/>
  <c r="AR682" i="1"/>
  <c r="AQ682" i="1"/>
  <c r="AK682" i="1"/>
  <c r="AN682" i="1"/>
  <c r="AM682" i="1"/>
  <c r="AF682" i="1"/>
  <c r="AR678" i="1"/>
  <c r="AJ678" i="1"/>
  <c r="AQ678" i="1"/>
  <c r="AK678" i="1"/>
  <c r="AN678" i="1"/>
  <c r="AM678" i="1"/>
  <c r="AF678" i="1"/>
  <c r="AJ674" i="1"/>
  <c r="AM674" i="1"/>
  <c r="AF674" i="1"/>
  <c r="AI674" i="1"/>
  <c r="AP674" i="1"/>
  <c r="AL674" i="1"/>
  <c r="AR674" i="1"/>
  <c r="AI670" i="1"/>
  <c r="AP670" i="1"/>
  <c r="AL670" i="1"/>
  <c r="AO670" i="1"/>
  <c r="AH670" i="1"/>
  <c r="AR670" i="1"/>
  <c r="AM670" i="1"/>
  <c r="AF670" i="1"/>
  <c r="AR666" i="1"/>
  <c r="AQ666" i="1"/>
  <c r="AK666" i="1"/>
  <c r="AN666" i="1"/>
  <c r="AM666" i="1"/>
  <c r="AF666" i="1"/>
  <c r="AJ666" i="1"/>
  <c r="AR662" i="1"/>
  <c r="AJ662" i="1"/>
  <c r="AQ662" i="1"/>
  <c r="AK662" i="1"/>
  <c r="AN662" i="1"/>
  <c r="AM662" i="1"/>
  <c r="AF662" i="1"/>
  <c r="AJ790" i="1"/>
  <c r="AH790" i="1"/>
  <c r="AJ768" i="1"/>
  <c r="AN760" i="1"/>
  <c r="AM760" i="1"/>
  <c r="AO760" i="1"/>
  <c r="AO744" i="1"/>
  <c r="AO712" i="1"/>
  <c r="AL684" i="1"/>
  <c r="AR673" i="1"/>
  <c r="AN673" i="1"/>
  <c r="AJ673" i="1"/>
  <c r="AF673" i="1"/>
  <c r="AP673" i="1"/>
  <c r="AL673" i="1"/>
  <c r="AH673" i="1"/>
  <c r="AK673" i="1"/>
  <c r="AQ673" i="1"/>
  <c r="AI673" i="1"/>
  <c r="AO673" i="1"/>
  <c r="AG673" i="1"/>
  <c r="AM673" i="1"/>
  <c r="AL668" i="1"/>
  <c r="AP654" i="1"/>
  <c r="AL654" i="1"/>
  <c r="AH654" i="1"/>
  <c r="AQ654" i="1"/>
  <c r="AF654" i="1"/>
  <c r="AO654" i="1"/>
  <c r="AJ654" i="1"/>
  <c r="AP646" i="1"/>
  <c r="AL646" i="1"/>
  <c r="AH646" i="1"/>
  <c r="AQ646" i="1"/>
  <c r="AF646" i="1"/>
  <c r="AJ646" i="1"/>
  <c r="AP638" i="1"/>
  <c r="AL638" i="1"/>
  <c r="AH638" i="1"/>
  <c r="AQ638" i="1"/>
  <c r="AF638" i="1"/>
  <c r="AJ638" i="1"/>
  <c r="AP630" i="1"/>
  <c r="AL630" i="1"/>
  <c r="AH630" i="1"/>
  <c r="AO630" i="1"/>
  <c r="AQ630" i="1"/>
  <c r="AF630" i="1"/>
  <c r="AJ630" i="1"/>
  <c r="AP610" i="1"/>
  <c r="AL610" i="1"/>
  <c r="AH610" i="1"/>
  <c r="AO610" i="1"/>
  <c r="AI610" i="1"/>
  <c r="AF610" i="1"/>
  <c r="AM610" i="1"/>
  <c r="AJ610" i="1"/>
  <c r="AO608" i="1"/>
  <c r="AF608" i="1"/>
  <c r="AP594" i="1"/>
  <c r="AL594" i="1"/>
  <c r="AH594" i="1"/>
  <c r="AO594" i="1"/>
  <c r="AI594" i="1"/>
  <c r="AF594" i="1"/>
  <c r="AM594" i="1"/>
  <c r="AJ594" i="1"/>
  <c r="AH586" i="1"/>
  <c r="AR586" i="1"/>
  <c r="AJ586" i="1"/>
  <c r="AN586" i="1"/>
  <c r="AQ586" i="1"/>
  <c r="AF586" i="1"/>
  <c r="AO586" i="1"/>
  <c r="AM586" i="1"/>
  <c r="AL586" i="1"/>
  <c r="AK586" i="1"/>
  <c r="AI586" i="1"/>
  <c r="AP586" i="1"/>
  <c r="AR578" i="1"/>
  <c r="AJ578" i="1"/>
  <c r="AO578" i="1"/>
  <c r="AM578" i="1"/>
  <c r="AL578" i="1"/>
  <c r="AK578" i="1"/>
  <c r="AI578" i="1"/>
  <c r="AP578" i="1"/>
  <c r="AH578" i="1"/>
  <c r="AH570" i="1"/>
  <c r="AJ570" i="1"/>
  <c r="AQ570" i="1"/>
  <c r="AF570" i="1"/>
  <c r="AO570" i="1"/>
  <c r="AM570" i="1"/>
  <c r="AL570" i="1"/>
  <c r="AK570" i="1"/>
  <c r="AI570" i="1"/>
  <c r="AP570" i="1"/>
  <c r="AN570" i="1"/>
  <c r="AR570" i="1"/>
  <c r="AR562" i="1"/>
  <c r="AQ562" i="1"/>
  <c r="AF562" i="1"/>
  <c r="AJ562" i="1"/>
  <c r="AO562" i="1"/>
  <c r="AM562" i="1"/>
  <c r="AL562" i="1"/>
  <c r="AH562" i="1"/>
  <c r="AH554" i="1"/>
  <c r="AR554" i="1"/>
  <c r="AJ554" i="1"/>
  <c r="AO554" i="1"/>
  <c r="AM554" i="1"/>
  <c r="AL554" i="1"/>
  <c r="AK554" i="1"/>
  <c r="AI554" i="1"/>
  <c r="AP554" i="1"/>
  <c r="AN554" i="1"/>
  <c r="AQ554" i="1"/>
  <c r="AF554" i="1"/>
  <c r="AP815" i="1"/>
  <c r="AH815" i="1"/>
  <c r="AQ815" i="1"/>
  <c r="AJ802" i="1"/>
  <c r="AH802" i="1"/>
  <c r="AM802" i="1"/>
  <c r="AL764" i="1"/>
  <c r="AP764" i="1"/>
  <c r="AN754" i="1"/>
  <c r="AH754" i="1"/>
  <c r="AM754" i="1"/>
  <c r="AK746" i="1"/>
  <c r="AP746" i="1"/>
  <c r="AR741" i="1"/>
  <c r="AN741" i="1"/>
  <c r="AJ741" i="1"/>
  <c r="AF741" i="1"/>
  <c r="AQ741" i="1"/>
  <c r="AM741" i="1"/>
  <c r="AI741" i="1"/>
  <c r="AP741" i="1"/>
  <c r="AL741" i="1"/>
  <c r="AH741" i="1"/>
  <c r="AO741" i="1"/>
  <c r="AK741" i="1"/>
  <c r="AG741" i="1"/>
  <c r="AN738" i="1"/>
  <c r="AH738" i="1"/>
  <c r="AM738" i="1"/>
  <c r="AK730" i="1"/>
  <c r="AP730" i="1"/>
  <c r="AR725" i="1"/>
  <c r="AN725" i="1"/>
  <c r="AJ725" i="1"/>
  <c r="AF725" i="1"/>
  <c r="AQ725" i="1"/>
  <c r="AM725" i="1"/>
  <c r="AI725" i="1"/>
  <c r="AP725" i="1"/>
  <c r="AL725" i="1"/>
  <c r="AH725" i="1"/>
  <c r="AO725" i="1"/>
  <c r="AK725" i="1"/>
  <c r="AG725" i="1"/>
  <c r="AN722" i="1"/>
  <c r="AH722" i="1"/>
  <c r="AM722" i="1"/>
  <c r="AH714" i="1"/>
  <c r="AI706" i="1"/>
  <c r="AL698" i="1"/>
  <c r="AK690" i="1"/>
  <c r="AR684" i="1"/>
  <c r="AR680" i="1"/>
  <c r="AR676" i="1"/>
  <c r="AR672" i="1"/>
  <c r="AR668" i="1"/>
  <c r="AR664" i="1"/>
  <c r="AR660" i="1"/>
  <c r="AR658" i="1"/>
  <c r="AR650" i="1"/>
  <c r="AR642" i="1"/>
  <c r="AR634" i="1"/>
  <c r="AR626" i="1"/>
  <c r="AR618" i="1"/>
  <c r="AR610" i="1"/>
  <c r="AR602" i="1"/>
  <c r="AR594" i="1"/>
  <c r="AM849" i="1"/>
  <c r="AP768" i="1"/>
  <c r="AO748" i="1"/>
  <c r="AO716" i="1"/>
  <c r="AH660" i="1"/>
  <c r="AN648" i="1"/>
  <c r="AJ648" i="1"/>
  <c r="AF648" i="1"/>
  <c r="AM648" i="1"/>
  <c r="AH648" i="1"/>
  <c r="AR648" i="1"/>
  <c r="AI648" i="1"/>
  <c r="AO648" i="1"/>
  <c r="AI638" i="1"/>
  <c r="AQ634" i="1"/>
  <c r="AM630" i="1"/>
  <c r="AP629" i="1"/>
  <c r="AL629" i="1"/>
  <c r="AH629" i="1"/>
  <c r="AO629" i="1"/>
  <c r="AK629" i="1"/>
  <c r="AG629" i="1"/>
  <c r="AR629" i="1"/>
  <c r="AN629" i="1"/>
  <c r="AJ629" i="1"/>
  <c r="AF629" i="1"/>
  <c r="AM629" i="1"/>
  <c r="AI629" i="1"/>
  <c r="AQ629" i="1"/>
  <c r="AM618" i="1"/>
  <c r="AP617" i="1"/>
  <c r="AL617" i="1"/>
  <c r="AH617" i="1"/>
  <c r="AO617" i="1"/>
  <c r="AK617" i="1"/>
  <c r="AG617" i="1"/>
  <c r="AR617" i="1"/>
  <c r="AN617" i="1"/>
  <c r="AJ617" i="1"/>
  <c r="AF617" i="1"/>
  <c r="AM617" i="1"/>
  <c r="AI617" i="1"/>
  <c r="AQ617" i="1"/>
  <c r="AR616" i="1"/>
  <c r="AP616" i="1"/>
  <c r="AK616" i="1"/>
  <c r="AN616" i="1"/>
  <c r="AQ616" i="1"/>
  <c r="AL616" i="1"/>
  <c r="AP605" i="1"/>
  <c r="AL605" i="1"/>
  <c r="AH605" i="1"/>
  <c r="AO605" i="1"/>
  <c r="AK605" i="1"/>
  <c r="AG605" i="1"/>
  <c r="AR605" i="1"/>
  <c r="AN605" i="1"/>
  <c r="AJ605" i="1"/>
  <c r="AF605" i="1"/>
  <c r="AQ605" i="1"/>
  <c r="AM605" i="1"/>
  <c r="AI605" i="1"/>
  <c r="AR604" i="1"/>
  <c r="AJ604" i="1"/>
  <c r="AF604" i="1"/>
  <c r="AP604" i="1"/>
  <c r="AK604" i="1"/>
  <c r="AQ604" i="1"/>
  <c r="AL604" i="1"/>
  <c r="AQ592" i="1"/>
  <c r="AN782" i="1"/>
  <c r="AL782" i="1"/>
  <c r="AF772" i="1"/>
  <c r="AJ746" i="1"/>
  <c r="AR737" i="1"/>
  <c r="AN737" i="1"/>
  <c r="AJ737" i="1"/>
  <c r="AF737" i="1"/>
  <c r="AQ737" i="1"/>
  <c r="AM737" i="1"/>
  <c r="AI737" i="1"/>
  <c r="AP737" i="1"/>
  <c r="AL737" i="1"/>
  <c r="AH737" i="1"/>
  <c r="AG737" i="1"/>
  <c r="AO737" i="1"/>
  <c r="AK737" i="1"/>
  <c r="AR726" i="1"/>
  <c r="AO726" i="1"/>
  <c r="AN710" i="1"/>
  <c r="AF694" i="1"/>
  <c r="AP694" i="1"/>
  <c r="AN674" i="1"/>
  <c r="AO674" i="1"/>
  <c r="AK648" i="1"/>
  <c r="AO646" i="1"/>
  <c r="AO632" i="1"/>
  <c r="AL620" i="1"/>
  <c r="AR580" i="1"/>
  <c r="AQ580" i="1"/>
  <c r="AO576" i="1"/>
  <c r="AK572" i="1"/>
  <c r="AR564" i="1"/>
  <c r="AQ564" i="1"/>
  <c r="AO560" i="1"/>
  <c r="AK556" i="1"/>
  <c r="AP758" i="1"/>
  <c r="AM750" i="1"/>
  <c r="AJ734" i="1"/>
  <c r="AM734" i="1"/>
  <c r="AM702" i="1"/>
  <c r="AP678" i="1"/>
  <c r="AP672" i="1"/>
  <c r="AR651" i="1"/>
  <c r="AN651" i="1"/>
  <c r="AJ651" i="1"/>
  <c r="AF651" i="1"/>
  <c r="AQ651" i="1"/>
  <c r="AM651" i="1"/>
  <c r="AI651" i="1"/>
  <c r="AP651" i="1"/>
  <c r="AL651" i="1"/>
  <c r="AH651" i="1"/>
  <c r="AO651" i="1"/>
  <c r="AK651" i="1"/>
  <c r="AG651" i="1"/>
  <c r="AR607" i="1"/>
  <c r="AN607" i="1"/>
  <c r="AJ607" i="1"/>
  <c r="AF607" i="1"/>
  <c r="AQ607" i="1"/>
  <c r="AM607" i="1"/>
  <c r="AI607" i="1"/>
  <c r="AP607" i="1"/>
  <c r="AL607" i="1"/>
  <c r="AH607" i="1"/>
  <c r="AO607" i="1"/>
  <c r="AK607" i="1"/>
  <c r="AG607" i="1"/>
  <c r="AN604" i="1"/>
  <c r="AI604" i="1"/>
  <c r="AM588" i="1"/>
  <c r="AR571" i="1"/>
  <c r="AN571" i="1"/>
  <c r="AJ571" i="1"/>
  <c r="AF571" i="1"/>
  <c r="AP571" i="1"/>
  <c r="AL571" i="1"/>
  <c r="AH571" i="1"/>
  <c r="AM571" i="1"/>
  <c r="AK571" i="1"/>
  <c r="AO571" i="1"/>
  <c r="AI571" i="1"/>
  <c r="AG571" i="1"/>
  <c r="AQ571" i="1"/>
  <c r="AH568" i="1"/>
  <c r="AF742" i="1"/>
  <c r="AH742" i="1"/>
  <c r="AL710" i="1"/>
  <c r="AL666" i="1"/>
  <c r="AO666" i="1"/>
  <c r="AO616" i="1"/>
  <c r="AN578" i="1"/>
  <c r="AP562" i="1"/>
  <c r="AK562" i="1"/>
  <c r="AM718" i="1"/>
  <c r="AK670" i="1"/>
  <c r="AP568" i="1"/>
  <c r="AM558" i="1"/>
  <c r="AQ521" i="1"/>
  <c r="AM521" i="1"/>
  <c r="AI521" i="1"/>
  <c r="AP521" i="1"/>
  <c r="AL521" i="1"/>
  <c r="AH521" i="1"/>
  <c r="AK521" i="1"/>
  <c r="AR521" i="1"/>
  <c r="AJ521" i="1"/>
  <c r="AO521" i="1"/>
  <c r="AG521" i="1"/>
  <c r="AN521" i="1"/>
  <c r="AF521" i="1"/>
  <c r="AR520" i="1"/>
  <c r="AN520" i="1"/>
  <c r="AJ520" i="1"/>
  <c r="AF520" i="1"/>
  <c r="AQ520" i="1"/>
  <c r="AM520" i="1"/>
  <c r="AI520" i="1"/>
  <c r="AL520" i="1"/>
  <c r="AK520" i="1"/>
  <c r="AP520" i="1"/>
  <c r="AH520" i="1"/>
  <c r="AG520" i="1"/>
  <c r="AO520" i="1"/>
  <c r="AN486" i="1"/>
  <c r="AR631" i="1"/>
  <c r="AN631" i="1"/>
  <c r="AJ631" i="1"/>
  <c r="AF631" i="1"/>
  <c r="AQ631" i="1"/>
  <c r="AM631" i="1"/>
  <c r="AI631" i="1"/>
  <c r="AP631" i="1"/>
  <c r="AL631" i="1"/>
  <c r="AH631" i="1"/>
  <c r="AG631" i="1"/>
  <c r="AO631" i="1"/>
  <c r="AK631" i="1"/>
  <c r="AR611" i="1"/>
  <c r="AN611" i="1"/>
  <c r="AJ611" i="1"/>
  <c r="AF611" i="1"/>
  <c r="AQ611" i="1"/>
  <c r="AM611" i="1"/>
  <c r="AI611" i="1"/>
  <c r="AP611" i="1"/>
  <c r="AL611" i="1"/>
  <c r="AH611" i="1"/>
  <c r="AG611" i="1"/>
  <c r="AO611" i="1"/>
  <c r="AK611" i="1"/>
  <c r="AQ545" i="1"/>
  <c r="AM545" i="1"/>
  <c r="AI545" i="1"/>
  <c r="AP545" i="1"/>
  <c r="AL545" i="1"/>
  <c r="AH545" i="1"/>
  <c r="AK545" i="1"/>
  <c r="AR545" i="1"/>
  <c r="AJ545" i="1"/>
  <c r="AO545" i="1"/>
  <c r="AG545" i="1"/>
  <c r="AF545" i="1"/>
  <c r="AN545" i="1"/>
  <c r="AR544" i="1"/>
  <c r="AN544" i="1"/>
  <c r="AJ544" i="1"/>
  <c r="AF544" i="1"/>
  <c r="AQ544" i="1"/>
  <c r="AM544" i="1"/>
  <c r="AI544" i="1"/>
  <c r="AL544" i="1"/>
  <c r="AK544" i="1"/>
  <c r="AP544" i="1"/>
  <c r="AH544" i="1"/>
  <c r="AO544" i="1"/>
  <c r="AG544" i="1"/>
  <c r="AQ513" i="1"/>
  <c r="AM513" i="1"/>
  <c r="AI513" i="1"/>
  <c r="AP513" i="1"/>
  <c r="AL513" i="1"/>
  <c r="AH513" i="1"/>
  <c r="AK513" i="1"/>
  <c r="AR513" i="1"/>
  <c r="AJ513" i="1"/>
  <c r="AO513" i="1"/>
  <c r="AG513" i="1"/>
  <c r="AF513" i="1"/>
  <c r="AN513" i="1"/>
  <c r="AR512" i="1"/>
  <c r="AN512" i="1"/>
  <c r="AJ512" i="1"/>
  <c r="AF512" i="1"/>
  <c r="AQ512" i="1"/>
  <c r="AM512" i="1"/>
  <c r="AI512" i="1"/>
  <c r="AL512" i="1"/>
  <c r="AK512" i="1"/>
  <c r="AP512" i="1"/>
  <c r="AH512" i="1"/>
  <c r="AO512" i="1"/>
  <c r="AG512" i="1"/>
  <c r="AQ481" i="1"/>
  <c r="AM481" i="1"/>
  <c r="AI481" i="1"/>
  <c r="AP481" i="1"/>
  <c r="AL481" i="1"/>
  <c r="AH481" i="1"/>
  <c r="AK481" i="1"/>
  <c r="AR481" i="1"/>
  <c r="AJ481" i="1"/>
  <c r="AO481" i="1"/>
  <c r="AG481" i="1"/>
  <c r="AN481" i="1"/>
  <c r="AF481" i="1"/>
  <c r="AR480" i="1"/>
  <c r="AN480" i="1"/>
  <c r="AJ480" i="1"/>
  <c r="AF480" i="1"/>
  <c r="AQ480" i="1"/>
  <c r="AM480" i="1"/>
  <c r="AI480" i="1"/>
  <c r="AL480" i="1"/>
  <c r="AK480" i="1"/>
  <c r="AP480" i="1"/>
  <c r="AH480" i="1"/>
  <c r="AG480" i="1"/>
  <c r="AO480" i="1"/>
  <c r="AO445" i="1"/>
  <c r="AK445" i="1"/>
  <c r="AG445" i="1"/>
  <c r="AR445" i="1"/>
  <c r="AN445" i="1"/>
  <c r="AJ445" i="1"/>
  <c r="AF445" i="1"/>
  <c r="AQ445" i="1"/>
  <c r="AM445" i="1"/>
  <c r="AI445" i="1"/>
  <c r="AL445" i="1"/>
  <c r="AH445" i="1"/>
  <c r="AP445" i="1"/>
  <c r="AO401" i="1"/>
  <c r="AK401" i="1"/>
  <c r="AG401" i="1"/>
  <c r="AR401" i="1"/>
  <c r="AN401" i="1"/>
  <c r="AJ401" i="1"/>
  <c r="AF401" i="1"/>
  <c r="AQ401" i="1"/>
  <c r="AM401" i="1"/>
  <c r="AI401" i="1"/>
  <c r="AP401" i="1"/>
  <c r="AL401" i="1"/>
  <c r="AH401" i="1"/>
  <c r="AN447" i="1"/>
  <c r="AO447" i="1"/>
  <c r="AN275" i="1"/>
  <c r="AF275" i="1"/>
  <c r="AO272" i="1"/>
  <c r="AK272" i="1"/>
  <c r="AG272" i="1"/>
  <c r="AR272" i="1"/>
  <c r="AN272" i="1"/>
  <c r="AJ272" i="1"/>
  <c r="AF272" i="1"/>
  <c r="AM272" i="1"/>
  <c r="AL272" i="1"/>
  <c r="AQ272" i="1"/>
  <c r="AI272" i="1"/>
  <c r="AH272" i="1"/>
  <c r="AP272" i="1"/>
  <c r="AN259" i="1"/>
  <c r="AF259" i="1"/>
  <c r="AO256" i="1"/>
  <c r="AK256" i="1"/>
  <c r="AG256" i="1"/>
  <c r="AR256" i="1"/>
  <c r="AN256" i="1"/>
  <c r="AJ256" i="1"/>
  <c r="AF256" i="1"/>
  <c r="AM256" i="1"/>
  <c r="AL256" i="1"/>
  <c r="AQ256" i="1"/>
  <c r="AI256" i="1"/>
  <c r="AH256" i="1"/>
  <c r="AP256" i="1"/>
  <c r="AN243" i="1"/>
  <c r="AF243" i="1"/>
  <c r="AO240" i="1"/>
  <c r="AK240" i="1"/>
  <c r="AG240" i="1"/>
  <c r="AR240" i="1"/>
  <c r="AN240" i="1"/>
  <c r="AJ240" i="1"/>
  <c r="AF240" i="1"/>
  <c r="AM240" i="1"/>
  <c r="AL240" i="1"/>
  <c r="AQ240" i="1"/>
  <c r="AI240" i="1"/>
  <c r="AH240" i="1"/>
  <c r="AP240" i="1"/>
  <c r="AF227" i="1"/>
  <c r="AL227" i="1"/>
  <c r="AQ227" i="1"/>
  <c r="AO541" i="1"/>
  <c r="AR525" i="1"/>
  <c r="AP525" i="1"/>
  <c r="AF501" i="1"/>
  <c r="AH501" i="1"/>
  <c r="AM501" i="1"/>
  <c r="AR477" i="1"/>
  <c r="AP477" i="1"/>
  <c r="AL431" i="1"/>
  <c r="AQ431" i="1"/>
  <c r="AR402" i="1"/>
  <c r="AN402" i="1"/>
  <c r="AJ402" i="1"/>
  <c r="AF402" i="1"/>
  <c r="AQ402" i="1"/>
  <c r="AM402" i="1"/>
  <c r="AI402" i="1"/>
  <c r="AP402" i="1"/>
  <c r="AL402" i="1"/>
  <c r="AH402" i="1"/>
  <c r="AK402" i="1"/>
  <c r="AG402" i="1"/>
  <c r="AO402" i="1"/>
  <c r="AM283" i="1"/>
  <c r="AM275" i="1"/>
  <c r="AH275" i="1"/>
  <c r="AM267" i="1"/>
  <c r="AM259" i="1"/>
  <c r="AH259" i="1"/>
  <c r="AM251" i="1"/>
  <c r="AM243" i="1"/>
  <c r="AH243" i="1"/>
  <c r="AJ231" i="1"/>
  <c r="AP227" i="1"/>
  <c r="AO227" i="1"/>
  <c r="AR592" i="1"/>
  <c r="AK592" i="1"/>
  <c r="AP592" i="1"/>
  <c r="AR524" i="1"/>
  <c r="AN524" i="1"/>
  <c r="AJ524" i="1"/>
  <c r="AF524" i="1"/>
  <c r="AQ524" i="1"/>
  <c r="AM524" i="1"/>
  <c r="AI524" i="1"/>
  <c r="AP524" i="1"/>
  <c r="AH524" i="1"/>
  <c r="AO524" i="1"/>
  <c r="AG524" i="1"/>
  <c r="AL524" i="1"/>
  <c r="AK524" i="1"/>
  <c r="AR442" i="1"/>
  <c r="AN442" i="1"/>
  <c r="AJ442" i="1"/>
  <c r="AF442" i="1"/>
  <c r="AQ442" i="1"/>
  <c r="AM442" i="1"/>
  <c r="AI442" i="1"/>
  <c r="AP442" i="1"/>
  <c r="AL442" i="1"/>
  <c r="AH442" i="1"/>
  <c r="AO442" i="1"/>
  <c r="AK442" i="1"/>
  <c r="AG442" i="1"/>
  <c r="AN419" i="1"/>
  <c r="AM419" i="1"/>
  <c r="AL411" i="1"/>
  <c r="AQ411" i="1"/>
  <c r="AK403" i="1"/>
  <c r="AP403" i="1"/>
  <c r="AP335" i="1"/>
  <c r="AP311" i="1"/>
  <c r="AP295" i="1"/>
  <c r="AQ282" i="1"/>
  <c r="AM282" i="1"/>
  <c r="AI282" i="1"/>
  <c r="AP282" i="1"/>
  <c r="AL282" i="1"/>
  <c r="AH282" i="1"/>
  <c r="AK282" i="1"/>
  <c r="AR282" i="1"/>
  <c r="AJ282" i="1"/>
  <c r="AO282" i="1"/>
  <c r="AG282" i="1"/>
  <c r="AF282" i="1"/>
  <c r="AN282" i="1"/>
  <c r="AR281" i="1"/>
  <c r="AN281" i="1"/>
  <c r="AJ281" i="1"/>
  <c r="AF281" i="1"/>
  <c r="AQ281" i="1"/>
  <c r="AM281" i="1"/>
  <c r="AI281" i="1"/>
  <c r="AL281" i="1"/>
  <c r="AK281" i="1"/>
  <c r="AP281" i="1"/>
  <c r="AH281" i="1"/>
  <c r="AO281" i="1"/>
  <c r="AG281" i="1"/>
  <c r="AN279" i="1"/>
  <c r="AQ250" i="1"/>
  <c r="AM250" i="1"/>
  <c r="AI250" i="1"/>
  <c r="AP250" i="1"/>
  <c r="AL250" i="1"/>
  <c r="AH250" i="1"/>
  <c r="AK250" i="1"/>
  <c r="AR250" i="1"/>
  <c r="AJ250" i="1"/>
  <c r="AO250" i="1"/>
  <c r="AG250" i="1"/>
  <c r="AF250" i="1"/>
  <c r="AN250" i="1"/>
  <c r="AR249" i="1"/>
  <c r="AN249" i="1"/>
  <c r="AJ249" i="1"/>
  <c r="AF249" i="1"/>
  <c r="AQ249" i="1"/>
  <c r="AM249" i="1"/>
  <c r="AI249" i="1"/>
  <c r="AL249" i="1"/>
  <c r="AK249" i="1"/>
  <c r="AP249" i="1"/>
  <c r="AH249" i="1"/>
  <c r="AO249" i="1"/>
  <c r="AG249" i="1"/>
  <c r="AN247" i="1"/>
  <c r="AR236" i="1"/>
  <c r="AN236" i="1"/>
  <c r="AJ236" i="1"/>
  <c r="AF236" i="1"/>
  <c r="AQ236" i="1"/>
  <c r="AL236" i="1"/>
  <c r="AG236" i="1"/>
  <c r="AP236" i="1"/>
  <c r="AK236" i="1"/>
  <c r="AO236" i="1"/>
  <c r="AI236" i="1"/>
  <c r="AH236" i="1"/>
  <c r="AM236" i="1"/>
  <c r="AR232" i="1"/>
  <c r="AN232" i="1"/>
  <c r="AJ232" i="1"/>
  <c r="AF232" i="1"/>
  <c r="AQ232" i="1"/>
  <c r="AL232" i="1"/>
  <c r="AG232" i="1"/>
  <c r="AP232" i="1"/>
  <c r="AK232" i="1"/>
  <c r="AO232" i="1"/>
  <c r="AI232" i="1"/>
  <c r="AH232" i="1"/>
  <c r="AM232" i="1"/>
  <c r="AR228" i="1"/>
  <c r="AN228" i="1"/>
  <c r="AJ228" i="1"/>
  <c r="AF228" i="1"/>
  <c r="AQ228" i="1"/>
  <c r="AL228" i="1"/>
  <c r="AG228" i="1"/>
  <c r="AP228" i="1"/>
  <c r="AK228" i="1"/>
  <c r="AO228" i="1"/>
  <c r="AI228" i="1"/>
  <c r="AH228" i="1"/>
  <c r="AM228" i="1"/>
  <c r="AP221" i="1"/>
  <c r="AL221" i="1"/>
  <c r="AH221" i="1"/>
  <c r="AM221" i="1"/>
  <c r="AQ221" i="1"/>
  <c r="AI221" i="1"/>
  <c r="AP213" i="1"/>
  <c r="AL213" i="1"/>
  <c r="AH213" i="1"/>
  <c r="AQ213" i="1"/>
  <c r="AM213" i="1"/>
  <c r="AI213" i="1"/>
  <c r="AP205" i="1"/>
  <c r="AL205" i="1"/>
  <c r="AH205" i="1"/>
  <c r="AQ205" i="1"/>
  <c r="AM205" i="1"/>
  <c r="AI205" i="1"/>
  <c r="AP197" i="1"/>
  <c r="AL197" i="1"/>
  <c r="AH197" i="1"/>
  <c r="AQ197" i="1"/>
  <c r="AM197" i="1"/>
  <c r="AI197" i="1"/>
  <c r="AP189" i="1"/>
  <c r="AL189" i="1"/>
  <c r="AH189" i="1"/>
  <c r="AQ189" i="1"/>
  <c r="AM189" i="1"/>
  <c r="AI189" i="1"/>
  <c r="AM181" i="1"/>
  <c r="AL181" i="1"/>
  <c r="AQ181" i="1"/>
  <c r="AI181" i="1"/>
  <c r="AP181" i="1"/>
  <c r="AH181" i="1"/>
  <c r="AM173" i="1"/>
  <c r="AL173" i="1"/>
  <c r="AQ173" i="1"/>
  <c r="AI173" i="1"/>
  <c r="AP173" i="1"/>
  <c r="AH173" i="1"/>
  <c r="AM165" i="1"/>
  <c r="AL165" i="1"/>
  <c r="AQ165" i="1"/>
  <c r="AI165" i="1"/>
  <c r="AP165" i="1"/>
  <c r="AH165" i="1"/>
  <c r="AM157" i="1"/>
  <c r="AL157" i="1"/>
  <c r="AQ157" i="1"/>
  <c r="AI157" i="1"/>
  <c r="AP157" i="1"/>
  <c r="AH157" i="1"/>
  <c r="AK549" i="1"/>
  <c r="AO549" i="1"/>
  <c r="AI549" i="1"/>
  <c r="AR546" i="1"/>
  <c r="AN533" i="1"/>
  <c r="AL533" i="1"/>
  <c r="AQ533" i="1"/>
  <c r="AF517" i="1"/>
  <c r="AH517" i="1"/>
  <c r="AM517" i="1"/>
  <c r="AR493" i="1"/>
  <c r="AP493" i="1"/>
  <c r="AK399" i="1"/>
  <c r="AP399" i="1"/>
  <c r="AI347" i="1"/>
  <c r="AI331" i="1"/>
  <c r="AI283" i="1"/>
  <c r="AQ275" i="1"/>
  <c r="AK271" i="1"/>
  <c r="AP271" i="1"/>
  <c r="AM255" i="1"/>
  <c r="AH255" i="1"/>
  <c r="AQ243" i="1"/>
  <c r="AR235" i="1"/>
  <c r="AO233" i="1"/>
  <c r="AH227" i="1"/>
  <c r="AR225" i="1"/>
  <c r="AR221" i="1"/>
  <c r="AR217" i="1"/>
  <c r="AR213" i="1"/>
  <c r="AR209" i="1"/>
  <c r="AR205" i="1"/>
  <c r="AR201" i="1"/>
  <c r="AR197" i="1"/>
  <c r="AR193" i="1"/>
  <c r="AR189" i="1"/>
  <c r="AR185" i="1"/>
  <c r="AR181" i="1"/>
  <c r="AR177" i="1"/>
  <c r="AR173" i="1"/>
  <c r="AR169" i="1"/>
  <c r="AR165" i="1"/>
  <c r="AR161" i="1"/>
  <c r="AR157" i="1"/>
  <c r="AQ52" i="1"/>
  <c r="AI52" i="1"/>
  <c r="AN52" i="1"/>
  <c r="AF52" i="1"/>
  <c r="AO49" i="1"/>
  <c r="AK49" i="1"/>
  <c r="AG49" i="1"/>
  <c r="AR49" i="1"/>
  <c r="AN49" i="1"/>
  <c r="AJ49" i="1"/>
  <c r="AF49" i="1"/>
  <c r="AQ49" i="1"/>
  <c r="AI49" i="1"/>
  <c r="AP49" i="1"/>
  <c r="AH49" i="1"/>
  <c r="AM49" i="1"/>
  <c r="AL49" i="1"/>
  <c r="AK509" i="1"/>
  <c r="AO509" i="1"/>
  <c r="AI509" i="1"/>
  <c r="AJ485" i="1"/>
  <c r="AJ419" i="1"/>
  <c r="AJ395" i="1"/>
  <c r="AI391" i="1"/>
  <c r="AO391" i="1"/>
  <c r="AN383" i="1"/>
  <c r="AK383" i="1"/>
  <c r="AP383" i="1"/>
  <c r="AF375" i="1"/>
  <c r="AL375" i="1"/>
  <c r="AM367" i="1"/>
  <c r="AQ367" i="1"/>
  <c r="AH367" i="1"/>
  <c r="AJ363" i="1"/>
  <c r="AI359" i="1"/>
  <c r="AO359" i="1"/>
  <c r="AR439" i="1"/>
  <c r="AK439" i="1"/>
  <c r="AP439" i="1"/>
  <c r="AI395" i="1"/>
  <c r="AO395" i="1"/>
  <c r="AI387" i="1"/>
  <c r="AO387" i="1"/>
  <c r="AI379" i="1"/>
  <c r="AO379" i="1"/>
  <c r="AI371" i="1"/>
  <c r="AO371" i="1"/>
  <c r="AI363" i="1"/>
  <c r="AO363" i="1"/>
  <c r="AI355" i="1"/>
  <c r="AO355" i="1"/>
  <c r="AN322" i="1"/>
  <c r="AL322" i="1"/>
  <c r="AQ322" i="1"/>
  <c r="AF314" i="1"/>
  <c r="AH314" i="1"/>
  <c r="AM314" i="1"/>
  <c r="AK306" i="1"/>
  <c r="AO306" i="1"/>
  <c r="AI306" i="1"/>
  <c r="AR298" i="1"/>
  <c r="AP298" i="1"/>
  <c r="AN290" i="1"/>
  <c r="AL290" i="1"/>
  <c r="AQ290" i="1"/>
  <c r="AF278" i="1"/>
  <c r="AH278" i="1"/>
  <c r="AM278" i="1"/>
  <c r="AR262" i="1"/>
  <c r="AP262" i="1"/>
  <c r="AR259" i="1"/>
  <c r="AF246" i="1"/>
  <c r="AH246" i="1"/>
  <c r="AM246" i="1"/>
  <c r="AK237" i="1"/>
  <c r="AR237" i="1"/>
  <c r="AP233" i="1"/>
  <c r="AH233" i="1"/>
  <c r="AQ233" i="1"/>
  <c r="AN229" i="1"/>
  <c r="AR423" i="1"/>
  <c r="AK423" i="1"/>
  <c r="AP423" i="1"/>
  <c r="AR415" i="1"/>
  <c r="AK415" i="1"/>
  <c r="AP415" i="1"/>
  <c r="AR407" i="1"/>
  <c r="AK407" i="1"/>
  <c r="AP407" i="1"/>
  <c r="AM351" i="1"/>
  <c r="AQ351" i="1"/>
  <c r="AH351" i="1"/>
  <c r="AK350" i="1"/>
  <c r="AO350" i="1"/>
  <c r="AI350" i="1"/>
  <c r="AJ346" i="1"/>
  <c r="AN342" i="1"/>
  <c r="AQ342" i="1"/>
  <c r="AF338" i="1"/>
  <c r="AH338" i="1"/>
  <c r="AM338" i="1"/>
  <c r="AK334" i="1"/>
  <c r="AO334" i="1"/>
  <c r="AI334" i="1"/>
  <c r="AN326" i="1"/>
  <c r="AQ326" i="1"/>
  <c r="AR406" i="1"/>
  <c r="AN406" i="1"/>
  <c r="AJ406" i="1"/>
  <c r="AF406" i="1"/>
  <c r="AQ406" i="1"/>
  <c r="AM406" i="1"/>
  <c r="AI406" i="1"/>
  <c r="AP406" i="1"/>
  <c r="AL406" i="1"/>
  <c r="AH406" i="1"/>
  <c r="AG406" i="1"/>
  <c r="AO406" i="1"/>
  <c r="AK406" i="1"/>
  <c r="AR318" i="1"/>
  <c r="AP318" i="1"/>
  <c r="AR310" i="1"/>
  <c r="AP310" i="1"/>
  <c r="AR302" i="1"/>
  <c r="AP302" i="1"/>
  <c r="AR294" i="1"/>
  <c r="AP294" i="1"/>
  <c r="AR286" i="1"/>
  <c r="AP286" i="1"/>
  <c r="AN270" i="1"/>
  <c r="AL270" i="1"/>
  <c r="AQ270" i="1"/>
  <c r="AF254" i="1"/>
  <c r="AH254" i="1"/>
  <c r="AM254" i="1"/>
  <c r="AJ443" i="1"/>
  <c r="AR349" i="1"/>
  <c r="AN349" i="1"/>
  <c r="AJ349" i="1"/>
  <c r="AF349" i="1"/>
  <c r="AQ349" i="1"/>
  <c r="AM349" i="1"/>
  <c r="AI349" i="1"/>
  <c r="AP349" i="1"/>
  <c r="AH349" i="1"/>
  <c r="AO349" i="1"/>
  <c r="AG349" i="1"/>
  <c r="AL349" i="1"/>
  <c r="AK349" i="1"/>
  <c r="AQ347" i="1"/>
  <c r="AR341" i="1"/>
  <c r="AN341" i="1"/>
  <c r="AJ341" i="1"/>
  <c r="AF341" i="1"/>
  <c r="AQ341" i="1"/>
  <c r="AM341" i="1"/>
  <c r="AI341" i="1"/>
  <c r="AP341" i="1"/>
  <c r="AH341" i="1"/>
  <c r="AO341" i="1"/>
  <c r="AG341" i="1"/>
  <c r="AL341" i="1"/>
  <c r="AK341" i="1"/>
  <c r="AQ339" i="1"/>
  <c r="AR333" i="1"/>
  <c r="AN333" i="1"/>
  <c r="AJ333" i="1"/>
  <c r="AF333" i="1"/>
  <c r="AQ333" i="1"/>
  <c r="AM333" i="1"/>
  <c r="AI333" i="1"/>
  <c r="AP333" i="1"/>
  <c r="AH333" i="1"/>
  <c r="AO333" i="1"/>
  <c r="AG333" i="1"/>
  <c r="AL333" i="1"/>
  <c r="AK333" i="1"/>
  <c r="AQ331" i="1"/>
  <c r="AR325" i="1"/>
  <c r="AN325" i="1"/>
  <c r="AJ325" i="1"/>
  <c r="AF325" i="1"/>
  <c r="AQ325" i="1"/>
  <c r="AM325" i="1"/>
  <c r="AI325" i="1"/>
  <c r="AP325" i="1"/>
  <c r="AH325" i="1"/>
  <c r="AO325" i="1"/>
  <c r="AG325" i="1"/>
  <c r="AL325" i="1"/>
  <c r="AK325" i="1"/>
  <c r="AQ323" i="1"/>
  <c r="AR301" i="1"/>
  <c r="AN301" i="1"/>
  <c r="AJ301" i="1"/>
  <c r="AF301" i="1"/>
  <c r="AQ301" i="1"/>
  <c r="AM301" i="1"/>
  <c r="AI301" i="1"/>
  <c r="AP301" i="1"/>
  <c r="AH301" i="1"/>
  <c r="AO301" i="1"/>
  <c r="AG301" i="1"/>
  <c r="AL301" i="1"/>
  <c r="AK301" i="1"/>
  <c r="AR253" i="1"/>
  <c r="AN253" i="1"/>
  <c r="AJ253" i="1"/>
  <c r="AF253" i="1"/>
  <c r="AQ253" i="1"/>
  <c r="AM253" i="1"/>
  <c r="AI253" i="1"/>
  <c r="AP253" i="1"/>
  <c r="AH253" i="1"/>
  <c r="AO253" i="1"/>
  <c r="AG253" i="1"/>
  <c r="AL253" i="1"/>
  <c r="AK253" i="1"/>
  <c r="AO221" i="1"/>
  <c r="AR208" i="1"/>
  <c r="AJ204" i="1"/>
  <c r="AR192" i="1"/>
  <c r="AJ188" i="1"/>
  <c r="AI180" i="1"/>
  <c r="AQ176" i="1"/>
  <c r="AI164" i="1"/>
  <c r="AQ160" i="1"/>
  <c r="AQ143" i="1"/>
  <c r="AM143" i="1"/>
  <c r="AI143" i="1"/>
  <c r="AP143" i="1"/>
  <c r="AL143" i="1"/>
  <c r="AH143" i="1"/>
  <c r="AR143" i="1"/>
  <c r="AJ143" i="1"/>
  <c r="AO143" i="1"/>
  <c r="AG143" i="1"/>
  <c r="AN143" i="1"/>
  <c r="AF143" i="1"/>
  <c r="AK143" i="1"/>
  <c r="AR142" i="1"/>
  <c r="AN142" i="1"/>
  <c r="AJ142" i="1"/>
  <c r="AF142" i="1"/>
  <c r="AQ142" i="1"/>
  <c r="AM142" i="1"/>
  <c r="AI142" i="1"/>
  <c r="AK142" i="1"/>
  <c r="AP142" i="1"/>
  <c r="AH142" i="1"/>
  <c r="AO142" i="1"/>
  <c r="AG142" i="1"/>
  <c r="AL142" i="1"/>
  <c r="AQ127" i="1"/>
  <c r="AM127" i="1"/>
  <c r="AI127" i="1"/>
  <c r="AP127" i="1"/>
  <c r="AL127" i="1"/>
  <c r="AH127" i="1"/>
  <c r="AR127" i="1"/>
  <c r="AJ127" i="1"/>
  <c r="AO127" i="1"/>
  <c r="AG127" i="1"/>
  <c r="AN127" i="1"/>
  <c r="AF127" i="1"/>
  <c r="AK127" i="1"/>
  <c r="AR126" i="1"/>
  <c r="AN126" i="1"/>
  <c r="AJ126" i="1"/>
  <c r="AF126" i="1"/>
  <c r="AQ126" i="1"/>
  <c r="AM126" i="1"/>
  <c r="AI126" i="1"/>
  <c r="AK126" i="1"/>
  <c r="AP126" i="1"/>
  <c r="AH126" i="1"/>
  <c r="AO126" i="1"/>
  <c r="AG126" i="1"/>
  <c r="AL126" i="1"/>
  <c r="AQ119" i="1"/>
  <c r="AM119" i="1"/>
  <c r="AI119" i="1"/>
  <c r="AP119" i="1"/>
  <c r="AL119" i="1"/>
  <c r="AH119" i="1"/>
  <c r="AR119" i="1"/>
  <c r="AJ119" i="1"/>
  <c r="AO119" i="1"/>
  <c r="AG119" i="1"/>
  <c r="AN119" i="1"/>
  <c r="AF119" i="1"/>
  <c r="AK119" i="1"/>
  <c r="AR118" i="1"/>
  <c r="AN118" i="1"/>
  <c r="AJ118" i="1"/>
  <c r="AF118" i="1"/>
  <c r="AQ118" i="1"/>
  <c r="AM118" i="1"/>
  <c r="AI118" i="1"/>
  <c r="AK118" i="1"/>
  <c r="AP118" i="1"/>
  <c r="AH118" i="1"/>
  <c r="AO118" i="1"/>
  <c r="AG118" i="1"/>
  <c r="AL118" i="1"/>
  <c r="AN116" i="1"/>
  <c r="AL104" i="1"/>
  <c r="AJ96" i="1"/>
  <c r="AH96" i="1"/>
  <c r="AN415" i="1"/>
  <c r="AJ302" i="1"/>
  <c r="AR223" i="1"/>
  <c r="AN223" i="1"/>
  <c r="AJ223" i="1"/>
  <c r="AF223" i="1"/>
  <c r="AQ223" i="1"/>
  <c r="AM223" i="1"/>
  <c r="AI223" i="1"/>
  <c r="AP223" i="1"/>
  <c r="AL223" i="1"/>
  <c r="AH223" i="1"/>
  <c r="AO223" i="1"/>
  <c r="AG223" i="1"/>
  <c r="AK223" i="1"/>
  <c r="AN216" i="1"/>
  <c r="AH216" i="1"/>
  <c r="AM216" i="1"/>
  <c r="AL208" i="1"/>
  <c r="AQ208" i="1"/>
  <c r="AK200" i="1"/>
  <c r="AP200" i="1"/>
  <c r="AR199" i="1"/>
  <c r="AN199" i="1"/>
  <c r="AJ199" i="1"/>
  <c r="AF199" i="1"/>
  <c r="AQ199" i="1"/>
  <c r="AM199" i="1"/>
  <c r="AI199" i="1"/>
  <c r="AP199" i="1"/>
  <c r="AL199" i="1"/>
  <c r="AH199" i="1"/>
  <c r="AO199" i="1"/>
  <c r="AK199" i="1"/>
  <c r="AG199" i="1"/>
  <c r="AO192" i="1"/>
  <c r="AI192" i="1"/>
  <c r="AN184" i="1"/>
  <c r="AH184" i="1"/>
  <c r="AM184" i="1"/>
  <c r="AR182" i="1"/>
  <c r="AN182" i="1"/>
  <c r="AJ182" i="1"/>
  <c r="AF182" i="1"/>
  <c r="AQ182" i="1"/>
  <c r="AM182" i="1"/>
  <c r="AI182" i="1"/>
  <c r="AL182" i="1"/>
  <c r="AK182" i="1"/>
  <c r="AP182" i="1"/>
  <c r="AH182" i="1"/>
  <c r="AO182" i="1"/>
  <c r="AG182" i="1"/>
  <c r="AL175" i="1"/>
  <c r="AQ175" i="1"/>
  <c r="AR174" i="1"/>
  <c r="AN174" i="1"/>
  <c r="AJ174" i="1"/>
  <c r="AF174" i="1"/>
  <c r="AQ174" i="1"/>
  <c r="AM174" i="1"/>
  <c r="AI174" i="1"/>
  <c r="AL174" i="1"/>
  <c r="AK174" i="1"/>
  <c r="AP174" i="1"/>
  <c r="AH174" i="1"/>
  <c r="AO174" i="1"/>
  <c r="AG174" i="1"/>
  <c r="AJ171" i="1"/>
  <c r="AI171" i="1"/>
  <c r="AQ167" i="1"/>
  <c r="AR166" i="1"/>
  <c r="AN166" i="1"/>
  <c r="AJ166" i="1"/>
  <c r="AF166" i="1"/>
  <c r="AQ166" i="1"/>
  <c r="AM166" i="1"/>
  <c r="AI166" i="1"/>
  <c r="AL166" i="1"/>
  <c r="AK166" i="1"/>
  <c r="AP166" i="1"/>
  <c r="AH166" i="1"/>
  <c r="AO166" i="1"/>
  <c r="AG166" i="1"/>
  <c r="AL159" i="1"/>
  <c r="AQ159" i="1"/>
  <c r="AR158" i="1"/>
  <c r="AN158" i="1"/>
  <c r="AJ158" i="1"/>
  <c r="AF158" i="1"/>
  <c r="AQ158" i="1"/>
  <c r="AM158" i="1"/>
  <c r="AI158" i="1"/>
  <c r="AL158" i="1"/>
  <c r="AK158" i="1"/>
  <c r="AP158" i="1"/>
  <c r="AH158" i="1"/>
  <c r="AO158" i="1"/>
  <c r="AG158" i="1"/>
  <c r="AR212" i="1"/>
  <c r="AM168" i="1"/>
  <c r="AL156" i="1"/>
  <c r="AL152" i="1"/>
  <c r="AL148" i="1"/>
  <c r="AL144" i="1"/>
  <c r="AL140" i="1"/>
  <c r="AL136" i="1"/>
  <c r="AL132" i="1"/>
  <c r="AL128" i="1"/>
  <c r="AL124" i="1"/>
  <c r="AR112" i="1"/>
  <c r="AO112" i="1"/>
  <c r="AL92" i="1"/>
  <c r="AJ314" i="1"/>
  <c r="AJ270" i="1"/>
  <c r="AL224" i="1"/>
  <c r="AQ224" i="1"/>
  <c r="AL220" i="1"/>
  <c r="AQ220" i="1"/>
  <c r="AL212" i="1"/>
  <c r="AQ212" i="1"/>
  <c r="AL204" i="1"/>
  <c r="AQ204" i="1"/>
  <c r="AL196" i="1"/>
  <c r="AQ196" i="1"/>
  <c r="AL188" i="1"/>
  <c r="AQ188" i="1"/>
  <c r="AR180" i="1"/>
  <c r="AO180" i="1"/>
  <c r="AN179" i="1"/>
  <c r="AR176" i="1"/>
  <c r="AO176" i="1"/>
  <c r="AN175" i="1"/>
  <c r="AR172" i="1"/>
  <c r="AO172" i="1"/>
  <c r="AN171" i="1"/>
  <c r="AR168" i="1"/>
  <c r="AO168" i="1"/>
  <c r="AR164" i="1"/>
  <c r="AO164" i="1"/>
  <c r="AN163" i="1"/>
  <c r="AR160" i="1"/>
  <c r="AO160" i="1"/>
  <c r="AN159" i="1"/>
  <c r="AO157" i="1"/>
  <c r="AJ120" i="1"/>
  <c r="AH120" i="1"/>
  <c r="AQ116" i="1"/>
  <c r="AO116" i="1"/>
  <c r="AQ111" i="1"/>
  <c r="AR110" i="1"/>
  <c r="AN110" i="1"/>
  <c r="AJ110" i="1"/>
  <c r="AF110" i="1"/>
  <c r="AQ110" i="1"/>
  <c r="AM110" i="1"/>
  <c r="AI110" i="1"/>
  <c r="AP110" i="1"/>
  <c r="AH110" i="1"/>
  <c r="AL110" i="1"/>
  <c r="AK110" i="1"/>
  <c r="AO110" i="1"/>
  <c r="AG110" i="1"/>
  <c r="AJ192" i="1"/>
  <c r="AQ103" i="1"/>
  <c r="AQ91" i="1"/>
  <c r="AF83" i="1"/>
  <c r="AM80" i="1"/>
  <c r="AH80" i="1"/>
  <c r="AL76" i="1"/>
  <c r="AK72" i="1"/>
  <c r="AP72" i="1"/>
  <c r="AL68" i="1"/>
  <c r="AM64" i="1"/>
  <c r="AK56" i="1"/>
  <c r="AP56" i="1"/>
  <c r="AL52" i="1"/>
  <c r="AM48" i="1"/>
  <c r="AH48" i="1"/>
  <c r="AO44" i="1"/>
  <c r="AN40" i="1"/>
  <c r="AN32" i="1"/>
  <c r="AN24" i="1"/>
  <c r="AQ95" i="1"/>
  <c r="AM95" i="1"/>
  <c r="AI95" i="1"/>
  <c r="AP95" i="1"/>
  <c r="AL95" i="1"/>
  <c r="AH95" i="1"/>
  <c r="AN95" i="1"/>
  <c r="AF95" i="1"/>
  <c r="AR95" i="1"/>
  <c r="AJ95" i="1"/>
  <c r="AO95" i="1"/>
  <c r="AK95" i="1"/>
  <c r="AG95" i="1"/>
  <c r="AQ88" i="1"/>
  <c r="AO88" i="1"/>
  <c r="AR87" i="1"/>
  <c r="AF67" i="1"/>
  <c r="AR64" i="1"/>
  <c r="AO64" i="1"/>
  <c r="AK60" i="1"/>
  <c r="AP60" i="1"/>
  <c r="AJ52" i="1"/>
  <c r="AN47" i="1"/>
  <c r="AM40" i="1"/>
  <c r="AN38" i="1"/>
  <c r="AH38" i="1"/>
  <c r="AM32" i="1"/>
  <c r="AN30" i="1"/>
  <c r="AH30" i="1"/>
  <c r="AM24" i="1"/>
  <c r="AN22" i="1"/>
  <c r="AH22" i="1"/>
  <c r="AM16" i="1"/>
  <c r="AR14" i="1"/>
  <c r="AL14" i="1"/>
  <c r="AN14" i="1"/>
  <c r="AH14" i="1"/>
  <c r="AR8" i="1"/>
  <c r="AK31" i="1"/>
  <c r="AF27" i="1"/>
  <c r="AO22" i="1"/>
  <c r="AQ22" i="1"/>
  <c r="AQ20" i="1"/>
  <c r="AK19" i="1"/>
  <c r="AJ14" i="1"/>
  <c r="AL12" i="1"/>
  <c r="AF11" i="1"/>
  <c r="AP35" i="1"/>
  <c r="AL31" i="1"/>
  <c r="AJ23" i="1"/>
  <c r="AP20" i="1"/>
  <c r="AP12" i="1"/>
  <c r="AJ208" i="1"/>
  <c r="AI108" i="1"/>
  <c r="AK108" i="1"/>
  <c r="AP108" i="1"/>
  <c r="AQ100" i="1"/>
  <c r="AH100" i="1"/>
  <c r="AQ79" i="1"/>
  <c r="AM79" i="1"/>
  <c r="AI79" i="1"/>
  <c r="AP79" i="1"/>
  <c r="AL79" i="1"/>
  <c r="AH79" i="1"/>
  <c r="AO79" i="1"/>
  <c r="AG79" i="1"/>
  <c r="AJ79" i="1"/>
  <c r="AR79" i="1"/>
  <c r="AF79" i="1"/>
  <c r="AN79" i="1"/>
  <c r="AK79" i="1"/>
  <c r="AF76" i="1"/>
  <c r="AK43" i="1"/>
  <c r="AQ39" i="1"/>
  <c r="AJ38" i="1"/>
  <c r="AQ36" i="1"/>
  <c r="AF35" i="1"/>
  <c r="AM34" i="1"/>
  <c r="AF32" i="1"/>
  <c r="AM30" i="1"/>
  <c r="AF28" i="1"/>
  <c r="AM26" i="1"/>
  <c r="L23" i="1"/>
  <c r="AL16" i="1"/>
  <c r="AJ32" i="1"/>
  <c r="AO19" i="1"/>
  <c r="AP19" i="1"/>
  <c r="AO15" i="1"/>
  <c r="AP15" i="1"/>
  <c r="AJ216" i="1"/>
  <c r="AF107" i="1"/>
  <c r="AH107" i="1"/>
  <c r="AM107" i="1"/>
  <c r="AO87" i="1"/>
  <c r="AP87" i="1"/>
  <c r="AN84" i="1"/>
  <c r="AL84" i="1"/>
  <c r="AO83" i="1"/>
  <c r="AP83" i="1"/>
  <c r="AL67" i="1"/>
  <c r="AQ67" i="1"/>
  <c r="AR66" i="1"/>
  <c r="AN66" i="1"/>
  <c r="AJ66" i="1"/>
  <c r="AF66" i="1"/>
  <c r="AQ66" i="1"/>
  <c r="AM66" i="1"/>
  <c r="AI66" i="1"/>
  <c r="AP66" i="1"/>
  <c r="AH66" i="1"/>
  <c r="AO66" i="1"/>
  <c r="AG66" i="1"/>
  <c r="AL66" i="1"/>
  <c r="AK66" i="1"/>
  <c r="AR63" i="1"/>
  <c r="AP63" i="1"/>
  <c r="AJ59" i="1"/>
  <c r="AI59" i="1"/>
  <c r="AR55" i="1"/>
  <c r="AP55" i="1"/>
  <c r="AL51" i="1"/>
  <c r="AQ51" i="1"/>
  <c r="AR50" i="1"/>
  <c r="AN50" i="1"/>
  <c r="AJ50" i="1"/>
  <c r="AF50" i="1"/>
  <c r="AQ50" i="1"/>
  <c r="AM50" i="1"/>
  <c r="AI50" i="1"/>
  <c r="AP50" i="1"/>
  <c r="AH50" i="1"/>
  <c r="AO50" i="1"/>
  <c r="AG50" i="1"/>
  <c r="AL50" i="1"/>
  <c r="AK50" i="1"/>
  <c r="AH47" i="1"/>
  <c r="AM47" i="1"/>
  <c r="AJ43" i="1"/>
  <c r="AI43" i="1"/>
  <c r="AJ40" i="1"/>
  <c r="AO39" i="1"/>
  <c r="AP39" i="1"/>
  <c r="AK36" i="1"/>
  <c r="AK28" i="1"/>
  <c r="AH27" i="1"/>
  <c r="AJ16" i="1"/>
  <c r="AO11" i="1"/>
  <c r="AP11" i="1"/>
  <c r="AJ88" i="1"/>
  <c r="AR52" i="1"/>
  <c r="AN91" i="1"/>
  <c r="AR603" i="1"/>
  <c r="AN603" i="1"/>
  <c r="AJ603" i="1"/>
  <c r="AF603" i="1"/>
  <c r="AQ603" i="1"/>
  <c r="AM603" i="1"/>
  <c r="AI603" i="1"/>
  <c r="AP603" i="1"/>
  <c r="AL603" i="1"/>
  <c r="AH603" i="1"/>
  <c r="AG603" i="1"/>
  <c r="AO603" i="1"/>
  <c r="AK603" i="1"/>
  <c r="AR447" i="1"/>
  <c r="AQ279" i="1"/>
  <c r="AI279" i="1"/>
  <c r="AR279" i="1"/>
  <c r="AJ279" i="1"/>
  <c r="AO276" i="1"/>
  <c r="AK276" i="1"/>
  <c r="AG276" i="1"/>
  <c r="AR276" i="1"/>
  <c r="AN276" i="1"/>
  <c r="AJ276" i="1"/>
  <c r="AF276" i="1"/>
  <c r="AQ276" i="1"/>
  <c r="AI276" i="1"/>
  <c r="AP276" i="1"/>
  <c r="AH276" i="1"/>
  <c r="AM276" i="1"/>
  <c r="AL276" i="1"/>
  <c r="AQ263" i="1"/>
  <c r="AI263" i="1"/>
  <c r="AR263" i="1"/>
  <c r="AJ263" i="1"/>
  <c r="AO260" i="1"/>
  <c r="AK260" i="1"/>
  <c r="AG260" i="1"/>
  <c r="AR260" i="1"/>
  <c r="AN260" i="1"/>
  <c r="AJ260" i="1"/>
  <c r="AF260" i="1"/>
  <c r="AQ260" i="1"/>
  <c r="AI260" i="1"/>
  <c r="AP260" i="1"/>
  <c r="AH260" i="1"/>
  <c r="AM260" i="1"/>
  <c r="AL260" i="1"/>
  <c r="AQ247" i="1"/>
  <c r="AI247" i="1"/>
  <c r="AR247" i="1"/>
  <c r="AJ247" i="1"/>
  <c r="AO244" i="1"/>
  <c r="AK244" i="1"/>
  <c r="AG244" i="1"/>
  <c r="AR244" i="1"/>
  <c r="AN244" i="1"/>
  <c r="AJ244" i="1"/>
  <c r="AF244" i="1"/>
  <c r="AQ244" i="1"/>
  <c r="AI244" i="1"/>
  <c r="AP244" i="1"/>
  <c r="AH244" i="1"/>
  <c r="AM244" i="1"/>
  <c r="AL244" i="1"/>
  <c r="AF231" i="1"/>
  <c r="AL231" i="1"/>
  <c r="AQ231" i="1"/>
  <c r="AF541" i="1"/>
  <c r="AK525" i="1"/>
  <c r="AO525" i="1"/>
  <c r="AI525" i="1"/>
  <c r="AN501" i="1"/>
  <c r="AL501" i="1"/>
  <c r="AQ501" i="1"/>
  <c r="AK431" i="1"/>
  <c r="AP431" i="1"/>
  <c r="AL275" i="1"/>
  <c r="AL259" i="1"/>
  <c r="AL243" i="1"/>
  <c r="AJ227" i="1"/>
  <c r="AF592" i="1"/>
  <c r="AO592" i="1"/>
  <c r="AI592" i="1"/>
  <c r="AP573" i="1"/>
  <c r="AL573" i="1"/>
  <c r="AH573" i="1"/>
  <c r="AR573" i="1"/>
  <c r="AN573" i="1"/>
  <c r="AJ573" i="1"/>
  <c r="AF573" i="1"/>
  <c r="AQ573" i="1"/>
  <c r="AI573" i="1"/>
  <c r="AO573" i="1"/>
  <c r="AG573" i="1"/>
  <c r="AM573" i="1"/>
  <c r="AK573" i="1"/>
  <c r="AR500" i="1"/>
  <c r="AN500" i="1"/>
  <c r="AJ500" i="1"/>
  <c r="AF500" i="1"/>
  <c r="AQ500" i="1"/>
  <c r="AM500" i="1"/>
  <c r="AI500" i="1"/>
  <c r="AP500" i="1"/>
  <c r="AH500" i="1"/>
  <c r="AO500" i="1"/>
  <c r="AG500" i="1"/>
  <c r="AL500" i="1"/>
  <c r="AK500" i="1"/>
  <c r="AL419" i="1"/>
  <c r="AQ419" i="1"/>
  <c r="AK411" i="1"/>
  <c r="AP411" i="1"/>
  <c r="AR410" i="1"/>
  <c r="AN410" i="1"/>
  <c r="AJ410" i="1"/>
  <c r="AF410" i="1"/>
  <c r="AQ410" i="1"/>
  <c r="AM410" i="1"/>
  <c r="AI410" i="1"/>
  <c r="AP410" i="1"/>
  <c r="AL410" i="1"/>
  <c r="AH410" i="1"/>
  <c r="AO410" i="1"/>
  <c r="AK410" i="1"/>
  <c r="AG410" i="1"/>
  <c r="AO403" i="1"/>
  <c r="AI403" i="1"/>
  <c r="AQ398" i="1"/>
  <c r="AM398" i="1"/>
  <c r="AI398" i="1"/>
  <c r="AP398" i="1"/>
  <c r="AL398" i="1"/>
  <c r="AH398" i="1"/>
  <c r="AK398" i="1"/>
  <c r="AR398" i="1"/>
  <c r="AJ398" i="1"/>
  <c r="AO398" i="1"/>
  <c r="AG398" i="1"/>
  <c r="AF398" i="1"/>
  <c r="AN398" i="1"/>
  <c r="AR397" i="1"/>
  <c r="AN397" i="1"/>
  <c r="AJ397" i="1"/>
  <c r="AF397" i="1"/>
  <c r="AQ397" i="1"/>
  <c r="AM397" i="1"/>
  <c r="AI397" i="1"/>
  <c r="AL397" i="1"/>
  <c r="AK397" i="1"/>
  <c r="AP397" i="1"/>
  <c r="AH397" i="1"/>
  <c r="AG397" i="1"/>
  <c r="AO397" i="1"/>
  <c r="AQ394" i="1"/>
  <c r="AM394" i="1"/>
  <c r="AI394" i="1"/>
  <c r="AP394" i="1"/>
  <c r="AL394" i="1"/>
  <c r="AH394" i="1"/>
  <c r="AK394" i="1"/>
  <c r="AR394" i="1"/>
  <c r="AJ394" i="1"/>
  <c r="AO394" i="1"/>
  <c r="AG394" i="1"/>
  <c r="AF394" i="1"/>
  <c r="AN394" i="1"/>
  <c r="AR393" i="1"/>
  <c r="AN393" i="1"/>
  <c r="AJ393" i="1"/>
  <c r="AF393" i="1"/>
  <c r="AQ393" i="1"/>
  <c r="AM393" i="1"/>
  <c r="AI393" i="1"/>
  <c r="AL393" i="1"/>
  <c r="AK393" i="1"/>
  <c r="AP393" i="1"/>
  <c r="AH393" i="1"/>
  <c r="AG393" i="1"/>
  <c r="AO393" i="1"/>
  <c r="AQ390" i="1"/>
  <c r="AM390" i="1"/>
  <c r="AI390" i="1"/>
  <c r="AP390" i="1"/>
  <c r="AL390" i="1"/>
  <c r="AH390" i="1"/>
  <c r="AK390" i="1"/>
  <c r="AR390" i="1"/>
  <c r="AJ390" i="1"/>
  <c r="AO390" i="1"/>
  <c r="AG390" i="1"/>
  <c r="AF390" i="1"/>
  <c r="AN390" i="1"/>
  <c r="AR389" i="1"/>
  <c r="AN389" i="1"/>
  <c r="AJ389" i="1"/>
  <c r="AF389" i="1"/>
  <c r="AQ389" i="1"/>
  <c r="AM389" i="1"/>
  <c r="AI389" i="1"/>
  <c r="AL389" i="1"/>
  <c r="AK389" i="1"/>
  <c r="AP389" i="1"/>
  <c r="AH389" i="1"/>
  <c r="AG389" i="1"/>
  <c r="AO389" i="1"/>
  <c r="AQ386" i="1"/>
  <c r="AM386" i="1"/>
  <c r="AI386" i="1"/>
  <c r="AP386" i="1"/>
  <c r="AL386" i="1"/>
  <c r="AH386" i="1"/>
  <c r="AK386" i="1"/>
  <c r="AR386" i="1"/>
  <c r="AJ386" i="1"/>
  <c r="AO386" i="1"/>
  <c r="AG386" i="1"/>
  <c r="AF386" i="1"/>
  <c r="AN386" i="1"/>
  <c r="AR385" i="1"/>
  <c r="AN385" i="1"/>
  <c r="AJ385" i="1"/>
  <c r="AF385" i="1"/>
  <c r="AQ385" i="1"/>
  <c r="AM385" i="1"/>
  <c r="AI385" i="1"/>
  <c r="AL385" i="1"/>
  <c r="AK385" i="1"/>
  <c r="AP385" i="1"/>
  <c r="AH385" i="1"/>
  <c r="AG385" i="1"/>
  <c r="AO385" i="1"/>
  <c r="AQ382" i="1"/>
  <c r="AM382" i="1"/>
  <c r="AI382" i="1"/>
  <c r="AP382" i="1"/>
  <c r="AL382" i="1"/>
  <c r="AH382" i="1"/>
  <c r="AK382" i="1"/>
  <c r="AR382" i="1"/>
  <c r="AJ382" i="1"/>
  <c r="AO382" i="1"/>
  <c r="AG382" i="1"/>
  <c r="AF382" i="1"/>
  <c r="AN382" i="1"/>
  <c r="AR381" i="1"/>
  <c r="AN381" i="1"/>
  <c r="AJ381" i="1"/>
  <c r="AF381" i="1"/>
  <c r="AQ381" i="1"/>
  <c r="AM381" i="1"/>
  <c r="AI381" i="1"/>
  <c r="AL381" i="1"/>
  <c r="AK381" i="1"/>
  <c r="AP381" i="1"/>
  <c r="AH381" i="1"/>
  <c r="AG381" i="1"/>
  <c r="AO381" i="1"/>
  <c r="AQ378" i="1"/>
  <c r="AM378" i="1"/>
  <c r="AI378" i="1"/>
  <c r="AP378" i="1"/>
  <c r="AL378" i="1"/>
  <c r="AH378" i="1"/>
  <c r="AK378" i="1"/>
  <c r="AR378" i="1"/>
  <c r="AJ378" i="1"/>
  <c r="AO378" i="1"/>
  <c r="AG378" i="1"/>
  <c r="AF378" i="1"/>
  <c r="AN378" i="1"/>
  <c r="AR377" i="1"/>
  <c r="AN377" i="1"/>
  <c r="AJ377" i="1"/>
  <c r="AF377" i="1"/>
  <c r="AQ377" i="1"/>
  <c r="AM377" i="1"/>
  <c r="AI377" i="1"/>
  <c r="AL377" i="1"/>
  <c r="AK377" i="1"/>
  <c r="AP377" i="1"/>
  <c r="AH377" i="1"/>
  <c r="AG377" i="1"/>
  <c r="AO377" i="1"/>
  <c r="AQ374" i="1"/>
  <c r="AM374" i="1"/>
  <c r="AI374" i="1"/>
  <c r="AP374" i="1"/>
  <c r="AL374" i="1"/>
  <c r="AH374" i="1"/>
  <c r="AK374" i="1"/>
  <c r="AR374" i="1"/>
  <c r="AJ374" i="1"/>
  <c r="AO374" i="1"/>
  <c r="AG374" i="1"/>
  <c r="AF374" i="1"/>
  <c r="AN374" i="1"/>
  <c r="AR373" i="1"/>
  <c r="AN373" i="1"/>
  <c r="AJ373" i="1"/>
  <c r="AF373" i="1"/>
  <c r="AQ373" i="1"/>
  <c r="AM373" i="1"/>
  <c r="AI373" i="1"/>
  <c r="AL373" i="1"/>
  <c r="AK373" i="1"/>
  <c r="AP373" i="1"/>
  <c r="AH373" i="1"/>
  <c r="AG373" i="1"/>
  <c r="AO373" i="1"/>
  <c r="AQ370" i="1"/>
  <c r="AM370" i="1"/>
  <c r="AI370" i="1"/>
  <c r="AP370" i="1"/>
  <c r="AL370" i="1"/>
  <c r="AH370" i="1"/>
  <c r="AK370" i="1"/>
  <c r="AR370" i="1"/>
  <c r="AJ370" i="1"/>
  <c r="AO370" i="1"/>
  <c r="AG370" i="1"/>
  <c r="AF370" i="1"/>
  <c r="AN370" i="1"/>
  <c r="AR369" i="1"/>
  <c r="AN369" i="1"/>
  <c r="AJ369" i="1"/>
  <c r="AF369" i="1"/>
  <c r="AQ369" i="1"/>
  <c r="AM369" i="1"/>
  <c r="AI369" i="1"/>
  <c r="AL369" i="1"/>
  <c r="AK369" i="1"/>
  <c r="AP369" i="1"/>
  <c r="AH369" i="1"/>
  <c r="AG369" i="1"/>
  <c r="AO369" i="1"/>
  <c r="AQ366" i="1"/>
  <c r="AM366" i="1"/>
  <c r="AI366" i="1"/>
  <c r="AP366" i="1"/>
  <c r="AL366" i="1"/>
  <c r="AH366" i="1"/>
  <c r="AK366" i="1"/>
  <c r="AR366" i="1"/>
  <c r="AJ366" i="1"/>
  <c r="AO366" i="1"/>
  <c r="AG366" i="1"/>
  <c r="AF366" i="1"/>
  <c r="AN366" i="1"/>
  <c r="AR365" i="1"/>
  <c r="AN365" i="1"/>
  <c r="AJ365" i="1"/>
  <c r="AF365" i="1"/>
  <c r="AQ365" i="1"/>
  <c r="AM365" i="1"/>
  <c r="AI365" i="1"/>
  <c r="AL365" i="1"/>
  <c r="AK365" i="1"/>
  <c r="AP365" i="1"/>
  <c r="AH365" i="1"/>
  <c r="AG365" i="1"/>
  <c r="AO365" i="1"/>
  <c r="AQ362" i="1"/>
  <c r="AM362" i="1"/>
  <c r="AI362" i="1"/>
  <c r="AP362" i="1"/>
  <c r="AL362" i="1"/>
  <c r="AH362" i="1"/>
  <c r="AK362" i="1"/>
  <c r="AR362" i="1"/>
  <c r="AJ362" i="1"/>
  <c r="AO362" i="1"/>
  <c r="AG362" i="1"/>
  <c r="AF362" i="1"/>
  <c r="AN362" i="1"/>
  <c r="AR361" i="1"/>
  <c r="AN361" i="1"/>
  <c r="AJ361" i="1"/>
  <c r="AF361" i="1"/>
  <c r="AQ361" i="1"/>
  <c r="AM361" i="1"/>
  <c r="AI361" i="1"/>
  <c r="AL361" i="1"/>
  <c r="AK361" i="1"/>
  <c r="AP361" i="1"/>
  <c r="AH361" i="1"/>
  <c r="AG361" i="1"/>
  <c r="AO361" i="1"/>
  <c r="AQ358" i="1"/>
  <c r="AM358" i="1"/>
  <c r="AI358" i="1"/>
  <c r="AP358" i="1"/>
  <c r="AL358" i="1"/>
  <c r="AH358" i="1"/>
  <c r="AK358" i="1"/>
  <c r="AR358" i="1"/>
  <c r="AJ358" i="1"/>
  <c r="AO358" i="1"/>
  <c r="AG358" i="1"/>
  <c r="AF358" i="1"/>
  <c r="AN358" i="1"/>
  <c r="AR357" i="1"/>
  <c r="AN357" i="1"/>
  <c r="AJ357" i="1"/>
  <c r="AF357" i="1"/>
  <c r="AQ357" i="1"/>
  <c r="AM357" i="1"/>
  <c r="AI357" i="1"/>
  <c r="AL357" i="1"/>
  <c r="AK357" i="1"/>
  <c r="AP357" i="1"/>
  <c r="AH357" i="1"/>
  <c r="AG357" i="1"/>
  <c r="AO357" i="1"/>
  <c r="AQ354" i="1"/>
  <c r="AM354" i="1"/>
  <c r="AI354" i="1"/>
  <c r="AP354" i="1"/>
  <c r="AL354" i="1"/>
  <c r="AH354" i="1"/>
  <c r="AK354" i="1"/>
  <c r="AR354" i="1"/>
  <c r="AJ354" i="1"/>
  <c r="AO354" i="1"/>
  <c r="AG354" i="1"/>
  <c r="AF354" i="1"/>
  <c r="AN354" i="1"/>
  <c r="AR353" i="1"/>
  <c r="AN353" i="1"/>
  <c r="AJ353" i="1"/>
  <c r="AF353" i="1"/>
  <c r="AQ353" i="1"/>
  <c r="AM353" i="1"/>
  <c r="AI353" i="1"/>
  <c r="AL353" i="1"/>
  <c r="AK353" i="1"/>
  <c r="AP353" i="1"/>
  <c r="AH353" i="1"/>
  <c r="AG353" i="1"/>
  <c r="AO353" i="1"/>
  <c r="AF279" i="1"/>
  <c r="AJ275" i="1"/>
  <c r="AQ258" i="1"/>
  <c r="AM258" i="1"/>
  <c r="AI258" i="1"/>
  <c r="AP258" i="1"/>
  <c r="AL258" i="1"/>
  <c r="AH258" i="1"/>
  <c r="AK258" i="1"/>
  <c r="AR258" i="1"/>
  <c r="AJ258" i="1"/>
  <c r="AO258" i="1"/>
  <c r="AG258" i="1"/>
  <c r="AN258" i="1"/>
  <c r="AF258" i="1"/>
  <c r="AR257" i="1"/>
  <c r="AN257" i="1"/>
  <c r="AJ257" i="1"/>
  <c r="AF257" i="1"/>
  <c r="AQ257" i="1"/>
  <c r="AM257" i="1"/>
  <c r="AI257" i="1"/>
  <c r="AL257" i="1"/>
  <c r="AK257" i="1"/>
  <c r="AP257" i="1"/>
  <c r="AH257" i="1"/>
  <c r="AG257" i="1"/>
  <c r="AO257" i="1"/>
  <c r="AF247" i="1"/>
  <c r="AJ243" i="1"/>
  <c r="AP226" i="1"/>
  <c r="AL226" i="1"/>
  <c r="AH226" i="1"/>
  <c r="AO226" i="1"/>
  <c r="AJ226" i="1"/>
  <c r="AN226" i="1"/>
  <c r="AI226" i="1"/>
  <c r="AR226" i="1"/>
  <c r="AM226" i="1"/>
  <c r="AG226" i="1"/>
  <c r="AK226" i="1"/>
  <c r="AQ226" i="1"/>
  <c r="AF226" i="1"/>
  <c r="AO218" i="1"/>
  <c r="AK218" i="1"/>
  <c r="AG218" i="1"/>
  <c r="AR218" i="1"/>
  <c r="AN218" i="1"/>
  <c r="AJ218" i="1"/>
  <c r="AF218" i="1"/>
  <c r="AQ218" i="1"/>
  <c r="AM218" i="1"/>
  <c r="AI218" i="1"/>
  <c r="AP218" i="1"/>
  <c r="AL218" i="1"/>
  <c r="AH218" i="1"/>
  <c r="AO210" i="1"/>
  <c r="AK210" i="1"/>
  <c r="AG210" i="1"/>
  <c r="AR210" i="1"/>
  <c r="AN210" i="1"/>
  <c r="AJ210" i="1"/>
  <c r="AF210" i="1"/>
  <c r="AQ210" i="1"/>
  <c r="AM210" i="1"/>
  <c r="AI210" i="1"/>
  <c r="AP210" i="1"/>
  <c r="AL210" i="1"/>
  <c r="AH210" i="1"/>
  <c r="AO202" i="1"/>
  <c r="AK202" i="1"/>
  <c r="AG202" i="1"/>
  <c r="AR202" i="1"/>
  <c r="AN202" i="1"/>
  <c r="AJ202" i="1"/>
  <c r="AF202" i="1"/>
  <c r="AQ202" i="1"/>
  <c r="AM202" i="1"/>
  <c r="AI202" i="1"/>
  <c r="AP202" i="1"/>
  <c r="AL202" i="1"/>
  <c r="AH202" i="1"/>
  <c r="AO194" i="1"/>
  <c r="AK194" i="1"/>
  <c r="AG194" i="1"/>
  <c r="AR194" i="1"/>
  <c r="AN194" i="1"/>
  <c r="AJ194" i="1"/>
  <c r="AF194" i="1"/>
  <c r="AQ194" i="1"/>
  <c r="AM194" i="1"/>
  <c r="AI194" i="1"/>
  <c r="AP194" i="1"/>
  <c r="AL194" i="1"/>
  <c r="AH194" i="1"/>
  <c r="AO186" i="1"/>
  <c r="AK186" i="1"/>
  <c r="AG186" i="1"/>
  <c r="AR186" i="1"/>
  <c r="AN186" i="1"/>
  <c r="AJ186" i="1"/>
  <c r="AF186" i="1"/>
  <c r="AQ186" i="1"/>
  <c r="AM186" i="1"/>
  <c r="AI186" i="1"/>
  <c r="AP186" i="1"/>
  <c r="AL186" i="1"/>
  <c r="AH186" i="1"/>
  <c r="AF549" i="1"/>
  <c r="AH549" i="1"/>
  <c r="AM549" i="1"/>
  <c r="AR533" i="1"/>
  <c r="AP533" i="1"/>
  <c r="AR530" i="1"/>
  <c r="AN517" i="1"/>
  <c r="AL517" i="1"/>
  <c r="AQ517" i="1"/>
  <c r="AK493" i="1"/>
  <c r="AO493" i="1"/>
  <c r="AI493" i="1"/>
  <c r="AO399" i="1"/>
  <c r="AI399" i="1"/>
  <c r="AI343" i="1"/>
  <c r="AI327" i="1"/>
  <c r="AM279" i="1"/>
  <c r="AH279" i="1"/>
  <c r="AI275" i="1"/>
  <c r="AO271" i="1"/>
  <c r="AQ267" i="1"/>
  <c r="AK263" i="1"/>
  <c r="AP263" i="1"/>
  <c r="AL255" i="1"/>
  <c r="AM247" i="1"/>
  <c r="AH247" i="1"/>
  <c r="AI243" i="1"/>
  <c r="AO237" i="1"/>
  <c r="AJ237" i="1"/>
  <c r="AM235" i="1"/>
  <c r="AH231" i="1"/>
  <c r="AN221" i="1"/>
  <c r="AN213" i="1"/>
  <c r="AN205" i="1"/>
  <c r="AN197" i="1"/>
  <c r="AN189" i="1"/>
  <c r="AN181" i="1"/>
  <c r="AN173" i="1"/>
  <c r="AN165" i="1"/>
  <c r="AN157" i="1"/>
  <c r="AN56" i="1"/>
  <c r="AF56" i="1"/>
  <c r="AO53" i="1"/>
  <c r="AK53" i="1"/>
  <c r="AG53" i="1"/>
  <c r="AR53" i="1"/>
  <c r="AN53" i="1"/>
  <c r="AJ53" i="1"/>
  <c r="AF53" i="1"/>
  <c r="AQ53" i="1"/>
  <c r="AI53" i="1"/>
  <c r="AP53" i="1"/>
  <c r="AH53" i="1"/>
  <c r="AM53" i="1"/>
  <c r="AL53" i="1"/>
  <c r="AN8" i="1"/>
  <c r="AI8" i="1"/>
  <c r="AF509" i="1"/>
  <c r="AH509" i="1"/>
  <c r="AM509" i="1"/>
  <c r="AJ477" i="1"/>
  <c r="AJ411" i="1"/>
  <c r="AM391" i="1"/>
  <c r="AQ391" i="1"/>
  <c r="AH391" i="1"/>
  <c r="AJ387" i="1"/>
  <c r="AI383" i="1"/>
  <c r="AO383" i="1"/>
  <c r="AN375" i="1"/>
  <c r="AK375" i="1"/>
  <c r="AP375" i="1"/>
  <c r="AF367" i="1"/>
  <c r="AL367" i="1"/>
  <c r="AM359" i="1"/>
  <c r="AQ359" i="1"/>
  <c r="AH359" i="1"/>
  <c r="AJ355" i="1"/>
  <c r="AR516" i="1"/>
  <c r="AN516" i="1"/>
  <c r="AJ516" i="1"/>
  <c r="AF516" i="1"/>
  <c r="AQ516" i="1"/>
  <c r="AM516" i="1"/>
  <c r="AI516" i="1"/>
  <c r="AP516" i="1"/>
  <c r="AH516" i="1"/>
  <c r="AO516" i="1"/>
  <c r="AG516" i="1"/>
  <c r="AL516" i="1"/>
  <c r="AK516" i="1"/>
  <c r="AF439" i="1"/>
  <c r="AO439" i="1"/>
  <c r="AI439" i="1"/>
  <c r="AM395" i="1"/>
  <c r="AQ395" i="1"/>
  <c r="AH395" i="1"/>
  <c r="AM387" i="1"/>
  <c r="AQ387" i="1"/>
  <c r="AH387" i="1"/>
  <c r="AM379" i="1"/>
  <c r="AQ379" i="1"/>
  <c r="AH379" i="1"/>
  <c r="AM371" i="1"/>
  <c r="AQ371" i="1"/>
  <c r="AH371" i="1"/>
  <c r="AM363" i="1"/>
  <c r="AQ363" i="1"/>
  <c r="AH363" i="1"/>
  <c r="AM355" i="1"/>
  <c r="AQ355" i="1"/>
  <c r="AH355" i="1"/>
  <c r="AR322" i="1"/>
  <c r="AP322" i="1"/>
  <c r="AN314" i="1"/>
  <c r="AL314" i="1"/>
  <c r="AQ314" i="1"/>
  <c r="AF306" i="1"/>
  <c r="AH306" i="1"/>
  <c r="AM306" i="1"/>
  <c r="AK298" i="1"/>
  <c r="AO298" i="1"/>
  <c r="AI298" i="1"/>
  <c r="AR290" i="1"/>
  <c r="AP290" i="1"/>
  <c r="AN278" i="1"/>
  <c r="AL278" i="1"/>
  <c r="AQ278" i="1"/>
  <c r="AK262" i="1"/>
  <c r="AN246" i="1"/>
  <c r="AL246" i="1"/>
  <c r="AQ246" i="1"/>
  <c r="AP237" i="1"/>
  <c r="AH237" i="1"/>
  <c r="AQ237" i="1"/>
  <c r="AN233" i="1"/>
  <c r="AF229" i="1"/>
  <c r="AL229" i="1"/>
  <c r="AI229" i="1"/>
  <c r="AF423" i="1"/>
  <c r="AO423" i="1"/>
  <c r="AI423" i="1"/>
  <c r="AF415" i="1"/>
  <c r="AO415" i="1"/>
  <c r="AI415" i="1"/>
  <c r="AF407" i="1"/>
  <c r="AO407" i="1"/>
  <c r="AI407" i="1"/>
  <c r="AF351" i="1"/>
  <c r="AL351" i="1"/>
  <c r="AF350" i="1"/>
  <c r="AH350" i="1"/>
  <c r="AM350" i="1"/>
  <c r="AN338" i="1"/>
  <c r="AL338" i="1"/>
  <c r="AQ338" i="1"/>
  <c r="AF334" i="1"/>
  <c r="AH334" i="1"/>
  <c r="AM334" i="1"/>
  <c r="AR313" i="1"/>
  <c r="AN313" i="1"/>
  <c r="AJ313" i="1"/>
  <c r="AF313" i="1"/>
  <c r="AQ313" i="1"/>
  <c r="AM313" i="1"/>
  <c r="AI313" i="1"/>
  <c r="AP313" i="1"/>
  <c r="AH313" i="1"/>
  <c r="AO313" i="1"/>
  <c r="AG313" i="1"/>
  <c r="AL313" i="1"/>
  <c r="AK313" i="1"/>
  <c r="AR297" i="1"/>
  <c r="AN297" i="1"/>
  <c r="AJ297" i="1"/>
  <c r="AF297" i="1"/>
  <c r="AQ297" i="1"/>
  <c r="AM297" i="1"/>
  <c r="AI297" i="1"/>
  <c r="AP297" i="1"/>
  <c r="AH297" i="1"/>
  <c r="AO297" i="1"/>
  <c r="AG297" i="1"/>
  <c r="AL297" i="1"/>
  <c r="AK297" i="1"/>
  <c r="AR277" i="1"/>
  <c r="AN277" i="1"/>
  <c r="AJ277" i="1"/>
  <c r="AF277" i="1"/>
  <c r="AQ277" i="1"/>
  <c r="AM277" i="1"/>
  <c r="AI277" i="1"/>
  <c r="AP277" i="1"/>
  <c r="AH277" i="1"/>
  <c r="AO277" i="1"/>
  <c r="AG277" i="1"/>
  <c r="AL277" i="1"/>
  <c r="AK277" i="1"/>
  <c r="AR245" i="1"/>
  <c r="AN245" i="1"/>
  <c r="AJ245" i="1"/>
  <c r="AF245" i="1"/>
  <c r="AQ245" i="1"/>
  <c r="AM245" i="1"/>
  <c r="AI245" i="1"/>
  <c r="AP245" i="1"/>
  <c r="AH245" i="1"/>
  <c r="AO245" i="1"/>
  <c r="AG245" i="1"/>
  <c r="AL245" i="1"/>
  <c r="AK245" i="1"/>
  <c r="AN239" i="1"/>
  <c r="AN231" i="1"/>
  <c r="AN227" i="1"/>
  <c r="AJ431" i="1"/>
  <c r="AR414" i="1"/>
  <c r="AN414" i="1"/>
  <c r="AJ414" i="1"/>
  <c r="AF414" i="1"/>
  <c r="AQ414" i="1"/>
  <c r="AM414" i="1"/>
  <c r="AI414" i="1"/>
  <c r="AP414" i="1"/>
  <c r="AL414" i="1"/>
  <c r="AH414" i="1"/>
  <c r="AG414" i="1"/>
  <c r="AO414" i="1"/>
  <c r="AK414" i="1"/>
  <c r="AK318" i="1"/>
  <c r="AO318" i="1"/>
  <c r="AI318" i="1"/>
  <c r="AK310" i="1"/>
  <c r="AO310" i="1"/>
  <c r="AI310" i="1"/>
  <c r="AK302" i="1"/>
  <c r="AO302" i="1"/>
  <c r="AI302" i="1"/>
  <c r="AK294" i="1"/>
  <c r="AO294" i="1"/>
  <c r="AI294" i="1"/>
  <c r="AK286" i="1"/>
  <c r="AO286" i="1"/>
  <c r="AI286" i="1"/>
  <c r="AR270" i="1"/>
  <c r="AP270" i="1"/>
  <c r="AN254" i="1"/>
  <c r="AL254" i="1"/>
  <c r="AQ254" i="1"/>
  <c r="AJ435" i="1"/>
  <c r="AR293" i="1"/>
  <c r="AN293" i="1"/>
  <c r="AJ293" i="1"/>
  <c r="AF293" i="1"/>
  <c r="AQ293" i="1"/>
  <c r="AM293" i="1"/>
  <c r="AI293" i="1"/>
  <c r="AP293" i="1"/>
  <c r="AH293" i="1"/>
  <c r="AO293" i="1"/>
  <c r="AG293" i="1"/>
  <c r="AL293" i="1"/>
  <c r="AK293" i="1"/>
  <c r="AO213" i="1"/>
  <c r="AO197" i="1"/>
  <c r="AO181" i="1"/>
  <c r="AI176" i="1"/>
  <c r="AQ172" i="1"/>
  <c r="AO165" i="1"/>
  <c r="AI160" i="1"/>
  <c r="AQ155" i="1"/>
  <c r="AM155" i="1"/>
  <c r="AI155" i="1"/>
  <c r="AP155" i="1"/>
  <c r="AL155" i="1"/>
  <c r="AH155" i="1"/>
  <c r="AR155" i="1"/>
  <c r="AJ155" i="1"/>
  <c r="AO155" i="1"/>
  <c r="AG155" i="1"/>
  <c r="AN155" i="1"/>
  <c r="AF155" i="1"/>
  <c r="AK155" i="1"/>
  <c r="AR154" i="1"/>
  <c r="AN154" i="1"/>
  <c r="AJ154" i="1"/>
  <c r="AF154" i="1"/>
  <c r="AQ154" i="1"/>
  <c r="AM154" i="1"/>
  <c r="AI154" i="1"/>
  <c r="AK154" i="1"/>
  <c r="AP154" i="1"/>
  <c r="AH154" i="1"/>
  <c r="AO154" i="1"/>
  <c r="AG154" i="1"/>
  <c r="AL154" i="1"/>
  <c r="AQ139" i="1"/>
  <c r="AM139" i="1"/>
  <c r="AI139" i="1"/>
  <c r="AP139" i="1"/>
  <c r="AL139" i="1"/>
  <c r="AH139" i="1"/>
  <c r="AR139" i="1"/>
  <c r="AJ139" i="1"/>
  <c r="AO139" i="1"/>
  <c r="AG139" i="1"/>
  <c r="AN139" i="1"/>
  <c r="AF139" i="1"/>
  <c r="AK139" i="1"/>
  <c r="AR138" i="1"/>
  <c r="AN138" i="1"/>
  <c r="AJ138" i="1"/>
  <c r="AF138" i="1"/>
  <c r="AQ138" i="1"/>
  <c r="AM138" i="1"/>
  <c r="AI138" i="1"/>
  <c r="AK138" i="1"/>
  <c r="AP138" i="1"/>
  <c r="AH138" i="1"/>
  <c r="AO138" i="1"/>
  <c r="AG138" i="1"/>
  <c r="AL138" i="1"/>
  <c r="AQ120" i="1"/>
  <c r="AF116" i="1"/>
  <c r="AK104" i="1"/>
  <c r="AP104" i="1"/>
  <c r="AJ322" i="1"/>
  <c r="AJ290" i="1"/>
  <c r="AL216" i="1"/>
  <c r="AQ216" i="1"/>
  <c r="AK208" i="1"/>
  <c r="AP208" i="1"/>
  <c r="AR207" i="1"/>
  <c r="AN207" i="1"/>
  <c r="AJ207" i="1"/>
  <c r="AF207" i="1"/>
  <c r="AQ207" i="1"/>
  <c r="AM207" i="1"/>
  <c r="AI207" i="1"/>
  <c r="AP207" i="1"/>
  <c r="AL207" i="1"/>
  <c r="AH207" i="1"/>
  <c r="AO207" i="1"/>
  <c r="AK207" i="1"/>
  <c r="AG207" i="1"/>
  <c r="AO200" i="1"/>
  <c r="AI200" i="1"/>
  <c r="AN192" i="1"/>
  <c r="AH192" i="1"/>
  <c r="AM192" i="1"/>
  <c r="AL184" i="1"/>
  <c r="AQ184" i="1"/>
  <c r="AM179" i="1"/>
  <c r="AR175" i="1"/>
  <c r="AP175" i="1"/>
  <c r="AH171" i="1"/>
  <c r="AM171" i="1"/>
  <c r="AR167" i="1"/>
  <c r="AP167" i="1"/>
  <c r="AM163" i="1"/>
  <c r="AR159" i="1"/>
  <c r="AP159" i="1"/>
  <c r="AR204" i="1"/>
  <c r="AM180" i="1"/>
  <c r="AM164" i="1"/>
  <c r="AK156" i="1"/>
  <c r="AP156" i="1"/>
  <c r="AK152" i="1"/>
  <c r="AP152" i="1"/>
  <c r="AK148" i="1"/>
  <c r="AP148" i="1"/>
  <c r="AK144" i="1"/>
  <c r="AP144" i="1"/>
  <c r="AK140" i="1"/>
  <c r="AP140" i="1"/>
  <c r="AK136" i="1"/>
  <c r="AP136" i="1"/>
  <c r="AK132" i="1"/>
  <c r="AP132" i="1"/>
  <c r="AK128" i="1"/>
  <c r="AP128" i="1"/>
  <c r="AK124" i="1"/>
  <c r="AP124" i="1"/>
  <c r="AM120" i="1"/>
  <c r="AJ112" i="1"/>
  <c r="AH112" i="1"/>
  <c r="AI104" i="1"/>
  <c r="AK92" i="1"/>
  <c r="AJ310" i="1"/>
  <c r="AJ233" i="1"/>
  <c r="AK224" i="1"/>
  <c r="AK220" i="1"/>
  <c r="AR219" i="1"/>
  <c r="AN219" i="1"/>
  <c r="AJ219" i="1"/>
  <c r="AF219" i="1"/>
  <c r="AQ219" i="1"/>
  <c r="AM219" i="1"/>
  <c r="AI219" i="1"/>
  <c r="AP219" i="1"/>
  <c r="AL219" i="1"/>
  <c r="AH219" i="1"/>
  <c r="AG219" i="1"/>
  <c r="AO219" i="1"/>
  <c r="AK219" i="1"/>
  <c r="AF216" i="1"/>
  <c r="AK212" i="1"/>
  <c r="AR211" i="1"/>
  <c r="AN211" i="1"/>
  <c r="AJ211" i="1"/>
  <c r="AF211" i="1"/>
  <c r="AQ211" i="1"/>
  <c r="AM211" i="1"/>
  <c r="AI211" i="1"/>
  <c r="AP211" i="1"/>
  <c r="AL211" i="1"/>
  <c r="AH211" i="1"/>
  <c r="AG211" i="1"/>
  <c r="AO211" i="1"/>
  <c r="AK211" i="1"/>
  <c r="AF208" i="1"/>
  <c r="AK204" i="1"/>
  <c r="AR203" i="1"/>
  <c r="AN203" i="1"/>
  <c r="AJ203" i="1"/>
  <c r="AF203" i="1"/>
  <c r="AQ203" i="1"/>
  <c r="AM203" i="1"/>
  <c r="AI203" i="1"/>
  <c r="AP203" i="1"/>
  <c r="AL203" i="1"/>
  <c r="AH203" i="1"/>
  <c r="AG203" i="1"/>
  <c r="AO203" i="1"/>
  <c r="AK203" i="1"/>
  <c r="AF200" i="1"/>
  <c r="AK196" i="1"/>
  <c r="AR195" i="1"/>
  <c r="AN195" i="1"/>
  <c r="AJ195" i="1"/>
  <c r="AF195" i="1"/>
  <c r="AQ195" i="1"/>
  <c r="AM195" i="1"/>
  <c r="AI195" i="1"/>
  <c r="AP195" i="1"/>
  <c r="AL195" i="1"/>
  <c r="AH195" i="1"/>
  <c r="AG195" i="1"/>
  <c r="AO195" i="1"/>
  <c r="AK195" i="1"/>
  <c r="AF192" i="1"/>
  <c r="AK188" i="1"/>
  <c r="AR187" i="1"/>
  <c r="AN187" i="1"/>
  <c r="AJ187" i="1"/>
  <c r="AF187" i="1"/>
  <c r="AQ187" i="1"/>
  <c r="AM187" i="1"/>
  <c r="AI187" i="1"/>
  <c r="AP187" i="1"/>
  <c r="AL187" i="1"/>
  <c r="AH187" i="1"/>
  <c r="AG187" i="1"/>
  <c r="AO187" i="1"/>
  <c r="AK187" i="1"/>
  <c r="AF184" i="1"/>
  <c r="AJ180" i="1"/>
  <c r="AF179" i="1"/>
  <c r="AJ176" i="1"/>
  <c r="AF175" i="1"/>
  <c r="AJ172" i="1"/>
  <c r="AF171" i="1"/>
  <c r="AJ168" i="1"/>
  <c r="AJ164" i="1"/>
  <c r="AJ160" i="1"/>
  <c r="AF159" i="1"/>
  <c r="AL120" i="1"/>
  <c r="AI116" i="1"/>
  <c r="AH116" i="1"/>
  <c r="AR111" i="1"/>
  <c r="AO103" i="1"/>
  <c r="AR90" i="1"/>
  <c r="AN90" i="1"/>
  <c r="AJ90" i="1"/>
  <c r="AF90" i="1"/>
  <c r="AQ90" i="1"/>
  <c r="AM90" i="1"/>
  <c r="AI90" i="1"/>
  <c r="AP90" i="1"/>
  <c r="AH90" i="1"/>
  <c r="AL90" i="1"/>
  <c r="AK90" i="1"/>
  <c r="AG90" i="1"/>
  <c r="AO90" i="1"/>
  <c r="AR88" i="1"/>
  <c r="AL80" i="1"/>
  <c r="AK76" i="1"/>
  <c r="AR72" i="1"/>
  <c r="AO72" i="1"/>
  <c r="AK68" i="1"/>
  <c r="AO56" i="1"/>
  <c r="AK52" i="1"/>
  <c r="AP52" i="1"/>
  <c r="AL48" i="1"/>
  <c r="AM44" i="1"/>
  <c r="AR41" i="1"/>
  <c r="AN41" i="1"/>
  <c r="AJ41" i="1"/>
  <c r="AF41" i="1"/>
  <c r="AP41" i="1"/>
  <c r="AK41" i="1"/>
  <c r="AO41" i="1"/>
  <c r="AI41" i="1"/>
  <c r="AM41" i="1"/>
  <c r="AH41" i="1"/>
  <c r="AQ41" i="1"/>
  <c r="AL41" i="1"/>
  <c r="AG41" i="1"/>
  <c r="AI40" i="1"/>
  <c r="AR33" i="1"/>
  <c r="AN33" i="1"/>
  <c r="AJ33" i="1"/>
  <c r="AF33" i="1"/>
  <c r="AP33" i="1"/>
  <c r="AK33" i="1"/>
  <c r="AO33" i="1"/>
  <c r="AI33" i="1"/>
  <c r="AM33" i="1"/>
  <c r="AH33" i="1"/>
  <c r="AQ33" i="1"/>
  <c r="AL33" i="1"/>
  <c r="AG33" i="1"/>
  <c r="AI32" i="1"/>
  <c r="AR25" i="1"/>
  <c r="AN25" i="1"/>
  <c r="AJ25" i="1"/>
  <c r="AF25" i="1"/>
  <c r="AP25" i="1"/>
  <c r="AK25" i="1"/>
  <c r="AO25" i="1"/>
  <c r="AI25" i="1"/>
  <c r="AM25" i="1"/>
  <c r="AH25" i="1"/>
  <c r="AQ25" i="1"/>
  <c r="AL25" i="1"/>
  <c r="AG25" i="1"/>
  <c r="AI24" i="1"/>
  <c r="AR108" i="1"/>
  <c r="AJ100" i="1"/>
  <c r="AQ99" i="1"/>
  <c r="AM99" i="1"/>
  <c r="AI99" i="1"/>
  <c r="AP99" i="1"/>
  <c r="AL99" i="1"/>
  <c r="AH99" i="1"/>
  <c r="AN99" i="1"/>
  <c r="AF99" i="1"/>
  <c r="AR99" i="1"/>
  <c r="AJ99" i="1"/>
  <c r="AO99" i="1"/>
  <c r="AK99" i="1"/>
  <c r="AG99" i="1"/>
  <c r="AM88" i="1"/>
  <c r="AJ64" i="1"/>
  <c r="AH64" i="1"/>
  <c r="AR60" i="1"/>
  <c r="AO60" i="1"/>
  <c r="AN59" i="1"/>
  <c r="AJ56" i="1"/>
  <c r="AN51" i="1"/>
  <c r="AF47" i="1"/>
  <c r="AR42" i="1"/>
  <c r="AN42" i="1"/>
  <c r="AJ42" i="1"/>
  <c r="AF42" i="1"/>
  <c r="AQ42" i="1"/>
  <c r="AM42" i="1"/>
  <c r="AI42" i="1"/>
  <c r="AP42" i="1"/>
  <c r="AH42" i="1"/>
  <c r="AO42" i="1"/>
  <c r="AG42" i="1"/>
  <c r="AL42" i="1"/>
  <c r="AK42" i="1"/>
  <c r="AH40" i="1"/>
  <c r="AK38" i="1"/>
  <c r="AR36" i="1"/>
  <c r="AM35" i="1"/>
  <c r="AH32" i="1"/>
  <c r="AK30" i="1"/>
  <c r="AR28" i="1"/>
  <c r="AM27" i="1"/>
  <c r="AH24" i="1"/>
  <c r="AK22" i="1"/>
  <c r="AR20" i="1"/>
  <c r="AM19" i="1"/>
  <c r="AH16" i="1"/>
  <c r="AK14" i="1"/>
  <c r="AR12" i="1"/>
  <c r="AM11" i="1"/>
  <c r="AM8" i="1"/>
  <c r="AF31" i="1"/>
  <c r="AQ24" i="1"/>
  <c r="AJ22" i="1"/>
  <c r="AL20" i="1"/>
  <c r="AF19" i="1"/>
  <c r="AK15" i="1"/>
  <c r="AI14" i="1"/>
  <c r="AF12" i="1"/>
  <c r="AO10" i="1"/>
  <c r="AL8" i="1"/>
  <c r="AO31" i="1"/>
  <c r="AP31" i="1"/>
  <c r="AK24" i="1"/>
  <c r="AO171" i="1"/>
  <c r="AQ108" i="1"/>
  <c r="AO108" i="1"/>
  <c r="AJ107" i="1"/>
  <c r="AR103" i="1"/>
  <c r="AF100" i="1"/>
  <c r="AN87" i="1"/>
  <c r="AQ75" i="1"/>
  <c r="AM75" i="1"/>
  <c r="AI75" i="1"/>
  <c r="AP75" i="1"/>
  <c r="AL75" i="1"/>
  <c r="AH75" i="1"/>
  <c r="AN75" i="1"/>
  <c r="AF75" i="1"/>
  <c r="AK75" i="1"/>
  <c r="AR75" i="1"/>
  <c r="AJ75" i="1"/>
  <c r="AO75" i="1"/>
  <c r="AG75" i="1"/>
  <c r="AR74" i="1"/>
  <c r="AN74" i="1"/>
  <c r="AJ74" i="1"/>
  <c r="AF74" i="1"/>
  <c r="AQ74" i="1"/>
  <c r="AM74" i="1"/>
  <c r="AI74" i="1"/>
  <c r="AO74" i="1"/>
  <c r="AG74" i="1"/>
  <c r="AL74" i="1"/>
  <c r="AK74" i="1"/>
  <c r="AP74" i="1"/>
  <c r="AH74" i="1"/>
  <c r="AF72" i="1"/>
  <c r="AK55" i="1"/>
  <c r="AQ40" i="1"/>
  <c r="AK39" i="1"/>
  <c r="AI38" i="1"/>
  <c r="AL36" i="1"/>
  <c r="AO34" i="1"/>
  <c r="AO30" i="1"/>
  <c r="AQ30" i="1"/>
  <c r="AO26" i="1"/>
  <c r="AQ8" i="1"/>
  <c r="AJ19" i="1"/>
  <c r="AJ15" i="1"/>
  <c r="AJ8" i="1"/>
  <c r="AR9" i="1"/>
  <c r="AN9" i="1"/>
  <c r="AJ9" i="1"/>
  <c r="AF9" i="1"/>
  <c r="AO9" i="1"/>
  <c r="AI9" i="1"/>
  <c r="AM9" i="1"/>
  <c r="AP9" i="1"/>
  <c r="AH9" i="1"/>
  <c r="AQ9" i="1"/>
  <c r="AL9" i="1"/>
  <c r="AG9" i="1"/>
  <c r="AK9" i="1"/>
  <c r="AJ184" i="1"/>
  <c r="AK107" i="1"/>
  <c r="AL107" i="1"/>
  <c r="AK87" i="1"/>
  <c r="AI87" i="1"/>
  <c r="AM84" i="1"/>
  <c r="AK84" i="1"/>
  <c r="AP84" i="1"/>
  <c r="AK83" i="1"/>
  <c r="AI83" i="1"/>
  <c r="AR82" i="1"/>
  <c r="AN82" i="1"/>
  <c r="AJ82" i="1"/>
  <c r="AF82" i="1"/>
  <c r="AQ82" i="1"/>
  <c r="AM82" i="1"/>
  <c r="AI82" i="1"/>
  <c r="AP82" i="1"/>
  <c r="AH82" i="1"/>
  <c r="AG82" i="1"/>
  <c r="AO82" i="1"/>
  <c r="AL82" i="1"/>
  <c r="AK82" i="1"/>
  <c r="AR67" i="1"/>
  <c r="AP67" i="1"/>
  <c r="AJ63" i="1"/>
  <c r="AI63" i="1"/>
  <c r="AH59" i="1"/>
  <c r="AM59" i="1"/>
  <c r="AJ55" i="1"/>
  <c r="AI55" i="1"/>
  <c r="AR51" i="1"/>
  <c r="AP51" i="1"/>
  <c r="AL47" i="1"/>
  <c r="AQ47" i="1"/>
  <c r="AR46" i="1"/>
  <c r="AN46" i="1"/>
  <c r="AJ46" i="1"/>
  <c r="AF46" i="1"/>
  <c r="AQ46" i="1"/>
  <c r="AM46" i="1"/>
  <c r="AI46" i="1"/>
  <c r="AP46" i="1"/>
  <c r="AH46" i="1"/>
  <c r="AO46" i="1"/>
  <c r="AG46" i="1"/>
  <c r="AL46" i="1"/>
  <c r="AK46" i="1"/>
  <c r="AH43" i="1"/>
  <c r="AM43" i="1"/>
  <c r="AJ39" i="1"/>
  <c r="AP36" i="1"/>
  <c r="AO36" i="1"/>
  <c r="AK32" i="1"/>
  <c r="AO28" i="1"/>
  <c r="AL27" i="1"/>
  <c r="AR48" i="1"/>
  <c r="AQ35" i="1"/>
  <c r="AP16" i="1"/>
  <c r="AR709" i="1"/>
  <c r="AN709" i="1"/>
  <c r="AJ709" i="1"/>
  <c r="AF709" i="1"/>
  <c r="AQ709" i="1"/>
  <c r="AM709" i="1"/>
  <c r="AI709" i="1"/>
  <c r="AP709" i="1"/>
  <c r="AL709" i="1"/>
  <c r="AH709" i="1"/>
  <c r="AO709" i="1"/>
  <c r="AK709" i="1"/>
  <c r="AG709" i="1"/>
  <c r="AR693" i="1"/>
  <c r="AN693" i="1"/>
  <c r="AJ693" i="1"/>
  <c r="AF693" i="1"/>
  <c r="AQ693" i="1"/>
  <c r="AM693" i="1"/>
  <c r="AI693" i="1"/>
  <c r="AP693" i="1"/>
  <c r="AL693" i="1"/>
  <c r="AH693" i="1"/>
  <c r="AO693" i="1"/>
  <c r="AK693" i="1"/>
  <c r="AG693" i="1"/>
  <c r="AP683" i="1"/>
  <c r="AL683" i="1"/>
  <c r="AH683" i="1"/>
  <c r="AR683" i="1"/>
  <c r="AN683" i="1"/>
  <c r="AJ683" i="1"/>
  <c r="AF683" i="1"/>
  <c r="AO683" i="1"/>
  <c r="AG683" i="1"/>
  <c r="AM683" i="1"/>
  <c r="AK683" i="1"/>
  <c r="AQ683" i="1"/>
  <c r="AI683" i="1"/>
  <c r="AP667" i="1"/>
  <c r="AL667" i="1"/>
  <c r="AH667" i="1"/>
  <c r="AR667" i="1"/>
  <c r="AN667" i="1"/>
  <c r="AJ667" i="1"/>
  <c r="AF667" i="1"/>
  <c r="AO667" i="1"/>
  <c r="AG667" i="1"/>
  <c r="AM667" i="1"/>
  <c r="AK667" i="1"/>
  <c r="AQ667" i="1"/>
  <c r="AI667" i="1"/>
  <c r="AP657" i="1"/>
  <c r="AL657" i="1"/>
  <c r="AH657" i="1"/>
  <c r="AO657" i="1"/>
  <c r="AK657" i="1"/>
  <c r="AG657" i="1"/>
  <c r="AR657" i="1"/>
  <c r="AN657" i="1"/>
  <c r="AJ657" i="1"/>
  <c r="AF657" i="1"/>
  <c r="AQ657" i="1"/>
  <c r="AM657" i="1"/>
  <c r="AI657" i="1"/>
  <c r="AP649" i="1"/>
  <c r="AL649" i="1"/>
  <c r="AH649" i="1"/>
  <c r="AO649" i="1"/>
  <c r="AK649" i="1"/>
  <c r="AG649" i="1"/>
  <c r="AR649" i="1"/>
  <c r="AN649" i="1"/>
  <c r="AJ649" i="1"/>
  <c r="AF649" i="1"/>
  <c r="AQ649" i="1"/>
  <c r="AM649" i="1"/>
  <c r="AI649" i="1"/>
  <c r="AP641" i="1"/>
  <c r="AL641" i="1"/>
  <c r="AH641" i="1"/>
  <c r="AO641" i="1"/>
  <c r="AK641" i="1"/>
  <c r="AG641" i="1"/>
  <c r="AR641" i="1"/>
  <c r="AN641" i="1"/>
  <c r="AJ641" i="1"/>
  <c r="AF641" i="1"/>
  <c r="AQ641" i="1"/>
  <c r="AM641" i="1"/>
  <c r="AI641" i="1"/>
  <c r="AP633" i="1"/>
  <c r="AL633" i="1"/>
  <c r="AH633" i="1"/>
  <c r="AO633" i="1"/>
  <c r="AK633" i="1"/>
  <c r="AG633" i="1"/>
  <c r="AR633" i="1"/>
  <c r="AN633" i="1"/>
  <c r="AJ633" i="1"/>
  <c r="AF633" i="1"/>
  <c r="AQ633" i="1"/>
  <c r="AM633" i="1"/>
  <c r="AI633" i="1"/>
  <c r="AP625" i="1"/>
  <c r="AL625" i="1"/>
  <c r="AH625" i="1"/>
  <c r="AO625" i="1"/>
  <c r="AK625" i="1"/>
  <c r="AG625" i="1"/>
  <c r="AR625" i="1"/>
  <c r="AN625" i="1"/>
  <c r="AJ625" i="1"/>
  <c r="AF625" i="1"/>
  <c r="AQ625" i="1"/>
  <c r="AM625" i="1"/>
  <c r="AI625" i="1"/>
  <c r="AJ624" i="1"/>
  <c r="AF624" i="1"/>
  <c r="AP609" i="1"/>
  <c r="AL609" i="1"/>
  <c r="AH609" i="1"/>
  <c r="AO609" i="1"/>
  <c r="AK609" i="1"/>
  <c r="AG609" i="1"/>
  <c r="AR609" i="1"/>
  <c r="AN609" i="1"/>
  <c r="AJ609" i="1"/>
  <c r="AF609" i="1"/>
  <c r="AM609" i="1"/>
  <c r="AI609" i="1"/>
  <c r="AQ609" i="1"/>
  <c r="AN608" i="1"/>
  <c r="AP593" i="1"/>
  <c r="AL593" i="1"/>
  <c r="AH593" i="1"/>
  <c r="AO593" i="1"/>
  <c r="AK593" i="1"/>
  <c r="AG593" i="1"/>
  <c r="AR593" i="1"/>
  <c r="AN593" i="1"/>
  <c r="AJ593" i="1"/>
  <c r="AF593" i="1"/>
  <c r="AM593" i="1"/>
  <c r="AI593" i="1"/>
  <c r="AQ593" i="1"/>
  <c r="AJ644" i="1"/>
  <c r="AR624" i="1"/>
  <c r="AR713" i="1"/>
  <c r="AN713" i="1"/>
  <c r="AJ713" i="1"/>
  <c r="AF713" i="1"/>
  <c r="AQ713" i="1"/>
  <c r="AM713" i="1"/>
  <c r="AI713" i="1"/>
  <c r="AP713" i="1"/>
  <c r="AL713" i="1"/>
  <c r="AH713" i="1"/>
  <c r="AG713" i="1"/>
  <c r="AO713" i="1"/>
  <c r="AK713" i="1"/>
  <c r="AR643" i="1"/>
  <c r="AN643" i="1"/>
  <c r="AJ643" i="1"/>
  <c r="AF643" i="1"/>
  <c r="AQ643" i="1"/>
  <c r="AM643" i="1"/>
  <c r="AI643" i="1"/>
  <c r="AP643" i="1"/>
  <c r="AL643" i="1"/>
  <c r="AH643" i="1"/>
  <c r="AO643" i="1"/>
  <c r="AK643" i="1"/>
  <c r="AG643" i="1"/>
  <c r="AF636" i="1"/>
  <c r="AK624" i="1"/>
  <c r="AP624" i="1"/>
  <c r="AO612" i="1"/>
  <c r="AO596" i="1"/>
  <c r="AR583" i="1"/>
  <c r="AN583" i="1"/>
  <c r="AJ583" i="1"/>
  <c r="AF583" i="1"/>
  <c r="AP583" i="1"/>
  <c r="AL583" i="1"/>
  <c r="AH583" i="1"/>
  <c r="AM583" i="1"/>
  <c r="AK583" i="1"/>
  <c r="AQ583" i="1"/>
  <c r="AO583" i="1"/>
  <c r="AI583" i="1"/>
  <c r="AG583" i="1"/>
  <c r="AR575" i="1"/>
  <c r="AN575" i="1"/>
  <c r="AJ575" i="1"/>
  <c r="AF575" i="1"/>
  <c r="AP575" i="1"/>
  <c r="AL575" i="1"/>
  <c r="AH575" i="1"/>
  <c r="AM575" i="1"/>
  <c r="AK575" i="1"/>
  <c r="AI575" i="1"/>
  <c r="AG575" i="1"/>
  <c r="AQ575" i="1"/>
  <c r="AO575" i="1"/>
  <c r="AR567" i="1"/>
  <c r="AN567" i="1"/>
  <c r="AJ567" i="1"/>
  <c r="AF567" i="1"/>
  <c r="AP567" i="1"/>
  <c r="AL567" i="1"/>
  <c r="AH567" i="1"/>
  <c r="AM567" i="1"/>
  <c r="AK567" i="1"/>
  <c r="AQ567" i="1"/>
  <c r="AO567" i="1"/>
  <c r="AI567" i="1"/>
  <c r="AG567" i="1"/>
  <c r="AR559" i="1"/>
  <c r="AN559" i="1"/>
  <c r="AJ559" i="1"/>
  <c r="AF559" i="1"/>
  <c r="AP559" i="1"/>
  <c r="AL559" i="1"/>
  <c r="AH559" i="1"/>
  <c r="AM559" i="1"/>
  <c r="AK559" i="1"/>
  <c r="AI559" i="1"/>
  <c r="AG559" i="1"/>
  <c r="AQ559" i="1"/>
  <c r="AO559" i="1"/>
  <c r="AR551" i="1"/>
  <c r="AN551" i="1"/>
  <c r="AJ551" i="1"/>
  <c r="AF551" i="1"/>
  <c r="AP551" i="1"/>
  <c r="AL551" i="1"/>
  <c r="AH551" i="1"/>
  <c r="AM551" i="1"/>
  <c r="AK551" i="1"/>
  <c r="AQ551" i="1"/>
  <c r="AO551" i="1"/>
  <c r="AI551" i="1"/>
  <c r="AG551" i="1"/>
  <c r="AQ542" i="1"/>
  <c r="AI542" i="1"/>
  <c r="AR542" i="1"/>
  <c r="AJ542" i="1"/>
  <c r="AO539" i="1"/>
  <c r="AK539" i="1"/>
  <c r="AG539" i="1"/>
  <c r="AR539" i="1"/>
  <c r="AN539" i="1"/>
  <c r="AJ539" i="1"/>
  <c r="AF539" i="1"/>
  <c r="AQ539" i="1"/>
  <c r="AI539" i="1"/>
  <c r="AP539" i="1"/>
  <c r="AH539" i="1"/>
  <c r="AM539" i="1"/>
  <c r="AL539" i="1"/>
  <c r="AQ526" i="1"/>
  <c r="AI526" i="1"/>
  <c r="AR526" i="1"/>
  <c r="AJ526" i="1"/>
  <c r="AO523" i="1"/>
  <c r="AK523" i="1"/>
  <c r="AG523" i="1"/>
  <c r="AR523" i="1"/>
  <c r="AN523" i="1"/>
  <c r="AJ523" i="1"/>
  <c r="AF523" i="1"/>
  <c r="AQ523" i="1"/>
  <c r="AI523" i="1"/>
  <c r="AP523" i="1"/>
  <c r="AH523" i="1"/>
  <c r="AM523" i="1"/>
  <c r="AL523" i="1"/>
  <c r="AQ510" i="1"/>
  <c r="AI510" i="1"/>
  <c r="AJ510" i="1"/>
  <c r="AR510" i="1"/>
  <c r="AO507" i="1"/>
  <c r="AK507" i="1"/>
  <c r="AG507" i="1"/>
  <c r="AR507" i="1"/>
  <c r="AN507" i="1"/>
  <c r="AJ507" i="1"/>
  <c r="AF507" i="1"/>
  <c r="AQ507" i="1"/>
  <c r="AI507" i="1"/>
  <c r="AP507" i="1"/>
  <c r="AH507" i="1"/>
  <c r="AM507" i="1"/>
  <c r="AL507" i="1"/>
  <c r="AQ494" i="1"/>
  <c r="AI494" i="1"/>
  <c r="AR494" i="1"/>
  <c r="AJ494" i="1"/>
  <c r="AO491" i="1"/>
  <c r="AK491" i="1"/>
  <c r="AG491" i="1"/>
  <c r="AR491" i="1"/>
  <c r="AN491" i="1"/>
  <c r="AJ491" i="1"/>
  <c r="AF491" i="1"/>
  <c r="AQ491" i="1"/>
  <c r="AI491" i="1"/>
  <c r="AP491" i="1"/>
  <c r="AH491" i="1"/>
  <c r="AM491" i="1"/>
  <c r="AL491" i="1"/>
  <c r="AQ478" i="1"/>
  <c r="AI478" i="1"/>
  <c r="AR478" i="1"/>
  <c r="AJ478" i="1"/>
  <c r="AO475" i="1"/>
  <c r="AK475" i="1"/>
  <c r="AG475" i="1"/>
  <c r="AR475" i="1"/>
  <c r="AN475" i="1"/>
  <c r="AJ475" i="1"/>
  <c r="AF475" i="1"/>
  <c r="AQ475" i="1"/>
  <c r="AI475" i="1"/>
  <c r="AP475" i="1"/>
  <c r="AH475" i="1"/>
  <c r="AM475" i="1"/>
  <c r="AL475" i="1"/>
  <c r="AR793" i="1"/>
  <c r="AN793" i="1"/>
  <c r="AJ793" i="1"/>
  <c r="AF793" i="1"/>
  <c r="AQ793" i="1"/>
  <c r="AM793" i="1"/>
  <c r="AI793" i="1"/>
  <c r="AP793" i="1"/>
  <c r="AL793" i="1"/>
  <c r="AH793" i="1"/>
  <c r="AG793" i="1"/>
  <c r="AO793" i="1"/>
  <c r="AK793" i="1"/>
  <c r="AR721" i="1"/>
  <c r="AN721" i="1"/>
  <c r="AJ721" i="1"/>
  <c r="AF721" i="1"/>
  <c r="AQ721" i="1"/>
  <c r="AM721" i="1"/>
  <c r="AI721" i="1"/>
  <c r="AP721" i="1"/>
  <c r="AL721" i="1"/>
  <c r="AH721" i="1"/>
  <c r="AG721" i="1"/>
  <c r="AO721" i="1"/>
  <c r="AK721" i="1"/>
  <c r="AO652" i="1"/>
  <c r="AI652" i="1"/>
  <c r="AO644" i="1"/>
  <c r="AI644" i="1"/>
  <c r="AO636" i="1"/>
  <c r="AI636" i="1"/>
  <c r="AO628" i="1"/>
  <c r="AI628" i="1"/>
  <c r="AP569" i="1"/>
  <c r="AL569" i="1"/>
  <c r="AH569" i="1"/>
  <c r="AR569" i="1"/>
  <c r="AN569" i="1"/>
  <c r="AJ569" i="1"/>
  <c r="AF569" i="1"/>
  <c r="AQ569" i="1"/>
  <c r="AI569" i="1"/>
  <c r="AO569" i="1"/>
  <c r="AG569" i="1"/>
  <c r="AK569" i="1"/>
  <c r="AM569" i="1"/>
  <c r="AK546" i="1"/>
  <c r="AP546" i="1"/>
  <c r="AK530" i="1"/>
  <c r="AK514" i="1"/>
  <c r="AP514" i="1"/>
  <c r="AK498" i="1"/>
  <c r="AP498" i="1"/>
  <c r="AK482" i="1"/>
  <c r="AP482" i="1"/>
  <c r="AR647" i="1"/>
  <c r="AN647" i="1"/>
  <c r="AJ647" i="1"/>
  <c r="AF647" i="1"/>
  <c r="AQ647" i="1"/>
  <c r="AM647" i="1"/>
  <c r="AI647" i="1"/>
  <c r="AP647" i="1"/>
  <c r="AL647" i="1"/>
  <c r="AH647" i="1"/>
  <c r="AG647" i="1"/>
  <c r="AO647" i="1"/>
  <c r="AK647" i="1"/>
  <c r="AL608" i="1"/>
  <c r="AQ608" i="1"/>
  <c r="AJ546" i="1"/>
  <c r="AQ529" i="1"/>
  <c r="AM529" i="1"/>
  <c r="AI529" i="1"/>
  <c r="AP529" i="1"/>
  <c r="AL529" i="1"/>
  <c r="AH529" i="1"/>
  <c r="AK529" i="1"/>
  <c r="AR529" i="1"/>
  <c r="AJ529" i="1"/>
  <c r="AO529" i="1"/>
  <c r="AG529" i="1"/>
  <c r="AF529" i="1"/>
  <c r="AN529" i="1"/>
  <c r="AR528" i="1"/>
  <c r="AN528" i="1"/>
  <c r="AJ528" i="1"/>
  <c r="AF528" i="1"/>
  <c r="AQ528" i="1"/>
  <c r="AM528" i="1"/>
  <c r="AI528" i="1"/>
  <c r="AL528" i="1"/>
  <c r="AK528" i="1"/>
  <c r="AP528" i="1"/>
  <c r="AH528" i="1"/>
  <c r="AO528" i="1"/>
  <c r="AG528" i="1"/>
  <c r="AN526" i="1"/>
  <c r="AJ514" i="1"/>
  <c r="AQ497" i="1"/>
  <c r="AM497" i="1"/>
  <c r="AI497" i="1"/>
  <c r="AP497" i="1"/>
  <c r="AL497" i="1"/>
  <c r="AH497" i="1"/>
  <c r="AK497" i="1"/>
  <c r="AR497" i="1"/>
  <c r="AJ497" i="1"/>
  <c r="AO497" i="1"/>
  <c r="AG497" i="1"/>
  <c r="AN497" i="1"/>
  <c r="AF497" i="1"/>
  <c r="AR496" i="1"/>
  <c r="AN496" i="1"/>
  <c r="AJ496" i="1"/>
  <c r="AF496" i="1"/>
  <c r="AQ496" i="1"/>
  <c r="AM496" i="1"/>
  <c r="AI496" i="1"/>
  <c r="AL496" i="1"/>
  <c r="AK496" i="1"/>
  <c r="AP496" i="1"/>
  <c r="AH496" i="1"/>
  <c r="AG496" i="1"/>
  <c r="AO496" i="1"/>
  <c r="AN494" i="1"/>
  <c r="AJ482" i="1"/>
  <c r="AO433" i="1"/>
  <c r="AK433" i="1"/>
  <c r="AG433" i="1"/>
  <c r="AR433" i="1"/>
  <c r="AN433" i="1"/>
  <c r="AJ433" i="1"/>
  <c r="AF433" i="1"/>
  <c r="AQ433" i="1"/>
  <c r="AM433" i="1"/>
  <c r="AI433" i="1"/>
  <c r="AL433" i="1"/>
  <c r="AH433" i="1"/>
  <c r="AP433" i="1"/>
  <c r="AP577" i="1"/>
  <c r="AL577" i="1"/>
  <c r="AH577" i="1"/>
  <c r="AR577" i="1"/>
  <c r="AN577" i="1"/>
  <c r="AJ577" i="1"/>
  <c r="AF577" i="1"/>
  <c r="AQ577" i="1"/>
  <c r="AI577" i="1"/>
  <c r="AO577" i="1"/>
  <c r="AG577" i="1"/>
  <c r="AM577" i="1"/>
  <c r="AK577" i="1"/>
  <c r="AO542" i="1"/>
  <c r="AL526" i="1"/>
  <c r="AI514" i="1"/>
  <c r="AO510" i="1"/>
  <c r="AL494" i="1"/>
  <c r="AO478" i="1"/>
  <c r="AN283" i="1"/>
  <c r="AF283" i="1"/>
  <c r="AO280" i="1"/>
  <c r="AK280" i="1"/>
  <c r="AG280" i="1"/>
  <c r="AR280" i="1"/>
  <c r="AN280" i="1"/>
  <c r="AJ280" i="1"/>
  <c r="AF280" i="1"/>
  <c r="AM280" i="1"/>
  <c r="AL280" i="1"/>
  <c r="AQ280" i="1"/>
  <c r="AI280" i="1"/>
  <c r="AP280" i="1"/>
  <c r="AH280" i="1"/>
  <c r="AN267" i="1"/>
  <c r="AF267" i="1"/>
  <c r="AO264" i="1"/>
  <c r="AK264" i="1"/>
  <c r="AG264" i="1"/>
  <c r="AR264" i="1"/>
  <c r="AN264" i="1"/>
  <c r="AJ264" i="1"/>
  <c r="AF264" i="1"/>
  <c r="AM264" i="1"/>
  <c r="AL264" i="1"/>
  <c r="AQ264" i="1"/>
  <c r="AI264" i="1"/>
  <c r="AP264" i="1"/>
  <c r="AH264" i="1"/>
  <c r="AN251" i="1"/>
  <c r="AF251" i="1"/>
  <c r="AO248" i="1"/>
  <c r="AK248" i="1"/>
  <c r="AG248" i="1"/>
  <c r="AR248" i="1"/>
  <c r="AN248" i="1"/>
  <c r="AJ248" i="1"/>
  <c r="AF248" i="1"/>
  <c r="AM248" i="1"/>
  <c r="AL248" i="1"/>
  <c r="AQ248" i="1"/>
  <c r="AI248" i="1"/>
  <c r="AP248" i="1"/>
  <c r="AH248" i="1"/>
  <c r="AF235" i="1"/>
  <c r="AL235" i="1"/>
  <c r="AQ235" i="1"/>
  <c r="AP557" i="1"/>
  <c r="AL557" i="1"/>
  <c r="AH557" i="1"/>
  <c r="AR557" i="1"/>
  <c r="AN557" i="1"/>
  <c r="AJ557" i="1"/>
  <c r="AF557" i="1"/>
  <c r="AQ557" i="1"/>
  <c r="AI557" i="1"/>
  <c r="AO557" i="1"/>
  <c r="AG557" i="1"/>
  <c r="AM557" i="1"/>
  <c r="AK557" i="1"/>
  <c r="AN541" i="1"/>
  <c r="AL541" i="1"/>
  <c r="AQ541" i="1"/>
  <c r="AF525" i="1"/>
  <c r="AH525" i="1"/>
  <c r="AM525" i="1"/>
  <c r="AR508" i="1"/>
  <c r="AN508" i="1"/>
  <c r="AJ508" i="1"/>
  <c r="AF508" i="1"/>
  <c r="AQ508" i="1"/>
  <c r="AM508" i="1"/>
  <c r="AI508" i="1"/>
  <c r="AP508" i="1"/>
  <c r="AH508" i="1"/>
  <c r="AO508" i="1"/>
  <c r="AG508" i="1"/>
  <c r="AL508" i="1"/>
  <c r="AK508" i="1"/>
  <c r="AR501" i="1"/>
  <c r="AP501" i="1"/>
  <c r="AN485" i="1"/>
  <c r="AL485" i="1"/>
  <c r="AQ485" i="1"/>
  <c r="AF477" i="1"/>
  <c r="AH477" i="1"/>
  <c r="AM477" i="1"/>
  <c r="AN443" i="1"/>
  <c r="AH443" i="1"/>
  <c r="AM443" i="1"/>
  <c r="AO431" i="1"/>
  <c r="AI431" i="1"/>
  <c r="AK283" i="1"/>
  <c r="AP283" i="1"/>
  <c r="AK275" i="1"/>
  <c r="AP275" i="1"/>
  <c r="AK267" i="1"/>
  <c r="AP267" i="1"/>
  <c r="AK259" i="1"/>
  <c r="AP259" i="1"/>
  <c r="AK251" i="1"/>
  <c r="AP251" i="1"/>
  <c r="AK243" i="1"/>
  <c r="AP243" i="1"/>
  <c r="AP235" i="1"/>
  <c r="AO235" i="1"/>
  <c r="AK231" i="1"/>
  <c r="AJ592" i="1"/>
  <c r="AH592" i="1"/>
  <c r="AM592" i="1"/>
  <c r="AR484" i="1"/>
  <c r="AN484" i="1"/>
  <c r="AJ484" i="1"/>
  <c r="AF484" i="1"/>
  <c r="AQ484" i="1"/>
  <c r="AM484" i="1"/>
  <c r="AI484" i="1"/>
  <c r="AP484" i="1"/>
  <c r="AH484" i="1"/>
  <c r="AO484" i="1"/>
  <c r="AG484" i="1"/>
  <c r="AL484" i="1"/>
  <c r="AK484" i="1"/>
  <c r="AL435" i="1"/>
  <c r="AL427" i="1"/>
  <c r="AK419" i="1"/>
  <c r="AR418" i="1"/>
  <c r="AN418" i="1"/>
  <c r="AJ418" i="1"/>
  <c r="AF418" i="1"/>
  <c r="AQ418" i="1"/>
  <c r="AM418" i="1"/>
  <c r="AI418" i="1"/>
  <c r="AP418" i="1"/>
  <c r="AL418" i="1"/>
  <c r="AH418" i="1"/>
  <c r="AO418" i="1"/>
  <c r="AK418" i="1"/>
  <c r="AG418" i="1"/>
  <c r="AO411" i="1"/>
  <c r="AN403" i="1"/>
  <c r="AH403" i="1"/>
  <c r="AM403" i="1"/>
  <c r="AR347" i="1"/>
  <c r="AK343" i="1"/>
  <c r="AP343" i="1"/>
  <c r="AL339" i="1"/>
  <c r="AJ335" i="1"/>
  <c r="AH335" i="1"/>
  <c r="AR331" i="1"/>
  <c r="AK327" i="1"/>
  <c r="AP327" i="1"/>
  <c r="AL323" i="1"/>
  <c r="AK319" i="1"/>
  <c r="AR315" i="1"/>
  <c r="AJ311" i="1"/>
  <c r="AK303" i="1"/>
  <c r="AR299" i="1"/>
  <c r="AJ295" i="1"/>
  <c r="AK287" i="1"/>
  <c r="AJ283" i="1"/>
  <c r="AQ266" i="1"/>
  <c r="AM266" i="1"/>
  <c r="AI266" i="1"/>
  <c r="AP266" i="1"/>
  <c r="AL266" i="1"/>
  <c r="AH266" i="1"/>
  <c r="AK266" i="1"/>
  <c r="AR266" i="1"/>
  <c r="AJ266" i="1"/>
  <c r="AO266" i="1"/>
  <c r="AG266" i="1"/>
  <c r="AF266" i="1"/>
  <c r="AN266" i="1"/>
  <c r="AR265" i="1"/>
  <c r="AN265" i="1"/>
  <c r="AJ265" i="1"/>
  <c r="AF265" i="1"/>
  <c r="AQ265" i="1"/>
  <c r="AM265" i="1"/>
  <c r="AI265" i="1"/>
  <c r="AL265" i="1"/>
  <c r="AK265" i="1"/>
  <c r="AP265" i="1"/>
  <c r="AH265" i="1"/>
  <c r="AO265" i="1"/>
  <c r="AG265" i="1"/>
  <c r="AN263" i="1"/>
  <c r="AF255" i="1"/>
  <c r="AJ251" i="1"/>
  <c r="AP225" i="1"/>
  <c r="AL225" i="1"/>
  <c r="AH225" i="1"/>
  <c r="AM225" i="1"/>
  <c r="AQ225" i="1"/>
  <c r="AI225" i="1"/>
  <c r="AP217" i="1"/>
  <c r="AL217" i="1"/>
  <c r="AH217" i="1"/>
  <c r="AM217" i="1"/>
  <c r="AI217" i="1"/>
  <c r="AQ217" i="1"/>
  <c r="AP209" i="1"/>
  <c r="AL209" i="1"/>
  <c r="AH209" i="1"/>
  <c r="AM209" i="1"/>
  <c r="AI209" i="1"/>
  <c r="AQ209" i="1"/>
  <c r="AP201" i="1"/>
  <c r="AL201" i="1"/>
  <c r="AH201" i="1"/>
  <c r="AM201" i="1"/>
  <c r="AI201" i="1"/>
  <c r="AQ201" i="1"/>
  <c r="AP193" i="1"/>
  <c r="AL193" i="1"/>
  <c r="AH193" i="1"/>
  <c r="AM193" i="1"/>
  <c r="AI193" i="1"/>
  <c r="AQ193" i="1"/>
  <c r="AP185" i="1"/>
  <c r="AL185" i="1"/>
  <c r="AH185" i="1"/>
  <c r="AM185" i="1"/>
  <c r="AI185" i="1"/>
  <c r="AQ185" i="1"/>
  <c r="AM177" i="1"/>
  <c r="AL177" i="1"/>
  <c r="AQ177" i="1"/>
  <c r="AI177" i="1"/>
  <c r="AP177" i="1"/>
  <c r="AH177" i="1"/>
  <c r="AM169" i="1"/>
  <c r="AL169" i="1"/>
  <c r="AQ169" i="1"/>
  <c r="AI169" i="1"/>
  <c r="AP169" i="1"/>
  <c r="AH169" i="1"/>
  <c r="AM161" i="1"/>
  <c r="AL161" i="1"/>
  <c r="AQ161" i="1"/>
  <c r="AI161" i="1"/>
  <c r="AP161" i="1"/>
  <c r="AH161" i="1"/>
  <c r="AN549" i="1"/>
  <c r="AL549" i="1"/>
  <c r="AQ549" i="1"/>
  <c r="AK533" i="1"/>
  <c r="AO533" i="1"/>
  <c r="AI533" i="1"/>
  <c r="AR517" i="1"/>
  <c r="AP517" i="1"/>
  <c r="AF493" i="1"/>
  <c r="AH493" i="1"/>
  <c r="AM493" i="1"/>
  <c r="AR446" i="1"/>
  <c r="AN446" i="1"/>
  <c r="AJ446" i="1"/>
  <c r="AF446" i="1"/>
  <c r="AQ446" i="1"/>
  <c r="AM446" i="1"/>
  <c r="AI446" i="1"/>
  <c r="AP446" i="1"/>
  <c r="AL446" i="1"/>
  <c r="AH446" i="1"/>
  <c r="AO446" i="1"/>
  <c r="AK446" i="1"/>
  <c r="AG446" i="1"/>
  <c r="AR434" i="1"/>
  <c r="AN434" i="1"/>
  <c r="AJ434" i="1"/>
  <c r="AF434" i="1"/>
  <c r="AQ434" i="1"/>
  <c r="AM434" i="1"/>
  <c r="AI434" i="1"/>
  <c r="AP434" i="1"/>
  <c r="AL434" i="1"/>
  <c r="AH434" i="1"/>
  <c r="AO434" i="1"/>
  <c r="AK434" i="1"/>
  <c r="AG434" i="1"/>
  <c r="AN399" i="1"/>
  <c r="AH399" i="1"/>
  <c r="AR346" i="1"/>
  <c r="AR330" i="1"/>
  <c r="AL279" i="1"/>
  <c r="AM271" i="1"/>
  <c r="AI267" i="1"/>
  <c r="AO263" i="1"/>
  <c r="AQ259" i="1"/>
  <c r="AK255" i="1"/>
  <c r="AL247" i="1"/>
  <c r="AH235" i="1"/>
  <c r="AR227" i="1"/>
  <c r="AJ225" i="1"/>
  <c r="AN224" i="1"/>
  <c r="AJ221" i="1"/>
  <c r="AJ220" i="1"/>
  <c r="AF220" i="1"/>
  <c r="AR220" i="1"/>
  <c r="AJ217" i="1"/>
  <c r="AJ213" i="1"/>
  <c r="AF212" i="1"/>
  <c r="AJ209" i="1"/>
  <c r="AJ205" i="1"/>
  <c r="AF204" i="1"/>
  <c r="AJ201" i="1"/>
  <c r="AJ197" i="1"/>
  <c r="AF196" i="1"/>
  <c r="AJ193" i="1"/>
  <c r="AJ189" i="1"/>
  <c r="AF188" i="1"/>
  <c r="AJ185" i="1"/>
  <c r="AJ181" i="1"/>
  <c r="AN180" i="1"/>
  <c r="AF180" i="1"/>
  <c r="AJ177" i="1"/>
  <c r="AN176" i="1"/>
  <c r="AF176" i="1"/>
  <c r="AJ173" i="1"/>
  <c r="AN172" i="1"/>
  <c r="AF172" i="1"/>
  <c r="AJ169" i="1"/>
  <c r="AN168" i="1"/>
  <c r="AF168" i="1"/>
  <c r="AJ165" i="1"/>
  <c r="AN164" i="1"/>
  <c r="AF164" i="1"/>
  <c r="AJ161" i="1"/>
  <c r="AN160" i="1"/>
  <c r="AF160" i="1"/>
  <c r="AJ157" i="1"/>
  <c r="AN104" i="1"/>
  <c r="AJ104" i="1"/>
  <c r="AF104" i="1"/>
  <c r="AR104" i="1"/>
  <c r="AO101" i="1"/>
  <c r="AK101" i="1"/>
  <c r="AG101" i="1"/>
  <c r="AR101" i="1"/>
  <c r="AN101" i="1"/>
  <c r="AJ101" i="1"/>
  <c r="AF101" i="1"/>
  <c r="AM101" i="1"/>
  <c r="AQ101" i="1"/>
  <c r="AI101" i="1"/>
  <c r="AP101" i="1"/>
  <c r="AL101" i="1"/>
  <c r="AH101" i="1"/>
  <c r="AN100" i="1"/>
  <c r="AR100" i="1"/>
  <c r="AO97" i="1"/>
  <c r="AK97" i="1"/>
  <c r="AG97" i="1"/>
  <c r="AR97" i="1"/>
  <c r="AN97" i="1"/>
  <c r="AJ97" i="1"/>
  <c r="AF97" i="1"/>
  <c r="AP97" i="1"/>
  <c r="AH97" i="1"/>
  <c r="AL97" i="1"/>
  <c r="AM97" i="1"/>
  <c r="AI97" i="1"/>
  <c r="AQ97" i="1"/>
  <c r="AQ96" i="1"/>
  <c r="AM96" i="1"/>
  <c r="AI96" i="1"/>
  <c r="AO93" i="1"/>
  <c r="AK93" i="1"/>
  <c r="AG93" i="1"/>
  <c r="AR93" i="1"/>
  <c r="AN93" i="1"/>
  <c r="AJ93" i="1"/>
  <c r="AF93" i="1"/>
  <c r="AP93" i="1"/>
  <c r="AH93" i="1"/>
  <c r="AL93" i="1"/>
  <c r="AM93" i="1"/>
  <c r="AI93" i="1"/>
  <c r="AQ93" i="1"/>
  <c r="AR92" i="1"/>
  <c r="AJ92" i="1"/>
  <c r="AQ92" i="1"/>
  <c r="AM92" i="1"/>
  <c r="AI92" i="1"/>
  <c r="AO89" i="1"/>
  <c r="AK89" i="1"/>
  <c r="AG89" i="1"/>
  <c r="AR89" i="1"/>
  <c r="AN89" i="1"/>
  <c r="AJ89" i="1"/>
  <c r="AF89" i="1"/>
  <c r="AQ89" i="1"/>
  <c r="AI89" i="1"/>
  <c r="AM89" i="1"/>
  <c r="AP89" i="1"/>
  <c r="AL89" i="1"/>
  <c r="AH89" i="1"/>
  <c r="AF88" i="1"/>
  <c r="AO85" i="1"/>
  <c r="AK85" i="1"/>
  <c r="AG85" i="1"/>
  <c r="AR85" i="1"/>
  <c r="AN85" i="1"/>
  <c r="AJ85" i="1"/>
  <c r="AF85" i="1"/>
  <c r="AM85" i="1"/>
  <c r="AQ85" i="1"/>
  <c r="AI85" i="1"/>
  <c r="AL85" i="1"/>
  <c r="AH85" i="1"/>
  <c r="AP85" i="1"/>
  <c r="AO81" i="1"/>
  <c r="AK81" i="1"/>
  <c r="AG81" i="1"/>
  <c r="AR81" i="1"/>
  <c r="AN81" i="1"/>
  <c r="AJ81" i="1"/>
  <c r="AF81" i="1"/>
  <c r="AQ81" i="1"/>
  <c r="AI81" i="1"/>
  <c r="AP81" i="1"/>
  <c r="AM81" i="1"/>
  <c r="AL81" i="1"/>
  <c r="AH81" i="1"/>
  <c r="AR80" i="1"/>
  <c r="AI80" i="1"/>
  <c r="AN80" i="1"/>
  <c r="AO77" i="1"/>
  <c r="AK77" i="1"/>
  <c r="AG77" i="1"/>
  <c r="AR77" i="1"/>
  <c r="AN77" i="1"/>
  <c r="AJ77" i="1"/>
  <c r="AF77" i="1"/>
  <c r="AQ77" i="1"/>
  <c r="AI77" i="1"/>
  <c r="AP77" i="1"/>
  <c r="AM77" i="1"/>
  <c r="AL77" i="1"/>
  <c r="AH77" i="1"/>
  <c r="AR76" i="1"/>
  <c r="AI76" i="1"/>
  <c r="AN76" i="1"/>
  <c r="AO73" i="1"/>
  <c r="AK73" i="1"/>
  <c r="AG73" i="1"/>
  <c r="AR73" i="1"/>
  <c r="AN73" i="1"/>
  <c r="AJ73" i="1"/>
  <c r="AF73" i="1"/>
  <c r="AP73" i="1"/>
  <c r="AH73" i="1"/>
  <c r="AM73" i="1"/>
  <c r="AL73" i="1"/>
  <c r="AQ73" i="1"/>
  <c r="AI73" i="1"/>
  <c r="AQ72" i="1"/>
  <c r="AI72" i="1"/>
  <c r="AM72" i="1"/>
  <c r="AO69" i="1"/>
  <c r="AK69" i="1"/>
  <c r="AG69" i="1"/>
  <c r="AR69" i="1"/>
  <c r="AN69" i="1"/>
  <c r="AJ69" i="1"/>
  <c r="AF69" i="1"/>
  <c r="AP69" i="1"/>
  <c r="AH69" i="1"/>
  <c r="AM69" i="1"/>
  <c r="AL69" i="1"/>
  <c r="AQ69" i="1"/>
  <c r="AI69" i="1"/>
  <c r="AQ68" i="1"/>
  <c r="AI68" i="1"/>
  <c r="AN68" i="1"/>
  <c r="AF68" i="1"/>
  <c r="AM68" i="1"/>
  <c r="AO65" i="1"/>
  <c r="AK65" i="1"/>
  <c r="AG65" i="1"/>
  <c r="AR65" i="1"/>
  <c r="AN65" i="1"/>
  <c r="AJ65" i="1"/>
  <c r="AF65" i="1"/>
  <c r="AQ65" i="1"/>
  <c r="AI65" i="1"/>
  <c r="AP65" i="1"/>
  <c r="AH65" i="1"/>
  <c r="AM65" i="1"/>
  <c r="AL65" i="1"/>
  <c r="AN64" i="1"/>
  <c r="AF64" i="1"/>
  <c r="AO61" i="1"/>
  <c r="AK61" i="1"/>
  <c r="AG61" i="1"/>
  <c r="AR61" i="1"/>
  <c r="AN61" i="1"/>
  <c r="AJ61" i="1"/>
  <c r="AF61" i="1"/>
  <c r="AQ61" i="1"/>
  <c r="AI61" i="1"/>
  <c r="AP61" i="1"/>
  <c r="AH61" i="1"/>
  <c r="AM61" i="1"/>
  <c r="AL61" i="1"/>
  <c r="AN60" i="1"/>
  <c r="AF60" i="1"/>
  <c r="AO57" i="1"/>
  <c r="AK57" i="1"/>
  <c r="AG57" i="1"/>
  <c r="AR57" i="1"/>
  <c r="AN57" i="1"/>
  <c r="AJ57" i="1"/>
  <c r="AF57" i="1"/>
  <c r="AQ57" i="1"/>
  <c r="AI57" i="1"/>
  <c r="AP57" i="1"/>
  <c r="AH57" i="1"/>
  <c r="AM57" i="1"/>
  <c r="AL57" i="1"/>
  <c r="AQ44" i="1"/>
  <c r="AI44" i="1"/>
  <c r="AN44" i="1"/>
  <c r="AF44" i="1"/>
  <c r="AN12" i="1"/>
  <c r="AI12" i="1"/>
  <c r="AR595" i="1"/>
  <c r="AN595" i="1"/>
  <c r="AJ595" i="1"/>
  <c r="AF595" i="1"/>
  <c r="AQ595" i="1"/>
  <c r="AM595" i="1"/>
  <c r="AI595" i="1"/>
  <c r="AP595" i="1"/>
  <c r="AL595" i="1"/>
  <c r="AH595" i="1"/>
  <c r="AG595" i="1"/>
  <c r="AO595" i="1"/>
  <c r="AK595" i="1"/>
  <c r="AR548" i="1"/>
  <c r="AN548" i="1"/>
  <c r="AJ548" i="1"/>
  <c r="AF548" i="1"/>
  <c r="AQ548" i="1"/>
  <c r="AM548" i="1"/>
  <c r="AI548" i="1"/>
  <c r="AP548" i="1"/>
  <c r="AH548" i="1"/>
  <c r="AO548" i="1"/>
  <c r="AG548" i="1"/>
  <c r="AL548" i="1"/>
  <c r="AK548" i="1"/>
  <c r="AJ525" i="1"/>
  <c r="AN509" i="1"/>
  <c r="AL509" i="1"/>
  <c r="AR438" i="1"/>
  <c r="AN438" i="1"/>
  <c r="AJ438" i="1"/>
  <c r="AF438" i="1"/>
  <c r="AQ438" i="1"/>
  <c r="AM438" i="1"/>
  <c r="AI438" i="1"/>
  <c r="AP438" i="1"/>
  <c r="AL438" i="1"/>
  <c r="AH438" i="1"/>
  <c r="AG438" i="1"/>
  <c r="AO438" i="1"/>
  <c r="AK438" i="1"/>
  <c r="AF391" i="1"/>
  <c r="AM383" i="1"/>
  <c r="AQ383" i="1"/>
  <c r="AJ379" i="1"/>
  <c r="AI375" i="1"/>
  <c r="AN367" i="1"/>
  <c r="AK367" i="1"/>
  <c r="AF359" i="1"/>
  <c r="AR532" i="1"/>
  <c r="AN532" i="1"/>
  <c r="AJ532" i="1"/>
  <c r="AF532" i="1"/>
  <c r="AQ532" i="1"/>
  <c r="AM532" i="1"/>
  <c r="AI532" i="1"/>
  <c r="AP532" i="1"/>
  <c r="AH532" i="1"/>
  <c r="AO532" i="1"/>
  <c r="AG532" i="1"/>
  <c r="AL532" i="1"/>
  <c r="AK532" i="1"/>
  <c r="AR492" i="1"/>
  <c r="AN492" i="1"/>
  <c r="AJ492" i="1"/>
  <c r="AF492" i="1"/>
  <c r="AQ492" i="1"/>
  <c r="AM492" i="1"/>
  <c r="AI492" i="1"/>
  <c r="AP492" i="1"/>
  <c r="AH492" i="1"/>
  <c r="AO492" i="1"/>
  <c r="AG492" i="1"/>
  <c r="AL492" i="1"/>
  <c r="AK492" i="1"/>
  <c r="AR729" i="1"/>
  <c r="AN729" i="1"/>
  <c r="AJ729" i="1"/>
  <c r="AF729" i="1"/>
  <c r="AQ729" i="1"/>
  <c r="AM729" i="1"/>
  <c r="AI729" i="1"/>
  <c r="AP729" i="1"/>
  <c r="AL729" i="1"/>
  <c r="AH729" i="1"/>
  <c r="AG729" i="1"/>
  <c r="AO729" i="1"/>
  <c r="AK729" i="1"/>
  <c r="AJ439" i="1"/>
  <c r="AH439" i="1"/>
  <c r="AF395" i="1"/>
  <c r="AF387" i="1"/>
  <c r="AF379" i="1"/>
  <c r="AF371" i="1"/>
  <c r="AF363" i="1"/>
  <c r="AF355" i="1"/>
  <c r="AK322" i="1"/>
  <c r="AO322" i="1"/>
  <c r="AI322" i="1"/>
  <c r="AR314" i="1"/>
  <c r="AP314" i="1"/>
  <c r="AN306" i="1"/>
  <c r="AL306" i="1"/>
  <c r="AQ306" i="1"/>
  <c r="AF298" i="1"/>
  <c r="AH298" i="1"/>
  <c r="AM298" i="1"/>
  <c r="AK290" i="1"/>
  <c r="AO290" i="1"/>
  <c r="AI290" i="1"/>
  <c r="AR278" i="1"/>
  <c r="AP278" i="1"/>
  <c r="AR275" i="1"/>
  <c r="AF262" i="1"/>
  <c r="AH262" i="1"/>
  <c r="AM262" i="1"/>
  <c r="AR246" i="1"/>
  <c r="AP246" i="1"/>
  <c r="AR243" i="1"/>
  <c r="AN237" i="1"/>
  <c r="AF233" i="1"/>
  <c r="AL233" i="1"/>
  <c r="AI233" i="1"/>
  <c r="AK229" i="1"/>
  <c r="AR229" i="1"/>
  <c r="AJ423" i="1"/>
  <c r="AH423" i="1"/>
  <c r="AM423" i="1"/>
  <c r="AJ415" i="1"/>
  <c r="AH415" i="1"/>
  <c r="AM415" i="1"/>
  <c r="AJ407" i="1"/>
  <c r="AH407" i="1"/>
  <c r="AM407" i="1"/>
  <c r="AN351" i="1"/>
  <c r="AK351" i="1"/>
  <c r="AN350" i="1"/>
  <c r="AL350" i="1"/>
  <c r="AQ350" i="1"/>
  <c r="AF346" i="1"/>
  <c r="AH346" i="1"/>
  <c r="AM346" i="1"/>
  <c r="AK342" i="1"/>
  <c r="AO342" i="1"/>
  <c r="AJ338" i="1"/>
  <c r="AP338" i="1"/>
  <c r="AN334" i="1"/>
  <c r="AL334" i="1"/>
  <c r="AQ334" i="1"/>
  <c r="AF330" i="1"/>
  <c r="AH330" i="1"/>
  <c r="AM330" i="1"/>
  <c r="AK326" i="1"/>
  <c r="AO326" i="1"/>
  <c r="AR422" i="1"/>
  <c r="AN422" i="1"/>
  <c r="AJ422" i="1"/>
  <c r="AF422" i="1"/>
  <c r="AQ422" i="1"/>
  <c r="AM422" i="1"/>
  <c r="AI422" i="1"/>
  <c r="AP422" i="1"/>
  <c r="AL422" i="1"/>
  <c r="AH422" i="1"/>
  <c r="AG422" i="1"/>
  <c r="AO422" i="1"/>
  <c r="AK422" i="1"/>
  <c r="AF318" i="1"/>
  <c r="AH318" i="1"/>
  <c r="AM318" i="1"/>
  <c r="AF310" i="1"/>
  <c r="AH310" i="1"/>
  <c r="AM310" i="1"/>
  <c r="AF302" i="1"/>
  <c r="AH302" i="1"/>
  <c r="AM302" i="1"/>
  <c r="AF294" i="1"/>
  <c r="AH294" i="1"/>
  <c r="AM294" i="1"/>
  <c r="AF286" i="1"/>
  <c r="AH286" i="1"/>
  <c r="AM286" i="1"/>
  <c r="AK270" i="1"/>
  <c r="AO270" i="1"/>
  <c r="AI270" i="1"/>
  <c r="AR254" i="1"/>
  <c r="AP254" i="1"/>
  <c r="AR251" i="1"/>
  <c r="AR345" i="1"/>
  <c r="AN345" i="1"/>
  <c r="AJ345" i="1"/>
  <c r="AF345" i="1"/>
  <c r="AQ345" i="1"/>
  <c r="AM345" i="1"/>
  <c r="AI345" i="1"/>
  <c r="AP345" i="1"/>
  <c r="AH345" i="1"/>
  <c r="AO345" i="1"/>
  <c r="AG345" i="1"/>
  <c r="AL345" i="1"/>
  <c r="AK345" i="1"/>
  <c r="AR337" i="1"/>
  <c r="AN337" i="1"/>
  <c r="AJ337" i="1"/>
  <c r="AF337" i="1"/>
  <c r="AQ337" i="1"/>
  <c r="AM337" i="1"/>
  <c r="AI337" i="1"/>
  <c r="AP337" i="1"/>
  <c r="AH337" i="1"/>
  <c r="AO337" i="1"/>
  <c r="AG337" i="1"/>
  <c r="AL337" i="1"/>
  <c r="AK337" i="1"/>
  <c r="AR329" i="1"/>
  <c r="AN329" i="1"/>
  <c r="AJ329" i="1"/>
  <c r="AF329" i="1"/>
  <c r="AQ329" i="1"/>
  <c r="AM329" i="1"/>
  <c r="AI329" i="1"/>
  <c r="AP329" i="1"/>
  <c r="AH329" i="1"/>
  <c r="AO329" i="1"/>
  <c r="AG329" i="1"/>
  <c r="AL329" i="1"/>
  <c r="AK329" i="1"/>
  <c r="AR317" i="1"/>
  <c r="AN317" i="1"/>
  <c r="AJ317" i="1"/>
  <c r="AF317" i="1"/>
  <c r="AQ317" i="1"/>
  <c r="AM317" i="1"/>
  <c r="AI317" i="1"/>
  <c r="AP317" i="1"/>
  <c r="AH317" i="1"/>
  <c r="AO317" i="1"/>
  <c r="AG317" i="1"/>
  <c r="AL317" i="1"/>
  <c r="AK317" i="1"/>
  <c r="AR285" i="1"/>
  <c r="AN285" i="1"/>
  <c r="AJ285" i="1"/>
  <c r="AF285" i="1"/>
  <c r="AQ285" i="1"/>
  <c r="AM285" i="1"/>
  <c r="AI285" i="1"/>
  <c r="AP285" i="1"/>
  <c r="AH285" i="1"/>
  <c r="AO285" i="1"/>
  <c r="AG285" i="1"/>
  <c r="AL285" i="1"/>
  <c r="AK285" i="1"/>
  <c r="AN423" i="1"/>
  <c r="AR216" i="1"/>
  <c r="AJ212" i="1"/>
  <c r="AR200" i="1"/>
  <c r="AJ196" i="1"/>
  <c r="AR184" i="1"/>
  <c r="AO177" i="1"/>
  <c r="AK175" i="1"/>
  <c r="AI172" i="1"/>
  <c r="AQ168" i="1"/>
  <c r="AO161" i="1"/>
  <c r="AK159" i="1"/>
  <c r="AQ151" i="1"/>
  <c r="AM151" i="1"/>
  <c r="AI151" i="1"/>
  <c r="AP151" i="1"/>
  <c r="AL151" i="1"/>
  <c r="AH151" i="1"/>
  <c r="AR151" i="1"/>
  <c r="AJ151" i="1"/>
  <c r="AO151" i="1"/>
  <c r="AG151" i="1"/>
  <c r="AN151" i="1"/>
  <c r="AF151" i="1"/>
  <c r="AK151" i="1"/>
  <c r="AR150" i="1"/>
  <c r="AN150" i="1"/>
  <c r="AJ150" i="1"/>
  <c r="AF150" i="1"/>
  <c r="AQ150" i="1"/>
  <c r="AM150" i="1"/>
  <c r="AI150" i="1"/>
  <c r="AK150" i="1"/>
  <c r="AP150" i="1"/>
  <c r="AH150" i="1"/>
  <c r="AO150" i="1"/>
  <c r="AG150" i="1"/>
  <c r="AL150" i="1"/>
  <c r="AQ135" i="1"/>
  <c r="AM135" i="1"/>
  <c r="AI135" i="1"/>
  <c r="AP135" i="1"/>
  <c r="AL135" i="1"/>
  <c r="AH135" i="1"/>
  <c r="AR135" i="1"/>
  <c r="AJ135" i="1"/>
  <c r="AO135" i="1"/>
  <c r="AG135" i="1"/>
  <c r="AN135" i="1"/>
  <c r="AF135" i="1"/>
  <c r="AK135" i="1"/>
  <c r="AR134" i="1"/>
  <c r="AN134" i="1"/>
  <c r="AJ134" i="1"/>
  <c r="AF134" i="1"/>
  <c r="AQ134" i="1"/>
  <c r="AM134" i="1"/>
  <c r="AI134" i="1"/>
  <c r="AK134" i="1"/>
  <c r="AP134" i="1"/>
  <c r="AH134" i="1"/>
  <c r="AO134" i="1"/>
  <c r="AG134" i="1"/>
  <c r="AL134" i="1"/>
  <c r="AI120" i="1"/>
  <c r="AO104" i="1"/>
  <c r="AK96" i="1"/>
  <c r="AP96" i="1"/>
  <c r="AJ318" i="1"/>
  <c r="AJ286" i="1"/>
  <c r="AF224" i="1"/>
  <c r="AK216" i="1"/>
  <c r="AP216" i="1"/>
  <c r="AR215" i="1"/>
  <c r="AN215" i="1"/>
  <c r="AJ215" i="1"/>
  <c r="AF215" i="1"/>
  <c r="AQ215" i="1"/>
  <c r="AM215" i="1"/>
  <c r="AI215" i="1"/>
  <c r="AP215" i="1"/>
  <c r="AL215" i="1"/>
  <c r="AH215" i="1"/>
  <c r="AO215" i="1"/>
  <c r="AK215" i="1"/>
  <c r="AG215" i="1"/>
  <c r="AO208" i="1"/>
  <c r="AI208" i="1"/>
  <c r="AN200" i="1"/>
  <c r="AH200" i="1"/>
  <c r="AM200" i="1"/>
  <c r="AL192" i="1"/>
  <c r="AQ192" i="1"/>
  <c r="AK184" i="1"/>
  <c r="AP184" i="1"/>
  <c r="AR183" i="1"/>
  <c r="AN183" i="1"/>
  <c r="AJ183" i="1"/>
  <c r="AF183" i="1"/>
  <c r="AQ183" i="1"/>
  <c r="AM183" i="1"/>
  <c r="AI183" i="1"/>
  <c r="AP183" i="1"/>
  <c r="AL183" i="1"/>
  <c r="AH183" i="1"/>
  <c r="AO183" i="1"/>
  <c r="AK183" i="1"/>
  <c r="AG183" i="1"/>
  <c r="AL179" i="1"/>
  <c r="AQ179" i="1"/>
  <c r="AR178" i="1"/>
  <c r="AN178" i="1"/>
  <c r="AJ178" i="1"/>
  <c r="AF178" i="1"/>
  <c r="AQ178" i="1"/>
  <c r="AM178" i="1"/>
  <c r="AI178" i="1"/>
  <c r="AL178" i="1"/>
  <c r="AK178" i="1"/>
  <c r="AP178" i="1"/>
  <c r="AH178" i="1"/>
  <c r="AO178" i="1"/>
  <c r="AG178" i="1"/>
  <c r="AJ175" i="1"/>
  <c r="AI175" i="1"/>
  <c r="AL171" i="1"/>
  <c r="AQ171" i="1"/>
  <c r="AR170" i="1"/>
  <c r="AN170" i="1"/>
  <c r="AJ170" i="1"/>
  <c r="AF170" i="1"/>
  <c r="AQ170" i="1"/>
  <c r="AM170" i="1"/>
  <c r="AI170" i="1"/>
  <c r="AL170" i="1"/>
  <c r="AK170" i="1"/>
  <c r="AP170" i="1"/>
  <c r="AH170" i="1"/>
  <c r="AO170" i="1"/>
  <c r="AG170" i="1"/>
  <c r="AJ167" i="1"/>
  <c r="AI167" i="1"/>
  <c r="AL163" i="1"/>
  <c r="AQ163" i="1"/>
  <c r="AR162" i="1"/>
  <c r="AN162" i="1"/>
  <c r="AJ162" i="1"/>
  <c r="AF162" i="1"/>
  <c r="AQ162" i="1"/>
  <c r="AM162" i="1"/>
  <c r="AI162" i="1"/>
  <c r="AL162" i="1"/>
  <c r="AK162" i="1"/>
  <c r="AP162" i="1"/>
  <c r="AH162" i="1"/>
  <c r="AO162" i="1"/>
  <c r="AG162" i="1"/>
  <c r="AJ159" i="1"/>
  <c r="AI159" i="1"/>
  <c r="AL123" i="1"/>
  <c r="AQ123" i="1"/>
  <c r="AR122" i="1"/>
  <c r="AN122" i="1"/>
  <c r="AJ122" i="1"/>
  <c r="AF122" i="1"/>
  <c r="AQ122" i="1"/>
  <c r="AM122" i="1"/>
  <c r="AI122" i="1"/>
  <c r="AL122" i="1"/>
  <c r="AK122" i="1"/>
  <c r="AP122" i="1"/>
  <c r="AH122" i="1"/>
  <c r="AO122" i="1"/>
  <c r="AG122" i="1"/>
  <c r="AN407" i="1"/>
  <c r="AO217" i="1"/>
  <c r="AR196" i="1"/>
  <c r="AO185" i="1"/>
  <c r="AM176" i="1"/>
  <c r="AM160" i="1"/>
  <c r="AR156" i="1"/>
  <c r="AR152" i="1"/>
  <c r="AR148" i="1"/>
  <c r="AR144" i="1"/>
  <c r="AR140" i="1"/>
  <c r="AR136" i="1"/>
  <c r="AR132" i="1"/>
  <c r="AR128" i="1"/>
  <c r="AR124" i="1"/>
  <c r="AR116" i="1"/>
  <c r="AF111" i="1"/>
  <c r="AN111" i="1"/>
  <c r="AR107" i="1"/>
  <c r="AR98" i="1"/>
  <c r="AN98" i="1"/>
  <c r="AJ98" i="1"/>
  <c r="AF98" i="1"/>
  <c r="AQ98" i="1"/>
  <c r="AM98" i="1"/>
  <c r="AI98" i="1"/>
  <c r="AO98" i="1"/>
  <c r="AG98" i="1"/>
  <c r="AK98" i="1"/>
  <c r="AH98" i="1"/>
  <c r="AP98" i="1"/>
  <c r="AL98" i="1"/>
  <c r="AF96" i="1"/>
  <c r="AR94" i="1"/>
  <c r="AN94" i="1"/>
  <c r="AJ94" i="1"/>
  <c r="AF94" i="1"/>
  <c r="AQ94" i="1"/>
  <c r="AM94" i="1"/>
  <c r="AI94" i="1"/>
  <c r="AO94" i="1"/>
  <c r="AG94" i="1"/>
  <c r="AK94" i="1"/>
  <c r="AH94" i="1"/>
  <c r="AP94" i="1"/>
  <c r="AL94" i="1"/>
  <c r="AN92" i="1"/>
  <c r="AO92" i="1"/>
  <c r="AJ298" i="1"/>
  <c r="AJ224" i="1"/>
  <c r="AO224" i="1"/>
  <c r="AI224" i="1"/>
  <c r="AO220" i="1"/>
  <c r="AI220" i="1"/>
  <c r="AO212" i="1"/>
  <c r="AI212" i="1"/>
  <c r="AO204" i="1"/>
  <c r="AI204" i="1"/>
  <c r="AO196" i="1"/>
  <c r="AI196" i="1"/>
  <c r="AO188" i="1"/>
  <c r="AI188" i="1"/>
  <c r="AL180" i="1"/>
  <c r="AL176" i="1"/>
  <c r="AL172" i="1"/>
  <c r="AL168" i="1"/>
  <c r="AL164" i="1"/>
  <c r="AL160" i="1"/>
  <c r="AN123" i="1"/>
  <c r="AK120" i="1"/>
  <c r="AJ111" i="1"/>
  <c r="AI111" i="1"/>
  <c r="AO163" i="1"/>
  <c r="AK103" i="1"/>
  <c r="AI103" i="1"/>
  <c r="AO91" i="1"/>
  <c r="AF87" i="1"/>
  <c r="AK80" i="1"/>
  <c r="AP80" i="1"/>
  <c r="AJ76" i="1"/>
  <c r="AO76" i="1"/>
  <c r="AJ72" i="1"/>
  <c r="AH72" i="1"/>
  <c r="AR68" i="1"/>
  <c r="AO68" i="1"/>
  <c r="AO67" i="1"/>
  <c r="AM56" i="1"/>
  <c r="AH56" i="1"/>
  <c r="AO52" i="1"/>
  <c r="AO51" i="1"/>
  <c r="AK48" i="1"/>
  <c r="AL44" i="1"/>
  <c r="AN39" i="1"/>
  <c r="AN36" i="1"/>
  <c r="AN31" i="1"/>
  <c r="AN28" i="1"/>
  <c r="AN23" i="1"/>
  <c r="AN20" i="1"/>
  <c r="AN16" i="1"/>
  <c r="AJ200" i="1"/>
  <c r="AN107" i="1"/>
  <c r="AN88" i="1"/>
  <c r="AL88" i="1"/>
  <c r="AF84" i="1"/>
  <c r="AL64" i="1"/>
  <c r="AJ60" i="1"/>
  <c r="AH60" i="1"/>
  <c r="AN55" i="1"/>
  <c r="AJ44" i="1"/>
  <c r="AF38" i="1"/>
  <c r="AM36" i="1"/>
  <c r="AN34" i="1"/>
  <c r="AH34" i="1"/>
  <c r="AF30" i="1"/>
  <c r="AM28" i="1"/>
  <c r="AN26" i="1"/>
  <c r="AH26" i="1"/>
  <c r="AF22" i="1"/>
  <c r="AM20" i="1"/>
  <c r="AR18" i="1"/>
  <c r="AL18" i="1"/>
  <c r="AN18" i="1"/>
  <c r="AH18" i="1"/>
  <c r="AR15" i="1"/>
  <c r="AF14" i="1"/>
  <c r="AM12" i="1"/>
  <c r="AN10" i="1"/>
  <c r="AH10" i="1"/>
  <c r="AR10" i="1"/>
  <c r="AL10" i="1"/>
  <c r="L9" i="1"/>
  <c r="AH8" i="1"/>
  <c r="AL24" i="1"/>
  <c r="AI22" i="1"/>
  <c r="AF20" i="1"/>
  <c r="AO18" i="1"/>
  <c r="AQ18" i="1"/>
  <c r="AQ16" i="1"/>
  <c r="AF15" i="1"/>
  <c r="AM14" i="1"/>
  <c r="AN11" i="1"/>
  <c r="AI11" i="1"/>
  <c r="AJ10" i="1"/>
  <c r="AJ31" i="1"/>
  <c r="AP28" i="1"/>
  <c r="AO24" i="1"/>
  <c r="AL23" i="1"/>
  <c r="AO123" i="1"/>
  <c r="AM108" i="1"/>
  <c r="AM100" i="1"/>
  <c r="AK100" i="1"/>
  <c r="AP100" i="1"/>
  <c r="AR86" i="1"/>
  <c r="AN86" i="1"/>
  <c r="AJ86" i="1"/>
  <c r="AF86" i="1"/>
  <c r="AQ86" i="1"/>
  <c r="AM86" i="1"/>
  <c r="AI86" i="1"/>
  <c r="AL86" i="1"/>
  <c r="AP86" i="1"/>
  <c r="AH86" i="1"/>
  <c r="AO86" i="1"/>
  <c r="AK86" i="1"/>
  <c r="AG86" i="1"/>
  <c r="AR84" i="1"/>
  <c r="AF80" i="1"/>
  <c r="AQ71" i="1"/>
  <c r="AM71" i="1"/>
  <c r="AI71" i="1"/>
  <c r="AP71" i="1"/>
  <c r="AL71" i="1"/>
  <c r="AH71" i="1"/>
  <c r="AN71" i="1"/>
  <c r="AF71" i="1"/>
  <c r="AK71" i="1"/>
  <c r="AR71" i="1"/>
  <c r="AJ71" i="1"/>
  <c r="AO71" i="1"/>
  <c r="AG71" i="1"/>
  <c r="AR70" i="1"/>
  <c r="AN70" i="1"/>
  <c r="AJ70" i="1"/>
  <c r="AF70" i="1"/>
  <c r="AQ70" i="1"/>
  <c r="AM70" i="1"/>
  <c r="AI70" i="1"/>
  <c r="AO70" i="1"/>
  <c r="AG70" i="1"/>
  <c r="AL70" i="1"/>
  <c r="AK70" i="1"/>
  <c r="AP70" i="1"/>
  <c r="AH70" i="1"/>
  <c r="AK67" i="1"/>
  <c r="AK59" i="1"/>
  <c r="AK51" i="1"/>
  <c r="AL40" i="1"/>
  <c r="AF39" i="1"/>
  <c r="AM38" i="1"/>
  <c r="AF36" i="1"/>
  <c r="AJ34" i="1"/>
  <c r="AQ32" i="1"/>
  <c r="AJ30" i="1"/>
  <c r="AQ28" i="1"/>
  <c r="AJ26" i="1"/>
  <c r="AK23" i="1"/>
  <c r="AM10" i="1"/>
  <c r="AF8" i="1"/>
  <c r="AK20" i="1"/>
  <c r="AH19" i="1"/>
  <c r="AK16" i="1"/>
  <c r="AH15" i="1"/>
  <c r="AO175" i="1"/>
  <c r="AP107" i="1"/>
  <c r="AR106" i="1"/>
  <c r="AN106" i="1"/>
  <c r="AJ106" i="1"/>
  <c r="AF106" i="1"/>
  <c r="AQ106" i="1"/>
  <c r="AM106" i="1"/>
  <c r="AI106" i="1"/>
  <c r="AP106" i="1"/>
  <c r="AH106" i="1"/>
  <c r="AL106" i="1"/>
  <c r="AG106" i="1"/>
  <c r="AO106" i="1"/>
  <c r="AK106" i="1"/>
  <c r="AR102" i="1"/>
  <c r="AN102" i="1"/>
  <c r="AJ102" i="1"/>
  <c r="AF102" i="1"/>
  <c r="AQ102" i="1"/>
  <c r="AM102" i="1"/>
  <c r="AI102" i="1"/>
  <c r="AL102" i="1"/>
  <c r="AP102" i="1"/>
  <c r="AH102" i="1"/>
  <c r="AG102" i="1"/>
  <c r="AO102" i="1"/>
  <c r="AK102" i="1"/>
  <c r="AJ87" i="1"/>
  <c r="AH87" i="1"/>
  <c r="AM87" i="1"/>
  <c r="AI84" i="1"/>
  <c r="AO84" i="1"/>
  <c r="AJ83" i="1"/>
  <c r="AH83" i="1"/>
  <c r="AM83" i="1"/>
  <c r="AR78" i="1"/>
  <c r="AN78" i="1"/>
  <c r="AJ78" i="1"/>
  <c r="AF78" i="1"/>
  <c r="AQ78" i="1"/>
  <c r="AM78" i="1"/>
  <c r="AI78" i="1"/>
  <c r="AP78" i="1"/>
  <c r="AH78" i="1"/>
  <c r="AG78" i="1"/>
  <c r="AO78" i="1"/>
  <c r="AL78" i="1"/>
  <c r="AK78" i="1"/>
  <c r="AJ67" i="1"/>
  <c r="AI67" i="1"/>
  <c r="AH63" i="1"/>
  <c r="AM63" i="1"/>
  <c r="AL59" i="1"/>
  <c r="AQ59" i="1"/>
  <c r="AR58" i="1"/>
  <c r="AN58" i="1"/>
  <c r="AJ58" i="1"/>
  <c r="AF58" i="1"/>
  <c r="AQ58" i="1"/>
  <c r="AM58" i="1"/>
  <c r="AI58" i="1"/>
  <c r="AP58" i="1"/>
  <c r="AH58" i="1"/>
  <c r="AO58" i="1"/>
  <c r="AG58" i="1"/>
  <c r="AL58" i="1"/>
  <c r="AK58" i="1"/>
  <c r="AH55" i="1"/>
  <c r="AM55" i="1"/>
  <c r="AJ51" i="1"/>
  <c r="AI51" i="1"/>
  <c r="AR47" i="1"/>
  <c r="AP47" i="1"/>
  <c r="AL43" i="1"/>
  <c r="AQ43" i="1"/>
  <c r="AK40" i="1"/>
  <c r="AH39" i="1"/>
  <c r="AJ36" i="1"/>
  <c r="AO35" i="1"/>
  <c r="AO32" i="1"/>
  <c r="AO27" i="1"/>
  <c r="AP27" i="1"/>
  <c r="AK12" i="1"/>
  <c r="AH11" i="1"/>
  <c r="AK8" i="1"/>
  <c r="AQ60" i="1"/>
  <c r="AR44" i="1"/>
  <c r="AP24" i="1"/>
  <c r="AR873" i="1"/>
  <c r="AN873" i="1"/>
  <c r="AJ873" i="1"/>
  <c r="AF873" i="1"/>
  <c r="AP873" i="1"/>
  <c r="AL873" i="1"/>
  <c r="AH873" i="1"/>
  <c r="AQ873" i="1"/>
  <c r="AI873" i="1"/>
  <c r="AO873" i="1"/>
  <c r="AG873" i="1"/>
  <c r="AM873" i="1"/>
  <c r="AK873" i="1"/>
  <c r="AP671" i="1"/>
  <c r="AL671" i="1"/>
  <c r="AH671" i="1"/>
  <c r="AR671" i="1"/>
  <c r="AN671" i="1"/>
  <c r="AJ671" i="1"/>
  <c r="AF671" i="1"/>
  <c r="AO671" i="1"/>
  <c r="AG671" i="1"/>
  <c r="AM671" i="1"/>
  <c r="AK671" i="1"/>
  <c r="AQ671" i="1"/>
  <c r="AI671" i="1"/>
  <c r="AP613" i="1"/>
  <c r="AL613" i="1"/>
  <c r="AH613" i="1"/>
  <c r="AO613" i="1"/>
  <c r="AK613" i="1"/>
  <c r="AG613" i="1"/>
  <c r="AR613" i="1"/>
  <c r="AN613" i="1"/>
  <c r="AJ613" i="1"/>
  <c r="AF613" i="1"/>
  <c r="AQ613" i="1"/>
  <c r="AM613" i="1"/>
  <c r="AI613" i="1"/>
  <c r="AR612" i="1"/>
  <c r="AJ612" i="1"/>
  <c r="AF612" i="1"/>
  <c r="AP597" i="1"/>
  <c r="AL597" i="1"/>
  <c r="AH597" i="1"/>
  <c r="AO597" i="1"/>
  <c r="AK597" i="1"/>
  <c r="AG597" i="1"/>
  <c r="AR597" i="1"/>
  <c r="AN597" i="1"/>
  <c r="AJ597" i="1"/>
  <c r="AF597" i="1"/>
  <c r="AQ597" i="1"/>
  <c r="AI597" i="1"/>
  <c r="AM597" i="1"/>
  <c r="AR596" i="1"/>
  <c r="AF596" i="1"/>
  <c r="AJ596" i="1"/>
  <c r="AJ652" i="1"/>
  <c r="AR623" i="1"/>
  <c r="AN623" i="1"/>
  <c r="AJ623" i="1"/>
  <c r="AF623" i="1"/>
  <c r="AQ623" i="1"/>
  <c r="AM623" i="1"/>
  <c r="AI623" i="1"/>
  <c r="AP623" i="1"/>
  <c r="AL623" i="1"/>
  <c r="AH623" i="1"/>
  <c r="AK623" i="1"/>
  <c r="AG623" i="1"/>
  <c r="AO623" i="1"/>
  <c r="AM447" i="1"/>
  <c r="AH447" i="1"/>
  <c r="AL447" i="1"/>
  <c r="AF447" i="1"/>
  <c r="AP447" i="1"/>
  <c r="AI447" i="1"/>
  <c r="AR635" i="1"/>
  <c r="AN635" i="1"/>
  <c r="AJ635" i="1"/>
  <c r="AF635" i="1"/>
  <c r="AQ635" i="1"/>
  <c r="AM635" i="1"/>
  <c r="AI635" i="1"/>
  <c r="AP635" i="1"/>
  <c r="AL635" i="1"/>
  <c r="AH635" i="1"/>
  <c r="AO635" i="1"/>
  <c r="AK635" i="1"/>
  <c r="AG635" i="1"/>
  <c r="AF628" i="1"/>
  <c r="AO624" i="1"/>
  <c r="AI624" i="1"/>
  <c r="AR615" i="1"/>
  <c r="AN615" i="1"/>
  <c r="AJ615" i="1"/>
  <c r="AF615" i="1"/>
  <c r="AQ615" i="1"/>
  <c r="AM615" i="1"/>
  <c r="AI615" i="1"/>
  <c r="AP615" i="1"/>
  <c r="AL615" i="1"/>
  <c r="AH615" i="1"/>
  <c r="AO615" i="1"/>
  <c r="AK615" i="1"/>
  <c r="AG615" i="1"/>
  <c r="AN612" i="1"/>
  <c r="AH612" i="1"/>
  <c r="AM612" i="1"/>
  <c r="AR599" i="1"/>
  <c r="AN599" i="1"/>
  <c r="AJ599" i="1"/>
  <c r="AF599" i="1"/>
  <c r="AQ599" i="1"/>
  <c r="AM599" i="1"/>
  <c r="AI599" i="1"/>
  <c r="AP599" i="1"/>
  <c r="AL599" i="1"/>
  <c r="AH599" i="1"/>
  <c r="AO599" i="1"/>
  <c r="AK599" i="1"/>
  <c r="AG599" i="1"/>
  <c r="AN596" i="1"/>
  <c r="AH596" i="1"/>
  <c r="AM596" i="1"/>
  <c r="AN546" i="1"/>
  <c r="AF546" i="1"/>
  <c r="AO543" i="1"/>
  <c r="AK543" i="1"/>
  <c r="AG543" i="1"/>
  <c r="AR543" i="1"/>
  <c r="AN543" i="1"/>
  <c r="AJ543" i="1"/>
  <c r="AF543" i="1"/>
  <c r="AM543" i="1"/>
  <c r="AL543" i="1"/>
  <c r="AQ543" i="1"/>
  <c r="AI543" i="1"/>
  <c r="AP543" i="1"/>
  <c r="AH543" i="1"/>
  <c r="AN530" i="1"/>
  <c r="AF530" i="1"/>
  <c r="AO527" i="1"/>
  <c r="AK527" i="1"/>
  <c r="AG527" i="1"/>
  <c r="AR527" i="1"/>
  <c r="AN527" i="1"/>
  <c r="AJ527" i="1"/>
  <c r="AF527" i="1"/>
  <c r="AM527" i="1"/>
  <c r="AL527" i="1"/>
  <c r="AQ527" i="1"/>
  <c r="AI527" i="1"/>
  <c r="AP527" i="1"/>
  <c r="AH527" i="1"/>
  <c r="AN514" i="1"/>
  <c r="AF514" i="1"/>
  <c r="AO511" i="1"/>
  <c r="AK511" i="1"/>
  <c r="AG511" i="1"/>
  <c r="AR511" i="1"/>
  <c r="AN511" i="1"/>
  <c r="AJ511" i="1"/>
  <c r="AF511" i="1"/>
  <c r="AM511" i="1"/>
  <c r="AL511" i="1"/>
  <c r="AQ511" i="1"/>
  <c r="AI511" i="1"/>
  <c r="AP511" i="1"/>
  <c r="AH511" i="1"/>
  <c r="AN498" i="1"/>
  <c r="AF498" i="1"/>
  <c r="AO495" i="1"/>
  <c r="AK495" i="1"/>
  <c r="AG495" i="1"/>
  <c r="AR495" i="1"/>
  <c r="AN495" i="1"/>
  <c r="AJ495" i="1"/>
  <c r="AF495" i="1"/>
  <c r="AM495" i="1"/>
  <c r="AL495" i="1"/>
  <c r="AQ495" i="1"/>
  <c r="AI495" i="1"/>
  <c r="AH495" i="1"/>
  <c r="AP495" i="1"/>
  <c r="AN482" i="1"/>
  <c r="AF482" i="1"/>
  <c r="AO479" i="1"/>
  <c r="AK479" i="1"/>
  <c r="AG479" i="1"/>
  <c r="AR479" i="1"/>
  <c r="AN479" i="1"/>
  <c r="AJ479" i="1"/>
  <c r="AF479" i="1"/>
  <c r="AM479" i="1"/>
  <c r="AL479" i="1"/>
  <c r="AQ479" i="1"/>
  <c r="AI479" i="1"/>
  <c r="AP479" i="1"/>
  <c r="AH479" i="1"/>
  <c r="AR652" i="1"/>
  <c r="AH652" i="1"/>
  <c r="AM652" i="1"/>
  <c r="AR644" i="1"/>
  <c r="AH644" i="1"/>
  <c r="AM644" i="1"/>
  <c r="AR636" i="1"/>
  <c r="AH636" i="1"/>
  <c r="AM636" i="1"/>
  <c r="AR628" i="1"/>
  <c r="AH628" i="1"/>
  <c r="AM628" i="1"/>
  <c r="AP585" i="1"/>
  <c r="AL585" i="1"/>
  <c r="AH585" i="1"/>
  <c r="AR585" i="1"/>
  <c r="AN585" i="1"/>
  <c r="AJ585" i="1"/>
  <c r="AF585" i="1"/>
  <c r="AQ585" i="1"/>
  <c r="AI585" i="1"/>
  <c r="AO585" i="1"/>
  <c r="AG585" i="1"/>
  <c r="AK585" i="1"/>
  <c r="AM585" i="1"/>
  <c r="AO546" i="1"/>
  <c r="AO530" i="1"/>
  <c r="AO514" i="1"/>
  <c r="AO498" i="1"/>
  <c r="AO482" i="1"/>
  <c r="AR639" i="1"/>
  <c r="AN639" i="1"/>
  <c r="AJ639" i="1"/>
  <c r="AF639" i="1"/>
  <c r="AQ639" i="1"/>
  <c r="AM639" i="1"/>
  <c r="AI639" i="1"/>
  <c r="AP639" i="1"/>
  <c r="AL639" i="1"/>
  <c r="AH639" i="1"/>
  <c r="AG639" i="1"/>
  <c r="AO639" i="1"/>
  <c r="AK639" i="1"/>
  <c r="AK608" i="1"/>
  <c r="AP608" i="1"/>
  <c r="AP581" i="1"/>
  <c r="AL581" i="1"/>
  <c r="AH581" i="1"/>
  <c r="AR581" i="1"/>
  <c r="AN581" i="1"/>
  <c r="AJ581" i="1"/>
  <c r="AF581" i="1"/>
  <c r="AQ581" i="1"/>
  <c r="AI581" i="1"/>
  <c r="AO581" i="1"/>
  <c r="AG581" i="1"/>
  <c r="AM581" i="1"/>
  <c r="AK581" i="1"/>
  <c r="AP565" i="1"/>
  <c r="AL565" i="1"/>
  <c r="AH565" i="1"/>
  <c r="AR565" i="1"/>
  <c r="AN565" i="1"/>
  <c r="AJ565" i="1"/>
  <c r="AF565" i="1"/>
  <c r="AQ565" i="1"/>
  <c r="AI565" i="1"/>
  <c r="AO565" i="1"/>
  <c r="AG565" i="1"/>
  <c r="AM565" i="1"/>
  <c r="AK565" i="1"/>
  <c r="AQ537" i="1"/>
  <c r="AM537" i="1"/>
  <c r="AI537" i="1"/>
  <c r="AP537" i="1"/>
  <c r="AL537" i="1"/>
  <c r="AH537" i="1"/>
  <c r="AK537" i="1"/>
  <c r="AR537" i="1"/>
  <c r="AJ537" i="1"/>
  <c r="AO537" i="1"/>
  <c r="AG537" i="1"/>
  <c r="AN537" i="1"/>
  <c r="AF537" i="1"/>
  <c r="AR536" i="1"/>
  <c r="AN536" i="1"/>
  <c r="AJ536" i="1"/>
  <c r="AF536" i="1"/>
  <c r="AQ536" i="1"/>
  <c r="AM536" i="1"/>
  <c r="AI536" i="1"/>
  <c r="AL536" i="1"/>
  <c r="AK536" i="1"/>
  <c r="AP536" i="1"/>
  <c r="AH536" i="1"/>
  <c r="AG536" i="1"/>
  <c r="AO536" i="1"/>
  <c r="AF526" i="1"/>
  <c r="AQ505" i="1"/>
  <c r="AM505" i="1"/>
  <c r="AI505" i="1"/>
  <c r="AP505" i="1"/>
  <c r="AL505" i="1"/>
  <c r="AH505" i="1"/>
  <c r="AK505" i="1"/>
  <c r="AR505" i="1"/>
  <c r="AJ505" i="1"/>
  <c r="AO505" i="1"/>
  <c r="AG505" i="1"/>
  <c r="AN505" i="1"/>
  <c r="AF505" i="1"/>
  <c r="AR504" i="1"/>
  <c r="AN504" i="1"/>
  <c r="AJ504" i="1"/>
  <c r="AF504" i="1"/>
  <c r="AQ504" i="1"/>
  <c r="AM504" i="1"/>
  <c r="AI504" i="1"/>
  <c r="AL504" i="1"/>
  <c r="AK504" i="1"/>
  <c r="AP504" i="1"/>
  <c r="AH504" i="1"/>
  <c r="AO504" i="1"/>
  <c r="AG504" i="1"/>
  <c r="AF494" i="1"/>
  <c r="AQ473" i="1"/>
  <c r="AM473" i="1"/>
  <c r="AI473" i="1"/>
  <c r="AP473" i="1"/>
  <c r="AL473" i="1"/>
  <c r="AH473" i="1"/>
  <c r="AK473" i="1"/>
  <c r="AR473" i="1"/>
  <c r="AJ473" i="1"/>
  <c r="AO473" i="1"/>
  <c r="AG473" i="1"/>
  <c r="AN473" i="1"/>
  <c r="AF473" i="1"/>
  <c r="AR472" i="1"/>
  <c r="AN472" i="1"/>
  <c r="AJ472" i="1"/>
  <c r="AF472" i="1"/>
  <c r="AQ472" i="1"/>
  <c r="AM472" i="1"/>
  <c r="AI472" i="1"/>
  <c r="AL472" i="1"/>
  <c r="AK472" i="1"/>
  <c r="AP472" i="1"/>
  <c r="AH472" i="1"/>
  <c r="AG472" i="1"/>
  <c r="AO472" i="1"/>
  <c r="AQ469" i="1"/>
  <c r="AM469" i="1"/>
  <c r="AI469" i="1"/>
  <c r="AP469" i="1"/>
  <c r="AL469" i="1"/>
  <c r="AH469" i="1"/>
  <c r="AK469" i="1"/>
  <c r="AR469" i="1"/>
  <c r="AJ469" i="1"/>
  <c r="AO469" i="1"/>
  <c r="AG469" i="1"/>
  <c r="AN469" i="1"/>
  <c r="AF469" i="1"/>
  <c r="AR468" i="1"/>
  <c r="AN468" i="1"/>
  <c r="AJ468" i="1"/>
  <c r="AF468" i="1"/>
  <c r="AQ468" i="1"/>
  <c r="AM468" i="1"/>
  <c r="AI468" i="1"/>
  <c r="AL468" i="1"/>
  <c r="AK468" i="1"/>
  <c r="AP468" i="1"/>
  <c r="AH468" i="1"/>
  <c r="AO468" i="1"/>
  <c r="AG468" i="1"/>
  <c r="AQ465" i="1"/>
  <c r="AM465" i="1"/>
  <c r="AI465" i="1"/>
  <c r="AP465" i="1"/>
  <c r="AL465" i="1"/>
  <c r="AH465" i="1"/>
  <c r="AK465" i="1"/>
  <c r="AR465" i="1"/>
  <c r="AJ465" i="1"/>
  <c r="AO465" i="1"/>
  <c r="AG465" i="1"/>
  <c r="AN465" i="1"/>
  <c r="AF465" i="1"/>
  <c r="AR464" i="1"/>
  <c r="AN464" i="1"/>
  <c r="AJ464" i="1"/>
  <c r="AF464" i="1"/>
  <c r="AQ464" i="1"/>
  <c r="AM464" i="1"/>
  <c r="AI464" i="1"/>
  <c r="AL464" i="1"/>
  <c r="AK464" i="1"/>
  <c r="AP464" i="1"/>
  <c r="AH464" i="1"/>
  <c r="AO464" i="1"/>
  <c r="AG464" i="1"/>
  <c r="AQ461" i="1"/>
  <c r="AM461" i="1"/>
  <c r="AI461" i="1"/>
  <c r="AP461" i="1"/>
  <c r="AL461" i="1"/>
  <c r="AH461" i="1"/>
  <c r="AK461" i="1"/>
  <c r="AR461" i="1"/>
  <c r="AJ461" i="1"/>
  <c r="AO461" i="1"/>
  <c r="AG461" i="1"/>
  <c r="AN461" i="1"/>
  <c r="AF461" i="1"/>
  <c r="AR460" i="1"/>
  <c r="AN460" i="1"/>
  <c r="AJ460" i="1"/>
  <c r="AF460" i="1"/>
  <c r="AQ460" i="1"/>
  <c r="AM460" i="1"/>
  <c r="AI460" i="1"/>
  <c r="AL460" i="1"/>
  <c r="AK460" i="1"/>
  <c r="AP460" i="1"/>
  <c r="AH460" i="1"/>
  <c r="AO460" i="1"/>
  <c r="AG460" i="1"/>
  <c r="AQ457" i="1"/>
  <c r="AM457" i="1"/>
  <c r="AI457" i="1"/>
  <c r="AP457" i="1"/>
  <c r="AL457" i="1"/>
  <c r="AH457" i="1"/>
  <c r="AK457" i="1"/>
  <c r="AR457" i="1"/>
  <c r="AJ457" i="1"/>
  <c r="AO457" i="1"/>
  <c r="AG457" i="1"/>
  <c r="AN457" i="1"/>
  <c r="AF457" i="1"/>
  <c r="AR456" i="1"/>
  <c r="AN456" i="1"/>
  <c r="AJ456" i="1"/>
  <c r="AF456" i="1"/>
  <c r="AQ456" i="1"/>
  <c r="AM456" i="1"/>
  <c r="AI456" i="1"/>
  <c r="AL456" i="1"/>
  <c r="AK456" i="1"/>
  <c r="AP456" i="1"/>
  <c r="AH456" i="1"/>
  <c r="AO456" i="1"/>
  <c r="AG456" i="1"/>
  <c r="AQ453" i="1"/>
  <c r="AM453" i="1"/>
  <c r="AI453" i="1"/>
  <c r="AP453" i="1"/>
  <c r="AL453" i="1"/>
  <c r="AH453" i="1"/>
  <c r="AK453" i="1"/>
  <c r="AR453" i="1"/>
  <c r="AJ453" i="1"/>
  <c r="AO453" i="1"/>
  <c r="AG453" i="1"/>
  <c r="AN453" i="1"/>
  <c r="AF453" i="1"/>
  <c r="AR452" i="1"/>
  <c r="AN452" i="1"/>
  <c r="AJ452" i="1"/>
  <c r="AF452" i="1"/>
  <c r="AQ452" i="1"/>
  <c r="AM452" i="1"/>
  <c r="AI452" i="1"/>
  <c r="AL452" i="1"/>
  <c r="AK452" i="1"/>
  <c r="AP452" i="1"/>
  <c r="AH452" i="1"/>
  <c r="AO452" i="1"/>
  <c r="AG452" i="1"/>
  <c r="AQ449" i="1"/>
  <c r="AM449" i="1"/>
  <c r="AI449" i="1"/>
  <c r="AP449" i="1"/>
  <c r="AL449" i="1"/>
  <c r="AH449" i="1"/>
  <c r="AK449" i="1"/>
  <c r="AR449" i="1"/>
  <c r="AJ449" i="1"/>
  <c r="AO449" i="1"/>
  <c r="AG449" i="1"/>
  <c r="AN449" i="1"/>
  <c r="AF449" i="1"/>
  <c r="AR448" i="1"/>
  <c r="AN448" i="1"/>
  <c r="AJ448" i="1"/>
  <c r="AF448" i="1"/>
  <c r="AQ448" i="1"/>
  <c r="AM448" i="1"/>
  <c r="AI448" i="1"/>
  <c r="AL448" i="1"/>
  <c r="AK448" i="1"/>
  <c r="AP448" i="1"/>
  <c r="AH448" i="1"/>
  <c r="AO448" i="1"/>
  <c r="AG448" i="1"/>
  <c r="AO441" i="1"/>
  <c r="AK441" i="1"/>
  <c r="AG441" i="1"/>
  <c r="AR441" i="1"/>
  <c r="AN441" i="1"/>
  <c r="AJ441" i="1"/>
  <c r="AF441" i="1"/>
  <c r="AQ441" i="1"/>
  <c r="AM441" i="1"/>
  <c r="AI441" i="1"/>
  <c r="AH441" i="1"/>
  <c r="AP441" i="1"/>
  <c r="AL441" i="1"/>
  <c r="AO437" i="1"/>
  <c r="AK437" i="1"/>
  <c r="AG437" i="1"/>
  <c r="AR437" i="1"/>
  <c r="AN437" i="1"/>
  <c r="AJ437" i="1"/>
  <c r="AF437" i="1"/>
  <c r="AQ437" i="1"/>
  <c r="AM437" i="1"/>
  <c r="AI437" i="1"/>
  <c r="AP437" i="1"/>
  <c r="AL437" i="1"/>
  <c r="AH437" i="1"/>
  <c r="AO429" i="1"/>
  <c r="AK429" i="1"/>
  <c r="AG429" i="1"/>
  <c r="AR429" i="1"/>
  <c r="AN429" i="1"/>
  <c r="AJ429" i="1"/>
  <c r="AF429" i="1"/>
  <c r="AQ429" i="1"/>
  <c r="AM429" i="1"/>
  <c r="AI429" i="1"/>
  <c r="AP429" i="1"/>
  <c r="AL429" i="1"/>
  <c r="AH429" i="1"/>
  <c r="AO425" i="1"/>
  <c r="AK425" i="1"/>
  <c r="AG425" i="1"/>
  <c r="AR425" i="1"/>
  <c r="AN425" i="1"/>
  <c r="AJ425" i="1"/>
  <c r="AF425" i="1"/>
  <c r="AQ425" i="1"/>
  <c r="AM425" i="1"/>
  <c r="AI425" i="1"/>
  <c r="AH425" i="1"/>
  <c r="AP425" i="1"/>
  <c r="AL425" i="1"/>
  <c r="AO421" i="1"/>
  <c r="AK421" i="1"/>
  <c r="AG421" i="1"/>
  <c r="AR421" i="1"/>
  <c r="AN421" i="1"/>
  <c r="AJ421" i="1"/>
  <c r="AF421" i="1"/>
  <c r="AQ421" i="1"/>
  <c r="AM421" i="1"/>
  <c r="AI421" i="1"/>
  <c r="AP421" i="1"/>
  <c r="AL421" i="1"/>
  <c r="AH421" i="1"/>
  <c r="AO417" i="1"/>
  <c r="AK417" i="1"/>
  <c r="AG417" i="1"/>
  <c r="AR417" i="1"/>
  <c r="AN417" i="1"/>
  <c r="AJ417" i="1"/>
  <c r="AF417" i="1"/>
  <c r="AQ417" i="1"/>
  <c r="AM417" i="1"/>
  <c r="AI417" i="1"/>
  <c r="AH417" i="1"/>
  <c r="AP417" i="1"/>
  <c r="AL417" i="1"/>
  <c r="AO413" i="1"/>
  <c r="AK413" i="1"/>
  <c r="AG413" i="1"/>
  <c r="AR413" i="1"/>
  <c r="AN413" i="1"/>
  <c r="AJ413" i="1"/>
  <c r="AF413" i="1"/>
  <c r="AQ413" i="1"/>
  <c r="AM413" i="1"/>
  <c r="AI413" i="1"/>
  <c r="AP413" i="1"/>
  <c r="AL413" i="1"/>
  <c r="AH413" i="1"/>
  <c r="AO409" i="1"/>
  <c r="AK409" i="1"/>
  <c r="AG409" i="1"/>
  <c r="AR409" i="1"/>
  <c r="AN409" i="1"/>
  <c r="AJ409" i="1"/>
  <c r="AF409" i="1"/>
  <c r="AQ409" i="1"/>
  <c r="AM409" i="1"/>
  <c r="AI409" i="1"/>
  <c r="AH409" i="1"/>
  <c r="AP409" i="1"/>
  <c r="AL409" i="1"/>
  <c r="AO405" i="1"/>
  <c r="AK405" i="1"/>
  <c r="AG405" i="1"/>
  <c r="AR405" i="1"/>
  <c r="AN405" i="1"/>
  <c r="AJ405" i="1"/>
  <c r="AF405" i="1"/>
  <c r="AQ405" i="1"/>
  <c r="AM405" i="1"/>
  <c r="AI405" i="1"/>
  <c r="AP405" i="1"/>
  <c r="AL405" i="1"/>
  <c r="AH405" i="1"/>
  <c r="AP561" i="1"/>
  <c r="AL561" i="1"/>
  <c r="AH561" i="1"/>
  <c r="AR561" i="1"/>
  <c r="AN561" i="1"/>
  <c r="AJ561" i="1"/>
  <c r="AF561" i="1"/>
  <c r="AQ561" i="1"/>
  <c r="AI561" i="1"/>
  <c r="AO561" i="1"/>
  <c r="AG561" i="1"/>
  <c r="AM561" i="1"/>
  <c r="AK561" i="1"/>
  <c r="AM542" i="1"/>
  <c r="AH542" i="1"/>
  <c r="AQ530" i="1"/>
  <c r="AK526" i="1"/>
  <c r="AP526" i="1"/>
  <c r="AM510" i="1"/>
  <c r="AH510" i="1"/>
  <c r="AR509" i="1"/>
  <c r="AQ498" i="1"/>
  <c r="AK494" i="1"/>
  <c r="AP494" i="1"/>
  <c r="AM478" i="1"/>
  <c r="AH478" i="1"/>
  <c r="AJ447" i="1"/>
  <c r="AK447" i="1"/>
  <c r="AP444" i="1"/>
  <c r="AL444" i="1"/>
  <c r="AH444" i="1"/>
  <c r="AO444" i="1"/>
  <c r="AK444" i="1"/>
  <c r="AG444" i="1"/>
  <c r="AR444" i="1"/>
  <c r="AN444" i="1"/>
  <c r="AJ444" i="1"/>
  <c r="AF444" i="1"/>
  <c r="AI444" i="1"/>
  <c r="AQ444" i="1"/>
  <c r="AM444" i="1"/>
  <c r="AR443" i="1"/>
  <c r="AP440" i="1"/>
  <c r="AL440" i="1"/>
  <c r="AH440" i="1"/>
  <c r="AO440" i="1"/>
  <c r="AK440" i="1"/>
  <c r="AG440" i="1"/>
  <c r="AR440" i="1"/>
  <c r="AN440" i="1"/>
  <c r="AJ440" i="1"/>
  <c r="AF440" i="1"/>
  <c r="AQ440" i="1"/>
  <c r="AM440" i="1"/>
  <c r="AI440" i="1"/>
  <c r="AN439" i="1"/>
  <c r="AP436" i="1"/>
  <c r="AL436" i="1"/>
  <c r="AH436" i="1"/>
  <c r="AO436" i="1"/>
  <c r="AK436" i="1"/>
  <c r="AG436" i="1"/>
  <c r="AR436" i="1"/>
  <c r="AN436" i="1"/>
  <c r="AJ436" i="1"/>
  <c r="AF436" i="1"/>
  <c r="AM436" i="1"/>
  <c r="AI436" i="1"/>
  <c r="AQ436" i="1"/>
  <c r="AR435" i="1"/>
  <c r="AF435" i="1"/>
  <c r="AP432" i="1"/>
  <c r="AL432" i="1"/>
  <c r="AH432" i="1"/>
  <c r="AO432" i="1"/>
  <c r="AK432" i="1"/>
  <c r="AG432" i="1"/>
  <c r="AR432" i="1"/>
  <c r="AN432" i="1"/>
  <c r="AJ432" i="1"/>
  <c r="AF432" i="1"/>
  <c r="AI432" i="1"/>
  <c r="AQ432" i="1"/>
  <c r="AM432" i="1"/>
  <c r="AR431" i="1"/>
  <c r="AP428" i="1"/>
  <c r="AL428" i="1"/>
  <c r="AH428" i="1"/>
  <c r="AO428" i="1"/>
  <c r="AK428" i="1"/>
  <c r="AG428" i="1"/>
  <c r="AR428" i="1"/>
  <c r="AN428" i="1"/>
  <c r="AJ428" i="1"/>
  <c r="AF428" i="1"/>
  <c r="AM428" i="1"/>
  <c r="AI428" i="1"/>
  <c r="AQ428" i="1"/>
  <c r="AR427" i="1"/>
  <c r="AF427" i="1"/>
  <c r="AP424" i="1"/>
  <c r="AL424" i="1"/>
  <c r="AH424" i="1"/>
  <c r="AO424" i="1"/>
  <c r="AK424" i="1"/>
  <c r="AG424" i="1"/>
  <c r="AR424" i="1"/>
  <c r="AN424" i="1"/>
  <c r="AJ424" i="1"/>
  <c r="AF424" i="1"/>
  <c r="AQ424" i="1"/>
  <c r="AM424" i="1"/>
  <c r="AI424" i="1"/>
  <c r="AP420" i="1"/>
  <c r="AL420" i="1"/>
  <c r="AH420" i="1"/>
  <c r="AO420" i="1"/>
  <c r="AK420" i="1"/>
  <c r="AG420" i="1"/>
  <c r="AR420" i="1"/>
  <c r="AN420" i="1"/>
  <c r="AJ420" i="1"/>
  <c r="AF420" i="1"/>
  <c r="AM420" i="1"/>
  <c r="AI420" i="1"/>
  <c r="AQ420" i="1"/>
  <c r="AR419" i="1"/>
  <c r="AF419" i="1"/>
  <c r="AP416" i="1"/>
  <c r="AL416" i="1"/>
  <c r="AH416" i="1"/>
  <c r="AO416" i="1"/>
  <c r="AK416" i="1"/>
  <c r="AG416" i="1"/>
  <c r="AR416" i="1"/>
  <c r="AN416" i="1"/>
  <c r="AJ416" i="1"/>
  <c r="AF416" i="1"/>
  <c r="AQ416" i="1"/>
  <c r="AM416" i="1"/>
  <c r="AI416" i="1"/>
  <c r="AP412" i="1"/>
  <c r="AL412" i="1"/>
  <c r="AH412" i="1"/>
  <c r="AO412" i="1"/>
  <c r="AK412" i="1"/>
  <c r="AG412" i="1"/>
  <c r="AR412" i="1"/>
  <c r="AN412" i="1"/>
  <c r="AJ412" i="1"/>
  <c r="AF412" i="1"/>
  <c r="AM412" i="1"/>
  <c r="AI412" i="1"/>
  <c r="AQ412" i="1"/>
  <c r="AR411" i="1"/>
  <c r="AF411" i="1"/>
  <c r="AP408" i="1"/>
  <c r="AL408" i="1"/>
  <c r="AH408" i="1"/>
  <c r="AO408" i="1"/>
  <c r="AK408" i="1"/>
  <c r="AG408" i="1"/>
  <c r="AR408" i="1"/>
  <c r="AN408" i="1"/>
  <c r="AJ408" i="1"/>
  <c r="AF408" i="1"/>
  <c r="AQ408" i="1"/>
  <c r="AM408" i="1"/>
  <c r="AI408" i="1"/>
  <c r="AP404" i="1"/>
  <c r="AL404" i="1"/>
  <c r="AH404" i="1"/>
  <c r="AO404" i="1"/>
  <c r="AK404" i="1"/>
  <c r="AG404" i="1"/>
  <c r="AR404" i="1"/>
  <c r="AN404" i="1"/>
  <c r="AJ404" i="1"/>
  <c r="AF404" i="1"/>
  <c r="AM404" i="1"/>
  <c r="AI404" i="1"/>
  <c r="AQ404" i="1"/>
  <c r="AR403" i="1"/>
  <c r="AF403" i="1"/>
  <c r="AP400" i="1"/>
  <c r="AL400" i="1"/>
  <c r="AH400" i="1"/>
  <c r="AO400" i="1"/>
  <c r="AK400" i="1"/>
  <c r="AG400" i="1"/>
  <c r="AR400" i="1"/>
  <c r="AN400" i="1"/>
  <c r="AJ400" i="1"/>
  <c r="AF400" i="1"/>
  <c r="AQ400" i="1"/>
  <c r="AM400" i="1"/>
  <c r="AI400" i="1"/>
  <c r="AF399" i="1"/>
  <c r="AR399" i="1"/>
  <c r="AJ399" i="1"/>
  <c r="AO396" i="1"/>
  <c r="AK396" i="1"/>
  <c r="AG396" i="1"/>
  <c r="AR396" i="1"/>
  <c r="AN396" i="1"/>
  <c r="AJ396" i="1"/>
  <c r="AF396" i="1"/>
  <c r="AM396" i="1"/>
  <c r="AL396" i="1"/>
  <c r="AQ396" i="1"/>
  <c r="AI396" i="1"/>
  <c r="AH396" i="1"/>
  <c r="AP396" i="1"/>
  <c r="AR395" i="1"/>
  <c r="AO392" i="1"/>
  <c r="AK392" i="1"/>
  <c r="AG392" i="1"/>
  <c r="AR392" i="1"/>
  <c r="AN392" i="1"/>
  <c r="AJ392" i="1"/>
  <c r="AF392" i="1"/>
  <c r="AM392" i="1"/>
  <c r="AL392" i="1"/>
  <c r="AQ392" i="1"/>
  <c r="AI392" i="1"/>
  <c r="AH392" i="1"/>
  <c r="AP392" i="1"/>
  <c r="AJ391" i="1"/>
  <c r="AR391" i="1"/>
  <c r="AO388" i="1"/>
  <c r="AK388" i="1"/>
  <c r="AG388" i="1"/>
  <c r="AR388" i="1"/>
  <c r="AN388" i="1"/>
  <c r="AJ388" i="1"/>
  <c r="AF388" i="1"/>
  <c r="AM388" i="1"/>
  <c r="AL388" i="1"/>
  <c r="AQ388" i="1"/>
  <c r="AI388" i="1"/>
  <c r="AH388" i="1"/>
  <c r="AP388" i="1"/>
  <c r="AR387" i="1"/>
  <c r="AO384" i="1"/>
  <c r="AK384" i="1"/>
  <c r="AG384" i="1"/>
  <c r="AR384" i="1"/>
  <c r="AN384" i="1"/>
  <c r="AJ384" i="1"/>
  <c r="AF384" i="1"/>
  <c r="AM384" i="1"/>
  <c r="AL384" i="1"/>
  <c r="AQ384" i="1"/>
  <c r="AI384" i="1"/>
  <c r="AH384" i="1"/>
  <c r="AP384" i="1"/>
  <c r="AJ383" i="1"/>
  <c r="AR383" i="1"/>
  <c r="AO380" i="1"/>
  <c r="AK380" i="1"/>
  <c r="AG380" i="1"/>
  <c r="AR380" i="1"/>
  <c r="AN380" i="1"/>
  <c r="AJ380" i="1"/>
  <c r="AF380" i="1"/>
  <c r="AM380" i="1"/>
  <c r="AL380" i="1"/>
  <c r="AQ380" i="1"/>
  <c r="AI380" i="1"/>
  <c r="AH380" i="1"/>
  <c r="AP380" i="1"/>
  <c r="AR379" i="1"/>
  <c r="AO376" i="1"/>
  <c r="AK376" i="1"/>
  <c r="AG376" i="1"/>
  <c r="AR376" i="1"/>
  <c r="AN376" i="1"/>
  <c r="AJ376" i="1"/>
  <c r="AF376" i="1"/>
  <c r="AM376" i="1"/>
  <c r="AL376" i="1"/>
  <c r="AQ376" i="1"/>
  <c r="AI376" i="1"/>
  <c r="AH376" i="1"/>
  <c r="AP376" i="1"/>
  <c r="AJ375" i="1"/>
  <c r="AR375" i="1"/>
  <c r="AO372" i="1"/>
  <c r="AK372" i="1"/>
  <c r="AG372" i="1"/>
  <c r="AR372" i="1"/>
  <c r="AN372" i="1"/>
  <c r="AJ372" i="1"/>
  <c r="AF372" i="1"/>
  <c r="AM372" i="1"/>
  <c r="AL372" i="1"/>
  <c r="AQ372" i="1"/>
  <c r="AI372" i="1"/>
  <c r="AH372" i="1"/>
  <c r="AP372" i="1"/>
  <c r="AR371" i="1"/>
  <c r="AO368" i="1"/>
  <c r="AK368" i="1"/>
  <c r="AG368" i="1"/>
  <c r="AR368" i="1"/>
  <c r="AN368" i="1"/>
  <c r="AJ368" i="1"/>
  <c r="AF368" i="1"/>
  <c r="AM368" i="1"/>
  <c r="AL368" i="1"/>
  <c r="AQ368" i="1"/>
  <c r="AI368" i="1"/>
  <c r="AH368" i="1"/>
  <c r="AP368" i="1"/>
  <c r="AJ367" i="1"/>
  <c r="AR367" i="1"/>
  <c r="AO364" i="1"/>
  <c r="AK364" i="1"/>
  <c r="AG364" i="1"/>
  <c r="AR364" i="1"/>
  <c r="AN364" i="1"/>
  <c r="AJ364" i="1"/>
  <c r="AF364" i="1"/>
  <c r="AM364" i="1"/>
  <c r="AL364" i="1"/>
  <c r="AQ364" i="1"/>
  <c r="AI364" i="1"/>
  <c r="AH364" i="1"/>
  <c r="AP364" i="1"/>
  <c r="AR363" i="1"/>
  <c r="AO360" i="1"/>
  <c r="AK360" i="1"/>
  <c r="AG360" i="1"/>
  <c r="AR360" i="1"/>
  <c r="AN360" i="1"/>
  <c r="AJ360" i="1"/>
  <c r="AF360" i="1"/>
  <c r="AM360" i="1"/>
  <c r="AL360" i="1"/>
  <c r="AQ360" i="1"/>
  <c r="AI360" i="1"/>
  <c r="AH360" i="1"/>
  <c r="AP360" i="1"/>
  <c r="AJ359" i="1"/>
  <c r="AR359" i="1"/>
  <c r="AO356" i="1"/>
  <c r="AK356" i="1"/>
  <c r="AG356" i="1"/>
  <c r="AR356" i="1"/>
  <c r="AN356" i="1"/>
  <c r="AJ356" i="1"/>
  <c r="AF356" i="1"/>
  <c r="AM356" i="1"/>
  <c r="AL356" i="1"/>
  <c r="AQ356" i="1"/>
  <c r="AI356" i="1"/>
  <c r="AH356" i="1"/>
  <c r="AP356" i="1"/>
  <c r="AR355" i="1"/>
  <c r="AO352" i="1"/>
  <c r="AK352" i="1"/>
  <c r="AG352" i="1"/>
  <c r="AR352" i="1"/>
  <c r="AN352" i="1"/>
  <c r="AJ352" i="1"/>
  <c r="AF352" i="1"/>
  <c r="AM352" i="1"/>
  <c r="AL352" i="1"/>
  <c r="AQ352" i="1"/>
  <c r="AI352" i="1"/>
  <c r="AP352" i="1"/>
  <c r="AH352" i="1"/>
  <c r="AR351" i="1"/>
  <c r="AJ351" i="1"/>
  <c r="AO348" i="1"/>
  <c r="AK348" i="1"/>
  <c r="AG348" i="1"/>
  <c r="AR348" i="1"/>
  <c r="AN348" i="1"/>
  <c r="AJ348" i="1"/>
  <c r="AF348" i="1"/>
  <c r="AQ348" i="1"/>
  <c r="AI348" i="1"/>
  <c r="AP348" i="1"/>
  <c r="AH348" i="1"/>
  <c r="AM348" i="1"/>
  <c r="AL348" i="1"/>
  <c r="AM347" i="1"/>
  <c r="AN347" i="1"/>
  <c r="AF347" i="1"/>
  <c r="AO344" i="1"/>
  <c r="AK344" i="1"/>
  <c r="AG344" i="1"/>
  <c r="AR344" i="1"/>
  <c r="AN344" i="1"/>
  <c r="AJ344" i="1"/>
  <c r="AF344" i="1"/>
  <c r="AQ344" i="1"/>
  <c r="AI344" i="1"/>
  <c r="AP344" i="1"/>
  <c r="AH344" i="1"/>
  <c r="AM344" i="1"/>
  <c r="AL344" i="1"/>
  <c r="AM343" i="1"/>
  <c r="AN343" i="1"/>
  <c r="AF343" i="1"/>
  <c r="AO340" i="1"/>
  <c r="AK340" i="1"/>
  <c r="AG340" i="1"/>
  <c r="AR340" i="1"/>
  <c r="AN340" i="1"/>
  <c r="AJ340" i="1"/>
  <c r="AF340" i="1"/>
  <c r="AQ340" i="1"/>
  <c r="AI340" i="1"/>
  <c r="AP340" i="1"/>
  <c r="AH340" i="1"/>
  <c r="AM340" i="1"/>
  <c r="AL340" i="1"/>
  <c r="AM339" i="1"/>
  <c r="AN339" i="1"/>
  <c r="AF339" i="1"/>
  <c r="AO336" i="1"/>
  <c r="AK336" i="1"/>
  <c r="AG336" i="1"/>
  <c r="AR336" i="1"/>
  <c r="AN336" i="1"/>
  <c r="AJ336" i="1"/>
  <c r="AF336" i="1"/>
  <c r="AQ336" i="1"/>
  <c r="AI336" i="1"/>
  <c r="AP336" i="1"/>
  <c r="AH336" i="1"/>
  <c r="AM336" i="1"/>
  <c r="AL336" i="1"/>
  <c r="AM335" i="1"/>
  <c r="AN335" i="1"/>
  <c r="AF335" i="1"/>
  <c r="AO332" i="1"/>
  <c r="AK332" i="1"/>
  <c r="AG332" i="1"/>
  <c r="AR332" i="1"/>
  <c r="AN332" i="1"/>
  <c r="AJ332" i="1"/>
  <c r="AF332" i="1"/>
  <c r="AQ332" i="1"/>
  <c r="AI332" i="1"/>
  <c r="AP332" i="1"/>
  <c r="AH332" i="1"/>
  <c r="AM332" i="1"/>
  <c r="AL332" i="1"/>
  <c r="AM331" i="1"/>
  <c r="AN331" i="1"/>
  <c r="AF331" i="1"/>
  <c r="AO328" i="1"/>
  <c r="AK328" i="1"/>
  <c r="AG328" i="1"/>
  <c r="AR328" i="1"/>
  <c r="AN328" i="1"/>
  <c r="AJ328" i="1"/>
  <c r="AF328" i="1"/>
  <c r="AQ328" i="1"/>
  <c r="AI328" i="1"/>
  <c r="AP328" i="1"/>
  <c r="AH328" i="1"/>
  <c r="AM328" i="1"/>
  <c r="AL328" i="1"/>
  <c r="AM327" i="1"/>
  <c r="AN327" i="1"/>
  <c r="AF327" i="1"/>
  <c r="AO324" i="1"/>
  <c r="AK324" i="1"/>
  <c r="AG324" i="1"/>
  <c r="AR324" i="1"/>
  <c r="AN324" i="1"/>
  <c r="AJ324" i="1"/>
  <c r="AF324" i="1"/>
  <c r="AQ324" i="1"/>
  <c r="AI324" i="1"/>
  <c r="AP324" i="1"/>
  <c r="AH324" i="1"/>
  <c r="AM324" i="1"/>
  <c r="AL324" i="1"/>
  <c r="AM323" i="1"/>
  <c r="AN323" i="1"/>
  <c r="AF323" i="1"/>
  <c r="AO320" i="1"/>
  <c r="AK320" i="1"/>
  <c r="AG320" i="1"/>
  <c r="AR320" i="1"/>
  <c r="AN320" i="1"/>
  <c r="AJ320" i="1"/>
  <c r="AF320" i="1"/>
  <c r="AQ320" i="1"/>
  <c r="AI320" i="1"/>
  <c r="AP320" i="1"/>
  <c r="AH320" i="1"/>
  <c r="AM320" i="1"/>
  <c r="AL320" i="1"/>
  <c r="AM319" i="1"/>
  <c r="AQ319" i="1"/>
  <c r="AI319" i="1"/>
  <c r="AN319" i="1"/>
  <c r="AF319" i="1"/>
  <c r="AO316" i="1"/>
  <c r="AK316" i="1"/>
  <c r="AG316" i="1"/>
  <c r="AR316" i="1"/>
  <c r="AN316" i="1"/>
  <c r="AJ316" i="1"/>
  <c r="AF316" i="1"/>
  <c r="AQ316" i="1"/>
  <c r="AI316" i="1"/>
  <c r="AP316" i="1"/>
  <c r="AH316" i="1"/>
  <c r="AM316" i="1"/>
  <c r="AL316" i="1"/>
  <c r="AM315" i="1"/>
  <c r="AQ315" i="1"/>
  <c r="AI315" i="1"/>
  <c r="AN315" i="1"/>
  <c r="AF315" i="1"/>
  <c r="AO312" i="1"/>
  <c r="AK312" i="1"/>
  <c r="AG312" i="1"/>
  <c r="AR312" i="1"/>
  <c r="AN312" i="1"/>
  <c r="AJ312" i="1"/>
  <c r="AF312" i="1"/>
  <c r="AQ312" i="1"/>
  <c r="AI312" i="1"/>
  <c r="AP312" i="1"/>
  <c r="AH312" i="1"/>
  <c r="AM312" i="1"/>
  <c r="AL312" i="1"/>
  <c r="AM311" i="1"/>
  <c r="AQ311" i="1"/>
  <c r="AI311" i="1"/>
  <c r="AN311" i="1"/>
  <c r="AF311" i="1"/>
  <c r="AO308" i="1"/>
  <c r="AK308" i="1"/>
  <c r="AG308" i="1"/>
  <c r="AR308" i="1"/>
  <c r="AN308" i="1"/>
  <c r="AJ308" i="1"/>
  <c r="AF308" i="1"/>
  <c r="AQ308" i="1"/>
  <c r="AI308" i="1"/>
  <c r="AP308" i="1"/>
  <c r="AH308" i="1"/>
  <c r="AM308" i="1"/>
  <c r="AL308" i="1"/>
  <c r="AM307" i="1"/>
  <c r="AQ307" i="1"/>
  <c r="AI307" i="1"/>
  <c r="AN307" i="1"/>
  <c r="AF307" i="1"/>
  <c r="AO304" i="1"/>
  <c r="AK304" i="1"/>
  <c r="AG304" i="1"/>
  <c r="AR304" i="1"/>
  <c r="AN304" i="1"/>
  <c r="AJ304" i="1"/>
  <c r="AF304" i="1"/>
  <c r="AQ304" i="1"/>
  <c r="AI304" i="1"/>
  <c r="AP304" i="1"/>
  <c r="AH304" i="1"/>
  <c r="AM304" i="1"/>
  <c r="AL304" i="1"/>
  <c r="AM303" i="1"/>
  <c r="AQ303" i="1"/>
  <c r="AI303" i="1"/>
  <c r="AN303" i="1"/>
  <c r="AF303" i="1"/>
  <c r="AO300" i="1"/>
  <c r="AK300" i="1"/>
  <c r="AG300" i="1"/>
  <c r="AR300" i="1"/>
  <c r="AN300" i="1"/>
  <c r="AJ300" i="1"/>
  <c r="AF300" i="1"/>
  <c r="AQ300" i="1"/>
  <c r="AI300" i="1"/>
  <c r="AP300" i="1"/>
  <c r="AH300" i="1"/>
  <c r="AM300" i="1"/>
  <c r="AL300" i="1"/>
  <c r="AM299" i="1"/>
  <c r="AQ299" i="1"/>
  <c r="AI299" i="1"/>
  <c r="AN299" i="1"/>
  <c r="AF299" i="1"/>
  <c r="AO296" i="1"/>
  <c r="AK296" i="1"/>
  <c r="AG296" i="1"/>
  <c r="AR296" i="1"/>
  <c r="AN296" i="1"/>
  <c r="AJ296" i="1"/>
  <c r="AF296" i="1"/>
  <c r="AQ296" i="1"/>
  <c r="AI296" i="1"/>
  <c r="AP296" i="1"/>
  <c r="AH296" i="1"/>
  <c r="AM296" i="1"/>
  <c r="AL296" i="1"/>
  <c r="AM295" i="1"/>
  <c r="AQ295" i="1"/>
  <c r="AI295" i="1"/>
  <c r="AN295" i="1"/>
  <c r="AF295" i="1"/>
  <c r="AO292" i="1"/>
  <c r="AK292" i="1"/>
  <c r="AG292" i="1"/>
  <c r="AR292" i="1"/>
  <c r="AN292" i="1"/>
  <c r="AJ292" i="1"/>
  <c r="AF292" i="1"/>
  <c r="AQ292" i="1"/>
  <c r="AI292" i="1"/>
  <c r="AP292" i="1"/>
  <c r="AH292" i="1"/>
  <c r="AM292" i="1"/>
  <c r="AL292" i="1"/>
  <c r="AM291" i="1"/>
  <c r="AQ291" i="1"/>
  <c r="AI291" i="1"/>
  <c r="AN291" i="1"/>
  <c r="AF291" i="1"/>
  <c r="AO288" i="1"/>
  <c r="AK288" i="1"/>
  <c r="AG288" i="1"/>
  <c r="AR288" i="1"/>
  <c r="AN288" i="1"/>
  <c r="AJ288" i="1"/>
  <c r="AF288" i="1"/>
  <c r="AQ288" i="1"/>
  <c r="AI288" i="1"/>
  <c r="AP288" i="1"/>
  <c r="AH288" i="1"/>
  <c r="AM288" i="1"/>
  <c r="AL288" i="1"/>
  <c r="AM287" i="1"/>
  <c r="AQ287" i="1"/>
  <c r="AI287" i="1"/>
  <c r="AN287" i="1"/>
  <c r="AF287" i="1"/>
  <c r="AO284" i="1"/>
  <c r="AK284" i="1"/>
  <c r="AG284" i="1"/>
  <c r="AR284" i="1"/>
  <c r="AN284" i="1"/>
  <c r="AJ284" i="1"/>
  <c r="AF284" i="1"/>
  <c r="AQ284" i="1"/>
  <c r="AI284" i="1"/>
  <c r="AP284" i="1"/>
  <c r="AH284" i="1"/>
  <c r="AM284" i="1"/>
  <c r="AL284" i="1"/>
  <c r="AQ271" i="1"/>
  <c r="AI271" i="1"/>
  <c r="AR271" i="1"/>
  <c r="AJ271" i="1"/>
  <c r="AO268" i="1"/>
  <c r="AK268" i="1"/>
  <c r="AG268" i="1"/>
  <c r="AR268" i="1"/>
  <c r="AN268" i="1"/>
  <c r="AJ268" i="1"/>
  <c r="AF268" i="1"/>
  <c r="AQ268" i="1"/>
  <c r="AI268" i="1"/>
  <c r="AP268" i="1"/>
  <c r="AH268" i="1"/>
  <c r="AM268" i="1"/>
  <c r="AL268" i="1"/>
  <c r="AQ255" i="1"/>
  <c r="AI255" i="1"/>
  <c r="AR255" i="1"/>
  <c r="AJ255" i="1"/>
  <c r="AO252" i="1"/>
  <c r="AK252" i="1"/>
  <c r="AG252" i="1"/>
  <c r="AR252" i="1"/>
  <c r="AN252" i="1"/>
  <c r="AJ252" i="1"/>
  <c r="AF252" i="1"/>
  <c r="AQ252" i="1"/>
  <c r="AI252" i="1"/>
  <c r="AP252" i="1"/>
  <c r="AH252" i="1"/>
  <c r="AM252" i="1"/>
  <c r="AL252" i="1"/>
  <c r="AF239" i="1"/>
  <c r="AR239" i="1"/>
  <c r="AL239" i="1"/>
  <c r="AR541" i="1"/>
  <c r="AP541" i="1"/>
  <c r="AN525" i="1"/>
  <c r="AL525" i="1"/>
  <c r="AK501" i="1"/>
  <c r="AO501" i="1"/>
  <c r="AI501" i="1"/>
  <c r="AR485" i="1"/>
  <c r="AR482" i="1"/>
  <c r="AN477" i="1"/>
  <c r="AL477" i="1"/>
  <c r="AL443" i="1"/>
  <c r="AQ443" i="1"/>
  <c r="AN431" i="1"/>
  <c r="AH431" i="1"/>
  <c r="AM431" i="1"/>
  <c r="AO283" i="1"/>
  <c r="AO275" i="1"/>
  <c r="AO267" i="1"/>
  <c r="AO259" i="1"/>
  <c r="AO251" i="1"/>
  <c r="AO243" i="1"/>
  <c r="AK239" i="1"/>
  <c r="AJ235" i="1"/>
  <c r="AP231" i="1"/>
  <c r="AO231" i="1"/>
  <c r="AK227" i="1"/>
  <c r="AN592" i="1"/>
  <c r="AL592" i="1"/>
  <c r="AR540" i="1"/>
  <c r="AN540" i="1"/>
  <c r="AJ540" i="1"/>
  <c r="AF540" i="1"/>
  <c r="AQ540" i="1"/>
  <c r="AM540" i="1"/>
  <c r="AI540" i="1"/>
  <c r="AP540" i="1"/>
  <c r="AH540" i="1"/>
  <c r="AO540" i="1"/>
  <c r="AG540" i="1"/>
  <c r="AL540" i="1"/>
  <c r="AK540" i="1"/>
  <c r="AR476" i="1"/>
  <c r="AN476" i="1"/>
  <c r="AJ476" i="1"/>
  <c r="AF476" i="1"/>
  <c r="AQ476" i="1"/>
  <c r="AM476" i="1"/>
  <c r="AI476" i="1"/>
  <c r="AP476" i="1"/>
  <c r="AH476" i="1"/>
  <c r="AO476" i="1"/>
  <c r="AG476" i="1"/>
  <c r="AL476" i="1"/>
  <c r="AK476" i="1"/>
  <c r="AK435" i="1"/>
  <c r="AP435" i="1"/>
  <c r="AK427" i="1"/>
  <c r="AP427" i="1"/>
  <c r="AR426" i="1"/>
  <c r="AN426" i="1"/>
  <c r="AJ426" i="1"/>
  <c r="AF426" i="1"/>
  <c r="AQ426" i="1"/>
  <c r="AM426" i="1"/>
  <c r="AI426" i="1"/>
  <c r="AP426" i="1"/>
  <c r="AL426" i="1"/>
  <c r="AH426" i="1"/>
  <c r="AO426" i="1"/>
  <c r="AK426" i="1"/>
  <c r="AG426" i="1"/>
  <c r="AO419" i="1"/>
  <c r="AI419" i="1"/>
  <c r="AN411" i="1"/>
  <c r="AH411" i="1"/>
  <c r="AM411" i="1"/>
  <c r="AL403" i="1"/>
  <c r="AQ403" i="1"/>
  <c r="AJ347" i="1"/>
  <c r="AH347" i="1"/>
  <c r="AR343" i="1"/>
  <c r="AO343" i="1"/>
  <c r="AK339" i="1"/>
  <c r="AP339" i="1"/>
  <c r="AL335" i="1"/>
  <c r="AJ331" i="1"/>
  <c r="AH331" i="1"/>
  <c r="AR327" i="1"/>
  <c r="AO327" i="1"/>
  <c r="AK323" i="1"/>
  <c r="AP323" i="1"/>
  <c r="AR319" i="1"/>
  <c r="AO319" i="1"/>
  <c r="AJ315" i="1"/>
  <c r="AH315" i="1"/>
  <c r="AL311" i="1"/>
  <c r="AK307" i="1"/>
  <c r="AP307" i="1"/>
  <c r="AR303" i="1"/>
  <c r="AO303" i="1"/>
  <c r="AJ299" i="1"/>
  <c r="AH299" i="1"/>
  <c r="AL295" i="1"/>
  <c r="AK291" i="1"/>
  <c r="AP291" i="1"/>
  <c r="AR287" i="1"/>
  <c r="AO287" i="1"/>
  <c r="AQ274" i="1"/>
  <c r="AM274" i="1"/>
  <c r="AI274" i="1"/>
  <c r="AP274" i="1"/>
  <c r="AL274" i="1"/>
  <c r="AH274" i="1"/>
  <c r="AK274" i="1"/>
  <c r="AR274" i="1"/>
  <c r="AJ274" i="1"/>
  <c r="AO274" i="1"/>
  <c r="AG274" i="1"/>
  <c r="AN274" i="1"/>
  <c r="AF274" i="1"/>
  <c r="AR273" i="1"/>
  <c r="AN273" i="1"/>
  <c r="AJ273" i="1"/>
  <c r="AF273" i="1"/>
  <c r="AQ273" i="1"/>
  <c r="AM273" i="1"/>
  <c r="AI273" i="1"/>
  <c r="AL273" i="1"/>
  <c r="AK273" i="1"/>
  <c r="AP273" i="1"/>
  <c r="AH273" i="1"/>
  <c r="AG273" i="1"/>
  <c r="AO273" i="1"/>
  <c r="AN271" i="1"/>
  <c r="AF263" i="1"/>
  <c r="AJ259" i="1"/>
  <c r="AQ242" i="1"/>
  <c r="AM242" i="1"/>
  <c r="AI242" i="1"/>
  <c r="AP242" i="1"/>
  <c r="AL242" i="1"/>
  <c r="AH242" i="1"/>
  <c r="AK242" i="1"/>
  <c r="AR242" i="1"/>
  <c r="AJ242" i="1"/>
  <c r="AO242" i="1"/>
  <c r="AG242" i="1"/>
  <c r="AN242" i="1"/>
  <c r="AF242" i="1"/>
  <c r="AR241" i="1"/>
  <c r="AN241" i="1"/>
  <c r="AJ241" i="1"/>
  <c r="AF241" i="1"/>
  <c r="AQ241" i="1"/>
  <c r="AM241" i="1"/>
  <c r="AI241" i="1"/>
  <c r="AL241" i="1"/>
  <c r="AK241" i="1"/>
  <c r="AP241" i="1"/>
  <c r="AH241" i="1"/>
  <c r="AG241" i="1"/>
  <c r="AO241" i="1"/>
  <c r="AI239" i="1"/>
  <c r="AI235" i="1"/>
  <c r="AI231" i="1"/>
  <c r="AI227" i="1"/>
  <c r="AK225" i="1"/>
  <c r="AO222" i="1"/>
  <c r="AK222" i="1"/>
  <c r="AG222" i="1"/>
  <c r="AR222" i="1"/>
  <c r="AN222" i="1"/>
  <c r="AJ222" i="1"/>
  <c r="AF222" i="1"/>
  <c r="AQ222" i="1"/>
  <c r="AM222" i="1"/>
  <c r="AI222" i="1"/>
  <c r="AH222" i="1"/>
  <c r="AP222" i="1"/>
  <c r="AL222" i="1"/>
  <c r="AK217" i="1"/>
  <c r="AO214" i="1"/>
  <c r="AK214" i="1"/>
  <c r="AG214" i="1"/>
  <c r="AR214" i="1"/>
  <c r="AN214" i="1"/>
  <c r="AJ214" i="1"/>
  <c r="AF214" i="1"/>
  <c r="AQ214" i="1"/>
  <c r="AM214" i="1"/>
  <c r="AI214" i="1"/>
  <c r="AH214" i="1"/>
  <c r="AP214" i="1"/>
  <c r="AL214" i="1"/>
  <c r="AK209" i="1"/>
  <c r="AO206" i="1"/>
  <c r="AK206" i="1"/>
  <c r="AG206" i="1"/>
  <c r="AR206" i="1"/>
  <c r="AN206" i="1"/>
  <c r="AJ206" i="1"/>
  <c r="AF206" i="1"/>
  <c r="AQ206" i="1"/>
  <c r="AM206" i="1"/>
  <c r="AI206" i="1"/>
  <c r="AH206" i="1"/>
  <c r="AP206" i="1"/>
  <c r="AL206" i="1"/>
  <c r="AK201" i="1"/>
  <c r="AO198" i="1"/>
  <c r="AK198" i="1"/>
  <c r="AG198" i="1"/>
  <c r="AR198" i="1"/>
  <c r="AN198" i="1"/>
  <c r="AJ198" i="1"/>
  <c r="AF198" i="1"/>
  <c r="AQ198" i="1"/>
  <c r="AM198" i="1"/>
  <c r="AI198" i="1"/>
  <c r="AH198" i="1"/>
  <c r="AP198" i="1"/>
  <c r="AL198" i="1"/>
  <c r="AK193" i="1"/>
  <c r="AO190" i="1"/>
  <c r="AK190" i="1"/>
  <c r="AG190" i="1"/>
  <c r="AR190" i="1"/>
  <c r="AN190" i="1"/>
  <c r="AJ190" i="1"/>
  <c r="AF190" i="1"/>
  <c r="AQ190" i="1"/>
  <c r="AM190" i="1"/>
  <c r="AI190" i="1"/>
  <c r="AH190" i="1"/>
  <c r="AP190" i="1"/>
  <c r="AL190" i="1"/>
  <c r="AK185" i="1"/>
  <c r="AK177" i="1"/>
  <c r="AK169" i="1"/>
  <c r="AK161" i="1"/>
  <c r="AP549" i="1"/>
  <c r="AR549" i="1"/>
  <c r="AF533" i="1"/>
  <c r="AH533" i="1"/>
  <c r="AM533" i="1"/>
  <c r="AK517" i="1"/>
  <c r="AO517" i="1"/>
  <c r="AI517" i="1"/>
  <c r="AN493" i="1"/>
  <c r="AL493" i="1"/>
  <c r="AQ493" i="1"/>
  <c r="AL399" i="1"/>
  <c r="AQ399" i="1"/>
  <c r="AR342" i="1"/>
  <c r="AI335" i="1"/>
  <c r="AR326" i="1"/>
  <c r="AQ283" i="1"/>
  <c r="AK279" i="1"/>
  <c r="AP279" i="1"/>
  <c r="AL271" i="1"/>
  <c r="AM263" i="1"/>
  <c r="AH263" i="1"/>
  <c r="AI259" i="1"/>
  <c r="AO255" i="1"/>
  <c r="AQ251" i="1"/>
  <c r="AK247" i="1"/>
  <c r="AP247" i="1"/>
  <c r="AH239" i="1"/>
  <c r="AR231" i="1"/>
  <c r="AO229" i="1"/>
  <c r="AM227" i="1"/>
  <c r="AF225" i="1"/>
  <c r="AF221" i="1"/>
  <c r="AF217" i="1"/>
  <c r="AF213" i="1"/>
  <c r="AF209" i="1"/>
  <c r="AF205" i="1"/>
  <c r="AF201" i="1"/>
  <c r="AF197" i="1"/>
  <c r="AF193" i="1"/>
  <c r="AF189" i="1"/>
  <c r="AF185" i="1"/>
  <c r="AF181" i="1"/>
  <c r="AF177" i="1"/>
  <c r="AF173" i="1"/>
  <c r="AF169" i="1"/>
  <c r="AF165" i="1"/>
  <c r="AF161" i="1"/>
  <c r="AF157" i="1"/>
  <c r="AN156" i="1"/>
  <c r="AF156" i="1"/>
  <c r="AM156" i="1"/>
  <c r="AQ156" i="1"/>
  <c r="AI156" i="1"/>
  <c r="AO153" i="1"/>
  <c r="AK153" i="1"/>
  <c r="AG153" i="1"/>
  <c r="AR153" i="1"/>
  <c r="AN153" i="1"/>
  <c r="AJ153" i="1"/>
  <c r="AF153" i="1"/>
  <c r="AL153" i="1"/>
  <c r="AQ153" i="1"/>
  <c r="AI153" i="1"/>
  <c r="AP153" i="1"/>
  <c r="AH153" i="1"/>
  <c r="AM153" i="1"/>
  <c r="AN152" i="1"/>
  <c r="AF152" i="1"/>
  <c r="AM152" i="1"/>
  <c r="AQ152" i="1"/>
  <c r="AI152" i="1"/>
  <c r="AO149" i="1"/>
  <c r="AK149" i="1"/>
  <c r="AG149" i="1"/>
  <c r="AR149" i="1"/>
  <c r="AN149" i="1"/>
  <c r="AJ149" i="1"/>
  <c r="AF149" i="1"/>
  <c r="AL149" i="1"/>
  <c r="AQ149" i="1"/>
  <c r="AI149" i="1"/>
  <c r="AP149" i="1"/>
  <c r="AH149" i="1"/>
  <c r="AM149" i="1"/>
  <c r="AN148" i="1"/>
  <c r="AF148" i="1"/>
  <c r="AM148" i="1"/>
  <c r="AQ148" i="1"/>
  <c r="AI148" i="1"/>
  <c r="AO145" i="1"/>
  <c r="AK145" i="1"/>
  <c r="AG145" i="1"/>
  <c r="AR145" i="1"/>
  <c r="AN145" i="1"/>
  <c r="AJ145" i="1"/>
  <c r="AF145" i="1"/>
  <c r="AL145" i="1"/>
  <c r="AQ145" i="1"/>
  <c r="AI145" i="1"/>
  <c r="AP145" i="1"/>
  <c r="AH145" i="1"/>
  <c r="AM145" i="1"/>
  <c r="AN144" i="1"/>
  <c r="AF144" i="1"/>
  <c r="AM144" i="1"/>
  <c r="AQ144" i="1"/>
  <c r="AI144" i="1"/>
  <c r="AO141" i="1"/>
  <c r="AK141" i="1"/>
  <c r="AG141" i="1"/>
  <c r="AR141" i="1"/>
  <c r="AN141" i="1"/>
  <c r="AJ141" i="1"/>
  <c r="AF141" i="1"/>
  <c r="AL141" i="1"/>
  <c r="AQ141" i="1"/>
  <c r="AI141" i="1"/>
  <c r="AP141" i="1"/>
  <c r="AH141" i="1"/>
  <c r="AM141" i="1"/>
  <c r="AN140" i="1"/>
  <c r="AF140" i="1"/>
  <c r="AM140" i="1"/>
  <c r="AQ140" i="1"/>
  <c r="AI140" i="1"/>
  <c r="AO137" i="1"/>
  <c r="AK137" i="1"/>
  <c r="AG137" i="1"/>
  <c r="AR137" i="1"/>
  <c r="AN137" i="1"/>
  <c r="AJ137" i="1"/>
  <c r="AF137" i="1"/>
  <c r="AL137" i="1"/>
  <c r="AQ137" i="1"/>
  <c r="AI137" i="1"/>
  <c r="AP137" i="1"/>
  <c r="AH137" i="1"/>
  <c r="AM137" i="1"/>
  <c r="AN136" i="1"/>
  <c r="AF136" i="1"/>
  <c r="AM136" i="1"/>
  <c r="AQ136" i="1"/>
  <c r="AI136" i="1"/>
  <c r="AO133" i="1"/>
  <c r="AK133" i="1"/>
  <c r="AG133" i="1"/>
  <c r="AR133" i="1"/>
  <c r="AN133" i="1"/>
  <c r="AJ133" i="1"/>
  <c r="AF133" i="1"/>
  <c r="AL133" i="1"/>
  <c r="AQ133" i="1"/>
  <c r="AI133" i="1"/>
  <c r="AP133" i="1"/>
  <c r="AH133" i="1"/>
  <c r="AM133" i="1"/>
  <c r="AN132" i="1"/>
  <c r="AF132" i="1"/>
  <c r="AM132" i="1"/>
  <c r="AQ132" i="1"/>
  <c r="AI132" i="1"/>
  <c r="AO129" i="1"/>
  <c r="AK129" i="1"/>
  <c r="AG129" i="1"/>
  <c r="AR129" i="1"/>
  <c r="AN129" i="1"/>
  <c r="AJ129" i="1"/>
  <c r="AF129" i="1"/>
  <c r="AL129" i="1"/>
  <c r="AQ129" i="1"/>
  <c r="AI129" i="1"/>
  <c r="AP129" i="1"/>
  <c r="AH129" i="1"/>
  <c r="AM129" i="1"/>
  <c r="AN128" i="1"/>
  <c r="AF128" i="1"/>
  <c r="AM128" i="1"/>
  <c r="AQ128" i="1"/>
  <c r="AI128" i="1"/>
  <c r="AO125" i="1"/>
  <c r="AK125" i="1"/>
  <c r="AG125" i="1"/>
  <c r="AR125" i="1"/>
  <c r="AN125" i="1"/>
  <c r="AJ125" i="1"/>
  <c r="AF125" i="1"/>
  <c r="AL125" i="1"/>
  <c r="AQ125" i="1"/>
  <c r="AI125" i="1"/>
  <c r="AP125" i="1"/>
  <c r="AH125" i="1"/>
  <c r="AM125" i="1"/>
  <c r="AN124" i="1"/>
  <c r="AF124" i="1"/>
  <c r="AM124" i="1"/>
  <c r="AQ124" i="1"/>
  <c r="AI124" i="1"/>
  <c r="AO121" i="1"/>
  <c r="AK121" i="1"/>
  <c r="AG121" i="1"/>
  <c r="AR121" i="1"/>
  <c r="AN121" i="1"/>
  <c r="AJ121" i="1"/>
  <c r="AF121" i="1"/>
  <c r="AM121" i="1"/>
  <c r="AL121" i="1"/>
  <c r="AQ121" i="1"/>
  <c r="AI121" i="1"/>
  <c r="AP121" i="1"/>
  <c r="AH121" i="1"/>
  <c r="AN120" i="1"/>
  <c r="AF120" i="1"/>
  <c r="AO117" i="1"/>
  <c r="AK117" i="1"/>
  <c r="AG117" i="1"/>
  <c r="AR117" i="1"/>
  <c r="AN117" i="1"/>
  <c r="AJ117" i="1"/>
  <c r="AF117" i="1"/>
  <c r="AL117" i="1"/>
  <c r="AQ117" i="1"/>
  <c r="AI117" i="1"/>
  <c r="AP117" i="1"/>
  <c r="AH117" i="1"/>
  <c r="AM117" i="1"/>
  <c r="AM116" i="1"/>
  <c r="AO113" i="1"/>
  <c r="AK113" i="1"/>
  <c r="AG113" i="1"/>
  <c r="AR113" i="1"/>
  <c r="AN113" i="1"/>
  <c r="AJ113" i="1"/>
  <c r="AF113" i="1"/>
  <c r="AL113" i="1"/>
  <c r="AP113" i="1"/>
  <c r="AH113" i="1"/>
  <c r="AM113" i="1"/>
  <c r="AQ113" i="1"/>
  <c r="AI113" i="1"/>
  <c r="AN112" i="1"/>
  <c r="AF112" i="1"/>
  <c r="AQ112" i="1"/>
  <c r="AI112" i="1"/>
  <c r="AM112" i="1"/>
  <c r="AO109" i="1"/>
  <c r="AK109" i="1"/>
  <c r="AG109" i="1"/>
  <c r="AR109" i="1"/>
  <c r="AN109" i="1"/>
  <c r="AJ109" i="1"/>
  <c r="AF109" i="1"/>
  <c r="AQ109" i="1"/>
  <c r="AI109" i="1"/>
  <c r="AM109" i="1"/>
  <c r="AL109" i="1"/>
  <c r="AH109" i="1"/>
  <c r="AP109" i="1"/>
  <c r="AF108" i="1"/>
  <c r="AO105" i="1"/>
  <c r="AK105" i="1"/>
  <c r="AG105" i="1"/>
  <c r="AR105" i="1"/>
  <c r="AN105" i="1"/>
  <c r="AJ105" i="1"/>
  <c r="AF105" i="1"/>
  <c r="AQ105" i="1"/>
  <c r="AI105" i="1"/>
  <c r="AM105" i="1"/>
  <c r="AP105" i="1"/>
  <c r="AL105" i="1"/>
  <c r="AH105" i="1"/>
  <c r="AQ48" i="1"/>
  <c r="AI48" i="1"/>
  <c r="AN48" i="1"/>
  <c r="AF48" i="1"/>
  <c r="AO45" i="1"/>
  <c r="AK45" i="1"/>
  <c r="AG45" i="1"/>
  <c r="AR45" i="1"/>
  <c r="AN45" i="1"/>
  <c r="AJ45" i="1"/>
  <c r="AF45" i="1"/>
  <c r="AQ45" i="1"/>
  <c r="AI45" i="1"/>
  <c r="AP45" i="1"/>
  <c r="AH45" i="1"/>
  <c r="AM45" i="1"/>
  <c r="AL45" i="1"/>
  <c r="AJ509" i="1"/>
  <c r="AP509" i="1"/>
  <c r="AJ427" i="1"/>
  <c r="AN391" i="1"/>
  <c r="AK391" i="1"/>
  <c r="AP391" i="1"/>
  <c r="AF383" i="1"/>
  <c r="AL383" i="1"/>
  <c r="AM375" i="1"/>
  <c r="AQ375" i="1"/>
  <c r="AH375" i="1"/>
  <c r="AJ371" i="1"/>
  <c r="AI367" i="1"/>
  <c r="AO367" i="1"/>
  <c r="AN359" i="1"/>
  <c r="AK359" i="1"/>
  <c r="AP359" i="1"/>
  <c r="AR430" i="1"/>
  <c r="AN430" i="1"/>
  <c r="AJ430" i="1"/>
  <c r="AF430" i="1"/>
  <c r="AQ430" i="1"/>
  <c r="AM430" i="1"/>
  <c r="AI430" i="1"/>
  <c r="AP430" i="1"/>
  <c r="AL430" i="1"/>
  <c r="AH430" i="1"/>
  <c r="AG430" i="1"/>
  <c r="AO430" i="1"/>
  <c r="AK430" i="1"/>
  <c r="AL439" i="1"/>
  <c r="AQ439" i="1"/>
  <c r="AN395" i="1"/>
  <c r="AK395" i="1"/>
  <c r="AP395" i="1"/>
  <c r="AN387" i="1"/>
  <c r="AK387" i="1"/>
  <c r="AP387" i="1"/>
  <c r="AN379" i="1"/>
  <c r="AK379" i="1"/>
  <c r="AP379" i="1"/>
  <c r="AN371" i="1"/>
  <c r="AK371" i="1"/>
  <c r="AP371" i="1"/>
  <c r="AN363" i="1"/>
  <c r="AK363" i="1"/>
  <c r="AP363" i="1"/>
  <c r="AN355" i="1"/>
  <c r="AK355" i="1"/>
  <c r="AP355" i="1"/>
  <c r="AF322" i="1"/>
  <c r="AH322" i="1"/>
  <c r="AK314" i="1"/>
  <c r="AO314" i="1"/>
  <c r="AR306" i="1"/>
  <c r="AP306" i="1"/>
  <c r="AN298" i="1"/>
  <c r="AL298" i="1"/>
  <c r="AF290" i="1"/>
  <c r="AH290" i="1"/>
  <c r="AK278" i="1"/>
  <c r="AO278" i="1"/>
  <c r="AI278" i="1"/>
  <c r="AN262" i="1"/>
  <c r="AL262" i="1"/>
  <c r="AQ262" i="1"/>
  <c r="AK246" i="1"/>
  <c r="AO246" i="1"/>
  <c r="AI246" i="1"/>
  <c r="AF237" i="1"/>
  <c r="AL237" i="1"/>
  <c r="AI237" i="1"/>
  <c r="AK233" i="1"/>
  <c r="AR233" i="1"/>
  <c r="AM233" i="1"/>
  <c r="AP229" i="1"/>
  <c r="AH229" i="1"/>
  <c r="AQ229" i="1"/>
  <c r="AL423" i="1"/>
  <c r="AL415" i="1"/>
  <c r="AL407" i="1"/>
  <c r="AI351" i="1"/>
  <c r="AO351" i="1"/>
  <c r="AJ350" i="1"/>
  <c r="AP350" i="1"/>
  <c r="AN346" i="1"/>
  <c r="AL346" i="1"/>
  <c r="AQ346" i="1"/>
  <c r="AF342" i="1"/>
  <c r="AH342" i="1"/>
  <c r="AM342" i="1"/>
  <c r="AK338" i="1"/>
  <c r="AO338" i="1"/>
  <c r="AI338" i="1"/>
  <c r="AJ334" i="1"/>
  <c r="AP334" i="1"/>
  <c r="AN330" i="1"/>
  <c r="AL330" i="1"/>
  <c r="AQ330" i="1"/>
  <c r="AF326" i="1"/>
  <c r="AH326" i="1"/>
  <c r="AM326" i="1"/>
  <c r="AR321" i="1"/>
  <c r="AN321" i="1"/>
  <c r="AJ321" i="1"/>
  <c r="AF321" i="1"/>
  <c r="AQ321" i="1"/>
  <c r="AM321" i="1"/>
  <c r="AI321" i="1"/>
  <c r="AP321" i="1"/>
  <c r="AH321" i="1"/>
  <c r="AO321" i="1"/>
  <c r="AG321" i="1"/>
  <c r="AL321" i="1"/>
  <c r="AK321" i="1"/>
  <c r="AR305" i="1"/>
  <c r="AN305" i="1"/>
  <c r="AJ305" i="1"/>
  <c r="AF305" i="1"/>
  <c r="AQ305" i="1"/>
  <c r="AM305" i="1"/>
  <c r="AI305" i="1"/>
  <c r="AP305" i="1"/>
  <c r="AH305" i="1"/>
  <c r="AO305" i="1"/>
  <c r="AG305" i="1"/>
  <c r="AL305" i="1"/>
  <c r="AK305" i="1"/>
  <c r="AR289" i="1"/>
  <c r="AN289" i="1"/>
  <c r="AJ289" i="1"/>
  <c r="AF289" i="1"/>
  <c r="AQ289" i="1"/>
  <c r="AM289" i="1"/>
  <c r="AI289" i="1"/>
  <c r="AP289" i="1"/>
  <c r="AH289" i="1"/>
  <c r="AO289" i="1"/>
  <c r="AG289" i="1"/>
  <c r="AL289" i="1"/>
  <c r="AK289" i="1"/>
  <c r="AR261" i="1"/>
  <c r="AN261" i="1"/>
  <c r="AJ261" i="1"/>
  <c r="AF261" i="1"/>
  <c r="AQ261" i="1"/>
  <c r="AM261" i="1"/>
  <c r="AI261" i="1"/>
  <c r="AP261" i="1"/>
  <c r="AH261" i="1"/>
  <c r="AO261" i="1"/>
  <c r="AG261" i="1"/>
  <c r="AL261" i="1"/>
  <c r="AK261" i="1"/>
  <c r="AP238" i="1"/>
  <c r="AL238" i="1"/>
  <c r="AH238" i="1"/>
  <c r="AO238" i="1"/>
  <c r="AJ238" i="1"/>
  <c r="AN238" i="1"/>
  <c r="AI238" i="1"/>
  <c r="AR238" i="1"/>
  <c r="AM238" i="1"/>
  <c r="AG238" i="1"/>
  <c r="AF238" i="1"/>
  <c r="AQ238" i="1"/>
  <c r="AK238" i="1"/>
  <c r="AP234" i="1"/>
  <c r="AL234" i="1"/>
  <c r="AH234" i="1"/>
  <c r="AO234" i="1"/>
  <c r="AJ234" i="1"/>
  <c r="AN234" i="1"/>
  <c r="AI234" i="1"/>
  <c r="AR234" i="1"/>
  <c r="AM234" i="1"/>
  <c r="AG234" i="1"/>
  <c r="AF234" i="1"/>
  <c r="AK234" i="1"/>
  <c r="AQ234" i="1"/>
  <c r="AP230" i="1"/>
  <c r="AL230" i="1"/>
  <c r="AH230" i="1"/>
  <c r="AO230" i="1"/>
  <c r="AJ230" i="1"/>
  <c r="AN230" i="1"/>
  <c r="AI230" i="1"/>
  <c r="AR230" i="1"/>
  <c r="AM230" i="1"/>
  <c r="AG230" i="1"/>
  <c r="AF230" i="1"/>
  <c r="AK230" i="1"/>
  <c r="AQ230" i="1"/>
  <c r="AN318" i="1"/>
  <c r="AL318" i="1"/>
  <c r="AN310" i="1"/>
  <c r="AL310" i="1"/>
  <c r="AN302" i="1"/>
  <c r="AL302" i="1"/>
  <c r="AN294" i="1"/>
  <c r="AL294" i="1"/>
  <c r="AQ294" i="1"/>
  <c r="AN286" i="1"/>
  <c r="AL286" i="1"/>
  <c r="AF270" i="1"/>
  <c r="AH270" i="1"/>
  <c r="AK254" i="1"/>
  <c r="AO254" i="1"/>
  <c r="AI254" i="1"/>
  <c r="AR309" i="1"/>
  <c r="AN309" i="1"/>
  <c r="AJ309" i="1"/>
  <c r="AF309" i="1"/>
  <c r="AQ309" i="1"/>
  <c r="AM309" i="1"/>
  <c r="AI309" i="1"/>
  <c r="AP309" i="1"/>
  <c r="AH309" i="1"/>
  <c r="AO309" i="1"/>
  <c r="AG309" i="1"/>
  <c r="AL309" i="1"/>
  <c r="AK309" i="1"/>
  <c r="AR269" i="1"/>
  <c r="AN269" i="1"/>
  <c r="AJ269" i="1"/>
  <c r="AF269" i="1"/>
  <c r="AQ269" i="1"/>
  <c r="AM269" i="1"/>
  <c r="AI269" i="1"/>
  <c r="AP269" i="1"/>
  <c r="AH269" i="1"/>
  <c r="AO269" i="1"/>
  <c r="AG269" i="1"/>
  <c r="AL269" i="1"/>
  <c r="AK269" i="1"/>
  <c r="AJ229" i="1"/>
  <c r="AO205" i="1"/>
  <c r="AO189" i="1"/>
  <c r="AQ180" i="1"/>
  <c r="AO173" i="1"/>
  <c r="AK171" i="1"/>
  <c r="AI168" i="1"/>
  <c r="AQ164" i="1"/>
  <c r="AQ147" i="1"/>
  <c r="AM147" i="1"/>
  <c r="AI147" i="1"/>
  <c r="AP147" i="1"/>
  <c r="AL147" i="1"/>
  <c r="AH147" i="1"/>
  <c r="AR147" i="1"/>
  <c r="AJ147" i="1"/>
  <c r="AO147" i="1"/>
  <c r="AG147" i="1"/>
  <c r="AN147" i="1"/>
  <c r="AF147" i="1"/>
  <c r="AK147" i="1"/>
  <c r="AR146" i="1"/>
  <c r="AN146" i="1"/>
  <c r="AJ146" i="1"/>
  <c r="AF146" i="1"/>
  <c r="AQ146" i="1"/>
  <c r="AM146" i="1"/>
  <c r="AI146" i="1"/>
  <c r="AK146" i="1"/>
  <c r="AP146" i="1"/>
  <c r="AH146" i="1"/>
  <c r="AO146" i="1"/>
  <c r="AG146" i="1"/>
  <c r="AL146" i="1"/>
  <c r="AQ131" i="1"/>
  <c r="AM131" i="1"/>
  <c r="AI131" i="1"/>
  <c r="AP131" i="1"/>
  <c r="AL131" i="1"/>
  <c r="AH131" i="1"/>
  <c r="AR131" i="1"/>
  <c r="AJ131" i="1"/>
  <c r="AO131" i="1"/>
  <c r="AG131" i="1"/>
  <c r="AN131" i="1"/>
  <c r="AF131" i="1"/>
  <c r="AK131" i="1"/>
  <c r="AR130" i="1"/>
  <c r="AN130" i="1"/>
  <c r="AJ130" i="1"/>
  <c r="AF130" i="1"/>
  <c r="AQ130" i="1"/>
  <c r="AM130" i="1"/>
  <c r="AI130" i="1"/>
  <c r="AK130" i="1"/>
  <c r="AP130" i="1"/>
  <c r="AH130" i="1"/>
  <c r="AO130" i="1"/>
  <c r="AG130" i="1"/>
  <c r="AL130" i="1"/>
  <c r="AQ115" i="1"/>
  <c r="AM115" i="1"/>
  <c r="AI115" i="1"/>
  <c r="AP115" i="1"/>
  <c r="AL115" i="1"/>
  <c r="AH115" i="1"/>
  <c r="AR115" i="1"/>
  <c r="AJ115" i="1"/>
  <c r="AN115" i="1"/>
  <c r="AF115" i="1"/>
  <c r="AK115" i="1"/>
  <c r="AO115" i="1"/>
  <c r="AG115" i="1"/>
  <c r="AR114" i="1"/>
  <c r="AN114" i="1"/>
  <c r="AJ114" i="1"/>
  <c r="AF114" i="1"/>
  <c r="AQ114" i="1"/>
  <c r="AM114" i="1"/>
  <c r="AI114" i="1"/>
  <c r="AK114" i="1"/>
  <c r="AO114" i="1"/>
  <c r="AG114" i="1"/>
  <c r="AL114" i="1"/>
  <c r="AP114" i="1"/>
  <c r="AH114" i="1"/>
  <c r="AM104" i="1"/>
  <c r="AH104" i="1"/>
  <c r="AN103" i="1"/>
  <c r="AR96" i="1"/>
  <c r="AO96" i="1"/>
  <c r="AO216" i="1"/>
  <c r="AN208" i="1"/>
  <c r="AH208" i="1"/>
  <c r="AL200" i="1"/>
  <c r="AK192" i="1"/>
  <c r="AR191" i="1"/>
  <c r="AN191" i="1"/>
  <c r="AJ191" i="1"/>
  <c r="AF191" i="1"/>
  <c r="AQ191" i="1"/>
  <c r="AM191" i="1"/>
  <c r="AI191" i="1"/>
  <c r="AP191" i="1"/>
  <c r="AL191" i="1"/>
  <c r="AH191" i="1"/>
  <c r="AO191" i="1"/>
  <c r="AK191" i="1"/>
  <c r="AG191" i="1"/>
  <c r="AO184" i="1"/>
  <c r="AR179" i="1"/>
  <c r="AH175" i="1"/>
  <c r="AR171" i="1"/>
  <c r="AH167" i="1"/>
  <c r="AM167" i="1"/>
  <c r="AR163" i="1"/>
  <c r="AH159" i="1"/>
  <c r="AM159" i="1"/>
  <c r="AR123" i="1"/>
  <c r="AP123" i="1"/>
  <c r="AO209" i="1"/>
  <c r="AR188" i="1"/>
  <c r="AM172" i="1"/>
  <c r="AJ156" i="1"/>
  <c r="AH156" i="1"/>
  <c r="AJ152" i="1"/>
  <c r="AH152" i="1"/>
  <c r="AJ148" i="1"/>
  <c r="AH148" i="1"/>
  <c r="AJ144" i="1"/>
  <c r="AH144" i="1"/>
  <c r="AJ140" i="1"/>
  <c r="AH140" i="1"/>
  <c r="AJ136" i="1"/>
  <c r="AH136" i="1"/>
  <c r="AJ132" i="1"/>
  <c r="AH132" i="1"/>
  <c r="AJ128" i="1"/>
  <c r="AH128" i="1"/>
  <c r="AJ124" i="1"/>
  <c r="AH124" i="1"/>
  <c r="AJ116" i="1"/>
  <c r="AK112" i="1"/>
  <c r="AP112" i="1"/>
  <c r="AF92" i="1"/>
  <c r="AH92" i="1"/>
  <c r="AR91" i="1"/>
  <c r="AJ91" i="1"/>
  <c r="AR224" i="1"/>
  <c r="AH224" i="1"/>
  <c r="AM224" i="1"/>
  <c r="AN220" i="1"/>
  <c r="AH220" i="1"/>
  <c r="AM220" i="1"/>
  <c r="AN212" i="1"/>
  <c r="AH212" i="1"/>
  <c r="AM212" i="1"/>
  <c r="AN204" i="1"/>
  <c r="AH204" i="1"/>
  <c r="AM204" i="1"/>
  <c r="AN196" i="1"/>
  <c r="AH196" i="1"/>
  <c r="AM196" i="1"/>
  <c r="AN188" i="1"/>
  <c r="AH188" i="1"/>
  <c r="AM188" i="1"/>
  <c r="AK180" i="1"/>
  <c r="AP180" i="1"/>
  <c r="AK176" i="1"/>
  <c r="AP176" i="1"/>
  <c r="AK172" i="1"/>
  <c r="AP172" i="1"/>
  <c r="AK168" i="1"/>
  <c r="AP168" i="1"/>
  <c r="AK164" i="1"/>
  <c r="AP164" i="1"/>
  <c r="AK160" i="1"/>
  <c r="AP160" i="1"/>
  <c r="AR120" i="1"/>
  <c r="AO120" i="1"/>
  <c r="AK116" i="1"/>
  <c r="AP116" i="1"/>
  <c r="AH111" i="1"/>
  <c r="AM111" i="1"/>
  <c r="AJ103" i="1"/>
  <c r="AH103" i="1"/>
  <c r="AM103" i="1"/>
  <c r="AN96" i="1"/>
  <c r="AF91" i="1"/>
  <c r="AH91" i="1"/>
  <c r="AM91" i="1"/>
  <c r="AJ84" i="1"/>
  <c r="AJ80" i="1"/>
  <c r="AO80" i="1"/>
  <c r="AM76" i="1"/>
  <c r="AH76" i="1"/>
  <c r="AL72" i="1"/>
  <c r="AJ68" i="1"/>
  <c r="AH68" i="1"/>
  <c r="AM60" i="1"/>
  <c r="AL56" i="1"/>
  <c r="AM52" i="1"/>
  <c r="AH52" i="1"/>
  <c r="AO48" i="1"/>
  <c r="AK44" i="1"/>
  <c r="AP44" i="1"/>
  <c r="AR38" i="1"/>
  <c r="AR37" i="1"/>
  <c r="AN37" i="1"/>
  <c r="AJ37" i="1"/>
  <c r="AF37" i="1"/>
  <c r="AP37" i="1"/>
  <c r="AK37" i="1"/>
  <c r="AO37" i="1"/>
  <c r="AI37" i="1"/>
  <c r="AM37" i="1"/>
  <c r="AH37" i="1"/>
  <c r="AQ37" i="1"/>
  <c r="AL37" i="1"/>
  <c r="AG37" i="1"/>
  <c r="AI36" i="1"/>
  <c r="AR30" i="1"/>
  <c r="AR29" i="1"/>
  <c r="AN29" i="1"/>
  <c r="AJ29" i="1"/>
  <c r="AF29" i="1"/>
  <c r="AP29" i="1"/>
  <c r="AK29" i="1"/>
  <c r="AO29" i="1"/>
  <c r="AI29" i="1"/>
  <c r="AM29" i="1"/>
  <c r="AH29" i="1"/>
  <c r="AQ29" i="1"/>
  <c r="AL29" i="1"/>
  <c r="AG29" i="1"/>
  <c r="AI28" i="1"/>
  <c r="AR21" i="1"/>
  <c r="AN21" i="1"/>
  <c r="AJ21" i="1"/>
  <c r="AF21" i="1"/>
  <c r="AP21" i="1"/>
  <c r="AK21" i="1"/>
  <c r="AO21" i="1"/>
  <c r="AI21" i="1"/>
  <c r="AM21" i="1"/>
  <c r="AH21" i="1"/>
  <c r="AL21" i="1"/>
  <c r="AG21" i="1"/>
  <c r="AQ21" i="1"/>
  <c r="AI20" i="1"/>
  <c r="AR17" i="1"/>
  <c r="AN17" i="1"/>
  <c r="AJ17" i="1"/>
  <c r="AF17" i="1"/>
  <c r="AP17" i="1"/>
  <c r="AK17" i="1"/>
  <c r="AO17" i="1"/>
  <c r="AI17" i="1"/>
  <c r="AM17" i="1"/>
  <c r="AH17" i="1"/>
  <c r="AQ17" i="1"/>
  <c r="AL17" i="1"/>
  <c r="AG17" i="1"/>
  <c r="AI16" i="1"/>
  <c r="AR13" i="1"/>
  <c r="AN13" i="1"/>
  <c r="AJ13" i="1"/>
  <c r="AF13" i="1"/>
  <c r="AP13" i="1"/>
  <c r="AK13" i="1"/>
  <c r="AO13" i="1"/>
  <c r="AI13" i="1"/>
  <c r="AM13" i="1"/>
  <c r="AH13" i="1"/>
  <c r="AQ13" i="1"/>
  <c r="AL13" i="1"/>
  <c r="AG13" i="1"/>
  <c r="AI88" i="1"/>
  <c r="AK88" i="1"/>
  <c r="AP88" i="1"/>
  <c r="AR83" i="1"/>
  <c r="AK64" i="1"/>
  <c r="AP64" i="1"/>
  <c r="AL60" i="1"/>
  <c r="AJ48" i="1"/>
  <c r="AR40" i="1"/>
  <c r="AK34" i="1"/>
  <c r="AR32" i="1"/>
  <c r="AM31" i="1"/>
  <c r="AH28" i="1"/>
  <c r="AK26" i="1"/>
  <c r="AR24" i="1"/>
  <c r="AM23" i="1"/>
  <c r="AH20" i="1"/>
  <c r="AK18" i="1"/>
  <c r="AR16" i="1"/>
  <c r="AM15" i="1"/>
  <c r="AH12" i="1"/>
  <c r="AK10" i="1"/>
  <c r="AK27" i="1"/>
  <c r="AF24" i="1"/>
  <c r="AM22" i="1"/>
  <c r="AJ18" i="1"/>
  <c r="AF16" i="1"/>
  <c r="AO14" i="1"/>
  <c r="AQ14" i="1"/>
  <c r="AQ12" i="1"/>
  <c r="AK11" i="1"/>
  <c r="AJ28" i="1"/>
  <c r="AO23" i="1"/>
  <c r="AN108" i="1"/>
  <c r="AL108" i="1"/>
  <c r="AI100" i="1"/>
  <c r="AO100" i="1"/>
  <c r="AN83" i="1"/>
  <c r="AI64" i="1"/>
  <c r="AQ56" i="1"/>
  <c r="AK47" i="1"/>
  <c r="AF40" i="1"/>
  <c r="AO38" i="1"/>
  <c r="AQ38" i="1"/>
  <c r="AK35" i="1"/>
  <c r="AI34" i="1"/>
  <c r="AL32" i="1"/>
  <c r="AI30" i="1"/>
  <c r="AI26" i="1"/>
  <c r="AF23" i="1"/>
  <c r="AQ10" i="1"/>
  <c r="AO20" i="1"/>
  <c r="AO107" i="1"/>
  <c r="AI107" i="1"/>
  <c r="AL87" i="1"/>
  <c r="AQ84" i="1"/>
  <c r="AL83" i="1"/>
  <c r="AH67" i="1"/>
  <c r="AL63" i="1"/>
  <c r="AR62" i="1"/>
  <c r="AN62" i="1"/>
  <c r="AJ62" i="1"/>
  <c r="AF62" i="1"/>
  <c r="AQ62" i="1"/>
  <c r="AM62" i="1"/>
  <c r="AI62" i="1"/>
  <c r="AP62" i="1"/>
  <c r="AH62" i="1"/>
  <c r="AO62" i="1"/>
  <c r="AG62" i="1"/>
  <c r="AL62" i="1"/>
  <c r="AK62" i="1"/>
  <c r="AR59" i="1"/>
  <c r="AL55" i="1"/>
  <c r="AR54" i="1"/>
  <c r="AN54" i="1"/>
  <c r="AJ54" i="1"/>
  <c r="AF54" i="1"/>
  <c r="AQ54" i="1"/>
  <c r="AM54" i="1"/>
  <c r="AI54" i="1"/>
  <c r="AP54" i="1"/>
  <c r="AH54" i="1"/>
  <c r="AO54" i="1"/>
  <c r="AG54" i="1"/>
  <c r="AL54" i="1"/>
  <c r="AK54" i="1"/>
  <c r="AH51" i="1"/>
  <c r="AJ47" i="1"/>
  <c r="AR43" i="1"/>
  <c r="AP40" i="1"/>
  <c r="AO12" i="1"/>
  <c r="AL11" i="1"/>
  <c r="AO8" i="1"/>
  <c r="AR56" i="1"/>
  <c r="AJ108" i="1"/>
  <c r="AQ76" i="1"/>
  <c r="I1192" i="4"/>
  <c r="J1192" i="4"/>
  <c r="K1192" i="4"/>
  <c r="L1192" i="4"/>
  <c r="M1192" i="4"/>
  <c r="N1192" i="4"/>
  <c r="O1192" i="4"/>
  <c r="P1192" i="4"/>
  <c r="Q1192" i="4"/>
  <c r="R1192" i="4"/>
  <c r="S1192" i="4"/>
  <c r="T1192" i="4"/>
  <c r="J105" i="1" l="1"/>
  <c r="J106" i="1"/>
  <c r="R163" i="1"/>
  <c r="R167" i="1"/>
  <c r="J101" i="1"/>
  <c r="J96" i="1"/>
  <c r="J92" i="1"/>
  <c r="I406" i="1"/>
  <c r="J100" i="1"/>
  <c r="I753" i="1"/>
  <c r="I785" i="1"/>
  <c r="J90" i="1"/>
  <c r="J98" i="1"/>
  <c r="R26" i="1"/>
  <c r="J343" i="1"/>
  <c r="J155" i="1"/>
  <c r="R10" i="1"/>
  <c r="I102" i="1"/>
  <c r="R103" i="1"/>
  <c r="I110" i="1"/>
  <c r="J112" i="1"/>
  <c r="I611" i="1"/>
  <c r="I94" i="1"/>
  <c r="J102" i="1"/>
  <c r="J95" i="1"/>
  <c r="I533" i="1"/>
  <c r="J890" i="1"/>
  <c r="J426" i="1"/>
  <c r="J374" i="1"/>
  <c r="I743" i="1"/>
  <c r="J771" i="1"/>
  <c r="J805" i="1"/>
  <c r="I107" i="1"/>
  <c r="J159" i="1"/>
  <c r="I577" i="1"/>
  <c r="I306" i="1"/>
  <c r="J17" i="1"/>
  <c r="I64" i="1"/>
  <c r="I774" i="1"/>
  <c r="J32" i="1"/>
  <c r="J449" i="1"/>
  <c r="J882" i="1"/>
  <c r="I713" i="1"/>
  <c r="I51" i="1"/>
  <c r="J144" i="1"/>
  <c r="J390" i="1"/>
  <c r="R63" i="1"/>
  <c r="I254" i="1"/>
  <c r="I318" i="1"/>
  <c r="I282" i="1"/>
  <c r="J741" i="1"/>
  <c r="J986" i="1"/>
  <c r="I326" i="1"/>
  <c r="I595" i="1"/>
  <c r="I939" i="1"/>
  <c r="J103" i="1"/>
  <c r="I717" i="1"/>
  <c r="J840" i="1"/>
  <c r="J571" i="1"/>
  <c r="J354" i="1"/>
  <c r="I824" i="1"/>
  <c r="J175" i="1"/>
  <c r="I506" i="1"/>
  <c r="J284" i="1"/>
  <c r="I63" i="1"/>
  <c r="I122" i="1"/>
  <c r="J216" i="1"/>
  <c r="I362" i="1"/>
  <c r="J48" i="1"/>
  <c r="J62" i="1"/>
  <c r="I170" i="1"/>
  <c r="I83" i="1"/>
  <c r="I419" i="1"/>
  <c r="I119" i="1"/>
  <c r="J729" i="1"/>
  <c r="J438" i="1"/>
  <c r="I457" i="1"/>
  <c r="I489" i="1"/>
  <c r="I627" i="1"/>
  <c r="I797" i="1"/>
  <c r="I911" i="1"/>
  <c r="I959" i="1"/>
  <c r="I621" i="1"/>
  <c r="J398" i="1"/>
  <c r="I172" i="1"/>
  <c r="I810" i="1"/>
  <c r="J280" i="1"/>
  <c r="J262" i="1"/>
  <c r="I603" i="1"/>
  <c r="I689" i="1"/>
  <c r="I591" i="1"/>
  <c r="I237" i="1"/>
  <c r="I250" i="1"/>
  <c r="I473" i="1"/>
  <c r="I497" i="1"/>
  <c r="J567" i="1"/>
  <c r="I733" i="1"/>
  <c r="J922" i="1"/>
  <c r="I860" i="1"/>
  <c r="J935" i="1"/>
  <c r="J965" i="1"/>
  <c r="J131" i="1"/>
  <c r="J294" i="1"/>
  <c r="J178" i="1"/>
  <c r="J91" i="1"/>
  <c r="J179" i="1"/>
  <c r="I525" i="1"/>
  <c r="J295" i="1"/>
  <c r="I651" i="1"/>
  <c r="I338" i="1"/>
  <c r="I266" i="1"/>
  <c r="J394" i="1"/>
  <c r="I521" i="1"/>
  <c r="I737" i="1"/>
  <c r="J709" i="1"/>
  <c r="I927" i="1"/>
  <c r="I871" i="1"/>
  <c r="J856" i="1"/>
  <c r="J252" i="1"/>
  <c r="I87" i="1"/>
  <c r="I931" i="1"/>
  <c r="I346" i="1"/>
  <c r="J139" i="1"/>
  <c r="I219" i="1"/>
  <c r="J191" i="1"/>
  <c r="I493" i="1"/>
  <c r="J663" i="1"/>
  <c r="J79" i="1"/>
  <c r="J236" i="1"/>
  <c r="I147" i="1"/>
  <c r="J430" i="1"/>
  <c r="I367" i="1"/>
  <c r="I655" i="1"/>
  <c r="J167" i="1"/>
  <c r="I290" i="1"/>
  <c r="I322" i="1"/>
  <c r="I529" i="1"/>
  <c r="I333" i="1"/>
  <c r="I779" i="1"/>
  <c r="I195" i="1"/>
  <c r="I238" i="1"/>
  <c r="I492" i="1"/>
  <c r="I366" i="1"/>
  <c r="I469" i="1"/>
  <c r="J330" i="1"/>
  <c r="I274" i="1"/>
  <c r="I579" i="1"/>
  <c r="J675" i="1"/>
  <c r="I769" i="1"/>
  <c r="I359" i="1"/>
  <c r="I439" i="1"/>
  <c r="J783" i="1"/>
  <c r="I337" i="1"/>
  <c r="I532" i="1"/>
  <c r="I246" i="1"/>
  <c r="J164" i="1"/>
  <c r="J299" i="1"/>
  <c r="J893" i="1"/>
  <c r="I461" i="1"/>
  <c r="J323" i="1"/>
  <c r="I383" i="1"/>
  <c r="J913" i="1"/>
  <c r="J213" i="1"/>
  <c r="I501" i="1"/>
  <c r="J465" i="1"/>
  <c r="I513" i="1"/>
  <c r="I727" i="1"/>
  <c r="J852" i="1"/>
  <c r="J957" i="1"/>
  <c r="J967" i="1"/>
  <c r="I864" i="1"/>
  <c r="I979" i="1"/>
  <c r="J858" i="1"/>
  <c r="I757" i="1"/>
  <c r="J641" i="1"/>
  <c r="R34" i="1"/>
  <c r="I37" i="1"/>
  <c r="J486" i="1"/>
  <c r="J511" i="1"/>
  <c r="I508" i="1"/>
  <c r="J64" i="1"/>
  <c r="J327" i="1"/>
  <c r="I415" i="1"/>
  <c r="J549" i="1"/>
  <c r="J443" i="1"/>
  <c r="J982" i="1"/>
  <c r="I930" i="1"/>
  <c r="I628" i="1"/>
  <c r="J265" i="1"/>
  <c r="J472" i="1"/>
  <c r="J1004" i="1"/>
  <c r="J292" i="1"/>
  <c r="J920" i="1"/>
  <c r="I685" i="1"/>
  <c r="J364" i="1"/>
  <c r="J944" i="1"/>
  <c r="I793" i="1"/>
  <c r="I643" i="1"/>
  <c r="I434" i="1"/>
  <c r="J587" i="1"/>
  <c r="J334" i="1"/>
  <c r="J207" i="1"/>
  <c r="I475" i="1"/>
  <c r="I345" i="1"/>
  <c r="I569" i="1"/>
  <c r="J583" i="1"/>
  <c r="J589" i="1"/>
  <c r="J825" i="1"/>
  <c r="J749" i="1"/>
  <c r="I111" i="1"/>
  <c r="I640" i="1"/>
  <c r="I581" i="1"/>
  <c r="I597" i="1"/>
  <c r="I789" i="1"/>
  <c r="I8" i="1"/>
  <c r="I125" i="1"/>
  <c r="I775" i="1"/>
  <c r="J181" i="1"/>
  <c r="J456" i="1"/>
  <c r="I269" i="1"/>
  <c r="I349" i="1"/>
  <c r="I26" i="1"/>
  <c r="J148" i="1"/>
  <c r="J311" i="1"/>
  <c r="J347" i="1"/>
  <c r="I565" i="1"/>
  <c r="I229" i="1"/>
  <c r="I883" i="1"/>
  <c r="I918" i="1"/>
  <c r="J189" i="1"/>
  <c r="J108" i="1"/>
  <c r="I317" i="1"/>
  <c r="J180" i="1"/>
  <c r="I192" i="1"/>
  <c r="J575" i="1"/>
  <c r="I351" i="1"/>
  <c r="I723" i="1"/>
  <c r="I422" i="1"/>
  <c r="I188" i="1"/>
  <c r="J667" i="1"/>
  <c r="I329" i="1"/>
  <c r="I184" i="1"/>
  <c r="I224" i="1"/>
  <c r="J735" i="1"/>
  <c r="I836" i="1"/>
  <c r="I919" i="1"/>
  <c r="I517" i="1"/>
  <c r="I541" i="1"/>
  <c r="I474" i="1"/>
  <c r="I90" i="1"/>
  <c r="I253" i="1"/>
  <c r="J373" i="1"/>
  <c r="M239" i="1"/>
  <c r="O239" i="1" s="1"/>
  <c r="J444" i="1"/>
  <c r="J260" i="1"/>
  <c r="I615" i="1"/>
  <c r="J171" i="1"/>
  <c r="I925" i="1"/>
  <c r="I350" i="1"/>
  <c r="J123" i="1"/>
  <c r="M646" i="1"/>
  <c r="N646" i="1" s="1"/>
  <c r="I711" i="1"/>
  <c r="J625" i="1"/>
  <c r="J828" i="1"/>
  <c r="I371" i="1"/>
  <c r="I500" i="1"/>
  <c r="I481" i="1"/>
  <c r="J693" i="1"/>
  <c r="J801" i="1"/>
  <c r="I867" i="1"/>
  <c r="I653" i="1"/>
  <c r="I677" i="1"/>
  <c r="I335" i="1"/>
  <c r="I485" i="1"/>
  <c r="J545" i="1"/>
  <c r="I820" i="1"/>
  <c r="I203" i="1"/>
  <c r="I382" i="1"/>
  <c r="J303" i="1"/>
  <c r="I407" i="1"/>
  <c r="I386" i="1"/>
  <c r="J947" i="1"/>
  <c r="I378" i="1"/>
  <c r="J509" i="1"/>
  <c r="J143" i="1"/>
  <c r="I613" i="1"/>
  <c r="I446" i="1"/>
  <c r="J695" i="1"/>
  <c r="J151" i="1"/>
  <c r="I941" i="1"/>
  <c r="J896" i="1"/>
  <c r="I230" i="1"/>
  <c r="I176" i="1"/>
  <c r="J196" i="1"/>
  <c r="J307" i="1"/>
  <c r="I395" i="1"/>
  <c r="I411" i="1"/>
  <c r="AS18" i="1"/>
  <c r="J270" i="1"/>
  <c r="J721" i="1"/>
  <c r="I848" i="1"/>
  <c r="J787" i="1"/>
  <c r="I943" i="1"/>
  <c r="I844" i="1"/>
  <c r="I971" i="1"/>
  <c r="I821" i="1"/>
  <c r="J200" i="1"/>
  <c r="J671" i="1"/>
  <c r="J161" i="1"/>
  <c r="J278" i="1"/>
  <c r="I990" i="1"/>
  <c r="I163" i="1"/>
  <c r="I649" i="1"/>
  <c r="J135" i="1"/>
  <c r="J609" i="1"/>
  <c r="J985" i="1"/>
  <c r="J314" i="1"/>
  <c r="J770" i="1"/>
  <c r="J684" i="1"/>
  <c r="I619" i="1"/>
  <c r="J599" i="1"/>
  <c r="J183" i="1"/>
  <c r="J228" i="1"/>
  <c r="J418" i="1"/>
  <c r="I402" i="1"/>
  <c r="I537" i="1"/>
  <c r="J559" i="1"/>
  <c r="J454" i="1"/>
  <c r="I524" i="1"/>
  <c r="I403" i="1"/>
  <c r="J601" i="1"/>
  <c r="J761" i="1"/>
  <c r="J747" i="1"/>
  <c r="I978" i="1"/>
  <c r="I673" i="1"/>
  <c r="J187" i="1"/>
  <c r="I342" i="1"/>
  <c r="J637" i="1"/>
  <c r="J791" i="1"/>
  <c r="J109" i="1"/>
  <c r="I635" i="1"/>
  <c r="J268" i="1"/>
  <c r="I647" i="1"/>
  <c r="I738" i="1"/>
  <c r="J539" i="1"/>
  <c r="I788" i="1"/>
  <c r="I211" i="1"/>
  <c r="J339" i="1"/>
  <c r="I285" i="1"/>
  <c r="I258" i="1"/>
  <c r="I505" i="1"/>
  <c r="I563" i="1"/>
  <c r="I659" i="1"/>
  <c r="J462" i="1"/>
  <c r="I899" i="1"/>
  <c r="I661" i="1"/>
  <c r="I644" i="1"/>
  <c r="J949" i="1"/>
  <c r="J520" i="1"/>
  <c r="J117" i="1"/>
  <c r="M400" i="1"/>
  <c r="N400" i="1" s="1"/>
  <c r="M408" i="1"/>
  <c r="O408" i="1" s="1"/>
  <c r="M416" i="1"/>
  <c r="O416" i="1" s="1"/>
  <c r="M424" i="1"/>
  <c r="O424" i="1" s="1"/>
  <c r="M628" i="1"/>
  <c r="O628" i="1" s="1"/>
  <c r="I235" i="1"/>
  <c r="J328" i="1"/>
  <c r="J121" i="1"/>
  <c r="J862" i="1"/>
  <c r="AS271" i="1"/>
  <c r="I629" i="1"/>
  <c r="I707" i="1"/>
  <c r="I503" i="1"/>
  <c r="M612" i="1"/>
  <c r="N612" i="1" s="1"/>
  <c r="M826" i="1"/>
  <c r="N826" i="1" s="1"/>
  <c r="M842" i="1"/>
  <c r="O842" i="1" s="1"/>
  <c r="M858" i="1"/>
  <c r="N858" i="1" s="1"/>
  <c r="I115" i="1"/>
  <c r="J212" i="1"/>
  <c r="J220" i="1"/>
  <c r="J573" i="1"/>
  <c r="I453" i="1"/>
  <c r="I585" i="1"/>
  <c r="J679" i="1"/>
  <c r="I223" i="1"/>
  <c r="I298" i="1"/>
  <c r="I631" i="1"/>
  <c r="I701" i="1"/>
  <c r="J448" i="1"/>
  <c r="J725" i="1"/>
  <c r="I681" i="1"/>
  <c r="J687" i="1"/>
  <c r="J807" i="1"/>
  <c r="I1002" i="1"/>
  <c r="J715" i="1"/>
  <c r="J363" i="1"/>
  <c r="I43" i="1"/>
  <c r="I358" i="1"/>
  <c r="J225" i="1"/>
  <c r="I800" i="1"/>
  <c r="I127" i="1"/>
  <c r="I826" i="1"/>
  <c r="I887" i="1"/>
  <c r="I928" i="1"/>
  <c r="J116" i="1"/>
  <c r="J777" i="1"/>
  <c r="J141" i="1"/>
  <c r="I976" i="1"/>
  <c r="J759" i="1"/>
  <c r="J832" i="1"/>
  <c r="I975" i="1"/>
  <c r="I197" i="1"/>
  <c r="I623" i="1"/>
  <c r="J917" i="1"/>
  <c r="J837" i="1"/>
  <c r="J414" i="1"/>
  <c r="J555" i="1"/>
  <c r="I608" i="1"/>
  <c r="J174" i="1"/>
  <c r="I96" i="1"/>
  <c r="J242" i="1"/>
  <c r="I809" i="1"/>
  <c r="I10" i="1"/>
  <c r="J369" i="1"/>
  <c r="J128" i="1"/>
  <c r="J152" i="1"/>
  <c r="I355" i="1"/>
  <c r="I375" i="1"/>
  <c r="I423" i="1"/>
  <c r="J215" i="1"/>
  <c r="I484" i="1"/>
  <c r="I561" i="1"/>
  <c r="J315" i="1"/>
  <c r="J873" i="1"/>
  <c r="I310" i="1"/>
  <c r="J767" i="1"/>
  <c r="J271" i="1"/>
  <c r="J464" i="1"/>
  <c r="I384" i="1"/>
  <c r="M699" i="1"/>
  <c r="O699" i="1" s="1"/>
  <c r="M747" i="1"/>
  <c r="O747" i="1" s="1"/>
  <c r="M707" i="1"/>
  <c r="O707" i="1" s="1"/>
  <c r="M633" i="1"/>
  <c r="O633" i="1" s="1"/>
  <c r="I716" i="1"/>
  <c r="J234" i="1"/>
  <c r="I470" i="1"/>
  <c r="M822" i="1"/>
  <c r="N822" i="1" s="1"/>
  <c r="M854" i="1"/>
  <c r="N854" i="1" s="1"/>
  <c r="M959" i="1"/>
  <c r="O959" i="1" s="1"/>
  <c r="M985" i="1"/>
  <c r="O985" i="1" s="1"/>
  <c r="M851" i="1"/>
  <c r="O851" i="1" s="1"/>
  <c r="M891" i="1"/>
  <c r="O891" i="1" s="1"/>
  <c r="M409" i="1"/>
  <c r="O409" i="1" s="1"/>
  <c r="M417" i="1"/>
  <c r="O417" i="1" s="1"/>
  <c r="M425" i="1"/>
  <c r="N425" i="1" s="1"/>
  <c r="M441" i="1"/>
  <c r="O441" i="1" s="1"/>
  <c r="I781" i="1"/>
  <c r="J970" i="1"/>
  <c r="J731" i="1"/>
  <c r="I877" i="1"/>
  <c r="I924" i="1"/>
  <c r="J133" i="1"/>
  <c r="I706" i="1"/>
  <c r="I889" i="1"/>
  <c r="I399" i="1"/>
  <c r="J803" i="1"/>
  <c r="I702" i="1"/>
  <c r="I106" i="1"/>
  <c r="J477" i="1"/>
  <c r="I607" i="1"/>
  <c r="I745" i="1"/>
  <c r="J63" i="1"/>
  <c r="I199" i="1"/>
  <c r="J120" i="1"/>
  <c r="I442" i="1"/>
  <c r="J551" i="1"/>
  <c r="I683" i="1"/>
  <c r="I289" i="1"/>
  <c r="J605" i="1"/>
  <c r="J885" i="1"/>
  <c r="J915" i="1"/>
  <c r="I372" i="1"/>
  <c r="J705" i="1"/>
  <c r="J370" i="1"/>
  <c r="I814" i="1"/>
  <c r="J766" i="1"/>
  <c r="I182" i="1"/>
  <c r="J162" i="1"/>
  <c r="I548" i="1"/>
  <c r="I208" i="1"/>
  <c r="J331" i="1"/>
  <c r="J639" i="1"/>
  <c r="I697" i="1"/>
  <c r="I99" i="1"/>
  <c r="J357" i="1"/>
  <c r="I286" i="1"/>
  <c r="I302" i="1"/>
  <c r="I232" i="1"/>
  <c r="I31" i="1"/>
  <c r="I341" i="1"/>
  <c r="I816" i="1"/>
  <c r="J703" i="1"/>
  <c r="J868" i="1"/>
  <c r="I961" i="1"/>
  <c r="J283" i="1"/>
  <c r="I914" i="1"/>
  <c r="I388" i="1"/>
  <c r="AS59" i="1"/>
  <c r="M546" i="1"/>
  <c r="N546" i="1" s="1"/>
  <c r="AS806" i="1"/>
  <c r="M915" i="1"/>
  <c r="O915" i="1" s="1"/>
  <c r="M739" i="1"/>
  <c r="O739" i="1" s="1"/>
  <c r="M194" i="1"/>
  <c r="N194" i="1" s="1"/>
  <c r="M649" i="1"/>
  <c r="O649" i="1" s="1"/>
  <c r="M779" i="1"/>
  <c r="O779" i="1" s="1"/>
  <c r="M795" i="1"/>
  <c r="O795" i="1" s="1"/>
  <c r="M883" i="1"/>
  <c r="O883" i="1" s="1"/>
  <c r="M691" i="1"/>
  <c r="O691" i="1" s="1"/>
  <c r="M186" i="1"/>
  <c r="O186" i="1" s="1"/>
  <c r="M218" i="1"/>
  <c r="O218" i="1" s="1"/>
  <c r="M859" i="1"/>
  <c r="O859" i="1" s="1"/>
  <c r="M206" i="1"/>
  <c r="O206" i="1" s="1"/>
  <c r="M214" i="1"/>
  <c r="N214" i="1" s="1"/>
  <c r="M222" i="1"/>
  <c r="O222" i="1" s="1"/>
  <c r="M440" i="1"/>
  <c r="O440" i="1" s="1"/>
  <c r="M445" i="1"/>
  <c r="O445" i="1" s="1"/>
  <c r="M129" i="1"/>
  <c r="M137" i="1"/>
  <c r="M145" i="1"/>
  <c r="O145" i="1" s="1"/>
  <c r="M153" i="1"/>
  <c r="M823" i="1"/>
  <c r="O823" i="1" s="1"/>
  <c r="M1005" i="1"/>
  <c r="N1005" i="1" s="1"/>
  <c r="M843" i="1"/>
  <c r="O843" i="1" s="1"/>
  <c r="M613" i="1"/>
  <c r="O613" i="1" s="1"/>
  <c r="M85" i="1"/>
  <c r="M202" i="1"/>
  <c r="M934" i="1"/>
  <c r="O934" i="1" s="1"/>
  <c r="M981" i="1"/>
  <c r="N981" i="1" s="1"/>
  <c r="M589" i="1"/>
  <c r="O589" i="1" s="1"/>
  <c r="M621" i="1"/>
  <c r="O621" i="1" s="1"/>
  <c r="M838" i="1"/>
  <c r="O838" i="1" s="1"/>
  <c r="M831" i="1"/>
  <c r="N831" i="1" s="1"/>
  <c r="M938" i="1"/>
  <c r="O938" i="1" s="1"/>
  <c r="J10" i="1"/>
  <c r="M117" i="1"/>
  <c r="M190" i="1"/>
  <c r="N190" i="1" s="1"/>
  <c r="M198" i="1"/>
  <c r="N198" i="1" s="1"/>
  <c r="M319" i="1"/>
  <c r="O319" i="1" s="1"/>
  <c r="M429" i="1"/>
  <c r="O429" i="1" s="1"/>
  <c r="M433" i="1"/>
  <c r="O433" i="1" s="1"/>
  <c r="M625" i="1"/>
  <c r="O625" i="1" s="1"/>
  <c r="M657" i="1"/>
  <c r="O657" i="1" s="1"/>
  <c r="I158" i="1"/>
  <c r="I309" i="1"/>
  <c r="M839" i="1"/>
  <c r="N839" i="1" s="1"/>
  <c r="M731" i="1"/>
  <c r="O731" i="1" s="1"/>
  <c r="M835" i="1"/>
  <c r="O835" i="1" s="1"/>
  <c r="M942" i="1"/>
  <c r="N942" i="1" s="1"/>
  <c r="J991" i="1"/>
  <c r="M847" i="1"/>
  <c r="N847" i="1" s="1"/>
  <c r="M723" i="1"/>
  <c r="O723" i="1" s="1"/>
  <c r="M752" i="1"/>
  <c r="O752" i="1" s="1"/>
  <c r="M755" i="1"/>
  <c r="O755" i="1" s="1"/>
  <c r="M787" i="1"/>
  <c r="O787" i="1" s="1"/>
  <c r="M980" i="1"/>
  <c r="N980" i="1" s="1"/>
  <c r="J510" i="1"/>
  <c r="M125" i="1"/>
  <c r="O125" i="1" s="1"/>
  <c r="M133" i="1"/>
  <c r="N133" i="1" s="1"/>
  <c r="M141" i="1"/>
  <c r="O141" i="1" s="1"/>
  <c r="M149" i="1"/>
  <c r="N149" i="1" s="1"/>
  <c r="AS431" i="1"/>
  <c r="M405" i="1"/>
  <c r="O405" i="1" s="1"/>
  <c r="M413" i="1"/>
  <c r="O413" i="1" s="1"/>
  <c r="M421" i="1"/>
  <c r="O421" i="1" s="1"/>
  <c r="M437" i="1"/>
  <c r="O437" i="1" s="1"/>
  <c r="M101" i="1"/>
  <c r="O101" i="1" s="1"/>
  <c r="M210" i="1"/>
  <c r="O210" i="1" s="1"/>
  <c r="I27" i="1"/>
  <c r="M401" i="1"/>
  <c r="N401" i="1" s="1"/>
  <c r="J897" i="1"/>
  <c r="M855" i="1"/>
  <c r="N855" i="1" s="1"/>
  <c r="M863" i="1"/>
  <c r="N863" i="1" s="1"/>
  <c r="M818" i="1"/>
  <c r="N818" i="1" s="1"/>
  <c r="M827" i="1"/>
  <c r="N827" i="1" s="1"/>
  <c r="M946" i="1"/>
  <c r="O946" i="1" s="1"/>
  <c r="J173" i="1"/>
  <c r="I248" i="1"/>
  <c r="J937" i="1"/>
  <c r="M641" i="1"/>
  <c r="O641" i="1" s="1"/>
  <c r="I233" i="1"/>
  <c r="M605" i="1"/>
  <c r="O605" i="1" s="1"/>
  <c r="M715" i="1"/>
  <c r="O715" i="1" s="1"/>
  <c r="M807" i="1"/>
  <c r="O807" i="1" s="1"/>
  <c r="M969" i="1"/>
  <c r="O969" i="1" s="1"/>
  <c r="J657" i="1"/>
  <c r="J699" i="1"/>
  <c r="J936" i="1"/>
  <c r="I834" i="1"/>
  <c r="J869" i="1"/>
  <c r="I36" i="1"/>
  <c r="I582" i="1"/>
  <c r="J332" i="1"/>
  <c r="I400" i="1"/>
  <c r="I636" i="1"/>
  <c r="J534" i="1"/>
  <c r="J762" i="1"/>
  <c r="J952" i="1"/>
  <c r="J52" i="1"/>
  <c r="J416" i="1"/>
  <c r="J21" i="1"/>
  <c r="J22" i="1"/>
  <c r="J15" i="1"/>
  <c r="J26" i="1"/>
  <c r="J18" i="1"/>
  <c r="J33" i="1"/>
  <c r="J31" i="1"/>
  <c r="J35" i="1"/>
  <c r="J34" i="1"/>
  <c r="J42" i="1"/>
  <c r="J27" i="1"/>
  <c r="J44" i="1"/>
  <c r="J37" i="1"/>
  <c r="J36" i="1"/>
  <c r="J47" i="1"/>
  <c r="J221" i="1"/>
  <c r="I888" i="1"/>
  <c r="J954" i="1"/>
  <c r="I1003" i="1"/>
  <c r="AS578" i="1"/>
  <c r="I47" i="1"/>
  <c r="M857" i="1"/>
  <c r="N857" i="1" s="1"/>
  <c r="J365" i="1"/>
  <c r="J815" i="1"/>
  <c r="AS740" i="1"/>
  <c r="J963" i="1"/>
  <c r="I755" i="1"/>
  <c r="I630" i="1"/>
  <c r="I686" i="1"/>
  <c r="J165" i="1"/>
  <c r="I802" i="1"/>
  <c r="J894" i="1"/>
  <c r="I401" i="1"/>
  <c r="I742" i="1"/>
  <c r="I137" i="1"/>
  <c r="I827" i="1"/>
  <c r="AS10" i="1"/>
  <c r="J381" i="1"/>
  <c r="I926" i="1"/>
  <c r="I632" i="1"/>
  <c r="I782" i="1"/>
  <c r="J898" i="1"/>
  <c r="J879" i="1"/>
  <c r="I494" i="1"/>
  <c r="J205" i="1"/>
  <c r="I396" i="1"/>
  <c r="I435" i="1"/>
  <c r="M267" i="1"/>
  <c r="O267" i="1" s="1"/>
  <c r="J393" i="1"/>
  <c r="J751" i="1"/>
  <c r="M910" i="1"/>
  <c r="O910" i="1" s="1"/>
  <c r="M918" i="1"/>
  <c r="N918" i="1" s="1"/>
  <c r="I593" i="1"/>
  <c r="M968" i="1"/>
  <c r="O968" i="1" s="1"/>
  <c r="I642" i="1"/>
  <c r="J690" i="1"/>
  <c r="I950" i="1"/>
  <c r="I42" i="1"/>
  <c r="J878" i="1"/>
  <c r="I842" i="1"/>
  <c r="J866" i="1"/>
  <c r="AS34" i="1"/>
  <c r="AS644" i="1"/>
  <c r="I297" i="1"/>
  <c r="I325" i="1"/>
  <c r="I305" i="1"/>
  <c r="I665" i="1"/>
  <c r="J765" i="1"/>
  <c r="J900" i="1"/>
  <c r="M925" i="1"/>
  <c r="O925" i="1" s="1"/>
  <c r="J995" i="1"/>
  <c r="J962" i="1"/>
  <c r="I905" i="1"/>
  <c r="J353" i="1"/>
  <c r="I313" i="1"/>
  <c r="AS478" i="1"/>
  <c r="I321" i="1"/>
  <c r="I773" i="1"/>
  <c r="J719" i="1"/>
  <c r="J989" i="1"/>
  <c r="I997" i="1"/>
  <c r="I691" i="1"/>
  <c r="I209" i="1"/>
  <c r="I596" i="1"/>
  <c r="J698" i="1"/>
  <c r="J255" i="1"/>
  <c r="I886" i="1"/>
  <c r="I906" i="1"/>
  <c r="J973" i="1"/>
  <c r="I101" i="1"/>
  <c r="I44" i="1"/>
  <c r="J507" i="1"/>
  <c r="J843" i="1"/>
  <c r="AS51" i="1"/>
  <c r="AS55" i="1"/>
  <c r="AS63" i="1"/>
  <c r="I875" i="1"/>
  <c r="I909" i="1"/>
  <c r="J754" i="1"/>
  <c r="I798" i="1"/>
  <c r="J1005" i="1"/>
  <c r="J981" i="1"/>
  <c r="J153" i="1"/>
  <c r="M158" i="1"/>
  <c r="O158" i="1" s="1"/>
  <c r="I756" i="1"/>
  <c r="J273" i="1"/>
  <c r="J660" i="1"/>
  <c r="J835" i="1"/>
  <c r="J662" i="1"/>
  <c r="J670" i="1"/>
  <c r="I542" i="1"/>
  <c r="J863" i="1"/>
  <c r="J568" i="1"/>
  <c r="J610" i="1"/>
  <c r="J552" i="1"/>
  <c r="M199" i="1"/>
  <c r="O199" i="1" s="1"/>
  <c r="M852" i="1"/>
  <c r="O852" i="1" s="1"/>
  <c r="M819" i="1"/>
  <c r="N819" i="1" s="1"/>
  <c r="M223" i="1"/>
  <c r="O223" i="1" s="1"/>
  <c r="M301" i="1"/>
  <c r="O301" i="1" s="1"/>
  <c r="M236" i="1"/>
  <c r="O236" i="1" s="1"/>
  <c r="M631" i="1"/>
  <c r="O631" i="1" s="1"/>
  <c r="M737" i="1"/>
  <c r="O737" i="1" s="1"/>
  <c r="M832" i="1"/>
  <c r="O832" i="1" s="1"/>
  <c r="M965" i="1"/>
  <c r="O965" i="1" s="1"/>
  <c r="I413" i="1"/>
  <c r="J249" i="1"/>
  <c r="M106" i="1"/>
  <c r="O106" i="1" s="1"/>
  <c r="M333" i="1"/>
  <c r="O333" i="1" s="1"/>
  <c r="M349" i="1"/>
  <c r="O349" i="1" s="1"/>
  <c r="M406" i="1"/>
  <c r="O406" i="1" s="1"/>
  <c r="M306" i="1"/>
  <c r="O306" i="1" s="1"/>
  <c r="M480" i="1"/>
  <c r="N480" i="1" s="1"/>
  <c r="M544" i="1"/>
  <c r="O544" i="1" s="1"/>
  <c r="M555" i="1"/>
  <c r="O555" i="1" s="1"/>
  <c r="M763" i="1"/>
  <c r="O763" i="1" s="1"/>
  <c r="M488" i="1"/>
  <c r="O488" i="1" s="1"/>
  <c r="M785" i="1"/>
  <c r="O785" i="1" s="1"/>
  <c r="M86" i="1"/>
  <c r="M98" i="1"/>
  <c r="O98" i="1" s="1"/>
  <c r="M446" i="1"/>
  <c r="O446" i="1" s="1"/>
  <c r="M418" i="1"/>
  <c r="O418" i="1" s="1"/>
  <c r="M207" i="1"/>
  <c r="M970" i="1"/>
  <c r="O970" i="1" s="1"/>
  <c r="M986" i="1"/>
  <c r="O986" i="1" s="1"/>
  <c r="M659" i="1"/>
  <c r="O659" i="1" s="1"/>
  <c r="M680" i="1"/>
  <c r="N680" i="1" s="1"/>
  <c r="M720" i="1"/>
  <c r="O720" i="1" s="1"/>
  <c r="M163" i="1"/>
  <c r="O163" i="1" s="1"/>
  <c r="M285" i="1"/>
  <c r="O285" i="1" s="1"/>
  <c r="M345" i="1"/>
  <c r="O345" i="1" s="1"/>
  <c r="M548" i="1"/>
  <c r="O548" i="1" s="1"/>
  <c r="M533" i="1"/>
  <c r="O533" i="1" s="1"/>
  <c r="M647" i="1"/>
  <c r="O647" i="1" s="1"/>
  <c r="M793" i="1"/>
  <c r="O793" i="1" s="1"/>
  <c r="M195" i="1"/>
  <c r="O195" i="1" s="1"/>
  <c r="M297" i="1"/>
  <c r="O297" i="1" s="1"/>
  <c r="M603" i="1"/>
  <c r="O603" i="1" s="1"/>
  <c r="M777" i="1"/>
  <c r="O777" i="1" s="1"/>
  <c r="M896" i="1"/>
  <c r="N896" i="1" s="1"/>
  <c r="M122" i="1"/>
  <c r="M482" i="1"/>
  <c r="O482" i="1" s="1"/>
  <c r="M522" i="1"/>
  <c r="N522" i="1" s="1"/>
  <c r="I18" i="1"/>
  <c r="M856" i="1"/>
  <c r="O856" i="1" s="1"/>
  <c r="M881" i="1"/>
  <c r="O881" i="1" s="1"/>
  <c r="M599" i="1"/>
  <c r="O599" i="1" s="1"/>
  <c r="M562" i="1"/>
  <c r="O562" i="1" s="1"/>
  <c r="M882" i="1"/>
  <c r="O882" i="1" s="1"/>
  <c r="M943" i="1"/>
  <c r="O943" i="1" s="1"/>
  <c r="M627" i="1"/>
  <c r="M102" i="1"/>
  <c r="O102" i="1" s="1"/>
  <c r="M178" i="1"/>
  <c r="O178" i="1" s="1"/>
  <c r="M337" i="1"/>
  <c r="O337" i="1" s="1"/>
  <c r="M729" i="1"/>
  <c r="O729" i="1" s="1"/>
  <c r="M438" i="1"/>
  <c r="O438" i="1" s="1"/>
  <c r="M265" i="1"/>
  <c r="O265" i="1" s="1"/>
  <c r="M508" i="1"/>
  <c r="O508" i="1" s="1"/>
  <c r="M713" i="1"/>
  <c r="O713" i="1" s="1"/>
  <c r="M203" i="1"/>
  <c r="M277" i="1"/>
  <c r="O277" i="1" s="1"/>
  <c r="M257" i="1"/>
  <c r="N257" i="1" s="1"/>
  <c r="M353" i="1"/>
  <c r="O353" i="1" s="1"/>
  <c r="M361" i="1"/>
  <c r="O361" i="1" s="1"/>
  <c r="M369" i="1"/>
  <c r="O369" i="1" s="1"/>
  <c r="M377" i="1"/>
  <c r="N377" i="1" s="1"/>
  <c r="M385" i="1"/>
  <c r="O385" i="1" s="1"/>
  <c r="M393" i="1"/>
  <c r="N393" i="1" s="1"/>
  <c r="M894" i="1"/>
  <c r="N894" i="1" s="1"/>
  <c r="M926" i="1"/>
  <c r="O926" i="1" s="1"/>
  <c r="M977" i="1"/>
  <c r="O977" i="1" s="1"/>
  <c r="M805" i="1"/>
  <c r="O805" i="1" s="1"/>
  <c r="M848" i="1"/>
  <c r="O848" i="1" s="1"/>
  <c r="M767" i="1"/>
  <c r="O767" i="1" s="1"/>
  <c r="M753" i="1"/>
  <c r="O753" i="1" s="1"/>
  <c r="I576" i="1"/>
  <c r="I226" i="1"/>
  <c r="M134" i="1"/>
  <c r="O134" i="1" s="1"/>
  <c r="M643" i="1"/>
  <c r="O643" i="1" s="1"/>
  <c r="M709" i="1"/>
  <c r="O709" i="1" s="1"/>
  <c r="M154" i="1"/>
  <c r="O154" i="1" s="1"/>
  <c r="M126" i="1"/>
  <c r="O126" i="1" s="1"/>
  <c r="M442" i="1"/>
  <c r="O442" i="1" s="1"/>
  <c r="M651" i="1"/>
  <c r="O651" i="1" s="1"/>
  <c r="M789" i="1"/>
  <c r="O789" i="1" s="1"/>
  <c r="M889" i="1"/>
  <c r="O889" i="1" s="1"/>
  <c r="M898" i="1"/>
  <c r="O898" i="1" s="1"/>
  <c r="M957" i="1"/>
  <c r="O957" i="1" s="1"/>
  <c r="M591" i="1"/>
  <c r="O591" i="1" s="1"/>
  <c r="M744" i="1"/>
  <c r="O744" i="1" s="1"/>
  <c r="M733" i="1"/>
  <c r="O733" i="1" s="1"/>
  <c r="M749" i="1"/>
  <c r="O749" i="1" s="1"/>
  <c r="M836" i="1"/>
  <c r="O836" i="1" s="1"/>
  <c r="I812" i="1"/>
  <c r="I988" i="1"/>
  <c r="J714" i="1"/>
  <c r="J903" i="1"/>
  <c r="J946" i="1"/>
  <c r="I851" i="1"/>
  <c r="M100" i="1"/>
  <c r="O100" i="1" s="1"/>
  <c r="M504" i="1"/>
  <c r="O504" i="1" s="1"/>
  <c r="M639" i="1"/>
  <c r="O639" i="1" s="1"/>
  <c r="M615" i="1"/>
  <c r="O615" i="1" s="1"/>
  <c r="M188" i="1"/>
  <c r="O188" i="1" s="1"/>
  <c r="M220" i="1"/>
  <c r="O220" i="1" s="1"/>
  <c r="AS26" i="1"/>
  <c r="AS692" i="1"/>
  <c r="AS908" i="1"/>
  <c r="M872" i="1"/>
  <c r="O872" i="1" s="1"/>
  <c r="J984" i="1"/>
  <c r="I992" i="1"/>
  <c r="J518" i="1"/>
  <c r="I674" i="1"/>
  <c r="I25" i="1"/>
  <c r="M130" i="1"/>
  <c r="O130" i="1" s="1"/>
  <c r="M191" i="1"/>
  <c r="O191" i="1" s="1"/>
  <c r="M269" i="1"/>
  <c r="O269" i="1" s="1"/>
  <c r="M289" i="1"/>
  <c r="O289" i="1" s="1"/>
  <c r="M278" i="1"/>
  <c r="O278" i="1" s="1"/>
  <c r="M517" i="1"/>
  <c r="O517" i="1" s="1"/>
  <c r="AS485" i="1"/>
  <c r="M62" i="1"/>
  <c r="M20" i="1"/>
  <c r="O20" i="1" s="1"/>
  <c r="M254" i="1"/>
  <c r="O254" i="1" s="1"/>
  <c r="M305" i="1"/>
  <c r="O305" i="1" s="1"/>
  <c r="M419" i="1"/>
  <c r="O419" i="1" s="1"/>
  <c r="M540" i="1"/>
  <c r="O540" i="1" s="1"/>
  <c r="M501" i="1"/>
  <c r="O501" i="1" s="1"/>
  <c r="M287" i="1"/>
  <c r="O287" i="1" s="1"/>
  <c r="M303" i="1"/>
  <c r="O303" i="1" s="1"/>
  <c r="M448" i="1"/>
  <c r="N448" i="1" s="1"/>
  <c r="M456" i="1"/>
  <c r="O456" i="1" s="1"/>
  <c r="M464" i="1"/>
  <c r="N464" i="1" s="1"/>
  <c r="M472" i="1"/>
  <c r="O472" i="1" s="1"/>
  <c r="M183" i="1"/>
  <c r="O183" i="1" s="1"/>
  <c r="M150" i="1"/>
  <c r="N150" i="1" s="1"/>
  <c r="M118" i="1"/>
  <c r="N118" i="1" s="1"/>
  <c r="M142" i="1"/>
  <c r="O142" i="1" s="1"/>
  <c r="M607" i="1"/>
  <c r="O607" i="1" s="1"/>
  <c r="M638" i="1"/>
  <c r="O638" i="1" s="1"/>
  <c r="M725" i="1"/>
  <c r="O725" i="1" s="1"/>
  <c r="M741" i="1"/>
  <c r="O741" i="1" s="1"/>
  <c r="M801" i="1"/>
  <c r="O801" i="1" s="1"/>
  <c r="J923" i="1"/>
  <c r="M994" i="1"/>
  <c r="O994" i="1" s="1"/>
  <c r="M724" i="1"/>
  <c r="N724" i="1" s="1"/>
  <c r="M912" i="1"/>
  <c r="N912" i="1" s="1"/>
  <c r="M978" i="1"/>
  <c r="O978" i="1" s="1"/>
  <c r="I764" i="1"/>
  <c r="I994" i="1"/>
  <c r="I586" i="1"/>
  <c r="J243" i="1"/>
  <c r="I772" i="1"/>
  <c r="J169" i="1"/>
  <c r="J588" i="1"/>
  <c r="J538" i="1"/>
  <c r="I531" i="1"/>
  <c r="M146" i="1"/>
  <c r="N146" i="1" s="1"/>
  <c r="M261" i="1"/>
  <c r="O261" i="1" s="1"/>
  <c r="M430" i="1"/>
  <c r="O430" i="1" s="1"/>
  <c r="M273" i="1"/>
  <c r="O273" i="1" s="1"/>
  <c r="M476" i="1"/>
  <c r="O476" i="1" s="1"/>
  <c r="M291" i="1"/>
  <c r="O291" i="1" s="1"/>
  <c r="M307" i="1"/>
  <c r="O307" i="1" s="1"/>
  <c r="M452" i="1"/>
  <c r="O452" i="1" s="1"/>
  <c r="M460" i="1"/>
  <c r="O460" i="1" s="1"/>
  <c r="M468" i="1"/>
  <c r="O468" i="1" s="1"/>
  <c r="M536" i="1"/>
  <c r="O536" i="1" s="1"/>
  <c r="M58" i="1"/>
  <c r="M170" i="1"/>
  <c r="O170" i="1" s="1"/>
  <c r="M215" i="1"/>
  <c r="O215" i="1" s="1"/>
  <c r="M329" i="1"/>
  <c r="O329" i="1" s="1"/>
  <c r="M532" i="1"/>
  <c r="O532" i="1" s="1"/>
  <c r="M251" i="1"/>
  <c r="O251" i="1" s="1"/>
  <c r="M721" i="1"/>
  <c r="O721" i="1" s="1"/>
  <c r="M82" i="1"/>
  <c r="M42" i="1"/>
  <c r="O42" i="1" s="1"/>
  <c r="M211" i="1"/>
  <c r="O211" i="1" s="1"/>
  <c r="M138" i="1"/>
  <c r="M293" i="1"/>
  <c r="O293" i="1" s="1"/>
  <c r="M294" i="1"/>
  <c r="O294" i="1" s="1"/>
  <c r="M245" i="1"/>
  <c r="O245" i="1" s="1"/>
  <c r="M516" i="1"/>
  <c r="O516" i="1" s="1"/>
  <c r="M500" i="1"/>
  <c r="O500" i="1" s="1"/>
  <c r="M66" i="1"/>
  <c r="M166" i="1"/>
  <c r="O166" i="1" s="1"/>
  <c r="M174" i="1"/>
  <c r="O174" i="1" s="1"/>
  <c r="M325" i="1"/>
  <c r="O325" i="1" s="1"/>
  <c r="M341" i="1"/>
  <c r="O341" i="1" s="1"/>
  <c r="M549" i="1"/>
  <c r="O549" i="1" s="1"/>
  <c r="M232" i="1"/>
  <c r="N232" i="1" s="1"/>
  <c r="M512" i="1"/>
  <c r="O512" i="1" s="1"/>
  <c r="M611" i="1"/>
  <c r="O611" i="1" s="1"/>
  <c r="M520" i="1"/>
  <c r="O520" i="1" s="1"/>
  <c r="M571" i="1"/>
  <c r="O571" i="1" s="1"/>
  <c r="M586" i="1"/>
  <c r="O586" i="1" s="1"/>
  <c r="M922" i="1"/>
  <c r="O922" i="1" s="1"/>
  <c r="M947" i="1"/>
  <c r="O947" i="1" s="1"/>
  <c r="M697" i="1"/>
  <c r="O697" i="1" s="1"/>
  <c r="M745" i="1"/>
  <c r="O745" i="1" s="1"/>
  <c r="M705" i="1"/>
  <c r="O705" i="1" s="1"/>
  <c r="M982" i="1"/>
  <c r="O982" i="1" s="1"/>
  <c r="M955" i="1"/>
  <c r="O955" i="1" s="1"/>
  <c r="M618" i="1"/>
  <c r="N618" i="1" s="1"/>
  <c r="M759" i="1"/>
  <c r="O759" i="1" s="1"/>
  <c r="M814" i="1"/>
  <c r="O814" i="1" s="1"/>
  <c r="M909" i="1"/>
  <c r="O909" i="1" s="1"/>
  <c r="M951" i="1"/>
  <c r="O951" i="1" s="1"/>
  <c r="M655" i="1"/>
  <c r="O655" i="1" s="1"/>
  <c r="M689" i="1"/>
  <c r="O689" i="1" s="1"/>
  <c r="M742" i="1"/>
  <c r="O742" i="1" s="1"/>
  <c r="M766" i="1"/>
  <c r="N766" i="1" s="1"/>
  <c r="M824" i="1"/>
  <c r="O824" i="1" s="1"/>
  <c r="M913" i="1"/>
  <c r="O913" i="1" s="1"/>
  <c r="M961" i="1"/>
  <c r="O961" i="1" s="1"/>
  <c r="M342" i="1"/>
  <c r="N342" i="1" s="1"/>
  <c r="M950" i="1"/>
  <c r="O950" i="1" s="1"/>
  <c r="M70" i="1"/>
  <c r="M94" i="1"/>
  <c r="O94" i="1" s="1"/>
  <c r="M110" i="1"/>
  <c r="M893" i="1"/>
  <c r="O893" i="1" s="1"/>
  <c r="M490" i="1"/>
  <c r="O490" i="1" s="1"/>
  <c r="M1001" i="1"/>
  <c r="O1001" i="1" s="1"/>
  <c r="M640" i="1"/>
  <c r="N640" i="1" s="1"/>
  <c r="M758" i="1"/>
  <c r="O758" i="1" s="1"/>
  <c r="M114" i="1"/>
  <c r="N114" i="1" s="1"/>
  <c r="M426" i="1"/>
  <c r="O426" i="1" s="1"/>
  <c r="M74" i="1"/>
  <c r="M90" i="1"/>
  <c r="O90" i="1" s="1"/>
  <c r="M343" i="1"/>
  <c r="O343" i="1" s="1"/>
  <c r="M474" i="1"/>
  <c r="N474" i="1" s="1"/>
  <c r="M860" i="1"/>
  <c r="O860" i="1" s="1"/>
  <c r="M54" i="1"/>
  <c r="M309" i="1"/>
  <c r="O309" i="1" s="1"/>
  <c r="M321" i="1"/>
  <c r="O321" i="1" s="1"/>
  <c r="M246" i="1"/>
  <c r="O246" i="1" s="1"/>
  <c r="M241" i="1"/>
  <c r="N241" i="1" s="1"/>
  <c r="M623" i="1"/>
  <c r="O623" i="1" s="1"/>
  <c r="M78" i="1"/>
  <c r="M162" i="1"/>
  <c r="O162" i="1" s="1"/>
  <c r="M317" i="1"/>
  <c r="O317" i="1" s="1"/>
  <c r="M422" i="1"/>
  <c r="O422" i="1" s="1"/>
  <c r="M492" i="1"/>
  <c r="O492" i="1" s="1"/>
  <c r="M595" i="1"/>
  <c r="O595" i="1" s="1"/>
  <c r="M12" i="1"/>
  <c r="M434" i="1"/>
  <c r="O434" i="1" s="1"/>
  <c r="M484" i="1"/>
  <c r="O484" i="1" s="1"/>
  <c r="M496" i="1"/>
  <c r="O496" i="1" s="1"/>
  <c r="M528" i="1"/>
  <c r="N528" i="1" s="1"/>
  <c r="M693" i="1"/>
  <c r="O693" i="1" s="1"/>
  <c r="M46" i="1"/>
  <c r="M24" i="1"/>
  <c r="M187" i="1"/>
  <c r="O187" i="1" s="1"/>
  <c r="M219" i="1"/>
  <c r="O219" i="1" s="1"/>
  <c r="M414" i="1"/>
  <c r="O414" i="1" s="1"/>
  <c r="M313" i="1"/>
  <c r="O313" i="1" s="1"/>
  <c r="M493" i="1"/>
  <c r="O493" i="1" s="1"/>
  <c r="M357" i="1"/>
  <c r="O357" i="1" s="1"/>
  <c r="M365" i="1"/>
  <c r="N365" i="1" s="1"/>
  <c r="M373" i="1"/>
  <c r="O373" i="1" s="1"/>
  <c r="M381" i="1"/>
  <c r="O381" i="1" s="1"/>
  <c r="M389" i="1"/>
  <c r="O389" i="1" s="1"/>
  <c r="M397" i="1"/>
  <c r="N397" i="1" s="1"/>
  <c r="M410" i="1"/>
  <c r="O410" i="1" s="1"/>
  <c r="M50" i="1"/>
  <c r="M182" i="1"/>
  <c r="O182" i="1" s="1"/>
  <c r="M253" i="1"/>
  <c r="O253" i="1" s="1"/>
  <c r="M228" i="1"/>
  <c r="O228" i="1" s="1"/>
  <c r="M249" i="1"/>
  <c r="N249" i="1" s="1"/>
  <c r="M281" i="1"/>
  <c r="N281" i="1" s="1"/>
  <c r="M524" i="1"/>
  <c r="O524" i="1" s="1"/>
  <c r="M402" i="1"/>
  <c r="O402" i="1" s="1"/>
  <c r="M809" i="1"/>
  <c r="O809" i="1" s="1"/>
  <c r="M885" i="1"/>
  <c r="O885" i="1" s="1"/>
  <c r="M760" i="1"/>
  <c r="N760" i="1" s="1"/>
  <c r="M844" i="1"/>
  <c r="O844" i="1" s="1"/>
  <c r="M867" i="1"/>
  <c r="O867" i="1" s="1"/>
  <c r="M935" i="1"/>
  <c r="O935" i="1" s="1"/>
  <c r="M952" i="1"/>
  <c r="N952" i="1" s="1"/>
  <c r="M587" i="1"/>
  <c r="M717" i="1"/>
  <c r="O717" i="1" s="1"/>
  <c r="M694" i="1"/>
  <c r="N694" i="1" s="1"/>
  <c r="M781" i="1"/>
  <c r="O781" i="1" s="1"/>
  <c r="M797" i="1"/>
  <c r="O797" i="1" s="1"/>
  <c r="M771" i="1"/>
  <c r="O771" i="1" s="1"/>
  <c r="M840" i="1"/>
  <c r="O840" i="1" s="1"/>
  <c r="M906" i="1"/>
  <c r="N906" i="1" s="1"/>
  <c r="M917" i="1"/>
  <c r="O917" i="1" s="1"/>
  <c r="M930" i="1"/>
  <c r="O930" i="1" s="1"/>
  <c r="M619" i="1"/>
  <c r="O619" i="1" s="1"/>
  <c r="M701" i="1"/>
  <c r="M864" i="1"/>
  <c r="O864" i="1" s="1"/>
  <c r="M828" i="1"/>
  <c r="O828" i="1" s="1"/>
  <c r="M899" i="1"/>
  <c r="O899" i="1" s="1"/>
  <c r="M939" i="1"/>
  <c r="O939" i="1" s="1"/>
  <c r="M996" i="1"/>
  <c r="O996" i="1" s="1"/>
  <c r="M326" i="1"/>
  <c r="O326" i="1" s="1"/>
  <c r="M931" i="1"/>
  <c r="O931" i="1" s="1"/>
  <c r="I410" i="1"/>
  <c r="I166" i="1"/>
  <c r="J132" i="1"/>
  <c r="J287" i="1"/>
  <c r="J319" i="1"/>
  <c r="I387" i="1"/>
  <c r="J110" i="1"/>
  <c r="I277" i="1"/>
  <c r="J361" i="1"/>
  <c r="I88" i="1"/>
  <c r="I431" i="1"/>
  <c r="J763" i="1"/>
  <c r="I795" i="1"/>
  <c r="I891" i="1"/>
  <c r="J669" i="1"/>
  <c r="I739" i="1"/>
  <c r="J744" i="1"/>
  <c r="J214" i="1"/>
  <c r="I951" i="1"/>
  <c r="I450" i="1"/>
  <c r="J948" i="1"/>
  <c r="I204" i="1"/>
  <c r="J385" i="1"/>
  <c r="I112" i="1"/>
  <c r="J156" i="1"/>
  <c r="I168" i="1"/>
  <c r="J291" i="1"/>
  <c r="I391" i="1"/>
  <c r="J553" i="1"/>
  <c r="I516" i="1"/>
  <c r="I476" i="1"/>
  <c r="J983" i="1"/>
  <c r="I974" i="1"/>
  <c r="I955" i="1"/>
  <c r="J648" i="1"/>
  <c r="I910" i="1"/>
  <c r="I895" i="1"/>
  <c r="I100" i="1"/>
  <c r="J466" i="1"/>
  <c r="I799" i="1"/>
  <c r="J160" i="1"/>
  <c r="I379" i="1"/>
  <c r="I557" i="1"/>
  <c r="J480" i="1"/>
  <c r="J633" i="1"/>
  <c r="I998" i="1"/>
  <c r="I185" i="1"/>
  <c r="I352" i="1"/>
  <c r="J193" i="1"/>
  <c r="J522" i="1"/>
  <c r="J932" i="1"/>
  <c r="I932" i="1"/>
  <c r="I251" i="1"/>
  <c r="J251" i="1"/>
  <c r="I527" i="1"/>
  <c r="J527" i="1"/>
  <c r="J776" i="1"/>
  <c r="I776" i="1"/>
  <c r="J471" i="1"/>
  <c r="I471" i="1"/>
  <c r="J1001" i="1"/>
  <c r="I1001" i="1"/>
  <c r="I829" i="1"/>
  <c r="J829" i="1"/>
  <c r="I279" i="1"/>
  <c r="J818" i="1"/>
  <c r="J94" i="1"/>
  <c r="J966" i="1"/>
  <c r="I940" i="1"/>
  <c r="I602" i="1"/>
  <c r="I562" i="1"/>
  <c r="J870" i="1"/>
  <c r="J904" i="1"/>
  <c r="J1000" i="1"/>
  <c r="J104" i="1"/>
  <c r="J656" i="1"/>
  <c r="I942" i="1"/>
  <c r="R43" i="1"/>
  <c r="I30" i="1"/>
  <c r="J652" i="1"/>
  <c r="I758" i="1"/>
  <c r="J861" i="1"/>
  <c r="J275" i="1"/>
  <c r="I380" i="1"/>
  <c r="J806" i="1"/>
  <c r="J902" i="1"/>
  <c r="I892" i="1"/>
  <c r="J227" i="1"/>
  <c r="I708" i="1"/>
  <c r="I417" i="1"/>
  <c r="I498" i="1"/>
  <c r="J590" i="1"/>
  <c r="I377" i="1"/>
  <c r="J804" i="1"/>
  <c r="I487" i="1"/>
  <c r="J811" i="1"/>
  <c r="J546" i="1"/>
  <c r="J447" i="1"/>
  <c r="I566" i="1"/>
  <c r="M813" i="1"/>
  <c r="O813" i="1" s="1"/>
  <c r="M928" i="1"/>
  <c r="O928" i="1" s="1"/>
  <c r="M327" i="1"/>
  <c r="O327" i="1" s="1"/>
  <c r="M403" i="1"/>
  <c r="N403" i="1" s="1"/>
  <c r="I35" i="1"/>
  <c r="M941" i="1"/>
  <c r="N941" i="1" s="1"/>
  <c r="M88" i="1"/>
  <c r="AS163" i="1"/>
  <c r="J452" i="1"/>
  <c r="M624" i="1"/>
  <c r="O624" i="1" s="1"/>
  <c r="AS542" i="1"/>
  <c r="M949" i="1"/>
  <c r="N949" i="1" s="1"/>
  <c r="AS916" i="1"/>
  <c r="I201" i="1"/>
  <c r="J344" i="1"/>
  <c r="AS43" i="1"/>
  <c r="AS123" i="1"/>
  <c r="J460" i="1"/>
  <c r="J397" i="1"/>
  <c r="M672" i="1"/>
  <c r="N672" i="1" s="1"/>
  <c r="AS780" i="1"/>
  <c r="AS796" i="1"/>
  <c r="M32" i="1"/>
  <c r="O32" i="1" s="1"/>
  <c r="M900" i="1"/>
  <c r="O900" i="1" s="1"/>
  <c r="J404" i="1"/>
  <c r="M964" i="1"/>
  <c r="N964" i="1" s="1"/>
  <c r="J412" i="1"/>
  <c r="M112" i="1"/>
  <c r="N112" i="1" s="1"/>
  <c r="M972" i="1"/>
  <c r="O972" i="1" s="1"/>
  <c r="M738" i="1"/>
  <c r="O738" i="1" s="1"/>
  <c r="I838" i="1"/>
  <c r="M311" i="1"/>
  <c r="O311" i="1" s="1"/>
  <c r="I819" i="1"/>
  <c r="M335" i="1"/>
  <c r="O335" i="1" s="1"/>
  <c r="I855" i="1"/>
  <c r="J912" i="1"/>
  <c r="I876" i="1"/>
  <c r="I626" i="1"/>
  <c r="M302" i="1"/>
  <c r="O302" i="1" s="1"/>
  <c r="M684" i="1"/>
  <c r="O684" i="1" s="1"/>
  <c r="AS975" i="1"/>
  <c r="M712" i="1"/>
  <c r="O712" i="1" s="1"/>
  <c r="M728" i="1"/>
  <c r="O728" i="1" s="1"/>
  <c r="I34" i="1"/>
  <c r="M168" i="1"/>
  <c r="O168" i="1" s="1"/>
  <c r="J124" i="1"/>
  <c r="J140" i="1"/>
  <c r="M227" i="1"/>
  <c r="N227" i="1" s="1"/>
  <c r="I427" i="1"/>
  <c r="AS652" i="1"/>
  <c r="AS167" i="1"/>
  <c r="I261" i="1"/>
  <c r="I540" i="1"/>
  <c r="AS708" i="1"/>
  <c r="J881" i="1"/>
  <c r="M692" i="1"/>
  <c r="N692" i="1" s="1"/>
  <c r="I993" i="1"/>
  <c r="J276" i="1"/>
  <c r="I606" i="1"/>
  <c r="J853" i="1"/>
  <c r="J845" i="1"/>
  <c r="I146" i="1"/>
  <c r="I356" i="1"/>
  <c r="J29" i="1"/>
  <c r="M30" i="1"/>
  <c r="O30" i="1" s="1"/>
  <c r="M231" i="1"/>
  <c r="O231" i="1" s="1"/>
  <c r="M120" i="1"/>
  <c r="I293" i="1"/>
  <c r="J389" i="1"/>
  <c r="I245" i="1"/>
  <c r="M290" i="1"/>
  <c r="J458" i="1"/>
  <c r="I301" i="1"/>
  <c r="J987" i="1"/>
  <c r="M825" i="1"/>
  <c r="N825" i="1" s="1"/>
  <c r="J617" i="1"/>
  <c r="I901" i="1"/>
  <c r="J149" i="1"/>
  <c r="J664" i="1"/>
  <c r="I760" i="1"/>
  <c r="J854" i="1"/>
  <c r="J424" i="1"/>
  <c r="I574" i="1"/>
  <c r="I368" i="1"/>
  <c r="I535" i="1"/>
  <c r="J502" i="1"/>
  <c r="I194" i="1"/>
  <c r="I267" i="1"/>
  <c r="I645" i="1"/>
  <c r="I907" i="1"/>
  <c r="I953" i="1"/>
  <c r="I92" i="1"/>
  <c r="I700" i="1"/>
  <c r="J726" i="1"/>
  <c r="I138" i="1"/>
  <c r="J514" i="1"/>
  <c r="I849" i="1"/>
  <c r="J929" i="1"/>
  <c r="J847" i="1"/>
  <c r="J734" i="1"/>
  <c r="I956" i="1"/>
  <c r="J198" i="1"/>
  <c r="J846" i="1"/>
  <c r="M541" i="1"/>
  <c r="I556" i="1"/>
  <c r="M179" i="1"/>
  <c r="I425" i="1"/>
  <c r="J259" i="1"/>
  <c r="M878" i="1"/>
  <c r="O878" i="1" s="1"/>
  <c r="M233" i="1"/>
  <c r="O233" i="1" s="1"/>
  <c r="M794" i="1"/>
  <c r="N794" i="1" s="1"/>
  <c r="M920" i="1"/>
  <c r="O920" i="1" s="1"/>
  <c r="I666" i="1"/>
  <c r="J504" i="1"/>
  <c r="J264" i="1"/>
  <c r="M431" i="1"/>
  <c r="N431" i="1" s="1"/>
  <c r="M700" i="1"/>
  <c r="N700" i="1" s="1"/>
  <c r="M967" i="1"/>
  <c r="O967" i="1" s="1"/>
  <c r="J257" i="1"/>
  <c r="I38" i="1"/>
  <c r="I20" i="1"/>
  <c r="J20" i="1"/>
  <c r="M635" i="1"/>
  <c r="O635" i="1" s="1"/>
  <c r="I157" i="1"/>
  <c r="J483" i="1"/>
  <c r="I440" i="1"/>
  <c r="I177" i="1"/>
  <c r="M718" i="1"/>
  <c r="N718" i="1" s="1"/>
  <c r="M676" i="1"/>
  <c r="O676" i="1" s="1"/>
  <c r="M708" i="1"/>
  <c r="O708" i="1" s="1"/>
  <c r="M736" i="1"/>
  <c r="O736" i="1" s="1"/>
  <c r="I624" i="1"/>
  <c r="J972" i="1"/>
  <c r="I696" i="1"/>
  <c r="I392" i="1"/>
  <c r="I594" i="1"/>
  <c r="J239" i="1"/>
  <c r="J600" i="1"/>
  <c r="I85" i="1"/>
  <c r="I118" i="1"/>
  <c r="I692" i="1"/>
  <c r="J459" i="1"/>
  <c r="M979" i="1"/>
  <c r="O979" i="1" s="1"/>
  <c r="J432" i="1"/>
  <c r="I150" i="1"/>
  <c r="J241" i="1"/>
  <c r="I526" i="1"/>
  <c r="J813" i="1"/>
  <c r="J202" i="1"/>
  <c r="J968" i="1"/>
  <c r="J550" i="1"/>
  <c r="I17" i="1"/>
  <c r="I218" i="1"/>
  <c r="M664" i="1"/>
  <c r="N664" i="1" s="1"/>
  <c r="M16" i="1"/>
  <c r="AS103" i="1"/>
  <c r="M670" i="1"/>
  <c r="O670" i="1" s="1"/>
  <c r="M538" i="1"/>
  <c r="N538" i="1" s="1"/>
  <c r="J244" i="1"/>
  <c r="I598" i="1"/>
  <c r="I658" i="1"/>
  <c r="I22" i="1"/>
  <c r="I98" i="1"/>
  <c r="J515" i="1"/>
  <c r="I841" i="1"/>
  <c r="J933" i="1"/>
  <c r="I839" i="1"/>
  <c r="M237" i="1"/>
  <c r="O237" i="1" s="1"/>
  <c r="M636" i="1"/>
  <c r="N636" i="1" s="1"/>
  <c r="M696" i="1"/>
  <c r="N696" i="1" s="1"/>
  <c r="AS923" i="1"/>
  <c r="J969" i="1"/>
  <c r="I778" i="1"/>
  <c r="J678" i="1"/>
  <c r="M11" i="1"/>
  <c r="M96" i="1"/>
  <c r="O96" i="1" s="1"/>
  <c r="M778" i="1"/>
  <c r="O778" i="1" s="1"/>
  <c r="J833" i="1"/>
  <c r="I154" i="1"/>
  <c r="I831" i="1"/>
  <c r="I33" i="1"/>
  <c r="I142" i="1"/>
  <c r="M588" i="1"/>
  <c r="N588" i="1" s="1"/>
  <c r="M817" i="1"/>
  <c r="N817" i="1" s="1"/>
  <c r="I722" i="1"/>
  <c r="J320" i="1"/>
  <c r="M916" i="1"/>
  <c r="O916" i="1" s="1"/>
  <c r="M884" i="1"/>
  <c r="O884" i="1" s="1"/>
  <c r="M956" i="1"/>
  <c r="O956" i="1" s="1"/>
  <c r="I210" i="1"/>
  <c r="I186" i="1"/>
  <c r="I467" i="1"/>
  <c r="I21" i="1"/>
  <c r="J263" i="1"/>
  <c r="I688" i="1"/>
  <c r="M886" i="1"/>
  <c r="O886" i="1" s="1"/>
  <c r="M921" i="1"/>
  <c r="O921" i="1" s="1"/>
  <c r="I134" i="1"/>
  <c r="J468" i="1"/>
  <c r="I52" i="1"/>
  <c r="I222" i="1"/>
  <c r="I560" i="1"/>
  <c r="J296" i="1"/>
  <c r="I48" i="1"/>
  <c r="M208" i="1"/>
  <c r="O208" i="1" s="1"/>
  <c r="M748" i="1"/>
  <c r="N748" i="1" s="1"/>
  <c r="M933" i="1"/>
  <c r="O933" i="1" s="1"/>
  <c r="M798" i="1"/>
  <c r="N798" i="1" s="1"/>
  <c r="M547" i="1"/>
  <c r="N547" i="1" s="1"/>
  <c r="M568" i="1"/>
  <c r="O568" i="1" s="1"/>
  <c r="M580" i="1"/>
  <c r="O580" i="1" s="1"/>
  <c r="M584" i="1"/>
  <c r="O584" i="1" s="1"/>
  <c r="M550" i="1"/>
  <c r="O550" i="1" s="1"/>
  <c r="M582" i="1"/>
  <c r="N582" i="1" s="1"/>
  <c r="M811" i="1"/>
  <c r="N811" i="1" s="1"/>
  <c r="M989" i="1"/>
  <c r="O989" i="1" s="1"/>
  <c r="I256" i="1"/>
  <c r="J530" i="1"/>
  <c r="J408" i="1"/>
  <c r="I865" i="1"/>
  <c r="I40" i="1"/>
  <c r="I206" i="1"/>
  <c r="J980" i="1"/>
  <c r="M338" i="1"/>
  <c r="O338" i="1" s="1"/>
  <c r="M351" i="1"/>
  <c r="O351" i="1" s="1"/>
  <c r="M732" i="1"/>
  <c r="O732" i="1" s="1"/>
  <c r="M722" i="1"/>
  <c r="O722" i="1" s="1"/>
  <c r="M754" i="1"/>
  <c r="N754" i="1" s="1"/>
  <c r="M756" i="1"/>
  <c r="N756" i="1" s="1"/>
  <c r="M1003" i="1"/>
  <c r="N1003" i="1" s="1"/>
  <c r="M502" i="1"/>
  <c r="O502" i="1" s="1"/>
  <c r="J676" i="1"/>
  <c r="J482" i="1"/>
  <c r="I736" i="1"/>
  <c r="I682" i="1"/>
  <c r="J247" i="1"/>
  <c r="I620" i="1"/>
  <c r="J614" i="1"/>
  <c r="I455" i="1"/>
  <c r="M975" i="1"/>
  <c r="O975" i="1" s="1"/>
  <c r="M602" i="1"/>
  <c r="N602" i="1" s="1"/>
  <c r="M806" i="1"/>
  <c r="N806" i="1" s="1"/>
  <c r="M868" i="1"/>
  <c r="N868" i="1" s="1"/>
  <c r="M653" i="1"/>
  <c r="M688" i="1"/>
  <c r="O688" i="1" s="1"/>
  <c r="I376" i="1"/>
  <c r="I592" i="1"/>
  <c r="I668" i="1"/>
  <c r="I421" i="1"/>
  <c r="I672" i="1"/>
  <c r="M262" i="1"/>
  <c r="I794" i="1"/>
  <c r="I850" i="1"/>
  <c r="J217" i="1"/>
  <c r="I360" i="1"/>
  <c r="I105" i="1"/>
  <c r="I880" i="1"/>
  <c r="I240" i="1"/>
  <c r="J428" i="1"/>
  <c r="I9" i="1"/>
  <c r="J654" i="1"/>
  <c r="I97" i="1"/>
  <c r="I945" i="1"/>
  <c r="J445" i="1"/>
  <c r="I750" i="1"/>
  <c r="J437" i="1"/>
  <c r="I874" i="1"/>
  <c r="I81" i="1"/>
  <c r="J336" i="1"/>
  <c r="M13" i="1"/>
  <c r="M204" i="1"/>
  <c r="O204" i="1" s="1"/>
  <c r="M716" i="1"/>
  <c r="O716" i="1" s="1"/>
  <c r="M958" i="1"/>
  <c r="O958" i="1" s="1"/>
  <c r="I768" i="1"/>
  <c r="J409" i="1"/>
  <c r="J857" i="1"/>
  <c r="I126" i="1"/>
  <c r="J231" i="1"/>
  <c r="J190" i="1"/>
  <c r="J490" i="1"/>
  <c r="I130" i="1"/>
  <c r="I650" i="1"/>
  <c r="I570" i="1"/>
  <c r="I300" i="1"/>
  <c r="I451" i="1"/>
  <c r="I479" i="1"/>
  <c r="J584" i="1"/>
  <c r="I884" i="1"/>
  <c r="M107" i="1"/>
  <c r="M64" i="1"/>
  <c r="O64" i="1" s="1"/>
  <c r="M295" i="1"/>
  <c r="O295" i="1" s="1"/>
  <c r="R18" i="1"/>
  <c r="M983" i="1"/>
  <c r="O983" i="1" s="1"/>
  <c r="M999" i="1"/>
  <c r="N999" i="1" s="1"/>
  <c r="M710" i="1"/>
  <c r="O710" i="1" s="1"/>
  <c r="M740" i="1"/>
  <c r="O740" i="1" s="1"/>
  <c r="M704" i="1"/>
  <c r="O704" i="1" s="1"/>
  <c r="I958" i="1"/>
  <c r="I792" i="1"/>
  <c r="I272" i="1"/>
  <c r="J554" i="1"/>
  <c r="I512" i="1"/>
  <c r="M458" i="1"/>
  <c r="I830" i="1"/>
  <c r="I53" i="1"/>
  <c r="M686" i="1"/>
  <c r="O686" i="1" s="1"/>
  <c r="M815" i="1"/>
  <c r="O815" i="1" s="1"/>
  <c r="M67" i="1"/>
  <c r="M990" i="1"/>
  <c r="N990" i="1" s="1"/>
  <c r="M960" i="1"/>
  <c r="O960" i="1" s="1"/>
  <c r="M876" i="1"/>
  <c r="N876" i="1" s="1"/>
  <c r="M172" i="1"/>
  <c r="O172" i="1" s="1"/>
  <c r="M270" i="1"/>
  <c r="O270" i="1" s="1"/>
  <c r="M38" i="1"/>
  <c r="O38" i="1" s="1"/>
  <c r="M706" i="1"/>
  <c r="O706" i="1" s="1"/>
  <c r="M660" i="1"/>
  <c r="O660" i="1" s="1"/>
  <c r="M323" i="1"/>
  <c r="M690" i="1"/>
  <c r="N690" i="1" s="1"/>
  <c r="M887" i="1"/>
  <c r="O887" i="1" s="1"/>
  <c r="M984" i="1"/>
  <c r="N984" i="1" s="1"/>
  <c r="M973" i="1"/>
  <c r="O973" i="1" s="1"/>
  <c r="M17" i="1"/>
  <c r="O17" i="1" s="1"/>
  <c r="M29" i="1"/>
  <c r="O29" i="1" s="1"/>
  <c r="M248" i="1"/>
  <c r="N248" i="1" s="1"/>
  <c r="M650" i="1"/>
  <c r="O650" i="1" s="1"/>
  <c r="I780" i="1"/>
  <c r="J544" i="1"/>
  <c r="M875" i="1"/>
  <c r="O875" i="1" s="1"/>
  <c r="J724" i="1"/>
  <c r="I420" i="1"/>
  <c r="I523" i="1"/>
  <c r="M629" i="1"/>
  <c r="O629" i="1" s="1"/>
  <c r="J129" i="1"/>
  <c r="M527" i="1"/>
  <c r="N527" i="1" s="1"/>
  <c r="M61" i="1"/>
  <c r="M89" i="1"/>
  <c r="M567" i="1"/>
  <c r="O567" i="1" s="1"/>
  <c r="M14" i="1"/>
  <c r="M247" i="1"/>
  <c r="O247" i="1" s="1"/>
  <c r="M648" i="1"/>
  <c r="N648" i="1" s="1"/>
  <c r="M554" i="1"/>
  <c r="O554" i="1" s="1"/>
  <c r="M668" i="1"/>
  <c r="O668" i="1" s="1"/>
  <c r="M837" i="1"/>
  <c r="N837" i="1" s="1"/>
  <c r="M841" i="1"/>
  <c r="N841" i="1" s="1"/>
  <c r="M904" i="1"/>
  <c r="O904" i="1" s="1"/>
  <c r="M914" i="1"/>
  <c r="I718" i="1"/>
  <c r="J618" i="1"/>
  <c r="M507" i="1"/>
  <c r="N507" i="1" s="1"/>
  <c r="M593" i="1"/>
  <c r="O593" i="1" s="1"/>
  <c r="M260" i="1"/>
  <c r="N260" i="1" s="1"/>
  <c r="M259" i="1"/>
  <c r="N259" i="1" s="1"/>
  <c r="M22" i="1"/>
  <c r="O22" i="1" s="1"/>
  <c r="M322" i="1"/>
  <c r="M557" i="1"/>
  <c r="M478" i="1"/>
  <c r="O478" i="1" s="1"/>
  <c r="M542" i="1"/>
  <c r="O542" i="1" s="1"/>
  <c r="M683" i="1"/>
  <c r="O683" i="1" s="1"/>
  <c r="M40" i="1"/>
  <c r="M155" i="1"/>
  <c r="M226" i="1"/>
  <c r="O226" i="1" s="1"/>
  <c r="M258" i="1"/>
  <c r="O258" i="1" s="1"/>
  <c r="M354" i="1"/>
  <c r="O354" i="1" s="1"/>
  <c r="M362" i="1"/>
  <c r="O362" i="1" s="1"/>
  <c r="M370" i="1"/>
  <c r="M378" i="1"/>
  <c r="O378" i="1" s="1"/>
  <c r="M386" i="1"/>
  <c r="M394" i="1"/>
  <c r="O394" i="1" s="1"/>
  <c r="M250" i="1"/>
  <c r="M282" i="1"/>
  <c r="M513" i="1"/>
  <c r="M673" i="1"/>
  <c r="O673" i="1" s="1"/>
  <c r="M719" i="1"/>
  <c r="O719" i="1" s="1"/>
  <c r="M530" i="1"/>
  <c r="J491" i="1"/>
  <c r="M230" i="1"/>
  <c r="O230" i="1" s="1"/>
  <c r="M238" i="1"/>
  <c r="O238" i="1" s="1"/>
  <c r="M360" i="1"/>
  <c r="O360" i="1" s="1"/>
  <c r="M380" i="1"/>
  <c r="O380" i="1" s="1"/>
  <c r="M392" i="1"/>
  <c r="N392" i="1" s="1"/>
  <c r="M479" i="1"/>
  <c r="O479" i="1" s="1"/>
  <c r="M543" i="1"/>
  <c r="O543" i="1" s="1"/>
  <c r="M526" i="1"/>
  <c r="N526" i="1" s="1"/>
  <c r="M617" i="1"/>
  <c r="O617" i="1" s="1"/>
  <c r="M578" i="1"/>
  <c r="O578" i="1" s="1"/>
  <c r="M944" i="1"/>
  <c r="O944" i="1" s="1"/>
  <c r="M953" i="1"/>
  <c r="O953" i="1" s="1"/>
  <c r="M998" i="1"/>
  <c r="O998" i="1" s="1"/>
  <c r="M566" i="1"/>
  <c r="O566" i="1" s="1"/>
  <c r="M665" i="1"/>
  <c r="O665" i="1" s="1"/>
  <c r="M727" i="1"/>
  <c r="O727" i="1" s="1"/>
  <c r="M743" i="1"/>
  <c r="O743" i="1" s="1"/>
  <c r="M810" i="1"/>
  <c r="N810" i="1" s="1"/>
  <c r="M791" i="1"/>
  <c r="M869" i="1"/>
  <c r="O869" i="1" s="1"/>
  <c r="M1000" i="1"/>
  <c r="O1000" i="1" s="1"/>
  <c r="M995" i="1"/>
  <c r="O995" i="1" s="1"/>
  <c r="J604" i="1"/>
  <c r="J638" i="1"/>
  <c r="J822" i="1"/>
  <c r="J499" i="1"/>
  <c r="I499" i="1"/>
  <c r="J436" i="1"/>
  <c r="I436" i="1"/>
  <c r="J478" i="1"/>
  <c r="J543" i="1"/>
  <c r="I32" i="1"/>
  <c r="I495" i="1"/>
  <c r="J495" i="1"/>
  <c r="J89" i="1"/>
  <c r="I89" i="1"/>
  <c r="J348" i="1"/>
  <c r="I348" i="1"/>
  <c r="M105" i="1"/>
  <c r="N105" i="1" s="1"/>
  <c r="M252" i="1"/>
  <c r="O252" i="1" s="1"/>
  <c r="M288" i="1"/>
  <c r="O288" i="1" s="1"/>
  <c r="M296" i="1"/>
  <c r="O296" i="1" s="1"/>
  <c r="M312" i="1"/>
  <c r="N312" i="1" s="1"/>
  <c r="M671" i="1"/>
  <c r="O671" i="1" s="1"/>
  <c r="J93" i="1"/>
  <c r="I93" i="1"/>
  <c r="M147" i="1"/>
  <c r="O147" i="1" s="1"/>
  <c r="M367" i="1"/>
  <c r="O367" i="1" s="1"/>
  <c r="M235" i="1"/>
  <c r="O235" i="1" s="1"/>
  <c r="M432" i="1"/>
  <c r="N432" i="1" s="1"/>
  <c r="M581" i="1"/>
  <c r="O581" i="1" s="1"/>
  <c r="M119" i="1"/>
  <c r="M830" i="1"/>
  <c r="O830" i="1" s="1"/>
  <c r="M862" i="1"/>
  <c r="O862" i="1" s="1"/>
  <c r="M769" i="1"/>
  <c r="O769" i="1" s="1"/>
  <c r="M877" i="1"/>
  <c r="O877" i="1" s="1"/>
  <c r="M553" i="1"/>
  <c r="M483" i="1"/>
  <c r="O483" i="1" s="1"/>
  <c r="M499" i="1"/>
  <c r="O499" i="1" s="1"/>
  <c r="M726" i="1"/>
  <c r="O726" i="1" s="1"/>
  <c r="M552" i="1"/>
  <c r="O552" i="1" s="1"/>
  <c r="M572" i="1"/>
  <c r="N572" i="1" s="1"/>
  <c r="M576" i="1"/>
  <c r="N576" i="1" s="1"/>
  <c r="M601" i="1"/>
  <c r="O601" i="1" s="1"/>
  <c r="M645" i="1"/>
  <c r="O645" i="1" s="1"/>
  <c r="M622" i="1"/>
  <c r="O622" i="1" s="1"/>
  <c r="M711" i="1"/>
  <c r="O711" i="1" s="1"/>
  <c r="M606" i="1"/>
  <c r="O606" i="1" s="1"/>
  <c r="M669" i="1"/>
  <c r="M685" i="1"/>
  <c r="O685" i="1" s="1"/>
  <c r="J113" i="1"/>
  <c r="I113" i="1"/>
  <c r="M113" i="1"/>
  <c r="O113" i="1" s="1"/>
  <c r="M271" i="1"/>
  <c r="O271" i="1" s="1"/>
  <c r="M304" i="1"/>
  <c r="N304" i="1" s="1"/>
  <c r="M320" i="1"/>
  <c r="O320" i="1" s="1"/>
  <c r="M324" i="1"/>
  <c r="O324" i="1" s="1"/>
  <c r="M328" i="1"/>
  <c r="O328" i="1" s="1"/>
  <c r="M332" i="1"/>
  <c r="O332" i="1" s="1"/>
  <c r="M336" i="1"/>
  <c r="N336" i="1" s="1"/>
  <c r="M340" i="1"/>
  <c r="O340" i="1" s="1"/>
  <c r="M344" i="1"/>
  <c r="O344" i="1" s="1"/>
  <c r="M348" i="1"/>
  <c r="N348" i="1" s="1"/>
  <c r="M364" i="1"/>
  <c r="N364" i="1" s="1"/>
  <c r="M376" i="1"/>
  <c r="O376" i="1" s="1"/>
  <c r="M396" i="1"/>
  <c r="N396" i="1" s="1"/>
  <c r="M444" i="1"/>
  <c r="O444" i="1" s="1"/>
  <c r="M561" i="1"/>
  <c r="O561" i="1" s="1"/>
  <c r="M511" i="1"/>
  <c r="N511" i="1" s="1"/>
  <c r="M167" i="1"/>
  <c r="O167" i="1" s="1"/>
  <c r="M375" i="1"/>
  <c r="O375" i="1" s="1"/>
  <c r="M185" i="1"/>
  <c r="O185" i="1" s="1"/>
  <c r="M201" i="1"/>
  <c r="O201" i="1" s="1"/>
  <c r="M9" i="1"/>
  <c r="O9" i="1" s="1"/>
  <c r="M53" i="1"/>
  <c r="N53" i="1" s="1"/>
  <c r="M734" i="1"/>
  <c r="N734" i="1" s="1"/>
  <c r="M765" i="1"/>
  <c r="O765" i="1" s="1"/>
  <c r="M466" i="1"/>
  <c r="O466" i="1" s="1"/>
  <c r="M352" i="1"/>
  <c r="N352" i="1" s="1"/>
  <c r="M372" i="1"/>
  <c r="O372" i="1" s="1"/>
  <c r="M384" i="1"/>
  <c r="O384" i="1" s="1"/>
  <c r="M111" i="1"/>
  <c r="M169" i="1"/>
  <c r="O169" i="1" s="1"/>
  <c r="M225" i="1"/>
  <c r="O225" i="1" s="1"/>
  <c r="M280" i="1"/>
  <c r="O280" i="1" s="1"/>
  <c r="M652" i="1"/>
  <c r="O652" i="1" s="1"/>
  <c r="M551" i="1"/>
  <c r="O551" i="1" s="1"/>
  <c r="M583" i="1"/>
  <c r="O583" i="1" s="1"/>
  <c r="M99" i="1"/>
  <c r="O99" i="1" s="1"/>
  <c r="M139" i="1"/>
  <c r="M243" i="1"/>
  <c r="N243" i="1" s="1"/>
  <c r="M275" i="1"/>
  <c r="O275" i="1" s="1"/>
  <c r="M192" i="1"/>
  <c r="O192" i="1" s="1"/>
  <c r="M143" i="1"/>
  <c r="M395" i="1"/>
  <c r="O395" i="1" s="1"/>
  <c r="M256" i="1"/>
  <c r="O256" i="1" s="1"/>
  <c r="M783" i="1"/>
  <c r="O783" i="1" s="1"/>
  <c r="M459" i="1"/>
  <c r="N459" i="1" s="1"/>
  <c r="M462" i="1"/>
  <c r="M563" i="1"/>
  <c r="M679" i="1"/>
  <c r="O679" i="1" s="1"/>
  <c r="M677" i="1"/>
  <c r="O677" i="1" s="1"/>
  <c r="M518" i="1"/>
  <c r="O518" i="1" s="1"/>
  <c r="M761" i="1"/>
  <c r="M890" i="1"/>
  <c r="O890" i="1" s="1"/>
  <c r="M48" i="1"/>
  <c r="O48" i="1" s="1"/>
  <c r="M193" i="1"/>
  <c r="O193" i="1" s="1"/>
  <c r="M43" i="1"/>
  <c r="O43" i="1" s="1"/>
  <c r="M534" i="1"/>
  <c r="O534" i="1" s="1"/>
  <c r="M663" i="1"/>
  <c r="O663" i="1" s="1"/>
  <c r="M803" i="1"/>
  <c r="O803" i="1" s="1"/>
  <c r="M821" i="1"/>
  <c r="O821" i="1" s="1"/>
  <c r="M853" i="1"/>
  <c r="O853" i="1" s="1"/>
  <c r="M991" i="1"/>
  <c r="O991" i="1" s="1"/>
  <c r="J340" i="1"/>
  <c r="I340" i="1"/>
  <c r="M436" i="1"/>
  <c r="N436" i="1" s="1"/>
  <c r="M453" i="1"/>
  <c r="O453" i="1" s="1"/>
  <c r="M461" i="1"/>
  <c r="O461" i="1" s="1"/>
  <c r="M469" i="1"/>
  <c r="O469" i="1" s="1"/>
  <c r="M537" i="1"/>
  <c r="O537" i="1" s="1"/>
  <c r="M161" i="1"/>
  <c r="N161" i="1" s="1"/>
  <c r="M177" i="1"/>
  <c r="O177" i="1" s="1"/>
  <c r="M475" i="1"/>
  <c r="O475" i="1" s="1"/>
  <c r="M539" i="1"/>
  <c r="N539" i="1" s="1"/>
  <c r="M609" i="1"/>
  <c r="O609" i="1" s="1"/>
  <c r="M667" i="1"/>
  <c r="O667" i="1" s="1"/>
  <c r="M127" i="1"/>
  <c r="O127" i="1" s="1"/>
  <c r="M674" i="1"/>
  <c r="O674" i="1" s="1"/>
  <c r="M919" i="1"/>
  <c r="O919" i="1" s="1"/>
  <c r="M1004" i="1"/>
  <c r="N1004" i="1" s="1"/>
  <c r="M929" i="1"/>
  <c r="O929" i="1" s="1"/>
  <c r="M945" i="1"/>
  <c r="N945" i="1" s="1"/>
  <c r="M963" i="1"/>
  <c r="O963" i="1" s="1"/>
  <c r="J312" i="1"/>
  <c r="I312" i="1"/>
  <c r="M131" i="1"/>
  <c r="O131" i="1" s="1"/>
  <c r="M109" i="1"/>
  <c r="M124" i="1"/>
  <c r="O124" i="1" s="1"/>
  <c r="M132" i="1"/>
  <c r="O132" i="1" s="1"/>
  <c r="M140" i="1"/>
  <c r="O140" i="1" s="1"/>
  <c r="M148" i="1"/>
  <c r="O148" i="1" s="1"/>
  <c r="M156" i="1"/>
  <c r="O156" i="1" s="1"/>
  <c r="M268" i="1"/>
  <c r="O268" i="1" s="1"/>
  <c r="M565" i="1"/>
  <c r="O565" i="1" s="1"/>
  <c r="M447" i="1"/>
  <c r="O447" i="1" s="1"/>
  <c r="M84" i="1"/>
  <c r="M71" i="1"/>
  <c r="M103" i="1"/>
  <c r="O103" i="1" s="1"/>
  <c r="M175" i="1"/>
  <c r="M151" i="1"/>
  <c r="M44" i="1"/>
  <c r="O44" i="1" s="1"/>
  <c r="M65" i="1"/>
  <c r="M68" i="1"/>
  <c r="M264" i="1"/>
  <c r="O264" i="1" s="1"/>
  <c r="M569" i="1"/>
  <c r="M523" i="1"/>
  <c r="O523" i="1" s="1"/>
  <c r="M26" i="1"/>
  <c r="O26" i="1" s="1"/>
  <c r="M21" i="1"/>
  <c r="O21" i="1" s="1"/>
  <c r="M28" i="1"/>
  <c r="O28" i="1" s="1"/>
  <c r="M115" i="1"/>
  <c r="M45" i="1"/>
  <c r="M121" i="1"/>
  <c r="O121" i="1" s="1"/>
  <c r="M242" i="1"/>
  <c r="O242" i="1" s="1"/>
  <c r="M284" i="1"/>
  <c r="O284" i="1" s="1"/>
  <c r="M292" i="1"/>
  <c r="O292" i="1" s="1"/>
  <c r="M300" i="1"/>
  <c r="N300" i="1" s="1"/>
  <c r="M308" i="1"/>
  <c r="O308" i="1" s="1"/>
  <c r="M316" i="1"/>
  <c r="O316" i="1" s="1"/>
  <c r="M404" i="1"/>
  <c r="N404" i="1" s="1"/>
  <c r="M412" i="1"/>
  <c r="N412" i="1" s="1"/>
  <c r="M420" i="1"/>
  <c r="O420" i="1" s="1"/>
  <c r="M428" i="1"/>
  <c r="O428" i="1" s="1"/>
  <c r="M505" i="1"/>
  <c r="O505" i="1" s="1"/>
  <c r="M597" i="1"/>
  <c r="O597" i="1" s="1"/>
  <c r="M266" i="1"/>
  <c r="O266" i="1" s="1"/>
  <c r="M644" i="1"/>
  <c r="O644" i="1" s="1"/>
  <c r="M494" i="1"/>
  <c r="O494" i="1" s="1"/>
  <c r="M209" i="1"/>
  <c r="O209" i="1" s="1"/>
  <c r="M34" i="1"/>
  <c r="O34" i="1" s="1"/>
  <c r="M36" i="1"/>
  <c r="O36" i="1" s="1"/>
  <c r="M37" i="1"/>
  <c r="O37" i="1" s="1"/>
  <c r="M234" i="1"/>
  <c r="O234" i="1" s="1"/>
  <c r="M128" i="1"/>
  <c r="M136" i="1"/>
  <c r="M144" i="1"/>
  <c r="O144" i="1" s="1"/>
  <c r="M152" i="1"/>
  <c r="M274" i="1"/>
  <c r="O274" i="1" s="1"/>
  <c r="M255" i="1"/>
  <c r="O255" i="1" s="1"/>
  <c r="M299" i="1"/>
  <c r="O299" i="1" s="1"/>
  <c r="M315" i="1"/>
  <c r="O315" i="1" s="1"/>
  <c r="M356" i="1"/>
  <c r="O356" i="1" s="1"/>
  <c r="M368" i="1"/>
  <c r="N368" i="1" s="1"/>
  <c r="M388" i="1"/>
  <c r="O388" i="1" s="1"/>
  <c r="M449" i="1"/>
  <c r="O449" i="1" s="1"/>
  <c r="M457" i="1"/>
  <c r="O457" i="1" s="1"/>
  <c r="M465" i="1"/>
  <c r="O465" i="1" s="1"/>
  <c r="M473" i="1"/>
  <c r="O473" i="1" s="1"/>
  <c r="M585" i="1"/>
  <c r="O585" i="1" s="1"/>
  <c r="M495" i="1"/>
  <c r="O495" i="1" s="1"/>
  <c r="M873" i="1"/>
  <c r="O873" i="1" s="1"/>
  <c r="M51" i="1"/>
  <c r="O51" i="1" s="1"/>
  <c r="M196" i="1"/>
  <c r="O196" i="1" s="1"/>
  <c r="M212" i="1"/>
  <c r="O212" i="1" s="1"/>
  <c r="M224" i="1"/>
  <c r="O224" i="1" s="1"/>
  <c r="M159" i="1"/>
  <c r="O159" i="1" s="1"/>
  <c r="M135" i="1"/>
  <c r="M57" i="1"/>
  <c r="M69" i="1"/>
  <c r="M73" i="1"/>
  <c r="M77" i="1"/>
  <c r="M81" i="1"/>
  <c r="M92" i="1"/>
  <c r="O92" i="1" s="1"/>
  <c r="M200" i="1"/>
  <c r="M176" i="1"/>
  <c r="O176" i="1" s="1"/>
  <c r="M229" i="1"/>
  <c r="O229" i="1" s="1"/>
  <c r="M298" i="1"/>
  <c r="O298" i="1" s="1"/>
  <c r="M180" i="1"/>
  <c r="O180" i="1" s="1"/>
  <c r="M355" i="1"/>
  <c r="O355" i="1" s="1"/>
  <c r="M371" i="1"/>
  <c r="O371" i="1" s="1"/>
  <c r="M387" i="1"/>
  <c r="O387" i="1" s="1"/>
  <c r="M52" i="1"/>
  <c r="M347" i="1"/>
  <c r="O347" i="1" s="1"/>
  <c r="M790" i="1"/>
  <c r="N790" i="1" s="1"/>
  <c r="M786" i="1"/>
  <c r="O786" i="1" s="1"/>
  <c r="M435" i="1"/>
  <c r="M682" i="1"/>
  <c r="O682" i="1" s="1"/>
  <c r="M654" i="1"/>
  <c r="O654" i="1" s="1"/>
  <c r="M630" i="1"/>
  <c r="N630" i="1" s="1"/>
  <c r="M784" i="1"/>
  <c r="N784" i="1" s="1"/>
  <c r="M768" i="1"/>
  <c r="O768" i="1" s="1"/>
  <c r="M804" i="1"/>
  <c r="M992" i="1"/>
  <c r="M123" i="1"/>
  <c r="M339" i="1"/>
  <c r="M780" i="1"/>
  <c r="M880" i="1"/>
  <c r="M974" i="1"/>
  <c r="O974" i="1" s="1"/>
  <c r="M614" i="1"/>
  <c r="M924" i="1"/>
  <c r="M596" i="1"/>
  <c r="M678" i="1"/>
  <c r="M750" i="1"/>
  <c r="M829" i="1"/>
  <c r="M908" i="1"/>
  <c r="J324" i="1"/>
  <c r="I324" i="1"/>
  <c r="I730" i="1"/>
  <c r="J730" i="1"/>
  <c r="I616" i="1"/>
  <c r="J616" i="1"/>
  <c r="J921" i="1"/>
  <c r="I921" i="1"/>
  <c r="J28" i="1"/>
  <c r="I28" i="1"/>
  <c r="I732" i="1"/>
  <c r="J732" i="1"/>
  <c r="I558" i="1"/>
  <c r="J558" i="1"/>
  <c r="J786" i="1"/>
  <c r="I786" i="1"/>
  <c r="J308" i="1"/>
  <c r="I308" i="1"/>
  <c r="I405" i="1"/>
  <c r="J405" i="1"/>
  <c r="J572" i="1"/>
  <c r="J784" i="1"/>
  <c r="I784" i="1"/>
  <c r="I622" i="1"/>
  <c r="I29" i="1"/>
  <c r="J823" i="1"/>
  <c r="I823" i="1"/>
  <c r="I859" i="1"/>
  <c r="J859" i="1"/>
  <c r="I429" i="1"/>
  <c r="J429" i="1"/>
  <c r="I519" i="1"/>
  <c r="M72" i="1"/>
  <c r="M76" i="1"/>
  <c r="M80" i="1"/>
  <c r="M93" i="1"/>
  <c r="O93" i="1" s="1"/>
  <c r="M97" i="1"/>
  <c r="O97" i="1" s="1"/>
  <c r="M217" i="1"/>
  <c r="N217" i="1" s="1"/>
  <c r="M514" i="1"/>
  <c r="O514" i="1" s="1"/>
  <c r="M577" i="1"/>
  <c r="M497" i="1"/>
  <c r="O497" i="1" s="1"/>
  <c r="M529" i="1"/>
  <c r="O529" i="1" s="1"/>
  <c r="M491" i="1"/>
  <c r="O491" i="1" s="1"/>
  <c r="M510" i="1"/>
  <c r="O510" i="1" s="1"/>
  <c r="M575" i="1"/>
  <c r="O575" i="1" s="1"/>
  <c r="M83" i="1"/>
  <c r="O83" i="1" s="1"/>
  <c r="M75" i="1"/>
  <c r="M33" i="1"/>
  <c r="M160" i="1"/>
  <c r="M286" i="1"/>
  <c r="M318" i="1"/>
  <c r="M423" i="1"/>
  <c r="O423" i="1" s="1"/>
  <c r="M439" i="1"/>
  <c r="O439" i="1" s="1"/>
  <c r="M8" i="1"/>
  <c r="O8" i="1" s="1"/>
  <c r="M399" i="1"/>
  <c r="O399" i="1" s="1"/>
  <c r="M358" i="1"/>
  <c r="O358" i="1" s="1"/>
  <c r="M366" i="1"/>
  <c r="O366" i="1" s="1"/>
  <c r="M374" i="1"/>
  <c r="O374" i="1" s="1"/>
  <c r="M382" i="1"/>
  <c r="O382" i="1" s="1"/>
  <c r="M390" i="1"/>
  <c r="O390" i="1" s="1"/>
  <c r="M398" i="1"/>
  <c r="O398" i="1" s="1"/>
  <c r="M573" i="1"/>
  <c r="O573" i="1" s="1"/>
  <c r="M244" i="1"/>
  <c r="O244" i="1" s="1"/>
  <c r="M263" i="1"/>
  <c r="O263" i="1" s="1"/>
  <c r="M108" i="1"/>
  <c r="M95" i="1"/>
  <c r="M171" i="1"/>
  <c r="O171" i="1" s="1"/>
  <c r="M334" i="1"/>
  <c r="O334" i="1" s="1"/>
  <c r="M49" i="1"/>
  <c r="M157" i="1"/>
  <c r="O157" i="1" s="1"/>
  <c r="M173" i="1"/>
  <c r="O173" i="1" s="1"/>
  <c r="M197" i="1"/>
  <c r="O197" i="1" s="1"/>
  <c r="M213" i="1"/>
  <c r="O213" i="1" s="1"/>
  <c r="M272" i="1"/>
  <c r="O272" i="1" s="1"/>
  <c r="M481" i="1"/>
  <c r="M545" i="1"/>
  <c r="M604" i="1"/>
  <c r="O604" i="1" s="1"/>
  <c r="M594" i="1"/>
  <c r="O594" i="1" s="1"/>
  <c r="M610" i="1"/>
  <c r="O610" i="1" s="1"/>
  <c r="M687" i="1"/>
  <c r="O687" i="1" s="1"/>
  <c r="M751" i="1"/>
  <c r="O751" i="1" s="1"/>
  <c r="M782" i="1"/>
  <c r="O782" i="1" s="1"/>
  <c r="M799" i="1"/>
  <c r="O799" i="1" s="1"/>
  <c r="M911" i="1"/>
  <c r="O911" i="1" s="1"/>
  <c r="M993" i="1"/>
  <c r="O993" i="1" s="1"/>
  <c r="M450" i="1"/>
  <c r="M463" i="1"/>
  <c r="O463" i="1" s="1"/>
  <c r="M487" i="1"/>
  <c r="O487" i="1" s="1"/>
  <c r="M506" i="1"/>
  <c r="O506" i="1" s="1"/>
  <c r="M519" i="1"/>
  <c r="O519" i="1" s="1"/>
  <c r="M535" i="1"/>
  <c r="O535" i="1" s="1"/>
  <c r="M637" i="1"/>
  <c r="O637" i="1" s="1"/>
  <c r="M802" i="1"/>
  <c r="O802" i="1" s="1"/>
  <c r="M661" i="1"/>
  <c r="O661" i="1" s="1"/>
  <c r="M698" i="1"/>
  <c r="O698" i="1" s="1"/>
  <c r="M905" i="1"/>
  <c r="O905" i="1" s="1"/>
  <c r="M954" i="1"/>
  <c r="O954" i="1" s="1"/>
  <c r="M997" i="1"/>
  <c r="O997" i="1" s="1"/>
  <c r="M616" i="1"/>
  <c r="O616" i="1" s="1"/>
  <c r="M515" i="1"/>
  <c r="O515" i="1" s="1"/>
  <c r="M531" i="1"/>
  <c r="O531" i="1" s="1"/>
  <c r="M772" i="1"/>
  <c r="O772" i="1" s="1"/>
  <c r="M620" i="1"/>
  <c r="O620" i="1" s="1"/>
  <c r="M675" i="1"/>
  <c r="M642" i="1"/>
  <c r="O642" i="1" s="1"/>
  <c r="M681" i="1"/>
  <c r="O681" i="1" s="1"/>
  <c r="M695" i="1"/>
  <c r="O695" i="1" s="1"/>
  <c r="M775" i="1"/>
  <c r="M897" i="1"/>
  <c r="O897" i="1" s="1"/>
  <c r="M579" i="1"/>
  <c r="M757" i="1"/>
  <c r="O757" i="1" s="1"/>
  <c r="M770" i="1"/>
  <c r="O770" i="1" s="1"/>
  <c r="M812" i="1"/>
  <c r="O812" i="1" s="1"/>
  <c r="M800" i="1"/>
  <c r="O800" i="1" s="1"/>
  <c r="M834" i="1"/>
  <c r="O834" i="1" s="1"/>
  <c r="M850" i="1"/>
  <c r="N850" i="1" s="1"/>
  <c r="M866" i="1"/>
  <c r="O866" i="1" s="1"/>
  <c r="M871" i="1"/>
  <c r="O871" i="1" s="1"/>
  <c r="M874" i="1"/>
  <c r="O874" i="1" s="1"/>
  <c r="M895" i="1"/>
  <c r="O895" i="1" s="1"/>
  <c r="M907" i="1"/>
  <c r="O907" i="1" s="1"/>
  <c r="M971" i="1"/>
  <c r="O971" i="1" s="1"/>
  <c r="M443" i="1"/>
  <c r="M330" i="1"/>
  <c r="O330" i="1" s="1"/>
  <c r="M477" i="1"/>
  <c r="M892" i="1"/>
  <c r="O892" i="1" s="1"/>
  <c r="M962" i="1"/>
  <c r="O962" i="1" s="1"/>
  <c r="M60" i="1"/>
  <c r="M184" i="1"/>
  <c r="M216" i="1"/>
  <c r="M411" i="1"/>
  <c r="M47" i="1"/>
  <c r="O47" i="1" s="1"/>
  <c r="M936" i="1"/>
  <c r="M91" i="1"/>
  <c r="M23" i="1"/>
  <c r="O23" i="1" s="1"/>
  <c r="M988" i="1"/>
  <c r="M19" i="1"/>
  <c r="M940" i="1"/>
  <c r="M702" i="1"/>
  <c r="M796" i="1"/>
  <c r="M792" i="1"/>
  <c r="M774" i="1"/>
  <c r="M15" i="1"/>
  <c r="M10" i="1"/>
  <c r="M27" i="1"/>
  <c r="J712" i="1"/>
  <c r="I712" i="1"/>
  <c r="J288" i="1"/>
  <c r="I288" i="1"/>
  <c r="I564" i="1"/>
  <c r="J564" i="1"/>
  <c r="I977" i="1"/>
  <c r="J977" i="1"/>
  <c r="I996" i="1"/>
  <c r="J996" i="1"/>
  <c r="I964" i="1"/>
  <c r="J964" i="1"/>
  <c r="J463" i="1"/>
  <c r="I796" i="1"/>
  <c r="J796" i="1"/>
  <c r="J817" i="1"/>
  <c r="I817" i="1"/>
  <c r="I114" i="1"/>
  <c r="J114" i="1"/>
  <c r="I934" i="1"/>
  <c r="J934" i="1"/>
  <c r="I960" i="1"/>
  <c r="J960" i="1"/>
  <c r="I433" i="1"/>
  <c r="J433" i="1"/>
  <c r="J536" i="1"/>
  <c r="J580" i="1"/>
  <c r="I580" i="1"/>
  <c r="M87" i="1"/>
  <c r="M116" i="1"/>
  <c r="M104" i="1"/>
  <c r="O104" i="1" s="1"/>
  <c r="M310" i="1"/>
  <c r="M415" i="1"/>
  <c r="O415" i="1" s="1"/>
  <c r="M592" i="1"/>
  <c r="O592" i="1" s="1"/>
  <c r="M525" i="1"/>
  <c r="O525" i="1" s="1"/>
  <c r="M279" i="1"/>
  <c r="O279" i="1" s="1"/>
  <c r="M79" i="1"/>
  <c r="M164" i="1"/>
  <c r="O164" i="1" s="1"/>
  <c r="M350" i="1"/>
  <c r="O350" i="1" s="1"/>
  <c r="M363" i="1"/>
  <c r="O363" i="1" s="1"/>
  <c r="M379" i="1"/>
  <c r="O379" i="1" s="1"/>
  <c r="M391" i="1"/>
  <c r="O391" i="1" s="1"/>
  <c r="M509" i="1"/>
  <c r="O509" i="1" s="1"/>
  <c r="M283" i="1"/>
  <c r="O283" i="1" s="1"/>
  <c r="M521" i="1"/>
  <c r="O521" i="1" s="1"/>
  <c r="M451" i="1"/>
  <c r="N451" i="1" s="1"/>
  <c r="M454" i="1"/>
  <c r="M467" i="1"/>
  <c r="O467" i="1" s="1"/>
  <c r="M656" i="1"/>
  <c r="N656" i="1" s="1"/>
  <c r="M820" i="1"/>
  <c r="O820" i="1" s="1"/>
  <c r="M714" i="1"/>
  <c r="O714" i="1" s="1"/>
  <c r="M833" i="1"/>
  <c r="O833" i="1" s="1"/>
  <c r="M486" i="1"/>
  <c r="O486" i="1" s="1"/>
  <c r="M632" i="1"/>
  <c r="O632" i="1" s="1"/>
  <c r="M558" i="1"/>
  <c r="O558" i="1" s="1"/>
  <c r="M574" i="1"/>
  <c r="N574" i="1" s="1"/>
  <c r="M634" i="1"/>
  <c r="O634" i="1" s="1"/>
  <c r="M901" i="1"/>
  <c r="O901" i="1" s="1"/>
  <c r="M489" i="1"/>
  <c r="M666" i="1"/>
  <c r="O666" i="1" s="1"/>
  <c r="M764" i="1"/>
  <c r="O764" i="1" s="1"/>
  <c r="M762" i="1"/>
  <c r="O762" i="1" s="1"/>
  <c r="M865" i="1"/>
  <c r="N865" i="1" s="1"/>
  <c r="M948" i="1"/>
  <c r="M976" i="1"/>
  <c r="N976" i="1" s="1"/>
  <c r="M987" i="1"/>
  <c r="M1002" i="1"/>
  <c r="M485" i="1"/>
  <c r="O485" i="1" s="1"/>
  <c r="M498" i="1"/>
  <c r="M346" i="1"/>
  <c r="O346" i="1" s="1"/>
  <c r="M788" i="1"/>
  <c r="M845" i="1"/>
  <c r="M870" i="1"/>
  <c r="M923" i="1"/>
  <c r="M18" i="1"/>
  <c r="O18" i="1" s="1"/>
  <c r="M598" i="1"/>
  <c r="M888" i="1"/>
  <c r="I790" i="1"/>
  <c r="I547" i="1"/>
  <c r="J547" i="1"/>
  <c r="J612" i="1"/>
  <c r="J710" i="1"/>
  <c r="I710" i="1"/>
  <c r="J441" i="1"/>
  <c r="I441" i="1"/>
  <c r="J496" i="1"/>
  <c r="I496" i="1"/>
  <c r="J999" i="1"/>
  <c r="I999" i="1"/>
  <c r="I578" i="1"/>
  <c r="J578" i="1"/>
  <c r="J694" i="1"/>
  <c r="I694" i="1"/>
  <c r="J528" i="1"/>
  <c r="I528" i="1"/>
  <c r="J488" i="1"/>
  <c r="I488" i="1"/>
  <c r="I746" i="1"/>
  <c r="J746" i="1"/>
  <c r="I748" i="1"/>
  <c r="J748" i="1"/>
  <c r="I680" i="1"/>
  <c r="J680" i="1"/>
  <c r="I872" i="1"/>
  <c r="J872" i="1"/>
  <c r="I938" i="1"/>
  <c r="J938" i="1"/>
  <c r="I634" i="1"/>
  <c r="J634" i="1"/>
  <c r="I728" i="1"/>
  <c r="J728" i="1"/>
  <c r="M559" i="1"/>
  <c r="O559" i="1" s="1"/>
  <c r="M55" i="1"/>
  <c r="M63" i="1"/>
  <c r="O63" i="1" s="1"/>
  <c r="M25" i="1"/>
  <c r="O25" i="1" s="1"/>
  <c r="M41" i="1"/>
  <c r="M407" i="1"/>
  <c r="O407" i="1" s="1"/>
  <c r="M383" i="1"/>
  <c r="M276" i="1"/>
  <c r="N276" i="1" s="1"/>
  <c r="M59" i="1"/>
  <c r="M359" i="1"/>
  <c r="O359" i="1" s="1"/>
  <c r="M331" i="1"/>
  <c r="O331" i="1" s="1"/>
  <c r="M165" i="1"/>
  <c r="O165" i="1" s="1"/>
  <c r="M181" i="1"/>
  <c r="O181" i="1" s="1"/>
  <c r="M189" i="1"/>
  <c r="N189" i="1" s="1"/>
  <c r="M205" i="1"/>
  <c r="M221" i="1"/>
  <c r="N221" i="1" s="1"/>
  <c r="M240" i="1"/>
  <c r="O240" i="1" s="1"/>
  <c r="M570" i="1"/>
  <c r="N570" i="1" s="1"/>
  <c r="M703" i="1"/>
  <c r="O703" i="1" s="1"/>
  <c r="M735" i="1"/>
  <c r="O735" i="1" s="1"/>
  <c r="M816" i="1"/>
  <c r="O816" i="1" s="1"/>
  <c r="M846" i="1"/>
  <c r="N846" i="1" s="1"/>
  <c r="M879" i="1"/>
  <c r="O879" i="1" s="1"/>
  <c r="M903" i="1"/>
  <c r="O903" i="1" s="1"/>
  <c r="M455" i="1"/>
  <c r="O455" i="1" s="1"/>
  <c r="M470" i="1"/>
  <c r="M471" i="1"/>
  <c r="O471" i="1" s="1"/>
  <c r="M503" i="1"/>
  <c r="N503" i="1" s="1"/>
  <c r="M427" i="1"/>
  <c r="O427" i="1" s="1"/>
  <c r="M662" i="1"/>
  <c r="O662" i="1" s="1"/>
  <c r="M556" i="1"/>
  <c r="N556" i="1" s="1"/>
  <c r="M560" i="1"/>
  <c r="O560" i="1" s="1"/>
  <c r="M564" i="1"/>
  <c r="N564" i="1" s="1"/>
  <c r="M600" i="1"/>
  <c r="O600" i="1" s="1"/>
  <c r="M626" i="1"/>
  <c r="O626" i="1" s="1"/>
  <c r="M658" i="1"/>
  <c r="N658" i="1" s="1"/>
  <c r="M773" i="1"/>
  <c r="O773" i="1" s="1"/>
  <c r="M927" i="1"/>
  <c r="O927" i="1" s="1"/>
  <c r="M937" i="1"/>
  <c r="O937" i="1" s="1"/>
  <c r="M590" i="1"/>
  <c r="N590" i="1" s="1"/>
  <c r="M902" i="1"/>
  <c r="O902" i="1" s="1"/>
  <c r="M932" i="1"/>
  <c r="M861" i="1"/>
  <c r="M56" i="1"/>
  <c r="M35" i="1"/>
  <c r="O35" i="1" s="1"/>
  <c r="M849" i="1"/>
  <c r="M746" i="1"/>
  <c r="M808" i="1"/>
  <c r="M39" i="1"/>
  <c r="M608" i="1"/>
  <c r="M730" i="1"/>
  <c r="M776" i="1"/>
  <c r="M966" i="1"/>
  <c r="M314" i="1"/>
  <c r="M31" i="1"/>
  <c r="J145" i="1"/>
  <c r="I145" i="1"/>
  <c r="J304" i="1"/>
  <c r="I304" i="1"/>
  <c r="J281" i="1"/>
  <c r="I281" i="1"/>
  <c r="J740" i="1"/>
  <c r="I740" i="1"/>
  <c r="J908" i="1"/>
  <c r="I908" i="1"/>
  <c r="I316" i="1"/>
  <c r="J316" i="1"/>
  <c r="J720" i="1"/>
  <c r="I720" i="1"/>
  <c r="I752" i="1"/>
  <c r="J752" i="1"/>
  <c r="I704" i="1"/>
  <c r="J704" i="1"/>
  <c r="I23" i="1"/>
  <c r="I808" i="1"/>
  <c r="I916" i="1"/>
  <c r="J916" i="1"/>
  <c r="I646" i="1"/>
  <c r="J30" i="1"/>
  <c r="R51" i="1"/>
  <c r="AS962" i="1"/>
  <c r="AS808" i="1"/>
  <c r="AS724" i="1"/>
  <c r="AS948" i="1"/>
  <c r="Q62" i="1"/>
  <c r="AS62" i="1"/>
  <c r="AS40" i="1"/>
  <c r="Q40" i="1"/>
  <c r="AS24" i="1"/>
  <c r="Q24" i="1"/>
  <c r="Q115" i="1"/>
  <c r="AS115" i="1"/>
  <c r="Q108" i="1"/>
  <c r="AS108" i="1"/>
  <c r="AS125" i="1"/>
  <c r="Q125" i="1"/>
  <c r="R125" i="1" s="1"/>
  <c r="AS149" i="1"/>
  <c r="Q149" i="1"/>
  <c r="R149" i="1" s="1"/>
  <c r="AS165" i="1"/>
  <c r="Q165" i="1"/>
  <c r="R165" i="1" s="1"/>
  <c r="AS181" i="1"/>
  <c r="Q181" i="1"/>
  <c r="R181" i="1" s="1"/>
  <c r="Q213" i="1"/>
  <c r="R213" i="1" s="1"/>
  <c r="AS213" i="1"/>
  <c r="AS198" i="1"/>
  <c r="Q198" i="1"/>
  <c r="R198" i="1" s="1"/>
  <c r="AS214" i="1"/>
  <c r="Q214" i="1"/>
  <c r="R214" i="1" s="1"/>
  <c r="AS222" i="1"/>
  <c r="Q222" i="1"/>
  <c r="R222" i="1" s="1"/>
  <c r="AS268" i="1"/>
  <c r="Q268" i="1"/>
  <c r="R268" i="1" s="1"/>
  <c r="Q295" i="1"/>
  <c r="R295" i="1" s="1"/>
  <c r="AS295" i="1"/>
  <c r="Q311" i="1"/>
  <c r="R311" i="1" s="1"/>
  <c r="AS311" i="1"/>
  <c r="AS368" i="1"/>
  <c r="Q368" i="1"/>
  <c r="R368" i="1" s="1"/>
  <c r="Q403" i="1"/>
  <c r="R403" i="1" s="1"/>
  <c r="AS403" i="1"/>
  <c r="Q411" i="1"/>
  <c r="R411" i="1" s="1"/>
  <c r="AS411" i="1"/>
  <c r="Q427" i="1"/>
  <c r="R427" i="1" s="1"/>
  <c r="AS427" i="1"/>
  <c r="Q440" i="1"/>
  <c r="R440" i="1" s="1"/>
  <c r="AS440" i="1"/>
  <c r="AS405" i="1"/>
  <c r="Q405" i="1"/>
  <c r="R405" i="1" s="1"/>
  <c r="AS429" i="1"/>
  <c r="Q429" i="1"/>
  <c r="R429" i="1" s="1"/>
  <c r="Q505" i="1"/>
  <c r="R505" i="1" s="1"/>
  <c r="AS505" i="1"/>
  <c r="Q873" i="1"/>
  <c r="R873" i="1" s="1"/>
  <c r="AS873" i="1"/>
  <c r="Q78" i="1"/>
  <c r="AS78" i="1"/>
  <c r="Q86" i="1"/>
  <c r="AS86" i="1"/>
  <c r="AS38" i="1"/>
  <c r="Q38" i="1"/>
  <c r="R38" i="1" s="1"/>
  <c r="Q84" i="1"/>
  <c r="AS84" i="1"/>
  <c r="AS150" i="1"/>
  <c r="Q150" i="1"/>
  <c r="R150" i="1" s="1"/>
  <c r="Q285" i="1"/>
  <c r="R285" i="1" s="1"/>
  <c r="AS285" i="1"/>
  <c r="Q302" i="1"/>
  <c r="R302" i="1" s="1"/>
  <c r="AS302" i="1"/>
  <c r="Q422" i="1"/>
  <c r="R422" i="1" s="1"/>
  <c r="AS422" i="1"/>
  <c r="Q363" i="1"/>
  <c r="R363" i="1" s="1"/>
  <c r="AS363" i="1"/>
  <c r="Q395" i="1"/>
  <c r="R395" i="1" s="1"/>
  <c r="AS395" i="1"/>
  <c r="Q438" i="1"/>
  <c r="R438" i="1" s="1"/>
  <c r="AS438" i="1"/>
  <c r="AS57" i="1"/>
  <c r="Q57" i="1"/>
  <c r="AS69" i="1"/>
  <c r="Q69" i="1"/>
  <c r="AS73" i="1"/>
  <c r="Q73" i="1"/>
  <c r="AS77" i="1"/>
  <c r="Q77" i="1"/>
  <c r="AS81" i="1"/>
  <c r="Q81" i="1"/>
  <c r="Q88" i="1"/>
  <c r="AS88" i="1"/>
  <c r="AS101" i="1"/>
  <c r="Q101" i="1"/>
  <c r="R101" i="1" s="1"/>
  <c r="Q104" i="1"/>
  <c r="R104" i="1" s="1"/>
  <c r="AS104" i="1"/>
  <c r="Q160" i="1"/>
  <c r="R160" i="1" s="1"/>
  <c r="AS160" i="1"/>
  <c r="Q176" i="1"/>
  <c r="R176" i="1" s="1"/>
  <c r="AS176" i="1"/>
  <c r="Q212" i="1"/>
  <c r="R212" i="1" s="1"/>
  <c r="AS212" i="1"/>
  <c r="Q220" i="1"/>
  <c r="R220" i="1" s="1"/>
  <c r="AS220" i="1"/>
  <c r="Q446" i="1"/>
  <c r="R446" i="1" s="1"/>
  <c r="AS446" i="1"/>
  <c r="AS265" i="1"/>
  <c r="Q265" i="1"/>
  <c r="R265" i="1" s="1"/>
  <c r="Q418" i="1"/>
  <c r="R418" i="1" s="1"/>
  <c r="AS418" i="1"/>
  <c r="Q477" i="1"/>
  <c r="R477" i="1" s="1"/>
  <c r="AS477" i="1"/>
  <c r="Q251" i="1"/>
  <c r="R251" i="1" s="1"/>
  <c r="AS251" i="1"/>
  <c r="AS264" i="1"/>
  <c r="Q264" i="1"/>
  <c r="R264" i="1" s="1"/>
  <c r="Q793" i="1"/>
  <c r="R793" i="1" s="1"/>
  <c r="AS793" i="1"/>
  <c r="AS491" i="1"/>
  <c r="Q491" i="1"/>
  <c r="R491" i="1" s="1"/>
  <c r="Q575" i="1"/>
  <c r="R575" i="1" s="1"/>
  <c r="AS575" i="1"/>
  <c r="Q641" i="1"/>
  <c r="R641" i="1" s="1"/>
  <c r="AS641" i="1"/>
  <c r="Q667" i="1"/>
  <c r="R667" i="1" s="1"/>
  <c r="AS667" i="1"/>
  <c r="Q683" i="1"/>
  <c r="R683" i="1" s="1"/>
  <c r="AS683" i="1"/>
  <c r="Q72" i="1"/>
  <c r="AS72" i="1"/>
  <c r="Q100" i="1"/>
  <c r="R100" i="1" s="1"/>
  <c r="AS100" i="1"/>
  <c r="Q31" i="1"/>
  <c r="R31" i="1" s="1"/>
  <c r="AS31" i="1"/>
  <c r="Q47" i="1"/>
  <c r="R47" i="1" s="1"/>
  <c r="AS47" i="1"/>
  <c r="Q175" i="1"/>
  <c r="R175" i="1" s="1"/>
  <c r="AS175" i="1"/>
  <c r="Q184" i="1"/>
  <c r="R184" i="1" s="1"/>
  <c r="AS184" i="1"/>
  <c r="Q203" i="1"/>
  <c r="AS203" i="1"/>
  <c r="Q216" i="1"/>
  <c r="R216" i="1" s="1"/>
  <c r="AS216" i="1"/>
  <c r="Q116" i="1"/>
  <c r="AS116" i="1"/>
  <c r="Q139" i="1"/>
  <c r="R139" i="1" s="1"/>
  <c r="AS139" i="1"/>
  <c r="Q334" i="1"/>
  <c r="R334" i="1" s="1"/>
  <c r="AS334" i="1"/>
  <c r="Q351" i="1"/>
  <c r="R351" i="1" s="1"/>
  <c r="AS351" i="1"/>
  <c r="AS229" i="1"/>
  <c r="Q229" i="1"/>
  <c r="R229" i="1" s="1"/>
  <c r="AS194" i="1"/>
  <c r="Q194" i="1"/>
  <c r="R194" i="1" s="1"/>
  <c r="Q247" i="1"/>
  <c r="R247" i="1" s="1"/>
  <c r="AS247" i="1"/>
  <c r="Q279" i="1"/>
  <c r="R279" i="1" s="1"/>
  <c r="AS279" i="1"/>
  <c r="AS357" i="1"/>
  <c r="Q357" i="1"/>
  <c r="R357" i="1" s="1"/>
  <c r="AS365" i="1"/>
  <c r="Q365" i="1"/>
  <c r="R365" i="1" s="1"/>
  <c r="AS373" i="1"/>
  <c r="Q373" i="1"/>
  <c r="R373" i="1" s="1"/>
  <c r="AS381" i="1"/>
  <c r="Q381" i="1"/>
  <c r="R381" i="1" s="1"/>
  <c r="AS389" i="1"/>
  <c r="Q389" i="1"/>
  <c r="R389" i="1" s="1"/>
  <c r="AS397" i="1"/>
  <c r="Q397" i="1"/>
  <c r="R397" i="1" s="1"/>
  <c r="Q410" i="1"/>
  <c r="R410" i="1" s="1"/>
  <c r="AS410" i="1"/>
  <c r="Q107" i="1"/>
  <c r="AS107" i="1"/>
  <c r="AS32" i="1"/>
  <c r="Q32" i="1"/>
  <c r="R32" i="1" s="1"/>
  <c r="Q76" i="1"/>
  <c r="AS76" i="1"/>
  <c r="Q223" i="1"/>
  <c r="AS223" i="1"/>
  <c r="Q127" i="1"/>
  <c r="R127" i="1" s="1"/>
  <c r="AS127" i="1"/>
  <c r="Q341" i="1"/>
  <c r="R341" i="1" s="1"/>
  <c r="AS341" i="1"/>
  <c r="Q338" i="1"/>
  <c r="R338" i="1" s="1"/>
  <c r="AS338" i="1"/>
  <c r="Q314" i="1"/>
  <c r="R314" i="1" s="1"/>
  <c r="AS314" i="1"/>
  <c r="Q52" i="1"/>
  <c r="AS52" i="1"/>
  <c r="AS236" i="1"/>
  <c r="Q236" i="1"/>
  <c r="R236" i="1" s="1"/>
  <c r="Q282" i="1"/>
  <c r="R282" i="1" s="1"/>
  <c r="AS282" i="1"/>
  <c r="Q501" i="1"/>
  <c r="R501" i="1" s="1"/>
  <c r="AS501" i="1"/>
  <c r="Q243" i="1"/>
  <c r="R243" i="1" s="1"/>
  <c r="AS243" i="1"/>
  <c r="AS256" i="1"/>
  <c r="Q256" i="1"/>
  <c r="R256" i="1" s="1"/>
  <c r="AS401" i="1"/>
  <c r="Q401" i="1"/>
  <c r="R401" i="1" s="1"/>
  <c r="Q545" i="1"/>
  <c r="R545" i="1" s="1"/>
  <c r="AS545" i="1"/>
  <c r="Q617" i="1"/>
  <c r="R617" i="1" s="1"/>
  <c r="AS617" i="1"/>
  <c r="Q648" i="1"/>
  <c r="R648" i="1" s="1"/>
  <c r="AS648" i="1"/>
  <c r="AS586" i="1"/>
  <c r="Q586" i="1"/>
  <c r="R586" i="1" s="1"/>
  <c r="AS630" i="1"/>
  <c r="Q630" i="1"/>
  <c r="R630" i="1" s="1"/>
  <c r="AS638" i="1"/>
  <c r="Q638" i="1"/>
  <c r="R638" i="1" s="1"/>
  <c r="Q673" i="1"/>
  <c r="R673" i="1" s="1"/>
  <c r="AS673" i="1"/>
  <c r="AS670" i="1"/>
  <c r="Q670" i="1"/>
  <c r="R670" i="1" s="1"/>
  <c r="AS674" i="1"/>
  <c r="Q674" i="1"/>
  <c r="R674" i="1" s="1"/>
  <c r="Q890" i="1"/>
  <c r="R890" i="1" s="1"/>
  <c r="AS890" i="1"/>
  <c r="Q809" i="1"/>
  <c r="R809" i="1" s="1"/>
  <c r="AS809" i="1"/>
  <c r="AS684" i="1"/>
  <c r="Q684" i="1"/>
  <c r="R684" i="1" s="1"/>
  <c r="AS792" i="1"/>
  <c r="Q792" i="1"/>
  <c r="R792" i="1" s="1"/>
  <c r="AS819" i="1"/>
  <c r="Q819" i="1"/>
  <c r="R819" i="1" s="1"/>
  <c r="Q830" i="1"/>
  <c r="R830" i="1" s="1"/>
  <c r="AS830" i="1"/>
  <c r="Q862" i="1"/>
  <c r="R862" i="1" s="1"/>
  <c r="AS862" i="1"/>
  <c r="AS839" i="1"/>
  <c r="Q839" i="1"/>
  <c r="R839" i="1" s="1"/>
  <c r="Q875" i="1"/>
  <c r="R875" i="1" s="1"/>
  <c r="AS875" i="1"/>
  <c r="AS900" i="1"/>
  <c r="Q900" i="1"/>
  <c r="R900" i="1" s="1"/>
  <c r="AS874" i="1"/>
  <c r="Q874" i="1"/>
  <c r="R874" i="1" s="1"/>
  <c r="Q886" i="1"/>
  <c r="R886" i="1" s="1"/>
  <c r="AS886" i="1"/>
  <c r="Q932" i="1"/>
  <c r="R932" i="1" s="1"/>
  <c r="AS932" i="1"/>
  <c r="Q947" i="1"/>
  <c r="R947" i="1" s="1"/>
  <c r="AS947" i="1"/>
  <c r="AS929" i="1"/>
  <c r="Q929" i="1"/>
  <c r="R929" i="1" s="1"/>
  <c r="Q945" i="1"/>
  <c r="R945" i="1" s="1"/>
  <c r="AS945" i="1"/>
  <c r="AS921" i="1"/>
  <c r="Q921" i="1"/>
  <c r="R921" i="1" s="1"/>
  <c r="AS990" i="1"/>
  <c r="Q990" i="1"/>
  <c r="R990" i="1" s="1"/>
  <c r="Q450" i="1"/>
  <c r="R450" i="1" s="1"/>
  <c r="AS450" i="1"/>
  <c r="AS451" i="1"/>
  <c r="Q451" i="1"/>
  <c r="R451" i="1" s="1"/>
  <c r="AS467" i="1"/>
  <c r="Q467" i="1"/>
  <c r="R467" i="1" s="1"/>
  <c r="Q474" i="1"/>
  <c r="R474" i="1" s="1"/>
  <c r="AS474" i="1"/>
  <c r="Q506" i="1"/>
  <c r="R506" i="1" s="1"/>
  <c r="AS506" i="1"/>
  <c r="Q538" i="1"/>
  <c r="R538" i="1" s="1"/>
  <c r="AS538" i="1"/>
  <c r="Q563" i="1"/>
  <c r="R563" i="1" s="1"/>
  <c r="AS563" i="1"/>
  <c r="Q591" i="1"/>
  <c r="R591" i="1" s="1"/>
  <c r="AS591" i="1"/>
  <c r="Q661" i="1"/>
  <c r="R661" i="1" s="1"/>
  <c r="AS661" i="1"/>
  <c r="Q790" i="1"/>
  <c r="R790" i="1" s="1"/>
  <c r="AS790" i="1"/>
  <c r="Q698" i="1"/>
  <c r="R698" i="1" s="1"/>
  <c r="AS698" i="1"/>
  <c r="Q699" i="1"/>
  <c r="R699" i="1" s="1"/>
  <c r="AS699" i="1"/>
  <c r="Q746" i="1"/>
  <c r="R746" i="1" s="1"/>
  <c r="AS746" i="1"/>
  <c r="Q747" i="1"/>
  <c r="R747" i="1" s="1"/>
  <c r="AS747" i="1"/>
  <c r="Q769" i="1"/>
  <c r="R769" i="1" s="1"/>
  <c r="AS769" i="1"/>
  <c r="AS700" i="1"/>
  <c r="Q700" i="1"/>
  <c r="R700" i="1" s="1"/>
  <c r="AS720" i="1"/>
  <c r="Q720" i="1"/>
  <c r="R720" i="1" s="1"/>
  <c r="AS744" i="1"/>
  <c r="Q744" i="1"/>
  <c r="R744" i="1" s="1"/>
  <c r="Q877" i="1"/>
  <c r="R877" i="1" s="1"/>
  <c r="AS877" i="1"/>
  <c r="Q841" i="1"/>
  <c r="R841" i="1" s="1"/>
  <c r="AS841" i="1"/>
  <c r="AS896" i="1"/>
  <c r="Q896" i="1"/>
  <c r="R896" i="1" s="1"/>
  <c r="Q931" i="1"/>
  <c r="R931" i="1" s="1"/>
  <c r="AS931" i="1"/>
  <c r="Q953" i="1"/>
  <c r="R953" i="1" s="1"/>
  <c r="AS953" i="1"/>
  <c r="AS942" i="1"/>
  <c r="Q942" i="1"/>
  <c r="R942" i="1" s="1"/>
  <c r="AS956" i="1"/>
  <c r="Q956" i="1"/>
  <c r="R956" i="1" s="1"/>
  <c r="AS992" i="1"/>
  <c r="Q992" i="1"/>
  <c r="R992" i="1" s="1"/>
  <c r="AS981" i="1"/>
  <c r="Q981" i="1"/>
  <c r="R981" i="1" s="1"/>
  <c r="Q553" i="1"/>
  <c r="R553" i="1" s="1"/>
  <c r="AS553" i="1"/>
  <c r="Q502" i="1"/>
  <c r="R502" i="1" s="1"/>
  <c r="AS502" i="1"/>
  <c r="Q518" i="1"/>
  <c r="R518" i="1" s="1"/>
  <c r="AS518" i="1"/>
  <c r="Q555" i="1"/>
  <c r="R555" i="1" s="1"/>
  <c r="AS555" i="1"/>
  <c r="Q601" i="1"/>
  <c r="R601" i="1" s="1"/>
  <c r="AS601" i="1"/>
  <c r="Q717" i="1"/>
  <c r="R717" i="1" s="1"/>
  <c r="AS717" i="1"/>
  <c r="AS815" i="1"/>
  <c r="Q815" i="1"/>
  <c r="R815" i="1" s="1"/>
  <c r="Q710" i="1"/>
  <c r="R710" i="1" s="1"/>
  <c r="AS710" i="1"/>
  <c r="Q771" i="1"/>
  <c r="R771" i="1" s="1"/>
  <c r="AS771" i="1"/>
  <c r="AS762" i="1"/>
  <c r="Q762" i="1"/>
  <c r="R762" i="1" s="1"/>
  <c r="Q775" i="1"/>
  <c r="R775" i="1" s="1"/>
  <c r="AS775" i="1"/>
  <c r="AS868" i="1"/>
  <c r="Q868" i="1"/>
  <c r="R868" i="1" s="1"/>
  <c r="AS814" i="1"/>
  <c r="Q814" i="1"/>
  <c r="R814" i="1" s="1"/>
  <c r="AS847" i="1"/>
  <c r="Q847" i="1"/>
  <c r="R847" i="1" s="1"/>
  <c r="Q927" i="1"/>
  <c r="R927" i="1" s="1"/>
  <c r="AS927" i="1"/>
  <c r="Q443" i="1"/>
  <c r="R443" i="1" s="1"/>
  <c r="AS443" i="1"/>
  <c r="AS488" i="1"/>
  <c r="Q488" i="1"/>
  <c r="R488" i="1" s="1"/>
  <c r="Q655" i="1"/>
  <c r="R655" i="1" s="1"/>
  <c r="AS655" i="1"/>
  <c r="Q753" i="1"/>
  <c r="R753" i="1" s="1"/>
  <c r="AS753" i="1"/>
  <c r="Q663" i="1"/>
  <c r="R663" i="1" s="1"/>
  <c r="AS663" i="1"/>
  <c r="Q701" i="1"/>
  <c r="R701" i="1" s="1"/>
  <c r="AS701" i="1"/>
  <c r="AS590" i="1"/>
  <c r="Q590" i="1"/>
  <c r="R590" i="1" s="1"/>
  <c r="Q669" i="1"/>
  <c r="R669" i="1" s="1"/>
  <c r="AS669" i="1"/>
  <c r="Q722" i="1"/>
  <c r="R722" i="1" s="1"/>
  <c r="AS722" i="1"/>
  <c r="Q723" i="1"/>
  <c r="R723" i="1" s="1"/>
  <c r="AS723" i="1"/>
  <c r="Q755" i="1"/>
  <c r="R755" i="1" s="1"/>
  <c r="AS755" i="1"/>
  <c r="Q761" i="1"/>
  <c r="R761" i="1" s="1"/>
  <c r="AS761" i="1"/>
  <c r="Q803" i="1"/>
  <c r="R803" i="1" s="1"/>
  <c r="AS803" i="1"/>
  <c r="Q828" i="1"/>
  <c r="R828" i="1" s="1"/>
  <c r="AS828" i="1"/>
  <c r="Q834" i="1"/>
  <c r="R834" i="1" s="1"/>
  <c r="AS834" i="1"/>
  <c r="Q850" i="1"/>
  <c r="R850" i="1" s="1"/>
  <c r="AS850" i="1"/>
  <c r="Q866" i="1"/>
  <c r="R866" i="1" s="1"/>
  <c r="AS866" i="1"/>
  <c r="AS843" i="1"/>
  <c r="Q843" i="1"/>
  <c r="R843" i="1" s="1"/>
  <c r="Q913" i="1"/>
  <c r="R913" i="1" s="1"/>
  <c r="AS913" i="1"/>
  <c r="Q887" i="1"/>
  <c r="R887" i="1" s="1"/>
  <c r="AS887" i="1"/>
  <c r="AS965" i="1"/>
  <c r="Q965" i="1"/>
  <c r="R965" i="1" s="1"/>
  <c r="AS991" i="1"/>
  <c r="Q991" i="1"/>
  <c r="R991" i="1" s="1"/>
  <c r="AS996" i="1"/>
  <c r="Q996" i="1"/>
  <c r="R996" i="1" s="1"/>
  <c r="AS45" i="1"/>
  <c r="Q45" i="1"/>
  <c r="Q124" i="1"/>
  <c r="R124" i="1" s="1"/>
  <c r="AS124" i="1"/>
  <c r="Q132" i="1"/>
  <c r="R132" i="1" s="1"/>
  <c r="AS132" i="1"/>
  <c r="Q140" i="1"/>
  <c r="R140" i="1" s="1"/>
  <c r="AS140" i="1"/>
  <c r="Q148" i="1"/>
  <c r="R148" i="1" s="1"/>
  <c r="AS148" i="1"/>
  <c r="AS206" i="1"/>
  <c r="Q206" i="1"/>
  <c r="R206" i="1" s="1"/>
  <c r="Q263" i="1"/>
  <c r="R263" i="1" s="1"/>
  <c r="AS263" i="1"/>
  <c r="Q319" i="1"/>
  <c r="R319" i="1" s="1"/>
  <c r="AS319" i="1"/>
  <c r="AS388" i="1"/>
  <c r="Q388" i="1"/>
  <c r="R388" i="1" s="1"/>
  <c r="AS441" i="1"/>
  <c r="Q441" i="1"/>
  <c r="R441" i="1" s="1"/>
  <c r="AS504" i="1"/>
  <c r="Q504" i="1"/>
  <c r="R504" i="1" s="1"/>
  <c r="Q585" i="1"/>
  <c r="R585" i="1" s="1"/>
  <c r="AS585" i="1"/>
  <c r="Q628" i="1"/>
  <c r="R628" i="1" s="1"/>
  <c r="AS628" i="1"/>
  <c r="AS447" i="1"/>
  <c r="Q447" i="1"/>
  <c r="R447" i="1" s="1"/>
  <c r="Q102" i="1"/>
  <c r="R102" i="1" s="1"/>
  <c r="AS102" i="1"/>
  <c r="AS8" i="1"/>
  <c r="Q8" i="1"/>
  <c r="R8" i="1" s="1"/>
  <c r="AS36" i="1"/>
  <c r="Q36" i="1"/>
  <c r="R36" i="1" s="1"/>
  <c r="AS70" i="1"/>
  <c r="Q70" i="1"/>
  <c r="AS98" i="1"/>
  <c r="Q98" i="1"/>
  <c r="R98" i="1" s="1"/>
  <c r="AS122" i="1"/>
  <c r="Q122" i="1"/>
  <c r="Q492" i="1"/>
  <c r="R492" i="1" s="1"/>
  <c r="AS492" i="1"/>
  <c r="AS16" i="1"/>
  <c r="Q16" i="1"/>
  <c r="AS37" i="1"/>
  <c r="Q37" i="1"/>
  <c r="R37" i="1" s="1"/>
  <c r="Q91" i="1"/>
  <c r="AS91" i="1"/>
  <c r="AS114" i="1"/>
  <c r="Q114" i="1"/>
  <c r="R114" i="1" s="1"/>
  <c r="Q131" i="1"/>
  <c r="R131" i="1" s="1"/>
  <c r="AS131" i="1"/>
  <c r="Q269" i="1"/>
  <c r="R269" i="1" s="1"/>
  <c r="AS269" i="1"/>
  <c r="Q270" i="1"/>
  <c r="R270" i="1" s="1"/>
  <c r="AS270" i="1"/>
  <c r="Q230" i="1"/>
  <c r="R230" i="1" s="1"/>
  <c r="AS230" i="1"/>
  <c r="Q238" i="1"/>
  <c r="R238" i="1" s="1"/>
  <c r="AS238" i="1"/>
  <c r="Q261" i="1"/>
  <c r="R261" i="1" s="1"/>
  <c r="AS261" i="1"/>
  <c r="Q305" i="1"/>
  <c r="R305" i="1" s="1"/>
  <c r="AS305" i="1"/>
  <c r="Q342" i="1"/>
  <c r="R342" i="1" s="1"/>
  <c r="AS342" i="1"/>
  <c r="Q430" i="1"/>
  <c r="R430" i="1" s="1"/>
  <c r="AS430" i="1"/>
  <c r="AS105" i="1"/>
  <c r="Q105" i="1"/>
  <c r="R105" i="1" s="1"/>
  <c r="Q112" i="1"/>
  <c r="R112" i="1" s="1"/>
  <c r="AS112" i="1"/>
  <c r="AS113" i="1"/>
  <c r="Q113" i="1"/>
  <c r="R113" i="1" s="1"/>
  <c r="AS169" i="1"/>
  <c r="Q169" i="1"/>
  <c r="R169" i="1" s="1"/>
  <c r="Q185" i="1"/>
  <c r="R185" i="1" s="1"/>
  <c r="AS185" i="1"/>
  <c r="Q201" i="1"/>
  <c r="R201" i="1" s="1"/>
  <c r="AS201" i="1"/>
  <c r="Q217" i="1"/>
  <c r="R217" i="1" s="1"/>
  <c r="AS217" i="1"/>
  <c r="Q476" i="1"/>
  <c r="R476" i="1" s="1"/>
  <c r="AS476" i="1"/>
  <c r="AS284" i="1"/>
  <c r="Q284" i="1"/>
  <c r="R284" i="1" s="1"/>
  <c r="AS292" i="1"/>
  <c r="Q292" i="1"/>
  <c r="R292" i="1" s="1"/>
  <c r="AS300" i="1"/>
  <c r="Q300" i="1"/>
  <c r="R300" i="1" s="1"/>
  <c r="AS308" i="1"/>
  <c r="Q308" i="1"/>
  <c r="R308" i="1" s="1"/>
  <c r="AS316" i="1"/>
  <c r="Q316" i="1"/>
  <c r="R316" i="1" s="1"/>
  <c r="AS364" i="1"/>
  <c r="Q364" i="1"/>
  <c r="R364" i="1" s="1"/>
  <c r="AS376" i="1"/>
  <c r="Q376" i="1"/>
  <c r="R376" i="1" s="1"/>
  <c r="AS396" i="1"/>
  <c r="Q396" i="1"/>
  <c r="R396" i="1" s="1"/>
  <c r="Q404" i="1"/>
  <c r="R404" i="1" s="1"/>
  <c r="AS404" i="1"/>
  <c r="Q412" i="1"/>
  <c r="R412" i="1" s="1"/>
  <c r="AS412" i="1"/>
  <c r="Q420" i="1"/>
  <c r="R420" i="1" s="1"/>
  <c r="AS420" i="1"/>
  <c r="Q428" i="1"/>
  <c r="R428" i="1" s="1"/>
  <c r="AS428" i="1"/>
  <c r="Q435" i="1"/>
  <c r="R435" i="1" s="1"/>
  <c r="AS435" i="1"/>
  <c r="Q561" i="1"/>
  <c r="R561" i="1" s="1"/>
  <c r="AS561" i="1"/>
  <c r="AS448" i="1"/>
  <c r="Q448" i="1"/>
  <c r="R448" i="1" s="1"/>
  <c r="Q449" i="1"/>
  <c r="R449" i="1" s="1"/>
  <c r="AS449" i="1"/>
  <c r="AS456" i="1"/>
  <c r="Q456" i="1"/>
  <c r="R456" i="1" s="1"/>
  <c r="Q457" i="1"/>
  <c r="R457" i="1" s="1"/>
  <c r="AS457" i="1"/>
  <c r="AS464" i="1"/>
  <c r="Q464" i="1"/>
  <c r="R464" i="1" s="1"/>
  <c r="Q465" i="1"/>
  <c r="R465" i="1" s="1"/>
  <c r="AS465" i="1"/>
  <c r="AS472" i="1"/>
  <c r="Q472" i="1"/>
  <c r="R472" i="1" s="1"/>
  <c r="Q473" i="1"/>
  <c r="R473" i="1" s="1"/>
  <c r="AS473" i="1"/>
  <c r="Q526" i="1"/>
  <c r="R526" i="1" s="1"/>
  <c r="AS526" i="1"/>
  <c r="Q581" i="1"/>
  <c r="R581" i="1" s="1"/>
  <c r="AS581" i="1"/>
  <c r="Q498" i="1"/>
  <c r="R498" i="1" s="1"/>
  <c r="AS498" i="1"/>
  <c r="AS511" i="1"/>
  <c r="Q511" i="1"/>
  <c r="R511" i="1" s="1"/>
  <c r="Q596" i="1"/>
  <c r="R596" i="1" s="1"/>
  <c r="AS596" i="1"/>
  <c r="Q671" i="1"/>
  <c r="R671" i="1" s="1"/>
  <c r="AS671" i="1"/>
  <c r="Q58" i="1"/>
  <c r="AS58" i="1"/>
  <c r="Q71" i="1"/>
  <c r="AS71" i="1"/>
  <c r="Q80" i="1"/>
  <c r="AS80" i="1"/>
  <c r="Q87" i="1"/>
  <c r="AS87" i="1"/>
  <c r="Q111" i="1"/>
  <c r="AS111" i="1"/>
  <c r="AS162" i="1"/>
  <c r="Q162" i="1"/>
  <c r="R162" i="1" s="1"/>
  <c r="Q151" i="1"/>
  <c r="R151" i="1" s="1"/>
  <c r="AS151" i="1"/>
  <c r="Q329" i="1"/>
  <c r="R329" i="1" s="1"/>
  <c r="AS329" i="1"/>
  <c r="Q345" i="1"/>
  <c r="R345" i="1" s="1"/>
  <c r="AS345" i="1"/>
  <c r="Q294" i="1"/>
  <c r="R294" i="1" s="1"/>
  <c r="AS294" i="1"/>
  <c r="Q330" i="1"/>
  <c r="R330" i="1" s="1"/>
  <c r="AS330" i="1"/>
  <c r="Q262" i="1"/>
  <c r="R262" i="1" s="1"/>
  <c r="AS262" i="1"/>
  <c r="Q371" i="1"/>
  <c r="R371" i="1" s="1"/>
  <c r="AS371" i="1"/>
  <c r="Q729" i="1"/>
  <c r="R729" i="1" s="1"/>
  <c r="AS729" i="1"/>
  <c r="Q548" i="1"/>
  <c r="R548" i="1" s="1"/>
  <c r="AS548" i="1"/>
  <c r="AS85" i="1"/>
  <c r="Q85" i="1"/>
  <c r="AS93" i="1"/>
  <c r="Q93" i="1"/>
  <c r="R93" i="1" s="1"/>
  <c r="AS97" i="1"/>
  <c r="Q97" i="1"/>
  <c r="R97" i="1" s="1"/>
  <c r="Q172" i="1"/>
  <c r="R172" i="1" s="1"/>
  <c r="AS172" i="1"/>
  <c r="Q204" i="1"/>
  <c r="R204" i="1" s="1"/>
  <c r="AS204" i="1"/>
  <c r="Q255" i="1"/>
  <c r="R255" i="1" s="1"/>
  <c r="AS255" i="1"/>
  <c r="Q266" i="1"/>
  <c r="R266" i="1" s="1"/>
  <c r="AS266" i="1"/>
  <c r="Q557" i="1"/>
  <c r="R557" i="1" s="1"/>
  <c r="AS557" i="1"/>
  <c r="AS248" i="1"/>
  <c r="Q248" i="1"/>
  <c r="R248" i="1" s="1"/>
  <c r="Q577" i="1"/>
  <c r="R577" i="1" s="1"/>
  <c r="AS577" i="1"/>
  <c r="AS433" i="1"/>
  <c r="Q433" i="1"/>
  <c r="R433" i="1" s="1"/>
  <c r="AS507" i="1"/>
  <c r="Q507" i="1"/>
  <c r="R507" i="1" s="1"/>
  <c r="Q567" i="1"/>
  <c r="R567" i="1" s="1"/>
  <c r="AS567" i="1"/>
  <c r="Q636" i="1"/>
  <c r="R636" i="1" s="1"/>
  <c r="AS636" i="1"/>
  <c r="Q593" i="1"/>
  <c r="R593" i="1" s="1"/>
  <c r="AS593" i="1"/>
  <c r="Q624" i="1"/>
  <c r="R624" i="1" s="1"/>
  <c r="AS624" i="1"/>
  <c r="Q649" i="1"/>
  <c r="R649" i="1" s="1"/>
  <c r="AS649" i="1"/>
  <c r="AS33" i="1"/>
  <c r="Q33" i="1"/>
  <c r="Q195" i="1"/>
  <c r="R195" i="1" s="1"/>
  <c r="AS195" i="1"/>
  <c r="Q208" i="1"/>
  <c r="R208" i="1" s="1"/>
  <c r="AS208" i="1"/>
  <c r="AS154" i="1"/>
  <c r="Q154" i="1"/>
  <c r="R154" i="1" s="1"/>
  <c r="Q414" i="1"/>
  <c r="R414" i="1" s="1"/>
  <c r="AS414" i="1"/>
  <c r="Q277" i="1"/>
  <c r="R277" i="1" s="1"/>
  <c r="AS277" i="1"/>
  <c r="Q313" i="1"/>
  <c r="R313" i="1" s="1"/>
  <c r="AS313" i="1"/>
  <c r="Q423" i="1"/>
  <c r="R423" i="1" s="1"/>
  <c r="AS423" i="1"/>
  <c r="Q439" i="1"/>
  <c r="R439" i="1" s="1"/>
  <c r="AS439" i="1"/>
  <c r="Q509" i="1"/>
  <c r="R509" i="1" s="1"/>
  <c r="AS509" i="1"/>
  <c r="Q549" i="1"/>
  <c r="R549" i="1" s="1"/>
  <c r="AS549" i="1"/>
  <c r="AS202" i="1"/>
  <c r="Q202" i="1"/>
  <c r="Q358" i="1"/>
  <c r="R358" i="1" s="1"/>
  <c r="AS358" i="1"/>
  <c r="Q366" i="1"/>
  <c r="R366" i="1" s="1"/>
  <c r="AS366" i="1"/>
  <c r="Q374" i="1"/>
  <c r="R374" i="1" s="1"/>
  <c r="AS374" i="1"/>
  <c r="Q382" i="1"/>
  <c r="R382" i="1" s="1"/>
  <c r="AS382" i="1"/>
  <c r="Q390" i="1"/>
  <c r="R390" i="1" s="1"/>
  <c r="AS390" i="1"/>
  <c r="Q398" i="1"/>
  <c r="R398" i="1" s="1"/>
  <c r="AS398" i="1"/>
  <c r="AS244" i="1"/>
  <c r="Q244" i="1"/>
  <c r="R244" i="1" s="1"/>
  <c r="Q66" i="1"/>
  <c r="AS66" i="1"/>
  <c r="Q11" i="1"/>
  <c r="AS11" i="1"/>
  <c r="Q27" i="1"/>
  <c r="R27" i="1" s="1"/>
  <c r="AS27" i="1"/>
  <c r="Q67" i="1"/>
  <c r="AS67" i="1"/>
  <c r="AS182" i="1"/>
  <c r="Q182" i="1"/>
  <c r="R182" i="1" s="1"/>
  <c r="AS118" i="1"/>
  <c r="Q118" i="1"/>
  <c r="R118" i="1" s="1"/>
  <c r="AS142" i="1"/>
  <c r="Q142" i="1"/>
  <c r="R142" i="1" s="1"/>
  <c r="Q333" i="1"/>
  <c r="R333" i="1" s="1"/>
  <c r="AS333" i="1"/>
  <c r="Q406" i="1"/>
  <c r="R406" i="1" s="1"/>
  <c r="AS406" i="1"/>
  <c r="Q278" i="1"/>
  <c r="R278" i="1" s="1"/>
  <c r="AS278" i="1"/>
  <c r="AS49" i="1"/>
  <c r="Q49" i="1"/>
  <c r="Q517" i="1"/>
  <c r="R517" i="1" s="1"/>
  <c r="AS517" i="1"/>
  <c r="Q524" i="1"/>
  <c r="R524" i="1" s="1"/>
  <c r="AS524" i="1"/>
  <c r="AS240" i="1"/>
  <c r="Q240" i="1"/>
  <c r="R240" i="1" s="1"/>
  <c r="AS512" i="1"/>
  <c r="Q512" i="1"/>
  <c r="R512" i="1" s="1"/>
  <c r="Q611" i="1"/>
  <c r="R611" i="1" s="1"/>
  <c r="AS611" i="1"/>
  <c r="AS520" i="1"/>
  <c r="Q520" i="1"/>
  <c r="R520" i="1" s="1"/>
  <c r="Q521" i="1"/>
  <c r="R521" i="1" s="1"/>
  <c r="AS521" i="1"/>
  <c r="Q742" i="1"/>
  <c r="R742" i="1" s="1"/>
  <c r="AS742" i="1"/>
  <c r="Q571" i="1"/>
  <c r="R571" i="1" s="1"/>
  <c r="AS571" i="1"/>
  <c r="Q607" i="1"/>
  <c r="R607" i="1" s="1"/>
  <c r="AS607" i="1"/>
  <c r="Q651" i="1"/>
  <c r="R651" i="1" s="1"/>
  <c r="AS651" i="1"/>
  <c r="AS772" i="1"/>
  <c r="Q772" i="1"/>
  <c r="R772" i="1" s="1"/>
  <c r="Q605" i="1"/>
  <c r="R605" i="1" s="1"/>
  <c r="AS605" i="1"/>
  <c r="Q725" i="1"/>
  <c r="R725" i="1" s="1"/>
  <c r="AS725" i="1"/>
  <c r="Q741" i="1"/>
  <c r="R741" i="1" s="1"/>
  <c r="AS741" i="1"/>
  <c r="AS554" i="1"/>
  <c r="Q554" i="1"/>
  <c r="R554" i="1" s="1"/>
  <c r="AS570" i="1"/>
  <c r="Q570" i="1"/>
  <c r="R570" i="1" s="1"/>
  <c r="Q703" i="1"/>
  <c r="R703" i="1" s="1"/>
  <c r="AS703" i="1"/>
  <c r="Q735" i="1"/>
  <c r="R735" i="1" s="1"/>
  <c r="AS735" i="1"/>
  <c r="Q765" i="1"/>
  <c r="R765" i="1" s="1"/>
  <c r="AS765" i="1"/>
  <c r="Q801" i="1"/>
  <c r="R801" i="1" s="1"/>
  <c r="AS801" i="1"/>
  <c r="AS660" i="1"/>
  <c r="Q660" i="1"/>
  <c r="R660" i="1" s="1"/>
  <c r="Q832" i="1"/>
  <c r="R832" i="1" s="1"/>
  <c r="AS832" i="1"/>
  <c r="Q799" i="1"/>
  <c r="R799" i="1" s="1"/>
  <c r="AS799" i="1"/>
  <c r="AS776" i="1"/>
  <c r="Q776" i="1"/>
  <c r="R776" i="1" s="1"/>
  <c r="AS800" i="1"/>
  <c r="Q800" i="1"/>
  <c r="R800" i="1" s="1"/>
  <c r="Q846" i="1"/>
  <c r="R846" i="1" s="1"/>
  <c r="AS846" i="1"/>
  <c r="Q889" i="1"/>
  <c r="R889" i="1" s="1"/>
  <c r="AS889" i="1"/>
  <c r="AS855" i="1"/>
  <c r="Q855" i="1"/>
  <c r="R855" i="1" s="1"/>
  <c r="Q885" i="1"/>
  <c r="R885" i="1" s="1"/>
  <c r="AS885" i="1"/>
  <c r="Q903" i="1"/>
  <c r="R903" i="1" s="1"/>
  <c r="AS903" i="1"/>
  <c r="AS906" i="1"/>
  <c r="Q906" i="1"/>
  <c r="R906" i="1" s="1"/>
  <c r="Q911" i="1"/>
  <c r="R911" i="1" s="1"/>
  <c r="AS911" i="1"/>
  <c r="AS933" i="1"/>
  <c r="Q933" i="1"/>
  <c r="R933" i="1" s="1"/>
  <c r="Q949" i="1"/>
  <c r="R949" i="1" s="1"/>
  <c r="AS949" i="1"/>
  <c r="Q970" i="1"/>
  <c r="R970" i="1" s="1"/>
  <c r="AS970" i="1"/>
  <c r="AS986" i="1"/>
  <c r="Q986" i="1"/>
  <c r="R986" i="1" s="1"/>
  <c r="AS977" i="1"/>
  <c r="Q977" i="1"/>
  <c r="R977" i="1" s="1"/>
  <c r="AS1005" i="1"/>
  <c r="Q1005" i="1"/>
  <c r="R1005" i="1" s="1"/>
  <c r="Q1004" i="1"/>
  <c r="R1004" i="1" s="1"/>
  <c r="AS1004" i="1"/>
  <c r="AS455" i="1"/>
  <c r="Q455" i="1"/>
  <c r="R455" i="1" s="1"/>
  <c r="Q462" i="1"/>
  <c r="R462" i="1" s="1"/>
  <c r="AS462" i="1"/>
  <c r="AS471" i="1"/>
  <c r="Q471" i="1"/>
  <c r="R471" i="1" s="1"/>
  <c r="AS503" i="1"/>
  <c r="Q503" i="1"/>
  <c r="R503" i="1" s="1"/>
  <c r="Q522" i="1"/>
  <c r="R522" i="1" s="1"/>
  <c r="AS522" i="1"/>
  <c r="AS598" i="1"/>
  <c r="Q598" i="1"/>
  <c r="R598" i="1" s="1"/>
  <c r="AS760" i="1"/>
  <c r="Q760" i="1"/>
  <c r="R760" i="1" s="1"/>
  <c r="Q714" i="1"/>
  <c r="R714" i="1" s="1"/>
  <c r="AS714" i="1"/>
  <c r="Q715" i="1"/>
  <c r="R715" i="1" s="1"/>
  <c r="AS715" i="1"/>
  <c r="AS704" i="1"/>
  <c r="Q704" i="1"/>
  <c r="R704" i="1" s="1"/>
  <c r="AS728" i="1"/>
  <c r="Q728" i="1"/>
  <c r="R728" i="1" s="1"/>
  <c r="AS748" i="1"/>
  <c r="Q748" i="1"/>
  <c r="R748" i="1" s="1"/>
  <c r="Q798" i="1"/>
  <c r="R798" i="1" s="1"/>
  <c r="AS798" i="1"/>
  <c r="Q882" i="1"/>
  <c r="R882" i="1" s="1"/>
  <c r="AS882" i="1"/>
  <c r="Q807" i="1"/>
  <c r="R807" i="1" s="1"/>
  <c r="AS807" i="1"/>
  <c r="AS813" i="1"/>
  <c r="Q813" i="1"/>
  <c r="R813" i="1" s="1"/>
  <c r="Q829" i="1"/>
  <c r="R829" i="1" s="1"/>
  <c r="AS829" i="1"/>
  <c r="Q845" i="1"/>
  <c r="R845" i="1" s="1"/>
  <c r="AS845" i="1"/>
  <c r="Q861" i="1"/>
  <c r="R861" i="1" s="1"/>
  <c r="AS861" i="1"/>
  <c r="AS835" i="1"/>
  <c r="Q835" i="1"/>
  <c r="R835" i="1" s="1"/>
  <c r="AS867" i="1"/>
  <c r="Q867" i="1"/>
  <c r="R867" i="1" s="1"/>
  <c r="Q894" i="1"/>
  <c r="R894" i="1" s="1"/>
  <c r="AS894" i="1"/>
  <c r="Q891" i="1"/>
  <c r="R891" i="1" s="1"/>
  <c r="AS891" i="1"/>
  <c r="AS884" i="1"/>
  <c r="Q884" i="1"/>
  <c r="R884" i="1" s="1"/>
  <c r="Q928" i="1"/>
  <c r="R928" i="1" s="1"/>
  <c r="AS928" i="1"/>
  <c r="Q910" i="1"/>
  <c r="R910" i="1" s="1"/>
  <c r="AS910" i="1"/>
  <c r="Q935" i="1"/>
  <c r="R935" i="1" s="1"/>
  <c r="AS935" i="1"/>
  <c r="Q936" i="1"/>
  <c r="R936" i="1" s="1"/>
  <c r="AS936" i="1"/>
  <c r="Q958" i="1"/>
  <c r="R958" i="1" s="1"/>
  <c r="AS958" i="1"/>
  <c r="Q974" i="1"/>
  <c r="R974" i="1" s="1"/>
  <c r="AS974" i="1"/>
  <c r="Q982" i="1"/>
  <c r="R982" i="1" s="1"/>
  <c r="AS982" i="1"/>
  <c r="Q998" i="1"/>
  <c r="R998" i="1" s="1"/>
  <c r="AS998" i="1"/>
  <c r="Q955" i="1"/>
  <c r="R955" i="1" s="1"/>
  <c r="AS955" i="1"/>
  <c r="Q963" i="1"/>
  <c r="R963" i="1" s="1"/>
  <c r="AS963" i="1"/>
  <c r="AS483" i="1"/>
  <c r="Q483" i="1"/>
  <c r="R483" i="1" s="1"/>
  <c r="AS499" i="1"/>
  <c r="Q499" i="1"/>
  <c r="R499" i="1" s="1"/>
  <c r="Q534" i="1"/>
  <c r="R534" i="1" s="1"/>
  <c r="AS534" i="1"/>
  <c r="Q702" i="1"/>
  <c r="R702" i="1" s="1"/>
  <c r="AS702" i="1"/>
  <c r="Q750" i="1"/>
  <c r="R750" i="1" s="1"/>
  <c r="AS750" i="1"/>
  <c r="AS552" i="1"/>
  <c r="Q552" i="1"/>
  <c r="R552" i="1" s="1"/>
  <c r="AS556" i="1"/>
  <c r="Q556" i="1"/>
  <c r="R556" i="1" s="1"/>
  <c r="AS560" i="1"/>
  <c r="Q560" i="1"/>
  <c r="R560" i="1" s="1"/>
  <c r="AS572" i="1"/>
  <c r="Q572" i="1"/>
  <c r="R572" i="1" s="1"/>
  <c r="AS576" i="1"/>
  <c r="Q576" i="1"/>
  <c r="R576" i="1" s="1"/>
  <c r="Q588" i="1"/>
  <c r="R588" i="1" s="1"/>
  <c r="AS588" i="1"/>
  <c r="Q620" i="1"/>
  <c r="R620" i="1" s="1"/>
  <c r="AS620" i="1"/>
  <c r="Q621" i="1"/>
  <c r="R621" i="1" s="1"/>
  <c r="AS621" i="1"/>
  <c r="Q632" i="1"/>
  <c r="R632" i="1" s="1"/>
  <c r="AS632" i="1"/>
  <c r="Q675" i="1"/>
  <c r="R675" i="1" s="1"/>
  <c r="AS675" i="1"/>
  <c r="AS558" i="1"/>
  <c r="Q558" i="1"/>
  <c r="R558" i="1" s="1"/>
  <c r="AS566" i="1"/>
  <c r="Q566" i="1"/>
  <c r="R566" i="1" s="1"/>
  <c r="Q681" i="1"/>
  <c r="R681" i="1" s="1"/>
  <c r="AS681" i="1"/>
  <c r="Q695" i="1"/>
  <c r="R695" i="1" s="1"/>
  <c r="AS695" i="1"/>
  <c r="AS811" i="1"/>
  <c r="Q811" i="1"/>
  <c r="R811" i="1" s="1"/>
  <c r="AS680" i="1"/>
  <c r="Q680" i="1"/>
  <c r="R680" i="1" s="1"/>
  <c r="Q759" i="1"/>
  <c r="R759" i="1" s="1"/>
  <c r="AS759" i="1"/>
  <c r="AS770" i="1"/>
  <c r="Q770" i="1"/>
  <c r="R770" i="1" s="1"/>
  <c r="Q836" i="1"/>
  <c r="R836" i="1" s="1"/>
  <c r="AS836" i="1"/>
  <c r="Q901" i="1"/>
  <c r="R901" i="1" s="1"/>
  <c r="AS901" i="1"/>
  <c r="Q897" i="1"/>
  <c r="R897" i="1" s="1"/>
  <c r="AS897" i="1"/>
  <c r="AS863" i="1"/>
  <c r="Q863" i="1"/>
  <c r="R863" i="1" s="1"/>
  <c r="Q909" i="1"/>
  <c r="R909" i="1" s="1"/>
  <c r="AS909" i="1"/>
  <c r="AS904" i="1"/>
  <c r="Q904" i="1"/>
  <c r="R904" i="1" s="1"/>
  <c r="Q924" i="1"/>
  <c r="R924" i="1" s="1"/>
  <c r="AS924" i="1"/>
  <c r="Q943" i="1"/>
  <c r="R943" i="1" s="1"/>
  <c r="AS943" i="1"/>
  <c r="AS930" i="1"/>
  <c r="Q930" i="1"/>
  <c r="R930" i="1" s="1"/>
  <c r="Q951" i="1"/>
  <c r="R951" i="1" s="1"/>
  <c r="AS951" i="1"/>
  <c r="Q489" i="1"/>
  <c r="R489" i="1" s="1"/>
  <c r="AS489" i="1"/>
  <c r="Q689" i="1"/>
  <c r="R689" i="1" s="1"/>
  <c r="AS689" i="1"/>
  <c r="Q579" i="1"/>
  <c r="R579" i="1" s="1"/>
  <c r="AS579" i="1"/>
  <c r="Q726" i="1"/>
  <c r="R726" i="1" s="1"/>
  <c r="AS726" i="1"/>
  <c r="Q640" i="1"/>
  <c r="R640" i="1" s="1"/>
  <c r="AS640" i="1"/>
  <c r="Q685" i="1"/>
  <c r="R685" i="1" s="1"/>
  <c r="AS685" i="1"/>
  <c r="Q690" i="1"/>
  <c r="R690" i="1" s="1"/>
  <c r="AS690" i="1"/>
  <c r="Q691" i="1"/>
  <c r="R691" i="1" s="1"/>
  <c r="AS691" i="1"/>
  <c r="Q864" i="1"/>
  <c r="R864" i="1" s="1"/>
  <c r="AS864" i="1"/>
  <c r="Q817" i="1"/>
  <c r="R817" i="1" s="1"/>
  <c r="AS817" i="1"/>
  <c r="Q857" i="1"/>
  <c r="R857" i="1" s="1"/>
  <c r="AS857" i="1"/>
  <c r="AS859" i="1"/>
  <c r="Q859" i="1"/>
  <c r="R859" i="1" s="1"/>
  <c r="AS902" i="1"/>
  <c r="Q902" i="1"/>
  <c r="R902" i="1" s="1"/>
  <c r="Q914" i="1"/>
  <c r="R914" i="1" s="1"/>
  <c r="AS914" i="1"/>
  <c r="AS920" i="1"/>
  <c r="Q920" i="1"/>
  <c r="R920" i="1" s="1"/>
  <c r="AS964" i="1"/>
  <c r="Q964" i="1"/>
  <c r="R964" i="1" s="1"/>
  <c r="Q999" i="1"/>
  <c r="R999" i="1" s="1"/>
  <c r="AS999" i="1"/>
  <c r="Q995" i="1"/>
  <c r="R995" i="1" s="1"/>
  <c r="AS995" i="1"/>
  <c r="Q54" i="1"/>
  <c r="AS54" i="1"/>
  <c r="Q23" i="1"/>
  <c r="R23" i="1" s="1"/>
  <c r="AS23" i="1"/>
  <c r="AS13" i="1"/>
  <c r="Q13" i="1"/>
  <c r="AS130" i="1"/>
  <c r="Q130" i="1"/>
  <c r="R130" i="1" s="1"/>
  <c r="AS133" i="1"/>
  <c r="Q133" i="1"/>
  <c r="R133" i="1" s="1"/>
  <c r="Q156" i="1"/>
  <c r="R156" i="1" s="1"/>
  <c r="AS156" i="1"/>
  <c r="Q197" i="1"/>
  <c r="R197" i="1" s="1"/>
  <c r="AS197" i="1"/>
  <c r="Q287" i="1"/>
  <c r="R287" i="1" s="1"/>
  <c r="AS287" i="1"/>
  <c r="Q303" i="1"/>
  <c r="R303" i="1" s="1"/>
  <c r="AS303" i="1"/>
  <c r="Q419" i="1"/>
  <c r="R419" i="1" s="1"/>
  <c r="AS419" i="1"/>
  <c r="AS421" i="1"/>
  <c r="Q421" i="1"/>
  <c r="R421" i="1" s="1"/>
  <c r="Q514" i="1"/>
  <c r="R514" i="1" s="1"/>
  <c r="AS514" i="1"/>
  <c r="AS17" i="1"/>
  <c r="Q17" i="1"/>
  <c r="R17" i="1" s="1"/>
  <c r="AS29" i="1"/>
  <c r="Q29" i="1"/>
  <c r="R29" i="1" s="1"/>
  <c r="AS146" i="1"/>
  <c r="Q146" i="1"/>
  <c r="R146" i="1" s="1"/>
  <c r="Q326" i="1"/>
  <c r="R326" i="1" s="1"/>
  <c r="AS326" i="1"/>
  <c r="Q383" i="1"/>
  <c r="R383" i="1" s="1"/>
  <c r="AS383" i="1"/>
  <c r="Q120" i="1"/>
  <c r="AS120" i="1"/>
  <c r="AS121" i="1"/>
  <c r="Q121" i="1"/>
  <c r="R121" i="1" s="1"/>
  <c r="Q128" i="1"/>
  <c r="AS128" i="1"/>
  <c r="AS129" i="1"/>
  <c r="Q129" i="1"/>
  <c r="Q136" i="1"/>
  <c r="AS136" i="1"/>
  <c r="AS137" i="1"/>
  <c r="Q137" i="1"/>
  <c r="Q144" i="1"/>
  <c r="R144" i="1" s="1"/>
  <c r="AS144" i="1"/>
  <c r="AS145" i="1"/>
  <c r="Q145" i="1"/>
  <c r="R145" i="1" s="1"/>
  <c r="Q152" i="1"/>
  <c r="AS152" i="1"/>
  <c r="AS153" i="1"/>
  <c r="Q153" i="1"/>
  <c r="AS157" i="1"/>
  <c r="Q157" i="1"/>
  <c r="R157" i="1" s="1"/>
  <c r="AS173" i="1"/>
  <c r="Q173" i="1"/>
  <c r="R173" i="1" s="1"/>
  <c r="Q189" i="1"/>
  <c r="R189" i="1" s="1"/>
  <c r="AS189" i="1"/>
  <c r="Q205" i="1"/>
  <c r="AS205" i="1"/>
  <c r="Q221" i="1"/>
  <c r="R221" i="1" s="1"/>
  <c r="AS221" i="1"/>
  <c r="AS241" i="1"/>
  <c r="Q241" i="1"/>
  <c r="R241" i="1" s="1"/>
  <c r="Q242" i="1"/>
  <c r="R242" i="1" s="1"/>
  <c r="AS242" i="1"/>
  <c r="Q426" i="1"/>
  <c r="R426" i="1" s="1"/>
  <c r="AS426" i="1"/>
  <c r="Q291" i="1"/>
  <c r="R291" i="1" s="1"/>
  <c r="AS291" i="1"/>
  <c r="Q299" i="1"/>
  <c r="R299" i="1" s="1"/>
  <c r="AS299" i="1"/>
  <c r="Q307" i="1"/>
  <c r="R307" i="1" s="1"/>
  <c r="AS307" i="1"/>
  <c r="Q315" i="1"/>
  <c r="R315" i="1" s="1"/>
  <c r="AS315" i="1"/>
  <c r="Q323" i="1"/>
  <c r="R323" i="1" s="1"/>
  <c r="AS323" i="1"/>
  <c r="Q327" i="1"/>
  <c r="R327" i="1" s="1"/>
  <c r="AS327" i="1"/>
  <c r="Q331" i="1"/>
  <c r="R331" i="1" s="1"/>
  <c r="AS331" i="1"/>
  <c r="Q335" i="1"/>
  <c r="R335" i="1" s="1"/>
  <c r="AS335" i="1"/>
  <c r="Q339" i="1"/>
  <c r="R339" i="1" s="1"/>
  <c r="AS339" i="1"/>
  <c r="Q343" i="1"/>
  <c r="R343" i="1" s="1"/>
  <c r="AS343" i="1"/>
  <c r="Q347" i="1"/>
  <c r="R347" i="1" s="1"/>
  <c r="AS347" i="1"/>
  <c r="AS352" i="1"/>
  <c r="Q352" i="1"/>
  <c r="R352" i="1" s="1"/>
  <c r="AS372" i="1"/>
  <c r="Q372" i="1"/>
  <c r="R372" i="1" s="1"/>
  <c r="AS384" i="1"/>
  <c r="Q384" i="1"/>
  <c r="R384" i="1" s="1"/>
  <c r="Q399" i="1"/>
  <c r="R399" i="1" s="1"/>
  <c r="AS399" i="1"/>
  <c r="Q400" i="1"/>
  <c r="R400" i="1" s="1"/>
  <c r="AS400" i="1"/>
  <c r="Q408" i="1"/>
  <c r="R408" i="1" s="1"/>
  <c r="AS408" i="1"/>
  <c r="Q416" i="1"/>
  <c r="R416" i="1" s="1"/>
  <c r="AS416" i="1"/>
  <c r="Q424" i="1"/>
  <c r="R424" i="1" s="1"/>
  <c r="AS424" i="1"/>
  <c r="Q436" i="1"/>
  <c r="R436" i="1" s="1"/>
  <c r="AS436" i="1"/>
  <c r="Q444" i="1"/>
  <c r="R444" i="1" s="1"/>
  <c r="AS444" i="1"/>
  <c r="AS409" i="1"/>
  <c r="Q409" i="1"/>
  <c r="R409" i="1" s="1"/>
  <c r="AS417" i="1"/>
  <c r="Q417" i="1"/>
  <c r="R417" i="1" s="1"/>
  <c r="AS425" i="1"/>
  <c r="Q425" i="1"/>
  <c r="R425" i="1" s="1"/>
  <c r="AS437" i="1"/>
  <c r="Q437" i="1"/>
  <c r="R437" i="1" s="1"/>
  <c r="Q494" i="1"/>
  <c r="R494" i="1" s="1"/>
  <c r="AS494" i="1"/>
  <c r="Q639" i="1"/>
  <c r="R639" i="1" s="1"/>
  <c r="AS639" i="1"/>
  <c r="Q482" i="1"/>
  <c r="R482" i="1" s="1"/>
  <c r="AS482" i="1"/>
  <c r="AS495" i="1"/>
  <c r="Q495" i="1"/>
  <c r="R495" i="1" s="1"/>
  <c r="Q546" i="1"/>
  <c r="R546" i="1" s="1"/>
  <c r="AS546" i="1"/>
  <c r="Q599" i="1"/>
  <c r="R599" i="1" s="1"/>
  <c r="AS599" i="1"/>
  <c r="Q635" i="1"/>
  <c r="R635" i="1" s="1"/>
  <c r="AS635" i="1"/>
  <c r="Q597" i="1"/>
  <c r="R597" i="1" s="1"/>
  <c r="AS597" i="1"/>
  <c r="Q613" i="1"/>
  <c r="R613" i="1" s="1"/>
  <c r="AS613" i="1"/>
  <c r="Q106" i="1"/>
  <c r="R106" i="1" s="1"/>
  <c r="AS106" i="1"/>
  <c r="AS14" i="1"/>
  <c r="Q14" i="1"/>
  <c r="AS22" i="1"/>
  <c r="Q22" i="1"/>
  <c r="R22" i="1" s="1"/>
  <c r="AS94" i="1"/>
  <c r="Q94" i="1"/>
  <c r="R94" i="1" s="1"/>
  <c r="Q96" i="1"/>
  <c r="R96" i="1" s="1"/>
  <c r="AS96" i="1"/>
  <c r="AS170" i="1"/>
  <c r="Q170" i="1"/>
  <c r="R170" i="1" s="1"/>
  <c r="Q183" i="1"/>
  <c r="R183" i="1" s="1"/>
  <c r="AS183" i="1"/>
  <c r="AS134" i="1"/>
  <c r="Q134" i="1"/>
  <c r="R134" i="1" s="1"/>
  <c r="Q286" i="1"/>
  <c r="R286" i="1" s="1"/>
  <c r="AS286" i="1"/>
  <c r="Q318" i="1"/>
  <c r="R318" i="1" s="1"/>
  <c r="AS318" i="1"/>
  <c r="AS233" i="1"/>
  <c r="Q233" i="1"/>
  <c r="R233" i="1" s="1"/>
  <c r="Q298" i="1"/>
  <c r="R298" i="1" s="1"/>
  <c r="AS298" i="1"/>
  <c r="Q379" i="1"/>
  <c r="R379" i="1" s="1"/>
  <c r="AS379" i="1"/>
  <c r="Q532" i="1"/>
  <c r="R532" i="1" s="1"/>
  <c r="AS532" i="1"/>
  <c r="Q391" i="1"/>
  <c r="R391" i="1" s="1"/>
  <c r="AS391" i="1"/>
  <c r="Q44" i="1"/>
  <c r="R44" i="1" s="1"/>
  <c r="AS44" i="1"/>
  <c r="Q64" i="1"/>
  <c r="R64" i="1" s="1"/>
  <c r="AS64" i="1"/>
  <c r="AS65" i="1"/>
  <c r="Q65" i="1"/>
  <c r="Q68" i="1"/>
  <c r="AS68" i="1"/>
  <c r="Q168" i="1"/>
  <c r="R168" i="1" s="1"/>
  <c r="AS168" i="1"/>
  <c r="Q196" i="1"/>
  <c r="R196" i="1" s="1"/>
  <c r="AS196" i="1"/>
  <c r="Q434" i="1"/>
  <c r="R434" i="1" s="1"/>
  <c r="AS434" i="1"/>
  <c r="Q525" i="1"/>
  <c r="R525" i="1" s="1"/>
  <c r="AS525" i="1"/>
  <c r="AS235" i="1"/>
  <c r="Q235" i="1"/>
  <c r="R235" i="1" s="1"/>
  <c r="Q283" i="1"/>
  <c r="R283" i="1" s="1"/>
  <c r="AS283" i="1"/>
  <c r="AS496" i="1"/>
  <c r="Q496" i="1"/>
  <c r="R496" i="1" s="1"/>
  <c r="Q497" i="1"/>
  <c r="R497" i="1" s="1"/>
  <c r="AS497" i="1"/>
  <c r="AS528" i="1"/>
  <c r="Q528" i="1"/>
  <c r="R528" i="1" s="1"/>
  <c r="Q647" i="1"/>
  <c r="R647" i="1" s="1"/>
  <c r="AS647" i="1"/>
  <c r="Q569" i="1"/>
  <c r="R569" i="1" s="1"/>
  <c r="AS569" i="1"/>
  <c r="Q721" i="1"/>
  <c r="R721" i="1" s="1"/>
  <c r="AS721" i="1"/>
  <c r="AS523" i="1"/>
  <c r="Q523" i="1"/>
  <c r="R523" i="1" s="1"/>
  <c r="Q559" i="1"/>
  <c r="R559" i="1" s="1"/>
  <c r="AS559" i="1"/>
  <c r="Q713" i="1"/>
  <c r="R713" i="1" s="1"/>
  <c r="AS713" i="1"/>
  <c r="Q625" i="1"/>
  <c r="R625" i="1" s="1"/>
  <c r="AS625" i="1"/>
  <c r="Q657" i="1"/>
  <c r="R657" i="1" s="1"/>
  <c r="AS657" i="1"/>
  <c r="Q709" i="1"/>
  <c r="R709" i="1" s="1"/>
  <c r="AS709" i="1"/>
  <c r="Q82" i="1"/>
  <c r="AS82" i="1"/>
  <c r="Q9" i="1"/>
  <c r="R9" i="1" s="1"/>
  <c r="AS9" i="1"/>
  <c r="AS74" i="1"/>
  <c r="Q74" i="1"/>
  <c r="Q159" i="1"/>
  <c r="R159" i="1" s="1"/>
  <c r="AS159" i="1"/>
  <c r="Q171" i="1"/>
  <c r="R171" i="1" s="1"/>
  <c r="AS171" i="1"/>
  <c r="Q179" i="1"/>
  <c r="R179" i="1" s="1"/>
  <c r="AS179" i="1"/>
  <c r="Q187" i="1"/>
  <c r="R187" i="1" s="1"/>
  <c r="AS187" i="1"/>
  <c r="Q200" i="1"/>
  <c r="AS200" i="1"/>
  <c r="Q219" i="1"/>
  <c r="R219" i="1" s="1"/>
  <c r="AS219" i="1"/>
  <c r="Q155" i="1"/>
  <c r="R155" i="1" s="1"/>
  <c r="AS155" i="1"/>
  <c r="Q293" i="1"/>
  <c r="R293" i="1" s="1"/>
  <c r="AS293" i="1"/>
  <c r="Q350" i="1"/>
  <c r="R350" i="1" s="1"/>
  <c r="AS350" i="1"/>
  <c r="Q415" i="1"/>
  <c r="R415" i="1" s="1"/>
  <c r="AS415" i="1"/>
  <c r="Q367" i="1"/>
  <c r="R367" i="1" s="1"/>
  <c r="AS367" i="1"/>
  <c r="Q56" i="1"/>
  <c r="AS56" i="1"/>
  <c r="AS210" i="1"/>
  <c r="Q210" i="1"/>
  <c r="R210" i="1" s="1"/>
  <c r="AS226" i="1"/>
  <c r="Q226" i="1"/>
  <c r="R226" i="1" s="1"/>
  <c r="AS257" i="1"/>
  <c r="Q257" i="1"/>
  <c r="R257" i="1" s="1"/>
  <c r="Q258" i="1"/>
  <c r="R258" i="1" s="1"/>
  <c r="AS258" i="1"/>
  <c r="AS353" i="1"/>
  <c r="Q353" i="1"/>
  <c r="R353" i="1" s="1"/>
  <c r="AS361" i="1"/>
  <c r="Q361" i="1"/>
  <c r="R361" i="1" s="1"/>
  <c r="AS369" i="1"/>
  <c r="Q369" i="1"/>
  <c r="R369" i="1" s="1"/>
  <c r="AS377" i="1"/>
  <c r="Q377" i="1"/>
  <c r="R377" i="1" s="1"/>
  <c r="AS385" i="1"/>
  <c r="Q385" i="1"/>
  <c r="R385" i="1" s="1"/>
  <c r="AS393" i="1"/>
  <c r="Q393" i="1"/>
  <c r="R393" i="1" s="1"/>
  <c r="Q500" i="1"/>
  <c r="R500" i="1" s="1"/>
  <c r="AS500" i="1"/>
  <c r="Q573" i="1"/>
  <c r="R573" i="1" s="1"/>
  <c r="AS573" i="1"/>
  <c r="AS231" i="1"/>
  <c r="Q231" i="1"/>
  <c r="R231" i="1" s="1"/>
  <c r="AS260" i="1"/>
  <c r="Q260" i="1"/>
  <c r="R260" i="1" s="1"/>
  <c r="Q603" i="1"/>
  <c r="R603" i="1" s="1"/>
  <c r="AS603" i="1"/>
  <c r="AS28" i="1"/>
  <c r="Q28" i="1"/>
  <c r="R28" i="1" s="1"/>
  <c r="Q95" i="1"/>
  <c r="R95" i="1" s="1"/>
  <c r="AS95" i="1"/>
  <c r="Q83" i="1"/>
  <c r="R83" i="1" s="1"/>
  <c r="AS83" i="1"/>
  <c r="AS166" i="1"/>
  <c r="Q166" i="1"/>
  <c r="R166" i="1" s="1"/>
  <c r="AS174" i="1"/>
  <c r="Q174" i="1"/>
  <c r="R174" i="1" s="1"/>
  <c r="Q119" i="1"/>
  <c r="AS119" i="1"/>
  <c r="Q143" i="1"/>
  <c r="R143" i="1" s="1"/>
  <c r="AS143" i="1"/>
  <c r="Q301" i="1"/>
  <c r="R301" i="1" s="1"/>
  <c r="AS301" i="1"/>
  <c r="Q325" i="1"/>
  <c r="R325" i="1" s="1"/>
  <c r="AS325" i="1"/>
  <c r="AS228" i="1"/>
  <c r="Q228" i="1"/>
  <c r="R228" i="1" s="1"/>
  <c r="AS249" i="1"/>
  <c r="Q249" i="1"/>
  <c r="R249" i="1" s="1"/>
  <c r="Q402" i="1"/>
  <c r="R402" i="1" s="1"/>
  <c r="AS402" i="1"/>
  <c r="AS227" i="1"/>
  <c r="Q227" i="1"/>
  <c r="R227" i="1" s="1"/>
  <c r="Q275" i="1"/>
  <c r="R275" i="1" s="1"/>
  <c r="AS275" i="1"/>
  <c r="Q513" i="1"/>
  <c r="R513" i="1" s="1"/>
  <c r="AS513" i="1"/>
  <c r="Q694" i="1"/>
  <c r="R694" i="1" s="1"/>
  <c r="AS694" i="1"/>
  <c r="Q629" i="1"/>
  <c r="R629" i="1" s="1"/>
  <c r="AS629" i="1"/>
  <c r="AS562" i="1"/>
  <c r="Q562" i="1"/>
  <c r="R562" i="1" s="1"/>
  <c r="AS594" i="1"/>
  <c r="Q594" i="1"/>
  <c r="R594" i="1" s="1"/>
  <c r="Q608" i="1"/>
  <c r="R608" i="1" s="1"/>
  <c r="AS608" i="1"/>
  <c r="AS662" i="1"/>
  <c r="Q662" i="1"/>
  <c r="R662" i="1" s="1"/>
  <c r="AS666" i="1"/>
  <c r="Q666" i="1"/>
  <c r="R666" i="1" s="1"/>
  <c r="AS682" i="1"/>
  <c r="Q682" i="1"/>
  <c r="R682" i="1" s="1"/>
  <c r="AS686" i="1"/>
  <c r="Q686" i="1"/>
  <c r="R686" i="1" s="1"/>
  <c r="Q718" i="1"/>
  <c r="R718" i="1" s="1"/>
  <c r="AS718" i="1"/>
  <c r="Q719" i="1"/>
  <c r="R719" i="1" s="1"/>
  <c r="AS719" i="1"/>
  <c r="Q734" i="1"/>
  <c r="R734" i="1" s="1"/>
  <c r="AS734" i="1"/>
  <c r="Q816" i="1"/>
  <c r="R816" i="1" s="1"/>
  <c r="AS816" i="1"/>
  <c r="AS676" i="1"/>
  <c r="Q676" i="1"/>
  <c r="R676" i="1" s="1"/>
  <c r="Q782" i="1"/>
  <c r="R782" i="1" s="1"/>
  <c r="AS782" i="1"/>
  <c r="Q852" i="1"/>
  <c r="R852" i="1" s="1"/>
  <c r="AS852" i="1"/>
  <c r="AS784" i="1"/>
  <c r="Q784" i="1"/>
  <c r="R784" i="1" s="1"/>
  <c r="AS804" i="1"/>
  <c r="Q804" i="1"/>
  <c r="R804" i="1" s="1"/>
  <c r="Q849" i="1"/>
  <c r="R849" i="1" s="1"/>
  <c r="AS849" i="1"/>
  <c r="AS876" i="1"/>
  <c r="Q876" i="1"/>
  <c r="R876" i="1" s="1"/>
  <c r="AS898" i="1"/>
  <c r="Q898" i="1"/>
  <c r="R898" i="1" s="1"/>
  <c r="Q919" i="1"/>
  <c r="R919" i="1" s="1"/>
  <c r="AS919" i="1"/>
  <c r="Q922" i="1"/>
  <c r="R922" i="1" s="1"/>
  <c r="AS922" i="1"/>
  <c r="AS966" i="1"/>
  <c r="Q966" i="1"/>
  <c r="R966" i="1" s="1"/>
  <c r="Q937" i="1"/>
  <c r="R937" i="1" s="1"/>
  <c r="AS937" i="1"/>
  <c r="AS994" i="1"/>
  <c r="Q994" i="1"/>
  <c r="R994" i="1" s="1"/>
  <c r="Q510" i="1"/>
  <c r="R510" i="1" s="1"/>
  <c r="AS510" i="1"/>
  <c r="Q458" i="1"/>
  <c r="R458" i="1" s="1"/>
  <c r="AS458" i="1"/>
  <c r="AS459" i="1"/>
  <c r="Q459" i="1"/>
  <c r="R459" i="1" s="1"/>
  <c r="Q466" i="1"/>
  <c r="R466" i="1" s="1"/>
  <c r="AS466" i="1"/>
  <c r="Q745" i="1"/>
  <c r="R745" i="1" s="1"/>
  <c r="AS745" i="1"/>
  <c r="Q705" i="1"/>
  <c r="R705" i="1" s="1"/>
  <c r="AS705" i="1"/>
  <c r="Q637" i="1"/>
  <c r="R637" i="1" s="1"/>
  <c r="AS637" i="1"/>
  <c r="Q656" i="1"/>
  <c r="R656" i="1" s="1"/>
  <c r="AS656" i="1"/>
  <c r="Q820" i="1"/>
  <c r="R820" i="1" s="1"/>
  <c r="AS820" i="1"/>
  <c r="Q802" i="1"/>
  <c r="R802" i="1" s="1"/>
  <c r="AS802" i="1"/>
  <c r="AS614" i="1"/>
  <c r="Q614" i="1"/>
  <c r="R614" i="1" s="1"/>
  <c r="Q905" i="1"/>
  <c r="R905" i="1" s="1"/>
  <c r="AS905" i="1"/>
  <c r="AS688" i="1"/>
  <c r="Q688" i="1"/>
  <c r="R688" i="1" s="1"/>
  <c r="AS712" i="1"/>
  <c r="Q712" i="1"/>
  <c r="R712" i="1" s="1"/>
  <c r="AS732" i="1"/>
  <c r="Q732" i="1"/>
  <c r="R732" i="1" s="1"/>
  <c r="AS752" i="1"/>
  <c r="Q752" i="1"/>
  <c r="R752" i="1" s="1"/>
  <c r="Q778" i="1"/>
  <c r="R778" i="1" s="1"/>
  <c r="AS778" i="1"/>
  <c r="Q779" i="1"/>
  <c r="R779" i="1" s="1"/>
  <c r="AS779" i="1"/>
  <c r="Q794" i="1"/>
  <c r="R794" i="1" s="1"/>
  <c r="AS794" i="1"/>
  <c r="Q795" i="1"/>
  <c r="R795" i="1" s="1"/>
  <c r="AS795" i="1"/>
  <c r="Q844" i="1"/>
  <c r="R844" i="1" s="1"/>
  <c r="AS844" i="1"/>
  <c r="AS872" i="1"/>
  <c r="Q872" i="1"/>
  <c r="R872" i="1" s="1"/>
  <c r="AS851" i="1"/>
  <c r="Q851" i="1"/>
  <c r="R851" i="1" s="1"/>
  <c r="AS870" i="1"/>
  <c r="Q870" i="1"/>
  <c r="R870" i="1" s="1"/>
  <c r="AS888" i="1"/>
  <c r="Q888" i="1"/>
  <c r="R888" i="1" s="1"/>
  <c r="AS934" i="1"/>
  <c r="Q934" i="1"/>
  <c r="R934" i="1" s="1"/>
  <c r="Q967" i="1"/>
  <c r="R967" i="1" s="1"/>
  <c r="AS967" i="1"/>
  <c r="AS968" i="1"/>
  <c r="Q968" i="1"/>
  <c r="R968" i="1" s="1"/>
  <c r="Q997" i="1"/>
  <c r="R997" i="1" s="1"/>
  <c r="AS997" i="1"/>
  <c r="Q971" i="1"/>
  <c r="R971" i="1" s="1"/>
  <c r="AS971" i="1"/>
  <c r="AS1001" i="1"/>
  <c r="Q1001" i="1"/>
  <c r="R1001" i="1" s="1"/>
  <c r="AS515" i="1"/>
  <c r="Q515" i="1"/>
  <c r="R515" i="1" s="1"/>
  <c r="AS531" i="1"/>
  <c r="Q531" i="1"/>
  <c r="R531" i="1" s="1"/>
  <c r="AS564" i="1"/>
  <c r="Q564" i="1"/>
  <c r="R564" i="1" s="1"/>
  <c r="AS568" i="1"/>
  <c r="Q568" i="1"/>
  <c r="R568" i="1" s="1"/>
  <c r="AS580" i="1"/>
  <c r="Q580" i="1"/>
  <c r="R580" i="1" s="1"/>
  <c r="AS584" i="1"/>
  <c r="Q584" i="1"/>
  <c r="R584" i="1" s="1"/>
  <c r="Q645" i="1"/>
  <c r="R645" i="1" s="1"/>
  <c r="AS645" i="1"/>
  <c r="AS550" i="1"/>
  <c r="Q550" i="1"/>
  <c r="R550" i="1" s="1"/>
  <c r="AS574" i="1"/>
  <c r="Q574" i="1"/>
  <c r="R574" i="1" s="1"/>
  <c r="AS582" i="1"/>
  <c r="Q582" i="1"/>
  <c r="R582" i="1" s="1"/>
  <c r="AS618" i="1"/>
  <c r="Q618" i="1"/>
  <c r="R618" i="1" s="1"/>
  <c r="AS626" i="1"/>
  <c r="Q626" i="1"/>
  <c r="R626" i="1" s="1"/>
  <c r="AS634" i="1"/>
  <c r="Q634" i="1"/>
  <c r="R634" i="1" s="1"/>
  <c r="AS642" i="1"/>
  <c r="Q642" i="1"/>
  <c r="R642" i="1" s="1"/>
  <c r="AS650" i="1"/>
  <c r="Q650" i="1"/>
  <c r="R650" i="1" s="1"/>
  <c r="AS658" i="1"/>
  <c r="Q658" i="1"/>
  <c r="R658" i="1" s="1"/>
  <c r="Q665" i="1"/>
  <c r="R665" i="1" s="1"/>
  <c r="AS665" i="1"/>
  <c r="Q805" i="1"/>
  <c r="R805" i="1" s="1"/>
  <c r="AS805" i="1"/>
  <c r="Q711" i="1"/>
  <c r="R711" i="1" s="1"/>
  <c r="AS711" i="1"/>
  <c r="Q773" i="1"/>
  <c r="R773" i="1" s="1"/>
  <c r="AS773" i="1"/>
  <c r="Q781" i="1"/>
  <c r="R781" i="1" s="1"/>
  <c r="AS781" i="1"/>
  <c r="Q797" i="1"/>
  <c r="R797" i="1" s="1"/>
  <c r="AS797" i="1"/>
  <c r="Q833" i="1"/>
  <c r="R833" i="1" s="1"/>
  <c r="AS833" i="1"/>
  <c r="AS672" i="1"/>
  <c r="Q672" i="1"/>
  <c r="R672" i="1" s="1"/>
  <c r="Q763" i="1"/>
  <c r="R763" i="1" s="1"/>
  <c r="AS763" i="1"/>
  <c r="AS758" i="1"/>
  <c r="Q758" i="1"/>
  <c r="R758" i="1" s="1"/>
  <c r="AS766" i="1"/>
  <c r="Q766" i="1"/>
  <c r="R766" i="1" s="1"/>
  <c r="Q869" i="1"/>
  <c r="R869" i="1" s="1"/>
  <c r="AS869" i="1"/>
  <c r="Q822" i="1"/>
  <c r="R822" i="1" s="1"/>
  <c r="AS822" i="1"/>
  <c r="Q854" i="1"/>
  <c r="R854" i="1" s="1"/>
  <c r="AS854" i="1"/>
  <c r="Q917" i="1"/>
  <c r="R917" i="1" s="1"/>
  <c r="AS917" i="1"/>
  <c r="Q940" i="1"/>
  <c r="R940" i="1" s="1"/>
  <c r="AS940" i="1"/>
  <c r="Q915" i="1"/>
  <c r="R915" i="1" s="1"/>
  <c r="AS915" i="1"/>
  <c r="AS912" i="1"/>
  <c r="Q912" i="1"/>
  <c r="R912" i="1" s="1"/>
  <c r="Q619" i="1"/>
  <c r="R619" i="1" s="1"/>
  <c r="AS619" i="1"/>
  <c r="Q785" i="1"/>
  <c r="R785" i="1" s="1"/>
  <c r="AS785" i="1"/>
  <c r="AS764" i="1"/>
  <c r="Q764" i="1"/>
  <c r="R764" i="1" s="1"/>
  <c r="AS757" i="1"/>
  <c r="Q757" i="1"/>
  <c r="R757" i="1" s="1"/>
  <c r="Q738" i="1"/>
  <c r="R738" i="1" s="1"/>
  <c r="AS738" i="1"/>
  <c r="Q739" i="1"/>
  <c r="R739" i="1" s="1"/>
  <c r="AS739" i="1"/>
  <c r="Q754" i="1"/>
  <c r="R754" i="1" s="1"/>
  <c r="AS754" i="1"/>
  <c r="Q812" i="1"/>
  <c r="R812" i="1" s="1"/>
  <c r="AS812" i="1"/>
  <c r="Q825" i="1"/>
  <c r="R825" i="1" s="1"/>
  <c r="AS825" i="1"/>
  <c r="Q895" i="1"/>
  <c r="R895" i="1" s="1"/>
  <c r="AS895" i="1"/>
  <c r="Q907" i="1"/>
  <c r="R907" i="1" s="1"/>
  <c r="AS907" i="1"/>
  <c r="Q918" i="1"/>
  <c r="R918" i="1" s="1"/>
  <c r="AS918" i="1"/>
  <c r="AS950" i="1"/>
  <c r="Q950" i="1"/>
  <c r="R950" i="1" s="1"/>
  <c r="Q983" i="1"/>
  <c r="R983" i="1" s="1"/>
  <c r="AS983" i="1"/>
  <c r="Q984" i="1"/>
  <c r="R984" i="1" s="1"/>
  <c r="AS984" i="1"/>
  <c r="AS987" i="1"/>
  <c r="Q987" i="1"/>
  <c r="R987" i="1" s="1"/>
  <c r="Q1003" i="1"/>
  <c r="R1003" i="1" s="1"/>
  <c r="AS1003" i="1"/>
  <c r="Q959" i="1"/>
  <c r="R959" i="1" s="1"/>
  <c r="AS959" i="1"/>
  <c r="Q978" i="1"/>
  <c r="R978" i="1" s="1"/>
  <c r="AS978" i="1"/>
  <c r="AS973" i="1"/>
  <c r="Q973" i="1"/>
  <c r="R973" i="1" s="1"/>
  <c r="AS21" i="1"/>
  <c r="Q21" i="1"/>
  <c r="R21" i="1" s="1"/>
  <c r="Q309" i="1"/>
  <c r="R309" i="1" s="1"/>
  <c r="AS309" i="1"/>
  <c r="AS237" i="1"/>
  <c r="Q237" i="1"/>
  <c r="R237" i="1" s="1"/>
  <c r="AS141" i="1"/>
  <c r="Q141" i="1"/>
  <c r="R141" i="1" s="1"/>
  <c r="Q533" i="1"/>
  <c r="R533" i="1" s="1"/>
  <c r="AS533" i="1"/>
  <c r="AS190" i="1"/>
  <c r="Q190" i="1"/>
  <c r="R190" i="1" s="1"/>
  <c r="Q540" i="1"/>
  <c r="R540" i="1" s="1"/>
  <c r="AS540" i="1"/>
  <c r="AS239" i="1"/>
  <c r="Q239" i="1"/>
  <c r="R239" i="1" s="1"/>
  <c r="AS356" i="1"/>
  <c r="Q356" i="1"/>
  <c r="R356" i="1" s="1"/>
  <c r="AS413" i="1"/>
  <c r="Q413" i="1"/>
  <c r="R413" i="1" s="1"/>
  <c r="AS527" i="1"/>
  <c r="Q527" i="1"/>
  <c r="R527" i="1" s="1"/>
  <c r="Q615" i="1"/>
  <c r="R615" i="1" s="1"/>
  <c r="AS615" i="1"/>
  <c r="Q612" i="1"/>
  <c r="R612" i="1" s="1"/>
  <c r="AS612" i="1"/>
  <c r="Q92" i="1"/>
  <c r="R92" i="1" s="1"/>
  <c r="AS92" i="1"/>
  <c r="Q191" i="1"/>
  <c r="R191" i="1" s="1"/>
  <c r="AS191" i="1"/>
  <c r="Q147" i="1"/>
  <c r="R147" i="1" s="1"/>
  <c r="AS147" i="1"/>
  <c r="Q234" i="1"/>
  <c r="R234" i="1" s="1"/>
  <c r="AS234" i="1"/>
  <c r="Q289" i="1"/>
  <c r="R289" i="1" s="1"/>
  <c r="AS289" i="1"/>
  <c r="Q321" i="1"/>
  <c r="R321" i="1" s="1"/>
  <c r="AS321" i="1"/>
  <c r="Q290" i="1"/>
  <c r="R290" i="1" s="1"/>
  <c r="AS290" i="1"/>
  <c r="Q322" i="1"/>
  <c r="R322" i="1" s="1"/>
  <c r="AS322" i="1"/>
  <c r="Q48" i="1"/>
  <c r="R48" i="1" s="1"/>
  <c r="AS48" i="1"/>
  <c r="AS109" i="1"/>
  <c r="Q109" i="1"/>
  <c r="AS117" i="1"/>
  <c r="Q117" i="1"/>
  <c r="AS161" i="1"/>
  <c r="Q161" i="1"/>
  <c r="R161" i="1" s="1"/>
  <c r="AS177" i="1"/>
  <c r="Q177" i="1"/>
  <c r="R177" i="1" s="1"/>
  <c r="Q193" i="1"/>
  <c r="R193" i="1" s="1"/>
  <c r="AS193" i="1"/>
  <c r="Q209" i="1"/>
  <c r="R209" i="1" s="1"/>
  <c r="AS209" i="1"/>
  <c r="Q225" i="1"/>
  <c r="R225" i="1" s="1"/>
  <c r="AS225" i="1"/>
  <c r="AS273" i="1"/>
  <c r="Q273" i="1"/>
  <c r="R273" i="1" s="1"/>
  <c r="Q274" i="1"/>
  <c r="R274" i="1" s="1"/>
  <c r="AS274" i="1"/>
  <c r="AS252" i="1"/>
  <c r="Q252" i="1"/>
  <c r="R252" i="1" s="1"/>
  <c r="AS288" i="1"/>
  <c r="Q288" i="1"/>
  <c r="R288" i="1" s="1"/>
  <c r="AS296" i="1"/>
  <c r="Q296" i="1"/>
  <c r="R296" i="1" s="1"/>
  <c r="AS304" i="1"/>
  <c r="Q304" i="1"/>
  <c r="R304" i="1" s="1"/>
  <c r="AS312" i="1"/>
  <c r="Q312" i="1"/>
  <c r="R312" i="1" s="1"/>
  <c r="AS320" i="1"/>
  <c r="Q320" i="1"/>
  <c r="R320" i="1" s="1"/>
  <c r="AS324" i="1"/>
  <c r="Q324" i="1"/>
  <c r="R324" i="1" s="1"/>
  <c r="AS328" i="1"/>
  <c r="Q328" i="1"/>
  <c r="R328" i="1" s="1"/>
  <c r="AS332" i="1"/>
  <c r="Q332" i="1"/>
  <c r="R332" i="1" s="1"/>
  <c r="AS336" i="1"/>
  <c r="Q336" i="1"/>
  <c r="R336" i="1" s="1"/>
  <c r="AS340" i="1"/>
  <c r="Q340" i="1"/>
  <c r="R340" i="1" s="1"/>
  <c r="AS344" i="1"/>
  <c r="Q344" i="1"/>
  <c r="R344" i="1" s="1"/>
  <c r="AS348" i="1"/>
  <c r="Q348" i="1"/>
  <c r="R348" i="1" s="1"/>
  <c r="AS360" i="1"/>
  <c r="Q360" i="1"/>
  <c r="R360" i="1" s="1"/>
  <c r="AS380" i="1"/>
  <c r="Q380" i="1"/>
  <c r="R380" i="1" s="1"/>
  <c r="AS392" i="1"/>
  <c r="Q392" i="1"/>
  <c r="R392" i="1" s="1"/>
  <c r="Q432" i="1"/>
  <c r="R432" i="1" s="1"/>
  <c r="AS432" i="1"/>
  <c r="AS452" i="1"/>
  <c r="Q452" i="1"/>
  <c r="R452" i="1" s="1"/>
  <c r="Q453" i="1"/>
  <c r="R453" i="1" s="1"/>
  <c r="AS453" i="1"/>
  <c r="AS460" i="1"/>
  <c r="Q460" i="1"/>
  <c r="R460" i="1" s="1"/>
  <c r="Q461" i="1"/>
  <c r="R461" i="1" s="1"/>
  <c r="AS461" i="1"/>
  <c r="AS468" i="1"/>
  <c r="Q468" i="1"/>
  <c r="R468" i="1" s="1"/>
  <c r="Q469" i="1"/>
  <c r="R469" i="1" s="1"/>
  <c r="AS469" i="1"/>
  <c r="AS536" i="1"/>
  <c r="Q536" i="1"/>
  <c r="R536" i="1" s="1"/>
  <c r="Q537" i="1"/>
  <c r="R537" i="1" s="1"/>
  <c r="AS537" i="1"/>
  <c r="Q565" i="1"/>
  <c r="R565" i="1" s="1"/>
  <c r="AS565" i="1"/>
  <c r="AS479" i="1"/>
  <c r="Q479" i="1"/>
  <c r="R479" i="1" s="1"/>
  <c r="Q530" i="1"/>
  <c r="R530" i="1" s="1"/>
  <c r="AS530" i="1"/>
  <c r="AS543" i="1"/>
  <c r="Q543" i="1"/>
  <c r="R543" i="1" s="1"/>
  <c r="Q623" i="1"/>
  <c r="R623" i="1" s="1"/>
  <c r="AS623" i="1"/>
  <c r="Q39" i="1"/>
  <c r="AS39" i="1"/>
  <c r="Q15" i="1"/>
  <c r="AS15" i="1"/>
  <c r="AS20" i="1"/>
  <c r="Q20" i="1"/>
  <c r="R20" i="1" s="1"/>
  <c r="AS30" i="1"/>
  <c r="Q30" i="1"/>
  <c r="R30" i="1" s="1"/>
  <c r="AS178" i="1"/>
  <c r="Q178" i="1"/>
  <c r="R178" i="1" s="1"/>
  <c r="Q215" i="1"/>
  <c r="R215" i="1" s="1"/>
  <c r="AS215" i="1"/>
  <c r="Q224" i="1"/>
  <c r="R224" i="1" s="1"/>
  <c r="AS224" i="1"/>
  <c r="Q135" i="1"/>
  <c r="AS135" i="1"/>
  <c r="Q317" i="1"/>
  <c r="R317" i="1" s="1"/>
  <c r="AS317" i="1"/>
  <c r="Q337" i="1"/>
  <c r="R337" i="1" s="1"/>
  <c r="AS337" i="1"/>
  <c r="Q310" i="1"/>
  <c r="R310" i="1" s="1"/>
  <c r="AS310" i="1"/>
  <c r="Q346" i="1"/>
  <c r="R346" i="1" s="1"/>
  <c r="AS346" i="1"/>
  <c r="Q355" i="1"/>
  <c r="R355" i="1" s="1"/>
  <c r="AS355" i="1"/>
  <c r="Q387" i="1"/>
  <c r="R387" i="1" s="1"/>
  <c r="AS387" i="1"/>
  <c r="Q359" i="1"/>
  <c r="R359" i="1" s="1"/>
  <c r="AS359" i="1"/>
  <c r="Q595" i="1"/>
  <c r="R595" i="1" s="1"/>
  <c r="AS595" i="1"/>
  <c r="Q60" i="1"/>
  <c r="AS60" i="1"/>
  <c r="AS61" i="1"/>
  <c r="Q61" i="1"/>
  <c r="AS89" i="1"/>
  <c r="Q89" i="1"/>
  <c r="Q164" i="1"/>
  <c r="R164" i="1" s="1"/>
  <c r="AS164" i="1"/>
  <c r="Q180" i="1"/>
  <c r="R180" i="1" s="1"/>
  <c r="AS180" i="1"/>
  <c r="Q188" i="1"/>
  <c r="R188" i="1" s="1"/>
  <c r="AS188" i="1"/>
  <c r="Q493" i="1"/>
  <c r="R493" i="1" s="1"/>
  <c r="AS493" i="1"/>
  <c r="Q484" i="1"/>
  <c r="R484" i="1" s="1"/>
  <c r="AS484" i="1"/>
  <c r="Q508" i="1"/>
  <c r="R508" i="1" s="1"/>
  <c r="AS508" i="1"/>
  <c r="Q267" i="1"/>
  <c r="R267" i="1" s="1"/>
  <c r="AS267" i="1"/>
  <c r="AS280" i="1"/>
  <c r="Q280" i="1"/>
  <c r="R280" i="1" s="1"/>
  <c r="Q529" i="1"/>
  <c r="R529" i="1" s="1"/>
  <c r="AS529" i="1"/>
  <c r="AS475" i="1"/>
  <c r="Q475" i="1"/>
  <c r="R475" i="1" s="1"/>
  <c r="AS539" i="1"/>
  <c r="Q539" i="1"/>
  <c r="R539" i="1" s="1"/>
  <c r="Q551" i="1"/>
  <c r="R551" i="1" s="1"/>
  <c r="AS551" i="1"/>
  <c r="Q583" i="1"/>
  <c r="R583" i="1" s="1"/>
  <c r="AS583" i="1"/>
  <c r="Q643" i="1"/>
  <c r="R643" i="1" s="1"/>
  <c r="AS643" i="1"/>
  <c r="Q609" i="1"/>
  <c r="R609" i="1" s="1"/>
  <c r="AS609" i="1"/>
  <c r="Q633" i="1"/>
  <c r="R633" i="1" s="1"/>
  <c r="AS633" i="1"/>
  <c r="Q693" i="1"/>
  <c r="R693" i="1" s="1"/>
  <c r="AS693" i="1"/>
  <c r="Q46" i="1"/>
  <c r="AS46" i="1"/>
  <c r="Q75" i="1"/>
  <c r="AS75" i="1"/>
  <c r="AS12" i="1"/>
  <c r="Q12" i="1"/>
  <c r="Q19" i="1"/>
  <c r="AS19" i="1"/>
  <c r="Q42" i="1"/>
  <c r="R42" i="1" s="1"/>
  <c r="AS42" i="1"/>
  <c r="Q99" i="1"/>
  <c r="R99" i="1" s="1"/>
  <c r="AS99" i="1"/>
  <c r="AS25" i="1"/>
  <c r="Q25" i="1"/>
  <c r="R25" i="1" s="1"/>
  <c r="AS41" i="1"/>
  <c r="Q41" i="1"/>
  <c r="Q90" i="1"/>
  <c r="R90" i="1" s="1"/>
  <c r="AS90" i="1"/>
  <c r="Q192" i="1"/>
  <c r="R192" i="1" s="1"/>
  <c r="AS192" i="1"/>
  <c r="Q211" i="1"/>
  <c r="R211" i="1" s="1"/>
  <c r="AS211" i="1"/>
  <c r="Q207" i="1"/>
  <c r="AS207" i="1"/>
  <c r="AS138" i="1"/>
  <c r="Q138" i="1"/>
  <c r="Q245" i="1"/>
  <c r="R245" i="1" s="1"/>
  <c r="AS245" i="1"/>
  <c r="Q297" i="1"/>
  <c r="R297" i="1" s="1"/>
  <c r="AS297" i="1"/>
  <c r="Q407" i="1"/>
  <c r="R407" i="1" s="1"/>
  <c r="AS407" i="1"/>
  <c r="Q306" i="1"/>
  <c r="R306" i="1" s="1"/>
  <c r="AS306" i="1"/>
  <c r="Q516" i="1"/>
  <c r="R516" i="1" s="1"/>
  <c r="AS516" i="1"/>
  <c r="AS53" i="1"/>
  <c r="Q53" i="1"/>
  <c r="R53" i="1" s="1"/>
  <c r="AS186" i="1"/>
  <c r="Q186" i="1"/>
  <c r="R186" i="1" s="1"/>
  <c r="AS218" i="1"/>
  <c r="Q218" i="1"/>
  <c r="R218" i="1" s="1"/>
  <c r="Q354" i="1"/>
  <c r="R354" i="1" s="1"/>
  <c r="AS354" i="1"/>
  <c r="Q362" i="1"/>
  <c r="R362" i="1" s="1"/>
  <c r="AS362" i="1"/>
  <c r="Q370" i="1"/>
  <c r="R370" i="1" s="1"/>
  <c r="AS370" i="1"/>
  <c r="Q378" i="1"/>
  <c r="R378" i="1" s="1"/>
  <c r="AS378" i="1"/>
  <c r="Q386" i="1"/>
  <c r="R386" i="1" s="1"/>
  <c r="AS386" i="1"/>
  <c r="Q394" i="1"/>
  <c r="R394" i="1" s="1"/>
  <c r="AS394" i="1"/>
  <c r="Q592" i="1"/>
  <c r="R592" i="1" s="1"/>
  <c r="AS592" i="1"/>
  <c r="Q541" i="1"/>
  <c r="R541" i="1" s="1"/>
  <c r="AS541" i="1"/>
  <c r="AS276" i="1"/>
  <c r="Q276" i="1"/>
  <c r="R276" i="1" s="1"/>
  <c r="Q50" i="1"/>
  <c r="AS50" i="1"/>
  <c r="Q35" i="1"/>
  <c r="R35" i="1" s="1"/>
  <c r="AS35" i="1"/>
  <c r="Q79" i="1"/>
  <c r="AS79" i="1"/>
  <c r="Q110" i="1"/>
  <c r="AS110" i="1"/>
  <c r="AS158" i="1"/>
  <c r="Q158" i="1"/>
  <c r="R158" i="1" s="1"/>
  <c r="Q199" i="1"/>
  <c r="R199" i="1" s="1"/>
  <c r="AS199" i="1"/>
  <c r="AS126" i="1"/>
  <c r="Q126" i="1"/>
  <c r="R126" i="1" s="1"/>
  <c r="Q253" i="1"/>
  <c r="R253" i="1" s="1"/>
  <c r="AS253" i="1"/>
  <c r="Q349" i="1"/>
  <c r="R349" i="1" s="1"/>
  <c r="AS349" i="1"/>
  <c r="Q254" i="1"/>
  <c r="R254" i="1" s="1"/>
  <c r="AS254" i="1"/>
  <c r="Q246" i="1"/>
  <c r="R246" i="1" s="1"/>
  <c r="AS246" i="1"/>
  <c r="Q375" i="1"/>
  <c r="R375" i="1" s="1"/>
  <c r="AS375" i="1"/>
  <c r="AS232" i="1"/>
  <c r="Q232" i="1"/>
  <c r="R232" i="1" s="1"/>
  <c r="Q250" i="1"/>
  <c r="R250" i="1" s="1"/>
  <c r="AS250" i="1"/>
  <c r="AS281" i="1"/>
  <c r="Q281" i="1"/>
  <c r="R281" i="1" s="1"/>
  <c r="Q442" i="1"/>
  <c r="R442" i="1" s="1"/>
  <c r="AS442" i="1"/>
  <c r="Q259" i="1"/>
  <c r="R259" i="1" s="1"/>
  <c r="AS259" i="1"/>
  <c r="AS272" i="1"/>
  <c r="Q272" i="1"/>
  <c r="R272" i="1" s="1"/>
  <c r="AS445" i="1"/>
  <c r="Q445" i="1"/>
  <c r="R445" i="1" s="1"/>
  <c r="AS480" i="1"/>
  <c r="Q480" i="1"/>
  <c r="R480" i="1" s="1"/>
  <c r="Q481" i="1"/>
  <c r="R481" i="1" s="1"/>
  <c r="AS481" i="1"/>
  <c r="AS544" i="1"/>
  <c r="Q544" i="1"/>
  <c r="R544" i="1" s="1"/>
  <c r="Q631" i="1"/>
  <c r="R631" i="1" s="1"/>
  <c r="AS631" i="1"/>
  <c r="Q737" i="1"/>
  <c r="R737" i="1" s="1"/>
  <c r="AS737" i="1"/>
  <c r="Q604" i="1"/>
  <c r="R604" i="1" s="1"/>
  <c r="AS604" i="1"/>
  <c r="AS610" i="1"/>
  <c r="Q610" i="1"/>
  <c r="R610" i="1" s="1"/>
  <c r="AS646" i="1"/>
  <c r="Q646" i="1"/>
  <c r="R646" i="1" s="1"/>
  <c r="AS654" i="1"/>
  <c r="Q654" i="1"/>
  <c r="R654" i="1" s="1"/>
  <c r="AS678" i="1"/>
  <c r="Q678" i="1"/>
  <c r="R678" i="1" s="1"/>
  <c r="Q687" i="1"/>
  <c r="R687" i="1" s="1"/>
  <c r="AS687" i="1"/>
  <c r="Q751" i="1"/>
  <c r="R751" i="1" s="1"/>
  <c r="AS751" i="1"/>
  <c r="Q789" i="1"/>
  <c r="R789" i="1" s="1"/>
  <c r="AS789" i="1"/>
  <c r="Q865" i="1"/>
  <c r="R865" i="1" s="1"/>
  <c r="AS865" i="1"/>
  <c r="AS668" i="1"/>
  <c r="Q668" i="1"/>
  <c r="R668" i="1" s="1"/>
  <c r="Q783" i="1"/>
  <c r="R783" i="1" s="1"/>
  <c r="AS783" i="1"/>
  <c r="AS788" i="1"/>
  <c r="Q788" i="1"/>
  <c r="R788" i="1" s="1"/>
  <c r="AS823" i="1"/>
  <c r="Q823" i="1"/>
  <c r="R823" i="1" s="1"/>
  <c r="Q879" i="1"/>
  <c r="R879" i="1" s="1"/>
  <c r="AS879" i="1"/>
  <c r="Q893" i="1"/>
  <c r="R893" i="1" s="1"/>
  <c r="AS893" i="1"/>
  <c r="AS926" i="1"/>
  <c r="Q926" i="1"/>
  <c r="R926" i="1" s="1"/>
  <c r="AS925" i="1"/>
  <c r="Q925" i="1"/>
  <c r="R925" i="1" s="1"/>
  <c r="Q941" i="1"/>
  <c r="R941" i="1" s="1"/>
  <c r="AS941" i="1"/>
  <c r="Q957" i="1"/>
  <c r="R957" i="1" s="1"/>
  <c r="AS957" i="1"/>
  <c r="Q989" i="1"/>
  <c r="R989" i="1" s="1"/>
  <c r="AS989" i="1"/>
  <c r="Q993" i="1"/>
  <c r="R993" i="1" s="1"/>
  <c r="AS993" i="1"/>
  <c r="AS960" i="1"/>
  <c r="Q960" i="1"/>
  <c r="R960" i="1" s="1"/>
  <c r="Q697" i="1"/>
  <c r="R697" i="1" s="1"/>
  <c r="AS697" i="1"/>
  <c r="Q454" i="1"/>
  <c r="R454" i="1" s="1"/>
  <c r="AS454" i="1"/>
  <c r="AS463" i="1"/>
  <c r="Q463" i="1"/>
  <c r="R463" i="1" s="1"/>
  <c r="Q470" i="1"/>
  <c r="R470" i="1" s="1"/>
  <c r="AS470" i="1"/>
  <c r="AS487" i="1"/>
  <c r="Q487" i="1"/>
  <c r="R487" i="1" s="1"/>
  <c r="Q490" i="1"/>
  <c r="R490" i="1" s="1"/>
  <c r="AS490" i="1"/>
  <c r="AS519" i="1"/>
  <c r="Q519" i="1"/>
  <c r="R519" i="1" s="1"/>
  <c r="AS535" i="1"/>
  <c r="Q535" i="1"/>
  <c r="R535" i="1" s="1"/>
  <c r="Q659" i="1"/>
  <c r="R659" i="1" s="1"/>
  <c r="AS659" i="1"/>
  <c r="Q679" i="1"/>
  <c r="R679" i="1" s="1"/>
  <c r="AS679" i="1"/>
  <c r="Q777" i="1"/>
  <c r="R777" i="1" s="1"/>
  <c r="AS777" i="1"/>
  <c r="Q677" i="1"/>
  <c r="R677" i="1" s="1"/>
  <c r="AS677" i="1"/>
  <c r="Q730" i="1"/>
  <c r="R730" i="1" s="1"/>
  <c r="AS730" i="1"/>
  <c r="Q731" i="1"/>
  <c r="R731" i="1" s="1"/>
  <c r="AS731" i="1"/>
  <c r="AS696" i="1"/>
  <c r="Q696" i="1"/>
  <c r="R696" i="1" s="1"/>
  <c r="AS716" i="1"/>
  <c r="Q716" i="1"/>
  <c r="R716" i="1" s="1"/>
  <c r="AS736" i="1"/>
  <c r="Q736" i="1"/>
  <c r="R736" i="1" s="1"/>
  <c r="AS756" i="1"/>
  <c r="Q756" i="1"/>
  <c r="R756" i="1" s="1"/>
  <c r="Q856" i="1"/>
  <c r="R856" i="1" s="1"/>
  <c r="AS856" i="1"/>
  <c r="Q881" i="1"/>
  <c r="R881" i="1" s="1"/>
  <c r="AS881" i="1"/>
  <c r="Q826" i="1"/>
  <c r="R826" i="1" s="1"/>
  <c r="AS826" i="1"/>
  <c r="Q842" i="1"/>
  <c r="R842" i="1" s="1"/>
  <c r="AS842" i="1"/>
  <c r="Q858" i="1"/>
  <c r="R858" i="1" s="1"/>
  <c r="AS858" i="1"/>
  <c r="Q883" i="1"/>
  <c r="R883" i="1" s="1"/>
  <c r="AS883" i="1"/>
  <c r="AS892" i="1"/>
  <c r="Q892" i="1"/>
  <c r="R892" i="1" s="1"/>
  <c r="AS952" i="1"/>
  <c r="Q952" i="1"/>
  <c r="R952" i="1" s="1"/>
  <c r="Q944" i="1"/>
  <c r="R944" i="1" s="1"/>
  <c r="AS944" i="1"/>
  <c r="Q972" i="1"/>
  <c r="R972" i="1" s="1"/>
  <c r="AS972" i="1"/>
  <c r="Q486" i="1"/>
  <c r="R486" i="1" s="1"/>
  <c r="AS486" i="1"/>
  <c r="AS547" i="1"/>
  <c r="Q547" i="1"/>
  <c r="R547" i="1" s="1"/>
  <c r="Q587" i="1"/>
  <c r="R587" i="1" s="1"/>
  <c r="AS587" i="1"/>
  <c r="Q589" i="1"/>
  <c r="R589" i="1" s="1"/>
  <c r="AS589" i="1"/>
  <c r="Q600" i="1"/>
  <c r="R600" i="1" s="1"/>
  <c r="AS600" i="1"/>
  <c r="Q733" i="1"/>
  <c r="R733" i="1" s="1"/>
  <c r="AS733" i="1"/>
  <c r="Q749" i="1"/>
  <c r="R749" i="1" s="1"/>
  <c r="AS749" i="1"/>
  <c r="AS602" i="1"/>
  <c r="Q602" i="1"/>
  <c r="R602" i="1" s="1"/>
  <c r="AS622" i="1"/>
  <c r="Q622" i="1"/>
  <c r="R622" i="1" s="1"/>
  <c r="Q727" i="1"/>
  <c r="R727" i="1" s="1"/>
  <c r="AS727" i="1"/>
  <c r="Q743" i="1"/>
  <c r="R743" i="1" s="1"/>
  <c r="AS743" i="1"/>
  <c r="Q848" i="1"/>
  <c r="R848" i="1" s="1"/>
  <c r="AS848" i="1"/>
  <c r="AS664" i="1"/>
  <c r="Q664" i="1"/>
  <c r="R664" i="1" s="1"/>
  <c r="Q767" i="1"/>
  <c r="R767" i="1" s="1"/>
  <c r="AS767" i="1"/>
  <c r="AS774" i="1"/>
  <c r="Q774" i="1"/>
  <c r="R774" i="1" s="1"/>
  <c r="Q791" i="1"/>
  <c r="R791" i="1" s="1"/>
  <c r="AS791" i="1"/>
  <c r="Q840" i="1"/>
  <c r="R840" i="1" s="1"/>
  <c r="AS840" i="1"/>
  <c r="Q838" i="1"/>
  <c r="R838" i="1" s="1"/>
  <c r="AS838" i="1"/>
  <c r="AS831" i="1"/>
  <c r="Q831" i="1"/>
  <c r="R831" i="1" s="1"/>
  <c r="AS969" i="1"/>
  <c r="Q969" i="1"/>
  <c r="R969" i="1" s="1"/>
  <c r="Q616" i="1"/>
  <c r="R616" i="1" s="1"/>
  <c r="AS616" i="1"/>
  <c r="Q627" i="1"/>
  <c r="R627" i="1" s="1"/>
  <c r="AS627" i="1"/>
  <c r="Q653" i="1"/>
  <c r="R653" i="1" s="1"/>
  <c r="AS653" i="1"/>
  <c r="AS606" i="1"/>
  <c r="Q606" i="1"/>
  <c r="R606" i="1" s="1"/>
  <c r="Q706" i="1"/>
  <c r="R706" i="1" s="1"/>
  <c r="AS706" i="1"/>
  <c r="Q707" i="1"/>
  <c r="R707" i="1" s="1"/>
  <c r="AS707" i="1"/>
  <c r="Q810" i="1"/>
  <c r="R810" i="1" s="1"/>
  <c r="AS810" i="1"/>
  <c r="Q786" i="1"/>
  <c r="R786" i="1" s="1"/>
  <c r="AS786" i="1"/>
  <c r="Q787" i="1"/>
  <c r="R787" i="1" s="1"/>
  <c r="AS787" i="1"/>
  <c r="Q824" i="1"/>
  <c r="R824" i="1" s="1"/>
  <c r="AS824" i="1"/>
  <c r="AS768" i="1"/>
  <c r="Q768" i="1"/>
  <c r="R768" i="1" s="1"/>
  <c r="Q860" i="1"/>
  <c r="R860" i="1" s="1"/>
  <c r="AS860" i="1"/>
  <c r="AS818" i="1"/>
  <c r="Q818" i="1"/>
  <c r="R818" i="1" s="1"/>
  <c r="Q821" i="1"/>
  <c r="R821" i="1" s="1"/>
  <c r="AS821" i="1"/>
  <c r="Q837" i="1"/>
  <c r="R837" i="1" s="1"/>
  <c r="AS837" i="1"/>
  <c r="Q853" i="1"/>
  <c r="R853" i="1" s="1"/>
  <c r="AS853" i="1"/>
  <c r="AS880" i="1"/>
  <c r="Q880" i="1"/>
  <c r="R880" i="1" s="1"/>
  <c r="AS827" i="1"/>
  <c r="Q827" i="1"/>
  <c r="R827" i="1" s="1"/>
  <c r="Q871" i="1"/>
  <c r="R871" i="1" s="1"/>
  <c r="AS871" i="1"/>
  <c r="AS878" i="1"/>
  <c r="Q878" i="1"/>
  <c r="R878" i="1" s="1"/>
  <c r="AS899" i="1"/>
  <c r="Q899" i="1"/>
  <c r="R899" i="1" s="1"/>
  <c r="Q939" i="1"/>
  <c r="R939" i="1" s="1"/>
  <c r="AS939" i="1"/>
  <c r="AS938" i="1"/>
  <c r="Q938" i="1"/>
  <c r="R938" i="1" s="1"/>
  <c r="AS946" i="1"/>
  <c r="Q946" i="1"/>
  <c r="R946" i="1" s="1"/>
  <c r="AS954" i="1"/>
  <c r="Q954" i="1"/>
  <c r="R954" i="1" s="1"/>
  <c r="AS961" i="1"/>
  <c r="Q961" i="1"/>
  <c r="R961" i="1" s="1"/>
  <c r="AS976" i="1"/>
  <c r="Q976" i="1"/>
  <c r="R976" i="1" s="1"/>
  <c r="Q979" i="1"/>
  <c r="R979" i="1" s="1"/>
  <c r="AS979" i="1"/>
  <c r="Q980" i="1"/>
  <c r="R980" i="1" s="1"/>
  <c r="AS980" i="1"/>
  <c r="AS988" i="1"/>
  <c r="Q988" i="1"/>
  <c r="R988" i="1" s="1"/>
  <c r="AS1000" i="1"/>
  <c r="Q1000" i="1"/>
  <c r="R1000" i="1" s="1"/>
  <c r="AS985" i="1"/>
  <c r="Q985" i="1"/>
  <c r="R985" i="1" s="1"/>
  <c r="Q1002" i="1"/>
  <c r="R1002" i="1" s="1"/>
  <c r="AS1002" i="1"/>
  <c r="K6" i="5"/>
  <c r="G68" i="1"/>
  <c r="I68" i="1" s="1"/>
  <c r="G67" i="1"/>
  <c r="J67" i="1" s="1"/>
  <c r="G77" i="1"/>
  <c r="I77" i="1" s="1"/>
  <c r="G78" i="1"/>
  <c r="J78" i="1" s="1"/>
  <c r="L6" i="5"/>
  <c r="M6" i="5" s="1"/>
  <c r="L7" i="5"/>
  <c r="M7" i="5" s="1"/>
  <c r="L8" i="5"/>
  <c r="M8" i="5" s="1"/>
  <c r="L9" i="5"/>
  <c r="M9" i="5" s="1"/>
  <c r="L10" i="5"/>
  <c r="M10" i="5" s="1"/>
  <c r="L11" i="5"/>
  <c r="M11" i="5" s="1"/>
  <c r="L12" i="5"/>
  <c r="M12" i="5" s="1"/>
  <c r="L13" i="5"/>
  <c r="M13" i="5" s="1"/>
  <c r="L14" i="5"/>
  <c r="M14" i="5" s="1"/>
  <c r="L15" i="5"/>
  <c r="M15" i="5" s="1"/>
  <c r="L16" i="5"/>
  <c r="M16" i="5" s="1"/>
  <c r="N6" i="5"/>
  <c r="N7" i="5"/>
  <c r="N8" i="5"/>
  <c r="N9" i="5"/>
  <c r="N10" i="5"/>
  <c r="N11" i="5"/>
  <c r="N12" i="5"/>
  <c r="N13" i="5"/>
  <c r="N14" i="5"/>
  <c r="N15" i="5"/>
  <c r="L87" i="1" s="1"/>
  <c r="N16" i="5"/>
  <c r="L115" i="1" l="1"/>
  <c r="O115" i="1" s="1"/>
  <c r="L24" i="1"/>
  <c r="N24" i="1" s="1"/>
  <c r="L138" i="1"/>
  <c r="N138" i="1" s="1"/>
  <c r="L137" i="1"/>
  <c r="O137" i="1" s="1"/>
  <c r="L116" i="1"/>
  <c r="N116" i="1" s="1"/>
  <c r="G12" i="1"/>
  <c r="G14" i="1"/>
  <c r="L223" i="1"/>
  <c r="R223" i="1" s="1"/>
  <c r="L135" i="1"/>
  <c r="O135" i="1" s="1"/>
  <c r="L123" i="1"/>
  <c r="R123" i="1" s="1"/>
  <c r="L205" i="1"/>
  <c r="R205" i="1" s="1"/>
  <c r="L207" i="1"/>
  <c r="R207" i="1" s="1"/>
  <c r="L122" i="1"/>
  <c r="R122" i="1" s="1"/>
  <c r="L120" i="1"/>
  <c r="N120" i="1" s="1"/>
  <c r="L202" i="1"/>
  <c r="R202" i="1" s="1"/>
  <c r="L203" i="1"/>
  <c r="O203" i="1" s="1"/>
  <c r="L117" i="1"/>
  <c r="O117" i="1" s="1"/>
  <c r="L119" i="1"/>
  <c r="R119" i="1" s="1"/>
  <c r="G16" i="1"/>
  <c r="G24" i="1"/>
  <c r="L153" i="1"/>
  <c r="R153" i="1" s="1"/>
  <c r="L200" i="1"/>
  <c r="R200" i="1" s="1"/>
  <c r="L129" i="1"/>
  <c r="N129" i="1" s="1"/>
  <c r="L33" i="1"/>
  <c r="R33" i="1" s="1"/>
  <c r="L152" i="1"/>
  <c r="O152" i="1" s="1"/>
  <c r="L128" i="1"/>
  <c r="R128" i="1" s="1"/>
  <c r="O87" i="1"/>
  <c r="G84" i="1"/>
  <c r="G86" i="1"/>
  <c r="R87" i="1"/>
  <c r="L86" i="1"/>
  <c r="O86" i="1" s="1"/>
  <c r="L88" i="1"/>
  <c r="R88" i="1" s="1"/>
  <c r="L89" i="1"/>
  <c r="R89" i="1" s="1"/>
  <c r="L91" i="1"/>
  <c r="R91" i="1" s="1"/>
  <c r="L79" i="1"/>
  <c r="R79" i="1" s="1"/>
  <c r="L81" i="1"/>
  <c r="R81" i="1" s="1"/>
  <c r="L84" i="1"/>
  <c r="O84" i="1" s="1"/>
  <c r="L77" i="1"/>
  <c r="O77" i="1" s="1"/>
  <c r="L85" i="1"/>
  <c r="R85" i="1" s="1"/>
  <c r="J77" i="1"/>
  <c r="G66" i="1"/>
  <c r="G65" i="1"/>
  <c r="G69" i="1"/>
  <c r="I69" i="1" s="1"/>
  <c r="G75" i="1"/>
  <c r="L65" i="1"/>
  <c r="R65" i="1" s="1"/>
  <c r="G76" i="1"/>
  <c r="L76" i="1"/>
  <c r="R76" i="1" s="1"/>
  <c r="L74" i="1"/>
  <c r="R74" i="1" s="1"/>
  <c r="L75" i="1"/>
  <c r="R75" i="1" s="1"/>
  <c r="L73" i="1"/>
  <c r="R73" i="1" s="1"/>
  <c r="J68" i="1"/>
  <c r="G72" i="1"/>
  <c r="G74" i="1"/>
  <c r="G71" i="1"/>
  <c r="G73" i="1"/>
  <c r="G61" i="1"/>
  <c r="G70" i="1"/>
  <c r="G59" i="1"/>
  <c r="L111" i="1"/>
  <c r="O111" i="1" s="1"/>
  <c r="L72" i="1"/>
  <c r="N72" i="1" s="1"/>
  <c r="L70" i="1"/>
  <c r="R70" i="1" s="1"/>
  <c r="L108" i="1"/>
  <c r="R108" i="1" s="1"/>
  <c r="L69" i="1"/>
  <c r="R69" i="1" s="1"/>
  <c r="L110" i="1"/>
  <c r="R110" i="1" s="1"/>
  <c r="L71" i="1"/>
  <c r="R71" i="1" s="1"/>
  <c r="L107" i="1"/>
  <c r="R107" i="1" s="1"/>
  <c r="L68" i="1"/>
  <c r="R68" i="1" s="1"/>
  <c r="L61" i="1"/>
  <c r="R61" i="1" s="1"/>
  <c r="L59" i="1"/>
  <c r="R59" i="1" s="1"/>
  <c r="L109" i="1"/>
  <c r="R109" i="1" s="1"/>
  <c r="L60" i="1"/>
  <c r="R60" i="1" s="1"/>
  <c r="I56" i="1"/>
  <c r="L82" i="1"/>
  <c r="O82" i="1" s="1"/>
  <c r="L19" i="1"/>
  <c r="O19" i="1" s="1"/>
  <c r="N163" i="1"/>
  <c r="N986" i="1"/>
  <c r="L80" i="1"/>
  <c r="R80" i="1" s="1"/>
  <c r="J56" i="1"/>
  <c r="L78" i="1"/>
  <c r="R78" i="1" s="1"/>
  <c r="I78" i="1"/>
  <c r="L56" i="1"/>
  <c r="R56" i="1" s="1"/>
  <c r="O480" i="1"/>
  <c r="I54" i="1"/>
  <c r="I67" i="1"/>
  <c r="L67" i="1"/>
  <c r="R67" i="1" s="1"/>
  <c r="L55" i="1"/>
  <c r="R55" i="1" s="1"/>
  <c r="J54" i="1"/>
  <c r="L66" i="1"/>
  <c r="R66" i="1" s="1"/>
  <c r="N709" i="1"/>
  <c r="N562" i="1"/>
  <c r="L54" i="1"/>
  <c r="R54" i="1" s="1"/>
  <c r="O393" i="1"/>
  <c r="N651" i="1"/>
  <c r="N361" i="1"/>
  <c r="N446" i="1"/>
  <c r="N488" i="1"/>
  <c r="N236" i="1"/>
  <c r="N333" i="1"/>
  <c r="N297" i="1"/>
  <c r="N749" i="1"/>
  <c r="N957" i="1"/>
  <c r="N102" i="1"/>
  <c r="N805" i="1"/>
  <c r="N852" i="1"/>
  <c r="N438" i="1"/>
  <c r="N533" i="1"/>
  <c r="O724" i="1"/>
  <c r="N245" i="1"/>
  <c r="O281" i="1"/>
  <c r="N419" i="1"/>
  <c r="L62" i="1"/>
  <c r="R62" i="1" s="1"/>
  <c r="L16" i="1"/>
  <c r="R16" i="1" s="1"/>
  <c r="L13" i="1"/>
  <c r="R13" i="1" s="1"/>
  <c r="I62" i="1"/>
  <c r="O146" i="1"/>
  <c r="N303" i="1"/>
  <c r="N935" i="1"/>
  <c r="N251" i="1"/>
  <c r="N289" i="1"/>
  <c r="N520" i="1"/>
  <c r="O114" i="1"/>
  <c r="N982" i="1"/>
  <c r="N357" i="1"/>
  <c r="J46" i="1"/>
  <c r="N885" i="1"/>
  <c r="N170" i="1"/>
  <c r="N142" i="1"/>
  <c r="N211" i="1"/>
  <c r="N472" i="1"/>
  <c r="N947" i="1"/>
  <c r="O403" i="1"/>
  <c r="N422" i="1"/>
  <c r="N460" i="1"/>
  <c r="N343" i="1"/>
  <c r="N309" i="1"/>
  <c r="N913" i="1"/>
  <c r="O694" i="1"/>
  <c r="N490" i="1"/>
  <c r="N434" i="1"/>
  <c r="N219" i="1"/>
  <c r="N389" i="1"/>
  <c r="N623" i="1"/>
  <c r="N899" i="1"/>
  <c r="N814" i="1"/>
  <c r="N741" i="1"/>
  <c r="N840" i="1"/>
  <c r="N476" i="1"/>
  <c r="N693" i="1"/>
  <c r="N639" i="1"/>
  <c r="N549" i="1"/>
  <c r="N689" i="1"/>
  <c r="L46" i="1"/>
  <c r="O46" i="1" s="1"/>
  <c r="N752" i="1"/>
  <c r="N628" i="1"/>
  <c r="N445" i="1"/>
  <c r="N659" i="1"/>
  <c r="L58" i="1"/>
  <c r="O58" i="1" s="1"/>
  <c r="N32" i="1"/>
  <c r="N402" i="1"/>
  <c r="N813" i="1"/>
  <c r="O949" i="1"/>
  <c r="N186" i="1"/>
  <c r="J45" i="1"/>
  <c r="L57" i="1"/>
  <c r="O57" i="1" s="1"/>
  <c r="L45" i="1"/>
  <c r="O45" i="1" s="1"/>
  <c r="O528" i="1"/>
  <c r="N220" i="1"/>
  <c r="N424" i="1"/>
  <c r="N388" i="1"/>
  <c r="N273" i="1"/>
  <c r="O636" i="1"/>
  <c r="N921" i="1"/>
  <c r="N42" i="1"/>
  <c r="N893" i="1"/>
  <c r="O118" i="1"/>
  <c r="O464" i="1"/>
  <c r="O756" i="1"/>
  <c r="L52" i="1"/>
  <c r="R52" i="1" s="1"/>
  <c r="N1001" i="1"/>
  <c r="N408" i="1"/>
  <c r="L41" i="1"/>
  <c r="R41" i="1" s="1"/>
  <c r="O692" i="1"/>
  <c r="N349" i="1"/>
  <c r="N369" i="1"/>
  <c r="N603" i="1"/>
  <c r="N938" i="1"/>
  <c r="O839" i="1"/>
  <c r="O854" i="1"/>
  <c r="N925" i="1"/>
  <c r="N441" i="1"/>
  <c r="O214" i="1"/>
  <c r="O826" i="1"/>
  <c r="N416" i="1"/>
  <c r="O1005" i="1"/>
  <c r="O133" i="1"/>
  <c r="O646" i="1"/>
  <c r="O999" i="1"/>
  <c r="O847" i="1"/>
  <c r="N101" i="1"/>
  <c r="N405" i="1"/>
  <c r="N222" i="1"/>
  <c r="N910" i="1"/>
  <c r="O572" i="1"/>
  <c r="N625" i="1"/>
  <c r="O474" i="1"/>
  <c r="N437" i="1"/>
  <c r="N647" i="1"/>
  <c r="N915" i="1"/>
  <c r="O198" i="1"/>
  <c r="N968" i="1"/>
  <c r="N823" i="1"/>
  <c r="O857" i="1"/>
  <c r="O232" i="1"/>
  <c r="N891" i="1"/>
  <c r="N239" i="1"/>
  <c r="O818" i="1"/>
  <c r="N8" i="1"/>
  <c r="N699" i="1"/>
  <c r="N779" i="1"/>
  <c r="N183" i="1"/>
  <c r="O401" i="1"/>
  <c r="N22" i="1"/>
  <c r="N125" i="1"/>
  <c r="N589" i="1"/>
  <c r="O300" i="1"/>
  <c r="N502" i="1"/>
  <c r="N414" i="1"/>
  <c r="O825" i="1"/>
  <c r="N580" i="1"/>
  <c r="N684" i="1"/>
  <c r="N20" i="1"/>
  <c r="O612" i="1"/>
  <c r="N321" i="1"/>
  <c r="O906" i="1"/>
  <c r="N920" i="1"/>
  <c r="N781" i="1"/>
  <c r="N261" i="1"/>
  <c r="N939" i="1"/>
  <c r="N742" i="1"/>
  <c r="N878" i="1"/>
  <c r="N676" i="1"/>
  <c r="N887" i="1"/>
  <c r="O811" i="1"/>
  <c r="O952" i="1"/>
  <c r="N174" i="1"/>
  <c r="N969" i="1"/>
  <c r="N755" i="1"/>
  <c r="I15" i="1"/>
  <c r="N534" i="1"/>
  <c r="N843" i="1"/>
  <c r="N889" i="1"/>
  <c r="O105" i="1"/>
  <c r="O841" i="1"/>
  <c r="N738" i="1"/>
  <c r="N674" i="1"/>
  <c r="N169" i="1"/>
  <c r="O980" i="1"/>
  <c r="N853" i="1"/>
  <c r="N499" i="1"/>
  <c r="O945" i="1"/>
  <c r="N210" i="1"/>
  <c r="N417" i="1"/>
  <c r="N380" i="1"/>
  <c r="N859" i="1"/>
  <c r="N518" i="1"/>
  <c r="N629" i="1"/>
  <c r="O243" i="1"/>
  <c r="N456" i="1"/>
  <c r="N917" i="1"/>
  <c r="O194" i="1"/>
  <c r="N869" i="1"/>
  <c r="O259" i="1"/>
  <c r="N793" i="1"/>
  <c r="N141" i="1"/>
  <c r="N985" i="1"/>
  <c r="N517" i="1"/>
  <c r="O526" i="1"/>
  <c r="O436" i="1"/>
  <c r="O984" i="1"/>
  <c r="N444" i="1"/>
  <c r="N842" i="1"/>
  <c r="N953" i="1"/>
  <c r="N711" i="1"/>
  <c r="O377" i="1"/>
  <c r="N508" i="1"/>
  <c r="N394" i="1"/>
  <c r="N375" i="1"/>
  <c r="N875" i="1"/>
  <c r="N673" i="1"/>
  <c r="N551" i="1"/>
  <c r="O539" i="1"/>
  <c r="N429" i="1"/>
  <c r="N501" i="1"/>
  <c r="O680" i="1"/>
  <c r="N537" i="1"/>
  <c r="N209" i="1"/>
  <c r="O522" i="1"/>
  <c r="N506" i="1"/>
  <c r="O257" i="1"/>
  <c r="O696" i="1"/>
  <c r="O538" i="1"/>
  <c r="O855" i="1"/>
  <c r="N158" i="1"/>
  <c r="O352" i="1"/>
  <c r="N164" i="1"/>
  <c r="O53" i="1"/>
  <c r="O248" i="1"/>
  <c r="N329" i="1"/>
  <c r="N332" i="1"/>
  <c r="N478" i="1"/>
  <c r="N767" i="1"/>
  <c r="N965" i="1"/>
  <c r="N605" i="1"/>
  <c r="N731" i="1"/>
  <c r="N657" i="1"/>
  <c r="N621" i="1"/>
  <c r="N253" i="1"/>
  <c r="N516" i="1"/>
  <c r="N801" i="1"/>
  <c r="N319" i="1"/>
  <c r="N154" i="1"/>
  <c r="O448" i="1"/>
  <c r="N524" i="1"/>
  <c r="N278" i="1"/>
  <c r="O397" i="1"/>
  <c r="O365" i="1"/>
  <c r="N265" i="1"/>
  <c r="O827" i="1"/>
  <c r="N712" i="1"/>
  <c r="O760" i="1"/>
  <c r="N795" i="1"/>
  <c r="N959" i="1"/>
  <c r="O912" i="1"/>
  <c r="N961" i="1"/>
  <c r="N631" i="1"/>
  <c r="N94" i="1"/>
  <c r="N409" i="1"/>
  <c r="N697" i="1"/>
  <c r="N231" i="1"/>
  <c r="N787" i="1"/>
  <c r="N848" i="1"/>
  <c r="O672" i="1"/>
  <c r="O894" i="1"/>
  <c r="N468" i="1"/>
  <c r="N218" i="1"/>
  <c r="N955" i="1"/>
  <c r="N492" i="1"/>
  <c r="N540" i="1"/>
  <c r="N928" i="1"/>
  <c r="N571" i="1"/>
  <c r="N739" i="1"/>
  <c r="N291" i="1"/>
  <c r="N747" i="1"/>
  <c r="N721" i="1"/>
  <c r="N178" i="1"/>
  <c r="N484" i="1"/>
  <c r="O112" i="1"/>
  <c r="N426" i="1"/>
  <c r="N909" i="1"/>
  <c r="N607" i="1"/>
  <c r="O819" i="1"/>
  <c r="N215" i="1"/>
  <c r="N295" i="1"/>
  <c r="O431" i="1"/>
  <c r="N285" i="1"/>
  <c r="O1003" i="1"/>
  <c r="N934" i="1"/>
  <c r="N744" i="1"/>
  <c r="N337" i="1"/>
  <c r="N134" i="1"/>
  <c r="O412" i="1"/>
  <c r="N145" i="1"/>
  <c r="N777" i="1"/>
  <c r="N835" i="1"/>
  <c r="O690" i="1"/>
  <c r="N345" i="1"/>
  <c r="N191" i="1"/>
  <c r="N946" i="1"/>
  <c r="N838" i="1"/>
  <c r="N126" i="1"/>
  <c r="O546" i="1"/>
  <c r="O918" i="1"/>
  <c r="N715" i="1"/>
  <c r="O664" i="1"/>
  <c r="N926" i="1"/>
  <c r="N883" i="1"/>
  <c r="N886" i="1"/>
  <c r="N267" i="1"/>
  <c r="N536" i="1"/>
  <c r="N100" i="1"/>
  <c r="N413" i="1"/>
  <c r="N440" i="1"/>
  <c r="N802" i="1"/>
  <c r="N723" i="1"/>
  <c r="N707" i="1"/>
  <c r="O618" i="1"/>
  <c r="O640" i="1"/>
  <c r="O630" i="1"/>
  <c r="N881" i="1"/>
  <c r="N496" i="1"/>
  <c r="N933" i="1"/>
  <c r="N188" i="1"/>
  <c r="N237" i="1"/>
  <c r="N943" i="1"/>
  <c r="O602" i="1"/>
  <c r="O941" i="1"/>
  <c r="N716" i="1"/>
  <c r="O24" i="1"/>
  <c r="O582" i="1"/>
  <c r="N233" i="1"/>
  <c r="N555" i="1"/>
  <c r="O342" i="1"/>
  <c r="N860" i="1"/>
  <c r="O822" i="1"/>
  <c r="N994" i="1"/>
  <c r="O990" i="1"/>
  <c r="O404" i="1"/>
  <c r="N287" i="1"/>
  <c r="N717" i="1"/>
  <c r="N832" i="1"/>
  <c r="N98" i="1"/>
  <c r="O364" i="1"/>
  <c r="O831" i="1"/>
  <c r="O858" i="1"/>
  <c r="N898" i="1"/>
  <c r="N97" i="1"/>
  <c r="N269" i="1"/>
  <c r="O896" i="1"/>
  <c r="N306" i="1"/>
  <c r="N993" i="1"/>
  <c r="N633" i="1"/>
  <c r="N670" i="1"/>
  <c r="N363" i="1"/>
  <c r="O400" i="1"/>
  <c r="O241" i="1"/>
  <c r="N452" i="1"/>
  <c r="O784" i="1"/>
  <c r="O574" i="1"/>
  <c r="N867" i="1"/>
  <c r="N604" i="1"/>
  <c r="N433" i="1"/>
  <c r="O942" i="1"/>
  <c r="N421" i="1"/>
  <c r="O149" i="1"/>
  <c r="N975" i="1"/>
  <c r="N204" i="1"/>
  <c r="N922" i="1"/>
  <c r="N302" i="1"/>
  <c r="N326" i="1"/>
  <c r="O964" i="1"/>
  <c r="N851" i="1"/>
  <c r="O700" i="1"/>
  <c r="O249" i="1"/>
  <c r="N317" i="1"/>
  <c r="O425" i="1"/>
  <c r="N720" i="1"/>
  <c r="O863" i="1"/>
  <c r="N726" i="1"/>
  <c r="O161" i="1"/>
  <c r="O981" i="1"/>
  <c r="N548" i="1"/>
  <c r="N729" i="1"/>
  <c r="N691" i="1"/>
  <c r="N650" i="1"/>
  <c r="N586" i="1"/>
  <c r="N710" i="1"/>
  <c r="N978" i="1"/>
  <c r="N713" i="1"/>
  <c r="N951" i="1"/>
  <c r="N199" i="1"/>
  <c r="N228" i="1"/>
  <c r="N162" i="1"/>
  <c r="N732" i="1"/>
  <c r="N512" i="1"/>
  <c r="O336" i="1"/>
  <c r="N206" i="1"/>
  <c r="N568" i="1"/>
  <c r="O794" i="1"/>
  <c r="N649" i="1"/>
  <c r="N904" i="1"/>
  <c r="N307" i="1"/>
  <c r="N385" i="1"/>
  <c r="N353" i="1"/>
  <c r="N998" i="1"/>
  <c r="N688" i="1"/>
  <c r="N815" i="1"/>
  <c r="N960" i="1"/>
  <c r="N977" i="1"/>
  <c r="N638" i="1"/>
  <c r="N230" i="1"/>
  <c r="N301" i="1"/>
  <c r="N595" i="1"/>
  <c r="N185" i="1"/>
  <c r="N447" i="1"/>
  <c r="N372" i="1"/>
  <c r="N255" i="1"/>
  <c r="N797" i="1"/>
  <c r="N919" i="1"/>
  <c r="N643" i="1"/>
  <c r="N373" i="1"/>
  <c r="N313" i="1"/>
  <c r="O150" i="1"/>
  <c r="N504" i="1"/>
  <c r="O190" i="1"/>
  <c r="N970" i="1"/>
  <c r="N195" i="1"/>
  <c r="N500" i="1"/>
  <c r="N374" i="1"/>
  <c r="N996" i="1"/>
  <c r="O766" i="1"/>
  <c r="N872" i="1"/>
  <c r="O817" i="1"/>
  <c r="N275" i="1"/>
  <c r="O507" i="1"/>
  <c r="N229" i="1"/>
  <c r="N430" i="1"/>
  <c r="N606" i="1"/>
  <c r="N844" i="1"/>
  <c r="N410" i="1"/>
  <c r="N807" i="1"/>
  <c r="N641" i="1"/>
  <c r="N745" i="1"/>
  <c r="N613" i="1"/>
  <c r="N246" i="1"/>
  <c r="O392" i="1"/>
  <c r="N325" i="1"/>
  <c r="N599" i="1"/>
  <c r="N168" i="1"/>
  <c r="N733" i="1"/>
  <c r="N106" i="1"/>
  <c r="N320" i="1"/>
  <c r="N254" i="1"/>
  <c r="N293" i="1"/>
  <c r="N763" i="1"/>
  <c r="N38" i="1"/>
  <c r="N864" i="1"/>
  <c r="N753" i="1"/>
  <c r="N442" i="1"/>
  <c r="N379" i="1"/>
  <c r="O576" i="1"/>
  <c r="O348" i="1"/>
  <c r="O312" i="1"/>
  <c r="O304" i="1"/>
  <c r="O368" i="1"/>
  <c r="N686" i="1"/>
  <c r="O648" i="1"/>
  <c r="N327" i="1"/>
  <c r="N962" i="1"/>
  <c r="N771" i="1"/>
  <c r="N611" i="1"/>
  <c r="N395" i="1"/>
  <c r="N147" i="1"/>
  <c r="N703" i="1"/>
  <c r="O547" i="1"/>
  <c r="N581" i="1"/>
  <c r="N270" i="1"/>
  <c r="N660" i="1"/>
  <c r="N362" i="1"/>
  <c r="N769" i="1"/>
  <c r="N727" i="1"/>
  <c r="N902" i="1"/>
  <c r="N866" i="1"/>
  <c r="N642" i="1"/>
  <c r="N180" i="1"/>
  <c r="N751" i="1"/>
  <c r="O868" i="1"/>
  <c r="O459" i="1"/>
  <c r="O432" i="1"/>
  <c r="N954" i="1"/>
  <c r="O748" i="1"/>
  <c r="N399" i="1"/>
  <c r="O396" i="1"/>
  <c r="N559" i="1"/>
  <c r="N121" i="1"/>
  <c r="N812" i="1"/>
  <c r="O837" i="1"/>
  <c r="N944" i="1"/>
  <c r="N366" i="1"/>
  <c r="N283" i="1"/>
  <c r="O754" i="1"/>
  <c r="N311" i="1"/>
  <c r="N234" i="1"/>
  <c r="N224" i="1"/>
  <c r="N21" i="1"/>
  <c r="N597" i="1"/>
  <c r="N247" i="1"/>
  <c r="N268" i="1"/>
  <c r="O588" i="1"/>
  <c r="N240" i="1"/>
  <c r="N531" i="1"/>
  <c r="N916" i="1"/>
  <c r="N279" i="1"/>
  <c r="N897" i="1"/>
  <c r="N907" i="1"/>
  <c r="N144" i="1"/>
  <c r="O806" i="1"/>
  <c r="N350" i="1"/>
  <c r="N299" i="1"/>
  <c r="N378" i="1"/>
  <c r="N786" i="1"/>
  <c r="N264" i="1"/>
  <c r="N387" i="1"/>
  <c r="N487" i="1"/>
  <c r="O221" i="1"/>
  <c r="N104" i="1"/>
  <c r="N558" i="1"/>
  <c r="N156" i="1"/>
  <c r="N208" i="1"/>
  <c r="N17" i="1"/>
  <c r="N735" i="1"/>
  <c r="N212" i="1"/>
  <c r="O876" i="1"/>
  <c r="N124" i="1"/>
  <c r="N911" i="1"/>
  <c r="N193" i="1"/>
  <c r="O564" i="1"/>
  <c r="N575" i="1"/>
  <c r="N213" i="1"/>
  <c r="N398" i="1"/>
  <c r="N497" i="1"/>
  <c r="N974" i="1"/>
  <c r="N406" i="1"/>
  <c r="N737" i="1"/>
  <c r="N181" i="1"/>
  <c r="N93" i="1"/>
  <c r="N473" i="1"/>
  <c r="N37" i="1"/>
  <c r="N439" i="1"/>
  <c r="N475" i="1"/>
  <c r="N486" i="1"/>
  <c r="O260" i="1"/>
  <c r="N931" i="1"/>
  <c r="N182" i="1"/>
  <c r="N529" i="1"/>
  <c r="N328" i="1"/>
  <c r="N242" i="1"/>
  <c r="N619" i="1"/>
  <c r="N166" i="1"/>
  <c r="N991" i="1"/>
  <c r="O976" i="1"/>
  <c r="N800" i="1"/>
  <c r="N567" i="1"/>
  <c r="N772" i="1"/>
  <c r="N519" i="1"/>
  <c r="N958" i="1"/>
  <c r="O846" i="1"/>
  <c r="N272" i="1"/>
  <c r="N87" i="1"/>
  <c r="N34" i="1"/>
  <c r="N308" i="1"/>
  <c r="N789" i="1"/>
  <c r="N418" i="1"/>
  <c r="N532" i="1"/>
  <c r="N585" i="1"/>
  <c r="N856" i="1"/>
  <c r="N601" i="1"/>
  <c r="N728" i="1"/>
  <c r="N725" i="1"/>
  <c r="N187" i="1"/>
  <c r="N708" i="1"/>
  <c r="N544" i="1"/>
  <c r="N226" i="1"/>
  <c r="N225" i="1"/>
  <c r="N617" i="1"/>
  <c r="N635" i="1"/>
  <c r="N963" i="1"/>
  <c r="N759" i="1"/>
  <c r="N358" i="1"/>
  <c r="N950" i="1"/>
  <c r="N900" i="1"/>
  <c r="N930" i="1"/>
  <c r="N294" i="1"/>
  <c r="N594" i="1"/>
  <c r="N420" i="1"/>
  <c r="N740" i="1"/>
  <c r="O217" i="1"/>
  <c r="N92" i="1"/>
  <c r="N96" i="1"/>
  <c r="N1000" i="1"/>
  <c r="N877" i="1"/>
  <c r="N809" i="1"/>
  <c r="N554" i="1"/>
  <c r="N347" i="1"/>
  <c r="N381" i="1"/>
  <c r="N176" i="1"/>
  <c r="N130" i="1"/>
  <c r="N973" i="1"/>
  <c r="N719" i="1"/>
  <c r="N256" i="1"/>
  <c r="N542" i="1"/>
  <c r="N367" i="1"/>
  <c r="N591" i="1"/>
  <c r="N615" i="1"/>
  <c r="N824" i="1"/>
  <c r="N90" i="1"/>
  <c r="N882" i="1"/>
  <c r="N758" i="1"/>
  <c r="N482" i="1"/>
  <c r="N682" i="1"/>
  <c r="N722" i="1"/>
  <c r="N681" i="1"/>
  <c r="N671" i="1"/>
  <c r="O189" i="1"/>
  <c r="N335" i="1"/>
  <c r="N493" i="1"/>
  <c r="N83" i="1"/>
  <c r="O656" i="1"/>
  <c r="N157" i="1"/>
  <c r="N277" i="1"/>
  <c r="N509" i="1"/>
  <c r="N836" i="1"/>
  <c r="N782" i="1"/>
  <c r="O734" i="1"/>
  <c r="N561" i="1"/>
  <c r="N132" i="1"/>
  <c r="N305" i="1"/>
  <c r="N609" i="1"/>
  <c r="N341" i="1"/>
  <c r="N871" i="1"/>
  <c r="N971" i="1"/>
  <c r="N655" i="1"/>
  <c r="N828" i="1"/>
  <c r="N705" i="1"/>
  <c r="N785" i="1"/>
  <c r="O556" i="1"/>
  <c r="N471" i="1"/>
  <c r="N632" i="1"/>
  <c r="O451" i="1"/>
  <c r="O627" i="1"/>
  <c r="N627" i="1"/>
  <c r="O587" i="1"/>
  <c r="N587" i="1"/>
  <c r="O701" i="1"/>
  <c r="N701" i="1"/>
  <c r="N515" i="1"/>
  <c r="L50" i="1"/>
  <c r="O50" i="1" s="1"/>
  <c r="N359" i="1"/>
  <c r="N937" i="1"/>
  <c r="N783" i="1"/>
  <c r="O790" i="1"/>
  <c r="O276" i="1"/>
  <c r="N624" i="1"/>
  <c r="O511" i="1"/>
  <c r="N288" i="1"/>
  <c r="N565" i="1"/>
  <c r="N626" i="1"/>
  <c r="N566" i="1"/>
  <c r="N765" i="1"/>
  <c r="N30" i="1"/>
  <c r="N495" i="1"/>
  <c r="N903" i="1"/>
  <c r="N762" i="1"/>
  <c r="N331" i="1"/>
  <c r="O527" i="1"/>
  <c r="N879" i="1"/>
  <c r="N736" i="1"/>
  <c r="N334" i="1"/>
  <c r="N330" i="1"/>
  <c r="N25" i="1"/>
  <c r="N901" i="1"/>
  <c r="O1004" i="1"/>
  <c r="N479" i="1"/>
  <c r="N235" i="1"/>
  <c r="N890" i="1"/>
  <c r="O810" i="1"/>
  <c r="N63" i="1"/>
  <c r="N391" i="1"/>
  <c r="N384" i="1"/>
  <c r="N356" i="1"/>
  <c r="N376" i="1"/>
  <c r="O798" i="1"/>
  <c r="N177" i="1"/>
  <c r="N371" i="1"/>
  <c r="N995" i="1"/>
  <c r="N360" i="1"/>
  <c r="N292" i="1"/>
  <c r="N821" i="1"/>
  <c r="N929" i="1"/>
  <c r="N862" i="1"/>
  <c r="N637" i="1"/>
  <c r="N197" i="1"/>
  <c r="N510" i="1"/>
  <c r="N622" i="1"/>
  <c r="O503" i="1"/>
  <c r="N271" i="1"/>
  <c r="N770" i="1"/>
  <c r="N714" i="1"/>
  <c r="N165" i="1"/>
  <c r="N423" i="1"/>
  <c r="N18" i="1"/>
  <c r="N390" i="1"/>
  <c r="N466" i="1"/>
  <c r="N685" i="1"/>
  <c r="L40" i="1"/>
  <c r="N40" i="1" s="1"/>
  <c r="O850" i="1"/>
  <c r="O865" i="1"/>
  <c r="O658" i="1"/>
  <c r="N483" i="1"/>
  <c r="N263" i="1"/>
  <c r="N652" i="1"/>
  <c r="N543" i="1"/>
  <c r="N687" i="1"/>
  <c r="N665" i="1"/>
  <c r="N505" i="1"/>
  <c r="N979" i="1"/>
  <c r="N972" i="1"/>
  <c r="N469" i="1"/>
  <c r="N525" i="1"/>
  <c r="N196" i="1"/>
  <c r="N494" i="1"/>
  <c r="N344" i="1"/>
  <c r="N296" i="1"/>
  <c r="N550" i="1"/>
  <c r="N64" i="1"/>
  <c r="N29" i="1"/>
  <c r="N127" i="1"/>
  <c r="N677" i="1"/>
  <c r="N895" i="1"/>
  <c r="O590" i="1"/>
  <c r="N9" i="1"/>
  <c r="N465" i="1"/>
  <c r="N26" i="1"/>
  <c r="N167" i="1"/>
  <c r="O227" i="1"/>
  <c r="O718" i="1"/>
  <c r="N148" i="1"/>
  <c r="N351" i="1"/>
  <c r="N43" i="1"/>
  <c r="N354" i="1"/>
  <c r="N298" i="1"/>
  <c r="L15" i="1"/>
  <c r="R15" i="1" s="1"/>
  <c r="N927" i="1"/>
  <c r="N634" i="1"/>
  <c r="N616" i="1"/>
  <c r="N698" i="1"/>
  <c r="N535" i="1"/>
  <c r="N463" i="1"/>
  <c r="N244" i="1"/>
  <c r="N36" i="1"/>
  <c r="N654" i="1"/>
  <c r="N552" i="1"/>
  <c r="N140" i="1"/>
  <c r="N764" i="1"/>
  <c r="N600" i="1"/>
  <c r="N645" i="1"/>
  <c r="N131" i="1"/>
  <c r="N592" i="1"/>
  <c r="N644" i="1"/>
  <c r="N461" i="1"/>
  <c r="N704" i="1"/>
  <c r="N584" i="1"/>
  <c r="N662" i="1"/>
  <c r="N610" i="1"/>
  <c r="O570" i="1"/>
  <c r="N172" i="1"/>
  <c r="N238" i="1"/>
  <c r="N523" i="1"/>
  <c r="N820" i="1"/>
  <c r="N683" i="1"/>
  <c r="N346" i="1"/>
  <c r="N803" i="1"/>
  <c r="N47" i="1"/>
  <c r="N23" i="1"/>
  <c r="N874" i="1"/>
  <c r="N834" i="1"/>
  <c r="N620" i="1"/>
  <c r="N578" i="1"/>
  <c r="N173" i="1"/>
  <c r="N514" i="1"/>
  <c r="N280" i="1"/>
  <c r="N428" i="1"/>
  <c r="N316" i="1"/>
  <c r="N284" i="1"/>
  <c r="N113" i="1"/>
  <c r="N778" i="1"/>
  <c r="N830" i="1"/>
  <c r="N668" i="1"/>
  <c r="N706" i="1"/>
  <c r="N491" i="1"/>
  <c r="N340" i="1"/>
  <c r="N324" i="1"/>
  <c r="N274" i="1"/>
  <c r="N799" i="1"/>
  <c r="N201" i="1"/>
  <c r="N905" i="1"/>
  <c r="N667" i="1"/>
  <c r="N679" i="1"/>
  <c r="N757" i="1"/>
  <c r="N521" i="1"/>
  <c r="N695" i="1"/>
  <c r="N593" i="1"/>
  <c r="N382" i="1"/>
  <c r="N192" i="1"/>
  <c r="N983" i="1"/>
  <c r="N51" i="1"/>
  <c r="N967" i="1"/>
  <c r="N171" i="1"/>
  <c r="N457" i="1"/>
  <c r="N338" i="1"/>
  <c r="N103" i="1"/>
  <c r="N407" i="1"/>
  <c r="N258" i="1"/>
  <c r="N159" i="1"/>
  <c r="N99" i="1"/>
  <c r="N989" i="1"/>
  <c r="N956" i="1"/>
  <c r="N884" i="1"/>
  <c r="O290" i="1"/>
  <c r="N290" i="1"/>
  <c r="L12" i="1"/>
  <c r="N12" i="1" s="1"/>
  <c r="O541" i="1"/>
  <c r="N541" i="1"/>
  <c r="O179" i="1"/>
  <c r="N179" i="1"/>
  <c r="N560" i="1"/>
  <c r="O653" i="1"/>
  <c r="N653" i="1"/>
  <c r="O262" i="1"/>
  <c r="N262" i="1"/>
  <c r="O458" i="1"/>
  <c r="N458" i="1"/>
  <c r="O323" i="1"/>
  <c r="N323" i="1"/>
  <c r="O250" i="1"/>
  <c r="N250" i="1"/>
  <c r="O370" i="1"/>
  <c r="N370" i="1"/>
  <c r="O155" i="1"/>
  <c r="N155" i="1"/>
  <c r="O513" i="1"/>
  <c r="N513" i="1"/>
  <c r="O386" i="1"/>
  <c r="N386" i="1"/>
  <c r="O557" i="1"/>
  <c r="N557" i="1"/>
  <c r="N530" i="1"/>
  <c r="O530" i="1"/>
  <c r="O282" i="1"/>
  <c r="N282" i="1"/>
  <c r="O322" i="1"/>
  <c r="N322" i="1"/>
  <c r="O914" i="1"/>
  <c r="N914" i="1"/>
  <c r="N773" i="1"/>
  <c r="N415" i="1"/>
  <c r="N449" i="1"/>
  <c r="N28" i="1"/>
  <c r="N455" i="1"/>
  <c r="N48" i="1"/>
  <c r="N44" i="1"/>
  <c r="N252" i="1"/>
  <c r="N768" i="1"/>
  <c r="N833" i="1"/>
  <c r="N583" i="1"/>
  <c r="N661" i="1"/>
  <c r="N266" i="1"/>
  <c r="N35" i="1"/>
  <c r="N315" i="1"/>
  <c r="N873" i="1"/>
  <c r="N573" i="1"/>
  <c r="N816" i="1"/>
  <c r="N666" i="1"/>
  <c r="N467" i="1"/>
  <c r="N453" i="1"/>
  <c r="N892" i="1"/>
  <c r="N997" i="1"/>
  <c r="O791" i="1"/>
  <c r="N791" i="1"/>
  <c r="N485" i="1"/>
  <c r="N355" i="1"/>
  <c r="N743" i="1"/>
  <c r="N427" i="1"/>
  <c r="N663" i="1"/>
  <c r="O669" i="1"/>
  <c r="N669" i="1"/>
  <c r="O553" i="1"/>
  <c r="N553" i="1"/>
  <c r="O761" i="1"/>
  <c r="N761" i="1"/>
  <c r="O563" i="1"/>
  <c r="N563" i="1"/>
  <c r="O462" i="1"/>
  <c r="N462" i="1"/>
  <c r="O143" i="1"/>
  <c r="N143" i="1"/>
  <c r="O139" i="1"/>
  <c r="N139" i="1"/>
  <c r="O31" i="1"/>
  <c r="N31" i="1"/>
  <c r="O730" i="1"/>
  <c r="N730" i="1"/>
  <c r="O746" i="1"/>
  <c r="N746" i="1"/>
  <c r="N861" i="1"/>
  <c r="O861" i="1"/>
  <c r="O383" i="1"/>
  <c r="N383" i="1"/>
  <c r="O923" i="1"/>
  <c r="N923" i="1"/>
  <c r="O987" i="1"/>
  <c r="N987" i="1"/>
  <c r="O10" i="1"/>
  <c r="N10" i="1"/>
  <c r="O796" i="1"/>
  <c r="N796" i="1"/>
  <c r="N988" i="1"/>
  <c r="O988" i="1"/>
  <c r="O775" i="1"/>
  <c r="N775" i="1"/>
  <c r="O675" i="1"/>
  <c r="N675" i="1"/>
  <c r="O545" i="1"/>
  <c r="N545" i="1"/>
  <c r="O577" i="1"/>
  <c r="N577" i="1"/>
  <c r="O908" i="1"/>
  <c r="N908" i="1"/>
  <c r="O596" i="1"/>
  <c r="N596" i="1"/>
  <c r="O880" i="1"/>
  <c r="N880" i="1"/>
  <c r="N992" i="1"/>
  <c r="O992" i="1"/>
  <c r="O175" i="1"/>
  <c r="N175" i="1"/>
  <c r="O314" i="1"/>
  <c r="N314" i="1"/>
  <c r="O608" i="1"/>
  <c r="N608" i="1"/>
  <c r="O849" i="1"/>
  <c r="N849" i="1"/>
  <c r="O932" i="1"/>
  <c r="N932" i="1"/>
  <c r="O470" i="1"/>
  <c r="N470" i="1"/>
  <c r="O888" i="1"/>
  <c r="N888" i="1"/>
  <c r="O870" i="1"/>
  <c r="N870" i="1"/>
  <c r="O498" i="1"/>
  <c r="N498" i="1"/>
  <c r="N702" i="1"/>
  <c r="O702" i="1"/>
  <c r="O411" i="1"/>
  <c r="N411" i="1"/>
  <c r="O443" i="1"/>
  <c r="N443" i="1"/>
  <c r="O481" i="1"/>
  <c r="N481" i="1"/>
  <c r="O318" i="1"/>
  <c r="N318" i="1"/>
  <c r="N829" i="1"/>
  <c r="O829" i="1"/>
  <c r="O924" i="1"/>
  <c r="N924" i="1"/>
  <c r="O780" i="1"/>
  <c r="N780" i="1"/>
  <c r="O804" i="1"/>
  <c r="N804" i="1"/>
  <c r="O966" i="1"/>
  <c r="N966" i="1"/>
  <c r="O598" i="1"/>
  <c r="N598" i="1"/>
  <c r="O845" i="1"/>
  <c r="N845" i="1"/>
  <c r="O948" i="1"/>
  <c r="N948" i="1"/>
  <c r="O774" i="1"/>
  <c r="N774" i="1"/>
  <c r="O940" i="1"/>
  <c r="N940" i="1"/>
  <c r="O216" i="1"/>
  <c r="N216" i="1"/>
  <c r="O579" i="1"/>
  <c r="N579" i="1"/>
  <c r="O450" i="1"/>
  <c r="N450" i="1"/>
  <c r="O95" i="1"/>
  <c r="N95" i="1"/>
  <c r="O286" i="1"/>
  <c r="N286" i="1"/>
  <c r="N750" i="1"/>
  <c r="O750" i="1"/>
  <c r="O614" i="1"/>
  <c r="N614" i="1"/>
  <c r="O339" i="1"/>
  <c r="N339" i="1"/>
  <c r="O569" i="1"/>
  <c r="N569" i="1"/>
  <c r="N776" i="1"/>
  <c r="O776" i="1"/>
  <c r="O808" i="1"/>
  <c r="N808" i="1"/>
  <c r="O788" i="1"/>
  <c r="N788" i="1"/>
  <c r="O1002" i="1"/>
  <c r="N1002" i="1"/>
  <c r="O489" i="1"/>
  <c r="N489" i="1"/>
  <c r="O454" i="1"/>
  <c r="N454" i="1"/>
  <c r="O310" i="1"/>
  <c r="N310" i="1"/>
  <c r="O27" i="1"/>
  <c r="N27" i="1"/>
  <c r="O792" i="1"/>
  <c r="N792" i="1"/>
  <c r="O936" i="1"/>
  <c r="N936" i="1"/>
  <c r="O184" i="1"/>
  <c r="N184" i="1"/>
  <c r="O477" i="1"/>
  <c r="N477" i="1"/>
  <c r="O160" i="1"/>
  <c r="N160" i="1"/>
  <c r="N678" i="1"/>
  <c r="O678" i="1"/>
  <c r="O435" i="1"/>
  <c r="N435" i="1"/>
  <c r="O151" i="1"/>
  <c r="N151" i="1"/>
  <c r="L39" i="1"/>
  <c r="R39" i="1" s="1"/>
  <c r="L49" i="1"/>
  <c r="L14" i="1"/>
  <c r="R14" i="1" s="1"/>
  <c r="L11" i="1"/>
  <c r="N11" i="1" s="1"/>
  <c r="M6" i="1"/>
  <c r="O123" i="1" l="1"/>
  <c r="N115" i="1"/>
  <c r="R115" i="1"/>
  <c r="N137" i="1"/>
  <c r="R24" i="1"/>
  <c r="N207" i="1"/>
  <c r="O138" i="1"/>
  <c r="R138" i="1"/>
  <c r="N223" i="1"/>
  <c r="R116" i="1"/>
  <c r="O116" i="1"/>
  <c r="R137" i="1"/>
  <c r="N205" i="1"/>
  <c r="N135" i="1"/>
  <c r="R135" i="1"/>
  <c r="N123" i="1"/>
  <c r="O207" i="1"/>
  <c r="O205" i="1"/>
  <c r="O122" i="1"/>
  <c r="O91" i="1"/>
  <c r="O202" i="1"/>
  <c r="N122" i="1"/>
  <c r="N202" i="1"/>
  <c r="O120" i="1"/>
  <c r="O119" i="1"/>
  <c r="N203" i="1"/>
  <c r="I24" i="1"/>
  <c r="J24" i="1"/>
  <c r="R120" i="1"/>
  <c r="R203" i="1"/>
  <c r="N117" i="1"/>
  <c r="N119" i="1"/>
  <c r="N200" i="1"/>
  <c r="R117" i="1"/>
  <c r="N153" i="1"/>
  <c r="O200" i="1"/>
  <c r="O153" i="1"/>
  <c r="O129" i="1"/>
  <c r="O128" i="1"/>
  <c r="N128" i="1"/>
  <c r="O33" i="1"/>
  <c r="N152" i="1"/>
  <c r="R129" i="1"/>
  <c r="N33" i="1"/>
  <c r="R152" i="1"/>
  <c r="O89" i="1"/>
  <c r="O81" i="1"/>
  <c r="N84" i="1"/>
  <c r="N81" i="1"/>
  <c r="O85" i="1"/>
  <c r="I86" i="1"/>
  <c r="J86" i="1"/>
  <c r="I84" i="1"/>
  <c r="J84" i="1"/>
  <c r="O88" i="1"/>
  <c r="N88" i="1"/>
  <c r="N91" i="1"/>
  <c r="N77" i="1"/>
  <c r="O79" i="1"/>
  <c r="N79" i="1"/>
  <c r="N86" i="1"/>
  <c r="R86" i="1"/>
  <c r="N89" i="1"/>
  <c r="N85" i="1"/>
  <c r="R84" i="1"/>
  <c r="R77" i="1"/>
  <c r="J69" i="1"/>
  <c r="I75" i="1"/>
  <c r="J75" i="1"/>
  <c r="I66" i="1"/>
  <c r="J66" i="1"/>
  <c r="O73" i="1"/>
  <c r="O76" i="1"/>
  <c r="I76" i="1"/>
  <c r="J76" i="1"/>
  <c r="N74" i="1"/>
  <c r="N65" i="1"/>
  <c r="R111" i="1"/>
  <c r="N75" i="1"/>
  <c r="N76" i="1"/>
  <c r="N73" i="1"/>
  <c r="O75" i="1"/>
  <c r="O74" i="1"/>
  <c r="O69" i="1"/>
  <c r="I65" i="1"/>
  <c r="J65" i="1"/>
  <c r="O72" i="1"/>
  <c r="O65" i="1"/>
  <c r="O70" i="1"/>
  <c r="O71" i="1"/>
  <c r="O108" i="1"/>
  <c r="O59" i="1"/>
  <c r="O68" i="1"/>
  <c r="I74" i="1"/>
  <c r="J74" i="1"/>
  <c r="I70" i="1"/>
  <c r="J70" i="1"/>
  <c r="I72" i="1"/>
  <c r="J72" i="1"/>
  <c r="I73" i="1"/>
  <c r="J73" i="1"/>
  <c r="I71" i="1"/>
  <c r="J71" i="1"/>
  <c r="I59" i="1"/>
  <c r="J59" i="1"/>
  <c r="I61" i="1"/>
  <c r="J61" i="1"/>
  <c r="O61" i="1"/>
  <c r="N59" i="1"/>
  <c r="N111" i="1"/>
  <c r="N108" i="1"/>
  <c r="N19" i="1"/>
  <c r="N71" i="1"/>
  <c r="O107" i="1"/>
  <c r="N61" i="1"/>
  <c r="O110" i="1"/>
  <c r="N110" i="1"/>
  <c r="N69" i="1"/>
  <c r="N70" i="1"/>
  <c r="N68" i="1"/>
  <c r="R72" i="1"/>
  <c r="N109" i="1"/>
  <c r="N107" i="1"/>
  <c r="N82" i="1"/>
  <c r="O109" i="1"/>
  <c r="N67" i="1"/>
  <c r="I19" i="1"/>
  <c r="J19" i="1"/>
  <c r="I82" i="1"/>
  <c r="J82" i="1"/>
  <c r="I80" i="1"/>
  <c r="J80" i="1"/>
  <c r="O52" i="1"/>
  <c r="O60" i="1"/>
  <c r="N60" i="1"/>
  <c r="R82" i="1"/>
  <c r="R19" i="1"/>
  <c r="J60" i="1"/>
  <c r="I60" i="1"/>
  <c r="N80" i="1"/>
  <c r="I57" i="1"/>
  <c r="J57" i="1"/>
  <c r="I16" i="1"/>
  <c r="J16" i="1"/>
  <c r="I41" i="1"/>
  <c r="J41" i="1"/>
  <c r="N78" i="1"/>
  <c r="O80" i="1"/>
  <c r="I58" i="1"/>
  <c r="J58" i="1"/>
  <c r="N55" i="1"/>
  <c r="N56" i="1"/>
  <c r="O56" i="1"/>
  <c r="O78" i="1"/>
  <c r="I55" i="1"/>
  <c r="J55" i="1"/>
  <c r="N54" i="1"/>
  <c r="O67" i="1"/>
  <c r="O55" i="1"/>
  <c r="I13" i="1"/>
  <c r="J13" i="1"/>
  <c r="N66" i="1"/>
  <c r="N62" i="1"/>
  <c r="O16" i="1"/>
  <c r="O66" i="1"/>
  <c r="N16" i="1"/>
  <c r="O54" i="1"/>
  <c r="I12" i="1"/>
  <c r="J12" i="1"/>
  <c r="O62" i="1"/>
  <c r="N13" i="1"/>
  <c r="O13" i="1"/>
  <c r="I50" i="1"/>
  <c r="J50" i="1"/>
  <c r="I46" i="1"/>
  <c r="N46" i="1"/>
  <c r="R46" i="1"/>
  <c r="N57" i="1"/>
  <c r="N58" i="1"/>
  <c r="R58" i="1"/>
  <c r="N45" i="1"/>
  <c r="I45" i="1"/>
  <c r="R45" i="1"/>
  <c r="N52" i="1"/>
  <c r="R57" i="1"/>
  <c r="N41" i="1"/>
  <c r="O41" i="1"/>
  <c r="O15" i="1"/>
  <c r="O11" i="1"/>
  <c r="I11" i="1"/>
  <c r="J11" i="1"/>
  <c r="O12" i="1"/>
  <c r="I14" i="1"/>
  <c r="J14" i="1"/>
  <c r="I49" i="1"/>
  <c r="J49" i="1"/>
  <c r="N50" i="1"/>
  <c r="R50" i="1"/>
  <c r="R40" i="1"/>
  <c r="N15" i="1"/>
  <c r="O40" i="1"/>
  <c r="R12" i="1"/>
  <c r="I39" i="1"/>
  <c r="J39" i="1"/>
  <c r="R11" i="1"/>
  <c r="N49" i="1"/>
  <c r="O49" i="1"/>
  <c r="R49" i="1"/>
  <c r="O14" i="1"/>
  <c r="N14" i="1"/>
  <c r="N39" i="1"/>
  <c r="O39" i="1"/>
  <c r="L6" i="1"/>
  <c r="L5" i="1" l="1"/>
  <c r="G5" i="1"/>
  <c r="M1193" i="4" l="1"/>
  <c r="K1193" i="4"/>
  <c r="T1193" i="4"/>
  <c r="R1193" i="4"/>
  <c r="J1193" i="4"/>
  <c r="S1193" i="4"/>
  <c r="I1193" i="4"/>
  <c r="L1193" i="4"/>
  <c r="N1193" i="4"/>
  <c r="P1193" i="4"/>
  <c r="O1193" i="4"/>
  <c r="Q1193" i="4"/>
  <c r="F7" i="1" l="1"/>
  <c r="X7" i="1"/>
  <c r="C7" i="1"/>
  <c r="AA7" i="1"/>
  <c r="D7" i="1"/>
  <c r="L7" i="1" s="1"/>
  <c r="AB7" i="1"/>
  <c r="Z7" i="1"/>
  <c r="T7" i="1"/>
  <c r="AE7" i="1"/>
  <c r="AC7" i="1"/>
  <c r="AD7" i="1"/>
  <c r="W7" i="1"/>
  <c r="Y7" i="1"/>
  <c r="U7" i="1"/>
  <c r="V7" i="1"/>
  <c r="H7" i="1" l="1"/>
  <c r="Y1006" i="1"/>
  <c r="V1006" i="1"/>
  <c r="Z1006" i="1"/>
  <c r="G7" i="1"/>
  <c r="U1006" i="1"/>
  <c r="AE1006" i="1"/>
  <c r="AA1006" i="1"/>
  <c r="X1006" i="1"/>
  <c r="W1006" i="1"/>
  <c r="T1006" i="1"/>
  <c r="AB1006" i="1"/>
  <c r="AI7" i="1"/>
  <c r="AO7" i="1"/>
  <c r="AP7" i="1"/>
  <c r="AH7" i="1"/>
  <c r="AG7" i="1"/>
  <c r="AJ7" i="1"/>
  <c r="AF7" i="1"/>
  <c r="AR7" i="1"/>
  <c r="AQ7" i="1"/>
  <c r="AK7" i="1"/>
  <c r="AL7" i="1"/>
  <c r="AM7" i="1"/>
  <c r="AN7" i="1"/>
  <c r="AD1006" i="1"/>
  <c r="AC1006" i="1"/>
  <c r="M7" i="1" l="1"/>
  <c r="O7" i="1" s="1"/>
  <c r="AS7" i="1"/>
  <c r="I7" i="1"/>
  <c r="AF1006" i="1"/>
  <c r="J7" i="1"/>
  <c r="AO1006" i="1"/>
  <c r="AG1006" i="1"/>
  <c r="AJ1006" i="1"/>
  <c r="AI1006" i="1"/>
  <c r="AN1006" i="1"/>
  <c r="AM1006" i="1"/>
  <c r="AH1006" i="1"/>
  <c r="AK1006" i="1"/>
  <c r="H1006" i="1"/>
  <c r="AQ1006" i="1"/>
  <c r="AP1006" i="1"/>
  <c r="AL1006" i="1"/>
  <c r="Q7" i="1"/>
  <c r="R7" i="1" s="1"/>
  <c r="AR1006" i="1"/>
  <c r="N7" i="1" l="1"/>
  <c r="M1006" i="1"/>
  <c r="AS1006" i="1"/>
  <c r="Q1006" i="1"/>
  <c r="G136" i="1" l="1"/>
  <c r="L136" i="1"/>
  <c r="R136" i="1" s="1"/>
  <c r="R1006" i="1" s="1"/>
  <c r="I136" i="1" l="1"/>
  <c r="I1006" i="1" s="1"/>
  <c r="J136" i="1"/>
  <c r="G1006" i="1"/>
  <c r="J1006" i="1" s="1"/>
  <c r="N136" i="1"/>
  <c r="N1006" i="1" s="1"/>
  <c r="O136" i="1"/>
  <c r="L1006" i="1"/>
  <c r="O100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Pham Trung Hieu</author>
    <author>Le Thi Thu Trang</author>
  </authors>
  <commentList>
    <comment ref="J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Pham Trung Hieu:</t>
        </r>
        <r>
          <rPr>
            <sz val="9"/>
            <color indexed="81"/>
            <rFont val="Tahoma"/>
            <family val="2"/>
          </rPr>
          <t xml:space="preserve">
Lookup in DeptCode_Tbl
</t>
        </r>
      </text>
    </comment>
    <comment ref="H931" authorId="1" shapeId="0" xr:uid="{9328BEE4-22B1-4C61-B82B-4C65080AA08D}">
      <text>
        <r>
          <rPr>
            <b/>
            <sz val="9"/>
            <color indexed="81"/>
            <rFont val="Tahoma"/>
            <family val="2"/>
          </rPr>
          <t>Le Thi Thu Trang: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92" authorId="1" shapeId="0" xr:uid="{A57CD37B-5073-4815-97A5-38613210EB76}">
      <text>
        <r>
          <rPr>
            <b/>
            <sz val="9"/>
            <color indexed="81"/>
            <rFont val="Tahoma"/>
            <family val="2"/>
          </rPr>
          <t>Le Thi Thu Trang: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28" authorId="1" shapeId="0" xr:uid="{97DF174F-08AB-47AD-86D4-4FCDB2654BC5}">
      <text>
        <r>
          <rPr>
            <b/>
            <sz val="9"/>
            <color indexed="81"/>
            <rFont val="Tahoma"/>
            <family val="2"/>
          </rPr>
          <t>Le Thi Thu Trang: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Pham Trung Hieu</author>
    <author>Vu Thi Lan Huong</author>
  </authors>
  <commentList>
    <comment ref="G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Pham Trung Hieu: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Lookup in ClassTbl</t>
        </r>
      </text>
    </comment>
    <comment ref="F155" authorId="1" shapeId="0" xr:uid="{A4EC2ADE-3F37-4DFE-BA8E-54470AD38385}">
      <text>
        <r>
          <rPr>
            <b/>
            <sz val="9"/>
            <color indexed="81"/>
            <rFont val="Tahoma"/>
            <family val="2"/>
          </rPr>
          <t xml:space="preserve">Vu Thi Lan Huong: </t>
        </r>
        <r>
          <rPr>
            <sz val="9"/>
            <color indexed="81"/>
            <rFont val="Tahoma"/>
            <family val="2"/>
          </rPr>
          <t>High voltage generator for X-ray 1</t>
        </r>
      </text>
    </comment>
  </commentList>
</comments>
</file>

<file path=xl/sharedStrings.xml><?xml version="1.0" encoding="utf-8"?>
<sst xmlns="http://schemas.openxmlformats.org/spreadsheetml/2006/main" count="2263" uniqueCount="731">
  <si>
    <t>Unit code</t>
  </si>
  <si>
    <t>Dept. Code</t>
  </si>
  <si>
    <t>Cost center</t>
  </si>
  <si>
    <t>Budget code</t>
  </si>
  <si>
    <t>Budget name</t>
  </si>
  <si>
    <t>%</t>
  </si>
  <si>
    <t>(Unit:</t>
  </si>
  <si>
    <t>KUSD)</t>
  </si>
  <si>
    <t>Tally Check</t>
  </si>
  <si>
    <t>&lt;For Current month&gt;</t>
  </si>
  <si>
    <t>&lt;For Accumulated&gt;</t>
  </si>
  <si>
    <t>QA's reason for variance vs Budget (Please fill in comments with reffering to "Detail" and "Data" tab)</t>
  </si>
  <si>
    <t>Voucher</t>
  </si>
  <si>
    <t>Description</t>
  </si>
  <si>
    <t>Account</t>
  </si>
  <si>
    <t>Amount</t>
  </si>
  <si>
    <t>Dept code</t>
  </si>
  <si>
    <t>Classification</t>
  </si>
  <si>
    <t>A/C code</t>
  </si>
  <si>
    <t>MTP base</t>
  </si>
  <si>
    <t>Khoản mục chi phí</t>
  </si>
  <si>
    <t>Ngày</t>
  </si>
  <si>
    <t>Số</t>
  </si>
  <si>
    <t>Dr.</t>
  </si>
  <si>
    <t>Cr.</t>
  </si>
  <si>
    <t>DATE</t>
  </si>
  <si>
    <t>VOUCHER</t>
  </si>
  <si>
    <t>DR</t>
  </si>
  <si>
    <t>CR</t>
  </si>
  <si>
    <t>AMOUNT</t>
  </si>
  <si>
    <t>BG CODE</t>
  </si>
  <si>
    <t>MONTH</t>
  </si>
  <si>
    <t>Check New</t>
  </si>
  <si>
    <t>Jan_Feb</t>
  </si>
  <si>
    <t>Jan_Mar</t>
  </si>
  <si>
    <t>Jan_Apr</t>
  </si>
  <si>
    <t>Jan_May</t>
  </si>
  <si>
    <t>Jan_Jun</t>
  </si>
  <si>
    <t>Jan_Jan</t>
  </si>
  <si>
    <t>Start date</t>
  </si>
  <si>
    <t>End date</t>
  </si>
  <si>
    <t>Range</t>
  </si>
  <si>
    <t>Check Range</t>
  </si>
  <si>
    <t>Check Dub</t>
  </si>
  <si>
    <t>Setting</t>
  </si>
  <si>
    <t>Classcify</t>
  </si>
  <si>
    <t>Transaction listing</t>
  </si>
  <si>
    <t>ALL</t>
  </si>
  <si>
    <t>3212H</t>
  </si>
  <si>
    <r>
      <t xml:space="preserve">Actual vs budget analysis </t>
    </r>
    <r>
      <rPr>
        <b/>
        <u/>
        <sz val="24"/>
        <color theme="1"/>
        <rFont val="Calibri"/>
        <family val="2"/>
        <scheme val="minor"/>
      </rPr>
      <t>by budget code</t>
    </r>
    <r>
      <rPr>
        <b/>
        <sz val="24"/>
        <color theme="1"/>
        <rFont val="Calibri"/>
        <family val="2"/>
        <scheme val="minor"/>
      </rPr>
      <t xml:space="preserve"> for</t>
    </r>
  </si>
  <si>
    <t>Var.</t>
  </si>
  <si>
    <t>Jan_Aug</t>
  </si>
  <si>
    <t>Jan_Sep</t>
  </si>
  <si>
    <t>Jan_Oct</t>
  </si>
  <si>
    <t>Jan_Nov</t>
  </si>
  <si>
    <t>Jan_Dec</t>
  </si>
  <si>
    <t>Jan_Jul</t>
  </si>
  <si>
    <t>TBD</t>
  </si>
  <si>
    <t>Installation insurance</t>
  </si>
  <si>
    <t>Actual</t>
  </si>
  <si>
    <t>SORT</t>
  </si>
  <si>
    <t>Import fee</t>
  </si>
  <si>
    <t>FA</t>
  </si>
  <si>
    <t>other Installation fee</t>
  </si>
  <si>
    <t>Build Comfortable Rest Area in Canteen</t>
  </si>
  <si>
    <t>Build Sport Area</t>
  </si>
  <si>
    <t>Install water filtration system for cooking at Canteen</t>
  </si>
  <si>
    <t>Upgrade the dish washing basin</t>
  </si>
  <si>
    <t>Chalk detection camera at 1st C-CH machine</t>
  </si>
  <si>
    <t>3 points verify of raw material (Bead tape) Y23</t>
  </si>
  <si>
    <t>Auto setting Drum test condition</t>
  </si>
  <si>
    <t>Alum RRC and Plunger Rim 8.5Jx19</t>
  </si>
  <si>
    <t>Alum Drum Rim 8.5Jx19</t>
  </si>
  <si>
    <t>Alum RRC and Plunger Rim 9.5Jx22</t>
  </si>
  <si>
    <t>Alum Drum Rim 9.5Jx22</t>
  </si>
  <si>
    <t>Alum RRC and Plunger Rim 9Jx21</t>
  </si>
  <si>
    <t>Alum Drum Rim 9Jx21</t>
  </si>
  <si>
    <t>Alum RRC and Plunger Rim 9.5Jx21</t>
  </si>
  <si>
    <t>Alum Drum Rim 9.5Jx21</t>
  </si>
  <si>
    <t>Alum RRC and Plunger Rim 8.5Jx21</t>
  </si>
  <si>
    <t>Alum Drum Rim 8.5Jx21</t>
  </si>
  <si>
    <t>Alum RRC and Plunger Rim 10Jx21</t>
  </si>
  <si>
    <t>Alum Drum Rim 10x21</t>
  </si>
  <si>
    <t>Alum RRC and Plunger Rim 10.5Jx21</t>
  </si>
  <si>
    <t>Alum Drum Rim 10.5Jx21</t>
  </si>
  <si>
    <t>Alum RRC and Plunger Rim 11Jx21</t>
  </si>
  <si>
    <t>Alum Drum Rim 11Jx21</t>
  </si>
  <si>
    <t>Alum RRC and Plunger Rim 10Jx22</t>
  </si>
  <si>
    <t>Alum Drum Rim 10Jx22</t>
  </si>
  <si>
    <t>Alum RRC and Plunger Rim 11Jx22</t>
  </si>
  <si>
    <t>Alum Drum Rim 11Jx22</t>
  </si>
  <si>
    <t>E-check sheet project</t>
  </si>
  <si>
    <t>Modify Take away CV at TOP#1,2; Side; BF M/C: change to belt CV</t>
  </si>
  <si>
    <t>Install automatic door opening and closing system for rainwater drainage point A and point B</t>
  </si>
  <si>
    <t>PT MC Predictive Monitoring System</t>
  </si>
  <si>
    <t>LTXR51 Curing press(Hyd) #7</t>
  </si>
  <si>
    <t>LTXR51 Curing press(Hyd) #8</t>
  </si>
  <si>
    <t>LTXR51 Curing press(Hyd) #9</t>
  </si>
  <si>
    <t>Smart Gentan-I visualize &amp; Smart management maintenance visualize</t>
  </si>
  <si>
    <t>O167011B</t>
  </si>
  <si>
    <t>O167011A</t>
  </si>
  <si>
    <t>to be determind/decided</t>
  </si>
  <si>
    <t>Others fee</t>
  </si>
  <si>
    <t>LTXR51 Curing press(Hyd) #10</t>
  </si>
  <si>
    <t>LTXR51 Curing press(Hyd) #11</t>
  </si>
  <si>
    <t>LTXR51 Curing press(Hyd) #12</t>
  </si>
  <si>
    <t>ME00001</t>
  </si>
  <si>
    <t>K1S #5</t>
  </si>
  <si>
    <t>ARO\Demolition cost for Factory Phase 1,2&amp;2.5</t>
  </si>
  <si>
    <t>KUSD</t>
  </si>
  <si>
    <t>ME00056</t>
  </si>
  <si>
    <t>ME00049</t>
  </si>
  <si>
    <t>OT00157</t>
  </si>
  <si>
    <t>B000003</t>
  </si>
  <si>
    <t>B000047</t>
  </si>
  <si>
    <t>Drum test machine high speed #10 400km</t>
  </si>
  <si>
    <t>TOP M QCT train #4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</si>
  <si>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</si>
  <si>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</si>
  <si>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</si>
  <si>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</si>
  <si>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</si>
  <si>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</si>
  <si>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</si>
  <si>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</si>
  <si>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</si>
  <si>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</si>
  <si>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</si>
  <si>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</si>
  <si>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Jan_Jan-24</t>
  </si>
  <si>
    <t>Jan_Feb-24</t>
  </si>
  <si>
    <t>Jan_Mar-24</t>
  </si>
  <si>
    <t>Jan_Apr-24</t>
  </si>
  <si>
    <t>Jan_May-24</t>
  </si>
  <si>
    <t>Jan_Jun-24</t>
  </si>
  <si>
    <t>Jan_Jul-24</t>
  </si>
  <si>
    <t>Jan_Aug-24</t>
  </si>
  <si>
    <t>Jan_Sep-24</t>
  </si>
  <si>
    <t>Jan_Oct-24</t>
  </si>
  <si>
    <t>Jan_Nov-24</t>
  </si>
  <si>
    <t>Jan_Dec-24</t>
  </si>
  <si>
    <t>AP-24-0050</t>
  </si>
  <si>
    <t>GR\ Canteen upgrade and repair Labour cost\Dịch vụ nâng cấp và sửa chữa nhà ăn Labour cost\1LOT\Inv.00000003\B000003\PO-4510008334: 12.12.23\PR-2100008707\ROD: 29.01.24</t>
  </si>
  <si>
    <t>AP-24-0102</t>
  </si>
  <si>
    <t>GR\ Side mold modification (11H76324-02-H00) PSR 215/65 R16 FSASZ\Sửa khuôn PSR 215/65 R16 FSASZ PSR 215/65 R16 FSASZ\1SET\Inv.39\O167011\PO-4520001437: 26.12.23\PR-2200001720\ROD: 24.01.24</t>
  </si>
  <si>
    <t>GR\ Side mold modification (11H76326-02-H00) PSR 235/65 R16 FSASZ\Sửa khuôn PSR 235/65 R16 FSASZ PSR 235/65 R16 FSASZ\2SET\Inv.39\O167011\PO-4520001437: 26.12.23\PR-2200001720\ROD: 24.01.24</t>
  </si>
  <si>
    <t>GR\ Side mold modification (11H76278-02-H00) PSR 215/60 R16 FSASZ\Sửa khuôn PSR 215/60 R16 FSASZ PSR 215/60 R16 FSASZ\2SET\Inv.39\O167011\PO-4520001437: 26.12.23\PR-2200001720\ROD: 24.01.24</t>
  </si>
  <si>
    <t>AP-24-0100</t>
  </si>
  <si>
    <t>GR\ Make Foundation for Drum test #10 Labor cost\Dịch vụ làm nền móng cho máy kiểm tra lốp dạng trống số 10 Labor cost\1LOT\Inv.00000049\ME00056\PO-4520001413: 07.10.23\PR-2200001639\ROD: 31.01.24</t>
  </si>
  <si>
    <t>AP-24-0210</t>
  </si>
  <si>
    <t>GR\ Mold (BSCAP budget No PENI - 1055) PSR 111V 265/50 R20 XL D97WCZ\Khuôn 111V 265/50 R20 XL D97WCZ PSR 111V 265/50 R20 XL D97WCZ\1SET\Inv.M24-MV771\O167011\PO-4520001414: 10.10.23\PR-2200001691\ROD: 31.01.24</t>
  </si>
  <si>
    <t>AP-24-0205</t>
  </si>
  <si>
    <t>GR\ Mold (BSCAP budget No PENI - 1053) PSR 94W 205/55 R16 XL T06BZ\Khuôn 94W 205/55 R16 XL T06BZ PSR 94W 205/55 R16 XL T06BZ\1SET\Inv.M23-MV745\O167011\PO-4520001385: 04.08.23\PR-2200001676\ROD: 19.01.24</t>
  </si>
  <si>
    <t>AP-24-0204</t>
  </si>
  <si>
    <t>GR\ Mold (BSCAP budget No PENI - 1059) PSR 94W 215/55 R17 T06BZ\Khuôn 94W 215/55 R17 XL T06BZ PSR 94W 215/55 R17 T06BZ\1SET\Inv.M23-MV749\O167011\PO-4520001385: 04.08.23\PR-2200001676\ROD: 19.01.24</t>
  </si>
  <si>
    <t>AP-24-0054</t>
  </si>
  <si>
    <t>GR\ Chậu rửa/ washing basin 3549x1083mm\Chậu rửa 3549x1083mm\2SET\Inv.00000001\OT00169\PO-4510008310: 06.12.23\PR-2100008709\ROD: 22.01.24</t>
  </si>
  <si>
    <t>AP-24-0211</t>
  </si>
  <si>
    <t>Trucking fee\ Side mold modification (11H76324-02-H00) PSR 215/65 R16 FSASZ\Sửa khuôn PSR 215/65 R16 FSASZ PSR 215/65 R16 FSASZ\1SET\Inv.2\O167011\PO-4520001437: 26.12.23\PR-2200001720\ROD: 24.01.24</t>
  </si>
  <si>
    <t>Trucking fee\ Side mold modification (11H76326-02-H00) PSR 235/65 R16 FSASZ\Sửa khuôn PSR 235/65 R16 FSASZ PSR 235/65 R16 FSASZ\2SET\Inv.2\O167011\PO-4520001437: 26.12.23\PR-2200001720\ROD: 24.01.24</t>
  </si>
  <si>
    <t>Trucking fee\ Side mold modification (11H76278-02-H00) PSR 215/60 R16 FSASZ\Sửa khuôn PSR 215/60 R16 FSASZ PSR 215/60 R16 FSASZ\2SET\Inv.2\O167011\PO-4520001437: 26.12.23\PR-2200001720\ROD: 24.01.24</t>
  </si>
  <si>
    <t>AP-24-0237</t>
  </si>
  <si>
    <t>Import fee\ High voltage generator\2PCE\Inv.E23BV007\ME00001\PO-4550005402: 19.06.2023\PR-2500006079\ROD: 12.01.2024</t>
  </si>
  <si>
    <t>Import fee\ CENTERING UNIT FOR TREAD TRAIN HKL 163-03533\Bộ phận định tâm HKL 163-03533\1SET\Inv.23VN008\ME00049\PO-4520001336: 25.05.23\PR-2200001584\ROD: 05.01.2024</t>
  </si>
  <si>
    <t>Import fee\ Mold (BSCAP budget No PENI - 1053) PSR 94W 205/55 R16 XL T06BZ\Khuôn 94W 205/55 R16 XL T06BZ PSR 94W 205/55 R16 XL T06BZ\1SET\Inv.M23-MV745\O167011\PO-4520001385: 04.08.23\PR-2200001676\ROD: 19.01.2024</t>
  </si>
  <si>
    <t>Import fee\  Mold (BSCAP budget No PENI - 1059) PSR 94W 215/55 R17 T06BZ\Khuôn 94W 215/55 R17 XL T06BZ PSR 94W 215/55 R17 T06BZ\1SET\Inv.M23-MV749\O167011\PO-4520001385: 04.08.23\PR-2200001676\ROD: 19.01.24</t>
  </si>
  <si>
    <t>AP-24-0163</t>
  </si>
  <si>
    <t>Import fee\ Chậu rửa/ washing basin 3549x1083mm\Chậu rửa 3549x1083mm\2SET\Inv.3/4/5/6\OT00169\PO-4510008310: 06.12.23\PR-2100008709\ROD: 22.01.24</t>
  </si>
  <si>
    <t>AP-24-0281</t>
  </si>
  <si>
    <t>GIT\24110100\Mold (BSCAP budget No PENI - 1054) PSR 105V 255/45 R20 XL D97WDZ\Khuôn PSR 105V 255/45 R20 XL D97WDZ PSR 105V 255/45 R20 XL D97WDZ\1SET\Inv.M24-MV781\O167011\PO-4520001414: 10.10.23\PR-2200001691\ROD: 31.01.24</t>
  </si>
  <si>
    <t>AP-24-0044</t>
  </si>
  <si>
    <t>FCT\ Nextware\Software license\Inv.0-4414</t>
  </si>
  <si>
    <t>AP-24-0294</t>
  </si>
  <si>
    <t>OT00169</t>
  </si>
  <si>
    <t>Cooker Y24</t>
  </si>
  <si>
    <t>Landcap Renovation Y24</t>
  </si>
  <si>
    <t>Lobby Renovation</t>
  </si>
  <si>
    <t>Canteen Renovation</t>
  </si>
  <si>
    <t>Largest tire sample</t>
  </si>
  <si>
    <t>BOSS2 - System modification (Software) - Y24</t>
  </si>
  <si>
    <t>BOSS\FOA System OS Upgrade supported by BPE Y24</t>
  </si>
  <si>
    <t>FujiXerox VI C3371 CPS Y24</t>
  </si>
  <si>
    <t>New Machine Startup (Network + Power) Y24</t>
  </si>
  <si>
    <t>EFU Printer (ZT411) Y24</t>
  </si>
  <si>
    <t>Extend HCI system ( 01  Node)  Y24</t>
  </si>
  <si>
    <t>Upgrade iWorkflow system Y24</t>
  </si>
  <si>
    <t>ManageEngine for Network and Server systems Y24</t>
  </si>
  <si>
    <t>FGWH  barcode reader Datalogic Y24</t>
  </si>
  <si>
    <t>New K1S Machine (#4,#5,#6,#7,#8,#9,#10) Y24</t>
  </si>
  <si>
    <t>New firewall system for Internet Y24</t>
  </si>
  <si>
    <t>Upgrade Camera System (QACam-Pro1; Security Cam) Y24</t>
  </si>
  <si>
    <t>Nagios XI Licence Y24</t>
  </si>
  <si>
    <t>Upgrade vCenter &amp; vSphere (ESX system) Y24</t>
  </si>
  <si>
    <t>Infrastructure Upgrade (@datalake) Y24</t>
  </si>
  <si>
    <t>Wifi system upgrade Y24</t>
  </si>
  <si>
    <t>Upgrade network system at Zone G Y24</t>
  </si>
  <si>
    <t>Upgrade network system at Zone F Y24</t>
  </si>
  <si>
    <t>Tablet for Curing Digital Process &amp; VOR3</t>
  </si>
  <si>
    <t>Demolition cost Y24</t>
  </si>
  <si>
    <t>Identify TMA by BC tag from generate process + verify at Remixing Y24</t>
  </si>
  <si>
    <t>Curing security gate (CSG): software Y22</t>
  </si>
  <si>
    <t>Raw Material specification database (Auto judgment for RM receiving inspection)</t>
  </si>
  <si>
    <t>Alum Drum Rim 7.5Jx20</t>
  </si>
  <si>
    <t>Alum Drum Rim 8Jx20</t>
  </si>
  <si>
    <t>Alum Drum Rim 8.5Jx20</t>
  </si>
  <si>
    <t>Alum RRC and Plunger Rim 9Jx20</t>
  </si>
  <si>
    <t>Alum Drum Rim 9Jx20</t>
  </si>
  <si>
    <t>Alum RRC and Plunger Rim 9.5Jx20</t>
  </si>
  <si>
    <t>Alum Drum Rim 9.5Jx20</t>
  </si>
  <si>
    <t>Alum RRC and Plunger Rim 10Jx20</t>
  </si>
  <si>
    <t>Alum Drum Rim 10Jx20</t>
  </si>
  <si>
    <t>Alum RRC and Plunger Rim 11Jx20</t>
  </si>
  <si>
    <t>Alum Drum Rim 11Jx20</t>
  </si>
  <si>
    <t xml:space="preserve">Alum RRC  &amp; Plunger Rim 5.5Jx15 </t>
  </si>
  <si>
    <t>Alum RRC  &amp; Plunger Rim 5.5Jx16</t>
  </si>
  <si>
    <t>Alum RRC  &amp; Plunger Rim 9.5Jx20</t>
  </si>
  <si>
    <t>Alum Drum Rim 9.5x20</t>
  </si>
  <si>
    <t>Electric resistance machine</t>
  </si>
  <si>
    <t>3-point verify for BB#4</t>
  </si>
  <si>
    <t>Prevent CB contamination (China trouble) by controlling the status (open/close) of Hopper mouth cover</t>
  </si>
  <si>
    <t>Carbon recycle verify system</t>
  </si>
  <si>
    <t>TMA50% for remain BB (#1, #2, #3, #4)</t>
  </si>
  <si>
    <t>AI monitoring VI operation - POC 1 table</t>
  </si>
  <si>
    <t>BTMV 300% VI Improvement by AI LRP pictures Y24</t>
  </si>
  <si>
    <t xml:space="preserve"> Safety device function check auto system Y24</t>
  </si>
  <si>
    <t>Improved boiler chimney sampling location</t>
  </si>
  <si>
    <t>Improved emergency tank wastewater collection system</t>
  </si>
  <si>
    <t>Spare part storage area of the environmental group at waste warehouse</t>
  </si>
  <si>
    <t>Safety Kaizen for reduction RA point Y24</t>
  </si>
  <si>
    <t>Safety Kaizen for prevention similar accident Y24</t>
  </si>
  <si>
    <t>Install CO2 FM200 fire suppression system for Drum Test M/C 1 mc Y23) 9.17 kUSD/mc  (install for m/c  No 10) 
(move to 2024)</t>
  </si>
  <si>
    <t>Upgrading to anti-explosion type of Fan, fire detector system &amp; remaining electric appliance at hazardous WH Y24</t>
  </si>
  <si>
    <t>Nâng cấp phòng lưu trữ dầu--&gt;xăng
Upgrade the oil storage --&gt; to keep petrol (30k)</t>
  </si>
  <si>
    <t>Upgrade lightening system to protect outdoor equiptment (boudary cameras &amp; road light,…)  (2024)</t>
  </si>
  <si>
    <t>Install camera on rooftoop to monitor solar panel by ourselves (2024)_8pc</t>
  </si>
  <si>
    <t>Purchasing system Y24</t>
  </si>
  <si>
    <t xml:space="preserve">Forklift </t>
  </si>
  <si>
    <t>Improve WMS function</t>
  </si>
  <si>
    <t>Container loading conveyor Y23</t>
  </si>
  <si>
    <t>Mold Y24</t>
  </si>
  <si>
    <t>Inspection tooling Y24</t>
  </si>
  <si>
    <t>Shoujin Y24-Auto TOP booking</t>
  </si>
  <si>
    <t xml:space="preserve">Shoujin Y24-Invest DX cutter machine </t>
  </si>
  <si>
    <t>Container Y24</t>
  </si>
  <si>
    <t xml:space="preserve">Bead tooling </t>
  </si>
  <si>
    <t>Mold modify 13digit project Y24</t>
  </si>
  <si>
    <t xml:space="preserve">Modify Bead Preset machine #13 to produce 22 inches tires </t>
  </si>
  <si>
    <t xml:space="preserve">Modify  Mono Bead machine #7  to produce 22 inches tires </t>
  </si>
  <si>
    <t>TMA Re-mixing No.1 overhaul</t>
  </si>
  <si>
    <t>K1S #4</t>
  </si>
  <si>
    <t>K1S #6</t>
  </si>
  <si>
    <t>K1S #8</t>
  </si>
  <si>
    <t>Chemical storage for Utility system</t>
  </si>
  <si>
    <t>Replace fan blades for cooling tower</t>
  </si>
  <si>
    <t>Installation cable tray and re-wiring for substation</t>
  </si>
  <si>
    <t>Installation lighting arester for low voltage system</t>
  </si>
  <si>
    <t>Ovehaul Mixer of BB#1 ( over sea )</t>
  </si>
  <si>
    <t>Grease detection sensor for BB#1,#2,#4, Tex-cal, Extruding</t>
  </si>
  <si>
    <t>Oil flow detection for Tex-cal, Cutting, Extruding</t>
  </si>
  <si>
    <t>T-die of Poly sheet for spare</t>
  </si>
  <si>
    <t>Air conditioner for electric cabinet of Extruding, Cutting, MTR</t>
  </si>
  <si>
    <t>Improve structure of BOF conveyor MIX#2-4-5 ( inox )</t>
  </si>
  <si>
    <t>Installation chiller #4 for Extruding (part + installation fee )</t>
  </si>
  <si>
    <t xml:space="preserve">Room to cover PT machine </t>
  </si>
  <si>
    <t>New aroma oil tank of Mixing</t>
  </si>
  <si>
    <t>Increase capacity of chiller Creel room #1, #2</t>
  </si>
  <si>
    <t>Air conditioning for electric panel Curing Y24</t>
  </si>
  <si>
    <t>Improvement system to monitoring USR of Building machines.</t>
  </si>
  <si>
    <t>Make floor to high working at unloader GT of K1S machine(3 MC)</t>
  </si>
  <si>
    <t>Ordinary investment Y24</t>
  </si>
  <si>
    <t>B-SPEC ON (New function install)</t>
  </si>
  <si>
    <t>PSR Building Simulation Update</t>
  </si>
  <si>
    <t>Initial batch mixing control</t>
  </si>
  <si>
    <t>MPD remodeling to add for new size Y24</t>
  </si>
  <si>
    <t>Process capability improvement ( Portable sensor) Y24</t>
  </si>
  <si>
    <t xml:space="preserve">CCH Humidity control </t>
  </si>
  <si>
    <t>New belt Twin-Fegs Y23</t>
  </si>
  <si>
    <t>K1S MC balance control Y24</t>
  </si>
  <si>
    <t>Air chamfer for pigment area</t>
  </si>
  <si>
    <t>Lowlift  (TCM-Sanyo)</t>
  </si>
  <si>
    <t>Steel floor for Cutting area (remaining part)</t>
  </si>
  <si>
    <t>Steel floor for Building area</t>
  </si>
  <si>
    <t>Dry ice refrigerator</t>
  </si>
  <si>
    <t>Battery for reach lift &amp; Lowlift &amp; battery cart</t>
  </si>
  <si>
    <t>Laser welding machine</t>
  </si>
  <si>
    <t>AP-24-0428</t>
  </si>
  <si>
    <t>GIT\24110100\Center Fix Segment UHP FOR H14LH (HKL371-06002)\Tấm đệm giữa cho trống của máy tạo hình FOR H14LH (HKL371-06002) FOR H14LH (HKL371-06002)\1PCS\Inv.E24BV903\O168001\PO-4520001218: 04.10.22\PR-2200001340\ROD: 20.02.24</t>
  </si>
  <si>
    <t>GIT\24110100\Band drum F14LH(HKL371-06160)\Trống bằng thép dùng cho máy tạo hình  F14LH(HKL371-06160) F14LH(HKL371-06160)\1PCS\Inv.E24BV903\O168001\PO-4520001218: 04.10.22\PR-2200001340\ROD: 20.02.24</t>
  </si>
  <si>
    <t>GIT\24110100\Bead chuck flange KBF14-05 (HKL371-05860)\Bộ giá KBF14-05 (HKL371-05860) KBF14-05 (HKL371-05860)\1PCS\Inv.E24BV903\O168006\PO-4520001218: 04.10.22\PR-2200001340\ROD: 20.02.24</t>
  </si>
  <si>
    <t>GIT\24110100\Bead set holder BSH14P01 (HKL223-07663)\Tấm kẹp BSH14P01 (HKL223-07663) BSH14P01 (HKL223-07663)\2PCS\Inv.E24BV903\O168007\PO-4520001218: 04.10.22\PR-2200001340\ROD: 20.02.24</t>
  </si>
  <si>
    <t>GIT\24110100\Shaping drum N0001 14MS (HKL371-05912)\Cụm tay trống N0001 14MS (HKL371-05912) N0001 14MS (HKL371-05912)\1PCS\Inv.E24BV903\O168002\PO-4520001218: 04.10.22\PR-2200001340\ROD: 20.02.24</t>
  </si>
  <si>
    <t>AP-24-0427</t>
  </si>
  <si>
    <t>GIT\24110100\Band drum F16LI (HKL371-05837)\Trống bằng thép dùng cho máy tạo hình  F16LI (HKL371-05837) F16LI (HKL371-05837)\1PCS\Inv.E24BV905\O168001\PO-4520001232: 20.10.22\PR-2200001341\ROD: 27.02.24</t>
  </si>
  <si>
    <t>GIT\24110100\Center Fix Segment F16LI (HKL371-06004)\Tấm đệm giữa cho trống của máy tạo hình F16LI (HKL371-05837) F16LI (HKL371-06004)\1PCS\Inv.E24BV905\O168001\PO-4520001232: 20.10.22\PR-2200001341\ROD: 27.02.24</t>
  </si>
  <si>
    <t>GIT\24110100\Bead chuck flange KBF-16-05 (HKL371-05862)\Bộ giá KBF-16-05 (HKL371-05862) KBF-16-05 (HKL371-05862)\1PCS\Inv.E24BV905\O168006\PO-4520001232: 20.10.22\PR-2200001341\ROD: 27.02.24</t>
  </si>
  <si>
    <t>GIT\24110100\Bead set holder BSH16P01 (HKL223-07665)\Tấm kẹp BSH16P01 (HKL223-07665) BSH16P01 (HKL223-07665)\2PCS\Inv.E24BV905\O168007\PO-4520001232: 20.10.22\PR-2200001341\ROD: 27.02.24</t>
  </si>
  <si>
    <t>GIT\24110100\Shaping drum N0001 16MS (HKL371-05880)\Cụm tay trống N0001 16MS (HKL371-05880) N0001 16MS (HKL371-05880)\1PCS\Inv.E24BV905\O168002\PO-4520001232: 20.10.22\PR-2200001341\ROD: 27.02.24</t>
  </si>
  <si>
    <t>AP-24-0429</t>
  </si>
  <si>
    <t>GIT\24110100\Band drum F17LH (HKL371-06516)\Trống bằng thép dùng cho máy tạo hình F17LH (HKL371-06516) F17LH (HKL371-06516)\1PCS\Inv.E24BV904\O168001\PO-4520001233: 20.10.22\PR-2200001359\ROD: 20.02.24</t>
  </si>
  <si>
    <t>GIT\24110100\Center Fix Segment 17" For F17LH (HKL371-06517)\Tấm đệm giữa cho trống của máy tạo hình 17" For F17LH (HKL371-06517) 17" For F17LH (HKL371-06517)\1PCS\Inv.E24BV904\O168001\PO-4520001233: 20.10.22\PR-2200001359\ROD: 20.02.24</t>
  </si>
  <si>
    <t>GIT\24110100\Bead chuck flange K1S/MAT 17" (HKL371-06498)\Bộ giá K1S/MAT 17" (HKL371-06498) K1S/MAT 17" (HKL371-06498)\1PCS\Inv.E24BV904\O168006\PO-4520001233: 20.10.22\PR-2200001359\ROD: 20.02.24</t>
  </si>
  <si>
    <t>GIT\24110100\Bead set holder BSH17P02 (HKL223-08799)\Tấm kẹp BSH17P02 (HKL223-08799) BSH17P02 (HKL223-08799)\2PCS\Inv.E24BV904\O168007\PO-4520001233: 20.10.22\PR-2200001359\ROD: 20.02.24</t>
  </si>
  <si>
    <t>GIT\24110100\1st Drum N0003 17LMS (HKL371-06286)\Trống số 1 N0003 17LMS (HKL371-06286) N0003 17LMS (HKL371-06286)\1PCS\Inv.E24BV904\O168002\PO-4520001233: 20.10.22\PR-2200001359\ROD: 20.02.24</t>
  </si>
  <si>
    <t>AP-24-0388</t>
  </si>
  <si>
    <t>GIT\24110100\Tire Endurance and high speed test machine TJR-2-PC(J) 400km/h\Máy kiểm tra độ bền và tốc độ cao TJR-2-PC(J) 400km/h\1SET\Inv.JR20240204A\ME00056\PO-4520001364: 03.07.23\PR-2200001600\ROD: 14.02.24</t>
  </si>
  <si>
    <t>AP-24-0425</t>
  </si>
  <si>
    <t>GR\ Mold (BSCAP budget No PENI - 1082) PSR 96W 205/60 R16 XL T06BZ\Khuôn PSR 96W 205/60 R16 XL T06BZ PSR 96W 205/60 R16 XL T06BZ\1SET\Inv.M24-MV774\O167011\PO-4520001412: 04.10.23\PR-2200001684\ROD: 20.02.24</t>
  </si>
  <si>
    <t>GR\ Mold (BSCAP budget No PENI - 1085) PSR 93W 215/45R18XL T06AZ\Khuôn PSR 93W 215/45R18XL T06AZ PSR 93W 215/45R18XL T06AZ\1SET\Inv.M24-MV774\O167011\PO-4520001412: 04.10.23\PR-2200001684\ROD: 20.02.24</t>
  </si>
  <si>
    <t>AP-24-0387</t>
  </si>
  <si>
    <t>Import fee\ Mold (BSCAP budget No PENI - 1082) PSR 96W 205/60 R16 XL T06BZ\Khuôn PSR 96W 205/60 R16 XL T06BZ PSR 96W 205/60 R16 XL T06BZ\1SET\Inv.M24-MV774\O167011\PO-4520001412: 04.10.23\PR-2200001684\ROD: 20.02.24</t>
  </si>
  <si>
    <t>Import fee\ Mold (BSCAP budget No PENI - 1085) PSR 93W 215/45R18XL T06AZ\Khuôn PSR 93W 215/45R18XL T06AZ PSR 93W 215/45R18XL T06AZ\1SET\Inv.M24-MV774\O167011\PO-4520001412: 04.10.23\PR-2200001684\ROD: 20.02.24</t>
  </si>
  <si>
    <t>AP-24-0426</t>
  </si>
  <si>
    <t>GR\ Mold (BSCAP budget No PENJ1084) PSR 94W 205/55 R16 XL  T06BZ\Khuôn PSR 94W 205/55 R16 XL  T06BZ PSR 94W 205/55 R16 XL  T06BZ\1SET\Inv.M24-MV768\O167011\PO-4520001419: 24.10.23\PR-2200001698\ROD: 20.02.24</t>
  </si>
  <si>
    <t>GR\ Mold (BSCAP budget No PENJ1138) PSR 94W 215/55 R17  T06BZ\Khuôn PSR 94W 215/55 R17  T06BZ PSR 94W 215/55 R17  T06BZ\1SET\Inv.M24-MV768\O167011\PO-4520001419: 24.10.23\PR-2200001698\ROD: 20.02.24</t>
  </si>
  <si>
    <t>Import fee\ Mold (BSCAP budget No PENJ1084) PSR 94W 205/55 R16 XL  T06BZ\Khuôn PSR 94W 205/55 R16 XL  T06BZ PSR 94W 205/55 R16 XL  T06BZ\1SET\Inv.M24-MV768\O167011\PO-4520001419: 24.10.23\PR-2200001698\ROD: 20.02.24</t>
  </si>
  <si>
    <t>Import fee\ Mold (BSCAP budget No PENJ1138) PSR 94W 215/55 R17  T06BZ\Khuôn PSR 94W 215/55 R17  T06BZ PSR 94W 215/55 R17  T06BZ\1SET\Inv.M24-MV768\O167011\PO-4520001419: 24.10.23\PR-2200001698\ROD: 20.02.24</t>
  </si>
  <si>
    <t>AP-24-0465</t>
  </si>
  <si>
    <t>GR\ Side mold modification (11H76331-02 H00) PSR 205/65 R15 FSASZ (VH68641-1&amp;2)\Sửa khuôn PSR 205/65 R15 FSASZ (VH68641-1&amp;2) PSR 205/65 R15 FSASZ (VH68641-1&amp;2)\2SET\Inv.96\O167011\PO-4520001444: 19.02.24\PR-2200001732\ROD: 29.02.24</t>
  </si>
  <si>
    <t>GR\ Side mold modification (11H76330-02-H00) PSR 215/70 R15 FSASZ (VH68640-2)\Sửa khuôn PSR 215/70 R15 FSASZ (VH68640-2) PSR 215/70 R15 FSASZ (VH68640-2)\1SET\Inv.96\O167011\PO-4520001444: 19.02.24\PR-2200001732\ROD: 29.02.24</t>
  </si>
  <si>
    <t>GR\ Side mold modification (11H76324-02 H00) PSR 215/65 R16 FSASZ (VH68634-2)\Sửa khuôn PSR 215/65 R16 FSASZ (VH68634-2) PSR 215/65 R16 FSASZ (VH68634-2)\1SET\Inv.96\O167011\PO-4520001444: 19.02.24\PR-2200001732\ROD: 29.02.24</t>
  </si>
  <si>
    <t>GR\ Side mold modification (11H76278-02 H00) PSR 215/60 R16 FSASZ (VH68604-4)\Sửa khuôn PSR 215/60 R16 FSASZ (VH68604-4) PSR 215/60 R16 FSASZ (VH68604-4)\1SET\Inv.96\O167011\PO-4520001444: 19.02.24\PR-2200001732\ROD: 29.02.24</t>
  </si>
  <si>
    <t>AP-24-0391</t>
  </si>
  <si>
    <t>Trucking fee\ Side mold modification (11H76331-02 H00) PSR 205/65 R15 FSASZ (VH68641-1&amp;2)\Sửa khuôn PSR 205/65 R15 FSASZ (VH68641-1&amp;2) PSR 205/65 R15 FSASZ (VH68641-1&amp;2)\2SET\Inv.96\O167011\PO-4520001444: 19.02.24\PR-2200001732\ROD: 29.02.24</t>
  </si>
  <si>
    <t>Trucking fee\ Side mold modification (11H76330-02-H00) PSR 215/70 R15 FSASZ (VH68640-2)\Sửa khuôn PSR 215/70 R15 FSASZ (VH68640-2) PSR 215/70 R15 FSASZ (VH68640-2)\1SET\Inv.96\O167011\PO-4520001444: 19.02.24\PR-2200001732\ROD: 29.02.24</t>
  </si>
  <si>
    <t>Trucking fee\ Side mold modification (11H76324-02 H00) PSR 215/65 R16 FSASZ (VH68634-2)\Sửa khuôn PSR 215/65 R16 FSASZ (VH68634-2) PSR 215/65 R16 FSASZ (VH68634-2)\1SET\Inv.96\O167011\PO-4520001444: 19.02.24\PR-2200001732\ROD: 29.02.24</t>
  </si>
  <si>
    <t>Trucking fee\ Side mold modification (11H76278-02 H00) PSR 215/60 R16 FSASZ (VH68604-4)\Sửa khuôn PSR 215/60 R16 FSASZ (VH68604-4) PSR 215/60 R16 FSASZ (VH68604-4)\1SET\Inv.96\O167011\PO-4520001444: 19.02.24\PR-2200001732\ROD: 29.02.24</t>
  </si>
  <si>
    <t>AP-24-0464</t>
  </si>
  <si>
    <t>GR\ Curing LTXR51 #7 installation Material cost\Vật tư lắp đặt máy LTXR51 #7 Material cost\1LOT\Inv.45\ME00033\PO-4520001438: 05.01.24\PR-2200001701\ROD: 28.02.24</t>
  </si>
  <si>
    <t>AP-24-0507</t>
  </si>
  <si>
    <t>Import fee\ Curing LTXR51 #7 installation Material cost\Vật tư lắp đặt máy LTXR51 #7 Material cost\1LOT\Inv.45\ME00033\PO-4520001438: 05.01.24\PR-2200001701\ROD: 28.02.24</t>
  </si>
  <si>
    <t>AP-24-0369</t>
  </si>
  <si>
    <t>GR\ Studio 5000 Professional Perpetual 9324M-RLDT30M\Phần mềm ứng dụng để lập trình và cấu hình thiết bị điều khiển Logix 5000 9324M-RLDT30M\1PC\Inv.238\IF00399\PO-4570003765: 10.11.23\PR-2700003202\ROD: 06.02.24</t>
  </si>
  <si>
    <t>Import fee\ Studio 5000 Professional Perpetual 9324M-RLDT30M\Phần mềm ứng dụng để lập trình và cấu hình thiết bị điều khiển Logix 5000 9324M-RLDT30M\1PC\Inv.238\IF00399\PO-4570003765: 10.11.23\PR-2700003202\ROD: 06.02.24</t>
  </si>
  <si>
    <t>AP-24-0332</t>
  </si>
  <si>
    <t>GR\ Magnet bases MB-B\Đế nam châm MB-B\2PCS\Inv.4004360341\OT00165\PO-4510008317: 07.12.23\PR-2100008898\ROD: 23.02.24</t>
  </si>
  <si>
    <t>GR\ Magnet bases MB-T3\Đế nam châm MB-T3\2PCS\Inv.4004360341\OT00165\PO-4510008317: 07.12.23\PR-2100008898\ROD: 23.02.24</t>
  </si>
  <si>
    <t>Import fee\ Magnet bases MB-B\Đế nam châm MB-B\2PCS\Inv.4004360341\OT00165\PO-4510008317: 07.12.23\PR-2100008898\ROD: 23.02.24</t>
  </si>
  <si>
    <t>Import fee\ Magnet bases MB-T3\Đế nam châm MB-T3\2PCS\Inv.4004360341\OT00165\PO-4510008317: 07.12.23\PR-2100008898\ROD: 23.02.24</t>
  </si>
  <si>
    <t>AP-24-0378</t>
  </si>
  <si>
    <t>Import fee\ Mold (BSCAP budget No PENI - 1055) PSR 111V 265/50 R20 XL D97WCZ\Khuôn 111V 265/50 R20 XL D97WCZ PSR 111V 265/50 R20 XL D97WCZ\1SET\Inv.M24-MV771\O167011\PO-4520001414: 10.10.23\PR-2200001691\ROD: 31.01.24</t>
  </si>
  <si>
    <t>Import fee\ Mold (BSCAP budget No PENI - 1054) PSR 105V 255/45 R20 XL D97WDZ\Khuôn PSR 105V 255/45 R20 XL D97WDZ PSR 105V 255/45 R20 XL D97WDZ\1SET\Inv.M24-MV781\O167011\PO-4520001414: 10.10.23\PR-2200001691\ROD: 16.02.24</t>
  </si>
  <si>
    <t>AP-24-0511</t>
  </si>
  <si>
    <t>AP-24-0460</t>
  </si>
  <si>
    <t>FCT\Eidensha\TMA 50%suply control BB#5\Inv.EC23122</t>
  </si>
  <si>
    <t>AP-24-0515</t>
  </si>
  <si>
    <t>PIT\Eidensha\TMA 50%suply control BB#5\Inv.EC23122</t>
  </si>
  <si>
    <t>O168001/6/7/2 (FA-05084)</t>
  </si>
  <si>
    <t>O168001/6/7/2 (FA-05083)</t>
  </si>
  <si>
    <t>O168001/6/7/2 (FA-05085)</t>
  </si>
  <si>
    <t>ME00033A</t>
  </si>
  <si>
    <t>IF00399</t>
  </si>
  <si>
    <t>OT00165</t>
  </si>
  <si>
    <t>ME00280</t>
  </si>
  <si>
    <t>MAT tooling 14" Y22</t>
  </si>
  <si>
    <t>MAT tooling 16" Y22</t>
  </si>
  <si>
    <t>MAT modify tooling 17" Y22</t>
  </si>
  <si>
    <t>Table</t>
  </si>
  <si>
    <t>AP-24-0695</t>
  </si>
  <si>
    <t>GR\ Mold (BSCAP budget No PEAJ1001) PSR 095V 215/60 R16 FSASZ\Khuôn PSR 095V 215/60 R16 FSASZ PSR 095V 215/60 R16 FSASZ\2SET\Inv.M24-MV812\O167011\PO-4520001435: 19.12.23\PR-2200001713\ROD: 21.03.24</t>
  </si>
  <si>
    <t>AP-24-0598</t>
  </si>
  <si>
    <t>GR\ Replace Leakage Circuit Breaker(LCB) for air conditioner Material cost\Vật tư thay thế cầu dao cho điều hòa Material cost\1LOT\Inv.7\BS00032\PO-4510008444: 23.01.24\PR-2100008236\ROD: 15.03.24</t>
  </si>
  <si>
    <t>AP-24-0760</t>
  </si>
  <si>
    <t>Import fee\ Band drum F14LH(HKL371-06160)\Trống bằng thép dùng cho máy tạo hình  F14LH(HKL371-06160) F14LH(HKL371-06160)\1PCS\Inv.E24BV903\O168001\PO-4520001218: 04.10.22\PR-2200001340\ROD: 07.03.24</t>
  </si>
  <si>
    <t>Import fee\ Bead chuck flange KBF14-05 (HKL371-05860)\Bộ giá KBF14-05 (HKL371-05860) KBF14-05 (HKL371-05860)\1PCS\Inv.E24BV903\O168006\PO-4520001218: 04.10.22\PR-2200001340\ROD: 07.03.24</t>
  </si>
  <si>
    <t>Import fee\ Bead set holder BSH14P01 (HKL223-07663)\Tấm kẹp BSH14P01 (HKL223-07663) BSH14P01 (HKL223-07663)\2PCS\Inv.E24BV903\O168007\PO-4520001218: 04.10.22\PR-2200001340\ROD: 07.03.24</t>
  </si>
  <si>
    <t>Import fee\ Shaping drum N0001 14MS (HKL371-05912)\Cụm tay trống N0001 14MS (HKL371-05912) N0001 14MS (HKL371-05912)\1PCS\Inv.E24BV903\O168002\PO-4520001218: 04.10.22\PR-2200001340\ROD: 07.03.24</t>
  </si>
  <si>
    <t>Import fee\ Center Fix Segment UHP FOR H14LH (HKL371-06002)\Tấm đệm giữa cho trống của máy tạo hình FOR H14LH (HKL371-06002) FOR H14LH (HKL371-06002)\1PCS\Inv.E24BV903\O168001\PO-4520001218: 04.10.22\PR-2200001340\ROD: 07.03.24</t>
  </si>
  <si>
    <t>Import fee\ Band drum F17LH (HKL371-06516)\Trống bằng thép dùng cho máy tạo hình F17LH (HKL371-06516) F17LH (HKL371-06516)\1PCS\Inv.E24BV904\O168001\PO-4520001233: 20.10.22\PR-2200001359\ROD: 07.03.24</t>
  </si>
  <si>
    <t>Import fee\ Center Fix Segment 17" For F17LH (HKL371-06517)\Tấm đệm giữa cho trống của máy tạo hình 17" For F17LH (HKL371-06517) 17" For F17LH (HKL371-06517)\1PCS\Inv.E24BV904\O168001\PO-4520001233: 20.10.22\PR-2200001359\ROD: 07.03.24</t>
  </si>
  <si>
    <t>Import fee\ 1st Drum N0003 17LMS (HKL371-06286)\Trống số 1 N0003 17LMS (HKL371-06286) N0003 17LMS (HKL371-06286)\1PCS\Inv.E24BV904\O168002\PO-4520001233: 20.10.22\PR-2200001359\ROD: 07.03.24</t>
  </si>
  <si>
    <t>Import fee\ Bead chuck flange K1S/MAT 17" (HKL371-06498)\Bộ giá K1S/MAT 17" (HKL371-06498) K1S/MAT 17" (HKL371-06498)\1PCS\Inv.E24BV904\O168006\PO-4520001233: 20.10.22\PR-2200001359\ROD: 07.03.24</t>
  </si>
  <si>
    <t>Import fee\ Bead set holder BSH17P02 (HKL223-08799)\Tấm kẹp BSH17P02 (HKL223-08799) BSH17P02 (HKL223-08799)\2PCS\Inv.E24BV904\O168007\PO-4520001233: 20.10.22\PR-2200001359\ROD: 07.03.24</t>
  </si>
  <si>
    <t>Import fee\ Band drum F16LI (HKL371-05837)\Trống bằng thép dùng cho máy tạo hình  F16LI (HKL371-05837) F16LI (HKL371-05837)\1PCS\Inv.E24BV905\O168001\PO-4520001232: 20.10.22\PR-2200001341\ROD: 14.03.24</t>
  </si>
  <si>
    <t>Import fee\ Center Fix Segment F16LI (HKL371-06004)\Tấm đệm giữa cho trống của máy tạo hình F16LI (HKL371-05837) F16LI (HKL371-06004)\1PCS\Inv.E24BV905\O168001\PO-4520001232: 20.10.22\PR-2200001341\ROD: 14.03.24</t>
  </si>
  <si>
    <t>Import fee\ Shaping drum N0001 16MS (HKL371-05880)\Cụm tay trống N0001 16MS (HKL371-05880) N0001 16MS (HKL371-05880)\1PCS\Inv.E24BV905\O168002\PO-4520001232: 20.10.22\PR-2200001341\ROD: 14.03.24</t>
  </si>
  <si>
    <t>Import fee\ Bead chuck flange KBF-16-05 (HKL371-05862)\Bộ giá KBF-16-05 (HKL371-05862) KBF-16-05 (HKL371-05862)\1PCS\Inv.E24BV905\O168006\PO-4520001232: 20.10.22\PR-2200001341\ROD: 14.03.24</t>
  </si>
  <si>
    <t>Import fee\ Bead set holder BSH16P01 (HKL223-07665)\Tấm kẹp BSH16P01 (HKL223-07665) BSH16P01 (HKL223-07665)\2PCS\Inv.E24BV905\O168007\PO-4520001232: 20.10.22\PR-2200001341\ROD: 14.03.24</t>
  </si>
  <si>
    <t>Import fee\ Mold (BSCAP budget No PEAJ1001) PSR 095V 215/60 R16 FSASZ\Khuôn PSR 095V 215/60 R16 FSASZ PSR 095V 215/60 R16 FSASZ\2SET\Inv.M24-MV812\O167011\PO-4520001435: 19.12.23\PR-2200001713\ROD: 21.03.24</t>
  </si>
  <si>
    <t>AP-24-0767</t>
  </si>
  <si>
    <t>AP-24-0761</t>
  </si>
  <si>
    <t>Trucking fee\ Side mold modification PSR 205/65 R16 FSASZ (VH68642-1)\Sửa khuôn PSR 205/65 R16 FSASZ (VH68642-1) \1SET\Inv.97\O167011</t>
  </si>
  <si>
    <t>Trucking fee\ Side mold modification PSR 205/65 R16 FSASZ (VH68642-2)\Sửa khuôn PSR 205/65 R16 FSASZ (VH68642-2) \1SET\Inv.97\O167011</t>
  </si>
  <si>
    <t>Trucking fee\ Side mold modification PSR 215/55 R16 FSASZ (VH68637-1)\Sửa khuôn  PSR 215/55 R16 FSASZ (VH68637-1) \1SET\Inv.97\O167011</t>
  </si>
  <si>
    <t>Trucking fee\ Side mold modification PSR 215/55 R16 FSASZ (VH68637-2)\Sửa khuôn  PSR 215/55 R16 FSASZ (VH68637-2) \1SET\Inv.97\O167011</t>
  </si>
  <si>
    <t>AP-24-0711</t>
  </si>
  <si>
    <t>Import fee\ Tire Endurance and high speed test machine TJR-2-PC(J) 400km/h\Máy kiểm tra độ bền và tốc độ cao TJR-2-PC(J) 400km/h\1SET\Inv.JR20240204A\ME00056\PO-4520001364: 03.07.23\PR-2200001600\ROD: 14.02.24</t>
  </si>
  <si>
    <t>Import fee\ Replace Leakage Circuit Breaker(LCB) for air conditioner Material cost\Vật tư thay thế cầu dao cho điều hòa Material cost\1LOT\Inv.7\BS00032\PO-4510008444: 23.01.24\PR-2100008236\ROD: 15.03.24</t>
  </si>
  <si>
    <t>Surplus assets awaiting for resolution\ 1st Drum N0003 17LMS (HKL371-06286)\Trống số 1 N0003 17LMS (HKL371-06286) N0003 17LMS (HKL371-06286)\1PCS\Inv.E24BV904\O168002\PO-4520001233: 20.10.22\PR-2200001359\ROD: 20.02.24</t>
  </si>
  <si>
    <t>Import fee\ Surplus assets awaiting for resolution\ 1st Drum N0003 17LMS (HKL371-06286)\Trống số 1 N0003 17LMS (HKL371-06286) N0003 17LMS (HKL371-06286)\1PCS\Inv.E24BV904\O168002\PO-4520001233: 20.10.22\PR-2200001359\ROD: 07.03.24</t>
  </si>
  <si>
    <t>BS00032</t>
  </si>
  <si>
    <t>Install ELCB for A/C condensing unit</t>
  </si>
  <si>
    <t>Bike parking at Gate 2 (Sub-gate)</t>
  </si>
  <si>
    <t>Cover Fence with steel sheet + barbed wire (for remain area)</t>
  </si>
  <si>
    <t xml:space="preserve">Set of Pana Guide </t>
  </si>
  <si>
    <t>ICR verify for BLD tool</t>
  </si>
  <si>
    <t>Shaping finger Y22</t>
  </si>
  <si>
    <t>Shoujin Y24 -  Kaizen pallet supplying</t>
  </si>
  <si>
    <t>Shoujin Y24 - TOP cart improvement</t>
  </si>
  <si>
    <t>TMA supply 50% Y21</t>
  </si>
  <si>
    <t>Kaizen control for BOF fan at BB#4</t>
  </si>
  <si>
    <t>PLC software Rockwell for Mixing</t>
  </si>
  <si>
    <t>Cut, Ext, Mix working environment improvement</t>
  </si>
  <si>
    <t>Curing cooling system (Cooling pad &amp; Fans)</t>
  </si>
  <si>
    <t>Install ventilation Fans (Poly Cycle Room)</t>
  </si>
  <si>
    <t>Upgrade some Facility related items</t>
  </si>
  <si>
    <t xml:space="preserve"> </t>
  </si>
  <si>
    <t>LF2</t>
  </si>
  <si>
    <t>Stand by spare part\High voltage generator</t>
  </si>
  <si>
    <t>AP-24-1020</t>
  </si>
  <si>
    <t>GR\ Tool drawer / Tủ đồ nghề 2 cánh có 1 ngăn kéo 690x490x880mm\Tủ đồ nghề 2 cánh có 1 ngăn kéo 690x490x880mm\1PCS\Inv.136\OT00165\PO-4510008575: 08.04.24\PR-2100009158\ROD: 26.04.24</t>
  </si>
  <si>
    <t>AP-24-1093</t>
  </si>
  <si>
    <t>Import fee\ Tool drawer / Tủ đồ nghề 2 cánh có 1 ngăn kéo 690x490x880mm\Tủ đồ nghề 2 cánh có 1 ngăn kéo 690x490x880mm\1PCS\Inv.136\OT00165\PO-4510008575: 08.04.24\PR-2100009158\ROD: 26.04.24</t>
  </si>
  <si>
    <t>GR\ Shelves Drawing#01 2051x3000x1200mm\Kệ để hàng bản vẽ 01 2051x3000x1200mm Drawing#01 2051x3000x1200mm\6PC\Inv.136\OT00172\PO-4570003805: 12.01.24\PR-2700003300\ROD: 26.04.24</t>
  </si>
  <si>
    <t>Import fee\ Shelves Drawing#01 2051x3000x1200mm\Kệ để hàng bản vẽ 01 2051x3000x1200mm Drawing#01 2051x3000x1200mm\6PC\Inv.136\OT00172\PO-4570003805: 12.01.24\PR-2700003300\ROD: 26.04.24</t>
  </si>
  <si>
    <t>AP-24-0984</t>
  </si>
  <si>
    <t>GR\ Pilot Lamp APN126DNPW (AC200V)\Đèn báo APN126DNPW (AC200V) APN126DNPW (AC200V)\1SET\Inv.00000760\OT00165\PO-4510008541: 25.03.24\PR-2100009154\ROD: 25.04.24</t>
  </si>
  <si>
    <t>Import fee\ Pilot Lamp APN126DNPW (AC200V)\Đèn báo APN126DNPW (AC200V) APN126DNPW (AC200V)\1SET\Inv.00000760\OT00165\PO-4510008541: 25.03.24\PR-2100009154\ROD: 25.04.24</t>
  </si>
  <si>
    <t>AP-24-1023</t>
  </si>
  <si>
    <t>GR\ Conversion terminal block XC-T34B1\Khối kết nối 34 đầu vào/ra XC-T34B1\1PCS\Inv.00003288\OT00165\PO-4510008602: 16.04.24\PR-2100009308\ROD: 25.04.24</t>
  </si>
  <si>
    <t>GR\ Harness cable XC-H34-01\Cáp kết nối nhanh 34 PIN chiều dài 1M XC-H34-01\1PCS\Inv.00003288\OT00165\PO-4510008602: 16.04.24\PR-2100009308\ROD: 25.04.24</t>
  </si>
  <si>
    <t>Import fee\ Conversion terminal block XC-T34B1\Khối kết nối 34 đầu vào/ra XC-T34B1\1PCS\Inv.00003288\OT00165\PO-4510008602: 16.04.24\PR-2100009308\ROD: 25.04.24</t>
  </si>
  <si>
    <t>Import fee\ Harness cable XC-H34-01\Cáp kết nối nhanh 34 PIN chiều dài 1M XC-H34-01\1PCS\Inv.00003288\OT00165\PO-4510008602: 16.04.24\PR-2100009308\ROD: 25.04.24</t>
  </si>
  <si>
    <t>AP-24-0985</t>
  </si>
  <si>
    <t>GR\ Circuit protector EBS32Fb 5A-30mA\Cầu dao tự động chống rò EBS32Fb 5A-30mA\1PCS\Inv.20901\OT00165\PO-4510008542: 25.03.24\PR-2100009154\ROD: 24.04.24</t>
  </si>
  <si>
    <t>Import fee\ Circuit protector EBS32Fb 5A-30mA\Cầu dao tự động chống rò EBS32Fb 5A-30mA\1PCS\Inv.20901\OT00165\PO-4510008542: 25.03.24\PR-2100009154\ROD: 24.04.24</t>
  </si>
  <si>
    <t>AP-24-1024</t>
  </si>
  <si>
    <t>GR\ K1S#4 (blank)\Máy tạo hình lốp K1S#4 (blank)\1SET\Inv.24VN006\ME00003\PO-4520001135: 06.05.22\PR-2200001318\ROD: 17.04.24</t>
  </si>
  <si>
    <t>AP-24-1022</t>
  </si>
  <si>
    <t>GR\ Install Air conditioner for Electric cabinet of Curing machine Mateial cost\Vật tư lắp đặt điều hòa tủ điện cho máy lưu hóa Mateial cost\25SET\Inv.00000029\ME00058\PO-4520001448: 12.03.24\PR-2200001723\ROD: 26.04.24</t>
  </si>
  <si>
    <t>Import fee\ Install Air conditioner for Electric cabinet of Curing machine Mateial cost\Vật tư lắp đặt điều hòa tủ điện cho máy lưu hóa Mateial cost\25SET\Inv.00000029\ME00058\PO-4520001448: 12.03.24\PR-2200001723\ROD: 26.04.24</t>
  </si>
  <si>
    <t>AP-24-0968</t>
  </si>
  <si>
    <t>GR\ Replace Leakage Circuit Breaker(LCB) for air conditioner Labor cost\Dịch vụ thay cầu dao chống rò rỉ cho điều hòa Labor cost\1LOT\Inv.21\BS00032\PO-4510008444: 23.01.24\PR-2100008236\ROD: 23.04.24</t>
  </si>
  <si>
    <t>AP-24-0932</t>
  </si>
  <si>
    <t>GR\ Fuse AFaC-3X (3A)\Cầu chì AFaC-3X (3A) AFaC-3X (3A)\1PCS\Inv.BTMV-240408-1\OT00165\PO-4510008530: 20.03.24\PR-2100009154\ROD: 22.04.24</t>
  </si>
  <si>
    <t>GR\ Yard Meter NPY-10C-12\Thiết bị đếm số mét NPY-10C-12\1PCS\Inv.BTMV-240408-1\OT00165\PO-4510008530: 20.03.24\PR-2100009154\ROD: 22.04.24</t>
  </si>
  <si>
    <t>GR\ Insulation Cap OA-QTM44\Thiết bị cách nhiệt  OA-QTM44\20PCS\Inv.BTMV-240408-1\OT00165\PO-4510008530: 20.03.24\PR-2100009154\ROD: 22.04.24</t>
  </si>
  <si>
    <t>AP-24-1108</t>
  </si>
  <si>
    <t>Import fee\ Fuse AFaC-3X (3A)\Cầu chì AFaC-3X (3A) AFaC-3X (3A)\1PCS\Inv.BTMV-240408-1\OT00165\PO-4510008530: 20.03.24\PR-2100009154\ROD: 22.04.24</t>
  </si>
  <si>
    <t>Import fee\ Yard Meter NPY-10C-12\Thiết bị đếm số mét NPY-10C-12\1PCS\Inv.BTMV-240408-1\OT00165\PO-4510008530: 20.03.24\PR-2100009154\ROD: 22.04.24</t>
  </si>
  <si>
    <t>Import fee\ Insulation Cap OA-QTM44\Thiết bị cách nhiệt  OA-QTM44\20PCS\Inv.BTMV-240408-1\OT00165\PO-4510008530: 20.03.24\PR-2100009154\ROD: 22.04.24</t>
  </si>
  <si>
    <t>AP-24-0967</t>
  </si>
  <si>
    <t>GR\ Side mold modification (11H76332-02-H00) PSR 205/65 R16 FSASZ (VH68642-3)\Sửa khuôn PSR 205/65 R16 FSASZ (VH68642-3&amp;4) PSR 205/65 R16 FSASZ (VH68642-3&amp;4)\2SET\Inv.177\O167011\PO-4520001447: 11.03.24\PR-2200001742\ROD: 15.04.24</t>
  </si>
  <si>
    <t>GR\ Side mold modification (11H76332-02-H00) PSR 205/65 R16 FSASZ (VH68642-4)\Sửa khuôn PSR 205/65 R16 FSASZ (VH68642-3&amp;4) PSR 205/65 R16 FSASZ (VH68642-3&amp;4)\2SET\Inv.177\O167011\PO-4520001447: 11.03.24\PR-2200001742\ROD: 15.04.24</t>
  </si>
  <si>
    <t>AP-24-1104</t>
  </si>
  <si>
    <t>Trucking fee\ Side mold modification (11H76332-02-H00) PSR 205/65 R16 FSASZ (VH68642-3)\Sửa khuôn PSR 205/65 R16 FSASZ (VH68642-3&amp;4) PSR 205/65 R16 FSASZ (VH68642-3&amp;4)\2SET\Inv.143\O167011</t>
  </si>
  <si>
    <t>Trucking fee\ Side mold modification (11H76332-02-H00) PSR 205/65 R16 FSASZ (VH68642-4)\Sửa khuôn PSR 205/65 R16 FSASZ (VH68642-3&amp;4) PSR 205/65 R16 FSASZ (VH68642-3&amp;4)\2SET\Inv.143\O167011</t>
  </si>
  <si>
    <t>AP-24-0966</t>
  </si>
  <si>
    <t>GR\ Side mold modification (11H76332-02-H00) PSR 205/65 R16 FSASZ (VH68642-1)\Sửa khuôn PSR 205/65 R16 FSASZ (VH68642-1&amp;2) PSR 205/65 R16 FSASZ (VH68642-1&amp;2)\2SET\Inv.160\O167011\PO-4520001447: 11.03.24\PR-2200001742\ROD: 04.04.24</t>
  </si>
  <si>
    <t>GR\ Side mold modification (11H76332-02-H00) PSR 205/65 R16 FSASZ (VH68642-2)\Sửa khuôn PSR 205/65 R16 FSASZ (VH68642-1&amp;2) PSR 205/65 R16 FSASZ (VH68642-1&amp;2)\2SET\Inv.160\O167011\PO-4520001447: 11.03.24\PR-2200001742\ROD: 04.04.24</t>
  </si>
  <si>
    <t>GR\ Side mold modification (11H76327-02-H00) PSR 215/55 R16 FSASZ (VH68637-1)\Sửa khuôn PSR 215/55 R16 FSASZ (VH68637-1&amp;2) PSR 215/55 R16 FSASZ (VH68637-1&amp;2)\2SET\Inv.160\O167011\PO-4520001447: 11.03.24\PR-2200001742\ROD: 04.04.24</t>
  </si>
  <si>
    <t>GR\ Side mold modification (11H76327-02-H00) PSR 215/55 R16 FSASZ (VH68637-2)\Sửa khuôn PSR 215/55 R16 FSASZ (VH68637-1&amp;2) PSR 215/55 R16 FSASZ (VH68637-1&amp;2)\2SET\Inv.160\O167011\PO-4520001447: 11.03.24\PR-2200001742\ROD: 04.04.24</t>
  </si>
  <si>
    <t>Trucking fee\ Side mold modification PSR 205/65 R16 FSASZ (VH68642-1)\Sửa khuôn PSR 205/65 R16 FSASZ (VH68642-1) \1SET\Inv.143\O167011</t>
  </si>
  <si>
    <t>Trucking fee\ Side mold modification PSR 205/65 R16 FSASZ (VH68642-2)\Sửa khuôn PSR 205/65 R16 FSASZ (VH68642-2) \1SET\Inv.143\O167011</t>
  </si>
  <si>
    <t>Trucking fee\ Side mold modification PSR 215/55 R16 FSASZ (VH68637-1)\Sửa khuôn  PSR 215/55 R16 FSASZ (VH68637-1) \1SET\Inv.143\O167011</t>
  </si>
  <si>
    <t>Trucking fee\ Side mold modification PSR 215/55 R16 FSASZ (VH68637-2)\Sửa khuôn  PSR 215/55 R16 FSASZ (VH68637-2) \1SET\Inv.143\O167011</t>
  </si>
  <si>
    <t>AP-24-0944</t>
  </si>
  <si>
    <t>GR\ Magnetic Bases MB-T3\Đế nam châm MB-T3 MB-T3\2PCS\Inv.4004729229\OT00165\PO-4510008531: 20.03.24\PR-2100009154\ROD: 05.04.24</t>
  </si>
  <si>
    <t>GR\ Magnetic Bases MB-B\Đế nam châm MB-B MB-B\2PCS\Inv.4004729229\OT00165\PO-4510008531: 20.03.24\PR-2100009154\ROD: 05.04.24</t>
  </si>
  <si>
    <t>Import fee\ Magnetic Bases MB-T3\Đế nam châm MB-T3 MB-T3\2PCS\Inv.4004729229\OT00165\PO-4510008531: 20.03.24\PR-2100009154\ROD: 05.04.24</t>
  </si>
  <si>
    <t>Import fee\ Magnetic Bases MB-B\Đế nam châm MB-B MB-B\2PCS\Inv.4004729229\OT00165\PO-4510008531: 20.03.24\PR-2100009154\ROD: 05.04.24</t>
  </si>
  <si>
    <t>AP-24-0969</t>
  </si>
  <si>
    <t>GR\ Power supply MS2-H75\Thiết bị nguồn cấp điện MS2-H75 MS2-H75\1SET\Inv.00002482\OT00165\PO-4510008528: 20.03.24\PR-2100009154\ROD: 08.04.24</t>
  </si>
  <si>
    <t>GR\ Software(License key) for KV series KV-H11G\Đĩa CD chứa phần mềm bộ điều khiển khả trình KV-H11G KV-H11G\1SET\Inv.00002482\OT00165\PO-4510008528: 20.03.24\PR-2100009154\ROD: 08.04.24</t>
  </si>
  <si>
    <t>GR\ Software(License key) for VT series VT-H8G\Đĩa CD chứa phần mềm cho màn hình cảm ứng VT-H8G VT-H8G\1PCS\Inv.00002482\OT00165\PO-4510008528: 20.03.24\PR-2100009154\ROD: 08.04.24</t>
  </si>
  <si>
    <t>GR\ CPU Unit KV-NC32T\Bộ điều khiển Logic lập trình KV-NC32T KV-NC32T\1SET\Inv.00002482\OT00165\PO-4510008528: 20.03.24\PR-2100009154\ROD: 08.04.24</t>
  </si>
  <si>
    <t>GR\ ETH Unit KV-NC1EP\Khối kết nối Ethernet của bộ điều khiển Logic khả trình KV-NC1EP KV-NC1EP\1SET\Inv.00002482\OT00165\PO-4510008528: 20.03.24\PR-2100009154\ROD: 08.04.24</t>
  </si>
  <si>
    <t>GR\ Analog Unit KV-NC4AD\Khối vào\ra bộ điều khiển Logic khả trình KV-NC4AD KV-NC4AD\1SET\Inv.00002482\OT00165\PO-4510008528: 20.03.24\PR-2100009154\ROD: 08.04.24</t>
  </si>
  <si>
    <t>GR\ Touch panel VT5-W07\Màn hình hiển thị cảm ứng VT5-W07 VT5-W07\1SET\Inv.00002482\OT00165\PO-4510008528: 20.03.24\PR-2100009154\ROD: 08.04.24</t>
  </si>
  <si>
    <t>GR\ Measuring unit IG-028\Đầu cảm biến đo kích thước IG-028 IG-028\4PCS\Inv.00002482\OT00165\PO-4510008528: 20.03.24\PR-2100009154\ROD: 08.04.24</t>
  </si>
  <si>
    <t>GR\ Controller IG-1000\Thiết bị điều khiển cảm biến đo kích thước IG-1000 IG-1000\4PCS\Inv.00002482\OT00165\PO-4510008528: 20.03.24\PR-2100009154\ROD: 08.04.24</t>
  </si>
  <si>
    <t>GR\ Mounting bracket IG-TB02\Thanh gá bằng thép cảm biến đo kích thước Laser IG-TB02 IG-TB02\4PCS\Inv.00002482\OT00165\PO-4510008528: 20.03.24\PR-2100009154\ROD: 08.04.24</t>
  </si>
  <si>
    <t>GR\ Sensor head connection cable OP-87057\Cáp kết nối OP-87057 OP-87057\4PCS\Inv.00002482\OT00165\PO-4510008528: 20.03.24\PR-2100009154\ROD: 08.04.24</t>
  </si>
  <si>
    <t>Import fee\ Power supply MS2-H75\Thiết bị nguồn cấp điện MS2-H75 MS2-H75\1SET\Inv.00002482\OT00165\PO-4510008528: 20.03.24\PR-2100009154\ROD: 08.04.24</t>
  </si>
  <si>
    <t>Import fee\ Software(License key) for KV series KV-H11G\Đĩa CD chứa phần mềm bộ điều khiển khả trình KV-H11G KV-H11G\1SET\Inv.00002482\OT00165\PO-4510008528: 20.03.24\PR-2100009154\ROD: 08.04.24</t>
  </si>
  <si>
    <t>Import fee\ Software(License key) for VT series VT-H8G\Đĩa CD chứa phần mềm cho màn hình cảm ứng VT-H8G VT-H8G\1PCS\Inv.00002482\OT00165\PO-4510008528: 20.03.24\PR-2100009154\ROD: 08.04.24</t>
  </si>
  <si>
    <t>Import fee\ CPU Unit KV-NC32T\Bộ điều khiển Logic lập trình KV-NC32T KV-NC32T\1SET\Inv.00002482\OT00165\PO-4510008528: 20.03.24\PR-2100009154\ROD: 08.04.24</t>
  </si>
  <si>
    <t>Import fee\ ETH Unit KV-NC1EP\Khối kết nối Ethernet của bộ điều khiển Logic khả trình KV-NC1EP KV-NC1EP\1SET\Inv.00002482\OT00165\PO-4510008528: 20.03.24\PR-2100009154\ROD: 08.04.24</t>
  </si>
  <si>
    <t>Import fee\ Analog Unit KV-NC4AD\Khối vào\ra bộ điều khiển Logic khả trình KV-NC4AD KV-NC4AD\1SET\Inv.00002482\OT00165\PO-4510008528: 20.03.24\PR-2100009154\ROD: 08.04.24</t>
  </si>
  <si>
    <t>Import fee\ Touch panel VT5-W07\Màn hình hiển thị cảm ứng VT5-W07 VT5-W07\1SET\Inv.00002482\OT00165\PO-4510008528: 20.03.24\PR-2100009154\ROD: 08.04.24</t>
  </si>
  <si>
    <t>Import fee\ Measuring unit IG-028\Đầu cảm biến đo kích thước IG-028 IG-028\4PCS\Inv.00002482\OT00165\PO-4510008528: 20.03.24\PR-2100009154\ROD: 08.04.24</t>
  </si>
  <si>
    <t>Import fee\ Controller IG-1000\Thiết bị điều khiển cảm biến đo kích thước IG-1000 IG-1000\4PCS\Inv.00002482\OT00165\PO-4510008528: 20.03.24\PR-2100009154\ROD: 08.04.24</t>
  </si>
  <si>
    <t>Import fee\ Mounting bracket IG-TB02\Thanh gá bằng thép cảm biến đo kích thước Laser IG-TB02 IG-TB02\4PCS\Inv.00002482\OT00165\PO-4510008528: 20.03.24\PR-2100009154\ROD: 08.04.24</t>
  </si>
  <si>
    <t>Import fee\ Sensor head connection cable OP-87057\Cáp kết nối OP-87057 OP-87057\4PCS\Inv.00002482\OT00165\PO-4510008528: 20.03.24\PR-2100009154\ROD: 08.04.24</t>
  </si>
  <si>
    <t>AP-24-0950</t>
  </si>
  <si>
    <t>GR\ Cable VCTF 3x1.5\Cáp điện mềm VCTF 3x1.5 VCTF 3x1.5\1ROL\Inv.22\OT00165\PO-4510008532: 20.03.24\PR-2100009154\ROD: 22.04.24</t>
  </si>
  <si>
    <t>Import fee\ Cable VCTF 3x1.5\Cáp điện mềm VCTF 3x1.5 VCTF 3x1.5\1ROL\Inv.22\OT00165\PO-4510008532: 20.03.24\PR-2100009154\ROD: 22.04.24</t>
  </si>
  <si>
    <t>AP-24-1123</t>
  </si>
  <si>
    <t>OT00172</t>
  </si>
  <si>
    <t>ME00003</t>
  </si>
  <si>
    <t>ME00058</t>
  </si>
  <si>
    <t>Shelves Drawing#01 2051x3000x1200mm</t>
  </si>
  <si>
    <t>Vs. LF2</t>
  </si>
  <si>
    <t>Budget 2024LF2</t>
  </si>
  <si>
    <t>Remaining Budget 2024LF2</t>
  </si>
  <si>
    <t>2024LF2 (Accumulated)</t>
  </si>
  <si>
    <t>2024_LF2</t>
  </si>
  <si>
    <t>AP-24-1194</t>
  </si>
  <si>
    <t>AP-24-1284</t>
  </si>
  <si>
    <t>GR\ Commissioning Commissioning on site\Chạy thử máy kiểm tra lốp số 10 Commissioning on site\1LOT\Inv.JR20240529C\ME00056\PO-4520001364: 03.07.23\PR-2200001600\ROD: 29.05.24</t>
  </si>
  <si>
    <t>Commissioning</t>
  </si>
  <si>
    <t>AP-24-1285</t>
  </si>
  <si>
    <t>GR\ Curing LTXR51 #7 installation Labor cost\Dịch vụ lắp đặt máy lưu hóa LTXR51 số 7 Labor cost\1LOT\Inv.197\ME00033\PO-4520001438: 05.01.24\PR-2200001701\ROD: 28.05.24</t>
  </si>
  <si>
    <t>AP-24-1286</t>
  </si>
  <si>
    <t>GR\ Mold (BSCAP budget No PEAJ1111) PSR 095V 225/45 R18 EL64AZ\Khuôn PSR 095V 225/45 R18 EL64AZ PSR 095V 225/45 R18 EL64AZ\1SET\Inv.M24-MV864\O167011\PO-4520001445: 27.02.24\PR-2200001740\ROD: 14.05.24</t>
  </si>
  <si>
    <t>GR\ Mold (BSCAP budget No PEAJ1068) PSR 099T 225/60 R17 FSASZ\Khuôn PSR 099T 225/60 R17 FSASZ PSR 099T 225/60 R17 FSASZ\1SET\Inv.M24-MV864\O167011\PO-4520001445: 27.02.24\PR-2200001740\ROD: 14.05.24</t>
  </si>
  <si>
    <t>GR\ Mold (BSCAP budget No PEAJ1069) PSR 094V 215/55 R17 FSASZ\Khuôn PSR 094V 215/55 R17 FSASZ PSR 094V 215/55 R17 FSASZ\1SET\Inv.M24-MV864\O167011\PO-4520001445: 27.02.24\PR-2200001740\ROD: 14.05.24</t>
  </si>
  <si>
    <t>GR\ Mold (BSCAP budget No PEAJ1070) PSR 099T 235/55 R17 FSASZ\Khuôn PSR 099T 235/55 R17 FSASZ PSR 099T 235/55 R17 FSASZ\1SET\Inv.M24-MV864\O167011\PO-4520001445: 27.02.24\PR-2200001740\ROD: 14.05.24</t>
  </si>
  <si>
    <t>GR\ Mold (BSCAP budget No PEAJ1112) PSR 099T 215/65 R17 FSASZ\Khuôn PSR 099T 215/65 R17 FSASZ PSR 099T 215/65 R17 FSASZ\1SET\Inv.M24-MV864\O167011\PO-4520001445: 27.02.24\PR-2200001740\ROD: 14.05.24</t>
  </si>
  <si>
    <t>GR\ Mold (BSCAP budget No PENJ1147) PSR 106H 235/65 R18 FSASZ\Khuôn PSR 106H 235/65 R18 FSASZ PSR 106H 235/65 R18 FSASZ\1SET\Inv.M24-MV864\O167011\PO-4520001445: 27.02.24\PR-2200001740\ROD: 14.05.24</t>
  </si>
  <si>
    <t>AP-24-1287</t>
  </si>
  <si>
    <t>GR\ Mold (BSCAP budget No PEAJ1071) PSR 094V 235/45 R18 FSASFZ\Khuôn PSR 094V 235/45 R18 FSASFZ PSR 094V 235/45 R18 FSASFZ\1SET\Inv.M24-MV867\O167011\PO-4520001445: 27.02.24\PR-2200001740\ROD: 13.05.24</t>
  </si>
  <si>
    <t>AP-24-1288</t>
  </si>
  <si>
    <t>GR\ IFM Vibration Sensor,M2M UNIT Smart Prevendictivehardware: sensor\Bộ cảm biến rung và bộ phát Smart Prevendictivehardware: sensor\5LOT\Inv.NW-20240502\OT00157\PO-4520001449: 13.03.24\PR-2200001722\ROD: 23.05.24</t>
  </si>
  <si>
    <t>GR\ DELL R350 Winserver, Win2022, 8core, 128GBmem, 960GB  SSD for Smartpreve Common infrastructuteServer Device\Thiết bị máy chủ để ngăn chặn giám sát thông minh Common infrastructuteServer Device\5LOT\Inv.NW-20240502\OT00157\PO-4520001449: 13.03.24\PR-2200001722\ROD: 23.05.24</t>
  </si>
  <si>
    <t>GR\ DELL R350 Winserver, Win2022, 4core, 16GBmem, 960GB  SSD  for Webapplica Common infrastructuteServer Device\Thiết bị máy chủ cho Web application Common infrastructuteServer Device\2LOT\Inv.NW-20240502\OT00157\PO-4520001449: 13.03.24\PR-2200001722\ROD: 23.05.24</t>
  </si>
  <si>
    <t>GR\ Winserver accessories, 42U Rack, Keyboard, Mouse, Monitor, Common infrastructuteServer Device\Phụ kiện cho thiết bị máy chủ Common infrastructuteServer Device\1LOT\Inv.NW-20240502\OT00157\PO-4520001449: 13.03.24\PR-2200001722\ROD: 23.05.24</t>
  </si>
  <si>
    <t>AP-24-1370</t>
  </si>
  <si>
    <t>GR\ Mono Bead HRD Device Mono Bead HRD Device\Thiết bị tạo vành Mono Bead HRD Device\1SET\Inv.24VN005\ME00042\PO-4520001330: 16.05.23\PR-2200001526\ROD: 22.05.24</t>
  </si>
  <si>
    <t>ME00042</t>
  </si>
  <si>
    <t>AP-24-1289</t>
  </si>
  <si>
    <t>GR\ Drum test #10 installation Material cost\Vật tư lắp đặt máy kiểm tra trống sô 10 Material cost\1LOT\Inv.00000072\ME00056\PO-4520001443: 15.02.24\PR-2200001678\ROD: 21.05.24</t>
  </si>
  <si>
    <t>AP-24-1290</t>
  </si>
  <si>
    <t>GR\ Máy hàn/ Welder LS15000\Máy hàn LS15000\1PCS\Inv.36\OT00167\PO-4510008624: 24.04.24\PR-2100008964\ROD: 21.05.24</t>
  </si>
  <si>
    <t>OT00167</t>
  </si>
  <si>
    <t>AP-24-1412</t>
  </si>
  <si>
    <t>GR\ Drum test #10 installation Labor cost\Dịch vụ lắp đặt máy kiểm tra lốp số 10 Labor cost\1LOT\Inv.00000094\ME00056\PO-4520001443: 15.02.24\PR-2200001678\ROD: 31.05.24</t>
  </si>
  <si>
    <t>AP-24-1422</t>
  </si>
  <si>
    <t>GR\ Install Air conditioner for Electric cabinet of Curing machine Labor cost\Dịch vụ lắp đặt điều hòa cho tủ điện của máy lưu hóa Labor cost\1LOT\Inv.00000037\ME00058\PO-4520001448: 12.03.24\PR-2200001723\ROD: 27.05.24</t>
  </si>
  <si>
    <t>AP-24-1420</t>
  </si>
  <si>
    <t>GR\ Update BOSS2 fuction for B SpecON BOSS2 production Control System\Phần mềm quản lý kỹ thuật và quy trình sản xuất BOSS2 BOSS2 production Control System\1LOT\Inv.24VNS001\IF00396\PO-4510008420: 12.01.24\PR-2100009048\ROD: 09.05.24</t>
  </si>
  <si>
    <t>IF00396</t>
  </si>
  <si>
    <t>AP-24-1421</t>
  </si>
  <si>
    <t>GR\ BOF frame for BB#2 machine (Material: stainless steel) Material cost\Vật tư lắp đặt khung sàn cho máy trộn số 2 Material cost\1SET\Inv.00000148\ME00064\PO-4510008563: 03.04.24\PR-2100009068\ROD: 09.05.24</t>
  </si>
  <si>
    <t>ME00064</t>
  </si>
  <si>
    <t>GR\ BOF frame for BB#4 machine ( Material: stainless steel) Material cost\Vật tư lắp đặt khung sàn cho máy trộn số 4 Material cost\1SET\Inv.00000148\ME00064\PO-4510008563: 03.04.24\PR-2100009068\ROD: 09.05.24</t>
  </si>
  <si>
    <t>GR\ BOF frame for BB#5 machine (Material: stainless steel) Material cost\Vật tư lắp đặt khung sàn cho máy trộn số 5 Material cost\1SET\Inv.00000148\ME00064\PO-4510008563: 03.04.24\PR-2100009068\ROD: 09.05.24</t>
  </si>
  <si>
    <t>AP-24-1467</t>
  </si>
  <si>
    <t>GIT\24110100\K1S#5 (blank)\Máy tạo hình lốp số 5 (blank)\1SET\Inv.24VN009\ME00004\PO-4520001135: 06.05.22\PR-2200001319\ROD: 16.05.24</t>
  </si>
  <si>
    <t>ME00004</t>
  </si>
  <si>
    <t>AP-24-1466</t>
  </si>
  <si>
    <t>GR\ Tooling for K1S#4 (blank)\Dịch vụ lắp đặt máy tạo hình lốp K1S số 4 (blank)\1SET\Inv.24VN007\ME00003\PO-4520001135: 06.05.22\PR-2200001318\ROD: 16.05.24</t>
  </si>
  <si>
    <t>AP-24-1413</t>
  </si>
  <si>
    <t>Import fee\ Mold (BSCAP budget No PEAJ1111) PSR 095V 225/45 R18 EL64AZ\Khuôn PSR 095V 225/45 R18 EL64AZ PSR 095V 225/45 R18 EL64AZ\1SET\Inv.M24-MV864\O167011\PO-4520001445: 27.02.24\PR-2200001740\ROD: 14.05.24</t>
  </si>
  <si>
    <t>Import fee\ Mold (BSCAP budget No PEAJ1068) PSR 099T 225/60 R17 FSASZ\Khuôn PSR 099T 225/60 R17 FSASZ PSR 099T 225/60 R17 FSASZ\1SET\Inv.M24-MV864\O167011\PO-4520001445: 27.02.24\PR-2200001740\ROD: 14.05.24</t>
  </si>
  <si>
    <t>Import fee\ Mold (BSCAP budget No PEAJ1069) PSR 094V 215/55 R17 FSASZ\Khuôn PSR 094V 215/55 R17 FSASZ PSR 094V 215/55 R17 FSASZ\1SET\Inv.M24-MV864\O167011\PO-4520001445: 27.02.24\PR-2200001740\ROD: 14.05.24</t>
  </si>
  <si>
    <t>Import fee\ Mold (BSCAP budget No PEAJ1070) PSR 099T 235/55 R17 FSASZ\Khuôn PSR 099T 235/55 R17 FSASZ PSR 099T 235/55 R17 FSASZ\1SET\Inv.M24-MV864\O167011\PO-4520001445: 27.02.24\PR-2200001740\ROD: 14.05.24</t>
  </si>
  <si>
    <t>Import fee\ Mold (BSCAP budget No PEAJ1112) PSR 099T 215/65 R17 FSASZ\Khuôn PSR 099T 215/65 R17 FSASZ PSR 099T 215/65 R17 FSASZ\1SET\Inv.M24-MV864\O167011\PO-4520001445: 27.02.24\PR-2200001740\ROD: 14.05.24</t>
  </si>
  <si>
    <t>Import fee\ Mold (BSCAP budget No PENJ1147) PSR 106H 235/65 R18 FSASZ\Khuôn PSR 106H 235/65 R18 FSASZ PSR 106H 235/65 R18 FSASZ\1SET\Inv.M24-MV864\O167011\PO-4520001445: 27.02.24\PR-2200001740\ROD: 14.05.24</t>
  </si>
  <si>
    <t>Import fee\ Mold (BSCAP budget No PEAJ1071) PSR 094V 235/45 R18 FSASFZ\Khuôn PSR 094V 235/45 R18 FSASFZ PSR 094V 235/45 R18 FSASFZ\1SET\Inv.M24-MV867\O167011\PO-4520001445: 27.02.24\PR-2200001740\ROD: 13.05.24</t>
  </si>
  <si>
    <t>Import fee\ Tooling for K1S#4 \Tooling cho máy tạo hình lốp K1S số 4 \1SET\Inv.24VN007\ME00003\PO-4520001135: 06.05.22\PR-2200001318\ROD: 16.05.24</t>
  </si>
  <si>
    <t>AP-24-1278</t>
  </si>
  <si>
    <t>Import fee\ K1S#4 (blank)\Máy tạo hình lốp K1S#4 (blank)\1SET\Inv.24VN006\ME00003\PO-4520001135: 06.05.22\PR-2200001318\ROD: 17.04.24</t>
  </si>
  <si>
    <t>Import fee\ Mono Bead HRD Device Mono Bead HRD Device\Thiết bị tạo vành Mono Bead HRD Device\1SET\Inv.24VN005\ME00042\PO-4520001330: 16.05.23\PR-2200001526\ROD: 22.05.24</t>
  </si>
  <si>
    <t>Import fee\ BOF frame for BB#2 machine (Material: stainless steel) Material cost\Vật tư lắp đặt khung sàn cho máy trộn số 2 Material cost\1SET\Inv.00000148\ME00064\PO-4510008563: 03.04.24\PR-2100009068\ROD: 09.05.24</t>
  </si>
  <si>
    <t>Import fee\ BOF frame for BB#4 machine ( Material: stainless steel) Material cost\Vật tư lắp đặt khung sàn cho máy trộn số 4 Material cost\1SET\Inv.00000148\ME00064\PO-4510008563: 03.04.24\PR-2100009068\ROD: 09.05.24</t>
  </si>
  <si>
    <t>Import fee\ BOF frame for BB#5 machine (Material: stainless steel) Material cost\Vật tư lắp đặt khung sàn cho máy trộn số 5 Material cost\1SET\Inv.00000148\ME00064\PO-4510008563: 03.04.24\PR-2100009068\ROD: 09.05.24</t>
  </si>
  <si>
    <t>Import fee\ Drum test #10 installation Material cost\Vật tư lắp đặt máy kiểm tra trống sô 10 Material cost\1LOT\Inv.00000072\ME00056\PO-4520001443: 15.02.24\PR-2200001678\ROD: 21.05.24</t>
  </si>
  <si>
    <t>Import fee\ Máy hàn/ Welder LS15000\Máy hàn LS15000\1PCS\Inv.36\OT00167\PO-4510008624: 24.04.24\PR-2100008964\ROD: 21.05.24</t>
  </si>
  <si>
    <t>AP-24-1450</t>
  </si>
  <si>
    <t>Hotel\ Pham Thanh Khiem\ Tianjin\ ME00056\ Inv.161</t>
  </si>
  <si>
    <t>Hotel\ Liu Jun Biao\ Tianjin\ ME00056\ Inv.162</t>
  </si>
  <si>
    <t>Hotel\ Ban Guo Fu\ Tianjin\ ME00056\ Inv.162</t>
  </si>
  <si>
    <t>AP-24-1440</t>
  </si>
  <si>
    <t>Taxi\PhamTKhiem\Tianjin\ May.24\Inv.165</t>
  </si>
  <si>
    <t>Taxi\Liu Jun Biao\Tianjin\ May.24\Inv.165</t>
  </si>
  <si>
    <t>Taxi\Ban Guo Fu\Tianjin\ May.24\Inv.165</t>
  </si>
  <si>
    <t>AP-24-1489</t>
  </si>
  <si>
    <t>Car rental\Liu Jun Biao\Pick-up HN\May.24\ME00056</t>
  </si>
  <si>
    <t>Car rental\Ban Guo Fu\Pick-up HN\May.24\ME00056</t>
  </si>
  <si>
    <t>AP-24-1614</t>
  </si>
  <si>
    <t>GR\ BOF frame for BB#2 machine Labor cost\Dịch vụ lắp đặt khung vận chuyển tấm cao su của máy trộn cao su số 2 Labor cost\1LOT\Inv.00000199\ME00064\PO-4510008563: 03.04.24\PR-2100009068\ROD: 26.06.24</t>
  </si>
  <si>
    <t>GR\ BOF frame for BB#4 machine Installation cost\Dịch vụ lắp đặt khung vận chuyển tấm cao su của máy trộn cao su số 4 Installation cost\1LOT\Inv.00000199\ME00064\PO-4510008563: 03.04.24\PR-2100009068\ROD: 26.06.24</t>
  </si>
  <si>
    <t>GR\ BOF frame for BB#5 machine Installation cost\Dịch vụ lắp đặt khung vận chuyển tấm cao su của máy trộn cao su số 5 Installation cost\1LOT\Inv.00000199\ME00064\PO-4510008563: 03.04.24\PR-2100009068\ROD: 26.06.24</t>
  </si>
  <si>
    <t>AP-24-1613</t>
  </si>
  <si>
    <t>GR\ Tooling for K1S#5 (blank)\Bộ dụng cụ cho máy tạo hình lốp K1S số 5 (blank)\1SET\Inv.24VN010\ME00004\PO-4520001135: 06.05.22\PR-2200001319\ROD: 20.06.24</t>
  </si>
  <si>
    <t>AP-24-1615</t>
  </si>
  <si>
    <t>GR\ Design and install air conditioner for Drum test #10 Material cost\Vật tư lắp đặt máy làm mát cho máy kiểm tra trống số 10 Material cost\1LOT\Inv.00000096\ME00056\PO-4520001442: 05.02.24\PR-2200001651\ROD: 18.06.24</t>
  </si>
  <si>
    <t>AP-24-1655</t>
  </si>
  <si>
    <t>AP-24-1656</t>
  </si>
  <si>
    <t>Import fee\ Tooling for K1S#5 (blank)\Bộ dụng cụ cho máy tạo hình lốp K1S số 5 (blank)\1SET\Inv.24VN010\ME00004\PO-4520001135: 06.05.22\PR-2200001319\ROD: 20.06.24</t>
  </si>
  <si>
    <t>AP-24-1649</t>
  </si>
  <si>
    <t>FCT\ Nextware\OT00157 \Inv.NW-20240502</t>
  </si>
  <si>
    <t>AP-24-1608</t>
  </si>
  <si>
    <t>Import fee \K1S#5 (blank)\Máy tạo hình lốp số 5 (blank)\1SET\Inv.24VN009\ME00004\PO-4520001135: 06.05.22\PR-2200001319\ROD: 16.05.24</t>
  </si>
  <si>
    <t>Import fee\ Design and install air conditioner for Drum test #10 Material cost\Vật tư lắp đặt máy làm mát cho máy kiểm tra trống số 10 Material cost\1LOT\Inv.00000096\ME00056\PO-4520001442: 05.02.24\PR-2200001651\ROD: 18.06.24</t>
  </si>
  <si>
    <t>AP-24-1955</t>
  </si>
  <si>
    <t>GIT\24110100\ALUM RRC AND PLUNGER RIM 5.5Jx15 / Vành nhôm sử dụng cho thí nghiệm RRCv 5.5Jx15\Vành nhôm sử dụng cho thí nghiệm RIM 5.5Jx15 /  5.5Jx15\2PCS\Inv.JR20240701B\OT03292\PO-4520001453: 07.05.24\PR-2200001734\ROD: 27.07.24</t>
  </si>
  <si>
    <t>OT03292A</t>
  </si>
  <si>
    <t>GIT\24110100\ALUM RRC AND PLUNGER RIM 5.5Jx16 / Vành nhôm sử dụng cho thí nghiệm RRCv 5.5Jx16\Vành nhôm sử dụng cho thí nghiệm RRCv RIM 5.5Jx16  5.5Jx16\1PC\Inv.JR20240701B\OT03292\PO-4520001453: 07.05.24\PR-2200001734\ROD: 27.07.24</t>
  </si>
  <si>
    <t>OT03292B</t>
  </si>
  <si>
    <t>GIT\24110100\ALUM RRC AND PLUNGER RIM 8.5Jx19 / Vành nhôm sử dụng cho thí nghiệm RRCv 8.5Jx19\Vành nhôm sử dụng cho thí nghiệm RRCv RIM 8.5Jx19 8.5Jx19\2PCS\Inv.JR20240701B\OT03292\PO-4520001453: 07.05.24\PR-2200001734\ROD: 27.07.24</t>
  </si>
  <si>
    <t>OT03292C</t>
  </si>
  <si>
    <t>GIT\24110100\ALUM DRUM RIM 8.5Jx19/ Vành nhôm sử dụng cho thí nghiệm Drum 8.5Jx19 8.5Jx19\Vành nhôm sử dụng cho thí nghiệm Drum 8.5Jx19 8.5Jx19\2PCS\Inv.JR20240701B\OT03292\PO-4520001453: 07.05.24\PR-2200001734\ROD: 27.07.24</t>
  </si>
  <si>
    <t>OT03292D</t>
  </si>
  <si>
    <t>GIT\24110100\ALUM RRC AND PLUNGER RIM 9.0Jx20 / Vành nhôm sử dụng cho thí nghiệm RRCv 9.0Jx20\Vành nhôm sử dụng cho thí nghiệm RRCv RIM 9.0Jx20 9.0Jx20\2PCS\Inv.JR20240701B\OT03292\PO-4520001453: 07.05.24\PR-2200001734\ROD: 27.07.24</t>
  </si>
  <si>
    <t>OT03292E</t>
  </si>
  <si>
    <t>GIT\24110100\ALUM DRUM RIM 9.0Jx20/ Vành nhôm sử dụng cho thí nghiệm Drum 9.0Jx20 9.0Jx20\ Vành nhôm sử dụng cho thí nghiệm Drum 9.0Jx20 9.0Jx20\2PCS\Inv.JR20240701B\OT03292\PO-4520001453: 07.05.24\PR-2200001734\ROD: 27.07.24</t>
  </si>
  <si>
    <t>OT03292F</t>
  </si>
  <si>
    <t>GIT\24110100\ALUM DRUM RIM 9.5Jx20/ Vành nhôm sử dụng cho thí nghiệm Drum 9.5Jx20 9.5Jx20\Vành nhôm sử dụng cho thí nghiệm Drum 9.5Jx20 9.5Jx20\2PCS\Inv.JR20240701B\OT03292\PO-4520001453: 07.05.24\PR-2200001734\ROD: 27.07.24</t>
  </si>
  <si>
    <t>OT03292G</t>
  </si>
  <si>
    <t>GIT\24110100\ALUM RRC AND PLUNGER RIM 9.5Jx20 / Vành nhôm sử dụng cho thí nghiệm RRCv 9.5Jx20\Vành nhôm sử dụng cho thí nghiệm RRCv RIM 9.5Jx20 9.5Jx20\2PCS\Inv.JR20240701B\OT03292\PO-4520001453: 07.05.24\PR-2200001734\ROD: 27.07.24</t>
  </si>
  <si>
    <t>OT03292H</t>
  </si>
  <si>
    <t>GIT\24110100\ALUM DRUM RIM 8.5Jx20/ Vành nhôm sử dụng cho thí nghiệm Drum 8.5Jx20 8.5Jx20\Vành nhôm sử dụng cho thí nghiệm Drum 8.5Jx20 8.5Jx20\1PC\Inv.JR20240701B\OT03292\PO-4520001453: 07.05.24\PR-2200001734\ROD: 27.07.24</t>
  </si>
  <si>
    <t>OT03292I</t>
  </si>
  <si>
    <t>AP-24-1965</t>
  </si>
  <si>
    <t>GR\ Mold (BSCAP budget No PEAJ1140) PSR 205/50 R17 T05ABZ\Khuôn PSR 205/50 R17 T05ABZ PSR 205/50 R17 T05ABZ\1SET\Inv.M24-MV942\O167011\PO-4520001454: 14.05.24\PR-2200001762\ROD: 30.07.24</t>
  </si>
  <si>
    <t>AP-24-1959</t>
  </si>
  <si>
    <t>GR\ Installation cable tray and re-wiring for substation BB#1 Labor cost\Dịch vụ lắp đặt thang máng cáp và sắp xếp lại dây cáp tại trạm điện máy trộn cao su số 1 Labor cost\1LOT\Inv.78\ME00086\PO-4520001463: 10.06.24\PR-2200001766\ROD: 30.07.24</t>
  </si>
  <si>
    <t>ME00086</t>
  </si>
  <si>
    <t>GR\ Installation cable tray and re-wiring for substation BB#2 Labor cost\Dịch vụ lắp đặt thang máng cáp và sắp xếp lại dây cáp tại trạm điện máy trộn cao su số 2 Labor cost\1LOT\Inv.78\ME00086\PO-4520001463: 10.06.24\PR-2200001766\ROD: 30.07.24</t>
  </si>
  <si>
    <t>GR\ Installation cable tray and re-wiring for substation BB#4 Labor cost\Dịch vụ lắp đặt thang máng cáp và sắp xếp lại dây cáp tại trạm điện máy trộn cao su số 4 Labor cost\1LOT\Inv.78\ME00086\PO-4520001463: 10.06.24\PR-2200001766\ROD: 30.07.24</t>
  </si>
  <si>
    <t>GR\ Installation cable tray and re-wiring for substation BB#5 Labor cost\Dịch vụ lắp đặt thang máng cáp và sắp xếp lại dây cáp tại trạm điện máy trộn cao su số 5 Labor cost\1LOT\Inv.78\ME00086\PO-4520001463: 10.06.24\PR-2200001766\ROD: 30.07.24</t>
  </si>
  <si>
    <t>AP-24-1951</t>
  </si>
  <si>
    <t>GR\ Material cost DWG : 000111, 000113, 000114\Vật tư lắp đặt lốp xe Bridgestone lớn nhất  DWG : 000111, 000113, 000114\1LOT\Inv.00000145\OT00174\PO-4520001469: 26.06.24\PR-2200001780\ROD: 30.07.24</t>
  </si>
  <si>
    <t>OT00174</t>
  </si>
  <si>
    <t>AP-24-1957</t>
  </si>
  <si>
    <t>GR\ Design and install air conditioner for Drum test #10 Material cost\Vật tư lắp đặt và thiết kế máy làm mát cho máy kiểm tra trống số 10 Material cost\1LOT\Inv.00000148\ME00056\PO-4520001442: 05.02.24\PR-2200001651\ROD: 29.07.24</t>
  </si>
  <si>
    <t>AP-24-1950</t>
  </si>
  <si>
    <t>GR\ Install an air conditioning system for the Pigment position Material cost\Vật tư lắp đặt hệ thống điều hòa cho khu vực Pigment Material cost\1LOT\Inv.00000038\BS00017\PO-4510008656: 17.05.24\PR-2100009139\ROD: 29.07.24</t>
  </si>
  <si>
    <t>BS00017</t>
  </si>
  <si>
    <t>AP-24-1963</t>
  </si>
  <si>
    <t>GR\ Supply energy to K1S#4 Material cost\Vật tư cung cấp năng lượng cho máy tạo hình lốp ô tô số 4 Material cost\1LOT\Inv.00000047\ME00003\PO-4520001458: 21.05.24\PR-2200001733\ROD: 29.07.24</t>
  </si>
  <si>
    <t>AP-24-1964</t>
  </si>
  <si>
    <t>GR\ Sitemanager gateway &lt;1529&gt; PC40000021\Cổng quản lý trang web PC40000021\1SET\Inv.NHV241365\ME00052\PO-4520001450: 23.04.24\PR-2200001650\ROD: 26.07.24</t>
  </si>
  <si>
    <t>ME00052</t>
  </si>
  <si>
    <t>AP-24-1960</t>
  </si>
  <si>
    <t>GR\ Safety cover and ladder for Curing machine #712 Material cost\Vật tư lắp đặt nắp và thang an toàn cho máy lưu hóa #712 Material cost\1LOT\Inv.288\ME00033\PO-4520001468: 22.06.24\PR-2200001755\ROD: 26.07.24</t>
  </si>
  <si>
    <t>AP-24-1954</t>
  </si>
  <si>
    <t>GR\ K1S#6 (blank)\Máy tạo hình lốp ô tô số 6 (blank)\1SET\Inv.24VN011\ME00005\PO-4520001135: 06.05.22\PR-2200001320\ROD: 25.07.24</t>
  </si>
  <si>
    <t>ME00005</t>
  </si>
  <si>
    <t>AP-24-1961</t>
  </si>
  <si>
    <t>GR\ Hydraulic curing press LT-XR51 (15-22") LT-XR51 (15-22")\Máy lưu hóa sử dụng thủy lực LT-XR51 (đường kính lốp từ 15 -&gt; 22 inch) LT-XR51 (15-22")\5SET\Inv.22365131-002\ME00033\PO-4520001322: 25.04.23\PR-2200001504\ROD: 24.07.24</t>
  </si>
  <si>
    <t>ME00033B</t>
  </si>
  <si>
    <t>ME00033C</t>
  </si>
  <si>
    <t>ME00033D</t>
  </si>
  <si>
    <t>ME00033E</t>
  </si>
  <si>
    <t>ME00033F</t>
  </si>
  <si>
    <t>GR\ Hydraulic unit for LTXR51 HPU\Bộ nguồn thủy lực cho máy lưu hóa LTX51 HPU\1SET\Inv.22365131-002\ME00033\PO-4520001322: 25.04.23\PR-2200001504\ROD: 24.07.24</t>
  </si>
  <si>
    <t>AP-24-1952</t>
  </si>
  <si>
    <t>GR\ Installation and commissioning K1S#4 Material cost\Vật tư lắp đặt và chạy thử cho máy tạo hình lốp ô tô số 4 Material cost\1LOT\Inv.00000130\ME00003\PO-4520001452: 23.04.24\PR-2200001721\ROD: 23.07.24</t>
  </si>
  <si>
    <t>AP-24-1953</t>
  </si>
  <si>
    <t>GR\ PSR Building Simualtion Update PSR Building Simulation Update\Phần mềm xây dựng mô phỏng PSR Building Simulation Update\1LOT\Inv.24VNS002\IF00398\PO-4510008474: 21.02.24\PR-2100009122\ROD: 19.07.24</t>
  </si>
  <si>
    <t>IF00398</t>
  </si>
  <si>
    <t>AP-24-1948</t>
  </si>
  <si>
    <t>GR\ Fabricated items installation for K1S#4 Material cost\Vật tư lắp đặt các hạng mục gia công cho máy K1S số 4 Material cost\1LOT\Inv.262\ME00003\PO-4520001459: 27.05.24\PR-2200001745\ROD: 12.07.24</t>
  </si>
  <si>
    <t>AP-24-1962</t>
  </si>
  <si>
    <t>GR\ Modify prevent Carbon contanmination by control the status of Hoppermout Material cost\Vật tư để sửa đổi ngăn ngừa ô nhiễm carbon bằng cách kiểm soát trạng thái của nắp miệng phễu Material cost\1LOT\Inv.00000044\ME00542\PO-4520001461: 05.06.24\PR-2200001730\ROD: 12.07.24</t>
  </si>
  <si>
    <t>ME00542</t>
  </si>
  <si>
    <t>AP-24-1958</t>
  </si>
  <si>
    <t>GR\ Installation cable tray and re-wiring for substation BB#1 Material cost\Vật tư lắp đặt thang máng cáp và sắp xếp lại dây cáp tại trạm điện máy trộn cao su số 1 Material cost\1LOT\Inv.60\ME00086\PO-4520001463: 10.06.24\PR-2200001766\ROD: 12.07.24</t>
  </si>
  <si>
    <t>GR\ Installation cable tray and re-wiring for substation BB#2 Material cost\Vật tư lắp đặt thang máng cáp và sắp xếp lại dây cáp tại trạm điện máy trộn cao su số 2 Material cost\1LOT\Inv.60\ME00086\PO-4520001463: 10.06.24\PR-2200001766\ROD: 12.07.24</t>
  </si>
  <si>
    <t>GR\ Installation cable tray and re-wiring for substation BB#4 Material cost\Vật tư lắp đặt thang máng cáp và sắp xếp lại dây cáp tại trạm điện máy trộn cao su số 4 Material cost\1LOT\Inv.60\ME00086\PO-4520001463: 10.06.24\PR-2200001766\ROD: 12.07.24</t>
  </si>
  <si>
    <t>GR\ Installation cable tray and re-wiring for substation BB#5 Material cost\Vật tư lắp đặt thang máng cáp và sắp xếp lại dây cáp tại trạm điện máy trộn cao su số 5 Material cost\1LOT\Inv.60\ME00086\PO-4520001463: 10.06.24\PR-2200001766\ROD: 12.07.24</t>
  </si>
  <si>
    <t>AP-24-1949</t>
  </si>
  <si>
    <t>GR\ Side mold modification (11H73669-02 H00) PSR 205/65 R16 EP15WZ (VH66463-2)\Sửa khuôn PSR 205/65 R16 EP15WZ (VH66463-2) PSR 205/65 R16 EP15WZ (VH66463-2)\1SET\Inv.342\O167011\PO-4520001466: 18.06.24\PR-2200001775\ROD: 09.07.24</t>
  </si>
  <si>
    <t>GR\ Side mold modification (11H73669-02 H00) PSR 205/65 R16 EP15WZ (VH66463-3)\Sửa khuôn PSR 205/65 R16 EP15WZ (VH66463-3) PSR 205/65 R16 EP15WZ (VH66463-3)\1SET\Inv.342\O167011\PO-4520001466: 18.06.24\PR-2200001775\ROD: 09.07.24</t>
  </si>
  <si>
    <t>GR\ Side mold modification (11H73669-02 H00) PSR 205/65 R16 EP15WZ (VH66463-4)\Sửa khuôn PSR 205/65 R16 EP15WZ (VH66463-4) PSR 205/65 R16 EP15WZ (VH66463-4)\1SET\Inv.342\O167011\PO-4520001466: 18.06.24\PR-2200001775\ROD: 09.07.24</t>
  </si>
  <si>
    <t>GR\ Side mold modification (11H78606-02 H00) PSR 265/60 R18 684A6Z (VQ70417-2)\Sửa khuôn PSR 265/60 R18 684A6Z (VQ70417-2) PSR 265/60 R18 684A6Z (VQ70417-2)\1SET\Inv.342\O167011\PO-4520001466: 18.06.24\PR-2200001775\ROD: 09.07.24</t>
  </si>
  <si>
    <t>GR\ Side mold modification (11H78603-03 H00) PSR 265/65 R17 693BHZ (VQ70415-2)\Sửa khuôn PSR 265/65 R17 693BHZ (VQ70415-2) PSR 265/65 R17 693BHZ (VQ70415-2)\1SET\Inv.342\O167011\PO-4520001466: 18.06.24\PR-2200001775\ROD: 09.07.24</t>
  </si>
  <si>
    <t>GR\ Side mold modification (11H78603-03 H00) PSR 265/65 R17 693BHZ (VQ70415-3)\Sửa khuôn PSR 265/65 R17 693BHZ (VQ70415-3) PSR 265/65 R17 693BHZ (VQ70415-3)\1SET\Inv.342\O167011\PO-4520001466: 18.06.24\PR-2200001775\ROD: 09.07.24</t>
  </si>
  <si>
    <t>AP-24-1956</t>
  </si>
  <si>
    <t>GIT\24110100\ORR tire 59/80R63\Lốp ORR 59/80R63\1PC\Inv.NSXBS00137-10\OT00174\PO-4510008734: 03.07.24\PR-2100009376\ROD: 21.07.24</t>
  </si>
  <si>
    <t>AP-24-1985</t>
  </si>
  <si>
    <t>GR\ Install steel floor for building area Material cost\Vật tư lắp đặt sàn thép khu vực Building Material cost\1LOT\Inv.264\OT00168\PO-4510008594: 12.04.24\PR-2100009056\ROD: 12.07.24</t>
  </si>
  <si>
    <t>OT00168</t>
  </si>
  <si>
    <t>AP-24-1986</t>
  </si>
  <si>
    <t>GR\ Unloading LTXR51 #8, 9, 10, 11, 12 (blank)\Dịch vụ dỡ máy lưu hóa LTXR51 số 8, 9, 10, 11, 12 (blank)\1LOT\Inv.00002075\ME00033\PO-4520001462: 07.06.24\PR-2200001761\ROD: 31.07.24</t>
  </si>
  <si>
    <t>GR\ Unloading K1S #5 (blank)\Dịch vụ dỡ máy tạo hình lốp ô tô K1S số 5 (blank)\1LOT\Inv.00002075\ME00004\PO-4520001462: 07.06.24\PR-2200001761\ROD: 31.07.24</t>
  </si>
  <si>
    <t>AP-24-1896</t>
  </si>
  <si>
    <t>GR\ Power socket WCHG243322W-VN\Ổ cắm điện WCHG243322W-VN\2PCS\Inv.00000446\ME00082\PO-4510008674: 28.05.24\PR-2100009305\ROD: 30.07.24</t>
  </si>
  <si>
    <t>ME00082</t>
  </si>
  <si>
    <t>AP-24-1996</t>
  </si>
  <si>
    <t>GR\ Desktop PC braket protector 505x796mm\Bàn máy tính 505x796mm 505x796mm\1PCS\Inv.00000303\ME00082\PO-4510008671: 27.05.24\PR-2100009305\ROD: 25.07.24</t>
  </si>
  <si>
    <t>AP-24-1809</t>
  </si>
  <si>
    <t>Trucking fee\ Side mold modification (11H73669-02 H00) PSR 205/65 R16 EP15WZ (VH66463-2)\Sửa khuôn PSR 205/65 R16 EP15WZ (VH66463-2) PSR 205/65 R16 EP15WZ (VH66463-2)\1SET\Inv.342\O167011\PO-4520001466: 18.06.24\PR-2200001775\ROD: 09.07.24</t>
  </si>
  <si>
    <t>Trucking fee\ Side mold modification (11H73669-02 H00) PSR 205/65 R16 EP15WZ (VH66463-3)\Sửa khuôn PSR 205/65 R16 EP15WZ (VH66463-3) PSR 205/65 R16 EP15WZ (VH66463-3)\1SET\Inv.342\O167011\PO-4520001466: 18.06.24\PR-2200001775\ROD: 09.07.24</t>
  </si>
  <si>
    <t>Trucking fee\ Side mold modification (11H73669-02 H00) PSR 205/65 R16 EP15WZ (VH66463-4)\Sửa khuôn PSR 205/65 R16 EP15WZ (VH66463-4) PSR 205/65 R16 EP15WZ (VH66463-4)\1SET\Inv.342\O167011\PO-4520001466: 18.06.24\PR-2200001775\ROD: 09.07.24</t>
  </si>
  <si>
    <t>Trucking fee\ Side mold modification (11H78606-02 H00) PSR 265/60 R18 684A6Z (VQ70417-2)\Sửa khuôn PSR 265/60 R18 684A6Z (VQ70417-2) PSR 265/60 R18 684A6Z (VQ70417-2)\1SET\Inv.342\O167011\PO-4520001466: 18.06.24\PR-2200001775\ROD: 09.07.24</t>
  </si>
  <si>
    <t>Trucking fee\ Side mold modification (11H78603-03 H00) PSR 265/65 R17 693BHZ (VQ70415-3)\Sửa khuôn PSR 265/65 R17 693BHZ (VQ70415-3) PSR 265/65 R17 693BHZ (VQ70415-3)\1SET\Inv.342\O167011\PO-4520001466: 18.06.24\PR-2200001775\ROD: 09.07.24</t>
  </si>
  <si>
    <t>AP-24-1969</t>
  </si>
  <si>
    <t>AP-24-1793</t>
  </si>
  <si>
    <t>Deposit\ IAR Ins. for CIP from 01.Jul to 31.Jul.24\MSIG\00004357</t>
  </si>
  <si>
    <t>ME00998</t>
  </si>
  <si>
    <t>AP-24-1781</t>
  </si>
  <si>
    <t>GR\ Drum test #10 installation Labor cost\Dịch vụ lắp đặt máy kiểm tra lốp số 10 Labor cost\1LOT\Inv.00000094\ME00056\PO-4520001443: 15.02.24\PR-2200001678\ROD: 02.07.24</t>
  </si>
  <si>
    <t>AP-24-1811</t>
  </si>
  <si>
    <t>Storage fee\ Sitemanager gateway &lt;1529&gt; PC40000021\Cổng quản lý trang web PC40000021\1SET\Inv.NHV241365\ME00052\PO-4520001450: 23.04.24\PR-2200001650\ROD: 26.07.24</t>
  </si>
  <si>
    <t>AP-24-2054</t>
  </si>
  <si>
    <t>PIT\Tianjin\Commissioning\Ban Guofu\InvJR20240529C</t>
  </si>
  <si>
    <t>Other fee</t>
  </si>
  <si>
    <t>PIT\Tianjin\Liu JunBiao\InvJR20240529C</t>
  </si>
  <si>
    <t>PIT\Tianjin\Pham Thanh Khiem\InvJR20240529C</t>
  </si>
  <si>
    <t>AP-24-2056</t>
  </si>
  <si>
    <t>Import fee\ Sitemanager gateway &lt;1529&gt; PC40000021\Cổng quản lý trang web PC40000021\1SET\Inv.NHV241365\ME00052\PO-4520001450: 23.04.24\PR-2200001650\ROD: 26.07.24</t>
  </si>
  <si>
    <t>AP-24-2051</t>
  </si>
  <si>
    <t>Import fee\ Hydraulic curing press LT-XR51 (15-22") LT-XR51 (15-22")\Máy lưu hóa sử dụng thủy lực LT-XR51 (đường kính lốp từ 15 -&gt; 22 inch) LT-XR51 (15-22")\5SET\Inv.22365131-002\ME00033\PO-4520001322: 25.04.23\PR-2200001504\ROD: 24.07.24</t>
  </si>
  <si>
    <t>Import fee\ Hydraulic unit for LTXR51 HPU\Bộ nguồn thủy lực cho máy lưu hóa LTX51 HPU\1SET\Inv.22365131-002\ME00033\PO-4520001322: 25.04.23\PR-2200001504\ROD: 24.07.24</t>
  </si>
  <si>
    <t>Import fee\ Fabricated items installation for K1S#4 Material cost\Vật tư lắp đặt các hạng mục gia công cho máy K1S số 4 Material cost\1LOT\Inv.262\ME00003\PO-4520001459: 27.05.24\PR-2200001745\ROD: 12.07.24</t>
  </si>
  <si>
    <t>Import fee\ Install steel floor for building area Material cost\Vật tư lắp đặt sàn thép khu vực Building Material cost\1LOT\Inv.264\OT00168\PO-4510008594: 12.04.24\PR-2100009056\ROD: 12.07.24</t>
  </si>
  <si>
    <t>Import fee\ Installation cable tray and re-wiring for substation BB#1 Material cost\Vật tư lắp đặt thang máng cáp và sắp xếp lại dây cáp tại trạm điện máy trộn cao su số 1 Material cost\1LOT\Inv.60\ME00086\PO-4520001463: 10.06.24\PR-2200001766\ROD: 12.07.24</t>
  </si>
  <si>
    <t>Import fee\ Installation cable tray and re-wiring for substation BB#2 Material cost\Vật tư lắp đặt thang máng cáp và sắp xếp lại dây cáp tại trạm điện máy trộn cao su số 2 Material cost\1LOT\Inv.60\ME00086\PO-4520001463: 10.06.24\PR-2200001766\ROD: 12.07.24</t>
  </si>
  <si>
    <t>Import fee\ Installation cable tray and re-wiring for substation BB#4 Material cost\Vật tư lắp đặt thang máng cáp và sắp xếp lại dây cáp tại trạm điện máy trộn cao su số 4 Material cost\1LOT\Inv.60\ME00086\PO-4520001463: 10.06.24\PR-2200001766\ROD: 12.07.24</t>
  </si>
  <si>
    <t>Import fee\ Installation cable tray and re-wiring for substation BB#5 Material cost\Vật tư lắp đặt thang máng cáp và sắp xếp lại dây cáp tại trạm điện máy trộn cao su số 5 Material cost\1LOT\Inv.60\ME00086\PO-4520001463: 10.06.24\PR-2200001766\ROD: 12.07.24</t>
  </si>
  <si>
    <t>Import fee\ Modify prevent Carbon contanmination by control the status of Hoppermout Material cost\Vật tư để sửa đổi ngăn ngừa ô nhiễm carbon bằng cách kiểm soát trạng thái của nắp miệng phễu Material cost\1LOT\Inv.00000044\ME00542\PO-4520001461: 05.06.24\PR-2200001730\ROD: 12.07.24</t>
  </si>
  <si>
    <t>Import fee\ Installation and commissioning K1S#4 Material cost\Vật tư lắp đặt và chạy thử cho máy tạo hình lốp ô tô số 4 Material cost\1LOT\Inv.00000130\ME00003\PO-4520001452: 23.04.24\PR-2200001721\ROD: 23.07.24</t>
  </si>
  <si>
    <t>Import fee\ Safety cover and ladder for Curing machine #712 Material cost\Vật tư lắp đặt nắp và thang an toàn cho máy lưu hóa #712 Material cost\1LOT\Inv.288\ME00033\PO-4520001468: 22.06.24\PR-2200001755\ROD: 26.07.24</t>
  </si>
  <si>
    <t>Import fee\ Desktop PC braket protector 505x796mm\Bàn máy tính 505x796mm 505x796mm\1PCS\Inv.00000303\ME00082\PO-4510008671: 27.05.24\PR-2100009305\ROD: 25.07.24</t>
  </si>
  <si>
    <t>Import fee\ Power socket WCHG243322W-VN\Ổ cắm điện WCHG243322W-VN\2PCS\Inv.00000446\ME00082\PO-4510008674: 28.05.24\PR-2100009305\ROD: 30.07.24</t>
  </si>
  <si>
    <t>Import fee\ Supply energy to K1S#4 Material cost\Vật tư cung cấp năng lượng cho máy tạo hình lốp ô tô số 4 Material cost\1LOT\Inv.00000047\ME00003\PO-4520001458: 21.05.24\PR-2200001733\ROD: 29.07.24</t>
  </si>
  <si>
    <t>Import fee\ Material cost DWG : 000111, 000113, 000114\Vật tư lắp đặt lốp xe Bridgestone lớn nhất  DWG : 000111, 000113, 000114\1LOT\Inv.00000145\OT00174\PO-4520001469: 26.06.24\PR-2200001780\ROD: 30.07.24</t>
  </si>
  <si>
    <t>AP-24-2029</t>
  </si>
  <si>
    <t>Hotel\ Kojima Satoshi\ 24.6-19.07.24\ Inv.261</t>
  </si>
  <si>
    <t>Import fee\ CDs vs Trucking\ K1S#4 \Máy tạo hình lốp K1S#4 (blank)\1SET\Inv.24VN006\ME00003\PO-4520001135: 06.05.22\PR-2200001318\ROD: 17.04.24</t>
  </si>
  <si>
    <t>Import fee\CDs vs Trucking\ Mono Bead HRD Device Mono Bead HRD Device\Thiết bị tạo vành Mono Bead HRD Device\1SET\Inv.24VN005\ME00042\PO-4520001330: 16.05.23\PR-2200001526\ROD: 22.05.24</t>
  </si>
  <si>
    <t>Import fee\ CDs vs Trucking\ K1S#5 (blank)\Máy tạo hình lốp số 5 (blank)\1SET\Inv.24VN009\ME00004\PO-4520001135: 06.05.22\PR-2200001319\ROD: 16.05.24</t>
  </si>
  <si>
    <t>AP-24-2012</t>
  </si>
  <si>
    <t>Air ticket\ RTA 8311\15.7-23.8\ M. Nishimoto\ 4541</t>
  </si>
  <si>
    <t>Curing tool verification uprgrade</t>
  </si>
  <si>
    <t>Control points for unattended areas (install camera to monitoring at Pit Curing + PH2)</t>
  </si>
  <si>
    <t xml:space="preserve">Install CO2 FM200 fire suppression system for Drum Test M/C 1 mc Y23) 9.17 kUSD/mc  (install for m/c  No 10) </t>
  </si>
  <si>
    <t>Spoil mold for replacement</t>
  </si>
  <si>
    <t>Spare shaping drum for 17 inch</t>
  </si>
  <si>
    <t>Laser Mold cleaning machine</t>
  </si>
  <si>
    <t>Upgrade logic PC for 07 Rimflows &amp; 01 D machine</t>
  </si>
  <si>
    <t>Improve interlock mixer condition ( BB#1, 2,3,4,5 )</t>
  </si>
  <si>
    <t xml:space="preserve">Cover for water piping of Builiding chiller </t>
  </si>
  <si>
    <t>Install Air conditioner for material storage</t>
  </si>
  <si>
    <t>Install dehumidifiers for Building area to control Humidity (AoM)</t>
  </si>
  <si>
    <t>New belt Twin-Fegs Y24</t>
  </si>
  <si>
    <t>Install power station roof (zone C&amp;D)</t>
  </si>
  <si>
    <t>Install addition mesh door for remain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</si>
</sst>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5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&quot;▲&quot;#,##0"/>
    <numFmt numFmtId="165" formatCode="&quot;?&quot;#,##0.00;[Red]\-&quot;?&quot;#,##0.00"/>
    <numFmt numFmtId="166" formatCode="_-&quot;?&quot;* #,##0_-;\-&quot;?&quot;* #,##0_-;_-&quot;?&quot;* &quot;-&quot;_-;_-@_-"/>
    <numFmt numFmtId="167" formatCode="_-&quot;￡&quot;* #,##0.00_-;\-&quot;￡&quot;* #,##0.00_-;_-&quot;￡&quot;* &quot;-&quot;??_-;_-@_-"/>
    <numFmt numFmtId="168" formatCode="&quot;¥&quot;#,##0.00;[Red]\-&quot;¥&quot;#,##0.00"/>
    <numFmt numFmtId="169" formatCode="&quot;¥&quot;#,##0;[Red]\-&quot;¥&quot;#,##0"/>
    <numFmt numFmtId="170" formatCode="0;[Red]\-0"/>
    <numFmt numFmtId="171" formatCode="[DBNum3][$-411]&quot;平成&quot;e&quot;年&quot;m&quot;月&quot;d&quot;日&quot;"/>
    <numFmt numFmtId="172" formatCode="yy/mm/dd"/>
    <numFmt numFmtId="173" formatCode="[$-411]ge\.mm\.dd"/>
    <numFmt numFmtId="174" formatCode="0.0_)"/>
    <numFmt numFmtId="175" formatCode="#,##0.000"/>
    <numFmt numFmtId="176" formatCode="0.0000_)"/>
    <numFmt numFmtId="177" formatCode="General_)"/>
    <numFmt numFmtId="178" formatCode="_(* #,##0.0_);_(* \(#,##0.00\);_(* &quot;-&quot;??_);_(@_)"/>
    <numFmt numFmtId="179" formatCode="0.000"/>
    <numFmt numFmtId="180" formatCode="&quot;fl&quot;#,##0_);\(&quot;fl&quot;#,##0\)"/>
    <numFmt numFmtId="181" formatCode="&quot;fl&quot;#,##0_);[Red]\(&quot;fl&quot;#,##0\)"/>
    <numFmt numFmtId="182" formatCode="&quot;fl&quot;#,##0.00_);\(&quot;fl&quot;#,##0.00\)"/>
    <numFmt numFmtId="183" formatCode="_-* #,##0_-;\-* #,##0_-;_-* &quot;-&quot;_-;_-@_-"/>
    <numFmt numFmtId="184" formatCode="#,##0;\(#,##0\)"/>
    <numFmt numFmtId="185" formatCode="\$#,##0\ ;\(\$#,##0\)"/>
    <numFmt numFmtId="186" formatCode="\t0.00%"/>
    <numFmt numFmtId="187" formatCode="\t#\ ??/??"/>
    <numFmt numFmtId="188" formatCode="_-[$€]\ * #,##0.00_-;\-[$€]\ * #,##0.00_-;_-[$€]\ * &quot;-&quot;??_-;_-@_-"/>
    <numFmt numFmtId="189" formatCode="_-* #,##0.00_-;\-* #,##0.00_-;_-* &quot;-&quot;??_-;_-@_-"/>
    <numFmt numFmtId="190" formatCode="0.00000000"/>
    <numFmt numFmtId="191" formatCode="0.0000000"/>
    <numFmt numFmtId="192" formatCode="_ * #,##0_)&quot;BEF&quot;_ ;_ * \(#,##0\)&quot;BEF&quot;_ ;_ * &quot;-&quot;_)&quot;BEF&quot;_ ;_ @_ "/>
    <numFmt numFmtId="193" formatCode="_ * #,##0.00_)&quot;BEF&quot;_ ;_ * \(#,##0.00\)&quot;BEF&quot;_ ;_ * &quot;-&quot;??_)&quot;BEF&quot;_ ;_ @_ "/>
    <numFmt numFmtId="194" formatCode="0.00_)"/>
    <numFmt numFmtId="195" formatCode="_-[$€-2]* #,##0.00_-;\-[$€-2]* #,##0.00_-;_-[$€-2]* &quot;-&quot;??_-"/>
    <numFmt numFmtId="196" formatCode="[$-409]mmm\-yy;@"/>
    <numFmt numFmtId="197" formatCode="_-* #,##0\ &quot;$&quot;_-;\-* #,##0\ &quot;$&quot;_-;_-* &quot;-&quot;\ &quot;$&quot;_-;_-@_-"/>
    <numFmt numFmtId="198" formatCode="_-* #,##0.00\ &quot;$&quot;_-;\-* #,##0.00\ &quot;$&quot;_-;_-* &quot;-&quot;??\ &quot;$&quot;_-;_-@_-"/>
    <numFmt numFmtId="199" formatCode="\60\4\7\:"/>
    <numFmt numFmtId="200" formatCode="&quot;$&quot;\ #,##0.00;\(&quot;$&quot;\ #,##0.00\)"/>
    <numFmt numFmtId="201" formatCode="&quot;fl&quot;#,##0.00_);[Red]\(&quot;fl&quot;#,##0.00\)"/>
    <numFmt numFmtId="202" formatCode="_(&quot;fl&quot;* #,##0_);_(&quot;fl&quot;* \(#,##0\);_(&quot;fl&quot;* &quot;-&quot;_);_(@_)"/>
    <numFmt numFmtId="203" formatCode="_-&quot;$&quot;* #,##0_-;\-&quot;$&quot;* #,##0_-;_-&quot;$&quot;* &quot;-&quot;_-;_-@_-"/>
    <numFmt numFmtId="204" formatCode="_-&quot;$&quot;* #,##0.00_-;\-&quot;$&quot;* #,##0.00_-;_-&quot;$&quot;* &quot;-&quot;??_-;_-@_-"/>
    <numFmt numFmtId="205" formatCode="_-* #,##0\ _$_-;\-* #,##0\ _$_-;_-* &quot;-&quot;\ _$_-;_-@_-"/>
    <numFmt numFmtId="206" formatCode="_-* #,##0.00\ _$_-;\-* #,##0.00\ _$_-;_-* &quot;-&quot;??\ _$_-;_-@_-"/>
    <numFmt numFmtId="207" formatCode="&quot;¥&quot;#,##0_);[Red]\(&quot;¥&quot;#,##0\)"/>
    <numFmt numFmtId="208" formatCode="&quot;$&quot;#,##0.00;[Red]\-&quot;$&quot;#,##0.00"/>
    <numFmt numFmtId="209" formatCode="&quot;¥&quot;#,##0;&quot;¥&quot;&quot;¥&quot;&quot;¥&quot;&quot;¥&quot;\-#,##0"/>
    <numFmt numFmtId="210" formatCode="#,##0;[Red]&quot;-&quot;#,##0"/>
    <numFmt numFmtId="211" formatCode="&quot;¥&quot;#,##0;[Red]&quot;¥&quot;&quot;¥&quot;&quot;¥&quot;&quot;¥&quot;\-#,##0"/>
    <numFmt numFmtId="212" formatCode="#,##0.00;[Red]&quot;-&quot;#,##0.00"/>
    <numFmt numFmtId="213" formatCode="&quot;¥&quot;#,##0.00_);[Red]\(&quot;¥&quot;#,##0.00\)"/>
    <numFmt numFmtId="214" formatCode="_-* #,##0.00_-;&quot;¥&quot;&quot;¥&quot;\-* #,##0.00_-;_-* &quot;-&quot;??_-;_-@_-"/>
    <numFmt numFmtId="215" formatCode="_-&quot;¥&quot;* #,##0.00_-;&quot;¥&quot;&quot;¥&quot;\-&quot;¥&quot;* #,##0.00_-;_-&quot;¥&quot;* &quot;-&quot;??_-;_-@_-"/>
    <numFmt numFmtId="216" formatCode="&quot;¥&quot;#,##0.00;&quot;¥&quot;&quot;¥&quot;&quot;¥&quot;&quot;¥&quot;\-#,##0.00"/>
    <numFmt numFmtId="217" formatCode="&quot;¥&quot;#,##0.00;[Red]&quot;¥&quot;&quot;¥&quot;&quot;¥&quot;&quot;¥&quot;\-#,##0.00"/>
    <numFmt numFmtId="218" formatCode="[DBNum3]#,##0;[Red]\-#,##0"/>
    <numFmt numFmtId="219" formatCode="* \(#,##0\);* #,##0_);&quot;-&quot;??_);@"/>
    <numFmt numFmtId="220" formatCode="* #,##0_);* \(#,##0\);&quot;-&quot;??_);@"/>
    <numFmt numFmtId="221" formatCode="&quot;US$&quot;#,##0_);[Red]\(&quot;US$&quot;#,##0\)"/>
    <numFmt numFmtId="222" formatCode="#,##0.0;[Red]\(#,##0.0\)"/>
    <numFmt numFmtId="223" formatCode="#\ ##0\ "/>
    <numFmt numFmtId="224" formatCode="0000000000000"/>
    <numFmt numFmtId="225" formatCode="0.000_)"/>
    <numFmt numFmtId="226" formatCode="&quot;$&quot;#,##0\ ;\(&quot;$&quot;#,##0\)"/>
    <numFmt numFmtId="227" formatCode="* 0;* \-0;* 0;* @"/>
    <numFmt numFmtId="228" formatCode="* 0.00;* \-0.00;* 0.00;* @"/>
    <numFmt numFmtId="229" formatCode="\+\ #\ ??/??;[Red]\ \-\ #\ ??/??"/>
    <numFmt numFmtId="230" formatCode="0.0%"/>
    <numFmt numFmtId="231" formatCode="*-;*-;*-;*-"/>
    <numFmt numFmtId="232" formatCode="&quot;Cr$&quot;\ #,##0_);[Red]\(&quot;Cr$&quot;\ #,##0\)"/>
    <numFmt numFmtId="233" formatCode="_(&quot;R$&quot;* #,##0.00_);_(&quot;R$&quot;* \(#,##0.00\);_(&quot;R$&quot;* &quot;-&quot;??_);_(@_)"/>
    <numFmt numFmtId="234" formatCode="_ * #,##0.00_)&quot;￡&quot;_ ;_ * \(#,##0.00\)&quot;￡&quot;_ ;_ * &quot;-&quot;??_)&quot;￡&quot;_ ;_ @_ "/>
    <numFmt numFmtId="235" formatCode="* @"/>
    <numFmt numFmtId="236" formatCode="@* "/>
    <numFmt numFmtId="237" formatCode="&quot;L.&quot;\ #,##0;[Red]\-&quot;L.&quot;\ #,##0"/>
    <numFmt numFmtId="238" formatCode="#.###00"/>
    <numFmt numFmtId="239" formatCode="&quot;¥&quot;#,##0.00;[Red]&quot;¥&quot;\-#,##0.00"/>
    <numFmt numFmtId="240" formatCode="&quot;¥&quot;#,##0;[Red]&quot;¥&quot;\-#,##0"/>
    <numFmt numFmtId="241" formatCode="&quot;AP-22-&quot;000#"/>
    <numFmt numFmtId="242" formatCode="_(* #,##0.0000_);_(* \(#,##0.0000\);_(* &quot;-&quot;??_);_(@_)"/>
  </numFmts>
  <fonts count="2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sz val="10"/>
      <name val="Arial"/>
      <family val="2"/>
    </font>
    <font>
      <sz val="9"/>
      <name val="ＭＳ Ｐゴシック"/>
      <family val="3"/>
      <charset val="128"/>
    </font>
    <font>
      <sz val="11"/>
      <name val="?? ??"/>
      <family val="1"/>
    </font>
    <font>
      <sz val="11"/>
      <name val="ＭＳ Ｐゴシック"/>
      <family val="3"/>
      <charset val="128"/>
    </font>
    <font>
      <sz val="14"/>
      <name val="Terminal"/>
      <family val="3"/>
      <charset val="255"/>
    </font>
    <font>
      <sz val="12"/>
      <name val="??UAAA"/>
      <family val="1"/>
    </font>
    <font>
      <sz val="10"/>
      <name val="Helv"/>
      <family val="2"/>
    </font>
    <font>
      <sz val="10"/>
      <color indexed="8"/>
      <name val="MS Sans Serif"/>
      <family val="2"/>
    </font>
    <font>
      <sz val="12"/>
      <name val="Times New Roman"/>
      <family val="1"/>
    </font>
    <font>
      <u/>
      <sz val="11"/>
      <color indexed="36"/>
      <name val="lr oSVbN"/>
      <family val="3"/>
      <charset val="128"/>
    </font>
    <font>
      <sz val="14"/>
      <name val="lr ¾©"/>
      <family val="1"/>
    </font>
    <font>
      <sz val="11"/>
      <name val="lr oSVbN"/>
      <family val="3"/>
      <charset val="128"/>
    </font>
    <font>
      <u/>
      <sz val="8"/>
      <color indexed="12"/>
      <name val="Times New Roman"/>
      <family val="1"/>
    </font>
    <font>
      <sz val="12"/>
      <name val="lr SVbN"/>
      <family val="3"/>
    </font>
    <font>
      <sz val="12"/>
      <name val="ＭＳ 明朝"/>
      <family val="1"/>
      <charset val="128"/>
    </font>
    <font>
      <sz val="11"/>
      <name val="ＭＳ 明朝"/>
      <family val="1"/>
      <charset val="128"/>
    </font>
    <font>
      <sz val="8"/>
      <name val="ＭＳ 明朝"/>
      <family val="1"/>
      <charset val="128"/>
    </font>
    <font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name val="????"/>
      <family val="3"/>
    </font>
    <font>
      <sz val="9"/>
      <name val="Times New Roman"/>
      <family val="1"/>
    </font>
    <font>
      <b/>
      <sz val="12"/>
      <name val="Helv"/>
      <family val="2"/>
    </font>
    <font>
      <sz val="12"/>
      <name val="Helv"/>
      <family val="2"/>
    </font>
    <font>
      <sz val="11"/>
      <color indexed="8"/>
      <name val="Calibri"/>
      <family val="2"/>
      <charset val="128"/>
    </font>
    <font>
      <sz val="11"/>
      <name val="Times New Roman"/>
      <family val="1"/>
    </font>
    <font>
      <sz val="10"/>
      <name val=".VnTime"/>
      <family val="2"/>
    </font>
    <font>
      <sz val="10"/>
      <name val="Times New Roman"/>
      <family val="1"/>
    </font>
    <font>
      <b/>
      <sz val="11"/>
      <color indexed="9"/>
      <name val="Calibri"/>
      <family val="2"/>
    </font>
    <font>
      <sz val="12"/>
      <name val="Arial"/>
      <family val="2"/>
    </font>
    <font>
      <sz val="10"/>
      <color indexed="24"/>
      <name val="Courier New"/>
      <family val="3"/>
    </font>
    <font>
      <sz val="10"/>
      <name val="MS Sans Serif"/>
      <family val="2"/>
    </font>
    <font>
      <b/>
      <sz val="20"/>
      <color indexed="8"/>
      <name val="Courier"/>
      <family val="3"/>
    </font>
    <font>
      <b/>
      <sz val="14"/>
      <color indexed="8"/>
      <name val="Courier"/>
      <family val="3"/>
    </font>
    <font>
      <b/>
      <sz val="12"/>
      <color indexed="8"/>
      <name val="Courier"/>
      <family val="3"/>
    </font>
    <font>
      <b/>
      <sz val="16"/>
      <color indexed="8"/>
      <name val="Courier"/>
      <family val="3"/>
    </font>
    <font>
      <b/>
      <sz val="10"/>
      <color indexed="8"/>
      <name val="Courier"/>
      <family val="3"/>
    </font>
    <font>
      <b/>
      <sz val="18"/>
      <color indexed="8"/>
      <name val="Courier"/>
      <family val="3"/>
    </font>
    <font>
      <b/>
      <i/>
      <sz val="16"/>
      <color indexed="8"/>
      <name val="Courier"/>
      <family val="3"/>
    </font>
    <font>
      <u/>
      <sz val="7.5"/>
      <color indexed="36"/>
      <name val="Arial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6"/>
      <name val="Times New Roman"/>
      <family val="1"/>
    </font>
    <font>
      <b/>
      <sz val="12"/>
      <name val="Arial"/>
      <family val="2"/>
    </font>
    <font>
      <b/>
      <sz val="18"/>
      <name val="Arial"/>
      <family val="2"/>
    </font>
    <font>
      <i/>
      <sz val="12"/>
      <name val="Arial"/>
      <family val="2"/>
    </font>
    <font>
      <u/>
      <sz val="7.5"/>
      <color indexed="12"/>
      <name val="Arial"/>
      <family val="2"/>
    </font>
    <font>
      <sz val="10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1"/>
      <color theme="1"/>
      <name val="Calibri"/>
      <family val="2"/>
      <charset val="128"/>
      <scheme val="minor"/>
    </font>
    <font>
      <sz val="10"/>
      <name val="Arial CE"/>
      <family val="2"/>
      <charset val="238"/>
    </font>
    <font>
      <sz val="11"/>
      <color indexed="20"/>
      <name val="Calibri"/>
      <family val="2"/>
    </font>
    <font>
      <b/>
      <i/>
      <sz val="10"/>
      <name val="Arial"/>
      <family val="2"/>
    </font>
    <font>
      <b/>
      <sz val="11"/>
      <color indexed="63"/>
      <name val="Calibri"/>
      <family val="2"/>
    </font>
    <font>
      <sz val="8"/>
      <name val="Times New Roman"/>
      <family val="1"/>
    </font>
    <font>
      <b/>
      <sz val="11"/>
      <name val="Helv"/>
      <family val="2"/>
    </font>
    <font>
      <sz val="14"/>
      <name val="ＭＳ ゴシック"/>
      <family val="3"/>
      <charset val="128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u/>
      <sz val="9"/>
      <color indexed="12"/>
      <name val="ﾋﾎﾌ "/>
      <family val="3"/>
      <charset val="255"/>
    </font>
    <font>
      <u/>
      <sz val="9"/>
      <color indexed="36"/>
      <name val="ﾋﾎﾌ "/>
      <family val="3"/>
      <charset val="255"/>
    </font>
    <font>
      <b/>
      <sz val="18"/>
      <color indexed="56"/>
      <name val="Cambria"/>
      <family val="2"/>
    </font>
    <font>
      <sz val="10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i/>
      <sz val="14"/>
      <name val="ＭＳ Ｐゴシック"/>
      <family val="3"/>
      <charset val="128"/>
    </font>
    <font>
      <sz val="14"/>
      <name val="CordiaUPC"/>
      <family val="2"/>
    </font>
    <font>
      <sz val="12"/>
      <name val="바탕체"/>
      <family val="3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4"/>
      <name val="뼻뮝"/>
      <family val="3"/>
    </font>
    <font>
      <sz val="12"/>
      <name val="뼻뮝"/>
      <family val="3"/>
    </font>
    <font>
      <b/>
      <sz val="12"/>
      <color indexed="16"/>
      <name val="굴림체"/>
      <family val="3"/>
    </font>
    <font>
      <sz val="12"/>
      <name val="굴림체"/>
      <family val="3"/>
    </font>
    <font>
      <u/>
      <sz val="11"/>
      <color indexed="12"/>
      <name val="俵俽 俹僑僔僢僋"/>
      <family val="3"/>
      <charset val="128"/>
    </font>
    <font>
      <sz val="8"/>
      <color indexed="12"/>
      <name val="Helv"/>
      <family val="2"/>
    </font>
    <font>
      <sz val="12"/>
      <name val="宋体"/>
      <charset val="128"/>
    </font>
    <font>
      <sz val="12"/>
      <name val="新細明體"/>
      <family val="1"/>
      <charset val="136"/>
    </font>
    <font>
      <sz val="11"/>
      <name val="柧挬"/>
      <family val="3"/>
      <charset val="128"/>
    </font>
    <font>
      <sz val="10"/>
      <name val="俵俽 柧挬"/>
      <family val="3"/>
      <charset val="128"/>
    </font>
    <font>
      <u/>
      <sz val="11"/>
      <color indexed="36"/>
      <name val="俵俽 俹僑僔僢僋"/>
      <family val="3"/>
      <charset val="128"/>
    </font>
    <font>
      <sz val="14"/>
      <name val="ＭＳ 明朝"/>
      <family val="1"/>
      <charset val="128"/>
    </font>
    <font>
      <sz val="11"/>
      <name val="明朝"/>
      <family val="3"/>
      <charset val="128"/>
    </font>
    <font>
      <sz val="11"/>
      <color theme="1"/>
      <name val="Tahoma"/>
      <family val="2"/>
      <charset val="128"/>
    </font>
    <font>
      <sz val="12"/>
      <name val="ＭＳ Ｐゴシック"/>
      <family val="3"/>
      <charset val="128"/>
    </font>
    <font>
      <sz val="11"/>
      <color indexed="8"/>
      <name val="Tahoma"/>
      <family val="2"/>
      <charset val="128"/>
    </font>
    <font>
      <sz val="11"/>
      <name val="明朝"/>
      <family val="1"/>
      <charset val="128"/>
    </font>
    <font>
      <sz val="9"/>
      <name val="明朝"/>
      <family val="1"/>
      <charset val="128"/>
    </font>
    <font>
      <sz val="11"/>
      <color indexed="8"/>
      <name val="ＭＳ Ｐゴシック"/>
      <family val="3"/>
      <charset val="128"/>
    </font>
    <font>
      <sz val="14"/>
      <name val="明朝"/>
      <family val="3"/>
      <charset val="128"/>
    </font>
    <font>
      <sz val="12"/>
      <name val="丸ｺﾞｼｯｸ"/>
      <family val="3"/>
      <charset val="128"/>
    </font>
    <font>
      <sz val="14"/>
      <name val="ＭＳ ・団"/>
      <family val="3"/>
      <charset val="128"/>
    </font>
    <font>
      <sz val="10"/>
      <color theme="1"/>
      <name val="arial "/>
    </font>
    <font>
      <b/>
      <sz val="10"/>
      <color theme="1"/>
      <name val="arial "/>
    </font>
    <font>
      <b/>
      <sz val="10"/>
      <color rgb="FFFF0000"/>
      <name val="arial "/>
    </font>
    <font>
      <sz val="10"/>
      <color rgb="FFFF0000"/>
      <name val="arial "/>
    </font>
    <font>
      <sz val="10"/>
      <name val="arial "/>
    </font>
    <font>
      <b/>
      <sz val="2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0000FF"/>
      <name val="arial "/>
    </font>
    <font>
      <sz val="10"/>
      <color rgb="FF0000FF"/>
      <name val="arial "/>
    </font>
    <font>
      <b/>
      <sz val="10"/>
      <name val="arial "/>
    </font>
    <font>
      <b/>
      <sz val="11"/>
      <name val="Calibri"/>
      <family val="2"/>
      <scheme val="minor"/>
    </font>
    <font>
      <b/>
      <sz val="26"/>
      <color rgb="FF0000FF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9"/>
      <name val="ＭＳ Ｐゴシック"/>
      <family val="3"/>
      <charset val="128"/>
    </font>
    <font>
      <b/>
      <sz val="8"/>
      <name val="Times New Roman"/>
      <family val="1"/>
    </font>
    <font>
      <b/>
      <sz val="8"/>
      <color indexed="8"/>
      <name val="Times New Roman"/>
      <family val="1"/>
    </font>
    <font>
      <b/>
      <sz val="8"/>
      <color indexed="12"/>
      <name val="Times New Roman"/>
      <family val="1"/>
    </font>
    <font>
      <b/>
      <sz val="10"/>
      <color indexed="12"/>
      <name val="Arial"/>
      <family val="2"/>
    </font>
    <font>
      <sz val="7"/>
      <name val="Times New Roman"/>
      <family val="1"/>
    </font>
    <font>
      <sz val="8"/>
      <color indexed="8"/>
      <name val="Times New Roman"/>
      <family val="1"/>
    </font>
    <font>
      <sz val="11"/>
      <name val="Tms Rmn"/>
      <family val="1"/>
    </font>
    <font>
      <b/>
      <sz val="9"/>
      <name val="Times New Roman"/>
      <family val="1"/>
    </font>
    <font>
      <sz val="11"/>
      <name val="Courier New"/>
      <family val="3"/>
    </font>
    <font>
      <u/>
      <sz val="10"/>
      <color indexed="14"/>
      <name val="MS Sans Serif"/>
      <family val="2"/>
    </font>
    <font>
      <i/>
      <sz val="8"/>
      <color indexed="12"/>
      <name val="Times New Roman"/>
      <family val="1"/>
    </font>
    <font>
      <b/>
      <sz val="12"/>
      <color indexed="24"/>
      <name val="Times New Roman"/>
      <family val="1"/>
    </font>
    <font>
      <sz val="10"/>
      <color indexed="24"/>
      <name val="Times New Roman"/>
      <family val="1"/>
    </font>
    <font>
      <u/>
      <sz val="11"/>
      <color theme="10"/>
      <name val="Calibri"/>
      <family val="2"/>
      <scheme val="minor"/>
    </font>
    <font>
      <sz val="7"/>
      <name val="Small Fonts"/>
      <family val="3"/>
      <charset val="128"/>
    </font>
    <font>
      <i/>
      <sz val="10"/>
      <name val="Helv"/>
      <family val="2"/>
    </font>
    <font>
      <b/>
      <sz val="8"/>
      <color indexed="10"/>
      <name val="Times New Roman"/>
      <family val="1"/>
    </font>
    <font>
      <b/>
      <sz val="9"/>
      <color indexed="12"/>
      <name val="Times New Roman"/>
      <family val="1"/>
    </font>
    <font>
      <u/>
      <sz val="11"/>
      <name val="ＭＳ Ｐゴシック"/>
      <family val="3"/>
      <charset val="128"/>
    </font>
    <font>
      <i/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trike/>
      <sz val="11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・団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3366FF"/>
      <name val="Calibri"/>
      <family val="2"/>
    </font>
    <font>
      <b/>
      <sz val="10"/>
      <color indexed="8"/>
      <name val="Times New Roman"/>
      <family val="2"/>
    </font>
    <font>
      <b/>
      <sz val="10"/>
      <name val="Times New Roman"/>
      <family val="1"/>
    </font>
    <font>
      <b/>
      <sz val="10"/>
      <color indexed="8"/>
      <name val="Calibri"/>
      <family val="2"/>
      <scheme val="minor"/>
    </font>
    <font>
      <i/>
      <sz val="8"/>
      <color theme="2"/>
      <name val="Calibri"/>
      <family val="2"/>
      <scheme val="minor"/>
    </font>
    <font>
      <sz val="10"/>
      <color theme="2"/>
      <name val="arial "/>
    </font>
    <font>
      <b/>
      <sz val="10"/>
      <color theme="2"/>
      <name val="arial "/>
    </font>
    <font>
      <sz val="11"/>
      <color rgb="FF80008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indexed="9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indexed="8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9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gray125">
        <fgColor indexed="22"/>
      </patternFill>
    </fill>
    <fill>
      <patternFill patternType="solid">
        <fgColor indexed="13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/>
      <top style="thin">
        <color indexed="64"/>
      </top>
      <bottom/>
      <diagonal/>
    </border>
    <border>
      <left style="dotted">
        <color auto="1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26">
    <xf numFmtId="0" fontId="0" fillId="0" borderId="0"/>
    <xf numFmtId="43" fontId="1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0" fontId="4" fillId="0" borderId="0"/>
    <xf numFmtId="164" fontId="5" fillId="0" borderId="4" applyFont="0" applyFill="0" applyBorder="0" applyAlignment="0" applyProtection="0">
      <alignment vertical="center"/>
    </xf>
    <xf numFmtId="164" fontId="5" fillId="0" borderId="4" applyFont="0" applyFill="0" applyBorder="0" applyAlignment="0" applyProtection="0">
      <alignment vertical="center"/>
    </xf>
    <xf numFmtId="164" fontId="5" fillId="0" borderId="4" applyFont="0" applyFill="0" applyBorder="0" applyAlignment="0" applyProtection="0">
      <alignment vertical="center"/>
    </xf>
    <xf numFmtId="164" fontId="5" fillId="0" borderId="4" applyFont="0" applyFill="0" applyBorder="0" applyAlignment="0" applyProtection="0">
      <alignment vertical="center"/>
    </xf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40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8" fillId="0" borderId="0"/>
    <xf numFmtId="9" fontId="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10" fillId="0" borderId="0"/>
    <xf numFmtId="0" fontId="3" fillId="0" borderId="0">
      <alignment vertical="top"/>
    </xf>
    <xf numFmtId="0" fontId="11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9" fontId="4" fillId="5" borderId="0"/>
    <xf numFmtId="0" fontId="4" fillId="0" borderId="0"/>
    <xf numFmtId="0" fontId="4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40" fontId="15" fillId="0" borderId="0" applyFont="0" applyFill="0" applyBorder="0" applyAlignment="0" applyProtection="0"/>
    <xf numFmtId="3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/>
    <xf numFmtId="38" fontId="18" fillId="0" borderId="7" applyNumberFormat="0" applyFont="0" applyFill="0" applyBorder="0">
      <alignment horizontal="distributed" vertical="center" justifyLastLine="1"/>
    </xf>
    <xf numFmtId="38" fontId="19" fillId="0" borderId="0">
      <alignment vertical="top"/>
    </xf>
    <xf numFmtId="164" fontId="19" fillId="0" borderId="0" applyNumberFormat="0" applyFont="0" applyFill="0" applyBorder="0" applyProtection="0">
      <alignment vertical="center"/>
    </xf>
    <xf numFmtId="164" fontId="19" fillId="0" borderId="0" applyNumberFormat="0" applyFont="0" applyFill="0" applyBorder="0" applyProtection="0">
      <alignment vertical="top"/>
    </xf>
    <xf numFmtId="38" fontId="20" fillId="0" borderId="0" applyNumberFormat="0" applyFont="0" applyFill="0" applyBorder="0">
      <alignment vertical="center" wrapText="1"/>
    </xf>
    <xf numFmtId="38" fontId="18" fillId="0" borderId="0" applyNumberFormat="0" applyFont="0" applyFill="0" applyBorder="0">
      <alignment vertical="top" wrapText="1"/>
    </xf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170" fontId="22" fillId="0" borderId="0" applyFill="0" applyBorder="0" applyAlignment="0" applyProtection="0"/>
    <xf numFmtId="164" fontId="19" fillId="0" borderId="0" applyFont="0" applyFill="0" applyBorder="0" applyAlignment="0" applyProtection="0">
      <alignment vertical="center"/>
    </xf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9" borderId="0" applyNumberFormat="0" applyBorder="0" applyAlignment="0" applyProtection="0"/>
    <xf numFmtId="0" fontId="21" fillId="12" borderId="0" applyNumberFormat="0" applyBorder="0" applyAlignment="0" applyProtection="0"/>
    <xf numFmtId="0" fontId="21" fillId="15" borderId="0" applyNumberFormat="0" applyBorder="0" applyAlignment="0" applyProtection="0"/>
    <xf numFmtId="171" fontId="18" fillId="0" borderId="0" applyFont="0" applyFill="0" applyBorder="0" applyAlignment="0">
      <alignment horizontal="centerContinuous"/>
    </xf>
    <xf numFmtId="172" fontId="19" fillId="0" borderId="0" applyFont="0" applyBorder="0" applyAlignment="0">
      <alignment vertical="center"/>
    </xf>
    <xf numFmtId="173" fontId="18" fillId="0" borderId="0" applyFont="0" applyFill="0" applyBorder="0" applyAlignment="0" applyProtection="0"/>
    <xf numFmtId="14" fontId="19" fillId="0" borderId="0" applyFont="0" applyFill="0" applyBorder="0" applyAlignment="0">
      <alignment vertical="center"/>
    </xf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174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5" fillId="0" borderId="0"/>
    <xf numFmtId="0" fontId="3" fillId="0" borderId="0" applyFill="0" applyBorder="0" applyAlignment="0"/>
    <xf numFmtId="178" fontId="26" fillId="0" borderId="0" applyFill="0" applyBorder="0" applyAlignment="0"/>
    <xf numFmtId="177" fontId="26" fillId="0" borderId="0" applyFill="0" applyBorder="0" applyAlignment="0"/>
    <xf numFmtId="179" fontId="26" fillId="0" borderId="0" applyFill="0" applyBorder="0" applyAlignment="0"/>
    <xf numFmtId="180" fontId="26" fillId="0" borderId="0" applyFill="0" applyBorder="0" applyAlignment="0"/>
    <xf numFmtId="181" fontId="26" fillId="0" borderId="0" applyFill="0" applyBorder="0" applyAlignment="0"/>
    <xf numFmtId="178" fontId="26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177" fontId="27" fillId="0" borderId="0"/>
    <xf numFmtId="177" fontId="28" fillId="0" borderId="0"/>
    <xf numFmtId="177" fontId="28" fillId="0" borderId="0"/>
    <xf numFmtId="177" fontId="28" fillId="0" borderId="0"/>
    <xf numFmtId="177" fontId="28" fillId="0" borderId="0"/>
    <xf numFmtId="177" fontId="28" fillId="0" borderId="0"/>
    <xf numFmtId="177" fontId="28" fillId="0" borderId="0"/>
    <xf numFmtId="177" fontId="28" fillId="0" borderId="0"/>
    <xf numFmtId="41" fontId="21" fillId="0" borderId="0" applyFont="0" applyFill="0" applyBorder="0" applyAlignment="0" applyProtection="0"/>
    <xf numFmtId="183" fontId="29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7" fillId="0" borderId="0" applyFont="0" applyFill="0" applyBorder="0" applyAlignment="0" applyProtection="0"/>
    <xf numFmtId="178" fontId="2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40" fontId="30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84" fontId="32" fillId="0" borderId="0"/>
    <xf numFmtId="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177" fontId="26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6" fontId="4" fillId="0" borderId="0"/>
    <xf numFmtId="0" fontId="34" fillId="0" borderId="0" applyProtection="0"/>
    <xf numFmtId="0" fontId="34" fillId="0" borderId="0" applyProtection="0"/>
    <xf numFmtId="14" fontId="3" fillId="0" borderId="0" applyFill="0" applyBorder="0" applyAlignment="0"/>
    <xf numFmtId="0" fontId="35" fillId="0" borderId="0" applyFont="0" applyFill="0" applyBorder="0" applyAlignment="0" applyProtection="0"/>
    <xf numFmtId="38" fontId="36" fillId="0" borderId="13">
      <alignment vertical="center"/>
    </xf>
    <xf numFmtId="187" fontId="4" fillId="0" borderId="0"/>
    <xf numFmtId="38" fontId="7" fillId="0" borderId="0" applyFont="0" applyFill="0" applyBorder="0" applyAlignment="0" applyProtection="0"/>
    <xf numFmtId="178" fontId="26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188" fontId="36" fillId="0" borderId="0" applyFont="0" applyFill="0" applyBorder="0" applyAlignment="0" applyProtection="0"/>
    <xf numFmtId="0" fontId="37" fillId="0" borderId="0">
      <protection locked="0"/>
    </xf>
    <xf numFmtId="0" fontId="38" fillId="0" borderId="0">
      <protection locked="0"/>
    </xf>
    <xf numFmtId="0" fontId="39" fillId="0" borderId="0">
      <protection locked="0"/>
    </xf>
    <xf numFmtId="0" fontId="40" fillId="0" borderId="0">
      <protection locked="0"/>
    </xf>
    <xf numFmtId="0" fontId="41" fillId="0" borderId="0">
      <protection locked="0"/>
    </xf>
    <xf numFmtId="0" fontId="42" fillId="0" borderId="0">
      <protection locked="0"/>
    </xf>
    <xf numFmtId="0" fontId="43" fillId="0" borderId="0">
      <protection locked="0"/>
    </xf>
    <xf numFmtId="2" fontId="34" fillId="0" borderId="0" applyProtection="0"/>
    <xf numFmtId="2" fontId="34" fillId="0" borderId="0" applyProtection="0"/>
    <xf numFmtId="0" fontId="4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5" fillId="0" borderId="14" applyNumberFormat="0" applyFill="0" applyAlignment="0" applyProtection="0"/>
    <xf numFmtId="0" fontId="46" fillId="8" borderId="0" applyNumberFormat="0" applyBorder="0" applyAlignment="0" applyProtection="0"/>
    <xf numFmtId="38" fontId="47" fillId="22" borderId="0" applyNumberFormat="0" applyBorder="0" applyAlignment="0" applyProtection="0"/>
    <xf numFmtId="0" fontId="48" fillId="0" borderId="0"/>
    <xf numFmtId="0" fontId="49" fillId="0" borderId="15" applyNumberFormat="0" applyAlignment="0" applyProtection="0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50" fillId="0" borderId="0" applyProtection="0"/>
    <xf numFmtId="0" fontId="50" fillId="0" borderId="0" applyProtection="0"/>
    <xf numFmtId="0" fontId="49" fillId="0" borderId="0" applyProtection="0"/>
    <xf numFmtId="0" fontId="49" fillId="0" borderId="0" applyProtection="0"/>
    <xf numFmtId="0" fontId="51" fillId="0" borderId="0"/>
    <xf numFmtId="0" fontId="4" fillId="0" borderId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0" fontId="53" fillId="0" borderId="0"/>
    <xf numFmtId="10" fontId="47" fillId="23" borderId="4" applyNumberFormat="0" applyBorder="0" applyAlignment="0" applyProtection="0"/>
    <xf numFmtId="10" fontId="47" fillId="23" borderId="4" applyNumberFormat="0" applyBorder="0" applyAlignment="0" applyProtection="0"/>
    <xf numFmtId="10" fontId="47" fillId="23" borderId="4" applyNumberFormat="0" applyBorder="0" applyAlignment="0" applyProtection="0"/>
    <xf numFmtId="10" fontId="47" fillId="23" borderId="4" applyNumberFormat="0" applyBorder="0" applyAlignment="0" applyProtection="0"/>
    <xf numFmtId="10" fontId="47" fillId="23" borderId="4" applyNumberFormat="0" applyBorder="0" applyAlignment="0" applyProtection="0"/>
    <xf numFmtId="10" fontId="47" fillId="24" borderId="4" applyNumberFormat="0" applyBorder="0" applyAlignment="0" applyProtection="0"/>
    <xf numFmtId="10" fontId="47" fillId="24" borderId="4" applyNumberFormat="0" applyBorder="0" applyAlignment="0" applyProtection="0"/>
    <xf numFmtId="10" fontId="47" fillId="23" borderId="4" applyNumberFormat="0" applyBorder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5" fillId="0" borderId="16" applyNumberFormat="0" applyFill="0" applyAlignment="0" applyProtection="0"/>
    <xf numFmtId="0" fontId="56" fillId="0" borderId="17" applyNumberFormat="0" applyFill="0" applyAlignment="0" applyProtection="0"/>
    <xf numFmtId="0" fontId="57" fillId="0" borderId="18" applyNumberFormat="0" applyFill="0" applyAlignment="0" applyProtection="0"/>
    <xf numFmtId="0" fontId="57" fillId="0" borderId="0" applyNumberFormat="0" applyFill="0" applyBorder="0" applyAlignment="0" applyProtection="0"/>
    <xf numFmtId="178" fontId="26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0" fontId="4" fillId="0" borderId="0">
      <alignment horizontal="center"/>
    </xf>
    <xf numFmtId="183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4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2" fontId="4" fillId="0" borderId="0" applyFont="0" applyFill="0" applyBorder="0" applyAlignment="0" applyProtection="0"/>
    <xf numFmtId="193" fontId="4" fillId="0" borderId="0" applyFont="0" applyFill="0" applyBorder="0" applyAlignment="0" applyProtection="0"/>
    <xf numFmtId="0" fontId="58" fillId="0" borderId="0"/>
    <xf numFmtId="0" fontId="59" fillId="25" borderId="0" applyNumberFormat="0" applyBorder="0" applyAlignment="0" applyProtection="0"/>
    <xf numFmtId="0" fontId="32" fillId="0" borderId="0"/>
    <xf numFmtId="37" fontId="60" fillId="0" borderId="0"/>
    <xf numFmtId="37" fontId="60" fillId="0" borderId="0"/>
    <xf numFmtId="0" fontId="53" fillId="0" borderId="0"/>
    <xf numFmtId="0" fontId="53" fillId="0" borderId="0"/>
    <xf numFmtId="0" fontId="53" fillId="0" borderId="0"/>
    <xf numFmtId="0" fontId="4" fillId="0" borderId="0"/>
    <xf numFmtId="0" fontId="61" fillId="0" borderId="0"/>
    <xf numFmtId="0" fontId="61" fillId="0" borderId="0"/>
    <xf numFmtId="194" fontId="61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1" fillId="0" borderId="0"/>
    <xf numFmtId="195" fontId="4" fillId="0" borderId="0"/>
    <xf numFmtId="0" fontId="7" fillId="0" borderId="0">
      <alignment vertical="center"/>
    </xf>
    <xf numFmtId="0" fontId="1" fillId="0" borderId="0"/>
    <xf numFmtId="196" fontId="3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0" fontId="6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62" fillId="0" borderId="0"/>
    <xf numFmtId="0" fontId="2" fillId="0" borderId="0"/>
    <xf numFmtId="0" fontId="2" fillId="0" borderId="0"/>
    <xf numFmtId="0" fontId="1" fillId="0" borderId="0"/>
    <xf numFmtId="0" fontId="62" fillId="0" borderId="0"/>
    <xf numFmtId="0" fontId="4" fillId="0" borderId="0"/>
    <xf numFmtId="0" fontId="62" fillId="0" borderId="0"/>
    <xf numFmtId="0" fontId="2" fillId="0" borderId="0"/>
    <xf numFmtId="0" fontId="62" fillId="0" borderId="0"/>
    <xf numFmtId="0" fontId="1" fillId="0" borderId="0"/>
    <xf numFmtId="0" fontId="62" fillId="0" borderId="0"/>
    <xf numFmtId="0" fontId="3" fillId="0" borderId="0"/>
    <xf numFmtId="0" fontId="62" fillId="0" borderId="0"/>
    <xf numFmtId="0" fontId="4" fillId="0" borderId="0"/>
    <xf numFmtId="0" fontId="63" fillId="0" borderId="0"/>
    <xf numFmtId="0" fontId="4" fillId="0" borderId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64" fillId="7" borderId="0" applyNumberFormat="0" applyBorder="0" applyAlignment="0" applyProtection="0"/>
    <xf numFmtId="0" fontId="4" fillId="0" borderId="0"/>
    <xf numFmtId="0" fontId="65" fillId="0" borderId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197" fontId="4" fillId="0" borderId="0" applyFont="0" applyFill="0" applyBorder="0" applyAlignment="0" applyProtection="0"/>
    <xf numFmtId="198" fontId="4" fillId="0" borderId="0" applyFont="0" applyFill="0" applyBorder="0" applyAlignment="0" applyProtection="0"/>
    <xf numFmtId="0" fontId="47" fillId="0" borderId="4">
      <alignment horizontal="left" vertical="top" wrapText="1"/>
    </xf>
    <xf numFmtId="0" fontId="47" fillId="0" borderId="4">
      <alignment horizontal="left" vertical="top" wrapText="1"/>
    </xf>
    <xf numFmtId="181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178" fontId="26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0" fontId="4" fillId="0" borderId="0"/>
    <xf numFmtId="1" fontId="47" fillId="0" borderId="4">
      <alignment horizontal="center" vertical="top" wrapText="1"/>
    </xf>
    <xf numFmtId="1" fontId="47" fillId="0" borderId="4">
      <alignment horizontal="center" vertical="top" wrapText="1"/>
    </xf>
    <xf numFmtId="1" fontId="4" fillId="0" borderId="7" applyNumberFormat="0" applyFill="0" applyAlignment="0" applyProtection="0">
      <alignment horizontal="center" vertical="center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3" fillId="0" borderId="0"/>
    <xf numFmtId="0" fontId="4" fillId="0" borderId="0"/>
    <xf numFmtId="200" fontId="47" fillId="0" borderId="4" applyFill="0" applyProtection="0">
      <alignment vertical="top" wrapText="1"/>
    </xf>
    <xf numFmtId="200" fontId="47" fillId="0" borderId="4" applyFill="0" applyProtection="0">
      <alignment vertical="top" wrapText="1"/>
    </xf>
    <xf numFmtId="0" fontId="47" fillId="0" borderId="0" applyNumberFormat="0" applyFill="0" applyBorder="0">
      <alignment vertical="top"/>
      <protection locked="0"/>
    </xf>
    <xf numFmtId="0" fontId="47" fillId="0" borderId="0" applyNumberFormat="0" applyFill="0" applyBorder="0">
      <alignment vertical="top"/>
      <protection locked="0"/>
    </xf>
    <xf numFmtId="0" fontId="67" fillId="0" borderId="0" applyNumberFormat="0" applyFill="0" applyBorder="0" applyProtection="0">
      <alignment horizontal="left" vertical="top" wrapText="1"/>
    </xf>
    <xf numFmtId="0" fontId="67" fillId="0" borderId="0" applyNumberFormat="0" applyFill="0" applyBorder="0" applyProtection="0">
      <alignment horizontal="left" vertical="top" wrapText="1"/>
    </xf>
    <xf numFmtId="0" fontId="67" fillId="0" borderId="0" applyNumberFormat="0" applyFill="0" applyBorder="0" applyProtection="0">
      <alignment horizontal="left" vertical="top" wrapText="1"/>
    </xf>
    <xf numFmtId="0" fontId="67" fillId="0" borderId="0" applyNumberFormat="0" applyFill="0" applyBorder="0" applyProtection="0">
      <alignment horizontal="left" vertical="top" wrapText="1"/>
    </xf>
    <xf numFmtId="0" fontId="68" fillId="0" borderId="0"/>
    <xf numFmtId="0" fontId="69" fillId="0" borderId="0" applyNumberFormat="0" applyFont="0" applyFill="0" applyBorder="0" applyAlignment="0" applyProtection="0"/>
    <xf numFmtId="49" fontId="3" fillId="0" borderId="0" applyFill="0" applyBorder="0" applyAlignment="0"/>
    <xf numFmtId="201" fontId="26" fillId="0" borderId="0" applyFill="0" applyBorder="0" applyAlignment="0"/>
    <xf numFmtId="202" fontId="26" fillId="0" borderId="0" applyFill="0" applyBorder="0" applyAlignment="0"/>
    <xf numFmtId="0" fontId="70" fillId="0" borderId="0" applyNumberFormat="0" applyFill="0" applyBorder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189" fontId="4" fillId="0" borderId="0" applyFont="0" applyFill="0" applyBorder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4" fillId="0" borderId="0"/>
    <xf numFmtId="204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4" fillId="0" borderId="0">
      <alignment horizontal="center" textRotation="180"/>
    </xf>
    <xf numFmtId="205" fontId="4" fillId="0" borderId="0" applyFont="0" applyFill="0" applyBorder="0" applyAlignment="0" applyProtection="0"/>
    <xf numFmtId="206" fontId="4" fillId="0" borderId="0" applyFont="0" applyFill="0" applyBorder="0" applyAlignment="0" applyProtection="0"/>
    <xf numFmtId="0" fontId="73" fillId="0" borderId="0" applyNumberFormat="0" applyFill="0" applyBorder="0" applyAlignment="0" applyProtection="0"/>
    <xf numFmtId="207" fontId="22" fillId="0" borderId="0" applyFont="0" applyFill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31" borderId="0" applyNumberFormat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0" fontId="75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76" fillId="0" borderId="0" applyNumberFormat="0" applyFill="0" applyBorder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59" fillId="25" borderId="0" applyNumberFormat="0" applyBorder="0" applyAlignment="0" applyProtection="0"/>
    <xf numFmtId="203" fontId="4" fillId="0" borderId="0" applyFont="0" applyFill="0" applyBorder="0" applyAlignment="0" applyProtection="0"/>
    <xf numFmtId="208" fontId="10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/>
    <xf numFmtId="9" fontId="78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62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79" fillId="0" borderId="22" applyNumberFormat="0" applyBorder="0" applyAlignment="0"/>
    <xf numFmtId="0" fontId="10" fillId="0" borderId="0"/>
    <xf numFmtId="0" fontId="21" fillId="26" borderId="19" applyNumberFormat="0" applyFont="0" applyAlignment="0" applyProtection="0"/>
    <xf numFmtId="0" fontId="21" fillId="26" borderId="19" applyNumberFormat="0" applyFont="0" applyAlignment="0" applyProtection="0"/>
    <xf numFmtId="0" fontId="21" fillId="26" borderId="19" applyNumberFormat="0" applyFont="0" applyAlignment="0" applyProtection="0"/>
    <xf numFmtId="0" fontId="21" fillId="26" borderId="19" applyNumberFormat="0" applyFont="0" applyAlignment="0" applyProtection="0"/>
    <xf numFmtId="0" fontId="21" fillId="26" borderId="19" applyNumberFormat="0" applyFont="0" applyAlignment="0" applyProtection="0"/>
    <xf numFmtId="41" fontId="4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45" fillId="0" borderId="14" applyNumberFormat="0" applyFill="0" applyAlignment="0" applyProtection="0"/>
    <xf numFmtId="0" fontId="80" fillId="0" borderId="0"/>
    <xf numFmtId="209" fontId="81" fillId="0" borderId="0">
      <protection locked="0"/>
    </xf>
    <xf numFmtId="0" fontId="82" fillId="0" borderId="0">
      <protection locked="0"/>
    </xf>
    <xf numFmtId="0" fontId="82" fillId="0" borderId="0">
      <protection locked="0"/>
    </xf>
    <xf numFmtId="0" fontId="83" fillId="0" borderId="0">
      <protection locked="0"/>
    </xf>
    <xf numFmtId="0" fontId="83" fillId="0" borderId="0">
      <protection locked="0"/>
    </xf>
    <xf numFmtId="40" fontId="84" fillId="0" borderId="0" applyFont="0" applyFill="0" applyBorder="0" applyAlignment="0" applyProtection="0"/>
    <xf numFmtId="38" fontId="84" fillId="0" borderId="0" applyFont="0" applyFill="0" applyBorder="0" applyAlignment="0" applyProtection="0"/>
    <xf numFmtId="0" fontId="84" fillId="0" borderId="0" applyFont="0" applyFill="0" applyBorder="0" applyAlignment="0" applyProtection="0"/>
    <xf numFmtId="0" fontId="84" fillId="0" borderId="0" applyFont="0" applyFill="0" applyBorder="0" applyAlignment="0" applyProtection="0"/>
    <xf numFmtId="9" fontId="81" fillId="0" borderId="0" applyFont="0" applyFill="0" applyBorder="0" applyAlignment="0" applyProtection="0"/>
    <xf numFmtId="0" fontId="85" fillId="0" borderId="0"/>
    <xf numFmtId="210" fontId="86" fillId="0" borderId="0">
      <alignment vertical="center"/>
    </xf>
    <xf numFmtId="4" fontId="83" fillId="0" borderId="0">
      <protection locked="0"/>
    </xf>
    <xf numFmtId="211" fontId="81" fillId="0" borderId="0">
      <protection locked="0"/>
    </xf>
    <xf numFmtId="210" fontId="81" fillId="0" borderId="0" applyFont="0" applyFill="0" applyBorder="0" applyAlignment="0" applyProtection="0"/>
    <xf numFmtId="212" fontId="81" fillId="0" borderId="0" applyFont="0" applyFill="0" applyBorder="0" applyAlignment="0" applyProtection="0"/>
    <xf numFmtId="213" fontId="81" fillId="0" borderId="0" applyFont="0" applyFill="0" applyBorder="0" applyAlignment="0" applyProtection="0"/>
    <xf numFmtId="207" fontId="81" fillId="0" borderId="0" applyFont="0" applyFill="0" applyBorder="0" applyAlignment="0" applyProtection="0"/>
    <xf numFmtId="214" fontId="81" fillId="0" borderId="0">
      <protection locked="0"/>
    </xf>
    <xf numFmtId="0" fontId="87" fillId="0" borderId="0"/>
    <xf numFmtId="0" fontId="83" fillId="0" borderId="23">
      <protection locked="0"/>
    </xf>
    <xf numFmtId="0" fontId="83" fillId="0" borderId="23">
      <protection locked="0"/>
    </xf>
    <xf numFmtId="0" fontId="83" fillId="0" borderId="23">
      <protection locked="0"/>
    </xf>
    <xf numFmtId="215" fontId="81" fillId="0" borderId="0">
      <protection locked="0"/>
    </xf>
    <xf numFmtId="216" fontId="81" fillId="0" borderId="0">
      <protection locked="0"/>
    </xf>
    <xf numFmtId="0" fontId="7" fillId="0" borderId="0"/>
    <xf numFmtId="0" fontId="22" fillId="0" borderId="0" applyNumberFormat="0" applyFont="0" applyFill="0" applyBorder="0" applyProtection="0">
      <alignment vertical="top" wrapText="1"/>
    </xf>
    <xf numFmtId="0" fontId="22" fillId="0" borderId="4" applyNumberFormat="0" applyFont="0" applyFill="0" applyProtection="0">
      <alignment horizontal="distributed" vertical="center" wrapText="1" justifyLastLine="1"/>
    </xf>
    <xf numFmtId="0" fontId="22" fillId="0" borderId="4" applyNumberFormat="0" applyFont="0" applyFill="0" applyProtection="0">
      <alignment horizontal="distributed" vertical="center" wrapText="1" justifyLastLine="1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90" fillId="0" borderId="0" applyFont="0" applyFill="0" applyBorder="0" applyAlignment="0" applyProtection="0"/>
    <xf numFmtId="0" fontId="90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43" fontId="90" fillId="0" borderId="0" applyFont="0" applyFill="0" applyBorder="0" applyAlignment="0" applyProtection="0"/>
    <xf numFmtId="183" fontId="91" fillId="0" borderId="0" applyFont="0" applyFill="0" applyBorder="0" applyAlignment="0" applyProtection="0"/>
    <xf numFmtId="189" fontId="91" fillId="0" borderId="0" applyFont="0" applyFill="0" applyBorder="0" applyAlignment="0" applyProtection="0"/>
    <xf numFmtId="43" fontId="92" fillId="0" borderId="0" applyFont="0" applyFill="0" applyBorder="0" applyAlignment="0" applyProtection="0"/>
    <xf numFmtId="41" fontId="92" fillId="0" borderId="0" applyFont="0" applyFill="0" applyBorder="0" applyAlignment="0" applyProtection="0"/>
    <xf numFmtId="0" fontId="7" fillId="0" borderId="0"/>
    <xf numFmtId="0" fontId="7" fillId="0" borderId="0">
      <alignment vertical="center"/>
    </xf>
    <xf numFmtId="0" fontId="64" fillId="7" borderId="0" applyNumberFormat="0" applyBorder="0" applyAlignment="0" applyProtection="0"/>
    <xf numFmtId="217" fontId="93" fillId="0" borderId="0" applyFont="0" applyFill="0" applyBorder="0" applyAlignment="0" applyProtection="0"/>
    <xf numFmtId="211" fontId="93" fillId="0" borderId="0" applyFont="0" applyFill="0" applyBorder="0" applyAlignment="0" applyProtection="0"/>
    <xf numFmtId="49" fontId="22" fillId="0" borderId="0" applyFont="0" applyFill="0" applyBorder="0" applyAlignment="0" applyProtection="0"/>
    <xf numFmtId="0" fontId="92" fillId="0" borderId="0"/>
    <xf numFmtId="0" fontId="94" fillId="0" borderId="0" applyNumberFormat="0" applyFill="0" applyBorder="0" applyAlignment="0" applyProtection="0">
      <alignment vertical="top"/>
      <protection locked="0"/>
    </xf>
    <xf numFmtId="0" fontId="95" fillId="0" borderId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41" fontId="1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69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38" fontId="9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/>
    <xf numFmtId="38" fontId="98" fillId="0" borderId="0" applyFont="0" applyFill="0" applyBorder="0" applyAlignment="0" applyProtection="0">
      <alignment vertical="center"/>
    </xf>
    <xf numFmtId="38" fontId="69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/>
    <xf numFmtId="38" fontId="97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6" fillId="0" borderId="0" applyFont="0" applyFill="0" applyBorder="0" applyAlignment="0" applyProtection="0"/>
    <xf numFmtId="38" fontId="62" fillId="0" borderId="0" applyFont="0" applyFill="0" applyBorder="0" applyAlignment="0" applyProtection="0">
      <alignment vertical="center"/>
    </xf>
    <xf numFmtId="38" fontId="62" fillId="0" borderId="0" applyFont="0" applyFill="0" applyBorder="0" applyAlignment="0" applyProtection="0">
      <alignment vertical="center"/>
    </xf>
    <xf numFmtId="183" fontId="62" fillId="0" borderId="0" applyFont="0" applyFill="0" applyBorder="0" applyAlignment="0" applyProtection="0"/>
    <xf numFmtId="38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38" fontId="100" fillId="0" borderId="0" applyFont="0" applyFill="0" applyBorder="0" applyAlignment="0" applyProtection="0"/>
    <xf numFmtId="38" fontId="101" fillId="0" borderId="0" applyFont="0" applyFill="0" applyBorder="0" applyAlignment="0" applyProtection="0"/>
    <xf numFmtId="41" fontId="21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38" fontId="101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78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38" fontId="69" fillId="0" borderId="0" applyFont="0" applyFill="0" applyBorder="0" applyAlignment="0" applyProtection="0"/>
    <xf numFmtId="38" fontId="78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38" fontId="69" fillId="0" borderId="0" applyFont="0" applyFill="0" applyBorder="0" applyAlignment="0" applyProtection="0"/>
    <xf numFmtId="38" fontId="62" fillId="0" borderId="0" applyFont="0" applyFill="0" applyBorder="0" applyAlignment="0" applyProtection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/>
    <xf numFmtId="0" fontId="7" fillId="0" borderId="0"/>
    <xf numFmtId="0" fontId="30" fillId="0" borderId="0">
      <alignment vertical="center"/>
    </xf>
    <xf numFmtId="0" fontId="7" fillId="0" borderId="0">
      <alignment vertical="center"/>
    </xf>
    <xf numFmtId="0" fontId="7" fillId="0" borderId="0"/>
    <xf numFmtId="0" fontId="98" fillId="0" borderId="0">
      <alignment vertical="center"/>
    </xf>
    <xf numFmtId="0" fontId="7" fillId="0" borderId="0">
      <alignment vertical="center"/>
    </xf>
    <xf numFmtId="0" fontId="96" fillId="0" borderId="0"/>
    <xf numFmtId="0" fontId="96" fillId="0" borderId="0"/>
    <xf numFmtId="0" fontId="7" fillId="0" borderId="0">
      <alignment vertical="center"/>
    </xf>
    <xf numFmtId="0" fontId="69" fillId="0" borderId="0"/>
    <xf numFmtId="0" fontId="9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03" fillId="0" borderId="0"/>
    <xf numFmtId="0" fontId="3" fillId="0" borderId="0"/>
    <xf numFmtId="0" fontId="7" fillId="0" borderId="0">
      <alignment vertical="center"/>
    </xf>
    <xf numFmtId="0" fontId="78" fillId="0" borderId="0">
      <alignment vertical="center"/>
    </xf>
    <xf numFmtId="0" fontId="100" fillId="0" borderId="0"/>
    <xf numFmtId="0" fontId="3" fillId="0" borderId="0"/>
    <xf numFmtId="0" fontId="69" fillId="0" borderId="0"/>
    <xf numFmtId="0" fontId="96" fillId="0" borderId="0"/>
    <xf numFmtId="0" fontId="77" fillId="0" borderId="0"/>
    <xf numFmtId="0" fontId="69" fillId="0" borderId="0"/>
    <xf numFmtId="0" fontId="78" fillId="0" borderId="0">
      <alignment vertical="center"/>
    </xf>
    <xf numFmtId="0" fontId="1" fillId="0" borderId="0"/>
    <xf numFmtId="0" fontId="62" fillId="0" borderId="0">
      <alignment vertical="center"/>
    </xf>
    <xf numFmtId="218" fontId="19" fillId="0" borderId="0" applyFont="0" applyFill="0" applyBorder="0">
      <alignment vertical="center"/>
    </xf>
    <xf numFmtId="0" fontId="104" fillId="0" borderId="0"/>
    <xf numFmtId="0" fontId="105" fillId="0" borderId="0"/>
    <xf numFmtId="0" fontId="46" fillId="8" borderId="0" applyNumberFormat="0" applyBorder="0" applyAlignment="0" applyProtection="0"/>
    <xf numFmtId="0" fontId="5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7" fillId="0" borderId="18" applyNumberFormat="0" applyFill="0" applyAlignment="0" applyProtection="0"/>
    <xf numFmtId="0" fontId="57" fillId="0" borderId="0" applyNumberFormat="0" applyFill="0" applyBorder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203" fontId="91" fillId="0" borderId="0" applyFont="0" applyFill="0" applyBorder="0" applyAlignment="0" applyProtection="0"/>
    <xf numFmtId="204" fontId="91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34" fillId="0" borderId="24" applyProtection="0"/>
    <xf numFmtId="9" fontId="1" fillId="0" borderId="0" applyFont="0" applyFill="0" applyBorder="0" applyAlignment="0" applyProtection="0"/>
    <xf numFmtId="0" fontId="62" fillId="0" borderId="0">
      <alignment vertical="center"/>
    </xf>
    <xf numFmtId="41" fontId="4" fillId="0" borderId="0" applyFont="0" applyFill="0" applyBorder="0" applyAlignment="0" applyProtection="0"/>
    <xf numFmtId="0" fontId="4" fillId="0" borderId="0"/>
    <xf numFmtId="0" fontId="4" fillId="0" borderId="0"/>
    <xf numFmtId="183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0" fontId="4" fillId="0" borderId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9" borderId="0" applyNumberFormat="0" applyBorder="0" applyAlignment="0" applyProtection="0"/>
    <xf numFmtId="0" fontId="21" fillId="12" borderId="0" applyNumberFormat="0" applyBorder="0" applyAlignment="0" applyProtection="0"/>
    <xf numFmtId="0" fontId="21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114" fillId="0" borderId="30" applyBorder="0">
      <alignment horizontal="center" vertical="center" wrapText="1"/>
    </xf>
    <xf numFmtId="0" fontId="114" fillId="0" borderId="31" applyAlignment="0">
      <alignment horizontal="centerContinuous" vertical="center" wrapText="1"/>
    </xf>
    <xf numFmtId="0" fontId="114" fillId="0" borderId="31" applyAlignment="0">
      <alignment horizontal="center" vertical="center"/>
    </xf>
    <xf numFmtId="0" fontId="114" fillId="0" borderId="32">
      <alignment horizontal="center" vertical="center"/>
    </xf>
    <xf numFmtId="0" fontId="115" fillId="0" borderId="0">
      <alignment horizontal="left" vertical="center"/>
    </xf>
    <xf numFmtId="0" fontId="114" fillId="0" borderId="4"/>
    <xf numFmtId="0" fontId="114" fillId="0" borderId="1"/>
    <xf numFmtId="0" fontId="114" fillId="0" borderId="2"/>
    <xf numFmtId="0" fontId="46" fillId="8" borderId="0" applyNumberFormat="0" applyBorder="0" applyAlignment="0" applyProtection="0"/>
    <xf numFmtId="0" fontId="24" fillId="20" borderId="11" applyNumberFormat="0" applyAlignment="0" applyProtection="0"/>
    <xf numFmtId="0" fontId="33" fillId="21" borderId="12" applyNumberFormat="0" applyAlignment="0" applyProtection="0"/>
    <xf numFmtId="0" fontId="45" fillId="0" borderId="14" applyNumberFormat="0" applyFill="0" applyAlignment="0" applyProtection="0"/>
    <xf numFmtId="219" fontId="32" fillId="0" borderId="0" applyFill="0" applyBorder="0" applyProtection="0"/>
    <xf numFmtId="44" fontId="4" fillId="0" borderId="0" applyFont="0" applyFill="0" applyBorder="0" applyAlignment="0" applyProtection="0"/>
    <xf numFmtId="220" fontId="32" fillId="0" borderId="0" applyFill="0" applyBorder="0" applyProtection="0"/>
    <xf numFmtId="0" fontId="57" fillId="0" borderId="0" applyNumberFormat="0" applyFill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31" borderId="0" applyNumberFormat="0" applyBorder="0" applyAlignment="0" applyProtection="0"/>
    <xf numFmtId="0" fontId="114" fillId="0" borderId="30">
      <alignment horizontal="center" vertical="center"/>
    </xf>
    <xf numFmtId="0" fontId="54" fillId="11" borderId="11" applyNumberFormat="0" applyAlignment="0" applyProtection="0"/>
    <xf numFmtId="0" fontId="64" fillId="7" borderId="0" applyNumberFormat="0" applyBorder="0" applyAlignment="0" applyProtection="0"/>
    <xf numFmtId="0" fontId="4" fillId="26" borderId="19" applyNumberFormat="0" applyFont="0" applyAlignment="0" applyProtection="0"/>
    <xf numFmtId="221" fontId="113" fillId="0" borderId="0" applyFont="0" applyFill="0" applyBorder="0" applyAlignment="0" applyProtection="0"/>
    <xf numFmtId="44" fontId="113" fillId="0" borderId="0" applyFont="0" applyFill="0" applyBorder="0" applyAlignment="0" applyProtection="0"/>
    <xf numFmtId="37" fontId="12" fillId="0" borderId="0"/>
    <xf numFmtId="0" fontId="66" fillId="20" borderId="20" applyNumberFormat="0" applyAlignment="0" applyProtection="0"/>
    <xf numFmtId="0" fontId="114" fillId="0" borderId="0">
      <alignment horizontal="center" vertical="center"/>
    </xf>
    <xf numFmtId="0" fontId="73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5" fillId="0" borderId="16" applyNumberFormat="0" applyFill="0" applyAlignment="0" applyProtection="0"/>
    <xf numFmtId="0" fontId="56" fillId="0" borderId="17" applyNumberFormat="0" applyFill="0" applyAlignment="0" applyProtection="0"/>
    <xf numFmtId="0" fontId="57" fillId="0" borderId="18" applyNumberFormat="0" applyFill="0" applyAlignment="0" applyProtection="0"/>
    <xf numFmtId="0" fontId="70" fillId="0" borderId="0" applyNumberFormat="0" applyFill="0" applyBorder="0" applyAlignment="0" applyProtection="0"/>
    <xf numFmtId="0" fontId="34" fillId="35" borderId="0"/>
    <xf numFmtId="0" fontId="123" fillId="0" borderId="0"/>
    <xf numFmtId="43" fontId="123" fillId="0" borderId="0" applyFont="0" applyFill="0" applyBorder="0" applyAlignment="0" applyProtection="0"/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24" fillId="20" borderId="11" applyNumberFormat="0" applyAlignment="0" applyProtection="0"/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4" borderId="37" applyNumberFormat="0" applyBorder="0" applyAlignment="0" applyProtection="0"/>
    <xf numFmtId="10" fontId="47" fillId="23" borderId="37" applyNumberFormat="0" applyBorder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54" fillId="11" borderId="11" applyNumberForma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47" fillId="26" borderId="19" applyNumberFormat="0" applyFon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21" fillId="26" borderId="19" applyNumberFormat="0" applyFont="0" applyAlignment="0" applyProtection="0"/>
    <xf numFmtId="0" fontId="66" fillId="20" borderId="20" applyNumberFormat="0" applyAlignment="0" applyProtection="0"/>
    <xf numFmtId="0" fontId="83" fillId="0" borderId="23">
      <protection locked="0"/>
    </xf>
    <xf numFmtId="0" fontId="24" fillId="20" borderId="11" applyNumberFormat="0" applyAlignment="0" applyProtection="0"/>
    <xf numFmtId="0" fontId="124" fillId="0" borderId="0"/>
    <xf numFmtId="43" fontId="12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164" fontId="5" fillId="0" borderId="37" applyFont="0" applyFill="0" applyBorder="0" applyAlignment="0" applyProtection="0">
      <alignment vertical="center"/>
    </xf>
    <xf numFmtId="203" fontId="3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02" fillId="6" borderId="0" applyNumberFormat="0" applyBorder="0" applyAlignment="0" applyProtection="0">
      <alignment vertical="center"/>
    </xf>
    <xf numFmtId="0" fontId="102" fillId="6" borderId="0" applyNumberFormat="0" applyBorder="0" applyAlignment="0" applyProtection="0">
      <alignment vertical="center"/>
    </xf>
    <xf numFmtId="0" fontId="102" fillId="12" borderId="0" applyNumberFormat="0" applyBorder="0" applyAlignment="0" applyProtection="0">
      <alignment vertical="center"/>
    </xf>
    <xf numFmtId="0" fontId="102" fillId="7" borderId="0" applyNumberFormat="0" applyBorder="0" applyAlignment="0" applyProtection="0">
      <alignment vertical="center"/>
    </xf>
    <xf numFmtId="0" fontId="102" fillId="7" borderId="0" applyNumberFormat="0" applyBorder="0" applyAlignment="0" applyProtection="0">
      <alignment vertical="center"/>
    </xf>
    <xf numFmtId="0" fontId="102" fillId="13" borderId="0" applyNumberFormat="0" applyBorder="0" applyAlignment="0" applyProtection="0">
      <alignment vertical="center"/>
    </xf>
    <xf numFmtId="0" fontId="102" fillId="8" borderId="0" applyNumberFormat="0" applyBorder="0" applyAlignment="0" applyProtection="0">
      <alignment vertical="center"/>
    </xf>
    <xf numFmtId="0" fontId="102" fillId="8" borderId="0" applyNumberFormat="0" applyBorder="0" applyAlignment="0" applyProtection="0">
      <alignment vertical="center"/>
    </xf>
    <xf numFmtId="0" fontId="102" fillId="26" borderId="0" applyNumberFormat="0" applyBorder="0" applyAlignment="0" applyProtection="0">
      <alignment vertical="center"/>
    </xf>
    <xf numFmtId="0" fontId="102" fillId="9" borderId="0" applyNumberFormat="0" applyBorder="0" applyAlignment="0" applyProtection="0">
      <alignment vertical="center"/>
    </xf>
    <xf numFmtId="0" fontId="102" fillId="9" borderId="0" applyNumberFormat="0" applyBorder="0" applyAlignment="0" applyProtection="0">
      <alignment vertical="center"/>
    </xf>
    <xf numFmtId="0" fontId="102" fillId="11" borderId="0" applyNumberFormat="0" applyBorder="0" applyAlignment="0" applyProtection="0">
      <alignment vertical="center"/>
    </xf>
    <xf numFmtId="0" fontId="102" fillId="10" borderId="0" applyNumberFormat="0" applyBorder="0" applyAlignment="0" applyProtection="0">
      <alignment vertical="center"/>
    </xf>
    <xf numFmtId="0" fontId="102" fillId="10" borderId="0" applyNumberFormat="0" applyBorder="0" applyAlignment="0" applyProtection="0">
      <alignment vertical="center"/>
    </xf>
    <xf numFmtId="0" fontId="102" fillId="11" borderId="0" applyNumberFormat="0" applyBorder="0" applyAlignment="0" applyProtection="0">
      <alignment vertical="center"/>
    </xf>
    <xf numFmtId="0" fontId="102" fillId="11" borderId="0" applyNumberFormat="0" applyBorder="0" applyAlignment="0" applyProtection="0">
      <alignment vertical="center"/>
    </xf>
    <xf numFmtId="0" fontId="102" fillId="26" borderId="0" applyNumberFormat="0" applyBorder="0" applyAlignment="0" applyProtection="0">
      <alignment vertical="center"/>
    </xf>
    <xf numFmtId="0" fontId="102" fillId="12" borderId="0" applyNumberFormat="0" applyBorder="0" applyAlignment="0" applyProtection="0">
      <alignment vertical="center"/>
    </xf>
    <xf numFmtId="0" fontId="102" fillId="12" borderId="0" applyNumberFormat="0" applyBorder="0" applyAlignment="0" applyProtection="0">
      <alignment vertical="center"/>
    </xf>
    <xf numFmtId="0" fontId="102" fillId="10" borderId="0" applyNumberFormat="0" applyBorder="0" applyAlignment="0" applyProtection="0">
      <alignment vertical="center"/>
    </xf>
    <xf numFmtId="0" fontId="102" fillId="13" borderId="0" applyNumberFormat="0" applyBorder="0" applyAlignment="0" applyProtection="0">
      <alignment vertical="center"/>
    </xf>
    <xf numFmtId="0" fontId="102" fillId="13" borderId="0" applyNumberFormat="0" applyBorder="0" applyAlignment="0" applyProtection="0">
      <alignment vertical="center"/>
    </xf>
    <xf numFmtId="0" fontId="102" fillId="14" borderId="0" applyNumberFormat="0" applyBorder="0" applyAlignment="0" applyProtection="0">
      <alignment vertical="center"/>
    </xf>
    <xf numFmtId="0" fontId="102" fillId="14" borderId="0" applyNumberFormat="0" applyBorder="0" applyAlignment="0" applyProtection="0">
      <alignment vertical="center"/>
    </xf>
    <xf numFmtId="0" fontId="102" fillId="25" borderId="0" applyNumberFormat="0" applyBorder="0" applyAlignment="0" applyProtection="0">
      <alignment vertical="center"/>
    </xf>
    <xf numFmtId="0" fontId="102" fillId="9" borderId="0" applyNumberFormat="0" applyBorder="0" applyAlignment="0" applyProtection="0">
      <alignment vertical="center"/>
    </xf>
    <xf numFmtId="0" fontId="102" fillId="9" borderId="0" applyNumberFormat="0" applyBorder="0" applyAlignment="0" applyProtection="0">
      <alignment vertical="center"/>
    </xf>
    <xf numFmtId="0" fontId="102" fillId="7" borderId="0" applyNumberFormat="0" applyBorder="0" applyAlignment="0" applyProtection="0">
      <alignment vertical="center"/>
    </xf>
    <xf numFmtId="0" fontId="102" fillId="12" borderId="0" applyNumberFormat="0" applyBorder="0" applyAlignment="0" applyProtection="0">
      <alignment vertical="center"/>
    </xf>
    <xf numFmtId="0" fontId="102" fillId="12" borderId="0" applyNumberFormat="0" applyBorder="0" applyAlignment="0" applyProtection="0">
      <alignment vertical="center"/>
    </xf>
    <xf numFmtId="0" fontId="102" fillId="10" borderId="0" applyNumberFormat="0" applyBorder="0" applyAlignment="0" applyProtection="0">
      <alignment vertical="center"/>
    </xf>
    <xf numFmtId="0" fontId="102" fillId="15" borderId="0" applyNumberFormat="0" applyBorder="0" applyAlignment="0" applyProtection="0">
      <alignment vertical="center"/>
    </xf>
    <xf numFmtId="0" fontId="102" fillId="15" borderId="0" applyNumberFormat="0" applyBorder="0" applyAlignment="0" applyProtection="0">
      <alignment vertical="center"/>
    </xf>
    <xf numFmtId="0" fontId="102" fillId="26" borderId="0" applyNumberFormat="0" applyBorder="0" applyAlignment="0" applyProtection="0">
      <alignment vertical="center"/>
    </xf>
    <xf numFmtId="0" fontId="125" fillId="16" borderId="0" applyNumberFormat="0" applyBorder="0" applyAlignment="0" applyProtection="0">
      <alignment vertical="center"/>
    </xf>
    <xf numFmtId="0" fontId="125" fillId="16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3" borderId="0" applyNumberFormat="0" applyBorder="0" applyAlignment="0" applyProtection="0">
      <alignment vertical="center"/>
    </xf>
    <xf numFmtId="0" fontId="125" fillId="13" borderId="0" applyNumberFormat="0" applyBorder="0" applyAlignment="0" applyProtection="0">
      <alignment vertical="center"/>
    </xf>
    <xf numFmtId="0" fontId="125" fillId="31" borderId="0" applyNumberFormat="0" applyBorder="0" applyAlignment="0" applyProtection="0">
      <alignment vertical="center"/>
    </xf>
    <xf numFmtId="0" fontId="125" fillId="14" borderId="0" applyNumberFormat="0" applyBorder="0" applyAlignment="0" applyProtection="0">
      <alignment vertical="center"/>
    </xf>
    <xf numFmtId="0" fontId="125" fillId="14" borderId="0" applyNumberFormat="0" applyBorder="0" applyAlignment="0" applyProtection="0">
      <alignment vertical="center"/>
    </xf>
    <xf numFmtId="0" fontId="125" fillId="15" borderId="0" applyNumberFormat="0" applyBorder="0" applyAlignment="0" applyProtection="0">
      <alignment vertical="center"/>
    </xf>
    <xf numFmtId="0" fontId="125" fillId="17" borderId="0" applyNumberFormat="0" applyBorder="0" applyAlignment="0" applyProtection="0">
      <alignment vertical="center"/>
    </xf>
    <xf numFmtId="0" fontId="125" fillId="17" borderId="0" applyNumberFormat="0" applyBorder="0" applyAlignment="0" applyProtection="0">
      <alignment vertical="center"/>
    </xf>
    <xf numFmtId="0" fontId="125" fillId="7" borderId="0" applyNumberFormat="0" applyBorder="0" applyAlignment="0" applyProtection="0">
      <alignment vertical="center"/>
    </xf>
    <xf numFmtId="0" fontId="125" fillId="18" borderId="0" applyNumberFormat="0" applyBorder="0" applyAlignment="0" applyProtection="0">
      <alignment vertical="center"/>
    </xf>
    <xf numFmtId="0" fontId="125" fillId="18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9" borderId="0" applyNumberFormat="0" applyBorder="0" applyAlignment="0" applyProtection="0">
      <alignment vertical="center"/>
    </xf>
    <xf numFmtId="0" fontId="125" fillId="19" borderId="0" applyNumberFormat="0" applyBorder="0" applyAlignment="0" applyProtection="0">
      <alignment vertical="center"/>
    </xf>
    <xf numFmtId="0" fontId="125" fillId="13" borderId="0" applyNumberFormat="0" applyBorder="0" applyAlignment="0" applyProtection="0">
      <alignment vertical="center"/>
    </xf>
    <xf numFmtId="1" fontId="126" fillId="0" borderId="0" applyFill="0" applyBorder="0" applyProtection="0">
      <alignment horizontal="right" wrapText="1"/>
      <protection locked="0"/>
    </xf>
    <xf numFmtId="222" fontId="127" fillId="0" borderId="0" applyFill="0" applyBorder="0" applyProtection="0">
      <alignment horizontal="right"/>
      <protection locked="0"/>
    </xf>
    <xf numFmtId="0" fontId="128" fillId="0" borderId="0" applyNumberFormat="0" applyFill="0" applyBorder="0" applyProtection="0">
      <protection locked="0"/>
    </xf>
    <xf numFmtId="222" fontId="129" fillId="0" borderId="0">
      <protection locked="0"/>
    </xf>
    <xf numFmtId="223" fontId="130" fillId="0" borderId="0" applyFill="0" applyBorder="0" applyProtection="0"/>
    <xf numFmtId="0" fontId="3" fillId="0" borderId="0" applyFill="0" applyBorder="0" applyAlignment="0"/>
    <xf numFmtId="177" fontId="26" fillId="0" borderId="0" applyFill="0" applyBorder="0" applyAlignment="0"/>
    <xf numFmtId="179" fontId="26" fillId="0" borderId="0" applyFill="0" applyBorder="0" applyAlignment="0"/>
    <xf numFmtId="180" fontId="26" fillId="0" borderId="0" applyFill="0" applyBorder="0" applyAlignment="0"/>
    <xf numFmtId="181" fontId="26" fillId="0" borderId="0" applyFill="0" applyBorder="0" applyAlignment="0"/>
    <xf numFmtId="178" fontId="26" fillId="0" borderId="0" applyFill="0" applyBorder="0" applyAlignment="0"/>
    <xf numFmtId="224" fontId="7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1" fontId="131" fillId="0" borderId="0">
      <protection locked="0"/>
    </xf>
    <xf numFmtId="225" fontId="132" fillId="0" borderId="0"/>
    <xf numFmtId="225" fontId="132" fillId="0" borderId="0"/>
    <xf numFmtId="225" fontId="132" fillId="0" borderId="0"/>
    <xf numFmtId="225" fontId="132" fillId="0" borderId="0"/>
    <xf numFmtId="225" fontId="132" fillId="0" borderId="0"/>
    <xf numFmtId="225" fontId="132" fillId="0" borderId="0"/>
    <xf numFmtId="225" fontId="132" fillId="0" borderId="0"/>
    <xf numFmtId="225" fontId="132" fillId="0" borderId="0"/>
    <xf numFmtId="41" fontId="21" fillId="0" borderId="0" applyFont="0" applyFill="0" applyBorder="0" applyAlignment="0" applyProtection="0"/>
    <xf numFmtId="183" fontId="1" fillId="0" borderId="0" applyFont="0" applyFill="0" applyBorder="0" applyAlignment="0" applyProtection="0"/>
    <xf numFmtId="178" fontId="26" fillId="0" borderId="0" applyFont="0" applyFill="0" applyBorder="0" applyAlignment="0" applyProtection="0"/>
    <xf numFmtId="224" fontId="7" fillId="0" borderId="0" applyFont="0" applyFill="0" applyBorder="0" applyAlignment="0" applyProtection="0"/>
    <xf numFmtId="43" fontId="3" fillId="0" borderId="0" applyFont="0" applyFill="0" applyBorder="0" applyAlignment="0" applyProtection="0"/>
    <xf numFmtId="3" fontId="35" fillId="0" borderId="0" applyFont="0" applyFill="0" applyBorder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177" fontId="26" fillId="0" borderId="0" applyFont="0" applyFill="0" applyBorder="0" applyAlignment="0" applyProtection="0"/>
    <xf numFmtId="226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17" fontId="133" fillId="0" borderId="29" applyFont="0" applyFill="0" applyBorder="0" applyAlignment="0" applyProtection="0"/>
    <xf numFmtId="227" fontId="53" fillId="0" borderId="0" applyFont="0" applyFill="0" applyBorder="0" applyAlignment="0" applyProtection="0"/>
    <xf numFmtId="228" fontId="134" fillId="0" borderId="0" applyFont="0" applyFill="0" applyBorder="0" applyAlignment="0" applyProtection="0"/>
    <xf numFmtId="178" fontId="26" fillId="0" borderId="0" applyFill="0" applyBorder="0" applyAlignment="0"/>
    <xf numFmtId="224" fontId="7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224" fontId="7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188" fontId="36" fillId="0" borderId="0" applyFont="0" applyFill="0" applyBorder="0" applyAlignment="0" applyProtection="0"/>
    <xf numFmtId="2" fontId="35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229" fontId="26" fillId="0" borderId="0" applyFont="0" applyFill="0" applyBorder="0" applyAlignment="0" applyProtection="0">
      <protection locked="0"/>
    </xf>
    <xf numFmtId="13" fontId="26" fillId="0" borderId="0" applyFont="0" applyFill="0" applyBorder="0" applyAlignment="0" applyProtection="0">
      <protection locked="0"/>
    </xf>
    <xf numFmtId="230" fontId="136" fillId="0" borderId="0" applyFill="0" applyBorder="0" applyProtection="0">
      <alignment horizontal="right"/>
      <protection locked="0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49" fillId="0" borderId="3">
      <alignment horizontal="left" vertical="center"/>
    </xf>
    <xf numFmtId="0" fontId="137" fillId="0" borderId="0" applyNumberFormat="0" applyFill="0" applyBorder="0" applyAlignment="0" applyProtection="0"/>
    <xf numFmtId="0" fontId="138" fillId="0" borderId="0" applyNumberFormat="0" applyFill="0" applyBorder="0" applyAlignment="0" applyProtection="0"/>
    <xf numFmtId="0" fontId="50" fillId="0" borderId="0" applyProtection="0"/>
    <xf numFmtId="0" fontId="49" fillId="0" borderId="0" applyProtection="0"/>
    <xf numFmtId="0" fontId="139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22" fillId="0" borderId="0" applyBorder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4" borderId="37" applyNumberFormat="0" applyBorder="0" applyAlignment="0" applyProtection="0"/>
    <xf numFmtId="10" fontId="47" fillId="24" borderId="37" applyNumberFormat="0" applyBorder="0" applyAlignment="0" applyProtection="0"/>
    <xf numFmtId="10" fontId="47" fillId="24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0" fontId="47" fillId="23" borderId="37" applyNumberFormat="0" applyBorder="0" applyAlignment="0" applyProtection="0"/>
    <xf numFmtId="13" fontId="126" fillId="0" borderId="30" applyNumberFormat="0" applyFont="0" applyFill="0" applyAlignment="0" applyProtection="0">
      <alignment horizontal="right" wrapText="1"/>
      <protection locked="0"/>
    </xf>
    <xf numFmtId="0" fontId="22" fillId="0" borderId="0"/>
    <xf numFmtId="231" fontId="53" fillId="0" borderId="0" applyFont="0" applyFill="0" applyBorder="0" applyAlignment="0" applyProtection="0"/>
    <xf numFmtId="178" fontId="26" fillId="0" borderId="0" applyFill="0" applyBorder="0" applyAlignment="0"/>
    <xf numFmtId="224" fontId="7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224" fontId="7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232" fontId="36" fillId="0" borderId="0" applyFont="0" applyFill="0" applyBorder="0" applyAlignment="0" applyProtection="0"/>
    <xf numFmtId="233" fontId="32" fillId="0" borderId="0" applyFont="0" applyFill="0" applyBorder="0" applyAlignment="0" applyProtection="0"/>
    <xf numFmtId="6" fontId="36" fillId="0" borderId="0" applyFont="0" applyFill="0" applyBorder="0" applyAlignment="0" applyProtection="0"/>
    <xf numFmtId="8" fontId="36" fillId="0" borderId="0" applyFont="0" applyFill="0" applyBorder="0" applyAlignment="0" applyProtection="0"/>
    <xf numFmtId="37" fontId="140" fillId="0" borderId="0"/>
    <xf numFmtId="0" fontId="6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41" fillId="0" borderId="7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47" fillId="0" borderId="37">
      <alignment horizontal="left" vertical="top" wrapText="1"/>
    </xf>
    <xf numFmtId="0" fontId="47" fillId="0" borderId="37">
      <alignment horizontal="left" vertical="top" wrapText="1"/>
    </xf>
    <xf numFmtId="181" fontId="26" fillId="0" borderId="0" applyFont="0" applyFill="0" applyBorder="0" applyAlignment="0" applyProtection="0"/>
    <xf numFmtId="199" fontId="26" fillId="0" borderId="0" applyFont="0" applyFill="0" applyBorder="0" applyAlignment="0" applyProtection="0"/>
    <xf numFmtId="234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6" fillId="0" borderId="0" applyFill="0" applyBorder="0" applyAlignment="0"/>
    <xf numFmtId="224" fontId="7" fillId="0" borderId="0" applyFill="0" applyBorder="0" applyAlignment="0"/>
    <xf numFmtId="177" fontId="26" fillId="0" borderId="0" applyFill="0" applyBorder="0" applyAlignment="0"/>
    <xf numFmtId="178" fontId="26" fillId="0" borderId="0" applyFill="0" applyBorder="0" applyAlignment="0"/>
    <xf numFmtId="224" fontId="7" fillId="0" borderId="0" applyFill="0" applyBorder="0" applyAlignment="0"/>
    <xf numFmtId="182" fontId="26" fillId="0" borderId="0" applyFill="0" applyBorder="0" applyAlignment="0"/>
    <xf numFmtId="177" fontId="26" fillId="0" borderId="0" applyFill="0" applyBorder="0" applyAlignment="0"/>
    <xf numFmtId="1" fontId="47" fillId="0" borderId="37">
      <alignment horizontal="center" vertical="top" wrapText="1"/>
    </xf>
    <xf numFmtId="1" fontId="47" fillId="0" borderId="37">
      <alignment horizontal="center" vertical="top" wrapText="1"/>
    </xf>
    <xf numFmtId="0" fontId="142" fillId="0" borderId="0" applyNumberFormat="0" applyFill="0" applyBorder="0" applyProtection="0">
      <protection locked="0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0" fontId="4" fillId="27" borderId="20" applyNumberFormat="0" applyProtection="0">
      <alignment horizontal="left" vertical="center" indent="1"/>
    </xf>
    <xf numFmtId="38" fontId="36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222" fontId="143" fillId="38" borderId="0" applyNumberFormat="0" applyFont="0" applyBorder="0" applyAlignment="0" applyProtection="0">
      <protection locked="0"/>
    </xf>
    <xf numFmtId="200" fontId="47" fillId="0" borderId="37" applyFill="0" applyProtection="0">
      <alignment vertical="top" wrapText="1"/>
    </xf>
    <xf numFmtId="200" fontId="47" fillId="0" borderId="37" applyFill="0" applyProtection="0">
      <alignment vertical="top" wrapText="1"/>
    </xf>
    <xf numFmtId="201" fontId="26" fillId="0" borderId="0" applyFill="0" applyBorder="0" applyAlignment="0"/>
    <xf numFmtId="202" fontId="26" fillId="0" borderId="0" applyFill="0" applyBorder="0" applyAlignment="0"/>
    <xf numFmtId="235" fontId="53" fillId="0" borderId="0" applyFont="0" applyFill="0" applyBorder="0" applyAlignment="0" applyProtection="0"/>
    <xf numFmtId="236" fontId="53" fillId="0" borderId="0" applyFont="0" applyFill="0" applyBorder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35" fillId="0" borderId="23" applyNumberFormat="0" applyFont="0" applyFill="0" applyAlignment="0" applyProtection="0"/>
    <xf numFmtId="38" fontId="36" fillId="0" borderId="0" applyFont="0" applyFill="0" applyBorder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237" fontId="36" fillId="0" borderId="0" applyFont="0" applyFill="0" applyBorder="0" applyAlignment="0" applyProtection="0"/>
    <xf numFmtId="0" fontId="26" fillId="39" borderId="0" applyNumberFormat="0" applyFont="0" applyBorder="0" applyAlignment="0" applyProtection="0"/>
    <xf numFmtId="0" fontId="125" fillId="28" borderId="0" applyNumberFormat="0" applyBorder="0" applyAlignment="0" applyProtection="0">
      <alignment vertical="center"/>
    </xf>
    <xf numFmtId="0" fontId="125" fillId="28" borderId="0" applyNumberFormat="0" applyBorder="0" applyAlignment="0" applyProtection="0">
      <alignment vertical="center"/>
    </xf>
    <xf numFmtId="0" fontId="125" fillId="40" borderId="0" applyNumberFormat="0" applyBorder="0" applyAlignment="0" applyProtection="0">
      <alignment vertical="center"/>
    </xf>
    <xf numFmtId="0" fontId="125" fillId="29" borderId="0" applyNumberFormat="0" applyBorder="0" applyAlignment="0" applyProtection="0">
      <alignment vertical="center"/>
    </xf>
    <xf numFmtId="0" fontId="125" fillId="29" borderId="0" applyNumberFormat="0" applyBorder="0" applyAlignment="0" applyProtection="0">
      <alignment vertical="center"/>
    </xf>
    <xf numFmtId="0" fontId="125" fillId="31" borderId="0" applyNumberFormat="0" applyBorder="0" applyAlignment="0" applyProtection="0">
      <alignment vertical="center"/>
    </xf>
    <xf numFmtId="0" fontId="125" fillId="30" borderId="0" applyNumberFormat="0" applyBorder="0" applyAlignment="0" applyProtection="0">
      <alignment vertical="center"/>
    </xf>
    <xf numFmtId="0" fontId="125" fillId="30" borderId="0" applyNumberFormat="0" applyBorder="0" applyAlignment="0" applyProtection="0">
      <alignment vertical="center"/>
    </xf>
    <xf numFmtId="0" fontId="125" fillId="15" borderId="0" applyNumberFormat="0" applyBorder="0" applyAlignment="0" applyProtection="0">
      <alignment vertical="center"/>
    </xf>
    <xf numFmtId="0" fontId="125" fillId="17" borderId="0" applyNumberFormat="0" applyBorder="0" applyAlignment="0" applyProtection="0">
      <alignment vertical="center"/>
    </xf>
    <xf numFmtId="0" fontId="125" fillId="17" borderId="0" applyNumberFormat="0" applyBorder="0" applyAlignment="0" applyProtection="0">
      <alignment vertical="center"/>
    </xf>
    <xf numFmtId="0" fontId="125" fillId="41" borderId="0" applyNumberFormat="0" applyBorder="0" applyAlignment="0" applyProtection="0">
      <alignment vertical="center"/>
    </xf>
    <xf numFmtId="0" fontId="125" fillId="18" borderId="0" applyNumberFormat="0" applyBorder="0" applyAlignment="0" applyProtection="0">
      <alignment vertical="center"/>
    </xf>
    <xf numFmtId="0" fontId="125" fillId="18" borderId="0" applyNumberFormat="0" applyBorder="0" applyAlignment="0" applyProtection="0">
      <alignment vertical="center"/>
    </xf>
    <xf numFmtId="0" fontId="125" fillId="31" borderId="0" applyNumberFormat="0" applyBorder="0" applyAlignment="0" applyProtection="0">
      <alignment vertical="center"/>
    </xf>
    <xf numFmtId="0" fontId="125" fillId="31" borderId="0" applyNumberFormat="0" applyBorder="0" applyAlignment="0" applyProtection="0">
      <alignment vertical="center"/>
    </xf>
    <xf numFmtId="0" fontId="125" fillId="29" borderId="0" applyNumberFormat="0" applyBorder="0" applyAlignment="0" applyProtection="0">
      <alignment vertical="center"/>
    </xf>
    <xf numFmtId="0" fontId="144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10" fillId="0" borderId="0"/>
    <xf numFmtId="0" fontId="146" fillId="0" borderId="0" applyNumberForma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21" borderId="12" applyNumberFormat="0" applyAlignment="0" applyProtection="0">
      <alignment vertical="center"/>
    </xf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33" fillId="21" borderId="12" applyNumberFormat="0" applyAlignment="0" applyProtection="0"/>
    <xf numFmtId="0" fontId="148" fillId="21" borderId="12" applyNumberFormat="0" applyAlignment="0" applyProtection="0">
      <alignment vertical="center"/>
    </xf>
    <xf numFmtId="0" fontId="148" fillId="21" borderId="12" applyNumberFormat="0" applyAlignment="0" applyProtection="0">
      <alignment vertical="center"/>
    </xf>
    <xf numFmtId="238" fontId="7" fillId="0" borderId="0" applyFont="0" applyFill="0" applyBorder="0" applyAlignment="0" applyProtection="0"/>
    <xf numFmtId="0" fontId="149" fillId="25" borderId="0" applyNumberFormat="0" applyBorder="0" applyAlignment="0" applyProtection="0">
      <alignment vertical="center"/>
    </xf>
    <xf numFmtId="0" fontId="149" fillId="25" borderId="0" applyNumberFormat="0" applyBorder="0" applyAlignment="0" applyProtection="0">
      <alignment vertical="center"/>
    </xf>
    <xf numFmtId="0" fontId="150" fillId="25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51" fillId="0" borderId="0" applyNumberFormat="0" applyFill="0" applyBorder="0" applyAlignment="0" applyProtection="0"/>
    <xf numFmtId="0" fontId="7" fillId="26" borderId="19" applyNumberFormat="0" applyFont="0" applyAlignment="0" applyProtection="0">
      <alignment vertical="center"/>
    </xf>
    <xf numFmtId="0" fontId="7" fillId="26" borderId="19" applyNumberFormat="0" applyFont="0" applyAlignment="0" applyProtection="0">
      <alignment vertical="center"/>
    </xf>
    <xf numFmtId="0" fontId="7" fillId="26" borderId="19" applyNumberFormat="0" applyFont="0" applyAlignment="0" applyProtection="0">
      <alignment vertical="center"/>
    </xf>
    <xf numFmtId="0" fontId="152" fillId="0" borderId="14" applyNumberFormat="0" applyFill="0" applyAlignment="0" applyProtection="0">
      <alignment vertical="center"/>
    </xf>
    <xf numFmtId="0" fontId="152" fillId="0" borderId="14" applyNumberFormat="0" applyFill="0" applyAlignment="0" applyProtection="0">
      <alignment vertical="center"/>
    </xf>
    <xf numFmtId="0" fontId="153" fillId="0" borderId="44" applyNumberFormat="0" applyFill="0" applyAlignment="0" applyProtection="0">
      <alignment vertical="center"/>
    </xf>
    <xf numFmtId="0" fontId="83" fillId="0" borderId="23">
      <protection locked="0"/>
    </xf>
    <xf numFmtId="0" fontId="83" fillId="0" borderId="23">
      <protection locked="0"/>
    </xf>
    <xf numFmtId="0" fontId="7" fillId="0" borderId="0" applyNumberFormat="0" applyFont="0" applyFill="0" applyBorder="0" applyProtection="0">
      <alignment vertical="top"/>
    </xf>
    <xf numFmtId="0" fontId="7" fillId="0" borderId="29" applyNumberFormat="0" applyFont="0" applyFill="0" applyBorder="0" applyProtection="0">
      <alignment vertical="top" wrapText="1"/>
      <protection locked="0"/>
    </xf>
    <xf numFmtId="0" fontId="7" fillId="0" borderId="0" applyNumberFormat="0" applyFont="0" applyFill="0" applyBorder="0" applyProtection="0">
      <alignment vertical="top" wrapText="1"/>
    </xf>
    <xf numFmtId="0" fontId="22" fillId="0" borderId="37" applyNumberFormat="0" applyFont="0" applyFill="0" applyProtection="0">
      <alignment horizontal="distributed" vertical="center" wrapText="1" justifyLastLine="1"/>
    </xf>
    <xf numFmtId="0" fontId="22" fillId="0" borderId="37" applyNumberFormat="0" applyFont="0" applyFill="0" applyProtection="0">
      <alignment horizontal="distributed" vertical="center" wrapText="1" justifyLastLine="1"/>
    </xf>
    <xf numFmtId="0" fontId="7" fillId="0" borderId="0" applyNumberFormat="0" applyFont="0" applyFill="0" applyBorder="0" applyProtection="0">
      <alignment vertical="center"/>
    </xf>
    <xf numFmtId="0" fontId="7" fillId="0" borderId="0" applyNumberFormat="0" applyFont="0" applyFill="0" applyBorder="0" applyProtection="0">
      <alignment vertical="center" wrapText="1"/>
    </xf>
    <xf numFmtId="0" fontId="7" fillId="0" borderId="0" applyNumberFormat="0" applyFont="0" applyFill="0" applyBorder="0" applyProtection="0"/>
    <xf numFmtId="0" fontId="154" fillId="11" borderId="11" applyNumberFormat="0" applyAlignment="0" applyProtection="0">
      <alignment vertical="center"/>
    </xf>
    <xf numFmtId="0" fontId="154" fillId="11" borderId="11" applyNumberFormat="0" applyAlignment="0" applyProtection="0">
      <alignment vertical="center"/>
    </xf>
    <xf numFmtId="0" fontId="154" fillId="25" borderId="11" applyNumberFormat="0" applyAlignment="0" applyProtection="0">
      <alignment vertical="center"/>
    </xf>
    <xf numFmtId="0" fontId="154" fillId="25" borderId="11" applyNumberFormat="0" applyAlignment="0" applyProtection="0">
      <alignment vertical="center"/>
    </xf>
    <xf numFmtId="0" fontId="155" fillId="20" borderId="20" applyNumberFormat="0" applyAlignment="0" applyProtection="0">
      <alignment vertical="center"/>
    </xf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66" fillId="20" borderId="20" applyNumberFormat="0" applyAlignment="0" applyProtection="0"/>
    <xf numFmtId="0" fontId="155" fillId="20" borderId="20" applyNumberFormat="0" applyAlignment="0" applyProtection="0">
      <alignment vertical="center"/>
    </xf>
    <xf numFmtId="0" fontId="155" fillId="35" borderId="20" applyNumberFormat="0" applyAlignment="0" applyProtection="0">
      <alignment vertical="center"/>
    </xf>
    <xf numFmtId="0" fontId="155" fillId="35" borderId="20" applyNumberFormat="0" applyAlignment="0" applyProtection="0">
      <alignment vertical="center"/>
    </xf>
    <xf numFmtId="0" fontId="156" fillId="0" borderId="0" applyNumberFormat="0" applyFill="0" applyBorder="0" applyAlignment="0" applyProtection="0"/>
    <xf numFmtId="0" fontId="157" fillId="7" borderId="0" applyNumberFormat="0" applyBorder="0" applyAlignment="0" applyProtection="0">
      <alignment vertical="center"/>
    </xf>
    <xf numFmtId="0" fontId="157" fillId="7" borderId="0" applyNumberFormat="0" applyBorder="0" applyAlignment="0" applyProtection="0">
      <alignment vertical="center"/>
    </xf>
    <xf numFmtId="0" fontId="157" fillId="9" borderId="0" applyNumberFormat="0" applyBorder="0" applyAlignment="0" applyProtection="0">
      <alignment vertical="center"/>
    </xf>
    <xf numFmtId="38" fontId="96" fillId="0" borderId="0" applyFont="0" applyFill="0" applyBorder="0" applyAlignment="0" applyProtection="0"/>
    <xf numFmtId="38" fontId="97" fillId="0" borderId="0" applyFont="0" applyFill="0" applyBorder="0" applyAlignment="0" applyProtection="0">
      <alignment vertical="center"/>
    </xf>
    <xf numFmtId="38" fontId="62" fillId="0" borderId="0" applyFont="0" applyFill="0" applyBorder="0" applyAlignment="0" applyProtection="0">
      <alignment vertical="center"/>
    </xf>
    <xf numFmtId="38" fontId="100" fillId="0" borderId="0" applyFont="0" applyFill="0" applyBorder="0" applyAlignment="0" applyProtection="0"/>
    <xf numFmtId="38" fontId="6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0" fontId="96" fillId="0" borderId="0"/>
    <xf numFmtId="0" fontId="7" fillId="0" borderId="0"/>
    <xf numFmtId="0" fontId="7" fillId="0" borderId="0"/>
    <xf numFmtId="0" fontId="96" fillId="0" borderId="0"/>
    <xf numFmtId="0" fontId="7" fillId="0" borderId="0">
      <alignment vertical="center"/>
    </xf>
    <xf numFmtId="0" fontId="78" fillId="0" borderId="0">
      <alignment vertical="center"/>
    </xf>
    <xf numFmtId="0" fontId="10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158" fillId="0" borderId="0">
      <alignment vertical="center"/>
      <protection locked="0"/>
    </xf>
    <xf numFmtId="239" fontId="159" fillId="0" borderId="0" applyFont="0" applyFill="0" applyBorder="0" applyAlignment="0" applyProtection="0"/>
    <xf numFmtId="240" fontId="159" fillId="0" borderId="0" applyFont="0" applyFill="0" applyBorder="0" applyAlignment="0" applyProtection="0"/>
    <xf numFmtId="0" fontId="160" fillId="8" borderId="0" applyNumberFormat="0" applyBorder="0" applyAlignment="0" applyProtection="0">
      <alignment vertical="center"/>
    </xf>
    <xf numFmtId="0" fontId="160" fillId="8" borderId="0" applyNumberFormat="0" applyBorder="0" applyAlignment="0" applyProtection="0">
      <alignment vertical="center"/>
    </xf>
    <xf numFmtId="0" fontId="160" fillId="10" borderId="0" applyNumberFormat="0" applyBorder="0" applyAlignment="0" applyProtection="0">
      <alignment vertical="center"/>
    </xf>
    <xf numFmtId="0" fontId="161" fillId="0" borderId="16" applyNumberFormat="0" applyFill="0" applyAlignment="0" applyProtection="0">
      <alignment vertical="center"/>
    </xf>
    <xf numFmtId="0" fontId="161" fillId="0" borderId="16" applyNumberFormat="0" applyFill="0" applyAlignment="0" applyProtection="0">
      <alignment vertical="center"/>
    </xf>
    <xf numFmtId="0" fontId="162" fillId="0" borderId="45" applyNumberFormat="0" applyFill="0" applyAlignment="0" applyProtection="0">
      <alignment vertical="center"/>
    </xf>
    <xf numFmtId="0" fontId="163" fillId="0" borderId="17" applyNumberFormat="0" applyFill="0" applyAlignment="0" applyProtection="0">
      <alignment vertical="center"/>
    </xf>
    <xf numFmtId="0" fontId="163" fillId="0" borderId="17" applyNumberFormat="0" applyFill="0" applyAlignment="0" applyProtection="0">
      <alignment vertical="center"/>
    </xf>
    <xf numFmtId="0" fontId="164" fillId="0" borderId="46" applyNumberFormat="0" applyFill="0" applyAlignment="0" applyProtection="0">
      <alignment vertical="center"/>
    </xf>
    <xf numFmtId="0" fontId="165" fillId="0" borderId="18" applyNumberFormat="0" applyFill="0" applyAlignment="0" applyProtection="0">
      <alignment vertical="center"/>
    </xf>
    <xf numFmtId="0" fontId="165" fillId="0" borderId="18" applyNumberFormat="0" applyFill="0" applyAlignment="0" applyProtection="0">
      <alignment vertical="center"/>
    </xf>
    <xf numFmtId="0" fontId="166" fillId="0" borderId="47" applyNumberFormat="0" applyFill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7" fillId="20" borderId="11" applyNumberFormat="0" applyAlignment="0" applyProtection="0">
      <alignment vertical="center"/>
    </xf>
    <xf numFmtId="0" fontId="168" fillId="35" borderId="11" applyNumberFormat="0" applyAlignment="0" applyProtection="0">
      <alignment vertical="center"/>
    </xf>
    <xf numFmtId="0" fontId="168" fillId="35" borderId="11" applyNumberFormat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70" fillId="0" borderId="21" applyNumberFormat="0" applyFill="0" applyAlignment="0" applyProtection="0">
      <alignment vertical="center"/>
    </xf>
    <xf numFmtId="0" fontId="170" fillId="0" borderId="21" applyNumberFormat="0" applyFill="0" applyAlignment="0" applyProtection="0">
      <alignment vertical="center"/>
    </xf>
    <xf numFmtId="0" fontId="170" fillId="0" borderId="48" applyNumberFormat="0" applyFill="0" applyAlignment="0" applyProtection="0">
      <alignment vertical="center"/>
    </xf>
    <xf numFmtId="0" fontId="170" fillId="0" borderId="48" applyNumberFormat="0" applyFill="0" applyAlignment="0" applyProtection="0">
      <alignment vertical="center"/>
    </xf>
    <xf numFmtId="0" fontId="171" fillId="0" borderId="0"/>
    <xf numFmtId="43" fontId="171" fillId="0" borderId="0" applyFont="0" applyFill="0" applyBorder="0" applyAlignment="0" applyProtection="0"/>
    <xf numFmtId="0" fontId="172" fillId="0" borderId="0"/>
    <xf numFmtId="0" fontId="3" fillId="0" borderId="0"/>
    <xf numFmtId="0" fontId="173" fillId="0" borderId="0"/>
    <xf numFmtId="0" fontId="174" fillId="0" borderId="0"/>
    <xf numFmtId="43" fontId="174" fillId="0" borderId="0" applyFont="0" applyFill="0" applyBorder="0" applyAlignment="0" applyProtection="0"/>
    <xf numFmtId="196" fontId="3" fillId="0" borderId="0"/>
    <xf numFmtId="43" fontId="1" fillId="0" borderId="0" applyFont="0" applyFill="0" applyBorder="0" applyAlignment="0" applyProtection="0"/>
    <xf numFmtId="196" fontId="1" fillId="0" borderId="0"/>
    <xf numFmtId="9" fontId="1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0" fontId="195" fillId="0" borderId="60" applyNumberFormat="0" applyFill="0" applyAlignment="0" applyProtection="0"/>
    <xf numFmtId="0" fontId="196" fillId="0" borderId="61" applyNumberFormat="0" applyFill="0" applyAlignment="0" applyProtection="0"/>
    <xf numFmtId="0" fontId="197" fillId="0" borderId="62" applyNumberFormat="0" applyFill="0" applyAlignment="0" applyProtection="0"/>
    <xf numFmtId="0" fontId="197" fillId="0" borderId="0" applyNumberFormat="0" applyFill="0" applyBorder="0" applyAlignment="0" applyProtection="0"/>
    <xf numFmtId="0" fontId="198" fillId="47" borderId="0" applyNumberFormat="0" applyBorder="0" applyAlignment="0" applyProtection="0"/>
    <xf numFmtId="0" fontId="199" fillId="48" borderId="0" applyNumberFormat="0" applyBorder="0" applyAlignment="0" applyProtection="0"/>
    <xf numFmtId="0" fontId="200" fillId="49" borderId="0" applyNumberFormat="0" applyBorder="0" applyAlignment="0" applyProtection="0"/>
    <xf numFmtId="0" fontId="201" fillId="50" borderId="63" applyNumberFormat="0" applyAlignment="0" applyProtection="0"/>
    <xf numFmtId="0" fontId="202" fillId="51" borderId="64" applyNumberFormat="0" applyAlignment="0" applyProtection="0"/>
    <xf numFmtId="0" fontId="203" fillId="51" borderId="63" applyNumberFormat="0" applyAlignment="0" applyProtection="0"/>
    <xf numFmtId="0" fontId="204" fillId="0" borderId="65" applyNumberFormat="0" applyFill="0" applyAlignment="0" applyProtection="0"/>
    <xf numFmtId="0" fontId="205" fillId="52" borderId="66" applyNumberFormat="0" applyAlignment="0" applyProtection="0"/>
    <xf numFmtId="0" fontId="206" fillId="0" borderId="0" applyNumberFormat="0" applyFill="0" applyBorder="0" applyAlignment="0" applyProtection="0"/>
    <xf numFmtId="0" fontId="1" fillId="53" borderId="67" applyNumberFormat="0" applyFont="0" applyAlignment="0" applyProtection="0"/>
    <xf numFmtId="0" fontId="207" fillId="0" borderId="0" applyNumberFormat="0" applyFill="0" applyBorder="0" applyAlignment="0" applyProtection="0"/>
    <xf numFmtId="0" fontId="187" fillId="0" borderId="68" applyNumberFormat="0" applyFill="0" applyAlignment="0" applyProtection="0"/>
    <xf numFmtId="0" fontId="208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208" fillId="57" borderId="0" applyNumberFormat="0" applyBorder="0" applyAlignment="0" applyProtection="0"/>
    <xf numFmtId="0" fontId="208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208" fillId="61" borderId="0" applyNumberFormat="0" applyBorder="0" applyAlignment="0" applyProtection="0"/>
    <xf numFmtId="0" fontId="208" fillId="62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208" fillId="65" borderId="0" applyNumberFormat="0" applyBorder="0" applyAlignment="0" applyProtection="0"/>
    <xf numFmtId="0" fontId="208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68" borderId="0" applyNumberFormat="0" applyBorder="0" applyAlignment="0" applyProtection="0"/>
    <xf numFmtId="0" fontId="208" fillId="69" borderId="0" applyNumberFormat="0" applyBorder="0" applyAlignment="0" applyProtection="0"/>
    <xf numFmtId="0" fontId="208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2" borderId="0" applyNumberFormat="0" applyBorder="0" applyAlignment="0" applyProtection="0"/>
    <xf numFmtId="0" fontId="208" fillId="73" borderId="0" applyNumberFormat="0" applyBorder="0" applyAlignment="0" applyProtection="0"/>
    <xf numFmtId="0" fontId="208" fillId="74" borderId="0" applyNumberFormat="0" applyBorder="0" applyAlignment="0" applyProtection="0"/>
    <xf numFmtId="0" fontId="1" fillId="75" borderId="0" applyNumberFormat="0" applyBorder="0" applyAlignment="0" applyProtection="0"/>
    <xf numFmtId="0" fontId="1" fillId="76" borderId="0" applyNumberFormat="0" applyBorder="0" applyAlignment="0" applyProtection="0"/>
    <xf numFmtId="0" fontId="208" fillId="77" borderId="0" applyNumberFormat="0" applyBorder="0" applyAlignment="0" applyProtection="0"/>
    <xf numFmtId="0" fontId="4" fillId="0" borderId="0"/>
    <xf numFmtId="0" fontId="209" fillId="0" borderId="0"/>
    <xf numFmtId="0" fontId="3" fillId="0" borderId="0"/>
    <xf numFmtId="0" fontId="4" fillId="0" borderId="0">
      <alignment vertical="center"/>
    </xf>
  </cellStyleXfs>
  <cellXfs count="190">
    <xf numFmtId="0" fontId="0" fillId="0" borderId="0" xfId="0"/>
    <xf numFmtId="0" fontId="106" fillId="0" borderId="0" xfId="0" applyFont="1" applyAlignment="1">
      <alignment horizontal="center" vertical="center"/>
    </xf>
    <xf numFmtId="4" fontId="107" fillId="2" borderId="5" xfId="2" applyNumberFormat="1" applyFont="1" applyFill="1" applyBorder="1" applyAlignment="1">
      <alignment horizontal="center" vertical="center" wrapText="1"/>
    </xf>
    <xf numFmtId="0" fontId="107" fillId="0" borderId="0" xfId="0" applyFont="1" applyAlignment="1">
      <alignment horizontal="left"/>
    </xf>
    <xf numFmtId="0" fontId="106" fillId="0" borderId="0" xfId="0" applyFont="1"/>
    <xf numFmtId="44" fontId="106" fillId="0" borderId="0" xfId="0" applyNumberFormat="1" applyFont="1" applyAlignment="1">
      <alignment vertical="center"/>
    </xf>
    <xf numFmtId="2" fontId="106" fillId="0" borderId="0" xfId="0" applyNumberFormat="1" applyFont="1"/>
    <xf numFmtId="4" fontId="106" fillId="0" borderId="0" xfId="0" applyNumberFormat="1" applyFont="1"/>
    <xf numFmtId="44" fontId="108" fillId="0" borderId="0" xfId="0" applyNumberFormat="1" applyFont="1" applyAlignment="1">
      <alignment horizontal="right"/>
    </xf>
    <xf numFmtId="2" fontId="109" fillId="0" borderId="0" xfId="0" applyNumberFormat="1" applyFont="1" applyAlignment="1">
      <alignment horizontal="center"/>
    </xf>
    <xf numFmtId="4" fontId="109" fillId="0" borderId="0" xfId="0" applyNumberFormat="1" applyFont="1" applyAlignment="1">
      <alignment horizontal="center"/>
    </xf>
    <xf numFmtId="0" fontId="107" fillId="0" borderId="0" xfId="0" applyFont="1" applyAlignment="1">
      <alignment wrapText="1"/>
    </xf>
    <xf numFmtId="0" fontId="109" fillId="0" borderId="0" xfId="0" applyFont="1"/>
    <xf numFmtId="0" fontId="110" fillId="0" borderId="0" xfId="0" applyFont="1"/>
    <xf numFmtId="0" fontId="106" fillId="0" borderId="0" xfId="0" applyFont="1" applyAlignment="1">
      <alignment horizontal="center"/>
    </xf>
    <xf numFmtId="0" fontId="107" fillId="33" borderId="0" xfId="0" applyFont="1" applyFill="1" applyAlignment="1">
      <alignment horizontal="center"/>
    </xf>
    <xf numFmtId="44" fontId="106" fillId="33" borderId="0" xfId="0" applyNumberFormat="1" applyFont="1" applyFill="1" applyAlignment="1">
      <alignment vertical="center"/>
    </xf>
    <xf numFmtId="44" fontId="108" fillId="33" borderId="0" xfId="0" applyNumberFormat="1" applyFont="1" applyFill="1" applyAlignment="1">
      <alignment horizontal="right"/>
    </xf>
    <xf numFmtId="0" fontId="107" fillId="33" borderId="0" xfId="0" applyFont="1" applyFill="1" applyAlignment="1">
      <alignment horizontal="center" vertical="center"/>
    </xf>
    <xf numFmtId="44" fontId="107" fillId="33" borderId="0" xfId="0" applyNumberFormat="1" applyFont="1" applyFill="1" applyAlignment="1">
      <alignment vertical="center" wrapText="1"/>
    </xf>
    <xf numFmtId="44" fontId="107" fillId="33" borderId="0" xfId="0" applyNumberFormat="1" applyFont="1" applyFill="1" applyAlignment="1">
      <alignment vertical="center"/>
    </xf>
    <xf numFmtId="0" fontId="107" fillId="0" borderId="0" xfId="0" applyFont="1"/>
    <xf numFmtId="0" fontId="111" fillId="0" borderId="0" xfId="0" applyFont="1" applyAlignment="1">
      <alignment horizontal="left"/>
    </xf>
    <xf numFmtId="0" fontId="117" fillId="34" borderId="28" xfId="0" applyFont="1" applyFill="1" applyBorder="1" applyAlignment="1">
      <alignment horizontal="center" vertical="center"/>
    </xf>
    <xf numFmtId="43" fontId="116" fillId="32" borderId="4" xfId="0" applyNumberFormat="1" applyFont="1" applyFill="1" applyBorder="1"/>
    <xf numFmtId="4" fontId="107" fillId="4" borderId="33" xfId="2" quotePrefix="1" applyNumberFormat="1" applyFont="1" applyFill="1" applyBorder="1" applyAlignment="1">
      <alignment horizontal="center" vertical="center" wrapText="1"/>
    </xf>
    <xf numFmtId="43" fontId="117" fillId="0" borderId="8" xfId="0" applyNumberFormat="1" applyFont="1" applyBorder="1"/>
    <xf numFmtId="43" fontId="117" fillId="0" borderId="0" xfId="0" applyNumberFormat="1" applyFont="1"/>
    <xf numFmtId="43" fontId="117" fillId="0" borderId="25" xfId="1" applyFont="1" applyFill="1" applyBorder="1" applyAlignment="1" applyProtection="1">
      <alignment horizontal="left" vertical="top"/>
    </xf>
    <xf numFmtId="43" fontId="116" fillId="32" borderId="1" xfId="0" applyNumberFormat="1" applyFont="1" applyFill="1" applyBorder="1"/>
    <xf numFmtId="2" fontId="106" fillId="4" borderId="4" xfId="2" quotePrefix="1" applyNumberFormat="1" applyFont="1" applyFill="1" applyBorder="1" applyAlignment="1">
      <alignment horizontal="center" vertical="center" wrapText="1"/>
    </xf>
    <xf numFmtId="43" fontId="117" fillId="0" borderId="7" xfId="0" applyNumberFormat="1" applyFont="1" applyBorder="1"/>
    <xf numFmtId="10" fontId="117" fillId="0" borderId="7" xfId="678" applyNumberFormat="1" applyFont="1" applyFill="1" applyBorder="1" applyAlignment="1" applyProtection="1">
      <alignment horizontal="right" vertical="top"/>
    </xf>
    <xf numFmtId="38" fontId="110" fillId="4" borderId="6" xfId="2" quotePrefix="1" applyFont="1" applyFill="1" applyBorder="1" applyAlignment="1">
      <alignment horizontal="center" vertical="center"/>
    </xf>
    <xf numFmtId="43" fontId="117" fillId="0" borderId="34" xfId="1" applyFont="1" applyFill="1" applyBorder="1" applyAlignment="1" applyProtection="1">
      <alignment horizontal="left" vertical="top"/>
    </xf>
    <xf numFmtId="44" fontId="118" fillId="0" borderId="0" xfId="0" applyNumberFormat="1" applyFont="1" applyAlignment="1">
      <alignment horizontal="right"/>
    </xf>
    <xf numFmtId="44" fontId="119" fillId="0" borderId="0" xfId="0" applyNumberFormat="1" applyFont="1" applyAlignment="1">
      <alignment horizontal="right"/>
    </xf>
    <xf numFmtId="43" fontId="110" fillId="4" borderId="27" xfId="1" applyFont="1" applyFill="1" applyBorder="1" applyAlignment="1">
      <alignment horizontal="center" vertical="center"/>
    </xf>
    <xf numFmtId="9" fontId="110" fillId="4" borderId="6" xfId="678" quotePrefix="1" applyFont="1" applyFill="1" applyBorder="1" applyAlignment="1">
      <alignment horizontal="center" vertical="center"/>
    </xf>
    <xf numFmtId="4" fontId="107" fillId="0" borderId="0" xfId="0" applyNumberFormat="1" applyFont="1"/>
    <xf numFmtId="4" fontId="108" fillId="0" borderId="0" xfId="0" applyNumberFormat="1" applyFont="1" applyAlignment="1">
      <alignment horizontal="center"/>
    </xf>
    <xf numFmtId="0" fontId="107" fillId="4" borderId="6" xfId="0" applyFont="1" applyFill="1" applyBorder="1" applyAlignment="1">
      <alignment horizontal="center" vertical="center" wrapText="1"/>
    </xf>
    <xf numFmtId="44" fontId="107" fillId="4" borderId="6" xfId="0" applyNumberFormat="1" applyFont="1" applyFill="1" applyBorder="1" applyAlignment="1">
      <alignment vertical="center" wrapText="1"/>
    </xf>
    <xf numFmtId="10" fontId="116" fillId="32" borderId="4" xfId="678" applyNumberFormat="1" applyFont="1" applyFill="1" applyBorder="1" applyAlignment="1"/>
    <xf numFmtId="2" fontId="107" fillId="4" borderId="7" xfId="2" quotePrefix="1" applyNumberFormat="1" applyFont="1" applyFill="1" applyBorder="1" applyAlignment="1">
      <alignment horizontal="center" vertical="center" wrapText="1"/>
    </xf>
    <xf numFmtId="43" fontId="116" fillId="32" borderId="33" xfId="0" applyNumberFormat="1" applyFont="1" applyFill="1" applyBorder="1"/>
    <xf numFmtId="43" fontId="106" fillId="4" borderId="37" xfId="1" applyFont="1" applyFill="1" applyBorder="1" applyAlignment="1">
      <alignment horizontal="center" vertical="center" wrapText="1"/>
    </xf>
    <xf numFmtId="0" fontId="112" fillId="34" borderId="38" xfId="679" applyFont="1" applyFill="1" applyBorder="1">
      <alignment vertical="center"/>
    </xf>
    <xf numFmtId="0" fontId="112" fillId="34" borderId="39" xfId="679" applyFont="1" applyFill="1" applyBorder="1">
      <alignment vertical="center"/>
    </xf>
    <xf numFmtId="44" fontId="106" fillId="34" borderId="40" xfId="0" applyNumberFormat="1" applyFont="1" applyFill="1" applyBorder="1" applyAlignment="1">
      <alignment vertical="center"/>
    </xf>
    <xf numFmtId="44" fontId="106" fillId="34" borderId="39" xfId="0" applyNumberFormat="1" applyFont="1" applyFill="1" applyBorder="1" applyAlignment="1">
      <alignment vertical="center"/>
    </xf>
    <xf numFmtId="0" fontId="106" fillId="34" borderId="0" xfId="0" applyFont="1" applyFill="1"/>
    <xf numFmtId="44" fontId="106" fillId="34" borderId="41" xfId="0" applyNumberFormat="1" applyFont="1" applyFill="1" applyBorder="1" applyAlignment="1">
      <alignment vertical="center"/>
    </xf>
    <xf numFmtId="44" fontId="106" fillId="34" borderId="0" xfId="0" applyNumberFormat="1" applyFont="1" applyFill="1" applyAlignment="1">
      <alignment vertical="center"/>
    </xf>
    <xf numFmtId="0" fontId="106" fillId="34" borderId="42" xfId="0" applyFont="1" applyFill="1" applyBorder="1"/>
    <xf numFmtId="44" fontId="106" fillId="34" borderId="43" xfId="0" applyNumberFormat="1" applyFont="1" applyFill="1" applyBorder="1" applyAlignment="1">
      <alignment vertical="center"/>
    </xf>
    <xf numFmtId="44" fontId="106" fillId="34" borderId="42" xfId="0" applyNumberFormat="1" applyFont="1" applyFill="1" applyBorder="1" applyAlignment="1">
      <alignment vertical="center"/>
    </xf>
    <xf numFmtId="0" fontId="106" fillId="0" borderId="41" xfId="0" applyFont="1" applyBorder="1" applyAlignment="1">
      <alignment horizontal="center" vertical="center"/>
    </xf>
    <xf numFmtId="43" fontId="117" fillId="0" borderId="0" xfId="1" applyFont="1" applyFill="1" applyBorder="1" applyAlignment="1">
      <alignment vertical="center"/>
    </xf>
    <xf numFmtId="43" fontId="110" fillId="4" borderId="1" xfId="1" applyFont="1" applyFill="1" applyBorder="1" applyAlignment="1">
      <alignment horizontal="center" vertical="center"/>
    </xf>
    <xf numFmtId="9" fontId="110" fillId="4" borderId="37" xfId="678" quotePrefix="1" applyFont="1" applyFill="1" applyBorder="1" applyAlignment="1">
      <alignment horizontal="center" vertical="center"/>
    </xf>
    <xf numFmtId="43" fontId="106" fillId="4" borderId="6" xfId="1" applyFont="1" applyFill="1" applyBorder="1" applyAlignment="1">
      <alignment horizontal="center" vertical="center" wrapText="1"/>
    </xf>
    <xf numFmtId="43" fontId="117" fillId="0" borderId="49" xfId="1" applyFont="1" applyBorder="1" applyAlignment="1">
      <alignment vertical="center"/>
    </xf>
    <xf numFmtId="43" fontId="117" fillId="0" borderId="50" xfId="1" applyFont="1" applyFill="1" applyBorder="1" applyAlignment="1" applyProtection="1">
      <alignment horizontal="left" vertical="top"/>
    </xf>
    <xf numFmtId="10" fontId="117" fillId="0" borderId="50" xfId="678" applyNumberFormat="1" applyFont="1" applyFill="1" applyBorder="1" applyAlignment="1" applyProtection="1">
      <alignment horizontal="right" vertical="top"/>
    </xf>
    <xf numFmtId="0" fontId="106" fillId="0" borderId="0" xfId="0" applyFont="1" applyAlignment="1">
      <alignment vertical="center"/>
    </xf>
    <xf numFmtId="0" fontId="117" fillId="34" borderId="50" xfId="0" quotePrefix="1" applyFont="1" applyFill="1" applyBorder="1" applyAlignment="1">
      <alignment horizontal="center"/>
    </xf>
    <xf numFmtId="43" fontId="117" fillId="34" borderId="50" xfId="0" applyNumberFormat="1" applyFont="1" applyFill="1" applyBorder="1"/>
    <xf numFmtId="0" fontId="175" fillId="0" borderId="0" xfId="0" applyFont="1"/>
    <xf numFmtId="0" fontId="176" fillId="32" borderId="51" xfId="0" applyFont="1" applyFill="1" applyBorder="1" applyAlignment="1">
      <alignment horizontal="center" wrapText="1"/>
    </xf>
    <xf numFmtId="0" fontId="176" fillId="32" borderId="52" xfId="0" applyFont="1" applyFill="1" applyBorder="1" applyAlignment="1">
      <alignment horizontal="center" wrapText="1"/>
    </xf>
    <xf numFmtId="43" fontId="175" fillId="0" borderId="0" xfId="1" applyFont="1" applyBorder="1" applyAlignment="1">
      <alignment horizontal="center"/>
    </xf>
    <xf numFmtId="0" fontId="175" fillId="0" borderId="0" xfId="0" applyFont="1" applyAlignment="1">
      <alignment horizontal="center"/>
    </xf>
    <xf numFmtId="0" fontId="177" fillId="0" borderId="0" xfId="0" applyFont="1"/>
    <xf numFmtId="0" fontId="177" fillId="0" borderId="0" xfId="0" applyFont="1" applyAlignment="1">
      <alignment wrapText="1"/>
    </xf>
    <xf numFmtId="0" fontId="177" fillId="0" borderId="0" xfId="0" applyFont="1" applyAlignment="1">
      <alignment horizontal="center"/>
    </xf>
    <xf numFmtId="0" fontId="178" fillId="0" borderId="0" xfId="0" applyFont="1" applyAlignment="1">
      <alignment horizontal="center"/>
    </xf>
    <xf numFmtId="15" fontId="175" fillId="0" borderId="0" xfId="0" applyNumberFormat="1" applyFont="1"/>
    <xf numFmtId="43" fontId="175" fillId="0" borderId="0" xfId="1" applyFont="1"/>
    <xf numFmtId="0" fontId="182" fillId="42" borderId="54" xfId="0" applyFont="1" applyFill="1" applyBorder="1" applyAlignment="1">
      <alignment horizontal="center" vertical="center" wrapText="1"/>
    </xf>
    <xf numFmtId="0" fontId="176" fillId="43" borderId="0" xfId="0" applyFont="1" applyFill="1" applyAlignment="1">
      <alignment horizontal="center" vertical="center"/>
    </xf>
    <xf numFmtId="14" fontId="175" fillId="0" borderId="0" xfId="0" applyNumberFormat="1" applyFont="1"/>
    <xf numFmtId="44" fontId="106" fillId="0" borderId="0" xfId="0" applyNumberFormat="1" applyFont="1" applyAlignment="1">
      <alignment horizontal="center" vertical="center"/>
    </xf>
    <xf numFmtId="44" fontId="108" fillId="0" borderId="0" xfId="0" applyNumberFormat="1" applyFont="1" applyAlignment="1">
      <alignment horizontal="center"/>
    </xf>
    <xf numFmtId="44" fontId="183" fillId="3" borderId="0" xfId="0" quotePrefix="1" applyNumberFormat="1" applyFont="1" applyFill="1" applyAlignment="1">
      <alignment horizontal="center" vertical="center" wrapText="1"/>
    </xf>
    <xf numFmtId="0" fontId="182" fillId="3" borderId="54" xfId="0" applyFont="1" applyFill="1" applyBorder="1" applyAlignment="1">
      <alignment horizontal="center" vertical="center" wrapText="1"/>
    </xf>
    <xf numFmtId="39" fontId="184" fillId="3" borderId="0" xfId="0" applyNumberFormat="1" applyFont="1" applyFill="1" applyAlignment="1">
      <alignment horizontal="center" vertical="center"/>
    </xf>
    <xf numFmtId="39" fontId="185" fillId="3" borderId="0" xfId="0" applyNumberFormat="1" applyFont="1" applyFill="1" applyAlignment="1">
      <alignment horizontal="center" vertical="center"/>
    </xf>
    <xf numFmtId="0" fontId="182" fillId="45" borderId="54" xfId="0" applyFont="1" applyFill="1" applyBorder="1" applyAlignment="1">
      <alignment horizontal="center" vertical="center" wrapText="1"/>
    </xf>
    <xf numFmtId="0" fontId="188" fillId="45" borderId="54" xfId="0" applyFont="1" applyFill="1" applyBorder="1" applyAlignment="1">
      <alignment horizontal="center" vertical="center" wrapText="1"/>
    </xf>
    <xf numFmtId="0" fontId="193" fillId="0" borderId="0" xfId="0" applyFont="1"/>
    <xf numFmtId="0" fontId="175" fillId="0" borderId="0" xfId="0" applyFont="1" applyAlignment="1">
      <alignment horizontal="right"/>
    </xf>
    <xf numFmtId="0" fontId="175" fillId="46" borderId="0" xfId="0" applyFont="1" applyFill="1"/>
    <xf numFmtId="43" fontId="106" fillId="0" borderId="0" xfId="1" applyFont="1" applyAlignment="1">
      <alignment vertical="center"/>
    </xf>
    <xf numFmtId="43" fontId="175" fillId="0" borderId="0" xfId="0" applyNumberFormat="1" applyFont="1"/>
    <xf numFmtId="4" fontId="175" fillId="0" borderId="0" xfId="0" applyNumberFormat="1" applyFont="1"/>
    <xf numFmtId="43" fontId="117" fillId="37" borderId="7" xfId="1" applyFont="1" applyFill="1" applyBorder="1" applyAlignment="1">
      <alignment vertical="center"/>
    </xf>
    <xf numFmtId="43" fontId="117" fillId="0" borderId="7" xfId="1" applyFont="1" applyFill="1" applyBorder="1" applyAlignment="1">
      <alignment vertical="center"/>
    </xf>
    <xf numFmtId="43" fontId="177" fillId="0" borderId="0" xfId="1" applyFont="1" applyBorder="1" applyAlignment="1">
      <alignment horizontal="center"/>
    </xf>
    <xf numFmtId="43" fontId="177" fillId="0" borderId="0" xfId="1" applyFont="1"/>
    <xf numFmtId="0" fontId="107" fillId="32" borderId="9" xfId="0" applyFont="1" applyFill="1" applyBorder="1" applyAlignment="1">
      <alignment horizontal="left"/>
    </xf>
    <xf numFmtId="0" fontId="107" fillId="32" borderId="10" xfId="0" applyFont="1" applyFill="1" applyBorder="1" applyAlignment="1">
      <alignment horizontal="left"/>
    </xf>
    <xf numFmtId="0" fontId="117" fillId="34" borderId="50" xfId="0" applyFont="1" applyFill="1" applyBorder="1" applyAlignment="1">
      <alignment horizontal="center"/>
    </xf>
    <xf numFmtId="44" fontId="117" fillId="34" borderId="50" xfId="0" applyNumberFormat="1" applyFont="1" applyFill="1" applyBorder="1" applyAlignment="1">
      <alignment vertical="center"/>
    </xf>
    <xf numFmtId="0" fontId="117" fillId="34" borderId="33" xfId="0" quotePrefix="1" applyFont="1" applyFill="1" applyBorder="1" applyAlignment="1">
      <alignment horizontal="center"/>
    </xf>
    <xf numFmtId="44" fontId="117" fillId="34" borderId="33" xfId="0" applyNumberFormat="1" applyFont="1" applyFill="1" applyBorder="1" applyAlignment="1">
      <alignment vertical="center"/>
    </xf>
    <xf numFmtId="43" fontId="117" fillId="0" borderId="55" xfId="1" applyFont="1" applyBorder="1" applyAlignment="1">
      <alignment vertical="center"/>
    </xf>
    <xf numFmtId="43" fontId="117" fillId="0" borderId="56" xfId="1" applyFont="1" applyFill="1" applyBorder="1" applyAlignment="1" applyProtection="1">
      <alignment horizontal="left" vertical="top"/>
    </xf>
    <xf numFmtId="43" fontId="117" fillId="0" borderId="69" xfId="1" applyFont="1" applyFill="1" applyBorder="1" applyAlignment="1" applyProtection="1">
      <alignment horizontal="left" vertical="top"/>
    </xf>
    <xf numFmtId="10" fontId="117" fillId="0" borderId="56" xfId="678" applyNumberFormat="1" applyFont="1" applyFill="1" applyBorder="1" applyAlignment="1" applyProtection="1">
      <alignment horizontal="right" vertical="top"/>
    </xf>
    <xf numFmtId="43" fontId="117" fillId="0" borderId="26" xfId="1" applyFont="1" applyBorder="1" applyAlignment="1">
      <alignment vertical="center"/>
    </xf>
    <xf numFmtId="43" fontId="117" fillId="0" borderId="33" xfId="1" applyFont="1" applyFill="1" applyBorder="1" applyAlignment="1" applyProtection="1">
      <alignment horizontal="left" vertical="top"/>
    </xf>
    <xf numFmtId="43" fontId="117" fillId="0" borderId="70" xfId="1" applyFont="1" applyFill="1" applyBorder="1" applyAlignment="1" applyProtection="1">
      <alignment horizontal="left" vertical="top"/>
    </xf>
    <xf numFmtId="10" fontId="117" fillId="0" borderId="33" xfId="678" applyNumberFormat="1" applyFont="1" applyFill="1" applyBorder="1" applyAlignment="1" applyProtection="1">
      <alignment horizontal="right" vertical="top"/>
    </xf>
    <xf numFmtId="43" fontId="117" fillId="34" borderId="56" xfId="0" applyNumberFormat="1" applyFont="1" applyFill="1" applyBorder="1"/>
    <xf numFmtId="43" fontId="117" fillId="34" borderId="33" xfId="0" applyNumberFormat="1" applyFont="1" applyFill="1" applyBorder="1"/>
    <xf numFmtId="0" fontId="175" fillId="78" borderId="0" xfId="0" applyFont="1" applyFill="1"/>
    <xf numFmtId="0" fontId="177" fillId="0" borderId="0" xfId="0" applyFont="1" applyAlignment="1">
      <alignment horizontal="left"/>
    </xf>
    <xf numFmtId="0" fontId="175" fillId="0" borderId="0" xfId="0" applyFont="1" applyAlignment="1">
      <alignment horizontal="left"/>
    </xf>
    <xf numFmtId="0" fontId="180" fillId="0" borderId="74" xfId="0" applyFont="1" applyBorder="1" applyAlignment="1">
      <alignment horizontal="center" vertical="center" wrapText="1"/>
    </xf>
    <xf numFmtId="0" fontId="181" fillId="0" borderId="75" xfId="0" applyFont="1" applyBorder="1" applyAlignment="1">
      <alignment horizontal="center" vertical="center" wrapText="1"/>
    </xf>
    <xf numFmtId="43" fontId="177" fillId="0" borderId="0" xfId="1" applyFont="1" applyFill="1" applyBorder="1" applyAlignment="1">
      <alignment horizontal="center"/>
    </xf>
    <xf numFmtId="43" fontId="177" fillId="0" borderId="0" xfId="1" applyFont="1" applyFill="1"/>
    <xf numFmtId="0" fontId="176" fillId="0" borderId="0" xfId="0" applyFont="1" applyAlignment="1">
      <alignment horizontal="center"/>
    </xf>
    <xf numFmtId="0" fontId="107" fillId="32" borderId="26" xfId="0" applyFont="1" applyFill="1" applyBorder="1" applyAlignment="1">
      <alignment horizontal="left"/>
    </xf>
    <xf numFmtId="0" fontId="182" fillId="42" borderId="54" xfId="0" applyFont="1" applyFill="1" applyBorder="1" applyAlignment="1">
      <alignment horizontal="left" vertical="center" wrapText="1"/>
    </xf>
    <xf numFmtId="0" fontId="175" fillId="0" borderId="0" xfId="1224" applyFont="1" applyAlignment="1">
      <alignment horizontal="left"/>
    </xf>
    <xf numFmtId="241" fontId="175" fillId="0" borderId="0" xfId="0" applyNumberFormat="1" applyFont="1" applyAlignment="1">
      <alignment horizontal="left"/>
    </xf>
    <xf numFmtId="0" fontId="180" fillId="0" borderId="75" xfId="0" applyFont="1" applyBorder="1" applyAlignment="1">
      <alignment horizontal="center" vertical="center" wrapText="1"/>
    </xf>
    <xf numFmtId="0" fontId="182" fillId="42" borderId="77" xfId="0" applyFont="1" applyFill="1" applyBorder="1" applyAlignment="1">
      <alignment horizontal="center" vertical="center" wrapText="1"/>
    </xf>
    <xf numFmtId="0" fontId="182" fillId="42" borderId="78" xfId="0" applyFont="1" applyFill="1" applyBorder="1" applyAlignment="1">
      <alignment horizontal="center" vertical="center" wrapText="1"/>
    </xf>
    <xf numFmtId="0" fontId="175" fillId="0" borderId="8" xfId="0" applyFont="1" applyBorder="1" applyAlignment="1">
      <alignment horizontal="center"/>
    </xf>
    <xf numFmtId="0" fontId="175" fillId="0" borderId="49" xfId="0" applyFont="1" applyBorder="1"/>
    <xf numFmtId="0" fontId="175" fillId="0" borderId="79" xfId="0" applyFont="1" applyBorder="1" applyAlignment="1">
      <alignment horizontal="center"/>
    </xf>
    <xf numFmtId="0" fontId="175" fillId="0" borderId="80" xfId="0" applyFont="1" applyBorder="1"/>
    <xf numFmtId="0" fontId="175" fillId="0" borderId="81" xfId="0" applyFont="1" applyBorder="1" applyAlignment="1">
      <alignment horizontal="center"/>
    </xf>
    <xf numFmtId="0" fontId="175" fillId="0" borderId="82" xfId="0" applyFont="1" applyBorder="1"/>
    <xf numFmtId="0" fontId="0" fillId="0" borderId="0" xfId="0" applyAlignment="1">
      <alignment horizontal="center"/>
    </xf>
    <xf numFmtId="0" fontId="175" fillId="0" borderId="83" xfId="0" applyFont="1" applyBorder="1"/>
    <xf numFmtId="0" fontId="210" fillId="0" borderId="0" xfId="0" applyFont="1" applyAlignment="1">
      <alignment horizontal="center"/>
    </xf>
    <xf numFmtId="242" fontId="175" fillId="0" borderId="0" xfId="1" applyNumberFormat="1" applyFont="1"/>
    <xf numFmtId="0" fontId="175" fillId="36" borderId="0" xfId="0" applyFont="1" applyFill="1" applyAlignment="1">
      <alignment vertical="center"/>
    </xf>
    <xf numFmtId="0" fontId="176" fillId="44" borderId="8" xfId="0" applyFont="1" applyFill="1" applyBorder="1" applyAlignment="1">
      <alignment horizontal="center" vertical="center"/>
    </xf>
    <xf numFmtId="0" fontId="176" fillId="44" borderId="50" xfId="0" applyFont="1" applyFill="1" applyBorder="1" applyAlignment="1">
      <alignment horizontal="center" vertical="center"/>
    </xf>
    <xf numFmtId="0" fontId="176" fillId="42" borderId="53" xfId="0" applyFont="1" applyFill="1" applyBorder="1" applyAlignment="1">
      <alignment horizontal="center" vertical="center"/>
    </xf>
    <xf numFmtId="0" fontId="176" fillId="44" borderId="53" xfId="0" applyFont="1" applyFill="1" applyBorder="1" applyAlignment="1">
      <alignment horizontal="center" vertical="center"/>
    </xf>
    <xf numFmtId="0" fontId="188" fillId="44" borderId="50" xfId="0" applyFont="1" applyFill="1" applyBorder="1" applyAlignment="1">
      <alignment horizontal="center" vertical="center"/>
    </xf>
    <xf numFmtId="17" fontId="176" fillId="42" borderId="50" xfId="0" applyNumberFormat="1" applyFont="1" applyFill="1" applyBorder="1" applyAlignment="1">
      <alignment horizontal="center" vertical="center"/>
    </xf>
    <xf numFmtId="17" fontId="176" fillId="42" borderId="53" xfId="0" applyNumberFormat="1" applyFont="1" applyFill="1" applyBorder="1" applyAlignment="1">
      <alignment horizontal="center" vertical="center"/>
    </xf>
    <xf numFmtId="0" fontId="175" fillId="0" borderId="0" xfId="0" applyFont="1" applyAlignment="1">
      <alignment vertical="center"/>
    </xf>
    <xf numFmtId="0" fontId="178" fillId="0" borderId="0" xfId="0" applyFont="1"/>
    <xf numFmtId="242" fontId="0" fillId="0" borderId="0" xfId="1" applyNumberFormat="1" applyFont="1" applyFill="1" applyBorder="1"/>
    <xf numFmtId="242" fontId="182" fillId="42" borderId="54" xfId="1" applyNumberFormat="1" applyFont="1" applyFill="1" applyBorder="1" applyAlignment="1">
      <alignment horizontal="center" vertical="center" wrapText="1"/>
    </xf>
    <xf numFmtId="0" fontId="117" fillId="34" borderId="84" xfId="0" applyFont="1" applyFill="1" applyBorder="1" applyAlignment="1">
      <alignment horizontal="center" vertical="center"/>
    </xf>
    <xf numFmtId="0" fontId="176" fillId="0" borderId="0" xfId="0" applyFont="1"/>
    <xf numFmtId="43" fontId="175" fillId="0" borderId="0" xfId="0" applyNumberFormat="1" applyFont="1" applyAlignment="1">
      <alignment horizontal="center"/>
    </xf>
    <xf numFmtId="0" fontId="117" fillId="34" borderId="84" xfId="0" applyFont="1" applyFill="1" applyBorder="1" applyAlignment="1">
      <alignment horizontal="center"/>
    </xf>
    <xf numFmtId="0" fontId="117" fillId="34" borderId="84" xfId="0" quotePrefix="1" applyFont="1" applyFill="1" applyBorder="1" applyAlignment="1">
      <alignment horizontal="center"/>
    </xf>
    <xf numFmtId="44" fontId="117" fillId="34" borderId="84" xfId="0" applyNumberFormat="1" applyFont="1" applyFill="1" applyBorder="1" applyAlignment="1">
      <alignment vertical="center"/>
    </xf>
    <xf numFmtId="43" fontId="178" fillId="0" borderId="0" xfId="1" applyFont="1"/>
    <xf numFmtId="43" fontId="106" fillId="0" borderId="0" xfId="0" applyNumberFormat="1" applyFont="1"/>
    <xf numFmtId="0" fontId="180" fillId="0" borderId="73" xfId="0" applyFont="1" applyBorder="1" applyAlignment="1">
      <alignment horizontal="center" vertical="center" wrapText="1"/>
    </xf>
    <xf numFmtId="0" fontId="180" fillId="0" borderId="76" xfId="0" applyFont="1" applyBorder="1" applyAlignment="1">
      <alignment horizontal="center" vertical="center" wrapText="1"/>
    </xf>
    <xf numFmtId="0" fontId="180" fillId="0" borderId="71" xfId="0" applyFont="1" applyBorder="1" applyAlignment="1">
      <alignment horizontal="center" vertical="center" wrapText="1"/>
    </xf>
    <xf numFmtId="0" fontId="180" fillId="0" borderId="72" xfId="0" applyFont="1" applyBorder="1" applyAlignment="1">
      <alignment horizontal="center" vertical="center" wrapText="1"/>
    </xf>
    <xf numFmtId="0" fontId="181" fillId="0" borderId="72" xfId="0" applyFont="1" applyBorder="1" applyAlignment="1">
      <alignment horizontal="center" vertical="center" wrapText="1"/>
    </xf>
    <xf numFmtId="0" fontId="181" fillId="0" borderId="75" xfId="0" applyFont="1" applyBorder="1" applyAlignment="1">
      <alignment horizontal="center" vertical="center" wrapText="1"/>
    </xf>
    <xf numFmtId="242" fontId="181" fillId="0" borderId="72" xfId="1" applyNumberFormat="1" applyFont="1" applyFill="1" applyBorder="1" applyAlignment="1" applyProtection="1">
      <alignment horizontal="center" vertical="center" wrapText="1"/>
    </xf>
    <xf numFmtId="242" fontId="181" fillId="0" borderId="75" xfId="1" applyNumberFormat="1" applyFont="1" applyFill="1" applyBorder="1" applyAlignment="1" applyProtection="1">
      <alignment horizontal="center" vertical="center" wrapText="1"/>
    </xf>
    <xf numFmtId="0" fontId="180" fillId="0" borderId="75" xfId="0" applyFont="1" applyBorder="1" applyAlignment="1">
      <alignment horizontal="center" vertical="center" wrapText="1"/>
    </xf>
    <xf numFmtId="0" fontId="107" fillId="3" borderId="57" xfId="0" applyFont="1" applyFill="1" applyBorder="1" applyAlignment="1">
      <alignment horizontal="center" vertical="center"/>
    </xf>
    <xf numFmtId="0" fontId="107" fillId="3" borderId="58" xfId="0" applyFont="1" applyFill="1" applyBorder="1" applyAlignment="1">
      <alignment horizontal="center" vertical="center"/>
    </xf>
    <xf numFmtId="0" fontId="107" fillId="3" borderId="59" xfId="0" applyFont="1" applyFill="1" applyBorder="1" applyAlignment="1">
      <alignment horizontal="center" vertical="center"/>
    </xf>
    <xf numFmtId="1" fontId="120" fillId="0" borderId="35" xfId="0" applyNumberFormat="1" applyFont="1" applyBorder="1" applyAlignment="1">
      <alignment horizontal="center" vertical="center"/>
    </xf>
    <xf numFmtId="1" fontId="120" fillId="0" borderId="36" xfId="0" applyNumberFormat="1" applyFont="1" applyBorder="1" applyAlignment="1">
      <alignment horizontal="center" vertical="center"/>
    </xf>
    <xf numFmtId="0" fontId="107" fillId="3" borderId="1" xfId="0" applyFont="1" applyFill="1" applyBorder="1" applyAlignment="1">
      <alignment horizontal="center" vertical="center"/>
    </xf>
    <xf numFmtId="0" fontId="107" fillId="3" borderId="2" xfId="0" applyFont="1" applyFill="1" applyBorder="1" applyAlignment="1">
      <alignment horizontal="center" vertical="center"/>
    </xf>
    <xf numFmtId="0" fontId="107" fillId="3" borderId="3" xfId="0" applyFont="1" applyFill="1" applyBorder="1" applyAlignment="1">
      <alignment horizontal="left" vertical="center"/>
    </xf>
    <xf numFmtId="0" fontId="107" fillId="3" borderId="2" xfId="0" applyFont="1" applyFill="1" applyBorder="1" applyAlignment="1">
      <alignment horizontal="left" vertical="center"/>
    </xf>
    <xf numFmtId="0" fontId="121" fillId="0" borderId="0" xfId="0" applyFont="1" applyAlignment="1">
      <alignment horizontal="center" vertical="center" wrapText="1"/>
    </xf>
    <xf numFmtId="0" fontId="121" fillId="0" borderId="41" xfId="0" applyFont="1" applyBorder="1" applyAlignment="1">
      <alignment horizontal="center" vertical="center" wrapText="1"/>
    </xf>
    <xf numFmtId="0" fontId="107" fillId="3" borderId="3" xfId="0" applyFont="1" applyFill="1" applyBorder="1" applyAlignment="1">
      <alignment horizontal="center" vertical="center"/>
    </xf>
    <xf numFmtId="9" fontId="118" fillId="36" borderId="56" xfId="678" applyFont="1" applyFill="1" applyBorder="1" applyAlignment="1">
      <alignment horizontal="center" vertical="center" wrapText="1"/>
    </xf>
    <xf numFmtId="9" fontId="118" fillId="36" borderId="33" xfId="678" applyFont="1" applyFill="1" applyBorder="1" applyAlignment="1">
      <alignment horizontal="center" vertical="center" wrapText="1"/>
    </xf>
    <xf numFmtId="16" fontId="116" fillId="3" borderId="1" xfId="1" applyNumberFormat="1" applyFont="1" applyFill="1" applyBorder="1" applyAlignment="1">
      <alignment horizontal="center" vertical="center"/>
    </xf>
    <xf numFmtId="43" fontId="116" fillId="3" borderId="2" xfId="1" applyFont="1" applyFill="1" applyBorder="1" applyAlignment="1">
      <alignment horizontal="center" vertical="center"/>
    </xf>
    <xf numFmtId="43" fontId="118" fillId="3" borderId="1" xfId="1" applyFont="1" applyFill="1" applyBorder="1" applyAlignment="1">
      <alignment horizontal="center" vertical="center"/>
    </xf>
    <xf numFmtId="43" fontId="118" fillId="3" borderId="2" xfId="1" applyFont="1" applyFill="1" applyBorder="1" applyAlignment="1">
      <alignment horizontal="center" vertical="center"/>
    </xf>
    <xf numFmtId="43" fontId="116" fillId="3" borderId="1" xfId="1" applyFont="1" applyFill="1" applyBorder="1" applyAlignment="1">
      <alignment horizontal="center" vertical="center"/>
    </xf>
    <xf numFmtId="0" fontId="189" fillId="29" borderId="0" xfId="1059" applyFont="1" applyAlignment="1">
      <alignment horizontal="center"/>
    </xf>
  </cellXfs>
  <cellStyles count="1226">
    <cellStyle name="_x0007_" xfId="4" xr:uid="{00000000-0005-0000-0000-000000000000}"/>
    <cellStyle name="#,##0.0▲" xfId="5" xr:uid="{00000000-0005-0000-0000-000001000000}"/>
    <cellStyle name="#,##0.0▲ 2" xfId="6" xr:uid="{00000000-0005-0000-0000-000002000000}"/>
    <cellStyle name="#,##0.0▲ 2 2" xfId="7" xr:uid="{00000000-0005-0000-0000-000003000000}"/>
    <cellStyle name="#,##0.0▲ 2 2 2" xfId="796" xr:uid="{00000000-0005-0000-0000-000004000000}"/>
    <cellStyle name="#,##0.0▲ 2 3" xfId="747" xr:uid="{00000000-0005-0000-0000-000005000000}"/>
    <cellStyle name="#,##0.0▲ 2 4" xfId="797" xr:uid="{00000000-0005-0000-0000-000006000000}"/>
    <cellStyle name="#,##0.0▲ 2 5" xfId="798" xr:uid="{00000000-0005-0000-0000-000007000000}"/>
    <cellStyle name="#,##0.0▲ 3" xfId="8" xr:uid="{00000000-0005-0000-0000-000008000000}"/>
    <cellStyle name="#,##0.0▲ 3 2" xfId="799" xr:uid="{00000000-0005-0000-0000-000009000000}"/>
    <cellStyle name="#,##0.0▲ 4" xfId="748" xr:uid="{00000000-0005-0000-0000-00000A000000}"/>
    <cellStyle name="#,##0.0▲ 5" xfId="800" xr:uid="{00000000-0005-0000-0000-00000B000000}"/>
    <cellStyle name="#,##0.0▲ 6" xfId="801" xr:uid="{00000000-0005-0000-0000-00000C000000}"/>
    <cellStyle name="%" xfId="681" xr:uid="{00000000-0005-0000-0000-00000D000000}"/>
    <cellStyle name="??" xfId="9" xr:uid="{00000000-0005-0000-0000-00000E000000}"/>
    <cellStyle name="?? [0.00]_laroux" xfId="10" xr:uid="{00000000-0005-0000-0000-00000F000000}"/>
    <cellStyle name="?? 2" xfId="802" xr:uid="{00000000-0005-0000-0000-000010000000}"/>
    <cellStyle name="???? [0.00]_laroux" xfId="11" xr:uid="{00000000-0005-0000-0000-000011000000}"/>
    <cellStyle name="????_laroux" xfId="12" xr:uid="{00000000-0005-0000-0000-000012000000}"/>
    <cellStyle name="??[0]" xfId="13" xr:uid="{00000000-0005-0000-0000-000013000000}"/>
    <cellStyle name="??[0] 2" xfId="14" xr:uid="{00000000-0005-0000-0000-000014000000}"/>
    <cellStyle name="??_??" xfId="15" xr:uid="{00000000-0005-0000-0000-000015000000}"/>
    <cellStyle name="??e¨?¨?A?÷_??aA??" xfId="16" xr:uid="{00000000-0005-0000-0000-000016000000}"/>
    <cellStyle name="?W準_Electrical" xfId="17" xr:uid="{00000000-0005-0000-0000-000017000000}"/>
    <cellStyle name="_20091104_New_Plant_size_Mix" xfId="18" xr:uid="{00000000-0005-0000-0000-000018000000}"/>
    <cellStyle name="_20091109_New_Plant_size_Mix（改）" xfId="19" xr:uid="{00000000-0005-0000-0000-000019000000}"/>
    <cellStyle name="_6.Master data" xfId="803" xr:uid="{00000000-0005-0000-0000-00001A000000}"/>
    <cellStyle name="_6.Master data(13-Sep-2012)" xfId="804" xr:uid="{00000000-0005-0000-0000-00001B000000}"/>
    <cellStyle name="_6.Master data1" xfId="805" xr:uid="{00000000-0005-0000-0000-00001C000000}"/>
    <cellStyle name="_Balance Sitting in Clear Account as of Aug, 2007" xfId="20" xr:uid="{00000000-0005-0000-0000-00001D000000}"/>
    <cellStyle name="_Book1" xfId="21" xr:uid="{00000000-0005-0000-0000-00001E000000}"/>
    <cellStyle name="_Book3" xfId="806" xr:uid="{00000000-0005-0000-0000-00001F000000}"/>
    <cellStyle name="_China ERP Maintenance Costs 09_v1_081031" xfId="22" xr:uid="{00000000-0005-0000-0000-000020000000}"/>
    <cellStyle name="_Copy of Dat vat tu T5 " xfId="807" xr:uid="{00000000-0005-0000-0000-000021000000}"/>
    <cellStyle name="_List cho Sat" xfId="808" xr:uid="{00000000-0005-0000-0000-000022000000}"/>
    <cellStyle name="_List cho Sat(19-Oct)" xfId="809" xr:uid="{00000000-0005-0000-0000-000023000000}"/>
    <cellStyle name="_Master data" xfId="810" xr:uid="{00000000-0005-0000-0000-000024000000}"/>
    <cellStyle name="_ME&amp;FUN&amp;ANA Combination" xfId="23" xr:uid="{00000000-0005-0000-0000-000025000000}"/>
    <cellStyle name="_Premium Allocation Feb 09" xfId="24" xr:uid="{00000000-0005-0000-0000-000026000000}"/>
    <cellStyle name="_Sat                 (22-Oct)" xfId="811" xr:uid="{00000000-0005-0000-0000-000027000000}"/>
    <cellStyle name="_Sheet3" xfId="812" xr:uid="{00000000-0005-0000-0000-000028000000}"/>
    <cellStyle name="_Test Cell_Tool list" xfId="25" xr:uid="{00000000-0005-0000-0000-000029000000}"/>
    <cellStyle name="_Vietnam IT BugetCost Planning Summary V6 0" xfId="26" xr:uid="{00000000-0005-0000-0000-00002A000000}"/>
    <cellStyle name="¤@¯Elaroux" xfId="682" xr:uid="{00000000-0005-0000-0000-00002B000000}"/>
    <cellStyle name="¤d¤À¦E0]_laroux" xfId="683" xr:uid="{00000000-0005-0000-0000-00002C000000}"/>
    <cellStyle name="¤d¤À¦Elaroux" xfId="684" xr:uid="{00000000-0005-0000-0000-00002D000000}"/>
    <cellStyle name="=C:\WINDOWS\SYSTEM32\COMMAND.COM" xfId="27" xr:uid="{00000000-0005-0000-0000-00002E000000}"/>
    <cellStyle name="=C:\WINNT\SYSTEM32\COMMAND.COM" xfId="28" xr:uid="{00000000-0005-0000-0000-00002F000000}"/>
    <cellStyle name="•W€_4m stock" xfId="685" xr:uid="{00000000-0005-0000-0000-000030000000}"/>
    <cellStyle name="•W_Electrical" xfId="29" xr:uid="{00000000-0005-0000-0000-000031000000}"/>
    <cellStyle name="\¦ÏÝÌnCp[N" xfId="30" xr:uid="{00000000-0005-0000-0000-000032000000}"/>
    <cellStyle name="¢è`" xfId="31" xr:uid="{00000000-0005-0000-0000-000033000000}"/>
    <cellStyle name="æØè [0.00]_RESULTS" xfId="32" xr:uid="{00000000-0005-0000-0000-000034000000}"/>
    <cellStyle name="æØè_RESULTS" xfId="33" xr:uid="{00000000-0005-0000-0000-000035000000}"/>
    <cellStyle name="ÊÝ [0.00]_2001 (2)" xfId="34" xr:uid="{00000000-0005-0000-0000-000036000000}"/>
    <cellStyle name="ÊÝ_2001 (2)" xfId="35" xr:uid="{00000000-0005-0000-0000-000037000000}"/>
    <cellStyle name="nCp[N" xfId="36" xr:uid="{00000000-0005-0000-0000-000038000000}"/>
    <cellStyle name="nCp[N 2" xfId="813" xr:uid="{00000000-0005-0000-0000-000039000000}"/>
    <cellStyle name="W_98\Z" xfId="37" xr:uid="{00000000-0005-0000-0000-00003A000000}"/>
    <cellStyle name="1-1.ｾﾙ均等両端ｽﾍﾟ-ｽ" xfId="38" xr:uid="{00000000-0005-0000-0000-00003B000000}"/>
    <cellStyle name="1-2.縦下詰配置" xfId="39" xr:uid="{00000000-0005-0000-0000-00003C000000}"/>
    <cellStyle name="1-3.縦中央配置" xfId="40" xr:uid="{00000000-0005-0000-0000-00003D000000}"/>
    <cellStyle name="1-4.縦上詰配置" xfId="41" xr:uid="{00000000-0005-0000-0000-00003E000000}"/>
    <cellStyle name="1-5.縦中央配置ｵﾘｶｴｼ" xfId="42" xr:uid="{00000000-0005-0000-0000-00003F000000}"/>
    <cellStyle name="1-6.縦上詰配置ｵﾘｶｴｼ" xfId="43" xr:uid="{00000000-0005-0000-0000-000040000000}"/>
    <cellStyle name="20% - Accent1" xfId="1199" builtinId="30" customBuiltin="1"/>
    <cellStyle name="20% - Accent2" xfId="1203" builtinId="34" customBuiltin="1"/>
    <cellStyle name="20% - Accent3" xfId="1207" builtinId="38" customBuiltin="1"/>
    <cellStyle name="20% - Accent4" xfId="1211" builtinId="42" customBuiltin="1"/>
    <cellStyle name="20% - Accent5" xfId="1215" builtinId="46" customBuiltin="1"/>
    <cellStyle name="20% - Accent6" xfId="1219" builtinId="50" customBuiltin="1"/>
    <cellStyle name="20% - Énfasis1" xfId="686" xr:uid="{00000000-0005-0000-0000-000047000000}"/>
    <cellStyle name="20% - Énfasis2" xfId="687" xr:uid="{00000000-0005-0000-0000-000048000000}"/>
    <cellStyle name="20% - Énfasis3" xfId="688" xr:uid="{00000000-0005-0000-0000-000049000000}"/>
    <cellStyle name="20% - Énfasis4" xfId="689" xr:uid="{00000000-0005-0000-0000-00004A000000}"/>
    <cellStyle name="20% - Énfasis5" xfId="690" xr:uid="{00000000-0005-0000-0000-00004B000000}"/>
    <cellStyle name="20% - Énfasis6" xfId="691" xr:uid="{00000000-0005-0000-0000-00004C000000}"/>
    <cellStyle name="20% - アクセント 1" xfId="814" xr:uid="{00000000-0005-0000-0000-00004D000000}"/>
    <cellStyle name="20% - アクセント 1 2" xfId="44" xr:uid="{00000000-0005-0000-0000-00004E000000}"/>
    <cellStyle name="20% - アクセント 1 2 2" xfId="815" xr:uid="{00000000-0005-0000-0000-00004F000000}"/>
    <cellStyle name="20% - アクセント 1 3" xfId="816" xr:uid="{00000000-0005-0000-0000-000050000000}"/>
    <cellStyle name="20% - アクセント 2" xfId="817" xr:uid="{00000000-0005-0000-0000-000051000000}"/>
    <cellStyle name="20% - アクセント 2 2" xfId="45" xr:uid="{00000000-0005-0000-0000-000052000000}"/>
    <cellStyle name="20% - アクセント 2 2 2" xfId="818" xr:uid="{00000000-0005-0000-0000-000053000000}"/>
    <cellStyle name="20% - アクセント 2 3" xfId="819" xr:uid="{00000000-0005-0000-0000-000054000000}"/>
    <cellStyle name="20% - アクセント 3" xfId="820" xr:uid="{00000000-0005-0000-0000-000055000000}"/>
    <cellStyle name="20% - アクセント 3 2" xfId="46" xr:uid="{00000000-0005-0000-0000-000056000000}"/>
    <cellStyle name="20% - アクセント 3 2 2" xfId="821" xr:uid="{00000000-0005-0000-0000-000057000000}"/>
    <cellStyle name="20% - アクセント 3 3" xfId="822" xr:uid="{00000000-0005-0000-0000-000058000000}"/>
    <cellStyle name="20% - アクセント 4" xfId="823" xr:uid="{00000000-0005-0000-0000-000059000000}"/>
    <cellStyle name="20% - アクセント 4 2" xfId="47" xr:uid="{00000000-0005-0000-0000-00005A000000}"/>
    <cellStyle name="20% - アクセント 4 2 2" xfId="824" xr:uid="{00000000-0005-0000-0000-00005B000000}"/>
    <cellStyle name="20% - アクセント 4 3" xfId="825" xr:uid="{00000000-0005-0000-0000-00005C000000}"/>
    <cellStyle name="20% - アクセント 5" xfId="826" xr:uid="{00000000-0005-0000-0000-00005D000000}"/>
    <cellStyle name="20% - アクセント 5 2" xfId="48" xr:uid="{00000000-0005-0000-0000-00005E000000}"/>
    <cellStyle name="20% - アクセント 5 2 2" xfId="827" xr:uid="{00000000-0005-0000-0000-00005F000000}"/>
    <cellStyle name="20% - アクセント 6" xfId="828" xr:uid="{00000000-0005-0000-0000-000060000000}"/>
    <cellStyle name="20% - アクセント 6 2" xfId="49" xr:uid="{00000000-0005-0000-0000-000061000000}"/>
    <cellStyle name="20% - アクセント 6 2 2" xfId="829" xr:uid="{00000000-0005-0000-0000-000062000000}"/>
    <cellStyle name="20% - アクセント 6 3" xfId="830" xr:uid="{00000000-0005-0000-0000-000063000000}"/>
    <cellStyle name="2-1.###0;[赤]-" xfId="50" xr:uid="{00000000-0005-0000-0000-000064000000}"/>
    <cellStyle name="2-2.###0;[赤]▲" xfId="51" xr:uid="{00000000-0005-0000-0000-000065000000}"/>
    <cellStyle name="³f¹E[0]_laroux" xfId="692" xr:uid="{00000000-0005-0000-0000-000066000000}"/>
    <cellStyle name="³f¹ô_laroux" xfId="693" xr:uid="{00000000-0005-0000-0000-000067000000}"/>
    <cellStyle name="40% - Accent1" xfId="1200" builtinId="31" customBuiltin="1"/>
    <cellStyle name="40% - Accent2" xfId="1204" builtinId="35" customBuiltin="1"/>
    <cellStyle name="40% - Accent3" xfId="1208" builtinId="39" customBuiltin="1"/>
    <cellStyle name="40% - Accent4" xfId="1212" builtinId="43" customBuiltin="1"/>
    <cellStyle name="40% - Accent5" xfId="1216" builtinId="47" customBuiltin="1"/>
    <cellStyle name="40% - Accent6" xfId="1220" builtinId="51" customBuiltin="1"/>
    <cellStyle name="40% - Énfasis1" xfId="694" xr:uid="{00000000-0005-0000-0000-00006E000000}"/>
    <cellStyle name="40% - Énfasis2" xfId="695" xr:uid="{00000000-0005-0000-0000-00006F000000}"/>
    <cellStyle name="40% - Énfasis3" xfId="696" xr:uid="{00000000-0005-0000-0000-000070000000}"/>
    <cellStyle name="40% - Énfasis4" xfId="697" xr:uid="{00000000-0005-0000-0000-000071000000}"/>
    <cellStyle name="40% - Énfasis5" xfId="698" xr:uid="{00000000-0005-0000-0000-000072000000}"/>
    <cellStyle name="40% - Énfasis6" xfId="699" xr:uid="{00000000-0005-0000-0000-000073000000}"/>
    <cellStyle name="40% - アクセント 1" xfId="831" xr:uid="{00000000-0005-0000-0000-000074000000}"/>
    <cellStyle name="40% - アクセント 1 2" xfId="52" xr:uid="{00000000-0005-0000-0000-000075000000}"/>
    <cellStyle name="40% - アクセント 1 2 2" xfId="832" xr:uid="{00000000-0005-0000-0000-000076000000}"/>
    <cellStyle name="40% - アクセント 1 3" xfId="833" xr:uid="{00000000-0005-0000-0000-000077000000}"/>
    <cellStyle name="40% - アクセント 2" xfId="834" xr:uid="{00000000-0005-0000-0000-000078000000}"/>
    <cellStyle name="40% - アクセント 2 2" xfId="53" xr:uid="{00000000-0005-0000-0000-000079000000}"/>
    <cellStyle name="40% - アクセント 2 2 2" xfId="835" xr:uid="{00000000-0005-0000-0000-00007A000000}"/>
    <cellStyle name="40% - アクセント 3" xfId="836" xr:uid="{00000000-0005-0000-0000-00007B000000}"/>
    <cellStyle name="40% - アクセント 3 2" xfId="54" xr:uid="{00000000-0005-0000-0000-00007C000000}"/>
    <cellStyle name="40% - アクセント 3 2 2" xfId="837" xr:uid="{00000000-0005-0000-0000-00007D000000}"/>
    <cellStyle name="40% - アクセント 3 3" xfId="838" xr:uid="{00000000-0005-0000-0000-00007E000000}"/>
    <cellStyle name="40% - アクセント 4" xfId="839" xr:uid="{00000000-0005-0000-0000-00007F000000}"/>
    <cellStyle name="40% - アクセント 4 2" xfId="55" xr:uid="{00000000-0005-0000-0000-000080000000}"/>
    <cellStyle name="40% - アクセント 4 2 2" xfId="840" xr:uid="{00000000-0005-0000-0000-000081000000}"/>
    <cellStyle name="40% - アクセント 4 3" xfId="841" xr:uid="{00000000-0005-0000-0000-000082000000}"/>
    <cellStyle name="40% - アクセント 5" xfId="842" xr:uid="{00000000-0005-0000-0000-000083000000}"/>
    <cellStyle name="40% - アクセント 5 2" xfId="56" xr:uid="{00000000-0005-0000-0000-000084000000}"/>
    <cellStyle name="40% - アクセント 5 2 2" xfId="843" xr:uid="{00000000-0005-0000-0000-000085000000}"/>
    <cellStyle name="40% - アクセント 5 3" xfId="844" xr:uid="{00000000-0005-0000-0000-000086000000}"/>
    <cellStyle name="40% - アクセント 6" xfId="845" xr:uid="{00000000-0005-0000-0000-000087000000}"/>
    <cellStyle name="40% - アクセント 6 2" xfId="57" xr:uid="{00000000-0005-0000-0000-000088000000}"/>
    <cellStyle name="40% - アクセント 6 2 2" xfId="846" xr:uid="{00000000-0005-0000-0000-000089000000}"/>
    <cellStyle name="40% - アクセント 6 3" xfId="847" xr:uid="{00000000-0005-0000-0000-00008A000000}"/>
    <cellStyle name="4-1.平成e年m月d日" xfId="58" xr:uid="{00000000-0005-0000-0000-00008B000000}"/>
    <cellStyle name="4-2.yy.mm.dd" xfId="59" xr:uid="{00000000-0005-0000-0000-00008C000000}"/>
    <cellStyle name="4-3.ge.mm.dd" xfId="60" xr:uid="{00000000-0005-0000-0000-00008D000000}"/>
    <cellStyle name="4-4yyyy.mm.dd" xfId="61" xr:uid="{00000000-0005-0000-0000-00008E000000}"/>
    <cellStyle name="60% - Accent1" xfId="1201" builtinId="32" customBuiltin="1"/>
    <cellStyle name="60% - Accent2" xfId="1205" builtinId="36" customBuiltin="1"/>
    <cellStyle name="60% - Accent3" xfId="1209" builtinId="40" customBuiltin="1"/>
    <cellStyle name="60% - Accent4" xfId="1213" builtinId="44" customBuiltin="1"/>
    <cellStyle name="60% - Accent5" xfId="1217" builtinId="48" customBuiltin="1"/>
    <cellStyle name="60% - Accent6" xfId="1221" builtinId="52" customBuiltin="1"/>
    <cellStyle name="60% - Énfasis1" xfId="700" xr:uid="{00000000-0005-0000-0000-000095000000}"/>
    <cellStyle name="60% - Énfasis2" xfId="701" xr:uid="{00000000-0005-0000-0000-000096000000}"/>
    <cellStyle name="60% - Énfasis3" xfId="702" xr:uid="{00000000-0005-0000-0000-000097000000}"/>
    <cellStyle name="60% - Énfasis4" xfId="703" xr:uid="{00000000-0005-0000-0000-000098000000}"/>
    <cellStyle name="60% - Énfasis5" xfId="704" xr:uid="{00000000-0005-0000-0000-000099000000}"/>
    <cellStyle name="60% - Énfasis6" xfId="705" xr:uid="{00000000-0005-0000-0000-00009A000000}"/>
    <cellStyle name="60% - アクセント 1" xfId="848" xr:uid="{00000000-0005-0000-0000-00009B000000}"/>
    <cellStyle name="60% - アクセント 1 2" xfId="62" xr:uid="{00000000-0005-0000-0000-00009C000000}"/>
    <cellStyle name="60% - アクセント 1 2 2" xfId="849" xr:uid="{00000000-0005-0000-0000-00009D000000}"/>
    <cellStyle name="60% - アクセント 1 3" xfId="850" xr:uid="{00000000-0005-0000-0000-00009E000000}"/>
    <cellStyle name="60% - アクセント 2" xfId="851" xr:uid="{00000000-0005-0000-0000-00009F000000}"/>
    <cellStyle name="60% - アクセント 2 2" xfId="63" xr:uid="{00000000-0005-0000-0000-0000A0000000}"/>
    <cellStyle name="60% - アクセント 2 2 2" xfId="852" xr:uid="{00000000-0005-0000-0000-0000A1000000}"/>
    <cellStyle name="60% - アクセント 2 3" xfId="853" xr:uid="{00000000-0005-0000-0000-0000A2000000}"/>
    <cellStyle name="60% - アクセント 3" xfId="854" xr:uid="{00000000-0005-0000-0000-0000A3000000}"/>
    <cellStyle name="60% - アクセント 3 2" xfId="64" xr:uid="{00000000-0005-0000-0000-0000A4000000}"/>
    <cellStyle name="60% - アクセント 3 2 2" xfId="855" xr:uid="{00000000-0005-0000-0000-0000A5000000}"/>
    <cellStyle name="60% - アクセント 3 3" xfId="856" xr:uid="{00000000-0005-0000-0000-0000A6000000}"/>
    <cellStyle name="60% - アクセント 4" xfId="857" xr:uid="{00000000-0005-0000-0000-0000A7000000}"/>
    <cellStyle name="60% - アクセント 4 2" xfId="65" xr:uid="{00000000-0005-0000-0000-0000A8000000}"/>
    <cellStyle name="60% - アクセント 4 2 2" xfId="858" xr:uid="{00000000-0005-0000-0000-0000A9000000}"/>
    <cellStyle name="60% - アクセント 4 3" xfId="859" xr:uid="{00000000-0005-0000-0000-0000AA000000}"/>
    <cellStyle name="60% - アクセント 5" xfId="860" xr:uid="{00000000-0005-0000-0000-0000AB000000}"/>
    <cellStyle name="60% - アクセント 5 2" xfId="66" xr:uid="{00000000-0005-0000-0000-0000AC000000}"/>
    <cellStyle name="60% - アクセント 5 2 2" xfId="861" xr:uid="{00000000-0005-0000-0000-0000AD000000}"/>
    <cellStyle name="60% - アクセント 5 3" xfId="862" xr:uid="{00000000-0005-0000-0000-0000AE000000}"/>
    <cellStyle name="60% - アクセント 6" xfId="863" xr:uid="{00000000-0005-0000-0000-0000AF000000}"/>
    <cellStyle name="60% - アクセント 6 2" xfId="67" xr:uid="{00000000-0005-0000-0000-0000B0000000}"/>
    <cellStyle name="60% - アクセント 6 2 2" xfId="864" xr:uid="{00000000-0005-0000-0000-0000B1000000}"/>
    <cellStyle name="60% - アクセント 6 3" xfId="865" xr:uid="{00000000-0005-0000-0000-0000B2000000}"/>
    <cellStyle name="A¨????? [0]_??aA??" xfId="68" xr:uid="{00000000-0005-0000-0000-0000B3000000}"/>
    <cellStyle name="A¨?????_??aA??" xfId="69" xr:uid="{00000000-0005-0000-0000-0000B4000000}"/>
    <cellStyle name="Accent1" xfId="1198" builtinId="29" customBuiltin="1"/>
    <cellStyle name="Accent2" xfId="1202" builtinId="33" customBuiltin="1"/>
    <cellStyle name="Accent3" xfId="1206" builtinId="37" customBuiltin="1"/>
    <cellStyle name="Accent4" xfId="1210" builtinId="41" customBuiltin="1"/>
    <cellStyle name="Accent5" xfId="1214" builtinId="45" customBuiltin="1"/>
    <cellStyle name="Accent6" xfId="1218" builtinId="49" customBuiltin="1"/>
    <cellStyle name="AeE?? [0]_??aA??" xfId="70" xr:uid="{00000000-0005-0000-0000-0000BB000000}"/>
    <cellStyle name="AeE??_??aA??" xfId="71" xr:uid="{00000000-0005-0000-0000-0000BC000000}"/>
    <cellStyle name="ALIGN" xfId="706" xr:uid="{00000000-0005-0000-0000-0000BD000000}"/>
    <cellStyle name="ALIGN1" xfId="707" xr:uid="{00000000-0005-0000-0000-0000BE000000}"/>
    <cellStyle name="ALIGN5" xfId="708" xr:uid="{00000000-0005-0000-0000-0000BF000000}"/>
    <cellStyle name="ALIGN7" xfId="709" xr:uid="{00000000-0005-0000-0000-0000C0000000}"/>
    <cellStyle name="ALIGNMENT" xfId="710" xr:uid="{00000000-0005-0000-0000-0000C1000000}"/>
    <cellStyle name="Bad" xfId="1187" builtinId="27" customBuiltin="1"/>
    <cellStyle name="Berekening" xfId="72" xr:uid="{00000000-0005-0000-0000-0000C3000000}"/>
    <cellStyle name="Berekening 2" xfId="73" xr:uid="{00000000-0005-0000-0000-0000C4000000}"/>
    <cellStyle name="Berekening 2 2" xfId="74" xr:uid="{00000000-0005-0000-0000-0000C5000000}"/>
    <cellStyle name="Berekening 2 2 2" xfId="75" xr:uid="{00000000-0005-0000-0000-0000C6000000}"/>
    <cellStyle name="Berekening 2 3" xfId="76" xr:uid="{00000000-0005-0000-0000-0000C7000000}"/>
    <cellStyle name="Berekening 2 3 2" xfId="77" xr:uid="{00000000-0005-0000-0000-0000C8000000}"/>
    <cellStyle name="Berekening 2 4" xfId="749" xr:uid="{00000000-0005-0000-0000-0000C9000000}"/>
    <cellStyle name="Berekening 3" xfId="78" xr:uid="{00000000-0005-0000-0000-0000CA000000}"/>
    <cellStyle name="Berekening 3 2" xfId="79" xr:uid="{00000000-0005-0000-0000-0000CB000000}"/>
    <cellStyle name="Berekening 3 2 2" xfId="80" xr:uid="{00000000-0005-0000-0000-0000CC000000}"/>
    <cellStyle name="Berekening 3 3" xfId="81" xr:uid="{00000000-0005-0000-0000-0000CD000000}"/>
    <cellStyle name="Berekening 3 3 2" xfId="82" xr:uid="{00000000-0005-0000-0000-0000CE000000}"/>
    <cellStyle name="Berekening 3 4" xfId="750" xr:uid="{00000000-0005-0000-0000-0000CF000000}"/>
    <cellStyle name="Berekening 4" xfId="83" xr:uid="{00000000-0005-0000-0000-0000D0000000}"/>
    <cellStyle name="Berekening 4 2" xfId="84" xr:uid="{00000000-0005-0000-0000-0000D1000000}"/>
    <cellStyle name="Berekening 5" xfId="85" xr:uid="{00000000-0005-0000-0000-0000D2000000}"/>
    <cellStyle name="Berekening 5 2" xfId="86" xr:uid="{00000000-0005-0000-0000-0000D3000000}"/>
    <cellStyle name="Berekening 6" xfId="751" xr:uid="{00000000-0005-0000-0000-0000D4000000}"/>
    <cellStyle name="Black Text" xfId="866" xr:uid="{00000000-0005-0000-0000-0000D5000000}"/>
    <cellStyle name="Black Text (No Wrap)" xfId="867" xr:uid="{00000000-0005-0000-0000-0000D6000000}"/>
    <cellStyle name="Blue Text" xfId="868" xr:uid="{00000000-0005-0000-0000-0000D7000000}"/>
    <cellStyle name="Blue Text - Ariel 10" xfId="869" xr:uid="{00000000-0005-0000-0000-0000D8000000}"/>
    <cellStyle name="bolet_Tab4-23" xfId="870" xr:uid="{00000000-0005-0000-0000-0000D9000000}"/>
    <cellStyle name="BORDER" xfId="711" xr:uid="{00000000-0005-0000-0000-0000DA000000}"/>
    <cellStyle name="BORDER1" xfId="712" xr:uid="{00000000-0005-0000-0000-0000DB000000}"/>
    <cellStyle name="BORDER2" xfId="713" xr:uid="{00000000-0005-0000-0000-0000DC000000}"/>
    <cellStyle name="Buena" xfId="714" xr:uid="{00000000-0005-0000-0000-0000DD000000}"/>
    <cellStyle name="C??A¨?_??eE??" xfId="87" xr:uid="{00000000-0005-0000-0000-0000DE000000}"/>
    <cellStyle name="Calc Currency (0)" xfId="88" xr:uid="{00000000-0005-0000-0000-0000DF000000}"/>
    <cellStyle name="Calc Currency (0) 2" xfId="89" xr:uid="{00000000-0005-0000-0000-0000E0000000}"/>
    <cellStyle name="Calc Currency (0) 3" xfId="871" xr:uid="{00000000-0005-0000-0000-0000E1000000}"/>
    <cellStyle name="Calc Currency (2)" xfId="90" xr:uid="{00000000-0005-0000-0000-0000E2000000}"/>
    <cellStyle name="Calc Currency (2) 2" xfId="872" xr:uid="{00000000-0005-0000-0000-0000E3000000}"/>
    <cellStyle name="Calc Percent (0)" xfId="91" xr:uid="{00000000-0005-0000-0000-0000E4000000}"/>
    <cellStyle name="Calc Percent (0) 2" xfId="873" xr:uid="{00000000-0005-0000-0000-0000E5000000}"/>
    <cellStyle name="Calc Percent (1)" xfId="92" xr:uid="{00000000-0005-0000-0000-0000E6000000}"/>
    <cellStyle name="Calc Percent (1) 2" xfId="874" xr:uid="{00000000-0005-0000-0000-0000E7000000}"/>
    <cellStyle name="Calc Percent (2)" xfId="93" xr:uid="{00000000-0005-0000-0000-0000E8000000}"/>
    <cellStyle name="Calc Percent (2) 2" xfId="875" xr:uid="{00000000-0005-0000-0000-0000E9000000}"/>
    <cellStyle name="Calc Units (0)" xfId="94" xr:uid="{00000000-0005-0000-0000-0000EA000000}"/>
    <cellStyle name="Calc Units (0) 2" xfId="876" xr:uid="{00000000-0005-0000-0000-0000EB000000}"/>
    <cellStyle name="Calc Units (0) 3" xfId="877" xr:uid="{00000000-0005-0000-0000-0000EC000000}"/>
    <cellStyle name="Calc Units (1)" xfId="95" xr:uid="{00000000-0005-0000-0000-0000ED000000}"/>
    <cellStyle name="Calc Units (1) 2" xfId="878" xr:uid="{00000000-0005-0000-0000-0000EE000000}"/>
    <cellStyle name="Calc Units (2)" xfId="96" xr:uid="{00000000-0005-0000-0000-0000EF000000}"/>
    <cellStyle name="Calc Units (2) 2" xfId="879" xr:uid="{00000000-0005-0000-0000-0000F0000000}"/>
    <cellStyle name="Calculation" xfId="1191" builtinId="22" customBuiltin="1"/>
    <cellStyle name="Calculation 2" xfId="97" xr:uid="{00000000-0005-0000-0000-0000F2000000}"/>
    <cellStyle name="Calculation 2 2" xfId="98" xr:uid="{00000000-0005-0000-0000-0000F3000000}"/>
    <cellStyle name="Calculation 2 2 2" xfId="99" xr:uid="{00000000-0005-0000-0000-0000F4000000}"/>
    <cellStyle name="Calculation 2 3" xfId="100" xr:uid="{00000000-0005-0000-0000-0000F5000000}"/>
    <cellStyle name="Calculation 2 3 2" xfId="101" xr:uid="{00000000-0005-0000-0000-0000F6000000}"/>
    <cellStyle name="Calculation 2 4" xfId="752" xr:uid="{00000000-0005-0000-0000-0000F7000000}"/>
    <cellStyle name="Calculation 3" xfId="102" xr:uid="{00000000-0005-0000-0000-0000F8000000}"/>
    <cellStyle name="Calculation 3 2" xfId="103" xr:uid="{00000000-0005-0000-0000-0000F9000000}"/>
    <cellStyle name="Calculation 3 2 2" xfId="104" xr:uid="{00000000-0005-0000-0000-0000FA000000}"/>
    <cellStyle name="Calculation 3 3" xfId="105" xr:uid="{00000000-0005-0000-0000-0000FB000000}"/>
    <cellStyle name="Calculation 3 3 2" xfId="106" xr:uid="{00000000-0005-0000-0000-0000FC000000}"/>
    <cellStyle name="Calculation 3 4" xfId="753" xr:uid="{00000000-0005-0000-0000-0000FD000000}"/>
    <cellStyle name="Cálculo" xfId="715" xr:uid="{00000000-0005-0000-0000-0000FE000000}"/>
    <cellStyle name="Celda de comprobación" xfId="716" xr:uid="{00000000-0005-0000-0000-0000FF000000}"/>
    <cellStyle name="Celda vinculada" xfId="717" xr:uid="{00000000-0005-0000-0000-000000010000}"/>
    <cellStyle name="Check Cell" xfId="1193" builtinId="23" customBuiltin="1"/>
    <cellStyle name="CLEAR" xfId="880" xr:uid="{00000000-0005-0000-0000-000002010000}"/>
    <cellStyle name="Comma" xfId="1" builtinId="3"/>
    <cellStyle name="Comma  - Style1" xfId="107" xr:uid="{00000000-0005-0000-0000-000004010000}"/>
    <cellStyle name="Comma  - Style1 2" xfId="881" xr:uid="{00000000-0005-0000-0000-000005010000}"/>
    <cellStyle name="Comma  - Style2" xfId="108" xr:uid="{00000000-0005-0000-0000-000006010000}"/>
    <cellStyle name="Comma  - Style2 2" xfId="882" xr:uid="{00000000-0005-0000-0000-000007010000}"/>
    <cellStyle name="Comma  - Style3" xfId="109" xr:uid="{00000000-0005-0000-0000-000008010000}"/>
    <cellStyle name="Comma  - Style3 2" xfId="883" xr:uid="{00000000-0005-0000-0000-000009010000}"/>
    <cellStyle name="Comma  - Style4" xfId="110" xr:uid="{00000000-0005-0000-0000-00000A010000}"/>
    <cellStyle name="Comma  - Style4 2" xfId="884" xr:uid="{00000000-0005-0000-0000-00000B010000}"/>
    <cellStyle name="Comma  - Style5" xfId="111" xr:uid="{00000000-0005-0000-0000-00000C010000}"/>
    <cellStyle name="Comma  - Style5 2" xfId="885" xr:uid="{00000000-0005-0000-0000-00000D010000}"/>
    <cellStyle name="Comma  - Style6" xfId="112" xr:uid="{00000000-0005-0000-0000-00000E010000}"/>
    <cellStyle name="Comma  - Style6 2" xfId="886" xr:uid="{00000000-0005-0000-0000-00000F010000}"/>
    <cellStyle name="Comma  - Style7" xfId="113" xr:uid="{00000000-0005-0000-0000-000010010000}"/>
    <cellStyle name="Comma  - Style7 2" xfId="887" xr:uid="{00000000-0005-0000-0000-000011010000}"/>
    <cellStyle name="Comma  - Style8" xfId="114" xr:uid="{00000000-0005-0000-0000-000012010000}"/>
    <cellStyle name="Comma  - Style8 2" xfId="888" xr:uid="{00000000-0005-0000-0000-000013010000}"/>
    <cellStyle name="Comma [0] 2" xfId="115" xr:uid="{00000000-0005-0000-0000-000014010000}"/>
    <cellStyle name="Comma [0] 2 2" xfId="116" xr:uid="{00000000-0005-0000-0000-000015010000}"/>
    <cellStyle name="Comma [0] 2 3" xfId="889" xr:uid="{00000000-0005-0000-0000-000016010000}"/>
    <cellStyle name="Comma [0] 3" xfId="2" xr:uid="{00000000-0005-0000-0000-000017010000}"/>
    <cellStyle name="Comma [0] 3 2" xfId="117" xr:uid="{00000000-0005-0000-0000-000018010000}"/>
    <cellStyle name="Comma [0] 4" xfId="118" xr:uid="{00000000-0005-0000-0000-000019010000}"/>
    <cellStyle name="Comma [0] 5" xfId="680" xr:uid="{00000000-0005-0000-0000-00001A010000}"/>
    <cellStyle name="Comma [0] 6" xfId="890" xr:uid="{00000000-0005-0000-0000-00001B010000}"/>
    <cellStyle name="Comma [00]" xfId="119" xr:uid="{00000000-0005-0000-0000-00001C010000}"/>
    <cellStyle name="Comma [00] 2" xfId="891" xr:uid="{00000000-0005-0000-0000-00001D010000}"/>
    <cellStyle name="Comma [00] 3" xfId="892" xr:uid="{00000000-0005-0000-0000-00001E010000}"/>
    <cellStyle name="Comma 10" xfId="120" xr:uid="{00000000-0005-0000-0000-00001F010000}"/>
    <cellStyle name="Comma 11" xfId="121" xr:uid="{00000000-0005-0000-0000-000020010000}"/>
    <cellStyle name="Comma 12" xfId="122" xr:uid="{00000000-0005-0000-0000-000021010000}"/>
    <cellStyle name="Comma 13" xfId="123" xr:uid="{00000000-0005-0000-0000-000022010000}"/>
    <cellStyle name="Comma 14" xfId="124" xr:uid="{00000000-0005-0000-0000-000023010000}"/>
    <cellStyle name="Comma 15" xfId="125" xr:uid="{00000000-0005-0000-0000-000024010000}"/>
    <cellStyle name="Comma 16" xfId="126" xr:uid="{00000000-0005-0000-0000-000025010000}"/>
    <cellStyle name="Comma 17" xfId="127" xr:uid="{00000000-0005-0000-0000-000026010000}"/>
    <cellStyle name="Comma 18" xfId="128" xr:uid="{00000000-0005-0000-0000-000027010000}"/>
    <cellStyle name="Comma 19" xfId="129" xr:uid="{00000000-0005-0000-0000-000028010000}"/>
    <cellStyle name="Comma 2" xfId="130" xr:uid="{00000000-0005-0000-0000-000029010000}"/>
    <cellStyle name="Comma 2 2" xfId="131" xr:uid="{00000000-0005-0000-0000-00002A010000}"/>
    <cellStyle name="Comma 2 3" xfId="132" xr:uid="{00000000-0005-0000-0000-00002B010000}"/>
    <cellStyle name="Comma 20" xfId="133" xr:uid="{00000000-0005-0000-0000-00002C010000}"/>
    <cellStyle name="Comma 21" xfId="134" xr:uid="{00000000-0005-0000-0000-00002D010000}"/>
    <cellStyle name="Comma 22" xfId="135" xr:uid="{00000000-0005-0000-0000-00002E010000}"/>
    <cellStyle name="Comma 23" xfId="136" xr:uid="{00000000-0005-0000-0000-00002F010000}"/>
    <cellStyle name="Comma 24" xfId="137" xr:uid="{00000000-0005-0000-0000-000030010000}"/>
    <cellStyle name="Comma 25" xfId="138" xr:uid="{00000000-0005-0000-0000-000031010000}"/>
    <cellStyle name="Comma 26" xfId="139" xr:uid="{00000000-0005-0000-0000-000032010000}"/>
    <cellStyle name="Comma 27" xfId="140" xr:uid="{00000000-0005-0000-0000-000033010000}"/>
    <cellStyle name="Comma 28" xfId="141" xr:uid="{00000000-0005-0000-0000-000034010000}"/>
    <cellStyle name="Comma 29" xfId="142" xr:uid="{00000000-0005-0000-0000-000035010000}"/>
    <cellStyle name="Comma 3" xfId="143" xr:uid="{00000000-0005-0000-0000-000036010000}"/>
    <cellStyle name="Comma 30" xfId="144" xr:uid="{00000000-0005-0000-0000-000037010000}"/>
    <cellStyle name="Comma 31" xfId="145" xr:uid="{00000000-0005-0000-0000-000038010000}"/>
    <cellStyle name="Comma 32" xfId="146" xr:uid="{00000000-0005-0000-0000-000039010000}"/>
    <cellStyle name="Comma 33" xfId="746" xr:uid="{00000000-0005-0000-0000-00003A010000}"/>
    <cellStyle name="Comma 33 2" xfId="893" xr:uid="{00000000-0005-0000-0000-00003B010000}"/>
    <cellStyle name="Comma 34" xfId="793" xr:uid="{00000000-0005-0000-0000-00003C010000}"/>
    <cellStyle name="Comma 35" xfId="794" xr:uid="{00000000-0005-0000-0000-00003D010000}"/>
    <cellStyle name="Comma 36" xfId="1171" xr:uid="{00000000-0005-0000-0000-00003E010000}"/>
    <cellStyle name="Comma 37" xfId="1176" xr:uid="{00000000-0005-0000-0000-00003F010000}"/>
    <cellStyle name="Comma 38" xfId="1178" xr:uid="{00000000-0005-0000-0000-000040010000}"/>
    <cellStyle name="Comma 4" xfId="147" xr:uid="{00000000-0005-0000-0000-000041010000}"/>
    <cellStyle name="Comma 4 2" xfId="148" xr:uid="{00000000-0005-0000-0000-000042010000}"/>
    <cellStyle name="Comma 4 3 3" xfId="149" xr:uid="{00000000-0005-0000-0000-000043010000}"/>
    <cellStyle name="Comma 5" xfId="150" xr:uid="{00000000-0005-0000-0000-000044010000}"/>
    <cellStyle name="Comma 6" xfId="151" xr:uid="{00000000-0005-0000-0000-000045010000}"/>
    <cellStyle name="Comma 7" xfId="152" xr:uid="{00000000-0005-0000-0000-000046010000}"/>
    <cellStyle name="Comma 8" xfId="153" xr:uid="{00000000-0005-0000-0000-000047010000}"/>
    <cellStyle name="Comma 9" xfId="154" xr:uid="{00000000-0005-0000-0000-000048010000}"/>
    <cellStyle name="comma zerodec" xfId="155" xr:uid="{00000000-0005-0000-0000-000049010000}"/>
    <cellStyle name="Comma0" xfId="156" xr:uid="{00000000-0005-0000-0000-00004A010000}"/>
    <cellStyle name="Comma0 2" xfId="157" xr:uid="{00000000-0005-0000-0000-00004B010000}"/>
    <cellStyle name="Comma0 3" xfId="894" xr:uid="{00000000-0005-0000-0000-00004C010000}"/>
    <cellStyle name="Controlecel" xfId="158" xr:uid="{00000000-0005-0000-0000-00004D010000}"/>
    <cellStyle name="Controlecel 2" xfId="159" xr:uid="{00000000-0005-0000-0000-00004E010000}"/>
    <cellStyle name="Controlecel 2 2" xfId="160" xr:uid="{00000000-0005-0000-0000-00004F010000}"/>
    <cellStyle name="Controlecel 2 2 2" xfId="895" xr:uid="{00000000-0005-0000-0000-000050010000}"/>
    <cellStyle name="Controlecel 2 3" xfId="896" xr:uid="{00000000-0005-0000-0000-000051010000}"/>
    <cellStyle name="Controlecel 3" xfId="161" xr:uid="{00000000-0005-0000-0000-000052010000}"/>
    <cellStyle name="Controlecel 3 2" xfId="897" xr:uid="{00000000-0005-0000-0000-000053010000}"/>
    <cellStyle name="Controlecel 4" xfId="898" xr:uid="{00000000-0005-0000-0000-000054010000}"/>
    <cellStyle name="Credit" xfId="718" xr:uid="{00000000-0005-0000-0000-000055010000}"/>
    <cellStyle name="Currency [00]" xfId="162" xr:uid="{00000000-0005-0000-0000-000056010000}"/>
    <cellStyle name="Currency [00] 2" xfId="899" xr:uid="{00000000-0005-0000-0000-000057010000}"/>
    <cellStyle name="Currency 2" xfId="719" xr:uid="{00000000-0005-0000-0000-000058010000}"/>
    <cellStyle name="Currency0" xfId="163" xr:uid="{00000000-0005-0000-0000-000059010000}"/>
    <cellStyle name="Currency0 2" xfId="164" xr:uid="{00000000-0005-0000-0000-00005A010000}"/>
    <cellStyle name="Currency0 3" xfId="900" xr:uid="{00000000-0005-0000-0000-00005B010000}"/>
    <cellStyle name="Currency1" xfId="165" xr:uid="{00000000-0005-0000-0000-00005C010000}"/>
    <cellStyle name="Date" xfId="166" xr:uid="{00000000-0005-0000-0000-00005D010000}"/>
    <cellStyle name="Date 2" xfId="167" xr:uid="{00000000-0005-0000-0000-00005E010000}"/>
    <cellStyle name="Date 3" xfId="901" xr:uid="{00000000-0005-0000-0000-00005F010000}"/>
    <cellStyle name="Date Short" xfId="168" xr:uid="{00000000-0005-0000-0000-000060010000}"/>
    <cellStyle name="Date, mmm-yy" xfId="902" xr:uid="{00000000-0005-0000-0000-000061010000}"/>
    <cellStyle name="Date_★★★09予算用算出帳票081015（15回目）（8011調整資料）-4（本命）" xfId="169" xr:uid="{00000000-0005-0000-0000-000062010000}"/>
    <cellStyle name="Debit" xfId="720" xr:uid="{00000000-0005-0000-0000-000063010000}"/>
    <cellStyle name="Decimal 0, derecha" xfId="903" xr:uid="{00000000-0005-0000-0000-000064010000}"/>
    <cellStyle name="Decimal 2, derecha" xfId="904" xr:uid="{00000000-0005-0000-0000-000065010000}"/>
    <cellStyle name="DELTA" xfId="170" xr:uid="{00000000-0005-0000-0000-000066010000}"/>
    <cellStyle name="Dollar (zero dec)" xfId="171" xr:uid="{00000000-0005-0000-0000-000067010000}"/>
    <cellStyle name="Dziesiętny [0]_BFPN general" xfId="172" xr:uid="{00000000-0005-0000-0000-000068010000}"/>
    <cellStyle name="Encabezado 4" xfId="721" xr:uid="{00000000-0005-0000-0000-000069010000}"/>
    <cellStyle name="Énfasis1" xfId="722" xr:uid="{00000000-0005-0000-0000-00006A010000}"/>
    <cellStyle name="Énfasis2" xfId="723" xr:uid="{00000000-0005-0000-0000-00006B010000}"/>
    <cellStyle name="Énfasis3" xfId="724" xr:uid="{00000000-0005-0000-0000-00006C010000}"/>
    <cellStyle name="Énfasis4" xfId="725" xr:uid="{00000000-0005-0000-0000-00006D010000}"/>
    <cellStyle name="Énfasis5" xfId="726" xr:uid="{00000000-0005-0000-0000-00006E010000}"/>
    <cellStyle name="Énfasis6" xfId="727" xr:uid="{00000000-0005-0000-0000-00006F010000}"/>
    <cellStyle name="ENTER" xfId="728" xr:uid="{00000000-0005-0000-0000-000070010000}"/>
    <cellStyle name="Enter Currency (0)" xfId="173" xr:uid="{00000000-0005-0000-0000-000071010000}"/>
    <cellStyle name="Enter Currency (0) 2" xfId="905" xr:uid="{00000000-0005-0000-0000-000072010000}"/>
    <cellStyle name="Enter Currency (0) 3" xfId="906" xr:uid="{00000000-0005-0000-0000-000073010000}"/>
    <cellStyle name="Enter Currency (2)" xfId="174" xr:uid="{00000000-0005-0000-0000-000074010000}"/>
    <cellStyle name="Enter Currency (2) 2" xfId="907" xr:uid="{00000000-0005-0000-0000-000075010000}"/>
    <cellStyle name="Enter Units (0)" xfId="175" xr:uid="{00000000-0005-0000-0000-000076010000}"/>
    <cellStyle name="Enter Units (0) 2" xfId="908" xr:uid="{00000000-0005-0000-0000-000077010000}"/>
    <cellStyle name="Enter Units (0) 3" xfId="909" xr:uid="{00000000-0005-0000-0000-000078010000}"/>
    <cellStyle name="Enter Units (1)" xfId="176" xr:uid="{00000000-0005-0000-0000-000079010000}"/>
    <cellStyle name="Enter Units (1) 2" xfId="910" xr:uid="{00000000-0005-0000-0000-00007A010000}"/>
    <cellStyle name="Enter Units (2)" xfId="177" xr:uid="{00000000-0005-0000-0000-00007B010000}"/>
    <cellStyle name="Enter Units (2) 2" xfId="911" xr:uid="{00000000-0005-0000-0000-00007C010000}"/>
    <cellStyle name="Entrada" xfId="729" xr:uid="{00000000-0005-0000-0000-00007D010000}"/>
    <cellStyle name="Euro" xfId="178" xr:uid="{00000000-0005-0000-0000-00007E010000}"/>
    <cellStyle name="Euro 2" xfId="912" xr:uid="{00000000-0005-0000-0000-00007F010000}"/>
    <cellStyle name="Explanatory Text" xfId="1196" builtinId="53" customBuiltin="1"/>
    <cellStyle name="F2" xfId="179" xr:uid="{00000000-0005-0000-0000-000081010000}"/>
    <cellStyle name="F3" xfId="180" xr:uid="{00000000-0005-0000-0000-000082010000}"/>
    <cellStyle name="F4" xfId="181" xr:uid="{00000000-0005-0000-0000-000083010000}"/>
    <cellStyle name="F5" xfId="182" xr:uid="{00000000-0005-0000-0000-000084010000}"/>
    <cellStyle name="F6" xfId="183" xr:uid="{00000000-0005-0000-0000-000085010000}"/>
    <cellStyle name="F7" xfId="184" xr:uid="{00000000-0005-0000-0000-000086010000}"/>
    <cellStyle name="F8" xfId="185" xr:uid="{00000000-0005-0000-0000-000087010000}"/>
    <cellStyle name="Fixed" xfId="186" xr:uid="{00000000-0005-0000-0000-000088010000}"/>
    <cellStyle name="Fixed 2" xfId="187" xr:uid="{00000000-0005-0000-0000-000089010000}"/>
    <cellStyle name="Fixed 3" xfId="913" xr:uid="{00000000-0005-0000-0000-00008A010000}"/>
    <cellStyle name="Flag" xfId="188" xr:uid="{00000000-0005-0000-0000-00008B010000}"/>
    <cellStyle name="ƒnƒCƒp[ƒŠƒ“ƒN" xfId="189" xr:uid="{00000000-0005-0000-0000-00008C010000}"/>
    <cellStyle name="Followed Hyperlink" xfId="190" xr:uid="{00000000-0005-0000-0000-00008D010000}"/>
    <cellStyle name="Followed Hyperlink 2" xfId="914" xr:uid="{00000000-0005-0000-0000-00008E010000}"/>
    <cellStyle name="Fraction Change" xfId="915" xr:uid="{00000000-0005-0000-0000-00008F010000}"/>
    <cellStyle name="Fractions" xfId="916" xr:uid="{00000000-0005-0000-0000-000090010000}"/>
    <cellStyle name="Gekoppelde cel" xfId="191" xr:uid="{00000000-0005-0000-0000-000091010000}"/>
    <cellStyle name="Goed" xfId="192" xr:uid="{00000000-0005-0000-0000-000092010000}"/>
    <cellStyle name="Good" xfId="1186" builtinId="26" customBuiltin="1"/>
    <cellStyle name="Grey" xfId="193" xr:uid="{00000000-0005-0000-0000-000094010000}"/>
    <cellStyle name="Growth Rates/Margins" xfId="917" xr:uid="{00000000-0005-0000-0000-000095010000}"/>
    <cellStyle name="header" xfId="194" xr:uid="{00000000-0005-0000-0000-000096010000}"/>
    <cellStyle name="Header1" xfId="195" xr:uid="{00000000-0005-0000-0000-000097010000}"/>
    <cellStyle name="Header2" xfId="196" xr:uid="{00000000-0005-0000-0000-000098010000}"/>
    <cellStyle name="Header2 2" xfId="197" xr:uid="{00000000-0005-0000-0000-000099010000}"/>
    <cellStyle name="Header2 2 2" xfId="198" xr:uid="{00000000-0005-0000-0000-00009A010000}"/>
    <cellStyle name="Header2 2 2 2" xfId="918" xr:uid="{00000000-0005-0000-0000-00009B010000}"/>
    <cellStyle name="Header2 2 3" xfId="754" xr:uid="{00000000-0005-0000-0000-00009C010000}"/>
    <cellStyle name="Header2 2 4" xfId="919" xr:uid="{00000000-0005-0000-0000-00009D010000}"/>
    <cellStyle name="Header2 3" xfId="199" xr:uid="{00000000-0005-0000-0000-00009E010000}"/>
    <cellStyle name="Header2 3 2" xfId="200" xr:uid="{00000000-0005-0000-0000-00009F010000}"/>
    <cellStyle name="Header2 3 2 2" xfId="920" xr:uid="{00000000-0005-0000-0000-0000A0010000}"/>
    <cellStyle name="Header2 3 3" xfId="755" xr:uid="{00000000-0005-0000-0000-0000A1010000}"/>
    <cellStyle name="Header2 3 4" xfId="921" xr:uid="{00000000-0005-0000-0000-0000A2010000}"/>
    <cellStyle name="Header2 4" xfId="201" xr:uid="{00000000-0005-0000-0000-0000A3010000}"/>
    <cellStyle name="Header2 4 2" xfId="202" xr:uid="{00000000-0005-0000-0000-0000A4010000}"/>
    <cellStyle name="Header2 4 2 2" xfId="922" xr:uid="{00000000-0005-0000-0000-0000A5010000}"/>
    <cellStyle name="Header2 4 3" xfId="756" xr:uid="{00000000-0005-0000-0000-0000A6010000}"/>
    <cellStyle name="Header2 4 4" xfId="923" xr:uid="{00000000-0005-0000-0000-0000A7010000}"/>
    <cellStyle name="Header2 5" xfId="203" xr:uid="{00000000-0005-0000-0000-0000A8010000}"/>
    <cellStyle name="Header2 5 2" xfId="924" xr:uid="{00000000-0005-0000-0000-0000A9010000}"/>
    <cellStyle name="Header2 6" xfId="757" xr:uid="{00000000-0005-0000-0000-0000AA010000}"/>
    <cellStyle name="Header2 7" xfId="925" xr:uid="{00000000-0005-0000-0000-0000AB010000}"/>
    <cellStyle name="Heading 1" xfId="1182" builtinId="16" customBuiltin="1"/>
    <cellStyle name="Heading 1 2" xfId="926" xr:uid="{00000000-0005-0000-0000-0000AD010000}"/>
    <cellStyle name="Heading 2" xfId="1183" builtinId="17" customBuiltin="1"/>
    <cellStyle name="Heading 2 2" xfId="927" xr:uid="{00000000-0005-0000-0000-0000AF010000}"/>
    <cellStyle name="Heading 3" xfId="1184" builtinId="18" customBuiltin="1"/>
    <cellStyle name="Heading 4" xfId="1185" builtinId="19" customBuiltin="1"/>
    <cellStyle name="HEADING1" xfId="204" xr:uid="{00000000-0005-0000-0000-0000B2010000}"/>
    <cellStyle name="HEADING1 2" xfId="205" xr:uid="{00000000-0005-0000-0000-0000B3010000}"/>
    <cellStyle name="HEADING1 3" xfId="928" xr:uid="{00000000-0005-0000-0000-0000B4010000}"/>
    <cellStyle name="HEADING2" xfId="206" xr:uid="{00000000-0005-0000-0000-0000B5010000}"/>
    <cellStyle name="HEADING2 2" xfId="207" xr:uid="{00000000-0005-0000-0000-0000B6010000}"/>
    <cellStyle name="HEADING2 3" xfId="929" xr:uid="{00000000-0005-0000-0000-0000B7010000}"/>
    <cellStyle name="Heading3" xfId="208" xr:uid="{00000000-0005-0000-0000-0000B8010000}"/>
    <cellStyle name="Horizontal" xfId="209" xr:uid="{00000000-0005-0000-0000-0000B9010000}"/>
    <cellStyle name="Hyperlink" xfId="210" xr:uid="{00000000-0005-0000-0000-0000BA010000}"/>
    <cellStyle name="Hyperlink 2" xfId="930" xr:uid="{00000000-0005-0000-0000-0000BB010000}"/>
    <cellStyle name="Hyperlink 3" xfId="931" xr:uid="{00000000-0005-0000-0000-0000BC010000}"/>
    <cellStyle name="IBM(401K)" xfId="932" xr:uid="{00000000-0005-0000-0000-0000BD010000}"/>
    <cellStyle name="Incorrecto" xfId="730" xr:uid="{00000000-0005-0000-0000-0000BE010000}"/>
    <cellStyle name="Indefinido" xfId="211" xr:uid="{00000000-0005-0000-0000-0000BF010000}"/>
    <cellStyle name="Input" xfId="1189" builtinId="20" customBuiltin="1"/>
    <cellStyle name="Input [yellow]" xfId="212" xr:uid="{00000000-0005-0000-0000-0000C1010000}"/>
    <cellStyle name="Input [yellow] 2" xfId="213" xr:uid="{00000000-0005-0000-0000-0000C2010000}"/>
    <cellStyle name="Input [yellow] 2 2" xfId="214" xr:uid="{00000000-0005-0000-0000-0000C3010000}"/>
    <cellStyle name="Input [yellow] 2 2 2" xfId="933" xr:uid="{00000000-0005-0000-0000-0000C4010000}"/>
    <cellStyle name="Input [yellow] 2 3" xfId="758" xr:uid="{00000000-0005-0000-0000-0000C5010000}"/>
    <cellStyle name="Input [yellow] 2 4" xfId="934" xr:uid="{00000000-0005-0000-0000-0000C6010000}"/>
    <cellStyle name="Input [yellow] 2 5" xfId="935" xr:uid="{00000000-0005-0000-0000-0000C7010000}"/>
    <cellStyle name="Input [yellow] 3" xfId="215" xr:uid="{00000000-0005-0000-0000-0000C8010000}"/>
    <cellStyle name="Input [yellow] 3 2" xfId="216" xr:uid="{00000000-0005-0000-0000-0000C9010000}"/>
    <cellStyle name="Input [yellow] 3 2 2" xfId="936" xr:uid="{00000000-0005-0000-0000-0000CA010000}"/>
    <cellStyle name="Input [yellow] 3 3" xfId="759" xr:uid="{00000000-0005-0000-0000-0000CB010000}"/>
    <cellStyle name="Input [yellow] 3 4" xfId="937" xr:uid="{00000000-0005-0000-0000-0000CC010000}"/>
    <cellStyle name="Input [yellow] 3 5" xfId="938" xr:uid="{00000000-0005-0000-0000-0000CD010000}"/>
    <cellStyle name="Input [yellow] 4" xfId="217" xr:uid="{00000000-0005-0000-0000-0000CE010000}"/>
    <cellStyle name="Input [yellow] 4 2" xfId="218" xr:uid="{00000000-0005-0000-0000-0000CF010000}"/>
    <cellStyle name="Input [yellow] 4 2 2" xfId="939" xr:uid="{00000000-0005-0000-0000-0000D0010000}"/>
    <cellStyle name="Input [yellow] 4 3" xfId="760" xr:uid="{00000000-0005-0000-0000-0000D1010000}"/>
    <cellStyle name="Input [yellow] 4 4" xfId="940" xr:uid="{00000000-0005-0000-0000-0000D2010000}"/>
    <cellStyle name="Input [yellow] 4 5" xfId="941" xr:uid="{00000000-0005-0000-0000-0000D3010000}"/>
    <cellStyle name="Input [yellow] 5" xfId="219" xr:uid="{00000000-0005-0000-0000-0000D4010000}"/>
    <cellStyle name="Input [yellow] 5 2" xfId="942" xr:uid="{00000000-0005-0000-0000-0000D5010000}"/>
    <cellStyle name="Input [yellow] 6" xfId="761" xr:uid="{00000000-0005-0000-0000-0000D6010000}"/>
    <cellStyle name="Input [yellow] 7" xfId="943" xr:uid="{00000000-0005-0000-0000-0000D7010000}"/>
    <cellStyle name="Input [yellow] 8" xfId="944" xr:uid="{00000000-0005-0000-0000-0000D8010000}"/>
    <cellStyle name="Input 2" xfId="220" xr:uid="{00000000-0005-0000-0000-0000D9010000}"/>
    <cellStyle name="Input 2 2" xfId="221" xr:uid="{00000000-0005-0000-0000-0000DA010000}"/>
    <cellStyle name="Input 2 2 2" xfId="222" xr:uid="{00000000-0005-0000-0000-0000DB010000}"/>
    <cellStyle name="Input 2 3" xfId="223" xr:uid="{00000000-0005-0000-0000-0000DC010000}"/>
    <cellStyle name="Input 2 3 2" xfId="224" xr:uid="{00000000-0005-0000-0000-0000DD010000}"/>
    <cellStyle name="Input 2 4" xfId="762" xr:uid="{00000000-0005-0000-0000-0000DE010000}"/>
    <cellStyle name="Input 3" xfId="225" xr:uid="{00000000-0005-0000-0000-0000DF010000}"/>
    <cellStyle name="Input 3 2" xfId="226" xr:uid="{00000000-0005-0000-0000-0000E0010000}"/>
    <cellStyle name="Input 3 2 2" xfId="227" xr:uid="{00000000-0005-0000-0000-0000E1010000}"/>
    <cellStyle name="Input 3 3" xfId="228" xr:uid="{00000000-0005-0000-0000-0000E2010000}"/>
    <cellStyle name="Input 3 3 2" xfId="229" xr:uid="{00000000-0005-0000-0000-0000E3010000}"/>
    <cellStyle name="Input 3 4" xfId="763" xr:uid="{00000000-0005-0000-0000-0000E4010000}"/>
    <cellStyle name="Input 4" xfId="230" xr:uid="{00000000-0005-0000-0000-0000E5010000}"/>
    <cellStyle name="Input 4 2" xfId="231" xr:uid="{00000000-0005-0000-0000-0000E6010000}"/>
    <cellStyle name="Input 4 2 2" xfId="232" xr:uid="{00000000-0005-0000-0000-0000E7010000}"/>
    <cellStyle name="Input 4 3" xfId="233" xr:uid="{00000000-0005-0000-0000-0000E8010000}"/>
    <cellStyle name="Input 4 3 2" xfId="234" xr:uid="{00000000-0005-0000-0000-0000E9010000}"/>
    <cellStyle name="Input 4 4" xfId="764" xr:uid="{00000000-0005-0000-0000-0000EA010000}"/>
    <cellStyle name="Input Box" xfId="945" xr:uid="{00000000-0005-0000-0000-0000EB010000}"/>
    <cellStyle name="Invoer" xfId="235" xr:uid="{00000000-0005-0000-0000-0000EC010000}"/>
    <cellStyle name="Invoer 2" xfId="236" xr:uid="{00000000-0005-0000-0000-0000ED010000}"/>
    <cellStyle name="Invoer 2 2" xfId="237" xr:uid="{00000000-0005-0000-0000-0000EE010000}"/>
    <cellStyle name="Invoer 2 2 2" xfId="238" xr:uid="{00000000-0005-0000-0000-0000EF010000}"/>
    <cellStyle name="Invoer 2 3" xfId="239" xr:uid="{00000000-0005-0000-0000-0000F0010000}"/>
    <cellStyle name="Invoer 2 3 2" xfId="240" xr:uid="{00000000-0005-0000-0000-0000F1010000}"/>
    <cellStyle name="Invoer 2 4" xfId="765" xr:uid="{00000000-0005-0000-0000-0000F2010000}"/>
    <cellStyle name="Invoer 3" xfId="241" xr:uid="{00000000-0005-0000-0000-0000F3010000}"/>
    <cellStyle name="Invoer 3 2" xfId="242" xr:uid="{00000000-0005-0000-0000-0000F4010000}"/>
    <cellStyle name="Invoer 3 2 2" xfId="243" xr:uid="{00000000-0005-0000-0000-0000F5010000}"/>
    <cellStyle name="Invoer 3 3" xfId="244" xr:uid="{00000000-0005-0000-0000-0000F6010000}"/>
    <cellStyle name="Invoer 3 3 2" xfId="245" xr:uid="{00000000-0005-0000-0000-0000F7010000}"/>
    <cellStyle name="Invoer 3 4" xfId="766" xr:uid="{00000000-0005-0000-0000-0000F8010000}"/>
    <cellStyle name="Invoer 4" xfId="246" xr:uid="{00000000-0005-0000-0000-0000F9010000}"/>
    <cellStyle name="Invoer 4 2" xfId="247" xr:uid="{00000000-0005-0000-0000-0000FA010000}"/>
    <cellStyle name="Invoer 5" xfId="248" xr:uid="{00000000-0005-0000-0000-0000FB010000}"/>
    <cellStyle name="Invoer 5 2" xfId="249" xr:uid="{00000000-0005-0000-0000-0000FC010000}"/>
    <cellStyle name="Invoer 6" xfId="767" xr:uid="{00000000-0005-0000-0000-0000FD010000}"/>
    <cellStyle name="J401K" xfId="946" xr:uid="{00000000-0005-0000-0000-0000FE010000}"/>
    <cellStyle name="Kop 1" xfId="250" xr:uid="{00000000-0005-0000-0000-0000FF010000}"/>
    <cellStyle name="Kop 2" xfId="251" xr:uid="{00000000-0005-0000-0000-000000020000}"/>
    <cellStyle name="Kop 3" xfId="252" xr:uid="{00000000-0005-0000-0000-000001020000}"/>
    <cellStyle name="Kop 4" xfId="253" xr:uid="{00000000-0005-0000-0000-000002020000}"/>
    <cellStyle name="Linea horizontal" xfId="947" xr:uid="{00000000-0005-0000-0000-000003020000}"/>
    <cellStyle name="Link Currency (0)" xfId="254" xr:uid="{00000000-0005-0000-0000-000004020000}"/>
    <cellStyle name="Link Currency (0) 2" xfId="948" xr:uid="{00000000-0005-0000-0000-000005020000}"/>
    <cellStyle name="Link Currency (0) 3" xfId="949" xr:uid="{00000000-0005-0000-0000-000006020000}"/>
    <cellStyle name="Link Currency (2)" xfId="255" xr:uid="{00000000-0005-0000-0000-000007020000}"/>
    <cellStyle name="Link Currency (2) 2" xfId="950" xr:uid="{00000000-0005-0000-0000-000008020000}"/>
    <cellStyle name="Link Units (0)" xfId="256" xr:uid="{00000000-0005-0000-0000-000009020000}"/>
    <cellStyle name="Link Units (0) 2" xfId="951" xr:uid="{00000000-0005-0000-0000-00000A020000}"/>
    <cellStyle name="Link Units (0) 3" xfId="952" xr:uid="{00000000-0005-0000-0000-00000B020000}"/>
    <cellStyle name="Link Units (1)" xfId="257" xr:uid="{00000000-0005-0000-0000-00000C020000}"/>
    <cellStyle name="Link Units (1) 2" xfId="953" xr:uid="{00000000-0005-0000-0000-00000D020000}"/>
    <cellStyle name="Link Units (2)" xfId="258" xr:uid="{00000000-0005-0000-0000-00000E020000}"/>
    <cellStyle name="Link Units (2) 2" xfId="954" xr:uid="{00000000-0005-0000-0000-00000F020000}"/>
    <cellStyle name="Linked Cell" xfId="1192" builtinId="24" customBuiltin="1"/>
    <cellStyle name="Matrix" xfId="259" xr:uid="{00000000-0005-0000-0000-000011020000}"/>
    <cellStyle name="Migliaia (0)_TROUBLEFORM" xfId="260" xr:uid="{00000000-0005-0000-0000-000012020000}"/>
    <cellStyle name="Migliaia_TROUBLEFORM" xfId="261" xr:uid="{00000000-0005-0000-0000-000013020000}"/>
    <cellStyle name="Millares [0]_302" xfId="262" xr:uid="{00000000-0005-0000-0000-000014020000}"/>
    <cellStyle name="Millares_302" xfId="263" xr:uid="{00000000-0005-0000-0000-000015020000}"/>
    <cellStyle name="Milliers [0]_AR1194" xfId="955" xr:uid="{00000000-0005-0000-0000-000016020000}"/>
    <cellStyle name="Milliers_AR1194" xfId="956" xr:uid="{00000000-0005-0000-0000-000017020000}"/>
    <cellStyle name="Moeda [0]" xfId="957" xr:uid="{00000000-0005-0000-0000-000018020000}"/>
    <cellStyle name="Moeda_BANDA LARGA" xfId="958" xr:uid="{00000000-0005-0000-0000-000019020000}"/>
    <cellStyle name="Moneda [0]_302" xfId="264" xr:uid="{00000000-0005-0000-0000-00001A020000}"/>
    <cellStyle name="Moneda_302" xfId="265" xr:uid="{00000000-0005-0000-0000-00001B020000}"/>
    <cellStyle name="Monétaire [0]_Bet RB 2004 Manufacturing Package" xfId="266" xr:uid="{00000000-0005-0000-0000-00001C020000}"/>
    <cellStyle name="Monétaire_Bet RB 2004 Manufacturing Package" xfId="267" xr:uid="{00000000-0005-0000-0000-00001D020000}"/>
    <cellStyle name="Mon騁aire [0]_AR1194" xfId="959" xr:uid="{00000000-0005-0000-0000-00001E020000}"/>
    <cellStyle name="Mon騁aire_AR1194" xfId="960" xr:uid="{00000000-0005-0000-0000-00001F020000}"/>
    <cellStyle name="ms明朝9" xfId="268" xr:uid="{00000000-0005-0000-0000-000020020000}"/>
    <cellStyle name="Neutraal" xfId="269" xr:uid="{00000000-0005-0000-0000-000021020000}"/>
    <cellStyle name="Neutral" xfId="1188" builtinId="28" customBuiltin="1"/>
    <cellStyle name="New Times Roman" xfId="270" xr:uid="{00000000-0005-0000-0000-000023020000}"/>
    <cellStyle name="no dec" xfId="271" xr:uid="{00000000-0005-0000-0000-000024020000}"/>
    <cellStyle name="no dec 2" xfId="272" xr:uid="{00000000-0005-0000-0000-000025020000}"/>
    <cellStyle name="no dec 3" xfId="961" xr:uid="{00000000-0005-0000-0000-000026020000}"/>
    <cellStyle name="No-definido" xfId="273" xr:uid="{00000000-0005-0000-0000-000027020000}"/>
    <cellStyle name="Non d?fini" xfId="274" xr:uid="{00000000-0005-0000-0000-000028020000}"/>
    <cellStyle name="Non défini" xfId="275" xr:uid="{00000000-0005-0000-0000-000029020000}"/>
    <cellStyle name="Nor}al" xfId="276" xr:uid="{00000000-0005-0000-0000-00002A020000}"/>
    <cellStyle name="Normal" xfId="0" builtinId="0"/>
    <cellStyle name="Normal - Style1" xfId="277" xr:uid="{00000000-0005-0000-0000-00002C020000}"/>
    <cellStyle name="Normal - Style1 2" xfId="278" xr:uid="{00000000-0005-0000-0000-00002D020000}"/>
    <cellStyle name="Normal - Style1 3" xfId="279" xr:uid="{00000000-0005-0000-0000-00002E020000}"/>
    <cellStyle name="Normal - Style1 4" xfId="962" xr:uid="{00000000-0005-0000-0000-00002F020000}"/>
    <cellStyle name="Normal 10" xfId="280" xr:uid="{00000000-0005-0000-0000-000030020000}"/>
    <cellStyle name="Normal 10 2" xfId="1177" xr:uid="{00000000-0005-0000-0000-000031020000}"/>
    <cellStyle name="Normal 11" xfId="281" xr:uid="{00000000-0005-0000-0000-000032020000}"/>
    <cellStyle name="Normal 12" xfId="282" xr:uid="{00000000-0005-0000-0000-000033020000}"/>
    <cellStyle name="Normal 12 2" xfId="283" xr:uid="{00000000-0005-0000-0000-000034020000}"/>
    <cellStyle name="Normal 128" xfId="1223" xr:uid="{00000000-0005-0000-0000-000035020000}"/>
    <cellStyle name="Normal 13" xfId="284" xr:uid="{00000000-0005-0000-0000-000036020000}"/>
    <cellStyle name="Normal 14" xfId="285" xr:uid="{00000000-0005-0000-0000-000037020000}"/>
    <cellStyle name="Normal 15" xfId="286" xr:uid="{00000000-0005-0000-0000-000038020000}"/>
    <cellStyle name="Normal 16" xfId="287" xr:uid="{00000000-0005-0000-0000-000039020000}"/>
    <cellStyle name="Normal 17" xfId="288" xr:uid="{00000000-0005-0000-0000-00003A020000}"/>
    <cellStyle name="Normal 18" xfId="289" xr:uid="{00000000-0005-0000-0000-00003B020000}"/>
    <cellStyle name="Normal 18 2" xfId="290" xr:uid="{00000000-0005-0000-0000-00003C020000}"/>
    <cellStyle name="Normal 19" xfId="291" xr:uid="{00000000-0005-0000-0000-00003D020000}"/>
    <cellStyle name="Normal 2" xfId="292" xr:uid="{00000000-0005-0000-0000-00003E020000}"/>
    <cellStyle name="Normal 2 10" xfId="293" xr:uid="{00000000-0005-0000-0000-00003F020000}"/>
    <cellStyle name="Normal 2 13 19" xfId="1224" xr:uid="{00000000-0005-0000-0000-000040020000}"/>
    <cellStyle name="Normal 2 2" xfId="294" xr:uid="{00000000-0005-0000-0000-000041020000}"/>
    <cellStyle name="Normal 2 2 2" xfId="295" xr:uid="{00000000-0005-0000-0000-000042020000}"/>
    <cellStyle name="Normal 2 3" xfId="3" xr:uid="{00000000-0005-0000-0000-000043020000}"/>
    <cellStyle name="Normal 2 3 2" xfId="296" xr:uid="{00000000-0005-0000-0000-000044020000}"/>
    <cellStyle name="Normal 2 4" xfId="963" xr:uid="{00000000-0005-0000-0000-000045020000}"/>
    <cellStyle name="Normal 20" xfId="297" xr:uid="{00000000-0005-0000-0000-000046020000}"/>
    <cellStyle name="Normal 21" xfId="298" xr:uid="{00000000-0005-0000-0000-000047020000}"/>
    <cellStyle name="Normal 22" xfId="299" xr:uid="{00000000-0005-0000-0000-000048020000}"/>
    <cellStyle name="Normal 23" xfId="300" xr:uid="{00000000-0005-0000-0000-000049020000}"/>
    <cellStyle name="Normal 24" xfId="301" xr:uid="{00000000-0005-0000-0000-00004A020000}"/>
    <cellStyle name="Normal 25" xfId="302" xr:uid="{00000000-0005-0000-0000-00004B020000}"/>
    <cellStyle name="Normal 26" xfId="303" xr:uid="{00000000-0005-0000-0000-00004C020000}"/>
    <cellStyle name="Normal 27" xfId="304" xr:uid="{00000000-0005-0000-0000-00004D020000}"/>
    <cellStyle name="Normal 28" xfId="305" xr:uid="{00000000-0005-0000-0000-00004E020000}"/>
    <cellStyle name="Normal 29" xfId="306" xr:uid="{00000000-0005-0000-0000-00004F020000}"/>
    <cellStyle name="Normal 3" xfId="307" xr:uid="{00000000-0005-0000-0000-000050020000}"/>
    <cellStyle name="Normal 3 2" xfId="308" xr:uid="{00000000-0005-0000-0000-000051020000}"/>
    <cellStyle name="Normal 3 2 2" xfId="964" xr:uid="{00000000-0005-0000-0000-000052020000}"/>
    <cellStyle name="Normal 3 3" xfId="309" xr:uid="{00000000-0005-0000-0000-000053020000}"/>
    <cellStyle name="Normal 3 4" xfId="965" xr:uid="{00000000-0005-0000-0000-000054020000}"/>
    <cellStyle name="Normal 3 5" xfId="1225" xr:uid="{4FE8DD53-9FE8-4CFE-994A-11BE2B16BF7C}"/>
    <cellStyle name="Normal 30" xfId="310" xr:uid="{00000000-0005-0000-0000-000055020000}"/>
    <cellStyle name="Normal 31" xfId="311" xr:uid="{00000000-0005-0000-0000-000056020000}"/>
    <cellStyle name="Normal 32" xfId="312" xr:uid="{00000000-0005-0000-0000-000057020000}"/>
    <cellStyle name="Normal 33" xfId="313" xr:uid="{00000000-0005-0000-0000-000058020000}"/>
    <cellStyle name="Normal 34" xfId="314" xr:uid="{00000000-0005-0000-0000-000059020000}"/>
    <cellStyle name="Normal 35" xfId="315" xr:uid="{00000000-0005-0000-0000-00005A020000}"/>
    <cellStyle name="Normal 36" xfId="316" xr:uid="{00000000-0005-0000-0000-00005B020000}"/>
    <cellStyle name="Normal 37" xfId="317" xr:uid="{00000000-0005-0000-0000-00005C020000}"/>
    <cellStyle name="Normal 38" xfId="318" xr:uid="{00000000-0005-0000-0000-00005D020000}"/>
    <cellStyle name="Normal 39" xfId="319" xr:uid="{00000000-0005-0000-0000-00005E020000}"/>
    <cellStyle name="Normal 4" xfId="320" xr:uid="{00000000-0005-0000-0000-00005F020000}"/>
    <cellStyle name="Normal 4 2" xfId="321" xr:uid="{00000000-0005-0000-0000-000060020000}"/>
    <cellStyle name="Normal 4 3" xfId="322" xr:uid="{00000000-0005-0000-0000-000061020000}"/>
    <cellStyle name="Normal 4 4" xfId="966" xr:uid="{00000000-0005-0000-0000-000062020000}"/>
    <cellStyle name="Normal 40" xfId="323" xr:uid="{00000000-0005-0000-0000-000063020000}"/>
    <cellStyle name="Normal 41" xfId="324" xr:uid="{00000000-0005-0000-0000-000064020000}"/>
    <cellStyle name="Normal 42" xfId="745" xr:uid="{00000000-0005-0000-0000-000065020000}"/>
    <cellStyle name="Normal 42 2" xfId="795" xr:uid="{00000000-0005-0000-0000-000066020000}"/>
    <cellStyle name="Normal 43" xfId="792" xr:uid="{00000000-0005-0000-0000-000067020000}"/>
    <cellStyle name="Normal 44" xfId="967" xr:uid="{00000000-0005-0000-0000-000068020000}"/>
    <cellStyle name="Normal 45" xfId="1170" xr:uid="{00000000-0005-0000-0000-000069020000}"/>
    <cellStyle name="Normal 45 2" xfId="1173" xr:uid="{00000000-0005-0000-0000-00006A020000}"/>
    <cellStyle name="Normal 46" xfId="1172" xr:uid="{00000000-0005-0000-0000-00006B020000}"/>
    <cellStyle name="Normal 47" xfId="1174" xr:uid="{00000000-0005-0000-0000-00006C020000}"/>
    <cellStyle name="Normal 48" xfId="1175" xr:uid="{00000000-0005-0000-0000-00006D020000}"/>
    <cellStyle name="Normal 49" xfId="1179" xr:uid="{00000000-0005-0000-0000-00006E020000}"/>
    <cellStyle name="Normal 5" xfId="325" xr:uid="{00000000-0005-0000-0000-00006F020000}"/>
    <cellStyle name="Normal 5 2" xfId="326" xr:uid="{00000000-0005-0000-0000-000070020000}"/>
    <cellStyle name="Normal 5 3" xfId="968" xr:uid="{00000000-0005-0000-0000-000071020000}"/>
    <cellStyle name="Normal 50" xfId="1222" xr:uid="{00000000-0005-0000-0000-000072020000}"/>
    <cellStyle name="Normal 6" xfId="327" xr:uid="{00000000-0005-0000-0000-000073020000}"/>
    <cellStyle name="Normal 6 2" xfId="328" xr:uid="{00000000-0005-0000-0000-000074020000}"/>
    <cellStyle name="Normal 6 3" xfId="969" xr:uid="{00000000-0005-0000-0000-000075020000}"/>
    <cellStyle name="Normal 7" xfId="329" xr:uid="{00000000-0005-0000-0000-000076020000}"/>
    <cellStyle name="Normal 7 2" xfId="330" xr:uid="{00000000-0005-0000-0000-000077020000}"/>
    <cellStyle name="Normal 8" xfId="331" xr:uid="{00000000-0005-0000-0000-000078020000}"/>
    <cellStyle name="Normal 8 2" xfId="332" xr:uid="{00000000-0005-0000-0000-000079020000}"/>
    <cellStyle name="Normal 9" xfId="333" xr:uid="{00000000-0005-0000-0000-00007A020000}"/>
    <cellStyle name="Normal 9 2" xfId="334" xr:uid="{00000000-0005-0000-0000-00007B020000}"/>
    <cellStyle name="Normale_LTP 2004_2009 SEMILAVORATI" xfId="335" xr:uid="{00000000-0005-0000-0000-00007C020000}"/>
    <cellStyle name="Normalny_0612 for enginner New size report in December 20061" xfId="336" xr:uid="{00000000-0005-0000-0000-00007D020000}"/>
    <cellStyle name="Notas" xfId="731" xr:uid="{00000000-0005-0000-0000-00007E020000}"/>
    <cellStyle name="Note" xfId="1195" builtinId="10" customBuiltin="1"/>
    <cellStyle name="Note 2" xfId="337" xr:uid="{00000000-0005-0000-0000-000080020000}"/>
    <cellStyle name="Note 3" xfId="338" xr:uid="{00000000-0005-0000-0000-000081020000}"/>
    <cellStyle name="Note 3 2" xfId="339" xr:uid="{00000000-0005-0000-0000-000082020000}"/>
    <cellStyle name="Note 3 2 2" xfId="340" xr:uid="{00000000-0005-0000-0000-000083020000}"/>
    <cellStyle name="Note 3 2 2 2" xfId="341" xr:uid="{00000000-0005-0000-0000-000084020000}"/>
    <cellStyle name="Note 3 2 3" xfId="342" xr:uid="{00000000-0005-0000-0000-000085020000}"/>
    <cellStyle name="Note 3 2 3 2" xfId="343" xr:uid="{00000000-0005-0000-0000-000086020000}"/>
    <cellStyle name="Note 3 2 4" xfId="768" xr:uid="{00000000-0005-0000-0000-000087020000}"/>
    <cellStyle name="Note 3 3" xfId="344" xr:uid="{00000000-0005-0000-0000-000088020000}"/>
    <cellStyle name="Note 3 3 2" xfId="345" xr:uid="{00000000-0005-0000-0000-000089020000}"/>
    <cellStyle name="Note 3 3 2 2" xfId="346" xr:uid="{00000000-0005-0000-0000-00008A020000}"/>
    <cellStyle name="Note 3 3 3" xfId="347" xr:uid="{00000000-0005-0000-0000-00008B020000}"/>
    <cellStyle name="Note 3 3 3 2" xfId="348" xr:uid="{00000000-0005-0000-0000-00008C020000}"/>
    <cellStyle name="Note 3 3 4" xfId="769" xr:uid="{00000000-0005-0000-0000-00008D020000}"/>
    <cellStyle name="Note 3 4" xfId="349" xr:uid="{00000000-0005-0000-0000-00008E020000}"/>
    <cellStyle name="Note 3 4 2" xfId="350" xr:uid="{00000000-0005-0000-0000-00008F020000}"/>
    <cellStyle name="Note 3 4 2 2" xfId="351" xr:uid="{00000000-0005-0000-0000-000090020000}"/>
    <cellStyle name="Note 3 4 3" xfId="352" xr:uid="{00000000-0005-0000-0000-000091020000}"/>
    <cellStyle name="Note 3 4 3 2" xfId="353" xr:uid="{00000000-0005-0000-0000-000092020000}"/>
    <cellStyle name="Note 3 4 4" xfId="770" xr:uid="{00000000-0005-0000-0000-000093020000}"/>
    <cellStyle name="Note 3 5" xfId="354" xr:uid="{00000000-0005-0000-0000-000094020000}"/>
    <cellStyle name="Note 3 5 2" xfId="355" xr:uid="{00000000-0005-0000-0000-000095020000}"/>
    <cellStyle name="Note 3 6" xfId="356" xr:uid="{00000000-0005-0000-0000-000096020000}"/>
    <cellStyle name="Note 3 6 2" xfId="357" xr:uid="{00000000-0005-0000-0000-000097020000}"/>
    <cellStyle name="Note 3 7" xfId="771" xr:uid="{00000000-0005-0000-0000-000098020000}"/>
    <cellStyle name="Notes" xfId="970" xr:uid="{00000000-0005-0000-0000-000099020000}"/>
    <cellStyle name="Notitie" xfId="358" xr:uid="{00000000-0005-0000-0000-00009A020000}"/>
    <cellStyle name="Notitie 2" xfId="359" xr:uid="{00000000-0005-0000-0000-00009B020000}"/>
    <cellStyle name="Notitie 2 2" xfId="360" xr:uid="{00000000-0005-0000-0000-00009C020000}"/>
    <cellStyle name="Notitie 2 2 2" xfId="361" xr:uid="{00000000-0005-0000-0000-00009D020000}"/>
    <cellStyle name="Notitie 2 3" xfId="362" xr:uid="{00000000-0005-0000-0000-00009E020000}"/>
    <cellStyle name="Notitie 2 3 2" xfId="363" xr:uid="{00000000-0005-0000-0000-00009F020000}"/>
    <cellStyle name="Notitie 2 4" xfId="772" xr:uid="{00000000-0005-0000-0000-0000A0020000}"/>
    <cellStyle name="Notitie 3" xfId="364" xr:uid="{00000000-0005-0000-0000-0000A1020000}"/>
    <cellStyle name="Notitie 3 2" xfId="365" xr:uid="{00000000-0005-0000-0000-0000A2020000}"/>
    <cellStyle name="Notitie 3 2 2" xfId="366" xr:uid="{00000000-0005-0000-0000-0000A3020000}"/>
    <cellStyle name="Notitie 3 3" xfId="367" xr:uid="{00000000-0005-0000-0000-0000A4020000}"/>
    <cellStyle name="Notitie 3 3 2" xfId="368" xr:uid="{00000000-0005-0000-0000-0000A5020000}"/>
    <cellStyle name="Notitie 3 4" xfId="773" xr:uid="{00000000-0005-0000-0000-0000A6020000}"/>
    <cellStyle name="Notitie 4" xfId="369" xr:uid="{00000000-0005-0000-0000-0000A7020000}"/>
    <cellStyle name="Notitie 4 2" xfId="370" xr:uid="{00000000-0005-0000-0000-0000A8020000}"/>
    <cellStyle name="Notitie 5" xfId="371" xr:uid="{00000000-0005-0000-0000-0000A9020000}"/>
    <cellStyle name="Notitie 5 2" xfId="372" xr:uid="{00000000-0005-0000-0000-0000AA020000}"/>
    <cellStyle name="Notitie 6" xfId="774" xr:uid="{00000000-0005-0000-0000-0000AB020000}"/>
    <cellStyle name="Œ…‹æØ‚è [0.00]_4m stock" xfId="732" xr:uid="{00000000-0005-0000-0000-0000AC020000}"/>
    <cellStyle name="Œ…‹æØ‚è_4m stock" xfId="733" xr:uid="{00000000-0005-0000-0000-0000AD020000}"/>
    <cellStyle name="Ongeldig" xfId="373" xr:uid="{00000000-0005-0000-0000-0000AE020000}"/>
    <cellStyle name="Option" xfId="374" xr:uid="{00000000-0005-0000-0000-0000AF020000}"/>
    <cellStyle name="OptionHeading" xfId="375" xr:uid="{00000000-0005-0000-0000-0000B0020000}"/>
    <cellStyle name="Output" xfId="1190" builtinId="21" customBuiltin="1"/>
    <cellStyle name="Output 2" xfId="376" xr:uid="{00000000-0005-0000-0000-0000B2020000}"/>
    <cellStyle name="Output 2 2" xfId="377" xr:uid="{00000000-0005-0000-0000-0000B3020000}"/>
    <cellStyle name="Output 2 2 2" xfId="378" xr:uid="{00000000-0005-0000-0000-0000B4020000}"/>
    <cellStyle name="Output 2 2 2 2" xfId="971" xr:uid="{00000000-0005-0000-0000-0000B5020000}"/>
    <cellStyle name="Output 2 2 3" xfId="972" xr:uid="{00000000-0005-0000-0000-0000B6020000}"/>
    <cellStyle name="Output 2 3" xfId="379" xr:uid="{00000000-0005-0000-0000-0000B7020000}"/>
    <cellStyle name="Output 2 3 2" xfId="380" xr:uid="{00000000-0005-0000-0000-0000B8020000}"/>
    <cellStyle name="Output 2 3 2 2" xfId="973" xr:uid="{00000000-0005-0000-0000-0000B9020000}"/>
    <cellStyle name="Output 2 3 3" xfId="974" xr:uid="{00000000-0005-0000-0000-0000BA020000}"/>
    <cellStyle name="Output 2 4" xfId="775" xr:uid="{00000000-0005-0000-0000-0000BB020000}"/>
    <cellStyle name="Output 3" xfId="381" xr:uid="{00000000-0005-0000-0000-0000BC020000}"/>
    <cellStyle name="Output 3 2" xfId="382" xr:uid="{00000000-0005-0000-0000-0000BD020000}"/>
    <cellStyle name="Output 3 2 2" xfId="383" xr:uid="{00000000-0005-0000-0000-0000BE020000}"/>
    <cellStyle name="Output 3 2 2 2" xfId="975" xr:uid="{00000000-0005-0000-0000-0000BF020000}"/>
    <cellStyle name="Output 3 2 3" xfId="976" xr:uid="{00000000-0005-0000-0000-0000C0020000}"/>
    <cellStyle name="Output 3 3" xfId="384" xr:uid="{00000000-0005-0000-0000-0000C1020000}"/>
    <cellStyle name="Output 3 3 2" xfId="385" xr:uid="{00000000-0005-0000-0000-0000C2020000}"/>
    <cellStyle name="Output 3 3 2 2" xfId="977" xr:uid="{00000000-0005-0000-0000-0000C3020000}"/>
    <cellStyle name="Output 3 3 3" xfId="978" xr:uid="{00000000-0005-0000-0000-0000C4020000}"/>
    <cellStyle name="Output 3 4" xfId="776" xr:uid="{00000000-0005-0000-0000-0000C5020000}"/>
    <cellStyle name="ParaBirimi [0]_RESULTS" xfId="386" xr:uid="{00000000-0005-0000-0000-0000C6020000}"/>
    <cellStyle name="ParaBirimi_RESULTS" xfId="387" xr:uid="{00000000-0005-0000-0000-0000C7020000}"/>
    <cellStyle name="part#" xfId="388" xr:uid="{00000000-0005-0000-0000-0000C8020000}"/>
    <cellStyle name="part# 2" xfId="389" xr:uid="{00000000-0005-0000-0000-0000C9020000}"/>
    <cellStyle name="part# 2 2" xfId="979" xr:uid="{00000000-0005-0000-0000-0000CA020000}"/>
    <cellStyle name="part# 3" xfId="980" xr:uid="{00000000-0005-0000-0000-0000CB020000}"/>
    <cellStyle name="Percent" xfId="678" builtinId="5"/>
    <cellStyle name="Percent [0]" xfId="390" xr:uid="{00000000-0005-0000-0000-0000CD020000}"/>
    <cellStyle name="Percent [0] 2" xfId="981" xr:uid="{00000000-0005-0000-0000-0000CE020000}"/>
    <cellStyle name="Percent [00]" xfId="391" xr:uid="{00000000-0005-0000-0000-0000CF020000}"/>
    <cellStyle name="Percent [00] 2" xfId="982" xr:uid="{00000000-0005-0000-0000-0000D0020000}"/>
    <cellStyle name="Percent [00] 3" xfId="983" xr:uid="{00000000-0005-0000-0000-0000D1020000}"/>
    <cellStyle name="Percent [2]" xfId="392" xr:uid="{00000000-0005-0000-0000-0000D2020000}"/>
    <cellStyle name="Percent 2" xfId="393" xr:uid="{00000000-0005-0000-0000-0000D3020000}"/>
    <cellStyle name="Percent 2 2" xfId="394" xr:uid="{00000000-0005-0000-0000-0000D4020000}"/>
    <cellStyle name="Percent 3" xfId="395" xr:uid="{00000000-0005-0000-0000-0000D5020000}"/>
    <cellStyle name="Percent 4" xfId="396" xr:uid="{00000000-0005-0000-0000-0000D6020000}"/>
    <cellStyle name="Percent 5" xfId="984" xr:uid="{00000000-0005-0000-0000-0000D7020000}"/>
    <cellStyle name="Percent 6" xfId="985" xr:uid="{00000000-0005-0000-0000-0000D8020000}"/>
    <cellStyle name="Percent 7" xfId="986" xr:uid="{00000000-0005-0000-0000-0000D9020000}"/>
    <cellStyle name="Percent 8" xfId="1180" xr:uid="{00000000-0005-0000-0000-0000DA020000}"/>
    <cellStyle name="PrePop Currency (0)" xfId="397" xr:uid="{00000000-0005-0000-0000-0000DB020000}"/>
    <cellStyle name="PrePop Currency (0) 2" xfId="987" xr:uid="{00000000-0005-0000-0000-0000DC020000}"/>
    <cellStyle name="PrePop Currency (0) 3" xfId="988" xr:uid="{00000000-0005-0000-0000-0000DD020000}"/>
    <cellStyle name="PrePop Currency (2)" xfId="398" xr:uid="{00000000-0005-0000-0000-0000DE020000}"/>
    <cellStyle name="PrePop Currency (2) 2" xfId="989" xr:uid="{00000000-0005-0000-0000-0000DF020000}"/>
    <cellStyle name="PrePop Units (0)" xfId="399" xr:uid="{00000000-0005-0000-0000-0000E0020000}"/>
    <cellStyle name="PrePop Units (0) 2" xfId="990" xr:uid="{00000000-0005-0000-0000-0000E1020000}"/>
    <cellStyle name="PrePop Units (0) 3" xfId="991" xr:uid="{00000000-0005-0000-0000-0000E2020000}"/>
    <cellStyle name="PrePop Units (1)" xfId="400" xr:uid="{00000000-0005-0000-0000-0000E3020000}"/>
    <cellStyle name="PrePop Units (1) 2" xfId="992" xr:uid="{00000000-0005-0000-0000-0000E4020000}"/>
    <cellStyle name="PrePop Units (2)" xfId="401" xr:uid="{00000000-0005-0000-0000-0000E5020000}"/>
    <cellStyle name="PrePop Units (2) 2" xfId="993" xr:uid="{00000000-0005-0000-0000-0000E6020000}"/>
    <cellStyle name="Price" xfId="402" xr:uid="{00000000-0005-0000-0000-0000E7020000}"/>
    <cellStyle name="pwstyle" xfId="734" xr:uid="{00000000-0005-0000-0000-0000E8020000}"/>
    <cellStyle name="qty" xfId="403" xr:uid="{00000000-0005-0000-0000-0000E9020000}"/>
    <cellStyle name="qty 2" xfId="404" xr:uid="{00000000-0005-0000-0000-0000EA020000}"/>
    <cellStyle name="qty 2 2" xfId="994" xr:uid="{00000000-0005-0000-0000-0000EB020000}"/>
    <cellStyle name="qty 3" xfId="995" xr:uid="{00000000-0005-0000-0000-0000EC020000}"/>
    <cellStyle name="Quantity" xfId="405" xr:uid="{00000000-0005-0000-0000-0000ED020000}"/>
    <cellStyle name="Red Text" xfId="996" xr:uid="{00000000-0005-0000-0000-0000EE020000}"/>
    <cellStyle name="Salida" xfId="735" xr:uid="{00000000-0005-0000-0000-0000EF020000}"/>
    <cellStyle name="SAPBEXstdItem" xfId="406" xr:uid="{00000000-0005-0000-0000-0000F0020000}"/>
    <cellStyle name="SAPBEXstdItem 2" xfId="407" xr:uid="{00000000-0005-0000-0000-0000F1020000}"/>
    <cellStyle name="SAPBEXstdItem 2 2" xfId="408" xr:uid="{00000000-0005-0000-0000-0000F2020000}"/>
    <cellStyle name="SAPBEXstdItem 2 2 2" xfId="409" xr:uid="{00000000-0005-0000-0000-0000F3020000}"/>
    <cellStyle name="SAPBEXstdItem 2 2 2 2" xfId="997" xr:uid="{00000000-0005-0000-0000-0000F4020000}"/>
    <cellStyle name="SAPBEXstdItem 2 2 3" xfId="998" xr:uid="{00000000-0005-0000-0000-0000F5020000}"/>
    <cellStyle name="SAPBEXstdItem 2 3" xfId="410" xr:uid="{00000000-0005-0000-0000-0000F6020000}"/>
    <cellStyle name="SAPBEXstdItem 2 3 2" xfId="411" xr:uid="{00000000-0005-0000-0000-0000F7020000}"/>
    <cellStyle name="SAPBEXstdItem 2 3 2 2" xfId="999" xr:uid="{00000000-0005-0000-0000-0000F8020000}"/>
    <cellStyle name="SAPBEXstdItem 2 3 3" xfId="1000" xr:uid="{00000000-0005-0000-0000-0000F9020000}"/>
    <cellStyle name="SAPBEXstdItem 2 4" xfId="777" xr:uid="{00000000-0005-0000-0000-0000FA020000}"/>
    <cellStyle name="SAPBEXstdItem 3" xfId="412" xr:uid="{00000000-0005-0000-0000-0000FB020000}"/>
    <cellStyle name="SAPBEXstdItem 3 2" xfId="413" xr:uid="{00000000-0005-0000-0000-0000FC020000}"/>
    <cellStyle name="SAPBEXstdItem 3 2 2" xfId="414" xr:uid="{00000000-0005-0000-0000-0000FD020000}"/>
    <cellStyle name="SAPBEXstdItem 3 2 2 2" xfId="1001" xr:uid="{00000000-0005-0000-0000-0000FE020000}"/>
    <cellStyle name="SAPBEXstdItem 3 2 3" xfId="1002" xr:uid="{00000000-0005-0000-0000-0000FF020000}"/>
    <cellStyle name="SAPBEXstdItem 3 3" xfId="415" xr:uid="{00000000-0005-0000-0000-000000030000}"/>
    <cellStyle name="SAPBEXstdItem 3 3 2" xfId="416" xr:uid="{00000000-0005-0000-0000-000001030000}"/>
    <cellStyle name="SAPBEXstdItem 3 3 2 2" xfId="1003" xr:uid="{00000000-0005-0000-0000-000002030000}"/>
    <cellStyle name="SAPBEXstdItem 3 3 3" xfId="1004" xr:uid="{00000000-0005-0000-0000-000003030000}"/>
    <cellStyle name="SAPBEXstdItem 3 4" xfId="778" xr:uid="{00000000-0005-0000-0000-000004030000}"/>
    <cellStyle name="SAPBEXstdItem 4" xfId="417" xr:uid="{00000000-0005-0000-0000-000005030000}"/>
    <cellStyle name="SAPBEXstdItem 4 2" xfId="418" xr:uid="{00000000-0005-0000-0000-000006030000}"/>
    <cellStyle name="SAPBEXstdItem 4 2 2" xfId="1005" xr:uid="{00000000-0005-0000-0000-000007030000}"/>
    <cellStyle name="SAPBEXstdItem 4 3" xfId="1006" xr:uid="{00000000-0005-0000-0000-000008030000}"/>
    <cellStyle name="SAPBEXstdItem 5" xfId="419" xr:uid="{00000000-0005-0000-0000-000009030000}"/>
    <cellStyle name="SAPBEXstdItem 5 2" xfId="420" xr:uid="{00000000-0005-0000-0000-00000A030000}"/>
    <cellStyle name="SAPBEXstdItem 5 2 2" xfId="1007" xr:uid="{00000000-0005-0000-0000-00000B030000}"/>
    <cellStyle name="SAPBEXstdItem 5 3" xfId="1008" xr:uid="{00000000-0005-0000-0000-00000C030000}"/>
    <cellStyle name="SAPBEXstdItem 6" xfId="779" xr:uid="{00000000-0005-0000-0000-00000D030000}"/>
    <cellStyle name="Sep. milhar [0]" xfId="1009" xr:uid="{00000000-0005-0000-0000-00000E030000}"/>
    <cellStyle name="Separador de milhares [0]_BANDA LARGA" xfId="1010" xr:uid="{00000000-0005-0000-0000-00000F030000}"/>
    <cellStyle name="Separador de milhares_BANDA LARGA" xfId="1011" xr:uid="{00000000-0005-0000-0000-000010030000}"/>
    <cellStyle name="Shading" xfId="1012" xr:uid="{00000000-0005-0000-0000-000011030000}"/>
    <cellStyle name="Standaard_Input" xfId="421" xr:uid="{00000000-0005-0000-0000-000012030000}"/>
    <cellStyle name="Style 1" xfId="422" xr:uid="{00000000-0005-0000-0000-000013030000}"/>
    <cellStyle name="Style 333" xfId="423" xr:uid="{00000000-0005-0000-0000-000014030000}"/>
    <cellStyle name="Style 333 2" xfId="424" xr:uid="{00000000-0005-0000-0000-000015030000}"/>
    <cellStyle name="Style 333 2 2" xfId="1013" xr:uid="{00000000-0005-0000-0000-000016030000}"/>
    <cellStyle name="Style 333 3" xfId="1014" xr:uid="{00000000-0005-0000-0000-000017030000}"/>
    <cellStyle name="Style 360" xfId="425" xr:uid="{00000000-0005-0000-0000-000018030000}"/>
    <cellStyle name="Style 360 2" xfId="426" xr:uid="{00000000-0005-0000-0000-000019030000}"/>
    <cellStyle name="Style 445" xfId="427" xr:uid="{00000000-0005-0000-0000-00001A030000}"/>
    <cellStyle name="Style 445 2" xfId="428" xr:uid="{00000000-0005-0000-0000-00001B030000}"/>
    <cellStyle name="Style 469" xfId="429" xr:uid="{00000000-0005-0000-0000-00001C030000}"/>
    <cellStyle name="Style 469 2" xfId="430" xr:uid="{00000000-0005-0000-0000-00001D030000}"/>
    <cellStyle name="subhead" xfId="431" xr:uid="{00000000-0005-0000-0000-00001E030000}"/>
    <cellStyle name="SUBSISTENCE" xfId="736" xr:uid="{00000000-0005-0000-0000-00001F030000}"/>
    <cellStyle name="TEST" xfId="432" xr:uid="{00000000-0005-0000-0000-000020030000}"/>
    <cellStyle name="Text Indent A" xfId="433" xr:uid="{00000000-0005-0000-0000-000021030000}"/>
    <cellStyle name="Text Indent B" xfId="434" xr:uid="{00000000-0005-0000-0000-000022030000}"/>
    <cellStyle name="Text Indent B 2" xfId="1015" xr:uid="{00000000-0005-0000-0000-000023030000}"/>
    <cellStyle name="Text Indent C" xfId="435" xr:uid="{00000000-0005-0000-0000-000024030000}"/>
    <cellStyle name="Text Indent C 2" xfId="1016" xr:uid="{00000000-0005-0000-0000-000025030000}"/>
    <cellStyle name="Texto de advertencia" xfId="737" xr:uid="{00000000-0005-0000-0000-000026030000}"/>
    <cellStyle name="Texto explicativo" xfId="738" xr:uid="{00000000-0005-0000-0000-000027030000}"/>
    <cellStyle name="Texto, derecha" xfId="1017" xr:uid="{00000000-0005-0000-0000-000028030000}"/>
    <cellStyle name="Texto, izquierda" xfId="1018" xr:uid="{00000000-0005-0000-0000-000029030000}"/>
    <cellStyle name="Titel" xfId="436" xr:uid="{00000000-0005-0000-0000-00002A030000}"/>
    <cellStyle name="Title" xfId="1181" builtinId="15" customBuiltin="1"/>
    <cellStyle name="Título" xfId="739" xr:uid="{00000000-0005-0000-0000-00002C030000}"/>
    <cellStyle name="Título 1" xfId="740" xr:uid="{00000000-0005-0000-0000-00002D030000}"/>
    <cellStyle name="Título 2" xfId="741" xr:uid="{00000000-0005-0000-0000-00002E030000}"/>
    <cellStyle name="Título 3" xfId="742" xr:uid="{00000000-0005-0000-0000-00002F030000}"/>
    <cellStyle name="Título_Monterrey_Capex_08FCST09OB" xfId="743" xr:uid="{00000000-0005-0000-0000-000030030000}"/>
    <cellStyle name="Totaal" xfId="437" xr:uid="{00000000-0005-0000-0000-000031030000}"/>
    <cellStyle name="Totaal 2" xfId="438" xr:uid="{00000000-0005-0000-0000-000032030000}"/>
    <cellStyle name="Totaal 2 2" xfId="439" xr:uid="{00000000-0005-0000-0000-000033030000}"/>
    <cellStyle name="Totaal 2 2 2" xfId="440" xr:uid="{00000000-0005-0000-0000-000034030000}"/>
    <cellStyle name="Totaal 2 2 2 2" xfId="1019" xr:uid="{00000000-0005-0000-0000-000035030000}"/>
    <cellStyle name="Totaal 2 2 3" xfId="1020" xr:uid="{00000000-0005-0000-0000-000036030000}"/>
    <cellStyle name="Totaal 2 3" xfId="441" xr:uid="{00000000-0005-0000-0000-000037030000}"/>
    <cellStyle name="Totaal 2 3 2" xfId="442" xr:uid="{00000000-0005-0000-0000-000038030000}"/>
    <cellStyle name="Totaal 2 3 2 2" xfId="1021" xr:uid="{00000000-0005-0000-0000-000039030000}"/>
    <cellStyle name="Totaal 2 3 3" xfId="1022" xr:uid="{00000000-0005-0000-0000-00003A030000}"/>
    <cellStyle name="Totaal 2 4" xfId="780" xr:uid="{00000000-0005-0000-0000-00003B030000}"/>
    <cellStyle name="Totaal 3" xfId="443" xr:uid="{00000000-0005-0000-0000-00003C030000}"/>
    <cellStyle name="Totaal 3 2" xfId="444" xr:uid="{00000000-0005-0000-0000-00003D030000}"/>
    <cellStyle name="Totaal 3 2 2" xfId="445" xr:uid="{00000000-0005-0000-0000-00003E030000}"/>
    <cellStyle name="Totaal 3 2 2 2" xfId="1023" xr:uid="{00000000-0005-0000-0000-00003F030000}"/>
    <cellStyle name="Totaal 3 2 3" xfId="1024" xr:uid="{00000000-0005-0000-0000-000040030000}"/>
    <cellStyle name="Totaal 3 3" xfId="446" xr:uid="{00000000-0005-0000-0000-000041030000}"/>
    <cellStyle name="Totaal 3 3 2" xfId="447" xr:uid="{00000000-0005-0000-0000-000042030000}"/>
    <cellStyle name="Totaal 3 3 2 2" xfId="1025" xr:uid="{00000000-0005-0000-0000-000043030000}"/>
    <cellStyle name="Totaal 3 3 3" xfId="1026" xr:uid="{00000000-0005-0000-0000-000044030000}"/>
    <cellStyle name="Totaal 3 4" xfId="781" xr:uid="{00000000-0005-0000-0000-000045030000}"/>
    <cellStyle name="Totaal 4" xfId="448" xr:uid="{00000000-0005-0000-0000-000046030000}"/>
    <cellStyle name="Totaal 4 2" xfId="449" xr:uid="{00000000-0005-0000-0000-000047030000}"/>
    <cellStyle name="Totaal 4 2 2" xfId="1027" xr:uid="{00000000-0005-0000-0000-000048030000}"/>
    <cellStyle name="Totaal 4 3" xfId="1028" xr:uid="{00000000-0005-0000-0000-000049030000}"/>
    <cellStyle name="Totaal 5" xfId="450" xr:uid="{00000000-0005-0000-0000-00004A030000}"/>
    <cellStyle name="Totaal 5 2" xfId="451" xr:uid="{00000000-0005-0000-0000-00004B030000}"/>
    <cellStyle name="Totaal 5 2 2" xfId="1029" xr:uid="{00000000-0005-0000-0000-00004C030000}"/>
    <cellStyle name="Totaal 5 3" xfId="1030" xr:uid="{00000000-0005-0000-0000-00004D030000}"/>
    <cellStyle name="Totaal 6" xfId="782" xr:uid="{00000000-0005-0000-0000-00004E030000}"/>
    <cellStyle name="Total" xfId="1197" builtinId="25" customBuiltin="1"/>
    <cellStyle name="Total 2" xfId="452" xr:uid="{00000000-0005-0000-0000-000050030000}"/>
    <cellStyle name="Total 2 2" xfId="453" xr:uid="{00000000-0005-0000-0000-000051030000}"/>
    <cellStyle name="Total 2 2 2" xfId="454" xr:uid="{00000000-0005-0000-0000-000052030000}"/>
    <cellStyle name="Total 2 2 2 2" xfId="1031" xr:uid="{00000000-0005-0000-0000-000053030000}"/>
    <cellStyle name="Total 2 2 3" xfId="1032" xr:uid="{00000000-0005-0000-0000-000054030000}"/>
    <cellStyle name="Total 2 3" xfId="455" xr:uid="{00000000-0005-0000-0000-000055030000}"/>
    <cellStyle name="Total 2 3 2" xfId="456" xr:uid="{00000000-0005-0000-0000-000056030000}"/>
    <cellStyle name="Total 2 3 2 2" xfId="1033" xr:uid="{00000000-0005-0000-0000-000057030000}"/>
    <cellStyle name="Total 2 3 3" xfId="1034" xr:uid="{00000000-0005-0000-0000-000058030000}"/>
    <cellStyle name="Total 2 4" xfId="783" xr:uid="{00000000-0005-0000-0000-000059030000}"/>
    <cellStyle name="Total 3" xfId="457" xr:uid="{00000000-0005-0000-0000-00005A030000}"/>
    <cellStyle name="Total 3 2" xfId="458" xr:uid="{00000000-0005-0000-0000-00005B030000}"/>
    <cellStyle name="Total 3 2 2" xfId="459" xr:uid="{00000000-0005-0000-0000-00005C030000}"/>
    <cellStyle name="Total 3 2 2 2" xfId="1035" xr:uid="{00000000-0005-0000-0000-00005D030000}"/>
    <cellStyle name="Total 3 2 3" xfId="1036" xr:uid="{00000000-0005-0000-0000-00005E030000}"/>
    <cellStyle name="Total 3 3" xfId="460" xr:uid="{00000000-0005-0000-0000-00005F030000}"/>
    <cellStyle name="Total 3 3 2" xfId="461" xr:uid="{00000000-0005-0000-0000-000060030000}"/>
    <cellStyle name="Total 3 3 2 2" xfId="1037" xr:uid="{00000000-0005-0000-0000-000061030000}"/>
    <cellStyle name="Total 3 3 3" xfId="1038" xr:uid="{00000000-0005-0000-0000-000062030000}"/>
    <cellStyle name="Total 3 4" xfId="784" xr:uid="{00000000-0005-0000-0000-000063030000}"/>
    <cellStyle name="Total 4" xfId="1039" xr:uid="{00000000-0005-0000-0000-000064030000}"/>
    <cellStyle name="Tusental (0)" xfId="1040" xr:uid="{00000000-0005-0000-0000-000065030000}"/>
    <cellStyle name="Tusental_pldt" xfId="462" xr:uid="{00000000-0005-0000-0000-000066030000}"/>
    <cellStyle name="Uitvoer" xfId="463" xr:uid="{00000000-0005-0000-0000-000067030000}"/>
    <cellStyle name="Uitvoer 2" xfId="464" xr:uid="{00000000-0005-0000-0000-000068030000}"/>
    <cellStyle name="Uitvoer 2 2" xfId="465" xr:uid="{00000000-0005-0000-0000-000069030000}"/>
    <cellStyle name="Uitvoer 2 2 2" xfId="466" xr:uid="{00000000-0005-0000-0000-00006A030000}"/>
    <cellStyle name="Uitvoer 2 2 2 2" xfId="1041" xr:uid="{00000000-0005-0000-0000-00006B030000}"/>
    <cellStyle name="Uitvoer 2 2 3" xfId="1042" xr:uid="{00000000-0005-0000-0000-00006C030000}"/>
    <cellStyle name="Uitvoer 2 3" xfId="467" xr:uid="{00000000-0005-0000-0000-00006D030000}"/>
    <cellStyle name="Uitvoer 2 3 2" xfId="468" xr:uid="{00000000-0005-0000-0000-00006E030000}"/>
    <cellStyle name="Uitvoer 2 3 2 2" xfId="1043" xr:uid="{00000000-0005-0000-0000-00006F030000}"/>
    <cellStyle name="Uitvoer 2 3 3" xfId="1044" xr:uid="{00000000-0005-0000-0000-000070030000}"/>
    <cellStyle name="Uitvoer 2 4" xfId="785" xr:uid="{00000000-0005-0000-0000-000071030000}"/>
    <cellStyle name="Uitvoer 3" xfId="469" xr:uid="{00000000-0005-0000-0000-000072030000}"/>
    <cellStyle name="Uitvoer 3 2" xfId="470" xr:uid="{00000000-0005-0000-0000-000073030000}"/>
    <cellStyle name="Uitvoer 3 2 2" xfId="471" xr:uid="{00000000-0005-0000-0000-000074030000}"/>
    <cellStyle name="Uitvoer 3 2 2 2" xfId="1045" xr:uid="{00000000-0005-0000-0000-000075030000}"/>
    <cellStyle name="Uitvoer 3 2 3" xfId="1046" xr:uid="{00000000-0005-0000-0000-000076030000}"/>
    <cellStyle name="Uitvoer 3 3" xfId="472" xr:uid="{00000000-0005-0000-0000-000077030000}"/>
    <cellStyle name="Uitvoer 3 3 2" xfId="473" xr:uid="{00000000-0005-0000-0000-000078030000}"/>
    <cellStyle name="Uitvoer 3 3 2 2" xfId="1047" xr:uid="{00000000-0005-0000-0000-000079030000}"/>
    <cellStyle name="Uitvoer 3 3 3" xfId="1048" xr:uid="{00000000-0005-0000-0000-00007A030000}"/>
    <cellStyle name="Uitvoer 3 4" xfId="786" xr:uid="{00000000-0005-0000-0000-00007B030000}"/>
    <cellStyle name="Uitvoer 4" xfId="474" xr:uid="{00000000-0005-0000-0000-00007C030000}"/>
    <cellStyle name="Uitvoer 4 2" xfId="475" xr:uid="{00000000-0005-0000-0000-00007D030000}"/>
    <cellStyle name="Uitvoer 4 2 2" xfId="1049" xr:uid="{00000000-0005-0000-0000-00007E030000}"/>
    <cellStyle name="Uitvoer 4 3" xfId="1050" xr:uid="{00000000-0005-0000-0000-00007F030000}"/>
    <cellStyle name="Uitvoer 5" xfId="476" xr:uid="{00000000-0005-0000-0000-000080030000}"/>
    <cellStyle name="Uitvoer 5 2" xfId="477" xr:uid="{00000000-0005-0000-0000-000081030000}"/>
    <cellStyle name="Uitvoer 5 2 2" xfId="1051" xr:uid="{00000000-0005-0000-0000-000082030000}"/>
    <cellStyle name="Uitvoer 5 3" xfId="1052" xr:uid="{00000000-0005-0000-0000-000083030000}"/>
    <cellStyle name="Uitvoer 6" xfId="787" xr:uid="{00000000-0005-0000-0000-000084030000}"/>
    <cellStyle name="Undefined" xfId="744" xr:uid="{00000000-0005-0000-0000-000085030000}"/>
    <cellStyle name="Unit" xfId="478" xr:uid="{00000000-0005-0000-0000-000086030000}"/>
    <cellStyle name="Valuta (0)" xfId="1053" xr:uid="{00000000-0005-0000-0000-000087030000}"/>
    <cellStyle name="Valuta_pldt" xfId="479" xr:uid="{00000000-0005-0000-0000-000088030000}"/>
    <cellStyle name="Verklarende tekst" xfId="480" xr:uid="{00000000-0005-0000-0000-000089030000}"/>
    <cellStyle name="Vertical" xfId="481" xr:uid="{00000000-0005-0000-0000-00008A030000}"/>
    <cellStyle name="Virg・ [0]_RESULTS" xfId="482" xr:uid="{00000000-0005-0000-0000-00008B030000}"/>
    <cellStyle name="Virg・_RESULTS" xfId="483" xr:uid="{00000000-0005-0000-0000-00008C030000}"/>
    <cellStyle name="Waarschuwingstekst" xfId="484" xr:uid="{00000000-0005-0000-0000-00008D030000}"/>
    <cellStyle name="Walutowy [0]_74007Feb03" xfId="485" xr:uid="{00000000-0005-0000-0000-00008E030000}"/>
    <cellStyle name="Warning Text" xfId="1194" builtinId="11" customBuiltin="1"/>
    <cellStyle name="Yellow" xfId="1054" xr:uid="{00000000-0005-0000-0000-000090030000}"/>
    <cellStyle name="アクセント 1" xfId="1055" xr:uid="{00000000-0005-0000-0000-000091030000}"/>
    <cellStyle name="アクセント 1 2" xfId="486" xr:uid="{00000000-0005-0000-0000-000092030000}"/>
    <cellStyle name="アクセント 1 2 2" xfId="1056" xr:uid="{00000000-0005-0000-0000-000093030000}"/>
    <cellStyle name="アクセント 1 3" xfId="1057" xr:uid="{00000000-0005-0000-0000-000094030000}"/>
    <cellStyle name="アクセント 2" xfId="1058" xr:uid="{00000000-0005-0000-0000-000095030000}"/>
    <cellStyle name="アクセント 2 2" xfId="487" xr:uid="{00000000-0005-0000-0000-000096030000}"/>
    <cellStyle name="アクセント 2 2 2" xfId="1059" xr:uid="{00000000-0005-0000-0000-000097030000}"/>
    <cellStyle name="アクセント 2 3" xfId="1060" xr:uid="{00000000-0005-0000-0000-000098030000}"/>
    <cellStyle name="アクセント 3" xfId="1061" xr:uid="{00000000-0005-0000-0000-000099030000}"/>
    <cellStyle name="アクセント 3 2" xfId="488" xr:uid="{00000000-0005-0000-0000-00009A030000}"/>
    <cellStyle name="アクセント 3 2 2" xfId="1062" xr:uid="{00000000-0005-0000-0000-00009B030000}"/>
    <cellStyle name="アクセント 3 3" xfId="1063" xr:uid="{00000000-0005-0000-0000-00009C030000}"/>
    <cellStyle name="アクセント 4" xfId="1064" xr:uid="{00000000-0005-0000-0000-00009D030000}"/>
    <cellStyle name="アクセント 4 2" xfId="489" xr:uid="{00000000-0005-0000-0000-00009E030000}"/>
    <cellStyle name="アクセント 4 2 2" xfId="1065" xr:uid="{00000000-0005-0000-0000-00009F030000}"/>
    <cellStyle name="アクセント 4 3" xfId="1066" xr:uid="{00000000-0005-0000-0000-0000A0030000}"/>
    <cellStyle name="アクセント 5" xfId="1067" xr:uid="{00000000-0005-0000-0000-0000A1030000}"/>
    <cellStyle name="アクセント 5 2" xfId="490" xr:uid="{00000000-0005-0000-0000-0000A2030000}"/>
    <cellStyle name="アクセント 5 2 2" xfId="1068" xr:uid="{00000000-0005-0000-0000-0000A3030000}"/>
    <cellStyle name="アクセント 6" xfId="1069" xr:uid="{00000000-0005-0000-0000-0000A4030000}"/>
    <cellStyle name="アクセント 6 2" xfId="491" xr:uid="{00000000-0005-0000-0000-0000A5030000}"/>
    <cellStyle name="アクセント 6 2 2" xfId="1070" xr:uid="{00000000-0005-0000-0000-0000A6030000}"/>
    <cellStyle name="アクセント 6 3" xfId="1071" xr:uid="{00000000-0005-0000-0000-0000A7030000}"/>
    <cellStyle name="アンダーライン" xfId="1072" xr:uid="{00000000-0005-0000-0000-0000A8030000}"/>
    <cellStyle name="イタリック" xfId="1073" xr:uid="{00000000-0005-0000-0000-0000A9030000}"/>
    <cellStyle name="ｳｬｼｶﾁｴｽﾓ" xfId="492" xr:uid="{00000000-0005-0000-0000-0000AA030000}"/>
    <cellStyle name="ｺﾌｳｬｼｶﾁｴｽﾓ" xfId="493" xr:uid="{00000000-0005-0000-0000-0000AB030000}"/>
    <cellStyle name="スタイル 1" xfId="494" xr:uid="{00000000-0005-0000-0000-0000AC030000}"/>
    <cellStyle name="スタイル 1 2" xfId="1074" xr:uid="{00000000-0005-0000-0000-0000AD030000}"/>
    <cellStyle name="タイトル" xfId="1075" xr:uid="{00000000-0005-0000-0000-0000AE030000}"/>
    <cellStyle name="タイトル 2" xfId="495" xr:uid="{00000000-0005-0000-0000-0000AF030000}"/>
    <cellStyle name="タイトル 2 2" xfId="1076" xr:uid="{00000000-0005-0000-0000-0000B0030000}"/>
    <cellStyle name="タイトル 3" xfId="1077" xr:uid="{00000000-0005-0000-0000-0000B1030000}"/>
    <cellStyle name="チェック セル" xfId="1078" xr:uid="{00000000-0005-0000-0000-0000B2030000}"/>
    <cellStyle name="チェック セル 2" xfId="496" xr:uid="{00000000-0005-0000-0000-0000B3030000}"/>
    <cellStyle name="チェック セル 2 2" xfId="497" xr:uid="{00000000-0005-0000-0000-0000B4030000}"/>
    <cellStyle name="チェック セル 2 2 2" xfId="498" xr:uid="{00000000-0005-0000-0000-0000B5030000}"/>
    <cellStyle name="チェック セル 2 2 2 2" xfId="1079" xr:uid="{00000000-0005-0000-0000-0000B6030000}"/>
    <cellStyle name="チェック セル 2 2 3" xfId="1080" xr:uid="{00000000-0005-0000-0000-0000B7030000}"/>
    <cellStyle name="チェック セル 2 3" xfId="499" xr:uid="{00000000-0005-0000-0000-0000B8030000}"/>
    <cellStyle name="チェック セル 2 3 2" xfId="1081" xr:uid="{00000000-0005-0000-0000-0000B9030000}"/>
    <cellStyle name="チェック セル 2 4" xfId="1082" xr:uid="{00000000-0005-0000-0000-0000BA030000}"/>
    <cellStyle name="チェック セル 2 5" xfId="1083" xr:uid="{00000000-0005-0000-0000-0000BB030000}"/>
    <cellStyle name="チェック セル 3" xfId="1084" xr:uid="{00000000-0005-0000-0000-0000BC030000}"/>
    <cellStyle name="テスト小数点" xfId="1085" xr:uid="{00000000-0005-0000-0000-0000BD030000}"/>
    <cellStyle name="どちらでもない" xfId="1086" xr:uid="{00000000-0005-0000-0000-0000BE030000}"/>
    <cellStyle name="どちらでもない 2" xfId="500" xr:uid="{00000000-0005-0000-0000-0000BF030000}"/>
    <cellStyle name="どちらでもない 2 2" xfId="1087" xr:uid="{00000000-0005-0000-0000-0000C0030000}"/>
    <cellStyle name="どちらでもない 3" xfId="1088" xr:uid="{00000000-0005-0000-0000-0000C1030000}"/>
    <cellStyle name="ﾄ褊褂燾・[0]_PERSONAL" xfId="501" xr:uid="{00000000-0005-0000-0000-0000C2030000}"/>
    <cellStyle name="ﾄ褊褂燾饑PERSONAL" xfId="502" xr:uid="{00000000-0005-0000-0000-0000C3030000}"/>
    <cellStyle name="パーセント 2" xfId="503" xr:uid="{00000000-0005-0000-0000-0000C4030000}"/>
    <cellStyle name="パーセント 2 2" xfId="504" xr:uid="{00000000-0005-0000-0000-0000C5030000}"/>
    <cellStyle name="パーセント 2 3" xfId="505" xr:uid="{00000000-0005-0000-0000-0000C6030000}"/>
    <cellStyle name="パーセント 2 4" xfId="506" xr:uid="{00000000-0005-0000-0000-0000C7030000}"/>
    <cellStyle name="パーセント 2 5" xfId="1089" xr:uid="{00000000-0005-0000-0000-0000C8030000}"/>
    <cellStyle name="パーセント 3" xfId="507" xr:uid="{00000000-0005-0000-0000-0000C9030000}"/>
    <cellStyle name="パーセント 3 2" xfId="508" xr:uid="{00000000-0005-0000-0000-0000CA030000}"/>
    <cellStyle name="パーセント 4" xfId="509" xr:uid="{00000000-0005-0000-0000-0000CB030000}"/>
    <cellStyle name="パーセント 5" xfId="510" xr:uid="{00000000-0005-0000-0000-0000CC030000}"/>
    <cellStyle name="パーセント 6" xfId="511" xr:uid="{00000000-0005-0000-0000-0000CD030000}"/>
    <cellStyle name="パーセント 7" xfId="512" xr:uid="{00000000-0005-0000-0000-0000CE030000}"/>
    <cellStyle name="パーセント 8" xfId="513" xr:uid="{00000000-0005-0000-0000-0000CF030000}"/>
    <cellStyle name="ハイパーリンク 2" xfId="514" xr:uid="{00000000-0005-0000-0000-0000D0030000}"/>
    <cellStyle name="ﾌﾟﾛｼﾞｪｸﾄ名" xfId="515" xr:uid="{00000000-0005-0000-0000-0000D1030000}"/>
    <cellStyle name="ボールド" xfId="1090" xr:uid="{00000000-0005-0000-0000-0000D2030000}"/>
    <cellStyle name="ﾎ磊隆_PERSONAL" xfId="516" xr:uid="{00000000-0005-0000-0000-0000D3030000}"/>
    <cellStyle name="メモ" xfId="1091" xr:uid="{00000000-0005-0000-0000-0000D4030000}"/>
    <cellStyle name="メモ 2" xfId="517" xr:uid="{00000000-0005-0000-0000-0000D5030000}"/>
    <cellStyle name="メモ 2 2" xfId="518" xr:uid="{00000000-0005-0000-0000-0000D6030000}"/>
    <cellStyle name="メモ 2 2 2" xfId="519" xr:uid="{00000000-0005-0000-0000-0000D7030000}"/>
    <cellStyle name="メモ 2 3" xfId="520" xr:uid="{00000000-0005-0000-0000-0000D8030000}"/>
    <cellStyle name="メモ 2 3 2" xfId="521" xr:uid="{00000000-0005-0000-0000-0000D9030000}"/>
    <cellStyle name="メモ 2 4" xfId="788" xr:uid="{00000000-0005-0000-0000-0000DA030000}"/>
    <cellStyle name="メモ 3" xfId="1092" xr:uid="{00000000-0005-0000-0000-0000DB030000}"/>
    <cellStyle name="メモ 3 2" xfId="1093" xr:uid="{00000000-0005-0000-0000-0000DC030000}"/>
    <cellStyle name="ﾔ竟瑙糺・[0]_PERSONAL" xfId="522" xr:uid="{00000000-0005-0000-0000-0000DD030000}"/>
    <cellStyle name="ﾔ竟瑙糺饑PERSONAL" xfId="523" xr:uid="{00000000-0005-0000-0000-0000DE030000}"/>
    <cellStyle name="リンク セル" xfId="1094" xr:uid="{00000000-0005-0000-0000-0000DF030000}"/>
    <cellStyle name="リンク セル 2" xfId="524" xr:uid="{00000000-0005-0000-0000-0000E0030000}"/>
    <cellStyle name="リンク セル 2 2" xfId="1095" xr:uid="{00000000-0005-0000-0000-0000E1030000}"/>
    <cellStyle name="リンク セル 3" xfId="1096" xr:uid="{00000000-0005-0000-0000-0000E2030000}"/>
    <cellStyle name="ปกติ_JCODE" xfId="525" xr:uid="{00000000-0005-0000-0000-0000E3030000}"/>
    <cellStyle name="고정소숫점" xfId="526" xr:uid="{00000000-0005-0000-0000-0000E4030000}"/>
    <cellStyle name="고정출력1" xfId="527" xr:uid="{00000000-0005-0000-0000-0000E5030000}"/>
    <cellStyle name="고정출력2" xfId="528" xr:uid="{00000000-0005-0000-0000-0000E6030000}"/>
    <cellStyle name="날짜" xfId="529" xr:uid="{00000000-0005-0000-0000-0000E7030000}"/>
    <cellStyle name="달러" xfId="530" xr:uid="{00000000-0005-0000-0000-0000E8030000}"/>
    <cellStyle name="똿뗦먛귟 [0.00]_PRODUCT DETAIL Q1" xfId="531" xr:uid="{00000000-0005-0000-0000-0000E9030000}"/>
    <cellStyle name="똿뗦먛귟_PRODUCT DETAIL Q1" xfId="532" xr:uid="{00000000-0005-0000-0000-0000EA030000}"/>
    <cellStyle name="믅됞 [0.00]_PRODUCT DETAIL Q1" xfId="533" xr:uid="{00000000-0005-0000-0000-0000EB030000}"/>
    <cellStyle name="믅됞_PRODUCT DETAIL Q1" xfId="534" xr:uid="{00000000-0005-0000-0000-0000EC030000}"/>
    <cellStyle name="백분율_95" xfId="535" xr:uid="{00000000-0005-0000-0000-0000ED030000}"/>
    <cellStyle name="뷭?_BOOKSHIP" xfId="536" xr:uid="{00000000-0005-0000-0000-0000EE030000}"/>
    <cellStyle name="숫자(R)" xfId="537" xr:uid="{00000000-0005-0000-0000-0000EF030000}"/>
    <cellStyle name="자리수" xfId="538" xr:uid="{00000000-0005-0000-0000-0000F0030000}"/>
    <cellStyle name="자리수0" xfId="539" xr:uid="{00000000-0005-0000-0000-0000F1030000}"/>
    <cellStyle name="콤마 [0]_(type)총괄" xfId="540" xr:uid="{00000000-0005-0000-0000-0000F2030000}"/>
    <cellStyle name="콤마_(type)총괄" xfId="541" xr:uid="{00000000-0005-0000-0000-0000F3030000}"/>
    <cellStyle name="통화 [0]_(type)총괄" xfId="542" xr:uid="{00000000-0005-0000-0000-0000F4030000}"/>
    <cellStyle name="통화_(type)총괄" xfId="543" xr:uid="{00000000-0005-0000-0000-0000F5030000}"/>
    <cellStyle name="퍼센트" xfId="544" xr:uid="{00000000-0005-0000-0000-0000F6030000}"/>
    <cellStyle name="표준_(type)총괄" xfId="545" xr:uid="{00000000-0005-0000-0000-0000F7030000}"/>
    <cellStyle name="합산" xfId="546" xr:uid="{00000000-0005-0000-0000-0000F8030000}"/>
    <cellStyle name="합산 2" xfId="547" xr:uid="{00000000-0005-0000-0000-0000F9030000}"/>
    <cellStyle name="합산 2 2" xfId="548" xr:uid="{00000000-0005-0000-0000-0000FA030000}"/>
    <cellStyle name="합산 2 2 2" xfId="1097" xr:uid="{00000000-0005-0000-0000-0000FB030000}"/>
    <cellStyle name="합산 2 3" xfId="1098" xr:uid="{00000000-0005-0000-0000-0000FC030000}"/>
    <cellStyle name="합산 3" xfId="790" xr:uid="{00000000-0005-0000-0000-0000FD030000}"/>
    <cellStyle name="화폐기호" xfId="549" xr:uid="{00000000-0005-0000-0000-0000FE030000}"/>
    <cellStyle name="화폐기호0" xfId="550" xr:uid="{00000000-0005-0000-0000-0000FF030000}"/>
    <cellStyle name="一般_Biolux" xfId="551" xr:uid="{00000000-0005-0000-0000-000000040000}"/>
    <cellStyle name="上詰め" xfId="1099" xr:uid="{00000000-0005-0000-0000-000001040000}"/>
    <cellStyle name="上詰め＋折返し" xfId="1100" xr:uid="{00000000-0005-0000-0000-000002040000}"/>
    <cellStyle name="上詰め＋折返し 2" xfId="1101" xr:uid="{00000000-0005-0000-0000-000003040000}"/>
    <cellStyle name="上詰配置折返し" xfId="552" xr:uid="{00000000-0005-0000-0000-000004040000}"/>
    <cellStyle name="両端均等ｽﾍﾟｰｽ" xfId="553" xr:uid="{00000000-0005-0000-0000-000005040000}"/>
    <cellStyle name="両端均等ｽﾍﾟｰｽ 2" xfId="554" xr:uid="{00000000-0005-0000-0000-000006040000}"/>
    <cellStyle name="両端均等ｽﾍﾟｰｽ 2 2" xfId="1102" xr:uid="{00000000-0005-0000-0000-000007040000}"/>
    <cellStyle name="両端均等ｽﾍﾟｰｽ 3" xfId="1103" xr:uid="{00000000-0005-0000-0000-000008040000}"/>
    <cellStyle name="中央詰め" xfId="1104" xr:uid="{00000000-0005-0000-0000-000009040000}"/>
    <cellStyle name="中央詰め＋折返し" xfId="1105" xr:uid="{00000000-0005-0000-0000-00000A040000}"/>
    <cellStyle name="中央詰め＋折返し 2" xfId="1106" xr:uid="{00000000-0005-0000-0000-00000B040000}"/>
    <cellStyle name="僴僀僷乕儕儞僋" xfId="555" xr:uid="{00000000-0005-0000-0000-00000C040000}"/>
    <cellStyle name="入力" xfId="1107" xr:uid="{00000000-0005-0000-0000-00000D040000}"/>
    <cellStyle name="入力 2" xfId="556" xr:uid="{00000000-0005-0000-0000-00000E040000}"/>
    <cellStyle name="入力 2 2" xfId="1108" xr:uid="{00000000-0005-0000-0000-00000F040000}"/>
    <cellStyle name="入力 3" xfId="1109" xr:uid="{00000000-0005-0000-0000-000010040000}"/>
    <cellStyle name="入力 3 2" xfId="1110" xr:uid="{00000000-0005-0000-0000-000011040000}"/>
    <cellStyle name="出力" xfId="1111" xr:uid="{00000000-0005-0000-0000-000012040000}"/>
    <cellStyle name="出力 2" xfId="557" xr:uid="{00000000-0005-0000-0000-000013040000}"/>
    <cellStyle name="出力 2 2" xfId="558" xr:uid="{00000000-0005-0000-0000-000014040000}"/>
    <cellStyle name="出力 2 2 2" xfId="559" xr:uid="{00000000-0005-0000-0000-000015040000}"/>
    <cellStyle name="出力 2 2 2 2" xfId="1112" xr:uid="{00000000-0005-0000-0000-000016040000}"/>
    <cellStyle name="出力 2 2 3" xfId="1113" xr:uid="{00000000-0005-0000-0000-000017040000}"/>
    <cellStyle name="出力 2 3" xfId="560" xr:uid="{00000000-0005-0000-0000-000018040000}"/>
    <cellStyle name="出力 2 3 2" xfId="561" xr:uid="{00000000-0005-0000-0000-000019040000}"/>
    <cellStyle name="出力 2 3 2 2" xfId="1114" xr:uid="{00000000-0005-0000-0000-00001A040000}"/>
    <cellStyle name="出力 2 3 3" xfId="1115" xr:uid="{00000000-0005-0000-0000-00001B040000}"/>
    <cellStyle name="出力 2 4" xfId="789" xr:uid="{00000000-0005-0000-0000-00001C040000}"/>
    <cellStyle name="出力 2 5" xfId="1116" xr:uid="{00000000-0005-0000-0000-00001D040000}"/>
    <cellStyle name="出力 3" xfId="1117" xr:uid="{00000000-0005-0000-0000-00001E040000}"/>
    <cellStyle name="出力 3 2" xfId="1118" xr:uid="{00000000-0005-0000-0000-00001F040000}"/>
    <cellStyle name="千位[0]_laroux" xfId="562" xr:uid="{00000000-0005-0000-0000-000020040000}"/>
    <cellStyle name="千位_laroux" xfId="563" xr:uid="{00000000-0005-0000-0000-000021040000}"/>
    <cellStyle name="千位分隔[0]_(0720 BSCN 決定版)中計見直し" xfId="564" xr:uid="{00000000-0005-0000-0000-000022040000}"/>
    <cellStyle name="千位分隔_【2006下修】" xfId="565" xr:uid="{00000000-0005-0000-0000-000023040000}"/>
    <cellStyle name="千分位[0]_Book1" xfId="566" xr:uid="{00000000-0005-0000-0000-000024040000}"/>
    <cellStyle name="千分位_Book1" xfId="567" xr:uid="{00000000-0005-0000-0000-000025040000}"/>
    <cellStyle name="取り消し線" xfId="1119" xr:uid="{00000000-0005-0000-0000-000026040000}"/>
    <cellStyle name="寘嬫愗傝 [0.00]_laroux" xfId="568" xr:uid="{00000000-0005-0000-0000-000027040000}"/>
    <cellStyle name="寘嬫愗傝_laroux" xfId="569" xr:uid="{00000000-0005-0000-0000-000028040000}"/>
    <cellStyle name="常?_faｘ（蘇）" xfId="570" xr:uid="{00000000-0005-0000-0000-000029040000}"/>
    <cellStyle name="常规_(0720 BSCN 決定版)中計見直し" xfId="571" xr:uid="{00000000-0005-0000-0000-00002A040000}"/>
    <cellStyle name="悪い" xfId="1120" xr:uid="{00000000-0005-0000-0000-00002B040000}"/>
    <cellStyle name="悪い 2" xfId="572" xr:uid="{00000000-0005-0000-0000-00002C040000}"/>
    <cellStyle name="悪い 2 2" xfId="1121" xr:uid="{00000000-0005-0000-0000-00002D040000}"/>
    <cellStyle name="悪い 3" xfId="1122" xr:uid="{00000000-0005-0000-0000-00002E040000}"/>
    <cellStyle name="捠壿 [0.00]_BSD-Academic" xfId="573" xr:uid="{00000000-0005-0000-0000-00002F040000}"/>
    <cellStyle name="捠壿_BSD-Academic" xfId="574" xr:uid="{00000000-0005-0000-0000-000030040000}"/>
    <cellStyle name="文字列" xfId="575" xr:uid="{00000000-0005-0000-0000-000031040000}"/>
    <cellStyle name="昗弨_97,1寧搙" xfId="576" xr:uid="{00000000-0005-0000-0000-000032040000}"/>
    <cellStyle name="昞帵嵪傒偺僴僀僷乕儕儞僋" xfId="577" xr:uid="{00000000-0005-0000-0000-000033040000}"/>
    <cellStyle name="未定義" xfId="578" xr:uid="{00000000-0005-0000-0000-000034040000}"/>
    <cellStyle name="桁区切り [0.00] 2" xfId="579" xr:uid="{00000000-0005-0000-0000-000035040000}"/>
    <cellStyle name="桁区切り [0.00] 2 2" xfId="580" xr:uid="{00000000-0005-0000-0000-000036040000}"/>
    <cellStyle name="桁区切り [0.00] 3" xfId="581" xr:uid="{00000000-0005-0000-0000-000037040000}"/>
    <cellStyle name="桁区切り 10" xfId="582" xr:uid="{00000000-0005-0000-0000-000038040000}"/>
    <cellStyle name="桁区切り 10 2" xfId="583" xr:uid="{00000000-0005-0000-0000-000039040000}"/>
    <cellStyle name="桁区切り 11" xfId="584" xr:uid="{00000000-0005-0000-0000-00003A040000}"/>
    <cellStyle name="桁区切り 12" xfId="585" xr:uid="{00000000-0005-0000-0000-00003B040000}"/>
    <cellStyle name="桁区切り 13" xfId="586" xr:uid="{00000000-0005-0000-0000-00003C040000}"/>
    <cellStyle name="桁区切り 14" xfId="587" xr:uid="{00000000-0005-0000-0000-00003D040000}"/>
    <cellStyle name="桁区切り 15" xfId="588" xr:uid="{00000000-0005-0000-0000-00003E040000}"/>
    <cellStyle name="桁区切り 16" xfId="589" xr:uid="{00000000-0005-0000-0000-00003F040000}"/>
    <cellStyle name="桁区切り 17" xfId="590" xr:uid="{00000000-0005-0000-0000-000040040000}"/>
    <cellStyle name="桁区切り 18" xfId="591" xr:uid="{00000000-0005-0000-0000-000041040000}"/>
    <cellStyle name="桁区切り 19" xfId="592" xr:uid="{00000000-0005-0000-0000-000042040000}"/>
    <cellStyle name="桁区切り 2" xfId="593" xr:uid="{00000000-0005-0000-0000-000043040000}"/>
    <cellStyle name="桁区切り 2 2" xfId="594" xr:uid="{00000000-0005-0000-0000-000044040000}"/>
    <cellStyle name="桁区切り 2 2 2" xfId="595" xr:uid="{00000000-0005-0000-0000-000045040000}"/>
    <cellStyle name="桁区切り 2 2 3" xfId="1123" xr:uid="{00000000-0005-0000-0000-000046040000}"/>
    <cellStyle name="桁区切り 2 3" xfId="596" xr:uid="{00000000-0005-0000-0000-000047040000}"/>
    <cellStyle name="桁区切り 2 4" xfId="597" xr:uid="{00000000-0005-0000-0000-000048040000}"/>
    <cellStyle name="桁区切り 2 5" xfId="598" xr:uid="{00000000-0005-0000-0000-000049040000}"/>
    <cellStyle name="桁区切り 2 6" xfId="599" xr:uid="{00000000-0005-0000-0000-00004A040000}"/>
    <cellStyle name="桁区切り 2 7" xfId="600" xr:uid="{00000000-0005-0000-0000-00004B040000}"/>
    <cellStyle name="桁区切り 2 8" xfId="1124" xr:uid="{00000000-0005-0000-0000-00004C040000}"/>
    <cellStyle name="桁区切り 20" xfId="601" xr:uid="{00000000-0005-0000-0000-00004D040000}"/>
    <cellStyle name="桁区切り 21" xfId="602" xr:uid="{00000000-0005-0000-0000-00004E040000}"/>
    <cellStyle name="桁区切り 22" xfId="603" xr:uid="{00000000-0005-0000-0000-00004F040000}"/>
    <cellStyle name="桁区切り 23" xfId="604" xr:uid="{00000000-0005-0000-0000-000050040000}"/>
    <cellStyle name="桁区切り 24" xfId="605" xr:uid="{00000000-0005-0000-0000-000051040000}"/>
    <cellStyle name="桁区切り 25" xfId="606" xr:uid="{00000000-0005-0000-0000-000052040000}"/>
    <cellStyle name="桁区切り 26" xfId="607" xr:uid="{00000000-0005-0000-0000-000053040000}"/>
    <cellStyle name="桁区切り 27" xfId="608" xr:uid="{00000000-0005-0000-0000-000054040000}"/>
    <cellStyle name="桁区切り 3" xfId="609" xr:uid="{00000000-0005-0000-0000-000055040000}"/>
    <cellStyle name="桁区切り 3 2" xfId="610" xr:uid="{00000000-0005-0000-0000-000056040000}"/>
    <cellStyle name="桁区切り 3 2 2" xfId="611" xr:uid="{00000000-0005-0000-0000-000057040000}"/>
    <cellStyle name="桁区切り 3 2 3" xfId="1125" xr:uid="{00000000-0005-0000-0000-000058040000}"/>
    <cellStyle name="桁区切り 3 3" xfId="612" xr:uid="{00000000-0005-0000-0000-000059040000}"/>
    <cellStyle name="桁区切り 3 4" xfId="613" xr:uid="{00000000-0005-0000-0000-00005A040000}"/>
    <cellStyle name="桁区切り 3 5" xfId="614" xr:uid="{00000000-0005-0000-0000-00005B040000}"/>
    <cellStyle name="桁区切り 3 6" xfId="1126" xr:uid="{00000000-0005-0000-0000-00005C040000}"/>
    <cellStyle name="桁区切り 3 7" xfId="1127" xr:uid="{00000000-0005-0000-0000-00005D040000}"/>
    <cellStyle name="桁区切り 4" xfId="615" xr:uid="{00000000-0005-0000-0000-00005E040000}"/>
    <cellStyle name="桁区切り 4 2" xfId="616" xr:uid="{00000000-0005-0000-0000-00005F040000}"/>
    <cellStyle name="桁区切り 4 3" xfId="617" xr:uid="{00000000-0005-0000-0000-000060040000}"/>
    <cellStyle name="桁区切り 4 4" xfId="618" xr:uid="{00000000-0005-0000-0000-000061040000}"/>
    <cellStyle name="桁区切り 5" xfId="619" xr:uid="{00000000-0005-0000-0000-000062040000}"/>
    <cellStyle name="桁区切り 5 2" xfId="1128" xr:uid="{00000000-0005-0000-0000-000063040000}"/>
    <cellStyle name="桁区切り 6" xfId="620" xr:uid="{00000000-0005-0000-0000-000064040000}"/>
    <cellStyle name="桁区切り 7" xfId="621" xr:uid="{00000000-0005-0000-0000-000065040000}"/>
    <cellStyle name="桁区切り 8" xfId="622" xr:uid="{00000000-0005-0000-0000-000066040000}"/>
    <cellStyle name="桁区切り 8 2" xfId="623" xr:uid="{00000000-0005-0000-0000-000067040000}"/>
    <cellStyle name="桁区切り 9" xfId="624" xr:uid="{00000000-0005-0000-0000-000068040000}"/>
    <cellStyle name="標準 10" xfId="625" xr:uid="{00000000-0005-0000-0000-000069040000}"/>
    <cellStyle name="標準 11" xfId="626" xr:uid="{00000000-0005-0000-0000-00006A040000}"/>
    <cellStyle name="標準 12" xfId="627" xr:uid="{00000000-0005-0000-0000-00006B040000}"/>
    <cellStyle name="標準 13" xfId="628" xr:uid="{00000000-0005-0000-0000-00006C040000}"/>
    <cellStyle name="標準 14" xfId="629" xr:uid="{00000000-0005-0000-0000-00006D040000}"/>
    <cellStyle name="標準 15" xfId="630" xr:uid="{00000000-0005-0000-0000-00006E040000}"/>
    <cellStyle name="標準 16" xfId="631" xr:uid="{00000000-0005-0000-0000-00006F040000}"/>
    <cellStyle name="標準 17" xfId="632" xr:uid="{00000000-0005-0000-0000-000070040000}"/>
    <cellStyle name="標準 2" xfId="633" xr:uid="{00000000-0005-0000-0000-000071040000}"/>
    <cellStyle name="標準 2 2" xfId="634" xr:uid="{00000000-0005-0000-0000-000072040000}"/>
    <cellStyle name="標準 2 2 2" xfId="635" xr:uid="{00000000-0005-0000-0000-000073040000}"/>
    <cellStyle name="標準 2 2 2 2" xfId="636" xr:uid="{00000000-0005-0000-0000-000074040000}"/>
    <cellStyle name="標準 2 2 3" xfId="1129" xr:uid="{00000000-0005-0000-0000-000075040000}"/>
    <cellStyle name="標準 2 3" xfId="637" xr:uid="{00000000-0005-0000-0000-000076040000}"/>
    <cellStyle name="標準 2 3 2" xfId="638" xr:uid="{00000000-0005-0000-0000-000077040000}"/>
    <cellStyle name="標準 2 3 3" xfId="1130" xr:uid="{00000000-0005-0000-0000-000078040000}"/>
    <cellStyle name="標準 2 4" xfId="639" xr:uid="{00000000-0005-0000-0000-000079040000}"/>
    <cellStyle name="標準 2 5" xfId="640" xr:uid="{00000000-0005-0000-0000-00007A040000}"/>
    <cellStyle name="標準 2 6" xfId="641" xr:uid="{00000000-0005-0000-0000-00007B040000}"/>
    <cellStyle name="標準 2 7" xfId="679" xr:uid="{00000000-0005-0000-0000-00007C040000}"/>
    <cellStyle name="標準 2_基本設計書_SSO・メニュー・共通処理" xfId="1131" xr:uid="{00000000-0005-0000-0000-00007D040000}"/>
    <cellStyle name="標準 3" xfId="642" xr:uid="{00000000-0005-0000-0000-00007E040000}"/>
    <cellStyle name="標準 3 2" xfId="643" xr:uid="{00000000-0005-0000-0000-00007F040000}"/>
    <cellStyle name="標準 3 2 2" xfId="1132" xr:uid="{00000000-0005-0000-0000-000080040000}"/>
    <cellStyle name="標準 3 2 3" xfId="1133" xr:uid="{00000000-0005-0000-0000-000081040000}"/>
    <cellStyle name="標準 3 3" xfId="644" xr:uid="{00000000-0005-0000-0000-000082040000}"/>
    <cellStyle name="標準 3 4" xfId="645" xr:uid="{00000000-0005-0000-0000-000083040000}"/>
    <cellStyle name="標準 3 5" xfId="646" xr:uid="{00000000-0005-0000-0000-000084040000}"/>
    <cellStyle name="標準 3 6" xfId="1134" xr:uid="{00000000-0005-0000-0000-000085040000}"/>
    <cellStyle name="標準 3 7" xfId="1135" xr:uid="{00000000-0005-0000-0000-000086040000}"/>
    <cellStyle name="標準 3_基本設計書_SSO・メニュー・共通処理" xfId="1136" xr:uid="{00000000-0005-0000-0000-000087040000}"/>
    <cellStyle name="標準 4" xfId="647" xr:uid="{00000000-0005-0000-0000-000088040000}"/>
    <cellStyle name="標準 4 2" xfId="648" xr:uid="{00000000-0005-0000-0000-000089040000}"/>
    <cellStyle name="標準 4 2 2" xfId="1137" xr:uid="{00000000-0005-0000-0000-00008A040000}"/>
    <cellStyle name="標準 4 3" xfId="649" xr:uid="{00000000-0005-0000-0000-00008B040000}"/>
    <cellStyle name="標準 4 4" xfId="650" xr:uid="{00000000-0005-0000-0000-00008C040000}"/>
    <cellStyle name="標準 4 5" xfId="1138" xr:uid="{00000000-0005-0000-0000-00008D040000}"/>
    <cellStyle name="標準 5" xfId="651" xr:uid="{00000000-0005-0000-0000-00008E040000}"/>
    <cellStyle name="標準 5 2" xfId="652" xr:uid="{00000000-0005-0000-0000-00008F040000}"/>
    <cellStyle name="標準 5 2 2" xfId="1139" xr:uid="{00000000-0005-0000-0000-000090040000}"/>
    <cellStyle name="標準 5 3" xfId="1140" xr:uid="{00000000-0005-0000-0000-000091040000}"/>
    <cellStyle name="標準 6" xfId="653" xr:uid="{00000000-0005-0000-0000-000092040000}"/>
    <cellStyle name="標準 6 2" xfId="654" xr:uid="{00000000-0005-0000-0000-000093040000}"/>
    <cellStyle name="標準 7" xfId="655" xr:uid="{00000000-0005-0000-0000-000094040000}"/>
    <cellStyle name="標準 8" xfId="656" xr:uid="{00000000-0005-0000-0000-000095040000}"/>
    <cellStyle name="標準 9" xfId="657" xr:uid="{00000000-0005-0000-0000-000096040000}"/>
    <cellStyle name="標準(全角)" xfId="658" xr:uid="{00000000-0005-0000-0000-000097040000}"/>
    <cellStyle name="標準_BSTJ(Sep.9)" xfId="659" xr:uid="{00000000-0005-0000-0000-000098040000}"/>
    <cellStyle name="標準YT" xfId="1141" xr:uid="{00000000-0005-0000-0000-000099040000}"/>
    <cellStyle name="磨葬e義" xfId="660" xr:uid="{00000000-0005-0000-0000-00009A040000}"/>
    <cellStyle name="脱浦 [0.00]_?O±U" xfId="1142" xr:uid="{00000000-0005-0000-0000-00009B040000}"/>
    <cellStyle name="脱浦_?O±U" xfId="1143" xr:uid="{00000000-0005-0000-0000-00009C040000}"/>
    <cellStyle name="良い" xfId="1144" xr:uid="{00000000-0005-0000-0000-00009D040000}"/>
    <cellStyle name="良い 2" xfId="661" xr:uid="{00000000-0005-0000-0000-00009E040000}"/>
    <cellStyle name="良い 2 2" xfId="1145" xr:uid="{00000000-0005-0000-0000-00009F040000}"/>
    <cellStyle name="良い 3" xfId="1146" xr:uid="{00000000-0005-0000-0000-0000A0040000}"/>
    <cellStyle name="見出し 1" xfId="1147" xr:uid="{00000000-0005-0000-0000-0000A1040000}"/>
    <cellStyle name="見出し 1 2" xfId="662" xr:uid="{00000000-0005-0000-0000-0000A2040000}"/>
    <cellStyle name="見出し 1 2 2" xfId="1148" xr:uid="{00000000-0005-0000-0000-0000A3040000}"/>
    <cellStyle name="見出し 1 3" xfId="1149" xr:uid="{00000000-0005-0000-0000-0000A4040000}"/>
    <cellStyle name="見出し 2" xfId="1150" xr:uid="{00000000-0005-0000-0000-0000A5040000}"/>
    <cellStyle name="見出し 2 2" xfId="663" xr:uid="{00000000-0005-0000-0000-0000A6040000}"/>
    <cellStyle name="見出し 2 2 2" xfId="1151" xr:uid="{00000000-0005-0000-0000-0000A7040000}"/>
    <cellStyle name="見出し 2 3" xfId="1152" xr:uid="{00000000-0005-0000-0000-0000A8040000}"/>
    <cellStyle name="見出し 3" xfId="1153" xr:uid="{00000000-0005-0000-0000-0000A9040000}"/>
    <cellStyle name="見出し 3 2" xfId="664" xr:uid="{00000000-0005-0000-0000-0000AA040000}"/>
    <cellStyle name="見出し 3 2 2" xfId="1154" xr:uid="{00000000-0005-0000-0000-0000AB040000}"/>
    <cellStyle name="見出し 3 3" xfId="1155" xr:uid="{00000000-0005-0000-0000-0000AC040000}"/>
    <cellStyle name="見出し 4" xfId="1156" xr:uid="{00000000-0005-0000-0000-0000AD040000}"/>
    <cellStyle name="見出し 4 2" xfId="665" xr:uid="{00000000-0005-0000-0000-0000AE040000}"/>
    <cellStyle name="見出し 4 2 2" xfId="1157" xr:uid="{00000000-0005-0000-0000-0000AF040000}"/>
    <cellStyle name="見出し 4 3" xfId="1158" xr:uid="{00000000-0005-0000-0000-0000B0040000}"/>
    <cellStyle name="計算" xfId="1159" xr:uid="{00000000-0005-0000-0000-0000B1040000}"/>
    <cellStyle name="計算 2" xfId="666" xr:uid="{00000000-0005-0000-0000-0000B2040000}"/>
    <cellStyle name="計算 2 2" xfId="667" xr:uid="{00000000-0005-0000-0000-0000B3040000}"/>
    <cellStyle name="計算 2 2 2" xfId="668" xr:uid="{00000000-0005-0000-0000-0000B4040000}"/>
    <cellStyle name="計算 2 3" xfId="669" xr:uid="{00000000-0005-0000-0000-0000B5040000}"/>
    <cellStyle name="計算 2 3 2" xfId="670" xr:uid="{00000000-0005-0000-0000-0000B6040000}"/>
    <cellStyle name="計算 2 4" xfId="791" xr:uid="{00000000-0005-0000-0000-0000B7040000}"/>
    <cellStyle name="計算 3" xfId="1160" xr:uid="{00000000-0005-0000-0000-0000B8040000}"/>
    <cellStyle name="計算 3 2" xfId="1161" xr:uid="{00000000-0005-0000-0000-0000B9040000}"/>
    <cellStyle name="説明文" xfId="1162" xr:uid="{00000000-0005-0000-0000-0000BA040000}"/>
    <cellStyle name="説明文 2" xfId="671" xr:uid="{00000000-0005-0000-0000-0000BB040000}"/>
    <cellStyle name="説明文 2 2" xfId="1163" xr:uid="{00000000-0005-0000-0000-0000BC040000}"/>
    <cellStyle name="警告文" xfId="1164" xr:uid="{00000000-0005-0000-0000-0000BD040000}"/>
    <cellStyle name="警告文 2" xfId="672" xr:uid="{00000000-0005-0000-0000-0000BE040000}"/>
    <cellStyle name="警告文 2 2" xfId="1165" xr:uid="{00000000-0005-0000-0000-0000BF040000}"/>
    <cellStyle name="貨幣 [0]_Book1" xfId="673" xr:uid="{00000000-0005-0000-0000-0000C0040000}"/>
    <cellStyle name="貨幣_Book1" xfId="674" xr:uid="{00000000-0005-0000-0000-0000C1040000}"/>
    <cellStyle name="通浦 [0.00]_laroux" xfId="675" xr:uid="{00000000-0005-0000-0000-0000C2040000}"/>
    <cellStyle name="通浦_laroux" xfId="676" xr:uid="{00000000-0005-0000-0000-0000C3040000}"/>
    <cellStyle name="集計" xfId="1166" xr:uid="{00000000-0005-0000-0000-0000C4040000}"/>
    <cellStyle name="集計 2" xfId="677" xr:uid="{00000000-0005-0000-0000-0000C5040000}"/>
    <cellStyle name="集計 2 2" xfId="1167" xr:uid="{00000000-0005-0000-0000-0000C6040000}"/>
    <cellStyle name="集計 3" xfId="1168" xr:uid="{00000000-0005-0000-0000-0000C7040000}"/>
    <cellStyle name="集計 3 2" xfId="1169" xr:uid="{00000000-0005-0000-0000-0000C8040000}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4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name val="Calibri"/>
        <scheme val="minor"/>
      </font>
    </dxf>
    <dxf>
      <border outline="0">
        <left style="medium">
          <color indexed="64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</font>
      <numFmt numFmtId="0" formatCode="General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42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right style="thin">
          <color indexed="64"/>
        </right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44" formatCode="d\-mmm\-yy"/>
    </dxf>
    <dxf>
      <font>
        <strike val="0"/>
        <outline val="0"/>
        <shadow val="0"/>
        <u val="none"/>
        <vertAlign val="baseline"/>
        <sz val="10"/>
      </font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Light16">
    <tableStyle name="Table Style 1" pivot="0" count="1" xr9:uid="{00000000-0011-0000-FFFF-FFFF00000000}">
      <tableStyleElement type="wholeTable" dxfId="76"/>
    </tableStyle>
  </tableStyles>
  <colors>
    <mruColors>
      <color rgb="FF0000FF"/>
      <color rgb="FFFFFFCC"/>
      <color rgb="FFCCFFFF"/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</xdr:row>
          <xdr:rowOff>266700</xdr:rowOff>
        </xdr:from>
        <xdr:to>
          <xdr:col>9</xdr:col>
          <xdr:colOff>175260</xdr:colOff>
          <xdr:row>2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2. Separate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0</xdr:row>
          <xdr:rowOff>7620</xdr:rowOff>
        </xdr:from>
        <xdr:to>
          <xdr:col>9</xdr:col>
          <xdr:colOff>175260</xdr:colOff>
          <xdr:row>1</xdr:row>
          <xdr:rowOff>213360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1. Arange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118.29.7\BTMV-Data\4-ACCOUNTING\4.Budget\24FCST\RBAC2\High%20level_Prelim%20financials%20submission\Dept%20feedback\LF%20Apr%20update%206.35%20pm%2021.03\1611\Summary%20for%20depreciations_RBAC2_VuHuong.1611%208Apr2024.xlsx" TargetMode="External"/><Relationship Id="rId1" Type="http://schemas.openxmlformats.org/officeDocument/2006/relationships/externalLinkPath" Target="/4-ACCOUNTING/4.Budget/24FCST/RBAC2/High%20level_Prelim%20financials%20submission/Dept%20feedback/LF%20Apr%20update%206.35%20pm%2021.03/1611/Summary%20for%20depreciations_RBAC2_VuHuong.1611%208Apr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ok value"/>
      <sheetName val="LF (Apr)"/>
      <sheetName val="New investment_LF2"/>
      <sheetName val="Summary depr. LT2"/>
      <sheetName val="Matrix Useful life"/>
      <sheetName val="Not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Act_tbl" displayName="DataAct_tbl" ref="B5:N2495" headerRowDxfId="75" dataDxfId="73" headerRowBorderDxfId="74">
  <autoFilter ref="B5:N2495" xr:uid="{00000000-0009-0000-0100-000002000000}"/>
  <tableColumns count="13">
    <tableColumn id="1" xr3:uid="{00000000-0010-0000-0000-000001000000}" name="DATE" totalsRowLabel="Total" dataDxfId="72" totalsRowDxfId="71"/>
    <tableColumn id="2" xr3:uid="{00000000-0010-0000-0000-000002000000}" name="VOUCHER" dataDxfId="70" totalsRowDxfId="69"/>
    <tableColumn id="3" xr3:uid="{00000000-0010-0000-0000-000003000000}" name="Description" dataDxfId="68" totalsRowDxfId="67"/>
    <tableColumn id="4" xr3:uid="{00000000-0010-0000-0000-000004000000}" name="DR" dataDxfId="66" totalsRowDxfId="65"/>
    <tableColumn id="5" xr3:uid="{00000000-0010-0000-0000-000005000000}" name="CR" dataDxfId="64" totalsRowDxfId="63"/>
    <tableColumn id="6" xr3:uid="{00000000-0010-0000-0000-000006000000}" name="AMOUNT" totalsRowFunction="sum" dataDxfId="62" totalsRowDxfId="61" dataCellStyle="Comma"/>
    <tableColumn id="7" xr3:uid="{00000000-0010-0000-0000-000007000000}" name="BG CODE" dataDxfId="60" totalsRowDxfId="59"/>
    <tableColumn id="8" xr3:uid="{00000000-0010-0000-0000-000008000000}" name="Classification" dataDxfId="58" totalsRowDxfId="57"/>
    <tableColumn id="9" xr3:uid="{00000000-0010-0000-0000-000009000000}" name="Dept code" dataDxfId="56" totalsRowDxfId="55"/>
    <tableColumn id="10" xr3:uid="{00000000-0010-0000-0000-00000A000000}" name="MONTH" dataDxfId="54">
      <calculatedColumnFormula>TEXT(DataAct_tbl[[#This Row],[DATE]],"MMM")</calculatedColumnFormula>
    </tableColumn>
    <tableColumn id="14" xr3:uid="{00000000-0010-0000-0000-00000E000000}" name="Check Dub" dataDxfId="53" totalsRowDxfId="52">
      <calculatedColumnFormula>COUNTIF($H$6:H6,H6)</calculatedColumnFormula>
    </tableColumn>
    <tableColumn id="12" xr3:uid="{00000000-0010-0000-0000-00000C000000}" name="Check New" dataDxfId="51" totalsRowDxfId="50">
      <calculatedColumnFormula>IF(AND(ISNA(VLOOKUP(DataAct_tbl[[#This Row],[BG CODE]],DataOB[Budget code],1,0)),DataAct_tbl[[#This Row],[Check Dub]]=1),"NEW","")</calculatedColumnFormula>
    </tableColumn>
    <tableColumn id="13" xr3:uid="{00000000-0010-0000-0000-00000D000000}" name="Check Range" totalsRowFunction="count" dataDxfId="49" totalsRowDxfId="48">
      <calculatedColumnFormula>AND(DataAct_tbl[[#This Row],[DATE]]&gt;=FirstDate,DataAct_tbl[[#This Row],[DATE]]&lt;=LastDate)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OB" displayName="DataOB" ref="B4:T1183" headerRowDxfId="47" dataDxfId="45" totalsRowDxfId="43" headerRowBorderDxfId="46" tableBorderDxfId="44">
  <autoFilter ref="B4:T1183" xr:uid="{00000000-0009-0000-0100-000001000000}"/>
  <sortState xmlns:xlrd2="http://schemas.microsoft.com/office/spreadsheetml/2017/richdata2" ref="B5:T1183">
    <sortCondition ref="B4:B1183"/>
  </sortState>
  <tableColumns count="19">
    <tableColumn id="1" xr3:uid="{00000000-0010-0000-0100-000001000000}" name="Dept. Code" totalsRowLabel="Total" dataDxfId="42" totalsRowDxfId="41"/>
    <tableColumn id="2" xr3:uid="{00000000-0010-0000-0100-000002000000}" name="Cost center" dataDxfId="40" totalsRowDxfId="39">
      <calculatedColumnFormula>DataOB[[#This Row],[Dept. Code]]</calculatedColumnFormula>
    </tableColumn>
    <tableColumn id="3" xr3:uid="{00000000-0010-0000-0100-000003000000}" name="Budget code" dataDxfId="38" totalsRowDxfId="37"/>
    <tableColumn id="4" xr3:uid="{00000000-0010-0000-0100-000004000000}" name="A/C code" dataDxfId="36" totalsRowDxfId="35"/>
    <tableColumn id="5" xr3:uid="{00000000-0010-0000-0100-000005000000}" name="Budget name" dataDxfId="34" totalsRowDxfId="33"/>
    <tableColumn id="6" xr3:uid="{00000000-0010-0000-0100-000006000000}" name="Classcify" dataDxfId="32" totalsRowDxfId="31"/>
    <tableColumn id="7" xr3:uid="{00000000-0010-0000-0100-000007000000}" name="MTP base" dataDxfId="30" totalsRowDxfId="29"/>
    <tableColumn id="8" xr3:uid="{00000000-0010-0000-0100-000008000000}" name="Jan-24" totalsRowFunction="sum" dataDxfId="28" totalsRowDxfId="27" dataCellStyle="Comma"/>
    <tableColumn id="9" xr3:uid="{00000000-0010-0000-0100-000009000000}" name="Feb-24" totalsRowFunction="sum" dataDxfId="26" totalsRowDxfId="25" dataCellStyle="Comma"/>
    <tableColumn id="10" xr3:uid="{00000000-0010-0000-0100-00000A000000}" name="Mar-24" totalsRowFunction="sum" dataDxfId="24" totalsRowDxfId="23" dataCellStyle="Comma">
      <calculatedColumnFormula>+VLOOKUP(DataOB[[#This Row],[Budget name]],'[1]LF (Apr)'!$F:$AC,14,0)</calculatedColumnFormula>
    </tableColumn>
    <tableColumn id="11" xr3:uid="{00000000-0010-0000-0100-00000B000000}" name="Apr-24" totalsRowFunction="sum" dataDxfId="22" totalsRowDxfId="21" dataCellStyle="Comma">
      <calculatedColumnFormula>+VLOOKUP(DataOB[[#This Row],[Budget name]],'[1]LF (Apr)'!$F:$AC,15,0)</calculatedColumnFormula>
    </tableColumn>
    <tableColumn id="12" xr3:uid="{00000000-0010-0000-0100-00000C000000}" name="May-24" totalsRowFunction="sum" dataDxfId="20" totalsRowDxfId="19" dataCellStyle="Comma"/>
    <tableColumn id="13" xr3:uid="{00000000-0010-0000-0100-00000D000000}" name="Jun-24" totalsRowFunction="sum" dataDxfId="18" totalsRowDxfId="17" dataCellStyle="Comma"/>
    <tableColumn id="14" xr3:uid="{00000000-0010-0000-0100-00000E000000}" name="Jul-24" totalsRowFunction="sum" dataDxfId="16" totalsRowDxfId="15" dataCellStyle="Comma"/>
    <tableColumn id="15" xr3:uid="{00000000-0010-0000-0100-00000F000000}" name="Aug-24" totalsRowFunction="sum" dataDxfId="14" totalsRowDxfId="13" dataCellStyle="Comma"/>
    <tableColumn id="16" xr3:uid="{00000000-0010-0000-0100-000010000000}" name="Sep-24" totalsRowFunction="sum" dataDxfId="12" totalsRowDxfId="11" dataCellStyle="Comma"/>
    <tableColumn id="17" xr3:uid="{00000000-0010-0000-0100-000011000000}" name="Oct-24" totalsRowFunction="sum" dataDxfId="10" totalsRowDxfId="9" dataCellStyle="Comma"/>
    <tableColumn id="18" xr3:uid="{00000000-0010-0000-0100-000012000000}" name="Nov-24" totalsRowFunction="sum" dataDxfId="8" totalsRowDxfId="7" dataCellStyle="Comma"/>
    <tableColumn id="19" xr3:uid="{00000000-0010-0000-0100-000013000000}" name="Dec-24" totalsRowFunction="sum" dataDxfId="6" totalsRowDxfId="5" dataCellStyle="Comma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RangeDate" displayName="RangeDate" ref="AB4:AD16" totalsRowShown="0" headerRowDxfId="4" dataDxfId="3">
  <autoFilter ref="AB4:AD16" xr:uid="{00000000-0009-0000-0100-000003000000}"/>
  <tableColumns count="3">
    <tableColumn id="1" xr3:uid="{00000000-0010-0000-0200-000001000000}" name="Range" dataDxfId="2"/>
    <tableColumn id="2" xr3:uid="{00000000-0010-0000-0200-000002000000}" name="Start date" dataDxfId="1"/>
    <tableColumn id="3" xr3:uid="{00000000-0010-0000-0200-000003000000}" name="End dat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C000"/>
  </sheetPr>
  <dimension ref="B1:N2495"/>
  <sheetViews>
    <sheetView showGridLines="0" tabSelected="1" topLeftCell="A2" zoomScale="85" zoomScaleNormal="85" workbookViewId="0">
      <pane xSplit="4" ySplit="4" topLeftCell="H441" activePane="bottomRight" state="frozen"/>
      <selection activeCell="J59" sqref="J59"/>
      <selection pane="topRight" activeCell="J59" sqref="J59"/>
      <selection pane="bottomLeft" activeCell="J59" sqref="J59"/>
      <selection pane="bottomRight" activeCell="J454" sqref="J454"/>
    </sheetView>
  </sheetViews>
  <sheetFormatPr defaultColWidth="9.109375" defaultRowHeight="13.8"/>
  <cols>
    <col min="1" max="1" width="12.44140625" style="68" bestFit="1" customWidth="1"/>
    <col min="2" max="2" width="16.5546875" style="68" customWidth="1"/>
    <col min="3" max="3" width="16.88671875" style="118" customWidth="1"/>
    <col min="4" max="4" width="60.33203125" style="68" customWidth="1"/>
    <col min="5" max="5" width="11.33203125" style="68" customWidth="1"/>
    <col min="6" max="6" width="9.6640625" style="68" customWidth="1"/>
    <col min="7" max="7" width="13.6640625" style="140" customWidth="1"/>
    <col min="8" max="8" width="24.44140625" style="72" bestFit="1" customWidth="1"/>
    <col min="9" max="9" width="24.6640625" style="72" customWidth="1"/>
    <col min="10" max="10" width="13.5546875" style="72" customWidth="1"/>
    <col min="11" max="11" width="9.109375" style="68" customWidth="1"/>
    <col min="12" max="12" width="9.6640625" style="68" customWidth="1"/>
    <col min="13" max="13" width="11" style="68" customWidth="1"/>
    <col min="14" max="14" width="12.5546875" style="68" customWidth="1"/>
    <col min="15" max="16384" width="9.109375" style="68"/>
  </cols>
  <sheetData>
    <row r="1" spans="2:14" ht="18">
      <c r="B1" s="90" t="s">
        <v>46</v>
      </c>
    </row>
    <row r="2" spans="2:14" ht="15" thickBot="1">
      <c r="B2" s="77"/>
      <c r="E2" s="72"/>
      <c r="F2" s="154" t="s">
        <v>109</v>
      </c>
      <c r="G2" s="151">
        <f>SUBTOTAL(9,G6:G2495)</f>
        <v>6869.289240000001</v>
      </c>
      <c r="I2" s="155"/>
    </row>
    <row r="3" spans="2:14">
      <c r="B3" s="163" t="s">
        <v>12</v>
      </c>
      <c r="C3" s="164"/>
      <c r="D3" s="165" t="s">
        <v>13</v>
      </c>
      <c r="E3" s="165" t="s">
        <v>14</v>
      </c>
      <c r="F3" s="165"/>
      <c r="G3" s="167" t="s">
        <v>15</v>
      </c>
      <c r="H3" s="164" t="s">
        <v>20</v>
      </c>
      <c r="I3" s="164" t="s">
        <v>17</v>
      </c>
      <c r="J3" s="161" t="s">
        <v>16</v>
      </c>
    </row>
    <row r="4" spans="2:14" ht="14.4" thickBot="1">
      <c r="B4" s="119" t="s">
        <v>21</v>
      </c>
      <c r="C4" s="128" t="s">
        <v>22</v>
      </c>
      <c r="D4" s="166"/>
      <c r="E4" s="120" t="s">
        <v>23</v>
      </c>
      <c r="F4" s="120" t="s">
        <v>24</v>
      </c>
      <c r="G4" s="168"/>
      <c r="H4" s="169"/>
      <c r="I4" s="169"/>
      <c r="J4" s="162"/>
    </row>
    <row r="5" spans="2:14">
      <c r="B5" s="79" t="s">
        <v>25</v>
      </c>
      <c r="C5" s="125" t="s">
        <v>26</v>
      </c>
      <c r="D5" s="79" t="s">
        <v>13</v>
      </c>
      <c r="E5" s="129" t="s">
        <v>27</v>
      </c>
      <c r="F5" s="130" t="s">
        <v>28</v>
      </c>
      <c r="G5" s="152" t="s">
        <v>29</v>
      </c>
      <c r="H5" s="79" t="s">
        <v>30</v>
      </c>
      <c r="I5" s="88" t="s">
        <v>17</v>
      </c>
      <c r="J5" s="89" t="s">
        <v>16</v>
      </c>
      <c r="K5" s="85" t="s">
        <v>31</v>
      </c>
      <c r="L5" s="85" t="s">
        <v>43</v>
      </c>
      <c r="M5" s="85" t="s">
        <v>32</v>
      </c>
      <c r="N5" s="85" t="s">
        <v>42</v>
      </c>
    </row>
    <row r="6" spans="2:14" ht="14.4">
      <c r="B6" s="77">
        <v>45322</v>
      </c>
      <c r="C6" s="118" t="s">
        <v>141</v>
      </c>
      <c r="D6" s="68" t="s">
        <v>142</v>
      </c>
      <c r="E6" s="133"/>
      <c r="F6" s="134"/>
      <c r="G6" s="140">
        <v>10.851290000000001</v>
      </c>
      <c r="H6" s="72" t="s">
        <v>113</v>
      </c>
      <c r="I6" s="72" t="s">
        <v>63</v>
      </c>
      <c r="J6" s="72">
        <v>1213</v>
      </c>
      <c r="K6" s="92" t="str">
        <f>TEXT(DataAct_tbl[[#This Row],[DATE]],"MMM")</f>
        <v>Jan</v>
      </c>
      <c r="L6">
        <f>COUNTIF($H$6:H6,H6)</f>
        <v>1</v>
      </c>
      <c r="M6" s="68" t="str">
        <f>IF(AND(ISNA(VLOOKUP(DataAct_tbl[[#This Row],[BG CODE]],DataOB[Budget code],1,0)),DataAct_tbl[[#This Row],[Check Dub]]=1),"NEW","")</f>
        <v/>
      </c>
      <c r="N6" s="68" t="b">
        <f>AND(DataAct_tbl[[#This Row],[DATE]]&gt;=FirstDate,DataAct_tbl[[#This Row],[DATE]]&lt;=LastDate)</f>
        <v>1</v>
      </c>
    </row>
    <row r="7" spans="2:14" ht="14.4">
      <c r="B7" s="77">
        <v>45322</v>
      </c>
      <c r="C7" s="118" t="s">
        <v>143</v>
      </c>
      <c r="D7" s="68" t="s">
        <v>144</v>
      </c>
      <c r="E7" s="135"/>
      <c r="F7" s="136"/>
      <c r="G7" s="140">
        <v>1.46299</v>
      </c>
      <c r="H7" s="72" t="s">
        <v>99</v>
      </c>
      <c r="I7" s="72" t="s">
        <v>62</v>
      </c>
      <c r="J7" s="72">
        <v>8111</v>
      </c>
      <c r="K7" s="92" t="str">
        <f>TEXT(DataAct_tbl[[#This Row],[DATE]],"MMM")</f>
        <v>Jan</v>
      </c>
      <c r="L7">
        <f>COUNTIF($H$6:H7,H7)</f>
        <v>1</v>
      </c>
      <c r="M7" s="68" t="str">
        <f>IF(AND(ISNA(VLOOKUP(DataAct_tbl[[#This Row],[BG CODE]],DataOB[Budget code],1,0)),DataAct_tbl[[#This Row],[Check Dub]]=1),"NEW","")</f>
        <v/>
      </c>
      <c r="N7" s="68" t="b">
        <f>AND(DataAct_tbl[[#This Row],[DATE]]&gt;=FirstDate,DataAct_tbl[[#This Row],[DATE]]&lt;=LastDate)</f>
        <v>1</v>
      </c>
    </row>
    <row r="8" spans="2:14" ht="14.4">
      <c r="B8" s="77">
        <v>45322</v>
      </c>
      <c r="C8" s="118" t="s">
        <v>143</v>
      </c>
      <c r="D8" s="68" t="s">
        <v>145</v>
      </c>
      <c r="E8" s="135"/>
      <c r="F8" s="136"/>
      <c r="G8" s="140">
        <v>1.46299</v>
      </c>
      <c r="H8" s="72" t="s">
        <v>99</v>
      </c>
      <c r="I8" s="72" t="s">
        <v>62</v>
      </c>
      <c r="J8" s="72">
        <v>8111</v>
      </c>
      <c r="K8" s="92" t="str">
        <f>TEXT(DataAct_tbl[[#This Row],[DATE]],"MMM")</f>
        <v>Jan</v>
      </c>
      <c r="L8">
        <f>COUNTIF($H$6:H8,H8)</f>
        <v>2</v>
      </c>
      <c r="M8" s="68" t="str">
        <f>IF(AND(ISNA(VLOOKUP(DataAct_tbl[[#This Row],[BG CODE]],DataOB[Budget code],1,0)),DataAct_tbl[[#This Row],[Check Dub]]=1),"NEW","")</f>
        <v/>
      </c>
      <c r="N8" s="68" t="b">
        <f>AND(DataAct_tbl[[#This Row],[DATE]]&gt;=FirstDate,DataAct_tbl[[#This Row],[DATE]]&lt;=LastDate)</f>
        <v>1</v>
      </c>
    </row>
    <row r="9" spans="2:14" ht="14.4">
      <c r="B9" s="77">
        <v>45322</v>
      </c>
      <c r="C9" s="118" t="s">
        <v>143</v>
      </c>
      <c r="D9" s="68" t="s">
        <v>145</v>
      </c>
      <c r="E9" s="135"/>
      <c r="F9" s="136"/>
      <c r="G9" s="140">
        <v>1.4629799999999999</v>
      </c>
      <c r="H9" s="72" t="s">
        <v>99</v>
      </c>
      <c r="I9" s="72" t="s">
        <v>62</v>
      </c>
      <c r="J9" s="72">
        <v>8111</v>
      </c>
      <c r="K9" s="92" t="str">
        <f>TEXT(DataAct_tbl[[#This Row],[DATE]],"MMM")</f>
        <v>Jan</v>
      </c>
      <c r="L9">
        <f>COUNTIF($H$6:H9,H9)</f>
        <v>3</v>
      </c>
      <c r="M9" s="68" t="str">
        <f>IF(AND(ISNA(VLOOKUP(DataAct_tbl[[#This Row],[BG CODE]],DataOB[Budget code],1,0)),DataAct_tbl[[#This Row],[Check Dub]]=1),"NEW","")</f>
        <v/>
      </c>
      <c r="N9" s="68" t="b">
        <f>AND(DataAct_tbl[[#This Row],[DATE]]&gt;=FirstDate,DataAct_tbl[[#This Row],[DATE]]&lt;=LastDate)</f>
        <v>1</v>
      </c>
    </row>
    <row r="10" spans="2:14" ht="14.4">
      <c r="B10" s="77">
        <v>45322</v>
      </c>
      <c r="C10" s="118" t="s">
        <v>143</v>
      </c>
      <c r="D10" s="68" t="s">
        <v>146</v>
      </c>
      <c r="E10" s="135"/>
      <c r="F10" s="136"/>
      <c r="G10" s="140">
        <v>1.46299</v>
      </c>
      <c r="H10" s="72" t="s">
        <v>99</v>
      </c>
      <c r="I10" s="72" t="s">
        <v>62</v>
      </c>
      <c r="J10" s="72">
        <v>8111</v>
      </c>
      <c r="K10" s="92" t="str">
        <f>TEXT(DataAct_tbl[[#This Row],[DATE]],"MMM")</f>
        <v>Jan</v>
      </c>
      <c r="L10">
        <f>COUNTIF($H$6:H10,H10)</f>
        <v>4</v>
      </c>
      <c r="M10" s="68" t="str">
        <f>IF(AND(ISNA(VLOOKUP(DataAct_tbl[[#This Row],[BG CODE]],DataOB[Budget code],1,0)),DataAct_tbl[[#This Row],[Check Dub]]=1),"NEW","")</f>
        <v/>
      </c>
      <c r="N10" s="68" t="b">
        <f>AND(DataAct_tbl[[#This Row],[DATE]]&gt;=FirstDate,DataAct_tbl[[#This Row],[DATE]]&lt;=LastDate)</f>
        <v>1</v>
      </c>
    </row>
    <row r="11" spans="2:14" ht="14.4">
      <c r="B11" s="77">
        <v>45322</v>
      </c>
      <c r="C11" s="118" t="s">
        <v>143</v>
      </c>
      <c r="D11" s="68" t="s">
        <v>146</v>
      </c>
      <c r="E11" s="135"/>
      <c r="F11" s="136"/>
      <c r="G11" s="140">
        <v>1.4629799999999999</v>
      </c>
      <c r="H11" s="72" t="s">
        <v>99</v>
      </c>
      <c r="I11" s="72" t="s">
        <v>62</v>
      </c>
      <c r="J11" s="72">
        <v>8111</v>
      </c>
      <c r="K11" s="92" t="str">
        <f>TEXT(DataAct_tbl[[#This Row],[DATE]],"MMM")</f>
        <v>Jan</v>
      </c>
      <c r="L11">
        <f>COUNTIF($H$6:H11,H11)</f>
        <v>5</v>
      </c>
      <c r="M11" s="68" t="str">
        <f>IF(AND(ISNA(VLOOKUP(DataAct_tbl[[#This Row],[BG CODE]],DataOB[Budget code],1,0)),DataAct_tbl[[#This Row],[Check Dub]]=1),"NEW","")</f>
        <v/>
      </c>
      <c r="N11" s="68" t="b">
        <f>AND(DataAct_tbl[[#This Row],[DATE]]&gt;=FirstDate,DataAct_tbl[[#This Row],[DATE]]&lt;=LastDate)</f>
        <v>1</v>
      </c>
    </row>
    <row r="12" spans="2:14" ht="14.4">
      <c r="B12" s="77">
        <v>45322</v>
      </c>
      <c r="C12" s="118" t="s">
        <v>147</v>
      </c>
      <c r="D12" s="68" t="s">
        <v>148</v>
      </c>
      <c r="E12" s="135"/>
      <c r="F12" s="136"/>
      <c r="G12" s="140">
        <v>44.576440000000005</v>
      </c>
      <c r="H12" s="72" t="s">
        <v>110</v>
      </c>
      <c r="I12" s="72" t="s">
        <v>63</v>
      </c>
      <c r="J12" s="72">
        <v>8311</v>
      </c>
      <c r="K12" s="92" t="str">
        <f>TEXT(DataAct_tbl[[#This Row],[DATE]],"MMM")</f>
        <v>Jan</v>
      </c>
      <c r="L12">
        <f>COUNTIF($H$6:H12,H12)</f>
        <v>1</v>
      </c>
      <c r="M12" s="68" t="str">
        <f>IF(AND(ISNA(VLOOKUP(DataAct_tbl[[#This Row],[BG CODE]],DataOB[Budget code],1,0)),DataAct_tbl[[#This Row],[Check Dub]]=1),"NEW","")</f>
        <v/>
      </c>
      <c r="N12" s="68" t="b">
        <f>AND(DataAct_tbl[[#This Row],[DATE]]&gt;=FirstDate,DataAct_tbl[[#This Row],[DATE]]&lt;=LastDate)</f>
        <v>1</v>
      </c>
    </row>
    <row r="13" spans="2:14" ht="14.4">
      <c r="B13" s="77">
        <v>45322</v>
      </c>
      <c r="C13" s="118" t="s">
        <v>149</v>
      </c>
      <c r="D13" s="68" t="s">
        <v>150</v>
      </c>
      <c r="E13" s="135"/>
      <c r="F13" s="136"/>
      <c r="G13" s="140">
        <v>23.97</v>
      </c>
      <c r="H13" s="72" t="s">
        <v>100</v>
      </c>
      <c r="I13" s="72" t="s">
        <v>62</v>
      </c>
      <c r="J13" s="72">
        <v>8111</v>
      </c>
      <c r="K13" s="92" t="str">
        <f>TEXT(DataAct_tbl[[#This Row],[DATE]],"MMM")</f>
        <v>Jan</v>
      </c>
      <c r="L13">
        <f>COUNTIF($H$6:H13,H13)</f>
        <v>1</v>
      </c>
      <c r="M13" s="68" t="str">
        <f>IF(AND(ISNA(VLOOKUP(DataAct_tbl[[#This Row],[BG CODE]],DataOB[Budget code],1,0)),DataAct_tbl[[#This Row],[Check Dub]]=1),"NEW","")</f>
        <v/>
      </c>
      <c r="N13" s="68" t="b">
        <f>AND(DataAct_tbl[[#This Row],[DATE]]&gt;=FirstDate,DataAct_tbl[[#This Row],[DATE]]&lt;=LastDate)</f>
        <v>1</v>
      </c>
    </row>
    <row r="14" spans="2:14" ht="14.4">
      <c r="B14" s="77">
        <v>45322</v>
      </c>
      <c r="C14" s="118" t="s">
        <v>151</v>
      </c>
      <c r="D14" s="68" t="s">
        <v>152</v>
      </c>
      <c r="E14" s="135"/>
      <c r="F14" s="136"/>
      <c r="G14" s="140">
        <v>13.015000000000001</v>
      </c>
      <c r="H14" s="72" t="s">
        <v>100</v>
      </c>
      <c r="I14" s="72" t="s">
        <v>62</v>
      </c>
      <c r="J14" s="72">
        <v>8111</v>
      </c>
      <c r="K14" s="92" t="str">
        <f>TEXT(DataAct_tbl[[#This Row],[DATE]],"MMM")</f>
        <v>Jan</v>
      </c>
      <c r="L14">
        <f>COUNTIF($H$6:H14,H14)</f>
        <v>2</v>
      </c>
      <c r="M14" s="68" t="str">
        <f>IF(AND(ISNA(VLOOKUP(DataAct_tbl[[#This Row],[BG CODE]],DataOB[Budget code],1,0)),DataAct_tbl[[#This Row],[Check Dub]]=1),"NEW","")</f>
        <v/>
      </c>
      <c r="N14" s="68" t="b">
        <f>AND(DataAct_tbl[[#This Row],[DATE]]&gt;=FirstDate,DataAct_tbl[[#This Row],[DATE]]&lt;=LastDate)</f>
        <v>1</v>
      </c>
    </row>
    <row r="15" spans="2:14" ht="14.4">
      <c r="B15" s="77">
        <v>45322</v>
      </c>
      <c r="C15" s="118" t="s">
        <v>153</v>
      </c>
      <c r="D15" s="68" t="s">
        <v>154</v>
      </c>
      <c r="E15" s="135"/>
      <c r="F15" s="136"/>
      <c r="G15" s="140">
        <v>13.015000000000001</v>
      </c>
      <c r="H15" s="72" t="s">
        <v>100</v>
      </c>
      <c r="I15" s="72" t="s">
        <v>62</v>
      </c>
      <c r="J15" s="72">
        <v>8111</v>
      </c>
      <c r="K15" s="92" t="str">
        <f>TEXT(DataAct_tbl[[#This Row],[DATE]],"MMM")</f>
        <v>Jan</v>
      </c>
      <c r="L15">
        <f>COUNTIF($H$6:H15,H15)</f>
        <v>3</v>
      </c>
      <c r="M15" s="68" t="str">
        <f>IF(AND(ISNA(VLOOKUP(DataAct_tbl[[#This Row],[BG CODE]],DataOB[Budget code],1,0)),DataAct_tbl[[#This Row],[Check Dub]]=1),"NEW","")</f>
        <v/>
      </c>
      <c r="N15" s="68" t="b">
        <f>AND(DataAct_tbl[[#This Row],[DATE]]&gt;=FirstDate,DataAct_tbl[[#This Row],[DATE]]&lt;=LastDate)</f>
        <v>1</v>
      </c>
    </row>
    <row r="16" spans="2:14" ht="14.4">
      <c r="B16" s="77">
        <v>45322</v>
      </c>
      <c r="C16" s="118" t="s">
        <v>155</v>
      </c>
      <c r="D16" s="68" t="s">
        <v>156</v>
      </c>
      <c r="E16" s="135"/>
      <c r="F16" s="136"/>
      <c r="G16" s="140">
        <v>2.6677600000000004</v>
      </c>
      <c r="H16" s="72" t="s">
        <v>173</v>
      </c>
      <c r="I16" s="72" t="s">
        <v>62</v>
      </c>
      <c r="J16" s="72">
        <v>1213</v>
      </c>
      <c r="K16" s="92" t="str">
        <f>TEXT(DataAct_tbl[[#This Row],[DATE]],"MMM")</f>
        <v>Jan</v>
      </c>
      <c r="L16">
        <f>COUNTIF($H$6:H16,H16)</f>
        <v>1</v>
      </c>
      <c r="M16" s="68" t="str">
        <f>IF(AND(ISNA(VLOOKUP(DataAct_tbl[[#This Row],[BG CODE]],DataOB[Budget code],1,0)),DataAct_tbl[[#This Row],[Check Dub]]=1),"NEW","")</f>
        <v/>
      </c>
      <c r="N16" s="68" t="b">
        <f>AND(DataAct_tbl[[#This Row],[DATE]]&gt;=FirstDate,DataAct_tbl[[#This Row],[DATE]]&lt;=LastDate)</f>
        <v>1</v>
      </c>
    </row>
    <row r="17" spans="2:14" ht="14.4">
      <c r="B17" s="77">
        <v>45322</v>
      </c>
      <c r="C17" s="118" t="s">
        <v>157</v>
      </c>
      <c r="D17" s="68" t="s">
        <v>158</v>
      </c>
      <c r="E17" s="135"/>
      <c r="F17" s="136"/>
      <c r="G17" s="140">
        <v>1.124E-2</v>
      </c>
      <c r="H17" s="72" t="s">
        <v>99</v>
      </c>
      <c r="I17" s="72" t="s">
        <v>102</v>
      </c>
      <c r="J17" s="72">
        <v>8111</v>
      </c>
      <c r="K17" s="92" t="str">
        <f>TEXT(DataAct_tbl[[#This Row],[DATE]],"MMM")</f>
        <v>Jan</v>
      </c>
      <c r="L17">
        <f>COUNTIF($H$6:H17,H17)</f>
        <v>6</v>
      </c>
      <c r="M17" s="68" t="str">
        <f>IF(AND(ISNA(VLOOKUP(DataAct_tbl[[#This Row],[BG CODE]],DataOB[Budget code],1,0)),DataAct_tbl[[#This Row],[Check Dub]]=1),"NEW","")</f>
        <v/>
      </c>
      <c r="N17" s="68" t="b">
        <f>AND(DataAct_tbl[[#This Row],[DATE]]&gt;=FirstDate,DataAct_tbl[[#This Row],[DATE]]&lt;=LastDate)</f>
        <v>1</v>
      </c>
    </row>
    <row r="18" spans="2:14" ht="14.4">
      <c r="B18" s="77">
        <v>45322</v>
      </c>
      <c r="C18" s="118" t="s">
        <v>157</v>
      </c>
      <c r="D18" s="68" t="s">
        <v>159</v>
      </c>
      <c r="E18" s="135"/>
      <c r="F18" s="136"/>
      <c r="G18" s="140">
        <v>1.124E-2</v>
      </c>
      <c r="H18" s="72" t="s">
        <v>99</v>
      </c>
      <c r="I18" s="72" t="s">
        <v>102</v>
      </c>
      <c r="J18" s="72">
        <v>8111</v>
      </c>
      <c r="K18" s="92" t="str">
        <f>TEXT(DataAct_tbl[[#This Row],[DATE]],"MMM")</f>
        <v>Jan</v>
      </c>
      <c r="L18">
        <f>COUNTIF($H$6:H18,H18)</f>
        <v>7</v>
      </c>
      <c r="M18" s="68" t="str">
        <f>IF(AND(ISNA(VLOOKUP(DataAct_tbl[[#This Row],[BG CODE]],DataOB[Budget code],1,0)),DataAct_tbl[[#This Row],[Check Dub]]=1),"NEW","")</f>
        <v/>
      </c>
      <c r="N18" s="68" t="b">
        <f>AND(DataAct_tbl[[#This Row],[DATE]]&gt;=FirstDate,DataAct_tbl[[#This Row],[DATE]]&lt;=LastDate)</f>
        <v>1</v>
      </c>
    </row>
    <row r="19" spans="2:14" ht="14.4">
      <c r="B19" s="77">
        <v>45322</v>
      </c>
      <c r="C19" s="118" t="s">
        <v>157</v>
      </c>
      <c r="D19" s="68" t="s">
        <v>159</v>
      </c>
      <c r="E19" s="135"/>
      <c r="F19" s="136"/>
      <c r="G19" s="140">
        <v>1.124E-2</v>
      </c>
      <c r="H19" s="72" t="s">
        <v>99</v>
      </c>
      <c r="I19" s="72" t="s">
        <v>102</v>
      </c>
      <c r="J19" s="72">
        <v>8111</v>
      </c>
      <c r="K19" s="92" t="str">
        <f>TEXT(DataAct_tbl[[#This Row],[DATE]],"MMM")</f>
        <v>Jan</v>
      </c>
      <c r="L19">
        <f>COUNTIF($H$6:H19,H19)</f>
        <v>8</v>
      </c>
      <c r="M19" s="68" t="str">
        <f>IF(AND(ISNA(VLOOKUP(DataAct_tbl[[#This Row],[BG CODE]],DataOB[Budget code],1,0)),DataAct_tbl[[#This Row],[Check Dub]]=1),"NEW","")</f>
        <v/>
      </c>
      <c r="N19" s="68" t="b">
        <f>AND(DataAct_tbl[[#This Row],[DATE]]&gt;=FirstDate,DataAct_tbl[[#This Row],[DATE]]&lt;=LastDate)</f>
        <v>1</v>
      </c>
    </row>
    <row r="20" spans="2:14" ht="14.4">
      <c r="B20" s="77">
        <v>45322</v>
      </c>
      <c r="C20" s="118" t="s">
        <v>157</v>
      </c>
      <c r="D20" s="68" t="s">
        <v>160</v>
      </c>
      <c r="E20" s="135"/>
      <c r="F20" s="136"/>
      <c r="G20" s="140">
        <v>1.124E-2</v>
      </c>
      <c r="H20" s="72" t="s">
        <v>99</v>
      </c>
      <c r="I20" s="72" t="s">
        <v>102</v>
      </c>
      <c r="J20" s="72">
        <v>8111</v>
      </c>
      <c r="K20" s="92" t="str">
        <f>TEXT(DataAct_tbl[[#This Row],[DATE]],"MMM")</f>
        <v>Jan</v>
      </c>
      <c r="L20">
        <f>COUNTIF($H$6:H20,H20)</f>
        <v>9</v>
      </c>
      <c r="M20" s="68" t="str">
        <f>IF(AND(ISNA(VLOOKUP(DataAct_tbl[[#This Row],[BG CODE]],DataOB[Budget code],1,0)),DataAct_tbl[[#This Row],[Check Dub]]=1),"NEW","")</f>
        <v/>
      </c>
      <c r="N20" s="68" t="b">
        <f>AND(DataAct_tbl[[#This Row],[DATE]]&gt;=FirstDate,DataAct_tbl[[#This Row],[DATE]]&lt;=LastDate)</f>
        <v>1</v>
      </c>
    </row>
    <row r="21" spans="2:14" ht="14.4">
      <c r="B21" s="77">
        <v>45322</v>
      </c>
      <c r="C21" s="118" t="s">
        <v>157</v>
      </c>
      <c r="D21" s="68" t="s">
        <v>160</v>
      </c>
      <c r="E21" s="131"/>
      <c r="F21" s="132"/>
      <c r="G21" s="140">
        <v>1.124E-2</v>
      </c>
      <c r="H21" s="72" t="s">
        <v>99</v>
      </c>
      <c r="I21" s="72" t="s">
        <v>102</v>
      </c>
      <c r="J21" s="72">
        <v>8111</v>
      </c>
      <c r="K21" s="92" t="str">
        <f>TEXT(DataAct_tbl[[#This Row],[DATE]],"MMM")</f>
        <v>Jan</v>
      </c>
      <c r="L21">
        <f>COUNTIF($H$6:H21,H21)</f>
        <v>10</v>
      </c>
      <c r="M21" s="68" t="str">
        <f>IF(AND(ISNA(VLOOKUP(DataAct_tbl[[#This Row],[BG CODE]],DataOB[Budget code],1,0)),DataAct_tbl[[#This Row],[Check Dub]]=1),"NEW","")</f>
        <v/>
      </c>
      <c r="N21" s="68" t="b">
        <f>AND(DataAct_tbl[[#This Row],[DATE]]&gt;=FirstDate,DataAct_tbl[[#This Row],[DATE]]&lt;=LastDate)</f>
        <v>1</v>
      </c>
    </row>
    <row r="22" spans="2:14" ht="14.4">
      <c r="B22" s="77">
        <v>45322</v>
      </c>
      <c r="C22" s="118" t="s">
        <v>161</v>
      </c>
      <c r="D22" s="68" t="s">
        <v>162</v>
      </c>
      <c r="E22" s="131"/>
      <c r="F22" s="132"/>
      <c r="G22" s="140">
        <v>7.0739999999999997E-2</v>
      </c>
      <c r="H22" s="72" t="s">
        <v>106</v>
      </c>
      <c r="I22" s="72" t="s">
        <v>61</v>
      </c>
      <c r="J22" s="72">
        <v>8311</v>
      </c>
      <c r="K22" s="92" t="str">
        <f>TEXT(DataAct_tbl[[#This Row],[DATE]],"MMM")</f>
        <v>Jan</v>
      </c>
      <c r="L22">
        <f>COUNTIF($H$6:H22,H22)</f>
        <v>1</v>
      </c>
      <c r="M22" s="68" t="str">
        <f>IF(AND(ISNA(VLOOKUP(DataAct_tbl[[#This Row],[BG CODE]],DataOB[Budget code],1,0)),DataAct_tbl[[#This Row],[Check Dub]]=1),"NEW","")</f>
        <v/>
      </c>
      <c r="N22" s="68" t="b">
        <f>AND(DataAct_tbl[[#This Row],[DATE]]&gt;=FirstDate,DataAct_tbl[[#This Row],[DATE]]&lt;=LastDate)</f>
        <v>1</v>
      </c>
    </row>
    <row r="23" spans="2:14" ht="14.4">
      <c r="B23" s="77">
        <v>45322</v>
      </c>
      <c r="C23" s="118" t="s">
        <v>161</v>
      </c>
      <c r="D23" s="68" t="s">
        <v>162</v>
      </c>
      <c r="E23" s="131"/>
      <c r="F23" s="132"/>
      <c r="G23" s="140">
        <v>7.0749999999999993E-2</v>
      </c>
      <c r="H23" s="72" t="s">
        <v>106</v>
      </c>
      <c r="I23" s="72" t="s">
        <v>61</v>
      </c>
      <c r="J23" s="72">
        <v>8311</v>
      </c>
      <c r="K23" s="92" t="str">
        <f>TEXT(DataAct_tbl[[#This Row],[DATE]],"MMM")</f>
        <v>Jan</v>
      </c>
      <c r="L23">
        <f>COUNTIF($H$6:H23,H23)</f>
        <v>2</v>
      </c>
      <c r="M23" s="68" t="str">
        <f>IF(AND(ISNA(VLOOKUP(DataAct_tbl[[#This Row],[BG CODE]],DataOB[Budget code],1,0)),DataAct_tbl[[#This Row],[Check Dub]]=1),"NEW","")</f>
        <v/>
      </c>
      <c r="N23" s="68" t="b">
        <f>AND(DataAct_tbl[[#This Row],[DATE]]&gt;=FirstDate,DataAct_tbl[[#This Row],[DATE]]&lt;=LastDate)</f>
        <v>1</v>
      </c>
    </row>
    <row r="24" spans="2:14" ht="14.4">
      <c r="B24" s="77">
        <v>45322</v>
      </c>
      <c r="C24" s="118" t="s">
        <v>161</v>
      </c>
      <c r="D24" s="68" t="s">
        <v>163</v>
      </c>
      <c r="E24" s="131"/>
      <c r="F24" s="132"/>
      <c r="G24" s="140">
        <v>0.22668000000000002</v>
      </c>
      <c r="H24" s="72" t="s">
        <v>111</v>
      </c>
      <c r="I24" s="72" t="s">
        <v>61</v>
      </c>
      <c r="J24" s="72">
        <v>8311</v>
      </c>
      <c r="K24" s="92" t="str">
        <f>TEXT(DataAct_tbl[[#This Row],[DATE]],"MMM")</f>
        <v>Jan</v>
      </c>
      <c r="L24">
        <f>COUNTIF($H$6:H24,H24)</f>
        <v>1</v>
      </c>
      <c r="M24" s="68" t="str">
        <f>IF(AND(ISNA(VLOOKUP(DataAct_tbl[[#This Row],[BG CODE]],DataOB[Budget code],1,0)),DataAct_tbl[[#This Row],[Check Dub]]=1),"NEW","")</f>
        <v/>
      </c>
      <c r="N24" s="68" t="b">
        <f>AND(DataAct_tbl[[#This Row],[DATE]]&gt;=FirstDate,DataAct_tbl[[#This Row],[DATE]]&lt;=LastDate)</f>
        <v>1</v>
      </c>
    </row>
    <row r="25" spans="2:14" ht="14.4">
      <c r="B25" s="77">
        <v>45322</v>
      </c>
      <c r="C25" s="118" t="s">
        <v>161</v>
      </c>
      <c r="D25" s="68" t="s">
        <v>164</v>
      </c>
      <c r="E25" s="131"/>
      <c r="F25" s="132"/>
      <c r="G25" s="140">
        <v>0.16818</v>
      </c>
      <c r="H25" s="72" t="s">
        <v>100</v>
      </c>
      <c r="I25" s="72" t="s">
        <v>61</v>
      </c>
      <c r="J25" s="72">
        <v>8111</v>
      </c>
      <c r="K25" s="92" t="str">
        <f>TEXT(DataAct_tbl[[#This Row],[DATE]],"MMM")</f>
        <v>Jan</v>
      </c>
      <c r="L25">
        <f>COUNTIF($H$6:H25,H25)</f>
        <v>4</v>
      </c>
      <c r="M25" s="68" t="str">
        <f>IF(AND(ISNA(VLOOKUP(DataAct_tbl[[#This Row],[BG CODE]],DataOB[Budget code],1,0)),DataAct_tbl[[#This Row],[Check Dub]]=1),"NEW","")</f>
        <v/>
      </c>
      <c r="N25" s="68" t="b">
        <f>AND(DataAct_tbl[[#This Row],[DATE]]&gt;=FirstDate,DataAct_tbl[[#This Row],[DATE]]&lt;=LastDate)</f>
        <v>1</v>
      </c>
    </row>
    <row r="26" spans="2:14" ht="14.4">
      <c r="B26" s="77">
        <v>45322</v>
      </c>
      <c r="C26" s="118" t="s">
        <v>161</v>
      </c>
      <c r="D26" s="68" t="s">
        <v>165</v>
      </c>
      <c r="E26" s="131"/>
      <c r="F26" s="132"/>
      <c r="G26" s="140">
        <v>0.16818</v>
      </c>
      <c r="H26" s="72" t="s">
        <v>100</v>
      </c>
      <c r="I26" s="72" t="s">
        <v>61</v>
      </c>
      <c r="J26" s="72">
        <v>8111</v>
      </c>
      <c r="K26" s="92" t="str">
        <f>TEXT(DataAct_tbl[[#This Row],[DATE]],"MMM")</f>
        <v>Jan</v>
      </c>
      <c r="L26">
        <f>COUNTIF($H$6:H26,H26)</f>
        <v>5</v>
      </c>
      <c r="M26" s="68" t="str">
        <f>IF(AND(ISNA(VLOOKUP(DataAct_tbl[[#This Row],[BG CODE]],DataOB[Budget code],1,0)),DataAct_tbl[[#This Row],[Check Dub]]=1),"NEW","")</f>
        <v/>
      </c>
      <c r="N26" s="68" t="b">
        <f>AND(DataAct_tbl[[#This Row],[DATE]]&gt;=FirstDate,DataAct_tbl[[#This Row],[DATE]]&lt;=LastDate)</f>
        <v>1</v>
      </c>
    </row>
    <row r="27" spans="2:14" ht="14.4">
      <c r="B27" s="77">
        <v>45322</v>
      </c>
      <c r="C27" s="118" t="s">
        <v>166</v>
      </c>
      <c r="D27" s="68" t="s">
        <v>167</v>
      </c>
      <c r="E27" s="131"/>
      <c r="F27" s="132"/>
      <c r="G27" s="140">
        <v>1.217E-2</v>
      </c>
      <c r="H27" s="72" t="s">
        <v>173</v>
      </c>
      <c r="I27" s="72" t="s">
        <v>61</v>
      </c>
      <c r="J27" s="72">
        <v>1213</v>
      </c>
      <c r="K27" s="92" t="str">
        <f>TEXT(DataAct_tbl[[#This Row],[DATE]],"MMM")</f>
        <v>Jan</v>
      </c>
      <c r="L27">
        <f>COUNTIF($H$6:H27,H27)</f>
        <v>2</v>
      </c>
      <c r="M27" s="68" t="str">
        <f>IF(AND(ISNA(VLOOKUP(DataAct_tbl[[#This Row],[BG CODE]],DataOB[Budget code],1,0)),DataAct_tbl[[#This Row],[Check Dub]]=1),"NEW","")</f>
        <v/>
      </c>
      <c r="N27" s="68" t="b">
        <f>AND(DataAct_tbl[[#This Row],[DATE]]&gt;=FirstDate,DataAct_tbl[[#This Row],[DATE]]&lt;=LastDate)</f>
        <v>1</v>
      </c>
    </row>
    <row r="28" spans="2:14" ht="14.4">
      <c r="B28" s="77">
        <v>45322</v>
      </c>
      <c r="C28" s="118" t="s">
        <v>168</v>
      </c>
      <c r="D28" s="68" t="s">
        <v>169</v>
      </c>
      <c r="E28" s="131"/>
      <c r="F28" s="132"/>
      <c r="G28" s="140">
        <v>28.969000000000001</v>
      </c>
      <c r="H28" s="72" t="s">
        <v>100</v>
      </c>
      <c r="I28" s="72" t="s">
        <v>62</v>
      </c>
      <c r="J28" s="72">
        <v>8111</v>
      </c>
      <c r="K28" s="92" t="str">
        <f>TEXT(DataAct_tbl[[#This Row],[DATE]],"MMM")</f>
        <v>Jan</v>
      </c>
      <c r="L28">
        <f>COUNTIF($H$6:H28,H28)</f>
        <v>6</v>
      </c>
      <c r="M28" s="68" t="str">
        <f>IF(AND(ISNA(VLOOKUP(DataAct_tbl[[#This Row],[BG CODE]],DataOB[Budget code],1,0)),DataAct_tbl[[#This Row],[Check Dub]]=1),"NEW","")</f>
        <v/>
      </c>
      <c r="N28" s="68" t="b">
        <f>AND(DataAct_tbl[[#This Row],[DATE]]&gt;=FirstDate,DataAct_tbl[[#This Row],[DATE]]&lt;=LastDate)</f>
        <v>1</v>
      </c>
    </row>
    <row r="29" spans="2:14" ht="14.4">
      <c r="B29" s="77">
        <v>45322</v>
      </c>
      <c r="C29" s="118" t="s">
        <v>170</v>
      </c>
      <c r="D29" s="68" t="s">
        <v>171</v>
      </c>
      <c r="E29" s="131"/>
      <c r="F29" s="132"/>
      <c r="G29" s="140">
        <v>19.539580000000001</v>
      </c>
      <c r="H29" s="72" t="s">
        <v>112</v>
      </c>
      <c r="I29" s="72" t="s">
        <v>102</v>
      </c>
      <c r="J29" s="72">
        <v>8311</v>
      </c>
      <c r="K29" s="92" t="str">
        <f>TEXT(DataAct_tbl[[#This Row],[DATE]],"MMM")</f>
        <v>Jan</v>
      </c>
      <c r="L29">
        <f>COUNTIF($H$6:H29,H29)</f>
        <v>1</v>
      </c>
      <c r="M29" s="68" t="str">
        <f>IF(AND(ISNA(VLOOKUP(DataAct_tbl[[#This Row],[BG CODE]],DataOB[Budget code],1,0)),DataAct_tbl[[#This Row],[Check Dub]]=1),"NEW","")</f>
        <v/>
      </c>
      <c r="N29" s="68" t="b">
        <f>AND(DataAct_tbl[[#This Row],[DATE]]&gt;=FirstDate,DataAct_tbl[[#This Row],[DATE]]&lt;=LastDate)</f>
        <v>1</v>
      </c>
    </row>
    <row r="30" spans="2:14" ht="14.4">
      <c r="B30" s="77">
        <v>45322</v>
      </c>
      <c r="C30" s="118" t="s">
        <v>172</v>
      </c>
      <c r="D30" s="68" t="s">
        <v>108</v>
      </c>
      <c r="E30" s="131"/>
      <c r="F30" s="132"/>
      <c r="G30" s="140">
        <v>0.23988999999999999</v>
      </c>
      <c r="H30" s="72" t="s">
        <v>114</v>
      </c>
      <c r="I30" s="72" t="s">
        <v>62</v>
      </c>
      <c r="J30" s="72">
        <v>1611</v>
      </c>
      <c r="K30" s="92" t="str">
        <f>TEXT(DataAct_tbl[[#This Row],[DATE]],"MMM")</f>
        <v>Jan</v>
      </c>
      <c r="L30">
        <f>COUNTIF($H$6:H30,H30)</f>
        <v>1</v>
      </c>
      <c r="M30" s="68" t="str">
        <f>IF(AND(ISNA(VLOOKUP(DataAct_tbl[[#This Row],[BG CODE]],DataOB[Budget code],1,0)),DataAct_tbl[[#This Row],[Check Dub]]=1),"NEW","")</f>
        <v/>
      </c>
      <c r="N30" s="68" t="b">
        <f>AND(DataAct_tbl[[#This Row],[DATE]]&gt;=FirstDate,DataAct_tbl[[#This Row],[DATE]]&lt;=LastDate)</f>
        <v>1</v>
      </c>
    </row>
    <row r="31" spans="2:14" ht="14.4">
      <c r="B31" s="77">
        <v>45351</v>
      </c>
      <c r="C31" s="118" t="s">
        <v>285</v>
      </c>
      <c r="D31" s="68" t="s">
        <v>286</v>
      </c>
      <c r="E31" s="131"/>
      <c r="F31" s="132"/>
      <c r="G31" s="140">
        <v>6.39832</v>
      </c>
      <c r="H31" s="72" t="s">
        <v>346</v>
      </c>
      <c r="I31" s="72" t="s">
        <v>62</v>
      </c>
      <c r="J31" s="72">
        <v>8111</v>
      </c>
      <c r="K31" s="92" t="str">
        <f>TEXT(DataAct_tbl[[#This Row],[DATE]],"MMM")</f>
        <v>Feb</v>
      </c>
      <c r="L31">
        <f>COUNTIF($H$6:H31,H31)</f>
        <v>1</v>
      </c>
      <c r="M31" s="68" t="str">
        <f>IF(AND(ISNA(VLOOKUP(DataAct_tbl[[#This Row],[BG CODE]],DataOB[Budget code],1,0)),DataAct_tbl[[#This Row],[Check Dub]]=1),"NEW","")</f>
        <v/>
      </c>
      <c r="N31" s="68" t="b">
        <f>AND(DataAct_tbl[[#This Row],[DATE]]&gt;=FirstDate,DataAct_tbl[[#This Row],[DATE]]&lt;=LastDate)</f>
        <v>1</v>
      </c>
    </row>
    <row r="32" spans="2:14" ht="14.4">
      <c r="B32" s="77">
        <v>45351</v>
      </c>
      <c r="C32" s="118" t="s">
        <v>285</v>
      </c>
      <c r="D32" s="68" t="s">
        <v>287</v>
      </c>
      <c r="E32" s="131"/>
      <c r="F32" s="132"/>
      <c r="G32" s="140">
        <v>36.443489999999997</v>
      </c>
      <c r="H32" s="72" t="s">
        <v>346</v>
      </c>
      <c r="I32" s="72" t="s">
        <v>62</v>
      </c>
      <c r="J32" s="72">
        <v>8111</v>
      </c>
      <c r="K32" s="92" t="str">
        <f>TEXT(DataAct_tbl[[#This Row],[DATE]],"MMM")</f>
        <v>Feb</v>
      </c>
      <c r="L32">
        <f>COUNTIF($H$6:H32,H32)</f>
        <v>2</v>
      </c>
      <c r="M32" s="68" t="str">
        <f>IF(AND(ISNA(VLOOKUP(DataAct_tbl[[#This Row],[BG CODE]],DataOB[Budget code],1,0)),DataAct_tbl[[#This Row],[Check Dub]]=1),"NEW","")</f>
        <v/>
      </c>
      <c r="N32" s="68" t="b">
        <f>AND(DataAct_tbl[[#This Row],[DATE]]&gt;=FirstDate,DataAct_tbl[[#This Row],[DATE]]&lt;=LastDate)</f>
        <v>1</v>
      </c>
    </row>
    <row r="33" spans="2:14" ht="14.4">
      <c r="B33" s="77">
        <v>45351</v>
      </c>
      <c r="C33" s="118" t="s">
        <v>285</v>
      </c>
      <c r="D33" s="68" t="s">
        <v>288</v>
      </c>
      <c r="E33" s="131"/>
      <c r="F33" s="132"/>
      <c r="G33" s="140">
        <v>1.61642</v>
      </c>
      <c r="H33" s="72" t="s">
        <v>346</v>
      </c>
      <c r="I33" s="72" t="s">
        <v>62</v>
      </c>
      <c r="J33" s="72">
        <v>8111</v>
      </c>
      <c r="K33" s="92" t="str">
        <f>TEXT(DataAct_tbl[[#This Row],[DATE]],"MMM")</f>
        <v>Feb</v>
      </c>
      <c r="L33">
        <f>COUNTIF($H$6:H33,H33)</f>
        <v>3</v>
      </c>
      <c r="M33" s="68" t="str">
        <f>IF(AND(ISNA(VLOOKUP(DataAct_tbl[[#This Row],[BG CODE]],DataOB[Budget code],1,0)),DataAct_tbl[[#This Row],[Check Dub]]=1),"NEW","")</f>
        <v/>
      </c>
      <c r="N33" s="68" t="b">
        <f>AND(DataAct_tbl[[#This Row],[DATE]]&gt;=FirstDate,DataAct_tbl[[#This Row],[DATE]]&lt;=LastDate)</f>
        <v>1</v>
      </c>
    </row>
    <row r="34" spans="2:14" ht="14.4">
      <c r="B34" s="77">
        <v>45351</v>
      </c>
      <c r="C34" s="118" t="s">
        <v>285</v>
      </c>
      <c r="D34" s="68" t="s">
        <v>289</v>
      </c>
      <c r="E34" s="131"/>
      <c r="F34" s="132"/>
      <c r="G34" s="140">
        <v>21.552250000000001</v>
      </c>
      <c r="H34" s="72" t="s">
        <v>346</v>
      </c>
      <c r="I34" s="72" t="s">
        <v>62</v>
      </c>
      <c r="J34" s="72">
        <v>8111</v>
      </c>
      <c r="K34" s="92" t="str">
        <f>TEXT(DataAct_tbl[[#This Row],[DATE]],"MMM")</f>
        <v>Feb</v>
      </c>
      <c r="L34">
        <f>COUNTIF($H$6:H34,H34)</f>
        <v>4</v>
      </c>
      <c r="M34" s="68" t="str">
        <f>IF(AND(ISNA(VLOOKUP(DataAct_tbl[[#This Row],[BG CODE]],DataOB[Budget code],1,0)),DataAct_tbl[[#This Row],[Check Dub]]=1),"NEW","")</f>
        <v/>
      </c>
      <c r="N34" s="68" t="b">
        <f>AND(DataAct_tbl[[#This Row],[DATE]]&gt;=FirstDate,DataAct_tbl[[#This Row],[DATE]]&lt;=LastDate)</f>
        <v>1</v>
      </c>
    </row>
    <row r="35" spans="2:14" ht="14.4">
      <c r="B35" s="77">
        <v>45351</v>
      </c>
      <c r="C35" s="118" t="s">
        <v>285</v>
      </c>
      <c r="D35" s="68" t="s">
        <v>290</v>
      </c>
      <c r="E35" s="131"/>
      <c r="F35" s="132"/>
      <c r="G35" s="140">
        <v>51.489640000000001</v>
      </c>
      <c r="H35" s="72" t="s">
        <v>346</v>
      </c>
      <c r="I35" s="72" t="s">
        <v>62</v>
      </c>
      <c r="J35" s="72">
        <v>8111</v>
      </c>
      <c r="K35" s="92" t="str">
        <f>TEXT(DataAct_tbl[[#This Row],[DATE]],"MMM")</f>
        <v>Feb</v>
      </c>
      <c r="L35">
        <f>COUNTIF($H$6:H35,H35)</f>
        <v>5</v>
      </c>
      <c r="M35" s="68" t="str">
        <f>IF(AND(ISNA(VLOOKUP(DataAct_tbl[[#This Row],[BG CODE]],DataOB[Budget code],1,0)),DataAct_tbl[[#This Row],[Check Dub]]=1),"NEW","")</f>
        <v/>
      </c>
      <c r="N35" s="68" t="b">
        <f>AND(DataAct_tbl[[#This Row],[DATE]]&gt;=FirstDate,DataAct_tbl[[#This Row],[DATE]]&lt;=LastDate)</f>
        <v>1</v>
      </c>
    </row>
    <row r="36" spans="2:14" ht="14.4">
      <c r="B36" s="77">
        <v>45351</v>
      </c>
      <c r="C36" s="118" t="s">
        <v>291</v>
      </c>
      <c r="D36" s="68" t="s">
        <v>292</v>
      </c>
      <c r="E36" s="131"/>
      <c r="F36" s="132"/>
      <c r="G36" s="140">
        <v>39.250430000000001</v>
      </c>
      <c r="H36" s="72" t="s">
        <v>347</v>
      </c>
      <c r="I36" s="72" t="s">
        <v>62</v>
      </c>
      <c r="J36" s="72">
        <v>8111</v>
      </c>
      <c r="K36" s="92" t="str">
        <f>TEXT(DataAct_tbl[[#This Row],[DATE]],"MMM")</f>
        <v>Feb</v>
      </c>
      <c r="L36">
        <f>COUNTIF($H$6:H36,H36)</f>
        <v>1</v>
      </c>
      <c r="M36" s="68" t="str">
        <f>IF(AND(ISNA(VLOOKUP(DataAct_tbl[[#This Row],[BG CODE]],DataOB[Budget code],1,0)),DataAct_tbl[[#This Row],[Check Dub]]=1),"NEW","")</f>
        <v/>
      </c>
      <c r="N36" s="68" t="b">
        <f>AND(DataAct_tbl[[#This Row],[DATE]]&gt;=FirstDate,DataAct_tbl[[#This Row],[DATE]]&lt;=LastDate)</f>
        <v>1</v>
      </c>
    </row>
    <row r="37" spans="2:14" ht="14.4">
      <c r="B37" s="77">
        <v>45351</v>
      </c>
      <c r="C37" s="118" t="s">
        <v>291</v>
      </c>
      <c r="D37" s="68" t="s">
        <v>293</v>
      </c>
      <c r="E37" s="131"/>
      <c r="F37" s="132"/>
      <c r="G37" s="140">
        <v>7.8581499999999993</v>
      </c>
      <c r="H37" s="72" t="s">
        <v>347</v>
      </c>
      <c r="I37" s="72" t="s">
        <v>62</v>
      </c>
      <c r="J37" s="72">
        <v>8111</v>
      </c>
      <c r="K37" s="92" t="str">
        <f>TEXT(DataAct_tbl[[#This Row],[DATE]],"MMM")</f>
        <v>Feb</v>
      </c>
      <c r="L37">
        <f>COUNTIF($H$6:H37,H37)</f>
        <v>2</v>
      </c>
      <c r="M37" s="68" t="str">
        <f>IF(AND(ISNA(VLOOKUP(DataAct_tbl[[#This Row],[BG CODE]],DataOB[Budget code],1,0)),DataAct_tbl[[#This Row],[Check Dub]]=1),"NEW","")</f>
        <v/>
      </c>
      <c r="N37" s="68" t="b">
        <f>AND(DataAct_tbl[[#This Row],[DATE]]&gt;=FirstDate,DataAct_tbl[[#This Row],[DATE]]&lt;=LastDate)</f>
        <v>1</v>
      </c>
    </row>
    <row r="38" spans="2:14" ht="14.4">
      <c r="B38" s="77">
        <v>45351</v>
      </c>
      <c r="C38" s="118" t="s">
        <v>291</v>
      </c>
      <c r="D38" s="68" t="s">
        <v>294</v>
      </c>
      <c r="E38" s="131"/>
      <c r="F38" s="132"/>
      <c r="G38" s="140">
        <v>3.3140000000000001</v>
      </c>
      <c r="H38" s="72" t="s">
        <v>347</v>
      </c>
      <c r="I38" s="72" t="s">
        <v>62</v>
      </c>
      <c r="J38" s="72">
        <v>8111</v>
      </c>
      <c r="K38" s="92" t="str">
        <f>TEXT(DataAct_tbl[[#This Row],[DATE]],"MMM")</f>
        <v>Feb</v>
      </c>
      <c r="L38">
        <f>COUNTIF($H$6:H38,H38)</f>
        <v>3</v>
      </c>
      <c r="M38" s="68" t="str">
        <f>IF(AND(ISNA(VLOOKUP(DataAct_tbl[[#This Row],[BG CODE]],DataOB[Budget code],1,0)),DataAct_tbl[[#This Row],[Check Dub]]=1),"NEW","")</f>
        <v/>
      </c>
      <c r="N38" s="68" t="b">
        <f>AND(DataAct_tbl[[#This Row],[DATE]]&gt;=FirstDate,DataAct_tbl[[#This Row],[DATE]]&lt;=LastDate)</f>
        <v>1</v>
      </c>
    </row>
    <row r="39" spans="2:14" ht="14.4">
      <c r="B39" s="77">
        <v>45351</v>
      </c>
      <c r="C39" s="118" t="s">
        <v>291</v>
      </c>
      <c r="D39" s="68" t="s">
        <v>295</v>
      </c>
      <c r="E39" s="131"/>
      <c r="F39" s="132"/>
      <c r="G39" s="140">
        <v>22.85519</v>
      </c>
      <c r="H39" s="72" t="s">
        <v>347</v>
      </c>
      <c r="I39" s="72" t="s">
        <v>62</v>
      </c>
      <c r="J39" s="72">
        <v>8111</v>
      </c>
      <c r="K39" s="92" t="str">
        <f>TEXT(DataAct_tbl[[#This Row],[DATE]],"MMM")</f>
        <v>Feb</v>
      </c>
      <c r="L39">
        <f>COUNTIF($H$6:H39,H39)</f>
        <v>4</v>
      </c>
      <c r="M39" s="68" t="str">
        <f>IF(AND(ISNA(VLOOKUP(DataAct_tbl[[#This Row],[BG CODE]],DataOB[Budget code],1,0)),DataAct_tbl[[#This Row],[Check Dub]]=1),"NEW","")</f>
        <v/>
      </c>
      <c r="N39" s="68" t="b">
        <f>AND(DataAct_tbl[[#This Row],[DATE]]&gt;=FirstDate,DataAct_tbl[[#This Row],[DATE]]&lt;=LastDate)</f>
        <v>1</v>
      </c>
    </row>
    <row r="40" spans="2:14" ht="14.4">
      <c r="B40" s="77">
        <v>45351</v>
      </c>
      <c r="C40" s="118" t="s">
        <v>291</v>
      </c>
      <c r="D40" s="68" t="s">
        <v>296</v>
      </c>
      <c r="E40" s="131"/>
      <c r="F40" s="132"/>
      <c r="G40" s="140">
        <v>52.298050000000003</v>
      </c>
      <c r="H40" s="72" t="s">
        <v>347</v>
      </c>
      <c r="I40" s="72" t="s">
        <v>62</v>
      </c>
      <c r="J40" s="72">
        <v>8111</v>
      </c>
      <c r="K40" s="92" t="str">
        <f>TEXT(DataAct_tbl[[#This Row],[DATE]],"MMM")</f>
        <v>Feb</v>
      </c>
      <c r="L40">
        <f>COUNTIF($H$6:H40,H40)</f>
        <v>5</v>
      </c>
      <c r="M40" s="68" t="str">
        <f>IF(AND(ISNA(VLOOKUP(DataAct_tbl[[#This Row],[BG CODE]],DataOB[Budget code],1,0)),DataAct_tbl[[#This Row],[Check Dub]]=1),"NEW","")</f>
        <v/>
      </c>
      <c r="N40" s="68" t="b">
        <f>AND(DataAct_tbl[[#This Row],[DATE]]&gt;=FirstDate,DataAct_tbl[[#This Row],[DATE]]&lt;=LastDate)</f>
        <v>1</v>
      </c>
    </row>
    <row r="41" spans="2:14" ht="14.4">
      <c r="B41" s="77">
        <v>45351</v>
      </c>
      <c r="C41" s="118" t="s">
        <v>297</v>
      </c>
      <c r="D41" s="68" t="s">
        <v>298</v>
      </c>
      <c r="E41" s="131"/>
      <c r="F41" s="132"/>
      <c r="G41" s="140">
        <v>37.967370000000003</v>
      </c>
      <c r="H41" s="72" t="s">
        <v>348</v>
      </c>
      <c r="I41" s="72" t="s">
        <v>62</v>
      </c>
      <c r="J41" s="72">
        <v>8111</v>
      </c>
      <c r="K41" s="92" t="str">
        <f>TEXT(DataAct_tbl[[#This Row],[DATE]],"MMM")</f>
        <v>Feb</v>
      </c>
      <c r="L41">
        <f>COUNTIF($H$6:H41,H41)</f>
        <v>1</v>
      </c>
      <c r="M41" s="68" t="str">
        <f>IF(AND(ISNA(VLOOKUP(DataAct_tbl[[#This Row],[BG CODE]],DataOB[Budget code],1,0)),DataAct_tbl[[#This Row],[Check Dub]]=1),"NEW","")</f>
        <v/>
      </c>
      <c r="N41" s="68" t="b">
        <f>AND(DataAct_tbl[[#This Row],[DATE]]&gt;=FirstDate,DataAct_tbl[[#This Row],[DATE]]&lt;=LastDate)</f>
        <v>1</v>
      </c>
    </row>
    <row r="42" spans="2:14" ht="14.4">
      <c r="B42" s="77">
        <v>45351</v>
      </c>
      <c r="C42" s="118" t="s">
        <v>297</v>
      </c>
      <c r="D42" s="68" t="s">
        <v>299</v>
      </c>
      <c r="E42" s="131"/>
      <c r="F42" s="132"/>
      <c r="G42" s="140">
        <v>6.5971700000000002</v>
      </c>
      <c r="H42" s="72" t="s">
        <v>348</v>
      </c>
      <c r="I42" s="72" t="s">
        <v>62</v>
      </c>
      <c r="J42" s="72">
        <v>8111</v>
      </c>
      <c r="K42" s="92" t="str">
        <f>TEXT(DataAct_tbl[[#This Row],[DATE]],"MMM")</f>
        <v>Feb</v>
      </c>
      <c r="L42">
        <f>COUNTIF($H$6:H42,H42)</f>
        <v>2</v>
      </c>
      <c r="M42" s="68" t="str">
        <f>IF(AND(ISNA(VLOOKUP(DataAct_tbl[[#This Row],[BG CODE]],DataOB[Budget code],1,0)),DataAct_tbl[[#This Row],[Check Dub]]=1),"NEW","")</f>
        <v/>
      </c>
      <c r="N42" s="68" t="b">
        <f>AND(DataAct_tbl[[#This Row],[DATE]]&gt;=FirstDate,DataAct_tbl[[#This Row],[DATE]]&lt;=LastDate)</f>
        <v>1</v>
      </c>
    </row>
    <row r="43" spans="2:14" ht="14.4">
      <c r="B43" s="77">
        <v>45351</v>
      </c>
      <c r="C43" s="118" t="s">
        <v>297</v>
      </c>
      <c r="D43" s="68" t="s">
        <v>300</v>
      </c>
      <c r="E43" s="131"/>
      <c r="F43" s="132"/>
      <c r="G43" s="140">
        <v>3.36591</v>
      </c>
      <c r="H43" s="72" t="s">
        <v>348</v>
      </c>
      <c r="I43" s="72" t="s">
        <v>62</v>
      </c>
      <c r="J43" s="72">
        <v>8111</v>
      </c>
      <c r="K43" s="92" t="str">
        <f>TEXT(DataAct_tbl[[#This Row],[DATE]],"MMM")</f>
        <v>Feb</v>
      </c>
      <c r="L43">
        <f>COUNTIF($H$6:H43,H43)</f>
        <v>3</v>
      </c>
      <c r="M43" s="68" t="str">
        <f>IF(AND(ISNA(VLOOKUP(DataAct_tbl[[#This Row],[BG CODE]],DataOB[Budget code],1,0)),DataAct_tbl[[#This Row],[Check Dub]]=1),"NEW","")</f>
        <v/>
      </c>
      <c r="N43" s="68" t="b">
        <f>AND(DataAct_tbl[[#This Row],[DATE]]&gt;=FirstDate,DataAct_tbl[[#This Row],[DATE]]&lt;=LastDate)</f>
        <v>1</v>
      </c>
    </row>
    <row r="44" spans="2:14" ht="14.4">
      <c r="B44" s="77">
        <v>45351</v>
      </c>
      <c r="C44" s="118" t="s">
        <v>297</v>
      </c>
      <c r="D44" s="68" t="s">
        <v>301</v>
      </c>
      <c r="E44" s="131"/>
      <c r="F44" s="132"/>
      <c r="G44" s="140">
        <v>26.927220000000002</v>
      </c>
      <c r="H44" s="72" t="s">
        <v>348</v>
      </c>
      <c r="I44" s="72" t="s">
        <v>62</v>
      </c>
      <c r="J44" s="72">
        <v>8111</v>
      </c>
      <c r="K44" s="92" t="str">
        <f>TEXT(DataAct_tbl[[#This Row],[DATE]],"MMM")</f>
        <v>Feb</v>
      </c>
      <c r="L44">
        <f>COUNTIF($H$6:H44,H44)</f>
        <v>4</v>
      </c>
      <c r="M44" s="68" t="str">
        <f>IF(AND(ISNA(VLOOKUP(DataAct_tbl[[#This Row],[BG CODE]],DataOB[Budget code],1,0)),DataAct_tbl[[#This Row],[Check Dub]]=1),"NEW","")</f>
        <v/>
      </c>
      <c r="N44" s="68" t="b">
        <f>AND(DataAct_tbl[[#This Row],[DATE]]&gt;=FirstDate,DataAct_tbl[[#This Row],[DATE]]&lt;=LastDate)</f>
        <v>1</v>
      </c>
    </row>
    <row r="45" spans="2:14" ht="14.4">
      <c r="B45" s="77">
        <v>45351</v>
      </c>
      <c r="C45" s="118" t="s">
        <v>297</v>
      </c>
      <c r="D45" s="68" t="s">
        <v>302</v>
      </c>
      <c r="E45" s="131"/>
      <c r="F45" s="132"/>
      <c r="G45" s="140">
        <v>80.781630000000007</v>
      </c>
      <c r="H45" s="72" t="s">
        <v>348</v>
      </c>
      <c r="I45" s="72" t="s">
        <v>62</v>
      </c>
      <c r="J45" s="72">
        <v>8111</v>
      </c>
      <c r="K45" s="92" t="str">
        <f>TEXT(DataAct_tbl[[#This Row],[DATE]],"MMM")</f>
        <v>Feb</v>
      </c>
      <c r="L45">
        <f>COUNTIF($H$6:H45,H45)</f>
        <v>5</v>
      </c>
      <c r="M45" s="68" t="str">
        <f>IF(AND(ISNA(VLOOKUP(DataAct_tbl[[#This Row],[BG CODE]],DataOB[Budget code],1,0)),DataAct_tbl[[#This Row],[Check Dub]]=1),"NEW","")</f>
        <v/>
      </c>
      <c r="N45" s="68" t="b">
        <f>AND(DataAct_tbl[[#This Row],[DATE]]&gt;=FirstDate,DataAct_tbl[[#This Row],[DATE]]&lt;=LastDate)</f>
        <v>1</v>
      </c>
    </row>
    <row r="46" spans="2:14" ht="14.4">
      <c r="B46" s="77">
        <v>45351</v>
      </c>
      <c r="C46" s="118" t="s">
        <v>303</v>
      </c>
      <c r="D46" s="68" t="s">
        <v>304</v>
      </c>
      <c r="E46" s="131"/>
      <c r="F46" s="132"/>
      <c r="G46" s="140">
        <v>219.19192000000001</v>
      </c>
      <c r="H46" s="72" t="s">
        <v>110</v>
      </c>
      <c r="I46" s="72" t="s">
        <v>62</v>
      </c>
      <c r="J46" s="72">
        <v>8311</v>
      </c>
      <c r="K46" s="92" t="str">
        <f>TEXT(DataAct_tbl[[#This Row],[DATE]],"MMM")</f>
        <v>Feb</v>
      </c>
      <c r="L46">
        <f>COUNTIF($H$6:H46,H46)</f>
        <v>2</v>
      </c>
      <c r="M46" s="68" t="str">
        <f>IF(AND(ISNA(VLOOKUP(DataAct_tbl[[#This Row],[BG CODE]],DataOB[Budget code],1,0)),DataAct_tbl[[#This Row],[Check Dub]]=1),"NEW","")</f>
        <v/>
      </c>
      <c r="N46" s="68" t="b">
        <f>AND(DataAct_tbl[[#This Row],[DATE]]&gt;=FirstDate,DataAct_tbl[[#This Row],[DATE]]&lt;=LastDate)</f>
        <v>1</v>
      </c>
    </row>
    <row r="47" spans="2:14" ht="14.4">
      <c r="B47" s="77">
        <v>45351</v>
      </c>
      <c r="C47" s="118" t="s">
        <v>305</v>
      </c>
      <c r="D47" s="68" t="s">
        <v>306</v>
      </c>
      <c r="E47" s="131"/>
      <c r="F47" s="132"/>
      <c r="G47" s="140">
        <v>12.57</v>
      </c>
      <c r="H47" s="72" t="s">
        <v>100</v>
      </c>
      <c r="I47" s="72" t="s">
        <v>62</v>
      </c>
      <c r="J47" s="72">
        <v>8111</v>
      </c>
      <c r="K47" s="92" t="str">
        <f>TEXT(DataAct_tbl[[#This Row],[DATE]],"MMM")</f>
        <v>Feb</v>
      </c>
      <c r="L47">
        <f>COUNTIF($H$6:H47,H47)</f>
        <v>7</v>
      </c>
      <c r="M47" s="68" t="str">
        <f>IF(AND(ISNA(VLOOKUP(DataAct_tbl[[#This Row],[BG CODE]],DataOB[Budget code],1,0)),DataAct_tbl[[#This Row],[Check Dub]]=1),"NEW","")</f>
        <v/>
      </c>
      <c r="N47" s="68" t="b">
        <f>AND(DataAct_tbl[[#This Row],[DATE]]&gt;=FirstDate,DataAct_tbl[[#This Row],[DATE]]&lt;=LastDate)</f>
        <v>1</v>
      </c>
    </row>
    <row r="48" spans="2:14" ht="14.4">
      <c r="B48" s="77">
        <v>45351</v>
      </c>
      <c r="C48" s="118" t="s">
        <v>305</v>
      </c>
      <c r="D48" s="68" t="s">
        <v>307</v>
      </c>
      <c r="E48" s="131"/>
      <c r="F48" s="132"/>
      <c r="G48" s="140">
        <v>15.803000000000001</v>
      </c>
      <c r="H48" s="72" t="s">
        <v>100</v>
      </c>
      <c r="I48" s="72" t="s">
        <v>62</v>
      </c>
      <c r="J48" s="72">
        <v>8111</v>
      </c>
      <c r="K48" s="92" t="str">
        <f>TEXT(DataAct_tbl[[#This Row],[DATE]],"MMM")</f>
        <v>Feb</v>
      </c>
      <c r="L48">
        <f>COUNTIF($H$6:H48,H48)</f>
        <v>8</v>
      </c>
      <c r="M48" s="68" t="str">
        <f>IF(AND(ISNA(VLOOKUP(DataAct_tbl[[#This Row],[BG CODE]],DataOB[Budget code],1,0)),DataAct_tbl[[#This Row],[Check Dub]]=1),"NEW","")</f>
        <v/>
      </c>
      <c r="N48" s="68" t="b">
        <f>AND(DataAct_tbl[[#This Row],[DATE]]&gt;=FirstDate,DataAct_tbl[[#This Row],[DATE]]&lt;=LastDate)</f>
        <v>1</v>
      </c>
    </row>
    <row r="49" spans="2:14" ht="14.4">
      <c r="B49" s="77">
        <v>45351</v>
      </c>
      <c r="C49" s="118" t="s">
        <v>308</v>
      </c>
      <c r="D49" s="68" t="s">
        <v>309</v>
      </c>
      <c r="E49" s="131"/>
      <c r="F49" s="132"/>
      <c r="G49" s="140">
        <v>7.8840000000000007E-2</v>
      </c>
      <c r="H49" s="72" t="s">
        <v>100</v>
      </c>
      <c r="I49" s="72" t="s">
        <v>61</v>
      </c>
      <c r="J49" s="72">
        <v>8111</v>
      </c>
      <c r="K49" s="92" t="str">
        <f>TEXT(DataAct_tbl[[#This Row],[DATE]],"MMM")</f>
        <v>Feb</v>
      </c>
      <c r="L49">
        <f>COUNTIF($H$6:H49,H49)</f>
        <v>9</v>
      </c>
      <c r="M49" s="68" t="str">
        <f>IF(AND(ISNA(VLOOKUP(DataAct_tbl[[#This Row],[BG CODE]],DataOB[Budget code],1,0)),DataAct_tbl[[#This Row],[Check Dub]]=1),"NEW","")</f>
        <v/>
      </c>
      <c r="N49" s="68" t="b">
        <f>AND(DataAct_tbl[[#This Row],[DATE]]&gt;=FirstDate,DataAct_tbl[[#This Row],[DATE]]&lt;=LastDate)</f>
        <v>1</v>
      </c>
    </row>
    <row r="50" spans="2:14" ht="14.4">
      <c r="B50" s="77">
        <v>45351</v>
      </c>
      <c r="C50" s="118" t="s">
        <v>308</v>
      </c>
      <c r="D50" s="68" t="s">
        <v>310</v>
      </c>
      <c r="E50" s="131"/>
      <c r="F50" s="132"/>
      <c r="G50" s="140">
        <v>9.912E-2</v>
      </c>
      <c r="H50" s="72" t="s">
        <v>100</v>
      </c>
      <c r="I50" s="72" t="s">
        <v>61</v>
      </c>
      <c r="J50" s="72">
        <v>8111</v>
      </c>
      <c r="K50" s="92" t="str">
        <f>TEXT(DataAct_tbl[[#This Row],[DATE]],"MMM")</f>
        <v>Feb</v>
      </c>
      <c r="L50">
        <f>COUNTIF($H$6:H50,H50)</f>
        <v>10</v>
      </c>
      <c r="M50" s="68" t="str">
        <f>IF(AND(ISNA(VLOOKUP(DataAct_tbl[[#This Row],[BG CODE]],DataOB[Budget code],1,0)),DataAct_tbl[[#This Row],[Check Dub]]=1),"NEW","")</f>
        <v/>
      </c>
      <c r="N50" s="68" t="b">
        <f>AND(DataAct_tbl[[#This Row],[DATE]]&gt;=FirstDate,DataAct_tbl[[#This Row],[DATE]]&lt;=LastDate)</f>
        <v>1</v>
      </c>
    </row>
    <row r="51" spans="2:14" ht="14.4">
      <c r="B51" s="77">
        <v>45351</v>
      </c>
      <c r="C51" s="118" t="s">
        <v>308</v>
      </c>
      <c r="D51" s="68" t="s">
        <v>309</v>
      </c>
      <c r="E51" s="131"/>
      <c r="F51" s="132"/>
      <c r="G51" s="140">
        <v>5.6999999999999998E-4</v>
      </c>
      <c r="H51" s="72" t="s">
        <v>100</v>
      </c>
      <c r="I51" s="72" t="s">
        <v>61</v>
      </c>
      <c r="J51" s="72">
        <v>8111</v>
      </c>
      <c r="K51" s="92" t="str">
        <f>TEXT(DataAct_tbl[[#This Row],[DATE]],"MMM")</f>
        <v>Feb</v>
      </c>
      <c r="L51">
        <f>COUNTIF($H$6:H51,H51)</f>
        <v>11</v>
      </c>
      <c r="M51" s="68" t="str">
        <f>IF(AND(ISNA(VLOOKUP(DataAct_tbl[[#This Row],[BG CODE]],DataOB[Budget code],1,0)),DataAct_tbl[[#This Row],[Check Dub]]=1),"NEW","")</f>
        <v/>
      </c>
      <c r="N51" s="68" t="b">
        <f>AND(DataAct_tbl[[#This Row],[DATE]]&gt;=FirstDate,DataAct_tbl[[#This Row],[DATE]]&lt;=LastDate)</f>
        <v>1</v>
      </c>
    </row>
    <row r="52" spans="2:14" ht="14.4">
      <c r="B52" s="77">
        <v>45351</v>
      </c>
      <c r="C52" s="118" t="s">
        <v>308</v>
      </c>
      <c r="D52" s="68" t="s">
        <v>310</v>
      </c>
      <c r="E52" s="131"/>
      <c r="F52" s="132"/>
      <c r="G52" s="140">
        <v>7.1999999999999994E-4</v>
      </c>
      <c r="H52" s="72" t="s">
        <v>100</v>
      </c>
      <c r="I52" s="72" t="s">
        <v>61</v>
      </c>
      <c r="J52" s="72">
        <v>8111</v>
      </c>
      <c r="K52" s="92" t="str">
        <f>TEXT(DataAct_tbl[[#This Row],[DATE]],"MMM")</f>
        <v>Feb</v>
      </c>
      <c r="L52">
        <f>COUNTIF($H$6:H52,H52)</f>
        <v>12</v>
      </c>
      <c r="M52" s="68" t="str">
        <f>IF(AND(ISNA(VLOOKUP(DataAct_tbl[[#This Row],[BG CODE]],DataOB[Budget code],1,0)),DataAct_tbl[[#This Row],[Check Dub]]=1),"NEW","")</f>
        <v/>
      </c>
      <c r="N52" s="68" t="b">
        <f>AND(DataAct_tbl[[#This Row],[DATE]]&gt;=FirstDate,DataAct_tbl[[#This Row],[DATE]]&lt;=LastDate)</f>
        <v>1</v>
      </c>
    </row>
    <row r="53" spans="2:14" ht="14.4">
      <c r="B53" s="77">
        <v>45351</v>
      </c>
      <c r="C53" s="118" t="s">
        <v>311</v>
      </c>
      <c r="D53" s="68" t="s">
        <v>312</v>
      </c>
      <c r="E53" s="131"/>
      <c r="F53" s="132"/>
      <c r="G53" s="140">
        <v>12.596</v>
      </c>
      <c r="H53" s="72" t="s">
        <v>100</v>
      </c>
      <c r="I53" s="72" t="s">
        <v>62</v>
      </c>
      <c r="J53" s="72">
        <v>8111</v>
      </c>
      <c r="K53" s="92" t="str">
        <f>TEXT(DataAct_tbl[[#This Row],[DATE]],"MMM")</f>
        <v>Feb</v>
      </c>
      <c r="L53">
        <f>COUNTIF($H$6:H53,H53)</f>
        <v>13</v>
      </c>
      <c r="M53" s="68" t="str">
        <f>IF(AND(ISNA(VLOOKUP(DataAct_tbl[[#This Row],[BG CODE]],DataOB[Budget code],1,0)),DataAct_tbl[[#This Row],[Check Dub]]=1),"NEW","")</f>
        <v/>
      </c>
      <c r="N53" s="68" t="b">
        <f>AND(DataAct_tbl[[#This Row],[DATE]]&gt;=FirstDate,DataAct_tbl[[#This Row],[DATE]]&lt;=LastDate)</f>
        <v>1</v>
      </c>
    </row>
    <row r="54" spans="2:14" ht="14.4">
      <c r="B54" s="77">
        <v>45351</v>
      </c>
      <c r="C54" s="118" t="s">
        <v>311</v>
      </c>
      <c r="D54" s="68" t="s">
        <v>313</v>
      </c>
      <c r="E54" s="131"/>
      <c r="F54" s="132"/>
      <c r="G54" s="140">
        <v>12.596</v>
      </c>
      <c r="H54" s="72" t="s">
        <v>100</v>
      </c>
      <c r="I54" s="72" t="s">
        <v>62</v>
      </c>
      <c r="J54" s="72">
        <v>8111</v>
      </c>
      <c r="K54" s="92" t="str">
        <f>TEXT(DataAct_tbl[[#This Row],[DATE]],"MMM")</f>
        <v>Feb</v>
      </c>
      <c r="L54">
        <f>COUNTIF($H$6:H54,H54)</f>
        <v>14</v>
      </c>
      <c r="M54" s="68" t="str">
        <f>IF(AND(ISNA(VLOOKUP(DataAct_tbl[[#This Row],[BG CODE]],DataOB[Budget code],1,0)),DataAct_tbl[[#This Row],[Check Dub]]=1),"NEW","")</f>
        <v/>
      </c>
      <c r="N54" s="68" t="b">
        <f>AND(DataAct_tbl[[#This Row],[DATE]]&gt;=FirstDate,DataAct_tbl[[#This Row],[DATE]]&lt;=LastDate)</f>
        <v>1</v>
      </c>
    </row>
    <row r="55" spans="2:14" ht="14.4">
      <c r="B55" s="77">
        <v>45351</v>
      </c>
      <c r="C55" s="118" t="s">
        <v>308</v>
      </c>
      <c r="D55" s="68" t="s">
        <v>314</v>
      </c>
      <c r="E55" s="131"/>
      <c r="F55" s="132"/>
      <c r="G55" s="140">
        <v>8.8980000000000004E-2</v>
      </c>
      <c r="H55" s="72" t="s">
        <v>100</v>
      </c>
      <c r="I55" s="72" t="s">
        <v>61</v>
      </c>
      <c r="J55" s="72">
        <v>8111</v>
      </c>
      <c r="K55" s="92" t="str">
        <f>TEXT(DataAct_tbl[[#This Row],[DATE]],"MMM")</f>
        <v>Feb</v>
      </c>
      <c r="L55">
        <f>COUNTIF($H$6:H55,H55)</f>
        <v>15</v>
      </c>
      <c r="M55" s="68" t="str">
        <f>IF(AND(ISNA(VLOOKUP(DataAct_tbl[[#This Row],[BG CODE]],DataOB[Budget code],1,0)),DataAct_tbl[[#This Row],[Check Dub]]=1),"NEW","")</f>
        <v/>
      </c>
      <c r="N55" s="68" t="b">
        <f>AND(DataAct_tbl[[#This Row],[DATE]]&gt;=FirstDate,DataAct_tbl[[#This Row],[DATE]]&lt;=LastDate)</f>
        <v>1</v>
      </c>
    </row>
    <row r="56" spans="2:14" ht="14.4">
      <c r="B56" s="77">
        <v>45351</v>
      </c>
      <c r="C56" s="118" t="s">
        <v>308</v>
      </c>
      <c r="D56" s="68" t="s">
        <v>315</v>
      </c>
      <c r="E56" s="131"/>
      <c r="F56" s="132"/>
      <c r="G56" s="140">
        <v>8.8980000000000004E-2</v>
      </c>
      <c r="H56" s="72" t="s">
        <v>100</v>
      </c>
      <c r="I56" s="72" t="s">
        <v>61</v>
      </c>
      <c r="J56" s="72">
        <v>8111</v>
      </c>
      <c r="K56" s="92" t="str">
        <f>TEXT(DataAct_tbl[[#This Row],[DATE]],"MMM")</f>
        <v>Feb</v>
      </c>
      <c r="L56">
        <f>COUNTIF($H$6:H56,H56)</f>
        <v>16</v>
      </c>
      <c r="M56" s="68" t="str">
        <f>IF(AND(ISNA(VLOOKUP(DataAct_tbl[[#This Row],[BG CODE]],DataOB[Budget code],1,0)),DataAct_tbl[[#This Row],[Check Dub]]=1),"NEW","")</f>
        <v/>
      </c>
      <c r="N56" s="68" t="b">
        <f>AND(DataAct_tbl[[#This Row],[DATE]]&gt;=FirstDate,DataAct_tbl[[#This Row],[DATE]]&lt;=LastDate)</f>
        <v>1</v>
      </c>
    </row>
    <row r="57" spans="2:14" ht="14.4">
      <c r="B57" s="77">
        <v>45351</v>
      </c>
      <c r="C57" s="118" t="s">
        <v>308</v>
      </c>
      <c r="D57" s="68" t="s">
        <v>314</v>
      </c>
      <c r="E57" s="131"/>
      <c r="F57" s="132"/>
      <c r="G57" s="140">
        <v>5.5000000000000003E-4</v>
      </c>
      <c r="H57" s="72" t="s">
        <v>100</v>
      </c>
      <c r="I57" s="72" t="s">
        <v>61</v>
      </c>
      <c r="J57" s="72">
        <v>8111</v>
      </c>
      <c r="K57" s="92" t="str">
        <f>TEXT(DataAct_tbl[[#This Row],[DATE]],"MMM")</f>
        <v>Feb</v>
      </c>
      <c r="L57">
        <f>COUNTIF($H$6:H57,H57)</f>
        <v>17</v>
      </c>
      <c r="M57" s="68" t="str">
        <f>IF(AND(ISNA(VLOOKUP(DataAct_tbl[[#This Row],[BG CODE]],DataOB[Budget code],1,0)),DataAct_tbl[[#This Row],[Check Dub]]=1),"NEW","")</f>
        <v/>
      </c>
      <c r="N57" s="68" t="b">
        <f>AND(DataAct_tbl[[#This Row],[DATE]]&gt;=FirstDate,DataAct_tbl[[#This Row],[DATE]]&lt;=LastDate)</f>
        <v>1</v>
      </c>
    </row>
    <row r="58" spans="2:14" ht="14.4">
      <c r="B58" s="77">
        <v>45351</v>
      </c>
      <c r="C58" s="118" t="s">
        <v>308</v>
      </c>
      <c r="D58" s="68" t="s">
        <v>315</v>
      </c>
      <c r="E58" s="131"/>
      <c r="F58" s="132"/>
      <c r="G58" s="140">
        <v>5.5000000000000003E-4</v>
      </c>
      <c r="H58" s="72" t="s">
        <v>100</v>
      </c>
      <c r="I58" s="72" t="s">
        <v>61</v>
      </c>
      <c r="J58" s="72">
        <v>8111</v>
      </c>
      <c r="K58" s="92" t="str">
        <f>TEXT(DataAct_tbl[[#This Row],[DATE]],"MMM")</f>
        <v>Feb</v>
      </c>
      <c r="L58">
        <f>COUNTIF($H$6:H58,H58)</f>
        <v>18</v>
      </c>
      <c r="M58" s="68" t="str">
        <f>IF(AND(ISNA(VLOOKUP(DataAct_tbl[[#This Row],[BG CODE]],DataOB[Budget code],1,0)),DataAct_tbl[[#This Row],[Check Dub]]=1),"NEW","")</f>
        <v/>
      </c>
      <c r="N58" s="68" t="b">
        <f>AND(DataAct_tbl[[#This Row],[DATE]]&gt;=FirstDate,DataAct_tbl[[#This Row],[DATE]]&lt;=LastDate)</f>
        <v>1</v>
      </c>
    </row>
    <row r="59" spans="2:14" ht="14.4">
      <c r="B59" s="77">
        <v>45351</v>
      </c>
      <c r="C59" s="118" t="s">
        <v>316</v>
      </c>
      <c r="D59" s="68" t="s">
        <v>317</v>
      </c>
      <c r="E59" s="131"/>
      <c r="F59" s="132"/>
      <c r="G59" s="140">
        <v>1.4588099999999999</v>
      </c>
      <c r="H59" s="72" t="s">
        <v>99</v>
      </c>
      <c r="I59" s="72" t="s">
        <v>62</v>
      </c>
      <c r="J59" s="72">
        <v>8111</v>
      </c>
      <c r="K59" s="92" t="str">
        <f>TEXT(DataAct_tbl[[#This Row],[DATE]],"MMM")</f>
        <v>Feb</v>
      </c>
      <c r="L59">
        <f>COUNTIF($H$6:H59,H59)</f>
        <v>11</v>
      </c>
      <c r="M59" s="68" t="str">
        <f>IF(AND(ISNA(VLOOKUP(DataAct_tbl[[#This Row],[BG CODE]],DataOB[Budget code],1,0)),DataAct_tbl[[#This Row],[Check Dub]]=1),"NEW","")</f>
        <v/>
      </c>
      <c r="N59" s="68" t="b">
        <f>AND(DataAct_tbl[[#This Row],[DATE]]&gt;=FirstDate,DataAct_tbl[[#This Row],[DATE]]&lt;=LastDate)</f>
        <v>1</v>
      </c>
    </row>
    <row r="60" spans="2:14" ht="14.4">
      <c r="B60" s="77">
        <v>45351</v>
      </c>
      <c r="C60" s="118" t="s">
        <v>316</v>
      </c>
      <c r="D60" s="68" t="s">
        <v>317</v>
      </c>
      <c r="E60" s="131"/>
      <c r="F60" s="132"/>
      <c r="G60" s="140">
        <v>1.4587999999999999</v>
      </c>
      <c r="H60" s="72" t="s">
        <v>99</v>
      </c>
      <c r="I60" s="72" t="s">
        <v>62</v>
      </c>
      <c r="J60" s="72">
        <v>8111</v>
      </c>
      <c r="K60" s="92" t="str">
        <f>TEXT(DataAct_tbl[[#This Row],[DATE]],"MMM")</f>
        <v>Feb</v>
      </c>
      <c r="L60">
        <f>COUNTIF($H$6:H60,H60)</f>
        <v>12</v>
      </c>
      <c r="M60" s="68" t="str">
        <f>IF(AND(ISNA(VLOOKUP(DataAct_tbl[[#This Row],[BG CODE]],DataOB[Budget code],1,0)),DataAct_tbl[[#This Row],[Check Dub]]=1),"NEW","")</f>
        <v/>
      </c>
      <c r="N60" s="68" t="b">
        <f>AND(DataAct_tbl[[#This Row],[DATE]]&gt;=FirstDate,DataAct_tbl[[#This Row],[DATE]]&lt;=LastDate)</f>
        <v>1</v>
      </c>
    </row>
    <row r="61" spans="2:14" ht="14.4">
      <c r="B61" s="77">
        <v>45351</v>
      </c>
      <c r="C61" s="118" t="s">
        <v>316</v>
      </c>
      <c r="D61" s="68" t="s">
        <v>318</v>
      </c>
      <c r="E61" s="131"/>
      <c r="F61" s="132"/>
      <c r="G61" s="140">
        <v>1.4587999999999999</v>
      </c>
      <c r="H61" s="72" t="s">
        <v>99</v>
      </c>
      <c r="I61" s="72" t="s">
        <v>62</v>
      </c>
      <c r="J61" s="72">
        <v>8111</v>
      </c>
      <c r="K61" s="92" t="str">
        <f>TEXT(DataAct_tbl[[#This Row],[DATE]],"MMM")</f>
        <v>Feb</v>
      </c>
      <c r="L61">
        <f>COUNTIF($H$6:H61,H61)</f>
        <v>13</v>
      </c>
      <c r="M61" s="68" t="str">
        <f>IF(AND(ISNA(VLOOKUP(DataAct_tbl[[#This Row],[BG CODE]],DataOB[Budget code],1,0)),DataAct_tbl[[#This Row],[Check Dub]]=1),"NEW","")</f>
        <v/>
      </c>
      <c r="N61" s="68" t="b">
        <f>AND(DataAct_tbl[[#This Row],[DATE]]&gt;=FirstDate,DataAct_tbl[[#This Row],[DATE]]&lt;=LastDate)</f>
        <v>1</v>
      </c>
    </row>
    <row r="62" spans="2:14" ht="14.4">
      <c r="B62" s="77">
        <v>45351</v>
      </c>
      <c r="C62" s="118" t="s">
        <v>316</v>
      </c>
      <c r="D62" s="68" t="s">
        <v>319</v>
      </c>
      <c r="E62" s="131"/>
      <c r="F62" s="132"/>
      <c r="G62" s="140">
        <v>1.4587999999999999</v>
      </c>
      <c r="H62" s="72" t="s">
        <v>99</v>
      </c>
      <c r="I62" s="72" t="s">
        <v>62</v>
      </c>
      <c r="J62" s="72">
        <v>8111</v>
      </c>
      <c r="K62" s="92" t="str">
        <f>TEXT(DataAct_tbl[[#This Row],[DATE]],"MMM")</f>
        <v>Feb</v>
      </c>
      <c r="L62">
        <f>COUNTIF($H$6:H62,H62)</f>
        <v>14</v>
      </c>
      <c r="M62" s="68" t="str">
        <f>IF(AND(ISNA(VLOOKUP(DataAct_tbl[[#This Row],[BG CODE]],DataOB[Budget code],1,0)),DataAct_tbl[[#This Row],[Check Dub]]=1),"NEW","")</f>
        <v/>
      </c>
      <c r="N62" s="68" t="b">
        <f>AND(DataAct_tbl[[#This Row],[DATE]]&gt;=FirstDate,DataAct_tbl[[#This Row],[DATE]]&lt;=LastDate)</f>
        <v>1</v>
      </c>
    </row>
    <row r="63" spans="2:14" ht="14.4">
      <c r="B63" s="77">
        <v>45351</v>
      </c>
      <c r="C63" s="118" t="s">
        <v>316</v>
      </c>
      <c r="D63" s="68" t="s">
        <v>320</v>
      </c>
      <c r="E63" s="131"/>
      <c r="F63" s="132"/>
      <c r="G63" s="140">
        <v>1.4587999999999999</v>
      </c>
      <c r="H63" s="72" t="s">
        <v>99</v>
      </c>
      <c r="I63" s="72" t="s">
        <v>62</v>
      </c>
      <c r="J63" s="72">
        <v>8111</v>
      </c>
      <c r="K63" s="92" t="str">
        <f>TEXT(DataAct_tbl[[#This Row],[DATE]],"MMM")</f>
        <v>Feb</v>
      </c>
      <c r="L63">
        <f>COUNTIF($H$6:H63,H63)</f>
        <v>15</v>
      </c>
      <c r="M63" s="68" t="str">
        <f>IF(AND(ISNA(VLOOKUP(DataAct_tbl[[#This Row],[BG CODE]],DataOB[Budget code],1,0)),DataAct_tbl[[#This Row],[Check Dub]]=1),"NEW","")</f>
        <v/>
      </c>
      <c r="N63" s="68" t="b">
        <f>AND(DataAct_tbl[[#This Row],[DATE]]&gt;=FirstDate,DataAct_tbl[[#This Row],[DATE]]&lt;=LastDate)</f>
        <v>1</v>
      </c>
    </row>
    <row r="64" spans="2:14" ht="14.4">
      <c r="B64" s="77">
        <v>45351</v>
      </c>
      <c r="C64" s="118" t="s">
        <v>321</v>
      </c>
      <c r="D64" s="68" t="s">
        <v>322</v>
      </c>
      <c r="E64" s="131"/>
      <c r="F64" s="132"/>
      <c r="G64" s="140">
        <v>1.111E-2</v>
      </c>
      <c r="H64" s="72" t="s">
        <v>99</v>
      </c>
      <c r="I64" s="72" t="s">
        <v>102</v>
      </c>
      <c r="J64" s="72">
        <v>8111</v>
      </c>
      <c r="K64" s="92" t="str">
        <f>TEXT(DataAct_tbl[[#This Row],[DATE]],"MMM")</f>
        <v>Feb</v>
      </c>
      <c r="L64">
        <f>COUNTIF($H$6:H64,H64)</f>
        <v>16</v>
      </c>
      <c r="M64" s="68" t="str">
        <f>IF(AND(ISNA(VLOOKUP(DataAct_tbl[[#This Row],[BG CODE]],DataOB[Budget code],1,0)),DataAct_tbl[[#This Row],[Check Dub]]=1),"NEW","")</f>
        <v/>
      </c>
      <c r="N64" s="68" t="b">
        <f>AND(DataAct_tbl[[#This Row],[DATE]]&gt;=FirstDate,DataAct_tbl[[#This Row],[DATE]]&lt;=LastDate)</f>
        <v>1</v>
      </c>
    </row>
    <row r="65" spans="2:14" ht="14.4">
      <c r="B65" s="77">
        <v>45351</v>
      </c>
      <c r="C65" s="118" t="s">
        <v>321</v>
      </c>
      <c r="D65" s="68" t="s">
        <v>322</v>
      </c>
      <c r="E65" s="131"/>
      <c r="F65" s="132"/>
      <c r="G65" s="140">
        <v>1.111E-2</v>
      </c>
      <c r="H65" s="72" t="s">
        <v>99</v>
      </c>
      <c r="I65" s="72" t="s">
        <v>102</v>
      </c>
      <c r="J65" s="72">
        <v>8111</v>
      </c>
      <c r="K65" s="92" t="str">
        <f>TEXT(DataAct_tbl[[#This Row],[DATE]],"MMM")</f>
        <v>Feb</v>
      </c>
      <c r="L65">
        <f>COUNTIF($H$6:H65,H65)</f>
        <v>17</v>
      </c>
      <c r="M65" s="68" t="str">
        <f>IF(AND(ISNA(VLOOKUP(DataAct_tbl[[#This Row],[BG CODE]],DataOB[Budget code],1,0)),DataAct_tbl[[#This Row],[Check Dub]]=1),"NEW","")</f>
        <v/>
      </c>
      <c r="N65" s="68" t="b">
        <f>AND(DataAct_tbl[[#This Row],[DATE]]&gt;=FirstDate,DataAct_tbl[[#This Row],[DATE]]&lt;=LastDate)</f>
        <v>1</v>
      </c>
    </row>
    <row r="66" spans="2:14" ht="14.4">
      <c r="B66" s="77">
        <v>45351</v>
      </c>
      <c r="C66" s="118" t="s">
        <v>321</v>
      </c>
      <c r="D66" s="68" t="s">
        <v>323</v>
      </c>
      <c r="E66" s="131"/>
      <c r="F66" s="132"/>
      <c r="G66" s="140">
        <v>1.111E-2</v>
      </c>
      <c r="H66" s="72" t="s">
        <v>99</v>
      </c>
      <c r="I66" s="72" t="s">
        <v>102</v>
      </c>
      <c r="J66" s="72">
        <v>8111</v>
      </c>
      <c r="K66" s="92" t="str">
        <f>TEXT(DataAct_tbl[[#This Row],[DATE]],"MMM")</f>
        <v>Feb</v>
      </c>
      <c r="L66">
        <f>COUNTIF($H$6:H66,H66)</f>
        <v>18</v>
      </c>
      <c r="M66" s="68" t="str">
        <f>IF(AND(ISNA(VLOOKUP(DataAct_tbl[[#This Row],[BG CODE]],DataOB[Budget code],1,0)),DataAct_tbl[[#This Row],[Check Dub]]=1),"NEW","")</f>
        <v/>
      </c>
      <c r="N66" s="68" t="b">
        <f>AND(DataAct_tbl[[#This Row],[DATE]]&gt;=FirstDate,DataAct_tbl[[#This Row],[DATE]]&lt;=LastDate)</f>
        <v>1</v>
      </c>
    </row>
    <row r="67" spans="2:14" ht="14.4">
      <c r="B67" s="77">
        <v>45351</v>
      </c>
      <c r="C67" s="118" t="s">
        <v>321</v>
      </c>
      <c r="D67" s="68" t="s">
        <v>324</v>
      </c>
      <c r="E67" s="131"/>
      <c r="F67" s="132"/>
      <c r="G67" s="140">
        <v>1.111E-2</v>
      </c>
      <c r="H67" s="72" t="s">
        <v>99</v>
      </c>
      <c r="I67" s="72" t="s">
        <v>102</v>
      </c>
      <c r="J67" s="72">
        <v>8111</v>
      </c>
      <c r="K67" s="92" t="str">
        <f>TEXT(DataAct_tbl[[#This Row],[DATE]],"MMM")</f>
        <v>Feb</v>
      </c>
      <c r="L67">
        <f>COUNTIF($H$6:H67,H67)</f>
        <v>19</v>
      </c>
      <c r="M67" s="68" t="str">
        <f>IF(AND(ISNA(VLOOKUP(DataAct_tbl[[#This Row],[BG CODE]],DataOB[Budget code],1,0)),DataAct_tbl[[#This Row],[Check Dub]]=1),"NEW","")</f>
        <v/>
      </c>
      <c r="N67" s="68" t="b">
        <f>AND(DataAct_tbl[[#This Row],[DATE]]&gt;=FirstDate,DataAct_tbl[[#This Row],[DATE]]&lt;=LastDate)</f>
        <v>1</v>
      </c>
    </row>
    <row r="68" spans="2:14" ht="14.4">
      <c r="B68" s="77">
        <v>45351</v>
      </c>
      <c r="C68" s="118" t="s">
        <v>321</v>
      </c>
      <c r="D68" s="68" t="s">
        <v>325</v>
      </c>
      <c r="E68" s="131"/>
      <c r="F68" s="132"/>
      <c r="G68" s="140">
        <v>1.112E-2</v>
      </c>
      <c r="H68" s="72" t="s">
        <v>99</v>
      </c>
      <c r="I68" s="72" t="s">
        <v>102</v>
      </c>
      <c r="J68" s="72">
        <v>8111</v>
      </c>
      <c r="K68" s="92" t="str">
        <f>TEXT(DataAct_tbl[[#This Row],[DATE]],"MMM")</f>
        <v>Feb</v>
      </c>
      <c r="L68">
        <f>COUNTIF($H$6:H68,H68)</f>
        <v>20</v>
      </c>
      <c r="M68" s="68" t="str">
        <f>IF(AND(ISNA(VLOOKUP(DataAct_tbl[[#This Row],[BG CODE]],DataOB[Budget code],1,0)),DataAct_tbl[[#This Row],[Check Dub]]=1),"NEW","")</f>
        <v/>
      </c>
      <c r="N68" s="68" t="b">
        <f>AND(DataAct_tbl[[#This Row],[DATE]]&gt;=FirstDate,DataAct_tbl[[#This Row],[DATE]]&lt;=LastDate)</f>
        <v>1</v>
      </c>
    </row>
    <row r="69" spans="2:14" ht="14.4">
      <c r="B69" s="77">
        <v>45351</v>
      </c>
      <c r="C69" s="118" t="s">
        <v>326</v>
      </c>
      <c r="D69" s="68" t="s">
        <v>327</v>
      </c>
      <c r="E69" s="131"/>
      <c r="F69" s="132"/>
      <c r="G69" s="140">
        <v>58.432130000000001</v>
      </c>
      <c r="H69" s="72" t="s">
        <v>349</v>
      </c>
      <c r="I69" s="72" t="s">
        <v>62</v>
      </c>
      <c r="J69" s="72">
        <v>8311</v>
      </c>
      <c r="K69" s="92" t="str">
        <f>TEXT(DataAct_tbl[[#This Row],[DATE]],"MMM")</f>
        <v>Feb</v>
      </c>
      <c r="L69">
        <f>COUNTIF($H$6:H69,H69)</f>
        <v>1</v>
      </c>
      <c r="M69" s="68" t="str">
        <f>IF(AND(ISNA(VLOOKUP(DataAct_tbl[[#This Row],[BG CODE]],DataOB[Budget code],1,0)),DataAct_tbl[[#This Row],[Check Dub]]=1),"NEW","")</f>
        <v/>
      </c>
      <c r="N69" s="68" t="b">
        <f>AND(DataAct_tbl[[#This Row],[DATE]]&gt;=FirstDate,DataAct_tbl[[#This Row],[DATE]]&lt;=LastDate)</f>
        <v>1</v>
      </c>
    </row>
    <row r="70" spans="2:14" ht="14.4">
      <c r="B70" s="77">
        <v>45351</v>
      </c>
      <c r="C70" s="118" t="s">
        <v>328</v>
      </c>
      <c r="D70" s="68" t="s">
        <v>329</v>
      </c>
      <c r="E70" s="131"/>
      <c r="F70" s="132"/>
      <c r="G70" s="140">
        <v>1.307E-2</v>
      </c>
      <c r="H70" s="72" t="s">
        <v>349</v>
      </c>
      <c r="I70" s="72" t="s">
        <v>61</v>
      </c>
      <c r="J70" s="72">
        <v>8311</v>
      </c>
      <c r="K70" s="92" t="str">
        <f>TEXT(DataAct_tbl[[#This Row],[DATE]],"MMM")</f>
        <v>Feb</v>
      </c>
      <c r="L70">
        <f>COUNTIF($H$6:H70,H70)</f>
        <v>2</v>
      </c>
      <c r="M70" s="68" t="str">
        <f>IF(AND(ISNA(VLOOKUP(DataAct_tbl[[#This Row],[BG CODE]],DataOB[Budget code],1,0)),DataAct_tbl[[#This Row],[Check Dub]]=1),"NEW","")</f>
        <v/>
      </c>
      <c r="N70" s="68" t="b">
        <f>AND(DataAct_tbl[[#This Row],[DATE]]&gt;=FirstDate,DataAct_tbl[[#This Row],[DATE]]&lt;=LastDate)</f>
        <v>1</v>
      </c>
    </row>
    <row r="71" spans="2:14" ht="14.4">
      <c r="B71" s="77">
        <v>45351</v>
      </c>
      <c r="C71" s="118" t="s">
        <v>330</v>
      </c>
      <c r="D71" s="68" t="s">
        <v>331</v>
      </c>
      <c r="E71" s="131"/>
      <c r="F71" s="132"/>
      <c r="G71" s="140">
        <v>10.31831</v>
      </c>
      <c r="H71" s="72" t="s">
        <v>350</v>
      </c>
      <c r="I71" s="72" t="s">
        <v>62</v>
      </c>
      <c r="J71" s="72">
        <v>8311</v>
      </c>
      <c r="K71" s="92" t="str">
        <f>TEXT(DataAct_tbl[[#This Row],[DATE]],"MMM")</f>
        <v>Feb</v>
      </c>
      <c r="L71">
        <f>COUNTIF($H$6:H71,H71)</f>
        <v>1</v>
      </c>
      <c r="M71" s="68" t="str">
        <f>IF(AND(ISNA(VLOOKUP(DataAct_tbl[[#This Row],[BG CODE]],DataOB[Budget code],1,0)),DataAct_tbl[[#This Row],[Check Dub]]=1),"NEW","")</f>
        <v/>
      </c>
      <c r="N71" s="68" t="b">
        <f>AND(DataAct_tbl[[#This Row],[DATE]]&gt;=FirstDate,DataAct_tbl[[#This Row],[DATE]]&lt;=LastDate)</f>
        <v>1</v>
      </c>
    </row>
    <row r="72" spans="2:14" ht="14.4">
      <c r="B72" s="77">
        <v>45351</v>
      </c>
      <c r="C72" s="118" t="s">
        <v>328</v>
      </c>
      <c r="D72" s="68" t="s">
        <v>332</v>
      </c>
      <c r="E72" s="131"/>
      <c r="F72" s="132"/>
      <c r="G72" s="140">
        <v>1.307E-2</v>
      </c>
      <c r="H72" s="72" t="s">
        <v>350</v>
      </c>
      <c r="I72" s="72" t="s">
        <v>61</v>
      </c>
      <c r="J72" s="72">
        <v>8311</v>
      </c>
      <c r="K72" s="92" t="str">
        <f>TEXT(DataAct_tbl[[#This Row],[DATE]],"MMM")</f>
        <v>Feb</v>
      </c>
      <c r="L72">
        <f>COUNTIF($H$6:H72,H72)</f>
        <v>2</v>
      </c>
      <c r="M72" s="68" t="str">
        <f>IF(AND(ISNA(VLOOKUP(DataAct_tbl[[#This Row],[BG CODE]],DataOB[Budget code],1,0)),DataAct_tbl[[#This Row],[Check Dub]]=1),"NEW","")</f>
        <v/>
      </c>
      <c r="N72" s="68" t="b">
        <f>AND(DataAct_tbl[[#This Row],[DATE]]&gt;=FirstDate,DataAct_tbl[[#This Row],[DATE]]&lt;=LastDate)</f>
        <v>1</v>
      </c>
    </row>
    <row r="73" spans="2:14" ht="14.4">
      <c r="B73" s="77">
        <v>45350</v>
      </c>
      <c r="C73" s="118" t="s">
        <v>333</v>
      </c>
      <c r="D73" s="68" t="s">
        <v>334</v>
      </c>
      <c r="E73" s="131"/>
      <c r="F73" s="132"/>
      <c r="G73" s="140">
        <v>6.3630000000000006E-2</v>
      </c>
      <c r="H73" s="72" t="s">
        <v>351</v>
      </c>
      <c r="I73" s="72" t="s">
        <v>62</v>
      </c>
      <c r="J73" s="72">
        <v>8411</v>
      </c>
      <c r="K73" s="92" t="str">
        <f>TEXT(DataAct_tbl[[#This Row],[DATE]],"MMM")</f>
        <v>Feb</v>
      </c>
      <c r="L73">
        <f>COUNTIF($H$6:H73,H73)</f>
        <v>1</v>
      </c>
      <c r="M73" s="68" t="str">
        <f>IF(AND(ISNA(VLOOKUP(DataAct_tbl[[#This Row],[BG CODE]],DataOB[Budget code],1,0)),DataAct_tbl[[#This Row],[Check Dub]]=1),"NEW","")</f>
        <v/>
      </c>
      <c r="N73" s="68" t="b">
        <f>AND(DataAct_tbl[[#This Row],[DATE]]&gt;=FirstDate,DataAct_tbl[[#This Row],[DATE]]&lt;=LastDate)</f>
        <v>1</v>
      </c>
    </row>
    <row r="74" spans="2:14" ht="14.4">
      <c r="B74" s="77">
        <v>45350</v>
      </c>
      <c r="C74" s="118" t="s">
        <v>333</v>
      </c>
      <c r="D74" s="68" t="s">
        <v>335</v>
      </c>
      <c r="E74" s="131"/>
      <c r="F74" s="132"/>
      <c r="G74" s="140">
        <v>0.22772999999999999</v>
      </c>
      <c r="H74" s="72" t="s">
        <v>351</v>
      </c>
      <c r="I74" s="72" t="s">
        <v>62</v>
      </c>
      <c r="J74" s="72">
        <v>8411</v>
      </c>
      <c r="K74" s="92" t="str">
        <f>TEXT(DataAct_tbl[[#This Row],[DATE]],"MMM")</f>
        <v>Feb</v>
      </c>
      <c r="L74">
        <f>COUNTIF($H$6:H74,H74)</f>
        <v>2</v>
      </c>
      <c r="M74" s="68" t="str">
        <f>IF(AND(ISNA(VLOOKUP(DataAct_tbl[[#This Row],[BG CODE]],DataOB[Budget code],1,0)),DataAct_tbl[[#This Row],[Check Dub]]=1),"NEW","")</f>
        <v/>
      </c>
      <c r="N74" s="68" t="b">
        <f>AND(DataAct_tbl[[#This Row],[DATE]]&gt;=FirstDate,DataAct_tbl[[#This Row],[DATE]]&lt;=LastDate)</f>
        <v>1</v>
      </c>
    </row>
    <row r="75" spans="2:14" ht="14.4">
      <c r="B75" s="77">
        <v>45350</v>
      </c>
      <c r="C75" s="118" t="s">
        <v>333</v>
      </c>
      <c r="D75" s="68" t="s">
        <v>336</v>
      </c>
      <c r="E75" s="131"/>
      <c r="F75" s="132"/>
      <c r="G75" s="140">
        <v>3.32E-3</v>
      </c>
      <c r="H75" s="72" t="s">
        <v>351</v>
      </c>
      <c r="I75" s="72" t="s">
        <v>62</v>
      </c>
      <c r="J75" s="72">
        <v>8411</v>
      </c>
      <c r="K75" s="92" t="str">
        <f>TEXT(DataAct_tbl[[#This Row],[DATE]],"MMM")</f>
        <v>Feb</v>
      </c>
      <c r="L75">
        <f>COUNTIF($H$6:H75,H75)</f>
        <v>3</v>
      </c>
      <c r="M75" s="68" t="str">
        <f>IF(AND(ISNA(VLOOKUP(DataAct_tbl[[#This Row],[BG CODE]],DataOB[Budget code],1,0)),DataAct_tbl[[#This Row],[Check Dub]]=1),"NEW","")</f>
        <v/>
      </c>
      <c r="N75" s="68" t="b">
        <f>AND(DataAct_tbl[[#This Row],[DATE]]&gt;=FirstDate,DataAct_tbl[[#This Row],[DATE]]&lt;=LastDate)</f>
        <v>1</v>
      </c>
    </row>
    <row r="76" spans="2:14" ht="14.4">
      <c r="B76" s="77">
        <v>45350</v>
      </c>
      <c r="C76" s="118" t="s">
        <v>333</v>
      </c>
      <c r="D76" s="68" t="s">
        <v>337</v>
      </c>
      <c r="E76" s="131"/>
      <c r="F76" s="132"/>
      <c r="G76" s="140">
        <v>1.1890000000000001E-2</v>
      </c>
      <c r="H76" s="123" t="s">
        <v>351</v>
      </c>
      <c r="I76" s="72" t="s">
        <v>62</v>
      </c>
      <c r="J76" s="72">
        <v>8411</v>
      </c>
      <c r="K76" s="92" t="str">
        <f>TEXT(DataAct_tbl[[#This Row],[DATE]],"MMM")</f>
        <v>Feb</v>
      </c>
      <c r="L76">
        <f>COUNTIF($H$6:H76,H76)</f>
        <v>4</v>
      </c>
      <c r="M76" s="68" t="str">
        <f>IF(AND(ISNA(VLOOKUP(DataAct_tbl[[#This Row],[BG CODE]],DataOB[Budget code],1,0)),DataAct_tbl[[#This Row],[Check Dub]]=1),"NEW","")</f>
        <v/>
      </c>
      <c r="N76" s="68" t="b">
        <f>AND(DataAct_tbl[[#This Row],[DATE]]&gt;=FirstDate,DataAct_tbl[[#This Row],[DATE]]&lt;=LastDate)</f>
        <v>1</v>
      </c>
    </row>
    <row r="77" spans="2:14" ht="14.4">
      <c r="B77" s="77">
        <v>45351</v>
      </c>
      <c r="C77" s="118" t="s">
        <v>338</v>
      </c>
      <c r="D77" s="68" t="s">
        <v>339</v>
      </c>
      <c r="E77" s="131"/>
      <c r="F77" s="132"/>
      <c r="G77" s="140">
        <v>0.155</v>
      </c>
      <c r="H77" s="72" t="s">
        <v>100</v>
      </c>
      <c r="I77" s="72" t="s">
        <v>61</v>
      </c>
      <c r="J77" s="72">
        <v>8111</v>
      </c>
      <c r="K77" s="92" t="str">
        <f>TEXT(DataAct_tbl[[#This Row],[DATE]],"MMM")</f>
        <v>Feb</v>
      </c>
      <c r="L77">
        <f>COUNTIF($H$6:H77,H77)</f>
        <v>19</v>
      </c>
      <c r="M77" s="68" t="str">
        <f>IF(AND(ISNA(VLOOKUP(DataAct_tbl[[#This Row],[BG CODE]],DataOB[Budget code],1,0)),DataAct_tbl[[#This Row],[Check Dub]]=1),"NEW","")</f>
        <v/>
      </c>
      <c r="N77" s="68" t="b">
        <f>AND(DataAct_tbl[[#This Row],[DATE]]&gt;=FirstDate,DataAct_tbl[[#This Row],[DATE]]&lt;=LastDate)</f>
        <v>1</v>
      </c>
    </row>
    <row r="78" spans="2:14" ht="14.4">
      <c r="B78" s="77">
        <v>45351</v>
      </c>
      <c r="C78" s="118" t="s">
        <v>338</v>
      </c>
      <c r="D78" s="68" t="s">
        <v>340</v>
      </c>
      <c r="E78" s="131"/>
      <c r="F78" s="132"/>
      <c r="G78" s="140">
        <v>0.16019999999999998</v>
      </c>
      <c r="H78" s="72" t="s">
        <v>100</v>
      </c>
      <c r="I78" s="72" t="s">
        <v>61</v>
      </c>
      <c r="J78" s="72">
        <v>8111</v>
      </c>
      <c r="K78" s="92" t="str">
        <f>TEXT(DataAct_tbl[[#This Row],[DATE]],"MMM")</f>
        <v>Feb</v>
      </c>
      <c r="L78">
        <f>COUNTIF($H$6:H78,H78)</f>
        <v>20</v>
      </c>
      <c r="M78" s="68" t="str">
        <f>IF(AND(ISNA(VLOOKUP(DataAct_tbl[[#This Row],[BG CODE]],DataOB[Budget code],1,0)),DataAct_tbl[[#This Row],[Check Dub]]=1),"NEW","")</f>
        <v/>
      </c>
      <c r="N78" s="68" t="b">
        <f>AND(DataAct_tbl[[#This Row],[DATE]]&gt;=FirstDate,DataAct_tbl[[#This Row],[DATE]]&lt;=LastDate)</f>
        <v>1</v>
      </c>
    </row>
    <row r="79" spans="2:14" ht="14.4">
      <c r="B79" s="77">
        <v>45351</v>
      </c>
      <c r="C79" s="118" t="s">
        <v>338</v>
      </c>
      <c r="D79" s="68" t="s">
        <v>340</v>
      </c>
      <c r="E79" s="131"/>
      <c r="F79" s="132"/>
      <c r="G79" s="140">
        <v>7.2999999999999996E-4</v>
      </c>
      <c r="H79" s="123" t="s">
        <v>100</v>
      </c>
      <c r="I79" s="72" t="s">
        <v>61</v>
      </c>
      <c r="J79" s="72">
        <v>8111</v>
      </c>
      <c r="K79" s="92" t="str">
        <f>TEXT(DataAct_tbl[[#This Row],[DATE]],"MMM")</f>
        <v>Feb</v>
      </c>
      <c r="L79">
        <f>COUNTIF($H$6:H79,H79)</f>
        <v>21</v>
      </c>
      <c r="M79" s="68" t="str">
        <f>IF(AND(ISNA(VLOOKUP(DataAct_tbl[[#This Row],[BG CODE]],DataOB[Budget code],1,0)),DataAct_tbl[[#This Row],[Check Dub]]=1),"NEW","")</f>
        <v/>
      </c>
      <c r="N79" s="68" t="b">
        <f>AND(DataAct_tbl[[#This Row],[DATE]]&gt;=FirstDate,DataAct_tbl[[#This Row],[DATE]]&lt;=LastDate)</f>
        <v>1</v>
      </c>
    </row>
    <row r="80" spans="2:14" ht="14.4">
      <c r="B80" s="77">
        <v>45351</v>
      </c>
      <c r="C80" s="118" t="s">
        <v>341</v>
      </c>
      <c r="D80" s="68" t="s">
        <v>108</v>
      </c>
      <c r="E80" s="131"/>
      <c r="F80" s="132"/>
      <c r="G80" s="140">
        <v>0.23988999999999999</v>
      </c>
      <c r="H80" s="123" t="s">
        <v>114</v>
      </c>
      <c r="I80" s="72" t="s">
        <v>62</v>
      </c>
      <c r="J80" s="72">
        <v>1611</v>
      </c>
      <c r="K80" s="92" t="str">
        <f>TEXT(DataAct_tbl[[#This Row],[DATE]],"MMM")</f>
        <v>Feb</v>
      </c>
      <c r="L80">
        <f>COUNTIF($H$6:H80,H80)</f>
        <v>2</v>
      </c>
      <c r="M80" s="68" t="str">
        <f>IF(AND(ISNA(VLOOKUP(DataAct_tbl[[#This Row],[BG CODE]],DataOB[Budget code],1,0)),DataAct_tbl[[#This Row],[Check Dub]]=1),"NEW","")</f>
        <v/>
      </c>
      <c r="N80" s="68" t="b">
        <f>AND(DataAct_tbl[[#This Row],[DATE]]&gt;=FirstDate,DataAct_tbl[[#This Row],[DATE]]&lt;=LastDate)</f>
        <v>1</v>
      </c>
    </row>
    <row r="81" spans="2:14" ht="14.4">
      <c r="B81" s="77">
        <v>45351</v>
      </c>
      <c r="C81" s="118" t="s">
        <v>342</v>
      </c>
      <c r="D81" s="68" t="s">
        <v>343</v>
      </c>
      <c r="E81" s="131"/>
      <c r="F81" s="132"/>
      <c r="G81" s="140">
        <v>0.95767999999999998</v>
      </c>
      <c r="H81" s="72" t="s">
        <v>352</v>
      </c>
      <c r="I81" s="72" t="s">
        <v>102</v>
      </c>
      <c r="J81" s="72">
        <v>8311</v>
      </c>
      <c r="K81" s="92" t="str">
        <f>TEXT(DataAct_tbl[[#This Row],[DATE]],"MMM")</f>
        <v>Feb</v>
      </c>
      <c r="L81">
        <f>COUNTIF($H$6:H81,H81)</f>
        <v>1</v>
      </c>
      <c r="M81" s="68" t="str">
        <f>IF(AND(ISNA(VLOOKUP(DataAct_tbl[[#This Row],[BG CODE]],DataOB[Budget code],1,0)),DataAct_tbl[[#This Row],[Check Dub]]=1),"NEW","")</f>
        <v/>
      </c>
      <c r="N81" s="68" t="b">
        <f>AND(DataAct_tbl[[#This Row],[DATE]]&gt;=FirstDate,DataAct_tbl[[#This Row],[DATE]]&lt;=LastDate)</f>
        <v>1</v>
      </c>
    </row>
    <row r="82" spans="2:14" ht="14.4">
      <c r="B82" s="77">
        <v>45351</v>
      </c>
      <c r="C82" s="118" t="s">
        <v>344</v>
      </c>
      <c r="D82" s="68" t="s">
        <v>345</v>
      </c>
      <c r="E82" s="131"/>
      <c r="F82" s="132"/>
      <c r="G82" s="140">
        <v>4.5580500000000006</v>
      </c>
      <c r="H82" s="72" t="s">
        <v>352</v>
      </c>
      <c r="I82" s="72" t="s">
        <v>102</v>
      </c>
      <c r="J82" s="72">
        <v>8311</v>
      </c>
      <c r="K82" s="92" t="str">
        <f>TEXT(DataAct_tbl[[#This Row],[DATE]],"MMM")</f>
        <v>Feb</v>
      </c>
      <c r="L82">
        <f>COUNTIF($H$6:H82,H82)</f>
        <v>2</v>
      </c>
      <c r="M82" s="68" t="str">
        <f>IF(AND(ISNA(VLOOKUP(DataAct_tbl[[#This Row],[BG CODE]],DataOB[Budget code],1,0)),DataAct_tbl[[#This Row],[Check Dub]]=1),"NEW","")</f>
        <v/>
      </c>
      <c r="N82" s="68" t="b">
        <f>AND(DataAct_tbl[[#This Row],[DATE]]&gt;=FirstDate,DataAct_tbl[[#This Row],[DATE]]&lt;=LastDate)</f>
        <v>1</v>
      </c>
    </row>
    <row r="83" spans="2:14" ht="14.4">
      <c r="B83" s="77">
        <v>45382</v>
      </c>
      <c r="C83" s="118" t="s">
        <v>357</v>
      </c>
      <c r="D83" s="68" t="s">
        <v>358</v>
      </c>
      <c r="E83" s="131"/>
      <c r="F83" s="132"/>
      <c r="G83" s="140">
        <v>11.576000000000001</v>
      </c>
      <c r="H83" s="72" t="s">
        <v>100</v>
      </c>
      <c r="I83" s="72" t="s">
        <v>62</v>
      </c>
      <c r="J83" s="76">
        <v>8111</v>
      </c>
      <c r="K83" s="92" t="str">
        <f>TEXT(DataAct_tbl[[#This Row],[DATE]],"MMM")</f>
        <v>Mar</v>
      </c>
      <c r="L83">
        <f>COUNTIF($H$6:H83,H83)</f>
        <v>22</v>
      </c>
      <c r="M83" s="68" t="str">
        <f>IF(AND(ISNA(VLOOKUP(DataAct_tbl[[#This Row],[BG CODE]],DataOB[Budget code],1,0)),DataAct_tbl[[#This Row],[Check Dub]]=1),"NEW","")</f>
        <v/>
      </c>
      <c r="N83" s="68" t="b">
        <f>AND(DataAct_tbl[[#This Row],[DATE]]&gt;=FirstDate,DataAct_tbl[[#This Row],[DATE]]&lt;=LastDate)</f>
        <v>1</v>
      </c>
    </row>
    <row r="84" spans="2:14" ht="14.4">
      <c r="B84" s="77">
        <v>45382</v>
      </c>
      <c r="C84" s="118" t="s">
        <v>357</v>
      </c>
      <c r="D84" s="68" t="s">
        <v>358</v>
      </c>
      <c r="E84" s="131"/>
      <c r="F84" s="132"/>
      <c r="G84" s="140">
        <v>11.576000000000001</v>
      </c>
      <c r="H84" s="123" t="s">
        <v>100</v>
      </c>
      <c r="I84" s="72" t="s">
        <v>62</v>
      </c>
      <c r="J84" s="72">
        <v>8111</v>
      </c>
      <c r="K84" s="92" t="str">
        <f>TEXT(DataAct_tbl[[#This Row],[DATE]],"MMM")</f>
        <v>Mar</v>
      </c>
      <c r="L84">
        <f>COUNTIF($H$6:H84,H84)</f>
        <v>23</v>
      </c>
      <c r="M84" s="68" t="str">
        <f>IF(AND(ISNA(VLOOKUP(DataAct_tbl[[#This Row],[BG CODE]],DataOB[Budget code],1,0)),DataAct_tbl[[#This Row],[Check Dub]]=1),"NEW","")</f>
        <v/>
      </c>
      <c r="N84" s="68" t="b">
        <f>AND(DataAct_tbl[[#This Row],[DATE]]&gt;=FirstDate,DataAct_tbl[[#This Row],[DATE]]&lt;=LastDate)</f>
        <v>1</v>
      </c>
    </row>
    <row r="85" spans="2:14" ht="14.4">
      <c r="B85" s="77">
        <v>45380</v>
      </c>
      <c r="C85" s="118" t="s">
        <v>359</v>
      </c>
      <c r="D85" s="68" t="s">
        <v>360</v>
      </c>
      <c r="E85" s="131"/>
      <c r="F85" s="132"/>
      <c r="G85" s="140">
        <v>30.016279999999998</v>
      </c>
      <c r="H85" s="72" t="s">
        <v>389</v>
      </c>
      <c r="I85" s="72" t="s">
        <v>62</v>
      </c>
      <c r="J85" s="72">
        <v>8514</v>
      </c>
      <c r="K85" s="92" t="str">
        <f>TEXT(DataAct_tbl[[#This Row],[DATE]],"MMM")</f>
        <v>Mar</v>
      </c>
      <c r="L85">
        <f>COUNTIF($H$6:H85,H85)</f>
        <v>1</v>
      </c>
      <c r="M85" s="68" t="str">
        <f>IF(AND(ISNA(VLOOKUP(DataAct_tbl[[#This Row],[BG CODE]],DataOB[Budget code],1,0)),DataAct_tbl[[#This Row],[Check Dub]]=1),"NEW","")</f>
        <v/>
      </c>
      <c r="N85" s="68" t="b">
        <f>AND(DataAct_tbl[[#This Row],[DATE]]&gt;=FirstDate,DataAct_tbl[[#This Row],[DATE]]&lt;=LastDate)</f>
        <v>1</v>
      </c>
    </row>
    <row r="86" spans="2:14" ht="14.4">
      <c r="B86" s="77">
        <v>45382</v>
      </c>
      <c r="C86" s="118" t="s">
        <v>361</v>
      </c>
      <c r="D86" s="68" t="s">
        <v>362</v>
      </c>
      <c r="E86" s="131"/>
      <c r="F86" s="132"/>
      <c r="G86" s="140">
        <v>4.8759999999999998E-2</v>
      </c>
      <c r="H86" s="72" t="s">
        <v>346</v>
      </c>
      <c r="I86" s="72" t="s">
        <v>61</v>
      </c>
      <c r="J86" s="72">
        <v>8111</v>
      </c>
      <c r="K86" s="92" t="str">
        <f>TEXT(DataAct_tbl[[#This Row],[DATE]],"MMM")</f>
        <v>Mar</v>
      </c>
      <c r="L86">
        <f>COUNTIF($H$6:H86,H86)</f>
        <v>6</v>
      </c>
      <c r="M86" s="68" t="str">
        <f>IF(AND(ISNA(VLOOKUP(DataAct_tbl[[#This Row],[BG CODE]],DataOB[Budget code],1,0)),DataAct_tbl[[#This Row],[Check Dub]]=1),"NEW","")</f>
        <v/>
      </c>
      <c r="N86" s="68" t="b">
        <f>AND(DataAct_tbl[[#This Row],[DATE]]&gt;=FirstDate,DataAct_tbl[[#This Row],[DATE]]&lt;=LastDate)</f>
        <v>1</v>
      </c>
    </row>
    <row r="87" spans="2:14" ht="14.4">
      <c r="B87" s="77">
        <v>45382</v>
      </c>
      <c r="C87" s="118" t="s">
        <v>361</v>
      </c>
      <c r="D87" s="68" t="s">
        <v>363</v>
      </c>
      <c r="E87" s="131"/>
      <c r="F87" s="132"/>
      <c r="G87" s="140">
        <v>2.16E-3</v>
      </c>
      <c r="H87" s="123" t="s">
        <v>346</v>
      </c>
      <c r="I87" s="72" t="s">
        <v>61</v>
      </c>
      <c r="J87" s="72">
        <v>8111</v>
      </c>
      <c r="K87" s="92" t="str">
        <f>TEXT(DataAct_tbl[[#This Row],[DATE]],"MMM")</f>
        <v>Mar</v>
      </c>
      <c r="L87">
        <f>COUNTIF($H$6:H87,H87)</f>
        <v>7</v>
      </c>
      <c r="M87" s="68" t="str">
        <f>IF(AND(ISNA(VLOOKUP(DataAct_tbl[[#This Row],[BG CODE]],DataOB[Budget code],1,0)),DataAct_tbl[[#This Row],[Check Dub]]=1),"NEW","")</f>
        <v/>
      </c>
      <c r="N87" s="68" t="b">
        <f>AND(DataAct_tbl[[#This Row],[DATE]]&gt;=FirstDate,DataAct_tbl[[#This Row],[DATE]]&lt;=LastDate)</f>
        <v>1</v>
      </c>
    </row>
    <row r="88" spans="2:14" ht="14.4">
      <c r="B88" s="77">
        <v>45382</v>
      </c>
      <c r="C88" s="118" t="s">
        <v>361</v>
      </c>
      <c r="D88" s="68" t="s">
        <v>364</v>
      </c>
      <c r="E88" s="131"/>
      <c r="F88" s="132"/>
      <c r="G88" s="140">
        <v>2.8829999999999998E-2</v>
      </c>
      <c r="H88" s="72" t="s">
        <v>346</v>
      </c>
      <c r="I88" s="72" t="s">
        <v>61</v>
      </c>
      <c r="J88" s="72">
        <v>8111</v>
      </c>
      <c r="K88" s="92" t="str">
        <f>TEXT(DataAct_tbl[[#This Row],[DATE]],"MMM")</f>
        <v>Mar</v>
      </c>
      <c r="L88">
        <f>COUNTIF($H$6:H88,H88)</f>
        <v>8</v>
      </c>
      <c r="M88" s="68" t="str">
        <f>IF(AND(ISNA(VLOOKUP(DataAct_tbl[[#This Row],[BG CODE]],DataOB[Budget code],1,0)),DataAct_tbl[[#This Row],[Check Dub]]=1),"NEW","")</f>
        <v/>
      </c>
      <c r="N88" s="68" t="b">
        <f>AND(DataAct_tbl[[#This Row],[DATE]]&gt;=FirstDate,DataAct_tbl[[#This Row],[DATE]]&lt;=LastDate)</f>
        <v>1</v>
      </c>
    </row>
    <row r="89" spans="2:14" ht="14.4">
      <c r="B89" s="77">
        <v>45382</v>
      </c>
      <c r="C89" s="118" t="s">
        <v>361</v>
      </c>
      <c r="D89" s="68" t="s">
        <v>365</v>
      </c>
      <c r="E89" s="131"/>
      <c r="F89" s="132"/>
      <c r="G89" s="140">
        <v>6.8879999999999997E-2</v>
      </c>
      <c r="H89" s="72" t="s">
        <v>346</v>
      </c>
      <c r="I89" s="72" t="s">
        <v>61</v>
      </c>
      <c r="J89" s="72">
        <v>8111</v>
      </c>
      <c r="K89" s="92" t="str">
        <f>TEXT(DataAct_tbl[[#This Row],[DATE]],"MMM")</f>
        <v>Mar</v>
      </c>
      <c r="L89">
        <f>COUNTIF($H$6:H89,H89)</f>
        <v>9</v>
      </c>
      <c r="M89" s="68" t="str">
        <f>IF(AND(ISNA(VLOOKUP(DataAct_tbl[[#This Row],[BG CODE]],DataOB[Budget code],1,0)),DataAct_tbl[[#This Row],[Check Dub]]=1),"NEW","")</f>
        <v/>
      </c>
      <c r="N89" s="68" t="b">
        <f>AND(DataAct_tbl[[#This Row],[DATE]]&gt;=FirstDate,DataAct_tbl[[#This Row],[DATE]]&lt;=LastDate)</f>
        <v>1</v>
      </c>
    </row>
    <row r="90" spans="2:14" ht="14.4">
      <c r="B90" s="77">
        <v>45382</v>
      </c>
      <c r="C90" s="126" t="s">
        <v>361</v>
      </c>
      <c r="D90" s="68" t="s">
        <v>366</v>
      </c>
      <c r="E90" s="131"/>
      <c r="F90" s="132"/>
      <c r="G90" s="140">
        <v>8.5599999999999999E-3</v>
      </c>
      <c r="H90" s="123" t="s">
        <v>346</v>
      </c>
      <c r="I90" s="72" t="s">
        <v>61</v>
      </c>
      <c r="J90" s="72">
        <v>8111</v>
      </c>
      <c r="K90" s="92" t="str">
        <f>TEXT(DataAct_tbl[[#This Row],[DATE]],"MMM")</f>
        <v>Mar</v>
      </c>
      <c r="L90">
        <f>COUNTIF($H$6:H90,H90)</f>
        <v>10</v>
      </c>
      <c r="M90" s="68" t="str">
        <f>IF(AND(ISNA(VLOOKUP(DataAct_tbl[[#This Row],[BG CODE]],DataOB[Budget code],1,0)),DataAct_tbl[[#This Row],[Check Dub]]=1),"NEW","")</f>
        <v/>
      </c>
      <c r="N90" s="68" t="b">
        <f>AND(DataAct_tbl[[#This Row],[DATE]]&gt;=FirstDate,DataAct_tbl[[#This Row],[DATE]]&lt;=LastDate)</f>
        <v>1</v>
      </c>
    </row>
    <row r="91" spans="2:14" ht="14.4">
      <c r="B91" s="77">
        <v>45382</v>
      </c>
      <c r="C91" s="126" t="s">
        <v>361</v>
      </c>
      <c r="D91" s="68" t="s">
        <v>362</v>
      </c>
      <c r="E91" s="131"/>
      <c r="F91" s="132"/>
      <c r="G91" s="140">
        <v>1.7999999999999998E-4</v>
      </c>
      <c r="H91" s="72" t="s">
        <v>346</v>
      </c>
      <c r="I91" s="72" t="s">
        <v>61</v>
      </c>
      <c r="J91" s="72">
        <v>8111</v>
      </c>
      <c r="K91" s="92" t="str">
        <f>TEXT(DataAct_tbl[[#This Row],[DATE]],"MMM")</f>
        <v>Mar</v>
      </c>
      <c r="L91">
        <f>COUNTIF($H$6:H91,H91)</f>
        <v>11</v>
      </c>
      <c r="M91" s="68" t="str">
        <f>IF(AND(ISNA(VLOOKUP(DataAct_tbl[[#This Row],[BG CODE]],DataOB[Budget code],1,0)),DataAct_tbl[[#This Row],[Check Dub]]=1),"NEW","")</f>
        <v/>
      </c>
      <c r="N91" s="68" t="b">
        <f>AND(DataAct_tbl[[#This Row],[DATE]]&gt;=FirstDate,DataAct_tbl[[#This Row],[DATE]]&lt;=LastDate)</f>
        <v>1</v>
      </c>
    </row>
    <row r="92" spans="2:14" ht="14.4">
      <c r="B92" s="77">
        <v>45382</v>
      </c>
      <c r="C92" s="126" t="s">
        <v>361</v>
      </c>
      <c r="D92" s="68" t="s">
        <v>363</v>
      </c>
      <c r="E92" s="131"/>
      <c r="F92" s="132"/>
      <c r="G92" s="140">
        <v>1.0000000000000001E-5</v>
      </c>
      <c r="H92" s="72" t="s">
        <v>346</v>
      </c>
      <c r="I92" s="72" t="s">
        <v>61</v>
      </c>
      <c r="J92" s="72">
        <v>8111</v>
      </c>
      <c r="K92" s="92" t="str">
        <f>TEXT(DataAct_tbl[[#This Row],[DATE]],"MMM")</f>
        <v>Mar</v>
      </c>
      <c r="L92">
        <f>COUNTIF($H$6:H92,H92)</f>
        <v>12</v>
      </c>
      <c r="M92" s="68" t="str">
        <f>IF(AND(ISNA(VLOOKUP(DataAct_tbl[[#This Row],[BG CODE]],DataOB[Budget code],1,0)),DataAct_tbl[[#This Row],[Check Dub]]=1),"NEW","")</f>
        <v/>
      </c>
      <c r="N92" s="68" t="b">
        <f>AND(DataAct_tbl[[#This Row],[DATE]]&gt;=FirstDate,DataAct_tbl[[#This Row],[DATE]]&lt;=LastDate)</f>
        <v>1</v>
      </c>
    </row>
    <row r="93" spans="2:14" ht="14.4">
      <c r="B93" s="77">
        <v>45382</v>
      </c>
      <c r="C93" s="127" t="s">
        <v>361</v>
      </c>
      <c r="D93" s="68" t="s">
        <v>364</v>
      </c>
      <c r="E93" s="131"/>
      <c r="F93" s="132"/>
      <c r="G93" s="140">
        <v>1E-4</v>
      </c>
      <c r="H93" s="72" t="s">
        <v>346</v>
      </c>
      <c r="I93" s="72" t="s">
        <v>61</v>
      </c>
      <c r="J93" s="72">
        <v>8111</v>
      </c>
      <c r="K93" s="92" t="str">
        <f>TEXT(DataAct_tbl[[#This Row],[DATE]],"MMM")</f>
        <v>Mar</v>
      </c>
      <c r="L93">
        <f>COUNTIF($H$6:H93,H93)</f>
        <v>13</v>
      </c>
      <c r="M93" s="68" t="str">
        <f>IF(AND(ISNA(VLOOKUP(DataAct_tbl[[#This Row],[BG CODE]],DataOB[Budget code],1,0)),DataAct_tbl[[#This Row],[Check Dub]]=1),"NEW","")</f>
        <v/>
      </c>
      <c r="N93" s="68" t="b">
        <f>AND(DataAct_tbl[[#This Row],[DATE]]&gt;=FirstDate,DataAct_tbl[[#This Row],[DATE]]&lt;=LastDate)</f>
        <v>1</v>
      </c>
    </row>
    <row r="94" spans="2:14" ht="14.4">
      <c r="B94" s="77">
        <v>45382</v>
      </c>
      <c r="C94" s="127" t="s">
        <v>361</v>
      </c>
      <c r="D94" s="68" t="s">
        <v>365</v>
      </c>
      <c r="E94" s="131"/>
      <c r="F94" s="132"/>
      <c r="G94" s="140">
        <v>2.5000000000000001E-4</v>
      </c>
      <c r="H94" s="72" t="s">
        <v>346</v>
      </c>
      <c r="I94" s="72" t="s">
        <v>61</v>
      </c>
      <c r="J94" s="72">
        <v>8111</v>
      </c>
      <c r="K94" s="92" t="str">
        <f>TEXT(DataAct_tbl[[#This Row],[DATE]],"MMM")</f>
        <v>Mar</v>
      </c>
      <c r="L94">
        <f>COUNTIF($H$6:H94,H94)</f>
        <v>14</v>
      </c>
      <c r="M94" s="68" t="str">
        <f>IF(AND(ISNA(VLOOKUP(DataAct_tbl[[#This Row],[BG CODE]],DataOB[Budget code],1,0)),DataAct_tbl[[#This Row],[Check Dub]]=1),"NEW","")</f>
        <v/>
      </c>
      <c r="N94" s="68" t="b">
        <f>AND(DataAct_tbl[[#This Row],[DATE]]&gt;=FirstDate,DataAct_tbl[[#This Row],[DATE]]&lt;=LastDate)</f>
        <v>1</v>
      </c>
    </row>
    <row r="95" spans="2:14" ht="14.4">
      <c r="B95" s="77">
        <v>45382</v>
      </c>
      <c r="C95" s="127" t="s">
        <v>361</v>
      </c>
      <c r="D95" s="68" t="s">
        <v>366</v>
      </c>
      <c r="E95" s="131"/>
      <c r="F95" s="132"/>
      <c r="G95" s="140">
        <v>2.9999999999999997E-5</v>
      </c>
      <c r="H95" s="72" t="s">
        <v>346</v>
      </c>
      <c r="I95" s="72" t="s">
        <v>61</v>
      </c>
      <c r="J95" s="72">
        <v>8111</v>
      </c>
      <c r="K95" s="92" t="str">
        <f>TEXT(DataAct_tbl[[#This Row],[DATE]],"MMM")</f>
        <v>Mar</v>
      </c>
      <c r="L95">
        <f>COUNTIF($H$6:H95,H95)</f>
        <v>15</v>
      </c>
      <c r="M95" s="68" t="str">
        <f>IF(AND(ISNA(VLOOKUP(DataAct_tbl[[#This Row],[BG CODE]],DataOB[Budget code],1,0)),DataAct_tbl[[#This Row],[Check Dub]]=1),"NEW","")</f>
        <v/>
      </c>
      <c r="N95" s="68" t="b">
        <f>AND(DataAct_tbl[[#This Row],[DATE]]&gt;=FirstDate,DataAct_tbl[[#This Row],[DATE]]&lt;=LastDate)</f>
        <v>1</v>
      </c>
    </row>
    <row r="96" spans="2:14" ht="14.4">
      <c r="B96" s="77">
        <v>45382</v>
      </c>
      <c r="C96" s="127" t="s">
        <v>361</v>
      </c>
      <c r="D96" s="68" t="s">
        <v>367</v>
      </c>
      <c r="E96" s="131"/>
      <c r="F96" s="132"/>
      <c r="G96" s="140">
        <v>5.0790000000000002E-2</v>
      </c>
      <c r="H96" s="72" t="s">
        <v>348</v>
      </c>
      <c r="I96" s="72" t="s">
        <v>61</v>
      </c>
      <c r="J96" s="72">
        <v>8111</v>
      </c>
      <c r="K96" s="92" t="str">
        <f>TEXT(DataAct_tbl[[#This Row],[DATE]],"MMM")</f>
        <v>Mar</v>
      </c>
      <c r="L96">
        <f>COUNTIF($H$6:H96,H96)</f>
        <v>6</v>
      </c>
      <c r="M96" s="68" t="str">
        <f>IF(AND(ISNA(VLOOKUP(DataAct_tbl[[#This Row],[BG CODE]],DataOB[Budget code],1,0)),DataAct_tbl[[#This Row],[Check Dub]]=1),"NEW","")</f>
        <v/>
      </c>
      <c r="N96" s="68" t="b">
        <f>AND(DataAct_tbl[[#This Row],[DATE]]&gt;=FirstDate,DataAct_tbl[[#This Row],[DATE]]&lt;=LastDate)</f>
        <v>1</v>
      </c>
    </row>
    <row r="97" spans="2:14" ht="14.4">
      <c r="B97" s="77">
        <v>45382</v>
      </c>
      <c r="C97" s="127" t="s">
        <v>361</v>
      </c>
      <c r="D97" s="68" t="s">
        <v>368</v>
      </c>
      <c r="E97" s="131"/>
      <c r="F97" s="132"/>
      <c r="G97" s="140">
        <v>8.8299999999999993E-3</v>
      </c>
      <c r="H97" s="72" t="s">
        <v>348</v>
      </c>
      <c r="I97" s="72" t="s">
        <v>61</v>
      </c>
      <c r="J97" s="72">
        <v>8111</v>
      </c>
      <c r="K97" s="92" t="str">
        <f>TEXT(DataAct_tbl[[#This Row],[DATE]],"MMM")</f>
        <v>Mar</v>
      </c>
      <c r="L97">
        <f>COUNTIF($H$6:H97,H97)</f>
        <v>7</v>
      </c>
      <c r="M97" s="68" t="str">
        <f>IF(AND(ISNA(VLOOKUP(DataAct_tbl[[#This Row],[BG CODE]],DataOB[Budget code],1,0)),DataAct_tbl[[#This Row],[Check Dub]]=1),"NEW","")</f>
        <v/>
      </c>
      <c r="N97" s="68" t="b">
        <f>AND(DataAct_tbl[[#This Row],[DATE]]&gt;=FirstDate,DataAct_tbl[[#This Row],[DATE]]&lt;=LastDate)</f>
        <v>1</v>
      </c>
    </row>
    <row r="98" spans="2:14" ht="14.4">
      <c r="B98" s="77">
        <v>45382</v>
      </c>
      <c r="C98" s="127" t="s">
        <v>361</v>
      </c>
      <c r="D98" s="68" t="s">
        <v>369</v>
      </c>
      <c r="E98" s="131"/>
      <c r="F98" s="132"/>
      <c r="G98" s="140">
        <v>0.10807</v>
      </c>
      <c r="H98" s="72" t="s">
        <v>348</v>
      </c>
      <c r="I98" s="72" t="s">
        <v>61</v>
      </c>
      <c r="J98" s="72">
        <v>8111</v>
      </c>
      <c r="K98" s="92" t="str">
        <f>TEXT(DataAct_tbl[[#This Row],[DATE]],"MMM")</f>
        <v>Mar</v>
      </c>
      <c r="L98">
        <f>COUNTIF($H$6:H98,H98)</f>
        <v>8</v>
      </c>
      <c r="M98" s="68" t="str">
        <f>IF(AND(ISNA(VLOOKUP(DataAct_tbl[[#This Row],[BG CODE]],DataOB[Budget code],1,0)),DataAct_tbl[[#This Row],[Check Dub]]=1),"NEW","")</f>
        <v/>
      </c>
      <c r="N98" s="68" t="b">
        <f>AND(DataAct_tbl[[#This Row],[DATE]]&gt;=FirstDate,DataAct_tbl[[#This Row],[DATE]]&lt;=LastDate)</f>
        <v>1</v>
      </c>
    </row>
    <row r="99" spans="2:14" ht="14.4">
      <c r="B99" s="77">
        <v>45382</v>
      </c>
      <c r="C99" s="127" t="s">
        <v>361</v>
      </c>
      <c r="D99" s="68" t="s">
        <v>370</v>
      </c>
      <c r="E99" s="131"/>
      <c r="F99" s="132"/>
      <c r="G99" s="140">
        <v>4.4999999999999997E-3</v>
      </c>
      <c r="H99" s="72" t="s">
        <v>348</v>
      </c>
      <c r="I99" s="72" t="s">
        <v>61</v>
      </c>
      <c r="J99" s="72">
        <v>8111</v>
      </c>
      <c r="K99" s="92" t="str">
        <f>TEXT(DataAct_tbl[[#This Row],[DATE]],"MMM")</f>
        <v>Mar</v>
      </c>
      <c r="L99">
        <f>COUNTIF($H$6:H99,H99)</f>
        <v>9</v>
      </c>
      <c r="M99" s="68" t="str">
        <f>IF(AND(ISNA(VLOOKUP(DataAct_tbl[[#This Row],[BG CODE]],DataOB[Budget code],1,0)),DataAct_tbl[[#This Row],[Check Dub]]=1),"NEW","")</f>
        <v/>
      </c>
      <c r="N99" s="68" t="b">
        <f>AND(DataAct_tbl[[#This Row],[DATE]]&gt;=FirstDate,DataAct_tbl[[#This Row],[DATE]]&lt;=LastDate)</f>
        <v>1</v>
      </c>
    </row>
    <row r="100" spans="2:14" ht="14.4">
      <c r="B100" s="77">
        <v>45382</v>
      </c>
      <c r="C100" s="127" t="s">
        <v>361</v>
      </c>
      <c r="D100" s="68" t="s">
        <v>371</v>
      </c>
      <c r="E100" s="131"/>
      <c r="F100" s="132"/>
      <c r="G100" s="140">
        <v>3.6020000000000003E-2</v>
      </c>
      <c r="H100" s="72" t="s">
        <v>348</v>
      </c>
      <c r="I100" s="72" t="s">
        <v>61</v>
      </c>
      <c r="J100" s="72">
        <v>8111</v>
      </c>
      <c r="K100" s="92" t="str">
        <f>TEXT(DataAct_tbl[[#This Row],[DATE]],"MMM")</f>
        <v>Mar</v>
      </c>
      <c r="L100">
        <f>COUNTIF($H$6:H100,H100)</f>
        <v>10</v>
      </c>
      <c r="M100" s="68" t="str">
        <f>IF(AND(ISNA(VLOOKUP(DataAct_tbl[[#This Row],[BG CODE]],DataOB[Budget code],1,0)),DataAct_tbl[[#This Row],[Check Dub]]=1),"NEW","")</f>
        <v/>
      </c>
      <c r="N100" s="68" t="b">
        <f>AND(DataAct_tbl[[#This Row],[DATE]]&gt;=FirstDate,DataAct_tbl[[#This Row],[DATE]]&lt;=LastDate)</f>
        <v>1</v>
      </c>
    </row>
    <row r="101" spans="2:14" ht="14.4">
      <c r="B101" s="77">
        <v>45382</v>
      </c>
      <c r="C101" s="127" t="s">
        <v>361</v>
      </c>
      <c r="D101" s="68" t="s">
        <v>367</v>
      </c>
      <c r="E101" s="131"/>
      <c r="F101" s="132"/>
      <c r="G101" s="140">
        <v>1.7999999999999998E-4</v>
      </c>
      <c r="H101" s="72" t="s">
        <v>348</v>
      </c>
      <c r="I101" s="72" t="s">
        <v>61</v>
      </c>
      <c r="J101" s="72">
        <v>8111</v>
      </c>
      <c r="K101" s="92" t="str">
        <f>TEXT(DataAct_tbl[[#This Row],[DATE]],"MMM")</f>
        <v>Mar</v>
      </c>
      <c r="L101">
        <f>COUNTIF($H$6:H101,H101)</f>
        <v>11</v>
      </c>
      <c r="M101" s="68" t="str">
        <f>IF(AND(ISNA(VLOOKUP(DataAct_tbl[[#This Row],[BG CODE]],DataOB[Budget code],1,0)),DataAct_tbl[[#This Row],[Check Dub]]=1),"NEW","")</f>
        <v/>
      </c>
      <c r="N101" s="68" t="b">
        <f>AND(DataAct_tbl[[#This Row],[DATE]]&gt;=FirstDate,DataAct_tbl[[#This Row],[DATE]]&lt;=LastDate)</f>
        <v>1</v>
      </c>
    </row>
    <row r="102" spans="2:14" ht="14.4">
      <c r="B102" s="77">
        <v>45382</v>
      </c>
      <c r="C102" s="127" t="s">
        <v>361</v>
      </c>
      <c r="D102" s="68" t="s">
        <v>368</v>
      </c>
      <c r="E102" s="131"/>
      <c r="F102" s="132"/>
      <c r="G102" s="140">
        <v>2.9999999999999997E-5</v>
      </c>
      <c r="H102" s="72" t="s">
        <v>348</v>
      </c>
      <c r="I102" s="72" t="s">
        <v>61</v>
      </c>
      <c r="J102" s="72">
        <v>8111</v>
      </c>
      <c r="K102" s="92" t="str">
        <f>TEXT(DataAct_tbl[[#This Row],[DATE]],"MMM")</f>
        <v>Mar</v>
      </c>
      <c r="L102">
        <f>COUNTIF($H$6:H102,H102)</f>
        <v>12</v>
      </c>
      <c r="M102" s="68" t="str">
        <f>IF(AND(ISNA(VLOOKUP(DataAct_tbl[[#This Row],[BG CODE]],DataOB[Budget code],1,0)),DataAct_tbl[[#This Row],[Check Dub]]=1),"NEW","")</f>
        <v/>
      </c>
      <c r="N102" s="68" t="b">
        <f>AND(DataAct_tbl[[#This Row],[DATE]]&gt;=FirstDate,DataAct_tbl[[#This Row],[DATE]]&lt;=LastDate)</f>
        <v>1</v>
      </c>
    </row>
    <row r="103" spans="2:14" ht="14.4">
      <c r="B103" s="77">
        <v>45382</v>
      </c>
      <c r="C103" s="127" t="s">
        <v>361</v>
      </c>
      <c r="D103" s="68" t="s">
        <v>369</v>
      </c>
      <c r="E103" s="131"/>
      <c r="F103" s="132"/>
      <c r="G103" s="140">
        <v>3.8999999999999999E-4</v>
      </c>
      <c r="H103" s="72" t="s">
        <v>348</v>
      </c>
      <c r="I103" s="72" t="s">
        <v>61</v>
      </c>
      <c r="J103" s="72">
        <v>8111</v>
      </c>
      <c r="K103" s="92" t="str">
        <f>TEXT(DataAct_tbl[[#This Row],[DATE]],"MMM")</f>
        <v>Mar</v>
      </c>
      <c r="L103">
        <f>COUNTIF($H$6:H103,H103)</f>
        <v>13</v>
      </c>
      <c r="M103" s="68" t="str">
        <f>IF(AND(ISNA(VLOOKUP(DataAct_tbl[[#This Row],[BG CODE]],DataOB[Budget code],1,0)),DataAct_tbl[[#This Row],[Check Dub]]=1),"NEW","")</f>
        <v/>
      </c>
      <c r="N103" s="68" t="b">
        <f>AND(DataAct_tbl[[#This Row],[DATE]]&gt;=FirstDate,DataAct_tbl[[#This Row],[DATE]]&lt;=LastDate)</f>
        <v>1</v>
      </c>
    </row>
    <row r="104" spans="2:14" ht="14.4">
      <c r="B104" s="77">
        <v>45382</v>
      </c>
      <c r="C104" s="127" t="s">
        <v>361</v>
      </c>
      <c r="D104" s="68" t="s">
        <v>370</v>
      </c>
      <c r="E104" s="131"/>
      <c r="F104" s="132"/>
      <c r="G104" s="140">
        <v>2.0000000000000002E-5</v>
      </c>
      <c r="H104" s="123" t="s">
        <v>348</v>
      </c>
      <c r="I104" s="72" t="s">
        <v>61</v>
      </c>
      <c r="J104" s="72">
        <v>8111</v>
      </c>
      <c r="K104" s="92" t="str">
        <f>TEXT(DataAct_tbl[[#This Row],[DATE]],"MMM")</f>
        <v>Mar</v>
      </c>
      <c r="L104">
        <f>COUNTIF($H$6:H104,H104)</f>
        <v>14</v>
      </c>
      <c r="M104" s="68" t="str">
        <f>IF(AND(ISNA(VLOOKUP(DataAct_tbl[[#This Row],[BG CODE]],DataOB[Budget code],1,0)),DataAct_tbl[[#This Row],[Check Dub]]=1),"NEW","")</f>
        <v/>
      </c>
      <c r="N104" s="68" t="b">
        <f>AND(DataAct_tbl[[#This Row],[DATE]]&gt;=FirstDate,DataAct_tbl[[#This Row],[DATE]]&lt;=LastDate)</f>
        <v>1</v>
      </c>
    </row>
    <row r="105" spans="2:14" ht="14.4">
      <c r="B105" s="77">
        <v>45382</v>
      </c>
      <c r="C105" s="127" t="s">
        <v>361</v>
      </c>
      <c r="D105" s="68" t="s">
        <v>371</v>
      </c>
      <c r="E105" s="131"/>
      <c r="F105" s="132"/>
      <c r="G105" s="140">
        <v>1.3000000000000002E-4</v>
      </c>
      <c r="H105" s="72" t="s">
        <v>348</v>
      </c>
      <c r="I105" s="72" t="s">
        <v>61</v>
      </c>
      <c r="J105" s="72">
        <v>8111</v>
      </c>
      <c r="K105" s="92" t="str">
        <f>TEXT(DataAct_tbl[[#This Row],[DATE]],"MMM")</f>
        <v>Mar</v>
      </c>
      <c r="L105">
        <f>COUNTIF($H$6:H105,H105)</f>
        <v>15</v>
      </c>
      <c r="M105" s="68" t="str">
        <f>IF(AND(ISNA(VLOOKUP(DataAct_tbl[[#This Row],[BG CODE]],DataOB[Budget code],1,0)),DataAct_tbl[[#This Row],[Check Dub]]=1),"NEW","")</f>
        <v/>
      </c>
      <c r="N105" s="68" t="b">
        <f>AND(DataAct_tbl[[#This Row],[DATE]]&gt;=FirstDate,DataAct_tbl[[#This Row],[DATE]]&lt;=LastDate)</f>
        <v>1</v>
      </c>
    </row>
    <row r="106" spans="2:14" ht="14.4">
      <c r="B106" s="77">
        <v>45382</v>
      </c>
      <c r="C106" s="127" t="s">
        <v>361</v>
      </c>
      <c r="D106" s="68" t="s">
        <v>372</v>
      </c>
      <c r="E106" s="131"/>
      <c r="F106" s="132"/>
      <c r="G106" s="140">
        <v>7.0529999999999995E-2</v>
      </c>
      <c r="H106" s="137" t="s">
        <v>347</v>
      </c>
      <c r="I106" s="72" t="s">
        <v>61</v>
      </c>
      <c r="J106" s="72">
        <v>8111</v>
      </c>
      <c r="K106" s="92" t="str">
        <f>TEXT(DataAct_tbl[[#This Row],[DATE]],"MMM")</f>
        <v>Mar</v>
      </c>
      <c r="L106">
        <f>COUNTIF($H$6:H106,H106)</f>
        <v>6</v>
      </c>
      <c r="M106" s="68" t="str">
        <f>IF(AND(ISNA(VLOOKUP(DataAct_tbl[[#This Row],[BG CODE]],DataOB[Budget code],1,0)),DataAct_tbl[[#This Row],[Check Dub]]=1),"NEW","")</f>
        <v/>
      </c>
      <c r="N106" s="68" t="b">
        <f>AND(DataAct_tbl[[#This Row],[DATE]]&gt;=FirstDate,DataAct_tbl[[#This Row],[DATE]]&lt;=LastDate)</f>
        <v>1</v>
      </c>
    </row>
    <row r="107" spans="2:14" ht="14.4">
      <c r="B107" s="77">
        <v>45382</v>
      </c>
      <c r="C107" s="127" t="s">
        <v>361</v>
      </c>
      <c r="D107" s="68" t="s">
        <v>373</v>
      </c>
      <c r="E107" s="131"/>
      <c r="F107" s="132"/>
      <c r="G107" s="140">
        <v>1.4119999999999999E-2</v>
      </c>
      <c r="H107" s="137" t="s">
        <v>347</v>
      </c>
      <c r="I107" s="72" t="s">
        <v>61</v>
      </c>
      <c r="J107" s="72">
        <v>8111</v>
      </c>
      <c r="K107" s="92" t="str">
        <f>TEXT(DataAct_tbl[[#This Row],[DATE]],"MMM")</f>
        <v>Mar</v>
      </c>
      <c r="L107">
        <f>COUNTIF($H$6:H107,H107)</f>
        <v>7</v>
      </c>
      <c r="M107" s="68" t="str">
        <f>IF(AND(ISNA(VLOOKUP(DataAct_tbl[[#This Row],[BG CODE]],DataOB[Budget code],1,0)),DataAct_tbl[[#This Row],[Check Dub]]=1),"NEW","")</f>
        <v/>
      </c>
      <c r="N107" s="68" t="b">
        <f>AND(DataAct_tbl[[#This Row],[DATE]]&gt;=FirstDate,DataAct_tbl[[#This Row],[DATE]]&lt;=LastDate)</f>
        <v>1</v>
      </c>
    </row>
    <row r="108" spans="2:14" ht="14.4">
      <c r="B108" s="77">
        <v>45382</v>
      </c>
      <c r="C108" s="127" t="s">
        <v>361</v>
      </c>
      <c r="D108" s="68" t="s">
        <v>374</v>
      </c>
      <c r="E108" s="131"/>
      <c r="F108" s="132"/>
      <c r="G108" s="140">
        <v>9.3969999999999998E-2</v>
      </c>
      <c r="H108" s="137" t="s">
        <v>347</v>
      </c>
      <c r="I108" s="72" t="s">
        <v>61</v>
      </c>
      <c r="J108" s="72">
        <v>8111</v>
      </c>
      <c r="K108" s="92" t="str">
        <f>TEXT(DataAct_tbl[[#This Row],[DATE]],"MMM")</f>
        <v>Mar</v>
      </c>
      <c r="L108">
        <f>COUNTIF($H$6:H108,H108)</f>
        <v>8</v>
      </c>
      <c r="M108" s="68" t="str">
        <f>IF(AND(ISNA(VLOOKUP(DataAct_tbl[[#This Row],[BG CODE]],DataOB[Budget code],1,0)),DataAct_tbl[[#This Row],[Check Dub]]=1),"NEW","")</f>
        <v/>
      </c>
      <c r="N108" s="68" t="b">
        <f>AND(DataAct_tbl[[#This Row],[DATE]]&gt;=FirstDate,DataAct_tbl[[#This Row],[DATE]]&lt;=LastDate)</f>
        <v>1</v>
      </c>
    </row>
    <row r="109" spans="2:14" ht="14.4">
      <c r="B109" s="77">
        <v>45382</v>
      </c>
      <c r="C109" s="127" t="s">
        <v>361</v>
      </c>
      <c r="D109" s="68" t="s">
        <v>375</v>
      </c>
      <c r="E109" s="131"/>
      <c r="F109" s="132"/>
      <c r="G109" s="140">
        <v>5.9500000000000004E-3</v>
      </c>
      <c r="H109" s="137" t="s">
        <v>347</v>
      </c>
      <c r="I109" s="72" t="s">
        <v>61</v>
      </c>
      <c r="J109" s="72">
        <v>8111</v>
      </c>
      <c r="K109" s="92" t="str">
        <f>TEXT(DataAct_tbl[[#This Row],[DATE]],"MMM")</f>
        <v>Mar</v>
      </c>
      <c r="L109">
        <f>COUNTIF($H$6:H109,H109)</f>
        <v>9</v>
      </c>
      <c r="M109" s="68" t="str">
        <f>IF(AND(ISNA(VLOOKUP(DataAct_tbl[[#This Row],[BG CODE]],DataOB[Budget code],1,0)),DataAct_tbl[[#This Row],[Check Dub]]=1),"NEW","")</f>
        <v/>
      </c>
      <c r="N109" s="68" t="b">
        <f>AND(DataAct_tbl[[#This Row],[DATE]]&gt;=FirstDate,DataAct_tbl[[#This Row],[DATE]]&lt;=LastDate)</f>
        <v>1</v>
      </c>
    </row>
    <row r="110" spans="2:14" ht="14.4">
      <c r="B110" s="77">
        <v>45382</v>
      </c>
      <c r="C110" s="127" t="s">
        <v>361</v>
      </c>
      <c r="D110" s="68" t="s">
        <v>376</v>
      </c>
      <c r="E110" s="131"/>
      <c r="F110" s="132"/>
      <c r="G110" s="140">
        <v>4.1070000000000002E-2</v>
      </c>
      <c r="H110" s="72" t="s">
        <v>347</v>
      </c>
      <c r="I110" s="72" t="s">
        <v>61</v>
      </c>
      <c r="J110" s="72">
        <v>8111</v>
      </c>
      <c r="K110" s="92" t="str">
        <f>TEXT(DataAct_tbl[[#This Row],[DATE]],"MMM")</f>
        <v>Mar</v>
      </c>
      <c r="L110">
        <f>COUNTIF($H$6:H110,H110)</f>
        <v>10</v>
      </c>
      <c r="M110" s="68" t="str">
        <f>IF(AND(ISNA(VLOOKUP(DataAct_tbl[[#This Row],[BG CODE]],DataOB[Budget code],1,0)),DataAct_tbl[[#This Row],[Check Dub]]=1),"NEW","")</f>
        <v/>
      </c>
      <c r="N110" s="68" t="b">
        <f>AND(DataAct_tbl[[#This Row],[DATE]]&gt;=FirstDate,DataAct_tbl[[#This Row],[DATE]]&lt;=LastDate)</f>
        <v>1</v>
      </c>
    </row>
    <row r="111" spans="2:14" ht="14.4">
      <c r="B111" s="77">
        <v>45382</v>
      </c>
      <c r="C111" s="127" t="s">
        <v>361</v>
      </c>
      <c r="D111" s="68" t="s">
        <v>372</v>
      </c>
      <c r="E111" s="131"/>
      <c r="F111" s="132"/>
      <c r="G111" s="140">
        <v>2.0999999999999998E-4</v>
      </c>
      <c r="H111" s="72" t="s">
        <v>347</v>
      </c>
      <c r="I111" s="72" t="s">
        <v>61</v>
      </c>
      <c r="J111" s="72">
        <v>8111</v>
      </c>
      <c r="K111" s="92" t="str">
        <f>TEXT(DataAct_tbl[[#This Row],[DATE]],"MMM")</f>
        <v>Mar</v>
      </c>
      <c r="L111">
        <f>COUNTIF($H$6:H111,H111)</f>
        <v>11</v>
      </c>
      <c r="M111" s="68" t="str">
        <f>IF(AND(ISNA(VLOOKUP(DataAct_tbl[[#This Row],[BG CODE]],DataOB[Budget code],1,0)),DataAct_tbl[[#This Row],[Check Dub]]=1),"NEW","")</f>
        <v/>
      </c>
      <c r="N111" s="68" t="b">
        <f>AND(DataAct_tbl[[#This Row],[DATE]]&gt;=FirstDate,DataAct_tbl[[#This Row],[DATE]]&lt;=LastDate)</f>
        <v>1</v>
      </c>
    </row>
    <row r="112" spans="2:14" ht="14.4">
      <c r="B112" s="77">
        <v>45382</v>
      </c>
      <c r="C112" s="127" t="s">
        <v>361</v>
      </c>
      <c r="D112" s="68" t="s">
        <v>373</v>
      </c>
      <c r="E112" s="131"/>
      <c r="F112" s="132"/>
      <c r="G112" s="140">
        <v>4.0000000000000003E-5</v>
      </c>
      <c r="H112" s="72" t="s">
        <v>347</v>
      </c>
      <c r="I112" s="72" t="s">
        <v>61</v>
      </c>
      <c r="J112" s="72">
        <v>8111</v>
      </c>
      <c r="K112" s="92" t="str">
        <f>TEXT(DataAct_tbl[[#This Row],[DATE]],"MMM")</f>
        <v>Mar</v>
      </c>
      <c r="L112">
        <f>COUNTIF($H$6:H112,H112)</f>
        <v>12</v>
      </c>
      <c r="M112" s="68" t="str">
        <f>IF(AND(ISNA(VLOOKUP(DataAct_tbl[[#This Row],[BG CODE]],DataOB[Budget code],1,0)),DataAct_tbl[[#This Row],[Check Dub]]=1),"NEW","")</f>
        <v/>
      </c>
      <c r="N112" s="68" t="b">
        <f>AND(DataAct_tbl[[#This Row],[DATE]]&gt;=FirstDate,DataAct_tbl[[#This Row],[DATE]]&lt;=LastDate)</f>
        <v>1</v>
      </c>
    </row>
    <row r="113" spans="2:14" ht="14.4">
      <c r="B113" s="77">
        <v>45382</v>
      </c>
      <c r="C113" s="127" t="s">
        <v>361</v>
      </c>
      <c r="D113" s="68" t="s">
        <v>374</v>
      </c>
      <c r="E113" s="131"/>
      <c r="F113" s="132"/>
      <c r="G113" s="140">
        <v>2.7E-4</v>
      </c>
      <c r="H113" s="72" t="s">
        <v>347</v>
      </c>
      <c r="I113" s="72" t="s">
        <v>61</v>
      </c>
      <c r="J113" s="72">
        <v>8111</v>
      </c>
      <c r="K113" s="92" t="str">
        <f>TEXT(DataAct_tbl[[#This Row],[DATE]],"MMM")</f>
        <v>Mar</v>
      </c>
      <c r="L113">
        <f>COUNTIF($H$6:H113,H113)</f>
        <v>13</v>
      </c>
      <c r="M113" s="68" t="str">
        <f>IF(AND(ISNA(VLOOKUP(DataAct_tbl[[#This Row],[BG CODE]],DataOB[Budget code],1,0)),DataAct_tbl[[#This Row],[Check Dub]]=1),"NEW","")</f>
        <v/>
      </c>
      <c r="N113" s="68" t="b">
        <f>AND(DataAct_tbl[[#This Row],[DATE]]&gt;=FirstDate,DataAct_tbl[[#This Row],[DATE]]&lt;=LastDate)</f>
        <v>1</v>
      </c>
    </row>
    <row r="114" spans="2:14" ht="14.4">
      <c r="B114" s="77">
        <v>45382</v>
      </c>
      <c r="C114" s="127" t="s">
        <v>361</v>
      </c>
      <c r="D114" s="68" t="s">
        <v>375</v>
      </c>
      <c r="E114" s="131"/>
      <c r="F114" s="132"/>
      <c r="G114" s="140">
        <v>2.0000000000000002E-5</v>
      </c>
      <c r="H114" s="72" t="s">
        <v>347</v>
      </c>
      <c r="I114" s="72" t="s">
        <v>61</v>
      </c>
      <c r="J114" s="72">
        <v>8111</v>
      </c>
      <c r="K114" s="92" t="str">
        <f>TEXT(DataAct_tbl[[#This Row],[DATE]],"MMM")</f>
        <v>Mar</v>
      </c>
      <c r="L114">
        <f>COUNTIF($H$6:H114,H114)</f>
        <v>14</v>
      </c>
      <c r="M114" s="68" t="str">
        <f>IF(AND(ISNA(VLOOKUP(DataAct_tbl[[#This Row],[BG CODE]],DataOB[Budget code],1,0)),DataAct_tbl[[#This Row],[Check Dub]]=1),"NEW","")</f>
        <v/>
      </c>
      <c r="N114" s="68" t="b">
        <f>AND(DataAct_tbl[[#This Row],[DATE]]&gt;=FirstDate,DataAct_tbl[[#This Row],[DATE]]&lt;=LastDate)</f>
        <v>1</v>
      </c>
    </row>
    <row r="115" spans="2:14" ht="14.4">
      <c r="B115" s="77">
        <v>45382</v>
      </c>
      <c r="C115" s="127" t="s">
        <v>361</v>
      </c>
      <c r="D115" s="68" t="s">
        <v>376</v>
      </c>
      <c r="E115" s="131"/>
      <c r="F115" s="132"/>
      <c r="G115" s="140">
        <v>1.1999999999999999E-4</v>
      </c>
      <c r="H115" s="72" t="s">
        <v>347</v>
      </c>
      <c r="I115" s="72" t="s">
        <v>61</v>
      </c>
      <c r="J115" s="72">
        <v>8111</v>
      </c>
      <c r="K115" s="92" t="str">
        <f>TEXT(DataAct_tbl[[#This Row],[DATE]],"MMM")</f>
        <v>Mar</v>
      </c>
      <c r="L115">
        <f>COUNTIF($H$6:H115,H115)</f>
        <v>15</v>
      </c>
      <c r="M115" s="68" t="str">
        <f>IF(AND(ISNA(VLOOKUP(DataAct_tbl[[#This Row],[BG CODE]],DataOB[Budget code],1,0)),DataAct_tbl[[#This Row],[Check Dub]]=1),"NEW","")</f>
        <v/>
      </c>
      <c r="N115" s="68" t="b">
        <f>AND(DataAct_tbl[[#This Row],[DATE]]&gt;=FirstDate,DataAct_tbl[[#This Row],[DATE]]&lt;=LastDate)</f>
        <v>1</v>
      </c>
    </row>
    <row r="116" spans="2:14" ht="14.4">
      <c r="B116" s="77">
        <v>45382</v>
      </c>
      <c r="C116" s="127" t="s">
        <v>361</v>
      </c>
      <c r="D116" s="68" t="s">
        <v>377</v>
      </c>
      <c r="E116" s="131"/>
      <c r="F116" s="132"/>
      <c r="G116" s="140">
        <v>8.7590000000000001E-2</v>
      </c>
      <c r="H116" s="72" t="s">
        <v>100</v>
      </c>
      <c r="I116" s="72" t="s">
        <v>61</v>
      </c>
      <c r="J116" s="72">
        <v>8111</v>
      </c>
      <c r="K116" s="92" t="str">
        <f>TEXT(DataAct_tbl[[#This Row],[DATE]],"MMM")</f>
        <v>Mar</v>
      </c>
      <c r="L116">
        <f>COUNTIF($H$6:H116,H116)</f>
        <v>24</v>
      </c>
      <c r="M116" s="68" t="str">
        <f>IF(AND(ISNA(VLOOKUP(DataAct_tbl[[#This Row],[BG CODE]],DataOB[Budget code],1,0)),DataAct_tbl[[#This Row],[Check Dub]]=1),"NEW","")</f>
        <v/>
      </c>
      <c r="N116" s="68" t="b">
        <f>AND(DataAct_tbl[[#This Row],[DATE]]&gt;=FirstDate,DataAct_tbl[[#This Row],[DATE]]&lt;=LastDate)</f>
        <v>1</v>
      </c>
    </row>
    <row r="117" spans="2:14" ht="14.4">
      <c r="B117" s="77">
        <v>45382</v>
      </c>
      <c r="C117" s="127" t="s">
        <v>361</v>
      </c>
      <c r="D117" s="68" t="s">
        <v>377</v>
      </c>
      <c r="E117" s="131"/>
      <c r="F117" s="132"/>
      <c r="G117" s="140">
        <v>3.8999999999999999E-4</v>
      </c>
      <c r="H117" s="137" t="s">
        <v>100</v>
      </c>
      <c r="I117" s="72" t="s">
        <v>61</v>
      </c>
      <c r="J117" s="72">
        <v>8111</v>
      </c>
      <c r="K117" s="92" t="str">
        <f>TEXT(DataAct_tbl[[#This Row],[DATE]],"MMM")</f>
        <v>Mar</v>
      </c>
      <c r="L117">
        <f>COUNTIF($H$6:H117,H117)</f>
        <v>25</v>
      </c>
      <c r="M117" s="68" t="str">
        <f>IF(AND(ISNA(VLOOKUP(DataAct_tbl[[#This Row],[BG CODE]],DataOB[Budget code],1,0)),DataAct_tbl[[#This Row],[Check Dub]]=1),"NEW","")</f>
        <v/>
      </c>
      <c r="N117" s="68" t="b">
        <f>AND(DataAct_tbl[[#This Row],[DATE]]&gt;=FirstDate,DataAct_tbl[[#This Row],[DATE]]&lt;=LastDate)</f>
        <v>1</v>
      </c>
    </row>
    <row r="118" spans="2:14" ht="14.4">
      <c r="B118" s="77">
        <v>45382</v>
      </c>
      <c r="C118" s="127" t="s">
        <v>361</v>
      </c>
      <c r="D118" s="68" t="s">
        <v>377</v>
      </c>
      <c r="E118" s="131"/>
      <c r="F118" s="132"/>
      <c r="G118" s="140">
        <v>8.7590000000000001E-2</v>
      </c>
      <c r="H118" s="72" t="s">
        <v>100</v>
      </c>
      <c r="I118" s="72" t="s">
        <v>61</v>
      </c>
      <c r="J118" s="72">
        <v>8111</v>
      </c>
      <c r="K118" s="92" t="str">
        <f>TEXT(DataAct_tbl[[#This Row],[DATE]],"MMM")</f>
        <v>Mar</v>
      </c>
      <c r="L118">
        <f>COUNTIF($H$6:H118,H118)</f>
        <v>26</v>
      </c>
      <c r="M118" s="68" t="str">
        <f>IF(AND(ISNA(VLOOKUP(DataAct_tbl[[#This Row],[BG CODE]],DataOB[Budget code],1,0)),DataAct_tbl[[#This Row],[Check Dub]]=1),"NEW","")</f>
        <v/>
      </c>
      <c r="N118" s="68" t="b">
        <f>AND(DataAct_tbl[[#This Row],[DATE]]&gt;=FirstDate,DataAct_tbl[[#This Row],[DATE]]&lt;=LastDate)</f>
        <v>1</v>
      </c>
    </row>
    <row r="119" spans="2:14" ht="14.4">
      <c r="B119" s="77">
        <v>45382</v>
      </c>
      <c r="C119" s="127" t="s">
        <v>361</v>
      </c>
      <c r="D119" s="68" t="s">
        <v>377</v>
      </c>
      <c r="E119" s="131"/>
      <c r="F119" s="132"/>
      <c r="G119" s="140">
        <v>3.8000000000000002E-4</v>
      </c>
      <c r="H119" s="72" t="s">
        <v>100</v>
      </c>
      <c r="I119" s="72" t="s">
        <v>61</v>
      </c>
      <c r="J119" s="72">
        <v>8111</v>
      </c>
      <c r="K119" s="92" t="str">
        <f>TEXT(DataAct_tbl[[#This Row],[DATE]],"MMM")</f>
        <v>Mar</v>
      </c>
      <c r="L119">
        <f>COUNTIF($H$6:H119,H119)</f>
        <v>27</v>
      </c>
      <c r="M119" s="68" t="str">
        <f>IF(AND(ISNA(VLOOKUP(DataAct_tbl[[#This Row],[BG CODE]],DataOB[Budget code],1,0)),DataAct_tbl[[#This Row],[Check Dub]]=1),"NEW","")</f>
        <v/>
      </c>
      <c r="N119" s="68" t="b">
        <f>AND(DataAct_tbl[[#This Row],[DATE]]&gt;=FirstDate,DataAct_tbl[[#This Row],[DATE]]&lt;=LastDate)</f>
        <v>1</v>
      </c>
    </row>
    <row r="120" spans="2:14" ht="14.4">
      <c r="B120" s="77">
        <v>45382</v>
      </c>
      <c r="C120" s="127" t="s">
        <v>378</v>
      </c>
      <c r="D120" s="68" t="s">
        <v>108</v>
      </c>
      <c r="E120" s="131"/>
      <c r="F120" s="132"/>
      <c r="G120" s="140">
        <v>0.23988999999999999</v>
      </c>
      <c r="H120" s="72" t="s">
        <v>114</v>
      </c>
      <c r="I120" s="72" t="s">
        <v>62</v>
      </c>
      <c r="J120" s="72">
        <v>1611</v>
      </c>
      <c r="K120" s="92" t="str">
        <f>TEXT(DataAct_tbl[[#This Row],[DATE]],"MMM")</f>
        <v>Mar</v>
      </c>
      <c r="L120">
        <f>COUNTIF($H$6:H120,H120)</f>
        <v>3</v>
      </c>
      <c r="M120" s="68" t="str">
        <f>IF(AND(ISNA(VLOOKUP(DataAct_tbl[[#This Row],[BG CODE]],DataOB[Budget code],1,0)),DataAct_tbl[[#This Row],[Check Dub]]=1),"NEW","")</f>
        <v/>
      </c>
      <c r="N120" s="68" t="b">
        <f>AND(DataAct_tbl[[#This Row],[DATE]]&gt;=FirstDate,DataAct_tbl[[#This Row],[DATE]]&lt;=LastDate)</f>
        <v>1</v>
      </c>
    </row>
    <row r="121" spans="2:14" ht="14.4">
      <c r="B121" s="77">
        <v>45382</v>
      </c>
      <c r="C121" s="127" t="s">
        <v>379</v>
      </c>
      <c r="D121" s="68" t="s">
        <v>380</v>
      </c>
      <c r="E121" s="131"/>
      <c r="F121" s="132"/>
      <c r="G121" s="140">
        <v>6.9100000000000003E-3</v>
      </c>
      <c r="H121" s="137" t="s">
        <v>99</v>
      </c>
      <c r="I121" s="72" t="s">
        <v>102</v>
      </c>
      <c r="J121" s="72">
        <v>8111</v>
      </c>
      <c r="K121" s="92" t="str">
        <f>TEXT(DataAct_tbl[[#This Row],[DATE]],"MMM")</f>
        <v>Mar</v>
      </c>
      <c r="L121">
        <f>COUNTIF($H$6:H121,H121)</f>
        <v>21</v>
      </c>
      <c r="M121" s="68" t="str">
        <f>IF(AND(ISNA(VLOOKUP(DataAct_tbl[[#This Row],[BG CODE]],DataOB[Budget code],1,0)),DataAct_tbl[[#This Row],[Check Dub]]=1),"NEW","")</f>
        <v/>
      </c>
      <c r="N121" s="68" t="b">
        <f>AND(DataAct_tbl[[#This Row],[DATE]]&gt;=FirstDate,DataAct_tbl[[#This Row],[DATE]]&lt;=LastDate)</f>
        <v>1</v>
      </c>
    </row>
    <row r="122" spans="2:14" ht="14.4">
      <c r="B122" s="77">
        <v>45382</v>
      </c>
      <c r="C122" s="127" t="s">
        <v>379</v>
      </c>
      <c r="D122" s="68" t="s">
        <v>381</v>
      </c>
      <c r="E122" s="131"/>
      <c r="F122" s="132"/>
      <c r="G122" s="140">
        <v>6.9100000000000003E-3</v>
      </c>
      <c r="H122" s="72" t="s">
        <v>99</v>
      </c>
      <c r="I122" s="72" t="s">
        <v>102</v>
      </c>
      <c r="J122" s="72">
        <v>8111</v>
      </c>
      <c r="K122" s="92" t="str">
        <f>TEXT(DataAct_tbl[[#This Row],[DATE]],"MMM")</f>
        <v>Mar</v>
      </c>
      <c r="L122">
        <f>COUNTIF($H$6:H122,H122)</f>
        <v>22</v>
      </c>
      <c r="M122" s="68" t="str">
        <f>IF(AND(ISNA(VLOOKUP(DataAct_tbl[[#This Row],[BG CODE]],DataOB[Budget code],1,0)),DataAct_tbl[[#This Row],[Check Dub]]=1),"NEW","")</f>
        <v/>
      </c>
      <c r="N122" s="68" t="b">
        <f>AND(DataAct_tbl[[#This Row],[DATE]]&gt;=FirstDate,DataAct_tbl[[#This Row],[DATE]]&lt;=LastDate)</f>
        <v>1</v>
      </c>
    </row>
    <row r="123" spans="2:14" ht="14.4">
      <c r="B123" s="77">
        <v>45382</v>
      </c>
      <c r="C123" s="127" t="s">
        <v>379</v>
      </c>
      <c r="D123" s="68" t="s">
        <v>382</v>
      </c>
      <c r="E123" s="131"/>
      <c r="F123" s="132"/>
      <c r="G123" s="140">
        <v>6.9100000000000003E-3</v>
      </c>
      <c r="H123" s="72" t="s">
        <v>99</v>
      </c>
      <c r="I123" s="72" t="s">
        <v>102</v>
      </c>
      <c r="J123" s="72">
        <v>8111</v>
      </c>
      <c r="K123" s="92" t="str">
        <f>TEXT(DataAct_tbl[[#This Row],[DATE]],"MMM")</f>
        <v>Mar</v>
      </c>
      <c r="L123">
        <f>COUNTIF($H$6:H123,H123)</f>
        <v>23</v>
      </c>
      <c r="M123" s="68" t="str">
        <f>IF(AND(ISNA(VLOOKUP(DataAct_tbl[[#This Row],[BG CODE]],DataOB[Budget code],1,0)),DataAct_tbl[[#This Row],[Check Dub]]=1),"NEW","")</f>
        <v/>
      </c>
      <c r="N123" s="68" t="b">
        <f>AND(DataAct_tbl[[#This Row],[DATE]]&gt;=FirstDate,DataAct_tbl[[#This Row],[DATE]]&lt;=LastDate)</f>
        <v>1</v>
      </c>
    </row>
    <row r="124" spans="2:14" ht="14.4">
      <c r="B124" s="77">
        <v>45382</v>
      </c>
      <c r="C124" s="127" t="s">
        <v>379</v>
      </c>
      <c r="D124" s="68" t="s">
        <v>383</v>
      </c>
      <c r="E124" s="131"/>
      <c r="F124" s="132"/>
      <c r="G124" s="140">
        <v>6.9000000000000008E-3</v>
      </c>
      <c r="H124" s="72" t="s">
        <v>99</v>
      </c>
      <c r="I124" s="72" t="s">
        <v>102</v>
      </c>
      <c r="J124" s="72">
        <v>8111</v>
      </c>
      <c r="K124" s="92" t="str">
        <f>TEXT(DataAct_tbl[[#This Row],[DATE]],"MMM")</f>
        <v>Mar</v>
      </c>
      <c r="L124">
        <f>COUNTIF($H$6:H124,H124)</f>
        <v>24</v>
      </c>
      <c r="M124" s="68" t="str">
        <f>IF(AND(ISNA(VLOOKUP(DataAct_tbl[[#This Row],[BG CODE]],DataOB[Budget code],1,0)),DataAct_tbl[[#This Row],[Check Dub]]=1),"NEW","")</f>
        <v/>
      </c>
      <c r="N124" s="68" t="b">
        <f>AND(DataAct_tbl[[#This Row],[DATE]]&gt;=FirstDate,DataAct_tbl[[#This Row],[DATE]]&lt;=LastDate)</f>
        <v>1</v>
      </c>
    </row>
    <row r="125" spans="2:14" ht="14.4">
      <c r="B125" s="77">
        <v>45382</v>
      </c>
      <c r="C125" s="127" t="s">
        <v>384</v>
      </c>
      <c r="D125" s="68" t="s">
        <v>385</v>
      </c>
      <c r="E125" s="131"/>
      <c r="F125" s="132"/>
      <c r="G125" s="140">
        <v>0.57330999999999999</v>
      </c>
      <c r="H125" s="72" t="s">
        <v>110</v>
      </c>
      <c r="I125" s="72" t="s">
        <v>61</v>
      </c>
      <c r="J125" s="72">
        <v>8311</v>
      </c>
      <c r="K125" s="92" t="str">
        <f>TEXT(DataAct_tbl[[#This Row],[DATE]],"MMM")</f>
        <v>Mar</v>
      </c>
      <c r="L125">
        <f>COUNTIF($H$6:H125,H125)</f>
        <v>3</v>
      </c>
      <c r="M125" s="68" t="str">
        <f>IF(AND(ISNA(VLOOKUP(DataAct_tbl[[#This Row],[BG CODE]],DataOB[Budget code],1,0)),DataAct_tbl[[#This Row],[Check Dub]]=1),"NEW","")</f>
        <v/>
      </c>
      <c r="N125" s="68" t="b">
        <f>AND(DataAct_tbl[[#This Row],[DATE]]&gt;=FirstDate,DataAct_tbl[[#This Row],[DATE]]&lt;=LastDate)</f>
        <v>1</v>
      </c>
    </row>
    <row r="126" spans="2:14" ht="14.4">
      <c r="B126" s="77">
        <v>45382</v>
      </c>
      <c r="C126" s="127" t="s">
        <v>384</v>
      </c>
      <c r="D126" s="68" t="s">
        <v>385</v>
      </c>
      <c r="E126" s="131"/>
      <c r="F126" s="132"/>
      <c r="G126" s="140">
        <v>2.0309999999999998E-2</v>
      </c>
      <c r="H126" s="72" t="s">
        <v>110</v>
      </c>
      <c r="I126" s="72" t="s">
        <v>61</v>
      </c>
      <c r="J126" s="72">
        <v>8311</v>
      </c>
      <c r="K126" s="92" t="str">
        <f>TEXT(DataAct_tbl[[#This Row],[DATE]],"MMM")</f>
        <v>Mar</v>
      </c>
      <c r="L126">
        <f>COUNTIF($H$6:H126,H126)</f>
        <v>4</v>
      </c>
      <c r="M126" s="68" t="str">
        <f>IF(AND(ISNA(VLOOKUP(DataAct_tbl[[#This Row],[BG CODE]],DataOB[Budget code],1,0)),DataAct_tbl[[#This Row],[Check Dub]]=1),"NEW","")</f>
        <v/>
      </c>
      <c r="N126" s="68" t="b">
        <f>AND(DataAct_tbl[[#This Row],[DATE]]&gt;=FirstDate,DataAct_tbl[[#This Row],[DATE]]&lt;=LastDate)</f>
        <v>1</v>
      </c>
    </row>
    <row r="127" spans="2:14" ht="14.4">
      <c r="B127" s="77">
        <v>45382</v>
      </c>
      <c r="C127" s="127" t="s">
        <v>384</v>
      </c>
      <c r="D127" s="68" t="s">
        <v>386</v>
      </c>
      <c r="E127" s="131"/>
      <c r="F127" s="132"/>
      <c r="G127" s="140">
        <v>1.2999999999999999E-2</v>
      </c>
      <c r="H127" s="72" t="s">
        <v>389</v>
      </c>
      <c r="I127" s="72" t="s">
        <v>61</v>
      </c>
      <c r="J127" s="72">
        <v>8514</v>
      </c>
      <c r="K127" s="92" t="str">
        <f>TEXT(DataAct_tbl[[#This Row],[DATE]],"MMM")</f>
        <v>Mar</v>
      </c>
      <c r="L127">
        <f>COUNTIF($H$6:H127,H127)</f>
        <v>2</v>
      </c>
      <c r="M127" s="68" t="str">
        <f>IF(AND(ISNA(VLOOKUP(DataAct_tbl[[#This Row],[BG CODE]],DataOB[Budget code],1,0)),DataAct_tbl[[#This Row],[Check Dub]]=1),"NEW","")</f>
        <v/>
      </c>
      <c r="N127" s="68" t="b">
        <f>AND(DataAct_tbl[[#This Row],[DATE]]&gt;=FirstDate,DataAct_tbl[[#This Row],[DATE]]&lt;=LastDate)</f>
        <v>1</v>
      </c>
    </row>
    <row r="128" spans="2:14" ht="14.4">
      <c r="B128" s="77">
        <v>45382</v>
      </c>
      <c r="C128" s="127" t="s">
        <v>297</v>
      </c>
      <c r="D128" s="68" t="s">
        <v>387</v>
      </c>
      <c r="E128" s="131"/>
      <c r="F128" s="132"/>
      <c r="G128" s="140">
        <v>-80.781630000000007</v>
      </c>
      <c r="H128" s="72" t="s">
        <v>348</v>
      </c>
      <c r="I128" s="72" t="s">
        <v>62</v>
      </c>
      <c r="J128" s="72">
        <v>8111</v>
      </c>
      <c r="K128" s="92" t="str">
        <f>TEXT(DataAct_tbl[[#This Row],[DATE]],"MMM")</f>
        <v>Mar</v>
      </c>
      <c r="L128">
        <f>COUNTIF($H$6:H128,H128)</f>
        <v>16</v>
      </c>
      <c r="M128" s="68" t="str">
        <f>IF(AND(ISNA(VLOOKUP(DataAct_tbl[[#This Row],[BG CODE]],DataOB[Budget code],1,0)),DataAct_tbl[[#This Row],[Check Dub]]=1),"NEW","")</f>
        <v/>
      </c>
      <c r="N128" s="68" t="b">
        <f>AND(DataAct_tbl[[#This Row],[DATE]]&gt;=FirstDate,DataAct_tbl[[#This Row],[DATE]]&lt;=LastDate)</f>
        <v>1</v>
      </c>
    </row>
    <row r="129" spans="2:14" ht="14.4">
      <c r="B129" s="77">
        <v>45382</v>
      </c>
      <c r="C129" s="127" t="s">
        <v>361</v>
      </c>
      <c r="D129" s="68" t="s">
        <v>388</v>
      </c>
      <c r="E129" s="131"/>
      <c r="F129" s="132"/>
      <c r="G129" s="140">
        <v>-0.10807</v>
      </c>
      <c r="H129" s="72" t="s">
        <v>348</v>
      </c>
      <c r="I129" s="72" t="s">
        <v>61</v>
      </c>
      <c r="J129" s="72">
        <v>8111</v>
      </c>
      <c r="K129" s="92" t="str">
        <f>TEXT(DataAct_tbl[[#This Row],[DATE]],"MMM")</f>
        <v>Mar</v>
      </c>
      <c r="L129">
        <f>COUNTIF($H$6:H129,H129)</f>
        <v>17</v>
      </c>
      <c r="M129" s="68" t="str">
        <f>IF(AND(ISNA(VLOOKUP(DataAct_tbl[[#This Row],[BG CODE]],DataOB[Budget code],1,0)),DataAct_tbl[[#This Row],[Check Dub]]=1),"NEW","")</f>
        <v/>
      </c>
      <c r="N129" s="68" t="b">
        <f>AND(DataAct_tbl[[#This Row],[DATE]]&gt;=FirstDate,DataAct_tbl[[#This Row],[DATE]]&lt;=LastDate)</f>
        <v>1</v>
      </c>
    </row>
    <row r="130" spans="2:14" ht="14.4">
      <c r="B130" s="77">
        <v>45382</v>
      </c>
      <c r="C130" s="127" t="s">
        <v>361</v>
      </c>
      <c r="D130" s="68" t="s">
        <v>388</v>
      </c>
      <c r="E130" s="131"/>
      <c r="F130" s="132"/>
      <c r="G130" s="140">
        <v>-3.8999999999999999E-4</v>
      </c>
      <c r="H130" s="72" t="s">
        <v>348</v>
      </c>
      <c r="I130" s="72" t="s">
        <v>61</v>
      </c>
      <c r="J130" s="72">
        <v>8111</v>
      </c>
      <c r="K130" s="92" t="str">
        <f>TEXT(DataAct_tbl[[#This Row],[DATE]],"MMM")</f>
        <v>Mar</v>
      </c>
      <c r="L130">
        <f>COUNTIF($H$6:H130,H130)</f>
        <v>18</v>
      </c>
      <c r="M130" s="68" t="str">
        <f>IF(AND(ISNA(VLOOKUP(DataAct_tbl[[#This Row],[BG CODE]],DataOB[Budget code],1,0)),DataAct_tbl[[#This Row],[Check Dub]]=1),"NEW","")</f>
        <v/>
      </c>
      <c r="N130" s="68" t="b">
        <f>AND(DataAct_tbl[[#This Row],[DATE]]&gt;=FirstDate,DataAct_tbl[[#This Row],[DATE]]&lt;=LastDate)</f>
        <v>1</v>
      </c>
    </row>
    <row r="131" spans="2:14" ht="14.4">
      <c r="B131" s="77">
        <v>45412</v>
      </c>
      <c r="C131" s="127" t="s">
        <v>408</v>
      </c>
      <c r="D131" s="68" t="s">
        <v>409</v>
      </c>
      <c r="E131" s="131"/>
      <c r="F131" s="132"/>
      <c r="G131" s="140">
        <v>0.19882</v>
      </c>
      <c r="H131" s="72" t="s">
        <v>351</v>
      </c>
      <c r="I131" s="72" t="s">
        <v>62</v>
      </c>
      <c r="J131" s="72">
        <v>8411</v>
      </c>
      <c r="K131" s="92" t="str">
        <f>TEXT(DataAct_tbl[[#This Row],[DATE]],"MMM")</f>
        <v>Apr</v>
      </c>
      <c r="L131">
        <f>COUNTIF($H$6:H131,H131)</f>
        <v>5</v>
      </c>
      <c r="M131" s="68" t="str">
        <f>IF(AND(ISNA(VLOOKUP(DataAct_tbl[[#This Row],[BG CODE]],DataOB[Budget code],1,0)),DataAct_tbl[[#This Row],[Check Dub]]=1),"NEW","")</f>
        <v/>
      </c>
      <c r="N131" s="68" t="b">
        <f>AND(DataAct_tbl[[#This Row],[DATE]]&gt;=FirstDate,DataAct_tbl[[#This Row],[DATE]]&lt;=LastDate)</f>
        <v>1</v>
      </c>
    </row>
    <row r="132" spans="2:14" ht="14.4">
      <c r="B132" s="77">
        <v>45412</v>
      </c>
      <c r="C132" s="127" t="s">
        <v>410</v>
      </c>
      <c r="D132" s="68" t="s">
        <v>411</v>
      </c>
      <c r="E132" s="131"/>
      <c r="F132" s="132"/>
      <c r="G132" s="140">
        <v>1.7000000000000001E-4</v>
      </c>
      <c r="H132" s="72" t="s">
        <v>351</v>
      </c>
      <c r="I132" s="72" t="s">
        <v>61</v>
      </c>
      <c r="J132" s="72">
        <v>8411</v>
      </c>
      <c r="K132" s="92" t="str">
        <f>TEXT(DataAct_tbl[[#This Row],[DATE]],"MMM")</f>
        <v>Apr</v>
      </c>
      <c r="L132">
        <f>COUNTIF($H$6:H132,H132)</f>
        <v>6</v>
      </c>
      <c r="M132" s="68" t="str">
        <f>IF(AND(ISNA(VLOOKUP(DataAct_tbl[[#This Row],[BG CODE]],DataOB[Budget code],1,0)),DataAct_tbl[[#This Row],[Check Dub]]=1),"NEW","")</f>
        <v/>
      </c>
      <c r="N132" s="68" t="b">
        <f>AND(DataAct_tbl[[#This Row],[DATE]]&gt;=FirstDate,DataAct_tbl[[#This Row],[DATE]]&lt;=LastDate)</f>
        <v>1</v>
      </c>
    </row>
    <row r="133" spans="2:14" ht="14.4">
      <c r="B133" s="77">
        <v>45412</v>
      </c>
      <c r="C133" s="127" t="s">
        <v>408</v>
      </c>
      <c r="D133" s="68" t="s">
        <v>412</v>
      </c>
      <c r="E133" s="131"/>
      <c r="F133" s="132"/>
      <c r="G133" s="140">
        <v>1.8609899999999999</v>
      </c>
      <c r="H133" s="72" t="s">
        <v>487</v>
      </c>
      <c r="I133" s="72" t="s">
        <v>62</v>
      </c>
      <c r="J133" s="72">
        <v>8311</v>
      </c>
      <c r="K133" s="92" t="str">
        <f>TEXT(DataAct_tbl[[#This Row],[DATE]],"MMM")</f>
        <v>Apr</v>
      </c>
      <c r="L133">
        <f>COUNTIF($H$6:H133,H133)</f>
        <v>1</v>
      </c>
      <c r="M133" s="68" t="str">
        <f>IF(AND(ISNA(VLOOKUP(DataAct_tbl[[#This Row],[BG CODE]],DataOB[Budget code],1,0)),DataAct_tbl[[#This Row],[Check Dub]]=1),"NEW","")</f>
        <v/>
      </c>
      <c r="N133" s="68" t="b">
        <f>AND(DataAct_tbl[[#This Row],[DATE]]&gt;=FirstDate,DataAct_tbl[[#This Row],[DATE]]&lt;=LastDate)</f>
        <v>1</v>
      </c>
    </row>
    <row r="134" spans="2:14" ht="14.4">
      <c r="B134" s="77">
        <v>45412</v>
      </c>
      <c r="C134" s="127" t="s">
        <v>408</v>
      </c>
      <c r="D134" s="68" t="s">
        <v>412</v>
      </c>
      <c r="E134" s="131"/>
      <c r="F134" s="132"/>
      <c r="G134" s="140">
        <v>1.8609899999999999</v>
      </c>
      <c r="H134" s="72" t="s">
        <v>487</v>
      </c>
      <c r="I134" s="72" t="s">
        <v>62</v>
      </c>
      <c r="J134" s="72">
        <v>8311</v>
      </c>
      <c r="K134" s="92" t="str">
        <f>TEXT(DataAct_tbl[[#This Row],[DATE]],"MMM")</f>
        <v>Apr</v>
      </c>
      <c r="L134">
        <f>COUNTIF($H$6:H134,H134)</f>
        <v>2</v>
      </c>
      <c r="M134" s="68" t="str">
        <f>IF(AND(ISNA(VLOOKUP(DataAct_tbl[[#This Row],[BG CODE]],DataOB[Budget code],1,0)),DataAct_tbl[[#This Row],[Check Dub]]=1),"NEW","")</f>
        <v/>
      </c>
      <c r="N134" s="68" t="b">
        <f>AND(DataAct_tbl[[#This Row],[DATE]]&gt;=FirstDate,DataAct_tbl[[#This Row],[DATE]]&lt;=LastDate)</f>
        <v>1</v>
      </c>
    </row>
    <row r="135" spans="2:14" ht="14.4">
      <c r="B135" s="77">
        <v>45412</v>
      </c>
      <c r="C135" s="127" t="s">
        <v>408</v>
      </c>
      <c r="D135" s="68" t="s">
        <v>412</v>
      </c>
      <c r="E135" s="131"/>
      <c r="F135" s="132"/>
      <c r="G135" s="140">
        <v>1.8609800000000001</v>
      </c>
      <c r="H135" s="72" t="s">
        <v>487</v>
      </c>
      <c r="I135" s="72" t="s">
        <v>62</v>
      </c>
      <c r="J135" s="72">
        <v>8311</v>
      </c>
      <c r="K135" s="92" t="str">
        <f>TEXT(DataAct_tbl[[#This Row],[DATE]],"MMM")</f>
        <v>Apr</v>
      </c>
      <c r="L135">
        <f>COUNTIF($H$6:H135,H135)</f>
        <v>3</v>
      </c>
      <c r="M135" s="68" t="str">
        <f>IF(AND(ISNA(VLOOKUP(DataAct_tbl[[#This Row],[BG CODE]],DataOB[Budget code],1,0)),DataAct_tbl[[#This Row],[Check Dub]]=1),"NEW","")</f>
        <v/>
      </c>
      <c r="N135" s="68" t="b">
        <f>AND(DataAct_tbl[[#This Row],[DATE]]&gt;=FirstDate,DataAct_tbl[[#This Row],[DATE]]&lt;=LastDate)</f>
        <v>1</v>
      </c>
    </row>
    <row r="136" spans="2:14" ht="14.4">
      <c r="B136" s="77">
        <v>45412</v>
      </c>
      <c r="C136" s="127" t="s">
        <v>408</v>
      </c>
      <c r="D136" s="68" t="s">
        <v>412</v>
      </c>
      <c r="E136" s="131"/>
      <c r="F136" s="132"/>
      <c r="G136" s="140">
        <v>1.8609800000000001</v>
      </c>
      <c r="H136" s="72" t="s">
        <v>487</v>
      </c>
      <c r="I136" s="72" t="s">
        <v>62</v>
      </c>
      <c r="J136" s="72">
        <v>8311</v>
      </c>
      <c r="K136" s="92" t="str">
        <f>TEXT(DataAct_tbl[[#This Row],[DATE]],"MMM")</f>
        <v>Apr</v>
      </c>
      <c r="L136">
        <f>COUNTIF($H$6:H136,H136)</f>
        <v>4</v>
      </c>
      <c r="M136" s="68" t="str">
        <f>IF(AND(ISNA(VLOOKUP(DataAct_tbl[[#This Row],[BG CODE]],DataOB[Budget code],1,0)),DataAct_tbl[[#This Row],[Check Dub]]=1),"NEW","")</f>
        <v/>
      </c>
      <c r="N136" s="68" t="b">
        <f>AND(DataAct_tbl[[#This Row],[DATE]]&gt;=FirstDate,DataAct_tbl[[#This Row],[DATE]]&lt;=LastDate)</f>
        <v>1</v>
      </c>
    </row>
    <row r="137" spans="2:14" ht="14.4">
      <c r="B137" s="77">
        <v>45412</v>
      </c>
      <c r="C137" s="127" t="s">
        <v>408</v>
      </c>
      <c r="D137" s="68" t="s">
        <v>412</v>
      </c>
      <c r="E137" s="131"/>
      <c r="F137" s="132"/>
      <c r="G137" s="140">
        <v>1.8609800000000001</v>
      </c>
      <c r="H137" s="72" t="s">
        <v>487</v>
      </c>
      <c r="I137" s="72" t="s">
        <v>62</v>
      </c>
      <c r="J137" s="72">
        <v>8311</v>
      </c>
      <c r="K137" s="92" t="str">
        <f>TEXT(DataAct_tbl[[#This Row],[DATE]],"MMM")</f>
        <v>Apr</v>
      </c>
      <c r="L137">
        <f>COUNTIF($H$6:H137,H137)</f>
        <v>5</v>
      </c>
      <c r="M137" s="68" t="str">
        <f>IF(AND(ISNA(VLOOKUP(DataAct_tbl[[#This Row],[BG CODE]],DataOB[Budget code],1,0)),DataAct_tbl[[#This Row],[Check Dub]]=1),"NEW","")</f>
        <v/>
      </c>
      <c r="N137" s="68" t="b">
        <f>AND(DataAct_tbl[[#This Row],[DATE]]&gt;=FirstDate,DataAct_tbl[[#This Row],[DATE]]&lt;=LastDate)</f>
        <v>1</v>
      </c>
    </row>
    <row r="138" spans="2:14" ht="14.4">
      <c r="B138" s="77">
        <v>45412</v>
      </c>
      <c r="C138" s="127" t="s">
        <v>408</v>
      </c>
      <c r="D138" s="68" t="s">
        <v>412</v>
      </c>
      <c r="E138" s="131"/>
      <c r="F138" s="132"/>
      <c r="G138" s="140">
        <v>1.8609800000000001</v>
      </c>
      <c r="H138" s="72" t="s">
        <v>487</v>
      </c>
      <c r="I138" s="72" t="s">
        <v>62</v>
      </c>
      <c r="J138" s="72">
        <v>8311</v>
      </c>
      <c r="K138" s="92" t="str">
        <f>TEXT(DataAct_tbl[[#This Row],[DATE]],"MMM")</f>
        <v>Apr</v>
      </c>
      <c r="L138">
        <f>COUNTIF($H$6:H138,H138)</f>
        <v>6</v>
      </c>
      <c r="M138" s="68" t="str">
        <f>IF(AND(ISNA(VLOOKUP(DataAct_tbl[[#This Row],[BG CODE]],DataOB[Budget code],1,0)),DataAct_tbl[[#This Row],[Check Dub]]=1),"NEW","")</f>
        <v/>
      </c>
      <c r="N138" s="68" t="b">
        <f>AND(DataAct_tbl[[#This Row],[DATE]]&gt;=FirstDate,DataAct_tbl[[#This Row],[DATE]]&lt;=LastDate)</f>
        <v>1</v>
      </c>
    </row>
    <row r="139" spans="2:14" ht="14.4">
      <c r="B139" s="77">
        <v>45412</v>
      </c>
      <c r="C139" s="127" t="s">
        <v>410</v>
      </c>
      <c r="D139" s="68" t="s">
        <v>413</v>
      </c>
      <c r="E139" s="131"/>
      <c r="F139" s="132"/>
      <c r="G139" s="140">
        <v>1.6100000000000001E-3</v>
      </c>
      <c r="H139" s="72" t="s">
        <v>487</v>
      </c>
      <c r="I139" s="72" t="s">
        <v>61</v>
      </c>
      <c r="J139" s="72">
        <v>8311</v>
      </c>
      <c r="K139" s="92" t="str">
        <f>TEXT(DataAct_tbl[[#This Row],[DATE]],"MMM")</f>
        <v>Apr</v>
      </c>
      <c r="L139">
        <f>COUNTIF($H$6:H139,H139)</f>
        <v>7</v>
      </c>
      <c r="M139" s="68" t="str">
        <f>IF(AND(ISNA(VLOOKUP(DataAct_tbl[[#This Row],[BG CODE]],DataOB[Budget code],1,0)),DataAct_tbl[[#This Row],[Check Dub]]=1),"NEW","")</f>
        <v/>
      </c>
      <c r="N139" s="68" t="b">
        <f>AND(DataAct_tbl[[#This Row],[DATE]]&gt;=FirstDate,DataAct_tbl[[#This Row],[DATE]]&lt;=LastDate)</f>
        <v>1</v>
      </c>
    </row>
    <row r="140" spans="2:14" ht="14.4">
      <c r="B140" s="77">
        <v>45412</v>
      </c>
      <c r="C140" s="127" t="s">
        <v>410</v>
      </c>
      <c r="D140" s="68" t="s">
        <v>413</v>
      </c>
      <c r="E140" s="131"/>
      <c r="F140" s="132"/>
      <c r="G140" s="140">
        <v>1.6100000000000001E-3</v>
      </c>
      <c r="H140" s="72" t="s">
        <v>487</v>
      </c>
      <c r="I140" s="72" t="s">
        <v>61</v>
      </c>
      <c r="J140" s="72">
        <v>8311</v>
      </c>
      <c r="K140" s="92" t="str">
        <f>TEXT(DataAct_tbl[[#This Row],[DATE]],"MMM")</f>
        <v>Apr</v>
      </c>
      <c r="L140">
        <f>COUNTIF($H$6:H140,H140)</f>
        <v>8</v>
      </c>
      <c r="M140" s="68" t="str">
        <f>IF(AND(ISNA(VLOOKUP(DataAct_tbl[[#This Row],[BG CODE]],DataOB[Budget code],1,0)),DataAct_tbl[[#This Row],[Check Dub]]=1),"NEW","")</f>
        <v/>
      </c>
      <c r="N140" s="68" t="b">
        <f>AND(DataAct_tbl[[#This Row],[DATE]]&gt;=FirstDate,DataAct_tbl[[#This Row],[DATE]]&lt;=LastDate)</f>
        <v>1</v>
      </c>
    </row>
    <row r="141" spans="2:14" ht="14.4">
      <c r="B141" s="77">
        <v>45412</v>
      </c>
      <c r="C141" s="127" t="s">
        <v>410</v>
      </c>
      <c r="D141" s="68" t="s">
        <v>413</v>
      </c>
      <c r="E141" s="131"/>
      <c r="F141" s="132"/>
      <c r="G141" s="140">
        <v>1.6100000000000001E-3</v>
      </c>
      <c r="H141" s="72" t="s">
        <v>487</v>
      </c>
      <c r="I141" s="72" t="s">
        <v>61</v>
      </c>
      <c r="J141" s="72">
        <v>8311</v>
      </c>
      <c r="K141" s="92" t="str">
        <f>TEXT(DataAct_tbl[[#This Row],[DATE]],"MMM")</f>
        <v>Apr</v>
      </c>
      <c r="L141">
        <f>COUNTIF($H$6:H141,H141)</f>
        <v>9</v>
      </c>
      <c r="M141" s="68" t="str">
        <f>IF(AND(ISNA(VLOOKUP(DataAct_tbl[[#This Row],[BG CODE]],DataOB[Budget code],1,0)),DataAct_tbl[[#This Row],[Check Dub]]=1),"NEW","")</f>
        <v/>
      </c>
      <c r="N141" s="68" t="b">
        <f>AND(DataAct_tbl[[#This Row],[DATE]]&gt;=FirstDate,DataAct_tbl[[#This Row],[DATE]]&lt;=LastDate)</f>
        <v>1</v>
      </c>
    </row>
    <row r="142" spans="2:14" ht="14.4">
      <c r="B142" s="77">
        <v>45412</v>
      </c>
      <c r="C142" s="127" t="s">
        <v>410</v>
      </c>
      <c r="D142" s="68" t="s">
        <v>413</v>
      </c>
      <c r="E142" s="131"/>
      <c r="F142" s="132"/>
      <c r="G142" s="140">
        <v>1.6000000000000001E-3</v>
      </c>
      <c r="H142" s="72" t="s">
        <v>487</v>
      </c>
      <c r="I142" s="72" t="s">
        <v>61</v>
      </c>
      <c r="J142" s="72">
        <v>8311</v>
      </c>
      <c r="K142" s="92" t="str">
        <f>TEXT(DataAct_tbl[[#This Row],[DATE]],"MMM")</f>
        <v>Apr</v>
      </c>
      <c r="L142">
        <f>COUNTIF($H$6:H142,H142)</f>
        <v>10</v>
      </c>
      <c r="M142" s="68" t="str">
        <f>IF(AND(ISNA(VLOOKUP(DataAct_tbl[[#This Row],[BG CODE]],DataOB[Budget code],1,0)),DataAct_tbl[[#This Row],[Check Dub]]=1),"NEW","")</f>
        <v/>
      </c>
      <c r="N142" s="68" t="b">
        <f>AND(DataAct_tbl[[#This Row],[DATE]]&gt;=FirstDate,DataAct_tbl[[#This Row],[DATE]]&lt;=LastDate)</f>
        <v>1</v>
      </c>
    </row>
    <row r="143" spans="2:14" ht="14.4">
      <c r="B143" s="77">
        <v>45412</v>
      </c>
      <c r="C143" s="127" t="s">
        <v>410</v>
      </c>
      <c r="D143" s="68" t="s">
        <v>413</v>
      </c>
      <c r="E143" s="131"/>
      <c r="F143" s="132"/>
      <c r="G143" s="140">
        <v>1.6000000000000001E-3</v>
      </c>
      <c r="H143" s="72" t="s">
        <v>487</v>
      </c>
      <c r="I143" s="72" t="s">
        <v>61</v>
      </c>
      <c r="J143" s="72">
        <v>8311</v>
      </c>
      <c r="K143" s="92" t="str">
        <f>TEXT(DataAct_tbl[[#This Row],[DATE]],"MMM")</f>
        <v>Apr</v>
      </c>
      <c r="L143">
        <f>COUNTIF($H$6:H143,H143)</f>
        <v>11</v>
      </c>
      <c r="M143" s="68" t="str">
        <f>IF(AND(ISNA(VLOOKUP(DataAct_tbl[[#This Row],[BG CODE]],DataOB[Budget code],1,0)),DataAct_tbl[[#This Row],[Check Dub]]=1),"NEW","")</f>
        <v/>
      </c>
      <c r="N143" s="68" t="b">
        <f>AND(DataAct_tbl[[#This Row],[DATE]]&gt;=FirstDate,DataAct_tbl[[#This Row],[DATE]]&lt;=LastDate)</f>
        <v>1</v>
      </c>
    </row>
    <row r="144" spans="2:14" ht="14.4">
      <c r="B144" s="77">
        <v>45412</v>
      </c>
      <c r="C144" s="127" t="s">
        <v>410</v>
      </c>
      <c r="D144" s="68" t="s">
        <v>413</v>
      </c>
      <c r="E144" s="131"/>
      <c r="F144" s="132"/>
      <c r="G144" s="140">
        <v>1.6000000000000001E-3</v>
      </c>
      <c r="H144" s="72" t="s">
        <v>487</v>
      </c>
      <c r="I144" s="72" t="s">
        <v>61</v>
      </c>
      <c r="J144" s="72">
        <v>8311</v>
      </c>
      <c r="K144" s="92" t="str">
        <f>TEXT(DataAct_tbl[[#This Row],[DATE]],"MMM")</f>
        <v>Apr</v>
      </c>
      <c r="L144">
        <f>COUNTIF($H$6:H144,H144)</f>
        <v>12</v>
      </c>
      <c r="M144" s="68" t="str">
        <f>IF(AND(ISNA(VLOOKUP(DataAct_tbl[[#This Row],[BG CODE]],DataOB[Budget code],1,0)),DataAct_tbl[[#This Row],[Check Dub]]=1),"NEW","")</f>
        <v/>
      </c>
      <c r="N144" s="68" t="b">
        <f>AND(DataAct_tbl[[#This Row],[DATE]]&gt;=FirstDate,DataAct_tbl[[#This Row],[DATE]]&lt;=LastDate)</f>
        <v>1</v>
      </c>
    </row>
    <row r="145" spans="2:14" ht="14.4">
      <c r="B145" s="77">
        <v>45412</v>
      </c>
      <c r="C145" s="127" t="s">
        <v>414</v>
      </c>
      <c r="D145" s="68" t="s">
        <v>415</v>
      </c>
      <c r="E145" s="131"/>
      <c r="F145" s="132"/>
      <c r="G145" s="140">
        <v>1.5679999999999999E-2</v>
      </c>
      <c r="H145" s="72" t="s">
        <v>351</v>
      </c>
      <c r="I145" s="72" t="s">
        <v>62</v>
      </c>
      <c r="J145" s="72">
        <v>8411</v>
      </c>
      <c r="K145" s="92" t="str">
        <f>TEXT(DataAct_tbl[[#This Row],[DATE]],"MMM")</f>
        <v>Apr</v>
      </c>
      <c r="L145">
        <f>COUNTIF($H$6:H145,H145)</f>
        <v>7</v>
      </c>
      <c r="M145" s="68" t="str">
        <f>IF(AND(ISNA(VLOOKUP(DataAct_tbl[[#This Row],[BG CODE]],DataOB[Budget code],1,0)),DataAct_tbl[[#This Row],[Check Dub]]=1),"NEW","")</f>
        <v/>
      </c>
      <c r="N145" s="68" t="b">
        <f>AND(DataAct_tbl[[#This Row],[DATE]]&gt;=FirstDate,DataAct_tbl[[#This Row],[DATE]]&lt;=LastDate)</f>
        <v>1</v>
      </c>
    </row>
    <row r="146" spans="2:14" ht="14.4">
      <c r="B146" s="77">
        <v>45412</v>
      </c>
      <c r="C146" s="127" t="s">
        <v>410</v>
      </c>
      <c r="D146" s="68" t="s">
        <v>416</v>
      </c>
      <c r="E146" s="131"/>
      <c r="F146" s="132"/>
      <c r="G146" s="140">
        <v>2.0999999999999998E-4</v>
      </c>
      <c r="H146" s="72" t="s">
        <v>351</v>
      </c>
      <c r="I146" s="72" t="s">
        <v>61</v>
      </c>
      <c r="J146" s="72">
        <v>8411</v>
      </c>
      <c r="K146" s="92" t="str">
        <f>TEXT(DataAct_tbl[[#This Row],[DATE]],"MMM")</f>
        <v>Apr</v>
      </c>
      <c r="L146">
        <f>COUNTIF($H$6:H146,H146)</f>
        <v>8</v>
      </c>
      <c r="M146" s="68" t="str">
        <f>IF(AND(ISNA(VLOOKUP(DataAct_tbl[[#This Row],[BG CODE]],DataOB[Budget code],1,0)),DataAct_tbl[[#This Row],[Check Dub]]=1),"NEW","")</f>
        <v/>
      </c>
      <c r="N146" s="68" t="b">
        <f>AND(DataAct_tbl[[#This Row],[DATE]]&gt;=FirstDate,DataAct_tbl[[#This Row],[DATE]]&lt;=LastDate)</f>
        <v>1</v>
      </c>
    </row>
    <row r="147" spans="2:14" ht="14.4">
      <c r="B147" s="77">
        <v>45412</v>
      </c>
      <c r="C147" s="127" t="s">
        <v>417</v>
      </c>
      <c r="D147" s="68" t="s">
        <v>418</v>
      </c>
      <c r="E147" s="131"/>
      <c r="F147" s="132"/>
      <c r="G147" s="140">
        <v>4.9669999999999999E-2</v>
      </c>
      <c r="H147" s="72" t="s">
        <v>351</v>
      </c>
      <c r="I147" s="72" t="s">
        <v>62</v>
      </c>
      <c r="J147" s="72">
        <v>8411</v>
      </c>
      <c r="K147" s="92" t="str">
        <f>TEXT(DataAct_tbl[[#This Row],[DATE]],"MMM")</f>
        <v>Apr</v>
      </c>
      <c r="L147">
        <f>COUNTIF($H$6:H147,H147)</f>
        <v>9</v>
      </c>
      <c r="M147" s="68" t="str">
        <f>IF(AND(ISNA(VLOOKUP(DataAct_tbl[[#This Row],[BG CODE]],DataOB[Budget code],1,0)),DataAct_tbl[[#This Row],[Check Dub]]=1),"NEW","")</f>
        <v/>
      </c>
      <c r="N147" s="68" t="b">
        <f>AND(DataAct_tbl[[#This Row],[DATE]]&gt;=FirstDate,DataAct_tbl[[#This Row],[DATE]]&lt;=LastDate)</f>
        <v>1</v>
      </c>
    </row>
    <row r="148" spans="2:14" ht="14.4">
      <c r="B148" s="77">
        <v>45412</v>
      </c>
      <c r="C148" s="127" t="s">
        <v>417</v>
      </c>
      <c r="D148" s="68" t="s">
        <v>419</v>
      </c>
      <c r="E148" s="131"/>
      <c r="F148" s="132"/>
      <c r="G148" s="140">
        <v>4.768E-2</v>
      </c>
      <c r="H148" s="137" t="s">
        <v>351</v>
      </c>
      <c r="I148" s="72" t="s">
        <v>62</v>
      </c>
      <c r="J148" s="72">
        <v>8411</v>
      </c>
      <c r="K148" s="92" t="str">
        <f>TEXT(DataAct_tbl[[#This Row],[DATE]],"MMM")</f>
        <v>Apr</v>
      </c>
      <c r="L148">
        <f>COUNTIF($H$6:H148,H148)</f>
        <v>10</v>
      </c>
      <c r="M148" s="68" t="str">
        <f>IF(AND(ISNA(VLOOKUP(DataAct_tbl[[#This Row],[BG CODE]],DataOB[Budget code],1,0)),DataAct_tbl[[#This Row],[Check Dub]]=1),"NEW","")</f>
        <v/>
      </c>
      <c r="N148" s="68" t="b">
        <f>AND(DataAct_tbl[[#This Row],[DATE]]&gt;=FirstDate,DataAct_tbl[[#This Row],[DATE]]&lt;=LastDate)</f>
        <v>1</v>
      </c>
    </row>
    <row r="149" spans="2:14" ht="14.4">
      <c r="B149" s="77">
        <v>45412</v>
      </c>
      <c r="C149" s="118" t="s">
        <v>410</v>
      </c>
      <c r="D149" s="68" t="s">
        <v>420</v>
      </c>
      <c r="E149" s="131"/>
      <c r="F149" s="132"/>
      <c r="G149" s="140">
        <v>6.4900000000000001E-3</v>
      </c>
      <c r="H149" s="72" t="s">
        <v>351</v>
      </c>
      <c r="I149" s="72" t="s">
        <v>61</v>
      </c>
      <c r="J149" s="72">
        <v>8411</v>
      </c>
      <c r="K149" s="92" t="str">
        <f>TEXT(DataAct_tbl[[#This Row],[DATE]],"MMM")</f>
        <v>Apr</v>
      </c>
      <c r="L149">
        <f>COUNTIF($H$6:H149,H149)</f>
        <v>11</v>
      </c>
      <c r="M149" s="68" t="str">
        <f>IF(AND(ISNA(VLOOKUP(DataAct_tbl[[#This Row],[BG CODE]],DataOB[Budget code],1,0)),DataAct_tbl[[#This Row],[Check Dub]]=1),"NEW","")</f>
        <v/>
      </c>
      <c r="N149" s="68" t="b">
        <f>AND(DataAct_tbl[[#This Row],[DATE]]&gt;=FirstDate,DataAct_tbl[[#This Row],[DATE]]&lt;=LastDate)</f>
        <v>1</v>
      </c>
    </row>
    <row r="150" spans="2:14" ht="14.4">
      <c r="B150" s="77">
        <v>45412</v>
      </c>
      <c r="C150" s="118" t="s">
        <v>410</v>
      </c>
      <c r="D150" s="68" t="s">
        <v>421</v>
      </c>
      <c r="E150" s="131"/>
      <c r="F150" s="132"/>
      <c r="G150" s="140">
        <v>6.2300000000000003E-3</v>
      </c>
      <c r="H150" s="72" t="s">
        <v>351</v>
      </c>
      <c r="I150" s="72" t="s">
        <v>61</v>
      </c>
      <c r="J150" s="72">
        <v>8411</v>
      </c>
      <c r="K150" s="92" t="str">
        <f>TEXT(DataAct_tbl[[#This Row],[DATE]],"MMM")</f>
        <v>Apr</v>
      </c>
      <c r="L150">
        <f>COUNTIF($H$6:H150,H150)</f>
        <v>12</v>
      </c>
      <c r="M150" s="68" t="str">
        <f>IF(AND(ISNA(VLOOKUP(DataAct_tbl[[#This Row],[BG CODE]],DataOB[Budget code],1,0)),DataAct_tbl[[#This Row],[Check Dub]]=1),"NEW","")</f>
        <v/>
      </c>
      <c r="N150" s="68" t="b">
        <f>AND(DataAct_tbl[[#This Row],[DATE]]&gt;=FirstDate,DataAct_tbl[[#This Row],[DATE]]&lt;=LastDate)</f>
        <v>1</v>
      </c>
    </row>
    <row r="151" spans="2:14" ht="14.4">
      <c r="B151" s="77">
        <v>45412</v>
      </c>
      <c r="C151" s="118" t="s">
        <v>422</v>
      </c>
      <c r="D151" s="68" t="s">
        <v>423</v>
      </c>
      <c r="E151" s="131"/>
      <c r="F151" s="132"/>
      <c r="G151" s="140">
        <v>1.1339999999999999E-2</v>
      </c>
      <c r="H151" s="72" t="s">
        <v>351</v>
      </c>
      <c r="I151" s="72" t="s">
        <v>62</v>
      </c>
      <c r="J151" s="72">
        <v>8411</v>
      </c>
      <c r="K151" s="92" t="str">
        <f>TEXT(DataAct_tbl[[#This Row],[DATE]],"MMM")</f>
        <v>Apr</v>
      </c>
      <c r="L151">
        <f>COUNTIF($H$6:H151,H151)</f>
        <v>13</v>
      </c>
      <c r="M151" s="68" t="str">
        <f>IF(AND(ISNA(VLOOKUP(DataAct_tbl[[#This Row],[BG CODE]],DataOB[Budget code],1,0)),DataAct_tbl[[#This Row],[Check Dub]]=1),"NEW","")</f>
        <v/>
      </c>
      <c r="N151" s="68" t="b">
        <f>AND(DataAct_tbl[[#This Row],[DATE]]&gt;=FirstDate,DataAct_tbl[[#This Row],[DATE]]&lt;=LastDate)</f>
        <v>1</v>
      </c>
    </row>
    <row r="152" spans="2:14" ht="14.4">
      <c r="B152" s="77">
        <v>45412</v>
      </c>
      <c r="C152" s="118" t="s">
        <v>410</v>
      </c>
      <c r="D152" s="68" t="s">
        <v>424</v>
      </c>
      <c r="E152" s="131"/>
      <c r="F152" s="132"/>
      <c r="G152" s="140">
        <v>1.9000000000000001E-4</v>
      </c>
      <c r="H152" s="72" t="s">
        <v>351</v>
      </c>
      <c r="I152" s="72" t="s">
        <v>61</v>
      </c>
      <c r="J152" s="72">
        <v>8411</v>
      </c>
      <c r="K152" s="92" t="str">
        <f>TEXT(DataAct_tbl[[#This Row],[DATE]],"MMM")</f>
        <v>Apr</v>
      </c>
      <c r="L152">
        <f>COUNTIF($H$6:H152,H152)</f>
        <v>14</v>
      </c>
      <c r="M152" s="68" t="str">
        <f>IF(AND(ISNA(VLOOKUP(DataAct_tbl[[#This Row],[BG CODE]],DataOB[Budget code],1,0)),DataAct_tbl[[#This Row],[Check Dub]]=1),"NEW","")</f>
        <v/>
      </c>
      <c r="N152" s="68" t="b">
        <f>AND(DataAct_tbl[[#This Row],[DATE]]&gt;=FirstDate,DataAct_tbl[[#This Row],[DATE]]&lt;=LastDate)</f>
        <v>1</v>
      </c>
    </row>
    <row r="153" spans="2:14" ht="14.4">
      <c r="B153" s="77">
        <v>45412</v>
      </c>
      <c r="C153" s="118" t="s">
        <v>425</v>
      </c>
      <c r="D153" s="68" t="s">
        <v>426</v>
      </c>
      <c r="E153" s="131"/>
      <c r="F153" s="132"/>
      <c r="G153" s="140">
        <v>991.94398000000001</v>
      </c>
      <c r="H153" s="72" t="s">
        <v>488</v>
      </c>
      <c r="I153" s="72" t="s">
        <v>62</v>
      </c>
      <c r="J153" s="72">
        <v>8311</v>
      </c>
      <c r="K153" s="92" t="str">
        <f>TEXT(DataAct_tbl[[#This Row],[DATE]],"MMM")</f>
        <v>Apr</v>
      </c>
      <c r="L153">
        <f>COUNTIF($H$6:H153,H153)</f>
        <v>1</v>
      </c>
      <c r="M153" s="68" t="str">
        <f>IF(AND(ISNA(VLOOKUP(DataAct_tbl[[#This Row],[BG CODE]],DataOB[Budget code],1,0)),DataAct_tbl[[#This Row],[Check Dub]]=1),"NEW","")</f>
        <v/>
      </c>
      <c r="N153" s="68" t="b">
        <f>AND(DataAct_tbl[[#This Row],[DATE]]&gt;=FirstDate,DataAct_tbl[[#This Row],[DATE]]&lt;=LastDate)</f>
        <v>1</v>
      </c>
    </row>
    <row r="154" spans="2:14" ht="14.4">
      <c r="B154" s="77">
        <v>45412</v>
      </c>
      <c r="C154" s="118" t="s">
        <v>427</v>
      </c>
      <c r="D154" s="68" t="s">
        <v>428</v>
      </c>
      <c r="E154" s="131"/>
      <c r="F154" s="132"/>
      <c r="G154" s="140">
        <v>1.0625799999999999</v>
      </c>
      <c r="H154" s="72" t="s">
        <v>489</v>
      </c>
      <c r="I154" s="72" t="s">
        <v>62</v>
      </c>
      <c r="J154" s="72">
        <v>8311</v>
      </c>
      <c r="K154" s="92" t="str">
        <f>TEXT(DataAct_tbl[[#This Row],[DATE]],"MMM")</f>
        <v>Apr</v>
      </c>
      <c r="L154">
        <f>COUNTIF($H$6:H154,H154)</f>
        <v>1</v>
      </c>
      <c r="M154" s="68" t="str">
        <f>IF(AND(ISNA(VLOOKUP(DataAct_tbl[[#This Row],[BG CODE]],DataOB[Budget code],1,0)),DataAct_tbl[[#This Row],[Check Dub]]=1),"NEW","")</f>
        <v/>
      </c>
      <c r="N154" s="68" t="b">
        <f>AND(DataAct_tbl[[#This Row],[DATE]]&gt;=FirstDate,DataAct_tbl[[#This Row],[DATE]]&lt;=LastDate)</f>
        <v>1</v>
      </c>
    </row>
    <row r="155" spans="2:14" ht="14.4">
      <c r="B155" s="77">
        <v>45412</v>
      </c>
      <c r="C155" s="118" t="s">
        <v>427</v>
      </c>
      <c r="D155" s="68" t="s">
        <v>428</v>
      </c>
      <c r="E155" s="131"/>
      <c r="F155" s="132"/>
      <c r="G155" s="140">
        <v>1.0625799999999999</v>
      </c>
      <c r="H155" s="72" t="s">
        <v>489</v>
      </c>
      <c r="I155" s="72" t="s">
        <v>62</v>
      </c>
      <c r="J155" s="72">
        <v>8311</v>
      </c>
      <c r="K155" s="92" t="str">
        <f>TEXT(DataAct_tbl[[#This Row],[DATE]],"MMM")</f>
        <v>Apr</v>
      </c>
      <c r="L155">
        <f>COUNTIF($H$6:H155,H155)</f>
        <v>2</v>
      </c>
      <c r="M155" s="68" t="str">
        <f>IF(AND(ISNA(VLOOKUP(DataAct_tbl[[#This Row],[BG CODE]],DataOB[Budget code],1,0)),DataAct_tbl[[#This Row],[Check Dub]]=1),"NEW","")</f>
        <v/>
      </c>
      <c r="N155" s="68" t="b">
        <f>AND(DataAct_tbl[[#This Row],[DATE]]&gt;=FirstDate,DataAct_tbl[[#This Row],[DATE]]&lt;=LastDate)</f>
        <v>1</v>
      </c>
    </row>
    <row r="156" spans="2:14" ht="14.4">
      <c r="B156" s="77">
        <v>45412</v>
      </c>
      <c r="C156" s="118" t="s">
        <v>427</v>
      </c>
      <c r="D156" s="68" t="s">
        <v>428</v>
      </c>
      <c r="E156" s="131"/>
      <c r="F156" s="132"/>
      <c r="G156" s="140">
        <v>1.0625799999999999</v>
      </c>
      <c r="H156" s="72" t="s">
        <v>489</v>
      </c>
      <c r="I156" s="72" t="s">
        <v>62</v>
      </c>
      <c r="J156" s="72">
        <v>8311</v>
      </c>
      <c r="K156" s="92" t="str">
        <f>TEXT(DataAct_tbl[[#This Row],[DATE]],"MMM")</f>
        <v>Apr</v>
      </c>
      <c r="L156">
        <f>COUNTIF($H$6:H156,H156)</f>
        <v>3</v>
      </c>
      <c r="M156" s="68" t="str">
        <f>IF(AND(ISNA(VLOOKUP(DataAct_tbl[[#This Row],[BG CODE]],DataOB[Budget code],1,0)),DataAct_tbl[[#This Row],[Check Dub]]=1),"NEW","")</f>
        <v/>
      </c>
      <c r="N156" s="68" t="b">
        <f>AND(DataAct_tbl[[#This Row],[DATE]]&gt;=FirstDate,DataAct_tbl[[#This Row],[DATE]]&lt;=LastDate)</f>
        <v>1</v>
      </c>
    </row>
    <row r="157" spans="2:14" ht="14.4">
      <c r="B157" s="77">
        <v>45412</v>
      </c>
      <c r="C157" s="118" t="s">
        <v>427</v>
      </c>
      <c r="D157" s="68" t="s">
        <v>428</v>
      </c>
      <c r="E157" s="131"/>
      <c r="F157" s="132"/>
      <c r="G157" s="140">
        <v>1.0625799999999999</v>
      </c>
      <c r="H157" s="72" t="s">
        <v>489</v>
      </c>
      <c r="I157" s="72" t="s">
        <v>62</v>
      </c>
      <c r="J157" s="72">
        <v>8311</v>
      </c>
      <c r="K157" s="92" t="str">
        <f>TEXT(DataAct_tbl[[#This Row],[DATE]],"MMM")</f>
        <v>Apr</v>
      </c>
      <c r="L157">
        <f>COUNTIF($H$6:H157,H157)</f>
        <v>4</v>
      </c>
      <c r="M157" s="68" t="str">
        <f>IF(AND(ISNA(VLOOKUP(DataAct_tbl[[#This Row],[BG CODE]],DataOB[Budget code],1,0)),DataAct_tbl[[#This Row],[Check Dub]]=1),"NEW","")</f>
        <v/>
      </c>
      <c r="N157" s="68" t="b">
        <f>AND(DataAct_tbl[[#This Row],[DATE]]&gt;=FirstDate,DataAct_tbl[[#This Row],[DATE]]&lt;=LastDate)</f>
        <v>1</v>
      </c>
    </row>
    <row r="158" spans="2:14" ht="14.4">
      <c r="B158" s="77">
        <v>45412</v>
      </c>
      <c r="C158" s="118" t="s">
        <v>427</v>
      </c>
      <c r="D158" s="68" t="s">
        <v>428</v>
      </c>
      <c r="E158" s="131"/>
      <c r="F158" s="132"/>
      <c r="G158" s="140">
        <v>1.0625799999999999</v>
      </c>
      <c r="H158" s="72" t="s">
        <v>489</v>
      </c>
      <c r="I158" s="72" t="s">
        <v>62</v>
      </c>
      <c r="J158" s="72">
        <v>8311</v>
      </c>
      <c r="K158" s="92" t="str">
        <f>TEXT(DataAct_tbl[[#This Row],[DATE]],"MMM")</f>
        <v>Apr</v>
      </c>
      <c r="L158">
        <f>COUNTIF($H$6:H158,H158)</f>
        <v>5</v>
      </c>
      <c r="M158" s="68" t="str">
        <f>IF(AND(ISNA(VLOOKUP(DataAct_tbl[[#This Row],[BG CODE]],DataOB[Budget code],1,0)),DataAct_tbl[[#This Row],[Check Dub]]=1),"NEW","")</f>
        <v/>
      </c>
      <c r="N158" s="68" t="b">
        <f>AND(DataAct_tbl[[#This Row],[DATE]]&gt;=FirstDate,DataAct_tbl[[#This Row],[DATE]]&lt;=LastDate)</f>
        <v>1</v>
      </c>
    </row>
    <row r="159" spans="2:14" ht="14.4">
      <c r="B159" s="77">
        <v>45412</v>
      </c>
      <c r="C159" s="118" t="s">
        <v>427</v>
      </c>
      <c r="D159" s="68" t="s">
        <v>428</v>
      </c>
      <c r="E159" s="131"/>
      <c r="F159" s="132"/>
      <c r="G159" s="140">
        <v>1.0625799999999999</v>
      </c>
      <c r="H159" s="72" t="s">
        <v>489</v>
      </c>
      <c r="I159" s="72" t="s">
        <v>62</v>
      </c>
      <c r="J159" s="72">
        <v>8311</v>
      </c>
      <c r="K159" s="92" t="str">
        <f>TEXT(DataAct_tbl[[#This Row],[DATE]],"MMM")</f>
        <v>Apr</v>
      </c>
      <c r="L159">
        <f>COUNTIF($H$6:H159,H159)</f>
        <v>6</v>
      </c>
      <c r="M159" s="68" t="str">
        <f>IF(AND(ISNA(VLOOKUP(DataAct_tbl[[#This Row],[BG CODE]],DataOB[Budget code],1,0)),DataAct_tbl[[#This Row],[Check Dub]]=1),"NEW","")</f>
        <v/>
      </c>
      <c r="N159" s="68" t="b">
        <f>AND(DataAct_tbl[[#This Row],[DATE]]&gt;=FirstDate,DataAct_tbl[[#This Row],[DATE]]&lt;=LastDate)</f>
        <v>1</v>
      </c>
    </row>
    <row r="160" spans="2:14" ht="14.4">
      <c r="B160" s="77">
        <v>45412</v>
      </c>
      <c r="C160" s="118" t="s">
        <v>427</v>
      </c>
      <c r="D160" s="68" t="s">
        <v>428</v>
      </c>
      <c r="E160" s="131"/>
      <c r="F160" s="132"/>
      <c r="G160" s="140">
        <v>1.0625799999999999</v>
      </c>
      <c r="H160" s="72" t="s">
        <v>489</v>
      </c>
      <c r="I160" s="72" t="s">
        <v>62</v>
      </c>
      <c r="J160" s="72">
        <v>8311</v>
      </c>
      <c r="K160" s="92" t="str">
        <f>TEXT(DataAct_tbl[[#This Row],[DATE]],"MMM")</f>
        <v>Apr</v>
      </c>
      <c r="L160">
        <f>COUNTIF($H$6:H160,H160)</f>
        <v>7</v>
      </c>
      <c r="M160" s="68" t="str">
        <f>IF(AND(ISNA(VLOOKUP(DataAct_tbl[[#This Row],[BG CODE]],DataOB[Budget code],1,0)),DataAct_tbl[[#This Row],[Check Dub]]=1),"NEW","")</f>
        <v/>
      </c>
      <c r="N160" s="68" t="b">
        <f>AND(DataAct_tbl[[#This Row],[DATE]]&gt;=FirstDate,DataAct_tbl[[#This Row],[DATE]]&lt;=LastDate)</f>
        <v>1</v>
      </c>
    </row>
    <row r="161" spans="2:14" ht="14.4">
      <c r="B161" s="77">
        <v>45412</v>
      </c>
      <c r="C161" s="118" t="s">
        <v>427</v>
      </c>
      <c r="D161" s="68" t="s">
        <v>428</v>
      </c>
      <c r="E161" s="131"/>
      <c r="F161" s="132"/>
      <c r="G161" s="140">
        <v>1.0625799999999999</v>
      </c>
      <c r="H161" s="72" t="s">
        <v>489</v>
      </c>
      <c r="I161" s="72" t="s">
        <v>62</v>
      </c>
      <c r="J161" s="72">
        <v>8311</v>
      </c>
      <c r="K161" s="92" t="str">
        <f>TEXT(DataAct_tbl[[#This Row],[DATE]],"MMM")</f>
        <v>Apr</v>
      </c>
      <c r="L161">
        <f>COUNTIF($H$6:H161,H161)</f>
        <v>8</v>
      </c>
      <c r="M161" s="68" t="str">
        <f>IF(AND(ISNA(VLOOKUP(DataAct_tbl[[#This Row],[BG CODE]],DataOB[Budget code],1,0)),DataAct_tbl[[#This Row],[Check Dub]]=1),"NEW","")</f>
        <v/>
      </c>
      <c r="N161" s="68" t="b">
        <f>AND(DataAct_tbl[[#This Row],[DATE]]&gt;=FirstDate,DataAct_tbl[[#This Row],[DATE]]&lt;=LastDate)</f>
        <v>1</v>
      </c>
    </row>
    <row r="162" spans="2:14" ht="14.4">
      <c r="B162" s="77">
        <v>45412</v>
      </c>
      <c r="C162" s="118" t="s">
        <v>427</v>
      </c>
      <c r="D162" s="68" t="s">
        <v>428</v>
      </c>
      <c r="E162" s="131"/>
      <c r="F162" s="132"/>
      <c r="G162" s="140">
        <v>1.0625799999999999</v>
      </c>
      <c r="H162" s="137" t="s">
        <v>489</v>
      </c>
      <c r="I162" s="72" t="s">
        <v>62</v>
      </c>
      <c r="J162" s="72">
        <v>8311</v>
      </c>
      <c r="K162" s="92" t="str">
        <f>TEXT(DataAct_tbl[[#This Row],[DATE]],"MMM")</f>
        <v>Apr</v>
      </c>
      <c r="L162">
        <f>COUNTIF($H$6:H162,H162)</f>
        <v>9</v>
      </c>
      <c r="M162" s="68" t="str">
        <f>IF(AND(ISNA(VLOOKUP(DataAct_tbl[[#This Row],[BG CODE]],DataOB[Budget code],1,0)),DataAct_tbl[[#This Row],[Check Dub]]=1),"NEW","")</f>
        <v/>
      </c>
      <c r="N162" s="68" t="b">
        <f>AND(DataAct_tbl[[#This Row],[DATE]]&gt;=FirstDate,DataAct_tbl[[#This Row],[DATE]]&lt;=LastDate)</f>
        <v>1</v>
      </c>
    </row>
    <row r="163" spans="2:14" ht="14.4">
      <c r="B163" s="77">
        <v>45412</v>
      </c>
      <c r="C163" s="118" t="s">
        <v>427</v>
      </c>
      <c r="D163" s="68" t="s">
        <v>428</v>
      </c>
      <c r="E163" s="131"/>
      <c r="F163" s="132"/>
      <c r="G163" s="140">
        <v>1.0625799999999999</v>
      </c>
      <c r="H163" s="137" t="s">
        <v>489</v>
      </c>
      <c r="I163" s="72" t="s">
        <v>62</v>
      </c>
      <c r="J163" s="72">
        <v>8311</v>
      </c>
      <c r="K163" s="92" t="str">
        <f>TEXT(DataAct_tbl[[#This Row],[DATE]],"MMM")</f>
        <v>Apr</v>
      </c>
      <c r="L163">
        <f>COUNTIF($H$6:H163,H163)</f>
        <v>10</v>
      </c>
      <c r="M163" s="68" t="str">
        <f>IF(AND(ISNA(VLOOKUP(DataAct_tbl[[#This Row],[BG CODE]],DataOB[Budget code],1,0)),DataAct_tbl[[#This Row],[Check Dub]]=1),"NEW","")</f>
        <v/>
      </c>
      <c r="N163" s="68" t="b">
        <f>AND(DataAct_tbl[[#This Row],[DATE]]&gt;=FirstDate,DataAct_tbl[[#This Row],[DATE]]&lt;=LastDate)</f>
        <v>1</v>
      </c>
    </row>
    <row r="164" spans="2:14" ht="14.4">
      <c r="B164" s="77">
        <v>45412</v>
      </c>
      <c r="C164" s="118" t="s">
        <v>427</v>
      </c>
      <c r="D164" s="68" t="s">
        <v>428</v>
      </c>
      <c r="E164" s="131"/>
      <c r="F164" s="132"/>
      <c r="G164" s="140">
        <v>1.0625799999999999</v>
      </c>
      <c r="H164" s="137" t="s">
        <v>489</v>
      </c>
      <c r="I164" s="72" t="s">
        <v>62</v>
      </c>
      <c r="J164" s="72">
        <v>8311</v>
      </c>
      <c r="K164" s="92" t="str">
        <f>TEXT(DataAct_tbl[[#This Row],[DATE]],"MMM")</f>
        <v>Apr</v>
      </c>
      <c r="L164">
        <f>COUNTIF($H$6:H164,H164)</f>
        <v>11</v>
      </c>
      <c r="M164" s="68" t="str">
        <f>IF(AND(ISNA(VLOOKUP(DataAct_tbl[[#This Row],[BG CODE]],DataOB[Budget code],1,0)),DataAct_tbl[[#This Row],[Check Dub]]=1),"NEW","")</f>
        <v/>
      </c>
      <c r="N164" s="68" t="b">
        <f>AND(DataAct_tbl[[#This Row],[DATE]]&gt;=FirstDate,DataAct_tbl[[#This Row],[DATE]]&lt;=LastDate)</f>
        <v>1</v>
      </c>
    </row>
    <row r="165" spans="2:14" ht="14.4">
      <c r="B165" s="77">
        <v>45412</v>
      </c>
      <c r="C165" s="118" t="s">
        <v>427</v>
      </c>
      <c r="D165" s="68" t="s">
        <v>428</v>
      </c>
      <c r="E165" s="131"/>
      <c r="F165" s="132"/>
      <c r="G165" s="140">
        <v>1.0625799999999999</v>
      </c>
      <c r="H165" s="72" t="s">
        <v>489</v>
      </c>
      <c r="I165" s="72" t="s">
        <v>62</v>
      </c>
      <c r="J165" s="72">
        <v>8311</v>
      </c>
      <c r="K165" s="92" t="str">
        <f>TEXT(DataAct_tbl[[#This Row],[DATE]],"MMM")</f>
        <v>Apr</v>
      </c>
      <c r="L165">
        <f>COUNTIF($H$6:H165,H165)</f>
        <v>12</v>
      </c>
      <c r="M165" s="68" t="str">
        <f>IF(AND(ISNA(VLOOKUP(DataAct_tbl[[#This Row],[BG CODE]],DataOB[Budget code],1,0)),DataAct_tbl[[#This Row],[Check Dub]]=1),"NEW","")</f>
        <v/>
      </c>
      <c r="N165" s="68" t="b">
        <f>AND(DataAct_tbl[[#This Row],[DATE]]&gt;=FirstDate,DataAct_tbl[[#This Row],[DATE]]&lt;=LastDate)</f>
        <v>1</v>
      </c>
    </row>
    <row r="166" spans="2:14" ht="14.4">
      <c r="B166" s="77">
        <v>45412</v>
      </c>
      <c r="C166" s="118" t="s">
        <v>427</v>
      </c>
      <c r="D166" s="68" t="s">
        <v>428</v>
      </c>
      <c r="E166" s="131"/>
      <c r="F166" s="132"/>
      <c r="G166" s="140">
        <v>1.0625799999999999</v>
      </c>
      <c r="H166" s="72" t="s">
        <v>489</v>
      </c>
      <c r="I166" s="72" t="s">
        <v>62</v>
      </c>
      <c r="J166" s="72">
        <v>8311</v>
      </c>
      <c r="K166" s="92" t="str">
        <f>TEXT(DataAct_tbl[[#This Row],[DATE]],"MMM")</f>
        <v>Apr</v>
      </c>
      <c r="L166">
        <f>COUNTIF($H$6:H166,H166)</f>
        <v>13</v>
      </c>
      <c r="M166" s="68" t="str">
        <f>IF(AND(ISNA(VLOOKUP(DataAct_tbl[[#This Row],[BG CODE]],DataOB[Budget code],1,0)),DataAct_tbl[[#This Row],[Check Dub]]=1),"NEW","")</f>
        <v/>
      </c>
      <c r="N166" s="68" t="b">
        <f>AND(DataAct_tbl[[#This Row],[DATE]]&gt;=FirstDate,DataAct_tbl[[#This Row],[DATE]]&lt;=LastDate)</f>
        <v>1</v>
      </c>
    </row>
    <row r="167" spans="2:14" ht="14.4">
      <c r="B167" s="77">
        <v>45412</v>
      </c>
      <c r="C167" s="118" t="s">
        <v>427</v>
      </c>
      <c r="D167" s="68" t="s">
        <v>428</v>
      </c>
      <c r="E167" s="131"/>
      <c r="F167" s="132"/>
      <c r="G167" s="140">
        <v>1.0625799999999999</v>
      </c>
      <c r="H167" s="72" t="s">
        <v>489</v>
      </c>
      <c r="I167" s="72" t="s">
        <v>62</v>
      </c>
      <c r="J167" s="72">
        <v>8311</v>
      </c>
      <c r="K167" s="92" t="str">
        <f>TEXT(DataAct_tbl[[#This Row],[DATE]],"MMM")</f>
        <v>Apr</v>
      </c>
      <c r="L167">
        <f>COUNTIF($H$6:H167,H167)</f>
        <v>14</v>
      </c>
      <c r="M167" s="68" t="str">
        <f>IF(AND(ISNA(VLOOKUP(DataAct_tbl[[#This Row],[BG CODE]],DataOB[Budget code],1,0)),DataAct_tbl[[#This Row],[Check Dub]]=1),"NEW","")</f>
        <v/>
      </c>
      <c r="N167" s="68" t="b">
        <f>AND(DataAct_tbl[[#This Row],[DATE]]&gt;=FirstDate,DataAct_tbl[[#This Row],[DATE]]&lt;=LastDate)</f>
        <v>1</v>
      </c>
    </row>
    <row r="168" spans="2:14" ht="14.4">
      <c r="B168" s="77">
        <v>45412</v>
      </c>
      <c r="C168" s="118" t="s">
        <v>427</v>
      </c>
      <c r="D168" s="68" t="s">
        <v>428</v>
      </c>
      <c r="E168" s="131"/>
      <c r="F168" s="132"/>
      <c r="G168" s="140">
        <v>1.0625799999999999</v>
      </c>
      <c r="H168" s="72" t="s">
        <v>489</v>
      </c>
      <c r="I168" s="72" t="s">
        <v>62</v>
      </c>
      <c r="J168" s="72">
        <v>8311</v>
      </c>
      <c r="K168" s="92" t="str">
        <f>TEXT(DataAct_tbl[[#This Row],[DATE]],"MMM")</f>
        <v>Apr</v>
      </c>
      <c r="L168">
        <f>COUNTIF($H$6:H168,H168)</f>
        <v>15</v>
      </c>
      <c r="M168" s="68" t="str">
        <f>IF(AND(ISNA(VLOOKUP(DataAct_tbl[[#This Row],[BG CODE]],DataOB[Budget code],1,0)),DataAct_tbl[[#This Row],[Check Dub]]=1),"NEW","")</f>
        <v/>
      </c>
      <c r="N168" s="68" t="b">
        <f>AND(DataAct_tbl[[#This Row],[DATE]]&gt;=FirstDate,DataAct_tbl[[#This Row],[DATE]]&lt;=LastDate)</f>
        <v>1</v>
      </c>
    </row>
    <row r="169" spans="2:14" ht="14.4">
      <c r="B169" s="77">
        <v>45412</v>
      </c>
      <c r="C169" s="118" t="s">
        <v>427</v>
      </c>
      <c r="D169" s="68" t="s">
        <v>428</v>
      </c>
      <c r="E169" s="131"/>
      <c r="F169" s="132"/>
      <c r="G169" s="140">
        <v>1.0625799999999999</v>
      </c>
      <c r="H169" s="72" t="s">
        <v>489</v>
      </c>
      <c r="I169" s="72" t="s">
        <v>62</v>
      </c>
      <c r="J169" s="72">
        <v>8311</v>
      </c>
      <c r="K169" s="92" t="str">
        <f>TEXT(DataAct_tbl[[#This Row],[DATE]],"MMM")</f>
        <v>Apr</v>
      </c>
      <c r="L169">
        <f>COUNTIF($H$6:H169,H169)</f>
        <v>16</v>
      </c>
      <c r="M169" s="68" t="str">
        <f>IF(AND(ISNA(VLOOKUP(DataAct_tbl[[#This Row],[BG CODE]],DataOB[Budget code],1,0)),DataAct_tbl[[#This Row],[Check Dub]]=1),"NEW","")</f>
        <v/>
      </c>
      <c r="N169" s="68" t="b">
        <f>AND(DataAct_tbl[[#This Row],[DATE]]&gt;=FirstDate,DataAct_tbl[[#This Row],[DATE]]&lt;=LastDate)</f>
        <v>1</v>
      </c>
    </row>
    <row r="170" spans="2:14" ht="14.4">
      <c r="B170" s="77">
        <v>45412</v>
      </c>
      <c r="C170" s="118" t="s">
        <v>427</v>
      </c>
      <c r="D170" s="68" t="s">
        <v>428</v>
      </c>
      <c r="E170" s="131"/>
      <c r="F170" s="132"/>
      <c r="G170" s="140">
        <v>1.0625799999999999</v>
      </c>
      <c r="H170" s="72" t="s">
        <v>489</v>
      </c>
      <c r="I170" s="72" t="s">
        <v>62</v>
      </c>
      <c r="J170" s="72">
        <v>8311</v>
      </c>
      <c r="K170" s="92" t="str">
        <f>TEXT(DataAct_tbl[[#This Row],[DATE]],"MMM")</f>
        <v>Apr</v>
      </c>
      <c r="L170">
        <f>COUNTIF($H$6:H170,H170)</f>
        <v>17</v>
      </c>
      <c r="M170" s="68" t="str">
        <f>IF(AND(ISNA(VLOOKUP(DataAct_tbl[[#This Row],[BG CODE]],DataOB[Budget code],1,0)),DataAct_tbl[[#This Row],[Check Dub]]=1),"NEW","")</f>
        <v/>
      </c>
      <c r="N170" s="68" t="b">
        <f>AND(DataAct_tbl[[#This Row],[DATE]]&gt;=FirstDate,DataAct_tbl[[#This Row],[DATE]]&lt;=LastDate)</f>
        <v>1</v>
      </c>
    </row>
    <row r="171" spans="2:14" ht="14.4">
      <c r="B171" s="77">
        <v>45412</v>
      </c>
      <c r="C171" s="118" t="s">
        <v>427</v>
      </c>
      <c r="D171" s="68" t="s">
        <v>428</v>
      </c>
      <c r="E171" s="131"/>
      <c r="F171" s="132"/>
      <c r="G171" s="140">
        <v>1.0625799999999999</v>
      </c>
      <c r="H171" s="72" t="s">
        <v>489</v>
      </c>
      <c r="I171" s="72" t="s">
        <v>62</v>
      </c>
      <c r="J171" s="72">
        <v>8311</v>
      </c>
      <c r="K171" s="92" t="str">
        <f>TEXT(DataAct_tbl[[#This Row],[DATE]],"MMM")</f>
        <v>Apr</v>
      </c>
      <c r="L171">
        <f>COUNTIF($H$6:H171,H171)</f>
        <v>18</v>
      </c>
      <c r="M171" s="68" t="str">
        <f>IF(AND(ISNA(VLOOKUP(DataAct_tbl[[#This Row],[BG CODE]],DataOB[Budget code],1,0)),DataAct_tbl[[#This Row],[Check Dub]]=1),"NEW","")</f>
        <v/>
      </c>
      <c r="N171" s="68" t="b">
        <f>AND(DataAct_tbl[[#This Row],[DATE]]&gt;=FirstDate,DataAct_tbl[[#This Row],[DATE]]&lt;=LastDate)</f>
        <v>1</v>
      </c>
    </row>
    <row r="172" spans="2:14" ht="14.4">
      <c r="B172" s="77">
        <v>45412</v>
      </c>
      <c r="C172" s="118" t="s">
        <v>427</v>
      </c>
      <c r="D172" s="68" t="s">
        <v>428</v>
      </c>
      <c r="E172" s="131"/>
      <c r="F172" s="132"/>
      <c r="G172" s="140">
        <v>1.0625799999999999</v>
      </c>
      <c r="H172" s="72" t="s">
        <v>489</v>
      </c>
      <c r="I172" s="72" t="s">
        <v>62</v>
      </c>
      <c r="J172" s="72">
        <v>8311</v>
      </c>
      <c r="K172" s="92" t="str">
        <f>TEXT(DataAct_tbl[[#This Row],[DATE]],"MMM")</f>
        <v>Apr</v>
      </c>
      <c r="L172">
        <f>COUNTIF($H$6:H172,H172)</f>
        <v>19</v>
      </c>
      <c r="M172" s="68" t="str">
        <f>IF(AND(ISNA(VLOOKUP(DataAct_tbl[[#This Row],[BG CODE]],DataOB[Budget code],1,0)),DataAct_tbl[[#This Row],[Check Dub]]=1),"NEW","")</f>
        <v/>
      </c>
      <c r="N172" s="68" t="b">
        <f>AND(DataAct_tbl[[#This Row],[DATE]]&gt;=FirstDate,DataAct_tbl[[#This Row],[DATE]]&lt;=LastDate)</f>
        <v>1</v>
      </c>
    </row>
    <row r="173" spans="2:14" ht="14.4">
      <c r="B173" s="77">
        <v>45412</v>
      </c>
      <c r="C173" s="118" t="s">
        <v>427</v>
      </c>
      <c r="D173" s="68" t="s">
        <v>428</v>
      </c>
      <c r="E173" s="131"/>
      <c r="F173" s="132"/>
      <c r="G173" s="140">
        <v>1.0625799999999999</v>
      </c>
      <c r="H173" s="72" t="s">
        <v>489</v>
      </c>
      <c r="I173" s="72" t="s">
        <v>62</v>
      </c>
      <c r="J173" s="72">
        <v>8311</v>
      </c>
      <c r="K173" s="92" t="str">
        <f>TEXT(DataAct_tbl[[#This Row],[DATE]],"MMM")</f>
        <v>Apr</v>
      </c>
      <c r="L173">
        <f>COUNTIF($H$6:H173,H173)</f>
        <v>20</v>
      </c>
      <c r="M173" s="68" t="str">
        <f>IF(AND(ISNA(VLOOKUP(DataAct_tbl[[#This Row],[BG CODE]],DataOB[Budget code],1,0)),DataAct_tbl[[#This Row],[Check Dub]]=1),"NEW","")</f>
        <v/>
      </c>
      <c r="N173" s="68" t="b">
        <f>AND(DataAct_tbl[[#This Row],[DATE]]&gt;=FirstDate,DataAct_tbl[[#This Row],[DATE]]&lt;=LastDate)</f>
        <v>1</v>
      </c>
    </row>
    <row r="174" spans="2:14" ht="14.4">
      <c r="B174" s="77">
        <v>45412</v>
      </c>
      <c r="C174" s="118" t="s">
        <v>427</v>
      </c>
      <c r="D174" s="68" t="s">
        <v>428</v>
      </c>
      <c r="E174" s="131"/>
      <c r="F174" s="132"/>
      <c r="G174" s="140">
        <v>1.0625799999999999</v>
      </c>
      <c r="H174" s="72" t="s">
        <v>489</v>
      </c>
      <c r="I174" s="72" t="s">
        <v>62</v>
      </c>
      <c r="J174" s="72">
        <v>8311</v>
      </c>
      <c r="K174" s="92" t="str">
        <f>TEXT(DataAct_tbl[[#This Row],[DATE]],"MMM")</f>
        <v>Apr</v>
      </c>
      <c r="L174">
        <f>COUNTIF($H$6:H174,H174)</f>
        <v>21</v>
      </c>
      <c r="M174" s="68" t="str">
        <f>IF(AND(ISNA(VLOOKUP(DataAct_tbl[[#This Row],[BG CODE]],DataOB[Budget code],1,0)),DataAct_tbl[[#This Row],[Check Dub]]=1),"NEW","")</f>
        <v/>
      </c>
      <c r="N174" s="68" t="b">
        <f>AND(DataAct_tbl[[#This Row],[DATE]]&gt;=FirstDate,DataAct_tbl[[#This Row],[DATE]]&lt;=LastDate)</f>
        <v>1</v>
      </c>
    </row>
    <row r="175" spans="2:14" ht="14.4">
      <c r="B175" s="77">
        <v>45412</v>
      </c>
      <c r="C175" s="118" t="s">
        <v>427</v>
      </c>
      <c r="D175" s="68" t="s">
        <v>428</v>
      </c>
      <c r="E175" s="131"/>
      <c r="F175" s="132"/>
      <c r="G175" s="140">
        <v>1.0625799999999999</v>
      </c>
      <c r="H175" s="72" t="s">
        <v>489</v>
      </c>
      <c r="I175" s="72" t="s">
        <v>62</v>
      </c>
      <c r="J175" s="72">
        <v>8311</v>
      </c>
      <c r="K175" s="92" t="str">
        <f>TEXT(DataAct_tbl[[#This Row],[DATE]],"MMM")</f>
        <v>Apr</v>
      </c>
      <c r="L175">
        <f>COUNTIF($H$6:H175,H175)</f>
        <v>22</v>
      </c>
      <c r="M175" s="68" t="str">
        <f>IF(AND(ISNA(VLOOKUP(DataAct_tbl[[#This Row],[BG CODE]],DataOB[Budget code],1,0)),DataAct_tbl[[#This Row],[Check Dub]]=1),"NEW","")</f>
        <v/>
      </c>
      <c r="N175" s="68" t="b">
        <f>AND(DataAct_tbl[[#This Row],[DATE]]&gt;=FirstDate,DataAct_tbl[[#This Row],[DATE]]&lt;=LastDate)</f>
        <v>1</v>
      </c>
    </row>
    <row r="176" spans="2:14" ht="14.4">
      <c r="B176" s="77">
        <v>45412</v>
      </c>
      <c r="C176" s="118" t="s">
        <v>427</v>
      </c>
      <c r="D176" s="68" t="s">
        <v>428</v>
      </c>
      <c r="E176" s="131"/>
      <c r="F176" s="132"/>
      <c r="G176" s="140">
        <v>1.0625799999999999</v>
      </c>
      <c r="H176" s="72" t="s">
        <v>489</v>
      </c>
      <c r="I176" s="72" t="s">
        <v>62</v>
      </c>
      <c r="J176" s="72">
        <v>8311</v>
      </c>
      <c r="K176" s="92" t="str">
        <f>TEXT(DataAct_tbl[[#This Row],[DATE]],"MMM")</f>
        <v>Apr</v>
      </c>
      <c r="L176">
        <f>COUNTIF($H$6:H176,H176)</f>
        <v>23</v>
      </c>
      <c r="M176" s="68" t="str">
        <f>IF(AND(ISNA(VLOOKUP(DataAct_tbl[[#This Row],[BG CODE]],DataOB[Budget code],1,0)),DataAct_tbl[[#This Row],[Check Dub]]=1),"NEW","")</f>
        <v/>
      </c>
      <c r="N176" s="68" t="b">
        <f>AND(DataAct_tbl[[#This Row],[DATE]]&gt;=FirstDate,DataAct_tbl[[#This Row],[DATE]]&lt;=LastDate)</f>
        <v>1</v>
      </c>
    </row>
    <row r="177" spans="2:14" ht="14.4">
      <c r="B177" s="77">
        <v>45412</v>
      </c>
      <c r="C177" s="118" t="s">
        <v>427</v>
      </c>
      <c r="D177" s="68" t="s">
        <v>428</v>
      </c>
      <c r="E177" s="131"/>
      <c r="F177" s="132"/>
      <c r="G177" s="140">
        <v>1.0625799999999999</v>
      </c>
      <c r="H177" s="72" t="s">
        <v>489</v>
      </c>
      <c r="I177" s="72" t="s">
        <v>62</v>
      </c>
      <c r="J177" s="72">
        <v>8311</v>
      </c>
      <c r="K177" s="92" t="str">
        <f>TEXT(DataAct_tbl[[#This Row],[DATE]],"MMM")</f>
        <v>Apr</v>
      </c>
      <c r="L177">
        <f>COUNTIF($H$6:H177,H177)</f>
        <v>24</v>
      </c>
      <c r="M177" s="68" t="str">
        <f>IF(AND(ISNA(VLOOKUP(DataAct_tbl[[#This Row],[BG CODE]],DataOB[Budget code],1,0)),DataAct_tbl[[#This Row],[Check Dub]]=1),"NEW","")</f>
        <v/>
      </c>
      <c r="N177" s="68" t="b">
        <f>AND(DataAct_tbl[[#This Row],[DATE]]&gt;=FirstDate,DataAct_tbl[[#This Row],[DATE]]&lt;=LastDate)</f>
        <v>1</v>
      </c>
    </row>
    <row r="178" spans="2:14" ht="14.4">
      <c r="B178" s="77">
        <v>45412</v>
      </c>
      <c r="C178" s="118" t="s">
        <v>427</v>
      </c>
      <c r="D178" s="68" t="s">
        <v>428</v>
      </c>
      <c r="E178" s="131"/>
      <c r="F178" s="132"/>
      <c r="G178" s="140">
        <v>1.06257</v>
      </c>
      <c r="H178" s="72" t="s">
        <v>489</v>
      </c>
      <c r="I178" s="72" t="s">
        <v>62</v>
      </c>
      <c r="J178" s="72">
        <v>8311</v>
      </c>
      <c r="K178" s="92" t="str">
        <f>TEXT(DataAct_tbl[[#This Row],[DATE]],"MMM")</f>
        <v>Apr</v>
      </c>
      <c r="L178">
        <f>COUNTIF($H$6:H178,H178)</f>
        <v>25</v>
      </c>
      <c r="M178" s="68" t="str">
        <f>IF(AND(ISNA(VLOOKUP(DataAct_tbl[[#This Row],[BG CODE]],DataOB[Budget code],1,0)),DataAct_tbl[[#This Row],[Check Dub]]=1),"NEW","")</f>
        <v/>
      </c>
      <c r="N178" s="68" t="b">
        <f>AND(DataAct_tbl[[#This Row],[DATE]]&gt;=FirstDate,DataAct_tbl[[#This Row],[DATE]]&lt;=LastDate)</f>
        <v>1</v>
      </c>
    </row>
    <row r="179" spans="2:14" ht="14.4">
      <c r="B179" s="77">
        <v>45412</v>
      </c>
      <c r="C179" s="118" t="s">
        <v>410</v>
      </c>
      <c r="D179" s="68" t="s">
        <v>429</v>
      </c>
      <c r="E179" s="131"/>
      <c r="F179" s="132"/>
      <c r="G179" s="140">
        <v>5.0000000000000001E-4</v>
      </c>
      <c r="H179" s="72" t="s">
        <v>489</v>
      </c>
      <c r="I179" s="72" t="s">
        <v>61</v>
      </c>
      <c r="J179" s="72">
        <v>8311</v>
      </c>
      <c r="K179" s="92" t="str">
        <f>TEXT(DataAct_tbl[[#This Row],[DATE]],"MMM")</f>
        <v>Apr</v>
      </c>
      <c r="L179">
        <f>COUNTIF($H$6:H179,H179)</f>
        <v>26</v>
      </c>
      <c r="M179" s="68" t="str">
        <f>IF(AND(ISNA(VLOOKUP(DataAct_tbl[[#This Row],[BG CODE]],DataOB[Budget code],1,0)),DataAct_tbl[[#This Row],[Check Dub]]=1),"NEW","")</f>
        <v/>
      </c>
      <c r="N179" s="68" t="b">
        <f>AND(DataAct_tbl[[#This Row],[DATE]]&gt;=FirstDate,DataAct_tbl[[#This Row],[DATE]]&lt;=LastDate)</f>
        <v>1</v>
      </c>
    </row>
    <row r="180" spans="2:14" ht="14.4">
      <c r="B180" s="77">
        <v>45412</v>
      </c>
      <c r="C180" s="118" t="s">
        <v>410</v>
      </c>
      <c r="D180" s="68" t="s">
        <v>429</v>
      </c>
      <c r="E180" s="131"/>
      <c r="F180" s="132"/>
      <c r="G180" s="140">
        <v>5.0000000000000001E-4</v>
      </c>
      <c r="H180" s="72" t="s">
        <v>489</v>
      </c>
      <c r="I180" s="72" t="s">
        <v>61</v>
      </c>
      <c r="J180" s="72">
        <v>8311</v>
      </c>
      <c r="K180" s="92" t="str">
        <f>TEXT(DataAct_tbl[[#This Row],[DATE]],"MMM")</f>
        <v>Apr</v>
      </c>
      <c r="L180">
        <f>COUNTIF($H$6:H180,H180)</f>
        <v>27</v>
      </c>
      <c r="M180" s="68" t="str">
        <f>IF(AND(ISNA(VLOOKUP(DataAct_tbl[[#This Row],[BG CODE]],DataOB[Budget code],1,0)),DataAct_tbl[[#This Row],[Check Dub]]=1),"NEW","")</f>
        <v/>
      </c>
      <c r="N180" s="68" t="b">
        <f>AND(DataAct_tbl[[#This Row],[DATE]]&gt;=FirstDate,DataAct_tbl[[#This Row],[DATE]]&lt;=LastDate)</f>
        <v>1</v>
      </c>
    </row>
    <row r="181" spans="2:14" ht="14.4">
      <c r="B181" s="77">
        <v>45412</v>
      </c>
      <c r="C181" s="118" t="s">
        <v>410</v>
      </c>
      <c r="D181" s="68" t="s">
        <v>429</v>
      </c>
      <c r="E181" s="131"/>
      <c r="F181" s="132"/>
      <c r="G181" s="140">
        <v>5.0000000000000001E-4</v>
      </c>
      <c r="H181" s="72" t="s">
        <v>489</v>
      </c>
      <c r="I181" s="72" t="s">
        <v>61</v>
      </c>
      <c r="J181" s="72">
        <v>8311</v>
      </c>
      <c r="K181" s="92" t="str">
        <f>TEXT(DataAct_tbl[[#This Row],[DATE]],"MMM")</f>
        <v>Apr</v>
      </c>
      <c r="L181">
        <f>COUNTIF($H$6:H181,H181)</f>
        <v>28</v>
      </c>
      <c r="M181" s="68" t="str">
        <f>IF(AND(ISNA(VLOOKUP(DataAct_tbl[[#This Row],[BG CODE]],DataOB[Budget code],1,0)),DataAct_tbl[[#This Row],[Check Dub]]=1),"NEW","")</f>
        <v/>
      </c>
      <c r="N181" s="68" t="b">
        <f>AND(DataAct_tbl[[#This Row],[DATE]]&gt;=FirstDate,DataAct_tbl[[#This Row],[DATE]]&lt;=LastDate)</f>
        <v>1</v>
      </c>
    </row>
    <row r="182" spans="2:14" ht="14.4">
      <c r="B182" s="77">
        <v>45412</v>
      </c>
      <c r="C182" s="118" t="s">
        <v>410</v>
      </c>
      <c r="D182" s="68" t="s">
        <v>429</v>
      </c>
      <c r="E182" s="131"/>
      <c r="F182" s="132"/>
      <c r="G182" s="140">
        <v>5.1000000000000004E-4</v>
      </c>
      <c r="H182" s="72" t="s">
        <v>489</v>
      </c>
      <c r="I182" s="72" t="s">
        <v>61</v>
      </c>
      <c r="J182" s="72">
        <v>8311</v>
      </c>
      <c r="K182" s="92" t="str">
        <f>TEXT(DataAct_tbl[[#This Row],[DATE]],"MMM")</f>
        <v>Apr</v>
      </c>
      <c r="L182">
        <f>COUNTIF($H$6:H182,H182)</f>
        <v>29</v>
      </c>
      <c r="M182" s="68" t="str">
        <f>IF(AND(ISNA(VLOOKUP(DataAct_tbl[[#This Row],[BG CODE]],DataOB[Budget code],1,0)),DataAct_tbl[[#This Row],[Check Dub]]=1),"NEW","")</f>
        <v/>
      </c>
      <c r="N182" s="68" t="b">
        <f>AND(DataAct_tbl[[#This Row],[DATE]]&gt;=FirstDate,DataAct_tbl[[#This Row],[DATE]]&lt;=LastDate)</f>
        <v>1</v>
      </c>
    </row>
    <row r="183" spans="2:14" ht="14.4">
      <c r="B183" s="77">
        <v>45412</v>
      </c>
      <c r="C183" s="118" t="s">
        <v>410</v>
      </c>
      <c r="D183" s="68" t="s">
        <v>429</v>
      </c>
      <c r="E183" s="131"/>
      <c r="F183" s="132"/>
      <c r="G183" s="140">
        <v>5.1000000000000004E-4</v>
      </c>
      <c r="H183" s="72" t="s">
        <v>489</v>
      </c>
      <c r="I183" s="72" t="s">
        <v>61</v>
      </c>
      <c r="J183" s="72">
        <v>8311</v>
      </c>
      <c r="K183" s="92" t="str">
        <f>TEXT(DataAct_tbl[[#This Row],[DATE]],"MMM")</f>
        <v>Apr</v>
      </c>
      <c r="L183">
        <f>COUNTIF($H$6:H183,H183)</f>
        <v>30</v>
      </c>
      <c r="M183" s="68" t="str">
        <f>IF(AND(ISNA(VLOOKUP(DataAct_tbl[[#This Row],[BG CODE]],DataOB[Budget code],1,0)),DataAct_tbl[[#This Row],[Check Dub]]=1),"NEW","")</f>
        <v/>
      </c>
      <c r="N183" s="68" t="b">
        <f>AND(DataAct_tbl[[#This Row],[DATE]]&gt;=FirstDate,DataAct_tbl[[#This Row],[DATE]]&lt;=LastDate)</f>
        <v>1</v>
      </c>
    </row>
    <row r="184" spans="2:14" ht="14.4">
      <c r="B184" s="77">
        <v>45412</v>
      </c>
      <c r="C184" s="118" t="s">
        <v>410</v>
      </c>
      <c r="D184" s="68" t="s">
        <v>429</v>
      </c>
      <c r="E184" s="131"/>
      <c r="F184" s="132"/>
      <c r="G184" s="140">
        <v>5.1000000000000004E-4</v>
      </c>
      <c r="H184" s="137" t="s">
        <v>489</v>
      </c>
      <c r="I184" s="72" t="s">
        <v>61</v>
      </c>
      <c r="J184" s="72">
        <v>8311</v>
      </c>
      <c r="K184" s="92" t="str">
        <f>TEXT(DataAct_tbl[[#This Row],[DATE]],"MMM")</f>
        <v>Apr</v>
      </c>
      <c r="L184">
        <f>COUNTIF($H$6:H184,H184)</f>
        <v>31</v>
      </c>
      <c r="M184" s="68" t="str">
        <f>IF(AND(ISNA(VLOOKUP(DataAct_tbl[[#This Row],[BG CODE]],DataOB[Budget code],1,0)),DataAct_tbl[[#This Row],[Check Dub]]=1),"NEW","")</f>
        <v/>
      </c>
      <c r="N184" s="68" t="b">
        <f>AND(DataAct_tbl[[#This Row],[DATE]]&gt;=FirstDate,DataAct_tbl[[#This Row],[DATE]]&lt;=LastDate)</f>
        <v>1</v>
      </c>
    </row>
    <row r="185" spans="2:14" ht="14.4">
      <c r="B185" s="77">
        <v>45412</v>
      </c>
      <c r="C185" s="118" t="s">
        <v>410</v>
      </c>
      <c r="D185" s="68" t="s">
        <v>429</v>
      </c>
      <c r="E185" s="131"/>
      <c r="F185" s="132"/>
      <c r="G185" s="140">
        <v>5.1000000000000004E-4</v>
      </c>
      <c r="H185" s="72" t="s">
        <v>489</v>
      </c>
      <c r="I185" s="72" t="s">
        <v>61</v>
      </c>
      <c r="J185" s="72">
        <v>8311</v>
      </c>
      <c r="K185" s="92" t="str">
        <f>TEXT(DataAct_tbl[[#This Row],[DATE]],"MMM")</f>
        <v>Apr</v>
      </c>
      <c r="L185">
        <f>COUNTIF($H$6:H185,H185)</f>
        <v>32</v>
      </c>
      <c r="M185" s="68" t="str">
        <f>IF(AND(ISNA(VLOOKUP(DataAct_tbl[[#This Row],[BG CODE]],DataOB[Budget code],1,0)),DataAct_tbl[[#This Row],[Check Dub]]=1),"NEW","")</f>
        <v/>
      </c>
      <c r="N185" s="68" t="b">
        <f>AND(DataAct_tbl[[#This Row],[DATE]]&gt;=FirstDate,DataAct_tbl[[#This Row],[DATE]]&lt;=LastDate)</f>
        <v>1</v>
      </c>
    </row>
    <row r="186" spans="2:14" ht="14.4">
      <c r="B186" s="77">
        <v>45412</v>
      </c>
      <c r="C186" s="118" t="s">
        <v>410</v>
      </c>
      <c r="D186" s="68" t="s">
        <v>429</v>
      </c>
      <c r="E186" s="131"/>
      <c r="F186" s="132"/>
      <c r="G186" s="140">
        <v>5.1000000000000004E-4</v>
      </c>
      <c r="H186" s="137" t="s">
        <v>489</v>
      </c>
      <c r="I186" s="72" t="s">
        <v>61</v>
      </c>
      <c r="J186" s="72">
        <v>8311</v>
      </c>
      <c r="K186" s="92" t="str">
        <f>TEXT(DataAct_tbl[[#This Row],[DATE]],"MMM")</f>
        <v>Apr</v>
      </c>
      <c r="L186">
        <f>COUNTIF($H$6:H186,H186)</f>
        <v>33</v>
      </c>
      <c r="M186" s="68" t="str">
        <f>IF(AND(ISNA(VLOOKUP(DataAct_tbl[[#This Row],[BG CODE]],DataOB[Budget code],1,0)),DataAct_tbl[[#This Row],[Check Dub]]=1),"NEW","")</f>
        <v/>
      </c>
      <c r="N186" s="68" t="b">
        <f>AND(DataAct_tbl[[#This Row],[DATE]]&gt;=FirstDate,DataAct_tbl[[#This Row],[DATE]]&lt;=LastDate)</f>
        <v>1</v>
      </c>
    </row>
    <row r="187" spans="2:14" ht="14.4">
      <c r="B187" s="77">
        <v>45412</v>
      </c>
      <c r="C187" s="118" t="s">
        <v>410</v>
      </c>
      <c r="D187" s="68" t="s">
        <v>429</v>
      </c>
      <c r="E187" s="131"/>
      <c r="F187" s="132"/>
      <c r="G187" s="140">
        <v>5.1000000000000004E-4</v>
      </c>
      <c r="H187" s="72" t="s">
        <v>489</v>
      </c>
      <c r="I187" s="72" t="s">
        <v>61</v>
      </c>
      <c r="J187" s="72">
        <v>8311</v>
      </c>
      <c r="K187" s="92" t="str">
        <f>TEXT(DataAct_tbl[[#This Row],[DATE]],"MMM")</f>
        <v>Apr</v>
      </c>
      <c r="L187">
        <f>COUNTIF($H$6:H187,H187)</f>
        <v>34</v>
      </c>
      <c r="M187" s="68" t="str">
        <f>IF(AND(ISNA(VLOOKUP(DataAct_tbl[[#This Row],[BG CODE]],DataOB[Budget code],1,0)),DataAct_tbl[[#This Row],[Check Dub]]=1),"NEW","")</f>
        <v/>
      </c>
      <c r="N187" s="68" t="b">
        <f>AND(DataAct_tbl[[#This Row],[DATE]]&gt;=FirstDate,DataAct_tbl[[#This Row],[DATE]]&lt;=LastDate)</f>
        <v>1</v>
      </c>
    </row>
    <row r="188" spans="2:14" ht="14.4">
      <c r="B188" s="77">
        <v>45412</v>
      </c>
      <c r="C188" s="118" t="s">
        <v>410</v>
      </c>
      <c r="D188" s="68" t="s">
        <v>429</v>
      </c>
      <c r="E188" s="131"/>
      <c r="F188" s="132"/>
      <c r="G188" s="140">
        <v>5.1000000000000004E-4</v>
      </c>
      <c r="H188" s="72" t="s">
        <v>489</v>
      </c>
      <c r="I188" s="72" t="s">
        <v>61</v>
      </c>
      <c r="J188" s="72">
        <v>8311</v>
      </c>
      <c r="K188" s="92" t="str">
        <f>TEXT(DataAct_tbl[[#This Row],[DATE]],"MMM")</f>
        <v>Apr</v>
      </c>
      <c r="L188">
        <f>COUNTIF($H$6:H188,H188)</f>
        <v>35</v>
      </c>
      <c r="M188" s="68" t="str">
        <f>IF(AND(ISNA(VLOOKUP(DataAct_tbl[[#This Row],[BG CODE]],DataOB[Budget code],1,0)),DataAct_tbl[[#This Row],[Check Dub]]=1),"NEW","")</f>
        <v/>
      </c>
      <c r="N188" s="68" t="b">
        <f>AND(DataAct_tbl[[#This Row],[DATE]]&gt;=FirstDate,DataAct_tbl[[#This Row],[DATE]]&lt;=LastDate)</f>
        <v>1</v>
      </c>
    </row>
    <row r="189" spans="2:14" ht="14.4">
      <c r="B189" s="77">
        <v>45412</v>
      </c>
      <c r="C189" s="118" t="s">
        <v>410</v>
      </c>
      <c r="D189" s="68" t="s">
        <v>429</v>
      </c>
      <c r="E189" s="131"/>
      <c r="F189" s="132"/>
      <c r="G189" s="140">
        <v>5.1000000000000004E-4</v>
      </c>
      <c r="H189" s="72" t="s">
        <v>489</v>
      </c>
      <c r="I189" s="72" t="s">
        <v>61</v>
      </c>
      <c r="J189" s="72">
        <v>8311</v>
      </c>
      <c r="K189" s="92" t="str">
        <f>TEXT(DataAct_tbl[[#This Row],[DATE]],"MMM")</f>
        <v>Apr</v>
      </c>
      <c r="L189">
        <f>COUNTIF($H$6:H189,H189)</f>
        <v>36</v>
      </c>
      <c r="M189" s="68" t="str">
        <f>IF(AND(ISNA(VLOOKUP(DataAct_tbl[[#This Row],[BG CODE]],DataOB[Budget code],1,0)),DataAct_tbl[[#This Row],[Check Dub]]=1),"NEW","")</f>
        <v/>
      </c>
      <c r="N189" s="68" t="b">
        <f>AND(DataAct_tbl[[#This Row],[DATE]]&gt;=FirstDate,DataAct_tbl[[#This Row],[DATE]]&lt;=LastDate)</f>
        <v>1</v>
      </c>
    </row>
    <row r="190" spans="2:14" ht="14.4">
      <c r="B190" s="77">
        <v>45412</v>
      </c>
      <c r="C190" s="118" t="s">
        <v>410</v>
      </c>
      <c r="D190" s="68" t="s">
        <v>429</v>
      </c>
      <c r="E190" s="131"/>
      <c r="F190" s="132"/>
      <c r="G190" s="140">
        <v>5.1000000000000004E-4</v>
      </c>
      <c r="H190" s="72" t="s">
        <v>489</v>
      </c>
      <c r="I190" s="72" t="s">
        <v>61</v>
      </c>
      <c r="J190" s="72">
        <v>8311</v>
      </c>
      <c r="K190" s="92" t="str">
        <f>TEXT(DataAct_tbl[[#This Row],[DATE]],"MMM")</f>
        <v>Apr</v>
      </c>
      <c r="L190">
        <f>COUNTIF($H$6:H190,H190)</f>
        <v>37</v>
      </c>
      <c r="M190" s="68" t="str">
        <f>IF(AND(ISNA(VLOOKUP(DataAct_tbl[[#This Row],[BG CODE]],DataOB[Budget code],1,0)),DataAct_tbl[[#This Row],[Check Dub]]=1),"NEW","")</f>
        <v/>
      </c>
      <c r="N190" s="68" t="b">
        <f>AND(DataAct_tbl[[#This Row],[DATE]]&gt;=FirstDate,DataAct_tbl[[#This Row],[DATE]]&lt;=LastDate)</f>
        <v>1</v>
      </c>
    </row>
    <row r="191" spans="2:14" ht="14.4">
      <c r="B191" s="77">
        <v>45412</v>
      </c>
      <c r="C191" s="118" t="s">
        <v>410</v>
      </c>
      <c r="D191" s="68" t="s">
        <v>429</v>
      </c>
      <c r="E191" s="131"/>
      <c r="F191" s="132"/>
      <c r="G191" s="140">
        <v>5.1000000000000004E-4</v>
      </c>
      <c r="H191" s="72" t="s">
        <v>489</v>
      </c>
      <c r="I191" s="72" t="s">
        <v>61</v>
      </c>
      <c r="J191" s="72">
        <v>8311</v>
      </c>
      <c r="K191" s="92" t="str">
        <f>TEXT(DataAct_tbl[[#This Row],[DATE]],"MMM")</f>
        <v>Apr</v>
      </c>
      <c r="L191">
        <f>COUNTIF($H$6:H191,H191)</f>
        <v>38</v>
      </c>
      <c r="M191" s="68" t="str">
        <f>IF(AND(ISNA(VLOOKUP(DataAct_tbl[[#This Row],[BG CODE]],DataOB[Budget code],1,0)),DataAct_tbl[[#This Row],[Check Dub]]=1),"NEW","")</f>
        <v/>
      </c>
      <c r="N191" s="68" t="b">
        <f>AND(DataAct_tbl[[#This Row],[DATE]]&gt;=FirstDate,DataAct_tbl[[#This Row],[DATE]]&lt;=LastDate)</f>
        <v>1</v>
      </c>
    </row>
    <row r="192" spans="2:14" ht="14.4">
      <c r="B192" s="77">
        <v>45412</v>
      </c>
      <c r="C192" s="118" t="s">
        <v>410</v>
      </c>
      <c r="D192" s="68" t="s">
        <v>429</v>
      </c>
      <c r="E192" s="131"/>
      <c r="F192" s="132"/>
      <c r="G192" s="140">
        <v>5.1000000000000004E-4</v>
      </c>
      <c r="H192" s="72" t="s">
        <v>489</v>
      </c>
      <c r="I192" s="72" t="s">
        <v>61</v>
      </c>
      <c r="J192" s="72">
        <v>8311</v>
      </c>
      <c r="K192" s="92" t="str">
        <f>TEXT(DataAct_tbl[[#This Row],[DATE]],"MMM")</f>
        <v>Apr</v>
      </c>
      <c r="L192">
        <f>COUNTIF($H$6:H192,H192)</f>
        <v>39</v>
      </c>
      <c r="M192" s="68" t="str">
        <f>IF(AND(ISNA(VLOOKUP(DataAct_tbl[[#This Row],[BG CODE]],DataOB[Budget code],1,0)),DataAct_tbl[[#This Row],[Check Dub]]=1),"NEW","")</f>
        <v/>
      </c>
      <c r="N192" s="68" t="b">
        <f>AND(DataAct_tbl[[#This Row],[DATE]]&gt;=FirstDate,DataAct_tbl[[#This Row],[DATE]]&lt;=LastDate)</f>
        <v>1</v>
      </c>
    </row>
    <row r="193" spans="2:14" ht="14.4">
      <c r="B193" s="77">
        <v>45412</v>
      </c>
      <c r="C193" s="118" t="s">
        <v>410</v>
      </c>
      <c r="D193" s="68" t="s">
        <v>429</v>
      </c>
      <c r="E193" s="131"/>
      <c r="F193" s="132"/>
      <c r="G193" s="140">
        <v>5.1000000000000004E-4</v>
      </c>
      <c r="H193" s="72" t="s">
        <v>489</v>
      </c>
      <c r="I193" s="72" t="s">
        <v>61</v>
      </c>
      <c r="J193" s="72">
        <v>8311</v>
      </c>
      <c r="K193" s="92" t="str">
        <f>TEXT(DataAct_tbl[[#This Row],[DATE]],"MMM")</f>
        <v>Apr</v>
      </c>
      <c r="L193">
        <f>COUNTIF($H$6:H193,H193)</f>
        <v>40</v>
      </c>
      <c r="M193" s="68" t="str">
        <f>IF(AND(ISNA(VLOOKUP(DataAct_tbl[[#This Row],[BG CODE]],DataOB[Budget code],1,0)),DataAct_tbl[[#This Row],[Check Dub]]=1),"NEW","")</f>
        <v/>
      </c>
      <c r="N193" s="68" t="b">
        <f>AND(DataAct_tbl[[#This Row],[DATE]]&gt;=FirstDate,DataAct_tbl[[#This Row],[DATE]]&lt;=LastDate)</f>
        <v>1</v>
      </c>
    </row>
    <row r="194" spans="2:14" ht="14.4">
      <c r="B194" s="77">
        <v>45412</v>
      </c>
      <c r="C194" s="118" t="s">
        <v>410</v>
      </c>
      <c r="D194" s="68" t="s">
        <v>429</v>
      </c>
      <c r="E194" s="131"/>
      <c r="F194" s="132"/>
      <c r="G194" s="140">
        <v>5.1000000000000004E-4</v>
      </c>
      <c r="H194" s="72" t="s">
        <v>489</v>
      </c>
      <c r="I194" s="72" t="s">
        <v>61</v>
      </c>
      <c r="J194" s="72">
        <v>8311</v>
      </c>
      <c r="K194" s="92" t="str">
        <f>TEXT(DataAct_tbl[[#This Row],[DATE]],"MMM")</f>
        <v>Apr</v>
      </c>
      <c r="L194">
        <f>COUNTIF($H$6:H194,H194)</f>
        <v>41</v>
      </c>
      <c r="M194" s="68" t="str">
        <f>IF(AND(ISNA(VLOOKUP(DataAct_tbl[[#This Row],[BG CODE]],DataOB[Budget code],1,0)),DataAct_tbl[[#This Row],[Check Dub]]=1),"NEW","")</f>
        <v/>
      </c>
      <c r="N194" s="68" t="b">
        <f>AND(DataAct_tbl[[#This Row],[DATE]]&gt;=FirstDate,DataAct_tbl[[#This Row],[DATE]]&lt;=LastDate)</f>
        <v>1</v>
      </c>
    </row>
    <row r="195" spans="2:14" ht="14.4">
      <c r="B195" s="77">
        <v>45412</v>
      </c>
      <c r="C195" s="118" t="s">
        <v>410</v>
      </c>
      <c r="D195" s="68" t="s">
        <v>429</v>
      </c>
      <c r="E195" s="131"/>
      <c r="F195" s="132"/>
      <c r="G195" s="140">
        <v>5.1000000000000004E-4</v>
      </c>
      <c r="H195" s="72" t="s">
        <v>489</v>
      </c>
      <c r="I195" s="72" t="s">
        <v>61</v>
      </c>
      <c r="J195" s="72">
        <v>8311</v>
      </c>
      <c r="K195" s="92" t="str">
        <f>TEXT(DataAct_tbl[[#This Row],[DATE]],"MMM")</f>
        <v>Apr</v>
      </c>
      <c r="L195">
        <f>COUNTIF($H$6:H195,H195)</f>
        <v>42</v>
      </c>
      <c r="M195" s="68" t="str">
        <f>IF(AND(ISNA(VLOOKUP(DataAct_tbl[[#This Row],[BG CODE]],DataOB[Budget code],1,0)),DataAct_tbl[[#This Row],[Check Dub]]=1),"NEW","")</f>
        <v/>
      </c>
      <c r="N195" s="68" t="b">
        <f>AND(DataAct_tbl[[#This Row],[DATE]]&gt;=FirstDate,DataAct_tbl[[#This Row],[DATE]]&lt;=LastDate)</f>
        <v>1</v>
      </c>
    </row>
    <row r="196" spans="2:14" ht="14.4">
      <c r="B196" s="77">
        <v>45412</v>
      </c>
      <c r="C196" s="118" t="s">
        <v>410</v>
      </c>
      <c r="D196" s="68" t="s">
        <v>429</v>
      </c>
      <c r="E196" s="131"/>
      <c r="F196" s="132"/>
      <c r="G196" s="140">
        <v>5.1000000000000004E-4</v>
      </c>
      <c r="H196" s="72" t="s">
        <v>489</v>
      </c>
      <c r="I196" s="72" t="s">
        <v>61</v>
      </c>
      <c r="J196" s="72">
        <v>8311</v>
      </c>
      <c r="K196" s="92" t="str">
        <f>TEXT(DataAct_tbl[[#This Row],[DATE]],"MMM")</f>
        <v>Apr</v>
      </c>
      <c r="L196">
        <f>COUNTIF($H$6:H196,H196)</f>
        <v>43</v>
      </c>
      <c r="M196" s="68" t="str">
        <f>IF(AND(ISNA(VLOOKUP(DataAct_tbl[[#This Row],[BG CODE]],DataOB[Budget code],1,0)),DataAct_tbl[[#This Row],[Check Dub]]=1),"NEW","")</f>
        <v/>
      </c>
      <c r="N196" s="68" t="b">
        <f>AND(DataAct_tbl[[#This Row],[DATE]]&gt;=FirstDate,DataAct_tbl[[#This Row],[DATE]]&lt;=LastDate)</f>
        <v>1</v>
      </c>
    </row>
    <row r="197" spans="2:14" ht="14.4">
      <c r="B197" s="77">
        <v>45412</v>
      </c>
      <c r="C197" s="118" t="s">
        <v>410</v>
      </c>
      <c r="D197" s="68" t="s">
        <v>429</v>
      </c>
      <c r="E197" s="131"/>
      <c r="F197" s="132"/>
      <c r="G197" s="140">
        <v>5.1000000000000004E-4</v>
      </c>
      <c r="H197" s="72" t="s">
        <v>489</v>
      </c>
      <c r="I197" s="72" t="s">
        <v>61</v>
      </c>
      <c r="J197" s="72">
        <v>8311</v>
      </c>
      <c r="K197" s="92" t="str">
        <f>TEXT(DataAct_tbl[[#This Row],[DATE]],"MMM")</f>
        <v>Apr</v>
      </c>
      <c r="L197">
        <f>COUNTIF($H$6:H197,H197)</f>
        <v>44</v>
      </c>
      <c r="M197" s="68" t="str">
        <f>IF(AND(ISNA(VLOOKUP(DataAct_tbl[[#This Row],[BG CODE]],DataOB[Budget code],1,0)),DataAct_tbl[[#This Row],[Check Dub]]=1),"NEW","")</f>
        <v/>
      </c>
      <c r="N197" s="68" t="b">
        <f>AND(DataAct_tbl[[#This Row],[DATE]]&gt;=FirstDate,DataAct_tbl[[#This Row],[DATE]]&lt;=LastDate)</f>
        <v>1</v>
      </c>
    </row>
    <row r="198" spans="2:14" ht="14.4">
      <c r="B198" s="77">
        <v>45412</v>
      </c>
      <c r="C198" s="118" t="s">
        <v>410</v>
      </c>
      <c r="D198" s="68" t="s">
        <v>429</v>
      </c>
      <c r="E198" s="131"/>
      <c r="F198" s="132"/>
      <c r="G198" s="140">
        <v>5.1000000000000004E-4</v>
      </c>
      <c r="H198" s="72" t="s">
        <v>489</v>
      </c>
      <c r="I198" s="72" t="s">
        <v>61</v>
      </c>
      <c r="J198" s="72">
        <v>8311</v>
      </c>
      <c r="K198" s="92" t="str">
        <f>TEXT(DataAct_tbl[[#This Row],[DATE]],"MMM")</f>
        <v>Apr</v>
      </c>
      <c r="L198">
        <f>COUNTIF($H$6:H198,H198)</f>
        <v>45</v>
      </c>
      <c r="M198" s="68" t="str">
        <f>IF(AND(ISNA(VLOOKUP(DataAct_tbl[[#This Row],[BG CODE]],DataOB[Budget code],1,0)),DataAct_tbl[[#This Row],[Check Dub]]=1),"NEW","")</f>
        <v/>
      </c>
      <c r="N198" s="68" t="b">
        <f>AND(DataAct_tbl[[#This Row],[DATE]]&gt;=FirstDate,DataAct_tbl[[#This Row],[DATE]]&lt;=LastDate)</f>
        <v>1</v>
      </c>
    </row>
    <row r="199" spans="2:14" ht="14.4">
      <c r="B199" s="77">
        <v>45412</v>
      </c>
      <c r="C199" s="118" t="s">
        <v>410</v>
      </c>
      <c r="D199" s="68" t="s">
        <v>429</v>
      </c>
      <c r="E199" s="131"/>
      <c r="F199" s="132"/>
      <c r="G199" s="140">
        <v>5.1000000000000004E-4</v>
      </c>
      <c r="H199" s="72" t="s">
        <v>489</v>
      </c>
      <c r="I199" s="72" t="s">
        <v>61</v>
      </c>
      <c r="J199" s="72">
        <v>8311</v>
      </c>
      <c r="K199" s="92" t="str">
        <f>TEXT(DataAct_tbl[[#This Row],[DATE]],"MMM")</f>
        <v>Apr</v>
      </c>
      <c r="L199">
        <f>COUNTIF($H$6:H199,H199)</f>
        <v>46</v>
      </c>
      <c r="M199" s="68" t="str">
        <f>IF(AND(ISNA(VLOOKUP(DataAct_tbl[[#This Row],[BG CODE]],DataOB[Budget code],1,0)),DataAct_tbl[[#This Row],[Check Dub]]=1),"NEW","")</f>
        <v/>
      </c>
      <c r="N199" s="68" t="b">
        <f>AND(DataAct_tbl[[#This Row],[DATE]]&gt;=FirstDate,DataAct_tbl[[#This Row],[DATE]]&lt;=LastDate)</f>
        <v>1</v>
      </c>
    </row>
    <row r="200" spans="2:14" ht="14.4">
      <c r="B200" s="77">
        <v>45412</v>
      </c>
      <c r="C200" s="118" t="s">
        <v>410</v>
      </c>
      <c r="D200" s="68" t="s">
        <v>429</v>
      </c>
      <c r="E200" s="131"/>
      <c r="F200" s="132"/>
      <c r="G200" s="140">
        <v>5.1000000000000004E-4</v>
      </c>
      <c r="H200" s="72" t="s">
        <v>489</v>
      </c>
      <c r="I200" s="72" t="s">
        <v>61</v>
      </c>
      <c r="J200" s="72">
        <v>8311</v>
      </c>
      <c r="K200" s="92" t="str">
        <f>TEXT(DataAct_tbl[[#This Row],[DATE]],"MMM")</f>
        <v>Apr</v>
      </c>
      <c r="L200">
        <f>COUNTIF($H$6:H200,H200)</f>
        <v>47</v>
      </c>
      <c r="M200" s="68" t="str">
        <f>IF(AND(ISNA(VLOOKUP(DataAct_tbl[[#This Row],[BG CODE]],DataOB[Budget code],1,0)),DataAct_tbl[[#This Row],[Check Dub]]=1),"NEW","")</f>
        <v/>
      </c>
      <c r="N200" s="68" t="b">
        <f>AND(DataAct_tbl[[#This Row],[DATE]]&gt;=FirstDate,DataAct_tbl[[#This Row],[DATE]]&lt;=LastDate)</f>
        <v>1</v>
      </c>
    </row>
    <row r="201" spans="2:14" ht="14.4">
      <c r="B201" s="77">
        <v>45412</v>
      </c>
      <c r="C201" s="118" t="s">
        <v>410</v>
      </c>
      <c r="D201" s="68" t="s">
        <v>429</v>
      </c>
      <c r="E201" s="131"/>
      <c r="F201" s="132"/>
      <c r="G201" s="140">
        <v>5.1000000000000004E-4</v>
      </c>
      <c r="H201" s="72" t="s">
        <v>489</v>
      </c>
      <c r="I201" s="72" t="s">
        <v>61</v>
      </c>
      <c r="J201" s="72">
        <v>8311</v>
      </c>
      <c r="K201" s="92" t="str">
        <f>TEXT(DataAct_tbl[[#This Row],[DATE]],"MMM")</f>
        <v>Apr</v>
      </c>
      <c r="L201">
        <f>COUNTIF($H$6:H201,H201)</f>
        <v>48</v>
      </c>
      <c r="M201" s="68" t="str">
        <f>IF(AND(ISNA(VLOOKUP(DataAct_tbl[[#This Row],[BG CODE]],DataOB[Budget code],1,0)),DataAct_tbl[[#This Row],[Check Dub]]=1),"NEW","")</f>
        <v/>
      </c>
      <c r="N201" s="68" t="b">
        <f>AND(DataAct_tbl[[#This Row],[DATE]]&gt;=FirstDate,DataAct_tbl[[#This Row],[DATE]]&lt;=LastDate)</f>
        <v>1</v>
      </c>
    </row>
    <row r="202" spans="2:14" ht="14.4">
      <c r="B202" s="77">
        <v>45412</v>
      </c>
      <c r="C202" s="118" t="s">
        <v>410</v>
      </c>
      <c r="D202" s="68" t="s">
        <v>429</v>
      </c>
      <c r="E202" s="131"/>
      <c r="F202" s="132"/>
      <c r="G202" s="140">
        <v>5.1000000000000004E-4</v>
      </c>
      <c r="H202" s="72" t="s">
        <v>489</v>
      </c>
      <c r="I202" s="72" t="s">
        <v>61</v>
      </c>
      <c r="J202" s="72">
        <v>8311</v>
      </c>
      <c r="K202" s="92" t="str">
        <f>TEXT(DataAct_tbl[[#This Row],[DATE]],"MMM")</f>
        <v>Apr</v>
      </c>
      <c r="L202">
        <f>COUNTIF($H$6:H202,H202)</f>
        <v>49</v>
      </c>
      <c r="M202" s="68" t="str">
        <f>IF(AND(ISNA(VLOOKUP(DataAct_tbl[[#This Row],[BG CODE]],DataOB[Budget code],1,0)),DataAct_tbl[[#This Row],[Check Dub]]=1),"NEW","")</f>
        <v/>
      </c>
      <c r="N202" s="68" t="b">
        <f>AND(DataAct_tbl[[#This Row],[DATE]]&gt;=FirstDate,DataAct_tbl[[#This Row],[DATE]]&lt;=LastDate)</f>
        <v>1</v>
      </c>
    </row>
    <row r="203" spans="2:14" ht="14.4">
      <c r="B203" s="77">
        <v>45412</v>
      </c>
      <c r="C203" s="118" t="s">
        <v>410</v>
      </c>
      <c r="D203" s="68" t="s">
        <v>429</v>
      </c>
      <c r="E203" s="131"/>
      <c r="F203" s="132"/>
      <c r="G203" s="140">
        <v>5.1000000000000004E-4</v>
      </c>
      <c r="H203" s="72" t="s">
        <v>489</v>
      </c>
      <c r="I203" s="72" t="s">
        <v>61</v>
      </c>
      <c r="J203" s="72">
        <v>8311</v>
      </c>
      <c r="K203" s="92" t="str">
        <f>TEXT(DataAct_tbl[[#This Row],[DATE]],"MMM")</f>
        <v>Apr</v>
      </c>
      <c r="L203">
        <f>COUNTIF($H$6:H203,H203)</f>
        <v>50</v>
      </c>
      <c r="M203" s="68" t="str">
        <f>IF(AND(ISNA(VLOOKUP(DataAct_tbl[[#This Row],[BG CODE]],DataOB[Budget code],1,0)),DataAct_tbl[[#This Row],[Check Dub]]=1),"NEW","")</f>
        <v/>
      </c>
      <c r="N203" s="68" t="b">
        <f>AND(DataAct_tbl[[#This Row],[DATE]]&gt;=FirstDate,DataAct_tbl[[#This Row],[DATE]]&lt;=LastDate)</f>
        <v>1</v>
      </c>
    </row>
    <row r="204" spans="2:14" ht="14.4">
      <c r="B204" s="77">
        <v>45408</v>
      </c>
      <c r="C204" s="118" t="s">
        <v>430</v>
      </c>
      <c r="D204" s="68" t="s">
        <v>431</v>
      </c>
      <c r="E204" s="131"/>
      <c r="F204" s="132"/>
      <c r="G204" s="140">
        <v>8.8370800000000003</v>
      </c>
      <c r="H204" s="72" t="s">
        <v>389</v>
      </c>
      <c r="I204" s="72" t="s">
        <v>63</v>
      </c>
      <c r="J204" s="72">
        <v>8514</v>
      </c>
      <c r="K204" s="92" t="str">
        <f>TEXT(DataAct_tbl[[#This Row],[DATE]],"MMM")</f>
        <v>Apr</v>
      </c>
      <c r="L204">
        <f>COUNTIF($H$6:H204,H204)</f>
        <v>3</v>
      </c>
      <c r="M204" s="68" t="str">
        <f>IF(AND(ISNA(VLOOKUP(DataAct_tbl[[#This Row],[BG CODE]],DataOB[Budget code],1,0)),DataAct_tbl[[#This Row],[Check Dub]]=1),"NEW","")</f>
        <v/>
      </c>
      <c r="N204" s="68" t="b">
        <f>AND(DataAct_tbl[[#This Row],[DATE]]&gt;=FirstDate,DataAct_tbl[[#This Row],[DATE]]&lt;=LastDate)</f>
        <v>1</v>
      </c>
    </row>
    <row r="205" spans="2:14" ht="14.4">
      <c r="B205" s="77">
        <v>45408</v>
      </c>
      <c r="C205" s="118" t="s">
        <v>432</v>
      </c>
      <c r="D205" s="68" t="s">
        <v>433</v>
      </c>
      <c r="E205" s="131"/>
      <c r="F205" s="132"/>
      <c r="G205" s="140">
        <v>8.5599999999999999E-3</v>
      </c>
      <c r="H205" s="72" t="s">
        <v>351</v>
      </c>
      <c r="I205" s="72" t="s">
        <v>62</v>
      </c>
      <c r="J205" s="72">
        <v>8411</v>
      </c>
      <c r="K205" s="92" t="str">
        <f>TEXT(DataAct_tbl[[#This Row],[DATE]],"MMM")</f>
        <v>Apr</v>
      </c>
      <c r="L205">
        <f>COUNTIF($H$6:H205,H205)</f>
        <v>15</v>
      </c>
      <c r="M205" s="68" t="str">
        <f>IF(AND(ISNA(VLOOKUP(DataAct_tbl[[#This Row],[BG CODE]],DataOB[Budget code],1,0)),DataAct_tbl[[#This Row],[Check Dub]]=1),"NEW","")</f>
        <v/>
      </c>
      <c r="N205" s="68" t="b">
        <f>AND(DataAct_tbl[[#This Row],[DATE]]&gt;=FirstDate,DataAct_tbl[[#This Row],[DATE]]&lt;=LastDate)</f>
        <v>1</v>
      </c>
    </row>
    <row r="206" spans="2:14" ht="14.4">
      <c r="B206" s="77">
        <v>45408</v>
      </c>
      <c r="C206" s="118" t="s">
        <v>432</v>
      </c>
      <c r="D206" s="68" t="s">
        <v>434</v>
      </c>
      <c r="E206" s="131"/>
      <c r="F206" s="132"/>
      <c r="G206" s="140">
        <v>0.46116000000000001</v>
      </c>
      <c r="H206" s="72" t="s">
        <v>351</v>
      </c>
      <c r="I206" s="72" t="s">
        <v>62</v>
      </c>
      <c r="J206" s="72">
        <v>8411</v>
      </c>
      <c r="K206" s="92" t="str">
        <f>TEXT(DataAct_tbl[[#This Row],[DATE]],"MMM")</f>
        <v>Apr</v>
      </c>
      <c r="L206">
        <f>COUNTIF($H$6:H206,H206)</f>
        <v>16</v>
      </c>
      <c r="M206" s="68" t="str">
        <f>IF(AND(ISNA(VLOOKUP(DataAct_tbl[[#This Row],[BG CODE]],DataOB[Budget code],1,0)),DataAct_tbl[[#This Row],[Check Dub]]=1),"NEW","")</f>
        <v/>
      </c>
      <c r="N206" s="68" t="b">
        <f>AND(DataAct_tbl[[#This Row],[DATE]]&gt;=FirstDate,DataAct_tbl[[#This Row],[DATE]]&lt;=LastDate)</f>
        <v>1</v>
      </c>
    </row>
    <row r="207" spans="2:14" ht="14.4">
      <c r="B207" s="77">
        <v>45408</v>
      </c>
      <c r="C207" s="118" t="s">
        <v>432</v>
      </c>
      <c r="D207" s="68" t="s">
        <v>435</v>
      </c>
      <c r="E207" s="131"/>
      <c r="F207" s="132"/>
      <c r="G207" s="140">
        <v>3.6889999999999999E-2</v>
      </c>
      <c r="H207" s="72" t="s">
        <v>351</v>
      </c>
      <c r="I207" s="72" t="s">
        <v>62</v>
      </c>
      <c r="J207" s="72">
        <v>8411</v>
      </c>
      <c r="K207" s="92" t="str">
        <f>TEXT(DataAct_tbl[[#This Row],[DATE]],"MMM")</f>
        <v>Apr</v>
      </c>
      <c r="L207">
        <f>COUNTIF($H$6:H207,H207)</f>
        <v>17</v>
      </c>
      <c r="M207" s="68" t="str">
        <f>IF(AND(ISNA(VLOOKUP(DataAct_tbl[[#This Row],[BG CODE]],DataOB[Budget code],1,0)),DataAct_tbl[[#This Row],[Check Dub]]=1),"NEW","")</f>
        <v/>
      </c>
      <c r="N207" s="68" t="b">
        <f>AND(DataAct_tbl[[#This Row],[DATE]]&gt;=FirstDate,DataAct_tbl[[#This Row],[DATE]]&lt;=LastDate)</f>
        <v>1</v>
      </c>
    </row>
    <row r="208" spans="2:14" ht="14.4">
      <c r="B208" s="77">
        <v>45412</v>
      </c>
      <c r="C208" s="118" t="s">
        <v>436</v>
      </c>
      <c r="D208" s="68" t="s">
        <v>437</v>
      </c>
      <c r="E208" s="131"/>
      <c r="F208" s="132"/>
      <c r="G208" s="140">
        <v>1.3000000000000002E-4</v>
      </c>
      <c r="H208" s="72" t="s">
        <v>351</v>
      </c>
      <c r="I208" s="72" t="s">
        <v>61</v>
      </c>
      <c r="J208" s="72">
        <v>8411</v>
      </c>
      <c r="K208" s="92" t="str">
        <f>TEXT(DataAct_tbl[[#This Row],[DATE]],"MMM")</f>
        <v>Apr</v>
      </c>
      <c r="L208">
        <f>COUNTIF($H$6:H208,H208)</f>
        <v>18</v>
      </c>
      <c r="M208" s="68" t="str">
        <f>IF(AND(ISNA(VLOOKUP(DataAct_tbl[[#This Row],[BG CODE]],DataOB[Budget code],1,0)),DataAct_tbl[[#This Row],[Check Dub]]=1),"NEW","")</f>
        <v/>
      </c>
      <c r="N208" s="68" t="b">
        <f>AND(DataAct_tbl[[#This Row],[DATE]]&gt;=FirstDate,DataAct_tbl[[#This Row],[DATE]]&lt;=LastDate)</f>
        <v>1</v>
      </c>
    </row>
    <row r="209" spans="2:14" ht="14.4">
      <c r="B209" s="77">
        <v>45412</v>
      </c>
      <c r="C209" s="118" t="s">
        <v>436</v>
      </c>
      <c r="D209" s="68" t="s">
        <v>438</v>
      </c>
      <c r="E209" s="131"/>
      <c r="F209" s="132"/>
      <c r="G209" s="140">
        <v>7.2199999999999999E-3</v>
      </c>
      <c r="H209" s="72" t="s">
        <v>351</v>
      </c>
      <c r="I209" s="72" t="s">
        <v>61</v>
      </c>
      <c r="J209" s="72">
        <v>8411</v>
      </c>
      <c r="K209" s="92" t="str">
        <f>TEXT(DataAct_tbl[[#This Row],[DATE]],"MMM")</f>
        <v>Apr</v>
      </c>
      <c r="L209">
        <f>COUNTIF($H$6:H209,H209)</f>
        <v>19</v>
      </c>
      <c r="M209" s="68" t="str">
        <f>IF(AND(ISNA(VLOOKUP(DataAct_tbl[[#This Row],[BG CODE]],DataOB[Budget code],1,0)),DataAct_tbl[[#This Row],[Check Dub]]=1),"NEW","")</f>
        <v/>
      </c>
      <c r="N209" s="68" t="b">
        <f>AND(DataAct_tbl[[#This Row],[DATE]]&gt;=FirstDate,DataAct_tbl[[#This Row],[DATE]]&lt;=LastDate)</f>
        <v>1</v>
      </c>
    </row>
    <row r="210" spans="2:14" ht="14.4">
      <c r="B210" s="77">
        <v>45412</v>
      </c>
      <c r="C210" s="118" t="s">
        <v>436</v>
      </c>
      <c r="D210" s="68" t="s">
        <v>439</v>
      </c>
      <c r="E210" s="131"/>
      <c r="F210" s="132"/>
      <c r="G210" s="140">
        <v>5.8E-4</v>
      </c>
      <c r="H210" s="72" t="s">
        <v>351</v>
      </c>
      <c r="I210" s="72" t="s">
        <v>61</v>
      </c>
      <c r="J210" s="72">
        <v>8411</v>
      </c>
      <c r="K210" s="92" t="str">
        <f>TEXT(DataAct_tbl[[#This Row],[DATE]],"MMM")</f>
        <v>Apr</v>
      </c>
      <c r="L210">
        <f>COUNTIF($H$6:H210,H210)</f>
        <v>20</v>
      </c>
      <c r="M210" s="68" t="str">
        <f>IF(AND(ISNA(VLOOKUP(DataAct_tbl[[#This Row],[BG CODE]],DataOB[Budget code],1,0)),DataAct_tbl[[#This Row],[Check Dub]]=1),"NEW","")</f>
        <v/>
      </c>
      <c r="N210" s="68" t="b">
        <f>AND(DataAct_tbl[[#This Row],[DATE]]&gt;=FirstDate,DataAct_tbl[[#This Row],[DATE]]&lt;=LastDate)</f>
        <v>1</v>
      </c>
    </row>
    <row r="211" spans="2:14" ht="14.4">
      <c r="B211" s="77">
        <v>45408</v>
      </c>
      <c r="C211" s="118" t="s">
        <v>440</v>
      </c>
      <c r="D211" s="68" t="s">
        <v>441</v>
      </c>
      <c r="E211" s="131"/>
      <c r="F211" s="132"/>
      <c r="G211" s="140">
        <v>1.4359300000000002</v>
      </c>
      <c r="H211" s="72" t="s">
        <v>99</v>
      </c>
      <c r="I211" s="72" t="s">
        <v>62</v>
      </c>
      <c r="J211" s="72">
        <v>8111</v>
      </c>
      <c r="K211" s="92" t="str">
        <f>TEXT(DataAct_tbl[[#This Row],[DATE]],"MMM")</f>
        <v>Apr</v>
      </c>
      <c r="L211">
        <f>COUNTIF($H$6:H211,H211)</f>
        <v>25</v>
      </c>
      <c r="M211" s="68" t="str">
        <f>IF(AND(ISNA(VLOOKUP(DataAct_tbl[[#This Row],[BG CODE]],DataOB[Budget code],1,0)),DataAct_tbl[[#This Row],[Check Dub]]=1),"NEW","")</f>
        <v/>
      </c>
      <c r="N211" s="68" t="b">
        <f>AND(DataAct_tbl[[#This Row],[DATE]]&gt;=FirstDate,DataAct_tbl[[#This Row],[DATE]]&lt;=LastDate)</f>
        <v>1</v>
      </c>
    </row>
    <row r="212" spans="2:14" ht="14.4">
      <c r="B212" s="77">
        <v>45408</v>
      </c>
      <c r="C212" s="118" t="s">
        <v>440</v>
      </c>
      <c r="D212" s="68" t="s">
        <v>442</v>
      </c>
      <c r="E212" s="131"/>
      <c r="F212" s="132"/>
      <c r="G212" s="140">
        <v>1.4359200000000001</v>
      </c>
      <c r="H212" s="72" t="s">
        <v>99</v>
      </c>
      <c r="I212" s="72" t="s">
        <v>62</v>
      </c>
      <c r="J212" s="72">
        <v>8111</v>
      </c>
      <c r="K212" s="92" t="str">
        <f>TEXT(DataAct_tbl[[#This Row],[DATE]],"MMM")</f>
        <v>Apr</v>
      </c>
      <c r="L212">
        <f>COUNTIF($H$6:H212,H212)</f>
        <v>26</v>
      </c>
      <c r="M212" s="68" t="str">
        <f>IF(AND(ISNA(VLOOKUP(DataAct_tbl[[#This Row],[BG CODE]],DataOB[Budget code],1,0)),DataAct_tbl[[#This Row],[Check Dub]]=1),"NEW","")</f>
        <v/>
      </c>
      <c r="N212" s="68" t="b">
        <f>AND(DataAct_tbl[[#This Row],[DATE]]&gt;=FirstDate,DataAct_tbl[[#This Row],[DATE]]&lt;=LastDate)</f>
        <v>1</v>
      </c>
    </row>
    <row r="213" spans="2:14" ht="14.4">
      <c r="B213" s="77">
        <v>45412</v>
      </c>
      <c r="C213" s="118" t="s">
        <v>443</v>
      </c>
      <c r="D213" s="68" t="s">
        <v>444</v>
      </c>
      <c r="E213" s="131"/>
      <c r="F213" s="132"/>
      <c r="G213" s="140">
        <v>2.163E-2</v>
      </c>
      <c r="H213" s="72" t="s">
        <v>99</v>
      </c>
      <c r="I213" s="72" t="s">
        <v>102</v>
      </c>
      <c r="J213" s="72">
        <v>8111</v>
      </c>
      <c r="K213" s="92" t="str">
        <f>TEXT(DataAct_tbl[[#This Row],[DATE]],"MMM")</f>
        <v>Apr</v>
      </c>
      <c r="L213">
        <f>COUNTIF($H$6:H213,H213)</f>
        <v>27</v>
      </c>
      <c r="M213" s="68" t="str">
        <f>IF(AND(ISNA(VLOOKUP(DataAct_tbl[[#This Row],[BG CODE]],DataOB[Budget code],1,0)),DataAct_tbl[[#This Row],[Check Dub]]=1),"NEW","")</f>
        <v/>
      </c>
      <c r="N213" s="68" t="b">
        <f>AND(DataAct_tbl[[#This Row],[DATE]]&gt;=FirstDate,DataAct_tbl[[#This Row],[DATE]]&lt;=LastDate)</f>
        <v>1</v>
      </c>
    </row>
    <row r="214" spans="2:14" ht="14.4">
      <c r="B214" s="77">
        <v>45412</v>
      </c>
      <c r="C214" s="118" t="s">
        <v>443</v>
      </c>
      <c r="D214" s="68" t="s">
        <v>445</v>
      </c>
      <c r="E214" s="131"/>
      <c r="F214" s="132"/>
      <c r="G214" s="140">
        <v>2.163E-2</v>
      </c>
      <c r="H214" s="72" t="s">
        <v>99</v>
      </c>
      <c r="I214" s="72" t="s">
        <v>102</v>
      </c>
      <c r="J214" s="72">
        <v>8111</v>
      </c>
      <c r="K214" s="92" t="str">
        <f>TEXT(DataAct_tbl[[#This Row],[DATE]],"MMM")</f>
        <v>Apr</v>
      </c>
      <c r="L214">
        <f>COUNTIF($H$6:H214,H214)</f>
        <v>28</v>
      </c>
      <c r="M214" s="68" t="str">
        <f>IF(AND(ISNA(VLOOKUP(DataAct_tbl[[#This Row],[BG CODE]],DataOB[Budget code],1,0)),DataAct_tbl[[#This Row],[Check Dub]]=1),"NEW","")</f>
        <v/>
      </c>
      <c r="N214" s="68" t="b">
        <f>AND(DataAct_tbl[[#This Row],[DATE]]&gt;=FirstDate,DataAct_tbl[[#This Row],[DATE]]&lt;=LastDate)</f>
        <v>1</v>
      </c>
    </row>
    <row r="215" spans="2:14" ht="14.4">
      <c r="B215" s="77">
        <v>45408</v>
      </c>
      <c r="C215" s="118" t="s">
        <v>446</v>
      </c>
      <c r="D215" s="68" t="s">
        <v>447</v>
      </c>
      <c r="E215" s="131"/>
      <c r="F215" s="132"/>
      <c r="G215" s="140">
        <v>1.43998</v>
      </c>
      <c r="H215" s="72" t="s">
        <v>99</v>
      </c>
      <c r="I215" s="72" t="s">
        <v>62</v>
      </c>
      <c r="J215" s="72">
        <v>8111</v>
      </c>
      <c r="K215" s="92" t="str">
        <f>TEXT(DataAct_tbl[[#This Row],[DATE]],"MMM")</f>
        <v>Apr</v>
      </c>
      <c r="L215">
        <f>COUNTIF($H$6:H215,H215)</f>
        <v>29</v>
      </c>
      <c r="M215" s="68" t="str">
        <f>IF(AND(ISNA(VLOOKUP(DataAct_tbl[[#This Row],[BG CODE]],DataOB[Budget code],1,0)),DataAct_tbl[[#This Row],[Check Dub]]=1),"NEW","")</f>
        <v/>
      </c>
      <c r="N215" s="68" t="b">
        <f>AND(DataAct_tbl[[#This Row],[DATE]]&gt;=FirstDate,DataAct_tbl[[#This Row],[DATE]]&lt;=LastDate)</f>
        <v>1</v>
      </c>
    </row>
    <row r="216" spans="2:14" ht="14.4">
      <c r="B216" s="77">
        <v>45408</v>
      </c>
      <c r="C216" s="118" t="s">
        <v>446</v>
      </c>
      <c r="D216" s="68" t="s">
        <v>448</v>
      </c>
      <c r="E216" s="131"/>
      <c r="F216" s="132"/>
      <c r="G216" s="140">
        <v>1.43998</v>
      </c>
      <c r="H216" s="72" t="s">
        <v>99</v>
      </c>
      <c r="I216" s="72" t="s">
        <v>62</v>
      </c>
      <c r="J216" s="72">
        <v>8111</v>
      </c>
      <c r="K216" s="92" t="str">
        <f>TEXT(DataAct_tbl[[#This Row],[DATE]],"MMM")</f>
        <v>Apr</v>
      </c>
      <c r="L216">
        <f>COUNTIF($H$6:H216,H216)</f>
        <v>30</v>
      </c>
      <c r="M216" s="68" t="str">
        <f>IF(AND(ISNA(VLOOKUP(DataAct_tbl[[#This Row],[BG CODE]],DataOB[Budget code],1,0)),DataAct_tbl[[#This Row],[Check Dub]]=1),"NEW","")</f>
        <v/>
      </c>
      <c r="N216" s="68" t="b">
        <f>AND(DataAct_tbl[[#This Row],[DATE]]&gt;=FirstDate,DataAct_tbl[[#This Row],[DATE]]&lt;=LastDate)</f>
        <v>1</v>
      </c>
    </row>
    <row r="217" spans="2:14" ht="14.4">
      <c r="B217" s="77">
        <v>45408</v>
      </c>
      <c r="C217" s="118" t="s">
        <v>446</v>
      </c>
      <c r="D217" s="68" t="s">
        <v>449</v>
      </c>
      <c r="E217" s="131"/>
      <c r="F217" s="132"/>
      <c r="G217" s="140">
        <v>1.43998</v>
      </c>
      <c r="H217" s="72" t="s">
        <v>99</v>
      </c>
      <c r="I217" s="72" t="s">
        <v>62</v>
      </c>
      <c r="J217" s="72">
        <v>8111</v>
      </c>
      <c r="K217" s="92" t="str">
        <f>TEXT(DataAct_tbl[[#This Row],[DATE]],"MMM")</f>
        <v>Apr</v>
      </c>
      <c r="L217">
        <f>COUNTIF($H$6:H217,H217)</f>
        <v>31</v>
      </c>
      <c r="M217" s="68" t="str">
        <f>IF(AND(ISNA(VLOOKUP(DataAct_tbl[[#This Row],[BG CODE]],DataOB[Budget code],1,0)),DataAct_tbl[[#This Row],[Check Dub]]=1),"NEW","")</f>
        <v/>
      </c>
      <c r="N217" s="68" t="b">
        <f>AND(DataAct_tbl[[#This Row],[DATE]]&gt;=FirstDate,DataAct_tbl[[#This Row],[DATE]]&lt;=LastDate)</f>
        <v>1</v>
      </c>
    </row>
    <row r="218" spans="2:14" ht="14.4">
      <c r="B218" s="77">
        <v>45408</v>
      </c>
      <c r="C218" s="118" t="s">
        <v>446</v>
      </c>
      <c r="D218" s="68" t="s">
        <v>450</v>
      </c>
      <c r="E218" s="131"/>
      <c r="F218" s="132"/>
      <c r="G218" s="140">
        <v>1.43998</v>
      </c>
      <c r="H218" s="72" t="s">
        <v>99</v>
      </c>
      <c r="I218" s="72" t="s">
        <v>62</v>
      </c>
      <c r="J218" s="72">
        <v>8111</v>
      </c>
      <c r="K218" s="92" t="str">
        <f>TEXT(DataAct_tbl[[#This Row],[DATE]],"MMM")</f>
        <v>Apr</v>
      </c>
      <c r="L218">
        <f>COUNTIF($H$6:H218,H218)</f>
        <v>32</v>
      </c>
      <c r="M218" s="68" t="str">
        <f>IF(AND(ISNA(VLOOKUP(DataAct_tbl[[#This Row],[BG CODE]],DataOB[Budget code],1,0)),DataAct_tbl[[#This Row],[Check Dub]]=1),"NEW","")</f>
        <v/>
      </c>
      <c r="N218" s="68" t="b">
        <f>AND(DataAct_tbl[[#This Row],[DATE]]&gt;=FirstDate,DataAct_tbl[[#This Row],[DATE]]&lt;=LastDate)</f>
        <v>1</v>
      </c>
    </row>
    <row r="219" spans="2:14" ht="14.4">
      <c r="B219" s="77">
        <v>45412</v>
      </c>
      <c r="C219" s="118" t="s">
        <v>443</v>
      </c>
      <c r="D219" s="68" t="s">
        <v>451</v>
      </c>
      <c r="E219" s="131"/>
      <c r="F219" s="132"/>
      <c r="G219" s="140">
        <v>6.7599999999999995E-3</v>
      </c>
      <c r="H219" s="72" t="s">
        <v>99</v>
      </c>
      <c r="I219" s="72" t="s">
        <v>102</v>
      </c>
      <c r="J219" s="72">
        <v>8111</v>
      </c>
      <c r="K219" s="92" t="str">
        <f>TEXT(DataAct_tbl[[#This Row],[DATE]],"MMM")</f>
        <v>Apr</v>
      </c>
      <c r="L219">
        <f>COUNTIF($H$6:H219,H219)</f>
        <v>33</v>
      </c>
      <c r="M219" s="68" t="str">
        <f>IF(AND(ISNA(VLOOKUP(DataAct_tbl[[#This Row],[BG CODE]],DataOB[Budget code],1,0)),DataAct_tbl[[#This Row],[Check Dub]]=1),"NEW","")</f>
        <v/>
      </c>
      <c r="N219" s="68" t="b">
        <f>AND(DataAct_tbl[[#This Row],[DATE]]&gt;=FirstDate,DataAct_tbl[[#This Row],[DATE]]&lt;=LastDate)</f>
        <v>1</v>
      </c>
    </row>
    <row r="220" spans="2:14" ht="14.4">
      <c r="B220" s="77">
        <v>45412</v>
      </c>
      <c r="C220" s="118" t="s">
        <v>443</v>
      </c>
      <c r="D220" s="68" t="s">
        <v>452</v>
      </c>
      <c r="E220" s="131"/>
      <c r="F220" s="132"/>
      <c r="G220" s="140">
        <v>6.7599999999999995E-3</v>
      </c>
      <c r="H220" s="72" t="s">
        <v>99</v>
      </c>
      <c r="I220" s="72" t="s">
        <v>102</v>
      </c>
      <c r="J220" s="72">
        <v>8111</v>
      </c>
      <c r="K220" s="92" t="str">
        <f>TEXT(DataAct_tbl[[#This Row],[DATE]],"MMM")</f>
        <v>Apr</v>
      </c>
      <c r="L220">
        <f>COUNTIF($H$6:H220,H220)</f>
        <v>34</v>
      </c>
      <c r="M220" s="68" t="str">
        <f>IF(AND(ISNA(VLOOKUP(DataAct_tbl[[#This Row],[BG CODE]],DataOB[Budget code],1,0)),DataAct_tbl[[#This Row],[Check Dub]]=1),"NEW","")</f>
        <v/>
      </c>
      <c r="N220" s="68" t="b">
        <f>AND(DataAct_tbl[[#This Row],[DATE]]&gt;=FirstDate,DataAct_tbl[[#This Row],[DATE]]&lt;=LastDate)</f>
        <v>1</v>
      </c>
    </row>
    <row r="221" spans="2:14" ht="14.4">
      <c r="B221" s="77">
        <v>45412</v>
      </c>
      <c r="C221" s="118" t="s">
        <v>443</v>
      </c>
      <c r="D221" s="68" t="s">
        <v>453</v>
      </c>
      <c r="E221" s="131"/>
      <c r="F221" s="132"/>
      <c r="G221" s="140">
        <v>6.7599999999999995E-3</v>
      </c>
      <c r="H221" s="72" t="s">
        <v>99</v>
      </c>
      <c r="I221" s="72" t="s">
        <v>102</v>
      </c>
      <c r="J221" s="72">
        <v>8111</v>
      </c>
      <c r="K221" s="92" t="str">
        <f>TEXT(DataAct_tbl[[#This Row],[DATE]],"MMM")</f>
        <v>Apr</v>
      </c>
      <c r="L221">
        <f>COUNTIF($H$6:H221,H221)</f>
        <v>35</v>
      </c>
      <c r="M221" s="68" t="str">
        <f>IF(AND(ISNA(VLOOKUP(DataAct_tbl[[#This Row],[BG CODE]],DataOB[Budget code],1,0)),DataAct_tbl[[#This Row],[Check Dub]]=1),"NEW","")</f>
        <v/>
      </c>
      <c r="N221" s="68" t="b">
        <f>AND(DataAct_tbl[[#This Row],[DATE]]&gt;=FirstDate,DataAct_tbl[[#This Row],[DATE]]&lt;=LastDate)</f>
        <v>1</v>
      </c>
    </row>
    <row r="222" spans="2:14" ht="14.4">
      <c r="B222" s="77">
        <v>45412</v>
      </c>
      <c r="C222" s="118" t="s">
        <v>443</v>
      </c>
      <c r="D222" s="68" t="s">
        <v>454</v>
      </c>
      <c r="E222" s="131"/>
      <c r="F222" s="132"/>
      <c r="G222" s="140">
        <v>6.7599999999999995E-3</v>
      </c>
      <c r="H222" s="72" t="s">
        <v>99</v>
      </c>
      <c r="I222" s="72" t="s">
        <v>102</v>
      </c>
      <c r="J222" s="72">
        <v>8111</v>
      </c>
      <c r="K222" s="92" t="str">
        <f>TEXT(DataAct_tbl[[#This Row],[DATE]],"MMM")</f>
        <v>Apr</v>
      </c>
      <c r="L222">
        <f>COUNTIF($H$6:H222,H222)</f>
        <v>36</v>
      </c>
      <c r="M222" s="68" t="str">
        <f>IF(AND(ISNA(VLOOKUP(DataAct_tbl[[#This Row],[BG CODE]],DataOB[Budget code],1,0)),DataAct_tbl[[#This Row],[Check Dub]]=1),"NEW","")</f>
        <v/>
      </c>
      <c r="N222" s="68" t="b">
        <f>AND(DataAct_tbl[[#This Row],[DATE]]&gt;=FirstDate,DataAct_tbl[[#This Row],[DATE]]&lt;=LastDate)</f>
        <v>1</v>
      </c>
    </row>
    <row r="223" spans="2:14" ht="14.4">
      <c r="B223" s="77">
        <v>45408</v>
      </c>
      <c r="C223" s="118" t="s">
        <v>455</v>
      </c>
      <c r="D223" s="68" t="s">
        <v>456</v>
      </c>
      <c r="E223" s="131"/>
      <c r="F223" s="132"/>
      <c r="G223" s="140">
        <v>0.22561</v>
      </c>
      <c r="H223" s="72" t="s">
        <v>351</v>
      </c>
      <c r="I223" s="72" t="s">
        <v>62</v>
      </c>
      <c r="J223" s="72">
        <v>8411</v>
      </c>
      <c r="K223" s="92" t="str">
        <f>TEXT(DataAct_tbl[[#This Row],[DATE]],"MMM")</f>
        <v>Apr</v>
      </c>
      <c r="L223">
        <f>COUNTIF($H$6:H223,H223)</f>
        <v>21</v>
      </c>
      <c r="M223" s="68" t="str">
        <f>IF(AND(ISNA(VLOOKUP(DataAct_tbl[[#This Row],[BG CODE]],DataOB[Budget code],1,0)),DataAct_tbl[[#This Row],[Check Dub]]=1),"NEW","")</f>
        <v/>
      </c>
      <c r="N223" s="68" t="b">
        <f>AND(DataAct_tbl[[#This Row],[DATE]]&gt;=FirstDate,DataAct_tbl[[#This Row],[DATE]]&lt;=LastDate)</f>
        <v>1</v>
      </c>
    </row>
    <row r="224" spans="2:14" ht="14.4">
      <c r="B224" s="77">
        <v>45408</v>
      </c>
      <c r="C224" s="118" t="s">
        <v>455</v>
      </c>
      <c r="D224" s="68" t="s">
        <v>457</v>
      </c>
      <c r="E224" s="131"/>
      <c r="F224" s="132"/>
      <c r="G224" s="140">
        <v>6.3039999999999999E-2</v>
      </c>
      <c r="H224" s="72" t="s">
        <v>351</v>
      </c>
      <c r="I224" s="72" t="s">
        <v>62</v>
      </c>
      <c r="J224" s="72">
        <v>8411</v>
      </c>
      <c r="K224" s="92" t="str">
        <f>TEXT(DataAct_tbl[[#This Row],[DATE]],"MMM")</f>
        <v>Apr</v>
      </c>
      <c r="L224">
        <f>COUNTIF($H$6:H224,H224)</f>
        <v>22</v>
      </c>
      <c r="M224" s="68" t="str">
        <f>IF(AND(ISNA(VLOOKUP(DataAct_tbl[[#This Row],[BG CODE]],DataOB[Budget code],1,0)),DataAct_tbl[[#This Row],[Check Dub]]=1),"NEW","")</f>
        <v/>
      </c>
      <c r="N224" s="68" t="b">
        <f>AND(DataAct_tbl[[#This Row],[DATE]]&gt;=FirstDate,DataAct_tbl[[#This Row],[DATE]]&lt;=LastDate)</f>
        <v>1</v>
      </c>
    </row>
    <row r="225" spans="2:14" ht="14.4">
      <c r="B225" s="77">
        <v>45412</v>
      </c>
      <c r="C225" s="118" t="s">
        <v>436</v>
      </c>
      <c r="D225" s="68" t="s">
        <v>458</v>
      </c>
      <c r="E225" s="131"/>
      <c r="F225" s="132"/>
      <c r="G225" s="140">
        <v>6.2900000000000005E-3</v>
      </c>
      <c r="H225" s="72" t="s">
        <v>351</v>
      </c>
      <c r="I225" s="72" t="s">
        <v>61</v>
      </c>
      <c r="J225" s="72">
        <v>8411</v>
      </c>
      <c r="K225" s="92" t="str">
        <f>TEXT(DataAct_tbl[[#This Row],[DATE]],"MMM")</f>
        <v>Apr</v>
      </c>
      <c r="L225">
        <f>COUNTIF($H$6:H225,H225)</f>
        <v>23</v>
      </c>
      <c r="M225" s="68" t="str">
        <f>IF(AND(ISNA(VLOOKUP(DataAct_tbl[[#This Row],[BG CODE]],DataOB[Budget code],1,0)),DataAct_tbl[[#This Row],[Check Dub]]=1),"NEW","")</f>
        <v/>
      </c>
      <c r="N225" s="68" t="b">
        <f>AND(DataAct_tbl[[#This Row],[DATE]]&gt;=FirstDate,DataAct_tbl[[#This Row],[DATE]]&lt;=LastDate)</f>
        <v>1</v>
      </c>
    </row>
    <row r="226" spans="2:14" ht="14.4">
      <c r="B226" s="77">
        <v>45412</v>
      </c>
      <c r="C226" s="118" t="s">
        <v>436</v>
      </c>
      <c r="D226" s="68" t="s">
        <v>459</v>
      </c>
      <c r="E226" s="131"/>
      <c r="F226" s="132"/>
      <c r="G226" s="140">
        <v>1.7600000000000001E-3</v>
      </c>
      <c r="H226" s="72" t="s">
        <v>351</v>
      </c>
      <c r="I226" s="72" t="s">
        <v>61</v>
      </c>
      <c r="J226" s="72">
        <v>8411</v>
      </c>
      <c r="K226" s="92" t="str">
        <f>TEXT(DataAct_tbl[[#This Row],[DATE]],"MMM")</f>
        <v>Apr</v>
      </c>
      <c r="L226">
        <f>COUNTIF($H$6:H226,H226)</f>
        <v>24</v>
      </c>
      <c r="M226" s="68" t="str">
        <f>IF(AND(ISNA(VLOOKUP(DataAct_tbl[[#This Row],[BG CODE]],DataOB[Budget code],1,0)),DataAct_tbl[[#This Row],[Check Dub]]=1),"NEW","")</f>
        <v/>
      </c>
      <c r="N226" s="68" t="b">
        <f>AND(DataAct_tbl[[#This Row],[DATE]]&gt;=FirstDate,DataAct_tbl[[#This Row],[DATE]]&lt;=LastDate)</f>
        <v>1</v>
      </c>
    </row>
    <row r="227" spans="2:14" ht="14.4">
      <c r="B227" s="77">
        <v>45408</v>
      </c>
      <c r="C227" s="118" t="s">
        <v>460</v>
      </c>
      <c r="D227" s="68" t="s">
        <v>461</v>
      </c>
      <c r="E227" s="131"/>
      <c r="F227" s="132"/>
      <c r="G227" s="140">
        <v>7.664E-2</v>
      </c>
      <c r="H227" s="72" t="s">
        <v>351</v>
      </c>
      <c r="I227" s="72" t="s">
        <v>62</v>
      </c>
      <c r="J227" s="72">
        <v>8411</v>
      </c>
      <c r="K227" s="92" t="str">
        <f>TEXT(DataAct_tbl[[#This Row],[DATE]],"MMM")</f>
        <v>Apr</v>
      </c>
      <c r="L227">
        <f>COUNTIF($H$6:H227,H227)</f>
        <v>25</v>
      </c>
      <c r="M227" s="68" t="str">
        <f>IF(AND(ISNA(VLOOKUP(DataAct_tbl[[#This Row],[BG CODE]],DataOB[Budget code],1,0)),DataAct_tbl[[#This Row],[Check Dub]]=1),"NEW","")</f>
        <v/>
      </c>
      <c r="N227" s="68" t="b">
        <f>AND(DataAct_tbl[[#This Row],[DATE]]&gt;=FirstDate,DataAct_tbl[[#This Row],[DATE]]&lt;=LastDate)</f>
        <v>1</v>
      </c>
    </row>
    <row r="228" spans="2:14" ht="14.4">
      <c r="B228" s="77">
        <v>45408</v>
      </c>
      <c r="C228" s="118" t="s">
        <v>460</v>
      </c>
      <c r="D228" s="68" t="s">
        <v>462</v>
      </c>
      <c r="E228" s="131"/>
      <c r="F228" s="132"/>
      <c r="G228" s="140">
        <v>2.017E-2</v>
      </c>
      <c r="H228" s="72" t="s">
        <v>351</v>
      </c>
      <c r="I228" s="72" t="s">
        <v>62</v>
      </c>
      <c r="J228" s="72">
        <v>8411</v>
      </c>
      <c r="K228" s="92" t="str">
        <f>TEXT(DataAct_tbl[[#This Row],[DATE]],"MMM")</f>
        <v>Apr</v>
      </c>
      <c r="L228">
        <f>COUNTIF($H$6:H228,H228)</f>
        <v>26</v>
      </c>
      <c r="M228" s="68" t="str">
        <f>IF(AND(ISNA(VLOOKUP(DataAct_tbl[[#This Row],[BG CODE]],DataOB[Budget code],1,0)),DataAct_tbl[[#This Row],[Check Dub]]=1),"NEW","")</f>
        <v/>
      </c>
      <c r="N228" s="68" t="b">
        <f>AND(DataAct_tbl[[#This Row],[DATE]]&gt;=FirstDate,DataAct_tbl[[#This Row],[DATE]]&lt;=LastDate)</f>
        <v>1</v>
      </c>
    </row>
    <row r="229" spans="2:14" ht="14.4">
      <c r="B229" s="77">
        <v>45408</v>
      </c>
      <c r="C229" s="118" t="s">
        <v>460</v>
      </c>
      <c r="D229" s="68" t="s">
        <v>463</v>
      </c>
      <c r="E229" s="131"/>
      <c r="F229" s="132"/>
      <c r="G229" s="140">
        <v>2.017E-2</v>
      </c>
      <c r="H229" s="72" t="s">
        <v>351</v>
      </c>
      <c r="I229" s="72" t="s">
        <v>62</v>
      </c>
      <c r="J229" s="72">
        <v>8411</v>
      </c>
      <c r="K229" s="92" t="str">
        <f>TEXT(DataAct_tbl[[#This Row],[DATE]],"MMM")</f>
        <v>Apr</v>
      </c>
      <c r="L229">
        <f>COUNTIF($H$6:H229,H229)</f>
        <v>27</v>
      </c>
      <c r="M229" s="68" t="str">
        <f>IF(AND(ISNA(VLOOKUP(DataAct_tbl[[#This Row],[BG CODE]],DataOB[Budget code],1,0)),DataAct_tbl[[#This Row],[Check Dub]]=1),"NEW","")</f>
        <v/>
      </c>
      <c r="N229" s="68" t="b">
        <f>AND(DataAct_tbl[[#This Row],[DATE]]&gt;=FirstDate,DataAct_tbl[[#This Row],[DATE]]&lt;=LastDate)</f>
        <v>1</v>
      </c>
    </row>
    <row r="230" spans="2:14" ht="14.4">
      <c r="B230" s="77">
        <v>45408</v>
      </c>
      <c r="C230" s="118" t="s">
        <v>460</v>
      </c>
      <c r="D230" s="68" t="s">
        <v>464</v>
      </c>
      <c r="E230" s="131"/>
      <c r="F230" s="132"/>
      <c r="G230" s="140">
        <v>0.44373000000000001</v>
      </c>
      <c r="H230" s="72" t="s">
        <v>351</v>
      </c>
      <c r="I230" s="72" t="s">
        <v>62</v>
      </c>
      <c r="J230" s="72">
        <v>8411</v>
      </c>
      <c r="K230" s="92" t="str">
        <f>TEXT(DataAct_tbl[[#This Row],[DATE]],"MMM")</f>
        <v>Apr</v>
      </c>
      <c r="L230">
        <f>COUNTIF($H$6:H230,H230)</f>
        <v>28</v>
      </c>
      <c r="M230" s="68" t="str">
        <f>IF(AND(ISNA(VLOOKUP(DataAct_tbl[[#This Row],[BG CODE]],DataOB[Budget code],1,0)),DataAct_tbl[[#This Row],[Check Dub]]=1),"NEW","")</f>
        <v/>
      </c>
      <c r="N230" s="68" t="b">
        <f>AND(DataAct_tbl[[#This Row],[DATE]]&gt;=FirstDate,DataAct_tbl[[#This Row],[DATE]]&lt;=LastDate)</f>
        <v>1</v>
      </c>
    </row>
    <row r="231" spans="2:14" ht="14.4">
      <c r="B231" s="77">
        <v>45408</v>
      </c>
      <c r="C231" s="118" t="s">
        <v>460</v>
      </c>
      <c r="D231" s="68" t="s">
        <v>465</v>
      </c>
      <c r="E231" s="131"/>
      <c r="F231" s="132"/>
      <c r="G231" s="140">
        <v>0.28237000000000001</v>
      </c>
      <c r="H231" s="72" t="s">
        <v>351</v>
      </c>
      <c r="I231" s="72" t="s">
        <v>62</v>
      </c>
      <c r="J231" s="72">
        <v>8411</v>
      </c>
      <c r="K231" s="92" t="str">
        <f>TEXT(DataAct_tbl[[#This Row],[DATE]],"MMM")</f>
        <v>Apr</v>
      </c>
      <c r="L231">
        <f>COUNTIF($H$6:H231,H231)</f>
        <v>29</v>
      </c>
      <c r="M231" s="68" t="str">
        <f>IF(AND(ISNA(VLOOKUP(DataAct_tbl[[#This Row],[BG CODE]],DataOB[Budget code],1,0)),DataAct_tbl[[#This Row],[Check Dub]]=1),"NEW","")</f>
        <v/>
      </c>
      <c r="N231" s="68" t="b">
        <f>AND(DataAct_tbl[[#This Row],[DATE]]&gt;=FirstDate,DataAct_tbl[[#This Row],[DATE]]&lt;=LastDate)</f>
        <v>1</v>
      </c>
    </row>
    <row r="232" spans="2:14" ht="14.4">
      <c r="B232" s="77">
        <v>45408</v>
      </c>
      <c r="C232" s="118" t="s">
        <v>460</v>
      </c>
      <c r="D232" s="68" t="s">
        <v>466</v>
      </c>
      <c r="E232" s="131"/>
      <c r="F232" s="132"/>
      <c r="G232" s="140">
        <v>0.28641</v>
      </c>
      <c r="H232" s="72" t="s">
        <v>351</v>
      </c>
      <c r="I232" s="72" t="s">
        <v>62</v>
      </c>
      <c r="J232" s="72">
        <v>8411</v>
      </c>
      <c r="K232" s="92" t="str">
        <f>TEXT(DataAct_tbl[[#This Row],[DATE]],"MMM")</f>
        <v>Apr</v>
      </c>
      <c r="L232">
        <f>COUNTIF($H$6:H232,H232)</f>
        <v>30</v>
      </c>
      <c r="M232" s="68" t="str">
        <f>IF(AND(ISNA(VLOOKUP(DataAct_tbl[[#This Row],[BG CODE]],DataOB[Budget code],1,0)),DataAct_tbl[[#This Row],[Check Dub]]=1),"NEW","")</f>
        <v/>
      </c>
      <c r="N232" s="68" t="b">
        <f>AND(DataAct_tbl[[#This Row],[DATE]]&gt;=FirstDate,DataAct_tbl[[#This Row],[DATE]]&lt;=LastDate)</f>
        <v>1</v>
      </c>
    </row>
    <row r="233" spans="2:14" ht="14.4">
      <c r="B233" s="77">
        <v>45408</v>
      </c>
      <c r="C233" s="118" t="s">
        <v>460</v>
      </c>
      <c r="D233" s="68" t="s">
        <v>467</v>
      </c>
      <c r="E233" s="131"/>
      <c r="F233" s="132"/>
      <c r="G233" s="140">
        <v>1.00847</v>
      </c>
      <c r="H233" s="72" t="s">
        <v>351</v>
      </c>
      <c r="I233" s="72" t="s">
        <v>62</v>
      </c>
      <c r="J233" s="72">
        <v>8411</v>
      </c>
      <c r="K233" s="92" t="str">
        <f>TEXT(DataAct_tbl[[#This Row],[DATE]],"MMM")</f>
        <v>Apr</v>
      </c>
      <c r="L233">
        <f>COUNTIF($H$6:H233,H233)</f>
        <v>31</v>
      </c>
      <c r="M233" s="68" t="str">
        <f>IF(AND(ISNA(VLOOKUP(DataAct_tbl[[#This Row],[BG CODE]],DataOB[Budget code],1,0)),DataAct_tbl[[#This Row],[Check Dub]]=1),"NEW","")</f>
        <v/>
      </c>
      <c r="N233" s="68" t="b">
        <f>AND(DataAct_tbl[[#This Row],[DATE]]&gt;=FirstDate,DataAct_tbl[[#This Row],[DATE]]&lt;=LastDate)</f>
        <v>1</v>
      </c>
    </row>
    <row r="234" spans="2:14" ht="14.4">
      <c r="B234" s="77">
        <v>45408</v>
      </c>
      <c r="C234" s="118" t="s">
        <v>460</v>
      </c>
      <c r="D234" s="68" t="s">
        <v>468</v>
      </c>
      <c r="E234" s="131"/>
      <c r="F234" s="132"/>
      <c r="G234" s="140">
        <v>5.0646199999999997</v>
      </c>
      <c r="H234" s="72" t="s">
        <v>351</v>
      </c>
      <c r="I234" s="72" t="s">
        <v>62</v>
      </c>
      <c r="J234" s="72">
        <v>8411</v>
      </c>
      <c r="K234" s="92" t="str">
        <f>TEXT(DataAct_tbl[[#This Row],[DATE]],"MMM")</f>
        <v>Apr</v>
      </c>
      <c r="L234">
        <f>COUNTIF($H$6:H234,H234)</f>
        <v>32</v>
      </c>
      <c r="M234" s="68" t="str">
        <f>IF(AND(ISNA(VLOOKUP(DataAct_tbl[[#This Row],[BG CODE]],DataOB[Budget code],1,0)),DataAct_tbl[[#This Row],[Check Dub]]=1),"NEW","")</f>
        <v/>
      </c>
      <c r="N234" s="68" t="b">
        <f>AND(DataAct_tbl[[#This Row],[DATE]]&gt;=FirstDate,DataAct_tbl[[#This Row],[DATE]]&lt;=LastDate)</f>
        <v>1</v>
      </c>
    </row>
    <row r="235" spans="2:14" ht="14.4">
      <c r="B235" s="77">
        <v>45408</v>
      </c>
      <c r="C235" s="118" t="s">
        <v>460</v>
      </c>
      <c r="D235" s="68" t="s">
        <v>469</v>
      </c>
      <c r="E235" s="131"/>
      <c r="F235" s="132"/>
      <c r="G235" s="140">
        <v>2.48116</v>
      </c>
      <c r="H235" s="72" t="s">
        <v>351</v>
      </c>
      <c r="I235" s="72" t="s">
        <v>62</v>
      </c>
      <c r="J235" s="72">
        <v>8411</v>
      </c>
      <c r="K235" s="92" t="str">
        <f>TEXT(DataAct_tbl[[#This Row],[DATE]],"MMM")</f>
        <v>Apr</v>
      </c>
      <c r="L235">
        <f>COUNTIF($H$6:H235,H235)</f>
        <v>33</v>
      </c>
      <c r="M235" s="68" t="str">
        <f>IF(AND(ISNA(VLOOKUP(DataAct_tbl[[#This Row],[BG CODE]],DataOB[Budget code],1,0)),DataAct_tbl[[#This Row],[Check Dub]]=1),"NEW","")</f>
        <v/>
      </c>
      <c r="N235" s="68" t="b">
        <f>AND(DataAct_tbl[[#This Row],[DATE]]&gt;=FirstDate,DataAct_tbl[[#This Row],[DATE]]&lt;=LastDate)</f>
        <v>1</v>
      </c>
    </row>
    <row r="236" spans="2:14" ht="14.4">
      <c r="B236" s="77">
        <v>45408</v>
      </c>
      <c r="C236" s="118" t="s">
        <v>460</v>
      </c>
      <c r="D236" s="68" t="s">
        <v>470</v>
      </c>
      <c r="E236" s="131"/>
      <c r="F236" s="132"/>
      <c r="G236" s="140">
        <v>9.3590000000000007E-2</v>
      </c>
      <c r="H236" s="72" t="s">
        <v>351</v>
      </c>
      <c r="I236" s="72" t="s">
        <v>62</v>
      </c>
      <c r="J236" s="72">
        <v>8411</v>
      </c>
      <c r="K236" s="92" t="str">
        <f>TEXT(DataAct_tbl[[#This Row],[DATE]],"MMM")</f>
        <v>Apr</v>
      </c>
      <c r="L236">
        <f>COUNTIF($H$6:H236,H236)</f>
        <v>34</v>
      </c>
      <c r="M236" s="68" t="str">
        <f>IF(AND(ISNA(VLOOKUP(DataAct_tbl[[#This Row],[BG CODE]],DataOB[Budget code],1,0)),DataAct_tbl[[#This Row],[Check Dub]]=1),"NEW","")</f>
        <v/>
      </c>
      <c r="N236" s="68" t="b">
        <f>AND(DataAct_tbl[[#This Row],[DATE]]&gt;=FirstDate,DataAct_tbl[[#This Row],[DATE]]&lt;=LastDate)</f>
        <v>1</v>
      </c>
    </row>
    <row r="237" spans="2:14" ht="14.4">
      <c r="B237" s="77">
        <v>45408</v>
      </c>
      <c r="C237" s="118" t="s">
        <v>460</v>
      </c>
      <c r="D237" s="68" t="s">
        <v>471</v>
      </c>
      <c r="E237" s="131"/>
      <c r="F237" s="132"/>
      <c r="G237" s="140">
        <v>0.30657999999999996</v>
      </c>
      <c r="H237" s="72" t="s">
        <v>351</v>
      </c>
      <c r="I237" s="72" t="s">
        <v>62</v>
      </c>
      <c r="J237" s="72">
        <v>8411</v>
      </c>
      <c r="K237" s="92" t="str">
        <f>TEXT(DataAct_tbl[[#This Row],[DATE]],"MMM")</f>
        <v>Apr</v>
      </c>
      <c r="L237">
        <f>COUNTIF($H$6:H237,H237)</f>
        <v>35</v>
      </c>
      <c r="M237" s="68" t="str">
        <f>IF(AND(ISNA(VLOOKUP(DataAct_tbl[[#This Row],[BG CODE]],DataOB[Budget code],1,0)),DataAct_tbl[[#This Row],[Check Dub]]=1),"NEW","")</f>
        <v/>
      </c>
      <c r="N237" s="68" t="b">
        <f>AND(DataAct_tbl[[#This Row],[DATE]]&gt;=FirstDate,DataAct_tbl[[#This Row],[DATE]]&lt;=LastDate)</f>
        <v>1</v>
      </c>
    </row>
    <row r="238" spans="2:14" ht="14.4">
      <c r="B238" s="77">
        <v>45412</v>
      </c>
      <c r="C238" s="118" t="s">
        <v>410</v>
      </c>
      <c r="D238" s="68" t="s">
        <v>472</v>
      </c>
      <c r="E238" s="131"/>
      <c r="F238" s="132"/>
      <c r="G238" s="140">
        <v>2.0000000000000002E-5</v>
      </c>
      <c r="H238" s="72" t="s">
        <v>351</v>
      </c>
      <c r="I238" s="72" t="s">
        <v>61</v>
      </c>
      <c r="J238" s="72">
        <v>8411</v>
      </c>
      <c r="K238" s="92" t="str">
        <f>TEXT(DataAct_tbl[[#This Row],[DATE]],"MMM")</f>
        <v>Apr</v>
      </c>
      <c r="L238">
        <f>COUNTIF($H$6:H238,H238)</f>
        <v>36</v>
      </c>
      <c r="M238" s="68" t="str">
        <f>IF(AND(ISNA(VLOOKUP(DataAct_tbl[[#This Row],[BG CODE]],DataOB[Budget code],1,0)),DataAct_tbl[[#This Row],[Check Dub]]=1),"NEW","")</f>
        <v/>
      </c>
      <c r="N238" s="68" t="b">
        <f>AND(DataAct_tbl[[#This Row],[DATE]]&gt;=FirstDate,DataAct_tbl[[#This Row],[DATE]]&lt;=LastDate)</f>
        <v>1</v>
      </c>
    </row>
    <row r="239" spans="2:14" ht="14.4">
      <c r="B239" s="77">
        <v>45412</v>
      </c>
      <c r="C239" s="118" t="s">
        <v>410</v>
      </c>
      <c r="D239" s="68" t="s">
        <v>473</v>
      </c>
      <c r="E239" s="131"/>
      <c r="F239" s="132"/>
      <c r="G239" s="140">
        <v>1.0000000000000001E-5</v>
      </c>
      <c r="H239" s="72" t="s">
        <v>351</v>
      </c>
      <c r="I239" s="72" t="s">
        <v>61</v>
      </c>
      <c r="J239" s="72">
        <v>8411</v>
      </c>
      <c r="K239" s="92" t="str">
        <f>TEXT(DataAct_tbl[[#This Row],[DATE]],"MMM")</f>
        <v>Apr</v>
      </c>
      <c r="L239">
        <f>COUNTIF($H$6:H239,H239)</f>
        <v>37</v>
      </c>
      <c r="M239" s="68" t="str">
        <f>IF(AND(ISNA(VLOOKUP(DataAct_tbl[[#This Row],[BG CODE]],DataOB[Budget code],1,0)),DataAct_tbl[[#This Row],[Check Dub]]=1),"NEW","")</f>
        <v/>
      </c>
      <c r="N239" s="68" t="b">
        <f>AND(DataAct_tbl[[#This Row],[DATE]]&gt;=FirstDate,DataAct_tbl[[#This Row],[DATE]]&lt;=LastDate)</f>
        <v>1</v>
      </c>
    </row>
    <row r="240" spans="2:14" ht="14.4">
      <c r="B240" s="77">
        <v>45412</v>
      </c>
      <c r="C240" s="118" t="s">
        <v>410</v>
      </c>
      <c r="D240" s="68" t="s">
        <v>474</v>
      </c>
      <c r="E240" s="131"/>
      <c r="F240" s="132"/>
      <c r="G240" s="140">
        <v>0</v>
      </c>
      <c r="H240" s="72" t="s">
        <v>351</v>
      </c>
      <c r="I240" s="72" t="s">
        <v>61</v>
      </c>
      <c r="J240" s="72">
        <v>8411</v>
      </c>
      <c r="K240" s="92" t="str">
        <f>TEXT(DataAct_tbl[[#This Row],[DATE]],"MMM")</f>
        <v>Apr</v>
      </c>
      <c r="L240">
        <f>COUNTIF($H$6:H240,H240)</f>
        <v>38</v>
      </c>
      <c r="M240" s="68" t="str">
        <f>IF(AND(ISNA(VLOOKUP(DataAct_tbl[[#This Row],[BG CODE]],DataOB[Budget code],1,0)),DataAct_tbl[[#This Row],[Check Dub]]=1),"NEW","")</f>
        <v/>
      </c>
      <c r="N240" s="68" t="b">
        <f>AND(DataAct_tbl[[#This Row],[DATE]]&gt;=FirstDate,DataAct_tbl[[#This Row],[DATE]]&lt;=LastDate)</f>
        <v>1</v>
      </c>
    </row>
    <row r="241" spans="2:14" ht="14.4">
      <c r="B241" s="77">
        <v>45412</v>
      </c>
      <c r="C241" s="118" t="s">
        <v>410</v>
      </c>
      <c r="D241" s="68" t="s">
        <v>475</v>
      </c>
      <c r="E241" s="131"/>
      <c r="F241" s="132"/>
      <c r="G241" s="140">
        <v>1E-4</v>
      </c>
      <c r="H241" s="72" t="s">
        <v>351</v>
      </c>
      <c r="I241" s="72" t="s">
        <v>61</v>
      </c>
      <c r="J241" s="72">
        <v>8411</v>
      </c>
      <c r="K241" s="92" t="str">
        <f>TEXT(DataAct_tbl[[#This Row],[DATE]],"MMM")</f>
        <v>Apr</v>
      </c>
      <c r="L241">
        <f>COUNTIF($H$6:H241,H241)</f>
        <v>39</v>
      </c>
      <c r="M241" s="68" t="str">
        <f>IF(AND(ISNA(VLOOKUP(DataAct_tbl[[#This Row],[BG CODE]],DataOB[Budget code],1,0)),DataAct_tbl[[#This Row],[Check Dub]]=1),"NEW","")</f>
        <v/>
      </c>
      <c r="N241" s="68" t="b">
        <f>AND(DataAct_tbl[[#This Row],[DATE]]&gt;=FirstDate,DataAct_tbl[[#This Row],[DATE]]&lt;=LastDate)</f>
        <v>1</v>
      </c>
    </row>
    <row r="242" spans="2:14" ht="14.4">
      <c r="B242" s="77">
        <v>45412</v>
      </c>
      <c r="C242" s="118" t="s">
        <v>410</v>
      </c>
      <c r="D242" s="68" t="s">
        <v>476</v>
      </c>
      <c r="E242" s="131"/>
      <c r="F242" s="132"/>
      <c r="G242" s="140">
        <v>5.9999999999999995E-5</v>
      </c>
      <c r="H242" s="72" t="s">
        <v>351</v>
      </c>
      <c r="I242" s="72" t="s">
        <v>61</v>
      </c>
      <c r="J242" s="72">
        <v>8411</v>
      </c>
      <c r="K242" s="92" t="str">
        <f>TEXT(DataAct_tbl[[#This Row],[DATE]],"MMM")</f>
        <v>Apr</v>
      </c>
      <c r="L242">
        <f>COUNTIF($H$6:H242,H242)</f>
        <v>40</v>
      </c>
      <c r="M242" s="68" t="str">
        <f>IF(AND(ISNA(VLOOKUP(DataAct_tbl[[#This Row],[BG CODE]],DataOB[Budget code],1,0)),DataAct_tbl[[#This Row],[Check Dub]]=1),"NEW","")</f>
        <v/>
      </c>
      <c r="N242" s="68" t="b">
        <f>AND(DataAct_tbl[[#This Row],[DATE]]&gt;=FirstDate,DataAct_tbl[[#This Row],[DATE]]&lt;=LastDate)</f>
        <v>1</v>
      </c>
    </row>
    <row r="243" spans="2:14" ht="14.4">
      <c r="B243" s="77">
        <v>45412</v>
      </c>
      <c r="C243" s="118" t="s">
        <v>410</v>
      </c>
      <c r="D243" s="68" t="s">
        <v>477</v>
      </c>
      <c r="E243" s="131"/>
      <c r="F243" s="132"/>
      <c r="G243" s="140">
        <v>7.0000000000000007E-5</v>
      </c>
      <c r="H243" s="72" t="s">
        <v>351</v>
      </c>
      <c r="I243" s="72" t="s">
        <v>61</v>
      </c>
      <c r="J243" s="72">
        <v>8411</v>
      </c>
      <c r="K243" s="92" t="str">
        <f>TEXT(DataAct_tbl[[#This Row],[DATE]],"MMM")</f>
        <v>Apr</v>
      </c>
      <c r="L243">
        <f>COUNTIF($H$6:H243,H243)</f>
        <v>41</v>
      </c>
      <c r="M243" s="68" t="str">
        <f>IF(AND(ISNA(VLOOKUP(DataAct_tbl[[#This Row],[BG CODE]],DataOB[Budget code],1,0)),DataAct_tbl[[#This Row],[Check Dub]]=1),"NEW","")</f>
        <v/>
      </c>
      <c r="N243" s="68" t="b">
        <f>AND(DataAct_tbl[[#This Row],[DATE]]&gt;=FirstDate,DataAct_tbl[[#This Row],[DATE]]&lt;=LastDate)</f>
        <v>1</v>
      </c>
    </row>
    <row r="244" spans="2:14" ht="14.4">
      <c r="B244" s="77">
        <v>45412</v>
      </c>
      <c r="C244" s="118" t="s">
        <v>410</v>
      </c>
      <c r="D244" s="68" t="s">
        <v>478</v>
      </c>
      <c r="E244" s="131"/>
      <c r="F244" s="132"/>
      <c r="G244" s="140">
        <v>2.3000000000000001E-4</v>
      </c>
      <c r="H244" s="137" t="s">
        <v>351</v>
      </c>
      <c r="I244" s="72" t="s">
        <v>61</v>
      </c>
      <c r="J244" s="72">
        <v>8411</v>
      </c>
      <c r="K244" s="92" t="str">
        <f>TEXT(DataAct_tbl[[#This Row],[DATE]],"MMM")</f>
        <v>Apr</v>
      </c>
      <c r="L244">
        <f>COUNTIF($H$6:H244,H244)</f>
        <v>42</v>
      </c>
      <c r="M244" s="68" t="str">
        <f>IF(AND(ISNA(VLOOKUP(DataAct_tbl[[#This Row],[BG CODE]],DataOB[Budget code],1,0)),DataAct_tbl[[#This Row],[Check Dub]]=1),"NEW","")</f>
        <v/>
      </c>
      <c r="N244" s="68" t="b">
        <f>AND(DataAct_tbl[[#This Row],[DATE]]&gt;=FirstDate,DataAct_tbl[[#This Row],[DATE]]&lt;=LastDate)</f>
        <v>1</v>
      </c>
    </row>
    <row r="245" spans="2:14" ht="14.4">
      <c r="B245" s="77">
        <v>45412</v>
      </c>
      <c r="C245" s="118" t="s">
        <v>410</v>
      </c>
      <c r="D245" s="68" t="s">
        <v>479</v>
      </c>
      <c r="E245" s="131"/>
      <c r="F245" s="132"/>
      <c r="G245" s="140">
        <v>1.16E-3</v>
      </c>
      <c r="H245" s="72" t="s">
        <v>351</v>
      </c>
      <c r="I245" s="72" t="s">
        <v>61</v>
      </c>
      <c r="J245" s="72">
        <v>8411</v>
      </c>
      <c r="K245" s="92" t="str">
        <f>TEXT(DataAct_tbl[[#This Row],[DATE]],"MMM")</f>
        <v>Apr</v>
      </c>
      <c r="L245">
        <f>COUNTIF($H$6:H245,H245)</f>
        <v>43</v>
      </c>
      <c r="M245" s="68" t="str">
        <f>IF(AND(ISNA(VLOOKUP(DataAct_tbl[[#This Row],[BG CODE]],DataOB[Budget code],1,0)),DataAct_tbl[[#This Row],[Check Dub]]=1),"NEW","")</f>
        <v/>
      </c>
      <c r="N245" s="68" t="b">
        <f>AND(DataAct_tbl[[#This Row],[DATE]]&gt;=FirstDate,DataAct_tbl[[#This Row],[DATE]]&lt;=LastDate)</f>
        <v>1</v>
      </c>
    </row>
    <row r="246" spans="2:14" ht="14.4">
      <c r="B246" s="77">
        <v>45412</v>
      </c>
      <c r="C246" s="118" t="s">
        <v>410</v>
      </c>
      <c r="D246" s="68" t="s">
        <v>480</v>
      </c>
      <c r="E246" s="131"/>
      <c r="F246" s="132"/>
      <c r="G246" s="140">
        <v>5.6999999999999998E-4</v>
      </c>
      <c r="H246" s="72" t="s">
        <v>351</v>
      </c>
      <c r="I246" s="72" t="s">
        <v>61</v>
      </c>
      <c r="J246" s="72">
        <v>8411</v>
      </c>
      <c r="K246" s="92" t="str">
        <f>TEXT(DataAct_tbl[[#This Row],[DATE]],"MMM")</f>
        <v>Apr</v>
      </c>
      <c r="L246">
        <f>COUNTIF($H$6:H246,H246)</f>
        <v>44</v>
      </c>
      <c r="M246" s="68" t="str">
        <f>IF(AND(ISNA(VLOOKUP(DataAct_tbl[[#This Row],[BG CODE]],DataOB[Budget code],1,0)),DataAct_tbl[[#This Row],[Check Dub]]=1),"NEW","")</f>
        <v/>
      </c>
      <c r="N246" s="68" t="b">
        <f>AND(DataAct_tbl[[#This Row],[DATE]]&gt;=FirstDate,DataAct_tbl[[#This Row],[DATE]]&lt;=LastDate)</f>
        <v>1</v>
      </c>
    </row>
    <row r="247" spans="2:14" ht="14.4">
      <c r="B247" s="77">
        <v>45412</v>
      </c>
      <c r="C247" s="118" t="s">
        <v>410</v>
      </c>
      <c r="D247" s="68" t="s">
        <v>481</v>
      </c>
      <c r="E247" s="131"/>
      <c r="F247" s="132"/>
      <c r="G247" s="140">
        <v>2.0000000000000002E-5</v>
      </c>
      <c r="H247" s="72" t="s">
        <v>351</v>
      </c>
      <c r="I247" s="72" t="s">
        <v>61</v>
      </c>
      <c r="J247" s="72">
        <v>8411</v>
      </c>
      <c r="K247" s="92" t="str">
        <f>TEXT(DataAct_tbl[[#This Row],[DATE]],"MMM")</f>
        <v>Apr</v>
      </c>
      <c r="L247">
        <f>COUNTIF($H$6:H247,H247)</f>
        <v>45</v>
      </c>
      <c r="M247" s="68" t="str">
        <f>IF(AND(ISNA(VLOOKUP(DataAct_tbl[[#This Row],[BG CODE]],DataOB[Budget code],1,0)),DataAct_tbl[[#This Row],[Check Dub]]=1),"NEW","")</f>
        <v/>
      </c>
      <c r="N247" s="68" t="b">
        <f>AND(DataAct_tbl[[#This Row],[DATE]]&gt;=FirstDate,DataAct_tbl[[#This Row],[DATE]]&lt;=LastDate)</f>
        <v>1</v>
      </c>
    </row>
    <row r="248" spans="2:14" ht="14.4">
      <c r="B248" s="77">
        <v>45412</v>
      </c>
      <c r="C248" s="118" t="s">
        <v>410</v>
      </c>
      <c r="D248" s="68" t="s">
        <v>482</v>
      </c>
      <c r="E248" s="131"/>
      <c r="F248" s="132"/>
      <c r="G248" s="140">
        <v>7.0000000000000007E-5</v>
      </c>
      <c r="H248" s="72" t="s">
        <v>351</v>
      </c>
      <c r="I248" s="72" t="s">
        <v>61</v>
      </c>
      <c r="J248" s="72">
        <v>8411</v>
      </c>
      <c r="K248" s="92" t="str">
        <f>TEXT(DataAct_tbl[[#This Row],[DATE]],"MMM")</f>
        <v>Apr</v>
      </c>
      <c r="L248">
        <f>COUNTIF($H$6:H248,H248)</f>
        <v>46</v>
      </c>
      <c r="M248" s="68" t="str">
        <f>IF(AND(ISNA(VLOOKUP(DataAct_tbl[[#This Row],[BG CODE]],DataOB[Budget code],1,0)),DataAct_tbl[[#This Row],[Check Dub]]=1),"NEW","")</f>
        <v/>
      </c>
      <c r="N248" s="68" t="b">
        <f>AND(DataAct_tbl[[#This Row],[DATE]]&gt;=FirstDate,DataAct_tbl[[#This Row],[DATE]]&lt;=LastDate)</f>
        <v>1</v>
      </c>
    </row>
    <row r="249" spans="2:14" ht="14.4">
      <c r="B249" s="77">
        <v>45408</v>
      </c>
      <c r="C249" s="118" t="s">
        <v>483</v>
      </c>
      <c r="D249" s="68" t="s">
        <v>484</v>
      </c>
      <c r="E249" s="131"/>
      <c r="F249" s="132"/>
      <c r="G249" s="140">
        <v>0.11519</v>
      </c>
      <c r="H249" s="72" t="s">
        <v>351</v>
      </c>
      <c r="I249" s="72" t="s">
        <v>62</v>
      </c>
      <c r="J249" s="72">
        <v>8411</v>
      </c>
      <c r="K249" s="92" t="str">
        <f>TEXT(DataAct_tbl[[#This Row],[DATE]],"MMM")</f>
        <v>Apr</v>
      </c>
      <c r="L249">
        <f>COUNTIF($H$6:H249,H249)</f>
        <v>47</v>
      </c>
      <c r="M249" s="68" t="str">
        <f>IF(AND(ISNA(VLOOKUP(DataAct_tbl[[#This Row],[BG CODE]],DataOB[Budget code],1,0)),DataAct_tbl[[#This Row],[Check Dub]]=1),"NEW","")</f>
        <v/>
      </c>
      <c r="N249" s="68" t="b">
        <f>AND(DataAct_tbl[[#This Row],[DATE]]&gt;=FirstDate,DataAct_tbl[[#This Row],[DATE]]&lt;=LastDate)</f>
        <v>1</v>
      </c>
    </row>
    <row r="250" spans="2:14" ht="14.4">
      <c r="B250" s="77">
        <v>45412</v>
      </c>
      <c r="C250" s="118" t="s">
        <v>410</v>
      </c>
      <c r="D250" s="68" t="s">
        <v>485</v>
      </c>
      <c r="E250" s="131"/>
      <c r="F250" s="132"/>
      <c r="G250" s="140">
        <v>1.4999999999999999E-4</v>
      </c>
      <c r="H250" s="137" t="s">
        <v>351</v>
      </c>
      <c r="I250" s="72" t="s">
        <v>62</v>
      </c>
      <c r="J250" s="72">
        <v>8411</v>
      </c>
      <c r="K250" s="92" t="str">
        <f>TEXT(DataAct_tbl[[#This Row],[DATE]],"MMM")</f>
        <v>Apr</v>
      </c>
      <c r="L250">
        <f>COUNTIF($H$6:H250,H250)</f>
        <v>48</v>
      </c>
      <c r="M250" s="68" t="str">
        <f>IF(AND(ISNA(VLOOKUP(DataAct_tbl[[#This Row],[BG CODE]],DataOB[Budget code],1,0)),DataAct_tbl[[#This Row],[Check Dub]]=1),"NEW","")</f>
        <v/>
      </c>
      <c r="N250" s="68" t="b">
        <f>AND(DataAct_tbl[[#This Row],[DATE]]&gt;=FirstDate,DataAct_tbl[[#This Row],[DATE]]&lt;=LastDate)</f>
        <v>1</v>
      </c>
    </row>
    <row r="251" spans="2:14" ht="14.4">
      <c r="B251" s="77">
        <v>45412</v>
      </c>
      <c r="C251" s="118" t="s">
        <v>486</v>
      </c>
      <c r="D251" s="68" t="s">
        <v>108</v>
      </c>
      <c r="E251" s="131"/>
      <c r="F251" s="132"/>
      <c r="G251" s="140">
        <v>0.23988999999999999</v>
      </c>
      <c r="H251" s="72" t="s">
        <v>114</v>
      </c>
      <c r="I251" s="72" t="s">
        <v>62</v>
      </c>
      <c r="J251" s="72">
        <v>1611</v>
      </c>
      <c r="K251" s="92" t="str">
        <f>TEXT(DataAct_tbl[[#This Row],[DATE]],"MMM")</f>
        <v>Apr</v>
      </c>
      <c r="L251">
        <f>COUNTIF($H$6:H251,H251)</f>
        <v>4</v>
      </c>
      <c r="M251" s="68" t="str">
        <f>IF(AND(ISNA(VLOOKUP(DataAct_tbl[[#This Row],[BG CODE]],DataOB[Budget code],1,0)),DataAct_tbl[[#This Row],[Check Dub]]=1),"NEW","")</f>
        <v/>
      </c>
      <c r="N251" s="68" t="b">
        <f>AND(DataAct_tbl[[#This Row],[DATE]]&gt;=FirstDate,DataAct_tbl[[#This Row],[DATE]]&lt;=LastDate)</f>
        <v>1</v>
      </c>
    </row>
    <row r="252" spans="2:14" ht="14.4">
      <c r="B252" s="77">
        <v>45441</v>
      </c>
      <c r="C252" s="118" t="s">
        <v>496</v>
      </c>
      <c r="D252" s="68" t="s">
        <v>108</v>
      </c>
      <c r="E252" s="131"/>
      <c r="F252" s="132"/>
      <c r="G252" s="140">
        <v>0.23988999999999999</v>
      </c>
      <c r="H252" s="137" t="s">
        <v>114</v>
      </c>
      <c r="I252" s="72" t="s">
        <v>62</v>
      </c>
      <c r="J252" s="72">
        <v>1611</v>
      </c>
      <c r="K252" s="92" t="str">
        <f>TEXT(DataAct_tbl[[#This Row],[DATE]],"MMM")</f>
        <v>May</v>
      </c>
      <c r="L252">
        <f>COUNTIF($H$6:H252,H252)</f>
        <v>5</v>
      </c>
      <c r="M252" s="68" t="str">
        <f>IF(AND(ISNA(VLOOKUP(DataAct_tbl[[#This Row],[BG CODE]],DataOB[Budget code],1,0)),DataAct_tbl[[#This Row],[Check Dub]]=1),"NEW","")</f>
        <v/>
      </c>
      <c r="N252" s="68" t="b">
        <f>AND(DataAct_tbl[[#This Row],[DATE]]&gt;=FirstDate,DataAct_tbl[[#This Row],[DATE]]&lt;=LastDate)</f>
        <v>1</v>
      </c>
    </row>
    <row r="253" spans="2:14" ht="14.4">
      <c r="B253" s="77">
        <v>45443</v>
      </c>
      <c r="C253" s="118" t="s">
        <v>497</v>
      </c>
      <c r="D253" s="68" t="s">
        <v>498</v>
      </c>
      <c r="E253" s="131"/>
      <c r="F253" s="132"/>
      <c r="G253" s="140">
        <v>8.5789500000000007</v>
      </c>
      <c r="H253" s="72" t="s">
        <v>110</v>
      </c>
      <c r="I253" s="72" t="s">
        <v>499</v>
      </c>
      <c r="J253" s="72">
        <v>8311</v>
      </c>
      <c r="K253" s="92" t="str">
        <f>TEXT(DataAct_tbl[[#This Row],[DATE]],"MMM")</f>
        <v>May</v>
      </c>
      <c r="L253">
        <f>COUNTIF($H$6:H253,H253)</f>
        <v>5</v>
      </c>
      <c r="M253" s="68" t="str">
        <f>IF(AND(ISNA(VLOOKUP(DataAct_tbl[[#This Row],[BG CODE]],DataOB[Budget code],1,0)),DataAct_tbl[[#This Row],[Check Dub]]=1),"NEW","")</f>
        <v/>
      </c>
      <c r="N253" s="68" t="b">
        <f>AND(DataAct_tbl[[#This Row],[DATE]]&gt;=FirstDate,DataAct_tbl[[#This Row],[DATE]]&lt;=LastDate)</f>
        <v>1</v>
      </c>
    </row>
    <row r="254" spans="2:14" ht="14.4">
      <c r="B254" s="77">
        <v>45443</v>
      </c>
      <c r="C254" s="118" t="s">
        <v>500</v>
      </c>
      <c r="D254" s="68" t="s">
        <v>501</v>
      </c>
      <c r="E254" s="131"/>
      <c r="F254" s="132"/>
      <c r="G254" s="140">
        <v>59.430900000000001</v>
      </c>
      <c r="H254" s="137" t="s">
        <v>349</v>
      </c>
      <c r="I254" s="72" t="s">
        <v>63</v>
      </c>
      <c r="J254" s="72">
        <v>8311</v>
      </c>
      <c r="K254" s="92" t="str">
        <f>TEXT(DataAct_tbl[[#This Row],[DATE]],"MMM")</f>
        <v>May</v>
      </c>
      <c r="L254">
        <f>COUNTIF($H$6:H254,H254)</f>
        <v>3</v>
      </c>
      <c r="M254" s="68" t="str">
        <f>IF(AND(ISNA(VLOOKUP(DataAct_tbl[[#This Row],[BG CODE]],DataOB[Budget code],1,0)),DataAct_tbl[[#This Row],[Check Dub]]=1),"NEW","")</f>
        <v/>
      </c>
      <c r="N254" s="68" t="b">
        <f>AND(DataAct_tbl[[#This Row],[DATE]]&gt;=FirstDate,DataAct_tbl[[#This Row],[DATE]]&lt;=LastDate)</f>
        <v>1</v>
      </c>
    </row>
    <row r="255" spans="2:14" ht="14.4">
      <c r="B255" s="77">
        <v>45443</v>
      </c>
      <c r="C255" s="118" t="s">
        <v>502</v>
      </c>
      <c r="D255" s="68" t="s">
        <v>503</v>
      </c>
      <c r="E255" s="131"/>
      <c r="F255" s="132"/>
      <c r="G255" s="140">
        <v>12.292</v>
      </c>
      <c r="H255" s="72" t="s">
        <v>100</v>
      </c>
      <c r="I255" s="72" t="s">
        <v>62</v>
      </c>
      <c r="J255" s="72">
        <v>8111</v>
      </c>
      <c r="K255" s="92" t="str">
        <f>TEXT(DataAct_tbl[[#This Row],[DATE]],"MMM")</f>
        <v>May</v>
      </c>
      <c r="L255">
        <f>COUNTIF($H$6:H255,H255)</f>
        <v>28</v>
      </c>
      <c r="M255" s="68" t="str">
        <f>IF(AND(ISNA(VLOOKUP(DataAct_tbl[[#This Row],[BG CODE]],DataOB[Budget code],1,0)),DataAct_tbl[[#This Row],[Check Dub]]=1),"NEW","")</f>
        <v/>
      </c>
      <c r="N255" s="68" t="b">
        <f>AND(DataAct_tbl[[#This Row],[DATE]]&gt;=FirstDate,DataAct_tbl[[#This Row],[DATE]]&lt;=LastDate)</f>
        <v>1</v>
      </c>
    </row>
    <row r="256" spans="2:14" ht="14.4">
      <c r="B256" s="77">
        <v>45443</v>
      </c>
      <c r="C256" s="118" t="s">
        <v>502</v>
      </c>
      <c r="D256" s="68" t="s">
        <v>504</v>
      </c>
      <c r="E256" s="131"/>
      <c r="F256" s="132"/>
      <c r="G256" s="140">
        <v>12.292</v>
      </c>
      <c r="H256" s="137" t="s">
        <v>100</v>
      </c>
      <c r="I256" s="72" t="s">
        <v>62</v>
      </c>
      <c r="J256" s="72">
        <v>8111</v>
      </c>
      <c r="K256" s="92" t="str">
        <f>TEXT(DataAct_tbl[[#This Row],[DATE]],"MMM")</f>
        <v>May</v>
      </c>
      <c r="L256">
        <f>COUNTIF($H$6:H256,H256)</f>
        <v>29</v>
      </c>
      <c r="M256" s="68" t="str">
        <f>IF(AND(ISNA(VLOOKUP(DataAct_tbl[[#This Row],[BG CODE]],DataOB[Budget code],1,0)),DataAct_tbl[[#This Row],[Check Dub]]=1),"NEW","")</f>
        <v/>
      </c>
      <c r="N256" s="68" t="b">
        <f>AND(DataAct_tbl[[#This Row],[DATE]]&gt;=FirstDate,DataAct_tbl[[#This Row],[DATE]]&lt;=LastDate)</f>
        <v>1</v>
      </c>
    </row>
    <row r="257" spans="2:14" ht="14.4">
      <c r="B257" s="77">
        <v>45443</v>
      </c>
      <c r="C257" s="118" t="s">
        <v>502</v>
      </c>
      <c r="D257" s="68" t="s">
        <v>505</v>
      </c>
      <c r="E257" s="131"/>
      <c r="F257" s="132"/>
      <c r="G257" s="140">
        <v>12.292</v>
      </c>
      <c r="H257" s="137" t="s">
        <v>100</v>
      </c>
      <c r="I257" s="72" t="s">
        <v>62</v>
      </c>
      <c r="J257" s="72">
        <v>8111</v>
      </c>
      <c r="K257" s="92" t="str">
        <f>TEXT(DataAct_tbl[[#This Row],[DATE]],"MMM")</f>
        <v>May</v>
      </c>
      <c r="L257">
        <f>COUNTIF($H$6:H257,H257)</f>
        <v>30</v>
      </c>
      <c r="M257" s="68" t="str">
        <f>IF(AND(ISNA(VLOOKUP(DataAct_tbl[[#This Row],[BG CODE]],DataOB[Budget code],1,0)),DataAct_tbl[[#This Row],[Check Dub]]=1),"NEW","")</f>
        <v/>
      </c>
      <c r="N257" s="68" t="b">
        <f>AND(DataAct_tbl[[#This Row],[DATE]]&gt;=FirstDate,DataAct_tbl[[#This Row],[DATE]]&lt;=LastDate)</f>
        <v>1</v>
      </c>
    </row>
    <row r="258" spans="2:14" ht="14.4">
      <c r="B258" s="77">
        <v>45443</v>
      </c>
      <c r="C258" s="118" t="s">
        <v>502</v>
      </c>
      <c r="D258" s="68" t="s">
        <v>506</v>
      </c>
      <c r="E258" s="131"/>
      <c r="F258" s="132"/>
      <c r="G258" s="140">
        <v>12.292</v>
      </c>
      <c r="H258" s="72" t="s">
        <v>100</v>
      </c>
      <c r="I258" s="72" t="s">
        <v>62</v>
      </c>
      <c r="J258" s="72">
        <v>8111</v>
      </c>
      <c r="K258" s="92" t="str">
        <f>TEXT(DataAct_tbl[[#This Row],[DATE]],"MMM")</f>
        <v>May</v>
      </c>
      <c r="L258">
        <f>COUNTIF($H$6:H258,H258)</f>
        <v>31</v>
      </c>
      <c r="M258" s="68" t="str">
        <f>IF(AND(ISNA(VLOOKUP(DataAct_tbl[[#This Row],[BG CODE]],DataOB[Budget code],1,0)),DataAct_tbl[[#This Row],[Check Dub]]=1),"NEW","")</f>
        <v/>
      </c>
      <c r="N258" s="68" t="b">
        <f>AND(DataAct_tbl[[#This Row],[DATE]]&gt;=FirstDate,DataAct_tbl[[#This Row],[DATE]]&lt;=LastDate)</f>
        <v>1</v>
      </c>
    </row>
    <row r="259" spans="2:14" ht="14.4">
      <c r="B259" s="77">
        <v>45443</v>
      </c>
      <c r="C259" s="118" t="s">
        <v>502</v>
      </c>
      <c r="D259" s="68" t="s">
        <v>507</v>
      </c>
      <c r="E259" s="131"/>
      <c r="F259" s="132"/>
      <c r="G259" s="140">
        <v>12.292</v>
      </c>
      <c r="H259" s="72" t="s">
        <v>100</v>
      </c>
      <c r="I259" s="72" t="s">
        <v>62</v>
      </c>
      <c r="J259" s="72">
        <v>8111</v>
      </c>
      <c r="K259" s="92" t="str">
        <f>TEXT(DataAct_tbl[[#This Row],[DATE]],"MMM")</f>
        <v>May</v>
      </c>
      <c r="L259">
        <f>COUNTIF($H$6:H259,H259)</f>
        <v>32</v>
      </c>
      <c r="M259" s="68" t="str">
        <f>IF(AND(ISNA(VLOOKUP(DataAct_tbl[[#This Row],[BG CODE]],DataOB[Budget code],1,0)),DataAct_tbl[[#This Row],[Check Dub]]=1),"NEW","")</f>
        <v/>
      </c>
      <c r="N259" s="68" t="b">
        <f>AND(DataAct_tbl[[#This Row],[DATE]]&gt;=FirstDate,DataAct_tbl[[#This Row],[DATE]]&lt;=LastDate)</f>
        <v>1</v>
      </c>
    </row>
    <row r="260" spans="2:14" ht="14.4">
      <c r="B260" s="77">
        <v>45443</v>
      </c>
      <c r="C260" s="118" t="s">
        <v>502</v>
      </c>
      <c r="D260" s="68" t="s">
        <v>508</v>
      </c>
      <c r="E260" s="131"/>
      <c r="F260" s="132"/>
      <c r="G260" s="140">
        <v>12.292</v>
      </c>
      <c r="H260" s="72" t="s">
        <v>100</v>
      </c>
      <c r="I260" s="72" t="s">
        <v>62</v>
      </c>
      <c r="J260" s="72">
        <v>8111</v>
      </c>
      <c r="K260" s="92" t="str">
        <f>TEXT(DataAct_tbl[[#This Row],[DATE]],"MMM")</f>
        <v>May</v>
      </c>
      <c r="L260">
        <f>COUNTIF($H$6:H260,H260)</f>
        <v>33</v>
      </c>
      <c r="M260" s="68" t="str">
        <f>IF(AND(ISNA(VLOOKUP(DataAct_tbl[[#This Row],[BG CODE]],DataOB[Budget code],1,0)),DataAct_tbl[[#This Row],[Check Dub]]=1),"NEW","")</f>
        <v/>
      </c>
      <c r="N260" s="68" t="b">
        <f>AND(DataAct_tbl[[#This Row],[DATE]]&gt;=FirstDate,DataAct_tbl[[#This Row],[DATE]]&lt;=LastDate)</f>
        <v>1</v>
      </c>
    </row>
    <row r="261" spans="2:14" ht="14.4">
      <c r="B261" s="77">
        <v>45443</v>
      </c>
      <c r="C261" s="118" t="s">
        <v>509</v>
      </c>
      <c r="D261" s="68" t="s">
        <v>510</v>
      </c>
      <c r="E261" s="131"/>
      <c r="F261" s="132"/>
      <c r="G261" s="140">
        <v>26.134</v>
      </c>
      <c r="H261" s="72" t="s">
        <v>100</v>
      </c>
      <c r="I261" s="72" t="s">
        <v>62</v>
      </c>
      <c r="J261" s="72">
        <v>8111</v>
      </c>
      <c r="K261" s="92" t="str">
        <f>TEXT(DataAct_tbl[[#This Row],[DATE]],"MMM")</f>
        <v>May</v>
      </c>
      <c r="L261">
        <f>COUNTIF($H$6:H261,H261)</f>
        <v>34</v>
      </c>
      <c r="M261" s="68" t="str">
        <f>IF(AND(ISNA(VLOOKUP(DataAct_tbl[[#This Row],[BG CODE]],DataOB[Budget code],1,0)),DataAct_tbl[[#This Row],[Check Dub]]=1),"NEW","")</f>
        <v/>
      </c>
      <c r="N261" s="68" t="b">
        <f>AND(DataAct_tbl[[#This Row],[DATE]]&gt;=FirstDate,DataAct_tbl[[#This Row],[DATE]]&lt;=LastDate)</f>
        <v>1</v>
      </c>
    </row>
    <row r="262" spans="2:14" ht="14.4">
      <c r="B262" s="77">
        <v>45443</v>
      </c>
      <c r="C262" s="118" t="s">
        <v>511</v>
      </c>
      <c r="D262" s="68" t="s">
        <v>512</v>
      </c>
      <c r="E262" s="131"/>
      <c r="F262" s="132"/>
      <c r="G262" s="140">
        <v>4.1712100000000003</v>
      </c>
      <c r="H262" s="72" t="s">
        <v>112</v>
      </c>
      <c r="I262" s="72" t="s">
        <v>62</v>
      </c>
      <c r="J262" s="72">
        <v>8311</v>
      </c>
      <c r="K262" s="92" t="str">
        <f>TEXT(DataAct_tbl[[#This Row],[DATE]],"MMM")</f>
        <v>May</v>
      </c>
      <c r="L262">
        <f>COUNTIF($H$6:H262,H262)</f>
        <v>2</v>
      </c>
      <c r="M262" s="68" t="str">
        <f>IF(AND(ISNA(VLOOKUP(DataAct_tbl[[#This Row],[BG CODE]],DataOB[Budget code],1,0)),DataAct_tbl[[#This Row],[Check Dub]]=1),"NEW","")</f>
        <v/>
      </c>
      <c r="N262" s="68" t="b">
        <f>AND(DataAct_tbl[[#This Row],[DATE]]&gt;=FirstDate,DataAct_tbl[[#This Row],[DATE]]&lt;=LastDate)</f>
        <v>1</v>
      </c>
    </row>
    <row r="263" spans="2:14" ht="14.4">
      <c r="B263" s="77">
        <v>45443</v>
      </c>
      <c r="C263" s="118" t="s">
        <v>511</v>
      </c>
      <c r="D263" s="68" t="s">
        <v>513</v>
      </c>
      <c r="E263" s="131"/>
      <c r="F263" s="132"/>
      <c r="G263" s="140">
        <v>54.867489999999997</v>
      </c>
      <c r="H263" s="137" t="s">
        <v>112</v>
      </c>
      <c r="I263" s="72" t="s">
        <v>62</v>
      </c>
      <c r="J263" s="72">
        <v>8311</v>
      </c>
      <c r="K263" s="92" t="str">
        <f>TEXT(DataAct_tbl[[#This Row],[DATE]],"MMM")</f>
        <v>May</v>
      </c>
      <c r="L263">
        <f>COUNTIF($H$6:H263,H263)</f>
        <v>3</v>
      </c>
      <c r="M263" s="68" t="str">
        <f>IF(AND(ISNA(VLOOKUP(DataAct_tbl[[#This Row],[BG CODE]],DataOB[Budget code],1,0)),DataAct_tbl[[#This Row],[Check Dub]]=1),"NEW","")</f>
        <v/>
      </c>
      <c r="N263" s="68" t="b">
        <f>AND(DataAct_tbl[[#This Row],[DATE]]&gt;=FirstDate,DataAct_tbl[[#This Row],[DATE]]&lt;=LastDate)</f>
        <v>1</v>
      </c>
    </row>
    <row r="264" spans="2:14" ht="14.4">
      <c r="B264" s="77">
        <v>45443</v>
      </c>
      <c r="C264" s="118" t="s">
        <v>511</v>
      </c>
      <c r="D264" s="68" t="s">
        <v>514</v>
      </c>
      <c r="E264" s="131"/>
      <c r="F264" s="132"/>
      <c r="G264" s="140">
        <v>19.842140000000001</v>
      </c>
      <c r="H264" s="72" t="s">
        <v>112</v>
      </c>
      <c r="I264" s="72" t="s">
        <v>62</v>
      </c>
      <c r="J264" s="72">
        <v>8311</v>
      </c>
      <c r="K264" s="92" t="str">
        <f>TEXT(DataAct_tbl[[#This Row],[DATE]],"MMM")</f>
        <v>May</v>
      </c>
      <c r="L264">
        <f>COUNTIF($H$6:H264,H264)</f>
        <v>4</v>
      </c>
      <c r="M264" s="68" t="str">
        <f>IF(AND(ISNA(VLOOKUP(DataAct_tbl[[#This Row],[BG CODE]],DataOB[Budget code],1,0)),DataAct_tbl[[#This Row],[Check Dub]]=1),"NEW","")</f>
        <v/>
      </c>
      <c r="N264" s="68" t="b">
        <f>AND(DataAct_tbl[[#This Row],[DATE]]&gt;=FirstDate,DataAct_tbl[[#This Row],[DATE]]&lt;=LastDate)</f>
        <v>1</v>
      </c>
    </row>
    <row r="265" spans="2:14" ht="14.4">
      <c r="B265" s="77">
        <v>45443</v>
      </c>
      <c r="C265" s="118" t="s">
        <v>511</v>
      </c>
      <c r="D265" s="68" t="s">
        <v>515</v>
      </c>
      <c r="E265" s="131"/>
      <c r="F265" s="132"/>
      <c r="G265" s="140">
        <v>2.5027300000000001</v>
      </c>
      <c r="H265" s="72" t="s">
        <v>112</v>
      </c>
      <c r="I265" s="72" t="s">
        <v>62</v>
      </c>
      <c r="J265" s="72">
        <v>8311</v>
      </c>
      <c r="K265" s="92" t="str">
        <f>TEXT(DataAct_tbl[[#This Row],[DATE]],"MMM")</f>
        <v>May</v>
      </c>
      <c r="L265">
        <f>COUNTIF($H$6:H265,H265)</f>
        <v>5</v>
      </c>
      <c r="M265" s="68" t="str">
        <f>IF(AND(ISNA(VLOOKUP(DataAct_tbl[[#This Row],[BG CODE]],DataOB[Budget code],1,0)),DataAct_tbl[[#This Row],[Check Dub]]=1),"NEW","")</f>
        <v/>
      </c>
      <c r="N265" s="68" t="b">
        <f>AND(DataAct_tbl[[#This Row],[DATE]]&gt;=FirstDate,DataAct_tbl[[#This Row],[DATE]]&lt;=LastDate)</f>
        <v>1</v>
      </c>
    </row>
    <row r="266" spans="2:14" ht="14.4">
      <c r="B266" s="77">
        <v>45443</v>
      </c>
      <c r="C266" s="118" t="s">
        <v>516</v>
      </c>
      <c r="D266" s="68" t="s">
        <v>517</v>
      </c>
      <c r="E266" s="131"/>
      <c r="F266" s="132"/>
      <c r="G266" s="140">
        <v>106.26934</v>
      </c>
      <c r="H266" s="72" t="s">
        <v>518</v>
      </c>
      <c r="I266" s="72" t="s">
        <v>62</v>
      </c>
      <c r="J266" s="72">
        <v>8311</v>
      </c>
      <c r="K266" s="92" t="str">
        <f>TEXT(DataAct_tbl[[#This Row],[DATE]],"MMM")</f>
        <v>May</v>
      </c>
      <c r="L266">
        <f>COUNTIF($H$6:H266,H266)</f>
        <v>1</v>
      </c>
      <c r="M266" s="68" t="str">
        <f>IF(AND(ISNA(VLOOKUP(DataAct_tbl[[#This Row],[BG CODE]],DataOB[Budget code],1,0)),DataAct_tbl[[#This Row],[Check Dub]]=1),"NEW","")</f>
        <v/>
      </c>
      <c r="N266" s="68" t="b">
        <f>AND(DataAct_tbl[[#This Row],[DATE]]&gt;=FirstDate,DataAct_tbl[[#This Row],[DATE]]&lt;=LastDate)</f>
        <v>1</v>
      </c>
    </row>
    <row r="267" spans="2:14" ht="14.4">
      <c r="B267" s="77">
        <v>45443</v>
      </c>
      <c r="C267" s="118" t="s">
        <v>519</v>
      </c>
      <c r="D267" s="68" t="s">
        <v>520</v>
      </c>
      <c r="E267" s="131"/>
      <c r="F267" s="132"/>
      <c r="G267" s="140">
        <v>120.04294999999999</v>
      </c>
      <c r="H267" s="72" t="s">
        <v>110</v>
      </c>
      <c r="I267" s="72" t="s">
        <v>62</v>
      </c>
      <c r="J267" s="72">
        <v>8311</v>
      </c>
      <c r="K267" s="92" t="str">
        <f>TEXT(DataAct_tbl[[#This Row],[DATE]],"MMM")</f>
        <v>May</v>
      </c>
      <c r="L267">
        <f>COUNTIF($H$6:H267,H267)</f>
        <v>6</v>
      </c>
      <c r="M267" s="68" t="str">
        <f>IF(AND(ISNA(VLOOKUP(DataAct_tbl[[#This Row],[BG CODE]],DataOB[Budget code],1,0)),DataAct_tbl[[#This Row],[Check Dub]]=1),"NEW","")</f>
        <v/>
      </c>
      <c r="N267" s="68" t="b">
        <f>AND(DataAct_tbl[[#This Row],[DATE]]&gt;=FirstDate,DataAct_tbl[[#This Row],[DATE]]&lt;=LastDate)</f>
        <v>1</v>
      </c>
    </row>
    <row r="268" spans="2:14" ht="14.4">
      <c r="B268" s="77">
        <v>45443</v>
      </c>
      <c r="C268" s="118" t="s">
        <v>521</v>
      </c>
      <c r="D268" s="68" t="s">
        <v>522</v>
      </c>
      <c r="E268" s="131"/>
      <c r="F268" s="132"/>
      <c r="G268" s="140">
        <v>5.0271099999999995</v>
      </c>
      <c r="H268" s="72" t="s">
        <v>523</v>
      </c>
      <c r="I268" s="72" t="s">
        <v>62</v>
      </c>
      <c r="J268" s="72">
        <v>8514</v>
      </c>
      <c r="K268" s="92" t="str">
        <f>TEXT(DataAct_tbl[[#This Row],[DATE]],"MMM")</f>
        <v>May</v>
      </c>
      <c r="L268">
        <f>COUNTIF($H$6:H268,H268)</f>
        <v>1</v>
      </c>
      <c r="M268" s="68" t="str">
        <f>IF(AND(ISNA(VLOOKUP(DataAct_tbl[[#This Row],[BG CODE]],DataOB[Budget code],1,0)),DataAct_tbl[[#This Row],[Check Dub]]=1),"NEW","")</f>
        <v/>
      </c>
      <c r="N268" s="68" t="b">
        <f>AND(DataAct_tbl[[#This Row],[DATE]]&gt;=FirstDate,DataAct_tbl[[#This Row],[DATE]]&lt;=LastDate)</f>
        <v>1</v>
      </c>
    </row>
    <row r="269" spans="2:14" ht="14.4">
      <c r="B269" s="77">
        <v>45443</v>
      </c>
      <c r="C269" s="118" t="s">
        <v>524</v>
      </c>
      <c r="D269" s="68" t="s">
        <v>525</v>
      </c>
      <c r="E269" s="131"/>
      <c r="F269" s="132"/>
      <c r="G269" s="140">
        <v>90.281639999999996</v>
      </c>
      <c r="H269" s="72" t="s">
        <v>110</v>
      </c>
      <c r="I269" s="72" t="s">
        <v>63</v>
      </c>
      <c r="J269" s="72">
        <v>8311</v>
      </c>
      <c r="K269" s="92" t="str">
        <f>TEXT(DataAct_tbl[[#This Row],[DATE]],"MMM")</f>
        <v>May</v>
      </c>
      <c r="L269">
        <f>COUNTIF($H$6:H269,H269)</f>
        <v>7</v>
      </c>
      <c r="M269" s="68" t="str">
        <f>IF(AND(ISNA(VLOOKUP(DataAct_tbl[[#This Row],[BG CODE]],DataOB[Budget code],1,0)),DataAct_tbl[[#This Row],[Check Dub]]=1),"NEW","")</f>
        <v/>
      </c>
      <c r="N269" s="68" t="b">
        <f>AND(DataAct_tbl[[#This Row],[DATE]]&gt;=FirstDate,DataAct_tbl[[#This Row],[DATE]]&lt;=LastDate)</f>
        <v>1</v>
      </c>
    </row>
    <row r="270" spans="2:14" ht="14.4">
      <c r="B270" s="77">
        <v>45443</v>
      </c>
      <c r="C270" s="118" t="s">
        <v>526</v>
      </c>
      <c r="D270" s="68" t="s">
        <v>527</v>
      </c>
      <c r="E270" s="131"/>
      <c r="F270" s="132"/>
      <c r="G270" s="140">
        <v>0.41804000000000002</v>
      </c>
      <c r="H270" s="72" t="s">
        <v>489</v>
      </c>
      <c r="I270" s="72" t="s">
        <v>63</v>
      </c>
      <c r="J270" s="72">
        <v>8311</v>
      </c>
      <c r="K270" s="92" t="str">
        <f>TEXT(DataAct_tbl[[#This Row],[DATE]],"MMM")</f>
        <v>May</v>
      </c>
      <c r="L270">
        <f>COUNTIF($H$6:H270,H270)</f>
        <v>51</v>
      </c>
      <c r="M270" s="68" t="str">
        <f>IF(AND(ISNA(VLOOKUP(DataAct_tbl[[#This Row],[BG CODE]],DataOB[Budget code],1,0)),DataAct_tbl[[#This Row],[Check Dub]]=1),"NEW","")</f>
        <v/>
      </c>
      <c r="N270" s="68" t="b">
        <f>AND(DataAct_tbl[[#This Row],[DATE]]&gt;=FirstDate,DataAct_tbl[[#This Row],[DATE]]&lt;=LastDate)</f>
        <v>1</v>
      </c>
    </row>
    <row r="271" spans="2:14" ht="14.4">
      <c r="B271" s="77">
        <v>45443</v>
      </c>
      <c r="C271" s="118" t="s">
        <v>526</v>
      </c>
      <c r="D271" s="68" t="s">
        <v>527</v>
      </c>
      <c r="E271" s="131"/>
      <c r="F271" s="132"/>
      <c r="G271" s="140">
        <v>0.41804000000000002</v>
      </c>
      <c r="H271" s="72" t="s">
        <v>489</v>
      </c>
      <c r="I271" s="72" t="s">
        <v>63</v>
      </c>
      <c r="J271" s="72">
        <v>8311</v>
      </c>
      <c r="K271" s="92" t="str">
        <f>TEXT(DataAct_tbl[[#This Row],[DATE]],"MMM")</f>
        <v>May</v>
      </c>
      <c r="L271">
        <f>COUNTIF($H$6:H271,H271)</f>
        <v>52</v>
      </c>
      <c r="M271" s="68" t="str">
        <f>IF(AND(ISNA(VLOOKUP(DataAct_tbl[[#This Row],[BG CODE]],DataOB[Budget code],1,0)),DataAct_tbl[[#This Row],[Check Dub]]=1),"NEW","")</f>
        <v/>
      </c>
      <c r="N271" s="68" t="b">
        <f>AND(DataAct_tbl[[#This Row],[DATE]]&gt;=FirstDate,DataAct_tbl[[#This Row],[DATE]]&lt;=LastDate)</f>
        <v>1</v>
      </c>
    </row>
    <row r="272" spans="2:14" ht="14.4">
      <c r="B272" s="77">
        <v>45443</v>
      </c>
      <c r="C272" s="118" t="s">
        <v>526</v>
      </c>
      <c r="D272" s="68" t="s">
        <v>527</v>
      </c>
      <c r="E272" s="131"/>
      <c r="F272" s="132"/>
      <c r="G272" s="140">
        <v>0.41804000000000002</v>
      </c>
      <c r="H272" s="72" t="s">
        <v>489</v>
      </c>
      <c r="I272" s="72" t="s">
        <v>63</v>
      </c>
      <c r="J272" s="72">
        <v>8311</v>
      </c>
      <c r="K272" s="92" t="str">
        <f>TEXT(DataAct_tbl[[#This Row],[DATE]],"MMM")</f>
        <v>May</v>
      </c>
      <c r="L272">
        <f>COUNTIF($H$6:H272,H272)</f>
        <v>53</v>
      </c>
      <c r="M272" s="68" t="str">
        <f>IF(AND(ISNA(VLOOKUP(DataAct_tbl[[#This Row],[BG CODE]],DataOB[Budget code],1,0)),DataAct_tbl[[#This Row],[Check Dub]]=1),"NEW","")</f>
        <v/>
      </c>
      <c r="N272" s="68" t="b">
        <f>AND(DataAct_tbl[[#This Row],[DATE]]&gt;=FirstDate,DataAct_tbl[[#This Row],[DATE]]&lt;=LastDate)</f>
        <v>1</v>
      </c>
    </row>
    <row r="273" spans="2:14" ht="14.4">
      <c r="B273" s="77">
        <v>45443</v>
      </c>
      <c r="C273" s="118" t="s">
        <v>526</v>
      </c>
      <c r="D273" s="68" t="s">
        <v>527</v>
      </c>
      <c r="E273" s="131"/>
      <c r="F273" s="132"/>
      <c r="G273" s="140">
        <v>0.41802999999999996</v>
      </c>
      <c r="H273" s="72" t="s">
        <v>489</v>
      </c>
      <c r="I273" s="72" t="s">
        <v>63</v>
      </c>
      <c r="J273" s="72">
        <v>8311</v>
      </c>
      <c r="K273" s="92" t="str">
        <f>TEXT(DataAct_tbl[[#This Row],[DATE]],"MMM")</f>
        <v>May</v>
      </c>
      <c r="L273">
        <f>COUNTIF($H$6:H273,H273)</f>
        <v>54</v>
      </c>
      <c r="M273" s="68" t="str">
        <f>IF(AND(ISNA(VLOOKUP(DataAct_tbl[[#This Row],[BG CODE]],DataOB[Budget code],1,0)),DataAct_tbl[[#This Row],[Check Dub]]=1),"NEW","")</f>
        <v/>
      </c>
      <c r="N273" s="68" t="b">
        <f>AND(DataAct_tbl[[#This Row],[DATE]]&gt;=FirstDate,DataAct_tbl[[#This Row],[DATE]]&lt;=LastDate)</f>
        <v>1</v>
      </c>
    </row>
    <row r="274" spans="2:14" ht="14.4">
      <c r="B274" s="77">
        <v>45443</v>
      </c>
      <c r="C274" s="118" t="s">
        <v>526</v>
      </c>
      <c r="D274" s="68" t="s">
        <v>527</v>
      </c>
      <c r="E274" s="131"/>
      <c r="F274" s="132"/>
      <c r="G274" s="140">
        <v>0.41802999999999996</v>
      </c>
      <c r="H274" s="72" t="s">
        <v>489</v>
      </c>
      <c r="I274" s="72" t="s">
        <v>63</v>
      </c>
      <c r="J274" s="72">
        <v>8311</v>
      </c>
      <c r="K274" s="92" t="str">
        <f>TEXT(DataAct_tbl[[#This Row],[DATE]],"MMM")</f>
        <v>May</v>
      </c>
      <c r="L274">
        <f>COUNTIF($H$6:H274,H274)</f>
        <v>55</v>
      </c>
      <c r="M274" s="68" t="str">
        <f>IF(AND(ISNA(VLOOKUP(DataAct_tbl[[#This Row],[BG CODE]],DataOB[Budget code],1,0)),DataAct_tbl[[#This Row],[Check Dub]]=1),"NEW","")</f>
        <v/>
      </c>
      <c r="N274" s="68" t="b">
        <f>AND(DataAct_tbl[[#This Row],[DATE]]&gt;=FirstDate,DataAct_tbl[[#This Row],[DATE]]&lt;=LastDate)</f>
        <v>1</v>
      </c>
    </row>
    <row r="275" spans="2:14" ht="14.4">
      <c r="B275" s="77">
        <v>45443</v>
      </c>
      <c r="C275" s="118" t="s">
        <v>526</v>
      </c>
      <c r="D275" s="68" t="s">
        <v>527</v>
      </c>
      <c r="E275" s="131"/>
      <c r="F275" s="132"/>
      <c r="G275" s="140">
        <v>0.41802999999999996</v>
      </c>
      <c r="H275" s="72" t="s">
        <v>489</v>
      </c>
      <c r="I275" s="72" t="s">
        <v>63</v>
      </c>
      <c r="J275" s="72">
        <v>8311</v>
      </c>
      <c r="K275" s="92" t="str">
        <f>TEXT(DataAct_tbl[[#This Row],[DATE]],"MMM")</f>
        <v>May</v>
      </c>
      <c r="L275">
        <f>COUNTIF($H$6:H275,H275)</f>
        <v>56</v>
      </c>
      <c r="M275" s="68" t="str">
        <f>IF(AND(ISNA(VLOOKUP(DataAct_tbl[[#This Row],[BG CODE]],DataOB[Budget code],1,0)),DataAct_tbl[[#This Row],[Check Dub]]=1),"NEW","")</f>
        <v/>
      </c>
      <c r="N275" s="68" t="b">
        <f>AND(DataAct_tbl[[#This Row],[DATE]]&gt;=FirstDate,DataAct_tbl[[#This Row],[DATE]]&lt;=LastDate)</f>
        <v>1</v>
      </c>
    </row>
    <row r="276" spans="2:14" ht="14.4">
      <c r="B276" s="77">
        <v>45443</v>
      </c>
      <c r="C276" s="118" t="s">
        <v>526</v>
      </c>
      <c r="D276" s="68" t="s">
        <v>527</v>
      </c>
      <c r="E276" s="131"/>
      <c r="F276" s="132"/>
      <c r="G276" s="140">
        <v>0.41802999999999996</v>
      </c>
      <c r="H276" s="72" t="s">
        <v>489</v>
      </c>
      <c r="I276" s="72" t="s">
        <v>63</v>
      </c>
      <c r="J276" s="72">
        <v>8311</v>
      </c>
      <c r="K276" s="92" t="str">
        <f>TEXT(DataAct_tbl[[#This Row],[DATE]],"MMM")</f>
        <v>May</v>
      </c>
      <c r="L276">
        <f>COUNTIF($H$6:H276,H276)</f>
        <v>57</v>
      </c>
      <c r="M276" s="68" t="str">
        <f>IF(AND(ISNA(VLOOKUP(DataAct_tbl[[#This Row],[BG CODE]],DataOB[Budget code],1,0)),DataAct_tbl[[#This Row],[Check Dub]]=1),"NEW","")</f>
        <v/>
      </c>
      <c r="N276" s="68" t="b">
        <f>AND(DataAct_tbl[[#This Row],[DATE]]&gt;=FirstDate,DataAct_tbl[[#This Row],[DATE]]&lt;=LastDate)</f>
        <v>1</v>
      </c>
    </row>
    <row r="277" spans="2:14" ht="14.4">
      <c r="B277" s="77">
        <v>45443</v>
      </c>
      <c r="C277" s="118" t="s">
        <v>526</v>
      </c>
      <c r="D277" s="68" t="s">
        <v>527</v>
      </c>
      <c r="E277" s="131"/>
      <c r="F277" s="132"/>
      <c r="G277" s="140">
        <v>0.41802999999999996</v>
      </c>
      <c r="H277" s="72" t="s">
        <v>489</v>
      </c>
      <c r="I277" s="72" t="s">
        <v>63</v>
      </c>
      <c r="J277" s="72">
        <v>8311</v>
      </c>
      <c r="K277" s="92" t="str">
        <f>TEXT(DataAct_tbl[[#This Row],[DATE]],"MMM")</f>
        <v>May</v>
      </c>
      <c r="L277">
        <f>COUNTIF($H$6:H277,H277)</f>
        <v>58</v>
      </c>
      <c r="M277" s="68" t="str">
        <f>IF(AND(ISNA(VLOOKUP(DataAct_tbl[[#This Row],[BG CODE]],DataOB[Budget code],1,0)),DataAct_tbl[[#This Row],[Check Dub]]=1),"NEW","")</f>
        <v/>
      </c>
      <c r="N277" s="68" t="b">
        <f>AND(DataAct_tbl[[#This Row],[DATE]]&gt;=FirstDate,DataAct_tbl[[#This Row],[DATE]]&lt;=LastDate)</f>
        <v>1</v>
      </c>
    </row>
    <row r="278" spans="2:14" ht="14.4">
      <c r="B278" s="77">
        <v>45443</v>
      </c>
      <c r="C278" s="118" t="s">
        <v>526</v>
      </c>
      <c r="D278" s="68" t="s">
        <v>527</v>
      </c>
      <c r="E278" s="131"/>
      <c r="F278" s="132"/>
      <c r="G278" s="140">
        <v>0.41802999999999996</v>
      </c>
      <c r="H278" s="72" t="s">
        <v>489</v>
      </c>
      <c r="I278" s="72" t="s">
        <v>63</v>
      </c>
      <c r="J278" s="72">
        <v>8311</v>
      </c>
      <c r="K278" s="92" t="str">
        <f>TEXT(DataAct_tbl[[#This Row],[DATE]],"MMM")</f>
        <v>May</v>
      </c>
      <c r="L278">
        <f>COUNTIF($H$6:H278,H278)</f>
        <v>59</v>
      </c>
      <c r="M278" s="68" t="str">
        <f>IF(AND(ISNA(VLOOKUP(DataAct_tbl[[#This Row],[BG CODE]],DataOB[Budget code],1,0)),DataAct_tbl[[#This Row],[Check Dub]]=1),"NEW","")</f>
        <v/>
      </c>
      <c r="N278" s="68" t="b">
        <f>AND(DataAct_tbl[[#This Row],[DATE]]&gt;=FirstDate,DataAct_tbl[[#This Row],[DATE]]&lt;=LastDate)</f>
        <v>1</v>
      </c>
    </row>
    <row r="279" spans="2:14" ht="14.4">
      <c r="B279" s="77">
        <v>45443</v>
      </c>
      <c r="C279" s="118" t="s">
        <v>526</v>
      </c>
      <c r="D279" s="68" t="s">
        <v>527</v>
      </c>
      <c r="E279" s="131"/>
      <c r="F279" s="132"/>
      <c r="G279" s="140">
        <v>0.41802999999999996</v>
      </c>
      <c r="H279" s="72" t="s">
        <v>489</v>
      </c>
      <c r="I279" s="72" t="s">
        <v>63</v>
      </c>
      <c r="J279" s="72">
        <v>8311</v>
      </c>
      <c r="K279" s="92" t="str">
        <f>TEXT(DataAct_tbl[[#This Row],[DATE]],"MMM")</f>
        <v>May</v>
      </c>
      <c r="L279">
        <f>COUNTIF($H$6:H279,H279)</f>
        <v>60</v>
      </c>
      <c r="M279" s="68" t="str">
        <f>IF(AND(ISNA(VLOOKUP(DataAct_tbl[[#This Row],[BG CODE]],DataOB[Budget code],1,0)),DataAct_tbl[[#This Row],[Check Dub]]=1),"NEW","")</f>
        <v/>
      </c>
      <c r="N279" s="68" t="b">
        <f>AND(DataAct_tbl[[#This Row],[DATE]]&gt;=FirstDate,DataAct_tbl[[#This Row],[DATE]]&lt;=LastDate)</f>
        <v>1</v>
      </c>
    </row>
    <row r="280" spans="2:14" ht="14.4">
      <c r="B280" s="77">
        <v>45443</v>
      </c>
      <c r="C280" s="118" t="s">
        <v>526</v>
      </c>
      <c r="D280" s="68" t="s">
        <v>527</v>
      </c>
      <c r="E280" s="131"/>
      <c r="F280" s="132"/>
      <c r="G280" s="140">
        <v>0.41802999999999996</v>
      </c>
      <c r="H280" s="72" t="s">
        <v>489</v>
      </c>
      <c r="I280" s="72" t="s">
        <v>63</v>
      </c>
      <c r="J280" s="72">
        <v>8311</v>
      </c>
      <c r="K280" s="92" t="str">
        <f>TEXT(DataAct_tbl[[#This Row],[DATE]],"MMM")</f>
        <v>May</v>
      </c>
      <c r="L280">
        <f>COUNTIF($H$6:H280,H280)</f>
        <v>61</v>
      </c>
      <c r="M280" s="68" t="str">
        <f>IF(AND(ISNA(VLOOKUP(DataAct_tbl[[#This Row],[BG CODE]],DataOB[Budget code],1,0)),DataAct_tbl[[#This Row],[Check Dub]]=1),"NEW","")</f>
        <v/>
      </c>
      <c r="N280" s="68" t="b">
        <f>AND(DataAct_tbl[[#This Row],[DATE]]&gt;=FirstDate,DataAct_tbl[[#This Row],[DATE]]&lt;=LastDate)</f>
        <v>1</v>
      </c>
    </row>
    <row r="281" spans="2:14" ht="14.4">
      <c r="B281" s="77">
        <v>45443</v>
      </c>
      <c r="C281" s="118" t="s">
        <v>526</v>
      </c>
      <c r="D281" s="68" t="s">
        <v>527</v>
      </c>
      <c r="E281" s="131"/>
      <c r="F281" s="132"/>
      <c r="G281" s="140">
        <v>0.41802999999999996</v>
      </c>
      <c r="H281" s="72" t="s">
        <v>489</v>
      </c>
      <c r="I281" s="72" t="s">
        <v>63</v>
      </c>
      <c r="J281" s="72">
        <v>8311</v>
      </c>
      <c r="K281" s="92" t="str">
        <f>TEXT(DataAct_tbl[[#This Row],[DATE]],"MMM")</f>
        <v>May</v>
      </c>
      <c r="L281">
        <f>COUNTIF($H$6:H281,H281)</f>
        <v>62</v>
      </c>
      <c r="M281" s="68" t="str">
        <f>IF(AND(ISNA(VLOOKUP(DataAct_tbl[[#This Row],[BG CODE]],DataOB[Budget code],1,0)),DataAct_tbl[[#This Row],[Check Dub]]=1),"NEW","")</f>
        <v/>
      </c>
      <c r="N281" s="68" t="b">
        <f>AND(DataAct_tbl[[#This Row],[DATE]]&gt;=FirstDate,DataAct_tbl[[#This Row],[DATE]]&lt;=LastDate)</f>
        <v>1</v>
      </c>
    </row>
    <row r="282" spans="2:14" ht="14.4">
      <c r="B282" s="77">
        <v>45443</v>
      </c>
      <c r="C282" s="118" t="s">
        <v>526</v>
      </c>
      <c r="D282" s="68" t="s">
        <v>527</v>
      </c>
      <c r="E282" s="131"/>
      <c r="F282" s="132"/>
      <c r="G282" s="140">
        <v>0.41802999999999996</v>
      </c>
      <c r="H282" s="72" t="s">
        <v>489</v>
      </c>
      <c r="I282" s="72" t="s">
        <v>63</v>
      </c>
      <c r="J282" s="72">
        <v>8311</v>
      </c>
      <c r="K282" s="92" t="str">
        <f>TEXT(DataAct_tbl[[#This Row],[DATE]],"MMM")</f>
        <v>May</v>
      </c>
      <c r="L282">
        <f>COUNTIF($H$6:H282,H282)</f>
        <v>63</v>
      </c>
      <c r="M282" s="68" t="str">
        <f>IF(AND(ISNA(VLOOKUP(DataAct_tbl[[#This Row],[BG CODE]],DataOB[Budget code],1,0)),DataAct_tbl[[#This Row],[Check Dub]]=1),"NEW","")</f>
        <v/>
      </c>
      <c r="N282" s="68" t="b">
        <f>AND(DataAct_tbl[[#This Row],[DATE]]&gt;=FirstDate,DataAct_tbl[[#This Row],[DATE]]&lt;=LastDate)</f>
        <v>1</v>
      </c>
    </row>
    <row r="283" spans="2:14" ht="14.4">
      <c r="B283" s="77">
        <v>45443</v>
      </c>
      <c r="C283" s="118" t="s">
        <v>526</v>
      </c>
      <c r="D283" s="68" t="s">
        <v>527</v>
      </c>
      <c r="E283" s="131"/>
      <c r="F283" s="132"/>
      <c r="G283" s="140">
        <v>0.41802999999999996</v>
      </c>
      <c r="H283" s="72" t="s">
        <v>489</v>
      </c>
      <c r="I283" s="72" t="s">
        <v>63</v>
      </c>
      <c r="J283" s="72">
        <v>8311</v>
      </c>
      <c r="K283" s="92" t="str">
        <f>TEXT(DataAct_tbl[[#This Row],[DATE]],"MMM")</f>
        <v>May</v>
      </c>
      <c r="L283">
        <f>COUNTIF($H$6:H283,H283)</f>
        <v>64</v>
      </c>
      <c r="M283" s="68" t="str">
        <f>IF(AND(ISNA(VLOOKUP(DataAct_tbl[[#This Row],[BG CODE]],DataOB[Budget code],1,0)),DataAct_tbl[[#This Row],[Check Dub]]=1),"NEW","")</f>
        <v/>
      </c>
      <c r="N283" s="68" t="b">
        <f>AND(DataAct_tbl[[#This Row],[DATE]]&gt;=FirstDate,DataAct_tbl[[#This Row],[DATE]]&lt;=LastDate)</f>
        <v>1</v>
      </c>
    </row>
    <row r="284" spans="2:14" ht="14.4">
      <c r="B284" s="77">
        <v>45443</v>
      </c>
      <c r="C284" s="118" t="s">
        <v>526</v>
      </c>
      <c r="D284" s="68" t="s">
        <v>527</v>
      </c>
      <c r="E284" s="131"/>
      <c r="F284" s="132"/>
      <c r="G284" s="140">
        <v>0.41802999999999996</v>
      </c>
      <c r="H284" s="72" t="s">
        <v>489</v>
      </c>
      <c r="I284" s="72" t="s">
        <v>63</v>
      </c>
      <c r="J284" s="72">
        <v>8311</v>
      </c>
      <c r="K284" s="92" t="str">
        <f>TEXT(DataAct_tbl[[#This Row],[DATE]],"MMM")</f>
        <v>May</v>
      </c>
      <c r="L284">
        <f>COUNTIF($H$6:H284,H284)</f>
        <v>65</v>
      </c>
      <c r="M284" s="68" t="str">
        <f>IF(AND(ISNA(VLOOKUP(DataAct_tbl[[#This Row],[BG CODE]],DataOB[Budget code],1,0)),DataAct_tbl[[#This Row],[Check Dub]]=1),"NEW","")</f>
        <v/>
      </c>
      <c r="N284" s="68" t="b">
        <f>AND(DataAct_tbl[[#This Row],[DATE]]&gt;=FirstDate,DataAct_tbl[[#This Row],[DATE]]&lt;=LastDate)</f>
        <v>1</v>
      </c>
    </row>
    <row r="285" spans="2:14" ht="14.4">
      <c r="B285" s="77">
        <v>45443</v>
      </c>
      <c r="C285" s="118" t="s">
        <v>526</v>
      </c>
      <c r="D285" s="68" t="s">
        <v>527</v>
      </c>
      <c r="E285" s="131"/>
      <c r="F285" s="132"/>
      <c r="G285" s="140">
        <v>0.41802999999999996</v>
      </c>
      <c r="H285" s="72" t="s">
        <v>489</v>
      </c>
      <c r="I285" s="72" t="s">
        <v>63</v>
      </c>
      <c r="J285" s="72">
        <v>8311</v>
      </c>
      <c r="K285" s="92" t="str">
        <f>TEXT(DataAct_tbl[[#This Row],[DATE]],"MMM")</f>
        <v>May</v>
      </c>
      <c r="L285">
        <f>COUNTIF($H$6:H285,H285)</f>
        <v>66</v>
      </c>
      <c r="M285" s="68" t="str">
        <f>IF(AND(ISNA(VLOOKUP(DataAct_tbl[[#This Row],[BG CODE]],DataOB[Budget code],1,0)),DataAct_tbl[[#This Row],[Check Dub]]=1),"NEW","")</f>
        <v/>
      </c>
      <c r="N285" s="68" t="b">
        <f>AND(DataAct_tbl[[#This Row],[DATE]]&gt;=FirstDate,DataAct_tbl[[#This Row],[DATE]]&lt;=LastDate)</f>
        <v>1</v>
      </c>
    </row>
    <row r="286" spans="2:14" ht="14.4">
      <c r="B286" s="77">
        <v>45443</v>
      </c>
      <c r="C286" s="118" t="s">
        <v>526</v>
      </c>
      <c r="D286" s="68" t="s">
        <v>527</v>
      </c>
      <c r="E286" s="131"/>
      <c r="F286" s="132"/>
      <c r="G286" s="140">
        <v>0.41802999999999996</v>
      </c>
      <c r="H286" s="72" t="s">
        <v>489</v>
      </c>
      <c r="I286" s="72" t="s">
        <v>63</v>
      </c>
      <c r="J286" s="72">
        <v>8311</v>
      </c>
      <c r="K286" s="92" t="str">
        <f>TEXT(DataAct_tbl[[#This Row],[DATE]],"MMM")</f>
        <v>May</v>
      </c>
      <c r="L286">
        <f>COUNTIF($H$6:H286,H286)</f>
        <v>67</v>
      </c>
      <c r="M286" s="68" t="str">
        <f>IF(AND(ISNA(VLOOKUP(DataAct_tbl[[#This Row],[BG CODE]],DataOB[Budget code],1,0)),DataAct_tbl[[#This Row],[Check Dub]]=1),"NEW","")</f>
        <v/>
      </c>
      <c r="N286" s="68" t="b">
        <f>AND(DataAct_tbl[[#This Row],[DATE]]&gt;=FirstDate,DataAct_tbl[[#This Row],[DATE]]&lt;=LastDate)</f>
        <v>1</v>
      </c>
    </row>
    <row r="287" spans="2:14" ht="14.4">
      <c r="B287" s="77">
        <v>45443</v>
      </c>
      <c r="C287" s="118" t="s">
        <v>526</v>
      </c>
      <c r="D287" s="68" t="s">
        <v>527</v>
      </c>
      <c r="E287" s="131"/>
      <c r="F287" s="132"/>
      <c r="G287" s="140">
        <v>0.41802999999999996</v>
      </c>
      <c r="H287" s="72" t="s">
        <v>489</v>
      </c>
      <c r="I287" s="72" t="s">
        <v>63</v>
      </c>
      <c r="J287" s="72">
        <v>8311</v>
      </c>
      <c r="K287" s="92" t="str">
        <f>TEXT(DataAct_tbl[[#This Row],[DATE]],"MMM")</f>
        <v>May</v>
      </c>
      <c r="L287">
        <f>COUNTIF($H$6:H287,H287)</f>
        <v>68</v>
      </c>
      <c r="M287" s="68" t="str">
        <f>IF(AND(ISNA(VLOOKUP(DataAct_tbl[[#This Row],[BG CODE]],DataOB[Budget code],1,0)),DataAct_tbl[[#This Row],[Check Dub]]=1),"NEW","")</f>
        <v/>
      </c>
      <c r="N287" s="68" t="b">
        <f>AND(DataAct_tbl[[#This Row],[DATE]]&gt;=FirstDate,DataAct_tbl[[#This Row],[DATE]]&lt;=LastDate)</f>
        <v>1</v>
      </c>
    </row>
    <row r="288" spans="2:14" ht="14.4">
      <c r="B288" s="77">
        <v>45443</v>
      </c>
      <c r="C288" s="118" t="s">
        <v>526</v>
      </c>
      <c r="D288" s="68" t="s">
        <v>527</v>
      </c>
      <c r="E288" s="131"/>
      <c r="F288" s="132"/>
      <c r="G288" s="140">
        <v>0.41802999999999996</v>
      </c>
      <c r="H288" s="72" t="s">
        <v>489</v>
      </c>
      <c r="I288" s="72" t="s">
        <v>63</v>
      </c>
      <c r="J288" s="72">
        <v>8311</v>
      </c>
      <c r="K288" s="92" t="str">
        <f>TEXT(DataAct_tbl[[#This Row],[DATE]],"MMM")</f>
        <v>May</v>
      </c>
      <c r="L288">
        <f>COUNTIF($H$6:H288,H288)</f>
        <v>69</v>
      </c>
      <c r="M288" s="68" t="str">
        <f>IF(AND(ISNA(VLOOKUP(DataAct_tbl[[#This Row],[BG CODE]],DataOB[Budget code],1,0)),DataAct_tbl[[#This Row],[Check Dub]]=1),"NEW","")</f>
        <v/>
      </c>
      <c r="N288" s="68" t="b">
        <f>AND(DataAct_tbl[[#This Row],[DATE]]&gt;=FirstDate,DataAct_tbl[[#This Row],[DATE]]&lt;=LastDate)</f>
        <v>1</v>
      </c>
    </row>
    <row r="289" spans="2:14" ht="14.4">
      <c r="B289" s="77">
        <v>45443</v>
      </c>
      <c r="C289" s="118" t="s">
        <v>526</v>
      </c>
      <c r="D289" s="68" t="s">
        <v>527</v>
      </c>
      <c r="E289" s="131"/>
      <c r="F289" s="132"/>
      <c r="G289" s="140">
        <v>0.41802999999999996</v>
      </c>
      <c r="H289" s="72" t="s">
        <v>489</v>
      </c>
      <c r="I289" s="72" t="s">
        <v>63</v>
      </c>
      <c r="J289" s="72">
        <v>8311</v>
      </c>
      <c r="K289" s="92" t="str">
        <f>TEXT(DataAct_tbl[[#This Row],[DATE]],"MMM")</f>
        <v>May</v>
      </c>
      <c r="L289">
        <f>COUNTIF($H$6:H289,H289)</f>
        <v>70</v>
      </c>
      <c r="M289" s="68" t="str">
        <f>IF(AND(ISNA(VLOOKUP(DataAct_tbl[[#This Row],[BG CODE]],DataOB[Budget code],1,0)),DataAct_tbl[[#This Row],[Check Dub]]=1),"NEW","")</f>
        <v/>
      </c>
      <c r="N289" s="68" t="b">
        <f>AND(DataAct_tbl[[#This Row],[DATE]]&gt;=FirstDate,DataAct_tbl[[#This Row],[DATE]]&lt;=LastDate)</f>
        <v>1</v>
      </c>
    </row>
    <row r="290" spans="2:14" ht="14.4">
      <c r="B290" s="77">
        <v>45443</v>
      </c>
      <c r="C290" s="118" t="s">
        <v>526</v>
      </c>
      <c r="D290" s="68" t="s">
        <v>527</v>
      </c>
      <c r="E290" s="131"/>
      <c r="F290" s="132"/>
      <c r="G290" s="140">
        <v>0.41802999999999996</v>
      </c>
      <c r="H290" s="72" t="s">
        <v>489</v>
      </c>
      <c r="I290" s="72" t="s">
        <v>63</v>
      </c>
      <c r="J290" s="72">
        <v>8311</v>
      </c>
      <c r="K290" s="92" t="str">
        <f>TEXT(DataAct_tbl[[#This Row],[DATE]],"MMM")</f>
        <v>May</v>
      </c>
      <c r="L290">
        <f>COUNTIF($H$6:H290,H290)</f>
        <v>71</v>
      </c>
      <c r="M290" s="68" t="str">
        <f>IF(AND(ISNA(VLOOKUP(DataAct_tbl[[#This Row],[BG CODE]],DataOB[Budget code],1,0)),DataAct_tbl[[#This Row],[Check Dub]]=1),"NEW","")</f>
        <v/>
      </c>
      <c r="N290" s="68" t="b">
        <f>AND(DataAct_tbl[[#This Row],[DATE]]&gt;=FirstDate,DataAct_tbl[[#This Row],[DATE]]&lt;=LastDate)</f>
        <v>1</v>
      </c>
    </row>
    <row r="291" spans="2:14" ht="14.4">
      <c r="B291" s="77">
        <v>45443</v>
      </c>
      <c r="C291" s="118" t="s">
        <v>526</v>
      </c>
      <c r="D291" s="68" t="s">
        <v>527</v>
      </c>
      <c r="E291" s="131"/>
      <c r="F291" s="132"/>
      <c r="G291" s="140">
        <v>0.41802999999999996</v>
      </c>
      <c r="H291" s="72" t="s">
        <v>489</v>
      </c>
      <c r="I291" s="72" t="s">
        <v>63</v>
      </c>
      <c r="J291" s="72">
        <v>8311</v>
      </c>
      <c r="K291" s="92" t="str">
        <f>TEXT(DataAct_tbl[[#This Row],[DATE]],"MMM")</f>
        <v>May</v>
      </c>
      <c r="L291">
        <f>COUNTIF($H$6:H291,H291)</f>
        <v>72</v>
      </c>
      <c r="M291" s="68" t="str">
        <f>IF(AND(ISNA(VLOOKUP(DataAct_tbl[[#This Row],[BG CODE]],DataOB[Budget code],1,0)),DataAct_tbl[[#This Row],[Check Dub]]=1),"NEW","")</f>
        <v/>
      </c>
      <c r="N291" s="68" t="b">
        <f>AND(DataAct_tbl[[#This Row],[DATE]]&gt;=FirstDate,DataAct_tbl[[#This Row],[DATE]]&lt;=LastDate)</f>
        <v>1</v>
      </c>
    </row>
    <row r="292" spans="2:14" ht="14.4">
      <c r="B292" s="77">
        <v>45443</v>
      </c>
      <c r="C292" s="118" t="s">
        <v>526</v>
      </c>
      <c r="D292" s="68" t="s">
        <v>527</v>
      </c>
      <c r="E292" s="131"/>
      <c r="F292" s="132"/>
      <c r="G292" s="140">
        <v>0.41802999999999996</v>
      </c>
      <c r="H292" s="72" t="s">
        <v>489</v>
      </c>
      <c r="I292" s="72" t="s">
        <v>63</v>
      </c>
      <c r="J292" s="72">
        <v>8311</v>
      </c>
      <c r="K292" s="92" t="str">
        <f>TEXT(DataAct_tbl[[#This Row],[DATE]],"MMM")</f>
        <v>May</v>
      </c>
      <c r="L292">
        <f>COUNTIF($H$6:H292,H292)</f>
        <v>73</v>
      </c>
      <c r="M292" s="68" t="str">
        <f>IF(AND(ISNA(VLOOKUP(DataAct_tbl[[#This Row],[BG CODE]],DataOB[Budget code],1,0)),DataAct_tbl[[#This Row],[Check Dub]]=1),"NEW","")</f>
        <v/>
      </c>
      <c r="N292" s="68" t="b">
        <f>AND(DataAct_tbl[[#This Row],[DATE]]&gt;=FirstDate,DataAct_tbl[[#This Row],[DATE]]&lt;=LastDate)</f>
        <v>1</v>
      </c>
    </row>
    <row r="293" spans="2:14" ht="14.4">
      <c r="B293" s="77">
        <v>45443</v>
      </c>
      <c r="C293" s="118" t="s">
        <v>526</v>
      </c>
      <c r="D293" s="68" t="s">
        <v>527</v>
      </c>
      <c r="E293" s="131"/>
      <c r="F293" s="132"/>
      <c r="G293" s="140">
        <v>0.41802999999999996</v>
      </c>
      <c r="H293" s="72" t="s">
        <v>489</v>
      </c>
      <c r="I293" s="72" t="s">
        <v>63</v>
      </c>
      <c r="J293" s="72">
        <v>8311</v>
      </c>
      <c r="K293" s="92" t="str">
        <f>TEXT(DataAct_tbl[[#This Row],[DATE]],"MMM")</f>
        <v>May</v>
      </c>
      <c r="L293">
        <f>COUNTIF($H$6:H293,H293)</f>
        <v>74</v>
      </c>
      <c r="M293" s="68" t="str">
        <f>IF(AND(ISNA(VLOOKUP(DataAct_tbl[[#This Row],[BG CODE]],DataOB[Budget code],1,0)),DataAct_tbl[[#This Row],[Check Dub]]=1),"NEW","")</f>
        <v/>
      </c>
      <c r="N293" s="68" t="b">
        <f>AND(DataAct_tbl[[#This Row],[DATE]]&gt;=FirstDate,DataAct_tbl[[#This Row],[DATE]]&lt;=LastDate)</f>
        <v>1</v>
      </c>
    </row>
    <row r="294" spans="2:14" ht="14.4">
      <c r="B294" s="77">
        <v>45443</v>
      </c>
      <c r="C294" s="118" t="s">
        <v>526</v>
      </c>
      <c r="D294" s="68" t="s">
        <v>527</v>
      </c>
      <c r="E294" s="131"/>
      <c r="F294" s="132"/>
      <c r="G294" s="140">
        <v>0.41802999999999996</v>
      </c>
      <c r="H294" s="72" t="s">
        <v>489</v>
      </c>
      <c r="I294" s="72" t="s">
        <v>63</v>
      </c>
      <c r="J294" s="72">
        <v>8311</v>
      </c>
      <c r="K294" s="92" t="str">
        <f>TEXT(DataAct_tbl[[#This Row],[DATE]],"MMM")</f>
        <v>May</v>
      </c>
      <c r="L294">
        <f>COUNTIF($H$6:H294,H294)</f>
        <v>75</v>
      </c>
      <c r="M294" s="68" t="str">
        <f>IF(AND(ISNA(VLOOKUP(DataAct_tbl[[#This Row],[BG CODE]],DataOB[Budget code],1,0)),DataAct_tbl[[#This Row],[Check Dub]]=1),"NEW","")</f>
        <v/>
      </c>
      <c r="N294" s="68" t="b">
        <f>AND(DataAct_tbl[[#This Row],[DATE]]&gt;=FirstDate,DataAct_tbl[[#This Row],[DATE]]&lt;=LastDate)</f>
        <v>1</v>
      </c>
    </row>
    <row r="295" spans="2:14" ht="14.4">
      <c r="B295" s="77">
        <v>45443</v>
      </c>
      <c r="C295" s="118" t="s">
        <v>528</v>
      </c>
      <c r="D295" s="68" t="s">
        <v>529</v>
      </c>
      <c r="E295" s="131"/>
      <c r="F295" s="132"/>
      <c r="G295" s="140">
        <v>4.4338100000000003</v>
      </c>
      <c r="H295" s="72" t="s">
        <v>530</v>
      </c>
      <c r="I295" s="72" t="s">
        <v>62</v>
      </c>
      <c r="J295" s="72">
        <v>8411</v>
      </c>
      <c r="K295" s="92" t="str">
        <f>TEXT(DataAct_tbl[[#This Row],[DATE]],"MMM")</f>
        <v>May</v>
      </c>
      <c r="L295">
        <f>COUNTIF($H$6:H295,H295)</f>
        <v>1</v>
      </c>
      <c r="M295" s="68" t="str">
        <f>IF(AND(ISNA(VLOOKUP(DataAct_tbl[[#This Row],[BG CODE]],DataOB[Budget code],1,0)),DataAct_tbl[[#This Row],[Check Dub]]=1),"NEW","")</f>
        <v/>
      </c>
      <c r="N295" s="68" t="b">
        <f>AND(DataAct_tbl[[#This Row],[DATE]]&gt;=FirstDate,DataAct_tbl[[#This Row],[DATE]]&lt;=LastDate)</f>
        <v>1</v>
      </c>
    </row>
    <row r="296" spans="2:14" ht="14.4">
      <c r="B296" s="77">
        <v>45443</v>
      </c>
      <c r="C296" s="118" t="s">
        <v>531</v>
      </c>
      <c r="D296" s="68" t="s">
        <v>532</v>
      </c>
      <c r="E296" s="131"/>
      <c r="F296" s="132"/>
      <c r="G296" s="140">
        <v>7.6128599999999995</v>
      </c>
      <c r="H296" s="72" t="s">
        <v>533</v>
      </c>
      <c r="I296" s="72" t="s">
        <v>62</v>
      </c>
      <c r="J296" s="72">
        <v>8311</v>
      </c>
      <c r="K296" s="92" t="str">
        <f>TEXT(DataAct_tbl[[#This Row],[DATE]],"MMM")</f>
        <v>May</v>
      </c>
      <c r="L296">
        <f>COUNTIF($H$6:H296,H296)</f>
        <v>1</v>
      </c>
      <c r="M296" s="68" t="str">
        <f>IF(AND(ISNA(VLOOKUP(DataAct_tbl[[#This Row],[BG CODE]],DataOB[Budget code],1,0)),DataAct_tbl[[#This Row],[Check Dub]]=1),"NEW","")</f>
        <v/>
      </c>
      <c r="N296" s="68" t="b">
        <f>AND(DataAct_tbl[[#This Row],[DATE]]&gt;=FirstDate,DataAct_tbl[[#This Row],[DATE]]&lt;=LastDate)</f>
        <v>1</v>
      </c>
    </row>
    <row r="297" spans="2:14" ht="14.4">
      <c r="B297" s="77">
        <v>45443</v>
      </c>
      <c r="C297" s="118" t="s">
        <v>531</v>
      </c>
      <c r="D297" s="68" t="s">
        <v>534</v>
      </c>
      <c r="E297" s="131"/>
      <c r="F297" s="132"/>
      <c r="G297" s="140">
        <v>7.6128599999999995</v>
      </c>
      <c r="H297" s="72" t="s">
        <v>533</v>
      </c>
      <c r="I297" s="72" t="s">
        <v>62</v>
      </c>
      <c r="J297" s="72">
        <v>8311</v>
      </c>
      <c r="K297" s="92" t="str">
        <f>TEXT(DataAct_tbl[[#This Row],[DATE]],"MMM")</f>
        <v>May</v>
      </c>
      <c r="L297">
        <f>COUNTIF($H$6:H297,H297)</f>
        <v>2</v>
      </c>
      <c r="M297" s="68" t="str">
        <f>IF(AND(ISNA(VLOOKUP(DataAct_tbl[[#This Row],[BG CODE]],DataOB[Budget code],1,0)),DataAct_tbl[[#This Row],[Check Dub]]=1),"NEW","")</f>
        <v/>
      </c>
      <c r="N297" s="68" t="b">
        <f>AND(DataAct_tbl[[#This Row],[DATE]]&gt;=FirstDate,DataAct_tbl[[#This Row],[DATE]]&lt;=LastDate)</f>
        <v>1</v>
      </c>
    </row>
    <row r="298" spans="2:14" ht="14.4">
      <c r="B298" s="77">
        <v>45443</v>
      </c>
      <c r="C298" s="118" t="s">
        <v>531</v>
      </c>
      <c r="D298" s="68" t="s">
        <v>535</v>
      </c>
      <c r="E298" s="131"/>
      <c r="F298" s="132"/>
      <c r="G298" s="140">
        <v>7.6128599999999995</v>
      </c>
      <c r="H298" s="72" t="s">
        <v>533</v>
      </c>
      <c r="I298" s="72" t="s">
        <v>62</v>
      </c>
      <c r="J298" s="72">
        <v>8311</v>
      </c>
      <c r="K298" s="92" t="str">
        <f>TEXT(DataAct_tbl[[#This Row],[DATE]],"MMM")</f>
        <v>May</v>
      </c>
      <c r="L298">
        <f>COUNTIF($H$6:H298,H298)</f>
        <v>3</v>
      </c>
      <c r="M298" s="68" t="str">
        <f>IF(AND(ISNA(VLOOKUP(DataAct_tbl[[#This Row],[BG CODE]],DataOB[Budget code],1,0)),DataAct_tbl[[#This Row],[Check Dub]]=1),"NEW","")</f>
        <v/>
      </c>
      <c r="N298" s="68" t="b">
        <f>AND(DataAct_tbl[[#This Row],[DATE]]&gt;=FirstDate,DataAct_tbl[[#This Row],[DATE]]&lt;=LastDate)</f>
        <v>1</v>
      </c>
    </row>
    <row r="299" spans="2:14" ht="14.4">
      <c r="B299" s="77">
        <v>45443</v>
      </c>
      <c r="C299" s="118" t="s">
        <v>536</v>
      </c>
      <c r="D299" s="68" t="s">
        <v>537</v>
      </c>
      <c r="E299" s="131"/>
      <c r="F299" s="132"/>
      <c r="G299" s="140">
        <v>945.20014000000003</v>
      </c>
      <c r="H299" s="72" t="s">
        <v>538</v>
      </c>
      <c r="I299" s="72" t="s">
        <v>62</v>
      </c>
      <c r="J299" s="72">
        <v>8311</v>
      </c>
      <c r="K299" s="92" t="str">
        <f>TEXT(DataAct_tbl[[#This Row],[DATE]],"MMM")</f>
        <v>May</v>
      </c>
      <c r="L299">
        <f>COUNTIF($H$6:H299,H299)</f>
        <v>1</v>
      </c>
      <c r="M299" s="68" t="str">
        <f>IF(AND(ISNA(VLOOKUP(DataAct_tbl[[#This Row],[BG CODE]],DataOB[Budget code],1,0)),DataAct_tbl[[#This Row],[Check Dub]]=1),"NEW","")</f>
        <v/>
      </c>
      <c r="N299" s="68" t="b">
        <f>AND(DataAct_tbl[[#This Row],[DATE]]&gt;=FirstDate,DataAct_tbl[[#This Row],[DATE]]&lt;=LastDate)</f>
        <v>1</v>
      </c>
    </row>
    <row r="300" spans="2:14" ht="14.4">
      <c r="B300" s="77">
        <v>45443</v>
      </c>
      <c r="C300" s="118" t="s">
        <v>539</v>
      </c>
      <c r="D300" s="68" t="s">
        <v>540</v>
      </c>
      <c r="E300" s="131"/>
      <c r="F300" s="132"/>
      <c r="G300" s="140">
        <v>74.573539999999994</v>
      </c>
      <c r="H300" s="72" t="s">
        <v>488</v>
      </c>
      <c r="I300" s="72" t="s">
        <v>62</v>
      </c>
      <c r="J300" s="72">
        <v>8311</v>
      </c>
      <c r="K300" s="92" t="str">
        <f>TEXT(DataAct_tbl[[#This Row],[DATE]],"MMM")</f>
        <v>May</v>
      </c>
      <c r="L300">
        <f>COUNTIF($H$6:H300,H300)</f>
        <v>2</v>
      </c>
      <c r="M300" s="68" t="str">
        <f>IF(AND(ISNA(VLOOKUP(DataAct_tbl[[#This Row],[BG CODE]],DataOB[Budget code],1,0)),DataAct_tbl[[#This Row],[Check Dub]]=1),"NEW","")</f>
        <v/>
      </c>
      <c r="N300" s="68" t="b">
        <f>AND(DataAct_tbl[[#This Row],[DATE]]&gt;=FirstDate,DataAct_tbl[[#This Row],[DATE]]&lt;=LastDate)</f>
        <v>1</v>
      </c>
    </row>
    <row r="301" spans="2:14" ht="14.4">
      <c r="B301" s="77">
        <v>45443</v>
      </c>
      <c r="C301" s="118" t="s">
        <v>541</v>
      </c>
      <c r="D301" s="68" t="s">
        <v>542</v>
      </c>
      <c r="E301" s="131"/>
      <c r="F301" s="132"/>
      <c r="G301" s="140">
        <v>5.9670000000000001E-2</v>
      </c>
      <c r="H301" s="72" t="s">
        <v>100</v>
      </c>
      <c r="I301" s="72" t="s">
        <v>61</v>
      </c>
      <c r="J301" s="72">
        <v>8111</v>
      </c>
      <c r="K301" s="92" t="str">
        <f>TEXT(DataAct_tbl[[#This Row],[DATE]],"MMM")</f>
        <v>May</v>
      </c>
      <c r="L301">
        <f>COUNTIF($H$6:H301,H301)</f>
        <v>35</v>
      </c>
      <c r="M301" s="68" t="str">
        <f>IF(AND(ISNA(VLOOKUP(DataAct_tbl[[#This Row],[BG CODE]],DataOB[Budget code],1,0)),DataAct_tbl[[#This Row],[Check Dub]]=1),"NEW","")</f>
        <v/>
      </c>
      <c r="N301" s="68" t="b">
        <f>AND(DataAct_tbl[[#This Row],[DATE]]&gt;=FirstDate,DataAct_tbl[[#This Row],[DATE]]&lt;=LastDate)</f>
        <v>1</v>
      </c>
    </row>
    <row r="302" spans="2:14" ht="14.4">
      <c r="B302" s="77">
        <v>45443</v>
      </c>
      <c r="C302" s="118" t="s">
        <v>541</v>
      </c>
      <c r="D302" s="68" t="s">
        <v>543</v>
      </c>
      <c r="E302" s="131"/>
      <c r="F302" s="132"/>
      <c r="G302" s="140">
        <v>5.9670000000000001E-2</v>
      </c>
      <c r="H302" s="72" t="s">
        <v>100</v>
      </c>
      <c r="I302" s="72" t="s">
        <v>61</v>
      </c>
      <c r="J302" s="72">
        <v>8111</v>
      </c>
      <c r="K302" s="92" t="str">
        <f>TEXT(DataAct_tbl[[#This Row],[DATE]],"MMM")</f>
        <v>May</v>
      </c>
      <c r="L302">
        <f>COUNTIF($H$6:H302,H302)</f>
        <v>36</v>
      </c>
      <c r="M302" s="68" t="str">
        <f>IF(AND(ISNA(VLOOKUP(DataAct_tbl[[#This Row],[BG CODE]],DataOB[Budget code],1,0)),DataAct_tbl[[#This Row],[Check Dub]]=1),"NEW","")</f>
        <v/>
      </c>
      <c r="N302" s="68" t="b">
        <f>AND(DataAct_tbl[[#This Row],[DATE]]&gt;=FirstDate,DataAct_tbl[[#This Row],[DATE]]&lt;=LastDate)</f>
        <v>1</v>
      </c>
    </row>
    <row r="303" spans="2:14" ht="14.4">
      <c r="B303" s="77">
        <v>45443</v>
      </c>
      <c r="C303" s="118" t="s">
        <v>541</v>
      </c>
      <c r="D303" s="68" t="s">
        <v>544</v>
      </c>
      <c r="E303" s="131"/>
      <c r="F303" s="132"/>
      <c r="G303" s="140">
        <v>5.9670000000000001E-2</v>
      </c>
      <c r="H303" s="72" t="s">
        <v>100</v>
      </c>
      <c r="I303" s="72" t="s">
        <v>61</v>
      </c>
      <c r="J303" s="72">
        <v>8111</v>
      </c>
      <c r="K303" s="92" t="str">
        <f>TEXT(DataAct_tbl[[#This Row],[DATE]],"MMM")</f>
        <v>May</v>
      </c>
      <c r="L303">
        <f>COUNTIF($H$6:H303,H303)</f>
        <v>37</v>
      </c>
      <c r="M303" s="68" t="str">
        <f>IF(AND(ISNA(VLOOKUP(DataAct_tbl[[#This Row],[BG CODE]],DataOB[Budget code],1,0)),DataAct_tbl[[#This Row],[Check Dub]]=1),"NEW","")</f>
        <v/>
      </c>
      <c r="N303" s="68" t="b">
        <f>AND(DataAct_tbl[[#This Row],[DATE]]&gt;=FirstDate,DataAct_tbl[[#This Row],[DATE]]&lt;=LastDate)</f>
        <v>1</v>
      </c>
    </row>
    <row r="304" spans="2:14" ht="14.4">
      <c r="B304" s="77">
        <v>45443</v>
      </c>
      <c r="C304" s="118" t="s">
        <v>541</v>
      </c>
      <c r="D304" s="68" t="s">
        <v>545</v>
      </c>
      <c r="E304" s="131"/>
      <c r="F304" s="132"/>
      <c r="G304" s="140">
        <v>5.9670000000000001E-2</v>
      </c>
      <c r="H304" s="72" t="s">
        <v>100</v>
      </c>
      <c r="I304" s="72" t="s">
        <v>61</v>
      </c>
      <c r="J304" s="72">
        <v>8111</v>
      </c>
      <c r="K304" s="92" t="str">
        <f>TEXT(DataAct_tbl[[#This Row],[DATE]],"MMM")</f>
        <v>May</v>
      </c>
      <c r="L304">
        <f>COUNTIF($H$6:H304,H304)</f>
        <v>38</v>
      </c>
      <c r="M304" s="68" t="str">
        <f>IF(AND(ISNA(VLOOKUP(DataAct_tbl[[#This Row],[BG CODE]],DataOB[Budget code],1,0)),DataAct_tbl[[#This Row],[Check Dub]]=1),"NEW","")</f>
        <v/>
      </c>
      <c r="N304" s="68" t="b">
        <f>AND(DataAct_tbl[[#This Row],[DATE]]&gt;=FirstDate,DataAct_tbl[[#This Row],[DATE]]&lt;=LastDate)</f>
        <v>1</v>
      </c>
    </row>
    <row r="305" spans="2:14" ht="14.4">
      <c r="B305" s="77">
        <v>45443</v>
      </c>
      <c r="C305" s="118" t="s">
        <v>541</v>
      </c>
      <c r="D305" s="68" t="s">
        <v>546</v>
      </c>
      <c r="E305" s="131"/>
      <c r="F305" s="132"/>
      <c r="G305" s="140">
        <v>5.9670000000000001E-2</v>
      </c>
      <c r="H305" s="72" t="s">
        <v>100</v>
      </c>
      <c r="I305" s="72" t="s">
        <v>61</v>
      </c>
      <c r="J305" s="72">
        <v>8111</v>
      </c>
      <c r="K305" s="92" t="str">
        <f>TEXT(DataAct_tbl[[#This Row],[DATE]],"MMM")</f>
        <v>May</v>
      </c>
      <c r="L305">
        <f>COUNTIF($H$6:H305,H305)</f>
        <v>39</v>
      </c>
      <c r="M305" s="68" t="str">
        <f>IF(AND(ISNA(VLOOKUP(DataAct_tbl[[#This Row],[BG CODE]],DataOB[Budget code],1,0)),DataAct_tbl[[#This Row],[Check Dub]]=1),"NEW","")</f>
        <v/>
      </c>
      <c r="N305" s="68" t="b">
        <f>AND(DataAct_tbl[[#This Row],[DATE]]&gt;=FirstDate,DataAct_tbl[[#This Row],[DATE]]&lt;=LastDate)</f>
        <v>1</v>
      </c>
    </row>
    <row r="306" spans="2:14" ht="14.4">
      <c r="B306" s="77">
        <v>45443</v>
      </c>
      <c r="C306" s="118" t="s">
        <v>541</v>
      </c>
      <c r="D306" s="68" t="s">
        <v>547</v>
      </c>
      <c r="E306" s="131"/>
      <c r="F306" s="132"/>
      <c r="G306" s="140">
        <v>5.9670000000000001E-2</v>
      </c>
      <c r="H306" s="72" t="s">
        <v>100</v>
      </c>
      <c r="I306" s="72" t="s">
        <v>61</v>
      </c>
      <c r="J306" s="72">
        <v>8111</v>
      </c>
      <c r="K306" s="92" t="str">
        <f>TEXT(DataAct_tbl[[#This Row],[DATE]],"MMM")</f>
        <v>May</v>
      </c>
      <c r="L306">
        <f>COUNTIF($H$6:H306,H306)</f>
        <v>40</v>
      </c>
      <c r="M306" s="68" t="str">
        <f>IF(AND(ISNA(VLOOKUP(DataAct_tbl[[#This Row],[BG CODE]],DataOB[Budget code],1,0)),DataAct_tbl[[#This Row],[Check Dub]]=1),"NEW","")</f>
        <v/>
      </c>
      <c r="N306" s="68" t="b">
        <f>AND(DataAct_tbl[[#This Row],[DATE]]&gt;=FirstDate,DataAct_tbl[[#This Row],[DATE]]&lt;=LastDate)</f>
        <v>1</v>
      </c>
    </row>
    <row r="307" spans="2:14" ht="14.4">
      <c r="B307" s="77">
        <v>45443</v>
      </c>
      <c r="C307" s="118" t="s">
        <v>541</v>
      </c>
      <c r="D307" s="68" t="s">
        <v>542</v>
      </c>
      <c r="E307" s="131"/>
      <c r="F307" s="132"/>
      <c r="G307" s="140">
        <v>5.2999999999999998E-4</v>
      </c>
      <c r="H307" s="72" t="s">
        <v>100</v>
      </c>
      <c r="I307" s="72" t="s">
        <v>61</v>
      </c>
      <c r="J307" s="72">
        <v>8111</v>
      </c>
      <c r="K307" s="92" t="str">
        <f>TEXT(DataAct_tbl[[#This Row],[DATE]],"MMM")</f>
        <v>May</v>
      </c>
      <c r="L307">
        <f>COUNTIF($H$6:H307,H307)</f>
        <v>41</v>
      </c>
      <c r="M307" s="68" t="str">
        <f>IF(AND(ISNA(VLOOKUP(DataAct_tbl[[#This Row],[BG CODE]],DataOB[Budget code],1,0)),DataAct_tbl[[#This Row],[Check Dub]]=1),"NEW","")</f>
        <v/>
      </c>
      <c r="N307" s="68" t="b">
        <f>AND(DataAct_tbl[[#This Row],[DATE]]&gt;=FirstDate,DataAct_tbl[[#This Row],[DATE]]&lt;=LastDate)</f>
        <v>1</v>
      </c>
    </row>
    <row r="308" spans="2:14" ht="14.4">
      <c r="B308" s="77">
        <v>45443</v>
      </c>
      <c r="C308" s="118" t="s">
        <v>541</v>
      </c>
      <c r="D308" s="68" t="s">
        <v>543</v>
      </c>
      <c r="E308" s="131"/>
      <c r="F308" s="132"/>
      <c r="G308" s="140">
        <v>5.2999999999999998E-4</v>
      </c>
      <c r="H308" s="72" t="s">
        <v>100</v>
      </c>
      <c r="I308" s="72" t="s">
        <v>61</v>
      </c>
      <c r="J308" s="72">
        <v>8111</v>
      </c>
      <c r="K308" s="92" t="str">
        <f>TEXT(DataAct_tbl[[#This Row],[DATE]],"MMM")</f>
        <v>May</v>
      </c>
      <c r="L308">
        <f>COUNTIF($H$6:H308,H308)</f>
        <v>42</v>
      </c>
      <c r="M308" s="68" t="str">
        <f>IF(AND(ISNA(VLOOKUP(DataAct_tbl[[#This Row],[BG CODE]],DataOB[Budget code],1,0)),DataAct_tbl[[#This Row],[Check Dub]]=1),"NEW","")</f>
        <v/>
      </c>
      <c r="N308" s="68" t="b">
        <f>AND(DataAct_tbl[[#This Row],[DATE]]&gt;=FirstDate,DataAct_tbl[[#This Row],[DATE]]&lt;=LastDate)</f>
        <v>1</v>
      </c>
    </row>
    <row r="309" spans="2:14" ht="14.4">
      <c r="B309" s="77">
        <v>45443</v>
      </c>
      <c r="C309" s="118" t="s">
        <v>541</v>
      </c>
      <c r="D309" s="68" t="s">
        <v>544</v>
      </c>
      <c r="E309" s="131"/>
      <c r="F309" s="132"/>
      <c r="G309" s="140">
        <v>5.2999999999999998E-4</v>
      </c>
      <c r="H309" s="137" t="s">
        <v>100</v>
      </c>
      <c r="I309" s="72" t="s">
        <v>61</v>
      </c>
      <c r="J309" s="72">
        <v>8111</v>
      </c>
      <c r="K309" s="92" t="str">
        <f>TEXT(DataAct_tbl[[#This Row],[DATE]],"MMM")</f>
        <v>May</v>
      </c>
      <c r="L309">
        <f>COUNTIF($H$6:H309,H309)</f>
        <v>43</v>
      </c>
      <c r="M309" s="68" t="str">
        <f>IF(AND(ISNA(VLOOKUP(DataAct_tbl[[#This Row],[BG CODE]],DataOB[Budget code],1,0)),DataAct_tbl[[#This Row],[Check Dub]]=1),"NEW","")</f>
        <v/>
      </c>
      <c r="N309" s="68" t="b">
        <f>AND(DataAct_tbl[[#This Row],[DATE]]&gt;=FirstDate,DataAct_tbl[[#This Row],[DATE]]&lt;=LastDate)</f>
        <v>1</v>
      </c>
    </row>
    <row r="310" spans="2:14" ht="14.4">
      <c r="B310" s="77">
        <v>45443</v>
      </c>
      <c r="C310" s="118" t="s">
        <v>541</v>
      </c>
      <c r="D310" s="68" t="s">
        <v>545</v>
      </c>
      <c r="E310" s="131"/>
      <c r="F310" s="132"/>
      <c r="G310" s="140">
        <v>5.2999999999999998E-4</v>
      </c>
      <c r="H310" s="72" t="s">
        <v>100</v>
      </c>
      <c r="I310" s="72" t="s">
        <v>61</v>
      </c>
      <c r="J310" s="72">
        <v>8111</v>
      </c>
      <c r="K310" s="92" t="str">
        <f>TEXT(DataAct_tbl[[#This Row],[DATE]],"MMM")</f>
        <v>May</v>
      </c>
      <c r="L310">
        <f>COUNTIF($H$6:H310,H310)</f>
        <v>44</v>
      </c>
      <c r="M310" s="68" t="str">
        <f>IF(AND(ISNA(VLOOKUP(DataAct_tbl[[#This Row],[BG CODE]],DataOB[Budget code],1,0)),DataAct_tbl[[#This Row],[Check Dub]]=1),"NEW","")</f>
        <v/>
      </c>
      <c r="N310" s="68" t="b">
        <f>AND(DataAct_tbl[[#This Row],[DATE]]&gt;=FirstDate,DataAct_tbl[[#This Row],[DATE]]&lt;=LastDate)</f>
        <v>1</v>
      </c>
    </row>
    <row r="311" spans="2:14" ht="14.4">
      <c r="B311" s="77">
        <v>45443</v>
      </c>
      <c r="C311" s="118" t="s">
        <v>541</v>
      </c>
      <c r="D311" s="68" t="s">
        <v>546</v>
      </c>
      <c r="E311" s="131"/>
      <c r="F311" s="132"/>
      <c r="G311" s="140">
        <v>5.2999999999999998E-4</v>
      </c>
      <c r="H311" s="72" t="s">
        <v>100</v>
      </c>
      <c r="I311" s="72" t="s">
        <v>61</v>
      </c>
      <c r="J311" s="72">
        <v>8111</v>
      </c>
      <c r="K311" s="92" t="str">
        <f>TEXT(DataAct_tbl[[#This Row],[DATE]],"MMM")</f>
        <v>May</v>
      </c>
      <c r="L311">
        <f>COUNTIF($H$6:H311,H311)</f>
        <v>45</v>
      </c>
      <c r="M311" s="68" t="str">
        <f>IF(AND(ISNA(VLOOKUP(DataAct_tbl[[#This Row],[BG CODE]],DataOB[Budget code],1,0)),DataAct_tbl[[#This Row],[Check Dub]]=1),"NEW","")</f>
        <v/>
      </c>
      <c r="N311" s="68" t="b">
        <f>AND(DataAct_tbl[[#This Row],[DATE]]&gt;=FirstDate,DataAct_tbl[[#This Row],[DATE]]&lt;=LastDate)</f>
        <v>1</v>
      </c>
    </row>
    <row r="312" spans="2:14" ht="14.4">
      <c r="B312" s="77">
        <v>45443</v>
      </c>
      <c r="C312" s="118" t="s">
        <v>541</v>
      </c>
      <c r="D312" s="68" t="s">
        <v>547</v>
      </c>
      <c r="E312" s="131"/>
      <c r="F312" s="132"/>
      <c r="G312" s="140">
        <v>5.2999999999999998E-4</v>
      </c>
      <c r="H312" s="72" t="s">
        <v>100</v>
      </c>
      <c r="I312" s="72" t="s">
        <v>61</v>
      </c>
      <c r="J312" s="72">
        <v>8111</v>
      </c>
      <c r="K312" s="92" t="str">
        <f>TEXT(DataAct_tbl[[#This Row],[DATE]],"MMM")</f>
        <v>May</v>
      </c>
      <c r="L312">
        <f>COUNTIF($H$6:H312,H312)</f>
        <v>46</v>
      </c>
      <c r="M312" s="68" t="str">
        <f>IF(AND(ISNA(VLOOKUP(DataAct_tbl[[#This Row],[BG CODE]],DataOB[Budget code],1,0)),DataAct_tbl[[#This Row],[Check Dub]]=1),"NEW","")</f>
        <v/>
      </c>
      <c r="N312" s="68" t="b">
        <f>AND(DataAct_tbl[[#This Row],[DATE]]&gt;=FirstDate,DataAct_tbl[[#This Row],[DATE]]&lt;=LastDate)</f>
        <v>1</v>
      </c>
    </row>
    <row r="313" spans="2:14" ht="14.4">
      <c r="B313" s="77">
        <v>45443</v>
      </c>
      <c r="C313" s="118" t="s">
        <v>541</v>
      </c>
      <c r="D313" s="68" t="s">
        <v>548</v>
      </c>
      <c r="E313" s="131"/>
      <c r="F313" s="132"/>
      <c r="G313" s="140">
        <v>0.14271999999999999</v>
      </c>
      <c r="H313" s="72" t="s">
        <v>100</v>
      </c>
      <c r="I313" s="72" t="s">
        <v>61</v>
      </c>
      <c r="J313" s="72">
        <v>8111</v>
      </c>
      <c r="K313" s="92" t="str">
        <f>TEXT(DataAct_tbl[[#This Row],[DATE]],"MMM")</f>
        <v>May</v>
      </c>
      <c r="L313">
        <f>COUNTIF($H$6:H313,H313)</f>
        <v>47</v>
      </c>
      <c r="M313" s="68" t="str">
        <f>IF(AND(ISNA(VLOOKUP(DataAct_tbl[[#This Row],[BG CODE]],DataOB[Budget code],1,0)),DataAct_tbl[[#This Row],[Check Dub]]=1),"NEW","")</f>
        <v/>
      </c>
      <c r="N313" s="68" t="b">
        <f>AND(DataAct_tbl[[#This Row],[DATE]]&gt;=FirstDate,DataAct_tbl[[#This Row],[DATE]]&lt;=LastDate)</f>
        <v>1</v>
      </c>
    </row>
    <row r="314" spans="2:14" ht="14.4">
      <c r="B314" s="77">
        <v>45443</v>
      </c>
      <c r="C314" s="118" t="s">
        <v>541</v>
      </c>
      <c r="D314" s="68" t="s">
        <v>549</v>
      </c>
      <c r="E314" s="131"/>
      <c r="F314" s="132"/>
      <c r="G314" s="140">
        <v>0.19038999999999998</v>
      </c>
      <c r="H314" s="72" t="s">
        <v>488</v>
      </c>
      <c r="I314" s="72" t="s">
        <v>61</v>
      </c>
      <c r="J314" s="72">
        <v>8311</v>
      </c>
      <c r="K314" s="92" t="str">
        <f>TEXT(DataAct_tbl[[#This Row],[DATE]],"MMM")</f>
        <v>May</v>
      </c>
      <c r="L314">
        <f>COUNTIF($H$6:H314,H314)</f>
        <v>3</v>
      </c>
      <c r="M314" s="68" t="str">
        <f>IF(AND(ISNA(VLOOKUP(DataAct_tbl[[#This Row],[BG CODE]],DataOB[Budget code],1,0)),DataAct_tbl[[#This Row],[Check Dub]]=1),"NEW","")</f>
        <v/>
      </c>
      <c r="N314" s="68" t="b">
        <f>AND(DataAct_tbl[[#This Row],[DATE]]&gt;=FirstDate,DataAct_tbl[[#This Row],[DATE]]&lt;=LastDate)</f>
        <v>1</v>
      </c>
    </row>
    <row r="315" spans="2:14" ht="14.4">
      <c r="B315" s="77">
        <v>45443</v>
      </c>
      <c r="C315" s="118" t="s">
        <v>550</v>
      </c>
      <c r="D315" s="68" t="s">
        <v>551</v>
      </c>
      <c r="E315" s="131"/>
      <c r="F315" s="132"/>
      <c r="G315" s="140">
        <v>5.74803</v>
      </c>
      <c r="H315" s="72" t="s">
        <v>488</v>
      </c>
      <c r="I315" s="72" t="s">
        <v>61</v>
      </c>
      <c r="J315" s="72">
        <v>8311</v>
      </c>
      <c r="K315" s="92" t="str">
        <f>TEXT(DataAct_tbl[[#This Row],[DATE]],"MMM")</f>
        <v>May</v>
      </c>
      <c r="L315">
        <f>COUNTIF($H$6:H315,H315)</f>
        <v>4</v>
      </c>
      <c r="M315" s="68" t="str">
        <f>IF(AND(ISNA(VLOOKUP(DataAct_tbl[[#This Row],[BG CODE]],DataOB[Budget code],1,0)),DataAct_tbl[[#This Row],[Check Dub]]=1),"NEW","")</f>
        <v/>
      </c>
      <c r="N315" s="68" t="b">
        <f>AND(DataAct_tbl[[#This Row],[DATE]]&gt;=FirstDate,DataAct_tbl[[#This Row],[DATE]]&lt;=LastDate)</f>
        <v>1</v>
      </c>
    </row>
    <row r="316" spans="2:14" ht="14.4">
      <c r="B316" s="77">
        <v>45443</v>
      </c>
      <c r="C316" s="118" t="s">
        <v>550</v>
      </c>
      <c r="D316" s="68" t="s">
        <v>551</v>
      </c>
      <c r="E316" s="131"/>
      <c r="F316" s="132"/>
      <c r="G316" s="140">
        <v>0.13858999999999999</v>
      </c>
      <c r="H316" s="72" t="s">
        <v>488</v>
      </c>
      <c r="I316" s="72" t="s">
        <v>61</v>
      </c>
      <c r="J316" s="72">
        <v>8311</v>
      </c>
      <c r="K316" s="92" t="str">
        <f>TEXT(DataAct_tbl[[#This Row],[DATE]],"MMM")</f>
        <v>May</v>
      </c>
      <c r="L316">
        <f>COUNTIF($H$6:H316,H316)</f>
        <v>5</v>
      </c>
      <c r="M316" s="68" t="str">
        <f>IF(AND(ISNA(VLOOKUP(DataAct_tbl[[#This Row],[BG CODE]],DataOB[Budget code],1,0)),DataAct_tbl[[#This Row],[Check Dub]]=1),"NEW","")</f>
        <v/>
      </c>
      <c r="N316" s="68" t="b">
        <f>AND(DataAct_tbl[[#This Row],[DATE]]&gt;=FirstDate,DataAct_tbl[[#This Row],[DATE]]&lt;=LastDate)</f>
        <v>1</v>
      </c>
    </row>
    <row r="317" spans="2:14" ht="14.4">
      <c r="B317" s="77">
        <v>45443</v>
      </c>
      <c r="C317" s="118" t="s">
        <v>550</v>
      </c>
      <c r="D317" s="68" t="s">
        <v>552</v>
      </c>
      <c r="E317" s="131"/>
      <c r="F317" s="132"/>
      <c r="G317" s="140">
        <v>0.46854000000000001</v>
      </c>
      <c r="H317" s="72" t="s">
        <v>518</v>
      </c>
      <c r="I317" s="72" t="s">
        <v>61</v>
      </c>
      <c r="J317" s="72">
        <v>8311</v>
      </c>
      <c r="K317" s="92" t="str">
        <f>TEXT(DataAct_tbl[[#This Row],[DATE]],"MMM")</f>
        <v>May</v>
      </c>
      <c r="L317">
        <f>COUNTIF($H$6:H317,H317)</f>
        <v>2</v>
      </c>
      <c r="M317" s="68" t="str">
        <f>IF(AND(ISNA(VLOOKUP(DataAct_tbl[[#This Row],[BG CODE]],DataOB[Budget code],1,0)),DataAct_tbl[[#This Row],[Check Dub]]=1),"NEW","")</f>
        <v/>
      </c>
      <c r="N317" s="68" t="b">
        <f>AND(DataAct_tbl[[#This Row],[DATE]]&gt;=FirstDate,DataAct_tbl[[#This Row],[DATE]]&lt;=LastDate)</f>
        <v>1</v>
      </c>
    </row>
    <row r="318" spans="2:14" ht="14.4">
      <c r="B318" s="77">
        <v>45443</v>
      </c>
      <c r="C318" s="118" t="s">
        <v>550</v>
      </c>
      <c r="D318" s="68" t="s">
        <v>552</v>
      </c>
      <c r="E318" s="131"/>
      <c r="F318" s="132"/>
      <c r="G318" s="140">
        <v>9.9000000000000008E-3</v>
      </c>
      <c r="H318" s="72" t="s">
        <v>518</v>
      </c>
      <c r="I318" s="72" t="s">
        <v>61</v>
      </c>
      <c r="J318" s="72">
        <v>8311</v>
      </c>
      <c r="K318" s="92" t="str">
        <f>TEXT(DataAct_tbl[[#This Row],[DATE]],"MMM")</f>
        <v>May</v>
      </c>
      <c r="L318">
        <f>COUNTIF($H$6:H318,H318)</f>
        <v>3</v>
      </c>
      <c r="M318" s="68" t="str">
        <f>IF(AND(ISNA(VLOOKUP(DataAct_tbl[[#This Row],[BG CODE]],DataOB[Budget code],1,0)),DataAct_tbl[[#This Row],[Check Dub]]=1),"NEW","")</f>
        <v/>
      </c>
      <c r="N318" s="68" t="b">
        <f>AND(DataAct_tbl[[#This Row],[DATE]]&gt;=FirstDate,DataAct_tbl[[#This Row],[DATE]]&lt;=LastDate)</f>
        <v>1</v>
      </c>
    </row>
    <row r="319" spans="2:14" ht="14.4">
      <c r="B319" s="77">
        <v>45443</v>
      </c>
      <c r="C319" s="118" t="s">
        <v>550</v>
      </c>
      <c r="D319" s="68" t="s">
        <v>553</v>
      </c>
      <c r="E319" s="131"/>
      <c r="F319" s="132"/>
      <c r="G319" s="140">
        <v>4.2199999999999998E-3</v>
      </c>
      <c r="H319" s="72" t="s">
        <v>533</v>
      </c>
      <c r="I319" s="72" t="s">
        <v>61</v>
      </c>
      <c r="J319" s="72">
        <v>8311</v>
      </c>
      <c r="K319" s="92" t="str">
        <f>TEXT(DataAct_tbl[[#This Row],[DATE]],"MMM")</f>
        <v>May</v>
      </c>
      <c r="L319">
        <f>COUNTIF($H$6:H319,H319)</f>
        <v>4</v>
      </c>
      <c r="M319" s="68" t="str">
        <f>IF(AND(ISNA(VLOOKUP(DataAct_tbl[[#This Row],[BG CODE]],DataOB[Budget code],1,0)),DataAct_tbl[[#This Row],[Check Dub]]=1),"NEW","")</f>
        <v/>
      </c>
      <c r="N319" s="68" t="b">
        <f>AND(DataAct_tbl[[#This Row],[DATE]]&gt;=FirstDate,DataAct_tbl[[#This Row],[DATE]]&lt;=LastDate)</f>
        <v>1</v>
      </c>
    </row>
    <row r="320" spans="2:14" ht="14.4">
      <c r="B320" s="77">
        <v>45443</v>
      </c>
      <c r="C320" s="118" t="s">
        <v>550</v>
      </c>
      <c r="D320" s="68" t="s">
        <v>554</v>
      </c>
      <c r="E320" s="131"/>
      <c r="F320" s="132"/>
      <c r="G320" s="140">
        <v>4.2199999999999998E-3</v>
      </c>
      <c r="H320" s="72" t="s">
        <v>533</v>
      </c>
      <c r="I320" s="72" t="s">
        <v>61</v>
      </c>
      <c r="J320" s="72">
        <v>8311</v>
      </c>
      <c r="K320" s="92" t="str">
        <f>TEXT(DataAct_tbl[[#This Row],[DATE]],"MMM")</f>
        <v>May</v>
      </c>
      <c r="L320">
        <f>COUNTIF($H$6:H320,H320)</f>
        <v>5</v>
      </c>
      <c r="M320" s="68" t="str">
        <f>IF(AND(ISNA(VLOOKUP(DataAct_tbl[[#This Row],[BG CODE]],DataOB[Budget code],1,0)),DataAct_tbl[[#This Row],[Check Dub]]=1),"NEW","")</f>
        <v/>
      </c>
      <c r="N320" s="68" t="b">
        <f>AND(DataAct_tbl[[#This Row],[DATE]]&gt;=FirstDate,DataAct_tbl[[#This Row],[DATE]]&lt;=LastDate)</f>
        <v>1</v>
      </c>
    </row>
    <row r="321" spans="2:14" ht="14.4">
      <c r="B321" s="77">
        <v>45443</v>
      </c>
      <c r="C321" s="118" t="s">
        <v>550</v>
      </c>
      <c r="D321" s="68" t="s">
        <v>555</v>
      </c>
      <c r="E321" s="131"/>
      <c r="F321" s="132"/>
      <c r="G321" s="140">
        <v>4.2199999999999998E-3</v>
      </c>
      <c r="H321" s="72" t="s">
        <v>533</v>
      </c>
      <c r="I321" s="72" t="s">
        <v>61</v>
      </c>
      <c r="J321" s="72">
        <v>8311</v>
      </c>
      <c r="K321" s="92" t="str">
        <f>TEXT(DataAct_tbl[[#This Row],[DATE]],"MMM")</f>
        <v>May</v>
      </c>
      <c r="L321">
        <f>COUNTIF($H$6:H321,H321)</f>
        <v>6</v>
      </c>
      <c r="M321" s="68" t="str">
        <f>IF(AND(ISNA(VLOOKUP(DataAct_tbl[[#This Row],[BG CODE]],DataOB[Budget code],1,0)),DataAct_tbl[[#This Row],[Check Dub]]=1),"NEW","")</f>
        <v/>
      </c>
      <c r="N321" s="68" t="b">
        <f>AND(DataAct_tbl[[#This Row],[DATE]]&gt;=FirstDate,DataAct_tbl[[#This Row],[DATE]]&lt;=LastDate)</f>
        <v>1</v>
      </c>
    </row>
    <row r="322" spans="2:14" ht="14.4">
      <c r="B322" s="77">
        <v>45443</v>
      </c>
      <c r="C322" s="118" t="s">
        <v>550</v>
      </c>
      <c r="D322" s="68" t="s">
        <v>556</v>
      </c>
      <c r="E322" s="131"/>
      <c r="F322" s="132"/>
      <c r="G322" s="140">
        <v>1.2670000000000001E-2</v>
      </c>
      <c r="H322" s="72" t="s">
        <v>110</v>
      </c>
      <c r="I322" s="72" t="s">
        <v>61</v>
      </c>
      <c r="J322" s="72">
        <v>8311</v>
      </c>
      <c r="K322" s="92" t="str">
        <f>TEXT(DataAct_tbl[[#This Row],[DATE]],"MMM")</f>
        <v>May</v>
      </c>
      <c r="L322">
        <f>COUNTIF($H$6:H322,H322)</f>
        <v>8</v>
      </c>
      <c r="M322" s="68" t="str">
        <f>IF(AND(ISNA(VLOOKUP(DataAct_tbl[[#This Row],[BG CODE]],DataOB[Budget code],1,0)),DataAct_tbl[[#This Row],[Check Dub]]=1),"NEW","")</f>
        <v/>
      </c>
      <c r="N322" s="68" t="b">
        <f>AND(DataAct_tbl[[#This Row],[DATE]]&gt;=FirstDate,DataAct_tbl[[#This Row],[DATE]]&lt;=LastDate)</f>
        <v>1</v>
      </c>
    </row>
    <row r="323" spans="2:14" ht="14.4">
      <c r="B323" s="77">
        <v>45443</v>
      </c>
      <c r="C323" s="118" t="s">
        <v>550</v>
      </c>
      <c r="D323" s="68" t="s">
        <v>557</v>
      </c>
      <c r="E323" s="131"/>
      <c r="F323" s="132"/>
      <c r="G323" s="140">
        <v>7.3299999999999997E-3</v>
      </c>
      <c r="H323" s="72" t="s">
        <v>523</v>
      </c>
      <c r="I323" s="72" t="s">
        <v>61</v>
      </c>
      <c r="J323" s="72">
        <v>8514</v>
      </c>
      <c r="K323" s="92" t="str">
        <f>TEXT(DataAct_tbl[[#This Row],[DATE]],"MMM")</f>
        <v>May</v>
      </c>
      <c r="L323">
        <f>COUNTIF($H$6:H323,H323)</f>
        <v>2</v>
      </c>
      <c r="M323" s="68" t="str">
        <f>IF(AND(ISNA(VLOOKUP(DataAct_tbl[[#This Row],[BG CODE]],DataOB[Budget code],1,0)),DataAct_tbl[[#This Row],[Check Dub]]=1),"NEW","")</f>
        <v/>
      </c>
      <c r="N323" s="68" t="b">
        <f>AND(DataAct_tbl[[#This Row],[DATE]]&gt;=FirstDate,DataAct_tbl[[#This Row],[DATE]]&lt;=LastDate)</f>
        <v>1</v>
      </c>
    </row>
    <row r="324" spans="2:14" ht="14.4">
      <c r="B324" s="77">
        <v>45443</v>
      </c>
      <c r="C324" s="118" t="s">
        <v>558</v>
      </c>
      <c r="D324" s="68" t="s">
        <v>559</v>
      </c>
      <c r="E324" s="131"/>
      <c r="F324" s="132"/>
      <c r="G324" s="140">
        <v>0.39949000000000001</v>
      </c>
      <c r="H324" s="72" t="s">
        <v>110</v>
      </c>
      <c r="I324" s="72" t="s">
        <v>102</v>
      </c>
      <c r="J324" s="72">
        <v>8311</v>
      </c>
      <c r="K324" s="92" t="str">
        <f>TEXT(DataAct_tbl[[#This Row],[DATE]],"MMM")</f>
        <v>May</v>
      </c>
      <c r="L324">
        <f>COUNTIF($H$6:H324,H324)</f>
        <v>9</v>
      </c>
      <c r="M324" s="68" t="str">
        <f>IF(AND(ISNA(VLOOKUP(DataAct_tbl[[#This Row],[BG CODE]],DataOB[Budget code],1,0)),DataAct_tbl[[#This Row],[Check Dub]]=1),"NEW","")</f>
        <v/>
      </c>
      <c r="N324" s="68" t="b">
        <f>AND(DataAct_tbl[[#This Row],[DATE]]&gt;=FirstDate,DataAct_tbl[[#This Row],[DATE]]&lt;=LastDate)</f>
        <v>1</v>
      </c>
    </row>
    <row r="325" spans="2:14" ht="14.4">
      <c r="B325" s="77">
        <v>45443</v>
      </c>
      <c r="C325" s="118" t="s">
        <v>558</v>
      </c>
      <c r="D325" s="68" t="s">
        <v>560</v>
      </c>
      <c r="E325" s="131"/>
      <c r="F325" s="132"/>
      <c r="G325" s="140">
        <v>0.47212999999999999</v>
      </c>
      <c r="H325" s="72" t="s">
        <v>110</v>
      </c>
      <c r="I325" s="72" t="s">
        <v>102</v>
      </c>
      <c r="J325" s="72">
        <v>8311</v>
      </c>
      <c r="K325" s="92" t="str">
        <f>TEXT(DataAct_tbl[[#This Row],[DATE]],"MMM")</f>
        <v>May</v>
      </c>
      <c r="L325">
        <f>COUNTIF($H$6:H325,H325)</f>
        <v>10</v>
      </c>
      <c r="M325" s="68" t="str">
        <f>IF(AND(ISNA(VLOOKUP(DataAct_tbl[[#This Row],[BG CODE]],DataOB[Budget code],1,0)),DataAct_tbl[[#This Row],[Check Dub]]=1),"NEW","")</f>
        <v/>
      </c>
      <c r="N325" s="68" t="b">
        <f>AND(DataAct_tbl[[#This Row],[DATE]]&gt;=FirstDate,DataAct_tbl[[#This Row],[DATE]]&lt;=LastDate)</f>
        <v>1</v>
      </c>
    </row>
    <row r="326" spans="2:14" ht="14.4">
      <c r="B326" s="77">
        <v>45443</v>
      </c>
      <c r="C326" s="118" t="s">
        <v>558</v>
      </c>
      <c r="D326" s="68" t="s">
        <v>561</v>
      </c>
      <c r="E326" s="131"/>
      <c r="F326" s="132"/>
      <c r="G326" s="140">
        <v>0.47212999999999999</v>
      </c>
      <c r="H326" s="72" t="s">
        <v>110</v>
      </c>
      <c r="I326" s="72" t="s">
        <v>102</v>
      </c>
      <c r="J326" s="72">
        <v>8311</v>
      </c>
      <c r="K326" s="92" t="str">
        <f>TEXT(DataAct_tbl[[#This Row],[DATE]],"MMM")</f>
        <v>May</v>
      </c>
      <c r="L326">
        <f>COUNTIF($H$6:H326,H326)</f>
        <v>11</v>
      </c>
      <c r="M326" s="68" t="str">
        <f>IF(AND(ISNA(VLOOKUP(DataAct_tbl[[#This Row],[BG CODE]],DataOB[Budget code],1,0)),DataAct_tbl[[#This Row],[Check Dub]]=1),"NEW","")</f>
        <v/>
      </c>
      <c r="N326" s="68" t="b">
        <f>AND(DataAct_tbl[[#This Row],[DATE]]&gt;=FirstDate,DataAct_tbl[[#This Row],[DATE]]&lt;=LastDate)</f>
        <v>1</v>
      </c>
    </row>
    <row r="327" spans="2:14" ht="14.4">
      <c r="B327" s="77">
        <v>45443</v>
      </c>
      <c r="C327" s="118" t="s">
        <v>562</v>
      </c>
      <c r="D327" s="68" t="s">
        <v>563</v>
      </c>
      <c r="E327" s="131"/>
      <c r="F327" s="132"/>
      <c r="G327" s="140">
        <v>4.4639999999999999E-2</v>
      </c>
      <c r="H327" s="72" t="s">
        <v>110</v>
      </c>
      <c r="I327" s="72" t="s">
        <v>102</v>
      </c>
      <c r="J327" s="72">
        <v>8311</v>
      </c>
      <c r="K327" s="92" t="str">
        <f>TEXT(DataAct_tbl[[#This Row],[DATE]],"MMM")</f>
        <v>May</v>
      </c>
      <c r="L327">
        <f>COUNTIF($H$6:H327,H327)</f>
        <v>12</v>
      </c>
      <c r="M327" s="68" t="str">
        <f>IF(AND(ISNA(VLOOKUP(DataAct_tbl[[#This Row],[BG CODE]],DataOB[Budget code],1,0)),DataAct_tbl[[#This Row],[Check Dub]]=1),"NEW","")</f>
        <v/>
      </c>
      <c r="N327" s="68" t="b">
        <f>AND(DataAct_tbl[[#This Row],[DATE]]&gt;=FirstDate,DataAct_tbl[[#This Row],[DATE]]&lt;=LastDate)</f>
        <v>1</v>
      </c>
    </row>
    <row r="328" spans="2:14" ht="14.4">
      <c r="B328" s="77">
        <v>45443</v>
      </c>
      <c r="C328" s="118" t="s">
        <v>562</v>
      </c>
      <c r="D328" s="68" t="s">
        <v>564</v>
      </c>
      <c r="E328" s="131"/>
      <c r="F328" s="132"/>
      <c r="G328" s="140">
        <v>4.4639999999999999E-2</v>
      </c>
      <c r="H328" s="72" t="s">
        <v>110</v>
      </c>
      <c r="I328" s="72" t="s">
        <v>102</v>
      </c>
      <c r="J328" s="72">
        <v>8311</v>
      </c>
      <c r="K328" s="92" t="str">
        <f>TEXT(DataAct_tbl[[#This Row],[DATE]],"MMM")</f>
        <v>May</v>
      </c>
      <c r="L328">
        <f>COUNTIF($H$6:H328,H328)</f>
        <v>13</v>
      </c>
      <c r="M328" s="68" t="str">
        <f>IF(AND(ISNA(VLOOKUP(DataAct_tbl[[#This Row],[BG CODE]],DataOB[Budget code],1,0)),DataAct_tbl[[#This Row],[Check Dub]]=1),"NEW","")</f>
        <v/>
      </c>
      <c r="N328" s="68" t="b">
        <f>AND(DataAct_tbl[[#This Row],[DATE]]&gt;=FirstDate,DataAct_tbl[[#This Row],[DATE]]&lt;=LastDate)</f>
        <v>1</v>
      </c>
    </row>
    <row r="329" spans="2:14" ht="14.4">
      <c r="B329" s="77">
        <v>45443</v>
      </c>
      <c r="C329" s="118" t="s">
        <v>562</v>
      </c>
      <c r="D329" s="68" t="s">
        <v>565</v>
      </c>
      <c r="E329" s="131"/>
      <c r="F329" s="132"/>
      <c r="G329" s="140">
        <v>4.4639999999999999E-2</v>
      </c>
      <c r="H329" s="72" t="s">
        <v>110</v>
      </c>
      <c r="I329" s="72" t="s">
        <v>102</v>
      </c>
      <c r="J329" s="72">
        <v>8311</v>
      </c>
      <c r="K329" s="92" t="str">
        <f>TEXT(DataAct_tbl[[#This Row],[DATE]],"MMM")</f>
        <v>May</v>
      </c>
      <c r="L329">
        <f>COUNTIF($H$6:H329,H329)</f>
        <v>14</v>
      </c>
      <c r="M329" s="68" t="str">
        <f>IF(AND(ISNA(VLOOKUP(DataAct_tbl[[#This Row],[BG CODE]],DataOB[Budget code],1,0)),DataAct_tbl[[#This Row],[Check Dub]]=1),"NEW","")</f>
        <v/>
      </c>
      <c r="N329" s="68" t="b">
        <f>AND(DataAct_tbl[[#This Row],[DATE]]&gt;=FirstDate,DataAct_tbl[[#This Row],[DATE]]&lt;=LastDate)</f>
        <v>1</v>
      </c>
    </row>
    <row r="330" spans="2:14" ht="14.4">
      <c r="B330" s="77">
        <v>45443</v>
      </c>
      <c r="C330" s="118" t="s">
        <v>566</v>
      </c>
      <c r="D330" s="68" t="s">
        <v>567</v>
      </c>
      <c r="E330" s="131"/>
      <c r="F330" s="132"/>
      <c r="G330" s="140">
        <v>7.1900000000000006E-2</v>
      </c>
      <c r="H330" s="72" t="s">
        <v>110</v>
      </c>
      <c r="I330" s="72" t="s">
        <v>102</v>
      </c>
      <c r="J330" s="72">
        <v>8311</v>
      </c>
      <c r="K330" s="92" t="str">
        <f>TEXT(DataAct_tbl[[#This Row],[DATE]],"MMM")</f>
        <v>May</v>
      </c>
      <c r="L330">
        <f>COUNTIF($H$6:H330,H330)</f>
        <v>15</v>
      </c>
      <c r="M330" s="68" t="str">
        <f>IF(AND(ISNA(VLOOKUP(DataAct_tbl[[#This Row],[BG CODE]],DataOB[Budget code],1,0)),DataAct_tbl[[#This Row],[Check Dub]]=1),"NEW","")</f>
        <v/>
      </c>
      <c r="N330" s="68" t="b">
        <f>AND(DataAct_tbl[[#This Row],[DATE]]&gt;=FirstDate,DataAct_tbl[[#This Row],[DATE]]&lt;=LastDate)</f>
        <v>1</v>
      </c>
    </row>
    <row r="331" spans="2:14" ht="14.4">
      <c r="B331" s="77">
        <v>45443</v>
      </c>
      <c r="C331" s="118" t="s">
        <v>566</v>
      </c>
      <c r="D331" s="68" t="s">
        <v>568</v>
      </c>
      <c r="E331" s="131"/>
      <c r="F331" s="132"/>
      <c r="G331" s="140">
        <v>7.1900000000000006E-2</v>
      </c>
      <c r="H331" s="72" t="s">
        <v>110</v>
      </c>
      <c r="I331" s="72" t="s">
        <v>102</v>
      </c>
      <c r="J331" s="72">
        <v>8311</v>
      </c>
      <c r="K331" s="92" t="str">
        <f>TEXT(DataAct_tbl[[#This Row],[DATE]],"MMM")</f>
        <v>May</v>
      </c>
      <c r="L331">
        <f>COUNTIF($H$6:H331,H331)</f>
        <v>16</v>
      </c>
      <c r="M331" s="68" t="str">
        <f>IF(AND(ISNA(VLOOKUP(DataAct_tbl[[#This Row],[BG CODE]],DataOB[Budget code],1,0)),DataAct_tbl[[#This Row],[Check Dub]]=1),"NEW","")</f>
        <v/>
      </c>
      <c r="N331" s="68" t="b">
        <f>AND(DataAct_tbl[[#This Row],[DATE]]&gt;=FirstDate,DataAct_tbl[[#This Row],[DATE]]&lt;=LastDate)</f>
        <v>1</v>
      </c>
    </row>
    <row r="332" spans="2:14" ht="14.4">
      <c r="B332" s="77">
        <v>45473</v>
      </c>
      <c r="C332" s="118" t="s">
        <v>569</v>
      </c>
      <c r="D332" s="68" t="s">
        <v>570</v>
      </c>
      <c r="E332" s="131"/>
      <c r="F332" s="132"/>
      <c r="G332" s="140">
        <v>7.4178199999999999</v>
      </c>
      <c r="H332" s="72" t="s">
        <v>533</v>
      </c>
      <c r="I332" s="72" t="s">
        <v>63</v>
      </c>
      <c r="J332" s="72">
        <v>8311</v>
      </c>
      <c r="K332" s="92" t="str">
        <f>TEXT(DataAct_tbl[[#This Row],[DATE]],"MMM")</f>
        <v>Jun</v>
      </c>
      <c r="L332">
        <f>COUNTIF($H$6:H332,H332)</f>
        <v>7</v>
      </c>
      <c r="M332" s="68" t="str">
        <f>IF(AND(ISNA(VLOOKUP(DataAct_tbl[[#This Row],[BG CODE]],DataOB[Budget code],1,0)),DataAct_tbl[[#This Row],[Check Dub]]=1),"NEW","")</f>
        <v/>
      </c>
      <c r="N332" s="68" t="b">
        <f>AND(DataAct_tbl[[#This Row],[DATE]]&gt;=FirstDate,DataAct_tbl[[#This Row],[DATE]]&lt;=LastDate)</f>
        <v>1</v>
      </c>
    </row>
    <row r="333" spans="2:14" ht="14.4">
      <c r="B333" s="77">
        <v>45473</v>
      </c>
      <c r="C333" s="118" t="s">
        <v>569</v>
      </c>
      <c r="D333" s="68" t="s">
        <v>571</v>
      </c>
      <c r="E333" s="131"/>
      <c r="F333" s="132"/>
      <c r="G333" s="140">
        <v>7.4178199999999999</v>
      </c>
      <c r="H333" s="72" t="s">
        <v>533</v>
      </c>
      <c r="I333" s="72" t="s">
        <v>63</v>
      </c>
      <c r="J333" s="72">
        <v>8311</v>
      </c>
      <c r="K333" s="92" t="str">
        <f>TEXT(DataAct_tbl[[#This Row],[DATE]],"MMM")</f>
        <v>Jun</v>
      </c>
      <c r="L333">
        <f>COUNTIF($H$6:H333,H333)</f>
        <v>8</v>
      </c>
      <c r="M333" s="68" t="str">
        <f>IF(AND(ISNA(VLOOKUP(DataAct_tbl[[#This Row],[BG CODE]],DataOB[Budget code],1,0)),DataAct_tbl[[#This Row],[Check Dub]]=1),"NEW","")</f>
        <v/>
      </c>
      <c r="N333" s="68" t="b">
        <f>AND(DataAct_tbl[[#This Row],[DATE]]&gt;=FirstDate,DataAct_tbl[[#This Row],[DATE]]&lt;=LastDate)</f>
        <v>1</v>
      </c>
    </row>
    <row r="334" spans="2:14" ht="14.4">
      <c r="B334" s="77">
        <v>45473</v>
      </c>
      <c r="C334" s="118" t="s">
        <v>569</v>
      </c>
      <c r="D334" s="68" t="s">
        <v>572</v>
      </c>
      <c r="E334" s="131"/>
      <c r="F334" s="132"/>
      <c r="G334" s="140">
        <v>7.4178199999999999</v>
      </c>
      <c r="H334" s="72" t="s">
        <v>533</v>
      </c>
      <c r="I334" s="72" t="s">
        <v>63</v>
      </c>
      <c r="J334" s="72">
        <v>8311</v>
      </c>
      <c r="K334" s="92" t="str">
        <f>TEXT(DataAct_tbl[[#This Row],[DATE]],"MMM")</f>
        <v>Jun</v>
      </c>
      <c r="L334">
        <f>COUNTIF($H$6:H334,H334)</f>
        <v>9</v>
      </c>
      <c r="M334" s="68" t="str">
        <f>IF(AND(ISNA(VLOOKUP(DataAct_tbl[[#This Row],[BG CODE]],DataOB[Budget code],1,0)),DataAct_tbl[[#This Row],[Check Dub]]=1),"NEW","")</f>
        <v/>
      </c>
      <c r="N334" s="68" t="b">
        <f>AND(DataAct_tbl[[#This Row],[DATE]]&gt;=FirstDate,DataAct_tbl[[#This Row],[DATE]]&lt;=LastDate)</f>
        <v>1</v>
      </c>
    </row>
    <row r="335" spans="2:14" ht="14.4">
      <c r="B335" s="77">
        <v>45473</v>
      </c>
      <c r="C335" s="118" t="s">
        <v>573</v>
      </c>
      <c r="D335" s="68" t="s">
        <v>574</v>
      </c>
      <c r="E335" s="131"/>
      <c r="F335" s="132"/>
      <c r="G335" s="140">
        <v>54.917639999999999</v>
      </c>
      <c r="H335" s="72" t="s">
        <v>538</v>
      </c>
      <c r="I335" s="72" t="s">
        <v>62</v>
      </c>
      <c r="J335" s="72">
        <v>8311</v>
      </c>
      <c r="K335" s="92" t="str">
        <f>TEXT(DataAct_tbl[[#This Row],[DATE]],"MMM")</f>
        <v>Jun</v>
      </c>
      <c r="L335">
        <f>COUNTIF($H$6:H335,H335)</f>
        <v>2</v>
      </c>
      <c r="M335" s="68" t="str">
        <f>IF(AND(ISNA(VLOOKUP(DataAct_tbl[[#This Row],[BG CODE]],DataOB[Budget code],1,0)),DataAct_tbl[[#This Row],[Check Dub]]=1),"NEW","")</f>
        <v/>
      </c>
      <c r="N335" s="68" t="b">
        <f>AND(DataAct_tbl[[#This Row],[DATE]]&gt;=FirstDate,DataAct_tbl[[#This Row],[DATE]]&lt;=LastDate)</f>
        <v>1</v>
      </c>
    </row>
    <row r="336" spans="2:14" ht="14.4">
      <c r="B336" s="77">
        <v>45473</v>
      </c>
      <c r="C336" s="118" t="s">
        <v>575</v>
      </c>
      <c r="D336" s="68" t="s">
        <v>576</v>
      </c>
      <c r="E336" s="131"/>
      <c r="F336" s="132"/>
      <c r="G336" s="140">
        <v>30.407229999999998</v>
      </c>
      <c r="H336" s="72" t="s">
        <v>110</v>
      </c>
      <c r="I336" s="72" t="s">
        <v>62</v>
      </c>
      <c r="J336" s="72">
        <v>8311</v>
      </c>
      <c r="K336" s="92" t="str">
        <f>TEXT(DataAct_tbl[[#This Row],[DATE]],"MMM")</f>
        <v>Jun</v>
      </c>
      <c r="L336">
        <f>COUNTIF($H$6:H336,H336)</f>
        <v>17</v>
      </c>
      <c r="M336" s="68" t="str">
        <f>IF(AND(ISNA(VLOOKUP(DataAct_tbl[[#This Row],[BG CODE]],DataOB[Budget code],1,0)),DataAct_tbl[[#This Row],[Check Dub]]=1),"NEW","")</f>
        <v/>
      </c>
      <c r="N336" s="68" t="b">
        <f>AND(DataAct_tbl[[#This Row],[DATE]]&gt;=FirstDate,DataAct_tbl[[#This Row],[DATE]]&lt;=LastDate)</f>
        <v>1</v>
      </c>
    </row>
    <row r="337" spans="2:14" ht="14.4">
      <c r="B337" s="77">
        <v>45473</v>
      </c>
      <c r="C337" s="118" t="s">
        <v>577</v>
      </c>
      <c r="D337" s="68" t="s">
        <v>108</v>
      </c>
      <c r="E337" s="131"/>
      <c r="F337" s="132"/>
      <c r="G337" s="140">
        <v>0.23988999999999999</v>
      </c>
      <c r="H337" s="72" t="s">
        <v>114</v>
      </c>
      <c r="I337" s="72" t="s">
        <v>62</v>
      </c>
      <c r="J337" s="72">
        <v>1611</v>
      </c>
      <c r="K337" s="92" t="str">
        <f>TEXT(DataAct_tbl[[#This Row],[DATE]],"MMM")</f>
        <v>Jun</v>
      </c>
      <c r="L337">
        <f>COUNTIF($H$6:H337,H337)</f>
        <v>6</v>
      </c>
      <c r="M337" s="68" t="str">
        <f>IF(AND(ISNA(VLOOKUP(DataAct_tbl[[#This Row],[BG CODE]],DataOB[Budget code],1,0)),DataAct_tbl[[#This Row],[Check Dub]]=1),"NEW","")</f>
        <v/>
      </c>
      <c r="N337" s="68" t="b">
        <f>AND(DataAct_tbl[[#This Row],[DATE]]&gt;=FirstDate,DataAct_tbl[[#This Row],[DATE]]&lt;=LastDate)</f>
        <v>1</v>
      </c>
    </row>
    <row r="338" spans="2:14" ht="14.4">
      <c r="B338" s="77">
        <v>45473</v>
      </c>
      <c r="C338" s="118" t="s">
        <v>578</v>
      </c>
      <c r="D338" s="68" t="s">
        <v>579</v>
      </c>
      <c r="E338" s="131"/>
      <c r="F338" s="132"/>
      <c r="G338" s="140">
        <v>0.17096</v>
      </c>
      <c r="H338" s="72" t="s">
        <v>538</v>
      </c>
      <c r="I338" s="72" t="s">
        <v>61</v>
      </c>
      <c r="J338" s="72">
        <v>8311</v>
      </c>
      <c r="K338" s="92" t="str">
        <f>TEXT(DataAct_tbl[[#This Row],[DATE]],"MMM")</f>
        <v>Jun</v>
      </c>
      <c r="L338">
        <f>COUNTIF($H$6:H338,H338)</f>
        <v>3</v>
      </c>
      <c r="M338" s="68" t="str">
        <f>IF(AND(ISNA(VLOOKUP(DataAct_tbl[[#This Row],[BG CODE]],DataOB[Budget code],1,0)),DataAct_tbl[[#This Row],[Check Dub]]=1),"NEW","")</f>
        <v/>
      </c>
      <c r="N338" s="68" t="b">
        <f>AND(DataAct_tbl[[#This Row],[DATE]]&gt;=FirstDate,DataAct_tbl[[#This Row],[DATE]]&lt;=LastDate)</f>
        <v>1</v>
      </c>
    </row>
    <row r="339" spans="2:14" ht="14.4">
      <c r="B339" s="77">
        <v>45473</v>
      </c>
      <c r="C339" s="118" t="s">
        <v>580</v>
      </c>
      <c r="D339" s="68" t="s">
        <v>581</v>
      </c>
      <c r="E339" s="131"/>
      <c r="F339" s="132"/>
      <c r="G339" s="140">
        <v>0.79447999999999996</v>
      </c>
      <c r="H339" s="72" t="s">
        <v>112</v>
      </c>
      <c r="I339" s="72" t="s">
        <v>102</v>
      </c>
      <c r="J339" s="72">
        <v>8311</v>
      </c>
      <c r="K339" s="92" t="str">
        <f>TEXT(DataAct_tbl[[#This Row],[DATE]],"MMM")</f>
        <v>Jun</v>
      </c>
      <c r="L339">
        <f>COUNTIF($H$6:H339,H339)</f>
        <v>6</v>
      </c>
      <c r="M339" s="68" t="str">
        <f>IF(AND(ISNA(VLOOKUP(DataAct_tbl[[#This Row],[BG CODE]],DataOB[Budget code],1,0)),DataAct_tbl[[#This Row],[Check Dub]]=1),"NEW","")</f>
        <v/>
      </c>
      <c r="N339" s="68" t="b">
        <f>AND(DataAct_tbl[[#This Row],[DATE]]&gt;=FirstDate,DataAct_tbl[[#This Row],[DATE]]&lt;=LastDate)</f>
        <v>1</v>
      </c>
    </row>
    <row r="340" spans="2:14" ht="14.4">
      <c r="B340" s="77">
        <v>45473</v>
      </c>
      <c r="C340" s="118" t="s">
        <v>582</v>
      </c>
      <c r="D340" s="68" t="s">
        <v>583</v>
      </c>
      <c r="E340" s="131"/>
      <c r="F340" s="132"/>
      <c r="G340" s="140">
        <v>7.3246799999999999</v>
      </c>
      <c r="H340" s="72" t="s">
        <v>538</v>
      </c>
      <c r="I340" s="72" t="s">
        <v>61</v>
      </c>
      <c r="J340" s="72">
        <v>8311</v>
      </c>
      <c r="K340" s="92" t="str">
        <f>TEXT(DataAct_tbl[[#This Row],[DATE]],"MMM")</f>
        <v>Jun</v>
      </c>
      <c r="L340">
        <f>COUNTIF($H$6:H340,H340)</f>
        <v>4</v>
      </c>
      <c r="M340" s="68" t="str">
        <f>IF(AND(ISNA(VLOOKUP(DataAct_tbl[[#This Row],[BG CODE]],DataOB[Budget code],1,0)),DataAct_tbl[[#This Row],[Check Dub]]=1),"NEW","")</f>
        <v/>
      </c>
      <c r="N340" s="68" t="b">
        <f>AND(DataAct_tbl[[#This Row],[DATE]]&gt;=FirstDate,DataAct_tbl[[#This Row],[DATE]]&lt;=LastDate)</f>
        <v>1</v>
      </c>
    </row>
    <row r="341" spans="2:14" ht="14.4">
      <c r="B341" s="77">
        <v>45473</v>
      </c>
      <c r="C341" s="118" t="s">
        <v>582</v>
      </c>
      <c r="D341" s="68" t="s">
        <v>583</v>
      </c>
      <c r="E341" s="131"/>
      <c r="F341" s="132"/>
      <c r="G341" s="140">
        <v>0.1386</v>
      </c>
      <c r="H341" s="72" t="s">
        <v>538</v>
      </c>
      <c r="I341" s="72" t="s">
        <v>61</v>
      </c>
      <c r="J341" s="72">
        <v>8311</v>
      </c>
      <c r="K341" s="92" t="str">
        <f>TEXT(DataAct_tbl[[#This Row],[DATE]],"MMM")</f>
        <v>Jun</v>
      </c>
      <c r="L341">
        <f>COUNTIF($H$6:H341,H341)</f>
        <v>5</v>
      </c>
      <c r="M341" s="68" t="str">
        <f>IF(AND(ISNA(VLOOKUP(DataAct_tbl[[#This Row],[BG CODE]],DataOB[Budget code],1,0)),DataAct_tbl[[#This Row],[Check Dub]]=1),"NEW","")</f>
        <v/>
      </c>
      <c r="N341" s="68" t="b">
        <f>AND(DataAct_tbl[[#This Row],[DATE]]&gt;=FirstDate,DataAct_tbl[[#This Row],[DATE]]&lt;=LastDate)</f>
        <v>1</v>
      </c>
    </row>
    <row r="342" spans="2:14" ht="14.4">
      <c r="B342" s="77">
        <v>45473</v>
      </c>
      <c r="C342" s="118" t="s">
        <v>582</v>
      </c>
      <c r="D342" s="68" t="s">
        <v>584</v>
      </c>
      <c r="E342" s="131"/>
      <c r="F342" s="132"/>
      <c r="G342" s="140">
        <v>1.2670000000000001E-2</v>
      </c>
      <c r="H342" s="72" t="s">
        <v>110</v>
      </c>
      <c r="I342" s="72" t="s">
        <v>61</v>
      </c>
      <c r="J342" s="72">
        <v>8311</v>
      </c>
      <c r="K342" s="92" t="str">
        <f>TEXT(DataAct_tbl[[#This Row],[DATE]],"MMM")</f>
        <v>Jun</v>
      </c>
      <c r="L342">
        <f>COUNTIF($H$6:H342,H342)</f>
        <v>18</v>
      </c>
      <c r="M342" s="68" t="str">
        <f>IF(AND(ISNA(VLOOKUP(DataAct_tbl[[#This Row],[BG CODE]],DataOB[Budget code],1,0)),DataAct_tbl[[#This Row],[Check Dub]]=1),"NEW","")</f>
        <v/>
      </c>
      <c r="N342" s="68" t="b">
        <f>AND(DataAct_tbl[[#This Row],[DATE]]&gt;=FirstDate,DataAct_tbl[[#This Row],[DATE]]&lt;=LastDate)</f>
        <v>1</v>
      </c>
    </row>
    <row r="343" spans="2:14" ht="14.4">
      <c r="B343" s="77">
        <v>45473</v>
      </c>
      <c r="C343" s="118" t="s">
        <v>582</v>
      </c>
      <c r="D343" s="68" t="s">
        <v>584</v>
      </c>
      <c r="E343" s="131"/>
      <c r="F343" s="132"/>
      <c r="G343" s="140">
        <v>1.3859999999999999E-2</v>
      </c>
      <c r="H343" s="72" t="s">
        <v>110</v>
      </c>
      <c r="I343" s="72" t="s">
        <v>61</v>
      </c>
      <c r="J343" s="72">
        <v>8311</v>
      </c>
      <c r="K343" s="92" t="str">
        <f>TEXT(DataAct_tbl[[#This Row],[DATE]],"MMM")</f>
        <v>Jun</v>
      </c>
      <c r="L343">
        <f>COUNTIF($H$6:H343,H343)</f>
        <v>19</v>
      </c>
      <c r="M343" s="68" t="str">
        <f>IF(AND(ISNA(VLOOKUP(DataAct_tbl[[#This Row],[BG CODE]],DataOB[Budget code],1,0)),DataAct_tbl[[#This Row],[Check Dub]]=1),"NEW","")</f>
        <v/>
      </c>
      <c r="N343" s="68" t="b">
        <f>AND(DataAct_tbl[[#This Row],[DATE]]&gt;=FirstDate,DataAct_tbl[[#This Row],[DATE]]&lt;=LastDate)</f>
        <v>1</v>
      </c>
    </row>
    <row r="344" spans="2:14" ht="14.4">
      <c r="B344" s="77">
        <v>45504</v>
      </c>
      <c r="C344" s="118" t="s">
        <v>585</v>
      </c>
      <c r="D344" s="68" t="s">
        <v>586</v>
      </c>
      <c r="E344" s="131"/>
      <c r="F344" s="132"/>
      <c r="G344" s="140">
        <v>1.264</v>
      </c>
      <c r="H344" s="72" t="s">
        <v>587</v>
      </c>
      <c r="I344" s="72" t="s">
        <v>62</v>
      </c>
      <c r="J344" s="72">
        <v>3211</v>
      </c>
      <c r="K344" s="92" t="str">
        <f>TEXT(DataAct_tbl[[#This Row],[DATE]],"MMM")</f>
        <v>Jul</v>
      </c>
      <c r="L344">
        <f>COUNTIF($H$6:H344,H344)</f>
        <v>1</v>
      </c>
      <c r="M344" s="68" t="str">
        <f>IF(AND(ISNA(VLOOKUP(DataAct_tbl[[#This Row],[BG CODE]],DataOB[Budget code],1,0)),DataAct_tbl[[#This Row],[Check Dub]]=1),"NEW","")</f>
        <v/>
      </c>
      <c r="N344" s="68" t="b">
        <f>AND(DataAct_tbl[[#This Row],[DATE]]&gt;=FirstDate,DataAct_tbl[[#This Row],[DATE]]&lt;=LastDate)</f>
        <v>1</v>
      </c>
    </row>
    <row r="345" spans="2:14" ht="14.4">
      <c r="B345" s="77">
        <v>45504</v>
      </c>
      <c r="C345" s="118" t="s">
        <v>585</v>
      </c>
      <c r="D345" s="68" t="s">
        <v>586</v>
      </c>
      <c r="E345" s="131"/>
      <c r="F345" s="132"/>
      <c r="G345" s="140">
        <v>1.264</v>
      </c>
      <c r="H345" s="72" t="s">
        <v>587</v>
      </c>
      <c r="I345" s="72" t="s">
        <v>62</v>
      </c>
      <c r="J345" s="72">
        <v>3211</v>
      </c>
      <c r="K345" s="92" t="str">
        <f>TEXT(DataAct_tbl[[#This Row],[DATE]],"MMM")</f>
        <v>Jul</v>
      </c>
      <c r="L345">
        <f>COUNTIF($H$6:H345,H345)</f>
        <v>2</v>
      </c>
      <c r="M345" s="68" t="str">
        <f>IF(AND(ISNA(VLOOKUP(DataAct_tbl[[#This Row],[BG CODE]],DataOB[Budget code],1,0)),DataAct_tbl[[#This Row],[Check Dub]]=1),"NEW","")</f>
        <v/>
      </c>
      <c r="N345" s="68" t="b">
        <f>AND(DataAct_tbl[[#This Row],[DATE]]&gt;=FirstDate,DataAct_tbl[[#This Row],[DATE]]&lt;=LastDate)</f>
        <v>1</v>
      </c>
    </row>
    <row r="346" spans="2:14" ht="14.4">
      <c r="B346" s="77">
        <v>45504</v>
      </c>
      <c r="C346" s="118" t="s">
        <v>585</v>
      </c>
      <c r="D346" s="68" t="s">
        <v>588</v>
      </c>
      <c r="E346" s="131"/>
      <c r="F346" s="132"/>
      <c r="G346" s="140">
        <v>1.294</v>
      </c>
      <c r="H346" s="72" t="s">
        <v>589</v>
      </c>
      <c r="I346" s="72" t="s">
        <v>62</v>
      </c>
      <c r="J346" s="72">
        <v>3211</v>
      </c>
      <c r="K346" s="92" t="str">
        <f>TEXT(DataAct_tbl[[#This Row],[DATE]],"MMM")</f>
        <v>Jul</v>
      </c>
      <c r="L346">
        <f>COUNTIF($H$6:H346,H346)</f>
        <v>1</v>
      </c>
      <c r="M346" s="68" t="str">
        <f>IF(AND(ISNA(VLOOKUP(DataAct_tbl[[#This Row],[BG CODE]],DataOB[Budget code],1,0)),DataAct_tbl[[#This Row],[Check Dub]]=1),"NEW","")</f>
        <v/>
      </c>
      <c r="N346" s="68" t="b">
        <f>AND(DataAct_tbl[[#This Row],[DATE]]&gt;=FirstDate,DataAct_tbl[[#This Row],[DATE]]&lt;=LastDate)</f>
        <v>1</v>
      </c>
    </row>
    <row r="347" spans="2:14" ht="14.4">
      <c r="B347" s="77">
        <v>45504</v>
      </c>
      <c r="C347" s="118" t="s">
        <v>585</v>
      </c>
      <c r="D347" s="68" t="s">
        <v>590</v>
      </c>
      <c r="E347" s="131"/>
      <c r="F347" s="132"/>
      <c r="G347" s="140">
        <v>1.5880000000000001</v>
      </c>
      <c r="H347" s="72" t="s">
        <v>591</v>
      </c>
      <c r="I347" s="72" t="s">
        <v>62</v>
      </c>
      <c r="J347" s="72">
        <v>3211</v>
      </c>
      <c r="K347" s="92" t="str">
        <f>TEXT(DataAct_tbl[[#This Row],[DATE]],"MMM")</f>
        <v>Jul</v>
      </c>
      <c r="L347">
        <f>COUNTIF($H$6:H347,H347)</f>
        <v>1</v>
      </c>
      <c r="M347" s="68" t="str">
        <f>IF(AND(ISNA(VLOOKUP(DataAct_tbl[[#This Row],[BG CODE]],DataOB[Budget code],1,0)),DataAct_tbl[[#This Row],[Check Dub]]=1),"NEW","")</f>
        <v/>
      </c>
      <c r="N347" s="68" t="b">
        <f>AND(DataAct_tbl[[#This Row],[DATE]]&gt;=FirstDate,DataAct_tbl[[#This Row],[DATE]]&lt;=LastDate)</f>
        <v>1</v>
      </c>
    </row>
    <row r="348" spans="2:14" ht="14.4">
      <c r="B348" s="77">
        <v>45504</v>
      </c>
      <c r="C348" s="118" t="s">
        <v>585</v>
      </c>
      <c r="D348" s="68" t="s">
        <v>590</v>
      </c>
      <c r="E348" s="131"/>
      <c r="F348" s="132"/>
      <c r="G348" s="140">
        <v>1.5880000000000001</v>
      </c>
      <c r="H348" s="72" t="s">
        <v>591</v>
      </c>
      <c r="I348" s="72" t="s">
        <v>62</v>
      </c>
      <c r="J348" s="72">
        <v>3211</v>
      </c>
      <c r="K348" s="92" t="str">
        <f>TEXT(DataAct_tbl[[#This Row],[DATE]],"MMM")</f>
        <v>Jul</v>
      </c>
      <c r="L348">
        <f>COUNTIF($H$6:H348,H348)</f>
        <v>2</v>
      </c>
      <c r="M348" s="68" t="str">
        <f>IF(AND(ISNA(VLOOKUP(DataAct_tbl[[#This Row],[BG CODE]],DataOB[Budget code],1,0)),DataAct_tbl[[#This Row],[Check Dub]]=1),"NEW","")</f>
        <v/>
      </c>
      <c r="N348" s="68" t="b">
        <f>AND(DataAct_tbl[[#This Row],[DATE]]&gt;=FirstDate,DataAct_tbl[[#This Row],[DATE]]&lt;=LastDate)</f>
        <v>1</v>
      </c>
    </row>
    <row r="349" spans="2:14" ht="14.4">
      <c r="B349" s="77">
        <v>45504</v>
      </c>
      <c r="C349" s="118" t="s">
        <v>585</v>
      </c>
      <c r="D349" s="68" t="s">
        <v>592</v>
      </c>
      <c r="E349" s="131"/>
      <c r="F349" s="132"/>
      <c r="G349" s="140">
        <v>1.45</v>
      </c>
      <c r="H349" s="72" t="s">
        <v>593</v>
      </c>
      <c r="I349" s="72" t="s">
        <v>62</v>
      </c>
      <c r="J349" s="72">
        <v>3211</v>
      </c>
      <c r="K349" s="92" t="str">
        <f>TEXT(DataAct_tbl[[#This Row],[DATE]],"MMM")</f>
        <v>Jul</v>
      </c>
      <c r="L349">
        <f>COUNTIF($H$6:H349,H349)</f>
        <v>1</v>
      </c>
      <c r="M349" s="68" t="str">
        <f>IF(AND(ISNA(VLOOKUP(DataAct_tbl[[#This Row],[BG CODE]],DataOB[Budget code],1,0)),DataAct_tbl[[#This Row],[Check Dub]]=1),"NEW","")</f>
        <v/>
      </c>
      <c r="N349" s="68" t="b">
        <f>AND(DataAct_tbl[[#This Row],[DATE]]&gt;=FirstDate,DataAct_tbl[[#This Row],[DATE]]&lt;=LastDate)</f>
        <v>1</v>
      </c>
    </row>
    <row r="350" spans="2:14" ht="14.4">
      <c r="B350" s="77">
        <v>45504</v>
      </c>
      <c r="C350" s="118" t="s">
        <v>585</v>
      </c>
      <c r="D350" s="68" t="s">
        <v>592</v>
      </c>
      <c r="E350" s="131"/>
      <c r="F350" s="132"/>
      <c r="G350" s="140">
        <v>1.45</v>
      </c>
      <c r="H350" s="72" t="s">
        <v>593</v>
      </c>
      <c r="I350" s="72" t="s">
        <v>62</v>
      </c>
      <c r="J350" s="72">
        <v>3211</v>
      </c>
      <c r="K350" s="92" t="str">
        <f>TEXT(DataAct_tbl[[#This Row],[DATE]],"MMM")</f>
        <v>Jul</v>
      </c>
      <c r="L350">
        <f>COUNTIF($H$6:H350,H350)</f>
        <v>2</v>
      </c>
      <c r="M350" s="68" t="str">
        <f>IF(AND(ISNA(VLOOKUP(DataAct_tbl[[#This Row],[BG CODE]],DataOB[Budget code],1,0)),DataAct_tbl[[#This Row],[Check Dub]]=1),"NEW","")</f>
        <v/>
      </c>
      <c r="N350" s="68" t="b">
        <f>AND(DataAct_tbl[[#This Row],[DATE]]&gt;=FirstDate,DataAct_tbl[[#This Row],[DATE]]&lt;=LastDate)</f>
        <v>1</v>
      </c>
    </row>
    <row r="351" spans="2:14" ht="14.4">
      <c r="B351" s="77">
        <v>45504</v>
      </c>
      <c r="C351" s="118" t="s">
        <v>585</v>
      </c>
      <c r="D351" s="68" t="s">
        <v>594</v>
      </c>
      <c r="E351" s="131"/>
      <c r="F351" s="132"/>
      <c r="G351" s="140">
        <v>1.637</v>
      </c>
      <c r="H351" s="72" t="s">
        <v>595</v>
      </c>
      <c r="I351" s="72" t="s">
        <v>62</v>
      </c>
      <c r="J351" s="72">
        <v>3211</v>
      </c>
      <c r="K351" s="92" t="str">
        <f>TEXT(DataAct_tbl[[#This Row],[DATE]],"MMM")</f>
        <v>Jul</v>
      </c>
      <c r="L351">
        <f>COUNTIF($H$6:H351,H351)</f>
        <v>1</v>
      </c>
      <c r="M351" s="68" t="str">
        <f>IF(AND(ISNA(VLOOKUP(DataAct_tbl[[#This Row],[BG CODE]],DataOB[Budget code],1,0)),DataAct_tbl[[#This Row],[Check Dub]]=1),"NEW","")</f>
        <v/>
      </c>
      <c r="N351" s="68" t="b">
        <f>AND(DataAct_tbl[[#This Row],[DATE]]&gt;=FirstDate,DataAct_tbl[[#This Row],[DATE]]&lt;=LastDate)</f>
        <v>1</v>
      </c>
    </row>
    <row r="352" spans="2:14" ht="14.4">
      <c r="B352" s="77">
        <v>45504</v>
      </c>
      <c r="C352" s="118" t="s">
        <v>585</v>
      </c>
      <c r="D352" s="68" t="s">
        <v>594</v>
      </c>
      <c r="E352" s="131"/>
      <c r="F352" s="132"/>
      <c r="G352" s="140">
        <v>1.637</v>
      </c>
      <c r="H352" s="72" t="s">
        <v>595</v>
      </c>
      <c r="I352" s="72" t="s">
        <v>62</v>
      </c>
      <c r="J352" s="72">
        <v>3211</v>
      </c>
      <c r="K352" s="92" t="str">
        <f>TEXT(DataAct_tbl[[#This Row],[DATE]],"MMM")</f>
        <v>Jul</v>
      </c>
      <c r="L352">
        <f>COUNTIF($H$6:H352,H352)</f>
        <v>2</v>
      </c>
      <c r="M352" s="68" t="str">
        <f>IF(AND(ISNA(VLOOKUP(DataAct_tbl[[#This Row],[BG CODE]],DataOB[Budget code],1,0)),DataAct_tbl[[#This Row],[Check Dub]]=1),"NEW","")</f>
        <v/>
      </c>
      <c r="N352" s="68" t="b">
        <f>AND(DataAct_tbl[[#This Row],[DATE]]&gt;=FirstDate,DataAct_tbl[[#This Row],[DATE]]&lt;=LastDate)</f>
        <v>1</v>
      </c>
    </row>
    <row r="353" spans="2:14" ht="14.4">
      <c r="B353" s="77">
        <v>45504</v>
      </c>
      <c r="C353" s="118" t="s">
        <v>585</v>
      </c>
      <c r="D353" s="68" t="s">
        <v>596</v>
      </c>
      <c r="E353" s="131"/>
      <c r="F353" s="132"/>
      <c r="G353" s="140">
        <v>1.4950000000000001</v>
      </c>
      <c r="H353" s="72" t="s">
        <v>597</v>
      </c>
      <c r="I353" s="72" t="s">
        <v>62</v>
      </c>
      <c r="J353" s="72">
        <v>3211</v>
      </c>
      <c r="K353" s="92" t="str">
        <f>TEXT(DataAct_tbl[[#This Row],[DATE]],"MMM")</f>
        <v>Jul</v>
      </c>
      <c r="L353">
        <f>COUNTIF($H$6:H353,H353)</f>
        <v>1</v>
      </c>
      <c r="M353" s="68" t="str">
        <f>IF(AND(ISNA(VLOOKUP(DataAct_tbl[[#This Row],[BG CODE]],DataOB[Budget code],1,0)),DataAct_tbl[[#This Row],[Check Dub]]=1),"NEW","")</f>
        <v/>
      </c>
      <c r="N353" s="68" t="b">
        <f>AND(DataAct_tbl[[#This Row],[DATE]]&gt;=FirstDate,DataAct_tbl[[#This Row],[DATE]]&lt;=LastDate)</f>
        <v>1</v>
      </c>
    </row>
    <row r="354" spans="2:14" ht="14.4">
      <c r="B354" s="77">
        <v>45504</v>
      </c>
      <c r="C354" s="118" t="s">
        <v>585</v>
      </c>
      <c r="D354" s="68" t="s">
        <v>596</v>
      </c>
      <c r="E354" s="131"/>
      <c r="F354" s="132"/>
      <c r="G354" s="140">
        <v>1.4950000000000001</v>
      </c>
      <c r="H354" s="72" t="s">
        <v>597</v>
      </c>
      <c r="I354" s="72" t="s">
        <v>62</v>
      </c>
      <c r="J354" s="72">
        <v>3211</v>
      </c>
      <c r="K354" s="92" t="str">
        <f>TEXT(DataAct_tbl[[#This Row],[DATE]],"MMM")</f>
        <v>Jul</v>
      </c>
      <c r="L354">
        <f>COUNTIF($H$6:H354,H354)</f>
        <v>2</v>
      </c>
      <c r="M354" s="68" t="str">
        <f>IF(AND(ISNA(VLOOKUP(DataAct_tbl[[#This Row],[BG CODE]],DataOB[Budget code],1,0)),DataAct_tbl[[#This Row],[Check Dub]]=1),"NEW","")</f>
        <v/>
      </c>
      <c r="N354" s="68" t="b">
        <f>AND(DataAct_tbl[[#This Row],[DATE]]&gt;=FirstDate,DataAct_tbl[[#This Row],[DATE]]&lt;=LastDate)</f>
        <v>1</v>
      </c>
    </row>
    <row r="355" spans="2:14" ht="14.4">
      <c r="B355" s="77">
        <v>45504</v>
      </c>
      <c r="C355" s="118" t="s">
        <v>585</v>
      </c>
      <c r="D355" s="68" t="s">
        <v>598</v>
      </c>
      <c r="E355" s="131"/>
      <c r="F355" s="132"/>
      <c r="G355" s="140">
        <v>1.5089999999999999</v>
      </c>
      <c r="H355" s="72" t="s">
        <v>599</v>
      </c>
      <c r="I355" s="72" t="s">
        <v>62</v>
      </c>
      <c r="J355" s="72">
        <v>3211</v>
      </c>
      <c r="K355" s="92" t="str">
        <f>TEXT(DataAct_tbl[[#This Row],[DATE]],"MMM")</f>
        <v>Jul</v>
      </c>
      <c r="L355">
        <f>COUNTIF($H$6:H355,H355)</f>
        <v>1</v>
      </c>
      <c r="M355" s="68" t="str">
        <f>IF(AND(ISNA(VLOOKUP(DataAct_tbl[[#This Row],[BG CODE]],DataOB[Budget code],1,0)),DataAct_tbl[[#This Row],[Check Dub]]=1),"NEW","")</f>
        <v/>
      </c>
      <c r="N355" s="68" t="b">
        <f>AND(DataAct_tbl[[#This Row],[DATE]]&gt;=FirstDate,DataAct_tbl[[#This Row],[DATE]]&lt;=LastDate)</f>
        <v>1</v>
      </c>
    </row>
    <row r="356" spans="2:14" ht="14.4">
      <c r="B356" s="77">
        <v>45504</v>
      </c>
      <c r="C356" s="118" t="s">
        <v>585</v>
      </c>
      <c r="D356" s="68" t="s">
        <v>598</v>
      </c>
      <c r="E356" s="131"/>
      <c r="F356" s="132"/>
      <c r="G356" s="140">
        <v>1.5089999999999999</v>
      </c>
      <c r="H356" s="72" t="s">
        <v>599</v>
      </c>
      <c r="I356" s="72" t="s">
        <v>62</v>
      </c>
      <c r="J356" s="72">
        <v>3211</v>
      </c>
      <c r="K356" s="92" t="str">
        <f>TEXT(DataAct_tbl[[#This Row],[DATE]],"MMM")</f>
        <v>Jul</v>
      </c>
      <c r="L356">
        <f>COUNTIF($H$6:H356,H356)</f>
        <v>2</v>
      </c>
      <c r="M356" s="68" t="str">
        <f>IF(AND(ISNA(VLOOKUP(DataAct_tbl[[#This Row],[BG CODE]],DataOB[Budget code],1,0)),DataAct_tbl[[#This Row],[Check Dub]]=1),"NEW","")</f>
        <v/>
      </c>
      <c r="N356" s="68" t="b">
        <f>AND(DataAct_tbl[[#This Row],[DATE]]&gt;=FirstDate,DataAct_tbl[[#This Row],[DATE]]&lt;=LastDate)</f>
        <v>1</v>
      </c>
    </row>
    <row r="357" spans="2:14" ht="14.4">
      <c r="B357" s="77">
        <v>45504</v>
      </c>
      <c r="C357" s="118" t="s">
        <v>585</v>
      </c>
      <c r="D357" s="68" t="s">
        <v>600</v>
      </c>
      <c r="E357" s="131"/>
      <c r="F357" s="132"/>
      <c r="G357" s="140">
        <v>1.6559999999999999</v>
      </c>
      <c r="H357" s="72" t="s">
        <v>601</v>
      </c>
      <c r="I357" s="72" t="s">
        <v>62</v>
      </c>
      <c r="J357" s="72">
        <v>3211</v>
      </c>
      <c r="K357" s="92" t="str">
        <f>TEXT(DataAct_tbl[[#This Row],[DATE]],"MMM")</f>
        <v>Jul</v>
      </c>
      <c r="L357">
        <f>COUNTIF($H$6:H357,H357)</f>
        <v>1</v>
      </c>
      <c r="M357" s="68" t="str">
        <f>IF(AND(ISNA(VLOOKUP(DataAct_tbl[[#This Row],[BG CODE]],DataOB[Budget code],1,0)),DataAct_tbl[[#This Row],[Check Dub]]=1),"NEW","")</f>
        <v/>
      </c>
      <c r="N357" s="68" t="b">
        <f>AND(DataAct_tbl[[#This Row],[DATE]]&gt;=FirstDate,DataAct_tbl[[#This Row],[DATE]]&lt;=LastDate)</f>
        <v>1</v>
      </c>
    </row>
    <row r="358" spans="2:14" ht="14.4">
      <c r="B358" s="77">
        <v>45504</v>
      </c>
      <c r="C358" s="118" t="s">
        <v>585</v>
      </c>
      <c r="D358" s="68" t="s">
        <v>600</v>
      </c>
      <c r="E358" s="131"/>
      <c r="F358" s="132"/>
      <c r="G358" s="140">
        <v>1.6559999999999999</v>
      </c>
      <c r="H358" s="72" t="s">
        <v>601</v>
      </c>
      <c r="I358" s="72" t="s">
        <v>62</v>
      </c>
      <c r="J358" s="72">
        <v>3211</v>
      </c>
      <c r="K358" s="92" t="str">
        <f>TEXT(DataAct_tbl[[#This Row],[DATE]],"MMM")</f>
        <v>Jul</v>
      </c>
      <c r="L358">
        <f>COUNTIF($H$6:H358,H358)</f>
        <v>2</v>
      </c>
      <c r="M358" s="68" t="str">
        <f>IF(AND(ISNA(VLOOKUP(DataAct_tbl[[#This Row],[BG CODE]],DataOB[Budget code],1,0)),DataAct_tbl[[#This Row],[Check Dub]]=1),"NEW","")</f>
        <v/>
      </c>
      <c r="N358" s="68" t="b">
        <f>AND(DataAct_tbl[[#This Row],[DATE]]&gt;=FirstDate,DataAct_tbl[[#This Row],[DATE]]&lt;=LastDate)</f>
        <v>1</v>
      </c>
    </row>
    <row r="359" spans="2:14" ht="14.4">
      <c r="B359" s="77">
        <v>45504</v>
      </c>
      <c r="C359" s="118" t="s">
        <v>585</v>
      </c>
      <c r="D359" s="68" t="s">
        <v>602</v>
      </c>
      <c r="E359" s="131"/>
      <c r="F359" s="132"/>
      <c r="G359" s="140">
        <v>1.48</v>
      </c>
      <c r="H359" s="72" t="s">
        <v>603</v>
      </c>
      <c r="I359" s="72" t="s">
        <v>62</v>
      </c>
      <c r="J359" s="72">
        <v>3211</v>
      </c>
      <c r="K359" s="92" t="str">
        <f>TEXT(DataAct_tbl[[#This Row],[DATE]],"MMM")</f>
        <v>Jul</v>
      </c>
      <c r="L359">
        <f>COUNTIF($H$6:H359,H359)</f>
        <v>1</v>
      </c>
      <c r="M359" s="68" t="str">
        <f>IF(AND(ISNA(VLOOKUP(DataAct_tbl[[#This Row],[BG CODE]],DataOB[Budget code],1,0)),DataAct_tbl[[#This Row],[Check Dub]]=1),"NEW","")</f>
        <v/>
      </c>
      <c r="N359" s="68" t="b">
        <f>AND(DataAct_tbl[[#This Row],[DATE]]&gt;=FirstDate,DataAct_tbl[[#This Row],[DATE]]&lt;=LastDate)</f>
        <v>1</v>
      </c>
    </row>
    <row r="360" spans="2:14" ht="14.4">
      <c r="B360" s="77">
        <v>45504</v>
      </c>
      <c r="C360" s="118" t="s">
        <v>604</v>
      </c>
      <c r="D360" s="68" t="s">
        <v>605</v>
      </c>
      <c r="E360" s="131"/>
      <c r="F360" s="132"/>
      <c r="G360" s="140">
        <v>19.492000000000001</v>
      </c>
      <c r="H360" s="72" t="s">
        <v>100</v>
      </c>
      <c r="I360" s="72" t="s">
        <v>62</v>
      </c>
      <c r="J360" s="72">
        <v>8111</v>
      </c>
      <c r="K360" s="92" t="str">
        <f>TEXT(DataAct_tbl[[#This Row],[DATE]],"MMM")</f>
        <v>Jul</v>
      </c>
      <c r="L360">
        <f>COUNTIF($H$6:H360,H360)</f>
        <v>48</v>
      </c>
      <c r="M360" s="68" t="str">
        <f>IF(AND(ISNA(VLOOKUP(DataAct_tbl[[#This Row],[BG CODE]],DataOB[Budget code],1,0)),DataAct_tbl[[#This Row],[Check Dub]]=1),"NEW","")</f>
        <v/>
      </c>
      <c r="N360" s="68" t="b">
        <f>AND(DataAct_tbl[[#This Row],[DATE]]&gt;=FirstDate,DataAct_tbl[[#This Row],[DATE]]&lt;=LastDate)</f>
        <v>1</v>
      </c>
    </row>
    <row r="361" spans="2:14" ht="14.4">
      <c r="B361" s="77">
        <v>45504</v>
      </c>
      <c r="C361" s="118" t="s">
        <v>606</v>
      </c>
      <c r="D361" s="68" t="s">
        <v>607</v>
      </c>
      <c r="E361" s="131"/>
      <c r="F361" s="132"/>
      <c r="G361" s="140">
        <v>10.80414</v>
      </c>
      <c r="H361" s="72" t="s">
        <v>608</v>
      </c>
      <c r="I361" s="72" t="s">
        <v>63</v>
      </c>
      <c r="J361" s="72">
        <v>8311</v>
      </c>
      <c r="K361" s="92" t="str">
        <f>TEXT(DataAct_tbl[[#This Row],[DATE]],"MMM")</f>
        <v>Jul</v>
      </c>
      <c r="L361">
        <f>COUNTIF($H$6:H361,H361)</f>
        <v>1</v>
      </c>
      <c r="M361" s="68" t="str">
        <f>IF(AND(ISNA(VLOOKUP(DataAct_tbl[[#This Row],[BG CODE]],DataOB[Budget code],1,0)),DataAct_tbl[[#This Row],[Check Dub]]=1),"NEW","")</f>
        <v/>
      </c>
      <c r="N361" s="68" t="b">
        <f>AND(DataAct_tbl[[#This Row],[DATE]]&gt;=FirstDate,DataAct_tbl[[#This Row],[DATE]]&lt;=LastDate)</f>
        <v>1</v>
      </c>
    </row>
    <row r="362" spans="2:14" ht="14.4">
      <c r="B362" s="77">
        <v>45504</v>
      </c>
      <c r="C362" s="118" t="s">
        <v>606</v>
      </c>
      <c r="D362" s="68" t="s">
        <v>609</v>
      </c>
      <c r="E362" s="131"/>
      <c r="F362" s="132"/>
      <c r="G362" s="140">
        <v>10.80414</v>
      </c>
      <c r="H362" s="72" t="s">
        <v>608</v>
      </c>
      <c r="I362" s="72" t="s">
        <v>63</v>
      </c>
      <c r="J362" s="72">
        <v>8311</v>
      </c>
      <c r="K362" s="92" t="str">
        <f>TEXT(DataAct_tbl[[#This Row],[DATE]],"MMM")</f>
        <v>Jul</v>
      </c>
      <c r="L362">
        <f>COUNTIF($H$6:H362,H362)</f>
        <v>2</v>
      </c>
      <c r="M362" s="68" t="str">
        <f>IF(AND(ISNA(VLOOKUP(DataAct_tbl[[#This Row],[BG CODE]],DataOB[Budget code],1,0)),DataAct_tbl[[#This Row],[Check Dub]]=1),"NEW","")</f>
        <v/>
      </c>
      <c r="N362" s="68" t="b">
        <f>AND(DataAct_tbl[[#This Row],[DATE]]&gt;=FirstDate,DataAct_tbl[[#This Row],[DATE]]&lt;=LastDate)</f>
        <v>1</v>
      </c>
    </row>
    <row r="363" spans="2:14" ht="14.4">
      <c r="B363" s="77">
        <v>45504</v>
      </c>
      <c r="C363" s="118" t="s">
        <v>606</v>
      </c>
      <c r="D363" s="68" t="s">
        <v>610</v>
      </c>
      <c r="E363" s="131"/>
      <c r="F363" s="132"/>
      <c r="G363" s="140">
        <v>10.80414</v>
      </c>
      <c r="H363" s="72" t="s">
        <v>608</v>
      </c>
      <c r="I363" s="72" t="s">
        <v>63</v>
      </c>
      <c r="J363" s="72">
        <v>8311</v>
      </c>
      <c r="K363" s="92" t="str">
        <f>TEXT(DataAct_tbl[[#This Row],[DATE]],"MMM")</f>
        <v>Jul</v>
      </c>
      <c r="L363">
        <f>COUNTIF($H$6:H363,H363)</f>
        <v>3</v>
      </c>
      <c r="M363" s="68" t="str">
        <f>IF(AND(ISNA(VLOOKUP(DataAct_tbl[[#This Row],[BG CODE]],DataOB[Budget code],1,0)),DataAct_tbl[[#This Row],[Check Dub]]=1),"NEW","")</f>
        <v/>
      </c>
      <c r="N363" s="68" t="b">
        <f>AND(DataAct_tbl[[#This Row],[DATE]]&gt;=FirstDate,DataAct_tbl[[#This Row],[DATE]]&lt;=LastDate)</f>
        <v>1</v>
      </c>
    </row>
    <row r="364" spans="2:14" ht="14.4">
      <c r="B364" s="77">
        <v>45504</v>
      </c>
      <c r="C364" s="118" t="s">
        <v>606</v>
      </c>
      <c r="D364" s="68" t="s">
        <v>611</v>
      </c>
      <c r="E364" s="131"/>
      <c r="F364" s="132"/>
      <c r="G364" s="140">
        <v>10.80414</v>
      </c>
      <c r="H364" s="72" t="s">
        <v>608</v>
      </c>
      <c r="I364" s="72" t="s">
        <v>63</v>
      </c>
      <c r="J364" s="72">
        <v>8311</v>
      </c>
      <c r="K364" s="92" t="str">
        <f>TEXT(DataAct_tbl[[#This Row],[DATE]],"MMM")</f>
        <v>Jul</v>
      </c>
      <c r="L364">
        <f>COUNTIF($H$6:H364,H364)</f>
        <v>4</v>
      </c>
      <c r="M364" s="68" t="str">
        <f>IF(AND(ISNA(VLOOKUP(DataAct_tbl[[#This Row],[BG CODE]],DataOB[Budget code],1,0)),DataAct_tbl[[#This Row],[Check Dub]]=1),"NEW","")</f>
        <v/>
      </c>
      <c r="N364" s="68" t="b">
        <f>AND(DataAct_tbl[[#This Row],[DATE]]&gt;=FirstDate,DataAct_tbl[[#This Row],[DATE]]&lt;=LastDate)</f>
        <v>1</v>
      </c>
    </row>
    <row r="365" spans="2:14" ht="14.4">
      <c r="B365" s="77">
        <v>45504</v>
      </c>
      <c r="C365" s="118" t="s">
        <v>612</v>
      </c>
      <c r="D365" s="68" t="s">
        <v>613</v>
      </c>
      <c r="E365" s="131"/>
      <c r="F365" s="132"/>
      <c r="G365" s="140">
        <v>2.6933499999999997</v>
      </c>
      <c r="H365" s="72" t="s">
        <v>614</v>
      </c>
      <c r="I365" s="72" t="s">
        <v>62</v>
      </c>
      <c r="J365" s="72">
        <v>1213</v>
      </c>
      <c r="K365" s="92" t="str">
        <f>TEXT(DataAct_tbl[[#This Row],[DATE]],"MMM")</f>
        <v>Jul</v>
      </c>
      <c r="L365">
        <f>COUNTIF($H$6:H365,H365)</f>
        <v>1</v>
      </c>
      <c r="M365" s="68" t="str">
        <f>IF(AND(ISNA(VLOOKUP(DataAct_tbl[[#This Row],[BG CODE]],DataOB[Budget code],1,0)),DataAct_tbl[[#This Row],[Check Dub]]=1),"NEW","")</f>
        <v/>
      </c>
      <c r="N365" s="68" t="b">
        <f>AND(DataAct_tbl[[#This Row],[DATE]]&gt;=FirstDate,DataAct_tbl[[#This Row],[DATE]]&lt;=LastDate)</f>
        <v>1</v>
      </c>
    </row>
    <row r="366" spans="2:14" ht="14.4">
      <c r="B366" s="77">
        <v>45504</v>
      </c>
      <c r="C366" s="118" t="s">
        <v>615</v>
      </c>
      <c r="D366" s="68" t="s">
        <v>616</v>
      </c>
      <c r="E366" s="131"/>
      <c r="F366" s="132"/>
      <c r="G366" s="140">
        <v>94.353250000000003</v>
      </c>
      <c r="H366" s="72" t="s">
        <v>110</v>
      </c>
      <c r="I366" s="72" t="s">
        <v>62</v>
      </c>
      <c r="J366" s="72">
        <v>8311</v>
      </c>
      <c r="K366" s="92" t="str">
        <f>TEXT(DataAct_tbl[[#This Row],[DATE]],"MMM")</f>
        <v>Jul</v>
      </c>
      <c r="L366">
        <f>COUNTIF($H$6:H366,H366)</f>
        <v>20</v>
      </c>
      <c r="M366" s="68" t="str">
        <f>IF(AND(ISNA(VLOOKUP(DataAct_tbl[[#This Row],[BG CODE]],DataOB[Budget code],1,0)),DataAct_tbl[[#This Row],[Check Dub]]=1),"NEW","")</f>
        <v/>
      </c>
      <c r="N366" s="68" t="b">
        <f>AND(DataAct_tbl[[#This Row],[DATE]]&gt;=FirstDate,DataAct_tbl[[#This Row],[DATE]]&lt;=LastDate)</f>
        <v>1</v>
      </c>
    </row>
    <row r="367" spans="2:14" ht="14.4">
      <c r="B367" s="77">
        <v>45504</v>
      </c>
      <c r="C367" s="118" t="s">
        <v>617</v>
      </c>
      <c r="D367" s="68" t="s">
        <v>618</v>
      </c>
      <c r="E367" s="131"/>
      <c r="F367" s="132"/>
      <c r="G367" s="140">
        <v>19.359060000000003</v>
      </c>
      <c r="H367" s="72" t="s">
        <v>619</v>
      </c>
      <c r="I367" s="72" t="s">
        <v>62</v>
      </c>
      <c r="J367" s="72">
        <v>8514</v>
      </c>
      <c r="K367" s="92" t="str">
        <f>TEXT(DataAct_tbl[[#This Row],[DATE]],"MMM")</f>
        <v>Jul</v>
      </c>
      <c r="L367">
        <f>COUNTIF($H$6:H367,H367)</f>
        <v>1</v>
      </c>
      <c r="M367" s="68" t="str">
        <f>IF(AND(ISNA(VLOOKUP(DataAct_tbl[[#This Row],[BG CODE]],DataOB[Budget code],1,0)),DataAct_tbl[[#This Row],[Check Dub]]=1),"NEW","")</f>
        <v/>
      </c>
      <c r="N367" s="68" t="b">
        <f>AND(DataAct_tbl[[#This Row],[DATE]]&gt;=FirstDate,DataAct_tbl[[#This Row],[DATE]]&lt;=LastDate)</f>
        <v>1</v>
      </c>
    </row>
    <row r="368" spans="2:14" ht="14.4">
      <c r="B368" s="77">
        <v>45504</v>
      </c>
      <c r="C368" s="118" t="s">
        <v>620</v>
      </c>
      <c r="D368" s="68" t="s">
        <v>621</v>
      </c>
      <c r="E368" s="131"/>
      <c r="F368" s="132"/>
      <c r="G368" s="140">
        <v>13.92493</v>
      </c>
      <c r="H368" s="72" t="s">
        <v>488</v>
      </c>
      <c r="I368" s="72" t="s">
        <v>62</v>
      </c>
      <c r="J368" s="72">
        <v>8311</v>
      </c>
      <c r="K368" s="92" t="str">
        <f>TEXT(DataAct_tbl[[#This Row],[DATE]],"MMM")</f>
        <v>Jul</v>
      </c>
      <c r="L368">
        <f>COUNTIF($H$6:H368,H368)</f>
        <v>6</v>
      </c>
      <c r="M368" s="68" t="str">
        <f>IF(AND(ISNA(VLOOKUP(DataAct_tbl[[#This Row],[BG CODE]],DataOB[Budget code],1,0)),DataAct_tbl[[#This Row],[Check Dub]]=1),"NEW","")</f>
        <v/>
      </c>
      <c r="N368" s="68" t="b">
        <f>AND(DataAct_tbl[[#This Row],[DATE]]&gt;=FirstDate,DataAct_tbl[[#This Row],[DATE]]&lt;=LastDate)</f>
        <v>1</v>
      </c>
    </row>
    <row r="369" spans="2:14" ht="14.4">
      <c r="B369" s="77">
        <v>45504</v>
      </c>
      <c r="C369" s="118" t="s">
        <v>622</v>
      </c>
      <c r="D369" s="68" t="s">
        <v>623</v>
      </c>
      <c r="E369" s="131"/>
      <c r="F369" s="132"/>
      <c r="G369" s="140">
        <v>6.5568</v>
      </c>
      <c r="H369" s="72" t="s">
        <v>624</v>
      </c>
      <c r="I369" s="72" t="s">
        <v>62</v>
      </c>
      <c r="J369" s="72">
        <v>8311</v>
      </c>
      <c r="K369" s="92" t="str">
        <f>TEXT(DataAct_tbl[[#This Row],[DATE]],"MMM")</f>
        <v>Jul</v>
      </c>
      <c r="L369">
        <f>COUNTIF($H$6:H369,H369)</f>
        <v>1</v>
      </c>
      <c r="M369" s="68" t="str">
        <f>IF(AND(ISNA(VLOOKUP(DataAct_tbl[[#This Row],[BG CODE]],DataOB[Budget code],1,0)),DataAct_tbl[[#This Row],[Check Dub]]=1),"NEW","")</f>
        <v/>
      </c>
      <c r="N369" s="68" t="b">
        <f>AND(DataAct_tbl[[#This Row],[DATE]]&gt;=FirstDate,DataAct_tbl[[#This Row],[DATE]]&lt;=LastDate)</f>
        <v>1</v>
      </c>
    </row>
    <row r="370" spans="2:14" ht="14.4">
      <c r="B370" s="77">
        <v>45504</v>
      </c>
      <c r="C370" s="118" t="s">
        <v>625</v>
      </c>
      <c r="D370" s="68" t="s">
        <v>626</v>
      </c>
      <c r="E370" s="131"/>
      <c r="F370" s="132"/>
      <c r="G370" s="140">
        <v>6.5094899999999996</v>
      </c>
      <c r="H370" s="72" t="s">
        <v>349</v>
      </c>
      <c r="I370" s="72" t="s">
        <v>62</v>
      </c>
      <c r="J370" s="72">
        <v>8311</v>
      </c>
      <c r="K370" s="92" t="str">
        <f>TEXT(DataAct_tbl[[#This Row],[DATE]],"MMM")</f>
        <v>Jul</v>
      </c>
      <c r="L370">
        <f>COUNTIF($H$6:H370,H370)</f>
        <v>4</v>
      </c>
      <c r="M370" s="68" t="str">
        <f>IF(AND(ISNA(VLOOKUP(DataAct_tbl[[#This Row],[BG CODE]],DataOB[Budget code],1,0)),DataAct_tbl[[#This Row],[Check Dub]]=1),"NEW","")</f>
        <v/>
      </c>
      <c r="N370" s="68" t="b">
        <f>AND(DataAct_tbl[[#This Row],[DATE]]&gt;=FirstDate,DataAct_tbl[[#This Row],[DATE]]&lt;=LastDate)</f>
        <v>1</v>
      </c>
    </row>
    <row r="371" spans="2:14" ht="14.4">
      <c r="B371" s="77">
        <v>45504</v>
      </c>
      <c r="C371" s="118" t="s">
        <v>627</v>
      </c>
      <c r="D371" s="68" t="s">
        <v>628</v>
      </c>
      <c r="E371" s="131"/>
      <c r="F371" s="132"/>
      <c r="G371" s="140">
        <v>950.7246899999999</v>
      </c>
      <c r="H371" s="72" t="s">
        <v>629</v>
      </c>
      <c r="I371" s="72" t="s">
        <v>62</v>
      </c>
      <c r="J371" s="72">
        <v>8311</v>
      </c>
      <c r="K371" s="92" t="str">
        <f>TEXT(DataAct_tbl[[#This Row],[DATE]],"MMM")</f>
        <v>Jul</v>
      </c>
      <c r="L371">
        <f>COUNTIF($H$6:H371,H371)</f>
        <v>1</v>
      </c>
      <c r="M371" s="68" t="str">
        <f>IF(AND(ISNA(VLOOKUP(DataAct_tbl[[#This Row],[BG CODE]],DataOB[Budget code],1,0)),DataAct_tbl[[#This Row],[Check Dub]]=1),"NEW","")</f>
        <v/>
      </c>
      <c r="N371" s="68" t="b">
        <f>AND(DataAct_tbl[[#This Row],[DATE]]&gt;=FirstDate,DataAct_tbl[[#This Row],[DATE]]&lt;=LastDate)</f>
        <v>1</v>
      </c>
    </row>
    <row r="372" spans="2:14" ht="14.4">
      <c r="B372" s="77">
        <v>45504</v>
      </c>
      <c r="C372" s="118" t="s">
        <v>630</v>
      </c>
      <c r="D372" s="68" t="s">
        <v>631</v>
      </c>
      <c r="E372" s="131"/>
      <c r="F372" s="132"/>
      <c r="G372" s="140">
        <v>318.86</v>
      </c>
      <c r="H372" s="72" t="s">
        <v>632</v>
      </c>
      <c r="I372" s="72" t="s">
        <v>62</v>
      </c>
      <c r="J372" s="72">
        <v>8311</v>
      </c>
      <c r="K372" s="92" t="str">
        <f>TEXT(DataAct_tbl[[#This Row],[DATE]],"MMM")</f>
        <v>Jul</v>
      </c>
      <c r="L372">
        <f>COUNTIF($H$6:H372,H372)</f>
        <v>1</v>
      </c>
      <c r="M372" s="68" t="str">
        <f>IF(AND(ISNA(VLOOKUP(DataAct_tbl[[#This Row],[BG CODE]],DataOB[Budget code],1,0)),DataAct_tbl[[#This Row],[Check Dub]]=1),"NEW","")</f>
        <v/>
      </c>
      <c r="N372" s="68" t="b">
        <f>AND(DataAct_tbl[[#This Row],[DATE]]&gt;=FirstDate,DataAct_tbl[[#This Row],[DATE]]&lt;=LastDate)</f>
        <v>1</v>
      </c>
    </row>
    <row r="373" spans="2:14" ht="14.4">
      <c r="B373" s="77">
        <v>45504</v>
      </c>
      <c r="C373" s="118" t="s">
        <v>630</v>
      </c>
      <c r="D373" s="68" t="s">
        <v>631</v>
      </c>
      <c r="E373" s="131"/>
      <c r="F373" s="132"/>
      <c r="G373" s="140">
        <v>318.86</v>
      </c>
      <c r="H373" s="137" t="s">
        <v>633</v>
      </c>
      <c r="I373" s="72" t="s">
        <v>62</v>
      </c>
      <c r="J373" s="72">
        <v>8311</v>
      </c>
      <c r="K373" s="92" t="str">
        <f>TEXT(DataAct_tbl[[#This Row],[DATE]],"MMM")</f>
        <v>Jul</v>
      </c>
      <c r="L373">
        <f>COUNTIF($H$6:H373,H373)</f>
        <v>1</v>
      </c>
      <c r="M373" s="68" t="str">
        <f>IF(AND(ISNA(VLOOKUP(DataAct_tbl[[#This Row],[BG CODE]],DataOB[Budget code],1,0)),DataAct_tbl[[#This Row],[Check Dub]]=1),"NEW","")</f>
        <v/>
      </c>
      <c r="N373" s="68" t="b">
        <f>AND(DataAct_tbl[[#This Row],[DATE]]&gt;=FirstDate,DataAct_tbl[[#This Row],[DATE]]&lt;=LastDate)</f>
        <v>1</v>
      </c>
    </row>
    <row r="374" spans="2:14" ht="14.4">
      <c r="B374" s="77">
        <v>45504</v>
      </c>
      <c r="C374" s="118" t="s">
        <v>630</v>
      </c>
      <c r="D374" s="68" t="s">
        <v>631</v>
      </c>
      <c r="E374" s="131"/>
      <c r="F374" s="132"/>
      <c r="G374" s="140">
        <v>318.86</v>
      </c>
      <c r="H374" s="137" t="s">
        <v>634</v>
      </c>
      <c r="I374" s="72" t="s">
        <v>62</v>
      </c>
      <c r="J374" s="72">
        <v>8311</v>
      </c>
      <c r="K374" s="92" t="str">
        <f>TEXT(DataAct_tbl[[#This Row],[DATE]],"MMM")</f>
        <v>Jul</v>
      </c>
      <c r="L374">
        <f>COUNTIF($H$6:H374,H374)</f>
        <v>1</v>
      </c>
      <c r="M374" s="68" t="str">
        <f>IF(AND(ISNA(VLOOKUP(DataAct_tbl[[#This Row],[BG CODE]],DataOB[Budget code],1,0)),DataAct_tbl[[#This Row],[Check Dub]]=1),"NEW","")</f>
        <v/>
      </c>
      <c r="N374" s="68" t="b">
        <f>AND(DataAct_tbl[[#This Row],[DATE]]&gt;=FirstDate,DataAct_tbl[[#This Row],[DATE]]&lt;=LastDate)</f>
        <v>1</v>
      </c>
    </row>
    <row r="375" spans="2:14" ht="14.4">
      <c r="B375" s="77">
        <v>45504</v>
      </c>
      <c r="C375" s="118" t="s">
        <v>630</v>
      </c>
      <c r="D375" s="68" t="s">
        <v>631</v>
      </c>
      <c r="E375" s="131"/>
      <c r="F375" s="132"/>
      <c r="G375" s="140">
        <v>318.86</v>
      </c>
      <c r="H375" s="137" t="s">
        <v>635</v>
      </c>
      <c r="I375" s="72" t="s">
        <v>62</v>
      </c>
      <c r="J375" s="72">
        <v>8311</v>
      </c>
      <c r="K375" s="92" t="str">
        <f>TEXT(DataAct_tbl[[#This Row],[DATE]],"MMM")</f>
        <v>Jul</v>
      </c>
      <c r="L375">
        <f>COUNTIF($H$6:H375,H375)</f>
        <v>1</v>
      </c>
      <c r="M375" s="68" t="str">
        <f>IF(AND(ISNA(VLOOKUP(DataAct_tbl[[#This Row],[BG CODE]],DataOB[Budget code],1,0)),DataAct_tbl[[#This Row],[Check Dub]]=1),"NEW","")</f>
        <v/>
      </c>
      <c r="N375" s="68" t="b">
        <f>AND(DataAct_tbl[[#This Row],[DATE]]&gt;=FirstDate,DataAct_tbl[[#This Row],[DATE]]&lt;=LastDate)</f>
        <v>1</v>
      </c>
    </row>
    <row r="376" spans="2:14" ht="14.4">
      <c r="B376" s="77">
        <v>45504</v>
      </c>
      <c r="C376" s="118" t="s">
        <v>630</v>
      </c>
      <c r="D376" s="68" t="s">
        <v>631</v>
      </c>
      <c r="E376" s="131"/>
      <c r="F376" s="132"/>
      <c r="G376" s="140">
        <v>318.86</v>
      </c>
      <c r="H376" s="137" t="s">
        <v>636</v>
      </c>
      <c r="I376" s="72" t="s">
        <v>62</v>
      </c>
      <c r="J376" s="72">
        <v>8311</v>
      </c>
      <c r="K376" s="92" t="str">
        <f>TEXT(DataAct_tbl[[#This Row],[DATE]],"MMM")</f>
        <v>Jul</v>
      </c>
      <c r="L376">
        <f>COUNTIF($H$6:H376,H376)</f>
        <v>1</v>
      </c>
      <c r="M376" s="68" t="str">
        <f>IF(AND(ISNA(VLOOKUP(DataAct_tbl[[#This Row],[BG CODE]],DataOB[Budget code],1,0)),DataAct_tbl[[#This Row],[Check Dub]]=1),"NEW","")</f>
        <v/>
      </c>
      <c r="N376" s="68" t="b">
        <f>AND(DataAct_tbl[[#This Row],[DATE]]&gt;=FirstDate,DataAct_tbl[[#This Row],[DATE]]&lt;=LastDate)</f>
        <v>1</v>
      </c>
    </row>
    <row r="377" spans="2:14" ht="14.4">
      <c r="B377" s="77">
        <v>45504</v>
      </c>
      <c r="C377" s="118" t="s">
        <v>630</v>
      </c>
      <c r="D377" s="68" t="s">
        <v>637</v>
      </c>
      <c r="E377" s="131"/>
      <c r="F377" s="132"/>
      <c r="G377" s="140">
        <v>84.87</v>
      </c>
      <c r="H377" s="137" t="s">
        <v>634</v>
      </c>
      <c r="I377" s="72" t="s">
        <v>62</v>
      </c>
      <c r="J377" s="72">
        <v>8311</v>
      </c>
      <c r="K377" s="92" t="str">
        <f>TEXT(DataAct_tbl[[#This Row],[DATE]],"MMM")</f>
        <v>Jul</v>
      </c>
      <c r="L377">
        <f>COUNTIF($H$6:H377,H377)</f>
        <v>2</v>
      </c>
      <c r="M377" s="68" t="str">
        <f>IF(AND(ISNA(VLOOKUP(DataAct_tbl[[#This Row],[BG CODE]],DataOB[Budget code],1,0)),DataAct_tbl[[#This Row],[Check Dub]]=1),"NEW","")</f>
        <v/>
      </c>
      <c r="N377" s="68" t="b">
        <f>AND(DataAct_tbl[[#This Row],[DATE]]&gt;=FirstDate,DataAct_tbl[[#This Row],[DATE]]&lt;=LastDate)</f>
        <v>1</v>
      </c>
    </row>
    <row r="378" spans="2:14" ht="14.4">
      <c r="B378" s="77">
        <v>45504</v>
      </c>
      <c r="C378" s="118" t="s">
        <v>638</v>
      </c>
      <c r="D378" s="68" t="s">
        <v>639</v>
      </c>
      <c r="E378" s="131"/>
      <c r="F378" s="132"/>
      <c r="G378" s="140">
        <v>12.66268</v>
      </c>
      <c r="H378" s="137" t="s">
        <v>488</v>
      </c>
      <c r="I378" s="72" t="s">
        <v>62</v>
      </c>
      <c r="J378" s="72">
        <v>8311</v>
      </c>
      <c r="K378" s="92" t="str">
        <f>TEXT(DataAct_tbl[[#This Row],[DATE]],"MMM")</f>
        <v>Jul</v>
      </c>
      <c r="L378">
        <f>COUNTIF($H$6:H378,H378)</f>
        <v>7</v>
      </c>
      <c r="M378" s="68" t="str">
        <f>IF(AND(ISNA(VLOOKUP(DataAct_tbl[[#This Row],[BG CODE]],DataOB[Budget code],1,0)),DataAct_tbl[[#This Row],[Check Dub]]=1),"NEW","")</f>
        <v/>
      </c>
      <c r="N378" s="68" t="b">
        <f>AND(DataAct_tbl[[#This Row],[DATE]]&gt;=FirstDate,DataAct_tbl[[#This Row],[DATE]]&lt;=LastDate)</f>
        <v>1</v>
      </c>
    </row>
    <row r="379" spans="2:14" ht="14.4">
      <c r="B379" s="77">
        <v>45504</v>
      </c>
      <c r="C379" s="118" t="s">
        <v>640</v>
      </c>
      <c r="D379" s="68" t="s">
        <v>641</v>
      </c>
      <c r="E379" s="131"/>
      <c r="F379" s="132"/>
      <c r="G379" s="140">
        <v>3.4132500000000001</v>
      </c>
      <c r="H379" s="137" t="s">
        <v>642</v>
      </c>
      <c r="I379" s="72" t="s">
        <v>62</v>
      </c>
      <c r="J379" s="72">
        <v>8411</v>
      </c>
      <c r="K379" s="92" t="str">
        <f>TEXT(DataAct_tbl[[#This Row],[DATE]],"MMM")</f>
        <v>Jul</v>
      </c>
      <c r="L379">
        <f>COUNTIF($H$6:H379,H379)</f>
        <v>1</v>
      </c>
      <c r="M379" s="68" t="str">
        <f>IF(AND(ISNA(VLOOKUP(DataAct_tbl[[#This Row],[BG CODE]],DataOB[Budget code],1,0)),DataAct_tbl[[#This Row],[Check Dub]]=1),"NEW","")</f>
        <v/>
      </c>
      <c r="N379" s="68" t="b">
        <f>AND(DataAct_tbl[[#This Row],[DATE]]&gt;=FirstDate,DataAct_tbl[[#This Row],[DATE]]&lt;=LastDate)</f>
        <v>1</v>
      </c>
    </row>
    <row r="380" spans="2:14" ht="14.4">
      <c r="B380" s="77">
        <v>45504</v>
      </c>
      <c r="C380" s="118" t="s">
        <v>643</v>
      </c>
      <c r="D380" s="68" t="s">
        <v>644</v>
      </c>
      <c r="E380" s="131"/>
      <c r="F380" s="132"/>
      <c r="G380" s="140">
        <v>53.323480000000004</v>
      </c>
      <c r="H380" s="137" t="s">
        <v>488</v>
      </c>
      <c r="I380" s="72" t="s">
        <v>62</v>
      </c>
      <c r="J380" s="72">
        <v>8311</v>
      </c>
      <c r="K380" s="92" t="str">
        <f>TEXT(DataAct_tbl[[#This Row],[DATE]],"MMM")</f>
        <v>Jul</v>
      </c>
      <c r="L380">
        <f>COUNTIF($H$6:H380,H380)</f>
        <v>8</v>
      </c>
      <c r="M380" s="68" t="str">
        <f>IF(AND(ISNA(VLOOKUP(DataAct_tbl[[#This Row],[BG CODE]],DataOB[Budget code],1,0)),DataAct_tbl[[#This Row],[Check Dub]]=1),"NEW","")</f>
        <v/>
      </c>
      <c r="N380" s="68" t="b">
        <f>AND(DataAct_tbl[[#This Row],[DATE]]&gt;=FirstDate,DataAct_tbl[[#This Row],[DATE]]&lt;=LastDate)</f>
        <v>1</v>
      </c>
    </row>
    <row r="381" spans="2:14" ht="14.4">
      <c r="B381" s="77">
        <v>45504</v>
      </c>
      <c r="C381" s="118" t="s">
        <v>645</v>
      </c>
      <c r="D381" s="68" t="s">
        <v>646</v>
      </c>
      <c r="E381" s="131"/>
      <c r="F381" s="132"/>
      <c r="G381" s="140">
        <v>23.43582</v>
      </c>
      <c r="H381" s="137" t="s">
        <v>647</v>
      </c>
      <c r="I381" s="72" t="s">
        <v>62</v>
      </c>
      <c r="J381" s="72">
        <v>3211</v>
      </c>
      <c r="K381" s="92" t="str">
        <f>TEXT(DataAct_tbl[[#This Row],[DATE]],"MMM")</f>
        <v>Jul</v>
      </c>
      <c r="L381">
        <f>COUNTIF($H$6:H381,H381)</f>
        <v>1</v>
      </c>
      <c r="M381" s="68" t="str">
        <f>IF(AND(ISNA(VLOOKUP(DataAct_tbl[[#This Row],[BG CODE]],DataOB[Budget code],1,0)),DataAct_tbl[[#This Row],[Check Dub]]=1),"NEW","")</f>
        <v/>
      </c>
      <c r="N381" s="68" t="b">
        <f>AND(DataAct_tbl[[#This Row],[DATE]]&gt;=FirstDate,DataAct_tbl[[#This Row],[DATE]]&lt;=LastDate)</f>
        <v>1</v>
      </c>
    </row>
    <row r="382" spans="2:14" ht="14.4">
      <c r="B382" s="77">
        <v>45504</v>
      </c>
      <c r="C382" s="118" t="s">
        <v>648</v>
      </c>
      <c r="D382" s="68" t="s">
        <v>649</v>
      </c>
      <c r="E382" s="131"/>
      <c r="F382" s="132"/>
      <c r="G382" s="140">
        <v>3.9152100000000001</v>
      </c>
      <c r="H382" s="137" t="s">
        <v>608</v>
      </c>
      <c r="I382" s="72" t="s">
        <v>62</v>
      </c>
      <c r="J382" s="72">
        <v>8311</v>
      </c>
      <c r="K382" s="92" t="str">
        <f>TEXT(DataAct_tbl[[#This Row],[DATE]],"MMM")</f>
        <v>Jul</v>
      </c>
      <c r="L382">
        <f>COUNTIF($H$6:H382,H382)</f>
        <v>5</v>
      </c>
      <c r="M382" s="68" t="str">
        <f>IF(AND(ISNA(VLOOKUP(DataAct_tbl[[#This Row],[BG CODE]],DataOB[Budget code],1,0)),DataAct_tbl[[#This Row],[Check Dub]]=1),"NEW","")</f>
        <v/>
      </c>
      <c r="N382" s="68" t="b">
        <f>AND(DataAct_tbl[[#This Row],[DATE]]&gt;=FirstDate,DataAct_tbl[[#This Row],[DATE]]&lt;=LastDate)</f>
        <v>1</v>
      </c>
    </row>
    <row r="383" spans="2:14" ht="14.4">
      <c r="B383" s="77">
        <v>45504</v>
      </c>
      <c r="C383" s="118" t="s">
        <v>648</v>
      </c>
      <c r="D383" s="68" t="s">
        <v>650</v>
      </c>
      <c r="E383" s="131"/>
      <c r="F383" s="132"/>
      <c r="G383" s="140">
        <v>3.9152100000000001</v>
      </c>
      <c r="H383" s="137" t="s">
        <v>608</v>
      </c>
      <c r="I383" s="72" t="s">
        <v>62</v>
      </c>
      <c r="J383" s="72">
        <v>8311</v>
      </c>
      <c r="K383" s="92" t="str">
        <f>TEXT(DataAct_tbl[[#This Row],[DATE]],"MMM")</f>
        <v>Jul</v>
      </c>
      <c r="L383">
        <f>COUNTIF($H$6:H383,H383)</f>
        <v>6</v>
      </c>
      <c r="M383" s="68" t="str">
        <f>IF(AND(ISNA(VLOOKUP(DataAct_tbl[[#This Row],[BG CODE]],DataOB[Budget code],1,0)),DataAct_tbl[[#This Row],[Check Dub]]=1),"NEW","")</f>
        <v/>
      </c>
      <c r="N383" s="68" t="b">
        <f>AND(DataAct_tbl[[#This Row],[DATE]]&gt;=FirstDate,DataAct_tbl[[#This Row],[DATE]]&lt;=LastDate)</f>
        <v>1</v>
      </c>
    </row>
    <row r="384" spans="2:14" ht="14.4">
      <c r="B384" s="77">
        <v>45504</v>
      </c>
      <c r="C384" s="118" t="s">
        <v>648</v>
      </c>
      <c r="D384" s="68" t="s">
        <v>651</v>
      </c>
      <c r="E384" s="131"/>
      <c r="F384" s="132"/>
      <c r="G384" s="140">
        <v>3.9152100000000001</v>
      </c>
      <c r="H384" s="137" t="s">
        <v>608</v>
      </c>
      <c r="I384" s="72" t="s">
        <v>62</v>
      </c>
      <c r="J384" s="72">
        <v>8311</v>
      </c>
      <c r="K384" s="92" t="str">
        <f>TEXT(DataAct_tbl[[#This Row],[DATE]],"MMM")</f>
        <v>Jul</v>
      </c>
      <c r="L384">
        <f>COUNTIF($H$6:H384,H384)</f>
        <v>7</v>
      </c>
      <c r="M384" s="68" t="str">
        <f>IF(AND(ISNA(VLOOKUP(DataAct_tbl[[#This Row],[BG CODE]],DataOB[Budget code],1,0)),DataAct_tbl[[#This Row],[Check Dub]]=1),"NEW","")</f>
        <v/>
      </c>
      <c r="N384" s="68" t="b">
        <f>AND(DataAct_tbl[[#This Row],[DATE]]&gt;=FirstDate,DataAct_tbl[[#This Row],[DATE]]&lt;=LastDate)</f>
        <v>1</v>
      </c>
    </row>
    <row r="385" spans="2:14" ht="14.4">
      <c r="B385" s="77">
        <v>45504</v>
      </c>
      <c r="C385" s="118" t="s">
        <v>648</v>
      </c>
      <c r="D385" s="68" t="s">
        <v>652</v>
      </c>
      <c r="E385" s="131"/>
      <c r="F385" s="132"/>
      <c r="G385" s="140">
        <v>3.9152100000000001</v>
      </c>
      <c r="H385" s="137" t="s">
        <v>608</v>
      </c>
      <c r="I385" s="72" t="s">
        <v>62</v>
      </c>
      <c r="J385" s="72">
        <v>8311</v>
      </c>
      <c r="K385" s="92" t="str">
        <f>TEXT(DataAct_tbl[[#This Row],[DATE]],"MMM")</f>
        <v>Jul</v>
      </c>
      <c r="L385">
        <f>COUNTIF($H$6:H385,H385)</f>
        <v>8</v>
      </c>
      <c r="M385" s="68" t="str">
        <f>IF(AND(ISNA(VLOOKUP(DataAct_tbl[[#This Row],[BG CODE]],DataOB[Budget code],1,0)),DataAct_tbl[[#This Row],[Check Dub]]=1),"NEW","")</f>
        <v/>
      </c>
      <c r="N385" s="68" t="b">
        <f>AND(DataAct_tbl[[#This Row],[DATE]]&gt;=FirstDate,DataAct_tbl[[#This Row],[DATE]]&lt;=LastDate)</f>
        <v>1</v>
      </c>
    </row>
    <row r="386" spans="2:14" ht="14.4">
      <c r="B386" s="77">
        <v>45504</v>
      </c>
      <c r="C386" s="118" t="s">
        <v>653</v>
      </c>
      <c r="D386" s="68" t="s">
        <v>654</v>
      </c>
      <c r="E386" s="131"/>
      <c r="F386" s="132"/>
      <c r="G386" s="140">
        <v>1.4152100000000001</v>
      </c>
      <c r="H386" s="137" t="s">
        <v>99</v>
      </c>
      <c r="I386" s="72" t="s">
        <v>62</v>
      </c>
      <c r="J386" s="72">
        <v>8111</v>
      </c>
      <c r="K386" s="92" t="str">
        <f>TEXT(DataAct_tbl[[#This Row],[DATE]],"MMM")</f>
        <v>Jul</v>
      </c>
      <c r="L386">
        <f>COUNTIF($H$6:H386,H386)</f>
        <v>37</v>
      </c>
      <c r="M386" s="68" t="str">
        <f>IF(AND(ISNA(VLOOKUP(DataAct_tbl[[#This Row],[BG CODE]],DataOB[Budget code],1,0)),DataAct_tbl[[#This Row],[Check Dub]]=1),"NEW","")</f>
        <v/>
      </c>
      <c r="N386" s="68" t="b">
        <f>AND(DataAct_tbl[[#This Row],[DATE]]&gt;=FirstDate,DataAct_tbl[[#This Row],[DATE]]&lt;=LastDate)</f>
        <v>1</v>
      </c>
    </row>
    <row r="387" spans="2:14" ht="14.4">
      <c r="B387" s="77">
        <v>45504</v>
      </c>
      <c r="C387" s="118" t="s">
        <v>653</v>
      </c>
      <c r="D387" s="68" t="s">
        <v>655</v>
      </c>
      <c r="E387" s="131"/>
      <c r="F387" s="132"/>
      <c r="G387" s="140">
        <v>1.4152100000000001</v>
      </c>
      <c r="H387" s="137" t="s">
        <v>99</v>
      </c>
      <c r="I387" s="72" t="s">
        <v>62</v>
      </c>
      <c r="J387" s="72">
        <v>8111</v>
      </c>
      <c r="K387" s="92" t="str">
        <f>TEXT(DataAct_tbl[[#This Row],[DATE]],"MMM")</f>
        <v>Jul</v>
      </c>
      <c r="L387">
        <f>COUNTIF($H$6:H387,H387)</f>
        <v>38</v>
      </c>
      <c r="M387" s="68" t="str">
        <f>IF(AND(ISNA(VLOOKUP(DataAct_tbl[[#This Row],[BG CODE]],DataOB[Budget code],1,0)),DataAct_tbl[[#This Row],[Check Dub]]=1),"NEW","")</f>
        <v/>
      </c>
      <c r="N387" s="68" t="b">
        <f>AND(DataAct_tbl[[#This Row],[DATE]]&gt;=FirstDate,DataAct_tbl[[#This Row],[DATE]]&lt;=LastDate)</f>
        <v>1</v>
      </c>
    </row>
    <row r="388" spans="2:14" ht="14.4">
      <c r="B388" s="77">
        <v>45504</v>
      </c>
      <c r="C388" s="118" t="s">
        <v>653</v>
      </c>
      <c r="D388" s="68" t="s">
        <v>656</v>
      </c>
      <c r="E388" s="131"/>
      <c r="F388" s="132"/>
      <c r="G388" s="140">
        <v>1.4152100000000001</v>
      </c>
      <c r="H388" s="137" t="s">
        <v>99</v>
      </c>
      <c r="I388" s="72" t="s">
        <v>62</v>
      </c>
      <c r="J388" s="72">
        <v>8111</v>
      </c>
      <c r="K388" s="92" t="str">
        <f>TEXT(DataAct_tbl[[#This Row],[DATE]],"MMM")</f>
        <v>Jul</v>
      </c>
      <c r="L388">
        <f>COUNTIF($H$6:H388,H388)</f>
        <v>39</v>
      </c>
      <c r="M388" s="68" t="str">
        <f>IF(AND(ISNA(VLOOKUP(DataAct_tbl[[#This Row],[BG CODE]],DataOB[Budget code],1,0)),DataAct_tbl[[#This Row],[Check Dub]]=1),"NEW","")</f>
        <v/>
      </c>
      <c r="N388" s="68" t="b">
        <f>AND(DataAct_tbl[[#This Row],[DATE]]&gt;=FirstDate,DataAct_tbl[[#This Row],[DATE]]&lt;=LastDate)</f>
        <v>1</v>
      </c>
    </row>
    <row r="389" spans="2:14" ht="14.4">
      <c r="B389" s="77">
        <v>45504</v>
      </c>
      <c r="C389" s="118" t="s">
        <v>653</v>
      </c>
      <c r="D389" s="68" t="s">
        <v>657</v>
      </c>
      <c r="E389" s="131"/>
      <c r="F389" s="132"/>
      <c r="G389" s="140">
        <v>1.4152100000000001</v>
      </c>
      <c r="H389" s="137" t="s">
        <v>99</v>
      </c>
      <c r="I389" s="72" t="s">
        <v>62</v>
      </c>
      <c r="J389" s="72">
        <v>8111</v>
      </c>
      <c r="K389" s="92" t="str">
        <f>TEXT(DataAct_tbl[[#This Row],[DATE]],"MMM")</f>
        <v>Jul</v>
      </c>
      <c r="L389">
        <f>COUNTIF($H$6:H389,H389)</f>
        <v>40</v>
      </c>
      <c r="M389" s="68" t="str">
        <f>IF(AND(ISNA(VLOOKUP(DataAct_tbl[[#This Row],[BG CODE]],DataOB[Budget code],1,0)),DataAct_tbl[[#This Row],[Check Dub]]=1),"NEW","")</f>
        <v/>
      </c>
      <c r="N389" s="68" t="b">
        <f>AND(DataAct_tbl[[#This Row],[DATE]]&gt;=FirstDate,DataAct_tbl[[#This Row],[DATE]]&lt;=LastDate)</f>
        <v>1</v>
      </c>
    </row>
    <row r="390" spans="2:14" ht="14.4">
      <c r="B390" s="77">
        <v>45504</v>
      </c>
      <c r="C390" s="118" t="s">
        <v>653</v>
      </c>
      <c r="D390" s="68" t="s">
        <v>658</v>
      </c>
      <c r="E390" s="131"/>
      <c r="F390" s="132"/>
      <c r="G390" s="140">
        <v>1.4152100000000001</v>
      </c>
      <c r="H390" s="137" t="s">
        <v>99</v>
      </c>
      <c r="I390" s="72" t="s">
        <v>62</v>
      </c>
      <c r="J390" s="72">
        <v>8111</v>
      </c>
      <c r="K390" s="92" t="str">
        <f>TEXT(DataAct_tbl[[#This Row],[DATE]],"MMM")</f>
        <v>Jul</v>
      </c>
      <c r="L390">
        <f>COUNTIF($H$6:H390,H390)</f>
        <v>41</v>
      </c>
      <c r="M390" s="68" t="str">
        <f>IF(AND(ISNA(VLOOKUP(DataAct_tbl[[#This Row],[BG CODE]],DataOB[Budget code],1,0)),DataAct_tbl[[#This Row],[Check Dub]]=1),"NEW","")</f>
        <v/>
      </c>
      <c r="N390" s="68" t="b">
        <f>AND(DataAct_tbl[[#This Row],[DATE]]&gt;=FirstDate,DataAct_tbl[[#This Row],[DATE]]&lt;=LastDate)</f>
        <v>1</v>
      </c>
    </row>
    <row r="391" spans="2:14" ht="14.4">
      <c r="B391" s="77">
        <v>45504</v>
      </c>
      <c r="C391" s="118" t="s">
        <v>653</v>
      </c>
      <c r="D391" s="68" t="s">
        <v>659</v>
      </c>
      <c r="E391" s="131"/>
      <c r="F391" s="132"/>
      <c r="G391" s="140">
        <v>1.4152100000000001</v>
      </c>
      <c r="H391" s="137" t="s">
        <v>99</v>
      </c>
      <c r="I391" s="72" t="s">
        <v>62</v>
      </c>
      <c r="J391" s="72">
        <v>8111</v>
      </c>
      <c r="K391" s="92" t="str">
        <f>TEXT(DataAct_tbl[[#This Row],[DATE]],"MMM")</f>
        <v>Jul</v>
      </c>
      <c r="L391">
        <f>COUNTIF($H$6:H391,H391)</f>
        <v>42</v>
      </c>
      <c r="M391" s="68" t="str">
        <f>IF(AND(ISNA(VLOOKUP(DataAct_tbl[[#This Row],[BG CODE]],DataOB[Budget code],1,0)),DataAct_tbl[[#This Row],[Check Dub]]=1),"NEW","")</f>
        <v/>
      </c>
      <c r="N391" s="68" t="b">
        <f>AND(DataAct_tbl[[#This Row],[DATE]]&gt;=FirstDate,DataAct_tbl[[#This Row],[DATE]]&lt;=LastDate)</f>
        <v>1</v>
      </c>
    </row>
    <row r="392" spans="2:14" ht="14.4">
      <c r="B392" s="77">
        <v>45504</v>
      </c>
      <c r="C392" s="118" t="s">
        <v>660</v>
      </c>
      <c r="D392" s="68" t="s">
        <v>661</v>
      </c>
      <c r="E392" s="131"/>
      <c r="F392" s="132"/>
      <c r="G392" s="140">
        <v>24.5</v>
      </c>
      <c r="H392" s="137" t="s">
        <v>614</v>
      </c>
      <c r="I392" s="72" t="s">
        <v>62</v>
      </c>
      <c r="J392" s="72">
        <v>1213</v>
      </c>
      <c r="K392" s="92" t="str">
        <f>TEXT(DataAct_tbl[[#This Row],[DATE]],"MMM")</f>
        <v>Jul</v>
      </c>
      <c r="L392">
        <f>COUNTIF($H$6:H392,H392)</f>
        <v>2</v>
      </c>
      <c r="M392" s="68" t="str">
        <f>IF(AND(ISNA(VLOOKUP(DataAct_tbl[[#This Row],[BG CODE]],DataOB[Budget code],1,0)),DataAct_tbl[[#This Row],[Check Dub]]=1),"NEW","")</f>
        <v/>
      </c>
      <c r="N392" s="68" t="b">
        <f>AND(DataAct_tbl[[#This Row],[DATE]]&gt;=FirstDate,DataAct_tbl[[#This Row],[DATE]]&lt;=LastDate)</f>
        <v>1</v>
      </c>
    </row>
    <row r="393" spans="2:14" ht="14.4">
      <c r="B393" s="77">
        <v>45504</v>
      </c>
      <c r="C393" s="118" t="s">
        <v>662</v>
      </c>
      <c r="D393" s="68" t="s">
        <v>663</v>
      </c>
      <c r="E393" s="131"/>
      <c r="F393" s="132"/>
      <c r="G393" s="140">
        <v>136.02766</v>
      </c>
      <c r="H393" s="72" t="s">
        <v>664</v>
      </c>
      <c r="I393" s="72" t="s">
        <v>62</v>
      </c>
      <c r="J393" s="72">
        <v>8512</v>
      </c>
      <c r="K393" s="92" t="str">
        <f>TEXT(DataAct_tbl[[#This Row],[DATE]],"MMM")</f>
        <v>Jul</v>
      </c>
      <c r="L393">
        <f>COUNTIF($H$6:H393,H393)</f>
        <v>1</v>
      </c>
      <c r="M393" s="68" t="str">
        <f>IF(AND(ISNA(VLOOKUP(DataAct_tbl[[#This Row],[BG CODE]],DataOB[Budget code],1,0)),DataAct_tbl[[#This Row],[Check Dub]]=1),"NEW","")</f>
        <v/>
      </c>
      <c r="N393" s="68" t="b">
        <f>AND(DataAct_tbl[[#This Row],[DATE]]&gt;=FirstDate,DataAct_tbl[[#This Row],[DATE]]&lt;=LastDate)</f>
        <v>1</v>
      </c>
    </row>
    <row r="394" spans="2:14" ht="14.4">
      <c r="B394" s="77">
        <v>45504</v>
      </c>
      <c r="C394" s="118" t="s">
        <v>665</v>
      </c>
      <c r="D394" s="68" t="s">
        <v>666</v>
      </c>
      <c r="E394" s="131"/>
      <c r="F394" s="132"/>
      <c r="G394" s="140">
        <v>1.4334100000000001</v>
      </c>
      <c r="H394" s="72" t="s">
        <v>632</v>
      </c>
      <c r="I394" s="72" t="s">
        <v>102</v>
      </c>
      <c r="J394" s="72">
        <v>8311</v>
      </c>
      <c r="K394" s="92" t="str">
        <f>TEXT(DataAct_tbl[[#This Row],[DATE]],"MMM")</f>
        <v>Jul</v>
      </c>
      <c r="L394">
        <f>COUNTIF($H$6:H394,H394)</f>
        <v>2</v>
      </c>
      <c r="M394" s="68" t="str">
        <f>IF(AND(ISNA(VLOOKUP(DataAct_tbl[[#This Row],[BG CODE]],DataOB[Budget code],1,0)),DataAct_tbl[[#This Row],[Check Dub]]=1),"NEW","")</f>
        <v/>
      </c>
      <c r="N394" s="68" t="b">
        <f>AND(DataAct_tbl[[#This Row],[DATE]]&gt;=FirstDate,DataAct_tbl[[#This Row],[DATE]]&lt;=LastDate)</f>
        <v>1</v>
      </c>
    </row>
    <row r="395" spans="2:14" ht="14.4">
      <c r="B395" s="77">
        <v>45504</v>
      </c>
      <c r="C395" s="118" t="s">
        <v>665</v>
      </c>
      <c r="D395" s="68" t="s">
        <v>666</v>
      </c>
      <c r="E395" s="131"/>
      <c r="F395" s="132"/>
      <c r="G395" s="140">
        <v>1.4334100000000001</v>
      </c>
      <c r="H395" s="137" t="s">
        <v>633</v>
      </c>
      <c r="I395" s="72" t="s">
        <v>102</v>
      </c>
      <c r="J395" s="72">
        <v>8311</v>
      </c>
      <c r="K395" s="92" t="str">
        <f>TEXT(DataAct_tbl[[#This Row],[DATE]],"MMM")</f>
        <v>Jul</v>
      </c>
      <c r="L395">
        <f>COUNTIF($H$6:H395,H395)</f>
        <v>2</v>
      </c>
      <c r="M395" s="68" t="str">
        <f>IF(AND(ISNA(VLOOKUP(DataAct_tbl[[#This Row],[BG CODE]],DataOB[Budget code],1,0)),DataAct_tbl[[#This Row],[Check Dub]]=1),"NEW","")</f>
        <v/>
      </c>
      <c r="N395" s="68" t="b">
        <f>AND(DataAct_tbl[[#This Row],[DATE]]&gt;=FirstDate,DataAct_tbl[[#This Row],[DATE]]&lt;=LastDate)</f>
        <v>1</v>
      </c>
    </row>
    <row r="396" spans="2:14" ht="14.4">
      <c r="B396" s="77">
        <v>45504</v>
      </c>
      <c r="C396" s="118" t="s">
        <v>665</v>
      </c>
      <c r="D396" s="68" t="s">
        <v>666</v>
      </c>
      <c r="E396" s="131"/>
      <c r="F396" s="132"/>
      <c r="G396" s="140">
        <v>1.4334100000000001</v>
      </c>
      <c r="H396" s="137" t="s">
        <v>634</v>
      </c>
      <c r="I396" s="72" t="s">
        <v>102</v>
      </c>
      <c r="J396" s="72">
        <v>8311</v>
      </c>
      <c r="K396" s="92" t="str">
        <f>TEXT(DataAct_tbl[[#This Row],[DATE]],"MMM")</f>
        <v>Jul</v>
      </c>
      <c r="L396">
        <f>COUNTIF($H$6:H396,H396)</f>
        <v>3</v>
      </c>
      <c r="M396" s="68" t="str">
        <f>IF(AND(ISNA(VLOOKUP(DataAct_tbl[[#This Row],[BG CODE]],DataOB[Budget code],1,0)),DataAct_tbl[[#This Row],[Check Dub]]=1),"NEW","")</f>
        <v/>
      </c>
      <c r="N396" s="68" t="b">
        <f>AND(DataAct_tbl[[#This Row],[DATE]]&gt;=FirstDate,DataAct_tbl[[#This Row],[DATE]]&lt;=LastDate)</f>
        <v>1</v>
      </c>
    </row>
    <row r="397" spans="2:14" ht="14.4">
      <c r="B397" s="77">
        <v>45504</v>
      </c>
      <c r="C397" s="118" t="s">
        <v>665</v>
      </c>
      <c r="D397" s="68" t="s">
        <v>666</v>
      </c>
      <c r="E397" s="131"/>
      <c r="F397" s="132"/>
      <c r="G397" s="140">
        <v>1.4334</v>
      </c>
      <c r="H397" s="137" t="s">
        <v>635</v>
      </c>
      <c r="I397" s="72" t="s">
        <v>102</v>
      </c>
      <c r="J397" s="72">
        <v>8311</v>
      </c>
      <c r="K397" s="92" t="str">
        <f>TEXT(DataAct_tbl[[#This Row],[DATE]],"MMM")</f>
        <v>Jul</v>
      </c>
      <c r="L397">
        <f>COUNTIF($H$6:H397,H397)</f>
        <v>2</v>
      </c>
      <c r="M397" s="68" t="str">
        <f>IF(AND(ISNA(VLOOKUP(DataAct_tbl[[#This Row],[BG CODE]],DataOB[Budget code],1,0)),DataAct_tbl[[#This Row],[Check Dub]]=1),"NEW","")</f>
        <v/>
      </c>
      <c r="N397" s="68" t="b">
        <f>AND(DataAct_tbl[[#This Row],[DATE]]&gt;=FirstDate,DataAct_tbl[[#This Row],[DATE]]&lt;=LastDate)</f>
        <v>1</v>
      </c>
    </row>
    <row r="398" spans="2:14" ht="14.4">
      <c r="B398" s="77">
        <v>45504</v>
      </c>
      <c r="C398" s="118" t="s">
        <v>665</v>
      </c>
      <c r="D398" s="68" t="s">
        <v>666</v>
      </c>
      <c r="E398" s="131"/>
      <c r="F398" s="132"/>
      <c r="G398" s="140">
        <v>1.4334</v>
      </c>
      <c r="H398" s="137" t="s">
        <v>636</v>
      </c>
      <c r="I398" s="72" t="s">
        <v>102</v>
      </c>
      <c r="J398" s="72">
        <v>8311</v>
      </c>
      <c r="K398" s="92" t="str">
        <f>TEXT(DataAct_tbl[[#This Row],[DATE]],"MMM")</f>
        <v>Jul</v>
      </c>
      <c r="L398">
        <f>COUNTIF($H$6:H398,H398)</f>
        <v>2</v>
      </c>
      <c r="M398" s="68" t="str">
        <f>IF(AND(ISNA(VLOOKUP(DataAct_tbl[[#This Row],[BG CODE]],DataOB[Budget code],1,0)),DataAct_tbl[[#This Row],[Check Dub]]=1),"NEW","")</f>
        <v/>
      </c>
      <c r="N398" s="68" t="b">
        <f>AND(DataAct_tbl[[#This Row],[DATE]]&gt;=FirstDate,DataAct_tbl[[#This Row],[DATE]]&lt;=LastDate)</f>
        <v>1</v>
      </c>
    </row>
    <row r="399" spans="2:14" ht="14.4">
      <c r="B399" s="77">
        <v>45504</v>
      </c>
      <c r="C399" s="118" t="s">
        <v>665</v>
      </c>
      <c r="D399" s="68" t="s">
        <v>667</v>
      </c>
      <c r="E399" s="131"/>
      <c r="F399" s="132"/>
      <c r="G399" s="140">
        <v>3.9816799999999999</v>
      </c>
      <c r="H399" s="137" t="s">
        <v>538</v>
      </c>
      <c r="I399" s="72" t="s">
        <v>102</v>
      </c>
      <c r="J399" s="72">
        <v>8311</v>
      </c>
      <c r="K399" s="92" t="str">
        <f>TEXT(DataAct_tbl[[#This Row],[DATE]],"MMM")</f>
        <v>Jul</v>
      </c>
      <c r="L399">
        <f>COUNTIF($H$6:H399,H399)</f>
        <v>6</v>
      </c>
      <c r="M399" s="68" t="str">
        <f>IF(AND(ISNA(VLOOKUP(DataAct_tbl[[#This Row],[BG CODE]],DataOB[Budget code],1,0)),DataAct_tbl[[#This Row],[Check Dub]]=1),"NEW","")</f>
        <v/>
      </c>
      <c r="N399" s="68" t="b">
        <f>AND(DataAct_tbl[[#This Row],[DATE]]&gt;=FirstDate,DataAct_tbl[[#This Row],[DATE]]&lt;=LastDate)</f>
        <v>1</v>
      </c>
    </row>
    <row r="400" spans="2:14" ht="14.4">
      <c r="B400" s="77">
        <v>45504</v>
      </c>
      <c r="C400" s="118" t="s">
        <v>668</v>
      </c>
      <c r="D400" s="68" t="s">
        <v>669</v>
      </c>
      <c r="E400" s="131"/>
      <c r="F400" s="132"/>
      <c r="G400" s="140">
        <v>3.7100000000000001E-2</v>
      </c>
      <c r="H400" s="137" t="s">
        <v>670</v>
      </c>
      <c r="I400" s="72" t="s">
        <v>62</v>
      </c>
      <c r="J400" s="72">
        <v>1511</v>
      </c>
      <c r="K400" s="92" t="str">
        <f>TEXT(DataAct_tbl[[#This Row],[DATE]],"MMM")</f>
        <v>Jul</v>
      </c>
      <c r="L400">
        <f>COUNTIF($H$6:H400,H400)</f>
        <v>1</v>
      </c>
      <c r="M400" s="68" t="str">
        <f>IF(AND(ISNA(VLOOKUP(DataAct_tbl[[#This Row],[BG CODE]],DataOB[Budget code],1,0)),DataAct_tbl[[#This Row],[Check Dub]]=1),"NEW","")</f>
        <v/>
      </c>
      <c r="N400" s="68" t="b">
        <f>AND(DataAct_tbl[[#This Row],[DATE]]&gt;=FirstDate,DataAct_tbl[[#This Row],[DATE]]&lt;=LastDate)</f>
        <v>1</v>
      </c>
    </row>
    <row r="401" spans="2:14" ht="14.4">
      <c r="B401" s="77">
        <v>45504</v>
      </c>
      <c r="C401" s="118" t="s">
        <v>671</v>
      </c>
      <c r="D401" s="68" t="s">
        <v>672</v>
      </c>
      <c r="E401" s="131"/>
      <c r="F401" s="132"/>
      <c r="G401" s="140">
        <v>8.6580000000000004E-2</v>
      </c>
      <c r="H401" s="137" t="s">
        <v>670</v>
      </c>
      <c r="I401" s="72" t="s">
        <v>62</v>
      </c>
      <c r="J401" s="72">
        <v>1511</v>
      </c>
      <c r="K401" s="92" t="str">
        <f>TEXT(DataAct_tbl[[#This Row],[DATE]],"MMM")</f>
        <v>Jul</v>
      </c>
      <c r="L401">
        <f>COUNTIF($H$6:H401,H401)</f>
        <v>2</v>
      </c>
      <c r="M401" s="68" t="str">
        <f>IF(AND(ISNA(VLOOKUP(DataAct_tbl[[#This Row],[BG CODE]],DataOB[Budget code],1,0)),DataAct_tbl[[#This Row],[Check Dub]]=1),"NEW","")</f>
        <v/>
      </c>
      <c r="N401" s="68" t="b">
        <f>AND(DataAct_tbl[[#This Row],[DATE]]&gt;=FirstDate,DataAct_tbl[[#This Row],[DATE]]&lt;=LastDate)</f>
        <v>1</v>
      </c>
    </row>
    <row r="402" spans="2:14" ht="14.4">
      <c r="B402" s="77">
        <v>45503</v>
      </c>
      <c r="C402" s="118" t="s">
        <v>673</v>
      </c>
      <c r="D402" s="68" t="s">
        <v>674</v>
      </c>
      <c r="E402" s="131"/>
      <c r="F402" s="132"/>
      <c r="G402" s="140">
        <v>9.0299999999999998E-3</v>
      </c>
      <c r="H402" s="137" t="s">
        <v>99</v>
      </c>
      <c r="I402" s="72" t="s">
        <v>102</v>
      </c>
      <c r="J402" s="72">
        <v>8111</v>
      </c>
      <c r="K402" s="92" t="str">
        <f>TEXT(DataAct_tbl[[#This Row],[DATE]],"MMM")</f>
        <v>Jul</v>
      </c>
      <c r="L402">
        <f>COUNTIF($H$6:H402,H402)</f>
        <v>43</v>
      </c>
      <c r="M402" s="68" t="str">
        <f>IF(AND(ISNA(VLOOKUP(DataAct_tbl[[#This Row],[BG CODE]],DataOB[Budget code],1,0)),DataAct_tbl[[#This Row],[Check Dub]]=1),"NEW","")</f>
        <v/>
      </c>
      <c r="N402" s="68" t="b">
        <f>AND(DataAct_tbl[[#This Row],[DATE]]&gt;=FirstDate,DataAct_tbl[[#This Row],[DATE]]&lt;=LastDate)</f>
        <v>1</v>
      </c>
    </row>
    <row r="403" spans="2:14" ht="14.4">
      <c r="B403" s="77">
        <v>45503</v>
      </c>
      <c r="C403" s="118" t="s">
        <v>673</v>
      </c>
      <c r="D403" s="68" t="s">
        <v>675</v>
      </c>
      <c r="E403" s="131"/>
      <c r="F403" s="132"/>
      <c r="G403" s="140">
        <v>9.0200000000000002E-3</v>
      </c>
      <c r="H403" s="137" t="s">
        <v>99</v>
      </c>
      <c r="I403" s="72" t="s">
        <v>102</v>
      </c>
      <c r="J403" s="72">
        <v>8111</v>
      </c>
      <c r="K403" s="92" t="str">
        <f>TEXT(DataAct_tbl[[#This Row],[DATE]],"MMM")</f>
        <v>Jul</v>
      </c>
      <c r="L403">
        <f>COUNTIF($H$6:H403,H403)</f>
        <v>44</v>
      </c>
      <c r="M403" s="68" t="str">
        <f>IF(AND(ISNA(VLOOKUP(DataAct_tbl[[#This Row],[BG CODE]],DataOB[Budget code],1,0)),DataAct_tbl[[#This Row],[Check Dub]]=1),"NEW","")</f>
        <v/>
      </c>
      <c r="N403" s="68" t="b">
        <f>AND(DataAct_tbl[[#This Row],[DATE]]&gt;=FirstDate,DataAct_tbl[[#This Row],[DATE]]&lt;=LastDate)</f>
        <v>1</v>
      </c>
    </row>
    <row r="404" spans="2:14" ht="14.4">
      <c r="B404" s="77">
        <v>45503</v>
      </c>
      <c r="C404" s="118" t="s">
        <v>673</v>
      </c>
      <c r="D404" s="68" t="s">
        <v>676</v>
      </c>
      <c r="E404" s="131"/>
      <c r="F404" s="132"/>
      <c r="G404" s="140">
        <v>9.0200000000000002E-3</v>
      </c>
      <c r="H404" s="137" t="s">
        <v>99</v>
      </c>
      <c r="I404" s="72" t="s">
        <v>102</v>
      </c>
      <c r="J404" s="72">
        <v>8111</v>
      </c>
      <c r="K404" s="92" t="str">
        <f>TEXT(DataAct_tbl[[#This Row],[DATE]],"MMM")</f>
        <v>Jul</v>
      </c>
      <c r="L404">
        <f>COUNTIF($H$6:H404,H404)</f>
        <v>45</v>
      </c>
      <c r="M404" s="68" t="str">
        <f>IF(AND(ISNA(VLOOKUP(DataAct_tbl[[#This Row],[BG CODE]],DataOB[Budget code],1,0)),DataAct_tbl[[#This Row],[Check Dub]]=1),"NEW","")</f>
        <v/>
      </c>
      <c r="N404" s="68" t="b">
        <f>AND(DataAct_tbl[[#This Row],[DATE]]&gt;=FirstDate,DataAct_tbl[[#This Row],[DATE]]&lt;=LastDate)</f>
        <v>1</v>
      </c>
    </row>
    <row r="405" spans="2:14" ht="14.4">
      <c r="B405" s="77">
        <v>45503</v>
      </c>
      <c r="C405" s="118" t="s">
        <v>673</v>
      </c>
      <c r="D405" s="150" t="s">
        <v>677</v>
      </c>
      <c r="E405" s="131"/>
      <c r="F405" s="132"/>
      <c r="G405" s="140">
        <v>9.0200000000000002E-3</v>
      </c>
      <c r="H405" s="137" t="s">
        <v>99</v>
      </c>
      <c r="I405" s="72" t="s">
        <v>102</v>
      </c>
      <c r="J405" s="72">
        <v>8111</v>
      </c>
      <c r="K405" s="92" t="str">
        <f>TEXT(DataAct_tbl[[#This Row],[DATE]],"MMM")</f>
        <v>Jul</v>
      </c>
      <c r="L405">
        <f>COUNTIF($H$6:H405,H405)</f>
        <v>46</v>
      </c>
      <c r="M405" s="68" t="str">
        <f>IF(AND(ISNA(VLOOKUP(DataAct_tbl[[#This Row],[BG CODE]],DataOB[Budget code],1,0)),DataAct_tbl[[#This Row],[Check Dub]]=1),"NEW","")</f>
        <v/>
      </c>
      <c r="N405" s="68" t="b">
        <f>AND(DataAct_tbl[[#This Row],[DATE]]&gt;=FirstDate,DataAct_tbl[[#This Row],[DATE]]&lt;=LastDate)</f>
        <v>1</v>
      </c>
    </row>
    <row r="406" spans="2:14" ht="14.4">
      <c r="B406" s="77">
        <v>45503</v>
      </c>
      <c r="C406" s="118" t="s">
        <v>673</v>
      </c>
      <c r="D406" s="150" t="s">
        <v>677</v>
      </c>
      <c r="E406" s="131"/>
      <c r="F406" s="132"/>
      <c r="G406" s="140">
        <v>9.0200000000000002E-3</v>
      </c>
      <c r="H406" s="137" t="s">
        <v>99</v>
      </c>
      <c r="I406" s="72" t="s">
        <v>102</v>
      </c>
      <c r="J406" s="72">
        <v>8111</v>
      </c>
      <c r="K406" s="92" t="str">
        <f>TEXT(DataAct_tbl[[#This Row],[DATE]],"MMM")</f>
        <v>Jul</v>
      </c>
      <c r="L406">
        <f>COUNTIF($H$6:H406,H406)</f>
        <v>47</v>
      </c>
      <c r="M406" s="68" t="str">
        <f>IF(AND(ISNA(VLOOKUP(DataAct_tbl[[#This Row],[BG CODE]],DataOB[Budget code],1,0)),DataAct_tbl[[#This Row],[Check Dub]]=1),"NEW","")</f>
        <v/>
      </c>
      <c r="N406" s="68" t="b">
        <f>AND(DataAct_tbl[[#This Row],[DATE]]&gt;=FirstDate,DataAct_tbl[[#This Row],[DATE]]&lt;=LastDate)</f>
        <v>1</v>
      </c>
    </row>
    <row r="407" spans="2:14" ht="14.4">
      <c r="B407" s="77">
        <v>45503</v>
      </c>
      <c r="C407" s="118" t="s">
        <v>673</v>
      </c>
      <c r="D407" s="150" t="s">
        <v>678</v>
      </c>
      <c r="E407" s="131"/>
      <c r="F407" s="132"/>
      <c r="G407" s="140">
        <v>9.0200000000000002E-3</v>
      </c>
      <c r="H407" s="137" t="s">
        <v>99</v>
      </c>
      <c r="I407" s="72" t="s">
        <v>102</v>
      </c>
      <c r="J407" s="72">
        <v>8111</v>
      </c>
      <c r="K407" s="92" t="str">
        <f>TEXT(DataAct_tbl[[#This Row],[DATE]],"MMM")</f>
        <v>Jul</v>
      </c>
      <c r="L407">
        <f>COUNTIF($H$6:H407,H407)</f>
        <v>48</v>
      </c>
      <c r="M407" s="68" t="str">
        <f>IF(AND(ISNA(VLOOKUP(DataAct_tbl[[#This Row],[BG CODE]],DataOB[Budget code],1,0)),DataAct_tbl[[#This Row],[Check Dub]]=1),"NEW","")</f>
        <v/>
      </c>
      <c r="N407" s="68" t="b">
        <f>AND(DataAct_tbl[[#This Row],[DATE]]&gt;=FirstDate,DataAct_tbl[[#This Row],[DATE]]&lt;=LastDate)</f>
        <v>1</v>
      </c>
    </row>
    <row r="408" spans="2:14" ht="14.4">
      <c r="B408" s="77">
        <v>45504</v>
      </c>
      <c r="C408" s="118" t="s">
        <v>679</v>
      </c>
      <c r="D408" s="150" t="s">
        <v>108</v>
      </c>
      <c r="E408" s="131"/>
      <c r="F408" s="132"/>
      <c r="G408" s="140">
        <v>0.23988999999999999</v>
      </c>
      <c r="H408" s="137" t="s">
        <v>114</v>
      </c>
      <c r="I408" s="72" t="s">
        <v>62</v>
      </c>
      <c r="J408" s="72">
        <v>1611</v>
      </c>
      <c r="K408" s="92" t="str">
        <f>TEXT(DataAct_tbl[[#This Row],[DATE]],"MMM")</f>
        <v>Jul</v>
      </c>
      <c r="L408">
        <f>COUNTIF($H$6:H408,H408)</f>
        <v>7</v>
      </c>
      <c r="M408" s="68" t="str">
        <f>IF(AND(ISNA(VLOOKUP(DataAct_tbl[[#This Row],[BG CODE]],DataOB[Budget code],1,0)),DataAct_tbl[[#This Row],[Check Dub]]=1),"NEW","")</f>
        <v/>
      </c>
      <c r="N408" s="68" t="b">
        <f>AND(DataAct_tbl[[#This Row],[DATE]]&gt;=FirstDate,DataAct_tbl[[#This Row],[DATE]]&lt;=LastDate)</f>
        <v>1</v>
      </c>
    </row>
    <row r="409" spans="2:14" ht="14.4">
      <c r="B409" s="77">
        <v>45498</v>
      </c>
      <c r="C409" s="118" t="s">
        <v>680</v>
      </c>
      <c r="D409" s="68" t="s">
        <v>681</v>
      </c>
      <c r="E409" s="131"/>
      <c r="F409" s="132"/>
      <c r="G409" s="140">
        <v>2.5741799999999997</v>
      </c>
      <c r="H409" s="137" t="s">
        <v>682</v>
      </c>
      <c r="I409" s="72" t="s">
        <v>62</v>
      </c>
      <c r="J409" s="72">
        <v>3311</v>
      </c>
      <c r="K409" s="92" t="str">
        <f>TEXT(DataAct_tbl[[#This Row],[DATE]],"MMM")</f>
        <v>Jul</v>
      </c>
      <c r="L409">
        <f>COUNTIF($H$6:H409,H409)</f>
        <v>1</v>
      </c>
      <c r="M409" s="68" t="str">
        <f>IF(AND(ISNA(VLOOKUP(DataAct_tbl[[#This Row],[BG CODE]],DataOB[Budget code],1,0)),DataAct_tbl[[#This Row],[Check Dub]]=1),"NEW","")</f>
        <v/>
      </c>
      <c r="N409" s="68" t="b">
        <f>AND(DataAct_tbl[[#This Row],[DATE]]&gt;=FirstDate,DataAct_tbl[[#This Row],[DATE]]&lt;=LastDate)</f>
        <v>1</v>
      </c>
    </row>
    <row r="410" spans="2:14" ht="14.4">
      <c r="B410" s="77">
        <v>45482</v>
      </c>
      <c r="C410" s="118" t="s">
        <v>683</v>
      </c>
      <c r="D410" s="68" t="s">
        <v>684</v>
      </c>
      <c r="E410" s="131"/>
      <c r="F410" s="132"/>
      <c r="G410" s="140">
        <v>-0.68023999999999996</v>
      </c>
      <c r="H410" s="137" t="s">
        <v>110</v>
      </c>
      <c r="I410" s="72" t="s">
        <v>63</v>
      </c>
      <c r="J410" s="72">
        <v>8311</v>
      </c>
      <c r="K410" s="92" t="str">
        <f>TEXT(DataAct_tbl[[#This Row],[DATE]],"MMM")</f>
        <v>Jul</v>
      </c>
      <c r="L410">
        <f>COUNTIF($H$6:H410,H410)</f>
        <v>21</v>
      </c>
      <c r="M410" s="68" t="str">
        <f>IF(AND(ISNA(VLOOKUP(DataAct_tbl[[#This Row],[BG CODE]],DataOB[Budget code],1,0)),DataAct_tbl[[#This Row],[Check Dub]]=1),"NEW","")</f>
        <v/>
      </c>
      <c r="N410" s="68" t="b">
        <f>AND(DataAct_tbl[[#This Row],[DATE]]&gt;=FirstDate,DataAct_tbl[[#This Row],[DATE]]&lt;=LastDate)</f>
        <v>1</v>
      </c>
    </row>
    <row r="411" spans="2:14" ht="14.4">
      <c r="B411" s="77">
        <v>45503</v>
      </c>
      <c r="C411" s="118" t="s">
        <v>685</v>
      </c>
      <c r="D411" s="68" t="s">
        <v>686</v>
      </c>
      <c r="E411" s="131"/>
      <c r="F411" s="132"/>
      <c r="G411" s="140">
        <v>5.3600000000000002E-3</v>
      </c>
      <c r="H411" s="137" t="s">
        <v>624</v>
      </c>
      <c r="I411" s="72" t="s">
        <v>102</v>
      </c>
      <c r="J411" s="72">
        <v>8311</v>
      </c>
      <c r="K411" s="92" t="str">
        <f>TEXT(DataAct_tbl[[#This Row],[DATE]],"MMM")</f>
        <v>Jul</v>
      </c>
      <c r="L411">
        <f>COUNTIF($H$6:H411,H411)</f>
        <v>2</v>
      </c>
      <c r="M411" s="68" t="str">
        <f>IF(AND(ISNA(VLOOKUP(DataAct_tbl[[#This Row],[BG CODE]],DataOB[Budget code],1,0)),DataAct_tbl[[#This Row],[Check Dub]]=1),"NEW","")</f>
        <v/>
      </c>
      <c r="N411" s="68" t="b">
        <f>AND(DataAct_tbl[[#This Row],[DATE]]&gt;=FirstDate,DataAct_tbl[[#This Row],[DATE]]&lt;=LastDate)</f>
        <v>1</v>
      </c>
    </row>
    <row r="412" spans="2:14" ht="14.4">
      <c r="B412" s="77">
        <v>45504</v>
      </c>
      <c r="C412" s="118" t="s">
        <v>687</v>
      </c>
      <c r="D412" s="68" t="s">
        <v>688</v>
      </c>
      <c r="E412" s="131"/>
      <c r="F412" s="132"/>
      <c r="G412" s="140">
        <v>0.86263000000000001</v>
      </c>
      <c r="H412" s="137" t="s">
        <v>110</v>
      </c>
      <c r="I412" s="72" t="s">
        <v>689</v>
      </c>
      <c r="J412" s="72">
        <v>8311</v>
      </c>
      <c r="K412" s="92" t="str">
        <f>TEXT(DataAct_tbl[[#This Row],[DATE]],"MMM")</f>
        <v>Jul</v>
      </c>
      <c r="L412">
        <f>COUNTIF($H$6:H412,H412)</f>
        <v>22</v>
      </c>
      <c r="M412" s="68" t="str">
        <f>IF(AND(ISNA(VLOOKUP(DataAct_tbl[[#This Row],[BG CODE]],DataOB[Budget code],1,0)),DataAct_tbl[[#This Row],[Check Dub]]=1),"NEW","")</f>
        <v/>
      </c>
      <c r="N412" s="68" t="b">
        <f>AND(DataAct_tbl[[#This Row],[DATE]]&gt;=FirstDate,DataAct_tbl[[#This Row],[DATE]]&lt;=LastDate)</f>
        <v>1</v>
      </c>
    </row>
    <row r="413" spans="2:14" ht="14.4">
      <c r="B413" s="77">
        <v>45504</v>
      </c>
      <c r="C413" s="118" t="s">
        <v>687</v>
      </c>
      <c r="D413" s="68" t="s">
        <v>690</v>
      </c>
      <c r="E413" s="131"/>
      <c r="F413" s="132"/>
      <c r="G413" s="140">
        <v>0.86263000000000001</v>
      </c>
      <c r="H413" s="137" t="s">
        <v>110</v>
      </c>
      <c r="I413" s="72" t="s">
        <v>689</v>
      </c>
      <c r="J413" s="72">
        <v>8311</v>
      </c>
      <c r="K413" s="92" t="str">
        <f>TEXT(DataAct_tbl[[#This Row],[DATE]],"MMM")</f>
        <v>Jul</v>
      </c>
      <c r="L413">
        <f>COUNTIF($H$6:H413,H413)</f>
        <v>23</v>
      </c>
      <c r="M413" s="68" t="str">
        <f>IF(AND(ISNA(VLOOKUP(DataAct_tbl[[#This Row],[BG CODE]],DataOB[Budget code],1,0)),DataAct_tbl[[#This Row],[Check Dub]]=1),"NEW","")</f>
        <v/>
      </c>
      <c r="N413" s="68" t="b">
        <f>AND(DataAct_tbl[[#This Row],[DATE]]&gt;=FirstDate,DataAct_tbl[[#This Row],[DATE]]&lt;=LastDate)</f>
        <v>1</v>
      </c>
    </row>
    <row r="414" spans="2:14" ht="14.4">
      <c r="B414" s="77">
        <v>45504</v>
      </c>
      <c r="C414" s="118" t="s">
        <v>687</v>
      </c>
      <c r="D414" s="68" t="s">
        <v>691</v>
      </c>
      <c r="E414" s="131"/>
      <c r="F414" s="132"/>
      <c r="G414" s="140">
        <v>0.36728</v>
      </c>
      <c r="H414" s="137" t="s">
        <v>110</v>
      </c>
      <c r="I414" s="72" t="s">
        <v>689</v>
      </c>
      <c r="J414" s="72">
        <v>8311</v>
      </c>
      <c r="K414" s="92" t="str">
        <f>TEXT(DataAct_tbl[[#This Row],[DATE]],"MMM")</f>
        <v>Jul</v>
      </c>
      <c r="L414">
        <f>COUNTIF($H$6:H414,H414)</f>
        <v>24</v>
      </c>
      <c r="M414" s="68" t="str">
        <f>IF(AND(ISNA(VLOOKUP(DataAct_tbl[[#This Row],[BG CODE]],DataOB[Budget code],1,0)),DataAct_tbl[[#This Row],[Check Dub]]=1),"NEW","")</f>
        <v/>
      </c>
      <c r="N414" s="68" t="b">
        <f>AND(DataAct_tbl[[#This Row],[DATE]]&gt;=FirstDate,DataAct_tbl[[#This Row],[DATE]]&lt;=LastDate)</f>
        <v>1</v>
      </c>
    </row>
    <row r="415" spans="2:14" ht="14.4">
      <c r="B415" s="77">
        <v>45504</v>
      </c>
      <c r="C415" s="118" t="s">
        <v>692</v>
      </c>
      <c r="D415" s="68" t="s">
        <v>693</v>
      </c>
      <c r="E415" s="131"/>
      <c r="F415" s="132"/>
      <c r="G415" s="140">
        <v>1.4829999999999999E-2</v>
      </c>
      <c r="H415" s="137" t="s">
        <v>624</v>
      </c>
      <c r="I415" s="72" t="s">
        <v>61</v>
      </c>
      <c r="J415" s="72">
        <v>8311</v>
      </c>
      <c r="K415" s="92" t="str">
        <f>TEXT(DataAct_tbl[[#This Row],[DATE]],"MMM")</f>
        <v>Jul</v>
      </c>
      <c r="L415">
        <f>COUNTIF($H$6:H415,H415)</f>
        <v>3</v>
      </c>
      <c r="M415" s="68" t="str">
        <f>IF(AND(ISNA(VLOOKUP(DataAct_tbl[[#This Row],[BG CODE]],DataOB[Budget code],1,0)),DataAct_tbl[[#This Row],[Check Dub]]=1),"NEW","")</f>
        <v/>
      </c>
      <c r="N415" s="68" t="b">
        <f>AND(DataAct_tbl[[#This Row],[DATE]]&gt;=FirstDate,DataAct_tbl[[#This Row],[DATE]]&lt;=LastDate)</f>
        <v>1</v>
      </c>
    </row>
    <row r="416" spans="2:14" ht="14.4">
      <c r="B416" s="77">
        <v>45504</v>
      </c>
      <c r="C416" s="118" t="s">
        <v>694</v>
      </c>
      <c r="D416" s="68" t="s">
        <v>695</v>
      </c>
      <c r="E416" s="131"/>
      <c r="F416" s="132"/>
      <c r="G416" s="140">
        <v>1.56331</v>
      </c>
      <c r="H416" s="137" t="s">
        <v>632</v>
      </c>
      <c r="I416" s="72" t="s">
        <v>61</v>
      </c>
      <c r="J416" s="72">
        <v>8311</v>
      </c>
      <c r="K416" s="92" t="str">
        <f>TEXT(DataAct_tbl[[#This Row],[DATE]],"MMM")</f>
        <v>Jul</v>
      </c>
      <c r="L416">
        <f>COUNTIF($H$6:H416,H416)</f>
        <v>3</v>
      </c>
      <c r="M416" s="68" t="str">
        <f>IF(AND(ISNA(VLOOKUP(DataAct_tbl[[#This Row],[BG CODE]],DataOB[Budget code],1,0)),DataAct_tbl[[#This Row],[Check Dub]]=1),"NEW","")</f>
        <v/>
      </c>
      <c r="N416" s="68" t="b">
        <f>AND(DataAct_tbl[[#This Row],[DATE]]&gt;=FirstDate,DataAct_tbl[[#This Row],[DATE]]&lt;=LastDate)</f>
        <v>1</v>
      </c>
    </row>
    <row r="417" spans="2:14" ht="14.4">
      <c r="B417" s="77">
        <v>45504</v>
      </c>
      <c r="C417" s="118" t="s">
        <v>694</v>
      </c>
      <c r="D417" s="68" t="s">
        <v>695</v>
      </c>
      <c r="E417" s="131"/>
      <c r="F417" s="132"/>
      <c r="G417" s="140">
        <v>1.5632999999999999</v>
      </c>
      <c r="H417" s="137" t="s">
        <v>633</v>
      </c>
      <c r="I417" s="72" t="s">
        <v>61</v>
      </c>
      <c r="J417" s="72">
        <v>8311</v>
      </c>
      <c r="K417" s="92" t="str">
        <f>TEXT(DataAct_tbl[[#This Row],[DATE]],"MMM")</f>
        <v>Jul</v>
      </c>
      <c r="L417">
        <f>COUNTIF($H$6:H417,H417)</f>
        <v>3</v>
      </c>
      <c r="M417" s="68" t="str">
        <f>IF(AND(ISNA(VLOOKUP(DataAct_tbl[[#This Row],[BG CODE]],DataOB[Budget code],1,0)),DataAct_tbl[[#This Row],[Check Dub]]=1),"NEW","")</f>
        <v/>
      </c>
      <c r="N417" s="68" t="b">
        <f>AND(DataAct_tbl[[#This Row],[DATE]]&gt;=FirstDate,DataAct_tbl[[#This Row],[DATE]]&lt;=LastDate)</f>
        <v>1</v>
      </c>
    </row>
    <row r="418" spans="2:14" ht="14.4">
      <c r="B418" s="77">
        <v>45504</v>
      </c>
      <c r="C418" s="118" t="s">
        <v>694</v>
      </c>
      <c r="D418" s="68" t="s">
        <v>695</v>
      </c>
      <c r="E418" s="131"/>
      <c r="F418" s="132"/>
      <c r="G418" s="140">
        <v>1.5632999999999999</v>
      </c>
      <c r="H418" s="137" t="s">
        <v>634</v>
      </c>
      <c r="I418" s="72" t="s">
        <v>61</v>
      </c>
      <c r="J418" s="72">
        <v>8311</v>
      </c>
      <c r="K418" s="92" t="str">
        <f>TEXT(DataAct_tbl[[#This Row],[DATE]],"MMM")</f>
        <v>Jul</v>
      </c>
      <c r="L418">
        <f>COUNTIF($H$6:H418,H418)</f>
        <v>4</v>
      </c>
      <c r="M418" s="68" t="str">
        <f>IF(AND(ISNA(VLOOKUP(DataAct_tbl[[#This Row],[BG CODE]],DataOB[Budget code],1,0)),DataAct_tbl[[#This Row],[Check Dub]]=1),"NEW","")</f>
        <v/>
      </c>
      <c r="N418" s="68" t="b">
        <f>AND(DataAct_tbl[[#This Row],[DATE]]&gt;=FirstDate,DataAct_tbl[[#This Row],[DATE]]&lt;=LastDate)</f>
        <v>1</v>
      </c>
    </row>
    <row r="419" spans="2:14" ht="14.4">
      <c r="B419" s="77">
        <v>45504</v>
      </c>
      <c r="C419" s="118" t="s">
        <v>694</v>
      </c>
      <c r="D419" s="68" t="s">
        <v>695</v>
      </c>
      <c r="E419" s="131"/>
      <c r="F419" s="132"/>
      <c r="G419" s="140">
        <v>1.5632999999999999</v>
      </c>
      <c r="H419" s="137" t="s">
        <v>635</v>
      </c>
      <c r="I419" s="72" t="s">
        <v>61</v>
      </c>
      <c r="J419" s="72">
        <v>8311</v>
      </c>
      <c r="K419" s="92" t="str">
        <f>TEXT(DataAct_tbl[[#This Row],[DATE]],"MMM")</f>
        <v>Jul</v>
      </c>
      <c r="L419">
        <f>COUNTIF($H$6:H419,H419)</f>
        <v>3</v>
      </c>
      <c r="M419" s="68" t="str">
        <f>IF(AND(ISNA(VLOOKUP(DataAct_tbl[[#This Row],[BG CODE]],DataOB[Budget code],1,0)),DataAct_tbl[[#This Row],[Check Dub]]=1),"NEW","")</f>
        <v/>
      </c>
      <c r="N419" s="68" t="b">
        <f>AND(DataAct_tbl[[#This Row],[DATE]]&gt;=FirstDate,DataAct_tbl[[#This Row],[DATE]]&lt;=LastDate)</f>
        <v>1</v>
      </c>
    </row>
    <row r="420" spans="2:14" ht="14.4">
      <c r="B420" s="77">
        <v>45504</v>
      </c>
      <c r="C420" s="118" t="s">
        <v>694</v>
      </c>
      <c r="D420" s="68" t="s">
        <v>695</v>
      </c>
      <c r="E420" s="131"/>
      <c r="F420" s="132"/>
      <c r="G420" s="140">
        <v>1.5632999999999999</v>
      </c>
      <c r="H420" s="137" t="s">
        <v>636</v>
      </c>
      <c r="I420" s="72" t="s">
        <v>61</v>
      </c>
      <c r="J420" s="72">
        <v>8311</v>
      </c>
      <c r="K420" s="92" t="str">
        <f>TEXT(DataAct_tbl[[#This Row],[DATE]],"MMM")</f>
        <v>Jul</v>
      </c>
      <c r="L420">
        <f>COUNTIF($H$6:H420,H420)</f>
        <v>3</v>
      </c>
      <c r="M420" s="68" t="str">
        <f>IF(AND(ISNA(VLOOKUP(DataAct_tbl[[#This Row],[BG CODE]],DataOB[Budget code],1,0)),DataAct_tbl[[#This Row],[Check Dub]]=1),"NEW","")</f>
        <v/>
      </c>
      <c r="N420" s="68" t="b">
        <f>AND(DataAct_tbl[[#This Row],[DATE]]&gt;=FirstDate,DataAct_tbl[[#This Row],[DATE]]&lt;=LastDate)</f>
        <v>1</v>
      </c>
    </row>
    <row r="421" spans="2:14" ht="14.4">
      <c r="B421" s="77">
        <v>45504</v>
      </c>
      <c r="C421" s="118" t="s">
        <v>694</v>
      </c>
      <c r="D421" s="68" t="s">
        <v>696</v>
      </c>
      <c r="E421" s="131"/>
      <c r="F421" s="132"/>
      <c r="G421" s="140">
        <v>0.41610000000000003</v>
      </c>
      <c r="H421" s="137" t="s">
        <v>634</v>
      </c>
      <c r="I421" s="72" t="s">
        <v>61</v>
      </c>
      <c r="J421" s="72">
        <v>8311</v>
      </c>
      <c r="K421" s="92" t="str">
        <f>TEXT(DataAct_tbl[[#This Row],[DATE]],"MMM")</f>
        <v>Jul</v>
      </c>
      <c r="L421">
        <f>COUNTIF($H$6:H421,H421)</f>
        <v>5</v>
      </c>
      <c r="M421" s="68" t="str">
        <f>IF(AND(ISNA(VLOOKUP(DataAct_tbl[[#This Row],[BG CODE]],DataOB[Budget code],1,0)),DataAct_tbl[[#This Row],[Check Dub]]=1),"NEW","")</f>
        <v/>
      </c>
      <c r="N421" s="68" t="b">
        <f>AND(DataAct_tbl[[#This Row],[DATE]]&gt;=FirstDate,DataAct_tbl[[#This Row],[DATE]]&lt;=LastDate)</f>
        <v>1</v>
      </c>
    </row>
    <row r="422" spans="2:14" ht="14.4">
      <c r="B422" s="77">
        <v>45504</v>
      </c>
      <c r="C422" s="118" t="s">
        <v>694</v>
      </c>
      <c r="D422" s="68" t="s">
        <v>697</v>
      </c>
      <c r="E422" s="131"/>
      <c r="F422" s="132"/>
      <c r="G422" s="140">
        <v>1.274E-2</v>
      </c>
      <c r="H422" s="137" t="s">
        <v>488</v>
      </c>
      <c r="I422" s="72" t="s">
        <v>61</v>
      </c>
      <c r="J422" s="72">
        <v>8311</v>
      </c>
      <c r="K422" s="92" t="str">
        <f>TEXT(DataAct_tbl[[#This Row],[DATE]],"MMM")</f>
        <v>Jul</v>
      </c>
      <c r="L422">
        <f>COUNTIF($H$6:H422,H422)</f>
        <v>9</v>
      </c>
      <c r="M422" s="68" t="str">
        <f>IF(AND(ISNA(VLOOKUP(DataAct_tbl[[#This Row],[BG CODE]],DataOB[Budget code],1,0)),DataAct_tbl[[#This Row],[Check Dub]]=1),"NEW","")</f>
        <v/>
      </c>
      <c r="N422" s="68" t="b">
        <f>AND(DataAct_tbl[[#This Row],[DATE]]&gt;=FirstDate,DataAct_tbl[[#This Row],[DATE]]&lt;=LastDate)</f>
        <v>1</v>
      </c>
    </row>
    <row r="423" spans="2:14" ht="14.4">
      <c r="B423" s="77">
        <v>45504</v>
      </c>
      <c r="C423" s="118" t="s">
        <v>694</v>
      </c>
      <c r="D423" s="68" t="s">
        <v>698</v>
      </c>
      <c r="E423" s="131"/>
      <c r="F423" s="132"/>
      <c r="G423" s="140">
        <v>1.274E-2</v>
      </c>
      <c r="H423" s="137" t="s">
        <v>664</v>
      </c>
      <c r="I423" s="72" t="s">
        <v>61</v>
      </c>
      <c r="J423" s="72">
        <v>8512</v>
      </c>
      <c r="K423" s="92" t="str">
        <f>TEXT(DataAct_tbl[[#This Row],[DATE]],"MMM")</f>
        <v>Jul</v>
      </c>
      <c r="L423">
        <f>COUNTIF($H$6:H423,H423)</f>
        <v>2</v>
      </c>
      <c r="M423" s="68" t="str">
        <f>IF(AND(ISNA(VLOOKUP(DataAct_tbl[[#This Row],[BG CODE]],DataOB[Budget code],1,0)),DataAct_tbl[[#This Row],[Check Dub]]=1),"NEW","")</f>
        <v/>
      </c>
      <c r="N423" s="68" t="b">
        <f>AND(DataAct_tbl[[#This Row],[DATE]]&gt;=FirstDate,DataAct_tbl[[#This Row],[DATE]]&lt;=LastDate)</f>
        <v>1</v>
      </c>
    </row>
    <row r="424" spans="2:14" ht="14.4">
      <c r="B424" s="77">
        <v>45504</v>
      </c>
      <c r="C424" s="118" t="s">
        <v>694</v>
      </c>
      <c r="D424" s="68" t="s">
        <v>699</v>
      </c>
      <c r="E424" s="131"/>
      <c r="F424" s="132"/>
      <c r="G424" s="140">
        <v>3.1900000000000001E-3</v>
      </c>
      <c r="H424" s="137" t="s">
        <v>608</v>
      </c>
      <c r="I424" s="72" t="s">
        <v>61</v>
      </c>
      <c r="J424" s="72">
        <v>8311</v>
      </c>
      <c r="K424" s="92" t="str">
        <f>TEXT(DataAct_tbl[[#This Row],[DATE]],"MMM")</f>
        <v>Jul</v>
      </c>
      <c r="L424">
        <f>COUNTIF($H$6:H424,H424)</f>
        <v>9</v>
      </c>
      <c r="M424" s="68" t="str">
        <f>IF(AND(ISNA(VLOOKUP(DataAct_tbl[[#This Row],[BG CODE]],DataOB[Budget code],1,0)),DataAct_tbl[[#This Row],[Check Dub]]=1),"NEW","")</f>
        <v/>
      </c>
      <c r="N424" s="68" t="b">
        <f>AND(DataAct_tbl[[#This Row],[DATE]]&gt;=FirstDate,DataAct_tbl[[#This Row],[DATE]]&lt;=LastDate)</f>
        <v>1</v>
      </c>
    </row>
    <row r="425" spans="2:14" ht="14.4">
      <c r="B425" s="77">
        <v>45504</v>
      </c>
      <c r="C425" s="118" t="s">
        <v>694</v>
      </c>
      <c r="D425" s="68" t="s">
        <v>700</v>
      </c>
      <c r="E425" s="131"/>
      <c r="F425" s="132"/>
      <c r="G425" s="140">
        <v>3.1900000000000001E-3</v>
      </c>
      <c r="H425" s="137" t="s">
        <v>608</v>
      </c>
      <c r="I425" s="72" t="s">
        <v>61</v>
      </c>
      <c r="J425" s="72">
        <v>8311</v>
      </c>
      <c r="K425" s="92" t="str">
        <f>TEXT(DataAct_tbl[[#This Row],[DATE]],"MMM")</f>
        <v>Jul</v>
      </c>
      <c r="L425">
        <f>COUNTIF($H$6:H425,H425)</f>
        <v>10</v>
      </c>
      <c r="M425" s="68" t="str">
        <f>IF(AND(ISNA(VLOOKUP(DataAct_tbl[[#This Row],[BG CODE]],DataOB[Budget code],1,0)),DataAct_tbl[[#This Row],[Check Dub]]=1),"NEW","")</f>
        <v/>
      </c>
      <c r="N425" s="68" t="b">
        <f>AND(DataAct_tbl[[#This Row],[DATE]]&gt;=FirstDate,DataAct_tbl[[#This Row],[DATE]]&lt;=LastDate)</f>
        <v>1</v>
      </c>
    </row>
    <row r="426" spans="2:14" ht="14.4">
      <c r="B426" s="77">
        <v>45504</v>
      </c>
      <c r="C426" s="118" t="s">
        <v>694</v>
      </c>
      <c r="D426" s="68" t="s">
        <v>701</v>
      </c>
      <c r="E426" s="131"/>
      <c r="F426" s="132"/>
      <c r="G426" s="140">
        <v>3.1900000000000001E-3</v>
      </c>
      <c r="H426" s="137" t="s">
        <v>608</v>
      </c>
      <c r="I426" s="72" t="s">
        <v>61</v>
      </c>
      <c r="J426" s="72">
        <v>8311</v>
      </c>
      <c r="K426" s="92" t="str">
        <f>TEXT(DataAct_tbl[[#This Row],[DATE]],"MMM")</f>
        <v>Jul</v>
      </c>
      <c r="L426">
        <f>COUNTIF($H$6:H426,H426)</f>
        <v>11</v>
      </c>
      <c r="M426" s="68" t="str">
        <f>IF(AND(ISNA(VLOOKUP(DataAct_tbl[[#This Row],[BG CODE]],DataOB[Budget code],1,0)),DataAct_tbl[[#This Row],[Check Dub]]=1),"NEW","")</f>
        <v/>
      </c>
      <c r="N426" s="68" t="b">
        <f>AND(DataAct_tbl[[#This Row],[DATE]]&gt;=FirstDate,DataAct_tbl[[#This Row],[DATE]]&lt;=LastDate)</f>
        <v>1</v>
      </c>
    </row>
    <row r="427" spans="2:14" ht="14.4">
      <c r="B427" s="77">
        <v>45504</v>
      </c>
      <c r="C427" s="118" t="s">
        <v>694</v>
      </c>
      <c r="D427" s="68" t="s">
        <v>702</v>
      </c>
      <c r="E427" s="131"/>
      <c r="F427" s="132"/>
      <c r="G427" s="140">
        <v>3.1900000000000001E-3</v>
      </c>
      <c r="H427" s="137" t="s">
        <v>608</v>
      </c>
      <c r="I427" s="72" t="s">
        <v>61</v>
      </c>
      <c r="J427" s="72">
        <v>8311</v>
      </c>
      <c r="K427" s="92" t="str">
        <f>TEXT(DataAct_tbl[[#This Row],[DATE]],"MMM")</f>
        <v>Jul</v>
      </c>
      <c r="L427">
        <f>COUNTIF($H$6:H427,H427)</f>
        <v>12</v>
      </c>
      <c r="M427" s="68" t="str">
        <f>IF(AND(ISNA(VLOOKUP(DataAct_tbl[[#This Row],[BG CODE]],DataOB[Budget code],1,0)),DataAct_tbl[[#This Row],[Check Dub]]=1),"NEW","")</f>
        <v/>
      </c>
      <c r="N427" s="68" t="b">
        <f>AND(DataAct_tbl[[#This Row],[DATE]]&gt;=FirstDate,DataAct_tbl[[#This Row],[DATE]]&lt;=LastDate)</f>
        <v>1</v>
      </c>
    </row>
    <row r="428" spans="2:14" ht="14.4">
      <c r="B428" s="77">
        <v>45504</v>
      </c>
      <c r="C428" s="118" t="s">
        <v>694</v>
      </c>
      <c r="D428" s="68" t="s">
        <v>703</v>
      </c>
      <c r="E428" s="131"/>
      <c r="F428" s="132"/>
      <c r="G428" s="140">
        <v>1.274E-2</v>
      </c>
      <c r="H428" s="137" t="s">
        <v>647</v>
      </c>
      <c r="I428" s="72" t="s">
        <v>61</v>
      </c>
      <c r="J428" s="72">
        <v>3211</v>
      </c>
      <c r="K428" s="92" t="str">
        <f>TEXT(DataAct_tbl[[#This Row],[DATE]],"MMM")</f>
        <v>Jul</v>
      </c>
      <c r="L428">
        <f>COUNTIF($H$6:H428,H428)</f>
        <v>2</v>
      </c>
      <c r="M428" s="68" t="str">
        <f>IF(AND(ISNA(VLOOKUP(DataAct_tbl[[#This Row],[BG CODE]],DataOB[Budget code],1,0)),DataAct_tbl[[#This Row],[Check Dub]]=1),"NEW","")</f>
        <v/>
      </c>
      <c r="N428" s="68" t="b">
        <f>AND(DataAct_tbl[[#This Row],[DATE]]&gt;=FirstDate,DataAct_tbl[[#This Row],[DATE]]&lt;=LastDate)</f>
        <v>1</v>
      </c>
    </row>
    <row r="429" spans="2:14" ht="14.4">
      <c r="B429" s="77">
        <v>45504</v>
      </c>
      <c r="C429" s="118" t="s">
        <v>694</v>
      </c>
      <c r="D429" s="68" t="s">
        <v>704</v>
      </c>
      <c r="E429" s="131"/>
      <c r="F429" s="132"/>
      <c r="G429" s="140">
        <v>1.274E-2</v>
      </c>
      <c r="H429" s="137" t="s">
        <v>488</v>
      </c>
      <c r="I429" s="72" t="s">
        <v>61</v>
      </c>
      <c r="J429" s="72">
        <v>8311</v>
      </c>
      <c r="K429" s="92" t="str">
        <f>TEXT(DataAct_tbl[[#This Row],[DATE]],"MMM")</f>
        <v>Jul</v>
      </c>
      <c r="L429">
        <f>COUNTIF($H$6:H429,H429)</f>
        <v>10</v>
      </c>
      <c r="M429" s="68" t="str">
        <f>IF(AND(ISNA(VLOOKUP(DataAct_tbl[[#This Row],[BG CODE]],DataOB[Budget code],1,0)),DataAct_tbl[[#This Row],[Check Dub]]=1),"NEW","")</f>
        <v/>
      </c>
      <c r="N429" s="68" t="b">
        <f>AND(DataAct_tbl[[#This Row],[DATE]]&gt;=FirstDate,DataAct_tbl[[#This Row],[DATE]]&lt;=LastDate)</f>
        <v>1</v>
      </c>
    </row>
    <row r="430" spans="2:14" ht="14.4">
      <c r="B430" s="77">
        <v>45504</v>
      </c>
      <c r="C430" s="118" t="s">
        <v>694</v>
      </c>
      <c r="D430" s="68" t="s">
        <v>705</v>
      </c>
      <c r="E430" s="131"/>
      <c r="F430" s="132"/>
      <c r="G430" s="140">
        <v>1.274E-2</v>
      </c>
      <c r="H430" s="137" t="s">
        <v>349</v>
      </c>
      <c r="I430" s="72" t="s">
        <v>61</v>
      </c>
      <c r="J430" s="72">
        <v>8311</v>
      </c>
      <c r="K430" s="92" t="str">
        <f>TEXT(DataAct_tbl[[#This Row],[DATE]],"MMM")</f>
        <v>Jul</v>
      </c>
      <c r="L430">
        <f>COUNTIF($H$6:H430,H430)</f>
        <v>5</v>
      </c>
      <c r="M430" s="68" t="str">
        <f>IF(AND(ISNA(VLOOKUP(DataAct_tbl[[#This Row],[BG CODE]],DataOB[Budget code],1,0)),DataAct_tbl[[#This Row],[Check Dub]]=1),"NEW","")</f>
        <v/>
      </c>
      <c r="N430" s="68" t="b">
        <f>AND(DataAct_tbl[[#This Row],[DATE]]&gt;=FirstDate,DataAct_tbl[[#This Row],[DATE]]&lt;=LastDate)</f>
        <v>1</v>
      </c>
    </row>
    <row r="431" spans="2:14" ht="14.4">
      <c r="B431" s="77">
        <v>45504</v>
      </c>
      <c r="C431" s="118" t="s">
        <v>694</v>
      </c>
      <c r="D431" s="68" t="s">
        <v>706</v>
      </c>
      <c r="E431" s="131"/>
      <c r="F431" s="132"/>
      <c r="G431" s="140">
        <v>9.5999999999999992E-4</v>
      </c>
      <c r="H431" s="137" t="s">
        <v>670</v>
      </c>
      <c r="I431" s="72" t="s">
        <v>61</v>
      </c>
      <c r="J431" s="72">
        <v>1511</v>
      </c>
      <c r="K431" s="92" t="str">
        <f>TEXT(DataAct_tbl[[#This Row],[DATE]],"MMM")</f>
        <v>Jul</v>
      </c>
      <c r="L431">
        <f>COUNTIF($H$6:H431,H431)</f>
        <v>3</v>
      </c>
      <c r="M431" s="68" t="str">
        <f>IF(AND(ISNA(VLOOKUP(DataAct_tbl[[#This Row],[BG CODE]],DataOB[Budget code],1,0)),DataAct_tbl[[#This Row],[Check Dub]]=1),"NEW","")</f>
        <v/>
      </c>
      <c r="N431" s="68" t="b">
        <f>AND(DataAct_tbl[[#This Row],[DATE]]&gt;=FirstDate,DataAct_tbl[[#This Row],[DATE]]&lt;=LastDate)</f>
        <v>1</v>
      </c>
    </row>
    <row r="432" spans="2:14" ht="14.4">
      <c r="B432" s="77">
        <v>45504</v>
      </c>
      <c r="C432" s="118" t="s">
        <v>694</v>
      </c>
      <c r="D432" s="68" t="s">
        <v>707</v>
      </c>
      <c r="E432" s="131"/>
      <c r="F432" s="132"/>
      <c r="G432" s="140">
        <v>3.5999999999999997E-4</v>
      </c>
      <c r="H432" s="137" t="s">
        <v>670</v>
      </c>
      <c r="I432" s="72" t="s">
        <v>61</v>
      </c>
      <c r="J432" s="72">
        <v>1511</v>
      </c>
      <c r="K432" s="92" t="str">
        <f>TEXT(DataAct_tbl[[#This Row],[DATE]],"MMM")</f>
        <v>Jul</v>
      </c>
      <c r="L432">
        <f>COUNTIF($H$6:H432,H432)</f>
        <v>4</v>
      </c>
      <c r="M432" s="68" t="str">
        <f>IF(AND(ISNA(VLOOKUP(DataAct_tbl[[#This Row],[BG CODE]],DataOB[Budget code],1,0)),DataAct_tbl[[#This Row],[Check Dub]]=1),"NEW","")</f>
        <v/>
      </c>
      <c r="N432" s="68" t="b">
        <f>AND(DataAct_tbl[[#This Row],[DATE]]&gt;=FirstDate,DataAct_tbl[[#This Row],[DATE]]&lt;=LastDate)</f>
        <v>1</v>
      </c>
    </row>
    <row r="433" spans="2:14" ht="14.4">
      <c r="B433" s="77">
        <v>45504</v>
      </c>
      <c r="C433" s="118" t="s">
        <v>694</v>
      </c>
      <c r="D433" s="68" t="s">
        <v>708</v>
      </c>
      <c r="E433" s="131"/>
      <c r="F433" s="132"/>
      <c r="G433" s="140">
        <v>1.274E-2</v>
      </c>
      <c r="H433" s="137" t="s">
        <v>488</v>
      </c>
      <c r="I433" s="72" t="s">
        <v>61</v>
      </c>
      <c r="J433" s="72">
        <v>8311</v>
      </c>
      <c r="K433" s="92" t="str">
        <f>TEXT(DataAct_tbl[[#This Row],[DATE]],"MMM")</f>
        <v>Jul</v>
      </c>
      <c r="L433">
        <f>COUNTIF($H$6:H433,H433)</f>
        <v>11</v>
      </c>
      <c r="M433" s="68" t="str">
        <f>IF(AND(ISNA(VLOOKUP(DataAct_tbl[[#This Row],[BG CODE]],DataOB[Budget code],1,0)),DataAct_tbl[[#This Row],[Check Dub]]=1),"NEW","")</f>
        <v/>
      </c>
      <c r="N433" s="68" t="b">
        <f>AND(DataAct_tbl[[#This Row],[DATE]]&gt;=FirstDate,DataAct_tbl[[#This Row],[DATE]]&lt;=LastDate)</f>
        <v>1</v>
      </c>
    </row>
    <row r="434" spans="2:14" ht="14.4">
      <c r="B434" s="77">
        <v>45504</v>
      </c>
      <c r="C434" s="118" t="s">
        <v>694</v>
      </c>
      <c r="D434" s="68" t="s">
        <v>709</v>
      </c>
      <c r="E434" s="131"/>
      <c r="F434" s="132"/>
      <c r="G434" s="140">
        <v>1.274E-2</v>
      </c>
      <c r="H434" s="137" t="s">
        <v>614</v>
      </c>
      <c r="I434" s="72" t="s">
        <v>61</v>
      </c>
      <c r="J434" s="72">
        <v>1213</v>
      </c>
      <c r="K434" s="92" t="str">
        <f>TEXT(DataAct_tbl[[#This Row],[DATE]],"MMM")</f>
        <v>Jul</v>
      </c>
      <c r="L434">
        <f>COUNTIF($H$6:H434,H434)</f>
        <v>3</v>
      </c>
      <c r="M434" s="68" t="str">
        <f>IF(AND(ISNA(VLOOKUP(DataAct_tbl[[#This Row],[BG CODE]],DataOB[Budget code],1,0)),DataAct_tbl[[#This Row],[Check Dub]]=1),"NEW","")</f>
        <v/>
      </c>
      <c r="N434" s="68" t="b">
        <f>AND(DataAct_tbl[[#This Row],[DATE]]&gt;=FirstDate,DataAct_tbl[[#This Row],[DATE]]&lt;=LastDate)</f>
        <v>1</v>
      </c>
    </row>
    <row r="435" spans="2:14" ht="14.4">
      <c r="B435" s="77">
        <v>45504</v>
      </c>
      <c r="C435" s="118" t="s">
        <v>694</v>
      </c>
      <c r="D435" s="68" t="s">
        <v>695</v>
      </c>
      <c r="E435" s="131"/>
      <c r="F435" s="132"/>
      <c r="G435" s="140">
        <v>5.67E-2</v>
      </c>
      <c r="H435" s="137" t="s">
        <v>632</v>
      </c>
      <c r="I435" s="72" t="s">
        <v>61</v>
      </c>
      <c r="J435" s="72">
        <v>8311</v>
      </c>
      <c r="K435" s="92" t="str">
        <f>TEXT(DataAct_tbl[[#This Row],[DATE]],"MMM")</f>
        <v>Jul</v>
      </c>
      <c r="L435">
        <f>COUNTIF($H$6:H435,H435)</f>
        <v>4</v>
      </c>
      <c r="M435" s="68" t="str">
        <f>IF(AND(ISNA(VLOOKUP(DataAct_tbl[[#This Row],[BG CODE]],DataOB[Budget code],1,0)),DataAct_tbl[[#This Row],[Check Dub]]=1),"NEW","")</f>
        <v/>
      </c>
      <c r="N435" s="68" t="b">
        <f>AND(DataAct_tbl[[#This Row],[DATE]]&gt;=FirstDate,DataAct_tbl[[#This Row],[DATE]]&lt;=LastDate)</f>
        <v>1</v>
      </c>
    </row>
    <row r="436" spans="2:14" ht="14.4">
      <c r="B436" s="77">
        <v>45504</v>
      </c>
      <c r="C436" s="118" t="s">
        <v>694</v>
      </c>
      <c r="D436" s="68" t="s">
        <v>695</v>
      </c>
      <c r="E436" s="131"/>
      <c r="F436" s="132"/>
      <c r="G436" s="140">
        <v>5.67E-2</v>
      </c>
      <c r="H436" s="137" t="s">
        <v>633</v>
      </c>
      <c r="I436" s="72" t="s">
        <v>61</v>
      </c>
      <c r="J436" s="72">
        <v>8311</v>
      </c>
      <c r="K436" s="92" t="str">
        <f>TEXT(DataAct_tbl[[#This Row],[DATE]],"MMM")</f>
        <v>Jul</v>
      </c>
      <c r="L436">
        <f>COUNTIF($H$6:H436,H436)</f>
        <v>4</v>
      </c>
      <c r="M436" s="68" t="str">
        <f>IF(AND(ISNA(VLOOKUP(DataAct_tbl[[#This Row],[BG CODE]],DataOB[Budget code],1,0)),DataAct_tbl[[#This Row],[Check Dub]]=1),"NEW","")</f>
        <v/>
      </c>
      <c r="N436" s="68" t="b">
        <f>AND(DataAct_tbl[[#This Row],[DATE]]&gt;=FirstDate,DataAct_tbl[[#This Row],[DATE]]&lt;=LastDate)</f>
        <v>1</v>
      </c>
    </row>
    <row r="437" spans="2:14" ht="14.4">
      <c r="B437" s="77">
        <v>45504</v>
      </c>
      <c r="C437" s="118" t="s">
        <v>694</v>
      </c>
      <c r="D437" s="68" t="s">
        <v>695</v>
      </c>
      <c r="E437" s="131"/>
      <c r="F437" s="132"/>
      <c r="G437" s="140">
        <v>5.6710000000000003E-2</v>
      </c>
      <c r="H437" s="137" t="s">
        <v>634</v>
      </c>
      <c r="I437" s="72" t="s">
        <v>61</v>
      </c>
      <c r="J437" s="72">
        <v>8311</v>
      </c>
      <c r="K437" s="92" t="str">
        <f>TEXT(DataAct_tbl[[#This Row],[DATE]],"MMM")</f>
        <v>Jul</v>
      </c>
      <c r="L437">
        <f>COUNTIF($H$6:H437,H437)</f>
        <v>6</v>
      </c>
      <c r="M437" s="68" t="str">
        <f>IF(AND(ISNA(VLOOKUP(DataAct_tbl[[#This Row],[BG CODE]],DataOB[Budget code],1,0)),DataAct_tbl[[#This Row],[Check Dub]]=1),"NEW","")</f>
        <v/>
      </c>
      <c r="N437" s="68" t="b">
        <f>AND(DataAct_tbl[[#This Row],[DATE]]&gt;=FirstDate,DataAct_tbl[[#This Row],[DATE]]&lt;=LastDate)</f>
        <v>1</v>
      </c>
    </row>
    <row r="438" spans="2:14" ht="14.4">
      <c r="B438" s="77">
        <v>45504</v>
      </c>
      <c r="C438" s="118" t="s">
        <v>694</v>
      </c>
      <c r="D438" s="68" t="s">
        <v>695</v>
      </c>
      <c r="E438" s="131"/>
      <c r="F438" s="132"/>
      <c r="G438" s="140">
        <v>5.6710000000000003E-2</v>
      </c>
      <c r="H438" s="137" t="s">
        <v>635</v>
      </c>
      <c r="I438" s="72" t="s">
        <v>61</v>
      </c>
      <c r="J438" s="72">
        <v>8311</v>
      </c>
      <c r="K438" s="92" t="str">
        <f>TEXT(DataAct_tbl[[#This Row],[DATE]],"MMM")</f>
        <v>Jul</v>
      </c>
      <c r="L438">
        <f>COUNTIF($H$6:H438,H438)</f>
        <v>4</v>
      </c>
      <c r="M438" s="68" t="str">
        <f>IF(AND(ISNA(VLOOKUP(DataAct_tbl[[#This Row],[BG CODE]],DataOB[Budget code],1,0)),DataAct_tbl[[#This Row],[Check Dub]]=1),"NEW","")</f>
        <v/>
      </c>
      <c r="N438" s="68" t="b">
        <f>AND(DataAct_tbl[[#This Row],[DATE]]&gt;=FirstDate,DataAct_tbl[[#This Row],[DATE]]&lt;=LastDate)</f>
        <v>1</v>
      </c>
    </row>
    <row r="439" spans="2:14" ht="14.4">
      <c r="B439" s="77">
        <v>45504</v>
      </c>
      <c r="C439" s="118" t="s">
        <v>694</v>
      </c>
      <c r="D439" s="68" t="s">
        <v>695</v>
      </c>
      <c r="E439" s="131"/>
      <c r="F439" s="132"/>
      <c r="G439" s="140">
        <v>5.6710000000000003E-2</v>
      </c>
      <c r="H439" s="137" t="s">
        <v>636</v>
      </c>
      <c r="I439" s="72" t="s">
        <v>61</v>
      </c>
      <c r="J439" s="72">
        <v>8311</v>
      </c>
      <c r="K439" s="92" t="str">
        <f>TEXT(DataAct_tbl[[#This Row],[DATE]],"MMM")</f>
        <v>Jul</v>
      </c>
      <c r="L439">
        <f>COUNTIF($H$6:H439,H439)</f>
        <v>4</v>
      </c>
      <c r="M439" s="68" t="str">
        <f>IF(AND(ISNA(VLOOKUP(DataAct_tbl[[#This Row],[BG CODE]],DataOB[Budget code],1,0)),DataAct_tbl[[#This Row],[Check Dub]]=1),"NEW","")</f>
        <v/>
      </c>
      <c r="N439" s="68" t="b">
        <f>AND(DataAct_tbl[[#This Row],[DATE]]&gt;=FirstDate,DataAct_tbl[[#This Row],[DATE]]&lt;=LastDate)</f>
        <v>1</v>
      </c>
    </row>
    <row r="440" spans="2:14" ht="14.4">
      <c r="B440" s="77">
        <v>45504</v>
      </c>
      <c r="C440" s="118" t="s">
        <v>694</v>
      </c>
      <c r="D440" s="68" t="s">
        <v>696</v>
      </c>
      <c r="E440" s="131"/>
      <c r="F440" s="132"/>
      <c r="G440" s="140">
        <v>1.5089999999999999E-2</v>
      </c>
      <c r="H440" s="137" t="s">
        <v>634</v>
      </c>
      <c r="I440" s="72" t="s">
        <v>61</v>
      </c>
      <c r="J440" s="72">
        <v>8311</v>
      </c>
      <c r="K440" s="92" t="str">
        <f>TEXT(DataAct_tbl[[#This Row],[DATE]],"MMM")</f>
        <v>Jul</v>
      </c>
      <c r="L440">
        <f>COUNTIF($H$6:H440,H440)</f>
        <v>7</v>
      </c>
      <c r="M440" s="68" t="str">
        <f>IF(AND(ISNA(VLOOKUP(DataAct_tbl[[#This Row],[BG CODE]],DataOB[Budget code],1,0)),DataAct_tbl[[#This Row],[Check Dub]]=1),"NEW","")</f>
        <v/>
      </c>
      <c r="N440" s="68" t="b">
        <f>AND(DataAct_tbl[[#This Row],[DATE]]&gt;=FirstDate,DataAct_tbl[[#This Row],[DATE]]&lt;=LastDate)</f>
        <v>1</v>
      </c>
    </row>
    <row r="441" spans="2:14" ht="14.4">
      <c r="B441" s="77">
        <v>45504</v>
      </c>
      <c r="C441" s="118" t="s">
        <v>710</v>
      </c>
      <c r="D441" s="68" t="s">
        <v>711</v>
      </c>
      <c r="E441" s="131"/>
      <c r="F441" s="132"/>
      <c r="G441" s="140">
        <v>0.94872000000000001</v>
      </c>
      <c r="H441" s="137" t="s">
        <v>488</v>
      </c>
      <c r="I441" s="72" t="s">
        <v>689</v>
      </c>
      <c r="J441" s="72">
        <v>8311</v>
      </c>
      <c r="K441" s="92" t="str">
        <f>TEXT(DataAct_tbl[[#This Row],[DATE]],"MMM")</f>
        <v>Jul</v>
      </c>
      <c r="L441">
        <f>COUNTIF($H$6:H441,H441)</f>
        <v>12</v>
      </c>
      <c r="M441" s="68" t="str">
        <f>IF(AND(ISNA(VLOOKUP(DataAct_tbl[[#This Row],[BG CODE]],DataOB[Budget code],1,0)),DataAct_tbl[[#This Row],[Check Dub]]=1),"NEW","")</f>
        <v/>
      </c>
      <c r="N441" s="68" t="b">
        <f>AND(DataAct_tbl[[#This Row],[DATE]]&gt;=FirstDate,DataAct_tbl[[#This Row],[DATE]]&lt;=LastDate)</f>
        <v>1</v>
      </c>
    </row>
    <row r="442" spans="2:14" ht="14.4">
      <c r="B442" s="77">
        <v>45504</v>
      </c>
      <c r="C442" s="118" t="s">
        <v>694</v>
      </c>
      <c r="D442" s="68" t="s">
        <v>712</v>
      </c>
      <c r="E442" s="131"/>
      <c r="F442" s="132"/>
      <c r="G442" s="140">
        <v>2.23E-2</v>
      </c>
      <c r="H442" s="137" t="s">
        <v>488</v>
      </c>
      <c r="I442" s="72" t="s">
        <v>61</v>
      </c>
      <c r="J442" s="72">
        <v>8311</v>
      </c>
      <c r="K442" s="92" t="str">
        <f>TEXT(DataAct_tbl[[#This Row],[DATE]],"MMM")</f>
        <v>Jul</v>
      </c>
      <c r="L442">
        <f>COUNTIF($H$6:H442,H442)</f>
        <v>13</v>
      </c>
      <c r="M442" s="68" t="str">
        <f>IF(AND(ISNA(VLOOKUP(DataAct_tbl[[#This Row],[BG CODE]],DataOB[Budget code],1,0)),DataAct_tbl[[#This Row],[Check Dub]]=1),"NEW","")</f>
        <v/>
      </c>
      <c r="N442" s="68" t="b">
        <f>AND(DataAct_tbl[[#This Row],[DATE]]&gt;=FirstDate,DataAct_tbl[[#This Row],[DATE]]&lt;=LastDate)</f>
        <v>1</v>
      </c>
    </row>
    <row r="443" spans="2:14" ht="14.4">
      <c r="B443" s="77">
        <v>45504</v>
      </c>
      <c r="C443" s="118" t="s">
        <v>694</v>
      </c>
      <c r="D443" s="68" t="s">
        <v>713</v>
      </c>
      <c r="E443" s="131"/>
      <c r="F443" s="132"/>
      <c r="G443" s="140">
        <v>3.1900000000000001E-3</v>
      </c>
      <c r="H443" s="137" t="s">
        <v>518</v>
      </c>
      <c r="I443" s="72" t="s">
        <v>61</v>
      </c>
      <c r="J443" s="72">
        <v>8311</v>
      </c>
      <c r="K443" s="92" t="str">
        <f>TEXT(DataAct_tbl[[#This Row],[DATE]],"MMM")</f>
        <v>Jul</v>
      </c>
      <c r="L443">
        <f>COUNTIF($H$6:H443,H443)</f>
        <v>4</v>
      </c>
      <c r="M443" s="68" t="str">
        <f>IF(AND(ISNA(VLOOKUP(DataAct_tbl[[#This Row],[BG CODE]],DataOB[Budget code],1,0)),DataAct_tbl[[#This Row],[Check Dub]]=1),"NEW","")</f>
        <v/>
      </c>
      <c r="N443" s="68" t="b">
        <f>AND(DataAct_tbl[[#This Row],[DATE]]&gt;=FirstDate,DataAct_tbl[[#This Row],[DATE]]&lt;=LastDate)</f>
        <v>1</v>
      </c>
    </row>
    <row r="444" spans="2:14" ht="14.4">
      <c r="B444" s="77">
        <v>45504</v>
      </c>
      <c r="C444" s="118" t="s">
        <v>694</v>
      </c>
      <c r="D444" s="68" t="s">
        <v>714</v>
      </c>
      <c r="E444" s="131"/>
      <c r="F444" s="132"/>
      <c r="G444" s="140">
        <v>2.23E-2</v>
      </c>
      <c r="H444" s="137" t="s">
        <v>538</v>
      </c>
      <c r="I444" s="72" t="s">
        <v>61</v>
      </c>
      <c r="J444" s="72">
        <v>8311</v>
      </c>
      <c r="K444" s="92" t="str">
        <f>TEXT(DataAct_tbl[[#This Row],[DATE]],"MMM")</f>
        <v>Jul</v>
      </c>
      <c r="L444">
        <f>COUNTIF($H$6:H444,H444)</f>
        <v>7</v>
      </c>
      <c r="M444" s="68" t="str">
        <f>IF(AND(ISNA(VLOOKUP(DataAct_tbl[[#This Row],[BG CODE]],DataOB[Budget code],1,0)),DataAct_tbl[[#This Row],[Check Dub]]=1),"NEW","")</f>
        <v/>
      </c>
      <c r="N444" s="68" t="b">
        <f>AND(DataAct_tbl[[#This Row],[DATE]]&gt;=FirstDate,DataAct_tbl[[#This Row],[DATE]]&lt;=LastDate)</f>
        <v>1</v>
      </c>
    </row>
    <row r="445" spans="2:14" ht="14.4">
      <c r="B445" s="77">
        <v>45504</v>
      </c>
      <c r="C445" s="118" t="s">
        <v>715</v>
      </c>
      <c r="D445" s="68" t="s">
        <v>716</v>
      </c>
      <c r="E445" s="131"/>
      <c r="F445" s="132"/>
      <c r="G445" s="140">
        <v>0.96099999999999997</v>
      </c>
      <c r="H445" s="137" t="s">
        <v>488</v>
      </c>
      <c r="I445" s="72" t="s">
        <v>689</v>
      </c>
      <c r="J445" s="72">
        <v>8311</v>
      </c>
      <c r="K445" s="92" t="str">
        <f>TEXT(DataAct_tbl[[#This Row],[DATE]],"MMM")</f>
        <v>Jul</v>
      </c>
      <c r="L445">
        <f>COUNTIF($H$6:H445,H445)</f>
        <v>14</v>
      </c>
      <c r="M445" s="68" t="str">
        <f>IF(AND(ISNA(VLOOKUP(DataAct_tbl[[#This Row],[BG CODE]],DataOB[Budget code],1,0)),DataAct_tbl[[#This Row],[Check Dub]]=1),"NEW","")</f>
        <v/>
      </c>
      <c r="N445" s="68" t="b">
        <f>AND(DataAct_tbl[[#This Row],[DATE]]&gt;=FirstDate,DataAct_tbl[[#This Row],[DATE]]&lt;=LastDate)</f>
        <v>1</v>
      </c>
    </row>
    <row r="446" spans="2:14" ht="14.4">
      <c r="B446" s="77"/>
      <c r="E446" s="131"/>
      <c r="F446" s="132"/>
      <c r="H446" s="137"/>
      <c r="K446" s="92"/>
      <c r="L446"/>
    </row>
    <row r="447" spans="2:14" ht="14.4">
      <c r="B447" s="77"/>
      <c r="E447" s="131"/>
      <c r="F447" s="132"/>
      <c r="H447" s="137"/>
      <c r="K447" s="92"/>
      <c r="L447"/>
    </row>
    <row r="448" spans="2:14" ht="14.4">
      <c r="B448" s="77"/>
      <c r="E448" s="131"/>
      <c r="F448" s="132"/>
      <c r="H448" s="137"/>
      <c r="K448" s="92"/>
      <c r="L448"/>
    </row>
    <row r="449" spans="2:12" ht="14.4">
      <c r="B449" s="77"/>
      <c r="E449" s="131"/>
      <c r="F449" s="132"/>
      <c r="H449" s="137"/>
      <c r="K449" s="92"/>
      <c r="L449"/>
    </row>
    <row r="450" spans="2:12" ht="14.4">
      <c r="B450" s="77"/>
      <c r="E450" s="131"/>
      <c r="F450" s="132"/>
      <c r="H450" s="137"/>
      <c r="K450" s="92"/>
      <c r="L450"/>
    </row>
    <row r="451" spans="2:12" ht="14.4">
      <c r="B451" s="77"/>
      <c r="E451" s="131"/>
      <c r="F451" s="132"/>
      <c r="H451" s="137"/>
      <c r="K451" s="92"/>
      <c r="L451"/>
    </row>
    <row r="452" spans="2:12" ht="14.4">
      <c r="B452" s="77"/>
      <c r="E452" s="131"/>
      <c r="F452" s="132"/>
      <c r="H452" s="137"/>
      <c r="K452" s="92"/>
      <c r="L452"/>
    </row>
    <row r="453" spans="2:12" ht="14.4">
      <c r="B453" s="77"/>
      <c r="E453" s="131"/>
      <c r="F453" s="132"/>
      <c r="H453" s="137"/>
      <c r="K453" s="92"/>
      <c r="L453"/>
    </row>
    <row r="454" spans="2:12" ht="14.4">
      <c r="B454" s="77"/>
      <c r="E454" s="131"/>
      <c r="F454" s="132"/>
      <c r="H454" s="137"/>
      <c r="K454" s="92"/>
      <c r="L454"/>
    </row>
    <row r="455" spans="2:12" ht="14.4">
      <c r="B455" s="77"/>
      <c r="E455" s="131"/>
      <c r="F455" s="132"/>
      <c r="H455" s="137"/>
      <c r="K455" s="92"/>
      <c r="L455"/>
    </row>
    <row r="456" spans="2:12" ht="14.4">
      <c r="B456" s="77"/>
      <c r="E456" s="131"/>
      <c r="F456" s="132"/>
      <c r="H456" s="137"/>
      <c r="K456" s="92"/>
      <c r="L456"/>
    </row>
    <row r="457" spans="2:12" ht="14.4">
      <c r="B457" s="77"/>
      <c r="E457" s="131"/>
      <c r="F457" s="132"/>
      <c r="H457" s="137"/>
      <c r="K457" s="92"/>
      <c r="L457"/>
    </row>
    <row r="458" spans="2:12" ht="14.4">
      <c r="B458" s="77"/>
      <c r="E458" s="131"/>
      <c r="F458" s="132"/>
      <c r="H458" s="137"/>
      <c r="K458" s="92"/>
      <c r="L458"/>
    </row>
    <row r="459" spans="2:12" ht="14.4">
      <c r="B459" s="77"/>
      <c r="E459" s="131"/>
      <c r="F459" s="132"/>
      <c r="H459" s="137"/>
      <c r="K459" s="92"/>
      <c r="L459"/>
    </row>
    <row r="460" spans="2:12" ht="14.4">
      <c r="B460" s="77"/>
      <c r="E460" s="131"/>
      <c r="F460" s="132"/>
      <c r="H460" s="137"/>
      <c r="K460" s="92"/>
      <c r="L460"/>
    </row>
    <row r="461" spans="2:12" ht="14.4">
      <c r="B461" s="77"/>
      <c r="E461" s="131"/>
      <c r="F461" s="132"/>
      <c r="H461" s="137"/>
      <c r="K461" s="92"/>
      <c r="L461"/>
    </row>
    <row r="462" spans="2:12" ht="14.4">
      <c r="B462" s="77"/>
      <c r="E462" s="131"/>
      <c r="F462" s="132"/>
      <c r="H462" s="137"/>
      <c r="K462" s="92"/>
      <c r="L462"/>
    </row>
    <row r="463" spans="2:12" ht="14.4">
      <c r="B463" s="77"/>
      <c r="E463" s="131"/>
      <c r="F463" s="132"/>
      <c r="H463" s="137"/>
      <c r="K463" s="92"/>
      <c r="L463"/>
    </row>
    <row r="464" spans="2:12" ht="14.4">
      <c r="B464" s="77"/>
      <c r="E464" s="131"/>
      <c r="F464" s="132"/>
      <c r="H464" s="137"/>
      <c r="K464" s="92"/>
      <c r="L464"/>
    </row>
    <row r="465" spans="2:12" ht="14.4">
      <c r="B465" s="77"/>
      <c r="E465" s="131"/>
      <c r="F465" s="132"/>
      <c r="H465" s="137"/>
      <c r="K465" s="92"/>
      <c r="L465"/>
    </row>
    <row r="466" spans="2:12" ht="14.4">
      <c r="B466" s="77"/>
      <c r="E466" s="131"/>
      <c r="F466" s="132"/>
      <c r="H466" s="137"/>
      <c r="K466" s="92"/>
      <c r="L466"/>
    </row>
    <row r="467" spans="2:12" ht="14.4">
      <c r="B467" s="77"/>
      <c r="E467" s="131"/>
      <c r="F467" s="132"/>
      <c r="H467" s="137"/>
      <c r="K467" s="92"/>
      <c r="L467"/>
    </row>
    <row r="468" spans="2:12" ht="14.4">
      <c r="B468" s="77"/>
      <c r="E468" s="131"/>
      <c r="F468" s="132"/>
      <c r="H468" s="137"/>
      <c r="K468" s="92"/>
      <c r="L468"/>
    </row>
    <row r="469" spans="2:12" ht="14.4">
      <c r="B469" s="77"/>
      <c r="E469" s="131"/>
      <c r="F469" s="132"/>
      <c r="H469" s="137"/>
      <c r="K469" s="92"/>
      <c r="L469"/>
    </row>
    <row r="470" spans="2:12" ht="14.4">
      <c r="B470" s="77"/>
      <c r="E470" s="131"/>
      <c r="F470" s="132"/>
      <c r="H470" s="137"/>
      <c r="K470" s="92"/>
      <c r="L470"/>
    </row>
    <row r="471" spans="2:12" ht="14.4">
      <c r="B471" s="77"/>
      <c r="E471" s="131"/>
      <c r="F471" s="132"/>
      <c r="H471" s="137"/>
      <c r="K471" s="92"/>
      <c r="L471"/>
    </row>
    <row r="472" spans="2:12" ht="14.4">
      <c r="B472" s="77"/>
      <c r="E472" s="131"/>
      <c r="F472" s="132"/>
      <c r="H472" s="137"/>
      <c r="K472" s="92"/>
      <c r="L472"/>
    </row>
    <row r="473" spans="2:12" ht="14.4">
      <c r="B473" s="77"/>
      <c r="E473" s="131"/>
      <c r="F473" s="132"/>
      <c r="H473" s="137"/>
      <c r="K473" s="92"/>
      <c r="L473"/>
    </row>
    <row r="474" spans="2:12" ht="14.4">
      <c r="B474" s="77"/>
      <c r="E474" s="131"/>
      <c r="F474" s="132"/>
      <c r="H474" s="137"/>
      <c r="K474" s="92"/>
      <c r="L474"/>
    </row>
    <row r="475" spans="2:12" ht="14.4">
      <c r="B475" s="77"/>
      <c r="E475" s="131"/>
      <c r="F475" s="132"/>
      <c r="H475" s="137"/>
      <c r="K475" s="92"/>
      <c r="L475"/>
    </row>
    <row r="476" spans="2:12" ht="14.4">
      <c r="B476" s="77"/>
      <c r="E476" s="131"/>
      <c r="F476" s="132"/>
      <c r="H476" s="137"/>
      <c r="K476" s="92"/>
      <c r="L476"/>
    </row>
    <row r="477" spans="2:12" ht="14.4">
      <c r="B477" s="77"/>
      <c r="E477" s="131"/>
      <c r="F477" s="132"/>
      <c r="H477" s="137"/>
      <c r="K477" s="92"/>
      <c r="L477"/>
    </row>
    <row r="478" spans="2:12" ht="14.4">
      <c r="B478" s="77"/>
      <c r="E478" s="131"/>
      <c r="F478" s="132"/>
      <c r="H478" s="137"/>
      <c r="K478" s="92"/>
      <c r="L478"/>
    </row>
    <row r="479" spans="2:12" ht="14.4">
      <c r="B479" s="77"/>
      <c r="E479" s="131"/>
      <c r="F479" s="132"/>
      <c r="H479" s="137"/>
      <c r="K479" s="92"/>
      <c r="L479"/>
    </row>
    <row r="480" spans="2:12" ht="14.4">
      <c r="B480" s="77"/>
      <c r="E480" s="131"/>
      <c r="F480" s="132"/>
      <c r="H480" s="137"/>
      <c r="K480" s="92"/>
      <c r="L480"/>
    </row>
    <row r="481" spans="2:12" ht="14.4">
      <c r="B481" s="77"/>
      <c r="E481" s="131"/>
      <c r="F481" s="132"/>
      <c r="H481" s="137"/>
      <c r="K481" s="92"/>
      <c r="L481"/>
    </row>
    <row r="482" spans="2:12" ht="14.4">
      <c r="B482" s="77"/>
      <c r="E482" s="131"/>
      <c r="F482" s="132"/>
      <c r="H482" s="137"/>
      <c r="K482" s="92"/>
      <c r="L482"/>
    </row>
    <row r="483" spans="2:12" ht="14.4">
      <c r="B483" s="77"/>
      <c r="E483" s="131"/>
      <c r="F483" s="132"/>
      <c r="H483" s="137"/>
      <c r="K483" s="92"/>
      <c r="L483"/>
    </row>
    <row r="484" spans="2:12" ht="14.4">
      <c r="B484" s="77"/>
      <c r="E484" s="131"/>
      <c r="F484" s="132"/>
      <c r="H484" s="137"/>
      <c r="K484" s="92"/>
      <c r="L484"/>
    </row>
    <row r="485" spans="2:12" ht="14.4">
      <c r="B485" s="77"/>
      <c r="E485" s="131"/>
      <c r="F485" s="132"/>
      <c r="H485" s="137"/>
      <c r="K485" s="92"/>
      <c r="L485"/>
    </row>
    <row r="486" spans="2:12" ht="14.4">
      <c r="B486" s="77"/>
      <c r="E486" s="131"/>
      <c r="F486" s="132"/>
      <c r="H486" s="137"/>
      <c r="K486" s="92"/>
      <c r="L486"/>
    </row>
    <row r="487" spans="2:12" ht="14.4">
      <c r="B487" s="77"/>
      <c r="E487" s="131"/>
      <c r="F487" s="132"/>
      <c r="H487" s="137"/>
      <c r="K487" s="92"/>
      <c r="L487"/>
    </row>
    <row r="488" spans="2:12" ht="14.4">
      <c r="B488" s="77"/>
      <c r="E488" s="131"/>
      <c r="F488" s="132"/>
      <c r="H488" s="137"/>
      <c r="K488" s="92"/>
      <c r="L488"/>
    </row>
    <row r="489" spans="2:12" ht="14.4">
      <c r="B489" s="77"/>
      <c r="E489" s="131"/>
      <c r="F489" s="132"/>
      <c r="H489" s="137"/>
      <c r="K489" s="92"/>
      <c r="L489"/>
    </row>
    <row r="490" spans="2:12" ht="14.4">
      <c r="B490" s="77"/>
      <c r="E490" s="131"/>
      <c r="F490" s="132"/>
      <c r="H490" s="137"/>
      <c r="K490" s="92"/>
      <c r="L490"/>
    </row>
    <row r="491" spans="2:12" ht="14.4">
      <c r="B491" s="77"/>
      <c r="E491" s="131"/>
      <c r="F491" s="132"/>
      <c r="H491" s="137"/>
      <c r="K491" s="92"/>
      <c r="L491"/>
    </row>
    <row r="492" spans="2:12" ht="14.4">
      <c r="B492" s="77"/>
      <c r="E492" s="131"/>
      <c r="F492" s="132"/>
      <c r="H492" s="137"/>
      <c r="K492" s="92"/>
      <c r="L492"/>
    </row>
    <row r="493" spans="2:12" ht="14.4">
      <c r="B493" s="77"/>
      <c r="E493" s="131"/>
      <c r="F493" s="132"/>
      <c r="H493" s="137"/>
      <c r="K493" s="92"/>
      <c r="L493"/>
    </row>
    <row r="494" spans="2:12" ht="14.4">
      <c r="B494" s="77"/>
      <c r="E494" s="131"/>
      <c r="F494" s="132"/>
      <c r="H494" s="137"/>
      <c r="K494" s="92"/>
      <c r="L494"/>
    </row>
    <row r="495" spans="2:12" ht="14.4">
      <c r="B495" s="77"/>
      <c r="E495" s="131"/>
      <c r="F495" s="132"/>
      <c r="H495" s="137"/>
      <c r="K495" s="92"/>
      <c r="L495"/>
    </row>
    <row r="496" spans="2:12" ht="14.4">
      <c r="B496" s="77"/>
      <c r="E496" s="131"/>
      <c r="F496" s="132"/>
      <c r="H496" s="137"/>
      <c r="K496" s="92"/>
      <c r="L496"/>
    </row>
    <row r="497" spans="2:12" ht="14.4">
      <c r="B497" s="77"/>
      <c r="E497" s="131"/>
      <c r="F497" s="132"/>
      <c r="H497" s="137"/>
      <c r="K497" s="92"/>
      <c r="L497"/>
    </row>
    <row r="498" spans="2:12" ht="14.4">
      <c r="B498" s="77"/>
      <c r="E498" s="131"/>
      <c r="F498" s="132"/>
      <c r="H498" s="137"/>
      <c r="K498" s="92"/>
      <c r="L498"/>
    </row>
    <row r="499" spans="2:12" ht="14.4">
      <c r="B499" s="77"/>
      <c r="E499" s="131"/>
      <c r="F499" s="132"/>
      <c r="H499" s="137"/>
      <c r="K499" s="92"/>
      <c r="L499"/>
    </row>
    <row r="500" spans="2:12" ht="14.4">
      <c r="B500" s="77"/>
      <c r="E500" s="131"/>
      <c r="F500" s="132"/>
      <c r="H500" s="137"/>
      <c r="K500" s="92"/>
      <c r="L500"/>
    </row>
    <row r="501" spans="2:12" ht="14.4">
      <c r="B501" s="77"/>
      <c r="E501" s="131"/>
      <c r="F501" s="132"/>
      <c r="H501" s="137"/>
      <c r="K501" s="92"/>
      <c r="L501"/>
    </row>
    <row r="502" spans="2:12" ht="14.4">
      <c r="B502" s="77"/>
      <c r="E502" s="131"/>
      <c r="F502" s="132"/>
      <c r="H502" s="137"/>
      <c r="K502" s="92"/>
      <c r="L502"/>
    </row>
    <row r="503" spans="2:12" ht="14.4">
      <c r="B503" s="77"/>
      <c r="E503" s="131"/>
      <c r="F503" s="132"/>
      <c r="H503" s="137"/>
      <c r="K503" s="92"/>
      <c r="L503"/>
    </row>
    <row r="504" spans="2:12" ht="14.4">
      <c r="B504" s="77"/>
      <c r="E504" s="131"/>
      <c r="F504" s="132"/>
      <c r="H504" s="137"/>
      <c r="K504" s="92"/>
      <c r="L504"/>
    </row>
    <row r="505" spans="2:12" ht="14.4">
      <c r="B505" s="77"/>
      <c r="E505" s="131"/>
      <c r="F505" s="132"/>
      <c r="H505" s="137"/>
      <c r="K505" s="92"/>
      <c r="L505"/>
    </row>
    <row r="506" spans="2:12" ht="14.4">
      <c r="B506" s="77"/>
      <c r="E506" s="131"/>
      <c r="F506" s="132"/>
      <c r="H506" s="137"/>
      <c r="K506" s="92"/>
      <c r="L506"/>
    </row>
    <row r="507" spans="2:12" ht="14.4">
      <c r="B507" s="77"/>
      <c r="E507" s="131"/>
      <c r="F507" s="132"/>
      <c r="H507" s="137"/>
      <c r="K507" s="92"/>
      <c r="L507"/>
    </row>
    <row r="508" spans="2:12" ht="14.4">
      <c r="B508" s="77"/>
      <c r="E508" s="131"/>
      <c r="F508" s="132"/>
      <c r="H508" s="137"/>
      <c r="K508" s="92"/>
      <c r="L508"/>
    </row>
    <row r="509" spans="2:12" ht="14.4">
      <c r="B509" s="77"/>
      <c r="E509" s="131"/>
      <c r="F509" s="132"/>
      <c r="H509" s="137"/>
      <c r="K509" s="92"/>
      <c r="L509"/>
    </row>
    <row r="510" spans="2:12" ht="14.4">
      <c r="B510" s="77"/>
      <c r="E510" s="131"/>
      <c r="F510" s="132"/>
      <c r="H510" s="137"/>
      <c r="K510" s="92"/>
      <c r="L510"/>
    </row>
    <row r="511" spans="2:12" ht="14.4">
      <c r="B511" s="77"/>
      <c r="E511" s="131"/>
      <c r="F511" s="132"/>
      <c r="H511" s="137"/>
      <c r="K511" s="92"/>
      <c r="L511"/>
    </row>
    <row r="512" spans="2:12" ht="14.4">
      <c r="B512" s="77"/>
      <c r="E512" s="131"/>
      <c r="F512" s="132"/>
      <c r="H512" s="137"/>
      <c r="K512" s="92"/>
      <c r="L512"/>
    </row>
    <row r="513" spans="2:12" ht="14.4">
      <c r="B513" s="77"/>
      <c r="E513" s="131"/>
      <c r="F513" s="132"/>
      <c r="H513" s="137"/>
      <c r="K513" s="92"/>
      <c r="L513"/>
    </row>
    <row r="514" spans="2:12" ht="14.4">
      <c r="B514" s="77"/>
      <c r="E514" s="131"/>
      <c r="F514" s="132"/>
      <c r="K514" s="92"/>
      <c r="L514"/>
    </row>
    <row r="515" spans="2:12" ht="14.4">
      <c r="B515" s="77"/>
      <c r="E515" s="131"/>
      <c r="F515" s="132"/>
      <c r="H515" s="137"/>
      <c r="K515" s="92"/>
      <c r="L515"/>
    </row>
    <row r="516" spans="2:12" ht="14.4">
      <c r="B516" s="77"/>
      <c r="E516" s="131"/>
      <c r="F516" s="132"/>
      <c r="H516" s="137"/>
      <c r="K516" s="92"/>
      <c r="L516"/>
    </row>
    <row r="517" spans="2:12" ht="14.4">
      <c r="B517" s="77"/>
      <c r="E517" s="131"/>
      <c r="F517" s="132"/>
      <c r="H517" s="137"/>
      <c r="K517" s="92"/>
      <c r="L517"/>
    </row>
    <row r="518" spans="2:12" ht="14.4">
      <c r="B518" s="77"/>
      <c r="E518" s="131"/>
      <c r="F518" s="132"/>
      <c r="H518" s="137"/>
      <c r="K518" s="92"/>
      <c r="L518"/>
    </row>
    <row r="519" spans="2:12" ht="14.4">
      <c r="B519" s="77"/>
      <c r="E519" s="131"/>
      <c r="F519" s="132"/>
      <c r="H519" s="137"/>
      <c r="K519" s="92"/>
      <c r="L519"/>
    </row>
    <row r="520" spans="2:12" ht="14.4">
      <c r="B520" s="77"/>
      <c r="E520" s="131"/>
      <c r="F520" s="132"/>
      <c r="H520" s="137"/>
      <c r="K520" s="92"/>
      <c r="L520"/>
    </row>
    <row r="521" spans="2:12" ht="14.4">
      <c r="B521" s="77"/>
      <c r="E521" s="131"/>
      <c r="F521" s="132"/>
      <c r="H521" s="137"/>
      <c r="K521" s="92"/>
      <c r="L521"/>
    </row>
    <row r="522" spans="2:12" ht="14.4">
      <c r="B522" s="77"/>
      <c r="E522" s="131"/>
      <c r="F522" s="132"/>
      <c r="H522" s="137"/>
      <c r="K522" s="92"/>
      <c r="L522"/>
    </row>
    <row r="523" spans="2:12" ht="14.4">
      <c r="B523" s="77"/>
      <c r="E523" s="131"/>
      <c r="F523" s="132"/>
      <c r="H523" s="137"/>
      <c r="K523" s="92"/>
      <c r="L523"/>
    </row>
    <row r="524" spans="2:12" ht="14.4">
      <c r="B524" s="77"/>
      <c r="E524" s="131"/>
      <c r="F524" s="132"/>
      <c r="H524" s="137"/>
      <c r="K524" s="92"/>
      <c r="L524"/>
    </row>
    <row r="525" spans="2:12" ht="14.4">
      <c r="B525" s="77"/>
      <c r="E525" s="131"/>
      <c r="F525" s="132"/>
      <c r="H525" s="137"/>
      <c r="K525" s="92"/>
      <c r="L525"/>
    </row>
    <row r="526" spans="2:12" ht="14.4">
      <c r="B526" s="77"/>
      <c r="E526" s="131"/>
      <c r="F526" s="132"/>
      <c r="H526" s="137"/>
      <c r="K526" s="92"/>
      <c r="L526"/>
    </row>
    <row r="527" spans="2:12" ht="14.4">
      <c r="B527" s="77"/>
      <c r="E527" s="131"/>
      <c r="F527" s="132"/>
      <c r="H527" s="137"/>
      <c r="K527" s="92"/>
      <c r="L527"/>
    </row>
    <row r="528" spans="2:12" ht="14.4">
      <c r="B528" s="77"/>
      <c r="E528" s="131"/>
      <c r="F528" s="132"/>
      <c r="H528" s="137"/>
      <c r="K528" s="92"/>
      <c r="L528"/>
    </row>
    <row r="529" spans="2:12" ht="14.4">
      <c r="B529" s="77"/>
      <c r="E529" s="131"/>
      <c r="F529" s="132"/>
      <c r="H529" s="137"/>
      <c r="K529" s="92"/>
      <c r="L529"/>
    </row>
    <row r="530" spans="2:12" ht="14.4">
      <c r="B530" s="77"/>
      <c r="E530" s="131"/>
      <c r="F530" s="132"/>
      <c r="H530" s="137"/>
      <c r="K530" s="92"/>
      <c r="L530"/>
    </row>
    <row r="531" spans="2:12" ht="14.4">
      <c r="B531" s="77"/>
      <c r="E531" s="131"/>
      <c r="F531" s="132"/>
      <c r="H531" s="137"/>
      <c r="K531" s="92"/>
      <c r="L531"/>
    </row>
    <row r="532" spans="2:12" ht="14.4">
      <c r="B532" s="77"/>
      <c r="E532" s="131"/>
      <c r="F532" s="132"/>
      <c r="H532" s="137"/>
      <c r="K532" s="92"/>
      <c r="L532"/>
    </row>
    <row r="533" spans="2:12" ht="14.4">
      <c r="B533" s="77"/>
      <c r="E533" s="131"/>
      <c r="F533" s="132"/>
      <c r="H533" s="137"/>
      <c r="K533" s="92"/>
      <c r="L533"/>
    </row>
    <row r="534" spans="2:12" ht="14.4">
      <c r="B534" s="77"/>
      <c r="E534" s="131"/>
      <c r="F534" s="132"/>
      <c r="H534" s="137"/>
      <c r="K534" s="92"/>
      <c r="L534"/>
    </row>
    <row r="535" spans="2:12" ht="14.4">
      <c r="B535" s="77"/>
      <c r="E535" s="131"/>
      <c r="F535" s="132"/>
      <c r="H535" s="137"/>
      <c r="K535" s="92"/>
      <c r="L535"/>
    </row>
    <row r="536" spans="2:12" ht="14.4">
      <c r="B536" s="77"/>
      <c r="E536" s="131"/>
      <c r="F536" s="132"/>
      <c r="H536" s="137"/>
      <c r="K536" s="92"/>
      <c r="L536"/>
    </row>
    <row r="537" spans="2:12" ht="14.4">
      <c r="B537" s="77"/>
      <c r="E537" s="131"/>
      <c r="F537" s="132"/>
      <c r="H537" s="137"/>
      <c r="K537" s="92"/>
      <c r="L537"/>
    </row>
    <row r="538" spans="2:12" ht="14.4">
      <c r="B538" s="77"/>
      <c r="E538" s="131"/>
      <c r="F538" s="132"/>
      <c r="H538" s="137"/>
      <c r="K538" s="92"/>
      <c r="L538"/>
    </row>
    <row r="539" spans="2:12" ht="14.4">
      <c r="B539" s="77"/>
      <c r="E539" s="131"/>
      <c r="F539" s="132"/>
      <c r="H539" s="137"/>
      <c r="K539" s="92"/>
      <c r="L539"/>
    </row>
    <row r="540" spans="2:12" ht="14.4">
      <c r="B540" s="77"/>
      <c r="E540" s="131"/>
      <c r="F540" s="132"/>
      <c r="K540" s="92"/>
      <c r="L540"/>
    </row>
    <row r="541" spans="2:12" ht="14.4">
      <c r="B541" s="77"/>
      <c r="E541" s="131"/>
      <c r="F541" s="132"/>
      <c r="K541" s="92"/>
      <c r="L541"/>
    </row>
    <row r="542" spans="2:12" ht="14.4">
      <c r="B542" s="77"/>
      <c r="E542" s="131"/>
      <c r="F542" s="132"/>
      <c r="H542" s="137"/>
      <c r="K542" s="92"/>
      <c r="L542"/>
    </row>
    <row r="543" spans="2:12" ht="14.4">
      <c r="B543" s="77"/>
      <c r="E543" s="131"/>
      <c r="F543" s="132"/>
      <c r="K543" s="92"/>
      <c r="L543"/>
    </row>
    <row r="544" spans="2:12" ht="14.4">
      <c r="B544" s="77"/>
      <c r="E544" s="131"/>
      <c r="F544" s="132"/>
      <c r="K544" s="92"/>
      <c r="L544"/>
    </row>
    <row r="545" spans="2:12" ht="14.4">
      <c r="B545" s="77"/>
      <c r="E545" s="131"/>
      <c r="F545" s="132"/>
      <c r="K545" s="92"/>
      <c r="L545"/>
    </row>
    <row r="546" spans="2:12" ht="14.4">
      <c r="B546" s="77"/>
      <c r="E546" s="131"/>
      <c r="F546" s="132"/>
      <c r="K546" s="92"/>
      <c r="L546"/>
    </row>
    <row r="547" spans="2:12" ht="14.4">
      <c r="B547" s="77"/>
      <c r="E547" s="131"/>
      <c r="F547" s="132"/>
      <c r="K547" s="92"/>
      <c r="L547"/>
    </row>
    <row r="548" spans="2:12" ht="14.4">
      <c r="B548" s="77"/>
      <c r="E548" s="131"/>
      <c r="F548" s="132"/>
      <c r="K548" s="92"/>
      <c r="L548"/>
    </row>
    <row r="549" spans="2:12" ht="14.4">
      <c r="B549" s="77"/>
      <c r="E549" s="131"/>
      <c r="F549" s="132"/>
      <c r="K549" s="92"/>
      <c r="L549"/>
    </row>
    <row r="550" spans="2:12" ht="14.4">
      <c r="B550" s="77"/>
      <c r="E550" s="131"/>
      <c r="F550" s="132"/>
      <c r="K550" s="92"/>
      <c r="L550"/>
    </row>
    <row r="551" spans="2:12" ht="14.4">
      <c r="B551" s="77"/>
      <c r="E551" s="131"/>
      <c r="F551" s="132"/>
      <c r="K551" s="92"/>
      <c r="L551"/>
    </row>
    <row r="552" spans="2:12" ht="14.4">
      <c r="B552" s="77"/>
      <c r="E552" s="131"/>
      <c r="F552" s="132"/>
      <c r="K552" s="92"/>
      <c r="L552"/>
    </row>
    <row r="553" spans="2:12" ht="14.4">
      <c r="B553" s="77"/>
      <c r="E553" s="131"/>
      <c r="F553" s="132"/>
      <c r="K553" s="92"/>
      <c r="L553"/>
    </row>
    <row r="554" spans="2:12" ht="14.4">
      <c r="B554" s="77"/>
      <c r="E554" s="131"/>
      <c r="F554" s="132"/>
      <c r="K554" s="92"/>
      <c r="L554"/>
    </row>
    <row r="555" spans="2:12" ht="14.4">
      <c r="B555" s="77"/>
      <c r="E555" s="131"/>
      <c r="F555" s="132"/>
      <c r="K555" s="92"/>
      <c r="L555"/>
    </row>
    <row r="556" spans="2:12" ht="14.4">
      <c r="B556" s="77"/>
      <c r="E556" s="131"/>
      <c r="F556" s="132"/>
      <c r="K556" s="92"/>
      <c r="L556"/>
    </row>
    <row r="557" spans="2:12" ht="14.4">
      <c r="B557" s="77"/>
      <c r="E557" s="131"/>
      <c r="F557" s="132"/>
      <c r="K557" s="92"/>
      <c r="L557"/>
    </row>
    <row r="558" spans="2:12" ht="14.4">
      <c r="B558" s="77"/>
      <c r="E558" s="131"/>
      <c r="F558" s="132"/>
      <c r="K558" s="92"/>
      <c r="L558"/>
    </row>
    <row r="559" spans="2:12" ht="14.4">
      <c r="B559" s="77"/>
      <c r="E559" s="131"/>
      <c r="F559" s="132"/>
      <c r="K559" s="92"/>
      <c r="L559"/>
    </row>
    <row r="560" spans="2:12" ht="14.4">
      <c r="B560" s="77"/>
      <c r="E560" s="131"/>
      <c r="F560" s="132"/>
      <c r="K560" s="92"/>
      <c r="L560"/>
    </row>
    <row r="561" spans="2:12" ht="14.4">
      <c r="B561" s="77"/>
      <c r="E561" s="131"/>
      <c r="F561" s="132"/>
      <c r="K561" s="92"/>
      <c r="L561"/>
    </row>
    <row r="562" spans="2:12" ht="14.4">
      <c r="B562" s="77"/>
      <c r="E562" s="131"/>
      <c r="F562" s="132"/>
      <c r="K562" s="92"/>
      <c r="L562"/>
    </row>
    <row r="563" spans="2:12" ht="14.4">
      <c r="B563" s="77"/>
      <c r="E563" s="131"/>
      <c r="F563" s="132"/>
      <c r="K563" s="92"/>
      <c r="L563"/>
    </row>
    <row r="564" spans="2:12" ht="14.4">
      <c r="B564" s="77"/>
      <c r="E564" s="131"/>
      <c r="F564" s="132"/>
      <c r="K564" s="92"/>
      <c r="L564"/>
    </row>
    <row r="565" spans="2:12" ht="14.4">
      <c r="B565" s="77"/>
      <c r="E565" s="131"/>
      <c r="F565" s="132"/>
      <c r="K565" s="92"/>
      <c r="L565"/>
    </row>
    <row r="566" spans="2:12" ht="14.4">
      <c r="B566" s="77"/>
      <c r="E566" s="131"/>
      <c r="F566" s="132"/>
      <c r="K566" s="92"/>
      <c r="L566"/>
    </row>
    <row r="567" spans="2:12" ht="14.4">
      <c r="B567" s="77"/>
      <c r="E567" s="131"/>
      <c r="F567" s="132"/>
      <c r="K567" s="92"/>
      <c r="L567"/>
    </row>
    <row r="568" spans="2:12" ht="14.4">
      <c r="B568" s="77"/>
      <c r="E568" s="131"/>
      <c r="F568" s="132"/>
      <c r="K568" s="92"/>
      <c r="L568"/>
    </row>
    <row r="569" spans="2:12" ht="14.4">
      <c r="B569" s="77"/>
      <c r="E569" s="131"/>
      <c r="F569" s="132"/>
      <c r="K569" s="92"/>
      <c r="L569"/>
    </row>
    <row r="570" spans="2:12" ht="14.4">
      <c r="B570" s="77"/>
      <c r="E570" s="131"/>
      <c r="F570" s="132"/>
      <c r="K570" s="92"/>
      <c r="L570"/>
    </row>
    <row r="571" spans="2:12" ht="14.4">
      <c r="B571" s="77"/>
      <c r="E571" s="131"/>
      <c r="F571" s="132"/>
      <c r="K571" s="92"/>
      <c r="L571"/>
    </row>
    <row r="572" spans="2:12" ht="14.4">
      <c r="B572" s="77"/>
      <c r="E572" s="131"/>
      <c r="F572" s="132"/>
      <c r="K572" s="92"/>
      <c r="L572"/>
    </row>
    <row r="573" spans="2:12" ht="14.4">
      <c r="B573" s="77"/>
      <c r="E573" s="131"/>
      <c r="F573" s="132"/>
      <c r="K573" s="92"/>
      <c r="L573"/>
    </row>
    <row r="574" spans="2:12" ht="14.4">
      <c r="B574" s="77"/>
      <c r="E574" s="131"/>
      <c r="F574" s="132"/>
      <c r="K574" s="92"/>
      <c r="L574"/>
    </row>
    <row r="575" spans="2:12" ht="14.4">
      <c r="B575" s="77"/>
      <c r="E575" s="131"/>
      <c r="F575" s="132"/>
      <c r="K575" s="92"/>
      <c r="L575"/>
    </row>
    <row r="576" spans="2:12" ht="14.4">
      <c r="B576" s="77"/>
      <c r="E576" s="131"/>
      <c r="F576" s="132"/>
      <c r="K576" s="92"/>
      <c r="L576"/>
    </row>
    <row r="577" spans="2:12" ht="14.4">
      <c r="B577" s="77"/>
      <c r="E577" s="131"/>
      <c r="F577" s="132"/>
      <c r="K577" s="92"/>
      <c r="L577"/>
    </row>
    <row r="578" spans="2:12" ht="14.4">
      <c r="B578" s="77"/>
      <c r="E578" s="131"/>
      <c r="F578" s="132"/>
      <c r="K578" s="92"/>
      <c r="L578"/>
    </row>
    <row r="579" spans="2:12" ht="14.4">
      <c r="B579" s="77"/>
      <c r="E579" s="131"/>
      <c r="F579" s="132"/>
      <c r="K579" s="92"/>
      <c r="L579"/>
    </row>
    <row r="580" spans="2:12" ht="14.4">
      <c r="B580" s="77"/>
      <c r="E580" s="131"/>
      <c r="F580" s="132"/>
      <c r="K580" s="92"/>
      <c r="L580"/>
    </row>
    <row r="581" spans="2:12" ht="14.4">
      <c r="B581" s="77"/>
      <c r="E581" s="131"/>
      <c r="F581" s="132"/>
      <c r="K581" s="92"/>
      <c r="L581"/>
    </row>
    <row r="582" spans="2:12" ht="14.4">
      <c r="B582" s="77"/>
      <c r="E582" s="131"/>
      <c r="F582" s="132"/>
      <c r="K582" s="92"/>
      <c r="L582"/>
    </row>
    <row r="583" spans="2:12" ht="14.4">
      <c r="B583" s="77"/>
      <c r="E583" s="131"/>
      <c r="F583" s="132"/>
      <c r="K583" s="92"/>
      <c r="L583"/>
    </row>
    <row r="584" spans="2:12" ht="14.4">
      <c r="B584" s="77"/>
      <c r="E584" s="131"/>
      <c r="F584" s="132"/>
      <c r="K584" s="92"/>
      <c r="L584"/>
    </row>
    <row r="585" spans="2:12" ht="12.75" customHeight="1">
      <c r="B585" s="77"/>
      <c r="E585" s="131"/>
      <c r="F585" s="132"/>
      <c r="K585" s="92"/>
      <c r="L585"/>
    </row>
    <row r="586" spans="2:12" ht="14.4">
      <c r="B586" s="77"/>
      <c r="E586" s="131"/>
      <c r="F586" s="132"/>
      <c r="K586" s="92"/>
      <c r="L586"/>
    </row>
    <row r="587" spans="2:12" ht="14.4">
      <c r="B587" s="77"/>
      <c r="E587" s="131"/>
      <c r="F587" s="132"/>
      <c r="K587" s="92"/>
      <c r="L587"/>
    </row>
    <row r="588" spans="2:12" ht="14.4">
      <c r="B588" s="77"/>
      <c r="E588" s="131"/>
      <c r="F588" s="132"/>
      <c r="K588" s="92"/>
      <c r="L588"/>
    </row>
    <row r="589" spans="2:12" ht="14.4">
      <c r="B589" s="77"/>
      <c r="E589" s="131"/>
      <c r="F589" s="132"/>
      <c r="K589" s="92"/>
      <c r="L589"/>
    </row>
    <row r="590" spans="2:12" ht="14.4">
      <c r="B590" s="77"/>
      <c r="E590" s="131"/>
      <c r="F590" s="132"/>
      <c r="K590" s="92"/>
      <c r="L590"/>
    </row>
    <row r="591" spans="2:12" ht="14.4">
      <c r="B591" s="77"/>
      <c r="E591" s="131"/>
      <c r="F591" s="132"/>
      <c r="K591" s="92"/>
      <c r="L591"/>
    </row>
    <row r="592" spans="2:12" ht="14.4">
      <c r="B592" s="77"/>
      <c r="E592" s="131"/>
      <c r="F592" s="132"/>
      <c r="K592" s="92"/>
      <c r="L592"/>
    </row>
    <row r="593" spans="2:12" ht="14.4">
      <c r="B593" s="77"/>
      <c r="E593" s="131"/>
      <c r="F593" s="132"/>
      <c r="K593" s="92"/>
      <c r="L593"/>
    </row>
    <row r="594" spans="2:12" ht="14.4">
      <c r="B594" s="77"/>
      <c r="E594" s="131"/>
      <c r="F594" s="132"/>
      <c r="K594" s="92"/>
      <c r="L594"/>
    </row>
    <row r="595" spans="2:12" ht="14.4">
      <c r="B595" s="77"/>
      <c r="E595" s="131"/>
      <c r="F595" s="132"/>
      <c r="K595" s="92"/>
      <c r="L595"/>
    </row>
    <row r="596" spans="2:12" ht="14.4">
      <c r="B596" s="77"/>
      <c r="E596" s="131"/>
      <c r="F596" s="132"/>
      <c r="K596" s="92"/>
      <c r="L596"/>
    </row>
    <row r="597" spans="2:12" ht="14.4">
      <c r="B597" s="77"/>
      <c r="E597" s="131"/>
      <c r="F597" s="132"/>
      <c r="K597" s="92"/>
      <c r="L597"/>
    </row>
    <row r="598" spans="2:12" ht="14.4">
      <c r="B598" s="77"/>
      <c r="E598" s="131"/>
      <c r="F598" s="132"/>
      <c r="K598" s="92"/>
      <c r="L598"/>
    </row>
    <row r="599" spans="2:12" ht="14.4">
      <c r="B599" s="77"/>
      <c r="E599" s="131"/>
      <c r="F599" s="132"/>
      <c r="K599" s="92"/>
      <c r="L599"/>
    </row>
    <row r="600" spans="2:12" ht="14.4">
      <c r="B600" s="77"/>
      <c r="E600" s="131"/>
      <c r="F600" s="132"/>
      <c r="K600" s="92"/>
      <c r="L600"/>
    </row>
    <row r="601" spans="2:12" ht="14.4">
      <c r="B601" s="77"/>
      <c r="E601" s="131"/>
      <c r="F601" s="132"/>
      <c r="K601" s="92"/>
      <c r="L601"/>
    </row>
    <row r="602" spans="2:12" ht="14.4">
      <c r="B602" s="77"/>
      <c r="E602" s="131"/>
      <c r="F602" s="132"/>
      <c r="K602" s="92"/>
      <c r="L602"/>
    </row>
    <row r="603" spans="2:12" ht="14.4">
      <c r="B603" s="77"/>
      <c r="E603" s="131"/>
      <c r="F603" s="132"/>
      <c r="K603" s="92"/>
      <c r="L603"/>
    </row>
    <row r="604" spans="2:12" ht="14.4">
      <c r="B604" s="77"/>
      <c r="E604" s="131"/>
      <c r="F604" s="132"/>
      <c r="K604" s="92"/>
      <c r="L604"/>
    </row>
    <row r="605" spans="2:12" ht="14.4">
      <c r="B605" s="77"/>
      <c r="E605" s="131"/>
      <c r="F605" s="132"/>
      <c r="K605" s="92"/>
      <c r="L605"/>
    </row>
    <row r="606" spans="2:12" ht="14.4">
      <c r="B606" s="77"/>
      <c r="E606" s="131"/>
      <c r="F606" s="132"/>
      <c r="K606" s="92"/>
      <c r="L606"/>
    </row>
    <row r="607" spans="2:12" ht="14.4">
      <c r="B607" s="77"/>
      <c r="E607" s="131"/>
      <c r="F607" s="132"/>
      <c r="K607" s="92"/>
      <c r="L607"/>
    </row>
    <row r="608" spans="2:12" ht="14.4">
      <c r="B608" s="77"/>
      <c r="E608" s="131"/>
      <c r="F608" s="132"/>
      <c r="K608" s="92"/>
      <c r="L608"/>
    </row>
    <row r="609" spans="2:12" ht="14.4">
      <c r="B609" s="77"/>
      <c r="E609" s="131"/>
      <c r="F609" s="132"/>
      <c r="K609" s="92"/>
      <c r="L609"/>
    </row>
    <row r="610" spans="2:12" ht="14.4">
      <c r="B610" s="77"/>
      <c r="E610" s="131"/>
      <c r="F610" s="132"/>
      <c r="K610" s="92"/>
      <c r="L610"/>
    </row>
    <row r="611" spans="2:12" ht="14.4">
      <c r="B611" s="77"/>
      <c r="E611" s="131"/>
      <c r="F611" s="132"/>
      <c r="K611" s="92"/>
      <c r="L611"/>
    </row>
    <row r="612" spans="2:12" ht="14.4">
      <c r="B612" s="77"/>
      <c r="E612" s="131"/>
      <c r="F612" s="132"/>
      <c r="K612" s="92"/>
      <c r="L612"/>
    </row>
    <row r="613" spans="2:12" ht="14.4">
      <c r="B613" s="77"/>
      <c r="E613" s="131"/>
      <c r="F613" s="132"/>
      <c r="K613" s="92"/>
      <c r="L613"/>
    </row>
    <row r="614" spans="2:12" ht="14.4">
      <c r="B614" s="77"/>
      <c r="E614" s="131"/>
      <c r="F614" s="132"/>
      <c r="K614" s="92"/>
      <c r="L614"/>
    </row>
    <row r="615" spans="2:12" ht="14.4">
      <c r="B615" s="77"/>
      <c r="E615" s="131"/>
      <c r="F615" s="132"/>
      <c r="K615" s="92"/>
      <c r="L615"/>
    </row>
    <row r="616" spans="2:12" ht="14.4">
      <c r="B616" s="77"/>
      <c r="E616" s="131"/>
      <c r="F616" s="132"/>
      <c r="K616" s="92"/>
      <c r="L616"/>
    </row>
    <row r="617" spans="2:12" ht="14.4">
      <c r="B617" s="77"/>
      <c r="E617" s="131"/>
      <c r="F617" s="132"/>
      <c r="K617" s="92"/>
      <c r="L617"/>
    </row>
    <row r="618" spans="2:12" ht="14.4">
      <c r="B618" s="77"/>
      <c r="E618" s="131"/>
      <c r="F618" s="132"/>
      <c r="K618" s="92"/>
      <c r="L618"/>
    </row>
    <row r="619" spans="2:12" ht="14.4">
      <c r="B619" s="77"/>
      <c r="E619" s="131"/>
      <c r="F619" s="132"/>
      <c r="K619" s="92"/>
      <c r="L619"/>
    </row>
    <row r="620" spans="2:12" ht="14.4">
      <c r="B620" s="77"/>
      <c r="E620" s="131"/>
      <c r="F620" s="132"/>
      <c r="K620" s="92"/>
      <c r="L620"/>
    </row>
    <row r="621" spans="2:12" ht="14.4">
      <c r="B621" s="77"/>
      <c r="E621" s="131"/>
      <c r="F621" s="132"/>
      <c r="K621" s="92"/>
      <c r="L621"/>
    </row>
    <row r="622" spans="2:12" ht="14.4">
      <c r="B622" s="77"/>
      <c r="E622" s="131"/>
      <c r="F622" s="132"/>
      <c r="K622" s="92"/>
      <c r="L622"/>
    </row>
    <row r="623" spans="2:12" ht="14.4">
      <c r="B623" s="77"/>
      <c r="E623" s="131"/>
      <c r="F623" s="132"/>
      <c r="K623" s="92"/>
      <c r="L623"/>
    </row>
    <row r="624" spans="2:12" ht="14.4">
      <c r="B624" s="77"/>
      <c r="E624" s="131"/>
      <c r="F624" s="132"/>
      <c r="K624" s="92"/>
      <c r="L624"/>
    </row>
    <row r="625" spans="2:12" ht="14.4">
      <c r="B625" s="77"/>
      <c r="E625" s="131"/>
      <c r="F625" s="132"/>
      <c r="K625" s="92"/>
      <c r="L625"/>
    </row>
    <row r="626" spans="2:12" ht="14.4">
      <c r="B626" s="77"/>
      <c r="E626" s="131"/>
      <c r="F626" s="132"/>
      <c r="K626" s="92"/>
      <c r="L626"/>
    </row>
    <row r="627" spans="2:12" ht="14.4">
      <c r="B627" s="77"/>
      <c r="E627" s="131"/>
      <c r="F627" s="132"/>
      <c r="K627" s="92"/>
      <c r="L627"/>
    </row>
    <row r="628" spans="2:12" ht="14.4">
      <c r="B628" s="77"/>
      <c r="E628" s="131"/>
      <c r="F628" s="132"/>
      <c r="K628" s="92"/>
      <c r="L628"/>
    </row>
    <row r="629" spans="2:12" ht="14.4">
      <c r="B629" s="77"/>
      <c r="E629" s="131"/>
      <c r="F629" s="132"/>
      <c r="K629" s="92"/>
      <c r="L629"/>
    </row>
    <row r="630" spans="2:12" ht="14.4">
      <c r="B630" s="77"/>
      <c r="E630" s="131"/>
      <c r="F630" s="132"/>
      <c r="K630" s="92"/>
      <c r="L630"/>
    </row>
    <row r="631" spans="2:12" ht="14.4">
      <c r="B631" s="77"/>
      <c r="E631" s="131"/>
      <c r="F631" s="132"/>
      <c r="K631" s="92"/>
      <c r="L631"/>
    </row>
    <row r="632" spans="2:12" ht="14.4">
      <c r="B632" s="77"/>
      <c r="E632" s="131"/>
      <c r="F632" s="132"/>
      <c r="K632" s="92"/>
      <c r="L632"/>
    </row>
    <row r="633" spans="2:12" ht="14.4">
      <c r="B633" s="77"/>
      <c r="E633" s="131"/>
      <c r="F633" s="132"/>
      <c r="K633" s="92"/>
      <c r="L633"/>
    </row>
    <row r="634" spans="2:12" ht="14.4">
      <c r="B634" s="77"/>
      <c r="E634" s="131"/>
      <c r="F634" s="132"/>
      <c r="H634" s="137"/>
      <c r="K634" s="92"/>
      <c r="L634"/>
    </row>
    <row r="635" spans="2:12" ht="14.4">
      <c r="B635" s="77"/>
      <c r="E635" s="131"/>
      <c r="F635" s="132"/>
      <c r="K635" s="92"/>
      <c r="L635"/>
    </row>
    <row r="636" spans="2:12" ht="14.4">
      <c r="B636" s="77"/>
      <c r="E636" s="131"/>
      <c r="F636" s="132"/>
      <c r="K636" s="92"/>
      <c r="L636"/>
    </row>
    <row r="637" spans="2:12" ht="14.4">
      <c r="B637" s="77"/>
      <c r="E637" s="131"/>
      <c r="F637" s="132"/>
      <c r="K637" s="92"/>
      <c r="L637"/>
    </row>
    <row r="638" spans="2:12" ht="14.4">
      <c r="B638" s="77"/>
      <c r="E638" s="131"/>
      <c r="F638" s="132"/>
      <c r="K638" s="92"/>
      <c r="L638"/>
    </row>
    <row r="639" spans="2:12" ht="14.4">
      <c r="B639" s="77"/>
      <c r="E639" s="131"/>
      <c r="F639" s="132"/>
      <c r="K639" s="92"/>
      <c r="L639"/>
    </row>
    <row r="640" spans="2:12" ht="14.4">
      <c r="B640" s="77"/>
      <c r="E640" s="131"/>
      <c r="F640" s="132"/>
      <c r="K640" s="92"/>
      <c r="L640"/>
    </row>
    <row r="641" spans="2:12" ht="14.4">
      <c r="B641" s="77"/>
      <c r="E641" s="131"/>
      <c r="F641" s="132"/>
      <c r="K641" s="92"/>
      <c r="L641"/>
    </row>
    <row r="642" spans="2:12" ht="14.4">
      <c r="B642" s="77"/>
      <c r="E642" s="131"/>
      <c r="F642" s="132"/>
      <c r="K642" s="92"/>
      <c r="L642"/>
    </row>
    <row r="643" spans="2:12" ht="14.4">
      <c r="B643" s="77"/>
      <c r="E643" s="131"/>
      <c r="F643" s="132"/>
      <c r="K643" s="92"/>
      <c r="L643"/>
    </row>
    <row r="644" spans="2:12" ht="14.4">
      <c r="B644" s="77"/>
      <c r="E644" s="131"/>
      <c r="F644" s="132"/>
      <c r="K644" s="92"/>
      <c r="L644"/>
    </row>
    <row r="645" spans="2:12" ht="14.4">
      <c r="B645" s="77"/>
      <c r="E645" s="131"/>
      <c r="F645" s="132"/>
      <c r="K645" s="92"/>
      <c r="L645"/>
    </row>
    <row r="646" spans="2:12" ht="14.4">
      <c r="B646" s="77"/>
      <c r="E646" s="131"/>
      <c r="F646" s="132"/>
      <c r="K646" s="92"/>
      <c r="L646"/>
    </row>
    <row r="647" spans="2:12" ht="14.4">
      <c r="B647" s="77"/>
      <c r="E647" s="131"/>
      <c r="F647" s="132"/>
      <c r="K647" s="92"/>
      <c r="L647"/>
    </row>
    <row r="648" spans="2:12" ht="14.4">
      <c r="B648" s="77"/>
      <c r="E648" s="131"/>
      <c r="F648" s="132"/>
      <c r="K648" s="92"/>
      <c r="L648"/>
    </row>
    <row r="649" spans="2:12" ht="14.4">
      <c r="B649" s="77"/>
      <c r="E649" s="131"/>
      <c r="F649" s="132"/>
      <c r="K649" s="92"/>
      <c r="L649"/>
    </row>
    <row r="650" spans="2:12" ht="14.4">
      <c r="B650" s="77"/>
      <c r="E650" s="131"/>
      <c r="F650" s="132"/>
      <c r="K650" s="92"/>
      <c r="L650"/>
    </row>
    <row r="651" spans="2:12" ht="14.4">
      <c r="B651" s="77"/>
      <c r="E651" s="131"/>
      <c r="F651" s="132"/>
      <c r="K651" s="92"/>
      <c r="L651"/>
    </row>
    <row r="652" spans="2:12" ht="14.4">
      <c r="B652" s="77"/>
      <c r="E652" s="131"/>
      <c r="F652" s="132"/>
      <c r="K652" s="92"/>
      <c r="L652"/>
    </row>
    <row r="653" spans="2:12" ht="14.4">
      <c r="B653" s="77"/>
      <c r="E653" s="131"/>
      <c r="F653" s="132"/>
      <c r="K653" s="92"/>
      <c r="L653"/>
    </row>
    <row r="654" spans="2:12" ht="14.4">
      <c r="B654" s="77"/>
      <c r="E654" s="131"/>
      <c r="F654" s="132"/>
      <c r="K654" s="92"/>
      <c r="L654"/>
    </row>
    <row r="655" spans="2:12" ht="14.4">
      <c r="B655" s="77"/>
      <c r="E655" s="131"/>
      <c r="F655" s="132"/>
      <c r="K655" s="92"/>
      <c r="L655"/>
    </row>
    <row r="656" spans="2:12" ht="14.4">
      <c r="B656" s="77"/>
      <c r="E656" s="131"/>
      <c r="F656" s="132"/>
      <c r="K656" s="92"/>
      <c r="L656"/>
    </row>
    <row r="657" spans="2:12" ht="14.4">
      <c r="B657" s="77"/>
      <c r="E657" s="131"/>
      <c r="F657" s="132"/>
      <c r="K657" s="92"/>
      <c r="L657"/>
    </row>
    <row r="658" spans="2:12" ht="14.4">
      <c r="B658" s="77"/>
      <c r="E658" s="131"/>
      <c r="F658" s="132"/>
      <c r="K658" s="92"/>
      <c r="L658"/>
    </row>
    <row r="659" spans="2:12" ht="14.4">
      <c r="B659" s="77"/>
      <c r="E659" s="131"/>
      <c r="F659" s="132"/>
      <c r="K659" s="92"/>
      <c r="L659"/>
    </row>
    <row r="660" spans="2:12" ht="14.4">
      <c r="B660" s="77"/>
      <c r="E660" s="131"/>
      <c r="F660" s="132"/>
      <c r="K660" s="92"/>
      <c r="L660"/>
    </row>
    <row r="661" spans="2:12" ht="14.4">
      <c r="B661" s="77"/>
      <c r="E661" s="131"/>
      <c r="F661" s="132"/>
      <c r="K661" s="92"/>
      <c r="L661"/>
    </row>
    <row r="662" spans="2:12" ht="14.4">
      <c r="B662" s="77"/>
      <c r="E662" s="131"/>
      <c r="F662" s="132"/>
      <c r="K662" s="92"/>
      <c r="L662"/>
    </row>
    <row r="663" spans="2:12" ht="14.4">
      <c r="B663" s="77"/>
      <c r="E663" s="131"/>
      <c r="F663" s="132"/>
      <c r="K663" s="92"/>
      <c r="L663"/>
    </row>
    <row r="664" spans="2:12" ht="14.4">
      <c r="B664" s="77"/>
      <c r="E664" s="131"/>
      <c r="F664" s="132"/>
      <c r="K664" s="92"/>
      <c r="L664"/>
    </row>
    <row r="665" spans="2:12" ht="14.4">
      <c r="B665" s="77"/>
      <c r="E665" s="131"/>
      <c r="F665" s="132"/>
      <c r="K665" s="92"/>
      <c r="L665"/>
    </row>
    <row r="666" spans="2:12" ht="14.4">
      <c r="B666" s="77"/>
      <c r="E666" s="131"/>
      <c r="F666" s="132"/>
      <c r="K666" s="92"/>
      <c r="L666"/>
    </row>
    <row r="667" spans="2:12" ht="14.4">
      <c r="B667" s="77"/>
      <c r="E667" s="131"/>
      <c r="F667" s="132"/>
      <c r="K667" s="92"/>
      <c r="L667"/>
    </row>
    <row r="668" spans="2:12" ht="14.4">
      <c r="B668" s="77"/>
      <c r="E668" s="131"/>
      <c r="F668" s="132"/>
      <c r="K668" s="92"/>
      <c r="L668"/>
    </row>
    <row r="669" spans="2:12" ht="14.4">
      <c r="B669" s="77"/>
      <c r="E669" s="131"/>
      <c r="F669" s="132"/>
      <c r="K669" s="92"/>
      <c r="L669"/>
    </row>
    <row r="670" spans="2:12" ht="14.4">
      <c r="B670" s="77"/>
      <c r="E670" s="131"/>
      <c r="F670" s="132"/>
      <c r="K670" s="92"/>
      <c r="L670"/>
    </row>
    <row r="671" spans="2:12" ht="14.4">
      <c r="B671" s="77"/>
      <c r="E671" s="131"/>
      <c r="F671" s="132"/>
      <c r="K671" s="92"/>
      <c r="L671"/>
    </row>
    <row r="672" spans="2:12" ht="14.4">
      <c r="B672" s="77"/>
      <c r="E672" s="131"/>
      <c r="F672" s="132"/>
      <c r="K672" s="92"/>
      <c r="L672"/>
    </row>
    <row r="673" spans="2:12" ht="14.4">
      <c r="B673" s="77"/>
      <c r="E673" s="131"/>
      <c r="F673" s="132"/>
      <c r="K673" s="92"/>
      <c r="L673"/>
    </row>
    <row r="674" spans="2:12" ht="14.4">
      <c r="B674" s="77"/>
      <c r="E674" s="131"/>
      <c r="F674" s="132"/>
      <c r="K674" s="92"/>
      <c r="L674"/>
    </row>
    <row r="675" spans="2:12" ht="14.4">
      <c r="B675" s="77"/>
      <c r="E675" s="131"/>
      <c r="F675" s="132"/>
      <c r="K675" s="92"/>
      <c r="L675"/>
    </row>
    <row r="676" spans="2:12" ht="14.4">
      <c r="B676" s="77"/>
      <c r="E676" s="131"/>
      <c r="F676" s="132"/>
      <c r="K676" s="92"/>
      <c r="L676"/>
    </row>
    <row r="677" spans="2:12" ht="14.4">
      <c r="B677" s="77"/>
      <c r="E677" s="131"/>
      <c r="F677" s="132"/>
      <c r="K677" s="92"/>
      <c r="L677"/>
    </row>
    <row r="678" spans="2:12" ht="14.4">
      <c r="B678" s="77"/>
      <c r="E678" s="131"/>
      <c r="F678" s="132"/>
      <c r="K678" s="92"/>
      <c r="L678"/>
    </row>
    <row r="679" spans="2:12" ht="14.4">
      <c r="B679" s="77"/>
      <c r="E679" s="131"/>
      <c r="F679" s="132"/>
      <c r="K679" s="92"/>
      <c r="L679"/>
    </row>
    <row r="680" spans="2:12" ht="14.4">
      <c r="B680" s="77"/>
      <c r="E680" s="131"/>
      <c r="F680" s="132"/>
      <c r="K680" s="92"/>
      <c r="L680"/>
    </row>
    <row r="681" spans="2:12" ht="14.4">
      <c r="B681" s="77"/>
      <c r="E681" s="131"/>
      <c r="F681" s="132"/>
      <c r="K681" s="92"/>
      <c r="L681"/>
    </row>
    <row r="682" spans="2:12" ht="14.4">
      <c r="B682" s="77"/>
      <c r="E682" s="131"/>
      <c r="F682" s="132"/>
      <c r="K682" s="92"/>
      <c r="L682"/>
    </row>
    <row r="683" spans="2:12" ht="14.4">
      <c r="B683" s="77"/>
      <c r="E683" s="131"/>
      <c r="F683" s="132"/>
      <c r="K683" s="92"/>
      <c r="L683"/>
    </row>
    <row r="684" spans="2:12" ht="14.4">
      <c r="B684" s="77"/>
      <c r="E684" s="131"/>
      <c r="F684" s="132"/>
      <c r="K684" s="92"/>
      <c r="L684"/>
    </row>
    <row r="685" spans="2:12" ht="14.4">
      <c r="B685" s="77"/>
      <c r="E685" s="131"/>
      <c r="F685" s="132"/>
      <c r="K685" s="92"/>
      <c r="L685"/>
    </row>
    <row r="686" spans="2:12" ht="14.4">
      <c r="B686" s="77"/>
      <c r="E686" s="131"/>
      <c r="F686" s="132"/>
      <c r="K686" s="92"/>
      <c r="L686"/>
    </row>
    <row r="687" spans="2:12" ht="14.4">
      <c r="B687" s="77"/>
      <c r="E687" s="131"/>
      <c r="F687" s="132"/>
      <c r="K687" s="92"/>
      <c r="L687"/>
    </row>
    <row r="688" spans="2:12" ht="14.4">
      <c r="B688" s="77"/>
      <c r="E688" s="131"/>
      <c r="F688" s="132"/>
      <c r="K688" s="92"/>
      <c r="L688"/>
    </row>
    <row r="689" spans="2:12" ht="14.4">
      <c r="B689" s="77"/>
      <c r="E689" s="131"/>
      <c r="F689" s="132"/>
      <c r="K689" s="92"/>
      <c r="L689"/>
    </row>
    <row r="690" spans="2:12" ht="14.4">
      <c r="B690" s="77"/>
      <c r="E690" s="131"/>
      <c r="F690" s="132"/>
      <c r="K690" s="92"/>
      <c r="L690"/>
    </row>
    <row r="691" spans="2:12" ht="14.4">
      <c r="B691" s="77"/>
      <c r="E691" s="131"/>
      <c r="F691" s="132"/>
      <c r="K691" s="92"/>
      <c r="L691"/>
    </row>
    <row r="692" spans="2:12" ht="14.4">
      <c r="B692" s="77"/>
      <c r="E692" s="131"/>
      <c r="F692" s="132"/>
      <c r="K692" s="92"/>
      <c r="L692"/>
    </row>
    <row r="693" spans="2:12" ht="14.4">
      <c r="B693" s="77"/>
      <c r="E693" s="131"/>
      <c r="F693" s="132"/>
      <c r="K693" s="92"/>
      <c r="L693"/>
    </row>
    <row r="694" spans="2:12" ht="14.4">
      <c r="B694" s="77"/>
      <c r="E694" s="131"/>
      <c r="F694" s="132"/>
      <c r="K694" s="92"/>
      <c r="L694"/>
    </row>
    <row r="695" spans="2:12" ht="14.4">
      <c r="B695" s="77"/>
      <c r="E695" s="131"/>
      <c r="F695" s="132"/>
      <c r="K695" s="92"/>
      <c r="L695"/>
    </row>
    <row r="696" spans="2:12" ht="14.4">
      <c r="B696" s="77"/>
      <c r="E696" s="131"/>
      <c r="F696" s="132"/>
      <c r="K696" s="92"/>
      <c r="L696"/>
    </row>
    <row r="697" spans="2:12" ht="14.4">
      <c r="B697" s="77"/>
      <c r="E697" s="131"/>
      <c r="F697" s="132"/>
      <c r="K697" s="92"/>
      <c r="L697"/>
    </row>
    <row r="698" spans="2:12" ht="14.4">
      <c r="B698" s="77"/>
      <c r="E698" s="131"/>
      <c r="F698" s="132"/>
      <c r="K698" s="92"/>
      <c r="L698"/>
    </row>
    <row r="699" spans="2:12" ht="14.4">
      <c r="B699" s="77"/>
      <c r="E699" s="131"/>
      <c r="F699" s="132"/>
      <c r="K699" s="92"/>
      <c r="L699"/>
    </row>
    <row r="700" spans="2:12" ht="14.4">
      <c r="B700" s="77"/>
      <c r="E700" s="131"/>
      <c r="F700" s="132"/>
      <c r="K700" s="92"/>
      <c r="L700"/>
    </row>
    <row r="701" spans="2:12" ht="14.4">
      <c r="B701" s="77"/>
      <c r="E701" s="131"/>
      <c r="F701" s="132"/>
      <c r="K701" s="92"/>
      <c r="L701"/>
    </row>
    <row r="702" spans="2:12" ht="14.4">
      <c r="B702" s="77"/>
      <c r="E702" s="131"/>
      <c r="F702" s="132"/>
      <c r="K702" s="92"/>
      <c r="L702"/>
    </row>
    <row r="703" spans="2:12" ht="14.4">
      <c r="B703" s="77"/>
      <c r="E703" s="131"/>
      <c r="F703" s="132"/>
      <c r="K703" s="92"/>
      <c r="L703"/>
    </row>
    <row r="704" spans="2:12" ht="14.4">
      <c r="B704" s="77"/>
      <c r="E704" s="131"/>
      <c r="F704" s="132"/>
      <c r="K704" s="92"/>
      <c r="L704"/>
    </row>
    <row r="705" spans="2:12" ht="14.4">
      <c r="B705" s="77"/>
      <c r="E705" s="131"/>
      <c r="F705" s="132"/>
      <c r="K705" s="92"/>
      <c r="L705"/>
    </row>
    <row r="706" spans="2:12" ht="14.4">
      <c r="B706" s="77"/>
      <c r="E706" s="131"/>
      <c r="F706" s="132"/>
      <c r="K706" s="92"/>
      <c r="L706"/>
    </row>
    <row r="707" spans="2:12" ht="14.4">
      <c r="B707" s="77"/>
      <c r="E707" s="131"/>
      <c r="F707" s="132"/>
      <c r="K707" s="92"/>
      <c r="L707"/>
    </row>
    <row r="708" spans="2:12" ht="14.4">
      <c r="B708" s="77"/>
      <c r="E708" s="131"/>
      <c r="F708" s="132"/>
      <c r="K708" s="92"/>
      <c r="L708"/>
    </row>
    <row r="709" spans="2:12" ht="14.4">
      <c r="B709" s="77"/>
      <c r="E709" s="131"/>
      <c r="F709" s="132"/>
      <c r="K709" s="92"/>
      <c r="L709"/>
    </row>
    <row r="710" spans="2:12" ht="14.4">
      <c r="B710" s="77"/>
      <c r="E710" s="131"/>
      <c r="F710" s="132"/>
      <c r="K710" s="92"/>
      <c r="L710"/>
    </row>
    <row r="711" spans="2:12" ht="14.4">
      <c r="B711" s="77"/>
      <c r="E711" s="131"/>
      <c r="F711" s="132"/>
      <c r="K711" s="92"/>
      <c r="L711"/>
    </row>
    <row r="712" spans="2:12" ht="14.4">
      <c r="B712" s="77"/>
      <c r="E712" s="131"/>
      <c r="F712" s="132"/>
      <c r="K712" s="92"/>
      <c r="L712"/>
    </row>
    <row r="713" spans="2:12" ht="14.4">
      <c r="B713" s="77"/>
      <c r="E713" s="131"/>
      <c r="F713" s="132"/>
      <c r="K713" s="92"/>
      <c r="L713"/>
    </row>
    <row r="714" spans="2:12" ht="14.4">
      <c r="B714" s="77"/>
      <c r="E714" s="131"/>
      <c r="F714" s="132"/>
      <c r="K714" s="92"/>
      <c r="L714"/>
    </row>
    <row r="715" spans="2:12" ht="14.4">
      <c r="B715" s="77"/>
      <c r="E715" s="131"/>
      <c r="F715" s="132"/>
      <c r="K715" s="92"/>
      <c r="L715"/>
    </row>
    <row r="716" spans="2:12" ht="14.4">
      <c r="B716" s="77"/>
      <c r="E716" s="131"/>
      <c r="F716" s="132"/>
      <c r="K716" s="92"/>
      <c r="L716"/>
    </row>
    <row r="717" spans="2:12" ht="14.4">
      <c r="B717" s="77"/>
      <c r="E717" s="131"/>
      <c r="F717" s="132"/>
      <c r="K717" s="92"/>
      <c r="L717"/>
    </row>
    <row r="718" spans="2:12" ht="14.4">
      <c r="B718" s="77"/>
      <c r="E718" s="131"/>
      <c r="F718" s="132"/>
      <c r="K718" s="92"/>
      <c r="L718"/>
    </row>
    <row r="719" spans="2:12" ht="14.4">
      <c r="B719" s="77"/>
      <c r="E719" s="131"/>
      <c r="F719" s="132"/>
      <c r="K719" s="92"/>
      <c r="L719"/>
    </row>
    <row r="720" spans="2:12" ht="14.4">
      <c r="B720" s="77"/>
      <c r="E720" s="131"/>
      <c r="F720" s="132"/>
      <c r="K720" s="92"/>
      <c r="L720"/>
    </row>
    <row r="721" spans="2:12" ht="14.4">
      <c r="B721" s="77"/>
      <c r="E721" s="131"/>
      <c r="F721" s="132"/>
      <c r="K721" s="92"/>
      <c r="L721"/>
    </row>
    <row r="722" spans="2:12" ht="14.4">
      <c r="B722" s="77"/>
      <c r="E722" s="131"/>
      <c r="F722" s="132"/>
      <c r="K722" s="92"/>
      <c r="L722"/>
    </row>
    <row r="723" spans="2:12" ht="14.4">
      <c r="B723" s="77"/>
      <c r="E723" s="131"/>
      <c r="F723" s="132"/>
      <c r="K723" s="92"/>
      <c r="L723"/>
    </row>
    <row r="724" spans="2:12" ht="14.4">
      <c r="B724" s="77"/>
      <c r="E724" s="131"/>
      <c r="F724" s="132"/>
      <c r="K724" s="92"/>
      <c r="L724"/>
    </row>
    <row r="725" spans="2:12" ht="14.4">
      <c r="B725" s="77"/>
      <c r="E725" s="131"/>
      <c r="F725" s="132"/>
      <c r="K725" s="92"/>
      <c r="L725"/>
    </row>
    <row r="726" spans="2:12" ht="14.4">
      <c r="B726" s="77"/>
      <c r="E726" s="131"/>
      <c r="F726" s="132"/>
      <c r="K726" s="92"/>
      <c r="L726"/>
    </row>
    <row r="727" spans="2:12" ht="14.4">
      <c r="B727" s="77"/>
      <c r="E727" s="131"/>
      <c r="F727" s="132"/>
      <c r="K727" s="92"/>
      <c r="L727"/>
    </row>
    <row r="728" spans="2:12" ht="14.4">
      <c r="B728" s="77"/>
      <c r="E728" s="131"/>
      <c r="F728" s="132"/>
      <c r="K728" s="92"/>
      <c r="L728"/>
    </row>
    <row r="729" spans="2:12" ht="14.4">
      <c r="B729" s="77"/>
      <c r="E729" s="131"/>
      <c r="F729" s="132"/>
      <c r="K729" s="92"/>
      <c r="L729"/>
    </row>
    <row r="730" spans="2:12" ht="14.4">
      <c r="B730" s="77"/>
      <c r="E730" s="131"/>
      <c r="F730" s="132"/>
      <c r="K730" s="92"/>
      <c r="L730"/>
    </row>
    <row r="731" spans="2:12" ht="14.4">
      <c r="B731" s="77"/>
      <c r="E731" s="131"/>
      <c r="F731" s="132"/>
      <c r="K731" s="92"/>
      <c r="L731"/>
    </row>
    <row r="732" spans="2:12" ht="14.4">
      <c r="B732" s="77"/>
      <c r="E732" s="131"/>
      <c r="F732" s="132"/>
      <c r="K732" s="92"/>
      <c r="L732"/>
    </row>
    <row r="733" spans="2:12" ht="14.4">
      <c r="B733" s="77"/>
      <c r="E733" s="131"/>
      <c r="F733" s="132"/>
      <c r="K733" s="92"/>
      <c r="L733"/>
    </row>
    <row r="734" spans="2:12" ht="14.4">
      <c r="B734" s="77"/>
      <c r="E734" s="131"/>
      <c r="F734" s="132"/>
      <c r="K734" s="92"/>
      <c r="L734"/>
    </row>
    <row r="735" spans="2:12" ht="14.4">
      <c r="B735" s="77"/>
      <c r="E735" s="131"/>
      <c r="F735" s="132"/>
      <c r="K735" s="92"/>
      <c r="L735"/>
    </row>
    <row r="736" spans="2:12" ht="14.4">
      <c r="B736" s="77"/>
      <c r="E736" s="131"/>
      <c r="F736" s="132"/>
      <c r="K736" s="92"/>
      <c r="L736"/>
    </row>
    <row r="737" spans="2:12" ht="14.4">
      <c r="B737" s="77"/>
      <c r="E737" s="131"/>
      <c r="F737" s="132"/>
      <c r="K737" s="92"/>
      <c r="L737"/>
    </row>
    <row r="738" spans="2:12" ht="14.4">
      <c r="B738" s="77"/>
      <c r="E738" s="131"/>
      <c r="F738" s="132"/>
      <c r="K738" s="92"/>
      <c r="L738"/>
    </row>
    <row r="739" spans="2:12" ht="14.4">
      <c r="B739" s="77"/>
      <c r="E739" s="131"/>
      <c r="F739" s="132"/>
      <c r="K739" s="92"/>
      <c r="L739"/>
    </row>
    <row r="740" spans="2:12" ht="14.4">
      <c r="B740" s="77"/>
      <c r="E740" s="131"/>
      <c r="F740" s="132"/>
      <c r="K740" s="92"/>
      <c r="L740"/>
    </row>
    <row r="741" spans="2:12" ht="14.4">
      <c r="B741" s="77"/>
      <c r="E741" s="131"/>
      <c r="F741" s="132"/>
      <c r="K741" s="92"/>
      <c r="L741"/>
    </row>
    <row r="742" spans="2:12" ht="14.4">
      <c r="B742" s="77"/>
      <c r="E742" s="131"/>
      <c r="F742" s="132"/>
      <c r="K742" s="92"/>
      <c r="L742"/>
    </row>
    <row r="743" spans="2:12" ht="14.4">
      <c r="B743" s="77"/>
      <c r="E743" s="131"/>
      <c r="F743" s="132"/>
      <c r="K743" s="92"/>
      <c r="L743"/>
    </row>
    <row r="744" spans="2:12" ht="14.4">
      <c r="B744" s="77"/>
      <c r="E744" s="131"/>
      <c r="F744" s="132"/>
      <c r="K744" s="92"/>
      <c r="L744"/>
    </row>
    <row r="745" spans="2:12" ht="14.4">
      <c r="B745" s="77"/>
      <c r="E745" s="131"/>
      <c r="F745" s="132"/>
      <c r="K745" s="92"/>
      <c r="L745"/>
    </row>
    <row r="746" spans="2:12" ht="14.4">
      <c r="B746" s="77"/>
      <c r="E746" s="131"/>
      <c r="F746" s="132"/>
      <c r="K746" s="92"/>
      <c r="L746"/>
    </row>
    <row r="747" spans="2:12" ht="14.4">
      <c r="B747" s="77"/>
      <c r="E747" s="131"/>
      <c r="F747" s="132"/>
      <c r="K747" s="92"/>
      <c r="L747"/>
    </row>
    <row r="748" spans="2:12" ht="14.4">
      <c r="B748" s="77"/>
      <c r="E748" s="131"/>
      <c r="F748" s="132"/>
      <c r="K748" s="92"/>
      <c r="L748"/>
    </row>
    <row r="749" spans="2:12" ht="14.4">
      <c r="B749" s="77"/>
      <c r="E749" s="131"/>
      <c r="F749" s="132"/>
      <c r="K749" s="92"/>
      <c r="L749"/>
    </row>
    <row r="750" spans="2:12" ht="14.4">
      <c r="B750" s="77"/>
      <c r="E750" s="131"/>
      <c r="F750" s="132"/>
      <c r="K750" s="92"/>
      <c r="L750"/>
    </row>
    <row r="751" spans="2:12" ht="14.4">
      <c r="B751" s="77"/>
      <c r="E751" s="131"/>
      <c r="F751" s="132"/>
      <c r="K751" s="92"/>
      <c r="L751"/>
    </row>
    <row r="752" spans="2:12" ht="14.4">
      <c r="B752" s="77"/>
      <c r="E752" s="131"/>
      <c r="F752" s="132"/>
      <c r="K752" s="92"/>
      <c r="L752"/>
    </row>
    <row r="753" spans="2:12" ht="14.4">
      <c r="B753" s="77"/>
      <c r="E753" s="131"/>
      <c r="F753" s="132"/>
      <c r="K753" s="92"/>
      <c r="L753"/>
    </row>
    <row r="754" spans="2:12" ht="14.4">
      <c r="B754" s="77"/>
      <c r="E754" s="131"/>
      <c r="F754" s="132"/>
      <c r="K754" s="92"/>
      <c r="L754"/>
    </row>
    <row r="755" spans="2:12" ht="14.4">
      <c r="B755" s="77"/>
      <c r="E755" s="131"/>
      <c r="F755" s="132"/>
      <c r="K755" s="92"/>
      <c r="L755"/>
    </row>
    <row r="756" spans="2:12" ht="14.4">
      <c r="B756" s="77"/>
      <c r="E756" s="131"/>
      <c r="F756" s="132"/>
      <c r="K756" s="92"/>
      <c r="L756"/>
    </row>
    <row r="757" spans="2:12" ht="14.4">
      <c r="B757" s="77"/>
      <c r="E757" s="131"/>
      <c r="F757" s="132"/>
      <c r="K757" s="92"/>
      <c r="L757"/>
    </row>
    <row r="758" spans="2:12" ht="14.4">
      <c r="B758" s="77"/>
      <c r="E758" s="131"/>
      <c r="F758" s="132"/>
      <c r="K758" s="92"/>
      <c r="L758"/>
    </row>
    <row r="759" spans="2:12" ht="14.4">
      <c r="B759" s="77"/>
      <c r="E759" s="131"/>
      <c r="F759" s="132"/>
      <c r="K759" s="92"/>
      <c r="L759"/>
    </row>
    <row r="760" spans="2:12" ht="14.4">
      <c r="B760" s="77"/>
      <c r="E760" s="131"/>
      <c r="F760" s="132"/>
      <c r="K760" s="92"/>
      <c r="L760"/>
    </row>
    <row r="761" spans="2:12" ht="14.4">
      <c r="B761" s="77"/>
      <c r="E761" s="131"/>
      <c r="F761" s="132"/>
      <c r="K761" s="92"/>
      <c r="L761"/>
    </row>
    <row r="762" spans="2:12" ht="14.4">
      <c r="B762" s="77"/>
      <c r="E762" s="131"/>
      <c r="F762" s="132"/>
      <c r="K762" s="92"/>
      <c r="L762"/>
    </row>
    <row r="763" spans="2:12" ht="14.4">
      <c r="B763" s="77"/>
      <c r="E763" s="131"/>
      <c r="F763" s="132"/>
      <c r="K763" s="92"/>
      <c r="L763"/>
    </row>
    <row r="764" spans="2:12" ht="14.4">
      <c r="B764" s="77"/>
      <c r="E764" s="131"/>
      <c r="F764" s="132"/>
      <c r="K764" s="92"/>
      <c r="L764"/>
    </row>
    <row r="765" spans="2:12" ht="14.4">
      <c r="B765" s="77"/>
      <c r="E765" s="131"/>
      <c r="F765" s="132"/>
      <c r="K765" s="92"/>
      <c r="L765"/>
    </row>
    <row r="766" spans="2:12" ht="14.4">
      <c r="B766" s="77"/>
      <c r="E766" s="131"/>
      <c r="F766" s="132"/>
      <c r="K766" s="92"/>
      <c r="L766"/>
    </row>
    <row r="767" spans="2:12" ht="14.4">
      <c r="B767" s="77"/>
      <c r="E767" s="131"/>
      <c r="F767" s="132"/>
      <c r="K767" s="92"/>
      <c r="L767"/>
    </row>
    <row r="768" spans="2:12" ht="14.4">
      <c r="B768" s="77"/>
      <c r="E768" s="131"/>
      <c r="F768" s="132"/>
      <c r="K768" s="92"/>
      <c r="L768"/>
    </row>
    <row r="769" spans="2:12" ht="14.4">
      <c r="B769" s="77"/>
      <c r="E769" s="131"/>
      <c r="F769" s="132"/>
      <c r="K769" s="92"/>
      <c r="L769"/>
    </row>
    <row r="770" spans="2:12" ht="14.4">
      <c r="B770" s="77"/>
      <c r="E770" s="131"/>
      <c r="F770" s="132"/>
      <c r="K770" s="92"/>
      <c r="L770"/>
    </row>
    <row r="771" spans="2:12" ht="14.4">
      <c r="B771" s="77"/>
      <c r="E771" s="131"/>
      <c r="F771" s="132"/>
      <c r="K771" s="92"/>
      <c r="L771"/>
    </row>
    <row r="772" spans="2:12" ht="14.4">
      <c r="B772" s="77"/>
      <c r="E772" s="131"/>
      <c r="F772" s="132"/>
      <c r="K772" s="92"/>
      <c r="L772"/>
    </row>
    <row r="773" spans="2:12" ht="14.4">
      <c r="B773" s="77"/>
      <c r="E773" s="131"/>
      <c r="F773" s="132"/>
      <c r="K773" s="92"/>
      <c r="L773"/>
    </row>
    <row r="774" spans="2:12" ht="14.4">
      <c r="B774" s="77"/>
      <c r="E774" s="131"/>
      <c r="F774" s="132"/>
      <c r="K774" s="92"/>
      <c r="L774"/>
    </row>
    <row r="775" spans="2:12" ht="14.4">
      <c r="B775" s="77"/>
      <c r="E775" s="131"/>
      <c r="F775" s="132"/>
      <c r="K775" s="92"/>
      <c r="L775"/>
    </row>
    <row r="776" spans="2:12" ht="14.4">
      <c r="B776" s="77"/>
      <c r="E776" s="131"/>
      <c r="F776" s="132"/>
      <c r="K776" s="92"/>
      <c r="L776"/>
    </row>
    <row r="777" spans="2:12" ht="14.4">
      <c r="B777" s="77"/>
      <c r="E777" s="131"/>
      <c r="F777" s="132"/>
      <c r="K777" s="92"/>
      <c r="L777"/>
    </row>
    <row r="778" spans="2:12" ht="14.4">
      <c r="B778" s="77"/>
      <c r="E778" s="131"/>
      <c r="F778" s="132"/>
      <c r="K778" s="92"/>
      <c r="L778"/>
    </row>
    <row r="779" spans="2:12" ht="14.4">
      <c r="B779" s="77"/>
      <c r="E779" s="131"/>
      <c r="F779" s="132"/>
      <c r="K779" s="92"/>
      <c r="L779"/>
    </row>
    <row r="780" spans="2:12" ht="14.4">
      <c r="B780" s="77"/>
      <c r="E780" s="131"/>
      <c r="F780" s="132"/>
      <c r="K780" s="92"/>
      <c r="L780"/>
    </row>
    <row r="781" spans="2:12" ht="14.4">
      <c r="B781" s="77"/>
      <c r="E781" s="131"/>
      <c r="F781" s="132"/>
      <c r="K781" s="92"/>
      <c r="L781"/>
    </row>
    <row r="782" spans="2:12" ht="14.4">
      <c r="B782" s="77"/>
      <c r="E782" s="131"/>
      <c r="F782" s="132"/>
      <c r="K782" s="92"/>
      <c r="L782"/>
    </row>
    <row r="783" spans="2:12" ht="14.4">
      <c r="B783" s="77"/>
      <c r="E783" s="131"/>
      <c r="F783" s="132"/>
      <c r="K783" s="92"/>
      <c r="L783"/>
    </row>
    <row r="784" spans="2:12" ht="14.4">
      <c r="B784" s="77"/>
      <c r="E784" s="131"/>
      <c r="F784" s="132"/>
      <c r="K784" s="92"/>
      <c r="L784"/>
    </row>
    <row r="785" spans="2:12" ht="14.4">
      <c r="B785" s="77"/>
      <c r="E785" s="131"/>
      <c r="F785" s="132"/>
      <c r="K785" s="92"/>
      <c r="L785"/>
    </row>
    <row r="786" spans="2:12" ht="14.4">
      <c r="B786" s="77"/>
      <c r="E786" s="131"/>
      <c r="F786" s="132"/>
      <c r="K786" s="92"/>
      <c r="L786"/>
    </row>
    <row r="787" spans="2:12" ht="14.4">
      <c r="B787" s="77"/>
      <c r="E787" s="131"/>
      <c r="F787" s="132"/>
      <c r="K787" s="92"/>
      <c r="L787"/>
    </row>
    <row r="788" spans="2:12" ht="14.4">
      <c r="B788" s="77"/>
      <c r="E788" s="131"/>
      <c r="F788" s="132"/>
      <c r="K788" s="92"/>
      <c r="L788"/>
    </row>
    <row r="789" spans="2:12" ht="14.4">
      <c r="B789" s="77"/>
      <c r="E789" s="131"/>
      <c r="F789" s="132"/>
      <c r="K789" s="92"/>
      <c r="L789"/>
    </row>
    <row r="790" spans="2:12" ht="14.4">
      <c r="B790" s="77"/>
      <c r="E790" s="131"/>
      <c r="F790" s="132"/>
      <c r="K790" s="92"/>
      <c r="L790"/>
    </row>
    <row r="791" spans="2:12" ht="14.4">
      <c r="B791" s="77"/>
      <c r="E791" s="131"/>
      <c r="F791" s="132"/>
      <c r="K791" s="92"/>
      <c r="L791"/>
    </row>
    <row r="792" spans="2:12" ht="14.4">
      <c r="B792" s="77"/>
      <c r="E792" s="131"/>
      <c r="F792" s="132"/>
      <c r="K792" s="92"/>
      <c r="L792"/>
    </row>
    <row r="793" spans="2:12" ht="14.4">
      <c r="B793" s="77"/>
      <c r="E793" s="131"/>
      <c r="F793" s="132"/>
      <c r="K793" s="92"/>
      <c r="L793"/>
    </row>
    <row r="794" spans="2:12" ht="14.4">
      <c r="B794" s="77"/>
      <c r="E794" s="131"/>
      <c r="F794" s="132"/>
      <c r="K794" s="92"/>
      <c r="L794"/>
    </row>
    <row r="795" spans="2:12" ht="14.4">
      <c r="B795" s="77"/>
      <c r="E795" s="131"/>
      <c r="F795" s="132"/>
      <c r="K795" s="92"/>
      <c r="L795"/>
    </row>
    <row r="796" spans="2:12" ht="14.4">
      <c r="B796" s="77"/>
      <c r="E796" s="131"/>
      <c r="F796" s="132"/>
      <c r="K796" s="92"/>
      <c r="L796"/>
    </row>
    <row r="797" spans="2:12" ht="14.4">
      <c r="B797" s="77"/>
      <c r="E797" s="131"/>
      <c r="F797" s="132"/>
      <c r="K797" s="92"/>
      <c r="L797"/>
    </row>
    <row r="798" spans="2:12" ht="14.4">
      <c r="B798" s="77"/>
      <c r="E798" s="131"/>
      <c r="F798" s="132"/>
      <c r="K798" s="92"/>
      <c r="L798"/>
    </row>
    <row r="799" spans="2:12" ht="14.4">
      <c r="B799" s="77"/>
      <c r="E799" s="131"/>
      <c r="F799" s="132"/>
      <c r="K799" s="92"/>
      <c r="L799"/>
    </row>
    <row r="800" spans="2:12" ht="14.4">
      <c r="B800" s="77"/>
      <c r="E800" s="131"/>
      <c r="F800" s="132"/>
      <c r="K800" s="92"/>
      <c r="L800"/>
    </row>
    <row r="801" spans="2:12" ht="14.4">
      <c r="B801" s="77"/>
      <c r="E801" s="131"/>
      <c r="F801" s="132"/>
      <c r="K801" s="92"/>
      <c r="L801"/>
    </row>
    <row r="802" spans="2:12" ht="14.4">
      <c r="B802" s="77"/>
      <c r="E802" s="131"/>
      <c r="F802" s="132"/>
      <c r="K802" s="92"/>
      <c r="L802"/>
    </row>
    <row r="803" spans="2:12" ht="14.4">
      <c r="B803" s="77"/>
      <c r="E803" s="131"/>
      <c r="F803" s="132"/>
      <c r="K803" s="92"/>
      <c r="L803"/>
    </row>
    <row r="804" spans="2:12" ht="14.4">
      <c r="B804" s="77"/>
      <c r="E804" s="131"/>
      <c r="F804" s="132"/>
      <c r="K804" s="92"/>
      <c r="L804"/>
    </row>
    <row r="805" spans="2:12" ht="14.4">
      <c r="B805" s="77"/>
      <c r="E805" s="131"/>
      <c r="F805" s="132"/>
      <c r="K805" s="92"/>
      <c r="L805"/>
    </row>
    <row r="806" spans="2:12" ht="14.4">
      <c r="B806" s="77"/>
      <c r="E806" s="131"/>
      <c r="F806" s="132"/>
      <c r="K806" s="92"/>
      <c r="L806"/>
    </row>
    <row r="807" spans="2:12" ht="14.4">
      <c r="B807" s="77"/>
      <c r="E807" s="131"/>
      <c r="F807" s="132"/>
      <c r="K807" s="92"/>
      <c r="L807"/>
    </row>
    <row r="808" spans="2:12" ht="14.4">
      <c r="B808" s="77"/>
      <c r="E808" s="131"/>
      <c r="F808" s="132"/>
      <c r="K808" s="92"/>
      <c r="L808"/>
    </row>
    <row r="809" spans="2:12" ht="14.4">
      <c r="B809" s="77"/>
      <c r="E809" s="131"/>
      <c r="F809" s="132"/>
      <c r="K809" s="92"/>
      <c r="L809"/>
    </row>
    <row r="810" spans="2:12" ht="14.4">
      <c r="B810" s="77"/>
      <c r="E810" s="131"/>
      <c r="F810" s="132"/>
      <c r="K810" s="92"/>
      <c r="L810"/>
    </row>
    <row r="811" spans="2:12" ht="14.4">
      <c r="B811" s="77"/>
      <c r="E811" s="131"/>
      <c r="F811" s="132"/>
      <c r="K811" s="92"/>
      <c r="L811"/>
    </row>
    <row r="812" spans="2:12" ht="14.4">
      <c r="B812" s="77"/>
      <c r="E812" s="131"/>
      <c r="F812" s="132"/>
      <c r="K812" s="92"/>
      <c r="L812"/>
    </row>
    <row r="813" spans="2:12" ht="14.4">
      <c r="B813" s="77"/>
      <c r="E813" s="131"/>
      <c r="F813" s="132"/>
      <c r="K813" s="92"/>
      <c r="L813"/>
    </row>
    <row r="814" spans="2:12" ht="14.4">
      <c r="B814" s="77"/>
      <c r="E814" s="131"/>
      <c r="F814" s="132"/>
      <c r="K814" s="92"/>
      <c r="L814"/>
    </row>
    <row r="815" spans="2:12" ht="14.4">
      <c r="B815" s="77"/>
      <c r="E815" s="131"/>
      <c r="F815" s="132"/>
      <c r="K815" s="92"/>
      <c r="L815"/>
    </row>
    <row r="816" spans="2:12" ht="14.4">
      <c r="B816" s="77"/>
      <c r="E816" s="131"/>
      <c r="F816" s="132"/>
      <c r="K816" s="92"/>
      <c r="L816"/>
    </row>
    <row r="817" spans="2:12" ht="14.4">
      <c r="B817" s="77"/>
      <c r="E817" s="131"/>
      <c r="F817" s="132"/>
      <c r="K817" s="92"/>
      <c r="L817"/>
    </row>
    <row r="818" spans="2:12" ht="14.4">
      <c r="B818" s="77"/>
      <c r="E818" s="131"/>
      <c r="F818" s="132"/>
      <c r="K818" s="92"/>
      <c r="L818"/>
    </row>
    <row r="819" spans="2:12" ht="14.4">
      <c r="B819" s="77"/>
      <c r="E819" s="131"/>
      <c r="F819" s="132"/>
      <c r="K819" s="92"/>
      <c r="L819"/>
    </row>
    <row r="820" spans="2:12" ht="14.4">
      <c r="B820" s="77"/>
      <c r="E820" s="131"/>
      <c r="F820" s="132"/>
      <c r="K820" s="92"/>
      <c r="L820"/>
    </row>
    <row r="821" spans="2:12" ht="14.4">
      <c r="B821" s="77"/>
      <c r="E821" s="131"/>
      <c r="F821" s="132"/>
      <c r="K821" s="92"/>
      <c r="L821"/>
    </row>
    <row r="822" spans="2:12" ht="14.4">
      <c r="B822" s="77"/>
      <c r="E822" s="131"/>
      <c r="F822" s="132"/>
      <c r="K822" s="92"/>
      <c r="L822"/>
    </row>
    <row r="823" spans="2:12" ht="14.4">
      <c r="B823" s="77"/>
      <c r="E823" s="131"/>
      <c r="F823" s="132"/>
      <c r="K823" s="92"/>
      <c r="L823"/>
    </row>
    <row r="824" spans="2:12" ht="14.4">
      <c r="B824" s="77"/>
      <c r="E824" s="131"/>
      <c r="F824" s="132"/>
      <c r="K824" s="92"/>
      <c r="L824"/>
    </row>
    <row r="825" spans="2:12" ht="14.4">
      <c r="B825" s="77"/>
      <c r="E825" s="131"/>
      <c r="F825" s="132"/>
      <c r="K825" s="92"/>
      <c r="L825"/>
    </row>
    <row r="826" spans="2:12" ht="14.4">
      <c r="B826" s="77"/>
      <c r="E826" s="131"/>
      <c r="F826" s="132"/>
      <c r="K826" s="92"/>
      <c r="L826"/>
    </row>
    <row r="827" spans="2:12" ht="14.4">
      <c r="B827" s="77"/>
      <c r="E827" s="131"/>
      <c r="F827" s="132"/>
      <c r="K827" s="92"/>
      <c r="L827"/>
    </row>
    <row r="828" spans="2:12" ht="14.4">
      <c r="B828" s="77"/>
      <c r="E828" s="131"/>
      <c r="F828" s="132"/>
      <c r="K828" s="92"/>
      <c r="L828"/>
    </row>
    <row r="829" spans="2:12" ht="14.4">
      <c r="B829" s="77"/>
      <c r="E829" s="131"/>
      <c r="F829" s="132"/>
      <c r="K829" s="92"/>
      <c r="L829"/>
    </row>
    <row r="830" spans="2:12" ht="14.4">
      <c r="B830" s="77"/>
      <c r="E830" s="131"/>
      <c r="F830" s="132"/>
      <c r="K830" s="92"/>
      <c r="L830"/>
    </row>
    <row r="831" spans="2:12" ht="14.4">
      <c r="B831" s="77"/>
      <c r="E831" s="131"/>
      <c r="F831" s="132"/>
      <c r="K831" s="92"/>
      <c r="L831"/>
    </row>
    <row r="832" spans="2:12" ht="14.4">
      <c r="B832" s="77"/>
      <c r="E832" s="131"/>
      <c r="F832" s="132"/>
      <c r="K832" s="92"/>
      <c r="L832"/>
    </row>
    <row r="833" spans="2:12" ht="14.4">
      <c r="B833" s="77"/>
      <c r="E833" s="131"/>
      <c r="F833" s="132"/>
      <c r="K833" s="92"/>
      <c r="L833"/>
    </row>
    <row r="834" spans="2:12" ht="14.4">
      <c r="B834" s="77"/>
      <c r="E834" s="131"/>
      <c r="F834" s="132"/>
      <c r="K834" s="92"/>
      <c r="L834"/>
    </row>
    <row r="835" spans="2:12" ht="14.4">
      <c r="B835" s="77"/>
      <c r="E835" s="131"/>
      <c r="F835" s="132"/>
      <c r="K835" s="92"/>
      <c r="L835"/>
    </row>
    <row r="836" spans="2:12" ht="14.4">
      <c r="B836" s="77"/>
      <c r="E836" s="131"/>
      <c r="F836" s="132"/>
      <c r="K836" s="92"/>
      <c r="L836"/>
    </row>
    <row r="837" spans="2:12" ht="14.4">
      <c r="B837" s="77"/>
      <c r="E837" s="131"/>
      <c r="F837" s="132"/>
      <c r="K837" s="92"/>
      <c r="L837"/>
    </row>
    <row r="838" spans="2:12" ht="14.4">
      <c r="B838" s="77"/>
      <c r="E838" s="131"/>
      <c r="F838" s="132"/>
      <c r="K838" s="92"/>
      <c r="L838"/>
    </row>
    <row r="839" spans="2:12" ht="14.4">
      <c r="B839" s="77"/>
      <c r="E839" s="131"/>
      <c r="F839" s="132"/>
      <c r="K839" s="92"/>
      <c r="L839"/>
    </row>
    <row r="840" spans="2:12" ht="14.4">
      <c r="B840" s="77"/>
      <c r="E840" s="131"/>
      <c r="F840" s="132"/>
      <c r="K840" s="92"/>
      <c r="L840"/>
    </row>
    <row r="841" spans="2:12" ht="14.4">
      <c r="B841" s="77"/>
      <c r="E841" s="131"/>
      <c r="F841" s="132"/>
      <c r="K841" s="92"/>
      <c r="L841"/>
    </row>
    <row r="842" spans="2:12" ht="14.4">
      <c r="B842" s="77"/>
      <c r="E842" s="131"/>
      <c r="F842" s="132"/>
      <c r="K842" s="92"/>
      <c r="L842"/>
    </row>
    <row r="843" spans="2:12" ht="14.4">
      <c r="B843" s="77"/>
      <c r="E843" s="131"/>
      <c r="F843" s="132"/>
      <c r="K843" s="92"/>
      <c r="L843"/>
    </row>
    <row r="844" spans="2:12" ht="14.4">
      <c r="B844" s="77"/>
      <c r="E844" s="131"/>
      <c r="F844" s="132"/>
      <c r="K844" s="92"/>
      <c r="L844"/>
    </row>
    <row r="845" spans="2:12" ht="14.4">
      <c r="B845" s="77"/>
      <c r="E845" s="131"/>
      <c r="F845" s="132"/>
      <c r="K845" s="92"/>
      <c r="L845"/>
    </row>
    <row r="846" spans="2:12" ht="14.4">
      <c r="B846" s="77"/>
      <c r="E846" s="131"/>
      <c r="F846" s="132"/>
      <c r="K846" s="92"/>
      <c r="L846"/>
    </row>
    <row r="847" spans="2:12" ht="14.4">
      <c r="B847" s="77"/>
      <c r="E847" s="131"/>
      <c r="F847" s="132"/>
      <c r="K847" s="92"/>
      <c r="L847"/>
    </row>
    <row r="848" spans="2:12" ht="14.4">
      <c r="B848" s="77"/>
      <c r="E848" s="131"/>
      <c r="F848" s="132"/>
      <c r="K848" s="92"/>
      <c r="L848"/>
    </row>
    <row r="849" spans="2:12" ht="14.4">
      <c r="B849" s="77"/>
      <c r="E849" s="131"/>
      <c r="F849" s="132"/>
      <c r="K849" s="92"/>
      <c r="L849"/>
    </row>
    <row r="850" spans="2:12" ht="14.4">
      <c r="B850" s="77"/>
      <c r="E850" s="131"/>
      <c r="F850" s="132"/>
      <c r="K850" s="92"/>
      <c r="L850"/>
    </row>
    <row r="851" spans="2:12" ht="14.4">
      <c r="B851" s="77"/>
      <c r="E851" s="131"/>
      <c r="F851" s="132"/>
      <c r="K851" s="92"/>
      <c r="L851"/>
    </row>
    <row r="852" spans="2:12" ht="14.4">
      <c r="B852" s="77"/>
      <c r="E852" s="131"/>
      <c r="F852" s="132"/>
      <c r="K852" s="92"/>
      <c r="L852"/>
    </row>
    <row r="853" spans="2:12" ht="14.4">
      <c r="B853" s="77"/>
      <c r="E853" s="131"/>
      <c r="F853" s="132"/>
      <c r="K853" s="92"/>
      <c r="L853"/>
    </row>
    <row r="854" spans="2:12" ht="14.4">
      <c r="B854" s="77"/>
      <c r="E854" s="131"/>
      <c r="F854" s="132"/>
      <c r="K854" s="92"/>
      <c r="L854"/>
    </row>
    <row r="855" spans="2:12" ht="14.4">
      <c r="B855" s="77"/>
      <c r="E855" s="131"/>
      <c r="F855" s="132"/>
      <c r="K855" s="92"/>
      <c r="L855"/>
    </row>
    <row r="856" spans="2:12" ht="14.4">
      <c r="B856" s="77"/>
      <c r="E856" s="131"/>
      <c r="F856" s="132"/>
      <c r="K856" s="92"/>
      <c r="L856"/>
    </row>
    <row r="857" spans="2:12" ht="14.4">
      <c r="B857" s="77"/>
      <c r="E857" s="131"/>
      <c r="F857" s="132"/>
      <c r="K857" s="92"/>
      <c r="L857"/>
    </row>
    <row r="858" spans="2:12" ht="14.4">
      <c r="B858" s="77"/>
      <c r="E858" s="131"/>
      <c r="F858" s="132"/>
      <c r="K858" s="92"/>
      <c r="L858"/>
    </row>
    <row r="859" spans="2:12" ht="14.4">
      <c r="B859" s="77"/>
      <c r="E859" s="131"/>
      <c r="F859" s="132"/>
      <c r="K859" s="92"/>
      <c r="L859"/>
    </row>
    <row r="860" spans="2:12" ht="14.4">
      <c r="B860" s="77"/>
      <c r="E860" s="131"/>
      <c r="F860" s="132"/>
      <c r="K860" s="92"/>
      <c r="L860"/>
    </row>
    <row r="861" spans="2:12" ht="14.4">
      <c r="B861" s="77"/>
      <c r="E861" s="131"/>
      <c r="F861" s="132"/>
      <c r="K861" s="92"/>
      <c r="L861"/>
    </row>
    <row r="862" spans="2:12" ht="14.4">
      <c r="B862" s="77"/>
      <c r="E862" s="131"/>
      <c r="F862" s="132"/>
      <c r="K862" s="92"/>
      <c r="L862"/>
    </row>
    <row r="863" spans="2:12" ht="14.4">
      <c r="B863" s="77"/>
      <c r="E863" s="131"/>
      <c r="F863" s="132"/>
      <c r="K863" s="92"/>
      <c r="L863"/>
    </row>
    <row r="864" spans="2:12" ht="14.4">
      <c r="B864" s="77"/>
      <c r="E864" s="131"/>
      <c r="F864" s="132"/>
      <c r="K864" s="92"/>
      <c r="L864"/>
    </row>
    <row r="865" spans="2:12" ht="14.4">
      <c r="B865" s="77"/>
      <c r="E865" s="131"/>
      <c r="F865" s="132"/>
      <c r="K865" s="92"/>
      <c r="L865"/>
    </row>
    <row r="866" spans="2:12" ht="14.4">
      <c r="B866" s="77"/>
      <c r="E866" s="131"/>
      <c r="F866" s="132"/>
      <c r="K866" s="92"/>
      <c r="L866"/>
    </row>
    <row r="867" spans="2:12" ht="14.4">
      <c r="B867" s="77"/>
      <c r="E867" s="131"/>
      <c r="F867" s="132"/>
      <c r="K867" s="92"/>
      <c r="L867"/>
    </row>
    <row r="868" spans="2:12" ht="14.4">
      <c r="B868" s="77"/>
      <c r="E868" s="131"/>
      <c r="F868" s="132"/>
      <c r="K868" s="92"/>
      <c r="L868"/>
    </row>
    <row r="869" spans="2:12" ht="14.4">
      <c r="B869" s="77"/>
      <c r="E869" s="131"/>
      <c r="F869" s="132"/>
      <c r="K869" s="92"/>
      <c r="L869"/>
    </row>
    <row r="870" spans="2:12" ht="14.4">
      <c r="B870" s="77"/>
      <c r="E870" s="131"/>
      <c r="F870" s="132"/>
      <c r="K870" s="92"/>
      <c r="L870"/>
    </row>
    <row r="871" spans="2:12" ht="14.4">
      <c r="B871" s="77"/>
      <c r="E871" s="131"/>
      <c r="F871" s="132"/>
      <c r="K871" s="92"/>
      <c r="L871"/>
    </row>
    <row r="872" spans="2:12" ht="14.4">
      <c r="B872" s="77"/>
      <c r="E872" s="131"/>
      <c r="F872" s="132"/>
      <c r="K872" s="92"/>
      <c r="L872"/>
    </row>
    <row r="873" spans="2:12" ht="14.4">
      <c r="B873" s="77"/>
      <c r="E873" s="131"/>
      <c r="F873" s="132"/>
      <c r="K873" s="92"/>
      <c r="L873"/>
    </row>
    <row r="874" spans="2:12" ht="14.4">
      <c r="B874" s="77"/>
      <c r="E874" s="131"/>
      <c r="F874" s="132"/>
      <c r="K874" s="92"/>
      <c r="L874"/>
    </row>
    <row r="875" spans="2:12" ht="14.4">
      <c r="B875" s="77"/>
      <c r="E875" s="131"/>
      <c r="F875" s="132"/>
      <c r="K875" s="92"/>
      <c r="L875"/>
    </row>
    <row r="876" spans="2:12" ht="14.4">
      <c r="B876" s="77"/>
      <c r="E876" s="131"/>
      <c r="F876" s="132"/>
      <c r="K876" s="92"/>
      <c r="L876"/>
    </row>
    <row r="877" spans="2:12" ht="14.4">
      <c r="B877" s="77"/>
      <c r="E877" s="131"/>
      <c r="F877" s="132"/>
      <c r="K877" s="92"/>
      <c r="L877"/>
    </row>
    <row r="878" spans="2:12" ht="14.4">
      <c r="B878" s="77"/>
      <c r="E878" s="131"/>
      <c r="F878" s="132"/>
      <c r="K878" s="92"/>
      <c r="L878"/>
    </row>
    <row r="879" spans="2:12" ht="14.4">
      <c r="B879" s="77"/>
      <c r="E879" s="131"/>
      <c r="F879" s="132"/>
      <c r="K879" s="92"/>
      <c r="L879"/>
    </row>
    <row r="880" spans="2:12" ht="14.4">
      <c r="B880" s="77"/>
      <c r="E880" s="131"/>
      <c r="F880" s="132"/>
      <c r="K880" s="92"/>
      <c r="L880"/>
    </row>
    <row r="881" spans="2:12" ht="14.4">
      <c r="B881" s="77"/>
      <c r="E881" s="131"/>
      <c r="F881" s="132"/>
      <c r="K881" s="92"/>
      <c r="L881"/>
    </row>
    <row r="882" spans="2:12" ht="14.4">
      <c r="B882" s="77"/>
      <c r="E882" s="131"/>
      <c r="F882" s="132"/>
      <c r="K882" s="92"/>
      <c r="L882"/>
    </row>
    <row r="883" spans="2:12" ht="14.4">
      <c r="B883" s="77"/>
      <c r="E883" s="131"/>
      <c r="F883" s="132"/>
      <c r="K883" s="92"/>
      <c r="L883"/>
    </row>
    <row r="884" spans="2:12" ht="14.4">
      <c r="B884" s="77"/>
      <c r="E884" s="131"/>
      <c r="F884" s="132"/>
      <c r="K884" s="92"/>
      <c r="L884"/>
    </row>
    <row r="885" spans="2:12" ht="14.4">
      <c r="B885" s="77"/>
      <c r="E885" s="131"/>
      <c r="F885" s="132"/>
      <c r="K885" s="92"/>
      <c r="L885"/>
    </row>
    <row r="886" spans="2:12" ht="14.4">
      <c r="B886" s="77"/>
      <c r="E886" s="131"/>
      <c r="F886" s="132"/>
      <c r="K886" s="92"/>
      <c r="L886"/>
    </row>
    <row r="887" spans="2:12" ht="14.4">
      <c r="B887" s="77"/>
      <c r="E887" s="131"/>
      <c r="F887" s="132"/>
      <c r="K887" s="92"/>
      <c r="L887"/>
    </row>
    <row r="888" spans="2:12" ht="14.4">
      <c r="B888" s="77"/>
      <c r="E888" s="131"/>
      <c r="F888" s="132"/>
      <c r="K888" s="92"/>
      <c r="L888"/>
    </row>
    <row r="889" spans="2:12" ht="14.4">
      <c r="B889" s="77"/>
      <c r="E889" s="131"/>
      <c r="F889" s="132"/>
      <c r="K889" s="92"/>
      <c r="L889"/>
    </row>
    <row r="890" spans="2:12" ht="14.4">
      <c r="B890" s="77"/>
      <c r="E890" s="131"/>
      <c r="F890" s="132"/>
      <c r="K890" s="92"/>
      <c r="L890"/>
    </row>
    <row r="891" spans="2:12" ht="14.4">
      <c r="B891" s="77"/>
      <c r="E891" s="131"/>
      <c r="F891" s="132"/>
      <c r="K891" s="92"/>
      <c r="L891"/>
    </row>
    <row r="892" spans="2:12" ht="14.4">
      <c r="B892" s="77"/>
      <c r="E892" s="131"/>
      <c r="F892" s="132"/>
      <c r="K892" s="92"/>
      <c r="L892"/>
    </row>
    <row r="893" spans="2:12" ht="14.4">
      <c r="B893" s="77"/>
      <c r="E893" s="131"/>
      <c r="F893" s="132"/>
      <c r="K893" s="92"/>
      <c r="L893"/>
    </row>
    <row r="894" spans="2:12" ht="14.4">
      <c r="B894" s="77"/>
      <c r="E894" s="131"/>
      <c r="F894" s="132"/>
      <c r="K894" s="92"/>
      <c r="L894"/>
    </row>
    <row r="895" spans="2:12" ht="14.4">
      <c r="B895" s="77"/>
      <c r="E895" s="131"/>
      <c r="F895" s="132"/>
      <c r="K895" s="92"/>
      <c r="L895"/>
    </row>
    <row r="896" spans="2:12" ht="14.4">
      <c r="B896" s="77"/>
      <c r="E896" s="131"/>
      <c r="F896" s="132"/>
      <c r="K896" s="92"/>
      <c r="L896"/>
    </row>
    <row r="897" spans="2:12" ht="14.4">
      <c r="B897" s="77"/>
      <c r="E897" s="131"/>
      <c r="F897" s="132"/>
      <c r="K897" s="92"/>
      <c r="L897"/>
    </row>
    <row r="898" spans="2:12" ht="14.4">
      <c r="B898" s="77"/>
      <c r="E898" s="131"/>
      <c r="F898" s="132"/>
      <c r="K898" s="92"/>
      <c r="L898"/>
    </row>
    <row r="899" spans="2:12" ht="14.4">
      <c r="B899" s="77"/>
      <c r="E899" s="131"/>
      <c r="F899" s="132"/>
      <c r="K899" s="92"/>
      <c r="L899"/>
    </row>
    <row r="900" spans="2:12" ht="14.4">
      <c r="B900" s="77"/>
      <c r="E900" s="131"/>
      <c r="F900" s="132"/>
      <c r="K900" s="92"/>
      <c r="L900"/>
    </row>
    <row r="901" spans="2:12" ht="14.4">
      <c r="B901" s="77"/>
      <c r="E901" s="131"/>
      <c r="F901" s="132"/>
      <c r="K901" s="92"/>
      <c r="L901"/>
    </row>
    <row r="902" spans="2:12" ht="14.4">
      <c r="B902" s="77"/>
      <c r="E902" s="131"/>
      <c r="F902" s="132"/>
      <c r="K902" s="92"/>
      <c r="L902"/>
    </row>
    <row r="903" spans="2:12" ht="14.4">
      <c r="B903" s="77"/>
      <c r="E903" s="131"/>
      <c r="F903" s="132"/>
      <c r="K903" s="92"/>
      <c r="L903"/>
    </row>
    <row r="904" spans="2:12" ht="14.4">
      <c r="B904" s="77"/>
      <c r="E904" s="131"/>
      <c r="F904" s="132"/>
      <c r="K904" s="92"/>
      <c r="L904"/>
    </row>
    <row r="905" spans="2:12" ht="14.4">
      <c r="B905" s="77"/>
      <c r="E905" s="131"/>
      <c r="F905" s="132"/>
      <c r="K905" s="92"/>
      <c r="L905"/>
    </row>
    <row r="906" spans="2:12" ht="14.4">
      <c r="B906" s="77"/>
      <c r="E906" s="131"/>
      <c r="F906" s="132"/>
      <c r="K906" s="92"/>
      <c r="L906"/>
    </row>
    <row r="907" spans="2:12" ht="14.4">
      <c r="B907" s="77"/>
      <c r="E907" s="131"/>
      <c r="F907" s="132"/>
      <c r="K907" s="92"/>
      <c r="L907"/>
    </row>
    <row r="908" spans="2:12" ht="14.4">
      <c r="B908" s="77"/>
      <c r="E908" s="131"/>
      <c r="F908" s="132"/>
      <c r="K908" s="92"/>
      <c r="L908"/>
    </row>
    <row r="909" spans="2:12" ht="14.4">
      <c r="B909" s="77"/>
      <c r="E909" s="131"/>
      <c r="F909" s="132"/>
      <c r="K909" s="92"/>
      <c r="L909"/>
    </row>
    <row r="910" spans="2:12" ht="14.4">
      <c r="B910" s="77"/>
      <c r="E910" s="131"/>
      <c r="F910" s="132"/>
      <c r="K910" s="92"/>
      <c r="L910"/>
    </row>
    <row r="911" spans="2:12" ht="14.4">
      <c r="B911" s="77"/>
      <c r="E911" s="131"/>
      <c r="F911" s="132"/>
      <c r="K911" s="92"/>
      <c r="L911"/>
    </row>
    <row r="912" spans="2:12" ht="14.4">
      <c r="B912" s="77"/>
      <c r="E912" s="131"/>
      <c r="F912" s="132"/>
      <c r="K912" s="92"/>
      <c r="L912"/>
    </row>
    <row r="913" spans="2:12" ht="14.4">
      <c r="B913" s="77"/>
      <c r="E913" s="131"/>
      <c r="F913" s="132"/>
      <c r="K913" s="92"/>
      <c r="L913"/>
    </row>
    <row r="914" spans="2:12" ht="14.4">
      <c r="B914" s="77"/>
      <c r="E914" s="131"/>
      <c r="F914" s="132"/>
      <c r="K914" s="92"/>
      <c r="L914"/>
    </row>
    <row r="915" spans="2:12" ht="14.4">
      <c r="B915" s="77"/>
      <c r="E915" s="131"/>
      <c r="F915" s="132"/>
      <c r="K915" s="92"/>
      <c r="L915"/>
    </row>
    <row r="916" spans="2:12" ht="14.4">
      <c r="B916" s="77"/>
      <c r="E916" s="131"/>
      <c r="F916" s="132"/>
      <c r="K916" s="92"/>
      <c r="L916"/>
    </row>
    <row r="917" spans="2:12" ht="14.4">
      <c r="B917" s="77"/>
      <c r="E917" s="131"/>
      <c r="F917" s="132"/>
      <c r="K917" s="92"/>
      <c r="L917"/>
    </row>
    <row r="918" spans="2:12" ht="14.4">
      <c r="B918" s="77"/>
      <c r="E918" s="131"/>
      <c r="F918" s="132"/>
      <c r="K918" s="92"/>
      <c r="L918"/>
    </row>
    <row r="919" spans="2:12" ht="14.4">
      <c r="B919" s="77"/>
      <c r="E919" s="131"/>
      <c r="F919" s="132"/>
      <c r="K919" s="92"/>
      <c r="L919"/>
    </row>
    <row r="920" spans="2:12" ht="14.4">
      <c r="B920" s="77"/>
      <c r="E920" s="131"/>
      <c r="F920" s="132"/>
      <c r="K920" s="92"/>
      <c r="L920"/>
    </row>
    <row r="921" spans="2:12" ht="14.4">
      <c r="B921" s="77"/>
      <c r="E921" s="131"/>
      <c r="F921" s="132"/>
      <c r="K921" s="92"/>
      <c r="L921"/>
    </row>
    <row r="922" spans="2:12" ht="14.4">
      <c r="B922" s="77"/>
      <c r="E922" s="131"/>
      <c r="F922" s="132"/>
      <c r="K922" s="92"/>
      <c r="L922"/>
    </row>
    <row r="923" spans="2:12" ht="14.4">
      <c r="B923" s="77"/>
      <c r="E923" s="131"/>
      <c r="F923" s="132"/>
      <c r="K923" s="92"/>
      <c r="L923"/>
    </row>
    <row r="924" spans="2:12" ht="14.4">
      <c r="B924" s="77"/>
      <c r="E924" s="131"/>
      <c r="F924" s="132"/>
      <c r="K924" s="92"/>
      <c r="L924"/>
    </row>
    <row r="925" spans="2:12" ht="14.4">
      <c r="B925" s="77"/>
      <c r="E925" s="131"/>
      <c r="F925" s="132"/>
      <c r="K925" s="92"/>
      <c r="L925"/>
    </row>
    <row r="926" spans="2:12" ht="14.4">
      <c r="B926" s="77"/>
      <c r="E926" s="131"/>
      <c r="F926" s="132"/>
      <c r="K926" s="92"/>
      <c r="L926"/>
    </row>
    <row r="927" spans="2:12" ht="14.4">
      <c r="B927" s="77"/>
      <c r="E927" s="131"/>
      <c r="F927" s="132"/>
      <c r="K927" s="92"/>
      <c r="L927"/>
    </row>
    <row r="928" spans="2:12" ht="14.4">
      <c r="B928" s="77"/>
      <c r="E928" s="131"/>
      <c r="F928" s="132"/>
      <c r="K928" s="92"/>
      <c r="L928"/>
    </row>
    <row r="929" spans="2:12" ht="14.4">
      <c r="B929" s="77"/>
      <c r="E929" s="131"/>
      <c r="F929" s="132"/>
      <c r="K929" s="92"/>
      <c r="L929"/>
    </row>
    <row r="930" spans="2:12" ht="14.4">
      <c r="B930" s="77"/>
      <c r="E930" s="131"/>
      <c r="F930" s="132"/>
      <c r="K930" s="92"/>
      <c r="L930"/>
    </row>
    <row r="931" spans="2:12" ht="14.4">
      <c r="B931" s="77"/>
      <c r="E931" s="131"/>
      <c r="F931" s="132"/>
      <c r="K931" s="92"/>
      <c r="L931"/>
    </row>
    <row r="932" spans="2:12" ht="14.4">
      <c r="B932" s="77"/>
      <c r="E932" s="131"/>
      <c r="F932" s="132"/>
      <c r="K932" s="92"/>
      <c r="L932"/>
    </row>
    <row r="933" spans="2:12" ht="14.4">
      <c r="B933" s="77"/>
      <c r="E933" s="131"/>
      <c r="F933" s="132"/>
      <c r="K933" s="92"/>
      <c r="L933"/>
    </row>
    <row r="934" spans="2:12" ht="14.4">
      <c r="B934" s="77"/>
      <c r="E934" s="131"/>
      <c r="F934" s="132"/>
      <c r="K934" s="92"/>
      <c r="L934"/>
    </row>
    <row r="935" spans="2:12" ht="14.4">
      <c r="B935" s="77"/>
      <c r="E935" s="131"/>
      <c r="F935" s="132"/>
      <c r="K935" s="92"/>
      <c r="L935"/>
    </row>
    <row r="936" spans="2:12" ht="14.4">
      <c r="B936" s="77"/>
      <c r="E936" s="131"/>
      <c r="F936" s="132"/>
      <c r="K936" s="92"/>
      <c r="L936"/>
    </row>
    <row r="937" spans="2:12" ht="14.4">
      <c r="B937" s="77"/>
      <c r="E937" s="131"/>
      <c r="F937" s="132"/>
      <c r="K937" s="92"/>
      <c r="L937"/>
    </row>
    <row r="938" spans="2:12" ht="14.4">
      <c r="B938" s="77"/>
      <c r="E938" s="131"/>
      <c r="F938" s="132"/>
      <c r="K938" s="92"/>
      <c r="L938"/>
    </row>
    <row r="939" spans="2:12" ht="14.4">
      <c r="B939" s="77"/>
      <c r="E939" s="131"/>
      <c r="F939" s="132"/>
      <c r="K939" s="92"/>
      <c r="L939"/>
    </row>
    <row r="940" spans="2:12" ht="14.4">
      <c r="B940" s="77"/>
      <c r="E940" s="131"/>
      <c r="F940" s="132"/>
      <c r="K940" s="92"/>
      <c r="L940"/>
    </row>
    <row r="941" spans="2:12" ht="14.4">
      <c r="B941" s="77"/>
      <c r="E941" s="131"/>
      <c r="F941" s="132"/>
      <c r="K941" s="92"/>
      <c r="L941"/>
    </row>
    <row r="942" spans="2:12" ht="14.4">
      <c r="B942" s="77"/>
      <c r="E942" s="131"/>
      <c r="F942" s="132"/>
      <c r="K942" s="92"/>
      <c r="L942"/>
    </row>
    <row r="943" spans="2:12" ht="14.4">
      <c r="B943" s="77"/>
      <c r="E943" s="131"/>
      <c r="F943" s="132"/>
      <c r="K943" s="92"/>
      <c r="L943"/>
    </row>
    <row r="944" spans="2:12" ht="14.4">
      <c r="B944" s="77"/>
      <c r="E944" s="131"/>
      <c r="F944" s="132"/>
      <c r="K944" s="92"/>
      <c r="L944"/>
    </row>
    <row r="945" spans="2:12" ht="14.4">
      <c r="B945" s="77"/>
      <c r="E945" s="131"/>
      <c r="F945" s="132"/>
      <c r="K945" s="92"/>
      <c r="L945"/>
    </row>
    <row r="946" spans="2:12" ht="14.4">
      <c r="B946" s="77"/>
      <c r="E946" s="131"/>
      <c r="F946" s="132"/>
      <c r="K946" s="92"/>
      <c r="L946"/>
    </row>
    <row r="947" spans="2:12" ht="14.4">
      <c r="B947" s="77"/>
      <c r="E947" s="131"/>
      <c r="F947" s="132"/>
      <c r="K947" s="92"/>
      <c r="L947"/>
    </row>
    <row r="948" spans="2:12" ht="14.4">
      <c r="B948" s="77"/>
      <c r="E948" s="131"/>
      <c r="F948" s="132"/>
      <c r="K948" s="92"/>
      <c r="L948"/>
    </row>
    <row r="949" spans="2:12" ht="14.4">
      <c r="B949" s="77"/>
      <c r="E949" s="131"/>
      <c r="F949" s="132"/>
      <c r="K949" s="92"/>
      <c r="L949"/>
    </row>
    <row r="950" spans="2:12" ht="14.4">
      <c r="B950" s="77"/>
      <c r="E950" s="131"/>
      <c r="F950" s="132"/>
      <c r="K950" s="92"/>
      <c r="L950"/>
    </row>
    <row r="951" spans="2:12" ht="14.4">
      <c r="B951" s="77"/>
      <c r="E951" s="131"/>
      <c r="F951" s="132"/>
      <c r="K951" s="92"/>
      <c r="L951"/>
    </row>
    <row r="952" spans="2:12" ht="14.4">
      <c r="B952" s="77"/>
      <c r="E952" s="131"/>
      <c r="F952" s="132"/>
      <c r="K952" s="92"/>
      <c r="L952"/>
    </row>
    <row r="953" spans="2:12" ht="14.4">
      <c r="B953" s="77"/>
      <c r="E953" s="131"/>
      <c r="F953" s="132"/>
      <c r="K953" s="92"/>
      <c r="L953"/>
    </row>
    <row r="954" spans="2:12" ht="14.4">
      <c r="B954" s="77"/>
      <c r="E954" s="131"/>
      <c r="F954" s="132"/>
      <c r="K954" s="92"/>
      <c r="L954"/>
    </row>
    <row r="955" spans="2:12" ht="14.4">
      <c r="B955" s="77"/>
      <c r="E955" s="131"/>
      <c r="F955" s="132"/>
      <c r="K955" s="92"/>
      <c r="L955"/>
    </row>
    <row r="956" spans="2:12" ht="14.4">
      <c r="B956" s="77"/>
      <c r="E956" s="131"/>
      <c r="F956" s="132"/>
      <c r="K956" s="92"/>
      <c r="L956"/>
    </row>
    <row r="957" spans="2:12" ht="14.4">
      <c r="B957" s="77"/>
      <c r="E957" s="131"/>
      <c r="F957" s="132"/>
      <c r="K957" s="92"/>
      <c r="L957"/>
    </row>
    <row r="958" spans="2:12" ht="14.4">
      <c r="B958" s="77"/>
      <c r="E958" s="131"/>
      <c r="F958" s="132"/>
      <c r="K958" s="92"/>
      <c r="L958"/>
    </row>
    <row r="959" spans="2:12" ht="14.4">
      <c r="B959" s="77"/>
      <c r="E959" s="131"/>
      <c r="F959" s="132"/>
      <c r="K959" s="92"/>
      <c r="L959"/>
    </row>
    <row r="960" spans="2:12" ht="14.4">
      <c r="B960" s="77"/>
      <c r="E960" s="131"/>
      <c r="F960" s="132"/>
      <c r="K960" s="92"/>
      <c r="L960"/>
    </row>
    <row r="961" spans="2:12" ht="14.4">
      <c r="B961" s="77"/>
      <c r="E961" s="131"/>
      <c r="F961" s="132"/>
      <c r="K961" s="92"/>
      <c r="L961"/>
    </row>
    <row r="962" spans="2:12" ht="14.4">
      <c r="B962" s="77"/>
      <c r="E962" s="131"/>
      <c r="F962" s="132"/>
      <c r="K962" s="92"/>
      <c r="L962"/>
    </row>
    <row r="963" spans="2:12" ht="14.4">
      <c r="B963" s="77"/>
      <c r="E963" s="131"/>
      <c r="F963" s="132"/>
      <c r="K963" s="92"/>
      <c r="L963"/>
    </row>
    <row r="964" spans="2:12" ht="14.4">
      <c r="B964" s="77"/>
      <c r="E964" s="131"/>
      <c r="F964" s="132"/>
      <c r="K964" s="92"/>
      <c r="L964"/>
    </row>
    <row r="965" spans="2:12" ht="14.4">
      <c r="B965" s="77"/>
      <c r="E965" s="131"/>
      <c r="F965" s="132"/>
      <c r="K965" s="92"/>
      <c r="L965"/>
    </row>
    <row r="966" spans="2:12" ht="14.4">
      <c r="B966" s="77"/>
      <c r="E966" s="131"/>
      <c r="F966" s="132"/>
      <c r="K966" s="92"/>
      <c r="L966"/>
    </row>
    <row r="967" spans="2:12" ht="14.4">
      <c r="B967" s="77"/>
      <c r="E967" s="131"/>
      <c r="F967" s="132"/>
      <c r="K967" s="92"/>
      <c r="L967"/>
    </row>
    <row r="968" spans="2:12" ht="14.4">
      <c r="B968" s="77"/>
      <c r="E968" s="131"/>
      <c r="F968" s="132"/>
      <c r="K968" s="92"/>
      <c r="L968"/>
    </row>
    <row r="969" spans="2:12" ht="14.4">
      <c r="B969" s="77"/>
      <c r="E969" s="131"/>
      <c r="F969" s="132"/>
      <c r="K969" s="92"/>
      <c r="L969"/>
    </row>
    <row r="970" spans="2:12" ht="14.4">
      <c r="B970" s="77"/>
      <c r="E970" s="131"/>
      <c r="F970" s="132"/>
      <c r="K970" s="92"/>
      <c r="L970"/>
    </row>
    <row r="971" spans="2:12" ht="14.4">
      <c r="B971" s="77"/>
      <c r="E971" s="131"/>
      <c r="F971" s="132"/>
      <c r="K971" s="92"/>
      <c r="L971"/>
    </row>
    <row r="972" spans="2:12" ht="14.4">
      <c r="B972" s="77"/>
      <c r="E972" s="131"/>
      <c r="F972" s="132"/>
      <c r="K972" s="92"/>
      <c r="L972"/>
    </row>
    <row r="973" spans="2:12" ht="14.4">
      <c r="B973" s="77"/>
      <c r="E973" s="131"/>
      <c r="F973" s="132"/>
      <c r="K973" s="92"/>
      <c r="L973"/>
    </row>
    <row r="974" spans="2:12" ht="14.4">
      <c r="B974" s="77"/>
      <c r="E974" s="131"/>
      <c r="F974" s="132"/>
      <c r="K974" s="92"/>
      <c r="L974"/>
    </row>
    <row r="975" spans="2:12" ht="14.4">
      <c r="B975" s="77"/>
      <c r="E975" s="131"/>
      <c r="F975" s="132"/>
      <c r="K975" s="92"/>
      <c r="L975"/>
    </row>
    <row r="976" spans="2:12" ht="14.4">
      <c r="B976" s="77"/>
      <c r="E976" s="131"/>
      <c r="F976" s="132"/>
      <c r="K976" s="92"/>
      <c r="L976"/>
    </row>
    <row r="977" spans="2:12" ht="14.4">
      <c r="B977" s="77"/>
      <c r="E977" s="131"/>
      <c r="F977" s="132"/>
      <c r="K977" s="92"/>
      <c r="L977"/>
    </row>
    <row r="978" spans="2:12" ht="14.4">
      <c r="B978" s="77"/>
      <c r="E978" s="131"/>
      <c r="F978" s="132"/>
      <c r="K978" s="92"/>
      <c r="L978"/>
    </row>
    <row r="979" spans="2:12" ht="14.4">
      <c r="B979" s="77"/>
      <c r="E979" s="131"/>
      <c r="F979" s="132"/>
      <c r="K979" s="92"/>
      <c r="L979"/>
    </row>
    <row r="980" spans="2:12" ht="14.4">
      <c r="B980" s="77"/>
      <c r="E980" s="131"/>
      <c r="F980" s="132"/>
      <c r="K980" s="92"/>
      <c r="L980"/>
    </row>
    <row r="981" spans="2:12" ht="14.4">
      <c r="B981" s="77"/>
      <c r="E981" s="131"/>
      <c r="F981" s="132"/>
      <c r="K981" s="92"/>
      <c r="L981"/>
    </row>
    <row r="982" spans="2:12" ht="14.4">
      <c r="B982" s="77"/>
      <c r="E982" s="131"/>
      <c r="F982" s="132"/>
      <c r="K982" s="92"/>
      <c r="L982"/>
    </row>
    <row r="983" spans="2:12" ht="14.4">
      <c r="B983" s="77"/>
      <c r="E983" s="131"/>
      <c r="F983" s="132"/>
      <c r="K983" s="92"/>
      <c r="L983"/>
    </row>
    <row r="984" spans="2:12" ht="14.4">
      <c r="B984" s="77"/>
      <c r="E984" s="131"/>
      <c r="F984" s="132"/>
      <c r="K984" s="92"/>
      <c r="L984"/>
    </row>
    <row r="985" spans="2:12" ht="14.4">
      <c r="B985" s="77"/>
      <c r="E985" s="131"/>
      <c r="F985" s="132"/>
      <c r="K985" s="92"/>
      <c r="L985"/>
    </row>
    <row r="986" spans="2:12" ht="14.4">
      <c r="B986" s="77"/>
      <c r="E986" s="131"/>
      <c r="F986" s="132"/>
      <c r="K986" s="92"/>
      <c r="L986"/>
    </row>
    <row r="987" spans="2:12" ht="14.4">
      <c r="B987" s="77"/>
      <c r="E987" s="131"/>
      <c r="F987" s="132"/>
      <c r="K987" s="92"/>
      <c r="L987"/>
    </row>
    <row r="988" spans="2:12" ht="14.4">
      <c r="B988" s="77"/>
      <c r="E988" s="131"/>
      <c r="F988" s="132"/>
      <c r="K988" s="92"/>
      <c r="L988"/>
    </row>
    <row r="989" spans="2:12" ht="14.4">
      <c r="B989" s="77"/>
      <c r="E989" s="131"/>
      <c r="F989" s="132"/>
      <c r="K989" s="92"/>
      <c r="L989"/>
    </row>
    <row r="990" spans="2:12" ht="14.4">
      <c r="B990" s="77"/>
      <c r="E990" s="131"/>
      <c r="F990" s="132"/>
      <c r="K990" s="92"/>
      <c r="L990"/>
    </row>
    <row r="991" spans="2:12" ht="14.4">
      <c r="B991" s="77"/>
      <c r="E991" s="131"/>
      <c r="F991" s="132"/>
      <c r="K991" s="92"/>
      <c r="L991"/>
    </row>
    <row r="992" spans="2:12" ht="14.4">
      <c r="B992" s="77"/>
      <c r="E992" s="131"/>
      <c r="F992" s="132"/>
      <c r="K992" s="92"/>
      <c r="L992"/>
    </row>
    <row r="993" spans="2:12" ht="14.4">
      <c r="B993" s="77"/>
      <c r="E993" s="131"/>
      <c r="F993" s="132"/>
      <c r="K993" s="92"/>
      <c r="L993"/>
    </row>
    <row r="994" spans="2:12" ht="14.4">
      <c r="B994" s="77"/>
      <c r="E994" s="131"/>
      <c r="F994" s="132"/>
      <c r="K994" s="92"/>
      <c r="L994"/>
    </row>
    <row r="995" spans="2:12" ht="14.4">
      <c r="B995" s="77"/>
      <c r="E995" s="131"/>
      <c r="F995" s="132"/>
      <c r="K995" s="92"/>
      <c r="L995"/>
    </row>
    <row r="996" spans="2:12" ht="14.4">
      <c r="B996" s="77"/>
      <c r="E996" s="131"/>
      <c r="F996" s="132"/>
      <c r="K996" s="92"/>
      <c r="L996"/>
    </row>
    <row r="997" spans="2:12" ht="14.4">
      <c r="B997" s="77"/>
      <c r="E997" s="131"/>
      <c r="F997" s="132"/>
      <c r="K997" s="92"/>
      <c r="L997"/>
    </row>
    <row r="998" spans="2:12" ht="14.4">
      <c r="B998" s="77"/>
      <c r="E998" s="131"/>
      <c r="F998" s="132"/>
      <c r="K998" s="92"/>
      <c r="L998"/>
    </row>
    <row r="999" spans="2:12" ht="14.4">
      <c r="B999" s="77"/>
      <c r="E999" s="131"/>
      <c r="F999" s="132"/>
      <c r="K999" s="92"/>
      <c r="L999"/>
    </row>
    <row r="1000" spans="2:12" ht="14.4">
      <c r="B1000" s="77"/>
      <c r="E1000" s="131"/>
      <c r="F1000" s="132"/>
      <c r="K1000" s="92"/>
      <c r="L1000"/>
    </row>
    <row r="1001" spans="2:12" ht="14.4">
      <c r="B1001" s="77"/>
      <c r="E1001" s="131"/>
      <c r="F1001" s="132"/>
      <c r="K1001" s="92"/>
      <c r="L1001"/>
    </row>
    <row r="1002" spans="2:12" ht="14.4">
      <c r="B1002" s="77"/>
      <c r="E1002" s="131"/>
      <c r="F1002" s="132"/>
      <c r="K1002" s="92"/>
      <c r="L1002"/>
    </row>
    <row r="1003" spans="2:12" ht="14.4">
      <c r="B1003" s="77"/>
      <c r="E1003" s="131"/>
      <c r="F1003" s="132"/>
      <c r="K1003" s="92"/>
      <c r="L1003"/>
    </row>
    <row r="1004" spans="2:12" ht="14.4">
      <c r="B1004" s="77"/>
      <c r="E1004" s="131"/>
      <c r="F1004" s="132"/>
      <c r="K1004" s="92"/>
      <c r="L1004"/>
    </row>
    <row r="1005" spans="2:12" ht="14.4">
      <c r="B1005" s="77"/>
      <c r="E1005" s="131"/>
      <c r="F1005" s="132"/>
      <c r="K1005" s="92"/>
      <c r="L1005"/>
    </row>
    <row r="1006" spans="2:12" ht="14.4">
      <c r="B1006" s="77"/>
      <c r="E1006" s="131"/>
      <c r="F1006" s="132"/>
      <c r="K1006" s="92"/>
      <c r="L1006"/>
    </row>
    <row r="1007" spans="2:12" ht="14.4">
      <c r="B1007" s="77"/>
      <c r="E1007" s="131"/>
      <c r="F1007" s="132"/>
      <c r="K1007" s="92"/>
      <c r="L1007"/>
    </row>
    <row r="1008" spans="2:12" ht="14.4">
      <c r="B1008" s="77"/>
      <c r="E1008" s="131"/>
      <c r="F1008" s="132"/>
      <c r="K1008" s="92"/>
      <c r="L1008"/>
    </row>
    <row r="1009" spans="2:12" ht="14.4">
      <c r="B1009" s="77"/>
      <c r="E1009" s="131"/>
      <c r="F1009" s="132"/>
      <c r="K1009" s="92"/>
      <c r="L1009"/>
    </row>
    <row r="1010" spans="2:12" ht="14.4">
      <c r="B1010" s="77"/>
      <c r="E1010" s="131"/>
      <c r="F1010" s="132"/>
      <c r="K1010" s="92"/>
      <c r="L1010"/>
    </row>
    <row r="1011" spans="2:12" ht="14.4">
      <c r="B1011" s="77"/>
      <c r="E1011" s="131"/>
      <c r="F1011" s="132"/>
      <c r="K1011" s="92"/>
      <c r="L1011"/>
    </row>
    <row r="1012" spans="2:12" ht="14.4">
      <c r="B1012" s="77"/>
      <c r="E1012" s="131"/>
      <c r="F1012" s="132"/>
      <c r="K1012" s="92"/>
      <c r="L1012"/>
    </row>
    <row r="1013" spans="2:12" ht="14.4">
      <c r="B1013" s="77"/>
      <c r="E1013" s="131"/>
      <c r="F1013" s="132"/>
      <c r="K1013" s="92"/>
      <c r="L1013"/>
    </row>
    <row r="1014" spans="2:12" ht="14.4">
      <c r="B1014" s="77"/>
      <c r="E1014" s="131"/>
      <c r="F1014" s="132"/>
      <c r="K1014" s="92"/>
      <c r="L1014"/>
    </row>
    <row r="1015" spans="2:12" ht="14.4">
      <c r="B1015" s="77"/>
      <c r="E1015" s="131"/>
      <c r="F1015" s="132"/>
      <c r="K1015" s="92"/>
      <c r="L1015"/>
    </row>
    <row r="1016" spans="2:12" ht="14.4">
      <c r="B1016" s="77"/>
      <c r="E1016" s="131"/>
      <c r="F1016" s="132"/>
      <c r="K1016" s="92"/>
      <c r="L1016"/>
    </row>
    <row r="1017" spans="2:12" ht="14.4">
      <c r="B1017" s="77"/>
      <c r="E1017" s="131"/>
      <c r="F1017" s="132"/>
      <c r="K1017" s="92"/>
      <c r="L1017"/>
    </row>
    <row r="1018" spans="2:12" ht="14.4">
      <c r="B1018" s="77"/>
      <c r="E1018" s="131"/>
      <c r="F1018" s="132"/>
      <c r="K1018" s="92"/>
      <c r="L1018"/>
    </row>
    <row r="1019" spans="2:12" ht="14.4">
      <c r="B1019" s="77"/>
      <c r="E1019" s="131"/>
      <c r="F1019" s="132"/>
      <c r="K1019" s="92"/>
      <c r="L1019"/>
    </row>
    <row r="1020" spans="2:12" ht="14.4">
      <c r="B1020" s="77"/>
      <c r="E1020" s="131"/>
      <c r="F1020" s="132"/>
      <c r="K1020" s="92"/>
      <c r="L1020"/>
    </row>
    <row r="1021" spans="2:12" ht="14.4">
      <c r="B1021" s="77"/>
      <c r="E1021" s="131"/>
      <c r="F1021" s="132"/>
      <c r="K1021" s="92"/>
      <c r="L1021"/>
    </row>
    <row r="1022" spans="2:12" ht="14.4">
      <c r="B1022" s="77"/>
      <c r="E1022" s="131"/>
      <c r="F1022" s="132"/>
      <c r="K1022" s="92"/>
      <c r="L1022"/>
    </row>
    <row r="1023" spans="2:12" ht="14.4">
      <c r="B1023" s="77"/>
      <c r="E1023" s="131"/>
      <c r="F1023" s="132"/>
      <c r="K1023" s="92"/>
      <c r="L1023"/>
    </row>
    <row r="1024" spans="2:12" ht="14.4">
      <c r="B1024" s="77"/>
      <c r="E1024" s="131"/>
      <c r="F1024" s="132"/>
      <c r="K1024" s="92"/>
      <c r="L1024"/>
    </row>
    <row r="1025" spans="2:12" ht="14.4">
      <c r="B1025" s="77"/>
      <c r="E1025" s="131"/>
      <c r="F1025" s="132"/>
      <c r="K1025" s="92"/>
      <c r="L1025"/>
    </row>
    <row r="1026" spans="2:12" ht="14.4">
      <c r="B1026" s="77"/>
      <c r="E1026" s="131"/>
      <c r="F1026" s="132"/>
      <c r="K1026" s="92"/>
      <c r="L1026"/>
    </row>
    <row r="1027" spans="2:12" ht="14.4">
      <c r="B1027" s="77"/>
      <c r="E1027" s="131"/>
      <c r="F1027" s="132"/>
      <c r="K1027" s="92"/>
      <c r="L1027"/>
    </row>
    <row r="1028" spans="2:12" ht="14.4">
      <c r="B1028" s="77"/>
      <c r="E1028" s="131"/>
      <c r="F1028" s="132"/>
      <c r="K1028" s="92"/>
      <c r="L1028"/>
    </row>
    <row r="1029" spans="2:12" ht="14.4">
      <c r="B1029" s="77"/>
      <c r="E1029" s="131"/>
      <c r="F1029" s="132"/>
      <c r="K1029" s="92"/>
      <c r="L1029"/>
    </row>
    <row r="1030" spans="2:12" ht="14.4">
      <c r="B1030" s="77"/>
      <c r="E1030" s="131"/>
      <c r="F1030" s="132"/>
      <c r="K1030" s="92"/>
      <c r="L1030"/>
    </row>
    <row r="1031" spans="2:12" ht="14.4">
      <c r="B1031" s="77"/>
      <c r="E1031" s="131"/>
      <c r="F1031" s="132"/>
      <c r="K1031" s="92"/>
      <c r="L1031"/>
    </row>
    <row r="1032" spans="2:12" ht="14.4">
      <c r="B1032" s="77"/>
      <c r="E1032" s="131"/>
      <c r="F1032" s="132"/>
      <c r="K1032" s="92"/>
      <c r="L1032"/>
    </row>
    <row r="1033" spans="2:12" ht="14.4">
      <c r="B1033" s="77"/>
      <c r="E1033" s="131"/>
      <c r="F1033" s="132"/>
      <c r="K1033" s="92"/>
      <c r="L1033"/>
    </row>
    <row r="1034" spans="2:12" ht="14.4">
      <c r="B1034" s="77"/>
      <c r="E1034" s="131"/>
      <c r="F1034" s="132"/>
      <c r="K1034" s="92"/>
      <c r="L1034"/>
    </row>
    <row r="1035" spans="2:12" ht="14.4">
      <c r="B1035" s="77"/>
      <c r="E1035" s="131"/>
      <c r="F1035" s="132"/>
      <c r="K1035" s="92"/>
      <c r="L1035"/>
    </row>
    <row r="1036" spans="2:12" ht="14.4">
      <c r="B1036" s="77"/>
      <c r="E1036" s="131"/>
      <c r="F1036" s="132"/>
      <c r="K1036" s="92"/>
      <c r="L1036"/>
    </row>
    <row r="1037" spans="2:12" ht="14.4">
      <c r="B1037" s="77"/>
      <c r="E1037" s="131"/>
      <c r="F1037" s="132"/>
      <c r="K1037" s="92"/>
      <c r="L1037"/>
    </row>
    <row r="1038" spans="2:12" ht="14.4">
      <c r="B1038" s="77"/>
      <c r="E1038" s="131"/>
      <c r="F1038" s="132"/>
      <c r="K1038" s="92"/>
      <c r="L1038"/>
    </row>
    <row r="1039" spans="2:12" ht="14.4">
      <c r="B1039" s="77"/>
      <c r="E1039" s="131"/>
      <c r="F1039" s="132"/>
      <c r="K1039" s="92"/>
      <c r="L1039"/>
    </row>
    <row r="1040" spans="2:12" ht="14.4">
      <c r="B1040" s="77"/>
      <c r="E1040" s="131"/>
      <c r="F1040" s="132"/>
      <c r="K1040" s="92"/>
      <c r="L1040"/>
    </row>
    <row r="1041" spans="2:12" ht="14.4">
      <c r="B1041" s="77"/>
      <c r="E1041" s="131"/>
      <c r="F1041" s="132"/>
      <c r="K1041" s="92"/>
      <c r="L1041"/>
    </row>
    <row r="1042" spans="2:12" ht="14.4">
      <c r="B1042" s="77"/>
      <c r="E1042" s="131"/>
      <c r="F1042" s="132"/>
      <c r="K1042" s="92"/>
      <c r="L1042"/>
    </row>
    <row r="1043" spans="2:12" ht="14.4">
      <c r="B1043" s="77"/>
      <c r="E1043" s="131"/>
      <c r="F1043" s="132"/>
      <c r="K1043" s="92"/>
      <c r="L1043"/>
    </row>
    <row r="1044" spans="2:12" ht="14.4">
      <c r="B1044" s="77"/>
      <c r="E1044" s="131"/>
      <c r="F1044" s="132"/>
      <c r="K1044" s="92"/>
      <c r="L1044"/>
    </row>
    <row r="1045" spans="2:12" ht="14.4">
      <c r="B1045" s="77"/>
      <c r="E1045" s="131"/>
      <c r="F1045" s="132"/>
      <c r="K1045" s="92"/>
      <c r="L1045"/>
    </row>
    <row r="1046" spans="2:12" ht="14.4">
      <c r="B1046" s="77"/>
      <c r="E1046" s="131"/>
      <c r="F1046" s="132"/>
      <c r="K1046" s="92"/>
      <c r="L1046"/>
    </row>
    <row r="1047" spans="2:12" ht="14.4">
      <c r="B1047" s="77"/>
      <c r="E1047" s="131"/>
      <c r="F1047" s="132"/>
      <c r="K1047" s="92"/>
      <c r="L1047"/>
    </row>
    <row r="1048" spans="2:12" ht="14.4">
      <c r="B1048" s="77"/>
      <c r="E1048" s="131"/>
      <c r="F1048" s="132"/>
      <c r="K1048" s="92"/>
      <c r="L1048"/>
    </row>
    <row r="1049" spans="2:12" ht="14.4">
      <c r="B1049" s="77"/>
      <c r="E1049" s="131"/>
      <c r="F1049" s="132"/>
      <c r="K1049" s="92"/>
      <c r="L1049"/>
    </row>
    <row r="1050" spans="2:12" ht="14.4">
      <c r="B1050" s="77"/>
      <c r="E1050" s="131"/>
      <c r="F1050" s="132"/>
      <c r="K1050" s="92"/>
      <c r="L1050"/>
    </row>
    <row r="1051" spans="2:12" ht="14.4">
      <c r="B1051" s="77"/>
      <c r="E1051" s="131"/>
      <c r="F1051" s="132"/>
      <c r="K1051" s="92"/>
      <c r="L1051"/>
    </row>
    <row r="1052" spans="2:12" ht="14.4">
      <c r="B1052" s="77"/>
      <c r="E1052" s="131"/>
      <c r="F1052" s="132"/>
      <c r="K1052" s="92"/>
      <c r="L1052"/>
    </row>
    <row r="1053" spans="2:12" ht="14.4">
      <c r="B1053" s="77"/>
      <c r="E1053" s="131"/>
      <c r="F1053" s="132"/>
      <c r="K1053" s="92"/>
      <c r="L1053"/>
    </row>
    <row r="1054" spans="2:12" ht="14.4">
      <c r="B1054" s="77"/>
      <c r="E1054" s="131"/>
      <c r="F1054" s="132"/>
      <c r="K1054" s="92"/>
      <c r="L1054"/>
    </row>
    <row r="1055" spans="2:12" ht="14.4">
      <c r="B1055" s="77"/>
      <c r="E1055" s="131"/>
      <c r="F1055" s="132"/>
      <c r="K1055" s="92"/>
      <c r="L1055"/>
    </row>
    <row r="1056" spans="2:12" ht="14.4">
      <c r="B1056" s="77"/>
      <c r="E1056" s="131"/>
      <c r="F1056" s="132"/>
      <c r="K1056" s="92"/>
      <c r="L1056"/>
    </row>
    <row r="1057" spans="2:12" ht="14.4">
      <c r="B1057" s="77"/>
      <c r="E1057" s="131"/>
      <c r="F1057" s="132"/>
      <c r="K1057" s="92"/>
      <c r="L1057"/>
    </row>
    <row r="1058" spans="2:12" ht="14.4">
      <c r="B1058" s="77"/>
      <c r="E1058" s="131"/>
      <c r="F1058" s="132"/>
      <c r="K1058" s="92"/>
      <c r="L1058"/>
    </row>
    <row r="1059" spans="2:12" ht="14.4">
      <c r="B1059" s="77"/>
      <c r="E1059" s="131"/>
      <c r="F1059" s="132"/>
      <c r="K1059" s="92"/>
      <c r="L1059"/>
    </row>
    <row r="1060" spans="2:12" ht="14.4">
      <c r="B1060" s="77"/>
      <c r="E1060" s="131"/>
      <c r="F1060" s="132"/>
      <c r="K1060" s="92"/>
      <c r="L1060"/>
    </row>
    <row r="1061" spans="2:12" ht="14.4">
      <c r="B1061" s="77"/>
      <c r="E1061" s="131"/>
      <c r="F1061" s="132"/>
      <c r="K1061" s="92"/>
      <c r="L1061"/>
    </row>
    <row r="1062" spans="2:12" ht="14.4">
      <c r="B1062" s="77"/>
      <c r="E1062" s="131"/>
      <c r="F1062" s="132"/>
      <c r="K1062" s="92"/>
      <c r="L1062"/>
    </row>
    <row r="1063" spans="2:12" ht="14.4">
      <c r="B1063" s="77"/>
      <c r="E1063" s="131"/>
      <c r="F1063" s="132"/>
      <c r="K1063" s="92"/>
      <c r="L1063"/>
    </row>
    <row r="1064" spans="2:12" ht="14.4">
      <c r="B1064" s="77"/>
      <c r="E1064" s="131"/>
      <c r="F1064" s="132"/>
      <c r="K1064" s="92"/>
      <c r="L1064"/>
    </row>
    <row r="1065" spans="2:12" ht="14.4">
      <c r="B1065" s="77"/>
      <c r="E1065" s="131"/>
      <c r="F1065" s="132"/>
      <c r="K1065" s="92"/>
      <c r="L1065"/>
    </row>
    <row r="1066" spans="2:12" ht="14.4">
      <c r="B1066" s="77"/>
      <c r="E1066" s="131"/>
      <c r="F1066" s="132"/>
      <c r="K1066" s="92"/>
      <c r="L1066"/>
    </row>
    <row r="1067" spans="2:12" ht="14.4">
      <c r="B1067" s="77"/>
      <c r="E1067" s="131"/>
      <c r="F1067" s="132"/>
      <c r="K1067" s="92"/>
      <c r="L1067"/>
    </row>
    <row r="1068" spans="2:12" ht="14.4">
      <c r="B1068" s="77"/>
      <c r="E1068" s="131"/>
      <c r="F1068" s="132"/>
      <c r="K1068" s="92"/>
      <c r="L1068"/>
    </row>
    <row r="1069" spans="2:12" ht="14.4">
      <c r="B1069" s="77"/>
      <c r="E1069" s="131"/>
      <c r="F1069" s="132"/>
      <c r="K1069" s="92"/>
      <c r="L1069"/>
    </row>
    <row r="1070" spans="2:12" ht="14.4">
      <c r="B1070" s="77"/>
      <c r="E1070" s="131"/>
      <c r="F1070" s="132"/>
      <c r="K1070" s="92"/>
      <c r="L1070"/>
    </row>
    <row r="1071" spans="2:12" ht="14.4">
      <c r="B1071" s="77"/>
      <c r="E1071" s="131"/>
      <c r="F1071" s="132"/>
      <c r="K1071" s="92"/>
      <c r="L1071"/>
    </row>
    <row r="1072" spans="2:12" ht="14.4">
      <c r="B1072" s="77"/>
      <c r="E1072" s="131"/>
      <c r="F1072" s="132"/>
      <c r="K1072" s="92"/>
      <c r="L1072"/>
    </row>
    <row r="1073" spans="2:14" ht="14.4">
      <c r="B1073" s="77"/>
      <c r="E1073" s="131"/>
      <c r="F1073" s="132"/>
      <c r="K1073" s="92"/>
      <c r="L1073"/>
    </row>
    <row r="1074" spans="2:14" ht="14.4">
      <c r="B1074" s="77"/>
      <c r="E1074" s="131"/>
      <c r="F1074" s="132"/>
      <c r="K1074" s="92"/>
      <c r="L1074"/>
    </row>
    <row r="1075" spans="2:14" ht="14.4">
      <c r="B1075" s="77"/>
      <c r="E1075" s="131"/>
      <c r="F1075" s="132"/>
      <c r="K1075" s="92"/>
      <c r="L1075"/>
    </row>
    <row r="1076" spans="2:14" ht="14.4">
      <c r="B1076" s="77"/>
      <c r="E1076" s="131"/>
      <c r="F1076" s="132"/>
      <c r="K1076" s="92"/>
      <c r="L1076"/>
    </row>
    <row r="1077" spans="2:14" ht="14.4">
      <c r="B1077" s="77"/>
      <c r="E1077" s="131"/>
      <c r="F1077" s="132"/>
      <c r="K1077" s="92"/>
      <c r="L1077"/>
    </row>
    <row r="1078" spans="2:14" ht="14.4">
      <c r="B1078" s="77"/>
      <c r="E1078" s="131"/>
      <c r="F1078" s="132"/>
      <c r="K1078" s="92"/>
      <c r="L1078"/>
    </row>
    <row r="1079" spans="2:14" ht="14.4">
      <c r="B1079" s="77"/>
      <c r="E1079" s="131"/>
      <c r="F1079" s="132"/>
      <c r="K1079" s="92"/>
      <c r="L1079"/>
    </row>
    <row r="1080" spans="2:14" s="116" customFormat="1" ht="14.4">
      <c r="B1080" s="77"/>
      <c r="C1080" s="118"/>
      <c r="D1080" s="68"/>
      <c r="E1080" s="131"/>
      <c r="F1080" s="132"/>
      <c r="G1080" s="140"/>
      <c r="H1080" s="72"/>
      <c r="I1080" s="72"/>
      <c r="J1080" s="72"/>
      <c r="K1080" s="92"/>
      <c r="L1080"/>
      <c r="M1080" s="68"/>
      <c r="N1080" s="68"/>
    </row>
    <row r="1081" spans="2:14" s="116" customFormat="1" ht="14.4">
      <c r="B1081" s="77"/>
      <c r="C1081" s="118"/>
      <c r="D1081" s="68"/>
      <c r="E1081" s="131"/>
      <c r="F1081" s="132"/>
      <c r="G1081" s="140"/>
      <c r="H1081" s="72"/>
      <c r="I1081" s="72"/>
      <c r="J1081" s="72"/>
      <c r="K1081" s="92"/>
      <c r="L1081"/>
      <c r="M1081" s="68"/>
      <c r="N1081" s="68"/>
    </row>
    <row r="1082" spans="2:14" s="116" customFormat="1" ht="14.4">
      <c r="B1082" s="77"/>
      <c r="C1082" s="118"/>
      <c r="D1082" s="68"/>
      <c r="E1082" s="131"/>
      <c r="F1082" s="132"/>
      <c r="G1082" s="140"/>
      <c r="H1082" s="72"/>
      <c r="I1082" s="72"/>
      <c r="J1082" s="72"/>
      <c r="K1082" s="92"/>
      <c r="L1082"/>
      <c r="M1082" s="68"/>
      <c r="N1082" s="68"/>
    </row>
    <row r="1083" spans="2:14" ht="14.4">
      <c r="B1083" s="77"/>
      <c r="E1083" s="131"/>
      <c r="F1083" s="132"/>
      <c r="K1083" s="92"/>
      <c r="L1083"/>
    </row>
    <row r="1084" spans="2:14" ht="14.4">
      <c r="B1084" s="77"/>
      <c r="E1084" s="131"/>
      <c r="F1084" s="132"/>
      <c r="K1084" s="92"/>
      <c r="L1084"/>
    </row>
    <row r="1085" spans="2:14" ht="14.4">
      <c r="B1085" s="77"/>
      <c r="E1085" s="131"/>
      <c r="F1085" s="132"/>
      <c r="K1085" s="92"/>
      <c r="L1085"/>
    </row>
    <row r="1086" spans="2:14" ht="14.4">
      <c r="B1086" s="77"/>
      <c r="E1086" s="131"/>
      <c r="F1086" s="132"/>
      <c r="K1086" s="92"/>
      <c r="L1086"/>
    </row>
    <row r="1087" spans="2:14" ht="14.4">
      <c r="B1087" s="77"/>
      <c r="E1087" s="131"/>
      <c r="F1087" s="132"/>
      <c r="K1087" s="92"/>
      <c r="L1087"/>
    </row>
    <row r="1088" spans="2:14" ht="14.4">
      <c r="B1088" s="77"/>
      <c r="E1088" s="131"/>
      <c r="F1088" s="132"/>
      <c r="K1088" s="92"/>
      <c r="L1088"/>
    </row>
    <row r="1089" spans="2:12" ht="14.4">
      <c r="B1089" s="77"/>
      <c r="E1089" s="131"/>
      <c r="F1089" s="132"/>
      <c r="K1089" s="92"/>
      <c r="L1089"/>
    </row>
    <row r="1090" spans="2:12" ht="14.4">
      <c r="B1090" s="77"/>
      <c r="E1090" s="131"/>
      <c r="F1090" s="132"/>
      <c r="K1090" s="92"/>
      <c r="L1090"/>
    </row>
    <row r="1091" spans="2:12" ht="14.4">
      <c r="B1091" s="77"/>
      <c r="E1091" s="131"/>
      <c r="F1091" s="132"/>
      <c r="K1091" s="92"/>
      <c r="L1091"/>
    </row>
    <row r="1092" spans="2:12" ht="14.4">
      <c r="B1092" s="77"/>
      <c r="E1092" s="131"/>
      <c r="F1092" s="132"/>
      <c r="K1092" s="92"/>
      <c r="L1092"/>
    </row>
    <row r="1093" spans="2:12" ht="14.4">
      <c r="B1093" s="77"/>
      <c r="E1093" s="131"/>
      <c r="F1093" s="132"/>
      <c r="K1093" s="92"/>
      <c r="L1093"/>
    </row>
    <row r="1094" spans="2:12" ht="14.4">
      <c r="B1094" s="77"/>
      <c r="E1094" s="131"/>
      <c r="F1094" s="132"/>
      <c r="K1094" s="92"/>
      <c r="L1094"/>
    </row>
    <row r="1095" spans="2:12" ht="14.4">
      <c r="B1095" s="77"/>
      <c r="E1095" s="131"/>
      <c r="F1095" s="132"/>
      <c r="K1095" s="92"/>
      <c r="L1095"/>
    </row>
    <row r="1096" spans="2:12" ht="14.4">
      <c r="B1096" s="77"/>
      <c r="E1096" s="131"/>
      <c r="F1096" s="132"/>
      <c r="K1096" s="92"/>
      <c r="L1096"/>
    </row>
    <row r="1097" spans="2:12" ht="14.4">
      <c r="B1097" s="77"/>
      <c r="E1097" s="131"/>
      <c r="F1097" s="132"/>
      <c r="K1097" s="92"/>
      <c r="L1097"/>
    </row>
    <row r="1098" spans="2:12" ht="14.4">
      <c r="B1098" s="77"/>
      <c r="E1098" s="131"/>
      <c r="F1098" s="132"/>
      <c r="K1098" s="92"/>
      <c r="L1098"/>
    </row>
    <row r="1099" spans="2:12" ht="14.4">
      <c r="B1099" s="77"/>
      <c r="E1099" s="131"/>
      <c r="F1099" s="132"/>
      <c r="K1099" s="92"/>
      <c r="L1099"/>
    </row>
    <row r="1100" spans="2:12" ht="14.4">
      <c r="B1100" s="77"/>
      <c r="E1100" s="131"/>
      <c r="F1100" s="132"/>
      <c r="K1100" s="92"/>
      <c r="L1100"/>
    </row>
    <row r="1101" spans="2:12" ht="14.4">
      <c r="B1101" s="77"/>
      <c r="E1101" s="131"/>
      <c r="F1101" s="132"/>
      <c r="K1101" s="92"/>
      <c r="L1101"/>
    </row>
    <row r="1102" spans="2:12" ht="14.4">
      <c r="B1102" s="77"/>
      <c r="E1102" s="131"/>
      <c r="F1102" s="132"/>
      <c r="K1102" s="92"/>
      <c r="L1102"/>
    </row>
    <row r="1103" spans="2:12" ht="14.4">
      <c r="B1103" s="77"/>
      <c r="E1103" s="131"/>
      <c r="F1103" s="132"/>
      <c r="K1103" s="92"/>
      <c r="L1103"/>
    </row>
    <row r="1104" spans="2:12" ht="14.4">
      <c r="B1104" s="77"/>
      <c r="E1104" s="131"/>
      <c r="F1104" s="132"/>
      <c r="K1104" s="92"/>
      <c r="L1104"/>
    </row>
    <row r="1105" spans="2:12" ht="14.4">
      <c r="B1105" s="77"/>
      <c r="E1105" s="131"/>
      <c r="F1105" s="132"/>
      <c r="K1105" s="92"/>
      <c r="L1105"/>
    </row>
    <row r="1106" spans="2:12" ht="14.4">
      <c r="B1106" s="77"/>
      <c r="E1106" s="131"/>
      <c r="F1106" s="132"/>
      <c r="K1106" s="92"/>
      <c r="L1106"/>
    </row>
    <row r="1107" spans="2:12" ht="14.4">
      <c r="B1107" s="77"/>
      <c r="E1107" s="131"/>
      <c r="F1107" s="132"/>
      <c r="K1107" s="92"/>
      <c r="L1107"/>
    </row>
    <row r="1108" spans="2:12" ht="14.4">
      <c r="B1108" s="77"/>
      <c r="E1108" s="131"/>
      <c r="F1108" s="132"/>
      <c r="K1108" s="92"/>
      <c r="L1108"/>
    </row>
    <row r="1109" spans="2:12" ht="14.4">
      <c r="B1109" s="77"/>
      <c r="E1109" s="131"/>
      <c r="F1109" s="132"/>
      <c r="K1109" s="92"/>
      <c r="L1109"/>
    </row>
    <row r="1110" spans="2:12" ht="14.4">
      <c r="B1110" s="77"/>
      <c r="E1110" s="131"/>
      <c r="F1110" s="132"/>
      <c r="K1110" s="92"/>
      <c r="L1110"/>
    </row>
    <row r="1111" spans="2:12" ht="14.4">
      <c r="B1111" s="77"/>
      <c r="E1111" s="131"/>
      <c r="F1111" s="132"/>
      <c r="K1111" s="92"/>
      <c r="L1111"/>
    </row>
    <row r="1112" spans="2:12" ht="14.4">
      <c r="B1112" s="77"/>
      <c r="E1112" s="131"/>
      <c r="F1112" s="132"/>
      <c r="K1112" s="92"/>
      <c r="L1112"/>
    </row>
    <row r="1113" spans="2:12" ht="14.4">
      <c r="B1113" s="77"/>
      <c r="E1113" s="131"/>
      <c r="F1113" s="132"/>
      <c r="K1113" s="92"/>
      <c r="L1113"/>
    </row>
    <row r="1114" spans="2:12" ht="14.4">
      <c r="B1114" s="77"/>
      <c r="E1114" s="131"/>
      <c r="F1114" s="132"/>
      <c r="K1114" s="92"/>
      <c r="L1114"/>
    </row>
    <row r="1115" spans="2:12" ht="14.4">
      <c r="B1115" s="77"/>
      <c r="E1115" s="131"/>
      <c r="F1115" s="132"/>
      <c r="K1115" s="92"/>
      <c r="L1115"/>
    </row>
    <row r="1116" spans="2:12" ht="14.4">
      <c r="B1116" s="77"/>
      <c r="E1116" s="131"/>
      <c r="F1116" s="132"/>
      <c r="K1116" s="92"/>
      <c r="L1116"/>
    </row>
    <row r="1117" spans="2:12" ht="14.4">
      <c r="B1117" s="77"/>
      <c r="E1117" s="131"/>
      <c r="F1117" s="132"/>
      <c r="K1117" s="92"/>
      <c r="L1117"/>
    </row>
    <row r="1118" spans="2:12" ht="14.4">
      <c r="B1118" s="77"/>
      <c r="E1118" s="131"/>
      <c r="F1118" s="132"/>
      <c r="K1118" s="92"/>
      <c r="L1118"/>
    </row>
    <row r="1119" spans="2:12" ht="14.4">
      <c r="B1119" s="77"/>
      <c r="E1119" s="131"/>
      <c r="F1119" s="132"/>
      <c r="K1119" s="92"/>
      <c r="L1119"/>
    </row>
    <row r="1120" spans="2:12" ht="14.4">
      <c r="B1120" s="77"/>
      <c r="E1120" s="131"/>
      <c r="F1120" s="132"/>
      <c r="K1120" s="92"/>
      <c r="L1120"/>
    </row>
    <row r="1121" spans="2:12" ht="14.4">
      <c r="B1121" s="77"/>
      <c r="E1121" s="131"/>
      <c r="F1121" s="132"/>
      <c r="K1121" s="92"/>
      <c r="L1121"/>
    </row>
    <row r="1122" spans="2:12" ht="14.4">
      <c r="B1122" s="77"/>
      <c r="E1122" s="131"/>
      <c r="F1122" s="132"/>
      <c r="K1122" s="92"/>
      <c r="L1122"/>
    </row>
    <row r="1123" spans="2:12" ht="14.4">
      <c r="B1123" s="77"/>
      <c r="E1123" s="131"/>
      <c r="F1123" s="132"/>
      <c r="K1123" s="92"/>
      <c r="L1123"/>
    </row>
    <row r="1124" spans="2:12" ht="14.4">
      <c r="B1124" s="77"/>
      <c r="E1124" s="131"/>
      <c r="F1124" s="132"/>
      <c r="K1124" s="92"/>
      <c r="L1124"/>
    </row>
    <row r="1125" spans="2:12" ht="14.4">
      <c r="B1125" s="77"/>
      <c r="E1125" s="131"/>
      <c r="F1125" s="132"/>
      <c r="K1125" s="92"/>
      <c r="L1125"/>
    </row>
    <row r="1126" spans="2:12" ht="14.4">
      <c r="B1126" s="77"/>
      <c r="E1126" s="131"/>
      <c r="F1126" s="132"/>
      <c r="K1126" s="92"/>
      <c r="L1126"/>
    </row>
    <row r="1127" spans="2:12" ht="14.4">
      <c r="B1127" s="77"/>
      <c r="E1127" s="131"/>
      <c r="F1127" s="132"/>
      <c r="K1127" s="92"/>
      <c r="L1127"/>
    </row>
    <row r="1128" spans="2:12" ht="14.4">
      <c r="B1128" s="77"/>
      <c r="E1128" s="131"/>
      <c r="F1128" s="132"/>
      <c r="K1128" s="92"/>
      <c r="L1128"/>
    </row>
    <row r="1129" spans="2:12" ht="14.4">
      <c r="B1129" s="77"/>
      <c r="E1129" s="131"/>
      <c r="F1129" s="132"/>
      <c r="K1129" s="92"/>
      <c r="L1129"/>
    </row>
    <row r="1130" spans="2:12" ht="14.4">
      <c r="B1130" s="77"/>
      <c r="E1130" s="131"/>
      <c r="F1130" s="132"/>
      <c r="K1130" s="92"/>
      <c r="L1130"/>
    </row>
    <row r="1131" spans="2:12" ht="14.4">
      <c r="B1131" s="77"/>
      <c r="E1131" s="131"/>
      <c r="F1131" s="132"/>
      <c r="K1131" s="92"/>
      <c r="L1131"/>
    </row>
    <row r="1132" spans="2:12" ht="14.4">
      <c r="B1132" s="77"/>
      <c r="E1132" s="131"/>
      <c r="F1132" s="132"/>
      <c r="K1132" s="92"/>
      <c r="L1132"/>
    </row>
    <row r="1133" spans="2:12" ht="14.4">
      <c r="B1133" s="77"/>
      <c r="E1133" s="131"/>
      <c r="F1133" s="132"/>
      <c r="K1133" s="92"/>
      <c r="L1133"/>
    </row>
    <row r="1134" spans="2:12" ht="14.4">
      <c r="B1134" s="77"/>
      <c r="E1134" s="131"/>
      <c r="F1134" s="132"/>
      <c r="K1134" s="92"/>
      <c r="L1134"/>
    </row>
    <row r="1135" spans="2:12" ht="14.4">
      <c r="B1135" s="77"/>
      <c r="E1135" s="131"/>
      <c r="F1135" s="132"/>
      <c r="K1135" s="92"/>
      <c r="L1135"/>
    </row>
    <row r="1136" spans="2:12" ht="14.4">
      <c r="B1136" s="77"/>
      <c r="E1136" s="131"/>
      <c r="F1136" s="132"/>
      <c r="K1136" s="92"/>
      <c r="L1136"/>
    </row>
    <row r="1137" spans="2:12" ht="14.4">
      <c r="B1137" s="77"/>
      <c r="E1137" s="131"/>
      <c r="F1137" s="132"/>
      <c r="K1137" s="92"/>
      <c r="L1137"/>
    </row>
    <row r="1138" spans="2:12" ht="14.4">
      <c r="B1138" s="77"/>
      <c r="E1138" s="131"/>
      <c r="F1138" s="132"/>
      <c r="K1138" s="92"/>
      <c r="L1138"/>
    </row>
    <row r="1139" spans="2:12" ht="14.4">
      <c r="B1139" s="77"/>
      <c r="E1139" s="131"/>
      <c r="F1139" s="132"/>
      <c r="K1139" s="92"/>
      <c r="L1139"/>
    </row>
    <row r="1140" spans="2:12" ht="14.4">
      <c r="B1140" s="77"/>
      <c r="E1140" s="131"/>
      <c r="F1140" s="132"/>
      <c r="K1140" s="92"/>
      <c r="L1140"/>
    </row>
    <row r="1141" spans="2:12" ht="14.4">
      <c r="B1141" s="77"/>
      <c r="E1141" s="131"/>
      <c r="F1141" s="132"/>
      <c r="K1141" s="92"/>
      <c r="L1141"/>
    </row>
    <row r="1142" spans="2:12" ht="14.4">
      <c r="B1142" s="77"/>
      <c r="E1142" s="131"/>
      <c r="F1142" s="132"/>
      <c r="K1142" s="92"/>
      <c r="L1142"/>
    </row>
    <row r="1143" spans="2:12" ht="14.4">
      <c r="B1143" s="77"/>
      <c r="E1143" s="131"/>
      <c r="F1143" s="132"/>
      <c r="K1143" s="92"/>
      <c r="L1143"/>
    </row>
    <row r="1144" spans="2:12" ht="14.4">
      <c r="B1144" s="77"/>
      <c r="E1144" s="131"/>
      <c r="F1144" s="132"/>
      <c r="K1144" s="92"/>
      <c r="L1144"/>
    </row>
    <row r="1145" spans="2:12" ht="14.4">
      <c r="B1145" s="77"/>
      <c r="E1145" s="131"/>
      <c r="F1145" s="132"/>
      <c r="K1145" s="92"/>
      <c r="L1145"/>
    </row>
    <row r="1146" spans="2:12" ht="14.4">
      <c r="B1146" s="77"/>
      <c r="E1146" s="131"/>
      <c r="F1146" s="132"/>
      <c r="K1146" s="92"/>
      <c r="L1146"/>
    </row>
    <row r="1147" spans="2:12" ht="14.4">
      <c r="B1147" s="77"/>
      <c r="E1147" s="131"/>
      <c r="F1147" s="132"/>
      <c r="K1147" s="92"/>
      <c r="L1147"/>
    </row>
    <row r="1148" spans="2:12" ht="14.4">
      <c r="B1148" s="77"/>
      <c r="E1148" s="131"/>
      <c r="F1148" s="132"/>
      <c r="K1148" s="92"/>
      <c r="L1148"/>
    </row>
    <row r="1149" spans="2:12" ht="14.4">
      <c r="B1149" s="77"/>
      <c r="E1149" s="131"/>
      <c r="F1149" s="132"/>
      <c r="K1149" s="92"/>
      <c r="L1149"/>
    </row>
    <row r="1150" spans="2:12" ht="14.4">
      <c r="B1150" s="77"/>
      <c r="E1150" s="131"/>
      <c r="F1150" s="132"/>
      <c r="K1150" s="92"/>
      <c r="L1150"/>
    </row>
    <row r="1151" spans="2:12" ht="14.4">
      <c r="B1151" s="77"/>
      <c r="E1151" s="131"/>
      <c r="F1151" s="132"/>
      <c r="K1151" s="92"/>
      <c r="L1151"/>
    </row>
    <row r="1152" spans="2:12" ht="14.4">
      <c r="B1152" s="77"/>
      <c r="E1152" s="131"/>
      <c r="F1152" s="132"/>
      <c r="K1152" s="92"/>
      <c r="L1152"/>
    </row>
    <row r="1153" spans="2:12" ht="14.4">
      <c r="B1153" s="77"/>
      <c r="E1153" s="131"/>
      <c r="F1153" s="132"/>
      <c r="K1153" s="92"/>
      <c r="L1153"/>
    </row>
    <row r="1154" spans="2:12" ht="14.4">
      <c r="B1154" s="77"/>
      <c r="E1154" s="131"/>
      <c r="F1154" s="132"/>
      <c r="K1154" s="92"/>
      <c r="L1154"/>
    </row>
    <row r="1155" spans="2:12" ht="14.4">
      <c r="B1155" s="77"/>
      <c r="E1155" s="131"/>
      <c r="F1155" s="132"/>
      <c r="K1155" s="92"/>
      <c r="L1155"/>
    </row>
    <row r="1156" spans="2:12" ht="14.4">
      <c r="B1156" s="77"/>
      <c r="E1156" s="131"/>
      <c r="F1156" s="132"/>
      <c r="K1156" s="92"/>
      <c r="L1156"/>
    </row>
    <row r="1157" spans="2:12" ht="14.4">
      <c r="B1157" s="77"/>
      <c r="E1157" s="131"/>
      <c r="F1157" s="132"/>
      <c r="K1157" s="92"/>
      <c r="L1157"/>
    </row>
    <row r="1158" spans="2:12" ht="14.4">
      <c r="B1158" s="77"/>
      <c r="E1158" s="131"/>
      <c r="F1158" s="132"/>
      <c r="K1158" s="92"/>
      <c r="L1158"/>
    </row>
    <row r="1159" spans="2:12" ht="14.4">
      <c r="B1159" s="77"/>
      <c r="E1159" s="131"/>
      <c r="F1159" s="132"/>
      <c r="K1159" s="92"/>
      <c r="L1159"/>
    </row>
    <row r="1160" spans="2:12" ht="14.4">
      <c r="B1160" s="77"/>
      <c r="E1160" s="131"/>
      <c r="F1160" s="132"/>
      <c r="K1160" s="92"/>
      <c r="L1160"/>
    </row>
    <row r="1161" spans="2:12" ht="14.4">
      <c r="B1161" s="77"/>
      <c r="E1161" s="131"/>
      <c r="F1161" s="132"/>
      <c r="K1161" s="92"/>
      <c r="L1161"/>
    </row>
    <row r="1162" spans="2:12" ht="14.4">
      <c r="B1162" s="77"/>
      <c r="E1162" s="131"/>
      <c r="F1162" s="132"/>
      <c r="K1162" s="92"/>
      <c r="L1162"/>
    </row>
    <row r="1163" spans="2:12" ht="14.4">
      <c r="B1163" s="77"/>
      <c r="E1163" s="131"/>
      <c r="F1163" s="132"/>
      <c r="K1163" s="92"/>
      <c r="L1163"/>
    </row>
    <row r="1164" spans="2:12" ht="14.4">
      <c r="B1164" s="77"/>
      <c r="E1164" s="131"/>
      <c r="F1164" s="132"/>
      <c r="K1164" s="92"/>
      <c r="L1164"/>
    </row>
    <row r="1165" spans="2:12" ht="14.4">
      <c r="B1165" s="77"/>
      <c r="E1165" s="131"/>
      <c r="F1165" s="132"/>
      <c r="K1165" s="92"/>
      <c r="L1165"/>
    </row>
    <row r="1166" spans="2:12" ht="14.4">
      <c r="B1166" s="77"/>
      <c r="E1166" s="131"/>
      <c r="F1166" s="132"/>
      <c r="K1166" s="92"/>
      <c r="L1166"/>
    </row>
    <row r="1167" spans="2:12" ht="14.4">
      <c r="B1167" s="77"/>
      <c r="E1167" s="131"/>
      <c r="F1167" s="132"/>
      <c r="K1167" s="92"/>
      <c r="L1167"/>
    </row>
    <row r="1168" spans="2:12" ht="14.4">
      <c r="B1168" s="77"/>
      <c r="E1168" s="131"/>
      <c r="F1168" s="132"/>
      <c r="K1168" s="92"/>
      <c r="L1168"/>
    </row>
    <row r="1169" spans="2:12" ht="14.4">
      <c r="B1169" s="77"/>
      <c r="E1169" s="131"/>
      <c r="F1169" s="132"/>
      <c r="K1169" s="92"/>
      <c r="L1169"/>
    </row>
    <row r="1170" spans="2:12" ht="14.4">
      <c r="B1170" s="77"/>
      <c r="E1170" s="131"/>
      <c r="F1170" s="132"/>
      <c r="K1170" s="92"/>
      <c r="L1170"/>
    </row>
    <row r="1171" spans="2:12" ht="14.4">
      <c r="B1171" s="77"/>
      <c r="E1171" s="131"/>
      <c r="F1171" s="132"/>
      <c r="K1171" s="92"/>
      <c r="L1171"/>
    </row>
    <row r="1172" spans="2:12" ht="14.4">
      <c r="B1172" s="77"/>
      <c r="E1172" s="131"/>
      <c r="F1172" s="132"/>
      <c r="K1172" s="92"/>
      <c r="L1172"/>
    </row>
    <row r="1173" spans="2:12" ht="14.4">
      <c r="B1173" s="77"/>
      <c r="E1173" s="131"/>
      <c r="F1173" s="132"/>
      <c r="K1173" s="92"/>
      <c r="L1173"/>
    </row>
    <row r="1174" spans="2:12" ht="14.4">
      <c r="B1174" s="77"/>
      <c r="E1174" s="131"/>
      <c r="F1174" s="132"/>
      <c r="K1174" s="92"/>
      <c r="L1174"/>
    </row>
    <row r="1175" spans="2:12" ht="14.4">
      <c r="B1175" s="77"/>
      <c r="E1175" s="131"/>
      <c r="F1175" s="132"/>
      <c r="K1175" s="92"/>
      <c r="L1175"/>
    </row>
    <row r="1176" spans="2:12" ht="14.4">
      <c r="B1176" s="77"/>
      <c r="E1176" s="131"/>
      <c r="F1176" s="132"/>
      <c r="K1176" s="92"/>
      <c r="L1176"/>
    </row>
    <row r="1177" spans="2:12" ht="14.4">
      <c r="B1177" s="77"/>
      <c r="E1177" s="131"/>
      <c r="F1177" s="132"/>
      <c r="K1177" s="92"/>
      <c r="L1177"/>
    </row>
    <row r="1178" spans="2:12" ht="14.4">
      <c r="B1178" s="77"/>
      <c r="E1178" s="131"/>
      <c r="F1178" s="132"/>
      <c r="K1178" s="92"/>
      <c r="L1178"/>
    </row>
    <row r="1179" spans="2:12" ht="14.4">
      <c r="B1179" s="77"/>
      <c r="E1179" s="131"/>
      <c r="F1179" s="132"/>
      <c r="K1179" s="92"/>
      <c r="L1179"/>
    </row>
    <row r="1180" spans="2:12" ht="14.4">
      <c r="B1180" s="77"/>
      <c r="E1180" s="131"/>
      <c r="F1180" s="132"/>
      <c r="K1180" s="92"/>
      <c r="L1180"/>
    </row>
    <row r="1181" spans="2:12" ht="14.4">
      <c r="B1181" s="77"/>
      <c r="E1181" s="131"/>
      <c r="F1181" s="132"/>
      <c r="K1181" s="92"/>
      <c r="L1181"/>
    </row>
    <row r="1182" spans="2:12" ht="14.4">
      <c r="B1182" s="77"/>
      <c r="E1182" s="131"/>
      <c r="F1182" s="132"/>
      <c r="K1182" s="92"/>
      <c r="L1182"/>
    </row>
    <row r="1183" spans="2:12" ht="14.4">
      <c r="B1183" s="77"/>
      <c r="E1183" s="131"/>
      <c r="F1183" s="132"/>
      <c r="K1183" s="92"/>
      <c r="L1183"/>
    </row>
    <row r="1184" spans="2:12" ht="14.4">
      <c r="B1184" s="77"/>
      <c r="E1184" s="131"/>
      <c r="F1184" s="132"/>
      <c r="K1184" s="92"/>
      <c r="L1184"/>
    </row>
    <row r="1185" spans="2:12" ht="14.4">
      <c r="B1185" s="77"/>
      <c r="E1185" s="131"/>
      <c r="F1185" s="132"/>
      <c r="K1185" s="92"/>
      <c r="L1185"/>
    </row>
    <row r="1186" spans="2:12" ht="14.4">
      <c r="B1186" s="77"/>
      <c r="E1186" s="131"/>
      <c r="F1186" s="132"/>
      <c r="K1186" s="92"/>
      <c r="L1186"/>
    </row>
    <row r="1187" spans="2:12" ht="14.4">
      <c r="B1187" s="77"/>
      <c r="E1187" s="131"/>
      <c r="F1187" s="132"/>
      <c r="K1187" s="92"/>
      <c r="L1187"/>
    </row>
    <row r="1188" spans="2:12" ht="14.4">
      <c r="B1188" s="77"/>
      <c r="E1188" s="131"/>
      <c r="F1188" s="132"/>
      <c r="K1188" s="92"/>
      <c r="L1188"/>
    </row>
    <row r="1189" spans="2:12" ht="14.4">
      <c r="B1189" s="77"/>
      <c r="E1189" s="131"/>
      <c r="F1189" s="132"/>
      <c r="K1189" s="92"/>
      <c r="L1189"/>
    </row>
    <row r="1190" spans="2:12" ht="14.4">
      <c r="B1190" s="77"/>
      <c r="E1190" s="131"/>
      <c r="F1190" s="132"/>
      <c r="K1190" s="92"/>
      <c r="L1190"/>
    </row>
    <row r="1191" spans="2:12" ht="14.4">
      <c r="B1191" s="77"/>
      <c r="E1191" s="131"/>
      <c r="F1191" s="132"/>
      <c r="K1191" s="92"/>
      <c r="L1191"/>
    </row>
    <row r="1192" spans="2:12" ht="14.4">
      <c r="B1192" s="77"/>
      <c r="E1192" s="131"/>
      <c r="F1192" s="132"/>
      <c r="K1192" s="92"/>
      <c r="L1192"/>
    </row>
    <row r="1193" spans="2:12" ht="14.4">
      <c r="B1193" s="77"/>
      <c r="E1193" s="131"/>
      <c r="F1193" s="132"/>
      <c r="K1193" s="92"/>
      <c r="L1193"/>
    </row>
    <row r="1194" spans="2:12" ht="14.4">
      <c r="B1194" s="77"/>
      <c r="E1194" s="131"/>
      <c r="F1194" s="132"/>
      <c r="K1194" s="92"/>
      <c r="L1194"/>
    </row>
    <row r="1195" spans="2:12" ht="14.4">
      <c r="B1195" s="77"/>
      <c r="E1195" s="131"/>
      <c r="F1195" s="132"/>
      <c r="K1195" s="92"/>
      <c r="L1195"/>
    </row>
    <row r="1196" spans="2:12" ht="14.4">
      <c r="B1196" s="77"/>
      <c r="E1196" s="131"/>
      <c r="F1196" s="132"/>
      <c r="K1196" s="92"/>
      <c r="L1196"/>
    </row>
    <row r="1197" spans="2:12" ht="14.4">
      <c r="B1197" s="77"/>
      <c r="E1197" s="131"/>
      <c r="F1197" s="132"/>
      <c r="K1197" s="92"/>
      <c r="L1197"/>
    </row>
    <row r="1198" spans="2:12" ht="14.4">
      <c r="B1198" s="77"/>
      <c r="E1198" s="131"/>
      <c r="F1198" s="132"/>
      <c r="K1198" s="92"/>
      <c r="L1198"/>
    </row>
    <row r="1199" spans="2:12" ht="14.4">
      <c r="B1199" s="77"/>
      <c r="E1199" s="131"/>
      <c r="F1199" s="132"/>
      <c r="K1199" s="92"/>
      <c r="L1199"/>
    </row>
    <row r="1200" spans="2:12" ht="14.4">
      <c r="B1200" s="77"/>
      <c r="E1200" s="131"/>
      <c r="F1200" s="132"/>
      <c r="K1200" s="92"/>
      <c r="L1200"/>
    </row>
    <row r="1201" spans="2:12" ht="14.4">
      <c r="B1201" s="77"/>
      <c r="E1201" s="131"/>
      <c r="F1201" s="132"/>
      <c r="K1201" s="92"/>
      <c r="L1201"/>
    </row>
    <row r="1202" spans="2:12" ht="14.4">
      <c r="B1202" s="77"/>
      <c r="E1202" s="131"/>
      <c r="F1202" s="132"/>
      <c r="K1202" s="92"/>
      <c r="L1202"/>
    </row>
    <row r="1203" spans="2:12" ht="14.4">
      <c r="B1203" s="77"/>
      <c r="E1203" s="131"/>
      <c r="F1203" s="132"/>
      <c r="K1203" s="92"/>
      <c r="L1203"/>
    </row>
    <row r="1204" spans="2:12" ht="14.4">
      <c r="B1204" s="77"/>
      <c r="E1204" s="131"/>
      <c r="F1204" s="132"/>
      <c r="K1204" s="92"/>
      <c r="L1204"/>
    </row>
    <row r="1205" spans="2:12" ht="14.4">
      <c r="B1205" s="77"/>
      <c r="E1205" s="131"/>
      <c r="F1205" s="132"/>
      <c r="K1205" s="92"/>
      <c r="L1205"/>
    </row>
    <row r="1206" spans="2:12" ht="14.4">
      <c r="B1206" s="77"/>
      <c r="E1206" s="131"/>
      <c r="F1206" s="132"/>
      <c r="K1206" s="92"/>
      <c r="L1206"/>
    </row>
    <row r="1207" spans="2:12" ht="14.4">
      <c r="B1207" s="77"/>
      <c r="E1207" s="131"/>
      <c r="F1207" s="132"/>
      <c r="K1207" s="92"/>
      <c r="L1207"/>
    </row>
    <row r="1208" spans="2:12" ht="14.4">
      <c r="B1208" s="77"/>
      <c r="E1208" s="131"/>
      <c r="F1208" s="132"/>
      <c r="K1208" s="92"/>
      <c r="L1208"/>
    </row>
    <row r="1209" spans="2:12" ht="14.4">
      <c r="B1209" s="77"/>
      <c r="E1209" s="131"/>
      <c r="F1209" s="132"/>
      <c r="K1209" s="92"/>
      <c r="L1209"/>
    </row>
    <row r="1210" spans="2:12" ht="14.4">
      <c r="B1210" s="77"/>
      <c r="E1210" s="131"/>
      <c r="F1210" s="132"/>
      <c r="K1210" s="92"/>
      <c r="L1210"/>
    </row>
    <row r="1211" spans="2:12" ht="14.4">
      <c r="B1211" s="77"/>
      <c r="E1211" s="131"/>
      <c r="F1211" s="132"/>
      <c r="K1211" s="92"/>
      <c r="L1211"/>
    </row>
    <row r="1212" spans="2:12" ht="14.4">
      <c r="B1212" s="77"/>
      <c r="E1212" s="131"/>
      <c r="F1212" s="132"/>
      <c r="K1212" s="92"/>
      <c r="L1212"/>
    </row>
    <row r="1213" spans="2:12" ht="14.4">
      <c r="B1213" s="77"/>
      <c r="E1213" s="131"/>
      <c r="F1213" s="132"/>
      <c r="K1213" s="92"/>
      <c r="L1213"/>
    </row>
    <row r="1214" spans="2:12" ht="14.4">
      <c r="B1214" s="77"/>
      <c r="E1214" s="131"/>
      <c r="F1214" s="132"/>
      <c r="K1214" s="92"/>
      <c r="L1214"/>
    </row>
    <row r="1215" spans="2:12" ht="14.4">
      <c r="B1215" s="77"/>
      <c r="E1215" s="131"/>
      <c r="F1215" s="132"/>
      <c r="K1215" s="92"/>
      <c r="L1215"/>
    </row>
    <row r="1216" spans="2:12" ht="14.4">
      <c r="B1216" s="77"/>
      <c r="E1216" s="131"/>
      <c r="F1216" s="132"/>
      <c r="K1216" s="92"/>
      <c r="L1216"/>
    </row>
    <row r="1217" spans="2:12" ht="14.4">
      <c r="B1217" s="77"/>
      <c r="E1217" s="131"/>
      <c r="F1217" s="132"/>
      <c r="K1217" s="92"/>
      <c r="L1217"/>
    </row>
    <row r="1218" spans="2:12" ht="14.4">
      <c r="B1218" s="77"/>
      <c r="E1218" s="131"/>
      <c r="F1218" s="132"/>
      <c r="K1218" s="92"/>
      <c r="L1218"/>
    </row>
    <row r="1219" spans="2:12" ht="14.4">
      <c r="B1219" s="77"/>
      <c r="E1219" s="131"/>
      <c r="F1219" s="132"/>
      <c r="K1219" s="92"/>
      <c r="L1219"/>
    </row>
    <row r="1220" spans="2:12" ht="14.4">
      <c r="B1220" s="77"/>
      <c r="E1220" s="131"/>
      <c r="F1220" s="132"/>
      <c r="K1220" s="92"/>
      <c r="L1220"/>
    </row>
    <row r="1221" spans="2:12" ht="14.4">
      <c r="B1221" s="77"/>
      <c r="E1221" s="131"/>
      <c r="F1221" s="132"/>
      <c r="K1221" s="92"/>
      <c r="L1221"/>
    </row>
    <row r="1222" spans="2:12" ht="14.4">
      <c r="B1222" s="77"/>
      <c r="E1222" s="131"/>
      <c r="F1222" s="132"/>
      <c r="K1222" s="92"/>
      <c r="L1222"/>
    </row>
    <row r="1223" spans="2:12" ht="14.4">
      <c r="B1223" s="77"/>
      <c r="E1223" s="131"/>
      <c r="F1223" s="132"/>
      <c r="K1223" s="92"/>
      <c r="L1223"/>
    </row>
    <row r="1224" spans="2:12" ht="14.4">
      <c r="B1224" s="77"/>
      <c r="E1224" s="131"/>
      <c r="F1224" s="132"/>
      <c r="K1224" s="92"/>
      <c r="L1224"/>
    </row>
    <row r="1225" spans="2:12" ht="14.4">
      <c r="B1225" s="77"/>
      <c r="E1225" s="131"/>
      <c r="F1225" s="132"/>
      <c r="K1225" s="92"/>
      <c r="L1225"/>
    </row>
    <row r="1226" spans="2:12" ht="14.4">
      <c r="B1226" s="77"/>
      <c r="E1226" s="131"/>
      <c r="F1226" s="132"/>
      <c r="K1226" s="92"/>
      <c r="L1226"/>
    </row>
    <row r="1227" spans="2:12" ht="14.4">
      <c r="B1227" s="77"/>
      <c r="E1227" s="131"/>
      <c r="F1227" s="132"/>
      <c r="K1227" s="92"/>
      <c r="L1227"/>
    </row>
    <row r="1228" spans="2:12" ht="14.4">
      <c r="B1228" s="77"/>
      <c r="E1228" s="131"/>
      <c r="F1228" s="132"/>
      <c r="K1228" s="92"/>
      <c r="L1228"/>
    </row>
    <row r="1229" spans="2:12" ht="14.4">
      <c r="B1229" s="77"/>
      <c r="E1229" s="131"/>
      <c r="F1229" s="132"/>
      <c r="K1229" s="92"/>
      <c r="L1229"/>
    </row>
    <row r="1230" spans="2:12" ht="14.4">
      <c r="B1230" s="77"/>
      <c r="E1230" s="131"/>
      <c r="F1230" s="132"/>
      <c r="K1230" s="92"/>
      <c r="L1230"/>
    </row>
    <row r="1231" spans="2:12" ht="14.4">
      <c r="B1231" s="77"/>
      <c r="E1231" s="131"/>
      <c r="F1231" s="132"/>
      <c r="K1231" s="92"/>
      <c r="L1231"/>
    </row>
    <row r="1232" spans="2:12" ht="14.4">
      <c r="B1232" s="77"/>
      <c r="E1232" s="131"/>
      <c r="F1232" s="132"/>
      <c r="K1232" s="92"/>
      <c r="L1232"/>
    </row>
    <row r="1233" spans="2:14" ht="14.4">
      <c r="B1233" s="77"/>
      <c r="E1233" s="131"/>
      <c r="F1233" s="132"/>
      <c r="K1233" s="92"/>
      <c r="L1233"/>
    </row>
    <row r="1234" spans="2:14" ht="14.4">
      <c r="B1234" s="77"/>
      <c r="E1234" s="131"/>
      <c r="F1234" s="132"/>
      <c r="K1234" s="92"/>
      <c r="L1234"/>
    </row>
    <row r="1235" spans="2:14" ht="14.4">
      <c r="B1235" s="77"/>
      <c r="E1235" s="131"/>
      <c r="F1235" s="132"/>
      <c r="K1235" s="92"/>
      <c r="L1235"/>
    </row>
    <row r="1236" spans="2:14" ht="14.4">
      <c r="B1236" s="77"/>
      <c r="E1236" s="131"/>
      <c r="F1236" s="132"/>
      <c r="K1236" s="92"/>
      <c r="L1236"/>
    </row>
    <row r="1237" spans="2:14" ht="14.4">
      <c r="B1237" s="77"/>
      <c r="E1237" s="131"/>
      <c r="F1237" s="132"/>
      <c r="K1237" s="92"/>
      <c r="L1237"/>
    </row>
    <row r="1238" spans="2:14" ht="14.4">
      <c r="B1238" s="77"/>
      <c r="E1238" s="131"/>
      <c r="F1238" s="132"/>
      <c r="K1238" s="92"/>
      <c r="L1238"/>
    </row>
    <row r="1239" spans="2:14" ht="14.4">
      <c r="B1239" s="77"/>
      <c r="E1239" s="131"/>
      <c r="F1239" s="132"/>
      <c r="K1239" s="92"/>
      <c r="L1239"/>
    </row>
    <row r="1240" spans="2:14" s="116" customFormat="1" ht="14.4">
      <c r="B1240" s="77"/>
      <c r="C1240" s="118"/>
      <c r="D1240" s="68"/>
      <c r="E1240" s="131"/>
      <c r="F1240" s="132"/>
      <c r="G1240" s="140"/>
      <c r="H1240" s="72"/>
      <c r="I1240" s="72"/>
      <c r="J1240" s="72"/>
      <c r="K1240" s="92"/>
      <c r="L1240"/>
      <c r="M1240" s="68"/>
      <c r="N1240" s="68"/>
    </row>
    <row r="1241" spans="2:14" s="116" customFormat="1" ht="14.4">
      <c r="B1241" s="77"/>
      <c r="C1241" s="118"/>
      <c r="D1241" s="68"/>
      <c r="E1241" s="131"/>
      <c r="F1241" s="132"/>
      <c r="G1241" s="140"/>
      <c r="H1241" s="72"/>
      <c r="I1241" s="72"/>
      <c r="J1241" s="72"/>
      <c r="K1241" s="92"/>
      <c r="L1241"/>
      <c r="M1241" s="68"/>
      <c r="N1241" s="68"/>
    </row>
    <row r="1242" spans="2:14" ht="14.4">
      <c r="B1242" s="77"/>
      <c r="E1242" s="131"/>
      <c r="F1242" s="132"/>
      <c r="K1242" s="92"/>
      <c r="L1242"/>
    </row>
    <row r="1243" spans="2:14" ht="14.4">
      <c r="B1243" s="77"/>
      <c r="E1243" s="131"/>
      <c r="F1243" s="132"/>
      <c r="K1243" s="92"/>
      <c r="L1243"/>
    </row>
    <row r="1244" spans="2:14" ht="14.4">
      <c r="B1244" s="77"/>
      <c r="E1244" s="131"/>
      <c r="F1244" s="132"/>
      <c r="K1244" s="92"/>
      <c r="L1244"/>
    </row>
    <row r="1245" spans="2:14" ht="14.4">
      <c r="B1245" s="77"/>
      <c r="E1245" s="131"/>
      <c r="F1245" s="132"/>
      <c r="K1245" s="92"/>
      <c r="L1245"/>
    </row>
    <row r="1246" spans="2:14" ht="14.4">
      <c r="B1246" s="77"/>
      <c r="E1246" s="131"/>
      <c r="F1246" s="132"/>
      <c r="K1246" s="92"/>
      <c r="L1246"/>
    </row>
    <row r="1247" spans="2:14" ht="14.4">
      <c r="B1247" s="77"/>
      <c r="E1247" s="131"/>
      <c r="F1247" s="132"/>
      <c r="K1247" s="92"/>
      <c r="L1247"/>
    </row>
    <row r="1248" spans="2:14" ht="14.4">
      <c r="B1248" s="77"/>
      <c r="E1248" s="131"/>
      <c r="F1248" s="132"/>
      <c r="K1248" s="92"/>
      <c r="L1248"/>
    </row>
    <row r="1249" spans="2:12" ht="14.4">
      <c r="B1249" s="77"/>
      <c r="E1249" s="131"/>
      <c r="F1249" s="132"/>
      <c r="K1249" s="92"/>
      <c r="L1249"/>
    </row>
    <row r="1250" spans="2:12" ht="14.4">
      <c r="B1250" s="77"/>
      <c r="E1250" s="131"/>
      <c r="F1250" s="132"/>
      <c r="K1250" s="92"/>
      <c r="L1250"/>
    </row>
    <row r="1251" spans="2:12" ht="14.4">
      <c r="B1251" s="77"/>
      <c r="E1251" s="131"/>
      <c r="F1251" s="132"/>
      <c r="K1251" s="92"/>
      <c r="L1251"/>
    </row>
    <row r="1252" spans="2:12" ht="14.4">
      <c r="B1252" s="77"/>
      <c r="E1252" s="131"/>
      <c r="F1252" s="132"/>
      <c r="K1252" s="92"/>
      <c r="L1252"/>
    </row>
    <row r="1253" spans="2:12" ht="14.4">
      <c r="B1253" s="77"/>
      <c r="E1253" s="131"/>
      <c r="F1253" s="132"/>
      <c r="K1253" s="92"/>
      <c r="L1253"/>
    </row>
    <row r="1254" spans="2:12" ht="14.4">
      <c r="B1254" s="77"/>
      <c r="E1254" s="131"/>
      <c r="F1254" s="132"/>
      <c r="K1254" s="92"/>
      <c r="L1254"/>
    </row>
    <row r="1255" spans="2:12" ht="14.4">
      <c r="B1255" s="77"/>
      <c r="E1255" s="131"/>
      <c r="F1255" s="132"/>
      <c r="K1255" s="92"/>
      <c r="L1255"/>
    </row>
    <row r="1256" spans="2:12" ht="14.4">
      <c r="B1256" s="77"/>
      <c r="E1256" s="131"/>
      <c r="F1256" s="132"/>
      <c r="K1256" s="92"/>
      <c r="L1256"/>
    </row>
    <row r="1257" spans="2:12" ht="14.4">
      <c r="B1257" s="77"/>
      <c r="E1257" s="131"/>
      <c r="F1257" s="132"/>
      <c r="K1257" s="92"/>
      <c r="L1257"/>
    </row>
    <row r="1258" spans="2:12" ht="14.4">
      <c r="B1258" s="77"/>
      <c r="E1258" s="131"/>
      <c r="F1258" s="132"/>
      <c r="K1258" s="92"/>
      <c r="L1258"/>
    </row>
    <row r="1259" spans="2:12" ht="14.4">
      <c r="B1259" s="77"/>
      <c r="E1259" s="131"/>
      <c r="F1259" s="132"/>
      <c r="K1259" s="92"/>
      <c r="L1259"/>
    </row>
    <row r="1260" spans="2:12" ht="14.4">
      <c r="B1260" s="77"/>
      <c r="E1260" s="131"/>
      <c r="F1260" s="132"/>
      <c r="K1260" s="92"/>
      <c r="L1260"/>
    </row>
    <row r="1261" spans="2:12" ht="14.4">
      <c r="B1261" s="77"/>
      <c r="E1261" s="131"/>
      <c r="F1261" s="132"/>
      <c r="K1261" s="92"/>
      <c r="L1261"/>
    </row>
    <row r="1262" spans="2:12" ht="14.4">
      <c r="B1262" s="77"/>
      <c r="E1262" s="131"/>
      <c r="F1262" s="132"/>
      <c r="K1262" s="92"/>
      <c r="L1262"/>
    </row>
    <row r="1263" spans="2:12" ht="14.4">
      <c r="B1263" s="77"/>
      <c r="E1263" s="131"/>
      <c r="F1263" s="132"/>
      <c r="K1263" s="92"/>
      <c r="L1263"/>
    </row>
    <row r="1264" spans="2:12" ht="14.4">
      <c r="B1264" s="77"/>
      <c r="E1264" s="131"/>
      <c r="F1264" s="132"/>
      <c r="K1264" s="92"/>
      <c r="L1264"/>
    </row>
    <row r="1265" spans="2:12" ht="14.4">
      <c r="B1265" s="77"/>
      <c r="E1265" s="131"/>
      <c r="F1265" s="132"/>
      <c r="K1265" s="92"/>
      <c r="L1265"/>
    </row>
    <row r="1266" spans="2:12" ht="14.4">
      <c r="B1266" s="77"/>
      <c r="E1266" s="131"/>
      <c r="F1266" s="132"/>
      <c r="K1266" s="92"/>
      <c r="L1266"/>
    </row>
    <row r="1267" spans="2:12" ht="14.4">
      <c r="B1267" s="77"/>
      <c r="E1267" s="131"/>
      <c r="F1267" s="132"/>
      <c r="K1267" s="92"/>
      <c r="L1267"/>
    </row>
    <row r="1268" spans="2:12" ht="14.4">
      <c r="B1268" s="77"/>
      <c r="E1268" s="131"/>
      <c r="F1268" s="132"/>
      <c r="K1268" s="92"/>
      <c r="L1268"/>
    </row>
    <row r="1269" spans="2:12" ht="14.4">
      <c r="B1269" s="77"/>
      <c r="E1269" s="131"/>
      <c r="F1269" s="132"/>
      <c r="K1269" s="92"/>
      <c r="L1269"/>
    </row>
    <row r="1270" spans="2:12" ht="14.4">
      <c r="B1270" s="77"/>
      <c r="E1270" s="131"/>
      <c r="F1270" s="132"/>
      <c r="K1270" s="92"/>
      <c r="L1270"/>
    </row>
    <row r="1271" spans="2:12" ht="14.4">
      <c r="B1271" s="77"/>
      <c r="E1271" s="131"/>
      <c r="F1271" s="132"/>
      <c r="K1271" s="92"/>
      <c r="L1271"/>
    </row>
    <row r="1272" spans="2:12" ht="14.4">
      <c r="B1272" s="77"/>
      <c r="E1272" s="131"/>
      <c r="F1272" s="132"/>
      <c r="K1272" s="92"/>
      <c r="L1272"/>
    </row>
    <row r="1273" spans="2:12" ht="14.4">
      <c r="B1273" s="77"/>
      <c r="E1273" s="131"/>
      <c r="F1273" s="132"/>
      <c r="K1273" s="92"/>
      <c r="L1273"/>
    </row>
    <row r="1274" spans="2:12" ht="14.4">
      <c r="B1274" s="77"/>
      <c r="E1274" s="131"/>
      <c r="F1274" s="132"/>
      <c r="K1274" s="92"/>
      <c r="L1274"/>
    </row>
    <row r="1275" spans="2:12" ht="14.4">
      <c r="B1275" s="77"/>
      <c r="E1275" s="131"/>
      <c r="F1275" s="132"/>
      <c r="K1275" s="92"/>
      <c r="L1275"/>
    </row>
    <row r="1276" spans="2:12" ht="14.4">
      <c r="B1276" s="77"/>
      <c r="E1276" s="131"/>
      <c r="F1276" s="132"/>
      <c r="K1276" s="92"/>
      <c r="L1276"/>
    </row>
    <row r="1277" spans="2:12" ht="14.4">
      <c r="B1277" s="77"/>
      <c r="E1277" s="131"/>
      <c r="F1277" s="132"/>
      <c r="K1277" s="92"/>
      <c r="L1277"/>
    </row>
    <row r="1278" spans="2:12" ht="14.4">
      <c r="B1278" s="77"/>
      <c r="E1278" s="131"/>
      <c r="F1278" s="132"/>
      <c r="K1278" s="92"/>
      <c r="L1278"/>
    </row>
    <row r="1279" spans="2:12" ht="14.4">
      <c r="B1279" s="77"/>
      <c r="E1279" s="131"/>
      <c r="F1279" s="132"/>
      <c r="K1279" s="92"/>
      <c r="L1279"/>
    </row>
    <row r="1280" spans="2:12" ht="14.4">
      <c r="B1280" s="77"/>
      <c r="E1280" s="131"/>
      <c r="F1280" s="132"/>
      <c r="K1280" s="92"/>
      <c r="L1280"/>
    </row>
    <row r="1281" spans="2:12" ht="14.4">
      <c r="B1281" s="77"/>
      <c r="E1281" s="131"/>
      <c r="F1281" s="132"/>
      <c r="K1281" s="92"/>
      <c r="L1281"/>
    </row>
    <row r="1282" spans="2:12" ht="14.4">
      <c r="B1282" s="77"/>
      <c r="E1282" s="131"/>
      <c r="F1282" s="132"/>
      <c r="K1282" s="92"/>
      <c r="L1282"/>
    </row>
    <row r="1283" spans="2:12" ht="14.4">
      <c r="B1283" s="77"/>
      <c r="E1283" s="131"/>
      <c r="F1283" s="132"/>
      <c r="K1283" s="92"/>
      <c r="L1283"/>
    </row>
    <row r="1284" spans="2:12" ht="14.4">
      <c r="B1284" s="77"/>
      <c r="E1284" s="131"/>
      <c r="F1284" s="132"/>
      <c r="K1284" s="92"/>
      <c r="L1284"/>
    </row>
    <row r="1285" spans="2:12" ht="14.4">
      <c r="B1285" s="77"/>
      <c r="E1285" s="131"/>
      <c r="F1285" s="132"/>
      <c r="K1285" s="92"/>
      <c r="L1285"/>
    </row>
    <row r="1286" spans="2:12" ht="14.4">
      <c r="B1286" s="77"/>
      <c r="E1286" s="131"/>
      <c r="F1286" s="132"/>
      <c r="K1286" s="92"/>
      <c r="L1286"/>
    </row>
    <row r="1287" spans="2:12" ht="14.4">
      <c r="B1287" s="77"/>
      <c r="E1287" s="131"/>
      <c r="F1287" s="132"/>
      <c r="K1287" s="92"/>
      <c r="L1287"/>
    </row>
    <row r="1288" spans="2:12" ht="14.4">
      <c r="B1288" s="77"/>
      <c r="E1288" s="131"/>
      <c r="F1288" s="132"/>
      <c r="K1288" s="92"/>
      <c r="L1288"/>
    </row>
    <row r="1289" spans="2:12" ht="14.4">
      <c r="B1289" s="77"/>
      <c r="E1289" s="131"/>
      <c r="F1289" s="132"/>
      <c r="K1289" s="92"/>
      <c r="L1289"/>
    </row>
    <row r="1290" spans="2:12" ht="14.4">
      <c r="B1290" s="77"/>
      <c r="E1290" s="131"/>
      <c r="F1290" s="132"/>
      <c r="K1290" s="92"/>
      <c r="L1290"/>
    </row>
    <row r="1291" spans="2:12" ht="14.4">
      <c r="B1291" s="77"/>
      <c r="E1291" s="131"/>
      <c r="F1291" s="132"/>
      <c r="K1291" s="92"/>
      <c r="L1291"/>
    </row>
    <row r="1292" spans="2:12" ht="14.4">
      <c r="B1292" s="77"/>
      <c r="E1292" s="131"/>
      <c r="F1292" s="132"/>
      <c r="K1292" s="92"/>
      <c r="L1292"/>
    </row>
    <row r="1293" spans="2:12" ht="14.4">
      <c r="B1293" s="77"/>
      <c r="E1293" s="131"/>
      <c r="F1293" s="132"/>
      <c r="K1293" s="92"/>
      <c r="L1293"/>
    </row>
    <row r="1294" spans="2:12" ht="14.4">
      <c r="B1294" s="77"/>
      <c r="E1294" s="131"/>
      <c r="F1294" s="132"/>
      <c r="K1294" s="92"/>
      <c r="L1294"/>
    </row>
    <row r="1295" spans="2:12" ht="14.4">
      <c r="B1295" s="77"/>
      <c r="E1295" s="131"/>
      <c r="F1295" s="132"/>
      <c r="K1295" s="92"/>
      <c r="L1295"/>
    </row>
    <row r="1296" spans="2:12" ht="14.4">
      <c r="B1296" s="77"/>
      <c r="E1296" s="131"/>
      <c r="F1296" s="132"/>
      <c r="K1296" s="92"/>
      <c r="L1296"/>
    </row>
    <row r="1297" spans="2:12" ht="14.4">
      <c r="B1297" s="77"/>
      <c r="E1297" s="131"/>
      <c r="F1297" s="132"/>
      <c r="K1297" s="92"/>
      <c r="L1297"/>
    </row>
    <row r="1298" spans="2:12" ht="14.4">
      <c r="B1298" s="77"/>
      <c r="E1298" s="131"/>
      <c r="F1298" s="132"/>
      <c r="K1298" s="92"/>
      <c r="L1298"/>
    </row>
    <row r="1299" spans="2:12" ht="14.4">
      <c r="B1299" s="77"/>
      <c r="E1299" s="131"/>
      <c r="F1299" s="132"/>
      <c r="K1299" s="92"/>
      <c r="L1299"/>
    </row>
    <row r="1300" spans="2:12" ht="14.4">
      <c r="B1300" s="77"/>
      <c r="E1300" s="131"/>
      <c r="F1300" s="132"/>
      <c r="K1300" s="92"/>
      <c r="L1300"/>
    </row>
    <row r="1301" spans="2:12" ht="14.4">
      <c r="B1301" s="77"/>
      <c r="E1301" s="131"/>
      <c r="F1301" s="132"/>
      <c r="K1301" s="92"/>
      <c r="L1301"/>
    </row>
    <row r="1302" spans="2:12" ht="14.4">
      <c r="B1302" s="77"/>
      <c r="E1302" s="131"/>
      <c r="F1302" s="132"/>
      <c r="K1302" s="92"/>
      <c r="L1302"/>
    </row>
    <row r="1303" spans="2:12" ht="14.4">
      <c r="B1303" s="77"/>
      <c r="E1303" s="131"/>
      <c r="F1303" s="132"/>
      <c r="K1303" s="92"/>
      <c r="L1303"/>
    </row>
    <row r="1304" spans="2:12" ht="14.4">
      <c r="B1304" s="77"/>
      <c r="E1304" s="131"/>
      <c r="F1304" s="132"/>
      <c r="K1304" s="92"/>
      <c r="L1304"/>
    </row>
    <row r="1305" spans="2:12" ht="14.4">
      <c r="B1305" s="77"/>
      <c r="E1305" s="131"/>
      <c r="F1305" s="132"/>
      <c r="K1305" s="92"/>
      <c r="L1305"/>
    </row>
    <row r="1306" spans="2:12" ht="14.4">
      <c r="B1306" s="77"/>
      <c r="E1306" s="131"/>
      <c r="F1306" s="132"/>
      <c r="K1306" s="92"/>
      <c r="L1306"/>
    </row>
    <row r="1307" spans="2:12" ht="14.4">
      <c r="B1307" s="77"/>
      <c r="E1307" s="131"/>
      <c r="F1307" s="132"/>
      <c r="K1307" s="92"/>
      <c r="L1307"/>
    </row>
    <row r="1308" spans="2:12" ht="14.4">
      <c r="B1308" s="77"/>
      <c r="E1308" s="131"/>
      <c r="F1308" s="132"/>
      <c r="K1308" s="92"/>
      <c r="L1308"/>
    </row>
    <row r="1309" spans="2:12" ht="14.4">
      <c r="B1309" s="77"/>
      <c r="E1309" s="131"/>
      <c r="F1309" s="132"/>
      <c r="K1309" s="92"/>
      <c r="L1309"/>
    </row>
    <row r="1310" spans="2:12" ht="14.4">
      <c r="B1310" s="77"/>
      <c r="E1310" s="131"/>
      <c r="F1310" s="132"/>
      <c r="K1310" s="92"/>
      <c r="L1310"/>
    </row>
    <row r="1311" spans="2:12" ht="14.4">
      <c r="B1311" s="77"/>
      <c r="E1311" s="131"/>
      <c r="F1311" s="132"/>
      <c r="K1311" s="92"/>
      <c r="L1311"/>
    </row>
    <row r="1312" spans="2:12" ht="14.4">
      <c r="B1312" s="77"/>
      <c r="E1312" s="131"/>
      <c r="F1312" s="132"/>
      <c r="K1312" s="92"/>
      <c r="L1312"/>
    </row>
    <row r="1313" spans="2:12" ht="14.4">
      <c r="B1313" s="77"/>
      <c r="E1313" s="131"/>
      <c r="F1313" s="132"/>
      <c r="K1313" s="92"/>
      <c r="L1313"/>
    </row>
    <row r="1314" spans="2:12" ht="14.4">
      <c r="B1314" s="77"/>
      <c r="E1314" s="131"/>
      <c r="F1314" s="132"/>
      <c r="K1314" s="92"/>
      <c r="L1314"/>
    </row>
    <row r="1315" spans="2:12" ht="14.4">
      <c r="B1315" s="77"/>
      <c r="E1315" s="131"/>
      <c r="F1315" s="132"/>
      <c r="K1315" s="92"/>
      <c r="L1315"/>
    </row>
    <row r="1316" spans="2:12" ht="14.4">
      <c r="B1316" s="77"/>
      <c r="E1316" s="131"/>
      <c r="F1316" s="132"/>
      <c r="K1316" s="92"/>
      <c r="L1316"/>
    </row>
    <row r="1317" spans="2:12" ht="14.4">
      <c r="B1317" s="77"/>
      <c r="E1317" s="131"/>
      <c r="F1317" s="132"/>
      <c r="K1317" s="92"/>
      <c r="L1317"/>
    </row>
    <row r="1318" spans="2:12" ht="14.4">
      <c r="B1318" s="77"/>
      <c r="E1318" s="131"/>
      <c r="F1318" s="132"/>
      <c r="K1318" s="92"/>
      <c r="L1318"/>
    </row>
    <row r="1319" spans="2:12" ht="14.4">
      <c r="B1319" s="77"/>
      <c r="E1319" s="131"/>
      <c r="F1319" s="132"/>
      <c r="K1319" s="92"/>
      <c r="L1319"/>
    </row>
    <row r="1320" spans="2:12" ht="14.4">
      <c r="B1320" s="77"/>
      <c r="E1320" s="131"/>
      <c r="F1320" s="132"/>
      <c r="K1320" s="92"/>
      <c r="L1320"/>
    </row>
    <row r="1321" spans="2:12" ht="14.4">
      <c r="B1321" s="77"/>
      <c r="E1321" s="131"/>
      <c r="F1321" s="132"/>
      <c r="K1321" s="92"/>
      <c r="L1321"/>
    </row>
    <row r="1322" spans="2:12" ht="14.4">
      <c r="B1322" s="77"/>
      <c r="E1322" s="131"/>
      <c r="F1322" s="132"/>
      <c r="K1322" s="92"/>
      <c r="L1322"/>
    </row>
    <row r="1323" spans="2:12" ht="14.4">
      <c r="B1323" s="77"/>
      <c r="E1323" s="131"/>
      <c r="F1323" s="132"/>
      <c r="K1323" s="92"/>
      <c r="L1323"/>
    </row>
    <row r="1324" spans="2:12" ht="14.4">
      <c r="B1324" s="77"/>
      <c r="E1324" s="131"/>
      <c r="F1324" s="132"/>
      <c r="K1324" s="92"/>
      <c r="L1324"/>
    </row>
    <row r="1325" spans="2:12" ht="14.4">
      <c r="B1325" s="77"/>
      <c r="E1325" s="131"/>
      <c r="F1325" s="132"/>
      <c r="K1325" s="92"/>
      <c r="L1325"/>
    </row>
    <row r="1326" spans="2:12" ht="14.4">
      <c r="B1326" s="77"/>
      <c r="E1326" s="131"/>
      <c r="F1326" s="132"/>
      <c r="K1326" s="92"/>
      <c r="L1326"/>
    </row>
    <row r="1327" spans="2:12" ht="14.4">
      <c r="B1327" s="77"/>
      <c r="E1327" s="131"/>
      <c r="F1327" s="132"/>
      <c r="K1327" s="92"/>
      <c r="L1327"/>
    </row>
    <row r="1328" spans="2:12" ht="14.4">
      <c r="B1328" s="77"/>
      <c r="E1328" s="131"/>
      <c r="F1328" s="132"/>
      <c r="K1328" s="92"/>
      <c r="L1328"/>
    </row>
    <row r="1329" spans="2:12" ht="14.4">
      <c r="B1329" s="77"/>
      <c r="E1329" s="131"/>
      <c r="F1329" s="132"/>
      <c r="K1329" s="92"/>
      <c r="L1329"/>
    </row>
    <row r="1330" spans="2:12" ht="14.4">
      <c r="B1330" s="77"/>
      <c r="E1330" s="131"/>
      <c r="F1330" s="132"/>
      <c r="K1330" s="92"/>
      <c r="L1330"/>
    </row>
    <row r="1331" spans="2:12" ht="14.4">
      <c r="B1331" s="77"/>
      <c r="E1331" s="131"/>
      <c r="F1331" s="132"/>
      <c r="K1331" s="92"/>
      <c r="L1331"/>
    </row>
    <row r="1332" spans="2:12" ht="14.4">
      <c r="B1332" s="77"/>
      <c r="E1332" s="131"/>
      <c r="F1332" s="132"/>
      <c r="K1332" s="92"/>
      <c r="L1332"/>
    </row>
    <row r="1333" spans="2:12" ht="14.4">
      <c r="B1333" s="77"/>
      <c r="E1333" s="131"/>
      <c r="F1333" s="132"/>
      <c r="K1333" s="92"/>
      <c r="L1333"/>
    </row>
    <row r="1334" spans="2:12" ht="14.4">
      <c r="B1334" s="77"/>
      <c r="E1334" s="131"/>
      <c r="F1334" s="132"/>
      <c r="K1334" s="92"/>
      <c r="L1334"/>
    </row>
    <row r="1335" spans="2:12" ht="14.4">
      <c r="B1335" s="77"/>
      <c r="E1335" s="131"/>
      <c r="F1335" s="132"/>
      <c r="K1335" s="92"/>
      <c r="L1335"/>
    </row>
    <row r="1336" spans="2:12" ht="14.4">
      <c r="B1336" s="77"/>
      <c r="E1336" s="131"/>
      <c r="F1336" s="132"/>
      <c r="K1336" s="92"/>
      <c r="L1336"/>
    </row>
    <row r="1337" spans="2:12" ht="14.4">
      <c r="B1337" s="77"/>
      <c r="E1337" s="131"/>
      <c r="F1337" s="132"/>
      <c r="K1337" s="92"/>
      <c r="L1337"/>
    </row>
    <row r="1338" spans="2:12" ht="14.4">
      <c r="B1338" s="77"/>
      <c r="E1338" s="131"/>
      <c r="F1338" s="132"/>
      <c r="K1338" s="92"/>
      <c r="L1338"/>
    </row>
    <row r="1339" spans="2:12" ht="14.4">
      <c r="B1339" s="77"/>
      <c r="E1339" s="131"/>
      <c r="F1339" s="132"/>
      <c r="K1339" s="92"/>
      <c r="L1339"/>
    </row>
    <row r="1340" spans="2:12" ht="14.4">
      <c r="B1340" s="77"/>
      <c r="E1340" s="131"/>
      <c r="F1340" s="132"/>
      <c r="K1340" s="92"/>
      <c r="L1340"/>
    </row>
    <row r="1341" spans="2:12" ht="14.4">
      <c r="B1341" s="77"/>
      <c r="E1341" s="131"/>
      <c r="F1341" s="132"/>
      <c r="K1341" s="92"/>
      <c r="L1341"/>
    </row>
    <row r="1342" spans="2:12" ht="14.4">
      <c r="B1342" s="77"/>
      <c r="E1342" s="131"/>
      <c r="F1342" s="132"/>
      <c r="K1342" s="92"/>
      <c r="L1342"/>
    </row>
    <row r="1343" spans="2:12" ht="14.4">
      <c r="B1343" s="77"/>
      <c r="E1343" s="131"/>
      <c r="F1343" s="132"/>
      <c r="K1343" s="92"/>
      <c r="L1343"/>
    </row>
    <row r="1344" spans="2:12" ht="14.4">
      <c r="B1344" s="77"/>
      <c r="E1344" s="131"/>
      <c r="F1344" s="132"/>
      <c r="K1344" s="92"/>
      <c r="L1344"/>
    </row>
    <row r="1345" spans="2:12" ht="14.4">
      <c r="B1345" s="77"/>
      <c r="E1345" s="131"/>
      <c r="F1345" s="132"/>
      <c r="K1345" s="92"/>
      <c r="L1345"/>
    </row>
    <row r="1346" spans="2:12" ht="14.4">
      <c r="B1346" s="77"/>
      <c r="E1346" s="131"/>
      <c r="F1346" s="132"/>
      <c r="K1346" s="92"/>
      <c r="L1346"/>
    </row>
    <row r="1347" spans="2:12" ht="14.4">
      <c r="B1347" s="77"/>
      <c r="E1347" s="131"/>
      <c r="F1347" s="132"/>
      <c r="K1347" s="92"/>
      <c r="L1347"/>
    </row>
    <row r="1348" spans="2:12" ht="14.4">
      <c r="B1348" s="77"/>
      <c r="E1348" s="131"/>
      <c r="F1348" s="132"/>
      <c r="K1348" s="92"/>
      <c r="L1348"/>
    </row>
    <row r="1349" spans="2:12" ht="14.4">
      <c r="B1349" s="77"/>
      <c r="E1349" s="131"/>
      <c r="F1349" s="132"/>
      <c r="K1349" s="92"/>
      <c r="L1349"/>
    </row>
    <row r="1350" spans="2:12" ht="14.4">
      <c r="B1350" s="77"/>
      <c r="E1350" s="131"/>
      <c r="F1350" s="132"/>
      <c r="K1350" s="92"/>
      <c r="L1350"/>
    </row>
    <row r="1351" spans="2:12" ht="14.4">
      <c r="B1351" s="77"/>
      <c r="E1351" s="131"/>
      <c r="F1351" s="132"/>
      <c r="K1351" s="92"/>
      <c r="L1351"/>
    </row>
    <row r="1352" spans="2:12" ht="14.4">
      <c r="B1352" s="77"/>
      <c r="E1352" s="131"/>
      <c r="F1352" s="132"/>
      <c r="K1352" s="92"/>
      <c r="L1352"/>
    </row>
    <row r="1353" spans="2:12" ht="14.4">
      <c r="B1353" s="77"/>
      <c r="E1353" s="131"/>
      <c r="F1353" s="132"/>
      <c r="K1353" s="92"/>
      <c r="L1353"/>
    </row>
    <row r="1354" spans="2:12" ht="14.4">
      <c r="B1354" s="77"/>
      <c r="E1354" s="131"/>
      <c r="F1354" s="132"/>
      <c r="K1354" s="92"/>
      <c r="L1354"/>
    </row>
    <row r="1355" spans="2:12" ht="14.4">
      <c r="B1355" s="77"/>
      <c r="E1355" s="131"/>
      <c r="F1355" s="132"/>
      <c r="K1355" s="92"/>
      <c r="L1355"/>
    </row>
    <row r="1356" spans="2:12" ht="14.4">
      <c r="B1356" s="77"/>
      <c r="E1356" s="131"/>
      <c r="F1356" s="132"/>
      <c r="K1356" s="92"/>
      <c r="L1356"/>
    </row>
    <row r="1357" spans="2:12" ht="14.4">
      <c r="B1357" s="77"/>
      <c r="E1357" s="131"/>
      <c r="F1357" s="132"/>
      <c r="K1357" s="92"/>
      <c r="L1357"/>
    </row>
    <row r="1358" spans="2:12" ht="14.4">
      <c r="B1358" s="77"/>
      <c r="E1358" s="131"/>
      <c r="F1358" s="132"/>
      <c r="K1358" s="92"/>
      <c r="L1358"/>
    </row>
    <row r="1359" spans="2:12" ht="14.4">
      <c r="B1359" s="77"/>
      <c r="E1359" s="131"/>
      <c r="F1359" s="132"/>
      <c r="K1359" s="92"/>
      <c r="L1359"/>
    </row>
    <row r="1360" spans="2:12" ht="14.4">
      <c r="B1360" s="77"/>
      <c r="E1360" s="131"/>
      <c r="F1360" s="132"/>
      <c r="K1360" s="92"/>
      <c r="L1360"/>
    </row>
    <row r="1361" spans="2:12" ht="14.4">
      <c r="B1361" s="77"/>
      <c r="E1361" s="131"/>
      <c r="F1361" s="132"/>
      <c r="K1361" s="92"/>
      <c r="L1361"/>
    </row>
    <row r="1362" spans="2:12" ht="14.4">
      <c r="B1362" s="77"/>
      <c r="E1362" s="131"/>
      <c r="F1362" s="132"/>
      <c r="K1362" s="92"/>
      <c r="L1362"/>
    </row>
    <row r="1363" spans="2:12" ht="14.4">
      <c r="B1363" s="77"/>
      <c r="E1363" s="131"/>
      <c r="F1363" s="132"/>
      <c r="K1363" s="92"/>
      <c r="L1363"/>
    </row>
    <row r="1364" spans="2:12" ht="14.4">
      <c r="B1364" s="77"/>
      <c r="E1364" s="131"/>
      <c r="F1364" s="132"/>
      <c r="K1364" s="92"/>
      <c r="L1364"/>
    </row>
    <row r="1365" spans="2:12" ht="14.4">
      <c r="B1365" s="77"/>
      <c r="E1365" s="131"/>
      <c r="F1365" s="132"/>
      <c r="K1365" s="92"/>
      <c r="L1365"/>
    </row>
    <row r="1366" spans="2:12" ht="14.4">
      <c r="B1366" s="77"/>
      <c r="E1366" s="131"/>
      <c r="F1366" s="132"/>
      <c r="K1366" s="92"/>
      <c r="L1366"/>
    </row>
    <row r="1367" spans="2:12" ht="14.4">
      <c r="B1367" s="77"/>
      <c r="E1367" s="131"/>
      <c r="F1367" s="132"/>
      <c r="K1367" s="92"/>
      <c r="L1367"/>
    </row>
    <row r="1368" spans="2:12" ht="14.4">
      <c r="B1368" s="77"/>
      <c r="E1368" s="131"/>
      <c r="F1368" s="132"/>
      <c r="K1368" s="92"/>
      <c r="L1368"/>
    </row>
    <row r="1369" spans="2:12" ht="14.4">
      <c r="B1369" s="77"/>
      <c r="E1369" s="131"/>
      <c r="F1369" s="132"/>
      <c r="K1369" s="92"/>
      <c r="L1369"/>
    </row>
    <row r="1370" spans="2:12" ht="14.4">
      <c r="B1370" s="77"/>
      <c r="E1370" s="131"/>
      <c r="F1370" s="132"/>
      <c r="K1370" s="92"/>
      <c r="L1370"/>
    </row>
    <row r="1371" spans="2:12" ht="14.4">
      <c r="B1371" s="77"/>
      <c r="E1371" s="131"/>
      <c r="F1371" s="132"/>
      <c r="K1371" s="92"/>
      <c r="L1371"/>
    </row>
    <row r="1372" spans="2:12" ht="14.4">
      <c r="B1372" s="77"/>
      <c r="E1372" s="131"/>
      <c r="F1372" s="132"/>
      <c r="K1372" s="92"/>
      <c r="L1372"/>
    </row>
    <row r="1373" spans="2:12" ht="14.4">
      <c r="B1373" s="77"/>
      <c r="E1373" s="131"/>
      <c r="F1373" s="132"/>
      <c r="K1373" s="92"/>
      <c r="L1373"/>
    </row>
    <row r="1374" spans="2:12" ht="14.4">
      <c r="B1374" s="77"/>
      <c r="E1374" s="131"/>
      <c r="F1374" s="132"/>
      <c r="K1374" s="92"/>
      <c r="L1374"/>
    </row>
    <row r="1375" spans="2:12" ht="14.4">
      <c r="B1375" s="77"/>
      <c r="E1375" s="131"/>
      <c r="F1375" s="132"/>
      <c r="K1375" s="92"/>
      <c r="L1375"/>
    </row>
    <row r="1376" spans="2:12" ht="14.4">
      <c r="B1376" s="77"/>
      <c r="E1376" s="131"/>
      <c r="F1376" s="132"/>
      <c r="K1376" s="92"/>
      <c r="L1376"/>
    </row>
    <row r="1377" spans="2:12" ht="14.4">
      <c r="B1377" s="77"/>
      <c r="E1377" s="131"/>
      <c r="F1377" s="132"/>
      <c r="K1377" s="92"/>
      <c r="L1377"/>
    </row>
    <row r="1378" spans="2:12" ht="14.4">
      <c r="B1378" s="77"/>
      <c r="E1378" s="131"/>
      <c r="F1378" s="132"/>
      <c r="K1378" s="92"/>
      <c r="L1378"/>
    </row>
    <row r="1379" spans="2:12" ht="14.4">
      <c r="B1379" s="77"/>
      <c r="E1379" s="131"/>
      <c r="F1379" s="132"/>
      <c r="K1379" s="92"/>
      <c r="L1379"/>
    </row>
    <row r="1380" spans="2:12" ht="14.4">
      <c r="B1380" s="77"/>
      <c r="E1380" s="131"/>
      <c r="F1380" s="132"/>
      <c r="K1380" s="92"/>
      <c r="L1380"/>
    </row>
    <row r="1381" spans="2:12" ht="14.4">
      <c r="B1381" s="77"/>
      <c r="E1381" s="131"/>
      <c r="F1381" s="132"/>
      <c r="K1381" s="92"/>
      <c r="L1381"/>
    </row>
    <row r="1382" spans="2:12" ht="14.4">
      <c r="B1382" s="77"/>
      <c r="E1382" s="131"/>
      <c r="F1382" s="132"/>
      <c r="K1382" s="92"/>
      <c r="L1382"/>
    </row>
    <row r="1383" spans="2:12" ht="14.4">
      <c r="B1383" s="77"/>
      <c r="E1383" s="131"/>
      <c r="F1383" s="132"/>
      <c r="K1383" s="92"/>
      <c r="L1383"/>
    </row>
    <row r="1384" spans="2:12" ht="14.4">
      <c r="B1384" s="77"/>
      <c r="E1384" s="131"/>
      <c r="F1384" s="132"/>
      <c r="K1384" s="92"/>
      <c r="L1384"/>
    </row>
    <row r="1385" spans="2:12" ht="14.4">
      <c r="B1385" s="77"/>
      <c r="E1385" s="131"/>
      <c r="F1385" s="132"/>
      <c r="K1385" s="92"/>
      <c r="L1385"/>
    </row>
    <row r="1386" spans="2:12" ht="14.4">
      <c r="B1386" s="77"/>
      <c r="E1386" s="131"/>
      <c r="F1386" s="132"/>
      <c r="K1386" s="92"/>
      <c r="L1386"/>
    </row>
    <row r="1387" spans="2:12" ht="14.4">
      <c r="B1387" s="77"/>
      <c r="E1387" s="131"/>
      <c r="F1387" s="132"/>
      <c r="K1387" s="92"/>
      <c r="L1387"/>
    </row>
    <row r="1388" spans="2:12" ht="14.4">
      <c r="B1388" s="77"/>
      <c r="E1388" s="131"/>
      <c r="F1388" s="132"/>
      <c r="K1388" s="92"/>
      <c r="L1388"/>
    </row>
    <row r="1389" spans="2:12" ht="14.4">
      <c r="B1389" s="77"/>
      <c r="E1389" s="131"/>
      <c r="F1389" s="132"/>
      <c r="K1389" s="92"/>
      <c r="L1389"/>
    </row>
    <row r="1390" spans="2:12" ht="14.4">
      <c r="B1390" s="77"/>
      <c r="E1390" s="131"/>
      <c r="F1390" s="132"/>
      <c r="K1390" s="92"/>
      <c r="L1390"/>
    </row>
    <row r="1391" spans="2:12" ht="14.4">
      <c r="B1391" s="77"/>
      <c r="E1391" s="131"/>
      <c r="F1391" s="132"/>
      <c r="K1391" s="92"/>
      <c r="L1391"/>
    </row>
    <row r="1392" spans="2:12" ht="14.4">
      <c r="B1392" s="77"/>
      <c r="E1392" s="131"/>
      <c r="F1392" s="132"/>
      <c r="K1392" s="92"/>
      <c r="L1392"/>
    </row>
    <row r="1393" spans="2:12" ht="14.4">
      <c r="B1393" s="77"/>
      <c r="E1393" s="131"/>
      <c r="F1393" s="132"/>
      <c r="K1393" s="92"/>
      <c r="L1393"/>
    </row>
    <row r="1394" spans="2:12" ht="14.4">
      <c r="B1394" s="77"/>
      <c r="E1394" s="131"/>
      <c r="F1394" s="132"/>
      <c r="K1394" s="92"/>
      <c r="L1394"/>
    </row>
    <row r="1395" spans="2:12" ht="14.4">
      <c r="B1395" s="77"/>
      <c r="E1395" s="131"/>
      <c r="F1395" s="132"/>
      <c r="K1395" s="92"/>
      <c r="L1395"/>
    </row>
    <row r="1396" spans="2:12" ht="14.4">
      <c r="B1396" s="77"/>
      <c r="E1396" s="131"/>
      <c r="F1396" s="132"/>
      <c r="K1396" s="92"/>
      <c r="L1396"/>
    </row>
    <row r="1397" spans="2:12" ht="14.4">
      <c r="B1397" s="77"/>
      <c r="E1397" s="131"/>
      <c r="F1397" s="132"/>
      <c r="K1397" s="92"/>
      <c r="L1397"/>
    </row>
    <row r="1398" spans="2:12" ht="14.4">
      <c r="B1398" s="77"/>
      <c r="E1398" s="131"/>
      <c r="F1398" s="132"/>
      <c r="K1398" s="92"/>
      <c r="L1398"/>
    </row>
    <row r="1399" spans="2:12" ht="14.4">
      <c r="B1399" s="77"/>
      <c r="E1399" s="131"/>
      <c r="F1399" s="132"/>
      <c r="K1399" s="92"/>
      <c r="L1399"/>
    </row>
    <row r="1400" spans="2:12" ht="14.4">
      <c r="B1400" s="77"/>
      <c r="E1400" s="131"/>
      <c r="F1400" s="132"/>
      <c r="K1400" s="92"/>
      <c r="L1400"/>
    </row>
    <row r="1401" spans="2:12" ht="14.4">
      <c r="B1401" s="77"/>
      <c r="E1401" s="131"/>
      <c r="F1401" s="132"/>
      <c r="K1401" s="92"/>
      <c r="L1401"/>
    </row>
    <row r="1402" spans="2:12" ht="14.4">
      <c r="B1402" s="77"/>
      <c r="E1402" s="131"/>
      <c r="F1402" s="132"/>
      <c r="K1402" s="92"/>
      <c r="L1402"/>
    </row>
    <row r="1403" spans="2:12" ht="14.4">
      <c r="B1403" s="77"/>
      <c r="E1403" s="131"/>
      <c r="F1403" s="132"/>
      <c r="K1403" s="92"/>
      <c r="L1403"/>
    </row>
    <row r="1404" spans="2:12" ht="14.4">
      <c r="B1404" s="77"/>
      <c r="E1404" s="131"/>
      <c r="F1404" s="132"/>
      <c r="K1404" s="92"/>
      <c r="L1404"/>
    </row>
    <row r="1405" spans="2:12" ht="14.4">
      <c r="B1405" s="77"/>
      <c r="E1405" s="131"/>
      <c r="F1405" s="132"/>
      <c r="K1405" s="92"/>
      <c r="L1405"/>
    </row>
    <row r="1406" spans="2:12" ht="14.4">
      <c r="B1406" s="77"/>
      <c r="E1406" s="131"/>
      <c r="F1406" s="132"/>
      <c r="K1406" s="92"/>
      <c r="L1406"/>
    </row>
    <row r="1407" spans="2:12" ht="14.4">
      <c r="B1407" s="77"/>
      <c r="E1407" s="131"/>
      <c r="F1407" s="132"/>
      <c r="K1407" s="92"/>
      <c r="L1407"/>
    </row>
    <row r="1408" spans="2:12" ht="14.4">
      <c r="B1408" s="77"/>
      <c r="E1408" s="131"/>
      <c r="F1408" s="132"/>
      <c r="K1408" s="92"/>
      <c r="L1408"/>
    </row>
    <row r="1409" spans="2:12" ht="14.4">
      <c r="B1409" s="77"/>
      <c r="E1409" s="131"/>
      <c r="F1409" s="132"/>
      <c r="K1409" s="92"/>
      <c r="L1409"/>
    </row>
    <row r="1410" spans="2:12" ht="14.4">
      <c r="B1410" s="77"/>
      <c r="E1410" s="131"/>
      <c r="F1410" s="132"/>
      <c r="K1410" s="92"/>
      <c r="L1410"/>
    </row>
    <row r="1411" spans="2:12" ht="14.4">
      <c r="B1411" s="77"/>
      <c r="E1411" s="131"/>
      <c r="F1411" s="132"/>
      <c r="K1411" s="92"/>
      <c r="L1411"/>
    </row>
    <row r="1412" spans="2:12" ht="14.4">
      <c r="B1412" s="77"/>
      <c r="E1412" s="131"/>
      <c r="F1412" s="132"/>
      <c r="K1412" s="92"/>
      <c r="L1412"/>
    </row>
    <row r="1413" spans="2:12" ht="14.4">
      <c r="B1413" s="77"/>
      <c r="E1413" s="131"/>
      <c r="F1413" s="132"/>
      <c r="K1413" s="92"/>
      <c r="L1413"/>
    </row>
    <row r="1414" spans="2:12" ht="14.4">
      <c r="B1414" s="77"/>
      <c r="E1414" s="131"/>
      <c r="F1414" s="132"/>
      <c r="K1414" s="92"/>
      <c r="L1414"/>
    </row>
    <row r="1415" spans="2:12" ht="14.4">
      <c r="B1415" s="77"/>
      <c r="E1415" s="131"/>
      <c r="F1415" s="132"/>
      <c r="K1415" s="92"/>
      <c r="L1415"/>
    </row>
    <row r="1416" spans="2:12" ht="14.4">
      <c r="B1416" s="77"/>
      <c r="E1416" s="131"/>
      <c r="F1416" s="132"/>
      <c r="K1416" s="92"/>
      <c r="L1416"/>
    </row>
    <row r="1417" spans="2:12" ht="14.4">
      <c r="B1417" s="77"/>
      <c r="E1417" s="131"/>
      <c r="F1417" s="132"/>
      <c r="K1417" s="92"/>
      <c r="L1417"/>
    </row>
    <row r="1418" spans="2:12" ht="14.4">
      <c r="B1418" s="77"/>
      <c r="E1418" s="131"/>
      <c r="F1418" s="132"/>
      <c r="K1418" s="92"/>
      <c r="L1418"/>
    </row>
    <row r="1419" spans="2:12" ht="14.4">
      <c r="B1419" s="77"/>
      <c r="E1419" s="131"/>
      <c r="F1419" s="132"/>
      <c r="K1419" s="92"/>
      <c r="L1419"/>
    </row>
    <row r="1420" spans="2:12" ht="14.4">
      <c r="B1420" s="77"/>
      <c r="E1420" s="131"/>
      <c r="F1420" s="132"/>
      <c r="K1420" s="92"/>
      <c r="L1420"/>
    </row>
    <row r="1421" spans="2:12" ht="14.4">
      <c r="B1421" s="77"/>
      <c r="E1421" s="131"/>
      <c r="F1421" s="132"/>
      <c r="K1421" s="92"/>
      <c r="L1421"/>
    </row>
    <row r="1422" spans="2:12" ht="14.4">
      <c r="B1422" s="77"/>
      <c r="E1422" s="131"/>
      <c r="F1422" s="132"/>
      <c r="K1422" s="92"/>
      <c r="L1422"/>
    </row>
    <row r="1423" spans="2:12" ht="14.4">
      <c r="B1423" s="77"/>
      <c r="E1423" s="131"/>
      <c r="F1423" s="132"/>
      <c r="K1423" s="92"/>
      <c r="L1423"/>
    </row>
    <row r="1424" spans="2:12" ht="14.4">
      <c r="B1424" s="77"/>
      <c r="E1424" s="131"/>
      <c r="F1424" s="132"/>
      <c r="K1424" s="92"/>
      <c r="L1424"/>
    </row>
    <row r="1425" spans="2:12" ht="14.4">
      <c r="B1425" s="77"/>
      <c r="E1425" s="131"/>
      <c r="F1425" s="132"/>
      <c r="K1425" s="92"/>
      <c r="L1425"/>
    </row>
    <row r="1426" spans="2:12" ht="14.4">
      <c r="B1426" s="77"/>
      <c r="E1426" s="131"/>
      <c r="F1426" s="132"/>
      <c r="K1426" s="92"/>
      <c r="L1426"/>
    </row>
    <row r="1427" spans="2:12" ht="14.4">
      <c r="B1427" s="77"/>
      <c r="E1427" s="131"/>
      <c r="F1427" s="132"/>
      <c r="K1427" s="92"/>
      <c r="L1427"/>
    </row>
    <row r="1428" spans="2:12" ht="14.4">
      <c r="B1428" s="77"/>
      <c r="E1428" s="131"/>
      <c r="F1428" s="132"/>
      <c r="K1428" s="92"/>
      <c r="L1428"/>
    </row>
    <row r="1429" spans="2:12" ht="14.4">
      <c r="B1429" s="77"/>
      <c r="E1429" s="131"/>
      <c r="F1429" s="132"/>
      <c r="K1429" s="92"/>
      <c r="L1429"/>
    </row>
    <row r="1430" spans="2:12" ht="14.4">
      <c r="B1430" s="77"/>
      <c r="E1430" s="131"/>
      <c r="F1430" s="132"/>
      <c r="K1430" s="92"/>
      <c r="L1430"/>
    </row>
    <row r="1431" spans="2:12" ht="14.4">
      <c r="B1431" s="77"/>
      <c r="E1431" s="131"/>
      <c r="F1431" s="132"/>
      <c r="K1431" s="92"/>
      <c r="L1431"/>
    </row>
    <row r="1432" spans="2:12" ht="14.4">
      <c r="B1432" s="77"/>
      <c r="E1432" s="131"/>
      <c r="F1432" s="132"/>
      <c r="K1432" s="92"/>
      <c r="L1432"/>
    </row>
    <row r="1433" spans="2:12" ht="14.4">
      <c r="B1433" s="77"/>
      <c r="E1433" s="131"/>
      <c r="F1433" s="132"/>
      <c r="K1433" s="92"/>
      <c r="L1433"/>
    </row>
    <row r="1434" spans="2:12" ht="14.4">
      <c r="B1434" s="77"/>
      <c r="E1434" s="131"/>
      <c r="F1434" s="132"/>
      <c r="K1434" s="92"/>
      <c r="L1434"/>
    </row>
    <row r="1435" spans="2:12" ht="14.4">
      <c r="B1435" s="77"/>
      <c r="E1435" s="131"/>
      <c r="F1435" s="132"/>
      <c r="K1435" s="92"/>
      <c r="L1435"/>
    </row>
    <row r="1436" spans="2:12" ht="14.4">
      <c r="B1436" s="77"/>
      <c r="E1436" s="131"/>
      <c r="F1436" s="132"/>
      <c r="K1436" s="92"/>
      <c r="L1436"/>
    </row>
    <row r="1437" spans="2:12" ht="14.4">
      <c r="B1437" s="77"/>
      <c r="E1437" s="131"/>
      <c r="F1437" s="132"/>
      <c r="K1437" s="92"/>
      <c r="L1437"/>
    </row>
    <row r="1438" spans="2:12" ht="14.4">
      <c r="B1438" s="77"/>
      <c r="E1438" s="131"/>
      <c r="F1438" s="132"/>
      <c r="K1438" s="92"/>
      <c r="L1438"/>
    </row>
    <row r="1439" spans="2:12" ht="14.4">
      <c r="B1439" s="77"/>
      <c r="E1439" s="131"/>
      <c r="F1439" s="132"/>
      <c r="K1439" s="92"/>
      <c r="L1439"/>
    </row>
    <row r="1440" spans="2:12" ht="14.4">
      <c r="B1440" s="77"/>
      <c r="E1440" s="131"/>
      <c r="F1440" s="132"/>
      <c r="K1440" s="92"/>
      <c r="L1440"/>
    </row>
    <row r="1441" spans="2:12" ht="14.4">
      <c r="B1441" s="77"/>
      <c r="E1441" s="131"/>
      <c r="F1441" s="132"/>
      <c r="K1441" s="92"/>
      <c r="L1441"/>
    </row>
    <row r="1442" spans="2:12" ht="14.4">
      <c r="B1442" s="77"/>
      <c r="E1442" s="131"/>
      <c r="F1442" s="132"/>
      <c r="K1442" s="92"/>
      <c r="L1442"/>
    </row>
    <row r="1443" spans="2:12" ht="14.4">
      <c r="B1443" s="77"/>
      <c r="E1443" s="131"/>
      <c r="F1443" s="132"/>
      <c r="K1443" s="92"/>
      <c r="L1443"/>
    </row>
    <row r="1444" spans="2:12" ht="14.4">
      <c r="B1444" s="77"/>
      <c r="E1444" s="131"/>
      <c r="F1444" s="132"/>
      <c r="K1444" s="92"/>
      <c r="L1444"/>
    </row>
    <row r="1445" spans="2:12" ht="14.4">
      <c r="B1445" s="77"/>
      <c r="E1445" s="131"/>
      <c r="F1445" s="132"/>
      <c r="K1445" s="92"/>
      <c r="L1445"/>
    </row>
    <row r="1446" spans="2:12" ht="14.4">
      <c r="B1446" s="77"/>
      <c r="E1446" s="131"/>
      <c r="F1446" s="132"/>
      <c r="K1446" s="92"/>
      <c r="L1446"/>
    </row>
    <row r="1447" spans="2:12" ht="14.4">
      <c r="B1447" s="77"/>
      <c r="E1447" s="131"/>
      <c r="F1447" s="132"/>
      <c r="K1447" s="92"/>
      <c r="L1447"/>
    </row>
    <row r="1448" spans="2:12" ht="14.4">
      <c r="B1448" s="77"/>
      <c r="E1448" s="131"/>
      <c r="F1448" s="132"/>
      <c r="K1448" s="92"/>
      <c r="L1448"/>
    </row>
    <row r="1449" spans="2:12" ht="14.4">
      <c r="B1449" s="77"/>
      <c r="E1449" s="131"/>
      <c r="F1449" s="132"/>
      <c r="K1449" s="92"/>
      <c r="L1449"/>
    </row>
    <row r="1450" spans="2:12" ht="14.4">
      <c r="B1450" s="77"/>
      <c r="E1450" s="131"/>
      <c r="F1450" s="132"/>
      <c r="K1450" s="92"/>
      <c r="L1450"/>
    </row>
    <row r="1451" spans="2:12" ht="14.4">
      <c r="B1451" s="77"/>
      <c r="E1451" s="131"/>
      <c r="F1451" s="132"/>
      <c r="K1451" s="92"/>
      <c r="L1451"/>
    </row>
    <row r="1452" spans="2:12" ht="14.4">
      <c r="B1452" s="77"/>
      <c r="E1452" s="131"/>
      <c r="F1452" s="132"/>
      <c r="K1452" s="92"/>
      <c r="L1452"/>
    </row>
    <row r="1453" spans="2:12" ht="14.4">
      <c r="B1453" s="77"/>
      <c r="E1453" s="131"/>
      <c r="F1453" s="132"/>
      <c r="K1453" s="92"/>
      <c r="L1453"/>
    </row>
    <row r="1454" spans="2:12" ht="14.4">
      <c r="B1454" s="77"/>
      <c r="E1454" s="131"/>
      <c r="F1454" s="132"/>
      <c r="K1454" s="92"/>
      <c r="L1454"/>
    </row>
    <row r="1455" spans="2:12" ht="14.4">
      <c r="B1455" s="77"/>
      <c r="E1455" s="131"/>
      <c r="F1455" s="132"/>
      <c r="K1455" s="92"/>
      <c r="L1455"/>
    </row>
    <row r="1456" spans="2:12" ht="14.4">
      <c r="B1456" s="77"/>
      <c r="E1456" s="131"/>
      <c r="F1456" s="132"/>
      <c r="K1456" s="92"/>
      <c r="L1456"/>
    </row>
    <row r="1457" spans="2:12" ht="14.4">
      <c r="B1457" s="77"/>
      <c r="E1457" s="131"/>
      <c r="F1457" s="132"/>
      <c r="K1457" s="92"/>
      <c r="L1457"/>
    </row>
    <row r="1458" spans="2:12" ht="14.4">
      <c r="B1458" s="77"/>
      <c r="E1458" s="131"/>
      <c r="F1458" s="132"/>
      <c r="K1458" s="92"/>
      <c r="L1458"/>
    </row>
    <row r="1459" spans="2:12" ht="14.4">
      <c r="B1459" s="77"/>
      <c r="E1459" s="131"/>
      <c r="F1459" s="132"/>
      <c r="K1459" s="92"/>
      <c r="L1459"/>
    </row>
    <row r="1460" spans="2:12" ht="14.4">
      <c r="B1460" s="77"/>
      <c r="E1460" s="131"/>
      <c r="F1460" s="132"/>
      <c r="K1460" s="92"/>
      <c r="L1460"/>
    </row>
    <row r="1461" spans="2:12" ht="14.4">
      <c r="B1461" s="77"/>
      <c r="E1461" s="131"/>
      <c r="F1461" s="132"/>
      <c r="K1461" s="92"/>
      <c r="L1461"/>
    </row>
    <row r="1462" spans="2:12" ht="14.4">
      <c r="B1462" s="77"/>
      <c r="E1462" s="131"/>
      <c r="F1462" s="132"/>
      <c r="K1462" s="92"/>
      <c r="L1462"/>
    </row>
    <row r="1463" spans="2:12" ht="14.4">
      <c r="B1463" s="77"/>
      <c r="E1463" s="131"/>
      <c r="F1463" s="132"/>
      <c r="K1463" s="92"/>
      <c r="L1463"/>
    </row>
    <row r="1464" spans="2:12" ht="14.4">
      <c r="B1464" s="77"/>
      <c r="E1464" s="131"/>
      <c r="F1464" s="132"/>
      <c r="K1464" s="92"/>
      <c r="L1464"/>
    </row>
    <row r="1465" spans="2:12" ht="14.4">
      <c r="B1465" s="77"/>
      <c r="E1465" s="131"/>
      <c r="F1465" s="132"/>
      <c r="K1465" s="92"/>
      <c r="L1465"/>
    </row>
    <row r="1466" spans="2:12" ht="14.4">
      <c r="B1466" s="77"/>
      <c r="E1466" s="131"/>
      <c r="F1466" s="132"/>
      <c r="K1466" s="92"/>
      <c r="L1466"/>
    </row>
    <row r="1467" spans="2:12" ht="14.4">
      <c r="B1467" s="77"/>
      <c r="E1467" s="131"/>
      <c r="F1467" s="132"/>
      <c r="K1467" s="92"/>
      <c r="L1467"/>
    </row>
    <row r="1468" spans="2:12" ht="14.4">
      <c r="B1468" s="77"/>
      <c r="E1468" s="131"/>
      <c r="F1468" s="132"/>
      <c r="K1468" s="92"/>
      <c r="L1468"/>
    </row>
    <row r="1469" spans="2:12" ht="14.4">
      <c r="B1469" s="77"/>
      <c r="E1469" s="131"/>
      <c r="F1469" s="132"/>
      <c r="K1469" s="92"/>
      <c r="L1469"/>
    </row>
    <row r="1470" spans="2:12" ht="14.4">
      <c r="B1470" s="77"/>
      <c r="E1470" s="131"/>
      <c r="F1470" s="132"/>
      <c r="K1470" s="92"/>
      <c r="L1470"/>
    </row>
    <row r="1471" spans="2:12" ht="14.4">
      <c r="B1471" s="77"/>
      <c r="E1471" s="131"/>
      <c r="F1471" s="132"/>
      <c r="K1471" s="92"/>
      <c r="L1471"/>
    </row>
    <row r="1472" spans="2:12" ht="14.4">
      <c r="B1472" s="77"/>
      <c r="E1472" s="131"/>
      <c r="F1472" s="132"/>
      <c r="K1472" s="92"/>
      <c r="L1472"/>
    </row>
    <row r="1473" spans="2:12" ht="14.4">
      <c r="B1473" s="77"/>
      <c r="E1473" s="131"/>
      <c r="F1473" s="132"/>
      <c r="K1473" s="92"/>
      <c r="L1473"/>
    </row>
    <row r="1474" spans="2:12" ht="14.4">
      <c r="B1474" s="77"/>
      <c r="E1474" s="131"/>
      <c r="F1474" s="132"/>
      <c r="K1474" s="92"/>
      <c r="L1474"/>
    </row>
    <row r="1475" spans="2:12" ht="14.4">
      <c r="B1475" s="77"/>
      <c r="E1475" s="131"/>
      <c r="F1475" s="132"/>
      <c r="K1475" s="92"/>
      <c r="L1475"/>
    </row>
    <row r="1476" spans="2:12" ht="14.4">
      <c r="B1476" s="77"/>
      <c r="E1476" s="131"/>
      <c r="F1476" s="132"/>
      <c r="K1476" s="92"/>
      <c r="L1476"/>
    </row>
    <row r="1477" spans="2:12" ht="14.4">
      <c r="B1477" s="77"/>
      <c r="E1477" s="131"/>
      <c r="F1477" s="132"/>
      <c r="K1477" s="92"/>
      <c r="L1477"/>
    </row>
    <row r="1478" spans="2:12" ht="14.4">
      <c r="B1478" s="77"/>
      <c r="E1478" s="131"/>
      <c r="F1478" s="132"/>
      <c r="K1478" s="92"/>
      <c r="L1478"/>
    </row>
    <row r="1479" spans="2:12" ht="14.4">
      <c r="B1479" s="77"/>
      <c r="E1479" s="131"/>
      <c r="F1479" s="132"/>
      <c r="K1479" s="92"/>
      <c r="L1479"/>
    </row>
    <row r="1480" spans="2:12" ht="12.75" customHeight="1">
      <c r="B1480" s="77"/>
      <c r="E1480" s="131"/>
      <c r="F1480" s="132"/>
      <c r="K1480" s="92"/>
      <c r="L1480"/>
    </row>
    <row r="1481" spans="2:12" ht="14.4">
      <c r="B1481" s="77"/>
      <c r="E1481" s="131"/>
      <c r="F1481" s="132"/>
      <c r="K1481" s="92"/>
      <c r="L1481"/>
    </row>
    <row r="1482" spans="2:12" ht="14.4">
      <c r="B1482" s="77"/>
      <c r="E1482" s="131"/>
      <c r="F1482" s="132"/>
      <c r="K1482" s="92"/>
      <c r="L1482"/>
    </row>
    <row r="1483" spans="2:12" ht="14.4">
      <c r="B1483" s="77"/>
      <c r="E1483" s="131"/>
      <c r="F1483" s="132"/>
      <c r="K1483" s="92"/>
      <c r="L1483"/>
    </row>
    <row r="1484" spans="2:12" ht="14.4">
      <c r="B1484" s="77"/>
      <c r="E1484" s="131"/>
      <c r="F1484" s="132"/>
      <c r="K1484" s="92"/>
      <c r="L1484"/>
    </row>
    <row r="1485" spans="2:12" ht="14.4">
      <c r="B1485" s="77"/>
      <c r="E1485" s="131"/>
      <c r="F1485" s="132"/>
      <c r="K1485" s="92"/>
      <c r="L1485"/>
    </row>
    <row r="1486" spans="2:12" ht="14.4">
      <c r="B1486" s="77"/>
      <c r="E1486" s="131"/>
      <c r="F1486" s="132"/>
      <c r="K1486" s="92"/>
      <c r="L1486"/>
    </row>
    <row r="1487" spans="2:12" ht="14.4">
      <c r="B1487" s="77"/>
      <c r="E1487" s="131"/>
      <c r="F1487" s="132"/>
      <c r="K1487" s="92"/>
      <c r="L1487"/>
    </row>
    <row r="1488" spans="2:12" ht="14.4">
      <c r="B1488" s="77"/>
      <c r="E1488" s="131"/>
      <c r="F1488" s="132"/>
      <c r="K1488" s="92"/>
      <c r="L1488"/>
    </row>
    <row r="1489" spans="2:12" ht="14.4">
      <c r="B1489" s="77"/>
      <c r="E1489" s="131"/>
      <c r="F1489" s="132"/>
      <c r="K1489" s="92"/>
      <c r="L1489"/>
    </row>
    <row r="1490" spans="2:12" ht="14.4">
      <c r="B1490" s="77"/>
      <c r="E1490" s="131"/>
      <c r="F1490" s="132"/>
      <c r="K1490" s="92"/>
      <c r="L1490"/>
    </row>
    <row r="1491" spans="2:12" ht="14.4">
      <c r="B1491" s="77"/>
      <c r="E1491" s="131"/>
      <c r="F1491" s="132"/>
      <c r="K1491" s="92"/>
      <c r="L1491"/>
    </row>
    <row r="1492" spans="2:12" ht="14.4">
      <c r="B1492" s="77"/>
      <c r="E1492" s="131"/>
      <c r="F1492" s="132"/>
      <c r="K1492" s="92"/>
      <c r="L1492"/>
    </row>
    <row r="1493" spans="2:12" ht="14.4">
      <c r="B1493" s="77"/>
      <c r="E1493" s="131"/>
      <c r="F1493" s="132"/>
      <c r="K1493" s="92"/>
      <c r="L1493"/>
    </row>
    <row r="1494" spans="2:12" ht="14.4">
      <c r="B1494" s="77"/>
      <c r="E1494" s="131"/>
      <c r="F1494" s="132"/>
      <c r="K1494" s="92"/>
      <c r="L1494"/>
    </row>
    <row r="1495" spans="2:12" ht="14.4">
      <c r="B1495" s="77"/>
      <c r="E1495" s="131"/>
      <c r="F1495" s="132"/>
      <c r="K1495" s="92"/>
      <c r="L1495"/>
    </row>
    <row r="1496" spans="2:12" ht="14.4">
      <c r="B1496" s="77"/>
      <c r="E1496" s="131"/>
      <c r="F1496" s="132"/>
      <c r="K1496" s="92"/>
      <c r="L1496"/>
    </row>
    <row r="1497" spans="2:12" ht="14.4">
      <c r="B1497" s="77"/>
      <c r="E1497" s="131"/>
      <c r="F1497" s="132"/>
      <c r="K1497" s="92"/>
      <c r="L1497"/>
    </row>
    <row r="1498" spans="2:12" ht="14.4">
      <c r="B1498" s="77"/>
      <c r="E1498" s="131"/>
      <c r="F1498" s="132"/>
      <c r="K1498" s="92"/>
      <c r="L1498"/>
    </row>
    <row r="1499" spans="2:12" ht="14.4">
      <c r="B1499" s="77"/>
      <c r="E1499" s="131"/>
      <c r="F1499" s="132"/>
      <c r="K1499" s="92"/>
      <c r="L1499"/>
    </row>
    <row r="1500" spans="2:12" ht="14.4">
      <c r="B1500" s="77"/>
      <c r="E1500" s="131"/>
      <c r="F1500" s="132"/>
      <c r="K1500" s="92"/>
      <c r="L1500"/>
    </row>
    <row r="1501" spans="2:12" ht="14.4">
      <c r="B1501" s="77"/>
      <c r="E1501" s="131"/>
      <c r="F1501" s="132"/>
      <c r="K1501" s="92"/>
      <c r="L1501"/>
    </row>
    <row r="1502" spans="2:12" ht="14.4">
      <c r="B1502" s="77"/>
      <c r="E1502" s="131"/>
      <c r="F1502" s="132"/>
      <c r="K1502" s="92"/>
      <c r="L1502"/>
    </row>
    <row r="1503" spans="2:12" ht="14.4">
      <c r="B1503" s="77"/>
      <c r="E1503" s="131"/>
      <c r="F1503" s="132"/>
      <c r="K1503" s="92"/>
      <c r="L1503"/>
    </row>
    <row r="1504" spans="2:12" ht="14.4">
      <c r="B1504" s="77"/>
      <c r="E1504" s="131"/>
      <c r="F1504" s="132"/>
      <c r="K1504" s="92"/>
      <c r="L1504"/>
    </row>
    <row r="1505" spans="2:12" ht="14.4">
      <c r="B1505" s="77"/>
      <c r="E1505" s="131"/>
      <c r="F1505" s="132"/>
      <c r="K1505" s="92"/>
      <c r="L1505"/>
    </row>
    <row r="1506" spans="2:12" ht="14.4">
      <c r="B1506" s="77"/>
      <c r="E1506" s="131"/>
      <c r="F1506" s="132"/>
      <c r="K1506" s="92"/>
      <c r="L1506"/>
    </row>
    <row r="1507" spans="2:12" ht="14.4">
      <c r="B1507" s="77"/>
      <c r="E1507" s="131"/>
      <c r="F1507" s="132"/>
      <c r="K1507" s="92"/>
      <c r="L1507"/>
    </row>
    <row r="1508" spans="2:12" ht="14.4">
      <c r="B1508" s="77"/>
      <c r="E1508" s="131"/>
      <c r="F1508" s="132"/>
      <c r="K1508" s="92"/>
      <c r="L1508"/>
    </row>
    <row r="1509" spans="2:12" ht="14.4">
      <c r="B1509" s="77"/>
      <c r="E1509" s="131"/>
      <c r="F1509" s="132"/>
      <c r="K1509" s="92"/>
      <c r="L1509"/>
    </row>
    <row r="1510" spans="2:12" ht="14.4">
      <c r="B1510" s="77"/>
      <c r="E1510" s="131"/>
      <c r="F1510" s="132"/>
      <c r="K1510" s="92"/>
      <c r="L1510"/>
    </row>
    <row r="1511" spans="2:12" ht="14.4">
      <c r="B1511" s="77"/>
      <c r="E1511" s="131"/>
      <c r="F1511" s="132"/>
      <c r="K1511" s="92"/>
      <c r="L1511"/>
    </row>
    <row r="1512" spans="2:12" ht="14.4">
      <c r="B1512" s="77"/>
      <c r="E1512" s="131"/>
      <c r="F1512" s="132"/>
      <c r="K1512" s="92"/>
      <c r="L1512"/>
    </row>
    <row r="1513" spans="2:12" ht="14.4">
      <c r="B1513" s="77"/>
      <c r="E1513" s="131"/>
      <c r="F1513" s="132"/>
      <c r="K1513" s="92"/>
      <c r="L1513"/>
    </row>
    <row r="1514" spans="2:12" ht="14.4">
      <c r="B1514" s="77"/>
      <c r="E1514" s="131"/>
      <c r="F1514" s="132"/>
      <c r="K1514" s="92"/>
      <c r="L1514"/>
    </row>
    <row r="1515" spans="2:12" ht="14.4">
      <c r="B1515" s="77"/>
      <c r="E1515" s="131"/>
      <c r="F1515" s="132"/>
      <c r="K1515" s="92"/>
      <c r="L1515"/>
    </row>
    <row r="1516" spans="2:12" ht="14.4">
      <c r="B1516" s="77"/>
      <c r="E1516" s="131"/>
      <c r="F1516" s="132"/>
      <c r="K1516" s="92"/>
      <c r="L1516"/>
    </row>
    <row r="1517" spans="2:12" ht="14.4">
      <c r="B1517" s="77"/>
      <c r="E1517" s="131"/>
      <c r="F1517" s="132"/>
      <c r="K1517" s="92"/>
      <c r="L1517"/>
    </row>
    <row r="1518" spans="2:12" ht="14.4">
      <c r="B1518" s="77"/>
      <c r="E1518" s="131"/>
      <c r="F1518" s="132"/>
      <c r="K1518" s="92"/>
      <c r="L1518"/>
    </row>
    <row r="1519" spans="2:12" ht="14.4">
      <c r="B1519" s="77"/>
      <c r="E1519" s="131"/>
      <c r="F1519" s="132"/>
      <c r="K1519" s="92"/>
      <c r="L1519"/>
    </row>
    <row r="1520" spans="2:12" ht="14.4">
      <c r="B1520" s="77"/>
      <c r="E1520" s="131"/>
      <c r="F1520" s="132"/>
      <c r="K1520" s="92"/>
      <c r="L1520"/>
    </row>
    <row r="1521" spans="2:12" ht="14.4">
      <c r="B1521" s="77"/>
      <c r="E1521" s="131"/>
      <c r="F1521" s="132"/>
      <c r="K1521" s="92"/>
      <c r="L1521"/>
    </row>
    <row r="1522" spans="2:12" ht="14.4">
      <c r="B1522" s="77"/>
      <c r="E1522" s="131"/>
      <c r="F1522" s="132"/>
      <c r="K1522" s="92"/>
      <c r="L1522"/>
    </row>
    <row r="1523" spans="2:12" ht="14.4">
      <c r="B1523" s="77"/>
      <c r="E1523" s="131"/>
      <c r="F1523" s="132"/>
      <c r="K1523" s="92"/>
      <c r="L1523"/>
    </row>
    <row r="1524" spans="2:12" ht="14.4">
      <c r="B1524" s="77"/>
      <c r="E1524" s="131"/>
      <c r="F1524" s="132"/>
      <c r="K1524" s="92"/>
      <c r="L1524"/>
    </row>
    <row r="1525" spans="2:12" ht="14.4">
      <c r="B1525" s="77"/>
      <c r="E1525" s="131"/>
      <c r="F1525" s="132"/>
      <c r="K1525" s="92"/>
      <c r="L1525"/>
    </row>
    <row r="1526" spans="2:12" ht="14.4">
      <c r="B1526" s="77"/>
      <c r="E1526" s="131"/>
      <c r="F1526" s="132"/>
      <c r="K1526" s="92"/>
      <c r="L1526"/>
    </row>
    <row r="1527" spans="2:12" ht="14.4">
      <c r="B1527" s="77"/>
      <c r="E1527" s="131"/>
      <c r="F1527" s="132"/>
      <c r="K1527" s="92"/>
      <c r="L1527"/>
    </row>
    <row r="1528" spans="2:12" ht="14.4">
      <c r="B1528" s="77"/>
      <c r="E1528" s="131"/>
      <c r="F1528" s="132"/>
      <c r="K1528" s="92"/>
      <c r="L1528"/>
    </row>
    <row r="1529" spans="2:12" ht="14.4">
      <c r="B1529" s="77"/>
      <c r="E1529" s="131"/>
      <c r="F1529" s="132"/>
      <c r="K1529" s="92"/>
      <c r="L1529"/>
    </row>
    <row r="1530" spans="2:12" ht="14.4">
      <c r="B1530" s="77"/>
      <c r="E1530" s="131"/>
      <c r="F1530" s="132"/>
      <c r="K1530" s="92"/>
      <c r="L1530"/>
    </row>
    <row r="1531" spans="2:12" ht="14.4">
      <c r="B1531" s="77"/>
      <c r="E1531" s="131"/>
      <c r="F1531" s="132"/>
      <c r="K1531" s="92"/>
      <c r="L1531"/>
    </row>
    <row r="1532" spans="2:12" ht="14.4">
      <c r="B1532" s="77"/>
      <c r="E1532" s="131"/>
      <c r="F1532" s="132"/>
      <c r="K1532" s="92"/>
      <c r="L1532"/>
    </row>
    <row r="1533" spans="2:12" ht="14.4">
      <c r="B1533" s="77"/>
      <c r="E1533" s="131"/>
      <c r="F1533" s="132"/>
      <c r="K1533" s="92"/>
      <c r="L1533"/>
    </row>
    <row r="1534" spans="2:12" ht="14.4">
      <c r="B1534" s="77"/>
      <c r="E1534" s="131"/>
      <c r="F1534" s="132"/>
      <c r="K1534" s="92"/>
      <c r="L1534"/>
    </row>
    <row r="1535" spans="2:12" ht="14.4">
      <c r="B1535" s="77"/>
      <c r="E1535" s="131"/>
      <c r="F1535" s="132"/>
      <c r="K1535" s="92"/>
      <c r="L1535"/>
    </row>
    <row r="1536" spans="2:12" ht="14.4">
      <c r="B1536" s="77"/>
      <c r="E1536" s="131"/>
      <c r="F1536" s="132"/>
      <c r="K1536" s="92"/>
      <c r="L1536"/>
    </row>
    <row r="1537" spans="2:12" ht="14.4">
      <c r="B1537" s="77"/>
      <c r="E1537" s="131"/>
      <c r="F1537" s="132"/>
      <c r="K1537" s="92"/>
      <c r="L1537"/>
    </row>
    <row r="1538" spans="2:12" ht="14.4">
      <c r="B1538" s="77"/>
      <c r="E1538" s="131"/>
      <c r="F1538" s="132"/>
      <c r="K1538" s="92"/>
      <c r="L1538"/>
    </row>
    <row r="1539" spans="2:12" ht="14.4">
      <c r="B1539" s="77"/>
      <c r="E1539" s="131"/>
      <c r="F1539" s="132"/>
      <c r="K1539" s="92"/>
      <c r="L1539"/>
    </row>
    <row r="1540" spans="2:12" ht="14.4">
      <c r="B1540" s="77"/>
      <c r="E1540" s="131"/>
      <c r="F1540" s="132"/>
      <c r="K1540" s="92"/>
      <c r="L1540"/>
    </row>
    <row r="1541" spans="2:12" ht="14.4">
      <c r="B1541" s="77"/>
      <c r="E1541" s="131"/>
      <c r="F1541" s="132"/>
      <c r="K1541" s="92"/>
      <c r="L1541"/>
    </row>
    <row r="1542" spans="2:12" ht="14.4">
      <c r="B1542" s="77"/>
      <c r="E1542" s="131"/>
      <c r="F1542" s="132"/>
      <c r="K1542" s="92"/>
      <c r="L1542"/>
    </row>
    <row r="1543" spans="2:12" ht="14.4">
      <c r="B1543" s="77"/>
      <c r="E1543" s="131"/>
      <c r="F1543" s="132"/>
      <c r="K1543" s="92"/>
      <c r="L1543"/>
    </row>
    <row r="1544" spans="2:12" ht="14.4">
      <c r="B1544" s="77"/>
      <c r="E1544" s="131"/>
      <c r="F1544" s="132"/>
      <c r="K1544" s="92"/>
      <c r="L1544"/>
    </row>
    <row r="1545" spans="2:12" ht="14.4">
      <c r="B1545" s="77"/>
      <c r="E1545" s="131"/>
      <c r="F1545" s="132"/>
      <c r="K1545" s="92"/>
      <c r="L1545"/>
    </row>
    <row r="1546" spans="2:12" ht="14.4">
      <c r="B1546" s="77"/>
      <c r="E1546" s="131"/>
      <c r="F1546" s="132"/>
      <c r="K1546" s="92"/>
      <c r="L1546"/>
    </row>
    <row r="1547" spans="2:12" ht="14.4">
      <c r="B1547" s="77"/>
      <c r="E1547" s="131"/>
      <c r="F1547" s="132"/>
      <c r="K1547" s="92"/>
      <c r="L1547"/>
    </row>
    <row r="1548" spans="2:12" ht="14.4">
      <c r="B1548" s="77"/>
      <c r="E1548" s="131"/>
      <c r="F1548" s="132"/>
      <c r="K1548" s="92"/>
      <c r="L1548"/>
    </row>
    <row r="1549" spans="2:12" ht="14.4">
      <c r="B1549" s="77"/>
      <c r="E1549" s="131"/>
      <c r="F1549" s="132"/>
      <c r="K1549" s="92"/>
      <c r="L1549"/>
    </row>
    <row r="1550" spans="2:12" ht="14.4">
      <c r="B1550" s="77"/>
      <c r="E1550" s="131"/>
      <c r="F1550" s="132"/>
      <c r="K1550" s="92"/>
      <c r="L1550"/>
    </row>
    <row r="1551" spans="2:12" ht="14.4">
      <c r="B1551" s="77"/>
      <c r="E1551" s="131"/>
      <c r="F1551" s="132"/>
      <c r="K1551" s="92"/>
      <c r="L1551"/>
    </row>
    <row r="1552" spans="2:12" ht="14.4">
      <c r="B1552" s="77"/>
      <c r="E1552" s="131"/>
      <c r="F1552" s="132"/>
      <c r="K1552" s="92"/>
      <c r="L1552"/>
    </row>
    <row r="1553" spans="2:12" ht="14.4">
      <c r="B1553" s="77"/>
      <c r="E1553" s="131"/>
      <c r="F1553" s="132"/>
      <c r="K1553" s="92"/>
      <c r="L1553"/>
    </row>
    <row r="1554" spans="2:12" ht="14.4">
      <c r="B1554" s="77"/>
      <c r="E1554" s="131"/>
      <c r="F1554" s="132"/>
      <c r="K1554" s="92"/>
      <c r="L1554"/>
    </row>
    <row r="1555" spans="2:12" ht="14.4">
      <c r="B1555" s="77"/>
      <c r="E1555" s="131"/>
      <c r="F1555" s="132"/>
      <c r="K1555" s="92"/>
      <c r="L1555"/>
    </row>
    <row r="1556" spans="2:12" ht="14.4">
      <c r="B1556" s="77"/>
      <c r="E1556" s="131"/>
      <c r="F1556" s="132"/>
      <c r="K1556" s="92"/>
      <c r="L1556"/>
    </row>
    <row r="1557" spans="2:12" ht="14.4">
      <c r="B1557" s="77"/>
      <c r="E1557" s="131"/>
      <c r="F1557" s="132"/>
      <c r="K1557" s="92"/>
      <c r="L1557"/>
    </row>
    <row r="1558" spans="2:12" ht="14.4">
      <c r="B1558" s="77"/>
      <c r="E1558" s="131"/>
      <c r="F1558" s="132"/>
      <c r="K1558" s="92"/>
      <c r="L1558"/>
    </row>
    <row r="1559" spans="2:12" ht="14.4">
      <c r="B1559" s="77"/>
      <c r="E1559" s="131"/>
      <c r="F1559" s="132"/>
      <c r="K1559" s="92"/>
      <c r="L1559"/>
    </row>
    <row r="1560" spans="2:12" ht="14.4">
      <c r="B1560" s="77"/>
      <c r="E1560" s="131"/>
      <c r="F1560" s="132"/>
      <c r="K1560" s="92"/>
      <c r="L1560"/>
    </row>
    <row r="1561" spans="2:12" ht="14.4">
      <c r="B1561" s="77"/>
      <c r="E1561" s="131"/>
      <c r="F1561" s="132"/>
      <c r="K1561" s="92"/>
      <c r="L1561"/>
    </row>
    <row r="1562" spans="2:12" ht="14.4">
      <c r="B1562" s="77"/>
      <c r="E1562" s="131"/>
      <c r="F1562" s="132"/>
      <c r="K1562" s="92"/>
      <c r="L1562"/>
    </row>
    <row r="1563" spans="2:12" ht="14.4">
      <c r="B1563" s="77"/>
      <c r="E1563" s="131"/>
      <c r="F1563" s="132"/>
      <c r="K1563" s="92"/>
      <c r="L1563"/>
    </row>
    <row r="1564" spans="2:12" ht="14.4">
      <c r="B1564" s="77"/>
      <c r="E1564" s="131"/>
      <c r="F1564" s="132"/>
      <c r="K1564" s="92"/>
      <c r="L1564"/>
    </row>
    <row r="1565" spans="2:12" ht="14.4">
      <c r="B1565" s="77"/>
      <c r="E1565" s="131"/>
      <c r="F1565" s="132"/>
      <c r="K1565" s="92"/>
      <c r="L1565"/>
    </row>
    <row r="1566" spans="2:12" ht="14.4">
      <c r="B1566" s="77"/>
      <c r="E1566" s="131"/>
      <c r="F1566" s="132"/>
      <c r="K1566" s="92"/>
      <c r="L1566"/>
    </row>
    <row r="1567" spans="2:12" ht="14.4">
      <c r="B1567" s="77"/>
      <c r="E1567" s="131"/>
      <c r="F1567" s="132"/>
      <c r="K1567" s="92"/>
      <c r="L1567"/>
    </row>
    <row r="1568" spans="2:12" ht="14.4">
      <c r="B1568" s="77"/>
      <c r="E1568" s="131"/>
      <c r="F1568" s="132"/>
      <c r="K1568" s="92"/>
      <c r="L1568"/>
    </row>
    <row r="1569" spans="2:12" ht="14.4">
      <c r="B1569" s="77"/>
      <c r="E1569" s="131"/>
      <c r="F1569" s="132"/>
      <c r="K1569" s="92"/>
      <c r="L1569"/>
    </row>
    <row r="1570" spans="2:12" ht="14.4">
      <c r="B1570" s="77"/>
      <c r="E1570" s="131"/>
      <c r="F1570" s="132"/>
      <c r="K1570" s="92"/>
      <c r="L1570"/>
    </row>
    <row r="1571" spans="2:12" ht="14.4">
      <c r="B1571" s="77"/>
      <c r="E1571" s="131"/>
      <c r="F1571" s="132"/>
      <c r="K1571" s="92"/>
      <c r="L1571"/>
    </row>
    <row r="1572" spans="2:12" ht="14.4">
      <c r="B1572" s="77"/>
      <c r="E1572" s="131"/>
      <c r="F1572" s="132"/>
      <c r="K1572" s="92"/>
      <c r="L1572"/>
    </row>
    <row r="1573" spans="2:12" ht="14.4">
      <c r="B1573" s="77"/>
      <c r="E1573" s="131"/>
      <c r="F1573" s="132"/>
      <c r="K1573" s="92"/>
      <c r="L1573"/>
    </row>
    <row r="1574" spans="2:12" ht="14.4">
      <c r="B1574" s="77"/>
      <c r="E1574" s="131"/>
      <c r="F1574" s="132"/>
      <c r="K1574" s="92"/>
      <c r="L1574"/>
    </row>
    <row r="1575" spans="2:12" ht="14.4">
      <c r="B1575" s="77"/>
      <c r="E1575" s="131"/>
      <c r="F1575" s="132"/>
      <c r="K1575" s="92"/>
      <c r="L1575"/>
    </row>
    <row r="1576" spans="2:12" ht="14.4">
      <c r="B1576" s="77"/>
      <c r="E1576" s="131"/>
      <c r="F1576" s="132"/>
      <c r="K1576" s="92"/>
      <c r="L1576"/>
    </row>
    <row r="1577" spans="2:12" ht="14.4">
      <c r="B1577" s="77"/>
      <c r="E1577" s="131"/>
      <c r="F1577" s="132"/>
      <c r="K1577" s="92"/>
      <c r="L1577"/>
    </row>
    <row r="1578" spans="2:12" ht="14.4">
      <c r="B1578" s="77"/>
      <c r="E1578" s="131"/>
      <c r="F1578" s="132"/>
      <c r="K1578" s="92"/>
      <c r="L1578"/>
    </row>
    <row r="1579" spans="2:12" ht="14.4">
      <c r="B1579" s="77"/>
      <c r="E1579" s="131"/>
      <c r="F1579" s="132"/>
      <c r="K1579" s="92"/>
      <c r="L1579"/>
    </row>
    <row r="1580" spans="2:12" ht="14.4">
      <c r="B1580" s="77"/>
      <c r="E1580" s="131"/>
      <c r="F1580" s="132"/>
      <c r="K1580" s="92"/>
      <c r="L1580"/>
    </row>
    <row r="1581" spans="2:12" ht="14.4">
      <c r="B1581" s="77"/>
      <c r="E1581" s="131"/>
      <c r="F1581" s="132"/>
      <c r="K1581" s="92"/>
      <c r="L1581"/>
    </row>
    <row r="1582" spans="2:12" ht="14.4">
      <c r="B1582" s="77"/>
      <c r="E1582" s="131"/>
      <c r="F1582" s="132"/>
      <c r="K1582" s="92"/>
      <c r="L1582"/>
    </row>
    <row r="1583" spans="2:12" ht="14.4">
      <c r="B1583" s="77"/>
      <c r="E1583" s="131"/>
      <c r="F1583" s="132"/>
      <c r="K1583" s="92"/>
      <c r="L1583"/>
    </row>
    <row r="1584" spans="2:12" ht="14.4">
      <c r="B1584" s="77"/>
      <c r="E1584" s="131"/>
      <c r="F1584" s="132"/>
      <c r="K1584" s="92"/>
      <c r="L1584"/>
    </row>
    <row r="1585" spans="2:12" ht="14.4">
      <c r="B1585" s="77"/>
      <c r="E1585" s="131"/>
      <c r="F1585" s="132"/>
      <c r="K1585" s="92"/>
      <c r="L1585"/>
    </row>
    <row r="1586" spans="2:12" ht="14.4">
      <c r="B1586" s="77"/>
      <c r="E1586" s="131"/>
      <c r="F1586" s="132"/>
      <c r="K1586" s="92"/>
      <c r="L1586"/>
    </row>
    <row r="1587" spans="2:12" ht="14.4">
      <c r="B1587" s="77"/>
      <c r="E1587" s="131"/>
      <c r="F1587" s="132"/>
      <c r="K1587" s="92"/>
      <c r="L1587"/>
    </row>
    <row r="1588" spans="2:12" ht="14.4">
      <c r="B1588" s="77"/>
      <c r="E1588" s="131"/>
      <c r="F1588" s="132"/>
      <c r="K1588" s="92"/>
      <c r="L1588"/>
    </row>
    <row r="1589" spans="2:12" ht="14.4">
      <c r="B1589" s="77"/>
      <c r="E1589" s="131"/>
      <c r="F1589" s="132"/>
      <c r="K1589" s="92"/>
      <c r="L1589"/>
    </row>
    <row r="1590" spans="2:12" ht="14.4">
      <c r="B1590" s="77"/>
      <c r="E1590" s="131"/>
      <c r="F1590" s="132"/>
      <c r="K1590" s="92"/>
      <c r="L1590"/>
    </row>
    <row r="1591" spans="2:12" ht="14.4">
      <c r="B1591" s="77"/>
      <c r="E1591" s="131"/>
      <c r="F1591" s="132"/>
      <c r="K1591" s="92"/>
      <c r="L1591"/>
    </row>
    <row r="1592" spans="2:12" ht="14.4">
      <c r="B1592" s="77"/>
      <c r="E1592" s="131"/>
      <c r="F1592" s="132"/>
      <c r="K1592" s="92"/>
      <c r="L1592"/>
    </row>
    <row r="1593" spans="2:12" ht="14.4">
      <c r="B1593" s="77"/>
      <c r="E1593" s="131"/>
      <c r="F1593" s="132"/>
      <c r="K1593" s="92"/>
      <c r="L1593"/>
    </row>
    <row r="1594" spans="2:12" ht="14.4">
      <c r="B1594" s="77"/>
      <c r="E1594" s="131"/>
      <c r="F1594" s="132"/>
      <c r="K1594" s="92"/>
      <c r="L1594"/>
    </row>
    <row r="1595" spans="2:12" ht="14.4">
      <c r="B1595" s="77"/>
      <c r="E1595" s="131"/>
      <c r="F1595" s="132"/>
      <c r="K1595" s="92"/>
      <c r="L1595"/>
    </row>
    <row r="1596" spans="2:12" ht="14.4">
      <c r="B1596" s="77"/>
      <c r="E1596" s="131"/>
      <c r="F1596" s="132"/>
      <c r="K1596" s="92"/>
      <c r="L1596"/>
    </row>
    <row r="1597" spans="2:12" ht="14.4">
      <c r="B1597" s="77"/>
      <c r="E1597" s="131"/>
      <c r="F1597" s="132"/>
      <c r="K1597" s="92"/>
      <c r="L1597"/>
    </row>
    <row r="1598" spans="2:12" ht="14.4">
      <c r="B1598" s="77"/>
      <c r="E1598" s="131"/>
      <c r="F1598" s="138"/>
      <c r="K1598" s="92"/>
      <c r="L1598"/>
    </row>
    <row r="1599" spans="2:12" ht="14.4">
      <c r="B1599" s="77"/>
      <c r="E1599" s="131"/>
      <c r="F1599" s="138"/>
      <c r="K1599" s="92"/>
      <c r="L1599"/>
    </row>
    <row r="1600" spans="2:12" ht="14.4">
      <c r="B1600" s="77"/>
      <c r="E1600" s="131"/>
      <c r="F1600" s="138"/>
      <c r="K1600" s="92"/>
      <c r="L1600"/>
    </row>
    <row r="1601" spans="2:12" ht="14.4">
      <c r="B1601" s="77"/>
      <c r="E1601" s="131"/>
      <c r="F1601" s="138"/>
      <c r="K1601" s="92"/>
      <c r="L1601"/>
    </row>
    <row r="1602" spans="2:12" ht="14.4">
      <c r="B1602" s="77"/>
      <c r="E1602" s="131"/>
      <c r="F1602" s="138"/>
      <c r="K1602" s="92"/>
      <c r="L1602"/>
    </row>
    <row r="1603" spans="2:12" ht="14.4">
      <c r="B1603" s="77"/>
      <c r="E1603" s="131"/>
      <c r="F1603" s="138"/>
      <c r="K1603" s="92"/>
      <c r="L1603"/>
    </row>
    <row r="1604" spans="2:12" ht="14.4">
      <c r="B1604" s="77"/>
      <c r="E1604" s="131"/>
      <c r="F1604" s="138"/>
      <c r="K1604" s="92"/>
      <c r="L1604"/>
    </row>
    <row r="1605" spans="2:12" ht="14.4">
      <c r="B1605" s="77"/>
      <c r="E1605" s="131"/>
      <c r="F1605" s="138"/>
      <c r="K1605" s="92"/>
      <c r="L1605"/>
    </row>
    <row r="1606" spans="2:12" ht="14.4">
      <c r="B1606" s="77"/>
      <c r="E1606" s="131"/>
      <c r="F1606" s="138"/>
      <c r="K1606" s="92"/>
      <c r="L1606"/>
    </row>
    <row r="1607" spans="2:12" ht="14.4">
      <c r="B1607" s="77"/>
      <c r="E1607" s="131"/>
      <c r="F1607" s="138"/>
      <c r="K1607" s="92"/>
      <c r="L1607"/>
    </row>
    <row r="1608" spans="2:12" ht="14.4">
      <c r="B1608" s="77"/>
      <c r="E1608" s="131"/>
      <c r="F1608" s="138"/>
      <c r="K1608" s="92"/>
      <c r="L1608"/>
    </row>
    <row r="1609" spans="2:12" ht="14.4">
      <c r="B1609" s="77"/>
      <c r="E1609" s="131"/>
      <c r="F1609" s="138"/>
      <c r="K1609" s="92"/>
      <c r="L1609"/>
    </row>
    <row r="1610" spans="2:12" ht="14.4">
      <c r="B1610" s="77"/>
      <c r="E1610" s="131"/>
      <c r="F1610" s="138"/>
      <c r="K1610" s="92"/>
      <c r="L1610"/>
    </row>
    <row r="1611" spans="2:12" ht="14.4">
      <c r="B1611" s="77"/>
      <c r="E1611" s="131"/>
      <c r="F1611" s="138"/>
      <c r="K1611" s="92"/>
      <c r="L1611"/>
    </row>
    <row r="1612" spans="2:12" ht="14.4">
      <c r="B1612" s="77"/>
      <c r="E1612" s="131"/>
      <c r="F1612" s="138"/>
      <c r="K1612" s="92"/>
      <c r="L1612"/>
    </row>
    <row r="1613" spans="2:12" ht="14.4">
      <c r="B1613" s="77"/>
      <c r="E1613" s="131"/>
      <c r="F1613" s="138"/>
      <c r="K1613" s="92"/>
      <c r="L1613"/>
    </row>
    <row r="1614" spans="2:12" ht="14.4">
      <c r="B1614" s="77"/>
      <c r="E1614" s="131"/>
      <c r="F1614" s="138"/>
      <c r="K1614" s="92"/>
      <c r="L1614"/>
    </row>
    <row r="1615" spans="2:12" ht="14.4">
      <c r="B1615" s="77"/>
      <c r="E1615" s="131"/>
      <c r="F1615" s="138"/>
      <c r="K1615" s="92"/>
      <c r="L1615"/>
    </row>
    <row r="1616" spans="2:12" ht="14.4">
      <c r="B1616" s="77"/>
      <c r="E1616" s="131"/>
      <c r="F1616" s="138"/>
      <c r="K1616" s="92"/>
      <c r="L1616"/>
    </row>
    <row r="1617" spans="2:12" ht="14.4">
      <c r="B1617" s="77"/>
      <c r="E1617" s="131"/>
      <c r="F1617" s="138"/>
      <c r="K1617" s="92"/>
      <c r="L1617"/>
    </row>
    <row r="1618" spans="2:12" ht="14.4">
      <c r="B1618" s="77"/>
      <c r="E1618" s="131"/>
      <c r="F1618" s="138"/>
      <c r="K1618" s="92"/>
      <c r="L1618"/>
    </row>
    <row r="1619" spans="2:12" ht="14.4">
      <c r="B1619" s="77"/>
      <c r="E1619" s="131"/>
      <c r="F1619" s="138"/>
      <c r="K1619" s="92"/>
      <c r="L1619"/>
    </row>
    <row r="1620" spans="2:12" ht="14.4">
      <c r="B1620" s="77"/>
      <c r="E1620" s="131"/>
      <c r="F1620" s="138"/>
      <c r="K1620" s="92"/>
      <c r="L1620"/>
    </row>
    <row r="1621" spans="2:12" ht="14.4">
      <c r="B1621" s="77"/>
      <c r="E1621" s="131"/>
      <c r="F1621" s="138"/>
      <c r="K1621" s="92"/>
      <c r="L1621"/>
    </row>
    <row r="1622" spans="2:12" ht="14.4">
      <c r="B1622" s="77"/>
      <c r="E1622" s="131"/>
      <c r="F1622" s="138"/>
      <c r="K1622" s="92"/>
      <c r="L1622"/>
    </row>
    <row r="1623" spans="2:12" ht="14.4">
      <c r="B1623" s="77"/>
      <c r="E1623" s="131"/>
      <c r="F1623" s="138"/>
      <c r="K1623" s="92"/>
      <c r="L1623"/>
    </row>
    <row r="1624" spans="2:12" ht="14.4">
      <c r="B1624" s="77"/>
      <c r="E1624" s="131"/>
      <c r="F1624" s="138"/>
      <c r="K1624" s="92"/>
      <c r="L1624"/>
    </row>
    <row r="1625" spans="2:12" ht="14.4">
      <c r="B1625" s="77"/>
      <c r="E1625" s="131"/>
      <c r="F1625" s="138"/>
      <c r="K1625" s="92"/>
      <c r="L1625"/>
    </row>
    <row r="1626" spans="2:12" ht="14.4">
      <c r="B1626" s="77"/>
      <c r="E1626" s="131"/>
      <c r="F1626" s="138"/>
      <c r="K1626" s="92"/>
      <c r="L1626"/>
    </row>
    <row r="1627" spans="2:12" ht="14.4">
      <c r="B1627" s="77"/>
      <c r="E1627" s="131"/>
      <c r="F1627" s="138"/>
      <c r="K1627" s="92"/>
      <c r="L1627"/>
    </row>
    <row r="1628" spans="2:12" ht="14.4">
      <c r="B1628" s="77"/>
      <c r="E1628" s="131"/>
      <c r="F1628" s="138"/>
      <c r="K1628" s="92"/>
      <c r="L1628"/>
    </row>
    <row r="1629" spans="2:12" ht="14.4">
      <c r="B1629" s="77"/>
      <c r="E1629" s="131"/>
      <c r="F1629" s="138"/>
      <c r="K1629" s="92"/>
      <c r="L1629"/>
    </row>
    <row r="1630" spans="2:12" ht="14.4">
      <c r="B1630" s="77"/>
      <c r="E1630" s="131"/>
      <c r="F1630" s="138"/>
      <c r="K1630" s="92"/>
      <c r="L1630"/>
    </row>
    <row r="1631" spans="2:12" ht="14.4">
      <c r="B1631" s="77"/>
      <c r="E1631" s="131"/>
      <c r="F1631" s="138"/>
      <c r="K1631" s="92"/>
      <c r="L1631"/>
    </row>
    <row r="1632" spans="2:12" ht="14.4">
      <c r="B1632" s="77"/>
      <c r="E1632" s="131"/>
      <c r="F1632" s="138"/>
      <c r="K1632" s="92"/>
      <c r="L1632"/>
    </row>
    <row r="1633" spans="2:12" ht="14.4">
      <c r="B1633" s="77"/>
      <c r="E1633" s="131"/>
      <c r="F1633" s="138"/>
      <c r="K1633" s="92"/>
      <c r="L1633"/>
    </row>
    <row r="1634" spans="2:12" ht="14.4">
      <c r="B1634" s="77"/>
      <c r="E1634" s="131"/>
      <c r="F1634" s="138"/>
      <c r="K1634" s="92"/>
      <c r="L1634"/>
    </row>
    <row r="1635" spans="2:12" ht="14.4">
      <c r="B1635" s="77"/>
      <c r="E1635" s="131"/>
      <c r="F1635" s="138"/>
      <c r="K1635" s="92"/>
      <c r="L1635"/>
    </row>
    <row r="1636" spans="2:12" ht="14.4">
      <c r="B1636" s="77"/>
      <c r="E1636" s="131"/>
      <c r="F1636" s="138"/>
      <c r="K1636" s="92"/>
      <c r="L1636"/>
    </row>
    <row r="1637" spans="2:12" ht="14.4">
      <c r="B1637" s="77"/>
      <c r="E1637" s="131"/>
      <c r="F1637" s="138"/>
      <c r="K1637" s="92"/>
      <c r="L1637"/>
    </row>
    <row r="1638" spans="2:12" ht="14.4">
      <c r="B1638" s="77"/>
      <c r="E1638" s="131"/>
      <c r="F1638" s="138"/>
      <c r="K1638" s="92"/>
      <c r="L1638"/>
    </row>
    <row r="1639" spans="2:12" ht="14.4">
      <c r="B1639" s="77"/>
      <c r="E1639" s="131"/>
      <c r="F1639" s="138"/>
      <c r="K1639" s="92"/>
      <c r="L1639"/>
    </row>
    <row r="1640" spans="2:12" ht="14.4">
      <c r="B1640" s="77"/>
      <c r="E1640" s="131"/>
      <c r="F1640" s="138"/>
      <c r="K1640" s="92"/>
      <c r="L1640"/>
    </row>
    <row r="1641" spans="2:12" ht="14.4">
      <c r="B1641" s="77"/>
      <c r="E1641" s="131"/>
      <c r="F1641" s="138"/>
      <c r="K1641" s="92"/>
      <c r="L1641"/>
    </row>
    <row r="1642" spans="2:12" ht="14.4">
      <c r="B1642" s="77"/>
      <c r="E1642" s="131"/>
      <c r="F1642" s="138"/>
      <c r="K1642" s="92"/>
      <c r="L1642"/>
    </row>
    <row r="1643" spans="2:12" ht="14.4">
      <c r="B1643" s="77"/>
      <c r="E1643" s="131"/>
      <c r="F1643" s="138"/>
      <c r="K1643" s="92"/>
      <c r="L1643"/>
    </row>
    <row r="1644" spans="2:12" ht="14.4">
      <c r="B1644" s="77"/>
      <c r="E1644" s="131"/>
      <c r="F1644" s="138"/>
      <c r="K1644" s="92"/>
      <c r="L1644"/>
    </row>
    <row r="1645" spans="2:12" ht="14.4">
      <c r="B1645" s="77"/>
      <c r="E1645" s="131"/>
      <c r="F1645" s="138"/>
      <c r="K1645" s="92"/>
      <c r="L1645"/>
    </row>
    <row r="1646" spans="2:12" ht="14.4">
      <c r="B1646" s="77"/>
      <c r="E1646" s="131"/>
      <c r="F1646" s="138"/>
      <c r="K1646" s="92"/>
      <c r="L1646"/>
    </row>
    <row r="1647" spans="2:12" ht="14.4">
      <c r="B1647" s="77"/>
      <c r="E1647" s="131"/>
      <c r="F1647" s="138"/>
      <c r="K1647" s="92"/>
      <c r="L1647"/>
    </row>
    <row r="1648" spans="2:12" ht="14.4">
      <c r="B1648" s="77"/>
      <c r="E1648" s="131"/>
      <c r="F1648" s="138"/>
      <c r="K1648" s="92"/>
      <c r="L1648"/>
    </row>
    <row r="1649" spans="2:12" ht="14.4">
      <c r="B1649" s="77"/>
      <c r="E1649" s="131"/>
      <c r="F1649" s="138"/>
      <c r="K1649" s="92"/>
      <c r="L1649"/>
    </row>
    <row r="1650" spans="2:12" ht="14.4">
      <c r="B1650" s="77"/>
      <c r="E1650" s="131"/>
      <c r="F1650" s="138"/>
      <c r="K1650" s="92"/>
      <c r="L1650"/>
    </row>
    <row r="1651" spans="2:12" ht="14.4">
      <c r="B1651" s="77"/>
      <c r="E1651" s="131"/>
      <c r="F1651" s="138"/>
      <c r="K1651" s="92"/>
      <c r="L1651"/>
    </row>
    <row r="1652" spans="2:12" ht="14.4">
      <c r="B1652" s="77"/>
      <c r="E1652" s="131"/>
      <c r="F1652" s="138"/>
      <c r="K1652" s="92"/>
      <c r="L1652"/>
    </row>
    <row r="1653" spans="2:12" ht="14.4">
      <c r="B1653" s="77"/>
      <c r="E1653" s="131"/>
      <c r="F1653" s="138"/>
      <c r="K1653" s="92"/>
      <c r="L1653"/>
    </row>
    <row r="1654" spans="2:12" ht="14.4">
      <c r="B1654" s="77"/>
      <c r="E1654" s="131"/>
      <c r="F1654" s="138"/>
      <c r="K1654" s="92"/>
      <c r="L1654"/>
    </row>
    <row r="1655" spans="2:12" ht="14.4">
      <c r="B1655" s="77"/>
      <c r="E1655" s="131"/>
      <c r="F1655" s="138"/>
      <c r="K1655" s="92"/>
      <c r="L1655"/>
    </row>
    <row r="1656" spans="2:12" ht="14.4">
      <c r="B1656" s="77"/>
      <c r="E1656" s="131"/>
      <c r="F1656" s="138"/>
      <c r="K1656" s="92"/>
      <c r="L1656"/>
    </row>
    <row r="1657" spans="2:12" ht="14.4">
      <c r="B1657" s="77"/>
      <c r="E1657" s="131"/>
      <c r="F1657" s="138"/>
      <c r="K1657" s="92"/>
      <c r="L1657"/>
    </row>
    <row r="1658" spans="2:12" ht="14.4">
      <c r="B1658" s="77"/>
      <c r="E1658" s="131"/>
      <c r="F1658" s="138"/>
      <c r="K1658" s="92"/>
      <c r="L1658"/>
    </row>
    <row r="1659" spans="2:12" ht="14.4">
      <c r="B1659" s="77"/>
      <c r="E1659" s="131"/>
      <c r="F1659" s="138"/>
      <c r="K1659" s="92"/>
      <c r="L1659"/>
    </row>
    <row r="1660" spans="2:12" ht="14.4">
      <c r="B1660" s="77"/>
      <c r="E1660" s="131"/>
      <c r="F1660" s="138"/>
      <c r="K1660" s="92"/>
      <c r="L1660"/>
    </row>
    <row r="1661" spans="2:12" ht="14.4">
      <c r="B1661" s="77"/>
      <c r="E1661" s="131"/>
      <c r="F1661" s="138"/>
      <c r="K1661" s="92"/>
      <c r="L1661"/>
    </row>
    <row r="1662" spans="2:12" ht="14.4">
      <c r="B1662" s="77"/>
      <c r="E1662" s="131"/>
      <c r="F1662" s="138"/>
      <c r="K1662" s="92"/>
      <c r="L1662"/>
    </row>
    <row r="1663" spans="2:12" ht="14.4">
      <c r="B1663" s="77"/>
      <c r="E1663" s="131"/>
      <c r="F1663" s="138"/>
      <c r="K1663" s="92"/>
      <c r="L1663"/>
    </row>
    <row r="1664" spans="2:12" ht="14.4">
      <c r="B1664" s="77"/>
      <c r="E1664" s="131"/>
      <c r="F1664" s="138"/>
      <c r="K1664" s="92"/>
      <c r="L1664"/>
    </row>
    <row r="1665" spans="2:12" ht="14.4">
      <c r="B1665" s="77"/>
      <c r="E1665" s="131"/>
      <c r="F1665" s="138"/>
      <c r="K1665" s="92"/>
      <c r="L1665"/>
    </row>
    <row r="1666" spans="2:12" ht="14.4">
      <c r="B1666" s="77"/>
      <c r="E1666" s="131"/>
      <c r="F1666" s="138"/>
      <c r="K1666" s="92"/>
      <c r="L1666"/>
    </row>
    <row r="1667" spans="2:12" ht="14.4">
      <c r="B1667" s="77"/>
      <c r="E1667" s="131"/>
      <c r="F1667" s="138"/>
      <c r="K1667" s="92"/>
      <c r="L1667"/>
    </row>
    <row r="1668" spans="2:12" ht="14.4">
      <c r="B1668" s="77"/>
      <c r="E1668" s="131"/>
      <c r="F1668" s="138"/>
      <c r="K1668" s="92"/>
      <c r="L1668"/>
    </row>
    <row r="1669" spans="2:12" ht="14.4">
      <c r="B1669" s="77"/>
      <c r="E1669" s="131"/>
      <c r="F1669" s="138"/>
      <c r="K1669" s="92"/>
      <c r="L1669"/>
    </row>
    <row r="1670" spans="2:12" ht="14.4">
      <c r="B1670" s="77"/>
      <c r="E1670" s="131"/>
      <c r="F1670" s="138"/>
      <c r="K1670" s="92"/>
      <c r="L1670"/>
    </row>
    <row r="1671" spans="2:12" ht="14.4">
      <c r="B1671" s="77"/>
      <c r="E1671" s="131"/>
      <c r="F1671" s="138"/>
      <c r="K1671" s="92"/>
      <c r="L1671"/>
    </row>
    <row r="1672" spans="2:12" ht="14.4">
      <c r="B1672" s="77"/>
      <c r="E1672" s="131"/>
      <c r="F1672" s="138"/>
      <c r="K1672" s="92"/>
      <c r="L1672"/>
    </row>
    <row r="1673" spans="2:12" ht="14.4">
      <c r="B1673" s="77"/>
      <c r="E1673" s="131"/>
      <c r="F1673" s="138"/>
      <c r="K1673" s="92"/>
      <c r="L1673"/>
    </row>
    <row r="1674" spans="2:12" ht="14.4">
      <c r="B1674" s="77"/>
      <c r="E1674" s="131"/>
      <c r="F1674" s="138"/>
      <c r="K1674" s="92"/>
      <c r="L1674"/>
    </row>
    <row r="1675" spans="2:12" ht="14.4">
      <c r="B1675" s="77"/>
      <c r="E1675" s="131"/>
      <c r="F1675" s="138"/>
      <c r="K1675" s="92"/>
      <c r="L1675"/>
    </row>
    <row r="1676" spans="2:12" ht="14.4">
      <c r="B1676" s="77"/>
      <c r="E1676" s="131"/>
      <c r="F1676" s="138"/>
      <c r="K1676" s="92"/>
      <c r="L1676"/>
    </row>
    <row r="1677" spans="2:12" ht="14.4">
      <c r="B1677" s="77"/>
      <c r="E1677" s="131"/>
      <c r="F1677" s="138"/>
      <c r="K1677" s="92"/>
      <c r="L1677"/>
    </row>
    <row r="1678" spans="2:12" ht="14.4">
      <c r="B1678" s="77"/>
      <c r="E1678" s="131"/>
      <c r="F1678" s="138"/>
      <c r="K1678" s="92"/>
      <c r="L1678"/>
    </row>
    <row r="1679" spans="2:12" ht="14.4">
      <c r="B1679" s="77"/>
      <c r="E1679" s="131"/>
      <c r="F1679" s="138"/>
      <c r="K1679" s="92"/>
      <c r="L1679"/>
    </row>
    <row r="1680" spans="2:12" ht="14.4">
      <c r="B1680" s="77"/>
      <c r="E1680" s="131"/>
      <c r="F1680" s="138"/>
      <c r="K1680" s="92"/>
      <c r="L1680"/>
    </row>
    <row r="1681" spans="2:12" ht="14.4">
      <c r="B1681" s="77"/>
      <c r="E1681" s="131"/>
      <c r="F1681" s="138"/>
      <c r="K1681" s="92"/>
      <c r="L1681"/>
    </row>
    <row r="1682" spans="2:12" ht="14.4">
      <c r="B1682" s="77"/>
      <c r="E1682" s="131"/>
      <c r="F1682" s="138"/>
      <c r="K1682" s="92"/>
      <c r="L1682"/>
    </row>
    <row r="1683" spans="2:12" ht="14.4">
      <c r="B1683" s="77"/>
      <c r="E1683" s="131"/>
      <c r="F1683" s="138"/>
      <c r="K1683" s="92"/>
      <c r="L1683"/>
    </row>
    <row r="1684" spans="2:12" ht="14.4">
      <c r="B1684" s="77"/>
      <c r="E1684" s="131"/>
      <c r="F1684" s="138"/>
      <c r="K1684" s="92"/>
      <c r="L1684"/>
    </row>
    <row r="1685" spans="2:12" ht="14.4">
      <c r="B1685" s="77"/>
      <c r="E1685" s="131"/>
      <c r="F1685" s="138"/>
      <c r="K1685" s="92"/>
      <c r="L1685"/>
    </row>
    <row r="1686" spans="2:12" ht="14.4">
      <c r="B1686" s="77"/>
      <c r="E1686" s="131"/>
      <c r="F1686" s="138"/>
      <c r="K1686" s="92"/>
      <c r="L1686"/>
    </row>
    <row r="1687" spans="2:12" ht="14.4">
      <c r="B1687" s="77"/>
      <c r="E1687" s="131"/>
      <c r="F1687" s="138"/>
      <c r="K1687" s="92"/>
      <c r="L1687"/>
    </row>
    <row r="1688" spans="2:12" ht="14.4">
      <c r="B1688" s="77"/>
      <c r="E1688" s="131"/>
      <c r="F1688" s="138"/>
      <c r="K1688" s="92"/>
      <c r="L1688"/>
    </row>
    <row r="1689" spans="2:12" ht="14.4">
      <c r="B1689" s="77"/>
      <c r="E1689" s="131"/>
      <c r="F1689" s="138"/>
      <c r="K1689" s="92"/>
      <c r="L1689"/>
    </row>
    <row r="1690" spans="2:12" ht="14.4">
      <c r="B1690" s="77"/>
      <c r="E1690" s="131"/>
      <c r="F1690" s="138"/>
      <c r="K1690" s="92"/>
      <c r="L1690"/>
    </row>
    <row r="1691" spans="2:12" ht="14.4">
      <c r="B1691" s="77"/>
      <c r="E1691" s="131"/>
      <c r="F1691" s="138"/>
      <c r="K1691" s="92"/>
      <c r="L1691"/>
    </row>
    <row r="1692" spans="2:12" ht="14.4">
      <c r="B1692" s="77"/>
      <c r="E1692" s="131"/>
      <c r="F1692" s="138"/>
      <c r="K1692" s="92"/>
      <c r="L1692"/>
    </row>
    <row r="1693" spans="2:12" ht="14.4">
      <c r="B1693" s="77"/>
      <c r="E1693" s="131"/>
      <c r="F1693" s="138"/>
      <c r="K1693" s="92"/>
      <c r="L1693"/>
    </row>
    <row r="1694" spans="2:12" ht="14.4">
      <c r="B1694" s="77"/>
      <c r="E1694" s="131"/>
      <c r="F1694" s="138"/>
      <c r="K1694" s="92"/>
      <c r="L1694"/>
    </row>
    <row r="1695" spans="2:12" ht="14.4">
      <c r="B1695" s="77"/>
      <c r="E1695" s="131"/>
      <c r="F1695" s="138"/>
      <c r="K1695" s="92"/>
      <c r="L1695"/>
    </row>
    <row r="1696" spans="2:12" ht="14.4">
      <c r="B1696" s="77"/>
      <c r="E1696" s="131"/>
      <c r="F1696" s="138"/>
      <c r="K1696" s="92"/>
      <c r="L1696"/>
    </row>
    <row r="1697" spans="2:12" ht="14.4">
      <c r="B1697" s="77"/>
      <c r="E1697" s="131"/>
      <c r="F1697" s="138"/>
      <c r="K1697" s="92"/>
      <c r="L1697"/>
    </row>
    <row r="1698" spans="2:12" ht="14.4">
      <c r="B1698" s="77"/>
      <c r="E1698" s="131"/>
      <c r="F1698" s="138"/>
      <c r="K1698" s="92"/>
      <c r="L1698"/>
    </row>
    <row r="1699" spans="2:12" ht="14.4">
      <c r="B1699" s="77"/>
      <c r="E1699" s="131"/>
      <c r="F1699" s="138"/>
      <c r="K1699" s="92"/>
      <c r="L1699"/>
    </row>
    <row r="1700" spans="2:12" ht="14.4">
      <c r="B1700" s="77"/>
      <c r="E1700" s="131"/>
      <c r="F1700" s="138"/>
      <c r="K1700" s="92"/>
      <c r="L1700"/>
    </row>
    <row r="1701" spans="2:12" ht="14.4">
      <c r="B1701" s="77"/>
      <c r="E1701" s="131"/>
      <c r="F1701" s="138"/>
      <c r="K1701" s="92"/>
      <c r="L1701"/>
    </row>
    <row r="1702" spans="2:12" ht="14.4">
      <c r="B1702" s="77"/>
      <c r="E1702" s="131"/>
      <c r="F1702" s="138"/>
      <c r="K1702" s="92"/>
      <c r="L1702"/>
    </row>
    <row r="1703" spans="2:12" ht="14.4">
      <c r="B1703" s="77"/>
      <c r="E1703" s="131"/>
      <c r="F1703" s="138"/>
      <c r="K1703" s="92"/>
      <c r="L1703"/>
    </row>
    <row r="1704" spans="2:12" ht="14.4">
      <c r="B1704" s="77"/>
      <c r="E1704" s="131"/>
      <c r="F1704" s="138"/>
      <c r="K1704" s="92"/>
      <c r="L1704"/>
    </row>
    <row r="1705" spans="2:12" ht="14.4">
      <c r="B1705" s="77"/>
      <c r="E1705" s="131"/>
      <c r="F1705" s="138"/>
      <c r="K1705" s="92"/>
      <c r="L1705"/>
    </row>
    <row r="1706" spans="2:12" ht="14.4">
      <c r="B1706" s="77"/>
      <c r="E1706" s="131"/>
      <c r="F1706" s="138"/>
      <c r="K1706" s="92"/>
      <c r="L1706"/>
    </row>
    <row r="1707" spans="2:12" ht="14.4">
      <c r="B1707" s="77"/>
      <c r="E1707" s="131"/>
      <c r="F1707" s="138"/>
      <c r="K1707" s="92"/>
      <c r="L1707"/>
    </row>
    <row r="1708" spans="2:12" ht="14.4">
      <c r="B1708" s="77"/>
      <c r="E1708" s="131"/>
      <c r="F1708" s="138"/>
      <c r="K1708" s="92"/>
      <c r="L1708"/>
    </row>
    <row r="1709" spans="2:12" ht="14.4">
      <c r="B1709" s="77"/>
      <c r="E1709" s="131"/>
      <c r="F1709" s="138"/>
      <c r="K1709" s="92"/>
      <c r="L1709"/>
    </row>
    <row r="1710" spans="2:12" ht="14.4">
      <c r="B1710" s="77"/>
      <c r="E1710" s="131"/>
      <c r="F1710" s="138"/>
      <c r="K1710" s="92"/>
      <c r="L1710"/>
    </row>
    <row r="1711" spans="2:12" ht="14.4">
      <c r="B1711" s="77"/>
      <c r="E1711" s="131"/>
      <c r="F1711" s="138"/>
      <c r="K1711" s="92"/>
      <c r="L1711"/>
    </row>
    <row r="1712" spans="2:12" ht="14.4">
      <c r="B1712" s="77"/>
      <c r="E1712" s="131"/>
      <c r="F1712" s="138"/>
      <c r="K1712" s="92"/>
      <c r="L1712"/>
    </row>
    <row r="1713" spans="2:12" ht="14.4">
      <c r="B1713" s="77"/>
      <c r="E1713" s="131"/>
      <c r="F1713" s="138"/>
      <c r="K1713" s="92"/>
      <c r="L1713"/>
    </row>
    <row r="1714" spans="2:12" ht="14.4">
      <c r="B1714" s="77"/>
      <c r="E1714" s="131"/>
      <c r="F1714" s="138"/>
      <c r="K1714" s="92"/>
      <c r="L1714"/>
    </row>
    <row r="1715" spans="2:12" ht="14.4">
      <c r="B1715" s="77"/>
      <c r="E1715" s="131"/>
      <c r="F1715" s="138"/>
      <c r="K1715" s="92"/>
      <c r="L1715"/>
    </row>
    <row r="1716" spans="2:12" ht="14.4">
      <c r="B1716" s="77"/>
      <c r="E1716" s="131"/>
      <c r="F1716" s="138"/>
      <c r="K1716" s="92"/>
      <c r="L1716"/>
    </row>
    <row r="1717" spans="2:12" ht="14.4">
      <c r="B1717" s="77"/>
      <c r="E1717" s="131"/>
      <c r="F1717" s="138"/>
      <c r="K1717" s="92"/>
      <c r="L1717"/>
    </row>
    <row r="1718" spans="2:12" ht="14.4">
      <c r="B1718" s="77"/>
      <c r="E1718" s="131"/>
      <c r="F1718" s="138"/>
      <c r="K1718" s="92"/>
      <c r="L1718"/>
    </row>
    <row r="1719" spans="2:12" ht="14.4">
      <c r="B1719" s="77"/>
      <c r="E1719" s="131"/>
      <c r="F1719" s="138"/>
      <c r="K1719" s="92"/>
      <c r="L1719"/>
    </row>
    <row r="1720" spans="2:12" ht="14.4">
      <c r="B1720" s="77"/>
      <c r="E1720" s="131"/>
      <c r="F1720" s="138"/>
      <c r="K1720" s="92"/>
      <c r="L1720"/>
    </row>
    <row r="1721" spans="2:12" ht="14.4">
      <c r="B1721" s="77"/>
      <c r="E1721" s="131"/>
      <c r="F1721" s="138"/>
      <c r="K1721" s="92"/>
      <c r="L1721"/>
    </row>
    <row r="1722" spans="2:12" ht="14.4">
      <c r="B1722" s="77"/>
      <c r="E1722" s="131"/>
      <c r="F1722" s="138"/>
      <c r="K1722" s="92"/>
      <c r="L1722"/>
    </row>
    <row r="1723" spans="2:12" ht="14.4">
      <c r="B1723" s="77"/>
      <c r="E1723" s="131"/>
      <c r="F1723" s="138"/>
      <c r="K1723" s="92"/>
      <c r="L1723"/>
    </row>
    <row r="1724" spans="2:12" ht="14.4">
      <c r="B1724" s="77"/>
      <c r="E1724" s="131"/>
      <c r="F1724" s="138"/>
      <c r="K1724" s="92"/>
      <c r="L1724"/>
    </row>
    <row r="1725" spans="2:12" ht="14.4">
      <c r="B1725" s="77"/>
      <c r="E1725" s="131"/>
      <c r="F1725" s="138"/>
      <c r="K1725" s="92"/>
      <c r="L1725"/>
    </row>
    <row r="1726" spans="2:12" ht="14.4">
      <c r="B1726" s="77"/>
      <c r="E1726" s="131"/>
      <c r="F1726" s="138"/>
      <c r="K1726" s="92"/>
      <c r="L1726"/>
    </row>
    <row r="1727" spans="2:12" ht="14.4">
      <c r="B1727" s="77"/>
      <c r="E1727" s="131"/>
      <c r="F1727" s="138"/>
      <c r="K1727" s="92"/>
      <c r="L1727"/>
    </row>
    <row r="1728" spans="2:12" ht="14.4">
      <c r="B1728" s="77"/>
      <c r="E1728" s="131"/>
      <c r="F1728" s="138"/>
      <c r="K1728" s="92"/>
      <c r="L1728"/>
    </row>
    <row r="1729" spans="2:12" ht="14.4">
      <c r="B1729" s="77"/>
      <c r="E1729" s="131"/>
      <c r="F1729" s="138"/>
      <c r="K1729" s="92"/>
      <c r="L1729"/>
    </row>
    <row r="1730" spans="2:12" ht="14.4">
      <c r="B1730" s="77"/>
      <c r="E1730" s="131"/>
      <c r="F1730" s="138"/>
      <c r="K1730" s="92"/>
      <c r="L1730"/>
    </row>
    <row r="1731" spans="2:12" ht="14.4">
      <c r="B1731" s="77"/>
      <c r="E1731" s="131"/>
      <c r="F1731" s="138"/>
      <c r="K1731" s="92"/>
      <c r="L1731"/>
    </row>
    <row r="1732" spans="2:12" ht="14.4">
      <c r="B1732" s="77"/>
      <c r="E1732" s="131"/>
      <c r="F1732" s="138"/>
      <c r="K1732" s="92"/>
      <c r="L1732"/>
    </row>
    <row r="1733" spans="2:12" ht="14.4">
      <c r="B1733" s="77"/>
      <c r="E1733" s="131"/>
      <c r="F1733" s="138"/>
      <c r="K1733" s="92"/>
      <c r="L1733"/>
    </row>
    <row r="1734" spans="2:12" ht="14.4">
      <c r="B1734" s="77"/>
      <c r="E1734" s="131"/>
      <c r="F1734" s="138"/>
      <c r="K1734" s="92"/>
      <c r="L1734"/>
    </row>
    <row r="1735" spans="2:12" ht="14.4">
      <c r="B1735" s="77"/>
      <c r="E1735" s="131"/>
      <c r="F1735" s="138"/>
      <c r="K1735" s="92"/>
      <c r="L1735"/>
    </row>
    <row r="1736" spans="2:12" ht="14.4">
      <c r="B1736" s="77"/>
      <c r="E1736" s="131"/>
      <c r="F1736" s="138"/>
      <c r="K1736" s="92"/>
      <c r="L1736"/>
    </row>
    <row r="1737" spans="2:12" ht="14.4">
      <c r="B1737" s="77"/>
      <c r="E1737" s="131"/>
      <c r="F1737" s="138"/>
      <c r="K1737" s="92"/>
      <c r="L1737"/>
    </row>
    <row r="1738" spans="2:12" ht="14.4">
      <c r="B1738" s="77"/>
      <c r="E1738" s="131"/>
      <c r="F1738" s="138"/>
      <c r="K1738" s="92"/>
      <c r="L1738"/>
    </row>
    <row r="1739" spans="2:12" ht="14.4">
      <c r="B1739" s="77"/>
      <c r="E1739" s="131"/>
      <c r="F1739" s="138"/>
      <c r="K1739" s="92"/>
      <c r="L1739"/>
    </row>
    <row r="1740" spans="2:12" ht="14.4">
      <c r="B1740" s="77"/>
      <c r="E1740" s="131"/>
      <c r="F1740" s="138"/>
      <c r="K1740" s="92"/>
      <c r="L1740"/>
    </row>
    <row r="1741" spans="2:12" ht="14.4">
      <c r="B1741" s="77"/>
      <c r="E1741" s="131"/>
      <c r="F1741" s="138"/>
      <c r="K1741" s="92"/>
      <c r="L1741"/>
    </row>
    <row r="1742" spans="2:12" ht="14.4">
      <c r="B1742" s="77"/>
      <c r="E1742" s="131"/>
      <c r="F1742" s="138"/>
      <c r="K1742" s="92"/>
      <c r="L1742"/>
    </row>
    <row r="1743" spans="2:12" ht="14.4">
      <c r="B1743" s="77"/>
      <c r="E1743" s="131"/>
      <c r="F1743" s="138"/>
      <c r="K1743" s="92"/>
      <c r="L1743"/>
    </row>
    <row r="1744" spans="2:12" ht="14.4">
      <c r="B1744" s="77"/>
      <c r="E1744" s="131"/>
      <c r="F1744" s="138"/>
      <c r="K1744" s="92"/>
      <c r="L1744"/>
    </row>
    <row r="1745" spans="2:12" ht="14.4">
      <c r="B1745" s="77"/>
      <c r="E1745" s="131"/>
      <c r="F1745" s="138"/>
      <c r="K1745" s="92"/>
      <c r="L1745"/>
    </row>
    <row r="1746" spans="2:12" ht="14.4">
      <c r="B1746" s="77"/>
      <c r="E1746" s="131"/>
      <c r="F1746" s="138"/>
      <c r="K1746" s="92"/>
      <c r="L1746"/>
    </row>
    <row r="1747" spans="2:12" ht="12.75" customHeight="1">
      <c r="B1747" s="77"/>
      <c r="E1747" s="131"/>
      <c r="F1747" s="138"/>
      <c r="K1747" s="92"/>
      <c r="L1747"/>
    </row>
    <row r="1748" spans="2:12" ht="14.4">
      <c r="B1748" s="77"/>
      <c r="E1748" s="131"/>
      <c r="F1748" s="138"/>
      <c r="K1748" s="92"/>
      <c r="L1748"/>
    </row>
    <row r="1749" spans="2:12" ht="14.4">
      <c r="B1749" s="77"/>
      <c r="E1749" s="131"/>
      <c r="F1749" s="138"/>
      <c r="K1749" s="92"/>
      <c r="L1749"/>
    </row>
    <row r="1750" spans="2:12" ht="14.4">
      <c r="B1750" s="77"/>
      <c r="E1750" s="131"/>
      <c r="F1750" s="138"/>
      <c r="K1750" s="92"/>
      <c r="L1750"/>
    </row>
    <row r="1751" spans="2:12" ht="14.4">
      <c r="B1751" s="77"/>
      <c r="E1751" s="131"/>
      <c r="F1751" s="138"/>
      <c r="K1751" s="92"/>
      <c r="L1751"/>
    </row>
    <row r="1752" spans="2:12" ht="14.4">
      <c r="B1752" s="77"/>
      <c r="E1752" s="131"/>
      <c r="F1752" s="138"/>
      <c r="K1752" s="92"/>
      <c r="L1752"/>
    </row>
    <row r="1753" spans="2:12" ht="14.4">
      <c r="B1753" s="77"/>
      <c r="E1753" s="131"/>
      <c r="F1753" s="138"/>
      <c r="K1753" s="92"/>
      <c r="L1753"/>
    </row>
    <row r="1754" spans="2:12" ht="14.4">
      <c r="B1754" s="77"/>
      <c r="E1754" s="131"/>
      <c r="F1754" s="138"/>
      <c r="K1754" s="92"/>
      <c r="L1754"/>
    </row>
    <row r="1755" spans="2:12" ht="14.4">
      <c r="B1755" s="77"/>
      <c r="E1755" s="131"/>
      <c r="F1755" s="138"/>
      <c r="K1755" s="92"/>
      <c r="L1755"/>
    </row>
    <row r="1756" spans="2:12" ht="14.4">
      <c r="B1756" s="77"/>
      <c r="E1756" s="131"/>
      <c r="F1756" s="138"/>
      <c r="K1756" s="92"/>
      <c r="L1756"/>
    </row>
    <row r="1757" spans="2:12" ht="14.4">
      <c r="B1757" s="77"/>
      <c r="E1757" s="131"/>
      <c r="F1757" s="138"/>
      <c r="K1757" s="92"/>
      <c r="L1757"/>
    </row>
    <row r="1758" spans="2:12" ht="14.4">
      <c r="B1758" s="77"/>
      <c r="E1758" s="131"/>
      <c r="F1758" s="138"/>
      <c r="K1758" s="92"/>
      <c r="L1758"/>
    </row>
    <row r="1759" spans="2:12" ht="14.4">
      <c r="B1759" s="77"/>
      <c r="E1759" s="131"/>
      <c r="F1759" s="138"/>
      <c r="K1759" s="92"/>
      <c r="L1759"/>
    </row>
    <row r="1760" spans="2:12" ht="14.4">
      <c r="B1760" s="77"/>
      <c r="E1760" s="131"/>
      <c r="F1760" s="138"/>
      <c r="K1760" s="92"/>
      <c r="L1760"/>
    </row>
    <row r="1761" spans="2:12" ht="14.4">
      <c r="B1761" s="77"/>
      <c r="E1761" s="131"/>
      <c r="F1761" s="138"/>
      <c r="K1761" s="92"/>
      <c r="L1761"/>
    </row>
    <row r="1762" spans="2:12" ht="14.4">
      <c r="B1762" s="77"/>
      <c r="E1762" s="131"/>
      <c r="F1762" s="138"/>
      <c r="K1762" s="92"/>
      <c r="L1762"/>
    </row>
    <row r="1763" spans="2:12" ht="14.4">
      <c r="B1763" s="77"/>
      <c r="E1763" s="131"/>
      <c r="F1763" s="138"/>
      <c r="K1763" s="92"/>
      <c r="L1763"/>
    </row>
    <row r="1764" spans="2:12" ht="14.4">
      <c r="B1764" s="77"/>
      <c r="E1764" s="131"/>
      <c r="F1764" s="138"/>
      <c r="K1764" s="92"/>
      <c r="L1764"/>
    </row>
    <row r="1765" spans="2:12" ht="14.4">
      <c r="B1765" s="77"/>
      <c r="E1765" s="131"/>
      <c r="F1765" s="138"/>
      <c r="K1765" s="92"/>
      <c r="L1765"/>
    </row>
    <row r="1766" spans="2:12" ht="14.4">
      <c r="B1766" s="77"/>
      <c r="E1766" s="131"/>
      <c r="F1766" s="138"/>
      <c r="K1766" s="92"/>
      <c r="L1766"/>
    </row>
    <row r="1767" spans="2:12" ht="14.4">
      <c r="B1767" s="77"/>
      <c r="E1767" s="131"/>
      <c r="F1767" s="138"/>
      <c r="K1767" s="92"/>
      <c r="L1767"/>
    </row>
    <row r="1768" spans="2:12" ht="14.4">
      <c r="B1768" s="77"/>
      <c r="E1768" s="131"/>
      <c r="F1768" s="138"/>
      <c r="K1768" s="92"/>
      <c r="L1768"/>
    </row>
    <row r="1769" spans="2:12" ht="14.4">
      <c r="B1769" s="77"/>
      <c r="E1769" s="131"/>
      <c r="F1769" s="138"/>
      <c r="K1769" s="92"/>
      <c r="L1769"/>
    </row>
    <row r="1770" spans="2:12" ht="14.4">
      <c r="B1770" s="77"/>
      <c r="E1770" s="131"/>
      <c r="F1770" s="138"/>
      <c r="K1770" s="92"/>
      <c r="L1770"/>
    </row>
    <row r="1771" spans="2:12" ht="14.4">
      <c r="B1771" s="77"/>
      <c r="E1771" s="131"/>
      <c r="F1771" s="138"/>
      <c r="K1771" s="92"/>
      <c r="L1771"/>
    </row>
    <row r="1772" spans="2:12" ht="14.4">
      <c r="B1772" s="77"/>
      <c r="E1772" s="131"/>
      <c r="F1772" s="138"/>
      <c r="K1772" s="92"/>
      <c r="L1772"/>
    </row>
    <row r="1773" spans="2:12" ht="14.4">
      <c r="B1773" s="77"/>
      <c r="E1773" s="131"/>
      <c r="F1773" s="138"/>
      <c r="K1773" s="92"/>
      <c r="L1773"/>
    </row>
    <row r="1774" spans="2:12" ht="14.4">
      <c r="B1774" s="77"/>
      <c r="E1774" s="131"/>
      <c r="F1774" s="138"/>
      <c r="K1774" s="92"/>
      <c r="L1774"/>
    </row>
    <row r="1775" spans="2:12" ht="14.4">
      <c r="B1775" s="77"/>
      <c r="E1775" s="131"/>
      <c r="F1775" s="138"/>
      <c r="K1775" s="92"/>
      <c r="L1775"/>
    </row>
    <row r="1776" spans="2:12" ht="14.4">
      <c r="B1776" s="77"/>
      <c r="E1776" s="131"/>
      <c r="F1776" s="138"/>
      <c r="K1776" s="92"/>
      <c r="L1776"/>
    </row>
    <row r="1777" spans="2:12" ht="14.4">
      <c r="B1777" s="77"/>
      <c r="E1777" s="131"/>
      <c r="F1777" s="138"/>
      <c r="K1777" s="92"/>
      <c r="L1777"/>
    </row>
    <row r="1778" spans="2:12" ht="14.4">
      <c r="B1778" s="77"/>
      <c r="E1778" s="131"/>
      <c r="F1778" s="138"/>
      <c r="K1778" s="92"/>
      <c r="L1778"/>
    </row>
    <row r="1779" spans="2:12" ht="14.4">
      <c r="B1779" s="77"/>
      <c r="E1779" s="131"/>
      <c r="F1779" s="138"/>
      <c r="K1779" s="92"/>
      <c r="L1779"/>
    </row>
    <row r="1780" spans="2:12" ht="14.4">
      <c r="B1780" s="77"/>
      <c r="E1780" s="131"/>
      <c r="F1780" s="138"/>
      <c r="K1780" s="92"/>
      <c r="L1780"/>
    </row>
    <row r="1781" spans="2:12" ht="14.4">
      <c r="B1781" s="77"/>
      <c r="E1781" s="131"/>
      <c r="F1781" s="138"/>
      <c r="K1781" s="92"/>
      <c r="L1781"/>
    </row>
    <row r="1782" spans="2:12" ht="14.4">
      <c r="B1782" s="77"/>
      <c r="E1782" s="131"/>
      <c r="F1782" s="138"/>
      <c r="K1782" s="92"/>
      <c r="L1782"/>
    </row>
    <row r="1783" spans="2:12" ht="14.4">
      <c r="B1783" s="77"/>
      <c r="E1783" s="131"/>
      <c r="F1783" s="138"/>
      <c r="K1783" s="92"/>
      <c r="L1783"/>
    </row>
    <row r="1784" spans="2:12" ht="14.4">
      <c r="B1784" s="77"/>
      <c r="E1784" s="131"/>
      <c r="F1784" s="138"/>
      <c r="K1784" s="92"/>
      <c r="L1784"/>
    </row>
    <row r="1785" spans="2:12" ht="14.4">
      <c r="B1785" s="77"/>
      <c r="E1785" s="131"/>
      <c r="F1785" s="138"/>
      <c r="K1785" s="92"/>
      <c r="L1785"/>
    </row>
    <row r="1786" spans="2:12" ht="14.4">
      <c r="B1786" s="77"/>
      <c r="E1786" s="131"/>
      <c r="F1786" s="138"/>
      <c r="K1786" s="92"/>
      <c r="L1786"/>
    </row>
    <row r="1787" spans="2:12" ht="14.4">
      <c r="B1787" s="77"/>
      <c r="E1787" s="131"/>
      <c r="F1787" s="138"/>
      <c r="K1787" s="92"/>
      <c r="L1787"/>
    </row>
    <row r="1788" spans="2:12" ht="14.4">
      <c r="B1788" s="77"/>
      <c r="E1788" s="131"/>
      <c r="F1788" s="138"/>
      <c r="K1788" s="92"/>
      <c r="L1788"/>
    </row>
    <row r="1789" spans="2:12" ht="14.4">
      <c r="B1789" s="77"/>
      <c r="E1789" s="131"/>
      <c r="F1789" s="138"/>
      <c r="K1789" s="92"/>
      <c r="L1789"/>
    </row>
    <row r="1790" spans="2:12" ht="14.4">
      <c r="B1790" s="77"/>
      <c r="E1790" s="131"/>
      <c r="F1790" s="138"/>
      <c r="K1790" s="92"/>
      <c r="L1790"/>
    </row>
    <row r="1791" spans="2:12" ht="14.4">
      <c r="B1791" s="77"/>
      <c r="E1791" s="131"/>
      <c r="F1791" s="138"/>
      <c r="K1791" s="92"/>
      <c r="L1791"/>
    </row>
    <row r="1792" spans="2:12" ht="14.4">
      <c r="B1792" s="77"/>
      <c r="E1792" s="131"/>
      <c r="F1792" s="138"/>
      <c r="K1792" s="92"/>
      <c r="L1792"/>
    </row>
    <row r="1793" spans="2:12" ht="14.4">
      <c r="B1793" s="77"/>
      <c r="E1793" s="131"/>
      <c r="F1793" s="138"/>
      <c r="K1793" s="92"/>
      <c r="L1793"/>
    </row>
    <row r="1794" spans="2:12" ht="14.4">
      <c r="B1794" s="77"/>
      <c r="E1794" s="131"/>
      <c r="F1794" s="138"/>
      <c r="K1794" s="92"/>
      <c r="L1794"/>
    </row>
    <row r="1795" spans="2:12" ht="14.4">
      <c r="B1795" s="77"/>
      <c r="E1795" s="131"/>
      <c r="F1795" s="138"/>
      <c r="K1795" s="92"/>
      <c r="L1795"/>
    </row>
    <row r="1796" spans="2:12" ht="14.4">
      <c r="B1796" s="77"/>
      <c r="E1796" s="131"/>
      <c r="F1796" s="138"/>
      <c r="K1796" s="92"/>
      <c r="L1796"/>
    </row>
    <row r="1797" spans="2:12" ht="14.4">
      <c r="B1797" s="77"/>
      <c r="E1797" s="131"/>
      <c r="F1797" s="138"/>
      <c r="K1797" s="92"/>
      <c r="L1797"/>
    </row>
    <row r="1798" spans="2:12" ht="14.4">
      <c r="B1798" s="77"/>
      <c r="E1798" s="131"/>
      <c r="F1798" s="138"/>
      <c r="K1798" s="92"/>
      <c r="L1798"/>
    </row>
    <row r="1799" spans="2:12" ht="14.4">
      <c r="B1799" s="77"/>
      <c r="E1799" s="131"/>
      <c r="F1799" s="138"/>
      <c r="K1799" s="92"/>
      <c r="L1799"/>
    </row>
    <row r="1800" spans="2:12" ht="14.4">
      <c r="B1800" s="77"/>
      <c r="E1800" s="131"/>
      <c r="F1800" s="138"/>
      <c r="K1800" s="92"/>
      <c r="L1800"/>
    </row>
    <row r="1801" spans="2:12" ht="14.4">
      <c r="B1801" s="77"/>
      <c r="E1801" s="131"/>
      <c r="F1801" s="138"/>
      <c r="K1801" s="92"/>
      <c r="L1801"/>
    </row>
    <row r="1802" spans="2:12" ht="14.4">
      <c r="B1802" s="77"/>
      <c r="E1802" s="131"/>
      <c r="F1802" s="138"/>
      <c r="K1802" s="92"/>
      <c r="L1802"/>
    </row>
    <row r="1803" spans="2:12" ht="14.4">
      <c r="B1803" s="77"/>
      <c r="E1803" s="131"/>
      <c r="F1803" s="138"/>
      <c r="K1803" s="92"/>
      <c r="L1803"/>
    </row>
    <row r="1804" spans="2:12" ht="14.4">
      <c r="B1804" s="77"/>
      <c r="E1804" s="131"/>
      <c r="F1804" s="138"/>
      <c r="K1804" s="92"/>
      <c r="L1804"/>
    </row>
    <row r="1805" spans="2:12" ht="14.4">
      <c r="B1805" s="77"/>
      <c r="E1805" s="131"/>
      <c r="F1805" s="138"/>
      <c r="K1805" s="92"/>
      <c r="L1805"/>
    </row>
    <row r="1806" spans="2:12" ht="14.4">
      <c r="B1806" s="77"/>
      <c r="E1806" s="131"/>
      <c r="F1806" s="138"/>
      <c r="K1806" s="92"/>
      <c r="L1806"/>
    </row>
    <row r="1807" spans="2:12" ht="14.4">
      <c r="B1807" s="77"/>
      <c r="E1807" s="131"/>
      <c r="F1807" s="138"/>
      <c r="K1807" s="92"/>
      <c r="L1807"/>
    </row>
    <row r="1808" spans="2:12" ht="14.4">
      <c r="B1808" s="77"/>
      <c r="E1808" s="131"/>
      <c r="F1808" s="138"/>
      <c r="K1808" s="92"/>
      <c r="L1808"/>
    </row>
    <row r="1809" spans="2:12" ht="14.4">
      <c r="B1809" s="77"/>
      <c r="E1809" s="131"/>
      <c r="F1809" s="138"/>
      <c r="K1809" s="92"/>
      <c r="L1809"/>
    </row>
    <row r="1810" spans="2:12" ht="14.4">
      <c r="B1810" s="77"/>
      <c r="E1810" s="131"/>
      <c r="F1810" s="138"/>
      <c r="K1810" s="92"/>
      <c r="L1810"/>
    </row>
    <row r="1811" spans="2:12" ht="14.4">
      <c r="B1811" s="77"/>
      <c r="E1811" s="131"/>
      <c r="F1811" s="138"/>
      <c r="K1811" s="92"/>
      <c r="L1811"/>
    </row>
    <row r="1812" spans="2:12" ht="14.4">
      <c r="B1812" s="77"/>
      <c r="E1812" s="131"/>
      <c r="F1812" s="138"/>
      <c r="K1812" s="92"/>
      <c r="L1812"/>
    </row>
    <row r="1813" spans="2:12" ht="14.4">
      <c r="B1813" s="77"/>
      <c r="E1813" s="131"/>
      <c r="F1813" s="138"/>
      <c r="K1813" s="92"/>
      <c r="L1813"/>
    </row>
    <row r="1814" spans="2:12" ht="14.4">
      <c r="B1814" s="77"/>
      <c r="E1814" s="131"/>
      <c r="F1814" s="138"/>
      <c r="K1814" s="92"/>
      <c r="L1814"/>
    </row>
    <row r="1815" spans="2:12" ht="14.4">
      <c r="B1815" s="77"/>
      <c r="E1815" s="131"/>
      <c r="F1815" s="138"/>
      <c r="K1815" s="92"/>
      <c r="L1815"/>
    </row>
    <row r="1816" spans="2:12" ht="14.4">
      <c r="B1816" s="77"/>
      <c r="E1816" s="131"/>
      <c r="F1816" s="138"/>
      <c r="K1816" s="92"/>
      <c r="L1816"/>
    </row>
    <row r="1817" spans="2:12" ht="14.4">
      <c r="B1817" s="77"/>
      <c r="E1817" s="131"/>
      <c r="F1817" s="138"/>
      <c r="K1817" s="92"/>
      <c r="L1817"/>
    </row>
    <row r="1818" spans="2:12" ht="14.4">
      <c r="B1818" s="77"/>
      <c r="E1818" s="131"/>
      <c r="F1818" s="138"/>
      <c r="K1818" s="92"/>
      <c r="L1818"/>
    </row>
    <row r="1819" spans="2:12" ht="14.4">
      <c r="B1819" s="77"/>
      <c r="E1819" s="131"/>
      <c r="F1819" s="138"/>
      <c r="K1819" s="92"/>
      <c r="L1819"/>
    </row>
    <row r="1820" spans="2:12" ht="14.4">
      <c r="B1820" s="77"/>
      <c r="E1820" s="131"/>
      <c r="F1820" s="138"/>
      <c r="K1820" s="92"/>
      <c r="L1820"/>
    </row>
    <row r="1821" spans="2:12" ht="14.4">
      <c r="B1821" s="77"/>
      <c r="E1821" s="131"/>
      <c r="F1821" s="138"/>
      <c r="K1821" s="92"/>
      <c r="L1821"/>
    </row>
    <row r="1822" spans="2:12" ht="14.4">
      <c r="B1822" s="77"/>
      <c r="E1822" s="131"/>
      <c r="F1822" s="138"/>
      <c r="K1822" s="92"/>
      <c r="L1822"/>
    </row>
    <row r="1823" spans="2:12" ht="14.4">
      <c r="B1823" s="77"/>
      <c r="E1823" s="131"/>
      <c r="F1823" s="138"/>
      <c r="K1823" s="92"/>
      <c r="L1823"/>
    </row>
    <row r="1824" spans="2:12" ht="14.4">
      <c r="B1824" s="77"/>
      <c r="E1824" s="131"/>
      <c r="F1824" s="138"/>
      <c r="K1824" s="92"/>
      <c r="L1824"/>
    </row>
    <row r="1825" spans="2:12" ht="14.4">
      <c r="B1825" s="77"/>
      <c r="E1825" s="131"/>
      <c r="F1825" s="138"/>
      <c r="K1825" s="92"/>
      <c r="L1825"/>
    </row>
    <row r="1826" spans="2:12" ht="14.4">
      <c r="B1826" s="77"/>
      <c r="E1826" s="131"/>
      <c r="F1826" s="138"/>
      <c r="K1826" s="92"/>
      <c r="L1826"/>
    </row>
    <row r="1827" spans="2:12" ht="14.4">
      <c r="B1827" s="77"/>
      <c r="E1827" s="131"/>
      <c r="F1827" s="138"/>
      <c r="K1827" s="92"/>
      <c r="L1827"/>
    </row>
    <row r="1828" spans="2:12" ht="14.4">
      <c r="B1828" s="77"/>
      <c r="E1828" s="131"/>
      <c r="F1828" s="138"/>
      <c r="K1828" s="92"/>
      <c r="L1828"/>
    </row>
    <row r="1829" spans="2:12" ht="14.4">
      <c r="B1829" s="77"/>
      <c r="E1829" s="131"/>
      <c r="F1829" s="138"/>
      <c r="K1829" s="92"/>
      <c r="L1829"/>
    </row>
    <row r="1830" spans="2:12" ht="14.4">
      <c r="B1830" s="77"/>
      <c r="E1830" s="131"/>
      <c r="F1830" s="138"/>
      <c r="K1830" s="92"/>
      <c r="L1830"/>
    </row>
    <row r="1831" spans="2:12" ht="14.4">
      <c r="B1831" s="77"/>
      <c r="E1831" s="131"/>
      <c r="F1831" s="138"/>
      <c r="K1831" s="92"/>
      <c r="L1831"/>
    </row>
    <row r="1832" spans="2:12" ht="14.4">
      <c r="B1832" s="77"/>
      <c r="E1832" s="131"/>
      <c r="F1832" s="138"/>
      <c r="K1832" s="92"/>
      <c r="L1832"/>
    </row>
    <row r="1833" spans="2:12" ht="14.4">
      <c r="B1833" s="77"/>
      <c r="E1833" s="131"/>
      <c r="F1833" s="138"/>
      <c r="K1833" s="92"/>
      <c r="L1833"/>
    </row>
    <row r="1834" spans="2:12" ht="14.4">
      <c r="B1834" s="77"/>
      <c r="E1834" s="131"/>
      <c r="F1834" s="138"/>
      <c r="K1834" s="92"/>
      <c r="L1834"/>
    </row>
    <row r="1835" spans="2:12" ht="14.4">
      <c r="B1835" s="77"/>
      <c r="E1835" s="131"/>
      <c r="F1835" s="138"/>
      <c r="K1835" s="92"/>
      <c r="L1835"/>
    </row>
    <row r="1836" spans="2:12" ht="14.4">
      <c r="B1836" s="77"/>
      <c r="E1836" s="131"/>
      <c r="F1836" s="138"/>
      <c r="K1836" s="92"/>
      <c r="L1836"/>
    </row>
    <row r="1837" spans="2:12" ht="14.4">
      <c r="B1837" s="77"/>
      <c r="E1837" s="131"/>
      <c r="F1837" s="138"/>
      <c r="K1837" s="92"/>
      <c r="L1837"/>
    </row>
    <row r="1838" spans="2:12" ht="14.4">
      <c r="B1838" s="77"/>
      <c r="E1838" s="131"/>
      <c r="F1838" s="138"/>
      <c r="K1838" s="92"/>
      <c r="L1838"/>
    </row>
    <row r="1839" spans="2:12" ht="14.4">
      <c r="B1839" s="77"/>
      <c r="E1839" s="131"/>
      <c r="F1839" s="138"/>
      <c r="K1839" s="92"/>
      <c r="L1839"/>
    </row>
    <row r="1840" spans="2:12" ht="14.4">
      <c r="B1840" s="77"/>
      <c r="E1840" s="131"/>
      <c r="F1840" s="138"/>
      <c r="K1840" s="92"/>
      <c r="L1840"/>
    </row>
    <row r="1841" spans="2:12" ht="14.4">
      <c r="B1841" s="77"/>
      <c r="E1841" s="131"/>
      <c r="F1841" s="138"/>
      <c r="K1841" s="92"/>
      <c r="L1841"/>
    </row>
    <row r="1842" spans="2:12" ht="14.4">
      <c r="B1842" s="77"/>
      <c r="E1842" s="131"/>
      <c r="F1842" s="138"/>
      <c r="K1842" s="92"/>
      <c r="L1842"/>
    </row>
    <row r="1843" spans="2:12" ht="14.4">
      <c r="B1843" s="77"/>
      <c r="E1843" s="131"/>
      <c r="F1843" s="138"/>
      <c r="K1843" s="92"/>
      <c r="L1843"/>
    </row>
    <row r="1844" spans="2:12" ht="14.4">
      <c r="B1844" s="77"/>
      <c r="E1844" s="131"/>
      <c r="F1844" s="138"/>
      <c r="K1844" s="92"/>
      <c r="L1844"/>
    </row>
    <row r="1845" spans="2:12" ht="14.4">
      <c r="B1845" s="77"/>
      <c r="E1845" s="131"/>
      <c r="F1845" s="138"/>
      <c r="K1845" s="92"/>
      <c r="L1845"/>
    </row>
    <row r="1846" spans="2:12" ht="14.4">
      <c r="B1846" s="77"/>
      <c r="E1846" s="131"/>
      <c r="F1846" s="138"/>
      <c r="K1846" s="92"/>
      <c r="L1846"/>
    </row>
    <row r="1847" spans="2:12" ht="14.4">
      <c r="B1847" s="77"/>
      <c r="E1847" s="131"/>
      <c r="F1847" s="138"/>
      <c r="K1847" s="92"/>
      <c r="L1847"/>
    </row>
    <row r="1848" spans="2:12" ht="14.4">
      <c r="B1848" s="77"/>
      <c r="E1848" s="131"/>
      <c r="F1848" s="138"/>
      <c r="K1848" s="92"/>
      <c r="L1848"/>
    </row>
    <row r="1849" spans="2:12" ht="14.4">
      <c r="B1849" s="77"/>
      <c r="E1849" s="131"/>
      <c r="F1849" s="138"/>
      <c r="K1849" s="92"/>
      <c r="L1849"/>
    </row>
    <row r="1850" spans="2:12" ht="14.4">
      <c r="B1850" s="77"/>
      <c r="E1850" s="131"/>
      <c r="F1850" s="138"/>
      <c r="K1850" s="92"/>
      <c r="L1850"/>
    </row>
    <row r="1851" spans="2:12" ht="14.4">
      <c r="B1851" s="77"/>
      <c r="E1851" s="131"/>
      <c r="F1851" s="138"/>
      <c r="K1851" s="92"/>
      <c r="L1851"/>
    </row>
    <row r="1852" spans="2:12" ht="14.4">
      <c r="B1852" s="77"/>
      <c r="E1852" s="131"/>
      <c r="F1852" s="138"/>
      <c r="K1852" s="92"/>
      <c r="L1852"/>
    </row>
    <row r="1853" spans="2:12" ht="14.4">
      <c r="B1853" s="77"/>
      <c r="E1853" s="131"/>
      <c r="F1853" s="138"/>
      <c r="K1853" s="92"/>
      <c r="L1853"/>
    </row>
    <row r="1854" spans="2:12" ht="14.4">
      <c r="B1854" s="77"/>
      <c r="E1854" s="131"/>
      <c r="F1854" s="138"/>
      <c r="K1854" s="92"/>
      <c r="L1854"/>
    </row>
    <row r="1855" spans="2:12" ht="14.4">
      <c r="B1855" s="77"/>
      <c r="E1855" s="131"/>
      <c r="F1855" s="138"/>
      <c r="K1855" s="92"/>
      <c r="L1855"/>
    </row>
    <row r="1856" spans="2:12" ht="14.4">
      <c r="B1856" s="77"/>
      <c r="E1856" s="131"/>
      <c r="F1856" s="138"/>
      <c r="K1856" s="92"/>
      <c r="L1856"/>
    </row>
    <row r="1857" spans="2:12" ht="14.4">
      <c r="B1857" s="77"/>
      <c r="E1857" s="131"/>
      <c r="F1857" s="138"/>
      <c r="K1857" s="92"/>
      <c r="L1857"/>
    </row>
    <row r="1858" spans="2:12" ht="14.4">
      <c r="B1858" s="77"/>
      <c r="E1858" s="131"/>
      <c r="F1858" s="138"/>
      <c r="K1858" s="92"/>
      <c r="L1858"/>
    </row>
    <row r="1859" spans="2:12" ht="14.4">
      <c r="B1859" s="77"/>
      <c r="E1859" s="131"/>
      <c r="F1859" s="138"/>
      <c r="K1859" s="92"/>
      <c r="L1859"/>
    </row>
    <row r="1860" spans="2:12" ht="14.4">
      <c r="B1860" s="77"/>
      <c r="E1860" s="131"/>
      <c r="F1860" s="138"/>
      <c r="K1860" s="92"/>
      <c r="L1860"/>
    </row>
    <row r="1861" spans="2:12" ht="14.4">
      <c r="B1861" s="77"/>
      <c r="E1861" s="131"/>
      <c r="F1861" s="138"/>
      <c r="K1861" s="92"/>
      <c r="L1861"/>
    </row>
    <row r="1862" spans="2:12" ht="14.4">
      <c r="B1862" s="77"/>
      <c r="E1862" s="131"/>
      <c r="F1862" s="138"/>
      <c r="K1862" s="92"/>
      <c r="L1862"/>
    </row>
    <row r="1863" spans="2:12" ht="14.4">
      <c r="B1863" s="77"/>
      <c r="E1863" s="131"/>
      <c r="F1863" s="138"/>
      <c r="K1863" s="92"/>
      <c r="L1863"/>
    </row>
    <row r="1864" spans="2:12" ht="14.4">
      <c r="B1864" s="77"/>
      <c r="E1864" s="131"/>
      <c r="F1864" s="138"/>
      <c r="K1864" s="92"/>
      <c r="L1864"/>
    </row>
    <row r="1865" spans="2:12" ht="14.4">
      <c r="B1865" s="77"/>
      <c r="E1865" s="131"/>
      <c r="F1865" s="138"/>
      <c r="K1865" s="92"/>
      <c r="L1865"/>
    </row>
    <row r="1866" spans="2:12" ht="14.4">
      <c r="B1866" s="77"/>
      <c r="E1866" s="131"/>
      <c r="F1866" s="138"/>
      <c r="K1866" s="92"/>
      <c r="L1866"/>
    </row>
    <row r="1867" spans="2:12" ht="14.4">
      <c r="B1867" s="77"/>
      <c r="E1867" s="131"/>
      <c r="F1867" s="138"/>
      <c r="K1867" s="92"/>
      <c r="L1867"/>
    </row>
    <row r="1868" spans="2:12" ht="14.4">
      <c r="B1868" s="77"/>
      <c r="E1868" s="131"/>
      <c r="F1868" s="138"/>
      <c r="K1868" s="92"/>
      <c r="L1868"/>
    </row>
    <row r="1869" spans="2:12" ht="14.4">
      <c r="B1869" s="77"/>
      <c r="E1869" s="131"/>
      <c r="F1869" s="138"/>
      <c r="K1869" s="92"/>
      <c r="L1869"/>
    </row>
    <row r="1870" spans="2:12" ht="14.4">
      <c r="B1870" s="77"/>
      <c r="E1870" s="131"/>
      <c r="F1870" s="138"/>
      <c r="K1870" s="92"/>
      <c r="L1870"/>
    </row>
    <row r="1871" spans="2:12" ht="14.4">
      <c r="B1871" s="77"/>
      <c r="E1871" s="131"/>
      <c r="F1871" s="138"/>
      <c r="K1871" s="92"/>
      <c r="L1871"/>
    </row>
    <row r="1872" spans="2:12" ht="14.4">
      <c r="B1872" s="77"/>
      <c r="E1872" s="131"/>
      <c r="F1872" s="138"/>
      <c r="K1872" s="92"/>
      <c r="L1872"/>
    </row>
    <row r="1873" spans="2:12" ht="14.4">
      <c r="B1873" s="77"/>
      <c r="E1873" s="131"/>
      <c r="F1873" s="138"/>
      <c r="K1873" s="92"/>
      <c r="L1873"/>
    </row>
    <row r="1874" spans="2:12" ht="14.4">
      <c r="B1874" s="77"/>
      <c r="E1874" s="131"/>
      <c r="F1874" s="138"/>
      <c r="K1874" s="92"/>
      <c r="L1874"/>
    </row>
    <row r="1875" spans="2:12" ht="14.4">
      <c r="B1875" s="77"/>
      <c r="E1875" s="131"/>
      <c r="F1875" s="138"/>
      <c r="K1875" s="92"/>
      <c r="L1875"/>
    </row>
    <row r="1876" spans="2:12" ht="14.4">
      <c r="B1876" s="77"/>
      <c r="E1876" s="131"/>
      <c r="F1876" s="138"/>
      <c r="K1876" s="92"/>
      <c r="L1876"/>
    </row>
    <row r="1877" spans="2:12" ht="14.4">
      <c r="B1877" s="77"/>
      <c r="E1877" s="131"/>
      <c r="F1877" s="138"/>
      <c r="K1877" s="92"/>
      <c r="L1877"/>
    </row>
    <row r="1878" spans="2:12" ht="14.4">
      <c r="B1878" s="77"/>
      <c r="E1878" s="131"/>
      <c r="F1878" s="138"/>
      <c r="K1878" s="92"/>
      <c r="L1878"/>
    </row>
    <row r="1879" spans="2:12" ht="14.4">
      <c r="B1879" s="77"/>
      <c r="E1879" s="131"/>
      <c r="F1879" s="138"/>
      <c r="K1879" s="92"/>
      <c r="L1879"/>
    </row>
    <row r="1880" spans="2:12" ht="14.4">
      <c r="B1880" s="77"/>
      <c r="E1880" s="131"/>
      <c r="F1880" s="138"/>
      <c r="K1880" s="92"/>
      <c r="L1880"/>
    </row>
    <row r="1881" spans="2:12" ht="14.4">
      <c r="B1881" s="77"/>
      <c r="E1881" s="131"/>
      <c r="F1881" s="138"/>
      <c r="K1881" s="92"/>
      <c r="L1881"/>
    </row>
    <row r="1882" spans="2:12" ht="14.4">
      <c r="B1882" s="77"/>
      <c r="E1882" s="131"/>
      <c r="F1882" s="138"/>
      <c r="K1882" s="92"/>
      <c r="L1882"/>
    </row>
    <row r="1883" spans="2:12" ht="14.4">
      <c r="B1883" s="77"/>
      <c r="E1883" s="131"/>
      <c r="F1883" s="138"/>
      <c r="K1883" s="92"/>
      <c r="L1883"/>
    </row>
    <row r="1884" spans="2:12" ht="14.4">
      <c r="B1884" s="77"/>
      <c r="E1884" s="131"/>
      <c r="F1884" s="138"/>
      <c r="K1884" s="92"/>
      <c r="L1884"/>
    </row>
    <row r="1885" spans="2:12" ht="14.4">
      <c r="B1885" s="77"/>
      <c r="E1885" s="131"/>
      <c r="F1885" s="138"/>
      <c r="K1885" s="92"/>
      <c r="L1885"/>
    </row>
    <row r="1886" spans="2:12" ht="14.4">
      <c r="B1886" s="77"/>
      <c r="E1886" s="131"/>
      <c r="F1886" s="138"/>
      <c r="K1886" s="92"/>
      <c r="L1886"/>
    </row>
    <row r="1887" spans="2:12" ht="14.4">
      <c r="B1887" s="77"/>
      <c r="E1887" s="131"/>
      <c r="F1887" s="138"/>
      <c r="K1887" s="92"/>
      <c r="L1887"/>
    </row>
    <row r="1888" spans="2:12" ht="14.4">
      <c r="B1888" s="77"/>
      <c r="E1888" s="131"/>
      <c r="F1888" s="138"/>
      <c r="K1888" s="92"/>
      <c r="L1888"/>
    </row>
    <row r="1889" spans="2:12" ht="14.4">
      <c r="B1889" s="77"/>
      <c r="E1889" s="131"/>
      <c r="F1889" s="138"/>
      <c r="K1889" s="92"/>
      <c r="L1889"/>
    </row>
    <row r="1890" spans="2:12" ht="14.4">
      <c r="B1890" s="77"/>
      <c r="E1890" s="131"/>
      <c r="F1890" s="138"/>
      <c r="K1890" s="92"/>
      <c r="L1890"/>
    </row>
    <row r="1891" spans="2:12" ht="14.4">
      <c r="B1891" s="77"/>
      <c r="E1891" s="131"/>
      <c r="F1891" s="138"/>
      <c r="K1891" s="92"/>
      <c r="L1891"/>
    </row>
    <row r="1892" spans="2:12" ht="14.4">
      <c r="B1892" s="77"/>
      <c r="E1892" s="131"/>
      <c r="F1892" s="138"/>
      <c r="K1892" s="92"/>
      <c r="L1892"/>
    </row>
    <row r="1893" spans="2:12" ht="14.4">
      <c r="B1893" s="77"/>
      <c r="E1893" s="131"/>
      <c r="F1893" s="138"/>
      <c r="K1893" s="92"/>
      <c r="L1893"/>
    </row>
    <row r="1894" spans="2:12" ht="14.4">
      <c r="B1894" s="77"/>
      <c r="E1894" s="131"/>
      <c r="F1894" s="138"/>
      <c r="K1894" s="92"/>
      <c r="L1894"/>
    </row>
    <row r="1895" spans="2:12" ht="14.4">
      <c r="B1895" s="77"/>
      <c r="E1895" s="131"/>
      <c r="F1895" s="138"/>
      <c r="K1895" s="92"/>
      <c r="L1895"/>
    </row>
    <row r="1896" spans="2:12" ht="14.4">
      <c r="B1896" s="77"/>
      <c r="E1896" s="131"/>
      <c r="F1896" s="138"/>
      <c r="K1896" s="92"/>
      <c r="L1896"/>
    </row>
    <row r="1897" spans="2:12" ht="14.4">
      <c r="B1897" s="77"/>
      <c r="E1897" s="131"/>
      <c r="F1897" s="138"/>
      <c r="K1897" s="92"/>
      <c r="L1897"/>
    </row>
    <row r="1898" spans="2:12" ht="14.4">
      <c r="B1898" s="77"/>
      <c r="E1898" s="131"/>
      <c r="F1898" s="138"/>
      <c r="K1898" s="92"/>
      <c r="L1898"/>
    </row>
    <row r="1899" spans="2:12" ht="14.4">
      <c r="B1899" s="77"/>
      <c r="E1899" s="131"/>
      <c r="F1899" s="138"/>
      <c r="K1899" s="92"/>
      <c r="L1899"/>
    </row>
    <row r="1900" spans="2:12" ht="14.4">
      <c r="B1900" s="77"/>
      <c r="E1900" s="131"/>
      <c r="F1900" s="138"/>
      <c r="K1900" s="92"/>
      <c r="L1900"/>
    </row>
    <row r="1901" spans="2:12" ht="14.4">
      <c r="B1901" s="77"/>
      <c r="E1901" s="131"/>
      <c r="F1901" s="138"/>
      <c r="K1901" s="92"/>
      <c r="L1901"/>
    </row>
    <row r="1902" spans="2:12" ht="14.4">
      <c r="B1902" s="77"/>
      <c r="E1902" s="131"/>
      <c r="F1902" s="138"/>
      <c r="K1902" s="92"/>
      <c r="L1902"/>
    </row>
    <row r="1903" spans="2:12" ht="14.4">
      <c r="B1903" s="77"/>
      <c r="E1903" s="131"/>
      <c r="F1903" s="138"/>
      <c r="K1903" s="92"/>
      <c r="L1903"/>
    </row>
    <row r="1904" spans="2:12" ht="14.4">
      <c r="B1904" s="77"/>
      <c r="E1904" s="131"/>
      <c r="F1904" s="138"/>
      <c r="K1904" s="92"/>
      <c r="L1904"/>
    </row>
    <row r="1905" spans="2:12" ht="14.4">
      <c r="B1905" s="77"/>
      <c r="E1905" s="131"/>
      <c r="F1905" s="138"/>
      <c r="K1905" s="92"/>
      <c r="L1905"/>
    </row>
    <row r="1906" spans="2:12" ht="14.4">
      <c r="B1906" s="77"/>
      <c r="E1906" s="131"/>
      <c r="F1906" s="138"/>
      <c r="K1906" s="92"/>
      <c r="L1906"/>
    </row>
    <row r="1907" spans="2:12" ht="14.4">
      <c r="B1907" s="77"/>
      <c r="E1907" s="131"/>
      <c r="F1907" s="138"/>
      <c r="K1907" s="92"/>
      <c r="L1907"/>
    </row>
    <row r="1908" spans="2:12" ht="14.4">
      <c r="B1908" s="77"/>
      <c r="E1908" s="131"/>
      <c r="F1908" s="138"/>
      <c r="K1908" s="92"/>
      <c r="L1908"/>
    </row>
    <row r="1909" spans="2:12" ht="14.4">
      <c r="B1909" s="77"/>
      <c r="E1909" s="131"/>
      <c r="F1909" s="138"/>
      <c r="K1909" s="92"/>
      <c r="L1909"/>
    </row>
    <row r="1910" spans="2:12" ht="14.4">
      <c r="B1910" s="77"/>
      <c r="E1910" s="131"/>
      <c r="F1910" s="138"/>
      <c r="K1910" s="92"/>
      <c r="L1910"/>
    </row>
    <row r="1911" spans="2:12" ht="14.4">
      <c r="B1911" s="77"/>
      <c r="E1911" s="131"/>
      <c r="F1911" s="138"/>
      <c r="K1911" s="92"/>
      <c r="L1911"/>
    </row>
    <row r="1912" spans="2:12" ht="14.4">
      <c r="B1912" s="77"/>
      <c r="E1912" s="131"/>
      <c r="F1912" s="138"/>
      <c r="K1912" s="92"/>
      <c r="L1912"/>
    </row>
    <row r="1913" spans="2:12" ht="14.4">
      <c r="B1913" s="77"/>
      <c r="E1913" s="131"/>
      <c r="F1913" s="138"/>
      <c r="K1913" s="92"/>
      <c r="L1913"/>
    </row>
    <row r="1914" spans="2:12" ht="14.4">
      <c r="B1914" s="77"/>
      <c r="E1914" s="131"/>
      <c r="F1914" s="138"/>
      <c r="K1914" s="92"/>
      <c r="L1914"/>
    </row>
    <row r="1915" spans="2:12" ht="14.4">
      <c r="B1915" s="77"/>
      <c r="E1915" s="131"/>
      <c r="F1915" s="138"/>
      <c r="K1915" s="92"/>
      <c r="L1915"/>
    </row>
    <row r="1916" spans="2:12" ht="14.4">
      <c r="B1916" s="77"/>
      <c r="E1916" s="131"/>
      <c r="F1916" s="138"/>
      <c r="K1916" s="92"/>
      <c r="L1916"/>
    </row>
    <row r="1917" spans="2:12" ht="14.4">
      <c r="B1917" s="77"/>
      <c r="E1917" s="131"/>
      <c r="F1917" s="138"/>
      <c r="K1917" s="92"/>
      <c r="L1917"/>
    </row>
    <row r="1918" spans="2:12" ht="12.75" customHeight="1">
      <c r="B1918" s="77"/>
      <c r="E1918" s="131"/>
      <c r="F1918" s="138"/>
      <c r="K1918" s="92"/>
      <c r="L1918"/>
    </row>
    <row r="1919" spans="2:12" ht="14.4">
      <c r="B1919" s="77"/>
      <c r="E1919" s="131"/>
      <c r="F1919" s="138"/>
      <c r="K1919" s="92"/>
      <c r="L1919"/>
    </row>
    <row r="1920" spans="2:12" ht="14.4">
      <c r="B1920" s="77"/>
      <c r="E1920" s="131"/>
      <c r="F1920" s="138"/>
      <c r="K1920" s="92"/>
      <c r="L1920"/>
    </row>
    <row r="1921" spans="2:12" ht="14.4">
      <c r="B1921" s="77"/>
      <c r="E1921" s="131"/>
      <c r="F1921" s="138"/>
      <c r="K1921" s="92"/>
      <c r="L1921"/>
    </row>
    <row r="1922" spans="2:12" ht="14.4">
      <c r="B1922" s="77"/>
      <c r="E1922" s="131"/>
      <c r="F1922" s="138"/>
      <c r="K1922" s="92"/>
      <c r="L1922"/>
    </row>
    <row r="1923" spans="2:12" ht="14.4">
      <c r="B1923" s="77"/>
      <c r="E1923" s="131"/>
      <c r="F1923" s="138"/>
      <c r="K1923" s="92"/>
      <c r="L1923"/>
    </row>
    <row r="1924" spans="2:12" ht="14.4">
      <c r="B1924" s="77"/>
      <c r="E1924" s="131"/>
      <c r="F1924" s="138"/>
      <c r="K1924" s="92"/>
      <c r="L1924"/>
    </row>
    <row r="1925" spans="2:12" ht="14.4">
      <c r="B1925" s="77"/>
      <c r="E1925" s="131"/>
      <c r="F1925" s="138"/>
      <c r="K1925" s="92"/>
      <c r="L1925"/>
    </row>
    <row r="1926" spans="2:12" ht="14.4">
      <c r="B1926" s="77"/>
      <c r="E1926" s="131"/>
      <c r="F1926" s="138"/>
      <c r="K1926" s="92"/>
      <c r="L1926"/>
    </row>
    <row r="1927" spans="2:12" ht="14.4">
      <c r="B1927" s="77"/>
      <c r="E1927" s="131"/>
      <c r="F1927" s="138"/>
      <c r="K1927" s="92"/>
      <c r="L1927"/>
    </row>
    <row r="1928" spans="2:12" ht="14.4">
      <c r="B1928" s="77"/>
      <c r="E1928" s="131"/>
      <c r="F1928" s="138"/>
      <c r="K1928" s="92"/>
      <c r="L1928"/>
    </row>
    <row r="1929" spans="2:12" ht="14.4">
      <c r="B1929" s="77"/>
      <c r="E1929" s="131"/>
      <c r="F1929" s="138"/>
      <c r="K1929" s="92"/>
      <c r="L1929"/>
    </row>
    <row r="1930" spans="2:12" ht="14.4">
      <c r="B1930" s="77"/>
      <c r="E1930" s="131"/>
      <c r="F1930" s="138"/>
      <c r="K1930" s="92"/>
      <c r="L1930"/>
    </row>
    <row r="1931" spans="2:12" ht="14.4">
      <c r="B1931" s="77"/>
      <c r="E1931" s="131"/>
      <c r="F1931" s="138"/>
      <c r="K1931" s="92"/>
      <c r="L1931"/>
    </row>
    <row r="1932" spans="2:12" ht="14.4">
      <c r="B1932" s="77"/>
      <c r="E1932" s="131"/>
      <c r="F1932" s="138"/>
      <c r="K1932" s="92"/>
      <c r="L1932"/>
    </row>
    <row r="1933" spans="2:12" ht="15" customHeight="1">
      <c r="B1933" s="77"/>
      <c r="E1933" s="131"/>
      <c r="F1933" s="138"/>
      <c r="K1933" s="92"/>
      <c r="L1933"/>
    </row>
    <row r="1934" spans="2:12" ht="14.4">
      <c r="B1934" s="77"/>
      <c r="E1934" s="131"/>
      <c r="F1934" s="138"/>
      <c r="K1934" s="92"/>
      <c r="L1934"/>
    </row>
    <row r="1935" spans="2:12" ht="14.4">
      <c r="B1935" s="77"/>
      <c r="E1935" s="131"/>
      <c r="F1935" s="138"/>
      <c r="K1935" s="92"/>
      <c r="L1935"/>
    </row>
    <row r="1936" spans="2:12" ht="14.4">
      <c r="B1936" s="77"/>
      <c r="E1936" s="131"/>
      <c r="F1936" s="138"/>
      <c r="K1936" s="92"/>
      <c r="L1936"/>
    </row>
    <row r="1937" spans="2:12" ht="14.4">
      <c r="B1937" s="77"/>
      <c r="E1937" s="131"/>
      <c r="F1937" s="138"/>
      <c r="K1937" s="92"/>
      <c r="L1937"/>
    </row>
    <row r="1938" spans="2:12" ht="14.4">
      <c r="B1938" s="77"/>
      <c r="E1938" s="131"/>
      <c r="F1938" s="138"/>
      <c r="K1938" s="92"/>
      <c r="L1938"/>
    </row>
    <row r="1939" spans="2:12" ht="14.4">
      <c r="B1939" s="77"/>
      <c r="E1939" s="131"/>
      <c r="F1939" s="138"/>
      <c r="K1939" s="92"/>
      <c r="L1939"/>
    </row>
    <row r="1940" spans="2:12" ht="14.4">
      <c r="B1940" s="77"/>
      <c r="E1940" s="131"/>
      <c r="F1940" s="138"/>
      <c r="K1940" s="92"/>
      <c r="L1940"/>
    </row>
    <row r="1941" spans="2:12" ht="14.4">
      <c r="B1941" s="77"/>
      <c r="E1941" s="131"/>
      <c r="F1941" s="138"/>
      <c r="K1941" s="92"/>
      <c r="L1941"/>
    </row>
    <row r="1942" spans="2:12" ht="14.4">
      <c r="B1942" s="77"/>
      <c r="E1942" s="131"/>
      <c r="F1942" s="138"/>
      <c r="K1942" s="92"/>
      <c r="L1942"/>
    </row>
    <row r="1943" spans="2:12" ht="14.4">
      <c r="B1943" s="77"/>
      <c r="E1943" s="131"/>
      <c r="F1943" s="138"/>
      <c r="K1943" s="92"/>
      <c r="L1943"/>
    </row>
    <row r="1944" spans="2:12" ht="14.4">
      <c r="B1944" s="77"/>
      <c r="E1944" s="131"/>
      <c r="F1944" s="138"/>
      <c r="K1944" s="92"/>
      <c r="L1944"/>
    </row>
    <row r="1945" spans="2:12" ht="14.4">
      <c r="B1945" s="77"/>
      <c r="E1945" s="131"/>
      <c r="F1945" s="138"/>
      <c r="K1945" s="92"/>
      <c r="L1945"/>
    </row>
    <row r="1946" spans="2:12" ht="14.4">
      <c r="B1946" s="77"/>
      <c r="E1946" s="131"/>
      <c r="F1946" s="138"/>
      <c r="K1946" s="92"/>
      <c r="L1946"/>
    </row>
    <row r="1947" spans="2:12" ht="14.4">
      <c r="B1947" s="77"/>
      <c r="E1947" s="131"/>
      <c r="F1947" s="138"/>
      <c r="K1947" s="92"/>
      <c r="L1947"/>
    </row>
    <row r="1948" spans="2:12" ht="14.4">
      <c r="B1948" s="77"/>
      <c r="E1948" s="131"/>
      <c r="F1948" s="138"/>
      <c r="K1948" s="92"/>
      <c r="L1948"/>
    </row>
    <row r="1949" spans="2:12" ht="14.4">
      <c r="B1949" s="77"/>
      <c r="E1949" s="131"/>
      <c r="F1949" s="138"/>
      <c r="K1949" s="92"/>
      <c r="L1949"/>
    </row>
    <row r="1950" spans="2:12" ht="14.4">
      <c r="B1950" s="77"/>
      <c r="E1950" s="131"/>
      <c r="F1950" s="138"/>
      <c r="K1950" s="92"/>
      <c r="L1950"/>
    </row>
    <row r="1951" spans="2:12" ht="14.4">
      <c r="B1951" s="77"/>
      <c r="E1951" s="131"/>
      <c r="F1951" s="138"/>
      <c r="K1951" s="92"/>
      <c r="L1951"/>
    </row>
    <row r="1952" spans="2:12" ht="14.4">
      <c r="B1952" s="77"/>
      <c r="E1952" s="131"/>
      <c r="F1952" s="138"/>
      <c r="K1952" s="92"/>
      <c r="L1952"/>
    </row>
    <row r="1953" spans="2:12" ht="14.4">
      <c r="B1953" s="77"/>
      <c r="E1953" s="131"/>
      <c r="F1953" s="138"/>
      <c r="K1953" s="92"/>
      <c r="L1953"/>
    </row>
    <row r="1954" spans="2:12" ht="14.4">
      <c r="B1954" s="77"/>
      <c r="E1954" s="131"/>
      <c r="F1954" s="138"/>
      <c r="K1954" s="92"/>
      <c r="L1954"/>
    </row>
    <row r="1955" spans="2:12" ht="14.4">
      <c r="B1955" s="77"/>
      <c r="E1955" s="131"/>
      <c r="F1955" s="138"/>
      <c r="K1955" s="92"/>
      <c r="L1955"/>
    </row>
    <row r="1956" spans="2:12" ht="14.4">
      <c r="B1956" s="77"/>
      <c r="E1956" s="131"/>
      <c r="F1956" s="138"/>
      <c r="K1956" s="92"/>
      <c r="L1956"/>
    </row>
    <row r="1957" spans="2:12" ht="14.4">
      <c r="B1957" s="77"/>
      <c r="E1957" s="131"/>
      <c r="F1957" s="138"/>
      <c r="K1957" s="92"/>
      <c r="L1957"/>
    </row>
    <row r="1958" spans="2:12" ht="14.4">
      <c r="B1958" s="77"/>
      <c r="E1958" s="131"/>
      <c r="F1958" s="138"/>
      <c r="K1958" s="92"/>
      <c r="L1958"/>
    </row>
    <row r="1959" spans="2:12" ht="14.4">
      <c r="B1959" s="77"/>
      <c r="E1959" s="131"/>
      <c r="F1959" s="138"/>
      <c r="K1959" s="92"/>
      <c r="L1959"/>
    </row>
    <row r="1960" spans="2:12" ht="14.4">
      <c r="B1960" s="77"/>
      <c r="E1960" s="131"/>
      <c r="F1960" s="138"/>
      <c r="K1960" s="92"/>
      <c r="L1960"/>
    </row>
    <row r="1961" spans="2:12" ht="14.4">
      <c r="B1961" s="77"/>
      <c r="E1961" s="131"/>
      <c r="F1961" s="138"/>
      <c r="K1961" s="92"/>
      <c r="L1961"/>
    </row>
    <row r="1962" spans="2:12" ht="14.4">
      <c r="B1962" s="77"/>
      <c r="E1962" s="131"/>
      <c r="F1962" s="138"/>
      <c r="K1962" s="92"/>
      <c r="L1962"/>
    </row>
    <row r="1963" spans="2:12" ht="14.4">
      <c r="B1963" s="77"/>
      <c r="E1963" s="131"/>
      <c r="F1963" s="138"/>
      <c r="K1963" s="92"/>
      <c r="L1963"/>
    </row>
    <row r="1964" spans="2:12" ht="14.4">
      <c r="B1964" s="77"/>
      <c r="E1964" s="131"/>
      <c r="F1964" s="138"/>
      <c r="K1964" s="92"/>
      <c r="L1964"/>
    </row>
    <row r="1965" spans="2:12" ht="14.4">
      <c r="B1965" s="77"/>
      <c r="E1965" s="131"/>
      <c r="F1965" s="138"/>
      <c r="K1965" s="92"/>
      <c r="L1965"/>
    </row>
    <row r="1966" spans="2:12" ht="14.4">
      <c r="B1966" s="77"/>
      <c r="E1966" s="131"/>
      <c r="F1966" s="138"/>
      <c r="K1966" s="92"/>
      <c r="L1966"/>
    </row>
    <row r="1967" spans="2:12" ht="14.4">
      <c r="B1967" s="77"/>
      <c r="E1967" s="131"/>
      <c r="F1967" s="138"/>
      <c r="K1967" s="92"/>
      <c r="L1967"/>
    </row>
    <row r="1968" spans="2:12" ht="14.4">
      <c r="B1968" s="77"/>
      <c r="E1968" s="131"/>
      <c r="F1968" s="138"/>
      <c r="K1968" s="92"/>
      <c r="L1968"/>
    </row>
    <row r="1969" spans="2:12" ht="14.4">
      <c r="B1969" s="77"/>
      <c r="E1969" s="131"/>
      <c r="F1969" s="138"/>
      <c r="K1969" s="92"/>
      <c r="L1969"/>
    </row>
    <row r="1970" spans="2:12" ht="14.4">
      <c r="B1970" s="77"/>
      <c r="E1970" s="131"/>
      <c r="F1970" s="138"/>
      <c r="K1970" s="92"/>
      <c r="L1970"/>
    </row>
    <row r="1971" spans="2:12" ht="14.4">
      <c r="B1971" s="77"/>
      <c r="E1971" s="131"/>
      <c r="F1971" s="138"/>
      <c r="K1971" s="92"/>
      <c r="L1971"/>
    </row>
    <row r="1972" spans="2:12" ht="14.4">
      <c r="B1972" s="77"/>
      <c r="E1972" s="131"/>
      <c r="F1972" s="138"/>
      <c r="K1972" s="92"/>
      <c r="L1972"/>
    </row>
    <row r="1973" spans="2:12" ht="14.4">
      <c r="B1973" s="77"/>
      <c r="E1973" s="131"/>
      <c r="F1973" s="138"/>
      <c r="K1973" s="92"/>
      <c r="L1973"/>
    </row>
    <row r="1974" spans="2:12" ht="14.4">
      <c r="B1974" s="77"/>
      <c r="E1974" s="131"/>
      <c r="F1974" s="138"/>
      <c r="K1974" s="92"/>
      <c r="L1974"/>
    </row>
    <row r="1975" spans="2:12" ht="14.4">
      <c r="B1975" s="77"/>
      <c r="E1975" s="131"/>
      <c r="F1975" s="138"/>
      <c r="K1975" s="92"/>
      <c r="L1975"/>
    </row>
    <row r="1976" spans="2:12" ht="14.4">
      <c r="B1976" s="77"/>
      <c r="E1976" s="131"/>
      <c r="F1976" s="138"/>
      <c r="K1976" s="92"/>
      <c r="L1976"/>
    </row>
    <row r="1977" spans="2:12" ht="14.4">
      <c r="B1977" s="77"/>
      <c r="E1977" s="131"/>
      <c r="F1977" s="138"/>
      <c r="K1977" s="92"/>
      <c r="L1977"/>
    </row>
    <row r="1978" spans="2:12" ht="14.4">
      <c r="B1978" s="77"/>
      <c r="E1978" s="131"/>
      <c r="F1978" s="138"/>
      <c r="K1978" s="92"/>
      <c r="L1978"/>
    </row>
    <row r="1979" spans="2:12" ht="14.4">
      <c r="B1979" s="77"/>
      <c r="E1979" s="131"/>
      <c r="F1979" s="138"/>
      <c r="K1979" s="92"/>
      <c r="L1979"/>
    </row>
    <row r="1980" spans="2:12" ht="14.4">
      <c r="B1980" s="77"/>
      <c r="E1980" s="131"/>
      <c r="F1980" s="138"/>
      <c r="K1980" s="92"/>
      <c r="L1980"/>
    </row>
    <row r="1981" spans="2:12" ht="14.4">
      <c r="B1981" s="77"/>
      <c r="E1981" s="131"/>
      <c r="F1981" s="138"/>
      <c r="K1981" s="92"/>
      <c r="L1981"/>
    </row>
    <row r="1982" spans="2:12" ht="14.4">
      <c r="B1982" s="77"/>
      <c r="E1982" s="131"/>
      <c r="F1982" s="138"/>
      <c r="K1982" s="92"/>
      <c r="L1982"/>
    </row>
    <row r="1983" spans="2:12" ht="14.4">
      <c r="B1983" s="77"/>
      <c r="E1983" s="131"/>
      <c r="F1983" s="138"/>
      <c r="K1983" s="92"/>
      <c r="L1983"/>
    </row>
    <row r="1984" spans="2:12" ht="14.4">
      <c r="B1984" s="77"/>
      <c r="E1984" s="131"/>
      <c r="F1984" s="138"/>
      <c r="K1984" s="92"/>
      <c r="L1984"/>
    </row>
    <row r="1985" spans="2:12" ht="14.4">
      <c r="B1985" s="77"/>
      <c r="E1985" s="131"/>
      <c r="F1985" s="138"/>
      <c r="K1985" s="92"/>
      <c r="L1985"/>
    </row>
    <row r="1986" spans="2:12" ht="14.4">
      <c r="B1986" s="77"/>
      <c r="E1986" s="131"/>
      <c r="F1986" s="138"/>
      <c r="K1986" s="92"/>
      <c r="L1986"/>
    </row>
    <row r="1987" spans="2:12" ht="14.4">
      <c r="B1987" s="77"/>
      <c r="E1987" s="131"/>
      <c r="F1987" s="138"/>
      <c r="K1987" s="92"/>
      <c r="L1987"/>
    </row>
    <row r="1988" spans="2:12" ht="14.4">
      <c r="B1988" s="77"/>
      <c r="E1988" s="131"/>
      <c r="F1988" s="138"/>
      <c r="K1988" s="92"/>
      <c r="L1988"/>
    </row>
    <row r="1989" spans="2:12" ht="14.4">
      <c r="B1989" s="77"/>
      <c r="E1989" s="131"/>
      <c r="F1989" s="138"/>
      <c r="K1989" s="92"/>
      <c r="L1989"/>
    </row>
    <row r="1990" spans="2:12" ht="14.4">
      <c r="B1990" s="77"/>
      <c r="E1990" s="131"/>
      <c r="F1990" s="138"/>
      <c r="K1990" s="92"/>
      <c r="L1990"/>
    </row>
    <row r="1991" spans="2:12" ht="14.4">
      <c r="B1991" s="77"/>
      <c r="E1991" s="131"/>
      <c r="F1991" s="138"/>
      <c r="K1991" s="92"/>
      <c r="L1991"/>
    </row>
    <row r="1992" spans="2:12" ht="14.4">
      <c r="B1992" s="77"/>
      <c r="E1992" s="131"/>
      <c r="F1992" s="138"/>
      <c r="K1992" s="92"/>
      <c r="L1992"/>
    </row>
    <row r="1993" spans="2:12" ht="14.4">
      <c r="B1993" s="77"/>
      <c r="E1993" s="131"/>
      <c r="F1993" s="138"/>
      <c r="K1993" s="92"/>
      <c r="L1993"/>
    </row>
    <row r="1994" spans="2:12" ht="14.4">
      <c r="B1994" s="77"/>
      <c r="E1994" s="131"/>
      <c r="F1994" s="138"/>
      <c r="K1994" s="92"/>
      <c r="L1994"/>
    </row>
    <row r="1995" spans="2:12" ht="14.4">
      <c r="B1995" s="77"/>
      <c r="E1995" s="131"/>
      <c r="F1995" s="138"/>
      <c r="K1995" s="92"/>
      <c r="L1995"/>
    </row>
    <row r="1996" spans="2:12" ht="14.4">
      <c r="B1996" s="77"/>
      <c r="E1996" s="131"/>
      <c r="F1996" s="138"/>
      <c r="K1996" s="92"/>
      <c r="L1996"/>
    </row>
    <row r="1997" spans="2:12" ht="14.4">
      <c r="B1997" s="77"/>
      <c r="E1997" s="131"/>
      <c r="F1997" s="138"/>
      <c r="K1997" s="92"/>
      <c r="L1997"/>
    </row>
    <row r="1998" spans="2:12" ht="14.4">
      <c r="B1998" s="77"/>
      <c r="E1998" s="131"/>
      <c r="F1998" s="138"/>
      <c r="K1998" s="92"/>
      <c r="L1998"/>
    </row>
    <row r="1999" spans="2:12" ht="14.4">
      <c r="B1999" s="77"/>
      <c r="E1999" s="131"/>
      <c r="F1999" s="138"/>
      <c r="K1999" s="92"/>
      <c r="L1999"/>
    </row>
    <row r="2000" spans="2:12" ht="14.4">
      <c r="B2000" s="77"/>
      <c r="E2000" s="131"/>
      <c r="F2000" s="138"/>
      <c r="K2000" s="92"/>
      <c r="L2000"/>
    </row>
    <row r="2001" spans="2:12" ht="14.4">
      <c r="B2001" s="77"/>
      <c r="E2001" s="131"/>
      <c r="F2001" s="138"/>
      <c r="K2001" s="92"/>
      <c r="L2001"/>
    </row>
    <row r="2002" spans="2:12" ht="14.4">
      <c r="B2002" s="77"/>
      <c r="E2002" s="131"/>
      <c r="F2002" s="138"/>
      <c r="K2002" s="92"/>
      <c r="L2002"/>
    </row>
    <row r="2003" spans="2:12" ht="14.4">
      <c r="B2003" s="77"/>
      <c r="E2003" s="131"/>
      <c r="F2003" s="138"/>
      <c r="K2003" s="92"/>
      <c r="L2003"/>
    </row>
    <row r="2004" spans="2:12" ht="14.4">
      <c r="B2004" s="77"/>
      <c r="E2004" s="131"/>
      <c r="F2004" s="138"/>
      <c r="K2004" s="92"/>
      <c r="L2004"/>
    </row>
    <row r="2005" spans="2:12" ht="14.4">
      <c r="B2005" s="77"/>
      <c r="E2005" s="131"/>
      <c r="F2005" s="138"/>
      <c r="K2005" s="92"/>
      <c r="L2005"/>
    </row>
    <row r="2006" spans="2:12" ht="14.4">
      <c r="B2006" s="77"/>
      <c r="E2006" s="131"/>
      <c r="F2006" s="138"/>
      <c r="K2006" s="92"/>
      <c r="L2006"/>
    </row>
    <row r="2007" spans="2:12" ht="14.4">
      <c r="B2007" s="77"/>
      <c r="E2007" s="131"/>
      <c r="F2007" s="138"/>
      <c r="K2007" s="92"/>
      <c r="L2007"/>
    </row>
    <row r="2008" spans="2:12" ht="14.4">
      <c r="B2008" s="77"/>
      <c r="E2008" s="131"/>
      <c r="F2008" s="138"/>
      <c r="K2008" s="92"/>
      <c r="L2008"/>
    </row>
    <row r="2009" spans="2:12" ht="14.4">
      <c r="B2009" s="77"/>
      <c r="E2009" s="131"/>
      <c r="F2009" s="138"/>
      <c r="K2009" s="92"/>
      <c r="L2009"/>
    </row>
    <row r="2010" spans="2:12" ht="14.4">
      <c r="B2010" s="77"/>
      <c r="E2010" s="131"/>
      <c r="F2010" s="138"/>
      <c r="K2010" s="92"/>
      <c r="L2010"/>
    </row>
    <row r="2011" spans="2:12" ht="14.4">
      <c r="B2011" s="77"/>
      <c r="E2011" s="131"/>
      <c r="F2011" s="138"/>
      <c r="K2011" s="92"/>
      <c r="L2011"/>
    </row>
    <row r="2012" spans="2:12" ht="14.4">
      <c r="B2012" s="77"/>
      <c r="E2012" s="131"/>
      <c r="F2012" s="138"/>
      <c r="K2012" s="92"/>
      <c r="L2012"/>
    </row>
    <row r="2013" spans="2:12" ht="14.4">
      <c r="B2013" s="77"/>
      <c r="E2013" s="131"/>
      <c r="F2013" s="138"/>
      <c r="K2013" s="92"/>
      <c r="L2013"/>
    </row>
    <row r="2014" spans="2:12" ht="14.4">
      <c r="B2014" s="77"/>
      <c r="E2014" s="131"/>
      <c r="F2014" s="138"/>
      <c r="K2014" s="92"/>
      <c r="L2014"/>
    </row>
    <row r="2015" spans="2:12" ht="14.4">
      <c r="B2015" s="77"/>
      <c r="E2015" s="131"/>
      <c r="F2015" s="138"/>
      <c r="K2015" s="92"/>
      <c r="L2015"/>
    </row>
    <row r="2016" spans="2:12" ht="14.4">
      <c r="B2016" s="77"/>
      <c r="E2016" s="131"/>
      <c r="F2016" s="138"/>
      <c r="K2016" s="92"/>
      <c r="L2016"/>
    </row>
    <row r="2017" spans="2:12" ht="14.4">
      <c r="B2017" s="77"/>
      <c r="E2017" s="131"/>
      <c r="F2017" s="138"/>
      <c r="K2017" s="92"/>
      <c r="L2017"/>
    </row>
    <row r="2018" spans="2:12" ht="14.4">
      <c r="B2018" s="77"/>
      <c r="E2018" s="131"/>
      <c r="F2018" s="138"/>
      <c r="K2018" s="92"/>
      <c r="L2018"/>
    </row>
    <row r="2019" spans="2:12" ht="14.4">
      <c r="B2019" s="77"/>
      <c r="E2019" s="131"/>
      <c r="F2019" s="138"/>
      <c r="K2019" s="92"/>
      <c r="L2019"/>
    </row>
    <row r="2020" spans="2:12" ht="14.4">
      <c r="B2020" s="77"/>
      <c r="E2020" s="131"/>
      <c r="F2020" s="138"/>
      <c r="K2020" s="92"/>
      <c r="L2020"/>
    </row>
    <row r="2021" spans="2:12" ht="14.4">
      <c r="B2021" s="77"/>
      <c r="E2021" s="131"/>
      <c r="F2021" s="138"/>
      <c r="K2021" s="92"/>
      <c r="L2021"/>
    </row>
    <row r="2022" spans="2:12" ht="14.4">
      <c r="B2022" s="77"/>
      <c r="E2022" s="131"/>
      <c r="F2022" s="138"/>
      <c r="K2022" s="92"/>
      <c r="L2022"/>
    </row>
    <row r="2023" spans="2:12" ht="14.4">
      <c r="B2023" s="77"/>
      <c r="E2023" s="131"/>
      <c r="F2023" s="138"/>
      <c r="K2023" s="92"/>
      <c r="L2023"/>
    </row>
    <row r="2024" spans="2:12" ht="14.4">
      <c r="B2024" s="77"/>
      <c r="E2024" s="131"/>
      <c r="F2024" s="138"/>
      <c r="K2024" s="92"/>
      <c r="L2024"/>
    </row>
    <row r="2025" spans="2:12" ht="14.4">
      <c r="B2025" s="77"/>
      <c r="E2025" s="131"/>
      <c r="F2025" s="138"/>
      <c r="K2025" s="92"/>
      <c r="L2025"/>
    </row>
    <row r="2026" spans="2:12" ht="14.4">
      <c r="B2026" s="77"/>
      <c r="E2026" s="131"/>
      <c r="F2026" s="138"/>
      <c r="K2026" s="92"/>
      <c r="L2026"/>
    </row>
    <row r="2027" spans="2:12" ht="14.4">
      <c r="B2027" s="77"/>
      <c r="E2027" s="131"/>
      <c r="F2027" s="138"/>
      <c r="K2027" s="92"/>
      <c r="L2027"/>
    </row>
    <row r="2028" spans="2:12" ht="14.4">
      <c r="B2028" s="77"/>
      <c r="E2028" s="131"/>
      <c r="F2028" s="138"/>
      <c r="K2028" s="92"/>
      <c r="L2028"/>
    </row>
    <row r="2029" spans="2:12" ht="14.4">
      <c r="B2029" s="77"/>
      <c r="E2029" s="131"/>
      <c r="F2029" s="138"/>
      <c r="K2029" s="92"/>
      <c r="L2029"/>
    </row>
    <row r="2030" spans="2:12" ht="14.4">
      <c r="B2030" s="77"/>
      <c r="E2030" s="131"/>
      <c r="F2030" s="138"/>
      <c r="K2030" s="92"/>
      <c r="L2030"/>
    </row>
    <row r="2031" spans="2:12" ht="14.4">
      <c r="B2031" s="77"/>
      <c r="E2031" s="131"/>
      <c r="F2031" s="138"/>
      <c r="K2031" s="92"/>
      <c r="L2031"/>
    </row>
    <row r="2032" spans="2:12" ht="14.4">
      <c r="B2032" s="77"/>
      <c r="E2032" s="131"/>
      <c r="F2032" s="138"/>
      <c r="K2032" s="92"/>
      <c r="L2032"/>
    </row>
    <row r="2033" spans="2:12" ht="14.4">
      <c r="B2033" s="77"/>
      <c r="E2033" s="131"/>
      <c r="F2033" s="138"/>
      <c r="K2033" s="92"/>
      <c r="L2033"/>
    </row>
    <row r="2034" spans="2:12" ht="14.4">
      <c r="B2034" s="77"/>
      <c r="E2034" s="131"/>
      <c r="F2034" s="138"/>
      <c r="K2034" s="92"/>
      <c r="L2034"/>
    </row>
    <row r="2035" spans="2:12" ht="14.4">
      <c r="B2035" s="77"/>
      <c r="E2035" s="131"/>
      <c r="F2035" s="138"/>
      <c r="K2035" s="92"/>
      <c r="L2035"/>
    </row>
    <row r="2036" spans="2:12" ht="14.4">
      <c r="B2036" s="77"/>
      <c r="E2036" s="131"/>
      <c r="F2036" s="138"/>
      <c r="K2036" s="92"/>
      <c r="L2036"/>
    </row>
    <row r="2037" spans="2:12" ht="14.4">
      <c r="B2037" s="77"/>
      <c r="E2037" s="131"/>
      <c r="F2037" s="138"/>
      <c r="K2037" s="92"/>
      <c r="L2037"/>
    </row>
    <row r="2038" spans="2:12" ht="14.4">
      <c r="B2038" s="77"/>
      <c r="E2038" s="131"/>
      <c r="F2038" s="138"/>
      <c r="K2038" s="92"/>
      <c r="L2038"/>
    </row>
    <row r="2039" spans="2:12" ht="14.4">
      <c r="B2039" s="77"/>
      <c r="E2039" s="131"/>
      <c r="F2039" s="138"/>
      <c r="K2039" s="92"/>
      <c r="L2039"/>
    </row>
    <row r="2040" spans="2:12" ht="14.4">
      <c r="B2040" s="77"/>
      <c r="E2040" s="131"/>
      <c r="F2040" s="138"/>
      <c r="K2040" s="92"/>
      <c r="L2040"/>
    </row>
    <row r="2041" spans="2:12" ht="14.4">
      <c r="B2041" s="77"/>
      <c r="E2041" s="131"/>
      <c r="F2041" s="138"/>
      <c r="K2041" s="92"/>
      <c r="L2041"/>
    </row>
    <row r="2042" spans="2:12" ht="14.4">
      <c r="B2042" s="77"/>
      <c r="E2042" s="131"/>
      <c r="F2042" s="138"/>
      <c r="K2042" s="92"/>
      <c r="L2042"/>
    </row>
    <row r="2043" spans="2:12" ht="14.4">
      <c r="B2043" s="77"/>
      <c r="E2043" s="131"/>
      <c r="F2043" s="138"/>
      <c r="K2043" s="92"/>
      <c r="L2043"/>
    </row>
    <row r="2044" spans="2:12" ht="14.4">
      <c r="B2044" s="77"/>
      <c r="E2044" s="131"/>
      <c r="F2044" s="138"/>
      <c r="K2044" s="92"/>
      <c r="L2044"/>
    </row>
    <row r="2045" spans="2:12" ht="14.4">
      <c r="B2045" s="77"/>
      <c r="E2045" s="131"/>
      <c r="F2045" s="138"/>
      <c r="K2045" s="92"/>
      <c r="L2045"/>
    </row>
    <row r="2046" spans="2:12" ht="14.4">
      <c r="B2046" s="77"/>
      <c r="E2046" s="131"/>
      <c r="F2046" s="138"/>
      <c r="K2046" s="92"/>
      <c r="L2046"/>
    </row>
    <row r="2047" spans="2:12" ht="14.4">
      <c r="B2047" s="77"/>
      <c r="E2047" s="131"/>
      <c r="F2047" s="138"/>
      <c r="K2047" s="92"/>
      <c r="L2047"/>
    </row>
    <row r="2048" spans="2:12" ht="14.4">
      <c r="B2048" s="77"/>
      <c r="E2048" s="131"/>
      <c r="F2048" s="138"/>
      <c r="K2048" s="92"/>
      <c r="L2048"/>
    </row>
    <row r="2049" spans="2:12" ht="14.4">
      <c r="B2049" s="77"/>
      <c r="E2049" s="131"/>
      <c r="F2049" s="138"/>
      <c r="K2049" s="92"/>
      <c r="L2049"/>
    </row>
    <row r="2050" spans="2:12" ht="14.4">
      <c r="B2050" s="77"/>
      <c r="E2050" s="131"/>
      <c r="F2050" s="138"/>
      <c r="K2050" s="92"/>
      <c r="L2050"/>
    </row>
    <row r="2051" spans="2:12" ht="14.4">
      <c r="B2051" s="77"/>
      <c r="E2051" s="131"/>
      <c r="F2051" s="138"/>
      <c r="K2051" s="92"/>
      <c r="L2051"/>
    </row>
    <row r="2052" spans="2:12" ht="14.4">
      <c r="B2052" s="77"/>
      <c r="E2052" s="131"/>
      <c r="F2052" s="138"/>
      <c r="K2052" s="92"/>
      <c r="L2052"/>
    </row>
    <row r="2053" spans="2:12" ht="14.4">
      <c r="B2053" s="77"/>
      <c r="E2053" s="131"/>
      <c r="F2053" s="138"/>
      <c r="K2053" s="92"/>
      <c r="L2053"/>
    </row>
    <row r="2054" spans="2:12" ht="14.4">
      <c r="B2054" s="77"/>
      <c r="E2054" s="131"/>
      <c r="F2054" s="138"/>
      <c r="K2054" s="92"/>
      <c r="L2054"/>
    </row>
    <row r="2055" spans="2:12" ht="14.4">
      <c r="B2055" s="77"/>
      <c r="E2055" s="131"/>
      <c r="F2055" s="138"/>
      <c r="K2055" s="92"/>
      <c r="L2055"/>
    </row>
    <row r="2056" spans="2:12" ht="14.4">
      <c r="B2056" s="77"/>
      <c r="E2056" s="131"/>
      <c r="F2056" s="138"/>
      <c r="K2056" s="92"/>
      <c r="L2056"/>
    </row>
    <row r="2057" spans="2:12" ht="14.4">
      <c r="B2057" s="77"/>
      <c r="E2057" s="131"/>
      <c r="F2057" s="138"/>
      <c r="K2057" s="92"/>
      <c r="L2057"/>
    </row>
    <row r="2058" spans="2:12" ht="14.4">
      <c r="B2058" s="77"/>
      <c r="E2058" s="131"/>
      <c r="F2058" s="138"/>
      <c r="K2058" s="92"/>
      <c r="L2058"/>
    </row>
    <row r="2059" spans="2:12" ht="14.4">
      <c r="B2059" s="77"/>
      <c r="E2059" s="131"/>
      <c r="F2059" s="138"/>
      <c r="K2059" s="92"/>
      <c r="L2059"/>
    </row>
    <row r="2060" spans="2:12" ht="14.4">
      <c r="B2060" s="77"/>
      <c r="E2060" s="131"/>
      <c r="F2060" s="138"/>
      <c r="K2060" s="92"/>
      <c r="L2060"/>
    </row>
    <row r="2061" spans="2:12" ht="14.4">
      <c r="B2061" s="77"/>
      <c r="E2061" s="131"/>
      <c r="F2061" s="138"/>
      <c r="K2061" s="92"/>
      <c r="L2061"/>
    </row>
    <row r="2062" spans="2:12" ht="14.4">
      <c r="B2062" s="77"/>
      <c r="E2062" s="131"/>
      <c r="F2062" s="138"/>
      <c r="K2062" s="92"/>
      <c r="L2062"/>
    </row>
    <row r="2063" spans="2:12" ht="14.4">
      <c r="B2063" s="77"/>
      <c r="E2063" s="131"/>
      <c r="F2063" s="138"/>
      <c r="K2063" s="92"/>
      <c r="L2063"/>
    </row>
    <row r="2064" spans="2:12" ht="14.4">
      <c r="B2064" s="77"/>
      <c r="E2064" s="131"/>
      <c r="F2064" s="138"/>
      <c r="K2064" s="92"/>
      <c r="L2064"/>
    </row>
    <row r="2065" spans="2:12" ht="14.4">
      <c r="B2065" s="77"/>
      <c r="E2065" s="131"/>
      <c r="F2065" s="138"/>
      <c r="K2065" s="92"/>
      <c r="L2065"/>
    </row>
    <row r="2066" spans="2:12" ht="14.4">
      <c r="B2066" s="77"/>
      <c r="E2066" s="131"/>
      <c r="F2066" s="138"/>
      <c r="K2066" s="92"/>
      <c r="L2066"/>
    </row>
    <row r="2067" spans="2:12" ht="14.4">
      <c r="B2067" s="77"/>
      <c r="E2067" s="131"/>
      <c r="F2067" s="138"/>
      <c r="K2067" s="92"/>
      <c r="L2067"/>
    </row>
    <row r="2068" spans="2:12" ht="14.4">
      <c r="B2068" s="77"/>
      <c r="E2068" s="131"/>
      <c r="F2068" s="138"/>
      <c r="K2068" s="92"/>
      <c r="L2068"/>
    </row>
    <row r="2069" spans="2:12" ht="14.4">
      <c r="B2069" s="77"/>
      <c r="E2069" s="131"/>
      <c r="F2069" s="138"/>
      <c r="K2069" s="92"/>
      <c r="L2069"/>
    </row>
    <row r="2070" spans="2:12" ht="14.4">
      <c r="B2070" s="77"/>
      <c r="E2070" s="131"/>
      <c r="F2070" s="138"/>
      <c r="K2070" s="92"/>
      <c r="L2070"/>
    </row>
    <row r="2071" spans="2:12" ht="14.4">
      <c r="B2071" s="77"/>
      <c r="E2071" s="131"/>
      <c r="F2071" s="138"/>
      <c r="K2071" s="92"/>
      <c r="L2071"/>
    </row>
    <row r="2072" spans="2:12" ht="14.4">
      <c r="B2072" s="77"/>
      <c r="E2072" s="131"/>
      <c r="F2072" s="138"/>
      <c r="K2072" s="92"/>
      <c r="L2072"/>
    </row>
    <row r="2073" spans="2:12" ht="14.4">
      <c r="B2073" s="77"/>
      <c r="E2073" s="131"/>
      <c r="F2073" s="138"/>
      <c r="K2073" s="92"/>
      <c r="L2073"/>
    </row>
    <row r="2074" spans="2:12" ht="14.4">
      <c r="B2074" s="77"/>
      <c r="E2074" s="131"/>
      <c r="F2074" s="138"/>
      <c r="K2074" s="92"/>
      <c r="L2074"/>
    </row>
    <row r="2075" spans="2:12" ht="14.4">
      <c r="B2075" s="77"/>
      <c r="E2075" s="131"/>
      <c r="F2075" s="138"/>
      <c r="K2075" s="92"/>
      <c r="L2075"/>
    </row>
    <row r="2076" spans="2:12" ht="14.4">
      <c r="B2076" s="77"/>
      <c r="E2076" s="131"/>
      <c r="F2076" s="138"/>
      <c r="K2076" s="92"/>
      <c r="L2076"/>
    </row>
    <row r="2077" spans="2:12" ht="14.4">
      <c r="B2077" s="77"/>
      <c r="E2077" s="131"/>
      <c r="F2077" s="138"/>
      <c r="K2077" s="92"/>
      <c r="L2077"/>
    </row>
    <row r="2078" spans="2:12" ht="14.4">
      <c r="B2078" s="77"/>
      <c r="E2078" s="131"/>
      <c r="F2078" s="138"/>
      <c r="K2078" s="92"/>
      <c r="L2078"/>
    </row>
    <row r="2079" spans="2:12" ht="14.4">
      <c r="B2079" s="77"/>
      <c r="E2079" s="131"/>
      <c r="F2079" s="138"/>
      <c r="K2079" s="92"/>
      <c r="L2079"/>
    </row>
    <row r="2080" spans="2:12" ht="14.4">
      <c r="B2080" s="77"/>
      <c r="E2080" s="131"/>
      <c r="F2080" s="138"/>
      <c r="K2080" s="92"/>
      <c r="L2080"/>
    </row>
    <row r="2081" spans="2:12" ht="14.4">
      <c r="B2081" s="77"/>
      <c r="E2081" s="131"/>
      <c r="F2081" s="138"/>
      <c r="K2081" s="92"/>
      <c r="L2081"/>
    </row>
    <row r="2082" spans="2:12" ht="14.4">
      <c r="B2082" s="77"/>
      <c r="E2082" s="131"/>
      <c r="F2082" s="138"/>
      <c r="K2082" s="92"/>
      <c r="L2082"/>
    </row>
    <row r="2083" spans="2:12" ht="14.4">
      <c r="B2083" s="77"/>
      <c r="E2083" s="131"/>
      <c r="F2083" s="138"/>
      <c r="K2083" s="92"/>
      <c r="L2083"/>
    </row>
    <row r="2084" spans="2:12" ht="14.4">
      <c r="B2084" s="77"/>
      <c r="E2084" s="131"/>
      <c r="F2084" s="138"/>
      <c r="K2084" s="92"/>
      <c r="L2084"/>
    </row>
    <row r="2085" spans="2:12" ht="14.4">
      <c r="B2085" s="77"/>
      <c r="E2085" s="131"/>
      <c r="F2085" s="138"/>
      <c r="K2085" s="92"/>
      <c r="L2085"/>
    </row>
    <row r="2086" spans="2:12" ht="14.4">
      <c r="B2086" s="77"/>
      <c r="E2086" s="131"/>
      <c r="F2086" s="138"/>
      <c r="K2086" s="92"/>
      <c r="L2086"/>
    </row>
    <row r="2087" spans="2:12" ht="14.4">
      <c r="B2087" s="77"/>
      <c r="E2087" s="131"/>
      <c r="F2087" s="138"/>
      <c r="K2087" s="92"/>
      <c r="L2087"/>
    </row>
    <row r="2088" spans="2:12" ht="14.4">
      <c r="B2088" s="77"/>
      <c r="E2088" s="131"/>
      <c r="F2088" s="138"/>
      <c r="K2088" s="92"/>
      <c r="L2088"/>
    </row>
    <row r="2089" spans="2:12" ht="14.4">
      <c r="B2089" s="77"/>
      <c r="E2089" s="131"/>
      <c r="F2089" s="138"/>
      <c r="K2089" s="92"/>
      <c r="L2089"/>
    </row>
    <row r="2090" spans="2:12" ht="14.4">
      <c r="B2090" s="77"/>
      <c r="E2090" s="131"/>
      <c r="F2090" s="138"/>
      <c r="K2090" s="92"/>
      <c r="L2090"/>
    </row>
    <row r="2091" spans="2:12" ht="14.4">
      <c r="B2091" s="77"/>
      <c r="E2091" s="131"/>
      <c r="F2091" s="138"/>
      <c r="K2091" s="92"/>
      <c r="L2091"/>
    </row>
    <row r="2092" spans="2:12" ht="14.4">
      <c r="B2092" s="77"/>
      <c r="E2092" s="131"/>
      <c r="F2092" s="138"/>
      <c r="K2092" s="92"/>
      <c r="L2092"/>
    </row>
    <row r="2093" spans="2:12" ht="14.4">
      <c r="B2093" s="77"/>
      <c r="E2093" s="131"/>
      <c r="F2093" s="138"/>
      <c r="K2093" s="92"/>
      <c r="L2093"/>
    </row>
    <row r="2094" spans="2:12" ht="14.4">
      <c r="B2094" s="77"/>
      <c r="E2094" s="131"/>
      <c r="F2094" s="138"/>
      <c r="K2094" s="92"/>
      <c r="L2094"/>
    </row>
    <row r="2095" spans="2:12" ht="14.4">
      <c r="B2095" s="77"/>
      <c r="E2095" s="131"/>
      <c r="F2095" s="138"/>
      <c r="K2095" s="92"/>
      <c r="L2095"/>
    </row>
    <row r="2096" spans="2:12" ht="14.4">
      <c r="B2096" s="77"/>
      <c r="E2096" s="131"/>
      <c r="F2096" s="138"/>
      <c r="K2096" s="92"/>
      <c r="L2096"/>
    </row>
    <row r="2097" spans="2:12" ht="14.4">
      <c r="B2097" s="77"/>
      <c r="E2097" s="131"/>
      <c r="F2097" s="138"/>
      <c r="K2097" s="92"/>
      <c r="L2097"/>
    </row>
    <row r="2098" spans="2:12" ht="14.4">
      <c r="B2098" s="77"/>
      <c r="E2098" s="131"/>
      <c r="F2098" s="138"/>
      <c r="K2098" s="92"/>
      <c r="L2098"/>
    </row>
    <row r="2099" spans="2:12" ht="14.4">
      <c r="B2099" s="77"/>
      <c r="E2099" s="131"/>
      <c r="F2099" s="138"/>
      <c r="K2099" s="92"/>
      <c r="L2099"/>
    </row>
    <row r="2100" spans="2:12" ht="14.4">
      <c r="B2100" s="77"/>
      <c r="E2100" s="131"/>
      <c r="F2100" s="138"/>
      <c r="K2100" s="92"/>
      <c r="L2100"/>
    </row>
    <row r="2101" spans="2:12" ht="14.4">
      <c r="B2101" s="77"/>
      <c r="E2101" s="131"/>
      <c r="F2101" s="138"/>
      <c r="K2101" s="92"/>
      <c r="L2101"/>
    </row>
    <row r="2102" spans="2:12" ht="14.4">
      <c r="B2102" s="77"/>
      <c r="E2102" s="131"/>
      <c r="F2102" s="138"/>
      <c r="K2102" s="92"/>
      <c r="L2102"/>
    </row>
    <row r="2103" spans="2:12" ht="14.4">
      <c r="B2103" s="77"/>
      <c r="E2103" s="131"/>
      <c r="F2103" s="138"/>
      <c r="K2103" s="92"/>
      <c r="L2103"/>
    </row>
    <row r="2104" spans="2:12" ht="14.4">
      <c r="B2104" s="77"/>
      <c r="E2104" s="131"/>
      <c r="F2104" s="138"/>
      <c r="K2104" s="92"/>
      <c r="L2104"/>
    </row>
    <row r="2105" spans="2:12" ht="14.4">
      <c r="B2105" s="77"/>
      <c r="E2105" s="131"/>
      <c r="F2105" s="138"/>
      <c r="K2105" s="92"/>
      <c r="L2105"/>
    </row>
    <row r="2106" spans="2:12" ht="14.4">
      <c r="B2106" s="77"/>
      <c r="E2106" s="131"/>
      <c r="F2106" s="138"/>
      <c r="K2106" s="92"/>
      <c r="L2106"/>
    </row>
    <row r="2107" spans="2:12" ht="14.4">
      <c r="B2107" s="77"/>
      <c r="E2107" s="131"/>
      <c r="F2107" s="138"/>
      <c r="K2107" s="92"/>
      <c r="L2107"/>
    </row>
    <row r="2108" spans="2:12" ht="14.4">
      <c r="B2108" s="77"/>
      <c r="E2108" s="131"/>
      <c r="F2108" s="138"/>
      <c r="K2108" s="92"/>
      <c r="L2108"/>
    </row>
    <row r="2109" spans="2:12" ht="14.4">
      <c r="B2109" s="77"/>
      <c r="E2109" s="131"/>
      <c r="F2109" s="138"/>
      <c r="K2109" s="92"/>
      <c r="L2109"/>
    </row>
    <row r="2110" spans="2:12" ht="14.4">
      <c r="B2110" s="77"/>
      <c r="E2110" s="131"/>
      <c r="F2110" s="138"/>
      <c r="K2110" s="92"/>
      <c r="L2110"/>
    </row>
    <row r="2111" spans="2:12" ht="14.4">
      <c r="B2111" s="77"/>
      <c r="E2111" s="131"/>
      <c r="F2111" s="138"/>
      <c r="K2111" s="92"/>
      <c r="L2111"/>
    </row>
    <row r="2112" spans="2:12" ht="14.4">
      <c r="B2112" s="77"/>
      <c r="E2112" s="131"/>
      <c r="F2112" s="138"/>
      <c r="K2112" s="92"/>
      <c r="L2112"/>
    </row>
    <row r="2113" spans="2:12" ht="14.4">
      <c r="B2113" s="77"/>
      <c r="E2113" s="131"/>
      <c r="F2113" s="138"/>
      <c r="K2113" s="92"/>
      <c r="L2113"/>
    </row>
    <row r="2114" spans="2:12" ht="14.4">
      <c r="B2114" s="77"/>
      <c r="E2114" s="131"/>
      <c r="F2114" s="138"/>
      <c r="K2114" s="92"/>
      <c r="L2114"/>
    </row>
    <row r="2115" spans="2:12" ht="14.4">
      <c r="B2115" s="77"/>
      <c r="E2115" s="131"/>
      <c r="F2115" s="138"/>
      <c r="K2115" s="92"/>
      <c r="L2115"/>
    </row>
    <row r="2116" spans="2:12" ht="14.4">
      <c r="B2116" s="77"/>
      <c r="E2116" s="131"/>
      <c r="F2116" s="138"/>
      <c r="K2116" s="92"/>
      <c r="L2116"/>
    </row>
    <row r="2117" spans="2:12" ht="14.4">
      <c r="B2117" s="77"/>
      <c r="E2117" s="131"/>
      <c r="F2117" s="138"/>
      <c r="K2117" s="92"/>
      <c r="L2117"/>
    </row>
    <row r="2118" spans="2:12" ht="14.4">
      <c r="B2118" s="77"/>
      <c r="E2118" s="131"/>
      <c r="F2118" s="138"/>
      <c r="K2118" s="92"/>
      <c r="L2118"/>
    </row>
    <row r="2119" spans="2:12" ht="14.4">
      <c r="B2119" s="77"/>
      <c r="E2119" s="131"/>
      <c r="F2119" s="138"/>
      <c r="K2119" s="92"/>
      <c r="L2119"/>
    </row>
    <row r="2120" spans="2:12" ht="14.4">
      <c r="B2120" s="77"/>
      <c r="E2120" s="131"/>
      <c r="F2120" s="138"/>
      <c r="K2120" s="92"/>
      <c r="L2120"/>
    </row>
    <row r="2121" spans="2:12" ht="14.4">
      <c r="B2121" s="77"/>
      <c r="E2121" s="131"/>
      <c r="F2121" s="138"/>
      <c r="K2121" s="92"/>
      <c r="L2121"/>
    </row>
    <row r="2122" spans="2:12" ht="14.4">
      <c r="B2122" s="77"/>
      <c r="E2122" s="131"/>
      <c r="F2122" s="138"/>
      <c r="K2122" s="92"/>
      <c r="L2122"/>
    </row>
    <row r="2123" spans="2:12" ht="14.4">
      <c r="B2123" s="77"/>
      <c r="E2123" s="131"/>
      <c r="F2123" s="138"/>
      <c r="K2123" s="92"/>
      <c r="L2123"/>
    </row>
    <row r="2124" spans="2:12" ht="14.4">
      <c r="B2124" s="77"/>
      <c r="E2124" s="131"/>
      <c r="F2124" s="138"/>
      <c r="K2124" s="92"/>
      <c r="L2124"/>
    </row>
    <row r="2125" spans="2:12" ht="14.4">
      <c r="B2125" s="77"/>
      <c r="E2125" s="131"/>
      <c r="F2125" s="138"/>
      <c r="K2125" s="92"/>
      <c r="L2125"/>
    </row>
    <row r="2126" spans="2:12" ht="14.4">
      <c r="B2126" s="77"/>
      <c r="E2126" s="131"/>
      <c r="F2126" s="138"/>
      <c r="K2126" s="92"/>
      <c r="L2126"/>
    </row>
    <row r="2127" spans="2:12" ht="14.4">
      <c r="B2127" s="77"/>
      <c r="E2127" s="131"/>
      <c r="F2127" s="138"/>
      <c r="K2127" s="92"/>
      <c r="L2127"/>
    </row>
    <row r="2128" spans="2:12" ht="14.4">
      <c r="B2128" s="77"/>
      <c r="E2128" s="131"/>
      <c r="F2128" s="138"/>
      <c r="K2128" s="92"/>
      <c r="L2128"/>
    </row>
    <row r="2129" spans="2:12" ht="14.4">
      <c r="B2129" s="77"/>
      <c r="E2129" s="131"/>
      <c r="F2129" s="138"/>
      <c r="K2129" s="92"/>
      <c r="L2129"/>
    </row>
    <row r="2130" spans="2:12" ht="14.4">
      <c r="B2130" s="77"/>
      <c r="E2130" s="131"/>
      <c r="F2130" s="138"/>
      <c r="K2130" s="92"/>
      <c r="L2130"/>
    </row>
    <row r="2131" spans="2:12" ht="14.4">
      <c r="B2131" s="77"/>
      <c r="E2131" s="131"/>
      <c r="F2131" s="138"/>
      <c r="K2131" s="92"/>
      <c r="L2131"/>
    </row>
    <row r="2132" spans="2:12" ht="14.4">
      <c r="B2132" s="77"/>
      <c r="E2132" s="131"/>
      <c r="F2132" s="138"/>
      <c r="K2132" s="92"/>
      <c r="L2132"/>
    </row>
    <row r="2133" spans="2:12" ht="14.4">
      <c r="B2133" s="77"/>
      <c r="E2133" s="131"/>
      <c r="F2133" s="138"/>
      <c r="K2133" s="92"/>
      <c r="L2133"/>
    </row>
    <row r="2134" spans="2:12" ht="14.4">
      <c r="B2134" s="77"/>
      <c r="E2134" s="131"/>
      <c r="F2134" s="138"/>
      <c r="K2134" s="92"/>
      <c r="L2134"/>
    </row>
    <row r="2135" spans="2:12" ht="14.4">
      <c r="B2135" s="77"/>
      <c r="E2135" s="131"/>
      <c r="F2135" s="138"/>
      <c r="K2135" s="92"/>
      <c r="L2135"/>
    </row>
    <row r="2136" spans="2:12" ht="14.4">
      <c r="B2136" s="77"/>
      <c r="E2136" s="131"/>
      <c r="F2136" s="138"/>
      <c r="K2136" s="92"/>
      <c r="L2136"/>
    </row>
    <row r="2137" spans="2:12" ht="14.4">
      <c r="B2137" s="77"/>
      <c r="E2137" s="131"/>
      <c r="F2137" s="138"/>
      <c r="K2137" s="92"/>
      <c r="L2137"/>
    </row>
    <row r="2138" spans="2:12" ht="14.4">
      <c r="B2138" s="77"/>
      <c r="E2138" s="131"/>
      <c r="F2138" s="138"/>
      <c r="K2138" s="92"/>
      <c r="L2138"/>
    </row>
    <row r="2139" spans="2:12" ht="14.4">
      <c r="B2139" s="77"/>
      <c r="E2139" s="131"/>
      <c r="F2139" s="138"/>
      <c r="K2139" s="92"/>
      <c r="L2139"/>
    </row>
    <row r="2140" spans="2:12" ht="14.4">
      <c r="B2140" s="77"/>
      <c r="E2140" s="131"/>
      <c r="F2140" s="138"/>
      <c r="K2140" s="92"/>
      <c r="L2140"/>
    </row>
    <row r="2141" spans="2:12" ht="14.4">
      <c r="B2141" s="77"/>
      <c r="E2141" s="131"/>
      <c r="F2141" s="138"/>
      <c r="K2141" s="92"/>
      <c r="L2141"/>
    </row>
    <row r="2142" spans="2:12" ht="14.4">
      <c r="B2142" s="77"/>
      <c r="E2142" s="131"/>
      <c r="F2142" s="138"/>
      <c r="K2142" s="92"/>
      <c r="L2142"/>
    </row>
    <row r="2143" spans="2:12" ht="14.4">
      <c r="B2143" s="77"/>
      <c r="E2143" s="131"/>
      <c r="F2143" s="138"/>
      <c r="K2143" s="92"/>
      <c r="L2143"/>
    </row>
    <row r="2144" spans="2:12" ht="14.4">
      <c r="B2144" s="77"/>
      <c r="E2144" s="131"/>
      <c r="F2144" s="138"/>
      <c r="K2144" s="92"/>
      <c r="L2144"/>
    </row>
    <row r="2145" spans="2:12" ht="14.4">
      <c r="B2145" s="77"/>
      <c r="E2145" s="131"/>
      <c r="F2145" s="138"/>
      <c r="K2145" s="92"/>
      <c r="L2145"/>
    </row>
    <row r="2146" spans="2:12" ht="14.4">
      <c r="B2146" s="77"/>
      <c r="E2146" s="131"/>
      <c r="F2146" s="138"/>
      <c r="K2146" s="92"/>
      <c r="L2146"/>
    </row>
    <row r="2147" spans="2:12" ht="14.4">
      <c r="B2147" s="77"/>
      <c r="E2147" s="131"/>
      <c r="F2147" s="138"/>
      <c r="K2147" s="92"/>
      <c r="L2147"/>
    </row>
    <row r="2148" spans="2:12" ht="14.4">
      <c r="B2148" s="77"/>
      <c r="E2148" s="131"/>
      <c r="F2148" s="138"/>
      <c r="K2148" s="92"/>
      <c r="L2148"/>
    </row>
    <row r="2149" spans="2:12" ht="14.4">
      <c r="B2149" s="77"/>
      <c r="E2149" s="131"/>
      <c r="F2149" s="138"/>
      <c r="K2149" s="92"/>
      <c r="L2149"/>
    </row>
    <row r="2150" spans="2:12" ht="14.4">
      <c r="B2150" s="77"/>
      <c r="E2150" s="131"/>
      <c r="F2150" s="138"/>
      <c r="K2150" s="92"/>
      <c r="L2150"/>
    </row>
    <row r="2151" spans="2:12" ht="14.4">
      <c r="B2151" s="77"/>
      <c r="E2151" s="131"/>
      <c r="F2151" s="138"/>
      <c r="K2151" s="92"/>
      <c r="L2151"/>
    </row>
    <row r="2152" spans="2:12" ht="14.4">
      <c r="B2152" s="77"/>
      <c r="E2152" s="131"/>
      <c r="F2152" s="138"/>
      <c r="K2152" s="92"/>
      <c r="L2152"/>
    </row>
    <row r="2153" spans="2:12" ht="14.4">
      <c r="B2153" s="77"/>
      <c r="E2153" s="131"/>
      <c r="F2153" s="138"/>
      <c r="K2153" s="92"/>
      <c r="L2153"/>
    </row>
    <row r="2154" spans="2:12" ht="14.4">
      <c r="B2154" s="77"/>
      <c r="E2154" s="131"/>
      <c r="F2154" s="138"/>
      <c r="K2154" s="92"/>
      <c r="L2154"/>
    </row>
    <row r="2155" spans="2:12" ht="14.4">
      <c r="B2155" s="77"/>
      <c r="E2155" s="131"/>
      <c r="F2155" s="138"/>
      <c r="K2155" s="92"/>
      <c r="L2155"/>
    </row>
    <row r="2156" spans="2:12" ht="14.4">
      <c r="B2156" s="77"/>
      <c r="E2156" s="131"/>
      <c r="F2156" s="138"/>
      <c r="K2156" s="92"/>
      <c r="L2156"/>
    </row>
    <row r="2157" spans="2:12" ht="14.4">
      <c r="B2157" s="77"/>
      <c r="E2157" s="131"/>
      <c r="F2157" s="138"/>
      <c r="K2157" s="92"/>
      <c r="L2157"/>
    </row>
    <row r="2158" spans="2:12" ht="14.4">
      <c r="B2158" s="77"/>
      <c r="E2158" s="131"/>
      <c r="F2158" s="138"/>
      <c r="K2158" s="92"/>
      <c r="L2158"/>
    </row>
    <row r="2159" spans="2:12" ht="14.4">
      <c r="B2159" s="77"/>
      <c r="E2159" s="131"/>
      <c r="F2159" s="138"/>
      <c r="K2159" s="92"/>
      <c r="L2159"/>
    </row>
    <row r="2160" spans="2:12" ht="14.4">
      <c r="B2160" s="77"/>
      <c r="E2160" s="131"/>
      <c r="F2160" s="138"/>
      <c r="K2160" s="92"/>
      <c r="L2160"/>
    </row>
    <row r="2161" spans="2:12" ht="14.4">
      <c r="B2161" s="77"/>
      <c r="E2161" s="131"/>
      <c r="F2161" s="138"/>
      <c r="K2161" s="92"/>
      <c r="L2161"/>
    </row>
    <row r="2162" spans="2:12" ht="14.4">
      <c r="B2162" s="77"/>
      <c r="E2162" s="131"/>
      <c r="F2162" s="138"/>
      <c r="K2162" s="92"/>
      <c r="L2162"/>
    </row>
    <row r="2163" spans="2:12" ht="14.4">
      <c r="B2163" s="77"/>
      <c r="E2163" s="131"/>
      <c r="F2163" s="138"/>
      <c r="K2163" s="92"/>
      <c r="L2163"/>
    </row>
    <row r="2164" spans="2:12" ht="14.4">
      <c r="B2164" s="77"/>
      <c r="E2164" s="131"/>
      <c r="F2164" s="138"/>
      <c r="K2164" s="92"/>
      <c r="L2164"/>
    </row>
    <row r="2165" spans="2:12" ht="14.4">
      <c r="B2165" s="77"/>
      <c r="E2165" s="131"/>
      <c r="F2165" s="138"/>
      <c r="K2165" s="92"/>
      <c r="L2165"/>
    </row>
    <row r="2166" spans="2:12" ht="14.4">
      <c r="B2166" s="77"/>
      <c r="E2166" s="131"/>
      <c r="F2166" s="138"/>
      <c r="K2166" s="92"/>
      <c r="L2166"/>
    </row>
    <row r="2167" spans="2:12" ht="14.4">
      <c r="B2167" s="77"/>
      <c r="E2167" s="131"/>
      <c r="F2167" s="138"/>
      <c r="K2167" s="92"/>
      <c r="L2167"/>
    </row>
    <row r="2168" spans="2:12" ht="14.4">
      <c r="B2168" s="77"/>
      <c r="E2168" s="131"/>
      <c r="F2168" s="138"/>
      <c r="K2168" s="92"/>
      <c r="L2168"/>
    </row>
    <row r="2169" spans="2:12" ht="14.4">
      <c r="B2169" s="77"/>
      <c r="E2169" s="131"/>
      <c r="F2169" s="138"/>
      <c r="K2169" s="92"/>
      <c r="L2169"/>
    </row>
    <row r="2170" spans="2:12" ht="14.4">
      <c r="B2170" s="77"/>
      <c r="E2170" s="131"/>
      <c r="F2170" s="138"/>
      <c r="K2170" s="92"/>
      <c r="L2170"/>
    </row>
    <row r="2171" spans="2:12" ht="14.4">
      <c r="B2171" s="77"/>
      <c r="E2171" s="131"/>
      <c r="F2171" s="138"/>
      <c r="K2171" s="92"/>
      <c r="L2171"/>
    </row>
    <row r="2172" spans="2:12" ht="14.4">
      <c r="B2172" s="77"/>
      <c r="E2172" s="131"/>
      <c r="F2172" s="138"/>
      <c r="K2172" s="92"/>
      <c r="L2172"/>
    </row>
    <row r="2173" spans="2:12" ht="14.4">
      <c r="B2173" s="77"/>
      <c r="E2173" s="131"/>
      <c r="F2173" s="138"/>
      <c r="K2173" s="92"/>
      <c r="L2173"/>
    </row>
    <row r="2174" spans="2:12" ht="14.4">
      <c r="B2174" s="77"/>
      <c r="E2174" s="131"/>
      <c r="F2174" s="138"/>
      <c r="K2174" s="92"/>
      <c r="L2174"/>
    </row>
    <row r="2175" spans="2:12" ht="14.4">
      <c r="B2175" s="77"/>
      <c r="E2175" s="131"/>
      <c r="F2175" s="138"/>
      <c r="K2175" s="92"/>
      <c r="L2175"/>
    </row>
    <row r="2176" spans="2:12" ht="14.4">
      <c r="B2176" s="77"/>
      <c r="E2176" s="131"/>
      <c r="F2176" s="138"/>
      <c r="K2176" s="92"/>
      <c r="L2176"/>
    </row>
    <row r="2177" spans="2:12" ht="14.4">
      <c r="B2177" s="77"/>
      <c r="E2177" s="131"/>
      <c r="F2177" s="138"/>
      <c r="K2177" s="92"/>
      <c r="L2177"/>
    </row>
    <row r="2178" spans="2:12" ht="14.4">
      <c r="B2178" s="77"/>
      <c r="E2178" s="131"/>
      <c r="F2178" s="138"/>
      <c r="K2178" s="92"/>
      <c r="L2178"/>
    </row>
    <row r="2179" spans="2:12" ht="14.4">
      <c r="B2179" s="77"/>
      <c r="E2179" s="131"/>
      <c r="F2179" s="138"/>
      <c r="K2179" s="92"/>
      <c r="L2179"/>
    </row>
    <row r="2180" spans="2:12" ht="14.4">
      <c r="B2180" s="77"/>
      <c r="E2180" s="131"/>
      <c r="F2180" s="138"/>
      <c r="K2180" s="92"/>
      <c r="L2180"/>
    </row>
    <row r="2181" spans="2:12" ht="14.4">
      <c r="B2181" s="77"/>
      <c r="E2181" s="131"/>
      <c r="F2181" s="138"/>
      <c r="K2181" s="92"/>
      <c r="L2181"/>
    </row>
    <row r="2182" spans="2:12" ht="14.4">
      <c r="B2182" s="77"/>
      <c r="E2182" s="131"/>
      <c r="F2182" s="138"/>
      <c r="K2182" s="92"/>
      <c r="L2182"/>
    </row>
    <row r="2183" spans="2:12" ht="14.4">
      <c r="B2183" s="77"/>
      <c r="E2183" s="131"/>
      <c r="F2183" s="138"/>
      <c r="K2183" s="92"/>
      <c r="L2183"/>
    </row>
    <row r="2184" spans="2:12" ht="14.4">
      <c r="B2184" s="77"/>
      <c r="E2184" s="131"/>
      <c r="F2184" s="138"/>
      <c r="K2184" s="92"/>
      <c r="L2184"/>
    </row>
    <row r="2185" spans="2:12" ht="14.4">
      <c r="B2185" s="77"/>
      <c r="E2185" s="131"/>
      <c r="F2185" s="138"/>
      <c r="K2185" s="92"/>
      <c r="L2185"/>
    </row>
    <row r="2186" spans="2:12" ht="14.4">
      <c r="B2186" s="77"/>
      <c r="E2186" s="131"/>
      <c r="F2186" s="138"/>
      <c r="K2186" s="92"/>
      <c r="L2186"/>
    </row>
    <row r="2187" spans="2:12" ht="14.4">
      <c r="B2187" s="77"/>
      <c r="E2187" s="131"/>
      <c r="F2187" s="138"/>
      <c r="K2187" s="92"/>
      <c r="L2187"/>
    </row>
    <row r="2188" spans="2:12" ht="14.4">
      <c r="B2188" s="77"/>
      <c r="E2188" s="131"/>
      <c r="F2188" s="138"/>
      <c r="K2188" s="92"/>
      <c r="L2188"/>
    </row>
    <row r="2189" spans="2:12" ht="14.4">
      <c r="B2189" s="77"/>
      <c r="E2189" s="131"/>
      <c r="F2189" s="138"/>
      <c r="K2189" s="92"/>
      <c r="L2189"/>
    </row>
    <row r="2190" spans="2:12" ht="14.4">
      <c r="B2190" s="77"/>
      <c r="E2190" s="131"/>
      <c r="F2190" s="138"/>
      <c r="K2190" s="92"/>
      <c r="L2190"/>
    </row>
    <row r="2191" spans="2:12" ht="14.4">
      <c r="B2191" s="77"/>
      <c r="E2191" s="131"/>
      <c r="F2191" s="138"/>
      <c r="K2191" s="92"/>
      <c r="L2191"/>
    </row>
    <row r="2192" spans="2:12" ht="14.4">
      <c r="B2192" s="77"/>
      <c r="E2192" s="131"/>
      <c r="F2192" s="138"/>
      <c r="K2192" s="92"/>
      <c r="L2192"/>
    </row>
    <row r="2193" spans="2:12" ht="14.4">
      <c r="B2193" s="77"/>
      <c r="E2193" s="131"/>
      <c r="F2193" s="138"/>
      <c r="K2193" s="92"/>
      <c r="L2193"/>
    </row>
    <row r="2194" spans="2:12" ht="14.4">
      <c r="B2194" s="77"/>
      <c r="E2194" s="131"/>
      <c r="F2194" s="138"/>
      <c r="K2194" s="92"/>
      <c r="L2194"/>
    </row>
    <row r="2195" spans="2:12" ht="14.4">
      <c r="B2195" s="77"/>
      <c r="E2195" s="131"/>
      <c r="F2195" s="138"/>
      <c r="K2195" s="92"/>
      <c r="L2195"/>
    </row>
    <row r="2196" spans="2:12" ht="14.4">
      <c r="B2196" s="77"/>
      <c r="E2196" s="131"/>
      <c r="F2196" s="138"/>
      <c r="K2196" s="92"/>
      <c r="L2196"/>
    </row>
    <row r="2197" spans="2:12" ht="14.4">
      <c r="B2197" s="77"/>
      <c r="E2197" s="131"/>
      <c r="F2197" s="138"/>
      <c r="K2197" s="92"/>
      <c r="L2197"/>
    </row>
    <row r="2198" spans="2:12" ht="14.4">
      <c r="B2198" s="77"/>
      <c r="E2198" s="131"/>
      <c r="F2198" s="138"/>
      <c r="K2198" s="92"/>
      <c r="L2198"/>
    </row>
    <row r="2199" spans="2:12" ht="14.4">
      <c r="B2199" s="77"/>
      <c r="E2199" s="131"/>
      <c r="F2199" s="138"/>
      <c r="K2199" s="92"/>
      <c r="L2199"/>
    </row>
    <row r="2200" spans="2:12" ht="14.4">
      <c r="B2200" s="77"/>
      <c r="E2200" s="131"/>
      <c r="F2200" s="138"/>
      <c r="K2200" s="92"/>
      <c r="L2200"/>
    </row>
    <row r="2201" spans="2:12" ht="14.4">
      <c r="B2201" s="77"/>
      <c r="E2201" s="131"/>
      <c r="F2201" s="138"/>
      <c r="K2201" s="92"/>
      <c r="L2201"/>
    </row>
    <row r="2202" spans="2:12" ht="14.4">
      <c r="B2202" s="77"/>
      <c r="E2202" s="131"/>
      <c r="F2202" s="138"/>
      <c r="K2202" s="92"/>
      <c r="L2202"/>
    </row>
    <row r="2203" spans="2:12" ht="14.4">
      <c r="B2203" s="77"/>
      <c r="E2203" s="131"/>
      <c r="F2203" s="138"/>
      <c r="K2203" s="92"/>
      <c r="L2203"/>
    </row>
    <row r="2204" spans="2:12" ht="14.4">
      <c r="B2204" s="77"/>
      <c r="E2204" s="131"/>
      <c r="F2204" s="138"/>
      <c r="K2204" s="92"/>
      <c r="L2204"/>
    </row>
    <row r="2205" spans="2:12" ht="14.4">
      <c r="B2205" s="77"/>
      <c r="E2205" s="131"/>
      <c r="F2205" s="138"/>
      <c r="K2205" s="92"/>
      <c r="L2205"/>
    </row>
    <row r="2206" spans="2:12" ht="14.4">
      <c r="B2206" s="77"/>
      <c r="E2206" s="131"/>
      <c r="F2206" s="138"/>
      <c r="K2206" s="92"/>
      <c r="L2206"/>
    </row>
    <row r="2207" spans="2:12" ht="14.4">
      <c r="B2207" s="77"/>
      <c r="E2207" s="131"/>
      <c r="F2207" s="138"/>
      <c r="K2207" s="92"/>
      <c r="L2207"/>
    </row>
    <row r="2208" spans="2:12" ht="14.4">
      <c r="B2208" s="77"/>
      <c r="E2208" s="131"/>
      <c r="F2208" s="138"/>
      <c r="K2208" s="92"/>
      <c r="L2208"/>
    </row>
    <row r="2209" spans="2:12" ht="14.4">
      <c r="B2209" s="77"/>
      <c r="E2209" s="131"/>
      <c r="F2209" s="138"/>
      <c r="K2209" s="92"/>
      <c r="L2209"/>
    </row>
    <row r="2210" spans="2:12" ht="14.4">
      <c r="B2210" s="77"/>
      <c r="E2210" s="131"/>
      <c r="F2210" s="138"/>
      <c r="K2210" s="92"/>
      <c r="L2210"/>
    </row>
    <row r="2211" spans="2:12" ht="14.4">
      <c r="B2211" s="77"/>
      <c r="E2211" s="131"/>
      <c r="F2211" s="138"/>
      <c r="K2211" s="92"/>
      <c r="L2211"/>
    </row>
    <row r="2212" spans="2:12" ht="14.4">
      <c r="B2212" s="77"/>
      <c r="E2212" s="131"/>
      <c r="F2212" s="138"/>
      <c r="K2212" s="92"/>
      <c r="L2212"/>
    </row>
    <row r="2213" spans="2:12" ht="14.4">
      <c r="B2213" s="77"/>
      <c r="E2213" s="131"/>
      <c r="F2213" s="138"/>
      <c r="K2213" s="92"/>
      <c r="L2213"/>
    </row>
    <row r="2214" spans="2:12" ht="14.4">
      <c r="B2214" s="77"/>
      <c r="E2214" s="131"/>
      <c r="F2214" s="138"/>
      <c r="K2214" s="92"/>
      <c r="L2214"/>
    </row>
    <row r="2215" spans="2:12" ht="14.4">
      <c r="B2215" s="77"/>
      <c r="E2215" s="131"/>
      <c r="F2215" s="138"/>
      <c r="K2215" s="92"/>
      <c r="L2215"/>
    </row>
    <row r="2216" spans="2:12" ht="14.4">
      <c r="B2216" s="77"/>
      <c r="E2216" s="131"/>
      <c r="F2216" s="138"/>
      <c r="K2216" s="92"/>
      <c r="L2216"/>
    </row>
    <row r="2217" spans="2:12" ht="14.4">
      <c r="B2217" s="77"/>
      <c r="E2217" s="131"/>
      <c r="F2217" s="138"/>
      <c r="K2217" s="92"/>
      <c r="L2217"/>
    </row>
    <row r="2218" spans="2:12" ht="14.4">
      <c r="B2218" s="77"/>
      <c r="E2218" s="131"/>
      <c r="F2218" s="138"/>
      <c r="K2218" s="92"/>
      <c r="L2218"/>
    </row>
    <row r="2219" spans="2:12" ht="14.4">
      <c r="B2219" s="77"/>
      <c r="E2219" s="131"/>
      <c r="F2219" s="138"/>
      <c r="K2219" s="92"/>
      <c r="L2219"/>
    </row>
    <row r="2220" spans="2:12" ht="14.4">
      <c r="B2220" s="77"/>
      <c r="E2220" s="131"/>
      <c r="F2220" s="138"/>
      <c r="K2220" s="92"/>
      <c r="L2220"/>
    </row>
    <row r="2221" spans="2:12" ht="14.4">
      <c r="B2221" s="77"/>
      <c r="E2221" s="131"/>
      <c r="F2221" s="138"/>
      <c r="K2221" s="92"/>
      <c r="L2221"/>
    </row>
    <row r="2222" spans="2:12" ht="14.4">
      <c r="B2222" s="77"/>
      <c r="E2222" s="131"/>
      <c r="F2222" s="138"/>
      <c r="K2222" s="92"/>
      <c r="L2222"/>
    </row>
    <row r="2223" spans="2:12" ht="14.4">
      <c r="B2223" s="77"/>
      <c r="E2223" s="131"/>
      <c r="F2223" s="138"/>
      <c r="K2223" s="92"/>
      <c r="L2223"/>
    </row>
    <row r="2224" spans="2:12" ht="14.4">
      <c r="B2224" s="77"/>
      <c r="E2224" s="131"/>
      <c r="F2224" s="138"/>
      <c r="K2224" s="92"/>
      <c r="L2224"/>
    </row>
    <row r="2225" spans="2:12" ht="14.4">
      <c r="B2225" s="77"/>
      <c r="E2225" s="131"/>
      <c r="F2225" s="138"/>
      <c r="K2225" s="92"/>
      <c r="L2225"/>
    </row>
    <row r="2226" spans="2:12" ht="14.4">
      <c r="B2226" s="77"/>
      <c r="E2226" s="131"/>
      <c r="F2226" s="138"/>
      <c r="K2226" s="92"/>
      <c r="L2226"/>
    </row>
    <row r="2227" spans="2:12" ht="14.4">
      <c r="B2227" s="77"/>
      <c r="E2227" s="131"/>
      <c r="F2227" s="138"/>
      <c r="K2227" s="92"/>
      <c r="L2227"/>
    </row>
    <row r="2228" spans="2:12" ht="14.4">
      <c r="B2228" s="77"/>
      <c r="E2228" s="131"/>
      <c r="F2228" s="138"/>
      <c r="K2228" s="92"/>
      <c r="L2228"/>
    </row>
    <row r="2229" spans="2:12" ht="14.4">
      <c r="B2229" s="77"/>
      <c r="E2229" s="131"/>
      <c r="F2229" s="138"/>
      <c r="K2229" s="92"/>
      <c r="L2229"/>
    </row>
    <row r="2230" spans="2:12" ht="14.4">
      <c r="B2230" s="77"/>
      <c r="E2230" s="131"/>
      <c r="F2230" s="138"/>
      <c r="K2230" s="92"/>
      <c r="L2230"/>
    </row>
    <row r="2231" spans="2:12" ht="14.4">
      <c r="B2231" s="77"/>
      <c r="E2231" s="131"/>
      <c r="F2231" s="138"/>
      <c r="K2231" s="92"/>
      <c r="L2231"/>
    </row>
    <row r="2232" spans="2:12" ht="14.4">
      <c r="B2232" s="77"/>
      <c r="E2232" s="131"/>
      <c r="F2232" s="138"/>
      <c r="K2232" s="92"/>
      <c r="L2232"/>
    </row>
    <row r="2233" spans="2:12" ht="15" customHeight="1">
      <c r="B2233" s="77"/>
      <c r="E2233" s="131"/>
      <c r="F2233" s="138"/>
      <c r="K2233" s="92"/>
      <c r="L2233"/>
    </row>
    <row r="2234" spans="2:12" ht="14.4">
      <c r="B2234" s="77"/>
      <c r="E2234" s="131"/>
      <c r="F2234" s="138"/>
      <c r="K2234" s="92"/>
      <c r="L2234"/>
    </row>
    <row r="2235" spans="2:12" ht="14.4">
      <c r="B2235" s="77"/>
      <c r="E2235" s="131"/>
      <c r="F2235" s="138"/>
      <c r="K2235" s="92"/>
      <c r="L2235"/>
    </row>
    <row r="2236" spans="2:12" ht="14.4">
      <c r="B2236" s="77"/>
      <c r="E2236" s="131"/>
      <c r="F2236" s="138"/>
      <c r="K2236" s="92"/>
      <c r="L2236"/>
    </row>
    <row r="2237" spans="2:12" ht="14.4">
      <c r="B2237" s="77"/>
      <c r="E2237" s="131"/>
      <c r="F2237" s="138"/>
      <c r="K2237" s="92"/>
      <c r="L2237"/>
    </row>
    <row r="2238" spans="2:12" ht="14.4">
      <c r="B2238" s="77"/>
      <c r="E2238" s="131"/>
      <c r="F2238" s="138"/>
      <c r="K2238" s="92"/>
      <c r="L2238"/>
    </row>
    <row r="2239" spans="2:12" ht="14.4">
      <c r="B2239" s="77"/>
      <c r="E2239" s="131"/>
      <c r="F2239" s="138"/>
      <c r="K2239" s="92"/>
      <c r="L2239"/>
    </row>
    <row r="2240" spans="2:12" ht="14.4">
      <c r="B2240" s="77"/>
      <c r="E2240" s="131"/>
      <c r="F2240" s="138"/>
      <c r="K2240" s="92"/>
      <c r="L2240"/>
    </row>
    <row r="2241" spans="2:12" ht="14.4">
      <c r="B2241" s="77"/>
      <c r="E2241" s="131"/>
      <c r="F2241" s="138"/>
      <c r="K2241" s="92"/>
      <c r="L2241"/>
    </row>
    <row r="2242" spans="2:12" ht="14.4">
      <c r="B2242" s="77"/>
      <c r="E2242" s="131"/>
      <c r="F2242" s="138"/>
      <c r="K2242" s="92"/>
      <c r="L2242"/>
    </row>
    <row r="2243" spans="2:12" ht="14.4">
      <c r="B2243" s="77"/>
      <c r="E2243" s="131"/>
      <c r="F2243" s="138"/>
      <c r="K2243" s="92"/>
      <c r="L2243"/>
    </row>
    <row r="2244" spans="2:12" ht="14.4">
      <c r="B2244" s="77"/>
      <c r="E2244" s="131"/>
      <c r="F2244" s="138"/>
      <c r="K2244" s="92"/>
      <c r="L2244"/>
    </row>
    <row r="2245" spans="2:12" ht="14.4">
      <c r="B2245" s="77"/>
      <c r="E2245" s="131"/>
      <c r="F2245" s="138"/>
      <c r="K2245" s="92"/>
      <c r="L2245"/>
    </row>
    <row r="2246" spans="2:12" ht="14.4">
      <c r="B2246" s="77"/>
      <c r="E2246" s="131"/>
      <c r="F2246" s="138"/>
      <c r="K2246" s="92"/>
      <c r="L2246"/>
    </row>
    <row r="2247" spans="2:12" ht="14.4">
      <c r="B2247" s="77"/>
      <c r="E2247" s="131"/>
      <c r="F2247" s="138"/>
      <c r="K2247" s="92"/>
      <c r="L2247"/>
    </row>
    <row r="2248" spans="2:12" ht="14.4">
      <c r="B2248" s="77"/>
      <c r="E2248" s="131"/>
      <c r="F2248" s="138"/>
      <c r="K2248" s="92"/>
      <c r="L2248"/>
    </row>
    <row r="2249" spans="2:12" ht="14.4">
      <c r="B2249" s="77"/>
      <c r="E2249" s="131"/>
      <c r="F2249" s="138"/>
      <c r="K2249" s="92"/>
      <c r="L2249"/>
    </row>
    <row r="2250" spans="2:12" ht="14.4">
      <c r="B2250" s="77"/>
      <c r="E2250" s="131"/>
      <c r="F2250" s="138"/>
      <c r="K2250" s="92"/>
      <c r="L2250"/>
    </row>
    <row r="2251" spans="2:12" ht="14.4">
      <c r="B2251" s="77"/>
      <c r="E2251" s="131"/>
      <c r="F2251" s="138"/>
      <c r="K2251" s="92"/>
      <c r="L2251"/>
    </row>
    <row r="2252" spans="2:12" ht="14.4">
      <c r="B2252" s="77"/>
      <c r="E2252" s="131"/>
      <c r="F2252" s="138"/>
      <c r="K2252" s="92"/>
      <c r="L2252"/>
    </row>
    <row r="2253" spans="2:12" ht="14.4">
      <c r="B2253" s="77"/>
      <c r="E2253" s="131"/>
      <c r="F2253" s="138"/>
      <c r="K2253" s="92"/>
      <c r="L2253"/>
    </row>
    <row r="2254" spans="2:12" ht="14.4">
      <c r="B2254" s="77"/>
      <c r="E2254" s="131"/>
      <c r="F2254" s="138"/>
      <c r="K2254" s="92"/>
      <c r="L2254"/>
    </row>
    <row r="2255" spans="2:12" ht="14.4">
      <c r="B2255" s="77"/>
      <c r="E2255" s="131"/>
      <c r="F2255" s="138"/>
      <c r="K2255" s="92"/>
      <c r="L2255"/>
    </row>
    <row r="2256" spans="2:12" ht="14.4">
      <c r="B2256" s="77"/>
      <c r="E2256" s="131"/>
      <c r="F2256" s="138"/>
      <c r="K2256" s="92"/>
      <c r="L2256"/>
    </row>
    <row r="2257" spans="2:12" ht="14.4">
      <c r="B2257" s="77"/>
      <c r="E2257" s="131"/>
      <c r="F2257" s="138"/>
      <c r="K2257" s="92"/>
      <c r="L2257"/>
    </row>
    <row r="2258" spans="2:12" ht="14.4">
      <c r="B2258" s="77"/>
      <c r="E2258" s="131"/>
      <c r="F2258" s="138"/>
      <c r="K2258" s="92"/>
      <c r="L2258"/>
    </row>
    <row r="2259" spans="2:12" ht="14.4">
      <c r="B2259" s="77"/>
      <c r="E2259" s="131"/>
      <c r="F2259" s="138"/>
      <c r="K2259" s="92"/>
      <c r="L2259"/>
    </row>
    <row r="2260" spans="2:12" ht="14.4">
      <c r="B2260" s="77"/>
      <c r="E2260" s="131"/>
      <c r="F2260" s="138"/>
      <c r="K2260" s="92"/>
      <c r="L2260"/>
    </row>
    <row r="2261" spans="2:12" ht="14.4">
      <c r="B2261" s="77"/>
      <c r="E2261" s="131"/>
      <c r="F2261" s="138"/>
      <c r="K2261" s="92"/>
      <c r="L2261"/>
    </row>
    <row r="2262" spans="2:12" ht="14.4">
      <c r="B2262" s="77"/>
      <c r="E2262" s="131"/>
      <c r="F2262" s="138"/>
      <c r="K2262" s="92"/>
      <c r="L2262"/>
    </row>
    <row r="2263" spans="2:12" ht="14.4">
      <c r="B2263" s="77"/>
      <c r="E2263" s="131"/>
      <c r="F2263" s="138"/>
      <c r="K2263" s="92"/>
      <c r="L2263"/>
    </row>
    <row r="2264" spans="2:12" ht="14.4">
      <c r="B2264" s="77"/>
      <c r="E2264" s="131"/>
      <c r="F2264" s="138"/>
      <c r="K2264" s="92"/>
      <c r="L2264"/>
    </row>
    <row r="2265" spans="2:12" ht="14.4">
      <c r="B2265" s="77"/>
      <c r="E2265" s="131"/>
      <c r="F2265" s="138"/>
      <c r="K2265" s="92"/>
      <c r="L2265"/>
    </row>
    <row r="2266" spans="2:12" ht="14.4">
      <c r="B2266" s="77"/>
      <c r="E2266" s="131"/>
      <c r="F2266" s="138"/>
      <c r="K2266" s="92"/>
      <c r="L2266"/>
    </row>
    <row r="2267" spans="2:12" ht="14.4">
      <c r="B2267" s="77"/>
      <c r="E2267" s="131"/>
      <c r="F2267" s="138"/>
      <c r="K2267" s="92"/>
      <c r="L2267"/>
    </row>
    <row r="2268" spans="2:12" ht="14.4">
      <c r="B2268" s="77"/>
      <c r="E2268" s="131"/>
      <c r="F2268" s="138"/>
      <c r="K2268" s="92"/>
      <c r="L2268"/>
    </row>
    <row r="2269" spans="2:12" ht="14.4">
      <c r="B2269" s="77"/>
      <c r="E2269" s="131"/>
      <c r="F2269" s="138"/>
      <c r="K2269" s="92"/>
      <c r="L2269"/>
    </row>
    <row r="2270" spans="2:12" ht="14.4">
      <c r="B2270" s="77"/>
      <c r="E2270" s="131"/>
      <c r="F2270" s="138"/>
      <c r="K2270" s="92"/>
      <c r="L2270"/>
    </row>
    <row r="2271" spans="2:12" ht="14.4">
      <c r="B2271" s="77"/>
      <c r="E2271" s="131"/>
      <c r="F2271" s="138"/>
      <c r="K2271" s="92"/>
      <c r="L2271"/>
    </row>
    <row r="2272" spans="2:12" ht="14.4">
      <c r="B2272" s="77"/>
      <c r="E2272" s="131"/>
      <c r="F2272" s="138"/>
      <c r="K2272" s="92"/>
      <c r="L2272"/>
    </row>
    <row r="2273" spans="2:12" ht="14.4">
      <c r="B2273" s="77"/>
      <c r="E2273" s="131"/>
      <c r="F2273" s="138"/>
      <c r="K2273" s="92"/>
      <c r="L2273"/>
    </row>
    <row r="2274" spans="2:12" ht="14.4">
      <c r="B2274" s="77"/>
      <c r="E2274" s="131"/>
      <c r="F2274" s="138"/>
      <c r="K2274" s="92"/>
      <c r="L2274"/>
    </row>
    <row r="2275" spans="2:12" ht="14.4">
      <c r="B2275" s="77"/>
      <c r="E2275" s="131"/>
      <c r="F2275" s="138"/>
      <c r="K2275" s="92"/>
      <c r="L2275"/>
    </row>
    <row r="2276" spans="2:12" ht="14.4">
      <c r="B2276" s="77"/>
      <c r="E2276" s="131"/>
      <c r="F2276" s="138"/>
      <c r="K2276" s="92"/>
      <c r="L2276"/>
    </row>
    <row r="2277" spans="2:12" ht="14.4">
      <c r="B2277" s="77"/>
      <c r="E2277" s="131"/>
      <c r="F2277" s="138"/>
      <c r="K2277" s="92"/>
      <c r="L2277"/>
    </row>
    <row r="2278" spans="2:12" ht="14.4">
      <c r="B2278" s="77"/>
      <c r="E2278" s="131"/>
      <c r="F2278" s="138"/>
      <c r="K2278" s="92"/>
      <c r="L2278"/>
    </row>
    <row r="2279" spans="2:12" ht="14.4">
      <c r="B2279" s="77"/>
      <c r="E2279" s="131"/>
      <c r="F2279" s="138"/>
      <c r="K2279" s="92"/>
      <c r="L2279"/>
    </row>
    <row r="2280" spans="2:12" ht="14.4">
      <c r="B2280" s="77"/>
      <c r="E2280" s="131"/>
      <c r="F2280" s="138"/>
      <c r="K2280" s="92"/>
      <c r="L2280"/>
    </row>
    <row r="2281" spans="2:12" ht="14.4">
      <c r="B2281" s="77"/>
      <c r="E2281" s="131"/>
      <c r="F2281" s="138"/>
      <c r="K2281" s="92"/>
      <c r="L2281"/>
    </row>
    <row r="2282" spans="2:12" ht="14.4">
      <c r="B2282" s="77"/>
      <c r="E2282" s="131"/>
      <c r="F2282" s="138"/>
      <c r="K2282" s="92"/>
      <c r="L2282"/>
    </row>
    <row r="2283" spans="2:12" ht="14.4">
      <c r="B2283" s="77"/>
      <c r="E2283" s="131"/>
      <c r="F2283" s="138"/>
      <c r="K2283" s="92"/>
      <c r="L2283"/>
    </row>
    <row r="2284" spans="2:12" ht="14.4">
      <c r="B2284" s="77"/>
      <c r="E2284" s="131"/>
      <c r="F2284" s="138"/>
      <c r="K2284" s="92"/>
      <c r="L2284"/>
    </row>
    <row r="2285" spans="2:12" ht="14.4">
      <c r="B2285" s="77"/>
      <c r="E2285" s="131"/>
      <c r="F2285" s="138"/>
      <c r="K2285" s="92"/>
      <c r="L2285"/>
    </row>
    <row r="2286" spans="2:12" ht="14.4">
      <c r="B2286" s="77"/>
      <c r="E2286" s="131"/>
      <c r="F2286" s="138"/>
      <c r="K2286" s="92"/>
      <c r="L2286"/>
    </row>
    <row r="2287" spans="2:12" ht="14.4">
      <c r="B2287" s="77"/>
      <c r="E2287" s="131"/>
      <c r="F2287" s="138"/>
      <c r="K2287" s="92"/>
      <c r="L2287"/>
    </row>
    <row r="2288" spans="2:12" ht="14.4">
      <c r="B2288" s="77"/>
      <c r="E2288" s="131"/>
      <c r="F2288" s="138"/>
      <c r="K2288" s="92"/>
      <c r="L2288"/>
    </row>
    <row r="2289" spans="2:12" ht="14.4">
      <c r="B2289" s="77"/>
      <c r="E2289" s="131"/>
      <c r="F2289" s="138"/>
      <c r="K2289" s="92"/>
      <c r="L2289"/>
    </row>
    <row r="2290" spans="2:12" ht="14.4">
      <c r="B2290" s="77"/>
      <c r="E2290" s="131"/>
      <c r="F2290" s="138"/>
      <c r="K2290" s="92"/>
      <c r="L2290"/>
    </row>
    <row r="2291" spans="2:12" ht="14.4">
      <c r="B2291" s="77"/>
      <c r="E2291" s="131"/>
      <c r="F2291" s="138"/>
      <c r="K2291" s="92"/>
      <c r="L2291"/>
    </row>
    <row r="2292" spans="2:12" ht="14.4">
      <c r="B2292" s="77"/>
      <c r="E2292" s="131"/>
      <c r="F2292" s="138"/>
      <c r="K2292" s="92"/>
      <c r="L2292"/>
    </row>
    <row r="2293" spans="2:12" ht="14.4">
      <c r="B2293" s="77"/>
      <c r="E2293" s="131"/>
      <c r="F2293" s="138"/>
      <c r="K2293" s="92"/>
      <c r="L2293"/>
    </row>
    <row r="2294" spans="2:12" ht="14.4">
      <c r="B2294" s="77"/>
      <c r="E2294" s="131"/>
      <c r="F2294" s="138"/>
      <c r="K2294" s="92"/>
      <c r="L2294"/>
    </row>
    <row r="2295" spans="2:12" ht="14.4">
      <c r="B2295" s="77"/>
      <c r="E2295" s="131"/>
      <c r="F2295" s="138"/>
      <c r="K2295" s="92"/>
      <c r="L2295"/>
    </row>
    <row r="2296" spans="2:12" ht="14.4">
      <c r="B2296" s="77"/>
      <c r="E2296" s="131"/>
      <c r="F2296" s="138"/>
      <c r="K2296" s="92"/>
      <c r="L2296"/>
    </row>
    <row r="2297" spans="2:12" ht="14.4">
      <c r="B2297" s="77"/>
      <c r="E2297" s="131"/>
      <c r="F2297" s="138"/>
      <c r="K2297" s="92"/>
      <c r="L2297"/>
    </row>
    <row r="2298" spans="2:12" ht="14.4">
      <c r="B2298" s="77"/>
      <c r="E2298" s="131"/>
      <c r="F2298" s="138"/>
      <c r="K2298" s="92"/>
      <c r="L2298"/>
    </row>
    <row r="2299" spans="2:12" ht="14.4">
      <c r="B2299" s="77"/>
      <c r="E2299" s="131"/>
      <c r="F2299" s="138"/>
      <c r="K2299" s="92"/>
      <c r="L2299"/>
    </row>
    <row r="2300" spans="2:12" ht="14.4">
      <c r="B2300" s="77"/>
      <c r="E2300" s="131"/>
      <c r="F2300" s="138"/>
      <c r="K2300" s="92"/>
      <c r="L2300"/>
    </row>
    <row r="2301" spans="2:12" ht="14.4">
      <c r="B2301" s="77"/>
      <c r="E2301" s="131"/>
      <c r="F2301" s="138"/>
      <c r="K2301" s="92"/>
      <c r="L2301"/>
    </row>
    <row r="2302" spans="2:12" ht="14.4">
      <c r="B2302" s="77"/>
      <c r="E2302" s="131"/>
      <c r="F2302" s="138"/>
      <c r="K2302" s="92"/>
      <c r="L2302"/>
    </row>
    <row r="2303" spans="2:12" ht="14.4">
      <c r="B2303" s="77"/>
      <c r="E2303" s="131"/>
      <c r="F2303" s="138"/>
      <c r="K2303" s="92"/>
      <c r="L2303"/>
    </row>
    <row r="2304" spans="2:12" ht="14.4">
      <c r="B2304" s="77"/>
      <c r="E2304" s="131"/>
      <c r="F2304" s="138"/>
      <c r="K2304" s="92"/>
      <c r="L2304"/>
    </row>
    <row r="2305" spans="2:12" ht="14.4">
      <c r="B2305" s="77"/>
      <c r="E2305" s="131"/>
      <c r="F2305" s="138"/>
      <c r="K2305" s="92"/>
      <c r="L2305"/>
    </row>
    <row r="2306" spans="2:12" ht="14.4">
      <c r="B2306" s="77"/>
      <c r="E2306" s="131"/>
      <c r="F2306" s="138"/>
      <c r="K2306" s="92"/>
      <c r="L2306"/>
    </row>
    <row r="2307" spans="2:12" ht="14.4">
      <c r="B2307" s="77"/>
      <c r="E2307" s="131"/>
      <c r="F2307" s="138"/>
      <c r="K2307" s="92"/>
      <c r="L2307"/>
    </row>
    <row r="2308" spans="2:12" ht="14.4">
      <c r="B2308" s="77"/>
      <c r="E2308" s="131"/>
      <c r="F2308" s="138"/>
      <c r="K2308" s="92"/>
      <c r="L2308"/>
    </row>
    <row r="2309" spans="2:12" ht="14.4">
      <c r="B2309" s="77"/>
      <c r="E2309" s="131"/>
      <c r="F2309" s="138"/>
      <c r="K2309" s="92"/>
      <c r="L2309"/>
    </row>
    <row r="2310" spans="2:12" ht="14.4">
      <c r="B2310" s="77"/>
      <c r="E2310" s="131"/>
      <c r="F2310" s="138"/>
      <c r="K2310" s="92"/>
      <c r="L2310"/>
    </row>
    <row r="2311" spans="2:12" ht="14.4">
      <c r="B2311" s="77"/>
      <c r="E2311" s="131"/>
      <c r="F2311" s="138"/>
      <c r="K2311" s="92"/>
      <c r="L2311"/>
    </row>
    <row r="2312" spans="2:12" ht="14.4">
      <c r="B2312" s="77"/>
      <c r="E2312" s="131"/>
      <c r="F2312" s="138"/>
      <c r="K2312" s="92"/>
      <c r="L2312"/>
    </row>
    <row r="2313" spans="2:12" ht="14.4">
      <c r="B2313" s="77"/>
      <c r="E2313" s="131"/>
      <c r="F2313" s="138"/>
      <c r="K2313" s="92"/>
      <c r="L2313"/>
    </row>
    <row r="2314" spans="2:12" ht="14.4">
      <c r="B2314" s="77"/>
      <c r="E2314" s="131"/>
      <c r="F2314" s="138"/>
      <c r="K2314" s="92"/>
      <c r="L2314"/>
    </row>
    <row r="2315" spans="2:12" ht="14.4">
      <c r="B2315" s="77"/>
      <c r="E2315" s="131"/>
      <c r="F2315" s="138"/>
      <c r="K2315" s="92"/>
      <c r="L2315"/>
    </row>
    <row r="2316" spans="2:12" ht="14.4">
      <c r="B2316" s="77"/>
      <c r="E2316" s="131"/>
      <c r="F2316" s="138"/>
      <c r="K2316" s="92"/>
      <c r="L2316"/>
    </row>
    <row r="2317" spans="2:12" ht="14.4">
      <c r="B2317" s="77"/>
      <c r="E2317" s="131"/>
      <c r="F2317" s="138"/>
      <c r="K2317" s="92"/>
      <c r="L2317"/>
    </row>
    <row r="2318" spans="2:12" ht="14.4">
      <c r="B2318" s="77"/>
      <c r="E2318" s="131"/>
      <c r="F2318" s="138"/>
      <c r="K2318" s="92"/>
      <c r="L2318"/>
    </row>
    <row r="2319" spans="2:12" ht="14.4">
      <c r="B2319" s="77"/>
      <c r="E2319" s="131"/>
      <c r="F2319" s="138"/>
      <c r="K2319" s="92"/>
      <c r="L2319"/>
    </row>
    <row r="2320" spans="2:12" ht="14.4">
      <c r="B2320" s="77"/>
      <c r="E2320" s="131"/>
      <c r="F2320" s="138"/>
      <c r="K2320" s="92"/>
      <c r="L2320"/>
    </row>
    <row r="2321" spans="2:12" ht="14.4">
      <c r="B2321" s="77"/>
      <c r="E2321" s="131"/>
      <c r="F2321" s="138"/>
      <c r="K2321" s="92"/>
      <c r="L2321"/>
    </row>
    <row r="2322" spans="2:12" ht="14.4">
      <c r="B2322" s="77"/>
      <c r="E2322" s="131"/>
      <c r="F2322" s="138"/>
      <c r="K2322" s="92"/>
      <c r="L2322"/>
    </row>
    <row r="2323" spans="2:12" ht="14.4">
      <c r="B2323" s="77"/>
      <c r="E2323" s="131"/>
      <c r="F2323" s="138"/>
      <c r="K2323" s="92"/>
      <c r="L2323"/>
    </row>
    <row r="2324" spans="2:12" ht="14.4">
      <c r="B2324" s="77"/>
      <c r="E2324" s="131"/>
      <c r="F2324" s="138"/>
      <c r="K2324" s="92"/>
      <c r="L2324"/>
    </row>
    <row r="2325" spans="2:12" ht="14.4">
      <c r="B2325" s="77"/>
      <c r="E2325" s="131"/>
      <c r="F2325" s="138"/>
      <c r="K2325" s="92"/>
      <c r="L2325"/>
    </row>
    <row r="2326" spans="2:12" ht="14.4">
      <c r="B2326" s="77"/>
      <c r="E2326" s="131"/>
      <c r="F2326" s="138"/>
      <c r="K2326" s="92"/>
      <c r="L2326"/>
    </row>
    <row r="2327" spans="2:12" ht="14.4">
      <c r="B2327" s="77"/>
      <c r="E2327" s="131"/>
      <c r="F2327" s="138"/>
      <c r="K2327" s="92"/>
      <c r="L2327"/>
    </row>
    <row r="2328" spans="2:12" ht="14.4">
      <c r="B2328" s="77"/>
      <c r="E2328" s="131"/>
      <c r="F2328" s="138"/>
      <c r="K2328" s="92"/>
      <c r="L2328"/>
    </row>
    <row r="2329" spans="2:12" ht="14.4">
      <c r="B2329" s="77"/>
      <c r="E2329" s="131"/>
      <c r="F2329" s="138"/>
      <c r="K2329" s="92"/>
      <c r="L2329"/>
    </row>
    <row r="2330" spans="2:12" ht="14.4">
      <c r="B2330" s="77"/>
      <c r="E2330" s="131"/>
      <c r="F2330" s="138"/>
      <c r="K2330" s="92"/>
      <c r="L2330"/>
    </row>
    <row r="2331" spans="2:12" ht="14.4">
      <c r="B2331" s="77"/>
      <c r="E2331" s="131"/>
      <c r="F2331" s="138"/>
      <c r="K2331" s="92"/>
      <c r="L2331"/>
    </row>
    <row r="2332" spans="2:12" ht="14.4">
      <c r="B2332" s="77"/>
      <c r="E2332" s="131"/>
      <c r="F2332" s="138"/>
      <c r="K2332" s="92"/>
      <c r="L2332"/>
    </row>
    <row r="2333" spans="2:12" ht="14.4">
      <c r="B2333" s="77"/>
      <c r="E2333" s="131"/>
      <c r="F2333" s="138"/>
      <c r="K2333" s="92"/>
      <c r="L2333"/>
    </row>
    <row r="2334" spans="2:12" ht="14.4">
      <c r="B2334" s="77"/>
      <c r="E2334" s="131"/>
      <c r="F2334" s="138"/>
      <c r="K2334" s="92"/>
      <c r="L2334"/>
    </row>
    <row r="2335" spans="2:12" ht="14.4">
      <c r="B2335" s="77"/>
      <c r="E2335" s="131"/>
      <c r="F2335" s="138"/>
      <c r="K2335" s="92"/>
      <c r="L2335"/>
    </row>
    <row r="2336" spans="2:12" ht="14.4">
      <c r="B2336" s="77"/>
      <c r="E2336" s="131"/>
      <c r="F2336" s="138"/>
      <c r="K2336" s="92"/>
      <c r="L2336"/>
    </row>
    <row r="2337" spans="2:12" ht="14.4">
      <c r="B2337" s="77"/>
      <c r="E2337" s="131"/>
      <c r="F2337" s="138"/>
      <c r="K2337" s="92"/>
      <c r="L2337"/>
    </row>
    <row r="2338" spans="2:12" ht="14.4">
      <c r="B2338" s="77"/>
      <c r="E2338" s="131"/>
      <c r="F2338" s="138"/>
      <c r="K2338" s="92"/>
      <c r="L2338"/>
    </row>
    <row r="2339" spans="2:12" ht="14.4">
      <c r="B2339" s="77"/>
      <c r="E2339" s="131"/>
      <c r="F2339" s="138"/>
      <c r="K2339" s="92"/>
      <c r="L2339"/>
    </row>
    <row r="2340" spans="2:12" ht="14.4">
      <c r="B2340" s="77"/>
      <c r="E2340" s="131"/>
      <c r="F2340" s="138"/>
      <c r="K2340" s="92"/>
      <c r="L2340"/>
    </row>
    <row r="2341" spans="2:12" ht="14.4">
      <c r="B2341" s="77"/>
      <c r="E2341" s="131"/>
      <c r="F2341" s="138"/>
      <c r="K2341" s="92"/>
      <c r="L2341"/>
    </row>
    <row r="2342" spans="2:12" ht="14.4">
      <c r="B2342" s="77"/>
      <c r="E2342" s="131"/>
      <c r="F2342" s="138"/>
      <c r="K2342" s="92"/>
      <c r="L2342"/>
    </row>
    <row r="2343" spans="2:12" ht="14.4">
      <c r="B2343" s="77"/>
      <c r="E2343" s="131"/>
      <c r="F2343" s="138"/>
      <c r="K2343" s="92"/>
      <c r="L2343"/>
    </row>
    <row r="2344" spans="2:12" ht="14.4">
      <c r="B2344" s="77"/>
      <c r="E2344" s="131"/>
      <c r="F2344" s="138"/>
      <c r="K2344" s="92"/>
      <c r="L2344"/>
    </row>
    <row r="2345" spans="2:12" ht="14.4">
      <c r="B2345" s="77"/>
      <c r="E2345" s="131"/>
      <c r="F2345" s="138"/>
      <c r="K2345" s="92"/>
      <c r="L2345"/>
    </row>
    <row r="2346" spans="2:12" ht="14.4">
      <c r="B2346" s="77"/>
      <c r="E2346" s="131"/>
      <c r="F2346" s="138"/>
      <c r="K2346" s="92"/>
      <c r="L2346"/>
    </row>
    <row r="2347" spans="2:12" ht="14.4">
      <c r="B2347" s="77"/>
      <c r="E2347" s="131"/>
      <c r="F2347" s="138"/>
      <c r="K2347" s="92"/>
      <c r="L2347"/>
    </row>
    <row r="2348" spans="2:12" ht="14.4">
      <c r="B2348" s="77"/>
      <c r="E2348" s="131"/>
      <c r="F2348" s="138"/>
      <c r="K2348" s="92"/>
      <c r="L2348"/>
    </row>
    <row r="2349" spans="2:12" ht="14.4">
      <c r="B2349" s="77"/>
      <c r="E2349" s="131"/>
      <c r="F2349" s="138"/>
      <c r="K2349" s="92"/>
      <c r="L2349"/>
    </row>
    <row r="2350" spans="2:12" ht="14.4">
      <c r="B2350" s="77"/>
      <c r="E2350" s="131"/>
      <c r="F2350" s="138"/>
      <c r="K2350" s="92"/>
      <c r="L2350"/>
    </row>
    <row r="2351" spans="2:12" ht="14.4">
      <c r="B2351" s="77"/>
      <c r="E2351" s="131"/>
      <c r="F2351" s="138"/>
      <c r="K2351" s="92"/>
      <c r="L2351"/>
    </row>
    <row r="2352" spans="2:12" ht="14.4">
      <c r="B2352" s="77"/>
      <c r="E2352" s="131"/>
      <c r="F2352" s="138"/>
      <c r="K2352" s="92"/>
      <c r="L2352"/>
    </row>
    <row r="2353" spans="2:12" ht="14.4">
      <c r="B2353" s="77"/>
      <c r="E2353" s="131"/>
      <c r="F2353" s="138"/>
      <c r="K2353" s="92"/>
      <c r="L2353"/>
    </row>
    <row r="2354" spans="2:12" ht="14.4">
      <c r="B2354" s="77"/>
      <c r="E2354" s="131"/>
      <c r="F2354" s="138"/>
      <c r="K2354" s="92"/>
      <c r="L2354"/>
    </row>
    <row r="2355" spans="2:12" ht="14.4">
      <c r="B2355" s="77"/>
      <c r="E2355" s="131"/>
      <c r="F2355" s="138"/>
      <c r="K2355" s="92"/>
      <c r="L2355"/>
    </row>
    <row r="2356" spans="2:12" ht="14.4">
      <c r="B2356" s="77"/>
      <c r="E2356" s="131"/>
      <c r="F2356" s="138"/>
      <c r="K2356" s="92"/>
      <c r="L2356"/>
    </row>
    <row r="2357" spans="2:12" ht="14.4">
      <c r="B2357" s="77"/>
      <c r="E2357" s="131"/>
      <c r="F2357" s="138"/>
      <c r="K2357" s="92"/>
      <c r="L2357"/>
    </row>
    <row r="2358" spans="2:12" ht="14.4">
      <c r="B2358" s="77"/>
      <c r="E2358" s="131"/>
      <c r="F2358" s="138"/>
      <c r="K2358" s="92"/>
      <c r="L2358"/>
    </row>
    <row r="2359" spans="2:12" ht="14.4">
      <c r="B2359" s="77"/>
      <c r="E2359" s="131"/>
      <c r="F2359" s="138"/>
      <c r="K2359" s="92"/>
      <c r="L2359"/>
    </row>
    <row r="2360" spans="2:12" ht="14.4">
      <c r="B2360" s="77"/>
      <c r="E2360" s="131"/>
      <c r="F2360" s="138"/>
      <c r="K2360" s="92"/>
      <c r="L2360"/>
    </row>
    <row r="2361" spans="2:12" ht="14.4">
      <c r="B2361" s="77"/>
      <c r="E2361" s="131"/>
      <c r="F2361" s="138"/>
      <c r="K2361" s="92"/>
      <c r="L2361"/>
    </row>
    <row r="2362" spans="2:12" ht="14.4">
      <c r="B2362" s="77"/>
      <c r="E2362" s="131"/>
      <c r="F2362" s="138"/>
      <c r="K2362" s="92"/>
      <c r="L2362"/>
    </row>
    <row r="2363" spans="2:12" ht="14.4">
      <c r="B2363" s="77"/>
      <c r="E2363" s="131"/>
      <c r="F2363" s="138"/>
      <c r="K2363" s="92"/>
      <c r="L2363"/>
    </row>
    <row r="2364" spans="2:12" ht="14.4">
      <c r="B2364" s="77"/>
      <c r="E2364" s="131"/>
      <c r="F2364" s="138"/>
      <c r="K2364" s="92"/>
      <c r="L2364"/>
    </row>
    <row r="2365" spans="2:12" ht="14.4">
      <c r="B2365" s="77"/>
      <c r="E2365" s="131"/>
      <c r="F2365" s="138"/>
      <c r="K2365" s="92"/>
      <c r="L2365"/>
    </row>
    <row r="2366" spans="2:12" ht="14.4">
      <c r="B2366" s="77"/>
      <c r="E2366" s="131"/>
      <c r="F2366" s="138"/>
      <c r="K2366" s="92"/>
      <c r="L2366"/>
    </row>
    <row r="2367" spans="2:12" ht="14.4">
      <c r="B2367" s="77"/>
      <c r="E2367" s="131"/>
      <c r="F2367" s="138"/>
      <c r="K2367" s="92"/>
      <c r="L2367"/>
    </row>
    <row r="2368" spans="2:12" ht="14.4">
      <c r="B2368" s="77"/>
      <c r="E2368" s="131"/>
      <c r="F2368" s="138"/>
      <c r="K2368" s="92"/>
      <c r="L2368"/>
    </row>
    <row r="2369" spans="2:12" ht="14.4">
      <c r="B2369" s="77"/>
      <c r="E2369" s="131"/>
      <c r="F2369" s="138"/>
      <c r="K2369" s="92"/>
      <c r="L2369"/>
    </row>
    <row r="2370" spans="2:12" ht="14.4">
      <c r="B2370" s="77"/>
      <c r="E2370" s="131"/>
      <c r="F2370" s="138"/>
      <c r="K2370" s="92"/>
      <c r="L2370"/>
    </row>
    <row r="2371" spans="2:12" ht="14.4">
      <c r="B2371" s="77"/>
      <c r="E2371" s="131"/>
      <c r="F2371" s="138"/>
      <c r="K2371" s="92"/>
      <c r="L2371"/>
    </row>
    <row r="2372" spans="2:12" ht="14.4">
      <c r="B2372" s="77"/>
      <c r="E2372" s="131"/>
      <c r="F2372" s="138"/>
      <c r="K2372" s="92"/>
      <c r="L2372"/>
    </row>
    <row r="2373" spans="2:12" ht="14.4">
      <c r="B2373" s="77"/>
      <c r="E2373" s="131"/>
      <c r="F2373" s="138"/>
      <c r="K2373" s="92"/>
      <c r="L2373"/>
    </row>
    <row r="2374" spans="2:12" ht="14.4">
      <c r="B2374" s="77"/>
      <c r="E2374" s="131"/>
      <c r="F2374" s="138"/>
      <c r="K2374" s="92"/>
      <c r="L2374"/>
    </row>
    <row r="2375" spans="2:12" ht="14.4">
      <c r="B2375" s="77"/>
      <c r="E2375" s="131"/>
      <c r="F2375" s="138"/>
      <c r="K2375" s="92"/>
      <c r="L2375"/>
    </row>
    <row r="2376" spans="2:12" ht="14.4">
      <c r="B2376" s="77"/>
      <c r="E2376" s="131"/>
      <c r="F2376" s="138"/>
      <c r="K2376" s="92"/>
      <c r="L2376"/>
    </row>
    <row r="2377" spans="2:12" ht="14.4">
      <c r="B2377" s="77"/>
      <c r="E2377" s="131"/>
      <c r="F2377" s="138"/>
      <c r="K2377" s="92"/>
      <c r="L2377"/>
    </row>
    <row r="2378" spans="2:12" ht="14.4">
      <c r="B2378" s="77"/>
      <c r="E2378" s="131"/>
      <c r="F2378" s="138"/>
      <c r="K2378" s="92"/>
      <c r="L2378"/>
    </row>
    <row r="2379" spans="2:12" ht="14.4">
      <c r="B2379" s="77"/>
      <c r="E2379" s="131"/>
      <c r="F2379" s="138"/>
      <c r="K2379" s="92"/>
      <c r="L2379"/>
    </row>
    <row r="2380" spans="2:12" ht="14.4">
      <c r="B2380" s="77"/>
      <c r="E2380" s="131"/>
      <c r="F2380" s="138"/>
      <c r="K2380" s="92"/>
      <c r="L2380"/>
    </row>
    <row r="2381" spans="2:12" ht="14.4">
      <c r="B2381" s="77"/>
      <c r="E2381" s="131"/>
      <c r="F2381" s="138"/>
      <c r="K2381" s="92"/>
      <c r="L2381"/>
    </row>
    <row r="2382" spans="2:12" ht="14.4">
      <c r="B2382" s="77"/>
      <c r="E2382" s="131"/>
      <c r="F2382" s="138"/>
      <c r="K2382" s="92"/>
      <c r="L2382"/>
    </row>
    <row r="2383" spans="2:12" ht="14.4">
      <c r="B2383" s="77"/>
      <c r="E2383" s="131"/>
      <c r="F2383" s="138"/>
      <c r="K2383" s="92"/>
      <c r="L2383"/>
    </row>
    <row r="2384" spans="2:12" ht="14.4">
      <c r="B2384" s="77"/>
      <c r="E2384" s="131"/>
      <c r="F2384" s="138"/>
      <c r="K2384" s="92"/>
      <c r="L2384"/>
    </row>
    <row r="2385" spans="2:12" ht="14.4">
      <c r="B2385" s="77"/>
      <c r="E2385" s="131"/>
      <c r="F2385" s="138"/>
      <c r="K2385" s="92"/>
      <c r="L2385"/>
    </row>
    <row r="2386" spans="2:12" ht="14.4">
      <c r="B2386" s="77"/>
      <c r="E2386" s="131"/>
      <c r="F2386" s="138"/>
      <c r="K2386" s="92"/>
      <c r="L2386"/>
    </row>
    <row r="2387" spans="2:12" ht="14.4">
      <c r="B2387" s="77"/>
      <c r="E2387" s="131"/>
      <c r="F2387" s="138"/>
      <c r="K2387" s="92"/>
      <c r="L2387"/>
    </row>
    <row r="2388" spans="2:12" ht="14.4">
      <c r="B2388" s="77"/>
      <c r="E2388" s="131"/>
      <c r="F2388" s="138"/>
      <c r="K2388" s="92"/>
      <c r="L2388"/>
    </row>
    <row r="2389" spans="2:12" ht="14.4">
      <c r="B2389" s="77"/>
      <c r="E2389" s="131"/>
      <c r="F2389" s="138"/>
      <c r="K2389" s="92"/>
      <c r="L2389"/>
    </row>
    <row r="2390" spans="2:12" ht="14.4">
      <c r="B2390" s="77"/>
      <c r="E2390" s="131"/>
      <c r="F2390" s="138"/>
      <c r="K2390" s="92"/>
      <c r="L2390"/>
    </row>
    <row r="2391" spans="2:12" ht="14.4">
      <c r="B2391" s="77"/>
      <c r="E2391" s="131"/>
      <c r="F2391" s="138"/>
      <c r="K2391" s="92"/>
      <c r="L2391"/>
    </row>
    <row r="2392" spans="2:12" ht="14.4">
      <c r="B2392" s="77"/>
      <c r="E2392" s="131"/>
      <c r="F2392" s="138"/>
      <c r="K2392" s="92"/>
      <c r="L2392"/>
    </row>
    <row r="2393" spans="2:12" ht="14.4">
      <c r="B2393" s="77"/>
      <c r="E2393" s="131"/>
      <c r="F2393" s="138"/>
      <c r="K2393" s="92"/>
      <c r="L2393"/>
    </row>
    <row r="2394" spans="2:12" ht="14.4">
      <c r="B2394" s="77"/>
      <c r="E2394" s="131"/>
      <c r="F2394" s="138"/>
      <c r="K2394" s="92"/>
      <c r="L2394"/>
    </row>
    <row r="2395" spans="2:12" ht="14.4">
      <c r="B2395" s="77"/>
      <c r="E2395" s="131"/>
      <c r="F2395" s="138"/>
      <c r="K2395" s="92"/>
      <c r="L2395"/>
    </row>
    <row r="2396" spans="2:12" ht="14.4">
      <c r="B2396" s="77"/>
      <c r="E2396" s="131"/>
      <c r="F2396" s="138"/>
      <c r="K2396" s="92"/>
      <c r="L2396"/>
    </row>
    <row r="2397" spans="2:12" ht="14.4">
      <c r="B2397" s="77"/>
      <c r="E2397" s="131"/>
      <c r="F2397" s="138"/>
      <c r="K2397" s="92"/>
      <c r="L2397"/>
    </row>
    <row r="2398" spans="2:12" ht="14.4">
      <c r="B2398" s="77"/>
      <c r="E2398" s="131"/>
      <c r="F2398" s="138"/>
      <c r="K2398" s="92"/>
      <c r="L2398"/>
    </row>
    <row r="2399" spans="2:12" ht="14.4">
      <c r="B2399" s="77"/>
      <c r="E2399" s="131"/>
      <c r="F2399" s="138"/>
      <c r="K2399" s="92"/>
      <c r="L2399"/>
    </row>
    <row r="2400" spans="2:12" ht="14.4">
      <c r="B2400" s="77"/>
      <c r="E2400" s="131"/>
      <c r="F2400" s="138"/>
      <c r="K2400" s="92"/>
      <c r="L2400"/>
    </row>
    <row r="2401" spans="2:12" ht="14.4">
      <c r="B2401" s="77"/>
      <c r="E2401" s="131"/>
      <c r="F2401" s="138"/>
      <c r="K2401" s="92"/>
      <c r="L2401"/>
    </row>
    <row r="2402" spans="2:12" ht="14.4">
      <c r="B2402" s="77"/>
      <c r="E2402" s="131"/>
      <c r="F2402" s="138"/>
      <c r="K2402" s="92"/>
      <c r="L2402"/>
    </row>
    <row r="2403" spans="2:12" ht="14.4">
      <c r="B2403" s="77"/>
      <c r="E2403" s="131"/>
      <c r="F2403" s="138"/>
      <c r="K2403" s="92"/>
      <c r="L2403"/>
    </row>
    <row r="2404" spans="2:12" ht="14.4">
      <c r="B2404" s="77"/>
      <c r="E2404" s="131"/>
      <c r="F2404" s="138"/>
      <c r="K2404" s="92"/>
      <c r="L2404"/>
    </row>
    <row r="2405" spans="2:12" ht="14.4">
      <c r="B2405" s="77"/>
      <c r="E2405" s="131"/>
      <c r="F2405" s="138"/>
      <c r="K2405" s="92"/>
      <c r="L2405"/>
    </row>
    <row r="2406" spans="2:12" ht="14.4">
      <c r="B2406" s="77"/>
      <c r="E2406" s="131"/>
      <c r="F2406" s="138"/>
      <c r="K2406" s="92"/>
      <c r="L2406"/>
    </row>
    <row r="2407" spans="2:12" ht="14.4">
      <c r="B2407" s="77"/>
      <c r="E2407" s="131"/>
      <c r="F2407" s="138"/>
      <c r="K2407" s="92"/>
      <c r="L2407"/>
    </row>
    <row r="2408" spans="2:12" ht="14.4">
      <c r="B2408" s="77"/>
      <c r="E2408" s="131"/>
      <c r="F2408" s="138"/>
      <c r="K2408" s="92"/>
      <c r="L2408"/>
    </row>
    <row r="2409" spans="2:12" ht="14.4">
      <c r="B2409" s="77"/>
      <c r="E2409" s="131"/>
      <c r="F2409" s="138"/>
      <c r="K2409" s="92"/>
      <c r="L2409"/>
    </row>
    <row r="2410" spans="2:12" ht="14.4">
      <c r="B2410" s="77"/>
      <c r="E2410" s="131"/>
      <c r="F2410" s="138"/>
      <c r="K2410" s="92"/>
      <c r="L2410"/>
    </row>
    <row r="2411" spans="2:12" ht="14.4">
      <c r="B2411" s="77"/>
      <c r="E2411" s="131"/>
      <c r="F2411" s="138"/>
      <c r="K2411" s="92"/>
      <c r="L2411"/>
    </row>
    <row r="2412" spans="2:12" ht="14.4">
      <c r="B2412" s="77"/>
      <c r="E2412" s="131"/>
      <c r="F2412" s="138"/>
      <c r="K2412" s="92"/>
      <c r="L2412"/>
    </row>
    <row r="2413" spans="2:12" ht="14.4">
      <c r="B2413" s="77"/>
      <c r="E2413" s="131"/>
      <c r="F2413" s="138"/>
      <c r="K2413" s="92"/>
      <c r="L2413"/>
    </row>
    <row r="2414" spans="2:12" ht="14.4">
      <c r="B2414" s="77"/>
      <c r="E2414" s="131"/>
      <c r="F2414" s="138"/>
      <c r="K2414" s="92"/>
      <c r="L2414"/>
    </row>
    <row r="2415" spans="2:12" ht="14.4">
      <c r="B2415" s="77"/>
      <c r="E2415" s="131"/>
      <c r="F2415" s="138"/>
      <c r="K2415" s="92"/>
      <c r="L2415"/>
    </row>
    <row r="2416" spans="2:12" ht="14.4">
      <c r="B2416" s="77"/>
      <c r="E2416" s="131"/>
      <c r="F2416" s="138"/>
      <c r="K2416" s="92"/>
      <c r="L2416"/>
    </row>
    <row r="2417" spans="2:12" ht="14.4">
      <c r="B2417" s="77"/>
      <c r="E2417" s="131"/>
      <c r="F2417" s="138"/>
      <c r="K2417" s="92"/>
      <c r="L2417"/>
    </row>
    <row r="2418" spans="2:12" ht="14.4">
      <c r="B2418" s="77"/>
      <c r="E2418" s="131"/>
      <c r="F2418" s="138"/>
      <c r="K2418" s="92"/>
      <c r="L2418"/>
    </row>
    <row r="2419" spans="2:12" ht="14.4">
      <c r="B2419" s="77"/>
      <c r="E2419" s="131"/>
      <c r="F2419" s="138"/>
      <c r="K2419" s="92"/>
      <c r="L2419"/>
    </row>
    <row r="2420" spans="2:12" ht="14.4">
      <c r="B2420" s="77"/>
      <c r="E2420" s="131"/>
      <c r="F2420" s="138"/>
      <c r="K2420" s="92"/>
      <c r="L2420"/>
    </row>
    <row r="2421" spans="2:12" ht="14.4">
      <c r="B2421" s="77"/>
      <c r="E2421" s="131"/>
      <c r="F2421" s="138"/>
      <c r="K2421" s="92"/>
      <c r="L2421"/>
    </row>
    <row r="2422" spans="2:12" ht="14.4">
      <c r="B2422" s="77"/>
      <c r="E2422" s="131"/>
      <c r="F2422" s="138"/>
      <c r="K2422" s="92"/>
      <c r="L2422"/>
    </row>
    <row r="2423" spans="2:12" ht="14.4">
      <c r="B2423" s="77"/>
      <c r="E2423" s="131"/>
      <c r="F2423" s="138"/>
      <c r="K2423" s="92"/>
      <c r="L2423"/>
    </row>
    <row r="2424" spans="2:12" ht="14.4">
      <c r="B2424" s="77"/>
      <c r="E2424" s="131"/>
      <c r="F2424" s="138"/>
      <c r="K2424" s="92"/>
      <c r="L2424"/>
    </row>
    <row r="2425" spans="2:12" ht="14.4">
      <c r="B2425" s="77"/>
      <c r="E2425" s="131"/>
      <c r="F2425" s="138"/>
      <c r="K2425" s="92"/>
      <c r="L2425"/>
    </row>
    <row r="2426" spans="2:12" ht="14.4">
      <c r="B2426" s="77"/>
      <c r="E2426" s="131"/>
      <c r="F2426" s="138"/>
      <c r="K2426" s="92"/>
      <c r="L2426"/>
    </row>
    <row r="2427" spans="2:12" ht="14.4">
      <c r="B2427" s="77"/>
      <c r="E2427" s="131"/>
      <c r="F2427" s="138"/>
      <c r="K2427" s="92"/>
      <c r="L2427"/>
    </row>
    <row r="2428" spans="2:12" ht="14.4">
      <c r="B2428" s="77"/>
      <c r="E2428" s="131"/>
      <c r="F2428" s="138"/>
      <c r="K2428" s="92"/>
      <c r="L2428"/>
    </row>
    <row r="2429" spans="2:12" ht="14.4">
      <c r="B2429" s="77"/>
      <c r="E2429" s="131"/>
      <c r="F2429" s="138"/>
      <c r="K2429" s="92"/>
      <c r="L2429"/>
    </row>
    <row r="2430" spans="2:12" ht="14.4">
      <c r="B2430" s="77"/>
      <c r="E2430" s="131"/>
      <c r="F2430" s="138"/>
      <c r="K2430" s="92"/>
      <c r="L2430"/>
    </row>
    <row r="2431" spans="2:12" ht="14.4">
      <c r="B2431" s="77"/>
      <c r="E2431" s="131"/>
      <c r="F2431" s="138"/>
      <c r="K2431" s="92"/>
      <c r="L2431"/>
    </row>
    <row r="2432" spans="2:12" ht="14.4">
      <c r="B2432" s="77"/>
      <c r="E2432" s="131"/>
      <c r="F2432" s="138"/>
      <c r="K2432" s="92"/>
      <c r="L2432"/>
    </row>
    <row r="2433" spans="2:12" ht="14.4">
      <c r="B2433" s="77"/>
      <c r="E2433" s="131"/>
      <c r="F2433" s="138"/>
      <c r="K2433" s="92"/>
      <c r="L2433"/>
    </row>
    <row r="2434" spans="2:12" ht="14.4">
      <c r="B2434" s="77"/>
      <c r="E2434" s="131"/>
      <c r="F2434" s="138"/>
      <c r="K2434" s="92"/>
      <c r="L2434"/>
    </row>
    <row r="2435" spans="2:12" ht="14.4">
      <c r="B2435" s="77"/>
      <c r="E2435" s="131"/>
      <c r="F2435" s="138"/>
      <c r="K2435" s="92"/>
      <c r="L2435"/>
    </row>
    <row r="2436" spans="2:12" ht="14.4">
      <c r="B2436" s="77"/>
      <c r="E2436" s="131"/>
      <c r="F2436" s="138"/>
      <c r="K2436" s="92"/>
      <c r="L2436"/>
    </row>
    <row r="2437" spans="2:12" ht="14.4">
      <c r="B2437" s="77"/>
      <c r="E2437" s="131"/>
      <c r="F2437" s="138"/>
      <c r="K2437" s="92"/>
      <c r="L2437"/>
    </row>
    <row r="2438" spans="2:12" ht="14.4">
      <c r="B2438" s="77"/>
      <c r="E2438" s="131"/>
      <c r="F2438" s="138"/>
      <c r="K2438" s="92"/>
      <c r="L2438"/>
    </row>
    <row r="2439" spans="2:12" ht="14.4">
      <c r="B2439" s="77"/>
      <c r="E2439" s="131"/>
      <c r="F2439" s="138"/>
      <c r="K2439" s="92"/>
      <c r="L2439"/>
    </row>
    <row r="2440" spans="2:12" ht="14.4">
      <c r="B2440" s="77"/>
      <c r="E2440" s="131"/>
      <c r="F2440" s="138"/>
      <c r="K2440" s="92"/>
      <c r="L2440"/>
    </row>
    <row r="2441" spans="2:12" ht="14.4">
      <c r="B2441" s="77"/>
      <c r="E2441" s="131"/>
      <c r="F2441" s="138"/>
      <c r="K2441" s="92"/>
      <c r="L2441"/>
    </row>
    <row r="2442" spans="2:12" ht="14.4">
      <c r="B2442" s="77"/>
      <c r="E2442" s="131"/>
      <c r="F2442" s="138"/>
      <c r="K2442" s="92"/>
      <c r="L2442"/>
    </row>
    <row r="2443" spans="2:12" ht="14.4">
      <c r="B2443" s="77"/>
      <c r="E2443" s="131"/>
      <c r="F2443" s="138"/>
      <c r="K2443" s="92"/>
      <c r="L2443"/>
    </row>
    <row r="2444" spans="2:12" ht="14.4">
      <c r="B2444" s="77"/>
      <c r="E2444" s="131"/>
      <c r="F2444" s="138"/>
      <c r="K2444" s="92"/>
      <c r="L2444"/>
    </row>
    <row r="2445" spans="2:12" ht="14.4">
      <c r="B2445" s="77"/>
      <c r="E2445" s="131"/>
      <c r="F2445" s="138"/>
      <c r="K2445" s="92"/>
      <c r="L2445"/>
    </row>
    <row r="2446" spans="2:12" ht="14.4">
      <c r="B2446" s="77"/>
      <c r="E2446" s="131"/>
      <c r="F2446" s="138"/>
      <c r="K2446" s="92"/>
      <c r="L2446"/>
    </row>
    <row r="2447" spans="2:12" ht="14.4">
      <c r="B2447" s="77"/>
      <c r="E2447" s="131"/>
      <c r="F2447" s="138"/>
      <c r="K2447" s="92"/>
      <c r="L2447"/>
    </row>
    <row r="2448" spans="2:12" ht="14.4">
      <c r="B2448" s="77"/>
      <c r="E2448" s="131"/>
      <c r="F2448" s="138"/>
      <c r="K2448" s="92"/>
      <c r="L2448"/>
    </row>
    <row r="2449" spans="2:12" ht="14.4">
      <c r="B2449" s="77"/>
      <c r="E2449" s="131"/>
      <c r="F2449" s="138"/>
      <c r="K2449" s="92"/>
      <c r="L2449"/>
    </row>
    <row r="2450" spans="2:12" ht="14.4">
      <c r="B2450" s="77"/>
      <c r="E2450" s="131"/>
      <c r="F2450" s="138"/>
      <c r="K2450" s="92"/>
      <c r="L2450"/>
    </row>
    <row r="2451" spans="2:12" ht="14.4">
      <c r="B2451" s="77"/>
      <c r="E2451" s="131"/>
      <c r="F2451" s="138"/>
      <c r="K2451" s="92"/>
      <c r="L2451"/>
    </row>
    <row r="2452" spans="2:12" ht="14.4">
      <c r="B2452" s="77"/>
      <c r="E2452" s="131"/>
      <c r="F2452" s="138"/>
      <c r="K2452" s="92"/>
      <c r="L2452"/>
    </row>
    <row r="2453" spans="2:12" ht="14.4">
      <c r="B2453" s="77"/>
      <c r="E2453" s="131"/>
      <c r="F2453" s="138"/>
      <c r="K2453" s="92"/>
      <c r="L2453"/>
    </row>
    <row r="2454" spans="2:12" ht="14.4">
      <c r="B2454" s="77"/>
      <c r="E2454" s="131"/>
      <c r="F2454" s="138"/>
      <c r="K2454" s="92"/>
      <c r="L2454"/>
    </row>
    <row r="2455" spans="2:12" ht="14.4">
      <c r="B2455" s="77"/>
      <c r="E2455" s="131"/>
      <c r="F2455" s="138"/>
      <c r="K2455" s="92"/>
      <c r="L2455"/>
    </row>
    <row r="2456" spans="2:12" ht="14.4">
      <c r="B2456" s="77"/>
      <c r="E2456" s="131"/>
      <c r="F2456" s="138"/>
      <c r="K2456" s="92"/>
      <c r="L2456"/>
    </row>
    <row r="2457" spans="2:12" ht="14.4">
      <c r="B2457" s="77"/>
      <c r="E2457" s="131"/>
      <c r="F2457" s="138"/>
      <c r="K2457" s="92"/>
      <c r="L2457"/>
    </row>
    <row r="2458" spans="2:12" ht="14.4">
      <c r="B2458" s="77"/>
      <c r="E2458" s="131"/>
      <c r="F2458" s="138"/>
      <c r="K2458" s="92"/>
      <c r="L2458"/>
    </row>
    <row r="2459" spans="2:12" ht="14.4">
      <c r="B2459" s="77"/>
      <c r="E2459" s="131"/>
      <c r="F2459" s="138"/>
      <c r="K2459" s="92"/>
      <c r="L2459"/>
    </row>
    <row r="2460" spans="2:12" ht="14.4">
      <c r="B2460" s="77"/>
      <c r="E2460" s="131"/>
      <c r="F2460" s="138"/>
      <c r="K2460" s="92"/>
      <c r="L2460"/>
    </row>
    <row r="2461" spans="2:12" ht="14.4">
      <c r="B2461" s="77"/>
      <c r="E2461" s="131"/>
      <c r="F2461" s="138"/>
      <c r="K2461" s="92"/>
      <c r="L2461"/>
    </row>
    <row r="2462" spans="2:12" ht="14.4">
      <c r="B2462" s="77"/>
      <c r="E2462" s="131"/>
      <c r="F2462" s="138"/>
      <c r="K2462" s="92"/>
      <c r="L2462"/>
    </row>
    <row r="2463" spans="2:12" ht="14.4">
      <c r="B2463" s="77"/>
      <c r="E2463" s="131"/>
      <c r="F2463" s="138"/>
      <c r="K2463" s="92"/>
      <c r="L2463"/>
    </row>
    <row r="2464" spans="2:12" ht="14.4">
      <c r="B2464" s="77"/>
      <c r="E2464" s="131"/>
      <c r="F2464" s="138"/>
      <c r="K2464" s="92"/>
      <c r="L2464"/>
    </row>
    <row r="2465" spans="2:12" ht="14.4">
      <c r="B2465" s="77"/>
      <c r="E2465" s="131"/>
      <c r="F2465" s="138"/>
      <c r="K2465" s="92"/>
      <c r="L2465"/>
    </row>
    <row r="2466" spans="2:12" ht="14.4">
      <c r="B2466" s="77"/>
      <c r="E2466" s="131"/>
      <c r="F2466" s="138"/>
      <c r="K2466" s="92"/>
      <c r="L2466"/>
    </row>
    <row r="2467" spans="2:12" ht="14.4">
      <c r="B2467" s="77"/>
      <c r="E2467" s="131"/>
      <c r="F2467" s="138"/>
      <c r="K2467" s="92"/>
      <c r="L2467"/>
    </row>
    <row r="2468" spans="2:12" ht="14.4">
      <c r="B2468" s="77"/>
      <c r="E2468" s="131"/>
      <c r="F2468" s="138"/>
      <c r="K2468" s="92"/>
      <c r="L2468"/>
    </row>
    <row r="2469" spans="2:12" ht="14.4">
      <c r="B2469" s="77"/>
      <c r="E2469" s="131"/>
      <c r="F2469" s="138"/>
      <c r="K2469" s="92"/>
      <c r="L2469"/>
    </row>
    <row r="2470" spans="2:12" ht="14.4">
      <c r="B2470" s="77"/>
      <c r="E2470" s="131"/>
      <c r="F2470" s="138"/>
      <c r="K2470" s="92"/>
      <c r="L2470"/>
    </row>
    <row r="2471" spans="2:12" ht="14.4">
      <c r="B2471" s="77"/>
      <c r="E2471" s="131"/>
      <c r="F2471" s="138"/>
      <c r="K2471" s="92"/>
      <c r="L2471"/>
    </row>
    <row r="2472" spans="2:12" ht="14.4">
      <c r="B2472" s="77"/>
      <c r="E2472" s="131"/>
      <c r="F2472" s="138"/>
      <c r="K2472" s="92"/>
      <c r="L2472"/>
    </row>
    <row r="2473" spans="2:12" ht="14.4">
      <c r="B2473" s="77"/>
      <c r="E2473" s="131"/>
      <c r="F2473" s="138"/>
      <c r="K2473" s="92"/>
      <c r="L2473"/>
    </row>
    <row r="2474" spans="2:12" ht="14.4">
      <c r="B2474" s="77"/>
      <c r="E2474" s="131"/>
      <c r="F2474" s="138"/>
      <c r="K2474" s="92"/>
      <c r="L2474"/>
    </row>
    <row r="2475" spans="2:12" ht="14.4">
      <c r="B2475" s="77"/>
      <c r="E2475" s="131"/>
      <c r="F2475" s="138"/>
      <c r="K2475" s="92"/>
      <c r="L2475"/>
    </row>
    <row r="2476" spans="2:12" ht="14.4">
      <c r="B2476" s="77"/>
      <c r="E2476" s="131"/>
      <c r="F2476" s="138"/>
      <c r="K2476" s="92"/>
      <c r="L2476"/>
    </row>
    <row r="2477" spans="2:12" ht="14.4">
      <c r="B2477" s="77"/>
      <c r="E2477" s="131"/>
      <c r="F2477" s="138"/>
      <c r="K2477" s="92"/>
      <c r="L2477"/>
    </row>
    <row r="2478" spans="2:12" ht="14.4">
      <c r="B2478" s="77"/>
      <c r="E2478" s="131"/>
      <c r="F2478" s="138"/>
      <c r="K2478" s="92"/>
      <c r="L2478"/>
    </row>
    <row r="2479" spans="2:12" ht="14.4">
      <c r="B2479" s="77"/>
      <c r="E2479" s="131"/>
      <c r="F2479" s="138"/>
      <c r="K2479" s="92"/>
      <c r="L2479"/>
    </row>
    <row r="2480" spans="2:12" ht="14.4">
      <c r="B2480" s="77"/>
      <c r="E2480" s="131"/>
      <c r="F2480" s="138"/>
      <c r="K2480" s="92"/>
      <c r="L2480"/>
    </row>
    <row r="2481" spans="2:12" ht="14.4">
      <c r="B2481" s="77"/>
      <c r="E2481" s="131"/>
      <c r="F2481" s="138"/>
      <c r="K2481" s="92"/>
      <c r="L2481"/>
    </row>
    <row r="2482" spans="2:12" ht="14.4">
      <c r="B2482" s="77"/>
      <c r="E2482" s="131"/>
      <c r="F2482" s="138"/>
      <c r="K2482" s="92"/>
      <c r="L2482"/>
    </row>
    <row r="2483" spans="2:12" ht="14.4">
      <c r="B2483" s="77"/>
      <c r="E2483" s="131"/>
      <c r="F2483" s="138"/>
      <c r="K2483" s="92"/>
      <c r="L2483"/>
    </row>
    <row r="2484" spans="2:12" ht="14.4">
      <c r="B2484" s="77"/>
      <c r="E2484" s="131"/>
      <c r="F2484" s="138"/>
      <c r="K2484" s="92"/>
      <c r="L2484"/>
    </row>
    <row r="2485" spans="2:12" ht="14.4">
      <c r="B2485" s="77"/>
      <c r="E2485" s="131"/>
      <c r="F2485" s="138"/>
      <c r="K2485" s="92"/>
      <c r="L2485"/>
    </row>
    <row r="2486" spans="2:12" ht="14.4">
      <c r="B2486" s="77"/>
      <c r="E2486" s="131"/>
      <c r="F2486" s="138"/>
      <c r="K2486" s="92"/>
      <c r="L2486"/>
    </row>
    <row r="2487" spans="2:12" ht="14.4">
      <c r="B2487" s="77"/>
      <c r="E2487" s="131"/>
      <c r="F2487" s="138"/>
      <c r="K2487" s="92"/>
      <c r="L2487"/>
    </row>
    <row r="2488" spans="2:12" ht="14.4">
      <c r="B2488" s="77"/>
      <c r="E2488" s="131"/>
      <c r="F2488" s="138"/>
      <c r="K2488" s="92"/>
      <c r="L2488"/>
    </row>
    <row r="2489" spans="2:12" ht="14.4">
      <c r="B2489" s="77"/>
      <c r="E2489" s="131"/>
      <c r="F2489" s="138"/>
      <c r="K2489" s="92"/>
      <c r="L2489"/>
    </row>
    <row r="2490" spans="2:12" ht="14.4">
      <c r="B2490" s="77"/>
      <c r="E2490" s="131"/>
      <c r="F2490" s="138"/>
      <c r="K2490" s="92"/>
      <c r="L2490"/>
    </row>
    <row r="2491" spans="2:12" ht="14.4">
      <c r="B2491" s="77"/>
      <c r="E2491" s="131"/>
      <c r="F2491" s="138"/>
      <c r="K2491" s="92"/>
      <c r="L2491"/>
    </row>
    <row r="2492" spans="2:12" ht="14.4">
      <c r="B2492" s="77"/>
      <c r="E2492" s="131"/>
      <c r="F2492" s="138"/>
      <c r="K2492" s="92"/>
      <c r="L2492"/>
    </row>
    <row r="2493" spans="2:12" ht="14.4">
      <c r="B2493" s="77"/>
      <c r="E2493" s="131"/>
      <c r="F2493" s="138"/>
      <c r="K2493" s="92"/>
      <c r="L2493"/>
    </row>
    <row r="2494" spans="2:12" ht="14.4">
      <c r="B2494" s="77"/>
      <c r="E2494" s="131"/>
      <c r="F2494" s="138"/>
      <c r="K2494" s="92"/>
      <c r="L2494"/>
    </row>
    <row r="2495" spans="2:12" ht="14.4">
      <c r="B2495" s="77"/>
      <c r="E2495" s="131"/>
      <c r="F2495" s="138"/>
      <c r="K2495" s="92"/>
      <c r="L2495"/>
    </row>
  </sheetData>
  <mergeCells count="7">
    <mergeCell ref="J3:J4"/>
    <mergeCell ref="B3:C3"/>
    <mergeCell ref="D3:D4"/>
    <mergeCell ref="E3:F3"/>
    <mergeCell ref="G3:G4"/>
    <mergeCell ref="H3:H4"/>
    <mergeCell ref="I3:I4"/>
  </mergeCells>
  <phoneticPr fontId="21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  <pageSetUpPr fitToPage="1"/>
  </sheetPr>
  <dimension ref="A1:AS1020"/>
  <sheetViews>
    <sheetView showGridLines="0" zoomScale="85" zoomScaleNormal="85" workbookViewId="0">
      <pane xSplit="6" ySplit="6" topLeftCell="G1005" activePane="bottomRight" state="frozen"/>
      <selection pane="topRight" activeCell="G1" sqref="G1"/>
      <selection pane="bottomLeft" activeCell="A7" sqref="A7"/>
      <selection pane="bottomRight" activeCell="G900" sqref="G900"/>
    </sheetView>
  </sheetViews>
  <sheetFormatPr defaultColWidth="9.109375" defaultRowHeight="13.2"/>
  <cols>
    <col min="1" max="1" width="5.6640625" style="4" customWidth="1"/>
    <col min="2" max="2" width="6.33203125" style="14" customWidth="1"/>
    <col min="3" max="3" width="12.5546875" style="1" bestFit="1" customWidth="1"/>
    <col min="4" max="4" width="18.33203125" style="4" bestFit="1" customWidth="1"/>
    <col min="5" max="5" width="13.88671875" style="4" customWidth="1"/>
    <col min="6" max="6" width="51.5546875" style="5" bestFit="1" customWidth="1"/>
    <col min="7" max="10" width="16.5546875" style="5" customWidth="1"/>
    <col min="11" max="11" width="4.44140625" style="82" customWidth="1"/>
    <col min="12" max="12" width="16.5546875" style="5" customWidth="1"/>
    <col min="13" max="13" width="17.5546875" style="5" customWidth="1"/>
    <col min="14" max="15" width="16.5546875" style="5" customWidth="1"/>
    <col min="16" max="16" width="2.6640625" style="16" customWidth="1"/>
    <col min="17" max="17" width="18.88671875" style="5" customWidth="1"/>
    <col min="18" max="18" width="19.6640625" style="5" customWidth="1"/>
    <col min="19" max="19" width="2.6640625" style="16" customWidth="1"/>
    <col min="20" max="20" width="16.5546875" style="6" bestFit="1" customWidth="1"/>
    <col min="21" max="21" width="17" style="6" bestFit="1" customWidth="1"/>
    <col min="22" max="22" width="17.33203125" style="6" bestFit="1" customWidth="1"/>
    <col min="23" max="23" width="17" style="6" bestFit="1" customWidth="1"/>
    <col min="24" max="24" width="17.5546875" style="6" bestFit="1" customWidth="1"/>
    <col min="25" max="26" width="16.5546875" style="6" bestFit="1" customWidth="1"/>
    <col min="27" max="27" width="17" style="6" bestFit="1" customWidth="1"/>
    <col min="28" max="28" width="17.33203125" style="6" bestFit="1" customWidth="1"/>
    <col min="29" max="29" width="17" style="6" bestFit="1" customWidth="1"/>
    <col min="30" max="30" width="17.5546875" style="6" bestFit="1" customWidth="1"/>
    <col min="31" max="31" width="16.5546875" style="6" bestFit="1" customWidth="1"/>
    <col min="32" max="32" width="14.44140625" style="39" bestFit="1" customWidth="1"/>
    <col min="33" max="33" width="16.109375" style="7" bestFit="1" customWidth="1"/>
    <col min="34" max="34" width="17.33203125" style="7" bestFit="1" customWidth="1"/>
    <col min="35" max="35" width="17" style="7" bestFit="1" customWidth="1"/>
    <col min="36" max="36" width="16.88671875" style="7" bestFit="1" customWidth="1"/>
    <col min="37" max="37" width="17.33203125" style="7" bestFit="1" customWidth="1"/>
    <col min="38" max="38" width="17" style="7" bestFit="1" customWidth="1"/>
    <col min="39" max="39" width="16.109375" style="7" bestFit="1" customWidth="1"/>
    <col min="40" max="40" width="17.33203125" style="7" bestFit="1" customWidth="1"/>
    <col min="41" max="41" width="17" style="7" bestFit="1" customWidth="1"/>
    <col min="42" max="42" width="16.88671875" style="7" bestFit="1" customWidth="1"/>
    <col min="43" max="43" width="17.33203125" style="7" bestFit="1" customWidth="1"/>
    <col min="44" max="44" width="17" style="7" bestFit="1" customWidth="1"/>
    <col min="45" max="45" width="15.33203125" style="4" bestFit="1" customWidth="1"/>
    <col min="46" max="16384" width="9.109375" style="4"/>
  </cols>
  <sheetData>
    <row r="1" spans="1:45" ht="13.8" thickBot="1"/>
    <row r="2" spans="1:45" ht="30.75" customHeight="1" thickBot="1">
      <c r="B2" s="22"/>
      <c r="C2" s="23" t="s">
        <v>123</v>
      </c>
      <c r="D2" s="179" t="s">
        <v>49</v>
      </c>
      <c r="E2" s="179"/>
      <c r="F2" s="180"/>
      <c r="G2" s="173" t="s">
        <v>47</v>
      </c>
      <c r="I2" s="65"/>
      <c r="J2" s="65"/>
    </row>
    <row r="3" spans="1:45" ht="27.75" customHeight="1" thickBot="1">
      <c r="B3" s="3"/>
      <c r="C3" s="23" t="s">
        <v>135</v>
      </c>
      <c r="D3" s="179"/>
      <c r="E3" s="179"/>
      <c r="F3" s="180"/>
      <c r="G3" s="174"/>
      <c r="H3" s="8"/>
      <c r="I3" s="8"/>
      <c r="J3" s="8"/>
      <c r="K3" s="83"/>
      <c r="L3" s="8"/>
      <c r="M3" s="8"/>
      <c r="N3" s="35" t="s">
        <v>6</v>
      </c>
      <c r="O3" s="36" t="s">
        <v>7</v>
      </c>
      <c r="P3" s="17"/>
      <c r="Q3" s="8"/>
      <c r="R3" s="8"/>
      <c r="S3" s="1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0"/>
      <c r="AG3" s="10"/>
      <c r="AH3" s="10"/>
      <c r="AI3" s="10"/>
      <c r="AJ3" s="10"/>
      <c r="AK3" s="35" t="s">
        <v>6</v>
      </c>
      <c r="AL3" s="36" t="s">
        <v>7</v>
      </c>
      <c r="AM3" s="10"/>
      <c r="AN3" s="10"/>
      <c r="AO3" s="10"/>
      <c r="AP3" s="10"/>
      <c r="AQ3" s="35" t="s">
        <v>6</v>
      </c>
      <c r="AR3" s="36" t="s">
        <v>7</v>
      </c>
    </row>
    <row r="4" spans="1:45">
      <c r="G4" s="93"/>
      <c r="H4" s="93"/>
    </row>
    <row r="5" spans="1:45" ht="12.75" customHeight="1">
      <c r="B5" s="175" t="s">
        <v>0</v>
      </c>
      <c r="C5" s="176"/>
      <c r="D5" s="177"/>
      <c r="E5" s="177"/>
      <c r="F5" s="178"/>
      <c r="G5" s="184" t="str">
        <f>+C2</f>
        <v>Jul-24</v>
      </c>
      <c r="H5" s="185"/>
      <c r="I5" s="186" t="s">
        <v>491</v>
      </c>
      <c r="J5" s="187"/>
      <c r="K5" s="15"/>
      <c r="L5" s="188" t="str">
        <f>C3</f>
        <v>Jan_Jul-24</v>
      </c>
      <c r="M5" s="185"/>
      <c r="N5" s="186" t="s">
        <v>491</v>
      </c>
      <c r="O5" s="187"/>
      <c r="P5" s="18"/>
      <c r="Q5" s="182" t="s">
        <v>492</v>
      </c>
      <c r="R5" s="182" t="s">
        <v>493</v>
      </c>
      <c r="S5" s="18"/>
      <c r="T5" s="175" t="s">
        <v>495</v>
      </c>
      <c r="U5" s="181"/>
      <c r="V5" s="181"/>
      <c r="W5" s="181"/>
      <c r="X5" s="181"/>
      <c r="Y5" s="181"/>
      <c r="Z5" s="171"/>
      <c r="AA5" s="171"/>
      <c r="AB5" s="171"/>
      <c r="AC5" s="171"/>
      <c r="AD5" s="171"/>
      <c r="AE5" s="171"/>
      <c r="AF5" s="176"/>
      <c r="AG5" s="170" t="s">
        <v>494</v>
      </c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2"/>
    </row>
    <row r="6" spans="1:45" s="11" customFormat="1" ht="26.4">
      <c r="B6" s="41" t="s">
        <v>1</v>
      </c>
      <c r="C6" s="41" t="s">
        <v>2</v>
      </c>
      <c r="D6" s="41" t="s">
        <v>3</v>
      </c>
      <c r="E6" s="41" t="s">
        <v>17</v>
      </c>
      <c r="F6" s="42" t="s">
        <v>4</v>
      </c>
      <c r="G6" s="46" t="s">
        <v>59</v>
      </c>
      <c r="H6" s="30" t="s">
        <v>406</v>
      </c>
      <c r="I6" s="59" t="s">
        <v>50</v>
      </c>
      <c r="J6" s="60" t="s">
        <v>5</v>
      </c>
      <c r="K6" s="84"/>
      <c r="L6" s="61" t="str">
        <f>"Actual" &amp;" "&amp;LEFT(MTD,7)</f>
        <v>Actual Jan_Jul</v>
      </c>
      <c r="M6" s="33" t="str">
        <f>"Budget" &amp;" "&amp;LEFT(MTD,7)</f>
        <v>Budget Jan_Jul</v>
      </c>
      <c r="N6" s="37" t="s">
        <v>50</v>
      </c>
      <c r="O6" s="38" t="s">
        <v>5</v>
      </c>
      <c r="P6" s="19"/>
      <c r="Q6" s="183"/>
      <c r="R6" s="183"/>
      <c r="S6" s="19"/>
      <c r="T6" s="44" t="s">
        <v>117</v>
      </c>
      <c r="U6" s="44" t="s">
        <v>118</v>
      </c>
      <c r="V6" s="44" t="s">
        <v>119</v>
      </c>
      <c r="W6" s="44" t="s">
        <v>120</v>
      </c>
      <c r="X6" s="44" t="s">
        <v>121</v>
      </c>
      <c r="Y6" s="44" t="s">
        <v>122</v>
      </c>
      <c r="Z6" s="44" t="s">
        <v>123</v>
      </c>
      <c r="AA6" s="44" t="s">
        <v>124</v>
      </c>
      <c r="AB6" s="44" t="s">
        <v>125</v>
      </c>
      <c r="AC6" s="44" t="s">
        <v>126</v>
      </c>
      <c r="AD6" s="44" t="s">
        <v>127</v>
      </c>
      <c r="AE6" s="44" t="s">
        <v>128</v>
      </c>
      <c r="AF6" s="2" t="s">
        <v>406</v>
      </c>
      <c r="AG6" s="25" t="s">
        <v>129</v>
      </c>
      <c r="AH6" s="25" t="s">
        <v>130</v>
      </c>
      <c r="AI6" s="25" t="s">
        <v>131</v>
      </c>
      <c r="AJ6" s="25" t="s">
        <v>132</v>
      </c>
      <c r="AK6" s="25" t="s">
        <v>133</v>
      </c>
      <c r="AL6" s="25" t="s">
        <v>134</v>
      </c>
      <c r="AM6" s="25" t="s">
        <v>135</v>
      </c>
      <c r="AN6" s="25" t="s">
        <v>136</v>
      </c>
      <c r="AO6" s="25" t="s">
        <v>137</v>
      </c>
      <c r="AP6" s="25" t="s">
        <v>138</v>
      </c>
      <c r="AQ6" s="25" t="s">
        <v>139</v>
      </c>
      <c r="AR6" s="25" t="s">
        <v>140</v>
      </c>
      <c r="AS6" s="11" t="s">
        <v>8</v>
      </c>
    </row>
    <row r="7" spans="1:45">
      <c r="B7" s="156">
        <f>IF(ROW()-6&gt;NumCostCenter,"",IF(CostCenter&lt;&gt;"ALL",CostCenter,DATA_LF2!B5))</f>
        <v>1213</v>
      </c>
      <c r="C7" s="153">
        <f>IF($B7&lt;&gt;"",INDEX(DataOB[],FirstRow+ROW()-7,2),"")</f>
        <v>1213</v>
      </c>
      <c r="D7" s="157" t="str">
        <f>IF($B7&lt;&gt;"",INDEX(DataOB[],FirstRow+ROW()-7,3),"")</f>
        <v>TBD</v>
      </c>
      <c r="E7" s="158">
        <f>IF($B7&lt;&gt;"",INDEX(DataOB[],FirstRow+ROW()-7,6),"")</f>
        <v>0</v>
      </c>
      <c r="F7" s="158" t="str">
        <f>IF($B7&lt;&gt;"",INDEX(DataOB[],FirstRow+ROW()-7,5),"")</f>
        <v>Cooker Y24</v>
      </c>
      <c r="G7" s="58">
        <f>IF($B7&lt;&gt;"",SUMIFS(DataAct_tbl[AMOUNT],DataAct_tbl[BG CODE],Detail!$D7,DataAct_tbl[MONTH],LEFT(MonthName,3),DataAct_tbl[Dept code],$B7),0)</f>
        <v>0</v>
      </c>
      <c r="H7" s="31">
        <f>INDEX($T$7:$AE$1005,ROW()-6,MATCH(MonthName,$T$6:$AE$6,0))</f>
        <v>0</v>
      </c>
      <c r="I7" s="28">
        <f t="shared" ref="I7" si="0">IFERROR(+G7-H7,"")</f>
        <v>0</v>
      </c>
      <c r="J7" s="32" t="str">
        <f t="shared" ref="J7" si="1">IFERROR(+IF(H7&gt;0,G7/H7," "),"")</f>
        <v xml:space="preserve"> </v>
      </c>
      <c r="K7" s="86"/>
      <c r="L7" s="106">
        <f>IF($B7&lt;&gt;"",SUMIFS(DataAct_tbl[AMOUNT],DataAct_tbl[BG CODE],Detail!$D7,DataAct_tbl[Check Range],"=true",DataAct_tbl[Dept code],$B7),0)</f>
        <v>0</v>
      </c>
      <c r="M7" s="107">
        <f>INDEX($AG$7:$AR$1005,ROW()-6,MATCH(MTD,$AG$6:$AR$6,0))</f>
        <v>0</v>
      </c>
      <c r="N7" s="108">
        <f t="shared" ref="N7" si="2">IFERROR(+L7-M7,"")</f>
        <v>0</v>
      </c>
      <c r="O7" s="109" t="str">
        <f t="shared" ref="O7" si="3">IFERROR(+IF(M7&gt;0,L7/M7," "),"")</f>
        <v xml:space="preserve"> </v>
      </c>
      <c r="Q7" s="97">
        <f t="shared" ref="Q7" si="4">AF7</f>
        <v>2</v>
      </c>
      <c r="R7" s="96">
        <f t="shared" ref="R7" si="5">Q7-L7</f>
        <v>2</v>
      </c>
      <c r="T7" s="114">
        <f>IF($B7&lt;&gt;"",INDEX(DataOB[],FirstRow+ROW()-7,MATCH(T$6,DataOB[#Headers],0)),"")</f>
        <v>0</v>
      </c>
      <c r="U7" s="114">
        <f>IF($B7&lt;&gt;"",INDEX(DataOB[],FirstRow+ROW()-7,MATCH(U$6,DataOB[#Headers],0)),"")</f>
        <v>0</v>
      </c>
      <c r="V7" s="114">
        <f>IF($B7&lt;&gt;"",INDEX(DataOB[],FirstRow+ROW()-7,MATCH(V$6,DataOB[#Headers],0)),"")</f>
        <v>0</v>
      </c>
      <c r="W7" s="114">
        <f>IF($B7&lt;&gt;"",INDEX(DataOB[],FirstRow+ROW()-7,MATCH(W$6,DataOB[#Headers],0)),"")</f>
        <v>0</v>
      </c>
      <c r="X7" s="114">
        <f>IF($B7&lt;&gt;"",INDEX(DataOB[],FirstRow+ROW()-7,MATCH(X$6,DataOB[#Headers],0)),"")</f>
        <v>0</v>
      </c>
      <c r="Y7" s="114">
        <f>IF($B7&lt;&gt;"",INDEX(DataOB[],FirstRow+ROW()-7,MATCH(Y$6,DataOB[#Headers],0)),"")</f>
        <v>0</v>
      </c>
      <c r="Z7" s="114">
        <f>IF($B7&lt;&gt;"",INDEX(DataOB[],FirstRow+ROW()-7,MATCH(Z$6,DataOB[#Headers],0)),"")</f>
        <v>0</v>
      </c>
      <c r="AA7" s="114">
        <f>IF($B7&lt;&gt;"",INDEX(DataOB[],FirstRow+ROW()-7,MATCH(AA$6,DataOB[#Headers],0)),"")</f>
        <v>0</v>
      </c>
      <c r="AB7" s="114">
        <f>IF($B7&lt;&gt;"",INDEX(DataOB[],FirstRow+ROW()-7,MATCH(AB$6,DataOB[#Headers],0)),"")</f>
        <v>0</v>
      </c>
      <c r="AC7" s="114">
        <f>IF($B7&lt;&gt;"",INDEX(DataOB[],FirstRow+ROW()-7,MATCH(AC$6,DataOB[#Headers],0)),"")</f>
        <v>2</v>
      </c>
      <c r="AD7" s="114">
        <f>IF($B7&lt;&gt;"",INDEX(DataOB[],FirstRow+ROW()-7,MATCH(AD$6,DataOB[#Headers],0)),"")</f>
        <v>0</v>
      </c>
      <c r="AE7" s="114">
        <f>IF($B7&lt;&gt;"",INDEX(DataOB[],FirstRow+ROW()-7,MATCH(AE$6,DataOB[#Headers],0)),"")</f>
        <v>0</v>
      </c>
      <c r="AF7" s="26">
        <f t="shared" ref="AF7" si="6">+SUM(T7:AE7)</f>
        <v>2</v>
      </c>
      <c r="AG7" s="31">
        <f>SUM($T7:T7)</f>
        <v>0</v>
      </c>
      <c r="AH7" s="31">
        <f>SUM($T7:U7)</f>
        <v>0</v>
      </c>
      <c r="AI7" s="31">
        <f>SUM($T7:V7)</f>
        <v>0</v>
      </c>
      <c r="AJ7" s="31">
        <f>SUM($T7:W7)</f>
        <v>0</v>
      </c>
      <c r="AK7" s="31">
        <f>SUM($T7:X7)</f>
        <v>0</v>
      </c>
      <c r="AL7" s="31">
        <f>SUM($T7:Y7)</f>
        <v>0</v>
      </c>
      <c r="AM7" s="31">
        <f>SUM($T7:Z7)</f>
        <v>0</v>
      </c>
      <c r="AN7" s="31">
        <f>SUM($T7:AA7)</f>
        <v>0</v>
      </c>
      <c r="AO7" s="31">
        <f>SUM($T7:AB7)</f>
        <v>0</v>
      </c>
      <c r="AP7" s="31">
        <f>SUM($T7:AC7)</f>
        <v>2</v>
      </c>
      <c r="AQ7" s="31">
        <f>SUM($T7:AD7)</f>
        <v>2</v>
      </c>
      <c r="AR7" s="31">
        <f>SUM($T7:AE7)</f>
        <v>2</v>
      </c>
      <c r="AS7" s="27">
        <f>AF7-AR7</f>
        <v>0</v>
      </c>
    </row>
    <row r="8" spans="1:45">
      <c r="B8" s="156">
        <f>IF(ROW()-6&gt;NumCostCenter,"",IF(CostCenter&lt;&gt;"ALL",CostCenter,DATA_LF2!B6))</f>
        <v>1213</v>
      </c>
      <c r="C8" s="153">
        <f>IF($B8&lt;&gt;"",INDEX(DataOB[],FirstRow+ROW()-7,2),"")</f>
        <v>1213</v>
      </c>
      <c r="D8" s="157" t="str">
        <f>IF($B8&lt;&gt;"",INDEX(DataOB[],FirstRow+ROW()-7,3),"")</f>
        <v>TBD</v>
      </c>
      <c r="E8" s="158">
        <f>IF($B8&lt;&gt;"",INDEX(DataOB[],FirstRow+ROW()-7,6),"")</f>
        <v>0</v>
      </c>
      <c r="F8" s="158" t="str">
        <f>IF($B8&lt;&gt;"",INDEX(DataOB[],FirstRow+ROW()-7,5),"")</f>
        <v>Build Comfortable Rest Area in Canteen</v>
      </c>
      <c r="G8" s="58">
        <f>IF($B8&lt;&gt;"",SUMIFS(DataAct_tbl[AMOUNT],DataAct_tbl[BG CODE],Detail!$D8,DataAct_tbl[MONTH],LEFT(MonthName,3),DataAct_tbl[Dept code],$B8),0)</f>
        <v>0</v>
      </c>
      <c r="H8" s="31">
        <f t="shared" ref="H8:H70" si="7">INDEX($T$7:$AE$1005,ROW()-6,MATCH(MonthName,$T$6:$AE$6,0))</f>
        <v>0</v>
      </c>
      <c r="I8" s="28">
        <f t="shared" ref="I8:I71" si="8">IFERROR(+G8-H8,"")</f>
        <v>0</v>
      </c>
      <c r="J8" s="32" t="str">
        <f t="shared" ref="J8:J71" si="9">IFERROR(+IF(H8&gt;0,G8/H8," "),"")</f>
        <v xml:space="preserve"> </v>
      </c>
      <c r="K8" s="86"/>
      <c r="L8" s="62">
        <f>IF($B8&lt;&gt;"",SUMIFS(DataAct_tbl[AMOUNT],DataAct_tbl[BG CODE],Detail!$D8,DataAct_tbl[Check Range],"=true",DataAct_tbl[Dept code],$B8),0)</f>
        <v>0</v>
      </c>
      <c r="M8" s="63">
        <f>INDEX($AG$7:$AR$1005,ROW()-6,MATCH(MTD,$AG$6:$AR$6,0))</f>
        <v>0</v>
      </c>
      <c r="N8" s="34">
        <f t="shared" ref="N8:N71" si="10">IFERROR(+L8-M8,"")</f>
        <v>0</v>
      </c>
      <c r="O8" s="64" t="str">
        <f t="shared" ref="O8:O71" si="11">IFERROR(+IF(M8&gt;0,L8/M8," "),"")</f>
        <v xml:space="preserve"> </v>
      </c>
      <c r="Q8" s="97">
        <f t="shared" ref="Q8:Q71" si="12">AF8</f>
        <v>350</v>
      </c>
      <c r="R8" s="96">
        <f t="shared" ref="R8:R71" si="13">Q8-L8</f>
        <v>350</v>
      </c>
      <c r="T8" s="67">
        <f>IF($B8&lt;&gt;"",INDEX(DataOB[],FirstRow+ROW()-7,MATCH(T$6,DataOB[#Headers],0)),"")</f>
        <v>0</v>
      </c>
      <c r="U8" s="67">
        <f>IF($B8&lt;&gt;"",INDEX(DataOB[],FirstRow+ROW()-7,MATCH(U$6,DataOB[#Headers],0)),"")</f>
        <v>0</v>
      </c>
      <c r="V8" s="67">
        <f>IF($B8&lt;&gt;"",INDEX(DataOB[],FirstRow+ROW()-7,MATCH(V$6,DataOB[#Headers],0)),"")</f>
        <v>0</v>
      </c>
      <c r="W8" s="67">
        <f>IF($B8&lt;&gt;"",INDEX(DataOB[],FirstRow+ROW()-7,MATCH(W$6,DataOB[#Headers],0)),"")</f>
        <v>0</v>
      </c>
      <c r="X8" s="67">
        <f>IF($B8&lt;&gt;"",INDEX(DataOB[],FirstRow+ROW()-7,MATCH(X$6,DataOB[#Headers],0)),"")</f>
        <v>0</v>
      </c>
      <c r="Y8" s="67">
        <f>IF($B8&lt;&gt;"",INDEX(DataOB[],FirstRow+ROW()-7,MATCH(Y$6,DataOB[#Headers],0)),"")</f>
        <v>0</v>
      </c>
      <c r="Z8" s="67">
        <f>IF($B8&lt;&gt;"",INDEX(DataOB[],FirstRow+ROW()-7,MATCH(Z$6,DataOB[#Headers],0)),"")</f>
        <v>0</v>
      </c>
      <c r="AA8" s="67">
        <f>IF($B8&lt;&gt;"",INDEX(DataOB[],FirstRow+ROW()-7,MATCH(AA$6,DataOB[#Headers],0)),"")</f>
        <v>0</v>
      </c>
      <c r="AB8" s="67">
        <f>IF($B8&lt;&gt;"",INDEX(DataOB[],FirstRow+ROW()-7,MATCH(AB$6,DataOB[#Headers],0)),"")</f>
        <v>0</v>
      </c>
      <c r="AC8" s="67">
        <f>IF($B8&lt;&gt;"",INDEX(DataOB[],FirstRow+ROW()-7,MATCH(AC$6,DataOB[#Headers],0)),"")</f>
        <v>0</v>
      </c>
      <c r="AD8" s="67">
        <f>IF($B8&lt;&gt;"",INDEX(DataOB[],FirstRow+ROW()-7,MATCH(AD$6,DataOB[#Headers],0)),"")</f>
        <v>0</v>
      </c>
      <c r="AE8" s="67">
        <f>IF($B8&lt;&gt;"",INDEX(DataOB[],FirstRow+ROW()-7,MATCH(AE$6,DataOB[#Headers],0)),"")</f>
        <v>350</v>
      </c>
      <c r="AF8" s="26">
        <f t="shared" ref="AF8:AF71" si="14">+SUM(T8:AE8)</f>
        <v>350</v>
      </c>
      <c r="AG8" s="31">
        <f>SUM($T8:T8)</f>
        <v>0</v>
      </c>
      <c r="AH8" s="31">
        <f>SUM($T8:U8)</f>
        <v>0</v>
      </c>
      <c r="AI8" s="31">
        <f>SUM($T8:V8)</f>
        <v>0</v>
      </c>
      <c r="AJ8" s="31">
        <f>SUM($T8:W8)</f>
        <v>0</v>
      </c>
      <c r="AK8" s="31">
        <f>SUM($T8:X8)</f>
        <v>0</v>
      </c>
      <c r="AL8" s="31">
        <f>SUM($T8:Y8)</f>
        <v>0</v>
      </c>
      <c r="AM8" s="31">
        <f>SUM($T8:Z8)</f>
        <v>0</v>
      </c>
      <c r="AN8" s="31">
        <f>SUM($T8:AA8)</f>
        <v>0</v>
      </c>
      <c r="AO8" s="31">
        <f>SUM($T8:AB8)</f>
        <v>0</v>
      </c>
      <c r="AP8" s="31">
        <f>SUM($T8:AC8)</f>
        <v>0</v>
      </c>
      <c r="AQ8" s="31">
        <f>SUM($T8:AD8)</f>
        <v>0</v>
      </c>
      <c r="AR8" s="31">
        <f>SUM($T8:AE8)</f>
        <v>350</v>
      </c>
      <c r="AS8" s="27">
        <f t="shared" ref="AS8:AS71" si="15">AF8-AR8</f>
        <v>0</v>
      </c>
    </row>
    <row r="9" spans="1:45">
      <c r="B9" s="156">
        <f>IF(ROW()-6&gt;NumCostCenter,"",IF(CostCenter&lt;&gt;"ALL",CostCenter,DATA_LF2!B7))</f>
        <v>1213</v>
      </c>
      <c r="C9" s="153">
        <f>IF($B9&lt;&gt;"",INDEX(DataOB[],FirstRow+ROW()-7,2),"")</f>
        <v>1213</v>
      </c>
      <c r="D9" s="157" t="str">
        <f>IF($B9&lt;&gt;"",INDEX(DataOB[],FirstRow+ROW()-7,3),"")</f>
        <v>TBD</v>
      </c>
      <c r="E9" s="158">
        <f>IF($B9&lt;&gt;"",INDEX(DataOB[],FirstRow+ROW()-7,6),"")</f>
        <v>0</v>
      </c>
      <c r="F9" s="158" t="str">
        <f>IF($B9&lt;&gt;"",INDEX(DataOB[],FirstRow+ROW()-7,5),"")</f>
        <v>Build Sport Area</v>
      </c>
      <c r="G9" s="58">
        <f>IF($B9&lt;&gt;"",SUMIFS(DataAct_tbl[AMOUNT],DataAct_tbl[BG CODE],Detail!$D9,DataAct_tbl[MONTH],LEFT(MonthName,3),DataAct_tbl[Dept code],$B9),0)</f>
        <v>0</v>
      </c>
      <c r="H9" s="31">
        <f t="shared" si="7"/>
        <v>0</v>
      </c>
      <c r="I9" s="28">
        <f t="shared" si="8"/>
        <v>0</v>
      </c>
      <c r="J9" s="32" t="str">
        <f t="shared" si="9"/>
        <v xml:space="preserve"> </v>
      </c>
      <c r="K9" s="86"/>
      <c r="L9" s="62">
        <f>IF($B9&lt;&gt;"",SUMIFS(DataAct_tbl[AMOUNT],DataAct_tbl[BG CODE],Detail!$D9,DataAct_tbl[Check Range],"=true",DataAct_tbl[Dept code],$B9),0)</f>
        <v>0</v>
      </c>
      <c r="M9" s="63">
        <f>INDEX($AG$7:$AR$1005,ROW()-6,MATCH(MTD,$AG$6:$AR$6,0))</f>
        <v>0</v>
      </c>
      <c r="N9" s="34">
        <f t="shared" si="10"/>
        <v>0</v>
      </c>
      <c r="O9" s="64" t="str">
        <f t="shared" si="11"/>
        <v xml:space="preserve"> </v>
      </c>
      <c r="Q9" s="97">
        <f t="shared" si="12"/>
        <v>150</v>
      </c>
      <c r="R9" s="96">
        <f t="shared" si="13"/>
        <v>150</v>
      </c>
      <c r="T9" s="67">
        <f>IF($B9&lt;&gt;"",INDEX(DataOB[],FirstRow+ROW()-7,MATCH(T$6,DataOB[#Headers],0)),"")</f>
        <v>0</v>
      </c>
      <c r="U9" s="67">
        <f>IF($B9&lt;&gt;"",INDEX(DataOB[],FirstRow+ROW()-7,MATCH(U$6,DataOB[#Headers],0)),"")</f>
        <v>0</v>
      </c>
      <c r="V9" s="67">
        <f>IF($B9&lt;&gt;"",INDEX(DataOB[],FirstRow+ROW()-7,MATCH(V$6,DataOB[#Headers],0)),"")</f>
        <v>0</v>
      </c>
      <c r="W9" s="67">
        <f>IF($B9&lt;&gt;"",INDEX(DataOB[],FirstRow+ROW()-7,MATCH(W$6,DataOB[#Headers],0)),"")</f>
        <v>0</v>
      </c>
      <c r="X9" s="67">
        <f>IF($B9&lt;&gt;"",INDEX(DataOB[],FirstRow+ROW()-7,MATCH(X$6,DataOB[#Headers],0)),"")</f>
        <v>0</v>
      </c>
      <c r="Y9" s="67">
        <f>IF($B9&lt;&gt;"",INDEX(DataOB[],FirstRow+ROW()-7,MATCH(Y$6,DataOB[#Headers],0)),"")</f>
        <v>0</v>
      </c>
      <c r="Z9" s="67">
        <f>IF($B9&lt;&gt;"",INDEX(DataOB[],FirstRow+ROW()-7,MATCH(Z$6,DataOB[#Headers],0)),"")</f>
        <v>0</v>
      </c>
      <c r="AA9" s="67">
        <f>IF($B9&lt;&gt;"",INDEX(DataOB[],FirstRow+ROW()-7,MATCH(AA$6,DataOB[#Headers],0)),"")</f>
        <v>0</v>
      </c>
      <c r="AB9" s="67">
        <f>IF($B9&lt;&gt;"",INDEX(DataOB[],FirstRow+ROW()-7,MATCH(AB$6,DataOB[#Headers],0)),"")</f>
        <v>0</v>
      </c>
      <c r="AC9" s="67">
        <f>IF($B9&lt;&gt;"",INDEX(DataOB[],FirstRow+ROW()-7,MATCH(AC$6,DataOB[#Headers],0)),"")</f>
        <v>0</v>
      </c>
      <c r="AD9" s="67">
        <f>IF($B9&lt;&gt;"",INDEX(DataOB[],FirstRow+ROW()-7,MATCH(AD$6,DataOB[#Headers],0)),"")</f>
        <v>150</v>
      </c>
      <c r="AE9" s="67">
        <f>IF($B9&lt;&gt;"",INDEX(DataOB[],FirstRow+ROW()-7,MATCH(AE$6,DataOB[#Headers],0)),"")</f>
        <v>0</v>
      </c>
      <c r="AF9" s="26">
        <f t="shared" si="14"/>
        <v>150</v>
      </c>
      <c r="AG9" s="31">
        <f>SUM($T9:T9)</f>
        <v>0</v>
      </c>
      <c r="AH9" s="31">
        <f>SUM($T9:U9)</f>
        <v>0</v>
      </c>
      <c r="AI9" s="31">
        <f>SUM($T9:V9)</f>
        <v>0</v>
      </c>
      <c r="AJ9" s="31">
        <f>SUM($T9:W9)</f>
        <v>0</v>
      </c>
      <c r="AK9" s="31">
        <f>SUM($T9:X9)</f>
        <v>0</v>
      </c>
      <c r="AL9" s="31">
        <f>SUM($T9:Y9)</f>
        <v>0</v>
      </c>
      <c r="AM9" s="31">
        <f>SUM($T9:Z9)</f>
        <v>0</v>
      </c>
      <c r="AN9" s="31">
        <f>SUM($T9:AA9)</f>
        <v>0</v>
      </c>
      <c r="AO9" s="31">
        <f>SUM($T9:AB9)</f>
        <v>0</v>
      </c>
      <c r="AP9" s="31">
        <f>SUM($T9:AC9)</f>
        <v>0</v>
      </c>
      <c r="AQ9" s="31">
        <f>SUM($T9:AD9)</f>
        <v>150</v>
      </c>
      <c r="AR9" s="31">
        <f>SUM($T9:AE9)</f>
        <v>150</v>
      </c>
      <c r="AS9" s="27">
        <f t="shared" si="15"/>
        <v>0</v>
      </c>
    </row>
    <row r="10" spans="1:45" s="12" customFormat="1">
      <c r="A10" s="4"/>
      <c r="B10" s="156">
        <f>IF(ROW()-6&gt;NumCostCenter,"",IF(CostCenter&lt;&gt;"ALL",CostCenter,DATA_LF2!B8))</f>
        <v>1213</v>
      </c>
      <c r="C10" s="153">
        <f>IF($B10&lt;&gt;"",INDEX(DataOB[],FirstRow+ROW()-7,2),"")</f>
        <v>1213</v>
      </c>
      <c r="D10" s="157" t="str">
        <f>IF($B10&lt;&gt;"",INDEX(DataOB[],FirstRow+ROW()-7,3),"")</f>
        <v>TBD</v>
      </c>
      <c r="E10" s="158">
        <f>IF($B10&lt;&gt;"",INDEX(DataOB[],FirstRow+ROW()-7,6),"")</f>
        <v>0</v>
      </c>
      <c r="F10" s="158" t="str">
        <f>IF($B10&lt;&gt;"",INDEX(DataOB[],FirstRow+ROW()-7,5),"")</f>
        <v>Install water filtration system for cooking at Canteen</v>
      </c>
      <c r="G10" s="58">
        <f>IF($B10&lt;&gt;"",SUMIFS(DataAct_tbl[AMOUNT],DataAct_tbl[BG CODE],Detail!$D10,DataAct_tbl[MONTH],LEFT(MonthName,3),DataAct_tbl[Dept code],$B10),0)</f>
        <v>0</v>
      </c>
      <c r="H10" s="31">
        <f t="shared" si="7"/>
        <v>13</v>
      </c>
      <c r="I10" s="28">
        <f t="shared" si="8"/>
        <v>-13</v>
      </c>
      <c r="J10" s="32">
        <f t="shared" si="9"/>
        <v>0</v>
      </c>
      <c r="K10" s="86"/>
      <c r="L10" s="62">
        <f>IF($B10&lt;&gt;"",SUMIFS(DataAct_tbl[AMOUNT],DataAct_tbl[BG CODE],Detail!$D10,DataAct_tbl[Check Range],"=true",DataAct_tbl[Dept code],$B10),0)</f>
        <v>0</v>
      </c>
      <c r="M10" s="63">
        <f>INDEX($AG$7:$AR$1005,ROW()-6,MATCH(MTD,$AG$6:$AR$6,0))</f>
        <v>13</v>
      </c>
      <c r="N10" s="34">
        <f t="shared" si="10"/>
        <v>-13</v>
      </c>
      <c r="O10" s="64">
        <f t="shared" si="11"/>
        <v>0</v>
      </c>
      <c r="P10" s="16"/>
      <c r="Q10" s="97">
        <f t="shared" si="12"/>
        <v>13</v>
      </c>
      <c r="R10" s="96">
        <f t="shared" si="13"/>
        <v>13</v>
      </c>
      <c r="S10" s="16"/>
      <c r="T10" s="67">
        <f>IF($B10&lt;&gt;"",INDEX(DataOB[],FirstRow+ROW()-7,MATCH(T$6,DataOB[#Headers],0)),"")</f>
        <v>0</v>
      </c>
      <c r="U10" s="67">
        <f>IF($B10&lt;&gt;"",INDEX(DataOB[],FirstRow+ROW()-7,MATCH(U$6,DataOB[#Headers],0)),"")</f>
        <v>0</v>
      </c>
      <c r="V10" s="67">
        <f>IF($B10&lt;&gt;"",INDEX(DataOB[],FirstRow+ROW()-7,MATCH(V$6,DataOB[#Headers],0)),"")</f>
        <v>0</v>
      </c>
      <c r="W10" s="67">
        <f>IF($B10&lt;&gt;"",INDEX(DataOB[],FirstRow+ROW()-7,MATCH(W$6,DataOB[#Headers],0)),"")</f>
        <v>0</v>
      </c>
      <c r="X10" s="67">
        <f>IF($B10&lt;&gt;"",INDEX(DataOB[],FirstRow+ROW()-7,MATCH(X$6,DataOB[#Headers],0)),"")</f>
        <v>0</v>
      </c>
      <c r="Y10" s="67">
        <f>IF($B10&lt;&gt;"",INDEX(DataOB[],FirstRow+ROW()-7,MATCH(Y$6,DataOB[#Headers],0)),"")</f>
        <v>0</v>
      </c>
      <c r="Z10" s="67">
        <f>IF($B10&lt;&gt;"",INDEX(DataOB[],FirstRow+ROW()-7,MATCH(Z$6,DataOB[#Headers],0)),"")</f>
        <v>13</v>
      </c>
      <c r="AA10" s="67">
        <f>IF($B10&lt;&gt;"",INDEX(DataOB[],FirstRow+ROW()-7,MATCH(AA$6,DataOB[#Headers],0)),"")</f>
        <v>0</v>
      </c>
      <c r="AB10" s="67">
        <f>IF($B10&lt;&gt;"",INDEX(DataOB[],FirstRow+ROW()-7,MATCH(AB$6,DataOB[#Headers],0)),"")</f>
        <v>0</v>
      </c>
      <c r="AC10" s="67">
        <f>IF($B10&lt;&gt;"",INDEX(DataOB[],FirstRow+ROW()-7,MATCH(AC$6,DataOB[#Headers],0)),"")</f>
        <v>0</v>
      </c>
      <c r="AD10" s="67">
        <f>IF($B10&lt;&gt;"",INDEX(DataOB[],FirstRow+ROW()-7,MATCH(AD$6,DataOB[#Headers],0)),"")</f>
        <v>0</v>
      </c>
      <c r="AE10" s="67">
        <f>IF($B10&lt;&gt;"",INDEX(DataOB[],FirstRow+ROW()-7,MATCH(AE$6,DataOB[#Headers],0)),"")</f>
        <v>0</v>
      </c>
      <c r="AF10" s="26">
        <f t="shared" si="14"/>
        <v>13</v>
      </c>
      <c r="AG10" s="31">
        <f>SUM($T10:T10)</f>
        <v>0</v>
      </c>
      <c r="AH10" s="31">
        <f>SUM($T10:U10)</f>
        <v>0</v>
      </c>
      <c r="AI10" s="31">
        <f>SUM($T10:V10)</f>
        <v>0</v>
      </c>
      <c r="AJ10" s="31">
        <f>SUM($T10:W10)</f>
        <v>0</v>
      </c>
      <c r="AK10" s="31">
        <f>SUM($T10:X10)</f>
        <v>0</v>
      </c>
      <c r="AL10" s="31">
        <f>SUM($T10:Y10)</f>
        <v>0</v>
      </c>
      <c r="AM10" s="31">
        <f>SUM($T10:Z10)</f>
        <v>13</v>
      </c>
      <c r="AN10" s="31">
        <f>SUM($T10:AA10)</f>
        <v>13</v>
      </c>
      <c r="AO10" s="31">
        <f>SUM($T10:AB10)</f>
        <v>13</v>
      </c>
      <c r="AP10" s="31">
        <f>SUM($T10:AC10)</f>
        <v>13</v>
      </c>
      <c r="AQ10" s="31">
        <f>SUM($T10:AD10)</f>
        <v>13</v>
      </c>
      <c r="AR10" s="31">
        <f>SUM($T10:AE10)</f>
        <v>13</v>
      </c>
      <c r="AS10" s="27">
        <f t="shared" si="15"/>
        <v>0</v>
      </c>
    </row>
    <row r="11" spans="1:45" s="12" customFormat="1">
      <c r="A11" s="4"/>
      <c r="B11" s="156">
        <f>IF(ROW()-6&gt;NumCostCenter,"",IF(CostCenter&lt;&gt;"ALL",CostCenter,DATA_LF2!B9))</f>
        <v>1213</v>
      </c>
      <c r="C11" s="153">
        <f>IF($B11&lt;&gt;"",INDEX(DataOB[],FirstRow+ROW()-7,2),"")</f>
        <v>1213</v>
      </c>
      <c r="D11" s="157" t="str">
        <f>IF($B11&lt;&gt;"",INDEX(DataOB[],FirstRow+ROW()-7,3),"")</f>
        <v>OT00169</v>
      </c>
      <c r="E11" s="158">
        <f>IF($B11&lt;&gt;"",INDEX(DataOB[],FirstRow+ROW()-7,6),"")</f>
        <v>0</v>
      </c>
      <c r="F11" s="158" t="str">
        <f>IF($B11&lt;&gt;"",INDEX(DataOB[],FirstRow+ROW()-7,5),"")</f>
        <v>Upgrade the dish washing basin</v>
      </c>
      <c r="G11" s="58">
        <f>IF($B11&lt;&gt;"",SUMIFS(DataAct_tbl[AMOUNT],DataAct_tbl[BG CODE],Detail!$D11,DataAct_tbl[MONTH],LEFT(MonthName,3),DataAct_tbl[Dept code],$B11),0)</f>
        <v>0</v>
      </c>
      <c r="H11" s="31">
        <f t="shared" si="7"/>
        <v>0</v>
      </c>
      <c r="I11" s="28">
        <f t="shared" si="8"/>
        <v>0</v>
      </c>
      <c r="J11" s="32" t="str">
        <f t="shared" si="9"/>
        <v xml:space="preserve"> </v>
      </c>
      <c r="K11" s="86"/>
      <c r="L11" s="62">
        <f>IF($B11&lt;&gt;"",SUMIFS(DataAct_tbl[AMOUNT],DataAct_tbl[BG CODE],Detail!$D11,DataAct_tbl[Check Range],"=true",DataAct_tbl[Dept code],$B11),0)</f>
        <v>2.6799300000000001</v>
      </c>
      <c r="M11" s="63">
        <f>INDEX($AG$7:$AR$1005,ROW()-6,MATCH(MTD,$AG$6:$AR$6,0))</f>
        <v>2.6799300000000001</v>
      </c>
      <c r="N11" s="34">
        <f t="shared" si="10"/>
        <v>0</v>
      </c>
      <c r="O11" s="64">
        <f t="shared" si="11"/>
        <v>1</v>
      </c>
      <c r="P11" s="16"/>
      <c r="Q11" s="97">
        <f t="shared" si="12"/>
        <v>2.6799300000000001</v>
      </c>
      <c r="R11" s="96">
        <f t="shared" si="13"/>
        <v>0</v>
      </c>
      <c r="S11" s="16"/>
      <c r="T11" s="67">
        <f>IF($B11&lt;&gt;"",INDEX(DataOB[],FirstRow+ROW()-7,MATCH(T$6,DataOB[#Headers],0)),"")</f>
        <v>2.6799300000000001</v>
      </c>
      <c r="U11" s="67">
        <f>IF($B11&lt;&gt;"",INDEX(DataOB[],FirstRow+ROW()-7,MATCH(U$6,DataOB[#Headers],0)),"")</f>
        <v>0</v>
      </c>
      <c r="V11" s="67">
        <f>IF($B11&lt;&gt;"",INDEX(DataOB[],FirstRow+ROW()-7,MATCH(V$6,DataOB[#Headers],0)),"")</f>
        <v>0</v>
      </c>
      <c r="W11" s="67">
        <f>IF($B11&lt;&gt;"",INDEX(DataOB[],FirstRow+ROW()-7,MATCH(W$6,DataOB[#Headers],0)),"")</f>
        <v>0</v>
      </c>
      <c r="X11" s="67">
        <f>IF($B11&lt;&gt;"",INDEX(DataOB[],FirstRow+ROW()-7,MATCH(X$6,DataOB[#Headers],0)),"")</f>
        <v>0</v>
      </c>
      <c r="Y11" s="67">
        <f>IF($B11&lt;&gt;"",INDEX(DataOB[],FirstRow+ROW()-7,MATCH(Y$6,DataOB[#Headers],0)),"")</f>
        <v>0</v>
      </c>
      <c r="Z11" s="67">
        <f>IF($B11&lt;&gt;"",INDEX(DataOB[],FirstRow+ROW()-7,MATCH(Z$6,DataOB[#Headers],0)),"")</f>
        <v>0</v>
      </c>
      <c r="AA11" s="67">
        <f>IF($B11&lt;&gt;"",INDEX(DataOB[],FirstRow+ROW()-7,MATCH(AA$6,DataOB[#Headers],0)),"")</f>
        <v>0</v>
      </c>
      <c r="AB11" s="67">
        <f>IF($B11&lt;&gt;"",INDEX(DataOB[],FirstRow+ROW()-7,MATCH(AB$6,DataOB[#Headers],0)),"")</f>
        <v>0</v>
      </c>
      <c r="AC11" s="67">
        <f>IF($B11&lt;&gt;"",INDEX(DataOB[],FirstRow+ROW()-7,MATCH(AC$6,DataOB[#Headers],0)),"")</f>
        <v>0</v>
      </c>
      <c r="AD11" s="67">
        <f>IF($B11&lt;&gt;"",INDEX(DataOB[],FirstRow+ROW()-7,MATCH(AD$6,DataOB[#Headers],0)),"")</f>
        <v>0</v>
      </c>
      <c r="AE11" s="67">
        <f>IF($B11&lt;&gt;"",INDEX(DataOB[],FirstRow+ROW()-7,MATCH(AE$6,DataOB[#Headers],0)),"")</f>
        <v>0</v>
      </c>
      <c r="AF11" s="26">
        <f t="shared" si="14"/>
        <v>2.6799300000000001</v>
      </c>
      <c r="AG11" s="31">
        <f>SUM($T11:T11)</f>
        <v>2.6799300000000001</v>
      </c>
      <c r="AH11" s="31">
        <f>SUM($T11:U11)</f>
        <v>2.6799300000000001</v>
      </c>
      <c r="AI11" s="31">
        <f>SUM($T11:V11)</f>
        <v>2.6799300000000001</v>
      </c>
      <c r="AJ11" s="31">
        <f>SUM($T11:W11)</f>
        <v>2.6799300000000001</v>
      </c>
      <c r="AK11" s="31">
        <f>SUM($T11:X11)</f>
        <v>2.6799300000000001</v>
      </c>
      <c r="AL11" s="31">
        <f>SUM($T11:Y11)</f>
        <v>2.6799300000000001</v>
      </c>
      <c r="AM11" s="31">
        <f>SUM($T11:Z11)</f>
        <v>2.6799300000000001</v>
      </c>
      <c r="AN11" s="31">
        <f>SUM($T11:AA11)</f>
        <v>2.6799300000000001</v>
      </c>
      <c r="AO11" s="31">
        <f>SUM($T11:AB11)</f>
        <v>2.6799300000000001</v>
      </c>
      <c r="AP11" s="31">
        <f>SUM($T11:AC11)</f>
        <v>2.6799300000000001</v>
      </c>
      <c r="AQ11" s="31">
        <f>SUM($T11:AD11)</f>
        <v>2.6799300000000001</v>
      </c>
      <c r="AR11" s="31">
        <f>SUM($T11:AE11)</f>
        <v>2.6799300000000001</v>
      </c>
      <c r="AS11" s="27">
        <f t="shared" si="15"/>
        <v>0</v>
      </c>
    </row>
    <row r="12" spans="1:45" s="13" customFormat="1">
      <c r="A12" s="4"/>
      <c r="B12" s="156">
        <f>IF(ROW()-6&gt;NumCostCenter,"",IF(CostCenter&lt;&gt;"ALL",CostCenter,DATA_LF2!B10))</f>
        <v>1213</v>
      </c>
      <c r="C12" s="153">
        <f>IF($B12&lt;&gt;"",INDEX(DataOB[],FirstRow+ROW()-7,2),"")</f>
        <v>1213</v>
      </c>
      <c r="D12" s="157" t="str">
        <f>IF($B12&lt;&gt;"",INDEX(DataOB[],FirstRow+ROW()-7,3),"")</f>
        <v>TBD</v>
      </c>
      <c r="E12" s="158">
        <f>IF($B12&lt;&gt;"",INDEX(DataOB[],FirstRow+ROW()-7,6),"")</f>
        <v>0</v>
      </c>
      <c r="F12" s="158" t="str">
        <f>IF($B12&lt;&gt;"",INDEX(DataOB[],FirstRow+ROW()-7,5),"")</f>
        <v>Landcap Renovation Y24</v>
      </c>
      <c r="G12" s="58">
        <f>IF($B12&lt;&gt;"",SUMIFS(DataAct_tbl[AMOUNT],DataAct_tbl[BG CODE],Detail!$D12,DataAct_tbl[MONTH],LEFT(MonthName,3),DataAct_tbl[Dept code],$B12),0)</f>
        <v>0</v>
      </c>
      <c r="H12" s="31">
        <f t="shared" si="7"/>
        <v>0</v>
      </c>
      <c r="I12" s="28">
        <f t="shared" si="8"/>
        <v>0</v>
      </c>
      <c r="J12" s="32" t="str">
        <f t="shared" si="9"/>
        <v xml:space="preserve"> </v>
      </c>
      <c r="K12" s="86"/>
      <c r="L12" s="62">
        <f>IF($B12&lt;&gt;"",SUMIFS(DataAct_tbl[AMOUNT],DataAct_tbl[BG CODE],Detail!$D12,DataAct_tbl[Check Range],"=true",DataAct_tbl[Dept code],$B12),0)</f>
        <v>0</v>
      </c>
      <c r="M12" s="63">
        <f>INDEX($AG$7:$AR$1005,ROW()-6,MATCH(MTD,$AG$6:$AR$6,0))</f>
        <v>0</v>
      </c>
      <c r="N12" s="34">
        <f t="shared" si="10"/>
        <v>0</v>
      </c>
      <c r="O12" s="64" t="str">
        <f t="shared" si="11"/>
        <v xml:space="preserve"> </v>
      </c>
      <c r="P12" s="16"/>
      <c r="Q12" s="97">
        <f t="shared" si="12"/>
        <v>20</v>
      </c>
      <c r="R12" s="96">
        <f t="shared" si="13"/>
        <v>20</v>
      </c>
      <c r="S12" s="16"/>
      <c r="T12" s="67">
        <f>IF($B12&lt;&gt;"",INDEX(DataOB[],FirstRow+ROW()-7,MATCH(T$6,DataOB[#Headers],0)),"")</f>
        <v>0</v>
      </c>
      <c r="U12" s="67">
        <f>IF($B12&lt;&gt;"",INDEX(DataOB[],FirstRow+ROW()-7,MATCH(U$6,DataOB[#Headers],0)),"")</f>
        <v>0</v>
      </c>
      <c r="V12" s="67">
        <f>IF($B12&lt;&gt;"",INDEX(DataOB[],FirstRow+ROW()-7,MATCH(V$6,DataOB[#Headers],0)),"")</f>
        <v>0</v>
      </c>
      <c r="W12" s="67">
        <f>IF($B12&lt;&gt;"",INDEX(DataOB[],FirstRow+ROW()-7,MATCH(W$6,DataOB[#Headers],0)),"")</f>
        <v>0</v>
      </c>
      <c r="X12" s="67">
        <f>IF($B12&lt;&gt;"",INDEX(DataOB[],FirstRow+ROW()-7,MATCH(X$6,DataOB[#Headers],0)),"")</f>
        <v>0</v>
      </c>
      <c r="Y12" s="67">
        <f>IF($B12&lt;&gt;"",INDEX(DataOB[],FirstRow+ROW()-7,MATCH(Y$6,DataOB[#Headers],0)),"")</f>
        <v>0</v>
      </c>
      <c r="Z12" s="67">
        <f>IF($B12&lt;&gt;"",INDEX(DataOB[],FirstRow+ROW()-7,MATCH(Z$6,DataOB[#Headers],0)),"")</f>
        <v>0</v>
      </c>
      <c r="AA12" s="67">
        <f>IF($B12&lt;&gt;"",INDEX(DataOB[],FirstRow+ROW()-7,MATCH(AA$6,DataOB[#Headers],0)),"")</f>
        <v>10</v>
      </c>
      <c r="AB12" s="67">
        <f>IF($B12&lt;&gt;"",INDEX(DataOB[],FirstRow+ROW()-7,MATCH(AB$6,DataOB[#Headers],0)),"")</f>
        <v>0</v>
      </c>
      <c r="AC12" s="67">
        <f>IF($B12&lt;&gt;"",INDEX(DataOB[],FirstRow+ROW()-7,MATCH(AC$6,DataOB[#Headers],0)),"")</f>
        <v>10</v>
      </c>
      <c r="AD12" s="67">
        <f>IF($B12&lt;&gt;"",INDEX(DataOB[],FirstRow+ROW()-7,MATCH(AD$6,DataOB[#Headers],0)),"")</f>
        <v>0</v>
      </c>
      <c r="AE12" s="67">
        <f>IF($B12&lt;&gt;"",INDEX(DataOB[],FirstRow+ROW()-7,MATCH(AE$6,DataOB[#Headers],0)),"")</f>
        <v>0</v>
      </c>
      <c r="AF12" s="26">
        <f t="shared" si="14"/>
        <v>20</v>
      </c>
      <c r="AG12" s="31">
        <f>SUM($T12:T12)</f>
        <v>0</v>
      </c>
      <c r="AH12" s="31">
        <f>SUM($T12:U12)</f>
        <v>0</v>
      </c>
      <c r="AI12" s="31">
        <f>SUM($T12:V12)</f>
        <v>0</v>
      </c>
      <c r="AJ12" s="31">
        <f>SUM($T12:W12)</f>
        <v>0</v>
      </c>
      <c r="AK12" s="31">
        <f>SUM($T12:X12)</f>
        <v>0</v>
      </c>
      <c r="AL12" s="31">
        <f>SUM($T12:Y12)</f>
        <v>0</v>
      </c>
      <c r="AM12" s="31">
        <f>SUM($T12:Z12)</f>
        <v>0</v>
      </c>
      <c r="AN12" s="31">
        <f>SUM($T12:AA12)</f>
        <v>10</v>
      </c>
      <c r="AO12" s="31">
        <f>SUM($T12:AB12)</f>
        <v>10</v>
      </c>
      <c r="AP12" s="31">
        <f>SUM($T12:AC12)</f>
        <v>20</v>
      </c>
      <c r="AQ12" s="31">
        <f>SUM($T12:AD12)</f>
        <v>20</v>
      </c>
      <c r="AR12" s="31">
        <f>SUM($T12:AE12)</f>
        <v>20</v>
      </c>
      <c r="AS12" s="27">
        <f t="shared" si="15"/>
        <v>0</v>
      </c>
    </row>
    <row r="13" spans="1:45">
      <c r="B13" s="156">
        <f>IF(ROW()-6&gt;NumCostCenter,"",IF(CostCenter&lt;&gt;"ALL",CostCenter,DATA_LF2!B11))</f>
        <v>1213</v>
      </c>
      <c r="C13" s="153">
        <f>IF($B13&lt;&gt;"",INDEX(DataOB[],FirstRow+ROW()-7,2),"")</f>
        <v>1213</v>
      </c>
      <c r="D13" s="157" t="str">
        <f>IF($B13&lt;&gt;"",INDEX(DataOB[],FirstRow+ROW()-7,3),"")</f>
        <v>TBD</v>
      </c>
      <c r="E13" s="158">
        <f>IF($B13&lt;&gt;"",INDEX(DataOB[],FirstRow+ROW()-7,6),"")</f>
        <v>0</v>
      </c>
      <c r="F13" s="158" t="str">
        <f>IF($B13&lt;&gt;"",INDEX(DataOB[],FirstRow+ROW()-7,5),"")</f>
        <v>Lobby Renovation</v>
      </c>
      <c r="G13" s="58">
        <f>IF($B13&lt;&gt;"",SUMIFS(DataAct_tbl[AMOUNT],DataAct_tbl[BG CODE],Detail!$D13,DataAct_tbl[MONTH],LEFT(MonthName,3),DataAct_tbl[Dept code],$B13),0)</f>
        <v>0</v>
      </c>
      <c r="H13" s="31">
        <f t="shared" si="7"/>
        <v>0</v>
      </c>
      <c r="I13" s="28">
        <f t="shared" si="8"/>
        <v>0</v>
      </c>
      <c r="J13" s="32" t="str">
        <f t="shared" si="9"/>
        <v xml:space="preserve"> </v>
      </c>
      <c r="K13" s="86"/>
      <c r="L13" s="62">
        <f>IF($B13&lt;&gt;"",SUMIFS(DataAct_tbl[AMOUNT],DataAct_tbl[BG CODE],Detail!$D13,DataAct_tbl[Check Range],"=true",DataAct_tbl[Dept code],$B13),0)</f>
        <v>0</v>
      </c>
      <c r="M13" s="63">
        <f>INDEX($AG$7:$AR$1005,ROW()-6,MATCH(MTD,$AG$6:$AR$6,0))</f>
        <v>0</v>
      </c>
      <c r="N13" s="34">
        <f t="shared" si="10"/>
        <v>0</v>
      </c>
      <c r="O13" s="64" t="str">
        <f t="shared" si="11"/>
        <v xml:space="preserve"> </v>
      </c>
      <c r="Q13" s="97">
        <f t="shared" si="12"/>
        <v>80</v>
      </c>
      <c r="R13" s="96">
        <f t="shared" si="13"/>
        <v>80</v>
      </c>
      <c r="T13" s="67">
        <f>IF($B13&lt;&gt;"",INDEX(DataOB[],FirstRow+ROW()-7,MATCH(T$6,DataOB[#Headers],0)),"")</f>
        <v>0</v>
      </c>
      <c r="U13" s="67">
        <f>IF($B13&lt;&gt;"",INDEX(DataOB[],FirstRow+ROW()-7,MATCH(U$6,DataOB[#Headers],0)),"")</f>
        <v>0</v>
      </c>
      <c r="V13" s="67">
        <f>IF($B13&lt;&gt;"",INDEX(DataOB[],FirstRow+ROW()-7,MATCH(V$6,DataOB[#Headers],0)),"")</f>
        <v>0</v>
      </c>
      <c r="W13" s="67">
        <f>IF($B13&lt;&gt;"",INDEX(DataOB[],FirstRow+ROW()-7,MATCH(W$6,DataOB[#Headers],0)),"")</f>
        <v>0</v>
      </c>
      <c r="X13" s="67">
        <f>IF($B13&lt;&gt;"",INDEX(DataOB[],FirstRow+ROW()-7,MATCH(X$6,DataOB[#Headers],0)),"")</f>
        <v>0</v>
      </c>
      <c r="Y13" s="67">
        <f>IF($B13&lt;&gt;"",INDEX(DataOB[],FirstRow+ROW()-7,MATCH(Y$6,DataOB[#Headers],0)),"")</f>
        <v>0</v>
      </c>
      <c r="Z13" s="67">
        <f>IF($B13&lt;&gt;"",INDEX(DataOB[],FirstRow+ROW()-7,MATCH(Z$6,DataOB[#Headers],0)),"")</f>
        <v>0</v>
      </c>
      <c r="AA13" s="67">
        <f>IF($B13&lt;&gt;"",INDEX(DataOB[],FirstRow+ROW()-7,MATCH(AA$6,DataOB[#Headers],0)),"")</f>
        <v>0</v>
      </c>
      <c r="AB13" s="67">
        <f>IF($B13&lt;&gt;"",INDEX(DataOB[],FirstRow+ROW()-7,MATCH(AB$6,DataOB[#Headers],0)),"")</f>
        <v>0</v>
      </c>
      <c r="AC13" s="67">
        <f>IF($B13&lt;&gt;"",INDEX(DataOB[],FirstRow+ROW()-7,MATCH(AC$6,DataOB[#Headers],0)),"")</f>
        <v>80</v>
      </c>
      <c r="AD13" s="67">
        <f>IF($B13&lt;&gt;"",INDEX(DataOB[],FirstRow+ROW()-7,MATCH(AD$6,DataOB[#Headers],0)),"")</f>
        <v>0</v>
      </c>
      <c r="AE13" s="67">
        <f>IF($B13&lt;&gt;"",INDEX(DataOB[],FirstRow+ROW()-7,MATCH(AE$6,DataOB[#Headers],0)),"")</f>
        <v>0</v>
      </c>
      <c r="AF13" s="26">
        <f t="shared" si="14"/>
        <v>80</v>
      </c>
      <c r="AG13" s="31">
        <f>SUM($T13:T13)</f>
        <v>0</v>
      </c>
      <c r="AH13" s="31">
        <f>SUM($T13:U13)</f>
        <v>0</v>
      </c>
      <c r="AI13" s="31">
        <f>SUM($T13:V13)</f>
        <v>0</v>
      </c>
      <c r="AJ13" s="31">
        <f>SUM($T13:W13)</f>
        <v>0</v>
      </c>
      <c r="AK13" s="31">
        <f>SUM($T13:X13)</f>
        <v>0</v>
      </c>
      <c r="AL13" s="31">
        <f>SUM($T13:Y13)</f>
        <v>0</v>
      </c>
      <c r="AM13" s="31">
        <f>SUM($T13:Z13)</f>
        <v>0</v>
      </c>
      <c r="AN13" s="31">
        <f>SUM($T13:AA13)</f>
        <v>0</v>
      </c>
      <c r="AO13" s="31">
        <f>SUM($T13:AB13)</f>
        <v>0</v>
      </c>
      <c r="AP13" s="31">
        <f>SUM($T13:AC13)</f>
        <v>80</v>
      </c>
      <c r="AQ13" s="31">
        <f>SUM($T13:AD13)</f>
        <v>80</v>
      </c>
      <c r="AR13" s="31">
        <f>SUM($T13:AE13)</f>
        <v>80</v>
      </c>
      <c r="AS13" s="27">
        <f t="shared" si="15"/>
        <v>0</v>
      </c>
    </row>
    <row r="14" spans="1:45">
      <c r="B14" s="156">
        <f>IF(ROW()-6&gt;NumCostCenter,"",IF(CostCenter&lt;&gt;"ALL",CostCenter,DATA_LF2!B12))</f>
        <v>1213</v>
      </c>
      <c r="C14" s="153">
        <f>IF($B14&lt;&gt;"",INDEX(DataOB[],FirstRow+ROW()-7,2),"")</f>
        <v>1213</v>
      </c>
      <c r="D14" s="157" t="str">
        <f>IF($B14&lt;&gt;"",INDEX(DataOB[],FirstRow+ROW()-7,3),"")</f>
        <v>B000003</v>
      </c>
      <c r="E14" s="158">
        <f>IF($B14&lt;&gt;"",INDEX(DataOB[],FirstRow+ROW()-7,6),"")</f>
        <v>0</v>
      </c>
      <c r="F14" s="158" t="str">
        <f>IF($B14&lt;&gt;"",INDEX(DataOB[],FirstRow+ROW()-7,5),"")</f>
        <v>Canteen Renovation</v>
      </c>
      <c r="G14" s="58">
        <f>IF($B14&lt;&gt;"",SUMIFS(DataAct_tbl[AMOUNT],DataAct_tbl[BG CODE],Detail!$D14,DataAct_tbl[MONTH],LEFT(MonthName,3),DataAct_tbl[Dept code],$B14),0)</f>
        <v>0</v>
      </c>
      <c r="H14" s="31">
        <f t="shared" si="7"/>
        <v>0</v>
      </c>
      <c r="I14" s="28">
        <f t="shared" si="8"/>
        <v>0</v>
      </c>
      <c r="J14" s="32" t="str">
        <f t="shared" si="9"/>
        <v xml:space="preserve"> </v>
      </c>
      <c r="K14" s="86"/>
      <c r="L14" s="62">
        <f>IF($B14&lt;&gt;"",SUMIFS(DataAct_tbl[AMOUNT],DataAct_tbl[BG CODE],Detail!$D14,DataAct_tbl[Check Range],"=true",DataAct_tbl[Dept code],$B14),0)</f>
        <v>10.851290000000001</v>
      </c>
      <c r="M14" s="63">
        <f>INDEX($AG$7:$AR$1005,ROW()-6,MATCH(MTD,$AG$6:$AR$6,0))</f>
        <v>10.851290000000001</v>
      </c>
      <c r="N14" s="34">
        <f t="shared" si="10"/>
        <v>0</v>
      </c>
      <c r="O14" s="64">
        <f t="shared" si="11"/>
        <v>1</v>
      </c>
      <c r="Q14" s="97">
        <f t="shared" si="12"/>
        <v>90.851290000000006</v>
      </c>
      <c r="R14" s="96">
        <f t="shared" si="13"/>
        <v>80</v>
      </c>
      <c r="T14" s="67">
        <f>IF($B14&lt;&gt;"",INDEX(DataOB[],FirstRow+ROW()-7,MATCH(T$6,DataOB[#Headers],0)),"")</f>
        <v>10.851290000000001</v>
      </c>
      <c r="U14" s="67">
        <f>IF($B14&lt;&gt;"",INDEX(DataOB[],FirstRow+ROW()-7,MATCH(U$6,DataOB[#Headers],0)),"")</f>
        <v>0</v>
      </c>
      <c r="V14" s="67">
        <f>IF($B14&lt;&gt;"",INDEX(DataOB[],FirstRow+ROW()-7,MATCH(V$6,DataOB[#Headers],0)),"")</f>
        <v>0</v>
      </c>
      <c r="W14" s="67">
        <f>IF($B14&lt;&gt;"",INDEX(DataOB[],FirstRow+ROW()-7,MATCH(W$6,DataOB[#Headers],0)),"")</f>
        <v>0</v>
      </c>
      <c r="X14" s="67">
        <f>IF($B14&lt;&gt;"",INDEX(DataOB[],FirstRow+ROW()-7,MATCH(X$6,DataOB[#Headers],0)),"")</f>
        <v>0</v>
      </c>
      <c r="Y14" s="67">
        <f>IF($B14&lt;&gt;"",INDEX(DataOB[],FirstRow+ROW()-7,MATCH(Y$6,DataOB[#Headers],0)),"")</f>
        <v>0</v>
      </c>
      <c r="Z14" s="67">
        <f>IF($B14&lt;&gt;"",INDEX(DataOB[],FirstRow+ROW()-7,MATCH(Z$6,DataOB[#Headers],0)),"")</f>
        <v>0</v>
      </c>
      <c r="AA14" s="67">
        <f>IF($B14&lt;&gt;"",INDEX(DataOB[],FirstRow+ROW()-7,MATCH(AA$6,DataOB[#Headers],0)),"")</f>
        <v>0</v>
      </c>
      <c r="AB14" s="67">
        <f>IF($B14&lt;&gt;"",INDEX(DataOB[],FirstRow+ROW()-7,MATCH(AB$6,DataOB[#Headers],0)),"")</f>
        <v>0</v>
      </c>
      <c r="AC14" s="67">
        <f>IF($B14&lt;&gt;"",INDEX(DataOB[],FirstRow+ROW()-7,MATCH(AC$6,DataOB[#Headers],0)),"")</f>
        <v>0</v>
      </c>
      <c r="AD14" s="67">
        <f>IF($B14&lt;&gt;"",INDEX(DataOB[],FirstRow+ROW()-7,MATCH(AD$6,DataOB[#Headers],0)),"")</f>
        <v>80</v>
      </c>
      <c r="AE14" s="67">
        <f>IF($B14&lt;&gt;"",INDEX(DataOB[],FirstRow+ROW()-7,MATCH(AE$6,DataOB[#Headers],0)),"")</f>
        <v>0</v>
      </c>
      <c r="AF14" s="26">
        <f t="shared" si="14"/>
        <v>90.851290000000006</v>
      </c>
      <c r="AG14" s="31">
        <f>SUM($T14:T14)</f>
        <v>10.851290000000001</v>
      </c>
      <c r="AH14" s="31">
        <f>SUM($T14:U14)</f>
        <v>10.851290000000001</v>
      </c>
      <c r="AI14" s="31">
        <f>SUM($T14:V14)</f>
        <v>10.851290000000001</v>
      </c>
      <c r="AJ14" s="31">
        <f>SUM($T14:W14)</f>
        <v>10.851290000000001</v>
      </c>
      <c r="AK14" s="31">
        <f>SUM($T14:X14)</f>
        <v>10.851290000000001</v>
      </c>
      <c r="AL14" s="31">
        <f>SUM($T14:Y14)</f>
        <v>10.851290000000001</v>
      </c>
      <c r="AM14" s="31">
        <f>SUM($T14:Z14)</f>
        <v>10.851290000000001</v>
      </c>
      <c r="AN14" s="31">
        <f>SUM($T14:AA14)</f>
        <v>10.851290000000001</v>
      </c>
      <c r="AO14" s="31">
        <f>SUM($T14:AB14)</f>
        <v>10.851290000000001</v>
      </c>
      <c r="AP14" s="31">
        <f>SUM($T14:AC14)</f>
        <v>10.851290000000001</v>
      </c>
      <c r="AQ14" s="31">
        <f>SUM($T14:AD14)</f>
        <v>90.851290000000006</v>
      </c>
      <c r="AR14" s="31">
        <f>SUM($T14:AE14)</f>
        <v>90.851290000000006</v>
      </c>
      <c r="AS14" s="27">
        <f t="shared" si="15"/>
        <v>0</v>
      </c>
    </row>
    <row r="15" spans="1:45">
      <c r="B15" s="156">
        <f>IF(ROW()-6&gt;NumCostCenter,"",IF(CostCenter&lt;&gt;"ALL",CostCenter,DATA_LF2!B13))</f>
        <v>1213</v>
      </c>
      <c r="C15" s="153">
        <f>IF($B15&lt;&gt;"",INDEX(DataOB[],FirstRow+ROW()-7,2),"")</f>
        <v>1213</v>
      </c>
      <c r="D15" s="157" t="str">
        <f>IF($B15&lt;&gt;"",INDEX(DataOB[],FirstRow+ROW()-7,3),"")</f>
        <v>OT00174</v>
      </c>
      <c r="E15" s="158">
        <f>IF($B15&lt;&gt;"",INDEX(DataOB[],FirstRow+ROW()-7,6),"")</f>
        <v>0</v>
      </c>
      <c r="F15" s="158" t="str">
        <f>IF($B15&lt;&gt;"",INDEX(DataOB[],FirstRow+ROW()-7,5),"")</f>
        <v>Largest tire sample</v>
      </c>
      <c r="G15" s="58">
        <f>IF($B15&lt;&gt;"",SUMIFS(DataAct_tbl[AMOUNT],DataAct_tbl[BG CODE],Detail!$D15,DataAct_tbl[MONTH],LEFT(MonthName,3),DataAct_tbl[Dept code],$B15),0)</f>
        <v>27.20609</v>
      </c>
      <c r="H15" s="31">
        <f t="shared" si="7"/>
        <v>0</v>
      </c>
      <c r="I15" s="28">
        <f t="shared" si="8"/>
        <v>27.20609</v>
      </c>
      <c r="J15" s="32" t="str">
        <f t="shared" si="9"/>
        <v xml:space="preserve"> </v>
      </c>
      <c r="K15" s="86"/>
      <c r="L15" s="62">
        <f>IF($B15&lt;&gt;"",SUMIFS(DataAct_tbl[AMOUNT],DataAct_tbl[BG CODE],Detail!$D15,DataAct_tbl[Check Range],"=true",DataAct_tbl[Dept code],$B15),0)</f>
        <v>27.20609</v>
      </c>
      <c r="M15" s="63">
        <f>INDEX($AG$7:$AR$1005,ROW()-6,MATCH(MTD,$AG$6:$AR$6,0))</f>
        <v>0</v>
      </c>
      <c r="N15" s="34">
        <f t="shared" si="10"/>
        <v>27.20609</v>
      </c>
      <c r="O15" s="64" t="str">
        <f t="shared" si="11"/>
        <v xml:space="preserve"> </v>
      </c>
      <c r="Q15" s="97">
        <f t="shared" si="12"/>
        <v>33</v>
      </c>
      <c r="R15" s="96">
        <f t="shared" si="13"/>
        <v>5.7939100000000003</v>
      </c>
      <c r="T15" s="67">
        <f>IF($B15&lt;&gt;"",INDEX(DataOB[],FirstRow+ROW()-7,MATCH(T$6,DataOB[#Headers],0)),"")</f>
        <v>0</v>
      </c>
      <c r="U15" s="67">
        <f>IF($B15&lt;&gt;"",INDEX(DataOB[],FirstRow+ROW()-7,MATCH(U$6,DataOB[#Headers],0)),"")</f>
        <v>0</v>
      </c>
      <c r="V15" s="67">
        <f>IF($B15&lt;&gt;"",INDEX(DataOB[],FirstRow+ROW()-7,MATCH(V$6,DataOB[#Headers],0)),"")</f>
        <v>0</v>
      </c>
      <c r="W15" s="67">
        <f>IF($B15&lt;&gt;"",INDEX(DataOB[],FirstRow+ROW()-7,MATCH(W$6,DataOB[#Headers],0)),"")</f>
        <v>0</v>
      </c>
      <c r="X15" s="67">
        <f>IF($B15&lt;&gt;"",INDEX(DataOB[],FirstRow+ROW()-7,MATCH(X$6,DataOB[#Headers],0)),"")</f>
        <v>0</v>
      </c>
      <c r="Y15" s="67">
        <f>IF($B15&lt;&gt;"",INDEX(DataOB[],FirstRow+ROW()-7,MATCH(Y$6,DataOB[#Headers],0)),"")</f>
        <v>0</v>
      </c>
      <c r="Z15" s="67">
        <f>IF($B15&lt;&gt;"",INDEX(DataOB[],FirstRow+ROW()-7,MATCH(Z$6,DataOB[#Headers],0)),"")</f>
        <v>0</v>
      </c>
      <c r="AA15" s="67">
        <f>IF($B15&lt;&gt;"",INDEX(DataOB[],FirstRow+ROW()-7,MATCH(AA$6,DataOB[#Headers],0)),"")</f>
        <v>0</v>
      </c>
      <c r="AB15" s="67">
        <f>IF($B15&lt;&gt;"",INDEX(DataOB[],FirstRow+ROW()-7,MATCH(AB$6,DataOB[#Headers],0)),"")</f>
        <v>0</v>
      </c>
      <c r="AC15" s="67">
        <f>IF($B15&lt;&gt;"",INDEX(DataOB[],FirstRow+ROW()-7,MATCH(AC$6,DataOB[#Headers],0)),"")</f>
        <v>0</v>
      </c>
      <c r="AD15" s="67">
        <f>IF($B15&lt;&gt;"",INDEX(DataOB[],FirstRow+ROW()-7,MATCH(AD$6,DataOB[#Headers],0)),"")</f>
        <v>0</v>
      </c>
      <c r="AE15" s="67">
        <f>IF($B15&lt;&gt;"",INDEX(DataOB[],FirstRow+ROW()-7,MATCH(AE$6,DataOB[#Headers],0)),"")</f>
        <v>33</v>
      </c>
      <c r="AF15" s="26">
        <f t="shared" si="14"/>
        <v>33</v>
      </c>
      <c r="AG15" s="31">
        <f>SUM($T15:T15)</f>
        <v>0</v>
      </c>
      <c r="AH15" s="31">
        <f>SUM($T15:U15)</f>
        <v>0</v>
      </c>
      <c r="AI15" s="31">
        <f>SUM($T15:V15)</f>
        <v>0</v>
      </c>
      <c r="AJ15" s="31">
        <f>SUM($T15:W15)</f>
        <v>0</v>
      </c>
      <c r="AK15" s="31">
        <f>SUM($T15:X15)</f>
        <v>0</v>
      </c>
      <c r="AL15" s="31">
        <f>SUM($T15:Y15)</f>
        <v>0</v>
      </c>
      <c r="AM15" s="31">
        <f>SUM($T15:Z15)</f>
        <v>0</v>
      </c>
      <c r="AN15" s="31">
        <f>SUM($T15:AA15)</f>
        <v>0</v>
      </c>
      <c r="AO15" s="31">
        <f>SUM($T15:AB15)</f>
        <v>0</v>
      </c>
      <c r="AP15" s="31">
        <f>SUM($T15:AC15)</f>
        <v>0</v>
      </c>
      <c r="AQ15" s="31">
        <f>SUM($T15:AD15)</f>
        <v>0</v>
      </c>
      <c r="AR15" s="31">
        <f>SUM($T15:AE15)</f>
        <v>33</v>
      </c>
      <c r="AS15" s="27">
        <f t="shared" si="15"/>
        <v>0</v>
      </c>
    </row>
    <row r="16" spans="1:45">
      <c r="B16" s="156">
        <f>IF(ROW()-6&gt;NumCostCenter,"",IF(CostCenter&lt;&gt;"ALL",CostCenter,DATA_LF2!B14))</f>
        <v>1213</v>
      </c>
      <c r="C16" s="153">
        <f>IF($B16&lt;&gt;"",INDEX(DataOB[],FirstRow+ROW()-7,2),"")</f>
        <v>1213</v>
      </c>
      <c r="D16" s="157" t="str">
        <f>IF($B16&lt;&gt;"",INDEX(DataOB[],FirstRow+ROW()-7,3),"")</f>
        <v>TBD</v>
      </c>
      <c r="E16" s="158">
        <f>IF($B16&lt;&gt;"",INDEX(DataOB[],FirstRow+ROW()-7,6),"")</f>
        <v>0</v>
      </c>
      <c r="F16" s="158" t="str">
        <f>IF($B16&lt;&gt;"",INDEX(DataOB[],FirstRow+ROW()-7,5),"")</f>
        <v>Bike parking at Gate 2 (Sub-gate)</v>
      </c>
      <c r="G16" s="58">
        <f>IF($B16&lt;&gt;"",SUMIFS(DataAct_tbl[AMOUNT],DataAct_tbl[BG CODE],Detail!$D16,DataAct_tbl[MONTH],LEFT(MonthName,3),DataAct_tbl[Dept code],$B16),0)</f>
        <v>0</v>
      </c>
      <c r="H16" s="31">
        <f t="shared" si="7"/>
        <v>0</v>
      </c>
      <c r="I16" s="28">
        <f t="shared" si="8"/>
        <v>0</v>
      </c>
      <c r="J16" s="32" t="str">
        <f t="shared" si="9"/>
        <v xml:space="preserve"> </v>
      </c>
      <c r="K16" s="86"/>
      <c r="L16" s="62">
        <f>IF($B16&lt;&gt;"",SUMIFS(DataAct_tbl[AMOUNT],DataAct_tbl[BG CODE],Detail!$D16,DataAct_tbl[Check Range],"=true",DataAct_tbl[Dept code],$B16),0)</f>
        <v>0</v>
      </c>
      <c r="M16" s="63">
        <f>INDEX($AG$7:$AR$1005,ROW()-6,MATCH(MTD,$AG$6:$AR$6,0))</f>
        <v>0</v>
      </c>
      <c r="N16" s="34">
        <f t="shared" si="10"/>
        <v>0</v>
      </c>
      <c r="O16" s="64" t="str">
        <f t="shared" si="11"/>
        <v xml:space="preserve"> </v>
      </c>
      <c r="Q16" s="97">
        <f t="shared" si="12"/>
        <v>10</v>
      </c>
      <c r="R16" s="96">
        <f t="shared" si="13"/>
        <v>10</v>
      </c>
      <c r="T16" s="67">
        <f>IF($B16&lt;&gt;"",INDEX(DataOB[],FirstRow+ROW()-7,MATCH(T$6,DataOB[#Headers],0)),"")</f>
        <v>0</v>
      </c>
      <c r="U16" s="67">
        <f>IF($B16&lt;&gt;"",INDEX(DataOB[],FirstRow+ROW()-7,MATCH(U$6,DataOB[#Headers],0)),"")</f>
        <v>0</v>
      </c>
      <c r="V16" s="67">
        <f>IF($B16&lt;&gt;"",INDEX(DataOB[],FirstRow+ROW()-7,MATCH(V$6,DataOB[#Headers],0)),"")</f>
        <v>0</v>
      </c>
      <c r="W16" s="67">
        <f>IF($B16&lt;&gt;"",INDEX(DataOB[],FirstRow+ROW()-7,MATCH(W$6,DataOB[#Headers],0)),"")</f>
        <v>0</v>
      </c>
      <c r="X16" s="67">
        <f>IF($B16&lt;&gt;"",INDEX(DataOB[],FirstRow+ROW()-7,MATCH(X$6,DataOB[#Headers],0)),"")</f>
        <v>0</v>
      </c>
      <c r="Y16" s="67">
        <f>IF($B16&lt;&gt;"",INDEX(DataOB[],FirstRow+ROW()-7,MATCH(Y$6,DataOB[#Headers],0)),"")</f>
        <v>0</v>
      </c>
      <c r="Z16" s="67">
        <f>IF($B16&lt;&gt;"",INDEX(DataOB[],FirstRow+ROW()-7,MATCH(Z$6,DataOB[#Headers],0)),"")</f>
        <v>0</v>
      </c>
      <c r="AA16" s="67">
        <f>IF($B16&lt;&gt;"",INDEX(DataOB[],FirstRow+ROW()-7,MATCH(AA$6,DataOB[#Headers],0)),"")</f>
        <v>0</v>
      </c>
      <c r="AB16" s="67">
        <f>IF($B16&lt;&gt;"",INDEX(DataOB[],FirstRow+ROW()-7,MATCH(AB$6,DataOB[#Headers],0)),"")</f>
        <v>0</v>
      </c>
      <c r="AC16" s="67">
        <f>IF($B16&lt;&gt;"",INDEX(DataOB[],FirstRow+ROW()-7,MATCH(AC$6,DataOB[#Headers],0)),"")</f>
        <v>0</v>
      </c>
      <c r="AD16" s="67">
        <f>IF($B16&lt;&gt;"",INDEX(DataOB[],FirstRow+ROW()-7,MATCH(AD$6,DataOB[#Headers],0)),"")</f>
        <v>10</v>
      </c>
      <c r="AE16" s="67">
        <f>IF($B16&lt;&gt;"",INDEX(DataOB[],FirstRow+ROW()-7,MATCH(AE$6,DataOB[#Headers],0)),"")</f>
        <v>0</v>
      </c>
      <c r="AF16" s="26">
        <f t="shared" si="14"/>
        <v>10</v>
      </c>
      <c r="AG16" s="31">
        <f>SUM($T16:T16)</f>
        <v>0</v>
      </c>
      <c r="AH16" s="31">
        <f>SUM($T16:U16)</f>
        <v>0</v>
      </c>
      <c r="AI16" s="31">
        <f>SUM($T16:V16)</f>
        <v>0</v>
      </c>
      <c r="AJ16" s="31">
        <f>SUM($T16:W16)</f>
        <v>0</v>
      </c>
      <c r="AK16" s="31">
        <f>SUM($T16:X16)</f>
        <v>0</v>
      </c>
      <c r="AL16" s="31">
        <f>SUM($T16:Y16)</f>
        <v>0</v>
      </c>
      <c r="AM16" s="31">
        <f>SUM($T16:Z16)</f>
        <v>0</v>
      </c>
      <c r="AN16" s="31">
        <f>SUM($T16:AA16)</f>
        <v>0</v>
      </c>
      <c r="AO16" s="31">
        <f>SUM($T16:AB16)</f>
        <v>0</v>
      </c>
      <c r="AP16" s="31">
        <f>SUM($T16:AC16)</f>
        <v>0</v>
      </c>
      <c r="AQ16" s="31">
        <f>SUM($T16:AD16)</f>
        <v>10</v>
      </c>
      <c r="AR16" s="31">
        <f>SUM($T16:AE16)</f>
        <v>10</v>
      </c>
      <c r="AS16" s="27">
        <f t="shared" si="15"/>
        <v>0</v>
      </c>
    </row>
    <row r="17" spans="2:45">
      <c r="B17" s="156">
        <f>IF(ROW()-6&gt;NumCostCenter,"",IF(CostCenter&lt;&gt;"ALL",CostCenter,DATA_LF2!B15))</f>
        <v>1213</v>
      </c>
      <c r="C17" s="153">
        <f>IF($B17&lt;&gt;"",INDEX(DataOB[],FirstRow+ROW()-7,2),"")</f>
        <v>1213</v>
      </c>
      <c r="D17" s="157" t="str">
        <f>IF($B17&lt;&gt;"",INDEX(DataOB[],FirstRow+ROW()-7,3),"")</f>
        <v>TBD</v>
      </c>
      <c r="E17" s="158">
        <f>IF($B17&lt;&gt;"",INDEX(DataOB[],FirstRow+ROW()-7,6),"")</f>
        <v>0</v>
      </c>
      <c r="F17" s="158" t="str">
        <f>IF($B17&lt;&gt;"",INDEX(DataOB[],FirstRow+ROW()-7,5),"")</f>
        <v>Cover Fence with steel sheet + barbed wire (for remain area)</v>
      </c>
      <c r="G17" s="58">
        <f>IF($B17&lt;&gt;"",SUMIFS(DataAct_tbl[AMOUNT],DataAct_tbl[BG CODE],Detail!$D17,DataAct_tbl[MONTH],LEFT(MonthName,3),DataAct_tbl[Dept code],$B17),0)</f>
        <v>0</v>
      </c>
      <c r="H17" s="31">
        <f t="shared" si="7"/>
        <v>0</v>
      </c>
      <c r="I17" s="28">
        <f t="shared" si="8"/>
        <v>0</v>
      </c>
      <c r="J17" s="32" t="str">
        <f t="shared" si="9"/>
        <v xml:space="preserve"> </v>
      </c>
      <c r="K17" s="86"/>
      <c r="L17" s="62">
        <f>IF($B17&lt;&gt;"",SUMIFS(DataAct_tbl[AMOUNT],DataAct_tbl[BG CODE],Detail!$D17,DataAct_tbl[Check Range],"=true",DataAct_tbl[Dept code],$B17),0)</f>
        <v>0</v>
      </c>
      <c r="M17" s="63">
        <f>INDEX($AG$7:$AR$1005,ROW()-6,MATCH(MTD,$AG$6:$AR$6,0))</f>
        <v>0</v>
      </c>
      <c r="N17" s="34">
        <f t="shared" si="10"/>
        <v>0</v>
      </c>
      <c r="O17" s="64" t="str">
        <f t="shared" si="11"/>
        <v xml:space="preserve"> </v>
      </c>
      <c r="Q17" s="97">
        <f t="shared" si="12"/>
        <v>5</v>
      </c>
      <c r="R17" s="96">
        <f t="shared" si="13"/>
        <v>5</v>
      </c>
      <c r="T17" s="67">
        <f>IF($B17&lt;&gt;"",INDEX(DataOB[],FirstRow+ROW()-7,MATCH(T$6,DataOB[#Headers],0)),"")</f>
        <v>0</v>
      </c>
      <c r="U17" s="67">
        <f>IF($B17&lt;&gt;"",INDEX(DataOB[],FirstRow+ROW()-7,MATCH(U$6,DataOB[#Headers],0)),"")</f>
        <v>0</v>
      </c>
      <c r="V17" s="67">
        <f>IF($B17&lt;&gt;"",INDEX(DataOB[],FirstRow+ROW()-7,MATCH(V$6,DataOB[#Headers],0)),"")</f>
        <v>0</v>
      </c>
      <c r="W17" s="67">
        <f>IF($B17&lt;&gt;"",INDEX(DataOB[],FirstRow+ROW()-7,MATCH(W$6,DataOB[#Headers],0)),"")</f>
        <v>0</v>
      </c>
      <c r="X17" s="67">
        <f>IF($B17&lt;&gt;"",INDEX(DataOB[],FirstRow+ROW()-7,MATCH(X$6,DataOB[#Headers],0)),"")</f>
        <v>0</v>
      </c>
      <c r="Y17" s="67">
        <f>IF($B17&lt;&gt;"",INDEX(DataOB[],FirstRow+ROW()-7,MATCH(Y$6,DataOB[#Headers],0)),"")</f>
        <v>0</v>
      </c>
      <c r="Z17" s="67">
        <f>IF($B17&lt;&gt;"",INDEX(DataOB[],FirstRow+ROW()-7,MATCH(Z$6,DataOB[#Headers],0)),"")</f>
        <v>0</v>
      </c>
      <c r="AA17" s="67">
        <f>IF($B17&lt;&gt;"",INDEX(DataOB[],FirstRow+ROW()-7,MATCH(AA$6,DataOB[#Headers],0)),"")</f>
        <v>0</v>
      </c>
      <c r="AB17" s="67">
        <f>IF($B17&lt;&gt;"",INDEX(DataOB[],FirstRow+ROW()-7,MATCH(AB$6,DataOB[#Headers],0)),"")</f>
        <v>0</v>
      </c>
      <c r="AC17" s="67">
        <f>IF($B17&lt;&gt;"",INDEX(DataOB[],FirstRow+ROW()-7,MATCH(AC$6,DataOB[#Headers],0)),"")</f>
        <v>5</v>
      </c>
      <c r="AD17" s="67">
        <f>IF($B17&lt;&gt;"",INDEX(DataOB[],FirstRow+ROW()-7,MATCH(AD$6,DataOB[#Headers],0)),"")</f>
        <v>0</v>
      </c>
      <c r="AE17" s="67">
        <f>IF($B17&lt;&gt;"",INDEX(DataOB[],FirstRow+ROW()-7,MATCH(AE$6,DataOB[#Headers],0)),"")</f>
        <v>0</v>
      </c>
      <c r="AF17" s="26">
        <f t="shared" si="14"/>
        <v>5</v>
      </c>
      <c r="AG17" s="31">
        <f>SUM($T17:T17)</f>
        <v>0</v>
      </c>
      <c r="AH17" s="31">
        <f>SUM($T17:U17)</f>
        <v>0</v>
      </c>
      <c r="AI17" s="31">
        <f>SUM($T17:V17)</f>
        <v>0</v>
      </c>
      <c r="AJ17" s="31">
        <f>SUM($T17:W17)</f>
        <v>0</v>
      </c>
      <c r="AK17" s="31">
        <f>SUM($T17:X17)</f>
        <v>0</v>
      </c>
      <c r="AL17" s="31">
        <f>SUM($T17:Y17)</f>
        <v>0</v>
      </c>
      <c r="AM17" s="31">
        <f>SUM($T17:Z17)</f>
        <v>0</v>
      </c>
      <c r="AN17" s="31">
        <f>SUM($T17:AA17)</f>
        <v>0</v>
      </c>
      <c r="AO17" s="31">
        <f>SUM($T17:AB17)</f>
        <v>0</v>
      </c>
      <c r="AP17" s="31">
        <f>SUM($T17:AC17)</f>
        <v>5</v>
      </c>
      <c r="AQ17" s="31">
        <f>SUM($T17:AD17)</f>
        <v>5</v>
      </c>
      <c r="AR17" s="31">
        <f>SUM($T17:AE17)</f>
        <v>5</v>
      </c>
      <c r="AS17" s="27">
        <f t="shared" si="15"/>
        <v>0</v>
      </c>
    </row>
    <row r="18" spans="2:45">
      <c r="B18" s="156">
        <f>IF(ROW()-6&gt;NumCostCenter,"",IF(CostCenter&lt;&gt;"ALL",CostCenter,DATA_LF2!B16))</f>
        <v>1213</v>
      </c>
      <c r="C18" s="153">
        <f>IF($B18&lt;&gt;"",INDEX(DataOB[],FirstRow+ROW()-7,2),"")</f>
        <v>1213</v>
      </c>
      <c r="D18" s="157" t="str">
        <f>IF($B18&lt;&gt;"",INDEX(DataOB[],FirstRow+ROW()-7,3),"")</f>
        <v>TBD</v>
      </c>
      <c r="E18" s="158">
        <f>IF($B18&lt;&gt;"",INDEX(DataOB[],FirstRow+ROW()-7,6),"")</f>
        <v>0</v>
      </c>
      <c r="F18" s="158" t="str">
        <f>IF($B18&lt;&gt;"",INDEX(DataOB[],FirstRow+ROW()-7,5),"")</f>
        <v xml:space="preserve">Set of Pana Guide </v>
      </c>
      <c r="G18" s="58">
        <f>IF($B18&lt;&gt;"",SUMIFS(DataAct_tbl[AMOUNT],DataAct_tbl[BG CODE],Detail!$D18,DataAct_tbl[MONTH],LEFT(MonthName,3),DataAct_tbl[Dept code],$B18),0)</f>
        <v>0</v>
      </c>
      <c r="H18" s="31">
        <f t="shared" si="7"/>
        <v>0</v>
      </c>
      <c r="I18" s="28">
        <f t="shared" si="8"/>
        <v>0</v>
      </c>
      <c r="J18" s="32" t="str">
        <f t="shared" si="9"/>
        <v xml:space="preserve"> </v>
      </c>
      <c r="K18" s="86"/>
      <c r="L18" s="62">
        <f>IF($B18&lt;&gt;"",SUMIFS(DataAct_tbl[AMOUNT],DataAct_tbl[BG CODE],Detail!$D18,DataAct_tbl[Check Range],"=true",DataAct_tbl[Dept code],$B18),0)</f>
        <v>0</v>
      </c>
      <c r="M18" s="63">
        <f>INDEX($AG$7:$AR$1005,ROW()-6,MATCH(MTD,$AG$6:$AR$6,0))</f>
        <v>0</v>
      </c>
      <c r="N18" s="34">
        <f t="shared" si="10"/>
        <v>0</v>
      </c>
      <c r="O18" s="64" t="str">
        <f t="shared" si="11"/>
        <v xml:space="preserve"> </v>
      </c>
      <c r="Q18" s="97">
        <f t="shared" si="12"/>
        <v>7.5</v>
      </c>
      <c r="R18" s="96">
        <f t="shared" si="13"/>
        <v>7.5</v>
      </c>
      <c r="T18" s="67">
        <f>IF($B18&lt;&gt;"",INDEX(DataOB[],FirstRow+ROW()-7,MATCH(T$6,DataOB[#Headers],0)),"")</f>
        <v>0</v>
      </c>
      <c r="U18" s="67">
        <f>IF($B18&lt;&gt;"",INDEX(DataOB[],FirstRow+ROW()-7,MATCH(U$6,DataOB[#Headers],0)),"")</f>
        <v>0</v>
      </c>
      <c r="V18" s="67">
        <f>IF($B18&lt;&gt;"",INDEX(DataOB[],FirstRow+ROW()-7,MATCH(V$6,DataOB[#Headers],0)),"")</f>
        <v>0</v>
      </c>
      <c r="W18" s="67">
        <f>IF($B18&lt;&gt;"",INDEX(DataOB[],FirstRow+ROW()-7,MATCH(W$6,DataOB[#Headers],0)),"")</f>
        <v>0</v>
      </c>
      <c r="X18" s="67">
        <f>IF($B18&lt;&gt;"",INDEX(DataOB[],FirstRow+ROW()-7,MATCH(X$6,DataOB[#Headers],0)),"")</f>
        <v>0</v>
      </c>
      <c r="Y18" s="67">
        <f>IF($B18&lt;&gt;"",INDEX(DataOB[],FirstRow+ROW()-7,MATCH(Y$6,DataOB[#Headers],0)),"")</f>
        <v>0</v>
      </c>
      <c r="Z18" s="67">
        <f>IF($B18&lt;&gt;"",INDEX(DataOB[],FirstRow+ROW()-7,MATCH(Z$6,DataOB[#Headers],0)),"")</f>
        <v>0</v>
      </c>
      <c r="AA18" s="67">
        <f>IF($B18&lt;&gt;"",INDEX(DataOB[],FirstRow+ROW()-7,MATCH(AA$6,DataOB[#Headers],0)),"")</f>
        <v>0</v>
      </c>
      <c r="AB18" s="67">
        <f>IF($B18&lt;&gt;"",INDEX(DataOB[],FirstRow+ROW()-7,MATCH(AB$6,DataOB[#Headers],0)),"")</f>
        <v>7.5</v>
      </c>
      <c r="AC18" s="67">
        <f>IF($B18&lt;&gt;"",INDEX(DataOB[],FirstRow+ROW()-7,MATCH(AC$6,DataOB[#Headers],0)),"")</f>
        <v>0</v>
      </c>
      <c r="AD18" s="67">
        <f>IF($B18&lt;&gt;"",INDEX(DataOB[],FirstRow+ROW()-7,MATCH(AD$6,DataOB[#Headers],0)),"")</f>
        <v>0</v>
      </c>
      <c r="AE18" s="67">
        <f>IF($B18&lt;&gt;"",INDEX(DataOB[],FirstRow+ROW()-7,MATCH(AE$6,DataOB[#Headers],0)),"")</f>
        <v>0</v>
      </c>
      <c r="AF18" s="26">
        <f t="shared" si="14"/>
        <v>7.5</v>
      </c>
      <c r="AG18" s="31">
        <f>SUM($T18:T18)</f>
        <v>0</v>
      </c>
      <c r="AH18" s="31">
        <f>SUM($T18:U18)</f>
        <v>0</v>
      </c>
      <c r="AI18" s="31">
        <f>SUM($T18:V18)</f>
        <v>0</v>
      </c>
      <c r="AJ18" s="31">
        <f>SUM($T18:W18)</f>
        <v>0</v>
      </c>
      <c r="AK18" s="31">
        <f>SUM($T18:X18)</f>
        <v>0</v>
      </c>
      <c r="AL18" s="31">
        <f>SUM($T18:Y18)</f>
        <v>0</v>
      </c>
      <c r="AM18" s="31">
        <f>SUM($T18:Z18)</f>
        <v>0</v>
      </c>
      <c r="AN18" s="31">
        <f>SUM($T18:AA18)</f>
        <v>0</v>
      </c>
      <c r="AO18" s="31">
        <f>SUM($T18:AB18)</f>
        <v>7.5</v>
      </c>
      <c r="AP18" s="31">
        <f>SUM($T18:AC18)</f>
        <v>7.5</v>
      </c>
      <c r="AQ18" s="31">
        <f>SUM($T18:AD18)</f>
        <v>7.5</v>
      </c>
      <c r="AR18" s="31">
        <f>SUM($T18:AE18)</f>
        <v>7.5</v>
      </c>
      <c r="AS18" s="27">
        <f t="shared" si="15"/>
        <v>0</v>
      </c>
    </row>
    <row r="19" spans="2:45">
      <c r="B19" s="156">
        <f>IF(ROW()-6&gt;NumCostCenter,"",IF(CostCenter&lt;&gt;"ALL",CostCenter,DATA_LF2!B17))</f>
        <v>1511</v>
      </c>
      <c r="C19" s="153">
        <f>IF($B19&lt;&gt;"",INDEX(DataOB[],FirstRow+ROW()-7,2),"")</f>
        <v>1511</v>
      </c>
      <c r="D19" s="157" t="str">
        <f>IF($B19&lt;&gt;"",INDEX(DataOB[],FirstRow+ROW()-7,3),"")</f>
        <v>TBD</v>
      </c>
      <c r="E19" s="158">
        <f>IF($B19&lt;&gt;"",INDEX(DataOB[],FirstRow+ROW()-7,6),"")</f>
        <v>0</v>
      </c>
      <c r="F19" s="158" t="str">
        <f>IF($B19&lt;&gt;"",INDEX(DataOB[],FirstRow+ROW()-7,5),"")</f>
        <v>BOSS2 - System modification (Software) - Y24</v>
      </c>
      <c r="G19" s="58">
        <f>IF($B19&lt;&gt;"",SUMIFS(DataAct_tbl[AMOUNT],DataAct_tbl[BG CODE],Detail!$D19,DataAct_tbl[MONTH],LEFT(MonthName,3),DataAct_tbl[Dept code],$B19),0)</f>
        <v>0</v>
      </c>
      <c r="H19" s="31">
        <f t="shared" si="7"/>
        <v>0</v>
      </c>
      <c r="I19" s="28">
        <f t="shared" si="8"/>
        <v>0</v>
      </c>
      <c r="J19" s="32" t="str">
        <f t="shared" si="9"/>
        <v xml:space="preserve"> </v>
      </c>
      <c r="K19" s="86"/>
      <c r="L19" s="62">
        <f>IF($B19&lt;&gt;"",SUMIFS(DataAct_tbl[AMOUNT],DataAct_tbl[BG CODE],Detail!$D19,DataAct_tbl[Check Range],"=true",DataAct_tbl[Dept code],$B19),0)</f>
        <v>0</v>
      </c>
      <c r="M19" s="63">
        <f>INDEX($AG$7:$AR$1005,ROW()-6,MATCH(MTD,$AG$6:$AR$6,0))</f>
        <v>0</v>
      </c>
      <c r="N19" s="34">
        <f t="shared" si="10"/>
        <v>0</v>
      </c>
      <c r="O19" s="64" t="str">
        <f t="shared" si="11"/>
        <v xml:space="preserve"> </v>
      </c>
      <c r="Q19" s="97">
        <f t="shared" si="12"/>
        <v>140.69999999999999</v>
      </c>
      <c r="R19" s="96">
        <f t="shared" si="13"/>
        <v>140.69999999999999</v>
      </c>
      <c r="T19" s="67">
        <f>IF($B19&lt;&gt;"",INDEX(DataOB[],FirstRow+ROW()-7,MATCH(T$6,DataOB[#Headers],0)),"")</f>
        <v>0</v>
      </c>
      <c r="U19" s="67">
        <f>IF($B19&lt;&gt;"",INDEX(DataOB[],FirstRow+ROW()-7,MATCH(U$6,DataOB[#Headers],0)),"")</f>
        <v>0</v>
      </c>
      <c r="V19" s="67">
        <f>IF($B19&lt;&gt;"",INDEX(DataOB[],FirstRow+ROW()-7,MATCH(V$6,DataOB[#Headers],0)),"")</f>
        <v>0</v>
      </c>
      <c r="W19" s="67">
        <f>IF($B19&lt;&gt;"",INDEX(DataOB[],FirstRow+ROW()-7,MATCH(W$6,DataOB[#Headers],0)),"")</f>
        <v>0</v>
      </c>
      <c r="X19" s="67">
        <f>IF($B19&lt;&gt;"",INDEX(DataOB[],FirstRow+ROW()-7,MATCH(X$6,DataOB[#Headers],0)),"")</f>
        <v>0</v>
      </c>
      <c r="Y19" s="67">
        <f>IF($B19&lt;&gt;"",INDEX(DataOB[],FirstRow+ROW()-7,MATCH(Y$6,DataOB[#Headers],0)),"")</f>
        <v>0</v>
      </c>
      <c r="Z19" s="67">
        <f>IF($B19&lt;&gt;"",INDEX(DataOB[],FirstRow+ROW()-7,MATCH(Z$6,DataOB[#Headers],0)),"")</f>
        <v>0</v>
      </c>
      <c r="AA19" s="67">
        <f>IF($B19&lt;&gt;"",INDEX(DataOB[],FirstRow+ROW()-7,MATCH(AA$6,DataOB[#Headers],0)),"")</f>
        <v>0</v>
      </c>
      <c r="AB19" s="67">
        <f>IF($B19&lt;&gt;"",INDEX(DataOB[],FirstRow+ROW()-7,MATCH(AB$6,DataOB[#Headers],0)),"")</f>
        <v>4</v>
      </c>
      <c r="AC19" s="67">
        <f>IF($B19&lt;&gt;"",INDEX(DataOB[],FirstRow+ROW()-7,MATCH(AC$6,DataOB[#Headers],0)),"")</f>
        <v>0</v>
      </c>
      <c r="AD19" s="67">
        <f>IF($B19&lt;&gt;"",INDEX(DataOB[],FirstRow+ROW()-7,MATCH(AD$6,DataOB[#Headers],0)),"")</f>
        <v>0</v>
      </c>
      <c r="AE19" s="67">
        <f>IF($B19&lt;&gt;"",INDEX(DataOB[],FirstRow+ROW()-7,MATCH(AE$6,DataOB[#Headers],0)),"")</f>
        <v>136.69999999999999</v>
      </c>
      <c r="AF19" s="26">
        <f t="shared" si="14"/>
        <v>140.69999999999999</v>
      </c>
      <c r="AG19" s="31">
        <f>SUM($T19:T19)</f>
        <v>0</v>
      </c>
      <c r="AH19" s="31">
        <f>SUM($T19:U19)</f>
        <v>0</v>
      </c>
      <c r="AI19" s="31">
        <f>SUM($T19:V19)</f>
        <v>0</v>
      </c>
      <c r="AJ19" s="31">
        <f>SUM($T19:W19)</f>
        <v>0</v>
      </c>
      <c r="AK19" s="31">
        <f>SUM($T19:X19)</f>
        <v>0</v>
      </c>
      <c r="AL19" s="31">
        <f>SUM($T19:Y19)</f>
        <v>0</v>
      </c>
      <c r="AM19" s="31">
        <f>SUM($T19:Z19)</f>
        <v>0</v>
      </c>
      <c r="AN19" s="31">
        <f>SUM($T19:AA19)</f>
        <v>0</v>
      </c>
      <c r="AO19" s="31">
        <f>SUM($T19:AB19)</f>
        <v>4</v>
      </c>
      <c r="AP19" s="31">
        <f>SUM($T19:AC19)</f>
        <v>4</v>
      </c>
      <c r="AQ19" s="31">
        <f>SUM($T19:AD19)</f>
        <v>4</v>
      </c>
      <c r="AR19" s="31">
        <f>SUM($T19:AE19)</f>
        <v>140.69999999999999</v>
      </c>
      <c r="AS19" s="27">
        <f t="shared" si="15"/>
        <v>0</v>
      </c>
    </row>
    <row r="20" spans="2:45">
      <c r="B20" s="156">
        <f>IF(ROW()-6&gt;NumCostCenter,"",IF(CostCenter&lt;&gt;"ALL",CostCenter,DATA_LF2!B18))</f>
        <v>1511</v>
      </c>
      <c r="C20" s="153">
        <f>IF($B20&lt;&gt;"",INDEX(DataOB[],FirstRow+ROW()-7,2),"")</f>
        <v>1511</v>
      </c>
      <c r="D20" s="157" t="str">
        <f>IF($B20&lt;&gt;"",INDEX(DataOB[],FirstRow+ROW()-7,3),"")</f>
        <v>TBD</v>
      </c>
      <c r="E20" s="158">
        <f>IF($B20&lt;&gt;"",INDEX(DataOB[],FirstRow+ROW()-7,6),"")</f>
        <v>0</v>
      </c>
      <c r="F20" s="158" t="str">
        <f>IF($B20&lt;&gt;"",INDEX(DataOB[],FirstRow+ROW()-7,5),"")</f>
        <v>BOSS\FOA System OS Upgrade supported by BPE Y24</v>
      </c>
      <c r="G20" s="58">
        <f>IF($B20&lt;&gt;"",SUMIFS(DataAct_tbl[AMOUNT],DataAct_tbl[BG CODE],Detail!$D20,DataAct_tbl[MONTH],LEFT(MonthName,3),DataAct_tbl[Dept code],$B20),0)</f>
        <v>0</v>
      </c>
      <c r="H20" s="31">
        <f t="shared" si="7"/>
        <v>0</v>
      </c>
      <c r="I20" s="28">
        <f t="shared" si="8"/>
        <v>0</v>
      </c>
      <c r="J20" s="32" t="str">
        <f t="shared" si="9"/>
        <v xml:space="preserve"> </v>
      </c>
      <c r="K20" s="86"/>
      <c r="L20" s="62">
        <f>IF($B20&lt;&gt;"",SUMIFS(DataAct_tbl[AMOUNT],DataAct_tbl[BG CODE],Detail!$D20,DataAct_tbl[Check Range],"=true",DataAct_tbl[Dept code],$B20),0)</f>
        <v>0</v>
      </c>
      <c r="M20" s="63">
        <f>INDEX($AG$7:$AR$1005,ROW()-6,MATCH(MTD,$AG$6:$AR$6,0))</f>
        <v>0</v>
      </c>
      <c r="N20" s="34">
        <f t="shared" si="10"/>
        <v>0</v>
      </c>
      <c r="O20" s="64" t="str">
        <f t="shared" si="11"/>
        <v xml:space="preserve"> </v>
      </c>
      <c r="Q20" s="97">
        <f t="shared" si="12"/>
        <v>90</v>
      </c>
      <c r="R20" s="96">
        <f t="shared" si="13"/>
        <v>90</v>
      </c>
      <c r="T20" s="67">
        <f>IF($B20&lt;&gt;"",INDEX(DataOB[],FirstRow+ROW()-7,MATCH(T$6,DataOB[#Headers],0)),"")</f>
        <v>0</v>
      </c>
      <c r="U20" s="67">
        <f>IF($B20&lt;&gt;"",INDEX(DataOB[],FirstRow+ROW()-7,MATCH(U$6,DataOB[#Headers],0)),"")</f>
        <v>0</v>
      </c>
      <c r="V20" s="67">
        <f>IF($B20&lt;&gt;"",INDEX(DataOB[],FirstRow+ROW()-7,MATCH(V$6,DataOB[#Headers],0)),"")</f>
        <v>0</v>
      </c>
      <c r="W20" s="67">
        <f>IF($B20&lt;&gt;"",INDEX(DataOB[],FirstRow+ROW()-7,MATCH(W$6,DataOB[#Headers],0)),"")</f>
        <v>0</v>
      </c>
      <c r="X20" s="67">
        <f>IF($B20&lt;&gt;"",INDEX(DataOB[],FirstRow+ROW()-7,MATCH(X$6,DataOB[#Headers],0)),"")</f>
        <v>0</v>
      </c>
      <c r="Y20" s="67">
        <f>IF($B20&lt;&gt;"",INDEX(DataOB[],FirstRow+ROW()-7,MATCH(Y$6,DataOB[#Headers],0)),"")</f>
        <v>0</v>
      </c>
      <c r="Z20" s="67">
        <f>IF($B20&lt;&gt;"",INDEX(DataOB[],FirstRow+ROW()-7,MATCH(Z$6,DataOB[#Headers],0)),"")</f>
        <v>0</v>
      </c>
      <c r="AA20" s="67">
        <f>IF($B20&lt;&gt;"",INDEX(DataOB[],FirstRow+ROW()-7,MATCH(AA$6,DataOB[#Headers],0)),"")</f>
        <v>0</v>
      </c>
      <c r="AB20" s="67">
        <f>IF($B20&lt;&gt;"",INDEX(DataOB[],FirstRow+ROW()-7,MATCH(AB$6,DataOB[#Headers],0)),"")</f>
        <v>0</v>
      </c>
      <c r="AC20" s="67">
        <f>IF($B20&lt;&gt;"",INDEX(DataOB[],FirstRow+ROW()-7,MATCH(AC$6,DataOB[#Headers],0)),"")</f>
        <v>0</v>
      </c>
      <c r="AD20" s="67">
        <f>IF($B20&lt;&gt;"",INDEX(DataOB[],FirstRow+ROW()-7,MATCH(AD$6,DataOB[#Headers],0)),"")</f>
        <v>20</v>
      </c>
      <c r="AE20" s="67">
        <f>IF($B20&lt;&gt;"",INDEX(DataOB[],FirstRow+ROW()-7,MATCH(AE$6,DataOB[#Headers],0)),"")</f>
        <v>70</v>
      </c>
      <c r="AF20" s="26">
        <f t="shared" si="14"/>
        <v>90</v>
      </c>
      <c r="AG20" s="31">
        <f>SUM($T20:T20)</f>
        <v>0</v>
      </c>
      <c r="AH20" s="31">
        <f>SUM($T20:U20)</f>
        <v>0</v>
      </c>
      <c r="AI20" s="31">
        <f>SUM($T20:V20)</f>
        <v>0</v>
      </c>
      <c r="AJ20" s="31">
        <f>SUM($T20:W20)</f>
        <v>0</v>
      </c>
      <c r="AK20" s="31">
        <f>SUM($T20:X20)</f>
        <v>0</v>
      </c>
      <c r="AL20" s="31">
        <f>SUM($T20:Y20)</f>
        <v>0</v>
      </c>
      <c r="AM20" s="31">
        <f>SUM($T20:Z20)</f>
        <v>0</v>
      </c>
      <c r="AN20" s="31">
        <f>SUM($T20:AA20)</f>
        <v>0</v>
      </c>
      <c r="AO20" s="31">
        <f>SUM($T20:AB20)</f>
        <v>0</v>
      </c>
      <c r="AP20" s="31">
        <f>SUM($T20:AC20)</f>
        <v>0</v>
      </c>
      <c r="AQ20" s="31">
        <f>SUM($T20:AD20)</f>
        <v>20</v>
      </c>
      <c r="AR20" s="31">
        <f>SUM($T20:AE20)</f>
        <v>90</v>
      </c>
      <c r="AS20" s="27">
        <f t="shared" si="15"/>
        <v>0</v>
      </c>
    </row>
    <row r="21" spans="2:45">
      <c r="B21" s="156">
        <f>IF(ROW()-6&gt;NumCostCenter,"",IF(CostCenter&lt;&gt;"ALL",CostCenter,DATA_LF2!B19))</f>
        <v>1511</v>
      </c>
      <c r="C21" s="153">
        <f>IF($B21&lt;&gt;"",INDEX(DataOB[],FirstRow+ROW()-7,2),"")</f>
        <v>1511</v>
      </c>
      <c r="D21" s="157" t="str">
        <f>IF($B21&lt;&gt;"",INDEX(DataOB[],FirstRow+ROW()-7,3),"")</f>
        <v>TBD</v>
      </c>
      <c r="E21" s="158">
        <f>IF($B21&lt;&gt;"",INDEX(DataOB[],FirstRow+ROW()-7,6),"")</f>
        <v>0</v>
      </c>
      <c r="F21" s="158" t="str">
        <f>IF($B21&lt;&gt;"",INDEX(DataOB[],FirstRow+ROW()-7,5),"")</f>
        <v>FujiXerox VI C3371 CPS Y24</v>
      </c>
      <c r="G21" s="58">
        <f>IF($B21&lt;&gt;"",SUMIFS(DataAct_tbl[AMOUNT],DataAct_tbl[BG CODE],Detail!$D21,DataAct_tbl[MONTH],LEFT(MonthName,3),DataAct_tbl[Dept code],$B21),0)</f>
        <v>0</v>
      </c>
      <c r="H21" s="31">
        <f t="shared" si="7"/>
        <v>7.2</v>
      </c>
      <c r="I21" s="28">
        <f t="shared" si="8"/>
        <v>-7.2</v>
      </c>
      <c r="J21" s="32">
        <f t="shared" si="9"/>
        <v>0</v>
      </c>
      <c r="K21" s="86"/>
      <c r="L21" s="62">
        <f>IF($B21&lt;&gt;"",SUMIFS(DataAct_tbl[AMOUNT],DataAct_tbl[BG CODE],Detail!$D21,DataAct_tbl[Check Range],"=true",DataAct_tbl[Dept code],$B21),0)</f>
        <v>0</v>
      </c>
      <c r="M21" s="63">
        <f>INDEX($AG$7:$AR$1005,ROW()-6,MATCH(MTD,$AG$6:$AR$6,0))</f>
        <v>7.2</v>
      </c>
      <c r="N21" s="34">
        <f t="shared" si="10"/>
        <v>-7.2</v>
      </c>
      <c r="O21" s="64">
        <f t="shared" si="11"/>
        <v>0</v>
      </c>
      <c r="Q21" s="97">
        <f t="shared" si="12"/>
        <v>7.2</v>
      </c>
      <c r="R21" s="96">
        <f t="shared" si="13"/>
        <v>7.2</v>
      </c>
      <c r="T21" s="67">
        <f>IF($B21&lt;&gt;"",INDEX(DataOB[],FirstRow+ROW()-7,MATCH(T$6,DataOB[#Headers],0)),"")</f>
        <v>0</v>
      </c>
      <c r="U21" s="67">
        <f>IF($B21&lt;&gt;"",INDEX(DataOB[],FirstRow+ROW()-7,MATCH(U$6,DataOB[#Headers],0)),"")</f>
        <v>0</v>
      </c>
      <c r="V21" s="67">
        <f>IF($B21&lt;&gt;"",INDEX(DataOB[],FirstRow+ROW()-7,MATCH(V$6,DataOB[#Headers],0)),"")</f>
        <v>0</v>
      </c>
      <c r="W21" s="67">
        <f>IF($B21&lt;&gt;"",INDEX(DataOB[],FirstRow+ROW()-7,MATCH(W$6,DataOB[#Headers],0)),"")</f>
        <v>0</v>
      </c>
      <c r="X21" s="67">
        <f>IF($B21&lt;&gt;"",INDEX(DataOB[],FirstRow+ROW()-7,MATCH(X$6,DataOB[#Headers],0)),"")</f>
        <v>0</v>
      </c>
      <c r="Y21" s="67">
        <f>IF($B21&lt;&gt;"",INDEX(DataOB[],FirstRow+ROW()-7,MATCH(Y$6,DataOB[#Headers],0)),"")</f>
        <v>0</v>
      </c>
      <c r="Z21" s="67">
        <f>IF($B21&lt;&gt;"",INDEX(DataOB[],FirstRow+ROW()-7,MATCH(Z$6,DataOB[#Headers],0)),"")</f>
        <v>7.2</v>
      </c>
      <c r="AA21" s="67">
        <f>IF($B21&lt;&gt;"",INDEX(DataOB[],FirstRow+ROW()-7,MATCH(AA$6,DataOB[#Headers],0)),"")</f>
        <v>0</v>
      </c>
      <c r="AB21" s="67">
        <f>IF($B21&lt;&gt;"",INDEX(DataOB[],FirstRow+ROW()-7,MATCH(AB$6,DataOB[#Headers],0)),"")</f>
        <v>0</v>
      </c>
      <c r="AC21" s="67">
        <f>IF($B21&lt;&gt;"",INDEX(DataOB[],FirstRow+ROW()-7,MATCH(AC$6,DataOB[#Headers],0)),"")</f>
        <v>0</v>
      </c>
      <c r="AD21" s="67">
        <f>IF($B21&lt;&gt;"",INDEX(DataOB[],FirstRow+ROW()-7,MATCH(AD$6,DataOB[#Headers],0)),"")</f>
        <v>0</v>
      </c>
      <c r="AE21" s="67">
        <f>IF($B21&lt;&gt;"",INDEX(DataOB[],FirstRow+ROW()-7,MATCH(AE$6,DataOB[#Headers],0)),"")</f>
        <v>0</v>
      </c>
      <c r="AF21" s="26">
        <f t="shared" si="14"/>
        <v>7.2</v>
      </c>
      <c r="AG21" s="31">
        <f>SUM($T21:T21)</f>
        <v>0</v>
      </c>
      <c r="AH21" s="31">
        <f>SUM($T21:U21)</f>
        <v>0</v>
      </c>
      <c r="AI21" s="31">
        <f>SUM($T21:V21)</f>
        <v>0</v>
      </c>
      <c r="AJ21" s="31">
        <f>SUM($T21:W21)</f>
        <v>0</v>
      </c>
      <c r="AK21" s="31">
        <f>SUM($T21:X21)</f>
        <v>0</v>
      </c>
      <c r="AL21" s="31">
        <f>SUM($T21:Y21)</f>
        <v>0</v>
      </c>
      <c r="AM21" s="31">
        <f>SUM($T21:Z21)</f>
        <v>7.2</v>
      </c>
      <c r="AN21" s="31">
        <f>SUM($T21:AA21)</f>
        <v>7.2</v>
      </c>
      <c r="AO21" s="31">
        <f>SUM($T21:AB21)</f>
        <v>7.2</v>
      </c>
      <c r="AP21" s="31">
        <f>SUM($T21:AC21)</f>
        <v>7.2</v>
      </c>
      <c r="AQ21" s="31">
        <f>SUM($T21:AD21)</f>
        <v>7.2</v>
      </c>
      <c r="AR21" s="31">
        <f>SUM($T21:AE21)</f>
        <v>7.2</v>
      </c>
      <c r="AS21" s="27">
        <f t="shared" si="15"/>
        <v>0</v>
      </c>
    </row>
    <row r="22" spans="2:45">
      <c r="B22" s="156">
        <f>IF(ROW()-6&gt;NumCostCenter,"",IF(CostCenter&lt;&gt;"ALL",CostCenter,DATA_LF2!B20))</f>
        <v>1511</v>
      </c>
      <c r="C22" s="153">
        <f>IF($B22&lt;&gt;"",INDEX(DataOB[],FirstRow+ROW()-7,2),"")</f>
        <v>1511</v>
      </c>
      <c r="D22" s="157" t="str">
        <f>IF($B22&lt;&gt;"",INDEX(DataOB[],FirstRow+ROW()-7,3),"")</f>
        <v>TBD</v>
      </c>
      <c r="E22" s="158">
        <f>IF($B22&lt;&gt;"",INDEX(DataOB[],FirstRow+ROW()-7,6),"")</f>
        <v>0</v>
      </c>
      <c r="F22" s="158" t="str">
        <f>IF($B22&lt;&gt;"",INDEX(DataOB[],FirstRow+ROW()-7,5),"")</f>
        <v>New Machine Startup (Network + Power) Y24</v>
      </c>
      <c r="G22" s="58">
        <f>IF($B22&lt;&gt;"",SUMIFS(DataAct_tbl[AMOUNT],DataAct_tbl[BG CODE],Detail!$D22,DataAct_tbl[MONTH],LEFT(MonthName,3),DataAct_tbl[Dept code],$B22),0)</f>
        <v>0</v>
      </c>
      <c r="H22" s="31">
        <f t="shared" si="7"/>
        <v>0</v>
      </c>
      <c r="I22" s="28">
        <f t="shared" si="8"/>
        <v>0</v>
      </c>
      <c r="J22" s="32" t="str">
        <f t="shared" si="9"/>
        <v xml:space="preserve"> </v>
      </c>
      <c r="K22" s="86"/>
      <c r="L22" s="62">
        <f>IF($B22&lt;&gt;"",SUMIFS(DataAct_tbl[AMOUNT],DataAct_tbl[BG CODE],Detail!$D22,DataAct_tbl[Check Range],"=true",DataAct_tbl[Dept code],$B22),0)</f>
        <v>0</v>
      </c>
      <c r="M22" s="63">
        <f>INDEX($AG$7:$AR$1005,ROW()-6,MATCH(MTD,$AG$6:$AR$6,0))</f>
        <v>0</v>
      </c>
      <c r="N22" s="34">
        <f t="shared" si="10"/>
        <v>0</v>
      </c>
      <c r="O22" s="64" t="str">
        <f t="shared" si="11"/>
        <v xml:space="preserve"> </v>
      </c>
      <c r="Q22" s="97">
        <f t="shared" si="12"/>
        <v>6</v>
      </c>
      <c r="R22" s="96">
        <f t="shared" si="13"/>
        <v>6</v>
      </c>
      <c r="T22" s="67">
        <f>IF($B22&lt;&gt;"",INDEX(DataOB[],FirstRow+ROW()-7,MATCH(T$6,DataOB[#Headers],0)),"")</f>
        <v>0</v>
      </c>
      <c r="U22" s="67">
        <f>IF($B22&lt;&gt;"",INDEX(DataOB[],FirstRow+ROW()-7,MATCH(U$6,DataOB[#Headers],0)),"")</f>
        <v>0</v>
      </c>
      <c r="V22" s="67">
        <f>IF($B22&lt;&gt;"",INDEX(DataOB[],FirstRow+ROW()-7,MATCH(V$6,DataOB[#Headers],0)),"")</f>
        <v>0</v>
      </c>
      <c r="W22" s="67">
        <f>IF($B22&lt;&gt;"",INDEX(DataOB[],FirstRow+ROW()-7,MATCH(W$6,DataOB[#Headers],0)),"")</f>
        <v>0</v>
      </c>
      <c r="X22" s="67">
        <f>IF($B22&lt;&gt;"",INDEX(DataOB[],FirstRow+ROW()-7,MATCH(X$6,DataOB[#Headers],0)),"")</f>
        <v>0</v>
      </c>
      <c r="Y22" s="67">
        <f>IF($B22&lt;&gt;"",INDEX(DataOB[],FirstRow+ROW()-7,MATCH(Y$6,DataOB[#Headers],0)),"")</f>
        <v>0</v>
      </c>
      <c r="Z22" s="67">
        <f>IF($B22&lt;&gt;"",INDEX(DataOB[],FirstRow+ROW()-7,MATCH(Z$6,DataOB[#Headers],0)),"")</f>
        <v>0</v>
      </c>
      <c r="AA22" s="67">
        <f>IF($B22&lt;&gt;"",INDEX(DataOB[],FirstRow+ROW()-7,MATCH(AA$6,DataOB[#Headers],0)),"")</f>
        <v>0</v>
      </c>
      <c r="AB22" s="67">
        <f>IF($B22&lt;&gt;"",INDEX(DataOB[],FirstRow+ROW()-7,MATCH(AB$6,DataOB[#Headers],0)),"")</f>
        <v>6</v>
      </c>
      <c r="AC22" s="67">
        <f>IF($B22&lt;&gt;"",INDEX(DataOB[],FirstRow+ROW()-7,MATCH(AC$6,DataOB[#Headers],0)),"")</f>
        <v>0</v>
      </c>
      <c r="AD22" s="67">
        <f>IF($B22&lt;&gt;"",INDEX(DataOB[],FirstRow+ROW()-7,MATCH(AD$6,DataOB[#Headers],0)),"")</f>
        <v>0</v>
      </c>
      <c r="AE22" s="67">
        <f>IF($B22&lt;&gt;"",INDEX(DataOB[],FirstRow+ROW()-7,MATCH(AE$6,DataOB[#Headers],0)),"")</f>
        <v>0</v>
      </c>
      <c r="AF22" s="26">
        <f t="shared" si="14"/>
        <v>6</v>
      </c>
      <c r="AG22" s="31">
        <f>SUM($T22:T22)</f>
        <v>0</v>
      </c>
      <c r="AH22" s="31">
        <f>SUM($T22:U22)</f>
        <v>0</v>
      </c>
      <c r="AI22" s="31">
        <f>SUM($T22:V22)</f>
        <v>0</v>
      </c>
      <c r="AJ22" s="31">
        <f>SUM($T22:W22)</f>
        <v>0</v>
      </c>
      <c r="AK22" s="31">
        <f>SUM($T22:X22)</f>
        <v>0</v>
      </c>
      <c r="AL22" s="31">
        <f>SUM($T22:Y22)</f>
        <v>0</v>
      </c>
      <c r="AM22" s="31">
        <f>SUM($T22:Z22)</f>
        <v>0</v>
      </c>
      <c r="AN22" s="31">
        <f>SUM($T22:AA22)</f>
        <v>0</v>
      </c>
      <c r="AO22" s="31">
        <f>SUM($T22:AB22)</f>
        <v>6</v>
      </c>
      <c r="AP22" s="31">
        <f>SUM($T22:AC22)</f>
        <v>6</v>
      </c>
      <c r="AQ22" s="31">
        <f>SUM($T22:AD22)</f>
        <v>6</v>
      </c>
      <c r="AR22" s="31">
        <f>SUM($T22:AE22)</f>
        <v>6</v>
      </c>
      <c r="AS22" s="27">
        <f t="shared" si="15"/>
        <v>0</v>
      </c>
    </row>
    <row r="23" spans="2:45">
      <c r="B23" s="156">
        <f>IF(ROW()-6&gt;NumCostCenter,"",IF(CostCenter&lt;&gt;"ALL",CostCenter,DATA_LF2!B21))</f>
        <v>1511</v>
      </c>
      <c r="C23" s="153">
        <f>IF($B23&lt;&gt;"",INDEX(DataOB[],FirstRow+ROW()-7,2),"")</f>
        <v>1511</v>
      </c>
      <c r="D23" s="157" t="str">
        <f>IF($B23&lt;&gt;"",INDEX(DataOB[],FirstRow+ROW()-7,3),"")</f>
        <v>TBD</v>
      </c>
      <c r="E23" s="158">
        <f>IF($B23&lt;&gt;"",INDEX(DataOB[],FirstRow+ROW()-7,6),"")</f>
        <v>0</v>
      </c>
      <c r="F23" s="158" t="str">
        <f>IF($B23&lt;&gt;"",INDEX(DataOB[],FirstRow+ROW()-7,5),"")</f>
        <v>EFU Printer (ZT411) Y24</v>
      </c>
      <c r="G23" s="58">
        <f>IF($B23&lt;&gt;"",SUMIFS(DataAct_tbl[AMOUNT],DataAct_tbl[BG CODE],Detail!$D23,DataAct_tbl[MONTH],LEFT(MonthName,3),DataAct_tbl[Dept code],$B23),0)</f>
        <v>0</v>
      </c>
      <c r="H23" s="31">
        <f t="shared" si="7"/>
        <v>0</v>
      </c>
      <c r="I23" s="28">
        <f t="shared" si="8"/>
        <v>0</v>
      </c>
      <c r="J23" s="32" t="str">
        <f t="shared" si="9"/>
        <v xml:space="preserve"> </v>
      </c>
      <c r="K23" s="86"/>
      <c r="L23" s="62">
        <f>IF($B23&lt;&gt;"",SUMIFS(DataAct_tbl[AMOUNT],DataAct_tbl[BG CODE],Detail!$D23,DataAct_tbl[Check Range],"=true",DataAct_tbl[Dept code],$B23),0)</f>
        <v>0</v>
      </c>
      <c r="M23" s="63">
        <f>INDEX($AG$7:$AR$1005,ROW()-6,MATCH(MTD,$AG$6:$AR$6,0))</f>
        <v>0</v>
      </c>
      <c r="N23" s="34">
        <f t="shared" si="10"/>
        <v>0</v>
      </c>
      <c r="O23" s="64" t="str">
        <f t="shared" si="11"/>
        <v xml:space="preserve"> </v>
      </c>
      <c r="Q23" s="97">
        <f t="shared" si="12"/>
        <v>20.100000000000001</v>
      </c>
      <c r="R23" s="96">
        <f t="shared" si="13"/>
        <v>20.100000000000001</v>
      </c>
      <c r="T23" s="67">
        <f>IF($B23&lt;&gt;"",INDEX(DataOB[],FirstRow+ROW()-7,MATCH(T$6,DataOB[#Headers],0)),"")</f>
        <v>0</v>
      </c>
      <c r="U23" s="67">
        <f>IF($B23&lt;&gt;"",INDEX(DataOB[],FirstRow+ROW()-7,MATCH(U$6,DataOB[#Headers],0)),"")</f>
        <v>0</v>
      </c>
      <c r="V23" s="67">
        <f>IF($B23&lt;&gt;"",INDEX(DataOB[],FirstRow+ROW()-7,MATCH(V$6,DataOB[#Headers],0)),"")</f>
        <v>0</v>
      </c>
      <c r="W23" s="67">
        <f>IF($B23&lt;&gt;"",INDEX(DataOB[],FirstRow+ROW()-7,MATCH(W$6,DataOB[#Headers],0)),"")</f>
        <v>0</v>
      </c>
      <c r="X23" s="67">
        <f>IF($B23&lt;&gt;"",INDEX(DataOB[],FirstRow+ROW()-7,MATCH(X$6,DataOB[#Headers],0)),"")</f>
        <v>0</v>
      </c>
      <c r="Y23" s="67">
        <f>IF($B23&lt;&gt;"",INDEX(DataOB[],FirstRow+ROW()-7,MATCH(Y$6,DataOB[#Headers],0)),"")</f>
        <v>0</v>
      </c>
      <c r="Z23" s="67">
        <f>IF($B23&lt;&gt;"",INDEX(DataOB[],FirstRow+ROW()-7,MATCH(Z$6,DataOB[#Headers],0)),"")</f>
        <v>0</v>
      </c>
      <c r="AA23" s="67">
        <f>IF($B23&lt;&gt;"",INDEX(DataOB[],FirstRow+ROW()-7,MATCH(AA$6,DataOB[#Headers],0)),"")</f>
        <v>0</v>
      </c>
      <c r="AB23" s="67">
        <f>IF($B23&lt;&gt;"",INDEX(DataOB[],FirstRow+ROW()-7,MATCH(AB$6,DataOB[#Headers],0)),"")</f>
        <v>0</v>
      </c>
      <c r="AC23" s="67">
        <f>IF($B23&lt;&gt;"",INDEX(DataOB[],FirstRow+ROW()-7,MATCH(AC$6,DataOB[#Headers],0)),"")</f>
        <v>0</v>
      </c>
      <c r="AD23" s="67">
        <f>IF($B23&lt;&gt;"",INDEX(DataOB[],FirstRow+ROW()-7,MATCH(AD$6,DataOB[#Headers],0)),"")</f>
        <v>0</v>
      </c>
      <c r="AE23" s="67">
        <f>IF($B23&lt;&gt;"",INDEX(DataOB[],FirstRow+ROW()-7,MATCH(AE$6,DataOB[#Headers],0)),"")</f>
        <v>20.100000000000001</v>
      </c>
      <c r="AF23" s="26">
        <f t="shared" si="14"/>
        <v>20.100000000000001</v>
      </c>
      <c r="AG23" s="31">
        <f>SUM($T23:T23)</f>
        <v>0</v>
      </c>
      <c r="AH23" s="31">
        <f>SUM($T23:U23)</f>
        <v>0</v>
      </c>
      <c r="AI23" s="31">
        <f>SUM($T23:V23)</f>
        <v>0</v>
      </c>
      <c r="AJ23" s="31">
        <f>SUM($T23:W23)</f>
        <v>0</v>
      </c>
      <c r="AK23" s="31">
        <f>SUM($T23:X23)</f>
        <v>0</v>
      </c>
      <c r="AL23" s="31">
        <f>SUM($T23:Y23)</f>
        <v>0</v>
      </c>
      <c r="AM23" s="31">
        <f>SUM($T23:Z23)</f>
        <v>0</v>
      </c>
      <c r="AN23" s="31">
        <f>SUM($T23:AA23)</f>
        <v>0</v>
      </c>
      <c r="AO23" s="31">
        <f>SUM($T23:AB23)</f>
        <v>0</v>
      </c>
      <c r="AP23" s="31">
        <f>SUM($T23:AC23)</f>
        <v>0</v>
      </c>
      <c r="AQ23" s="31">
        <f>SUM($T23:AD23)</f>
        <v>0</v>
      </c>
      <c r="AR23" s="31">
        <f>SUM($T23:AE23)</f>
        <v>20.100000000000001</v>
      </c>
      <c r="AS23" s="27">
        <f t="shared" si="15"/>
        <v>0</v>
      </c>
    </row>
    <row r="24" spans="2:45">
      <c r="B24" s="156">
        <f>IF(ROW()-6&gt;NumCostCenter,"",IF(CostCenter&lt;&gt;"ALL",CostCenter,DATA_LF2!B22))</f>
        <v>1511</v>
      </c>
      <c r="C24" s="153">
        <f>IF($B24&lt;&gt;"",INDEX(DataOB[],FirstRow+ROW()-7,2),"")</f>
        <v>1511</v>
      </c>
      <c r="D24" s="157" t="str">
        <f>IF($B24&lt;&gt;"",INDEX(DataOB[],FirstRow+ROW()-7,3),"")</f>
        <v>TBD</v>
      </c>
      <c r="E24" s="158">
        <f>IF($B24&lt;&gt;"",INDEX(DataOB[],FirstRow+ROW()-7,6),"")</f>
        <v>0</v>
      </c>
      <c r="F24" s="158" t="str">
        <f>IF($B24&lt;&gt;"",INDEX(DataOB[],FirstRow+ROW()-7,5),"")</f>
        <v>Extend HCI system ( 01  Node)  Y24</v>
      </c>
      <c r="G24" s="58">
        <f>IF($B24&lt;&gt;"",SUMIFS(DataAct_tbl[AMOUNT],DataAct_tbl[BG CODE],Detail!$D24,DataAct_tbl[MONTH],LEFT(MonthName,3),DataAct_tbl[Dept code],$B24),0)</f>
        <v>0</v>
      </c>
      <c r="H24" s="31">
        <f t="shared" si="7"/>
        <v>0</v>
      </c>
      <c r="I24" s="28">
        <f t="shared" si="8"/>
        <v>0</v>
      </c>
      <c r="J24" s="32" t="str">
        <f t="shared" si="9"/>
        <v xml:space="preserve"> </v>
      </c>
      <c r="K24" s="86"/>
      <c r="L24" s="62">
        <f>IF($B24&lt;&gt;"",SUMIFS(DataAct_tbl[AMOUNT],DataAct_tbl[BG CODE],Detail!$D24,DataAct_tbl[Check Range],"=true",DataAct_tbl[Dept code],$B24),0)</f>
        <v>0</v>
      </c>
      <c r="M24" s="63">
        <f>INDEX($AG$7:$AR$1005,ROW()-6,MATCH(MTD,$AG$6:$AR$6,0))</f>
        <v>0</v>
      </c>
      <c r="N24" s="34">
        <f t="shared" si="10"/>
        <v>0</v>
      </c>
      <c r="O24" s="64" t="str">
        <f t="shared" si="11"/>
        <v xml:space="preserve"> </v>
      </c>
      <c r="Q24" s="97">
        <f t="shared" si="12"/>
        <v>88</v>
      </c>
      <c r="R24" s="96">
        <f t="shared" si="13"/>
        <v>88</v>
      </c>
      <c r="T24" s="67">
        <f>IF($B24&lt;&gt;"",INDEX(DataOB[],FirstRow+ROW()-7,MATCH(T$6,DataOB[#Headers],0)),"")</f>
        <v>0</v>
      </c>
      <c r="U24" s="67">
        <f>IF($B24&lt;&gt;"",INDEX(DataOB[],FirstRow+ROW()-7,MATCH(U$6,DataOB[#Headers],0)),"")</f>
        <v>0</v>
      </c>
      <c r="V24" s="67">
        <f>IF($B24&lt;&gt;"",INDEX(DataOB[],FirstRow+ROW()-7,MATCH(V$6,DataOB[#Headers],0)),"")</f>
        <v>0</v>
      </c>
      <c r="W24" s="67">
        <f>IF($B24&lt;&gt;"",INDEX(DataOB[],FirstRow+ROW()-7,MATCH(W$6,DataOB[#Headers],0)),"")</f>
        <v>0</v>
      </c>
      <c r="X24" s="67">
        <f>IF($B24&lt;&gt;"",INDEX(DataOB[],FirstRow+ROW()-7,MATCH(X$6,DataOB[#Headers],0)),"")</f>
        <v>0</v>
      </c>
      <c r="Y24" s="67">
        <f>IF($B24&lt;&gt;"",INDEX(DataOB[],FirstRow+ROW()-7,MATCH(Y$6,DataOB[#Headers],0)),"")</f>
        <v>0</v>
      </c>
      <c r="Z24" s="67">
        <f>IF($B24&lt;&gt;"",INDEX(DataOB[],FirstRow+ROW()-7,MATCH(Z$6,DataOB[#Headers],0)),"")</f>
        <v>0</v>
      </c>
      <c r="AA24" s="67">
        <f>IF($B24&lt;&gt;"",INDEX(DataOB[],FirstRow+ROW()-7,MATCH(AA$6,DataOB[#Headers],0)),"")</f>
        <v>0</v>
      </c>
      <c r="AB24" s="67">
        <f>IF($B24&lt;&gt;"",INDEX(DataOB[],FirstRow+ROW()-7,MATCH(AB$6,DataOB[#Headers],0)),"")</f>
        <v>0</v>
      </c>
      <c r="AC24" s="67">
        <f>IF($B24&lt;&gt;"",INDEX(DataOB[],FirstRow+ROW()-7,MATCH(AC$6,DataOB[#Headers],0)),"")</f>
        <v>0</v>
      </c>
      <c r="AD24" s="67">
        <f>IF($B24&lt;&gt;"",INDEX(DataOB[],FirstRow+ROW()-7,MATCH(AD$6,DataOB[#Headers],0)),"")</f>
        <v>0</v>
      </c>
      <c r="AE24" s="67">
        <f>IF($B24&lt;&gt;"",INDEX(DataOB[],FirstRow+ROW()-7,MATCH(AE$6,DataOB[#Headers],0)),"")</f>
        <v>88</v>
      </c>
      <c r="AF24" s="26">
        <f t="shared" si="14"/>
        <v>88</v>
      </c>
      <c r="AG24" s="31">
        <f>SUM($T24:T24)</f>
        <v>0</v>
      </c>
      <c r="AH24" s="31">
        <f>SUM($T24:U24)</f>
        <v>0</v>
      </c>
      <c r="AI24" s="31">
        <f>SUM($T24:V24)</f>
        <v>0</v>
      </c>
      <c r="AJ24" s="31">
        <f>SUM($T24:W24)</f>
        <v>0</v>
      </c>
      <c r="AK24" s="31">
        <f>SUM($T24:X24)</f>
        <v>0</v>
      </c>
      <c r="AL24" s="31">
        <f>SUM($T24:Y24)</f>
        <v>0</v>
      </c>
      <c r="AM24" s="31">
        <f>SUM($T24:Z24)</f>
        <v>0</v>
      </c>
      <c r="AN24" s="31">
        <f>SUM($T24:AA24)</f>
        <v>0</v>
      </c>
      <c r="AO24" s="31">
        <f>SUM($T24:AB24)</f>
        <v>0</v>
      </c>
      <c r="AP24" s="31">
        <f>SUM($T24:AC24)</f>
        <v>0</v>
      </c>
      <c r="AQ24" s="31">
        <f>SUM($T24:AD24)</f>
        <v>0</v>
      </c>
      <c r="AR24" s="31">
        <f>SUM($T24:AE24)</f>
        <v>88</v>
      </c>
      <c r="AS24" s="27">
        <f t="shared" si="15"/>
        <v>0</v>
      </c>
    </row>
    <row r="25" spans="2:45">
      <c r="B25" s="156">
        <f>IF(ROW()-6&gt;NumCostCenter,"",IF(CostCenter&lt;&gt;"ALL",CostCenter,DATA_LF2!B23))</f>
        <v>1511</v>
      </c>
      <c r="C25" s="153">
        <f>IF($B25&lt;&gt;"",INDEX(DataOB[],FirstRow+ROW()-7,2),"")</f>
        <v>1511</v>
      </c>
      <c r="D25" s="157" t="str">
        <f>IF($B25&lt;&gt;"",INDEX(DataOB[],FirstRow+ROW()-7,3),"")</f>
        <v>TBD</v>
      </c>
      <c r="E25" s="158">
        <f>IF($B25&lt;&gt;"",INDEX(DataOB[],FirstRow+ROW()-7,6),"")</f>
        <v>0</v>
      </c>
      <c r="F25" s="158" t="str">
        <f>IF($B25&lt;&gt;"",INDEX(DataOB[],FirstRow+ROW()-7,5),"")</f>
        <v>Upgrade iWorkflow system Y24</v>
      </c>
      <c r="G25" s="58">
        <f>IF($B25&lt;&gt;"",SUMIFS(DataAct_tbl[AMOUNT],DataAct_tbl[BG CODE],Detail!$D25,DataAct_tbl[MONTH],LEFT(MonthName,3),DataAct_tbl[Dept code],$B25),0)</f>
        <v>0</v>
      </c>
      <c r="H25" s="31">
        <f t="shared" si="7"/>
        <v>0</v>
      </c>
      <c r="I25" s="28">
        <f t="shared" si="8"/>
        <v>0</v>
      </c>
      <c r="J25" s="32" t="str">
        <f t="shared" si="9"/>
        <v xml:space="preserve"> </v>
      </c>
      <c r="K25" s="86"/>
      <c r="L25" s="62">
        <f>IF($B25&lt;&gt;"",SUMIFS(DataAct_tbl[AMOUNT],DataAct_tbl[BG CODE],Detail!$D25,DataAct_tbl[Check Range],"=true",DataAct_tbl[Dept code],$B25),0)</f>
        <v>0</v>
      </c>
      <c r="M25" s="63">
        <f>INDEX($AG$7:$AR$1005,ROW()-6,MATCH(MTD,$AG$6:$AR$6,0))</f>
        <v>0</v>
      </c>
      <c r="N25" s="34">
        <f t="shared" si="10"/>
        <v>0</v>
      </c>
      <c r="O25" s="64" t="str">
        <f t="shared" si="11"/>
        <v xml:space="preserve"> </v>
      </c>
      <c r="Q25" s="97">
        <f t="shared" si="12"/>
        <v>0</v>
      </c>
      <c r="R25" s="96">
        <f t="shared" si="13"/>
        <v>0</v>
      </c>
      <c r="T25" s="67">
        <f>IF($B25&lt;&gt;"",INDEX(DataOB[],FirstRow+ROW()-7,MATCH(T$6,DataOB[#Headers],0)),"")</f>
        <v>0</v>
      </c>
      <c r="U25" s="67">
        <f>IF($B25&lt;&gt;"",INDEX(DataOB[],FirstRow+ROW()-7,MATCH(U$6,DataOB[#Headers],0)),"")</f>
        <v>0</v>
      </c>
      <c r="V25" s="67">
        <f>IF($B25&lt;&gt;"",INDEX(DataOB[],FirstRow+ROW()-7,MATCH(V$6,DataOB[#Headers],0)),"")</f>
        <v>0</v>
      </c>
      <c r="W25" s="67">
        <f>IF($B25&lt;&gt;"",INDEX(DataOB[],FirstRow+ROW()-7,MATCH(W$6,DataOB[#Headers],0)),"")</f>
        <v>0</v>
      </c>
      <c r="X25" s="67">
        <f>IF($B25&lt;&gt;"",INDEX(DataOB[],FirstRow+ROW()-7,MATCH(X$6,DataOB[#Headers],0)),"")</f>
        <v>0</v>
      </c>
      <c r="Y25" s="67">
        <f>IF($B25&lt;&gt;"",INDEX(DataOB[],FirstRow+ROW()-7,MATCH(Y$6,DataOB[#Headers],0)),"")</f>
        <v>0</v>
      </c>
      <c r="Z25" s="67">
        <f>IF($B25&lt;&gt;"",INDEX(DataOB[],FirstRow+ROW()-7,MATCH(Z$6,DataOB[#Headers],0)),"")</f>
        <v>0</v>
      </c>
      <c r="AA25" s="67">
        <f>IF($B25&lt;&gt;"",INDEX(DataOB[],FirstRow+ROW()-7,MATCH(AA$6,DataOB[#Headers],0)),"")</f>
        <v>0</v>
      </c>
      <c r="AB25" s="67">
        <f>IF($B25&lt;&gt;"",INDEX(DataOB[],FirstRow+ROW()-7,MATCH(AB$6,DataOB[#Headers],0)),"")</f>
        <v>0</v>
      </c>
      <c r="AC25" s="67">
        <f>IF($B25&lt;&gt;"",INDEX(DataOB[],FirstRow+ROW()-7,MATCH(AC$6,DataOB[#Headers],0)),"")</f>
        <v>0</v>
      </c>
      <c r="AD25" s="67">
        <f>IF($B25&lt;&gt;"",INDEX(DataOB[],FirstRow+ROW()-7,MATCH(AD$6,DataOB[#Headers],0)),"")</f>
        <v>0</v>
      </c>
      <c r="AE25" s="67">
        <f>IF($B25&lt;&gt;"",INDEX(DataOB[],FirstRow+ROW()-7,MATCH(AE$6,DataOB[#Headers],0)),"")</f>
        <v>0</v>
      </c>
      <c r="AF25" s="26">
        <f t="shared" si="14"/>
        <v>0</v>
      </c>
      <c r="AG25" s="31">
        <f>SUM($T25:T25)</f>
        <v>0</v>
      </c>
      <c r="AH25" s="31">
        <f>SUM($T25:U25)</f>
        <v>0</v>
      </c>
      <c r="AI25" s="31">
        <f>SUM($T25:V25)</f>
        <v>0</v>
      </c>
      <c r="AJ25" s="31">
        <f>SUM($T25:W25)</f>
        <v>0</v>
      </c>
      <c r="AK25" s="31">
        <f>SUM($T25:X25)</f>
        <v>0</v>
      </c>
      <c r="AL25" s="31">
        <f>SUM($T25:Y25)</f>
        <v>0</v>
      </c>
      <c r="AM25" s="31">
        <f>SUM($T25:Z25)</f>
        <v>0</v>
      </c>
      <c r="AN25" s="31">
        <f>SUM($T25:AA25)</f>
        <v>0</v>
      </c>
      <c r="AO25" s="31">
        <f>SUM($T25:AB25)</f>
        <v>0</v>
      </c>
      <c r="AP25" s="31">
        <f>SUM($T25:AC25)</f>
        <v>0</v>
      </c>
      <c r="AQ25" s="31">
        <f>SUM($T25:AD25)</f>
        <v>0</v>
      </c>
      <c r="AR25" s="31">
        <f>SUM($T25:AE25)</f>
        <v>0</v>
      </c>
      <c r="AS25" s="27">
        <f t="shared" si="15"/>
        <v>0</v>
      </c>
    </row>
    <row r="26" spans="2:45">
      <c r="B26" s="156">
        <f>IF(ROW()-6&gt;NumCostCenter,"",IF(CostCenter&lt;&gt;"ALL",CostCenter,DATA_LF2!B24))</f>
        <v>1511</v>
      </c>
      <c r="C26" s="153">
        <f>IF($B26&lt;&gt;"",INDEX(DataOB[],FirstRow+ROW()-7,2),"")</f>
        <v>1511</v>
      </c>
      <c r="D26" s="157" t="str">
        <f>IF($B26&lt;&gt;"",INDEX(DataOB[],FirstRow+ROW()-7,3),"")</f>
        <v>TBD</v>
      </c>
      <c r="E26" s="158">
        <f>IF($B26&lt;&gt;"",INDEX(DataOB[],FirstRow+ROW()-7,6),"")</f>
        <v>0</v>
      </c>
      <c r="F26" s="158" t="str">
        <f>IF($B26&lt;&gt;"",INDEX(DataOB[],FirstRow+ROW()-7,5),"")</f>
        <v>ManageEngine for Network and Server systems Y24</v>
      </c>
      <c r="G26" s="58">
        <f>IF($B26&lt;&gt;"",SUMIFS(DataAct_tbl[AMOUNT],DataAct_tbl[BG CODE],Detail!$D26,DataAct_tbl[MONTH],LEFT(MonthName,3),DataAct_tbl[Dept code],$B26),0)</f>
        <v>0</v>
      </c>
      <c r="H26" s="31">
        <f t="shared" si="7"/>
        <v>0</v>
      </c>
      <c r="I26" s="28">
        <f t="shared" si="8"/>
        <v>0</v>
      </c>
      <c r="J26" s="32" t="str">
        <f t="shared" si="9"/>
        <v xml:space="preserve"> </v>
      </c>
      <c r="K26" s="86"/>
      <c r="L26" s="62">
        <f>IF($B26&lt;&gt;"",SUMIFS(DataAct_tbl[AMOUNT],DataAct_tbl[BG CODE],Detail!$D26,DataAct_tbl[Check Range],"=true",DataAct_tbl[Dept code],$B26),0)</f>
        <v>0</v>
      </c>
      <c r="M26" s="63">
        <f>INDEX($AG$7:$AR$1005,ROW()-6,MATCH(MTD,$AG$6:$AR$6,0))</f>
        <v>0</v>
      </c>
      <c r="N26" s="34">
        <f t="shared" si="10"/>
        <v>0</v>
      </c>
      <c r="O26" s="64" t="str">
        <f t="shared" si="11"/>
        <v xml:space="preserve"> </v>
      </c>
      <c r="Q26" s="97">
        <f t="shared" si="12"/>
        <v>0</v>
      </c>
      <c r="R26" s="96">
        <f t="shared" si="13"/>
        <v>0</v>
      </c>
      <c r="T26" s="67">
        <f>IF($B26&lt;&gt;"",INDEX(DataOB[],FirstRow+ROW()-7,MATCH(T$6,DataOB[#Headers],0)),"")</f>
        <v>0</v>
      </c>
      <c r="U26" s="67">
        <f>IF($B26&lt;&gt;"",INDEX(DataOB[],FirstRow+ROW()-7,MATCH(U$6,DataOB[#Headers],0)),"")</f>
        <v>0</v>
      </c>
      <c r="V26" s="67">
        <f>IF($B26&lt;&gt;"",INDEX(DataOB[],FirstRow+ROW()-7,MATCH(V$6,DataOB[#Headers],0)),"")</f>
        <v>0</v>
      </c>
      <c r="W26" s="67">
        <f>IF($B26&lt;&gt;"",INDEX(DataOB[],FirstRow+ROW()-7,MATCH(W$6,DataOB[#Headers],0)),"")</f>
        <v>0</v>
      </c>
      <c r="X26" s="67">
        <f>IF($B26&lt;&gt;"",INDEX(DataOB[],FirstRow+ROW()-7,MATCH(X$6,DataOB[#Headers],0)),"")</f>
        <v>0</v>
      </c>
      <c r="Y26" s="67">
        <f>IF($B26&lt;&gt;"",INDEX(DataOB[],FirstRow+ROW()-7,MATCH(Y$6,DataOB[#Headers],0)),"")</f>
        <v>0</v>
      </c>
      <c r="Z26" s="67">
        <f>IF($B26&lt;&gt;"",INDEX(DataOB[],FirstRow+ROW()-7,MATCH(Z$6,DataOB[#Headers],0)),"")</f>
        <v>0</v>
      </c>
      <c r="AA26" s="67">
        <f>IF($B26&lt;&gt;"",INDEX(DataOB[],FirstRow+ROW()-7,MATCH(AA$6,DataOB[#Headers],0)),"")</f>
        <v>0</v>
      </c>
      <c r="AB26" s="67">
        <f>IF($B26&lt;&gt;"",INDEX(DataOB[],FirstRow+ROW()-7,MATCH(AB$6,DataOB[#Headers],0)),"")</f>
        <v>0</v>
      </c>
      <c r="AC26" s="67">
        <f>IF($B26&lt;&gt;"",INDEX(DataOB[],FirstRow+ROW()-7,MATCH(AC$6,DataOB[#Headers],0)),"")</f>
        <v>0</v>
      </c>
      <c r="AD26" s="67">
        <f>IF($B26&lt;&gt;"",INDEX(DataOB[],FirstRow+ROW()-7,MATCH(AD$6,DataOB[#Headers],0)),"")</f>
        <v>0</v>
      </c>
      <c r="AE26" s="67">
        <f>IF($B26&lt;&gt;"",INDEX(DataOB[],FirstRow+ROW()-7,MATCH(AE$6,DataOB[#Headers],0)),"")</f>
        <v>0</v>
      </c>
      <c r="AF26" s="26">
        <f t="shared" si="14"/>
        <v>0</v>
      </c>
      <c r="AG26" s="31">
        <f>SUM($T26:T26)</f>
        <v>0</v>
      </c>
      <c r="AH26" s="31">
        <f>SUM($T26:U26)</f>
        <v>0</v>
      </c>
      <c r="AI26" s="31">
        <f>SUM($T26:V26)</f>
        <v>0</v>
      </c>
      <c r="AJ26" s="31">
        <f>SUM($T26:W26)</f>
        <v>0</v>
      </c>
      <c r="AK26" s="31">
        <f>SUM($T26:X26)</f>
        <v>0</v>
      </c>
      <c r="AL26" s="31">
        <f>SUM($T26:Y26)</f>
        <v>0</v>
      </c>
      <c r="AM26" s="31">
        <f>SUM($T26:Z26)</f>
        <v>0</v>
      </c>
      <c r="AN26" s="31">
        <f>SUM($T26:AA26)</f>
        <v>0</v>
      </c>
      <c r="AO26" s="31">
        <f>SUM($T26:AB26)</f>
        <v>0</v>
      </c>
      <c r="AP26" s="31">
        <f>SUM($T26:AC26)</f>
        <v>0</v>
      </c>
      <c r="AQ26" s="31">
        <f>SUM($T26:AD26)</f>
        <v>0</v>
      </c>
      <c r="AR26" s="31">
        <f>SUM($T26:AE26)</f>
        <v>0</v>
      </c>
      <c r="AS26" s="27">
        <f t="shared" si="15"/>
        <v>0</v>
      </c>
    </row>
    <row r="27" spans="2:45">
      <c r="B27" s="156">
        <f>IF(ROW()-6&gt;NumCostCenter,"",IF(CostCenter&lt;&gt;"ALL",CostCenter,DATA_LF2!B25))</f>
        <v>1511</v>
      </c>
      <c r="C27" s="153">
        <f>IF($B27&lt;&gt;"",INDEX(DataOB[],FirstRow+ROW()-7,2),"")</f>
        <v>1511</v>
      </c>
      <c r="D27" s="157" t="str">
        <f>IF($B27&lt;&gt;"",INDEX(DataOB[],FirstRow+ROW()-7,3),"")</f>
        <v>TBD</v>
      </c>
      <c r="E27" s="158">
        <f>IF($B27&lt;&gt;"",INDEX(DataOB[],FirstRow+ROW()-7,6),"")</f>
        <v>0</v>
      </c>
      <c r="F27" s="158" t="str">
        <f>IF($B27&lt;&gt;"",INDEX(DataOB[],FirstRow+ROW()-7,5),"")</f>
        <v>FGWH  barcode reader Datalogic Y24</v>
      </c>
      <c r="G27" s="58">
        <f>IF($B27&lt;&gt;"",SUMIFS(DataAct_tbl[AMOUNT],DataAct_tbl[BG CODE],Detail!$D27,DataAct_tbl[MONTH],LEFT(MonthName,3),DataAct_tbl[Dept code],$B27),0)</f>
        <v>0</v>
      </c>
      <c r="H27" s="31">
        <f t="shared" si="7"/>
        <v>0</v>
      </c>
      <c r="I27" s="28">
        <f t="shared" si="8"/>
        <v>0</v>
      </c>
      <c r="J27" s="32" t="str">
        <f t="shared" si="9"/>
        <v xml:space="preserve"> </v>
      </c>
      <c r="K27" s="86"/>
      <c r="L27" s="62">
        <f>IF($B27&lt;&gt;"",SUMIFS(DataAct_tbl[AMOUNT],DataAct_tbl[BG CODE],Detail!$D27,DataAct_tbl[Check Range],"=true",DataAct_tbl[Dept code],$B27),0)</f>
        <v>0</v>
      </c>
      <c r="M27" s="63">
        <f>INDEX($AG$7:$AR$1005,ROW()-6,MATCH(MTD,$AG$6:$AR$6,0))</f>
        <v>0</v>
      </c>
      <c r="N27" s="34">
        <f t="shared" si="10"/>
        <v>0</v>
      </c>
      <c r="O27" s="64" t="str">
        <f t="shared" si="11"/>
        <v xml:space="preserve"> </v>
      </c>
      <c r="Q27" s="97">
        <f t="shared" si="12"/>
        <v>5.5</v>
      </c>
      <c r="R27" s="96">
        <f t="shared" si="13"/>
        <v>5.5</v>
      </c>
      <c r="T27" s="67">
        <f>IF($B27&lt;&gt;"",INDEX(DataOB[],FirstRow+ROW()-7,MATCH(T$6,DataOB[#Headers],0)),"")</f>
        <v>0</v>
      </c>
      <c r="U27" s="67">
        <f>IF($B27&lt;&gt;"",INDEX(DataOB[],FirstRow+ROW()-7,MATCH(U$6,DataOB[#Headers],0)),"")</f>
        <v>0</v>
      </c>
      <c r="V27" s="67">
        <f>IF($B27&lt;&gt;"",INDEX(DataOB[],FirstRow+ROW()-7,MATCH(V$6,DataOB[#Headers],0)),"")</f>
        <v>0</v>
      </c>
      <c r="W27" s="67">
        <f>IF($B27&lt;&gt;"",INDEX(DataOB[],FirstRow+ROW()-7,MATCH(W$6,DataOB[#Headers],0)),"")</f>
        <v>0</v>
      </c>
      <c r="X27" s="67">
        <f>IF($B27&lt;&gt;"",INDEX(DataOB[],FirstRow+ROW()-7,MATCH(X$6,DataOB[#Headers],0)),"")</f>
        <v>0</v>
      </c>
      <c r="Y27" s="67">
        <f>IF($B27&lt;&gt;"",INDEX(DataOB[],FirstRow+ROW()-7,MATCH(Y$6,DataOB[#Headers],0)),"")</f>
        <v>0</v>
      </c>
      <c r="Z27" s="67">
        <f>IF($B27&lt;&gt;"",INDEX(DataOB[],FirstRow+ROW()-7,MATCH(Z$6,DataOB[#Headers],0)),"")</f>
        <v>0</v>
      </c>
      <c r="AA27" s="67">
        <f>IF($B27&lt;&gt;"",INDEX(DataOB[],FirstRow+ROW()-7,MATCH(AA$6,DataOB[#Headers],0)),"")</f>
        <v>5.5</v>
      </c>
      <c r="AB27" s="67">
        <f>IF($B27&lt;&gt;"",INDEX(DataOB[],FirstRow+ROW()-7,MATCH(AB$6,DataOB[#Headers],0)),"")</f>
        <v>0</v>
      </c>
      <c r="AC27" s="67">
        <f>IF($B27&lt;&gt;"",INDEX(DataOB[],FirstRow+ROW()-7,MATCH(AC$6,DataOB[#Headers],0)),"")</f>
        <v>0</v>
      </c>
      <c r="AD27" s="67">
        <f>IF($B27&lt;&gt;"",INDEX(DataOB[],FirstRow+ROW()-7,MATCH(AD$6,DataOB[#Headers],0)),"")</f>
        <v>0</v>
      </c>
      <c r="AE27" s="67">
        <f>IF($B27&lt;&gt;"",INDEX(DataOB[],FirstRow+ROW()-7,MATCH(AE$6,DataOB[#Headers],0)),"")</f>
        <v>0</v>
      </c>
      <c r="AF27" s="26">
        <f t="shared" si="14"/>
        <v>5.5</v>
      </c>
      <c r="AG27" s="31">
        <f>SUM($T27:T27)</f>
        <v>0</v>
      </c>
      <c r="AH27" s="31">
        <f>SUM($T27:U27)</f>
        <v>0</v>
      </c>
      <c r="AI27" s="31">
        <f>SUM($T27:V27)</f>
        <v>0</v>
      </c>
      <c r="AJ27" s="31">
        <f>SUM($T27:W27)</f>
        <v>0</v>
      </c>
      <c r="AK27" s="31">
        <f>SUM($T27:X27)</f>
        <v>0</v>
      </c>
      <c r="AL27" s="31">
        <f>SUM($T27:Y27)</f>
        <v>0</v>
      </c>
      <c r="AM27" s="31">
        <f>SUM($T27:Z27)</f>
        <v>0</v>
      </c>
      <c r="AN27" s="31">
        <f>SUM($T27:AA27)</f>
        <v>5.5</v>
      </c>
      <c r="AO27" s="31">
        <f>SUM($T27:AB27)</f>
        <v>5.5</v>
      </c>
      <c r="AP27" s="31">
        <f>SUM($T27:AC27)</f>
        <v>5.5</v>
      </c>
      <c r="AQ27" s="31">
        <f>SUM($T27:AD27)</f>
        <v>5.5</v>
      </c>
      <c r="AR27" s="31">
        <f>SUM($T27:AE27)</f>
        <v>5.5</v>
      </c>
      <c r="AS27" s="27">
        <f t="shared" si="15"/>
        <v>0</v>
      </c>
    </row>
    <row r="28" spans="2:45">
      <c r="B28" s="156">
        <f>IF(ROW()-6&gt;NumCostCenter,"",IF(CostCenter&lt;&gt;"ALL",CostCenter,DATA_LF2!B26))</f>
        <v>1511</v>
      </c>
      <c r="C28" s="153">
        <f>IF($B28&lt;&gt;"",INDEX(DataOB[],FirstRow+ROW()-7,2),"")</f>
        <v>1511</v>
      </c>
      <c r="D28" s="157" t="str">
        <f>IF($B28&lt;&gt;"",INDEX(DataOB[],FirstRow+ROW()-7,3),"")</f>
        <v>ME00082</v>
      </c>
      <c r="E28" s="158">
        <f>IF($B28&lt;&gt;"",INDEX(DataOB[],FirstRow+ROW()-7,6),"")</f>
        <v>0</v>
      </c>
      <c r="F28" s="158" t="str">
        <f>IF($B28&lt;&gt;"",INDEX(DataOB[],FirstRow+ROW()-7,5),"")</f>
        <v>New K1S Machine (#4,#5,#6,#7,#8,#9,#10) Y24</v>
      </c>
      <c r="G28" s="58">
        <f>IF($B28&lt;&gt;"",SUMIFS(DataAct_tbl[AMOUNT],DataAct_tbl[BG CODE],Detail!$D28,DataAct_tbl[MONTH],LEFT(MonthName,3),DataAct_tbl[Dept code],$B28),0)</f>
        <v>0.12500000000000003</v>
      </c>
      <c r="H28" s="31">
        <f t="shared" si="7"/>
        <v>0</v>
      </c>
      <c r="I28" s="28">
        <f t="shared" si="8"/>
        <v>0.12500000000000003</v>
      </c>
      <c r="J28" s="32" t="str">
        <f t="shared" si="9"/>
        <v xml:space="preserve"> </v>
      </c>
      <c r="K28" s="86"/>
      <c r="L28" s="62">
        <f>IF($B28&lt;&gt;"",SUMIFS(DataAct_tbl[AMOUNT],DataAct_tbl[BG CODE],Detail!$D28,DataAct_tbl[Check Range],"=true",DataAct_tbl[Dept code],$B28),0)</f>
        <v>0.12500000000000003</v>
      </c>
      <c r="M28" s="63">
        <f>INDEX($AG$7:$AR$1005,ROW()-6,MATCH(MTD,$AG$6:$AR$6,0))</f>
        <v>0</v>
      </c>
      <c r="N28" s="34">
        <f t="shared" si="10"/>
        <v>0.12500000000000003</v>
      </c>
      <c r="O28" s="64" t="str">
        <f t="shared" si="11"/>
        <v xml:space="preserve"> </v>
      </c>
      <c r="Q28" s="97">
        <f t="shared" si="12"/>
        <v>7</v>
      </c>
      <c r="R28" s="96">
        <f t="shared" si="13"/>
        <v>6.875</v>
      </c>
      <c r="T28" s="67">
        <f>IF($B28&lt;&gt;"",INDEX(DataOB[],FirstRow+ROW()-7,MATCH(T$6,DataOB[#Headers],0)),"")</f>
        <v>0</v>
      </c>
      <c r="U28" s="67">
        <f>IF($B28&lt;&gt;"",INDEX(DataOB[],FirstRow+ROW()-7,MATCH(U$6,DataOB[#Headers],0)),"")</f>
        <v>0</v>
      </c>
      <c r="V28" s="67">
        <f>IF($B28&lt;&gt;"",INDEX(DataOB[],FirstRow+ROW()-7,MATCH(V$6,DataOB[#Headers],0)),"")</f>
        <v>0</v>
      </c>
      <c r="W28" s="67">
        <f>IF($B28&lt;&gt;"",INDEX(DataOB[],FirstRow+ROW()-7,MATCH(W$6,DataOB[#Headers],0)),"")</f>
        <v>0</v>
      </c>
      <c r="X28" s="67">
        <f>IF($B28&lt;&gt;"",INDEX(DataOB[],FirstRow+ROW()-7,MATCH(X$6,DataOB[#Headers],0)),"")</f>
        <v>0</v>
      </c>
      <c r="Y28" s="67">
        <f>IF($B28&lt;&gt;"",INDEX(DataOB[],FirstRow+ROW()-7,MATCH(Y$6,DataOB[#Headers],0)),"")</f>
        <v>0</v>
      </c>
      <c r="Z28" s="67">
        <f>IF($B28&lt;&gt;"",INDEX(DataOB[],FirstRow+ROW()-7,MATCH(Z$6,DataOB[#Headers],0)),"")</f>
        <v>0</v>
      </c>
      <c r="AA28" s="67">
        <f>IF($B28&lt;&gt;"",INDEX(DataOB[],FirstRow+ROW()-7,MATCH(AA$6,DataOB[#Headers],0)),"")</f>
        <v>7</v>
      </c>
      <c r="AB28" s="67">
        <f>IF($B28&lt;&gt;"",INDEX(DataOB[],FirstRow+ROW()-7,MATCH(AB$6,DataOB[#Headers],0)),"")</f>
        <v>0</v>
      </c>
      <c r="AC28" s="67">
        <f>IF($B28&lt;&gt;"",INDEX(DataOB[],FirstRow+ROW()-7,MATCH(AC$6,DataOB[#Headers],0)),"")</f>
        <v>0</v>
      </c>
      <c r="AD28" s="67">
        <f>IF($B28&lt;&gt;"",INDEX(DataOB[],FirstRow+ROW()-7,MATCH(AD$6,DataOB[#Headers],0)),"")</f>
        <v>0</v>
      </c>
      <c r="AE28" s="67">
        <f>IF($B28&lt;&gt;"",INDEX(DataOB[],FirstRow+ROW()-7,MATCH(AE$6,DataOB[#Headers],0)),"")</f>
        <v>0</v>
      </c>
      <c r="AF28" s="26">
        <f t="shared" si="14"/>
        <v>7</v>
      </c>
      <c r="AG28" s="31">
        <f>SUM($T28:T28)</f>
        <v>0</v>
      </c>
      <c r="AH28" s="31">
        <f>SUM($T28:U28)</f>
        <v>0</v>
      </c>
      <c r="AI28" s="31">
        <f>SUM($T28:V28)</f>
        <v>0</v>
      </c>
      <c r="AJ28" s="31">
        <f>SUM($T28:W28)</f>
        <v>0</v>
      </c>
      <c r="AK28" s="31">
        <f>SUM($T28:X28)</f>
        <v>0</v>
      </c>
      <c r="AL28" s="31">
        <f>SUM($T28:Y28)</f>
        <v>0</v>
      </c>
      <c r="AM28" s="31">
        <f>SUM($T28:Z28)</f>
        <v>0</v>
      </c>
      <c r="AN28" s="31">
        <f>SUM($T28:AA28)</f>
        <v>7</v>
      </c>
      <c r="AO28" s="31">
        <f>SUM($T28:AB28)</f>
        <v>7</v>
      </c>
      <c r="AP28" s="31">
        <f>SUM($T28:AC28)</f>
        <v>7</v>
      </c>
      <c r="AQ28" s="31">
        <f>SUM($T28:AD28)</f>
        <v>7</v>
      </c>
      <c r="AR28" s="31">
        <f>SUM($T28:AE28)</f>
        <v>7</v>
      </c>
      <c r="AS28" s="27">
        <f t="shared" si="15"/>
        <v>0</v>
      </c>
    </row>
    <row r="29" spans="2:45">
      <c r="B29" s="156">
        <f>IF(ROW()-6&gt;NumCostCenter,"",IF(CostCenter&lt;&gt;"ALL",CostCenter,DATA_LF2!B27))</f>
        <v>1511</v>
      </c>
      <c r="C29" s="153">
        <f>IF($B29&lt;&gt;"",INDEX(DataOB[],FirstRow+ROW()-7,2),"")</f>
        <v>1511</v>
      </c>
      <c r="D29" s="157" t="str">
        <f>IF($B29&lt;&gt;"",INDEX(DataOB[],FirstRow+ROW()-7,3),"")</f>
        <v>TBD</v>
      </c>
      <c r="E29" s="158">
        <f>IF($B29&lt;&gt;"",INDEX(DataOB[],FirstRow+ROW()-7,6),"")</f>
        <v>0</v>
      </c>
      <c r="F29" s="158" t="str">
        <f>IF($B29&lt;&gt;"",INDEX(DataOB[],FirstRow+ROW()-7,5),"")</f>
        <v>New firewall system for Internet Y24</v>
      </c>
      <c r="G29" s="58">
        <f>IF($B29&lt;&gt;"",SUMIFS(DataAct_tbl[AMOUNT],DataAct_tbl[BG CODE],Detail!$D29,DataAct_tbl[MONTH],LEFT(MonthName,3),DataAct_tbl[Dept code],$B29),0)</f>
        <v>0</v>
      </c>
      <c r="H29" s="31">
        <f t="shared" si="7"/>
        <v>0</v>
      </c>
      <c r="I29" s="28">
        <f t="shared" si="8"/>
        <v>0</v>
      </c>
      <c r="J29" s="32" t="str">
        <f t="shared" si="9"/>
        <v xml:space="preserve"> </v>
      </c>
      <c r="K29" s="86"/>
      <c r="L29" s="62">
        <f>IF($B29&lt;&gt;"",SUMIFS(DataAct_tbl[AMOUNT],DataAct_tbl[BG CODE],Detail!$D29,DataAct_tbl[Check Range],"=true",DataAct_tbl[Dept code],$B29),0)</f>
        <v>0</v>
      </c>
      <c r="M29" s="63">
        <f>INDEX($AG$7:$AR$1005,ROW()-6,MATCH(MTD,$AG$6:$AR$6,0))</f>
        <v>0</v>
      </c>
      <c r="N29" s="34">
        <f t="shared" si="10"/>
        <v>0</v>
      </c>
      <c r="O29" s="64" t="str">
        <f t="shared" si="11"/>
        <v xml:space="preserve"> </v>
      </c>
      <c r="Q29" s="97">
        <f t="shared" si="12"/>
        <v>30</v>
      </c>
      <c r="R29" s="96">
        <f t="shared" si="13"/>
        <v>30</v>
      </c>
      <c r="T29" s="67">
        <f>IF($B29&lt;&gt;"",INDEX(DataOB[],FirstRow+ROW()-7,MATCH(T$6,DataOB[#Headers],0)),"")</f>
        <v>0</v>
      </c>
      <c r="U29" s="67">
        <f>IF($B29&lt;&gt;"",INDEX(DataOB[],FirstRow+ROW()-7,MATCH(U$6,DataOB[#Headers],0)),"")</f>
        <v>0</v>
      </c>
      <c r="V29" s="67">
        <f>IF($B29&lt;&gt;"",INDEX(DataOB[],FirstRow+ROW()-7,MATCH(V$6,DataOB[#Headers],0)),"")</f>
        <v>0</v>
      </c>
      <c r="W29" s="67">
        <f>IF($B29&lt;&gt;"",INDEX(DataOB[],FirstRow+ROW()-7,MATCH(W$6,DataOB[#Headers],0)),"")</f>
        <v>0</v>
      </c>
      <c r="X29" s="67">
        <f>IF($B29&lt;&gt;"",INDEX(DataOB[],FirstRow+ROW()-7,MATCH(X$6,DataOB[#Headers],0)),"")</f>
        <v>0</v>
      </c>
      <c r="Y29" s="67">
        <f>IF($B29&lt;&gt;"",INDEX(DataOB[],FirstRow+ROW()-7,MATCH(Y$6,DataOB[#Headers],0)),"")</f>
        <v>0</v>
      </c>
      <c r="Z29" s="67">
        <f>IF($B29&lt;&gt;"",INDEX(DataOB[],FirstRow+ROW()-7,MATCH(Z$6,DataOB[#Headers],0)),"")</f>
        <v>0</v>
      </c>
      <c r="AA29" s="67">
        <f>IF($B29&lt;&gt;"",INDEX(DataOB[],FirstRow+ROW()-7,MATCH(AA$6,DataOB[#Headers],0)),"")</f>
        <v>0</v>
      </c>
      <c r="AB29" s="67">
        <f>IF($B29&lt;&gt;"",INDEX(DataOB[],FirstRow+ROW()-7,MATCH(AB$6,DataOB[#Headers],0)),"")</f>
        <v>30</v>
      </c>
      <c r="AC29" s="67">
        <f>IF($B29&lt;&gt;"",INDEX(DataOB[],FirstRow+ROW()-7,MATCH(AC$6,DataOB[#Headers],0)),"")</f>
        <v>0</v>
      </c>
      <c r="AD29" s="67">
        <f>IF($B29&lt;&gt;"",INDEX(DataOB[],FirstRow+ROW()-7,MATCH(AD$6,DataOB[#Headers],0)),"")</f>
        <v>0</v>
      </c>
      <c r="AE29" s="67">
        <f>IF($B29&lt;&gt;"",INDEX(DataOB[],FirstRow+ROW()-7,MATCH(AE$6,DataOB[#Headers],0)),"")</f>
        <v>0</v>
      </c>
      <c r="AF29" s="26">
        <f t="shared" si="14"/>
        <v>30</v>
      </c>
      <c r="AG29" s="31">
        <f>SUM($T29:T29)</f>
        <v>0</v>
      </c>
      <c r="AH29" s="31">
        <f>SUM($T29:U29)</f>
        <v>0</v>
      </c>
      <c r="AI29" s="31">
        <f>SUM($T29:V29)</f>
        <v>0</v>
      </c>
      <c r="AJ29" s="31">
        <f>SUM($T29:W29)</f>
        <v>0</v>
      </c>
      <c r="AK29" s="31">
        <f>SUM($T29:X29)</f>
        <v>0</v>
      </c>
      <c r="AL29" s="31">
        <f>SUM($T29:Y29)</f>
        <v>0</v>
      </c>
      <c r="AM29" s="31">
        <f>SUM($T29:Z29)</f>
        <v>0</v>
      </c>
      <c r="AN29" s="31">
        <f>SUM($T29:AA29)</f>
        <v>0</v>
      </c>
      <c r="AO29" s="31">
        <f>SUM($T29:AB29)</f>
        <v>30</v>
      </c>
      <c r="AP29" s="31">
        <f>SUM($T29:AC29)</f>
        <v>30</v>
      </c>
      <c r="AQ29" s="31">
        <f>SUM($T29:AD29)</f>
        <v>30</v>
      </c>
      <c r="AR29" s="31">
        <f>SUM($T29:AE29)</f>
        <v>30</v>
      </c>
      <c r="AS29" s="27">
        <f t="shared" si="15"/>
        <v>0</v>
      </c>
    </row>
    <row r="30" spans="2:45">
      <c r="B30" s="156">
        <f>IF(ROW()-6&gt;NumCostCenter,"",IF(CostCenter&lt;&gt;"ALL",CostCenter,DATA_LF2!B28))</f>
        <v>1511</v>
      </c>
      <c r="C30" s="153">
        <f>IF($B30&lt;&gt;"",INDEX(DataOB[],FirstRow+ROW()-7,2),"")</f>
        <v>1511</v>
      </c>
      <c r="D30" s="157" t="str">
        <f>IF($B30&lt;&gt;"",INDEX(DataOB[],FirstRow+ROW()-7,3),"")</f>
        <v>TBD</v>
      </c>
      <c r="E30" s="158">
        <f>IF($B30&lt;&gt;"",INDEX(DataOB[],FirstRow+ROW()-7,6),"")</f>
        <v>0</v>
      </c>
      <c r="F30" s="158" t="str">
        <f>IF($B30&lt;&gt;"",INDEX(DataOB[],FirstRow+ROW()-7,5),"")</f>
        <v>Upgrade Camera System (QACam-Pro1; Security Cam) Y24</v>
      </c>
      <c r="G30" s="58">
        <f>IF($B30&lt;&gt;"",SUMIFS(DataAct_tbl[AMOUNT],DataAct_tbl[BG CODE],Detail!$D30,DataAct_tbl[MONTH],LEFT(MonthName,3),DataAct_tbl[Dept code],$B30),0)</f>
        <v>0</v>
      </c>
      <c r="H30" s="31">
        <f t="shared" si="7"/>
        <v>0</v>
      </c>
      <c r="I30" s="28">
        <f t="shared" si="8"/>
        <v>0</v>
      </c>
      <c r="J30" s="32" t="str">
        <f t="shared" si="9"/>
        <v xml:space="preserve"> </v>
      </c>
      <c r="K30" s="86"/>
      <c r="L30" s="62">
        <f>IF($B30&lt;&gt;"",SUMIFS(DataAct_tbl[AMOUNT],DataAct_tbl[BG CODE],Detail!$D30,DataAct_tbl[Check Range],"=true",DataAct_tbl[Dept code],$B30),0)</f>
        <v>0</v>
      </c>
      <c r="M30" s="63">
        <f>INDEX($AG$7:$AR$1005,ROW()-6,MATCH(MTD,$AG$6:$AR$6,0))</f>
        <v>0</v>
      </c>
      <c r="N30" s="34">
        <f t="shared" si="10"/>
        <v>0</v>
      </c>
      <c r="O30" s="64" t="str">
        <f t="shared" si="11"/>
        <v xml:space="preserve"> </v>
      </c>
      <c r="Q30" s="97">
        <f t="shared" si="12"/>
        <v>150</v>
      </c>
      <c r="R30" s="96">
        <f t="shared" si="13"/>
        <v>150</v>
      </c>
      <c r="T30" s="67">
        <f>IF($B30&lt;&gt;"",INDEX(DataOB[],FirstRow+ROW()-7,MATCH(T$6,DataOB[#Headers],0)),"")</f>
        <v>0</v>
      </c>
      <c r="U30" s="67">
        <f>IF($B30&lt;&gt;"",INDEX(DataOB[],FirstRow+ROW()-7,MATCH(U$6,DataOB[#Headers],0)),"")</f>
        <v>0</v>
      </c>
      <c r="V30" s="67">
        <f>IF($B30&lt;&gt;"",INDEX(DataOB[],FirstRow+ROW()-7,MATCH(V$6,DataOB[#Headers],0)),"")</f>
        <v>0</v>
      </c>
      <c r="W30" s="67">
        <f>IF($B30&lt;&gt;"",INDEX(DataOB[],FirstRow+ROW()-7,MATCH(W$6,DataOB[#Headers],0)),"")</f>
        <v>0</v>
      </c>
      <c r="X30" s="67">
        <f>IF($B30&lt;&gt;"",INDEX(DataOB[],FirstRow+ROW()-7,MATCH(X$6,DataOB[#Headers],0)),"")</f>
        <v>0</v>
      </c>
      <c r="Y30" s="67">
        <f>IF($B30&lt;&gt;"",INDEX(DataOB[],FirstRow+ROW()-7,MATCH(Y$6,DataOB[#Headers],0)),"")</f>
        <v>0</v>
      </c>
      <c r="Z30" s="67">
        <f>IF($B30&lt;&gt;"",INDEX(DataOB[],FirstRow+ROW()-7,MATCH(Z$6,DataOB[#Headers],0)),"")</f>
        <v>0</v>
      </c>
      <c r="AA30" s="67">
        <f>IF($B30&lt;&gt;"",INDEX(DataOB[],FirstRow+ROW()-7,MATCH(AA$6,DataOB[#Headers],0)),"")</f>
        <v>0</v>
      </c>
      <c r="AB30" s="67">
        <f>IF($B30&lt;&gt;"",INDEX(DataOB[],FirstRow+ROW()-7,MATCH(AB$6,DataOB[#Headers],0)),"")</f>
        <v>0</v>
      </c>
      <c r="AC30" s="67">
        <f>IF($B30&lt;&gt;"",INDEX(DataOB[],FirstRow+ROW()-7,MATCH(AC$6,DataOB[#Headers],0)),"")</f>
        <v>0</v>
      </c>
      <c r="AD30" s="67">
        <f>IF($B30&lt;&gt;"",INDEX(DataOB[],FirstRow+ROW()-7,MATCH(AD$6,DataOB[#Headers],0)),"")</f>
        <v>0</v>
      </c>
      <c r="AE30" s="67">
        <f>IF($B30&lt;&gt;"",INDEX(DataOB[],FirstRow+ROW()-7,MATCH(AE$6,DataOB[#Headers],0)),"")</f>
        <v>150</v>
      </c>
      <c r="AF30" s="26">
        <f t="shared" si="14"/>
        <v>150</v>
      </c>
      <c r="AG30" s="31">
        <f>SUM($T30:T30)</f>
        <v>0</v>
      </c>
      <c r="AH30" s="31">
        <f>SUM($T30:U30)</f>
        <v>0</v>
      </c>
      <c r="AI30" s="31">
        <f>SUM($T30:V30)</f>
        <v>0</v>
      </c>
      <c r="AJ30" s="31">
        <f>SUM($T30:W30)</f>
        <v>0</v>
      </c>
      <c r="AK30" s="31">
        <f>SUM($T30:X30)</f>
        <v>0</v>
      </c>
      <c r="AL30" s="31">
        <f>SUM($T30:Y30)</f>
        <v>0</v>
      </c>
      <c r="AM30" s="31">
        <f>SUM($T30:Z30)</f>
        <v>0</v>
      </c>
      <c r="AN30" s="31">
        <f>SUM($T30:AA30)</f>
        <v>0</v>
      </c>
      <c r="AO30" s="31">
        <f>SUM($T30:AB30)</f>
        <v>0</v>
      </c>
      <c r="AP30" s="31">
        <f>SUM($T30:AC30)</f>
        <v>0</v>
      </c>
      <c r="AQ30" s="31">
        <f>SUM($T30:AD30)</f>
        <v>0</v>
      </c>
      <c r="AR30" s="31">
        <f>SUM($T30:AE30)</f>
        <v>150</v>
      </c>
      <c r="AS30" s="27">
        <f t="shared" si="15"/>
        <v>0</v>
      </c>
    </row>
    <row r="31" spans="2:45">
      <c r="B31" s="156">
        <f>IF(ROW()-6&gt;NumCostCenter,"",IF(CostCenter&lt;&gt;"ALL",CostCenter,DATA_LF2!B29))</f>
        <v>1511</v>
      </c>
      <c r="C31" s="153">
        <f>IF($B31&lt;&gt;"",INDEX(DataOB[],FirstRow+ROW()-7,2),"")</f>
        <v>1511</v>
      </c>
      <c r="D31" s="157" t="str">
        <f>IF($B31&lt;&gt;"",INDEX(DataOB[],FirstRow+ROW()-7,3),"")</f>
        <v>TBD</v>
      </c>
      <c r="E31" s="158">
        <f>IF($B31&lt;&gt;"",INDEX(DataOB[],FirstRow+ROW()-7,6),"")</f>
        <v>0</v>
      </c>
      <c r="F31" s="158" t="str">
        <f>IF($B31&lt;&gt;"",INDEX(DataOB[],FirstRow+ROW()-7,5),"")</f>
        <v>Nagios XI Licence Y24</v>
      </c>
      <c r="G31" s="58">
        <f>IF($B31&lt;&gt;"",SUMIFS(DataAct_tbl[AMOUNT],DataAct_tbl[BG CODE],Detail!$D31,DataAct_tbl[MONTH],LEFT(MonthName,3),DataAct_tbl[Dept code],$B31),0)</f>
        <v>0</v>
      </c>
      <c r="H31" s="31">
        <f t="shared" si="7"/>
        <v>0</v>
      </c>
      <c r="I31" s="28">
        <f t="shared" si="8"/>
        <v>0</v>
      </c>
      <c r="J31" s="32" t="str">
        <f t="shared" si="9"/>
        <v xml:space="preserve"> </v>
      </c>
      <c r="K31" s="86"/>
      <c r="L31" s="62">
        <f>IF($B31&lt;&gt;"",SUMIFS(DataAct_tbl[AMOUNT],DataAct_tbl[BG CODE],Detail!$D31,DataAct_tbl[Check Range],"=true",DataAct_tbl[Dept code],$B31),0)</f>
        <v>0</v>
      </c>
      <c r="M31" s="63">
        <f>INDEX($AG$7:$AR$1005,ROW()-6,MATCH(MTD,$AG$6:$AR$6,0))</f>
        <v>0</v>
      </c>
      <c r="N31" s="34">
        <f t="shared" si="10"/>
        <v>0</v>
      </c>
      <c r="O31" s="64" t="str">
        <f t="shared" si="11"/>
        <v xml:space="preserve"> </v>
      </c>
      <c r="Q31" s="97">
        <f t="shared" si="12"/>
        <v>0</v>
      </c>
      <c r="R31" s="96">
        <f t="shared" si="13"/>
        <v>0</v>
      </c>
      <c r="T31" s="67">
        <f>IF($B31&lt;&gt;"",INDEX(DataOB[],FirstRow+ROW()-7,MATCH(T$6,DataOB[#Headers],0)),"")</f>
        <v>0</v>
      </c>
      <c r="U31" s="67">
        <f>IF($B31&lt;&gt;"",INDEX(DataOB[],FirstRow+ROW()-7,MATCH(U$6,DataOB[#Headers],0)),"")</f>
        <v>0</v>
      </c>
      <c r="V31" s="67">
        <f>IF($B31&lt;&gt;"",INDEX(DataOB[],FirstRow+ROW()-7,MATCH(V$6,DataOB[#Headers],0)),"")</f>
        <v>0</v>
      </c>
      <c r="W31" s="67">
        <f>IF($B31&lt;&gt;"",INDEX(DataOB[],FirstRow+ROW()-7,MATCH(W$6,DataOB[#Headers],0)),"")</f>
        <v>0</v>
      </c>
      <c r="X31" s="67">
        <f>IF($B31&lt;&gt;"",INDEX(DataOB[],FirstRow+ROW()-7,MATCH(X$6,DataOB[#Headers],0)),"")</f>
        <v>0</v>
      </c>
      <c r="Y31" s="67">
        <f>IF($B31&lt;&gt;"",INDEX(DataOB[],FirstRow+ROW()-7,MATCH(Y$6,DataOB[#Headers],0)),"")</f>
        <v>0</v>
      </c>
      <c r="Z31" s="67">
        <f>IF($B31&lt;&gt;"",INDEX(DataOB[],FirstRow+ROW()-7,MATCH(Z$6,DataOB[#Headers],0)),"")</f>
        <v>0</v>
      </c>
      <c r="AA31" s="67">
        <f>IF($B31&lt;&gt;"",INDEX(DataOB[],FirstRow+ROW()-7,MATCH(AA$6,DataOB[#Headers],0)),"")</f>
        <v>0</v>
      </c>
      <c r="AB31" s="67">
        <f>IF($B31&lt;&gt;"",INDEX(DataOB[],FirstRow+ROW()-7,MATCH(AB$6,DataOB[#Headers],0)),"")</f>
        <v>0</v>
      </c>
      <c r="AC31" s="67">
        <f>IF($B31&lt;&gt;"",INDEX(DataOB[],FirstRow+ROW()-7,MATCH(AC$6,DataOB[#Headers],0)),"")</f>
        <v>0</v>
      </c>
      <c r="AD31" s="67">
        <f>IF($B31&lt;&gt;"",INDEX(DataOB[],FirstRow+ROW()-7,MATCH(AD$6,DataOB[#Headers],0)),"")</f>
        <v>0</v>
      </c>
      <c r="AE31" s="67">
        <f>IF($B31&lt;&gt;"",INDEX(DataOB[],FirstRow+ROW()-7,MATCH(AE$6,DataOB[#Headers],0)),"")</f>
        <v>0</v>
      </c>
      <c r="AF31" s="26">
        <f t="shared" si="14"/>
        <v>0</v>
      </c>
      <c r="AG31" s="31">
        <f>SUM($T31:T31)</f>
        <v>0</v>
      </c>
      <c r="AH31" s="31">
        <f>SUM($T31:U31)</f>
        <v>0</v>
      </c>
      <c r="AI31" s="31">
        <f>SUM($T31:V31)</f>
        <v>0</v>
      </c>
      <c r="AJ31" s="31">
        <f>SUM($T31:W31)</f>
        <v>0</v>
      </c>
      <c r="AK31" s="31">
        <f>SUM($T31:X31)</f>
        <v>0</v>
      </c>
      <c r="AL31" s="31">
        <f>SUM($T31:Y31)</f>
        <v>0</v>
      </c>
      <c r="AM31" s="31">
        <f>SUM($T31:Z31)</f>
        <v>0</v>
      </c>
      <c r="AN31" s="31">
        <f>SUM($T31:AA31)</f>
        <v>0</v>
      </c>
      <c r="AO31" s="31">
        <f>SUM($T31:AB31)</f>
        <v>0</v>
      </c>
      <c r="AP31" s="31">
        <f>SUM($T31:AC31)</f>
        <v>0</v>
      </c>
      <c r="AQ31" s="31">
        <f>SUM($T31:AD31)</f>
        <v>0</v>
      </c>
      <c r="AR31" s="31">
        <f>SUM($T31:AE31)</f>
        <v>0</v>
      </c>
      <c r="AS31" s="27">
        <f t="shared" si="15"/>
        <v>0</v>
      </c>
    </row>
    <row r="32" spans="2:45">
      <c r="B32" s="156">
        <f>IF(ROW()-6&gt;NumCostCenter,"",IF(CostCenter&lt;&gt;"ALL",CostCenter,DATA_LF2!B30))</f>
        <v>1511</v>
      </c>
      <c r="C32" s="153">
        <f>IF($B32&lt;&gt;"",INDEX(DataOB[],FirstRow+ROW()-7,2),"")</f>
        <v>1511</v>
      </c>
      <c r="D32" s="157" t="str">
        <f>IF($B32&lt;&gt;"",INDEX(DataOB[],FirstRow+ROW()-7,3),"")</f>
        <v>TBD</v>
      </c>
      <c r="E32" s="158">
        <f>IF($B32&lt;&gt;"",INDEX(DataOB[],FirstRow+ROW()-7,6),"")</f>
        <v>0</v>
      </c>
      <c r="F32" s="158" t="str">
        <f>IF($B32&lt;&gt;"",INDEX(DataOB[],FirstRow+ROW()-7,5),"")</f>
        <v>Upgrade vCenter &amp; vSphere (ESX system) Y24</v>
      </c>
      <c r="G32" s="58">
        <f>IF($B32&lt;&gt;"",SUMIFS(DataAct_tbl[AMOUNT],DataAct_tbl[BG CODE],Detail!$D32,DataAct_tbl[MONTH],LEFT(MonthName,3),DataAct_tbl[Dept code],$B32),0)</f>
        <v>0</v>
      </c>
      <c r="H32" s="31">
        <f t="shared" si="7"/>
        <v>0</v>
      </c>
      <c r="I32" s="28">
        <f t="shared" si="8"/>
        <v>0</v>
      </c>
      <c r="J32" s="32" t="str">
        <f t="shared" si="9"/>
        <v xml:space="preserve"> </v>
      </c>
      <c r="K32" s="86"/>
      <c r="L32" s="62">
        <f>IF($B32&lt;&gt;"",SUMIFS(DataAct_tbl[AMOUNT],DataAct_tbl[BG CODE],Detail!$D32,DataAct_tbl[Check Range],"=true",DataAct_tbl[Dept code],$B32),0)</f>
        <v>0</v>
      </c>
      <c r="M32" s="63">
        <f>INDEX($AG$7:$AR$1005,ROW()-6,MATCH(MTD,$AG$6:$AR$6,0))</f>
        <v>0</v>
      </c>
      <c r="N32" s="34">
        <f t="shared" si="10"/>
        <v>0</v>
      </c>
      <c r="O32" s="64" t="str">
        <f t="shared" si="11"/>
        <v xml:space="preserve"> </v>
      </c>
      <c r="Q32" s="97">
        <f t="shared" si="12"/>
        <v>0</v>
      </c>
      <c r="R32" s="96">
        <f t="shared" si="13"/>
        <v>0</v>
      </c>
      <c r="T32" s="67">
        <f>IF($B32&lt;&gt;"",INDEX(DataOB[],FirstRow+ROW()-7,MATCH(T$6,DataOB[#Headers],0)),"")</f>
        <v>0</v>
      </c>
      <c r="U32" s="67">
        <f>IF($B32&lt;&gt;"",INDEX(DataOB[],FirstRow+ROW()-7,MATCH(U$6,DataOB[#Headers],0)),"")</f>
        <v>0</v>
      </c>
      <c r="V32" s="67">
        <f>IF($B32&lt;&gt;"",INDEX(DataOB[],FirstRow+ROW()-7,MATCH(V$6,DataOB[#Headers],0)),"")</f>
        <v>0</v>
      </c>
      <c r="W32" s="67">
        <f>IF($B32&lt;&gt;"",INDEX(DataOB[],FirstRow+ROW()-7,MATCH(W$6,DataOB[#Headers],0)),"")</f>
        <v>0</v>
      </c>
      <c r="X32" s="67">
        <f>IF($B32&lt;&gt;"",INDEX(DataOB[],FirstRow+ROW()-7,MATCH(X$6,DataOB[#Headers],0)),"")</f>
        <v>0</v>
      </c>
      <c r="Y32" s="67">
        <f>IF($B32&lt;&gt;"",INDEX(DataOB[],FirstRow+ROW()-7,MATCH(Y$6,DataOB[#Headers],0)),"")</f>
        <v>0</v>
      </c>
      <c r="Z32" s="67">
        <f>IF($B32&lt;&gt;"",INDEX(DataOB[],FirstRow+ROW()-7,MATCH(Z$6,DataOB[#Headers],0)),"")</f>
        <v>0</v>
      </c>
      <c r="AA32" s="67">
        <f>IF($B32&lt;&gt;"",INDEX(DataOB[],FirstRow+ROW()-7,MATCH(AA$6,DataOB[#Headers],0)),"")</f>
        <v>0</v>
      </c>
      <c r="AB32" s="67">
        <f>IF($B32&lt;&gt;"",INDEX(DataOB[],FirstRow+ROW()-7,MATCH(AB$6,DataOB[#Headers],0)),"")</f>
        <v>0</v>
      </c>
      <c r="AC32" s="67">
        <f>IF($B32&lt;&gt;"",INDEX(DataOB[],FirstRow+ROW()-7,MATCH(AC$6,DataOB[#Headers],0)),"")</f>
        <v>0</v>
      </c>
      <c r="AD32" s="67">
        <f>IF($B32&lt;&gt;"",INDEX(DataOB[],FirstRow+ROW()-7,MATCH(AD$6,DataOB[#Headers],0)),"")</f>
        <v>0</v>
      </c>
      <c r="AE32" s="67">
        <f>IF($B32&lt;&gt;"",INDEX(DataOB[],FirstRow+ROW()-7,MATCH(AE$6,DataOB[#Headers],0)),"")</f>
        <v>0</v>
      </c>
      <c r="AF32" s="26">
        <f t="shared" si="14"/>
        <v>0</v>
      </c>
      <c r="AG32" s="31">
        <f>SUM($T32:T32)</f>
        <v>0</v>
      </c>
      <c r="AH32" s="31">
        <f>SUM($T32:U32)</f>
        <v>0</v>
      </c>
      <c r="AI32" s="31">
        <f>SUM($T32:V32)</f>
        <v>0</v>
      </c>
      <c r="AJ32" s="31">
        <f>SUM($T32:W32)</f>
        <v>0</v>
      </c>
      <c r="AK32" s="31">
        <f>SUM($T32:X32)</f>
        <v>0</v>
      </c>
      <c r="AL32" s="31">
        <f>SUM($T32:Y32)</f>
        <v>0</v>
      </c>
      <c r="AM32" s="31">
        <f>SUM($T32:Z32)</f>
        <v>0</v>
      </c>
      <c r="AN32" s="31">
        <f>SUM($T32:AA32)</f>
        <v>0</v>
      </c>
      <c r="AO32" s="31">
        <f>SUM($T32:AB32)</f>
        <v>0</v>
      </c>
      <c r="AP32" s="31">
        <f>SUM($T32:AC32)</f>
        <v>0</v>
      </c>
      <c r="AQ32" s="31">
        <f>SUM($T32:AD32)</f>
        <v>0</v>
      </c>
      <c r="AR32" s="31">
        <f>SUM($T32:AE32)</f>
        <v>0</v>
      </c>
      <c r="AS32" s="27">
        <f t="shared" si="15"/>
        <v>0</v>
      </c>
    </row>
    <row r="33" spans="1:45">
      <c r="B33" s="156">
        <f>IF(ROW()-6&gt;NumCostCenter,"",IF(CostCenter&lt;&gt;"ALL",CostCenter,DATA_LF2!B31))</f>
        <v>1511</v>
      </c>
      <c r="C33" s="153">
        <f>IF($B33&lt;&gt;"",INDEX(DataOB[],FirstRow+ROW()-7,2),"")</f>
        <v>1511</v>
      </c>
      <c r="D33" s="157" t="str">
        <f>IF($B33&lt;&gt;"",INDEX(DataOB[],FirstRow+ROW()-7,3),"")</f>
        <v>TBD</v>
      </c>
      <c r="E33" s="158">
        <f>IF($B33&lt;&gt;"",INDEX(DataOB[],FirstRow+ROW()-7,6),"")</f>
        <v>0</v>
      </c>
      <c r="F33" s="158" t="str">
        <f>IF($B33&lt;&gt;"",INDEX(DataOB[],FirstRow+ROW()-7,5),"")</f>
        <v>Infrastructure Upgrade (@datalake) Y24</v>
      </c>
      <c r="G33" s="58">
        <f>IF($B33&lt;&gt;"",SUMIFS(DataAct_tbl[AMOUNT],DataAct_tbl[BG CODE],Detail!$D33,DataAct_tbl[MONTH],LEFT(MonthName,3),DataAct_tbl[Dept code],$B33),0)</f>
        <v>0</v>
      </c>
      <c r="H33" s="31">
        <f t="shared" si="7"/>
        <v>0</v>
      </c>
      <c r="I33" s="28">
        <f t="shared" si="8"/>
        <v>0</v>
      </c>
      <c r="J33" s="32" t="str">
        <f t="shared" si="9"/>
        <v xml:space="preserve"> </v>
      </c>
      <c r="K33" s="86"/>
      <c r="L33" s="62">
        <f>IF($B33&lt;&gt;"",SUMIFS(DataAct_tbl[AMOUNT],DataAct_tbl[BG CODE],Detail!$D33,DataAct_tbl[Check Range],"=true",DataAct_tbl[Dept code],$B33),0)</f>
        <v>0</v>
      </c>
      <c r="M33" s="63">
        <f>INDEX($AG$7:$AR$1005,ROW()-6,MATCH(MTD,$AG$6:$AR$6,0))</f>
        <v>0</v>
      </c>
      <c r="N33" s="34">
        <f t="shared" si="10"/>
        <v>0</v>
      </c>
      <c r="O33" s="64" t="str">
        <f t="shared" si="11"/>
        <v xml:space="preserve"> </v>
      </c>
      <c r="Q33" s="97">
        <f t="shared" si="12"/>
        <v>105.5</v>
      </c>
      <c r="R33" s="96">
        <f t="shared" si="13"/>
        <v>105.5</v>
      </c>
      <c r="T33" s="67">
        <f>IF($B33&lt;&gt;"",INDEX(DataOB[],FirstRow+ROW()-7,MATCH(T$6,DataOB[#Headers],0)),"")</f>
        <v>0</v>
      </c>
      <c r="U33" s="67">
        <f>IF($B33&lt;&gt;"",INDEX(DataOB[],FirstRow+ROW()-7,MATCH(U$6,DataOB[#Headers],0)),"")</f>
        <v>0</v>
      </c>
      <c r="V33" s="67">
        <f>IF($B33&lt;&gt;"",INDEX(DataOB[],FirstRow+ROW()-7,MATCH(V$6,DataOB[#Headers],0)),"")</f>
        <v>0</v>
      </c>
      <c r="W33" s="67">
        <f>IF($B33&lt;&gt;"",INDEX(DataOB[],FirstRow+ROW()-7,MATCH(W$6,DataOB[#Headers],0)),"")</f>
        <v>0</v>
      </c>
      <c r="X33" s="67">
        <f>IF($B33&lt;&gt;"",INDEX(DataOB[],FirstRow+ROW()-7,MATCH(X$6,DataOB[#Headers],0)),"")</f>
        <v>0</v>
      </c>
      <c r="Y33" s="67">
        <f>IF($B33&lt;&gt;"",INDEX(DataOB[],FirstRow+ROW()-7,MATCH(Y$6,DataOB[#Headers],0)),"")</f>
        <v>0</v>
      </c>
      <c r="Z33" s="67">
        <f>IF($B33&lt;&gt;"",INDEX(DataOB[],FirstRow+ROW()-7,MATCH(Z$6,DataOB[#Headers],0)),"")</f>
        <v>0</v>
      </c>
      <c r="AA33" s="67">
        <f>IF($B33&lt;&gt;"",INDEX(DataOB[],FirstRow+ROW()-7,MATCH(AA$6,DataOB[#Headers],0)),"")</f>
        <v>0</v>
      </c>
      <c r="AB33" s="67">
        <f>IF($B33&lt;&gt;"",INDEX(DataOB[],FirstRow+ROW()-7,MATCH(AB$6,DataOB[#Headers],0)),"")</f>
        <v>0</v>
      </c>
      <c r="AC33" s="67">
        <f>IF($B33&lt;&gt;"",INDEX(DataOB[],FirstRow+ROW()-7,MATCH(AC$6,DataOB[#Headers],0)),"")</f>
        <v>0</v>
      </c>
      <c r="AD33" s="67">
        <f>IF($B33&lt;&gt;"",INDEX(DataOB[],FirstRow+ROW()-7,MATCH(AD$6,DataOB[#Headers],0)),"")</f>
        <v>0</v>
      </c>
      <c r="AE33" s="67">
        <f>IF($B33&lt;&gt;"",INDEX(DataOB[],FirstRow+ROW()-7,MATCH(AE$6,DataOB[#Headers],0)),"")</f>
        <v>105.5</v>
      </c>
      <c r="AF33" s="26">
        <f t="shared" si="14"/>
        <v>105.5</v>
      </c>
      <c r="AG33" s="31">
        <f>SUM($T33:T33)</f>
        <v>0</v>
      </c>
      <c r="AH33" s="31">
        <f>SUM($T33:U33)</f>
        <v>0</v>
      </c>
      <c r="AI33" s="31">
        <f>SUM($T33:V33)</f>
        <v>0</v>
      </c>
      <c r="AJ33" s="31">
        <f>SUM($T33:W33)</f>
        <v>0</v>
      </c>
      <c r="AK33" s="31">
        <f>SUM($T33:X33)</f>
        <v>0</v>
      </c>
      <c r="AL33" s="31">
        <f>SUM($T33:Y33)</f>
        <v>0</v>
      </c>
      <c r="AM33" s="31">
        <f>SUM($T33:Z33)</f>
        <v>0</v>
      </c>
      <c r="AN33" s="31">
        <f>SUM($T33:AA33)</f>
        <v>0</v>
      </c>
      <c r="AO33" s="31">
        <f>SUM($T33:AB33)</f>
        <v>0</v>
      </c>
      <c r="AP33" s="31">
        <f>SUM($T33:AC33)</f>
        <v>0</v>
      </c>
      <c r="AQ33" s="31">
        <f>SUM($T33:AD33)</f>
        <v>0</v>
      </c>
      <c r="AR33" s="31">
        <f>SUM($T33:AE33)</f>
        <v>105.5</v>
      </c>
      <c r="AS33" s="27">
        <f t="shared" si="15"/>
        <v>0</v>
      </c>
    </row>
    <row r="34" spans="1:45">
      <c r="B34" s="156">
        <f>IF(ROW()-6&gt;NumCostCenter,"",IF(CostCenter&lt;&gt;"ALL",CostCenter,DATA_LF2!B32))</f>
        <v>1511</v>
      </c>
      <c r="C34" s="153">
        <f>IF($B34&lt;&gt;"",INDEX(DataOB[],FirstRow+ROW()-7,2),"")</f>
        <v>1511</v>
      </c>
      <c r="D34" s="157" t="str">
        <f>IF($B34&lt;&gt;"",INDEX(DataOB[],FirstRow+ROW()-7,3),"")</f>
        <v>TBD</v>
      </c>
      <c r="E34" s="158">
        <f>IF($B34&lt;&gt;"",INDEX(DataOB[],FirstRow+ROW()-7,6),"")</f>
        <v>0</v>
      </c>
      <c r="F34" s="158" t="str">
        <f>IF($B34&lt;&gt;"",INDEX(DataOB[],FirstRow+ROW()-7,5),"")</f>
        <v>Wifi system upgrade Y24</v>
      </c>
      <c r="G34" s="58">
        <f>IF($B34&lt;&gt;"",SUMIFS(DataAct_tbl[AMOUNT],DataAct_tbl[BG CODE],Detail!$D34,DataAct_tbl[MONTH],LEFT(MonthName,3),DataAct_tbl[Dept code],$B34),0)</f>
        <v>0</v>
      </c>
      <c r="H34" s="31">
        <f t="shared" si="7"/>
        <v>0</v>
      </c>
      <c r="I34" s="28">
        <f t="shared" si="8"/>
        <v>0</v>
      </c>
      <c r="J34" s="32" t="str">
        <f t="shared" si="9"/>
        <v xml:space="preserve"> </v>
      </c>
      <c r="K34" s="86"/>
      <c r="L34" s="62">
        <f>IF($B34&lt;&gt;"",SUMIFS(DataAct_tbl[AMOUNT],DataAct_tbl[BG CODE],Detail!$D34,DataAct_tbl[Check Range],"=true",DataAct_tbl[Dept code],$B34),0)</f>
        <v>0</v>
      </c>
      <c r="M34" s="63">
        <f>INDEX($AG$7:$AR$1005,ROW()-6,MATCH(MTD,$AG$6:$AR$6,0))</f>
        <v>0</v>
      </c>
      <c r="N34" s="34">
        <f t="shared" si="10"/>
        <v>0</v>
      </c>
      <c r="O34" s="64" t="str">
        <f t="shared" si="11"/>
        <v xml:space="preserve"> </v>
      </c>
      <c r="Q34" s="97">
        <f t="shared" si="12"/>
        <v>50</v>
      </c>
      <c r="R34" s="96">
        <f t="shared" si="13"/>
        <v>50</v>
      </c>
      <c r="T34" s="67">
        <f>IF($B34&lt;&gt;"",INDEX(DataOB[],FirstRow+ROW()-7,MATCH(T$6,DataOB[#Headers],0)),"")</f>
        <v>0</v>
      </c>
      <c r="U34" s="67">
        <f>IF($B34&lt;&gt;"",INDEX(DataOB[],FirstRow+ROW()-7,MATCH(U$6,DataOB[#Headers],0)),"")</f>
        <v>0</v>
      </c>
      <c r="V34" s="67">
        <f>IF($B34&lt;&gt;"",INDEX(DataOB[],FirstRow+ROW()-7,MATCH(V$6,DataOB[#Headers],0)),"")</f>
        <v>0</v>
      </c>
      <c r="W34" s="67">
        <f>IF($B34&lt;&gt;"",INDEX(DataOB[],FirstRow+ROW()-7,MATCH(W$6,DataOB[#Headers],0)),"")</f>
        <v>0</v>
      </c>
      <c r="X34" s="67">
        <f>IF($B34&lt;&gt;"",INDEX(DataOB[],FirstRow+ROW()-7,MATCH(X$6,DataOB[#Headers],0)),"")</f>
        <v>0</v>
      </c>
      <c r="Y34" s="67">
        <f>IF($B34&lt;&gt;"",INDEX(DataOB[],FirstRow+ROW()-7,MATCH(Y$6,DataOB[#Headers],0)),"")</f>
        <v>0</v>
      </c>
      <c r="Z34" s="67">
        <f>IF($B34&lt;&gt;"",INDEX(DataOB[],FirstRow+ROW()-7,MATCH(Z$6,DataOB[#Headers],0)),"")</f>
        <v>0</v>
      </c>
      <c r="AA34" s="67">
        <f>IF($B34&lt;&gt;"",INDEX(DataOB[],FirstRow+ROW()-7,MATCH(AA$6,DataOB[#Headers],0)),"")</f>
        <v>0</v>
      </c>
      <c r="AB34" s="67">
        <f>IF($B34&lt;&gt;"",INDEX(DataOB[],FirstRow+ROW()-7,MATCH(AB$6,DataOB[#Headers],0)),"")</f>
        <v>0</v>
      </c>
      <c r="AC34" s="67">
        <f>IF($B34&lt;&gt;"",INDEX(DataOB[],FirstRow+ROW()-7,MATCH(AC$6,DataOB[#Headers],0)),"")</f>
        <v>0</v>
      </c>
      <c r="AD34" s="67">
        <f>IF($B34&lt;&gt;"",INDEX(DataOB[],FirstRow+ROW()-7,MATCH(AD$6,DataOB[#Headers],0)),"")</f>
        <v>50</v>
      </c>
      <c r="AE34" s="67">
        <f>IF($B34&lt;&gt;"",INDEX(DataOB[],FirstRow+ROW()-7,MATCH(AE$6,DataOB[#Headers],0)),"")</f>
        <v>0</v>
      </c>
      <c r="AF34" s="26">
        <f t="shared" si="14"/>
        <v>50</v>
      </c>
      <c r="AG34" s="31">
        <f>SUM($T34:T34)</f>
        <v>0</v>
      </c>
      <c r="AH34" s="31">
        <f>SUM($T34:U34)</f>
        <v>0</v>
      </c>
      <c r="AI34" s="31">
        <f>SUM($T34:V34)</f>
        <v>0</v>
      </c>
      <c r="AJ34" s="31">
        <f>SUM($T34:W34)</f>
        <v>0</v>
      </c>
      <c r="AK34" s="31">
        <f>SUM($T34:X34)</f>
        <v>0</v>
      </c>
      <c r="AL34" s="31">
        <f>SUM($T34:Y34)</f>
        <v>0</v>
      </c>
      <c r="AM34" s="31">
        <f>SUM($T34:Z34)</f>
        <v>0</v>
      </c>
      <c r="AN34" s="31">
        <f>SUM($T34:AA34)</f>
        <v>0</v>
      </c>
      <c r="AO34" s="31">
        <f>SUM($T34:AB34)</f>
        <v>0</v>
      </c>
      <c r="AP34" s="31">
        <f>SUM($T34:AC34)</f>
        <v>0</v>
      </c>
      <c r="AQ34" s="31">
        <f>SUM($T34:AD34)</f>
        <v>50</v>
      </c>
      <c r="AR34" s="31">
        <f>SUM($T34:AE34)</f>
        <v>50</v>
      </c>
      <c r="AS34" s="27">
        <f t="shared" si="15"/>
        <v>0</v>
      </c>
    </row>
    <row r="35" spans="1:45">
      <c r="B35" s="156">
        <f>IF(ROW()-6&gt;NumCostCenter,"",IF(CostCenter&lt;&gt;"ALL",CostCenter,DATA_LF2!B33))</f>
        <v>1511</v>
      </c>
      <c r="C35" s="153">
        <f>IF($B35&lt;&gt;"",INDEX(DataOB[],FirstRow+ROW()-7,2),"")</f>
        <v>1511</v>
      </c>
      <c r="D35" s="157" t="str">
        <f>IF($B35&lt;&gt;"",INDEX(DataOB[],FirstRow+ROW()-7,3),"")</f>
        <v>TBD</v>
      </c>
      <c r="E35" s="158">
        <f>IF($B35&lt;&gt;"",INDEX(DataOB[],FirstRow+ROW()-7,6),"")</f>
        <v>0</v>
      </c>
      <c r="F35" s="158" t="str">
        <f>IF($B35&lt;&gt;"",INDEX(DataOB[],FirstRow+ROW()-7,5),"")</f>
        <v>Upgrade network system at Zone G Y24</v>
      </c>
      <c r="G35" s="58">
        <f>IF($B35&lt;&gt;"",SUMIFS(DataAct_tbl[AMOUNT],DataAct_tbl[BG CODE],Detail!$D35,DataAct_tbl[MONTH],LEFT(MonthName,3),DataAct_tbl[Dept code],$B35),0)</f>
        <v>0</v>
      </c>
      <c r="H35" s="31">
        <f t="shared" si="7"/>
        <v>0</v>
      </c>
      <c r="I35" s="28">
        <f t="shared" si="8"/>
        <v>0</v>
      </c>
      <c r="J35" s="32" t="str">
        <f t="shared" si="9"/>
        <v xml:space="preserve"> </v>
      </c>
      <c r="K35" s="86"/>
      <c r="L35" s="62">
        <f>IF($B35&lt;&gt;"",SUMIFS(DataAct_tbl[AMOUNT],DataAct_tbl[BG CODE],Detail!$D35,DataAct_tbl[Check Range],"=true",DataAct_tbl[Dept code],$B35),0)</f>
        <v>0</v>
      </c>
      <c r="M35" s="63">
        <f>INDEX($AG$7:$AR$1005,ROW()-6,MATCH(MTD,$AG$6:$AR$6,0))</f>
        <v>0</v>
      </c>
      <c r="N35" s="34">
        <f t="shared" si="10"/>
        <v>0</v>
      </c>
      <c r="O35" s="64" t="str">
        <f t="shared" si="11"/>
        <v xml:space="preserve"> </v>
      </c>
      <c r="Q35" s="97">
        <f t="shared" si="12"/>
        <v>0</v>
      </c>
      <c r="R35" s="96">
        <f t="shared" si="13"/>
        <v>0</v>
      </c>
      <c r="T35" s="67">
        <f>IF($B35&lt;&gt;"",INDEX(DataOB[],FirstRow+ROW()-7,MATCH(T$6,DataOB[#Headers],0)),"")</f>
        <v>0</v>
      </c>
      <c r="U35" s="67">
        <f>IF($B35&lt;&gt;"",INDEX(DataOB[],FirstRow+ROW()-7,MATCH(U$6,DataOB[#Headers],0)),"")</f>
        <v>0</v>
      </c>
      <c r="V35" s="67">
        <f>IF($B35&lt;&gt;"",INDEX(DataOB[],FirstRow+ROW()-7,MATCH(V$6,DataOB[#Headers],0)),"")</f>
        <v>0</v>
      </c>
      <c r="W35" s="67">
        <f>IF($B35&lt;&gt;"",INDEX(DataOB[],FirstRow+ROW()-7,MATCH(W$6,DataOB[#Headers],0)),"")</f>
        <v>0</v>
      </c>
      <c r="X35" s="67">
        <f>IF($B35&lt;&gt;"",INDEX(DataOB[],FirstRow+ROW()-7,MATCH(X$6,DataOB[#Headers],0)),"")</f>
        <v>0</v>
      </c>
      <c r="Y35" s="67">
        <f>IF($B35&lt;&gt;"",INDEX(DataOB[],FirstRow+ROW()-7,MATCH(Y$6,DataOB[#Headers],0)),"")</f>
        <v>0</v>
      </c>
      <c r="Z35" s="67">
        <f>IF($B35&lt;&gt;"",INDEX(DataOB[],FirstRow+ROW()-7,MATCH(Z$6,DataOB[#Headers],0)),"")</f>
        <v>0</v>
      </c>
      <c r="AA35" s="67">
        <f>IF($B35&lt;&gt;"",INDEX(DataOB[],FirstRow+ROW()-7,MATCH(AA$6,DataOB[#Headers],0)),"")</f>
        <v>0</v>
      </c>
      <c r="AB35" s="67">
        <f>IF($B35&lt;&gt;"",INDEX(DataOB[],FirstRow+ROW()-7,MATCH(AB$6,DataOB[#Headers],0)),"")</f>
        <v>0</v>
      </c>
      <c r="AC35" s="67">
        <f>IF($B35&lt;&gt;"",INDEX(DataOB[],FirstRow+ROW()-7,MATCH(AC$6,DataOB[#Headers],0)),"")</f>
        <v>0</v>
      </c>
      <c r="AD35" s="67">
        <f>IF($B35&lt;&gt;"",INDEX(DataOB[],FirstRow+ROW()-7,MATCH(AD$6,DataOB[#Headers],0)),"")</f>
        <v>0</v>
      </c>
      <c r="AE35" s="67">
        <f>IF($B35&lt;&gt;"",INDEX(DataOB[],FirstRow+ROW()-7,MATCH(AE$6,DataOB[#Headers],0)),"")</f>
        <v>0</v>
      </c>
      <c r="AF35" s="26">
        <f t="shared" si="14"/>
        <v>0</v>
      </c>
      <c r="AG35" s="31">
        <f>SUM($T35:T35)</f>
        <v>0</v>
      </c>
      <c r="AH35" s="31">
        <f>SUM($T35:U35)</f>
        <v>0</v>
      </c>
      <c r="AI35" s="31">
        <f>SUM($T35:V35)</f>
        <v>0</v>
      </c>
      <c r="AJ35" s="31">
        <f>SUM($T35:W35)</f>
        <v>0</v>
      </c>
      <c r="AK35" s="31">
        <f>SUM($T35:X35)</f>
        <v>0</v>
      </c>
      <c r="AL35" s="31">
        <f>SUM($T35:Y35)</f>
        <v>0</v>
      </c>
      <c r="AM35" s="31">
        <f>SUM($T35:Z35)</f>
        <v>0</v>
      </c>
      <c r="AN35" s="31">
        <f>SUM($T35:AA35)</f>
        <v>0</v>
      </c>
      <c r="AO35" s="31">
        <f>SUM($T35:AB35)</f>
        <v>0</v>
      </c>
      <c r="AP35" s="31">
        <f>SUM($T35:AC35)</f>
        <v>0</v>
      </c>
      <c r="AQ35" s="31">
        <f>SUM($T35:AD35)</f>
        <v>0</v>
      </c>
      <c r="AR35" s="31">
        <f>SUM($T35:AE35)</f>
        <v>0</v>
      </c>
      <c r="AS35" s="27">
        <f t="shared" si="15"/>
        <v>0</v>
      </c>
    </row>
    <row r="36" spans="1:45">
      <c r="B36" s="156">
        <f>IF(ROW()-6&gt;NumCostCenter,"",IF(CostCenter&lt;&gt;"ALL",CostCenter,DATA_LF2!B34))</f>
        <v>1511</v>
      </c>
      <c r="C36" s="153">
        <f>IF($B36&lt;&gt;"",INDEX(DataOB[],FirstRow+ROW()-7,2),"")</f>
        <v>1511</v>
      </c>
      <c r="D36" s="157" t="str">
        <f>IF($B36&lt;&gt;"",INDEX(DataOB[],FirstRow+ROW()-7,3),"")</f>
        <v>TBD</v>
      </c>
      <c r="E36" s="158">
        <f>IF($B36&lt;&gt;"",INDEX(DataOB[],FirstRow+ROW()-7,6),"")</f>
        <v>0</v>
      </c>
      <c r="F36" s="158" t="str">
        <f>IF($B36&lt;&gt;"",INDEX(DataOB[],FirstRow+ROW()-7,5),"")</f>
        <v>Upgrade network system at Zone F Y24</v>
      </c>
      <c r="G36" s="58">
        <f>IF($B36&lt;&gt;"",SUMIFS(DataAct_tbl[AMOUNT],DataAct_tbl[BG CODE],Detail!$D36,DataAct_tbl[MONTH],LEFT(MonthName,3),DataAct_tbl[Dept code],$B36),0)</f>
        <v>0</v>
      </c>
      <c r="H36" s="31">
        <f t="shared" si="7"/>
        <v>0</v>
      </c>
      <c r="I36" s="28">
        <f t="shared" si="8"/>
        <v>0</v>
      </c>
      <c r="J36" s="32" t="str">
        <f t="shared" si="9"/>
        <v xml:space="preserve"> </v>
      </c>
      <c r="K36" s="86"/>
      <c r="L36" s="62">
        <f>IF($B36&lt;&gt;"",SUMIFS(DataAct_tbl[AMOUNT],DataAct_tbl[BG CODE],Detail!$D36,DataAct_tbl[Check Range],"=true",DataAct_tbl[Dept code],$B36),0)</f>
        <v>0</v>
      </c>
      <c r="M36" s="63">
        <f>INDEX($AG$7:$AR$1005,ROW()-6,MATCH(MTD,$AG$6:$AR$6,0))</f>
        <v>0</v>
      </c>
      <c r="N36" s="34">
        <f t="shared" si="10"/>
        <v>0</v>
      </c>
      <c r="O36" s="64" t="str">
        <f t="shared" si="11"/>
        <v xml:space="preserve"> </v>
      </c>
      <c r="Q36" s="97">
        <f t="shared" si="12"/>
        <v>0</v>
      </c>
      <c r="R36" s="96">
        <f t="shared" si="13"/>
        <v>0</v>
      </c>
      <c r="T36" s="67">
        <f>IF($B36&lt;&gt;"",INDEX(DataOB[],FirstRow+ROW()-7,MATCH(T$6,DataOB[#Headers],0)),"")</f>
        <v>0</v>
      </c>
      <c r="U36" s="67">
        <f>IF($B36&lt;&gt;"",INDEX(DataOB[],FirstRow+ROW()-7,MATCH(U$6,DataOB[#Headers],0)),"")</f>
        <v>0</v>
      </c>
      <c r="V36" s="67">
        <f>IF($B36&lt;&gt;"",INDEX(DataOB[],FirstRow+ROW()-7,MATCH(V$6,DataOB[#Headers],0)),"")</f>
        <v>0</v>
      </c>
      <c r="W36" s="67">
        <f>IF($B36&lt;&gt;"",INDEX(DataOB[],FirstRow+ROW()-7,MATCH(W$6,DataOB[#Headers],0)),"")</f>
        <v>0</v>
      </c>
      <c r="X36" s="67">
        <f>IF($B36&lt;&gt;"",INDEX(DataOB[],FirstRow+ROW()-7,MATCH(X$6,DataOB[#Headers],0)),"")</f>
        <v>0</v>
      </c>
      <c r="Y36" s="67">
        <f>IF($B36&lt;&gt;"",INDEX(DataOB[],FirstRow+ROW()-7,MATCH(Y$6,DataOB[#Headers],0)),"")</f>
        <v>0</v>
      </c>
      <c r="Z36" s="67">
        <f>IF($B36&lt;&gt;"",INDEX(DataOB[],FirstRow+ROW()-7,MATCH(Z$6,DataOB[#Headers],0)),"")</f>
        <v>0</v>
      </c>
      <c r="AA36" s="67">
        <f>IF($B36&lt;&gt;"",INDEX(DataOB[],FirstRow+ROW()-7,MATCH(AA$6,DataOB[#Headers],0)),"")</f>
        <v>0</v>
      </c>
      <c r="AB36" s="67">
        <f>IF($B36&lt;&gt;"",INDEX(DataOB[],FirstRow+ROW()-7,MATCH(AB$6,DataOB[#Headers],0)),"")</f>
        <v>0</v>
      </c>
      <c r="AC36" s="67">
        <f>IF($B36&lt;&gt;"",INDEX(DataOB[],FirstRow+ROW()-7,MATCH(AC$6,DataOB[#Headers],0)),"")</f>
        <v>0</v>
      </c>
      <c r="AD36" s="67">
        <f>IF($B36&lt;&gt;"",INDEX(DataOB[],FirstRow+ROW()-7,MATCH(AD$6,DataOB[#Headers],0)),"")</f>
        <v>0</v>
      </c>
      <c r="AE36" s="67">
        <f>IF($B36&lt;&gt;"",INDEX(DataOB[],FirstRow+ROW()-7,MATCH(AE$6,DataOB[#Headers],0)),"")</f>
        <v>0</v>
      </c>
      <c r="AF36" s="26">
        <f t="shared" si="14"/>
        <v>0</v>
      </c>
      <c r="AG36" s="31">
        <f>SUM($T36:T36)</f>
        <v>0</v>
      </c>
      <c r="AH36" s="31">
        <f>SUM($T36:U36)</f>
        <v>0</v>
      </c>
      <c r="AI36" s="31">
        <f>SUM($T36:V36)</f>
        <v>0</v>
      </c>
      <c r="AJ36" s="31">
        <f>SUM($T36:W36)</f>
        <v>0</v>
      </c>
      <c r="AK36" s="31">
        <f>SUM($T36:X36)</f>
        <v>0</v>
      </c>
      <c r="AL36" s="31">
        <f>SUM($T36:Y36)</f>
        <v>0</v>
      </c>
      <c r="AM36" s="31">
        <f>SUM($T36:Z36)</f>
        <v>0</v>
      </c>
      <c r="AN36" s="31">
        <f>SUM($T36:AA36)</f>
        <v>0</v>
      </c>
      <c r="AO36" s="31">
        <f>SUM($T36:AB36)</f>
        <v>0</v>
      </c>
      <c r="AP36" s="31">
        <f>SUM($T36:AC36)</f>
        <v>0</v>
      </c>
      <c r="AQ36" s="31">
        <f>SUM($T36:AD36)</f>
        <v>0</v>
      </c>
      <c r="AR36" s="31">
        <f>SUM($T36:AE36)</f>
        <v>0</v>
      </c>
      <c r="AS36" s="27">
        <f t="shared" si="15"/>
        <v>0</v>
      </c>
    </row>
    <row r="37" spans="1:45" s="12" customFormat="1">
      <c r="A37" s="4"/>
      <c r="B37" s="156">
        <f>IF(ROW()-6&gt;NumCostCenter,"",IF(CostCenter&lt;&gt;"ALL",CostCenter,DATA_LF2!B35))</f>
        <v>1511</v>
      </c>
      <c r="C37" s="153">
        <f>IF($B37&lt;&gt;"",INDEX(DataOB[],FirstRow+ROW()-7,2),"")</f>
        <v>1511</v>
      </c>
      <c r="D37" s="157" t="str">
        <f>IF($B37&lt;&gt;"",INDEX(DataOB[],FirstRow+ROW()-7,3),"")</f>
        <v>TBD</v>
      </c>
      <c r="E37" s="158">
        <f>IF($B37&lt;&gt;"",INDEX(DataOB[],FirstRow+ROW()-7,6),"")</f>
        <v>0</v>
      </c>
      <c r="F37" s="158" t="str">
        <f>IF($B37&lt;&gt;"",INDEX(DataOB[],FirstRow+ROW()-7,5),"")</f>
        <v>Tablet for Curing Digital Process &amp; VOR3</v>
      </c>
      <c r="G37" s="58">
        <f>IF($B37&lt;&gt;"",SUMIFS(DataAct_tbl[AMOUNT],DataAct_tbl[BG CODE],Detail!$D37,DataAct_tbl[MONTH],LEFT(MonthName,3),DataAct_tbl[Dept code],$B37),0)</f>
        <v>0</v>
      </c>
      <c r="H37" s="31">
        <f t="shared" si="7"/>
        <v>0</v>
      </c>
      <c r="I37" s="28">
        <f t="shared" si="8"/>
        <v>0</v>
      </c>
      <c r="J37" s="32" t="str">
        <f t="shared" si="9"/>
        <v xml:space="preserve"> </v>
      </c>
      <c r="K37" s="86"/>
      <c r="L37" s="62">
        <f>IF($B37&lt;&gt;"",SUMIFS(DataAct_tbl[AMOUNT],DataAct_tbl[BG CODE],Detail!$D37,DataAct_tbl[Check Range],"=true",DataAct_tbl[Dept code],$B37),0)</f>
        <v>0</v>
      </c>
      <c r="M37" s="63">
        <f>INDEX($AG$7:$AR$1005,ROW()-6,MATCH(MTD,$AG$6:$AR$6,0))</f>
        <v>0</v>
      </c>
      <c r="N37" s="34">
        <f t="shared" si="10"/>
        <v>0</v>
      </c>
      <c r="O37" s="64" t="str">
        <f t="shared" si="11"/>
        <v xml:space="preserve"> </v>
      </c>
      <c r="P37" s="16"/>
      <c r="Q37" s="97">
        <f t="shared" si="12"/>
        <v>15</v>
      </c>
      <c r="R37" s="96">
        <f t="shared" si="13"/>
        <v>15</v>
      </c>
      <c r="S37" s="16"/>
      <c r="T37" s="67">
        <f>IF($B37&lt;&gt;"",INDEX(DataOB[],FirstRow+ROW()-7,MATCH(T$6,DataOB[#Headers],0)),"")</f>
        <v>0</v>
      </c>
      <c r="U37" s="67">
        <f>IF($B37&lt;&gt;"",INDEX(DataOB[],FirstRow+ROW()-7,MATCH(U$6,DataOB[#Headers],0)),"")</f>
        <v>0</v>
      </c>
      <c r="V37" s="67">
        <f>IF($B37&lt;&gt;"",INDEX(DataOB[],FirstRow+ROW()-7,MATCH(V$6,DataOB[#Headers],0)),"")</f>
        <v>0</v>
      </c>
      <c r="W37" s="67">
        <f>IF($B37&lt;&gt;"",INDEX(DataOB[],FirstRow+ROW()-7,MATCH(W$6,DataOB[#Headers],0)),"")</f>
        <v>0</v>
      </c>
      <c r="X37" s="67">
        <f>IF($B37&lt;&gt;"",INDEX(DataOB[],FirstRow+ROW()-7,MATCH(X$6,DataOB[#Headers],0)),"")</f>
        <v>0</v>
      </c>
      <c r="Y37" s="67">
        <f>IF($B37&lt;&gt;"",INDEX(DataOB[],FirstRow+ROW()-7,MATCH(Y$6,DataOB[#Headers],0)),"")</f>
        <v>0</v>
      </c>
      <c r="Z37" s="67">
        <f>IF($B37&lt;&gt;"",INDEX(DataOB[],FirstRow+ROW()-7,MATCH(Z$6,DataOB[#Headers],0)),"")</f>
        <v>0</v>
      </c>
      <c r="AA37" s="67">
        <f>IF($B37&lt;&gt;"",INDEX(DataOB[],FirstRow+ROW()-7,MATCH(AA$6,DataOB[#Headers],0)),"")</f>
        <v>15</v>
      </c>
      <c r="AB37" s="67">
        <f>IF($B37&lt;&gt;"",INDEX(DataOB[],FirstRow+ROW()-7,MATCH(AB$6,DataOB[#Headers],0)),"")</f>
        <v>0</v>
      </c>
      <c r="AC37" s="67">
        <f>IF($B37&lt;&gt;"",INDEX(DataOB[],FirstRow+ROW()-7,MATCH(AC$6,DataOB[#Headers],0)),"")</f>
        <v>0</v>
      </c>
      <c r="AD37" s="67">
        <f>IF($B37&lt;&gt;"",INDEX(DataOB[],FirstRow+ROW()-7,MATCH(AD$6,DataOB[#Headers],0)),"")</f>
        <v>0</v>
      </c>
      <c r="AE37" s="67">
        <f>IF($B37&lt;&gt;"",INDEX(DataOB[],FirstRow+ROW()-7,MATCH(AE$6,DataOB[#Headers],0)),"")</f>
        <v>0</v>
      </c>
      <c r="AF37" s="26">
        <f t="shared" si="14"/>
        <v>15</v>
      </c>
      <c r="AG37" s="31">
        <f>SUM($T37:T37)</f>
        <v>0</v>
      </c>
      <c r="AH37" s="31">
        <f>SUM($T37:U37)</f>
        <v>0</v>
      </c>
      <c r="AI37" s="31">
        <f>SUM($T37:V37)</f>
        <v>0</v>
      </c>
      <c r="AJ37" s="31">
        <f>SUM($T37:W37)</f>
        <v>0</v>
      </c>
      <c r="AK37" s="31">
        <f>SUM($T37:X37)</f>
        <v>0</v>
      </c>
      <c r="AL37" s="31">
        <f>SUM($T37:Y37)</f>
        <v>0</v>
      </c>
      <c r="AM37" s="31">
        <f>SUM($T37:Z37)</f>
        <v>0</v>
      </c>
      <c r="AN37" s="31">
        <f>SUM($T37:AA37)</f>
        <v>15</v>
      </c>
      <c r="AO37" s="31">
        <f>SUM($T37:AB37)</f>
        <v>15</v>
      </c>
      <c r="AP37" s="31">
        <f>SUM($T37:AC37)</f>
        <v>15</v>
      </c>
      <c r="AQ37" s="31">
        <f>SUM($T37:AD37)</f>
        <v>15</v>
      </c>
      <c r="AR37" s="31">
        <f>SUM($T37:AE37)</f>
        <v>15</v>
      </c>
      <c r="AS37" s="27">
        <f t="shared" si="15"/>
        <v>0</v>
      </c>
    </row>
    <row r="38" spans="1:45" s="12" customFormat="1">
      <c r="A38" s="4"/>
      <c r="B38" s="156">
        <f>IF(ROW()-6&gt;NumCostCenter,"",IF(CostCenter&lt;&gt;"ALL",CostCenter,DATA_LF2!B36))</f>
        <v>1611</v>
      </c>
      <c r="C38" s="153">
        <f>IF($B38&lt;&gt;"",INDEX(DataOB[],FirstRow+ROW()-7,2),"")</f>
        <v>1611</v>
      </c>
      <c r="D38" s="157" t="str">
        <f>IF($B38&lt;&gt;"",INDEX(DataOB[],FirstRow+ROW()-7,3),"")</f>
        <v>B000047</v>
      </c>
      <c r="E38" s="158">
        <f>IF($B38&lt;&gt;"",INDEX(DataOB[],FirstRow+ROW()-7,6),"")</f>
        <v>0</v>
      </c>
      <c r="F38" s="158" t="str">
        <f>IF($B38&lt;&gt;"",INDEX(DataOB[],FirstRow+ROW()-7,5),"")</f>
        <v>Demolition cost Y24</v>
      </c>
      <c r="G38" s="58">
        <f>IF($B38&lt;&gt;"",SUMIFS(DataAct_tbl[AMOUNT],DataAct_tbl[BG CODE],Detail!$D38,DataAct_tbl[MONTH],LEFT(MonthName,3),DataAct_tbl[Dept code],$B38),0)</f>
        <v>0.23988999999999999</v>
      </c>
      <c r="H38" s="31">
        <f t="shared" si="7"/>
        <v>0.23988999999999999</v>
      </c>
      <c r="I38" s="28">
        <f t="shared" si="8"/>
        <v>0</v>
      </c>
      <c r="J38" s="32">
        <f t="shared" si="9"/>
        <v>1</v>
      </c>
      <c r="K38" s="86"/>
      <c r="L38" s="62">
        <f>IF($B38&lt;&gt;"",SUMIFS(DataAct_tbl[AMOUNT],DataAct_tbl[BG CODE],Detail!$D38,DataAct_tbl[Check Range],"=true",DataAct_tbl[Dept code],$B38),0)</f>
        <v>1.6792299999999998</v>
      </c>
      <c r="M38" s="63">
        <f>INDEX($AG$7:$AR$1005,ROW()-6,MATCH(MTD,$AG$6:$AR$6,0))</f>
        <v>1.6794499999999997</v>
      </c>
      <c r="N38" s="34">
        <f t="shared" si="10"/>
        <v>-2.1999999999988695E-4</v>
      </c>
      <c r="O38" s="64">
        <f t="shared" si="11"/>
        <v>0.99986900473369267</v>
      </c>
      <c r="P38" s="16"/>
      <c r="Q38" s="97">
        <f t="shared" si="12"/>
        <v>2.8788999999999993</v>
      </c>
      <c r="R38" s="96">
        <f t="shared" si="13"/>
        <v>1.1996699999999996</v>
      </c>
      <c r="S38" s="16"/>
      <c r="T38" s="67">
        <f>IF($B38&lt;&gt;"",INDEX(DataOB[],FirstRow+ROW()-7,MATCH(T$6,DataOB[#Headers],0)),"")</f>
        <v>0.24</v>
      </c>
      <c r="U38" s="67">
        <f>IF($B38&lt;&gt;"",INDEX(DataOB[],FirstRow+ROW()-7,MATCH(U$6,DataOB[#Headers],0)),"")</f>
        <v>0.24</v>
      </c>
      <c r="V38" s="67">
        <f>IF($B38&lt;&gt;"",INDEX(DataOB[],FirstRow+ROW()-7,MATCH(V$6,DataOB[#Headers],0)),"")</f>
        <v>0.23988999999999999</v>
      </c>
      <c r="W38" s="67">
        <f>IF($B38&lt;&gt;"",INDEX(DataOB[],FirstRow+ROW()-7,MATCH(W$6,DataOB[#Headers],0)),"")</f>
        <v>0.23988999999999999</v>
      </c>
      <c r="X38" s="67">
        <f>IF($B38&lt;&gt;"",INDEX(DataOB[],FirstRow+ROW()-7,MATCH(X$6,DataOB[#Headers],0)),"")</f>
        <v>0.23988999999999999</v>
      </c>
      <c r="Y38" s="67">
        <f>IF($B38&lt;&gt;"",INDEX(DataOB[],FirstRow+ROW()-7,MATCH(Y$6,DataOB[#Headers],0)),"")</f>
        <v>0.23988999999999999</v>
      </c>
      <c r="Z38" s="67">
        <f>IF($B38&lt;&gt;"",INDEX(DataOB[],FirstRow+ROW()-7,MATCH(Z$6,DataOB[#Headers],0)),"")</f>
        <v>0.23988999999999999</v>
      </c>
      <c r="AA38" s="67">
        <f>IF($B38&lt;&gt;"",INDEX(DataOB[],FirstRow+ROW()-7,MATCH(AA$6,DataOB[#Headers],0)),"")</f>
        <v>0.23988999999999999</v>
      </c>
      <c r="AB38" s="67">
        <f>IF($B38&lt;&gt;"",INDEX(DataOB[],FirstRow+ROW()-7,MATCH(AB$6,DataOB[#Headers],0)),"")</f>
        <v>0.23988999999999999</v>
      </c>
      <c r="AC38" s="67">
        <f>IF($B38&lt;&gt;"",INDEX(DataOB[],FirstRow+ROW()-7,MATCH(AC$6,DataOB[#Headers],0)),"")</f>
        <v>0.23988999999999999</v>
      </c>
      <c r="AD38" s="67">
        <f>IF($B38&lt;&gt;"",INDEX(DataOB[],FirstRow+ROW()-7,MATCH(AD$6,DataOB[#Headers],0)),"")</f>
        <v>0.23988999999999999</v>
      </c>
      <c r="AE38" s="67">
        <f>IF($B38&lt;&gt;"",INDEX(DataOB[],FirstRow+ROW()-7,MATCH(AE$6,DataOB[#Headers],0)),"")</f>
        <v>0.23988999999999999</v>
      </c>
      <c r="AF38" s="26">
        <f t="shared" si="14"/>
        <v>2.8788999999999993</v>
      </c>
      <c r="AG38" s="31">
        <f>SUM($T38:T38)</f>
        <v>0.24</v>
      </c>
      <c r="AH38" s="31">
        <f>SUM($T38:U38)</f>
        <v>0.48</v>
      </c>
      <c r="AI38" s="31">
        <f>SUM($T38:V38)</f>
        <v>0.71988999999999992</v>
      </c>
      <c r="AJ38" s="31">
        <f>SUM($T38:W38)</f>
        <v>0.95977999999999986</v>
      </c>
      <c r="AK38" s="31">
        <f>SUM($T38:X38)</f>
        <v>1.1996699999999998</v>
      </c>
      <c r="AL38" s="31">
        <f>SUM($T38:Y38)</f>
        <v>1.4395599999999997</v>
      </c>
      <c r="AM38" s="31">
        <f>SUM($T38:Z38)</f>
        <v>1.6794499999999997</v>
      </c>
      <c r="AN38" s="31">
        <f>SUM($T38:AA38)</f>
        <v>1.9193399999999996</v>
      </c>
      <c r="AO38" s="31">
        <f>SUM($T38:AB38)</f>
        <v>2.1592299999999995</v>
      </c>
      <c r="AP38" s="31">
        <f>SUM($T38:AC38)</f>
        <v>2.3991199999999995</v>
      </c>
      <c r="AQ38" s="31">
        <f>SUM($T38:AD38)</f>
        <v>2.6390099999999994</v>
      </c>
      <c r="AR38" s="31">
        <f>SUM($T38:AE38)</f>
        <v>2.8788999999999993</v>
      </c>
      <c r="AS38" s="27">
        <f t="shared" si="15"/>
        <v>0</v>
      </c>
    </row>
    <row r="39" spans="1:45" s="13" customFormat="1">
      <c r="A39" s="4"/>
      <c r="B39" s="156">
        <f>IF(ROW()-6&gt;NumCostCenter,"",IF(CostCenter&lt;&gt;"ALL",CostCenter,DATA_LF2!B37))</f>
        <v>3211</v>
      </c>
      <c r="C39" s="153">
        <f>IF($B39&lt;&gt;"",INDEX(DataOB[],FirstRow+ROW()-7,2),"")</f>
        <v>3211</v>
      </c>
      <c r="D39" s="157" t="str">
        <f>IF($B39&lt;&gt;"",INDEX(DataOB[],FirstRow+ROW()-7,3),"")</f>
        <v>TBD</v>
      </c>
      <c r="E39" s="158">
        <f>IF($B39&lt;&gt;"",INDEX(DataOB[],FirstRow+ROW()-7,6),"")</f>
        <v>0</v>
      </c>
      <c r="F39" s="158" t="str">
        <f>IF($B39&lt;&gt;"",INDEX(DataOB[],FirstRow+ROW()-7,5),"")</f>
        <v>Chalk detection camera at 1st C-CH machine</v>
      </c>
      <c r="G39" s="58">
        <f>IF($B39&lt;&gt;"",SUMIFS(DataAct_tbl[AMOUNT],DataAct_tbl[BG CODE],Detail!$D39,DataAct_tbl[MONTH],LEFT(MonthName,3),DataAct_tbl[Dept code],$B39),0)</f>
        <v>0</v>
      </c>
      <c r="H39" s="31">
        <f t="shared" si="7"/>
        <v>0</v>
      </c>
      <c r="I39" s="28">
        <f t="shared" si="8"/>
        <v>0</v>
      </c>
      <c r="J39" s="32" t="str">
        <f t="shared" si="9"/>
        <v xml:space="preserve"> </v>
      </c>
      <c r="K39" s="86"/>
      <c r="L39" s="62">
        <f>IF($B39&lt;&gt;"",SUMIFS(DataAct_tbl[AMOUNT],DataAct_tbl[BG CODE],Detail!$D39,DataAct_tbl[Check Range],"=true",DataAct_tbl[Dept code],$B39),0)</f>
        <v>0</v>
      </c>
      <c r="M39" s="63">
        <f>INDEX($AG$7:$AR$1005,ROW()-6,MATCH(MTD,$AG$6:$AR$6,0))</f>
        <v>0</v>
      </c>
      <c r="N39" s="34">
        <f t="shared" si="10"/>
        <v>0</v>
      </c>
      <c r="O39" s="64" t="str">
        <f t="shared" si="11"/>
        <v xml:space="preserve"> </v>
      </c>
      <c r="P39" s="16"/>
      <c r="Q39" s="97">
        <f t="shared" si="12"/>
        <v>25</v>
      </c>
      <c r="R39" s="96">
        <f t="shared" si="13"/>
        <v>25</v>
      </c>
      <c r="S39" s="16"/>
      <c r="T39" s="67">
        <f>IF($B39&lt;&gt;"",INDEX(DataOB[],FirstRow+ROW()-7,MATCH(T$6,DataOB[#Headers],0)),"")</f>
        <v>0</v>
      </c>
      <c r="U39" s="67">
        <f>IF($B39&lt;&gt;"",INDEX(DataOB[],FirstRow+ROW()-7,MATCH(U$6,DataOB[#Headers],0)),"")</f>
        <v>0</v>
      </c>
      <c r="V39" s="67">
        <f>IF($B39&lt;&gt;"",INDEX(DataOB[],FirstRow+ROW()-7,MATCH(V$6,DataOB[#Headers],0)),"")</f>
        <v>0</v>
      </c>
      <c r="W39" s="67">
        <f>IF($B39&lt;&gt;"",INDEX(DataOB[],FirstRow+ROW()-7,MATCH(W$6,DataOB[#Headers],0)),"")</f>
        <v>0</v>
      </c>
      <c r="X39" s="67">
        <f>IF($B39&lt;&gt;"",INDEX(DataOB[],FirstRow+ROW()-7,MATCH(X$6,DataOB[#Headers],0)),"")</f>
        <v>0</v>
      </c>
      <c r="Y39" s="67">
        <f>IF($B39&lt;&gt;"",INDEX(DataOB[],FirstRow+ROW()-7,MATCH(Y$6,DataOB[#Headers],0)),"")</f>
        <v>0</v>
      </c>
      <c r="Z39" s="67">
        <f>IF($B39&lt;&gt;"",INDEX(DataOB[],FirstRow+ROW()-7,MATCH(Z$6,DataOB[#Headers],0)),"")</f>
        <v>0</v>
      </c>
      <c r="AA39" s="67">
        <f>IF($B39&lt;&gt;"",INDEX(DataOB[],FirstRow+ROW()-7,MATCH(AA$6,DataOB[#Headers],0)),"")</f>
        <v>0</v>
      </c>
      <c r="AB39" s="67">
        <f>IF($B39&lt;&gt;"",INDEX(DataOB[],FirstRow+ROW()-7,MATCH(AB$6,DataOB[#Headers],0)),"")</f>
        <v>0</v>
      </c>
      <c r="AC39" s="67">
        <f>IF($B39&lt;&gt;"",INDEX(DataOB[],FirstRow+ROW()-7,MATCH(AC$6,DataOB[#Headers],0)),"")</f>
        <v>0</v>
      </c>
      <c r="AD39" s="67">
        <f>IF($B39&lt;&gt;"",INDEX(DataOB[],FirstRow+ROW()-7,MATCH(AD$6,DataOB[#Headers],0)),"")</f>
        <v>0</v>
      </c>
      <c r="AE39" s="67">
        <f>IF($B39&lt;&gt;"",INDEX(DataOB[],FirstRow+ROW()-7,MATCH(AE$6,DataOB[#Headers],0)),"")</f>
        <v>25</v>
      </c>
      <c r="AF39" s="26">
        <f t="shared" si="14"/>
        <v>25</v>
      </c>
      <c r="AG39" s="31">
        <f>SUM($T39:T39)</f>
        <v>0</v>
      </c>
      <c r="AH39" s="31">
        <f>SUM($T39:U39)</f>
        <v>0</v>
      </c>
      <c r="AI39" s="31">
        <f>SUM($T39:V39)</f>
        <v>0</v>
      </c>
      <c r="AJ39" s="31">
        <f>SUM($T39:W39)</f>
        <v>0</v>
      </c>
      <c r="AK39" s="31">
        <f>SUM($T39:X39)</f>
        <v>0</v>
      </c>
      <c r="AL39" s="31">
        <f>SUM($T39:Y39)</f>
        <v>0</v>
      </c>
      <c r="AM39" s="31">
        <f>SUM($T39:Z39)</f>
        <v>0</v>
      </c>
      <c r="AN39" s="31">
        <f>SUM($T39:AA39)</f>
        <v>0</v>
      </c>
      <c r="AO39" s="31">
        <f>SUM($T39:AB39)</f>
        <v>0</v>
      </c>
      <c r="AP39" s="31">
        <f>SUM($T39:AC39)</f>
        <v>0</v>
      </c>
      <c r="AQ39" s="31">
        <f>SUM($T39:AD39)</f>
        <v>0</v>
      </c>
      <c r="AR39" s="31">
        <f>SUM($T39:AE39)</f>
        <v>25</v>
      </c>
      <c r="AS39" s="27">
        <f t="shared" si="15"/>
        <v>0</v>
      </c>
    </row>
    <row r="40" spans="1:45">
      <c r="B40" s="156">
        <f>IF(ROW()-6&gt;NumCostCenter,"",IF(CostCenter&lt;&gt;"ALL",CostCenter,DATA_LF2!B38))</f>
        <v>3211</v>
      </c>
      <c r="C40" s="153">
        <f>IF($B40&lt;&gt;"",INDEX(DataOB[],FirstRow+ROW()-7,2),"")</f>
        <v>3211</v>
      </c>
      <c r="D40" s="157" t="str">
        <f>IF($B40&lt;&gt;"",INDEX(DataOB[],FirstRow+ROW()-7,3),"")</f>
        <v>TBD</v>
      </c>
      <c r="E40" s="158">
        <f>IF($B40&lt;&gt;"",INDEX(DataOB[],FirstRow+ROW()-7,6),"")</f>
        <v>0</v>
      </c>
      <c r="F40" s="158" t="str">
        <f>IF($B40&lt;&gt;"",INDEX(DataOB[],FirstRow+ROW()-7,5),"")</f>
        <v>Identify TMA by BC tag from generate process + verify at Remixing Y24</v>
      </c>
      <c r="G40" s="58">
        <f>IF($B40&lt;&gt;"",SUMIFS(DataAct_tbl[AMOUNT],DataAct_tbl[BG CODE],Detail!$D40,DataAct_tbl[MONTH],LEFT(MonthName,3),DataAct_tbl[Dept code],$B40),0)</f>
        <v>0</v>
      </c>
      <c r="H40" s="31">
        <f t="shared" si="7"/>
        <v>0</v>
      </c>
      <c r="I40" s="28">
        <f t="shared" si="8"/>
        <v>0</v>
      </c>
      <c r="J40" s="32" t="str">
        <f t="shared" si="9"/>
        <v xml:space="preserve"> </v>
      </c>
      <c r="K40" s="86"/>
      <c r="L40" s="62">
        <f>IF($B40&lt;&gt;"",SUMIFS(DataAct_tbl[AMOUNT],DataAct_tbl[BG CODE],Detail!$D40,DataAct_tbl[Check Range],"=true",DataAct_tbl[Dept code],$B40),0)</f>
        <v>0</v>
      </c>
      <c r="M40" s="63">
        <f>INDEX($AG$7:$AR$1005,ROW()-6,MATCH(MTD,$AG$6:$AR$6,0))</f>
        <v>0</v>
      </c>
      <c r="N40" s="34">
        <f t="shared" si="10"/>
        <v>0</v>
      </c>
      <c r="O40" s="64" t="str">
        <f t="shared" si="11"/>
        <v xml:space="preserve"> </v>
      </c>
      <c r="Q40" s="97">
        <f t="shared" si="12"/>
        <v>25</v>
      </c>
      <c r="R40" s="96">
        <f t="shared" si="13"/>
        <v>25</v>
      </c>
      <c r="T40" s="67">
        <f>IF($B40&lt;&gt;"",INDEX(DataOB[],FirstRow+ROW()-7,MATCH(T$6,DataOB[#Headers],0)),"")</f>
        <v>0</v>
      </c>
      <c r="U40" s="67">
        <f>IF($B40&lt;&gt;"",INDEX(DataOB[],FirstRow+ROW()-7,MATCH(U$6,DataOB[#Headers],0)),"")</f>
        <v>0</v>
      </c>
      <c r="V40" s="67">
        <f>IF($B40&lt;&gt;"",INDEX(DataOB[],FirstRow+ROW()-7,MATCH(V$6,DataOB[#Headers],0)),"")</f>
        <v>0</v>
      </c>
      <c r="W40" s="67">
        <f>IF($B40&lt;&gt;"",INDEX(DataOB[],FirstRow+ROW()-7,MATCH(W$6,DataOB[#Headers],0)),"")</f>
        <v>0</v>
      </c>
      <c r="X40" s="67">
        <f>IF($B40&lt;&gt;"",INDEX(DataOB[],FirstRow+ROW()-7,MATCH(X$6,DataOB[#Headers],0)),"")</f>
        <v>0</v>
      </c>
      <c r="Y40" s="67">
        <f>IF($B40&lt;&gt;"",INDEX(DataOB[],FirstRow+ROW()-7,MATCH(Y$6,DataOB[#Headers],0)),"")</f>
        <v>0</v>
      </c>
      <c r="Z40" s="67">
        <f>IF($B40&lt;&gt;"",INDEX(DataOB[],FirstRow+ROW()-7,MATCH(Z$6,DataOB[#Headers],0)),"")</f>
        <v>0</v>
      </c>
      <c r="AA40" s="67">
        <f>IF($B40&lt;&gt;"",INDEX(DataOB[],FirstRow+ROW()-7,MATCH(AA$6,DataOB[#Headers],0)),"")</f>
        <v>0</v>
      </c>
      <c r="AB40" s="67">
        <f>IF($B40&lt;&gt;"",INDEX(DataOB[],FirstRow+ROW()-7,MATCH(AB$6,DataOB[#Headers],0)),"")</f>
        <v>0</v>
      </c>
      <c r="AC40" s="67">
        <f>IF($B40&lt;&gt;"",INDEX(DataOB[],FirstRow+ROW()-7,MATCH(AC$6,DataOB[#Headers],0)),"")</f>
        <v>25</v>
      </c>
      <c r="AD40" s="67">
        <f>IF($B40&lt;&gt;"",INDEX(DataOB[],FirstRow+ROW()-7,MATCH(AD$6,DataOB[#Headers],0)),"")</f>
        <v>0</v>
      </c>
      <c r="AE40" s="67">
        <f>IF($B40&lt;&gt;"",INDEX(DataOB[],FirstRow+ROW()-7,MATCH(AE$6,DataOB[#Headers],0)),"")</f>
        <v>0</v>
      </c>
      <c r="AF40" s="26">
        <f t="shared" si="14"/>
        <v>25</v>
      </c>
      <c r="AG40" s="31">
        <f>SUM($T40:T40)</f>
        <v>0</v>
      </c>
      <c r="AH40" s="31">
        <f>SUM($T40:U40)</f>
        <v>0</v>
      </c>
      <c r="AI40" s="31">
        <f>SUM($T40:V40)</f>
        <v>0</v>
      </c>
      <c r="AJ40" s="31">
        <f>SUM($T40:W40)</f>
        <v>0</v>
      </c>
      <c r="AK40" s="31">
        <f>SUM($T40:X40)</f>
        <v>0</v>
      </c>
      <c r="AL40" s="31">
        <f>SUM($T40:Y40)</f>
        <v>0</v>
      </c>
      <c r="AM40" s="31">
        <f>SUM($T40:Z40)</f>
        <v>0</v>
      </c>
      <c r="AN40" s="31">
        <f>SUM($T40:AA40)</f>
        <v>0</v>
      </c>
      <c r="AO40" s="31">
        <f>SUM($T40:AB40)</f>
        <v>0</v>
      </c>
      <c r="AP40" s="31">
        <f>SUM($T40:AC40)</f>
        <v>25</v>
      </c>
      <c r="AQ40" s="31">
        <f>SUM($T40:AD40)</f>
        <v>25</v>
      </c>
      <c r="AR40" s="31">
        <f>SUM($T40:AE40)</f>
        <v>25</v>
      </c>
      <c r="AS40" s="27">
        <f t="shared" si="15"/>
        <v>0</v>
      </c>
    </row>
    <row r="41" spans="1:45">
      <c r="B41" s="156">
        <f>IF(ROW()-6&gt;NumCostCenter,"",IF(CostCenter&lt;&gt;"ALL",CostCenter,DATA_LF2!B39))</f>
        <v>3211</v>
      </c>
      <c r="C41" s="153">
        <f>IF($B41&lt;&gt;"",INDEX(DataOB[],FirstRow+ROW()-7,2),"")</f>
        <v>3211</v>
      </c>
      <c r="D41" s="157" t="str">
        <f>IF($B41&lt;&gt;"",INDEX(DataOB[],FirstRow+ROW()-7,3),"")</f>
        <v>TBD</v>
      </c>
      <c r="E41" s="158">
        <f>IF($B41&lt;&gt;"",INDEX(DataOB[],FirstRow+ROW()-7,6),"")</f>
        <v>0</v>
      </c>
      <c r="F41" s="158" t="str">
        <f>IF($B41&lt;&gt;"",INDEX(DataOB[],FirstRow+ROW()-7,5),"")</f>
        <v>3 points verify of raw material (Bead tape) Y23</v>
      </c>
      <c r="G41" s="58">
        <f>IF($B41&lt;&gt;"",SUMIFS(DataAct_tbl[AMOUNT],DataAct_tbl[BG CODE],Detail!$D41,DataAct_tbl[MONTH],LEFT(MonthName,3),DataAct_tbl[Dept code],$B41),0)</f>
        <v>0</v>
      </c>
      <c r="H41" s="31">
        <f t="shared" si="7"/>
        <v>0</v>
      </c>
      <c r="I41" s="28">
        <f t="shared" si="8"/>
        <v>0</v>
      </c>
      <c r="J41" s="32" t="str">
        <f t="shared" si="9"/>
        <v xml:space="preserve"> </v>
      </c>
      <c r="K41" s="86"/>
      <c r="L41" s="62">
        <f>IF($B41&lt;&gt;"",SUMIFS(DataAct_tbl[AMOUNT],DataAct_tbl[BG CODE],Detail!$D41,DataAct_tbl[Check Range],"=true",DataAct_tbl[Dept code],$B41),0)</f>
        <v>0</v>
      </c>
      <c r="M41" s="63">
        <f>INDEX($AG$7:$AR$1005,ROW()-6,MATCH(MTD,$AG$6:$AR$6,0))</f>
        <v>0</v>
      </c>
      <c r="N41" s="34">
        <f t="shared" si="10"/>
        <v>0</v>
      </c>
      <c r="O41" s="64" t="str">
        <f t="shared" si="11"/>
        <v xml:space="preserve"> </v>
      </c>
      <c r="Q41" s="97">
        <f t="shared" si="12"/>
        <v>60.44</v>
      </c>
      <c r="R41" s="96">
        <f t="shared" si="13"/>
        <v>60.44</v>
      </c>
      <c r="T41" s="67">
        <f>IF($B41&lt;&gt;"",INDEX(DataOB[],FirstRow+ROW()-7,MATCH(T$6,DataOB[#Headers],0)),"")</f>
        <v>0</v>
      </c>
      <c r="U41" s="67">
        <f>IF($B41&lt;&gt;"",INDEX(DataOB[],FirstRow+ROW()-7,MATCH(U$6,DataOB[#Headers],0)),"")</f>
        <v>0</v>
      </c>
      <c r="V41" s="67">
        <f>IF($B41&lt;&gt;"",INDEX(DataOB[],FirstRow+ROW()-7,MATCH(V$6,DataOB[#Headers],0)),"")</f>
        <v>0</v>
      </c>
      <c r="W41" s="67">
        <f>IF($B41&lt;&gt;"",INDEX(DataOB[],FirstRow+ROW()-7,MATCH(W$6,DataOB[#Headers],0)),"")</f>
        <v>0</v>
      </c>
      <c r="X41" s="67">
        <f>IF($B41&lt;&gt;"",INDEX(DataOB[],FirstRow+ROW()-7,MATCH(X$6,DataOB[#Headers],0)),"")</f>
        <v>0</v>
      </c>
      <c r="Y41" s="67">
        <f>IF($B41&lt;&gt;"",INDEX(DataOB[],FirstRow+ROW()-7,MATCH(Y$6,DataOB[#Headers],0)),"")</f>
        <v>0</v>
      </c>
      <c r="Z41" s="67">
        <f>IF($B41&lt;&gt;"",INDEX(DataOB[],FirstRow+ROW()-7,MATCH(Z$6,DataOB[#Headers],0)),"")</f>
        <v>0</v>
      </c>
      <c r="AA41" s="67">
        <f>IF($B41&lt;&gt;"",INDEX(DataOB[],FirstRow+ROW()-7,MATCH(AA$6,DataOB[#Headers],0)),"")</f>
        <v>0</v>
      </c>
      <c r="AB41" s="67">
        <f>IF($B41&lt;&gt;"",INDEX(DataOB[],FirstRow+ROW()-7,MATCH(AB$6,DataOB[#Headers],0)),"")</f>
        <v>0</v>
      </c>
      <c r="AC41" s="67">
        <f>IF($B41&lt;&gt;"",INDEX(DataOB[],FirstRow+ROW()-7,MATCH(AC$6,DataOB[#Headers],0)),"")</f>
        <v>0</v>
      </c>
      <c r="AD41" s="67">
        <f>IF($B41&lt;&gt;"",INDEX(DataOB[],FirstRow+ROW()-7,MATCH(AD$6,DataOB[#Headers],0)),"")</f>
        <v>0</v>
      </c>
      <c r="AE41" s="67">
        <f>IF($B41&lt;&gt;"",INDEX(DataOB[],FirstRow+ROW()-7,MATCH(AE$6,DataOB[#Headers],0)),"")</f>
        <v>60.44</v>
      </c>
      <c r="AF41" s="26">
        <f t="shared" si="14"/>
        <v>60.44</v>
      </c>
      <c r="AG41" s="31">
        <f>SUM($T41:T41)</f>
        <v>0</v>
      </c>
      <c r="AH41" s="31">
        <f>SUM($T41:U41)</f>
        <v>0</v>
      </c>
      <c r="AI41" s="31">
        <f>SUM($T41:V41)</f>
        <v>0</v>
      </c>
      <c r="AJ41" s="31">
        <f>SUM($T41:W41)</f>
        <v>0</v>
      </c>
      <c r="AK41" s="31">
        <f>SUM($T41:X41)</f>
        <v>0</v>
      </c>
      <c r="AL41" s="31">
        <f>SUM($T41:Y41)</f>
        <v>0</v>
      </c>
      <c r="AM41" s="31">
        <f>SUM($T41:Z41)</f>
        <v>0</v>
      </c>
      <c r="AN41" s="31">
        <f>SUM($T41:AA41)</f>
        <v>0</v>
      </c>
      <c r="AO41" s="31">
        <f>SUM($T41:AB41)</f>
        <v>0</v>
      </c>
      <c r="AP41" s="31">
        <f>SUM($T41:AC41)</f>
        <v>0</v>
      </c>
      <c r="AQ41" s="31">
        <f>SUM($T41:AD41)</f>
        <v>0</v>
      </c>
      <c r="AR41" s="31">
        <f>SUM($T41:AE41)</f>
        <v>60.44</v>
      </c>
      <c r="AS41" s="27">
        <f t="shared" si="15"/>
        <v>0</v>
      </c>
    </row>
    <row r="42" spans="1:45">
      <c r="B42" s="156">
        <f>IF(ROW()-6&gt;NumCostCenter,"",IF(CostCenter&lt;&gt;"ALL",CostCenter,DATA_LF2!B40))</f>
        <v>3211</v>
      </c>
      <c r="C42" s="153">
        <f>IF($B42&lt;&gt;"",INDEX(DataOB[],FirstRow+ROW()-7,2),"")</f>
        <v>3211</v>
      </c>
      <c r="D42" s="157" t="str">
        <f>IF($B42&lt;&gt;"",INDEX(DataOB[],FirstRow+ROW()-7,3),"")</f>
        <v>TBD</v>
      </c>
      <c r="E42" s="158">
        <f>IF($B42&lt;&gt;"",INDEX(DataOB[],FirstRow+ROW()-7,6),"")</f>
        <v>0</v>
      </c>
      <c r="F42" s="158" t="str">
        <f>IF($B42&lt;&gt;"",INDEX(DataOB[],FirstRow+ROW()-7,5),"")</f>
        <v>Curing security gate (CSG): software Y22</v>
      </c>
      <c r="G42" s="58">
        <f>IF($B42&lt;&gt;"",SUMIFS(DataAct_tbl[AMOUNT],DataAct_tbl[BG CODE],Detail!$D42,DataAct_tbl[MONTH],LEFT(MonthName,3),DataAct_tbl[Dept code],$B42),0)</f>
        <v>0</v>
      </c>
      <c r="H42" s="31">
        <f t="shared" si="7"/>
        <v>0</v>
      </c>
      <c r="I42" s="28">
        <f t="shared" si="8"/>
        <v>0</v>
      </c>
      <c r="J42" s="32" t="str">
        <f t="shared" si="9"/>
        <v xml:space="preserve"> </v>
      </c>
      <c r="K42" s="86"/>
      <c r="L42" s="62">
        <f>IF($B42&lt;&gt;"",SUMIFS(DataAct_tbl[AMOUNT],DataAct_tbl[BG CODE],Detail!$D42,DataAct_tbl[Check Range],"=true",DataAct_tbl[Dept code],$B42),0)</f>
        <v>0</v>
      </c>
      <c r="M42" s="63">
        <f>INDEX($AG$7:$AR$1005,ROW()-6,MATCH(MTD,$AG$6:$AR$6,0))</f>
        <v>0</v>
      </c>
      <c r="N42" s="34">
        <f t="shared" si="10"/>
        <v>0</v>
      </c>
      <c r="O42" s="64" t="str">
        <f t="shared" si="11"/>
        <v xml:space="preserve"> </v>
      </c>
      <c r="Q42" s="97">
        <f t="shared" si="12"/>
        <v>0</v>
      </c>
      <c r="R42" s="96">
        <f t="shared" si="13"/>
        <v>0</v>
      </c>
      <c r="T42" s="67">
        <f>IF($B42&lt;&gt;"",INDEX(DataOB[],FirstRow+ROW()-7,MATCH(T$6,DataOB[#Headers],0)),"")</f>
        <v>0</v>
      </c>
      <c r="U42" s="67">
        <f>IF($B42&lt;&gt;"",INDEX(DataOB[],FirstRow+ROW()-7,MATCH(U$6,DataOB[#Headers],0)),"")</f>
        <v>0</v>
      </c>
      <c r="V42" s="67">
        <f>IF($B42&lt;&gt;"",INDEX(DataOB[],FirstRow+ROW()-7,MATCH(V$6,DataOB[#Headers],0)),"")</f>
        <v>0</v>
      </c>
      <c r="W42" s="67">
        <f>IF($B42&lt;&gt;"",INDEX(DataOB[],FirstRow+ROW()-7,MATCH(W$6,DataOB[#Headers],0)),"")</f>
        <v>0</v>
      </c>
      <c r="X42" s="67">
        <f>IF($B42&lt;&gt;"",INDEX(DataOB[],FirstRow+ROW()-7,MATCH(X$6,DataOB[#Headers],0)),"")</f>
        <v>0</v>
      </c>
      <c r="Y42" s="67">
        <f>IF($B42&lt;&gt;"",INDEX(DataOB[],FirstRow+ROW()-7,MATCH(Y$6,DataOB[#Headers],0)),"")</f>
        <v>0</v>
      </c>
      <c r="Z42" s="67">
        <f>IF($B42&lt;&gt;"",INDEX(DataOB[],FirstRow+ROW()-7,MATCH(Z$6,DataOB[#Headers],0)),"")</f>
        <v>0</v>
      </c>
      <c r="AA42" s="67">
        <f>IF($B42&lt;&gt;"",INDEX(DataOB[],FirstRow+ROW()-7,MATCH(AA$6,DataOB[#Headers],0)),"")</f>
        <v>0</v>
      </c>
      <c r="AB42" s="67">
        <f>IF($B42&lt;&gt;"",INDEX(DataOB[],FirstRow+ROW()-7,MATCH(AB$6,DataOB[#Headers],0)),"")</f>
        <v>0</v>
      </c>
      <c r="AC42" s="67">
        <f>IF($B42&lt;&gt;"",INDEX(DataOB[],FirstRow+ROW()-7,MATCH(AC$6,DataOB[#Headers],0)),"")</f>
        <v>0</v>
      </c>
      <c r="AD42" s="67">
        <f>IF($B42&lt;&gt;"",INDEX(DataOB[],FirstRow+ROW()-7,MATCH(AD$6,DataOB[#Headers],0)),"")</f>
        <v>0</v>
      </c>
      <c r="AE42" s="67">
        <f>IF($B42&lt;&gt;"",INDEX(DataOB[],FirstRow+ROW()-7,MATCH(AE$6,DataOB[#Headers],0)),"")</f>
        <v>0</v>
      </c>
      <c r="AF42" s="26">
        <f t="shared" si="14"/>
        <v>0</v>
      </c>
      <c r="AG42" s="31">
        <f>SUM($T42:T42)</f>
        <v>0</v>
      </c>
      <c r="AH42" s="31">
        <f>SUM($T42:U42)</f>
        <v>0</v>
      </c>
      <c r="AI42" s="31">
        <f>SUM($T42:V42)</f>
        <v>0</v>
      </c>
      <c r="AJ42" s="31">
        <f>SUM($T42:W42)</f>
        <v>0</v>
      </c>
      <c r="AK42" s="31">
        <f>SUM($T42:X42)</f>
        <v>0</v>
      </c>
      <c r="AL42" s="31">
        <f>SUM($T42:Y42)</f>
        <v>0</v>
      </c>
      <c r="AM42" s="31">
        <f>SUM($T42:Z42)</f>
        <v>0</v>
      </c>
      <c r="AN42" s="31">
        <f>SUM($T42:AA42)</f>
        <v>0</v>
      </c>
      <c r="AO42" s="31">
        <f>SUM($T42:AB42)</f>
        <v>0</v>
      </c>
      <c r="AP42" s="31">
        <f>SUM($T42:AC42)</f>
        <v>0</v>
      </c>
      <c r="AQ42" s="31">
        <f>SUM($T42:AD42)</f>
        <v>0</v>
      </c>
      <c r="AR42" s="31">
        <f>SUM($T42:AE42)</f>
        <v>0</v>
      </c>
      <c r="AS42" s="27">
        <f t="shared" si="15"/>
        <v>0</v>
      </c>
    </row>
    <row r="43" spans="1:45">
      <c r="B43" s="156">
        <f>IF(ROW()-6&gt;NumCostCenter,"",IF(CostCenter&lt;&gt;"ALL",CostCenter,DATA_LF2!B41))</f>
        <v>3211</v>
      </c>
      <c r="C43" s="153">
        <f>IF($B43&lt;&gt;"",INDEX(DataOB[],FirstRow+ROW()-7,2),"")</f>
        <v>3211</v>
      </c>
      <c r="D43" s="157" t="str">
        <f>IF($B43&lt;&gt;"",INDEX(DataOB[],FirstRow+ROW()-7,3),"")</f>
        <v>TBD</v>
      </c>
      <c r="E43" s="158">
        <f>IF($B43&lt;&gt;"",INDEX(DataOB[],FirstRow+ROW()-7,6),"")</f>
        <v>0</v>
      </c>
      <c r="F43" s="158" t="str">
        <f>IF($B43&lt;&gt;"",INDEX(DataOB[],FirstRow+ROW()-7,5),"")</f>
        <v>Auto setting Drum test condition</v>
      </c>
      <c r="G43" s="58">
        <f>IF($B43&lt;&gt;"",SUMIFS(DataAct_tbl[AMOUNT],DataAct_tbl[BG CODE],Detail!$D43,DataAct_tbl[MONTH],LEFT(MonthName,3),DataAct_tbl[Dept code],$B43),0)</f>
        <v>0</v>
      </c>
      <c r="H43" s="31">
        <f t="shared" si="7"/>
        <v>0</v>
      </c>
      <c r="I43" s="28">
        <f t="shared" si="8"/>
        <v>0</v>
      </c>
      <c r="J43" s="32" t="str">
        <f t="shared" si="9"/>
        <v xml:space="preserve"> </v>
      </c>
      <c r="K43" s="86"/>
      <c r="L43" s="62">
        <f>IF($B43&lt;&gt;"",SUMIFS(DataAct_tbl[AMOUNT],DataAct_tbl[BG CODE],Detail!$D43,DataAct_tbl[Check Range],"=true",DataAct_tbl[Dept code],$B43),0)</f>
        <v>0</v>
      </c>
      <c r="M43" s="63">
        <f>INDEX($AG$7:$AR$1005,ROW()-6,MATCH(MTD,$AG$6:$AR$6,0))</f>
        <v>0</v>
      </c>
      <c r="N43" s="34">
        <f t="shared" si="10"/>
        <v>0</v>
      </c>
      <c r="O43" s="64" t="str">
        <f t="shared" si="11"/>
        <v xml:space="preserve"> </v>
      </c>
      <c r="Q43" s="97">
        <f t="shared" si="12"/>
        <v>15</v>
      </c>
      <c r="R43" s="96">
        <f t="shared" si="13"/>
        <v>15</v>
      </c>
      <c r="T43" s="67">
        <f>IF($B43&lt;&gt;"",INDEX(DataOB[],FirstRow+ROW()-7,MATCH(T$6,DataOB[#Headers],0)),"")</f>
        <v>0</v>
      </c>
      <c r="U43" s="67">
        <f>IF($B43&lt;&gt;"",INDEX(DataOB[],FirstRow+ROW()-7,MATCH(U$6,DataOB[#Headers],0)),"")</f>
        <v>0</v>
      </c>
      <c r="V43" s="67">
        <f>IF($B43&lt;&gt;"",INDEX(DataOB[],FirstRow+ROW()-7,MATCH(V$6,DataOB[#Headers],0)),"")</f>
        <v>0</v>
      </c>
      <c r="W43" s="67">
        <f>IF($B43&lt;&gt;"",INDEX(DataOB[],FirstRow+ROW()-7,MATCH(W$6,DataOB[#Headers],0)),"")</f>
        <v>0</v>
      </c>
      <c r="X43" s="67">
        <f>IF($B43&lt;&gt;"",INDEX(DataOB[],FirstRow+ROW()-7,MATCH(X$6,DataOB[#Headers],0)),"")</f>
        <v>0</v>
      </c>
      <c r="Y43" s="67">
        <f>IF($B43&lt;&gt;"",INDEX(DataOB[],FirstRow+ROW()-7,MATCH(Y$6,DataOB[#Headers],0)),"")</f>
        <v>0</v>
      </c>
      <c r="Z43" s="67">
        <f>IF($B43&lt;&gt;"",INDEX(DataOB[],FirstRow+ROW()-7,MATCH(Z$6,DataOB[#Headers],0)),"")</f>
        <v>0</v>
      </c>
      <c r="AA43" s="67">
        <f>IF($B43&lt;&gt;"",INDEX(DataOB[],FirstRow+ROW()-7,MATCH(AA$6,DataOB[#Headers],0)),"")</f>
        <v>0</v>
      </c>
      <c r="AB43" s="67">
        <f>IF($B43&lt;&gt;"",INDEX(DataOB[],FirstRow+ROW()-7,MATCH(AB$6,DataOB[#Headers],0)),"")</f>
        <v>0</v>
      </c>
      <c r="AC43" s="67">
        <f>IF($B43&lt;&gt;"",INDEX(DataOB[],FirstRow+ROW()-7,MATCH(AC$6,DataOB[#Headers],0)),"")</f>
        <v>0</v>
      </c>
      <c r="AD43" s="67">
        <f>IF($B43&lt;&gt;"",INDEX(DataOB[],FirstRow+ROW()-7,MATCH(AD$6,DataOB[#Headers],0)),"")</f>
        <v>0</v>
      </c>
      <c r="AE43" s="67">
        <f>IF($B43&lt;&gt;"",INDEX(DataOB[],FirstRow+ROW()-7,MATCH(AE$6,DataOB[#Headers],0)),"")</f>
        <v>15</v>
      </c>
      <c r="AF43" s="26">
        <f t="shared" si="14"/>
        <v>15</v>
      </c>
      <c r="AG43" s="31">
        <f>SUM($T43:T43)</f>
        <v>0</v>
      </c>
      <c r="AH43" s="31">
        <f>SUM($T43:U43)</f>
        <v>0</v>
      </c>
      <c r="AI43" s="31">
        <f>SUM($T43:V43)</f>
        <v>0</v>
      </c>
      <c r="AJ43" s="31">
        <f>SUM($T43:W43)</f>
        <v>0</v>
      </c>
      <c r="AK43" s="31">
        <f>SUM($T43:X43)</f>
        <v>0</v>
      </c>
      <c r="AL43" s="31">
        <f>SUM($T43:Y43)</f>
        <v>0</v>
      </c>
      <c r="AM43" s="31">
        <f>SUM($T43:Z43)</f>
        <v>0</v>
      </c>
      <c r="AN43" s="31">
        <f>SUM($T43:AA43)</f>
        <v>0</v>
      </c>
      <c r="AO43" s="31">
        <f>SUM($T43:AB43)</f>
        <v>0</v>
      </c>
      <c r="AP43" s="31">
        <f>SUM($T43:AC43)</f>
        <v>0</v>
      </c>
      <c r="AQ43" s="31">
        <f>SUM($T43:AD43)</f>
        <v>0</v>
      </c>
      <c r="AR43" s="31">
        <f>SUM($T43:AE43)</f>
        <v>15</v>
      </c>
      <c r="AS43" s="27">
        <f t="shared" si="15"/>
        <v>0</v>
      </c>
    </row>
    <row r="44" spans="1:45">
      <c r="B44" s="156">
        <f>IF(ROW()-6&gt;NumCostCenter,"",IF(CostCenter&lt;&gt;"ALL",CostCenter,DATA_LF2!B42))</f>
        <v>3211</v>
      </c>
      <c r="C44" s="153">
        <f>IF($B44&lt;&gt;"",INDEX(DataOB[],FirstRow+ROW()-7,2),"")</f>
        <v>3211</v>
      </c>
      <c r="D44" s="157" t="str">
        <f>IF($B44&lt;&gt;"",INDEX(DataOB[],FirstRow+ROW()-7,3),"")</f>
        <v>TBD</v>
      </c>
      <c r="E44" s="158">
        <f>IF($B44&lt;&gt;"",INDEX(DataOB[],FirstRow+ROW()-7,6),"")</f>
        <v>0</v>
      </c>
      <c r="F44" s="158" t="str">
        <f>IF($B44&lt;&gt;"",INDEX(DataOB[],FirstRow+ROW()-7,5),"")</f>
        <v>Raw Material specification database (Auto judgment for RM receiving inspection)</v>
      </c>
      <c r="G44" s="58">
        <f>IF($B44&lt;&gt;"",SUMIFS(DataAct_tbl[AMOUNT],DataAct_tbl[BG CODE],Detail!$D44,DataAct_tbl[MONTH],LEFT(MonthName,3),DataAct_tbl[Dept code],$B44),0)</f>
        <v>0</v>
      </c>
      <c r="H44" s="31">
        <f t="shared" si="7"/>
        <v>0</v>
      </c>
      <c r="I44" s="28">
        <f t="shared" si="8"/>
        <v>0</v>
      </c>
      <c r="J44" s="32" t="str">
        <f t="shared" si="9"/>
        <v xml:space="preserve"> </v>
      </c>
      <c r="K44" s="86"/>
      <c r="L44" s="62">
        <f>IF($B44&lt;&gt;"",SUMIFS(DataAct_tbl[AMOUNT],DataAct_tbl[BG CODE],Detail!$D44,DataAct_tbl[Check Range],"=true",DataAct_tbl[Dept code],$B44),0)</f>
        <v>0</v>
      </c>
      <c r="M44" s="63">
        <f>INDEX($AG$7:$AR$1005,ROW()-6,MATCH(MTD,$AG$6:$AR$6,0))</f>
        <v>0</v>
      </c>
      <c r="N44" s="34">
        <f t="shared" si="10"/>
        <v>0</v>
      </c>
      <c r="O44" s="64" t="str">
        <f t="shared" si="11"/>
        <v xml:space="preserve"> </v>
      </c>
      <c r="Q44" s="97">
        <f t="shared" si="12"/>
        <v>2</v>
      </c>
      <c r="R44" s="96">
        <f t="shared" si="13"/>
        <v>2</v>
      </c>
      <c r="T44" s="67">
        <f>IF($B44&lt;&gt;"",INDEX(DataOB[],FirstRow+ROW()-7,MATCH(T$6,DataOB[#Headers],0)),"")</f>
        <v>0</v>
      </c>
      <c r="U44" s="67">
        <f>IF($B44&lt;&gt;"",INDEX(DataOB[],FirstRow+ROW()-7,MATCH(U$6,DataOB[#Headers],0)),"")</f>
        <v>0</v>
      </c>
      <c r="V44" s="67">
        <f>IF($B44&lt;&gt;"",INDEX(DataOB[],FirstRow+ROW()-7,MATCH(V$6,DataOB[#Headers],0)),"")</f>
        <v>0</v>
      </c>
      <c r="W44" s="67">
        <f>IF($B44&lt;&gt;"",INDEX(DataOB[],FirstRow+ROW()-7,MATCH(W$6,DataOB[#Headers],0)),"")</f>
        <v>0</v>
      </c>
      <c r="X44" s="67">
        <f>IF($B44&lt;&gt;"",INDEX(DataOB[],FirstRow+ROW()-7,MATCH(X$6,DataOB[#Headers],0)),"")</f>
        <v>0</v>
      </c>
      <c r="Y44" s="67">
        <f>IF($B44&lt;&gt;"",INDEX(DataOB[],FirstRow+ROW()-7,MATCH(Y$6,DataOB[#Headers],0)),"")</f>
        <v>0</v>
      </c>
      <c r="Z44" s="67">
        <f>IF($B44&lt;&gt;"",INDEX(DataOB[],FirstRow+ROW()-7,MATCH(Z$6,DataOB[#Headers],0)),"")</f>
        <v>0</v>
      </c>
      <c r="AA44" s="67">
        <f>IF($B44&lt;&gt;"",INDEX(DataOB[],FirstRow+ROW()-7,MATCH(AA$6,DataOB[#Headers],0)),"")</f>
        <v>0</v>
      </c>
      <c r="AB44" s="67">
        <f>IF($B44&lt;&gt;"",INDEX(DataOB[],FirstRow+ROW()-7,MATCH(AB$6,DataOB[#Headers],0)),"")</f>
        <v>0</v>
      </c>
      <c r="AC44" s="67">
        <f>IF($B44&lt;&gt;"",INDEX(DataOB[],FirstRow+ROW()-7,MATCH(AC$6,DataOB[#Headers],0)),"")</f>
        <v>0</v>
      </c>
      <c r="AD44" s="67">
        <f>IF($B44&lt;&gt;"",INDEX(DataOB[],FirstRow+ROW()-7,MATCH(AD$6,DataOB[#Headers],0)),"")</f>
        <v>0</v>
      </c>
      <c r="AE44" s="67">
        <f>IF($B44&lt;&gt;"",INDEX(DataOB[],FirstRow+ROW()-7,MATCH(AE$6,DataOB[#Headers],0)),"")</f>
        <v>2</v>
      </c>
      <c r="AF44" s="26">
        <f t="shared" si="14"/>
        <v>2</v>
      </c>
      <c r="AG44" s="31">
        <f>SUM($T44:T44)</f>
        <v>0</v>
      </c>
      <c r="AH44" s="31">
        <f>SUM($T44:U44)</f>
        <v>0</v>
      </c>
      <c r="AI44" s="31">
        <f>SUM($T44:V44)</f>
        <v>0</v>
      </c>
      <c r="AJ44" s="31">
        <f>SUM($T44:W44)</f>
        <v>0</v>
      </c>
      <c r="AK44" s="31">
        <f>SUM($T44:X44)</f>
        <v>0</v>
      </c>
      <c r="AL44" s="31">
        <f>SUM($T44:Y44)</f>
        <v>0</v>
      </c>
      <c r="AM44" s="31">
        <f>SUM($T44:Z44)</f>
        <v>0</v>
      </c>
      <c r="AN44" s="31">
        <f>SUM($T44:AA44)</f>
        <v>0</v>
      </c>
      <c r="AO44" s="31">
        <f>SUM($T44:AB44)</f>
        <v>0</v>
      </c>
      <c r="AP44" s="31">
        <f>SUM($T44:AC44)</f>
        <v>0</v>
      </c>
      <c r="AQ44" s="31">
        <f>SUM($T44:AD44)</f>
        <v>0</v>
      </c>
      <c r="AR44" s="31">
        <f>SUM($T44:AE44)</f>
        <v>2</v>
      </c>
      <c r="AS44" s="27">
        <f t="shared" si="15"/>
        <v>0</v>
      </c>
    </row>
    <row r="45" spans="1:45">
      <c r="B45" s="156">
        <f>IF(ROW()-6&gt;NumCostCenter,"",IF(CostCenter&lt;&gt;"ALL",CostCenter,DATA_LF2!B43))</f>
        <v>3211</v>
      </c>
      <c r="C45" s="153">
        <f>IF($B45&lt;&gt;"",INDEX(DataOB[],FirstRow+ROW()-7,2),"")</f>
        <v>3211</v>
      </c>
      <c r="D45" s="157" t="str">
        <f>IF($B45&lt;&gt;"",INDEX(DataOB[],FirstRow+ROW()-7,3),"")</f>
        <v>OT03292C</v>
      </c>
      <c r="E45" s="158">
        <f>IF($B45&lt;&gt;"",INDEX(DataOB[],FirstRow+ROW()-7,6),"")</f>
        <v>0</v>
      </c>
      <c r="F45" s="158" t="str">
        <f>IF($B45&lt;&gt;"",INDEX(DataOB[],FirstRow+ROW()-7,5),"")</f>
        <v>Alum RRC and Plunger Rim 8.5Jx19</v>
      </c>
      <c r="G45" s="58">
        <f>IF($B45&lt;&gt;"",SUMIFS(DataAct_tbl[AMOUNT],DataAct_tbl[BG CODE],Detail!$D45,DataAct_tbl[MONTH],LEFT(MonthName,3),DataAct_tbl[Dept code],$B45),0)</f>
        <v>3.1760000000000002</v>
      </c>
      <c r="H45" s="31">
        <f t="shared" si="7"/>
        <v>3</v>
      </c>
      <c r="I45" s="28">
        <f t="shared" si="8"/>
        <v>0.17600000000000016</v>
      </c>
      <c r="J45" s="32">
        <f t="shared" si="9"/>
        <v>1.0586666666666666</v>
      </c>
      <c r="K45" s="86"/>
      <c r="L45" s="62">
        <f>IF($B45&lt;&gt;"",SUMIFS(DataAct_tbl[AMOUNT],DataAct_tbl[BG CODE],Detail!$D45,DataAct_tbl[Check Range],"=true",DataAct_tbl[Dept code],$B45),0)</f>
        <v>3.1760000000000002</v>
      </c>
      <c r="M45" s="63">
        <f>INDEX($AG$7:$AR$1005,ROW()-6,MATCH(MTD,$AG$6:$AR$6,0))</f>
        <v>3</v>
      </c>
      <c r="N45" s="34">
        <f t="shared" si="10"/>
        <v>0.17600000000000016</v>
      </c>
      <c r="O45" s="64">
        <f t="shared" si="11"/>
        <v>1.0586666666666666</v>
      </c>
      <c r="Q45" s="97">
        <f t="shared" si="12"/>
        <v>3</v>
      </c>
      <c r="R45" s="96">
        <f t="shared" si="13"/>
        <v>-0.17600000000000016</v>
      </c>
      <c r="T45" s="67">
        <f>IF($B45&lt;&gt;"",INDEX(DataOB[],FirstRow+ROW()-7,MATCH(T$6,DataOB[#Headers],0)),"")</f>
        <v>0</v>
      </c>
      <c r="U45" s="67">
        <f>IF($B45&lt;&gt;"",INDEX(DataOB[],FirstRow+ROW()-7,MATCH(U$6,DataOB[#Headers],0)),"")</f>
        <v>0</v>
      </c>
      <c r="V45" s="67">
        <f>IF($B45&lt;&gt;"",INDEX(DataOB[],FirstRow+ROW()-7,MATCH(V$6,DataOB[#Headers],0)),"")</f>
        <v>0</v>
      </c>
      <c r="W45" s="67">
        <f>IF($B45&lt;&gt;"",INDEX(DataOB[],FirstRow+ROW()-7,MATCH(W$6,DataOB[#Headers],0)),"")</f>
        <v>0</v>
      </c>
      <c r="X45" s="67">
        <f>IF($B45&lt;&gt;"",INDEX(DataOB[],FirstRow+ROW()-7,MATCH(X$6,DataOB[#Headers],0)),"")</f>
        <v>0</v>
      </c>
      <c r="Y45" s="67">
        <f>IF($B45&lt;&gt;"",INDEX(DataOB[],FirstRow+ROW()-7,MATCH(Y$6,DataOB[#Headers],0)),"")</f>
        <v>0</v>
      </c>
      <c r="Z45" s="67">
        <f>IF($B45&lt;&gt;"",INDEX(DataOB[],FirstRow+ROW()-7,MATCH(Z$6,DataOB[#Headers],0)),"")</f>
        <v>3</v>
      </c>
      <c r="AA45" s="67">
        <f>IF($B45&lt;&gt;"",INDEX(DataOB[],FirstRow+ROW()-7,MATCH(AA$6,DataOB[#Headers],0)),"")</f>
        <v>0</v>
      </c>
      <c r="AB45" s="67">
        <f>IF($B45&lt;&gt;"",INDEX(DataOB[],FirstRow+ROW()-7,MATCH(AB$6,DataOB[#Headers],0)),"")</f>
        <v>0</v>
      </c>
      <c r="AC45" s="67">
        <f>IF($B45&lt;&gt;"",INDEX(DataOB[],FirstRow+ROW()-7,MATCH(AC$6,DataOB[#Headers],0)),"")</f>
        <v>0</v>
      </c>
      <c r="AD45" s="67">
        <f>IF($B45&lt;&gt;"",INDEX(DataOB[],FirstRow+ROW()-7,MATCH(AD$6,DataOB[#Headers],0)),"")</f>
        <v>0</v>
      </c>
      <c r="AE45" s="67">
        <f>IF($B45&lt;&gt;"",INDEX(DataOB[],FirstRow+ROW()-7,MATCH(AE$6,DataOB[#Headers],0)),"")</f>
        <v>0</v>
      </c>
      <c r="AF45" s="26">
        <f t="shared" si="14"/>
        <v>3</v>
      </c>
      <c r="AG45" s="31">
        <f>SUM($T45:T45)</f>
        <v>0</v>
      </c>
      <c r="AH45" s="31">
        <f>SUM($T45:U45)</f>
        <v>0</v>
      </c>
      <c r="AI45" s="31">
        <f>SUM($T45:V45)</f>
        <v>0</v>
      </c>
      <c r="AJ45" s="31">
        <f>SUM($T45:W45)</f>
        <v>0</v>
      </c>
      <c r="AK45" s="31">
        <f>SUM($T45:X45)</f>
        <v>0</v>
      </c>
      <c r="AL45" s="31">
        <f>SUM($T45:Y45)</f>
        <v>0</v>
      </c>
      <c r="AM45" s="31">
        <f>SUM($T45:Z45)</f>
        <v>3</v>
      </c>
      <c r="AN45" s="31">
        <f>SUM($T45:AA45)</f>
        <v>3</v>
      </c>
      <c r="AO45" s="31">
        <f>SUM($T45:AB45)</f>
        <v>3</v>
      </c>
      <c r="AP45" s="31">
        <f>SUM($T45:AC45)</f>
        <v>3</v>
      </c>
      <c r="AQ45" s="31">
        <f>SUM($T45:AD45)</f>
        <v>3</v>
      </c>
      <c r="AR45" s="31">
        <f>SUM($T45:AE45)</f>
        <v>3</v>
      </c>
      <c r="AS45" s="27">
        <f t="shared" si="15"/>
        <v>0</v>
      </c>
    </row>
    <row r="46" spans="1:45">
      <c r="B46" s="156">
        <f>IF(ROW()-6&gt;NumCostCenter,"",IF(CostCenter&lt;&gt;"ALL",CostCenter,DATA_LF2!B44))</f>
        <v>3211</v>
      </c>
      <c r="C46" s="153">
        <f>IF($B46&lt;&gt;"",INDEX(DataOB[],FirstRow+ROW()-7,2),"")</f>
        <v>3211</v>
      </c>
      <c r="D46" s="157" t="str">
        <f>IF($B46&lt;&gt;"",INDEX(DataOB[],FirstRow+ROW()-7,3),"")</f>
        <v>OT03292D</v>
      </c>
      <c r="E46" s="158">
        <f>IF($B46&lt;&gt;"",INDEX(DataOB[],FirstRow+ROW()-7,6),"")</f>
        <v>0</v>
      </c>
      <c r="F46" s="158" t="str">
        <f>IF($B46&lt;&gt;"",INDEX(DataOB[],FirstRow+ROW()-7,5),"")</f>
        <v>Alum Drum Rim 8.5Jx19</v>
      </c>
      <c r="G46" s="58">
        <f>IF($B46&lt;&gt;"",SUMIFS(DataAct_tbl[AMOUNT],DataAct_tbl[BG CODE],Detail!$D46,DataAct_tbl[MONTH],LEFT(MonthName,3),DataAct_tbl[Dept code],$B46),0)</f>
        <v>2.9</v>
      </c>
      <c r="H46" s="31">
        <f t="shared" si="7"/>
        <v>5</v>
      </c>
      <c r="I46" s="28">
        <f t="shared" si="8"/>
        <v>-2.1</v>
      </c>
      <c r="J46" s="32">
        <f t="shared" si="9"/>
        <v>0.57999999999999996</v>
      </c>
      <c r="K46" s="86"/>
      <c r="L46" s="62">
        <f>IF($B46&lt;&gt;"",SUMIFS(DataAct_tbl[AMOUNT],DataAct_tbl[BG CODE],Detail!$D46,DataAct_tbl[Check Range],"=true",DataAct_tbl[Dept code],$B46),0)</f>
        <v>2.9</v>
      </c>
      <c r="M46" s="63">
        <f>INDEX($AG$7:$AR$1005,ROW()-6,MATCH(MTD,$AG$6:$AR$6,0))</f>
        <v>5</v>
      </c>
      <c r="N46" s="34">
        <f t="shared" si="10"/>
        <v>-2.1</v>
      </c>
      <c r="O46" s="64">
        <f t="shared" si="11"/>
        <v>0.57999999999999996</v>
      </c>
      <c r="Q46" s="97">
        <f t="shared" si="12"/>
        <v>5</v>
      </c>
      <c r="R46" s="96">
        <f t="shared" si="13"/>
        <v>2.1</v>
      </c>
      <c r="T46" s="67">
        <f>IF($B46&lt;&gt;"",INDEX(DataOB[],FirstRow+ROW()-7,MATCH(T$6,DataOB[#Headers],0)),"")</f>
        <v>0</v>
      </c>
      <c r="U46" s="67">
        <f>IF($B46&lt;&gt;"",INDEX(DataOB[],FirstRow+ROW()-7,MATCH(U$6,DataOB[#Headers],0)),"")</f>
        <v>0</v>
      </c>
      <c r="V46" s="67">
        <f>IF($B46&lt;&gt;"",INDEX(DataOB[],FirstRow+ROW()-7,MATCH(V$6,DataOB[#Headers],0)),"")</f>
        <v>0</v>
      </c>
      <c r="W46" s="67">
        <f>IF($B46&lt;&gt;"",INDEX(DataOB[],FirstRow+ROW()-7,MATCH(W$6,DataOB[#Headers],0)),"")</f>
        <v>0</v>
      </c>
      <c r="X46" s="67">
        <f>IF($B46&lt;&gt;"",INDEX(DataOB[],FirstRow+ROW()-7,MATCH(X$6,DataOB[#Headers],0)),"")</f>
        <v>0</v>
      </c>
      <c r="Y46" s="67">
        <f>IF($B46&lt;&gt;"",INDEX(DataOB[],FirstRow+ROW()-7,MATCH(Y$6,DataOB[#Headers],0)),"")</f>
        <v>0</v>
      </c>
      <c r="Z46" s="67">
        <f>IF($B46&lt;&gt;"",INDEX(DataOB[],FirstRow+ROW()-7,MATCH(Z$6,DataOB[#Headers],0)),"")</f>
        <v>5</v>
      </c>
      <c r="AA46" s="67">
        <f>IF($B46&lt;&gt;"",INDEX(DataOB[],FirstRow+ROW()-7,MATCH(AA$6,DataOB[#Headers],0)),"")</f>
        <v>0</v>
      </c>
      <c r="AB46" s="67">
        <f>IF($B46&lt;&gt;"",INDEX(DataOB[],FirstRow+ROW()-7,MATCH(AB$6,DataOB[#Headers],0)),"")</f>
        <v>0</v>
      </c>
      <c r="AC46" s="67">
        <f>IF($B46&lt;&gt;"",INDEX(DataOB[],FirstRow+ROW()-7,MATCH(AC$6,DataOB[#Headers],0)),"")</f>
        <v>0</v>
      </c>
      <c r="AD46" s="67">
        <f>IF($B46&lt;&gt;"",INDEX(DataOB[],FirstRow+ROW()-7,MATCH(AD$6,DataOB[#Headers],0)),"")</f>
        <v>0</v>
      </c>
      <c r="AE46" s="67">
        <f>IF($B46&lt;&gt;"",INDEX(DataOB[],FirstRow+ROW()-7,MATCH(AE$6,DataOB[#Headers],0)),"")</f>
        <v>0</v>
      </c>
      <c r="AF46" s="26">
        <f t="shared" si="14"/>
        <v>5</v>
      </c>
      <c r="AG46" s="31">
        <f>SUM($T46:T46)</f>
        <v>0</v>
      </c>
      <c r="AH46" s="31">
        <f>SUM($T46:U46)</f>
        <v>0</v>
      </c>
      <c r="AI46" s="31">
        <f>SUM($T46:V46)</f>
        <v>0</v>
      </c>
      <c r="AJ46" s="31">
        <f>SUM($T46:W46)</f>
        <v>0</v>
      </c>
      <c r="AK46" s="31">
        <f>SUM($T46:X46)</f>
        <v>0</v>
      </c>
      <c r="AL46" s="31">
        <f>SUM($T46:Y46)</f>
        <v>0</v>
      </c>
      <c r="AM46" s="31">
        <f>SUM($T46:Z46)</f>
        <v>5</v>
      </c>
      <c r="AN46" s="31">
        <f>SUM($T46:AA46)</f>
        <v>5</v>
      </c>
      <c r="AO46" s="31">
        <f>SUM($T46:AB46)</f>
        <v>5</v>
      </c>
      <c r="AP46" s="31">
        <f>SUM($T46:AC46)</f>
        <v>5</v>
      </c>
      <c r="AQ46" s="31">
        <f>SUM($T46:AD46)</f>
        <v>5</v>
      </c>
      <c r="AR46" s="31">
        <f>SUM($T46:AE46)</f>
        <v>5</v>
      </c>
      <c r="AS46" s="27">
        <f t="shared" si="15"/>
        <v>0</v>
      </c>
    </row>
    <row r="47" spans="1:45">
      <c r="B47" s="156">
        <f>IF(ROW()-6&gt;NumCostCenter,"",IF(CostCenter&lt;&gt;"ALL",CostCenter,DATA_LF2!B45))</f>
        <v>3211</v>
      </c>
      <c r="C47" s="153">
        <f>IF($B47&lt;&gt;"",INDEX(DataOB[],FirstRow+ROW()-7,2),"")</f>
        <v>3211</v>
      </c>
      <c r="D47" s="157" t="str">
        <f>IF($B47&lt;&gt;"",INDEX(DataOB[],FirstRow+ROW()-7,3),"")</f>
        <v>TBD</v>
      </c>
      <c r="E47" s="158">
        <f>IF($B47&lt;&gt;"",INDEX(DataOB[],FirstRow+ROW()-7,6),"")</f>
        <v>0</v>
      </c>
      <c r="F47" s="158" t="str">
        <f>IF($B47&lt;&gt;"",INDEX(DataOB[],FirstRow+ROW()-7,5),"")</f>
        <v>Alum Drum Rim 7.5Jx20</v>
      </c>
      <c r="G47" s="58">
        <f>IF($B47&lt;&gt;"",SUMIFS(DataAct_tbl[AMOUNT],DataAct_tbl[BG CODE],Detail!$D47,DataAct_tbl[MONTH],LEFT(MonthName,3),DataAct_tbl[Dept code],$B47),0)</f>
        <v>0</v>
      </c>
      <c r="H47" s="31">
        <f t="shared" si="7"/>
        <v>0</v>
      </c>
      <c r="I47" s="28">
        <f t="shared" si="8"/>
        <v>0</v>
      </c>
      <c r="J47" s="32" t="str">
        <f t="shared" si="9"/>
        <v xml:space="preserve"> </v>
      </c>
      <c r="K47" s="86"/>
      <c r="L47" s="62">
        <f>IF($B47&lt;&gt;"",SUMIFS(DataAct_tbl[AMOUNT],DataAct_tbl[BG CODE],Detail!$D47,DataAct_tbl[Check Range],"=true",DataAct_tbl[Dept code],$B47),0)</f>
        <v>0</v>
      </c>
      <c r="M47" s="63">
        <f>INDEX($AG$7:$AR$1005,ROW()-6,MATCH(MTD,$AG$6:$AR$6,0))</f>
        <v>0</v>
      </c>
      <c r="N47" s="34">
        <f t="shared" si="10"/>
        <v>0</v>
      </c>
      <c r="O47" s="64" t="str">
        <f t="shared" si="11"/>
        <v xml:space="preserve"> </v>
      </c>
      <c r="Q47" s="97">
        <f t="shared" si="12"/>
        <v>2.5</v>
      </c>
      <c r="R47" s="96">
        <f t="shared" si="13"/>
        <v>2.5</v>
      </c>
      <c r="T47" s="67">
        <f>IF($B47&lt;&gt;"",INDEX(DataOB[],FirstRow+ROW()-7,MATCH(T$6,DataOB[#Headers],0)),"")</f>
        <v>0</v>
      </c>
      <c r="U47" s="67">
        <f>IF($B47&lt;&gt;"",INDEX(DataOB[],FirstRow+ROW()-7,MATCH(U$6,DataOB[#Headers],0)),"")</f>
        <v>0</v>
      </c>
      <c r="V47" s="67">
        <f>IF($B47&lt;&gt;"",INDEX(DataOB[],FirstRow+ROW()-7,MATCH(V$6,DataOB[#Headers],0)),"")</f>
        <v>0</v>
      </c>
      <c r="W47" s="67">
        <f>IF($B47&lt;&gt;"",INDEX(DataOB[],FirstRow+ROW()-7,MATCH(W$6,DataOB[#Headers],0)),"")</f>
        <v>0</v>
      </c>
      <c r="X47" s="67">
        <f>IF($B47&lt;&gt;"",INDEX(DataOB[],FirstRow+ROW()-7,MATCH(X$6,DataOB[#Headers],0)),"")</f>
        <v>0</v>
      </c>
      <c r="Y47" s="67">
        <f>IF($B47&lt;&gt;"",INDEX(DataOB[],FirstRow+ROW()-7,MATCH(Y$6,DataOB[#Headers],0)),"")</f>
        <v>0</v>
      </c>
      <c r="Z47" s="67">
        <f>IF($B47&lt;&gt;"",INDEX(DataOB[],FirstRow+ROW()-7,MATCH(Z$6,DataOB[#Headers],0)),"")</f>
        <v>0</v>
      </c>
      <c r="AA47" s="67">
        <f>IF($B47&lt;&gt;"",INDEX(DataOB[],FirstRow+ROW()-7,MATCH(AA$6,DataOB[#Headers],0)),"")</f>
        <v>0</v>
      </c>
      <c r="AB47" s="67">
        <f>IF($B47&lt;&gt;"",INDEX(DataOB[],FirstRow+ROW()-7,MATCH(AB$6,DataOB[#Headers],0)),"")</f>
        <v>0</v>
      </c>
      <c r="AC47" s="67">
        <f>IF($B47&lt;&gt;"",INDEX(DataOB[],FirstRow+ROW()-7,MATCH(AC$6,DataOB[#Headers],0)),"")</f>
        <v>0</v>
      </c>
      <c r="AD47" s="67">
        <f>IF($B47&lt;&gt;"",INDEX(DataOB[],FirstRow+ROW()-7,MATCH(AD$6,DataOB[#Headers],0)),"")</f>
        <v>0</v>
      </c>
      <c r="AE47" s="67">
        <f>IF($B47&lt;&gt;"",INDEX(DataOB[],FirstRow+ROW()-7,MATCH(AE$6,DataOB[#Headers],0)),"")</f>
        <v>2.5</v>
      </c>
      <c r="AF47" s="26">
        <f t="shared" si="14"/>
        <v>2.5</v>
      </c>
      <c r="AG47" s="31">
        <f>SUM($T47:T47)</f>
        <v>0</v>
      </c>
      <c r="AH47" s="31">
        <f>SUM($T47:U47)</f>
        <v>0</v>
      </c>
      <c r="AI47" s="31">
        <f>SUM($T47:V47)</f>
        <v>0</v>
      </c>
      <c r="AJ47" s="31">
        <f>SUM($T47:W47)</f>
        <v>0</v>
      </c>
      <c r="AK47" s="31">
        <f>SUM($T47:X47)</f>
        <v>0</v>
      </c>
      <c r="AL47" s="31">
        <f>SUM($T47:Y47)</f>
        <v>0</v>
      </c>
      <c r="AM47" s="31">
        <f>SUM($T47:Z47)</f>
        <v>0</v>
      </c>
      <c r="AN47" s="31">
        <f>SUM($T47:AA47)</f>
        <v>0</v>
      </c>
      <c r="AO47" s="31">
        <f>SUM($T47:AB47)</f>
        <v>0</v>
      </c>
      <c r="AP47" s="31">
        <f>SUM($T47:AC47)</f>
        <v>0</v>
      </c>
      <c r="AQ47" s="31">
        <f>SUM($T47:AD47)</f>
        <v>0</v>
      </c>
      <c r="AR47" s="31">
        <f>SUM($T47:AE47)</f>
        <v>2.5</v>
      </c>
      <c r="AS47" s="27">
        <f t="shared" si="15"/>
        <v>0</v>
      </c>
    </row>
    <row r="48" spans="1:45">
      <c r="B48" s="156">
        <f>IF(ROW()-6&gt;NumCostCenter,"",IF(CostCenter&lt;&gt;"ALL",CostCenter,DATA_LF2!B46))</f>
        <v>3211</v>
      </c>
      <c r="C48" s="153">
        <f>IF($B48&lt;&gt;"",INDEX(DataOB[],FirstRow+ROW()-7,2),"")</f>
        <v>3211</v>
      </c>
      <c r="D48" s="157" t="str">
        <f>IF($B48&lt;&gt;"",INDEX(DataOB[],FirstRow+ROW()-7,3),"")</f>
        <v>TBD</v>
      </c>
      <c r="E48" s="158">
        <f>IF($B48&lt;&gt;"",INDEX(DataOB[],FirstRow+ROW()-7,6),"")</f>
        <v>0</v>
      </c>
      <c r="F48" s="158" t="str">
        <f>IF($B48&lt;&gt;"",INDEX(DataOB[],FirstRow+ROW()-7,5),"")</f>
        <v>Alum Drum Rim 8Jx20</v>
      </c>
      <c r="G48" s="58">
        <f>IF($B48&lt;&gt;"",SUMIFS(DataAct_tbl[AMOUNT],DataAct_tbl[BG CODE],Detail!$D48,DataAct_tbl[MONTH],LEFT(MonthName,3),DataAct_tbl[Dept code],$B48),0)</f>
        <v>0</v>
      </c>
      <c r="H48" s="31">
        <f t="shared" si="7"/>
        <v>0</v>
      </c>
      <c r="I48" s="28">
        <f t="shared" si="8"/>
        <v>0</v>
      </c>
      <c r="J48" s="32" t="str">
        <f t="shared" si="9"/>
        <v xml:space="preserve"> </v>
      </c>
      <c r="K48" s="86"/>
      <c r="L48" s="62">
        <f>IF($B48&lt;&gt;"",SUMIFS(DataAct_tbl[AMOUNT],DataAct_tbl[BG CODE],Detail!$D48,DataAct_tbl[Check Range],"=true",DataAct_tbl[Dept code],$B48),0)</f>
        <v>0</v>
      </c>
      <c r="M48" s="63">
        <f>INDEX($AG$7:$AR$1005,ROW()-6,MATCH(MTD,$AG$6:$AR$6,0))</f>
        <v>0</v>
      </c>
      <c r="N48" s="34">
        <f t="shared" si="10"/>
        <v>0</v>
      </c>
      <c r="O48" s="64" t="str">
        <f t="shared" si="11"/>
        <v xml:space="preserve"> </v>
      </c>
      <c r="Q48" s="97">
        <f t="shared" si="12"/>
        <v>2.5</v>
      </c>
      <c r="R48" s="96">
        <f t="shared" si="13"/>
        <v>2.5</v>
      </c>
      <c r="T48" s="67">
        <f>IF($B48&lt;&gt;"",INDEX(DataOB[],FirstRow+ROW()-7,MATCH(T$6,DataOB[#Headers],0)),"")</f>
        <v>0</v>
      </c>
      <c r="U48" s="67">
        <f>IF($B48&lt;&gt;"",INDEX(DataOB[],FirstRow+ROW()-7,MATCH(U$6,DataOB[#Headers],0)),"")</f>
        <v>0</v>
      </c>
      <c r="V48" s="67">
        <f>IF($B48&lt;&gt;"",INDEX(DataOB[],FirstRow+ROW()-7,MATCH(V$6,DataOB[#Headers],0)),"")</f>
        <v>0</v>
      </c>
      <c r="W48" s="67">
        <f>IF($B48&lt;&gt;"",INDEX(DataOB[],FirstRow+ROW()-7,MATCH(W$6,DataOB[#Headers],0)),"")</f>
        <v>0</v>
      </c>
      <c r="X48" s="67">
        <f>IF($B48&lt;&gt;"",INDEX(DataOB[],FirstRow+ROW()-7,MATCH(X$6,DataOB[#Headers],0)),"")</f>
        <v>0</v>
      </c>
      <c r="Y48" s="67">
        <f>IF($B48&lt;&gt;"",INDEX(DataOB[],FirstRow+ROW()-7,MATCH(Y$6,DataOB[#Headers],0)),"")</f>
        <v>0</v>
      </c>
      <c r="Z48" s="67">
        <f>IF($B48&lt;&gt;"",INDEX(DataOB[],FirstRow+ROW()-7,MATCH(Z$6,DataOB[#Headers],0)),"")</f>
        <v>0</v>
      </c>
      <c r="AA48" s="67">
        <f>IF($B48&lt;&gt;"",INDEX(DataOB[],FirstRow+ROW()-7,MATCH(AA$6,DataOB[#Headers],0)),"")</f>
        <v>0</v>
      </c>
      <c r="AB48" s="67">
        <f>IF($B48&lt;&gt;"",INDEX(DataOB[],FirstRow+ROW()-7,MATCH(AB$6,DataOB[#Headers],0)),"")</f>
        <v>0</v>
      </c>
      <c r="AC48" s="67">
        <f>IF($B48&lt;&gt;"",INDEX(DataOB[],FirstRow+ROW()-7,MATCH(AC$6,DataOB[#Headers],0)),"")</f>
        <v>0</v>
      </c>
      <c r="AD48" s="67">
        <f>IF($B48&lt;&gt;"",INDEX(DataOB[],FirstRow+ROW()-7,MATCH(AD$6,DataOB[#Headers],0)),"")</f>
        <v>0</v>
      </c>
      <c r="AE48" s="67">
        <f>IF($B48&lt;&gt;"",INDEX(DataOB[],FirstRow+ROW()-7,MATCH(AE$6,DataOB[#Headers],0)),"")</f>
        <v>2.5</v>
      </c>
      <c r="AF48" s="26">
        <f t="shared" si="14"/>
        <v>2.5</v>
      </c>
      <c r="AG48" s="31">
        <f>SUM($T48:T48)</f>
        <v>0</v>
      </c>
      <c r="AH48" s="31">
        <f>SUM($T48:U48)</f>
        <v>0</v>
      </c>
      <c r="AI48" s="31">
        <f>SUM($T48:V48)</f>
        <v>0</v>
      </c>
      <c r="AJ48" s="31">
        <f>SUM($T48:W48)</f>
        <v>0</v>
      </c>
      <c r="AK48" s="31">
        <f>SUM($T48:X48)</f>
        <v>0</v>
      </c>
      <c r="AL48" s="31">
        <f>SUM($T48:Y48)</f>
        <v>0</v>
      </c>
      <c r="AM48" s="31">
        <f>SUM($T48:Z48)</f>
        <v>0</v>
      </c>
      <c r="AN48" s="31">
        <f>SUM($T48:AA48)</f>
        <v>0</v>
      </c>
      <c r="AO48" s="31">
        <f>SUM($T48:AB48)</f>
        <v>0</v>
      </c>
      <c r="AP48" s="31">
        <f>SUM($T48:AC48)</f>
        <v>0</v>
      </c>
      <c r="AQ48" s="31">
        <f>SUM($T48:AD48)</f>
        <v>0</v>
      </c>
      <c r="AR48" s="31">
        <f>SUM($T48:AE48)</f>
        <v>2.5</v>
      </c>
      <c r="AS48" s="27">
        <f t="shared" si="15"/>
        <v>0</v>
      </c>
    </row>
    <row r="49" spans="2:45">
      <c r="B49" s="156">
        <f>IF(ROW()-6&gt;NumCostCenter,"",IF(CostCenter&lt;&gt;"ALL",CostCenter,DATA_LF2!B47))</f>
        <v>3211</v>
      </c>
      <c r="C49" s="153">
        <f>IF($B49&lt;&gt;"",INDEX(DataOB[],FirstRow+ROW()-7,2),"")</f>
        <v>3211</v>
      </c>
      <c r="D49" s="157" t="str">
        <f>IF($B49&lt;&gt;"",INDEX(DataOB[],FirstRow+ROW()-7,3),"")</f>
        <v>OT03292I</v>
      </c>
      <c r="E49" s="158">
        <f>IF($B49&lt;&gt;"",INDEX(DataOB[],FirstRow+ROW()-7,6),"")</f>
        <v>0</v>
      </c>
      <c r="F49" s="158" t="str">
        <f>IF($B49&lt;&gt;"",INDEX(DataOB[],FirstRow+ROW()-7,5),"")</f>
        <v>Alum Drum Rim 8.5Jx20</v>
      </c>
      <c r="G49" s="58">
        <f>IF($B49&lt;&gt;"",SUMIFS(DataAct_tbl[AMOUNT],DataAct_tbl[BG CODE],Detail!$D49,DataAct_tbl[MONTH],LEFT(MonthName,3),DataAct_tbl[Dept code],$B49),0)</f>
        <v>1.48</v>
      </c>
      <c r="H49" s="31">
        <f t="shared" si="7"/>
        <v>2.5</v>
      </c>
      <c r="I49" s="28">
        <f t="shared" si="8"/>
        <v>-1.02</v>
      </c>
      <c r="J49" s="32">
        <f t="shared" si="9"/>
        <v>0.59199999999999997</v>
      </c>
      <c r="K49" s="86"/>
      <c r="L49" s="62">
        <f>IF($B49&lt;&gt;"",SUMIFS(DataAct_tbl[AMOUNT],DataAct_tbl[BG CODE],Detail!$D49,DataAct_tbl[Check Range],"=true",DataAct_tbl[Dept code],$B49),0)</f>
        <v>1.48</v>
      </c>
      <c r="M49" s="63">
        <f>INDEX($AG$7:$AR$1005,ROW()-6,MATCH(MTD,$AG$6:$AR$6,0))</f>
        <v>2.5</v>
      </c>
      <c r="N49" s="34">
        <f t="shared" si="10"/>
        <v>-1.02</v>
      </c>
      <c r="O49" s="64">
        <f t="shared" si="11"/>
        <v>0.59199999999999997</v>
      </c>
      <c r="Q49" s="97">
        <f t="shared" si="12"/>
        <v>2.5</v>
      </c>
      <c r="R49" s="96">
        <f t="shared" si="13"/>
        <v>1.02</v>
      </c>
      <c r="T49" s="67">
        <f>IF($B49&lt;&gt;"",INDEX(DataOB[],FirstRow+ROW()-7,MATCH(T$6,DataOB[#Headers],0)),"")</f>
        <v>0</v>
      </c>
      <c r="U49" s="67">
        <f>IF($B49&lt;&gt;"",INDEX(DataOB[],FirstRow+ROW()-7,MATCH(U$6,DataOB[#Headers],0)),"")</f>
        <v>0</v>
      </c>
      <c r="V49" s="67">
        <f>IF($B49&lt;&gt;"",INDEX(DataOB[],FirstRow+ROW()-7,MATCH(V$6,DataOB[#Headers],0)),"")</f>
        <v>0</v>
      </c>
      <c r="W49" s="67">
        <f>IF($B49&lt;&gt;"",INDEX(DataOB[],FirstRow+ROW()-7,MATCH(W$6,DataOB[#Headers],0)),"")</f>
        <v>0</v>
      </c>
      <c r="X49" s="67">
        <f>IF($B49&lt;&gt;"",INDEX(DataOB[],FirstRow+ROW()-7,MATCH(X$6,DataOB[#Headers],0)),"")</f>
        <v>0</v>
      </c>
      <c r="Y49" s="67">
        <f>IF($B49&lt;&gt;"",INDEX(DataOB[],FirstRow+ROW()-7,MATCH(Y$6,DataOB[#Headers],0)),"")</f>
        <v>0</v>
      </c>
      <c r="Z49" s="67">
        <f>IF($B49&lt;&gt;"",INDEX(DataOB[],FirstRow+ROW()-7,MATCH(Z$6,DataOB[#Headers],0)),"")</f>
        <v>2.5</v>
      </c>
      <c r="AA49" s="67">
        <f>IF($B49&lt;&gt;"",INDEX(DataOB[],FirstRow+ROW()-7,MATCH(AA$6,DataOB[#Headers],0)),"")</f>
        <v>0</v>
      </c>
      <c r="AB49" s="67">
        <f>IF($B49&lt;&gt;"",INDEX(DataOB[],FirstRow+ROW()-7,MATCH(AB$6,DataOB[#Headers],0)),"")</f>
        <v>0</v>
      </c>
      <c r="AC49" s="67">
        <f>IF($B49&lt;&gt;"",INDEX(DataOB[],FirstRow+ROW()-7,MATCH(AC$6,DataOB[#Headers],0)),"")</f>
        <v>0</v>
      </c>
      <c r="AD49" s="67">
        <f>IF($B49&lt;&gt;"",INDEX(DataOB[],FirstRow+ROW()-7,MATCH(AD$6,DataOB[#Headers],0)),"")</f>
        <v>0</v>
      </c>
      <c r="AE49" s="67">
        <f>IF($B49&lt;&gt;"",INDEX(DataOB[],FirstRow+ROW()-7,MATCH(AE$6,DataOB[#Headers],0)),"")</f>
        <v>0</v>
      </c>
      <c r="AF49" s="26">
        <f t="shared" si="14"/>
        <v>2.5</v>
      </c>
      <c r="AG49" s="31">
        <f>SUM($T49:T49)</f>
        <v>0</v>
      </c>
      <c r="AH49" s="31">
        <f>SUM($T49:U49)</f>
        <v>0</v>
      </c>
      <c r="AI49" s="31">
        <f>SUM($T49:V49)</f>
        <v>0</v>
      </c>
      <c r="AJ49" s="31">
        <f>SUM($T49:W49)</f>
        <v>0</v>
      </c>
      <c r="AK49" s="31">
        <f>SUM($T49:X49)</f>
        <v>0</v>
      </c>
      <c r="AL49" s="31">
        <f>SUM($T49:Y49)</f>
        <v>0</v>
      </c>
      <c r="AM49" s="31">
        <f>SUM($T49:Z49)</f>
        <v>2.5</v>
      </c>
      <c r="AN49" s="31">
        <f>SUM($T49:AA49)</f>
        <v>2.5</v>
      </c>
      <c r="AO49" s="31">
        <f>SUM($T49:AB49)</f>
        <v>2.5</v>
      </c>
      <c r="AP49" s="31">
        <f>SUM($T49:AC49)</f>
        <v>2.5</v>
      </c>
      <c r="AQ49" s="31">
        <f>SUM($T49:AD49)</f>
        <v>2.5</v>
      </c>
      <c r="AR49" s="31">
        <f>SUM($T49:AE49)</f>
        <v>2.5</v>
      </c>
      <c r="AS49" s="27">
        <f t="shared" si="15"/>
        <v>0</v>
      </c>
    </row>
    <row r="50" spans="2:45">
      <c r="B50" s="156">
        <f>IF(ROW()-6&gt;NumCostCenter,"",IF(CostCenter&lt;&gt;"ALL",CostCenter,DATA_LF2!B48))</f>
        <v>3211</v>
      </c>
      <c r="C50" s="153">
        <f>IF($B50&lt;&gt;"",INDEX(DataOB[],FirstRow+ROW()-7,2),"")</f>
        <v>3211</v>
      </c>
      <c r="D50" s="157" t="str">
        <f>IF($B50&lt;&gt;"",INDEX(DataOB[],FirstRow+ROW()-7,3),"")</f>
        <v>TBD</v>
      </c>
      <c r="E50" s="158">
        <f>IF($B50&lt;&gt;"",INDEX(DataOB[],FirstRow+ROW()-7,6),"")</f>
        <v>0</v>
      </c>
      <c r="F50" s="158" t="str">
        <f>IF($B50&lt;&gt;"",INDEX(DataOB[],FirstRow+ROW()-7,5),"")</f>
        <v>Alum RRC and Plunger Rim 9.5Jx22</v>
      </c>
      <c r="G50" s="58">
        <f>IF($B50&lt;&gt;"",SUMIFS(DataAct_tbl[AMOUNT],DataAct_tbl[BG CODE],Detail!$D50,DataAct_tbl[MONTH],LEFT(MonthName,3),DataAct_tbl[Dept code],$B50),0)</f>
        <v>0</v>
      </c>
      <c r="H50" s="31">
        <f t="shared" si="7"/>
        <v>0</v>
      </c>
      <c r="I50" s="28">
        <f t="shared" si="8"/>
        <v>0</v>
      </c>
      <c r="J50" s="32" t="str">
        <f t="shared" si="9"/>
        <v xml:space="preserve"> </v>
      </c>
      <c r="K50" s="86"/>
      <c r="L50" s="62">
        <f>IF($B50&lt;&gt;"",SUMIFS(DataAct_tbl[AMOUNT],DataAct_tbl[BG CODE],Detail!$D50,DataAct_tbl[Check Range],"=true",DataAct_tbl[Dept code],$B50),0)</f>
        <v>0</v>
      </c>
      <c r="M50" s="63">
        <f>INDEX($AG$7:$AR$1005,ROW()-6,MATCH(MTD,$AG$6:$AR$6,0))</f>
        <v>0</v>
      </c>
      <c r="N50" s="34">
        <f t="shared" si="10"/>
        <v>0</v>
      </c>
      <c r="O50" s="64" t="str">
        <f t="shared" si="11"/>
        <v xml:space="preserve"> </v>
      </c>
      <c r="Q50" s="97">
        <f t="shared" si="12"/>
        <v>4</v>
      </c>
      <c r="R50" s="96">
        <f t="shared" si="13"/>
        <v>4</v>
      </c>
      <c r="T50" s="67">
        <f>IF($B50&lt;&gt;"",INDEX(DataOB[],FirstRow+ROW()-7,MATCH(T$6,DataOB[#Headers],0)),"")</f>
        <v>0</v>
      </c>
      <c r="U50" s="67">
        <f>IF($B50&lt;&gt;"",INDEX(DataOB[],FirstRow+ROW()-7,MATCH(U$6,DataOB[#Headers],0)),"")</f>
        <v>0</v>
      </c>
      <c r="V50" s="67">
        <f>IF($B50&lt;&gt;"",INDEX(DataOB[],FirstRow+ROW()-7,MATCH(V$6,DataOB[#Headers],0)),"")</f>
        <v>0</v>
      </c>
      <c r="W50" s="67">
        <f>IF($B50&lt;&gt;"",INDEX(DataOB[],FirstRow+ROW()-7,MATCH(W$6,DataOB[#Headers],0)),"")</f>
        <v>0</v>
      </c>
      <c r="X50" s="67">
        <f>IF($B50&lt;&gt;"",INDEX(DataOB[],FirstRow+ROW()-7,MATCH(X$6,DataOB[#Headers],0)),"")</f>
        <v>0</v>
      </c>
      <c r="Y50" s="67">
        <f>IF($B50&lt;&gt;"",INDEX(DataOB[],FirstRow+ROW()-7,MATCH(Y$6,DataOB[#Headers],0)),"")</f>
        <v>0</v>
      </c>
      <c r="Z50" s="67">
        <f>IF($B50&lt;&gt;"",INDEX(DataOB[],FirstRow+ROW()-7,MATCH(Z$6,DataOB[#Headers],0)),"")</f>
        <v>0</v>
      </c>
      <c r="AA50" s="67">
        <f>IF($B50&lt;&gt;"",INDEX(DataOB[],FirstRow+ROW()-7,MATCH(AA$6,DataOB[#Headers],0)),"")</f>
        <v>0</v>
      </c>
      <c r="AB50" s="67">
        <f>IF($B50&lt;&gt;"",INDEX(DataOB[],FirstRow+ROW()-7,MATCH(AB$6,DataOB[#Headers],0)),"")</f>
        <v>0</v>
      </c>
      <c r="AC50" s="67">
        <f>IF($B50&lt;&gt;"",INDEX(DataOB[],FirstRow+ROW()-7,MATCH(AC$6,DataOB[#Headers],0)),"")</f>
        <v>0</v>
      </c>
      <c r="AD50" s="67">
        <f>IF($B50&lt;&gt;"",INDEX(DataOB[],FirstRow+ROW()-7,MATCH(AD$6,DataOB[#Headers],0)),"")</f>
        <v>0</v>
      </c>
      <c r="AE50" s="67">
        <f>IF($B50&lt;&gt;"",INDEX(DataOB[],FirstRow+ROW()-7,MATCH(AE$6,DataOB[#Headers],0)),"")</f>
        <v>4</v>
      </c>
      <c r="AF50" s="26">
        <f t="shared" si="14"/>
        <v>4</v>
      </c>
      <c r="AG50" s="31">
        <f>SUM($T50:T50)</f>
        <v>0</v>
      </c>
      <c r="AH50" s="31">
        <f>SUM($T50:U50)</f>
        <v>0</v>
      </c>
      <c r="AI50" s="31">
        <f>SUM($T50:V50)</f>
        <v>0</v>
      </c>
      <c r="AJ50" s="31">
        <f>SUM($T50:W50)</f>
        <v>0</v>
      </c>
      <c r="AK50" s="31">
        <f>SUM($T50:X50)</f>
        <v>0</v>
      </c>
      <c r="AL50" s="31">
        <f>SUM($T50:Y50)</f>
        <v>0</v>
      </c>
      <c r="AM50" s="31">
        <f>SUM($T50:Z50)</f>
        <v>0</v>
      </c>
      <c r="AN50" s="31">
        <f>SUM($T50:AA50)</f>
        <v>0</v>
      </c>
      <c r="AO50" s="31">
        <f>SUM($T50:AB50)</f>
        <v>0</v>
      </c>
      <c r="AP50" s="31">
        <f>SUM($T50:AC50)</f>
        <v>0</v>
      </c>
      <c r="AQ50" s="31">
        <f>SUM($T50:AD50)</f>
        <v>0</v>
      </c>
      <c r="AR50" s="31">
        <f>SUM($T50:AE50)</f>
        <v>4</v>
      </c>
      <c r="AS50" s="27">
        <f t="shared" si="15"/>
        <v>0</v>
      </c>
    </row>
    <row r="51" spans="2:45">
      <c r="B51" s="156">
        <f>IF(ROW()-6&gt;NumCostCenter,"",IF(CostCenter&lt;&gt;"ALL",CostCenter,DATA_LF2!B49))</f>
        <v>3211</v>
      </c>
      <c r="C51" s="153">
        <f>IF($B51&lt;&gt;"",INDEX(DataOB[],FirstRow+ROW()-7,2),"")</f>
        <v>3211</v>
      </c>
      <c r="D51" s="157" t="str">
        <f>IF($B51&lt;&gt;"",INDEX(DataOB[],FirstRow+ROW()-7,3),"")</f>
        <v>TBD</v>
      </c>
      <c r="E51" s="158">
        <f>IF($B51&lt;&gt;"",INDEX(DataOB[],FirstRow+ROW()-7,6),"")</f>
        <v>0</v>
      </c>
      <c r="F51" s="158" t="str">
        <f>IF($B51&lt;&gt;"",INDEX(DataOB[],FirstRow+ROW()-7,5),"")</f>
        <v>Alum Drum Rim 9.5Jx22</v>
      </c>
      <c r="G51" s="58">
        <f>IF($B51&lt;&gt;"",SUMIFS(DataAct_tbl[AMOUNT],DataAct_tbl[BG CODE],Detail!$D51,DataAct_tbl[MONTH],LEFT(MonthName,3),DataAct_tbl[Dept code],$B51),0)</f>
        <v>0</v>
      </c>
      <c r="H51" s="31">
        <f t="shared" si="7"/>
        <v>0</v>
      </c>
      <c r="I51" s="28">
        <f t="shared" si="8"/>
        <v>0</v>
      </c>
      <c r="J51" s="32" t="str">
        <f t="shared" si="9"/>
        <v xml:space="preserve"> </v>
      </c>
      <c r="K51" s="86"/>
      <c r="L51" s="62">
        <f>IF($B51&lt;&gt;"",SUMIFS(DataAct_tbl[AMOUNT],DataAct_tbl[BG CODE],Detail!$D51,DataAct_tbl[Check Range],"=true",DataAct_tbl[Dept code],$B51),0)</f>
        <v>0</v>
      </c>
      <c r="M51" s="63">
        <f>INDEX($AG$7:$AR$1005,ROW()-6,MATCH(MTD,$AG$6:$AR$6,0))</f>
        <v>0</v>
      </c>
      <c r="N51" s="34">
        <f t="shared" si="10"/>
        <v>0</v>
      </c>
      <c r="O51" s="64" t="str">
        <f t="shared" si="11"/>
        <v xml:space="preserve"> </v>
      </c>
      <c r="Q51" s="97">
        <f t="shared" si="12"/>
        <v>8</v>
      </c>
      <c r="R51" s="96">
        <f t="shared" si="13"/>
        <v>8</v>
      </c>
      <c r="T51" s="67">
        <f>IF($B51&lt;&gt;"",INDEX(DataOB[],FirstRow+ROW()-7,MATCH(T$6,DataOB[#Headers],0)),"")</f>
        <v>0</v>
      </c>
      <c r="U51" s="67">
        <f>IF($B51&lt;&gt;"",INDEX(DataOB[],FirstRow+ROW()-7,MATCH(U$6,DataOB[#Headers],0)),"")</f>
        <v>0</v>
      </c>
      <c r="V51" s="67">
        <f>IF($B51&lt;&gt;"",INDEX(DataOB[],FirstRow+ROW()-7,MATCH(V$6,DataOB[#Headers],0)),"")</f>
        <v>0</v>
      </c>
      <c r="W51" s="67">
        <f>IF($B51&lt;&gt;"",INDEX(DataOB[],FirstRow+ROW()-7,MATCH(W$6,DataOB[#Headers],0)),"")</f>
        <v>0</v>
      </c>
      <c r="X51" s="67">
        <f>IF($B51&lt;&gt;"",INDEX(DataOB[],FirstRow+ROW()-7,MATCH(X$6,DataOB[#Headers],0)),"")</f>
        <v>0</v>
      </c>
      <c r="Y51" s="67">
        <f>IF($B51&lt;&gt;"",INDEX(DataOB[],FirstRow+ROW()-7,MATCH(Y$6,DataOB[#Headers],0)),"")</f>
        <v>0</v>
      </c>
      <c r="Z51" s="67">
        <f>IF($B51&lt;&gt;"",INDEX(DataOB[],FirstRow+ROW()-7,MATCH(Z$6,DataOB[#Headers],0)),"")</f>
        <v>0</v>
      </c>
      <c r="AA51" s="67">
        <f>IF($B51&lt;&gt;"",INDEX(DataOB[],FirstRow+ROW()-7,MATCH(AA$6,DataOB[#Headers],0)),"")</f>
        <v>0</v>
      </c>
      <c r="AB51" s="67">
        <f>IF($B51&lt;&gt;"",INDEX(DataOB[],FirstRow+ROW()-7,MATCH(AB$6,DataOB[#Headers],0)),"")</f>
        <v>0</v>
      </c>
      <c r="AC51" s="67">
        <f>IF($B51&lt;&gt;"",INDEX(DataOB[],FirstRow+ROW()-7,MATCH(AC$6,DataOB[#Headers],0)),"")</f>
        <v>0</v>
      </c>
      <c r="AD51" s="67">
        <f>IF($B51&lt;&gt;"",INDEX(DataOB[],FirstRow+ROW()-7,MATCH(AD$6,DataOB[#Headers],0)),"")</f>
        <v>0</v>
      </c>
      <c r="AE51" s="67">
        <f>IF($B51&lt;&gt;"",INDEX(DataOB[],FirstRow+ROW()-7,MATCH(AE$6,DataOB[#Headers],0)),"")</f>
        <v>8</v>
      </c>
      <c r="AF51" s="26">
        <f t="shared" si="14"/>
        <v>8</v>
      </c>
      <c r="AG51" s="31">
        <f>SUM($T51:T51)</f>
        <v>0</v>
      </c>
      <c r="AH51" s="31">
        <f>SUM($T51:U51)</f>
        <v>0</v>
      </c>
      <c r="AI51" s="31">
        <f>SUM($T51:V51)</f>
        <v>0</v>
      </c>
      <c r="AJ51" s="31">
        <f>SUM($T51:W51)</f>
        <v>0</v>
      </c>
      <c r="AK51" s="31">
        <f>SUM($T51:X51)</f>
        <v>0</v>
      </c>
      <c r="AL51" s="31">
        <f>SUM($T51:Y51)</f>
        <v>0</v>
      </c>
      <c r="AM51" s="31">
        <f>SUM($T51:Z51)</f>
        <v>0</v>
      </c>
      <c r="AN51" s="31">
        <f>SUM($T51:AA51)</f>
        <v>0</v>
      </c>
      <c r="AO51" s="31">
        <f>SUM($T51:AB51)</f>
        <v>0</v>
      </c>
      <c r="AP51" s="31">
        <f>SUM($T51:AC51)</f>
        <v>0</v>
      </c>
      <c r="AQ51" s="31">
        <f>SUM($T51:AD51)</f>
        <v>0</v>
      </c>
      <c r="AR51" s="31">
        <f>SUM($T51:AE51)</f>
        <v>8</v>
      </c>
      <c r="AS51" s="27">
        <f t="shared" si="15"/>
        <v>0</v>
      </c>
    </row>
    <row r="52" spans="2:45">
      <c r="B52" s="156">
        <f>IF(ROW()-6&gt;NumCostCenter,"",IF(CostCenter&lt;&gt;"ALL",CostCenter,DATA_LF2!B50))</f>
        <v>3211</v>
      </c>
      <c r="C52" s="153">
        <f>IF($B52&lt;&gt;"",INDEX(DataOB[],FirstRow+ROW()-7,2),"")</f>
        <v>3211</v>
      </c>
      <c r="D52" s="157" t="str">
        <f>IF($B52&lt;&gt;"",INDEX(DataOB[],FirstRow+ROW()-7,3),"")</f>
        <v>TBD</v>
      </c>
      <c r="E52" s="158">
        <f>IF($B52&lt;&gt;"",INDEX(DataOB[],FirstRow+ROW()-7,6),"")</f>
        <v>0</v>
      </c>
      <c r="F52" s="158" t="str">
        <f>IF($B52&lt;&gt;"",INDEX(DataOB[],FirstRow+ROW()-7,5),"")</f>
        <v>Alum RRC and Plunger Rim 9Jx21</v>
      </c>
      <c r="G52" s="58">
        <f>IF($B52&lt;&gt;"",SUMIFS(DataAct_tbl[AMOUNT],DataAct_tbl[BG CODE],Detail!$D52,DataAct_tbl[MONTH],LEFT(MonthName,3),DataAct_tbl[Dept code],$B52),0)</f>
        <v>0</v>
      </c>
      <c r="H52" s="31">
        <f t="shared" si="7"/>
        <v>0</v>
      </c>
      <c r="I52" s="28">
        <f t="shared" si="8"/>
        <v>0</v>
      </c>
      <c r="J52" s="32" t="str">
        <f t="shared" si="9"/>
        <v xml:space="preserve"> </v>
      </c>
      <c r="K52" s="86"/>
      <c r="L52" s="62">
        <f>IF($B52&lt;&gt;"",SUMIFS(DataAct_tbl[AMOUNT],DataAct_tbl[BG CODE],Detail!$D52,DataAct_tbl[Check Range],"=true",DataAct_tbl[Dept code],$B52),0)</f>
        <v>0</v>
      </c>
      <c r="M52" s="63">
        <f>INDEX($AG$7:$AR$1005,ROW()-6,MATCH(MTD,$AG$6:$AR$6,0))</f>
        <v>0</v>
      </c>
      <c r="N52" s="34">
        <f t="shared" si="10"/>
        <v>0</v>
      </c>
      <c r="O52" s="64" t="str">
        <f t="shared" si="11"/>
        <v xml:space="preserve"> </v>
      </c>
      <c r="Q52" s="97">
        <f t="shared" si="12"/>
        <v>3.5</v>
      </c>
      <c r="R52" s="96">
        <f t="shared" si="13"/>
        <v>3.5</v>
      </c>
      <c r="T52" s="67">
        <f>IF($B52&lt;&gt;"",INDEX(DataOB[],FirstRow+ROW()-7,MATCH(T$6,DataOB[#Headers],0)),"")</f>
        <v>0</v>
      </c>
      <c r="U52" s="67">
        <f>IF($B52&lt;&gt;"",INDEX(DataOB[],FirstRow+ROW()-7,MATCH(U$6,DataOB[#Headers],0)),"")</f>
        <v>0</v>
      </c>
      <c r="V52" s="67">
        <f>IF($B52&lt;&gt;"",INDEX(DataOB[],FirstRow+ROW()-7,MATCH(V$6,DataOB[#Headers],0)),"")</f>
        <v>0</v>
      </c>
      <c r="W52" s="67">
        <f>IF($B52&lt;&gt;"",INDEX(DataOB[],FirstRow+ROW()-7,MATCH(W$6,DataOB[#Headers],0)),"")</f>
        <v>0</v>
      </c>
      <c r="X52" s="67">
        <f>IF($B52&lt;&gt;"",INDEX(DataOB[],FirstRow+ROW()-7,MATCH(X$6,DataOB[#Headers],0)),"")</f>
        <v>0</v>
      </c>
      <c r="Y52" s="67">
        <f>IF($B52&lt;&gt;"",INDEX(DataOB[],FirstRow+ROW()-7,MATCH(Y$6,DataOB[#Headers],0)),"")</f>
        <v>0</v>
      </c>
      <c r="Z52" s="67">
        <f>IF($B52&lt;&gt;"",INDEX(DataOB[],FirstRow+ROW()-7,MATCH(Z$6,DataOB[#Headers],0)),"")</f>
        <v>0</v>
      </c>
      <c r="AA52" s="67">
        <f>IF($B52&lt;&gt;"",INDEX(DataOB[],FirstRow+ROW()-7,MATCH(AA$6,DataOB[#Headers],0)),"")</f>
        <v>0</v>
      </c>
      <c r="AB52" s="67">
        <f>IF($B52&lt;&gt;"",INDEX(DataOB[],FirstRow+ROW()-7,MATCH(AB$6,DataOB[#Headers],0)),"")</f>
        <v>0</v>
      </c>
      <c r="AC52" s="67">
        <f>IF($B52&lt;&gt;"",INDEX(DataOB[],FirstRow+ROW()-7,MATCH(AC$6,DataOB[#Headers],0)),"")</f>
        <v>0</v>
      </c>
      <c r="AD52" s="67">
        <f>IF($B52&lt;&gt;"",INDEX(DataOB[],FirstRow+ROW()-7,MATCH(AD$6,DataOB[#Headers],0)),"")</f>
        <v>0</v>
      </c>
      <c r="AE52" s="67">
        <f>IF($B52&lt;&gt;"",INDEX(DataOB[],FirstRow+ROW()-7,MATCH(AE$6,DataOB[#Headers],0)),"")</f>
        <v>3.5</v>
      </c>
      <c r="AF52" s="26">
        <f t="shared" si="14"/>
        <v>3.5</v>
      </c>
      <c r="AG52" s="31">
        <f>SUM($T52:T52)</f>
        <v>0</v>
      </c>
      <c r="AH52" s="31">
        <f>SUM($T52:U52)</f>
        <v>0</v>
      </c>
      <c r="AI52" s="31">
        <f>SUM($T52:V52)</f>
        <v>0</v>
      </c>
      <c r="AJ52" s="31">
        <f>SUM($T52:W52)</f>
        <v>0</v>
      </c>
      <c r="AK52" s="31">
        <f>SUM($T52:X52)</f>
        <v>0</v>
      </c>
      <c r="AL52" s="31">
        <f>SUM($T52:Y52)</f>
        <v>0</v>
      </c>
      <c r="AM52" s="31">
        <f>SUM($T52:Z52)</f>
        <v>0</v>
      </c>
      <c r="AN52" s="31">
        <f>SUM($T52:AA52)</f>
        <v>0</v>
      </c>
      <c r="AO52" s="31">
        <f>SUM($T52:AB52)</f>
        <v>0</v>
      </c>
      <c r="AP52" s="31">
        <f>SUM($T52:AC52)</f>
        <v>0</v>
      </c>
      <c r="AQ52" s="31">
        <f>SUM($T52:AD52)</f>
        <v>0</v>
      </c>
      <c r="AR52" s="31">
        <f>SUM($T52:AE52)</f>
        <v>3.5</v>
      </c>
      <c r="AS52" s="27">
        <f t="shared" si="15"/>
        <v>0</v>
      </c>
    </row>
    <row r="53" spans="2:45">
      <c r="B53" s="156">
        <f>IF(ROW()-6&gt;NumCostCenter,"",IF(CostCenter&lt;&gt;"ALL",CostCenter,DATA_LF2!B51))</f>
        <v>3211</v>
      </c>
      <c r="C53" s="153">
        <f>IF($B53&lt;&gt;"",INDEX(DataOB[],FirstRow+ROW()-7,2),"")</f>
        <v>3211</v>
      </c>
      <c r="D53" s="157" t="str">
        <f>IF($B53&lt;&gt;"",INDEX(DataOB[],FirstRow+ROW()-7,3),"")</f>
        <v>TBD</v>
      </c>
      <c r="E53" s="158">
        <f>IF($B53&lt;&gt;"",INDEX(DataOB[],FirstRow+ROW()-7,6),"")</f>
        <v>0</v>
      </c>
      <c r="F53" s="158" t="str">
        <f>IF($B53&lt;&gt;"",INDEX(DataOB[],FirstRow+ROW()-7,5),"")</f>
        <v>Alum Drum Rim 9Jx21</v>
      </c>
      <c r="G53" s="58">
        <f>IF($B53&lt;&gt;"",SUMIFS(DataAct_tbl[AMOUNT],DataAct_tbl[BG CODE],Detail!$D53,DataAct_tbl[MONTH],LEFT(MonthName,3),DataAct_tbl[Dept code],$B53),0)</f>
        <v>0</v>
      </c>
      <c r="H53" s="31">
        <f t="shared" si="7"/>
        <v>0</v>
      </c>
      <c r="I53" s="28">
        <f t="shared" si="8"/>
        <v>0</v>
      </c>
      <c r="J53" s="32" t="str">
        <f t="shared" si="9"/>
        <v xml:space="preserve"> </v>
      </c>
      <c r="K53" s="86"/>
      <c r="L53" s="62">
        <f>IF($B53&lt;&gt;"",SUMIFS(DataAct_tbl[AMOUNT],DataAct_tbl[BG CODE],Detail!$D53,DataAct_tbl[Check Range],"=true",DataAct_tbl[Dept code],$B53),0)</f>
        <v>0</v>
      </c>
      <c r="M53" s="63">
        <f>INDEX($AG$7:$AR$1005,ROW()-6,MATCH(MTD,$AG$6:$AR$6,0))</f>
        <v>0</v>
      </c>
      <c r="N53" s="34">
        <f t="shared" si="10"/>
        <v>0</v>
      </c>
      <c r="O53" s="64" t="str">
        <f t="shared" si="11"/>
        <v xml:space="preserve"> </v>
      </c>
      <c r="Q53" s="97">
        <f t="shared" si="12"/>
        <v>7</v>
      </c>
      <c r="R53" s="96">
        <f t="shared" si="13"/>
        <v>7</v>
      </c>
      <c r="T53" s="67">
        <f>IF($B53&lt;&gt;"",INDEX(DataOB[],FirstRow+ROW()-7,MATCH(T$6,DataOB[#Headers],0)),"")</f>
        <v>0</v>
      </c>
      <c r="U53" s="67">
        <f>IF($B53&lt;&gt;"",INDEX(DataOB[],FirstRow+ROW()-7,MATCH(U$6,DataOB[#Headers],0)),"")</f>
        <v>0</v>
      </c>
      <c r="V53" s="67">
        <f>IF($B53&lt;&gt;"",INDEX(DataOB[],FirstRow+ROW()-7,MATCH(V$6,DataOB[#Headers],0)),"")</f>
        <v>0</v>
      </c>
      <c r="W53" s="67">
        <f>IF($B53&lt;&gt;"",INDEX(DataOB[],FirstRow+ROW()-7,MATCH(W$6,DataOB[#Headers],0)),"")</f>
        <v>0</v>
      </c>
      <c r="X53" s="67">
        <f>IF($B53&lt;&gt;"",INDEX(DataOB[],FirstRow+ROW()-7,MATCH(X$6,DataOB[#Headers],0)),"")</f>
        <v>0</v>
      </c>
      <c r="Y53" s="67">
        <f>IF($B53&lt;&gt;"",INDEX(DataOB[],FirstRow+ROW()-7,MATCH(Y$6,DataOB[#Headers],0)),"")</f>
        <v>0</v>
      </c>
      <c r="Z53" s="67">
        <f>IF($B53&lt;&gt;"",INDEX(DataOB[],FirstRow+ROW()-7,MATCH(Z$6,DataOB[#Headers],0)),"")</f>
        <v>0</v>
      </c>
      <c r="AA53" s="67">
        <f>IF($B53&lt;&gt;"",INDEX(DataOB[],FirstRow+ROW()-7,MATCH(AA$6,DataOB[#Headers],0)),"")</f>
        <v>0</v>
      </c>
      <c r="AB53" s="67">
        <f>IF($B53&lt;&gt;"",INDEX(DataOB[],FirstRow+ROW()-7,MATCH(AB$6,DataOB[#Headers],0)),"")</f>
        <v>0</v>
      </c>
      <c r="AC53" s="67">
        <f>IF($B53&lt;&gt;"",INDEX(DataOB[],FirstRow+ROW()-7,MATCH(AC$6,DataOB[#Headers],0)),"")</f>
        <v>0</v>
      </c>
      <c r="AD53" s="67">
        <f>IF($B53&lt;&gt;"",INDEX(DataOB[],FirstRow+ROW()-7,MATCH(AD$6,DataOB[#Headers],0)),"")</f>
        <v>0</v>
      </c>
      <c r="AE53" s="67">
        <f>IF($B53&lt;&gt;"",INDEX(DataOB[],FirstRow+ROW()-7,MATCH(AE$6,DataOB[#Headers],0)),"")</f>
        <v>7</v>
      </c>
      <c r="AF53" s="26">
        <f t="shared" si="14"/>
        <v>7</v>
      </c>
      <c r="AG53" s="31">
        <f>SUM($T53:T53)</f>
        <v>0</v>
      </c>
      <c r="AH53" s="31">
        <f>SUM($T53:U53)</f>
        <v>0</v>
      </c>
      <c r="AI53" s="31">
        <f>SUM($T53:V53)</f>
        <v>0</v>
      </c>
      <c r="AJ53" s="31">
        <f>SUM($T53:W53)</f>
        <v>0</v>
      </c>
      <c r="AK53" s="31">
        <f>SUM($T53:X53)</f>
        <v>0</v>
      </c>
      <c r="AL53" s="31">
        <f>SUM($T53:Y53)</f>
        <v>0</v>
      </c>
      <c r="AM53" s="31">
        <f>SUM($T53:Z53)</f>
        <v>0</v>
      </c>
      <c r="AN53" s="31">
        <f>SUM($T53:AA53)</f>
        <v>0</v>
      </c>
      <c r="AO53" s="31">
        <f>SUM($T53:AB53)</f>
        <v>0</v>
      </c>
      <c r="AP53" s="31">
        <f>SUM($T53:AC53)</f>
        <v>0</v>
      </c>
      <c r="AQ53" s="31">
        <f>SUM($T53:AD53)</f>
        <v>0</v>
      </c>
      <c r="AR53" s="31">
        <f>SUM($T53:AE53)</f>
        <v>7</v>
      </c>
      <c r="AS53" s="27">
        <f t="shared" si="15"/>
        <v>0</v>
      </c>
    </row>
    <row r="54" spans="2:45">
      <c r="B54" s="156">
        <f>IF(ROW()-6&gt;NumCostCenter,"",IF(CostCenter&lt;&gt;"ALL",CostCenter,DATA_LF2!B52))</f>
        <v>3211</v>
      </c>
      <c r="C54" s="153">
        <f>IF($B54&lt;&gt;"",INDEX(DataOB[],FirstRow+ROW()-7,2),"")</f>
        <v>3211</v>
      </c>
      <c r="D54" s="157" t="str">
        <f>IF($B54&lt;&gt;"",INDEX(DataOB[],FirstRow+ROW()-7,3),"")</f>
        <v>OT03292E</v>
      </c>
      <c r="E54" s="158">
        <f>IF($B54&lt;&gt;"",INDEX(DataOB[],FirstRow+ROW()-7,6),"")</f>
        <v>0</v>
      </c>
      <c r="F54" s="158" t="str">
        <f>IF($B54&lt;&gt;"",INDEX(DataOB[],FirstRow+ROW()-7,5),"")</f>
        <v>Alum RRC and Plunger Rim 9Jx20</v>
      </c>
      <c r="G54" s="58">
        <f>IF($B54&lt;&gt;"",SUMIFS(DataAct_tbl[AMOUNT],DataAct_tbl[BG CODE],Detail!$D54,DataAct_tbl[MONTH],LEFT(MonthName,3),DataAct_tbl[Dept code],$B54),0)</f>
        <v>3.274</v>
      </c>
      <c r="H54" s="31">
        <f t="shared" si="7"/>
        <v>3.5</v>
      </c>
      <c r="I54" s="28">
        <f t="shared" si="8"/>
        <v>-0.22599999999999998</v>
      </c>
      <c r="J54" s="32">
        <f t="shared" si="9"/>
        <v>0.93542857142857139</v>
      </c>
      <c r="K54" s="86"/>
      <c r="L54" s="62">
        <f>IF($B54&lt;&gt;"",SUMIFS(DataAct_tbl[AMOUNT],DataAct_tbl[BG CODE],Detail!$D54,DataAct_tbl[Check Range],"=true",DataAct_tbl[Dept code],$B54),0)</f>
        <v>3.274</v>
      </c>
      <c r="M54" s="63">
        <f>INDEX($AG$7:$AR$1005,ROW()-6,MATCH(MTD,$AG$6:$AR$6,0))</f>
        <v>3.5</v>
      </c>
      <c r="N54" s="34">
        <f t="shared" si="10"/>
        <v>-0.22599999999999998</v>
      </c>
      <c r="O54" s="64">
        <f t="shared" si="11"/>
        <v>0.93542857142857139</v>
      </c>
      <c r="Q54" s="97">
        <f t="shared" si="12"/>
        <v>3.5</v>
      </c>
      <c r="R54" s="96">
        <f t="shared" si="13"/>
        <v>0.22599999999999998</v>
      </c>
      <c r="T54" s="67">
        <f>IF($B54&lt;&gt;"",INDEX(DataOB[],FirstRow+ROW()-7,MATCH(T$6,DataOB[#Headers],0)),"")</f>
        <v>0</v>
      </c>
      <c r="U54" s="67">
        <f>IF($B54&lt;&gt;"",INDEX(DataOB[],FirstRow+ROW()-7,MATCH(U$6,DataOB[#Headers],0)),"")</f>
        <v>0</v>
      </c>
      <c r="V54" s="67">
        <f>IF($B54&lt;&gt;"",INDEX(DataOB[],FirstRow+ROW()-7,MATCH(V$6,DataOB[#Headers],0)),"")</f>
        <v>0</v>
      </c>
      <c r="W54" s="67">
        <f>IF($B54&lt;&gt;"",INDEX(DataOB[],FirstRow+ROW()-7,MATCH(W$6,DataOB[#Headers],0)),"")</f>
        <v>0</v>
      </c>
      <c r="X54" s="67">
        <f>IF($B54&lt;&gt;"",INDEX(DataOB[],FirstRow+ROW()-7,MATCH(X$6,DataOB[#Headers],0)),"")</f>
        <v>0</v>
      </c>
      <c r="Y54" s="67">
        <f>IF($B54&lt;&gt;"",INDEX(DataOB[],FirstRow+ROW()-7,MATCH(Y$6,DataOB[#Headers],0)),"")</f>
        <v>0</v>
      </c>
      <c r="Z54" s="67">
        <f>IF($B54&lt;&gt;"",INDEX(DataOB[],FirstRow+ROW()-7,MATCH(Z$6,DataOB[#Headers],0)),"")</f>
        <v>3.5</v>
      </c>
      <c r="AA54" s="67">
        <f>IF($B54&lt;&gt;"",INDEX(DataOB[],FirstRow+ROW()-7,MATCH(AA$6,DataOB[#Headers],0)),"")</f>
        <v>0</v>
      </c>
      <c r="AB54" s="67">
        <f>IF($B54&lt;&gt;"",INDEX(DataOB[],FirstRow+ROW()-7,MATCH(AB$6,DataOB[#Headers],0)),"")</f>
        <v>0</v>
      </c>
      <c r="AC54" s="67">
        <f>IF($B54&lt;&gt;"",INDEX(DataOB[],FirstRow+ROW()-7,MATCH(AC$6,DataOB[#Headers],0)),"")</f>
        <v>0</v>
      </c>
      <c r="AD54" s="67">
        <f>IF($B54&lt;&gt;"",INDEX(DataOB[],FirstRow+ROW()-7,MATCH(AD$6,DataOB[#Headers],0)),"")</f>
        <v>0</v>
      </c>
      <c r="AE54" s="67">
        <f>IF($B54&lt;&gt;"",INDEX(DataOB[],FirstRow+ROW()-7,MATCH(AE$6,DataOB[#Headers],0)),"")</f>
        <v>0</v>
      </c>
      <c r="AF54" s="26">
        <f t="shared" si="14"/>
        <v>3.5</v>
      </c>
      <c r="AG54" s="31">
        <f>SUM($T54:T54)</f>
        <v>0</v>
      </c>
      <c r="AH54" s="31">
        <f>SUM($T54:U54)</f>
        <v>0</v>
      </c>
      <c r="AI54" s="31">
        <f>SUM($T54:V54)</f>
        <v>0</v>
      </c>
      <c r="AJ54" s="31">
        <f>SUM($T54:W54)</f>
        <v>0</v>
      </c>
      <c r="AK54" s="31">
        <f>SUM($T54:X54)</f>
        <v>0</v>
      </c>
      <c r="AL54" s="31">
        <f>SUM($T54:Y54)</f>
        <v>0</v>
      </c>
      <c r="AM54" s="31">
        <f>SUM($T54:Z54)</f>
        <v>3.5</v>
      </c>
      <c r="AN54" s="31">
        <f>SUM($T54:AA54)</f>
        <v>3.5</v>
      </c>
      <c r="AO54" s="31">
        <f>SUM($T54:AB54)</f>
        <v>3.5</v>
      </c>
      <c r="AP54" s="31">
        <f>SUM($T54:AC54)</f>
        <v>3.5</v>
      </c>
      <c r="AQ54" s="31">
        <f>SUM($T54:AD54)</f>
        <v>3.5</v>
      </c>
      <c r="AR54" s="31">
        <f>SUM($T54:AE54)</f>
        <v>3.5</v>
      </c>
      <c r="AS54" s="27">
        <f t="shared" si="15"/>
        <v>0</v>
      </c>
    </row>
    <row r="55" spans="2:45">
      <c r="B55" s="156">
        <f>IF(ROW()-6&gt;NumCostCenter,"",IF(CostCenter&lt;&gt;"ALL",CostCenter,DATA_LF2!B53))</f>
        <v>3211</v>
      </c>
      <c r="C55" s="153">
        <f>IF($B55&lt;&gt;"",INDEX(DataOB[],FirstRow+ROW()-7,2),"")</f>
        <v>3211</v>
      </c>
      <c r="D55" s="157" t="str">
        <f>IF($B55&lt;&gt;"",INDEX(DataOB[],FirstRow+ROW()-7,3),"")</f>
        <v>OT03292F</v>
      </c>
      <c r="E55" s="158">
        <f>IF($B55&lt;&gt;"",INDEX(DataOB[],FirstRow+ROW()-7,6),"")</f>
        <v>0</v>
      </c>
      <c r="F55" s="158" t="str">
        <f>IF($B55&lt;&gt;"",INDEX(DataOB[],FirstRow+ROW()-7,5),"")</f>
        <v>Alum Drum Rim 9Jx20</v>
      </c>
      <c r="G55" s="58">
        <f>IF($B55&lt;&gt;"",SUMIFS(DataAct_tbl[AMOUNT],DataAct_tbl[BG CODE],Detail!$D55,DataAct_tbl[MONTH],LEFT(MonthName,3),DataAct_tbl[Dept code],$B55),0)</f>
        <v>2.99</v>
      </c>
      <c r="H55" s="31">
        <f t="shared" si="7"/>
        <v>7</v>
      </c>
      <c r="I55" s="28">
        <f t="shared" si="8"/>
        <v>-4.01</v>
      </c>
      <c r="J55" s="32">
        <f t="shared" si="9"/>
        <v>0.42714285714285716</v>
      </c>
      <c r="K55" s="86"/>
      <c r="L55" s="62">
        <f>IF($B55&lt;&gt;"",SUMIFS(DataAct_tbl[AMOUNT],DataAct_tbl[BG CODE],Detail!$D55,DataAct_tbl[Check Range],"=true",DataAct_tbl[Dept code],$B55),0)</f>
        <v>2.99</v>
      </c>
      <c r="M55" s="63">
        <f>INDEX($AG$7:$AR$1005,ROW()-6,MATCH(MTD,$AG$6:$AR$6,0))</f>
        <v>7</v>
      </c>
      <c r="N55" s="34">
        <f t="shared" si="10"/>
        <v>-4.01</v>
      </c>
      <c r="O55" s="64">
        <f t="shared" si="11"/>
        <v>0.42714285714285716</v>
      </c>
      <c r="Q55" s="97">
        <f t="shared" si="12"/>
        <v>7</v>
      </c>
      <c r="R55" s="96">
        <f t="shared" si="13"/>
        <v>4.01</v>
      </c>
      <c r="T55" s="67">
        <f>IF($B55&lt;&gt;"",INDEX(DataOB[],FirstRow+ROW()-7,MATCH(T$6,DataOB[#Headers],0)),"")</f>
        <v>0</v>
      </c>
      <c r="U55" s="67">
        <f>IF($B55&lt;&gt;"",INDEX(DataOB[],FirstRow+ROW()-7,MATCH(U$6,DataOB[#Headers],0)),"")</f>
        <v>0</v>
      </c>
      <c r="V55" s="67">
        <f>IF($B55&lt;&gt;"",INDEX(DataOB[],FirstRow+ROW()-7,MATCH(V$6,DataOB[#Headers],0)),"")</f>
        <v>0</v>
      </c>
      <c r="W55" s="67">
        <f>IF($B55&lt;&gt;"",INDEX(DataOB[],FirstRow+ROW()-7,MATCH(W$6,DataOB[#Headers],0)),"")</f>
        <v>0</v>
      </c>
      <c r="X55" s="67">
        <f>IF($B55&lt;&gt;"",INDEX(DataOB[],FirstRow+ROW()-7,MATCH(X$6,DataOB[#Headers],0)),"")</f>
        <v>0</v>
      </c>
      <c r="Y55" s="67">
        <f>IF($B55&lt;&gt;"",INDEX(DataOB[],FirstRow+ROW()-7,MATCH(Y$6,DataOB[#Headers],0)),"")</f>
        <v>0</v>
      </c>
      <c r="Z55" s="67">
        <f>IF($B55&lt;&gt;"",INDEX(DataOB[],FirstRow+ROW()-7,MATCH(Z$6,DataOB[#Headers],0)),"")</f>
        <v>7</v>
      </c>
      <c r="AA55" s="67">
        <f>IF($B55&lt;&gt;"",INDEX(DataOB[],FirstRow+ROW()-7,MATCH(AA$6,DataOB[#Headers],0)),"")</f>
        <v>0</v>
      </c>
      <c r="AB55" s="67">
        <f>IF($B55&lt;&gt;"",INDEX(DataOB[],FirstRow+ROW()-7,MATCH(AB$6,DataOB[#Headers],0)),"")</f>
        <v>0</v>
      </c>
      <c r="AC55" s="67">
        <f>IF($B55&lt;&gt;"",INDEX(DataOB[],FirstRow+ROW()-7,MATCH(AC$6,DataOB[#Headers],0)),"")</f>
        <v>0</v>
      </c>
      <c r="AD55" s="67">
        <f>IF($B55&lt;&gt;"",INDEX(DataOB[],FirstRow+ROW()-7,MATCH(AD$6,DataOB[#Headers],0)),"")</f>
        <v>0</v>
      </c>
      <c r="AE55" s="67">
        <f>IF($B55&lt;&gt;"",INDEX(DataOB[],FirstRow+ROW()-7,MATCH(AE$6,DataOB[#Headers],0)),"")</f>
        <v>0</v>
      </c>
      <c r="AF55" s="26">
        <f t="shared" si="14"/>
        <v>7</v>
      </c>
      <c r="AG55" s="31">
        <f>SUM($T55:T55)</f>
        <v>0</v>
      </c>
      <c r="AH55" s="31">
        <f>SUM($T55:U55)</f>
        <v>0</v>
      </c>
      <c r="AI55" s="31">
        <f>SUM($T55:V55)</f>
        <v>0</v>
      </c>
      <c r="AJ55" s="31">
        <f>SUM($T55:W55)</f>
        <v>0</v>
      </c>
      <c r="AK55" s="31">
        <f>SUM($T55:X55)</f>
        <v>0</v>
      </c>
      <c r="AL55" s="31">
        <f>SUM($T55:Y55)</f>
        <v>0</v>
      </c>
      <c r="AM55" s="31">
        <f>SUM($T55:Z55)</f>
        <v>7</v>
      </c>
      <c r="AN55" s="31">
        <f>SUM($T55:AA55)</f>
        <v>7</v>
      </c>
      <c r="AO55" s="31">
        <f>SUM($T55:AB55)</f>
        <v>7</v>
      </c>
      <c r="AP55" s="31">
        <f>SUM($T55:AC55)</f>
        <v>7</v>
      </c>
      <c r="AQ55" s="31">
        <f>SUM($T55:AD55)</f>
        <v>7</v>
      </c>
      <c r="AR55" s="31">
        <f>SUM($T55:AE55)</f>
        <v>7</v>
      </c>
      <c r="AS55" s="27">
        <f t="shared" si="15"/>
        <v>0</v>
      </c>
    </row>
    <row r="56" spans="2:45">
      <c r="B56" s="156">
        <f>IF(ROW()-6&gt;NumCostCenter,"",IF(CostCenter&lt;&gt;"ALL",CostCenter,DATA_LF2!B54))</f>
        <v>3211</v>
      </c>
      <c r="C56" s="153">
        <f>IF($B56&lt;&gt;"",INDEX(DataOB[],FirstRow+ROW()-7,2),"")</f>
        <v>3211</v>
      </c>
      <c r="D56" s="157" t="str">
        <f>IF($B56&lt;&gt;"",INDEX(DataOB[],FirstRow+ROW()-7,3),"")</f>
        <v>OT03292H</v>
      </c>
      <c r="E56" s="158">
        <f>IF($B56&lt;&gt;"",INDEX(DataOB[],FirstRow+ROW()-7,6),"")</f>
        <v>0</v>
      </c>
      <c r="F56" s="158" t="str">
        <f>IF($B56&lt;&gt;"",INDEX(DataOB[],FirstRow+ROW()-7,5),"")</f>
        <v>Alum RRC and Plunger Rim 9.5Jx20</v>
      </c>
      <c r="G56" s="58">
        <f>IF($B56&lt;&gt;"",SUMIFS(DataAct_tbl[AMOUNT],DataAct_tbl[BG CODE],Detail!$D56,DataAct_tbl[MONTH],LEFT(MonthName,3),DataAct_tbl[Dept code],$B56),0)</f>
        <v>3.3119999999999998</v>
      </c>
      <c r="H56" s="31">
        <f t="shared" si="7"/>
        <v>3.5</v>
      </c>
      <c r="I56" s="28">
        <f t="shared" si="8"/>
        <v>-0.18800000000000017</v>
      </c>
      <c r="J56" s="32">
        <f t="shared" si="9"/>
        <v>0.94628571428571429</v>
      </c>
      <c r="K56" s="86"/>
      <c r="L56" s="62">
        <f>IF($B56&lt;&gt;"",SUMIFS(DataAct_tbl[AMOUNT],DataAct_tbl[BG CODE],Detail!$D56,DataAct_tbl[Check Range],"=true",DataAct_tbl[Dept code],$B56),0)</f>
        <v>3.3119999999999998</v>
      </c>
      <c r="M56" s="63">
        <f>INDEX($AG$7:$AR$1005,ROW()-6,MATCH(MTD,$AG$6:$AR$6,0))</f>
        <v>3.5</v>
      </c>
      <c r="N56" s="34">
        <f t="shared" si="10"/>
        <v>-0.18800000000000017</v>
      </c>
      <c r="O56" s="64">
        <f t="shared" si="11"/>
        <v>0.94628571428571429</v>
      </c>
      <c r="Q56" s="97">
        <f t="shared" si="12"/>
        <v>3.5</v>
      </c>
      <c r="R56" s="96">
        <f t="shared" si="13"/>
        <v>0.18800000000000017</v>
      </c>
      <c r="T56" s="67">
        <f>IF($B56&lt;&gt;"",INDEX(DataOB[],FirstRow+ROW()-7,MATCH(T$6,DataOB[#Headers],0)),"")</f>
        <v>0</v>
      </c>
      <c r="U56" s="67">
        <f>IF($B56&lt;&gt;"",INDEX(DataOB[],FirstRow+ROW()-7,MATCH(U$6,DataOB[#Headers],0)),"")</f>
        <v>0</v>
      </c>
      <c r="V56" s="67">
        <f>IF($B56&lt;&gt;"",INDEX(DataOB[],FirstRow+ROW()-7,MATCH(V$6,DataOB[#Headers],0)),"")</f>
        <v>0</v>
      </c>
      <c r="W56" s="67">
        <f>IF($B56&lt;&gt;"",INDEX(DataOB[],FirstRow+ROW()-7,MATCH(W$6,DataOB[#Headers],0)),"")</f>
        <v>0</v>
      </c>
      <c r="X56" s="67">
        <f>IF($B56&lt;&gt;"",INDEX(DataOB[],FirstRow+ROW()-7,MATCH(X$6,DataOB[#Headers],0)),"")</f>
        <v>0</v>
      </c>
      <c r="Y56" s="67">
        <f>IF($B56&lt;&gt;"",INDEX(DataOB[],FirstRow+ROW()-7,MATCH(Y$6,DataOB[#Headers],0)),"")</f>
        <v>0</v>
      </c>
      <c r="Z56" s="67">
        <f>IF($B56&lt;&gt;"",INDEX(DataOB[],FirstRow+ROW()-7,MATCH(Z$6,DataOB[#Headers],0)),"")</f>
        <v>3.5</v>
      </c>
      <c r="AA56" s="67">
        <f>IF($B56&lt;&gt;"",INDEX(DataOB[],FirstRow+ROW()-7,MATCH(AA$6,DataOB[#Headers],0)),"")</f>
        <v>0</v>
      </c>
      <c r="AB56" s="67">
        <f>IF($B56&lt;&gt;"",INDEX(DataOB[],FirstRow+ROW()-7,MATCH(AB$6,DataOB[#Headers],0)),"")</f>
        <v>0</v>
      </c>
      <c r="AC56" s="67">
        <f>IF($B56&lt;&gt;"",INDEX(DataOB[],FirstRow+ROW()-7,MATCH(AC$6,DataOB[#Headers],0)),"")</f>
        <v>0</v>
      </c>
      <c r="AD56" s="67">
        <f>IF($B56&lt;&gt;"",INDEX(DataOB[],FirstRow+ROW()-7,MATCH(AD$6,DataOB[#Headers],0)),"")</f>
        <v>0</v>
      </c>
      <c r="AE56" s="67">
        <f>IF($B56&lt;&gt;"",INDEX(DataOB[],FirstRow+ROW()-7,MATCH(AE$6,DataOB[#Headers],0)),"")</f>
        <v>0</v>
      </c>
      <c r="AF56" s="26">
        <f t="shared" si="14"/>
        <v>3.5</v>
      </c>
      <c r="AG56" s="31">
        <f>SUM($T56:T56)</f>
        <v>0</v>
      </c>
      <c r="AH56" s="31">
        <f>SUM($T56:U56)</f>
        <v>0</v>
      </c>
      <c r="AI56" s="31">
        <f>SUM($T56:V56)</f>
        <v>0</v>
      </c>
      <c r="AJ56" s="31">
        <f>SUM($T56:W56)</f>
        <v>0</v>
      </c>
      <c r="AK56" s="31">
        <f>SUM($T56:X56)</f>
        <v>0</v>
      </c>
      <c r="AL56" s="31">
        <f>SUM($T56:Y56)</f>
        <v>0</v>
      </c>
      <c r="AM56" s="31">
        <f>SUM($T56:Z56)</f>
        <v>3.5</v>
      </c>
      <c r="AN56" s="31">
        <f>SUM($T56:AA56)</f>
        <v>3.5</v>
      </c>
      <c r="AO56" s="31">
        <f>SUM($T56:AB56)</f>
        <v>3.5</v>
      </c>
      <c r="AP56" s="31">
        <f>SUM($T56:AC56)</f>
        <v>3.5</v>
      </c>
      <c r="AQ56" s="31">
        <f>SUM($T56:AD56)</f>
        <v>3.5</v>
      </c>
      <c r="AR56" s="31">
        <f>SUM($T56:AE56)</f>
        <v>3.5</v>
      </c>
      <c r="AS56" s="27">
        <f t="shared" si="15"/>
        <v>0</v>
      </c>
    </row>
    <row r="57" spans="2:45">
      <c r="B57" s="156">
        <f>IF(ROW()-6&gt;NumCostCenter,"",IF(CostCenter&lt;&gt;"ALL",CostCenter,DATA_LF2!B55))</f>
        <v>3211</v>
      </c>
      <c r="C57" s="153">
        <f>IF($B57&lt;&gt;"",INDEX(DataOB[],FirstRow+ROW()-7,2),"")</f>
        <v>3211</v>
      </c>
      <c r="D57" s="157" t="str">
        <f>IF($B57&lt;&gt;"",INDEX(DataOB[],FirstRow+ROW()-7,3),"")</f>
        <v>OT03292G</v>
      </c>
      <c r="E57" s="158">
        <f>IF($B57&lt;&gt;"",INDEX(DataOB[],FirstRow+ROW()-7,6),"")</f>
        <v>0</v>
      </c>
      <c r="F57" s="158" t="str">
        <f>IF($B57&lt;&gt;"",INDEX(DataOB[],FirstRow+ROW()-7,5),"")</f>
        <v>Alum Drum Rim 9.5Jx20</v>
      </c>
      <c r="G57" s="58">
        <f>IF($B57&lt;&gt;"",SUMIFS(DataAct_tbl[AMOUNT],DataAct_tbl[BG CODE],Detail!$D57,DataAct_tbl[MONTH],LEFT(MonthName,3),DataAct_tbl[Dept code],$B57),0)</f>
        <v>3.0179999999999998</v>
      </c>
      <c r="H57" s="31">
        <f t="shared" si="7"/>
        <v>7</v>
      </c>
      <c r="I57" s="28">
        <f t="shared" si="8"/>
        <v>-3.9820000000000002</v>
      </c>
      <c r="J57" s="32">
        <f t="shared" si="9"/>
        <v>0.43114285714285711</v>
      </c>
      <c r="K57" s="86"/>
      <c r="L57" s="62">
        <f>IF($B57&lt;&gt;"",SUMIFS(DataAct_tbl[AMOUNT],DataAct_tbl[BG CODE],Detail!$D57,DataAct_tbl[Check Range],"=true",DataAct_tbl[Dept code],$B57),0)</f>
        <v>3.0179999999999998</v>
      </c>
      <c r="M57" s="63">
        <f>INDEX($AG$7:$AR$1005,ROW()-6,MATCH(MTD,$AG$6:$AR$6,0))</f>
        <v>7</v>
      </c>
      <c r="N57" s="34">
        <f t="shared" si="10"/>
        <v>-3.9820000000000002</v>
      </c>
      <c r="O57" s="64">
        <f t="shared" si="11"/>
        <v>0.43114285714285711</v>
      </c>
      <c r="Q57" s="97">
        <f t="shared" si="12"/>
        <v>7</v>
      </c>
      <c r="R57" s="96">
        <f t="shared" si="13"/>
        <v>3.9820000000000002</v>
      </c>
      <c r="T57" s="67">
        <f>IF($B57&lt;&gt;"",INDEX(DataOB[],FirstRow+ROW()-7,MATCH(T$6,DataOB[#Headers],0)),"")</f>
        <v>0</v>
      </c>
      <c r="U57" s="67">
        <f>IF($B57&lt;&gt;"",INDEX(DataOB[],FirstRow+ROW()-7,MATCH(U$6,DataOB[#Headers],0)),"")</f>
        <v>0</v>
      </c>
      <c r="V57" s="67">
        <f>IF($B57&lt;&gt;"",INDEX(DataOB[],FirstRow+ROW()-7,MATCH(V$6,DataOB[#Headers],0)),"")</f>
        <v>0</v>
      </c>
      <c r="W57" s="67">
        <f>IF($B57&lt;&gt;"",INDEX(DataOB[],FirstRow+ROW()-7,MATCH(W$6,DataOB[#Headers],0)),"")</f>
        <v>0</v>
      </c>
      <c r="X57" s="67">
        <f>IF($B57&lt;&gt;"",INDEX(DataOB[],FirstRow+ROW()-7,MATCH(X$6,DataOB[#Headers],0)),"")</f>
        <v>0</v>
      </c>
      <c r="Y57" s="67">
        <f>IF($B57&lt;&gt;"",INDEX(DataOB[],FirstRow+ROW()-7,MATCH(Y$6,DataOB[#Headers],0)),"")</f>
        <v>0</v>
      </c>
      <c r="Z57" s="67">
        <f>IF($B57&lt;&gt;"",INDEX(DataOB[],FirstRow+ROW()-7,MATCH(Z$6,DataOB[#Headers],0)),"")</f>
        <v>7</v>
      </c>
      <c r="AA57" s="67">
        <f>IF($B57&lt;&gt;"",INDEX(DataOB[],FirstRow+ROW()-7,MATCH(AA$6,DataOB[#Headers],0)),"")</f>
        <v>0</v>
      </c>
      <c r="AB57" s="67">
        <f>IF($B57&lt;&gt;"",INDEX(DataOB[],FirstRow+ROW()-7,MATCH(AB$6,DataOB[#Headers],0)),"")</f>
        <v>0</v>
      </c>
      <c r="AC57" s="67">
        <f>IF($B57&lt;&gt;"",INDEX(DataOB[],FirstRow+ROW()-7,MATCH(AC$6,DataOB[#Headers],0)),"")</f>
        <v>0</v>
      </c>
      <c r="AD57" s="67">
        <f>IF($B57&lt;&gt;"",INDEX(DataOB[],FirstRow+ROW()-7,MATCH(AD$6,DataOB[#Headers],0)),"")</f>
        <v>0</v>
      </c>
      <c r="AE57" s="67">
        <f>IF($B57&lt;&gt;"",INDEX(DataOB[],FirstRow+ROW()-7,MATCH(AE$6,DataOB[#Headers],0)),"")</f>
        <v>0</v>
      </c>
      <c r="AF57" s="26">
        <f t="shared" si="14"/>
        <v>7</v>
      </c>
      <c r="AG57" s="31">
        <f>SUM($T57:T57)</f>
        <v>0</v>
      </c>
      <c r="AH57" s="31">
        <f>SUM($T57:U57)</f>
        <v>0</v>
      </c>
      <c r="AI57" s="31">
        <f>SUM($T57:V57)</f>
        <v>0</v>
      </c>
      <c r="AJ57" s="31">
        <f>SUM($T57:W57)</f>
        <v>0</v>
      </c>
      <c r="AK57" s="31">
        <f>SUM($T57:X57)</f>
        <v>0</v>
      </c>
      <c r="AL57" s="31">
        <f>SUM($T57:Y57)</f>
        <v>0</v>
      </c>
      <c r="AM57" s="31">
        <f>SUM($T57:Z57)</f>
        <v>7</v>
      </c>
      <c r="AN57" s="31">
        <f>SUM($T57:AA57)</f>
        <v>7</v>
      </c>
      <c r="AO57" s="31">
        <f>SUM($T57:AB57)</f>
        <v>7</v>
      </c>
      <c r="AP57" s="31">
        <f>SUM($T57:AC57)</f>
        <v>7</v>
      </c>
      <c r="AQ57" s="31">
        <f>SUM($T57:AD57)</f>
        <v>7</v>
      </c>
      <c r="AR57" s="31">
        <f>SUM($T57:AE57)</f>
        <v>7</v>
      </c>
      <c r="AS57" s="27">
        <f t="shared" si="15"/>
        <v>0</v>
      </c>
    </row>
    <row r="58" spans="2:45">
      <c r="B58" s="156">
        <f>IF(ROW()-6&gt;NumCostCenter,"",IF(CostCenter&lt;&gt;"ALL",CostCenter,DATA_LF2!B56))</f>
        <v>3211</v>
      </c>
      <c r="C58" s="153">
        <f>IF($B58&lt;&gt;"",INDEX(DataOB[],FirstRow+ROW()-7,2),"")</f>
        <v>3211</v>
      </c>
      <c r="D58" s="157" t="str">
        <f>IF($B58&lt;&gt;"",INDEX(DataOB[],FirstRow+ROW()-7,3),"")</f>
        <v>TBD</v>
      </c>
      <c r="E58" s="158">
        <f>IF($B58&lt;&gt;"",INDEX(DataOB[],FirstRow+ROW()-7,6),"")</f>
        <v>0</v>
      </c>
      <c r="F58" s="158" t="str">
        <f>IF($B58&lt;&gt;"",INDEX(DataOB[],FirstRow+ROW()-7,5),"")</f>
        <v>Alum RRC and Plunger Rim 10Jx20</v>
      </c>
      <c r="G58" s="58">
        <f>IF($B58&lt;&gt;"",SUMIFS(DataAct_tbl[AMOUNT],DataAct_tbl[BG CODE],Detail!$D58,DataAct_tbl[MONTH],LEFT(MonthName,3),DataAct_tbl[Dept code],$B58),0)</f>
        <v>0</v>
      </c>
      <c r="H58" s="31">
        <f t="shared" si="7"/>
        <v>0</v>
      </c>
      <c r="I58" s="28">
        <f t="shared" si="8"/>
        <v>0</v>
      </c>
      <c r="J58" s="32" t="str">
        <f t="shared" si="9"/>
        <v xml:space="preserve"> </v>
      </c>
      <c r="K58" s="86"/>
      <c r="L58" s="62">
        <f>IF($B58&lt;&gt;"",SUMIFS(DataAct_tbl[AMOUNT],DataAct_tbl[BG CODE],Detail!$D58,DataAct_tbl[Check Range],"=true",DataAct_tbl[Dept code],$B58),0)</f>
        <v>0</v>
      </c>
      <c r="M58" s="63">
        <f>INDEX($AG$7:$AR$1005,ROW()-6,MATCH(MTD,$AG$6:$AR$6,0))</f>
        <v>0</v>
      </c>
      <c r="N58" s="34">
        <f t="shared" si="10"/>
        <v>0</v>
      </c>
      <c r="O58" s="64" t="str">
        <f t="shared" si="11"/>
        <v xml:space="preserve"> </v>
      </c>
      <c r="Q58" s="97">
        <f t="shared" si="12"/>
        <v>3.5</v>
      </c>
      <c r="R58" s="96">
        <f t="shared" si="13"/>
        <v>3.5</v>
      </c>
      <c r="T58" s="67">
        <f>IF($B58&lt;&gt;"",INDEX(DataOB[],FirstRow+ROW()-7,MATCH(T$6,DataOB[#Headers],0)),"")</f>
        <v>0</v>
      </c>
      <c r="U58" s="67">
        <f>IF($B58&lt;&gt;"",INDEX(DataOB[],FirstRow+ROW()-7,MATCH(U$6,DataOB[#Headers],0)),"")</f>
        <v>0</v>
      </c>
      <c r="V58" s="67">
        <f>IF($B58&lt;&gt;"",INDEX(DataOB[],FirstRow+ROW()-7,MATCH(V$6,DataOB[#Headers],0)),"")</f>
        <v>0</v>
      </c>
      <c r="W58" s="67">
        <f>IF($B58&lt;&gt;"",INDEX(DataOB[],FirstRow+ROW()-7,MATCH(W$6,DataOB[#Headers],0)),"")</f>
        <v>0</v>
      </c>
      <c r="X58" s="67">
        <f>IF($B58&lt;&gt;"",INDEX(DataOB[],FirstRow+ROW()-7,MATCH(X$6,DataOB[#Headers],0)),"")</f>
        <v>0</v>
      </c>
      <c r="Y58" s="67">
        <f>IF($B58&lt;&gt;"",INDEX(DataOB[],FirstRow+ROW()-7,MATCH(Y$6,DataOB[#Headers],0)),"")</f>
        <v>0</v>
      </c>
      <c r="Z58" s="67">
        <f>IF($B58&lt;&gt;"",INDEX(DataOB[],FirstRow+ROW()-7,MATCH(Z$6,DataOB[#Headers],0)),"")</f>
        <v>0</v>
      </c>
      <c r="AA58" s="67">
        <f>IF($B58&lt;&gt;"",INDEX(DataOB[],FirstRow+ROW()-7,MATCH(AA$6,DataOB[#Headers],0)),"")</f>
        <v>0</v>
      </c>
      <c r="AB58" s="67">
        <f>IF($B58&lt;&gt;"",INDEX(DataOB[],FirstRow+ROW()-7,MATCH(AB$6,DataOB[#Headers],0)),"")</f>
        <v>0</v>
      </c>
      <c r="AC58" s="67">
        <f>IF($B58&lt;&gt;"",INDEX(DataOB[],FirstRow+ROW()-7,MATCH(AC$6,DataOB[#Headers],0)),"")</f>
        <v>0</v>
      </c>
      <c r="AD58" s="67">
        <f>IF($B58&lt;&gt;"",INDEX(DataOB[],FirstRow+ROW()-7,MATCH(AD$6,DataOB[#Headers],0)),"")</f>
        <v>0</v>
      </c>
      <c r="AE58" s="67">
        <f>IF($B58&lt;&gt;"",INDEX(DataOB[],FirstRow+ROW()-7,MATCH(AE$6,DataOB[#Headers],0)),"")</f>
        <v>3.5</v>
      </c>
      <c r="AF58" s="26">
        <f t="shared" si="14"/>
        <v>3.5</v>
      </c>
      <c r="AG58" s="31">
        <f>SUM($T58:T58)</f>
        <v>0</v>
      </c>
      <c r="AH58" s="31">
        <f>SUM($T58:U58)</f>
        <v>0</v>
      </c>
      <c r="AI58" s="31">
        <f>SUM($T58:V58)</f>
        <v>0</v>
      </c>
      <c r="AJ58" s="31">
        <f>SUM($T58:W58)</f>
        <v>0</v>
      </c>
      <c r="AK58" s="31">
        <f>SUM($T58:X58)</f>
        <v>0</v>
      </c>
      <c r="AL58" s="31">
        <f>SUM($T58:Y58)</f>
        <v>0</v>
      </c>
      <c r="AM58" s="31">
        <f>SUM($T58:Z58)</f>
        <v>0</v>
      </c>
      <c r="AN58" s="31">
        <f>SUM($T58:AA58)</f>
        <v>0</v>
      </c>
      <c r="AO58" s="31">
        <f>SUM($T58:AB58)</f>
        <v>0</v>
      </c>
      <c r="AP58" s="31">
        <f>SUM($T58:AC58)</f>
        <v>0</v>
      </c>
      <c r="AQ58" s="31">
        <f>SUM($T58:AD58)</f>
        <v>0</v>
      </c>
      <c r="AR58" s="31">
        <f>SUM($T58:AE58)</f>
        <v>3.5</v>
      </c>
      <c r="AS58" s="27">
        <f t="shared" si="15"/>
        <v>0</v>
      </c>
    </row>
    <row r="59" spans="2:45">
      <c r="B59" s="156">
        <f>IF(ROW()-6&gt;NumCostCenter,"",IF(CostCenter&lt;&gt;"ALL",CostCenter,DATA_LF2!B57))</f>
        <v>3211</v>
      </c>
      <c r="C59" s="153">
        <f>IF($B59&lt;&gt;"",INDEX(DataOB[],FirstRow+ROW()-7,2),"")</f>
        <v>3211</v>
      </c>
      <c r="D59" s="157" t="str">
        <f>IF($B59&lt;&gt;"",INDEX(DataOB[],FirstRow+ROW()-7,3),"")</f>
        <v>TBD</v>
      </c>
      <c r="E59" s="158">
        <f>IF($B59&lt;&gt;"",INDEX(DataOB[],FirstRow+ROW()-7,6),"")</f>
        <v>0</v>
      </c>
      <c r="F59" s="158" t="str">
        <f>IF($B59&lt;&gt;"",INDEX(DataOB[],FirstRow+ROW()-7,5),"")</f>
        <v>Alum Drum Rim 10Jx20</v>
      </c>
      <c r="G59" s="58">
        <f>IF($B59&lt;&gt;"",SUMIFS(DataAct_tbl[AMOUNT],DataAct_tbl[BG CODE],Detail!$D59,DataAct_tbl[MONTH],LEFT(MonthName,3),DataAct_tbl[Dept code],$B59),0)</f>
        <v>0</v>
      </c>
      <c r="H59" s="31">
        <f t="shared" si="7"/>
        <v>0</v>
      </c>
      <c r="I59" s="28">
        <f t="shared" si="8"/>
        <v>0</v>
      </c>
      <c r="J59" s="32" t="str">
        <f t="shared" si="9"/>
        <v xml:space="preserve"> </v>
      </c>
      <c r="K59" s="86"/>
      <c r="L59" s="62">
        <f>IF($B59&lt;&gt;"",SUMIFS(DataAct_tbl[AMOUNT],DataAct_tbl[BG CODE],Detail!$D59,DataAct_tbl[Check Range],"=true",DataAct_tbl[Dept code],$B59),0)</f>
        <v>0</v>
      </c>
      <c r="M59" s="63">
        <f>INDEX($AG$7:$AR$1005,ROW()-6,MATCH(MTD,$AG$6:$AR$6,0))</f>
        <v>0</v>
      </c>
      <c r="N59" s="34">
        <f t="shared" si="10"/>
        <v>0</v>
      </c>
      <c r="O59" s="64" t="str">
        <f t="shared" si="11"/>
        <v xml:space="preserve"> </v>
      </c>
      <c r="Q59" s="97">
        <f t="shared" si="12"/>
        <v>7</v>
      </c>
      <c r="R59" s="96">
        <f t="shared" si="13"/>
        <v>7</v>
      </c>
      <c r="T59" s="67">
        <f>IF($B59&lt;&gt;"",INDEX(DataOB[],FirstRow+ROW()-7,MATCH(T$6,DataOB[#Headers],0)),"")</f>
        <v>0</v>
      </c>
      <c r="U59" s="67">
        <f>IF($B59&lt;&gt;"",INDEX(DataOB[],FirstRow+ROW()-7,MATCH(U$6,DataOB[#Headers],0)),"")</f>
        <v>0</v>
      </c>
      <c r="V59" s="67">
        <f>IF($B59&lt;&gt;"",INDEX(DataOB[],FirstRow+ROW()-7,MATCH(V$6,DataOB[#Headers],0)),"")</f>
        <v>0</v>
      </c>
      <c r="W59" s="67">
        <f>IF($B59&lt;&gt;"",INDEX(DataOB[],FirstRow+ROW()-7,MATCH(W$6,DataOB[#Headers],0)),"")</f>
        <v>0</v>
      </c>
      <c r="X59" s="67">
        <f>IF($B59&lt;&gt;"",INDEX(DataOB[],FirstRow+ROW()-7,MATCH(X$6,DataOB[#Headers],0)),"")</f>
        <v>0</v>
      </c>
      <c r="Y59" s="67">
        <f>IF($B59&lt;&gt;"",INDEX(DataOB[],FirstRow+ROW()-7,MATCH(Y$6,DataOB[#Headers],0)),"")</f>
        <v>0</v>
      </c>
      <c r="Z59" s="67">
        <f>IF($B59&lt;&gt;"",INDEX(DataOB[],FirstRow+ROW()-7,MATCH(Z$6,DataOB[#Headers],0)),"")</f>
        <v>0</v>
      </c>
      <c r="AA59" s="67">
        <f>IF($B59&lt;&gt;"",INDEX(DataOB[],FirstRow+ROW()-7,MATCH(AA$6,DataOB[#Headers],0)),"")</f>
        <v>0</v>
      </c>
      <c r="AB59" s="67">
        <f>IF($B59&lt;&gt;"",INDEX(DataOB[],FirstRow+ROW()-7,MATCH(AB$6,DataOB[#Headers],0)),"")</f>
        <v>0</v>
      </c>
      <c r="AC59" s="67">
        <f>IF($B59&lt;&gt;"",INDEX(DataOB[],FirstRow+ROW()-7,MATCH(AC$6,DataOB[#Headers],0)),"")</f>
        <v>0</v>
      </c>
      <c r="AD59" s="67">
        <f>IF($B59&lt;&gt;"",INDEX(DataOB[],FirstRow+ROW()-7,MATCH(AD$6,DataOB[#Headers],0)),"")</f>
        <v>0</v>
      </c>
      <c r="AE59" s="67">
        <f>IF($B59&lt;&gt;"",INDEX(DataOB[],FirstRow+ROW()-7,MATCH(AE$6,DataOB[#Headers],0)),"")</f>
        <v>7</v>
      </c>
      <c r="AF59" s="26">
        <f t="shared" si="14"/>
        <v>7</v>
      </c>
      <c r="AG59" s="31">
        <f>SUM($T59:T59)</f>
        <v>0</v>
      </c>
      <c r="AH59" s="31">
        <f>SUM($T59:U59)</f>
        <v>0</v>
      </c>
      <c r="AI59" s="31">
        <f>SUM($T59:V59)</f>
        <v>0</v>
      </c>
      <c r="AJ59" s="31">
        <f>SUM($T59:W59)</f>
        <v>0</v>
      </c>
      <c r="AK59" s="31">
        <f>SUM($T59:X59)</f>
        <v>0</v>
      </c>
      <c r="AL59" s="31">
        <f>SUM($T59:Y59)</f>
        <v>0</v>
      </c>
      <c r="AM59" s="31">
        <f>SUM($T59:Z59)</f>
        <v>0</v>
      </c>
      <c r="AN59" s="31">
        <f>SUM($T59:AA59)</f>
        <v>0</v>
      </c>
      <c r="AO59" s="31">
        <f>SUM($T59:AB59)</f>
        <v>0</v>
      </c>
      <c r="AP59" s="31">
        <f>SUM($T59:AC59)</f>
        <v>0</v>
      </c>
      <c r="AQ59" s="31">
        <f>SUM($T59:AD59)</f>
        <v>0</v>
      </c>
      <c r="AR59" s="31">
        <f>SUM($T59:AE59)</f>
        <v>7</v>
      </c>
      <c r="AS59" s="27">
        <f t="shared" si="15"/>
        <v>0</v>
      </c>
    </row>
    <row r="60" spans="2:45">
      <c r="B60" s="156">
        <f>IF(ROW()-6&gt;NumCostCenter,"",IF(CostCenter&lt;&gt;"ALL",CostCenter,DATA_LF2!B58))</f>
        <v>3211</v>
      </c>
      <c r="C60" s="153">
        <f>IF($B60&lt;&gt;"",INDEX(DataOB[],FirstRow+ROW()-7,2),"")</f>
        <v>3211</v>
      </c>
      <c r="D60" s="157" t="str">
        <f>IF($B60&lt;&gt;"",INDEX(DataOB[],FirstRow+ROW()-7,3),"")</f>
        <v>TBD</v>
      </c>
      <c r="E60" s="158">
        <f>IF($B60&lt;&gt;"",INDEX(DataOB[],FirstRow+ROW()-7,6),"")</f>
        <v>0</v>
      </c>
      <c r="F60" s="158" t="str">
        <f>IF($B60&lt;&gt;"",INDEX(DataOB[],FirstRow+ROW()-7,5),"")</f>
        <v>Alum RRC and Plunger Rim 11Jx20</v>
      </c>
      <c r="G60" s="58">
        <f>IF($B60&lt;&gt;"",SUMIFS(DataAct_tbl[AMOUNT],DataAct_tbl[BG CODE],Detail!$D60,DataAct_tbl[MONTH],LEFT(MonthName,3),DataAct_tbl[Dept code],$B60),0)</f>
        <v>0</v>
      </c>
      <c r="H60" s="31">
        <f t="shared" si="7"/>
        <v>0</v>
      </c>
      <c r="I60" s="28">
        <f t="shared" si="8"/>
        <v>0</v>
      </c>
      <c r="J60" s="32" t="str">
        <f t="shared" si="9"/>
        <v xml:space="preserve"> </v>
      </c>
      <c r="K60" s="86"/>
      <c r="L60" s="62">
        <f>IF($B60&lt;&gt;"",SUMIFS(DataAct_tbl[AMOUNT],DataAct_tbl[BG CODE],Detail!$D60,DataAct_tbl[Check Range],"=true",DataAct_tbl[Dept code],$B60),0)</f>
        <v>0</v>
      </c>
      <c r="M60" s="63">
        <f>INDEX($AG$7:$AR$1005,ROW()-6,MATCH(MTD,$AG$6:$AR$6,0))</f>
        <v>0</v>
      </c>
      <c r="N60" s="34">
        <f t="shared" si="10"/>
        <v>0</v>
      </c>
      <c r="O60" s="64" t="str">
        <f t="shared" si="11"/>
        <v xml:space="preserve"> </v>
      </c>
      <c r="Q60" s="97">
        <f t="shared" si="12"/>
        <v>3.5</v>
      </c>
      <c r="R60" s="96">
        <f t="shared" si="13"/>
        <v>3.5</v>
      </c>
      <c r="T60" s="67">
        <f>IF($B60&lt;&gt;"",INDEX(DataOB[],FirstRow+ROW()-7,MATCH(T$6,DataOB[#Headers],0)),"")</f>
        <v>0</v>
      </c>
      <c r="U60" s="67">
        <f>IF($B60&lt;&gt;"",INDEX(DataOB[],FirstRow+ROW()-7,MATCH(U$6,DataOB[#Headers],0)),"")</f>
        <v>0</v>
      </c>
      <c r="V60" s="67">
        <f>IF($B60&lt;&gt;"",INDEX(DataOB[],FirstRow+ROW()-7,MATCH(V$6,DataOB[#Headers],0)),"")</f>
        <v>0</v>
      </c>
      <c r="W60" s="67">
        <f>IF($B60&lt;&gt;"",INDEX(DataOB[],FirstRow+ROW()-7,MATCH(W$6,DataOB[#Headers],0)),"")</f>
        <v>0</v>
      </c>
      <c r="X60" s="67">
        <f>IF($B60&lt;&gt;"",INDEX(DataOB[],FirstRow+ROW()-7,MATCH(X$6,DataOB[#Headers],0)),"")</f>
        <v>0</v>
      </c>
      <c r="Y60" s="67">
        <f>IF($B60&lt;&gt;"",INDEX(DataOB[],FirstRow+ROW()-7,MATCH(Y$6,DataOB[#Headers],0)),"")</f>
        <v>0</v>
      </c>
      <c r="Z60" s="67">
        <f>IF($B60&lt;&gt;"",INDEX(DataOB[],FirstRow+ROW()-7,MATCH(Z$6,DataOB[#Headers],0)),"")</f>
        <v>0</v>
      </c>
      <c r="AA60" s="67">
        <f>IF($B60&lt;&gt;"",INDEX(DataOB[],FirstRow+ROW()-7,MATCH(AA$6,DataOB[#Headers],0)),"")</f>
        <v>0</v>
      </c>
      <c r="AB60" s="67">
        <f>IF($B60&lt;&gt;"",INDEX(DataOB[],FirstRow+ROW()-7,MATCH(AB$6,DataOB[#Headers],0)),"")</f>
        <v>0</v>
      </c>
      <c r="AC60" s="67">
        <f>IF($B60&lt;&gt;"",INDEX(DataOB[],FirstRow+ROW()-7,MATCH(AC$6,DataOB[#Headers],0)),"")</f>
        <v>0</v>
      </c>
      <c r="AD60" s="67">
        <f>IF($B60&lt;&gt;"",INDEX(DataOB[],FirstRow+ROW()-7,MATCH(AD$6,DataOB[#Headers],0)),"")</f>
        <v>0</v>
      </c>
      <c r="AE60" s="67">
        <f>IF($B60&lt;&gt;"",INDEX(DataOB[],FirstRow+ROW()-7,MATCH(AE$6,DataOB[#Headers],0)),"")</f>
        <v>3.5</v>
      </c>
      <c r="AF60" s="26">
        <f t="shared" si="14"/>
        <v>3.5</v>
      </c>
      <c r="AG60" s="31">
        <f>SUM($T60:T60)</f>
        <v>0</v>
      </c>
      <c r="AH60" s="31">
        <f>SUM($T60:U60)</f>
        <v>0</v>
      </c>
      <c r="AI60" s="31">
        <f>SUM($T60:V60)</f>
        <v>0</v>
      </c>
      <c r="AJ60" s="31">
        <f>SUM($T60:W60)</f>
        <v>0</v>
      </c>
      <c r="AK60" s="31">
        <f>SUM($T60:X60)</f>
        <v>0</v>
      </c>
      <c r="AL60" s="31">
        <f>SUM($T60:Y60)</f>
        <v>0</v>
      </c>
      <c r="AM60" s="31">
        <f>SUM($T60:Z60)</f>
        <v>0</v>
      </c>
      <c r="AN60" s="31">
        <f>SUM($T60:AA60)</f>
        <v>0</v>
      </c>
      <c r="AO60" s="31">
        <f>SUM($T60:AB60)</f>
        <v>0</v>
      </c>
      <c r="AP60" s="31">
        <f>SUM($T60:AC60)</f>
        <v>0</v>
      </c>
      <c r="AQ60" s="31">
        <f>SUM($T60:AD60)</f>
        <v>0</v>
      </c>
      <c r="AR60" s="31">
        <f>SUM($T60:AE60)</f>
        <v>3.5</v>
      </c>
      <c r="AS60" s="27">
        <f t="shared" si="15"/>
        <v>0</v>
      </c>
    </row>
    <row r="61" spans="2:45">
      <c r="B61" s="156">
        <f>IF(ROW()-6&gt;NumCostCenter,"",IF(CostCenter&lt;&gt;"ALL",CostCenter,DATA_LF2!B59))</f>
        <v>3211</v>
      </c>
      <c r="C61" s="153">
        <f>IF($B61&lt;&gt;"",INDEX(DataOB[],FirstRow+ROW()-7,2),"")</f>
        <v>3211</v>
      </c>
      <c r="D61" s="157" t="str">
        <f>IF($B61&lt;&gt;"",INDEX(DataOB[],FirstRow+ROW()-7,3),"")</f>
        <v>TBD</v>
      </c>
      <c r="E61" s="158">
        <f>IF($B61&lt;&gt;"",INDEX(DataOB[],FirstRow+ROW()-7,6),"")</f>
        <v>0</v>
      </c>
      <c r="F61" s="158" t="str">
        <f>IF($B61&lt;&gt;"",INDEX(DataOB[],FirstRow+ROW()-7,5),"")</f>
        <v>Alum Drum Rim 11Jx20</v>
      </c>
      <c r="G61" s="58">
        <f>IF($B61&lt;&gt;"",SUMIFS(DataAct_tbl[AMOUNT],DataAct_tbl[BG CODE],Detail!$D61,DataAct_tbl[MONTH],LEFT(MonthName,3),DataAct_tbl[Dept code],$B61),0)</f>
        <v>0</v>
      </c>
      <c r="H61" s="31">
        <f t="shared" si="7"/>
        <v>0</v>
      </c>
      <c r="I61" s="28">
        <f t="shared" si="8"/>
        <v>0</v>
      </c>
      <c r="J61" s="32" t="str">
        <f t="shared" si="9"/>
        <v xml:space="preserve"> </v>
      </c>
      <c r="K61" s="86"/>
      <c r="L61" s="62">
        <f>IF($B61&lt;&gt;"",SUMIFS(DataAct_tbl[AMOUNT],DataAct_tbl[BG CODE],Detail!$D61,DataAct_tbl[Check Range],"=true",DataAct_tbl[Dept code],$B61),0)</f>
        <v>0</v>
      </c>
      <c r="M61" s="63">
        <f>INDEX($AG$7:$AR$1005,ROW()-6,MATCH(MTD,$AG$6:$AR$6,0))</f>
        <v>0</v>
      </c>
      <c r="N61" s="34">
        <f t="shared" si="10"/>
        <v>0</v>
      </c>
      <c r="O61" s="64" t="str">
        <f t="shared" si="11"/>
        <v xml:space="preserve"> </v>
      </c>
      <c r="Q61" s="97">
        <f t="shared" si="12"/>
        <v>7</v>
      </c>
      <c r="R61" s="96">
        <f t="shared" si="13"/>
        <v>7</v>
      </c>
      <c r="T61" s="67">
        <f>IF($B61&lt;&gt;"",INDEX(DataOB[],FirstRow+ROW()-7,MATCH(T$6,DataOB[#Headers],0)),"")</f>
        <v>0</v>
      </c>
      <c r="U61" s="67">
        <f>IF($B61&lt;&gt;"",INDEX(DataOB[],FirstRow+ROW()-7,MATCH(U$6,DataOB[#Headers],0)),"")</f>
        <v>0</v>
      </c>
      <c r="V61" s="67">
        <f>IF($B61&lt;&gt;"",INDEX(DataOB[],FirstRow+ROW()-7,MATCH(V$6,DataOB[#Headers],0)),"")</f>
        <v>0</v>
      </c>
      <c r="W61" s="67">
        <f>IF($B61&lt;&gt;"",INDEX(DataOB[],FirstRow+ROW()-7,MATCH(W$6,DataOB[#Headers],0)),"")</f>
        <v>0</v>
      </c>
      <c r="X61" s="67">
        <f>IF($B61&lt;&gt;"",INDEX(DataOB[],FirstRow+ROW()-7,MATCH(X$6,DataOB[#Headers],0)),"")</f>
        <v>0</v>
      </c>
      <c r="Y61" s="67">
        <f>IF($B61&lt;&gt;"",INDEX(DataOB[],FirstRow+ROW()-7,MATCH(Y$6,DataOB[#Headers],0)),"")</f>
        <v>0</v>
      </c>
      <c r="Z61" s="67">
        <f>IF($B61&lt;&gt;"",INDEX(DataOB[],FirstRow+ROW()-7,MATCH(Z$6,DataOB[#Headers],0)),"")</f>
        <v>0</v>
      </c>
      <c r="AA61" s="67">
        <f>IF($B61&lt;&gt;"",INDEX(DataOB[],FirstRow+ROW()-7,MATCH(AA$6,DataOB[#Headers],0)),"")</f>
        <v>0</v>
      </c>
      <c r="AB61" s="67">
        <f>IF($B61&lt;&gt;"",INDEX(DataOB[],FirstRow+ROW()-7,MATCH(AB$6,DataOB[#Headers],0)),"")</f>
        <v>0</v>
      </c>
      <c r="AC61" s="67">
        <f>IF($B61&lt;&gt;"",INDEX(DataOB[],FirstRow+ROW()-7,MATCH(AC$6,DataOB[#Headers],0)),"")</f>
        <v>0</v>
      </c>
      <c r="AD61" s="67">
        <f>IF($B61&lt;&gt;"",INDEX(DataOB[],FirstRow+ROW()-7,MATCH(AD$6,DataOB[#Headers],0)),"")</f>
        <v>0</v>
      </c>
      <c r="AE61" s="67">
        <f>IF($B61&lt;&gt;"",INDEX(DataOB[],FirstRow+ROW()-7,MATCH(AE$6,DataOB[#Headers],0)),"")</f>
        <v>7</v>
      </c>
      <c r="AF61" s="26">
        <f t="shared" si="14"/>
        <v>7</v>
      </c>
      <c r="AG61" s="31">
        <f>SUM($T61:T61)</f>
        <v>0</v>
      </c>
      <c r="AH61" s="31">
        <f>SUM($T61:U61)</f>
        <v>0</v>
      </c>
      <c r="AI61" s="31">
        <f>SUM($T61:V61)</f>
        <v>0</v>
      </c>
      <c r="AJ61" s="31">
        <f>SUM($T61:W61)</f>
        <v>0</v>
      </c>
      <c r="AK61" s="31">
        <f>SUM($T61:X61)</f>
        <v>0</v>
      </c>
      <c r="AL61" s="31">
        <f>SUM($T61:Y61)</f>
        <v>0</v>
      </c>
      <c r="AM61" s="31">
        <f>SUM($T61:Z61)</f>
        <v>0</v>
      </c>
      <c r="AN61" s="31">
        <f>SUM($T61:AA61)</f>
        <v>0</v>
      </c>
      <c r="AO61" s="31">
        <f>SUM($T61:AB61)</f>
        <v>0</v>
      </c>
      <c r="AP61" s="31">
        <f>SUM($T61:AC61)</f>
        <v>0</v>
      </c>
      <c r="AQ61" s="31">
        <f>SUM($T61:AD61)</f>
        <v>0</v>
      </c>
      <c r="AR61" s="31">
        <f>SUM($T61:AE61)</f>
        <v>7</v>
      </c>
      <c r="AS61" s="27">
        <f t="shared" si="15"/>
        <v>0</v>
      </c>
    </row>
    <row r="62" spans="2:45">
      <c r="B62" s="156">
        <f>IF(ROW()-6&gt;NumCostCenter,"",IF(CostCenter&lt;&gt;"ALL",CostCenter,DATA_LF2!B60))</f>
        <v>3211</v>
      </c>
      <c r="C62" s="153">
        <f>IF($B62&lt;&gt;"",INDEX(DataOB[],FirstRow+ROW()-7,2),"")</f>
        <v>3211</v>
      </c>
      <c r="D62" s="157" t="str">
        <f>IF($B62&lt;&gt;"",INDEX(DataOB[],FirstRow+ROW()-7,3),"")</f>
        <v>TBD</v>
      </c>
      <c r="E62" s="158">
        <f>IF($B62&lt;&gt;"",INDEX(DataOB[],FirstRow+ROW()-7,6),"")</f>
        <v>0</v>
      </c>
      <c r="F62" s="158" t="str">
        <f>IF($B62&lt;&gt;"",INDEX(DataOB[],FirstRow+ROW()-7,5),"")</f>
        <v>Alum RRC and Plunger Rim 9.5Jx21</v>
      </c>
      <c r="G62" s="58">
        <f>IF($B62&lt;&gt;"",SUMIFS(DataAct_tbl[AMOUNT],DataAct_tbl[BG CODE],Detail!$D62,DataAct_tbl[MONTH],LEFT(MonthName,3),DataAct_tbl[Dept code],$B62),0)</f>
        <v>0</v>
      </c>
      <c r="H62" s="31">
        <f t="shared" si="7"/>
        <v>0</v>
      </c>
      <c r="I62" s="28">
        <f t="shared" si="8"/>
        <v>0</v>
      </c>
      <c r="J62" s="32" t="str">
        <f t="shared" si="9"/>
        <v xml:space="preserve"> </v>
      </c>
      <c r="K62" s="86"/>
      <c r="L62" s="62">
        <f>IF($B62&lt;&gt;"",SUMIFS(DataAct_tbl[AMOUNT],DataAct_tbl[BG CODE],Detail!$D62,DataAct_tbl[Check Range],"=true",DataAct_tbl[Dept code],$B62),0)</f>
        <v>0</v>
      </c>
      <c r="M62" s="63">
        <f>INDEX($AG$7:$AR$1005,ROW()-6,MATCH(MTD,$AG$6:$AR$6,0))</f>
        <v>0</v>
      </c>
      <c r="N62" s="34">
        <f t="shared" si="10"/>
        <v>0</v>
      </c>
      <c r="O62" s="64" t="str">
        <f t="shared" si="11"/>
        <v xml:space="preserve"> </v>
      </c>
      <c r="Q62" s="97">
        <f t="shared" si="12"/>
        <v>6</v>
      </c>
      <c r="R62" s="96">
        <f t="shared" si="13"/>
        <v>6</v>
      </c>
      <c r="T62" s="67">
        <f>IF($B62&lt;&gt;"",INDEX(DataOB[],FirstRow+ROW()-7,MATCH(T$6,DataOB[#Headers],0)),"")</f>
        <v>0</v>
      </c>
      <c r="U62" s="67">
        <f>IF($B62&lt;&gt;"",INDEX(DataOB[],FirstRow+ROW()-7,MATCH(U$6,DataOB[#Headers],0)),"")</f>
        <v>0</v>
      </c>
      <c r="V62" s="67">
        <f>IF($B62&lt;&gt;"",INDEX(DataOB[],FirstRow+ROW()-7,MATCH(V$6,DataOB[#Headers],0)),"")</f>
        <v>0</v>
      </c>
      <c r="W62" s="67">
        <f>IF($B62&lt;&gt;"",INDEX(DataOB[],FirstRow+ROW()-7,MATCH(W$6,DataOB[#Headers],0)),"")</f>
        <v>0</v>
      </c>
      <c r="X62" s="67">
        <f>IF($B62&lt;&gt;"",INDEX(DataOB[],FirstRow+ROW()-7,MATCH(X$6,DataOB[#Headers],0)),"")</f>
        <v>0</v>
      </c>
      <c r="Y62" s="67">
        <f>IF($B62&lt;&gt;"",INDEX(DataOB[],FirstRow+ROW()-7,MATCH(Y$6,DataOB[#Headers],0)),"")</f>
        <v>0</v>
      </c>
      <c r="Z62" s="67">
        <f>IF($B62&lt;&gt;"",INDEX(DataOB[],FirstRow+ROW()-7,MATCH(Z$6,DataOB[#Headers],0)),"")</f>
        <v>0</v>
      </c>
      <c r="AA62" s="67">
        <f>IF($B62&lt;&gt;"",INDEX(DataOB[],FirstRow+ROW()-7,MATCH(AA$6,DataOB[#Headers],0)),"")</f>
        <v>0</v>
      </c>
      <c r="AB62" s="67">
        <f>IF($B62&lt;&gt;"",INDEX(DataOB[],FirstRow+ROW()-7,MATCH(AB$6,DataOB[#Headers],0)),"")</f>
        <v>0</v>
      </c>
      <c r="AC62" s="67">
        <f>IF($B62&lt;&gt;"",INDEX(DataOB[],FirstRow+ROW()-7,MATCH(AC$6,DataOB[#Headers],0)),"")</f>
        <v>0</v>
      </c>
      <c r="AD62" s="67">
        <f>IF($B62&lt;&gt;"",INDEX(DataOB[],FirstRow+ROW()-7,MATCH(AD$6,DataOB[#Headers],0)),"")</f>
        <v>0</v>
      </c>
      <c r="AE62" s="67">
        <f>IF($B62&lt;&gt;"",INDEX(DataOB[],FirstRow+ROW()-7,MATCH(AE$6,DataOB[#Headers],0)),"")</f>
        <v>6</v>
      </c>
      <c r="AF62" s="26">
        <f t="shared" si="14"/>
        <v>6</v>
      </c>
      <c r="AG62" s="31">
        <f>SUM($T62:T62)</f>
        <v>0</v>
      </c>
      <c r="AH62" s="31">
        <f>SUM($T62:U62)</f>
        <v>0</v>
      </c>
      <c r="AI62" s="31">
        <f>SUM($T62:V62)</f>
        <v>0</v>
      </c>
      <c r="AJ62" s="31">
        <f>SUM($T62:W62)</f>
        <v>0</v>
      </c>
      <c r="AK62" s="31">
        <f>SUM($T62:X62)</f>
        <v>0</v>
      </c>
      <c r="AL62" s="31">
        <f>SUM($T62:Y62)</f>
        <v>0</v>
      </c>
      <c r="AM62" s="31">
        <f>SUM($T62:Z62)</f>
        <v>0</v>
      </c>
      <c r="AN62" s="31">
        <f>SUM($T62:AA62)</f>
        <v>0</v>
      </c>
      <c r="AO62" s="31">
        <f>SUM($T62:AB62)</f>
        <v>0</v>
      </c>
      <c r="AP62" s="31">
        <f>SUM($T62:AC62)</f>
        <v>0</v>
      </c>
      <c r="AQ62" s="31">
        <f>SUM($T62:AD62)</f>
        <v>0</v>
      </c>
      <c r="AR62" s="31">
        <f>SUM($T62:AE62)</f>
        <v>6</v>
      </c>
      <c r="AS62" s="27">
        <f t="shared" si="15"/>
        <v>0</v>
      </c>
    </row>
    <row r="63" spans="2:45">
      <c r="B63" s="156">
        <f>IF(ROW()-6&gt;NumCostCenter,"",IF(CostCenter&lt;&gt;"ALL",CostCenter,DATA_LF2!B61))</f>
        <v>3211</v>
      </c>
      <c r="C63" s="153">
        <f>IF($B63&lt;&gt;"",INDEX(DataOB[],FirstRow+ROW()-7,2),"")</f>
        <v>3211</v>
      </c>
      <c r="D63" s="157" t="str">
        <f>IF($B63&lt;&gt;"",INDEX(DataOB[],FirstRow+ROW()-7,3),"")</f>
        <v>TBD</v>
      </c>
      <c r="E63" s="158">
        <f>IF($B63&lt;&gt;"",INDEX(DataOB[],FirstRow+ROW()-7,6),"")</f>
        <v>0</v>
      </c>
      <c r="F63" s="158" t="str">
        <f>IF($B63&lt;&gt;"",INDEX(DataOB[],FirstRow+ROW()-7,5),"")</f>
        <v>Alum Drum Rim 9.5Jx21</v>
      </c>
      <c r="G63" s="58">
        <f>IF($B63&lt;&gt;"",SUMIFS(DataAct_tbl[AMOUNT],DataAct_tbl[BG CODE],Detail!$D63,DataAct_tbl[MONTH],LEFT(MonthName,3),DataAct_tbl[Dept code],$B63),0)</f>
        <v>0</v>
      </c>
      <c r="H63" s="31">
        <f t="shared" si="7"/>
        <v>0</v>
      </c>
      <c r="I63" s="28">
        <f t="shared" si="8"/>
        <v>0</v>
      </c>
      <c r="J63" s="32" t="str">
        <f t="shared" si="9"/>
        <v xml:space="preserve"> </v>
      </c>
      <c r="K63" s="86"/>
      <c r="L63" s="62">
        <f>IF($B63&lt;&gt;"",SUMIFS(DataAct_tbl[AMOUNT],DataAct_tbl[BG CODE],Detail!$D63,DataAct_tbl[Check Range],"=true",DataAct_tbl[Dept code],$B63),0)</f>
        <v>0</v>
      </c>
      <c r="M63" s="63">
        <f>INDEX($AG$7:$AR$1005,ROW()-6,MATCH(MTD,$AG$6:$AR$6,0))</f>
        <v>0</v>
      </c>
      <c r="N63" s="34">
        <f t="shared" si="10"/>
        <v>0</v>
      </c>
      <c r="O63" s="64" t="str">
        <f t="shared" si="11"/>
        <v xml:space="preserve"> </v>
      </c>
      <c r="Q63" s="97">
        <f t="shared" si="12"/>
        <v>7</v>
      </c>
      <c r="R63" s="96">
        <f t="shared" si="13"/>
        <v>7</v>
      </c>
      <c r="T63" s="67">
        <f>IF($B63&lt;&gt;"",INDEX(DataOB[],FirstRow+ROW()-7,MATCH(T$6,DataOB[#Headers],0)),"")</f>
        <v>0</v>
      </c>
      <c r="U63" s="67">
        <f>IF($B63&lt;&gt;"",INDEX(DataOB[],FirstRow+ROW()-7,MATCH(U$6,DataOB[#Headers],0)),"")</f>
        <v>0</v>
      </c>
      <c r="V63" s="67">
        <f>IF($B63&lt;&gt;"",INDEX(DataOB[],FirstRow+ROW()-7,MATCH(V$6,DataOB[#Headers],0)),"")</f>
        <v>0</v>
      </c>
      <c r="W63" s="67">
        <f>IF($B63&lt;&gt;"",INDEX(DataOB[],FirstRow+ROW()-7,MATCH(W$6,DataOB[#Headers],0)),"")</f>
        <v>0</v>
      </c>
      <c r="X63" s="67">
        <f>IF($B63&lt;&gt;"",INDEX(DataOB[],FirstRow+ROW()-7,MATCH(X$6,DataOB[#Headers],0)),"")</f>
        <v>0</v>
      </c>
      <c r="Y63" s="67">
        <f>IF($B63&lt;&gt;"",INDEX(DataOB[],FirstRow+ROW()-7,MATCH(Y$6,DataOB[#Headers],0)),"")</f>
        <v>0</v>
      </c>
      <c r="Z63" s="67">
        <f>IF($B63&lt;&gt;"",INDEX(DataOB[],FirstRow+ROW()-7,MATCH(Z$6,DataOB[#Headers],0)),"")</f>
        <v>0</v>
      </c>
      <c r="AA63" s="67">
        <f>IF($B63&lt;&gt;"",INDEX(DataOB[],FirstRow+ROW()-7,MATCH(AA$6,DataOB[#Headers],0)),"")</f>
        <v>0</v>
      </c>
      <c r="AB63" s="67">
        <f>IF($B63&lt;&gt;"",INDEX(DataOB[],FirstRow+ROW()-7,MATCH(AB$6,DataOB[#Headers],0)),"")</f>
        <v>0</v>
      </c>
      <c r="AC63" s="67">
        <f>IF($B63&lt;&gt;"",INDEX(DataOB[],FirstRow+ROW()-7,MATCH(AC$6,DataOB[#Headers],0)),"")</f>
        <v>0</v>
      </c>
      <c r="AD63" s="67">
        <f>IF($B63&lt;&gt;"",INDEX(DataOB[],FirstRow+ROW()-7,MATCH(AD$6,DataOB[#Headers],0)),"")</f>
        <v>0</v>
      </c>
      <c r="AE63" s="67">
        <f>IF($B63&lt;&gt;"",INDEX(DataOB[],FirstRow+ROW()-7,MATCH(AE$6,DataOB[#Headers],0)),"")</f>
        <v>7</v>
      </c>
      <c r="AF63" s="26">
        <f t="shared" si="14"/>
        <v>7</v>
      </c>
      <c r="AG63" s="31">
        <f>SUM($T63:T63)</f>
        <v>0</v>
      </c>
      <c r="AH63" s="31">
        <f>SUM($T63:U63)</f>
        <v>0</v>
      </c>
      <c r="AI63" s="31">
        <f>SUM($T63:V63)</f>
        <v>0</v>
      </c>
      <c r="AJ63" s="31">
        <f>SUM($T63:W63)</f>
        <v>0</v>
      </c>
      <c r="AK63" s="31">
        <f>SUM($T63:X63)</f>
        <v>0</v>
      </c>
      <c r="AL63" s="31">
        <f>SUM($T63:Y63)</f>
        <v>0</v>
      </c>
      <c r="AM63" s="31">
        <f>SUM($T63:Z63)</f>
        <v>0</v>
      </c>
      <c r="AN63" s="31">
        <f>SUM($T63:AA63)</f>
        <v>0</v>
      </c>
      <c r="AO63" s="31">
        <f>SUM($T63:AB63)</f>
        <v>0</v>
      </c>
      <c r="AP63" s="31">
        <f>SUM($T63:AC63)</f>
        <v>0</v>
      </c>
      <c r="AQ63" s="31">
        <f>SUM($T63:AD63)</f>
        <v>0</v>
      </c>
      <c r="AR63" s="31">
        <f>SUM($T63:AE63)</f>
        <v>7</v>
      </c>
      <c r="AS63" s="27">
        <f t="shared" si="15"/>
        <v>0</v>
      </c>
    </row>
    <row r="64" spans="2:45">
      <c r="B64" s="156">
        <f>IF(ROW()-6&gt;NumCostCenter,"",IF(CostCenter&lt;&gt;"ALL",CostCenter,DATA_LF2!B62))</f>
        <v>3211</v>
      </c>
      <c r="C64" s="153">
        <f>IF($B64&lt;&gt;"",INDEX(DataOB[],FirstRow+ROW()-7,2),"")</f>
        <v>3211</v>
      </c>
      <c r="D64" s="157" t="str">
        <f>IF($B64&lt;&gt;"",INDEX(DataOB[],FirstRow+ROW()-7,3),"")</f>
        <v>TBD</v>
      </c>
      <c r="E64" s="158">
        <f>IF($B64&lt;&gt;"",INDEX(DataOB[],FirstRow+ROW()-7,6),"")</f>
        <v>0</v>
      </c>
      <c r="F64" s="158" t="str">
        <f>IF($B64&lt;&gt;"",INDEX(DataOB[],FirstRow+ROW()-7,5),"")</f>
        <v>Alum RRC and Plunger Rim 8.5Jx21</v>
      </c>
      <c r="G64" s="58">
        <f>IF($B64&lt;&gt;"",SUMIFS(DataAct_tbl[AMOUNT],DataAct_tbl[BG CODE],Detail!$D64,DataAct_tbl[MONTH],LEFT(MonthName,3),DataAct_tbl[Dept code],$B64),0)</f>
        <v>0</v>
      </c>
      <c r="H64" s="31">
        <f t="shared" si="7"/>
        <v>0</v>
      </c>
      <c r="I64" s="28">
        <f t="shared" si="8"/>
        <v>0</v>
      </c>
      <c r="J64" s="32" t="str">
        <f t="shared" si="9"/>
        <v xml:space="preserve"> </v>
      </c>
      <c r="K64" s="86"/>
      <c r="L64" s="62">
        <f>IF($B64&lt;&gt;"",SUMIFS(DataAct_tbl[AMOUNT],DataAct_tbl[BG CODE],Detail!$D64,DataAct_tbl[Check Range],"=true",DataAct_tbl[Dept code],$B64),0)</f>
        <v>0</v>
      </c>
      <c r="M64" s="63">
        <f>INDEX($AG$7:$AR$1005,ROW()-6,MATCH(MTD,$AG$6:$AR$6,0))</f>
        <v>0</v>
      </c>
      <c r="N64" s="34">
        <f t="shared" si="10"/>
        <v>0</v>
      </c>
      <c r="O64" s="64" t="str">
        <f t="shared" si="11"/>
        <v xml:space="preserve"> </v>
      </c>
      <c r="Q64" s="97">
        <f t="shared" si="12"/>
        <v>5</v>
      </c>
      <c r="R64" s="96">
        <f t="shared" si="13"/>
        <v>5</v>
      </c>
      <c r="T64" s="67">
        <f>IF($B64&lt;&gt;"",INDEX(DataOB[],FirstRow+ROW()-7,MATCH(T$6,DataOB[#Headers],0)),"")</f>
        <v>0</v>
      </c>
      <c r="U64" s="67">
        <f>IF($B64&lt;&gt;"",INDEX(DataOB[],FirstRow+ROW()-7,MATCH(U$6,DataOB[#Headers],0)),"")</f>
        <v>0</v>
      </c>
      <c r="V64" s="67">
        <f>IF($B64&lt;&gt;"",INDEX(DataOB[],FirstRow+ROW()-7,MATCH(V$6,DataOB[#Headers],0)),"")</f>
        <v>0</v>
      </c>
      <c r="W64" s="67">
        <f>IF($B64&lt;&gt;"",INDEX(DataOB[],FirstRow+ROW()-7,MATCH(W$6,DataOB[#Headers],0)),"")</f>
        <v>0</v>
      </c>
      <c r="X64" s="67">
        <f>IF($B64&lt;&gt;"",INDEX(DataOB[],FirstRow+ROW()-7,MATCH(X$6,DataOB[#Headers],0)),"")</f>
        <v>0</v>
      </c>
      <c r="Y64" s="67">
        <f>IF($B64&lt;&gt;"",INDEX(DataOB[],FirstRow+ROW()-7,MATCH(Y$6,DataOB[#Headers],0)),"")</f>
        <v>0</v>
      </c>
      <c r="Z64" s="67">
        <f>IF($B64&lt;&gt;"",INDEX(DataOB[],FirstRow+ROW()-7,MATCH(Z$6,DataOB[#Headers],0)),"")</f>
        <v>0</v>
      </c>
      <c r="AA64" s="67">
        <f>IF($B64&lt;&gt;"",INDEX(DataOB[],FirstRow+ROW()-7,MATCH(AA$6,DataOB[#Headers],0)),"")</f>
        <v>0</v>
      </c>
      <c r="AB64" s="67">
        <f>IF($B64&lt;&gt;"",INDEX(DataOB[],FirstRow+ROW()-7,MATCH(AB$6,DataOB[#Headers],0)),"")</f>
        <v>0</v>
      </c>
      <c r="AC64" s="67">
        <f>IF($B64&lt;&gt;"",INDEX(DataOB[],FirstRow+ROW()-7,MATCH(AC$6,DataOB[#Headers],0)),"")</f>
        <v>0</v>
      </c>
      <c r="AD64" s="67">
        <f>IF($B64&lt;&gt;"",INDEX(DataOB[],FirstRow+ROW()-7,MATCH(AD$6,DataOB[#Headers],0)),"")</f>
        <v>0</v>
      </c>
      <c r="AE64" s="67">
        <f>IF($B64&lt;&gt;"",INDEX(DataOB[],FirstRow+ROW()-7,MATCH(AE$6,DataOB[#Headers],0)),"")</f>
        <v>5</v>
      </c>
      <c r="AF64" s="26">
        <f t="shared" si="14"/>
        <v>5</v>
      </c>
      <c r="AG64" s="31">
        <f>SUM($T64:T64)</f>
        <v>0</v>
      </c>
      <c r="AH64" s="31">
        <f>SUM($T64:U64)</f>
        <v>0</v>
      </c>
      <c r="AI64" s="31">
        <f>SUM($T64:V64)</f>
        <v>0</v>
      </c>
      <c r="AJ64" s="31">
        <f>SUM($T64:W64)</f>
        <v>0</v>
      </c>
      <c r="AK64" s="31">
        <f>SUM($T64:X64)</f>
        <v>0</v>
      </c>
      <c r="AL64" s="31">
        <f>SUM($T64:Y64)</f>
        <v>0</v>
      </c>
      <c r="AM64" s="31">
        <f>SUM($T64:Z64)</f>
        <v>0</v>
      </c>
      <c r="AN64" s="31">
        <f>SUM($T64:AA64)</f>
        <v>0</v>
      </c>
      <c r="AO64" s="31">
        <f>SUM($T64:AB64)</f>
        <v>0</v>
      </c>
      <c r="AP64" s="31">
        <f>SUM($T64:AC64)</f>
        <v>0</v>
      </c>
      <c r="AQ64" s="31">
        <f>SUM($T64:AD64)</f>
        <v>0</v>
      </c>
      <c r="AR64" s="31">
        <f>SUM($T64:AE64)</f>
        <v>5</v>
      </c>
      <c r="AS64" s="27">
        <f t="shared" si="15"/>
        <v>0</v>
      </c>
    </row>
    <row r="65" spans="2:45">
      <c r="B65" s="156">
        <f>IF(ROW()-6&gt;NumCostCenter,"",IF(CostCenter&lt;&gt;"ALL",CostCenter,DATA_LF2!B63))</f>
        <v>3211</v>
      </c>
      <c r="C65" s="153">
        <f>IF($B65&lt;&gt;"",INDEX(DataOB[],FirstRow+ROW()-7,2),"")</f>
        <v>3211</v>
      </c>
      <c r="D65" s="157" t="str">
        <f>IF($B65&lt;&gt;"",INDEX(DataOB[],FirstRow+ROW()-7,3),"")</f>
        <v>TBD</v>
      </c>
      <c r="E65" s="158">
        <f>IF($B65&lt;&gt;"",INDEX(DataOB[],FirstRow+ROW()-7,6),"")</f>
        <v>0</v>
      </c>
      <c r="F65" s="158" t="str">
        <f>IF($B65&lt;&gt;"",INDEX(DataOB[],FirstRow+ROW()-7,5),"")</f>
        <v>Alum Drum Rim 8.5Jx21</v>
      </c>
      <c r="G65" s="58">
        <f>IF($B65&lt;&gt;"",SUMIFS(DataAct_tbl[AMOUNT],DataAct_tbl[BG CODE],Detail!$D65,DataAct_tbl[MONTH],LEFT(MonthName,3),DataAct_tbl[Dept code],$B65),0)</f>
        <v>0</v>
      </c>
      <c r="H65" s="31">
        <f t="shared" si="7"/>
        <v>0</v>
      </c>
      <c r="I65" s="28">
        <f t="shared" si="8"/>
        <v>0</v>
      </c>
      <c r="J65" s="32" t="str">
        <f t="shared" si="9"/>
        <v xml:space="preserve"> </v>
      </c>
      <c r="K65" s="86"/>
      <c r="L65" s="62">
        <f>IF($B65&lt;&gt;"",SUMIFS(DataAct_tbl[AMOUNT],DataAct_tbl[BG CODE],Detail!$D65,DataAct_tbl[Check Range],"=true",DataAct_tbl[Dept code],$B65),0)</f>
        <v>0</v>
      </c>
      <c r="M65" s="63">
        <f>INDEX($AG$7:$AR$1005,ROW()-6,MATCH(MTD,$AG$6:$AR$6,0))</f>
        <v>0</v>
      </c>
      <c r="N65" s="34">
        <f t="shared" si="10"/>
        <v>0</v>
      </c>
      <c r="O65" s="64" t="str">
        <f t="shared" si="11"/>
        <v xml:space="preserve"> </v>
      </c>
      <c r="Q65" s="97">
        <f t="shared" si="12"/>
        <v>7</v>
      </c>
      <c r="R65" s="96">
        <f t="shared" si="13"/>
        <v>7</v>
      </c>
      <c r="T65" s="67">
        <f>IF($B65&lt;&gt;"",INDEX(DataOB[],FirstRow+ROW()-7,MATCH(T$6,DataOB[#Headers],0)),"")</f>
        <v>0</v>
      </c>
      <c r="U65" s="67">
        <f>IF($B65&lt;&gt;"",INDEX(DataOB[],FirstRow+ROW()-7,MATCH(U$6,DataOB[#Headers],0)),"")</f>
        <v>0</v>
      </c>
      <c r="V65" s="67">
        <f>IF($B65&lt;&gt;"",INDEX(DataOB[],FirstRow+ROW()-7,MATCH(V$6,DataOB[#Headers],0)),"")</f>
        <v>0</v>
      </c>
      <c r="W65" s="67">
        <f>IF($B65&lt;&gt;"",INDEX(DataOB[],FirstRow+ROW()-7,MATCH(W$6,DataOB[#Headers],0)),"")</f>
        <v>0</v>
      </c>
      <c r="X65" s="67">
        <f>IF($B65&lt;&gt;"",INDEX(DataOB[],FirstRow+ROW()-7,MATCH(X$6,DataOB[#Headers],0)),"")</f>
        <v>0</v>
      </c>
      <c r="Y65" s="67">
        <f>IF($B65&lt;&gt;"",INDEX(DataOB[],FirstRow+ROW()-7,MATCH(Y$6,DataOB[#Headers],0)),"")</f>
        <v>0</v>
      </c>
      <c r="Z65" s="67">
        <f>IF($B65&lt;&gt;"",INDEX(DataOB[],FirstRow+ROW()-7,MATCH(Z$6,DataOB[#Headers],0)),"")</f>
        <v>0</v>
      </c>
      <c r="AA65" s="67">
        <f>IF($B65&lt;&gt;"",INDEX(DataOB[],FirstRow+ROW()-7,MATCH(AA$6,DataOB[#Headers],0)),"")</f>
        <v>0</v>
      </c>
      <c r="AB65" s="67">
        <f>IF($B65&lt;&gt;"",INDEX(DataOB[],FirstRow+ROW()-7,MATCH(AB$6,DataOB[#Headers],0)),"")</f>
        <v>0</v>
      </c>
      <c r="AC65" s="67">
        <f>IF($B65&lt;&gt;"",INDEX(DataOB[],FirstRow+ROW()-7,MATCH(AC$6,DataOB[#Headers],0)),"")</f>
        <v>0</v>
      </c>
      <c r="AD65" s="67">
        <f>IF($B65&lt;&gt;"",INDEX(DataOB[],FirstRow+ROW()-7,MATCH(AD$6,DataOB[#Headers],0)),"")</f>
        <v>0</v>
      </c>
      <c r="AE65" s="67">
        <f>IF($B65&lt;&gt;"",INDEX(DataOB[],FirstRow+ROW()-7,MATCH(AE$6,DataOB[#Headers],0)),"")</f>
        <v>7</v>
      </c>
      <c r="AF65" s="26">
        <f t="shared" si="14"/>
        <v>7</v>
      </c>
      <c r="AG65" s="31">
        <f>SUM($T65:T65)</f>
        <v>0</v>
      </c>
      <c r="AH65" s="31">
        <f>SUM($T65:U65)</f>
        <v>0</v>
      </c>
      <c r="AI65" s="31">
        <f>SUM($T65:V65)</f>
        <v>0</v>
      </c>
      <c r="AJ65" s="31">
        <f>SUM($T65:W65)</f>
        <v>0</v>
      </c>
      <c r="AK65" s="31">
        <f>SUM($T65:X65)</f>
        <v>0</v>
      </c>
      <c r="AL65" s="31">
        <f>SUM($T65:Y65)</f>
        <v>0</v>
      </c>
      <c r="AM65" s="31">
        <f>SUM($T65:Z65)</f>
        <v>0</v>
      </c>
      <c r="AN65" s="31">
        <f>SUM($T65:AA65)</f>
        <v>0</v>
      </c>
      <c r="AO65" s="31">
        <f>SUM($T65:AB65)</f>
        <v>0</v>
      </c>
      <c r="AP65" s="31">
        <f>SUM($T65:AC65)</f>
        <v>0</v>
      </c>
      <c r="AQ65" s="31">
        <f>SUM($T65:AD65)</f>
        <v>0</v>
      </c>
      <c r="AR65" s="31">
        <f>SUM($T65:AE65)</f>
        <v>7</v>
      </c>
      <c r="AS65" s="27">
        <f t="shared" si="15"/>
        <v>0</v>
      </c>
    </row>
    <row r="66" spans="2:45">
      <c r="B66" s="156">
        <f>IF(ROW()-6&gt;NumCostCenter,"",IF(CostCenter&lt;&gt;"ALL",CostCenter,DATA_LF2!B64))</f>
        <v>3211</v>
      </c>
      <c r="C66" s="153">
        <f>IF($B66&lt;&gt;"",INDEX(DataOB[],FirstRow+ROW()-7,2),"")</f>
        <v>3211</v>
      </c>
      <c r="D66" s="157" t="str">
        <f>IF($B66&lt;&gt;"",INDEX(DataOB[],FirstRow+ROW()-7,3),"")</f>
        <v>TBD</v>
      </c>
      <c r="E66" s="158">
        <f>IF($B66&lt;&gt;"",INDEX(DataOB[],FirstRow+ROW()-7,6),"")</f>
        <v>0</v>
      </c>
      <c r="F66" s="158" t="str">
        <f>IF($B66&lt;&gt;"",INDEX(DataOB[],FirstRow+ROW()-7,5),"")</f>
        <v>Alum RRC and Plunger Rim 10Jx21</v>
      </c>
      <c r="G66" s="58">
        <f>IF($B66&lt;&gt;"",SUMIFS(DataAct_tbl[AMOUNT],DataAct_tbl[BG CODE],Detail!$D66,DataAct_tbl[MONTH],LEFT(MonthName,3),DataAct_tbl[Dept code],$B66),0)</f>
        <v>0</v>
      </c>
      <c r="H66" s="31">
        <f t="shared" si="7"/>
        <v>0</v>
      </c>
      <c r="I66" s="28">
        <f t="shared" si="8"/>
        <v>0</v>
      </c>
      <c r="J66" s="32" t="str">
        <f t="shared" si="9"/>
        <v xml:space="preserve"> </v>
      </c>
      <c r="K66" s="86"/>
      <c r="L66" s="62">
        <f>IF($B66&lt;&gt;"",SUMIFS(DataAct_tbl[AMOUNT],DataAct_tbl[BG CODE],Detail!$D66,DataAct_tbl[Check Range],"=true",DataAct_tbl[Dept code],$B66),0)</f>
        <v>0</v>
      </c>
      <c r="M66" s="63">
        <f>INDEX($AG$7:$AR$1005,ROW()-6,MATCH(MTD,$AG$6:$AR$6,0))</f>
        <v>0</v>
      </c>
      <c r="N66" s="34">
        <f t="shared" si="10"/>
        <v>0</v>
      </c>
      <c r="O66" s="64" t="str">
        <f t="shared" si="11"/>
        <v xml:space="preserve"> </v>
      </c>
      <c r="Q66" s="97">
        <f t="shared" si="12"/>
        <v>3.5</v>
      </c>
      <c r="R66" s="96">
        <f t="shared" si="13"/>
        <v>3.5</v>
      </c>
      <c r="T66" s="67">
        <f>IF($B66&lt;&gt;"",INDEX(DataOB[],FirstRow+ROW()-7,MATCH(T$6,DataOB[#Headers],0)),"")</f>
        <v>0</v>
      </c>
      <c r="U66" s="67">
        <f>IF($B66&lt;&gt;"",INDEX(DataOB[],FirstRow+ROW()-7,MATCH(U$6,DataOB[#Headers],0)),"")</f>
        <v>0</v>
      </c>
      <c r="V66" s="67">
        <f>IF($B66&lt;&gt;"",INDEX(DataOB[],FirstRow+ROW()-7,MATCH(V$6,DataOB[#Headers],0)),"")</f>
        <v>0</v>
      </c>
      <c r="W66" s="67">
        <f>IF($B66&lt;&gt;"",INDEX(DataOB[],FirstRow+ROW()-7,MATCH(W$6,DataOB[#Headers],0)),"")</f>
        <v>0</v>
      </c>
      <c r="X66" s="67">
        <f>IF($B66&lt;&gt;"",INDEX(DataOB[],FirstRow+ROW()-7,MATCH(X$6,DataOB[#Headers],0)),"")</f>
        <v>0</v>
      </c>
      <c r="Y66" s="67">
        <f>IF($B66&lt;&gt;"",INDEX(DataOB[],FirstRow+ROW()-7,MATCH(Y$6,DataOB[#Headers],0)),"")</f>
        <v>0</v>
      </c>
      <c r="Z66" s="67">
        <f>IF($B66&lt;&gt;"",INDEX(DataOB[],FirstRow+ROW()-7,MATCH(Z$6,DataOB[#Headers],0)),"")</f>
        <v>0</v>
      </c>
      <c r="AA66" s="67">
        <f>IF($B66&lt;&gt;"",INDEX(DataOB[],FirstRow+ROW()-7,MATCH(AA$6,DataOB[#Headers],0)),"")</f>
        <v>0</v>
      </c>
      <c r="AB66" s="67">
        <f>IF($B66&lt;&gt;"",INDEX(DataOB[],FirstRow+ROW()-7,MATCH(AB$6,DataOB[#Headers],0)),"")</f>
        <v>0</v>
      </c>
      <c r="AC66" s="67">
        <f>IF($B66&lt;&gt;"",INDEX(DataOB[],FirstRow+ROW()-7,MATCH(AC$6,DataOB[#Headers],0)),"")</f>
        <v>0</v>
      </c>
      <c r="AD66" s="67">
        <f>IF($B66&lt;&gt;"",INDEX(DataOB[],FirstRow+ROW()-7,MATCH(AD$6,DataOB[#Headers],0)),"")</f>
        <v>0</v>
      </c>
      <c r="AE66" s="67">
        <f>IF($B66&lt;&gt;"",INDEX(DataOB[],FirstRow+ROW()-7,MATCH(AE$6,DataOB[#Headers],0)),"")</f>
        <v>3.5</v>
      </c>
      <c r="AF66" s="26">
        <f t="shared" si="14"/>
        <v>3.5</v>
      </c>
      <c r="AG66" s="31">
        <f>SUM($T66:T66)</f>
        <v>0</v>
      </c>
      <c r="AH66" s="31">
        <f>SUM($T66:U66)</f>
        <v>0</v>
      </c>
      <c r="AI66" s="31">
        <f>SUM($T66:V66)</f>
        <v>0</v>
      </c>
      <c r="AJ66" s="31">
        <f>SUM($T66:W66)</f>
        <v>0</v>
      </c>
      <c r="AK66" s="31">
        <f>SUM($T66:X66)</f>
        <v>0</v>
      </c>
      <c r="AL66" s="31">
        <f>SUM($T66:Y66)</f>
        <v>0</v>
      </c>
      <c r="AM66" s="31">
        <f>SUM($T66:Z66)</f>
        <v>0</v>
      </c>
      <c r="AN66" s="31">
        <f>SUM($T66:AA66)</f>
        <v>0</v>
      </c>
      <c r="AO66" s="31">
        <f>SUM($T66:AB66)</f>
        <v>0</v>
      </c>
      <c r="AP66" s="31">
        <f>SUM($T66:AC66)</f>
        <v>0</v>
      </c>
      <c r="AQ66" s="31">
        <f>SUM($T66:AD66)</f>
        <v>0</v>
      </c>
      <c r="AR66" s="31">
        <f>SUM($T66:AE66)</f>
        <v>3.5</v>
      </c>
      <c r="AS66" s="27">
        <f t="shared" si="15"/>
        <v>0</v>
      </c>
    </row>
    <row r="67" spans="2:45">
      <c r="B67" s="156">
        <f>IF(ROW()-6&gt;NumCostCenter,"",IF(CostCenter&lt;&gt;"ALL",CostCenter,DATA_LF2!B65))</f>
        <v>3211</v>
      </c>
      <c r="C67" s="153">
        <f>IF($B67&lt;&gt;"",INDEX(DataOB[],FirstRow+ROW()-7,2),"")</f>
        <v>3211</v>
      </c>
      <c r="D67" s="157" t="str">
        <f>IF($B67&lt;&gt;"",INDEX(DataOB[],FirstRow+ROW()-7,3),"")</f>
        <v>TBD</v>
      </c>
      <c r="E67" s="158">
        <f>IF($B67&lt;&gt;"",INDEX(DataOB[],FirstRow+ROW()-7,6),"")</f>
        <v>0</v>
      </c>
      <c r="F67" s="158" t="str">
        <f>IF($B67&lt;&gt;"",INDEX(DataOB[],FirstRow+ROW()-7,5),"")</f>
        <v>Alum Drum Rim 10x21</v>
      </c>
      <c r="G67" s="58">
        <f>IF($B67&lt;&gt;"",SUMIFS(DataAct_tbl[AMOUNT],DataAct_tbl[BG CODE],Detail!$D67,DataAct_tbl[MONTH],LEFT(MonthName,3),DataAct_tbl[Dept code],$B67),0)</f>
        <v>0</v>
      </c>
      <c r="H67" s="31">
        <f t="shared" si="7"/>
        <v>0</v>
      </c>
      <c r="I67" s="28">
        <f t="shared" si="8"/>
        <v>0</v>
      </c>
      <c r="J67" s="32" t="str">
        <f t="shared" si="9"/>
        <v xml:space="preserve"> </v>
      </c>
      <c r="K67" s="86"/>
      <c r="L67" s="62">
        <f>IF($B67&lt;&gt;"",SUMIFS(DataAct_tbl[AMOUNT],DataAct_tbl[BG CODE],Detail!$D67,DataAct_tbl[Check Range],"=true",DataAct_tbl[Dept code],$B67),0)</f>
        <v>0</v>
      </c>
      <c r="M67" s="63">
        <f>INDEX($AG$7:$AR$1005,ROW()-6,MATCH(MTD,$AG$6:$AR$6,0))</f>
        <v>0</v>
      </c>
      <c r="N67" s="34">
        <f t="shared" si="10"/>
        <v>0</v>
      </c>
      <c r="O67" s="64" t="str">
        <f t="shared" si="11"/>
        <v xml:space="preserve"> </v>
      </c>
      <c r="Q67" s="97">
        <f t="shared" si="12"/>
        <v>7</v>
      </c>
      <c r="R67" s="96">
        <f t="shared" si="13"/>
        <v>7</v>
      </c>
      <c r="T67" s="67">
        <f>IF($B67&lt;&gt;"",INDEX(DataOB[],FirstRow+ROW()-7,MATCH(T$6,DataOB[#Headers],0)),"")</f>
        <v>0</v>
      </c>
      <c r="U67" s="67">
        <f>IF($B67&lt;&gt;"",INDEX(DataOB[],FirstRow+ROW()-7,MATCH(U$6,DataOB[#Headers],0)),"")</f>
        <v>0</v>
      </c>
      <c r="V67" s="67">
        <f>IF($B67&lt;&gt;"",INDEX(DataOB[],FirstRow+ROW()-7,MATCH(V$6,DataOB[#Headers],0)),"")</f>
        <v>0</v>
      </c>
      <c r="W67" s="67">
        <f>IF($B67&lt;&gt;"",INDEX(DataOB[],FirstRow+ROW()-7,MATCH(W$6,DataOB[#Headers],0)),"")</f>
        <v>0</v>
      </c>
      <c r="X67" s="67">
        <f>IF($B67&lt;&gt;"",INDEX(DataOB[],FirstRow+ROW()-7,MATCH(X$6,DataOB[#Headers],0)),"")</f>
        <v>0</v>
      </c>
      <c r="Y67" s="67">
        <f>IF($B67&lt;&gt;"",INDEX(DataOB[],FirstRow+ROW()-7,MATCH(Y$6,DataOB[#Headers],0)),"")</f>
        <v>0</v>
      </c>
      <c r="Z67" s="67">
        <f>IF($B67&lt;&gt;"",INDEX(DataOB[],FirstRow+ROW()-7,MATCH(Z$6,DataOB[#Headers],0)),"")</f>
        <v>0</v>
      </c>
      <c r="AA67" s="67">
        <f>IF($B67&lt;&gt;"",INDEX(DataOB[],FirstRow+ROW()-7,MATCH(AA$6,DataOB[#Headers],0)),"")</f>
        <v>0</v>
      </c>
      <c r="AB67" s="67">
        <f>IF($B67&lt;&gt;"",INDEX(DataOB[],FirstRow+ROW()-7,MATCH(AB$6,DataOB[#Headers],0)),"")</f>
        <v>0</v>
      </c>
      <c r="AC67" s="67">
        <f>IF($B67&lt;&gt;"",INDEX(DataOB[],FirstRow+ROW()-7,MATCH(AC$6,DataOB[#Headers],0)),"")</f>
        <v>0</v>
      </c>
      <c r="AD67" s="67">
        <f>IF($B67&lt;&gt;"",INDEX(DataOB[],FirstRow+ROW()-7,MATCH(AD$6,DataOB[#Headers],0)),"")</f>
        <v>0</v>
      </c>
      <c r="AE67" s="67">
        <f>IF($B67&lt;&gt;"",INDEX(DataOB[],FirstRow+ROW()-7,MATCH(AE$6,DataOB[#Headers],0)),"")</f>
        <v>7</v>
      </c>
      <c r="AF67" s="26">
        <f t="shared" si="14"/>
        <v>7</v>
      </c>
      <c r="AG67" s="31">
        <f>SUM($T67:T67)</f>
        <v>0</v>
      </c>
      <c r="AH67" s="31">
        <f>SUM($T67:U67)</f>
        <v>0</v>
      </c>
      <c r="AI67" s="31">
        <f>SUM($T67:V67)</f>
        <v>0</v>
      </c>
      <c r="AJ67" s="31">
        <f>SUM($T67:W67)</f>
        <v>0</v>
      </c>
      <c r="AK67" s="31">
        <f>SUM($T67:X67)</f>
        <v>0</v>
      </c>
      <c r="AL67" s="31">
        <f>SUM($T67:Y67)</f>
        <v>0</v>
      </c>
      <c r="AM67" s="31">
        <f>SUM($T67:Z67)</f>
        <v>0</v>
      </c>
      <c r="AN67" s="31">
        <f>SUM($T67:AA67)</f>
        <v>0</v>
      </c>
      <c r="AO67" s="31">
        <f>SUM($T67:AB67)</f>
        <v>0</v>
      </c>
      <c r="AP67" s="31">
        <f>SUM($T67:AC67)</f>
        <v>0</v>
      </c>
      <c r="AQ67" s="31">
        <f>SUM($T67:AD67)</f>
        <v>0</v>
      </c>
      <c r="AR67" s="31">
        <f>SUM($T67:AE67)</f>
        <v>7</v>
      </c>
      <c r="AS67" s="27">
        <f t="shared" si="15"/>
        <v>0</v>
      </c>
    </row>
    <row r="68" spans="2:45">
      <c r="B68" s="156">
        <f>IF(ROW()-6&gt;NumCostCenter,"",IF(CostCenter&lt;&gt;"ALL",CostCenter,DATA_LF2!B66))</f>
        <v>3211</v>
      </c>
      <c r="C68" s="153">
        <f>IF($B68&lt;&gt;"",INDEX(DataOB[],FirstRow+ROW()-7,2),"")</f>
        <v>3211</v>
      </c>
      <c r="D68" s="157" t="str">
        <f>IF($B68&lt;&gt;"",INDEX(DataOB[],FirstRow+ROW()-7,3),"")</f>
        <v>TBD</v>
      </c>
      <c r="E68" s="158">
        <f>IF($B68&lt;&gt;"",INDEX(DataOB[],FirstRow+ROW()-7,6),"")</f>
        <v>0</v>
      </c>
      <c r="F68" s="158" t="str">
        <f>IF($B68&lt;&gt;"",INDEX(DataOB[],FirstRow+ROW()-7,5),"")</f>
        <v>Alum RRC and Plunger Rim 10.5Jx21</v>
      </c>
      <c r="G68" s="58">
        <f>IF($B68&lt;&gt;"",SUMIFS(DataAct_tbl[AMOUNT],DataAct_tbl[BG CODE],Detail!$D68,DataAct_tbl[MONTH],LEFT(MonthName,3),DataAct_tbl[Dept code],$B68),0)</f>
        <v>0</v>
      </c>
      <c r="H68" s="31">
        <f t="shared" si="7"/>
        <v>0</v>
      </c>
      <c r="I68" s="28">
        <f t="shared" si="8"/>
        <v>0</v>
      </c>
      <c r="J68" s="32" t="str">
        <f t="shared" si="9"/>
        <v xml:space="preserve"> </v>
      </c>
      <c r="K68" s="86"/>
      <c r="L68" s="62">
        <f>IF($B68&lt;&gt;"",SUMIFS(DataAct_tbl[AMOUNT],DataAct_tbl[BG CODE],Detail!$D68,DataAct_tbl[Check Range],"=true",DataAct_tbl[Dept code],$B68),0)</f>
        <v>0</v>
      </c>
      <c r="M68" s="63">
        <f>INDEX($AG$7:$AR$1005,ROW()-6,MATCH(MTD,$AG$6:$AR$6,0))</f>
        <v>0</v>
      </c>
      <c r="N68" s="34">
        <f t="shared" si="10"/>
        <v>0</v>
      </c>
      <c r="O68" s="64" t="str">
        <f t="shared" si="11"/>
        <v xml:space="preserve"> </v>
      </c>
      <c r="Q68" s="97">
        <f t="shared" si="12"/>
        <v>3.5</v>
      </c>
      <c r="R68" s="96">
        <f t="shared" si="13"/>
        <v>3.5</v>
      </c>
      <c r="T68" s="67">
        <f>IF($B68&lt;&gt;"",INDEX(DataOB[],FirstRow+ROW()-7,MATCH(T$6,DataOB[#Headers],0)),"")</f>
        <v>0</v>
      </c>
      <c r="U68" s="67">
        <f>IF($B68&lt;&gt;"",INDEX(DataOB[],FirstRow+ROW()-7,MATCH(U$6,DataOB[#Headers],0)),"")</f>
        <v>0</v>
      </c>
      <c r="V68" s="67">
        <f>IF($B68&lt;&gt;"",INDEX(DataOB[],FirstRow+ROW()-7,MATCH(V$6,DataOB[#Headers],0)),"")</f>
        <v>0</v>
      </c>
      <c r="W68" s="67">
        <f>IF($B68&lt;&gt;"",INDEX(DataOB[],FirstRow+ROW()-7,MATCH(W$6,DataOB[#Headers],0)),"")</f>
        <v>0</v>
      </c>
      <c r="X68" s="67">
        <f>IF($B68&lt;&gt;"",INDEX(DataOB[],FirstRow+ROW()-7,MATCH(X$6,DataOB[#Headers],0)),"")</f>
        <v>0</v>
      </c>
      <c r="Y68" s="67">
        <f>IF($B68&lt;&gt;"",INDEX(DataOB[],FirstRow+ROW()-7,MATCH(Y$6,DataOB[#Headers],0)),"")</f>
        <v>0</v>
      </c>
      <c r="Z68" s="67">
        <f>IF($B68&lt;&gt;"",INDEX(DataOB[],FirstRow+ROW()-7,MATCH(Z$6,DataOB[#Headers],0)),"")</f>
        <v>0</v>
      </c>
      <c r="AA68" s="67">
        <f>IF($B68&lt;&gt;"",INDEX(DataOB[],FirstRow+ROW()-7,MATCH(AA$6,DataOB[#Headers],0)),"")</f>
        <v>0</v>
      </c>
      <c r="AB68" s="67">
        <f>IF($B68&lt;&gt;"",INDEX(DataOB[],FirstRow+ROW()-7,MATCH(AB$6,DataOB[#Headers],0)),"")</f>
        <v>0</v>
      </c>
      <c r="AC68" s="67">
        <f>IF($B68&lt;&gt;"",INDEX(DataOB[],FirstRow+ROW()-7,MATCH(AC$6,DataOB[#Headers],0)),"")</f>
        <v>0</v>
      </c>
      <c r="AD68" s="67">
        <f>IF($B68&lt;&gt;"",INDEX(DataOB[],FirstRow+ROW()-7,MATCH(AD$6,DataOB[#Headers],0)),"")</f>
        <v>0</v>
      </c>
      <c r="AE68" s="67">
        <f>IF($B68&lt;&gt;"",INDEX(DataOB[],FirstRow+ROW()-7,MATCH(AE$6,DataOB[#Headers],0)),"")</f>
        <v>3.5</v>
      </c>
      <c r="AF68" s="26">
        <f t="shared" si="14"/>
        <v>3.5</v>
      </c>
      <c r="AG68" s="31">
        <f>SUM($T68:T68)</f>
        <v>0</v>
      </c>
      <c r="AH68" s="31">
        <f>SUM($T68:U68)</f>
        <v>0</v>
      </c>
      <c r="AI68" s="31">
        <f>SUM($T68:V68)</f>
        <v>0</v>
      </c>
      <c r="AJ68" s="31">
        <f>SUM($T68:W68)</f>
        <v>0</v>
      </c>
      <c r="AK68" s="31">
        <f>SUM($T68:X68)</f>
        <v>0</v>
      </c>
      <c r="AL68" s="31">
        <f>SUM($T68:Y68)</f>
        <v>0</v>
      </c>
      <c r="AM68" s="31">
        <f>SUM($T68:Z68)</f>
        <v>0</v>
      </c>
      <c r="AN68" s="31">
        <f>SUM($T68:AA68)</f>
        <v>0</v>
      </c>
      <c r="AO68" s="31">
        <f>SUM($T68:AB68)</f>
        <v>0</v>
      </c>
      <c r="AP68" s="31">
        <f>SUM($T68:AC68)</f>
        <v>0</v>
      </c>
      <c r="AQ68" s="31">
        <f>SUM($T68:AD68)</f>
        <v>0</v>
      </c>
      <c r="AR68" s="31">
        <f>SUM($T68:AE68)</f>
        <v>3.5</v>
      </c>
      <c r="AS68" s="27">
        <f t="shared" si="15"/>
        <v>0</v>
      </c>
    </row>
    <row r="69" spans="2:45">
      <c r="B69" s="156">
        <f>IF(ROW()-6&gt;NumCostCenter,"",IF(CostCenter&lt;&gt;"ALL",CostCenter,DATA_LF2!B67))</f>
        <v>3211</v>
      </c>
      <c r="C69" s="153">
        <f>IF($B69&lt;&gt;"",INDEX(DataOB[],FirstRow+ROW()-7,2),"")</f>
        <v>3211</v>
      </c>
      <c r="D69" s="157" t="str">
        <f>IF($B69&lt;&gt;"",INDEX(DataOB[],FirstRow+ROW()-7,3),"")</f>
        <v>TBD</v>
      </c>
      <c r="E69" s="158">
        <f>IF($B69&lt;&gt;"",INDEX(DataOB[],FirstRow+ROW()-7,6),"")</f>
        <v>0</v>
      </c>
      <c r="F69" s="158" t="str">
        <f>IF($B69&lt;&gt;"",INDEX(DataOB[],FirstRow+ROW()-7,5),"")</f>
        <v>Alum Drum Rim 10.5Jx21</v>
      </c>
      <c r="G69" s="58">
        <f>IF($B69&lt;&gt;"",SUMIFS(DataAct_tbl[AMOUNT],DataAct_tbl[BG CODE],Detail!$D69,DataAct_tbl[MONTH],LEFT(MonthName,3),DataAct_tbl[Dept code],$B69),0)</f>
        <v>0</v>
      </c>
      <c r="H69" s="31">
        <f t="shared" si="7"/>
        <v>0</v>
      </c>
      <c r="I69" s="28">
        <f t="shared" si="8"/>
        <v>0</v>
      </c>
      <c r="J69" s="32" t="str">
        <f t="shared" si="9"/>
        <v xml:space="preserve"> </v>
      </c>
      <c r="K69" s="86"/>
      <c r="L69" s="62">
        <f>IF($B69&lt;&gt;"",SUMIFS(DataAct_tbl[AMOUNT],DataAct_tbl[BG CODE],Detail!$D69,DataAct_tbl[Check Range],"=true",DataAct_tbl[Dept code],$B69),0)</f>
        <v>0</v>
      </c>
      <c r="M69" s="63">
        <f>INDEX($AG$7:$AR$1005,ROW()-6,MATCH(MTD,$AG$6:$AR$6,0))</f>
        <v>0</v>
      </c>
      <c r="N69" s="34">
        <f t="shared" si="10"/>
        <v>0</v>
      </c>
      <c r="O69" s="64" t="str">
        <f t="shared" si="11"/>
        <v xml:space="preserve"> </v>
      </c>
      <c r="Q69" s="97">
        <f t="shared" si="12"/>
        <v>7</v>
      </c>
      <c r="R69" s="96">
        <f t="shared" si="13"/>
        <v>7</v>
      </c>
      <c r="T69" s="67">
        <f>IF($B69&lt;&gt;"",INDEX(DataOB[],FirstRow+ROW()-7,MATCH(T$6,DataOB[#Headers],0)),"")</f>
        <v>0</v>
      </c>
      <c r="U69" s="67">
        <f>IF($B69&lt;&gt;"",INDEX(DataOB[],FirstRow+ROW()-7,MATCH(U$6,DataOB[#Headers],0)),"")</f>
        <v>0</v>
      </c>
      <c r="V69" s="67">
        <f>IF($B69&lt;&gt;"",INDEX(DataOB[],FirstRow+ROW()-7,MATCH(V$6,DataOB[#Headers],0)),"")</f>
        <v>0</v>
      </c>
      <c r="W69" s="67">
        <f>IF($B69&lt;&gt;"",INDEX(DataOB[],FirstRow+ROW()-7,MATCH(W$6,DataOB[#Headers],0)),"")</f>
        <v>0</v>
      </c>
      <c r="X69" s="67">
        <f>IF($B69&lt;&gt;"",INDEX(DataOB[],FirstRow+ROW()-7,MATCH(X$6,DataOB[#Headers],0)),"")</f>
        <v>0</v>
      </c>
      <c r="Y69" s="67">
        <f>IF($B69&lt;&gt;"",INDEX(DataOB[],FirstRow+ROW()-7,MATCH(Y$6,DataOB[#Headers],0)),"")</f>
        <v>0</v>
      </c>
      <c r="Z69" s="67">
        <f>IF($B69&lt;&gt;"",INDEX(DataOB[],FirstRow+ROW()-7,MATCH(Z$6,DataOB[#Headers],0)),"")</f>
        <v>0</v>
      </c>
      <c r="AA69" s="67">
        <f>IF($B69&lt;&gt;"",INDEX(DataOB[],FirstRow+ROW()-7,MATCH(AA$6,DataOB[#Headers],0)),"")</f>
        <v>0</v>
      </c>
      <c r="AB69" s="67">
        <f>IF($B69&lt;&gt;"",INDEX(DataOB[],FirstRow+ROW()-7,MATCH(AB$6,DataOB[#Headers],0)),"")</f>
        <v>0</v>
      </c>
      <c r="AC69" s="67">
        <f>IF($B69&lt;&gt;"",INDEX(DataOB[],FirstRow+ROW()-7,MATCH(AC$6,DataOB[#Headers],0)),"")</f>
        <v>0</v>
      </c>
      <c r="AD69" s="67">
        <f>IF($B69&lt;&gt;"",INDEX(DataOB[],FirstRow+ROW()-7,MATCH(AD$6,DataOB[#Headers],0)),"")</f>
        <v>0</v>
      </c>
      <c r="AE69" s="67">
        <f>IF($B69&lt;&gt;"",INDEX(DataOB[],FirstRow+ROW()-7,MATCH(AE$6,DataOB[#Headers],0)),"")</f>
        <v>7</v>
      </c>
      <c r="AF69" s="26">
        <f t="shared" si="14"/>
        <v>7</v>
      </c>
      <c r="AG69" s="31">
        <f>SUM($T69:T69)</f>
        <v>0</v>
      </c>
      <c r="AH69" s="31">
        <f>SUM($T69:U69)</f>
        <v>0</v>
      </c>
      <c r="AI69" s="31">
        <f>SUM($T69:V69)</f>
        <v>0</v>
      </c>
      <c r="AJ69" s="31">
        <f>SUM($T69:W69)</f>
        <v>0</v>
      </c>
      <c r="AK69" s="31">
        <f>SUM($T69:X69)</f>
        <v>0</v>
      </c>
      <c r="AL69" s="31">
        <f>SUM($T69:Y69)</f>
        <v>0</v>
      </c>
      <c r="AM69" s="31">
        <f>SUM($T69:Z69)</f>
        <v>0</v>
      </c>
      <c r="AN69" s="31">
        <f>SUM($T69:AA69)</f>
        <v>0</v>
      </c>
      <c r="AO69" s="31">
        <f>SUM($T69:AB69)</f>
        <v>0</v>
      </c>
      <c r="AP69" s="31">
        <f>SUM($T69:AC69)</f>
        <v>0</v>
      </c>
      <c r="AQ69" s="31">
        <f>SUM($T69:AD69)</f>
        <v>0</v>
      </c>
      <c r="AR69" s="31">
        <f>SUM($T69:AE69)</f>
        <v>7</v>
      </c>
      <c r="AS69" s="27">
        <f t="shared" si="15"/>
        <v>0</v>
      </c>
    </row>
    <row r="70" spans="2:45">
      <c r="B70" s="156">
        <f>IF(ROW()-6&gt;NumCostCenter,"",IF(CostCenter&lt;&gt;"ALL",CostCenter,DATA_LF2!B68))</f>
        <v>3211</v>
      </c>
      <c r="C70" s="153">
        <f>IF($B70&lt;&gt;"",INDEX(DataOB[],FirstRow+ROW()-7,2),"")</f>
        <v>3211</v>
      </c>
      <c r="D70" s="157" t="str">
        <f>IF($B70&lt;&gt;"",INDEX(DataOB[],FirstRow+ROW()-7,3),"")</f>
        <v>TBD</v>
      </c>
      <c r="E70" s="158">
        <f>IF($B70&lt;&gt;"",INDEX(DataOB[],FirstRow+ROW()-7,6),"")</f>
        <v>0</v>
      </c>
      <c r="F70" s="158" t="str">
        <f>IF($B70&lt;&gt;"",INDEX(DataOB[],FirstRow+ROW()-7,5),"")</f>
        <v>Alum RRC and Plunger Rim 11Jx21</v>
      </c>
      <c r="G70" s="58">
        <f>IF($B70&lt;&gt;"",SUMIFS(DataAct_tbl[AMOUNT],DataAct_tbl[BG CODE],Detail!$D70,DataAct_tbl[MONTH],LEFT(MonthName,3),DataAct_tbl[Dept code],$B70),0)</f>
        <v>0</v>
      </c>
      <c r="H70" s="31">
        <f t="shared" si="7"/>
        <v>0</v>
      </c>
      <c r="I70" s="28">
        <f t="shared" si="8"/>
        <v>0</v>
      </c>
      <c r="J70" s="32" t="str">
        <f t="shared" si="9"/>
        <v xml:space="preserve"> </v>
      </c>
      <c r="K70" s="86"/>
      <c r="L70" s="62">
        <f>IF($B70&lt;&gt;"",SUMIFS(DataAct_tbl[AMOUNT],DataAct_tbl[BG CODE],Detail!$D70,DataAct_tbl[Check Range],"=true",DataAct_tbl[Dept code],$B70),0)</f>
        <v>0</v>
      </c>
      <c r="M70" s="63">
        <f>INDEX($AG$7:$AR$1005,ROW()-6,MATCH(MTD,$AG$6:$AR$6,0))</f>
        <v>0</v>
      </c>
      <c r="N70" s="34">
        <f t="shared" si="10"/>
        <v>0</v>
      </c>
      <c r="O70" s="64" t="str">
        <f t="shared" si="11"/>
        <v xml:space="preserve"> </v>
      </c>
      <c r="Q70" s="97">
        <f t="shared" si="12"/>
        <v>3.5</v>
      </c>
      <c r="R70" s="96">
        <f t="shared" si="13"/>
        <v>3.5</v>
      </c>
      <c r="T70" s="67">
        <f>IF($B70&lt;&gt;"",INDEX(DataOB[],FirstRow+ROW()-7,MATCH(T$6,DataOB[#Headers],0)),"")</f>
        <v>0</v>
      </c>
      <c r="U70" s="67">
        <f>IF($B70&lt;&gt;"",INDEX(DataOB[],FirstRow+ROW()-7,MATCH(U$6,DataOB[#Headers],0)),"")</f>
        <v>0</v>
      </c>
      <c r="V70" s="67">
        <f>IF($B70&lt;&gt;"",INDEX(DataOB[],FirstRow+ROW()-7,MATCH(V$6,DataOB[#Headers],0)),"")</f>
        <v>0</v>
      </c>
      <c r="W70" s="67">
        <f>IF($B70&lt;&gt;"",INDEX(DataOB[],FirstRow+ROW()-7,MATCH(W$6,DataOB[#Headers],0)),"")</f>
        <v>0</v>
      </c>
      <c r="X70" s="67">
        <f>IF($B70&lt;&gt;"",INDEX(DataOB[],FirstRow+ROW()-7,MATCH(X$6,DataOB[#Headers],0)),"")</f>
        <v>0</v>
      </c>
      <c r="Y70" s="67">
        <f>IF($B70&lt;&gt;"",INDEX(DataOB[],FirstRow+ROW()-7,MATCH(Y$6,DataOB[#Headers],0)),"")</f>
        <v>0</v>
      </c>
      <c r="Z70" s="67">
        <f>IF($B70&lt;&gt;"",INDEX(DataOB[],FirstRow+ROW()-7,MATCH(Z$6,DataOB[#Headers],0)),"")</f>
        <v>0</v>
      </c>
      <c r="AA70" s="67">
        <f>IF($B70&lt;&gt;"",INDEX(DataOB[],FirstRow+ROW()-7,MATCH(AA$6,DataOB[#Headers],0)),"")</f>
        <v>0</v>
      </c>
      <c r="AB70" s="67">
        <f>IF($B70&lt;&gt;"",INDEX(DataOB[],FirstRow+ROW()-7,MATCH(AB$6,DataOB[#Headers],0)),"")</f>
        <v>0</v>
      </c>
      <c r="AC70" s="67">
        <f>IF($B70&lt;&gt;"",INDEX(DataOB[],FirstRow+ROW()-7,MATCH(AC$6,DataOB[#Headers],0)),"")</f>
        <v>0</v>
      </c>
      <c r="AD70" s="67">
        <f>IF($B70&lt;&gt;"",INDEX(DataOB[],FirstRow+ROW()-7,MATCH(AD$6,DataOB[#Headers],0)),"")</f>
        <v>0</v>
      </c>
      <c r="AE70" s="67">
        <f>IF($B70&lt;&gt;"",INDEX(DataOB[],FirstRow+ROW()-7,MATCH(AE$6,DataOB[#Headers],0)),"")</f>
        <v>3.5</v>
      </c>
      <c r="AF70" s="26">
        <f t="shared" si="14"/>
        <v>3.5</v>
      </c>
      <c r="AG70" s="31">
        <f>SUM($T70:T70)</f>
        <v>0</v>
      </c>
      <c r="AH70" s="31">
        <f>SUM($T70:U70)</f>
        <v>0</v>
      </c>
      <c r="AI70" s="31">
        <f>SUM($T70:V70)</f>
        <v>0</v>
      </c>
      <c r="AJ70" s="31">
        <f>SUM($T70:W70)</f>
        <v>0</v>
      </c>
      <c r="AK70" s="31">
        <f>SUM($T70:X70)</f>
        <v>0</v>
      </c>
      <c r="AL70" s="31">
        <f>SUM($T70:Y70)</f>
        <v>0</v>
      </c>
      <c r="AM70" s="31">
        <f>SUM($T70:Z70)</f>
        <v>0</v>
      </c>
      <c r="AN70" s="31">
        <f>SUM($T70:AA70)</f>
        <v>0</v>
      </c>
      <c r="AO70" s="31">
        <f>SUM($T70:AB70)</f>
        <v>0</v>
      </c>
      <c r="AP70" s="31">
        <f>SUM($T70:AC70)</f>
        <v>0</v>
      </c>
      <c r="AQ70" s="31">
        <f>SUM($T70:AD70)</f>
        <v>0</v>
      </c>
      <c r="AR70" s="31">
        <f>SUM($T70:AE70)</f>
        <v>3.5</v>
      </c>
      <c r="AS70" s="27">
        <f t="shared" si="15"/>
        <v>0</v>
      </c>
    </row>
    <row r="71" spans="2:45">
      <c r="B71" s="156">
        <f>IF(ROW()-6&gt;NumCostCenter,"",IF(CostCenter&lt;&gt;"ALL",CostCenter,DATA_LF2!B69))</f>
        <v>3211</v>
      </c>
      <c r="C71" s="153">
        <f>IF($B71&lt;&gt;"",INDEX(DataOB[],FirstRow+ROW()-7,2),"")</f>
        <v>3211</v>
      </c>
      <c r="D71" s="157" t="str">
        <f>IF($B71&lt;&gt;"",INDEX(DataOB[],FirstRow+ROW()-7,3),"")</f>
        <v>TBD</v>
      </c>
      <c r="E71" s="158">
        <f>IF($B71&lt;&gt;"",INDEX(DataOB[],FirstRow+ROW()-7,6),"")</f>
        <v>0</v>
      </c>
      <c r="F71" s="158" t="str">
        <f>IF($B71&lt;&gt;"",INDEX(DataOB[],FirstRow+ROW()-7,5),"")</f>
        <v>Alum Drum Rim 11Jx21</v>
      </c>
      <c r="G71" s="58">
        <f>IF($B71&lt;&gt;"",SUMIFS(DataAct_tbl[AMOUNT],DataAct_tbl[BG CODE],Detail!$D71,DataAct_tbl[MONTH],LEFT(MonthName,3),DataAct_tbl[Dept code],$B71),0)</f>
        <v>0</v>
      </c>
      <c r="H71" s="31">
        <f t="shared" ref="H71:H134" si="16">INDEX($T$7:$AE$1005,ROW()-6,MATCH(MonthName,$T$6:$AE$6,0))</f>
        <v>0</v>
      </c>
      <c r="I71" s="28">
        <f t="shared" si="8"/>
        <v>0</v>
      </c>
      <c r="J71" s="32" t="str">
        <f t="shared" si="9"/>
        <v xml:space="preserve"> </v>
      </c>
      <c r="K71" s="86"/>
      <c r="L71" s="62">
        <f>IF($B71&lt;&gt;"",SUMIFS(DataAct_tbl[AMOUNT],DataAct_tbl[BG CODE],Detail!$D71,DataAct_tbl[Check Range],"=true",DataAct_tbl[Dept code],$B71),0)</f>
        <v>0</v>
      </c>
      <c r="M71" s="63">
        <f>INDEX($AG$7:$AR$1005,ROW()-6,MATCH(MTD,$AG$6:$AR$6,0))</f>
        <v>0</v>
      </c>
      <c r="N71" s="34">
        <f t="shared" si="10"/>
        <v>0</v>
      </c>
      <c r="O71" s="64" t="str">
        <f t="shared" si="11"/>
        <v xml:space="preserve"> </v>
      </c>
      <c r="Q71" s="97">
        <f t="shared" si="12"/>
        <v>7</v>
      </c>
      <c r="R71" s="96">
        <f t="shared" si="13"/>
        <v>7</v>
      </c>
      <c r="T71" s="67">
        <f>IF($B71&lt;&gt;"",INDEX(DataOB[],FirstRow+ROW()-7,MATCH(T$6,DataOB[#Headers],0)),"")</f>
        <v>0</v>
      </c>
      <c r="U71" s="67">
        <f>IF($B71&lt;&gt;"",INDEX(DataOB[],FirstRow+ROW()-7,MATCH(U$6,DataOB[#Headers],0)),"")</f>
        <v>0</v>
      </c>
      <c r="V71" s="67">
        <f>IF($B71&lt;&gt;"",INDEX(DataOB[],FirstRow+ROW()-7,MATCH(V$6,DataOB[#Headers],0)),"")</f>
        <v>0</v>
      </c>
      <c r="W71" s="67">
        <f>IF($B71&lt;&gt;"",INDEX(DataOB[],FirstRow+ROW()-7,MATCH(W$6,DataOB[#Headers],0)),"")</f>
        <v>0</v>
      </c>
      <c r="X71" s="67">
        <f>IF($B71&lt;&gt;"",INDEX(DataOB[],FirstRow+ROW()-7,MATCH(X$6,DataOB[#Headers],0)),"")</f>
        <v>0</v>
      </c>
      <c r="Y71" s="67">
        <f>IF($B71&lt;&gt;"",INDEX(DataOB[],FirstRow+ROW()-7,MATCH(Y$6,DataOB[#Headers],0)),"")</f>
        <v>0</v>
      </c>
      <c r="Z71" s="67">
        <f>IF($B71&lt;&gt;"",INDEX(DataOB[],FirstRow+ROW()-7,MATCH(Z$6,DataOB[#Headers],0)),"")</f>
        <v>0</v>
      </c>
      <c r="AA71" s="67">
        <f>IF($B71&lt;&gt;"",INDEX(DataOB[],FirstRow+ROW()-7,MATCH(AA$6,DataOB[#Headers],0)),"")</f>
        <v>0</v>
      </c>
      <c r="AB71" s="67">
        <f>IF($B71&lt;&gt;"",INDEX(DataOB[],FirstRow+ROW()-7,MATCH(AB$6,DataOB[#Headers],0)),"")</f>
        <v>0</v>
      </c>
      <c r="AC71" s="67">
        <f>IF($B71&lt;&gt;"",INDEX(DataOB[],FirstRow+ROW()-7,MATCH(AC$6,DataOB[#Headers],0)),"")</f>
        <v>0</v>
      </c>
      <c r="AD71" s="67">
        <f>IF($B71&lt;&gt;"",INDEX(DataOB[],FirstRow+ROW()-7,MATCH(AD$6,DataOB[#Headers],0)),"")</f>
        <v>0</v>
      </c>
      <c r="AE71" s="67">
        <f>IF($B71&lt;&gt;"",INDEX(DataOB[],FirstRow+ROW()-7,MATCH(AE$6,DataOB[#Headers],0)),"")</f>
        <v>7</v>
      </c>
      <c r="AF71" s="26">
        <f t="shared" si="14"/>
        <v>7</v>
      </c>
      <c r="AG71" s="31">
        <f>SUM($T71:T71)</f>
        <v>0</v>
      </c>
      <c r="AH71" s="31">
        <f>SUM($T71:U71)</f>
        <v>0</v>
      </c>
      <c r="AI71" s="31">
        <f>SUM($T71:V71)</f>
        <v>0</v>
      </c>
      <c r="AJ71" s="31">
        <f>SUM($T71:W71)</f>
        <v>0</v>
      </c>
      <c r="AK71" s="31">
        <f>SUM($T71:X71)</f>
        <v>0</v>
      </c>
      <c r="AL71" s="31">
        <f>SUM($T71:Y71)</f>
        <v>0</v>
      </c>
      <c r="AM71" s="31">
        <f>SUM($T71:Z71)</f>
        <v>0</v>
      </c>
      <c r="AN71" s="31">
        <f>SUM($T71:AA71)</f>
        <v>0</v>
      </c>
      <c r="AO71" s="31">
        <f>SUM($T71:AB71)</f>
        <v>0</v>
      </c>
      <c r="AP71" s="31">
        <f>SUM($T71:AC71)</f>
        <v>0</v>
      </c>
      <c r="AQ71" s="31">
        <f>SUM($T71:AD71)</f>
        <v>0</v>
      </c>
      <c r="AR71" s="31">
        <f>SUM($T71:AE71)</f>
        <v>7</v>
      </c>
      <c r="AS71" s="27">
        <f t="shared" si="15"/>
        <v>0</v>
      </c>
    </row>
    <row r="72" spans="2:45">
      <c r="B72" s="156">
        <f>IF(ROW()-6&gt;NumCostCenter,"",IF(CostCenter&lt;&gt;"ALL",CostCenter,DATA_LF2!B70))</f>
        <v>3211</v>
      </c>
      <c r="C72" s="153">
        <f>IF($B72&lt;&gt;"",INDEX(DataOB[],FirstRow+ROW()-7,2),"")</f>
        <v>3211</v>
      </c>
      <c r="D72" s="157" t="str">
        <f>IF($B72&lt;&gt;"",INDEX(DataOB[],FirstRow+ROW()-7,3),"")</f>
        <v>TBD</v>
      </c>
      <c r="E72" s="158">
        <f>IF($B72&lt;&gt;"",INDEX(DataOB[],FirstRow+ROW()-7,6),"")</f>
        <v>0</v>
      </c>
      <c r="F72" s="158" t="str">
        <f>IF($B72&lt;&gt;"",INDEX(DataOB[],FirstRow+ROW()-7,5),"")</f>
        <v>Alum RRC and Plunger Rim 10Jx22</v>
      </c>
      <c r="G72" s="58">
        <f>IF($B72&lt;&gt;"",SUMIFS(DataAct_tbl[AMOUNT],DataAct_tbl[BG CODE],Detail!$D72,DataAct_tbl[MONTH],LEFT(MonthName,3),DataAct_tbl[Dept code],$B72),0)</f>
        <v>0</v>
      </c>
      <c r="H72" s="31">
        <f t="shared" si="16"/>
        <v>0</v>
      </c>
      <c r="I72" s="28">
        <f t="shared" ref="I72:I135" si="17">IFERROR(+G72-H72,"")</f>
        <v>0</v>
      </c>
      <c r="J72" s="32" t="str">
        <f t="shared" ref="J72:J135" si="18">IFERROR(+IF(H72&gt;0,G72/H72," "),"")</f>
        <v xml:space="preserve"> </v>
      </c>
      <c r="K72" s="86"/>
      <c r="L72" s="62">
        <f>IF($B72&lt;&gt;"",SUMIFS(DataAct_tbl[AMOUNT],DataAct_tbl[BG CODE],Detail!$D72,DataAct_tbl[Check Range],"=true",DataAct_tbl[Dept code],$B72),0)</f>
        <v>0</v>
      </c>
      <c r="M72" s="63">
        <f>INDEX($AG$7:$AR$1005,ROW()-6,MATCH(MTD,$AG$6:$AR$6,0))</f>
        <v>0</v>
      </c>
      <c r="N72" s="34">
        <f t="shared" ref="N72:N135" si="19">IFERROR(+L72-M72,"")</f>
        <v>0</v>
      </c>
      <c r="O72" s="64" t="str">
        <f t="shared" ref="O72:O135" si="20">IFERROR(+IF(M72&gt;0,L72/M72," "),"")</f>
        <v xml:space="preserve"> </v>
      </c>
      <c r="Q72" s="97">
        <f t="shared" ref="Q72:Q135" si="21">AF72</f>
        <v>4</v>
      </c>
      <c r="R72" s="96">
        <f t="shared" ref="R72:R135" si="22">Q72-L72</f>
        <v>4</v>
      </c>
      <c r="T72" s="67">
        <f>IF($B72&lt;&gt;"",INDEX(DataOB[],FirstRow+ROW()-7,MATCH(T$6,DataOB[#Headers],0)),"")</f>
        <v>0</v>
      </c>
      <c r="U72" s="67">
        <f>IF($B72&lt;&gt;"",INDEX(DataOB[],FirstRow+ROW()-7,MATCH(U$6,DataOB[#Headers],0)),"")</f>
        <v>0</v>
      </c>
      <c r="V72" s="67">
        <f>IF($B72&lt;&gt;"",INDEX(DataOB[],FirstRow+ROW()-7,MATCH(V$6,DataOB[#Headers],0)),"")</f>
        <v>0</v>
      </c>
      <c r="W72" s="67">
        <f>IF($B72&lt;&gt;"",INDEX(DataOB[],FirstRow+ROW()-7,MATCH(W$6,DataOB[#Headers],0)),"")</f>
        <v>0</v>
      </c>
      <c r="X72" s="67">
        <f>IF($B72&lt;&gt;"",INDEX(DataOB[],FirstRow+ROW()-7,MATCH(X$6,DataOB[#Headers],0)),"")</f>
        <v>0</v>
      </c>
      <c r="Y72" s="67">
        <f>IF($B72&lt;&gt;"",INDEX(DataOB[],FirstRow+ROW()-7,MATCH(Y$6,DataOB[#Headers],0)),"")</f>
        <v>0</v>
      </c>
      <c r="Z72" s="67">
        <f>IF($B72&lt;&gt;"",INDEX(DataOB[],FirstRow+ROW()-7,MATCH(Z$6,DataOB[#Headers],0)),"")</f>
        <v>0</v>
      </c>
      <c r="AA72" s="67">
        <f>IF($B72&lt;&gt;"",INDEX(DataOB[],FirstRow+ROW()-7,MATCH(AA$6,DataOB[#Headers],0)),"")</f>
        <v>0</v>
      </c>
      <c r="AB72" s="67">
        <f>IF($B72&lt;&gt;"",INDEX(DataOB[],FirstRow+ROW()-7,MATCH(AB$6,DataOB[#Headers],0)),"")</f>
        <v>0</v>
      </c>
      <c r="AC72" s="67">
        <f>IF($B72&lt;&gt;"",INDEX(DataOB[],FirstRow+ROW()-7,MATCH(AC$6,DataOB[#Headers],0)),"")</f>
        <v>0</v>
      </c>
      <c r="AD72" s="67">
        <f>IF($B72&lt;&gt;"",INDEX(DataOB[],FirstRow+ROW()-7,MATCH(AD$6,DataOB[#Headers],0)),"")</f>
        <v>0</v>
      </c>
      <c r="AE72" s="67">
        <f>IF($B72&lt;&gt;"",INDEX(DataOB[],FirstRow+ROW()-7,MATCH(AE$6,DataOB[#Headers],0)),"")</f>
        <v>4</v>
      </c>
      <c r="AF72" s="26">
        <f t="shared" ref="AF72:AF135" si="23">+SUM(T72:AE72)</f>
        <v>4</v>
      </c>
      <c r="AG72" s="31">
        <f>SUM($T72:T72)</f>
        <v>0</v>
      </c>
      <c r="AH72" s="31">
        <f>SUM($T72:U72)</f>
        <v>0</v>
      </c>
      <c r="AI72" s="31">
        <f>SUM($T72:V72)</f>
        <v>0</v>
      </c>
      <c r="AJ72" s="31">
        <f>SUM($T72:W72)</f>
        <v>0</v>
      </c>
      <c r="AK72" s="31">
        <f>SUM($T72:X72)</f>
        <v>0</v>
      </c>
      <c r="AL72" s="31">
        <f>SUM($T72:Y72)</f>
        <v>0</v>
      </c>
      <c r="AM72" s="31">
        <f>SUM($T72:Z72)</f>
        <v>0</v>
      </c>
      <c r="AN72" s="31">
        <f>SUM($T72:AA72)</f>
        <v>0</v>
      </c>
      <c r="AO72" s="31">
        <f>SUM($T72:AB72)</f>
        <v>0</v>
      </c>
      <c r="AP72" s="31">
        <f>SUM($T72:AC72)</f>
        <v>0</v>
      </c>
      <c r="AQ72" s="31">
        <f>SUM($T72:AD72)</f>
        <v>0</v>
      </c>
      <c r="AR72" s="31">
        <f>SUM($T72:AE72)</f>
        <v>4</v>
      </c>
      <c r="AS72" s="27">
        <f t="shared" ref="AS72:AS135" si="24">AF72-AR72</f>
        <v>0</v>
      </c>
    </row>
    <row r="73" spans="2:45">
      <c r="B73" s="156">
        <f>IF(ROW()-6&gt;NumCostCenter,"",IF(CostCenter&lt;&gt;"ALL",CostCenter,DATA_LF2!B71))</f>
        <v>3211</v>
      </c>
      <c r="C73" s="153">
        <f>IF($B73&lt;&gt;"",INDEX(DataOB[],FirstRow+ROW()-7,2),"")</f>
        <v>3211</v>
      </c>
      <c r="D73" s="157" t="str">
        <f>IF($B73&lt;&gt;"",INDEX(DataOB[],FirstRow+ROW()-7,3),"")</f>
        <v>TBD</v>
      </c>
      <c r="E73" s="158">
        <f>IF($B73&lt;&gt;"",INDEX(DataOB[],FirstRow+ROW()-7,6),"")</f>
        <v>0</v>
      </c>
      <c r="F73" s="158" t="str">
        <f>IF($B73&lt;&gt;"",INDEX(DataOB[],FirstRow+ROW()-7,5),"")</f>
        <v>Alum Drum Rim 10Jx22</v>
      </c>
      <c r="G73" s="58">
        <f>IF($B73&lt;&gt;"",SUMIFS(DataAct_tbl[AMOUNT],DataAct_tbl[BG CODE],Detail!$D73,DataAct_tbl[MONTH],LEFT(MonthName,3),DataAct_tbl[Dept code],$B73),0)</f>
        <v>0</v>
      </c>
      <c r="H73" s="31">
        <f t="shared" si="16"/>
        <v>0</v>
      </c>
      <c r="I73" s="28">
        <f t="shared" si="17"/>
        <v>0</v>
      </c>
      <c r="J73" s="32" t="str">
        <f t="shared" si="18"/>
        <v xml:space="preserve"> </v>
      </c>
      <c r="K73" s="86"/>
      <c r="L73" s="62">
        <f>IF($B73&lt;&gt;"",SUMIFS(DataAct_tbl[AMOUNT],DataAct_tbl[BG CODE],Detail!$D73,DataAct_tbl[Check Range],"=true",DataAct_tbl[Dept code],$B73),0)</f>
        <v>0</v>
      </c>
      <c r="M73" s="63">
        <f>INDEX($AG$7:$AR$1005,ROW()-6,MATCH(MTD,$AG$6:$AR$6,0))</f>
        <v>0</v>
      </c>
      <c r="N73" s="34">
        <f t="shared" si="19"/>
        <v>0</v>
      </c>
      <c r="O73" s="64" t="str">
        <f t="shared" si="20"/>
        <v xml:space="preserve"> </v>
      </c>
      <c r="Q73" s="97">
        <f t="shared" si="21"/>
        <v>8</v>
      </c>
      <c r="R73" s="96">
        <f t="shared" si="22"/>
        <v>8</v>
      </c>
      <c r="T73" s="67">
        <f>IF($B73&lt;&gt;"",INDEX(DataOB[],FirstRow+ROW()-7,MATCH(T$6,DataOB[#Headers],0)),"")</f>
        <v>0</v>
      </c>
      <c r="U73" s="67">
        <f>IF($B73&lt;&gt;"",INDEX(DataOB[],FirstRow+ROW()-7,MATCH(U$6,DataOB[#Headers],0)),"")</f>
        <v>0</v>
      </c>
      <c r="V73" s="67">
        <f>IF($B73&lt;&gt;"",INDEX(DataOB[],FirstRow+ROW()-7,MATCH(V$6,DataOB[#Headers],0)),"")</f>
        <v>0</v>
      </c>
      <c r="W73" s="67">
        <f>IF($B73&lt;&gt;"",INDEX(DataOB[],FirstRow+ROW()-7,MATCH(W$6,DataOB[#Headers],0)),"")</f>
        <v>0</v>
      </c>
      <c r="X73" s="67">
        <f>IF($B73&lt;&gt;"",INDEX(DataOB[],FirstRow+ROW()-7,MATCH(X$6,DataOB[#Headers],0)),"")</f>
        <v>0</v>
      </c>
      <c r="Y73" s="67">
        <f>IF($B73&lt;&gt;"",INDEX(DataOB[],FirstRow+ROW()-7,MATCH(Y$6,DataOB[#Headers],0)),"")</f>
        <v>0</v>
      </c>
      <c r="Z73" s="67">
        <f>IF($B73&lt;&gt;"",INDEX(DataOB[],FirstRow+ROW()-7,MATCH(Z$6,DataOB[#Headers],0)),"")</f>
        <v>0</v>
      </c>
      <c r="AA73" s="67">
        <f>IF($B73&lt;&gt;"",INDEX(DataOB[],FirstRow+ROW()-7,MATCH(AA$6,DataOB[#Headers],0)),"")</f>
        <v>0</v>
      </c>
      <c r="AB73" s="67">
        <f>IF($B73&lt;&gt;"",INDEX(DataOB[],FirstRow+ROW()-7,MATCH(AB$6,DataOB[#Headers],0)),"")</f>
        <v>0</v>
      </c>
      <c r="AC73" s="67">
        <f>IF($B73&lt;&gt;"",INDEX(DataOB[],FirstRow+ROW()-7,MATCH(AC$6,DataOB[#Headers],0)),"")</f>
        <v>0</v>
      </c>
      <c r="AD73" s="67">
        <f>IF($B73&lt;&gt;"",INDEX(DataOB[],FirstRow+ROW()-7,MATCH(AD$6,DataOB[#Headers],0)),"")</f>
        <v>0</v>
      </c>
      <c r="AE73" s="67">
        <f>IF($B73&lt;&gt;"",INDEX(DataOB[],FirstRow+ROW()-7,MATCH(AE$6,DataOB[#Headers],0)),"")</f>
        <v>8</v>
      </c>
      <c r="AF73" s="26">
        <f t="shared" si="23"/>
        <v>8</v>
      </c>
      <c r="AG73" s="31">
        <f>SUM($T73:T73)</f>
        <v>0</v>
      </c>
      <c r="AH73" s="31">
        <f>SUM($T73:U73)</f>
        <v>0</v>
      </c>
      <c r="AI73" s="31">
        <f>SUM($T73:V73)</f>
        <v>0</v>
      </c>
      <c r="AJ73" s="31">
        <f>SUM($T73:W73)</f>
        <v>0</v>
      </c>
      <c r="AK73" s="31">
        <f>SUM($T73:X73)</f>
        <v>0</v>
      </c>
      <c r="AL73" s="31">
        <f>SUM($T73:Y73)</f>
        <v>0</v>
      </c>
      <c r="AM73" s="31">
        <f>SUM($T73:Z73)</f>
        <v>0</v>
      </c>
      <c r="AN73" s="31">
        <f>SUM($T73:AA73)</f>
        <v>0</v>
      </c>
      <c r="AO73" s="31">
        <f>SUM($T73:AB73)</f>
        <v>0</v>
      </c>
      <c r="AP73" s="31">
        <f>SUM($T73:AC73)</f>
        <v>0</v>
      </c>
      <c r="AQ73" s="31">
        <f>SUM($T73:AD73)</f>
        <v>0</v>
      </c>
      <c r="AR73" s="31">
        <f>SUM($T73:AE73)</f>
        <v>8</v>
      </c>
      <c r="AS73" s="27">
        <f t="shared" si="24"/>
        <v>0</v>
      </c>
    </row>
    <row r="74" spans="2:45">
      <c r="B74" s="156">
        <f>IF(ROW()-6&gt;NumCostCenter,"",IF(CostCenter&lt;&gt;"ALL",CostCenter,DATA_LF2!B72))</f>
        <v>3211</v>
      </c>
      <c r="C74" s="153">
        <f>IF($B74&lt;&gt;"",INDEX(DataOB[],FirstRow+ROW()-7,2),"")</f>
        <v>3211</v>
      </c>
      <c r="D74" s="157" t="str">
        <f>IF($B74&lt;&gt;"",INDEX(DataOB[],FirstRow+ROW()-7,3),"")</f>
        <v>TBD</v>
      </c>
      <c r="E74" s="158">
        <f>IF($B74&lt;&gt;"",INDEX(DataOB[],FirstRow+ROW()-7,6),"")</f>
        <v>0</v>
      </c>
      <c r="F74" s="158" t="str">
        <f>IF($B74&lt;&gt;"",INDEX(DataOB[],FirstRow+ROW()-7,5),"")</f>
        <v>Alum RRC and Plunger Rim 11Jx22</v>
      </c>
      <c r="G74" s="58">
        <f>IF($B74&lt;&gt;"",SUMIFS(DataAct_tbl[AMOUNT],DataAct_tbl[BG CODE],Detail!$D74,DataAct_tbl[MONTH],LEFT(MonthName,3),DataAct_tbl[Dept code],$B74),0)</f>
        <v>0</v>
      </c>
      <c r="H74" s="31">
        <f t="shared" si="16"/>
        <v>0</v>
      </c>
      <c r="I74" s="28">
        <f t="shared" si="17"/>
        <v>0</v>
      </c>
      <c r="J74" s="32" t="str">
        <f t="shared" si="18"/>
        <v xml:space="preserve"> </v>
      </c>
      <c r="K74" s="86"/>
      <c r="L74" s="62">
        <f>IF($B74&lt;&gt;"",SUMIFS(DataAct_tbl[AMOUNT],DataAct_tbl[BG CODE],Detail!$D74,DataAct_tbl[Check Range],"=true",DataAct_tbl[Dept code],$B74),0)</f>
        <v>0</v>
      </c>
      <c r="M74" s="63">
        <f>INDEX($AG$7:$AR$1005,ROW()-6,MATCH(MTD,$AG$6:$AR$6,0))</f>
        <v>0</v>
      </c>
      <c r="N74" s="34">
        <f t="shared" si="19"/>
        <v>0</v>
      </c>
      <c r="O74" s="64" t="str">
        <f t="shared" si="20"/>
        <v xml:space="preserve"> </v>
      </c>
      <c r="Q74" s="97">
        <f t="shared" si="21"/>
        <v>4</v>
      </c>
      <c r="R74" s="96">
        <f t="shared" si="22"/>
        <v>4</v>
      </c>
      <c r="T74" s="67">
        <f>IF($B74&lt;&gt;"",INDEX(DataOB[],FirstRow+ROW()-7,MATCH(T$6,DataOB[#Headers],0)),"")</f>
        <v>0</v>
      </c>
      <c r="U74" s="67">
        <f>IF($B74&lt;&gt;"",INDEX(DataOB[],FirstRow+ROW()-7,MATCH(U$6,DataOB[#Headers],0)),"")</f>
        <v>0</v>
      </c>
      <c r="V74" s="67">
        <f>IF($B74&lt;&gt;"",INDEX(DataOB[],FirstRow+ROW()-7,MATCH(V$6,DataOB[#Headers],0)),"")</f>
        <v>0</v>
      </c>
      <c r="W74" s="67">
        <f>IF($B74&lt;&gt;"",INDEX(DataOB[],FirstRow+ROW()-7,MATCH(W$6,DataOB[#Headers],0)),"")</f>
        <v>0</v>
      </c>
      <c r="X74" s="67">
        <f>IF($B74&lt;&gt;"",INDEX(DataOB[],FirstRow+ROW()-7,MATCH(X$6,DataOB[#Headers],0)),"")</f>
        <v>0</v>
      </c>
      <c r="Y74" s="67">
        <f>IF($B74&lt;&gt;"",INDEX(DataOB[],FirstRow+ROW()-7,MATCH(Y$6,DataOB[#Headers],0)),"")</f>
        <v>0</v>
      </c>
      <c r="Z74" s="67">
        <f>IF($B74&lt;&gt;"",INDEX(DataOB[],FirstRow+ROW()-7,MATCH(Z$6,DataOB[#Headers],0)),"")</f>
        <v>0</v>
      </c>
      <c r="AA74" s="67">
        <f>IF($B74&lt;&gt;"",INDEX(DataOB[],FirstRow+ROW()-7,MATCH(AA$6,DataOB[#Headers],0)),"")</f>
        <v>0</v>
      </c>
      <c r="AB74" s="67">
        <f>IF($B74&lt;&gt;"",INDEX(DataOB[],FirstRow+ROW()-7,MATCH(AB$6,DataOB[#Headers],0)),"")</f>
        <v>0</v>
      </c>
      <c r="AC74" s="67">
        <f>IF($B74&lt;&gt;"",INDEX(DataOB[],FirstRow+ROW()-7,MATCH(AC$6,DataOB[#Headers],0)),"")</f>
        <v>0</v>
      </c>
      <c r="AD74" s="67">
        <f>IF($B74&lt;&gt;"",INDEX(DataOB[],FirstRow+ROW()-7,MATCH(AD$6,DataOB[#Headers],0)),"")</f>
        <v>0</v>
      </c>
      <c r="AE74" s="67">
        <f>IF($B74&lt;&gt;"",INDEX(DataOB[],FirstRow+ROW()-7,MATCH(AE$6,DataOB[#Headers],0)),"")</f>
        <v>4</v>
      </c>
      <c r="AF74" s="26">
        <f t="shared" si="23"/>
        <v>4</v>
      </c>
      <c r="AG74" s="31">
        <f>SUM($T74:T74)</f>
        <v>0</v>
      </c>
      <c r="AH74" s="31">
        <f>SUM($T74:U74)</f>
        <v>0</v>
      </c>
      <c r="AI74" s="31">
        <f>SUM($T74:V74)</f>
        <v>0</v>
      </c>
      <c r="AJ74" s="31">
        <f>SUM($T74:W74)</f>
        <v>0</v>
      </c>
      <c r="AK74" s="31">
        <f>SUM($T74:X74)</f>
        <v>0</v>
      </c>
      <c r="AL74" s="31">
        <f>SUM($T74:Y74)</f>
        <v>0</v>
      </c>
      <c r="AM74" s="31">
        <f>SUM($T74:Z74)</f>
        <v>0</v>
      </c>
      <c r="AN74" s="31">
        <f>SUM($T74:AA74)</f>
        <v>0</v>
      </c>
      <c r="AO74" s="31">
        <f>SUM($T74:AB74)</f>
        <v>0</v>
      </c>
      <c r="AP74" s="31">
        <f>SUM($T74:AC74)</f>
        <v>0</v>
      </c>
      <c r="AQ74" s="31">
        <f>SUM($T74:AD74)</f>
        <v>0</v>
      </c>
      <c r="AR74" s="31">
        <f>SUM($T74:AE74)</f>
        <v>4</v>
      </c>
      <c r="AS74" s="27">
        <f t="shared" si="24"/>
        <v>0</v>
      </c>
    </row>
    <row r="75" spans="2:45">
      <c r="B75" s="156">
        <f>IF(ROW()-6&gt;NumCostCenter,"",IF(CostCenter&lt;&gt;"ALL",CostCenter,DATA_LF2!B73))</f>
        <v>3211</v>
      </c>
      <c r="C75" s="153">
        <f>IF($B75&lt;&gt;"",INDEX(DataOB[],FirstRow+ROW()-7,2),"")</f>
        <v>3211</v>
      </c>
      <c r="D75" s="157" t="str">
        <f>IF($B75&lt;&gt;"",INDEX(DataOB[],FirstRow+ROW()-7,3),"")</f>
        <v>OT03292A</v>
      </c>
      <c r="E75" s="158">
        <f>IF($B75&lt;&gt;"",INDEX(DataOB[],FirstRow+ROW()-7,6),"")</f>
        <v>0</v>
      </c>
      <c r="F75" s="158" t="str">
        <f>IF($B75&lt;&gt;"",INDEX(DataOB[],FirstRow+ROW()-7,5),"")</f>
        <v xml:space="preserve">Alum RRC  &amp; Plunger Rim 5.5Jx15 </v>
      </c>
      <c r="G75" s="58">
        <f>IF($B75&lt;&gt;"",SUMIFS(DataAct_tbl[AMOUNT],DataAct_tbl[BG CODE],Detail!$D75,DataAct_tbl[MONTH],LEFT(MonthName,3),DataAct_tbl[Dept code],$B75),0)</f>
        <v>2.528</v>
      </c>
      <c r="H75" s="31">
        <f t="shared" si="16"/>
        <v>3</v>
      </c>
      <c r="I75" s="28">
        <f t="shared" si="17"/>
        <v>-0.47199999999999998</v>
      </c>
      <c r="J75" s="32">
        <f t="shared" si="18"/>
        <v>0.84266666666666667</v>
      </c>
      <c r="K75" s="86"/>
      <c r="L75" s="62">
        <f>IF($B75&lt;&gt;"",SUMIFS(DataAct_tbl[AMOUNT],DataAct_tbl[BG CODE],Detail!$D75,DataAct_tbl[Check Range],"=true",DataAct_tbl[Dept code],$B75),0)</f>
        <v>2.528</v>
      </c>
      <c r="M75" s="63">
        <f>INDEX($AG$7:$AR$1005,ROW()-6,MATCH(MTD,$AG$6:$AR$6,0))</f>
        <v>3</v>
      </c>
      <c r="N75" s="34">
        <f t="shared" si="19"/>
        <v>-0.47199999999999998</v>
      </c>
      <c r="O75" s="64">
        <f t="shared" si="20"/>
        <v>0.84266666666666667</v>
      </c>
      <c r="Q75" s="97">
        <f t="shared" si="21"/>
        <v>3</v>
      </c>
      <c r="R75" s="96">
        <f t="shared" si="22"/>
        <v>0.47199999999999998</v>
      </c>
      <c r="T75" s="67">
        <f>IF($B75&lt;&gt;"",INDEX(DataOB[],FirstRow+ROW()-7,MATCH(T$6,DataOB[#Headers],0)),"")</f>
        <v>0</v>
      </c>
      <c r="U75" s="67">
        <f>IF($B75&lt;&gt;"",INDEX(DataOB[],FirstRow+ROW()-7,MATCH(U$6,DataOB[#Headers],0)),"")</f>
        <v>0</v>
      </c>
      <c r="V75" s="67">
        <f>IF($B75&lt;&gt;"",INDEX(DataOB[],FirstRow+ROW()-7,MATCH(V$6,DataOB[#Headers],0)),"")</f>
        <v>0</v>
      </c>
      <c r="W75" s="67">
        <f>IF($B75&lt;&gt;"",INDEX(DataOB[],FirstRow+ROW()-7,MATCH(W$6,DataOB[#Headers],0)),"")</f>
        <v>0</v>
      </c>
      <c r="X75" s="67">
        <f>IF($B75&lt;&gt;"",INDEX(DataOB[],FirstRow+ROW()-7,MATCH(X$6,DataOB[#Headers],0)),"")</f>
        <v>0</v>
      </c>
      <c r="Y75" s="67">
        <f>IF($B75&lt;&gt;"",INDEX(DataOB[],FirstRow+ROW()-7,MATCH(Y$6,DataOB[#Headers],0)),"")</f>
        <v>0</v>
      </c>
      <c r="Z75" s="67">
        <f>IF($B75&lt;&gt;"",INDEX(DataOB[],FirstRow+ROW()-7,MATCH(Z$6,DataOB[#Headers],0)),"")</f>
        <v>3</v>
      </c>
      <c r="AA75" s="67">
        <f>IF($B75&lt;&gt;"",INDEX(DataOB[],FirstRow+ROW()-7,MATCH(AA$6,DataOB[#Headers],0)),"")</f>
        <v>0</v>
      </c>
      <c r="AB75" s="67">
        <f>IF($B75&lt;&gt;"",INDEX(DataOB[],FirstRow+ROW()-7,MATCH(AB$6,DataOB[#Headers],0)),"")</f>
        <v>0</v>
      </c>
      <c r="AC75" s="67">
        <f>IF($B75&lt;&gt;"",INDEX(DataOB[],FirstRow+ROW()-7,MATCH(AC$6,DataOB[#Headers],0)),"")</f>
        <v>0</v>
      </c>
      <c r="AD75" s="67">
        <f>IF($B75&lt;&gt;"",INDEX(DataOB[],FirstRow+ROW()-7,MATCH(AD$6,DataOB[#Headers],0)),"")</f>
        <v>0</v>
      </c>
      <c r="AE75" s="67">
        <f>IF($B75&lt;&gt;"",INDEX(DataOB[],FirstRow+ROW()-7,MATCH(AE$6,DataOB[#Headers],0)),"")</f>
        <v>0</v>
      </c>
      <c r="AF75" s="26">
        <f t="shared" si="23"/>
        <v>3</v>
      </c>
      <c r="AG75" s="31">
        <f>SUM($T75:T75)</f>
        <v>0</v>
      </c>
      <c r="AH75" s="31">
        <f>SUM($T75:U75)</f>
        <v>0</v>
      </c>
      <c r="AI75" s="31">
        <f>SUM($T75:V75)</f>
        <v>0</v>
      </c>
      <c r="AJ75" s="31">
        <f>SUM($T75:W75)</f>
        <v>0</v>
      </c>
      <c r="AK75" s="31">
        <f>SUM($T75:X75)</f>
        <v>0</v>
      </c>
      <c r="AL75" s="31">
        <f>SUM($T75:Y75)</f>
        <v>0</v>
      </c>
      <c r="AM75" s="31">
        <f>SUM($T75:Z75)</f>
        <v>3</v>
      </c>
      <c r="AN75" s="31">
        <f>SUM($T75:AA75)</f>
        <v>3</v>
      </c>
      <c r="AO75" s="31">
        <f>SUM($T75:AB75)</f>
        <v>3</v>
      </c>
      <c r="AP75" s="31">
        <f>SUM($T75:AC75)</f>
        <v>3</v>
      </c>
      <c r="AQ75" s="31">
        <f>SUM($T75:AD75)</f>
        <v>3</v>
      </c>
      <c r="AR75" s="31">
        <f>SUM($T75:AE75)</f>
        <v>3</v>
      </c>
      <c r="AS75" s="27">
        <f t="shared" si="24"/>
        <v>0</v>
      </c>
    </row>
    <row r="76" spans="2:45">
      <c r="B76" s="156">
        <f>IF(ROW()-6&gt;NumCostCenter,"",IF(CostCenter&lt;&gt;"ALL",CostCenter,DATA_LF2!B74))</f>
        <v>3211</v>
      </c>
      <c r="C76" s="153">
        <f>IF($B76&lt;&gt;"",INDEX(DataOB[],FirstRow+ROW()-7,2),"")</f>
        <v>3211</v>
      </c>
      <c r="D76" s="157" t="str">
        <f>IF($B76&lt;&gt;"",INDEX(DataOB[],FirstRow+ROW()-7,3),"")</f>
        <v>OT03292B</v>
      </c>
      <c r="E76" s="158">
        <f>IF($B76&lt;&gt;"",INDEX(DataOB[],FirstRow+ROW()-7,6),"")</f>
        <v>0</v>
      </c>
      <c r="F76" s="158" t="str">
        <f>IF($B76&lt;&gt;"",INDEX(DataOB[],FirstRow+ROW()-7,5),"")</f>
        <v>Alum RRC  &amp; Plunger Rim 5.5Jx16</v>
      </c>
      <c r="G76" s="58">
        <f>IF($B76&lt;&gt;"",SUMIFS(DataAct_tbl[AMOUNT],DataAct_tbl[BG CODE],Detail!$D76,DataAct_tbl[MONTH],LEFT(MonthName,3),DataAct_tbl[Dept code],$B76),0)</f>
        <v>1.294</v>
      </c>
      <c r="H76" s="31">
        <f t="shared" si="16"/>
        <v>1.5</v>
      </c>
      <c r="I76" s="28">
        <f t="shared" si="17"/>
        <v>-0.20599999999999996</v>
      </c>
      <c r="J76" s="32">
        <f t="shared" si="18"/>
        <v>0.86266666666666669</v>
      </c>
      <c r="K76" s="86"/>
      <c r="L76" s="62">
        <f>IF($B76&lt;&gt;"",SUMIFS(DataAct_tbl[AMOUNT],DataAct_tbl[BG CODE],Detail!$D76,DataAct_tbl[Check Range],"=true",DataAct_tbl[Dept code],$B76),0)</f>
        <v>1.294</v>
      </c>
      <c r="M76" s="63">
        <f>INDEX($AG$7:$AR$1005,ROW()-6,MATCH(MTD,$AG$6:$AR$6,0))</f>
        <v>1.5</v>
      </c>
      <c r="N76" s="34">
        <f t="shared" si="19"/>
        <v>-0.20599999999999996</v>
      </c>
      <c r="O76" s="64">
        <f t="shared" si="20"/>
        <v>0.86266666666666669</v>
      </c>
      <c r="Q76" s="97">
        <f t="shared" si="21"/>
        <v>1.5</v>
      </c>
      <c r="R76" s="96">
        <f t="shared" si="22"/>
        <v>0.20599999999999996</v>
      </c>
      <c r="T76" s="67">
        <f>IF($B76&lt;&gt;"",INDEX(DataOB[],FirstRow+ROW()-7,MATCH(T$6,DataOB[#Headers],0)),"")</f>
        <v>0</v>
      </c>
      <c r="U76" s="67">
        <f>IF($B76&lt;&gt;"",INDEX(DataOB[],FirstRow+ROW()-7,MATCH(U$6,DataOB[#Headers],0)),"")</f>
        <v>0</v>
      </c>
      <c r="V76" s="67">
        <f>IF($B76&lt;&gt;"",INDEX(DataOB[],FirstRow+ROW()-7,MATCH(V$6,DataOB[#Headers],0)),"")</f>
        <v>0</v>
      </c>
      <c r="W76" s="67">
        <f>IF($B76&lt;&gt;"",INDEX(DataOB[],FirstRow+ROW()-7,MATCH(W$6,DataOB[#Headers],0)),"")</f>
        <v>0</v>
      </c>
      <c r="X76" s="67">
        <f>IF($B76&lt;&gt;"",INDEX(DataOB[],FirstRow+ROW()-7,MATCH(X$6,DataOB[#Headers],0)),"")</f>
        <v>0</v>
      </c>
      <c r="Y76" s="67">
        <f>IF($B76&lt;&gt;"",INDEX(DataOB[],FirstRow+ROW()-7,MATCH(Y$6,DataOB[#Headers],0)),"")</f>
        <v>0</v>
      </c>
      <c r="Z76" s="67">
        <f>IF($B76&lt;&gt;"",INDEX(DataOB[],FirstRow+ROW()-7,MATCH(Z$6,DataOB[#Headers],0)),"")</f>
        <v>1.5</v>
      </c>
      <c r="AA76" s="67">
        <f>IF($B76&lt;&gt;"",INDEX(DataOB[],FirstRow+ROW()-7,MATCH(AA$6,DataOB[#Headers],0)),"")</f>
        <v>0</v>
      </c>
      <c r="AB76" s="67">
        <f>IF($B76&lt;&gt;"",INDEX(DataOB[],FirstRow+ROW()-7,MATCH(AB$6,DataOB[#Headers],0)),"")</f>
        <v>0</v>
      </c>
      <c r="AC76" s="67">
        <f>IF($B76&lt;&gt;"",INDEX(DataOB[],FirstRow+ROW()-7,MATCH(AC$6,DataOB[#Headers],0)),"")</f>
        <v>0</v>
      </c>
      <c r="AD76" s="67">
        <f>IF($B76&lt;&gt;"",INDEX(DataOB[],FirstRow+ROW()-7,MATCH(AD$6,DataOB[#Headers],0)),"")</f>
        <v>0</v>
      </c>
      <c r="AE76" s="67">
        <f>IF($B76&lt;&gt;"",INDEX(DataOB[],FirstRow+ROW()-7,MATCH(AE$6,DataOB[#Headers],0)),"")</f>
        <v>0</v>
      </c>
      <c r="AF76" s="26">
        <f t="shared" si="23"/>
        <v>1.5</v>
      </c>
      <c r="AG76" s="31">
        <f>SUM($T76:T76)</f>
        <v>0</v>
      </c>
      <c r="AH76" s="31">
        <f>SUM($T76:U76)</f>
        <v>0</v>
      </c>
      <c r="AI76" s="31">
        <f>SUM($T76:V76)</f>
        <v>0</v>
      </c>
      <c r="AJ76" s="31">
        <f>SUM($T76:W76)</f>
        <v>0</v>
      </c>
      <c r="AK76" s="31">
        <f>SUM($T76:X76)</f>
        <v>0</v>
      </c>
      <c r="AL76" s="31">
        <f>SUM($T76:Y76)</f>
        <v>0</v>
      </c>
      <c r="AM76" s="31">
        <f>SUM($T76:Z76)</f>
        <v>1.5</v>
      </c>
      <c r="AN76" s="31">
        <f>SUM($T76:AA76)</f>
        <v>1.5</v>
      </c>
      <c r="AO76" s="31">
        <f>SUM($T76:AB76)</f>
        <v>1.5</v>
      </c>
      <c r="AP76" s="31">
        <f>SUM($T76:AC76)</f>
        <v>1.5</v>
      </c>
      <c r="AQ76" s="31">
        <f>SUM($T76:AD76)</f>
        <v>1.5</v>
      </c>
      <c r="AR76" s="31">
        <f>SUM($T76:AE76)</f>
        <v>1.5</v>
      </c>
      <c r="AS76" s="27">
        <f t="shared" si="24"/>
        <v>0</v>
      </c>
    </row>
    <row r="77" spans="2:45">
      <c r="B77" s="156">
        <f>IF(ROW()-6&gt;NumCostCenter,"",IF(CostCenter&lt;&gt;"ALL",CostCenter,DATA_LF2!B75))</f>
        <v>3211</v>
      </c>
      <c r="C77" s="153">
        <f>IF($B77&lt;&gt;"",INDEX(DataOB[],FirstRow+ROW()-7,2),"")</f>
        <v>3211</v>
      </c>
      <c r="D77" s="157" t="str">
        <f>IF($B77&lt;&gt;"",INDEX(DataOB[],FirstRow+ROW()-7,3),"")</f>
        <v>TBD</v>
      </c>
      <c r="E77" s="158">
        <f>IF($B77&lt;&gt;"",INDEX(DataOB[],FirstRow+ROW()-7,6),"")</f>
        <v>0</v>
      </c>
      <c r="F77" s="158" t="str">
        <f>IF($B77&lt;&gt;"",INDEX(DataOB[],FirstRow+ROW()-7,5),"")</f>
        <v>Alum Drum Rim 11Jx22</v>
      </c>
      <c r="G77" s="58">
        <f>IF($B77&lt;&gt;"",SUMIFS(DataAct_tbl[AMOUNT],DataAct_tbl[BG CODE],Detail!$D77,DataAct_tbl[MONTH],LEFT(MonthName,3),DataAct_tbl[Dept code],$B77),0)</f>
        <v>0</v>
      </c>
      <c r="H77" s="31">
        <f t="shared" si="16"/>
        <v>0</v>
      </c>
      <c r="I77" s="28">
        <f t="shared" si="17"/>
        <v>0</v>
      </c>
      <c r="J77" s="32" t="str">
        <f t="shared" si="18"/>
        <v xml:space="preserve"> </v>
      </c>
      <c r="K77" s="86"/>
      <c r="L77" s="62">
        <f>IF($B77&lt;&gt;"",SUMIFS(DataAct_tbl[AMOUNT],DataAct_tbl[BG CODE],Detail!$D77,DataAct_tbl[Check Range],"=true",DataAct_tbl[Dept code],$B77),0)</f>
        <v>0</v>
      </c>
      <c r="M77" s="63">
        <f>INDEX($AG$7:$AR$1005,ROW()-6,MATCH(MTD,$AG$6:$AR$6,0))</f>
        <v>0</v>
      </c>
      <c r="N77" s="34">
        <f t="shared" si="19"/>
        <v>0</v>
      </c>
      <c r="O77" s="64" t="str">
        <f t="shared" si="20"/>
        <v xml:space="preserve"> </v>
      </c>
      <c r="Q77" s="97">
        <f t="shared" si="21"/>
        <v>8</v>
      </c>
      <c r="R77" s="96">
        <f t="shared" si="22"/>
        <v>8</v>
      </c>
      <c r="T77" s="67">
        <f>IF($B77&lt;&gt;"",INDEX(DataOB[],FirstRow+ROW()-7,MATCH(T$6,DataOB[#Headers],0)),"")</f>
        <v>0</v>
      </c>
      <c r="U77" s="67">
        <f>IF($B77&lt;&gt;"",INDEX(DataOB[],FirstRow+ROW()-7,MATCH(U$6,DataOB[#Headers],0)),"")</f>
        <v>0</v>
      </c>
      <c r="V77" s="67">
        <f>IF($B77&lt;&gt;"",INDEX(DataOB[],FirstRow+ROW()-7,MATCH(V$6,DataOB[#Headers],0)),"")</f>
        <v>0</v>
      </c>
      <c r="W77" s="67">
        <f>IF($B77&lt;&gt;"",INDEX(DataOB[],FirstRow+ROW()-7,MATCH(W$6,DataOB[#Headers],0)),"")</f>
        <v>0</v>
      </c>
      <c r="X77" s="67">
        <f>IF($B77&lt;&gt;"",INDEX(DataOB[],FirstRow+ROW()-7,MATCH(X$6,DataOB[#Headers],0)),"")</f>
        <v>0</v>
      </c>
      <c r="Y77" s="67">
        <f>IF($B77&lt;&gt;"",INDEX(DataOB[],FirstRow+ROW()-7,MATCH(Y$6,DataOB[#Headers],0)),"")</f>
        <v>0</v>
      </c>
      <c r="Z77" s="67">
        <f>IF($B77&lt;&gt;"",INDEX(DataOB[],FirstRow+ROW()-7,MATCH(Z$6,DataOB[#Headers],0)),"")</f>
        <v>0</v>
      </c>
      <c r="AA77" s="67">
        <f>IF($B77&lt;&gt;"",INDEX(DataOB[],FirstRow+ROW()-7,MATCH(AA$6,DataOB[#Headers],0)),"")</f>
        <v>0</v>
      </c>
      <c r="AB77" s="67">
        <f>IF($B77&lt;&gt;"",INDEX(DataOB[],FirstRow+ROW()-7,MATCH(AB$6,DataOB[#Headers],0)),"")</f>
        <v>0</v>
      </c>
      <c r="AC77" s="67">
        <f>IF($B77&lt;&gt;"",INDEX(DataOB[],FirstRow+ROW()-7,MATCH(AC$6,DataOB[#Headers],0)),"")</f>
        <v>0</v>
      </c>
      <c r="AD77" s="67">
        <f>IF($B77&lt;&gt;"",INDEX(DataOB[],FirstRow+ROW()-7,MATCH(AD$6,DataOB[#Headers],0)),"")</f>
        <v>0</v>
      </c>
      <c r="AE77" s="67">
        <f>IF($B77&lt;&gt;"",INDEX(DataOB[],FirstRow+ROW()-7,MATCH(AE$6,DataOB[#Headers],0)),"")</f>
        <v>8</v>
      </c>
      <c r="AF77" s="26">
        <f t="shared" si="23"/>
        <v>8</v>
      </c>
      <c r="AG77" s="31">
        <f>SUM($T77:T77)</f>
        <v>0</v>
      </c>
      <c r="AH77" s="31">
        <f>SUM($T77:U77)</f>
        <v>0</v>
      </c>
      <c r="AI77" s="31">
        <f>SUM($T77:V77)</f>
        <v>0</v>
      </c>
      <c r="AJ77" s="31">
        <f>SUM($T77:W77)</f>
        <v>0</v>
      </c>
      <c r="AK77" s="31">
        <f>SUM($T77:X77)</f>
        <v>0</v>
      </c>
      <c r="AL77" s="31">
        <f>SUM($T77:Y77)</f>
        <v>0</v>
      </c>
      <c r="AM77" s="31">
        <f>SUM($T77:Z77)</f>
        <v>0</v>
      </c>
      <c r="AN77" s="31">
        <f>SUM($T77:AA77)</f>
        <v>0</v>
      </c>
      <c r="AO77" s="31">
        <f>SUM($T77:AB77)</f>
        <v>0</v>
      </c>
      <c r="AP77" s="31">
        <f>SUM($T77:AC77)</f>
        <v>0</v>
      </c>
      <c r="AQ77" s="31">
        <f>SUM($T77:AD77)</f>
        <v>0</v>
      </c>
      <c r="AR77" s="31">
        <f>SUM($T77:AE77)</f>
        <v>8</v>
      </c>
      <c r="AS77" s="27">
        <f t="shared" si="24"/>
        <v>0</v>
      </c>
    </row>
    <row r="78" spans="2:45">
      <c r="B78" s="156">
        <f>IF(ROW()-6&gt;NumCostCenter,"",IF(CostCenter&lt;&gt;"ALL",CostCenter,DATA_LF2!B76))</f>
        <v>3211</v>
      </c>
      <c r="C78" s="153">
        <f>IF($B78&lt;&gt;"",INDEX(DataOB[],FirstRow+ROW()-7,2),"")</f>
        <v>3211</v>
      </c>
      <c r="D78" s="157" t="str">
        <f>IF($B78&lt;&gt;"",INDEX(DataOB[],FirstRow+ROW()-7,3),"")</f>
        <v>TBD</v>
      </c>
      <c r="E78" s="158">
        <f>IF($B78&lt;&gt;"",INDEX(DataOB[],FirstRow+ROW()-7,6),"")</f>
        <v>0</v>
      </c>
      <c r="F78" s="158" t="str">
        <f>IF($B78&lt;&gt;"",INDEX(DataOB[],FirstRow+ROW()-7,5),"")</f>
        <v>Alum RRC  &amp; Plunger Rim 9.5Jx20</v>
      </c>
      <c r="G78" s="58">
        <f>IF($B78&lt;&gt;"",SUMIFS(DataAct_tbl[AMOUNT],DataAct_tbl[BG CODE],Detail!$D78,DataAct_tbl[MONTH],LEFT(MonthName,3),DataAct_tbl[Dept code],$B78),0)</f>
        <v>0</v>
      </c>
      <c r="H78" s="31">
        <f t="shared" si="16"/>
        <v>4</v>
      </c>
      <c r="I78" s="28">
        <f t="shared" si="17"/>
        <v>-4</v>
      </c>
      <c r="J78" s="32">
        <f t="shared" si="18"/>
        <v>0</v>
      </c>
      <c r="K78" s="86"/>
      <c r="L78" s="62">
        <f>IF($B78&lt;&gt;"",SUMIFS(DataAct_tbl[AMOUNT],DataAct_tbl[BG CODE],Detail!$D78,DataAct_tbl[Check Range],"=true",DataAct_tbl[Dept code],$B78),0)</f>
        <v>0</v>
      </c>
      <c r="M78" s="63">
        <f>INDEX($AG$7:$AR$1005,ROW()-6,MATCH(MTD,$AG$6:$AR$6,0))</f>
        <v>4</v>
      </c>
      <c r="N78" s="34">
        <f t="shared" si="19"/>
        <v>-4</v>
      </c>
      <c r="O78" s="64">
        <f t="shared" si="20"/>
        <v>0</v>
      </c>
      <c r="Q78" s="97">
        <f t="shared" si="21"/>
        <v>4</v>
      </c>
      <c r="R78" s="96">
        <f t="shared" si="22"/>
        <v>4</v>
      </c>
      <c r="T78" s="67">
        <f>IF($B78&lt;&gt;"",INDEX(DataOB[],FirstRow+ROW()-7,MATCH(T$6,DataOB[#Headers],0)),"")</f>
        <v>0</v>
      </c>
      <c r="U78" s="67">
        <f>IF($B78&lt;&gt;"",INDEX(DataOB[],FirstRow+ROW()-7,MATCH(U$6,DataOB[#Headers],0)),"")</f>
        <v>0</v>
      </c>
      <c r="V78" s="67">
        <f>IF($B78&lt;&gt;"",INDEX(DataOB[],FirstRow+ROW()-7,MATCH(V$6,DataOB[#Headers],0)),"")</f>
        <v>0</v>
      </c>
      <c r="W78" s="67">
        <f>IF($B78&lt;&gt;"",INDEX(DataOB[],FirstRow+ROW()-7,MATCH(W$6,DataOB[#Headers],0)),"")</f>
        <v>0</v>
      </c>
      <c r="X78" s="67">
        <f>IF($B78&lt;&gt;"",INDEX(DataOB[],FirstRow+ROW()-7,MATCH(X$6,DataOB[#Headers],0)),"")</f>
        <v>0</v>
      </c>
      <c r="Y78" s="67">
        <f>IF($B78&lt;&gt;"",INDEX(DataOB[],FirstRow+ROW()-7,MATCH(Y$6,DataOB[#Headers],0)),"")</f>
        <v>0</v>
      </c>
      <c r="Z78" s="67">
        <f>IF($B78&lt;&gt;"",INDEX(DataOB[],FirstRow+ROW()-7,MATCH(Z$6,DataOB[#Headers],0)),"")</f>
        <v>4</v>
      </c>
      <c r="AA78" s="67">
        <f>IF($B78&lt;&gt;"",INDEX(DataOB[],FirstRow+ROW()-7,MATCH(AA$6,DataOB[#Headers],0)),"")</f>
        <v>0</v>
      </c>
      <c r="AB78" s="67">
        <f>IF($B78&lt;&gt;"",INDEX(DataOB[],FirstRow+ROW()-7,MATCH(AB$6,DataOB[#Headers],0)),"")</f>
        <v>0</v>
      </c>
      <c r="AC78" s="67">
        <f>IF($B78&lt;&gt;"",INDEX(DataOB[],FirstRow+ROW()-7,MATCH(AC$6,DataOB[#Headers],0)),"")</f>
        <v>0</v>
      </c>
      <c r="AD78" s="67">
        <f>IF($B78&lt;&gt;"",INDEX(DataOB[],FirstRow+ROW()-7,MATCH(AD$6,DataOB[#Headers],0)),"")</f>
        <v>0</v>
      </c>
      <c r="AE78" s="67">
        <f>IF($B78&lt;&gt;"",INDEX(DataOB[],FirstRow+ROW()-7,MATCH(AE$6,DataOB[#Headers],0)),"")</f>
        <v>0</v>
      </c>
      <c r="AF78" s="26">
        <f t="shared" si="23"/>
        <v>4</v>
      </c>
      <c r="AG78" s="31">
        <f>SUM($T78:T78)</f>
        <v>0</v>
      </c>
      <c r="AH78" s="31">
        <f>SUM($T78:U78)</f>
        <v>0</v>
      </c>
      <c r="AI78" s="31">
        <f>SUM($T78:V78)</f>
        <v>0</v>
      </c>
      <c r="AJ78" s="31">
        <f>SUM($T78:W78)</f>
        <v>0</v>
      </c>
      <c r="AK78" s="31">
        <f>SUM($T78:X78)</f>
        <v>0</v>
      </c>
      <c r="AL78" s="31">
        <f>SUM($T78:Y78)</f>
        <v>0</v>
      </c>
      <c r="AM78" s="31">
        <f>SUM($T78:Z78)</f>
        <v>4</v>
      </c>
      <c r="AN78" s="31">
        <f>SUM($T78:AA78)</f>
        <v>4</v>
      </c>
      <c r="AO78" s="31">
        <f>SUM($T78:AB78)</f>
        <v>4</v>
      </c>
      <c r="AP78" s="31">
        <f>SUM($T78:AC78)</f>
        <v>4</v>
      </c>
      <c r="AQ78" s="31">
        <f>SUM($T78:AD78)</f>
        <v>4</v>
      </c>
      <c r="AR78" s="31">
        <f>SUM($T78:AE78)</f>
        <v>4</v>
      </c>
      <c r="AS78" s="27">
        <f t="shared" si="24"/>
        <v>0</v>
      </c>
    </row>
    <row r="79" spans="2:45">
      <c r="B79" s="156">
        <f>IF(ROW()-6&gt;NumCostCenter,"",IF(CostCenter&lt;&gt;"ALL",CostCenter,DATA_LF2!B77))</f>
        <v>3211</v>
      </c>
      <c r="C79" s="153">
        <f>IF($B79&lt;&gt;"",INDEX(DataOB[],FirstRow+ROW()-7,2),"")</f>
        <v>3211</v>
      </c>
      <c r="D79" s="157" t="str">
        <f>IF($B79&lt;&gt;"",INDEX(DataOB[],FirstRow+ROW()-7,3),"")</f>
        <v>TBD</v>
      </c>
      <c r="E79" s="158">
        <f>IF($B79&lt;&gt;"",INDEX(DataOB[],FirstRow+ROW()-7,6),"")</f>
        <v>0</v>
      </c>
      <c r="F79" s="158" t="str">
        <f>IF($B79&lt;&gt;"",INDEX(DataOB[],FirstRow+ROW()-7,5),"")</f>
        <v>Alum Drum Rim 9.5x20</v>
      </c>
      <c r="G79" s="58">
        <f>IF($B79&lt;&gt;"",SUMIFS(DataAct_tbl[AMOUNT],DataAct_tbl[BG CODE],Detail!$D79,DataAct_tbl[MONTH],LEFT(MonthName,3),DataAct_tbl[Dept code],$B79),0)</f>
        <v>0</v>
      </c>
      <c r="H79" s="31">
        <f t="shared" si="16"/>
        <v>4</v>
      </c>
      <c r="I79" s="28">
        <f t="shared" si="17"/>
        <v>-4</v>
      </c>
      <c r="J79" s="32">
        <f t="shared" si="18"/>
        <v>0</v>
      </c>
      <c r="K79" s="86"/>
      <c r="L79" s="62">
        <f>IF($B79&lt;&gt;"",SUMIFS(DataAct_tbl[AMOUNT],DataAct_tbl[BG CODE],Detail!$D79,DataAct_tbl[Check Range],"=true",DataAct_tbl[Dept code],$B79),0)</f>
        <v>0</v>
      </c>
      <c r="M79" s="63">
        <f>INDEX($AG$7:$AR$1005,ROW()-6,MATCH(MTD,$AG$6:$AR$6,0))</f>
        <v>4</v>
      </c>
      <c r="N79" s="34">
        <f t="shared" si="19"/>
        <v>-4</v>
      </c>
      <c r="O79" s="64">
        <f t="shared" si="20"/>
        <v>0</v>
      </c>
      <c r="Q79" s="97">
        <f t="shared" si="21"/>
        <v>4</v>
      </c>
      <c r="R79" s="96">
        <f t="shared" si="22"/>
        <v>4</v>
      </c>
      <c r="T79" s="67">
        <f>IF($B79&lt;&gt;"",INDEX(DataOB[],FirstRow+ROW()-7,MATCH(T$6,DataOB[#Headers],0)),"")</f>
        <v>0</v>
      </c>
      <c r="U79" s="67">
        <f>IF($B79&lt;&gt;"",INDEX(DataOB[],FirstRow+ROW()-7,MATCH(U$6,DataOB[#Headers],0)),"")</f>
        <v>0</v>
      </c>
      <c r="V79" s="67">
        <f>IF($B79&lt;&gt;"",INDEX(DataOB[],FirstRow+ROW()-7,MATCH(V$6,DataOB[#Headers],0)),"")</f>
        <v>0</v>
      </c>
      <c r="W79" s="67">
        <f>IF($B79&lt;&gt;"",INDEX(DataOB[],FirstRow+ROW()-7,MATCH(W$6,DataOB[#Headers],0)),"")</f>
        <v>0</v>
      </c>
      <c r="X79" s="67">
        <f>IF($B79&lt;&gt;"",INDEX(DataOB[],FirstRow+ROW()-7,MATCH(X$6,DataOB[#Headers],0)),"")</f>
        <v>0</v>
      </c>
      <c r="Y79" s="67">
        <f>IF($B79&lt;&gt;"",INDEX(DataOB[],FirstRow+ROW()-7,MATCH(Y$6,DataOB[#Headers],0)),"")</f>
        <v>0</v>
      </c>
      <c r="Z79" s="67">
        <f>IF($B79&lt;&gt;"",INDEX(DataOB[],FirstRow+ROW()-7,MATCH(Z$6,DataOB[#Headers],0)),"")</f>
        <v>4</v>
      </c>
      <c r="AA79" s="67">
        <f>IF($B79&lt;&gt;"",INDEX(DataOB[],FirstRow+ROW()-7,MATCH(AA$6,DataOB[#Headers],0)),"")</f>
        <v>0</v>
      </c>
      <c r="AB79" s="67">
        <f>IF($B79&lt;&gt;"",INDEX(DataOB[],FirstRow+ROW()-7,MATCH(AB$6,DataOB[#Headers],0)),"")</f>
        <v>0</v>
      </c>
      <c r="AC79" s="67">
        <f>IF($B79&lt;&gt;"",INDEX(DataOB[],FirstRow+ROW()-7,MATCH(AC$6,DataOB[#Headers],0)),"")</f>
        <v>0</v>
      </c>
      <c r="AD79" s="67">
        <f>IF($B79&lt;&gt;"",INDEX(DataOB[],FirstRow+ROW()-7,MATCH(AD$6,DataOB[#Headers],0)),"")</f>
        <v>0</v>
      </c>
      <c r="AE79" s="67">
        <f>IF($B79&lt;&gt;"",INDEX(DataOB[],FirstRow+ROW()-7,MATCH(AE$6,DataOB[#Headers],0)),"")</f>
        <v>0</v>
      </c>
      <c r="AF79" s="26">
        <f t="shared" si="23"/>
        <v>4</v>
      </c>
      <c r="AG79" s="31">
        <f>SUM($T79:T79)</f>
        <v>0</v>
      </c>
      <c r="AH79" s="31">
        <f>SUM($T79:U79)</f>
        <v>0</v>
      </c>
      <c r="AI79" s="31">
        <f>SUM($T79:V79)</f>
        <v>0</v>
      </c>
      <c r="AJ79" s="31">
        <f>SUM($T79:W79)</f>
        <v>0</v>
      </c>
      <c r="AK79" s="31">
        <f>SUM($T79:X79)</f>
        <v>0</v>
      </c>
      <c r="AL79" s="31">
        <f>SUM($T79:Y79)</f>
        <v>0</v>
      </c>
      <c r="AM79" s="31">
        <f>SUM($T79:Z79)</f>
        <v>4</v>
      </c>
      <c r="AN79" s="31">
        <f>SUM($T79:AA79)</f>
        <v>4</v>
      </c>
      <c r="AO79" s="31">
        <f>SUM($T79:AB79)</f>
        <v>4</v>
      </c>
      <c r="AP79" s="31">
        <f>SUM($T79:AC79)</f>
        <v>4</v>
      </c>
      <c r="AQ79" s="31">
        <f>SUM($T79:AD79)</f>
        <v>4</v>
      </c>
      <c r="AR79" s="31">
        <f>SUM($T79:AE79)</f>
        <v>4</v>
      </c>
      <c r="AS79" s="27">
        <f t="shared" si="24"/>
        <v>0</v>
      </c>
    </row>
    <row r="80" spans="2:45">
      <c r="B80" s="156">
        <f>IF(ROW()-6&gt;NumCostCenter,"",IF(CostCenter&lt;&gt;"ALL",CostCenter,DATA_LF2!B78))</f>
        <v>3211</v>
      </c>
      <c r="C80" s="153">
        <f>IF($B80&lt;&gt;"",INDEX(DataOB[],FirstRow+ROW()-7,2),"")</f>
        <v>3211</v>
      </c>
      <c r="D80" s="157" t="str">
        <f>IF($B80&lt;&gt;"",INDEX(DataOB[],FirstRow+ROW()-7,3),"")</f>
        <v>TBD</v>
      </c>
      <c r="E80" s="158">
        <f>IF($B80&lt;&gt;"",INDEX(DataOB[],FirstRow+ROW()-7,6),"")</f>
        <v>0</v>
      </c>
      <c r="F80" s="158" t="str">
        <f>IF($B80&lt;&gt;"",INDEX(DataOB[],FirstRow+ROW()-7,5),"")</f>
        <v>Electric resistance machine</v>
      </c>
      <c r="G80" s="58">
        <f>IF($B80&lt;&gt;"",SUMIFS(DataAct_tbl[AMOUNT],DataAct_tbl[BG CODE],Detail!$D80,DataAct_tbl[MONTH],LEFT(MonthName,3),DataAct_tbl[Dept code],$B80),0)</f>
        <v>0</v>
      </c>
      <c r="H80" s="31">
        <f t="shared" si="16"/>
        <v>0</v>
      </c>
      <c r="I80" s="28">
        <f t="shared" si="17"/>
        <v>0</v>
      </c>
      <c r="J80" s="32" t="str">
        <f t="shared" si="18"/>
        <v xml:space="preserve"> </v>
      </c>
      <c r="K80" s="86"/>
      <c r="L80" s="62">
        <f>IF($B80&lt;&gt;"",SUMIFS(DataAct_tbl[AMOUNT],DataAct_tbl[BG CODE],Detail!$D80,DataAct_tbl[Check Range],"=true",DataAct_tbl[Dept code],$B80),0)</f>
        <v>0</v>
      </c>
      <c r="M80" s="63">
        <f>INDEX($AG$7:$AR$1005,ROW()-6,MATCH(MTD,$AG$6:$AR$6,0))</f>
        <v>0</v>
      </c>
      <c r="N80" s="34">
        <f t="shared" si="19"/>
        <v>0</v>
      </c>
      <c r="O80" s="64" t="str">
        <f t="shared" si="20"/>
        <v xml:space="preserve"> </v>
      </c>
      <c r="Q80" s="97">
        <f t="shared" si="21"/>
        <v>14</v>
      </c>
      <c r="R80" s="96">
        <f t="shared" si="22"/>
        <v>14</v>
      </c>
      <c r="T80" s="67">
        <f>IF($B80&lt;&gt;"",INDEX(DataOB[],FirstRow+ROW()-7,MATCH(T$6,DataOB[#Headers],0)),"")</f>
        <v>0</v>
      </c>
      <c r="U80" s="67">
        <f>IF($B80&lt;&gt;"",INDEX(DataOB[],FirstRow+ROW()-7,MATCH(U$6,DataOB[#Headers],0)),"")</f>
        <v>0</v>
      </c>
      <c r="V80" s="67">
        <f>IF($B80&lt;&gt;"",INDEX(DataOB[],FirstRow+ROW()-7,MATCH(V$6,DataOB[#Headers],0)),"")</f>
        <v>0</v>
      </c>
      <c r="W80" s="67">
        <f>IF($B80&lt;&gt;"",INDEX(DataOB[],FirstRow+ROW()-7,MATCH(W$6,DataOB[#Headers],0)),"")</f>
        <v>0</v>
      </c>
      <c r="X80" s="67">
        <f>IF($B80&lt;&gt;"",INDEX(DataOB[],FirstRow+ROW()-7,MATCH(X$6,DataOB[#Headers],0)),"")</f>
        <v>0</v>
      </c>
      <c r="Y80" s="67">
        <f>IF($B80&lt;&gt;"",INDEX(DataOB[],FirstRow+ROW()-7,MATCH(Y$6,DataOB[#Headers],0)),"")</f>
        <v>0</v>
      </c>
      <c r="Z80" s="67">
        <f>IF($B80&lt;&gt;"",INDEX(DataOB[],FirstRow+ROW()-7,MATCH(Z$6,DataOB[#Headers],0)),"")</f>
        <v>0</v>
      </c>
      <c r="AA80" s="67">
        <f>IF($B80&lt;&gt;"",INDEX(DataOB[],FirstRow+ROW()-7,MATCH(AA$6,DataOB[#Headers],0)),"")</f>
        <v>0</v>
      </c>
      <c r="AB80" s="67">
        <f>IF($B80&lt;&gt;"",INDEX(DataOB[],FirstRow+ROW()-7,MATCH(AB$6,DataOB[#Headers],0)),"")</f>
        <v>0</v>
      </c>
      <c r="AC80" s="67">
        <f>IF($B80&lt;&gt;"",INDEX(DataOB[],FirstRow+ROW()-7,MATCH(AC$6,DataOB[#Headers],0)),"")</f>
        <v>0</v>
      </c>
      <c r="AD80" s="67">
        <f>IF($B80&lt;&gt;"",INDEX(DataOB[],FirstRow+ROW()-7,MATCH(AD$6,DataOB[#Headers],0)),"")</f>
        <v>14</v>
      </c>
      <c r="AE80" s="67">
        <f>IF($B80&lt;&gt;"",INDEX(DataOB[],FirstRow+ROW()-7,MATCH(AE$6,DataOB[#Headers],0)),"")</f>
        <v>0</v>
      </c>
      <c r="AF80" s="26">
        <f t="shared" si="23"/>
        <v>14</v>
      </c>
      <c r="AG80" s="31">
        <f>SUM($T80:T80)</f>
        <v>0</v>
      </c>
      <c r="AH80" s="31">
        <f>SUM($T80:U80)</f>
        <v>0</v>
      </c>
      <c r="AI80" s="31">
        <f>SUM($T80:V80)</f>
        <v>0</v>
      </c>
      <c r="AJ80" s="31">
        <f>SUM($T80:W80)</f>
        <v>0</v>
      </c>
      <c r="AK80" s="31">
        <f>SUM($T80:X80)</f>
        <v>0</v>
      </c>
      <c r="AL80" s="31">
        <f>SUM($T80:Y80)</f>
        <v>0</v>
      </c>
      <c r="AM80" s="31">
        <f>SUM($T80:Z80)</f>
        <v>0</v>
      </c>
      <c r="AN80" s="31">
        <f>SUM($T80:AA80)</f>
        <v>0</v>
      </c>
      <c r="AO80" s="31">
        <f>SUM($T80:AB80)</f>
        <v>0</v>
      </c>
      <c r="AP80" s="31">
        <f>SUM($T80:AC80)</f>
        <v>0</v>
      </c>
      <c r="AQ80" s="31">
        <f>SUM($T80:AD80)</f>
        <v>14</v>
      </c>
      <c r="AR80" s="31">
        <f>SUM($T80:AE80)</f>
        <v>14</v>
      </c>
      <c r="AS80" s="27">
        <f t="shared" si="24"/>
        <v>0</v>
      </c>
    </row>
    <row r="81" spans="2:45">
      <c r="B81" s="156">
        <f>IF(ROW()-6&gt;NumCostCenter,"",IF(CostCenter&lt;&gt;"ALL",CostCenter,DATA_LF2!B79))</f>
        <v>3211</v>
      </c>
      <c r="C81" s="153">
        <f>IF($B81&lt;&gt;"",INDEX(DataOB[],FirstRow+ROW()-7,2),"")</f>
        <v>3211</v>
      </c>
      <c r="D81" s="157" t="str">
        <f>IF($B81&lt;&gt;"",INDEX(DataOB[],FirstRow+ROW()-7,3),"")</f>
        <v>TBD</v>
      </c>
      <c r="E81" s="158">
        <f>IF($B81&lt;&gt;"",INDEX(DataOB[],FirstRow+ROW()-7,6),"")</f>
        <v>0</v>
      </c>
      <c r="F81" s="158" t="str">
        <f>IF($B81&lt;&gt;"",INDEX(DataOB[],FirstRow+ROW()-7,5),"")</f>
        <v>3-point verify for BB#4</v>
      </c>
      <c r="G81" s="58">
        <f>IF($B81&lt;&gt;"",SUMIFS(DataAct_tbl[AMOUNT],DataAct_tbl[BG CODE],Detail!$D81,DataAct_tbl[MONTH],LEFT(MonthName,3),DataAct_tbl[Dept code],$B81),0)</f>
        <v>0</v>
      </c>
      <c r="H81" s="31">
        <f t="shared" si="16"/>
        <v>0</v>
      </c>
      <c r="I81" s="28">
        <f t="shared" si="17"/>
        <v>0</v>
      </c>
      <c r="J81" s="32" t="str">
        <f t="shared" si="18"/>
        <v xml:space="preserve"> </v>
      </c>
      <c r="K81" s="86"/>
      <c r="L81" s="62">
        <f>IF($B81&lt;&gt;"",SUMIFS(DataAct_tbl[AMOUNT],DataAct_tbl[BG CODE],Detail!$D81,DataAct_tbl[Check Range],"=true",DataAct_tbl[Dept code],$B81),0)</f>
        <v>0</v>
      </c>
      <c r="M81" s="63">
        <f>INDEX($AG$7:$AR$1005,ROW()-6,MATCH(MTD,$AG$6:$AR$6,0))</f>
        <v>0</v>
      </c>
      <c r="N81" s="34">
        <f t="shared" si="19"/>
        <v>0</v>
      </c>
      <c r="O81" s="64" t="str">
        <f t="shared" si="20"/>
        <v xml:space="preserve"> </v>
      </c>
      <c r="Q81" s="97">
        <f t="shared" si="21"/>
        <v>22.5</v>
      </c>
      <c r="R81" s="96">
        <f t="shared" si="22"/>
        <v>22.5</v>
      </c>
      <c r="T81" s="67">
        <f>IF($B81&lt;&gt;"",INDEX(DataOB[],FirstRow+ROW()-7,MATCH(T$6,DataOB[#Headers],0)),"")</f>
        <v>0</v>
      </c>
      <c r="U81" s="67">
        <f>IF($B81&lt;&gt;"",INDEX(DataOB[],FirstRow+ROW()-7,MATCH(U$6,DataOB[#Headers],0)),"")</f>
        <v>0</v>
      </c>
      <c r="V81" s="67">
        <f>IF($B81&lt;&gt;"",INDEX(DataOB[],FirstRow+ROW()-7,MATCH(V$6,DataOB[#Headers],0)),"")</f>
        <v>0</v>
      </c>
      <c r="W81" s="67">
        <f>IF($B81&lt;&gt;"",INDEX(DataOB[],FirstRow+ROW()-7,MATCH(W$6,DataOB[#Headers],0)),"")</f>
        <v>0</v>
      </c>
      <c r="X81" s="67">
        <f>IF($B81&lt;&gt;"",INDEX(DataOB[],FirstRow+ROW()-7,MATCH(X$6,DataOB[#Headers],0)),"")</f>
        <v>0</v>
      </c>
      <c r="Y81" s="67">
        <f>IF($B81&lt;&gt;"",INDEX(DataOB[],FirstRow+ROW()-7,MATCH(Y$6,DataOB[#Headers],0)),"")</f>
        <v>0</v>
      </c>
      <c r="Z81" s="67">
        <f>IF($B81&lt;&gt;"",INDEX(DataOB[],FirstRow+ROW()-7,MATCH(Z$6,DataOB[#Headers],0)),"")</f>
        <v>0</v>
      </c>
      <c r="AA81" s="67">
        <f>IF($B81&lt;&gt;"",INDEX(DataOB[],FirstRow+ROW()-7,MATCH(AA$6,DataOB[#Headers],0)),"")</f>
        <v>0</v>
      </c>
      <c r="AB81" s="67">
        <f>IF($B81&lt;&gt;"",INDEX(DataOB[],FirstRow+ROW()-7,MATCH(AB$6,DataOB[#Headers],0)),"")</f>
        <v>22.5</v>
      </c>
      <c r="AC81" s="67">
        <f>IF($B81&lt;&gt;"",INDEX(DataOB[],FirstRow+ROW()-7,MATCH(AC$6,DataOB[#Headers],0)),"")</f>
        <v>0</v>
      </c>
      <c r="AD81" s="67">
        <f>IF($B81&lt;&gt;"",INDEX(DataOB[],FirstRow+ROW()-7,MATCH(AD$6,DataOB[#Headers],0)),"")</f>
        <v>0</v>
      </c>
      <c r="AE81" s="67">
        <f>IF($B81&lt;&gt;"",INDEX(DataOB[],FirstRow+ROW()-7,MATCH(AE$6,DataOB[#Headers],0)),"")</f>
        <v>0</v>
      </c>
      <c r="AF81" s="26">
        <f t="shared" si="23"/>
        <v>22.5</v>
      </c>
      <c r="AG81" s="31">
        <f>SUM($T81:T81)</f>
        <v>0</v>
      </c>
      <c r="AH81" s="31">
        <f>SUM($T81:U81)</f>
        <v>0</v>
      </c>
      <c r="AI81" s="31">
        <f>SUM($T81:V81)</f>
        <v>0</v>
      </c>
      <c r="AJ81" s="31">
        <f>SUM($T81:W81)</f>
        <v>0</v>
      </c>
      <c r="AK81" s="31">
        <f>SUM($T81:X81)</f>
        <v>0</v>
      </c>
      <c r="AL81" s="31">
        <f>SUM($T81:Y81)</f>
        <v>0</v>
      </c>
      <c r="AM81" s="31">
        <f>SUM($T81:Z81)</f>
        <v>0</v>
      </c>
      <c r="AN81" s="31">
        <f>SUM($T81:AA81)</f>
        <v>0</v>
      </c>
      <c r="AO81" s="31">
        <f>SUM($T81:AB81)</f>
        <v>22.5</v>
      </c>
      <c r="AP81" s="31">
        <f>SUM($T81:AC81)</f>
        <v>22.5</v>
      </c>
      <c r="AQ81" s="31">
        <f>SUM($T81:AD81)</f>
        <v>22.5</v>
      </c>
      <c r="AR81" s="31">
        <f>SUM($T81:AE81)</f>
        <v>22.5</v>
      </c>
      <c r="AS81" s="27">
        <f t="shared" si="24"/>
        <v>0</v>
      </c>
    </row>
    <row r="82" spans="2:45">
      <c r="B82" s="156">
        <f>IF(ROW()-6&gt;NumCostCenter,"",IF(CostCenter&lt;&gt;"ALL",CostCenter,DATA_LF2!B80))</f>
        <v>3211</v>
      </c>
      <c r="C82" s="153">
        <f>IF($B82&lt;&gt;"",INDEX(DataOB[],FirstRow+ROW()-7,2),"")</f>
        <v>3211</v>
      </c>
      <c r="D82" s="157" t="str">
        <f>IF($B82&lt;&gt;"",INDEX(DataOB[],FirstRow+ROW()-7,3),"")</f>
        <v>ME00542</v>
      </c>
      <c r="E82" s="158">
        <f>IF($B82&lt;&gt;"",INDEX(DataOB[],FirstRow+ROW()-7,6),"")</f>
        <v>0</v>
      </c>
      <c r="F82" s="158" t="str">
        <f>IF($B82&lt;&gt;"",INDEX(DataOB[],FirstRow+ROW()-7,5),"")</f>
        <v>Prevent CB contamination (China trouble) by controlling the status (open/close) of Hopper mouth cover</v>
      </c>
      <c r="G82" s="58">
        <f>IF($B82&lt;&gt;"",SUMIFS(DataAct_tbl[AMOUNT],DataAct_tbl[BG CODE],Detail!$D82,DataAct_tbl[MONTH],LEFT(MonthName,3),DataAct_tbl[Dept code],$B82),0)</f>
        <v>23.448560000000001</v>
      </c>
      <c r="H82" s="31">
        <f t="shared" si="16"/>
        <v>0</v>
      </c>
      <c r="I82" s="28">
        <f t="shared" si="17"/>
        <v>23.448560000000001</v>
      </c>
      <c r="J82" s="32" t="str">
        <f t="shared" si="18"/>
        <v xml:space="preserve"> </v>
      </c>
      <c r="K82" s="86"/>
      <c r="L82" s="62">
        <f>IF($B82&lt;&gt;"",SUMIFS(DataAct_tbl[AMOUNT],DataAct_tbl[BG CODE],Detail!$D82,DataAct_tbl[Check Range],"=true",DataAct_tbl[Dept code],$B82),0)</f>
        <v>23.448560000000001</v>
      </c>
      <c r="M82" s="63">
        <f>INDEX($AG$7:$AR$1005,ROW()-6,MATCH(MTD,$AG$6:$AR$6,0))</f>
        <v>0</v>
      </c>
      <c r="N82" s="34">
        <f t="shared" si="19"/>
        <v>23.448560000000001</v>
      </c>
      <c r="O82" s="64" t="str">
        <f t="shared" si="20"/>
        <v xml:space="preserve"> </v>
      </c>
      <c r="Q82" s="97">
        <f t="shared" si="21"/>
        <v>36</v>
      </c>
      <c r="R82" s="96">
        <f t="shared" si="22"/>
        <v>12.551439999999999</v>
      </c>
      <c r="T82" s="67">
        <f>IF($B82&lt;&gt;"",INDEX(DataOB[],FirstRow+ROW()-7,MATCH(T$6,DataOB[#Headers],0)),"")</f>
        <v>0</v>
      </c>
      <c r="U82" s="67">
        <f>IF($B82&lt;&gt;"",INDEX(DataOB[],FirstRow+ROW()-7,MATCH(U$6,DataOB[#Headers],0)),"")</f>
        <v>0</v>
      </c>
      <c r="V82" s="67">
        <f>IF($B82&lt;&gt;"",INDEX(DataOB[],FirstRow+ROW()-7,MATCH(V$6,DataOB[#Headers],0)),"")</f>
        <v>0</v>
      </c>
      <c r="W82" s="67">
        <f>IF($B82&lt;&gt;"",INDEX(DataOB[],FirstRow+ROW()-7,MATCH(W$6,DataOB[#Headers],0)),"")</f>
        <v>0</v>
      </c>
      <c r="X82" s="67">
        <f>IF($B82&lt;&gt;"",INDEX(DataOB[],FirstRow+ROW()-7,MATCH(X$6,DataOB[#Headers],0)),"")</f>
        <v>0</v>
      </c>
      <c r="Y82" s="67">
        <f>IF($B82&lt;&gt;"",INDEX(DataOB[],FirstRow+ROW()-7,MATCH(Y$6,DataOB[#Headers],0)),"")</f>
        <v>0</v>
      </c>
      <c r="Z82" s="67">
        <f>IF($B82&lt;&gt;"",INDEX(DataOB[],FirstRow+ROW()-7,MATCH(Z$6,DataOB[#Headers],0)),"")</f>
        <v>0</v>
      </c>
      <c r="AA82" s="67">
        <f>IF($B82&lt;&gt;"",INDEX(DataOB[],FirstRow+ROW()-7,MATCH(AA$6,DataOB[#Headers],0)),"")</f>
        <v>36</v>
      </c>
      <c r="AB82" s="67">
        <f>IF($B82&lt;&gt;"",INDEX(DataOB[],FirstRow+ROW()-7,MATCH(AB$6,DataOB[#Headers],0)),"")</f>
        <v>0</v>
      </c>
      <c r="AC82" s="67">
        <f>IF($B82&lt;&gt;"",INDEX(DataOB[],FirstRow+ROW()-7,MATCH(AC$6,DataOB[#Headers],0)),"")</f>
        <v>0</v>
      </c>
      <c r="AD82" s="67">
        <f>IF($B82&lt;&gt;"",INDEX(DataOB[],FirstRow+ROW()-7,MATCH(AD$6,DataOB[#Headers],0)),"")</f>
        <v>0</v>
      </c>
      <c r="AE82" s="67">
        <f>IF($B82&lt;&gt;"",INDEX(DataOB[],FirstRow+ROW()-7,MATCH(AE$6,DataOB[#Headers],0)),"")</f>
        <v>0</v>
      </c>
      <c r="AF82" s="26">
        <f t="shared" si="23"/>
        <v>36</v>
      </c>
      <c r="AG82" s="31">
        <f>SUM($T82:T82)</f>
        <v>0</v>
      </c>
      <c r="AH82" s="31">
        <f>SUM($T82:U82)</f>
        <v>0</v>
      </c>
      <c r="AI82" s="31">
        <f>SUM($T82:V82)</f>
        <v>0</v>
      </c>
      <c r="AJ82" s="31">
        <f>SUM($T82:W82)</f>
        <v>0</v>
      </c>
      <c r="AK82" s="31">
        <f>SUM($T82:X82)</f>
        <v>0</v>
      </c>
      <c r="AL82" s="31">
        <f>SUM($T82:Y82)</f>
        <v>0</v>
      </c>
      <c r="AM82" s="31">
        <f>SUM($T82:Z82)</f>
        <v>0</v>
      </c>
      <c r="AN82" s="31">
        <f>SUM($T82:AA82)</f>
        <v>36</v>
      </c>
      <c r="AO82" s="31">
        <f>SUM($T82:AB82)</f>
        <v>36</v>
      </c>
      <c r="AP82" s="31">
        <f>SUM($T82:AC82)</f>
        <v>36</v>
      </c>
      <c r="AQ82" s="31">
        <f>SUM($T82:AD82)</f>
        <v>36</v>
      </c>
      <c r="AR82" s="31">
        <f>SUM($T82:AE82)</f>
        <v>36</v>
      </c>
      <c r="AS82" s="27">
        <f t="shared" si="24"/>
        <v>0</v>
      </c>
    </row>
    <row r="83" spans="2:45">
      <c r="B83" s="156">
        <f>IF(ROW()-6&gt;NumCostCenter,"",IF(CostCenter&lt;&gt;"ALL",CostCenter,DATA_LF2!B81))</f>
        <v>3211</v>
      </c>
      <c r="C83" s="153">
        <f>IF($B83&lt;&gt;"",INDEX(DataOB[],FirstRow+ROW()-7,2),"")</f>
        <v>3211</v>
      </c>
      <c r="D83" s="157" t="str">
        <f>IF($B83&lt;&gt;"",INDEX(DataOB[],FirstRow+ROW()-7,3),"")</f>
        <v>TBD</v>
      </c>
      <c r="E83" s="158">
        <f>IF($B83&lt;&gt;"",INDEX(DataOB[],FirstRow+ROW()-7,6),"")</f>
        <v>0</v>
      </c>
      <c r="F83" s="158" t="str">
        <f>IF($B83&lt;&gt;"",INDEX(DataOB[],FirstRow+ROW()-7,5),"")</f>
        <v>Carbon recycle verify system</v>
      </c>
      <c r="G83" s="58">
        <f>IF($B83&lt;&gt;"",SUMIFS(DataAct_tbl[AMOUNT],DataAct_tbl[BG CODE],Detail!$D83,DataAct_tbl[MONTH],LEFT(MonthName,3),DataAct_tbl[Dept code],$B83),0)</f>
        <v>0</v>
      </c>
      <c r="H83" s="31">
        <f t="shared" si="16"/>
        <v>0</v>
      </c>
      <c r="I83" s="28">
        <f t="shared" si="17"/>
        <v>0</v>
      </c>
      <c r="J83" s="32" t="str">
        <f t="shared" si="18"/>
        <v xml:space="preserve"> </v>
      </c>
      <c r="K83" s="86"/>
      <c r="L83" s="62">
        <f>IF($B83&lt;&gt;"",SUMIFS(DataAct_tbl[AMOUNT],DataAct_tbl[BG CODE],Detail!$D83,DataAct_tbl[Check Range],"=true",DataAct_tbl[Dept code],$B83),0)</f>
        <v>0</v>
      </c>
      <c r="M83" s="63">
        <f>INDEX($AG$7:$AR$1005,ROW()-6,MATCH(MTD,$AG$6:$AR$6,0))</f>
        <v>0</v>
      </c>
      <c r="N83" s="34">
        <f t="shared" si="19"/>
        <v>0</v>
      </c>
      <c r="O83" s="64" t="str">
        <f t="shared" si="20"/>
        <v xml:space="preserve"> </v>
      </c>
      <c r="Q83" s="97">
        <f t="shared" si="21"/>
        <v>54</v>
      </c>
      <c r="R83" s="96">
        <f t="shared" si="22"/>
        <v>54</v>
      </c>
      <c r="T83" s="67">
        <f>IF($B83&lt;&gt;"",INDEX(DataOB[],FirstRow+ROW()-7,MATCH(T$6,DataOB[#Headers],0)),"")</f>
        <v>0</v>
      </c>
      <c r="U83" s="67">
        <f>IF($B83&lt;&gt;"",INDEX(DataOB[],FirstRow+ROW()-7,MATCH(U$6,DataOB[#Headers],0)),"")</f>
        <v>0</v>
      </c>
      <c r="V83" s="67">
        <f>IF($B83&lt;&gt;"",INDEX(DataOB[],FirstRow+ROW()-7,MATCH(V$6,DataOB[#Headers],0)),"")</f>
        <v>0</v>
      </c>
      <c r="W83" s="67">
        <f>IF($B83&lt;&gt;"",INDEX(DataOB[],FirstRow+ROW()-7,MATCH(W$6,DataOB[#Headers],0)),"")</f>
        <v>0</v>
      </c>
      <c r="X83" s="67">
        <f>IF($B83&lt;&gt;"",INDEX(DataOB[],FirstRow+ROW()-7,MATCH(X$6,DataOB[#Headers],0)),"")</f>
        <v>0</v>
      </c>
      <c r="Y83" s="67">
        <f>IF($B83&lt;&gt;"",INDEX(DataOB[],FirstRow+ROW()-7,MATCH(Y$6,DataOB[#Headers],0)),"")</f>
        <v>0</v>
      </c>
      <c r="Z83" s="67">
        <f>IF($B83&lt;&gt;"",INDEX(DataOB[],FirstRow+ROW()-7,MATCH(Z$6,DataOB[#Headers],0)),"")</f>
        <v>0</v>
      </c>
      <c r="AA83" s="67">
        <f>IF($B83&lt;&gt;"",INDEX(DataOB[],FirstRow+ROW()-7,MATCH(AA$6,DataOB[#Headers],0)),"")</f>
        <v>0</v>
      </c>
      <c r="AB83" s="67">
        <f>IF($B83&lt;&gt;"",INDEX(DataOB[],FirstRow+ROW()-7,MATCH(AB$6,DataOB[#Headers],0)),"")</f>
        <v>0</v>
      </c>
      <c r="AC83" s="67">
        <f>IF($B83&lt;&gt;"",INDEX(DataOB[],FirstRow+ROW()-7,MATCH(AC$6,DataOB[#Headers],0)),"")</f>
        <v>0</v>
      </c>
      <c r="AD83" s="67">
        <f>IF($B83&lt;&gt;"",INDEX(DataOB[],FirstRow+ROW()-7,MATCH(AD$6,DataOB[#Headers],0)),"")</f>
        <v>0</v>
      </c>
      <c r="AE83" s="67">
        <f>IF($B83&lt;&gt;"",INDEX(DataOB[],FirstRow+ROW()-7,MATCH(AE$6,DataOB[#Headers],0)),"")</f>
        <v>54</v>
      </c>
      <c r="AF83" s="26">
        <f t="shared" si="23"/>
        <v>54</v>
      </c>
      <c r="AG83" s="31">
        <f>SUM($T83:T83)</f>
        <v>0</v>
      </c>
      <c r="AH83" s="31">
        <f>SUM($T83:U83)</f>
        <v>0</v>
      </c>
      <c r="AI83" s="31">
        <f>SUM($T83:V83)</f>
        <v>0</v>
      </c>
      <c r="AJ83" s="31">
        <f>SUM($T83:W83)</f>
        <v>0</v>
      </c>
      <c r="AK83" s="31">
        <f>SUM($T83:X83)</f>
        <v>0</v>
      </c>
      <c r="AL83" s="31">
        <f>SUM($T83:Y83)</f>
        <v>0</v>
      </c>
      <c r="AM83" s="31">
        <f>SUM($T83:Z83)</f>
        <v>0</v>
      </c>
      <c r="AN83" s="31">
        <f>SUM($T83:AA83)</f>
        <v>0</v>
      </c>
      <c r="AO83" s="31">
        <f>SUM($T83:AB83)</f>
        <v>0</v>
      </c>
      <c r="AP83" s="31">
        <f>SUM($T83:AC83)</f>
        <v>0</v>
      </c>
      <c r="AQ83" s="31">
        <f>SUM($T83:AD83)</f>
        <v>0</v>
      </c>
      <c r="AR83" s="31">
        <f>SUM($T83:AE83)</f>
        <v>54</v>
      </c>
      <c r="AS83" s="27">
        <f t="shared" si="24"/>
        <v>0</v>
      </c>
    </row>
    <row r="84" spans="2:45">
      <c r="B84" s="156">
        <f>IF(ROW()-6&gt;NumCostCenter,"",IF(CostCenter&lt;&gt;"ALL",CostCenter,DATA_LF2!B82))</f>
        <v>3211</v>
      </c>
      <c r="C84" s="153">
        <f>IF($B84&lt;&gt;"",INDEX(DataOB[],FirstRow+ROW()-7,2),"")</f>
        <v>3211</v>
      </c>
      <c r="D84" s="157" t="str">
        <f>IF($B84&lt;&gt;"",INDEX(DataOB[],FirstRow+ROW()-7,3),"")</f>
        <v>TBD</v>
      </c>
      <c r="E84" s="158">
        <f>IF($B84&lt;&gt;"",INDEX(DataOB[],FirstRow+ROW()-7,6),"")</f>
        <v>0</v>
      </c>
      <c r="F84" s="158" t="str">
        <f>IF($B84&lt;&gt;"",INDEX(DataOB[],FirstRow+ROW()-7,5),"")</f>
        <v>TMA50% for remain BB (#1, #2, #3, #4)</v>
      </c>
      <c r="G84" s="58">
        <f>IF($B84&lt;&gt;"",SUMIFS(DataAct_tbl[AMOUNT],DataAct_tbl[BG CODE],Detail!$D84,DataAct_tbl[MONTH],LEFT(MonthName,3),DataAct_tbl[Dept code],$B84),0)</f>
        <v>0</v>
      </c>
      <c r="H84" s="31">
        <f t="shared" si="16"/>
        <v>0</v>
      </c>
      <c r="I84" s="28">
        <f t="shared" si="17"/>
        <v>0</v>
      </c>
      <c r="J84" s="32" t="str">
        <f t="shared" si="18"/>
        <v xml:space="preserve"> </v>
      </c>
      <c r="K84" s="86"/>
      <c r="L84" s="62">
        <f>IF($B84&lt;&gt;"",SUMIFS(DataAct_tbl[AMOUNT],DataAct_tbl[BG CODE],Detail!$D84,DataAct_tbl[Check Range],"=true",DataAct_tbl[Dept code],$B84),0)</f>
        <v>0</v>
      </c>
      <c r="M84" s="63">
        <f>INDEX($AG$7:$AR$1005,ROW()-6,MATCH(MTD,$AG$6:$AR$6,0))</f>
        <v>0</v>
      </c>
      <c r="N84" s="34">
        <f t="shared" si="19"/>
        <v>0</v>
      </c>
      <c r="O84" s="64" t="str">
        <f t="shared" si="20"/>
        <v xml:space="preserve"> </v>
      </c>
      <c r="Q84" s="97">
        <f t="shared" si="21"/>
        <v>0</v>
      </c>
      <c r="R84" s="96">
        <f t="shared" si="22"/>
        <v>0</v>
      </c>
      <c r="T84" s="67">
        <f>IF($B84&lt;&gt;"",INDEX(DataOB[],FirstRow+ROW()-7,MATCH(T$6,DataOB[#Headers],0)),"")</f>
        <v>0</v>
      </c>
      <c r="U84" s="67">
        <f>IF($B84&lt;&gt;"",INDEX(DataOB[],FirstRow+ROW()-7,MATCH(U$6,DataOB[#Headers],0)),"")</f>
        <v>0</v>
      </c>
      <c r="V84" s="67">
        <f>IF($B84&lt;&gt;"",INDEX(DataOB[],FirstRow+ROW()-7,MATCH(V$6,DataOB[#Headers],0)),"")</f>
        <v>0</v>
      </c>
      <c r="W84" s="67">
        <f>IF($B84&lt;&gt;"",INDEX(DataOB[],FirstRow+ROW()-7,MATCH(W$6,DataOB[#Headers],0)),"")</f>
        <v>0</v>
      </c>
      <c r="X84" s="67">
        <f>IF($B84&lt;&gt;"",INDEX(DataOB[],FirstRow+ROW()-7,MATCH(X$6,DataOB[#Headers],0)),"")</f>
        <v>0</v>
      </c>
      <c r="Y84" s="67">
        <f>IF($B84&lt;&gt;"",INDEX(DataOB[],FirstRow+ROW()-7,MATCH(Y$6,DataOB[#Headers],0)),"")</f>
        <v>0</v>
      </c>
      <c r="Z84" s="67">
        <f>IF($B84&lt;&gt;"",INDEX(DataOB[],FirstRow+ROW()-7,MATCH(Z$6,DataOB[#Headers],0)),"")</f>
        <v>0</v>
      </c>
      <c r="AA84" s="67">
        <f>IF($B84&lt;&gt;"",INDEX(DataOB[],FirstRow+ROW()-7,MATCH(AA$6,DataOB[#Headers],0)),"")</f>
        <v>0</v>
      </c>
      <c r="AB84" s="67">
        <f>IF($B84&lt;&gt;"",INDEX(DataOB[],FirstRow+ROW()-7,MATCH(AB$6,DataOB[#Headers],0)),"")</f>
        <v>0</v>
      </c>
      <c r="AC84" s="67">
        <f>IF($B84&lt;&gt;"",INDEX(DataOB[],FirstRow+ROW()-7,MATCH(AC$6,DataOB[#Headers],0)),"")</f>
        <v>0</v>
      </c>
      <c r="AD84" s="67">
        <f>IF($B84&lt;&gt;"",INDEX(DataOB[],FirstRow+ROW()-7,MATCH(AD$6,DataOB[#Headers],0)),"")</f>
        <v>0</v>
      </c>
      <c r="AE84" s="67">
        <f>IF($B84&lt;&gt;"",INDEX(DataOB[],FirstRow+ROW()-7,MATCH(AE$6,DataOB[#Headers],0)),"")</f>
        <v>0</v>
      </c>
      <c r="AF84" s="26">
        <f t="shared" si="23"/>
        <v>0</v>
      </c>
      <c r="AG84" s="31">
        <f>SUM($T84:T84)</f>
        <v>0</v>
      </c>
      <c r="AH84" s="31">
        <f>SUM($T84:U84)</f>
        <v>0</v>
      </c>
      <c r="AI84" s="31">
        <f>SUM($T84:V84)</f>
        <v>0</v>
      </c>
      <c r="AJ84" s="31">
        <f>SUM($T84:W84)</f>
        <v>0</v>
      </c>
      <c r="AK84" s="31">
        <f>SUM($T84:X84)</f>
        <v>0</v>
      </c>
      <c r="AL84" s="31">
        <f>SUM($T84:Y84)</f>
        <v>0</v>
      </c>
      <c r="AM84" s="31">
        <f>SUM($T84:Z84)</f>
        <v>0</v>
      </c>
      <c r="AN84" s="31">
        <f>SUM($T84:AA84)</f>
        <v>0</v>
      </c>
      <c r="AO84" s="31">
        <f>SUM($T84:AB84)</f>
        <v>0</v>
      </c>
      <c r="AP84" s="31">
        <f>SUM($T84:AC84)</f>
        <v>0</v>
      </c>
      <c r="AQ84" s="31">
        <f>SUM($T84:AD84)</f>
        <v>0</v>
      </c>
      <c r="AR84" s="31">
        <f>SUM($T84:AE84)</f>
        <v>0</v>
      </c>
      <c r="AS84" s="27">
        <f t="shared" si="24"/>
        <v>0</v>
      </c>
    </row>
    <row r="85" spans="2:45">
      <c r="B85" s="156">
        <f>IF(ROW()-6&gt;NumCostCenter,"",IF(CostCenter&lt;&gt;"ALL",CostCenter,DATA_LF2!B83))</f>
        <v>3211</v>
      </c>
      <c r="C85" s="153">
        <f>IF($B85&lt;&gt;"",INDEX(DataOB[],FirstRow+ROW()-7,2),"")</f>
        <v>3211</v>
      </c>
      <c r="D85" s="157" t="str">
        <f>IF($B85&lt;&gt;"",INDEX(DataOB[],FirstRow+ROW()-7,3),"")</f>
        <v>TBD</v>
      </c>
      <c r="E85" s="158">
        <f>IF($B85&lt;&gt;"",INDEX(DataOB[],FirstRow+ROW()-7,6),"")</f>
        <v>0</v>
      </c>
      <c r="F85" s="158" t="str">
        <f>IF($B85&lt;&gt;"",INDEX(DataOB[],FirstRow+ROW()-7,5),"")</f>
        <v>ICR verify for BLD tool</v>
      </c>
      <c r="G85" s="58">
        <f>IF($B85&lt;&gt;"",SUMIFS(DataAct_tbl[AMOUNT],DataAct_tbl[BG CODE],Detail!$D85,DataAct_tbl[MONTH],LEFT(MonthName,3),DataAct_tbl[Dept code],$B85),0)</f>
        <v>0</v>
      </c>
      <c r="H85" s="31">
        <f t="shared" si="16"/>
        <v>0</v>
      </c>
      <c r="I85" s="28">
        <f t="shared" si="17"/>
        <v>0</v>
      </c>
      <c r="J85" s="32" t="str">
        <f t="shared" si="18"/>
        <v xml:space="preserve"> </v>
      </c>
      <c r="K85" s="86"/>
      <c r="L85" s="62">
        <f>IF($B85&lt;&gt;"",SUMIFS(DataAct_tbl[AMOUNT],DataAct_tbl[BG CODE],Detail!$D85,DataAct_tbl[Check Range],"=true",DataAct_tbl[Dept code],$B85),0)</f>
        <v>0</v>
      </c>
      <c r="M85" s="63">
        <f>INDEX($AG$7:$AR$1005,ROW()-6,MATCH(MTD,$AG$6:$AR$6,0))</f>
        <v>0</v>
      </c>
      <c r="N85" s="34">
        <f t="shared" si="19"/>
        <v>0</v>
      </c>
      <c r="O85" s="64" t="str">
        <f t="shared" si="20"/>
        <v xml:space="preserve"> </v>
      </c>
      <c r="Q85" s="97">
        <f t="shared" si="21"/>
        <v>20</v>
      </c>
      <c r="R85" s="96">
        <f t="shared" si="22"/>
        <v>20</v>
      </c>
      <c r="T85" s="67">
        <f>IF($B85&lt;&gt;"",INDEX(DataOB[],FirstRow+ROW()-7,MATCH(T$6,DataOB[#Headers],0)),"")</f>
        <v>0</v>
      </c>
      <c r="U85" s="67">
        <f>IF($B85&lt;&gt;"",INDEX(DataOB[],FirstRow+ROW()-7,MATCH(U$6,DataOB[#Headers],0)),"")</f>
        <v>0</v>
      </c>
      <c r="V85" s="67">
        <f>IF($B85&lt;&gt;"",INDEX(DataOB[],FirstRow+ROW()-7,MATCH(V$6,DataOB[#Headers],0)),"")</f>
        <v>0</v>
      </c>
      <c r="W85" s="67">
        <f>IF($B85&lt;&gt;"",INDEX(DataOB[],FirstRow+ROW()-7,MATCH(W$6,DataOB[#Headers],0)),"")</f>
        <v>0</v>
      </c>
      <c r="X85" s="67">
        <f>IF($B85&lt;&gt;"",INDEX(DataOB[],FirstRow+ROW()-7,MATCH(X$6,DataOB[#Headers],0)),"")</f>
        <v>0</v>
      </c>
      <c r="Y85" s="67">
        <f>IF($B85&lt;&gt;"",INDEX(DataOB[],FirstRow+ROW()-7,MATCH(Y$6,DataOB[#Headers],0)),"")</f>
        <v>0</v>
      </c>
      <c r="Z85" s="67">
        <f>IF($B85&lt;&gt;"",INDEX(DataOB[],FirstRow+ROW()-7,MATCH(Z$6,DataOB[#Headers],0)),"")</f>
        <v>0</v>
      </c>
      <c r="AA85" s="67">
        <f>IF($B85&lt;&gt;"",INDEX(DataOB[],FirstRow+ROW()-7,MATCH(AA$6,DataOB[#Headers],0)),"")</f>
        <v>0</v>
      </c>
      <c r="AB85" s="67">
        <f>IF($B85&lt;&gt;"",INDEX(DataOB[],FirstRow+ROW()-7,MATCH(AB$6,DataOB[#Headers],0)),"")</f>
        <v>0</v>
      </c>
      <c r="AC85" s="67">
        <f>IF($B85&lt;&gt;"",INDEX(DataOB[],FirstRow+ROW()-7,MATCH(AC$6,DataOB[#Headers],0)),"")</f>
        <v>0</v>
      </c>
      <c r="AD85" s="67">
        <f>IF($B85&lt;&gt;"",INDEX(DataOB[],FirstRow+ROW()-7,MATCH(AD$6,DataOB[#Headers],0)),"")</f>
        <v>20</v>
      </c>
      <c r="AE85" s="67">
        <f>IF($B85&lt;&gt;"",INDEX(DataOB[],FirstRow+ROW()-7,MATCH(AE$6,DataOB[#Headers],0)),"")</f>
        <v>0</v>
      </c>
      <c r="AF85" s="26">
        <f t="shared" si="23"/>
        <v>20</v>
      </c>
      <c r="AG85" s="31">
        <f>SUM($T85:T85)</f>
        <v>0</v>
      </c>
      <c r="AH85" s="31">
        <f>SUM($T85:U85)</f>
        <v>0</v>
      </c>
      <c r="AI85" s="31">
        <f>SUM($T85:V85)</f>
        <v>0</v>
      </c>
      <c r="AJ85" s="31">
        <f>SUM($T85:W85)</f>
        <v>0</v>
      </c>
      <c r="AK85" s="31">
        <f>SUM($T85:X85)</f>
        <v>0</v>
      </c>
      <c r="AL85" s="31">
        <f>SUM($T85:Y85)</f>
        <v>0</v>
      </c>
      <c r="AM85" s="31">
        <f>SUM($T85:Z85)</f>
        <v>0</v>
      </c>
      <c r="AN85" s="31">
        <f>SUM($T85:AA85)</f>
        <v>0</v>
      </c>
      <c r="AO85" s="31">
        <f>SUM($T85:AB85)</f>
        <v>0</v>
      </c>
      <c r="AP85" s="31">
        <f>SUM($T85:AC85)</f>
        <v>0</v>
      </c>
      <c r="AQ85" s="31">
        <f>SUM($T85:AD85)</f>
        <v>20</v>
      </c>
      <c r="AR85" s="31">
        <f>SUM($T85:AE85)</f>
        <v>20</v>
      </c>
      <c r="AS85" s="27">
        <f t="shared" si="24"/>
        <v>0</v>
      </c>
    </row>
    <row r="86" spans="2:45">
      <c r="B86" s="156">
        <f>IF(ROW()-6&gt;NumCostCenter,"",IF(CostCenter&lt;&gt;"ALL",CostCenter,DATA_LF2!B84))</f>
        <v>3211</v>
      </c>
      <c r="C86" s="153">
        <f>IF($B86&lt;&gt;"",INDEX(DataOB[],FirstRow+ROW()-7,2),"")</f>
        <v>3211</v>
      </c>
      <c r="D86" s="157" t="str">
        <f>IF($B86&lt;&gt;"",INDEX(DataOB[],FirstRow+ROW()-7,3),"")</f>
        <v>TBD</v>
      </c>
      <c r="E86" s="158">
        <f>IF($B86&lt;&gt;"",INDEX(DataOB[],FirstRow+ROW()-7,6),"")</f>
        <v>0</v>
      </c>
      <c r="F86" s="158" t="str">
        <f>IF($B86&lt;&gt;"",INDEX(DataOB[],FirstRow+ROW()-7,5),"")</f>
        <v>E-check sheet project</v>
      </c>
      <c r="G86" s="58">
        <f>IF($B86&lt;&gt;"",SUMIFS(DataAct_tbl[AMOUNT],DataAct_tbl[BG CODE],Detail!$D86,DataAct_tbl[MONTH],LEFT(MonthName,3),DataAct_tbl[Dept code],$B86),0)</f>
        <v>0</v>
      </c>
      <c r="H86" s="31">
        <f t="shared" si="16"/>
        <v>0</v>
      </c>
      <c r="I86" s="28">
        <f t="shared" si="17"/>
        <v>0</v>
      </c>
      <c r="J86" s="32" t="str">
        <f t="shared" si="18"/>
        <v xml:space="preserve"> </v>
      </c>
      <c r="K86" s="86"/>
      <c r="L86" s="62">
        <f>IF($B86&lt;&gt;"",SUMIFS(DataAct_tbl[AMOUNT],DataAct_tbl[BG CODE],Detail!$D86,DataAct_tbl[Check Range],"=true",DataAct_tbl[Dept code],$B86),0)</f>
        <v>0</v>
      </c>
      <c r="M86" s="63">
        <f>INDEX($AG$7:$AR$1005,ROW()-6,MATCH(MTD,$AG$6:$AR$6,0))</f>
        <v>0</v>
      </c>
      <c r="N86" s="34">
        <f t="shared" si="19"/>
        <v>0</v>
      </c>
      <c r="O86" s="64" t="str">
        <f t="shared" si="20"/>
        <v xml:space="preserve"> </v>
      </c>
      <c r="Q86" s="97">
        <f t="shared" si="21"/>
        <v>54</v>
      </c>
      <c r="R86" s="96">
        <f t="shared" si="22"/>
        <v>54</v>
      </c>
      <c r="T86" s="67">
        <f>IF($B86&lt;&gt;"",INDEX(DataOB[],FirstRow+ROW()-7,MATCH(T$6,DataOB[#Headers],0)),"")</f>
        <v>0</v>
      </c>
      <c r="U86" s="67">
        <f>IF($B86&lt;&gt;"",INDEX(DataOB[],FirstRow+ROW()-7,MATCH(U$6,DataOB[#Headers],0)),"")</f>
        <v>0</v>
      </c>
      <c r="V86" s="67">
        <f>IF($B86&lt;&gt;"",INDEX(DataOB[],FirstRow+ROW()-7,MATCH(V$6,DataOB[#Headers],0)),"")</f>
        <v>0</v>
      </c>
      <c r="W86" s="67">
        <f>IF($B86&lt;&gt;"",INDEX(DataOB[],FirstRow+ROW()-7,MATCH(W$6,DataOB[#Headers],0)),"")</f>
        <v>0</v>
      </c>
      <c r="X86" s="67">
        <f>IF($B86&lt;&gt;"",INDEX(DataOB[],FirstRow+ROW()-7,MATCH(X$6,DataOB[#Headers],0)),"")</f>
        <v>0</v>
      </c>
      <c r="Y86" s="67">
        <f>IF($B86&lt;&gt;"",INDEX(DataOB[],FirstRow+ROW()-7,MATCH(Y$6,DataOB[#Headers],0)),"")</f>
        <v>0</v>
      </c>
      <c r="Z86" s="67">
        <f>IF($B86&lt;&gt;"",INDEX(DataOB[],FirstRow+ROW()-7,MATCH(Z$6,DataOB[#Headers],0)),"")</f>
        <v>0</v>
      </c>
      <c r="AA86" s="67">
        <f>IF($B86&lt;&gt;"",INDEX(DataOB[],FirstRow+ROW()-7,MATCH(AA$6,DataOB[#Headers],0)),"")</f>
        <v>0</v>
      </c>
      <c r="AB86" s="67">
        <f>IF($B86&lt;&gt;"",INDEX(DataOB[],FirstRow+ROW()-7,MATCH(AB$6,DataOB[#Headers],0)),"")</f>
        <v>0</v>
      </c>
      <c r="AC86" s="67">
        <f>IF($B86&lt;&gt;"",INDEX(DataOB[],FirstRow+ROW()-7,MATCH(AC$6,DataOB[#Headers],0)),"")</f>
        <v>54</v>
      </c>
      <c r="AD86" s="67">
        <f>IF($B86&lt;&gt;"",INDEX(DataOB[],FirstRow+ROW()-7,MATCH(AD$6,DataOB[#Headers],0)),"")</f>
        <v>0</v>
      </c>
      <c r="AE86" s="67">
        <f>IF($B86&lt;&gt;"",INDEX(DataOB[],FirstRow+ROW()-7,MATCH(AE$6,DataOB[#Headers],0)),"")</f>
        <v>0</v>
      </c>
      <c r="AF86" s="26">
        <f t="shared" si="23"/>
        <v>54</v>
      </c>
      <c r="AG86" s="31">
        <f>SUM($T86:T86)</f>
        <v>0</v>
      </c>
      <c r="AH86" s="31">
        <f>SUM($T86:U86)</f>
        <v>0</v>
      </c>
      <c r="AI86" s="31">
        <f>SUM($T86:V86)</f>
        <v>0</v>
      </c>
      <c r="AJ86" s="31">
        <f>SUM($T86:W86)</f>
        <v>0</v>
      </c>
      <c r="AK86" s="31">
        <f>SUM($T86:X86)</f>
        <v>0</v>
      </c>
      <c r="AL86" s="31">
        <f>SUM($T86:Y86)</f>
        <v>0</v>
      </c>
      <c r="AM86" s="31">
        <f>SUM($T86:Z86)</f>
        <v>0</v>
      </c>
      <c r="AN86" s="31">
        <f>SUM($T86:AA86)</f>
        <v>0</v>
      </c>
      <c r="AO86" s="31">
        <f>SUM($T86:AB86)</f>
        <v>0</v>
      </c>
      <c r="AP86" s="31">
        <f>SUM($T86:AC86)</f>
        <v>54</v>
      </c>
      <c r="AQ86" s="31">
        <f>SUM($T86:AD86)</f>
        <v>54</v>
      </c>
      <c r="AR86" s="31">
        <f>SUM($T86:AE86)</f>
        <v>54</v>
      </c>
      <c r="AS86" s="27">
        <f t="shared" si="24"/>
        <v>0</v>
      </c>
    </row>
    <row r="87" spans="2:45">
      <c r="B87" s="156">
        <f>IF(ROW()-6&gt;NumCostCenter,"",IF(CostCenter&lt;&gt;"ALL",CostCenter,DATA_LF2!B85))</f>
        <v>3211</v>
      </c>
      <c r="C87" s="153">
        <f>IF($B87&lt;&gt;"",INDEX(DataOB[],FirstRow+ROW()-7,2),"")</f>
        <v>3211</v>
      </c>
      <c r="D87" s="157" t="str">
        <f>IF($B87&lt;&gt;"",INDEX(DataOB[],FirstRow+ROW()-7,3),"")</f>
        <v>TBD</v>
      </c>
      <c r="E87" s="158">
        <f>IF($B87&lt;&gt;"",INDEX(DataOB[],FirstRow+ROW()-7,6),"")</f>
        <v>0</v>
      </c>
      <c r="F87" s="158" t="str">
        <f>IF($B87&lt;&gt;"",INDEX(DataOB[],FirstRow+ROW()-7,5),"")</f>
        <v>Curing tool verification uprgrade</v>
      </c>
      <c r="G87" s="58">
        <f>IF($B87&lt;&gt;"",SUMIFS(DataAct_tbl[AMOUNT],DataAct_tbl[BG CODE],Detail!$D87,DataAct_tbl[MONTH],LEFT(MonthName,3),DataAct_tbl[Dept code],$B87),0)</f>
        <v>0</v>
      </c>
      <c r="H87" s="31">
        <f t="shared" si="16"/>
        <v>0</v>
      </c>
      <c r="I87" s="28">
        <f t="shared" si="17"/>
        <v>0</v>
      </c>
      <c r="J87" s="32" t="str">
        <f t="shared" si="18"/>
        <v xml:space="preserve"> </v>
      </c>
      <c r="K87" s="86"/>
      <c r="L87" s="62">
        <f>IF($B87&lt;&gt;"",SUMIFS(DataAct_tbl[AMOUNT],DataAct_tbl[BG CODE],Detail!$D87,DataAct_tbl[Check Range],"=true",DataAct_tbl[Dept code],$B87),0)</f>
        <v>0</v>
      </c>
      <c r="M87" s="63">
        <f>INDEX($AG$7:$AR$1005,ROW()-6,MATCH(MTD,$AG$6:$AR$6,0))</f>
        <v>0</v>
      </c>
      <c r="N87" s="34">
        <f t="shared" si="19"/>
        <v>0</v>
      </c>
      <c r="O87" s="64" t="str">
        <f t="shared" si="20"/>
        <v xml:space="preserve"> </v>
      </c>
      <c r="Q87" s="97">
        <f t="shared" si="21"/>
        <v>50</v>
      </c>
      <c r="R87" s="96">
        <f t="shared" si="22"/>
        <v>50</v>
      </c>
      <c r="T87" s="67">
        <f>IF($B87&lt;&gt;"",INDEX(DataOB[],FirstRow+ROW()-7,MATCH(T$6,DataOB[#Headers],0)),"")</f>
        <v>0</v>
      </c>
      <c r="U87" s="67">
        <f>IF($B87&lt;&gt;"",INDEX(DataOB[],FirstRow+ROW()-7,MATCH(U$6,DataOB[#Headers],0)),"")</f>
        <v>0</v>
      </c>
      <c r="V87" s="67">
        <f>IF($B87&lt;&gt;"",INDEX(DataOB[],FirstRow+ROW()-7,MATCH(V$6,DataOB[#Headers],0)),"")</f>
        <v>0</v>
      </c>
      <c r="W87" s="67">
        <f>IF($B87&lt;&gt;"",INDEX(DataOB[],FirstRow+ROW()-7,MATCH(W$6,DataOB[#Headers],0)),"")</f>
        <v>0</v>
      </c>
      <c r="X87" s="67">
        <f>IF($B87&lt;&gt;"",INDEX(DataOB[],FirstRow+ROW()-7,MATCH(X$6,DataOB[#Headers],0)),"")</f>
        <v>0</v>
      </c>
      <c r="Y87" s="67">
        <f>IF($B87&lt;&gt;"",INDEX(DataOB[],FirstRow+ROW()-7,MATCH(Y$6,DataOB[#Headers],0)),"")</f>
        <v>0</v>
      </c>
      <c r="Z87" s="67">
        <f>IF($B87&lt;&gt;"",INDEX(DataOB[],FirstRow+ROW()-7,MATCH(Z$6,DataOB[#Headers],0)),"")</f>
        <v>0</v>
      </c>
      <c r="AA87" s="67">
        <f>IF($B87&lt;&gt;"",INDEX(DataOB[],FirstRow+ROW()-7,MATCH(AA$6,DataOB[#Headers],0)),"")</f>
        <v>0</v>
      </c>
      <c r="AB87" s="67">
        <f>IF($B87&lt;&gt;"",INDEX(DataOB[],FirstRow+ROW()-7,MATCH(AB$6,DataOB[#Headers],0)),"")</f>
        <v>0</v>
      </c>
      <c r="AC87" s="67">
        <f>IF($B87&lt;&gt;"",INDEX(DataOB[],FirstRow+ROW()-7,MATCH(AC$6,DataOB[#Headers],0)),"")</f>
        <v>0</v>
      </c>
      <c r="AD87" s="67">
        <f>IF($B87&lt;&gt;"",INDEX(DataOB[],FirstRow+ROW()-7,MATCH(AD$6,DataOB[#Headers],0)),"")</f>
        <v>0</v>
      </c>
      <c r="AE87" s="67">
        <f>IF($B87&lt;&gt;"",INDEX(DataOB[],FirstRow+ROW()-7,MATCH(AE$6,DataOB[#Headers],0)),"")</f>
        <v>50</v>
      </c>
      <c r="AF87" s="26">
        <f t="shared" si="23"/>
        <v>50</v>
      </c>
      <c r="AG87" s="31">
        <f>SUM($T87:T87)</f>
        <v>0</v>
      </c>
      <c r="AH87" s="31">
        <f>SUM($T87:U87)</f>
        <v>0</v>
      </c>
      <c r="AI87" s="31">
        <f>SUM($T87:V87)</f>
        <v>0</v>
      </c>
      <c r="AJ87" s="31">
        <f>SUM($T87:W87)</f>
        <v>0</v>
      </c>
      <c r="AK87" s="31">
        <f>SUM($T87:X87)</f>
        <v>0</v>
      </c>
      <c r="AL87" s="31">
        <f>SUM($T87:Y87)</f>
        <v>0</v>
      </c>
      <c r="AM87" s="31">
        <f>SUM($T87:Z87)</f>
        <v>0</v>
      </c>
      <c r="AN87" s="31">
        <f>SUM($T87:AA87)</f>
        <v>0</v>
      </c>
      <c r="AO87" s="31">
        <f>SUM($T87:AB87)</f>
        <v>0</v>
      </c>
      <c r="AP87" s="31">
        <f>SUM($T87:AC87)</f>
        <v>0</v>
      </c>
      <c r="AQ87" s="31">
        <f>SUM($T87:AD87)</f>
        <v>0</v>
      </c>
      <c r="AR87" s="31">
        <f>SUM($T87:AE87)</f>
        <v>50</v>
      </c>
      <c r="AS87" s="27">
        <f t="shared" si="24"/>
        <v>0</v>
      </c>
    </row>
    <row r="88" spans="2:45">
      <c r="B88" s="156">
        <f>IF(ROW()-6&gt;NumCostCenter,"",IF(CostCenter&lt;&gt;"ALL",CostCenter,DATA_LF2!B86))</f>
        <v>3212</v>
      </c>
      <c r="C88" s="153">
        <f>IF($B88&lt;&gt;"",INDEX(DataOB[],FirstRow+ROW()-7,2),"")</f>
        <v>3212</v>
      </c>
      <c r="D88" s="157" t="str">
        <f>IF($B88&lt;&gt;"",INDEX(DataOB[],FirstRow+ROW()-7,3),"")</f>
        <v>TBD</v>
      </c>
      <c r="E88" s="158">
        <f>IF($B88&lt;&gt;"",INDEX(DataOB[],FirstRow+ROW()-7,6),"")</f>
        <v>0</v>
      </c>
      <c r="F88" s="158" t="str">
        <f>IF($B88&lt;&gt;"",INDEX(DataOB[],FirstRow+ROW()-7,5),"")</f>
        <v>BTMV 300% VI Improvement by AI LRP pictures Y24</v>
      </c>
      <c r="G88" s="58">
        <f>IF($B88&lt;&gt;"",SUMIFS(DataAct_tbl[AMOUNT],DataAct_tbl[BG CODE],Detail!$D88,DataAct_tbl[MONTH],LEFT(MonthName,3),DataAct_tbl[Dept code],$B88),0)</f>
        <v>0</v>
      </c>
      <c r="H88" s="31">
        <f t="shared" si="16"/>
        <v>0</v>
      </c>
      <c r="I88" s="28">
        <f t="shared" si="17"/>
        <v>0</v>
      </c>
      <c r="J88" s="32" t="str">
        <f t="shared" si="18"/>
        <v xml:space="preserve"> </v>
      </c>
      <c r="K88" s="86"/>
      <c r="L88" s="62">
        <f>IF($B88&lt;&gt;"",SUMIFS(DataAct_tbl[AMOUNT],DataAct_tbl[BG CODE],Detail!$D88,DataAct_tbl[Check Range],"=true",DataAct_tbl[Dept code],$B88),0)</f>
        <v>0</v>
      </c>
      <c r="M88" s="63">
        <f>INDEX($AG$7:$AR$1005,ROW()-6,MATCH(MTD,$AG$6:$AR$6,0))</f>
        <v>0</v>
      </c>
      <c r="N88" s="34">
        <f t="shared" si="19"/>
        <v>0</v>
      </c>
      <c r="O88" s="64" t="str">
        <f t="shared" si="20"/>
        <v xml:space="preserve"> </v>
      </c>
      <c r="Q88" s="97">
        <f t="shared" si="21"/>
        <v>10</v>
      </c>
      <c r="R88" s="96">
        <f t="shared" si="22"/>
        <v>10</v>
      </c>
      <c r="T88" s="67">
        <f>IF($B88&lt;&gt;"",INDEX(DataOB[],FirstRow+ROW()-7,MATCH(T$6,DataOB[#Headers],0)),"")</f>
        <v>0</v>
      </c>
      <c r="U88" s="67">
        <f>IF($B88&lt;&gt;"",INDEX(DataOB[],FirstRow+ROW()-7,MATCH(U$6,DataOB[#Headers],0)),"")</f>
        <v>0</v>
      </c>
      <c r="V88" s="67">
        <f>IF($B88&lt;&gt;"",INDEX(DataOB[],FirstRow+ROW()-7,MATCH(V$6,DataOB[#Headers],0)),"")</f>
        <v>0</v>
      </c>
      <c r="W88" s="67">
        <f>IF($B88&lt;&gt;"",INDEX(DataOB[],FirstRow+ROW()-7,MATCH(W$6,DataOB[#Headers],0)),"")</f>
        <v>0</v>
      </c>
      <c r="X88" s="67">
        <f>IF($B88&lt;&gt;"",INDEX(DataOB[],FirstRow+ROW()-7,MATCH(X$6,DataOB[#Headers],0)),"")</f>
        <v>0</v>
      </c>
      <c r="Y88" s="67">
        <f>IF($B88&lt;&gt;"",INDEX(DataOB[],FirstRow+ROW()-7,MATCH(Y$6,DataOB[#Headers],0)),"")</f>
        <v>0</v>
      </c>
      <c r="Z88" s="67">
        <f>IF($B88&lt;&gt;"",INDEX(DataOB[],FirstRow+ROW()-7,MATCH(Z$6,DataOB[#Headers],0)),"")</f>
        <v>0</v>
      </c>
      <c r="AA88" s="67">
        <f>IF($B88&lt;&gt;"",INDEX(DataOB[],FirstRow+ROW()-7,MATCH(AA$6,DataOB[#Headers],0)),"")</f>
        <v>0</v>
      </c>
      <c r="AB88" s="67">
        <f>IF($B88&lt;&gt;"",INDEX(DataOB[],FirstRow+ROW()-7,MATCH(AB$6,DataOB[#Headers],0)),"")</f>
        <v>0</v>
      </c>
      <c r="AC88" s="67">
        <f>IF($B88&lt;&gt;"",INDEX(DataOB[],FirstRow+ROW()-7,MATCH(AC$6,DataOB[#Headers],0)),"")</f>
        <v>0</v>
      </c>
      <c r="AD88" s="67">
        <f>IF($B88&lt;&gt;"",INDEX(DataOB[],FirstRow+ROW()-7,MATCH(AD$6,DataOB[#Headers],0)),"")</f>
        <v>10</v>
      </c>
      <c r="AE88" s="67">
        <f>IF($B88&lt;&gt;"",INDEX(DataOB[],FirstRow+ROW()-7,MATCH(AE$6,DataOB[#Headers],0)),"")</f>
        <v>0</v>
      </c>
      <c r="AF88" s="26">
        <f t="shared" si="23"/>
        <v>10</v>
      </c>
      <c r="AG88" s="31">
        <f>SUM($T88:T88)</f>
        <v>0</v>
      </c>
      <c r="AH88" s="31">
        <f>SUM($T88:U88)</f>
        <v>0</v>
      </c>
      <c r="AI88" s="31">
        <f>SUM($T88:V88)</f>
        <v>0</v>
      </c>
      <c r="AJ88" s="31">
        <f>SUM($T88:W88)</f>
        <v>0</v>
      </c>
      <c r="AK88" s="31">
        <f>SUM($T88:X88)</f>
        <v>0</v>
      </c>
      <c r="AL88" s="31">
        <f>SUM($T88:Y88)</f>
        <v>0</v>
      </c>
      <c r="AM88" s="31">
        <f>SUM($T88:Z88)</f>
        <v>0</v>
      </c>
      <c r="AN88" s="31">
        <f>SUM($T88:AA88)</f>
        <v>0</v>
      </c>
      <c r="AO88" s="31">
        <f>SUM($T88:AB88)</f>
        <v>0</v>
      </c>
      <c r="AP88" s="31">
        <f>SUM($T88:AC88)</f>
        <v>0</v>
      </c>
      <c r="AQ88" s="31">
        <f>SUM($T88:AD88)</f>
        <v>10</v>
      </c>
      <c r="AR88" s="31">
        <f>SUM($T88:AE88)</f>
        <v>10</v>
      </c>
      <c r="AS88" s="27">
        <f t="shared" si="24"/>
        <v>0</v>
      </c>
    </row>
    <row r="89" spans="2:45">
      <c r="B89" s="156">
        <f>IF(ROW()-6&gt;NumCostCenter,"",IF(CostCenter&lt;&gt;"ALL",CostCenter,DATA_LF2!B87))</f>
        <v>3221</v>
      </c>
      <c r="C89" s="153">
        <f>IF($B89&lt;&gt;"",INDEX(DataOB[],FirstRow+ROW()-7,2),"")</f>
        <v>3221</v>
      </c>
      <c r="D89" s="157" t="str">
        <f>IF($B89&lt;&gt;"",INDEX(DataOB[],FirstRow+ROW()-7,3),"")</f>
        <v>TBD</v>
      </c>
      <c r="E89" s="158">
        <f>IF($B89&lt;&gt;"",INDEX(DataOB[],FirstRow+ROW()-7,6),"")</f>
        <v>0</v>
      </c>
      <c r="F89" s="158" t="str">
        <f>IF($B89&lt;&gt;"",INDEX(DataOB[],FirstRow+ROW()-7,5),"")</f>
        <v>Modify Take away CV at TOP#1,2; Side; BF M/C: change to belt CV</v>
      </c>
      <c r="G89" s="58">
        <f>IF($B89&lt;&gt;"",SUMIFS(DataAct_tbl[AMOUNT],DataAct_tbl[BG CODE],Detail!$D89,DataAct_tbl[MONTH],LEFT(MonthName,3),DataAct_tbl[Dept code],$B89),0)</f>
        <v>0</v>
      </c>
      <c r="H89" s="31">
        <f t="shared" si="16"/>
        <v>0</v>
      </c>
      <c r="I89" s="28">
        <f t="shared" si="17"/>
        <v>0</v>
      </c>
      <c r="J89" s="32" t="str">
        <f t="shared" si="18"/>
        <v xml:space="preserve"> </v>
      </c>
      <c r="K89" s="86"/>
      <c r="L89" s="62">
        <f>IF($B89&lt;&gt;"",SUMIFS(DataAct_tbl[AMOUNT],DataAct_tbl[BG CODE],Detail!$D89,DataAct_tbl[Check Range],"=true",DataAct_tbl[Dept code],$B89),0)</f>
        <v>0</v>
      </c>
      <c r="M89" s="63">
        <f>INDEX($AG$7:$AR$1005,ROW()-6,MATCH(MTD,$AG$6:$AR$6,0))</f>
        <v>0</v>
      </c>
      <c r="N89" s="34">
        <f t="shared" si="19"/>
        <v>0</v>
      </c>
      <c r="O89" s="64" t="str">
        <f t="shared" si="20"/>
        <v xml:space="preserve"> </v>
      </c>
      <c r="Q89" s="97">
        <f t="shared" si="21"/>
        <v>45</v>
      </c>
      <c r="R89" s="96">
        <f t="shared" si="22"/>
        <v>45</v>
      </c>
      <c r="T89" s="67">
        <f>IF($B89&lt;&gt;"",INDEX(DataOB[],FirstRow+ROW()-7,MATCH(T$6,DataOB[#Headers],0)),"")</f>
        <v>0</v>
      </c>
      <c r="U89" s="67">
        <f>IF($B89&lt;&gt;"",INDEX(DataOB[],FirstRow+ROW()-7,MATCH(U$6,DataOB[#Headers],0)),"")</f>
        <v>0</v>
      </c>
      <c r="V89" s="67">
        <f>IF($B89&lt;&gt;"",INDEX(DataOB[],FirstRow+ROW()-7,MATCH(V$6,DataOB[#Headers],0)),"")</f>
        <v>0</v>
      </c>
      <c r="W89" s="67">
        <f>IF($B89&lt;&gt;"",INDEX(DataOB[],FirstRow+ROW()-7,MATCH(W$6,DataOB[#Headers],0)),"")</f>
        <v>0</v>
      </c>
      <c r="X89" s="67">
        <f>IF($B89&lt;&gt;"",INDEX(DataOB[],FirstRow+ROW()-7,MATCH(X$6,DataOB[#Headers],0)),"")</f>
        <v>0</v>
      </c>
      <c r="Y89" s="67">
        <f>IF($B89&lt;&gt;"",INDEX(DataOB[],FirstRow+ROW()-7,MATCH(Y$6,DataOB[#Headers],0)),"")</f>
        <v>0</v>
      </c>
      <c r="Z89" s="67">
        <f>IF($B89&lt;&gt;"",INDEX(DataOB[],FirstRow+ROW()-7,MATCH(Z$6,DataOB[#Headers],0)),"")</f>
        <v>0</v>
      </c>
      <c r="AA89" s="67">
        <f>IF($B89&lt;&gt;"",INDEX(DataOB[],FirstRow+ROW()-7,MATCH(AA$6,DataOB[#Headers],0)),"")</f>
        <v>0</v>
      </c>
      <c r="AB89" s="67">
        <f>IF($B89&lt;&gt;"",INDEX(DataOB[],FirstRow+ROW()-7,MATCH(AB$6,DataOB[#Headers],0)),"")</f>
        <v>0</v>
      </c>
      <c r="AC89" s="67">
        <f>IF($B89&lt;&gt;"",INDEX(DataOB[],FirstRow+ROW()-7,MATCH(AC$6,DataOB[#Headers],0)),"")</f>
        <v>45</v>
      </c>
      <c r="AD89" s="67">
        <f>IF($B89&lt;&gt;"",INDEX(DataOB[],FirstRow+ROW()-7,MATCH(AD$6,DataOB[#Headers],0)),"")</f>
        <v>0</v>
      </c>
      <c r="AE89" s="67">
        <f>IF($B89&lt;&gt;"",INDEX(DataOB[],FirstRow+ROW()-7,MATCH(AE$6,DataOB[#Headers],0)),"")</f>
        <v>0</v>
      </c>
      <c r="AF89" s="26">
        <f t="shared" si="23"/>
        <v>45</v>
      </c>
      <c r="AG89" s="31">
        <f>SUM($T89:T89)</f>
        <v>0</v>
      </c>
      <c r="AH89" s="31">
        <f>SUM($T89:U89)</f>
        <v>0</v>
      </c>
      <c r="AI89" s="31">
        <f>SUM($T89:V89)</f>
        <v>0</v>
      </c>
      <c r="AJ89" s="31">
        <f>SUM($T89:W89)</f>
        <v>0</v>
      </c>
      <c r="AK89" s="31">
        <f>SUM($T89:X89)</f>
        <v>0</v>
      </c>
      <c r="AL89" s="31">
        <f>SUM($T89:Y89)</f>
        <v>0</v>
      </c>
      <c r="AM89" s="31">
        <f>SUM($T89:Z89)</f>
        <v>0</v>
      </c>
      <c r="AN89" s="31">
        <f>SUM($T89:AA89)</f>
        <v>0</v>
      </c>
      <c r="AO89" s="31">
        <f>SUM($T89:AB89)</f>
        <v>0</v>
      </c>
      <c r="AP89" s="31">
        <f>SUM($T89:AC89)</f>
        <v>45</v>
      </c>
      <c r="AQ89" s="31">
        <f>SUM($T89:AD89)</f>
        <v>45</v>
      </c>
      <c r="AR89" s="31">
        <f>SUM($T89:AE89)</f>
        <v>45</v>
      </c>
      <c r="AS89" s="27">
        <f t="shared" si="24"/>
        <v>0</v>
      </c>
    </row>
    <row r="90" spans="2:45">
      <c r="B90" s="156">
        <f>IF(ROW()-6&gt;NumCostCenter,"",IF(CostCenter&lt;&gt;"ALL",CostCenter,DATA_LF2!B88))</f>
        <v>3221</v>
      </c>
      <c r="C90" s="153">
        <f>IF($B90&lt;&gt;"",INDEX(DataOB[],FirstRow+ROW()-7,2),"")</f>
        <v>3221</v>
      </c>
      <c r="D90" s="157" t="str">
        <f>IF($B90&lt;&gt;"",INDEX(DataOB[],FirstRow+ROW()-7,3),"")</f>
        <v>TBD</v>
      </c>
      <c r="E90" s="158">
        <f>IF($B90&lt;&gt;"",INDEX(DataOB[],FirstRow+ROW()-7,6),"")</f>
        <v>0</v>
      </c>
      <c r="F90" s="158" t="str">
        <f>IF($B90&lt;&gt;"",INDEX(DataOB[],FirstRow+ROW()-7,5),"")</f>
        <v xml:space="preserve"> Safety device function check auto system Y24</v>
      </c>
      <c r="G90" s="58">
        <f>IF($B90&lt;&gt;"",SUMIFS(DataAct_tbl[AMOUNT],DataAct_tbl[BG CODE],Detail!$D90,DataAct_tbl[MONTH],LEFT(MonthName,3),DataAct_tbl[Dept code],$B90),0)</f>
        <v>0</v>
      </c>
      <c r="H90" s="31">
        <f t="shared" si="16"/>
        <v>0</v>
      </c>
      <c r="I90" s="28">
        <f t="shared" si="17"/>
        <v>0</v>
      </c>
      <c r="J90" s="32" t="str">
        <f t="shared" si="18"/>
        <v xml:space="preserve"> </v>
      </c>
      <c r="K90" s="86"/>
      <c r="L90" s="62">
        <f>IF($B90&lt;&gt;"",SUMIFS(DataAct_tbl[AMOUNT],DataAct_tbl[BG CODE],Detail!$D90,DataAct_tbl[Check Range],"=true",DataAct_tbl[Dept code],$B90),0)</f>
        <v>0</v>
      </c>
      <c r="M90" s="63">
        <f>INDEX($AG$7:$AR$1005,ROW()-6,MATCH(MTD,$AG$6:$AR$6,0))</f>
        <v>0</v>
      </c>
      <c r="N90" s="34">
        <f t="shared" si="19"/>
        <v>0</v>
      </c>
      <c r="O90" s="64" t="str">
        <f t="shared" si="20"/>
        <v xml:space="preserve"> </v>
      </c>
      <c r="Q90" s="97">
        <f t="shared" si="21"/>
        <v>0</v>
      </c>
      <c r="R90" s="96">
        <f t="shared" si="22"/>
        <v>0</v>
      </c>
      <c r="T90" s="67">
        <f>IF($B90&lt;&gt;"",INDEX(DataOB[],FirstRow+ROW()-7,MATCH(T$6,DataOB[#Headers],0)),"")</f>
        <v>0</v>
      </c>
      <c r="U90" s="67">
        <f>IF($B90&lt;&gt;"",INDEX(DataOB[],FirstRow+ROW()-7,MATCH(U$6,DataOB[#Headers],0)),"")</f>
        <v>0</v>
      </c>
      <c r="V90" s="67">
        <f>IF($B90&lt;&gt;"",INDEX(DataOB[],FirstRow+ROW()-7,MATCH(V$6,DataOB[#Headers],0)),"")</f>
        <v>0</v>
      </c>
      <c r="W90" s="67">
        <f>IF($B90&lt;&gt;"",INDEX(DataOB[],FirstRow+ROW()-7,MATCH(W$6,DataOB[#Headers],0)),"")</f>
        <v>0</v>
      </c>
      <c r="X90" s="67">
        <f>IF($B90&lt;&gt;"",INDEX(DataOB[],FirstRow+ROW()-7,MATCH(X$6,DataOB[#Headers],0)),"")</f>
        <v>0</v>
      </c>
      <c r="Y90" s="67">
        <f>IF($B90&lt;&gt;"",INDEX(DataOB[],FirstRow+ROW()-7,MATCH(Y$6,DataOB[#Headers],0)),"")</f>
        <v>0</v>
      </c>
      <c r="Z90" s="67">
        <f>IF($B90&lt;&gt;"",INDEX(DataOB[],FirstRow+ROW()-7,MATCH(Z$6,DataOB[#Headers],0)),"")</f>
        <v>0</v>
      </c>
      <c r="AA90" s="67">
        <f>IF($B90&lt;&gt;"",INDEX(DataOB[],FirstRow+ROW()-7,MATCH(AA$6,DataOB[#Headers],0)),"")</f>
        <v>0</v>
      </c>
      <c r="AB90" s="67">
        <f>IF($B90&lt;&gt;"",INDEX(DataOB[],FirstRow+ROW()-7,MATCH(AB$6,DataOB[#Headers],0)),"")</f>
        <v>0</v>
      </c>
      <c r="AC90" s="67">
        <f>IF($B90&lt;&gt;"",INDEX(DataOB[],FirstRow+ROW()-7,MATCH(AC$6,DataOB[#Headers],0)),"")</f>
        <v>0</v>
      </c>
      <c r="AD90" s="67">
        <f>IF($B90&lt;&gt;"",INDEX(DataOB[],FirstRow+ROW()-7,MATCH(AD$6,DataOB[#Headers],0)),"")</f>
        <v>0</v>
      </c>
      <c r="AE90" s="67">
        <f>IF($B90&lt;&gt;"",INDEX(DataOB[],FirstRow+ROW()-7,MATCH(AE$6,DataOB[#Headers],0)),"")</f>
        <v>0</v>
      </c>
      <c r="AF90" s="26">
        <f t="shared" si="23"/>
        <v>0</v>
      </c>
      <c r="AG90" s="31">
        <f>SUM($T90:T90)</f>
        <v>0</v>
      </c>
      <c r="AH90" s="31">
        <f>SUM($T90:U90)</f>
        <v>0</v>
      </c>
      <c r="AI90" s="31">
        <f>SUM($T90:V90)</f>
        <v>0</v>
      </c>
      <c r="AJ90" s="31">
        <f>SUM($T90:W90)</f>
        <v>0</v>
      </c>
      <c r="AK90" s="31">
        <f>SUM($T90:X90)</f>
        <v>0</v>
      </c>
      <c r="AL90" s="31">
        <f>SUM($T90:Y90)</f>
        <v>0</v>
      </c>
      <c r="AM90" s="31">
        <f>SUM($T90:Z90)</f>
        <v>0</v>
      </c>
      <c r="AN90" s="31">
        <f>SUM($T90:AA90)</f>
        <v>0</v>
      </c>
      <c r="AO90" s="31">
        <f>SUM($T90:AB90)</f>
        <v>0</v>
      </c>
      <c r="AP90" s="31">
        <f>SUM($T90:AC90)</f>
        <v>0</v>
      </c>
      <c r="AQ90" s="31">
        <f>SUM($T90:AD90)</f>
        <v>0</v>
      </c>
      <c r="AR90" s="31">
        <f>SUM($T90:AE90)</f>
        <v>0</v>
      </c>
      <c r="AS90" s="27">
        <f t="shared" si="24"/>
        <v>0</v>
      </c>
    </row>
    <row r="91" spans="2:45">
      <c r="B91" s="156">
        <f>IF(ROW()-6&gt;NumCostCenter,"",IF(CostCenter&lt;&gt;"ALL",CostCenter,DATA_LF2!B89))</f>
        <v>3221</v>
      </c>
      <c r="C91" s="153">
        <f>IF($B91&lt;&gt;"",INDEX(DataOB[],FirstRow+ROW()-7,2),"")</f>
        <v>3221</v>
      </c>
      <c r="D91" s="157" t="str">
        <f>IF($B91&lt;&gt;"",INDEX(DataOB[],FirstRow+ROW()-7,3),"")</f>
        <v>TBD</v>
      </c>
      <c r="E91" s="158">
        <f>IF($B91&lt;&gt;"",INDEX(DataOB[],FirstRow+ROW()-7,6),"")</f>
        <v>0</v>
      </c>
      <c r="F91" s="158" t="str">
        <f>IF($B91&lt;&gt;"",INDEX(DataOB[],FirstRow+ROW()-7,5),"")</f>
        <v>Improved boiler chimney sampling location</v>
      </c>
      <c r="G91" s="58">
        <f>IF($B91&lt;&gt;"",SUMIFS(DataAct_tbl[AMOUNT],DataAct_tbl[BG CODE],Detail!$D91,DataAct_tbl[MONTH],LEFT(MonthName,3),DataAct_tbl[Dept code],$B91),0)</f>
        <v>0</v>
      </c>
      <c r="H91" s="31">
        <f t="shared" si="16"/>
        <v>0</v>
      </c>
      <c r="I91" s="28">
        <f t="shared" si="17"/>
        <v>0</v>
      </c>
      <c r="J91" s="32" t="str">
        <f t="shared" si="18"/>
        <v xml:space="preserve"> </v>
      </c>
      <c r="K91" s="86"/>
      <c r="L91" s="62">
        <f>IF($B91&lt;&gt;"",SUMIFS(DataAct_tbl[AMOUNT],DataAct_tbl[BG CODE],Detail!$D91,DataAct_tbl[Check Range],"=true",DataAct_tbl[Dept code],$B91),0)</f>
        <v>0</v>
      </c>
      <c r="M91" s="63">
        <f>INDEX($AG$7:$AR$1005,ROW()-6,MATCH(MTD,$AG$6:$AR$6,0))</f>
        <v>0</v>
      </c>
      <c r="N91" s="34">
        <f t="shared" si="19"/>
        <v>0</v>
      </c>
      <c r="O91" s="64" t="str">
        <f t="shared" si="20"/>
        <v xml:space="preserve"> </v>
      </c>
      <c r="Q91" s="97">
        <f t="shared" si="21"/>
        <v>0</v>
      </c>
      <c r="R91" s="96">
        <f t="shared" si="22"/>
        <v>0</v>
      </c>
      <c r="T91" s="67">
        <f>IF($B91&lt;&gt;"",INDEX(DataOB[],FirstRow+ROW()-7,MATCH(T$6,DataOB[#Headers],0)),"")</f>
        <v>0</v>
      </c>
      <c r="U91" s="67">
        <f>IF($B91&lt;&gt;"",INDEX(DataOB[],FirstRow+ROW()-7,MATCH(U$6,DataOB[#Headers],0)),"")</f>
        <v>0</v>
      </c>
      <c r="V91" s="67">
        <f>IF($B91&lt;&gt;"",INDEX(DataOB[],FirstRow+ROW()-7,MATCH(V$6,DataOB[#Headers],0)),"")</f>
        <v>0</v>
      </c>
      <c r="W91" s="67">
        <f>IF($B91&lt;&gt;"",INDEX(DataOB[],FirstRow+ROW()-7,MATCH(W$6,DataOB[#Headers],0)),"")</f>
        <v>0</v>
      </c>
      <c r="X91" s="67">
        <f>IF($B91&lt;&gt;"",INDEX(DataOB[],FirstRow+ROW()-7,MATCH(X$6,DataOB[#Headers],0)),"")</f>
        <v>0</v>
      </c>
      <c r="Y91" s="67">
        <f>IF($B91&lt;&gt;"",INDEX(DataOB[],FirstRow+ROW()-7,MATCH(Y$6,DataOB[#Headers],0)),"")</f>
        <v>0</v>
      </c>
      <c r="Z91" s="67">
        <f>IF($B91&lt;&gt;"",INDEX(DataOB[],FirstRow+ROW()-7,MATCH(Z$6,DataOB[#Headers],0)),"")</f>
        <v>0</v>
      </c>
      <c r="AA91" s="67">
        <f>IF($B91&lt;&gt;"",INDEX(DataOB[],FirstRow+ROW()-7,MATCH(AA$6,DataOB[#Headers],0)),"")</f>
        <v>0</v>
      </c>
      <c r="AB91" s="67">
        <f>IF($B91&lt;&gt;"",INDEX(DataOB[],FirstRow+ROW()-7,MATCH(AB$6,DataOB[#Headers],0)),"")</f>
        <v>0</v>
      </c>
      <c r="AC91" s="67">
        <f>IF($B91&lt;&gt;"",INDEX(DataOB[],FirstRow+ROW()-7,MATCH(AC$6,DataOB[#Headers],0)),"")</f>
        <v>0</v>
      </c>
      <c r="AD91" s="67">
        <f>IF($B91&lt;&gt;"",INDEX(DataOB[],FirstRow+ROW()-7,MATCH(AD$6,DataOB[#Headers],0)),"")</f>
        <v>0</v>
      </c>
      <c r="AE91" s="67">
        <f>IF($B91&lt;&gt;"",INDEX(DataOB[],FirstRow+ROW()-7,MATCH(AE$6,DataOB[#Headers],0)),"")</f>
        <v>0</v>
      </c>
      <c r="AF91" s="26">
        <f t="shared" si="23"/>
        <v>0</v>
      </c>
      <c r="AG91" s="31">
        <f>SUM($T91:T91)</f>
        <v>0</v>
      </c>
      <c r="AH91" s="31">
        <f>SUM($T91:U91)</f>
        <v>0</v>
      </c>
      <c r="AI91" s="31">
        <f>SUM($T91:V91)</f>
        <v>0</v>
      </c>
      <c r="AJ91" s="31">
        <f>SUM($T91:W91)</f>
        <v>0</v>
      </c>
      <c r="AK91" s="31">
        <f>SUM($T91:X91)</f>
        <v>0</v>
      </c>
      <c r="AL91" s="31">
        <f>SUM($T91:Y91)</f>
        <v>0</v>
      </c>
      <c r="AM91" s="31">
        <f>SUM($T91:Z91)</f>
        <v>0</v>
      </c>
      <c r="AN91" s="31">
        <f>SUM($T91:AA91)</f>
        <v>0</v>
      </c>
      <c r="AO91" s="31">
        <f>SUM($T91:AB91)</f>
        <v>0</v>
      </c>
      <c r="AP91" s="31">
        <f>SUM($T91:AC91)</f>
        <v>0</v>
      </c>
      <c r="AQ91" s="31">
        <f>SUM($T91:AD91)</f>
        <v>0</v>
      </c>
      <c r="AR91" s="31">
        <f>SUM($T91:AE91)</f>
        <v>0</v>
      </c>
      <c r="AS91" s="27">
        <f t="shared" si="24"/>
        <v>0</v>
      </c>
    </row>
    <row r="92" spans="2:45">
      <c r="B92" s="156">
        <f>IF(ROW()-6&gt;NumCostCenter,"",IF(CostCenter&lt;&gt;"ALL",CostCenter,DATA_LF2!B90))</f>
        <v>3221</v>
      </c>
      <c r="C92" s="153">
        <f>IF($B92&lt;&gt;"",INDEX(DataOB[],FirstRow+ROW()-7,2),"")</f>
        <v>3221</v>
      </c>
      <c r="D92" s="157" t="str">
        <f>IF($B92&lt;&gt;"",INDEX(DataOB[],FirstRow+ROW()-7,3),"")</f>
        <v>TBD</v>
      </c>
      <c r="E92" s="158">
        <f>IF($B92&lt;&gt;"",INDEX(DataOB[],FirstRow+ROW()-7,6),"")</f>
        <v>0</v>
      </c>
      <c r="F92" s="158" t="str">
        <f>IF($B92&lt;&gt;"",INDEX(DataOB[],FirstRow+ROW()-7,5),"")</f>
        <v>Improved emergency tank wastewater collection system</v>
      </c>
      <c r="G92" s="58">
        <f>IF($B92&lt;&gt;"",SUMIFS(DataAct_tbl[AMOUNT],DataAct_tbl[BG CODE],Detail!$D92,DataAct_tbl[MONTH],LEFT(MonthName,3),DataAct_tbl[Dept code],$B92),0)</f>
        <v>0</v>
      </c>
      <c r="H92" s="31">
        <f t="shared" si="16"/>
        <v>0</v>
      </c>
      <c r="I92" s="28">
        <f t="shared" si="17"/>
        <v>0</v>
      </c>
      <c r="J92" s="32" t="str">
        <f t="shared" si="18"/>
        <v xml:space="preserve"> </v>
      </c>
      <c r="K92" s="86"/>
      <c r="L92" s="62">
        <f>IF($B92&lt;&gt;"",SUMIFS(DataAct_tbl[AMOUNT],DataAct_tbl[BG CODE],Detail!$D92,DataAct_tbl[Check Range],"=true",DataAct_tbl[Dept code],$B92),0)</f>
        <v>0</v>
      </c>
      <c r="M92" s="63">
        <f>INDEX($AG$7:$AR$1005,ROW()-6,MATCH(MTD,$AG$6:$AR$6,0))</f>
        <v>0</v>
      </c>
      <c r="N92" s="34">
        <f t="shared" si="19"/>
        <v>0</v>
      </c>
      <c r="O92" s="64" t="str">
        <f t="shared" si="20"/>
        <v xml:space="preserve"> </v>
      </c>
      <c r="Q92" s="97">
        <f t="shared" si="21"/>
        <v>10</v>
      </c>
      <c r="R92" s="96">
        <f t="shared" si="22"/>
        <v>10</v>
      </c>
      <c r="T92" s="67">
        <f>IF($B92&lt;&gt;"",INDEX(DataOB[],FirstRow+ROW()-7,MATCH(T$6,DataOB[#Headers],0)),"")</f>
        <v>0</v>
      </c>
      <c r="U92" s="67">
        <f>IF($B92&lt;&gt;"",INDEX(DataOB[],FirstRow+ROW()-7,MATCH(U$6,DataOB[#Headers],0)),"")</f>
        <v>0</v>
      </c>
      <c r="V92" s="67">
        <f>IF($B92&lt;&gt;"",INDEX(DataOB[],FirstRow+ROW()-7,MATCH(V$6,DataOB[#Headers],0)),"")</f>
        <v>0</v>
      </c>
      <c r="W92" s="67">
        <f>IF($B92&lt;&gt;"",INDEX(DataOB[],FirstRow+ROW()-7,MATCH(W$6,DataOB[#Headers],0)),"")</f>
        <v>0</v>
      </c>
      <c r="X92" s="67">
        <f>IF($B92&lt;&gt;"",INDEX(DataOB[],FirstRow+ROW()-7,MATCH(X$6,DataOB[#Headers],0)),"")</f>
        <v>0</v>
      </c>
      <c r="Y92" s="67">
        <f>IF($B92&lt;&gt;"",INDEX(DataOB[],FirstRow+ROW()-7,MATCH(Y$6,DataOB[#Headers],0)),"")</f>
        <v>0</v>
      </c>
      <c r="Z92" s="67">
        <f>IF($B92&lt;&gt;"",INDEX(DataOB[],FirstRow+ROW()-7,MATCH(Z$6,DataOB[#Headers],0)),"")</f>
        <v>0</v>
      </c>
      <c r="AA92" s="67">
        <f>IF($B92&lt;&gt;"",INDEX(DataOB[],FirstRow+ROW()-7,MATCH(AA$6,DataOB[#Headers],0)),"")</f>
        <v>0</v>
      </c>
      <c r="AB92" s="67">
        <f>IF($B92&lt;&gt;"",INDEX(DataOB[],FirstRow+ROW()-7,MATCH(AB$6,DataOB[#Headers],0)),"")</f>
        <v>0</v>
      </c>
      <c r="AC92" s="67">
        <f>IF($B92&lt;&gt;"",INDEX(DataOB[],FirstRow+ROW()-7,MATCH(AC$6,DataOB[#Headers],0)),"")</f>
        <v>0</v>
      </c>
      <c r="AD92" s="67">
        <f>IF($B92&lt;&gt;"",INDEX(DataOB[],FirstRow+ROW()-7,MATCH(AD$6,DataOB[#Headers],0)),"")</f>
        <v>10</v>
      </c>
      <c r="AE92" s="67">
        <f>IF($B92&lt;&gt;"",INDEX(DataOB[],FirstRow+ROW()-7,MATCH(AE$6,DataOB[#Headers],0)),"")</f>
        <v>0</v>
      </c>
      <c r="AF92" s="26">
        <f t="shared" si="23"/>
        <v>10</v>
      </c>
      <c r="AG92" s="31">
        <f>SUM($T92:T92)</f>
        <v>0</v>
      </c>
      <c r="AH92" s="31">
        <f>SUM($T92:U92)</f>
        <v>0</v>
      </c>
      <c r="AI92" s="31">
        <f>SUM($T92:V92)</f>
        <v>0</v>
      </c>
      <c r="AJ92" s="31">
        <f>SUM($T92:W92)</f>
        <v>0</v>
      </c>
      <c r="AK92" s="31">
        <f>SUM($T92:X92)</f>
        <v>0</v>
      </c>
      <c r="AL92" s="31">
        <f>SUM($T92:Y92)</f>
        <v>0</v>
      </c>
      <c r="AM92" s="31">
        <f>SUM($T92:Z92)</f>
        <v>0</v>
      </c>
      <c r="AN92" s="31">
        <f>SUM($T92:AA92)</f>
        <v>0</v>
      </c>
      <c r="AO92" s="31">
        <f>SUM($T92:AB92)</f>
        <v>0</v>
      </c>
      <c r="AP92" s="31">
        <f>SUM($T92:AC92)</f>
        <v>0</v>
      </c>
      <c r="AQ92" s="31">
        <f>SUM($T92:AD92)</f>
        <v>10</v>
      </c>
      <c r="AR92" s="31">
        <f>SUM($T92:AE92)</f>
        <v>10</v>
      </c>
      <c r="AS92" s="27">
        <f t="shared" si="24"/>
        <v>0</v>
      </c>
    </row>
    <row r="93" spans="2:45">
      <c r="B93" s="156">
        <f>IF(ROW()-6&gt;NumCostCenter,"",IF(CostCenter&lt;&gt;"ALL",CostCenter,DATA_LF2!B91))</f>
        <v>3221</v>
      </c>
      <c r="C93" s="153">
        <f>IF($B93&lt;&gt;"",INDEX(DataOB[],FirstRow+ROW()-7,2),"")</f>
        <v>3221</v>
      </c>
      <c r="D93" s="157" t="str">
        <f>IF($B93&lt;&gt;"",INDEX(DataOB[],FirstRow+ROW()-7,3),"")</f>
        <v>TBD</v>
      </c>
      <c r="E93" s="158">
        <f>IF($B93&lt;&gt;"",INDEX(DataOB[],FirstRow+ROW()-7,6),"")</f>
        <v>0</v>
      </c>
      <c r="F93" s="158" t="str">
        <f>IF($B93&lt;&gt;"",INDEX(DataOB[],FirstRow+ROW()-7,5),"")</f>
        <v>Spare part storage area of the environmental group at waste warehouse</v>
      </c>
      <c r="G93" s="58">
        <f>IF($B93&lt;&gt;"",SUMIFS(DataAct_tbl[AMOUNT],DataAct_tbl[BG CODE],Detail!$D93,DataAct_tbl[MONTH],LEFT(MonthName,3),DataAct_tbl[Dept code],$B93),0)</f>
        <v>0</v>
      </c>
      <c r="H93" s="31">
        <f t="shared" si="16"/>
        <v>0</v>
      </c>
      <c r="I93" s="28">
        <f t="shared" si="17"/>
        <v>0</v>
      </c>
      <c r="J93" s="32" t="str">
        <f t="shared" si="18"/>
        <v xml:space="preserve"> </v>
      </c>
      <c r="K93" s="86"/>
      <c r="L93" s="62">
        <f>IF($B93&lt;&gt;"",SUMIFS(DataAct_tbl[AMOUNT],DataAct_tbl[BG CODE],Detail!$D93,DataAct_tbl[Check Range],"=true",DataAct_tbl[Dept code],$B93),0)</f>
        <v>0</v>
      </c>
      <c r="M93" s="63">
        <f>INDEX($AG$7:$AR$1005,ROW()-6,MATCH(MTD,$AG$6:$AR$6,0))</f>
        <v>0</v>
      </c>
      <c r="N93" s="34">
        <f t="shared" si="19"/>
        <v>0</v>
      </c>
      <c r="O93" s="64" t="str">
        <f t="shared" si="20"/>
        <v xml:space="preserve"> </v>
      </c>
      <c r="Q93" s="97">
        <f t="shared" si="21"/>
        <v>0</v>
      </c>
      <c r="R93" s="96">
        <f t="shared" si="22"/>
        <v>0</v>
      </c>
      <c r="T93" s="67">
        <f>IF($B93&lt;&gt;"",INDEX(DataOB[],FirstRow+ROW()-7,MATCH(T$6,DataOB[#Headers],0)),"")</f>
        <v>0</v>
      </c>
      <c r="U93" s="67">
        <f>IF($B93&lt;&gt;"",INDEX(DataOB[],FirstRow+ROW()-7,MATCH(U$6,DataOB[#Headers],0)),"")</f>
        <v>0</v>
      </c>
      <c r="V93" s="67">
        <f>IF($B93&lt;&gt;"",INDEX(DataOB[],FirstRow+ROW()-7,MATCH(V$6,DataOB[#Headers],0)),"")</f>
        <v>0</v>
      </c>
      <c r="W93" s="67">
        <f>IF($B93&lt;&gt;"",INDEX(DataOB[],FirstRow+ROW()-7,MATCH(W$6,DataOB[#Headers],0)),"")</f>
        <v>0</v>
      </c>
      <c r="X93" s="67">
        <f>IF($B93&lt;&gt;"",INDEX(DataOB[],FirstRow+ROW()-7,MATCH(X$6,DataOB[#Headers],0)),"")</f>
        <v>0</v>
      </c>
      <c r="Y93" s="67">
        <f>IF($B93&lt;&gt;"",INDEX(DataOB[],FirstRow+ROW()-7,MATCH(Y$6,DataOB[#Headers],0)),"")</f>
        <v>0</v>
      </c>
      <c r="Z93" s="67">
        <f>IF($B93&lt;&gt;"",INDEX(DataOB[],FirstRow+ROW()-7,MATCH(Z$6,DataOB[#Headers],0)),"")</f>
        <v>0</v>
      </c>
      <c r="AA93" s="67">
        <f>IF($B93&lt;&gt;"",INDEX(DataOB[],FirstRow+ROW()-7,MATCH(AA$6,DataOB[#Headers],0)),"")</f>
        <v>0</v>
      </c>
      <c r="AB93" s="67">
        <f>IF($B93&lt;&gt;"",INDEX(DataOB[],FirstRow+ROW()-7,MATCH(AB$6,DataOB[#Headers],0)),"")</f>
        <v>0</v>
      </c>
      <c r="AC93" s="67">
        <f>IF($B93&lt;&gt;"",INDEX(DataOB[],FirstRow+ROW()-7,MATCH(AC$6,DataOB[#Headers],0)),"")</f>
        <v>0</v>
      </c>
      <c r="AD93" s="67">
        <f>IF($B93&lt;&gt;"",INDEX(DataOB[],FirstRow+ROW()-7,MATCH(AD$6,DataOB[#Headers],0)),"")</f>
        <v>0</v>
      </c>
      <c r="AE93" s="67">
        <f>IF($B93&lt;&gt;"",INDEX(DataOB[],FirstRow+ROW()-7,MATCH(AE$6,DataOB[#Headers],0)),"")</f>
        <v>0</v>
      </c>
      <c r="AF93" s="26">
        <f t="shared" si="23"/>
        <v>0</v>
      </c>
      <c r="AG93" s="31">
        <f>SUM($T93:T93)</f>
        <v>0</v>
      </c>
      <c r="AH93" s="31">
        <f>SUM($T93:U93)</f>
        <v>0</v>
      </c>
      <c r="AI93" s="31">
        <f>SUM($T93:V93)</f>
        <v>0</v>
      </c>
      <c r="AJ93" s="31">
        <f>SUM($T93:W93)</f>
        <v>0</v>
      </c>
      <c r="AK93" s="31">
        <f>SUM($T93:X93)</f>
        <v>0</v>
      </c>
      <c r="AL93" s="31">
        <f>SUM($T93:Y93)</f>
        <v>0</v>
      </c>
      <c r="AM93" s="31">
        <f>SUM($T93:Z93)</f>
        <v>0</v>
      </c>
      <c r="AN93" s="31">
        <f>SUM($T93:AA93)</f>
        <v>0</v>
      </c>
      <c r="AO93" s="31">
        <f>SUM($T93:AB93)</f>
        <v>0</v>
      </c>
      <c r="AP93" s="31">
        <f>SUM($T93:AC93)</f>
        <v>0</v>
      </c>
      <c r="AQ93" s="31">
        <f>SUM($T93:AD93)</f>
        <v>0</v>
      </c>
      <c r="AR93" s="31">
        <f>SUM($T93:AE93)</f>
        <v>0</v>
      </c>
      <c r="AS93" s="27">
        <f t="shared" si="24"/>
        <v>0</v>
      </c>
    </row>
    <row r="94" spans="2:45">
      <c r="B94" s="156">
        <f>IF(ROW()-6&gt;NumCostCenter,"",IF(CostCenter&lt;&gt;"ALL",CostCenter,DATA_LF2!B92))</f>
        <v>3221</v>
      </c>
      <c r="C94" s="153">
        <f>IF($B94&lt;&gt;"",INDEX(DataOB[],FirstRow+ROW()-7,2),"")</f>
        <v>3221</v>
      </c>
      <c r="D94" s="157" t="str">
        <f>IF($B94&lt;&gt;"",INDEX(DataOB[],FirstRow+ROW()-7,3),"")</f>
        <v>TBD</v>
      </c>
      <c r="E94" s="158">
        <f>IF($B94&lt;&gt;"",INDEX(DataOB[],FirstRow+ROW()-7,6),"")</f>
        <v>0</v>
      </c>
      <c r="F94" s="158" t="str">
        <f>IF($B94&lt;&gt;"",INDEX(DataOB[],FirstRow+ROW()-7,5),"")</f>
        <v>Safety Kaizen for reduction RA point Y24</v>
      </c>
      <c r="G94" s="58">
        <f>IF($B94&lt;&gt;"",SUMIFS(DataAct_tbl[AMOUNT],DataAct_tbl[BG CODE],Detail!$D94,DataAct_tbl[MONTH],LEFT(MonthName,3),DataAct_tbl[Dept code],$B94),0)</f>
        <v>0</v>
      </c>
      <c r="H94" s="31">
        <f t="shared" si="16"/>
        <v>0</v>
      </c>
      <c r="I94" s="28">
        <f t="shared" si="17"/>
        <v>0</v>
      </c>
      <c r="J94" s="32" t="str">
        <f t="shared" si="18"/>
        <v xml:space="preserve"> </v>
      </c>
      <c r="K94" s="86"/>
      <c r="L94" s="62">
        <f>IF($B94&lt;&gt;"",SUMIFS(DataAct_tbl[AMOUNT],DataAct_tbl[BG CODE],Detail!$D94,DataAct_tbl[Check Range],"=true",DataAct_tbl[Dept code],$B94),0)</f>
        <v>0</v>
      </c>
      <c r="M94" s="63">
        <f>INDEX($AG$7:$AR$1005,ROW()-6,MATCH(MTD,$AG$6:$AR$6,0))</f>
        <v>0</v>
      </c>
      <c r="N94" s="34">
        <f t="shared" si="19"/>
        <v>0</v>
      </c>
      <c r="O94" s="64" t="str">
        <f t="shared" si="20"/>
        <v xml:space="preserve"> </v>
      </c>
      <c r="Q94" s="97">
        <f t="shared" si="21"/>
        <v>25</v>
      </c>
      <c r="R94" s="96">
        <f t="shared" si="22"/>
        <v>25</v>
      </c>
      <c r="T94" s="67">
        <f>IF($B94&lt;&gt;"",INDEX(DataOB[],FirstRow+ROW()-7,MATCH(T$6,DataOB[#Headers],0)),"")</f>
        <v>0</v>
      </c>
      <c r="U94" s="67">
        <f>IF($B94&lt;&gt;"",INDEX(DataOB[],FirstRow+ROW()-7,MATCH(U$6,DataOB[#Headers],0)),"")</f>
        <v>0</v>
      </c>
      <c r="V94" s="67">
        <f>IF($B94&lt;&gt;"",INDEX(DataOB[],FirstRow+ROW()-7,MATCH(V$6,DataOB[#Headers],0)),"")</f>
        <v>0</v>
      </c>
      <c r="W94" s="67">
        <f>IF($B94&lt;&gt;"",INDEX(DataOB[],FirstRow+ROW()-7,MATCH(W$6,DataOB[#Headers],0)),"")</f>
        <v>0</v>
      </c>
      <c r="X94" s="67">
        <f>IF($B94&lt;&gt;"",INDEX(DataOB[],FirstRow+ROW()-7,MATCH(X$6,DataOB[#Headers],0)),"")</f>
        <v>0</v>
      </c>
      <c r="Y94" s="67">
        <f>IF($B94&lt;&gt;"",INDEX(DataOB[],FirstRow+ROW()-7,MATCH(Y$6,DataOB[#Headers],0)),"")</f>
        <v>0</v>
      </c>
      <c r="Z94" s="67">
        <f>IF($B94&lt;&gt;"",INDEX(DataOB[],FirstRow+ROW()-7,MATCH(Z$6,DataOB[#Headers],0)),"")</f>
        <v>0</v>
      </c>
      <c r="AA94" s="67">
        <f>IF($B94&lt;&gt;"",INDEX(DataOB[],FirstRow+ROW()-7,MATCH(AA$6,DataOB[#Headers],0)),"")</f>
        <v>0</v>
      </c>
      <c r="AB94" s="67">
        <f>IF($B94&lt;&gt;"",INDEX(DataOB[],FirstRow+ROW()-7,MATCH(AB$6,DataOB[#Headers],0)),"")</f>
        <v>0</v>
      </c>
      <c r="AC94" s="67">
        <f>IF($B94&lt;&gt;"",INDEX(DataOB[],FirstRow+ROW()-7,MATCH(AC$6,DataOB[#Headers],0)),"")</f>
        <v>0</v>
      </c>
      <c r="AD94" s="67">
        <f>IF($B94&lt;&gt;"",INDEX(DataOB[],FirstRow+ROW()-7,MATCH(AD$6,DataOB[#Headers],0)),"")</f>
        <v>0</v>
      </c>
      <c r="AE94" s="67">
        <f>IF($B94&lt;&gt;"",INDEX(DataOB[],FirstRow+ROW()-7,MATCH(AE$6,DataOB[#Headers],0)),"")</f>
        <v>25</v>
      </c>
      <c r="AF94" s="26">
        <f t="shared" si="23"/>
        <v>25</v>
      </c>
      <c r="AG94" s="31">
        <f>SUM($T94:T94)</f>
        <v>0</v>
      </c>
      <c r="AH94" s="31">
        <f>SUM($T94:U94)</f>
        <v>0</v>
      </c>
      <c r="AI94" s="31">
        <f>SUM($T94:V94)</f>
        <v>0</v>
      </c>
      <c r="AJ94" s="31">
        <f>SUM($T94:W94)</f>
        <v>0</v>
      </c>
      <c r="AK94" s="31">
        <f>SUM($T94:X94)</f>
        <v>0</v>
      </c>
      <c r="AL94" s="31">
        <f>SUM($T94:Y94)</f>
        <v>0</v>
      </c>
      <c r="AM94" s="31">
        <f>SUM($T94:Z94)</f>
        <v>0</v>
      </c>
      <c r="AN94" s="31">
        <f>SUM($T94:AA94)</f>
        <v>0</v>
      </c>
      <c r="AO94" s="31">
        <f>SUM($T94:AB94)</f>
        <v>0</v>
      </c>
      <c r="AP94" s="31">
        <f>SUM($T94:AC94)</f>
        <v>0</v>
      </c>
      <c r="AQ94" s="31">
        <f>SUM($T94:AD94)</f>
        <v>0</v>
      </c>
      <c r="AR94" s="31">
        <f>SUM($T94:AE94)</f>
        <v>25</v>
      </c>
      <c r="AS94" s="27">
        <f t="shared" si="24"/>
        <v>0</v>
      </c>
    </row>
    <row r="95" spans="2:45">
      <c r="B95" s="156">
        <f>IF(ROW()-6&gt;NumCostCenter,"",IF(CostCenter&lt;&gt;"ALL",CostCenter,DATA_LF2!B93))</f>
        <v>3221</v>
      </c>
      <c r="C95" s="153">
        <f>IF($B95&lt;&gt;"",INDEX(DataOB[],FirstRow+ROW()-7,2),"")</f>
        <v>3221</v>
      </c>
      <c r="D95" s="157" t="str">
        <f>IF($B95&lt;&gt;"",INDEX(DataOB[],FirstRow+ROW()-7,3),"")</f>
        <v>TBD</v>
      </c>
      <c r="E95" s="158">
        <f>IF($B95&lt;&gt;"",INDEX(DataOB[],FirstRow+ROW()-7,6),"")</f>
        <v>0</v>
      </c>
      <c r="F95" s="158" t="str">
        <f>IF($B95&lt;&gt;"",INDEX(DataOB[],FirstRow+ROW()-7,5),"")</f>
        <v>Safety Kaizen for prevention similar accident Y24</v>
      </c>
      <c r="G95" s="58">
        <f>IF($B95&lt;&gt;"",SUMIFS(DataAct_tbl[AMOUNT],DataAct_tbl[BG CODE],Detail!$D95,DataAct_tbl[MONTH],LEFT(MonthName,3),DataAct_tbl[Dept code],$B95),0)</f>
        <v>0</v>
      </c>
      <c r="H95" s="31">
        <f t="shared" si="16"/>
        <v>0</v>
      </c>
      <c r="I95" s="28">
        <f t="shared" si="17"/>
        <v>0</v>
      </c>
      <c r="J95" s="32" t="str">
        <f t="shared" si="18"/>
        <v xml:space="preserve"> </v>
      </c>
      <c r="K95" s="86"/>
      <c r="L95" s="62">
        <f>IF($B95&lt;&gt;"",SUMIFS(DataAct_tbl[AMOUNT],DataAct_tbl[BG CODE],Detail!$D95,DataAct_tbl[Check Range],"=true",DataAct_tbl[Dept code],$B95),0)</f>
        <v>0</v>
      </c>
      <c r="M95" s="63">
        <f>INDEX($AG$7:$AR$1005,ROW()-6,MATCH(MTD,$AG$6:$AR$6,0))</f>
        <v>0</v>
      </c>
      <c r="N95" s="34">
        <f t="shared" si="19"/>
        <v>0</v>
      </c>
      <c r="O95" s="64" t="str">
        <f t="shared" si="20"/>
        <v xml:space="preserve"> </v>
      </c>
      <c r="Q95" s="97">
        <f t="shared" si="21"/>
        <v>35</v>
      </c>
      <c r="R95" s="96">
        <f t="shared" si="22"/>
        <v>35</v>
      </c>
      <c r="T95" s="67">
        <f>IF($B95&lt;&gt;"",INDEX(DataOB[],FirstRow+ROW()-7,MATCH(T$6,DataOB[#Headers],0)),"")</f>
        <v>0</v>
      </c>
      <c r="U95" s="67">
        <f>IF($B95&lt;&gt;"",INDEX(DataOB[],FirstRow+ROW()-7,MATCH(U$6,DataOB[#Headers],0)),"")</f>
        <v>0</v>
      </c>
      <c r="V95" s="67">
        <f>IF($B95&lt;&gt;"",INDEX(DataOB[],FirstRow+ROW()-7,MATCH(V$6,DataOB[#Headers],0)),"")</f>
        <v>0</v>
      </c>
      <c r="W95" s="67">
        <f>IF($B95&lt;&gt;"",INDEX(DataOB[],FirstRow+ROW()-7,MATCH(W$6,DataOB[#Headers],0)),"")</f>
        <v>0</v>
      </c>
      <c r="X95" s="67">
        <f>IF($B95&lt;&gt;"",INDEX(DataOB[],FirstRow+ROW()-7,MATCH(X$6,DataOB[#Headers],0)),"")</f>
        <v>0</v>
      </c>
      <c r="Y95" s="67">
        <f>IF($B95&lt;&gt;"",INDEX(DataOB[],FirstRow+ROW()-7,MATCH(Y$6,DataOB[#Headers],0)),"")</f>
        <v>0</v>
      </c>
      <c r="Z95" s="67">
        <f>IF($B95&lt;&gt;"",INDEX(DataOB[],FirstRow+ROW()-7,MATCH(Z$6,DataOB[#Headers],0)),"")</f>
        <v>0</v>
      </c>
      <c r="AA95" s="67">
        <f>IF($B95&lt;&gt;"",INDEX(DataOB[],FirstRow+ROW()-7,MATCH(AA$6,DataOB[#Headers],0)),"")</f>
        <v>0</v>
      </c>
      <c r="AB95" s="67">
        <f>IF($B95&lt;&gt;"",INDEX(DataOB[],FirstRow+ROW()-7,MATCH(AB$6,DataOB[#Headers],0)),"")</f>
        <v>0</v>
      </c>
      <c r="AC95" s="67">
        <f>IF($B95&lt;&gt;"",INDEX(DataOB[],FirstRow+ROW()-7,MATCH(AC$6,DataOB[#Headers],0)),"")</f>
        <v>0</v>
      </c>
      <c r="AD95" s="67">
        <f>IF($B95&lt;&gt;"",INDEX(DataOB[],FirstRow+ROW()-7,MATCH(AD$6,DataOB[#Headers],0)),"")</f>
        <v>20</v>
      </c>
      <c r="AE95" s="67">
        <f>IF($B95&lt;&gt;"",INDEX(DataOB[],FirstRow+ROW()-7,MATCH(AE$6,DataOB[#Headers],0)),"")</f>
        <v>15</v>
      </c>
      <c r="AF95" s="26">
        <f t="shared" si="23"/>
        <v>35</v>
      </c>
      <c r="AG95" s="31">
        <f>SUM($T95:T95)</f>
        <v>0</v>
      </c>
      <c r="AH95" s="31">
        <f>SUM($T95:U95)</f>
        <v>0</v>
      </c>
      <c r="AI95" s="31">
        <f>SUM($T95:V95)</f>
        <v>0</v>
      </c>
      <c r="AJ95" s="31">
        <f>SUM($T95:W95)</f>
        <v>0</v>
      </c>
      <c r="AK95" s="31">
        <f>SUM($T95:X95)</f>
        <v>0</v>
      </c>
      <c r="AL95" s="31">
        <f>SUM($T95:Y95)</f>
        <v>0</v>
      </c>
      <c r="AM95" s="31">
        <f>SUM($T95:Z95)</f>
        <v>0</v>
      </c>
      <c r="AN95" s="31">
        <f>SUM($T95:AA95)</f>
        <v>0</v>
      </c>
      <c r="AO95" s="31">
        <f>SUM($T95:AB95)</f>
        <v>0</v>
      </c>
      <c r="AP95" s="31">
        <f>SUM($T95:AC95)</f>
        <v>0</v>
      </c>
      <c r="AQ95" s="31">
        <f>SUM($T95:AD95)</f>
        <v>20</v>
      </c>
      <c r="AR95" s="31">
        <f>SUM($T95:AE95)</f>
        <v>35</v>
      </c>
      <c r="AS95" s="27">
        <f t="shared" si="24"/>
        <v>0</v>
      </c>
    </row>
    <row r="96" spans="2:45">
      <c r="B96" s="156">
        <f>IF(ROW()-6&gt;NumCostCenter,"",IF(CostCenter&lt;&gt;"ALL",CostCenter,DATA_LF2!B94))</f>
        <v>3221</v>
      </c>
      <c r="C96" s="153">
        <f>IF($B96&lt;&gt;"",INDEX(DataOB[],FirstRow+ROW()-7,2),"")</f>
        <v>3221</v>
      </c>
      <c r="D96" s="157" t="str">
        <f>IF($B96&lt;&gt;"",INDEX(DataOB[],FirstRow+ROW()-7,3),"")</f>
        <v>TBD</v>
      </c>
      <c r="E96" s="158">
        <f>IF($B96&lt;&gt;"",INDEX(DataOB[],FirstRow+ROW()-7,6),"")</f>
        <v>0</v>
      </c>
      <c r="F96" s="158" t="str">
        <f>IF($B96&lt;&gt;"",INDEX(DataOB[],FirstRow+ROW()-7,5),"")</f>
        <v>Install CO2 FM200 fire suppression system for Drum Test M/C 1 mc Y23) 9.17 kUSD/mc  (install for m/c  No 10) 
(move to 2024)</v>
      </c>
      <c r="G96" s="58">
        <f>IF($B96&lt;&gt;"",SUMIFS(DataAct_tbl[AMOUNT],DataAct_tbl[BG CODE],Detail!$D96,DataAct_tbl[MONTH],LEFT(MonthName,3),DataAct_tbl[Dept code],$B96),0)</f>
        <v>0</v>
      </c>
      <c r="H96" s="31">
        <f t="shared" si="16"/>
        <v>0</v>
      </c>
      <c r="I96" s="28">
        <f t="shared" si="17"/>
        <v>0</v>
      </c>
      <c r="J96" s="32" t="str">
        <f t="shared" si="18"/>
        <v xml:space="preserve"> </v>
      </c>
      <c r="K96" s="86"/>
      <c r="L96" s="62">
        <f>IF($B96&lt;&gt;"",SUMIFS(DataAct_tbl[AMOUNT],DataAct_tbl[BG CODE],Detail!$D96,DataAct_tbl[Check Range],"=true",DataAct_tbl[Dept code],$B96),0)</f>
        <v>0</v>
      </c>
      <c r="M96" s="63">
        <f>INDEX($AG$7:$AR$1005,ROW()-6,MATCH(MTD,$AG$6:$AR$6,0))</f>
        <v>0</v>
      </c>
      <c r="N96" s="34">
        <f t="shared" si="19"/>
        <v>0</v>
      </c>
      <c r="O96" s="64" t="str">
        <f t="shared" si="20"/>
        <v xml:space="preserve"> </v>
      </c>
      <c r="Q96" s="97">
        <f t="shared" si="21"/>
        <v>0</v>
      </c>
      <c r="R96" s="96">
        <f t="shared" si="22"/>
        <v>0</v>
      </c>
      <c r="T96" s="67">
        <f>IF($B96&lt;&gt;"",INDEX(DataOB[],FirstRow+ROW()-7,MATCH(T$6,DataOB[#Headers],0)),"")</f>
        <v>0</v>
      </c>
      <c r="U96" s="67">
        <f>IF($B96&lt;&gt;"",INDEX(DataOB[],FirstRow+ROW()-7,MATCH(U$6,DataOB[#Headers],0)),"")</f>
        <v>0</v>
      </c>
      <c r="V96" s="67">
        <f>IF($B96&lt;&gt;"",INDEX(DataOB[],FirstRow+ROW()-7,MATCH(V$6,DataOB[#Headers],0)),"")</f>
        <v>0</v>
      </c>
      <c r="W96" s="67">
        <f>IF($B96&lt;&gt;"",INDEX(DataOB[],FirstRow+ROW()-7,MATCH(W$6,DataOB[#Headers],0)),"")</f>
        <v>0</v>
      </c>
      <c r="X96" s="67">
        <f>IF($B96&lt;&gt;"",INDEX(DataOB[],FirstRow+ROW()-7,MATCH(X$6,DataOB[#Headers],0)),"")</f>
        <v>0</v>
      </c>
      <c r="Y96" s="67">
        <f>IF($B96&lt;&gt;"",INDEX(DataOB[],FirstRow+ROW()-7,MATCH(Y$6,DataOB[#Headers],0)),"")</f>
        <v>0</v>
      </c>
      <c r="Z96" s="67">
        <f>IF($B96&lt;&gt;"",INDEX(DataOB[],FirstRow+ROW()-7,MATCH(Z$6,DataOB[#Headers],0)),"")</f>
        <v>0</v>
      </c>
      <c r="AA96" s="67">
        <f>IF($B96&lt;&gt;"",INDEX(DataOB[],FirstRow+ROW()-7,MATCH(AA$6,DataOB[#Headers],0)),"")</f>
        <v>0</v>
      </c>
      <c r="AB96" s="67">
        <f>IF($B96&lt;&gt;"",INDEX(DataOB[],FirstRow+ROW()-7,MATCH(AB$6,DataOB[#Headers],0)),"")</f>
        <v>0</v>
      </c>
      <c r="AC96" s="67">
        <f>IF($B96&lt;&gt;"",INDEX(DataOB[],FirstRow+ROW()-7,MATCH(AC$6,DataOB[#Headers],0)),"")</f>
        <v>0</v>
      </c>
      <c r="AD96" s="67">
        <f>IF($B96&lt;&gt;"",INDEX(DataOB[],FirstRow+ROW()-7,MATCH(AD$6,DataOB[#Headers],0)),"")</f>
        <v>0</v>
      </c>
      <c r="AE96" s="67">
        <f>IF($B96&lt;&gt;"",INDEX(DataOB[],FirstRow+ROW()-7,MATCH(AE$6,DataOB[#Headers],0)),"")</f>
        <v>0</v>
      </c>
      <c r="AF96" s="26">
        <f t="shared" si="23"/>
        <v>0</v>
      </c>
      <c r="AG96" s="31">
        <f>SUM($T96:T96)</f>
        <v>0</v>
      </c>
      <c r="AH96" s="31">
        <f>SUM($T96:U96)</f>
        <v>0</v>
      </c>
      <c r="AI96" s="31">
        <f>SUM($T96:V96)</f>
        <v>0</v>
      </c>
      <c r="AJ96" s="31">
        <f>SUM($T96:W96)</f>
        <v>0</v>
      </c>
      <c r="AK96" s="31">
        <f>SUM($T96:X96)</f>
        <v>0</v>
      </c>
      <c r="AL96" s="31">
        <f>SUM($T96:Y96)</f>
        <v>0</v>
      </c>
      <c r="AM96" s="31">
        <f>SUM($T96:Z96)</f>
        <v>0</v>
      </c>
      <c r="AN96" s="31">
        <f>SUM($T96:AA96)</f>
        <v>0</v>
      </c>
      <c r="AO96" s="31">
        <f>SUM($T96:AB96)</f>
        <v>0</v>
      </c>
      <c r="AP96" s="31">
        <f>SUM($T96:AC96)</f>
        <v>0</v>
      </c>
      <c r="AQ96" s="31">
        <f>SUM($T96:AD96)</f>
        <v>0</v>
      </c>
      <c r="AR96" s="31">
        <f>SUM($T96:AE96)</f>
        <v>0</v>
      </c>
      <c r="AS96" s="27">
        <f t="shared" si="24"/>
        <v>0</v>
      </c>
    </row>
    <row r="97" spans="2:45">
      <c r="B97" s="156">
        <f>IF(ROW()-6&gt;NumCostCenter,"",IF(CostCenter&lt;&gt;"ALL",CostCenter,DATA_LF2!B95))</f>
        <v>3221</v>
      </c>
      <c r="C97" s="153">
        <f>IF($B97&lt;&gt;"",INDEX(DataOB[],FirstRow+ROW()-7,2),"")</f>
        <v>3221</v>
      </c>
      <c r="D97" s="157" t="str">
        <f>IF($B97&lt;&gt;"",INDEX(DataOB[],FirstRow+ROW()-7,3),"")</f>
        <v>TBD</v>
      </c>
      <c r="E97" s="158">
        <f>IF($B97&lt;&gt;"",INDEX(DataOB[],FirstRow+ROW()-7,6),"")</f>
        <v>0</v>
      </c>
      <c r="F97" s="158" t="str">
        <f>IF($B97&lt;&gt;"",INDEX(DataOB[],FirstRow+ROW()-7,5),"")</f>
        <v>Upgrading to anti-explosion type of Fan, fire detector system &amp; remaining electric appliance at hazardous WH Y24</v>
      </c>
      <c r="G97" s="58">
        <f>IF($B97&lt;&gt;"",SUMIFS(DataAct_tbl[AMOUNT],DataAct_tbl[BG CODE],Detail!$D97,DataAct_tbl[MONTH],LEFT(MonthName,3),DataAct_tbl[Dept code],$B97),0)</f>
        <v>0</v>
      </c>
      <c r="H97" s="31">
        <f t="shared" si="16"/>
        <v>0</v>
      </c>
      <c r="I97" s="28">
        <f t="shared" si="17"/>
        <v>0</v>
      </c>
      <c r="J97" s="32" t="str">
        <f t="shared" si="18"/>
        <v xml:space="preserve"> </v>
      </c>
      <c r="K97" s="86"/>
      <c r="L97" s="62">
        <f>IF($B97&lt;&gt;"",SUMIFS(DataAct_tbl[AMOUNT],DataAct_tbl[BG CODE],Detail!$D97,DataAct_tbl[Check Range],"=true",DataAct_tbl[Dept code],$B97),0)</f>
        <v>0</v>
      </c>
      <c r="M97" s="63">
        <f>INDEX($AG$7:$AR$1005,ROW()-6,MATCH(MTD,$AG$6:$AR$6,0))</f>
        <v>0</v>
      </c>
      <c r="N97" s="34">
        <f t="shared" si="19"/>
        <v>0</v>
      </c>
      <c r="O97" s="64" t="str">
        <f t="shared" si="20"/>
        <v xml:space="preserve"> </v>
      </c>
      <c r="Q97" s="97">
        <f t="shared" si="21"/>
        <v>50</v>
      </c>
      <c r="R97" s="96">
        <f t="shared" si="22"/>
        <v>50</v>
      </c>
      <c r="T97" s="67">
        <f>IF($B97&lt;&gt;"",INDEX(DataOB[],FirstRow+ROW()-7,MATCH(T$6,DataOB[#Headers],0)),"")</f>
        <v>0</v>
      </c>
      <c r="U97" s="67">
        <f>IF($B97&lt;&gt;"",INDEX(DataOB[],FirstRow+ROW()-7,MATCH(U$6,DataOB[#Headers],0)),"")</f>
        <v>0</v>
      </c>
      <c r="V97" s="67">
        <f>IF($B97&lt;&gt;"",INDEX(DataOB[],FirstRow+ROW()-7,MATCH(V$6,DataOB[#Headers],0)),"")</f>
        <v>0</v>
      </c>
      <c r="W97" s="67">
        <f>IF($B97&lt;&gt;"",INDEX(DataOB[],FirstRow+ROW()-7,MATCH(W$6,DataOB[#Headers],0)),"")</f>
        <v>0</v>
      </c>
      <c r="X97" s="67">
        <f>IF($B97&lt;&gt;"",INDEX(DataOB[],FirstRow+ROW()-7,MATCH(X$6,DataOB[#Headers],0)),"")</f>
        <v>0</v>
      </c>
      <c r="Y97" s="67">
        <f>IF($B97&lt;&gt;"",INDEX(DataOB[],FirstRow+ROW()-7,MATCH(Y$6,DataOB[#Headers],0)),"")</f>
        <v>0</v>
      </c>
      <c r="Z97" s="67">
        <f>IF($B97&lt;&gt;"",INDEX(DataOB[],FirstRow+ROW()-7,MATCH(Z$6,DataOB[#Headers],0)),"")</f>
        <v>0</v>
      </c>
      <c r="AA97" s="67">
        <f>IF($B97&lt;&gt;"",INDEX(DataOB[],FirstRow+ROW()-7,MATCH(AA$6,DataOB[#Headers],0)),"")</f>
        <v>0</v>
      </c>
      <c r="AB97" s="67">
        <f>IF($B97&lt;&gt;"",INDEX(DataOB[],FirstRow+ROW()-7,MATCH(AB$6,DataOB[#Headers],0)),"")</f>
        <v>0</v>
      </c>
      <c r="AC97" s="67">
        <f>IF($B97&lt;&gt;"",INDEX(DataOB[],FirstRow+ROW()-7,MATCH(AC$6,DataOB[#Headers],0)),"")</f>
        <v>0</v>
      </c>
      <c r="AD97" s="67">
        <f>IF($B97&lt;&gt;"",INDEX(DataOB[],FirstRow+ROW()-7,MATCH(AD$6,DataOB[#Headers],0)),"")</f>
        <v>0</v>
      </c>
      <c r="AE97" s="67">
        <f>IF($B97&lt;&gt;"",INDEX(DataOB[],FirstRow+ROW()-7,MATCH(AE$6,DataOB[#Headers],0)),"")</f>
        <v>50</v>
      </c>
      <c r="AF97" s="26">
        <f t="shared" si="23"/>
        <v>50</v>
      </c>
      <c r="AG97" s="31">
        <f>SUM($T97:T97)</f>
        <v>0</v>
      </c>
      <c r="AH97" s="31">
        <f>SUM($T97:U97)</f>
        <v>0</v>
      </c>
      <c r="AI97" s="31">
        <f>SUM($T97:V97)</f>
        <v>0</v>
      </c>
      <c r="AJ97" s="31">
        <f>SUM($T97:W97)</f>
        <v>0</v>
      </c>
      <c r="AK97" s="31">
        <f>SUM($T97:X97)</f>
        <v>0</v>
      </c>
      <c r="AL97" s="31">
        <f>SUM($T97:Y97)</f>
        <v>0</v>
      </c>
      <c r="AM97" s="31">
        <f>SUM($T97:Z97)</f>
        <v>0</v>
      </c>
      <c r="AN97" s="31">
        <f>SUM($T97:AA97)</f>
        <v>0</v>
      </c>
      <c r="AO97" s="31">
        <f>SUM($T97:AB97)</f>
        <v>0</v>
      </c>
      <c r="AP97" s="31">
        <f>SUM($T97:AC97)</f>
        <v>0</v>
      </c>
      <c r="AQ97" s="31">
        <f>SUM($T97:AD97)</f>
        <v>0</v>
      </c>
      <c r="AR97" s="31">
        <f>SUM($T97:AE97)</f>
        <v>50</v>
      </c>
      <c r="AS97" s="27">
        <f t="shared" si="24"/>
        <v>0</v>
      </c>
    </row>
    <row r="98" spans="2:45">
      <c r="B98" s="156">
        <f>IF(ROW()-6&gt;NumCostCenter,"",IF(CostCenter&lt;&gt;"ALL",CostCenter,DATA_LF2!B96))</f>
        <v>3221</v>
      </c>
      <c r="C98" s="153">
        <f>IF($B98&lt;&gt;"",INDEX(DataOB[],FirstRow+ROW()-7,2),"")</f>
        <v>3221</v>
      </c>
      <c r="D98" s="157" t="str">
        <f>IF($B98&lt;&gt;"",INDEX(DataOB[],FirstRow+ROW()-7,3),"")</f>
        <v>TBD</v>
      </c>
      <c r="E98" s="158">
        <f>IF($B98&lt;&gt;"",INDEX(DataOB[],FirstRow+ROW()-7,6),"")</f>
        <v>0</v>
      </c>
      <c r="F98" s="158" t="str">
        <f>IF($B98&lt;&gt;"",INDEX(DataOB[],FirstRow+ROW()-7,5),"")</f>
        <v>Install automatic door opening and closing system for rainwater drainage point A and point B</v>
      </c>
      <c r="G98" s="58">
        <f>IF($B98&lt;&gt;"",SUMIFS(DataAct_tbl[AMOUNT],DataAct_tbl[BG CODE],Detail!$D98,DataAct_tbl[MONTH],LEFT(MonthName,3),DataAct_tbl[Dept code],$B98),0)</f>
        <v>0</v>
      </c>
      <c r="H98" s="31">
        <f t="shared" si="16"/>
        <v>0</v>
      </c>
      <c r="I98" s="28">
        <f t="shared" si="17"/>
        <v>0</v>
      </c>
      <c r="J98" s="32" t="str">
        <f t="shared" si="18"/>
        <v xml:space="preserve"> </v>
      </c>
      <c r="K98" s="86"/>
      <c r="L98" s="62">
        <f>IF($B98&lt;&gt;"",SUMIFS(DataAct_tbl[AMOUNT],DataAct_tbl[BG CODE],Detail!$D98,DataAct_tbl[Check Range],"=true",DataAct_tbl[Dept code],$B98),0)</f>
        <v>0</v>
      </c>
      <c r="M98" s="63">
        <f>INDEX($AG$7:$AR$1005,ROW()-6,MATCH(MTD,$AG$6:$AR$6,0))</f>
        <v>0</v>
      </c>
      <c r="N98" s="34">
        <f t="shared" si="19"/>
        <v>0</v>
      </c>
      <c r="O98" s="64" t="str">
        <f t="shared" si="20"/>
        <v xml:space="preserve"> </v>
      </c>
      <c r="Q98" s="97">
        <f t="shared" si="21"/>
        <v>15</v>
      </c>
      <c r="R98" s="96">
        <f t="shared" si="22"/>
        <v>15</v>
      </c>
      <c r="T98" s="67">
        <f>IF($B98&lt;&gt;"",INDEX(DataOB[],FirstRow+ROW()-7,MATCH(T$6,DataOB[#Headers],0)),"")</f>
        <v>0</v>
      </c>
      <c r="U98" s="67">
        <f>IF($B98&lt;&gt;"",INDEX(DataOB[],FirstRow+ROW()-7,MATCH(U$6,DataOB[#Headers],0)),"")</f>
        <v>0</v>
      </c>
      <c r="V98" s="67">
        <f>IF($B98&lt;&gt;"",INDEX(DataOB[],FirstRow+ROW()-7,MATCH(V$6,DataOB[#Headers],0)),"")</f>
        <v>0</v>
      </c>
      <c r="W98" s="67">
        <f>IF($B98&lt;&gt;"",INDEX(DataOB[],FirstRow+ROW()-7,MATCH(W$6,DataOB[#Headers],0)),"")</f>
        <v>0</v>
      </c>
      <c r="X98" s="67">
        <f>IF($B98&lt;&gt;"",INDEX(DataOB[],FirstRow+ROW()-7,MATCH(X$6,DataOB[#Headers],0)),"")</f>
        <v>0</v>
      </c>
      <c r="Y98" s="67">
        <f>IF($B98&lt;&gt;"",INDEX(DataOB[],FirstRow+ROW()-7,MATCH(Y$6,DataOB[#Headers],0)),"")</f>
        <v>0</v>
      </c>
      <c r="Z98" s="67">
        <f>IF($B98&lt;&gt;"",INDEX(DataOB[],FirstRow+ROW()-7,MATCH(Z$6,DataOB[#Headers],0)),"")</f>
        <v>0</v>
      </c>
      <c r="AA98" s="67">
        <f>IF($B98&lt;&gt;"",INDEX(DataOB[],FirstRow+ROW()-7,MATCH(AA$6,DataOB[#Headers],0)),"")</f>
        <v>0</v>
      </c>
      <c r="AB98" s="67">
        <f>IF($B98&lt;&gt;"",INDEX(DataOB[],FirstRow+ROW()-7,MATCH(AB$6,DataOB[#Headers],0)),"")</f>
        <v>0</v>
      </c>
      <c r="AC98" s="67">
        <f>IF($B98&lt;&gt;"",INDEX(DataOB[],FirstRow+ROW()-7,MATCH(AC$6,DataOB[#Headers],0)),"")</f>
        <v>0</v>
      </c>
      <c r="AD98" s="67">
        <f>IF($B98&lt;&gt;"",INDEX(DataOB[],FirstRow+ROW()-7,MATCH(AD$6,DataOB[#Headers],0)),"")</f>
        <v>15</v>
      </c>
      <c r="AE98" s="67">
        <f>IF($B98&lt;&gt;"",INDEX(DataOB[],FirstRow+ROW()-7,MATCH(AE$6,DataOB[#Headers],0)),"")</f>
        <v>0</v>
      </c>
      <c r="AF98" s="26">
        <f t="shared" si="23"/>
        <v>15</v>
      </c>
      <c r="AG98" s="31">
        <f>SUM($T98:T98)</f>
        <v>0</v>
      </c>
      <c r="AH98" s="31">
        <f>SUM($T98:U98)</f>
        <v>0</v>
      </c>
      <c r="AI98" s="31">
        <f>SUM($T98:V98)</f>
        <v>0</v>
      </c>
      <c r="AJ98" s="31">
        <f>SUM($T98:W98)</f>
        <v>0</v>
      </c>
      <c r="AK98" s="31">
        <f>SUM($T98:X98)</f>
        <v>0</v>
      </c>
      <c r="AL98" s="31">
        <f>SUM($T98:Y98)</f>
        <v>0</v>
      </c>
      <c r="AM98" s="31">
        <f>SUM($T98:Z98)</f>
        <v>0</v>
      </c>
      <c r="AN98" s="31">
        <f>SUM($T98:AA98)</f>
        <v>0</v>
      </c>
      <c r="AO98" s="31">
        <f>SUM($T98:AB98)</f>
        <v>0</v>
      </c>
      <c r="AP98" s="31">
        <f>SUM($T98:AC98)</f>
        <v>0</v>
      </c>
      <c r="AQ98" s="31">
        <f>SUM($T98:AD98)</f>
        <v>15</v>
      </c>
      <c r="AR98" s="31">
        <f>SUM($T98:AE98)</f>
        <v>15</v>
      </c>
      <c r="AS98" s="27">
        <f t="shared" si="24"/>
        <v>0</v>
      </c>
    </row>
    <row r="99" spans="2:45">
      <c r="B99" s="156">
        <f>IF(ROW()-6&gt;NumCostCenter,"",IF(CostCenter&lt;&gt;"ALL",CostCenter,DATA_LF2!B97))</f>
        <v>3221</v>
      </c>
      <c r="C99" s="153">
        <f>IF($B99&lt;&gt;"",INDEX(DataOB[],FirstRow+ROW()-7,2),"")</f>
        <v>3221</v>
      </c>
      <c r="D99" s="157" t="str">
        <f>IF($B99&lt;&gt;"",INDEX(DataOB[],FirstRow+ROW()-7,3),"")</f>
        <v>TBD</v>
      </c>
      <c r="E99" s="158">
        <f>IF($B99&lt;&gt;"",INDEX(DataOB[],FirstRow+ROW()-7,6),"")</f>
        <v>0</v>
      </c>
      <c r="F99" s="158" t="str">
        <f>IF($B99&lt;&gt;"",INDEX(DataOB[],FirstRow+ROW()-7,5),"")</f>
        <v>Nâng cấp phòng lưu trữ dầu--&gt;xăng
Upgrade the oil storage --&gt; to keep petrol (30k)</v>
      </c>
      <c r="G99" s="58">
        <f>IF($B99&lt;&gt;"",SUMIFS(DataAct_tbl[AMOUNT],DataAct_tbl[BG CODE],Detail!$D99,DataAct_tbl[MONTH],LEFT(MonthName,3),DataAct_tbl[Dept code],$B99),0)</f>
        <v>0</v>
      </c>
      <c r="H99" s="31">
        <f t="shared" si="16"/>
        <v>0</v>
      </c>
      <c r="I99" s="28">
        <f t="shared" si="17"/>
        <v>0</v>
      </c>
      <c r="J99" s="32" t="str">
        <f t="shared" si="18"/>
        <v xml:space="preserve"> </v>
      </c>
      <c r="K99" s="86"/>
      <c r="L99" s="62">
        <f>IF($B99&lt;&gt;"",SUMIFS(DataAct_tbl[AMOUNT],DataAct_tbl[BG CODE],Detail!$D99,DataAct_tbl[Check Range],"=true",DataAct_tbl[Dept code],$B99),0)</f>
        <v>0</v>
      </c>
      <c r="M99" s="63">
        <f>INDEX($AG$7:$AR$1005,ROW()-6,MATCH(MTD,$AG$6:$AR$6,0))</f>
        <v>0</v>
      </c>
      <c r="N99" s="34">
        <f t="shared" si="19"/>
        <v>0</v>
      </c>
      <c r="O99" s="64" t="str">
        <f t="shared" si="20"/>
        <v xml:space="preserve"> </v>
      </c>
      <c r="Q99" s="97">
        <f t="shared" si="21"/>
        <v>30</v>
      </c>
      <c r="R99" s="96">
        <f t="shared" si="22"/>
        <v>30</v>
      </c>
      <c r="T99" s="67">
        <f>IF($B99&lt;&gt;"",INDEX(DataOB[],FirstRow+ROW()-7,MATCH(T$6,DataOB[#Headers],0)),"")</f>
        <v>0</v>
      </c>
      <c r="U99" s="67">
        <f>IF($B99&lt;&gt;"",INDEX(DataOB[],FirstRow+ROW()-7,MATCH(U$6,DataOB[#Headers],0)),"")</f>
        <v>0</v>
      </c>
      <c r="V99" s="67">
        <f>IF($B99&lt;&gt;"",INDEX(DataOB[],FirstRow+ROW()-7,MATCH(V$6,DataOB[#Headers],0)),"")</f>
        <v>0</v>
      </c>
      <c r="W99" s="67">
        <f>IF($B99&lt;&gt;"",INDEX(DataOB[],FirstRow+ROW()-7,MATCH(W$6,DataOB[#Headers],0)),"")</f>
        <v>0</v>
      </c>
      <c r="X99" s="67">
        <f>IF($B99&lt;&gt;"",INDEX(DataOB[],FirstRow+ROW()-7,MATCH(X$6,DataOB[#Headers],0)),"")</f>
        <v>0</v>
      </c>
      <c r="Y99" s="67">
        <f>IF($B99&lt;&gt;"",INDEX(DataOB[],FirstRow+ROW()-7,MATCH(Y$6,DataOB[#Headers],0)),"")</f>
        <v>0</v>
      </c>
      <c r="Z99" s="67">
        <f>IF($B99&lt;&gt;"",INDEX(DataOB[],FirstRow+ROW()-7,MATCH(Z$6,DataOB[#Headers],0)),"")</f>
        <v>0</v>
      </c>
      <c r="AA99" s="67">
        <f>IF($B99&lt;&gt;"",INDEX(DataOB[],FirstRow+ROW()-7,MATCH(AA$6,DataOB[#Headers],0)),"")</f>
        <v>0</v>
      </c>
      <c r="AB99" s="67">
        <f>IF($B99&lt;&gt;"",INDEX(DataOB[],FirstRow+ROW()-7,MATCH(AB$6,DataOB[#Headers],0)),"")</f>
        <v>0</v>
      </c>
      <c r="AC99" s="67">
        <f>IF($B99&lt;&gt;"",INDEX(DataOB[],FirstRow+ROW()-7,MATCH(AC$6,DataOB[#Headers],0)),"")</f>
        <v>0</v>
      </c>
      <c r="AD99" s="67">
        <f>IF($B99&lt;&gt;"",INDEX(DataOB[],FirstRow+ROW()-7,MATCH(AD$6,DataOB[#Headers],0)),"")</f>
        <v>0</v>
      </c>
      <c r="AE99" s="67">
        <f>IF($B99&lt;&gt;"",INDEX(DataOB[],FirstRow+ROW()-7,MATCH(AE$6,DataOB[#Headers],0)),"")</f>
        <v>30</v>
      </c>
      <c r="AF99" s="26">
        <f t="shared" si="23"/>
        <v>30</v>
      </c>
      <c r="AG99" s="31">
        <f>SUM($T99:T99)</f>
        <v>0</v>
      </c>
      <c r="AH99" s="31">
        <f>SUM($T99:U99)</f>
        <v>0</v>
      </c>
      <c r="AI99" s="31">
        <f>SUM($T99:V99)</f>
        <v>0</v>
      </c>
      <c r="AJ99" s="31">
        <f>SUM($T99:W99)</f>
        <v>0</v>
      </c>
      <c r="AK99" s="31">
        <f>SUM($T99:X99)</f>
        <v>0</v>
      </c>
      <c r="AL99" s="31">
        <f>SUM($T99:Y99)</f>
        <v>0</v>
      </c>
      <c r="AM99" s="31">
        <f>SUM($T99:Z99)</f>
        <v>0</v>
      </c>
      <c r="AN99" s="31">
        <f>SUM($T99:AA99)</f>
        <v>0</v>
      </c>
      <c r="AO99" s="31">
        <f>SUM($T99:AB99)</f>
        <v>0</v>
      </c>
      <c r="AP99" s="31">
        <f>SUM($T99:AC99)</f>
        <v>0</v>
      </c>
      <c r="AQ99" s="31">
        <f>SUM($T99:AD99)</f>
        <v>0</v>
      </c>
      <c r="AR99" s="31">
        <f>SUM($T99:AE99)</f>
        <v>30</v>
      </c>
      <c r="AS99" s="27">
        <f t="shared" si="24"/>
        <v>0</v>
      </c>
    </row>
    <row r="100" spans="2:45">
      <c r="B100" s="156">
        <f>IF(ROW()-6&gt;NumCostCenter,"",IF(CostCenter&lt;&gt;"ALL",CostCenter,DATA_LF2!B98))</f>
        <v>3221</v>
      </c>
      <c r="C100" s="153">
        <f>IF($B100&lt;&gt;"",INDEX(DataOB[],FirstRow+ROW()-7,2),"")</f>
        <v>3221</v>
      </c>
      <c r="D100" s="157" t="str">
        <f>IF($B100&lt;&gt;"",INDEX(DataOB[],FirstRow+ROW()-7,3),"")</f>
        <v>TBD</v>
      </c>
      <c r="E100" s="158">
        <f>IF($B100&lt;&gt;"",INDEX(DataOB[],FirstRow+ROW()-7,6),"")</f>
        <v>0</v>
      </c>
      <c r="F100" s="158" t="str">
        <f>IF($B100&lt;&gt;"",INDEX(DataOB[],FirstRow+ROW()-7,5),"")</f>
        <v>Control points for unattended areas (install camera to monitoring at Pit Curing + PH2)</v>
      </c>
      <c r="G100" s="58">
        <f>IF($B100&lt;&gt;"",SUMIFS(DataAct_tbl[AMOUNT],DataAct_tbl[BG CODE],Detail!$D100,DataAct_tbl[MONTH],LEFT(MonthName,3),DataAct_tbl[Dept code],$B100),0)</f>
        <v>0</v>
      </c>
      <c r="H100" s="31">
        <f t="shared" si="16"/>
        <v>0</v>
      </c>
      <c r="I100" s="28">
        <f t="shared" si="17"/>
        <v>0</v>
      </c>
      <c r="J100" s="32" t="str">
        <f t="shared" si="18"/>
        <v xml:space="preserve"> </v>
      </c>
      <c r="K100" s="86"/>
      <c r="L100" s="62">
        <f>IF($B100&lt;&gt;"",SUMIFS(DataAct_tbl[AMOUNT],DataAct_tbl[BG CODE],Detail!$D100,DataAct_tbl[Check Range],"=true",DataAct_tbl[Dept code],$B100),0)</f>
        <v>0</v>
      </c>
      <c r="M100" s="63">
        <f>INDEX($AG$7:$AR$1005,ROW()-6,MATCH(MTD,$AG$6:$AR$6,0))</f>
        <v>0</v>
      </c>
      <c r="N100" s="34">
        <f t="shared" si="19"/>
        <v>0</v>
      </c>
      <c r="O100" s="64" t="str">
        <f t="shared" si="20"/>
        <v xml:space="preserve"> </v>
      </c>
      <c r="Q100" s="97">
        <f t="shared" si="21"/>
        <v>16</v>
      </c>
      <c r="R100" s="96">
        <f t="shared" si="22"/>
        <v>16</v>
      </c>
      <c r="T100" s="67">
        <f>IF($B100&lt;&gt;"",INDEX(DataOB[],FirstRow+ROW()-7,MATCH(T$6,DataOB[#Headers],0)),"")</f>
        <v>0</v>
      </c>
      <c r="U100" s="67">
        <f>IF($B100&lt;&gt;"",INDEX(DataOB[],FirstRow+ROW()-7,MATCH(U$6,DataOB[#Headers],0)),"")</f>
        <v>0</v>
      </c>
      <c r="V100" s="67">
        <f>IF($B100&lt;&gt;"",INDEX(DataOB[],FirstRow+ROW()-7,MATCH(V$6,DataOB[#Headers],0)),"")</f>
        <v>0</v>
      </c>
      <c r="W100" s="67">
        <f>IF($B100&lt;&gt;"",INDEX(DataOB[],FirstRow+ROW()-7,MATCH(W$6,DataOB[#Headers],0)),"")</f>
        <v>0</v>
      </c>
      <c r="X100" s="67">
        <f>IF($B100&lt;&gt;"",INDEX(DataOB[],FirstRow+ROW()-7,MATCH(X$6,DataOB[#Headers],0)),"")</f>
        <v>0</v>
      </c>
      <c r="Y100" s="67">
        <f>IF($B100&lt;&gt;"",INDEX(DataOB[],FirstRow+ROW()-7,MATCH(Y$6,DataOB[#Headers],0)),"")</f>
        <v>0</v>
      </c>
      <c r="Z100" s="67">
        <f>IF($B100&lt;&gt;"",INDEX(DataOB[],FirstRow+ROW()-7,MATCH(Z$6,DataOB[#Headers],0)),"")</f>
        <v>0</v>
      </c>
      <c r="AA100" s="67">
        <f>IF($B100&lt;&gt;"",INDEX(DataOB[],FirstRow+ROW()-7,MATCH(AA$6,DataOB[#Headers],0)),"")</f>
        <v>0</v>
      </c>
      <c r="AB100" s="67">
        <f>IF($B100&lt;&gt;"",INDEX(DataOB[],FirstRow+ROW()-7,MATCH(AB$6,DataOB[#Headers],0)),"")</f>
        <v>0</v>
      </c>
      <c r="AC100" s="67">
        <f>IF($B100&lt;&gt;"",INDEX(DataOB[],FirstRow+ROW()-7,MATCH(AC$6,DataOB[#Headers],0)),"")</f>
        <v>0</v>
      </c>
      <c r="AD100" s="67">
        <f>IF($B100&lt;&gt;"",INDEX(DataOB[],FirstRow+ROW()-7,MATCH(AD$6,DataOB[#Headers],0)),"")</f>
        <v>0</v>
      </c>
      <c r="AE100" s="67">
        <f>IF($B100&lt;&gt;"",INDEX(DataOB[],FirstRow+ROW()-7,MATCH(AE$6,DataOB[#Headers],0)),"")</f>
        <v>16</v>
      </c>
      <c r="AF100" s="26">
        <f t="shared" si="23"/>
        <v>16</v>
      </c>
      <c r="AG100" s="31">
        <f>SUM($T100:T100)</f>
        <v>0</v>
      </c>
      <c r="AH100" s="31">
        <f>SUM($T100:U100)</f>
        <v>0</v>
      </c>
      <c r="AI100" s="31">
        <f>SUM($T100:V100)</f>
        <v>0</v>
      </c>
      <c r="AJ100" s="31">
        <f>SUM($T100:W100)</f>
        <v>0</v>
      </c>
      <c r="AK100" s="31">
        <f>SUM($T100:X100)</f>
        <v>0</v>
      </c>
      <c r="AL100" s="31">
        <f>SUM($T100:Y100)</f>
        <v>0</v>
      </c>
      <c r="AM100" s="31">
        <f>SUM($T100:Z100)</f>
        <v>0</v>
      </c>
      <c r="AN100" s="31">
        <f>SUM($T100:AA100)</f>
        <v>0</v>
      </c>
      <c r="AO100" s="31">
        <f>SUM($T100:AB100)</f>
        <v>0</v>
      </c>
      <c r="AP100" s="31">
        <f>SUM($T100:AC100)</f>
        <v>0</v>
      </c>
      <c r="AQ100" s="31">
        <f>SUM($T100:AD100)</f>
        <v>0</v>
      </c>
      <c r="AR100" s="31">
        <f>SUM($T100:AE100)</f>
        <v>16</v>
      </c>
      <c r="AS100" s="27">
        <f t="shared" si="24"/>
        <v>0</v>
      </c>
    </row>
    <row r="101" spans="2:45">
      <c r="B101" s="156">
        <f>IF(ROW()-6&gt;NumCostCenter,"",IF(CostCenter&lt;&gt;"ALL",CostCenter,DATA_LF2!B99))</f>
        <v>3221</v>
      </c>
      <c r="C101" s="153">
        <f>IF($B101&lt;&gt;"",INDEX(DataOB[],FirstRow+ROW()-7,2),"")</f>
        <v>3221</v>
      </c>
      <c r="D101" s="157" t="str">
        <f>IF($B101&lt;&gt;"",INDEX(DataOB[],FirstRow+ROW()-7,3),"")</f>
        <v>TBD</v>
      </c>
      <c r="E101" s="158">
        <f>IF($B101&lt;&gt;"",INDEX(DataOB[],FirstRow+ROW()-7,6),"")</f>
        <v>0</v>
      </c>
      <c r="F101" s="158" t="str">
        <f>IF($B101&lt;&gt;"",INDEX(DataOB[],FirstRow+ROW()-7,5),"")</f>
        <v>Upgrade lightening system to protect outdoor equiptment (boudary cameras &amp; road light,…)  (2024)</v>
      </c>
      <c r="G101" s="58">
        <f>IF($B101&lt;&gt;"",SUMIFS(DataAct_tbl[AMOUNT],DataAct_tbl[BG CODE],Detail!$D101,DataAct_tbl[MONTH],LEFT(MonthName,3),DataAct_tbl[Dept code],$B101),0)</f>
        <v>0</v>
      </c>
      <c r="H101" s="31">
        <f t="shared" si="16"/>
        <v>0</v>
      </c>
      <c r="I101" s="28">
        <f t="shared" si="17"/>
        <v>0</v>
      </c>
      <c r="J101" s="32" t="str">
        <f t="shared" si="18"/>
        <v xml:space="preserve"> </v>
      </c>
      <c r="K101" s="86"/>
      <c r="L101" s="62">
        <f>IF($B101&lt;&gt;"",SUMIFS(DataAct_tbl[AMOUNT],DataAct_tbl[BG CODE],Detail!$D101,DataAct_tbl[Check Range],"=true",DataAct_tbl[Dept code],$B101),0)</f>
        <v>0</v>
      </c>
      <c r="M101" s="63">
        <f>INDEX($AG$7:$AR$1005,ROW()-6,MATCH(MTD,$AG$6:$AR$6,0))</f>
        <v>0</v>
      </c>
      <c r="N101" s="34">
        <f t="shared" si="19"/>
        <v>0</v>
      </c>
      <c r="O101" s="64" t="str">
        <f t="shared" si="20"/>
        <v xml:space="preserve"> </v>
      </c>
      <c r="Q101" s="97">
        <f t="shared" si="21"/>
        <v>25</v>
      </c>
      <c r="R101" s="96">
        <f t="shared" si="22"/>
        <v>25</v>
      </c>
      <c r="T101" s="67">
        <f>IF($B101&lt;&gt;"",INDEX(DataOB[],FirstRow+ROW()-7,MATCH(T$6,DataOB[#Headers],0)),"")</f>
        <v>0</v>
      </c>
      <c r="U101" s="67">
        <f>IF($B101&lt;&gt;"",INDEX(DataOB[],FirstRow+ROW()-7,MATCH(U$6,DataOB[#Headers],0)),"")</f>
        <v>0</v>
      </c>
      <c r="V101" s="67">
        <f>IF($B101&lt;&gt;"",INDEX(DataOB[],FirstRow+ROW()-7,MATCH(V$6,DataOB[#Headers],0)),"")</f>
        <v>0</v>
      </c>
      <c r="W101" s="67">
        <f>IF($B101&lt;&gt;"",INDEX(DataOB[],FirstRow+ROW()-7,MATCH(W$6,DataOB[#Headers],0)),"")</f>
        <v>0</v>
      </c>
      <c r="X101" s="67">
        <f>IF($B101&lt;&gt;"",INDEX(DataOB[],FirstRow+ROW()-7,MATCH(X$6,DataOB[#Headers],0)),"")</f>
        <v>0</v>
      </c>
      <c r="Y101" s="67">
        <f>IF($B101&lt;&gt;"",INDEX(DataOB[],FirstRow+ROW()-7,MATCH(Y$6,DataOB[#Headers],0)),"")</f>
        <v>0</v>
      </c>
      <c r="Z101" s="67">
        <f>IF($B101&lt;&gt;"",INDEX(DataOB[],FirstRow+ROW()-7,MATCH(Z$6,DataOB[#Headers],0)),"")</f>
        <v>0</v>
      </c>
      <c r="AA101" s="67">
        <f>IF($B101&lt;&gt;"",INDEX(DataOB[],FirstRow+ROW()-7,MATCH(AA$6,DataOB[#Headers],0)),"")</f>
        <v>0</v>
      </c>
      <c r="AB101" s="67">
        <f>IF($B101&lt;&gt;"",INDEX(DataOB[],FirstRow+ROW()-7,MATCH(AB$6,DataOB[#Headers],0)),"")</f>
        <v>0</v>
      </c>
      <c r="AC101" s="67">
        <f>IF($B101&lt;&gt;"",INDEX(DataOB[],FirstRow+ROW()-7,MATCH(AC$6,DataOB[#Headers],0)),"")</f>
        <v>0</v>
      </c>
      <c r="AD101" s="67">
        <f>IF($B101&lt;&gt;"",INDEX(DataOB[],FirstRow+ROW()-7,MATCH(AD$6,DataOB[#Headers],0)),"")</f>
        <v>25</v>
      </c>
      <c r="AE101" s="67">
        <f>IF($B101&lt;&gt;"",INDEX(DataOB[],FirstRow+ROW()-7,MATCH(AE$6,DataOB[#Headers],0)),"")</f>
        <v>0</v>
      </c>
      <c r="AF101" s="26">
        <f t="shared" si="23"/>
        <v>25</v>
      </c>
      <c r="AG101" s="31">
        <f>SUM($T101:T101)</f>
        <v>0</v>
      </c>
      <c r="AH101" s="31">
        <f>SUM($T101:U101)</f>
        <v>0</v>
      </c>
      <c r="AI101" s="31">
        <f>SUM($T101:V101)</f>
        <v>0</v>
      </c>
      <c r="AJ101" s="31">
        <f>SUM($T101:W101)</f>
        <v>0</v>
      </c>
      <c r="AK101" s="31">
        <f>SUM($T101:X101)</f>
        <v>0</v>
      </c>
      <c r="AL101" s="31">
        <f>SUM($T101:Y101)</f>
        <v>0</v>
      </c>
      <c r="AM101" s="31">
        <f>SUM($T101:Z101)</f>
        <v>0</v>
      </c>
      <c r="AN101" s="31">
        <f>SUM($T101:AA101)</f>
        <v>0</v>
      </c>
      <c r="AO101" s="31">
        <f>SUM($T101:AB101)</f>
        <v>0</v>
      </c>
      <c r="AP101" s="31">
        <f>SUM($T101:AC101)</f>
        <v>0</v>
      </c>
      <c r="AQ101" s="31">
        <f>SUM($T101:AD101)</f>
        <v>25</v>
      </c>
      <c r="AR101" s="31">
        <f>SUM($T101:AE101)</f>
        <v>25</v>
      </c>
      <c r="AS101" s="27">
        <f t="shared" si="24"/>
        <v>0</v>
      </c>
    </row>
    <row r="102" spans="2:45">
      <c r="B102" s="156">
        <f>IF(ROW()-6&gt;NumCostCenter,"",IF(CostCenter&lt;&gt;"ALL",CostCenter,DATA_LF2!B100))</f>
        <v>3221</v>
      </c>
      <c r="C102" s="153">
        <f>IF($B102&lt;&gt;"",INDEX(DataOB[],FirstRow+ROW()-7,2),"")</f>
        <v>3221</v>
      </c>
      <c r="D102" s="157" t="str">
        <f>IF($B102&lt;&gt;"",INDEX(DataOB[],FirstRow+ROW()-7,3),"")</f>
        <v>TBD</v>
      </c>
      <c r="E102" s="158">
        <f>IF($B102&lt;&gt;"",INDEX(DataOB[],FirstRow+ROW()-7,6),"")</f>
        <v>0</v>
      </c>
      <c r="F102" s="158" t="str">
        <f>IF($B102&lt;&gt;"",INDEX(DataOB[],FirstRow+ROW()-7,5),"")</f>
        <v>Install camera on rooftoop to monitor solar panel by ourselves (2024)_8pc</v>
      </c>
      <c r="G102" s="58">
        <f>IF($B102&lt;&gt;"",SUMIFS(DataAct_tbl[AMOUNT],DataAct_tbl[BG CODE],Detail!$D102,DataAct_tbl[MONTH],LEFT(MonthName,3),DataAct_tbl[Dept code],$B102),0)</f>
        <v>0</v>
      </c>
      <c r="H102" s="31">
        <f t="shared" si="16"/>
        <v>0</v>
      </c>
      <c r="I102" s="28">
        <f t="shared" si="17"/>
        <v>0</v>
      </c>
      <c r="J102" s="32" t="str">
        <f t="shared" si="18"/>
        <v xml:space="preserve"> </v>
      </c>
      <c r="K102" s="86"/>
      <c r="L102" s="62">
        <f>IF($B102&lt;&gt;"",SUMIFS(DataAct_tbl[AMOUNT],DataAct_tbl[BG CODE],Detail!$D102,DataAct_tbl[Check Range],"=true",DataAct_tbl[Dept code],$B102),0)</f>
        <v>0</v>
      </c>
      <c r="M102" s="63">
        <f>INDEX($AG$7:$AR$1005,ROW()-6,MATCH(MTD,$AG$6:$AR$6,0))</f>
        <v>0</v>
      </c>
      <c r="N102" s="34">
        <f t="shared" si="19"/>
        <v>0</v>
      </c>
      <c r="O102" s="64" t="str">
        <f t="shared" si="20"/>
        <v xml:space="preserve"> </v>
      </c>
      <c r="Q102" s="97">
        <f t="shared" si="21"/>
        <v>0</v>
      </c>
      <c r="R102" s="96">
        <f t="shared" si="22"/>
        <v>0</v>
      </c>
      <c r="T102" s="67">
        <f>IF($B102&lt;&gt;"",INDEX(DataOB[],FirstRow+ROW()-7,MATCH(T$6,DataOB[#Headers],0)),"")</f>
        <v>0</v>
      </c>
      <c r="U102" s="67">
        <f>IF($B102&lt;&gt;"",INDEX(DataOB[],FirstRow+ROW()-7,MATCH(U$6,DataOB[#Headers],0)),"")</f>
        <v>0</v>
      </c>
      <c r="V102" s="67">
        <f>IF($B102&lt;&gt;"",INDEX(DataOB[],FirstRow+ROW()-7,MATCH(V$6,DataOB[#Headers],0)),"")</f>
        <v>0</v>
      </c>
      <c r="W102" s="67">
        <f>IF($B102&lt;&gt;"",INDEX(DataOB[],FirstRow+ROW()-7,MATCH(W$6,DataOB[#Headers],0)),"")</f>
        <v>0</v>
      </c>
      <c r="X102" s="67">
        <f>IF($B102&lt;&gt;"",INDEX(DataOB[],FirstRow+ROW()-7,MATCH(X$6,DataOB[#Headers],0)),"")</f>
        <v>0</v>
      </c>
      <c r="Y102" s="67">
        <f>IF($B102&lt;&gt;"",INDEX(DataOB[],FirstRow+ROW()-7,MATCH(Y$6,DataOB[#Headers],0)),"")</f>
        <v>0</v>
      </c>
      <c r="Z102" s="67">
        <f>IF($B102&lt;&gt;"",INDEX(DataOB[],FirstRow+ROW()-7,MATCH(Z$6,DataOB[#Headers],0)),"")</f>
        <v>0</v>
      </c>
      <c r="AA102" s="67">
        <f>IF($B102&lt;&gt;"",INDEX(DataOB[],FirstRow+ROW()-7,MATCH(AA$6,DataOB[#Headers],0)),"")</f>
        <v>0</v>
      </c>
      <c r="AB102" s="67">
        <f>IF($B102&lt;&gt;"",INDEX(DataOB[],FirstRow+ROW()-7,MATCH(AB$6,DataOB[#Headers],0)),"")</f>
        <v>0</v>
      </c>
      <c r="AC102" s="67">
        <f>IF($B102&lt;&gt;"",INDEX(DataOB[],FirstRow+ROW()-7,MATCH(AC$6,DataOB[#Headers],0)),"")</f>
        <v>0</v>
      </c>
      <c r="AD102" s="67">
        <f>IF($B102&lt;&gt;"",INDEX(DataOB[],FirstRow+ROW()-7,MATCH(AD$6,DataOB[#Headers],0)),"")</f>
        <v>0</v>
      </c>
      <c r="AE102" s="67">
        <f>IF($B102&lt;&gt;"",INDEX(DataOB[],FirstRow+ROW()-7,MATCH(AE$6,DataOB[#Headers],0)),"")</f>
        <v>0</v>
      </c>
      <c r="AF102" s="26">
        <f t="shared" si="23"/>
        <v>0</v>
      </c>
      <c r="AG102" s="31">
        <f>SUM($T102:T102)</f>
        <v>0</v>
      </c>
      <c r="AH102" s="31">
        <f>SUM($T102:U102)</f>
        <v>0</v>
      </c>
      <c r="AI102" s="31">
        <f>SUM($T102:V102)</f>
        <v>0</v>
      </c>
      <c r="AJ102" s="31">
        <f>SUM($T102:W102)</f>
        <v>0</v>
      </c>
      <c r="AK102" s="31">
        <f>SUM($T102:X102)</f>
        <v>0</v>
      </c>
      <c r="AL102" s="31">
        <f>SUM($T102:Y102)</f>
        <v>0</v>
      </c>
      <c r="AM102" s="31">
        <f>SUM($T102:Z102)</f>
        <v>0</v>
      </c>
      <c r="AN102" s="31">
        <f>SUM($T102:AA102)</f>
        <v>0</v>
      </c>
      <c r="AO102" s="31">
        <f>SUM($T102:AB102)</f>
        <v>0</v>
      </c>
      <c r="AP102" s="31">
        <f>SUM($T102:AC102)</f>
        <v>0</v>
      </c>
      <c r="AQ102" s="31">
        <f>SUM($T102:AD102)</f>
        <v>0</v>
      </c>
      <c r="AR102" s="31">
        <f>SUM($T102:AE102)</f>
        <v>0</v>
      </c>
      <c r="AS102" s="27">
        <f t="shared" si="24"/>
        <v>0</v>
      </c>
    </row>
    <row r="103" spans="2:45">
      <c r="B103" s="156">
        <f>IF(ROW()-6&gt;NumCostCenter,"",IF(CostCenter&lt;&gt;"ALL",CostCenter,DATA_LF2!B101))</f>
        <v>3221</v>
      </c>
      <c r="C103" s="153">
        <f>IF($B103&lt;&gt;"",INDEX(DataOB[],FirstRow+ROW()-7,2),"")</f>
        <v>3221</v>
      </c>
      <c r="D103" s="157" t="str">
        <f>IF($B103&lt;&gt;"",INDEX(DataOB[],FirstRow+ROW()-7,3),"")</f>
        <v>TBD</v>
      </c>
      <c r="E103" s="158">
        <f>IF($B103&lt;&gt;"",INDEX(DataOB[],FirstRow+ROW()-7,6),"")</f>
        <v>0</v>
      </c>
      <c r="F103" s="158" t="str">
        <f>IF($B103&lt;&gt;"",INDEX(DataOB[],FirstRow+ROW()-7,5),"")</f>
        <v xml:space="preserve">Install CO2 FM200 fire suppression system for Drum Test M/C 1 mc Y23) 9.17 kUSD/mc  (install for m/c  No 10) </v>
      </c>
      <c r="G103" s="58">
        <f>IF($B103&lt;&gt;"",SUMIFS(DataAct_tbl[AMOUNT],DataAct_tbl[BG CODE],Detail!$D103,DataAct_tbl[MONTH],LEFT(MonthName,3),DataAct_tbl[Dept code],$B103),0)</f>
        <v>0</v>
      </c>
      <c r="H103" s="31">
        <f t="shared" si="16"/>
        <v>0</v>
      </c>
      <c r="I103" s="28">
        <f t="shared" si="17"/>
        <v>0</v>
      </c>
      <c r="J103" s="32" t="str">
        <f t="shared" si="18"/>
        <v xml:space="preserve"> </v>
      </c>
      <c r="K103" s="86"/>
      <c r="L103" s="62">
        <f>IF($B103&lt;&gt;"",SUMIFS(DataAct_tbl[AMOUNT],DataAct_tbl[BG CODE],Detail!$D103,DataAct_tbl[Check Range],"=true",DataAct_tbl[Dept code],$B103),0)</f>
        <v>0</v>
      </c>
      <c r="M103" s="63">
        <f>INDEX($AG$7:$AR$1005,ROW()-6,MATCH(MTD,$AG$6:$AR$6,0))</f>
        <v>0</v>
      </c>
      <c r="N103" s="34">
        <f t="shared" si="19"/>
        <v>0</v>
      </c>
      <c r="O103" s="64" t="str">
        <f t="shared" si="20"/>
        <v xml:space="preserve"> </v>
      </c>
      <c r="Q103" s="97">
        <f t="shared" si="21"/>
        <v>9.17</v>
      </c>
      <c r="R103" s="96">
        <f t="shared" si="22"/>
        <v>9.17</v>
      </c>
      <c r="T103" s="67">
        <f>IF($B103&lt;&gt;"",INDEX(DataOB[],FirstRow+ROW()-7,MATCH(T$6,DataOB[#Headers],0)),"")</f>
        <v>0</v>
      </c>
      <c r="U103" s="67">
        <f>IF($B103&lt;&gt;"",INDEX(DataOB[],FirstRow+ROW()-7,MATCH(U$6,DataOB[#Headers],0)),"")</f>
        <v>0</v>
      </c>
      <c r="V103" s="67">
        <f>IF($B103&lt;&gt;"",INDEX(DataOB[],FirstRow+ROW()-7,MATCH(V$6,DataOB[#Headers],0)),"")</f>
        <v>0</v>
      </c>
      <c r="W103" s="67">
        <f>IF($B103&lt;&gt;"",INDEX(DataOB[],FirstRow+ROW()-7,MATCH(W$6,DataOB[#Headers],0)),"")</f>
        <v>0</v>
      </c>
      <c r="X103" s="67">
        <f>IF($B103&lt;&gt;"",INDEX(DataOB[],FirstRow+ROW()-7,MATCH(X$6,DataOB[#Headers],0)),"")</f>
        <v>0</v>
      </c>
      <c r="Y103" s="67">
        <f>IF($B103&lt;&gt;"",INDEX(DataOB[],FirstRow+ROW()-7,MATCH(Y$6,DataOB[#Headers],0)),"")</f>
        <v>0</v>
      </c>
      <c r="Z103" s="67">
        <f>IF($B103&lt;&gt;"",INDEX(DataOB[],FirstRow+ROW()-7,MATCH(Z$6,DataOB[#Headers],0)),"")</f>
        <v>0</v>
      </c>
      <c r="AA103" s="67">
        <f>IF($B103&lt;&gt;"",INDEX(DataOB[],FirstRow+ROW()-7,MATCH(AA$6,DataOB[#Headers],0)),"")</f>
        <v>0</v>
      </c>
      <c r="AB103" s="67">
        <f>IF($B103&lt;&gt;"",INDEX(DataOB[],FirstRow+ROW()-7,MATCH(AB$6,DataOB[#Headers],0)),"")</f>
        <v>0</v>
      </c>
      <c r="AC103" s="67">
        <f>IF($B103&lt;&gt;"",INDEX(DataOB[],FirstRow+ROW()-7,MATCH(AC$6,DataOB[#Headers],0)),"")</f>
        <v>9.17</v>
      </c>
      <c r="AD103" s="67">
        <f>IF($B103&lt;&gt;"",INDEX(DataOB[],FirstRow+ROW()-7,MATCH(AD$6,DataOB[#Headers],0)),"")</f>
        <v>0</v>
      </c>
      <c r="AE103" s="67">
        <f>IF($B103&lt;&gt;"",INDEX(DataOB[],FirstRow+ROW()-7,MATCH(AE$6,DataOB[#Headers],0)),"")</f>
        <v>0</v>
      </c>
      <c r="AF103" s="26">
        <f t="shared" si="23"/>
        <v>9.17</v>
      </c>
      <c r="AG103" s="31">
        <f>SUM($T103:T103)</f>
        <v>0</v>
      </c>
      <c r="AH103" s="31">
        <f>SUM($T103:U103)</f>
        <v>0</v>
      </c>
      <c r="AI103" s="31">
        <f>SUM($T103:V103)</f>
        <v>0</v>
      </c>
      <c r="AJ103" s="31">
        <f>SUM($T103:W103)</f>
        <v>0</v>
      </c>
      <c r="AK103" s="31">
        <f>SUM($T103:X103)</f>
        <v>0</v>
      </c>
      <c r="AL103" s="31">
        <f>SUM($T103:Y103)</f>
        <v>0</v>
      </c>
      <c r="AM103" s="31">
        <f>SUM($T103:Z103)</f>
        <v>0</v>
      </c>
      <c r="AN103" s="31">
        <f>SUM($T103:AA103)</f>
        <v>0</v>
      </c>
      <c r="AO103" s="31">
        <f>SUM($T103:AB103)</f>
        <v>0</v>
      </c>
      <c r="AP103" s="31">
        <f>SUM($T103:AC103)</f>
        <v>9.17</v>
      </c>
      <c r="AQ103" s="31">
        <f>SUM($T103:AD103)</f>
        <v>9.17</v>
      </c>
      <c r="AR103" s="31">
        <f>SUM($T103:AE103)</f>
        <v>9.17</v>
      </c>
      <c r="AS103" s="27">
        <f t="shared" si="24"/>
        <v>0</v>
      </c>
    </row>
    <row r="104" spans="2:45">
      <c r="B104" s="156">
        <f>IF(ROW()-6&gt;NumCostCenter,"",IF(CostCenter&lt;&gt;"ALL",CostCenter,DATA_LF2!B102))</f>
        <v>3311</v>
      </c>
      <c r="C104" s="153">
        <f>IF($B104&lt;&gt;"",INDEX(DataOB[],FirstRow+ROW()-7,2),"")</f>
        <v>3311</v>
      </c>
      <c r="D104" s="157" t="str">
        <f>IF($B104&lt;&gt;"",INDEX(DataOB[],FirstRow+ROW()-7,3),"")</f>
        <v>ME00998</v>
      </c>
      <c r="E104" s="158">
        <f>IF($B104&lt;&gt;"",INDEX(DataOB[],FirstRow+ROW()-7,6),"")</f>
        <v>0</v>
      </c>
      <c r="F104" s="158" t="str">
        <f>IF($B104&lt;&gt;"",INDEX(DataOB[],FirstRow+ROW()-7,5),"")</f>
        <v>Installation insurance</v>
      </c>
      <c r="G104" s="58">
        <f>IF($B104&lt;&gt;"",SUMIFS(DataAct_tbl[AMOUNT],DataAct_tbl[BG CODE],Detail!$D104,DataAct_tbl[MONTH],LEFT(MonthName,3),DataAct_tbl[Dept code],$B104),0)</f>
        <v>2.5741799999999997</v>
      </c>
      <c r="H104" s="31">
        <f t="shared" si="16"/>
        <v>0</v>
      </c>
      <c r="I104" s="28">
        <f t="shared" si="17"/>
        <v>2.5741799999999997</v>
      </c>
      <c r="J104" s="32" t="str">
        <f t="shared" si="18"/>
        <v xml:space="preserve"> </v>
      </c>
      <c r="K104" s="86"/>
      <c r="L104" s="62">
        <f>IF($B104&lt;&gt;"",SUMIFS(DataAct_tbl[AMOUNT],DataAct_tbl[BG CODE],Detail!$D104,DataAct_tbl[Check Range],"=true",DataAct_tbl[Dept code],$B104),0)</f>
        <v>2.5741799999999997</v>
      </c>
      <c r="M104" s="63">
        <f>INDEX($AG$7:$AR$1005,ROW()-6,MATCH(MTD,$AG$6:$AR$6,0))</f>
        <v>0</v>
      </c>
      <c r="N104" s="34">
        <f t="shared" si="19"/>
        <v>2.5741799999999997</v>
      </c>
      <c r="O104" s="64" t="str">
        <f t="shared" si="20"/>
        <v xml:space="preserve"> </v>
      </c>
      <c r="Q104" s="97">
        <f t="shared" si="21"/>
        <v>62.248470172536592</v>
      </c>
      <c r="R104" s="96">
        <f t="shared" si="22"/>
        <v>59.674290172536594</v>
      </c>
      <c r="T104" s="67">
        <f>IF($B104&lt;&gt;"",INDEX(DataOB[],FirstRow+ROW()-7,MATCH(T$6,DataOB[#Headers],0)),"")</f>
        <v>0</v>
      </c>
      <c r="U104" s="67">
        <f>IF($B104&lt;&gt;"",INDEX(DataOB[],FirstRow+ROW()-7,MATCH(U$6,DataOB[#Headers],0)),"")</f>
        <v>0</v>
      </c>
      <c r="V104" s="67">
        <f>IF($B104&lt;&gt;"",INDEX(DataOB[],FirstRow+ROW()-7,MATCH(V$6,DataOB[#Headers],0)),"")</f>
        <v>0</v>
      </c>
      <c r="W104" s="67">
        <f>IF($B104&lt;&gt;"",INDEX(DataOB[],FirstRow+ROW()-7,MATCH(W$6,DataOB[#Headers],0)),"")</f>
        <v>0</v>
      </c>
      <c r="X104" s="67">
        <f>IF($B104&lt;&gt;"",INDEX(DataOB[],FirstRow+ROW()-7,MATCH(X$6,DataOB[#Headers],0)),"")</f>
        <v>0</v>
      </c>
      <c r="Y104" s="67">
        <f>IF($B104&lt;&gt;"",INDEX(DataOB[],FirstRow+ROW()-7,MATCH(Y$6,DataOB[#Headers],0)),"")</f>
        <v>0</v>
      </c>
      <c r="Z104" s="67">
        <f>IF($B104&lt;&gt;"",INDEX(DataOB[],FirstRow+ROW()-7,MATCH(Z$6,DataOB[#Headers],0)),"")</f>
        <v>0</v>
      </c>
      <c r="AA104" s="67">
        <f>IF($B104&lt;&gt;"",INDEX(DataOB[],FirstRow+ROW()-7,MATCH(AA$6,DataOB[#Headers],0)),"")</f>
        <v>0</v>
      </c>
      <c r="AB104" s="67">
        <f>IF($B104&lt;&gt;"",INDEX(DataOB[],FirstRow+ROW()-7,MATCH(AB$6,DataOB[#Headers],0)),"")</f>
        <v>0</v>
      </c>
      <c r="AC104" s="67">
        <f>IF($B104&lt;&gt;"",INDEX(DataOB[],FirstRow+ROW()-7,MATCH(AC$6,DataOB[#Headers],0)),"")</f>
        <v>0</v>
      </c>
      <c r="AD104" s="67">
        <f>IF($B104&lt;&gt;"",INDEX(DataOB[],FirstRow+ROW()-7,MATCH(AD$6,DataOB[#Headers],0)),"")</f>
        <v>0</v>
      </c>
      <c r="AE104" s="67">
        <f>IF($B104&lt;&gt;"",INDEX(DataOB[],FirstRow+ROW()-7,MATCH(AE$6,DataOB[#Headers],0)),"")</f>
        <v>62.248470172536592</v>
      </c>
      <c r="AF104" s="26">
        <f t="shared" si="23"/>
        <v>62.248470172536592</v>
      </c>
      <c r="AG104" s="31">
        <f>SUM($T104:T104)</f>
        <v>0</v>
      </c>
      <c r="AH104" s="31">
        <f>SUM($T104:U104)</f>
        <v>0</v>
      </c>
      <c r="AI104" s="31">
        <f>SUM($T104:V104)</f>
        <v>0</v>
      </c>
      <c r="AJ104" s="31">
        <f>SUM($T104:W104)</f>
        <v>0</v>
      </c>
      <c r="AK104" s="31">
        <f>SUM($T104:X104)</f>
        <v>0</v>
      </c>
      <c r="AL104" s="31">
        <f>SUM($T104:Y104)</f>
        <v>0</v>
      </c>
      <c r="AM104" s="31">
        <f>SUM($T104:Z104)</f>
        <v>0</v>
      </c>
      <c r="AN104" s="31">
        <f>SUM($T104:AA104)</f>
        <v>0</v>
      </c>
      <c r="AO104" s="31">
        <f>SUM($T104:AB104)</f>
        <v>0</v>
      </c>
      <c r="AP104" s="31">
        <f>SUM($T104:AC104)</f>
        <v>0</v>
      </c>
      <c r="AQ104" s="31">
        <f>SUM($T104:AD104)</f>
        <v>0</v>
      </c>
      <c r="AR104" s="31">
        <f>SUM($T104:AE104)</f>
        <v>62.248470172536592</v>
      </c>
      <c r="AS104" s="27">
        <f t="shared" si="24"/>
        <v>0</v>
      </c>
    </row>
    <row r="105" spans="2:45">
      <c r="B105" s="156">
        <f>IF(ROW()-6&gt;NumCostCenter,"",IF(CostCenter&lt;&gt;"ALL",CostCenter,DATA_LF2!B103))</f>
        <v>3311</v>
      </c>
      <c r="C105" s="153">
        <f>IF($B105&lt;&gt;"",INDEX(DataOB[],FirstRow+ROW()-7,2),"")</f>
        <v>3311</v>
      </c>
      <c r="D105" s="157" t="str">
        <f>IF($B105&lt;&gt;"",INDEX(DataOB[],FirstRow+ROW()-7,3),"")</f>
        <v>TBD</v>
      </c>
      <c r="E105" s="158">
        <f>IF($B105&lt;&gt;"",INDEX(DataOB[],FirstRow+ROW()-7,6),"")</f>
        <v>0</v>
      </c>
      <c r="F105" s="158" t="str">
        <f>IF($B105&lt;&gt;"",INDEX(DataOB[],FirstRow+ROW()-7,5),"")</f>
        <v>Purchasing system Y24</v>
      </c>
      <c r="G105" s="58">
        <f>IF($B105&lt;&gt;"",SUMIFS(DataAct_tbl[AMOUNT],DataAct_tbl[BG CODE],Detail!$D105,DataAct_tbl[MONTH],LEFT(MonthName,3),DataAct_tbl[Dept code],$B105),0)</f>
        <v>0</v>
      </c>
      <c r="H105" s="31">
        <f t="shared" si="16"/>
        <v>0</v>
      </c>
      <c r="I105" s="28">
        <f t="shared" si="17"/>
        <v>0</v>
      </c>
      <c r="J105" s="32" t="str">
        <f t="shared" si="18"/>
        <v xml:space="preserve"> </v>
      </c>
      <c r="K105" s="86"/>
      <c r="L105" s="62">
        <f>IF($B105&lt;&gt;"",SUMIFS(DataAct_tbl[AMOUNT],DataAct_tbl[BG CODE],Detail!$D105,DataAct_tbl[Check Range],"=true",DataAct_tbl[Dept code],$B105),0)</f>
        <v>0</v>
      </c>
      <c r="M105" s="63">
        <f>INDEX($AG$7:$AR$1005,ROW()-6,MATCH(MTD,$AG$6:$AR$6,0))</f>
        <v>0</v>
      </c>
      <c r="N105" s="34">
        <f t="shared" si="19"/>
        <v>0</v>
      </c>
      <c r="O105" s="64" t="str">
        <f t="shared" si="20"/>
        <v xml:space="preserve"> </v>
      </c>
      <c r="Q105" s="97">
        <f t="shared" si="21"/>
        <v>200</v>
      </c>
      <c r="R105" s="96">
        <f t="shared" si="22"/>
        <v>200</v>
      </c>
      <c r="T105" s="67">
        <f>IF($B105&lt;&gt;"",INDEX(DataOB[],FirstRow+ROW()-7,MATCH(T$6,DataOB[#Headers],0)),"")</f>
        <v>0</v>
      </c>
      <c r="U105" s="67">
        <f>IF($B105&lt;&gt;"",INDEX(DataOB[],FirstRow+ROW()-7,MATCH(U$6,DataOB[#Headers],0)),"")</f>
        <v>0</v>
      </c>
      <c r="V105" s="67">
        <f>IF($B105&lt;&gt;"",INDEX(DataOB[],FirstRow+ROW()-7,MATCH(V$6,DataOB[#Headers],0)),"")</f>
        <v>0</v>
      </c>
      <c r="W105" s="67">
        <f>IF($B105&lt;&gt;"",INDEX(DataOB[],FirstRow+ROW()-7,MATCH(W$6,DataOB[#Headers],0)),"")</f>
        <v>0</v>
      </c>
      <c r="X105" s="67">
        <f>IF($B105&lt;&gt;"",INDEX(DataOB[],FirstRow+ROW()-7,MATCH(X$6,DataOB[#Headers],0)),"")</f>
        <v>0</v>
      </c>
      <c r="Y105" s="67">
        <f>IF($B105&lt;&gt;"",INDEX(DataOB[],FirstRow+ROW()-7,MATCH(Y$6,DataOB[#Headers],0)),"")</f>
        <v>0</v>
      </c>
      <c r="Z105" s="67">
        <f>IF($B105&lt;&gt;"",INDEX(DataOB[],FirstRow+ROW()-7,MATCH(Z$6,DataOB[#Headers],0)),"")</f>
        <v>0</v>
      </c>
      <c r="AA105" s="67">
        <f>IF($B105&lt;&gt;"",INDEX(DataOB[],FirstRow+ROW()-7,MATCH(AA$6,DataOB[#Headers],0)),"")</f>
        <v>0</v>
      </c>
      <c r="AB105" s="67">
        <f>IF($B105&lt;&gt;"",INDEX(DataOB[],FirstRow+ROW()-7,MATCH(AB$6,DataOB[#Headers],0)),"")</f>
        <v>0</v>
      </c>
      <c r="AC105" s="67">
        <f>IF($B105&lt;&gt;"",INDEX(DataOB[],FirstRow+ROW()-7,MATCH(AC$6,DataOB[#Headers],0)),"")</f>
        <v>0</v>
      </c>
      <c r="AD105" s="67">
        <f>IF($B105&lt;&gt;"",INDEX(DataOB[],FirstRow+ROW()-7,MATCH(AD$6,DataOB[#Headers],0)),"")</f>
        <v>0</v>
      </c>
      <c r="AE105" s="67">
        <f>IF($B105&lt;&gt;"",INDEX(DataOB[],FirstRow+ROW()-7,MATCH(AE$6,DataOB[#Headers],0)),"")</f>
        <v>200</v>
      </c>
      <c r="AF105" s="26">
        <f t="shared" si="23"/>
        <v>200</v>
      </c>
      <c r="AG105" s="31">
        <f>SUM($T105:T105)</f>
        <v>0</v>
      </c>
      <c r="AH105" s="31">
        <f>SUM($T105:U105)</f>
        <v>0</v>
      </c>
      <c r="AI105" s="31">
        <f>SUM($T105:V105)</f>
        <v>0</v>
      </c>
      <c r="AJ105" s="31">
        <f>SUM($T105:W105)</f>
        <v>0</v>
      </c>
      <c r="AK105" s="31">
        <f>SUM($T105:X105)</f>
        <v>0</v>
      </c>
      <c r="AL105" s="31">
        <f>SUM($T105:Y105)</f>
        <v>0</v>
      </c>
      <c r="AM105" s="31">
        <f>SUM($T105:Z105)</f>
        <v>0</v>
      </c>
      <c r="AN105" s="31">
        <f>SUM($T105:AA105)</f>
        <v>0</v>
      </c>
      <c r="AO105" s="31">
        <f>SUM($T105:AB105)</f>
        <v>0</v>
      </c>
      <c r="AP105" s="31">
        <f>SUM($T105:AC105)</f>
        <v>0</v>
      </c>
      <c r="AQ105" s="31">
        <f>SUM($T105:AD105)</f>
        <v>0</v>
      </c>
      <c r="AR105" s="31">
        <f>SUM($T105:AE105)</f>
        <v>200</v>
      </c>
      <c r="AS105" s="27">
        <f t="shared" si="24"/>
        <v>0</v>
      </c>
    </row>
    <row r="106" spans="2:45">
      <c r="B106" s="156">
        <f>IF(ROW()-6&gt;NumCostCenter,"",IF(CostCenter&lt;&gt;"ALL",CostCenter,DATA_LF2!B104))</f>
        <v>3312</v>
      </c>
      <c r="C106" s="153">
        <f>IF($B106&lt;&gt;"",INDEX(DataOB[],FirstRow+ROW()-7,2),"")</f>
        <v>3312</v>
      </c>
      <c r="D106" s="157" t="str">
        <f>IF($B106&lt;&gt;"",INDEX(DataOB[],FirstRow+ROW()-7,3),"")</f>
        <v>TBD</v>
      </c>
      <c r="E106" s="158">
        <f>IF($B106&lt;&gt;"",INDEX(DataOB[],FirstRow+ROW()-7,6),"")</f>
        <v>0</v>
      </c>
      <c r="F106" s="158" t="str">
        <f>IF($B106&lt;&gt;"",INDEX(DataOB[],FirstRow+ROW()-7,5),"")</f>
        <v xml:space="preserve">Forklift </v>
      </c>
      <c r="G106" s="58">
        <f>IF($B106&lt;&gt;"",SUMIFS(DataAct_tbl[AMOUNT],DataAct_tbl[BG CODE],Detail!$D106,DataAct_tbl[MONTH],LEFT(MonthName,3),DataAct_tbl[Dept code],$B106),0)</f>
        <v>0</v>
      </c>
      <c r="H106" s="31">
        <f t="shared" si="16"/>
        <v>0</v>
      </c>
      <c r="I106" s="28">
        <f t="shared" si="17"/>
        <v>0</v>
      </c>
      <c r="J106" s="32" t="str">
        <f t="shared" si="18"/>
        <v xml:space="preserve"> </v>
      </c>
      <c r="K106" s="86"/>
      <c r="L106" s="62">
        <f>IF($B106&lt;&gt;"",SUMIFS(DataAct_tbl[AMOUNT],DataAct_tbl[BG CODE],Detail!$D106,DataAct_tbl[Check Range],"=true",DataAct_tbl[Dept code],$B106),0)</f>
        <v>0</v>
      </c>
      <c r="M106" s="63">
        <f>INDEX($AG$7:$AR$1005,ROW()-6,MATCH(MTD,$AG$6:$AR$6,0))</f>
        <v>0</v>
      </c>
      <c r="N106" s="34">
        <f t="shared" si="19"/>
        <v>0</v>
      </c>
      <c r="O106" s="64" t="str">
        <f t="shared" si="20"/>
        <v xml:space="preserve"> </v>
      </c>
      <c r="Q106" s="97">
        <f t="shared" si="21"/>
        <v>0</v>
      </c>
      <c r="R106" s="96">
        <f t="shared" si="22"/>
        <v>0</v>
      </c>
      <c r="T106" s="67">
        <f>IF($B106&lt;&gt;"",INDEX(DataOB[],FirstRow+ROW()-7,MATCH(T$6,DataOB[#Headers],0)),"")</f>
        <v>0</v>
      </c>
      <c r="U106" s="67">
        <f>IF($B106&lt;&gt;"",INDEX(DataOB[],FirstRow+ROW()-7,MATCH(U$6,DataOB[#Headers],0)),"")</f>
        <v>0</v>
      </c>
      <c r="V106" s="67">
        <f>IF($B106&lt;&gt;"",INDEX(DataOB[],FirstRow+ROW()-7,MATCH(V$6,DataOB[#Headers],0)),"")</f>
        <v>0</v>
      </c>
      <c r="W106" s="67">
        <f>IF($B106&lt;&gt;"",INDEX(DataOB[],FirstRow+ROW()-7,MATCH(W$6,DataOB[#Headers],0)),"")</f>
        <v>0</v>
      </c>
      <c r="X106" s="67">
        <f>IF($B106&lt;&gt;"",INDEX(DataOB[],FirstRow+ROW()-7,MATCH(X$6,DataOB[#Headers],0)),"")</f>
        <v>0</v>
      </c>
      <c r="Y106" s="67">
        <f>IF($B106&lt;&gt;"",INDEX(DataOB[],FirstRow+ROW()-7,MATCH(Y$6,DataOB[#Headers],0)),"")</f>
        <v>0</v>
      </c>
      <c r="Z106" s="67">
        <f>IF($B106&lt;&gt;"",INDEX(DataOB[],FirstRow+ROW()-7,MATCH(Z$6,DataOB[#Headers],0)),"")</f>
        <v>0</v>
      </c>
      <c r="AA106" s="67">
        <f>IF($B106&lt;&gt;"",INDEX(DataOB[],FirstRow+ROW()-7,MATCH(AA$6,DataOB[#Headers],0)),"")</f>
        <v>0</v>
      </c>
      <c r="AB106" s="67">
        <f>IF($B106&lt;&gt;"",INDEX(DataOB[],FirstRow+ROW()-7,MATCH(AB$6,DataOB[#Headers],0)),"")</f>
        <v>0</v>
      </c>
      <c r="AC106" s="67">
        <f>IF($B106&lt;&gt;"",INDEX(DataOB[],FirstRow+ROW()-7,MATCH(AC$6,DataOB[#Headers],0)),"")</f>
        <v>0</v>
      </c>
      <c r="AD106" s="67">
        <f>IF($B106&lt;&gt;"",INDEX(DataOB[],FirstRow+ROW()-7,MATCH(AD$6,DataOB[#Headers],0)),"")</f>
        <v>0</v>
      </c>
      <c r="AE106" s="67">
        <f>IF($B106&lt;&gt;"",INDEX(DataOB[],FirstRow+ROW()-7,MATCH(AE$6,DataOB[#Headers],0)),"")</f>
        <v>0</v>
      </c>
      <c r="AF106" s="26">
        <f t="shared" si="23"/>
        <v>0</v>
      </c>
      <c r="AG106" s="31">
        <f>SUM($T106:T106)</f>
        <v>0</v>
      </c>
      <c r="AH106" s="31">
        <f>SUM($T106:U106)</f>
        <v>0</v>
      </c>
      <c r="AI106" s="31">
        <f>SUM($T106:V106)</f>
        <v>0</v>
      </c>
      <c r="AJ106" s="31">
        <f>SUM($T106:W106)</f>
        <v>0</v>
      </c>
      <c r="AK106" s="31">
        <f>SUM($T106:X106)</f>
        <v>0</v>
      </c>
      <c r="AL106" s="31">
        <f>SUM($T106:Y106)</f>
        <v>0</v>
      </c>
      <c r="AM106" s="31">
        <f>SUM($T106:Z106)</f>
        <v>0</v>
      </c>
      <c r="AN106" s="31">
        <f>SUM($T106:AA106)</f>
        <v>0</v>
      </c>
      <c r="AO106" s="31">
        <f>SUM($T106:AB106)</f>
        <v>0</v>
      </c>
      <c r="AP106" s="31">
        <f>SUM($T106:AC106)</f>
        <v>0</v>
      </c>
      <c r="AQ106" s="31">
        <f>SUM($T106:AD106)</f>
        <v>0</v>
      </c>
      <c r="AR106" s="31">
        <f>SUM($T106:AE106)</f>
        <v>0</v>
      </c>
      <c r="AS106" s="27">
        <f t="shared" si="24"/>
        <v>0</v>
      </c>
    </row>
    <row r="107" spans="2:45">
      <c r="B107" s="156">
        <f>IF(ROW()-6&gt;NumCostCenter,"",IF(CostCenter&lt;&gt;"ALL",CostCenter,DATA_LF2!B105))</f>
        <v>3312</v>
      </c>
      <c r="C107" s="153">
        <f>IF($B107&lt;&gt;"",INDEX(DataOB[],FirstRow+ROW()-7,2),"")</f>
        <v>3312</v>
      </c>
      <c r="D107" s="157" t="str">
        <f>IF($B107&lt;&gt;"",INDEX(DataOB[],FirstRow+ROW()-7,3),"")</f>
        <v>TBD</v>
      </c>
      <c r="E107" s="158">
        <f>IF($B107&lt;&gt;"",INDEX(DataOB[],FirstRow+ROW()-7,6),"")</f>
        <v>0</v>
      </c>
      <c r="F107" s="158" t="str">
        <f>IF($B107&lt;&gt;"",INDEX(DataOB[],FirstRow+ROW()-7,5),"")</f>
        <v>Improve WMS function</v>
      </c>
      <c r="G107" s="58">
        <f>IF($B107&lt;&gt;"",SUMIFS(DataAct_tbl[AMOUNT],DataAct_tbl[BG CODE],Detail!$D107,DataAct_tbl[MONTH],LEFT(MonthName,3),DataAct_tbl[Dept code],$B107),0)</f>
        <v>0</v>
      </c>
      <c r="H107" s="31">
        <f t="shared" si="16"/>
        <v>0</v>
      </c>
      <c r="I107" s="28">
        <f t="shared" si="17"/>
        <v>0</v>
      </c>
      <c r="J107" s="32" t="str">
        <f t="shared" si="18"/>
        <v xml:space="preserve"> </v>
      </c>
      <c r="K107" s="86"/>
      <c r="L107" s="62">
        <f>IF($B107&lt;&gt;"",SUMIFS(DataAct_tbl[AMOUNT],DataAct_tbl[BG CODE],Detail!$D107,DataAct_tbl[Check Range],"=true",DataAct_tbl[Dept code],$B107),0)</f>
        <v>0</v>
      </c>
      <c r="M107" s="63">
        <f>INDEX($AG$7:$AR$1005,ROW()-6,MATCH(MTD,$AG$6:$AR$6,0))</f>
        <v>0</v>
      </c>
      <c r="N107" s="34">
        <f t="shared" si="19"/>
        <v>0</v>
      </c>
      <c r="O107" s="64" t="str">
        <f t="shared" si="20"/>
        <v xml:space="preserve"> </v>
      </c>
      <c r="Q107" s="97">
        <f t="shared" si="21"/>
        <v>0</v>
      </c>
      <c r="R107" s="96">
        <f t="shared" si="22"/>
        <v>0</v>
      </c>
      <c r="T107" s="67">
        <f>IF($B107&lt;&gt;"",INDEX(DataOB[],FirstRow+ROW()-7,MATCH(T$6,DataOB[#Headers],0)),"")</f>
        <v>0</v>
      </c>
      <c r="U107" s="67">
        <f>IF($B107&lt;&gt;"",INDEX(DataOB[],FirstRow+ROW()-7,MATCH(U$6,DataOB[#Headers],0)),"")</f>
        <v>0</v>
      </c>
      <c r="V107" s="67">
        <f>IF($B107&lt;&gt;"",INDEX(DataOB[],FirstRow+ROW()-7,MATCH(V$6,DataOB[#Headers],0)),"")</f>
        <v>0</v>
      </c>
      <c r="W107" s="67">
        <f>IF($B107&lt;&gt;"",INDEX(DataOB[],FirstRow+ROW()-7,MATCH(W$6,DataOB[#Headers],0)),"")</f>
        <v>0</v>
      </c>
      <c r="X107" s="67">
        <f>IF($B107&lt;&gt;"",INDEX(DataOB[],FirstRow+ROW()-7,MATCH(X$6,DataOB[#Headers],0)),"")</f>
        <v>0</v>
      </c>
      <c r="Y107" s="67">
        <f>IF($B107&lt;&gt;"",INDEX(DataOB[],FirstRow+ROW()-7,MATCH(Y$6,DataOB[#Headers],0)),"")</f>
        <v>0</v>
      </c>
      <c r="Z107" s="67">
        <f>IF($B107&lt;&gt;"",INDEX(DataOB[],FirstRow+ROW()-7,MATCH(Z$6,DataOB[#Headers],0)),"")</f>
        <v>0</v>
      </c>
      <c r="AA107" s="67">
        <f>IF($B107&lt;&gt;"",INDEX(DataOB[],FirstRow+ROW()-7,MATCH(AA$6,DataOB[#Headers],0)),"")</f>
        <v>0</v>
      </c>
      <c r="AB107" s="67">
        <f>IF($B107&lt;&gt;"",INDEX(DataOB[],FirstRow+ROW()-7,MATCH(AB$6,DataOB[#Headers],0)),"")</f>
        <v>0</v>
      </c>
      <c r="AC107" s="67">
        <f>IF($B107&lt;&gt;"",INDEX(DataOB[],FirstRow+ROW()-7,MATCH(AC$6,DataOB[#Headers],0)),"")</f>
        <v>0</v>
      </c>
      <c r="AD107" s="67">
        <f>IF($B107&lt;&gt;"",INDEX(DataOB[],FirstRow+ROW()-7,MATCH(AD$6,DataOB[#Headers],0)),"")</f>
        <v>0</v>
      </c>
      <c r="AE107" s="67">
        <f>IF($B107&lt;&gt;"",INDEX(DataOB[],FirstRow+ROW()-7,MATCH(AE$6,DataOB[#Headers],0)),"")</f>
        <v>0</v>
      </c>
      <c r="AF107" s="26">
        <f t="shared" si="23"/>
        <v>0</v>
      </c>
      <c r="AG107" s="31">
        <f>SUM($T107:T107)</f>
        <v>0</v>
      </c>
      <c r="AH107" s="31">
        <f>SUM($T107:U107)</f>
        <v>0</v>
      </c>
      <c r="AI107" s="31">
        <f>SUM($T107:V107)</f>
        <v>0</v>
      </c>
      <c r="AJ107" s="31">
        <f>SUM($T107:W107)</f>
        <v>0</v>
      </c>
      <c r="AK107" s="31">
        <f>SUM($T107:X107)</f>
        <v>0</v>
      </c>
      <c r="AL107" s="31">
        <f>SUM($T107:Y107)</f>
        <v>0</v>
      </c>
      <c r="AM107" s="31">
        <f>SUM($T107:Z107)</f>
        <v>0</v>
      </c>
      <c r="AN107" s="31">
        <f>SUM($T107:AA107)</f>
        <v>0</v>
      </c>
      <c r="AO107" s="31">
        <f>SUM($T107:AB107)</f>
        <v>0</v>
      </c>
      <c r="AP107" s="31">
        <f>SUM($T107:AC107)</f>
        <v>0</v>
      </c>
      <c r="AQ107" s="31">
        <f>SUM($T107:AD107)</f>
        <v>0</v>
      </c>
      <c r="AR107" s="31">
        <f>SUM($T107:AE107)</f>
        <v>0</v>
      </c>
      <c r="AS107" s="27">
        <f t="shared" si="24"/>
        <v>0</v>
      </c>
    </row>
    <row r="108" spans="2:45">
      <c r="B108" s="156">
        <f>IF(ROW()-6&gt;NumCostCenter,"",IF(CostCenter&lt;&gt;"ALL",CostCenter,DATA_LF2!B106))</f>
        <v>3312</v>
      </c>
      <c r="C108" s="153">
        <f>IF($B108&lt;&gt;"",INDEX(DataOB[],FirstRow+ROW()-7,2),"")</f>
        <v>3312</v>
      </c>
      <c r="D108" s="157" t="str">
        <f>IF($B108&lt;&gt;"",INDEX(DataOB[],FirstRow+ROW()-7,3),"")</f>
        <v>TBD</v>
      </c>
      <c r="E108" s="158">
        <f>IF($B108&lt;&gt;"",INDEX(DataOB[],FirstRow+ROW()-7,6),"")</f>
        <v>0</v>
      </c>
      <c r="F108" s="158" t="str">
        <f>IF($B108&lt;&gt;"",INDEX(DataOB[],FirstRow+ROW()-7,5),"")</f>
        <v>Container loading conveyor Y23</v>
      </c>
      <c r="G108" s="58">
        <f>IF($B108&lt;&gt;"",SUMIFS(DataAct_tbl[AMOUNT],DataAct_tbl[BG CODE],Detail!$D108,DataAct_tbl[MONTH],LEFT(MonthName,3),DataAct_tbl[Dept code],$B108),0)</f>
        <v>0</v>
      </c>
      <c r="H108" s="31">
        <f t="shared" si="16"/>
        <v>0</v>
      </c>
      <c r="I108" s="28">
        <f t="shared" si="17"/>
        <v>0</v>
      </c>
      <c r="J108" s="32" t="str">
        <f t="shared" si="18"/>
        <v xml:space="preserve"> </v>
      </c>
      <c r="K108" s="86"/>
      <c r="L108" s="62">
        <f>IF($B108&lt;&gt;"",SUMIFS(DataAct_tbl[AMOUNT],DataAct_tbl[BG CODE],Detail!$D108,DataAct_tbl[Check Range],"=true",DataAct_tbl[Dept code],$B108),0)</f>
        <v>0</v>
      </c>
      <c r="M108" s="63">
        <f>INDEX($AG$7:$AR$1005,ROW()-6,MATCH(MTD,$AG$6:$AR$6,0))</f>
        <v>0</v>
      </c>
      <c r="N108" s="34">
        <f t="shared" si="19"/>
        <v>0</v>
      </c>
      <c r="O108" s="64" t="str">
        <f t="shared" si="20"/>
        <v xml:space="preserve"> </v>
      </c>
      <c r="Q108" s="97">
        <f t="shared" si="21"/>
        <v>0</v>
      </c>
      <c r="R108" s="96">
        <f t="shared" si="22"/>
        <v>0</v>
      </c>
      <c r="T108" s="67">
        <f>IF($B108&lt;&gt;"",INDEX(DataOB[],FirstRow+ROW()-7,MATCH(T$6,DataOB[#Headers],0)),"")</f>
        <v>0</v>
      </c>
      <c r="U108" s="67">
        <f>IF($B108&lt;&gt;"",INDEX(DataOB[],FirstRow+ROW()-7,MATCH(U$6,DataOB[#Headers],0)),"")</f>
        <v>0</v>
      </c>
      <c r="V108" s="67">
        <f>IF($B108&lt;&gt;"",INDEX(DataOB[],FirstRow+ROW()-7,MATCH(V$6,DataOB[#Headers],0)),"")</f>
        <v>0</v>
      </c>
      <c r="W108" s="67">
        <f>IF($B108&lt;&gt;"",INDEX(DataOB[],FirstRow+ROW()-7,MATCH(W$6,DataOB[#Headers],0)),"")</f>
        <v>0</v>
      </c>
      <c r="X108" s="67">
        <f>IF($B108&lt;&gt;"",INDEX(DataOB[],FirstRow+ROW()-7,MATCH(X$6,DataOB[#Headers],0)),"")</f>
        <v>0</v>
      </c>
      <c r="Y108" s="67">
        <f>IF($B108&lt;&gt;"",INDEX(DataOB[],FirstRow+ROW()-7,MATCH(Y$6,DataOB[#Headers],0)),"")</f>
        <v>0</v>
      </c>
      <c r="Z108" s="67">
        <f>IF($B108&lt;&gt;"",INDEX(DataOB[],FirstRow+ROW()-7,MATCH(Z$6,DataOB[#Headers],0)),"")</f>
        <v>0</v>
      </c>
      <c r="AA108" s="67">
        <f>IF($B108&lt;&gt;"",INDEX(DataOB[],FirstRow+ROW()-7,MATCH(AA$6,DataOB[#Headers],0)),"")</f>
        <v>0</v>
      </c>
      <c r="AB108" s="67">
        <f>IF($B108&lt;&gt;"",INDEX(DataOB[],FirstRow+ROW()-7,MATCH(AB$6,DataOB[#Headers],0)),"")</f>
        <v>0</v>
      </c>
      <c r="AC108" s="67">
        <f>IF($B108&lt;&gt;"",INDEX(DataOB[],FirstRow+ROW()-7,MATCH(AC$6,DataOB[#Headers],0)),"")</f>
        <v>0</v>
      </c>
      <c r="AD108" s="67">
        <f>IF($B108&lt;&gt;"",INDEX(DataOB[],FirstRow+ROW()-7,MATCH(AD$6,DataOB[#Headers],0)),"")</f>
        <v>0</v>
      </c>
      <c r="AE108" s="67">
        <f>IF($B108&lt;&gt;"",INDEX(DataOB[],FirstRow+ROW()-7,MATCH(AE$6,DataOB[#Headers],0)),"")</f>
        <v>0</v>
      </c>
      <c r="AF108" s="26">
        <f t="shared" si="23"/>
        <v>0</v>
      </c>
      <c r="AG108" s="31">
        <f>SUM($T108:T108)</f>
        <v>0</v>
      </c>
      <c r="AH108" s="31">
        <f>SUM($T108:U108)</f>
        <v>0</v>
      </c>
      <c r="AI108" s="31">
        <f>SUM($T108:V108)</f>
        <v>0</v>
      </c>
      <c r="AJ108" s="31">
        <f>SUM($T108:W108)</f>
        <v>0</v>
      </c>
      <c r="AK108" s="31">
        <f>SUM($T108:X108)</f>
        <v>0</v>
      </c>
      <c r="AL108" s="31">
        <f>SUM($T108:Y108)</f>
        <v>0</v>
      </c>
      <c r="AM108" s="31">
        <f>SUM($T108:Z108)</f>
        <v>0</v>
      </c>
      <c r="AN108" s="31">
        <f>SUM($T108:AA108)</f>
        <v>0</v>
      </c>
      <c r="AO108" s="31">
        <f>SUM($T108:AB108)</f>
        <v>0</v>
      </c>
      <c r="AP108" s="31">
        <f>SUM($T108:AC108)</f>
        <v>0</v>
      </c>
      <c r="AQ108" s="31">
        <f>SUM($T108:AD108)</f>
        <v>0</v>
      </c>
      <c r="AR108" s="31">
        <f>SUM($T108:AE108)</f>
        <v>0</v>
      </c>
      <c r="AS108" s="27">
        <f t="shared" si="24"/>
        <v>0</v>
      </c>
    </row>
    <row r="109" spans="2:45">
      <c r="B109" s="156">
        <f>IF(ROW()-6&gt;NumCostCenter,"",IF(CostCenter&lt;&gt;"ALL",CostCenter,DATA_LF2!B107))</f>
        <v>8111</v>
      </c>
      <c r="C109" s="153">
        <f>IF($B109&lt;&gt;"",INDEX(DataOB[],FirstRow+ROW()-7,2),"")</f>
        <v>8111</v>
      </c>
      <c r="D109" s="157" t="str">
        <f>IF($B109&lt;&gt;"",INDEX(DataOB[],FirstRow+ROW()-7,3),"")</f>
        <v>O167011A</v>
      </c>
      <c r="E109" s="158">
        <f>IF($B109&lt;&gt;"",INDEX(DataOB[],FirstRow+ROW()-7,6),"")</f>
        <v>0</v>
      </c>
      <c r="F109" s="158" t="str">
        <f>IF($B109&lt;&gt;"",INDEX(DataOB[],FirstRow+ROW()-7,5),"")</f>
        <v>Mold Y24</v>
      </c>
      <c r="G109" s="58">
        <f>IF($B109&lt;&gt;"",SUMIFS(DataAct_tbl[AMOUNT],DataAct_tbl[BG CODE],Detail!$D109,DataAct_tbl[MONTH],LEFT(MonthName,3),DataAct_tbl[Dept code],$B109),0)</f>
        <v>19.492000000000001</v>
      </c>
      <c r="H109" s="31">
        <f t="shared" si="16"/>
        <v>25</v>
      </c>
      <c r="I109" s="28">
        <f t="shared" si="17"/>
        <v>-5.5079999999999991</v>
      </c>
      <c r="J109" s="32">
        <f t="shared" si="18"/>
        <v>0.77968000000000004</v>
      </c>
      <c r="K109" s="86"/>
      <c r="L109" s="62">
        <f>IF($B109&lt;&gt;"",SUMIFS(DataAct_tbl[AMOUNT],DataAct_tbl[BG CODE],Detail!$D109,DataAct_tbl[Check Range],"=true",DataAct_tbl[Dept code],$B109),0)</f>
        <v>276.75447000000008</v>
      </c>
      <c r="M109" s="63">
        <f>INDEX($AG$7:$AR$1005,ROW()-6,MATCH(MTD,$AG$6:$AR$6,0))</f>
        <v>282.26246999999995</v>
      </c>
      <c r="N109" s="34">
        <f t="shared" si="19"/>
        <v>-5.5079999999998677</v>
      </c>
      <c r="O109" s="64">
        <f t="shared" si="20"/>
        <v>0.98048624742779344</v>
      </c>
      <c r="Q109" s="97">
        <f t="shared" si="21"/>
        <v>1044.7624699999999</v>
      </c>
      <c r="R109" s="96">
        <f t="shared" si="22"/>
        <v>768.00799999999981</v>
      </c>
      <c r="T109" s="67">
        <f>IF($B109&lt;&gt;"",INDEX(DataOB[],FirstRow+ROW()-7,MATCH(T$6,DataOB[#Headers],0)),"")</f>
        <v>79.305360000000007</v>
      </c>
      <c r="U109" s="67">
        <f>IF($B109&lt;&gt;"",INDEX(DataOB[],FirstRow+ROW()-7,MATCH(U$6,DataOB[#Headers],0)),"")</f>
        <v>54.239240000000002</v>
      </c>
      <c r="V109" s="67">
        <f>IF($B109&lt;&gt;"",INDEX(DataOB[],FirstRow+ROW()-7,MATCH(V$6,DataOB[#Headers],0)),"")</f>
        <v>23.327949999999998</v>
      </c>
      <c r="W109" s="67">
        <f>IF($B109&lt;&gt;"",INDEX(DataOB[],FirstRow+ROW()-7,MATCH(W$6,DataOB[#Headers],0)),"")</f>
        <v>0</v>
      </c>
      <c r="X109" s="67">
        <f>IF($B109&lt;&gt;"",INDEX(DataOB[],FirstRow+ROW()-7,MATCH(X$6,DataOB[#Headers],0)),"")</f>
        <v>100.38991999999996</v>
      </c>
      <c r="Y109" s="67">
        <f>IF($B109&lt;&gt;"",INDEX(DataOB[],FirstRow+ROW()-7,MATCH(Y$6,DataOB[#Headers],0)),"")</f>
        <v>0</v>
      </c>
      <c r="Z109" s="67">
        <f>IF($B109&lt;&gt;"",INDEX(DataOB[],FirstRow+ROW()-7,MATCH(Z$6,DataOB[#Headers],0)),"")</f>
        <v>25</v>
      </c>
      <c r="AA109" s="67">
        <f>IF($B109&lt;&gt;"",INDEX(DataOB[],FirstRow+ROW()-7,MATCH(AA$6,DataOB[#Headers],0)),"")</f>
        <v>0</v>
      </c>
      <c r="AB109" s="67">
        <f>IF($B109&lt;&gt;"",INDEX(DataOB[],FirstRow+ROW()-7,MATCH(AB$6,DataOB[#Headers],0)),"")</f>
        <v>87.5</v>
      </c>
      <c r="AC109" s="67">
        <f>IF($B109&lt;&gt;"",INDEX(DataOB[],FirstRow+ROW()-7,MATCH(AC$6,DataOB[#Headers],0)),"")</f>
        <v>257.5</v>
      </c>
      <c r="AD109" s="67">
        <f>IF($B109&lt;&gt;"",INDEX(DataOB[],FirstRow+ROW()-7,MATCH(AD$6,DataOB[#Headers],0)),"")</f>
        <v>247.5</v>
      </c>
      <c r="AE109" s="67">
        <f>IF($B109&lt;&gt;"",INDEX(DataOB[],FirstRow+ROW()-7,MATCH(AE$6,DataOB[#Headers],0)),"")</f>
        <v>170</v>
      </c>
      <c r="AF109" s="26">
        <f t="shared" si="23"/>
        <v>1044.7624699999999</v>
      </c>
      <c r="AG109" s="31">
        <f>SUM($T109:T109)</f>
        <v>79.305360000000007</v>
      </c>
      <c r="AH109" s="31">
        <f>SUM($T109:U109)</f>
        <v>133.5446</v>
      </c>
      <c r="AI109" s="31">
        <f>SUM($T109:V109)</f>
        <v>156.87254999999999</v>
      </c>
      <c r="AJ109" s="31">
        <f>SUM($T109:W109)</f>
        <v>156.87254999999999</v>
      </c>
      <c r="AK109" s="31">
        <f>SUM($T109:X109)</f>
        <v>257.26246999999995</v>
      </c>
      <c r="AL109" s="31">
        <f>SUM($T109:Y109)</f>
        <v>257.26246999999995</v>
      </c>
      <c r="AM109" s="31">
        <f>SUM($T109:Z109)</f>
        <v>282.26246999999995</v>
      </c>
      <c r="AN109" s="31">
        <f>SUM($T109:AA109)</f>
        <v>282.26246999999995</v>
      </c>
      <c r="AO109" s="31">
        <f>SUM($T109:AB109)</f>
        <v>369.76246999999995</v>
      </c>
      <c r="AP109" s="31">
        <f>SUM($T109:AC109)</f>
        <v>627.26246999999989</v>
      </c>
      <c r="AQ109" s="31">
        <f>SUM($T109:AD109)</f>
        <v>874.76246999999989</v>
      </c>
      <c r="AR109" s="31">
        <f>SUM($T109:AE109)</f>
        <v>1044.7624699999999</v>
      </c>
      <c r="AS109" s="27">
        <f t="shared" si="24"/>
        <v>0</v>
      </c>
    </row>
    <row r="110" spans="2:45">
      <c r="B110" s="156">
        <f>IF(ROW()-6&gt;NumCostCenter,"",IF(CostCenter&lt;&gt;"ALL",CostCenter,DATA_LF2!B108))</f>
        <v>8111</v>
      </c>
      <c r="C110" s="153">
        <f>IF($B110&lt;&gt;"",INDEX(DataOB[],FirstRow+ROW()-7,2),"")</f>
        <v>8111</v>
      </c>
      <c r="D110" s="157" t="str">
        <f>IF($B110&lt;&gt;"",INDEX(DataOB[],FirstRow+ROW()-7,3),"")</f>
        <v>TBD</v>
      </c>
      <c r="E110" s="158">
        <f>IF($B110&lt;&gt;"",INDEX(DataOB[],FirstRow+ROW()-7,6),"")</f>
        <v>0</v>
      </c>
      <c r="F110" s="158" t="str">
        <f>IF($B110&lt;&gt;"",INDEX(DataOB[],FirstRow+ROW()-7,5),"")</f>
        <v>Shaping finger Y22</v>
      </c>
      <c r="G110" s="58">
        <f>IF($B110&lt;&gt;"",SUMIFS(DataAct_tbl[AMOUNT],DataAct_tbl[BG CODE],Detail!$D110,DataAct_tbl[MONTH],LEFT(MonthName,3),DataAct_tbl[Dept code],$B110),0)</f>
        <v>0</v>
      </c>
      <c r="H110" s="31">
        <f t="shared" si="16"/>
        <v>72.33</v>
      </c>
      <c r="I110" s="28">
        <f t="shared" si="17"/>
        <v>-72.33</v>
      </c>
      <c r="J110" s="32">
        <f t="shared" si="18"/>
        <v>0</v>
      </c>
      <c r="K110" s="86"/>
      <c r="L110" s="62">
        <f>IF($B110&lt;&gt;"",SUMIFS(DataAct_tbl[AMOUNT],DataAct_tbl[BG CODE],Detail!$D110,DataAct_tbl[Check Range],"=true",DataAct_tbl[Dept code],$B110),0)</f>
        <v>0</v>
      </c>
      <c r="M110" s="63">
        <f>INDEX($AG$7:$AR$1005,ROW()-6,MATCH(MTD,$AG$6:$AR$6,0))</f>
        <v>72.33</v>
      </c>
      <c r="N110" s="34">
        <f t="shared" si="19"/>
        <v>-72.33</v>
      </c>
      <c r="O110" s="64">
        <f t="shared" si="20"/>
        <v>0</v>
      </c>
      <c r="Q110" s="97">
        <f t="shared" si="21"/>
        <v>87.33</v>
      </c>
      <c r="R110" s="96">
        <f t="shared" si="22"/>
        <v>87.33</v>
      </c>
      <c r="T110" s="67">
        <f>IF($B110&lt;&gt;"",INDEX(DataOB[],FirstRow+ROW()-7,MATCH(T$6,DataOB[#Headers],0)),"")</f>
        <v>0</v>
      </c>
      <c r="U110" s="67">
        <f>IF($B110&lt;&gt;"",INDEX(DataOB[],FirstRow+ROW()-7,MATCH(U$6,DataOB[#Headers],0)),"")</f>
        <v>0</v>
      </c>
      <c r="V110" s="67">
        <f>IF($B110&lt;&gt;"",INDEX(DataOB[],FirstRow+ROW()-7,MATCH(V$6,DataOB[#Headers],0)),"")</f>
        <v>0</v>
      </c>
      <c r="W110" s="67">
        <f>IF($B110&lt;&gt;"",INDEX(DataOB[],FirstRow+ROW()-7,MATCH(W$6,DataOB[#Headers],0)),"")</f>
        <v>0</v>
      </c>
      <c r="X110" s="67">
        <f>IF($B110&lt;&gt;"",INDEX(DataOB[],FirstRow+ROW()-7,MATCH(X$6,DataOB[#Headers],0)),"")</f>
        <v>0</v>
      </c>
      <c r="Y110" s="67">
        <f>IF($B110&lt;&gt;"",INDEX(DataOB[],FirstRow+ROW()-7,MATCH(Y$6,DataOB[#Headers],0)),"")</f>
        <v>0</v>
      </c>
      <c r="Z110" s="67">
        <f>IF($B110&lt;&gt;"",INDEX(DataOB[],FirstRow+ROW()-7,MATCH(Z$6,DataOB[#Headers],0)),"")</f>
        <v>72.33</v>
      </c>
      <c r="AA110" s="67">
        <f>IF($B110&lt;&gt;"",INDEX(DataOB[],FirstRow+ROW()-7,MATCH(AA$6,DataOB[#Headers],0)),"")</f>
        <v>0</v>
      </c>
      <c r="AB110" s="67">
        <f>IF($B110&lt;&gt;"",INDEX(DataOB[],FirstRow+ROW()-7,MATCH(AB$6,DataOB[#Headers],0)),"")</f>
        <v>0</v>
      </c>
      <c r="AC110" s="67">
        <f>IF($B110&lt;&gt;"",INDEX(DataOB[],FirstRow+ROW()-7,MATCH(AC$6,DataOB[#Headers],0)),"")</f>
        <v>0</v>
      </c>
      <c r="AD110" s="67">
        <f>IF($B110&lt;&gt;"",INDEX(DataOB[],FirstRow+ROW()-7,MATCH(AD$6,DataOB[#Headers],0)),"")</f>
        <v>15</v>
      </c>
      <c r="AE110" s="67">
        <f>IF($B110&lt;&gt;"",INDEX(DataOB[],FirstRow+ROW()-7,MATCH(AE$6,DataOB[#Headers],0)),"")</f>
        <v>0</v>
      </c>
      <c r="AF110" s="26">
        <f t="shared" si="23"/>
        <v>87.33</v>
      </c>
      <c r="AG110" s="31">
        <f>SUM($T110:T110)</f>
        <v>0</v>
      </c>
      <c r="AH110" s="31">
        <f>SUM($T110:U110)</f>
        <v>0</v>
      </c>
      <c r="AI110" s="31">
        <f>SUM($T110:V110)</f>
        <v>0</v>
      </c>
      <c r="AJ110" s="31">
        <f>SUM($T110:W110)</f>
        <v>0</v>
      </c>
      <c r="AK110" s="31">
        <f>SUM($T110:X110)</f>
        <v>0</v>
      </c>
      <c r="AL110" s="31">
        <f>SUM($T110:Y110)</f>
        <v>0</v>
      </c>
      <c r="AM110" s="31">
        <f>SUM($T110:Z110)</f>
        <v>72.33</v>
      </c>
      <c r="AN110" s="31">
        <f>SUM($T110:AA110)</f>
        <v>72.33</v>
      </c>
      <c r="AO110" s="31">
        <f>SUM($T110:AB110)</f>
        <v>72.33</v>
      </c>
      <c r="AP110" s="31">
        <f>SUM($T110:AC110)</f>
        <v>72.33</v>
      </c>
      <c r="AQ110" s="31">
        <f>SUM($T110:AD110)</f>
        <v>87.33</v>
      </c>
      <c r="AR110" s="31">
        <f>SUM($T110:AE110)</f>
        <v>87.33</v>
      </c>
      <c r="AS110" s="27">
        <f t="shared" si="24"/>
        <v>0</v>
      </c>
    </row>
    <row r="111" spans="2:45">
      <c r="B111" s="156">
        <f>IF(ROW()-6&gt;NumCostCenter,"",IF(CostCenter&lt;&gt;"ALL",CostCenter,DATA_LF2!B109))</f>
        <v>8111</v>
      </c>
      <c r="C111" s="153">
        <f>IF($B111&lt;&gt;"",INDEX(DataOB[],FirstRow+ROW()-7,2),"")</f>
        <v>8111</v>
      </c>
      <c r="D111" s="157" t="str">
        <f>IF($B111&lt;&gt;"",INDEX(DataOB[],FirstRow+ROW()-7,3),"")</f>
        <v>TBD</v>
      </c>
      <c r="E111" s="158">
        <f>IF($B111&lt;&gt;"",INDEX(DataOB[],FirstRow+ROW()-7,6),"")</f>
        <v>0</v>
      </c>
      <c r="F111" s="158" t="str">
        <f>IF($B111&lt;&gt;"",INDEX(DataOB[],FirstRow+ROW()-7,5),"")</f>
        <v>Inspection tooling Y24</v>
      </c>
      <c r="G111" s="58">
        <f>IF($B111&lt;&gt;"",SUMIFS(DataAct_tbl[AMOUNT],DataAct_tbl[BG CODE],Detail!$D111,DataAct_tbl[MONTH],LEFT(MonthName,3),DataAct_tbl[Dept code],$B111),0)</f>
        <v>0</v>
      </c>
      <c r="H111" s="31">
        <f t="shared" si="16"/>
        <v>0</v>
      </c>
      <c r="I111" s="28">
        <f t="shared" si="17"/>
        <v>0</v>
      </c>
      <c r="J111" s="32" t="str">
        <f t="shared" si="18"/>
        <v xml:space="preserve"> </v>
      </c>
      <c r="K111" s="86"/>
      <c r="L111" s="62">
        <f>IF($B111&lt;&gt;"",SUMIFS(DataAct_tbl[AMOUNT],DataAct_tbl[BG CODE],Detail!$D111,DataAct_tbl[Check Range],"=true",DataAct_tbl[Dept code],$B111),0)</f>
        <v>0</v>
      </c>
      <c r="M111" s="63">
        <f>INDEX($AG$7:$AR$1005,ROW()-6,MATCH(MTD,$AG$6:$AR$6,0))</f>
        <v>0</v>
      </c>
      <c r="N111" s="34">
        <f t="shared" si="19"/>
        <v>0</v>
      </c>
      <c r="O111" s="64" t="str">
        <f t="shared" si="20"/>
        <v xml:space="preserve"> </v>
      </c>
      <c r="Q111" s="97">
        <f t="shared" si="21"/>
        <v>144</v>
      </c>
      <c r="R111" s="96">
        <f t="shared" si="22"/>
        <v>144</v>
      </c>
      <c r="T111" s="67">
        <f>IF($B111&lt;&gt;"",INDEX(DataOB[],FirstRow+ROW()-7,MATCH(T$6,DataOB[#Headers],0)),"")</f>
        <v>0</v>
      </c>
      <c r="U111" s="67">
        <f>IF($B111&lt;&gt;"",INDEX(DataOB[],FirstRow+ROW()-7,MATCH(U$6,DataOB[#Headers],0)),"")</f>
        <v>0</v>
      </c>
      <c r="V111" s="67">
        <f>IF($B111&lt;&gt;"",INDEX(DataOB[],FirstRow+ROW()-7,MATCH(V$6,DataOB[#Headers],0)),"")</f>
        <v>0</v>
      </c>
      <c r="W111" s="67">
        <f>IF($B111&lt;&gt;"",INDEX(DataOB[],FirstRow+ROW()-7,MATCH(W$6,DataOB[#Headers],0)),"")</f>
        <v>0</v>
      </c>
      <c r="X111" s="67">
        <f>IF($B111&lt;&gt;"",INDEX(DataOB[],FirstRow+ROW()-7,MATCH(X$6,DataOB[#Headers],0)),"")</f>
        <v>0</v>
      </c>
      <c r="Y111" s="67">
        <f>IF($B111&lt;&gt;"",INDEX(DataOB[],FirstRow+ROW()-7,MATCH(Y$6,DataOB[#Headers],0)),"")</f>
        <v>0</v>
      </c>
      <c r="Z111" s="67">
        <f>IF($B111&lt;&gt;"",INDEX(DataOB[],FirstRow+ROW()-7,MATCH(Z$6,DataOB[#Headers],0)),"")</f>
        <v>0</v>
      </c>
      <c r="AA111" s="67">
        <f>IF($B111&lt;&gt;"",INDEX(DataOB[],FirstRow+ROW()-7,MATCH(AA$6,DataOB[#Headers],0)),"")</f>
        <v>0</v>
      </c>
      <c r="AB111" s="67">
        <f>IF($B111&lt;&gt;"",INDEX(DataOB[],FirstRow+ROW()-7,MATCH(AB$6,DataOB[#Headers],0)),"")</f>
        <v>0</v>
      </c>
      <c r="AC111" s="67">
        <f>IF($B111&lt;&gt;"",INDEX(DataOB[],FirstRow+ROW()-7,MATCH(AC$6,DataOB[#Headers],0)),"")</f>
        <v>0</v>
      </c>
      <c r="AD111" s="67">
        <f>IF($B111&lt;&gt;"",INDEX(DataOB[],FirstRow+ROW()-7,MATCH(AD$6,DataOB[#Headers],0)),"")</f>
        <v>144</v>
      </c>
      <c r="AE111" s="67">
        <f>IF($B111&lt;&gt;"",INDEX(DataOB[],FirstRow+ROW()-7,MATCH(AE$6,DataOB[#Headers],0)),"")</f>
        <v>0</v>
      </c>
      <c r="AF111" s="26">
        <f t="shared" si="23"/>
        <v>144</v>
      </c>
      <c r="AG111" s="31">
        <f>SUM($T111:T111)</f>
        <v>0</v>
      </c>
      <c r="AH111" s="31">
        <f>SUM($T111:U111)</f>
        <v>0</v>
      </c>
      <c r="AI111" s="31">
        <f>SUM($T111:V111)</f>
        <v>0</v>
      </c>
      <c r="AJ111" s="31">
        <f>SUM($T111:W111)</f>
        <v>0</v>
      </c>
      <c r="AK111" s="31">
        <f>SUM($T111:X111)</f>
        <v>0</v>
      </c>
      <c r="AL111" s="31">
        <f>SUM($T111:Y111)</f>
        <v>0</v>
      </c>
      <c r="AM111" s="31">
        <f>SUM($T111:Z111)</f>
        <v>0</v>
      </c>
      <c r="AN111" s="31">
        <f>SUM($T111:AA111)</f>
        <v>0</v>
      </c>
      <c r="AO111" s="31">
        <f>SUM($T111:AB111)</f>
        <v>0</v>
      </c>
      <c r="AP111" s="31">
        <f>SUM($T111:AC111)</f>
        <v>0</v>
      </c>
      <c r="AQ111" s="31">
        <f>SUM($T111:AD111)</f>
        <v>144</v>
      </c>
      <c r="AR111" s="31">
        <f>SUM($T111:AE111)</f>
        <v>144</v>
      </c>
      <c r="AS111" s="27">
        <f t="shared" si="24"/>
        <v>0</v>
      </c>
    </row>
    <row r="112" spans="2:45">
      <c r="B112" s="156">
        <f>IF(ROW()-6&gt;NumCostCenter,"",IF(CostCenter&lt;&gt;"ALL",CostCenter,DATA_LF2!B110))</f>
        <v>8111</v>
      </c>
      <c r="C112" s="153">
        <f>IF($B112&lt;&gt;"",INDEX(DataOB[],FirstRow+ROW()-7,2),"")</f>
        <v>8111</v>
      </c>
      <c r="D112" s="157" t="str">
        <f>IF($B112&lt;&gt;"",INDEX(DataOB[],FirstRow+ROW()-7,3),"")</f>
        <v>TBD</v>
      </c>
      <c r="E112" s="158">
        <f>IF($B112&lt;&gt;"",INDEX(DataOB[],FirstRow+ROW()-7,6),"")</f>
        <v>0</v>
      </c>
      <c r="F112" s="158" t="str">
        <f>IF($B112&lt;&gt;"",INDEX(DataOB[],FirstRow+ROW()-7,5),"")</f>
        <v>Shoujin Y24-Auto TOP booking</v>
      </c>
      <c r="G112" s="58">
        <f>IF($B112&lt;&gt;"",SUMIFS(DataAct_tbl[AMOUNT],DataAct_tbl[BG CODE],Detail!$D112,DataAct_tbl[MONTH],LEFT(MonthName,3),DataAct_tbl[Dept code],$B112),0)</f>
        <v>0</v>
      </c>
      <c r="H112" s="31">
        <f t="shared" si="16"/>
        <v>0</v>
      </c>
      <c r="I112" s="28">
        <f t="shared" si="17"/>
        <v>0</v>
      </c>
      <c r="J112" s="32" t="str">
        <f t="shared" si="18"/>
        <v xml:space="preserve"> </v>
      </c>
      <c r="K112" s="86"/>
      <c r="L112" s="62">
        <f>IF($B112&lt;&gt;"",SUMIFS(DataAct_tbl[AMOUNT],DataAct_tbl[BG CODE],Detail!$D112,DataAct_tbl[Check Range],"=true",DataAct_tbl[Dept code],$B112),0)</f>
        <v>0</v>
      </c>
      <c r="M112" s="63">
        <f>INDEX($AG$7:$AR$1005,ROW()-6,MATCH(MTD,$AG$6:$AR$6,0))</f>
        <v>0</v>
      </c>
      <c r="N112" s="34">
        <f t="shared" si="19"/>
        <v>0</v>
      </c>
      <c r="O112" s="64" t="str">
        <f t="shared" si="20"/>
        <v xml:space="preserve"> </v>
      </c>
      <c r="Q112" s="97">
        <f t="shared" si="21"/>
        <v>194</v>
      </c>
      <c r="R112" s="96">
        <f t="shared" si="22"/>
        <v>194</v>
      </c>
      <c r="T112" s="67">
        <f>IF($B112&lt;&gt;"",INDEX(DataOB[],FirstRow+ROW()-7,MATCH(T$6,DataOB[#Headers],0)),"")</f>
        <v>0</v>
      </c>
      <c r="U112" s="67">
        <f>IF($B112&lt;&gt;"",INDEX(DataOB[],FirstRow+ROW()-7,MATCH(U$6,DataOB[#Headers],0)),"")</f>
        <v>0</v>
      </c>
      <c r="V112" s="67">
        <f>IF($B112&lt;&gt;"",INDEX(DataOB[],FirstRow+ROW()-7,MATCH(V$6,DataOB[#Headers],0)),"")</f>
        <v>0</v>
      </c>
      <c r="W112" s="67">
        <f>IF($B112&lt;&gt;"",INDEX(DataOB[],FirstRow+ROW()-7,MATCH(W$6,DataOB[#Headers],0)),"")</f>
        <v>0</v>
      </c>
      <c r="X112" s="67">
        <f>IF($B112&lt;&gt;"",INDEX(DataOB[],FirstRow+ROW()-7,MATCH(X$6,DataOB[#Headers],0)),"")</f>
        <v>0</v>
      </c>
      <c r="Y112" s="67">
        <f>IF($B112&lt;&gt;"",INDEX(DataOB[],FirstRow+ROW()-7,MATCH(Y$6,DataOB[#Headers],0)),"")</f>
        <v>0</v>
      </c>
      <c r="Z112" s="67">
        <f>IF($B112&lt;&gt;"",INDEX(DataOB[],FirstRow+ROW()-7,MATCH(Z$6,DataOB[#Headers],0)),"")</f>
        <v>0</v>
      </c>
      <c r="AA112" s="67">
        <f>IF($B112&lt;&gt;"",INDEX(DataOB[],FirstRow+ROW()-7,MATCH(AA$6,DataOB[#Headers],0)),"")</f>
        <v>0</v>
      </c>
      <c r="AB112" s="67">
        <f>IF($B112&lt;&gt;"",INDEX(DataOB[],FirstRow+ROW()-7,MATCH(AB$6,DataOB[#Headers],0)),"")</f>
        <v>0</v>
      </c>
      <c r="AC112" s="67">
        <f>IF($B112&lt;&gt;"",INDEX(DataOB[],FirstRow+ROW()-7,MATCH(AC$6,DataOB[#Headers],0)),"")</f>
        <v>0</v>
      </c>
      <c r="AD112" s="67">
        <f>IF($B112&lt;&gt;"",INDEX(DataOB[],FirstRow+ROW()-7,MATCH(AD$6,DataOB[#Headers],0)),"")</f>
        <v>0</v>
      </c>
      <c r="AE112" s="67">
        <f>IF($B112&lt;&gt;"",INDEX(DataOB[],FirstRow+ROW()-7,MATCH(AE$6,DataOB[#Headers],0)),"")</f>
        <v>194</v>
      </c>
      <c r="AF112" s="26">
        <f t="shared" si="23"/>
        <v>194</v>
      </c>
      <c r="AG112" s="31">
        <f>SUM($T112:T112)</f>
        <v>0</v>
      </c>
      <c r="AH112" s="31">
        <f>SUM($T112:U112)</f>
        <v>0</v>
      </c>
      <c r="AI112" s="31">
        <f>SUM($T112:V112)</f>
        <v>0</v>
      </c>
      <c r="AJ112" s="31">
        <f>SUM($T112:W112)</f>
        <v>0</v>
      </c>
      <c r="AK112" s="31">
        <f>SUM($T112:X112)</f>
        <v>0</v>
      </c>
      <c r="AL112" s="31">
        <f>SUM($T112:Y112)</f>
        <v>0</v>
      </c>
      <c r="AM112" s="31">
        <f>SUM($T112:Z112)</f>
        <v>0</v>
      </c>
      <c r="AN112" s="31">
        <f>SUM($T112:AA112)</f>
        <v>0</v>
      </c>
      <c r="AO112" s="31">
        <f>SUM($T112:AB112)</f>
        <v>0</v>
      </c>
      <c r="AP112" s="31">
        <f>SUM($T112:AC112)</f>
        <v>0</v>
      </c>
      <c r="AQ112" s="31">
        <f>SUM($T112:AD112)</f>
        <v>0</v>
      </c>
      <c r="AR112" s="31">
        <f>SUM($T112:AE112)</f>
        <v>194</v>
      </c>
      <c r="AS112" s="27">
        <f t="shared" si="24"/>
        <v>0</v>
      </c>
    </row>
    <row r="113" spans="2:45">
      <c r="B113" s="156">
        <f>IF(ROW()-6&gt;NumCostCenter,"",IF(CostCenter&lt;&gt;"ALL",CostCenter,DATA_LF2!B111))</f>
        <v>8111</v>
      </c>
      <c r="C113" s="153">
        <f>IF($B113&lt;&gt;"",INDEX(DataOB[],FirstRow+ROW()-7,2),"")</f>
        <v>8111</v>
      </c>
      <c r="D113" s="157" t="str">
        <f>IF($B113&lt;&gt;"",INDEX(DataOB[],FirstRow+ROW()-7,3),"")</f>
        <v>TBD</v>
      </c>
      <c r="E113" s="158">
        <f>IF($B113&lt;&gt;"",INDEX(DataOB[],FirstRow+ROW()-7,6),"")</f>
        <v>0</v>
      </c>
      <c r="F113" s="158" t="str">
        <f>IF($B113&lt;&gt;"",INDEX(DataOB[],FirstRow+ROW()-7,5),"")</f>
        <v xml:space="preserve">Shoujin Y24-Invest DX cutter machine </v>
      </c>
      <c r="G113" s="58">
        <f>IF($B113&lt;&gt;"",SUMIFS(DataAct_tbl[AMOUNT],DataAct_tbl[BG CODE],Detail!$D113,DataAct_tbl[MONTH],LEFT(MonthName,3),DataAct_tbl[Dept code],$B113),0)</f>
        <v>0</v>
      </c>
      <c r="H113" s="31">
        <f t="shared" si="16"/>
        <v>0</v>
      </c>
      <c r="I113" s="28">
        <f t="shared" si="17"/>
        <v>0</v>
      </c>
      <c r="J113" s="32" t="str">
        <f t="shared" si="18"/>
        <v xml:space="preserve"> </v>
      </c>
      <c r="K113" s="86"/>
      <c r="L113" s="62">
        <f>IF($B113&lt;&gt;"",SUMIFS(DataAct_tbl[AMOUNT],DataAct_tbl[BG CODE],Detail!$D113,DataAct_tbl[Check Range],"=true",DataAct_tbl[Dept code],$B113),0)</f>
        <v>0</v>
      </c>
      <c r="M113" s="63">
        <f>INDEX($AG$7:$AR$1005,ROW()-6,MATCH(MTD,$AG$6:$AR$6,0))</f>
        <v>0</v>
      </c>
      <c r="N113" s="34">
        <f t="shared" si="19"/>
        <v>0</v>
      </c>
      <c r="O113" s="64" t="str">
        <f t="shared" si="20"/>
        <v xml:space="preserve"> </v>
      </c>
      <c r="Q113" s="97">
        <f t="shared" si="21"/>
        <v>40</v>
      </c>
      <c r="R113" s="96">
        <f t="shared" si="22"/>
        <v>40</v>
      </c>
      <c r="T113" s="67">
        <f>IF($B113&lt;&gt;"",INDEX(DataOB[],FirstRow+ROW()-7,MATCH(T$6,DataOB[#Headers],0)),"")</f>
        <v>0</v>
      </c>
      <c r="U113" s="67">
        <f>IF($B113&lt;&gt;"",INDEX(DataOB[],FirstRow+ROW()-7,MATCH(U$6,DataOB[#Headers],0)),"")</f>
        <v>0</v>
      </c>
      <c r="V113" s="67">
        <f>IF($B113&lt;&gt;"",INDEX(DataOB[],FirstRow+ROW()-7,MATCH(V$6,DataOB[#Headers],0)),"")</f>
        <v>0</v>
      </c>
      <c r="W113" s="67">
        <f>IF($B113&lt;&gt;"",INDEX(DataOB[],FirstRow+ROW()-7,MATCH(W$6,DataOB[#Headers],0)),"")</f>
        <v>0</v>
      </c>
      <c r="X113" s="67">
        <f>IF($B113&lt;&gt;"",INDEX(DataOB[],FirstRow+ROW()-7,MATCH(X$6,DataOB[#Headers],0)),"")</f>
        <v>0</v>
      </c>
      <c r="Y113" s="67">
        <f>IF($B113&lt;&gt;"",INDEX(DataOB[],FirstRow+ROW()-7,MATCH(Y$6,DataOB[#Headers],0)),"")</f>
        <v>0</v>
      </c>
      <c r="Z113" s="67">
        <f>IF($B113&lt;&gt;"",INDEX(DataOB[],FirstRow+ROW()-7,MATCH(Z$6,DataOB[#Headers],0)),"")</f>
        <v>0</v>
      </c>
      <c r="AA113" s="67">
        <f>IF($B113&lt;&gt;"",INDEX(DataOB[],FirstRow+ROW()-7,MATCH(AA$6,DataOB[#Headers],0)),"")</f>
        <v>0</v>
      </c>
      <c r="AB113" s="67">
        <f>IF($B113&lt;&gt;"",INDEX(DataOB[],FirstRow+ROW()-7,MATCH(AB$6,DataOB[#Headers],0)),"")</f>
        <v>0</v>
      </c>
      <c r="AC113" s="67">
        <f>IF($B113&lt;&gt;"",INDEX(DataOB[],FirstRow+ROW()-7,MATCH(AC$6,DataOB[#Headers],0)),"")</f>
        <v>40</v>
      </c>
      <c r="AD113" s="67">
        <f>IF($B113&lt;&gt;"",INDEX(DataOB[],FirstRow+ROW()-7,MATCH(AD$6,DataOB[#Headers],0)),"")</f>
        <v>0</v>
      </c>
      <c r="AE113" s="67">
        <f>IF($B113&lt;&gt;"",INDEX(DataOB[],FirstRow+ROW()-7,MATCH(AE$6,DataOB[#Headers],0)),"")</f>
        <v>0</v>
      </c>
      <c r="AF113" s="26">
        <f t="shared" si="23"/>
        <v>40</v>
      </c>
      <c r="AG113" s="31">
        <f>SUM($T113:T113)</f>
        <v>0</v>
      </c>
      <c r="AH113" s="31">
        <f>SUM($T113:U113)</f>
        <v>0</v>
      </c>
      <c r="AI113" s="31">
        <f>SUM($T113:V113)</f>
        <v>0</v>
      </c>
      <c r="AJ113" s="31">
        <f>SUM($T113:W113)</f>
        <v>0</v>
      </c>
      <c r="AK113" s="31">
        <f>SUM($T113:X113)</f>
        <v>0</v>
      </c>
      <c r="AL113" s="31">
        <f>SUM($T113:Y113)</f>
        <v>0</v>
      </c>
      <c r="AM113" s="31">
        <f>SUM($T113:Z113)</f>
        <v>0</v>
      </c>
      <c r="AN113" s="31">
        <f>SUM($T113:AA113)</f>
        <v>0</v>
      </c>
      <c r="AO113" s="31">
        <f>SUM($T113:AB113)</f>
        <v>0</v>
      </c>
      <c r="AP113" s="31">
        <f>SUM($T113:AC113)</f>
        <v>40</v>
      </c>
      <c r="AQ113" s="31">
        <f>SUM($T113:AD113)</f>
        <v>40</v>
      </c>
      <c r="AR113" s="31">
        <f>SUM($T113:AE113)</f>
        <v>40</v>
      </c>
      <c r="AS113" s="27">
        <f t="shared" si="24"/>
        <v>0</v>
      </c>
    </row>
    <row r="114" spans="2:45">
      <c r="B114" s="156">
        <f>IF(ROW()-6&gt;NumCostCenter,"",IF(CostCenter&lt;&gt;"ALL",CostCenter,DATA_LF2!B112))</f>
        <v>8111</v>
      </c>
      <c r="C114" s="153">
        <f>IF($B114&lt;&gt;"",INDEX(DataOB[],FirstRow+ROW()-7,2),"")</f>
        <v>8111</v>
      </c>
      <c r="D114" s="157" t="str">
        <f>IF($B114&lt;&gt;"",INDEX(DataOB[],FirstRow+ROW()-7,3),"")</f>
        <v>TBD</v>
      </c>
      <c r="E114" s="158">
        <f>IF($B114&lt;&gt;"",INDEX(DataOB[],FirstRow+ROW()-7,6),"")</f>
        <v>0</v>
      </c>
      <c r="F114" s="158" t="str">
        <f>IF($B114&lt;&gt;"",INDEX(DataOB[],FirstRow+ROW()-7,5),"")</f>
        <v>Shoujin Y24 -  Kaizen pallet supplying</v>
      </c>
      <c r="G114" s="58">
        <f>IF($B114&lt;&gt;"",SUMIFS(DataAct_tbl[AMOUNT],DataAct_tbl[BG CODE],Detail!$D114,DataAct_tbl[MONTH],LEFT(MonthName,3),DataAct_tbl[Dept code],$B114),0)</f>
        <v>0</v>
      </c>
      <c r="H114" s="31">
        <f t="shared" si="16"/>
        <v>0</v>
      </c>
      <c r="I114" s="28">
        <f t="shared" si="17"/>
        <v>0</v>
      </c>
      <c r="J114" s="32" t="str">
        <f t="shared" si="18"/>
        <v xml:space="preserve"> </v>
      </c>
      <c r="K114" s="86"/>
      <c r="L114" s="62">
        <f>IF($B114&lt;&gt;"",SUMIFS(DataAct_tbl[AMOUNT],DataAct_tbl[BG CODE],Detail!$D114,DataAct_tbl[Check Range],"=true",DataAct_tbl[Dept code],$B114),0)</f>
        <v>0</v>
      </c>
      <c r="M114" s="63">
        <f>INDEX($AG$7:$AR$1005,ROW()-6,MATCH(MTD,$AG$6:$AR$6,0))</f>
        <v>0</v>
      </c>
      <c r="N114" s="34">
        <f t="shared" si="19"/>
        <v>0</v>
      </c>
      <c r="O114" s="64" t="str">
        <f t="shared" si="20"/>
        <v xml:space="preserve"> </v>
      </c>
      <c r="Q114" s="97">
        <f t="shared" si="21"/>
        <v>10</v>
      </c>
      <c r="R114" s="96">
        <f t="shared" si="22"/>
        <v>10</v>
      </c>
      <c r="T114" s="67">
        <f>IF($B114&lt;&gt;"",INDEX(DataOB[],FirstRow+ROW()-7,MATCH(T$6,DataOB[#Headers],0)),"")</f>
        <v>0</v>
      </c>
      <c r="U114" s="67">
        <f>IF($B114&lt;&gt;"",INDEX(DataOB[],FirstRow+ROW()-7,MATCH(U$6,DataOB[#Headers],0)),"")</f>
        <v>0</v>
      </c>
      <c r="V114" s="67">
        <f>IF($B114&lt;&gt;"",INDEX(DataOB[],FirstRow+ROW()-7,MATCH(V$6,DataOB[#Headers],0)),"")</f>
        <v>0</v>
      </c>
      <c r="W114" s="67">
        <f>IF($B114&lt;&gt;"",INDEX(DataOB[],FirstRow+ROW()-7,MATCH(W$6,DataOB[#Headers],0)),"")</f>
        <v>0</v>
      </c>
      <c r="X114" s="67">
        <f>IF($B114&lt;&gt;"",INDEX(DataOB[],FirstRow+ROW()-7,MATCH(X$6,DataOB[#Headers],0)),"")</f>
        <v>0</v>
      </c>
      <c r="Y114" s="67">
        <f>IF($B114&lt;&gt;"",INDEX(DataOB[],FirstRow+ROW()-7,MATCH(Y$6,DataOB[#Headers],0)),"")</f>
        <v>0</v>
      </c>
      <c r="Z114" s="67">
        <f>IF($B114&lt;&gt;"",INDEX(DataOB[],FirstRow+ROW()-7,MATCH(Z$6,DataOB[#Headers],0)),"")</f>
        <v>0</v>
      </c>
      <c r="AA114" s="67">
        <f>IF($B114&lt;&gt;"",INDEX(DataOB[],FirstRow+ROW()-7,MATCH(AA$6,DataOB[#Headers],0)),"")</f>
        <v>0</v>
      </c>
      <c r="AB114" s="67">
        <f>IF($B114&lt;&gt;"",INDEX(DataOB[],FirstRow+ROW()-7,MATCH(AB$6,DataOB[#Headers],0)),"")</f>
        <v>0</v>
      </c>
      <c r="AC114" s="67">
        <f>IF($B114&lt;&gt;"",INDEX(DataOB[],FirstRow+ROW()-7,MATCH(AC$6,DataOB[#Headers],0)),"")</f>
        <v>0</v>
      </c>
      <c r="AD114" s="67">
        <f>IF($B114&lt;&gt;"",INDEX(DataOB[],FirstRow+ROW()-7,MATCH(AD$6,DataOB[#Headers],0)),"")</f>
        <v>10</v>
      </c>
      <c r="AE114" s="67">
        <f>IF($B114&lt;&gt;"",INDEX(DataOB[],FirstRow+ROW()-7,MATCH(AE$6,DataOB[#Headers],0)),"")</f>
        <v>0</v>
      </c>
      <c r="AF114" s="26">
        <f t="shared" si="23"/>
        <v>10</v>
      </c>
      <c r="AG114" s="31">
        <f>SUM($T114:T114)</f>
        <v>0</v>
      </c>
      <c r="AH114" s="31">
        <f>SUM($T114:U114)</f>
        <v>0</v>
      </c>
      <c r="AI114" s="31">
        <f>SUM($T114:V114)</f>
        <v>0</v>
      </c>
      <c r="AJ114" s="31">
        <f>SUM($T114:W114)</f>
        <v>0</v>
      </c>
      <c r="AK114" s="31">
        <f>SUM($T114:X114)</f>
        <v>0</v>
      </c>
      <c r="AL114" s="31">
        <f>SUM($T114:Y114)</f>
        <v>0</v>
      </c>
      <c r="AM114" s="31">
        <f>SUM($T114:Z114)</f>
        <v>0</v>
      </c>
      <c r="AN114" s="31">
        <f>SUM($T114:AA114)</f>
        <v>0</v>
      </c>
      <c r="AO114" s="31">
        <f>SUM($T114:AB114)</f>
        <v>0</v>
      </c>
      <c r="AP114" s="31">
        <f>SUM($T114:AC114)</f>
        <v>0</v>
      </c>
      <c r="AQ114" s="31">
        <f>SUM($T114:AD114)</f>
        <v>10</v>
      </c>
      <c r="AR114" s="31">
        <f>SUM($T114:AE114)</f>
        <v>10</v>
      </c>
      <c r="AS114" s="27">
        <f t="shared" si="24"/>
        <v>0</v>
      </c>
    </row>
    <row r="115" spans="2:45">
      <c r="B115" s="156">
        <f>IF(ROW()-6&gt;NumCostCenter,"",IF(CostCenter&lt;&gt;"ALL",CostCenter,DATA_LF2!B113))</f>
        <v>8111</v>
      </c>
      <c r="C115" s="153">
        <f>IF($B115&lt;&gt;"",INDEX(DataOB[],FirstRow+ROW()-7,2),"")</f>
        <v>8111</v>
      </c>
      <c r="D115" s="157" t="str">
        <f>IF($B115&lt;&gt;"",INDEX(DataOB[],FirstRow+ROW()-7,3),"")</f>
        <v>TBD</v>
      </c>
      <c r="E115" s="158">
        <f>IF($B115&lt;&gt;"",INDEX(DataOB[],FirstRow+ROW()-7,6),"")</f>
        <v>0</v>
      </c>
      <c r="F115" s="158" t="str">
        <f>IF($B115&lt;&gt;"",INDEX(DataOB[],FirstRow+ROW()-7,5),"")</f>
        <v>Shoujin Y24 - TOP cart improvement</v>
      </c>
      <c r="G115" s="58">
        <f>IF($B115&lt;&gt;"",SUMIFS(DataAct_tbl[AMOUNT],DataAct_tbl[BG CODE],Detail!$D115,DataAct_tbl[MONTH],LEFT(MonthName,3),DataAct_tbl[Dept code],$B115),0)</f>
        <v>0</v>
      </c>
      <c r="H115" s="31">
        <f t="shared" si="16"/>
        <v>0</v>
      </c>
      <c r="I115" s="28">
        <f t="shared" si="17"/>
        <v>0</v>
      </c>
      <c r="J115" s="32" t="str">
        <f t="shared" si="18"/>
        <v xml:space="preserve"> </v>
      </c>
      <c r="K115" s="86"/>
      <c r="L115" s="62">
        <f>IF($B115&lt;&gt;"",SUMIFS(DataAct_tbl[AMOUNT],DataAct_tbl[BG CODE],Detail!$D115,DataAct_tbl[Check Range],"=true",DataAct_tbl[Dept code],$B115),0)</f>
        <v>0</v>
      </c>
      <c r="M115" s="63">
        <f>INDEX($AG$7:$AR$1005,ROW()-6,MATCH(MTD,$AG$6:$AR$6,0))</f>
        <v>0</v>
      </c>
      <c r="N115" s="34">
        <f t="shared" si="19"/>
        <v>0</v>
      </c>
      <c r="O115" s="64" t="str">
        <f t="shared" si="20"/>
        <v xml:space="preserve"> </v>
      </c>
      <c r="Q115" s="97">
        <f t="shared" si="21"/>
        <v>12</v>
      </c>
      <c r="R115" s="96">
        <f t="shared" si="22"/>
        <v>12</v>
      </c>
      <c r="T115" s="67">
        <f>IF($B115&lt;&gt;"",INDEX(DataOB[],FirstRow+ROW()-7,MATCH(T$6,DataOB[#Headers],0)),"")</f>
        <v>0</v>
      </c>
      <c r="U115" s="67">
        <f>IF($B115&lt;&gt;"",INDEX(DataOB[],FirstRow+ROW()-7,MATCH(U$6,DataOB[#Headers],0)),"")</f>
        <v>0</v>
      </c>
      <c r="V115" s="67">
        <f>IF($B115&lt;&gt;"",INDEX(DataOB[],FirstRow+ROW()-7,MATCH(V$6,DataOB[#Headers],0)),"")</f>
        <v>0</v>
      </c>
      <c r="W115" s="67">
        <f>IF($B115&lt;&gt;"",INDEX(DataOB[],FirstRow+ROW()-7,MATCH(W$6,DataOB[#Headers],0)),"")</f>
        <v>0</v>
      </c>
      <c r="X115" s="67">
        <f>IF($B115&lt;&gt;"",INDEX(DataOB[],FirstRow+ROW()-7,MATCH(X$6,DataOB[#Headers],0)),"")</f>
        <v>0</v>
      </c>
      <c r="Y115" s="67">
        <f>IF($B115&lt;&gt;"",INDEX(DataOB[],FirstRow+ROW()-7,MATCH(Y$6,DataOB[#Headers],0)),"")</f>
        <v>0</v>
      </c>
      <c r="Z115" s="67">
        <f>IF($B115&lt;&gt;"",INDEX(DataOB[],FirstRow+ROW()-7,MATCH(Z$6,DataOB[#Headers],0)),"")</f>
        <v>0</v>
      </c>
      <c r="AA115" s="67">
        <f>IF($B115&lt;&gt;"",INDEX(DataOB[],FirstRow+ROW()-7,MATCH(AA$6,DataOB[#Headers],0)),"")</f>
        <v>0</v>
      </c>
      <c r="AB115" s="67">
        <f>IF($B115&lt;&gt;"",INDEX(DataOB[],FirstRow+ROW()-7,MATCH(AB$6,DataOB[#Headers],0)),"")</f>
        <v>0</v>
      </c>
      <c r="AC115" s="67">
        <f>IF($B115&lt;&gt;"",INDEX(DataOB[],FirstRow+ROW()-7,MATCH(AC$6,DataOB[#Headers],0)),"")</f>
        <v>0</v>
      </c>
      <c r="AD115" s="67">
        <f>IF($B115&lt;&gt;"",INDEX(DataOB[],FirstRow+ROW()-7,MATCH(AD$6,DataOB[#Headers],0)),"")</f>
        <v>12</v>
      </c>
      <c r="AE115" s="67">
        <f>IF($B115&lt;&gt;"",INDEX(DataOB[],FirstRow+ROW()-7,MATCH(AE$6,DataOB[#Headers],0)),"")</f>
        <v>0</v>
      </c>
      <c r="AF115" s="26">
        <f t="shared" si="23"/>
        <v>12</v>
      </c>
      <c r="AG115" s="31">
        <f>SUM($T115:T115)</f>
        <v>0</v>
      </c>
      <c r="AH115" s="31">
        <f>SUM($T115:U115)</f>
        <v>0</v>
      </c>
      <c r="AI115" s="31">
        <f>SUM($T115:V115)</f>
        <v>0</v>
      </c>
      <c r="AJ115" s="31">
        <f>SUM($T115:W115)</f>
        <v>0</v>
      </c>
      <c r="AK115" s="31">
        <f>SUM($T115:X115)</f>
        <v>0</v>
      </c>
      <c r="AL115" s="31">
        <f>SUM($T115:Y115)</f>
        <v>0</v>
      </c>
      <c r="AM115" s="31">
        <f>SUM($T115:Z115)</f>
        <v>0</v>
      </c>
      <c r="AN115" s="31">
        <f>SUM($T115:AA115)</f>
        <v>0</v>
      </c>
      <c r="AO115" s="31">
        <f>SUM($T115:AB115)</f>
        <v>0</v>
      </c>
      <c r="AP115" s="31">
        <f>SUM($T115:AC115)</f>
        <v>0</v>
      </c>
      <c r="AQ115" s="31">
        <f>SUM($T115:AD115)</f>
        <v>12</v>
      </c>
      <c r="AR115" s="31">
        <f>SUM($T115:AE115)</f>
        <v>12</v>
      </c>
      <c r="AS115" s="27">
        <f t="shared" si="24"/>
        <v>0</v>
      </c>
    </row>
    <row r="116" spans="2:45">
      <c r="B116" s="156">
        <f>IF(ROW()-6&gt;NumCostCenter,"",IF(CostCenter&lt;&gt;"ALL",CostCenter,DATA_LF2!B114))</f>
        <v>8111</v>
      </c>
      <c r="C116" s="153">
        <f>IF($B116&lt;&gt;"",INDEX(DataOB[],FirstRow+ROW()-7,2),"")</f>
        <v>8111</v>
      </c>
      <c r="D116" s="157" t="str">
        <f>IF($B116&lt;&gt;"",INDEX(DataOB[],FirstRow+ROW()-7,3),"")</f>
        <v>O168001/6/7/2 (FA-05084)</v>
      </c>
      <c r="E116" s="158">
        <f>IF($B116&lt;&gt;"",INDEX(DataOB[],FirstRow+ROW()-7,6),"")</f>
        <v>0</v>
      </c>
      <c r="F116" s="158" t="str">
        <f>IF($B116&lt;&gt;"",INDEX(DataOB[],FirstRow+ROW()-7,5),"")</f>
        <v>MAT tooling 14" Y22</v>
      </c>
      <c r="G116" s="58">
        <f>IF($B116&lt;&gt;"",SUMIFS(DataAct_tbl[AMOUNT],DataAct_tbl[BG CODE],Detail!$D116,DataAct_tbl[MONTH],LEFT(MonthName,3),DataAct_tbl[Dept code],$B116),0)</f>
        <v>0</v>
      </c>
      <c r="H116" s="31">
        <f t="shared" si="16"/>
        <v>0</v>
      </c>
      <c r="I116" s="28">
        <f t="shared" si="17"/>
        <v>0</v>
      </c>
      <c r="J116" s="32" t="str">
        <f t="shared" si="18"/>
        <v xml:space="preserve"> </v>
      </c>
      <c r="K116" s="86"/>
      <c r="L116" s="62">
        <f>IF($B116&lt;&gt;"",SUMIFS(DataAct_tbl[AMOUNT],DataAct_tbl[BG CODE],Detail!$D116,DataAct_tbl[Check Range],"=true",DataAct_tbl[Dept code],$B116),0)</f>
        <v>117.65788000000001</v>
      </c>
      <c r="M116" s="63">
        <f>INDEX($AG$7:$AR$1005,ROW()-6,MATCH(MTD,$AG$6:$AR$6,0))</f>
        <v>117.65788000000001</v>
      </c>
      <c r="N116" s="34">
        <f t="shared" si="19"/>
        <v>0</v>
      </c>
      <c r="O116" s="64">
        <f t="shared" si="20"/>
        <v>1</v>
      </c>
      <c r="Q116" s="97">
        <f t="shared" si="21"/>
        <v>117.65788000000001</v>
      </c>
      <c r="R116" s="96">
        <f t="shared" si="22"/>
        <v>0</v>
      </c>
      <c r="T116" s="67">
        <f>IF($B116&lt;&gt;"",INDEX(DataOB[],FirstRow+ROW()-7,MATCH(T$6,DataOB[#Headers],0)),"")</f>
        <v>0</v>
      </c>
      <c r="U116" s="67">
        <f>IF($B116&lt;&gt;"",INDEX(DataOB[],FirstRow+ROW()-7,MATCH(U$6,DataOB[#Headers],0)),"")</f>
        <v>117.50012000000001</v>
      </c>
      <c r="V116" s="67">
        <f>IF($B116&lt;&gt;"",INDEX(DataOB[],FirstRow+ROW()-7,MATCH(V$6,DataOB[#Headers],0)),"")</f>
        <v>0.15776000000000001</v>
      </c>
      <c r="W116" s="67">
        <f>IF($B116&lt;&gt;"",INDEX(DataOB[],FirstRow+ROW()-7,MATCH(W$6,DataOB[#Headers],0)),"")</f>
        <v>0</v>
      </c>
      <c r="X116" s="67">
        <f>IF($B116&lt;&gt;"",INDEX(DataOB[],FirstRow+ROW()-7,MATCH(X$6,DataOB[#Headers],0)),"")</f>
        <v>0</v>
      </c>
      <c r="Y116" s="67">
        <f>IF($B116&lt;&gt;"",INDEX(DataOB[],FirstRow+ROW()-7,MATCH(Y$6,DataOB[#Headers],0)),"")</f>
        <v>0</v>
      </c>
      <c r="Z116" s="67">
        <f>IF($B116&lt;&gt;"",INDEX(DataOB[],FirstRow+ROW()-7,MATCH(Z$6,DataOB[#Headers],0)),"")</f>
        <v>0</v>
      </c>
      <c r="AA116" s="67">
        <f>IF($B116&lt;&gt;"",INDEX(DataOB[],FirstRow+ROW()-7,MATCH(AA$6,DataOB[#Headers],0)),"")</f>
        <v>0</v>
      </c>
      <c r="AB116" s="67">
        <f>IF($B116&lt;&gt;"",INDEX(DataOB[],FirstRow+ROW()-7,MATCH(AB$6,DataOB[#Headers],0)),"")</f>
        <v>0</v>
      </c>
      <c r="AC116" s="67">
        <f>IF($B116&lt;&gt;"",INDEX(DataOB[],FirstRow+ROW()-7,MATCH(AC$6,DataOB[#Headers],0)),"")</f>
        <v>0</v>
      </c>
      <c r="AD116" s="67">
        <f>IF($B116&lt;&gt;"",INDEX(DataOB[],FirstRow+ROW()-7,MATCH(AD$6,DataOB[#Headers],0)),"")</f>
        <v>0</v>
      </c>
      <c r="AE116" s="67">
        <f>IF($B116&lt;&gt;"",INDEX(DataOB[],FirstRow+ROW()-7,MATCH(AE$6,DataOB[#Headers],0)),"")</f>
        <v>0</v>
      </c>
      <c r="AF116" s="26">
        <f t="shared" si="23"/>
        <v>117.65788000000001</v>
      </c>
      <c r="AG116" s="31">
        <f>SUM($T116:T116)</f>
        <v>0</v>
      </c>
      <c r="AH116" s="31">
        <f>SUM($T116:U116)</f>
        <v>117.50012000000001</v>
      </c>
      <c r="AI116" s="31">
        <f>SUM($T116:V116)</f>
        <v>117.65788000000001</v>
      </c>
      <c r="AJ116" s="31">
        <f>SUM($T116:W116)</f>
        <v>117.65788000000001</v>
      </c>
      <c r="AK116" s="31">
        <f>SUM($T116:X116)</f>
        <v>117.65788000000001</v>
      </c>
      <c r="AL116" s="31">
        <f>SUM($T116:Y116)</f>
        <v>117.65788000000001</v>
      </c>
      <c r="AM116" s="31">
        <f>SUM($T116:Z116)</f>
        <v>117.65788000000001</v>
      </c>
      <c r="AN116" s="31">
        <f>SUM($T116:AA116)</f>
        <v>117.65788000000001</v>
      </c>
      <c r="AO116" s="31">
        <f>SUM($T116:AB116)</f>
        <v>117.65788000000001</v>
      </c>
      <c r="AP116" s="31">
        <f>SUM($T116:AC116)</f>
        <v>117.65788000000001</v>
      </c>
      <c r="AQ116" s="31">
        <f>SUM($T116:AD116)</f>
        <v>117.65788000000001</v>
      </c>
      <c r="AR116" s="31">
        <f>SUM($T116:AE116)</f>
        <v>117.65788000000001</v>
      </c>
      <c r="AS116" s="27">
        <f t="shared" si="24"/>
        <v>0</v>
      </c>
    </row>
    <row r="117" spans="2:45">
      <c r="B117" s="156">
        <f>IF(ROW()-6&gt;NumCostCenter,"",IF(CostCenter&lt;&gt;"ALL",CostCenter,DATA_LF2!B115))</f>
        <v>8111</v>
      </c>
      <c r="C117" s="153">
        <f>IF($B117&lt;&gt;"",INDEX(DataOB[],FirstRow+ROW()-7,2),"")</f>
        <v>8111</v>
      </c>
      <c r="D117" s="157" t="str">
        <f>IF($B117&lt;&gt;"",INDEX(DataOB[],FirstRow+ROW()-7,3),"")</f>
        <v>O168001/6/7/2 (FA-05083)</v>
      </c>
      <c r="E117" s="158">
        <f>IF($B117&lt;&gt;"",INDEX(DataOB[],FirstRow+ROW()-7,6),"")</f>
        <v>0</v>
      </c>
      <c r="F117" s="158" t="str">
        <f>IF($B117&lt;&gt;"",INDEX(DataOB[],FirstRow+ROW()-7,5),"")</f>
        <v>MAT tooling 16" Y22</v>
      </c>
      <c r="G117" s="58">
        <f>IF($B117&lt;&gt;"",SUMIFS(DataAct_tbl[AMOUNT],DataAct_tbl[BG CODE],Detail!$D117,DataAct_tbl[MONTH],LEFT(MonthName,3),DataAct_tbl[Dept code],$B117),0)</f>
        <v>0</v>
      </c>
      <c r="H117" s="31">
        <f t="shared" si="16"/>
        <v>0</v>
      </c>
      <c r="I117" s="28">
        <f t="shared" si="17"/>
        <v>0</v>
      </c>
      <c r="J117" s="32" t="str">
        <f t="shared" si="18"/>
        <v xml:space="preserve"> </v>
      </c>
      <c r="K117" s="86"/>
      <c r="L117" s="62">
        <f>IF($B117&lt;&gt;"",SUMIFS(DataAct_tbl[AMOUNT],DataAct_tbl[BG CODE],Detail!$D117,DataAct_tbl[Check Range],"=true",DataAct_tbl[Dept code],$B117),0)</f>
        <v>125.80212000000002</v>
      </c>
      <c r="M117" s="63">
        <f>INDEX($AG$7:$AR$1005,ROW()-6,MATCH(MTD,$AG$6:$AR$6,0))</f>
        <v>125.80212</v>
      </c>
      <c r="N117" s="34">
        <f t="shared" si="19"/>
        <v>1.4210854715202004E-14</v>
      </c>
      <c r="O117" s="64">
        <f t="shared" si="20"/>
        <v>1.0000000000000002</v>
      </c>
      <c r="Q117" s="97">
        <f t="shared" si="21"/>
        <v>125.80212</v>
      </c>
      <c r="R117" s="96">
        <f t="shared" si="22"/>
        <v>0</v>
      </c>
      <c r="T117" s="67">
        <f>IF($B117&lt;&gt;"",INDEX(DataOB[],FirstRow+ROW()-7,MATCH(T$6,DataOB[#Headers],0)),"")</f>
        <v>0</v>
      </c>
      <c r="U117" s="67">
        <f>IF($B117&lt;&gt;"",INDEX(DataOB[],FirstRow+ROW()-7,MATCH(U$6,DataOB[#Headers],0)),"")</f>
        <v>125.57582000000001</v>
      </c>
      <c r="V117" s="67">
        <f>IF($B117&lt;&gt;"",INDEX(DataOB[],FirstRow+ROW()-7,MATCH(V$6,DataOB[#Headers],0)),"")</f>
        <v>0.2263</v>
      </c>
      <c r="W117" s="67">
        <f>IF($B117&lt;&gt;"",INDEX(DataOB[],FirstRow+ROW()-7,MATCH(W$6,DataOB[#Headers],0)),"")</f>
        <v>0</v>
      </c>
      <c r="X117" s="67">
        <f>IF($B117&lt;&gt;"",INDEX(DataOB[],FirstRow+ROW()-7,MATCH(X$6,DataOB[#Headers],0)),"")</f>
        <v>0</v>
      </c>
      <c r="Y117" s="67">
        <f>IF($B117&lt;&gt;"",INDEX(DataOB[],FirstRow+ROW()-7,MATCH(Y$6,DataOB[#Headers],0)),"")</f>
        <v>0</v>
      </c>
      <c r="Z117" s="67">
        <f>IF($B117&lt;&gt;"",INDEX(DataOB[],FirstRow+ROW()-7,MATCH(Z$6,DataOB[#Headers],0)),"")</f>
        <v>0</v>
      </c>
      <c r="AA117" s="67">
        <f>IF($B117&lt;&gt;"",INDEX(DataOB[],FirstRow+ROW()-7,MATCH(AA$6,DataOB[#Headers],0)),"")</f>
        <v>0</v>
      </c>
      <c r="AB117" s="67">
        <f>IF($B117&lt;&gt;"",INDEX(DataOB[],FirstRow+ROW()-7,MATCH(AB$6,DataOB[#Headers],0)),"")</f>
        <v>0</v>
      </c>
      <c r="AC117" s="67">
        <f>IF($B117&lt;&gt;"",INDEX(DataOB[],FirstRow+ROW()-7,MATCH(AC$6,DataOB[#Headers],0)),"")</f>
        <v>0</v>
      </c>
      <c r="AD117" s="67">
        <f>IF($B117&lt;&gt;"",INDEX(DataOB[],FirstRow+ROW()-7,MATCH(AD$6,DataOB[#Headers],0)),"")</f>
        <v>0</v>
      </c>
      <c r="AE117" s="67">
        <f>IF($B117&lt;&gt;"",INDEX(DataOB[],FirstRow+ROW()-7,MATCH(AE$6,DataOB[#Headers],0)),"")</f>
        <v>0</v>
      </c>
      <c r="AF117" s="26">
        <f t="shared" si="23"/>
        <v>125.80212</v>
      </c>
      <c r="AG117" s="31">
        <f>SUM($T117:T117)</f>
        <v>0</v>
      </c>
      <c r="AH117" s="31">
        <f>SUM($T117:U117)</f>
        <v>125.57582000000001</v>
      </c>
      <c r="AI117" s="31">
        <f>SUM($T117:V117)</f>
        <v>125.80212</v>
      </c>
      <c r="AJ117" s="31">
        <f>SUM($T117:W117)</f>
        <v>125.80212</v>
      </c>
      <c r="AK117" s="31">
        <f>SUM($T117:X117)</f>
        <v>125.80212</v>
      </c>
      <c r="AL117" s="31">
        <f>SUM($T117:Y117)</f>
        <v>125.80212</v>
      </c>
      <c r="AM117" s="31">
        <f>SUM($T117:Z117)</f>
        <v>125.80212</v>
      </c>
      <c r="AN117" s="31">
        <f>SUM($T117:AA117)</f>
        <v>125.80212</v>
      </c>
      <c r="AO117" s="31">
        <f>SUM($T117:AB117)</f>
        <v>125.80212</v>
      </c>
      <c r="AP117" s="31">
        <f>SUM($T117:AC117)</f>
        <v>125.80212</v>
      </c>
      <c r="AQ117" s="31">
        <f>SUM($T117:AD117)</f>
        <v>125.80212</v>
      </c>
      <c r="AR117" s="31">
        <f>SUM($T117:AE117)</f>
        <v>125.80212</v>
      </c>
      <c r="AS117" s="27">
        <f t="shared" si="24"/>
        <v>0</v>
      </c>
    </row>
    <row r="118" spans="2:45">
      <c r="B118" s="156">
        <f>IF(ROW()-6&gt;NumCostCenter,"",IF(CostCenter&lt;&gt;"ALL",CostCenter,DATA_LF2!B116))</f>
        <v>8111</v>
      </c>
      <c r="C118" s="153">
        <f>IF($B118&lt;&gt;"",INDEX(DataOB[],FirstRow+ROW()-7,2),"")</f>
        <v>8111</v>
      </c>
      <c r="D118" s="157" t="str">
        <f>IF($B118&lt;&gt;"",INDEX(DataOB[],FirstRow+ROW()-7,3),"")</f>
        <v>O168001/6/7/2 (FA-05085)</v>
      </c>
      <c r="E118" s="158">
        <f>IF($B118&lt;&gt;"",INDEX(DataOB[],FirstRow+ROW()-7,6),"")</f>
        <v>0</v>
      </c>
      <c r="F118" s="158" t="str">
        <f>IF($B118&lt;&gt;"",INDEX(DataOB[],FirstRow+ROW()-7,5),"")</f>
        <v>MAT modify tooling 17" Y22</v>
      </c>
      <c r="G118" s="58">
        <f>IF($B118&lt;&gt;"",SUMIFS(DataAct_tbl[AMOUNT],DataAct_tbl[BG CODE],Detail!$D118,DataAct_tbl[MONTH],LEFT(MonthName,3),DataAct_tbl[Dept code],$B118),0)</f>
        <v>0</v>
      </c>
      <c r="H118" s="31">
        <f t="shared" si="16"/>
        <v>0</v>
      </c>
      <c r="I118" s="28">
        <f t="shared" si="17"/>
        <v>0</v>
      </c>
      <c r="J118" s="32" t="str">
        <f t="shared" si="18"/>
        <v xml:space="preserve"> </v>
      </c>
      <c r="K118" s="86"/>
      <c r="L118" s="62">
        <f>IF($B118&lt;&gt;"",SUMIFS(DataAct_tbl[AMOUNT],DataAct_tbl[BG CODE],Detail!$D118,DataAct_tbl[Check Range],"=true",DataAct_tbl[Dept code],$B118),0)</f>
        <v>74.958170000000038</v>
      </c>
      <c r="M118" s="63">
        <f>INDEX($AG$7:$AR$1005,ROW()-6,MATCH(MTD,$AG$6:$AR$6,0))</f>
        <v>74.958169999999996</v>
      </c>
      <c r="N118" s="34">
        <f t="shared" si="19"/>
        <v>4.2632564145606011E-14</v>
      </c>
      <c r="O118" s="64">
        <f t="shared" si="20"/>
        <v>1.0000000000000007</v>
      </c>
      <c r="Q118" s="97">
        <f t="shared" si="21"/>
        <v>74.958169999999996</v>
      </c>
      <c r="R118" s="96">
        <f t="shared" si="22"/>
        <v>0</v>
      </c>
      <c r="T118" s="67">
        <f>IF($B118&lt;&gt;"",INDEX(DataOB[],FirstRow+ROW()-7,MATCH(T$6,DataOB[#Headers],0)),"")</f>
        <v>0</v>
      </c>
      <c r="U118" s="67">
        <f>IF($B118&lt;&gt;"",INDEX(DataOB[],FirstRow+ROW()-7,MATCH(U$6,DataOB[#Headers],0)),"")</f>
        <v>155.63929999999999</v>
      </c>
      <c r="V118" s="67">
        <f>IF($B118&lt;&gt;"",INDEX(DataOB[],FirstRow+ROW()-7,MATCH(V$6,DataOB[#Headers],0)),"")</f>
        <v>-80.681129999999996</v>
      </c>
      <c r="W118" s="67">
        <f>IF($B118&lt;&gt;"",INDEX(DataOB[],FirstRow+ROW()-7,MATCH(W$6,DataOB[#Headers],0)),"")</f>
        <v>0</v>
      </c>
      <c r="X118" s="67">
        <f>IF($B118&lt;&gt;"",INDEX(DataOB[],FirstRow+ROW()-7,MATCH(X$6,DataOB[#Headers],0)),"")</f>
        <v>0</v>
      </c>
      <c r="Y118" s="67">
        <f>IF($B118&lt;&gt;"",INDEX(DataOB[],FirstRow+ROW()-7,MATCH(Y$6,DataOB[#Headers],0)),"")</f>
        <v>0</v>
      </c>
      <c r="Z118" s="67">
        <f>IF($B118&lt;&gt;"",INDEX(DataOB[],FirstRow+ROW()-7,MATCH(Z$6,DataOB[#Headers],0)),"")</f>
        <v>0</v>
      </c>
      <c r="AA118" s="67">
        <f>IF($B118&lt;&gt;"",INDEX(DataOB[],FirstRow+ROW()-7,MATCH(AA$6,DataOB[#Headers],0)),"")</f>
        <v>0</v>
      </c>
      <c r="AB118" s="67">
        <f>IF($B118&lt;&gt;"",INDEX(DataOB[],FirstRow+ROW()-7,MATCH(AB$6,DataOB[#Headers],0)),"")</f>
        <v>0</v>
      </c>
      <c r="AC118" s="67">
        <f>IF($B118&lt;&gt;"",INDEX(DataOB[],FirstRow+ROW()-7,MATCH(AC$6,DataOB[#Headers],0)),"")</f>
        <v>0</v>
      </c>
      <c r="AD118" s="67">
        <f>IF($B118&lt;&gt;"",INDEX(DataOB[],FirstRow+ROW()-7,MATCH(AD$6,DataOB[#Headers],0)),"")</f>
        <v>0</v>
      </c>
      <c r="AE118" s="67">
        <f>IF($B118&lt;&gt;"",INDEX(DataOB[],FirstRow+ROW()-7,MATCH(AE$6,DataOB[#Headers],0)),"")</f>
        <v>0</v>
      </c>
      <c r="AF118" s="26">
        <f t="shared" si="23"/>
        <v>74.958169999999996</v>
      </c>
      <c r="AG118" s="31">
        <f>SUM($T118:T118)</f>
        <v>0</v>
      </c>
      <c r="AH118" s="31">
        <f>SUM($T118:U118)</f>
        <v>155.63929999999999</v>
      </c>
      <c r="AI118" s="31">
        <f>SUM($T118:V118)</f>
        <v>74.958169999999996</v>
      </c>
      <c r="AJ118" s="31">
        <f>SUM($T118:W118)</f>
        <v>74.958169999999996</v>
      </c>
      <c r="AK118" s="31">
        <f>SUM($T118:X118)</f>
        <v>74.958169999999996</v>
      </c>
      <c r="AL118" s="31">
        <f>SUM($T118:Y118)</f>
        <v>74.958169999999996</v>
      </c>
      <c r="AM118" s="31">
        <f>SUM($T118:Z118)</f>
        <v>74.958169999999996</v>
      </c>
      <c r="AN118" s="31">
        <f>SUM($T118:AA118)</f>
        <v>74.958169999999996</v>
      </c>
      <c r="AO118" s="31">
        <f>SUM($T118:AB118)</f>
        <v>74.958169999999996</v>
      </c>
      <c r="AP118" s="31">
        <f>SUM($T118:AC118)</f>
        <v>74.958169999999996</v>
      </c>
      <c r="AQ118" s="31">
        <f>SUM($T118:AD118)</f>
        <v>74.958169999999996</v>
      </c>
      <c r="AR118" s="31">
        <f>SUM($T118:AE118)</f>
        <v>74.958169999999996</v>
      </c>
      <c r="AS118" s="27">
        <f t="shared" si="24"/>
        <v>0</v>
      </c>
    </row>
    <row r="119" spans="2:45">
      <c r="B119" s="156">
        <f>IF(ROW()-6&gt;NumCostCenter,"",IF(CostCenter&lt;&gt;"ALL",CostCenter,DATA_LF2!B117))</f>
        <v>8111</v>
      </c>
      <c r="C119" s="153">
        <f>IF($B119&lt;&gt;"",INDEX(DataOB[],FirstRow+ROW()-7,2),"")</f>
        <v>8111</v>
      </c>
      <c r="D119" s="157" t="str">
        <f>IF($B119&lt;&gt;"",INDEX(DataOB[],FirstRow+ROW()-7,3),"")</f>
        <v>TBD</v>
      </c>
      <c r="E119" s="158">
        <f>IF($B119&lt;&gt;"",INDEX(DataOB[],FirstRow+ROW()-7,6),"")</f>
        <v>0</v>
      </c>
      <c r="F119" s="158" t="str">
        <f>IF($B119&lt;&gt;"",INDEX(DataOB[],FirstRow+ROW()-7,5),"")</f>
        <v>Container Y24</v>
      </c>
      <c r="G119" s="58">
        <f>IF($B119&lt;&gt;"",SUMIFS(DataAct_tbl[AMOUNT],DataAct_tbl[BG CODE],Detail!$D119,DataAct_tbl[MONTH],LEFT(MonthName,3),DataAct_tbl[Dept code],$B119),0)</f>
        <v>0</v>
      </c>
      <c r="H119" s="31">
        <f t="shared" si="16"/>
        <v>0</v>
      </c>
      <c r="I119" s="28">
        <f t="shared" si="17"/>
        <v>0</v>
      </c>
      <c r="J119" s="32" t="str">
        <f t="shared" si="18"/>
        <v xml:space="preserve"> </v>
      </c>
      <c r="K119" s="86"/>
      <c r="L119" s="62">
        <f>IF($B119&lt;&gt;"",SUMIFS(DataAct_tbl[AMOUNT],DataAct_tbl[BG CODE],Detail!$D119,DataAct_tbl[Check Range],"=true",DataAct_tbl[Dept code],$B119),0)</f>
        <v>0</v>
      </c>
      <c r="M119" s="63">
        <f>INDEX($AG$7:$AR$1005,ROW()-6,MATCH(MTD,$AG$6:$AR$6,0))</f>
        <v>0</v>
      </c>
      <c r="N119" s="34">
        <f t="shared" si="19"/>
        <v>0</v>
      </c>
      <c r="O119" s="64" t="str">
        <f t="shared" si="20"/>
        <v xml:space="preserve"> </v>
      </c>
      <c r="Q119" s="97">
        <f t="shared" si="21"/>
        <v>425</v>
      </c>
      <c r="R119" s="96">
        <f t="shared" si="22"/>
        <v>425</v>
      </c>
      <c r="T119" s="67">
        <f>IF($B119&lt;&gt;"",INDEX(DataOB[],FirstRow+ROW()-7,MATCH(T$6,DataOB[#Headers],0)),"")</f>
        <v>0</v>
      </c>
      <c r="U119" s="67">
        <f>IF($B119&lt;&gt;"",INDEX(DataOB[],FirstRow+ROW()-7,MATCH(U$6,DataOB[#Headers],0)),"")</f>
        <v>0</v>
      </c>
      <c r="V119" s="67">
        <f>IF($B119&lt;&gt;"",INDEX(DataOB[],FirstRow+ROW()-7,MATCH(V$6,DataOB[#Headers],0)),"")</f>
        <v>0</v>
      </c>
      <c r="W119" s="67">
        <f>IF($B119&lt;&gt;"",INDEX(DataOB[],FirstRow+ROW()-7,MATCH(W$6,DataOB[#Headers],0)),"")</f>
        <v>0</v>
      </c>
      <c r="X119" s="67">
        <f>IF($B119&lt;&gt;"",INDEX(DataOB[],FirstRow+ROW()-7,MATCH(X$6,DataOB[#Headers],0)),"")</f>
        <v>0</v>
      </c>
      <c r="Y119" s="67">
        <f>IF($B119&lt;&gt;"",INDEX(DataOB[],FirstRow+ROW()-7,MATCH(Y$6,DataOB[#Headers],0)),"")</f>
        <v>0</v>
      </c>
      <c r="Z119" s="67">
        <f>IF($B119&lt;&gt;"",INDEX(DataOB[],FirstRow+ROW()-7,MATCH(Z$6,DataOB[#Headers],0)),"")</f>
        <v>0</v>
      </c>
      <c r="AA119" s="67">
        <f>IF($B119&lt;&gt;"",INDEX(DataOB[],FirstRow+ROW()-7,MATCH(AA$6,DataOB[#Headers],0)),"")</f>
        <v>0</v>
      </c>
      <c r="AB119" s="67">
        <f>IF($B119&lt;&gt;"",INDEX(DataOB[],FirstRow+ROW()-7,MATCH(AB$6,DataOB[#Headers],0)),"")</f>
        <v>0</v>
      </c>
      <c r="AC119" s="67">
        <f>IF($B119&lt;&gt;"",INDEX(DataOB[],FirstRow+ROW()-7,MATCH(AC$6,DataOB[#Headers],0)),"")</f>
        <v>0</v>
      </c>
      <c r="AD119" s="67">
        <f>IF($B119&lt;&gt;"",INDEX(DataOB[],FirstRow+ROW()-7,MATCH(AD$6,DataOB[#Headers],0)),"")</f>
        <v>425</v>
      </c>
      <c r="AE119" s="67">
        <f>IF($B119&lt;&gt;"",INDEX(DataOB[],FirstRow+ROW()-7,MATCH(AE$6,DataOB[#Headers],0)),"")</f>
        <v>0</v>
      </c>
      <c r="AF119" s="26">
        <f t="shared" si="23"/>
        <v>425</v>
      </c>
      <c r="AG119" s="31">
        <f>SUM($T119:T119)</f>
        <v>0</v>
      </c>
      <c r="AH119" s="31">
        <f>SUM($T119:U119)</f>
        <v>0</v>
      </c>
      <c r="AI119" s="31">
        <f>SUM($T119:V119)</f>
        <v>0</v>
      </c>
      <c r="AJ119" s="31">
        <f>SUM($T119:W119)</f>
        <v>0</v>
      </c>
      <c r="AK119" s="31">
        <f>SUM($T119:X119)</f>
        <v>0</v>
      </c>
      <c r="AL119" s="31">
        <f>SUM($T119:Y119)</f>
        <v>0</v>
      </c>
      <c r="AM119" s="31">
        <f>SUM($T119:Z119)</f>
        <v>0</v>
      </c>
      <c r="AN119" s="31">
        <f>SUM($T119:AA119)</f>
        <v>0</v>
      </c>
      <c r="AO119" s="31">
        <f>SUM($T119:AB119)</f>
        <v>0</v>
      </c>
      <c r="AP119" s="31">
        <f>SUM($T119:AC119)</f>
        <v>0</v>
      </c>
      <c r="AQ119" s="31">
        <f>SUM($T119:AD119)</f>
        <v>425</v>
      </c>
      <c r="AR119" s="31">
        <f>SUM($T119:AE119)</f>
        <v>425</v>
      </c>
      <c r="AS119" s="27">
        <f t="shared" si="24"/>
        <v>0</v>
      </c>
    </row>
    <row r="120" spans="2:45">
      <c r="B120" s="156">
        <f>IF(ROW()-6&gt;NumCostCenter,"",IF(CostCenter&lt;&gt;"ALL",CostCenter,DATA_LF2!B118))</f>
        <v>8111</v>
      </c>
      <c r="C120" s="153">
        <f>IF($B120&lt;&gt;"",INDEX(DataOB[],FirstRow+ROW()-7,2),"")</f>
        <v>8111</v>
      </c>
      <c r="D120" s="157" t="str">
        <f>IF($B120&lt;&gt;"",INDEX(DataOB[],FirstRow+ROW()-7,3),"")</f>
        <v>TBD</v>
      </c>
      <c r="E120" s="158">
        <f>IF($B120&lt;&gt;"",INDEX(DataOB[],FirstRow+ROW()-7,6),"")</f>
        <v>0</v>
      </c>
      <c r="F120" s="158" t="str">
        <f>IF($B120&lt;&gt;"",INDEX(DataOB[],FirstRow+ROW()-7,5),"")</f>
        <v xml:space="preserve">Bead tooling </v>
      </c>
      <c r="G120" s="58">
        <f>IF($B120&lt;&gt;"",SUMIFS(DataAct_tbl[AMOUNT],DataAct_tbl[BG CODE],Detail!$D120,DataAct_tbl[MONTH],LEFT(MonthName,3),DataAct_tbl[Dept code],$B120),0)</f>
        <v>0</v>
      </c>
      <c r="H120" s="31">
        <f t="shared" si="16"/>
        <v>0</v>
      </c>
      <c r="I120" s="28">
        <f t="shared" si="17"/>
        <v>0</v>
      </c>
      <c r="J120" s="32" t="str">
        <f t="shared" si="18"/>
        <v xml:space="preserve"> </v>
      </c>
      <c r="K120" s="86"/>
      <c r="L120" s="62">
        <f>IF($B120&lt;&gt;"",SUMIFS(DataAct_tbl[AMOUNT],DataAct_tbl[BG CODE],Detail!$D120,DataAct_tbl[Check Range],"=true",DataAct_tbl[Dept code],$B120),0)</f>
        <v>0</v>
      </c>
      <c r="M120" s="63">
        <f>INDEX($AG$7:$AR$1005,ROW()-6,MATCH(MTD,$AG$6:$AR$6,0))</f>
        <v>0</v>
      </c>
      <c r="N120" s="34">
        <f t="shared" si="19"/>
        <v>0</v>
      </c>
      <c r="O120" s="64" t="str">
        <f t="shared" si="20"/>
        <v xml:space="preserve"> </v>
      </c>
      <c r="Q120" s="97">
        <f t="shared" si="21"/>
        <v>0</v>
      </c>
      <c r="R120" s="96">
        <f t="shared" si="22"/>
        <v>0</v>
      </c>
      <c r="T120" s="67">
        <f>IF($B120&lt;&gt;"",INDEX(DataOB[],FirstRow+ROW()-7,MATCH(T$6,DataOB[#Headers],0)),"")</f>
        <v>0</v>
      </c>
      <c r="U120" s="67">
        <f>IF($B120&lt;&gt;"",INDEX(DataOB[],FirstRow+ROW()-7,MATCH(U$6,DataOB[#Headers],0)),"")</f>
        <v>0</v>
      </c>
      <c r="V120" s="67">
        <f>IF($B120&lt;&gt;"",INDEX(DataOB[],FirstRow+ROW()-7,MATCH(V$6,DataOB[#Headers],0)),"")</f>
        <v>0</v>
      </c>
      <c r="W120" s="67">
        <f>IF($B120&lt;&gt;"",INDEX(DataOB[],FirstRow+ROW()-7,MATCH(W$6,DataOB[#Headers],0)),"")</f>
        <v>0</v>
      </c>
      <c r="X120" s="67">
        <f>IF($B120&lt;&gt;"",INDEX(DataOB[],FirstRow+ROW()-7,MATCH(X$6,DataOB[#Headers],0)),"")</f>
        <v>0</v>
      </c>
      <c r="Y120" s="67">
        <f>IF($B120&lt;&gt;"",INDEX(DataOB[],FirstRow+ROW()-7,MATCH(Y$6,DataOB[#Headers],0)),"")</f>
        <v>0</v>
      </c>
      <c r="Z120" s="67">
        <f>IF($B120&lt;&gt;"",INDEX(DataOB[],FirstRow+ROW()-7,MATCH(Z$6,DataOB[#Headers],0)),"")</f>
        <v>0</v>
      </c>
      <c r="AA120" s="67">
        <f>IF($B120&lt;&gt;"",INDEX(DataOB[],FirstRow+ROW()-7,MATCH(AA$6,DataOB[#Headers],0)),"")</f>
        <v>0</v>
      </c>
      <c r="AB120" s="67">
        <f>IF($B120&lt;&gt;"",INDEX(DataOB[],FirstRow+ROW()-7,MATCH(AB$6,DataOB[#Headers],0)),"")</f>
        <v>0</v>
      </c>
      <c r="AC120" s="67">
        <f>IF($B120&lt;&gt;"",INDEX(DataOB[],FirstRow+ROW()-7,MATCH(AC$6,DataOB[#Headers],0)),"")</f>
        <v>0</v>
      </c>
      <c r="AD120" s="67">
        <f>IF($B120&lt;&gt;"",INDEX(DataOB[],FirstRow+ROW()-7,MATCH(AD$6,DataOB[#Headers],0)),"")</f>
        <v>0</v>
      </c>
      <c r="AE120" s="67">
        <f>IF($B120&lt;&gt;"",INDEX(DataOB[],FirstRow+ROW()-7,MATCH(AE$6,DataOB[#Headers],0)),"")</f>
        <v>0</v>
      </c>
      <c r="AF120" s="26">
        <f t="shared" si="23"/>
        <v>0</v>
      </c>
      <c r="AG120" s="31">
        <f>SUM($T120:T120)</f>
        <v>0</v>
      </c>
      <c r="AH120" s="31">
        <f>SUM($T120:U120)</f>
        <v>0</v>
      </c>
      <c r="AI120" s="31">
        <f>SUM($T120:V120)</f>
        <v>0</v>
      </c>
      <c r="AJ120" s="31">
        <f>SUM($T120:W120)</f>
        <v>0</v>
      </c>
      <c r="AK120" s="31">
        <f>SUM($T120:X120)</f>
        <v>0</v>
      </c>
      <c r="AL120" s="31">
        <f>SUM($T120:Y120)</f>
        <v>0</v>
      </c>
      <c r="AM120" s="31">
        <f>SUM($T120:Z120)</f>
        <v>0</v>
      </c>
      <c r="AN120" s="31">
        <f>SUM($T120:AA120)</f>
        <v>0</v>
      </c>
      <c r="AO120" s="31">
        <f>SUM($T120:AB120)</f>
        <v>0</v>
      </c>
      <c r="AP120" s="31">
        <f>SUM($T120:AC120)</f>
        <v>0</v>
      </c>
      <c r="AQ120" s="31">
        <f>SUM($T120:AD120)</f>
        <v>0</v>
      </c>
      <c r="AR120" s="31">
        <f>SUM($T120:AE120)</f>
        <v>0</v>
      </c>
      <c r="AS120" s="27">
        <f t="shared" si="24"/>
        <v>0</v>
      </c>
    </row>
    <row r="121" spans="2:45">
      <c r="B121" s="156">
        <f>IF(ROW()-6&gt;NumCostCenter,"",IF(CostCenter&lt;&gt;"ALL",CostCenter,DATA_LF2!B119))</f>
        <v>8111</v>
      </c>
      <c r="C121" s="153">
        <f>IF($B121&lt;&gt;"",INDEX(DataOB[],FirstRow+ROW()-7,2),"")</f>
        <v>8111</v>
      </c>
      <c r="D121" s="157" t="str">
        <f>IF($B121&lt;&gt;"",INDEX(DataOB[],FirstRow+ROW()-7,3),"")</f>
        <v>O167011B</v>
      </c>
      <c r="E121" s="158">
        <f>IF($B121&lt;&gt;"",INDEX(DataOB[],FirstRow+ROW()-7,6),"")</f>
        <v>0</v>
      </c>
      <c r="F121" s="158" t="str">
        <f>IF($B121&lt;&gt;"",INDEX(DataOB[],FirstRow+ROW()-7,5),"")</f>
        <v>Mold modify 13digit project Y24</v>
      </c>
      <c r="G121" s="58">
        <f>IF($B121&lt;&gt;"",SUMIFS(DataAct_tbl[AMOUNT],DataAct_tbl[BG CODE],Detail!$D121,DataAct_tbl[MONTH],LEFT(MonthName,3),DataAct_tbl[Dept code],$B121),0)</f>
        <v>8.5453899999999976</v>
      </c>
      <c r="H121" s="31">
        <f t="shared" si="16"/>
        <v>9.8999999999999986</v>
      </c>
      <c r="I121" s="28">
        <f t="shared" si="17"/>
        <v>-1.354610000000001</v>
      </c>
      <c r="J121" s="32">
        <f t="shared" si="18"/>
        <v>0.86317070707070698</v>
      </c>
      <c r="K121" s="86"/>
      <c r="L121" s="62">
        <f>IF($B121&lt;&gt;"",SUMIFS(DataAct_tbl[AMOUNT],DataAct_tbl[BG CODE],Detail!$D121,DataAct_tbl[Check Range],"=true",DataAct_tbl[Dept code],$B121),0)</f>
        <v>31.995789999999996</v>
      </c>
      <c r="M121" s="63">
        <f>INDEX($AG$7:$AR$1005,ROW()-6,MATCH(MTD,$AG$6:$AR$6,0))</f>
        <v>33.3504</v>
      </c>
      <c r="N121" s="34">
        <f t="shared" si="19"/>
        <v>-1.3546100000000045</v>
      </c>
      <c r="O121" s="64">
        <f t="shared" si="20"/>
        <v>0.95938249616196491</v>
      </c>
      <c r="Q121" s="97">
        <f t="shared" si="21"/>
        <v>38.300399999999996</v>
      </c>
      <c r="R121" s="96">
        <f t="shared" si="22"/>
        <v>6.3046100000000003</v>
      </c>
      <c r="T121" s="67">
        <f>IF($B121&lt;&gt;"",INDEX(DataOB[],FirstRow+ROW()-7,MATCH(T$6,DataOB[#Headers],0)),"")</f>
        <v>7.37113</v>
      </c>
      <c r="U121" s="67">
        <f>IF($B121&lt;&gt;"",INDEX(DataOB[],FirstRow+ROW()-7,MATCH(U$6,DataOB[#Headers],0)),"")</f>
        <v>7.3495700000000017</v>
      </c>
      <c r="V121" s="67">
        <f>IF($B121&lt;&gt;"",INDEX(DataOB[],FirstRow+ROW()-7,MATCH(V$6,DataOB[#Headers],0)),"")</f>
        <v>2.7630000000000002E-2</v>
      </c>
      <c r="W121" s="67">
        <f>IF($B121&lt;&gt;"",INDEX(DataOB[],FirstRow+ROW()-7,MATCH(W$6,DataOB[#Headers],0)),"")</f>
        <v>8.7020700000000009</v>
      </c>
      <c r="X121" s="67">
        <f>IF($B121&lt;&gt;"",INDEX(DataOB[],FirstRow+ROW()-7,MATCH(X$6,DataOB[#Headers],0)),"")</f>
        <v>0</v>
      </c>
      <c r="Y121" s="67">
        <f>IF($B121&lt;&gt;"",INDEX(DataOB[],FirstRow+ROW()-7,MATCH(Y$6,DataOB[#Headers],0)),"")</f>
        <v>0</v>
      </c>
      <c r="Z121" s="67">
        <f>IF($B121&lt;&gt;"",INDEX(DataOB[],FirstRow+ROW()-7,MATCH(Z$6,DataOB[#Headers],0)),"")</f>
        <v>9.8999999999999986</v>
      </c>
      <c r="AA121" s="67">
        <f>IF($B121&lt;&gt;"",INDEX(DataOB[],FirstRow+ROW()-7,MATCH(AA$6,DataOB[#Headers],0)),"")</f>
        <v>4.9499999999999993</v>
      </c>
      <c r="AB121" s="67">
        <f>IF($B121&lt;&gt;"",INDEX(DataOB[],FirstRow+ROW()-7,MATCH(AB$6,DataOB[#Headers],0)),"")</f>
        <v>0</v>
      </c>
      <c r="AC121" s="67">
        <f>IF($B121&lt;&gt;"",INDEX(DataOB[],FirstRow+ROW()-7,MATCH(AC$6,DataOB[#Headers],0)),"")</f>
        <v>0</v>
      </c>
      <c r="AD121" s="67">
        <f>IF($B121&lt;&gt;"",INDEX(DataOB[],FirstRow+ROW()-7,MATCH(AD$6,DataOB[#Headers],0)),"")</f>
        <v>0</v>
      </c>
      <c r="AE121" s="67">
        <f>IF($B121&lt;&gt;"",INDEX(DataOB[],FirstRow+ROW()-7,MATCH(AE$6,DataOB[#Headers],0)),"")</f>
        <v>0</v>
      </c>
      <c r="AF121" s="26">
        <f t="shared" si="23"/>
        <v>38.300399999999996</v>
      </c>
      <c r="AG121" s="31">
        <f>SUM($T121:T121)</f>
        <v>7.37113</v>
      </c>
      <c r="AH121" s="31">
        <f>SUM($T121:U121)</f>
        <v>14.720700000000001</v>
      </c>
      <c r="AI121" s="31">
        <f>SUM($T121:V121)</f>
        <v>14.748330000000001</v>
      </c>
      <c r="AJ121" s="31">
        <f>SUM($T121:W121)</f>
        <v>23.450400000000002</v>
      </c>
      <c r="AK121" s="31">
        <f>SUM($T121:X121)</f>
        <v>23.450400000000002</v>
      </c>
      <c r="AL121" s="31">
        <f>SUM($T121:Y121)</f>
        <v>23.450400000000002</v>
      </c>
      <c r="AM121" s="31">
        <f>SUM($T121:Z121)</f>
        <v>33.3504</v>
      </c>
      <c r="AN121" s="31">
        <f>SUM($T121:AA121)</f>
        <v>38.300399999999996</v>
      </c>
      <c r="AO121" s="31">
        <f>SUM($T121:AB121)</f>
        <v>38.300399999999996</v>
      </c>
      <c r="AP121" s="31">
        <f>SUM($T121:AC121)</f>
        <v>38.300399999999996</v>
      </c>
      <c r="AQ121" s="31">
        <f>SUM($T121:AD121)</f>
        <v>38.300399999999996</v>
      </c>
      <c r="AR121" s="31">
        <f>SUM($T121:AE121)</f>
        <v>38.300399999999996</v>
      </c>
      <c r="AS121" s="27">
        <f t="shared" si="24"/>
        <v>0</v>
      </c>
    </row>
    <row r="122" spans="2:45">
      <c r="B122" s="156">
        <f>IF(ROW()-6&gt;NumCostCenter,"",IF(CostCenter&lt;&gt;"ALL",CostCenter,DATA_LF2!B120))</f>
        <v>8111</v>
      </c>
      <c r="C122" s="153">
        <f>IF($B122&lt;&gt;"",INDEX(DataOB[],FirstRow+ROW()-7,2),"")</f>
        <v>8111</v>
      </c>
      <c r="D122" s="157" t="str">
        <f>IF($B122&lt;&gt;"",INDEX(DataOB[],FirstRow+ROW()-7,3),"")</f>
        <v>TBD</v>
      </c>
      <c r="E122" s="158">
        <f>IF($B122&lt;&gt;"",INDEX(DataOB[],FirstRow+ROW()-7,6),"")</f>
        <v>0</v>
      </c>
      <c r="F122" s="158" t="str">
        <f>IF($B122&lt;&gt;"",INDEX(DataOB[],FirstRow+ROW()-7,5),"")</f>
        <v>Spoil mold for replacement</v>
      </c>
      <c r="G122" s="58">
        <f>IF($B122&lt;&gt;"",SUMIFS(DataAct_tbl[AMOUNT],DataAct_tbl[BG CODE],Detail!$D122,DataAct_tbl[MONTH],LEFT(MonthName,3),DataAct_tbl[Dept code],$B122),0)</f>
        <v>0</v>
      </c>
      <c r="H122" s="31">
        <f t="shared" si="16"/>
        <v>0</v>
      </c>
      <c r="I122" s="28">
        <f t="shared" si="17"/>
        <v>0</v>
      </c>
      <c r="J122" s="32" t="str">
        <f t="shared" si="18"/>
        <v xml:space="preserve"> </v>
      </c>
      <c r="K122" s="86"/>
      <c r="L122" s="62">
        <f>IF($B122&lt;&gt;"",SUMIFS(DataAct_tbl[AMOUNT],DataAct_tbl[BG CODE],Detail!$D122,DataAct_tbl[Check Range],"=true",DataAct_tbl[Dept code],$B122),0)</f>
        <v>0</v>
      </c>
      <c r="M122" s="63">
        <f>INDEX($AG$7:$AR$1005,ROW()-6,MATCH(MTD,$AG$6:$AR$6,0))</f>
        <v>0</v>
      </c>
      <c r="N122" s="34">
        <f t="shared" si="19"/>
        <v>0</v>
      </c>
      <c r="O122" s="64" t="str">
        <f t="shared" si="20"/>
        <v xml:space="preserve"> </v>
      </c>
      <c r="Q122" s="97">
        <f t="shared" si="21"/>
        <v>200</v>
      </c>
      <c r="R122" s="96">
        <f t="shared" si="22"/>
        <v>200</v>
      </c>
      <c r="T122" s="67">
        <f>IF($B122&lt;&gt;"",INDEX(DataOB[],FirstRow+ROW()-7,MATCH(T$6,DataOB[#Headers],0)),"")</f>
        <v>0</v>
      </c>
      <c r="U122" s="67">
        <f>IF($B122&lt;&gt;"",INDEX(DataOB[],FirstRow+ROW()-7,MATCH(U$6,DataOB[#Headers],0)),"")</f>
        <v>0</v>
      </c>
      <c r="V122" s="67">
        <f>IF($B122&lt;&gt;"",INDEX(DataOB[],FirstRow+ROW()-7,MATCH(V$6,DataOB[#Headers],0)),"")</f>
        <v>0</v>
      </c>
      <c r="W122" s="67">
        <f>IF($B122&lt;&gt;"",INDEX(DataOB[],FirstRow+ROW()-7,MATCH(W$6,DataOB[#Headers],0)),"")</f>
        <v>0</v>
      </c>
      <c r="X122" s="67">
        <f>IF($B122&lt;&gt;"",INDEX(DataOB[],FirstRow+ROW()-7,MATCH(X$6,DataOB[#Headers],0)),"")</f>
        <v>0</v>
      </c>
      <c r="Y122" s="67">
        <f>IF($B122&lt;&gt;"",INDEX(DataOB[],FirstRow+ROW()-7,MATCH(Y$6,DataOB[#Headers],0)),"")</f>
        <v>0</v>
      </c>
      <c r="Z122" s="67">
        <f>IF($B122&lt;&gt;"",INDEX(DataOB[],FirstRow+ROW()-7,MATCH(Z$6,DataOB[#Headers],0)),"")</f>
        <v>0</v>
      </c>
      <c r="AA122" s="67">
        <f>IF($B122&lt;&gt;"",INDEX(DataOB[],FirstRow+ROW()-7,MATCH(AA$6,DataOB[#Headers],0)),"")</f>
        <v>0</v>
      </c>
      <c r="AB122" s="67">
        <f>IF($B122&lt;&gt;"",INDEX(DataOB[],FirstRow+ROW()-7,MATCH(AB$6,DataOB[#Headers],0)),"")</f>
        <v>40</v>
      </c>
      <c r="AC122" s="67">
        <f>IF($B122&lt;&gt;"",INDEX(DataOB[],FirstRow+ROW()-7,MATCH(AC$6,DataOB[#Headers],0)),"")</f>
        <v>40</v>
      </c>
      <c r="AD122" s="67">
        <f>IF($B122&lt;&gt;"",INDEX(DataOB[],FirstRow+ROW()-7,MATCH(AD$6,DataOB[#Headers],0)),"")</f>
        <v>60</v>
      </c>
      <c r="AE122" s="67">
        <f>IF($B122&lt;&gt;"",INDEX(DataOB[],FirstRow+ROW()-7,MATCH(AE$6,DataOB[#Headers],0)),"")</f>
        <v>60</v>
      </c>
      <c r="AF122" s="26">
        <f t="shared" si="23"/>
        <v>200</v>
      </c>
      <c r="AG122" s="31">
        <f>SUM($T122:T122)</f>
        <v>0</v>
      </c>
      <c r="AH122" s="31">
        <f>SUM($T122:U122)</f>
        <v>0</v>
      </c>
      <c r="AI122" s="31">
        <f>SUM($T122:V122)</f>
        <v>0</v>
      </c>
      <c r="AJ122" s="31">
        <f>SUM($T122:W122)</f>
        <v>0</v>
      </c>
      <c r="AK122" s="31">
        <f>SUM($T122:X122)</f>
        <v>0</v>
      </c>
      <c r="AL122" s="31">
        <f>SUM($T122:Y122)</f>
        <v>0</v>
      </c>
      <c r="AM122" s="31">
        <f>SUM($T122:Z122)</f>
        <v>0</v>
      </c>
      <c r="AN122" s="31">
        <f>SUM($T122:AA122)</f>
        <v>0</v>
      </c>
      <c r="AO122" s="31">
        <f>SUM($T122:AB122)</f>
        <v>40</v>
      </c>
      <c r="AP122" s="31">
        <f>SUM($T122:AC122)</f>
        <v>80</v>
      </c>
      <c r="AQ122" s="31">
        <f>SUM($T122:AD122)</f>
        <v>140</v>
      </c>
      <c r="AR122" s="31">
        <f>SUM($T122:AE122)</f>
        <v>200</v>
      </c>
      <c r="AS122" s="27">
        <f t="shared" si="24"/>
        <v>0</v>
      </c>
    </row>
    <row r="123" spans="2:45">
      <c r="B123" s="156">
        <f>IF(ROW()-6&gt;NumCostCenter,"",IF(CostCenter&lt;&gt;"ALL",CostCenter,DATA_LF2!B121))</f>
        <v>8111</v>
      </c>
      <c r="C123" s="153">
        <f>IF($B123&lt;&gt;"",INDEX(DataOB[],FirstRow+ROW()-7,2),"")</f>
        <v>8111</v>
      </c>
      <c r="D123" s="157" t="str">
        <f>IF($B123&lt;&gt;"",INDEX(DataOB[],FirstRow+ROW()-7,3),"")</f>
        <v>TBD</v>
      </c>
      <c r="E123" s="158">
        <f>IF($B123&lt;&gt;"",INDEX(DataOB[],FirstRow+ROW()-7,6),"")</f>
        <v>0</v>
      </c>
      <c r="F123" s="158" t="str">
        <f>IF($B123&lt;&gt;"",INDEX(DataOB[],FirstRow+ROW()-7,5),"")</f>
        <v>Spare shaping drum for 17 inch</v>
      </c>
      <c r="G123" s="58">
        <f>IF($B123&lt;&gt;"",SUMIFS(DataAct_tbl[AMOUNT],DataAct_tbl[BG CODE],Detail!$D123,DataAct_tbl[MONTH],LEFT(MonthName,3),DataAct_tbl[Dept code],$B123),0)</f>
        <v>0</v>
      </c>
      <c r="H123" s="31">
        <f t="shared" si="16"/>
        <v>80.680000000000007</v>
      </c>
      <c r="I123" s="28">
        <f t="shared" si="17"/>
        <v>-80.680000000000007</v>
      </c>
      <c r="J123" s="32">
        <f t="shared" si="18"/>
        <v>0</v>
      </c>
      <c r="K123" s="86"/>
      <c r="L123" s="62">
        <f>IF($B123&lt;&gt;"",SUMIFS(DataAct_tbl[AMOUNT],DataAct_tbl[BG CODE],Detail!$D123,DataAct_tbl[Check Range],"=true",DataAct_tbl[Dept code],$B123),0)</f>
        <v>0</v>
      </c>
      <c r="M123" s="63">
        <f>INDEX($AG$7:$AR$1005,ROW()-6,MATCH(MTD,$AG$6:$AR$6,0))</f>
        <v>80.680000000000007</v>
      </c>
      <c r="N123" s="34">
        <f t="shared" si="19"/>
        <v>-80.680000000000007</v>
      </c>
      <c r="O123" s="64">
        <f t="shared" si="20"/>
        <v>0</v>
      </c>
      <c r="Q123" s="97">
        <f t="shared" si="21"/>
        <v>80.680000000000007</v>
      </c>
      <c r="R123" s="96">
        <f t="shared" si="22"/>
        <v>80.680000000000007</v>
      </c>
      <c r="T123" s="67">
        <f>IF($B123&lt;&gt;"",INDEX(DataOB[],FirstRow+ROW()-7,MATCH(T$6,DataOB[#Headers],0)),"")</f>
        <v>0</v>
      </c>
      <c r="U123" s="67">
        <f>IF($B123&lt;&gt;"",INDEX(DataOB[],FirstRow+ROW()-7,MATCH(U$6,DataOB[#Headers],0)),"")</f>
        <v>0</v>
      </c>
      <c r="V123" s="67">
        <f>IF($B123&lt;&gt;"",INDEX(DataOB[],FirstRow+ROW()-7,MATCH(V$6,DataOB[#Headers],0)),"")</f>
        <v>0</v>
      </c>
      <c r="W123" s="67">
        <f>IF($B123&lt;&gt;"",INDEX(DataOB[],FirstRow+ROW()-7,MATCH(W$6,DataOB[#Headers],0)),"")</f>
        <v>0</v>
      </c>
      <c r="X123" s="67">
        <f>IF($B123&lt;&gt;"",INDEX(DataOB[],FirstRow+ROW()-7,MATCH(X$6,DataOB[#Headers],0)),"")</f>
        <v>0</v>
      </c>
      <c r="Y123" s="67">
        <f>IF($B123&lt;&gt;"",INDEX(DataOB[],FirstRow+ROW()-7,MATCH(Y$6,DataOB[#Headers],0)),"")</f>
        <v>0</v>
      </c>
      <c r="Z123" s="67">
        <f>IF($B123&lt;&gt;"",INDEX(DataOB[],FirstRow+ROW()-7,MATCH(Z$6,DataOB[#Headers],0)),"")</f>
        <v>80.680000000000007</v>
      </c>
      <c r="AA123" s="67">
        <f>IF($B123&lt;&gt;"",INDEX(DataOB[],FirstRow+ROW()-7,MATCH(AA$6,DataOB[#Headers],0)),"")</f>
        <v>0</v>
      </c>
      <c r="AB123" s="67">
        <f>IF($B123&lt;&gt;"",INDEX(DataOB[],FirstRow+ROW()-7,MATCH(AB$6,DataOB[#Headers],0)),"")</f>
        <v>0</v>
      </c>
      <c r="AC123" s="67">
        <f>IF($B123&lt;&gt;"",INDEX(DataOB[],FirstRow+ROW()-7,MATCH(AC$6,DataOB[#Headers],0)),"")</f>
        <v>0</v>
      </c>
      <c r="AD123" s="67">
        <f>IF($B123&lt;&gt;"",INDEX(DataOB[],FirstRow+ROW()-7,MATCH(AD$6,DataOB[#Headers],0)),"")</f>
        <v>0</v>
      </c>
      <c r="AE123" s="67">
        <f>IF($B123&lt;&gt;"",INDEX(DataOB[],FirstRow+ROW()-7,MATCH(AE$6,DataOB[#Headers],0)),"")</f>
        <v>0</v>
      </c>
      <c r="AF123" s="26">
        <f t="shared" si="23"/>
        <v>80.680000000000007</v>
      </c>
      <c r="AG123" s="31">
        <f>SUM($T123:T123)</f>
        <v>0</v>
      </c>
      <c r="AH123" s="31">
        <f>SUM($T123:U123)</f>
        <v>0</v>
      </c>
      <c r="AI123" s="31">
        <f>SUM($T123:V123)</f>
        <v>0</v>
      </c>
      <c r="AJ123" s="31">
        <f>SUM($T123:W123)</f>
        <v>0</v>
      </c>
      <c r="AK123" s="31">
        <f>SUM($T123:X123)</f>
        <v>0</v>
      </c>
      <c r="AL123" s="31">
        <f>SUM($T123:Y123)</f>
        <v>0</v>
      </c>
      <c r="AM123" s="31">
        <f>SUM($T123:Z123)</f>
        <v>80.680000000000007</v>
      </c>
      <c r="AN123" s="31">
        <f>SUM($T123:AA123)</f>
        <v>80.680000000000007</v>
      </c>
      <c r="AO123" s="31">
        <f>SUM($T123:AB123)</f>
        <v>80.680000000000007</v>
      </c>
      <c r="AP123" s="31">
        <f>SUM($T123:AC123)</f>
        <v>80.680000000000007</v>
      </c>
      <c r="AQ123" s="31">
        <f>SUM($T123:AD123)</f>
        <v>80.680000000000007</v>
      </c>
      <c r="AR123" s="31">
        <f>SUM($T123:AE123)</f>
        <v>80.680000000000007</v>
      </c>
      <c r="AS123" s="27">
        <f t="shared" si="24"/>
        <v>0</v>
      </c>
    </row>
    <row r="124" spans="2:45">
      <c r="B124" s="156">
        <f>IF(ROW()-6&gt;NumCostCenter,"",IF(CostCenter&lt;&gt;"ALL",CostCenter,DATA_LF2!B122))</f>
        <v>8311</v>
      </c>
      <c r="C124" s="153">
        <f>IF($B124&lt;&gt;"",INDEX(DataOB[],FirstRow+ROW()-7,2),"")</f>
        <v>8311</v>
      </c>
      <c r="D124" s="157" t="str">
        <f>IF($B124&lt;&gt;"",INDEX(DataOB[],FirstRow+ROW()-7,3),"")</f>
        <v>ME00280</v>
      </c>
      <c r="E124" s="158">
        <f>IF($B124&lt;&gt;"",INDEX(DataOB[],FirstRow+ROW()-7,6),"")</f>
        <v>0</v>
      </c>
      <c r="F124" s="158" t="str">
        <f>IF($B124&lt;&gt;"",INDEX(DataOB[],FirstRow+ROW()-7,5),"")</f>
        <v>TMA supply 50% Y21</v>
      </c>
      <c r="G124" s="58">
        <f>IF($B124&lt;&gt;"",SUMIFS(DataAct_tbl[AMOUNT],DataAct_tbl[BG CODE],Detail!$D124,DataAct_tbl[MONTH],LEFT(MonthName,3),DataAct_tbl[Dept code],$B124),0)</f>
        <v>0</v>
      </c>
      <c r="H124" s="31">
        <f t="shared" si="16"/>
        <v>0</v>
      </c>
      <c r="I124" s="28">
        <f t="shared" si="17"/>
        <v>0</v>
      </c>
      <c r="J124" s="32" t="str">
        <f t="shared" si="18"/>
        <v xml:space="preserve"> </v>
      </c>
      <c r="K124" s="86"/>
      <c r="L124" s="62">
        <f>IF($B124&lt;&gt;"",SUMIFS(DataAct_tbl[AMOUNT],DataAct_tbl[BG CODE],Detail!$D124,DataAct_tbl[Check Range],"=true",DataAct_tbl[Dept code],$B124),0)</f>
        <v>5.5157300000000005</v>
      </c>
      <c r="M124" s="63">
        <f>INDEX($AG$7:$AR$1005,ROW()-6,MATCH(MTD,$AG$6:$AR$6,0))</f>
        <v>5.5157300000000005</v>
      </c>
      <c r="N124" s="34">
        <f t="shared" si="19"/>
        <v>0</v>
      </c>
      <c r="O124" s="64">
        <f t="shared" si="20"/>
        <v>1</v>
      </c>
      <c r="Q124" s="97">
        <f t="shared" si="21"/>
        <v>5.5157300000000005</v>
      </c>
      <c r="R124" s="96">
        <f t="shared" si="22"/>
        <v>0</v>
      </c>
      <c r="T124" s="67">
        <f>IF($B124&lt;&gt;"",INDEX(DataOB[],FirstRow+ROW()-7,MATCH(T$6,DataOB[#Headers],0)),"")</f>
        <v>0</v>
      </c>
      <c r="U124" s="67">
        <f>IF($B124&lt;&gt;"",INDEX(DataOB[],FirstRow+ROW()-7,MATCH(U$6,DataOB[#Headers],0)),"")</f>
        <v>5.5157300000000005</v>
      </c>
      <c r="V124" s="67">
        <f>IF($B124&lt;&gt;"",INDEX(DataOB[],FirstRow+ROW()-7,MATCH(V$6,DataOB[#Headers],0)),"")</f>
        <v>0</v>
      </c>
      <c r="W124" s="67">
        <f>IF($B124&lt;&gt;"",INDEX(DataOB[],FirstRow+ROW()-7,MATCH(W$6,DataOB[#Headers],0)),"")</f>
        <v>0</v>
      </c>
      <c r="X124" s="67">
        <f>IF($B124&lt;&gt;"",INDEX(DataOB[],FirstRow+ROW()-7,MATCH(X$6,DataOB[#Headers],0)),"")</f>
        <v>0</v>
      </c>
      <c r="Y124" s="67">
        <f>IF($B124&lt;&gt;"",INDEX(DataOB[],FirstRow+ROW()-7,MATCH(Y$6,DataOB[#Headers],0)),"")</f>
        <v>0</v>
      </c>
      <c r="Z124" s="67">
        <f>IF($B124&lt;&gt;"",INDEX(DataOB[],FirstRow+ROW()-7,MATCH(Z$6,DataOB[#Headers],0)),"")</f>
        <v>0</v>
      </c>
      <c r="AA124" s="67">
        <f>IF($B124&lt;&gt;"",INDEX(DataOB[],FirstRow+ROW()-7,MATCH(AA$6,DataOB[#Headers],0)),"")</f>
        <v>0</v>
      </c>
      <c r="AB124" s="67">
        <f>IF($B124&lt;&gt;"",INDEX(DataOB[],FirstRow+ROW()-7,MATCH(AB$6,DataOB[#Headers],0)),"")</f>
        <v>0</v>
      </c>
      <c r="AC124" s="67">
        <f>IF($B124&lt;&gt;"",INDEX(DataOB[],FirstRow+ROW()-7,MATCH(AC$6,DataOB[#Headers],0)),"")</f>
        <v>0</v>
      </c>
      <c r="AD124" s="67">
        <f>IF($B124&lt;&gt;"",INDEX(DataOB[],FirstRow+ROW()-7,MATCH(AD$6,DataOB[#Headers],0)),"")</f>
        <v>0</v>
      </c>
      <c r="AE124" s="67">
        <f>IF($B124&lt;&gt;"",INDEX(DataOB[],FirstRow+ROW()-7,MATCH(AE$6,DataOB[#Headers],0)),"")</f>
        <v>0</v>
      </c>
      <c r="AF124" s="26">
        <f t="shared" si="23"/>
        <v>5.5157300000000005</v>
      </c>
      <c r="AG124" s="31">
        <f>SUM($T124:T124)</f>
        <v>0</v>
      </c>
      <c r="AH124" s="31">
        <f>SUM($T124:U124)</f>
        <v>5.5157300000000005</v>
      </c>
      <c r="AI124" s="31">
        <f>SUM($T124:V124)</f>
        <v>5.5157300000000005</v>
      </c>
      <c r="AJ124" s="31">
        <f>SUM($T124:W124)</f>
        <v>5.5157300000000005</v>
      </c>
      <c r="AK124" s="31">
        <f>SUM($T124:X124)</f>
        <v>5.5157300000000005</v>
      </c>
      <c r="AL124" s="31">
        <f>SUM($T124:Y124)</f>
        <v>5.5157300000000005</v>
      </c>
      <c r="AM124" s="31">
        <f>SUM($T124:Z124)</f>
        <v>5.5157300000000005</v>
      </c>
      <c r="AN124" s="31">
        <f>SUM($T124:AA124)</f>
        <v>5.5157300000000005</v>
      </c>
      <c r="AO124" s="31">
        <f>SUM($T124:AB124)</f>
        <v>5.5157300000000005</v>
      </c>
      <c r="AP124" s="31">
        <f>SUM($T124:AC124)</f>
        <v>5.5157300000000005</v>
      </c>
      <c r="AQ124" s="31">
        <f>SUM($T124:AD124)</f>
        <v>5.5157300000000005</v>
      </c>
      <c r="AR124" s="31">
        <f>SUM($T124:AE124)</f>
        <v>5.5157300000000005</v>
      </c>
      <c r="AS124" s="27">
        <f t="shared" si="24"/>
        <v>0</v>
      </c>
    </row>
    <row r="125" spans="2:45">
      <c r="B125" s="156">
        <f>IF(ROW()-6&gt;NumCostCenter,"",IF(CostCenter&lt;&gt;"ALL",CostCenter,DATA_LF2!B123))</f>
        <v>8311</v>
      </c>
      <c r="C125" s="153">
        <f>IF($B125&lt;&gt;"",INDEX(DataOB[],FirstRow+ROW()-7,2),"")</f>
        <v>8311</v>
      </c>
      <c r="D125" s="157" t="str">
        <f>IF($B125&lt;&gt;"",INDEX(DataOB[],FirstRow+ROW()-7,3),"")</f>
        <v>TBD</v>
      </c>
      <c r="E125" s="158">
        <f>IF($B125&lt;&gt;"",INDEX(DataOB[],FirstRow+ROW()-7,6),"")</f>
        <v>0</v>
      </c>
      <c r="F125" s="158" t="str">
        <f>IF($B125&lt;&gt;"",INDEX(DataOB[],FirstRow+ROW()-7,5),"")</f>
        <v>Kaizen control for BOF fan at BB#4</v>
      </c>
      <c r="G125" s="58">
        <f>IF($B125&lt;&gt;"",SUMIFS(DataAct_tbl[AMOUNT],DataAct_tbl[BG CODE],Detail!$D125,DataAct_tbl[MONTH],LEFT(MonthName,3),DataAct_tbl[Dept code],$B125),0)</f>
        <v>0</v>
      </c>
      <c r="H125" s="31">
        <f t="shared" si="16"/>
        <v>0</v>
      </c>
      <c r="I125" s="28">
        <f t="shared" si="17"/>
        <v>0</v>
      </c>
      <c r="J125" s="32" t="str">
        <f t="shared" si="18"/>
        <v xml:space="preserve"> </v>
      </c>
      <c r="K125" s="86"/>
      <c r="L125" s="62">
        <f>IF($B125&lt;&gt;"",SUMIFS(DataAct_tbl[AMOUNT],DataAct_tbl[BG CODE],Detail!$D125,DataAct_tbl[Check Range],"=true",DataAct_tbl[Dept code],$B125),0)</f>
        <v>0</v>
      </c>
      <c r="M125" s="63">
        <f>INDEX($AG$7:$AR$1005,ROW()-6,MATCH(MTD,$AG$6:$AR$6,0))</f>
        <v>0</v>
      </c>
      <c r="N125" s="34">
        <f t="shared" si="19"/>
        <v>0</v>
      </c>
      <c r="O125" s="64" t="str">
        <f t="shared" si="20"/>
        <v xml:space="preserve"> </v>
      </c>
      <c r="Q125" s="97">
        <f t="shared" si="21"/>
        <v>10.8</v>
      </c>
      <c r="R125" s="96">
        <f t="shared" si="22"/>
        <v>10.8</v>
      </c>
      <c r="T125" s="67">
        <f>IF($B125&lt;&gt;"",INDEX(DataOB[],FirstRow+ROW()-7,MATCH(T$6,DataOB[#Headers],0)),"")</f>
        <v>0</v>
      </c>
      <c r="U125" s="67">
        <f>IF($B125&lt;&gt;"",INDEX(DataOB[],FirstRow+ROW()-7,MATCH(U$6,DataOB[#Headers],0)),"")</f>
        <v>0</v>
      </c>
      <c r="V125" s="67">
        <f>IF($B125&lt;&gt;"",INDEX(DataOB[],FirstRow+ROW()-7,MATCH(V$6,DataOB[#Headers],0)),"")</f>
        <v>0</v>
      </c>
      <c r="W125" s="67">
        <f>IF($B125&lt;&gt;"",INDEX(DataOB[],FirstRow+ROW()-7,MATCH(W$6,DataOB[#Headers],0)),"")</f>
        <v>0</v>
      </c>
      <c r="X125" s="67">
        <f>IF($B125&lt;&gt;"",INDEX(DataOB[],FirstRow+ROW()-7,MATCH(X$6,DataOB[#Headers],0)),"")</f>
        <v>0</v>
      </c>
      <c r="Y125" s="67">
        <f>IF($B125&lt;&gt;"",INDEX(DataOB[],FirstRow+ROW()-7,MATCH(Y$6,DataOB[#Headers],0)),"")</f>
        <v>0</v>
      </c>
      <c r="Z125" s="67">
        <f>IF($B125&lt;&gt;"",INDEX(DataOB[],FirstRow+ROW()-7,MATCH(Z$6,DataOB[#Headers],0)),"")</f>
        <v>0</v>
      </c>
      <c r="AA125" s="67">
        <f>IF($B125&lt;&gt;"",INDEX(DataOB[],FirstRow+ROW()-7,MATCH(AA$6,DataOB[#Headers],0)),"")</f>
        <v>0</v>
      </c>
      <c r="AB125" s="67">
        <f>IF($B125&lt;&gt;"",INDEX(DataOB[],FirstRow+ROW()-7,MATCH(AB$6,DataOB[#Headers],0)),"")</f>
        <v>0</v>
      </c>
      <c r="AC125" s="67">
        <f>IF($B125&lt;&gt;"",INDEX(DataOB[],FirstRow+ROW()-7,MATCH(AC$6,DataOB[#Headers],0)),"")</f>
        <v>10.8</v>
      </c>
      <c r="AD125" s="67">
        <f>IF($B125&lt;&gt;"",INDEX(DataOB[],FirstRow+ROW()-7,MATCH(AD$6,DataOB[#Headers],0)),"")</f>
        <v>0</v>
      </c>
      <c r="AE125" s="67">
        <f>IF($B125&lt;&gt;"",INDEX(DataOB[],FirstRow+ROW()-7,MATCH(AE$6,DataOB[#Headers],0)),"")</f>
        <v>0</v>
      </c>
      <c r="AF125" s="26">
        <f t="shared" si="23"/>
        <v>10.8</v>
      </c>
      <c r="AG125" s="31">
        <f>SUM($T125:T125)</f>
        <v>0</v>
      </c>
      <c r="AH125" s="31">
        <f>SUM($T125:U125)</f>
        <v>0</v>
      </c>
      <c r="AI125" s="31">
        <f>SUM($T125:V125)</f>
        <v>0</v>
      </c>
      <c r="AJ125" s="31">
        <f>SUM($T125:W125)</f>
        <v>0</v>
      </c>
      <c r="AK125" s="31">
        <f>SUM($T125:X125)</f>
        <v>0</v>
      </c>
      <c r="AL125" s="31">
        <f>SUM($T125:Y125)</f>
        <v>0</v>
      </c>
      <c r="AM125" s="31">
        <f>SUM($T125:Z125)</f>
        <v>0</v>
      </c>
      <c r="AN125" s="31">
        <f>SUM($T125:AA125)</f>
        <v>0</v>
      </c>
      <c r="AO125" s="31">
        <f>SUM($T125:AB125)</f>
        <v>0</v>
      </c>
      <c r="AP125" s="31">
        <f>SUM($T125:AC125)</f>
        <v>10.8</v>
      </c>
      <c r="AQ125" s="31">
        <f>SUM($T125:AD125)</f>
        <v>10.8</v>
      </c>
      <c r="AR125" s="31">
        <f>SUM($T125:AE125)</f>
        <v>10.8</v>
      </c>
      <c r="AS125" s="27">
        <f t="shared" si="24"/>
        <v>0</v>
      </c>
    </row>
    <row r="126" spans="2:45">
      <c r="B126" s="156">
        <f>IF(ROW()-6&gt;NumCostCenter,"",IF(CostCenter&lt;&gt;"ALL",CostCenter,DATA_LF2!B124))</f>
        <v>8311</v>
      </c>
      <c r="C126" s="153">
        <f>IF($B126&lt;&gt;"",INDEX(DataOB[],FirstRow+ROW()-7,2),"")</f>
        <v>8311</v>
      </c>
      <c r="D126" s="157" t="str">
        <f>IF($B126&lt;&gt;"",INDEX(DataOB[],FirstRow+ROW()-7,3),"")</f>
        <v>ME00052</v>
      </c>
      <c r="E126" s="158">
        <f>IF($B126&lt;&gt;"",INDEX(DataOB[],FirstRow+ROW()-7,6),"")</f>
        <v>0</v>
      </c>
      <c r="F126" s="158" t="str">
        <f>IF($B126&lt;&gt;"",INDEX(DataOB[],FirstRow+ROW()-7,5),"")</f>
        <v>PT MC Predictive Monitoring System</v>
      </c>
      <c r="G126" s="58">
        <f>IF($B126&lt;&gt;"",SUMIFS(DataAct_tbl[AMOUNT],DataAct_tbl[BG CODE],Detail!$D126,DataAct_tbl[MONTH],LEFT(MonthName,3),DataAct_tbl[Dept code],$B126),0)</f>
        <v>6.5769899999999994</v>
      </c>
      <c r="H126" s="31">
        <f t="shared" si="16"/>
        <v>30</v>
      </c>
      <c r="I126" s="28">
        <f t="shared" si="17"/>
        <v>-23.423010000000001</v>
      </c>
      <c r="J126" s="32">
        <f t="shared" si="18"/>
        <v>0.21923299999999998</v>
      </c>
      <c r="K126" s="86"/>
      <c r="L126" s="62">
        <f>IF($B126&lt;&gt;"",SUMIFS(DataAct_tbl[AMOUNT],DataAct_tbl[BG CODE],Detail!$D126,DataAct_tbl[Check Range],"=true",DataAct_tbl[Dept code],$B126),0)</f>
        <v>6.5769899999999994</v>
      </c>
      <c r="M126" s="63">
        <f>INDEX($AG$7:$AR$1005,ROW()-6,MATCH(MTD,$AG$6:$AR$6,0))</f>
        <v>30</v>
      </c>
      <c r="N126" s="34">
        <f t="shared" si="19"/>
        <v>-23.423010000000001</v>
      </c>
      <c r="O126" s="64">
        <f t="shared" si="20"/>
        <v>0.21923299999999998</v>
      </c>
      <c r="Q126" s="97">
        <f t="shared" si="21"/>
        <v>110</v>
      </c>
      <c r="R126" s="96">
        <f t="shared" si="22"/>
        <v>103.42301</v>
      </c>
      <c r="T126" s="67">
        <f>IF($B126&lt;&gt;"",INDEX(DataOB[],FirstRow+ROW()-7,MATCH(T$6,DataOB[#Headers],0)),"")</f>
        <v>0</v>
      </c>
      <c r="U126" s="67">
        <f>IF($B126&lt;&gt;"",INDEX(DataOB[],FirstRow+ROW()-7,MATCH(U$6,DataOB[#Headers],0)),"")</f>
        <v>0</v>
      </c>
      <c r="V126" s="67">
        <f>IF($B126&lt;&gt;"",INDEX(DataOB[],FirstRow+ROW()-7,MATCH(V$6,DataOB[#Headers],0)),"")</f>
        <v>0</v>
      </c>
      <c r="W126" s="67">
        <f>IF($B126&lt;&gt;"",INDEX(DataOB[],FirstRow+ROW()-7,MATCH(W$6,DataOB[#Headers],0)),"")</f>
        <v>0</v>
      </c>
      <c r="X126" s="67">
        <f>IF($B126&lt;&gt;"",INDEX(DataOB[],FirstRow+ROW()-7,MATCH(X$6,DataOB[#Headers],0)),"")</f>
        <v>0</v>
      </c>
      <c r="Y126" s="67">
        <f>IF($B126&lt;&gt;"",INDEX(DataOB[],FirstRow+ROW()-7,MATCH(Y$6,DataOB[#Headers],0)),"")</f>
        <v>0</v>
      </c>
      <c r="Z126" s="67">
        <f>IF($B126&lt;&gt;"",INDEX(DataOB[],FirstRow+ROW()-7,MATCH(Z$6,DataOB[#Headers],0)),"")</f>
        <v>30</v>
      </c>
      <c r="AA126" s="67">
        <f>IF($B126&lt;&gt;"",INDEX(DataOB[],FirstRow+ROW()-7,MATCH(AA$6,DataOB[#Headers],0)),"")</f>
        <v>60</v>
      </c>
      <c r="AB126" s="67">
        <f>IF($B126&lt;&gt;"",INDEX(DataOB[],FirstRow+ROW()-7,MATCH(AB$6,DataOB[#Headers],0)),"")</f>
        <v>0</v>
      </c>
      <c r="AC126" s="67">
        <f>IF($B126&lt;&gt;"",INDEX(DataOB[],FirstRow+ROW()-7,MATCH(AC$6,DataOB[#Headers],0)),"")</f>
        <v>0</v>
      </c>
      <c r="AD126" s="67">
        <f>IF($B126&lt;&gt;"",INDEX(DataOB[],FirstRow+ROW()-7,MATCH(AD$6,DataOB[#Headers],0)),"")</f>
        <v>0</v>
      </c>
      <c r="AE126" s="67">
        <f>IF($B126&lt;&gt;"",INDEX(DataOB[],FirstRow+ROW()-7,MATCH(AE$6,DataOB[#Headers],0)),"")</f>
        <v>20</v>
      </c>
      <c r="AF126" s="26">
        <f t="shared" si="23"/>
        <v>110</v>
      </c>
      <c r="AG126" s="31">
        <f>SUM($T126:T126)</f>
        <v>0</v>
      </c>
      <c r="AH126" s="31">
        <f>SUM($T126:U126)</f>
        <v>0</v>
      </c>
      <c r="AI126" s="31">
        <f>SUM($T126:V126)</f>
        <v>0</v>
      </c>
      <c r="AJ126" s="31">
        <f>SUM($T126:W126)</f>
        <v>0</v>
      </c>
      <c r="AK126" s="31">
        <f>SUM($T126:X126)</f>
        <v>0</v>
      </c>
      <c r="AL126" s="31">
        <f>SUM($T126:Y126)</f>
        <v>0</v>
      </c>
      <c r="AM126" s="31">
        <f>SUM($T126:Z126)</f>
        <v>30</v>
      </c>
      <c r="AN126" s="31">
        <f>SUM($T126:AA126)</f>
        <v>90</v>
      </c>
      <c r="AO126" s="31">
        <f>SUM($T126:AB126)</f>
        <v>90</v>
      </c>
      <c r="AP126" s="31">
        <f>SUM($T126:AC126)</f>
        <v>90</v>
      </c>
      <c r="AQ126" s="31">
        <f>SUM($T126:AD126)</f>
        <v>90</v>
      </c>
      <c r="AR126" s="31">
        <f>SUM($T126:AE126)</f>
        <v>110</v>
      </c>
      <c r="AS126" s="27">
        <f t="shared" si="24"/>
        <v>0</v>
      </c>
    </row>
    <row r="127" spans="2:45">
      <c r="B127" s="156">
        <f>IF(ROW()-6&gt;NumCostCenter,"",IF(CostCenter&lt;&gt;"ALL",CostCenter,DATA_LF2!B125))</f>
        <v>8311</v>
      </c>
      <c r="C127" s="153">
        <f>IF($B127&lt;&gt;"",INDEX(DataOB[],FirstRow+ROW()-7,2),"")</f>
        <v>8311</v>
      </c>
      <c r="D127" s="157" t="str">
        <f>IF($B127&lt;&gt;"",INDEX(DataOB[],FirstRow+ROW()-7,3),"")</f>
        <v>TBD</v>
      </c>
      <c r="E127" s="158">
        <f>IF($B127&lt;&gt;"",INDEX(DataOB[],FirstRow+ROW()-7,6),"")</f>
        <v>0</v>
      </c>
      <c r="F127" s="158" t="str">
        <f>IF($B127&lt;&gt;"",INDEX(DataOB[],FirstRow+ROW()-7,5),"")</f>
        <v xml:space="preserve">Modify Bead Preset machine #13 to produce 22 inches tires </v>
      </c>
      <c r="G127" s="58">
        <f>IF($B127&lt;&gt;"",SUMIFS(DataAct_tbl[AMOUNT],DataAct_tbl[BG CODE],Detail!$D127,DataAct_tbl[MONTH],LEFT(MonthName,3),DataAct_tbl[Dept code],$B127),0)</f>
        <v>0</v>
      </c>
      <c r="H127" s="31">
        <f t="shared" si="16"/>
        <v>0</v>
      </c>
      <c r="I127" s="28">
        <f t="shared" si="17"/>
        <v>0</v>
      </c>
      <c r="J127" s="32" t="str">
        <f t="shared" si="18"/>
        <v xml:space="preserve"> </v>
      </c>
      <c r="K127" s="86"/>
      <c r="L127" s="62">
        <f>IF($B127&lt;&gt;"",SUMIFS(DataAct_tbl[AMOUNT],DataAct_tbl[BG CODE],Detail!$D127,DataAct_tbl[Check Range],"=true",DataAct_tbl[Dept code],$B127),0)</f>
        <v>0</v>
      </c>
      <c r="M127" s="63">
        <f>INDEX($AG$7:$AR$1005,ROW()-6,MATCH(MTD,$AG$6:$AR$6,0))</f>
        <v>0</v>
      </c>
      <c r="N127" s="34">
        <f t="shared" si="19"/>
        <v>0</v>
      </c>
      <c r="O127" s="64" t="str">
        <f t="shared" si="20"/>
        <v xml:space="preserve"> </v>
      </c>
      <c r="Q127" s="97">
        <f t="shared" si="21"/>
        <v>10</v>
      </c>
      <c r="R127" s="96">
        <f t="shared" si="22"/>
        <v>10</v>
      </c>
      <c r="T127" s="67">
        <f>IF($B127&lt;&gt;"",INDEX(DataOB[],FirstRow+ROW()-7,MATCH(T$6,DataOB[#Headers],0)),"")</f>
        <v>0</v>
      </c>
      <c r="U127" s="67">
        <f>IF($B127&lt;&gt;"",INDEX(DataOB[],FirstRow+ROW()-7,MATCH(U$6,DataOB[#Headers],0)),"")</f>
        <v>0</v>
      </c>
      <c r="V127" s="67">
        <f>IF($B127&lt;&gt;"",INDEX(DataOB[],FirstRow+ROW()-7,MATCH(V$6,DataOB[#Headers],0)),"")</f>
        <v>0</v>
      </c>
      <c r="W127" s="67">
        <f>IF($B127&lt;&gt;"",INDEX(DataOB[],FirstRow+ROW()-7,MATCH(W$6,DataOB[#Headers],0)),"")</f>
        <v>0</v>
      </c>
      <c r="X127" s="67">
        <f>IF($B127&lt;&gt;"",INDEX(DataOB[],FirstRow+ROW()-7,MATCH(X$6,DataOB[#Headers],0)),"")</f>
        <v>0</v>
      </c>
      <c r="Y127" s="67">
        <f>IF($B127&lt;&gt;"",INDEX(DataOB[],FirstRow+ROW()-7,MATCH(Y$6,DataOB[#Headers],0)),"")</f>
        <v>0</v>
      </c>
      <c r="Z127" s="67">
        <f>IF($B127&lt;&gt;"",INDEX(DataOB[],FirstRow+ROW()-7,MATCH(Z$6,DataOB[#Headers],0)),"")</f>
        <v>0</v>
      </c>
      <c r="AA127" s="67">
        <f>IF($B127&lt;&gt;"",INDEX(DataOB[],FirstRow+ROW()-7,MATCH(AA$6,DataOB[#Headers],0)),"")</f>
        <v>0</v>
      </c>
      <c r="AB127" s="67">
        <f>IF($B127&lt;&gt;"",INDEX(DataOB[],FirstRow+ROW()-7,MATCH(AB$6,DataOB[#Headers],0)),"")</f>
        <v>10</v>
      </c>
      <c r="AC127" s="67">
        <f>IF($B127&lt;&gt;"",INDEX(DataOB[],FirstRow+ROW()-7,MATCH(AC$6,DataOB[#Headers],0)),"")</f>
        <v>0</v>
      </c>
      <c r="AD127" s="67">
        <f>IF($B127&lt;&gt;"",INDEX(DataOB[],FirstRow+ROW()-7,MATCH(AD$6,DataOB[#Headers],0)),"")</f>
        <v>0</v>
      </c>
      <c r="AE127" s="67">
        <f>IF($B127&lt;&gt;"",INDEX(DataOB[],FirstRow+ROW()-7,MATCH(AE$6,DataOB[#Headers],0)),"")</f>
        <v>0</v>
      </c>
      <c r="AF127" s="26">
        <f t="shared" si="23"/>
        <v>10</v>
      </c>
      <c r="AG127" s="31">
        <f>SUM($T127:T127)</f>
        <v>0</v>
      </c>
      <c r="AH127" s="31">
        <f>SUM($T127:U127)</f>
        <v>0</v>
      </c>
      <c r="AI127" s="31">
        <f>SUM($T127:V127)</f>
        <v>0</v>
      </c>
      <c r="AJ127" s="31">
        <f>SUM($T127:W127)</f>
        <v>0</v>
      </c>
      <c r="AK127" s="31">
        <f>SUM($T127:X127)</f>
        <v>0</v>
      </c>
      <c r="AL127" s="31">
        <f>SUM($T127:Y127)</f>
        <v>0</v>
      </c>
      <c r="AM127" s="31">
        <f>SUM($T127:Z127)</f>
        <v>0</v>
      </c>
      <c r="AN127" s="31">
        <f>SUM($T127:AA127)</f>
        <v>0</v>
      </c>
      <c r="AO127" s="31">
        <f>SUM($T127:AB127)</f>
        <v>10</v>
      </c>
      <c r="AP127" s="31">
        <f>SUM($T127:AC127)</f>
        <v>10</v>
      </c>
      <c r="AQ127" s="31">
        <f>SUM($T127:AD127)</f>
        <v>10</v>
      </c>
      <c r="AR127" s="31">
        <f>SUM($T127:AE127)</f>
        <v>10</v>
      </c>
      <c r="AS127" s="27">
        <f t="shared" si="24"/>
        <v>0</v>
      </c>
    </row>
    <row r="128" spans="2:45">
      <c r="B128" s="156">
        <f>IF(ROW()-6&gt;NumCostCenter,"",IF(CostCenter&lt;&gt;"ALL",CostCenter,DATA_LF2!B126))</f>
        <v>8311</v>
      </c>
      <c r="C128" s="153">
        <f>IF($B128&lt;&gt;"",INDEX(DataOB[],FirstRow+ROW()-7,2),"")</f>
        <v>8311</v>
      </c>
      <c r="D128" s="157" t="str">
        <f>IF($B128&lt;&gt;"",INDEX(DataOB[],FirstRow+ROW()-7,3),"")</f>
        <v>ME00042</v>
      </c>
      <c r="E128" s="158">
        <f>IF($B128&lt;&gt;"",INDEX(DataOB[],FirstRow+ROW()-7,6),"")</f>
        <v>0</v>
      </c>
      <c r="F128" s="158" t="str">
        <f>IF($B128&lt;&gt;"",INDEX(DataOB[],FirstRow+ROW()-7,5),"")</f>
        <v xml:space="preserve">Modify  Mono Bead machine #7  to produce 22 inches tires </v>
      </c>
      <c r="G128" s="58">
        <f>IF($B128&lt;&gt;"",SUMIFS(DataAct_tbl[AMOUNT],DataAct_tbl[BG CODE],Detail!$D128,DataAct_tbl[MONTH],LEFT(MonthName,3),DataAct_tbl[Dept code],$B128),0)</f>
        <v>3.1900000000000001E-3</v>
      </c>
      <c r="H128" s="31">
        <f t="shared" si="16"/>
        <v>0</v>
      </c>
      <c r="I128" s="28">
        <f t="shared" si="17"/>
        <v>3.1900000000000001E-3</v>
      </c>
      <c r="J128" s="32" t="str">
        <f t="shared" si="18"/>
        <v xml:space="preserve"> </v>
      </c>
      <c r="K128" s="86"/>
      <c r="L128" s="62">
        <f>IF($B128&lt;&gt;"",SUMIFS(DataAct_tbl[AMOUNT],DataAct_tbl[BG CODE],Detail!$D128,DataAct_tbl[Check Range],"=true",DataAct_tbl[Dept code],$B128),0)</f>
        <v>106.75097000000001</v>
      </c>
      <c r="M128" s="63">
        <f>INDEX($AG$7:$AR$1005,ROW()-6,MATCH(MTD,$AG$6:$AR$6,0))</f>
        <v>106.74778000000001</v>
      </c>
      <c r="N128" s="34">
        <f t="shared" si="19"/>
        <v>3.1900000000035789E-3</v>
      </c>
      <c r="O128" s="64">
        <f t="shared" si="20"/>
        <v>1.0000298835254466</v>
      </c>
      <c r="Q128" s="97">
        <f t="shared" si="21"/>
        <v>126.74778000000001</v>
      </c>
      <c r="R128" s="96">
        <f t="shared" si="22"/>
        <v>19.996809999999996</v>
      </c>
      <c r="T128" s="67">
        <f>IF($B128&lt;&gt;"",INDEX(DataOB[],FirstRow+ROW()-7,MATCH(T$6,DataOB[#Headers],0)),"")</f>
        <v>0</v>
      </c>
      <c r="U128" s="67">
        <f>IF($B128&lt;&gt;"",INDEX(DataOB[],FirstRow+ROW()-7,MATCH(U$6,DataOB[#Headers],0)),"")</f>
        <v>0</v>
      </c>
      <c r="V128" s="67">
        <f>IF($B128&lt;&gt;"",INDEX(DataOB[],FirstRow+ROW()-7,MATCH(V$6,DataOB[#Headers],0)),"")</f>
        <v>0</v>
      </c>
      <c r="W128" s="67">
        <f>IF($B128&lt;&gt;"",INDEX(DataOB[],FirstRow+ROW()-7,MATCH(W$6,DataOB[#Headers],0)),"")</f>
        <v>0</v>
      </c>
      <c r="X128" s="67">
        <f>IF($B128&lt;&gt;"",INDEX(DataOB[],FirstRow+ROW()-7,MATCH(X$6,DataOB[#Headers],0)),"")</f>
        <v>106.74778000000001</v>
      </c>
      <c r="Y128" s="67">
        <f>IF($B128&lt;&gt;"",INDEX(DataOB[],FirstRow+ROW()-7,MATCH(Y$6,DataOB[#Headers],0)),"")</f>
        <v>0</v>
      </c>
      <c r="Z128" s="67">
        <f>IF($B128&lt;&gt;"",INDEX(DataOB[],FirstRow+ROW()-7,MATCH(Z$6,DataOB[#Headers],0)),"")</f>
        <v>0</v>
      </c>
      <c r="AA128" s="67">
        <f>IF($B128&lt;&gt;"",INDEX(DataOB[],FirstRow+ROW()-7,MATCH(AA$6,DataOB[#Headers],0)),"")</f>
        <v>0</v>
      </c>
      <c r="AB128" s="67">
        <f>IF($B128&lt;&gt;"",INDEX(DataOB[],FirstRow+ROW()-7,MATCH(AB$6,DataOB[#Headers],0)),"")</f>
        <v>20</v>
      </c>
      <c r="AC128" s="67">
        <f>IF($B128&lt;&gt;"",INDEX(DataOB[],FirstRow+ROW()-7,MATCH(AC$6,DataOB[#Headers],0)),"")</f>
        <v>0</v>
      </c>
      <c r="AD128" s="67">
        <f>IF($B128&lt;&gt;"",INDEX(DataOB[],FirstRow+ROW()-7,MATCH(AD$6,DataOB[#Headers],0)),"")</f>
        <v>0</v>
      </c>
      <c r="AE128" s="67">
        <f>IF($B128&lt;&gt;"",INDEX(DataOB[],FirstRow+ROW()-7,MATCH(AE$6,DataOB[#Headers],0)),"")</f>
        <v>0</v>
      </c>
      <c r="AF128" s="26">
        <f t="shared" si="23"/>
        <v>126.74778000000001</v>
      </c>
      <c r="AG128" s="31">
        <f>SUM($T128:T128)</f>
        <v>0</v>
      </c>
      <c r="AH128" s="31">
        <f>SUM($T128:U128)</f>
        <v>0</v>
      </c>
      <c r="AI128" s="31">
        <f>SUM($T128:V128)</f>
        <v>0</v>
      </c>
      <c r="AJ128" s="31">
        <f>SUM($T128:W128)</f>
        <v>0</v>
      </c>
      <c r="AK128" s="31">
        <f>SUM($T128:X128)</f>
        <v>106.74778000000001</v>
      </c>
      <c r="AL128" s="31">
        <f>SUM($T128:Y128)</f>
        <v>106.74778000000001</v>
      </c>
      <c r="AM128" s="31">
        <f>SUM($T128:Z128)</f>
        <v>106.74778000000001</v>
      </c>
      <c r="AN128" s="31">
        <f>SUM($T128:AA128)</f>
        <v>106.74778000000001</v>
      </c>
      <c r="AO128" s="31">
        <f>SUM($T128:AB128)</f>
        <v>126.74778000000001</v>
      </c>
      <c r="AP128" s="31">
        <f>SUM($T128:AC128)</f>
        <v>126.74778000000001</v>
      </c>
      <c r="AQ128" s="31">
        <f>SUM($T128:AD128)</f>
        <v>126.74778000000001</v>
      </c>
      <c r="AR128" s="31">
        <f>SUM($T128:AE128)</f>
        <v>126.74778000000001</v>
      </c>
      <c r="AS128" s="27">
        <f t="shared" si="24"/>
        <v>0</v>
      </c>
    </row>
    <row r="129" spans="2:45">
      <c r="B129" s="156">
        <f>IF(ROW()-6&gt;NumCostCenter,"",IF(CostCenter&lt;&gt;"ALL",CostCenter,DATA_LF2!B127))</f>
        <v>8311</v>
      </c>
      <c r="C129" s="153">
        <f>IF($B129&lt;&gt;"",INDEX(DataOB[],FirstRow+ROW()-7,2),"")</f>
        <v>8311</v>
      </c>
      <c r="D129" s="157" t="str">
        <f>IF($B129&lt;&gt;"",INDEX(DataOB[],FirstRow+ROW()-7,3),"")</f>
        <v>TBD</v>
      </c>
      <c r="E129" s="158">
        <f>IF($B129&lt;&gt;"",INDEX(DataOB[],FirstRow+ROW()-7,6),"")</f>
        <v>0</v>
      </c>
      <c r="F129" s="158" t="str">
        <f>IF($B129&lt;&gt;"",INDEX(DataOB[],FirstRow+ROW()-7,5),"")</f>
        <v>TMA Re-mixing No.1 overhaul</v>
      </c>
      <c r="G129" s="58">
        <f>IF($B129&lt;&gt;"",SUMIFS(DataAct_tbl[AMOUNT],DataAct_tbl[BG CODE],Detail!$D129,DataAct_tbl[MONTH],LEFT(MonthName,3),DataAct_tbl[Dept code],$B129),0)</f>
        <v>0</v>
      </c>
      <c r="H129" s="31">
        <f t="shared" si="16"/>
        <v>0</v>
      </c>
      <c r="I129" s="28">
        <f t="shared" si="17"/>
        <v>0</v>
      </c>
      <c r="J129" s="32" t="str">
        <f t="shared" si="18"/>
        <v xml:space="preserve"> </v>
      </c>
      <c r="K129" s="86"/>
      <c r="L129" s="62">
        <f>IF($B129&lt;&gt;"",SUMIFS(DataAct_tbl[AMOUNT],DataAct_tbl[BG CODE],Detail!$D129,DataAct_tbl[Check Range],"=true",DataAct_tbl[Dept code],$B129),0)</f>
        <v>0</v>
      </c>
      <c r="M129" s="63">
        <f>INDEX($AG$7:$AR$1005,ROW()-6,MATCH(MTD,$AG$6:$AR$6,0))</f>
        <v>0</v>
      </c>
      <c r="N129" s="34">
        <f t="shared" si="19"/>
        <v>0</v>
      </c>
      <c r="O129" s="64" t="str">
        <f t="shared" si="20"/>
        <v xml:space="preserve"> </v>
      </c>
      <c r="Q129" s="97">
        <f t="shared" si="21"/>
        <v>200</v>
      </c>
      <c r="R129" s="96">
        <f t="shared" si="22"/>
        <v>200</v>
      </c>
      <c r="T129" s="67">
        <f>IF($B129&lt;&gt;"",INDEX(DataOB[],FirstRow+ROW()-7,MATCH(T$6,DataOB[#Headers],0)),"")</f>
        <v>0</v>
      </c>
      <c r="U129" s="67">
        <f>IF($B129&lt;&gt;"",INDEX(DataOB[],FirstRow+ROW()-7,MATCH(U$6,DataOB[#Headers],0)),"")</f>
        <v>0</v>
      </c>
      <c r="V129" s="67">
        <f>IF($B129&lt;&gt;"",INDEX(DataOB[],FirstRow+ROW()-7,MATCH(V$6,DataOB[#Headers],0)),"")</f>
        <v>0</v>
      </c>
      <c r="W129" s="67">
        <f>IF($B129&lt;&gt;"",INDEX(DataOB[],FirstRow+ROW()-7,MATCH(W$6,DataOB[#Headers],0)),"")</f>
        <v>0</v>
      </c>
      <c r="X129" s="67">
        <f>IF($B129&lt;&gt;"",INDEX(DataOB[],FirstRow+ROW()-7,MATCH(X$6,DataOB[#Headers],0)),"")</f>
        <v>0</v>
      </c>
      <c r="Y129" s="67">
        <f>IF($B129&lt;&gt;"",INDEX(DataOB[],FirstRow+ROW()-7,MATCH(Y$6,DataOB[#Headers],0)),"")</f>
        <v>0</v>
      </c>
      <c r="Z129" s="67">
        <f>IF($B129&lt;&gt;"",INDEX(DataOB[],FirstRow+ROW()-7,MATCH(Z$6,DataOB[#Headers],0)),"")</f>
        <v>0</v>
      </c>
      <c r="AA129" s="67">
        <f>IF($B129&lt;&gt;"",INDEX(DataOB[],FirstRow+ROW()-7,MATCH(AA$6,DataOB[#Headers],0)),"")</f>
        <v>0</v>
      </c>
      <c r="AB129" s="67">
        <f>IF($B129&lt;&gt;"",INDEX(DataOB[],FirstRow+ROW()-7,MATCH(AB$6,DataOB[#Headers],0)),"")</f>
        <v>0</v>
      </c>
      <c r="AC129" s="67">
        <f>IF($B129&lt;&gt;"",INDEX(DataOB[],FirstRow+ROW()-7,MATCH(AC$6,DataOB[#Headers],0)),"")</f>
        <v>200</v>
      </c>
      <c r="AD129" s="67">
        <f>IF($B129&lt;&gt;"",INDEX(DataOB[],FirstRow+ROW()-7,MATCH(AD$6,DataOB[#Headers],0)),"")</f>
        <v>0</v>
      </c>
      <c r="AE129" s="67">
        <f>IF($B129&lt;&gt;"",INDEX(DataOB[],FirstRow+ROW()-7,MATCH(AE$6,DataOB[#Headers],0)),"")</f>
        <v>0</v>
      </c>
      <c r="AF129" s="26">
        <f t="shared" si="23"/>
        <v>200</v>
      </c>
      <c r="AG129" s="31">
        <f>SUM($T129:T129)</f>
        <v>0</v>
      </c>
      <c r="AH129" s="31">
        <f>SUM($T129:U129)</f>
        <v>0</v>
      </c>
      <c r="AI129" s="31">
        <f>SUM($T129:V129)</f>
        <v>0</v>
      </c>
      <c r="AJ129" s="31">
        <f>SUM($T129:W129)</f>
        <v>0</v>
      </c>
      <c r="AK129" s="31">
        <f>SUM($T129:X129)</f>
        <v>0</v>
      </c>
      <c r="AL129" s="31">
        <f>SUM($T129:Y129)</f>
        <v>0</v>
      </c>
      <c r="AM129" s="31">
        <f>SUM($T129:Z129)</f>
        <v>0</v>
      </c>
      <c r="AN129" s="31">
        <f>SUM($T129:AA129)</f>
        <v>0</v>
      </c>
      <c r="AO129" s="31">
        <f>SUM($T129:AB129)</f>
        <v>0</v>
      </c>
      <c r="AP129" s="31">
        <f>SUM($T129:AC129)</f>
        <v>200</v>
      </c>
      <c r="AQ129" s="31">
        <f>SUM($T129:AD129)</f>
        <v>200</v>
      </c>
      <c r="AR129" s="31">
        <f>SUM($T129:AE129)</f>
        <v>200</v>
      </c>
      <c r="AS129" s="27">
        <f t="shared" si="24"/>
        <v>0</v>
      </c>
    </row>
    <row r="130" spans="2:45">
      <c r="B130" s="156">
        <f>IF(ROW()-6&gt;NumCostCenter,"",IF(CostCenter&lt;&gt;"ALL",CostCenter,DATA_LF2!B128))</f>
        <v>8311</v>
      </c>
      <c r="C130" s="153">
        <f>IF($B130&lt;&gt;"",INDEX(DataOB[],FirstRow+ROW()-7,2),"")</f>
        <v>8311</v>
      </c>
      <c r="D130" s="157" t="str">
        <f>IF($B130&lt;&gt;"",INDEX(DataOB[],FirstRow+ROW()-7,3),"")</f>
        <v>ME00049</v>
      </c>
      <c r="E130" s="158">
        <f>IF($B130&lt;&gt;"",INDEX(DataOB[],FirstRow+ROW()-7,6),"")</f>
        <v>0</v>
      </c>
      <c r="F130" s="158" t="str">
        <f>IF($B130&lt;&gt;"",INDEX(DataOB[],FirstRow+ROW()-7,5),"")</f>
        <v>TOP M QCT train #4</v>
      </c>
      <c r="G130" s="58">
        <f>IF($B130&lt;&gt;"",SUMIFS(DataAct_tbl[AMOUNT],DataAct_tbl[BG CODE],Detail!$D130,DataAct_tbl[MONTH],LEFT(MonthName,3),DataAct_tbl[Dept code],$B130),0)</f>
        <v>0</v>
      </c>
      <c r="H130" s="31">
        <f t="shared" si="16"/>
        <v>0</v>
      </c>
      <c r="I130" s="28">
        <f t="shared" si="17"/>
        <v>0</v>
      </c>
      <c r="J130" s="32" t="str">
        <f t="shared" si="18"/>
        <v xml:space="preserve"> </v>
      </c>
      <c r="K130" s="86"/>
      <c r="L130" s="62">
        <f>IF($B130&lt;&gt;"",SUMIFS(DataAct_tbl[AMOUNT],DataAct_tbl[BG CODE],Detail!$D130,DataAct_tbl[Check Range],"=true",DataAct_tbl[Dept code],$B130),0)</f>
        <v>0.22668000000000002</v>
      </c>
      <c r="M130" s="63">
        <f>INDEX($AG$7:$AR$1005,ROW()-6,MATCH(MTD,$AG$6:$AR$6,0))</f>
        <v>0.22668000000000002</v>
      </c>
      <c r="N130" s="34">
        <f t="shared" si="19"/>
        <v>0</v>
      </c>
      <c r="O130" s="64">
        <f t="shared" si="20"/>
        <v>1</v>
      </c>
      <c r="Q130" s="97">
        <f t="shared" si="21"/>
        <v>0.22668000000000002</v>
      </c>
      <c r="R130" s="96">
        <f t="shared" si="22"/>
        <v>0</v>
      </c>
      <c r="T130" s="67">
        <f>IF($B130&lt;&gt;"",INDEX(DataOB[],FirstRow+ROW()-7,MATCH(T$6,DataOB[#Headers],0)),"")</f>
        <v>0.22668000000000002</v>
      </c>
      <c r="U130" s="67">
        <f>IF($B130&lt;&gt;"",INDEX(DataOB[],FirstRow+ROW()-7,MATCH(U$6,DataOB[#Headers],0)),"")</f>
        <v>0</v>
      </c>
      <c r="V130" s="67">
        <f>IF($B130&lt;&gt;"",INDEX(DataOB[],FirstRow+ROW()-7,MATCH(V$6,DataOB[#Headers],0)),"")</f>
        <v>0</v>
      </c>
      <c r="W130" s="67">
        <f>IF($B130&lt;&gt;"",INDEX(DataOB[],FirstRow+ROW()-7,MATCH(W$6,DataOB[#Headers],0)),"")</f>
        <v>0</v>
      </c>
      <c r="X130" s="67">
        <f>IF($B130&lt;&gt;"",INDEX(DataOB[],FirstRow+ROW()-7,MATCH(X$6,DataOB[#Headers],0)),"")</f>
        <v>0</v>
      </c>
      <c r="Y130" s="67">
        <f>IF($B130&lt;&gt;"",INDEX(DataOB[],FirstRow+ROW()-7,MATCH(Y$6,DataOB[#Headers],0)),"")</f>
        <v>0</v>
      </c>
      <c r="Z130" s="67">
        <f>IF($B130&lt;&gt;"",INDEX(DataOB[],FirstRow+ROW()-7,MATCH(Z$6,DataOB[#Headers],0)),"")</f>
        <v>0</v>
      </c>
      <c r="AA130" s="67">
        <f>IF($B130&lt;&gt;"",INDEX(DataOB[],FirstRow+ROW()-7,MATCH(AA$6,DataOB[#Headers],0)),"")</f>
        <v>0</v>
      </c>
      <c r="AB130" s="67">
        <f>IF($B130&lt;&gt;"",INDEX(DataOB[],FirstRow+ROW()-7,MATCH(AB$6,DataOB[#Headers],0)),"")</f>
        <v>0</v>
      </c>
      <c r="AC130" s="67">
        <f>IF($B130&lt;&gt;"",INDEX(DataOB[],FirstRow+ROW()-7,MATCH(AC$6,DataOB[#Headers],0)),"")</f>
        <v>0</v>
      </c>
      <c r="AD130" s="67">
        <f>IF($B130&lt;&gt;"",INDEX(DataOB[],FirstRow+ROW()-7,MATCH(AD$6,DataOB[#Headers],0)),"")</f>
        <v>0</v>
      </c>
      <c r="AE130" s="67">
        <f>IF($B130&lt;&gt;"",INDEX(DataOB[],FirstRow+ROW()-7,MATCH(AE$6,DataOB[#Headers],0)),"")</f>
        <v>0</v>
      </c>
      <c r="AF130" s="26">
        <f t="shared" si="23"/>
        <v>0.22668000000000002</v>
      </c>
      <c r="AG130" s="31">
        <f>SUM($T130:T130)</f>
        <v>0.22668000000000002</v>
      </c>
      <c r="AH130" s="31">
        <f>SUM($T130:U130)</f>
        <v>0.22668000000000002</v>
      </c>
      <c r="AI130" s="31">
        <f>SUM($T130:V130)</f>
        <v>0.22668000000000002</v>
      </c>
      <c r="AJ130" s="31">
        <f>SUM($T130:W130)</f>
        <v>0.22668000000000002</v>
      </c>
      <c r="AK130" s="31">
        <f>SUM($T130:X130)</f>
        <v>0.22668000000000002</v>
      </c>
      <c r="AL130" s="31">
        <f>SUM($T130:Y130)</f>
        <v>0.22668000000000002</v>
      </c>
      <c r="AM130" s="31">
        <f>SUM($T130:Z130)</f>
        <v>0.22668000000000002</v>
      </c>
      <c r="AN130" s="31">
        <f>SUM($T130:AA130)</f>
        <v>0.22668000000000002</v>
      </c>
      <c r="AO130" s="31">
        <f>SUM($T130:AB130)</f>
        <v>0.22668000000000002</v>
      </c>
      <c r="AP130" s="31">
        <f>SUM($T130:AC130)</f>
        <v>0.22668000000000002</v>
      </c>
      <c r="AQ130" s="31">
        <f>SUM($T130:AD130)</f>
        <v>0.22668000000000002</v>
      </c>
      <c r="AR130" s="31">
        <f>SUM($T130:AE130)</f>
        <v>0.22668000000000002</v>
      </c>
      <c r="AS130" s="27">
        <f t="shared" si="24"/>
        <v>0</v>
      </c>
    </row>
    <row r="131" spans="2:45">
      <c r="B131" s="156">
        <f>IF(ROW()-6&gt;NumCostCenter,"",IF(CostCenter&lt;&gt;"ALL",CostCenter,DATA_LF2!B129))</f>
        <v>8311</v>
      </c>
      <c r="C131" s="153">
        <f>IF($B131&lt;&gt;"",INDEX(DataOB[],FirstRow+ROW()-7,2),"")</f>
        <v>8311</v>
      </c>
      <c r="D131" s="157" t="str">
        <f>IF($B131&lt;&gt;"",INDEX(DataOB[],FirstRow+ROW()-7,3),"")</f>
        <v>ME00003</v>
      </c>
      <c r="E131" s="158">
        <f>IF($B131&lt;&gt;"",INDEX(DataOB[],FirstRow+ROW()-7,6),"")</f>
        <v>0</v>
      </c>
      <c r="F131" s="158" t="str">
        <f>IF($B131&lt;&gt;"",INDEX(DataOB[],FirstRow+ROW()-7,5),"")</f>
        <v>K1S #4</v>
      </c>
      <c r="G131" s="58">
        <f>IF($B131&lt;&gt;"",SUMIFS(DataAct_tbl[AMOUNT],DataAct_tbl[BG CODE],Detail!$D131,DataAct_tbl[MONTH],LEFT(MonthName,3),DataAct_tbl[Dept code],$B131),0)</f>
        <v>81.881329999999977</v>
      </c>
      <c r="H131" s="31">
        <f t="shared" si="16"/>
        <v>0</v>
      </c>
      <c r="I131" s="28">
        <f t="shared" si="17"/>
        <v>81.881329999999977</v>
      </c>
      <c r="J131" s="32" t="str">
        <f t="shared" si="18"/>
        <v xml:space="preserve"> </v>
      </c>
      <c r="K131" s="86"/>
      <c r="L131" s="62">
        <f>IF($B131&lt;&gt;"",SUMIFS(DataAct_tbl[AMOUNT],DataAct_tbl[BG CODE],Detail!$D131,DataAct_tbl[Check Range],"=true",DataAct_tbl[Dept code],$B131),0)</f>
        <v>1154.4758599999998</v>
      </c>
      <c r="M131" s="63">
        <f>INDEX($AG$7:$AR$1005,ROW()-6,MATCH(MTD,$AG$6:$AR$6,0))</f>
        <v>1072.5945300000001</v>
      </c>
      <c r="N131" s="34">
        <f t="shared" si="19"/>
        <v>81.881329999999707</v>
      </c>
      <c r="O131" s="64">
        <f t="shared" si="20"/>
        <v>1.076339499885385</v>
      </c>
      <c r="Q131" s="97">
        <f t="shared" si="21"/>
        <v>1455.5945300000001</v>
      </c>
      <c r="R131" s="96">
        <f t="shared" si="22"/>
        <v>301.11867000000029</v>
      </c>
      <c r="T131" s="67">
        <f>IF($B131&lt;&gt;"",INDEX(DataOB[],FirstRow+ROW()-7,MATCH(T$6,DataOB[#Headers],0)),"")</f>
        <v>0</v>
      </c>
      <c r="U131" s="67">
        <f>IF($B131&lt;&gt;"",INDEX(DataOB[],FirstRow+ROW()-7,MATCH(U$6,DataOB[#Headers],0)),"")</f>
        <v>0</v>
      </c>
      <c r="V131" s="67">
        <f>IF($B131&lt;&gt;"",INDEX(DataOB[],FirstRow+ROW()-7,MATCH(V$6,DataOB[#Headers],0)),"")</f>
        <v>0</v>
      </c>
      <c r="W131" s="67">
        <f>IF($B131&lt;&gt;"",INDEX(DataOB[],FirstRow+ROW()-7,MATCH(W$6,DataOB[#Headers],0)),"")</f>
        <v>991.94398000000001</v>
      </c>
      <c r="X131" s="67">
        <f>IF($B131&lt;&gt;"",INDEX(DataOB[],FirstRow+ROW()-7,MATCH(X$6,DataOB[#Headers],0)),"")</f>
        <v>80.650549999999981</v>
      </c>
      <c r="Y131" s="67">
        <f>IF($B131&lt;&gt;"",INDEX(DataOB[],FirstRow+ROW()-7,MATCH(Y$6,DataOB[#Headers],0)),"")</f>
        <v>0</v>
      </c>
      <c r="Z131" s="67">
        <f>IF($B131&lt;&gt;"",INDEX(DataOB[],FirstRow+ROW()-7,MATCH(Z$6,DataOB[#Headers],0)),"")</f>
        <v>0</v>
      </c>
      <c r="AA131" s="67">
        <f>IF($B131&lt;&gt;"",INDEX(DataOB[],FirstRow+ROW()-7,MATCH(AA$6,DataOB[#Headers],0)),"")</f>
        <v>0</v>
      </c>
      <c r="AB131" s="67">
        <f>IF($B131&lt;&gt;"",INDEX(DataOB[],FirstRow+ROW()-7,MATCH(AB$6,DataOB[#Headers],0)),"")</f>
        <v>383</v>
      </c>
      <c r="AC131" s="67">
        <f>IF($B131&lt;&gt;"",INDEX(DataOB[],FirstRow+ROW()-7,MATCH(AC$6,DataOB[#Headers],0)),"")</f>
        <v>0</v>
      </c>
      <c r="AD131" s="67">
        <f>IF($B131&lt;&gt;"",INDEX(DataOB[],FirstRow+ROW()-7,MATCH(AD$6,DataOB[#Headers],0)),"")</f>
        <v>0</v>
      </c>
      <c r="AE131" s="67">
        <f>IF($B131&lt;&gt;"",INDEX(DataOB[],FirstRow+ROW()-7,MATCH(AE$6,DataOB[#Headers],0)),"")</f>
        <v>0</v>
      </c>
      <c r="AF131" s="26">
        <f t="shared" si="23"/>
        <v>1455.5945300000001</v>
      </c>
      <c r="AG131" s="31">
        <f>SUM($T131:T131)</f>
        <v>0</v>
      </c>
      <c r="AH131" s="31">
        <f>SUM($T131:U131)</f>
        <v>0</v>
      </c>
      <c r="AI131" s="31">
        <f>SUM($T131:V131)</f>
        <v>0</v>
      </c>
      <c r="AJ131" s="31">
        <f>SUM($T131:W131)</f>
        <v>991.94398000000001</v>
      </c>
      <c r="AK131" s="31">
        <f>SUM($T131:X131)</f>
        <v>1072.5945300000001</v>
      </c>
      <c r="AL131" s="31">
        <f>SUM($T131:Y131)</f>
        <v>1072.5945300000001</v>
      </c>
      <c r="AM131" s="31">
        <f>SUM($T131:Z131)</f>
        <v>1072.5945300000001</v>
      </c>
      <c r="AN131" s="31">
        <f>SUM($T131:AA131)</f>
        <v>1072.5945300000001</v>
      </c>
      <c r="AO131" s="31">
        <f>SUM($T131:AB131)</f>
        <v>1455.5945300000001</v>
      </c>
      <c r="AP131" s="31">
        <f>SUM($T131:AC131)</f>
        <v>1455.5945300000001</v>
      </c>
      <c r="AQ131" s="31">
        <f>SUM($T131:AD131)</f>
        <v>1455.5945300000001</v>
      </c>
      <c r="AR131" s="31">
        <f>SUM($T131:AE131)</f>
        <v>1455.5945300000001</v>
      </c>
      <c r="AS131" s="27">
        <f t="shared" si="24"/>
        <v>0</v>
      </c>
    </row>
    <row r="132" spans="2:45">
      <c r="B132" s="156">
        <f>IF(ROW()-6&gt;NumCostCenter,"",IF(CostCenter&lt;&gt;"ALL",CostCenter,DATA_LF2!B130))</f>
        <v>8311</v>
      </c>
      <c r="C132" s="153">
        <f>IF($B132&lt;&gt;"",INDEX(DataOB[],FirstRow+ROW()-7,2),"")</f>
        <v>8311</v>
      </c>
      <c r="D132" s="157" t="str">
        <f>IF($B132&lt;&gt;"",INDEX(DataOB[],FirstRow+ROW()-7,3),"")</f>
        <v>ME00004</v>
      </c>
      <c r="E132" s="158">
        <f>IF($B132&lt;&gt;"",INDEX(DataOB[],FirstRow+ROW()-7,6),"")</f>
        <v>0</v>
      </c>
      <c r="F132" s="158" t="str">
        <f>IF($B132&lt;&gt;"",INDEX(DataOB[],FirstRow+ROW()-7,5),"")</f>
        <v>K1S #5</v>
      </c>
      <c r="G132" s="58">
        <f>IF($B132&lt;&gt;"",SUMIFS(DataAct_tbl[AMOUNT],DataAct_tbl[BG CODE],Detail!$D132,DataAct_tbl[MONTH],LEFT(MonthName,3),DataAct_tbl[Dept code],$B132),0)</f>
        <v>4.0039800000000003</v>
      </c>
      <c r="H132" s="31">
        <f t="shared" si="16"/>
        <v>0</v>
      </c>
      <c r="I132" s="28">
        <f t="shared" si="17"/>
        <v>4.0039800000000003</v>
      </c>
      <c r="J132" s="32" t="str">
        <f t="shared" si="18"/>
        <v xml:space="preserve"> </v>
      </c>
      <c r="K132" s="86"/>
      <c r="L132" s="62">
        <f>IF($B132&lt;&gt;"",SUMIFS(DataAct_tbl[AMOUNT],DataAct_tbl[BG CODE],Detail!$D132,DataAct_tbl[Check Range],"=true",DataAct_tbl[Dept code],$B132),0)</f>
        <v>1011.756</v>
      </c>
      <c r="M132" s="63">
        <f>INDEX($AG$7:$AR$1005,ROW()-6,MATCH(MTD,$AG$6:$AR$6,0))</f>
        <v>1007.75202</v>
      </c>
      <c r="N132" s="34">
        <f t="shared" si="19"/>
        <v>4.0039799999999559</v>
      </c>
      <c r="O132" s="64">
        <f t="shared" si="20"/>
        <v>1.0039731798304905</v>
      </c>
      <c r="Q132" s="97">
        <f t="shared" si="21"/>
        <v>1007.75202</v>
      </c>
      <c r="R132" s="96">
        <f t="shared" si="22"/>
        <v>-4.0039799999999559</v>
      </c>
      <c r="T132" s="67">
        <f>IF($B132&lt;&gt;"",INDEX(DataOB[],FirstRow+ROW()-7,MATCH(T$6,DataOB[#Headers],0)),"")</f>
        <v>0</v>
      </c>
      <c r="U132" s="67">
        <f>IF($B132&lt;&gt;"",INDEX(DataOB[],FirstRow+ROW()-7,MATCH(U$6,DataOB[#Headers],0)),"")</f>
        <v>0</v>
      </c>
      <c r="V132" s="67">
        <f>IF($B132&lt;&gt;"",INDEX(DataOB[],FirstRow+ROW()-7,MATCH(V$6,DataOB[#Headers],0)),"")</f>
        <v>0</v>
      </c>
      <c r="W132" s="67">
        <f>IF($B132&lt;&gt;"",INDEX(DataOB[],FirstRow+ROW()-7,MATCH(W$6,DataOB[#Headers],0)),"")</f>
        <v>0</v>
      </c>
      <c r="X132" s="67">
        <f>IF($B132&lt;&gt;"",INDEX(DataOB[],FirstRow+ROW()-7,MATCH(X$6,DataOB[#Headers],0)),"")</f>
        <v>945.20014000000003</v>
      </c>
      <c r="Y132" s="67">
        <f>IF($B132&lt;&gt;"",INDEX(DataOB[],FirstRow+ROW()-7,MATCH(Y$6,DataOB[#Headers],0)),"")</f>
        <v>62.551879999999997</v>
      </c>
      <c r="Z132" s="67">
        <f>IF($B132&lt;&gt;"",INDEX(DataOB[],FirstRow+ROW()-7,MATCH(Z$6,DataOB[#Headers],0)),"")</f>
        <v>0</v>
      </c>
      <c r="AA132" s="67">
        <f>IF($B132&lt;&gt;"",INDEX(DataOB[],FirstRow+ROW()-7,MATCH(AA$6,DataOB[#Headers],0)),"")</f>
        <v>0</v>
      </c>
      <c r="AB132" s="67">
        <f>IF($B132&lt;&gt;"",INDEX(DataOB[],FirstRow+ROW()-7,MATCH(AB$6,DataOB[#Headers],0)),"")</f>
        <v>0</v>
      </c>
      <c r="AC132" s="67">
        <f>IF($B132&lt;&gt;"",INDEX(DataOB[],FirstRow+ROW()-7,MATCH(AC$6,DataOB[#Headers],0)),"")</f>
        <v>0</v>
      </c>
      <c r="AD132" s="67">
        <f>IF($B132&lt;&gt;"",INDEX(DataOB[],FirstRow+ROW()-7,MATCH(AD$6,DataOB[#Headers],0)),"")</f>
        <v>0</v>
      </c>
      <c r="AE132" s="67">
        <f>IF($B132&lt;&gt;"",INDEX(DataOB[],FirstRow+ROW()-7,MATCH(AE$6,DataOB[#Headers],0)),"")</f>
        <v>0</v>
      </c>
      <c r="AF132" s="26">
        <f t="shared" si="23"/>
        <v>1007.75202</v>
      </c>
      <c r="AG132" s="31">
        <f>SUM($T132:T132)</f>
        <v>0</v>
      </c>
      <c r="AH132" s="31">
        <f>SUM($T132:U132)</f>
        <v>0</v>
      </c>
      <c r="AI132" s="31">
        <f>SUM($T132:V132)</f>
        <v>0</v>
      </c>
      <c r="AJ132" s="31">
        <f>SUM($T132:W132)</f>
        <v>0</v>
      </c>
      <c r="AK132" s="31">
        <f>SUM($T132:X132)</f>
        <v>945.20014000000003</v>
      </c>
      <c r="AL132" s="31">
        <f>SUM($T132:Y132)</f>
        <v>1007.75202</v>
      </c>
      <c r="AM132" s="31">
        <f>SUM($T132:Z132)</f>
        <v>1007.75202</v>
      </c>
      <c r="AN132" s="31">
        <f>SUM($T132:AA132)</f>
        <v>1007.75202</v>
      </c>
      <c r="AO132" s="31">
        <f>SUM($T132:AB132)</f>
        <v>1007.75202</v>
      </c>
      <c r="AP132" s="31">
        <f>SUM($T132:AC132)</f>
        <v>1007.75202</v>
      </c>
      <c r="AQ132" s="31">
        <f>SUM($T132:AD132)</f>
        <v>1007.75202</v>
      </c>
      <c r="AR132" s="31">
        <f>SUM($T132:AE132)</f>
        <v>1007.75202</v>
      </c>
      <c r="AS132" s="27">
        <f t="shared" si="24"/>
        <v>0</v>
      </c>
    </row>
    <row r="133" spans="2:45">
      <c r="B133" s="156">
        <f>IF(ROW()-6&gt;NumCostCenter,"",IF(CostCenter&lt;&gt;"ALL",CostCenter,DATA_LF2!B131))</f>
        <v>8311</v>
      </c>
      <c r="C133" s="153">
        <f>IF($B133&lt;&gt;"",INDEX(DataOB[],FirstRow+ROW()-7,2),"")</f>
        <v>8311</v>
      </c>
      <c r="D133" s="157" t="str">
        <f>IF($B133&lt;&gt;"",INDEX(DataOB[],FirstRow+ROW()-7,3),"")</f>
        <v>ME00005</v>
      </c>
      <c r="E133" s="158">
        <f>IF($B133&lt;&gt;"",INDEX(DataOB[],FirstRow+ROW()-7,6),"")</f>
        <v>0</v>
      </c>
      <c r="F133" s="158" t="str">
        <f>IF($B133&lt;&gt;"",INDEX(DataOB[],FirstRow+ROW()-7,5),"")</f>
        <v>K1S #6</v>
      </c>
      <c r="G133" s="58">
        <f>IF($B133&lt;&gt;"",SUMIFS(DataAct_tbl[AMOUNT],DataAct_tbl[BG CODE],Detail!$D133,DataAct_tbl[MONTH],LEFT(MonthName,3),DataAct_tbl[Dept code],$B133),0)</f>
        <v>950.7246899999999</v>
      </c>
      <c r="H133" s="31">
        <f t="shared" si="16"/>
        <v>950</v>
      </c>
      <c r="I133" s="28">
        <f t="shared" si="17"/>
        <v>0.72468999999989592</v>
      </c>
      <c r="J133" s="32">
        <f t="shared" si="18"/>
        <v>1.0007628315789472</v>
      </c>
      <c r="K133" s="86"/>
      <c r="L133" s="62">
        <f>IF($B133&lt;&gt;"",SUMIFS(DataAct_tbl[AMOUNT],DataAct_tbl[BG CODE],Detail!$D133,DataAct_tbl[Check Range],"=true",DataAct_tbl[Dept code],$B133),0)</f>
        <v>950.7246899999999</v>
      </c>
      <c r="M133" s="63">
        <f>INDEX($AG$7:$AR$1005,ROW()-6,MATCH(MTD,$AG$6:$AR$6,0))</f>
        <v>950</v>
      </c>
      <c r="N133" s="34">
        <f t="shared" si="19"/>
        <v>0.72468999999989592</v>
      </c>
      <c r="O133" s="64">
        <f t="shared" si="20"/>
        <v>1.0007628315789472</v>
      </c>
      <c r="Q133" s="97">
        <f t="shared" si="21"/>
        <v>1010</v>
      </c>
      <c r="R133" s="96">
        <f t="shared" si="22"/>
        <v>59.275310000000104</v>
      </c>
      <c r="T133" s="67">
        <f>IF($B133&lt;&gt;"",INDEX(DataOB[],FirstRow+ROW()-7,MATCH(T$6,DataOB[#Headers],0)),"")</f>
        <v>0</v>
      </c>
      <c r="U133" s="67">
        <f>IF($B133&lt;&gt;"",INDEX(DataOB[],FirstRow+ROW()-7,MATCH(U$6,DataOB[#Headers],0)),"")</f>
        <v>0</v>
      </c>
      <c r="V133" s="67">
        <f>IF($B133&lt;&gt;"",INDEX(DataOB[],FirstRow+ROW()-7,MATCH(V$6,DataOB[#Headers],0)),"")</f>
        <v>0</v>
      </c>
      <c r="W133" s="67">
        <f>IF($B133&lt;&gt;"",INDEX(DataOB[],FirstRow+ROW()-7,MATCH(W$6,DataOB[#Headers],0)),"")</f>
        <v>0</v>
      </c>
      <c r="X133" s="67">
        <f>IF($B133&lt;&gt;"",INDEX(DataOB[],FirstRow+ROW()-7,MATCH(X$6,DataOB[#Headers],0)),"")</f>
        <v>0</v>
      </c>
      <c r="Y133" s="67">
        <f>IF($B133&lt;&gt;"",INDEX(DataOB[],FirstRow+ROW()-7,MATCH(Y$6,DataOB[#Headers],0)),"")</f>
        <v>0</v>
      </c>
      <c r="Z133" s="67">
        <f>IF($B133&lt;&gt;"",INDEX(DataOB[],FirstRow+ROW()-7,MATCH(Z$6,DataOB[#Headers],0)),"")</f>
        <v>950</v>
      </c>
      <c r="AA133" s="67">
        <f>IF($B133&lt;&gt;"",INDEX(DataOB[],FirstRow+ROW()-7,MATCH(AA$6,DataOB[#Headers],0)),"")</f>
        <v>60</v>
      </c>
      <c r="AB133" s="67">
        <f>IF($B133&lt;&gt;"",INDEX(DataOB[],FirstRow+ROW()-7,MATCH(AB$6,DataOB[#Headers],0)),"")</f>
        <v>0</v>
      </c>
      <c r="AC133" s="67">
        <f>IF($B133&lt;&gt;"",INDEX(DataOB[],FirstRow+ROW()-7,MATCH(AC$6,DataOB[#Headers],0)),"")</f>
        <v>0</v>
      </c>
      <c r="AD133" s="67">
        <f>IF($B133&lt;&gt;"",INDEX(DataOB[],FirstRow+ROW()-7,MATCH(AD$6,DataOB[#Headers],0)),"")</f>
        <v>0</v>
      </c>
      <c r="AE133" s="67">
        <f>IF($B133&lt;&gt;"",INDEX(DataOB[],FirstRow+ROW()-7,MATCH(AE$6,DataOB[#Headers],0)),"")</f>
        <v>0</v>
      </c>
      <c r="AF133" s="26">
        <f t="shared" si="23"/>
        <v>1010</v>
      </c>
      <c r="AG133" s="31">
        <f>SUM($T133:T133)</f>
        <v>0</v>
      </c>
      <c r="AH133" s="31">
        <f>SUM($T133:U133)</f>
        <v>0</v>
      </c>
      <c r="AI133" s="31">
        <f>SUM($T133:V133)</f>
        <v>0</v>
      </c>
      <c r="AJ133" s="31">
        <f>SUM($T133:W133)</f>
        <v>0</v>
      </c>
      <c r="AK133" s="31">
        <f>SUM($T133:X133)</f>
        <v>0</v>
      </c>
      <c r="AL133" s="31">
        <f>SUM($T133:Y133)</f>
        <v>0</v>
      </c>
      <c r="AM133" s="31">
        <f>SUM($T133:Z133)</f>
        <v>950</v>
      </c>
      <c r="AN133" s="31">
        <f>SUM($T133:AA133)</f>
        <v>1010</v>
      </c>
      <c r="AO133" s="31">
        <f>SUM($T133:AB133)</f>
        <v>1010</v>
      </c>
      <c r="AP133" s="31">
        <f>SUM($T133:AC133)</f>
        <v>1010</v>
      </c>
      <c r="AQ133" s="31">
        <f>SUM($T133:AD133)</f>
        <v>1010</v>
      </c>
      <c r="AR133" s="31">
        <f>SUM($T133:AE133)</f>
        <v>1010</v>
      </c>
      <c r="AS133" s="27">
        <f t="shared" si="24"/>
        <v>0</v>
      </c>
    </row>
    <row r="134" spans="2:45">
      <c r="B134" s="156">
        <f>IF(ROW()-6&gt;NumCostCenter,"",IF(CostCenter&lt;&gt;"ALL",CostCenter,DATA_LF2!B132))</f>
        <v>8311</v>
      </c>
      <c r="C134" s="153">
        <f>IF($B134&lt;&gt;"",INDEX(DataOB[],FirstRow+ROW()-7,2),"")</f>
        <v>8311</v>
      </c>
      <c r="D134" s="157" t="str">
        <f>IF($B134&lt;&gt;"",INDEX(DataOB[],FirstRow+ROW()-7,3),"")</f>
        <v>TBD</v>
      </c>
      <c r="E134" s="158">
        <f>IF($B134&lt;&gt;"",INDEX(DataOB[],FirstRow+ROW()-7,6),"")</f>
        <v>0</v>
      </c>
      <c r="F134" s="158" t="str">
        <f>IF($B134&lt;&gt;"",INDEX(DataOB[],FirstRow+ROW()-7,5),"")</f>
        <v>K1S #8</v>
      </c>
      <c r="G134" s="58">
        <f>IF($B134&lt;&gt;"",SUMIFS(DataAct_tbl[AMOUNT],DataAct_tbl[BG CODE],Detail!$D134,DataAct_tbl[MONTH],LEFT(MonthName,3),DataAct_tbl[Dept code],$B134),0)</f>
        <v>0</v>
      </c>
      <c r="H134" s="31">
        <f t="shared" si="16"/>
        <v>0</v>
      </c>
      <c r="I134" s="28">
        <f t="shared" si="17"/>
        <v>0</v>
      </c>
      <c r="J134" s="32" t="str">
        <f t="shared" si="18"/>
        <v xml:space="preserve"> </v>
      </c>
      <c r="K134" s="86"/>
      <c r="L134" s="62">
        <f>IF($B134&lt;&gt;"",SUMIFS(DataAct_tbl[AMOUNT],DataAct_tbl[BG CODE],Detail!$D134,DataAct_tbl[Check Range],"=true",DataAct_tbl[Dept code],$B134),0)</f>
        <v>0</v>
      </c>
      <c r="M134" s="63">
        <f>INDEX($AG$7:$AR$1005,ROW()-6,MATCH(MTD,$AG$6:$AR$6,0))</f>
        <v>0</v>
      </c>
      <c r="N134" s="34">
        <f t="shared" si="19"/>
        <v>0</v>
      </c>
      <c r="O134" s="64" t="str">
        <f t="shared" si="20"/>
        <v xml:space="preserve"> </v>
      </c>
      <c r="Q134" s="97">
        <f t="shared" si="21"/>
        <v>257</v>
      </c>
      <c r="R134" s="96">
        <f t="shared" si="22"/>
        <v>257</v>
      </c>
      <c r="T134" s="67">
        <f>IF($B134&lt;&gt;"",INDEX(DataOB[],FirstRow+ROW()-7,MATCH(T$6,DataOB[#Headers],0)),"")</f>
        <v>0</v>
      </c>
      <c r="U134" s="67">
        <f>IF($B134&lt;&gt;"",INDEX(DataOB[],FirstRow+ROW()-7,MATCH(U$6,DataOB[#Headers],0)),"")</f>
        <v>0</v>
      </c>
      <c r="V134" s="67">
        <f>IF($B134&lt;&gt;"",INDEX(DataOB[],FirstRow+ROW()-7,MATCH(V$6,DataOB[#Headers],0)),"")</f>
        <v>0</v>
      </c>
      <c r="W134" s="67">
        <f>IF($B134&lt;&gt;"",INDEX(DataOB[],FirstRow+ROW()-7,MATCH(W$6,DataOB[#Headers],0)),"")</f>
        <v>0</v>
      </c>
      <c r="X134" s="67">
        <f>IF($B134&lt;&gt;"",INDEX(DataOB[],FirstRow+ROW()-7,MATCH(X$6,DataOB[#Headers],0)),"")</f>
        <v>0</v>
      </c>
      <c r="Y134" s="67">
        <f>IF($B134&lt;&gt;"",INDEX(DataOB[],FirstRow+ROW()-7,MATCH(Y$6,DataOB[#Headers],0)),"")</f>
        <v>0</v>
      </c>
      <c r="Z134" s="67">
        <f>IF($B134&lt;&gt;"",INDEX(DataOB[],FirstRow+ROW()-7,MATCH(Z$6,DataOB[#Headers],0)),"")</f>
        <v>0</v>
      </c>
      <c r="AA134" s="67">
        <f>IF($B134&lt;&gt;"",INDEX(DataOB[],FirstRow+ROW()-7,MATCH(AA$6,DataOB[#Headers],0)),"")</f>
        <v>0</v>
      </c>
      <c r="AB134" s="67">
        <f>IF($B134&lt;&gt;"",INDEX(DataOB[],FirstRow+ROW()-7,MATCH(AB$6,DataOB[#Headers],0)),"")</f>
        <v>0</v>
      </c>
      <c r="AC134" s="67">
        <f>IF($B134&lt;&gt;"",INDEX(DataOB[],FirstRow+ROW()-7,MATCH(AC$6,DataOB[#Headers],0)),"")</f>
        <v>0</v>
      </c>
      <c r="AD134" s="67">
        <f>IF($B134&lt;&gt;"",INDEX(DataOB[],FirstRow+ROW()-7,MATCH(AD$6,DataOB[#Headers],0)),"")</f>
        <v>257</v>
      </c>
      <c r="AE134" s="67">
        <f>IF($B134&lt;&gt;"",INDEX(DataOB[],FirstRow+ROW()-7,MATCH(AE$6,DataOB[#Headers],0)),"")</f>
        <v>0</v>
      </c>
      <c r="AF134" s="26">
        <f t="shared" si="23"/>
        <v>257</v>
      </c>
      <c r="AG134" s="31">
        <f>SUM($T134:T134)</f>
        <v>0</v>
      </c>
      <c r="AH134" s="31">
        <f>SUM($T134:U134)</f>
        <v>0</v>
      </c>
      <c r="AI134" s="31">
        <f>SUM($T134:V134)</f>
        <v>0</v>
      </c>
      <c r="AJ134" s="31">
        <f>SUM($T134:W134)</f>
        <v>0</v>
      </c>
      <c r="AK134" s="31">
        <f>SUM($T134:X134)</f>
        <v>0</v>
      </c>
      <c r="AL134" s="31">
        <f>SUM($T134:Y134)</f>
        <v>0</v>
      </c>
      <c r="AM134" s="31">
        <f>SUM($T134:Z134)</f>
        <v>0</v>
      </c>
      <c r="AN134" s="31">
        <f>SUM($T134:AA134)</f>
        <v>0</v>
      </c>
      <c r="AO134" s="31">
        <f>SUM($T134:AB134)</f>
        <v>0</v>
      </c>
      <c r="AP134" s="31">
        <f>SUM($T134:AC134)</f>
        <v>0</v>
      </c>
      <c r="AQ134" s="31">
        <f>SUM($T134:AD134)</f>
        <v>257</v>
      </c>
      <c r="AR134" s="31">
        <f>SUM($T134:AE134)</f>
        <v>257</v>
      </c>
      <c r="AS134" s="27">
        <f t="shared" si="24"/>
        <v>0</v>
      </c>
    </row>
    <row r="135" spans="2:45">
      <c r="B135" s="156">
        <f>IF(ROW()-6&gt;NumCostCenter,"",IF(CostCenter&lt;&gt;"ALL",CostCenter,DATA_LF2!B133))</f>
        <v>8311</v>
      </c>
      <c r="C135" s="153">
        <f>IF($B135&lt;&gt;"",INDEX(DataOB[],FirstRow+ROW()-7,2),"")</f>
        <v>8311</v>
      </c>
      <c r="D135" s="157" t="str">
        <f>IF($B135&lt;&gt;"",INDEX(DataOB[],FirstRow+ROW()-7,3),"")</f>
        <v>ME00033A</v>
      </c>
      <c r="E135" s="158">
        <f>IF($B135&lt;&gt;"",INDEX(DataOB[],FirstRow+ROW()-7,6),"")</f>
        <v>0</v>
      </c>
      <c r="F135" s="158" t="str">
        <f>IF($B135&lt;&gt;"",INDEX(DataOB[],FirstRow+ROW()-7,5),"")</f>
        <v>LTXR51 Curing press(Hyd) #7</v>
      </c>
      <c r="G135" s="58">
        <f>IF($B135&lt;&gt;"",SUMIFS(DataAct_tbl[AMOUNT],DataAct_tbl[BG CODE],Detail!$D135,DataAct_tbl[MONTH],LEFT(MonthName,3),DataAct_tbl[Dept code],$B135),0)</f>
        <v>6.5222299999999995</v>
      </c>
      <c r="H135" s="31">
        <f t="shared" ref="H135:H198" si="25">INDEX($T$7:$AE$1005,ROW()-6,MATCH(MonthName,$T$6:$AE$6,0))</f>
        <v>0</v>
      </c>
      <c r="I135" s="28">
        <f t="shared" si="17"/>
        <v>6.5222299999999995</v>
      </c>
      <c r="J135" s="32" t="str">
        <f t="shared" si="18"/>
        <v xml:space="preserve"> </v>
      </c>
      <c r="K135" s="86"/>
      <c r="L135" s="62">
        <f>IF($B135&lt;&gt;"",SUMIFS(DataAct_tbl[AMOUNT],DataAct_tbl[BG CODE],Detail!$D135,DataAct_tbl[Check Range],"=true",DataAct_tbl[Dept code],$B135),0)</f>
        <v>124.39833</v>
      </c>
      <c r="M135" s="63">
        <f>INDEX($AG$7:$AR$1005,ROW()-6,MATCH(MTD,$AG$6:$AR$6,0))</f>
        <v>117.87610000000001</v>
      </c>
      <c r="N135" s="34">
        <f t="shared" si="19"/>
        <v>6.5222299999999933</v>
      </c>
      <c r="O135" s="64">
        <f t="shared" si="20"/>
        <v>1.0553312333882781</v>
      </c>
      <c r="Q135" s="97">
        <f t="shared" si="21"/>
        <v>147.87610000000001</v>
      </c>
      <c r="R135" s="96">
        <f t="shared" si="22"/>
        <v>23.477770000000007</v>
      </c>
      <c r="T135" s="67">
        <f>IF($B135&lt;&gt;"",INDEX(DataOB[],FirstRow+ROW()-7,MATCH(T$6,DataOB[#Headers],0)),"")</f>
        <v>0</v>
      </c>
      <c r="U135" s="67">
        <f>IF($B135&lt;&gt;"",INDEX(DataOB[],FirstRow+ROW()-7,MATCH(U$6,DataOB[#Headers],0)),"")</f>
        <v>58.4452</v>
      </c>
      <c r="V135" s="67">
        <f>IF($B135&lt;&gt;"",INDEX(DataOB[],FirstRow+ROW()-7,MATCH(V$6,DataOB[#Headers],0)),"")</f>
        <v>0</v>
      </c>
      <c r="W135" s="67">
        <f>IF($B135&lt;&gt;"",INDEX(DataOB[],FirstRow+ROW()-7,MATCH(W$6,DataOB[#Headers],0)),"")</f>
        <v>0</v>
      </c>
      <c r="X135" s="67">
        <f>IF($B135&lt;&gt;"",INDEX(DataOB[],FirstRow+ROW()-7,MATCH(X$6,DataOB[#Headers],0)),"")</f>
        <v>59.430900000000001</v>
      </c>
      <c r="Y135" s="67">
        <f>IF($B135&lt;&gt;"",INDEX(DataOB[],FirstRow+ROW()-7,MATCH(Y$6,DataOB[#Headers],0)),"")</f>
        <v>0</v>
      </c>
      <c r="Z135" s="67">
        <f>IF($B135&lt;&gt;"",INDEX(DataOB[],FirstRow+ROW()-7,MATCH(Z$6,DataOB[#Headers],0)),"")</f>
        <v>0</v>
      </c>
      <c r="AA135" s="67">
        <f>IF($B135&lt;&gt;"",INDEX(DataOB[],FirstRow+ROW()-7,MATCH(AA$6,DataOB[#Headers],0)),"")</f>
        <v>30</v>
      </c>
      <c r="AB135" s="67">
        <f>IF($B135&lt;&gt;"",INDEX(DataOB[],FirstRow+ROW()-7,MATCH(AB$6,DataOB[#Headers],0)),"")</f>
        <v>0</v>
      </c>
      <c r="AC135" s="67">
        <f>IF($B135&lt;&gt;"",INDEX(DataOB[],FirstRow+ROW()-7,MATCH(AC$6,DataOB[#Headers],0)),"")</f>
        <v>0</v>
      </c>
      <c r="AD135" s="67">
        <f>IF($B135&lt;&gt;"",INDEX(DataOB[],FirstRow+ROW()-7,MATCH(AD$6,DataOB[#Headers],0)),"")</f>
        <v>0</v>
      </c>
      <c r="AE135" s="67">
        <f>IF($B135&lt;&gt;"",INDEX(DataOB[],FirstRow+ROW()-7,MATCH(AE$6,DataOB[#Headers],0)),"")</f>
        <v>0</v>
      </c>
      <c r="AF135" s="26">
        <f t="shared" si="23"/>
        <v>147.87610000000001</v>
      </c>
      <c r="AG135" s="31">
        <f>SUM($T135:T135)</f>
        <v>0</v>
      </c>
      <c r="AH135" s="31">
        <f>SUM($T135:U135)</f>
        <v>58.4452</v>
      </c>
      <c r="AI135" s="31">
        <f>SUM($T135:V135)</f>
        <v>58.4452</v>
      </c>
      <c r="AJ135" s="31">
        <f>SUM($T135:W135)</f>
        <v>58.4452</v>
      </c>
      <c r="AK135" s="31">
        <f>SUM($T135:X135)</f>
        <v>117.87610000000001</v>
      </c>
      <c r="AL135" s="31">
        <f>SUM($T135:Y135)</f>
        <v>117.87610000000001</v>
      </c>
      <c r="AM135" s="31">
        <f>SUM($T135:Z135)</f>
        <v>117.87610000000001</v>
      </c>
      <c r="AN135" s="31">
        <f>SUM($T135:AA135)</f>
        <v>147.87610000000001</v>
      </c>
      <c r="AO135" s="31">
        <f>SUM($T135:AB135)</f>
        <v>147.87610000000001</v>
      </c>
      <c r="AP135" s="31">
        <f>SUM($T135:AC135)</f>
        <v>147.87610000000001</v>
      </c>
      <c r="AQ135" s="31">
        <f>SUM($T135:AD135)</f>
        <v>147.87610000000001</v>
      </c>
      <c r="AR135" s="31">
        <f>SUM($T135:AE135)</f>
        <v>147.87610000000001</v>
      </c>
      <c r="AS135" s="27">
        <f t="shared" si="24"/>
        <v>0</v>
      </c>
    </row>
    <row r="136" spans="2:45">
      <c r="B136" s="156">
        <f>IF(ROW()-6&gt;NumCostCenter,"",IF(CostCenter&lt;&gt;"ALL",CostCenter,DATA_LF2!B134))</f>
        <v>8311</v>
      </c>
      <c r="C136" s="153">
        <f>IF($B136&lt;&gt;"",INDEX(DataOB[],FirstRow+ROW()-7,2),"")</f>
        <v>8311</v>
      </c>
      <c r="D136" s="157" t="str">
        <f>IF($B136&lt;&gt;"",INDEX(DataOB[],FirstRow+ROW()-7,3),"")</f>
        <v>ME00033B</v>
      </c>
      <c r="E136" s="158">
        <f>IF($B136&lt;&gt;"",INDEX(DataOB[],FirstRow+ROW()-7,6),"")</f>
        <v>0</v>
      </c>
      <c r="F136" s="158" t="str">
        <f>IF($B136&lt;&gt;"",INDEX(DataOB[],FirstRow+ROW()-7,5),"")</f>
        <v>LTXR51 Curing press(Hyd) #8</v>
      </c>
      <c r="G136" s="58">
        <f>IF($B136&lt;&gt;"",SUMIFS(DataAct_tbl[AMOUNT],DataAct_tbl[BG CODE],Detail!$D136,DataAct_tbl[MONTH],LEFT(MonthName,3),DataAct_tbl[Dept code],$B136),0)</f>
        <v>321.91341999999997</v>
      </c>
      <c r="H136" s="31">
        <f t="shared" si="25"/>
        <v>325</v>
      </c>
      <c r="I136" s="28">
        <f t="shared" ref="I136:I199" si="26">IFERROR(+G136-H136,"")</f>
        <v>-3.0865800000000263</v>
      </c>
      <c r="J136" s="32">
        <f t="shared" ref="J136:J199" si="27">IFERROR(+IF(H136&gt;0,G136/H136," "),"")</f>
        <v>0.99050283076923074</v>
      </c>
      <c r="K136" s="86"/>
      <c r="L136" s="62">
        <f>IF($B136&lt;&gt;"",SUMIFS(DataAct_tbl[AMOUNT],DataAct_tbl[BG CODE],Detail!$D136,DataAct_tbl[Check Range],"=true",DataAct_tbl[Dept code],$B136),0)</f>
        <v>321.91341999999997</v>
      </c>
      <c r="M136" s="63">
        <f>INDEX($AG$7:$AR$1005,ROW()-6,MATCH(MTD,$AG$6:$AR$6,0))</f>
        <v>325</v>
      </c>
      <c r="N136" s="34">
        <f t="shared" ref="N136:N199" si="28">IFERROR(+L136-M136,"")</f>
        <v>-3.0865800000000263</v>
      </c>
      <c r="O136" s="64">
        <f t="shared" ref="O136:O199" si="29">IFERROR(+IF(M136&gt;0,L136/M136," "),"")</f>
        <v>0.99050283076923074</v>
      </c>
      <c r="Q136" s="97">
        <f t="shared" ref="Q136:Q199" si="30">AF136</f>
        <v>325</v>
      </c>
      <c r="R136" s="96">
        <f t="shared" ref="R136:R199" si="31">Q136-L136</f>
        <v>3.0865800000000263</v>
      </c>
      <c r="T136" s="67">
        <f>IF($B136&lt;&gt;"",INDEX(DataOB[],FirstRow+ROW()-7,MATCH(T$6,DataOB[#Headers],0)),"")</f>
        <v>0</v>
      </c>
      <c r="U136" s="67">
        <f>IF($B136&lt;&gt;"",INDEX(DataOB[],FirstRow+ROW()-7,MATCH(U$6,DataOB[#Headers],0)),"")</f>
        <v>0</v>
      </c>
      <c r="V136" s="67">
        <f>IF($B136&lt;&gt;"",INDEX(DataOB[],FirstRow+ROW()-7,MATCH(V$6,DataOB[#Headers],0)),"")</f>
        <v>0</v>
      </c>
      <c r="W136" s="67">
        <f>IF($B136&lt;&gt;"",INDEX(DataOB[],FirstRow+ROW()-7,MATCH(W$6,DataOB[#Headers],0)),"")</f>
        <v>0</v>
      </c>
      <c r="X136" s="67">
        <f>IF($B136&lt;&gt;"",INDEX(DataOB[],FirstRow+ROW()-7,MATCH(X$6,DataOB[#Headers],0)),"")</f>
        <v>0</v>
      </c>
      <c r="Y136" s="67">
        <f>IF($B136&lt;&gt;"",INDEX(DataOB[],FirstRow+ROW()-7,MATCH(Y$6,DataOB[#Headers],0)),"")</f>
        <v>0</v>
      </c>
      <c r="Z136" s="67">
        <f>IF($B136&lt;&gt;"",INDEX(DataOB[],FirstRow+ROW()-7,MATCH(Z$6,DataOB[#Headers],0)),"")</f>
        <v>325</v>
      </c>
      <c r="AA136" s="67">
        <f>IF($B136&lt;&gt;"",INDEX(DataOB[],FirstRow+ROW()-7,MATCH(AA$6,DataOB[#Headers],0)),"")</f>
        <v>0</v>
      </c>
      <c r="AB136" s="67">
        <f>IF($B136&lt;&gt;"",INDEX(DataOB[],FirstRow+ROW()-7,MATCH(AB$6,DataOB[#Headers],0)),"")</f>
        <v>0</v>
      </c>
      <c r="AC136" s="67">
        <f>IF($B136&lt;&gt;"",INDEX(DataOB[],FirstRow+ROW()-7,MATCH(AC$6,DataOB[#Headers],0)),"")</f>
        <v>0</v>
      </c>
      <c r="AD136" s="67">
        <f>IF($B136&lt;&gt;"",INDEX(DataOB[],FirstRow+ROW()-7,MATCH(AD$6,DataOB[#Headers],0)),"")</f>
        <v>0</v>
      </c>
      <c r="AE136" s="67">
        <f>IF($B136&lt;&gt;"",INDEX(DataOB[],FirstRow+ROW()-7,MATCH(AE$6,DataOB[#Headers],0)),"")</f>
        <v>0</v>
      </c>
      <c r="AF136" s="26">
        <f t="shared" ref="AF136:AF199" si="32">+SUM(T136:AE136)</f>
        <v>325</v>
      </c>
      <c r="AG136" s="31">
        <f>SUM($T136:T136)</f>
        <v>0</v>
      </c>
      <c r="AH136" s="31">
        <f>SUM($T136:U136)</f>
        <v>0</v>
      </c>
      <c r="AI136" s="31">
        <f>SUM($T136:V136)</f>
        <v>0</v>
      </c>
      <c r="AJ136" s="31">
        <f>SUM($T136:W136)</f>
        <v>0</v>
      </c>
      <c r="AK136" s="31">
        <f>SUM($T136:X136)</f>
        <v>0</v>
      </c>
      <c r="AL136" s="31">
        <f>SUM($T136:Y136)</f>
        <v>0</v>
      </c>
      <c r="AM136" s="31">
        <f>SUM($T136:Z136)</f>
        <v>325</v>
      </c>
      <c r="AN136" s="31">
        <f>SUM($T136:AA136)</f>
        <v>325</v>
      </c>
      <c r="AO136" s="31">
        <f>SUM($T136:AB136)</f>
        <v>325</v>
      </c>
      <c r="AP136" s="31">
        <f>SUM($T136:AC136)</f>
        <v>325</v>
      </c>
      <c r="AQ136" s="31">
        <f>SUM($T136:AD136)</f>
        <v>325</v>
      </c>
      <c r="AR136" s="31">
        <f>SUM($T136:AE136)</f>
        <v>325</v>
      </c>
      <c r="AS136" s="27">
        <f t="shared" ref="AS136:AS199" si="33">AF136-AR136</f>
        <v>0</v>
      </c>
    </row>
    <row r="137" spans="2:45">
      <c r="B137" s="156">
        <f>IF(ROW()-6&gt;NumCostCenter,"",IF(CostCenter&lt;&gt;"ALL",CostCenter,DATA_LF2!B135))</f>
        <v>8311</v>
      </c>
      <c r="C137" s="153">
        <f>IF($B137&lt;&gt;"",INDEX(DataOB[],FirstRow+ROW()-7,2),"")</f>
        <v>8311</v>
      </c>
      <c r="D137" s="157" t="str">
        <f>IF($B137&lt;&gt;"",INDEX(DataOB[],FirstRow+ROW()-7,3),"")</f>
        <v>ME00033C</v>
      </c>
      <c r="E137" s="158">
        <f>IF($B137&lt;&gt;"",INDEX(DataOB[],FirstRow+ROW()-7,6),"")</f>
        <v>0</v>
      </c>
      <c r="F137" s="158" t="str">
        <f>IF($B137&lt;&gt;"",INDEX(DataOB[],FirstRow+ROW()-7,5),"")</f>
        <v>LTXR51 Curing press(Hyd) #9</v>
      </c>
      <c r="G137" s="58">
        <f>IF($B137&lt;&gt;"",SUMIFS(DataAct_tbl[AMOUNT],DataAct_tbl[BG CODE],Detail!$D137,DataAct_tbl[MONTH],LEFT(MonthName,3),DataAct_tbl[Dept code],$B137),0)</f>
        <v>321.91341</v>
      </c>
      <c r="H137" s="31">
        <f t="shared" si="25"/>
        <v>325</v>
      </c>
      <c r="I137" s="28">
        <f t="shared" si="26"/>
        <v>-3.0865900000000011</v>
      </c>
      <c r="J137" s="32">
        <f t="shared" si="27"/>
        <v>0.99050280000000002</v>
      </c>
      <c r="K137" s="86"/>
      <c r="L137" s="62">
        <f>IF($B137&lt;&gt;"",SUMIFS(DataAct_tbl[AMOUNT],DataAct_tbl[BG CODE],Detail!$D137,DataAct_tbl[Check Range],"=true",DataAct_tbl[Dept code],$B137),0)</f>
        <v>321.91341</v>
      </c>
      <c r="M137" s="63">
        <f>INDEX($AG$7:$AR$1005,ROW()-6,MATCH(MTD,$AG$6:$AR$6,0))</f>
        <v>325</v>
      </c>
      <c r="N137" s="34">
        <f t="shared" si="28"/>
        <v>-3.0865900000000011</v>
      </c>
      <c r="O137" s="64">
        <f t="shared" si="29"/>
        <v>0.99050280000000002</v>
      </c>
      <c r="Q137" s="97">
        <f t="shared" si="30"/>
        <v>325</v>
      </c>
      <c r="R137" s="96">
        <f t="shared" si="31"/>
        <v>3.0865900000000011</v>
      </c>
      <c r="T137" s="67">
        <f>IF($B137&lt;&gt;"",INDEX(DataOB[],FirstRow+ROW()-7,MATCH(T$6,DataOB[#Headers],0)),"")</f>
        <v>0</v>
      </c>
      <c r="U137" s="67">
        <f>IF($B137&lt;&gt;"",INDEX(DataOB[],FirstRow+ROW()-7,MATCH(U$6,DataOB[#Headers],0)),"")</f>
        <v>0</v>
      </c>
      <c r="V137" s="67">
        <f>IF($B137&lt;&gt;"",INDEX(DataOB[],FirstRow+ROW()-7,MATCH(V$6,DataOB[#Headers],0)),"")</f>
        <v>0</v>
      </c>
      <c r="W137" s="67">
        <f>IF($B137&lt;&gt;"",INDEX(DataOB[],FirstRow+ROW()-7,MATCH(W$6,DataOB[#Headers],0)),"")</f>
        <v>0</v>
      </c>
      <c r="X137" s="67">
        <f>IF($B137&lt;&gt;"",INDEX(DataOB[],FirstRow+ROW()-7,MATCH(X$6,DataOB[#Headers],0)),"")</f>
        <v>0</v>
      </c>
      <c r="Y137" s="67">
        <f>IF($B137&lt;&gt;"",INDEX(DataOB[],FirstRow+ROW()-7,MATCH(Y$6,DataOB[#Headers],0)),"")</f>
        <v>0</v>
      </c>
      <c r="Z137" s="67">
        <f>IF($B137&lt;&gt;"",INDEX(DataOB[],FirstRow+ROW()-7,MATCH(Z$6,DataOB[#Headers],0)),"")</f>
        <v>325</v>
      </c>
      <c r="AA137" s="67">
        <f>IF($B137&lt;&gt;"",INDEX(DataOB[],FirstRow+ROW()-7,MATCH(AA$6,DataOB[#Headers],0)),"")</f>
        <v>0</v>
      </c>
      <c r="AB137" s="67">
        <f>IF($B137&lt;&gt;"",INDEX(DataOB[],FirstRow+ROW()-7,MATCH(AB$6,DataOB[#Headers],0)),"")</f>
        <v>0</v>
      </c>
      <c r="AC137" s="67">
        <f>IF($B137&lt;&gt;"",INDEX(DataOB[],FirstRow+ROW()-7,MATCH(AC$6,DataOB[#Headers],0)),"")</f>
        <v>0</v>
      </c>
      <c r="AD137" s="67">
        <f>IF($B137&lt;&gt;"",INDEX(DataOB[],FirstRow+ROW()-7,MATCH(AD$6,DataOB[#Headers],0)),"")</f>
        <v>0</v>
      </c>
      <c r="AE137" s="67">
        <f>IF($B137&lt;&gt;"",INDEX(DataOB[],FirstRow+ROW()-7,MATCH(AE$6,DataOB[#Headers],0)),"")</f>
        <v>0</v>
      </c>
      <c r="AF137" s="26">
        <f t="shared" si="32"/>
        <v>325</v>
      </c>
      <c r="AG137" s="31">
        <f>SUM($T137:T137)</f>
        <v>0</v>
      </c>
      <c r="AH137" s="31">
        <f>SUM($T137:U137)</f>
        <v>0</v>
      </c>
      <c r="AI137" s="31">
        <f>SUM($T137:V137)</f>
        <v>0</v>
      </c>
      <c r="AJ137" s="31">
        <f>SUM($T137:W137)</f>
        <v>0</v>
      </c>
      <c r="AK137" s="31">
        <f>SUM($T137:X137)</f>
        <v>0</v>
      </c>
      <c r="AL137" s="31">
        <f>SUM($T137:Y137)</f>
        <v>0</v>
      </c>
      <c r="AM137" s="31">
        <f>SUM($T137:Z137)</f>
        <v>325</v>
      </c>
      <c r="AN137" s="31">
        <f>SUM($T137:AA137)</f>
        <v>325</v>
      </c>
      <c r="AO137" s="31">
        <f>SUM($T137:AB137)</f>
        <v>325</v>
      </c>
      <c r="AP137" s="31">
        <f>SUM($T137:AC137)</f>
        <v>325</v>
      </c>
      <c r="AQ137" s="31">
        <f>SUM($T137:AD137)</f>
        <v>325</v>
      </c>
      <c r="AR137" s="31">
        <f>SUM($T137:AE137)</f>
        <v>325</v>
      </c>
      <c r="AS137" s="27">
        <f t="shared" si="33"/>
        <v>0</v>
      </c>
    </row>
    <row r="138" spans="2:45">
      <c r="B138" s="156">
        <f>IF(ROW()-6&gt;NumCostCenter,"",IF(CostCenter&lt;&gt;"ALL",CostCenter,DATA_LF2!B136))</f>
        <v>8311</v>
      </c>
      <c r="C138" s="153">
        <f>IF($B138&lt;&gt;"",INDEX(DataOB[],FirstRow+ROW()-7,2),"")</f>
        <v>8311</v>
      </c>
      <c r="D138" s="157" t="str">
        <f>IF($B138&lt;&gt;"",INDEX(DataOB[],FirstRow+ROW()-7,3),"")</f>
        <v>ME00033D</v>
      </c>
      <c r="E138" s="158">
        <f>IF($B138&lt;&gt;"",INDEX(DataOB[],FirstRow+ROW()-7,6),"")</f>
        <v>0</v>
      </c>
      <c r="F138" s="158" t="str">
        <f>IF($B138&lt;&gt;"",INDEX(DataOB[],FirstRow+ROW()-7,5),"")</f>
        <v>LTXR51 Curing press(Hyd) #10</v>
      </c>
      <c r="G138" s="58">
        <f>IF($B138&lt;&gt;"",SUMIFS(DataAct_tbl[AMOUNT],DataAct_tbl[BG CODE],Detail!$D138,DataAct_tbl[MONTH],LEFT(MonthName,3),DataAct_tbl[Dept code],$B138),0)</f>
        <v>407.21460999999999</v>
      </c>
      <c r="H138" s="31">
        <f t="shared" si="25"/>
        <v>350</v>
      </c>
      <c r="I138" s="28">
        <f t="shared" si="26"/>
        <v>57.214609999999993</v>
      </c>
      <c r="J138" s="32">
        <f t="shared" si="27"/>
        <v>1.1634703142857143</v>
      </c>
      <c r="K138" s="86"/>
      <c r="L138" s="62">
        <f>IF($B138&lt;&gt;"",SUMIFS(DataAct_tbl[AMOUNT],DataAct_tbl[BG CODE],Detail!$D138,DataAct_tbl[Check Range],"=true",DataAct_tbl[Dept code],$B138),0)</f>
        <v>407.21460999999999</v>
      </c>
      <c r="M138" s="63">
        <f>INDEX($AG$7:$AR$1005,ROW()-6,MATCH(MTD,$AG$6:$AR$6,0))</f>
        <v>350</v>
      </c>
      <c r="N138" s="34">
        <f t="shared" si="28"/>
        <v>57.214609999999993</v>
      </c>
      <c r="O138" s="64">
        <f t="shared" si="29"/>
        <v>1.1634703142857143</v>
      </c>
      <c r="Q138" s="97">
        <f t="shared" si="30"/>
        <v>350</v>
      </c>
      <c r="R138" s="96">
        <f t="shared" si="31"/>
        <v>-57.214609999999993</v>
      </c>
      <c r="T138" s="67">
        <f>IF($B138&lt;&gt;"",INDEX(DataOB[],FirstRow+ROW()-7,MATCH(T$6,DataOB[#Headers],0)),"")</f>
        <v>0</v>
      </c>
      <c r="U138" s="67">
        <f>IF($B138&lt;&gt;"",INDEX(DataOB[],FirstRow+ROW()-7,MATCH(U$6,DataOB[#Headers],0)),"")</f>
        <v>0</v>
      </c>
      <c r="V138" s="67">
        <f>IF($B138&lt;&gt;"",INDEX(DataOB[],FirstRow+ROW()-7,MATCH(V$6,DataOB[#Headers],0)),"")</f>
        <v>0</v>
      </c>
      <c r="W138" s="67">
        <f>IF($B138&lt;&gt;"",INDEX(DataOB[],FirstRow+ROW()-7,MATCH(W$6,DataOB[#Headers],0)),"")</f>
        <v>0</v>
      </c>
      <c r="X138" s="67">
        <f>IF($B138&lt;&gt;"",INDEX(DataOB[],FirstRow+ROW()-7,MATCH(X$6,DataOB[#Headers],0)),"")</f>
        <v>0</v>
      </c>
      <c r="Y138" s="67">
        <f>IF($B138&lt;&gt;"",INDEX(DataOB[],FirstRow+ROW()-7,MATCH(Y$6,DataOB[#Headers],0)),"")</f>
        <v>0</v>
      </c>
      <c r="Z138" s="67">
        <f>IF($B138&lt;&gt;"",INDEX(DataOB[],FirstRow+ROW()-7,MATCH(Z$6,DataOB[#Headers],0)),"")</f>
        <v>350</v>
      </c>
      <c r="AA138" s="67">
        <f>IF($B138&lt;&gt;"",INDEX(DataOB[],FirstRow+ROW()-7,MATCH(AA$6,DataOB[#Headers],0)),"")</f>
        <v>0</v>
      </c>
      <c r="AB138" s="67">
        <f>IF($B138&lt;&gt;"",INDEX(DataOB[],FirstRow+ROW()-7,MATCH(AB$6,DataOB[#Headers],0)),"")</f>
        <v>0</v>
      </c>
      <c r="AC138" s="67">
        <f>IF($B138&lt;&gt;"",INDEX(DataOB[],FirstRow+ROW()-7,MATCH(AC$6,DataOB[#Headers],0)),"")</f>
        <v>0</v>
      </c>
      <c r="AD138" s="67">
        <f>IF($B138&lt;&gt;"",INDEX(DataOB[],FirstRow+ROW()-7,MATCH(AD$6,DataOB[#Headers],0)),"")</f>
        <v>0</v>
      </c>
      <c r="AE138" s="67">
        <f>IF($B138&lt;&gt;"",INDEX(DataOB[],FirstRow+ROW()-7,MATCH(AE$6,DataOB[#Headers],0)),"")</f>
        <v>0</v>
      </c>
      <c r="AF138" s="26">
        <f t="shared" si="32"/>
        <v>350</v>
      </c>
      <c r="AG138" s="31">
        <f>SUM($T138:T138)</f>
        <v>0</v>
      </c>
      <c r="AH138" s="31">
        <f>SUM($T138:U138)</f>
        <v>0</v>
      </c>
      <c r="AI138" s="31">
        <f>SUM($T138:V138)</f>
        <v>0</v>
      </c>
      <c r="AJ138" s="31">
        <f>SUM($T138:W138)</f>
        <v>0</v>
      </c>
      <c r="AK138" s="31">
        <f>SUM($T138:X138)</f>
        <v>0</v>
      </c>
      <c r="AL138" s="31">
        <f>SUM($T138:Y138)</f>
        <v>0</v>
      </c>
      <c r="AM138" s="31">
        <f>SUM($T138:Z138)</f>
        <v>350</v>
      </c>
      <c r="AN138" s="31">
        <f>SUM($T138:AA138)</f>
        <v>350</v>
      </c>
      <c r="AO138" s="31">
        <f>SUM($T138:AB138)</f>
        <v>350</v>
      </c>
      <c r="AP138" s="31">
        <f>SUM($T138:AC138)</f>
        <v>350</v>
      </c>
      <c r="AQ138" s="31">
        <f>SUM($T138:AD138)</f>
        <v>350</v>
      </c>
      <c r="AR138" s="31">
        <f>SUM($T138:AE138)</f>
        <v>350</v>
      </c>
      <c r="AS138" s="27">
        <f t="shared" si="33"/>
        <v>0</v>
      </c>
    </row>
    <row r="139" spans="2:45">
      <c r="B139" s="156">
        <f>IF(ROW()-6&gt;NumCostCenter,"",IF(CostCenter&lt;&gt;"ALL",CostCenter,DATA_LF2!B137))</f>
        <v>8311</v>
      </c>
      <c r="C139" s="153">
        <f>IF($B139&lt;&gt;"",INDEX(DataOB[],FirstRow+ROW()-7,2),"")</f>
        <v>8311</v>
      </c>
      <c r="D139" s="157" t="str">
        <f>IF($B139&lt;&gt;"",INDEX(DataOB[],FirstRow+ROW()-7,3),"")</f>
        <v>ME00033E</v>
      </c>
      <c r="E139" s="158">
        <f>IF($B139&lt;&gt;"",INDEX(DataOB[],FirstRow+ROW()-7,6),"")</f>
        <v>0</v>
      </c>
      <c r="F139" s="158" t="str">
        <f>IF($B139&lt;&gt;"",INDEX(DataOB[],FirstRow+ROW()-7,5),"")</f>
        <v>LTXR51 Curing press(Hyd) #11</v>
      </c>
      <c r="G139" s="58">
        <f>IF($B139&lt;&gt;"",SUMIFS(DataAct_tbl[AMOUNT],DataAct_tbl[BG CODE],Detail!$D139,DataAct_tbl[MONTH],LEFT(MonthName,3),DataAct_tbl[Dept code],$B139),0)</f>
        <v>321.91341000000006</v>
      </c>
      <c r="H139" s="31">
        <f t="shared" si="25"/>
        <v>350</v>
      </c>
      <c r="I139" s="28">
        <f t="shared" si="26"/>
        <v>-28.086589999999944</v>
      </c>
      <c r="J139" s="32">
        <f t="shared" si="27"/>
        <v>0.91975260000000014</v>
      </c>
      <c r="K139" s="86"/>
      <c r="L139" s="62">
        <f>IF($B139&lt;&gt;"",SUMIFS(DataAct_tbl[AMOUNT],DataAct_tbl[BG CODE],Detail!$D139,DataAct_tbl[Check Range],"=true",DataAct_tbl[Dept code],$B139),0)</f>
        <v>321.91341000000006</v>
      </c>
      <c r="M139" s="63">
        <f>INDEX($AG$7:$AR$1005,ROW()-6,MATCH(MTD,$AG$6:$AR$6,0))</f>
        <v>350</v>
      </c>
      <c r="N139" s="34">
        <f t="shared" si="28"/>
        <v>-28.086589999999944</v>
      </c>
      <c r="O139" s="64">
        <f t="shared" si="29"/>
        <v>0.91975260000000014</v>
      </c>
      <c r="Q139" s="97">
        <f t="shared" si="30"/>
        <v>350</v>
      </c>
      <c r="R139" s="96">
        <f t="shared" si="31"/>
        <v>28.086589999999944</v>
      </c>
      <c r="T139" s="67">
        <f>IF($B139&lt;&gt;"",INDEX(DataOB[],FirstRow+ROW()-7,MATCH(T$6,DataOB[#Headers],0)),"")</f>
        <v>0</v>
      </c>
      <c r="U139" s="67">
        <f>IF($B139&lt;&gt;"",INDEX(DataOB[],FirstRow+ROW()-7,MATCH(U$6,DataOB[#Headers],0)),"")</f>
        <v>0</v>
      </c>
      <c r="V139" s="67">
        <f>IF($B139&lt;&gt;"",INDEX(DataOB[],FirstRow+ROW()-7,MATCH(V$6,DataOB[#Headers],0)),"")</f>
        <v>0</v>
      </c>
      <c r="W139" s="67">
        <f>IF($B139&lt;&gt;"",INDEX(DataOB[],FirstRow+ROW()-7,MATCH(W$6,DataOB[#Headers],0)),"")</f>
        <v>0</v>
      </c>
      <c r="X139" s="67">
        <f>IF($B139&lt;&gt;"",INDEX(DataOB[],FirstRow+ROW()-7,MATCH(X$6,DataOB[#Headers],0)),"")</f>
        <v>0</v>
      </c>
      <c r="Y139" s="67">
        <f>IF($B139&lt;&gt;"",INDEX(DataOB[],FirstRow+ROW()-7,MATCH(Y$6,DataOB[#Headers],0)),"")</f>
        <v>0</v>
      </c>
      <c r="Z139" s="67">
        <f>IF($B139&lt;&gt;"",INDEX(DataOB[],FirstRow+ROW()-7,MATCH(Z$6,DataOB[#Headers],0)),"")</f>
        <v>350</v>
      </c>
      <c r="AA139" s="67">
        <f>IF($B139&lt;&gt;"",INDEX(DataOB[],FirstRow+ROW()-7,MATCH(AA$6,DataOB[#Headers],0)),"")</f>
        <v>0</v>
      </c>
      <c r="AB139" s="67">
        <f>IF($B139&lt;&gt;"",INDEX(DataOB[],FirstRow+ROW()-7,MATCH(AB$6,DataOB[#Headers],0)),"")</f>
        <v>0</v>
      </c>
      <c r="AC139" s="67">
        <f>IF($B139&lt;&gt;"",INDEX(DataOB[],FirstRow+ROW()-7,MATCH(AC$6,DataOB[#Headers],0)),"")</f>
        <v>0</v>
      </c>
      <c r="AD139" s="67">
        <f>IF($B139&lt;&gt;"",INDEX(DataOB[],FirstRow+ROW()-7,MATCH(AD$6,DataOB[#Headers],0)),"")</f>
        <v>0</v>
      </c>
      <c r="AE139" s="67">
        <f>IF($B139&lt;&gt;"",INDEX(DataOB[],FirstRow+ROW()-7,MATCH(AE$6,DataOB[#Headers],0)),"")</f>
        <v>0</v>
      </c>
      <c r="AF139" s="26">
        <f t="shared" si="32"/>
        <v>350</v>
      </c>
      <c r="AG139" s="31">
        <f>SUM($T139:T139)</f>
        <v>0</v>
      </c>
      <c r="AH139" s="31">
        <f>SUM($T139:U139)</f>
        <v>0</v>
      </c>
      <c r="AI139" s="31">
        <f>SUM($T139:V139)</f>
        <v>0</v>
      </c>
      <c r="AJ139" s="31">
        <f>SUM($T139:W139)</f>
        <v>0</v>
      </c>
      <c r="AK139" s="31">
        <f>SUM($T139:X139)</f>
        <v>0</v>
      </c>
      <c r="AL139" s="31">
        <f>SUM($T139:Y139)</f>
        <v>0</v>
      </c>
      <c r="AM139" s="31">
        <f>SUM($T139:Z139)</f>
        <v>350</v>
      </c>
      <c r="AN139" s="31">
        <f>SUM($T139:AA139)</f>
        <v>350</v>
      </c>
      <c r="AO139" s="31">
        <f>SUM($T139:AB139)</f>
        <v>350</v>
      </c>
      <c r="AP139" s="31">
        <f>SUM($T139:AC139)</f>
        <v>350</v>
      </c>
      <c r="AQ139" s="31">
        <f>SUM($T139:AD139)</f>
        <v>350</v>
      </c>
      <c r="AR139" s="31">
        <f>SUM($T139:AE139)</f>
        <v>350</v>
      </c>
      <c r="AS139" s="27">
        <f t="shared" si="33"/>
        <v>0</v>
      </c>
    </row>
    <row r="140" spans="2:45">
      <c r="B140" s="156">
        <f>IF(ROW()-6&gt;NumCostCenter,"",IF(CostCenter&lt;&gt;"ALL",CostCenter,DATA_LF2!B138))</f>
        <v>8311</v>
      </c>
      <c r="C140" s="153">
        <f>IF($B140&lt;&gt;"",INDEX(DataOB[],FirstRow+ROW()-7,2),"")</f>
        <v>8311</v>
      </c>
      <c r="D140" s="157" t="str">
        <f>IF($B140&lt;&gt;"",INDEX(DataOB[],FirstRow+ROW()-7,3),"")</f>
        <v>ME00033F</v>
      </c>
      <c r="E140" s="158">
        <f>IF($B140&lt;&gt;"",INDEX(DataOB[],FirstRow+ROW()-7,6),"")</f>
        <v>0</v>
      </c>
      <c r="F140" s="158" t="str">
        <f>IF($B140&lt;&gt;"",INDEX(DataOB[],FirstRow+ROW()-7,5),"")</f>
        <v>LTXR51 Curing press(Hyd) #12</v>
      </c>
      <c r="G140" s="58">
        <f>IF($B140&lt;&gt;"",SUMIFS(DataAct_tbl[AMOUNT],DataAct_tbl[BG CODE],Detail!$D140,DataAct_tbl[MONTH],LEFT(MonthName,3),DataAct_tbl[Dept code],$B140),0)</f>
        <v>321.91341000000006</v>
      </c>
      <c r="H140" s="31">
        <f t="shared" si="25"/>
        <v>350</v>
      </c>
      <c r="I140" s="28">
        <f t="shared" si="26"/>
        <v>-28.086589999999944</v>
      </c>
      <c r="J140" s="32">
        <f t="shared" si="27"/>
        <v>0.91975260000000014</v>
      </c>
      <c r="K140" s="86"/>
      <c r="L140" s="62">
        <f>IF($B140&lt;&gt;"",SUMIFS(DataAct_tbl[AMOUNT],DataAct_tbl[BG CODE],Detail!$D140,DataAct_tbl[Check Range],"=true",DataAct_tbl[Dept code],$B140),0)</f>
        <v>321.91341000000006</v>
      </c>
      <c r="M140" s="63">
        <f>INDEX($AG$7:$AR$1005,ROW()-6,MATCH(MTD,$AG$6:$AR$6,0))</f>
        <v>350</v>
      </c>
      <c r="N140" s="34">
        <f t="shared" si="28"/>
        <v>-28.086589999999944</v>
      </c>
      <c r="O140" s="64">
        <f t="shared" si="29"/>
        <v>0.91975260000000014</v>
      </c>
      <c r="Q140" s="97">
        <f t="shared" si="30"/>
        <v>350</v>
      </c>
      <c r="R140" s="96">
        <f t="shared" si="31"/>
        <v>28.086589999999944</v>
      </c>
      <c r="T140" s="67">
        <f>IF($B140&lt;&gt;"",INDEX(DataOB[],FirstRow+ROW()-7,MATCH(T$6,DataOB[#Headers],0)),"")</f>
        <v>0</v>
      </c>
      <c r="U140" s="67">
        <f>IF($B140&lt;&gt;"",INDEX(DataOB[],FirstRow+ROW()-7,MATCH(U$6,DataOB[#Headers],0)),"")</f>
        <v>0</v>
      </c>
      <c r="V140" s="67">
        <f>IF($B140&lt;&gt;"",INDEX(DataOB[],FirstRow+ROW()-7,MATCH(V$6,DataOB[#Headers],0)),"")</f>
        <v>0</v>
      </c>
      <c r="W140" s="67">
        <f>IF($B140&lt;&gt;"",INDEX(DataOB[],FirstRow+ROW()-7,MATCH(W$6,DataOB[#Headers],0)),"")</f>
        <v>0</v>
      </c>
      <c r="X140" s="67">
        <f>IF($B140&lt;&gt;"",INDEX(DataOB[],FirstRow+ROW()-7,MATCH(X$6,DataOB[#Headers],0)),"")</f>
        <v>0</v>
      </c>
      <c r="Y140" s="67">
        <f>IF($B140&lt;&gt;"",INDEX(DataOB[],FirstRow+ROW()-7,MATCH(Y$6,DataOB[#Headers],0)),"")</f>
        <v>0</v>
      </c>
      <c r="Z140" s="67">
        <f>IF($B140&lt;&gt;"",INDEX(DataOB[],FirstRow+ROW()-7,MATCH(Z$6,DataOB[#Headers],0)),"")</f>
        <v>350</v>
      </c>
      <c r="AA140" s="67">
        <f>IF($B140&lt;&gt;"",INDEX(DataOB[],FirstRow+ROW()-7,MATCH(AA$6,DataOB[#Headers],0)),"")</f>
        <v>0</v>
      </c>
      <c r="AB140" s="67">
        <f>IF($B140&lt;&gt;"",INDEX(DataOB[],FirstRow+ROW()-7,MATCH(AB$6,DataOB[#Headers],0)),"")</f>
        <v>0</v>
      </c>
      <c r="AC140" s="67">
        <f>IF($B140&lt;&gt;"",INDEX(DataOB[],FirstRow+ROW()-7,MATCH(AC$6,DataOB[#Headers],0)),"")</f>
        <v>0</v>
      </c>
      <c r="AD140" s="67">
        <f>IF($B140&lt;&gt;"",INDEX(DataOB[],FirstRow+ROW()-7,MATCH(AD$6,DataOB[#Headers],0)),"")</f>
        <v>0</v>
      </c>
      <c r="AE140" s="67">
        <f>IF($B140&lt;&gt;"",INDEX(DataOB[],FirstRow+ROW()-7,MATCH(AE$6,DataOB[#Headers],0)),"")</f>
        <v>0</v>
      </c>
      <c r="AF140" s="26">
        <f t="shared" si="32"/>
        <v>350</v>
      </c>
      <c r="AG140" s="31">
        <f>SUM($T140:T140)</f>
        <v>0</v>
      </c>
      <c r="AH140" s="31">
        <f>SUM($T140:U140)</f>
        <v>0</v>
      </c>
      <c r="AI140" s="31">
        <f>SUM($T140:V140)</f>
        <v>0</v>
      </c>
      <c r="AJ140" s="31">
        <f>SUM($T140:W140)</f>
        <v>0</v>
      </c>
      <c r="AK140" s="31">
        <f>SUM($T140:X140)</f>
        <v>0</v>
      </c>
      <c r="AL140" s="31">
        <f>SUM($T140:Y140)</f>
        <v>0</v>
      </c>
      <c r="AM140" s="31">
        <f>SUM($T140:Z140)</f>
        <v>350</v>
      </c>
      <c r="AN140" s="31">
        <f>SUM($T140:AA140)</f>
        <v>350</v>
      </c>
      <c r="AO140" s="31">
        <f>SUM($T140:AB140)</f>
        <v>350</v>
      </c>
      <c r="AP140" s="31">
        <f>SUM($T140:AC140)</f>
        <v>350</v>
      </c>
      <c r="AQ140" s="31">
        <f>SUM($T140:AD140)</f>
        <v>350</v>
      </c>
      <c r="AR140" s="31">
        <f>SUM($T140:AE140)</f>
        <v>350</v>
      </c>
      <c r="AS140" s="27">
        <f t="shared" si="33"/>
        <v>0</v>
      </c>
    </row>
    <row r="141" spans="2:45">
      <c r="B141" s="156">
        <f>IF(ROW()-6&gt;NumCostCenter,"",IF(CostCenter&lt;&gt;"ALL",CostCenter,DATA_LF2!B139))</f>
        <v>8311</v>
      </c>
      <c r="C141" s="153">
        <f>IF($B141&lt;&gt;"",INDEX(DataOB[],FirstRow+ROW()-7,2),"")</f>
        <v>8311</v>
      </c>
      <c r="D141" s="157" t="str">
        <f>IF($B141&lt;&gt;"",INDEX(DataOB[],FirstRow+ROW()-7,3),"")</f>
        <v>ME00056</v>
      </c>
      <c r="E141" s="158">
        <f>IF($B141&lt;&gt;"",INDEX(DataOB[],FirstRow+ROW()-7,6),"")</f>
        <v>0</v>
      </c>
      <c r="F141" s="158" t="str">
        <f>IF($B141&lt;&gt;"",INDEX(DataOB[],FirstRow+ROW()-7,5),"")</f>
        <v>Drum test machine high speed #10 400km</v>
      </c>
      <c r="G141" s="58">
        <f>IF($B141&lt;&gt;"",SUMIFS(DataAct_tbl[AMOUNT],DataAct_tbl[BG CODE],Detail!$D141,DataAct_tbl[MONTH],LEFT(MonthName,3),DataAct_tbl[Dept code],$B141),0)</f>
        <v>95.76554999999999</v>
      </c>
      <c r="H141" s="31">
        <f t="shared" si="25"/>
        <v>99.566239999999993</v>
      </c>
      <c r="I141" s="28">
        <f t="shared" si="26"/>
        <v>-3.800690000000003</v>
      </c>
      <c r="J141" s="32">
        <f t="shared" si="27"/>
        <v>0.96182752306404251</v>
      </c>
      <c r="K141" s="86"/>
      <c r="L141" s="62">
        <f>IF($B141&lt;&gt;"",SUMIFS(DataAct_tbl[AMOUNT],DataAct_tbl[BG CODE],Detail!$D141,DataAct_tbl[Check Range],"=true",DataAct_tbl[Dept code],$B141),0)</f>
        <v>611.09897000000001</v>
      </c>
      <c r="M141" s="63">
        <f>INDEX($AG$7:$AR$1005,ROW()-6,MATCH(MTD,$AG$6:$AR$6,0))</f>
        <v>614.89965999999993</v>
      </c>
      <c r="N141" s="34">
        <f t="shared" si="28"/>
        <v>-3.8006899999999177</v>
      </c>
      <c r="O141" s="64">
        <f t="shared" si="29"/>
        <v>0.99381900780364729</v>
      </c>
      <c r="Q141" s="97">
        <f t="shared" si="30"/>
        <v>681.12965999999994</v>
      </c>
      <c r="R141" s="96">
        <f t="shared" si="31"/>
        <v>70.030689999999936</v>
      </c>
      <c r="T141" s="67">
        <f>IF($B141&lt;&gt;"",INDEX(DataOB[],FirstRow+ROW()-7,MATCH(T$6,DataOB[#Headers],0)),"")</f>
        <v>44.576440000000005</v>
      </c>
      <c r="U141" s="67">
        <f>IF($B141&lt;&gt;"",INDEX(DataOB[],FirstRow+ROW()-7,MATCH(U$6,DataOB[#Headers],0)),"")</f>
        <v>219.19192000000001</v>
      </c>
      <c r="V141" s="67">
        <f>IF($B141&lt;&gt;"",INDEX(DataOB[],FirstRow+ROW()-7,MATCH(V$6,DataOB[#Headers],0)),"")</f>
        <v>0.59362000000000004</v>
      </c>
      <c r="W141" s="67">
        <f>IF($B141&lt;&gt;"",INDEX(DataOB[],FirstRow+ROW()-7,MATCH(W$6,DataOB[#Headers],0)),"")</f>
        <v>0</v>
      </c>
      <c r="X141" s="67">
        <f>IF($B141&lt;&gt;"",INDEX(DataOB[],FirstRow+ROW()-7,MATCH(X$6,DataOB[#Headers],0)),"")</f>
        <v>220.53767999999991</v>
      </c>
      <c r="Y141" s="67">
        <f>IF($B141&lt;&gt;"",INDEX(DataOB[],FirstRow+ROW()-7,MATCH(Y$6,DataOB[#Headers],0)),"")</f>
        <v>30.433759999999999</v>
      </c>
      <c r="Z141" s="67">
        <f>IF($B141&lt;&gt;"",INDEX(DataOB[],FirstRow+ROW()-7,MATCH(Z$6,DataOB[#Headers],0)),"")</f>
        <v>99.566239999999993</v>
      </c>
      <c r="AA141" s="67">
        <f>IF($B141&lt;&gt;"",INDEX(DataOB[],FirstRow+ROW()-7,MATCH(AA$6,DataOB[#Headers],0)),"")</f>
        <v>50</v>
      </c>
      <c r="AB141" s="67">
        <f>IF($B141&lt;&gt;"",INDEX(DataOB[],FirstRow+ROW()-7,MATCH(AB$6,DataOB[#Headers],0)),"")</f>
        <v>0</v>
      </c>
      <c r="AC141" s="67">
        <f>IF($B141&lt;&gt;"",INDEX(DataOB[],FirstRow+ROW()-7,MATCH(AC$6,DataOB[#Headers],0)),"")</f>
        <v>13.23</v>
      </c>
      <c r="AD141" s="67">
        <f>IF($B141&lt;&gt;"",INDEX(DataOB[],FirstRow+ROW()-7,MATCH(AD$6,DataOB[#Headers],0)),"")</f>
        <v>0</v>
      </c>
      <c r="AE141" s="67">
        <f>IF($B141&lt;&gt;"",INDEX(DataOB[],FirstRow+ROW()-7,MATCH(AE$6,DataOB[#Headers],0)),"")</f>
        <v>3</v>
      </c>
      <c r="AF141" s="26">
        <f t="shared" si="32"/>
        <v>681.12965999999994</v>
      </c>
      <c r="AG141" s="31">
        <f>SUM($T141:T141)</f>
        <v>44.576440000000005</v>
      </c>
      <c r="AH141" s="31">
        <f>SUM($T141:U141)</f>
        <v>263.76836000000003</v>
      </c>
      <c r="AI141" s="31">
        <f>SUM($T141:V141)</f>
        <v>264.36198000000002</v>
      </c>
      <c r="AJ141" s="31">
        <f>SUM($T141:W141)</f>
        <v>264.36198000000002</v>
      </c>
      <c r="AK141" s="31">
        <f>SUM($T141:X141)</f>
        <v>484.89965999999993</v>
      </c>
      <c r="AL141" s="31">
        <f>SUM($T141:Y141)</f>
        <v>515.33341999999993</v>
      </c>
      <c r="AM141" s="31">
        <f>SUM($T141:Z141)</f>
        <v>614.89965999999993</v>
      </c>
      <c r="AN141" s="31">
        <f>SUM($T141:AA141)</f>
        <v>664.89965999999993</v>
      </c>
      <c r="AO141" s="31">
        <f>SUM($T141:AB141)</f>
        <v>664.89965999999993</v>
      </c>
      <c r="AP141" s="31">
        <f>SUM($T141:AC141)</f>
        <v>678.12965999999994</v>
      </c>
      <c r="AQ141" s="31">
        <f>SUM($T141:AD141)</f>
        <v>678.12965999999994</v>
      </c>
      <c r="AR141" s="31">
        <f>SUM($T141:AE141)</f>
        <v>681.12965999999994</v>
      </c>
      <c r="AS141" s="27">
        <f t="shared" si="33"/>
        <v>0</v>
      </c>
    </row>
    <row r="142" spans="2:45">
      <c r="B142" s="156">
        <f>IF(ROW()-6&gt;NumCostCenter,"",IF(CostCenter&lt;&gt;"ALL",CostCenter,DATA_LF2!B140))</f>
        <v>8311</v>
      </c>
      <c r="C142" s="153">
        <f>IF($B142&lt;&gt;"",INDEX(DataOB[],FirstRow+ROW()-7,2),"")</f>
        <v>8311</v>
      </c>
      <c r="D142" s="157" t="str">
        <f>IF($B142&lt;&gt;"",INDEX(DataOB[],FirstRow+ROW()-7,3),"")</f>
        <v>TBD</v>
      </c>
      <c r="E142" s="158">
        <f>IF($B142&lt;&gt;"",INDEX(DataOB[],FirstRow+ROW()-7,6),"")</f>
        <v>0</v>
      </c>
      <c r="F142" s="158" t="str">
        <f>IF($B142&lt;&gt;"",INDEX(DataOB[],FirstRow+ROW()-7,5),"")</f>
        <v>Chemical storage for Utility system</v>
      </c>
      <c r="G142" s="58">
        <f>IF($B142&lt;&gt;"",SUMIFS(DataAct_tbl[AMOUNT],DataAct_tbl[BG CODE],Detail!$D142,DataAct_tbl[MONTH],LEFT(MonthName,3),DataAct_tbl[Dept code],$B142),0)</f>
        <v>0</v>
      </c>
      <c r="H142" s="31">
        <f t="shared" si="25"/>
        <v>0</v>
      </c>
      <c r="I142" s="28">
        <f t="shared" si="26"/>
        <v>0</v>
      </c>
      <c r="J142" s="32" t="str">
        <f t="shared" si="27"/>
        <v xml:space="preserve"> </v>
      </c>
      <c r="K142" s="86"/>
      <c r="L142" s="62">
        <f>IF($B142&lt;&gt;"",SUMIFS(DataAct_tbl[AMOUNT],DataAct_tbl[BG CODE],Detail!$D142,DataAct_tbl[Check Range],"=true",DataAct_tbl[Dept code],$B142),0)</f>
        <v>0</v>
      </c>
      <c r="M142" s="63">
        <f>INDEX($AG$7:$AR$1005,ROW()-6,MATCH(MTD,$AG$6:$AR$6,0))</f>
        <v>0</v>
      </c>
      <c r="N142" s="34">
        <f t="shared" si="28"/>
        <v>0</v>
      </c>
      <c r="O142" s="64" t="str">
        <f t="shared" si="29"/>
        <v xml:space="preserve"> </v>
      </c>
      <c r="Q142" s="97">
        <f t="shared" si="30"/>
        <v>0</v>
      </c>
      <c r="R142" s="96">
        <f t="shared" si="31"/>
        <v>0</v>
      </c>
      <c r="T142" s="67">
        <f>IF($B142&lt;&gt;"",INDEX(DataOB[],FirstRow+ROW()-7,MATCH(T$6,DataOB[#Headers],0)),"")</f>
        <v>0</v>
      </c>
      <c r="U142" s="67">
        <f>IF($B142&lt;&gt;"",INDEX(DataOB[],FirstRow+ROW()-7,MATCH(U$6,DataOB[#Headers],0)),"")</f>
        <v>0</v>
      </c>
      <c r="V142" s="67">
        <f>IF($B142&lt;&gt;"",INDEX(DataOB[],FirstRow+ROW()-7,MATCH(V$6,DataOB[#Headers],0)),"")</f>
        <v>0</v>
      </c>
      <c r="W142" s="67">
        <f>IF($B142&lt;&gt;"",INDEX(DataOB[],FirstRow+ROW()-7,MATCH(W$6,DataOB[#Headers],0)),"")</f>
        <v>0</v>
      </c>
      <c r="X142" s="67">
        <f>IF($B142&lt;&gt;"",INDEX(DataOB[],FirstRow+ROW()-7,MATCH(X$6,DataOB[#Headers],0)),"")</f>
        <v>0</v>
      </c>
      <c r="Y142" s="67">
        <f>IF($B142&lt;&gt;"",INDEX(DataOB[],FirstRow+ROW()-7,MATCH(Y$6,DataOB[#Headers],0)),"")</f>
        <v>0</v>
      </c>
      <c r="Z142" s="67">
        <f>IF($B142&lt;&gt;"",INDEX(DataOB[],FirstRow+ROW()-7,MATCH(Z$6,DataOB[#Headers],0)),"")</f>
        <v>0</v>
      </c>
      <c r="AA142" s="67">
        <f>IF($B142&lt;&gt;"",INDEX(DataOB[],FirstRow+ROW()-7,MATCH(AA$6,DataOB[#Headers],0)),"")</f>
        <v>0</v>
      </c>
      <c r="AB142" s="67">
        <f>IF($B142&lt;&gt;"",INDEX(DataOB[],FirstRow+ROW()-7,MATCH(AB$6,DataOB[#Headers],0)),"")</f>
        <v>0</v>
      </c>
      <c r="AC142" s="67">
        <f>IF($B142&lt;&gt;"",INDEX(DataOB[],FirstRow+ROW()-7,MATCH(AC$6,DataOB[#Headers],0)),"")</f>
        <v>0</v>
      </c>
      <c r="AD142" s="67">
        <f>IF($B142&lt;&gt;"",INDEX(DataOB[],FirstRow+ROW()-7,MATCH(AD$6,DataOB[#Headers],0)),"")</f>
        <v>0</v>
      </c>
      <c r="AE142" s="67">
        <f>IF($B142&lt;&gt;"",INDEX(DataOB[],FirstRow+ROW()-7,MATCH(AE$6,DataOB[#Headers],0)),"")</f>
        <v>0</v>
      </c>
      <c r="AF142" s="26">
        <f t="shared" si="32"/>
        <v>0</v>
      </c>
      <c r="AG142" s="31">
        <f>SUM($T142:T142)</f>
        <v>0</v>
      </c>
      <c r="AH142" s="31">
        <f>SUM($T142:U142)</f>
        <v>0</v>
      </c>
      <c r="AI142" s="31">
        <f>SUM($T142:V142)</f>
        <v>0</v>
      </c>
      <c r="AJ142" s="31">
        <f>SUM($T142:W142)</f>
        <v>0</v>
      </c>
      <c r="AK142" s="31">
        <f>SUM($T142:X142)</f>
        <v>0</v>
      </c>
      <c r="AL142" s="31">
        <f>SUM($T142:Y142)</f>
        <v>0</v>
      </c>
      <c r="AM142" s="31">
        <f>SUM($T142:Z142)</f>
        <v>0</v>
      </c>
      <c r="AN142" s="31">
        <f>SUM($T142:AA142)</f>
        <v>0</v>
      </c>
      <c r="AO142" s="31">
        <f>SUM($T142:AB142)</f>
        <v>0</v>
      </c>
      <c r="AP142" s="31">
        <f>SUM($T142:AC142)</f>
        <v>0</v>
      </c>
      <c r="AQ142" s="31">
        <f>SUM($T142:AD142)</f>
        <v>0</v>
      </c>
      <c r="AR142" s="31">
        <f>SUM($T142:AE142)</f>
        <v>0</v>
      </c>
      <c r="AS142" s="27">
        <f t="shared" si="33"/>
        <v>0</v>
      </c>
    </row>
    <row r="143" spans="2:45">
      <c r="B143" s="156">
        <f>IF(ROW()-6&gt;NumCostCenter,"",IF(CostCenter&lt;&gt;"ALL",CostCenter,DATA_LF2!B141))</f>
        <v>8311</v>
      </c>
      <c r="C143" s="153">
        <f>IF($B143&lt;&gt;"",INDEX(DataOB[],FirstRow+ROW()-7,2),"")</f>
        <v>8311</v>
      </c>
      <c r="D143" s="157" t="str">
        <f>IF($B143&lt;&gt;"",INDEX(DataOB[],FirstRow+ROW()-7,3),"")</f>
        <v>TBD</v>
      </c>
      <c r="E143" s="158">
        <f>IF($B143&lt;&gt;"",INDEX(DataOB[],FirstRow+ROW()-7,6),"")</f>
        <v>0</v>
      </c>
      <c r="F143" s="158" t="str">
        <f>IF($B143&lt;&gt;"",INDEX(DataOB[],FirstRow+ROW()-7,5),"")</f>
        <v>Replace fan blades for cooling tower</v>
      </c>
      <c r="G143" s="58">
        <f>IF($B143&lt;&gt;"",SUMIFS(DataAct_tbl[AMOUNT],DataAct_tbl[BG CODE],Detail!$D143,DataAct_tbl[MONTH],LEFT(MonthName,3),DataAct_tbl[Dept code],$B143),0)</f>
        <v>0</v>
      </c>
      <c r="H143" s="31">
        <f t="shared" si="25"/>
        <v>0</v>
      </c>
      <c r="I143" s="28">
        <f t="shared" si="26"/>
        <v>0</v>
      </c>
      <c r="J143" s="32" t="str">
        <f t="shared" si="27"/>
        <v xml:space="preserve"> </v>
      </c>
      <c r="K143" s="86"/>
      <c r="L143" s="62">
        <f>IF($B143&lt;&gt;"",SUMIFS(DataAct_tbl[AMOUNT],DataAct_tbl[BG CODE],Detail!$D143,DataAct_tbl[Check Range],"=true",DataAct_tbl[Dept code],$B143),0)</f>
        <v>0</v>
      </c>
      <c r="M143" s="63">
        <f>INDEX($AG$7:$AR$1005,ROW()-6,MATCH(MTD,$AG$6:$AR$6,0))</f>
        <v>0</v>
      </c>
      <c r="N143" s="34">
        <f t="shared" si="28"/>
        <v>0</v>
      </c>
      <c r="O143" s="64" t="str">
        <f t="shared" si="29"/>
        <v xml:space="preserve"> </v>
      </c>
      <c r="Q143" s="97">
        <f t="shared" si="30"/>
        <v>64.8</v>
      </c>
      <c r="R143" s="96">
        <f t="shared" si="31"/>
        <v>64.8</v>
      </c>
      <c r="T143" s="67">
        <f>IF($B143&lt;&gt;"",INDEX(DataOB[],FirstRow+ROW()-7,MATCH(T$6,DataOB[#Headers],0)),"")</f>
        <v>0</v>
      </c>
      <c r="U143" s="67">
        <f>IF($B143&lt;&gt;"",INDEX(DataOB[],FirstRow+ROW()-7,MATCH(U$6,DataOB[#Headers],0)),"")</f>
        <v>0</v>
      </c>
      <c r="V143" s="67">
        <f>IF($B143&lt;&gt;"",INDEX(DataOB[],FirstRow+ROW()-7,MATCH(V$6,DataOB[#Headers],0)),"")</f>
        <v>0</v>
      </c>
      <c r="W143" s="67">
        <f>IF($B143&lt;&gt;"",INDEX(DataOB[],FirstRow+ROW()-7,MATCH(W$6,DataOB[#Headers],0)),"")</f>
        <v>0</v>
      </c>
      <c r="X143" s="67">
        <f>IF($B143&lt;&gt;"",INDEX(DataOB[],FirstRow+ROW()-7,MATCH(X$6,DataOB[#Headers],0)),"")</f>
        <v>0</v>
      </c>
      <c r="Y143" s="67">
        <f>IF($B143&lt;&gt;"",INDEX(DataOB[],FirstRow+ROW()-7,MATCH(Y$6,DataOB[#Headers],0)),"")</f>
        <v>0</v>
      </c>
      <c r="Z143" s="67">
        <f>IF($B143&lt;&gt;"",INDEX(DataOB[],FirstRow+ROW()-7,MATCH(Z$6,DataOB[#Headers],0)),"")</f>
        <v>0</v>
      </c>
      <c r="AA143" s="67">
        <f>IF($B143&lt;&gt;"",INDEX(DataOB[],FirstRow+ROW()-7,MATCH(AA$6,DataOB[#Headers],0)),"")</f>
        <v>0</v>
      </c>
      <c r="AB143" s="67">
        <f>IF($B143&lt;&gt;"",INDEX(DataOB[],FirstRow+ROW()-7,MATCH(AB$6,DataOB[#Headers],0)),"")</f>
        <v>0</v>
      </c>
      <c r="AC143" s="67">
        <f>IF($B143&lt;&gt;"",INDEX(DataOB[],FirstRow+ROW()-7,MATCH(AC$6,DataOB[#Headers],0)),"")</f>
        <v>64.8</v>
      </c>
      <c r="AD143" s="67">
        <f>IF($B143&lt;&gt;"",INDEX(DataOB[],FirstRow+ROW()-7,MATCH(AD$6,DataOB[#Headers],0)),"")</f>
        <v>0</v>
      </c>
      <c r="AE143" s="67">
        <f>IF($B143&lt;&gt;"",INDEX(DataOB[],FirstRow+ROW()-7,MATCH(AE$6,DataOB[#Headers],0)),"")</f>
        <v>0</v>
      </c>
      <c r="AF143" s="26">
        <f t="shared" si="32"/>
        <v>64.8</v>
      </c>
      <c r="AG143" s="31">
        <f>SUM($T143:T143)</f>
        <v>0</v>
      </c>
      <c r="AH143" s="31">
        <f>SUM($T143:U143)</f>
        <v>0</v>
      </c>
      <c r="AI143" s="31">
        <f>SUM($T143:V143)</f>
        <v>0</v>
      </c>
      <c r="AJ143" s="31">
        <f>SUM($T143:W143)</f>
        <v>0</v>
      </c>
      <c r="AK143" s="31">
        <f>SUM($T143:X143)</f>
        <v>0</v>
      </c>
      <c r="AL143" s="31">
        <f>SUM($T143:Y143)</f>
        <v>0</v>
      </c>
      <c r="AM143" s="31">
        <f>SUM($T143:Z143)</f>
        <v>0</v>
      </c>
      <c r="AN143" s="31">
        <f>SUM($T143:AA143)</f>
        <v>0</v>
      </c>
      <c r="AO143" s="31">
        <f>SUM($T143:AB143)</f>
        <v>0</v>
      </c>
      <c r="AP143" s="31">
        <f>SUM($T143:AC143)</f>
        <v>64.8</v>
      </c>
      <c r="AQ143" s="31">
        <f>SUM($T143:AD143)</f>
        <v>64.8</v>
      </c>
      <c r="AR143" s="31">
        <f>SUM($T143:AE143)</f>
        <v>64.8</v>
      </c>
      <c r="AS143" s="27">
        <f t="shared" si="33"/>
        <v>0</v>
      </c>
    </row>
    <row r="144" spans="2:45">
      <c r="B144" s="156">
        <f>IF(ROW()-6&gt;NumCostCenter,"",IF(CostCenter&lt;&gt;"ALL",CostCenter,DATA_LF2!B142))</f>
        <v>8311</v>
      </c>
      <c r="C144" s="153">
        <f>IF($B144&lt;&gt;"",INDEX(DataOB[],FirstRow+ROW()-7,2),"")</f>
        <v>8311</v>
      </c>
      <c r="D144" s="157" t="str">
        <f>IF($B144&lt;&gt;"",INDEX(DataOB[],FirstRow+ROW()-7,3),"")</f>
        <v>ME00086</v>
      </c>
      <c r="E144" s="158">
        <f>IF($B144&lt;&gt;"",INDEX(DataOB[],FirstRow+ROW()-7,6),"")</f>
        <v>0</v>
      </c>
      <c r="F144" s="158" t="str">
        <f>IF($B144&lt;&gt;"",INDEX(DataOB[],FirstRow+ROW()-7,5),"")</f>
        <v>Installation cable tray and re-wiring for substation</v>
      </c>
      <c r="G144" s="58">
        <f>IF($B144&lt;&gt;"",SUMIFS(DataAct_tbl[AMOUNT],DataAct_tbl[BG CODE],Detail!$D144,DataAct_tbl[MONTH],LEFT(MonthName,3),DataAct_tbl[Dept code],$B144),0)</f>
        <v>58.890159999999995</v>
      </c>
      <c r="H144" s="31">
        <f t="shared" si="25"/>
        <v>0</v>
      </c>
      <c r="I144" s="28">
        <f t="shared" si="26"/>
        <v>58.890159999999995</v>
      </c>
      <c r="J144" s="32" t="str">
        <f t="shared" si="27"/>
        <v xml:space="preserve"> </v>
      </c>
      <c r="K144" s="86"/>
      <c r="L144" s="62">
        <f>IF($B144&lt;&gt;"",SUMIFS(DataAct_tbl[AMOUNT],DataAct_tbl[BG CODE],Detail!$D144,DataAct_tbl[Check Range],"=true",DataAct_tbl[Dept code],$B144),0)</f>
        <v>58.890159999999995</v>
      </c>
      <c r="M144" s="63">
        <f>INDEX($AG$7:$AR$1005,ROW()-6,MATCH(MTD,$AG$6:$AR$6,0))</f>
        <v>0</v>
      </c>
      <c r="N144" s="34">
        <f t="shared" si="28"/>
        <v>58.890159999999995</v>
      </c>
      <c r="O144" s="64" t="str">
        <f t="shared" si="29"/>
        <v xml:space="preserve"> </v>
      </c>
      <c r="Q144" s="97">
        <f t="shared" si="30"/>
        <v>70</v>
      </c>
      <c r="R144" s="96">
        <f t="shared" si="31"/>
        <v>11.109840000000005</v>
      </c>
      <c r="T144" s="67">
        <f>IF($B144&lt;&gt;"",INDEX(DataOB[],FirstRow+ROW()-7,MATCH(T$6,DataOB[#Headers],0)),"")</f>
        <v>0</v>
      </c>
      <c r="U144" s="67">
        <f>IF($B144&lt;&gt;"",INDEX(DataOB[],FirstRow+ROW()-7,MATCH(U$6,DataOB[#Headers],0)),"")</f>
        <v>0</v>
      </c>
      <c r="V144" s="67">
        <f>IF($B144&lt;&gt;"",INDEX(DataOB[],FirstRow+ROW()-7,MATCH(V$6,DataOB[#Headers],0)),"")</f>
        <v>0</v>
      </c>
      <c r="W144" s="67">
        <f>IF($B144&lt;&gt;"",INDEX(DataOB[],FirstRow+ROW()-7,MATCH(W$6,DataOB[#Headers],0)),"")</f>
        <v>0</v>
      </c>
      <c r="X144" s="67">
        <f>IF($B144&lt;&gt;"",INDEX(DataOB[],FirstRow+ROW()-7,MATCH(X$6,DataOB[#Headers],0)),"")</f>
        <v>0</v>
      </c>
      <c r="Y144" s="67">
        <f>IF($B144&lt;&gt;"",INDEX(DataOB[],FirstRow+ROW()-7,MATCH(Y$6,DataOB[#Headers],0)),"")</f>
        <v>0</v>
      </c>
      <c r="Z144" s="67">
        <f>IF($B144&lt;&gt;"",INDEX(DataOB[],FirstRow+ROW()-7,MATCH(Z$6,DataOB[#Headers],0)),"")</f>
        <v>0</v>
      </c>
      <c r="AA144" s="67">
        <f>IF($B144&lt;&gt;"",INDEX(DataOB[],FirstRow+ROW()-7,MATCH(AA$6,DataOB[#Headers],0)),"")</f>
        <v>0</v>
      </c>
      <c r="AB144" s="67">
        <f>IF($B144&lt;&gt;"",INDEX(DataOB[],FirstRow+ROW()-7,MATCH(AB$6,DataOB[#Headers],0)),"")</f>
        <v>0</v>
      </c>
      <c r="AC144" s="67">
        <f>IF($B144&lt;&gt;"",INDEX(DataOB[],FirstRow+ROW()-7,MATCH(AC$6,DataOB[#Headers],0)),"")</f>
        <v>70</v>
      </c>
      <c r="AD144" s="67">
        <f>IF($B144&lt;&gt;"",INDEX(DataOB[],FirstRow+ROW()-7,MATCH(AD$6,DataOB[#Headers],0)),"")</f>
        <v>0</v>
      </c>
      <c r="AE144" s="67">
        <f>IF($B144&lt;&gt;"",INDEX(DataOB[],FirstRow+ROW()-7,MATCH(AE$6,DataOB[#Headers],0)),"")</f>
        <v>0</v>
      </c>
      <c r="AF144" s="26">
        <f t="shared" si="32"/>
        <v>70</v>
      </c>
      <c r="AG144" s="31">
        <f>SUM($T144:T144)</f>
        <v>0</v>
      </c>
      <c r="AH144" s="31">
        <f>SUM($T144:U144)</f>
        <v>0</v>
      </c>
      <c r="AI144" s="31">
        <f>SUM($T144:V144)</f>
        <v>0</v>
      </c>
      <c r="AJ144" s="31">
        <f>SUM($T144:W144)</f>
        <v>0</v>
      </c>
      <c r="AK144" s="31">
        <f>SUM($T144:X144)</f>
        <v>0</v>
      </c>
      <c r="AL144" s="31">
        <f>SUM($T144:Y144)</f>
        <v>0</v>
      </c>
      <c r="AM144" s="31">
        <f>SUM($T144:Z144)</f>
        <v>0</v>
      </c>
      <c r="AN144" s="31">
        <f>SUM($T144:AA144)</f>
        <v>0</v>
      </c>
      <c r="AO144" s="31">
        <f>SUM($T144:AB144)</f>
        <v>0</v>
      </c>
      <c r="AP144" s="31">
        <f>SUM($T144:AC144)</f>
        <v>70</v>
      </c>
      <c r="AQ144" s="31">
        <f>SUM($T144:AD144)</f>
        <v>70</v>
      </c>
      <c r="AR144" s="31">
        <f>SUM($T144:AE144)</f>
        <v>70</v>
      </c>
      <c r="AS144" s="27">
        <f t="shared" si="33"/>
        <v>0</v>
      </c>
    </row>
    <row r="145" spans="2:45">
      <c r="B145" s="156">
        <f>IF(ROW()-6&gt;NumCostCenter,"",IF(CostCenter&lt;&gt;"ALL",CostCenter,DATA_LF2!B143))</f>
        <v>8311</v>
      </c>
      <c r="C145" s="153">
        <f>IF($B145&lt;&gt;"",INDEX(DataOB[],FirstRow+ROW()-7,2),"")</f>
        <v>8311</v>
      </c>
      <c r="D145" s="157" t="str">
        <f>IF($B145&lt;&gt;"",INDEX(DataOB[],FirstRow+ROW()-7,3),"")</f>
        <v>TBD</v>
      </c>
      <c r="E145" s="158">
        <f>IF($B145&lt;&gt;"",INDEX(DataOB[],FirstRow+ROW()-7,6),"")</f>
        <v>0</v>
      </c>
      <c r="F145" s="158" t="str">
        <f>IF($B145&lt;&gt;"",INDEX(DataOB[],FirstRow+ROW()-7,5),"")</f>
        <v>Installation lighting arester for low voltage system</v>
      </c>
      <c r="G145" s="58">
        <f>IF($B145&lt;&gt;"",SUMIFS(DataAct_tbl[AMOUNT],DataAct_tbl[BG CODE],Detail!$D145,DataAct_tbl[MONTH],LEFT(MonthName,3),DataAct_tbl[Dept code],$B145),0)</f>
        <v>0</v>
      </c>
      <c r="H145" s="31">
        <f t="shared" si="25"/>
        <v>0</v>
      </c>
      <c r="I145" s="28">
        <f t="shared" si="26"/>
        <v>0</v>
      </c>
      <c r="J145" s="32" t="str">
        <f t="shared" si="27"/>
        <v xml:space="preserve"> </v>
      </c>
      <c r="K145" s="86"/>
      <c r="L145" s="62">
        <f>IF($B145&lt;&gt;"",SUMIFS(DataAct_tbl[AMOUNT],DataAct_tbl[BG CODE],Detail!$D145,DataAct_tbl[Check Range],"=true",DataAct_tbl[Dept code],$B145),0)</f>
        <v>0</v>
      </c>
      <c r="M145" s="63">
        <f>INDEX($AG$7:$AR$1005,ROW()-6,MATCH(MTD,$AG$6:$AR$6,0))</f>
        <v>0</v>
      </c>
      <c r="N145" s="34">
        <f t="shared" si="28"/>
        <v>0</v>
      </c>
      <c r="O145" s="64" t="str">
        <f t="shared" si="29"/>
        <v xml:space="preserve"> </v>
      </c>
      <c r="Q145" s="97">
        <f t="shared" si="30"/>
        <v>25</v>
      </c>
      <c r="R145" s="96">
        <f t="shared" si="31"/>
        <v>25</v>
      </c>
      <c r="T145" s="67">
        <f>IF($B145&lt;&gt;"",INDEX(DataOB[],FirstRow+ROW()-7,MATCH(T$6,DataOB[#Headers],0)),"")</f>
        <v>0</v>
      </c>
      <c r="U145" s="67">
        <f>IF($B145&lt;&gt;"",INDEX(DataOB[],FirstRow+ROW()-7,MATCH(U$6,DataOB[#Headers],0)),"")</f>
        <v>0</v>
      </c>
      <c r="V145" s="67">
        <f>IF($B145&lt;&gt;"",INDEX(DataOB[],FirstRow+ROW()-7,MATCH(V$6,DataOB[#Headers],0)),"")</f>
        <v>0</v>
      </c>
      <c r="W145" s="67">
        <f>IF($B145&lt;&gt;"",INDEX(DataOB[],FirstRow+ROW()-7,MATCH(W$6,DataOB[#Headers],0)),"")</f>
        <v>0</v>
      </c>
      <c r="X145" s="67">
        <f>IF($B145&lt;&gt;"",INDEX(DataOB[],FirstRow+ROW()-7,MATCH(X$6,DataOB[#Headers],0)),"")</f>
        <v>0</v>
      </c>
      <c r="Y145" s="67">
        <f>IF($B145&lt;&gt;"",INDEX(DataOB[],FirstRow+ROW()-7,MATCH(Y$6,DataOB[#Headers],0)),"")</f>
        <v>0</v>
      </c>
      <c r="Z145" s="67">
        <f>IF($B145&lt;&gt;"",INDEX(DataOB[],FirstRow+ROW()-7,MATCH(Z$6,DataOB[#Headers],0)),"")</f>
        <v>0</v>
      </c>
      <c r="AA145" s="67">
        <f>IF($B145&lt;&gt;"",INDEX(DataOB[],FirstRow+ROW()-7,MATCH(AA$6,DataOB[#Headers],0)),"")</f>
        <v>0</v>
      </c>
      <c r="AB145" s="67">
        <f>IF($B145&lt;&gt;"",INDEX(DataOB[],FirstRow+ROW()-7,MATCH(AB$6,DataOB[#Headers],0)),"")</f>
        <v>0</v>
      </c>
      <c r="AC145" s="67">
        <f>IF($B145&lt;&gt;"",INDEX(DataOB[],FirstRow+ROW()-7,MATCH(AC$6,DataOB[#Headers],0)),"")</f>
        <v>0</v>
      </c>
      <c r="AD145" s="67">
        <f>IF($B145&lt;&gt;"",INDEX(DataOB[],FirstRow+ROW()-7,MATCH(AD$6,DataOB[#Headers],0)),"")</f>
        <v>0</v>
      </c>
      <c r="AE145" s="67">
        <f>IF($B145&lt;&gt;"",INDEX(DataOB[],FirstRow+ROW()-7,MATCH(AE$6,DataOB[#Headers],0)),"")</f>
        <v>25</v>
      </c>
      <c r="AF145" s="26">
        <f t="shared" si="32"/>
        <v>25</v>
      </c>
      <c r="AG145" s="31">
        <f>SUM($T145:T145)</f>
        <v>0</v>
      </c>
      <c r="AH145" s="31">
        <f>SUM($T145:U145)</f>
        <v>0</v>
      </c>
      <c r="AI145" s="31">
        <f>SUM($T145:V145)</f>
        <v>0</v>
      </c>
      <c r="AJ145" s="31">
        <f>SUM($T145:W145)</f>
        <v>0</v>
      </c>
      <c r="AK145" s="31">
        <f>SUM($T145:X145)</f>
        <v>0</v>
      </c>
      <c r="AL145" s="31">
        <f>SUM($T145:Y145)</f>
        <v>0</v>
      </c>
      <c r="AM145" s="31">
        <f>SUM($T145:Z145)</f>
        <v>0</v>
      </c>
      <c r="AN145" s="31">
        <f>SUM($T145:AA145)</f>
        <v>0</v>
      </c>
      <c r="AO145" s="31">
        <f>SUM($T145:AB145)</f>
        <v>0</v>
      </c>
      <c r="AP145" s="31">
        <f>SUM($T145:AC145)</f>
        <v>0</v>
      </c>
      <c r="AQ145" s="31">
        <f>SUM($T145:AD145)</f>
        <v>0</v>
      </c>
      <c r="AR145" s="31">
        <f>SUM($T145:AE145)</f>
        <v>25</v>
      </c>
      <c r="AS145" s="27">
        <f t="shared" si="33"/>
        <v>0</v>
      </c>
    </row>
    <row r="146" spans="2:45">
      <c r="B146" s="156">
        <f>IF(ROW()-6&gt;NumCostCenter,"",IF(CostCenter&lt;&gt;"ALL",CostCenter,DATA_LF2!B144))</f>
        <v>8311</v>
      </c>
      <c r="C146" s="153">
        <f>IF($B146&lt;&gt;"",INDEX(DataOB[],FirstRow+ROW()-7,2),"")</f>
        <v>8311</v>
      </c>
      <c r="D146" s="157" t="str">
        <f>IF($B146&lt;&gt;"",INDEX(DataOB[],FirstRow+ROW()-7,3),"")</f>
        <v>OT00157</v>
      </c>
      <c r="E146" s="158">
        <f>IF($B146&lt;&gt;"",INDEX(DataOB[],FirstRow+ROW()-7,6),"")</f>
        <v>0</v>
      </c>
      <c r="F146" s="158" t="str">
        <f>IF($B146&lt;&gt;"",INDEX(DataOB[],FirstRow+ROW()-7,5),"")</f>
        <v>Smart Gentan-I visualize &amp; Smart management maintenance visualize</v>
      </c>
      <c r="G146" s="58">
        <f>IF($B146&lt;&gt;"",SUMIFS(DataAct_tbl[AMOUNT],DataAct_tbl[BG CODE],Detail!$D146,DataAct_tbl[MONTH],LEFT(MonthName,3),DataAct_tbl[Dept code],$B146),0)</f>
        <v>0</v>
      </c>
      <c r="H146" s="31">
        <f t="shared" si="25"/>
        <v>0</v>
      </c>
      <c r="I146" s="28">
        <f t="shared" si="26"/>
        <v>0</v>
      </c>
      <c r="J146" s="32" t="str">
        <f t="shared" si="27"/>
        <v xml:space="preserve"> </v>
      </c>
      <c r="K146" s="86"/>
      <c r="L146" s="62">
        <f>IF($B146&lt;&gt;"",SUMIFS(DataAct_tbl[AMOUNT],DataAct_tbl[BG CODE],Detail!$D146,DataAct_tbl[Check Range],"=true",DataAct_tbl[Dept code],$B146),0)</f>
        <v>101.71763</v>
      </c>
      <c r="M146" s="63">
        <f>INDEX($AG$7:$AR$1005,ROW()-6,MATCH(MTD,$AG$6:$AR$6,0))</f>
        <v>101.71763</v>
      </c>
      <c r="N146" s="34">
        <f t="shared" si="28"/>
        <v>0</v>
      </c>
      <c r="O146" s="64">
        <f t="shared" si="29"/>
        <v>1</v>
      </c>
      <c r="Q146" s="97">
        <f t="shared" si="30"/>
        <v>207.58205799999999</v>
      </c>
      <c r="R146" s="96">
        <f t="shared" si="31"/>
        <v>105.86442799999999</v>
      </c>
      <c r="T146" s="67">
        <f>IF($B146&lt;&gt;"",INDEX(DataOB[],FirstRow+ROW()-7,MATCH(T$6,DataOB[#Headers],0)),"")</f>
        <v>19.539580000000001</v>
      </c>
      <c r="U146" s="67">
        <f>IF($B146&lt;&gt;"",INDEX(DataOB[],FirstRow+ROW()-7,MATCH(U$6,DataOB[#Headers],0)),"")</f>
        <v>0</v>
      </c>
      <c r="V146" s="67">
        <f>IF($B146&lt;&gt;"",INDEX(DataOB[],FirstRow+ROW()-7,MATCH(V$6,DataOB[#Headers],0)),"")</f>
        <v>0</v>
      </c>
      <c r="W146" s="67">
        <f>IF($B146&lt;&gt;"",INDEX(DataOB[],FirstRow+ROW()-7,MATCH(W$6,DataOB[#Headers],0)),"")</f>
        <v>0</v>
      </c>
      <c r="X146" s="67">
        <f>IF($B146&lt;&gt;"",INDEX(DataOB[],FirstRow+ROW()-7,MATCH(X$6,DataOB[#Headers],0)),"")</f>
        <v>81.383570000000006</v>
      </c>
      <c r="Y146" s="67">
        <f>IF($B146&lt;&gt;"",INDEX(DataOB[],FirstRow+ROW()-7,MATCH(Y$6,DataOB[#Headers],0)),"")</f>
        <v>0.79447999999999996</v>
      </c>
      <c r="Z146" s="67">
        <f>IF($B146&lt;&gt;"",INDEX(DataOB[],FirstRow+ROW()-7,MATCH(Z$6,DataOB[#Headers],0)),"")</f>
        <v>0</v>
      </c>
      <c r="AA146" s="67">
        <f>IF($B146&lt;&gt;"",INDEX(DataOB[],FirstRow+ROW()-7,MATCH(AA$6,DataOB[#Headers],0)),"")</f>
        <v>42.216315999999999</v>
      </c>
      <c r="AB146" s="67">
        <f>IF($B146&lt;&gt;"",INDEX(DataOB[],FirstRow+ROW()-7,MATCH(AB$6,DataOB[#Headers],0)),"")</f>
        <v>0</v>
      </c>
      <c r="AC146" s="67">
        <f>IF($B146&lt;&gt;"",INDEX(DataOB[],FirstRow+ROW()-7,MATCH(AC$6,DataOB[#Headers],0)),"")</f>
        <v>0</v>
      </c>
      <c r="AD146" s="67">
        <f>IF($B146&lt;&gt;"",INDEX(DataOB[],FirstRow+ROW()-7,MATCH(AD$6,DataOB[#Headers],0)),"")</f>
        <v>0</v>
      </c>
      <c r="AE146" s="67">
        <f>IF($B146&lt;&gt;"",INDEX(DataOB[],FirstRow+ROW()-7,MATCH(AE$6,DataOB[#Headers],0)),"")</f>
        <v>63.648111999999998</v>
      </c>
      <c r="AF146" s="26">
        <f t="shared" si="32"/>
        <v>207.58205799999999</v>
      </c>
      <c r="AG146" s="31">
        <f>SUM($T146:T146)</f>
        <v>19.539580000000001</v>
      </c>
      <c r="AH146" s="31">
        <f>SUM($T146:U146)</f>
        <v>19.539580000000001</v>
      </c>
      <c r="AI146" s="31">
        <f>SUM($T146:V146)</f>
        <v>19.539580000000001</v>
      </c>
      <c r="AJ146" s="31">
        <f>SUM($T146:W146)</f>
        <v>19.539580000000001</v>
      </c>
      <c r="AK146" s="31">
        <f>SUM($T146:X146)</f>
        <v>100.92315000000001</v>
      </c>
      <c r="AL146" s="31">
        <f>SUM($T146:Y146)</f>
        <v>101.71763</v>
      </c>
      <c r="AM146" s="31">
        <f>SUM($T146:Z146)</f>
        <v>101.71763</v>
      </c>
      <c r="AN146" s="31">
        <f>SUM($T146:AA146)</f>
        <v>143.93394599999999</v>
      </c>
      <c r="AO146" s="31">
        <f>SUM($T146:AB146)</f>
        <v>143.93394599999999</v>
      </c>
      <c r="AP146" s="31">
        <f>SUM($T146:AC146)</f>
        <v>143.93394599999999</v>
      </c>
      <c r="AQ146" s="31">
        <f>SUM($T146:AD146)</f>
        <v>143.93394599999999</v>
      </c>
      <c r="AR146" s="31">
        <f>SUM($T146:AE146)</f>
        <v>207.58205799999999</v>
      </c>
      <c r="AS146" s="27">
        <f t="shared" si="33"/>
        <v>0</v>
      </c>
    </row>
    <row r="147" spans="2:45">
      <c r="B147" s="156">
        <f>IF(ROW()-6&gt;NumCostCenter,"",IF(CostCenter&lt;&gt;"ALL",CostCenter,DATA_LF2!B145))</f>
        <v>8311</v>
      </c>
      <c r="C147" s="153">
        <f>IF($B147&lt;&gt;"",INDEX(DataOB[],FirstRow+ROW()-7,2),"")</f>
        <v>8311</v>
      </c>
      <c r="D147" s="157" t="str">
        <f>IF($B147&lt;&gt;"",INDEX(DataOB[],FirstRow+ROW()-7,3),"")</f>
        <v>TBD</v>
      </c>
      <c r="E147" s="158">
        <f>IF($B147&lt;&gt;"",INDEX(DataOB[],FirstRow+ROW()-7,6),"")</f>
        <v>0</v>
      </c>
      <c r="F147" s="158" t="str">
        <f>IF($B147&lt;&gt;"",INDEX(DataOB[],FirstRow+ROW()-7,5),"")</f>
        <v>Ovehaul Mixer of BB#1 ( over sea )</v>
      </c>
      <c r="G147" s="58">
        <f>IF($B147&lt;&gt;"",SUMIFS(DataAct_tbl[AMOUNT],DataAct_tbl[BG CODE],Detail!$D147,DataAct_tbl[MONTH],LEFT(MonthName,3),DataAct_tbl[Dept code],$B147),0)</f>
        <v>0</v>
      </c>
      <c r="H147" s="31">
        <f t="shared" si="25"/>
        <v>0</v>
      </c>
      <c r="I147" s="28">
        <f t="shared" si="26"/>
        <v>0</v>
      </c>
      <c r="J147" s="32" t="str">
        <f t="shared" si="27"/>
        <v xml:space="preserve"> </v>
      </c>
      <c r="K147" s="86"/>
      <c r="L147" s="62">
        <f>IF($B147&lt;&gt;"",SUMIFS(DataAct_tbl[AMOUNT],DataAct_tbl[BG CODE],Detail!$D147,DataAct_tbl[Check Range],"=true",DataAct_tbl[Dept code],$B147),0)</f>
        <v>0</v>
      </c>
      <c r="M147" s="63">
        <f>INDEX($AG$7:$AR$1005,ROW()-6,MATCH(MTD,$AG$6:$AR$6,0))</f>
        <v>0</v>
      </c>
      <c r="N147" s="34">
        <f t="shared" si="28"/>
        <v>0</v>
      </c>
      <c r="O147" s="64" t="str">
        <f t="shared" si="29"/>
        <v xml:space="preserve"> </v>
      </c>
      <c r="Q147" s="97">
        <f t="shared" si="30"/>
        <v>140</v>
      </c>
      <c r="R147" s="96">
        <f t="shared" si="31"/>
        <v>140</v>
      </c>
      <c r="T147" s="67">
        <f>IF($B147&lt;&gt;"",INDEX(DataOB[],FirstRow+ROW()-7,MATCH(T$6,DataOB[#Headers],0)),"")</f>
        <v>0</v>
      </c>
      <c r="U147" s="67">
        <f>IF($B147&lt;&gt;"",INDEX(DataOB[],FirstRow+ROW()-7,MATCH(U$6,DataOB[#Headers],0)),"")</f>
        <v>0</v>
      </c>
      <c r="V147" s="67">
        <f>IF($B147&lt;&gt;"",INDEX(DataOB[],FirstRow+ROW()-7,MATCH(V$6,DataOB[#Headers],0)),"")</f>
        <v>0</v>
      </c>
      <c r="W147" s="67">
        <f>IF($B147&lt;&gt;"",INDEX(DataOB[],FirstRow+ROW()-7,MATCH(W$6,DataOB[#Headers],0)),"")</f>
        <v>0</v>
      </c>
      <c r="X147" s="67">
        <f>IF($B147&lt;&gt;"",INDEX(DataOB[],FirstRow+ROW()-7,MATCH(X$6,DataOB[#Headers],0)),"")</f>
        <v>0</v>
      </c>
      <c r="Y147" s="67">
        <f>IF($B147&lt;&gt;"",INDEX(DataOB[],FirstRow+ROW()-7,MATCH(Y$6,DataOB[#Headers],0)),"")</f>
        <v>0</v>
      </c>
      <c r="Z147" s="67">
        <f>IF($B147&lt;&gt;"",INDEX(DataOB[],FirstRow+ROW()-7,MATCH(Z$6,DataOB[#Headers],0)),"")</f>
        <v>0</v>
      </c>
      <c r="AA147" s="67">
        <f>IF($B147&lt;&gt;"",INDEX(DataOB[],FirstRow+ROW()-7,MATCH(AA$6,DataOB[#Headers],0)),"")</f>
        <v>0</v>
      </c>
      <c r="AB147" s="67">
        <f>IF($B147&lt;&gt;"",INDEX(DataOB[],FirstRow+ROW()-7,MATCH(AB$6,DataOB[#Headers],0)),"")</f>
        <v>0</v>
      </c>
      <c r="AC147" s="67">
        <f>IF($B147&lt;&gt;"",INDEX(DataOB[],FirstRow+ROW()-7,MATCH(AC$6,DataOB[#Headers],0)),"")</f>
        <v>0</v>
      </c>
      <c r="AD147" s="67">
        <f>IF($B147&lt;&gt;"",INDEX(DataOB[],FirstRow+ROW()-7,MATCH(AD$6,DataOB[#Headers],0)),"")</f>
        <v>0</v>
      </c>
      <c r="AE147" s="67">
        <f>IF($B147&lt;&gt;"",INDEX(DataOB[],FirstRow+ROW()-7,MATCH(AE$6,DataOB[#Headers],0)),"")</f>
        <v>140</v>
      </c>
      <c r="AF147" s="26">
        <f t="shared" si="32"/>
        <v>140</v>
      </c>
      <c r="AG147" s="31">
        <f>SUM($T147:T147)</f>
        <v>0</v>
      </c>
      <c r="AH147" s="31">
        <f>SUM($T147:U147)</f>
        <v>0</v>
      </c>
      <c r="AI147" s="31">
        <f>SUM($T147:V147)</f>
        <v>0</v>
      </c>
      <c r="AJ147" s="31">
        <f>SUM($T147:W147)</f>
        <v>0</v>
      </c>
      <c r="AK147" s="31">
        <f>SUM($T147:X147)</f>
        <v>0</v>
      </c>
      <c r="AL147" s="31">
        <f>SUM($T147:Y147)</f>
        <v>0</v>
      </c>
      <c r="AM147" s="31">
        <f>SUM($T147:Z147)</f>
        <v>0</v>
      </c>
      <c r="AN147" s="31">
        <f>SUM($T147:AA147)</f>
        <v>0</v>
      </c>
      <c r="AO147" s="31">
        <f>SUM($T147:AB147)</f>
        <v>0</v>
      </c>
      <c r="AP147" s="31">
        <f>SUM($T147:AC147)</f>
        <v>0</v>
      </c>
      <c r="AQ147" s="31">
        <f>SUM($T147:AD147)</f>
        <v>0</v>
      </c>
      <c r="AR147" s="31">
        <f>SUM($T147:AE147)</f>
        <v>140</v>
      </c>
      <c r="AS147" s="27">
        <f t="shared" si="33"/>
        <v>0</v>
      </c>
    </row>
    <row r="148" spans="2:45">
      <c r="B148" s="156">
        <f>IF(ROW()-6&gt;NumCostCenter,"",IF(CostCenter&lt;&gt;"ALL",CostCenter,DATA_LF2!B146))</f>
        <v>8311</v>
      </c>
      <c r="C148" s="153">
        <f>IF($B148&lt;&gt;"",INDEX(DataOB[],FirstRow+ROW()-7,2),"")</f>
        <v>8311</v>
      </c>
      <c r="D148" s="157" t="str">
        <f>IF($B148&lt;&gt;"",INDEX(DataOB[],FirstRow+ROW()-7,3),"")</f>
        <v>TBD</v>
      </c>
      <c r="E148" s="158">
        <f>IF($B148&lt;&gt;"",INDEX(DataOB[],FirstRow+ROW()-7,6),"")</f>
        <v>0</v>
      </c>
      <c r="F148" s="158" t="str">
        <f>IF($B148&lt;&gt;"",INDEX(DataOB[],FirstRow+ROW()-7,5),"")</f>
        <v>Grease detection sensor for BB#1,#2,#4, Tex-cal, Extruding</v>
      </c>
      <c r="G148" s="58">
        <f>IF($B148&lt;&gt;"",SUMIFS(DataAct_tbl[AMOUNT],DataAct_tbl[BG CODE],Detail!$D148,DataAct_tbl[MONTH],LEFT(MonthName,3),DataAct_tbl[Dept code],$B148),0)</f>
        <v>0</v>
      </c>
      <c r="H148" s="31">
        <f t="shared" si="25"/>
        <v>0</v>
      </c>
      <c r="I148" s="28">
        <f t="shared" si="26"/>
        <v>0</v>
      </c>
      <c r="J148" s="32" t="str">
        <f t="shared" si="27"/>
        <v xml:space="preserve"> </v>
      </c>
      <c r="K148" s="86"/>
      <c r="L148" s="62">
        <f>IF($B148&lt;&gt;"",SUMIFS(DataAct_tbl[AMOUNT],DataAct_tbl[BG CODE],Detail!$D148,DataAct_tbl[Check Range],"=true",DataAct_tbl[Dept code],$B148),0)</f>
        <v>0</v>
      </c>
      <c r="M148" s="63">
        <f>INDEX($AG$7:$AR$1005,ROW()-6,MATCH(MTD,$AG$6:$AR$6,0))</f>
        <v>0</v>
      </c>
      <c r="N148" s="34">
        <f t="shared" si="28"/>
        <v>0</v>
      </c>
      <c r="O148" s="64" t="str">
        <f t="shared" si="29"/>
        <v xml:space="preserve"> </v>
      </c>
      <c r="Q148" s="97">
        <f t="shared" si="30"/>
        <v>15.75</v>
      </c>
      <c r="R148" s="96">
        <f t="shared" si="31"/>
        <v>15.75</v>
      </c>
      <c r="T148" s="67">
        <f>IF($B148&lt;&gt;"",INDEX(DataOB[],FirstRow+ROW()-7,MATCH(T$6,DataOB[#Headers],0)),"")</f>
        <v>0</v>
      </c>
      <c r="U148" s="67">
        <f>IF($B148&lt;&gt;"",INDEX(DataOB[],FirstRow+ROW()-7,MATCH(U$6,DataOB[#Headers],0)),"")</f>
        <v>0</v>
      </c>
      <c r="V148" s="67">
        <f>IF($B148&lt;&gt;"",INDEX(DataOB[],FirstRow+ROW()-7,MATCH(V$6,DataOB[#Headers],0)),"")</f>
        <v>0</v>
      </c>
      <c r="W148" s="67">
        <f>IF($B148&lt;&gt;"",INDEX(DataOB[],FirstRow+ROW()-7,MATCH(W$6,DataOB[#Headers],0)),"")</f>
        <v>0</v>
      </c>
      <c r="X148" s="67">
        <f>IF($B148&lt;&gt;"",INDEX(DataOB[],FirstRow+ROW()-7,MATCH(X$6,DataOB[#Headers],0)),"")</f>
        <v>0</v>
      </c>
      <c r="Y148" s="67">
        <f>IF($B148&lt;&gt;"",INDEX(DataOB[],FirstRow+ROW()-7,MATCH(Y$6,DataOB[#Headers],0)),"")</f>
        <v>0</v>
      </c>
      <c r="Z148" s="67">
        <f>IF($B148&lt;&gt;"",INDEX(DataOB[],FirstRow+ROW()-7,MATCH(Z$6,DataOB[#Headers],0)),"")</f>
        <v>0</v>
      </c>
      <c r="AA148" s="67">
        <f>IF($B148&lt;&gt;"",INDEX(DataOB[],FirstRow+ROW()-7,MATCH(AA$6,DataOB[#Headers],0)),"")</f>
        <v>0</v>
      </c>
      <c r="AB148" s="67">
        <f>IF($B148&lt;&gt;"",INDEX(DataOB[],FirstRow+ROW()-7,MATCH(AB$6,DataOB[#Headers],0)),"")</f>
        <v>15.75</v>
      </c>
      <c r="AC148" s="67">
        <f>IF($B148&lt;&gt;"",INDEX(DataOB[],FirstRow+ROW()-7,MATCH(AC$6,DataOB[#Headers],0)),"")</f>
        <v>0</v>
      </c>
      <c r="AD148" s="67">
        <f>IF($B148&lt;&gt;"",INDEX(DataOB[],FirstRow+ROW()-7,MATCH(AD$6,DataOB[#Headers],0)),"")</f>
        <v>0</v>
      </c>
      <c r="AE148" s="67">
        <f>IF($B148&lt;&gt;"",INDEX(DataOB[],FirstRow+ROW()-7,MATCH(AE$6,DataOB[#Headers],0)),"")</f>
        <v>0</v>
      </c>
      <c r="AF148" s="26">
        <f t="shared" si="32"/>
        <v>15.75</v>
      </c>
      <c r="AG148" s="31">
        <f>SUM($T148:T148)</f>
        <v>0</v>
      </c>
      <c r="AH148" s="31">
        <f>SUM($T148:U148)</f>
        <v>0</v>
      </c>
      <c r="AI148" s="31">
        <f>SUM($T148:V148)</f>
        <v>0</v>
      </c>
      <c r="AJ148" s="31">
        <f>SUM($T148:W148)</f>
        <v>0</v>
      </c>
      <c r="AK148" s="31">
        <f>SUM($T148:X148)</f>
        <v>0</v>
      </c>
      <c r="AL148" s="31">
        <f>SUM($T148:Y148)</f>
        <v>0</v>
      </c>
      <c r="AM148" s="31">
        <f>SUM($T148:Z148)</f>
        <v>0</v>
      </c>
      <c r="AN148" s="31">
        <f>SUM($T148:AA148)</f>
        <v>0</v>
      </c>
      <c r="AO148" s="31">
        <f>SUM($T148:AB148)</f>
        <v>15.75</v>
      </c>
      <c r="AP148" s="31">
        <f>SUM($T148:AC148)</f>
        <v>15.75</v>
      </c>
      <c r="AQ148" s="31">
        <f>SUM($T148:AD148)</f>
        <v>15.75</v>
      </c>
      <c r="AR148" s="31">
        <f>SUM($T148:AE148)</f>
        <v>15.75</v>
      </c>
      <c r="AS148" s="27">
        <f t="shared" si="33"/>
        <v>0</v>
      </c>
    </row>
    <row r="149" spans="2:45">
      <c r="B149" s="156">
        <f>IF(ROW()-6&gt;NumCostCenter,"",IF(CostCenter&lt;&gt;"ALL",CostCenter,DATA_LF2!B147))</f>
        <v>8311</v>
      </c>
      <c r="C149" s="153">
        <f>IF($B149&lt;&gt;"",INDEX(DataOB[],FirstRow+ROW()-7,2),"")</f>
        <v>8311</v>
      </c>
      <c r="D149" s="157" t="str">
        <f>IF($B149&lt;&gt;"",INDEX(DataOB[],FirstRow+ROW()-7,3),"")</f>
        <v>TBD</v>
      </c>
      <c r="E149" s="158">
        <f>IF($B149&lt;&gt;"",INDEX(DataOB[],FirstRow+ROW()-7,6),"")</f>
        <v>0</v>
      </c>
      <c r="F149" s="158" t="str">
        <f>IF($B149&lt;&gt;"",INDEX(DataOB[],FirstRow+ROW()-7,5),"")</f>
        <v>Oil flow detection for Tex-cal, Cutting, Extruding</v>
      </c>
      <c r="G149" s="58">
        <f>IF($B149&lt;&gt;"",SUMIFS(DataAct_tbl[AMOUNT],DataAct_tbl[BG CODE],Detail!$D149,DataAct_tbl[MONTH],LEFT(MonthName,3),DataAct_tbl[Dept code],$B149),0)</f>
        <v>0</v>
      </c>
      <c r="H149" s="31">
        <f t="shared" si="25"/>
        <v>0</v>
      </c>
      <c r="I149" s="28">
        <f t="shared" si="26"/>
        <v>0</v>
      </c>
      <c r="J149" s="32" t="str">
        <f t="shared" si="27"/>
        <v xml:space="preserve"> </v>
      </c>
      <c r="K149" s="86"/>
      <c r="L149" s="62">
        <f>IF($B149&lt;&gt;"",SUMIFS(DataAct_tbl[AMOUNT],DataAct_tbl[BG CODE],Detail!$D149,DataAct_tbl[Check Range],"=true",DataAct_tbl[Dept code],$B149),0)</f>
        <v>0</v>
      </c>
      <c r="M149" s="63">
        <f>INDEX($AG$7:$AR$1005,ROW()-6,MATCH(MTD,$AG$6:$AR$6,0))</f>
        <v>0</v>
      </c>
      <c r="N149" s="34">
        <f t="shared" si="28"/>
        <v>0</v>
      </c>
      <c r="O149" s="64" t="str">
        <f t="shared" si="29"/>
        <v xml:space="preserve"> </v>
      </c>
      <c r="Q149" s="97">
        <f t="shared" si="30"/>
        <v>21.6</v>
      </c>
      <c r="R149" s="96">
        <f t="shared" si="31"/>
        <v>21.6</v>
      </c>
      <c r="T149" s="67">
        <f>IF($B149&lt;&gt;"",INDEX(DataOB[],FirstRow+ROW()-7,MATCH(T$6,DataOB[#Headers],0)),"")</f>
        <v>0</v>
      </c>
      <c r="U149" s="67">
        <f>IF($B149&lt;&gt;"",INDEX(DataOB[],FirstRow+ROW()-7,MATCH(U$6,DataOB[#Headers],0)),"")</f>
        <v>0</v>
      </c>
      <c r="V149" s="67">
        <f>IF($B149&lt;&gt;"",INDEX(DataOB[],FirstRow+ROW()-7,MATCH(V$6,DataOB[#Headers],0)),"")</f>
        <v>0</v>
      </c>
      <c r="W149" s="67">
        <f>IF($B149&lt;&gt;"",INDEX(DataOB[],FirstRow+ROW()-7,MATCH(W$6,DataOB[#Headers],0)),"")</f>
        <v>0</v>
      </c>
      <c r="X149" s="67">
        <f>IF($B149&lt;&gt;"",INDEX(DataOB[],FirstRow+ROW()-7,MATCH(X$6,DataOB[#Headers],0)),"")</f>
        <v>0</v>
      </c>
      <c r="Y149" s="67">
        <f>IF($B149&lt;&gt;"",INDEX(DataOB[],FirstRow+ROW()-7,MATCH(Y$6,DataOB[#Headers],0)),"")</f>
        <v>0</v>
      </c>
      <c r="Z149" s="67">
        <f>IF($B149&lt;&gt;"",INDEX(DataOB[],FirstRow+ROW()-7,MATCH(Z$6,DataOB[#Headers],0)),"")</f>
        <v>0</v>
      </c>
      <c r="AA149" s="67">
        <f>IF($B149&lt;&gt;"",INDEX(DataOB[],FirstRow+ROW()-7,MATCH(AA$6,DataOB[#Headers],0)),"")</f>
        <v>0</v>
      </c>
      <c r="AB149" s="67">
        <f>IF($B149&lt;&gt;"",INDEX(DataOB[],FirstRow+ROW()-7,MATCH(AB$6,DataOB[#Headers],0)),"")</f>
        <v>21.6</v>
      </c>
      <c r="AC149" s="67">
        <f>IF($B149&lt;&gt;"",INDEX(DataOB[],FirstRow+ROW()-7,MATCH(AC$6,DataOB[#Headers],0)),"")</f>
        <v>0</v>
      </c>
      <c r="AD149" s="67">
        <f>IF($B149&lt;&gt;"",INDEX(DataOB[],FirstRow+ROW()-7,MATCH(AD$6,DataOB[#Headers],0)),"")</f>
        <v>0</v>
      </c>
      <c r="AE149" s="67">
        <f>IF($B149&lt;&gt;"",INDEX(DataOB[],FirstRow+ROW()-7,MATCH(AE$6,DataOB[#Headers],0)),"")</f>
        <v>0</v>
      </c>
      <c r="AF149" s="26">
        <f t="shared" si="32"/>
        <v>21.6</v>
      </c>
      <c r="AG149" s="31">
        <f>SUM($T149:T149)</f>
        <v>0</v>
      </c>
      <c r="AH149" s="31">
        <f>SUM($T149:U149)</f>
        <v>0</v>
      </c>
      <c r="AI149" s="31">
        <f>SUM($T149:V149)</f>
        <v>0</v>
      </c>
      <c r="AJ149" s="31">
        <f>SUM($T149:W149)</f>
        <v>0</v>
      </c>
      <c r="AK149" s="31">
        <f>SUM($T149:X149)</f>
        <v>0</v>
      </c>
      <c r="AL149" s="31">
        <f>SUM($T149:Y149)</f>
        <v>0</v>
      </c>
      <c r="AM149" s="31">
        <f>SUM($T149:Z149)</f>
        <v>0</v>
      </c>
      <c r="AN149" s="31">
        <f>SUM($T149:AA149)</f>
        <v>0</v>
      </c>
      <c r="AO149" s="31">
        <f>SUM($T149:AB149)</f>
        <v>21.6</v>
      </c>
      <c r="AP149" s="31">
        <f>SUM($T149:AC149)</f>
        <v>21.6</v>
      </c>
      <c r="AQ149" s="31">
        <f>SUM($T149:AD149)</f>
        <v>21.6</v>
      </c>
      <c r="AR149" s="31">
        <f>SUM($T149:AE149)</f>
        <v>21.6</v>
      </c>
      <c r="AS149" s="27">
        <f t="shared" si="33"/>
        <v>0</v>
      </c>
    </row>
    <row r="150" spans="2:45">
      <c r="B150" s="156">
        <f>IF(ROW()-6&gt;NumCostCenter,"",IF(CostCenter&lt;&gt;"ALL",CostCenter,DATA_LF2!B148))</f>
        <v>8311</v>
      </c>
      <c r="C150" s="153">
        <f>IF($B150&lt;&gt;"",INDEX(DataOB[],FirstRow+ROW()-7,2),"")</f>
        <v>8311</v>
      </c>
      <c r="D150" s="157" t="str">
        <f>IF($B150&lt;&gt;"",INDEX(DataOB[],FirstRow+ROW()-7,3),"")</f>
        <v>TBD</v>
      </c>
      <c r="E150" s="158">
        <f>IF($B150&lt;&gt;"",INDEX(DataOB[],FirstRow+ROW()-7,6),"")</f>
        <v>0</v>
      </c>
      <c r="F150" s="158" t="str">
        <f>IF($B150&lt;&gt;"",INDEX(DataOB[],FirstRow+ROW()-7,5),"")</f>
        <v>T-die of Poly sheet for spare</v>
      </c>
      <c r="G150" s="58">
        <f>IF($B150&lt;&gt;"",SUMIFS(DataAct_tbl[AMOUNT],DataAct_tbl[BG CODE],Detail!$D150,DataAct_tbl[MONTH],LEFT(MonthName,3),DataAct_tbl[Dept code],$B150),0)</f>
        <v>0</v>
      </c>
      <c r="H150" s="31">
        <f t="shared" si="25"/>
        <v>0</v>
      </c>
      <c r="I150" s="28">
        <f t="shared" si="26"/>
        <v>0</v>
      </c>
      <c r="J150" s="32" t="str">
        <f t="shared" si="27"/>
        <v xml:space="preserve"> </v>
      </c>
      <c r="K150" s="86"/>
      <c r="L150" s="62">
        <f>IF($B150&lt;&gt;"",SUMIFS(DataAct_tbl[AMOUNT],DataAct_tbl[BG CODE],Detail!$D150,DataAct_tbl[Check Range],"=true",DataAct_tbl[Dept code],$B150),0)</f>
        <v>0</v>
      </c>
      <c r="M150" s="63">
        <f>INDEX($AG$7:$AR$1005,ROW()-6,MATCH(MTD,$AG$6:$AR$6,0))</f>
        <v>0</v>
      </c>
      <c r="N150" s="34">
        <f t="shared" si="28"/>
        <v>0</v>
      </c>
      <c r="O150" s="64" t="str">
        <f t="shared" si="29"/>
        <v xml:space="preserve"> </v>
      </c>
      <c r="Q150" s="97">
        <f t="shared" si="30"/>
        <v>0</v>
      </c>
      <c r="R150" s="96">
        <f t="shared" si="31"/>
        <v>0</v>
      </c>
      <c r="T150" s="67">
        <f>IF($B150&lt;&gt;"",INDEX(DataOB[],FirstRow+ROW()-7,MATCH(T$6,DataOB[#Headers],0)),"")</f>
        <v>0</v>
      </c>
      <c r="U150" s="67">
        <f>IF($B150&lt;&gt;"",INDEX(DataOB[],FirstRow+ROW()-7,MATCH(U$6,DataOB[#Headers],0)),"")</f>
        <v>0</v>
      </c>
      <c r="V150" s="67">
        <f>IF($B150&lt;&gt;"",INDEX(DataOB[],FirstRow+ROW()-7,MATCH(V$6,DataOB[#Headers],0)),"")</f>
        <v>0</v>
      </c>
      <c r="W150" s="67">
        <f>IF($B150&lt;&gt;"",INDEX(DataOB[],FirstRow+ROW()-7,MATCH(W$6,DataOB[#Headers],0)),"")</f>
        <v>0</v>
      </c>
      <c r="X150" s="67">
        <f>IF($B150&lt;&gt;"",INDEX(DataOB[],FirstRow+ROW()-7,MATCH(X$6,DataOB[#Headers],0)),"")</f>
        <v>0</v>
      </c>
      <c r="Y150" s="67">
        <f>IF($B150&lt;&gt;"",INDEX(DataOB[],FirstRow+ROW()-7,MATCH(Y$6,DataOB[#Headers],0)),"")</f>
        <v>0</v>
      </c>
      <c r="Z150" s="67">
        <f>IF($B150&lt;&gt;"",INDEX(DataOB[],FirstRow+ROW()-7,MATCH(Z$6,DataOB[#Headers],0)),"")</f>
        <v>0</v>
      </c>
      <c r="AA150" s="67">
        <f>IF($B150&lt;&gt;"",INDEX(DataOB[],FirstRow+ROW()-7,MATCH(AA$6,DataOB[#Headers],0)),"")</f>
        <v>0</v>
      </c>
      <c r="AB150" s="67">
        <f>IF($B150&lt;&gt;"",INDEX(DataOB[],FirstRow+ROW()-7,MATCH(AB$6,DataOB[#Headers],0)),"")</f>
        <v>0</v>
      </c>
      <c r="AC150" s="67">
        <f>IF($B150&lt;&gt;"",INDEX(DataOB[],FirstRow+ROW()-7,MATCH(AC$6,DataOB[#Headers],0)),"")</f>
        <v>0</v>
      </c>
      <c r="AD150" s="67">
        <f>IF($B150&lt;&gt;"",INDEX(DataOB[],FirstRow+ROW()-7,MATCH(AD$6,DataOB[#Headers],0)),"")</f>
        <v>0</v>
      </c>
      <c r="AE150" s="67">
        <f>IF($B150&lt;&gt;"",INDEX(DataOB[],FirstRow+ROW()-7,MATCH(AE$6,DataOB[#Headers],0)),"")</f>
        <v>0</v>
      </c>
      <c r="AF150" s="26">
        <f t="shared" si="32"/>
        <v>0</v>
      </c>
      <c r="AG150" s="31">
        <f>SUM($T150:T150)</f>
        <v>0</v>
      </c>
      <c r="AH150" s="31">
        <f>SUM($T150:U150)</f>
        <v>0</v>
      </c>
      <c r="AI150" s="31">
        <f>SUM($T150:V150)</f>
        <v>0</v>
      </c>
      <c r="AJ150" s="31">
        <f>SUM($T150:W150)</f>
        <v>0</v>
      </c>
      <c r="AK150" s="31">
        <f>SUM($T150:X150)</f>
        <v>0</v>
      </c>
      <c r="AL150" s="31">
        <f>SUM($T150:Y150)</f>
        <v>0</v>
      </c>
      <c r="AM150" s="31">
        <f>SUM($T150:Z150)</f>
        <v>0</v>
      </c>
      <c r="AN150" s="31">
        <f>SUM($T150:AA150)</f>
        <v>0</v>
      </c>
      <c r="AO150" s="31">
        <f>SUM($T150:AB150)</f>
        <v>0</v>
      </c>
      <c r="AP150" s="31">
        <f>SUM($T150:AC150)</f>
        <v>0</v>
      </c>
      <c r="AQ150" s="31">
        <f>SUM($T150:AD150)</f>
        <v>0</v>
      </c>
      <c r="AR150" s="31">
        <f>SUM($T150:AE150)</f>
        <v>0</v>
      </c>
      <c r="AS150" s="27">
        <f t="shared" si="33"/>
        <v>0</v>
      </c>
    </row>
    <row r="151" spans="2:45">
      <c r="B151" s="156">
        <f>IF(ROW()-6&gt;NumCostCenter,"",IF(CostCenter&lt;&gt;"ALL",CostCenter,DATA_LF2!B149))</f>
        <v>8311</v>
      </c>
      <c r="C151" s="153">
        <f>IF($B151&lt;&gt;"",INDEX(DataOB[],FirstRow+ROW()-7,2),"")</f>
        <v>8311</v>
      </c>
      <c r="D151" s="157" t="str">
        <f>IF($B151&lt;&gt;"",INDEX(DataOB[],FirstRow+ROW()-7,3),"")</f>
        <v>TBD</v>
      </c>
      <c r="E151" s="158">
        <f>IF($B151&lt;&gt;"",INDEX(DataOB[],FirstRow+ROW()-7,6),"")</f>
        <v>0</v>
      </c>
      <c r="F151" s="158" t="str">
        <f>IF($B151&lt;&gt;"",INDEX(DataOB[],FirstRow+ROW()-7,5),"")</f>
        <v>Air conditioner for electric cabinet of Extruding, Cutting, MTR</v>
      </c>
      <c r="G151" s="58">
        <f>IF($B151&lt;&gt;"",SUMIFS(DataAct_tbl[AMOUNT],DataAct_tbl[BG CODE],Detail!$D151,DataAct_tbl[MONTH],LEFT(MonthName,3),DataAct_tbl[Dept code],$B151),0)</f>
        <v>0</v>
      </c>
      <c r="H151" s="31">
        <f t="shared" si="25"/>
        <v>0</v>
      </c>
      <c r="I151" s="28">
        <f t="shared" si="26"/>
        <v>0</v>
      </c>
      <c r="J151" s="32" t="str">
        <f t="shared" si="27"/>
        <v xml:space="preserve"> </v>
      </c>
      <c r="K151" s="86"/>
      <c r="L151" s="62">
        <f>IF($B151&lt;&gt;"",SUMIFS(DataAct_tbl[AMOUNT],DataAct_tbl[BG CODE],Detail!$D151,DataAct_tbl[Check Range],"=true",DataAct_tbl[Dept code],$B151),0)</f>
        <v>0</v>
      </c>
      <c r="M151" s="63">
        <f>INDEX($AG$7:$AR$1005,ROW()-6,MATCH(MTD,$AG$6:$AR$6,0))</f>
        <v>0</v>
      </c>
      <c r="N151" s="34">
        <f t="shared" si="28"/>
        <v>0</v>
      </c>
      <c r="O151" s="64" t="str">
        <f t="shared" si="29"/>
        <v xml:space="preserve"> </v>
      </c>
      <c r="Q151" s="97">
        <f t="shared" si="30"/>
        <v>40</v>
      </c>
      <c r="R151" s="96">
        <f t="shared" si="31"/>
        <v>40</v>
      </c>
      <c r="T151" s="67">
        <f>IF($B151&lt;&gt;"",INDEX(DataOB[],FirstRow+ROW()-7,MATCH(T$6,DataOB[#Headers],0)),"")</f>
        <v>0</v>
      </c>
      <c r="U151" s="67">
        <f>IF($B151&lt;&gt;"",INDEX(DataOB[],FirstRow+ROW()-7,MATCH(U$6,DataOB[#Headers],0)),"")</f>
        <v>0</v>
      </c>
      <c r="V151" s="67">
        <f>IF($B151&lt;&gt;"",INDEX(DataOB[],FirstRow+ROW()-7,MATCH(V$6,DataOB[#Headers],0)),"")</f>
        <v>0</v>
      </c>
      <c r="W151" s="67">
        <f>IF($B151&lt;&gt;"",INDEX(DataOB[],FirstRow+ROW()-7,MATCH(W$6,DataOB[#Headers],0)),"")</f>
        <v>0</v>
      </c>
      <c r="X151" s="67">
        <f>IF($B151&lt;&gt;"",INDEX(DataOB[],FirstRow+ROW()-7,MATCH(X$6,DataOB[#Headers],0)),"")</f>
        <v>0</v>
      </c>
      <c r="Y151" s="67">
        <f>IF($B151&lt;&gt;"",INDEX(DataOB[],FirstRow+ROW()-7,MATCH(Y$6,DataOB[#Headers],0)),"")</f>
        <v>0</v>
      </c>
      <c r="Z151" s="67">
        <f>IF($B151&lt;&gt;"",INDEX(DataOB[],FirstRow+ROW()-7,MATCH(Z$6,DataOB[#Headers],0)),"")</f>
        <v>0</v>
      </c>
      <c r="AA151" s="67">
        <f>IF($B151&lt;&gt;"",INDEX(DataOB[],FirstRow+ROW()-7,MATCH(AA$6,DataOB[#Headers],0)),"")</f>
        <v>0</v>
      </c>
      <c r="AB151" s="67">
        <f>IF($B151&lt;&gt;"",INDEX(DataOB[],FirstRow+ROW()-7,MATCH(AB$6,DataOB[#Headers],0)),"")</f>
        <v>0</v>
      </c>
      <c r="AC151" s="67">
        <f>IF($B151&lt;&gt;"",INDEX(DataOB[],FirstRow+ROW()-7,MATCH(AC$6,DataOB[#Headers],0)),"")</f>
        <v>40</v>
      </c>
      <c r="AD151" s="67">
        <f>IF($B151&lt;&gt;"",INDEX(DataOB[],FirstRow+ROW()-7,MATCH(AD$6,DataOB[#Headers],0)),"")</f>
        <v>0</v>
      </c>
      <c r="AE151" s="67">
        <f>IF($B151&lt;&gt;"",INDEX(DataOB[],FirstRow+ROW()-7,MATCH(AE$6,DataOB[#Headers],0)),"")</f>
        <v>0</v>
      </c>
      <c r="AF151" s="26">
        <f t="shared" si="32"/>
        <v>40</v>
      </c>
      <c r="AG151" s="31">
        <f>SUM($T151:T151)</f>
        <v>0</v>
      </c>
      <c r="AH151" s="31">
        <f>SUM($T151:U151)</f>
        <v>0</v>
      </c>
      <c r="AI151" s="31">
        <f>SUM($T151:V151)</f>
        <v>0</v>
      </c>
      <c r="AJ151" s="31">
        <f>SUM($T151:W151)</f>
        <v>0</v>
      </c>
      <c r="AK151" s="31">
        <f>SUM($T151:X151)</f>
        <v>0</v>
      </c>
      <c r="AL151" s="31">
        <f>SUM($T151:Y151)</f>
        <v>0</v>
      </c>
      <c r="AM151" s="31">
        <f>SUM($T151:Z151)</f>
        <v>0</v>
      </c>
      <c r="AN151" s="31">
        <f>SUM($T151:AA151)</f>
        <v>0</v>
      </c>
      <c r="AO151" s="31">
        <f>SUM($T151:AB151)</f>
        <v>0</v>
      </c>
      <c r="AP151" s="31">
        <f>SUM($T151:AC151)</f>
        <v>40</v>
      </c>
      <c r="AQ151" s="31">
        <f>SUM($T151:AD151)</f>
        <v>40</v>
      </c>
      <c r="AR151" s="31">
        <f>SUM($T151:AE151)</f>
        <v>40</v>
      </c>
      <c r="AS151" s="27">
        <f t="shared" si="33"/>
        <v>0</v>
      </c>
    </row>
    <row r="152" spans="2:45">
      <c r="B152" s="156">
        <f>IF(ROW()-6&gt;NumCostCenter,"",IF(CostCenter&lt;&gt;"ALL",CostCenter,DATA_LF2!B150))</f>
        <v>8311</v>
      </c>
      <c r="C152" s="153">
        <f>IF($B152&lt;&gt;"",INDEX(DataOB[],FirstRow+ROW()-7,2),"")</f>
        <v>8311</v>
      </c>
      <c r="D152" s="157" t="str">
        <f>IF($B152&lt;&gt;"",INDEX(DataOB[],FirstRow+ROW()-7,3),"")</f>
        <v>ME00064</v>
      </c>
      <c r="E152" s="158">
        <f>IF($B152&lt;&gt;"",INDEX(DataOB[],FirstRow+ROW()-7,6),"")</f>
        <v>0</v>
      </c>
      <c r="F152" s="158" t="str">
        <f>IF($B152&lt;&gt;"",INDEX(DataOB[],FirstRow+ROW()-7,5),"")</f>
        <v>Improve structure of BOF conveyor MIX#2-4-5 ( inox )</v>
      </c>
      <c r="G152" s="58">
        <f>IF($B152&lt;&gt;"",SUMIFS(DataAct_tbl[AMOUNT],DataAct_tbl[BG CODE],Detail!$D152,DataAct_tbl[MONTH],LEFT(MonthName,3),DataAct_tbl[Dept code],$B152),0)</f>
        <v>0</v>
      </c>
      <c r="H152" s="31">
        <f t="shared" si="25"/>
        <v>14.895300000000002</v>
      </c>
      <c r="I152" s="28">
        <f t="shared" si="26"/>
        <v>-14.895300000000002</v>
      </c>
      <c r="J152" s="32">
        <f t="shared" si="27"/>
        <v>0</v>
      </c>
      <c r="K152" s="86"/>
      <c r="L152" s="62">
        <f>IF($B152&lt;&gt;"",SUMIFS(DataAct_tbl[AMOUNT],DataAct_tbl[BG CODE],Detail!$D152,DataAct_tbl[Check Range],"=true",DataAct_tbl[Dept code],$B152),0)</f>
        <v>45.104700000000001</v>
      </c>
      <c r="M152" s="63">
        <f>INDEX($AG$7:$AR$1005,ROW()-6,MATCH(MTD,$AG$6:$AR$6,0))</f>
        <v>60</v>
      </c>
      <c r="N152" s="34">
        <f t="shared" si="28"/>
        <v>-14.895299999999999</v>
      </c>
      <c r="O152" s="64">
        <f t="shared" si="29"/>
        <v>0.751745</v>
      </c>
      <c r="Q152" s="97">
        <f t="shared" si="30"/>
        <v>60</v>
      </c>
      <c r="R152" s="96">
        <f t="shared" si="31"/>
        <v>14.895299999999999</v>
      </c>
      <c r="T152" s="67">
        <f>IF($B152&lt;&gt;"",INDEX(DataOB[],FirstRow+ROW()-7,MATCH(T$6,DataOB[#Headers],0)),"")</f>
        <v>0</v>
      </c>
      <c r="U152" s="67">
        <f>IF($B152&lt;&gt;"",INDEX(DataOB[],FirstRow+ROW()-7,MATCH(U$6,DataOB[#Headers],0)),"")</f>
        <v>0</v>
      </c>
      <c r="V152" s="67">
        <f>IF($B152&lt;&gt;"",INDEX(DataOB[],FirstRow+ROW()-7,MATCH(V$6,DataOB[#Headers],0)),"")</f>
        <v>0</v>
      </c>
      <c r="W152" s="67">
        <f>IF($B152&lt;&gt;"",INDEX(DataOB[],FirstRow+ROW()-7,MATCH(W$6,DataOB[#Headers],0)),"")</f>
        <v>0</v>
      </c>
      <c r="X152" s="67">
        <f>IF($B152&lt;&gt;"",INDEX(DataOB[],FirstRow+ROW()-7,MATCH(X$6,DataOB[#Headers],0)),"")</f>
        <v>22.851240000000001</v>
      </c>
      <c r="Y152" s="67">
        <f>IF($B152&lt;&gt;"",INDEX(DataOB[],FirstRow+ROW()-7,MATCH(Y$6,DataOB[#Headers],0)),"")</f>
        <v>22.25346</v>
      </c>
      <c r="Z152" s="67">
        <f>IF($B152&lt;&gt;"",INDEX(DataOB[],FirstRow+ROW()-7,MATCH(Z$6,DataOB[#Headers],0)),"")</f>
        <v>14.895300000000002</v>
      </c>
      <c r="AA152" s="67">
        <f>IF($B152&lt;&gt;"",INDEX(DataOB[],FirstRow+ROW()-7,MATCH(AA$6,DataOB[#Headers],0)),"")</f>
        <v>0</v>
      </c>
      <c r="AB152" s="67">
        <f>IF($B152&lt;&gt;"",INDEX(DataOB[],FirstRow+ROW()-7,MATCH(AB$6,DataOB[#Headers],0)),"")</f>
        <v>0</v>
      </c>
      <c r="AC152" s="67">
        <f>IF($B152&lt;&gt;"",INDEX(DataOB[],FirstRow+ROW()-7,MATCH(AC$6,DataOB[#Headers],0)),"")</f>
        <v>0</v>
      </c>
      <c r="AD152" s="67">
        <f>IF($B152&lt;&gt;"",INDEX(DataOB[],FirstRow+ROW()-7,MATCH(AD$6,DataOB[#Headers],0)),"")</f>
        <v>0</v>
      </c>
      <c r="AE152" s="67">
        <f>IF($B152&lt;&gt;"",INDEX(DataOB[],FirstRow+ROW()-7,MATCH(AE$6,DataOB[#Headers],0)),"")</f>
        <v>0</v>
      </c>
      <c r="AF152" s="26">
        <f t="shared" si="32"/>
        <v>60</v>
      </c>
      <c r="AG152" s="31">
        <f>SUM($T152:T152)</f>
        <v>0</v>
      </c>
      <c r="AH152" s="31">
        <f>SUM($T152:U152)</f>
        <v>0</v>
      </c>
      <c r="AI152" s="31">
        <f>SUM($T152:V152)</f>
        <v>0</v>
      </c>
      <c r="AJ152" s="31">
        <f>SUM($T152:W152)</f>
        <v>0</v>
      </c>
      <c r="AK152" s="31">
        <f>SUM($T152:X152)</f>
        <v>22.851240000000001</v>
      </c>
      <c r="AL152" s="31">
        <f>SUM($T152:Y152)</f>
        <v>45.104700000000001</v>
      </c>
      <c r="AM152" s="31">
        <f>SUM($T152:Z152)</f>
        <v>60</v>
      </c>
      <c r="AN152" s="31">
        <f>SUM($T152:AA152)</f>
        <v>60</v>
      </c>
      <c r="AO152" s="31">
        <f>SUM($T152:AB152)</f>
        <v>60</v>
      </c>
      <c r="AP152" s="31">
        <f>SUM($T152:AC152)</f>
        <v>60</v>
      </c>
      <c r="AQ152" s="31">
        <f>SUM($T152:AD152)</f>
        <v>60</v>
      </c>
      <c r="AR152" s="31">
        <f>SUM($T152:AE152)</f>
        <v>60</v>
      </c>
      <c r="AS152" s="27">
        <f t="shared" si="33"/>
        <v>0</v>
      </c>
    </row>
    <row r="153" spans="2:45">
      <c r="B153" s="156">
        <f>IF(ROW()-6&gt;NumCostCenter,"",IF(CostCenter&lt;&gt;"ALL",CostCenter,DATA_LF2!B151))</f>
        <v>8311</v>
      </c>
      <c r="C153" s="153">
        <f>IF($B153&lt;&gt;"",INDEX(DataOB[],FirstRow+ROW()-7,2),"")</f>
        <v>8311</v>
      </c>
      <c r="D153" s="157" t="str">
        <f>IF($B153&lt;&gt;"",INDEX(DataOB[],FirstRow+ROW()-7,3),"")</f>
        <v>TBD</v>
      </c>
      <c r="E153" s="158">
        <f>IF($B153&lt;&gt;"",INDEX(DataOB[],FirstRow+ROW()-7,6),"")</f>
        <v>0</v>
      </c>
      <c r="F153" s="158" t="str">
        <f>IF($B153&lt;&gt;"",INDEX(DataOB[],FirstRow+ROW()-7,5),"")</f>
        <v>Installation chiller #4 for Extruding (part + installation fee )</v>
      </c>
      <c r="G153" s="58">
        <f>IF($B153&lt;&gt;"",SUMIFS(DataAct_tbl[AMOUNT],DataAct_tbl[BG CODE],Detail!$D153,DataAct_tbl[MONTH],LEFT(MonthName,3),DataAct_tbl[Dept code],$B153),0)</f>
        <v>0</v>
      </c>
      <c r="H153" s="31">
        <f t="shared" si="25"/>
        <v>0</v>
      </c>
      <c r="I153" s="28">
        <f t="shared" si="26"/>
        <v>0</v>
      </c>
      <c r="J153" s="32" t="str">
        <f t="shared" si="27"/>
        <v xml:space="preserve"> </v>
      </c>
      <c r="K153" s="86"/>
      <c r="L153" s="62">
        <f>IF($B153&lt;&gt;"",SUMIFS(DataAct_tbl[AMOUNT],DataAct_tbl[BG CODE],Detail!$D153,DataAct_tbl[Check Range],"=true",DataAct_tbl[Dept code],$B153),0)</f>
        <v>0</v>
      </c>
      <c r="M153" s="63">
        <f>INDEX($AG$7:$AR$1005,ROW()-6,MATCH(MTD,$AG$6:$AR$6,0))</f>
        <v>0</v>
      </c>
      <c r="N153" s="34">
        <f t="shared" si="28"/>
        <v>0</v>
      </c>
      <c r="O153" s="64" t="str">
        <f t="shared" si="29"/>
        <v xml:space="preserve"> </v>
      </c>
      <c r="Q153" s="97">
        <f t="shared" si="30"/>
        <v>95</v>
      </c>
      <c r="R153" s="96">
        <f t="shared" si="31"/>
        <v>95</v>
      </c>
      <c r="T153" s="67">
        <f>IF($B153&lt;&gt;"",INDEX(DataOB[],FirstRow+ROW()-7,MATCH(T$6,DataOB[#Headers],0)),"")</f>
        <v>0</v>
      </c>
      <c r="U153" s="67">
        <f>IF($B153&lt;&gt;"",INDEX(DataOB[],FirstRow+ROW()-7,MATCH(U$6,DataOB[#Headers],0)),"")</f>
        <v>0</v>
      </c>
      <c r="V153" s="67">
        <f>IF($B153&lt;&gt;"",INDEX(DataOB[],FirstRow+ROW()-7,MATCH(V$6,DataOB[#Headers],0)),"")</f>
        <v>0</v>
      </c>
      <c r="W153" s="67">
        <f>IF($B153&lt;&gt;"",INDEX(DataOB[],FirstRow+ROW()-7,MATCH(W$6,DataOB[#Headers],0)),"")</f>
        <v>0</v>
      </c>
      <c r="X153" s="67">
        <f>IF($B153&lt;&gt;"",INDEX(DataOB[],FirstRow+ROW()-7,MATCH(X$6,DataOB[#Headers],0)),"")</f>
        <v>0</v>
      </c>
      <c r="Y153" s="67">
        <f>IF($B153&lt;&gt;"",INDEX(DataOB[],FirstRow+ROW()-7,MATCH(Y$6,DataOB[#Headers],0)),"")</f>
        <v>0</v>
      </c>
      <c r="Z153" s="67">
        <f>IF($B153&lt;&gt;"",INDEX(DataOB[],FirstRow+ROW()-7,MATCH(Z$6,DataOB[#Headers],0)),"")</f>
        <v>0</v>
      </c>
      <c r="AA153" s="67">
        <f>IF($B153&lt;&gt;"",INDEX(DataOB[],FirstRow+ROW()-7,MATCH(AA$6,DataOB[#Headers],0)),"")</f>
        <v>0</v>
      </c>
      <c r="AB153" s="67">
        <f>IF($B153&lt;&gt;"",INDEX(DataOB[],FirstRow+ROW()-7,MATCH(AB$6,DataOB[#Headers],0)),"")</f>
        <v>0</v>
      </c>
      <c r="AC153" s="67">
        <f>IF($B153&lt;&gt;"",INDEX(DataOB[],FirstRow+ROW()-7,MATCH(AC$6,DataOB[#Headers],0)),"")</f>
        <v>0</v>
      </c>
      <c r="AD153" s="67">
        <f>IF($B153&lt;&gt;"",INDEX(DataOB[],FirstRow+ROW()-7,MATCH(AD$6,DataOB[#Headers],0)),"")</f>
        <v>95</v>
      </c>
      <c r="AE153" s="67">
        <f>IF($B153&lt;&gt;"",INDEX(DataOB[],FirstRow+ROW()-7,MATCH(AE$6,DataOB[#Headers],0)),"")</f>
        <v>0</v>
      </c>
      <c r="AF153" s="26">
        <f t="shared" si="32"/>
        <v>95</v>
      </c>
      <c r="AG153" s="31">
        <f>SUM($T153:T153)</f>
        <v>0</v>
      </c>
      <c r="AH153" s="31">
        <f>SUM($T153:U153)</f>
        <v>0</v>
      </c>
      <c r="AI153" s="31">
        <f>SUM($T153:V153)</f>
        <v>0</v>
      </c>
      <c r="AJ153" s="31">
        <f>SUM($T153:W153)</f>
        <v>0</v>
      </c>
      <c r="AK153" s="31">
        <f>SUM($T153:X153)</f>
        <v>0</v>
      </c>
      <c r="AL153" s="31">
        <f>SUM($T153:Y153)</f>
        <v>0</v>
      </c>
      <c r="AM153" s="31">
        <f>SUM($T153:Z153)</f>
        <v>0</v>
      </c>
      <c r="AN153" s="31">
        <f>SUM($T153:AA153)</f>
        <v>0</v>
      </c>
      <c r="AO153" s="31">
        <f>SUM($T153:AB153)</f>
        <v>0</v>
      </c>
      <c r="AP153" s="31">
        <f>SUM($T153:AC153)</f>
        <v>0</v>
      </c>
      <c r="AQ153" s="31">
        <f>SUM($T153:AD153)</f>
        <v>95</v>
      </c>
      <c r="AR153" s="31">
        <f>SUM($T153:AE153)</f>
        <v>95</v>
      </c>
      <c r="AS153" s="27">
        <f t="shared" si="33"/>
        <v>0</v>
      </c>
    </row>
    <row r="154" spans="2:45">
      <c r="B154" s="156">
        <f>IF(ROW()-6&gt;NumCostCenter,"",IF(CostCenter&lt;&gt;"ALL",CostCenter,DATA_LF2!B152))</f>
        <v>8311</v>
      </c>
      <c r="C154" s="153">
        <f>IF($B154&lt;&gt;"",INDEX(DataOB[],FirstRow+ROW()-7,2),"")</f>
        <v>8311</v>
      </c>
      <c r="D154" s="157" t="str">
        <f>IF($B154&lt;&gt;"",INDEX(DataOB[],FirstRow+ROW()-7,3),"")</f>
        <v>TBD</v>
      </c>
      <c r="E154" s="158">
        <f>IF($B154&lt;&gt;"",INDEX(DataOB[],FirstRow+ROW()-7,6),"")</f>
        <v>0</v>
      </c>
      <c r="F154" s="158" t="str">
        <f>IF($B154&lt;&gt;"",INDEX(DataOB[],FirstRow+ROW()-7,5),"")</f>
        <v xml:space="preserve">Room to cover PT machine </v>
      </c>
      <c r="G154" s="58">
        <f>IF($B154&lt;&gt;"",SUMIFS(DataAct_tbl[AMOUNT],DataAct_tbl[BG CODE],Detail!$D154,DataAct_tbl[MONTH],LEFT(MonthName,3),DataAct_tbl[Dept code],$B154),0)</f>
        <v>0</v>
      </c>
      <c r="H154" s="31">
        <f t="shared" si="25"/>
        <v>0</v>
      </c>
      <c r="I154" s="28">
        <f t="shared" si="26"/>
        <v>0</v>
      </c>
      <c r="J154" s="32" t="str">
        <f t="shared" si="27"/>
        <v xml:space="preserve"> </v>
      </c>
      <c r="K154" s="86"/>
      <c r="L154" s="62">
        <f>IF($B154&lt;&gt;"",SUMIFS(DataAct_tbl[AMOUNT],DataAct_tbl[BG CODE],Detail!$D154,DataAct_tbl[Check Range],"=true",DataAct_tbl[Dept code],$B154),0)</f>
        <v>0</v>
      </c>
      <c r="M154" s="63">
        <f>INDEX($AG$7:$AR$1005,ROW()-6,MATCH(MTD,$AG$6:$AR$6,0))</f>
        <v>0</v>
      </c>
      <c r="N154" s="34">
        <f t="shared" si="28"/>
        <v>0</v>
      </c>
      <c r="O154" s="64" t="str">
        <f t="shared" si="29"/>
        <v xml:space="preserve"> </v>
      </c>
      <c r="Q154" s="97">
        <f t="shared" si="30"/>
        <v>20</v>
      </c>
      <c r="R154" s="96">
        <f t="shared" si="31"/>
        <v>20</v>
      </c>
      <c r="T154" s="67">
        <f>IF($B154&lt;&gt;"",INDEX(DataOB[],FirstRow+ROW()-7,MATCH(T$6,DataOB[#Headers],0)),"")</f>
        <v>0</v>
      </c>
      <c r="U154" s="67">
        <f>IF($B154&lt;&gt;"",INDEX(DataOB[],FirstRow+ROW()-7,MATCH(U$6,DataOB[#Headers],0)),"")</f>
        <v>0</v>
      </c>
      <c r="V154" s="67">
        <f>IF($B154&lt;&gt;"",INDEX(DataOB[],FirstRow+ROW()-7,MATCH(V$6,DataOB[#Headers],0)),"")</f>
        <v>0</v>
      </c>
      <c r="W154" s="67">
        <f>IF($B154&lt;&gt;"",INDEX(DataOB[],FirstRow+ROW()-7,MATCH(W$6,DataOB[#Headers],0)),"")</f>
        <v>0</v>
      </c>
      <c r="X154" s="67">
        <f>IF($B154&lt;&gt;"",INDEX(DataOB[],FirstRow+ROW()-7,MATCH(X$6,DataOB[#Headers],0)),"")</f>
        <v>0</v>
      </c>
      <c r="Y154" s="67">
        <f>IF($B154&lt;&gt;"",INDEX(DataOB[],FirstRow+ROW()-7,MATCH(Y$6,DataOB[#Headers],0)),"")</f>
        <v>0</v>
      </c>
      <c r="Z154" s="67">
        <f>IF($B154&lt;&gt;"",INDEX(DataOB[],FirstRow+ROW()-7,MATCH(Z$6,DataOB[#Headers],0)),"")</f>
        <v>0</v>
      </c>
      <c r="AA154" s="67">
        <f>IF($B154&lt;&gt;"",INDEX(DataOB[],FirstRow+ROW()-7,MATCH(AA$6,DataOB[#Headers],0)),"")</f>
        <v>0</v>
      </c>
      <c r="AB154" s="67">
        <f>IF($B154&lt;&gt;"",INDEX(DataOB[],FirstRow+ROW()-7,MATCH(AB$6,DataOB[#Headers],0)),"")</f>
        <v>0</v>
      </c>
      <c r="AC154" s="67">
        <f>IF($B154&lt;&gt;"",INDEX(DataOB[],FirstRow+ROW()-7,MATCH(AC$6,DataOB[#Headers],0)),"")</f>
        <v>20</v>
      </c>
      <c r="AD154" s="67">
        <f>IF($B154&lt;&gt;"",INDEX(DataOB[],FirstRow+ROW()-7,MATCH(AD$6,DataOB[#Headers],0)),"")</f>
        <v>0</v>
      </c>
      <c r="AE154" s="67">
        <f>IF($B154&lt;&gt;"",INDEX(DataOB[],FirstRow+ROW()-7,MATCH(AE$6,DataOB[#Headers],0)),"")</f>
        <v>0</v>
      </c>
      <c r="AF154" s="26">
        <f t="shared" si="32"/>
        <v>20</v>
      </c>
      <c r="AG154" s="31">
        <f>SUM($T154:T154)</f>
        <v>0</v>
      </c>
      <c r="AH154" s="31">
        <f>SUM($T154:U154)</f>
        <v>0</v>
      </c>
      <c r="AI154" s="31">
        <f>SUM($T154:V154)</f>
        <v>0</v>
      </c>
      <c r="AJ154" s="31">
        <f>SUM($T154:W154)</f>
        <v>0</v>
      </c>
      <c r="AK154" s="31">
        <f>SUM($T154:X154)</f>
        <v>0</v>
      </c>
      <c r="AL154" s="31">
        <f>SUM($T154:Y154)</f>
        <v>0</v>
      </c>
      <c r="AM154" s="31">
        <f>SUM($T154:Z154)</f>
        <v>0</v>
      </c>
      <c r="AN154" s="31">
        <f>SUM($T154:AA154)</f>
        <v>0</v>
      </c>
      <c r="AO154" s="31">
        <f>SUM($T154:AB154)</f>
        <v>0</v>
      </c>
      <c r="AP154" s="31">
        <f>SUM($T154:AC154)</f>
        <v>20</v>
      </c>
      <c r="AQ154" s="31">
        <f>SUM($T154:AD154)</f>
        <v>20</v>
      </c>
      <c r="AR154" s="31">
        <f>SUM($T154:AE154)</f>
        <v>20</v>
      </c>
      <c r="AS154" s="27">
        <f t="shared" si="33"/>
        <v>0</v>
      </c>
    </row>
    <row r="155" spans="2:45">
      <c r="B155" s="156">
        <f>IF(ROW()-6&gt;NumCostCenter,"",IF(CostCenter&lt;&gt;"ALL",CostCenter,DATA_LF2!B153))</f>
        <v>8311</v>
      </c>
      <c r="C155" s="153">
        <f>IF($B155&lt;&gt;"",INDEX(DataOB[],FirstRow+ROW()-7,2),"")</f>
        <v>8311</v>
      </c>
      <c r="D155" s="157" t="str">
        <f>IF($B155&lt;&gt;"",INDEX(DataOB[],FirstRow+ROW()-7,3),"")</f>
        <v>TBD</v>
      </c>
      <c r="E155" s="158">
        <f>IF($B155&lt;&gt;"",INDEX(DataOB[],FirstRow+ROW()-7,6),"")</f>
        <v>0</v>
      </c>
      <c r="F155" s="158" t="str">
        <f>IF($B155&lt;&gt;"",INDEX(DataOB[],FirstRow+ROW()-7,5),"")</f>
        <v>New aroma oil tank of Mixing</v>
      </c>
      <c r="G155" s="58">
        <f>IF($B155&lt;&gt;"",SUMIFS(DataAct_tbl[AMOUNT],DataAct_tbl[BG CODE],Detail!$D155,DataAct_tbl[MONTH],LEFT(MonthName,3),DataAct_tbl[Dept code],$B155),0)</f>
        <v>0</v>
      </c>
      <c r="H155" s="31">
        <f t="shared" si="25"/>
        <v>0</v>
      </c>
      <c r="I155" s="28">
        <f t="shared" si="26"/>
        <v>0</v>
      </c>
      <c r="J155" s="32" t="str">
        <f t="shared" si="27"/>
        <v xml:space="preserve"> </v>
      </c>
      <c r="K155" s="86"/>
      <c r="L155" s="62">
        <f>IF($B155&lt;&gt;"",SUMIFS(DataAct_tbl[AMOUNT],DataAct_tbl[BG CODE],Detail!$D155,DataAct_tbl[Check Range],"=true",DataAct_tbl[Dept code],$B155),0)</f>
        <v>0</v>
      </c>
      <c r="M155" s="63">
        <f>INDEX($AG$7:$AR$1005,ROW()-6,MATCH(MTD,$AG$6:$AR$6,0))</f>
        <v>0</v>
      </c>
      <c r="N155" s="34">
        <f t="shared" si="28"/>
        <v>0</v>
      </c>
      <c r="O155" s="64" t="str">
        <f t="shared" si="29"/>
        <v xml:space="preserve"> </v>
      </c>
      <c r="Q155" s="97">
        <f t="shared" si="30"/>
        <v>165</v>
      </c>
      <c r="R155" s="96">
        <f t="shared" si="31"/>
        <v>165</v>
      </c>
      <c r="T155" s="67">
        <f>IF($B155&lt;&gt;"",INDEX(DataOB[],FirstRow+ROW()-7,MATCH(T$6,DataOB[#Headers],0)),"")</f>
        <v>0</v>
      </c>
      <c r="U155" s="67">
        <f>IF($B155&lt;&gt;"",INDEX(DataOB[],FirstRow+ROW()-7,MATCH(U$6,DataOB[#Headers],0)),"")</f>
        <v>0</v>
      </c>
      <c r="V155" s="67">
        <f>IF($B155&lt;&gt;"",INDEX(DataOB[],FirstRow+ROW()-7,MATCH(V$6,DataOB[#Headers],0)),"")</f>
        <v>0</v>
      </c>
      <c r="W155" s="67">
        <f>IF($B155&lt;&gt;"",INDEX(DataOB[],FirstRow+ROW()-7,MATCH(W$6,DataOB[#Headers],0)),"")</f>
        <v>0</v>
      </c>
      <c r="X155" s="67">
        <f>IF($B155&lt;&gt;"",INDEX(DataOB[],FirstRow+ROW()-7,MATCH(X$6,DataOB[#Headers],0)),"")</f>
        <v>0</v>
      </c>
      <c r="Y155" s="67">
        <f>IF($B155&lt;&gt;"",INDEX(DataOB[],FirstRow+ROW()-7,MATCH(Y$6,DataOB[#Headers],0)),"")</f>
        <v>0</v>
      </c>
      <c r="Z155" s="67">
        <f>IF($B155&lt;&gt;"",INDEX(DataOB[],FirstRow+ROW()-7,MATCH(Z$6,DataOB[#Headers],0)),"")</f>
        <v>0</v>
      </c>
      <c r="AA155" s="67">
        <f>IF($B155&lt;&gt;"",INDEX(DataOB[],FirstRow+ROW()-7,MATCH(AA$6,DataOB[#Headers],0)),"")</f>
        <v>0</v>
      </c>
      <c r="AB155" s="67">
        <f>IF($B155&lt;&gt;"",INDEX(DataOB[],FirstRow+ROW()-7,MATCH(AB$6,DataOB[#Headers],0)),"")</f>
        <v>0</v>
      </c>
      <c r="AC155" s="67">
        <f>IF($B155&lt;&gt;"",INDEX(DataOB[],FirstRow+ROW()-7,MATCH(AC$6,DataOB[#Headers],0)),"")</f>
        <v>0</v>
      </c>
      <c r="AD155" s="67">
        <f>IF($B155&lt;&gt;"",INDEX(DataOB[],FirstRow+ROW()-7,MATCH(AD$6,DataOB[#Headers],0)),"")</f>
        <v>0</v>
      </c>
      <c r="AE155" s="67">
        <f>IF($B155&lt;&gt;"",INDEX(DataOB[],FirstRow+ROW()-7,MATCH(AE$6,DataOB[#Headers],0)),"")</f>
        <v>165</v>
      </c>
      <c r="AF155" s="26">
        <f t="shared" si="32"/>
        <v>165</v>
      </c>
      <c r="AG155" s="31">
        <f>SUM($T155:T155)</f>
        <v>0</v>
      </c>
      <c r="AH155" s="31">
        <f>SUM($T155:U155)</f>
        <v>0</v>
      </c>
      <c r="AI155" s="31">
        <f>SUM($T155:V155)</f>
        <v>0</v>
      </c>
      <c r="AJ155" s="31">
        <f>SUM($T155:W155)</f>
        <v>0</v>
      </c>
      <c r="AK155" s="31">
        <f>SUM($T155:X155)</f>
        <v>0</v>
      </c>
      <c r="AL155" s="31">
        <f>SUM($T155:Y155)</f>
        <v>0</v>
      </c>
      <c r="AM155" s="31">
        <f>SUM($T155:Z155)</f>
        <v>0</v>
      </c>
      <c r="AN155" s="31">
        <f>SUM($T155:AA155)</f>
        <v>0</v>
      </c>
      <c r="AO155" s="31">
        <f>SUM($T155:AB155)</f>
        <v>0</v>
      </c>
      <c r="AP155" s="31">
        <f>SUM($T155:AC155)</f>
        <v>0</v>
      </c>
      <c r="AQ155" s="31">
        <f>SUM($T155:AD155)</f>
        <v>0</v>
      </c>
      <c r="AR155" s="31">
        <f>SUM($T155:AE155)</f>
        <v>165</v>
      </c>
      <c r="AS155" s="27">
        <f t="shared" si="33"/>
        <v>0</v>
      </c>
    </row>
    <row r="156" spans="2:45">
      <c r="B156" s="156">
        <f>IF(ROW()-6&gt;NumCostCenter,"",IF(CostCenter&lt;&gt;"ALL",CostCenter,DATA_LF2!B154))</f>
        <v>8311</v>
      </c>
      <c r="C156" s="153">
        <f>IF($B156&lt;&gt;"",INDEX(DataOB[],FirstRow+ROW()-7,2),"")</f>
        <v>8311</v>
      </c>
      <c r="D156" s="157" t="str">
        <f>IF($B156&lt;&gt;"",INDEX(DataOB[],FirstRow+ROW()-7,3),"")</f>
        <v>TBD</v>
      </c>
      <c r="E156" s="158">
        <f>IF($B156&lt;&gt;"",INDEX(DataOB[],FirstRow+ROW()-7,6),"")</f>
        <v>0</v>
      </c>
      <c r="F156" s="158" t="str">
        <f>IF($B156&lt;&gt;"",INDEX(DataOB[],FirstRow+ROW()-7,5),"")</f>
        <v>Increase capacity of chiller Creel room #1, #2</v>
      </c>
      <c r="G156" s="58">
        <f>IF($B156&lt;&gt;"",SUMIFS(DataAct_tbl[AMOUNT],DataAct_tbl[BG CODE],Detail!$D156,DataAct_tbl[MONTH],LEFT(MonthName,3),DataAct_tbl[Dept code],$B156),0)</f>
        <v>0</v>
      </c>
      <c r="H156" s="31">
        <f t="shared" si="25"/>
        <v>0</v>
      </c>
      <c r="I156" s="28">
        <f t="shared" si="26"/>
        <v>0</v>
      </c>
      <c r="J156" s="32" t="str">
        <f t="shared" si="27"/>
        <v xml:space="preserve"> </v>
      </c>
      <c r="K156" s="86"/>
      <c r="L156" s="62">
        <f>IF($B156&lt;&gt;"",SUMIFS(DataAct_tbl[AMOUNT],DataAct_tbl[BG CODE],Detail!$D156,DataAct_tbl[Check Range],"=true",DataAct_tbl[Dept code],$B156),0)</f>
        <v>0</v>
      </c>
      <c r="M156" s="63">
        <f>INDEX($AG$7:$AR$1005,ROW()-6,MATCH(MTD,$AG$6:$AR$6,0))</f>
        <v>0</v>
      </c>
      <c r="N156" s="34">
        <f t="shared" si="28"/>
        <v>0</v>
      </c>
      <c r="O156" s="64" t="str">
        <f t="shared" si="29"/>
        <v xml:space="preserve"> </v>
      </c>
      <c r="Q156" s="97">
        <f t="shared" si="30"/>
        <v>0</v>
      </c>
      <c r="R156" s="96">
        <f t="shared" si="31"/>
        <v>0</v>
      </c>
      <c r="T156" s="67">
        <f>IF($B156&lt;&gt;"",INDEX(DataOB[],FirstRow+ROW()-7,MATCH(T$6,DataOB[#Headers],0)),"")</f>
        <v>0</v>
      </c>
      <c r="U156" s="67">
        <f>IF($B156&lt;&gt;"",INDEX(DataOB[],FirstRow+ROW()-7,MATCH(U$6,DataOB[#Headers],0)),"")</f>
        <v>0</v>
      </c>
      <c r="V156" s="67">
        <f>IF($B156&lt;&gt;"",INDEX(DataOB[],FirstRow+ROW()-7,MATCH(V$6,DataOB[#Headers],0)),"")</f>
        <v>0</v>
      </c>
      <c r="W156" s="67">
        <f>IF($B156&lt;&gt;"",INDEX(DataOB[],FirstRow+ROW()-7,MATCH(W$6,DataOB[#Headers],0)),"")</f>
        <v>0</v>
      </c>
      <c r="X156" s="67">
        <f>IF($B156&lt;&gt;"",INDEX(DataOB[],FirstRow+ROW()-7,MATCH(X$6,DataOB[#Headers],0)),"")</f>
        <v>0</v>
      </c>
      <c r="Y156" s="67">
        <f>IF($B156&lt;&gt;"",INDEX(DataOB[],FirstRow+ROW()-7,MATCH(Y$6,DataOB[#Headers],0)),"")</f>
        <v>0</v>
      </c>
      <c r="Z156" s="67">
        <f>IF($B156&lt;&gt;"",INDEX(DataOB[],FirstRow+ROW()-7,MATCH(Z$6,DataOB[#Headers],0)),"")</f>
        <v>0</v>
      </c>
      <c r="AA156" s="67">
        <f>IF($B156&lt;&gt;"",INDEX(DataOB[],FirstRow+ROW()-7,MATCH(AA$6,DataOB[#Headers],0)),"")</f>
        <v>0</v>
      </c>
      <c r="AB156" s="67">
        <f>IF($B156&lt;&gt;"",INDEX(DataOB[],FirstRow+ROW()-7,MATCH(AB$6,DataOB[#Headers],0)),"")</f>
        <v>0</v>
      </c>
      <c r="AC156" s="67">
        <f>IF($B156&lt;&gt;"",INDEX(DataOB[],FirstRow+ROW()-7,MATCH(AC$6,DataOB[#Headers],0)),"")</f>
        <v>0</v>
      </c>
      <c r="AD156" s="67">
        <f>IF($B156&lt;&gt;"",INDEX(DataOB[],FirstRow+ROW()-7,MATCH(AD$6,DataOB[#Headers],0)),"")</f>
        <v>0</v>
      </c>
      <c r="AE156" s="67">
        <f>IF($B156&lt;&gt;"",INDEX(DataOB[],FirstRow+ROW()-7,MATCH(AE$6,DataOB[#Headers],0)),"")</f>
        <v>0</v>
      </c>
      <c r="AF156" s="26">
        <f t="shared" si="32"/>
        <v>0</v>
      </c>
      <c r="AG156" s="31">
        <f>SUM($T156:T156)</f>
        <v>0</v>
      </c>
      <c r="AH156" s="31">
        <f>SUM($T156:U156)</f>
        <v>0</v>
      </c>
      <c r="AI156" s="31">
        <f>SUM($T156:V156)</f>
        <v>0</v>
      </c>
      <c r="AJ156" s="31">
        <f>SUM($T156:W156)</f>
        <v>0</v>
      </c>
      <c r="AK156" s="31">
        <f>SUM($T156:X156)</f>
        <v>0</v>
      </c>
      <c r="AL156" s="31">
        <f>SUM($T156:Y156)</f>
        <v>0</v>
      </c>
      <c r="AM156" s="31">
        <f>SUM($T156:Z156)</f>
        <v>0</v>
      </c>
      <c r="AN156" s="31">
        <f>SUM($T156:AA156)</f>
        <v>0</v>
      </c>
      <c r="AO156" s="31">
        <f>SUM($T156:AB156)</f>
        <v>0</v>
      </c>
      <c r="AP156" s="31">
        <f>SUM($T156:AC156)</f>
        <v>0</v>
      </c>
      <c r="AQ156" s="31">
        <f>SUM($T156:AD156)</f>
        <v>0</v>
      </c>
      <c r="AR156" s="31">
        <f>SUM($T156:AE156)</f>
        <v>0</v>
      </c>
      <c r="AS156" s="27">
        <f t="shared" si="33"/>
        <v>0</v>
      </c>
    </row>
    <row r="157" spans="2:45">
      <c r="B157" s="156">
        <f>IF(ROW()-6&gt;NumCostCenter,"",IF(CostCenter&lt;&gt;"ALL",CostCenter,DATA_LF2!B155))</f>
        <v>8311</v>
      </c>
      <c r="C157" s="153">
        <f>IF($B157&lt;&gt;"",INDEX(DataOB[],FirstRow+ROW()-7,2),"")</f>
        <v>8311</v>
      </c>
      <c r="D157" s="157" t="str">
        <f>IF($B157&lt;&gt;"",INDEX(DataOB[],FirstRow+ROW()-7,3),"")</f>
        <v>ME00058</v>
      </c>
      <c r="E157" s="158">
        <f>IF($B157&lt;&gt;"",INDEX(DataOB[],FirstRow+ROW()-7,6),"")</f>
        <v>0</v>
      </c>
      <c r="F157" s="158" t="str">
        <f>IF($B157&lt;&gt;"",INDEX(DataOB[],FirstRow+ROW()-7,5),"")</f>
        <v>Air conditioning for electric panel Curing Y24</v>
      </c>
      <c r="G157" s="58">
        <f>IF($B157&lt;&gt;"",SUMIFS(DataAct_tbl[AMOUNT],DataAct_tbl[BG CODE],Detail!$D157,DataAct_tbl[MONTH],LEFT(MonthName,3),DataAct_tbl[Dept code],$B157),0)</f>
        <v>0</v>
      </c>
      <c r="H157" s="31">
        <f t="shared" si="25"/>
        <v>0</v>
      </c>
      <c r="I157" s="28">
        <f t="shared" si="26"/>
        <v>0</v>
      </c>
      <c r="J157" s="32" t="str">
        <f t="shared" si="27"/>
        <v xml:space="preserve"> </v>
      </c>
      <c r="K157" s="86"/>
      <c r="L157" s="62">
        <f>IF($B157&lt;&gt;"",SUMIFS(DataAct_tbl[AMOUNT],DataAct_tbl[BG CODE],Detail!$D157,DataAct_tbl[Check Range],"=true",DataAct_tbl[Dept code],$B157),0)</f>
        <v>37.02799000000001</v>
      </c>
      <c r="M157" s="63">
        <f>INDEX($AG$7:$AR$1005,ROW()-6,MATCH(MTD,$AG$6:$AR$6,0))</f>
        <v>37.027989999999967</v>
      </c>
      <c r="N157" s="34">
        <f t="shared" si="28"/>
        <v>4.2632564145606011E-14</v>
      </c>
      <c r="O157" s="64">
        <f t="shared" si="29"/>
        <v>1.0000000000000011</v>
      </c>
      <c r="Q157" s="97">
        <f t="shared" si="30"/>
        <v>37.027989999999967</v>
      </c>
      <c r="R157" s="96">
        <f t="shared" si="31"/>
        <v>0</v>
      </c>
      <c r="T157" s="67">
        <f>IF($B157&lt;&gt;"",INDEX(DataOB[],FirstRow+ROW()-7,MATCH(T$6,DataOB[#Headers],0)),"")</f>
        <v>0</v>
      </c>
      <c r="U157" s="67">
        <f>IF($B157&lt;&gt;"",INDEX(DataOB[],FirstRow+ROW()-7,MATCH(U$6,DataOB[#Headers],0)),"")</f>
        <v>0</v>
      </c>
      <c r="V157" s="67">
        <f>IF($B157&lt;&gt;"",INDEX(DataOB[],FirstRow+ROW()-7,MATCH(V$6,DataOB[#Headers],0)),"")</f>
        <v>0</v>
      </c>
      <c r="W157" s="67">
        <f>IF($B157&lt;&gt;"",INDEX(DataOB[],FirstRow+ROW()-7,MATCH(W$6,DataOB[#Headers],0)),"")</f>
        <v>26.577209999999969</v>
      </c>
      <c r="X157" s="67">
        <f>IF($B157&lt;&gt;"",INDEX(DataOB[],FirstRow+ROW()-7,MATCH(X$6,DataOB[#Headers],0)),"")</f>
        <v>10.450779999999998</v>
      </c>
      <c r="Y157" s="67">
        <f>IF($B157&lt;&gt;"",INDEX(DataOB[],FirstRow+ROW()-7,MATCH(Y$6,DataOB[#Headers],0)),"")</f>
        <v>0</v>
      </c>
      <c r="Z157" s="67">
        <f>IF($B157&lt;&gt;"",INDEX(DataOB[],FirstRow+ROW()-7,MATCH(Z$6,DataOB[#Headers],0)),"")</f>
        <v>0</v>
      </c>
      <c r="AA157" s="67">
        <f>IF($B157&lt;&gt;"",INDEX(DataOB[],FirstRow+ROW()-7,MATCH(AA$6,DataOB[#Headers],0)),"")</f>
        <v>0</v>
      </c>
      <c r="AB157" s="67">
        <f>IF($B157&lt;&gt;"",INDEX(DataOB[],FirstRow+ROW()-7,MATCH(AB$6,DataOB[#Headers],0)),"")</f>
        <v>0</v>
      </c>
      <c r="AC157" s="67">
        <f>IF($B157&lt;&gt;"",INDEX(DataOB[],FirstRow+ROW()-7,MATCH(AC$6,DataOB[#Headers],0)),"")</f>
        <v>0</v>
      </c>
      <c r="AD157" s="67">
        <f>IF($B157&lt;&gt;"",INDEX(DataOB[],FirstRow+ROW()-7,MATCH(AD$6,DataOB[#Headers],0)),"")</f>
        <v>0</v>
      </c>
      <c r="AE157" s="67">
        <f>IF($B157&lt;&gt;"",INDEX(DataOB[],FirstRow+ROW()-7,MATCH(AE$6,DataOB[#Headers],0)),"")</f>
        <v>0</v>
      </c>
      <c r="AF157" s="26">
        <f t="shared" si="32"/>
        <v>37.027989999999967</v>
      </c>
      <c r="AG157" s="31">
        <f>SUM($T157:T157)</f>
        <v>0</v>
      </c>
      <c r="AH157" s="31">
        <f>SUM($T157:U157)</f>
        <v>0</v>
      </c>
      <c r="AI157" s="31">
        <f>SUM($T157:V157)</f>
        <v>0</v>
      </c>
      <c r="AJ157" s="31">
        <f>SUM($T157:W157)</f>
        <v>26.577209999999969</v>
      </c>
      <c r="AK157" s="31">
        <f>SUM($T157:X157)</f>
        <v>37.027989999999967</v>
      </c>
      <c r="AL157" s="31">
        <f>SUM($T157:Y157)</f>
        <v>37.027989999999967</v>
      </c>
      <c r="AM157" s="31">
        <f>SUM($T157:Z157)</f>
        <v>37.027989999999967</v>
      </c>
      <c r="AN157" s="31">
        <f>SUM($T157:AA157)</f>
        <v>37.027989999999967</v>
      </c>
      <c r="AO157" s="31">
        <f>SUM($T157:AB157)</f>
        <v>37.027989999999967</v>
      </c>
      <c r="AP157" s="31">
        <f>SUM($T157:AC157)</f>
        <v>37.027989999999967</v>
      </c>
      <c r="AQ157" s="31">
        <f>SUM($T157:AD157)</f>
        <v>37.027989999999967</v>
      </c>
      <c r="AR157" s="31">
        <f>SUM($T157:AE157)</f>
        <v>37.027989999999967</v>
      </c>
      <c r="AS157" s="27">
        <f t="shared" si="33"/>
        <v>0</v>
      </c>
    </row>
    <row r="158" spans="2:45">
      <c r="B158" s="156">
        <f>IF(ROW()-6&gt;NumCostCenter,"",IF(CostCenter&lt;&gt;"ALL",CostCenter,DATA_LF2!B156))</f>
        <v>8311</v>
      </c>
      <c r="C158" s="153">
        <f>IF($B158&lt;&gt;"",INDEX(DataOB[],FirstRow+ROW()-7,2),"")</f>
        <v>8311</v>
      </c>
      <c r="D158" s="157" t="str">
        <f>IF($B158&lt;&gt;"",INDEX(DataOB[],FirstRow+ROW()-7,3),"")</f>
        <v>TBD</v>
      </c>
      <c r="E158" s="158">
        <f>IF($B158&lt;&gt;"",INDEX(DataOB[],FirstRow+ROW()-7,6),"")</f>
        <v>0</v>
      </c>
      <c r="F158" s="158" t="str">
        <f>IF($B158&lt;&gt;"",INDEX(DataOB[],FirstRow+ROW()-7,5),"")</f>
        <v>Improvement system to monitoring USR of Building machines.</v>
      </c>
      <c r="G158" s="58">
        <f>IF($B158&lt;&gt;"",SUMIFS(DataAct_tbl[AMOUNT],DataAct_tbl[BG CODE],Detail!$D158,DataAct_tbl[MONTH],LEFT(MonthName,3),DataAct_tbl[Dept code],$B158),0)</f>
        <v>0</v>
      </c>
      <c r="H158" s="31">
        <f t="shared" si="25"/>
        <v>0</v>
      </c>
      <c r="I158" s="28">
        <f t="shared" si="26"/>
        <v>0</v>
      </c>
      <c r="J158" s="32" t="str">
        <f t="shared" si="27"/>
        <v xml:space="preserve"> </v>
      </c>
      <c r="K158" s="86"/>
      <c r="L158" s="62">
        <f>IF($B158&lt;&gt;"",SUMIFS(DataAct_tbl[AMOUNT],DataAct_tbl[BG CODE],Detail!$D158,DataAct_tbl[Check Range],"=true",DataAct_tbl[Dept code],$B158),0)</f>
        <v>0</v>
      </c>
      <c r="M158" s="63">
        <f>INDEX($AG$7:$AR$1005,ROW()-6,MATCH(MTD,$AG$6:$AR$6,0))</f>
        <v>0</v>
      </c>
      <c r="N158" s="34">
        <f t="shared" si="28"/>
        <v>0</v>
      </c>
      <c r="O158" s="64" t="str">
        <f t="shared" si="29"/>
        <v xml:space="preserve"> </v>
      </c>
      <c r="Q158" s="97">
        <f t="shared" si="30"/>
        <v>60</v>
      </c>
      <c r="R158" s="96">
        <f t="shared" si="31"/>
        <v>60</v>
      </c>
      <c r="T158" s="67">
        <f>IF($B158&lt;&gt;"",INDEX(DataOB[],FirstRow+ROW()-7,MATCH(T$6,DataOB[#Headers],0)),"")</f>
        <v>0</v>
      </c>
      <c r="U158" s="67">
        <f>IF($B158&lt;&gt;"",INDEX(DataOB[],FirstRow+ROW()-7,MATCH(U$6,DataOB[#Headers],0)),"")</f>
        <v>0</v>
      </c>
      <c r="V158" s="67">
        <f>IF($B158&lt;&gt;"",INDEX(DataOB[],FirstRow+ROW()-7,MATCH(V$6,DataOB[#Headers],0)),"")</f>
        <v>0</v>
      </c>
      <c r="W158" s="67">
        <f>IF($B158&lt;&gt;"",INDEX(DataOB[],FirstRow+ROW()-7,MATCH(W$6,DataOB[#Headers],0)),"")</f>
        <v>0</v>
      </c>
      <c r="X158" s="67">
        <f>IF($B158&lt;&gt;"",INDEX(DataOB[],FirstRow+ROW()-7,MATCH(X$6,DataOB[#Headers],0)),"")</f>
        <v>0</v>
      </c>
      <c r="Y158" s="67">
        <f>IF($B158&lt;&gt;"",INDEX(DataOB[],FirstRow+ROW()-7,MATCH(Y$6,DataOB[#Headers],0)),"")</f>
        <v>0</v>
      </c>
      <c r="Z158" s="67">
        <f>IF($B158&lt;&gt;"",INDEX(DataOB[],FirstRow+ROW()-7,MATCH(Z$6,DataOB[#Headers],0)),"")</f>
        <v>0</v>
      </c>
      <c r="AA158" s="67">
        <f>IF($B158&lt;&gt;"",INDEX(DataOB[],FirstRow+ROW()-7,MATCH(AA$6,DataOB[#Headers],0)),"")</f>
        <v>0</v>
      </c>
      <c r="AB158" s="67">
        <f>IF($B158&lt;&gt;"",INDEX(DataOB[],FirstRow+ROW()-7,MATCH(AB$6,DataOB[#Headers],0)),"")</f>
        <v>0</v>
      </c>
      <c r="AC158" s="67">
        <f>IF($B158&lt;&gt;"",INDEX(DataOB[],FirstRow+ROW()-7,MATCH(AC$6,DataOB[#Headers],0)),"")</f>
        <v>0</v>
      </c>
      <c r="AD158" s="67">
        <f>IF($B158&lt;&gt;"",INDEX(DataOB[],FirstRow+ROW()-7,MATCH(AD$6,DataOB[#Headers],0)),"")</f>
        <v>60</v>
      </c>
      <c r="AE158" s="67">
        <f>IF($B158&lt;&gt;"",INDEX(DataOB[],FirstRow+ROW()-7,MATCH(AE$6,DataOB[#Headers],0)),"")</f>
        <v>0</v>
      </c>
      <c r="AF158" s="26">
        <f t="shared" si="32"/>
        <v>60</v>
      </c>
      <c r="AG158" s="31">
        <f>SUM($T158:T158)</f>
        <v>0</v>
      </c>
      <c r="AH158" s="31">
        <f>SUM($T158:U158)</f>
        <v>0</v>
      </c>
      <c r="AI158" s="31">
        <f>SUM($T158:V158)</f>
        <v>0</v>
      </c>
      <c r="AJ158" s="31">
        <f>SUM($T158:W158)</f>
        <v>0</v>
      </c>
      <c r="AK158" s="31">
        <f>SUM($T158:X158)</f>
        <v>0</v>
      </c>
      <c r="AL158" s="31">
        <f>SUM($T158:Y158)</f>
        <v>0</v>
      </c>
      <c r="AM158" s="31">
        <f>SUM($T158:Z158)</f>
        <v>0</v>
      </c>
      <c r="AN158" s="31">
        <f>SUM($T158:AA158)</f>
        <v>0</v>
      </c>
      <c r="AO158" s="31">
        <f>SUM($T158:AB158)</f>
        <v>0</v>
      </c>
      <c r="AP158" s="31">
        <f>SUM($T158:AC158)</f>
        <v>0</v>
      </c>
      <c r="AQ158" s="31">
        <f>SUM($T158:AD158)</f>
        <v>60</v>
      </c>
      <c r="AR158" s="31">
        <f>SUM($T158:AE158)</f>
        <v>60</v>
      </c>
      <c r="AS158" s="27">
        <f t="shared" si="33"/>
        <v>0</v>
      </c>
    </row>
    <row r="159" spans="2:45">
      <c r="B159" s="156">
        <f>IF(ROW()-6&gt;NumCostCenter,"",IF(CostCenter&lt;&gt;"ALL",CostCenter,DATA_LF2!B157))</f>
        <v>8311</v>
      </c>
      <c r="C159" s="153">
        <f>IF($B159&lt;&gt;"",INDEX(DataOB[],FirstRow+ROW()-7,2),"")</f>
        <v>8311</v>
      </c>
      <c r="D159" s="157" t="str">
        <f>IF($B159&lt;&gt;"",INDEX(DataOB[],FirstRow+ROW()-7,3),"")</f>
        <v>TBD</v>
      </c>
      <c r="E159" s="158">
        <f>IF($B159&lt;&gt;"",INDEX(DataOB[],FirstRow+ROW()-7,6),"")</f>
        <v>0</v>
      </c>
      <c r="F159" s="158" t="str">
        <f>IF($B159&lt;&gt;"",INDEX(DataOB[],FirstRow+ROW()-7,5),"")</f>
        <v>Make floor to high working at unloader GT of K1S machine(3 MC)</v>
      </c>
      <c r="G159" s="58">
        <f>IF($B159&lt;&gt;"",SUMIFS(DataAct_tbl[AMOUNT],DataAct_tbl[BG CODE],Detail!$D159,DataAct_tbl[MONTH],LEFT(MonthName,3),DataAct_tbl[Dept code],$B159),0)</f>
        <v>0</v>
      </c>
      <c r="H159" s="31">
        <f t="shared" si="25"/>
        <v>0</v>
      </c>
      <c r="I159" s="28">
        <f t="shared" si="26"/>
        <v>0</v>
      </c>
      <c r="J159" s="32" t="str">
        <f t="shared" si="27"/>
        <v xml:space="preserve"> </v>
      </c>
      <c r="K159" s="86"/>
      <c r="L159" s="62">
        <f>IF($B159&lt;&gt;"",SUMIFS(DataAct_tbl[AMOUNT],DataAct_tbl[BG CODE],Detail!$D159,DataAct_tbl[Check Range],"=true",DataAct_tbl[Dept code],$B159),0)</f>
        <v>0</v>
      </c>
      <c r="M159" s="63">
        <f>INDEX($AG$7:$AR$1005,ROW()-6,MATCH(MTD,$AG$6:$AR$6,0))</f>
        <v>0</v>
      </c>
      <c r="N159" s="34">
        <f t="shared" si="28"/>
        <v>0</v>
      </c>
      <c r="O159" s="64" t="str">
        <f t="shared" si="29"/>
        <v xml:space="preserve"> </v>
      </c>
      <c r="Q159" s="97">
        <f t="shared" si="30"/>
        <v>36</v>
      </c>
      <c r="R159" s="96">
        <f t="shared" si="31"/>
        <v>36</v>
      </c>
      <c r="T159" s="67">
        <f>IF($B159&lt;&gt;"",INDEX(DataOB[],FirstRow+ROW()-7,MATCH(T$6,DataOB[#Headers],0)),"")</f>
        <v>0</v>
      </c>
      <c r="U159" s="67">
        <f>IF($B159&lt;&gt;"",INDEX(DataOB[],FirstRow+ROW()-7,MATCH(U$6,DataOB[#Headers],0)),"")</f>
        <v>0</v>
      </c>
      <c r="V159" s="67">
        <f>IF($B159&lt;&gt;"",INDEX(DataOB[],FirstRow+ROW()-7,MATCH(V$6,DataOB[#Headers],0)),"")</f>
        <v>0</v>
      </c>
      <c r="W159" s="67">
        <f>IF($B159&lt;&gt;"",INDEX(DataOB[],FirstRow+ROW()-7,MATCH(W$6,DataOB[#Headers],0)),"")</f>
        <v>0</v>
      </c>
      <c r="X159" s="67">
        <f>IF($B159&lt;&gt;"",INDEX(DataOB[],FirstRow+ROW()-7,MATCH(X$6,DataOB[#Headers],0)),"")</f>
        <v>0</v>
      </c>
      <c r="Y159" s="67">
        <f>IF($B159&lt;&gt;"",INDEX(DataOB[],FirstRow+ROW()-7,MATCH(Y$6,DataOB[#Headers],0)),"")</f>
        <v>0</v>
      </c>
      <c r="Z159" s="67">
        <f>IF($B159&lt;&gt;"",INDEX(DataOB[],FirstRow+ROW()-7,MATCH(Z$6,DataOB[#Headers],0)),"")</f>
        <v>0</v>
      </c>
      <c r="AA159" s="67">
        <f>IF($B159&lt;&gt;"",INDEX(DataOB[],FirstRow+ROW()-7,MATCH(AA$6,DataOB[#Headers],0)),"")</f>
        <v>0</v>
      </c>
      <c r="AB159" s="67">
        <f>IF($B159&lt;&gt;"",INDEX(DataOB[],FirstRow+ROW()-7,MATCH(AB$6,DataOB[#Headers],0)),"")</f>
        <v>0</v>
      </c>
      <c r="AC159" s="67">
        <f>IF($B159&lt;&gt;"",INDEX(DataOB[],FirstRow+ROW()-7,MATCH(AC$6,DataOB[#Headers],0)),"")</f>
        <v>36</v>
      </c>
      <c r="AD159" s="67">
        <f>IF($B159&lt;&gt;"",INDEX(DataOB[],FirstRow+ROW()-7,MATCH(AD$6,DataOB[#Headers],0)),"")</f>
        <v>0</v>
      </c>
      <c r="AE159" s="67">
        <f>IF($B159&lt;&gt;"",INDEX(DataOB[],FirstRow+ROW()-7,MATCH(AE$6,DataOB[#Headers],0)),"")</f>
        <v>0</v>
      </c>
      <c r="AF159" s="26">
        <f t="shared" si="32"/>
        <v>36</v>
      </c>
      <c r="AG159" s="31">
        <f>SUM($T159:T159)</f>
        <v>0</v>
      </c>
      <c r="AH159" s="31">
        <f>SUM($T159:U159)</f>
        <v>0</v>
      </c>
      <c r="AI159" s="31">
        <f>SUM($T159:V159)</f>
        <v>0</v>
      </c>
      <c r="AJ159" s="31">
        <f>SUM($T159:W159)</f>
        <v>0</v>
      </c>
      <c r="AK159" s="31">
        <f>SUM($T159:X159)</f>
        <v>0</v>
      </c>
      <c r="AL159" s="31">
        <f>SUM($T159:Y159)</f>
        <v>0</v>
      </c>
      <c r="AM159" s="31">
        <f>SUM($T159:Z159)</f>
        <v>0</v>
      </c>
      <c r="AN159" s="31">
        <f>SUM($T159:AA159)</f>
        <v>0</v>
      </c>
      <c r="AO159" s="31">
        <f>SUM($T159:AB159)</f>
        <v>0</v>
      </c>
      <c r="AP159" s="31">
        <f>SUM($T159:AC159)</f>
        <v>36</v>
      </c>
      <c r="AQ159" s="31">
        <f>SUM($T159:AD159)</f>
        <v>36</v>
      </c>
      <c r="AR159" s="31">
        <f>SUM($T159:AE159)</f>
        <v>36</v>
      </c>
      <c r="AS159" s="27">
        <f t="shared" si="33"/>
        <v>0</v>
      </c>
    </row>
    <row r="160" spans="2:45">
      <c r="B160" s="156">
        <f>IF(ROW()-6&gt;NumCostCenter,"",IF(CostCenter&lt;&gt;"ALL",CostCenter,DATA_LF2!B158))</f>
        <v>8311</v>
      </c>
      <c r="C160" s="153">
        <f>IF($B160&lt;&gt;"",INDEX(DataOB[],FirstRow+ROW()-7,2),"")</f>
        <v>8311</v>
      </c>
      <c r="D160" s="157" t="str">
        <f>IF($B160&lt;&gt;"",INDEX(DataOB[],FirstRow+ROW()-7,3),"")</f>
        <v>TBD</v>
      </c>
      <c r="E160" s="158">
        <f>IF($B160&lt;&gt;"",INDEX(DataOB[],FirstRow+ROW()-7,6),"")</f>
        <v>0</v>
      </c>
      <c r="F160" s="158" t="str">
        <f>IF($B160&lt;&gt;"",INDEX(DataOB[],FirstRow+ROW()-7,5),"")</f>
        <v>Ordinary investment Y24</v>
      </c>
      <c r="G160" s="58">
        <f>IF($B160&lt;&gt;"",SUMIFS(DataAct_tbl[AMOUNT],DataAct_tbl[BG CODE],Detail!$D160,DataAct_tbl[MONTH],LEFT(MonthName,3),DataAct_tbl[Dept code],$B160),0)</f>
        <v>0</v>
      </c>
      <c r="H160" s="31">
        <f t="shared" si="25"/>
        <v>0</v>
      </c>
      <c r="I160" s="28">
        <f t="shared" si="26"/>
        <v>0</v>
      </c>
      <c r="J160" s="32" t="str">
        <f t="shared" si="27"/>
        <v xml:space="preserve"> </v>
      </c>
      <c r="K160" s="86"/>
      <c r="L160" s="62">
        <f>IF($B160&lt;&gt;"",SUMIFS(DataAct_tbl[AMOUNT],DataAct_tbl[BG CODE],Detail!$D160,DataAct_tbl[Check Range],"=true",DataAct_tbl[Dept code],$B160),0)</f>
        <v>0</v>
      </c>
      <c r="M160" s="63">
        <f>INDEX($AG$7:$AR$1005,ROW()-6,MATCH(MTD,$AG$6:$AR$6,0))</f>
        <v>0</v>
      </c>
      <c r="N160" s="34">
        <f t="shared" si="28"/>
        <v>0</v>
      </c>
      <c r="O160" s="64" t="str">
        <f t="shared" si="29"/>
        <v xml:space="preserve"> </v>
      </c>
      <c r="Q160" s="97">
        <f t="shared" si="30"/>
        <v>792.44812000000002</v>
      </c>
      <c r="R160" s="96">
        <f t="shared" si="31"/>
        <v>792.44812000000002</v>
      </c>
      <c r="T160" s="67">
        <f>IF($B160&lt;&gt;"",INDEX(DataOB[],FirstRow+ROW()-7,MATCH(T$6,DataOB[#Headers],0)),"")</f>
        <v>0</v>
      </c>
      <c r="U160" s="67">
        <f>IF($B160&lt;&gt;"",INDEX(DataOB[],FirstRow+ROW()-7,MATCH(U$6,DataOB[#Headers],0)),"")</f>
        <v>0</v>
      </c>
      <c r="V160" s="67">
        <f>IF($B160&lt;&gt;"",INDEX(DataOB[],FirstRow+ROW()-7,MATCH(V$6,DataOB[#Headers],0)),"")</f>
        <v>0</v>
      </c>
      <c r="W160" s="67">
        <f>IF($B160&lt;&gt;"",INDEX(DataOB[],FirstRow+ROW()-7,MATCH(W$6,DataOB[#Headers],0)),"")</f>
        <v>0</v>
      </c>
      <c r="X160" s="67">
        <f>IF($B160&lt;&gt;"",INDEX(DataOB[],FirstRow+ROW()-7,MATCH(X$6,DataOB[#Headers],0)),"")</f>
        <v>0</v>
      </c>
      <c r="Y160" s="67">
        <f>IF($B160&lt;&gt;"",INDEX(DataOB[],FirstRow+ROW()-7,MATCH(Y$6,DataOB[#Headers],0)),"")</f>
        <v>0</v>
      </c>
      <c r="Z160" s="67">
        <f>IF($B160&lt;&gt;"",INDEX(DataOB[],FirstRow+ROW()-7,MATCH(Z$6,DataOB[#Headers],0)),"")</f>
        <v>0</v>
      </c>
      <c r="AA160" s="67">
        <f>IF($B160&lt;&gt;"",INDEX(DataOB[],FirstRow+ROW()-7,MATCH(AA$6,DataOB[#Headers],0)),"")</f>
        <v>0</v>
      </c>
      <c r="AB160" s="67">
        <f>IF($B160&lt;&gt;"",INDEX(DataOB[],FirstRow+ROW()-7,MATCH(AB$6,DataOB[#Headers],0)),"")</f>
        <v>0</v>
      </c>
      <c r="AC160" s="67">
        <f>IF($B160&lt;&gt;"",INDEX(DataOB[],FirstRow+ROW()-7,MATCH(AC$6,DataOB[#Headers],0)),"")</f>
        <v>0</v>
      </c>
      <c r="AD160" s="67">
        <f>IF($B160&lt;&gt;"",INDEX(DataOB[],FirstRow+ROW()-7,MATCH(AD$6,DataOB[#Headers],0)),"")</f>
        <v>0</v>
      </c>
      <c r="AE160" s="67">
        <f>IF($B160&lt;&gt;"",INDEX(DataOB[],FirstRow+ROW()-7,MATCH(AE$6,DataOB[#Headers],0)),"")</f>
        <v>792.44812000000002</v>
      </c>
      <c r="AF160" s="26">
        <f t="shared" si="32"/>
        <v>792.44812000000002</v>
      </c>
      <c r="AG160" s="31">
        <f>SUM($T160:T160)</f>
        <v>0</v>
      </c>
      <c r="AH160" s="31">
        <f>SUM($T160:U160)</f>
        <v>0</v>
      </c>
      <c r="AI160" s="31">
        <f>SUM($T160:V160)</f>
        <v>0</v>
      </c>
      <c r="AJ160" s="31">
        <f>SUM($T160:W160)</f>
        <v>0</v>
      </c>
      <c r="AK160" s="31">
        <f>SUM($T160:X160)</f>
        <v>0</v>
      </c>
      <c r="AL160" s="31">
        <f>SUM($T160:Y160)</f>
        <v>0</v>
      </c>
      <c r="AM160" s="31">
        <f>SUM($T160:Z160)</f>
        <v>0</v>
      </c>
      <c r="AN160" s="31">
        <f>SUM($T160:AA160)</f>
        <v>0</v>
      </c>
      <c r="AO160" s="31">
        <f>SUM($T160:AB160)</f>
        <v>0</v>
      </c>
      <c r="AP160" s="31">
        <f>SUM($T160:AC160)</f>
        <v>0</v>
      </c>
      <c r="AQ160" s="31">
        <f>SUM($T160:AD160)</f>
        <v>0</v>
      </c>
      <c r="AR160" s="31">
        <f>SUM($T160:AE160)</f>
        <v>792.44812000000002</v>
      </c>
      <c r="AS160" s="27">
        <f t="shared" si="33"/>
        <v>0</v>
      </c>
    </row>
    <row r="161" spans="2:45">
      <c r="B161" s="156">
        <f>IF(ROW()-6&gt;NumCostCenter,"",IF(CostCenter&lt;&gt;"ALL",CostCenter,DATA_LF2!B159))</f>
        <v>8311</v>
      </c>
      <c r="C161" s="153">
        <f>IF($B161&lt;&gt;"",INDEX(DataOB[],FirstRow+ROW()-7,2),"")</f>
        <v>8311</v>
      </c>
      <c r="D161" s="157" t="str">
        <f>IF($B161&lt;&gt;"",INDEX(DataOB[],FirstRow+ROW()-7,3),"")</f>
        <v>ME00001</v>
      </c>
      <c r="E161" s="158">
        <f>IF($B161&lt;&gt;"",INDEX(DataOB[],FirstRow+ROW()-7,6),"")</f>
        <v>0</v>
      </c>
      <c r="F161" s="158" t="str">
        <f>IF($B161&lt;&gt;"",INDEX(DataOB[],FirstRow+ROW()-7,5),"")</f>
        <v>Stand by spare part\High voltage generator</v>
      </c>
      <c r="G161" s="58">
        <f>IF($B161&lt;&gt;"",SUMIFS(DataAct_tbl[AMOUNT],DataAct_tbl[BG CODE],Detail!$D161,DataAct_tbl[MONTH],LEFT(MonthName,3),DataAct_tbl[Dept code],$B161),0)</f>
        <v>0</v>
      </c>
      <c r="H161" s="31">
        <f t="shared" si="25"/>
        <v>0</v>
      </c>
      <c r="I161" s="28">
        <f t="shared" si="26"/>
        <v>0</v>
      </c>
      <c r="J161" s="32" t="str">
        <f t="shared" si="27"/>
        <v xml:space="preserve"> </v>
      </c>
      <c r="K161" s="86"/>
      <c r="L161" s="62">
        <f>IF($B161&lt;&gt;"",SUMIFS(DataAct_tbl[AMOUNT],DataAct_tbl[BG CODE],Detail!$D161,DataAct_tbl[Check Range],"=true",DataAct_tbl[Dept code],$B161),0)</f>
        <v>0.14149</v>
      </c>
      <c r="M161" s="63">
        <f>INDEX($AG$7:$AR$1005,ROW()-6,MATCH(MTD,$AG$6:$AR$6,0))</f>
        <v>0.14149</v>
      </c>
      <c r="N161" s="34">
        <f t="shared" si="28"/>
        <v>0</v>
      </c>
      <c r="O161" s="64">
        <f t="shared" si="29"/>
        <v>1</v>
      </c>
      <c r="Q161" s="97">
        <f t="shared" si="30"/>
        <v>0.14149</v>
      </c>
      <c r="R161" s="96">
        <f t="shared" si="31"/>
        <v>0</v>
      </c>
      <c r="T161" s="67">
        <f>IF($B161&lt;&gt;"",INDEX(DataOB[],FirstRow+ROW()-7,MATCH(T$6,DataOB[#Headers],0)),"")</f>
        <v>0.14149</v>
      </c>
      <c r="U161" s="67">
        <f>IF($B161&lt;&gt;"",INDEX(DataOB[],FirstRow+ROW()-7,MATCH(U$6,DataOB[#Headers],0)),"")</f>
        <v>0</v>
      </c>
      <c r="V161" s="67">
        <f>IF($B161&lt;&gt;"",INDEX(DataOB[],FirstRow+ROW()-7,MATCH(V$6,DataOB[#Headers],0)),"")</f>
        <v>0</v>
      </c>
      <c r="W161" s="67">
        <f>IF($B161&lt;&gt;"",INDEX(DataOB[],FirstRow+ROW()-7,MATCH(W$6,DataOB[#Headers],0)),"")</f>
        <v>0</v>
      </c>
      <c r="X161" s="67">
        <f>IF($B161&lt;&gt;"",INDEX(DataOB[],FirstRow+ROW()-7,MATCH(X$6,DataOB[#Headers],0)),"")</f>
        <v>0</v>
      </c>
      <c r="Y161" s="67">
        <f>IF($B161&lt;&gt;"",INDEX(DataOB[],FirstRow+ROW()-7,MATCH(Y$6,DataOB[#Headers],0)),"")</f>
        <v>0</v>
      </c>
      <c r="Z161" s="67">
        <f>IF($B161&lt;&gt;"",INDEX(DataOB[],FirstRow+ROW()-7,MATCH(Z$6,DataOB[#Headers],0)),"")</f>
        <v>0</v>
      </c>
      <c r="AA161" s="67">
        <f>IF($B161&lt;&gt;"",INDEX(DataOB[],FirstRow+ROW()-7,MATCH(AA$6,DataOB[#Headers],0)),"")</f>
        <v>0</v>
      </c>
      <c r="AB161" s="67">
        <f>IF($B161&lt;&gt;"",INDEX(DataOB[],FirstRow+ROW()-7,MATCH(AB$6,DataOB[#Headers],0)),"")</f>
        <v>0</v>
      </c>
      <c r="AC161" s="67">
        <f>IF($B161&lt;&gt;"",INDEX(DataOB[],FirstRow+ROW()-7,MATCH(AC$6,DataOB[#Headers],0)),"")</f>
        <v>0</v>
      </c>
      <c r="AD161" s="67">
        <f>IF($B161&lt;&gt;"",INDEX(DataOB[],FirstRow+ROW()-7,MATCH(AD$6,DataOB[#Headers],0)),"")</f>
        <v>0</v>
      </c>
      <c r="AE161" s="67">
        <f>IF($B161&lt;&gt;"",INDEX(DataOB[],FirstRow+ROW()-7,MATCH(AE$6,DataOB[#Headers],0)),"")</f>
        <v>0</v>
      </c>
      <c r="AF161" s="26">
        <f t="shared" si="32"/>
        <v>0.14149</v>
      </c>
      <c r="AG161" s="31">
        <f>SUM($T161:T161)</f>
        <v>0.14149</v>
      </c>
      <c r="AH161" s="31">
        <f>SUM($T161:U161)</f>
        <v>0.14149</v>
      </c>
      <c r="AI161" s="31">
        <f>SUM($T161:V161)</f>
        <v>0.14149</v>
      </c>
      <c r="AJ161" s="31">
        <f>SUM($T161:W161)</f>
        <v>0.14149</v>
      </c>
      <c r="AK161" s="31">
        <f>SUM($T161:X161)</f>
        <v>0.14149</v>
      </c>
      <c r="AL161" s="31">
        <f>SUM($T161:Y161)</f>
        <v>0.14149</v>
      </c>
      <c r="AM161" s="31">
        <f>SUM($T161:Z161)</f>
        <v>0.14149</v>
      </c>
      <c r="AN161" s="31">
        <f>SUM($T161:AA161)</f>
        <v>0.14149</v>
      </c>
      <c r="AO161" s="31">
        <f>SUM($T161:AB161)</f>
        <v>0.14149</v>
      </c>
      <c r="AP161" s="31">
        <f>SUM($T161:AC161)</f>
        <v>0.14149</v>
      </c>
      <c r="AQ161" s="31">
        <f>SUM($T161:AD161)</f>
        <v>0.14149</v>
      </c>
      <c r="AR161" s="31">
        <f>SUM($T161:AE161)</f>
        <v>0.14149</v>
      </c>
      <c r="AS161" s="27">
        <f t="shared" si="33"/>
        <v>0</v>
      </c>
    </row>
    <row r="162" spans="2:45">
      <c r="B162" s="156">
        <f>IF(ROW()-6&gt;NumCostCenter,"",IF(CostCenter&lt;&gt;"ALL",CostCenter,DATA_LF2!B160))</f>
        <v>8311</v>
      </c>
      <c r="C162" s="153">
        <f>IF($B162&lt;&gt;"",INDEX(DataOB[],FirstRow+ROW()-7,2),"")</f>
        <v>8311</v>
      </c>
      <c r="D162" s="157" t="str">
        <f>IF($B162&lt;&gt;"",INDEX(DataOB[],FirstRow+ROW()-7,3),"")</f>
        <v>IF00399</v>
      </c>
      <c r="E162" s="158">
        <f>IF($B162&lt;&gt;"",INDEX(DataOB[],FirstRow+ROW()-7,6),"")</f>
        <v>0</v>
      </c>
      <c r="F162" s="158" t="str">
        <f>IF($B162&lt;&gt;"",INDEX(DataOB[],FirstRow+ROW()-7,5),"")</f>
        <v>PLC software Rockwell for Mixing</v>
      </c>
      <c r="G162" s="58">
        <f>IF($B162&lt;&gt;"",SUMIFS(DataAct_tbl[AMOUNT],DataAct_tbl[BG CODE],Detail!$D162,DataAct_tbl[MONTH],LEFT(MonthName,3),DataAct_tbl[Dept code],$B162),0)</f>
        <v>0</v>
      </c>
      <c r="H162" s="31">
        <f t="shared" si="25"/>
        <v>0</v>
      </c>
      <c r="I162" s="28">
        <f t="shared" si="26"/>
        <v>0</v>
      </c>
      <c r="J162" s="32" t="str">
        <f t="shared" si="27"/>
        <v xml:space="preserve"> </v>
      </c>
      <c r="K162" s="86"/>
      <c r="L162" s="62">
        <f>IF($B162&lt;&gt;"",SUMIFS(DataAct_tbl[AMOUNT],DataAct_tbl[BG CODE],Detail!$D162,DataAct_tbl[Check Range],"=true",DataAct_tbl[Dept code],$B162),0)</f>
        <v>10.331380000000001</v>
      </c>
      <c r="M162" s="63">
        <f>INDEX($AG$7:$AR$1005,ROW()-6,MATCH(MTD,$AG$6:$AR$6,0))</f>
        <v>10.331380000000001</v>
      </c>
      <c r="N162" s="34">
        <f t="shared" si="28"/>
        <v>0</v>
      </c>
      <c r="O162" s="64">
        <f t="shared" si="29"/>
        <v>1</v>
      </c>
      <c r="Q162" s="97">
        <f t="shared" si="30"/>
        <v>10.331380000000001</v>
      </c>
      <c r="R162" s="96">
        <f t="shared" si="31"/>
        <v>0</v>
      </c>
      <c r="T162" s="67">
        <f>IF($B162&lt;&gt;"",INDEX(DataOB[],FirstRow+ROW()-7,MATCH(T$6,DataOB[#Headers],0)),"")</f>
        <v>0</v>
      </c>
      <c r="U162" s="67">
        <f>IF($B162&lt;&gt;"",INDEX(DataOB[],FirstRow+ROW()-7,MATCH(U$6,DataOB[#Headers],0)),"")</f>
        <v>10.331380000000001</v>
      </c>
      <c r="V162" s="67">
        <f>IF($B162&lt;&gt;"",INDEX(DataOB[],FirstRow+ROW()-7,MATCH(V$6,DataOB[#Headers],0)),"")</f>
        <v>0</v>
      </c>
      <c r="W162" s="67">
        <f>IF($B162&lt;&gt;"",INDEX(DataOB[],FirstRow+ROW()-7,MATCH(W$6,DataOB[#Headers],0)),"")</f>
        <v>0</v>
      </c>
      <c r="X162" s="67">
        <f>IF($B162&lt;&gt;"",INDEX(DataOB[],FirstRow+ROW()-7,MATCH(X$6,DataOB[#Headers],0)),"")</f>
        <v>0</v>
      </c>
      <c r="Y162" s="67">
        <f>IF($B162&lt;&gt;"",INDEX(DataOB[],FirstRow+ROW()-7,MATCH(Y$6,DataOB[#Headers],0)),"")</f>
        <v>0</v>
      </c>
      <c r="Z162" s="67">
        <f>IF($B162&lt;&gt;"",INDEX(DataOB[],FirstRow+ROW()-7,MATCH(Z$6,DataOB[#Headers],0)),"")</f>
        <v>0</v>
      </c>
      <c r="AA162" s="67">
        <f>IF($B162&lt;&gt;"",INDEX(DataOB[],FirstRow+ROW()-7,MATCH(AA$6,DataOB[#Headers],0)),"")</f>
        <v>0</v>
      </c>
      <c r="AB162" s="67">
        <f>IF($B162&lt;&gt;"",INDEX(DataOB[],FirstRow+ROW()-7,MATCH(AB$6,DataOB[#Headers],0)),"")</f>
        <v>0</v>
      </c>
      <c r="AC162" s="67">
        <f>IF($B162&lt;&gt;"",INDEX(DataOB[],FirstRow+ROW()-7,MATCH(AC$6,DataOB[#Headers],0)),"")</f>
        <v>0</v>
      </c>
      <c r="AD162" s="67">
        <f>IF($B162&lt;&gt;"",INDEX(DataOB[],FirstRow+ROW()-7,MATCH(AD$6,DataOB[#Headers],0)),"")</f>
        <v>0</v>
      </c>
      <c r="AE162" s="67">
        <f>IF($B162&lt;&gt;"",INDEX(DataOB[],FirstRow+ROW()-7,MATCH(AE$6,DataOB[#Headers],0)),"")</f>
        <v>0</v>
      </c>
      <c r="AF162" s="26">
        <f t="shared" si="32"/>
        <v>10.331380000000001</v>
      </c>
      <c r="AG162" s="31">
        <f>SUM($T162:T162)</f>
        <v>0</v>
      </c>
      <c r="AH162" s="31">
        <f>SUM($T162:U162)</f>
        <v>10.331380000000001</v>
      </c>
      <c r="AI162" s="31">
        <f>SUM($T162:V162)</f>
        <v>10.331380000000001</v>
      </c>
      <c r="AJ162" s="31">
        <f>SUM($T162:W162)</f>
        <v>10.331380000000001</v>
      </c>
      <c r="AK162" s="31">
        <f>SUM($T162:X162)</f>
        <v>10.331380000000001</v>
      </c>
      <c r="AL162" s="31">
        <f>SUM($T162:Y162)</f>
        <v>10.331380000000001</v>
      </c>
      <c r="AM162" s="31">
        <f>SUM($T162:Z162)</f>
        <v>10.331380000000001</v>
      </c>
      <c r="AN162" s="31">
        <f>SUM($T162:AA162)</f>
        <v>10.331380000000001</v>
      </c>
      <c r="AO162" s="31">
        <f>SUM($T162:AB162)</f>
        <v>10.331380000000001</v>
      </c>
      <c r="AP162" s="31">
        <f>SUM($T162:AC162)</f>
        <v>10.331380000000001</v>
      </c>
      <c r="AQ162" s="31">
        <f>SUM($T162:AD162)</f>
        <v>10.331380000000001</v>
      </c>
      <c r="AR162" s="31">
        <f>SUM($T162:AE162)</f>
        <v>10.331380000000001</v>
      </c>
      <c r="AS162" s="27">
        <f t="shared" si="33"/>
        <v>0</v>
      </c>
    </row>
    <row r="163" spans="2:45">
      <c r="B163" s="156">
        <f>IF(ROW()-6&gt;NumCostCenter,"",IF(CostCenter&lt;&gt;"ALL",CostCenter,DATA_LF2!B161))</f>
        <v>8311</v>
      </c>
      <c r="C163" s="153">
        <f>IF($B163&lt;&gt;"",INDEX(DataOB[],FirstRow+ROW()-7,2),"")</f>
        <v>8311</v>
      </c>
      <c r="D163" s="157" t="str">
        <f>IF($B163&lt;&gt;"",INDEX(DataOB[],FirstRow+ROW()-7,3),"")</f>
        <v>OT00172</v>
      </c>
      <c r="E163" s="158">
        <f>IF($B163&lt;&gt;"",INDEX(DataOB[],FirstRow+ROW()-7,6),"")</f>
        <v>0</v>
      </c>
      <c r="F163" s="158" t="str">
        <f>IF($B163&lt;&gt;"",INDEX(DataOB[],FirstRow+ROW()-7,5),"")</f>
        <v>Shelves Drawing#01 2051x3000x1200mm</v>
      </c>
      <c r="G163" s="58">
        <f>IF($B163&lt;&gt;"",SUMIFS(DataAct_tbl[AMOUNT],DataAct_tbl[BG CODE],Detail!$D163,DataAct_tbl[MONTH],LEFT(MonthName,3),DataAct_tbl[Dept code],$B163),0)</f>
        <v>0</v>
      </c>
      <c r="H163" s="31">
        <f t="shared" si="25"/>
        <v>0</v>
      </c>
      <c r="I163" s="28">
        <f t="shared" si="26"/>
        <v>0</v>
      </c>
      <c r="J163" s="32" t="str">
        <f t="shared" si="27"/>
        <v xml:space="preserve"> </v>
      </c>
      <c r="K163" s="86"/>
      <c r="L163" s="62">
        <f>IF($B163&lt;&gt;"",SUMIFS(DataAct_tbl[AMOUNT],DataAct_tbl[BG CODE],Detail!$D163,DataAct_tbl[Check Range],"=true",DataAct_tbl[Dept code],$B163),0)</f>
        <v>11.175529999999997</v>
      </c>
      <c r="M163" s="63">
        <f>INDEX($AG$7:$AR$1005,ROW()-6,MATCH(MTD,$AG$6:$AR$6,0))</f>
        <v>11.17553</v>
      </c>
      <c r="N163" s="34">
        <f t="shared" si="28"/>
        <v>-3.5527136788005009E-15</v>
      </c>
      <c r="O163" s="64">
        <f t="shared" si="29"/>
        <v>0.99999999999999967</v>
      </c>
      <c r="Q163" s="97">
        <f t="shared" si="30"/>
        <v>11.17553</v>
      </c>
      <c r="R163" s="96">
        <f t="shared" si="31"/>
        <v>0</v>
      </c>
      <c r="T163" s="67">
        <f>IF($B163&lt;&gt;"",INDEX(DataOB[],FirstRow+ROW()-7,MATCH(T$6,DataOB[#Headers],0)),"")</f>
        <v>0</v>
      </c>
      <c r="U163" s="67">
        <f>IF($B163&lt;&gt;"",INDEX(DataOB[],FirstRow+ROW()-7,MATCH(U$6,DataOB[#Headers],0)),"")</f>
        <v>0</v>
      </c>
      <c r="V163" s="67">
        <f>IF($B163&lt;&gt;"",INDEX(DataOB[],FirstRow+ROW()-7,MATCH(V$6,DataOB[#Headers],0)),"")</f>
        <v>0</v>
      </c>
      <c r="W163" s="67">
        <f>IF($B163&lt;&gt;"",INDEX(DataOB[],FirstRow+ROW()-7,MATCH(W$6,DataOB[#Headers],0)),"")</f>
        <v>11.17553</v>
      </c>
      <c r="X163" s="67">
        <f>IF($B163&lt;&gt;"",INDEX(DataOB[],FirstRow+ROW()-7,MATCH(X$6,DataOB[#Headers],0)),"")</f>
        <v>0</v>
      </c>
      <c r="Y163" s="67">
        <f>IF($B163&lt;&gt;"",INDEX(DataOB[],FirstRow+ROW()-7,MATCH(Y$6,DataOB[#Headers],0)),"")</f>
        <v>0</v>
      </c>
      <c r="Z163" s="67">
        <f>IF($B163&lt;&gt;"",INDEX(DataOB[],FirstRow+ROW()-7,MATCH(Z$6,DataOB[#Headers],0)),"")</f>
        <v>0</v>
      </c>
      <c r="AA163" s="67">
        <f>IF($B163&lt;&gt;"",INDEX(DataOB[],FirstRow+ROW()-7,MATCH(AA$6,DataOB[#Headers],0)),"")</f>
        <v>0</v>
      </c>
      <c r="AB163" s="67">
        <f>IF($B163&lt;&gt;"",INDEX(DataOB[],FirstRow+ROW()-7,MATCH(AB$6,DataOB[#Headers],0)),"")</f>
        <v>0</v>
      </c>
      <c r="AC163" s="67">
        <f>IF($B163&lt;&gt;"",INDEX(DataOB[],FirstRow+ROW()-7,MATCH(AC$6,DataOB[#Headers],0)),"")</f>
        <v>0</v>
      </c>
      <c r="AD163" s="67">
        <f>IF($B163&lt;&gt;"",INDEX(DataOB[],FirstRow+ROW()-7,MATCH(AD$6,DataOB[#Headers],0)),"")</f>
        <v>0</v>
      </c>
      <c r="AE163" s="67">
        <f>IF($B163&lt;&gt;"",INDEX(DataOB[],FirstRow+ROW()-7,MATCH(AE$6,DataOB[#Headers],0)),"")</f>
        <v>0</v>
      </c>
      <c r="AF163" s="26">
        <f t="shared" si="32"/>
        <v>11.17553</v>
      </c>
      <c r="AG163" s="31">
        <f>SUM($T163:T163)</f>
        <v>0</v>
      </c>
      <c r="AH163" s="31">
        <f>SUM($T163:U163)</f>
        <v>0</v>
      </c>
      <c r="AI163" s="31">
        <f>SUM($T163:V163)</f>
        <v>0</v>
      </c>
      <c r="AJ163" s="31">
        <f>SUM($T163:W163)</f>
        <v>11.17553</v>
      </c>
      <c r="AK163" s="31">
        <f>SUM($T163:X163)</f>
        <v>11.17553</v>
      </c>
      <c r="AL163" s="31">
        <f>SUM($T163:Y163)</f>
        <v>11.17553</v>
      </c>
      <c r="AM163" s="31">
        <f>SUM($T163:Z163)</f>
        <v>11.17553</v>
      </c>
      <c r="AN163" s="31">
        <f>SUM($T163:AA163)</f>
        <v>11.17553</v>
      </c>
      <c r="AO163" s="31">
        <f>SUM($T163:AB163)</f>
        <v>11.17553</v>
      </c>
      <c r="AP163" s="31">
        <f>SUM($T163:AC163)</f>
        <v>11.17553</v>
      </c>
      <c r="AQ163" s="31">
        <f>SUM($T163:AD163)</f>
        <v>11.17553</v>
      </c>
      <c r="AR163" s="31">
        <f>SUM($T163:AE163)</f>
        <v>11.17553</v>
      </c>
      <c r="AS163" s="27">
        <f t="shared" si="33"/>
        <v>0</v>
      </c>
    </row>
    <row r="164" spans="2:45">
      <c r="B164" s="156">
        <f>IF(ROW()-6&gt;NumCostCenter,"",IF(CostCenter&lt;&gt;"ALL",CostCenter,DATA_LF2!B162))</f>
        <v>8311</v>
      </c>
      <c r="C164" s="153">
        <f>IF($B164&lt;&gt;"",INDEX(DataOB[],FirstRow+ROW()-7,2),"")</f>
        <v>8311</v>
      </c>
      <c r="D164" s="157" t="str">
        <f>IF($B164&lt;&gt;"",INDEX(DataOB[],FirstRow+ROW()-7,3),"")</f>
        <v>TBD</v>
      </c>
      <c r="E164" s="158">
        <f>IF($B164&lt;&gt;"",INDEX(DataOB[],FirstRow+ROW()-7,6),"")</f>
        <v>0</v>
      </c>
      <c r="F164" s="158" t="str">
        <f>IF($B164&lt;&gt;"",INDEX(DataOB[],FirstRow+ROW()-7,5),"")</f>
        <v>Laser Mold cleaning machine</v>
      </c>
      <c r="G164" s="58">
        <f>IF($B164&lt;&gt;"",SUMIFS(DataAct_tbl[AMOUNT],DataAct_tbl[BG CODE],Detail!$D164,DataAct_tbl[MONTH],LEFT(MonthName,3),DataAct_tbl[Dept code],$B164),0)</f>
        <v>0</v>
      </c>
      <c r="H164" s="31">
        <f t="shared" si="25"/>
        <v>0</v>
      </c>
      <c r="I164" s="28">
        <f t="shared" si="26"/>
        <v>0</v>
      </c>
      <c r="J164" s="32" t="str">
        <f t="shared" si="27"/>
        <v xml:space="preserve"> </v>
      </c>
      <c r="K164" s="86"/>
      <c r="L164" s="62">
        <f>IF($B164&lt;&gt;"",SUMIFS(DataAct_tbl[AMOUNT],DataAct_tbl[BG CODE],Detail!$D164,DataAct_tbl[Check Range],"=true",DataAct_tbl[Dept code],$B164),0)</f>
        <v>0</v>
      </c>
      <c r="M164" s="63">
        <f>INDEX($AG$7:$AR$1005,ROW()-6,MATCH(MTD,$AG$6:$AR$6,0))</f>
        <v>0</v>
      </c>
      <c r="N164" s="34">
        <f t="shared" si="28"/>
        <v>0</v>
      </c>
      <c r="O164" s="64" t="str">
        <f t="shared" si="29"/>
        <v xml:space="preserve"> </v>
      </c>
      <c r="Q164" s="97">
        <f t="shared" si="30"/>
        <v>450</v>
      </c>
      <c r="R164" s="96">
        <f t="shared" si="31"/>
        <v>450</v>
      </c>
      <c r="T164" s="67">
        <f>IF($B164&lt;&gt;"",INDEX(DataOB[],FirstRow+ROW()-7,MATCH(T$6,DataOB[#Headers],0)),"")</f>
        <v>0</v>
      </c>
      <c r="U164" s="67">
        <f>IF($B164&lt;&gt;"",INDEX(DataOB[],FirstRow+ROW()-7,MATCH(U$6,DataOB[#Headers],0)),"")</f>
        <v>0</v>
      </c>
      <c r="V164" s="67">
        <f>IF($B164&lt;&gt;"",INDEX(DataOB[],FirstRow+ROW()-7,MATCH(V$6,DataOB[#Headers],0)),"")</f>
        <v>0</v>
      </c>
      <c r="W164" s="67">
        <f>IF($B164&lt;&gt;"",INDEX(DataOB[],FirstRow+ROW()-7,MATCH(W$6,DataOB[#Headers],0)),"")</f>
        <v>0</v>
      </c>
      <c r="X164" s="67">
        <f>IF($B164&lt;&gt;"",INDEX(DataOB[],FirstRow+ROW()-7,MATCH(X$6,DataOB[#Headers],0)),"")</f>
        <v>0</v>
      </c>
      <c r="Y164" s="67">
        <f>IF($B164&lt;&gt;"",INDEX(DataOB[],FirstRow+ROW()-7,MATCH(Y$6,DataOB[#Headers],0)),"")</f>
        <v>0</v>
      </c>
      <c r="Z164" s="67">
        <f>IF($B164&lt;&gt;"",INDEX(DataOB[],FirstRow+ROW()-7,MATCH(Z$6,DataOB[#Headers],0)),"")</f>
        <v>0</v>
      </c>
      <c r="AA164" s="67">
        <f>IF($B164&lt;&gt;"",INDEX(DataOB[],FirstRow+ROW()-7,MATCH(AA$6,DataOB[#Headers],0)),"")</f>
        <v>0</v>
      </c>
      <c r="AB164" s="67">
        <f>IF($B164&lt;&gt;"",INDEX(DataOB[],FirstRow+ROW()-7,MATCH(AB$6,DataOB[#Headers],0)),"")</f>
        <v>0</v>
      </c>
      <c r="AC164" s="67">
        <f>IF($B164&lt;&gt;"",INDEX(DataOB[],FirstRow+ROW()-7,MATCH(AC$6,DataOB[#Headers],0)),"")</f>
        <v>450</v>
      </c>
      <c r="AD164" s="67">
        <f>IF($B164&lt;&gt;"",INDEX(DataOB[],FirstRow+ROW()-7,MATCH(AD$6,DataOB[#Headers],0)),"")</f>
        <v>0</v>
      </c>
      <c r="AE164" s="67">
        <f>IF($B164&lt;&gt;"",INDEX(DataOB[],FirstRow+ROW()-7,MATCH(AE$6,DataOB[#Headers],0)),"")</f>
        <v>0</v>
      </c>
      <c r="AF164" s="26">
        <f t="shared" si="32"/>
        <v>450</v>
      </c>
      <c r="AG164" s="31">
        <f>SUM($T164:T164)</f>
        <v>0</v>
      </c>
      <c r="AH164" s="31">
        <f>SUM($T164:U164)</f>
        <v>0</v>
      </c>
      <c r="AI164" s="31">
        <f>SUM($T164:V164)</f>
        <v>0</v>
      </c>
      <c r="AJ164" s="31">
        <f>SUM($T164:W164)</f>
        <v>0</v>
      </c>
      <c r="AK164" s="31">
        <f>SUM($T164:X164)</f>
        <v>0</v>
      </c>
      <c r="AL164" s="31">
        <f>SUM($T164:Y164)</f>
        <v>0</v>
      </c>
      <c r="AM164" s="31">
        <f>SUM($T164:Z164)</f>
        <v>0</v>
      </c>
      <c r="AN164" s="31">
        <f>SUM($T164:AA164)</f>
        <v>0</v>
      </c>
      <c r="AO164" s="31">
        <f>SUM($T164:AB164)</f>
        <v>0</v>
      </c>
      <c r="AP164" s="31">
        <f>SUM($T164:AC164)</f>
        <v>450</v>
      </c>
      <c r="AQ164" s="31">
        <f>SUM($T164:AD164)</f>
        <v>450</v>
      </c>
      <c r="AR164" s="31">
        <f>SUM($T164:AE164)</f>
        <v>450</v>
      </c>
      <c r="AS164" s="27">
        <f t="shared" si="33"/>
        <v>0</v>
      </c>
    </row>
    <row r="165" spans="2:45">
      <c r="B165" s="156">
        <f>IF(ROW()-6&gt;NumCostCenter,"",IF(CostCenter&lt;&gt;"ALL",CostCenter,DATA_LF2!B163))</f>
        <v>8311</v>
      </c>
      <c r="C165" s="153">
        <f>IF($B165&lt;&gt;"",INDEX(DataOB[],FirstRow+ROW()-7,2),"")</f>
        <v>8311</v>
      </c>
      <c r="D165" s="157" t="str">
        <f>IF($B165&lt;&gt;"",INDEX(DataOB[],FirstRow+ROW()-7,3),"")</f>
        <v>TBD</v>
      </c>
      <c r="E165" s="158">
        <f>IF($B165&lt;&gt;"",INDEX(DataOB[],FirstRow+ROW()-7,6),"")</f>
        <v>0</v>
      </c>
      <c r="F165" s="158" t="str">
        <f>IF($B165&lt;&gt;"",INDEX(DataOB[],FirstRow+ROW()-7,5),"")</f>
        <v>Upgrade logic PC for 07 Rimflows &amp; 01 D machine</v>
      </c>
      <c r="G165" s="58">
        <f>IF($B165&lt;&gt;"",SUMIFS(DataAct_tbl[AMOUNT],DataAct_tbl[BG CODE],Detail!$D165,DataAct_tbl[MONTH],LEFT(MonthName,3),DataAct_tbl[Dept code],$B165),0)</f>
        <v>0</v>
      </c>
      <c r="H165" s="31">
        <f t="shared" si="25"/>
        <v>0</v>
      </c>
      <c r="I165" s="28">
        <f t="shared" si="26"/>
        <v>0</v>
      </c>
      <c r="J165" s="32" t="str">
        <f t="shared" si="27"/>
        <v xml:space="preserve"> </v>
      </c>
      <c r="K165" s="86"/>
      <c r="L165" s="62">
        <f>IF($B165&lt;&gt;"",SUMIFS(DataAct_tbl[AMOUNT],DataAct_tbl[BG CODE],Detail!$D165,DataAct_tbl[Check Range],"=true",DataAct_tbl[Dept code],$B165),0)</f>
        <v>0</v>
      </c>
      <c r="M165" s="63">
        <f>INDEX($AG$7:$AR$1005,ROW()-6,MATCH(MTD,$AG$6:$AR$6,0))</f>
        <v>0</v>
      </c>
      <c r="N165" s="34">
        <f t="shared" si="28"/>
        <v>0</v>
      </c>
      <c r="O165" s="64" t="str">
        <f t="shared" si="29"/>
        <v xml:space="preserve"> </v>
      </c>
      <c r="Q165" s="97">
        <f t="shared" si="30"/>
        <v>130</v>
      </c>
      <c r="R165" s="96">
        <f t="shared" si="31"/>
        <v>130</v>
      </c>
      <c r="T165" s="67">
        <f>IF($B165&lt;&gt;"",INDEX(DataOB[],FirstRow+ROW()-7,MATCH(T$6,DataOB[#Headers],0)),"")</f>
        <v>0</v>
      </c>
      <c r="U165" s="67">
        <f>IF($B165&lt;&gt;"",INDEX(DataOB[],FirstRow+ROW()-7,MATCH(U$6,DataOB[#Headers],0)),"")</f>
        <v>0</v>
      </c>
      <c r="V165" s="67">
        <f>IF($B165&lt;&gt;"",INDEX(DataOB[],FirstRow+ROW()-7,MATCH(V$6,DataOB[#Headers],0)),"")</f>
        <v>0</v>
      </c>
      <c r="W165" s="67">
        <f>IF($B165&lt;&gt;"",INDEX(DataOB[],FirstRow+ROW()-7,MATCH(W$6,DataOB[#Headers],0)),"")</f>
        <v>0</v>
      </c>
      <c r="X165" s="67">
        <f>IF($B165&lt;&gt;"",INDEX(DataOB[],FirstRow+ROW()-7,MATCH(X$6,DataOB[#Headers],0)),"")</f>
        <v>0</v>
      </c>
      <c r="Y165" s="67">
        <f>IF($B165&lt;&gt;"",INDEX(DataOB[],FirstRow+ROW()-7,MATCH(Y$6,DataOB[#Headers],0)),"")</f>
        <v>0</v>
      </c>
      <c r="Z165" s="67">
        <f>IF($B165&lt;&gt;"",INDEX(DataOB[],FirstRow+ROW()-7,MATCH(Z$6,DataOB[#Headers],0)),"")</f>
        <v>0</v>
      </c>
      <c r="AA165" s="67">
        <f>IF($B165&lt;&gt;"",INDEX(DataOB[],FirstRow+ROW()-7,MATCH(AA$6,DataOB[#Headers],0)),"")</f>
        <v>0</v>
      </c>
      <c r="AB165" s="67">
        <f>IF($B165&lt;&gt;"",INDEX(DataOB[],FirstRow+ROW()-7,MATCH(AB$6,DataOB[#Headers],0)),"")</f>
        <v>0</v>
      </c>
      <c r="AC165" s="67">
        <f>IF($B165&lt;&gt;"",INDEX(DataOB[],FirstRow+ROW()-7,MATCH(AC$6,DataOB[#Headers],0)),"")</f>
        <v>0</v>
      </c>
      <c r="AD165" s="67">
        <f>IF($B165&lt;&gt;"",INDEX(DataOB[],FirstRow+ROW()-7,MATCH(AD$6,DataOB[#Headers],0)),"")</f>
        <v>130</v>
      </c>
      <c r="AE165" s="67">
        <f>IF($B165&lt;&gt;"",INDEX(DataOB[],FirstRow+ROW()-7,MATCH(AE$6,DataOB[#Headers],0)),"")</f>
        <v>0</v>
      </c>
      <c r="AF165" s="26">
        <f t="shared" si="32"/>
        <v>130</v>
      </c>
      <c r="AG165" s="31">
        <f>SUM($T165:T165)</f>
        <v>0</v>
      </c>
      <c r="AH165" s="31">
        <f>SUM($T165:U165)</f>
        <v>0</v>
      </c>
      <c r="AI165" s="31">
        <f>SUM($T165:V165)</f>
        <v>0</v>
      </c>
      <c r="AJ165" s="31">
        <f>SUM($T165:W165)</f>
        <v>0</v>
      </c>
      <c r="AK165" s="31">
        <f>SUM($T165:X165)</f>
        <v>0</v>
      </c>
      <c r="AL165" s="31">
        <f>SUM($T165:Y165)</f>
        <v>0</v>
      </c>
      <c r="AM165" s="31">
        <f>SUM($T165:Z165)</f>
        <v>0</v>
      </c>
      <c r="AN165" s="31">
        <f>SUM($T165:AA165)</f>
        <v>0</v>
      </c>
      <c r="AO165" s="31">
        <f>SUM($T165:AB165)</f>
        <v>0</v>
      </c>
      <c r="AP165" s="31">
        <f>SUM($T165:AC165)</f>
        <v>0</v>
      </c>
      <c r="AQ165" s="31">
        <f>SUM($T165:AD165)</f>
        <v>130</v>
      </c>
      <c r="AR165" s="31">
        <f>SUM($T165:AE165)</f>
        <v>130</v>
      </c>
      <c r="AS165" s="27">
        <f t="shared" si="33"/>
        <v>0</v>
      </c>
    </row>
    <row r="166" spans="2:45">
      <c r="B166" s="156">
        <f>IF(ROW()-6&gt;NumCostCenter,"",IF(CostCenter&lt;&gt;"ALL",CostCenter,DATA_LF2!B164))</f>
        <v>8311</v>
      </c>
      <c r="C166" s="153">
        <f>IF($B166&lt;&gt;"",INDEX(DataOB[],FirstRow+ROW()-7,2),"")</f>
        <v>8311</v>
      </c>
      <c r="D166" s="157" t="str">
        <f>IF($B166&lt;&gt;"",INDEX(DataOB[],FirstRow+ROW()-7,3),"")</f>
        <v>TBD</v>
      </c>
      <c r="E166" s="158">
        <f>IF($B166&lt;&gt;"",INDEX(DataOB[],FirstRow+ROW()-7,6),"")</f>
        <v>0</v>
      </c>
      <c r="F166" s="158" t="str">
        <f>IF($B166&lt;&gt;"",INDEX(DataOB[],FirstRow+ROW()-7,5),"")</f>
        <v>Improve interlock mixer condition ( BB#1, 2,3,4,5 )</v>
      </c>
      <c r="G166" s="58">
        <f>IF($B166&lt;&gt;"",SUMIFS(DataAct_tbl[AMOUNT],DataAct_tbl[BG CODE],Detail!$D166,DataAct_tbl[MONTH],LEFT(MonthName,3),DataAct_tbl[Dept code],$B166),0)</f>
        <v>0</v>
      </c>
      <c r="H166" s="31">
        <f t="shared" si="25"/>
        <v>0</v>
      </c>
      <c r="I166" s="28">
        <f t="shared" si="26"/>
        <v>0</v>
      </c>
      <c r="J166" s="32" t="str">
        <f t="shared" si="27"/>
        <v xml:space="preserve"> </v>
      </c>
      <c r="K166" s="86"/>
      <c r="L166" s="62">
        <f>IF($B166&lt;&gt;"",SUMIFS(DataAct_tbl[AMOUNT],DataAct_tbl[BG CODE],Detail!$D166,DataAct_tbl[Check Range],"=true",DataAct_tbl[Dept code],$B166),0)</f>
        <v>0</v>
      </c>
      <c r="M166" s="63">
        <f>INDEX($AG$7:$AR$1005,ROW()-6,MATCH(MTD,$AG$6:$AR$6,0))</f>
        <v>0</v>
      </c>
      <c r="N166" s="34">
        <f t="shared" si="28"/>
        <v>0</v>
      </c>
      <c r="O166" s="64" t="str">
        <f t="shared" si="29"/>
        <v xml:space="preserve"> </v>
      </c>
      <c r="Q166" s="97">
        <f t="shared" si="30"/>
        <v>30</v>
      </c>
      <c r="R166" s="96">
        <f t="shared" si="31"/>
        <v>30</v>
      </c>
      <c r="T166" s="67">
        <f>IF($B166&lt;&gt;"",INDEX(DataOB[],FirstRow+ROW()-7,MATCH(T$6,DataOB[#Headers],0)),"")</f>
        <v>0</v>
      </c>
      <c r="U166" s="67">
        <f>IF($B166&lt;&gt;"",INDEX(DataOB[],FirstRow+ROW()-7,MATCH(U$6,DataOB[#Headers],0)),"")</f>
        <v>0</v>
      </c>
      <c r="V166" s="67">
        <f>IF($B166&lt;&gt;"",INDEX(DataOB[],FirstRow+ROW()-7,MATCH(V$6,DataOB[#Headers],0)),"")</f>
        <v>0</v>
      </c>
      <c r="W166" s="67">
        <f>IF($B166&lt;&gt;"",INDEX(DataOB[],FirstRow+ROW()-7,MATCH(W$6,DataOB[#Headers],0)),"")</f>
        <v>0</v>
      </c>
      <c r="X166" s="67">
        <f>IF($B166&lt;&gt;"",INDEX(DataOB[],FirstRow+ROW()-7,MATCH(X$6,DataOB[#Headers],0)),"")</f>
        <v>0</v>
      </c>
      <c r="Y166" s="67">
        <f>IF($B166&lt;&gt;"",INDEX(DataOB[],FirstRow+ROW()-7,MATCH(Y$6,DataOB[#Headers],0)),"")</f>
        <v>0</v>
      </c>
      <c r="Z166" s="67">
        <f>IF($B166&lt;&gt;"",INDEX(DataOB[],FirstRow+ROW()-7,MATCH(Z$6,DataOB[#Headers],0)),"")</f>
        <v>0</v>
      </c>
      <c r="AA166" s="67">
        <f>IF($B166&lt;&gt;"",INDEX(DataOB[],FirstRow+ROW()-7,MATCH(AA$6,DataOB[#Headers],0)),"")</f>
        <v>0</v>
      </c>
      <c r="AB166" s="67">
        <f>IF($B166&lt;&gt;"",INDEX(DataOB[],FirstRow+ROW()-7,MATCH(AB$6,DataOB[#Headers],0)),"")</f>
        <v>0</v>
      </c>
      <c r="AC166" s="67">
        <f>IF($B166&lt;&gt;"",INDEX(DataOB[],FirstRow+ROW()-7,MATCH(AC$6,DataOB[#Headers],0)),"")</f>
        <v>0</v>
      </c>
      <c r="AD166" s="67">
        <f>IF($B166&lt;&gt;"",INDEX(DataOB[],FirstRow+ROW()-7,MATCH(AD$6,DataOB[#Headers],0)),"")</f>
        <v>30</v>
      </c>
      <c r="AE166" s="67">
        <f>IF($B166&lt;&gt;"",INDEX(DataOB[],FirstRow+ROW()-7,MATCH(AE$6,DataOB[#Headers],0)),"")</f>
        <v>0</v>
      </c>
      <c r="AF166" s="26">
        <f t="shared" si="32"/>
        <v>30</v>
      </c>
      <c r="AG166" s="31">
        <f>SUM($T166:T166)</f>
        <v>0</v>
      </c>
      <c r="AH166" s="31">
        <f>SUM($T166:U166)</f>
        <v>0</v>
      </c>
      <c r="AI166" s="31">
        <f>SUM($T166:V166)</f>
        <v>0</v>
      </c>
      <c r="AJ166" s="31">
        <f>SUM($T166:W166)</f>
        <v>0</v>
      </c>
      <c r="AK166" s="31">
        <f>SUM($T166:X166)</f>
        <v>0</v>
      </c>
      <c r="AL166" s="31">
        <f>SUM($T166:Y166)</f>
        <v>0</v>
      </c>
      <c r="AM166" s="31">
        <f>SUM($T166:Z166)</f>
        <v>0</v>
      </c>
      <c r="AN166" s="31">
        <f>SUM($T166:AA166)</f>
        <v>0</v>
      </c>
      <c r="AO166" s="31">
        <f>SUM($T166:AB166)</f>
        <v>0</v>
      </c>
      <c r="AP166" s="31">
        <f>SUM($T166:AC166)</f>
        <v>0</v>
      </c>
      <c r="AQ166" s="31">
        <f>SUM($T166:AD166)</f>
        <v>30</v>
      </c>
      <c r="AR166" s="31">
        <f>SUM($T166:AE166)</f>
        <v>30</v>
      </c>
      <c r="AS166" s="27">
        <f t="shared" si="33"/>
        <v>0</v>
      </c>
    </row>
    <row r="167" spans="2:45">
      <c r="B167" s="156">
        <f>IF(ROW()-6&gt;NumCostCenter,"",IF(CostCenter&lt;&gt;"ALL",CostCenter,DATA_LF2!B165))</f>
        <v>8311</v>
      </c>
      <c r="C167" s="153">
        <f>IF($B167&lt;&gt;"",INDEX(DataOB[],FirstRow+ROW()-7,2),"")</f>
        <v>8311</v>
      </c>
      <c r="D167" s="157" t="str">
        <f>IF($B167&lt;&gt;"",INDEX(DataOB[],FirstRow+ROW()-7,3),"")</f>
        <v>TBD</v>
      </c>
      <c r="E167" s="158">
        <f>IF($B167&lt;&gt;"",INDEX(DataOB[],FirstRow+ROW()-7,6),"")</f>
        <v>0</v>
      </c>
      <c r="F167" s="158" t="str">
        <f>IF($B167&lt;&gt;"",INDEX(DataOB[],FirstRow+ROW()-7,5),"")</f>
        <v xml:space="preserve">Cover for water piping of Builiding chiller </v>
      </c>
      <c r="G167" s="58">
        <f>IF($B167&lt;&gt;"",SUMIFS(DataAct_tbl[AMOUNT],DataAct_tbl[BG CODE],Detail!$D167,DataAct_tbl[MONTH],LEFT(MonthName,3),DataAct_tbl[Dept code],$B167),0)</f>
        <v>0</v>
      </c>
      <c r="H167" s="31">
        <f t="shared" si="25"/>
        <v>0</v>
      </c>
      <c r="I167" s="28">
        <f t="shared" si="26"/>
        <v>0</v>
      </c>
      <c r="J167" s="32" t="str">
        <f t="shared" si="27"/>
        <v xml:space="preserve"> </v>
      </c>
      <c r="K167" s="86"/>
      <c r="L167" s="62">
        <f>IF($B167&lt;&gt;"",SUMIFS(DataAct_tbl[AMOUNT],DataAct_tbl[BG CODE],Detail!$D167,DataAct_tbl[Check Range],"=true",DataAct_tbl[Dept code],$B167),0)</f>
        <v>0</v>
      </c>
      <c r="M167" s="63">
        <f>INDEX($AG$7:$AR$1005,ROW()-6,MATCH(MTD,$AG$6:$AR$6,0))</f>
        <v>0</v>
      </c>
      <c r="N167" s="34">
        <f t="shared" si="28"/>
        <v>0</v>
      </c>
      <c r="O167" s="64" t="str">
        <f t="shared" si="29"/>
        <v xml:space="preserve"> </v>
      </c>
      <c r="Q167" s="97">
        <f t="shared" si="30"/>
        <v>15</v>
      </c>
      <c r="R167" s="96">
        <f t="shared" si="31"/>
        <v>15</v>
      </c>
      <c r="T167" s="67">
        <f>IF($B167&lt;&gt;"",INDEX(DataOB[],FirstRow+ROW()-7,MATCH(T$6,DataOB[#Headers],0)),"")</f>
        <v>0</v>
      </c>
      <c r="U167" s="67">
        <f>IF($B167&lt;&gt;"",INDEX(DataOB[],FirstRow+ROW()-7,MATCH(U$6,DataOB[#Headers],0)),"")</f>
        <v>0</v>
      </c>
      <c r="V167" s="67">
        <f>IF($B167&lt;&gt;"",INDEX(DataOB[],FirstRow+ROW()-7,MATCH(V$6,DataOB[#Headers],0)),"")</f>
        <v>0</v>
      </c>
      <c r="W167" s="67">
        <f>IF($B167&lt;&gt;"",INDEX(DataOB[],FirstRow+ROW()-7,MATCH(W$6,DataOB[#Headers],0)),"")</f>
        <v>0</v>
      </c>
      <c r="X167" s="67">
        <f>IF($B167&lt;&gt;"",INDEX(DataOB[],FirstRow+ROW()-7,MATCH(X$6,DataOB[#Headers],0)),"")</f>
        <v>0</v>
      </c>
      <c r="Y167" s="67">
        <f>IF($B167&lt;&gt;"",INDEX(DataOB[],FirstRow+ROW()-7,MATCH(Y$6,DataOB[#Headers],0)),"")</f>
        <v>0</v>
      </c>
      <c r="Z167" s="67">
        <f>IF($B167&lt;&gt;"",INDEX(DataOB[],FirstRow+ROW()-7,MATCH(Z$6,DataOB[#Headers],0)),"")</f>
        <v>0</v>
      </c>
      <c r="AA167" s="67">
        <f>IF($B167&lt;&gt;"",INDEX(DataOB[],FirstRow+ROW()-7,MATCH(AA$6,DataOB[#Headers],0)),"")</f>
        <v>0</v>
      </c>
      <c r="AB167" s="67">
        <f>IF($B167&lt;&gt;"",INDEX(DataOB[],FirstRow+ROW()-7,MATCH(AB$6,DataOB[#Headers],0)),"")</f>
        <v>0</v>
      </c>
      <c r="AC167" s="67">
        <f>IF($B167&lt;&gt;"",INDEX(DataOB[],FirstRow+ROW()-7,MATCH(AC$6,DataOB[#Headers],0)),"")</f>
        <v>0</v>
      </c>
      <c r="AD167" s="67">
        <f>IF($B167&lt;&gt;"",INDEX(DataOB[],FirstRow+ROW()-7,MATCH(AD$6,DataOB[#Headers],0)),"")</f>
        <v>15</v>
      </c>
      <c r="AE167" s="67">
        <f>IF($B167&lt;&gt;"",INDEX(DataOB[],FirstRow+ROW()-7,MATCH(AE$6,DataOB[#Headers],0)),"")</f>
        <v>0</v>
      </c>
      <c r="AF167" s="26">
        <f t="shared" si="32"/>
        <v>15</v>
      </c>
      <c r="AG167" s="31">
        <f>SUM($T167:T167)</f>
        <v>0</v>
      </c>
      <c r="AH167" s="31">
        <f>SUM($T167:U167)</f>
        <v>0</v>
      </c>
      <c r="AI167" s="31">
        <f>SUM($T167:V167)</f>
        <v>0</v>
      </c>
      <c r="AJ167" s="31">
        <f>SUM($T167:W167)</f>
        <v>0</v>
      </c>
      <c r="AK167" s="31">
        <f>SUM($T167:X167)</f>
        <v>0</v>
      </c>
      <c r="AL167" s="31">
        <f>SUM($T167:Y167)</f>
        <v>0</v>
      </c>
      <c r="AM167" s="31">
        <f>SUM($T167:Z167)</f>
        <v>0</v>
      </c>
      <c r="AN167" s="31">
        <f>SUM($T167:AA167)</f>
        <v>0</v>
      </c>
      <c r="AO167" s="31">
        <f>SUM($T167:AB167)</f>
        <v>0</v>
      </c>
      <c r="AP167" s="31">
        <f>SUM($T167:AC167)</f>
        <v>0</v>
      </c>
      <c r="AQ167" s="31">
        <f>SUM($T167:AD167)</f>
        <v>15</v>
      </c>
      <c r="AR167" s="31">
        <f>SUM($T167:AE167)</f>
        <v>15</v>
      </c>
      <c r="AS167" s="27">
        <f t="shared" si="33"/>
        <v>0</v>
      </c>
    </row>
    <row r="168" spans="2:45">
      <c r="B168" s="156">
        <f>IF(ROW()-6&gt;NumCostCenter,"",IF(CostCenter&lt;&gt;"ALL",CostCenter,DATA_LF2!B166))</f>
        <v>8411</v>
      </c>
      <c r="C168" s="153">
        <f>IF($B168&lt;&gt;"",INDEX(DataOB[],FirstRow+ROW()-7,2),"")</f>
        <v>8411</v>
      </c>
      <c r="D168" s="157" t="str">
        <f>IF($B168&lt;&gt;"",INDEX(DataOB[],FirstRow+ROW()-7,3),"")</f>
        <v>IF00396</v>
      </c>
      <c r="E168" s="158">
        <f>IF($B168&lt;&gt;"",INDEX(DataOB[],FirstRow+ROW()-7,6),"")</f>
        <v>0</v>
      </c>
      <c r="F168" s="158" t="str">
        <f>IF($B168&lt;&gt;"",INDEX(DataOB[],FirstRow+ROW()-7,5),"")</f>
        <v>B-SPEC ON (New function install)</v>
      </c>
      <c r="G168" s="58">
        <f>IF($B168&lt;&gt;"",SUMIFS(DataAct_tbl[AMOUNT],DataAct_tbl[BG CODE],Detail!$D168,DataAct_tbl[MONTH],LEFT(MonthName,3),DataAct_tbl[Dept code],$B168),0)</f>
        <v>0</v>
      </c>
      <c r="H168" s="31">
        <f t="shared" si="25"/>
        <v>0.7161900000000001</v>
      </c>
      <c r="I168" s="28">
        <f t="shared" si="26"/>
        <v>-0.7161900000000001</v>
      </c>
      <c r="J168" s="32">
        <f t="shared" si="27"/>
        <v>0</v>
      </c>
      <c r="K168" s="86"/>
      <c r="L168" s="62">
        <f>IF($B168&lt;&gt;"",SUMIFS(DataAct_tbl[AMOUNT],DataAct_tbl[BG CODE],Detail!$D168,DataAct_tbl[Check Range],"=true",DataAct_tbl[Dept code],$B168),0)</f>
        <v>4.4338100000000003</v>
      </c>
      <c r="M168" s="63">
        <f>INDEX($AG$7:$AR$1005,ROW()-6,MATCH(MTD,$AG$6:$AR$6,0))</f>
        <v>5.15</v>
      </c>
      <c r="N168" s="34">
        <f t="shared" si="28"/>
        <v>-0.7161900000000001</v>
      </c>
      <c r="O168" s="64">
        <f t="shared" si="29"/>
        <v>0.86093398058252424</v>
      </c>
      <c r="Q168" s="97">
        <f t="shared" si="30"/>
        <v>5.15</v>
      </c>
      <c r="R168" s="96">
        <f t="shared" si="31"/>
        <v>0.7161900000000001</v>
      </c>
      <c r="T168" s="67">
        <f>IF($B168&lt;&gt;"",INDEX(DataOB[],FirstRow+ROW()-7,MATCH(T$6,DataOB[#Headers],0)),"")</f>
        <v>0</v>
      </c>
      <c r="U168" s="67">
        <f>IF($B168&lt;&gt;"",INDEX(DataOB[],FirstRow+ROW()-7,MATCH(U$6,DataOB[#Headers],0)),"")</f>
        <v>0</v>
      </c>
      <c r="V168" s="67">
        <f>IF($B168&lt;&gt;"",INDEX(DataOB[],FirstRow+ROW()-7,MATCH(V$6,DataOB[#Headers],0)),"")</f>
        <v>0</v>
      </c>
      <c r="W168" s="67">
        <f>IF($B168&lt;&gt;"",INDEX(DataOB[],FirstRow+ROW()-7,MATCH(W$6,DataOB[#Headers],0)),"")</f>
        <v>0</v>
      </c>
      <c r="X168" s="67">
        <f>IF($B168&lt;&gt;"",INDEX(DataOB[],FirstRow+ROW()-7,MATCH(X$6,DataOB[#Headers],0)),"")</f>
        <v>4.4338100000000003</v>
      </c>
      <c r="Y168" s="67">
        <f>IF($B168&lt;&gt;"",INDEX(DataOB[],FirstRow+ROW()-7,MATCH(Y$6,DataOB[#Headers],0)),"")</f>
        <v>0</v>
      </c>
      <c r="Z168" s="67">
        <f>IF($B168&lt;&gt;"",INDEX(DataOB[],FirstRow+ROW()-7,MATCH(Z$6,DataOB[#Headers],0)),"")</f>
        <v>0.7161900000000001</v>
      </c>
      <c r="AA168" s="67">
        <f>IF($B168&lt;&gt;"",INDEX(DataOB[],FirstRow+ROW()-7,MATCH(AA$6,DataOB[#Headers],0)),"")</f>
        <v>0</v>
      </c>
      <c r="AB168" s="67">
        <f>IF($B168&lt;&gt;"",INDEX(DataOB[],FirstRow+ROW()-7,MATCH(AB$6,DataOB[#Headers],0)),"")</f>
        <v>0</v>
      </c>
      <c r="AC168" s="67">
        <f>IF($B168&lt;&gt;"",INDEX(DataOB[],FirstRow+ROW()-7,MATCH(AC$6,DataOB[#Headers],0)),"")</f>
        <v>0</v>
      </c>
      <c r="AD168" s="67">
        <f>IF($B168&lt;&gt;"",INDEX(DataOB[],FirstRow+ROW()-7,MATCH(AD$6,DataOB[#Headers],0)),"")</f>
        <v>0</v>
      </c>
      <c r="AE168" s="67">
        <f>IF($B168&lt;&gt;"",INDEX(DataOB[],FirstRow+ROW()-7,MATCH(AE$6,DataOB[#Headers],0)),"")</f>
        <v>0</v>
      </c>
      <c r="AF168" s="26">
        <f t="shared" si="32"/>
        <v>5.15</v>
      </c>
      <c r="AG168" s="31">
        <f>SUM($T168:T168)</f>
        <v>0</v>
      </c>
      <c r="AH168" s="31">
        <f>SUM($T168:U168)</f>
        <v>0</v>
      </c>
      <c r="AI168" s="31">
        <f>SUM($T168:V168)</f>
        <v>0</v>
      </c>
      <c r="AJ168" s="31">
        <f>SUM($T168:W168)</f>
        <v>0</v>
      </c>
      <c r="AK168" s="31">
        <f>SUM($T168:X168)</f>
        <v>4.4338100000000003</v>
      </c>
      <c r="AL168" s="31">
        <f>SUM($T168:Y168)</f>
        <v>4.4338100000000003</v>
      </c>
      <c r="AM168" s="31">
        <f>SUM($T168:Z168)</f>
        <v>5.15</v>
      </c>
      <c r="AN168" s="31">
        <f>SUM($T168:AA168)</f>
        <v>5.15</v>
      </c>
      <c r="AO168" s="31">
        <f>SUM($T168:AB168)</f>
        <v>5.15</v>
      </c>
      <c r="AP168" s="31">
        <f>SUM($T168:AC168)</f>
        <v>5.15</v>
      </c>
      <c r="AQ168" s="31">
        <f>SUM($T168:AD168)</f>
        <v>5.15</v>
      </c>
      <c r="AR168" s="31">
        <f>SUM($T168:AE168)</f>
        <v>5.15</v>
      </c>
      <c r="AS168" s="27">
        <f t="shared" si="33"/>
        <v>0</v>
      </c>
    </row>
    <row r="169" spans="2:45">
      <c r="B169" s="156">
        <f>IF(ROW()-6&gt;NumCostCenter,"",IF(CostCenter&lt;&gt;"ALL",CostCenter,DATA_LF2!B167))</f>
        <v>8411</v>
      </c>
      <c r="C169" s="153">
        <f>IF($B169&lt;&gt;"",INDEX(DataOB[],FirstRow+ROW()-7,2),"")</f>
        <v>8411</v>
      </c>
      <c r="D169" s="157" t="str">
        <f>IF($B169&lt;&gt;"",INDEX(DataOB[],FirstRow+ROW()-7,3),"")</f>
        <v>IF00398</v>
      </c>
      <c r="E169" s="158">
        <f>IF($B169&lt;&gt;"",INDEX(DataOB[],FirstRow+ROW()-7,6),"")</f>
        <v>0</v>
      </c>
      <c r="F169" s="158" t="str">
        <f>IF($B169&lt;&gt;"",INDEX(DataOB[],FirstRow+ROW()-7,5),"")</f>
        <v>PSR Building Simulation Update</v>
      </c>
      <c r="G169" s="58">
        <f>IF($B169&lt;&gt;"",SUMIFS(DataAct_tbl[AMOUNT],DataAct_tbl[BG CODE],Detail!$D169,DataAct_tbl[MONTH],LEFT(MonthName,3),DataAct_tbl[Dept code],$B169),0)</f>
        <v>3.4132500000000001</v>
      </c>
      <c r="H169" s="31">
        <f t="shared" si="25"/>
        <v>0</v>
      </c>
      <c r="I169" s="28">
        <f t="shared" si="26"/>
        <v>3.4132500000000001</v>
      </c>
      <c r="J169" s="32" t="str">
        <f t="shared" si="27"/>
        <v xml:space="preserve"> </v>
      </c>
      <c r="K169" s="86"/>
      <c r="L169" s="62">
        <f>IF($B169&lt;&gt;"",SUMIFS(DataAct_tbl[AMOUNT],DataAct_tbl[BG CODE],Detail!$D169,DataAct_tbl[Check Range],"=true",DataAct_tbl[Dept code],$B169),0)</f>
        <v>3.4132500000000001</v>
      </c>
      <c r="M169" s="63">
        <f>INDEX($AG$7:$AR$1005,ROW()-6,MATCH(MTD,$AG$6:$AR$6,0))</f>
        <v>0</v>
      </c>
      <c r="N169" s="34">
        <f t="shared" si="28"/>
        <v>3.4132500000000001</v>
      </c>
      <c r="O169" s="64" t="str">
        <f t="shared" si="29"/>
        <v xml:space="preserve"> </v>
      </c>
      <c r="Q169" s="97">
        <f t="shared" si="30"/>
        <v>9.8000000000000007</v>
      </c>
      <c r="R169" s="96">
        <f t="shared" si="31"/>
        <v>6.386750000000001</v>
      </c>
      <c r="T169" s="67">
        <f>IF($B169&lt;&gt;"",INDEX(DataOB[],FirstRow+ROW()-7,MATCH(T$6,DataOB[#Headers],0)),"")</f>
        <v>0</v>
      </c>
      <c r="U169" s="67">
        <f>IF($B169&lt;&gt;"",INDEX(DataOB[],FirstRow+ROW()-7,MATCH(U$6,DataOB[#Headers],0)),"")</f>
        <v>0</v>
      </c>
      <c r="V169" s="67">
        <f>IF($B169&lt;&gt;"",INDEX(DataOB[],FirstRow+ROW()-7,MATCH(V$6,DataOB[#Headers],0)),"")</f>
        <v>0</v>
      </c>
      <c r="W169" s="67">
        <f>IF($B169&lt;&gt;"",INDEX(DataOB[],FirstRow+ROW()-7,MATCH(W$6,DataOB[#Headers],0)),"")</f>
        <v>0</v>
      </c>
      <c r="X169" s="67">
        <f>IF($B169&lt;&gt;"",INDEX(DataOB[],FirstRow+ROW()-7,MATCH(X$6,DataOB[#Headers],0)),"")</f>
        <v>0</v>
      </c>
      <c r="Y169" s="67">
        <f>IF($B169&lt;&gt;"",INDEX(DataOB[],FirstRow+ROW()-7,MATCH(Y$6,DataOB[#Headers],0)),"")</f>
        <v>0</v>
      </c>
      <c r="Z169" s="67">
        <f>IF($B169&lt;&gt;"",INDEX(DataOB[],FirstRow+ROW()-7,MATCH(Z$6,DataOB[#Headers],0)),"")</f>
        <v>0</v>
      </c>
      <c r="AA169" s="67">
        <f>IF($B169&lt;&gt;"",INDEX(DataOB[],FirstRow+ROW()-7,MATCH(AA$6,DataOB[#Headers],0)),"")</f>
        <v>0</v>
      </c>
      <c r="AB169" s="67">
        <f>IF($B169&lt;&gt;"",INDEX(DataOB[],FirstRow+ROW()-7,MATCH(AB$6,DataOB[#Headers],0)),"")</f>
        <v>0</v>
      </c>
      <c r="AC169" s="67">
        <f>IF($B169&lt;&gt;"",INDEX(DataOB[],FirstRow+ROW()-7,MATCH(AC$6,DataOB[#Headers],0)),"")</f>
        <v>9.8000000000000007</v>
      </c>
      <c r="AD169" s="67">
        <f>IF($B169&lt;&gt;"",INDEX(DataOB[],FirstRow+ROW()-7,MATCH(AD$6,DataOB[#Headers],0)),"")</f>
        <v>0</v>
      </c>
      <c r="AE169" s="67">
        <f>IF($B169&lt;&gt;"",INDEX(DataOB[],FirstRow+ROW()-7,MATCH(AE$6,DataOB[#Headers],0)),"")</f>
        <v>0</v>
      </c>
      <c r="AF169" s="26">
        <f t="shared" si="32"/>
        <v>9.8000000000000007</v>
      </c>
      <c r="AG169" s="31">
        <f>SUM($T169:T169)</f>
        <v>0</v>
      </c>
      <c r="AH169" s="31">
        <f>SUM($T169:U169)</f>
        <v>0</v>
      </c>
      <c r="AI169" s="31">
        <f>SUM($T169:V169)</f>
        <v>0</v>
      </c>
      <c r="AJ169" s="31">
        <f>SUM($T169:W169)</f>
        <v>0</v>
      </c>
      <c r="AK169" s="31">
        <f>SUM($T169:X169)</f>
        <v>0</v>
      </c>
      <c r="AL169" s="31">
        <f>SUM($T169:Y169)</f>
        <v>0</v>
      </c>
      <c r="AM169" s="31">
        <f>SUM($T169:Z169)</f>
        <v>0</v>
      </c>
      <c r="AN169" s="31">
        <f>SUM($T169:AA169)</f>
        <v>0</v>
      </c>
      <c r="AO169" s="31">
        <f>SUM($T169:AB169)</f>
        <v>0</v>
      </c>
      <c r="AP169" s="31">
        <f>SUM($T169:AC169)</f>
        <v>9.8000000000000007</v>
      </c>
      <c r="AQ169" s="31">
        <f>SUM($T169:AD169)</f>
        <v>9.8000000000000007</v>
      </c>
      <c r="AR169" s="31">
        <f>SUM($T169:AE169)</f>
        <v>9.8000000000000007</v>
      </c>
      <c r="AS169" s="27">
        <f t="shared" si="33"/>
        <v>0</v>
      </c>
    </row>
    <row r="170" spans="2:45">
      <c r="B170" s="156">
        <f>IF(ROW()-6&gt;NumCostCenter,"",IF(CostCenter&lt;&gt;"ALL",CostCenter,DATA_LF2!B168))</f>
        <v>8411</v>
      </c>
      <c r="C170" s="153">
        <f>IF($B170&lt;&gt;"",INDEX(DataOB[],FirstRow+ROW()-7,2),"")</f>
        <v>8411</v>
      </c>
      <c r="D170" s="157" t="str">
        <f>IF($B170&lt;&gt;"",INDEX(DataOB[],FirstRow+ROW()-7,3),"")</f>
        <v>TBD</v>
      </c>
      <c r="E170" s="158">
        <f>IF($B170&lt;&gt;"",INDEX(DataOB[],FirstRow+ROW()-7,6),"")</f>
        <v>0</v>
      </c>
      <c r="F170" s="158" t="str">
        <f>IF($B170&lt;&gt;"",INDEX(DataOB[],FirstRow+ROW()-7,5),"")</f>
        <v>Initial batch mixing control</v>
      </c>
      <c r="G170" s="58">
        <f>IF($B170&lt;&gt;"",SUMIFS(DataAct_tbl[AMOUNT],DataAct_tbl[BG CODE],Detail!$D170,DataAct_tbl[MONTH],LEFT(MonthName,3),DataAct_tbl[Dept code],$B170),0)</f>
        <v>0</v>
      </c>
      <c r="H170" s="31">
        <f t="shared" si="25"/>
        <v>0</v>
      </c>
      <c r="I170" s="28">
        <f t="shared" si="26"/>
        <v>0</v>
      </c>
      <c r="J170" s="32" t="str">
        <f t="shared" si="27"/>
        <v xml:space="preserve"> </v>
      </c>
      <c r="K170" s="86"/>
      <c r="L170" s="62">
        <f>IF($B170&lt;&gt;"",SUMIFS(DataAct_tbl[AMOUNT],DataAct_tbl[BG CODE],Detail!$D170,DataAct_tbl[Check Range],"=true",DataAct_tbl[Dept code],$B170),0)</f>
        <v>0</v>
      </c>
      <c r="M170" s="63">
        <f>INDEX($AG$7:$AR$1005,ROW()-6,MATCH(MTD,$AG$6:$AR$6,0))</f>
        <v>0</v>
      </c>
      <c r="N170" s="34">
        <f t="shared" si="28"/>
        <v>0</v>
      </c>
      <c r="O170" s="64" t="str">
        <f t="shared" si="29"/>
        <v xml:space="preserve"> </v>
      </c>
      <c r="Q170" s="97">
        <f t="shared" si="30"/>
        <v>0</v>
      </c>
      <c r="R170" s="96">
        <f t="shared" si="31"/>
        <v>0</v>
      </c>
      <c r="T170" s="67">
        <f>IF($B170&lt;&gt;"",INDEX(DataOB[],FirstRow+ROW()-7,MATCH(T$6,DataOB[#Headers],0)),"")</f>
        <v>0</v>
      </c>
      <c r="U170" s="67">
        <f>IF($B170&lt;&gt;"",INDEX(DataOB[],FirstRow+ROW()-7,MATCH(U$6,DataOB[#Headers],0)),"")</f>
        <v>0</v>
      </c>
      <c r="V170" s="67">
        <f>IF($B170&lt;&gt;"",INDEX(DataOB[],FirstRow+ROW()-7,MATCH(V$6,DataOB[#Headers],0)),"")</f>
        <v>0</v>
      </c>
      <c r="W170" s="67">
        <f>IF($B170&lt;&gt;"",INDEX(DataOB[],FirstRow+ROW()-7,MATCH(W$6,DataOB[#Headers],0)),"")</f>
        <v>0</v>
      </c>
      <c r="X170" s="67">
        <f>IF($B170&lt;&gt;"",INDEX(DataOB[],FirstRow+ROW()-7,MATCH(X$6,DataOB[#Headers],0)),"")</f>
        <v>0</v>
      </c>
      <c r="Y170" s="67">
        <f>IF($B170&lt;&gt;"",INDEX(DataOB[],FirstRow+ROW()-7,MATCH(Y$6,DataOB[#Headers],0)),"")</f>
        <v>0</v>
      </c>
      <c r="Z170" s="67">
        <f>IF($B170&lt;&gt;"",INDEX(DataOB[],FirstRow+ROW()-7,MATCH(Z$6,DataOB[#Headers],0)),"")</f>
        <v>0</v>
      </c>
      <c r="AA170" s="67">
        <f>IF($B170&lt;&gt;"",INDEX(DataOB[],FirstRow+ROW()-7,MATCH(AA$6,DataOB[#Headers],0)),"")</f>
        <v>0</v>
      </c>
      <c r="AB170" s="67">
        <f>IF($B170&lt;&gt;"",INDEX(DataOB[],FirstRow+ROW()-7,MATCH(AB$6,DataOB[#Headers],0)),"")</f>
        <v>0</v>
      </c>
      <c r="AC170" s="67">
        <f>IF($B170&lt;&gt;"",INDEX(DataOB[],FirstRow+ROW()-7,MATCH(AC$6,DataOB[#Headers],0)),"")</f>
        <v>0</v>
      </c>
      <c r="AD170" s="67">
        <f>IF($B170&lt;&gt;"",INDEX(DataOB[],FirstRow+ROW()-7,MATCH(AD$6,DataOB[#Headers],0)),"")</f>
        <v>0</v>
      </c>
      <c r="AE170" s="67">
        <f>IF($B170&lt;&gt;"",INDEX(DataOB[],FirstRow+ROW()-7,MATCH(AE$6,DataOB[#Headers],0)),"")</f>
        <v>0</v>
      </c>
      <c r="AF170" s="26">
        <f t="shared" si="32"/>
        <v>0</v>
      </c>
      <c r="AG170" s="31">
        <f>SUM($T170:T170)</f>
        <v>0</v>
      </c>
      <c r="AH170" s="31">
        <f>SUM($T170:U170)</f>
        <v>0</v>
      </c>
      <c r="AI170" s="31">
        <f>SUM($T170:V170)</f>
        <v>0</v>
      </c>
      <c r="AJ170" s="31">
        <f>SUM($T170:W170)</f>
        <v>0</v>
      </c>
      <c r="AK170" s="31">
        <f>SUM($T170:X170)</f>
        <v>0</v>
      </c>
      <c r="AL170" s="31">
        <f>SUM($T170:Y170)</f>
        <v>0</v>
      </c>
      <c r="AM170" s="31">
        <f>SUM($T170:Z170)</f>
        <v>0</v>
      </c>
      <c r="AN170" s="31">
        <f>SUM($T170:AA170)</f>
        <v>0</v>
      </c>
      <c r="AO170" s="31">
        <f>SUM($T170:AB170)</f>
        <v>0</v>
      </c>
      <c r="AP170" s="31">
        <f>SUM($T170:AC170)</f>
        <v>0</v>
      </c>
      <c r="AQ170" s="31">
        <f>SUM($T170:AD170)</f>
        <v>0</v>
      </c>
      <c r="AR170" s="31">
        <f>SUM($T170:AE170)</f>
        <v>0</v>
      </c>
      <c r="AS170" s="27">
        <f t="shared" si="33"/>
        <v>0</v>
      </c>
    </row>
    <row r="171" spans="2:45">
      <c r="B171" s="156">
        <f>IF(ROW()-6&gt;NumCostCenter,"",IF(CostCenter&lt;&gt;"ALL",CostCenter,DATA_LF2!B169))</f>
        <v>8411</v>
      </c>
      <c r="C171" s="153">
        <f>IF($B171&lt;&gt;"",INDEX(DataOB[],FirstRow+ROW()-7,2),"")</f>
        <v>8411</v>
      </c>
      <c r="D171" s="157" t="str">
        <f>IF($B171&lt;&gt;"",INDEX(DataOB[],FirstRow+ROW()-7,3),"")</f>
        <v>TBD</v>
      </c>
      <c r="E171" s="158">
        <f>IF($B171&lt;&gt;"",INDEX(DataOB[],FirstRow+ROW()-7,6),"")</f>
        <v>0</v>
      </c>
      <c r="F171" s="158" t="str">
        <f>IF($B171&lt;&gt;"",INDEX(DataOB[],FirstRow+ROW()-7,5),"")</f>
        <v>MPD remodeling to add for new size Y24</v>
      </c>
      <c r="G171" s="58">
        <f>IF($B171&lt;&gt;"",SUMIFS(DataAct_tbl[AMOUNT],DataAct_tbl[BG CODE],Detail!$D171,DataAct_tbl[MONTH],LEFT(MonthName,3),DataAct_tbl[Dept code],$B171),0)</f>
        <v>0</v>
      </c>
      <c r="H171" s="31">
        <f t="shared" si="25"/>
        <v>0</v>
      </c>
      <c r="I171" s="28">
        <f t="shared" si="26"/>
        <v>0</v>
      </c>
      <c r="J171" s="32" t="str">
        <f t="shared" si="27"/>
        <v xml:space="preserve"> </v>
      </c>
      <c r="K171" s="86"/>
      <c r="L171" s="62">
        <f>IF($B171&lt;&gt;"",SUMIFS(DataAct_tbl[AMOUNT],DataAct_tbl[BG CODE],Detail!$D171,DataAct_tbl[Check Range],"=true",DataAct_tbl[Dept code],$B171),0)</f>
        <v>0</v>
      </c>
      <c r="M171" s="63">
        <f>INDEX($AG$7:$AR$1005,ROW()-6,MATCH(MTD,$AG$6:$AR$6,0))</f>
        <v>0</v>
      </c>
      <c r="N171" s="34">
        <f t="shared" si="28"/>
        <v>0</v>
      </c>
      <c r="O171" s="64" t="str">
        <f t="shared" si="29"/>
        <v xml:space="preserve"> </v>
      </c>
      <c r="Q171" s="97">
        <f t="shared" si="30"/>
        <v>10</v>
      </c>
      <c r="R171" s="96">
        <f t="shared" si="31"/>
        <v>10</v>
      </c>
      <c r="T171" s="67">
        <f>IF($B171&lt;&gt;"",INDEX(DataOB[],FirstRow+ROW()-7,MATCH(T$6,DataOB[#Headers],0)),"")</f>
        <v>0</v>
      </c>
      <c r="U171" s="67">
        <f>IF($B171&lt;&gt;"",INDEX(DataOB[],FirstRow+ROW()-7,MATCH(U$6,DataOB[#Headers],0)),"")</f>
        <v>0</v>
      </c>
      <c r="V171" s="67">
        <f>IF($B171&lt;&gt;"",INDEX(DataOB[],FirstRow+ROW()-7,MATCH(V$6,DataOB[#Headers],0)),"")</f>
        <v>0</v>
      </c>
      <c r="W171" s="67">
        <f>IF($B171&lt;&gt;"",INDEX(DataOB[],FirstRow+ROW()-7,MATCH(W$6,DataOB[#Headers],0)),"")</f>
        <v>0</v>
      </c>
      <c r="X171" s="67">
        <f>IF($B171&lt;&gt;"",INDEX(DataOB[],FirstRow+ROW()-7,MATCH(X$6,DataOB[#Headers],0)),"")</f>
        <v>0</v>
      </c>
      <c r="Y171" s="67">
        <f>IF($B171&lt;&gt;"",INDEX(DataOB[],FirstRow+ROW()-7,MATCH(Y$6,DataOB[#Headers],0)),"")</f>
        <v>0</v>
      </c>
      <c r="Z171" s="67">
        <f>IF($B171&lt;&gt;"",INDEX(DataOB[],FirstRow+ROW()-7,MATCH(Z$6,DataOB[#Headers],0)),"")</f>
        <v>0</v>
      </c>
      <c r="AA171" s="67">
        <f>IF($B171&lt;&gt;"",INDEX(DataOB[],FirstRow+ROW()-7,MATCH(AA$6,DataOB[#Headers],0)),"")</f>
        <v>0</v>
      </c>
      <c r="AB171" s="67">
        <f>IF($B171&lt;&gt;"",INDEX(DataOB[],FirstRow+ROW()-7,MATCH(AB$6,DataOB[#Headers],0)),"")</f>
        <v>0</v>
      </c>
      <c r="AC171" s="67">
        <f>IF($B171&lt;&gt;"",INDEX(DataOB[],FirstRow+ROW()-7,MATCH(AC$6,DataOB[#Headers],0)),"")</f>
        <v>0</v>
      </c>
      <c r="AD171" s="67">
        <f>IF($B171&lt;&gt;"",INDEX(DataOB[],FirstRow+ROW()-7,MATCH(AD$6,DataOB[#Headers],0)),"")</f>
        <v>0</v>
      </c>
      <c r="AE171" s="67">
        <f>IF($B171&lt;&gt;"",INDEX(DataOB[],FirstRow+ROW()-7,MATCH(AE$6,DataOB[#Headers],0)),"")</f>
        <v>10</v>
      </c>
      <c r="AF171" s="26">
        <f t="shared" si="32"/>
        <v>10</v>
      </c>
      <c r="AG171" s="31">
        <f>SUM($T171:T171)</f>
        <v>0</v>
      </c>
      <c r="AH171" s="31">
        <f>SUM($T171:U171)</f>
        <v>0</v>
      </c>
      <c r="AI171" s="31">
        <f>SUM($T171:V171)</f>
        <v>0</v>
      </c>
      <c r="AJ171" s="31">
        <f>SUM($T171:W171)</f>
        <v>0</v>
      </c>
      <c r="AK171" s="31">
        <f>SUM($T171:X171)</f>
        <v>0</v>
      </c>
      <c r="AL171" s="31">
        <f>SUM($T171:Y171)</f>
        <v>0</v>
      </c>
      <c r="AM171" s="31">
        <f>SUM($T171:Z171)</f>
        <v>0</v>
      </c>
      <c r="AN171" s="31">
        <f>SUM($T171:AA171)</f>
        <v>0</v>
      </c>
      <c r="AO171" s="31">
        <f>SUM($T171:AB171)</f>
        <v>0</v>
      </c>
      <c r="AP171" s="31">
        <f>SUM($T171:AC171)</f>
        <v>0</v>
      </c>
      <c r="AQ171" s="31">
        <f>SUM($T171:AD171)</f>
        <v>0</v>
      </c>
      <c r="AR171" s="31">
        <f>SUM($T171:AE171)</f>
        <v>10</v>
      </c>
      <c r="AS171" s="27">
        <f t="shared" si="33"/>
        <v>0</v>
      </c>
    </row>
    <row r="172" spans="2:45">
      <c r="B172" s="156">
        <f>IF(ROW()-6&gt;NumCostCenter,"",IF(CostCenter&lt;&gt;"ALL",CostCenter,DATA_LF2!B170))</f>
        <v>8411</v>
      </c>
      <c r="C172" s="153">
        <f>IF($B172&lt;&gt;"",INDEX(DataOB[],FirstRow+ROW()-7,2),"")</f>
        <v>8411</v>
      </c>
      <c r="D172" s="157" t="str">
        <f>IF($B172&lt;&gt;"",INDEX(DataOB[],FirstRow+ROW()-7,3),"")</f>
        <v>OT00165</v>
      </c>
      <c r="E172" s="158">
        <f>IF($B172&lt;&gt;"",INDEX(DataOB[],FirstRow+ROW()-7,6),"")</f>
        <v>0</v>
      </c>
      <c r="F172" s="158" t="str">
        <f>IF($B172&lt;&gt;"",INDEX(DataOB[],FirstRow+ROW()-7,5),"")</f>
        <v>Process capability improvement ( Portable sensor) Y24</v>
      </c>
      <c r="G172" s="58">
        <f>IF($B172&lt;&gt;"",SUMIFS(DataAct_tbl[AMOUNT],DataAct_tbl[BG CODE],Detail!$D172,DataAct_tbl[MONTH],LEFT(MonthName,3),DataAct_tbl[Dept code],$B172),0)</f>
        <v>0</v>
      </c>
      <c r="H172" s="31">
        <f t="shared" si="25"/>
        <v>13.340720000000005</v>
      </c>
      <c r="I172" s="28">
        <f t="shared" si="26"/>
        <v>-13.340720000000005</v>
      </c>
      <c r="J172" s="32">
        <f t="shared" si="27"/>
        <v>0</v>
      </c>
      <c r="K172" s="86"/>
      <c r="L172" s="62">
        <f>IF($B172&lt;&gt;"",SUMIFS(DataAct_tbl[AMOUNT],DataAct_tbl[BG CODE],Detail!$D172,DataAct_tbl[Check Range],"=true",DataAct_tbl[Dept code],$B172),0)</f>
        <v>11.655849999999997</v>
      </c>
      <c r="M172" s="63">
        <f>INDEX($AG$7:$AR$1005,ROW()-6,MATCH(MTD,$AG$6:$AR$6,0))</f>
        <v>24.996570000000002</v>
      </c>
      <c r="N172" s="34">
        <f t="shared" si="28"/>
        <v>-13.340720000000005</v>
      </c>
      <c r="O172" s="64">
        <f t="shared" si="29"/>
        <v>0.46629797608231838</v>
      </c>
      <c r="Q172" s="97">
        <f t="shared" si="30"/>
        <v>24.996570000000002</v>
      </c>
      <c r="R172" s="96">
        <f t="shared" si="31"/>
        <v>13.340720000000005</v>
      </c>
      <c r="T172" s="67">
        <f>IF($B172&lt;&gt;"",INDEX(DataOB[],FirstRow+ROW()-7,MATCH(T$6,DataOB[#Headers],0)),"")</f>
        <v>0</v>
      </c>
      <c r="U172" s="67">
        <f>IF($B172&lt;&gt;"",INDEX(DataOB[],FirstRow+ROW()-7,MATCH(U$6,DataOB[#Headers],0)),"")</f>
        <v>0.30657000000000001</v>
      </c>
      <c r="V172" s="67">
        <f>IF($B172&lt;&gt;"",INDEX(DataOB[],FirstRow+ROW()-7,MATCH(V$6,DataOB[#Headers],0)),"")</f>
        <v>0</v>
      </c>
      <c r="W172" s="67">
        <f>IF($B172&lt;&gt;"",INDEX(DataOB[],FirstRow+ROW()-7,MATCH(W$6,DataOB[#Headers],0)),"")</f>
        <v>11.349279999999997</v>
      </c>
      <c r="X172" s="67">
        <f>IF($B172&lt;&gt;"",INDEX(DataOB[],FirstRow+ROW()-7,MATCH(X$6,DataOB[#Headers],0)),"")</f>
        <v>0</v>
      </c>
      <c r="Y172" s="67">
        <f>IF($B172&lt;&gt;"",INDEX(DataOB[],FirstRow+ROW()-7,MATCH(Y$6,DataOB[#Headers],0)),"")</f>
        <v>0</v>
      </c>
      <c r="Z172" s="67">
        <f>IF($B172&lt;&gt;"",INDEX(DataOB[],FirstRow+ROW()-7,MATCH(Z$6,DataOB[#Headers],0)),"")</f>
        <v>13.340720000000005</v>
      </c>
      <c r="AA172" s="67">
        <f>IF($B172&lt;&gt;"",INDEX(DataOB[],FirstRow+ROW()-7,MATCH(AA$6,DataOB[#Headers],0)),"")</f>
        <v>0</v>
      </c>
      <c r="AB172" s="67">
        <f>IF($B172&lt;&gt;"",INDEX(DataOB[],FirstRow+ROW()-7,MATCH(AB$6,DataOB[#Headers],0)),"")</f>
        <v>0</v>
      </c>
      <c r="AC172" s="67">
        <f>IF($B172&lt;&gt;"",INDEX(DataOB[],FirstRow+ROW()-7,MATCH(AC$6,DataOB[#Headers],0)),"")</f>
        <v>0</v>
      </c>
      <c r="AD172" s="67">
        <f>IF($B172&lt;&gt;"",INDEX(DataOB[],FirstRow+ROW()-7,MATCH(AD$6,DataOB[#Headers],0)),"")</f>
        <v>0</v>
      </c>
      <c r="AE172" s="67">
        <f>IF($B172&lt;&gt;"",INDEX(DataOB[],FirstRow+ROW()-7,MATCH(AE$6,DataOB[#Headers],0)),"")</f>
        <v>0</v>
      </c>
      <c r="AF172" s="26">
        <f t="shared" si="32"/>
        <v>24.996570000000002</v>
      </c>
      <c r="AG172" s="31">
        <f>SUM($T172:T172)</f>
        <v>0</v>
      </c>
      <c r="AH172" s="31">
        <f>SUM($T172:U172)</f>
        <v>0.30657000000000001</v>
      </c>
      <c r="AI172" s="31">
        <f>SUM($T172:V172)</f>
        <v>0.30657000000000001</v>
      </c>
      <c r="AJ172" s="31">
        <f>SUM($T172:W172)</f>
        <v>11.655849999999997</v>
      </c>
      <c r="AK172" s="31">
        <f>SUM($T172:X172)</f>
        <v>11.655849999999997</v>
      </c>
      <c r="AL172" s="31">
        <f>SUM($T172:Y172)</f>
        <v>11.655849999999997</v>
      </c>
      <c r="AM172" s="31">
        <f>SUM($T172:Z172)</f>
        <v>24.996570000000002</v>
      </c>
      <c r="AN172" s="31">
        <f>SUM($T172:AA172)</f>
        <v>24.996570000000002</v>
      </c>
      <c r="AO172" s="31">
        <f>SUM($T172:AB172)</f>
        <v>24.996570000000002</v>
      </c>
      <c r="AP172" s="31">
        <f>SUM($T172:AC172)</f>
        <v>24.996570000000002</v>
      </c>
      <c r="AQ172" s="31">
        <f>SUM($T172:AD172)</f>
        <v>24.996570000000002</v>
      </c>
      <c r="AR172" s="31">
        <f>SUM($T172:AE172)</f>
        <v>24.996570000000002</v>
      </c>
      <c r="AS172" s="27">
        <f t="shared" si="33"/>
        <v>0</v>
      </c>
    </row>
    <row r="173" spans="2:45">
      <c r="B173" s="156">
        <f>IF(ROW()-6&gt;NumCostCenter,"",IF(CostCenter&lt;&gt;"ALL",CostCenter,DATA_LF2!B171))</f>
        <v>8411</v>
      </c>
      <c r="C173" s="153">
        <f>IF($B173&lt;&gt;"",INDEX(DataOB[],FirstRow+ROW()-7,2),"")</f>
        <v>8411</v>
      </c>
      <c r="D173" s="157" t="str">
        <f>IF($B173&lt;&gt;"",INDEX(DataOB[],FirstRow+ROW()-7,3),"")</f>
        <v>TBD</v>
      </c>
      <c r="E173" s="158">
        <f>IF($B173&lt;&gt;"",INDEX(DataOB[],FirstRow+ROW()-7,6),"")</f>
        <v>0</v>
      </c>
      <c r="F173" s="158" t="str">
        <f>IF($B173&lt;&gt;"",INDEX(DataOB[],FirstRow+ROW()-7,5),"")</f>
        <v xml:space="preserve">CCH Humidity control </v>
      </c>
      <c r="G173" s="58">
        <f>IF($B173&lt;&gt;"",SUMIFS(DataAct_tbl[AMOUNT],DataAct_tbl[BG CODE],Detail!$D173,DataAct_tbl[MONTH],LEFT(MonthName,3),DataAct_tbl[Dept code],$B173),0)</f>
        <v>0</v>
      </c>
      <c r="H173" s="31">
        <f t="shared" si="25"/>
        <v>0</v>
      </c>
      <c r="I173" s="28">
        <f t="shared" si="26"/>
        <v>0</v>
      </c>
      <c r="J173" s="32" t="str">
        <f t="shared" si="27"/>
        <v xml:space="preserve"> </v>
      </c>
      <c r="K173" s="86"/>
      <c r="L173" s="62">
        <f>IF($B173&lt;&gt;"",SUMIFS(DataAct_tbl[AMOUNT],DataAct_tbl[BG CODE],Detail!$D173,DataAct_tbl[Check Range],"=true",DataAct_tbl[Dept code],$B173),0)</f>
        <v>0</v>
      </c>
      <c r="M173" s="63">
        <f>INDEX($AG$7:$AR$1005,ROW()-6,MATCH(MTD,$AG$6:$AR$6,0))</f>
        <v>0</v>
      </c>
      <c r="N173" s="34">
        <f t="shared" si="28"/>
        <v>0</v>
      </c>
      <c r="O173" s="64" t="str">
        <f t="shared" si="29"/>
        <v xml:space="preserve"> </v>
      </c>
      <c r="Q173" s="97">
        <f t="shared" si="30"/>
        <v>12</v>
      </c>
      <c r="R173" s="96">
        <f t="shared" si="31"/>
        <v>12</v>
      </c>
      <c r="T173" s="67">
        <f>IF($B173&lt;&gt;"",INDEX(DataOB[],FirstRow+ROW()-7,MATCH(T$6,DataOB[#Headers],0)),"")</f>
        <v>0</v>
      </c>
      <c r="U173" s="67">
        <f>IF($B173&lt;&gt;"",INDEX(DataOB[],FirstRow+ROW()-7,MATCH(U$6,DataOB[#Headers],0)),"")</f>
        <v>0</v>
      </c>
      <c r="V173" s="67">
        <f>IF($B173&lt;&gt;"",INDEX(DataOB[],FirstRow+ROW()-7,MATCH(V$6,DataOB[#Headers],0)),"")</f>
        <v>0</v>
      </c>
      <c r="W173" s="67">
        <f>IF($B173&lt;&gt;"",INDEX(DataOB[],FirstRow+ROW()-7,MATCH(W$6,DataOB[#Headers],0)),"")</f>
        <v>0</v>
      </c>
      <c r="X173" s="67">
        <f>IF($B173&lt;&gt;"",INDEX(DataOB[],FirstRow+ROW()-7,MATCH(X$6,DataOB[#Headers],0)),"")</f>
        <v>0</v>
      </c>
      <c r="Y173" s="67">
        <f>IF($B173&lt;&gt;"",INDEX(DataOB[],FirstRow+ROW()-7,MATCH(Y$6,DataOB[#Headers],0)),"")</f>
        <v>0</v>
      </c>
      <c r="Z173" s="67">
        <f>IF($B173&lt;&gt;"",INDEX(DataOB[],FirstRow+ROW()-7,MATCH(Z$6,DataOB[#Headers],0)),"")</f>
        <v>0</v>
      </c>
      <c r="AA173" s="67">
        <f>IF($B173&lt;&gt;"",INDEX(DataOB[],FirstRow+ROW()-7,MATCH(AA$6,DataOB[#Headers],0)),"")</f>
        <v>12</v>
      </c>
      <c r="AB173" s="67">
        <f>IF($B173&lt;&gt;"",INDEX(DataOB[],FirstRow+ROW()-7,MATCH(AB$6,DataOB[#Headers],0)),"")</f>
        <v>0</v>
      </c>
      <c r="AC173" s="67">
        <f>IF($B173&lt;&gt;"",INDEX(DataOB[],FirstRow+ROW()-7,MATCH(AC$6,DataOB[#Headers],0)),"")</f>
        <v>0</v>
      </c>
      <c r="AD173" s="67">
        <f>IF($B173&lt;&gt;"",INDEX(DataOB[],FirstRow+ROW()-7,MATCH(AD$6,DataOB[#Headers],0)),"")</f>
        <v>0</v>
      </c>
      <c r="AE173" s="67">
        <f>IF($B173&lt;&gt;"",INDEX(DataOB[],FirstRow+ROW()-7,MATCH(AE$6,DataOB[#Headers],0)),"")</f>
        <v>0</v>
      </c>
      <c r="AF173" s="26">
        <f t="shared" si="32"/>
        <v>12</v>
      </c>
      <c r="AG173" s="31">
        <f>SUM($T173:T173)</f>
        <v>0</v>
      </c>
      <c r="AH173" s="31">
        <f>SUM($T173:U173)</f>
        <v>0</v>
      </c>
      <c r="AI173" s="31">
        <f>SUM($T173:V173)</f>
        <v>0</v>
      </c>
      <c r="AJ173" s="31">
        <f>SUM($T173:W173)</f>
        <v>0</v>
      </c>
      <c r="AK173" s="31">
        <f>SUM($T173:X173)</f>
        <v>0</v>
      </c>
      <c r="AL173" s="31">
        <f>SUM($T173:Y173)</f>
        <v>0</v>
      </c>
      <c r="AM173" s="31">
        <f>SUM($T173:Z173)</f>
        <v>0</v>
      </c>
      <c r="AN173" s="31">
        <f>SUM($T173:AA173)</f>
        <v>12</v>
      </c>
      <c r="AO173" s="31">
        <f>SUM($T173:AB173)</f>
        <v>12</v>
      </c>
      <c r="AP173" s="31">
        <f>SUM($T173:AC173)</f>
        <v>12</v>
      </c>
      <c r="AQ173" s="31">
        <f>SUM($T173:AD173)</f>
        <v>12</v>
      </c>
      <c r="AR173" s="31">
        <f>SUM($T173:AE173)</f>
        <v>12</v>
      </c>
      <c r="AS173" s="27">
        <f t="shared" si="33"/>
        <v>0</v>
      </c>
    </row>
    <row r="174" spans="2:45">
      <c r="B174" s="156">
        <f>IF(ROW()-6&gt;NumCostCenter,"",IF(CostCenter&lt;&gt;"ALL",CostCenter,DATA_LF2!B172))</f>
        <v>8411</v>
      </c>
      <c r="C174" s="153">
        <f>IF($B174&lt;&gt;"",INDEX(DataOB[],FirstRow+ROW()-7,2),"")</f>
        <v>8411</v>
      </c>
      <c r="D174" s="157" t="str">
        <f>IF($B174&lt;&gt;"",INDEX(DataOB[],FirstRow+ROW()-7,3),"")</f>
        <v>TBD</v>
      </c>
      <c r="E174" s="158">
        <f>IF($B174&lt;&gt;"",INDEX(DataOB[],FirstRow+ROW()-7,6),"")</f>
        <v>0</v>
      </c>
      <c r="F174" s="158" t="str">
        <f>IF($B174&lt;&gt;"",INDEX(DataOB[],FirstRow+ROW()-7,5),"")</f>
        <v>New belt Twin-Fegs Y23</v>
      </c>
      <c r="G174" s="58">
        <f>IF($B174&lt;&gt;"",SUMIFS(DataAct_tbl[AMOUNT],DataAct_tbl[BG CODE],Detail!$D174,DataAct_tbl[MONTH],LEFT(MonthName,3),DataAct_tbl[Dept code],$B174),0)</f>
        <v>0</v>
      </c>
      <c r="H174" s="31">
        <f t="shared" si="25"/>
        <v>0</v>
      </c>
      <c r="I174" s="28">
        <f t="shared" si="26"/>
        <v>0</v>
      </c>
      <c r="J174" s="32" t="str">
        <f t="shared" si="27"/>
        <v xml:space="preserve"> </v>
      </c>
      <c r="K174" s="86"/>
      <c r="L174" s="62">
        <f>IF($B174&lt;&gt;"",SUMIFS(DataAct_tbl[AMOUNT],DataAct_tbl[BG CODE],Detail!$D174,DataAct_tbl[Check Range],"=true",DataAct_tbl[Dept code],$B174),0)</f>
        <v>0</v>
      </c>
      <c r="M174" s="63">
        <f>INDEX($AG$7:$AR$1005,ROW()-6,MATCH(MTD,$AG$6:$AR$6,0))</f>
        <v>0</v>
      </c>
      <c r="N174" s="34">
        <f t="shared" si="28"/>
        <v>0</v>
      </c>
      <c r="O174" s="64" t="str">
        <f t="shared" si="29"/>
        <v xml:space="preserve"> </v>
      </c>
      <c r="Q174" s="97">
        <f t="shared" si="30"/>
        <v>0</v>
      </c>
      <c r="R174" s="96">
        <f t="shared" si="31"/>
        <v>0</v>
      </c>
      <c r="T174" s="67">
        <f>IF($B174&lt;&gt;"",INDEX(DataOB[],FirstRow+ROW()-7,MATCH(T$6,DataOB[#Headers],0)),"")</f>
        <v>0</v>
      </c>
      <c r="U174" s="67">
        <f>IF($B174&lt;&gt;"",INDEX(DataOB[],FirstRow+ROW()-7,MATCH(U$6,DataOB[#Headers],0)),"")</f>
        <v>0</v>
      </c>
      <c r="V174" s="67">
        <f>IF($B174&lt;&gt;"",INDEX(DataOB[],FirstRow+ROW()-7,MATCH(V$6,DataOB[#Headers],0)),"")</f>
        <v>0</v>
      </c>
      <c r="W174" s="67">
        <f>IF($B174&lt;&gt;"",INDEX(DataOB[],FirstRow+ROW()-7,MATCH(W$6,DataOB[#Headers],0)),"")</f>
        <v>0</v>
      </c>
      <c r="X174" s="67">
        <f>IF($B174&lt;&gt;"",INDEX(DataOB[],FirstRow+ROW()-7,MATCH(X$6,DataOB[#Headers],0)),"")</f>
        <v>0</v>
      </c>
      <c r="Y174" s="67">
        <f>IF($B174&lt;&gt;"",INDEX(DataOB[],FirstRow+ROW()-7,MATCH(Y$6,DataOB[#Headers],0)),"")</f>
        <v>0</v>
      </c>
      <c r="Z174" s="67">
        <f>IF($B174&lt;&gt;"",INDEX(DataOB[],FirstRow+ROW()-7,MATCH(Z$6,DataOB[#Headers],0)),"")</f>
        <v>0</v>
      </c>
      <c r="AA174" s="67">
        <f>IF($B174&lt;&gt;"",INDEX(DataOB[],FirstRow+ROW()-7,MATCH(AA$6,DataOB[#Headers],0)),"")</f>
        <v>0</v>
      </c>
      <c r="AB174" s="67">
        <f>IF($B174&lt;&gt;"",INDEX(DataOB[],FirstRow+ROW()-7,MATCH(AB$6,DataOB[#Headers],0)),"")</f>
        <v>0</v>
      </c>
      <c r="AC174" s="67">
        <f>IF($B174&lt;&gt;"",INDEX(DataOB[],FirstRow+ROW()-7,MATCH(AC$6,DataOB[#Headers],0)),"")</f>
        <v>0</v>
      </c>
      <c r="AD174" s="67">
        <f>IF($B174&lt;&gt;"",INDEX(DataOB[],FirstRow+ROW()-7,MATCH(AD$6,DataOB[#Headers],0)),"")</f>
        <v>0</v>
      </c>
      <c r="AE174" s="67">
        <f>IF($B174&lt;&gt;"",INDEX(DataOB[],FirstRow+ROW()-7,MATCH(AE$6,DataOB[#Headers],0)),"")</f>
        <v>0</v>
      </c>
      <c r="AF174" s="26">
        <f t="shared" si="32"/>
        <v>0</v>
      </c>
      <c r="AG174" s="31">
        <f>SUM($T174:T174)</f>
        <v>0</v>
      </c>
      <c r="AH174" s="31">
        <f>SUM($T174:U174)</f>
        <v>0</v>
      </c>
      <c r="AI174" s="31">
        <f>SUM($T174:V174)</f>
        <v>0</v>
      </c>
      <c r="AJ174" s="31">
        <f>SUM($T174:W174)</f>
        <v>0</v>
      </c>
      <c r="AK174" s="31">
        <f>SUM($T174:X174)</f>
        <v>0</v>
      </c>
      <c r="AL174" s="31">
        <f>SUM($T174:Y174)</f>
        <v>0</v>
      </c>
      <c r="AM174" s="31">
        <f>SUM($T174:Z174)</f>
        <v>0</v>
      </c>
      <c r="AN174" s="31">
        <f>SUM($T174:AA174)</f>
        <v>0</v>
      </c>
      <c r="AO174" s="31">
        <f>SUM($T174:AB174)</f>
        <v>0</v>
      </c>
      <c r="AP174" s="31">
        <f>SUM($T174:AC174)</f>
        <v>0</v>
      </c>
      <c r="AQ174" s="31">
        <f>SUM($T174:AD174)</f>
        <v>0</v>
      </c>
      <c r="AR174" s="31">
        <f>SUM($T174:AE174)</f>
        <v>0</v>
      </c>
      <c r="AS174" s="27">
        <f t="shared" si="33"/>
        <v>0</v>
      </c>
    </row>
    <row r="175" spans="2:45">
      <c r="B175" s="156">
        <f>IF(ROW()-6&gt;NumCostCenter,"",IF(CostCenter&lt;&gt;"ALL",CostCenter,DATA_LF2!B173))</f>
        <v>8411</v>
      </c>
      <c r="C175" s="153">
        <f>IF($B175&lt;&gt;"",INDEX(DataOB[],FirstRow+ROW()-7,2),"")</f>
        <v>8411</v>
      </c>
      <c r="D175" s="157" t="str">
        <f>IF($B175&lt;&gt;"",INDEX(DataOB[],FirstRow+ROW()-7,3),"")</f>
        <v>TBD</v>
      </c>
      <c r="E175" s="158">
        <f>IF($B175&lt;&gt;"",INDEX(DataOB[],FirstRow+ROW()-7,6),"")</f>
        <v>0</v>
      </c>
      <c r="F175" s="158" t="str">
        <f>IF($B175&lt;&gt;"",INDEX(DataOB[],FirstRow+ROW()-7,5),"")</f>
        <v>K1S MC balance control Y24</v>
      </c>
      <c r="G175" s="58">
        <f>IF($B175&lt;&gt;"",SUMIFS(DataAct_tbl[AMOUNT],DataAct_tbl[BG CODE],Detail!$D175,DataAct_tbl[MONTH],LEFT(MonthName,3),DataAct_tbl[Dept code],$B175),0)</f>
        <v>0</v>
      </c>
      <c r="H175" s="31">
        <f t="shared" si="25"/>
        <v>0</v>
      </c>
      <c r="I175" s="28">
        <f t="shared" si="26"/>
        <v>0</v>
      </c>
      <c r="J175" s="32" t="str">
        <f t="shared" si="27"/>
        <v xml:space="preserve"> </v>
      </c>
      <c r="K175" s="86"/>
      <c r="L175" s="62">
        <f>IF($B175&lt;&gt;"",SUMIFS(DataAct_tbl[AMOUNT],DataAct_tbl[BG CODE],Detail!$D175,DataAct_tbl[Check Range],"=true",DataAct_tbl[Dept code],$B175),0)</f>
        <v>0</v>
      </c>
      <c r="M175" s="63">
        <f>INDEX($AG$7:$AR$1005,ROW()-6,MATCH(MTD,$AG$6:$AR$6,0))</f>
        <v>0</v>
      </c>
      <c r="N175" s="34">
        <f t="shared" si="28"/>
        <v>0</v>
      </c>
      <c r="O175" s="64" t="str">
        <f t="shared" si="29"/>
        <v xml:space="preserve"> </v>
      </c>
      <c r="Q175" s="97">
        <f t="shared" si="30"/>
        <v>22.5</v>
      </c>
      <c r="R175" s="96">
        <f t="shared" si="31"/>
        <v>22.5</v>
      </c>
      <c r="T175" s="67">
        <f>IF($B175&lt;&gt;"",INDEX(DataOB[],FirstRow+ROW()-7,MATCH(T$6,DataOB[#Headers],0)),"")</f>
        <v>0</v>
      </c>
      <c r="U175" s="67">
        <f>IF($B175&lt;&gt;"",INDEX(DataOB[],FirstRow+ROW()-7,MATCH(U$6,DataOB[#Headers],0)),"")</f>
        <v>0</v>
      </c>
      <c r="V175" s="67">
        <f>IF($B175&lt;&gt;"",INDEX(DataOB[],FirstRow+ROW()-7,MATCH(V$6,DataOB[#Headers],0)),"")</f>
        <v>0</v>
      </c>
      <c r="W175" s="67">
        <f>IF($B175&lt;&gt;"",INDEX(DataOB[],FirstRow+ROW()-7,MATCH(W$6,DataOB[#Headers],0)),"")</f>
        <v>0</v>
      </c>
      <c r="X175" s="67">
        <f>IF($B175&lt;&gt;"",INDEX(DataOB[],FirstRow+ROW()-7,MATCH(X$6,DataOB[#Headers],0)),"")</f>
        <v>0</v>
      </c>
      <c r="Y175" s="67">
        <f>IF($B175&lt;&gt;"",INDEX(DataOB[],FirstRow+ROW()-7,MATCH(Y$6,DataOB[#Headers],0)),"")</f>
        <v>0</v>
      </c>
      <c r="Z175" s="67">
        <f>IF($B175&lt;&gt;"",INDEX(DataOB[],FirstRow+ROW()-7,MATCH(Z$6,DataOB[#Headers],0)),"")</f>
        <v>0</v>
      </c>
      <c r="AA175" s="67">
        <f>IF($B175&lt;&gt;"",INDEX(DataOB[],FirstRow+ROW()-7,MATCH(AA$6,DataOB[#Headers],0)),"")</f>
        <v>0</v>
      </c>
      <c r="AB175" s="67">
        <f>IF($B175&lt;&gt;"",INDEX(DataOB[],FirstRow+ROW()-7,MATCH(AB$6,DataOB[#Headers],0)),"")</f>
        <v>0</v>
      </c>
      <c r="AC175" s="67">
        <f>IF($B175&lt;&gt;"",INDEX(DataOB[],FirstRow+ROW()-7,MATCH(AC$6,DataOB[#Headers],0)),"")</f>
        <v>0</v>
      </c>
      <c r="AD175" s="67">
        <f>IF($B175&lt;&gt;"",INDEX(DataOB[],FirstRow+ROW()-7,MATCH(AD$6,DataOB[#Headers],0)),"")</f>
        <v>22.5</v>
      </c>
      <c r="AE175" s="67">
        <f>IF($B175&lt;&gt;"",INDEX(DataOB[],FirstRow+ROW()-7,MATCH(AE$6,DataOB[#Headers],0)),"")</f>
        <v>0</v>
      </c>
      <c r="AF175" s="26">
        <f t="shared" si="32"/>
        <v>22.5</v>
      </c>
      <c r="AG175" s="31">
        <f>SUM($T175:T175)</f>
        <v>0</v>
      </c>
      <c r="AH175" s="31">
        <f>SUM($T175:U175)</f>
        <v>0</v>
      </c>
      <c r="AI175" s="31">
        <f>SUM($T175:V175)</f>
        <v>0</v>
      </c>
      <c r="AJ175" s="31">
        <f>SUM($T175:W175)</f>
        <v>0</v>
      </c>
      <c r="AK175" s="31">
        <f>SUM($T175:X175)</f>
        <v>0</v>
      </c>
      <c r="AL175" s="31">
        <f>SUM($T175:Y175)</f>
        <v>0</v>
      </c>
      <c r="AM175" s="31">
        <f>SUM($T175:Z175)</f>
        <v>0</v>
      </c>
      <c r="AN175" s="31">
        <f>SUM($T175:AA175)</f>
        <v>0</v>
      </c>
      <c r="AO175" s="31">
        <f>SUM($T175:AB175)</f>
        <v>0</v>
      </c>
      <c r="AP175" s="31">
        <f>SUM($T175:AC175)</f>
        <v>0</v>
      </c>
      <c r="AQ175" s="31">
        <f>SUM($T175:AD175)</f>
        <v>22.5</v>
      </c>
      <c r="AR175" s="31">
        <f>SUM($T175:AE175)</f>
        <v>22.5</v>
      </c>
      <c r="AS175" s="27">
        <f t="shared" si="33"/>
        <v>0</v>
      </c>
    </row>
    <row r="176" spans="2:45">
      <c r="B176" s="156">
        <f>IF(ROW()-6&gt;NumCostCenter,"",IF(CostCenter&lt;&gt;"ALL",CostCenter,DATA_LF2!B174))</f>
        <v>8411</v>
      </c>
      <c r="C176" s="153">
        <f>IF($B176&lt;&gt;"",INDEX(DataOB[],FirstRow+ROW()-7,2),"")</f>
        <v>8411</v>
      </c>
      <c r="D176" s="157" t="str">
        <f>IF($B176&lt;&gt;"",INDEX(DataOB[],FirstRow+ROW()-7,3),"")</f>
        <v>TBD</v>
      </c>
      <c r="E176" s="158">
        <f>IF($B176&lt;&gt;"",INDEX(DataOB[],FirstRow+ROW()-7,6),"")</f>
        <v>0</v>
      </c>
      <c r="F176" s="158" t="str">
        <f>IF($B176&lt;&gt;"",INDEX(DataOB[],FirstRow+ROW()-7,5),"")</f>
        <v>Install Air conditioner for material storage</v>
      </c>
      <c r="G176" s="58">
        <f>IF($B176&lt;&gt;"",SUMIFS(DataAct_tbl[AMOUNT],DataAct_tbl[BG CODE],Detail!$D176,DataAct_tbl[MONTH],LEFT(MonthName,3),DataAct_tbl[Dept code],$B176),0)</f>
        <v>0</v>
      </c>
      <c r="H176" s="31">
        <f t="shared" si="25"/>
        <v>0</v>
      </c>
      <c r="I176" s="28">
        <f t="shared" si="26"/>
        <v>0</v>
      </c>
      <c r="J176" s="32" t="str">
        <f t="shared" si="27"/>
        <v xml:space="preserve"> </v>
      </c>
      <c r="K176" s="86"/>
      <c r="L176" s="62">
        <f>IF($B176&lt;&gt;"",SUMIFS(DataAct_tbl[AMOUNT],DataAct_tbl[BG CODE],Detail!$D176,DataAct_tbl[Check Range],"=true",DataAct_tbl[Dept code],$B176),0)</f>
        <v>0</v>
      </c>
      <c r="M176" s="63">
        <f>INDEX($AG$7:$AR$1005,ROW()-6,MATCH(MTD,$AG$6:$AR$6,0))</f>
        <v>0</v>
      </c>
      <c r="N176" s="34">
        <f t="shared" si="28"/>
        <v>0</v>
      </c>
      <c r="O176" s="64" t="str">
        <f t="shared" si="29"/>
        <v xml:space="preserve"> </v>
      </c>
      <c r="Q176" s="97">
        <f t="shared" si="30"/>
        <v>250</v>
      </c>
      <c r="R176" s="96">
        <f t="shared" si="31"/>
        <v>250</v>
      </c>
      <c r="T176" s="67">
        <f>IF($B176&lt;&gt;"",INDEX(DataOB[],FirstRow+ROW()-7,MATCH(T$6,DataOB[#Headers],0)),"")</f>
        <v>0</v>
      </c>
      <c r="U176" s="67">
        <f>IF($B176&lt;&gt;"",INDEX(DataOB[],FirstRow+ROW()-7,MATCH(U$6,DataOB[#Headers],0)),"")</f>
        <v>0</v>
      </c>
      <c r="V176" s="67">
        <f>IF($B176&lt;&gt;"",INDEX(DataOB[],FirstRow+ROW()-7,MATCH(V$6,DataOB[#Headers],0)),"")</f>
        <v>0</v>
      </c>
      <c r="W176" s="67">
        <f>IF($B176&lt;&gt;"",INDEX(DataOB[],FirstRow+ROW()-7,MATCH(W$6,DataOB[#Headers],0)),"")</f>
        <v>0</v>
      </c>
      <c r="X176" s="67">
        <f>IF($B176&lt;&gt;"",INDEX(DataOB[],FirstRow+ROW()-7,MATCH(X$6,DataOB[#Headers],0)),"")</f>
        <v>0</v>
      </c>
      <c r="Y176" s="67">
        <f>IF($B176&lt;&gt;"",INDEX(DataOB[],FirstRow+ROW()-7,MATCH(Y$6,DataOB[#Headers],0)),"")</f>
        <v>0</v>
      </c>
      <c r="Z176" s="67">
        <f>IF($B176&lt;&gt;"",INDEX(DataOB[],FirstRow+ROW()-7,MATCH(Z$6,DataOB[#Headers],0)),"")</f>
        <v>0</v>
      </c>
      <c r="AA176" s="67">
        <f>IF($B176&lt;&gt;"",INDEX(DataOB[],FirstRow+ROW()-7,MATCH(AA$6,DataOB[#Headers],0)),"")</f>
        <v>0</v>
      </c>
      <c r="AB176" s="67">
        <f>IF($B176&lt;&gt;"",INDEX(DataOB[],FirstRow+ROW()-7,MATCH(AB$6,DataOB[#Headers],0)),"")</f>
        <v>0</v>
      </c>
      <c r="AC176" s="67">
        <f>IF($B176&lt;&gt;"",INDEX(DataOB[],FirstRow+ROW()-7,MATCH(AC$6,DataOB[#Headers],0)),"")</f>
        <v>0</v>
      </c>
      <c r="AD176" s="67">
        <f>IF($B176&lt;&gt;"",INDEX(DataOB[],FirstRow+ROW()-7,MATCH(AD$6,DataOB[#Headers],0)),"")</f>
        <v>0</v>
      </c>
      <c r="AE176" s="67">
        <f>IF($B176&lt;&gt;"",INDEX(DataOB[],FirstRow+ROW()-7,MATCH(AE$6,DataOB[#Headers],0)),"")</f>
        <v>250</v>
      </c>
      <c r="AF176" s="26">
        <f t="shared" si="32"/>
        <v>250</v>
      </c>
      <c r="AG176" s="31">
        <f>SUM($T176:T176)</f>
        <v>0</v>
      </c>
      <c r="AH176" s="31">
        <f>SUM($T176:U176)</f>
        <v>0</v>
      </c>
      <c r="AI176" s="31">
        <f>SUM($T176:V176)</f>
        <v>0</v>
      </c>
      <c r="AJ176" s="31">
        <f>SUM($T176:W176)</f>
        <v>0</v>
      </c>
      <c r="AK176" s="31">
        <f>SUM($T176:X176)</f>
        <v>0</v>
      </c>
      <c r="AL176" s="31">
        <f>SUM($T176:Y176)</f>
        <v>0</v>
      </c>
      <c r="AM176" s="31">
        <f>SUM($T176:Z176)</f>
        <v>0</v>
      </c>
      <c r="AN176" s="31">
        <f>SUM($T176:AA176)</f>
        <v>0</v>
      </c>
      <c r="AO176" s="31">
        <f>SUM($T176:AB176)</f>
        <v>0</v>
      </c>
      <c r="AP176" s="31">
        <f>SUM($T176:AC176)</f>
        <v>0</v>
      </c>
      <c r="AQ176" s="31">
        <f>SUM($T176:AD176)</f>
        <v>0</v>
      </c>
      <c r="AR176" s="31">
        <f>SUM($T176:AE176)</f>
        <v>250</v>
      </c>
      <c r="AS176" s="27">
        <f t="shared" si="33"/>
        <v>0</v>
      </c>
    </row>
    <row r="177" spans="2:45">
      <c r="B177" s="156">
        <f>IF(ROW()-6&gt;NumCostCenter,"",IF(CostCenter&lt;&gt;"ALL",CostCenter,DATA_LF2!B175))</f>
        <v>8411</v>
      </c>
      <c r="C177" s="153">
        <f>IF($B177&lt;&gt;"",INDEX(DataOB[],FirstRow+ROW()-7,2),"")</f>
        <v>8411</v>
      </c>
      <c r="D177" s="157" t="str">
        <f>IF($B177&lt;&gt;"",INDEX(DataOB[],FirstRow+ROW()-7,3),"")</f>
        <v>TBD</v>
      </c>
      <c r="E177" s="158">
        <f>IF($B177&lt;&gt;"",INDEX(DataOB[],FirstRow+ROW()-7,6),"")</f>
        <v>0</v>
      </c>
      <c r="F177" s="158" t="str">
        <f>IF($B177&lt;&gt;"",INDEX(DataOB[],FirstRow+ROW()-7,5),"")</f>
        <v>Install dehumidifiers for Building area to control Humidity (AoM)</v>
      </c>
      <c r="G177" s="58">
        <f>IF($B177&lt;&gt;"",SUMIFS(DataAct_tbl[AMOUNT],DataAct_tbl[BG CODE],Detail!$D177,DataAct_tbl[MONTH],LEFT(MonthName,3),DataAct_tbl[Dept code],$B177),0)</f>
        <v>0</v>
      </c>
      <c r="H177" s="31">
        <f t="shared" si="25"/>
        <v>0</v>
      </c>
      <c r="I177" s="28">
        <f t="shared" si="26"/>
        <v>0</v>
      </c>
      <c r="J177" s="32" t="str">
        <f t="shared" si="27"/>
        <v xml:space="preserve"> </v>
      </c>
      <c r="K177" s="86"/>
      <c r="L177" s="62">
        <f>IF($B177&lt;&gt;"",SUMIFS(DataAct_tbl[AMOUNT],DataAct_tbl[BG CODE],Detail!$D177,DataAct_tbl[Check Range],"=true",DataAct_tbl[Dept code],$B177),0)</f>
        <v>0</v>
      </c>
      <c r="M177" s="63">
        <f>INDEX($AG$7:$AR$1005,ROW()-6,MATCH(MTD,$AG$6:$AR$6,0))</f>
        <v>0</v>
      </c>
      <c r="N177" s="34">
        <f t="shared" si="28"/>
        <v>0</v>
      </c>
      <c r="O177" s="64" t="str">
        <f t="shared" si="29"/>
        <v xml:space="preserve"> </v>
      </c>
      <c r="Q177" s="97">
        <f t="shared" si="30"/>
        <v>122</v>
      </c>
      <c r="R177" s="96">
        <f t="shared" si="31"/>
        <v>122</v>
      </c>
      <c r="T177" s="67">
        <f>IF($B177&lt;&gt;"",INDEX(DataOB[],FirstRow+ROW()-7,MATCH(T$6,DataOB[#Headers],0)),"")</f>
        <v>0</v>
      </c>
      <c r="U177" s="67">
        <f>IF($B177&lt;&gt;"",INDEX(DataOB[],FirstRow+ROW()-7,MATCH(U$6,DataOB[#Headers],0)),"")</f>
        <v>0</v>
      </c>
      <c r="V177" s="67">
        <f>IF($B177&lt;&gt;"",INDEX(DataOB[],FirstRow+ROW()-7,MATCH(V$6,DataOB[#Headers],0)),"")</f>
        <v>0</v>
      </c>
      <c r="W177" s="67">
        <f>IF($B177&lt;&gt;"",INDEX(DataOB[],FirstRow+ROW()-7,MATCH(W$6,DataOB[#Headers],0)),"")</f>
        <v>0</v>
      </c>
      <c r="X177" s="67">
        <f>IF($B177&lt;&gt;"",INDEX(DataOB[],FirstRow+ROW()-7,MATCH(X$6,DataOB[#Headers],0)),"")</f>
        <v>0</v>
      </c>
      <c r="Y177" s="67">
        <f>IF($B177&lt;&gt;"",INDEX(DataOB[],FirstRow+ROW()-7,MATCH(Y$6,DataOB[#Headers],0)),"")</f>
        <v>0</v>
      </c>
      <c r="Z177" s="67">
        <f>IF($B177&lt;&gt;"",INDEX(DataOB[],FirstRow+ROW()-7,MATCH(Z$6,DataOB[#Headers],0)),"")</f>
        <v>0</v>
      </c>
      <c r="AA177" s="67">
        <f>IF($B177&lt;&gt;"",INDEX(DataOB[],FirstRow+ROW()-7,MATCH(AA$6,DataOB[#Headers],0)),"")</f>
        <v>0</v>
      </c>
      <c r="AB177" s="67">
        <f>IF($B177&lt;&gt;"",INDEX(DataOB[],FirstRow+ROW()-7,MATCH(AB$6,DataOB[#Headers],0)),"")</f>
        <v>0</v>
      </c>
      <c r="AC177" s="67">
        <f>IF($B177&lt;&gt;"",INDEX(DataOB[],FirstRow+ROW()-7,MATCH(AC$6,DataOB[#Headers],0)),"")</f>
        <v>0</v>
      </c>
      <c r="AD177" s="67">
        <f>IF($B177&lt;&gt;"",INDEX(DataOB[],FirstRow+ROW()-7,MATCH(AD$6,DataOB[#Headers],0)),"")</f>
        <v>0</v>
      </c>
      <c r="AE177" s="67">
        <f>IF($B177&lt;&gt;"",INDEX(DataOB[],FirstRow+ROW()-7,MATCH(AE$6,DataOB[#Headers],0)),"")</f>
        <v>122</v>
      </c>
      <c r="AF177" s="26">
        <f t="shared" si="32"/>
        <v>122</v>
      </c>
      <c r="AG177" s="31">
        <f>SUM($T177:T177)</f>
        <v>0</v>
      </c>
      <c r="AH177" s="31">
        <f>SUM($T177:U177)</f>
        <v>0</v>
      </c>
      <c r="AI177" s="31">
        <f>SUM($T177:V177)</f>
        <v>0</v>
      </c>
      <c r="AJ177" s="31">
        <f>SUM($T177:W177)</f>
        <v>0</v>
      </c>
      <c r="AK177" s="31">
        <f>SUM($T177:X177)</f>
        <v>0</v>
      </c>
      <c r="AL177" s="31">
        <f>SUM($T177:Y177)</f>
        <v>0</v>
      </c>
      <c r="AM177" s="31">
        <f>SUM($T177:Z177)</f>
        <v>0</v>
      </c>
      <c r="AN177" s="31">
        <f>SUM($T177:AA177)</f>
        <v>0</v>
      </c>
      <c r="AO177" s="31">
        <f>SUM($T177:AB177)</f>
        <v>0</v>
      </c>
      <c r="AP177" s="31">
        <f>SUM($T177:AC177)</f>
        <v>0</v>
      </c>
      <c r="AQ177" s="31">
        <f>SUM($T177:AD177)</f>
        <v>0</v>
      </c>
      <c r="AR177" s="31">
        <f>SUM($T177:AE177)</f>
        <v>122</v>
      </c>
      <c r="AS177" s="27">
        <f t="shared" si="33"/>
        <v>0</v>
      </c>
    </row>
    <row r="178" spans="2:45">
      <c r="B178" s="156">
        <f>IF(ROW()-6&gt;NumCostCenter,"",IF(CostCenter&lt;&gt;"ALL",CostCenter,DATA_LF2!B176))</f>
        <v>8411</v>
      </c>
      <c r="C178" s="153">
        <f>IF($B178&lt;&gt;"",INDEX(DataOB[],FirstRow+ROW()-7,2),"")</f>
        <v>8411</v>
      </c>
      <c r="D178" s="157" t="str">
        <f>IF($B178&lt;&gt;"",INDEX(DataOB[],FirstRow+ROW()-7,3),"")</f>
        <v>TBD</v>
      </c>
      <c r="E178" s="158">
        <f>IF($B178&lt;&gt;"",INDEX(DataOB[],FirstRow+ROW()-7,6),"")</f>
        <v>0</v>
      </c>
      <c r="F178" s="158" t="str">
        <f>IF($B178&lt;&gt;"",INDEX(DataOB[],FirstRow+ROW()-7,5),"")</f>
        <v>New belt Twin-Fegs Y24</v>
      </c>
      <c r="G178" s="58">
        <f>IF($B178&lt;&gt;"",SUMIFS(DataAct_tbl[AMOUNT],DataAct_tbl[BG CODE],Detail!$D178,DataAct_tbl[MONTH],LEFT(MonthName,3),DataAct_tbl[Dept code],$B178),0)</f>
        <v>0</v>
      </c>
      <c r="H178" s="31">
        <f t="shared" si="25"/>
        <v>0</v>
      </c>
      <c r="I178" s="28">
        <f t="shared" si="26"/>
        <v>0</v>
      </c>
      <c r="J178" s="32" t="str">
        <f t="shared" si="27"/>
        <v xml:space="preserve"> </v>
      </c>
      <c r="K178" s="86"/>
      <c r="L178" s="62">
        <f>IF($B178&lt;&gt;"",SUMIFS(DataAct_tbl[AMOUNT],DataAct_tbl[BG CODE],Detail!$D178,DataAct_tbl[Check Range],"=true",DataAct_tbl[Dept code],$B178),0)</f>
        <v>0</v>
      </c>
      <c r="M178" s="63">
        <f>INDEX($AG$7:$AR$1005,ROW()-6,MATCH(MTD,$AG$6:$AR$6,0))</f>
        <v>0</v>
      </c>
      <c r="N178" s="34">
        <f t="shared" si="28"/>
        <v>0</v>
      </c>
      <c r="O178" s="64" t="str">
        <f t="shared" si="29"/>
        <v xml:space="preserve"> </v>
      </c>
      <c r="Q178" s="97">
        <f t="shared" si="30"/>
        <v>55</v>
      </c>
      <c r="R178" s="96">
        <f t="shared" si="31"/>
        <v>55</v>
      </c>
      <c r="T178" s="67">
        <f>IF($B178&lt;&gt;"",INDEX(DataOB[],FirstRow+ROW()-7,MATCH(T$6,DataOB[#Headers],0)),"")</f>
        <v>0</v>
      </c>
      <c r="U178" s="67">
        <f>IF($B178&lt;&gt;"",INDEX(DataOB[],FirstRow+ROW()-7,MATCH(U$6,DataOB[#Headers],0)),"")</f>
        <v>0</v>
      </c>
      <c r="V178" s="67">
        <f>IF($B178&lt;&gt;"",INDEX(DataOB[],FirstRow+ROW()-7,MATCH(V$6,DataOB[#Headers],0)),"")</f>
        <v>0</v>
      </c>
      <c r="W178" s="67">
        <f>IF($B178&lt;&gt;"",INDEX(DataOB[],FirstRow+ROW()-7,MATCH(W$6,DataOB[#Headers],0)),"")</f>
        <v>0</v>
      </c>
      <c r="X178" s="67">
        <f>IF($B178&lt;&gt;"",INDEX(DataOB[],FirstRow+ROW()-7,MATCH(X$6,DataOB[#Headers],0)),"")</f>
        <v>0</v>
      </c>
      <c r="Y178" s="67">
        <f>IF($B178&lt;&gt;"",INDEX(DataOB[],FirstRow+ROW()-7,MATCH(Y$6,DataOB[#Headers],0)),"")</f>
        <v>0</v>
      </c>
      <c r="Z178" s="67">
        <f>IF($B178&lt;&gt;"",INDEX(DataOB[],FirstRow+ROW()-7,MATCH(Z$6,DataOB[#Headers],0)),"")</f>
        <v>0</v>
      </c>
      <c r="AA178" s="67">
        <f>IF($B178&lt;&gt;"",INDEX(DataOB[],FirstRow+ROW()-7,MATCH(AA$6,DataOB[#Headers],0)),"")</f>
        <v>0</v>
      </c>
      <c r="AB178" s="67">
        <f>IF($B178&lt;&gt;"",INDEX(DataOB[],FirstRow+ROW()-7,MATCH(AB$6,DataOB[#Headers],0)),"")</f>
        <v>0</v>
      </c>
      <c r="AC178" s="67">
        <f>IF($B178&lt;&gt;"",INDEX(DataOB[],FirstRow+ROW()-7,MATCH(AC$6,DataOB[#Headers],0)),"")</f>
        <v>0</v>
      </c>
      <c r="AD178" s="67">
        <f>IF($B178&lt;&gt;"",INDEX(DataOB[],FirstRow+ROW()-7,MATCH(AD$6,DataOB[#Headers],0)),"")</f>
        <v>0</v>
      </c>
      <c r="AE178" s="67">
        <f>IF($B178&lt;&gt;"",INDEX(DataOB[],FirstRow+ROW()-7,MATCH(AE$6,DataOB[#Headers],0)),"")</f>
        <v>55</v>
      </c>
      <c r="AF178" s="26">
        <f t="shared" si="32"/>
        <v>55</v>
      </c>
      <c r="AG178" s="31">
        <f>SUM($T178:T178)</f>
        <v>0</v>
      </c>
      <c r="AH178" s="31">
        <f>SUM($T178:U178)</f>
        <v>0</v>
      </c>
      <c r="AI178" s="31">
        <f>SUM($T178:V178)</f>
        <v>0</v>
      </c>
      <c r="AJ178" s="31">
        <f>SUM($T178:W178)</f>
        <v>0</v>
      </c>
      <c r="AK178" s="31">
        <f>SUM($T178:X178)</f>
        <v>0</v>
      </c>
      <c r="AL178" s="31">
        <f>SUM($T178:Y178)</f>
        <v>0</v>
      </c>
      <c r="AM178" s="31">
        <f>SUM($T178:Z178)</f>
        <v>0</v>
      </c>
      <c r="AN178" s="31">
        <f>SUM($T178:AA178)</f>
        <v>0</v>
      </c>
      <c r="AO178" s="31">
        <f>SUM($T178:AB178)</f>
        <v>0</v>
      </c>
      <c r="AP178" s="31">
        <f>SUM($T178:AC178)</f>
        <v>0</v>
      </c>
      <c r="AQ178" s="31">
        <f>SUM($T178:AD178)</f>
        <v>0</v>
      </c>
      <c r="AR178" s="31">
        <f>SUM($T178:AE178)</f>
        <v>55</v>
      </c>
      <c r="AS178" s="27">
        <f t="shared" si="33"/>
        <v>0</v>
      </c>
    </row>
    <row r="179" spans="2:45">
      <c r="B179" s="156">
        <f>IF(ROW()-6&gt;NumCostCenter,"",IF(CostCenter&lt;&gt;"ALL",CostCenter,DATA_LF2!B177))</f>
        <v>8511</v>
      </c>
      <c r="C179" s="153">
        <f>IF($B179&lt;&gt;"",INDEX(DataOB[],FirstRow+ROW()-7,2),"")</f>
        <v>8511</v>
      </c>
      <c r="D179" s="157" t="str">
        <f>IF($B179&lt;&gt;"",INDEX(DataOB[],FirstRow+ROW()-7,3),"")</f>
        <v>TBD</v>
      </c>
      <c r="E179" s="158">
        <f>IF($B179&lt;&gt;"",INDEX(DataOB[],FirstRow+ROW()-7,6),"")</f>
        <v>0</v>
      </c>
      <c r="F179" s="158" t="str">
        <f>IF($B179&lt;&gt;"",INDEX(DataOB[],FirstRow+ROW()-7,5),"")</f>
        <v>Air chamfer for pigment area</v>
      </c>
      <c r="G179" s="58">
        <f>IF($B179&lt;&gt;"",SUMIFS(DataAct_tbl[AMOUNT],DataAct_tbl[BG CODE],Detail!$D179,DataAct_tbl[MONTH],LEFT(MonthName,3),DataAct_tbl[Dept code],$B179),0)</f>
        <v>0</v>
      </c>
      <c r="H179" s="31">
        <f t="shared" si="25"/>
        <v>0</v>
      </c>
      <c r="I179" s="28">
        <f t="shared" si="26"/>
        <v>0</v>
      </c>
      <c r="J179" s="32" t="str">
        <f t="shared" si="27"/>
        <v xml:space="preserve"> </v>
      </c>
      <c r="K179" s="86"/>
      <c r="L179" s="62">
        <f>IF($B179&lt;&gt;"",SUMIFS(DataAct_tbl[AMOUNT],DataAct_tbl[BG CODE],Detail!$D179,DataAct_tbl[Check Range],"=true",DataAct_tbl[Dept code],$B179),0)</f>
        <v>0</v>
      </c>
      <c r="M179" s="63">
        <f>INDEX($AG$7:$AR$1005,ROW()-6,MATCH(MTD,$AG$6:$AR$6,0))</f>
        <v>0</v>
      </c>
      <c r="N179" s="34">
        <f t="shared" si="28"/>
        <v>0</v>
      </c>
      <c r="O179" s="64" t="str">
        <f t="shared" si="29"/>
        <v xml:space="preserve"> </v>
      </c>
      <c r="Q179" s="97">
        <f t="shared" si="30"/>
        <v>150</v>
      </c>
      <c r="R179" s="96">
        <f t="shared" si="31"/>
        <v>150</v>
      </c>
      <c r="T179" s="67">
        <f>IF($B179&lt;&gt;"",INDEX(DataOB[],FirstRow+ROW()-7,MATCH(T$6,DataOB[#Headers],0)),"")</f>
        <v>0</v>
      </c>
      <c r="U179" s="67">
        <f>IF($B179&lt;&gt;"",INDEX(DataOB[],FirstRow+ROW()-7,MATCH(U$6,DataOB[#Headers],0)),"")</f>
        <v>0</v>
      </c>
      <c r="V179" s="67">
        <f>IF($B179&lt;&gt;"",INDEX(DataOB[],FirstRow+ROW()-7,MATCH(V$6,DataOB[#Headers],0)),"")</f>
        <v>0</v>
      </c>
      <c r="W179" s="67">
        <f>IF($B179&lt;&gt;"",INDEX(DataOB[],FirstRow+ROW()-7,MATCH(W$6,DataOB[#Headers],0)),"")</f>
        <v>0</v>
      </c>
      <c r="X179" s="67">
        <f>IF($B179&lt;&gt;"",INDEX(DataOB[],FirstRow+ROW()-7,MATCH(X$6,DataOB[#Headers],0)),"")</f>
        <v>0</v>
      </c>
      <c r="Y179" s="67">
        <f>IF($B179&lt;&gt;"",INDEX(DataOB[],FirstRow+ROW()-7,MATCH(Y$6,DataOB[#Headers],0)),"")</f>
        <v>0</v>
      </c>
      <c r="Z179" s="67">
        <f>IF($B179&lt;&gt;"",INDEX(DataOB[],FirstRow+ROW()-7,MATCH(Z$6,DataOB[#Headers],0)),"")</f>
        <v>0</v>
      </c>
      <c r="AA179" s="67">
        <f>IF($B179&lt;&gt;"",INDEX(DataOB[],FirstRow+ROW()-7,MATCH(AA$6,DataOB[#Headers],0)),"")</f>
        <v>0</v>
      </c>
      <c r="AB179" s="67">
        <f>IF($B179&lt;&gt;"",INDEX(DataOB[],FirstRow+ROW()-7,MATCH(AB$6,DataOB[#Headers],0)),"")</f>
        <v>150</v>
      </c>
      <c r="AC179" s="67">
        <f>IF($B179&lt;&gt;"",INDEX(DataOB[],FirstRow+ROW()-7,MATCH(AC$6,DataOB[#Headers],0)),"")</f>
        <v>0</v>
      </c>
      <c r="AD179" s="67">
        <f>IF($B179&lt;&gt;"",INDEX(DataOB[],FirstRow+ROW()-7,MATCH(AD$6,DataOB[#Headers],0)),"")</f>
        <v>0</v>
      </c>
      <c r="AE179" s="67">
        <f>IF($B179&lt;&gt;"",INDEX(DataOB[],FirstRow+ROW()-7,MATCH(AE$6,DataOB[#Headers],0)),"")</f>
        <v>0</v>
      </c>
      <c r="AF179" s="26">
        <f t="shared" si="32"/>
        <v>150</v>
      </c>
      <c r="AG179" s="31">
        <f>SUM($T179:T179)</f>
        <v>0</v>
      </c>
      <c r="AH179" s="31">
        <f>SUM($T179:U179)</f>
        <v>0</v>
      </c>
      <c r="AI179" s="31">
        <f>SUM($T179:V179)</f>
        <v>0</v>
      </c>
      <c r="AJ179" s="31">
        <f>SUM($T179:W179)</f>
        <v>0</v>
      </c>
      <c r="AK179" s="31">
        <f>SUM($T179:X179)</f>
        <v>0</v>
      </c>
      <c r="AL179" s="31">
        <f>SUM($T179:Y179)</f>
        <v>0</v>
      </c>
      <c r="AM179" s="31">
        <f>SUM($T179:Z179)</f>
        <v>0</v>
      </c>
      <c r="AN179" s="31">
        <f>SUM($T179:AA179)</f>
        <v>0</v>
      </c>
      <c r="AO179" s="31">
        <f>SUM($T179:AB179)</f>
        <v>150</v>
      </c>
      <c r="AP179" s="31">
        <f>SUM($T179:AC179)</f>
        <v>150</v>
      </c>
      <c r="AQ179" s="31">
        <f>SUM($T179:AD179)</f>
        <v>150</v>
      </c>
      <c r="AR179" s="31">
        <f>SUM($T179:AE179)</f>
        <v>150</v>
      </c>
      <c r="AS179" s="27">
        <f t="shared" si="33"/>
        <v>0</v>
      </c>
    </row>
    <row r="180" spans="2:45">
      <c r="B180" s="102">
        <f>IF(ROW()-6&gt;NumCostCenter,"",IF(CostCenter&lt;&gt;"ALL",CostCenter,DATA_LF2!B178))</f>
        <v>8511</v>
      </c>
      <c r="C180" s="153">
        <f>IF($B180&lt;&gt;"",INDEX(DataOB[],FirstRow+ROW()-7,2),"")</f>
        <v>8511</v>
      </c>
      <c r="D180" s="66" t="str">
        <f>IF($B180&lt;&gt;"",INDEX(DataOB[],FirstRow+ROW()-7,3),"")</f>
        <v>TBD</v>
      </c>
      <c r="E180" s="103">
        <f>IF($B180&lt;&gt;"",INDEX(DataOB[],FirstRow+ROW()-7,6),"")</f>
        <v>0</v>
      </c>
      <c r="F180" s="103" t="str">
        <f>IF($B180&lt;&gt;"",INDEX(DataOB[],FirstRow+ROW()-7,5),"")</f>
        <v>Lowlift  (TCM-Sanyo)</v>
      </c>
      <c r="G180" s="58">
        <f>IF($B180&lt;&gt;"",SUMIFS(DataAct_tbl[AMOUNT],DataAct_tbl[BG CODE],Detail!$D180,DataAct_tbl[MONTH],LEFT(MonthName,3),DataAct_tbl[Dept code],$B180),0)</f>
        <v>0</v>
      </c>
      <c r="H180" s="31">
        <f t="shared" si="25"/>
        <v>0</v>
      </c>
      <c r="I180" s="28">
        <f t="shared" si="26"/>
        <v>0</v>
      </c>
      <c r="J180" s="32" t="str">
        <f t="shared" si="27"/>
        <v xml:space="preserve"> </v>
      </c>
      <c r="K180" s="86"/>
      <c r="L180" s="62">
        <f>IF($B180&lt;&gt;"",SUMIFS(DataAct_tbl[AMOUNT],DataAct_tbl[BG CODE],Detail!$D180,DataAct_tbl[Check Range],"=true",DataAct_tbl[Dept code],$B180),0)</f>
        <v>0</v>
      </c>
      <c r="M180" s="63">
        <f>INDEX($AG$7:$AR$1005,ROW()-6,MATCH(MTD,$AG$6:$AR$6,0))</f>
        <v>0</v>
      </c>
      <c r="N180" s="34">
        <f t="shared" si="28"/>
        <v>0</v>
      </c>
      <c r="O180" s="64" t="str">
        <f t="shared" si="29"/>
        <v xml:space="preserve"> </v>
      </c>
      <c r="Q180" s="97">
        <f t="shared" si="30"/>
        <v>120</v>
      </c>
      <c r="R180" s="96">
        <f t="shared" si="31"/>
        <v>120</v>
      </c>
      <c r="T180" s="67">
        <f>IF($B180&lt;&gt;"",INDEX(DataOB[],FirstRow+ROW()-7,MATCH(T$6,DataOB[#Headers],0)),"")</f>
        <v>0</v>
      </c>
      <c r="U180" s="67">
        <f>IF($B180&lt;&gt;"",INDEX(DataOB[],FirstRow+ROW()-7,MATCH(U$6,DataOB[#Headers],0)),"")</f>
        <v>0</v>
      </c>
      <c r="V180" s="67">
        <f>IF($B180&lt;&gt;"",INDEX(DataOB[],FirstRow+ROW()-7,MATCH(V$6,DataOB[#Headers],0)),"")</f>
        <v>0</v>
      </c>
      <c r="W180" s="67">
        <f>IF($B180&lt;&gt;"",INDEX(DataOB[],FirstRow+ROW()-7,MATCH(W$6,DataOB[#Headers],0)),"")</f>
        <v>0</v>
      </c>
      <c r="X180" s="67">
        <f>IF($B180&lt;&gt;"",INDEX(DataOB[],FirstRow+ROW()-7,MATCH(X$6,DataOB[#Headers],0)),"")</f>
        <v>0</v>
      </c>
      <c r="Y180" s="67">
        <f>IF($B180&lt;&gt;"",INDEX(DataOB[],FirstRow+ROW()-7,MATCH(Y$6,DataOB[#Headers],0)),"")</f>
        <v>0</v>
      </c>
      <c r="Z180" s="67">
        <f>IF($B180&lt;&gt;"",INDEX(DataOB[],FirstRow+ROW()-7,MATCH(Z$6,DataOB[#Headers],0)),"")</f>
        <v>0</v>
      </c>
      <c r="AA180" s="67">
        <f>IF($B180&lt;&gt;"",INDEX(DataOB[],FirstRow+ROW()-7,MATCH(AA$6,DataOB[#Headers],0)),"")</f>
        <v>0</v>
      </c>
      <c r="AB180" s="67">
        <f>IF($B180&lt;&gt;"",INDEX(DataOB[],FirstRow+ROW()-7,MATCH(AB$6,DataOB[#Headers],0)),"")</f>
        <v>0</v>
      </c>
      <c r="AC180" s="67">
        <f>IF($B180&lt;&gt;"",INDEX(DataOB[],FirstRow+ROW()-7,MATCH(AC$6,DataOB[#Headers],0)),"")</f>
        <v>120</v>
      </c>
      <c r="AD180" s="67">
        <f>IF($B180&lt;&gt;"",INDEX(DataOB[],FirstRow+ROW()-7,MATCH(AD$6,DataOB[#Headers],0)),"")</f>
        <v>0</v>
      </c>
      <c r="AE180" s="67">
        <f>IF($B180&lt;&gt;"",INDEX(DataOB[],FirstRow+ROW()-7,MATCH(AE$6,DataOB[#Headers],0)),"")</f>
        <v>0</v>
      </c>
      <c r="AF180" s="26">
        <f t="shared" si="32"/>
        <v>120</v>
      </c>
      <c r="AG180" s="31">
        <f>SUM($T180:T180)</f>
        <v>0</v>
      </c>
      <c r="AH180" s="31">
        <f>SUM($T180:U180)</f>
        <v>0</v>
      </c>
      <c r="AI180" s="31">
        <f>SUM($T180:V180)</f>
        <v>0</v>
      </c>
      <c r="AJ180" s="31">
        <f>SUM($T180:W180)</f>
        <v>0</v>
      </c>
      <c r="AK180" s="31">
        <f>SUM($T180:X180)</f>
        <v>0</v>
      </c>
      <c r="AL180" s="31">
        <f>SUM($T180:Y180)</f>
        <v>0</v>
      </c>
      <c r="AM180" s="31">
        <f>SUM($T180:Z180)</f>
        <v>0</v>
      </c>
      <c r="AN180" s="31">
        <f>SUM($T180:AA180)</f>
        <v>0</v>
      </c>
      <c r="AO180" s="31">
        <f>SUM($T180:AB180)</f>
        <v>0</v>
      </c>
      <c r="AP180" s="31">
        <f>SUM($T180:AC180)</f>
        <v>120</v>
      </c>
      <c r="AQ180" s="31">
        <f>SUM($T180:AD180)</f>
        <v>120</v>
      </c>
      <c r="AR180" s="31">
        <f>SUM($T180:AE180)</f>
        <v>120</v>
      </c>
      <c r="AS180" s="27">
        <f t="shared" si="33"/>
        <v>0</v>
      </c>
    </row>
    <row r="181" spans="2:45">
      <c r="B181" s="102">
        <f>IF(ROW()-6&gt;NumCostCenter,"",IF(CostCenter&lt;&gt;"ALL",CostCenter,DATA_LF2!B179))</f>
        <v>8511</v>
      </c>
      <c r="C181" s="153">
        <f>IF($B181&lt;&gt;"",INDEX(DataOB[],FirstRow+ROW()-7,2),"")</f>
        <v>8511</v>
      </c>
      <c r="D181" s="66" t="str">
        <f>IF($B181&lt;&gt;"",INDEX(DataOB[],FirstRow+ROW()-7,3),"")</f>
        <v>TBD</v>
      </c>
      <c r="E181" s="103">
        <f>IF($B181&lt;&gt;"",INDEX(DataOB[],FirstRow+ROW()-7,6),"")</f>
        <v>0</v>
      </c>
      <c r="F181" s="103" t="str">
        <f>IF($B181&lt;&gt;"",INDEX(DataOB[],FirstRow+ROW()-7,5),"")</f>
        <v>Steel floor for Cutting area (remaining part)</v>
      </c>
      <c r="G181" s="58">
        <f>IF($B181&lt;&gt;"",SUMIFS(DataAct_tbl[AMOUNT],DataAct_tbl[BG CODE],Detail!$D181,DataAct_tbl[MONTH],LEFT(MonthName,3),DataAct_tbl[Dept code],$B181),0)</f>
        <v>0</v>
      </c>
      <c r="H181" s="31">
        <f t="shared" si="25"/>
        <v>0</v>
      </c>
      <c r="I181" s="28">
        <f t="shared" si="26"/>
        <v>0</v>
      </c>
      <c r="J181" s="32" t="str">
        <f t="shared" si="27"/>
        <v xml:space="preserve"> </v>
      </c>
      <c r="K181" s="86"/>
      <c r="L181" s="62">
        <f>IF($B181&lt;&gt;"",SUMIFS(DataAct_tbl[AMOUNT],DataAct_tbl[BG CODE],Detail!$D181,DataAct_tbl[Check Range],"=true",DataAct_tbl[Dept code],$B181),0)</f>
        <v>0</v>
      </c>
      <c r="M181" s="63">
        <f>INDEX($AG$7:$AR$1005,ROW()-6,MATCH(MTD,$AG$6:$AR$6,0))</f>
        <v>0</v>
      </c>
      <c r="N181" s="34">
        <f t="shared" si="28"/>
        <v>0</v>
      </c>
      <c r="O181" s="64" t="str">
        <f t="shared" si="29"/>
        <v xml:space="preserve"> </v>
      </c>
      <c r="Q181" s="97">
        <f t="shared" si="30"/>
        <v>50</v>
      </c>
      <c r="R181" s="96">
        <f t="shared" si="31"/>
        <v>50</v>
      </c>
      <c r="T181" s="67">
        <f>IF($B181&lt;&gt;"",INDEX(DataOB[],FirstRow+ROW()-7,MATCH(T$6,DataOB[#Headers],0)),"")</f>
        <v>0</v>
      </c>
      <c r="U181" s="67">
        <f>IF($B181&lt;&gt;"",INDEX(DataOB[],FirstRow+ROW()-7,MATCH(U$6,DataOB[#Headers],0)),"")</f>
        <v>0</v>
      </c>
      <c r="V181" s="67">
        <f>IF($B181&lt;&gt;"",INDEX(DataOB[],FirstRow+ROW()-7,MATCH(V$6,DataOB[#Headers],0)),"")</f>
        <v>0</v>
      </c>
      <c r="W181" s="67">
        <f>IF($B181&lt;&gt;"",INDEX(DataOB[],FirstRow+ROW()-7,MATCH(W$6,DataOB[#Headers],0)),"")</f>
        <v>0</v>
      </c>
      <c r="X181" s="67">
        <f>IF($B181&lt;&gt;"",INDEX(DataOB[],FirstRow+ROW()-7,MATCH(X$6,DataOB[#Headers],0)),"")</f>
        <v>0</v>
      </c>
      <c r="Y181" s="67">
        <f>IF($B181&lt;&gt;"",INDEX(DataOB[],FirstRow+ROW()-7,MATCH(Y$6,DataOB[#Headers],0)),"")</f>
        <v>0</v>
      </c>
      <c r="Z181" s="67">
        <f>IF($B181&lt;&gt;"",INDEX(DataOB[],FirstRow+ROW()-7,MATCH(Z$6,DataOB[#Headers],0)),"")</f>
        <v>0</v>
      </c>
      <c r="AA181" s="67">
        <f>IF($B181&lt;&gt;"",INDEX(DataOB[],FirstRow+ROW()-7,MATCH(AA$6,DataOB[#Headers],0)),"")</f>
        <v>50</v>
      </c>
      <c r="AB181" s="67">
        <f>IF($B181&lt;&gt;"",INDEX(DataOB[],FirstRow+ROW()-7,MATCH(AB$6,DataOB[#Headers],0)),"")</f>
        <v>0</v>
      </c>
      <c r="AC181" s="67">
        <f>IF($B181&lt;&gt;"",INDEX(DataOB[],FirstRow+ROW()-7,MATCH(AC$6,DataOB[#Headers],0)),"")</f>
        <v>0</v>
      </c>
      <c r="AD181" s="67">
        <f>IF($B181&lt;&gt;"",INDEX(DataOB[],FirstRow+ROW()-7,MATCH(AD$6,DataOB[#Headers],0)),"")</f>
        <v>0</v>
      </c>
      <c r="AE181" s="67">
        <f>IF($B181&lt;&gt;"",INDEX(DataOB[],FirstRow+ROW()-7,MATCH(AE$6,DataOB[#Headers],0)),"")</f>
        <v>0</v>
      </c>
      <c r="AF181" s="26">
        <f t="shared" si="32"/>
        <v>50</v>
      </c>
      <c r="AG181" s="31">
        <f>SUM($T181:T181)</f>
        <v>0</v>
      </c>
      <c r="AH181" s="31">
        <f>SUM($T181:U181)</f>
        <v>0</v>
      </c>
      <c r="AI181" s="31">
        <f>SUM($T181:V181)</f>
        <v>0</v>
      </c>
      <c r="AJ181" s="31">
        <f>SUM($T181:W181)</f>
        <v>0</v>
      </c>
      <c r="AK181" s="31">
        <f>SUM($T181:X181)</f>
        <v>0</v>
      </c>
      <c r="AL181" s="31">
        <f>SUM($T181:Y181)</f>
        <v>0</v>
      </c>
      <c r="AM181" s="31">
        <f>SUM($T181:Z181)</f>
        <v>0</v>
      </c>
      <c r="AN181" s="31">
        <f>SUM($T181:AA181)</f>
        <v>50</v>
      </c>
      <c r="AO181" s="31">
        <f>SUM($T181:AB181)</f>
        <v>50</v>
      </c>
      <c r="AP181" s="31">
        <f>SUM($T181:AC181)</f>
        <v>50</v>
      </c>
      <c r="AQ181" s="31">
        <f>SUM($T181:AD181)</f>
        <v>50</v>
      </c>
      <c r="AR181" s="31">
        <f>SUM($T181:AE181)</f>
        <v>50</v>
      </c>
      <c r="AS181" s="27">
        <f t="shared" si="33"/>
        <v>0</v>
      </c>
    </row>
    <row r="182" spans="2:45">
      <c r="B182" s="102">
        <f>IF(ROW()-6&gt;NumCostCenter,"",IF(CostCenter&lt;&gt;"ALL",CostCenter,DATA_LF2!B180))</f>
        <v>8512</v>
      </c>
      <c r="C182" s="153">
        <f>IF($B182&lt;&gt;"",INDEX(DataOB[],FirstRow+ROW()-7,2),"")</f>
        <v>8512</v>
      </c>
      <c r="D182" s="66" t="str">
        <f>IF($B182&lt;&gt;"",INDEX(DataOB[],FirstRow+ROW()-7,3),"")</f>
        <v>OT00168</v>
      </c>
      <c r="E182" s="103">
        <f>IF($B182&lt;&gt;"",INDEX(DataOB[],FirstRow+ROW()-7,6),"")</f>
        <v>0</v>
      </c>
      <c r="F182" s="103" t="str">
        <f>IF($B182&lt;&gt;"",INDEX(DataOB[],FirstRow+ROW()-7,5),"")</f>
        <v>Steel floor for Building area</v>
      </c>
      <c r="G182" s="58">
        <f>IF($B182&lt;&gt;"",SUMIFS(DataAct_tbl[AMOUNT],DataAct_tbl[BG CODE],Detail!$D182,DataAct_tbl[MONTH],LEFT(MonthName,3),DataAct_tbl[Dept code],$B182),0)</f>
        <v>136.04040000000001</v>
      </c>
      <c r="H182" s="31">
        <f t="shared" si="25"/>
        <v>195</v>
      </c>
      <c r="I182" s="28">
        <f t="shared" si="26"/>
        <v>-58.959599999999995</v>
      </c>
      <c r="J182" s="32">
        <f t="shared" si="27"/>
        <v>0.69764307692307692</v>
      </c>
      <c r="K182" s="86"/>
      <c r="L182" s="62">
        <f>IF($B182&lt;&gt;"",SUMIFS(DataAct_tbl[AMOUNT],DataAct_tbl[BG CODE],Detail!$D182,DataAct_tbl[Check Range],"=true",DataAct_tbl[Dept code],$B182),0)</f>
        <v>136.04040000000001</v>
      </c>
      <c r="M182" s="63">
        <f>INDEX($AG$7:$AR$1005,ROW()-6,MATCH(MTD,$AG$6:$AR$6,0))</f>
        <v>195</v>
      </c>
      <c r="N182" s="34">
        <f t="shared" si="28"/>
        <v>-58.959599999999995</v>
      </c>
      <c r="O182" s="64">
        <f t="shared" si="29"/>
        <v>0.69764307692307692</v>
      </c>
      <c r="Q182" s="97">
        <f t="shared" si="30"/>
        <v>195</v>
      </c>
      <c r="R182" s="96">
        <f t="shared" si="31"/>
        <v>58.959599999999995</v>
      </c>
      <c r="T182" s="67">
        <f>IF($B182&lt;&gt;"",INDEX(DataOB[],FirstRow+ROW()-7,MATCH(T$6,DataOB[#Headers],0)),"")</f>
        <v>0</v>
      </c>
      <c r="U182" s="67">
        <f>IF($B182&lt;&gt;"",INDEX(DataOB[],FirstRow+ROW()-7,MATCH(U$6,DataOB[#Headers],0)),"")</f>
        <v>0</v>
      </c>
      <c r="V182" s="67">
        <f>IF($B182&lt;&gt;"",INDEX(DataOB[],FirstRow+ROW()-7,MATCH(V$6,DataOB[#Headers],0)),"")</f>
        <v>0</v>
      </c>
      <c r="W182" s="67">
        <f>IF($B182&lt;&gt;"",INDEX(DataOB[],FirstRow+ROW()-7,MATCH(W$6,DataOB[#Headers],0)),"")</f>
        <v>0</v>
      </c>
      <c r="X182" s="67">
        <f>IF($B182&lt;&gt;"",INDEX(DataOB[],FirstRow+ROW()-7,MATCH(X$6,DataOB[#Headers],0)),"")</f>
        <v>0</v>
      </c>
      <c r="Y182" s="67">
        <f>IF($B182&lt;&gt;"",INDEX(DataOB[],FirstRow+ROW()-7,MATCH(Y$6,DataOB[#Headers],0)),"")</f>
        <v>0</v>
      </c>
      <c r="Z182" s="67">
        <f>IF($B182&lt;&gt;"",INDEX(DataOB[],FirstRow+ROW()-7,MATCH(Z$6,DataOB[#Headers],0)),"")</f>
        <v>195</v>
      </c>
      <c r="AA182" s="67">
        <f>IF($B182&lt;&gt;"",INDEX(DataOB[],FirstRow+ROW()-7,MATCH(AA$6,DataOB[#Headers],0)),"")</f>
        <v>0</v>
      </c>
      <c r="AB182" s="67">
        <f>IF($B182&lt;&gt;"",INDEX(DataOB[],FirstRow+ROW()-7,MATCH(AB$6,DataOB[#Headers],0)),"")</f>
        <v>0</v>
      </c>
      <c r="AC182" s="67">
        <f>IF($B182&lt;&gt;"",INDEX(DataOB[],FirstRow+ROW()-7,MATCH(AC$6,DataOB[#Headers],0)),"")</f>
        <v>0</v>
      </c>
      <c r="AD182" s="67">
        <f>IF($B182&lt;&gt;"",INDEX(DataOB[],FirstRow+ROW()-7,MATCH(AD$6,DataOB[#Headers],0)),"")</f>
        <v>0</v>
      </c>
      <c r="AE182" s="67">
        <f>IF($B182&lt;&gt;"",INDEX(DataOB[],FirstRow+ROW()-7,MATCH(AE$6,DataOB[#Headers],0)),"")</f>
        <v>0</v>
      </c>
      <c r="AF182" s="26">
        <f t="shared" si="32"/>
        <v>195</v>
      </c>
      <c r="AG182" s="31">
        <f>SUM($T182:T182)</f>
        <v>0</v>
      </c>
      <c r="AH182" s="31">
        <f>SUM($T182:U182)</f>
        <v>0</v>
      </c>
      <c r="AI182" s="31">
        <f>SUM($T182:V182)</f>
        <v>0</v>
      </c>
      <c r="AJ182" s="31">
        <f>SUM($T182:W182)</f>
        <v>0</v>
      </c>
      <c r="AK182" s="31">
        <f>SUM($T182:X182)</f>
        <v>0</v>
      </c>
      <c r="AL182" s="31">
        <f>SUM($T182:Y182)</f>
        <v>0</v>
      </c>
      <c r="AM182" s="31">
        <f>SUM($T182:Z182)</f>
        <v>195</v>
      </c>
      <c r="AN182" s="31">
        <f>SUM($T182:AA182)</f>
        <v>195</v>
      </c>
      <c r="AO182" s="31">
        <f>SUM($T182:AB182)</f>
        <v>195</v>
      </c>
      <c r="AP182" s="31">
        <f>SUM($T182:AC182)</f>
        <v>195</v>
      </c>
      <c r="AQ182" s="31">
        <f>SUM($T182:AD182)</f>
        <v>195</v>
      </c>
      <c r="AR182" s="31">
        <f>SUM($T182:AE182)</f>
        <v>195</v>
      </c>
      <c r="AS182" s="27">
        <f t="shared" si="33"/>
        <v>0</v>
      </c>
    </row>
    <row r="183" spans="2:45">
      <c r="B183" s="102">
        <f>IF(ROW()-6&gt;NumCostCenter,"",IF(CostCenter&lt;&gt;"ALL",CostCenter,DATA_LF2!B181))</f>
        <v>8512</v>
      </c>
      <c r="C183" s="153">
        <f>IF($B183&lt;&gt;"",INDEX(DataOB[],FirstRow+ROW()-7,2),"")</f>
        <v>8512</v>
      </c>
      <c r="D183" s="66" t="str">
        <f>IF($B183&lt;&gt;"",INDEX(DataOB[],FirstRow+ROW()-7,3),"")</f>
        <v>TBD</v>
      </c>
      <c r="E183" s="103">
        <f>IF($B183&lt;&gt;"",INDEX(DataOB[],FirstRow+ROW()-7,6),"")</f>
        <v>0</v>
      </c>
      <c r="F183" s="103" t="str">
        <f>IF($B183&lt;&gt;"",INDEX(DataOB[],FirstRow+ROW()-7,5),"")</f>
        <v>Dry ice refrigerator</v>
      </c>
      <c r="G183" s="58">
        <f>IF($B183&lt;&gt;"",SUMIFS(DataAct_tbl[AMOUNT],DataAct_tbl[BG CODE],Detail!$D183,DataAct_tbl[MONTH],LEFT(MonthName,3),DataAct_tbl[Dept code],$B183),0)</f>
        <v>0</v>
      </c>
      <c r="H183" s="31">
        <f t="shared" si="25"/>
        <v>0</v>
      </c>
      <c r="I183" s="28">
        <f t="shared" si="26"/>
        <v>0</v>
      </c>
      <c r="J183" s="32" t="str">
        <f t="shared" si="27"/>
        <v xml:space="preserve"> </v>
      </c>
      <c r="K183" s="86"/>
      <c r="L183" s="62">
        <f>IF($B183&lt;&gt;"",SUMIFS(DataAct_tbl[AMOUNT],DataAct_tbl[BG CODE],Detail!$D183,DataAct_tbl[Check Range],"=true",DataAct_tbl[Dept code],$B183),0)</f>
        <v>0</v>
      </c>
      <c r="M183" s="63">
        <f>INDEX($AG$7:$AR$1005,ROW()-6,MATCH(MTD,$AG$6:$AR$6,0))</f>
        <v>0</v>
      </c>
      <c r="N183" s="34">
        <f t="shared" si="28"/>
        <v>0</v>
      </c>
      <c r="O183" s="64" t="str">
        <f t="shared" si="29"/>
        <v xml:space="preserve"> </v>
      </c>
      <c r="Q183" s="97">
        <f t="shared" si="30"/>
        <v>25</v>
      </c>
      <c r="R183" s="96">
        <f t="shared" si="31"/>
        <v>25</v>
      </c>
      <c r="T183" s="67">
        <f>IF($B183&lt;&gt;"",INDEX(DataOB[],FirstRow+ROW()-7,MATCH(T$6,DataOB[#Headers],0)),"")</f>
        <v>0</v>
      </c>
      <c r="U183" s="67">
        <f>IF($B183&lt;&gt;"",INDEX(DataOB[],FirstRow+ROW()-7,MATCH(U$6,DataOB[#Headers],0)),"")</f>
        <v>0</v>
      </c>
      <c r="V183" s="67">
        <f>IF($B183&lt;&gt;"",INDEX(DataOB[],FirstRow+ROW()-7,MATCH(V$6,DataOB[#Headers],0)),"")</f>
        <v>0</v>
      </c>
      <c r="W183" s="67">
        <f>IF($B183&lt;&gt;"",INDEX(DataOB[],FirstRow+ROW()-7,MATCH(W$6,DataOB[#Headers],0)),"")</f>
        <v>0</v>
      </c>
      <c r="X183" s="67">
        <f>IF($B183&lt;&gt;"",INDEX(DataOB[],FirstRow+ROW()-7,MATCH(X$6,DataOB[#Headers],0)),"")</f>
        <v>0</v>
      </c>
      <c r="Y183" s="67">
        <f>IF($B183&lt;&gt;"",INDEX(DataOB[],FirstRow+ROW()-7,MATCH(Y$6,DataOB[#Headers],0)),"")</f>
        <v>0</v>
      </c>
      <c r="Z183" s="67">
        <f>IF($B183&lt;&gt;"",INDEX(DataOB[],FirstRow+ROW()-7,MATCH(Z$6,DataOB[#Headers],0)),"")</f>
        <v>0</v>
      </c>
      <c r="AA183" s="67">
        <f>IF($B183&lt;&gt;"",INDEX(DataOB[],FirstRow+ROW()-7,MATCH(AA$6,DataOB[#Headers],0)),"")</f>
        <v>0</v>
      </c>
      <c r="AB183" s="67">
        <f>IF($B183&lt;&gt;"",INDEX(DataOB[],FirstRow+ROW()-7,MATCH(AB$6,DataOB[#Headers],0)),"")</f>
        <v>0</v>
      </c>
      <c r="AC183" s="67">
        <f>IF($B183&lt;&gt;"",INDEX(DataOB[],FirstRow+ROW()-7,MATCH(AC$6,DataOB[#Headers],0)),"")</f>
        <v>0</v>
      </c>
      <c r="AD183" s="67">
        <f>IF($B183&lt;&gt;"",INDEX(DataOB[],FirstRow+ROW()-7,MATCH(AD$6,DataOB[#Headers],0)),"")</f>
        <v>25</v>
      </c>
      <c r="AE183" s="67">
        <f>IF($B183&lt;&gt;"",INDEX(DataOB[],FirstRow+ROW()-7,MATCH(AE$6,DataOB[#Headers],0)),"")</f>
        <v>0</v>
      </c>
      <c r="AF183" s="26">
        <f t="shared" si="32"/>
        <v>25</v>
      </c>
      <c r="AG183" s="31">
        <f>SUM($T183:T183)</f>
        <v>0</v>
      </c>
      <c r="AH183" s="31">
        <f>SUM($T183:U183)</f>
        <v>0</v>
      </c>
      <c r="AI183" s="31">
        <f>SUM($T183:V183)</f>
        <v>0</v>
      </c>
      <c r="AJ183" s="31">
        <f>SUM($T183:W183)</f>
        <v>0</v>
      </c>
      <c r="AK183" s="31">
        <f>SUM($T183:X183)</f>
        <v>0</v>
      </c>
      <c r="AL183" s="31">
        <f>SUM($T183:Y183)</f>
        <v>0</v>
      </c>
      <c r="AM183" s="31">
        <f>SUM($T183:Z183)</f>
        <v>0</v>
      </c>
      <c r="AN183" s="31">
        <f>SUM($T183:AA183)</f>
        <v>0</v>
      </c>
      <c r="AO183" s="31">
        <f>SUM($T183:AB183)</f>
        <v>0</v>
      </c>
      <c r="AP183" s="31">
        <f>SUM($T183:AC183)</f>
        <v>0</v>
      </c>
      <c r="AQ183" s="31">
        <f>SUM($T183:AD183)</f>
        <v>25</v>
      </c>
      <c r="AR183" s="31">
        <f>SUM($T183:AE183)</f>
        <v>25</v>
      </c>
      <c r="AS183" s="27">
        <f t="shared" si="33"/>
        <v>0</v>
      </c>
    </row>
    <row r="184" spans="2:45">
      <c r="B184" s="102">
        <f>IF(ROW()-6&gt;NumCostCenter,"",IF(CostCenter&lt;&gt;"ALL",CostCenter,DATA_LF2!B182))</f>
        <v>8512</v>
      </c>
      <c r="C184" s="153">
        <f>IF($B184&lt;&gt;"",INDEX(DataOB[],FirstRow+ROW()-7,2),"")</f>
        <v>8512</v>
      </c>
      <c r="D184" s="66" t="str">
        <f>IF($B184&lt;&gt;"",INDEX(DataOB[],FirstRow+ROW()-7,3),"")</f>
        <v>TBD</v>
      </c>
      <c r="E184" s="103">
        <f>IF($B184&lt;&gt;"",INDEX(DataOB[],FirstRow+ROW()-7,6),"")</f>
        <v>0</v>
      </c>
      <c r="F184" s="103" t="str">
        <f>IF($B184&lt;&gt;"",INDEX(DataOB[],FirstRow+ROW()-7,5),"")</f>
        <v>Battery for reach lift &amp; Lowlift &amp; battery cart</v>
      </c>
      <c r="G184" s="58">
        <f>IF($B184&lt;&gt;"",SUMIFS(DataAct_tbl[AMOUNT],DataAct_tbl[BG CODE],Detail!$D184,DataAct_tbl[MONTH],LEFT(MonthName,3),DataAct_tbl[Dept code],$B184),0)</f>
        <v>0</v>
      </c>
      <c r="H184" s="31">
        <f t="shared" si="25"/>
        <v>0</v>
      </c>
      <c r="I184" s="28">
        <f t="shared" si="26"/>
        <v>0</v>
      </c>
      <c r="J184" s="32" t="str">
        <f t="shared" si="27"/>
        <v xml:space="preserve"> </v>
      </c>
      <c r="K184" s="86"/>
      <c r="L184" s="62">
        <f>IF($B184&lt;&gt;"",SUMIFS(DataAct_tbl[AMOUNT],DataAct_tbl[BG CODE],Detail!$D184,DataAct_tbl[Check Range],"=true",DataAct_tbl[Dept code],$B184),0)</f>
        <v>0</v>
      </c>
      <c r="M184" s="63">
        <f>INDEX($AG$7:$AR$1005,ROW()-6,MATCH(MTD,$AG$6:$AR$6,0))</f>
        <v>0</v>
      </c>
      <c r="N184" s="34">
        <f t="shared" si="28"/>
        <v>0</v>
      </c>
      <c r="O184" s="64" t="str">
        <f t="shared" si="29"/>
        <v xml:space="preserve"> </v>
      </c>
      <c r="Q184" s="97">
        <f t="shared" si="30"/>
        <v>20</v>
      </c>
      <c r="R184" s="96">
        <f t="shared" si="31"/>
        <v>20</v>
      </c>
      <c r="T184" s="67">
        <f>IF($B184&lt;&gt;"",INDEX(DataOB[],FirstRow+ROW()-7,MATCH(T$6,DataOB[#Headers],0)),"")</f>
        <v>0</v>
      </c>
      <c r="U184" s="67">
        <f>IF($B184&lt;&gt;"",INDEX(DataOB[],FirstRow+ROW()-7,MATCH(U$6,DataOB[#Headers],0)),"")</f>
        <v>0</v>
      </c>
      <c r="V184" s="67">
        <f>IF($B184&lt;&gt;"",INDEX(DataOB[],FirstRow+ROW()-7,MATCH(V$6,DataOB[#Headers],0)),"")</f>
        <v>0</v>
      </c>
      <c r="W184" s="67">
        <f>IF($B184&lt;&gt;"",INDEX(DataOB[],FirstRow+ROW()-7,MATCH(W$6,DataOB[#Headers],0)),"")</f>
        <v>0</v>
      </c>
      <c r="X184" s="67">
        <f>IF($B184&lt;&gt;"",INDEX(DataOB[],FirstRow+ROW()-7,MATCH(X$6,DataOB[#Headers],0)),"")</f>
        <v>0</v>
      </c>
      <c r="Y184" s="67">
        <f>IF($B184&lt;&gt;"",INDEX(DataOB[],FirstRow+ROW()-7,MATCH(Y$6,DataOB[#Headers],0)),"")</f>
        <v>0</v>
      </c>
      <c r="Z184" s="67">
        <f>IF($B184&lt;&gt;"",INDEX(DataOB[],FirstRow+ROW()-7,MATCH(Z$6,DataOB[#Headers],0)),"")</f>
        <v>0</v>
      </c>
      <c r="AA184" s="67">
        <f>IF($B184&lt;&gt;"",INDEX(DataOB[],FirstRow+ROW()-7,MATCH(AA$6,DataOB[#Headers],0)),"")</f>
        <v>0</v>
      </c>
      <c r="AB184" s="67" t="str">
        <f>IF($B184&lt;&gt;"",INDEX(DataOB[],FirstRow+ROW()-7,MATCH(AB$6,DataOB[#Headers],0)),"")</f>
        <v xml:space="preserve"> </v>
      </c>
      <c r="AC184" s="67">
        <f>IF($B184&lt;&gt;"",INDEX(DataOB[],FirstRow+ROW()-7,MATCH(AC$6,DataOB[#Headers],0)),"")</f>
        <v>20</v>
      </c>
      <c r="AD184" s="67">
        <f>IF($B184&lt;&gt;"",INDEX(DataOB[],FirstRow+ROW()-7,MATCH(AD$6,DataOB[#Headers],0)),"")</f>
        <v>0</v>
      </c>
      <c r="AE184" s="67">
        <f>IF($B184&lt;&gt;"",INDEX(DataOB[],FirstRow+ROW()-7,MATCH(AE$6,DataOB[#Headers],0)),"")</f>
        <v>0</v>
      </c>
      <c r="AF184" s="26">
        <f t="shared" si="32"/>
        <v>20</v>
      </c>
      <c r="AG184" s="31">
        <f>SUM($T184:T184)</f>
        <v>0</v>
      </c>
      <c r="AH184" s="31">
        <f>SUM($T184:U184)</f>
        <v>0</v>
      </c>
      <c r="AI184" s="31">
        <f>SUM($T184:V184)</f>
        <v>0</v>
      </c>
      <c r="AJ184" s="31">
        <f>SUM($T184:W184)</f>
        <v>0</v>
      </c>
      <c r="AK184" s="31">
        <f>SUM($T184:X184)</f>
        <v>0</v>
      </c>
      <c r="AL184" s="31">
        <f>SUM($T184:Y184)</f>
        <v>0</v>
      </c>
      <c r="AM184" s="31">
        <f>SUM($T184:Z184)</f>
        <v>0</v>
      </c>
      <c r="AN184" s="31">
        <f>SUM($T184:AA184)</f>
        <v>0</v>
      </c>
      <c r="AO184" s="31">
        <f>SUM($T184:AB184)</f>
        <v>0</v>
      </c>
      <c r="AP184" s="31">
        <f>SUM($T184:AC184)</f>
        <v>20</v>
      </c>
      <c r="AQ184" s="31">
        <f>SUM($T184:AD184)</f>
        <v>20</v>
      </c>
      <c r="AR184" s="31">
        <f>SUM($T184:AE184)</f>
        <v>20</v>
      </c>
      <c r="AS184" s="27">
        <f t="shared" si="33"/>
        <v>0</v>
      </c>
    </row>
    <row r="185" spans="2:45">
      <c r="B185" s="102">
        <f>IF(ROW()-6&gt;NumCostCenter,"",IF(CostCenter&lt;&gt;"ALL",CostCenter,DATA_LF2!B183))</f>
        <v>8514</v>
      </c>
      <c r="C185" s="153">
        <f>IF($B185&lt;&gt;"",INDEX(DataOB[],FirstRow+ROW()-7,2),"")</f>
        <v>8514</v>
      </c>
      <c r="D185" s="66" t="str">
        <f>IF($B185&lt;&gt;"",INDEX(DataOB[],FirstRow+ROW()-7,3),"")</f>
        <v>OT00167</v>
      </c>
      <c r="E185" s="103">
        <f>IF($B185&lt;&gt;"",INDEX(DataOB[],FirstRow+ROW()-7,6),"")</f>
        <v>0</v>
      </c>
      <c r="F185" s="103" t="str">
        <f>IF($B185&lt;&gt;"",INDEX(DataOB[],FirstRow+ROW()-7,5),"")</f>
        <v>Laser welding machine</v>
      </c>
      <c r="G185" s="58">
        <f>IF($B185&lt;&gt;"",SUMIFS(DataAct_tbl[AMOUNT],DataAct_tbl[BG CODE],Detail!$D185,DataAct_tbl[MONTH],LEFT(MonthName,3),DataAct_tbl[Dept code],$B185),0)</f>
        <v>0</v>
      </c>
      <c r="H185" s="31">
        <f t="shared" si="25"/>
        <v>0</v>
      </c>
      <c r="I185" s="28">
        <f t="shared" si="26"/>
        <v>0</v>
      </c>
      <c r="J185" s="32" t="str">
        <f t="shared" si="27"/>
        <v xml:space="preserve"> </v>
      </c>
      <c r="K185" s="86"/>
      <c r="L185" s="62">
        <f>IF($B185&lt;&gt;"",SUMIFS(DataAct_tbl[AMOUNT],DataAct_tbl[BG CODE],Detail!$D185,DataAct_tbl[Check Range],"=true",DataAct_tbl[Dept code],$B185),0)</f>
        <v>5.0344399999999991</v>
      </c>
      <c r="M185" s="63">
        <f>INDEX($AG$7:$AR$1005,ROW()-6,MATCH(MTD,$AG$6:$AR$6,0))</f>
        <v>5.0344399999999991</v>
      </c>
      <c r="N185" s="34">
        <f t="shared" si="28"/>
        <v>0</v>
      </c>
      <c r="O185" s="64">
        <f t="shared" si="29"/>
        <v>1</v>
      </c>
      <c r="Q185" s="97">
        <f t="shared" si="30"/>
        <v>5.0344399999999991</v>
      </c>
      <c r="R185" s="96">
        <f t="shared" si="31"/>
        <v>0</v>
      </c>
      <c r="T185" s="67">
        <f>IF($B185&lt;&gt;"",INDEX(DataOB[],FirstRow+ROW()-7,MATCH(T$6,DataOB[#Headers],0)),"")</f>
        <v>0</v>
      </c>
      <c r="U185" s="67">
        <f>IF($B185&lt;&gt;"",INDEX(DataOB[],FirstRow+ROW()-7,MATCH(U$6,DataOB[#Headers],0)),"")</f>
        <v>0</v>
      </c>
      <c r="V185" s="67">
        <f>IF($B185&lt;&gt;"",INDEX(DataOB[],FirstRow+ROW()-7,MATCH(V$6,DataOB[#Headers],0)),"")</f>
        <v>0</v>
      </c>
      <c r="W185" s="67">
        <f>IF($B185&lt;&gt;"",INDEX(DataOB[],FirstRow+ROW()-7,MATCH(W$6,DataOB[#Headers],0)),"")</f>
        <v>0</v>
      </c>
      <c r="X185" s="67">
        <f>IF($B185&lt;&gt;"",INDEX(DataOB[],FirstRow+ROW()-7,MATCH(X$6,DataOB[#Headers],0)),"")</f>
        <v>5.0344399999999991</v>
      </c>
      <c r="Y185" s="67">
        <f>IF($B185&lt;&gt;"",INDEX(DataOB[],FirstRow+ROW()-7,MATCH(Y$6,DataOB[#Headers],0)),"")</f>
        <v>0</v>
      </c>
      <c r="Z185" s="67">
        <f>IF($B185&lt;&gt;"",INDEX(DataOB[],FirstRow+ROW()-7,MATCH(Z$6,DataOB[#Headers],0)),"")</f>
        <v>0</v>
      </c>
      <c r="AA185" s="67">
        <f>IF($B185&lt;&gt;"",INDEX(DataOB[],FirstRow+ROW()-7,MATCH(AA$6,DataOB[#Headers],0)),"")</f>
        <v>0</v>
      </c>
      <c r="AB185" s="67">
        <f>IF($B185&lt;&gt;"",INDEX(DataOB[],FirstRow+ROW()-7,MATCH(AB$6,DataOB[#Headers],0)),"")</f>
        <v>0</v>
      </c>
      <c r="AC185" s="67">
        <f>IF($B185&lt;&gt;"",INDEX(DataOB[],FirstRow+ROW()-7,MATCH(AC$6,DataOB[#Headers],0)),"")</f>
        <v>0</v>
      </c>
      <c r="AD185" s="67">
        <f>IF($B185&lt;&gt;"",INDEX(DataOB[],FirstRow+ROW()-7,MATCH(AD$6,DataOB[#Headers],0)),"")</f>
        <v>0</v>
      </c>
      <c r="AE185" s="67">
        <f>IF($B185&lt;&gt;"",INDEX(DataOB[],FirstRow+ROW()-7,MATCH(AE$6,DataOB[#Headers],0)),"")</f>
        <v>0</v>
      </c>
      <c r="AF185" s="26">
        <f t="shared" si="32"/>
        <v>5.0344399999999991</v>
      </c>
      <c r="AG185" s="31">
        <f>SUM($T185:T185)</f>
        <v>0</v>
      </c>
      <c r="AH185" s="31">
        <f>SUM($T185:U185)</f>
        <v>0</v>
      </c>
      <c r="AI185" s="31">
        <f>SUM($T185:V185)</f>
        <v>0</v>
      </c>
      <c r="AJ185" s="31">
        <f>SUM($T185:W185)</f>
        <v>0</v>
      </c>
      <c r="AK185" s="31">
        <f>SUM($T185:X185)</f>
        <v>5.0344399999999991</v>
      </c>
      <c r="AL185" s="31">
        <f>SUM($T185:Y185)</f>
        <v>5.0344399999999991</v>
      </c>
      <c r="AM185" s="31">
        <f>SUM($T185:Z185)</f>
        <v>5.0344399999999991</v>
      </c>
      <c r="AN185" s="31">
        <f>SUM($T185:AA185)</f>
        <v>5.0344399999999991</v>
      </c>
      <c r="AO185" s="31">
        <f>SUM($T185:AB185)</f>
        <v>5.0344399999999991</v>
      </c>
      <c r="AP185" s="31">
        <f>SUM($T185:AC185)</f>
        <v>5.0344399999999991</v>
      </c>
      <c r="AQ185" s="31">
        <f>SUM($T185:AD185)</f>
        <v>5.0344399999999991</v>
      </c>
      <c r="AR185" s="31">
        <f>SUM($T185:AE185)</f>
        <v>5.0344399999999991</v>
      </c>
      <c r="AS185" s="27">
        <f t="shared" si="33"/>
        <v>0</v>
      </c>
    </row>
    <row r="186" spans="2:45">
      <c r="B186" s="102">
        <f>IF(ROW()-6&gt;NumCostCenter,"",IF(CostCenter&lt;&gt;"ALL",CostCenter,DATA_LF2!B184))</f>
        <v>8514</v>
      </c>
      <c r="C186" s="153">
        <f>IF($B186&lt;&gt;"",INDEX(DataOB[],FirstRow+ROW()-7,2),"")</f>
        <v>8514</v>
      </c>
      <c r="D186" s="66" t="str">
        <f>IF($B186&lt;&gt;"",INDEX(DataOB[],FirstRow+ROW()-7,3),"")</f>
        <v>BS00032</v>
      </c>
      <c r="E186" s="103">
        <f>IF($B186&lt;&gt;"",INDEX(DataOB[],FirstRow+ROW()-7,6),"")</f>
        <v>0</v>
      </c>
      <c r="F186" s="103" t="str">
        <f>IF($B186&lt;&gt;"",INDEX(DataOB[],FirstRow+ROW()-7,5),"")</f>
        <v>Install ELCB for A/C condensing unit</v>
      </c>
      <c r="G186" s="58">
        <f>IF($B186&lt;&gt;"",SUMIFS(DataAct_tbl[AMOUNT],DataAct_tbl[BG CODE],Detail!$D186,DataAct_tbl[MONTH],LEFT(MonthName,3),DataAct_tbl[Dept code],$B186),0)</f>
        <v>0</v>
      </c>
      <c r="H186" s="31">
        <f t="shared" si="25"/>
        <v>0</v>
      </c>
      <c r="I186" s="28">
        <f t="shared" si="26"/>
        <v>0</v>
      </c>
      <c r="J186" s="32" t="str">
        <f t="shared" si="27"/>
        <v xml:space="preserve"> </v>
      </c>
      <c r="K186" s="86"/>
      <c r="L186" s="62">
        <f>IF($B186&lt;&gt;"",SUMIFS(DataAct_tbl[AMOUNT],DataAct_tbl[BG CODE],Detail!$D186,DataAct_tbl[Check Range],"=true",DataAct_tbl[Dept code],$B186),0)</f>
        <v>38.86636</v>
      </c>
      <c r="M186" s="63">
        <f>INDEX($AG$7:$AR$1005,ROW()-6,MATCH(MTD,$AG$6:$AR$6,0))</f>
        <v>38.86636</v>
      </c>
      <c r="N186" s="34">
        <f t="shared" si="28"/>
        <v>0</v>
      </c>
      <c r="O186" s="64">
        <f t="shared" si="29"/>
        <v>1</v>
      </c>
      <c r="Q186" s="97">
        <f t="shared" si="30"/>
        <v>38.86636</v>
      </c>
      <c r="R186" s="96">
        <f t="shared" si="31"/>
        <v>0</v>
      </c>
      <c r="T186" s="67">
        <f>IF($B186&lt;&gt;"",INDEX(DataOB[],FirstRow+ROW()-7,MATCH(T$6,DataOB[#Headers],0)),"")</f>
        <v>0</v>
      </c>
      <c r="U186" s="67">
        <f>IF($B186&lt;&gt;"",INDEX(DataOB[],FirstRow+ROW()-7,MATCH(U$6,DataOB[#Headers],0)),"")</f>
        <v>0</v>
      </c>
      <c r="V186" s="67">
        <f>IF($B186&lt;&gt;"",INDEX(DataOB[],FirstRow+ROW()-7,MATCH(V$6,DataOB[#Headers],0)),"")</f>
        <v>30.02928</v>
      </c>
      <c r="W186" s="67">
        <f>IF($B186&lt;&gt;"",INDEX(DataOB[],FirstRow+ROW()-7,MATCH(W$6,DataOB[#Headers],0)),"")</f>
        <v>8.8370800000000003</v>
      </c>
      <c r="X186" s="67">
        <f>IF($B186&lt;&gt;"",INDEX(DataOB[],FirstRow+ROW()-7,MATCH(X$6,DataOB[#Headers],0)),"")</f>
        <v>0</v>
      </c>
      <c r="Y186" s="67">
        <f>IF($B186&lt;&gt;"",INDEX(DataOB[],FirstRow+ROW()-7,MATCH(Y$6,DataOB[#Headers],0)),"")</f>
        <v>0</v>
      </c>
      <c r="Z186" s="67">
        <f>IF($B186&lt;&gt;"",INDEX(DataOB[],FirstRow+ROW()-7,MATCH(Z$6,DataOB[#Headers],0)),"")</f>
        <v>0</v>
      </c>
      <c r="AA186" s="67">
        <f>IF($B186&lt;&gt;"",INDEX(DataOB[],FirstRow+ROW()-7,MATCH(AA$6,DataOB[#Headers],0)),"")</f>
        <v>0</v>
      </c>
      <c r="AB186" s="67">
        <f>IF($B186&lt;&gt;"",INDEX(DataOB[],FirstRow+ROW()-7,MATCH(AB$6,DataOB[#Headers],0)),"")</f>
        <v>0</v>
      </c>
      <c r="AC186" s="67">
        <f>IF($B186&lt;&gt;"",INDEX(DataOB[],FirstRow+ROW()-7,MATCH(AC$6,DataOB[#Headers],0)),"")</f>
        <v>0</v>
      </c>
      <c r="AD186" s="67">
        <f>IF($B186&lt;&gt;"",INDEX(DataOB[],FirstRow+ROW()-7,MATCH(AD$6,DataOB[#Headers],0)),"")</f>
        <v>0</v>
      </c>
      <c r="AE186" s="67">
        <f>IF($B186&lt;&gt;"",INDEX(DataOB[],FirstRow+ROW()-7,MATCH(AE$6,DataOB[#Headers],0)),"")</f>
        <v>0</v>
      </c>
      <c r="AF186" s="26">
        <f t="shared" si="32"/>
        <v>38.86636</v>
      </c>
      <c r="AG186" s="31">
        <f>SUM($T186:T186)</f>
        <v>0</v>
      </c>
      <c r="AH186" s="31">
        <f>SUM($T186:U186)</f>
        <v>0</v>
      </c>
      <c r="AI186" s="31">
        <f>SUM($T186:V186)</f>
        <v>30.02928</v>
      </c>
      <c r="AJ186" s="31">
        <f>SUM($T186:W186)</f>
        <v>38.86636</v>
      </c>
      <c r="AK186" s="31">
        <f>SUM($T186:X186)</f>
        <v>38.86636</v>
      </c>
      <c r="AL186" s="31">
        <f>SUM($T186:Y186)</f>
        <v>38.86636</v>
      </c>
      <c r="AM186" s="31">
        <f>SUM($T186:Z186)</f>
        <v>38.86636</v>
      </c>
      <c r="AN186" s="31">
        <f>SUM($T186:AA186)</f>
        <v>38.86636</v>
      </c>
      <c r="AO186" s="31">
        <f>SUM($T186:AB186)</f>
        <v>38.86636</v>
      </c>
      <c r="AP186" s="31">
        <f>SUM($T186:AC186)</f>
        <v>38.86636</v>
      </c>
      <c r="AQ186" s="31">
        <f>SUM($T186:AD186)</f>
        <v>38.86636</v>
      </c>
      <c r="AR186" s="31">
        <f>SUM($T186:AE186)</f>
        <v>38.86636</v>
      </c>
      <c r="AS186" s="27">
        <f t="shared" si="33"/>
        <v>0</v>
      </c>
    </row>
    <row r="187" spans="2:45">
      <c r="B187" s="102">
        <f>IF(ROW()-6&gt;NumCostCenter,"",IF(CostCenter&lt;&gt;"ALL",CostCenter,DATA_LF2!B185))</f>
        <v>8514</v>
      </c>
      <c r="C187" s="153">
        <f>IF($B187&lt;&gt;"",INDEX(DataOB[],FirstRow+ROW()-7,2),"")</f>
        <v>8514</v>
      </c>
      <c r="D187" s="66" t="str">
        <f>IF($B187&lt;&gt;"",INDEX(DataOB[],FirstRow+ROW()-7,3),"")</f>
        <v>BS00017</v>
      </c>
      <c r="E187" s="103">
        <f>IF($B187&lt;&gt;"",INDEX(DataOB[],FirstRow+ROW()-7,6),"")</f>
        <v>0</v>
      </c>
      <c r="F187" s="103" t="str">
        <f>IF($B187&lt;&gt;"",INDEX(DataOB[],FirstRow+ROW()-7,5),"")</f>
        <v>Cut, Ext, Mix working environment improvement</v>
      </c>
      <c r="G187" s="58">
        <f>IF($B187&lt;&gt;"",SUMIFS(DataAct_tbl[AMOUNT],DataAct_tbl[BG CODE],Detail!$D187,DataAct_tbl[MONTH],LEFT(MonthName,3),DataAct_tbl[Dept code],$B187),0)</f>
        <v>19.359060000000003</v>
      </c>
      <c r="H187" s="31">
        <f t="shared" si="25"/>
        <v>180</v>
      </c>
      <c r="I187" s="28">
        <f t="shared" si="26"/>
        <v>-160.64094</v>
      </c>
      <c r="J187" s="32">
        <f t="shared" si="27"/>
        <v>0.10755033333333334</v>
      </c>
      <c r="K187" s="86"/>
      <c r="L187" s="62">
        <f>IF($B187&lt;&gt;"",SUMIFS(DataAct_tbl[AMOUNT],DataAct_tbl[BG CODE],Detail!$D187,DataAct_tbl[Check Range],"=true",DataAct_tbl[Dept code],$B187),0)</f>
        <v>19.359060000000003</v>
      </c>
      <c r="M187" s="63">
        <f>INDEX($AG$7:$AR$1005,ROW()-6,MATCH(MTD,$AG$6:$AR$6,0))</f>
        <v>180</v>
      </c>
      <c r="N187" s="34">
        <f t="shared" si="28"/>
        <v>-160.64094</v>
      </c>
      <c r="O187" s="64">
        <f t="shared" si="29"/>
        <v>0.10755033333333334</v>
      </c>
      <c r="Q187" s="97">
        <f t="shared" si="30"/>
        <v>180</v>
      </c>
      <c r="R187" s="96">
        <f t="shared" si="31"/>
        <v>160.64094</v>
      </c>
      <c r="T187" s="67">
        <f>IF($B187&lt;&gt;"",INDEX(DataOB[],FirstRow+ROW()-7,MATCH(T$6,DataOB[#Headers],0)),"")</f>
        <v>0</v>
      </c>
      <c r="U187" s="67">
        <f>IF($B187&lt;&gt;"",INDEX(DataOB[],FirstRow+ROW()-7,MATCH(U$6,DataOB[#Headers],0)),"")</f>
        <v>0</v>
      </c>
      <c r="V187" s="67">
        <f>IF($B187&lt;&gt;"",INDEX(DataOB[],FirstRow+ROW()-7,MATCH(V$6,DataOB[#Headers],0)),"")</f>
        <v>0</v>
      </c>
      <c r="W187" s="67">
        <f>IF($B187&lt;&gt;"",INDEX(DataOB[],FirstRow+ROW()-7,MATCH(W$6,DataOB[#Headers],0)),"")</f>
        <v>0</v>
      </c>
      <c r="X187" s="67">
        <f>IF($B187&lt;&gt;"",INDEX(DataOB[],FirstRow+ROW()-7,MATCH(X$6,DataOB[#Headers],0)),"")</f>
        <v>0</v>
      </c>
      <c r="Y187" s="67">
        <f>IF($B187&lt;&gt;"",INDEX(DataOB[],FirstRow+ROW()-7,MATCH(Y$6,DataOB[#Headers],0)),"")</f>
        <v>0</v>
      </c>
      <c r="Z187" s="67">
        <f>IF($B187&lt;&gt;"",INDEX(DataOB[],FirstRow+ROW()-7,MATCH(Z$6,DataOB[#Headers],0)),"")</f>
        <v>180</v>
      </c>
      <c r="AA187" s="67">
        <f>IF($B187&lt;&gt;"",INDEX(DataOB[],FirstRow+ROW()-7,MATCH(AA$6,DataOB[#Headers],0)),"")</f>
        <v>0</v>
      </c>
      <c r="AB187" s="67">
        <f>IF($B187&lt;&gt;"",INDEX(DataOB[],FirstRow+ROW()-7,MATCH(AB$6,DataOB[#Headers],0)),"")</f>
        <v>0</v>
      </c>
      <c r="AC187" s="67">
        <f>IF($B187&lt;&gt;"",INDEX(DataOB[],FirstRow+ROW()-7,MATCH(AC$6,DataOB[#Headers],0)),"")</f>
        <v>0</v>
      </c>
      <c r="AD187" s="67">
        <f>IF($B187&lt;&gt;"",INDEX(DataOB[],FirstRow+ROW()-7,MATCH(AD$6,DataOB[#Headers],0)),"")</f>
        <v>0</v>
      </c>
      <c r="AE187" s="67">
        <f>IF($B187&lt;&gt;"",INDEX(DataOB[],FirstRow+ROW()-7,MATCH(AE$6,DataOB[#Headers],0)),"")</f>
        <v>0</v>
      </c>
      <c r="AF187" s="26">
        <f t="shared" si="32"/>
        <v>180</v>
      </c>
      <c r="AG187" s="31">
        <f>SUM($T187:T187)</f>
        <v>0</v>
      </c>
      <c r="AH187" s="31">
        <f>SUM($T187:U187)</f>
        <v>0</v>
      </c>
      <c r="AI187" s="31">
        <f>SUM($T187:V187)</f>
        <v>0</v>
      </c>
      <c r="AJ187" s="31">
        <f>SUM($T187:W187)</f>
        <v>0</v>
      </c>
      <c r="AK187" s="31">
        <f>SUM($T187:X187)</f>
        <v>0</v>
      </c>
      <c r="AL187" s="31">
        <f>SUM($T187:Y187)</f>
        <v>0</v>
      </c>
      <c r="AM187" s="31">
        <f>SUM($T187:Z187)</f>
        <v>180</v>
      </c>
      <c r="AN187" s="31">
        <f>SUM($T187:AA187)</f>
        <v>180</v>
      </c>
      <c r="AO187" s="31">
        <f>SUM($T187:AB187)</f>
        <v>180</v>
      </c>
      <c r="AP187" s="31">
        <f>SUM($T187:AC187)</f>
        <v>180</v>
      </c>
      <c r="AQ187" s="31">
        <f>SUM($T187:AD187)</f>
        <v>180</v>
      </c>
      <c r="AR187" s="31">
        <f>SUM($T187:AE187)</f>
        <v>180</v>
      </c>
      <c r="AS187" s="27">
        <f t="shared" si="33"/>
        <v>0</v>
      </c>
    </row>
    <row r="188" spans="2:45">
      <c r="B188" s="102">
        <f>IF(ROW()-6&gt;NumCostCenter,"",IF(CostCenter&lt;&gt;"ALL",CostCenter,DATA_LF2!B186))</f>
        <v>8514</v>
      </c>
      <c r="C188" s="153">
        <f>IF($B188&lt;&gt;"",INDEX(DataOB[],FirstRow+ROW()-7,2),"")</f>
        <v>8514</v>
      </c>
      <c r="D188" s="66" t="str">
        <f>IF($B188&lt;&gt;"",INDEX(DataOB[],FirstRow+ROW()-7,3),"")</f>
        <v>TBD</v>
      </c>
      <c r="E188" s="103">
        <f>IF($B188&lt;&gt;"",INDEX(DataOB[],FirstRow+ROW()-7,6),"")</f>
        <v>0</v>
      </c>
      <c r="F188" s="103" t="str">
        <f>IF($B188&lt;&gt;"",INDEX(DataOB[],FirstRow+ROW()-7,5),"")</f>
        <v>Curing cooling system (Cooling pad &amp; Fans)</v>
      </c>
      <c r="G188" s="58">
        <f>IF($B188&lt;&gt;"",SUMIFS(DataAct_tbl[AMOUNT],DataAct_tbl[BG CODE],Detail!$D188,DataAct_tbl[MONTH],LEFT(MonthName,3),DataAct_tbl[Dept code],$B188),0)</f>
        <v>0</v>
      </c>
      <c r="H188" s="31">
        <f t="shared" si="25"/>
        <v>0</v>
      </c>
      <c r="I188" s="28">
        <f t="shared" si="26"/>
        <v>0</v>
      </c>
      <c r="J188" s="32" t="str">
        <f t="shared" si="27"/>
        <v xml:space="preserve"> </v>
      </c>
      <c r="K188" s="86"/>
      <c r="L188" s="62">
        <f>IF($B188&lt;&gt;"",SUMIFS(DataAct_tbl[AMOUNT],DataAct_tbl[BG CODE],Detail!$D188,DataAct_tbl[Check Range],"=true",DataAct_tbl[Dept code],$B188),0)</f>
        <v>0</v>
      </c>
      <c r="M188" s="63">
        <f>INDEX($AG$7:$AR$1005,ROW()-6,MATCH(MTD,$AG$6:$AR$6,0))</f>
        <v>0</v>
      </c>
      <c r="N188" s="34">
        <f t="shared" si="28"/>
        <v>0</v>
      </c>
      <c r="O188" s="64" t="str">
        <f t="shared" si="29"/>
        <v xml:space="preserve"> </v>
      </c>
      <c r="Q188" s="97">
        <f t="shared" si="30"/>
        <v>120</v>
      </c>
      <c r="R188" s="96">
        <f t="shared" si="31"/>
        <v>120</v>
      </c>
      <c r="T188" s="67">
        <f>IF($B188&lt;&gt;"",INDEX(DataOB[],FirstRow+ROW()-7,MATCH(T$6,DataOB[#Headers],0)),"")</f>
        <v>0</v>
      </c>
      <c r="U188" s="67">
        <f>IF($B188&lt;&gt;"",INDEX(DataOB[],FirstRow+ROW()-7,MATCH(U$6,DataOB[#Headers],0)),"")</f>
        <v>0</v>
      </c>
      <c r="V188" s="67">
        <f>IF($B188&lt;&gt;"",INDEX(DataOB[],FirstRow+ROW()-7,MATCH(V$6,DataOB[#Headers],0)),"")</f>
        <v>0</v>
      </c>
      <c r="W188" s="67">
        <f>IF($B188&lt;&gt;"",INDEX(DataOB[],FirstRow+ROW()-7,MATCH(W$6,DataOB[#Headers],0)),"")</f>
        <v>0</v>
      </c>
      <c r="X188" s="67">
        <f>IF($B188&lt;&gt;"",INDEX(DataOB[],FirstRow+ROW()-7,MATCH(X$6,DataOB[#Headers],0)),"")</f>
        <v>0</v>
      </c>
      <c r="Y188" s="67">
        <f>IF($B188&lt;&gt;"",INDEX(DataOB[],FirstRow+ROW()-7,MATCH(Y$6,DataOB[#Headers],0)),"")</f>
        <v>0</v>
      </c>
      <c r="Z188" s="67">
        <f>IF($B188&lt;&gt;"",INDEX(DataOB[],FirstRow+ROW()-7,MATCH(Z$6,DataOB[#Headers],0)),"")</f>
        <v>0</v>
      </c>
      <c r="AA188" s="67">
        <f>IF($B188&lt;&gt;"",INDEX(DataOB[],FirstRow+ROW()-7,MATCH(AA$6,DataOB[#Headers],0)),"")</f>
        <v>0</v>
      </c>
      <c r="AB188" s="67">
        <f>IF($B188&lt;&gt;"",INDEX(DataOB[],FirstRow+ROW()-7,MATCH(AB$6,DataOB[#Headers],0)),"")</f>
        <v>0</v>
      </c>
      <c r="AC188" s="67">
        <f>IF($B188&lt;&gt;"",INDEX(DataOB[],FirstRow+ROW()-7,MATCH(AC$6,DataOB[#Headers],0)),"")</f>
        <v>120</v>
      </c>
      <c r="AD188" s="67">
        <f>IF($B188&lt;&gt;"",INDEX(DataOB[],FirstRow+ROW()-7,MATCH(AD$6,DataOB[#Headers],0)),"")</f>
        <v>0</v>
      </c>
      <c r="AE188" s="67">
        <f>IF($B188&lt;&gt;"",INDEX(DataOB[],FirstRow+ROW()-7,MATCH(AE$6,DataOB[#Headers],0)),"")</f>
        <v>0</v>
      </c>
      <c r="AF188" s="26">
        <f t="shared" si="32"/>
        <v>120</v>
      </c>
      <c r="AG188" s="31">
        <f>SUM($T188:T188)</f>
        <v>0</v>
      </c>
      <c r="AH188" s="31">
        <f>SUM($T188:U188)</f>
        <v>0</v>
      </c>
      <c r="AI188" s="31">
        <f>SUM($T188:V188)</f>
        <v>0</v>
      </c>
      <c r="AJ188" s="31">
        <f>SUM($T188:W188)</f>
        <v>0</v>
      </c>
      <c r="AK188" s="31">
        <f>SUM($T188:X188)</f>
        <v>0</v>
      </c>
      <c r="AL188" s="31">
        <f>SUM($T188:Y188)</f>
        <v>0</v>
      </c>
      <c r="AM188" s="31">
        <f>SUM($T188:Z188)</f>
        <v>0</v>
      </c>
      <c r="AN188" s="31">
        <f>SUM($T188:AA188)</f>
        <v>0</v>
      </c>
      <c r="AO188" s="31">
        <f>SUM($T188:AB188)</f>
        <v>0</v>
      </c>
      <c r="AP188" s="31">
        <f>SUM($T188:AC188)</f>
        <v>120</v>
      </c>
      <c r="AQ188" s="31">
        <f>SUM($T188:AD188)</f>
        <v>120</v>
      </c>
      <c r="AR188" s="31">
        <f>SUM($T188:AE188)</f>
        <v>120</v>
      </c>
      <c r="AS188" s="27">
        <f t="shared" si="33"/>
        <v>0</v>
      </c>
    </row>
    <row r="189" spans="2:45">
      <c r="B189" s="102">
        <f>IF(ROW()-6&gt;NumCostCenter,"",IF(CostCenter&lt;&gt;"ALL",CostCenter,DATA_LF2!B187))</f>
        <v>8514</v>
      </c>
      <c r="C189" s="153">
        <f>IF($B189&lt;&gt;"",INDEX(DataOB[],FirstRow+ROW()-7,2),"")</f>
        <v>8514</v>
      </c>
      <c r="D189" s="66" t="str">
        <f>IF($B189&lt;&gt;"",INDEX(DataOB[],FirstRow+ROW()-7,3),"")</f>
        <v>TBD</v>
      </c>
      <c r="E189" s="103">
        <f>IF($B189&lt;&gt;"",INDEX(DataOB[],FirstRow+ROW()-7,6),"")</f>
        <v>0</v>
      </c>
      <c r="F189" s="103" t="str">
        <f>IF($B189&lt;&gt;"",INDEX(DataOB[],FirstRow+ROW()-7,5),"")</f>
        <v>Install ventilation Fans (Poly Cycle Room)</v>
      </c>
      <c r="G189" s="58">
        <f>IF($B189&lt;&gt;"",SUMIFS(DataAct_tbl[AMOUNT],DataAct_tbl[BG CODE],Detail!$D189,DataAct_tbl[MONTH],LEFT(MonthName,3),DataAct_tbl[Dept code],$B189),0)</f>
        <v>0</v>
      </c>
      <c r="H189" s="31">
        <f t="shared" si="25"/>
        <v>0</v>
      </c>
      <c r="I189" s="28">
        <f t="shared" si="26"/>
        <v>0</v>
      </c>
      <c r="J189" s="32" t="str">
        <f t="shared" si="27"/>
        <v xml:space="preserve"> </v>
      </c>
      <c r="K189" s="86"/>
      <c r="L189" s="62">
        <f>IF($B189&lt;&gt;"",SUMIFS(DataAct_tbl[AMOUNT],DataAct_tbl[BG CODE],Detail!$D189,DataAct_tbl[Check Range],"=true",DataAct_tbl[Dept code],$B189),0)</f>
        <v>0</v>
      </c>
      <c r="M189" s="63">
        <f>INDEX($AG$7:$AR$1005,ROW()-6,MATCH(MTD,$AG$6:$AR$6,0))</f>
        <v>0</v>
      </c>
      <c r="N189" s="34">
        <f t="shared" si="28"/>
        <v>0</v>
      </c>
      <c r="O189" s="64" t="str">
        <f t="shared" si="29"/>
        <v xml:space="preserve"> </v>
      </c>
      <c r="Q189" s="97">
        <f t="shared" si="30"/>
        <v>8.5</v>
      </c>
      <c r="R189" s="96">
        <f t="shared" si="31"/>
        <v>8.5</v>
      </c>
      <c r="T189" s="67">
        <f>IF($B189&lt;&gt;"",INDEX(DataOB[],FirstRow+ROW()-7,MATCH(T$6,DataOB[#Headers],0)),"")</f>
        <v>0</v>
      </c>
      <c r="U189" s="67">
        <f>IF($B189&lt;&gt;"",INDEX(DataOB[],FirstRow+ROW()-7,MATCH(U$6,DataOB[#Headers],0)),"")</f>
        <v>0</v>
      </c>
      <c r="V189" s="67">
        <f>IF($B189&lt;&gt;"",INDEX(DataOB[],FirstRow+ROW()-7,MATCH(V$6,DataOB[#Headers],0)),"")</f>
        <v>0</v>
      </c>
      <c r="W189" s="67">
        <f>IF($B189&lt;&gt;"",INDEX(DataOB[],FirstRow+ROW()-7,MATCH(W$6,DataOB[#Headers],0)),"")</f>
        <v>0</v>
      </c>
      <c r="X189" s="67">
        <f>IF($B189&lt;&gt;"",INDEX(DataOB[],FirstRow+ROW()-7,MATCH(X$6,DataOB[#Headers],0)),"")</f>
        <v>0</v>
      </c>
      <c r="Y189" s="67">
        <f>IF($B189&lt;&gt;"",INDEX(DataOB[],FirstRow+ROW()-7,MATCH(Y$6,DataOB[#Headers],0)),"")</f>
        <v>0</v>
      </c>
      <c r="Z189" s="67">
        <f>IF($B189&lt;&gt;"",INDEX(DataOB[],FirstRow+ROW()-7,MATCH(Z$6,DataOB[#Headers],0)),"")</f>
        <v>0</v>
      </c>
      <c r="AA189" s="67">
        <f>IF($B189&lt;&gt;"",INDEX(DataOB[],FirstRow+ROW()-7,MATCH(AA$6,DataOB[#Headers],0)),"")</f>
        <v>0</v>
      </c>
      <c r="AB189" s="67">
        <f>IF($B189&lt;&gt;"",INDEX(DataOB[],FirstRow+ROW()-7,MATCH(AB$6,DataOB[#Headers],0)),"")</f>
        <v>0</v>
      </c>
      <c r="AC189" s="67">
        <f>IF($B189&lt;&gt;"",INDEX(DataOB[],FirstRow+ROW()-7,MATCH(AC$6,DataOB[#Headers],0)),"")</f>
        <v>0</v>
      </c>
      <c r="AD189" s="67">
        <f>IF($B189&lt;&gt;"",INDEX(DataOB[],FirstRow+ROW()-7,MATCH(AD$6,DataOB[#Headers],0)),"")</f>
        <v>8.5</v>
      </c>
      <c r="AE189" s="67">
        <f>IF($B189&lt;&gt;"",INDEX(DataOB[],FirstRow+ROW()-7,MATCH(AE$6,DataOB[#Headers],0)),"")</f>
        <v>0</v>
      </c>
      <c r="AF189" s="26">
        <f t="shared" si="32"/>
        <v>8.5</v>
      </c>
      <c r="AG189" s="31">
        <f>SUM($T189:T189)</f>
        <v>0</v>
      </c>
      <c r="AH189" s="31">
        <f>SUM($T189:U189)</f>
        <v>0</v>
      </c>
      <c r="AI189" s="31">
        <f>SUM($T189:V189)</f>
        <v>0</v>
      </c>
      <c r="AJ189" s="31">
        <f>SUM($T189:W189)</f>
        <v>0</v>
      </c>
      <c r="AK189" s="31">
        <f>SUM($T189:X189)</f>
        <v>0</v>
      </c>
      <c r="AL189" s="31">
        <f>SUM($T189:Y189)</f>
        <v>0</v>
      </c>
      <c r="AM189" s="31">
        <f>SUM($T189:Z189)</f>
        <v>0</v>
      </c>
      <c r="AN189" s="31">
        <f>SUM($T189:AA189)</f>
        <v>0</v>
      </c>
      <c r="AO189" s="31">
        <f>SUM($T189:AB189)</f>
        <v>0</v>
      </c>
      <c r="AP189" s="31">
        <f>SUM($T189:AC189)</f>
        <v>0</v>
      </c>
      <c r="AQ189" s="31">
        <f>SUM($T189:AD189)</f>
        <v>8.5</v>
      </c>
      <c r="AR189" s="31">
        <f>SUM($T189:AE189)</f>
        <v>8.5</v>
      </c>
      <c r="AS189" s="27">
        <f t="shared" si="33"/>
        <v>0</v>
      </c>
    </row>
    <row r="190" spans="2:45">
      <c r="B190" s="102">
        <f>IF(ROW()-6&gt;NumCostCenter,"",IF(CostCenter&lt;&gt;"ALL",CostCenter,DATA_LF2!B188))</f>
        <v>8514</v>
      </c>
      <c r="C190" s="153">
        <f>IF($B190&lt;&gt;"",INDEX(DataOB[],FirstRow+ROW()-7,2),"")</f>
        <v>8514</v>
      </c>
      <c r="D190" s="66" t="str">
        <f>IF($B190&lt;&gt;"",INDEX(DataOB[],FirstRow+ROW()-7,3),"")</f>
        <v>TBD</v>
      </c>
      <c r="E190" s="103">
        <f>IF($B190&lt;&gt;"",INDEX(DataOB[],FirstRow+ROW()-7,6),"")</f>
        <v>0</v>
      </c>
      <c r="F190" s="103" t="str">
        <f>IF($B190&lt;&gt;"",INDEX(DataOB[],FirstRow+ROW()-7,5),"")</f>
        <v>Upgrade some Facility related items</v>
      </c>
      <c r="G190" s="58">
        <f>IF($B190&lt;&gt;"",SUMIFS(DataAct_tbl[AMOUNT],DataAct_tbl[BG CODE],Detail!$D190,DataAct_tbl[MONTH],LEFT(MonthName,3),DataAct_tbl[Dept code],$B190),0)</f>
        <v>0</v>
      </c>
      <c r="H190" s="31">
        <f t="shared" si="25"/>
        <v>0</v>
      </c>
      <c r="I190" s="28">
        <f t="shared" si="26"/>
        <v>0</v>
      </c>
      <c r="J190" s="32" t="str">
        <f t="shared" si="27"/>
        <v xml:space="preserve"> </v>
      </c>
      <c r="K190" s="86"/>
      <c r="L190" s="62">
        <f>IF($B190&lt;&gt;"",SUMIFS(DataAct_tbl[AMOUNT],DataAct_tbl[BG CODE],Detail!$D190,DataAct_tbl[Check Range],"=true",DataAct_tbl[Dept code],$B190),0)</f>
        <v>0</v>
      </c>
      <c r="M190" s="63">
        <f>INDEX($AG$7:$AR$1005,ROW()-6,MATCH(MTD,$AG$6:$AR$6,0))</f>
        <v>0</v>
      </c>
      <c r="N190" s="34">
        <f t="shared" si="28"/>
        <v>0</v>
      </c>
      <c r="O190" s="64" t="str">
        <f t="shared" si="29"/>
        <v xml:space="preserve"> </v>
      </c>
      <c r="Q190" s="97">
        <f t="shared" si="30"/>
        <v>0</v>
      </c>
      <c r="R190" s="96">
        <f t="shared" si="31"/>
        <v>0</v>
      </c>
      <c r="T190" s="67">
        <f>IF($B190&lt;&gt;"",INDEX(DataOB[],FirstRow+ROW()-7,MATCH(T$6,DataOB[#Headers],0)),"")</f>
        <v>0</v>
      </c>
      <c r="U190" s="67">
        <f>IF($B190&lt;&gt;"",INDEX(DataOB[],FirstRow+ROW()-7,MATCH(U$6,DataOB[#Headers],0)),"")</f>
        <v>0</v>
      </c>
      <c r="V190" s="67">
        <f>IF($B190&lt;&gt;"",INDEX(DataOB[],FirstRow+ROW()-7,MATCH(V$6,DataOB[#Headers],0)),"")</f>
        <v>0</v>
      </c>
      <c r="W190" s="67">
        <f>IF($B190&lt;&gt;"",INDEX(DataOB[],FirstRow+ROW()-7,MATCH(W$6,DataOB[#Headers],0)),"")</f>
        <v>0</v>
      </c>
      <c r="X190" s="67">
        <f>IF($B190&lt;&gt;"",INDEX(DataOB[],FirstRow+ROW()-7,MATCH(X$6,DataOB[#Headers],0)),"")</f>
        <v>0</v>
      </c>
      <c r="Y190" s="67">
        <f>IF($B190&lt;&gt;"",INDEX(DataOB[],FirstRow+ROW()-7,MATCH(Y$6,DataOB[#Headers],0)),"")</f>
        <v>0</v>
      </c>
      <c r="Z190" s="67">
        <f>IF($B190&lt;&gt;"",INDEX(DataOB[],FirstRow+ROW()-7,MATCH(Z$6,DataOB[#Headers],0)),"")</f>
        <v>0</v>
      </c>
      <c r="AA190" s="67">
        <f>IF($B190&lt;&gt;"",INDEX(DataOB[],FirstRow+ROW()-7,MATCH(AA$6,DataOB[#Headers],0)),"")</f>
        <v>0</v>
      </c>
      <c r="AB190" s="67">
        <f>IF($B190&lt;&gt;"",INDEX(DataOB[],FirstRow+ROW()-7,MATCH(AB$6,DataOB[#Headers],0)),"")</f>
        <v>0</v>
      </c>
      <c r="AC190" s="67">
        <f>IF($B190&lt;&gt;"",INDEX(DataOB[],FirstRow+ROW()-7,MATCH(AC$6,DataOB[#Headers],0)),"")</f>
        <v>0</v>
      </c>
      <c r="AD190" s="67">
        <f>IF($B190&lt;&gt;"",INDEX(DataOB[],FirstRow+ROW()-7,MATCH(AD$6,DataOB[#Headers],0)),"")</f>
        <v>0</v>
      </c>
      <c r="AE190" s="67">
        <f>IF($B190&lt;&gt;"",INDEX(DataOB[],FirstRow+ROW()-7,MATCH(AE$6,DataOB[#Headers],0)),"")</f>
        <v>0</v>
      </c>
      <c r="AF190" s="26">
        <f t="shared" si="32"/>
        <v>0</v>
      </c>
      <c r="AG190" s="31">
        <f>SUM($T190:T190)</f>
        <v>0</v>
      </c>
      <c r="AH190" s="31">
        <f>SUM($T190:U190)</f>
        <v>0</v>
      </c>
      <c r="AI190" s="31">
        <f>SUM($T190:V190)</f>
        <v>0</v>
      </c>
      <c r="AJ190" s="31">
        <f>SUM($T190:W190)</f>
        <v>0</v>
      </c>
      <c r="AK190" s="31">
        <f>SUM($T190:X190)</f>
        <v>0</v>
      </c>
      <c r="AL190" s="31">
        <f>SUM($T190:Y190)</f>
        <v>0</v>
      </c>
      <c r="AM190" s="31">
        <f>SUM($T190:Z190)</f>
        <v>0</v>
      </c>
      <c r="AN190" s="31">
        <f>SUM($T190:AA190)</f>
        <v>0</v>
      </c>
      <c r="AO190" s="31">
        <f>SUM($T190:AB190)</f>
        <v>0</v>
      </c>
      <c r="AP190" s="31">
        <f>SUM($T190:AC190)</f>
        <v>0</v>
      </c>
      <c r="AQ190" s="31">
        <f>SUM($T190:AD190)</f>
        <v>0</v>
      </c>
      <c r="AR190" s="31">
        <f>SUM($T190:AE190)</f>
        <v>0</v>
      </c>
      <c r="AS190" s="27">
        <f t="shared" si="33"/>
        <v>0</v>
      </c>
    </row>
    <row r="191" spans="2:45">
      <c r="B191" s="102">
        <f>IF(ROW()-6&gt;NumCostCenter,"",IF(CostCenter&lt;&gt;"ALL",CostCenter,DATA_LF2!B189))</f>
        <v>8514</v>
      </c>
      <c r="C191" s="153">
        <f>IF($B191&lt;&gt;"",INDEX(DataOB[],FirstRow+ROW()-7,2),"")</f>
        <v>8514</v>
      </c>
      <c r="D191" s="66" t="str">
        <f>IF($B191&lt;&gt;"",INDEX(DataOB[],FirstRow+ROW()-7,3),"")</f>
        <v>TBD</v>
      </c>
      <c r="E191" s="103">
        <f>IF($B191&lt;&gt;"",INDEX(DataOB[],FirstRow+ROW()-7,6),"")</f>
        <v>0</v>
      </c>
      <c r="F191" s="103" t="str">
        <f>IF($B191&lt;&gt;"",INDEX(DataOB[],FirstRow+ROW()-7,5),"")</f>
        <v>Install power station roof (zone C&amp;D)</v>
      </c>
      <c r="G191" s="58">
        <f>IF($B191&lt;&gt;"",SUMIFS(DataAct_tbl[AMOUNT],DataAct_tbl[BG CODE],Detail!$D191,DataAct_tbl[MONTH],LEFT(MonthName,3),DataAct_tbl[Dept code],$B191),0)</f>
        <v>0</v>
      </c>
      <c r="H191" s="31">
        <f t="shared" si="25"/>
        <v>0</v>
      </c>
      <c r="I191" s="28">
        <f t="shared" si="26"/>
        <v>0</v>
      </c>
      <c r="J191" s="32" t="str">
        <f t="shared" si="27"/>
        <v xml:space="preserve"> </v>
      </c>
      <c r="K191" s="86"/>
      <c r="L191" s="62">
        <f>IF($B191&lt;&gt;"",SUMIFS(DataAct_tbl[AMOUNT],DataAct_tbl[BG CODE],Detail!$D191,DataAct_tbl[Check Range],"=true",DataAct_tbl[Dept code],$B191),0)</f>
        <v>0</v>
      </c>
      <c r="M191" s="63">
        <f>INDEX($AG$7:$AR$1005,ROW()-6,MATCH(MTD,$AG$6:$AR$6,0))</f>
        <v>0</v>
      </c>
      <c r="N191" s="34">
        <f t="shared" si="28"/>
        <v>0</v>
      </c>
      <c r="O191" s="64" t="str">
        <f t="shared" si="29"/>
        <v xml:space="preserve"> </v>
      </c>
      <c r="Q191" s="97">
        <f t="shared" si="30"/>
        <v>36</v>
      </c>
      <c r="R191" s="96">
        <f t="shared" si="31"/>
        <v>36</v>
      </c>
      <c r="T191" s="67">
        <f>IF($B191&lt;&gt;"",INDEX(DataOB[],FirstRow+ROW()-7,MATCH(T$6,DataOB[#Headers],0)),"")</f>
        <v>0</v>
      </c>
      <c r="U191" s="67">
        <f>IF($B191&lt;&gt;"",INDEX(DataOB[],FirstRow+ROW()-7,MATCH(U$6,DataOB[#Headers],0)),"")</f>
        <v>0</v>
      </c>
      <c r="V191" s="67">
        <f>IF($B191&lt;&gt;"",INDEX(DataOB[],FirstRow+ROW()-7,MATCH(V$6,DataOB[#Headers],0)),"")</f>
        <v>0</v>
      </c>
      <c r="W191" s="67">
        <f>IF($B191&lt;&gt;"",INDEX(DataOB[],FirstRow+ROW()-7,MATCH(W$6,DataOB[#Headers],0)),"")</f>
        <v>0</v>
      </c>
      <c r="X191" s="67">
        <f>IF($B191&lt;&gt;"",INDEX(DataOB[],FirstRow+ROW()-7,MATCH(X$6,DataOB[#Headers],0)),"")</f>
        <v>0</v>
      </c>
      <c r="Y191" s="67">
        <f>IF($B191&lt;&gt;"",INDEX(DataOB[],FirstRow+ROW()-7,MATCH(Y$6,DataOB[#Headers],0)),"")</f>
        <v>0</v>
      </c>
      <c r="Z191" s="67">
        <f>IF($B191&lt;&gt;"",INDEX(DataOB[],FirstRow+ROW()-7,MATCH(Z$6,DataOB[#Headers],0)),"")</f>
        <v>0</v>
      </c>
      <c r="AA191" s="67">
        <f>IF($B191&lt;&gt;"",INDEX(DataOB[],FirstRow+ROW()-7,MATCH(AA$6,DataOB[#Headers],0)),"")</f>
        <v>36</v>
      </c>
      <c r="AB191" s="67">
        <f>IF($B191&lt;&gt;"",INDEX(DataOB[],FirstRow+ROW()-7,MATCH(AB$6,DataOB[#Headers],0)),"")</f>
        <v>0</v>
      </c>
      <c r="AC191" s="67">
        <f>IF($B191&lt;&gt;"",INDEX(DataOB[],FirstRow+ROW()-7,MATCH(AC$6,DataOB[#Headers],0)),"")</f>
        <v>0</v>
      </c>
      <c r="AD191" s="67">
        <f>IF($B191&lt;&gt;"",INDEX(DataOB[],FirstRow+ROW()-7,MATCH(AD$6,DataOB[#Headers],0)),"")</f>
        <v>0</v>
      </c>
      <c r="AE191" s="67">
        <f>IF($B191&lt;&gt;"",INDEX(DataOB[],FirstRow+ROW()-7,MATCH(AE$6,DataOB[#Headers],0)),"")</f>
        <v>0</v>
      </c>
      <c r="AF191" s="26">
        <f t="shared" si="32"/>
        <v>36</v>
      </c>
      <c r="AG191" s="31">
        <f>SUM($T191:T191)</f>
        <v>0</v>
      </c>
      <c r="AH191" s="31">
        <f>SUM($T191:U191)</f>
        <v>0</v>
      </c>
      <c r="AI191" s="31">
        <f>SUM($T191:V191)</f>
        <v>0</v>
      </c>
      <c r="AJ191" s="31">
        <f>SUM($T191:W191)</f>
        <v>0</v>
      </c>
      <c r="AK191" s="31">
        <f>SUM($T191:X191)</f>
        <v>0</v>
      </c>
      <c r="AL191" s="31">
        <f>SUM($T191:Y191)</f>
        <v>0</v>
      </c>
      <c r="AM191" s="31">
        <f>SUM($T191:Z191)</f>
        <v>0</v>
      </c>
      <c r="AN191" s="31">
        <f>SUM($T191:AA191)</f>
        <v>36</v>
      </c>
      <c r="AO191" s="31">
        <f>SUM($T191:AB191)</f>
        <v>36</v>
      </c>
      <c r="AP191" s="31">
        <f>SUM($T191:AC191)</f>
        <v>36</v>
      </c>
      <c r="AQ191" s="31">
        <f>SUM($T191:AD191)</f>
        <v>36</v>
      </c>
      <c r="AR191" s="31">
        <f>SUM($T191:AE191)</f>
        <v>36</v>
      </c>
      <c r="AS191" s="27">
        <f t="shared" si="33"/>
        <v>0</v>
      </c>
    </row>
    <row r="192" spans="2:45">
      <c r="B192" s="102">
        <f>IF(ROW()-6&gt;NumCostCenter,"",IF(CostCenter&lt;&gt;"ALL",CostCenter,DATA_LF2!B190))</f>
        <v>8514</v>
      </c>
      <c r="C192" s="153">
        <f>IF($B192&lt;&gt;"",INDEX(DataOB[],FirstRow+ROW()-7,2),"")</f>
        <v>8514</v>
      </c>
      <c r="D192" s="66" t="str">
        <f>IF($B192&lt;&gt;"",INDEX(DataOB[],FirstRow+ROW()-7,3),"")</f>
        <v>TBD</v>
      </c>
      <c r="E192" s="103">
        <f>IF($B192&lt;&gt;"",INDEX(DataOB[],FirstRow+ROW()-7,6),"")</f>
        <v>0</v>
      </c>
      <c r="F192" s="103" t="str">
        <f>IF($B192&lt;&gt;"",INDEX(DataOB[],FirstRow+ROW()-7,5),"")</f>
        <v>Install addition mesh door for remain position</v>
      </c>
      <c r="G192" s="58">
        <f>IF($B192&lt;&gt;"",SUMIFS(DataAct_tbl[AMOUNT],DataAct_tbl[BG CODE],Detail!$D192,DataAct_tbl[MONTH],LEFT(MonthName,3),DataAct_tbl[Dept code],$B192),0)</f>
        <v>0</v>
      </c>
      <c r="H192" s="31">
        <f t="shared" si="25"/>
        <v>0</v>
      </c>
      <c r="I192" s="28">
        <f t="shared" si="26"/>
        <v>0</v>
      </c>
      <c r="J192" s="32" t="str">
        <f t="shared" si="27"/>
        <v xml:space="preserve"> </v>
      </c>
      <c r="K192" s="86"/>
      <c r="L192" s="62">
        <f>IF($B192&lt;&gt;"",SUMIFS(DataAct_tbl[AMOUNT],DataAct_tbl[BG CODE],Detail!$D192,DataAct_tbl[Check Range],"=true",DataAct_tbl[Dept code],$B192),0)</f>
        <v>0</v>
      </c>
      <c r="M192" s="63">
        <f>INDEX($AG$7:$AR$1005,ROW()-6,MATCH(MTD,$AG$6:$AR$6,0))</f>
        <v>0</v>
      </c>
      <c r="N192" s="34">
        <f t="shared" si="28"/>
        <v>0</v>
      </c>
      <c r="O192" s="64" t="str">
        <f t="shared" si="29"/>
        <v xml:space="preserve"> </v>
      </c>
      <c r="Q192" s="97">
        <f t="shared" si="30"/>
        <v>123</v>
      </c>
      <c r="R192" s="96">
        <f t="shared" si="31"/>
        <v>123</v>
      </c>
      <c r="T192" s="67">
        <f>IF($B192&lt;&gt;"",INDEX(DataOB[],FirstRow+ROW()-7,MATCH(T$6,DataOB[#Headers],0)),"")</f>
        <v>0</v>
      </c>
      <c r="U192" s="67">
        <f>IF($B192&lt;&gt;"",INDEX(DataOB[],FirstRow+ROW()-7,MATCH(U$6,DataOB[#Headers],0)),"")</f>
        <v>0</v>
      </c>
      <c r="V192" s="67">
        <f>IF($B192&lt;&gt;"",INDEX(DataOB[],FirstRow+ROW()-7,MATCH(V$6,DataOB[#Headers],0)),"")</f>
        <v>0</v>
      </c>
      <c r="W192" s="67">
        <f>IF($B192&lt;&gt;"",INDEX(DataOB[],FirstRow+ROW()-7,MATCH(W$6,DataOB[#Headers],0)),"")</f>
        <v>0</v>
      </c>
      <c r="X192" s="67">
        <f>IF($B192&lt;&gt;"",INDEX(DataOB[],FirstRow+ROW()-7,MATCH(X$6,DataOB[#Headers],0)),"")</f>
        <v>0</v>
      </c>
      <c r="Y192" s="67">
        <f>IF($B192&lt;&gt;"",INDEX(DataOB[],FirstRow+ROW()-7,MATCH(Y$6,DataOB[#Headers],0)),"")</f>
        <v>0</v>
      </c>
      <c r="Z192" s="67">
        <f>IF($B192&lt;&gt;"",INDEX(DataOB[],FirstRow+ROW()-7,MATCH(Z$6,DataOB[#Headers],0)),"")</f>
        <v>0</v>
      </c>
      <c r="AA192" s="67">
        <f>IF($B192&lt;&gt;"",INDEX(DataOB[],FirstRow+ROW()-7,MATCH(AA$6,DataOB[#Headers],0)),"")</f>
        <v>0</v>
      </c>
      <c r="AB192" s="67">
        <f>IF($B192&lt;&gt;"",INDEX(DataOB[],FirstRow+ROW()-7,MATCH(AB$6,DataOB[#Headers],0)),"")</f>
        <v>0</v>
      </c>
      <c r="AC192" s="67">
        <f>IF($B192&lt;&gt;"",INDEX(DataOB[],FirstRow+ROW()-7,MATCH(AC$6,DataOB[#Headers],0)),"")</f>
        <v>123</v>
      </c>
      <c r="AD192" s="67">
        <f>IF($B192&lt;&gt;"",INDEX(DataOB[],FirstRow+ROW()-7,MATCH(AD$6,DataOB[#Headers],0)),"")</f>
        <v>0</v>
      </c>
      <c r="AE192" s="67">
        <f>IF($B192&lt;&gt;"",INDEX(DataOB[],FirstRow+ROW()-7,MATCH(AE$6,DataOB[#Headers],0)),"")</f>
        <v>0</v>
      </c>
      <c r="AF192" s="26">
        <f t="shared" si="32"/>
        <v>123</v>
      </c>
      <c r="AG192" s="31">
        <f>SUM($T192:T192)</f>
        <v>0</v>
      </c>
      <c r="AH192" s="31">
        <f>SUM($T192:U192)</f>
        <v>0</v>
      </c>
      <c r="AI192" s="31">
        <f>SUM($T192:V192)</f>
        <v>0</v>
      </c>
      <c r="AJ192" s="31">
        <f>SUM($T192:W192)</f>
        <v>0</v>
      </c>
      <c r="AK192" s="31">
        <f>SUM($T192:X192)</f>
        <v>0</v>
      </c>
      <c r="AL192" s="31">
        <f>SUM($T192:Y192)</f>
        <v>0</v>
      </c>
      <c r="AM192" s="31">
        <f>SUM($T192:Z192)</f>
        <v>0</v>
      </c>
      <c r="AN192" s="31">
        <f>SUM($T192:AA192)</f>
        <v>0</v>
      </c>
      <c r="AO192" s="31">
        <f>SUM($T192:AB192)</f>
        <v>0</v>
      </c>
      <c r="AP192" s="31">
        <f>SUM($T192:AC192)</f>
        <v>123</v>
      </c>
      <c r="AQ192" s="31">
        <f>SUM($T192:AD192)</f>
        <v>123</v>
      </c>
      <c r="AR192" s="31">
        <f>SUM($T192:AE192)</f>
        <v>123</v>
      </c>
      <c r="AS192" s="27">
        <f t="shared" si="33"/>
        <v>0</v>
      </c>
    </row>
    <row r="193" spans="2:45">
      <c r="B193" s="102">
        <f>IF(ROW()-6&gt;NumCostCenter,"",IF(CostCenter&lt;&gt;"ALL",CostCenter,DATA_LF2!B191))</f>
        <v>9111</v>
      </c>
      <c r="C193" s="153">
        <f>IF($B193&lt;&gt;"",INDEX(DataOB[],FirstRow+ROW()-7,2),"")</f>
        <v>9111</v>
      </c>
      <c r="D193" s="66" t="str">
        <f>IF($B193&lt;&gt;"",INDEX(DataOB[],FirstRow+ROW()-7,3),"")</f>
        <v>TBD</v>
      </c>
      <c r="E193" s="103">
        <f>IF($B193&lt;&gt;"",INDEX(DataOB[],FirstRow+ROW()-7,6),"")</f>
        <v>0</v>
      </c>
      <c r="F193" s="103" t="str">
        <f>IF($B193&lt;&gt;"",INDEX(DataOB[],FirstRow+ROW()-7,5),"")</f>
        <v>AI monitoring VI operation - POC 1 table</v>
      </c>
      <c r="G193" s="58">
        <f>IF($B193&lt;&gt;"",SUMIFS(DataAct_tbl[AMOUNT],DataAct_tbl[BG CODE],Detail!$D193,DataAct_tbl[MONTH],LEFT(MonthName,3),DataAct_tbl[Dept code],$B193),0)</f>
        <v>0</v>
      </c>
      <c r="H193" s="31">
        <f t="shared" si="25"/>
        <v>0</v>
      </c>
      <c r="I193" s="28">
        <f t="shared" si="26"/>
        <v>0</v>
      </c>
      <c r="J193" s="32" t="str">
        <f t="shared" si="27"/>
        <v xml:space="preserve"> </v>
      </c>
      <c r="K193" s="86"/>
      <c r="L193" s="62">
        <f>IF($B193&lt;&gt;"",SUMIFS(DataAct_tbl[AMOUNT],DataAct_tbl[BG CODE],Detail!$D193,DataAct_tbl[Check Range],"=true",DataAct_tbl[Dept code],$B193),0)</f>
        <v>0</v>
      </c>
      <c r="M193" s="63">
        <f>INDEX($AG$7:$AR$1005,ROW()-6,MATCH(MTD,$AG$6:$AR$6,0))</f>
        <v>0</v>
      </c>
      <c r="N193" s="34">
        <f t="shared" si="28"/>
        <v>0</v>
      </c>
      <c r="O193" s="64" t="str">
        <f t="shared" si="29"/>
        <v xml:space="preserve"> </v>
      </c>
      <c r="Q193" s="97">
        <f t="shared" si="30"/>
        <v>0</v>
      </c>
      <c r="R193" s="96">
        <f t="shared" si="31"/>
        <v>0</v>
      </c>
      <c r="T193" s="67">
        <f>IF($B193&lt;&gt;"",INDEX(DataOB[],FirstRow+ROW()-7,MATCH(T$6,DataOB[#Headers],0)),"")</f>
        <v>0</v>
      </c>
      <c r="U193" s="67">
        <f>IF($B193&lt;&gt;"",INDEX(DataOB[],FirstRow+ROW()-7,MATCH(U$6,DataOB[#Headers],0)),"")</f>
        <v>0</v>
      </c>
      <c r="V193" s="67">
        <f>IF($B193&lt;&gt;"",INDEX(DataOB[],FirstRow+ROW()-7,MATCH(V$6,DataOB[#Headers],0)),"")</f>
        <v>0</v>
      </c>
      <c r="W193" s="67">
        <f>IF($B193&lt;&gt;"",INDEX(DataOB[],FirstRow+ROW()-7,MATCH(W$6,DataOB[#Headers],0)),"")</f>
        <v>0</v>
      </c>
      <c r="X193" s="67">
        <f>IF($B193&lt;&gt;"",INDEX(DataOB[],FirstRow+ROW()-7,MATCH(X$6,DataOB[#Headers],0)),"")</f>
        <v>0</v>
      </c>
      <c r="Y193" s="67">
        <f>IF($B193&lt;&gt;"",INDEX(DataOB[],FirstRow+ROW()-7,MATCH(Y$6,DataOB[#Headers],0)),"")</f>
        <v>0</v>
      </c>
      <c r="Z193" s="67">
        <f>IF($B193&lt;&gt;"",INDEX(DataOB[],FirstRow+ROW()-7,MATCH(Z$6,DataOB[#Headers],0)),"")</f>
        <v>0</v>
      </c>
      <c r="AA193" s="67">
        <f>IF($B193&lt;&gt;"",INDEX(DataOB[],FirstRow+ROW()-7,MATCH(AA$6,DataOB[#Headers],0)),"")</f>
        <v>0</v>
      </c>
      <c r="AB193" s="67">
        <f>IF($B193&lt;&gt;"",INDEX(DataOB[],FirstRow+ROW()-7,MATCH(AB$6,DataOB[#Headers],0)),"")</f>
        <v>0</v>
      </c>
      <c r="AC193" s="67">
        <f>IF($B193&lt;&gt;"",INDEX(DataOB[],FirstRow+ROW()-7,MATCH(AC$6,DataOB[#Headers],0)),"")</f>
        <v>0</v>
      </c>
      <c r="AD193" s="67">
        <f>IF($B193&lt;&gt;"",INDEX(DataOB[],FirstRow+ROW()-7,MATCH(AD$6,DataOB[#Headers],0)),"")</f>
        <v>0</v>
      </c>
      <c r="AE193" s="67">
        <f>IF($B193&lt;&gt;"",INDEX(DataOB[],FirstRow+ROW()-7,MATCH(AE$6,DataOB[#Headers],0)),"")</f>
        <v>0</v>
      </c>
      <c r="AF193" s="26">
        <f t="shared" si="32"/>
        <v>0</v>
      </c>
      <c r="AG193" s="31">
        <f>SUM($T193:T193)</f>
        <v>0</v>
      </c>
      <c r="AH193" s="31">
        <f>SUM($T193:U193)</f>
        <v>0</v>
      </c>
      <c r="AI193" s="31">
        <f>SUM($T193:V193)</f>
        <v>0</v>
      </c>
      <c r="AJ193" s="31">
        <f>SUM($T193:W193)</f>
        <v>0</v>
      </c>
      <c r="AK193" s="31">
        <f>SUM($T193:X193)</f>
        <v>0</v>
      </c>
      <c r="AL193" s="31">
        <f>SUM($T193:Y193)</f>
        <v>0</v>
      </c>
      <c r="AM193" s="31">
        <f>SUM($T193:Z193)</f>
        <v>0</v>
      </c>
      <c r="AN193" s="31">
        <f>SUM($T193:AA193)</f>
        <v>0</v>
      </c>
      <c r="AO193" s="31">
        <f>SUM($T193:AB193)</f>
        <v>0</v>
      </c>
      <c r="AP193" s="31">
        <f>SUM($T193:AC193)</f>
        <v>0</v>
      </c>
      <c r="AQ193" s="31">
        <f>SUM($T193:AD193)</f>
        <v>0</v>
      </c>
      <c r="AR193" s="31">
        <f>SUM($T193:AE193)</f>
        <v>0</v>
      </c>
      <c r="AS193" s="27">
        <f t="shared" si="33"/>
        <v>0</v>
      </c>
    </row>
    <row r="194" spans="2:45">
      <c r="B194" s="102" t="str">
        <f>IF(ROW()-6&gt;NumCostCenter,"",IF(CostCenter&lt;&gt;"ALL",CostCenter,DATA_LF2!B192))</f>
        <v/>
      </c>
      <c r="C194" s="153" t="str">
        <f>IF($B194&lt;&gt;"",INDEX(DataOB[],FirstRow+ROW()-7,2),"")</f>
        <v/>
      </c>
      <c r="D194" s="66" t="str">
        <f>IF($B194&lt;&gt;"",INDEX(DataOB[],FirstRow+ROW()-7,3),"")</f>
        <v/>
      </c>
      <c r="E194" s="103" t="str">
        <f>IF($B194&lt;&gt;"",INDEX(DataOB[],FirstRow+ROW()-7,6),"")</f>
        <v/>
      </c>
      <c r="F194" s="103" t="str">
        <f>IF($B194&lt;&gt;"",INDEX(DataOB[],FirstRow+ROW()-7,5),"")</f>
        <v/>
      </c>
      <c r="G194" s="58">
        <f>IF($B194&lt;&gt;"",SUMIFS(DataAct_tbl[AMOUNT],DataAct_tbl[BG CODE],Detail!$D194,DataAct_tbl[MONTH],LEFT(MonthName,3),DataAct_tbl[Dept code],$B194),0)</f>
        <v>0</v>
      </c>
      <c r="H194" s="31" t="str">
        <f t="shared" si="25"/>
        <v/>
      </c>
      <c r="I194" s="28" t="str">
        <f t="shared" si="26"/>
        <v/>
      </c>
      <c r="J194" s="32" t="str">
        <f t="shared" si="27"/>
        <v/>
      </c>
      <c r="K194" s="86"/>
      <c r="L194" s="62">
        <f>IF($B194&lt;&gt;"",SUMIFS(DataAct_tbl[AMOUNT],DataAct_tbl[BG CODE],Detail!$D194,DataAct_tbl[Check Range],"=true",DataAct_tbl[Dept code],$B194),0)</f>
        <v>0</v>
      </c>
      <c r="M194" s="63">
        <f>INDEX($AG$7:$AR$1005,ROW()-6,MATCH(MTD,$AG$6:$AR$6,0))</f>
        <v>0</v>
      </c>
      <c r="N194" s="34">
        <f t="shared" si="28"/>
        <v>0</v>
      </c>
      <c r="O194" s="64" t="str">
        <f t="shared" si="29"/>
        <v xml:space="preserve"> </v>
      </c>
      <c r="Q194" s="97">
        <f t="shared" si="30"/>
        <v>0</v>
      </c>
      <c r="R194" s="96">
        <f t="shared" si="31"/>
        <v>0</v>
      </c>
      <c r="T194" s="67" t="str">
        <f>IF($B194&lt;&gt;"",INDEX(DataOB[],FirstRow+ROW()-7,MATCH(T$6,DataOB[#Headers],0)),"")</f>
        <v/>
      </c>
      <c r="U194" s="67" t="str">
        <f>IF($B194&lt;&gt;"",INDEX(DataOB[],FirstRow+ROW()-7,MATCH(U$6,DataOB[#Headers],0)),"")</f>
        <v/>
      </c>
      <c r="V194" s="67" t="str">
        <f>IF($B194&lt;&gt;"",INDEX(DataOB[],FirstRow+ROW()-7,MATCH(V$6,DataOB[#Headers],0)),"")</f>
        <v/>
      </c>
      <c r="W194" s="67" t="str">
        <f>IF($B194&lt;&gt;"",INDEX(DataOB[],FirstRow+ROW()-7,MATCH(W$6,DataOB[#Headers],0)),"")</f>
        <v/>
      </c>
      <c r="X194" s="67" t="str">
        <f>IF($B194&lt;&gt;"",INDEX(DataOB[],FirstRow+ROW()-7,MATCH(X$6,DataOB[#Headers],0)),"")</f>
        <v/>
      </c>
      <c r="Y194" s="67" t="str">
        <f>IF($B194&lt;&gt;"",INDEX(DataOB[],FirstRow+ROW()-7,MATCH(Y$6,DataOB[#Headers],0)),"")</f>
        <v/>
      </c>
      <c r="Z194" s="67" t="str">
        <f>IF($B194&lt;&gt;"",INDEX(DataOB[],FirstRow+ROW()-7,MATCH(Z$6,DataOB[#Headers],0)),"")</f>
        <v/>
      </c>
      <c r="AA194" s="67" t="str">
        <f>IF($B194&lt;&gt;"",INDEX(DataOB[],FirstRow+ROW()-7,MATCH(AA$6,DataOB[#Headers],0)),"")</f>
        <v/>
      </c>
      <c r="AB194" s="67" t="str">
        <f>IF($B194&lt;&gt;"",INDEX(DataOB[],FirstRow+ROW()-7,MATCH(AB$6,DataOB[#Headers],0)),"")</f>
        <v/>
      </c>
      <c r="AC194" s="67" t="str">
        <f>IF($B194&lt;&gt;"",INDEX(DataOB[],FirstRow+ROW()-7,MATCH(AC$6,DataOB[#Headers],0)),"")</f>
        <v/>
      </c>
      <c r="AD194" s="67" t="str">
        <f>IF($B194&lt;&gt;"",INDEX(DataOB[],FirstRow+ROW()-7,MATCH(AD$6,DataOB[#Headers],0)),"")</f>
        <v/>
      </c>
      <c r="AE194" s="67" t="str">
        <f>IF($B194&lt;&gt;"",INDEX(DataOB[],FirstRow+ROW()-7,MATCH(AE$6,DataOB[#Headers],0)),"")</f>
        <v/>
      </c>
      <c r="AF194" s="26">
        <f t="shared" si="32"/>
        <v>0</v>
      </c>
      <c r="AG194" s="31">
        <f>SUM($T194:T194)</f>
        <v>0</v>
      </c>
      <c r="AH194" s="31">
        <f>SUM($T194:U194)</f>
        <v>0</v>
      </c>
      <c r="AI194" s="31">
        <f>SUM($T194:V194)</f>
        <v>0</v>
      </c>
      <c r="AJ194" s="31">
        <f>SUM($T194:W194)</f>
        <v>0</v>
      </c>
      <c r="AK194" s="31">
        <f>SUM($T194:X194)</f>
        <v>0</v>
      </c>
      <c r="AL194" s="31">
        <f>SUM($T194:Y194)</f>
        <v>0</v>
      </c>
      <c r="AM194" s="31">
        <f>SUM($T194:Z194)</f>
        <v>0</v>
      </c>
      <c r="AN194" s="31">
        <f>SUM($T194:AA194)</f>
        <v>0</v>
      </c>
      <c r="AO194" s="31">
        <f>SUM($T194:AB194)</f>
        <v>0</v>
      </c>
      <c r="AP194" s="31">
        <f>SUM($T194:AC194)</f>
        <v>0</v>
      </c>
      <c r="AQ194" s="31">
        <f>SUM($T194:AD194)</f>
        <v>0</v>
      </c>
      <c r="AR194" s="31">
        <f>SUM($T194:AE194)</f>
        <v>0</v>
      </c>
      <c r="AS194" s="27">
        <f t="shared" si="33"/>
        <v>0</v>
      </c>
    </row>
    <row r="195" spans="2:45">
      <c r="B195" s="102" t="str">
        <f>IF(ROW()-6&gt;NumCostCenter,"",IF(CostCenter&lt;&gt;"ALL",CostCenter,DATA_LF2!B193))</f>
        <v/>
      </c>
      <c r="C195" s="153" t="str">
        <f>IF($B195&lt;&gt;"",INDEX(DataOB[],FirstRow+ROW()-7,2),"")</f>
        <v/>
      </c>
      <c r="D195" s="66" t="str">
        <f>IF($B195&lt;&gt;"",INDEX(DataOB[],FirstRow+ROW()-7,3),"")</f>
        <v/>
      </c>
      <c r="E195" s="103" t="str">
        <f>IF($B195&lt;&gt;"",INDEX(DataOB[],FirstRow+ROW()-7,6),"")</f>
        <v/>
      </c>
      <c r="F195" s="103" t="str">
        <f>IF($B195&lt;&gt;"",INDEX(DataOB[],FirstRow+ROW()-7,5),"")</f>
        <v/>
      </c>
      <c r="G195" s="58">
        <f>IF($B195&lt;&gt;"",SUMIFS(DataAct_tbl[AMOUNT],DataAct_tbl[BG CODE],Detail!$D195,DataAct_tbl[MONTH],LEFT(MonthName,3),DataAct_tbl[Dept code],$B195),0)</f>
        <v>0</v>
      </c>
      <c r="H195" s="31" t="str">
        <f t="shared" si="25"/>
        <v/>
      </c>
      <c r="I195" s="28" t="str">
        <f t="shared" si="26"/>
        <v/>
      </c>
      <c r="J195" s="32" t="str">
        <f t="shared" si="27"/>
        <v/>
      </c>
      <c r="K195" s="86"/>
      <c r="L195" s="62">
        <f>IF($B195&lt;&gt;"",SUMIFS(DataAct_tbl[AMOUNT],DataAct_tbl[BG CODE],Detail!$D195,DataAct_tbl[Check Range],"=true",DataAct_tbl[Dept code],$B195),0)</f>
        <v>0</v>
      </c>
      <c r="M195" s="63">
        <f>INDEX($AG$7:$AR$1005,ROW()-6,MATCH(MTD,$AG$6:$AR$6,0))</f>
        <v>0</v>
      </c>
      <c r="N195" s="34">
        <f t="shared" si="28"/>
        <v>0</v>
      </c>
      <c r="O195" s="64" t="str">
        <f t="shared" si="29"/>
        <v xml:space="preserve"> </v>
      </c>
      <c r="Q195" s="97">
        <f t="shared" si="30"/>
        <v>0</v>
      </c>
      <c r="R195" s="96">
        <f t="shared" si="31"/>
        <v>0</v>
      </c>
      <c r="T195" s="67" t="str">
        <f>IF($B195&lt;&gt;"",INDEX(DataOB[],FirstRow+ROW()-7,MATCH(T$6,DataOB[#Headers],0)),"")</f>
        <v/>
      </c>
      <c r="U195" s="67" t="str">
        <f>IF($B195&lt;&gt;"",INDEX(DataOB[],FirstRow+ROW()-7,MATCH(U$6,DataOB[#Headers],0)),"")</f>
        <v/>
      </c>
      <c r="V195" s="67" t="str">
        <f>IF($B195&lt;&gt;"",INDEX(DataOB[],FirstRow+ROW()-7,MATCH(V$6,DataOB[#Headers],0)),"")</f>
        <v/>
      </c>
      <c r="W195" s="67" t="str">
        <f>IF($B195&lt;&gt;"",INDEX(DataOB[],FirstRow+ROW()-7,MATCH(W$6,DataOB[#Headers],0)),"")</f>
        <v/>
      </c>
      <c r="X195" s="67" t="str">
        <f>IF($B195&lt;&gt;"",INDEX(DataOB[],FirstRow+ROW()-7,MATCH(X$6,DataOB[#Headers],0)),"")</f>
        <v/>
      </c>
      <c r="Y195" s="67" t="str">
        <f>IF($B195&lt;&gt;"",INDEX(DataOB[],FirstRow+ROW()-7,MATCH(Y$6,DataOB[#Headers],0)),"")</f>
        <v/>
      </c>
      <c r="Z195" s="67" t="str">
        <f>IF($B195&lt;&gt;"",INDEX(DataOB[],FirstRow+ROW()-7,MATCH(Z$6,DataOB[#Headers],0)),"")</f>
        <v/>
      </c>
      <c r="AA195" s="67" t="str">
        <f>IF($B195&lt;&gt;"",INDEX(DataOB[],FirstRow+ROW()-7,MATCH(AA$6,DataOB[#Headers],0)),"")</f>
        <v/>
      </c>
      <c r="AB195" s="67" t="str">
        <f>IF($B195&lt;&gt;"",INDEX(DataOB[],FirstRow+ROW()-7,MATCH(AB$6,DataOB[#Headers],0)),"")</f>
        <v/>
      </c>
      <c r="AC195" s="67" t="str">
        <f>IF($B195&lt;&gt;"",INDEX(DataOB[],FirstRow+ROW()-7,MATCH(AC$6,DataOB[#Headers],0)),"")</f>
        <v/>
      </c>
      <c r="AD195" s="67" t="str">
        <f>IF($B195&lt;&gt;"",INDEX(DataOB[],FirstRow+ROW()-7,MATCH(AD$6,DataOB[#Headers],0)),"")</f>
        <v/>
      </c>
      <c r="AE195" s="67" t="str">
        <f>IF($B195&lt;&gt;"",INDEX(DataOB[],FirstRow+ROW()-7,MATCH(AE$6,DataOB[#Headers],0)),"")</f>
        <v/>
      </c>
      <c r="AF195" s="26">
        <f t="shared" si="32"/>
        <v>0</v>
      </c>
      <c r="AG195" s="31">
        <f>SUM($T195:T195)</f>
        <v>0</v>
      </c>
      <c r="AH195" s="31">
        <f>SUM($T195:U195)</f>
        <v>0</v>
      </c>
      <c r="AI195" s="31">
        <f>SUM($T195:V195)</f>
        <v>0</v>
      </c>
      <c r="AJ195" s="31">
        <f>SUM($T195:W195)</f>
        <v>0</v>
      </c>
      <c r="AK195" s="31">
        <f>SUM($T195:X195)</f>
        <v>0</v>
      </c>
      <c r="AL195" s="31">
        <f>SUM($T195:Y195)</f>
        <v>0</v>
      </c>
      <c r="AM195" s="31">
        <f>SUM($T195:Z195)</f>
        <v>0</v>
      </c>
      <c r="AN195" s="31">
        <f>SUM($T195:AA195)</f>
        <v>0</v>
      </c>
      <c r="AO195" s="31">
        <f>SUM($T195:AB195)</f>
        <v>0</v>
      </c>
      <c r="AP195" s="31">
        <f>SUM($T195:AC195)</f>
        <v>0</v>
      </c>
      <c r="AQ195" s="31">
        <f>SUM($T195:AD195)</f>
        <v>0</v>
      </c>
      <c r="AR195" s="31">
        <f>SUM($T195:AE195)</f>
        <v>0</v>
      </c>
      <c r="AS195" s="27">
        <f t="shared" si="33"/>
        <v>0</v>
      </c>
    </row>
    <row r="196" spans="2:45">
      <c r="B196" s="102" t="str">
        <f>IF(ROW()-6&gt;NumCostCenter,"",IF(CostCenter&lt;&gt;"ALL",CostCenter,DATA_LF2!B194))</f>
        <v/>
      </c>
      <c r="C196" s="153" t="str">
        <f>IF($B196&lt;&gt;"",INDEX(DataOB[],FirstRow+ROW()-7,2),"")</f>
        <v/>
      </c>
      <c r="D196" s="66" t="str">
        <f>IF($B196&lt;&gt;"",INDEX(DataOB[],FirstRow+ROW()-7,3),"")</f>
        <v/>
      </c>
      <c r="E196" s="103" t="str">
        <f>IF($B196&lt;&gt;"",INDEX(DataOB[],FirstRow+ROW()-7,6),"")</f>
        <v/>
      </c>
      <c r="F196" s="103" t="str">
        <f>IF($B196&lt;&gt;"",INDEX(DataOB[],FirstRow+ROW()-7,5),"")</f>
        <v/>
      </c>
      <c r="G196" s="58">
        <f>IF($B196&lt;&gt;"",SUMIFS(DataAct_tbl[AMOUNT],DataAct_tbl[BG CODE],Detail!$D196,DataAct_tbl[MONTH],LEFT(MonthName,3),DataAct_tbl[Dept code],$B196),0)</f>
        <v>0</v>
      </c>
      <c r="H196" s="31" t="str">
        <f t="shared" si="25"/>
        <v/>
      </c>
      <c r="I196" s="28" t="str">
        <f t="shared" si="26"/>
        <v/>
      </c>
      <c r="J196" s="32" t="str">
        <f t="shared" si="27"/>
        <v/>
      </c>
      <c r="K196" s="86"/>
      <c r="L196" s="62">
        <f>IF($B196&lt;&gt;"",SUMIFS(DataAct_tbl[AMOUNT],DataAct_tbl[BG CODE],Detail!$D196,DataAct_tbl[Check Range],"=true",DataAct_tbl[Dept code],$B196),0)</f>
        <v>0</v>
      </c>
      <c r="M196" s="63">
        <f>INDEX($AG$7:$AR$1005,ROW()-6,MATCH(MTD,$AG$6:$AR$6,0))</f>
        <v>0</v>
      </c>
      <c r="N196" s="34">
        <f t="shared" si="28"/>
        <v>0</v>
      </c>
      <c r="O196" s="64" t="str">
        <f t="shared" si="29"/>
        <v xml:space="preserve"> </v>
      </c>
      <c r="Q196" s="97">
        <f t="shared" si="30"/>
        <v>0</v>
      </c>
      <c r="R196" s="96">
        <f t="shared" si="31"/>
        <v>0</v>
      </c>
      <c r="T196" s="67" t="str">
        <f>IF($B196&lt;&gt;"",INDEX(DataOB[],FirstRow+ROW()-7,MATCH(T$6,DataOB[#Headers],0)),"")</f>
        <v/>
      </c>
      <c r="U196" s="67" t="str">
        <f>IF($B196&lt;&gt;"",INDEX(DataOB[],FirstRow+ROW()-7,MATCH(U$6,DataOB[#Headers],0)),"")</f>
        <v/>
      </c>
      <c r="V196" s="67" t="str">
        <f>IF($B196&lt;&gt;"",INDEX(DataOB[],FirstRow+ROW()-7,MATCH(V$6,DataOB[#Headers],0)),"")</f>
        <v/>
      </c>
      <c r="W196" s="67" t="str">
        <f>IF($B196&lt;&gt;"",INDEX(DataOB[],FirstRow+ROW()-7,MATCH(W$6,DataOB[#Headers],0)),"")</f>
        <v/>
      </c>
      <c r="X196" s="67" t="str">
        <f>IF($B196&lt;&gt;"",INDEX(DataOB[],FirstRow+ROW()-7,MATCH(X$6,DataOB[#Headers],0)),"")</f>
        <v/>
      </c>
      <c r="Y196" s="67" t="str">
        <f>IF($B196&lt;&gt;"",INDEX(DataOB[],FirstRow+ROW()-7,MATCH(Y$6,DataOB[#Headers],0)),"")</f>
        <v/>
      </c>
      <c r="Z196" s="67" t="str">
        <f>IF($B196&lt;&gt;"",INDEX(DataOB[],FirstRow+ROW()-7,MATCH(Z$6,DataOB[#Headers],0)),"")</f>
        <v/>
      </c>
      <c r="AA196" s="67" t="str">
        <f>IF($B196&lt;&gt;"",INDEX(DataOB[],FirstRow+ROW()-7,MATCH(AA$6,DataOB[#Headers],0)),"")</f>
        <v/>
      </c>
      <c r="AB196" s="67" t="str">
        <f>IF($B196&lt;&gt;"",INDEX(DataOB[],FirstRow+ROW()-7,MATCH(AB$6,DataOB[#Headers],0)),"")</f>
        <v/>
      </c>
      <c r="AC196" s="67" t="str">
        <f>IF($B196&lt;&gt;"",INDEX(DataOB[],FirstRow+ROW()-7,MATCH(AC$6,DataOB[#Headers],0)),"")</f>
        <v/>
      </c>
      <c r="AD196" s="67" t="str">
        <f>IF($B196&lt;&gt;"",INDEX(DataOB[],FirstRow+ROW()-7,MATCH(AD$6,DataOB[#Headers],0)),"")</f>
        <v/>
      </c>
      <c r="AE196" s="67" t="str">
        <f>IF($B196&lt;&gt;"",INDEX(DataOB[],FirstRow+ROW()-7,MATCH(AE$6,DataOB[#Headers],0)),"")</f>
        <v/>
      </c>
      <c r="AF196" s="26">
        <f t="shared" si="32"/>
        <v>0</v>
      </c>
      <c r="AG196" s="31">
        <f>SUM($T196:T196)</f>
        <v>0</v>
      </c>
      <c r="AH196" s="31">
        <f>SUM($T196:U196)</f>
        <v>0</v>
      </c>
      <c r="AI196" s="31">
        <f>SUM($T196:V196)</f>
        <v>0</v>
      </c>
      <c r="AJ196" s="31">
        <f>SUM($T196:W196)</f>
        <v>0</v>
      </c>
      <c r="AK196" s="31">
        <f>SUM($T196:X196)</f>
        <v>0</v>
      </c>
      <c r="AL196" s="31">
        <f>SUM($T196:Y196)</f>
        <v>0</v>
      </c>
      <c r="AM196" s="31">
        <f>SUM($T196:Z196)</f>
        <v>0</v>
      </c>
      <c r="AN196" s="31">
        <f>SUM($T196:AA196)</f>
        <v>0</v>
      </c>
      <c r="AO196" s="31">
        <f>SUM($T196:AB196)</f>
        <v>0</v>
      </c>
      <c r="AP196" s="31">
        <f>SUM($T196:AC196)</f>
        <v>0</v>
      </c>
      <c r="AQ196" s="31">
        <f>SUM($T196:AD196)</f>
        <v>0</v>
      </c>
      <c r="AR196" s="31">
        <f>SUM($T196:AE196)</f>
        <v>0</v>
      </c>
      <c r="AS196" s="27">
        <f t="shared" si="33"/>
        <v>0</v>
      </c>
    </row>
    <row r="197" spans="2:45">
      <c r="B197" s="102" t="str">
        <f>IF(ROW()-6&gt;NumCostCenter,"",IF(CostCenter&lt;&gt;"ALL",CostCenter,DATA_LF2!B195))</f>
        <v/>
      </c>
      <c r="C197" s="153" t="str">
        <f>IF($B197&lt;&gt;"",INDEX(DataOB[],FirstRow+ROW()-7,2),"")</f>
        <v/>
      </c>
      <c r="D197" s="66" t="str">
        <f>IF($B197&lt;&gt;"",INDEX(DataOB[],FirstRow+ROW()-7,3),"")</f>
        <v/>
      </c>
      <c r="E197" s="103" t="str">
        <f>IF($B197&lt;&gt;"",INDEX(DataOB[],FirstRow+ROW()-7,6),"")</f>
        <v/>
      </c>
      <c r="F197" s="103" t="str">
        <f>IF($B197&lt;&gt;"",INDEX(DataOB[],FirstRow+ROW()-7,5),"")</f>
        <v/>
      </c>
      <c r="G197" s="58">
        <f>IF($B197&lt;&gt;"",SUMIFS(DataAct_tbl[AMOUNT],DataAct_tbl[BG CODE],Detail!$D197,DataAct_tbl[MONTH],LEFT(MonthName,3),DataAct_tbl[Dept code],$B197),0)</f>
        <v>0</v>
      </c>
      <c r="H197" s="31" t="str">
        <f t="shared" si="25"/>
        <v/>
      </c>
      <c r="I197" s="28" t="str">
        <f t="shared" si="26"/>
        <v/>
      </c>
      <c r="J197" s="32" t="str">
        <f t="shared" si="27"/>
        <v/>
      </c>
      <c r="K197" s="86"/>
      <c r="L197" s="62">
        <f>IF($B197&lt;&gt;"",SUMIFS(DataAct_tbl[AMOUNT],DataAct_tbl[BG CODE],Detail!$D197,DataAct_tbl[Check Range],"=true",DataAct_tbl[Dept code],$B197),0)</f>
        <v>0</v>
      </c>
      <c r="M197" s="63">
        <f>INDEX($AG$7:$AR$1005,ROW()-6,MATCH(MTD,$AG$6:$AR$6,0))</f>
        <v>0</v>
      </c>
      <c r="N197" s="34">
        <f t="shared" si="28"/>
        <v>0</v>
      </c>
      <c r="O197" s="64" t="str">
        <f t="shared" si="29"/>
        <v xml:space="preserve"> </v>
      </c>
      <c r="Q197" s="97">
        <f t="shared" si="30"/>
        <v>0</v>
      </c>
      <c r="R197" s="96">
        <f t="shared" si="31"/>
        <v>0</v>
      </c>
      <c r="T197" s="67" t="str">
        <f>IF($B197&lt;&gt;"",INDEX(DataOB[],FirstRow+ROW()-7,MATCH(T$6,DataOB[#Headers],0)),"")</f>
        <v/>
      </c>
      <c r="U197" s="67" t="str">
        <f>IF($B197&lt;&gt;"",INDEX(DataOB[],FirstRow+ROW()-7,MATCH(U$6,DataOB[#Headers],0)),"")</f>
        <v/>
      </c>
      <c r="V197" s="67" t="str">
        <f>IF($B197&lt;&gt;"",INDEX(DataOB[],FirstRow+ROW()-7,MATCH(V$6,DataOB[#Headers],0)),"")</f>
        <v/>
      </c>
      <c r="W197" s="67" t="str">
        <f>IF($B197&lt;&gt;"",INDEX(DataOB[],FirstRow+ROW()-7,MATCH(W$6,DataOB[#Headers],0)),"")</f>
        <v/>
      </c>
      <c r="X197" s="67" t="str">
        <f>IF($B197&lt;&gt;"",INDEX(DataOB[],FirstRow+ROW()-7,MATCH(X$6,DataOB[#Headers],0)),"")</f>
        <v/>
      </c>
      <c r="Y197" s="67" t="str">
        <f>IF($B197&lt;&gt;"",INDEX(DataOB[],FirstRow+ROW()-7,MATCH(Y$6,DataOB[#Headers],0)),"")</f>
        <v/>
      </c>
      <c r="Z197" s="67" t="str">
        <f>IF($B197&lt;&gt;"",INDEX(DataOB[],FirstRow+ROW()-7,MATCH(Z$6,DataOB[#Headers],0)),"")</f>
        <v/>
      </c>
      <c r="AA197" s="67" t="str">
        <f>IF($B197&lt;&gt;"",INDEX(DataOB[],FirstRow+ROW()-7,MATCH(AA$6,DataOB[#Headers],0)),"")</f>
        <v/>
      </c>
      <c r="AB197" s="67" t="str">
        <f>IF($B197&lt;&gt;"",INDEX(DataOB[],FirstRow+ROW()-7,MATCH(AB$6,DataOB[#Headers],0)),"")</f>
        <v/>
      </c>
      <c r="AC197" s="67" t="str">
        <f>IF($B197&lt;&gt;"",INDEX(DataOB[],FirstRow+ROW()-7,MATCH(AC$6,DataOB[#Headers],0)),"")</f>
        <v/>
      </c>
      <c r="AD197" s="67" t="str">
        <f>IF($B197&lt;&gt;"",INDEX(DataOB[],FirstRow+ROW()-7,MATCH(AD$6,DataOB[#Headers],0)),"")</f>
        <v/>
      </c>
      <c r="AE197" s="67" t="str">
        <f>IF($B197&lt;&gt;"",INDEX(DataOB[],FirstRow+ROW()-7,MATCH(AE$6,DataOB[#Headers],0)),"")</f>
        <v/>
      </c>
      <c r="AF197" s="26">
        <f t="shared" si="32"/>
        <v>0</v>
      </c>
      <c r="AG197" s="31">
        <f>SUM($T197:T197)</f>
        <v>0</v>
      </c>
      <c r="AH197" s="31">
        <f>SUM($T197:U197)</f>
        <v>0</v>
      </c>
      <c r="AI197" s="31">
        <f>SUM($T197:V197)</f>
        <v>0</v>
      </c>
      <c r="AJ197" s="31">
        <f>SUM($T197:W197)</f>
        <v>0</v>
      </c>
      <c r="AK197" s="31">
        <f>SUM($T197:X197)</f>
        <v>0</v>
      </c>
      <c r="AL197" s="31">
        <f>SUM($T197:Y197)</f>
        <v>0</v>
      </c>
      <c r="AM197" s="31">
        <f>SUM($T197:Z197)</f>
        <v>0</v>
      </c>
      <c r="AN197" s="31">
        <f>SUM($T197:AA197)</f>
        <v>0</v>
      </c>
      <c r="AO197" s="31">
        <f>SUM($T197:AB197)</f>
        <v>0</v>
      </c>
      <c r="AP197" s="31">
        <f>SUM($T197:AC197)</f>
        <v>0</v>
      </c>
      <c r="AQ197" s="31">
        <f>SUM($T197:AD197)</f>
        <v>0</v>
      </c>
      <c r="AR197" s="31">
        <f>SUM($T197:AE197)</f>
        <v>0</v>
      </c>
      <c r="AS197" s="27">
        <f t="shared" si="33"/>
        <v>0</v>
      </c>
    </row>
    <row r="198" spans="2:45">
      <c r="B198" s="102" t="str">
        <f>IF(ROW()-6&gt;NumCostCenter,"",IF(CostCenter&lt;&gt;"ALL",CostCenter,DATA_LF2!B196))</f>
        <v/>
      </c>
      <c r="C198" s="153" t="str">
        <f>IF($B198&lt;&gt;"",INDEX(DataOB[],FirstRow+ROW()-7,2),"")</f>
        <v/>
      </c>
      <c r="D198" s="66" t="str">
        <f>IF($B198&lt;&gt;"",INDEX(DataOB[],FirstRow+ROW()-7,3),"")</f>
        <v/>
      </c>
      <c r="E198" s="103" t="str">
        <f>IF($B198&lt;&gt;"",INDEX(DataOB[],FirstRow+ROW()-7,6),"")</f>
        <v/>
      </c>
      <c r="F198" s="103" t="str">
        <f>IF($B198&lt;&gt;"",INDEX(DataOB[],FirstRow+ROW()-7,5),"")</f>
        <v/>
      </c>
      <c r="G198" s="58">
        <f>IF($B198&lt;&gt;"",SUMIFS(DataAct_tbl[AMOUNT],DataAct_tbl[BG CODE],Detail!$D198,DataAct_tbl[MONTH],LEFT(MonthName,3),DataAct_tbl[Dept code],$B198),0)</f>
        <v>0</v>
      </c>
      <c r="H198" s="31" t="str">
        <f t="shared" si="25"/>
        <v/>
      </c>
      <c r="I198" s="28" t="str">
        <f t="shared" si="26"/>
        <v/>
      </c>
      <c r="J198" s="32" t="str">
        <f t="shared" si="27"/>
        <v/>
      </c>
      <c r="K198" s="86"/>
      <c r="L198" s="62">
        <f>IF($B198&lt;&gt;"",SUMIFS(DataAct_tbl[AMOUNT],DataAct_tbl[BG CODE],Detail!$D198,DataAct_tbl[Check Range],"=true",DataAct_tbl[Dept code],$B198),0)</f>
        <v>0</v>
      </c>
      <c r="M198" s="63">
        <f>INDEX($AG$7:$AR$1005,ROW()-6,MATCH(MTD,$AG$6:$AR$6,0))</f>
        <v>0</v>
      </c>
      <c r="N198" s="34">
        <f t="shared" si="28"/>
        <v>0</v>
      </c>
      <c r="O198" s="64" t="str">
        <f t="shared" si="29"/>
        <v xml:space="preserve"> </v>
      </c>
      <c r="Q198" s="97">
        <f t="shared" si="30"/>
        <v>0</v>
      </c>
      <c r="R198" s="96">
        <f t="shared" si="31"/>
        <v>0</v>
      </c>
      <c r="T198" s="67" t="str">
        <f>IF($B198&lt;&gt;"",INDEX(DataOB[],FirstRow+ROW()-7,MATCH(T$6,DataOB[#Headers],0)),"")</f>
        <v/>
      </c>
      <c r="U198" s="67" t="str">
        <f>IF($B198&lt;&gt;"",INDEX(DataOB[],FirstRow+ROW()-7,MATCH(U$6,DataOB[#Headers],0)),"")</f>
        <v/>
      </c>
      <c r="V198" s="67" t="str">
        <f>IF($B198&lt;&gt;"",INDEX(DataOB[],FirstRow+ROW()-7,MATCH(V$6,DataOB[#Headers],0)),"")</f>
        <v/>
      </c>
      <c r="W198" s="67" t="str">
        <f>IF($B198&lt;&gt;"",INDEX(DataOB[],FirstRow+ROW()-7,MATCH(W$6,DataOB[#Headers],0)),"")</f>
        <v/>
      </c>
      <c r="X198" s="67" t="str">
        <f>IF($B198&lt;&gt;"",INDEX(DataOB[],FirstRow+ROW()-7,MATCH(X$6,DataOB[#Headers],0)),"")</f>
        <v/>
      </c>
      <c r="Y198" s="67" t="str">
        <f>IF($B198&lt;&gt;"",INDEX(DataOB[],FirstRow+ROW()-7,MATCH(Y$6,DataOB[#Headers],0)),"")</f>
        <v/>
      </c>
      <c r="Z198" s="67" t="str">
        <f>IF($B198&lt;&gt;"",INDEX(DataOB[],FirstRow+ROW()-7,MATCH(Z$6,DataOB[#Headers],0)),"")</f>
        <v/>
      </c>
      <c r="AA198" s="67" t="str">
        <f>IF($B198&lt;&gt;"",INDEX(DataOB[],FirstRow+ROW()-7,MATCH(AA$6,DataOB[#Headers],0)),"")</f>
        <v/>
      </c>
      <c r="AB198" s="67" t="str">
        <f>IF($B198&lt;&gt;"",INDEX(DataOB[],FirstRow+ROW()-7,MATCH(AB$6,DataOB[#Headers],0)),"")</f>
        <v/>
      </c>
      <c r="AC198" s="67" t="str">
        <f>IF($B198&lt;&gt;"",INDEX(DataOB[],FirstRow+ROW()-7,MATCH(AC$6,DataOB[#Headers],0)),"")</f>
        <v/>
      </c>
      <c r="AD198" s="67" t="str">
        <f>IF($B198&lt;&gt;"",INDEX(DataOB[],FirstRow+ROW()-7,MATCH(AD$6,DataOB[#Headers],0)),"")</f>
        <v/>
      </c>
      <c r="AE198" s="67" t="str">
        <f>IF($B198&lt;&gt;"",INDEX(DataOB[],FirstRow+ROW()-7,MATCH(AE$6,DataOB[#Headers],0)),"")</f>
        <v/>
      </c>
      <c r="AF198" s="26">
        <f t="shared" si="32"/>
        <v>0</v>
      </c>
      <c r="AG198" s="31">
        <f>SUM($T198:T198)</f>
        <v>0</v>
      </c>
      <c r="AH198" s="31">
        <f>SUM($T198:U198)</f>
        <v>0</v>
      </c>
      <c r="AI198" s="31">
        <f>SUM($T198:V198)</f>
        <v>0</v>
      </c>
      <c r="AJ198" s="31">
        <f>SUM($T198:W198)</f>
        <v>0</v>
      </c>
      <c r="AK198" s="31">
        <f>SUM($T198:X198)</f>
        <v>0</v>
      </c>
      <c r="AL198" s="31">
        <f>SUM($T198:Y198)</f>
        <v>0</v>
      </c>
      <c r="AM198" s="31">
        <f>SUM($T198:Z198)</f>
        <v>0</v>
      </c>
      <c r="AN198" s="31">
        <f>SUM($T198:AA198)</f>
        <v>0</v>
      </c>
      <c r="AO198" s="31">
        <f>SUM($T198:AB198)</f>
        <v>0</v>
      </c>
      <c r="AP198" s="31">
        <f>SUM($T198:AC198)</f>
        <v>0</v>
      </c>
      <c r="AQ198" s="31">
        <f>SUM($T198:AD198)</f>
        <v>0</v>
      </c>
      <c r="AR198" s="31">
        <f>SUM($T198:AE198)</f>
        <v>0</v>
      </c>
      <c r="AS198" s="27">
        <f t="shared" si="33"/>
        <v>0</v>
      </c>
    </row>
    <row r="199" spans="2:45">
      <c r="B199" s="102" t="str">
        <f>IF(ROW()-6&gt;NumCostCenter,"",IF(CostCenter&lt;&gt;"ALL",CostCenter,DATA_LF2!B197))</f>
        <v/>
      </c>
      <c r="C199" s="153" t="str">
        <f>IF($B199&lt;&gt;"",INDEX(DataOB[],FirstRow+ROW()-7,2),"")</f>
        <v/>
      </c>
      <c r="D199" s="66" t="str">
        <f>IF($B199&lt;&gt;"",INDEX(DataOB[],FirstRow+ROW()-7,3),"")</f>
        <v/>
      </c>
      <c r="E199" s="103" t="str">
        <f>IF($B199&lt;&gt;"",INDEX(DataOB[],FirstRow+ROW()-7,6),"")</f>
        <v/>
      </c>
      <c r="F199" s="103" t="str">
        <f>IF($B199&lt;&gt;"",INDEX(DataOB[],FirstRow+ROW()-7,5),"")</f>
        <v/>
      </c>
      <c r="G199" s="58">
        <f>IF($B199&lt;&gt;"",SUMIFS(DataAct_tbl[AMOUNT],DataAct_tbl[BG CODE],Detail!$D199,DataAct_tbl[MONTH],LEFT(MonthName,3),DataAct_tbl[Dept code],$B199),0)</f>
        <v>0</v>
      </c>
      <c r="H199" s="31" t="str">
        <f t="shared" ref="H199:H262" si="34">INDEX($T$7:$AE$1005,ROW()-6,MATCH(MonthName,$T$6:$AE$6,0))</f>
        <v/>
      </c>
      <c r="I199" s="28" t="str">
        <f t="shared" si="26"/>
        <v/>
      </c>
      <c r="J199" s="32" t="str">
        <f t="shared" si="27"/>
        <v/>
      </c>
      <c r="K199" s="86"/>
      <c r="L199" s="62">
        <f>IF($B199&lt;&gt;"",SUMIFS(DataAct_tbl[AMOUNT],DataAct_tbl[BG CODE],Detail!$D199,DataAct_tbl[Check Range],"=true",DataAct_tbl[Dept code],$B199),0)</f>
        <v>0</v>
      </c>
      <c r="M199" s="63">
        <f>INDEX($AG$7:$AR$1005,ROW()-6,MATCH(MTD,$AG$6:$AR$6,0))</f>
        <v>0</v>
      </c>
      <c r="N199" s="34">
        <f t="shared" si="28"/>
        <v>0</v>
      </c>
      <c r="O199" s="64" t="str">
        <f t="shared" si="29"/>
        <v xml:space="preserve"> </v>
      </c>
      <c r="Q199" s="97">
        <f t="shared" si="30"/>
        <v>0</v>
      </c>
      <c r="R199" s="96">
        <f t="shared" si="31"/>
        <v>0</v>
      </c>
      <c r="T199" s="67" t="str">
        <f>IF($B199&lt;&gt;"",INDEX(DataOB[],FirstRow+ROW()-7,MATCH(T$6,DataOB[#Headers],0)),"")</f>
        <v/>
      </c>
      <c r="U199" s="67" t="str">
        <f>IF($B199&lt;&gt;"",INDEX(DataOB[],FirstRow+ROW()-7,MATCH(U$6,DataOB[#Headers],0)),"")</f>
        <v/>
      </c>
      <c r="V199" s="67" t="str">
        <f>IF($B199&lt;&gt;"",INDEX(DataOB[],FirstRow+ROW()-7,MATCH(V$6,DataOB[#Headers],0)),"")</f>
        <v/>
      </c>
      <c r="W199" s="67" t="str">
        <f>IF($B199&lt;&gt;"",INDEX(DataOB[],FirstRow+ROW()-7,MATCH(W$6,DataOB[#Headers],0)),"")</f>
        <v/>
      </c>
      <c r="X199" s="67" t="str">
        <f>IF($B199&lt;&gt;"",INDEX(DataOB[],FirstRow+ROW()-7,MATCH(X$6,DataOB[#Headers],0)),"")</f>
        <v/>
      </c>
      <c r="Y199" s="67" t="str">
        <f>IF($B199&lt;&gt;"",INDEX(DataOB[],FirstRow+ROW()-7,MATCH(Y$6,DataOB[#Headers],0)),"")</f>
        <v/>
      </c>
      <c r="Z199" s="67" t="str">
        <f>IF($B199&lt;&gt;"",INDEX(DataOB[],FirstRow+ROW()-7,MATCH(Z$6,DataOB[#Headers],0)),"")</f>
        <v/>
      </c>
      <c r="AA199" s="67" t="str">
        <f>IF($B199&lt;&gt;"",INDEX(DataOB[],FirstRow+ROW()-7,MATCH(AA$6,DataOB[#Headers],0)),"")</f>
        <v/>
      </c>
      <c r="AB199" s="67" t="str">
        <f>IF($B199&lt;&gt;"",INDEX(DataOB[],FirstRow+ROW()-7,MATCH(AB$6,DataOB[#Headers],0)),"")</f>
        <v/>
      </c>
      <c r="AC199" s="67" t="str">
        <f>IF($B199&lt;&gt;"",INDEX(DataOB[],FirstRow+ROW()-7,MATCH(AC$6,DataOB[#Headers],0)),"")</f>
        <v/>
      </c>
      <c r="AD199" s="67" t="str">
        <f>IF($B199&lt;&gt;"",INDEX(DataOB[],FirstRow+ROW()-7,MATCH(AD$6,DataOB[#Headers],0)),"")</f>
        <v/>
      </c>
      <c r="AE199" s="67" t="str">
        <f>IF($B199&lt;&gt;"",INDEX(DataOB[],FirstRow+ROW()-7,MATCH(AE$6,DataOB[#Headers],0)),"")</f>
        <v/>
      </c>
      <c r="AF199" s="26">
        <f t="shared" si="32"/>
        <v>0</v>
      </c>
      <c r="AG199" s="31">
        <f>SUM($T199:T199)</f>
        <v>0</v>
      </c>
      <c r="AH199" s="31">
        <f>SUM($T199:U199)</f>
        <v>0</v>
      </c>
      <c r="AI199" s="31">
        <f>SUM($T199:V199)</f>
        <v>0</v>
      </c>
      <c r="AJ199" s="31">
        <f>SUM($T199:W199)</f>
        <v>0</v>
      </c>
      <c r="AK199" s="31">
        <f>SUM($T199:X199)</f>
        <v>0</v>
      </c>
      <c r="AL199" s="31">
        <f>SUM($T199:Y199)</f>
        <v>0</v>
      </c>
      <c r="AM199" s="31">
        <f>SUM($T199:Z199)</f>
        <v>0</v>
      </c>
      <c r="AN199" s="31">
        <f>SUM($T199:AA199)</f>
        <v>0</v>
      </c>
      <c r="AO199" s="31">
        <f>SUM($T199:AB199)</f>
        <v>0</v>
      </c>
      <c r="AP199" s="31">
        <f>SUM($T199:AC199)</f>
        <v>0</v>
      </c>
      <c r="AQ199" s="31">
        <f>SUM($T199:AD199)</f>
        <v>0</v>
      </c>
      <c r="AR199" s="31">
        <f>SUM($T199:AE199)</f>
        <v>0</v>
      </c>
      <c r="AS199" s="27">
        <f t="shared" si="33"/>
        <v>0</v>
      </c>
    </row>
    <row r="200" spans="2:45">
      <c r="B200" s="102" t="str">
        <f>IF(ROW()-6&gt;NumCostCenter,"",IF(CostCenter&lt;&gt;"ALL",CostCenter,DATA_LF2!B198))</f>
        <v/>
      </c>
      <c r="C200" s="153" t="str">
        <f>IF($B200&lt;&gt;"",INDEX(DataOB[],FirstRow+ROW()-7,2),"")</f>
        <v/>
      </c>
      <c r="D200" s="66" t="str">
        <f>IF($B200&lt;&gt;"",INDEX(DataOB[],FirstRow+ROW()-7,3),"")</f>
        <v/>
      </c>
      <c r="E200" s="103" t="str">
        <f>IF($B200&lt;&gt;"",INDEX(DataOB[],FirstRow+ROW()-7,6),"")</f>
        <v/>
      </c>
      <c r="F200" s="103" t="str">
        <f>IF($B200&lt;&gt;"",INDEX(DataOB[],FirstRow+ROW()-7,5),"")</f>
        <v/>
      </c>
      <c r="G200" s="58">
        <f>IF($B200&lt;&gt;"",SUMIFS(DataAct_tbl[AMOUNT],DataAct_tbl[BG CODE],Detail!$D200,DataAct_tbl[MONTH],LEFT(MonthName,3),DataAct_tbl[Dept code],$B200),0)</f>
        <v>0</v>
      </c>
      <c r="H200" s="31" t="str">
        <f t="shared" si="34"/>
        <v/>
      </c>
      <c r="I200" s="28" t="str">
        <f t="shared" ref="I200:I263" si="35">IFERROR(+G200-H200,"")</f>
        <v/>
      </c>
      <c r="J200" s="32" t="str">
        <f t="shared" ref="J200:J263" si="36">IFERROR(+IF(H200&gt;0,G200/H200," "),"")</f>
        <v/>
      </c>
      <c r="K200" s="86"/>
      <c r="L200" s="62">
        <f>IF($B200&lt;&gt;"",SUMIFS(DataAct_tbl[AMOUNT],DataAct_tbl[BG CODE],Detail!$D200,DataAct_tbl[Check Range],"=true",DataAct_tbl[Dept code],$B200),0)</f>
        <v>0</v>
      </c>
      <c r="M200" s="63">
        <f>INDEX($AG$7:$AR$1005,ROW()-6,MATCH(MTD,$AG$6:$AR$6,0))</f>
        <v>0</v>
      </c>
      <c r="N200" s="34">
        <f t="shared" ref="N200:N263" si="37">IFERROR(+L200-M200,"")</f>
        <v>0</v>
      </c>
      <c r="O200" s="64" t="str">
        <f t="shared" ref="O200:O263" si="38">IFERROR(+IF(M200&gt;0,L200/M200," "),"")</f>
        <v xml:space="preserve"> </v>
      </c>
      <c r="Q200" s="97">
        <f t="shared" ref="Q200:Q263" si="39">AF200</f>
        <v>0</v>
      </c>
      <c r="R200" s="96">
        <f t="shared" ref="R200:R263" si="40">Q200-L200</f>
        <v>0</v>
      </c>
      <c r="T200" s="67" t="str">
        <f>IF($B200&lt;&gt;"",INDEX(DataOB[],FirstRow+ROW()-7,MATCH(T$6,DataOB[#Headers],0)),"")</f>
        <v/>
      </c>
      <c r="U200" s="67" t="str">
        <f>IF($B200&lt;&gt;"",INDEX(DataOB[],FirstRow+ROW()-7,MATCH(U$6,DataOB[#Headers],0)),"")</f>
        <v/>
      </c>
      <c r="V200" s="67" t="str">
        <f>IF($B200&lt;&gt;"",INDEX(DataOB[],FirstRow+ROW()-7,MATCH(V$6,DataOB[#Headers],0)),"")</f>
        <v/>
      </c>
      <c r="W200" s="67" t="str">
        <f>IF($B200&lt;&gt;"",INDEX(DataOB[],FirstRow+ROW()-7,MATCH(W$6,DataOB[#Headers],0)),"")</f>
        <v/>
      </c>
      <c r="X200" s="67" t="str">
        <f>IF($B200&lt;&gt;"",INDEX(DataOB[],FirstRow+ROW()-7,MATCH(X$6,DataOB[#Headers],0)),"")</f>
        <v/>
      </c>
      <c r="Y200" s="67" t="str">
        <f>IF($B200&lt;&gt;"",INDEX(DataOB[],FirstRow+ROW()-7,MATCH(Y$6,DataOB[#Headers],0)),"")</f>
        <v/>
      </c>
      <c r="Z200" s="67" t="str">
        <f>IF($B200&lt;&gt;"",INDEX(DataOB[],FirstRow+ROW()-7,MATCH(Z$6,DataOB[#Headers],0)),"")</f>
        <v/>
      </c>
      <c r="AA200" s="67" t="str">
        <f>IF($B200&lt;&gt;"",INDEX(DataOB[],FirstRow+ROW()-7,MATCH(AA$6,DataOB[#Headers],0)),"")</f>
        <v/>
      </c>
      <c r="AB200" s="67" t="str">
        <f>IF($B200&lt;&gt;"",INDEX(DataOB[],FirstRow+ROW()-7,MATCH(AB$6,DataOB[#Headers],0)),"")</f>
        <v/>
      </c>
      <c r="AC200" s="67" t="str">
        <f>IF($B200&lt;&gt;"",INDEX(DataOB[],FirstRow+ROW()-7,MATCH(AC$6,DataOB[#Headers],0)),"")</f>
        <v/>
      </c>
      <c r="AD200" s="67" t="str">
        <f>IF($B200&lt;&gt;"",INDEX(DataOB[],FirstRow+ROW()-7,MATCH(AD$6,DataOB[#Headers],0)),"")</f>
        <v/>
      </c>
      <c r="AE200" s="67" t="str">
        <f>IF($B200&lt;&gt;"",INDEX(DataOB[],FirstRow+ROW()-7,MATCH(AE$6,DataOB[#Headers],0)),"")</f>
        <v/>
      </c>
      <c r="AF200" s="26">
        <f t="shared" ref="AF200:AF263" si="41">+SUM(T200:AE200)</f>
        <v>0</v>
      </c>
      <c r="AG200" s="31">
        <f>SUM($T200:T200)</f>
        <v>0</v>
      </c>
      <c r="AH200" s="31">
        <f>SUM($T200:U200)</f>
        <v>0</v>
      </c>
      <c r="AI200" s="31">
        <f>SUM($T200:V200)</f>
        <v>0</v>
      </c>
      <c r="AJ200" s="31">
        <f>SUM($T200:W200)</f>
        <v>0</v>
      </c>
      <c r="AK200" s="31">
        <f>SUM($T200:X200)</f>
        <v>0</v>
      </c>
      <c r="AL200" s="31">
        <f>SUM($T200:Y200)</f>
        <v>0</v>
      </c>
      <c r="AM200" s="31">
        <f>SUM($T200:Z200)</f>
        <v>0</v>
      </c>
      <c r="AN200" s="31">
        <f>SUM($T200:AA200)</f>
        <v>0</v>
      </c>
      <c r="AO200" s="31">
        <f>SUM($T200:AB200)</f>
        <v>0</v>
      </c>
      <c r="AP200" s="31">
        <f>SUM($T200:AC200)</f>
        <v>0</v>
      </c>
      <c r="AQ200" s="31">
        <f>SUM($T200:AD200)</f>
        <v>0</v>
      </c>
      <c r="AR200" s="31">
        <f>SUM($T200:AE200)</f>
        <v>0</v>
      </c>
      <c r="AS200" s="27">
        <f t="shared" ref="AS200:AS263" si="42">AF200-AR200</f>
        <v>0</v>
      </c>
    </row>
    <row r="201" spans="2:45">
      <c r="B201" s="102" t="str">
        <f>IF(ROW()-6&gt;NumCostCenter,"",IF(CostCenter&lt;&gt;"ALL",CostCenter,DATA_LF2!B199))</f>
        <v/>
      </c>
      <c r="C201" s="153" t="str">
        <f>IF($B201&lt;&gt;"",INDEX(DataOB[],FirstRow+ROW()-7,2),"")</f>
        <v/>
      </c>
      <c r="D201" s="66" t="str">
        <f>IF($B201&lt;&gt;"",INDEX(DataOB[],FirstRow+ROW()-7,3),"")</f>
        <v/>
      </c>
      <c r="E201" s="103" t="str">
        <f>IF($B201&lt;&gt;"",INDEX(DataOB[],FirstRow+ROW()-7,6),"")</f>
        <v/>
      </c>
      <c r="F201" s="103" t="str">
        <f>IF($B201&lt;&gt;"",INDEX(DataOB[],FirstRow+ROW()-7,5),"")</f>
        <v/>
      </c>
      <c r="G201" s="58">
        <f>IF($B201&lt;&gt;"",SUMIFS(DataAct_tbl[AMOUNT],DataAct_tbl[BG CODE],Detail!$D201,DataAct_tbl[MONTH],LEFT(MonthName,3),DataAct_tbl[Dept code],$B201),0)</f>
        <v>0</v>
      </c>
      <c r="H201" s="31" t="str">
        <f t="shared" si="34"/>
        <v/>
      </c>
      <c r="I201" s="28" t="str">
        <f t="shared" si="35"/>
        <v/>
      </c>
      <c r="J201" s="32" t="str">
        <f t="shared" si="36"/>
        <v/>
      </c>
      <c r="K201" s="86"/>
      <c r="L201" s="62">
        <f>IF($B201&lt;&gt;"",SUMIFS(DataAct_tbl[AMOUNT],DataAct_tbl[BG CODE],Detail!$D201,DataAct_tbl[Check Range],"=true",DataAct_tbl[Dept code],$B201),0)</f>
        <v>0</v>
      </c>
      <c r="M201" s="63">
        <f>INDEX($AG$7:$AR$1005,ROW()-6,MATCH(MTD,$AG$6:$AR$6,0))</f>
        <v>0</v>
      </c>
      <c r="N201" s="34">
        <f t="shared" si="37"/>
        <v>0</v>
      </c>
      <c r="O201" s="64" t="str">
        <f t="shared" si="38"/>
        <v xml:space="preserve"> </v>
      </c>
      <c r="Q201" s="97">
        <f t="shared" si="39"/>
        <v>0</v>
      </c>
      <c r="R201" s="96">
        <f t="shared" si="40"/>
        <v>0</v>
      </c>
      <c r="T201" s="67" t="str">
        <f>IF($B201&lt;&gt;"",INDEX(DataOB[],FirstRow+ROW()-7,MATCH(T$6,DataOB[#Headers],0)),"")</f>
        <v/>
      </c>
      <c r="U201" s="67" t="str">
        <f>IF($B201&lt;&gt;"",INDEX(DataOB[],FirstRow+ROW()-7,MATCH(U$6,DataOB[#Headers],0)),"")</f>
        <v/>
      </c>
      <c r="V201" s="67" t="str">
        <f>IF($B201&lt;&gt;"",INDEX(DataOB[],FirstRow+ROW()-7,MATCH(V$6,DataOB[#Headers],0)),"")</f>
        <v/>
      </c>
      <c r="W201" s="67" t="str">
        <f>IF($B201&lt;&gt;"",INDEX(DataOB[],FirstRow+ROW()-7,MATCH(W$6,DataOB[#Headers],0)),"")</f>
        <v/>
      </c>
      <c r="X201" s="67" t="str">
        <f>IF($B201&lt;&gt;"",INDEX(DataOB[],FirstRow+ROW()-7,MATCH(X$6,DataOB[#Headers],0)),"")</f>
        <v/>
      </c>
      <c r="Y201" s="67" t="str">
        <f>IF($B201&lt;&gt;"",INDEX(DataOB[],FirstRow+ROW()-7,MATCH(Y$6,DataOB[#Headers],0)),"")</f>
        <v/>
      </c>
      <c r="Z201" s="67" t="str">
        <f>IF($B201&lt;&gt;"",INDEX(DataOB[],FirstRow+ROW()-7,MATCH(Z$6,DataOB[#Headers],0)),"")</f>
        <v/>
      </c>
      <c r="AA201" s="67" t="str">
        <f>IF($B201&lt;&gt;"",INDEX(DataOB[],FirstRow+ROW()-7,MATCH(AA$6,DataOB[#Headers],0)),"")</f>
        <v/>
      </c>
      <c r="AB201" s="67" t="str">
        <f>IF($B201&lt;&gt;"",INDEX(DataOB[],FirstRow+ROW()-7,MATCH(AB$6,DataOB[#Headers],0)),"")</f>
        <v/>
      </c>
      <c r="AC201" s="67" t="str">
        <f>IF($B201&lt;&gt;"",INDEX(DataOB[],FirstRow+ROW()-7,MATCH(AC$6,DataOB[#Headers],0)),"")</f>
        <v/>
      </c>
      <c r="AD201" s="67" t="str">
        <f>IF($B201&lt;&gt;"",INDEX(DataOB[],FirstRow+ROW()-7,MATCH(AD$6,DataOB[#Headers],0)),"")</f>
        <v/>
      </c>
      <c r="AE201" s="67" t="str">
        <f>IF($B201&lt;&gt;"",INDEX(DataOB[],FirstRow+ROW()-7,MATCH(AE$6,DataOB[#Headers],0)),"")</f>
        <v/>
      </c>
      <c r="AF201" s="26">
        <f t="shared" si="41"/>
        <v>0</v>
      </c>
      <c r="AG201" s="31">
        <f>SUM($T201:T201)</f>
        <v>0</v>
      </c>
      <c r="AH201" s="31">
        <f>SUM($T201:U201)</f>
        <v>0</v>
      </c>
      <c r="AI201" s="31">
        <f>SUM($T201:V201)</f>
        <v>0</v>
      </c>
      <c r="AJ201" s="31">
        <f>SUM($T201:W201)</f>
        <v>0</v>
      </c>
      <c r="AK201" s="31">
        <f>SUM($T201:X201)</f>
        <v>0</v>
      </c>
      <c r="AL201" s="31">
        <f>SUM($T201:Y201)</f>
        <v>0</v>
      </c>
      <c r="AM201" s="31">
        <f>SUM($T201:Z201)</f>
        <v>0</v>
      </c>
      <c r="AN201" s="31">
        <f>SUM($T201:AA201)</f>
        <v>0</v>
      </c>
      <c r="AO201" s="31">
        <f>SUM($T201:AB201)</f>
        <v>0</v>
      </c>
      <c r="AP201" s="31">
        <f>SUM($T201:AC201)</f>
        <v>0</v>
      </c>
      <c r="AQ201" s="31">
        <f>SUM($T201:AD201)</f>
        <v>0</v>
      </c>
      <c r="AR201" s="31">
        <f>SUM($T201:AE201)</f>
        <v>0</v>
      </c>
      <c r="AS201" s="27">
        <f t="shared" si="42"/>
        <v>0</v>
      </c>
    </row>
    <row r="202" spans="2:45">
      <c r="B202" s="102" t="str">
        <f>IF(ROW()-6&gt;NumCostCenter,"",IF(CostCenter&lt;&gt;"ALL",CostCenter,DATA_LF2!B200))</f>
        <v/>
      </c>
      <c r="C202" s="153" t="str">
        <f>IF($B202&lt;&gt;"",INDEX(DataOB[],FirstRow+ROW()-7,2),"")</f>
        <v/>
      </c>
      <c r="D202" s="66" t="str">
        <f>IF($B202&lt;&gt;"",INDEX(DataOB[],FirstRow+ROW()-7,3),"")</f>
        <v/>
      </c>
      <c r="E202" s="103" t="str">
        <f>IF($B202&lt;&gt;"",INDEX(DataOB[],FirstRow+ROW()-7,6),"")</f>
        <v/>
      </c>
      <c r="F202" s="103" t="str">
        <f>IF($B202&lt;&gt;"",INDEX(DataOB[],FirstRow+ROW()-7,5),"")</f>
        <v/>
      </c>
      <c r="G202" s="58">
        <f>IF($B202&lt;&gt;"",SUMIFS(DataAct_tbl[AMOUNT],DataAct_tbl[BG CODE],Detail!$D202,DataAct_tbl[MONTH],LEFT(MonthName,3),DataAct_tbl[Dept code],$B202),0)</f>
        <v>0</v>
      </c>
      <c r="H202" s="31" t="str">
        <f t="shared" si="34"/>
        <v/>
      </c>
      <c r="I202" s="28" t="str">
        <f t="shared" si="35"/>
        <v/>
      </c>
      <c r="J202" s="32" t="str">
        <f t="shared" si="36"/>
        <v/>
      </c>
      <c r="K202" s="86"/>
      <c r="L202" s="62">
        <f>IF($B202&lt;&gt;"",SUMIFS(DataAct_tbl[AMOUNT],DataAct_tbl[BG CODE],Detail!$D202,DataAct_tbl[Check Range],"=true",DataAct_tbl[Dept code],$B202),0)</f>
        <v>0</v>
      </c>
      <c r="M202" s="63">
        <f>INDEX($AG$7:$AR$1005,ROW()-6,MATCH(MTD,$AG$6:$AR$6,0))</f>
        <v>0</v>
      </c>
      <c r="N202" s="34">
        <f t="shared" si="37"/>
        <v>0</v>
      </c>
      <c r="O202" s="64" t="str">
        <f t="shared" si="38"/>
        <v xml:space="preserve"> </v>
      </c>
      <c r="Q202" s="97">
        <f t="shared" si="39"/>
        <v>0</v>
      </c>
      <c r="R202" s="96">
        <f t="shared" si="40"/>
        <v>0</v>
      </c>
      <c r="T202" s="67" t="str">
        <f>IF($B202&lt;&gt;"",INDEX(DataOB[],FirstRow+ROW()-7,MATCH(T$6,DataOB[#Headers],0)),"")</f>
        <v/>
      </c>
      <c r="U202" s="67" t="str">
        <f>IF($B202&lt;&gt;"",INDEX(DataOB[],FirstRow+ROW()-7,MATCH(U$6,DataOB[#Headers],0)),"")</f>
        <v/>
      </c>
      <c r="V202" s="67" t="str">
        <f>IF($B202&lt;&gt;"",INDEX(DataOB[],FirstRow+ROW()-7,MATCH(V$6,DataOB[#Headers],0)),"")</f>
        <v/>
      </c>
      <c r="W202" s="67" t="str">
        <f>IF($B202&lt;&gt;"",INDEX(DataOB[],FirstRow+ROW()-7,MATCH(W$6,DataOB[#Headers],0)),"")</f>
        <v/>
      </c>
      <c r="X202" s="67" t="str">
        <f>IF($B202&lt;&gt;"",INDEX(DataOB[],FirstRow+ROW()-7,MATCH(X$6,DataOB[#Headers],0)),"")</f>
        <v/>
      </c>
      <c r="Y202" s="67" t="str">
        <f>IF($B202&lt;&gt;"",INDEX(DataOB[],FirstRow+ROW()-7,MATCH(Y$6,DataOB[#Headers],0)),"")</f>
        <v/>
      </c>
      <c r="Z202" s="67" t="str">
        <f>IF($B202&lt;&gt;"",INDEX(DataOB[],FirstRow+ROW()-7,MATCH(Z$6,DataOB[#Headers],0)),"")</f>
        <v/>
      </c>
      <c r="AA202" s="67" t="str">
        <f>IF($B202&lt;&gt;"",INDEX(DataOB[],FirstRow+ROW()-7,MATCH(AA$6,DataOB[#Headers],0)),"")</f>
        <v/>
      </c>
      <c r="AB202" s="67" t="str">
        <f>IF($B202&lt;&gt;"",INDEX(DataOB[],FirstRow+ROW()-7,MATCH(AB$6,DataOB[#Headers],0)),"")</f>
        <v/>
      </c>
      <c r="AC202" s="67" t="str">
        <f>IF($B202&lt;&gt;"",INDEX(DataOB[],FirstRow+ROW()-7,MATCH(AC$6,DataOB[#Headers],0)),"")</f>
        <v/>
      </c>
      <c r="AD202" s="67" t="str">
        <f>IF($B202&lt;&gt;"",INDEX(DataOB[],FirstRow+ROW()-7,MATCH(AD$6,DataOB[#Headers],0)),"")</f>
        <v/>
      </c>
      <c r="AE202" s="67" t="str">
        <f>IF($B202&lt;&gt;"",INDEX(DataOB[],FirstRow+ROW()-7,MATCH(AE$6,DataOB[#Headers],0)),"")</f>
        <v/>
      </c>
      <c r="AF202" s="26">
        <f t="shared" si="41"/>
        <v>0</v>
      </c>
      <c r="AG202" s="31">
        <f>SUM($T202:T202)</f>
        <v>0</v>
      </c>
      <c r="AH202" s="31">
        <f>SUM($T202:U202)</f>
        <v>0</v>
      </c>
      <c r="AI202" s="31">
        <f>SUM($T202:V202)</f>
        <v>0</v>
      </c>
      <c r="AJ202" s="31">
        <f>SUM($T202:W202)</f>
        <v>0</v>
      </c>
      <c r="AK202" s="31">
        <f>SUM($T202:X202)</f>
        <v>0</v>
      </c>
      <c r="AL202" s="31">
        <f>SUM($T202:Y202)</f>
        <v>0</v>
      </c>
      <c r="AM202" s="31">
        <f>SUM($T202:Z202)</f>
        <v>0</v>
      </c>
      <c r="AN202" s="31">
        <f>SUM($T202:AA202)</f>
        <v>0</v>
      </c>
      <c r="AO202" s="31">
        <f>SUM($T202:AB202)</f>
        <v>0</v>
      </c>
      <c r="AP202" s="31">
        <f>SUM($T202:AC202)</f>
        <v>0</v>
      </c>
      <c r="AQ202" s="31">
        <f>SUM($T202:AD202)</f>
        <v>0</v>
      </c>
      <c r="AR202" s="31">
        <f>SUM($T202:AE202)</f>
        <v>0</v>
      </c>
      <c r="AS202" s="27">
        <f t="shared" si="42"/>
        <v>0</v>
      </c>
    </row>
    <row r="203" spans="2:45">
      <c r="B203" s="102" t="str">
        <f>IF(ROW()-6&gt;NumCostCenter,"",IF(CostCenter&lt;&gt;"ALL",CostCenter,DATA_LF2!B201))</f>
        <v/>
      </c>
      <c r="C203" s="153" t="str">
        <f>IF($B203&lt;&gt;"",INDEX(DataOB[],FirstRow+ROW()-7,2),"")</f>
        <v/>
      </c>
      <c r="D203" s="66" t="str">
        <f>IF($B203&lt;&gt;"",INDEX(DataOB[],FirstRow+ROW()-7,3),"")</f>
        <v/>
      </c>
      <c r="E203" s="103" t="str">
        <f>IF($B203&lt;&gt;"",INDEX(DataOB[],FirstRow+ROW()-7,6),"")</f>
        <v/>
      </c>
      <c r="F203" s="103" t="str">
        <f>IF($B203&lt;&gt;"",INDEX(DataOB[],FirstRow+ROW()-7,5),"")</f>
        <v/>
      </c>
      <c r="G203" s="58">
        <f>IF($B203&lt;&gt;"",SUMIFS(DataAct_tbl[AMOUNT],DataAct_tbl[BG CODE],Detail!$D203,DataAct_tbl[MONTH],LEFT(MonthName,3),DataAct_tbl[Dept code],$B203),0)</f>
        <v>0</v>
      </c>
      <c r="H203" s="31" t="str">
        <f t="shared" si="34"/>
        <v/>
      </c>
      <c r="I203" s="28" t="str">
        <f t="shared" si="35"/>
        <v/>
      </c>
      <c r="J203" s="32" t="str">
        <f t="shared" si="36"/>
        <v/>
      </c>
      <c r="K203" s="86"/>
      <c r="L203" s="62">
        <f>IF($B203&lt;&gt;"",SUMIFS(DataAct_tbl[AMOUNT],DataAct_tbl[BG CODE],Detail!$D203,DataAct_tbl[Check Range],"=true",DataAct_tbl[Dept code],$B203),0)</f>
        <v>0</v>
      </c>
      <c r="M203" s="63">
        <f>INDEX($AG$7:$AR$1005,ROW()-6,MATCH(MTD,$AG$6:$AR$6,0))</f>
        <v>0</v>
      </c>
      <c r="N203" s="34">
        <f t="shared" si="37"/>
        <v>0</v>
      </c>
      <c r="O203" s="64" t="str">
        <f t="shared" si="38"/>
        <v xml:space="preserve"> </v>
      </c>
      <c r="Q203" s="97">
        <f t="shared" si="39"/>
        <v>0</v>
      </c>
      <c r="R203" s="96">
        <f t="shared" si="40"/>
        <v>0</v>
      </c>
      <c r="T203" s="67" t="str">
        <f>IF($B203&lt;&gt;"",INDEX(DataOB[],FirstRow+ROW()-7,MATCH(T$6,DataOB[#Headers],0)),"")</f>
        <v/>
      </c>
      <c r="U203" s="67" t="str">
        <f>IF($B203&lt;&gt;"",INDEX(DataOB[],FirstRow+ROW()-7,MATCH(U$6,DataOB[#Headers],0)),"")</f>
        <v/>
      </c>
      <c r="V203" s="67" t="str">
        <f>IF($B203&lt;&gt;"",INDEX(DataOB[],FirstRow+ROW()-7,MATCH(V$6,DataOB[#Headers],0)),"")</f>
        <v/>
      </c>
      <c r="W203" s="67" t="str">
        <f>IF($B203&lt;&gt;"",INDEX(DataOB[],FirstRow+ROW()-7,MATCH(W$6,DataOB[#Headers],0)),"")</f>
        <v/>
      </c>
      <c r="X203" s="67" t="str">
        <f>IF($B203&lt;&gt;"",INDEX(DataOB[],FirstRow+ROW()-7,MATCH(X$6,DataOB[#Headers],0)),"")</f>
        <v/>
      </c>
      <c r="Y203" s="67" t="str">
        <f>IF($B203&lt;&gt;"",INDEX(DataOB[],FirstRow+ROW()-7,MATCH(Y$6,DataOB[#Headers],0)),"")</f>
        <v/>
      </c>
      <c r="Z203" s="67" t="str">
        <f>IF($B203&lt;&gt;"",INDEX(DataOB[],FirstRow+ROW()-7,MATCH(Z$6,DataOB[#Headers],0)),"")</f>
        <v/>
      </c>
      <c r="AA203" s="67" t="str">
        <f>IF($B203&lt;&gt;"",INDEX(DataOB[],FirstRow+ROW()-7,MATCH(AA$6,DataOB[#Headers],0)),"")</f>
        <v/>
      </c>
      <c r="AB203" s="67" t="str">
        <f>IF($B203&lt;&gt;"",INDEX(DataOB[],FirstRow+ROW()-7,MATCH(AB$6,DataOB[#Headers],0)),"")</f>
        <v/>
      </c>
      <c r="AC203" s="67" t="str">
        <f>IF($B203&lt;&gt;"",INDEX(DataOB[],FirstRow+ROW()-7,MATCH(AC$6,DataOB[#Headers],0)),"")</f>
        <v/>
      </c>
      <c r="AD203" s="67" t="str">
        <f>IF($B203&lt;&gt;"",INDEX(DataOB[],FirstRow+ROW()-7,MATCH(AD$6,DataOB[#Headers],0)),"")</f>
        <v/>
      </c>
      <c r="AE203" s="67" t="str">
        <f>IF($B203&lt;&gt;"",INDEX(DataOB[],FirstRow+ROW()-7,MATCH(AE$6,DataOB[#Headers],0)),"")</f>
        <v/>
      </c>
      <c r="AF203" s="26">
        <f t="shared" si="41"/>
        <v>0</v>
      </c>
      <c r="AG203" s="31">
        <f>SUM($T203:T203)</f>
        <v>0</v>
      </c>
      <c r="AH203" s="31">
        <f>SUM($T203:U203)</f>
        <v>0</v>
      </c>
      <c r="AI203" s="31">
        <f>SUM($T203:V203)</f>
        <v>0</v>
      </c>
      <c r="AJ203" s="31">
        <f>SUM($T203:W203)</f>
        <v>0</v>
      </c>
      <c r="AK203" s="31">
        <f>SUM($T203:X203)</f>
        <v>0</v>
      </c>
      <c r="AL203" s="31">
        <f>SUM($T203:Y203)</f>
        <v>0</v>
      </c>
      <c r="AM203" s="31">
        <f>SUM($T203:Z203)</f>
        <v>0</v>
      </c>
      <c r="AN203" s="31">
        <f>SUM($T203:AA203)</f>
        <v>0</v>
      </c>
      <c r="AO203" s="31">
        <f>SUM($T203:AB203)</f>
        <v>0</v>
      </c>
      <c r="AP203" s="31">
        <f>SUM($T203:AC203)</f>
        <v>0</v>
      </c>
      <c r="AQ203" s="31">
        <f>SUM($T203:AD203)</f>
        <v>0</v>
      </c>
      <c r="AR203" s="31">
        <f>SUM($T203:AE203)</f>
        <v>0</v>
      </c>
      <c r="AS203" s="27">
        <f t="shared" si="42"/>
        <v>0</v>
      </c>
    </row>
    <row r="204" spans="2:45">
      <c r="B204" s="102" t="str">
        <f>IF(ROW()-6&gt;NumCostCenter,"",IF(CostCenter&lt;&gt;"ALL",CostCenter,DATA_LF2!B202))</f>
        <v/>
      </c>
      <c r="C204" s="153" t="str">
        <f>IF($B204&lt;&gt;"",INDEX(DataOB[],FirstRow+ROW()-7,2),"")</f>
        <v/>
      </c>
      <c r="D204" s="66" t="str">
        <f>IF($B204&lt;&gt;"",INDEX(DataOB[],FirstRow+ROW()-7,3),"")</f>
        <v/>
      </c>
      <c r="E204" s="103" t="str">
        <f>IF($B204&lt;&gt;"",INDEX(DataOB[],FirstRow+ROW()-7,6),"")</f>
        <v/>
      </c>
      <c r="F204" s="103" t="str">
        <f>IF($B204&lt;&gt;"",INDEX(DataOB[],FirstRow+ROW()-7,5),"")</f>
        <v/>
      </c>
      <c r="G204" s="58">
        <f>IF($B204&lt;&gt;"",SUMIFS(DataAct_tbl[AMOUNT],DataAct_tbl[BG CODE],Detail!$D204,DataAct_tbl[MONTH],LEFT(MonthName,3),DataAct_tbl[Dept code],$B204),0)</f>
        <v>0</v>
      </c>
      <c r="H204" s="31" t="str">
        <f t="shared" si="34"/>
        <v/>
      </c>
      <c r="I204" s="28" t="str">
        <f t="shared" si="35"/>
        <v/>
      </c>
      <c r="J204" s="32" t="str">
        <f t="shared" si="36"/>
        <v/>
      </c>
      <c r="K204" s="86"/>
      <c r="L204" s="62">
        <f>IF($B204&lt;&gt;"",SUMIFS(DataAct_tbl[AMOUNT],DataAct_tbl[BG CODE],Detail!$D204,DataAct_tbl[Check Range],"=true",DataAct_tbl[Dept code],$B204),0)</f>
        <v>0</v>
      </c>
      <c r="M204" s="63">
        <f>INDEX($AG$7:$AR$1005,ROW()-6,MATCH(MTD,$AG$6:$AR$6,0))</f>
        <v>0</v>
      </c>
      <c r="N204" s="34">
        <f t="shared" si="37"/>
        <v>0</v>
      </c>
      <c r="O204" s="64" t="str">
        <f t="shared" si="38"/>
        <v xml:space="preserve"> </v>
      </c>
      <c r="Q204" s="97">
        <f t="shared" si="39"/>
        <v>0</v>
      </c>
      <c r="R204" s="96">
        <f t="shared" si="40"/>
        <v>0</v>
      </c>
      <c r="T204" s="67" t="str">
        <f>IF($B204&lt;&gt;"",INDEX(DataOB[],FirstRow+ROW()-7,MATCH(T$6,DataOB[#Headers],0)),"")</f>
        <v/>
      </c>
      <c r="U204" s="67" t="str">
        <f>IF($B204&lt;&gt;"",INDEX(DataOB[],FirstRow+ROW()-7,MATCH(U$6,DataOB[#Headers],0)),"")</f>
        <v/>
      </c>
      <c r="V204" s="67" t="str">
        <f>IF($B204&lt;&gt;"",INDEX(DataOB[],FirstRow+ROW()-7,MATCH(V$6,DataOB[#Headers],0)),"")</f>
        <v/>
      </c>
      <c r="W204" s="67" t="str">
        <f>IF($B204&lt;&gt;"",INDEX(DataOB[],FirstRow+ROW()-7,MATCH(W$6,DataOB[#Headers],0)),"")</f>
        <v/>
      </c>
      <c r="X204" s="67" t="str">
        <f>IF($B204&lt;&gt;"",INDEX(DataOB[],FirstRow+ROW()-7,MATCH(X$6,DataOB[#Headers],0)),"")</f>
        <v/>
      </c>
      <c r="Y204" s="67" t="str">
        <f>IF($B204&lt;&gt;"",INDEX(DataOB[],FirstRow+ROW()-7,MATCH(Y$6,DataOB[#Headers],0)),"")</f>
        <v/>
      </c>
      <c r="Z204" s="67" t="str">
        <f>IF($B204&lt;&gt;"",INDEX(DataOB[],FirstRow+ROW()-7,MATCH(Z$6,DataOB[#Headers],0)),"")</f>
        <v/>
      </c>
      <c r="AA204" s="67" t="str">
        <f>IF($B204&lt;&gt;"",INDEX(DataOB[],FirstRow+ROW()-7,MATCH(AA$6,DataOB[#Headers],0)),"")</f>
        <v/>
      </c>
      <c r="AB204" s="67" t="str">
        <f>IF($B204&lt;&gt;"",INDEX(DataOB[],FirstRow+ROW()-7,MATCH(AB$6,DataOB[#Headers],0)),"")</f>
        <v/>
      </c>
      <c r="AC204" s="67" t="str">
        <f>IF($B204&lt;&gt;"",INDEX(DataOB[],FirstRow+ROW()-7,MATCH(AC$6,DataOB[#Headers],0)),"")</f>
        <v/>
      </c>
      <c r="AD204" s="67" t="str">
        <f>IF($B204&lt;&gt;"",INDEX(DataOB[],FirstRow+ROW()-7,MATCH(AD$6,DataOB[#Headers],0)),"")</f>
        <v/>
      </c>
      <c r="AE204" s="67" t="str">
        <f>IF($B204&lt;&gt;"",INDEX(DataOB[],FirstRow+ROW()-7,MATCH(AE$6,DataOB[#Headers],0)),"")</f>
        <v/>
      </c>
      <c r="AF204" s="26">
        <f t="shared" si="41"/>
        <v>0</v>
      </c>
      <c r="AG204" s="31">
        <f>SUM($T204:T204)</f>
        <v>0</v>
      </c>
      <c r="AH204" s="31">
        <f>SUM($T204:U204)</f>
        <v>0</v>
      </c>
      <c r="AI204" s="31">
        <f>SUM($T204:V204)</f>
        <v>0</v>
      </c>
      <c r="AJ204" s="31">
        <f>SUM($T204:W204)</f>
        <v>0</v>
      </c>
      <c r="AK204" s="31">
        <f>SUM($T204:X204)</f>
        <v>0</v>
      </c>
      <c r="AL204" s="31">
        <f>SUM($T204:Y204)</f>
        <v>0</v>
      </c>
      <c r="AM204" s="31">
        <f>SUM($T204:Z204)</f>
        <v>0</v>
      </c>
      <c r="AN204" s="31">
        <f>SUM($T204:AA204)</f>
        <v>0</v>
      </c>
      <c r="AO204" s="31">
        <f>SUM($T204:AB204)</f>
        <v>0</v>
      </c>
      <c r="AP204" s="31">
        <f>SUM($T204:AC204)</f>
        <v>0</v>
      </c>
      <c r="AQ204" s="31">
        <f>SUM($T204:AD204)</f>
        <v>0</v>
      </c>
      <c r="AR204" s="31">
        <f>SUM($T204:AE204)</f>
        <v>0</v>
      </c>
      <c r="AS204" s="27">
        <f t="shared" si="42"/>
        <v>0</v>
      </c>
    </row>
    <row r="205" spans="2:45">
      <c r="B205" s="102" t="str">
        <f>IF(ROW()-6&gt;NumCostCenter,"",IF(CostCenter&lt;&gt;"ALL",CostCenter,DATA_LF2!B203))</f>
        <v/>
      </c>
      <c r="C205" s="153" t="str">
        <f>IF($B205&lt;&gt;"",INDEX(DataOB[],FirstRow+ROW()-7,2),"")</f>
        <v/>
      </c>
      <c r="D205" s="66" t="str">
        <f>IF($B205&lt;&gt;"",INDEX(DataOB[],FirstRow+ROW()-7,3),"")</f>
        <v/>
      </c>
      <c r="E205" s="103" t="str">
        <f>IF($B205&lt;&gt;"",INDEX(DataOB[],FirstRow+ROW()-7,6),"")</f>
        <v/>
      </c>
      <c r="F205" s="103" t="str">
        <f>IF($B205&lt;&gt;"",INDEX(DataOB[],FirstRow+ROW()-7,5),"")</f>
        <v/>
      </c>
      <c r="G205" s="58">
        <f>IF($B205&lt;&gt;"",SUMIFS(DataAct_tbl[AMOUNT],DataAct_tbl[BG CODE],Detail!$D205,DataAct_tbl[MONTH],LEFT(MonthName,3),DataAct_tbl[Dept code],$B205),0)</f>
        <v>0</v>
      </c>
      <c r="H205" s="31" t="str">
        <f t="shared" si="34"/>
        <v/>
      </c>
      <c r="I205" s="28" t="str">
        <f t="shared" si="35"/>
        <v/>
      </c>
      <c r="J205" s="32" t="str">
        <f t="shared" si="36"/>
        <v/>
      </c>
      <c r="K205" s="86"/>
      <c r="L205" s="62">
        <f>IF($B205&lt;&gt;"",SUMIFS(DataAct_tbl[AMOUNT],DataAct_tbl[BG CODE],Detail!$D205,DataAct_tbl[Check Range],"=true",DataAct_tbl[Dept code],$B205),0)</f>
        <v>0</v>
      </c>
      <c r="M205" s="63">
        <f>INDEX($AG$7:$AR$1005,ROW()-6,MATCH(MTD,$AG$6:$AR$6,0))</f>
        <v>0</v>
      </c>
      <c r="N205" s="34">
        <f t="shared" si="37"/>
        <v>0</v>
      </c>
      <c r="O205" s="64" t="str">
        <f t="shared" si="38"/>
        <v xml:space="preserve"> </v>
      </c>
      <c r="Q205" s="97">
        <f t="shared" si="39"/>
        <v>0</v>
      </c>
      <c r="R205" s="96">
        <f t="shared" si="40"/>
        <v>0</v>
      </c>
      <c r="T205" s="67" t="str">
        <f>IF($B205&lt;&gt;"",INDEX(DataOB[],FirstRow+ROW()-7,MATCH(T$6,DataOB[#Headers],0)),"")</f>
        <v/>
      </c>
      <c r="U205" s="67" t="str">
        <f>IF($B205&lt;&gt;"",INDEX(DataOB[],FirstRow+ROW()-7,MATCH(U$6,DataOB[#Headers],0)),"")</f>
        <v/>
      </c>
      <c r="V205" s="67" t="str">
        <f>IF($B205&lt;&gt;"",INDEX(DataOB[],FirstRow+ROW()-7,MATCH(V$6,DataOB[#Headers],0)),"")</f>
        <v/>
      </c>
      <c r="W205" s="67" t="str">
        <f>IF($B205&lt;&gt;"",INDEX(DataOB[],FirstRow+ROW()-7,MATCH(W$6,DataOB[#Headers],0)),"")</f>
        <v/>
      </c>
      <c r="X205" s="67" t="str">
        <f>IF($B205&lt;&gt;"",INDEX(DataOB[],FirstRow+ROW()-7,MATCH(X$6,DataOB[#Headers],0)),"")</f>
        <v/>
      </c>
      <c r="Y205" s="67" t="str">
        <f>IF($B205&lt;&gt;"",INDEX(DataOB[],FirstRow+ROW()-7,MATCH(Y$6,DataOB[#Headers],0)),"")</f>
        <v/>
      </c>
      <c r="Z205" s="67" t="str">
        <f>IF($B205&lt;&gt;"",INDEX(DataOB[],FirstRow+ROW()-7,MATCH(Z$6,DataOB[#Headers],0)),"")</f>
        <v/>
      </c>
      <c r="AA205" s="67" t="str">
        <f>IF($B205&lt;&gt;"",INDEX(DataOB[],FirstRow+ROW()-7,MATCH(AA$6,DataOB[#Headers],0)),"")</f>
        <v/>
      </c>
      <c r="AB205" s="67" t="str">
        <f>IF($B205&lt;&gt;"",INDEX(DataOB[],FirstRow+ROW()-7,MATCH(AB$6,DataOB[#Headers],0)),"")</f>
        <v/>
      </c>
      <c r="AC205" s="67" t="str">
        <f>IF($B205&lt;&gt;"",INDEX(DataOB[],FirstRow+ROW()-7,MATCH(AC$6,DataOB[#Headers],0)),"")</f>
        <v/>
      </c>
      <c r="AD205" s="67" t="str">
        <f>IF($B205&lt;&gt;"",INDEX(DataOB[],FirstRow+ROW()-7,MATCH(AD$6,DataOB[#Headers],0)),"")</f>
        <v/>
      </c>
      <c r="AE205" s="67" t="str">
        <f>IF($B205&lt;&gt;"",INDEX(DataOB[],FirstRow+ROW()-7,MATCH(AE$6,DataOB[#Headers],0)),"")</f>
        <v/>
      </c>
      <c r="AF205" s="26">
        <f t="shared" si="41"/>
        <v>0</v>
      </c>
      <c r="AG205" s="31">
        <f>SUM($T205:T205)</f>
        <v>0</v>
      </c>
      <c r="AH205" s="31">
        <f>SUM($T205:U205)</f>
        <v>0</v>
      </c>
      <c r="AI205" s="31">
        <f>SUM($T205:V205)</f>
        <v>0</v>
      </c>
      <c r="AJ205" s="31">
        <f>SUM($T205:W205)</f>
        <v>0</v>
      </c>
      <c r="AK205" s="31">
        <f>SUM($T205:X205)</f>
        <v>0</v>
      </c>
      <c r="AL205" s="31">
        <f>SUM($T205:Y205)</f>
        <v>0</v>
      </c>
      <c r="AM205" s="31">
        <f>SUM($T205:Z205)</f>
        <v>0</v>
      </c>
      <c r="AN205" s="31">
        <f>SUM($T205:AA205)</f>
        <v>0</v>
      </c>
      <c r="AO205" s="31">
        <f>SUM($T205:AB205)</f>
        <v>0</v>
      </c>
      <c r="AP205" s="31">
        <f>SUM($T205:AC205)</f>
        <v>0</v>
      </c>
      <c r="AQ205" s="31">
        <f>SUM($T205:AD205)</f>
        <v>0</v>
      </c>
      <c r="AR205" s="31">
        <f>SUM($T205:AE205)</f>
        <v>0</v>
      </c>
      <c r="AS205" s="27">
        <f t="shared" si="42"/>
        <v>0</v>
      </c>
    </row>
    <row r="206" spans="2:45">
      <c r="B206" s="102" t="str">
        <f>IF(ROW()-6&gt;NumCostCenter,"",IF(CostCenter&lt;&gt;"ALL",CostCenter,DATA_LF2!B204))</f>
        <v/>
      </c>
      <c r="C206" s="153" t="str">
        <f>IF($B206&lt;&gt;"",INDEX(DataOB[],FirstRow+ROW()-7,2),"")</f>
        <v/>
      </c>
      <c r="D206" s="66" t="str">
        <f>IF($B206&lt;&gt;"",INDEX(DataOB[],FirstRow+ROW()-7,3),"")</f>
        <v/>
      </c>
      <c r="E206" s="103" t="str">
        <f>IF($B206&lt;&gt;"",INDEX(DataOB[],FirstRow+ROW()-7,6),"")</f>
        <v/>
      </c>
      <c r="F206" s="103" t="str">
        <f>IF($B206&lt;&gt;"",INDEX(DataOB[],FirstRow+ROW()-7,5),"")</f>
        <v/>
      </c>
      <c r="G206" s="58">
        <f>IF($B206&lt;&gt;"",SUMIFS(DataAct_tbl[AMOUNT],DataAct_tbl[BG CODE],Detail!$D206,DataAct_tbl[MONTH],LEFT(MonthName,3),DataAct_tbl[Dept code],$B206),0)</f>
        <v>0</v>
      </c>
      <c r="H206" s="31" t="str">
        <f t="shared" si="34"/>
        <v/>
      </c>
      <c r="I206" s="28" t="str">
        <f t="shared" si="35"/>
        <v/>
      </c>
      <c r="J206" s="32" t="str">
        <f t="shared" si="36"/>
        <v/>
      </c>
      <c r="K206" s="86"/>
      <c r="L206" s="62">
        <f>IF($B206&lt;&gt;"",SUMIFS(DataAct_tbl[AMOUNT],DataAct_tbl[BG CODE],Detail!$D206,DataAct_tbl[Check Range],"=true",DataAct_tbl[Dept code],$B206),0)</f>
        <v>0</v>
      </c>
      <c r="M206" s="63">
        <f>INDEX($AG$7:$AR$1005,ROW()-6,MATCH(MTD,$AG$6:$AR$6,0))</f>
        <v>0</v>
      </c>
      <c r="N206" s="34">
        <f t="shared" si="37"/>
        <v>0</v>
      </c>
      <c r="O206" s="64" t="str">
        <f t="shared" si="38"/>
        <v xml:space="preserve"> </v>
      </c>
      <c r="Q206" s="97">
        <f t="shared" si="39"/>
        <v>0</v>
      </c>
      <c r="R206" s="96">
        <f t="shared" si="40"/>
        <v>0</v>
      </c>
      <c r="T206" s="67" t="str">
        <f>IF($B206&lt;&gt;"",INDEX(DataOB[],FirstRow+ROW()-7,MATCH(T$6,DataOB[#Headers],0)),"")</f>
        <v/>
      </c>
      <c r="U206" s="67" t="str">
        <f>IF($B206&lt;&gt;"",INDEX(DataOB[],FirstRow+ROW()-7,MATCH(U$6,DataOB[#Headers],0)),"")</f>
        <v/>
      </c>
      <c r="V206" s="67" t="str">
        <f>IF($B206&lt;&gt;"",INDEX(DataOB[],FirstRow+ROW()-7,MATCH(V$6,DataOB[#Headers],0)),"")</f>
        <v/>
      </c>
      <c r="W206" s="67" t="str">
        <f>IF($B206&lt;&gt;"",INDEX(DataOB[],FirstRow+ROW()-7,MATCH(W$6,DataOB[#Headers],0)),"")</f>
        <v/>
      </c>
      <c r="X206" s="67" t="str">
        <f>IF($B206&lt;&gt;"",INDEX(DataOB[],FirstRow+ROW()-7,MATCH(X$6,DataOB[#Headers],0)),"")</f>
        <v/>
      </c>
      <c r="Y206" s="67" t="str">
        <f>IF($B206&lt;&gt;"",INDEX(DataOB[],FirstRow+ROW()-7,MATCH(Y$6,DataOB[#Headers],0)),"")</f>
        <v/>
      </c>
      <c r="Z206" s="67" t="str">
        <f>IF($B206&lt;&gt;"",INDEX(DataOB[],FirstRow+ROW()-7,MATCH(Z$6,DataOB[#Headers],0)),"")</f>
        <v/>
      </c>
      <c r="AA206" s="67" t="str">
        <f>IF($B206&lt;&gt;"",INDEX(DataOB[],FirstRow+ROW()-7,MATCH(AA$6,DataOB[#Headers],0)),"")</f>
        <v/>
      </c>
      <c r="AB206" s="67" t="str">
        <f>IF($B206&lt;&gt;"",INDEX(DataOB[],FirstRow+ROW()-7,MATCH(AB$6,DataOB[#Headers],0)),"")</f>
        <v/>
      </c>
      <c r="AC206" s="67" t="str">
        <f>IF($B206&lt;&gt;"",INDEX(DataOB[],FirstRow+ROW()-7,MATCH(AC$6,DataOB[#Headers],0)),"")</f>
        <v/>
      </c>
      <c r="AD206" s="67" t="str">
        <f>IF($B206&lt;&gt;"",INDEX(DataOB[],FirstRow+ROW()-7,MATCH(AD$6,DataOB[#Headers],0)),"")</f>
        <v/>
      </c>
      <c r="AE206" s="67" t="str">
        <f>IF($B206&lt;&gt;"",INDEX(DataOB[],FirstRow+ROW()-7,MATCH(AE$6,DataOB[#Headers],0)),"")</f>
        <v/>
      </c>
      <c r="AF206" s="26">
        <f t="shared" si="41"/>
        <v>0</v>
      </c>
      <c r="AG206" s="31">
        <f>SUM($T206:T206)</f>
        <v>0</v>
      </c>
      <c r="AH206" s="31">
        <f>SUM($T206:U206)</f>
        <v>0</v>
      </c>
      <c r="AI206" s="31">
        <f>SUM($T206:V206)</f>
        <v>0</v>
      </c>
      <c r="AJ206" s="31">
        <f>SUM($T206:W206)</f>
        <v>0</v>
      </c>
      <c r="AK206" s="31">
        <f>SUM($T206:X206)</f>
        <v>0</v>
      </c>
      <c r="AL206" s="31">
        <f>SUM($T206:Y206)</f>
        <v>0</v>
      </c>
      <c r="AM206" s="31">
        <f>SUM($T206:Z206)</f>
        <v>0</v>
      </c>
      <c r="AN206" s="31">
        <f>SUM($T206:AA206)</f>
        <v>0</v>
      </c>
      <c r="AO206" s="31">
        <f>SUM($T206:AB206)</f>
        <v>0</v>
      </c>
      <c r="AP206" s="31">
        <f>SUM($T206:AC206)</f>
        <v>0</v>
      </c>
      <c r="AQ206" s="31">
        <f>SUM($T206:AD206)</f>
        <v>0</v>
      </c>
      <c r="AR206" s="31">
        <f>SUM($T206:AE206)</f>
        <v>0</v>
      </c>
      <c r="AS206" s="27">
        <f t="shared" si="42"/>
        <v>0</v>
      </c>
    </row>
    <row r="207" spans="2:45">
      <c r="B207" s="102" t="str">
        <f>IF(ROW()-6&gt;NumCostCenter,"",IF(CostCenter&lt;&gt;"ALL",CostCenter,DATA_LF2!B205))</f>
        <v/>
      </c>
      <c r="C207" s="153" t="str">
        <f>IF($B207&lt;&gt;"",INDEX(DataOB[],FirstRow+ROW()-7,2),"")</f>
        <v/>
      </c>
      <c r="D207" s="66" t="str">
        <f>IF($B207&lt;&gt;"",INDEX(DataOB[],FirstRow+ROW()-7,3),"")</f>
        <v/>
      </c>
      <c r="E207" s="103" t="str">
        <f>IF($B207&lt;&gt;"",INDEX(DataOB[],FirstRow+ROW()-7,6),"")</f>
        <v/>
      </c>
      <c r="F207" s="103" t="str">
        <f>IF($B207&lt;&gt;"",INDEX(DataOB[],FirstRow+ROW()-7,5),"")</f>
        <v/>
      </c>
      <c r="G207" s="58">
        <f>IF($B207&lt;&gt;"",SUMIFS(DataAct_tbl[AMOUNT],DataAct_tbl[BG CODE],Detail!$D207,DataAct_tbl[MONTH],LEFT(MonthName,3),DataAct_tbl[Dept code],$B207),0)</f>
        <v>0</v>
      </c>
      <c r="H207" s="31" t="str">
        <f t="shared" si="34"/>
        <v/>
      </c>
      <c r="I207" s="28" t="str">
        <f t="shared" si="35"/>
        <v/>
      </c>
      <c r="J207" s="32" t="str">
        <f t="shared" si="36"/>
        <v/>
      </c>
      <c r="K207" s="86"/>
      <c r="L207" s="62">
        <f>IF($B207&lt;&gt;"",SUMIFS(DataAct_tbl[AMOUNT],DataAct_tbl[BG CODE],Detail!$D207,DataAct_tbl[Check Range],"=true",DataAct_tbl[Dept code],$B207),0)</f>
        <v>0</v>
      </c>
      <c r="M207" s="63">
        <f>INDEX($AG$7:$AR$1005,ROW()-6,MATCH(MTD,$AG$6:$AR$6,0))</f>
        <v>0</v>
      </c>
      <c r="N207" s="34">
        <f t="shared" si="37"/>
        <v>0</v>
      </c>
      <c r="O207" s="64" t="str">
        <f t="shared" si="38"/>
        <v xml:space="preserve"> </v>
      </c>
      <c r="Q207" s="97">
        <f t="shared" si="39"/>
        <v>0</v>
      </c>
      <c r="R207" s="96">
        <f t="shared" si="40"/>
        <v>0</v>
      </c>
      <c r="T207" s="67" t="str">
        <f>IF($B207&lt;&gt;"",INDEX(DataOB[],FirstRow+ROW()-7,MATCH(T$6,DataOB[#Headers],0)),"")</f>
        <v/>
      </c>
      <c r="U207" s="67" t="str">
        <f>IF($B207&lt;&gt;"",INDEX(DataOB[],FirstRow+ROW()-7,MATCH(U$6,DataOB[#Headers],0)),"")</f>
        <v/>
      </c>
      <c r="V207" s="67" t="str">
        <f>IF($B207&lt;&gt;"",INDEX(DataOB[],FirstRow+ROW()-7,MATCH(V$6,DataOB[#Headers],0)),"")</f>
        <v/>
      </c>
      <c r="W207" s="67" t="str">
        <f>IF($B207&lt;&gt;"",INDEX(DataOB[],FirstRow+ROW()-7,MATCH(W$6,DataOB[#Headers],0)),"")</f>
        <v/>
      </c>
      <c r="X207" s="67" t="str">
        <f>IF($B207&lt;&gt;"",INDEX(DataOB[],FirstRow+ROW()-7,MATCH(X$6,DataOB[#Headers],0)),"")</f>
        <v/>
      </c>
      <c r="Y207" s="67" t="str">
        <f>IF($B207&lt;&gt;"",INDEX(DataOB[],FirstRow+ROW()-7,MATCH(Y$6,DataOB[#Headers],0)),"")</f>
        <v/>
      </c>
      <c r="Z207" s="67" t="str">
        <f>IF($B207&lt;&gt;"",INDEX(DataOB[],FirstRow+ROW()-7,MATCH(Z$6,DataOB[#Headers],0)),"")</f>
        <v/>
      </c>
      <c r="AA207" s="67" t="str">
        <f>IF($B207&lt;&gt;"",INDEX(DataOB[],FirstRow+ROW()-7,MATCH(AA$6,DataOB[#Headers],0)),"")</f>
        <v/>
      </c>
      <c r="AB207" s="67" t="str">
        <f>IF($B207&lt;&gt;"",INDEX(DataOB[],FirstRow+ROW()-7,MATCH(AB$6,DataOB[#Headers],0)),"")</f>
        <v/>
      </c>
      <c r="AC207" s="67" t="str">
        <f>IF($B207&lt;&gt;"",INDEX(DataOB[],FirstRow+ROW()-7,MATCH(AC$6,DataOB[#Headers],0)),"")</f>
        <v/>
      </c>
      <c r="AD207" s="67" t="str">
        <f>IF($B207&lt;&gt;"",INDEX(DataOB[],FirstRow+ROW()-7,MATCH(AD$6,DataOB[#Headers],0)),"")</f>
        <v/>
      </c>
      <c r="AE207" s="67" t="str">
        <f>IF($B207&lt;&gt;"",INDEX(DataOB[],FirstRow+ROW()-7,MATCH(AE$6,DataOB[#Headers],0)),"")</f>
        <v/>
      </c>
      <c r="AF207" s="26">
        <f t="shared" si="41"/>
        <v>0</v>
      </c>
      <c r="AG207" s="31">
        <f>SUM($T207:T207)</f>
        <v>0</v>
      </c>
      <c r="AH207" s="31">
        <f>SUM($T207:U207)</f>
        <v>0</v>
      </c>
      <c r="AI207" s="31">
        <f>SUM($T207:V207)</f>
        <v>0</v>
      </c>
      <c r="AJ207" s="31">
        <f>SUM($T207:W207)</f>
        <v>0</v>
      </c>
      <c r="AK207" s="31">
        <f>SUM($T207:X207)</f>
        <v>0</v>
      </c>
      <c r="AL207" s="31">
        <f>SUM($T207:Y207)</f>
        <v>0</v>
      </c>
      <c r="AM207" s="31">
        <f>SUM($T207:Z207)</f>
        <v>0</v>
      </c>
      <c r="AN207" s="31">
        <f>SUM($T207:AA207)</f>
        <v>0</v>
      </c>
      <c r="AO207" s="31">
        <f>SUM($T207:AB207)</f>
        <v>0</v>
      </c>
      <c r="AP207" s="31">
        <f>SUM($T207:AC207)</f>
        <v>0</v>
      </c>
      <c r="AQ207" s="31">
        <f>SUM($T207:AD207)</f>
        <v>0</v>
      </c>
      <c r="AR207" s="31">
        <f>SUM($T207:AE207)</f>
        <v>0</v>
      </c>
      <c r="AS207" s="27">
        <f t="shared" si="42"/>
        <v>0</v>
      </c>
    </row>
    <row r="208" spans="2:45">
      <c r="B208" s="102" t="str">
        <f>IF(ROW()-6&gt;NumCostCenter,"",IF(CostCenter&lt;&gt;"ALL",CostCenter,DATA_LF2!B206))</f>
        <v/>
      </c>
      <c r="C208" s="153" t="str">
        <f>IF($B208&lt;&gt;"",INDEX(DataOB[],FirstRow+ROW()-7,2),"")</f>
        <v/>
      </c>
      <c r="D208" s="66" t="str">
        <f>IF($B208&lt;&gt;"",INDEX(DataOB[],FirstRow+ROW()-7,3),"")</f>
        <v/>
      </c>
      <c r="E208" s="103" t="str">
        <f>IF($B208&lt;&gt;"",INDEX(DataOB[],FirstRow+ROW()-7,6),"")</f>
        <v/>
      </c>
      <c r="F208" s="103" t="str">
        <f>IF($B208&lt;&gt;"",INDEX(DataOB[],FirstRow+ROW()-7,5),"")</f>
        <v/>
      </c>
      <c r="G208" s="58">
        <f>IF($B208&lt;&gt;"",SUMIFS(DataAct_tbl[AMOUNT],DataAct_tbl[BG CODE],Detail!$D208,DataAct_tbl[MONTH],LEFT(MonthName,3),DataAct_tbl[Dept code],$B208),0)</f>
        <v>0</v>
      </c>
      <c r="H208" s="31" t="str">
        <f t="shared" si="34"/>
        <v/>
      </c>
      <c r="I208" s="28" t="str">
        <f t="shared" si="35"/>
        <v/>
      </c>
      <c r="J208" s="32" t="str">
        <f t="shared" si="36"/>
        <v/>
      </c>
      <c r="K208" s="86"/>
      <c r="L208" s="62">
        <f>IF($B208&lt;&gt;"",SUMIFS(DataAct_tbl[AMOUNT],DataAct_tbl[BG CODE],Detail!$D208,DataAct_tbl[Check Range],"=true",DataAct_tbl[Dept code],$B208),0)</f>
        <v>0</v>
      </c>
      <c r="M208" s="63">
        <f>INDEX($AG$7:$AR$1005,ROW()-6,MATCH(MTD,$AG$6:$AR$6,0))</f>
        <v>0</v>
      </c>
      <c r="N208" s="34">
        <f t="shared" si="37"/>
        <v>0</v>
      </c>
      <c r="O208" s="64" t="str">
        <f t="shared" si="38"/>
        <v xml:space="preserve"> </v>
      </c>
      <c r="Q208" s="97">
        <f t="shared" si="39"/>
        <v>0</v>
      </c>
      <c r="R208" s="96">
        <f t="shared" si="40"/>
        <v>0</v>
      </c>
      <c r="T208" s="67" t="str">
        <f>IF($B208&lt;&gt;"",INDEX(DataOB[],FirstRow+ROW()-7,MATCH(T$6,DataOB[#Headers],0)),"")</f>
        <v/>
      </c>
      <c r="U208" s="67" t="str">
        <f>IF($B208&lt;&gt;"",INDEX(DataOB[],FirstRow+ROW()-7,MATCH(U$6,DataOB[#Headers],0)),"")</f>
        <v/>
      </c>
      <c r="V208" s="67" t="str">
        <f>IF($B208&lt;&gt;"",INDEX(DataOB[],FirstRow+ROW()-7,MATCH(V$6,DataOB[#Headers],0)),"")</f>
        <v/>
      </c>
      <c r="W208" s="67" t="str">
        <f>IF($B208&lt;&gt;"",INDEX(DataOB[],FirstRow+ROW()-7,MATCH(W$6,DataOB[#Headers],0)),"")</f>
        <v/>
      </c>
      <c r="X208" s="67" t="str">
        <f>IF($B208&lt;&gt;"",INDEX(DataOB[],FirstRow+ROW()-7,MATCH(X$6,DataOB[#Headers],0)),"")</f>
        <v/>
      </c>
      <c r="Y208" s="67" t="str">
        <f>IF($B208&lt;&gt;"",INDEX(DataOB[],FirstRow+ROW()-7,MATCH(Y$6,DataOB[#Headers],0)),"")</f>
        <v/>
      </c>
      <c r="Z208" s="67" t="str">
        <f>IF($B208&lt;&gt;"",INDEX(DataOB[],FirstRow+ROW()-7,MATCH(Z$6,DataOB[#Headers],0)),"")</f>
        <v/>
      </c>
      <c r="AA208" s="67" t="str">
        <f>IF($B208&lt;&gt;"",INDEX(DataOB[],FirstRow+ROW()-7,MATCH(AA$6,DataOB[#Headers],0)),"")</f>
        <v/>
      </c>
      <c r="AB208" s="67" t="str">
        <f>IF($B208&lt;&gt;"",INDEX(DataOB[],FirstRow+ROW()-7,MATCH(AB$6,DataOB[#Headers],0)),"")</f>
        <v/>
      </c>
      <c r="AC208" s="67" t="str">
        <f>IF($B208&lt;&gt;"",INDEX(DataOB[],FirstRow+ROW()-7,MATCH(AC$6,DataOB[#Headers],0)),"")</f>
        <v/>
      </c>
      <c r="AD208" s="67" t="str">
        <f>IF($B208&lt;&gt;"",INDEX(DataOB[],FirstRow+ROW()-7,MATCH(AD$6,DataOB[#Headers],0)),"")</f>
        <v/>
      </c>
      <c r="AE208" s="67" t="str">
        <f>IF($B208&lt;&gt;"",INDEX(DataOB[],FirstRow+ROW()-7,MATCH(AE$6,DataOB[#Headers],0)),"")</f>
        <v/>
      </c>
      <c r="AF208" s="26">
        <f t="shared" si="41"/>
        <v>0</v>
      </c>
      <c r="AG208" s="31">
        <f>SUM($T208:T208)</f>
        <v>0</v>
      </c>
      <c r="AH208" s="31">
        <f>SUM($T208:U208)</f>
        <v>0</v>
      </c>
      <c r="AI208" s="31">
        <f>SUM($T208:V208)</f>
        <v>0</v>
      </c>
      <c r="AJ208" s="31">
        <f>SUM($T208:W208)</f>
        <v>0</v>
      </c>
      <c r="AK208" s="31">
        <f>SUM($T208:X208)</f>
        <v>0</v>
      </c>
      <c r="AL208" s="31">
        <f>SUM($T208:Y208)</f>
        <v>0</v>
      </c>
      <c r="AM208" s="31">
        <f>SUM($T208:Z208)</f>
        <v>0</v>
      </c>
      <c r="AN208" s="31">
        <f>SUM($T208:AA208)</f>
        <v>0</v>
      </c>
      <c r="AO208" s="31">
        <f>SUM($T208:AB208)</f>
        <v>0</v>
      </c>
      <c r="AP208" s="31">
        <f>SUM($T208:AC208)</f>
        <v>0</v>
      </c>
      <c r="AQ208" s="31">
        <f>SUM($T208:AD208)</f>
        <v>0</v>
      </c>
      <c r="AR208" s="31">
        <f>SUM($T208:AE208)</f>
        <v>0</v>
      </c>
      <c r="AS208" s="27">
        <f t="shared" si="42"/>
        <v>0</v>
      </c>
    </row>
    <row r="209" spans="2:45">
      <c r="B209" s="102" t="str">
        <f>IF(ROW()-6&gt;NumCostCenter,"",IF(CostCenter&lt;&gt;"ALL",CostCenter,DATA_LF2!B207))</f>
        <v/>
      </c>
      <c r="C209" s="153" t="str">
        <f>IF($B209&lt;&gt;"",INDEX(DataOB[],FirstRow+ROW()-7,2),"")</f>
        <v/>
      </c>
      <c r="D209" s="66" t="str">
        <f>IF($B209&lt;&gt;"",INDEX(DataOB[],FirstRow+ROW()-7,3),"")</f>
        <v/>
      </c>
      <c r="E209" s="103" t="str">
        <f>IF($B209&lt;&gt;"",INDEX(DataOB[],FirstRow+ROW()-7,6),"")</f>
        <v/>
      </c>
      <c r="F209" s="103" t="str">
        <f>IF($B209&lt;&gt;"",INDEX(DataOB[],FirstRow+ROW()-7,5),"")</f>
        <v/>
      </c>
      <c r="G209" s="58">
        <f>IF($B209&lt;&gt;"",SUMIFS(DataAct_tbl[AMOUNT],DataAct_tbl[BG CODE],Detail!$D209,DataAct_tbl[MONTH],LEFT(MonthName,3),DataAct_tbl[Dept code],$B209),0)</f>
        <v>0</v>
      </c>
      <c r="H209" s="31" t="str">
        <f t="shared" si="34"/>
        <v/>
      </c>
      <c r="I209" s="28" t="str">
        <f t="shared" si="35"/>
        <v/>
      </c>
      <c r="J209" s="32" t="str">
        <f t="shared" si="36"/>
        <v/>
      </c>
      <c r="K209" s="86"/>
      <c r="L209" s="62">
        <f>IF($B209&lt;&gt;"",SUMIFS(DataAct_tbl[AMOUNT],DataAct_tbl[BG CODE],Detail!$D209,DataAct_tbl[Check Range],"=true",DataAct_tbl[Dept code],$B209),0)</f>
        <v>0</v>
      </c>
      <c r="M209" s="63">
        <f>INDEX($AG$7:$AR$1005,ROW()-6,MATCH(MTD,$AG$6:$AR$6,0))</f>
        <v>0</v>
      </c>
      <c r="N209" s="34">
        <f t="shared" si="37"/>
        <v>0</v>
      </c>
      <c r="O209" s="64" t="str">
        <f t="shared" si="38"/>
        <v xml:space="preserve"> </v>
      </c>
      <c r="Q209" s="97">
        <f t="shared" si="39"/>
        <v>0</v>
      </c>
      <c r="R209" s="96">
        <f t="shared" si="40"/>
        <v>0</v>
      </c>
      <c r="T209" s="67" t="str">
        <f>IF($B209&lt;&gt;"",INDEX(DataOB[],FirstRow+ROW()-7,MATCH(T$6,DataOB[#Headers],0)),"")</f>
        <v/>
      </c>
      <c r="U209" s="67" t="str">
        <f>IF($B209&lt;&gt;"",INDEX(DataOB[],FirstRow+ROW()-7,MATCH(U$6,DataOB[#Headers],0)),"")</f>
        <v/>
      </c>
      <c r="V209" s="67" t="str">
        <f>IF($B209&lt;&gt;"",INDEX(DataOB[],FirstRow+ROW()-7,MATCH(V$6,DataOB[#Headers],0)),"")</f>
        <v/>
      </c>
      <c r="W209" s="67" t="str">
        <f>IF($B209&lt;&gt;"",INDEX(DataOB[],FirstRow+ROW()-7,MATCH(W$6,DataOB[#Headers],0)),"")</f>
        <v/>
      </c>
      <c r="X209" s="67" t="str">
        <f>IF($B209&lt;&gt;"",INDEX(DataOB[],FirstRow+ROW()-7,MATCH(X$6,DataOB[#Headers],0)),"")</f>
        <v/>
      </c>
      <c r="Y209" s="67" t="str">
        <f>IF($B209&lt;&gt;"",INDEX(DataOB[],FirstRow+ROW()-7,MATCH(Y$6,DataOB[#Headers],0)),"")</f>
        <v/>
      </c>
      <c r="Z209" s="67" t="str">
        <f>IF($B209&lt;&gt;"",INDEX(DataOB[],FirstRow+ROW()-7,MATCH(Z$6,DataOB[#Headers],0)),"")</f>
        <v/>
      </c>
      <c r="AA209" s="67" t="str">
        <f>IF($B209&lt;&gt;"",INDEX(DataOB[],FirstRow+ROW()-7,MATCH(AA$6,DataOB[#Headers],0)),"")</f>
        <v/>
      </c>
      <c r="AB209" s="67" t="str">
        <f>IF($B209&lt;&gt;"",INDEX(DataOB[],FirstRow+ROW()-7,MATCH(AB$6,DataOB[#Headers],0)),"")</f>
        <v/>
      </c>
      <c r="AC209" s="67" t="str">
        <f>IF($B209&lt;&gt;"",INDEX(DataOB[],FirstRow+ROW()-7,MATCH(AC$6,DataOB[#Headers],0)),"")</f>
        <v/>
      </c>
      <c r="AD209" s="67" t="str">
        <f>IF($B209&lt;&gt;"",INDEX(DataOB[],FirstRow+ROW()-7,MATCH(AD$6,DataOB[#Headers],0)),"")</f>
        <v/>
      </c>
      <c r="AE209" s="67" t="str">
        <f>IF($B209&lt;&gt;"",INDEX(DataOB[],FirstRow+ROW()-7,MATCH(AE$6,DataOB[#Headers],0)),"")</f>
        <v/>
      </c>
      <c r="AF209" s="26">
        <f t="shared" si="41"/>
        <v>0</v>
      </c>
      <c r="AG209" s="31">
        <f>SUM($T209:T209)</f>
        <v>0</v>
      </c>
      <c r="AH209" s="31">
        <f>SUM($T209:U209)</f>
        <v>0</v>
      </c>
      <c r="AI209" s="31">
        <f>SUM($T209:V209)</f>
        <v>0</v>
      </c>
      <c r="AJ209" s="31">
        <f>SUM($T209:W209)</f>
        <v>0</v>
      </c>
      <c r="AK209" s="31">
        <f>SUM($T209:X209)</f>
        <v>0</v>
      </c>
      <c r="AL209" s="31">
        <f>SUM($T209:Y209)</f>
        <v>0</v>
      </c>
      <c r="AM209" s="31">
        <f>SUM($T209:Z209)</f>
        <v>0</v>
      </c>
      <c r="AN209" s="31">
        <f>SUM($T209:AA209)</f>
        <v>0</v>
      </c>
      <c r="AO209" s="31">
        <f>SUM($T209:AB209)</f>
        <v>0</v>
      </c>
      <c r="AP209" s="31">
        <f>SUM($T209:AC209)</f>
        <v>0</v>
      </c>
      <c r="AQ209" s="31">
        <f>SUM($T209:AD209)</f>
        <v>0</v>
      </c>
      <c r="AR209" s="31">
        <f>SUM($T209:AE209)</f>
        <v>0</v>
      </c>
      <c r="AS209" s="27">
        <f t="shared" si="42"/>
        <v>0</v>
      </c>
    </row>
    <row r="210" spans="2:45">
      <c r="B210" s="102" t="str">
        <f>IF(ROW()-6&gt;NumCostCenter,"",IF(CostCenter&lt;&gt;"ALL",CostCenter,DATA_LF2!B208))</f>
        <v/>
      </c>
      <c r="C210" s="153" t="str">
        <f>IF($B210&lt;&gt;"",INDEX(DataOB[],FirstRow+ROW()-7,2),"")</f>
        <v/>
      </c>
      <c r="D210" s="66" t="str">
        <f>IF($B210&lt;&gt;"",INDEX(DataOB[],FirstRow+ROW()-7,3),"")</f>
        <v/>
      </c>
      <c r="E210" s="103" t="str">
        <f>IF($B210&lt;&gt;"",INDEX(DataOB[],FirstRow+ROW()-7,6),"")</f>
        <v/>
      </c>
      <c r="F210" s="103" t="str">
        <f>IF($B210&lt;&gt;"",INDEX(DataOB[],FirstRow+ROW()-7,5),"")</f>
        <v/>
      </c>
      <c r="G210" s="58">
        <f>IF($B210&lt;&gt;"",SUMIFS(DataAct_tbl[AMOUNT],DataAct_tbl[BG CODE],Detail!$D210,DataAct_tbl[MONTH],LEFT(MonthName,3),DataAct_tbl[Dept code],$B210),0)</f>
        <v>0</v>
      </c>
      <c r="H210" s="31" t="str">
        <f t="shared" si="34"/>
        <v/>
      </c>
      <c r="I210" s="28" t="str">
        <f t="shared" si="35"/>
        <v/>
      </c>
      <c r="J210" s="32" t="str">
        <f t="shared" si="36"/>
        <v/>
      </c>
      <c r="K210" s="86"/>
      <c r="L210" s="62">
        <f>IF($B210&lt;&gt;"",SUMIFS(DataAct_tbl[AMOUNT],DataAct_tbl[BG CODE],Detail!$D210,DataAct_tbl[Check Range],"=true",DataAct_tbl[Dept code],$B210),0)</f>
        <v>0</v>
      </c>
      <c r="M210" s="63">
        <f>INDEX($AG$7:$AR$1005,ROW()-6,MATCH(MTD,$AG$6:$AR$6,0))</f>
        <v>0</v>
      </c>
      <c r="N210" s="34">
        <f t="shared" si="37"/>
        <v>0</v>
      </c>
      <c r="O210" s="64" t="str">
        <f t="shared" si="38"/>
        <v xml:space="preserve"> </v>
      </c>
      <c r="Q210" s="97">
        <f t="shared" si="39"/>
        <v>0</v>
      </c>
      <c r="R210" s="96">
        <f t="shared" si="40"/>
        <v>0</v>
      </c>
      <c r="T210" s="67" t="str">
        <f>IF($B210&lt;&gt;"",INDEX(DataOB[],FirstRow+ROW()-7,MATCH(T$6,DataOB[#Headers],0)),"")</f>
        <v/>
      </c>
      <c r="U210" s="67" t="str">
        <f>IF($B210&lt;&gt;"",INDEX(DataOB[],FirstRow+ROW()-7,MATCH(U$6,DataOB[#Headers],0)),"")</f>
        <v/>
      </c>
      <c r="V210" s="67" t="str">
        <f>IF($B210&lt;&gt;"",INDEX(DataOB[],FirstRow+ROW()-7,MATCH(V$6,DataOB[#Headers],0)),"")</f>
        <v/>
      </c>
      <c r="W210" s="67" t="str">
        <f>IF($B210&lt;&gt;"",INDEX(DataOB[],FirstRow+ROW()-7,MATCH(W$6,DataOB[#Headers],0)),"")</f>
        <v/>
      </c>
      <c r="X210" s="67" t="str">
        <f>IF($B210&lt;&gt;"",INDEX(DataOB[],FirstRow+ROW()-7,MATCH(X$6,DataOB[#Headers],0)),"")</f>
        <v/>
      </c>
      <c r="Y210" s="67" t="str">
        <f>IF($B210&lt;&gt;"",INDEX(DataOB[],FirstRow+ROW()-7,MATCH(Y$6,DataOB[#Headers],0)),"")</f>
        <v/>
      </c>
      <c r="Z210" s="67" t="str">
        <f>IF($B210&lt;&gt;"",INDEX(DataOB[],FirstRow+ROW()-7,MATCH(Z$6,DataOB[#Headers],0)),"")</f>
        <v/>
      </c>
      <c r="AA210" s="67" t="str">
        <f>IF($B210&lt;&gt;"",INDEX(DataOB[],FirstRow+ROW()-7,MATCH(AA$6,DataOB[#Headers],0)),"")</f>
        <v/>
      </c>
      <c r="AB210" s="67" t="str">
        <f>IF($B210&lt;&gt;"",INDEX(DataOB[],FirstRow+ROW()-7,MATCH(AB$6,DataOB[#Headers],0)),"")</f>
        <v/>
      </c>
      <c r="AC210" s="67" t="str">
        <f>IF($B210&lt;&gt;"",INDEX(DataOB[],FirstRow+ROW()-7,MATCH(AC$6,DataOB[#Headers],0)),"")</f>
        <v/>
      </c>
      <c r="AD210" s="67" t="str">
        <f>IF($B210&lt;&gt;"",INDEX(DataOB[],FirstRow+ROW()-7,MATCH(AD$6,DataOB[#Headers],0)),"")</f>
        <v/>
      </c>
      <c r="AE210" s="67" t="str">
        <f>IF($B210&lt;&gt;"",INDEX(DataOB[],FirstRow+ROW()-7,MATCH(AE$6,DataOB[#Headers],0)),"")</f>
        <v/>
      </c>
      <c r="AF210" s="26">
        <f t="shared" si="41"/>
        <v>0</v>
      </c>
      <c r="AG210" s="31">
        <f>SUM($T210:T210)</f>
        <v>0</v>
      </c>
      <c r="AH210" s="31">
        <f>SUM($T210:U210)</f>
        <v>0</v>
      </c>
      <c r="AI210" s="31">
        <f>SUM($T210:V210)</f>
        <v>0</v>
      </c>
      <c r="AJ210" s="31">
        <f>SUM($T210:W210)</f>
        <v>0</v>
      </c>
      <c r="AK210" s="31">
        <f>SUM($T210:X210)</f>
        <v>0</v>
      </c>
      <c r="AL210" s="31">
        <f>SUM($T210:Y210)</f>
        <v>0</v>
      </c>
      <c r="AM210" s="31">
        <f>SUM($T210:Z210)</f>
        <v>0</v>
      </c>
      <c r="AN210" s="31">
        <f>SUM($T210:AA210)</f>
        <v>0</v>
      </c>
      <c r="AO210" s="31">
        <f>SUM($T210:AB210)</f>
        <v>0</v>
      </c>
      <c r="AP210" s="31">
        <f>SUM($T210:AC210)</f>
        <v>0</v>
      </c>
      <c r="AQ210" s="31">
        <f>SUM($T210:AD210)</f>
        <v>0</v>
      </c>
      <c r="AR210" s="31">
        <f>SUM($T210:AE210)</f>
        <v>0</v>
      </c>
      <c r="AS210" s="27">
        <f t="shared" si="42"/>
        <v>0</v>
      </c>
    </row>
    <row r="211" spans="2:45">
      <c r="B211" s="102" t="str">
        <f>IF(ROW()-6&gt;NumCostCenter,"",IF(CostCenter&lt;&gt;"ALL",CostCenter,DATA_LF2!B209))</f>
        <v/>
      </c>
      <c r="C211" s="153" t="str">
        <f>IF($B211&lt;&gt;"",INDEX(DataOB[],FirstRow+ROW()-7,2),"")</f>
        <v/>
      </c>
      <c r="D211" s="66" t="str">
        <f>IF($B211&lt;&gt;"",INDEX(DataOB[],FirstRow+ROW()-7,3),"")</f>
        <v/>
      </c>
      <c r="E211" s="103" t="str">
        <f>IF($B211&lt;&gt;"",INDEX(DataOB[],FirstRow+ROW()-7,6),"")</f>
        <v/>
      </c>
      <c r="F211" s="103" t="str">
        <f>IF($B211&lt;&gt;"",INDEX(DataOB[],FirstRow+ROW()-7,5),"")</f>
        <v/>
      </c>
      <c r="G211" s="58">
        <f>IF($B211&lt;&gt;"",SUMIFS(DataAct_tbl[AMOUNT],DataAct_tbl[BG CODE],Detail!$D211,DataAct_tbl[MONTH],LEFT(MonthName,3),DataAct_tbl[Dept code],$B211),0)</f>
        <v>0</v>
      </c>
      <c r="H211" s="31" t="str">
        <f t="shared" si="34"/>
        <v/>
      </c>
      <c r="I211" s="28" t="str">
        <f t="shared" si="35"/>
        <v/>
      </c>
      <c r="J211" s="32" t="str">
        <f t="shared" si="36"/>
        <v/>
      </c>
      <c r="K211" s="86"/>
      <c r="L211" s="62">
        <f>IF($B211&lt;&gt;"",SUMIFS(DataAct_tbl[AMOUNT],DataAct_tbl[BG CODE],Detail!$D211,DataAct_tbl[Check Range],"=true",DataAct_tbl[Dept code],$B211),0)</f>
        <v>0</v>
      </c>
      <c r="M211" s="63">
        <f>INDEX($AG$7:$AR$1005,ROW()-6,MATCH(MTD,$AG$6:$AR$6,0))</f>
        <v>0</v>
      </c>
      <c r="N211" s="34">
        <f t="shared" si="37"/>
        <v>0</v>
      </c>
      <c r="O211" s="64" t="str">
        <f t="shared" si="38"/>
        <v xml:space="preserve"> </v>
      </c>
      <c r="Q211" s="97">
        <f t="shared" si="39"/>
        <v>0</v>
      </c>
      <c r="R211" s="96">
        <f t="shared" si="40"/>
        <v>0</v>
      </c>
      <c r="T211" s="67" t="str">
        <f>IF($B211&lt;&gt;"",INDEX(DataOB[],FirstRow+ROW()-7,MATCH(T$6,DataOB[#Headers],0)),"")</f>
        <v/>
      </c>
      <c r="U211" s="67" t="str">
        <f>IF($B211&lt;&gt;"",INDEX(DataOB[],FirstRow+ROW()-7,MATCH(U$6,DataOB[#Headers],0)),"")</f>
        <v/>
      </c>
      <c r="V211" s="67" t="str">
        <f>IF($B211&lt;&gt;"",INDEX(DataOB[],FirstRow+ROW()-7,MATCH(V$6,DataOB[#Headers],0)),"")</f>
        <v/>
      </c>
      <c r="W211" s="67" t="str">
        <f>IF($B211&lt;&gt;"",INDEX(DataOB[],FirstRow+ROW()-7,MATCH(W$6,DataOB[#Headers],0)),"")</f>
        <v/>
      </c>
      <c r="X211" s="67" t="str">
        <f>IF($B211&lt;&gt;"",INDEX(DataOB[],FirstRow+ROW()-7,MATCH(X$6,DataOB[#Headers],0)),"")</f>
        <v/>
      </c>
      <c r="Y211" s="67" t="str">
        <f>IF($B211&lt;&gt;"",INDEX(DataOB[],FirstRow+ROW()-7,MATCH(Y$6,DataOB[#Headers],0)),"")</f>
        <v/>
      </c>
      <c r="Z211" s="67" t="str">
        <f>IF($B211&lt;&gt;"",INDEX(DataOB[],FirstRow+ROW()-7,MATCH(Z$6,DataOB[#Headers],0)),"")</f>
        <v/>
      </c>
      <c r="AA211" s="67" t="str">
        <f>IF($B211&lt;&gt;"",INDEX(DataOB[],FirstRow+ROW()-7,MATCH(AA$6,DataOB[#Headers],0)),"")</f>
        <v/>
      </c>
      <c r="AB211" s="67" t="str">
        <f>IF($B211&lt;&gt;"",INDEX(DataOB[],FirstRow+ROW()-7,MATCH(AB$6,DataOB[#Headers],0)),"")</f>
        <v/>
      </c>
      <c r="AC211" s="67" t="str">
        <f>IF($B211&lt;&gt;"",INDEX(DataOB[],FirstRow+ROW()-7,MATCH(AC$6,DataOB[#Headers],0)),"")</f>
        <v/>
      </c>
      <c r="AD211" s="67" t="str">
        <f>IF($B211&lt;&gt;"",INDEX(DataOB[],FirstRow+ROW()-7,MATCH(AD$6,DataOB[#Headers],0)),"")</f>
        <v/>
      </c>
      <c r="AE211" s="67" t="str">
        <f>IF($B211&lt;&gt;"",INDEX(DataOB[],FirstRow+ROW()-7,MATCH(AE$6,DataOB[#Headers],0)),"")</f>
        <v/>
      </c>
      <c r="AF211" s="26">
        <f t="shared" si="41"/>
        <v>0</v>
      </c>
      <c r="AG211" s="31">
        <f>SUM($T211:T211)</f>
        <v>0</v>
      </c>
      <c r="AH211" s="31">
        <f>SUM($T211:U211)</f>
        <v>0</v>
      </c>
      <c r="AI211" s="31">
        <f>SUM($T211:V211)</f>
        <v>0</v>
      </c>
      <c r="AJ211" s="31">
        <f>SUM($T211:W211)</f>
        <v>0</v>
      </c>
      <c r="AK211" s="31">
        <f>SUM($T211:X211)</f>
        <v>0</v>
      </c>
      <c r="AL211" s="31">
        <f>SUM($T211:Y211)</f>
        <v>0</v>
      </c>
      <c r="AM211" s="31">
        <f>SUM($T211:Z211)</f>
        <v>0</v>
      </c>
      <c r="AN211" s="31">
        <f>SUM($T211:AA211)</f>
        <v>0</v>
      </c>
      <c r="AO211" s="31">
        <f>SUM($T211:AB211)</f>
        <v>0</v>
      </c>
      <c r="AP211" s="31">
        <f>SUM($T211:AC211)</f>
        <v>0</v>
      </c>
      <c r="AQ211" s="31">
        <f>SUM($T211:AD211)</f>
        <v>0</v>
      </c>
      <c r="AR211" s="31">
        <f>SUM($T211:AE211)</f>
        <v>0</v>
      </c>
      <c r="AS211" s="27">
        <f t="shared" si="42"/>
        <v>0</v>
      </c>
    </row>
    <row r="212" spans="2:45">
      <c r="B212" s="102" t="str">
        <f>IF(ROW()-6&gt;NumCostCenter,"",IF(CostCenter&lt;&gt;"ALL",CostCenter,DATA_LF2!B210))</f>
        <v/>
      </c>
      <c r="C212" s="153" t="str">
        <f>IF($B212&lt;&gt;"",INDEX(DataOB[],FirstRow+ROW()-7,2),"")</f>
        <v/>
      </c>
      <c r="D212" s="66" t="str">
        <f>IF($B212&lt;&gt;"",INDEX(DataOB[],FirstRow+ROW()-7,3),"")</f>
        <v/>
      </c>
      <c r="E212" s="103" t="str">
        <f>IF($B212&lt;&gt;"",INDEX(DataOB[],FirstRow+ROW()-7,6),"")</f>
        <v/>
      </c>
      <c r="F212" s="103" t="str">
        <f>IF($B212&lt;&gt;"",INDEX(DataOB[],FirstRow+ROW()-7,5),"")</f>
        <v/>
      </c>
      <c r="G212" s="58">
        <f>IF($B212&lt;&gt;"",SUMIFS(DataAct_tbl[AMOUNT],DataAct_tbl[BG CODE],Detail!$D212,DataAct_tbl[MONTH],LEFT(MonthName,3),DataAct_tbl[Dept code],$B212),0)</f>
        <v>0</v>
      </c>
      <c r="H212" s="31" t="str">
        <f t="shared" si="34"/>
        <v/>
      </c>
      <c r="I212" s="28" t="str">
        <f t="shared" si="35"/>
        <v/>
      </c>
      <c r="J212" s="32" t="str">
        <f t="shared" si="36"/>
        <v/>
      </c>
      <c r="K212" s="86"/>
      <c r="L212" s="62">
        <f>IF($B212&lt;&gt;"",SUMIFS(DataAct_tbl[AMOUNT],DataAct_tbl[BG CODE],Detail!$D212,DataAct_tbl[Check Range],"=true",DataAct_tbl[Dept code],$B212),0)</f>
        <v>0</v>
      </c>
      <c r="M212" s="63">
        <f>INDEX($AG$7:$AR$1005,ROW()-6,MATCH(MTD,$AG$6:$AR$6,0))</f>
        <v>0</v>
      </c>
      <c r="N212" s="34">
        <f t="shared" si="37"/>
        <v>0</v>
      </c>
      <c r="O212" s="64" t="str">
        <f t="shared" si="38"/>
        <v xml:space="preserve"> </v>
      </c>
      <c r="Q212" s="97">
        <f t="shared" si="39"/>
        <v>0</v>
      </c>
      <c r="R212" s="96">
        <f t="shared" si="40"/>
        <v>0</v>
      </c>
      <c r="T212" s="67" t="str">
        <f>IF($B212&lt;&gt;"",INDEX(DataOB[],FirstRow+ROW()-7,MATCH(T$6,DataOB[#Headers],0)),"")</f>
        <v/>
      </c>
      <c r="U212" s="67" t="str">
        <f>IF($B212&lt;&gt;"",INDEX(DataOB[],FirstRow+ROW()-7,MATCH(U$6,DataOB[#Headers],0)),"")</f>
        <v/>
      </c>
      <c r="V212" s="67" t="str">
        <f>IF($B212&lt;&gt;"",INDEX(DataOB[],FirstRow+ROW()-7,MATCH(V$6,DataOB[#Headers],0)),"")</f>
        <v/>
      </c>
      <c r="W212" s="67" t="str">
        <f>IF($B212&lt;&gt;"",INDEX(DataOB[],FirstRow+ROW()-7,MATCH(W$6,DataOB[#Headers],0)),"")</f>
        <v/>
      </c>
      <c r="X212" s="67" t="str">
        <f>IF($B212&lt;&gt;"",INDEX(DataOB[],FirstRow+ROW()-7,MATCH(X$6,DataOB[#Headers],0)),"")</f>
        <v/>
      </c>
      <c r="Y212" s="67" t="str">
        <f>IF($B212&lt;&gt;"",INDEX(DataOB[],FirstRow+ROW()-7,MATCH(Y$6,DataOB[#Headers],0)),"")</f>
        <v/>
      </c>
      <c r="Z212" s="67" t="str">
        <f>IF($B212&lt;&gt;"",INDEX(DataOB[],FirstRow+ROW()-7,MATCH(Z$6,DataOB[#Headers],0)),"")</f>
        <v/>
      </c>
      <c r="AA212" s="67" t="str">
        <f>IF($B212&lt;&gt;"",INDEX(DataOB[],FirstRow+ROW()-7,MATCH(AA$6,DataOB[#Headers],0)),"")</f>
        <v/>
      </c>
      <c r="AB212" s="67" t="str">
        <f>IF($B212&lt;&gt;"",INDEX(DataOB[],FirstRow+ROW()-7,MATCH(AB$6,DataOB[#Headers],0)),"")</f>
        <v/>
      </c>
      <c r="AC212" s="67" t="str">
        <f>IF($B212&lt;&gt;"",INDEX(DataOB[],FirstRow+ROW()-7,MATCH(AC$6,DataOB[#Headers],0)),"")</f>
        <v/>
      </c>
      <c r="AD212" s="67" t="str">
        <f>IF($B212&lt;&gt;"",INDEX(DataOB[],FirstRow+ROW()-7,MATCH(AD$6,DataOB[#Headers],0)),"")</f>
        <v/>
      </c>
      <c r="AE212" s="67" t="str">
        <f>IF($B212&lt;&gt;"",INDEX(DataOB[],FirstRow+ROW()-7,MATCH(AE$6,DataOB[#Headers],0)),"")</f>
        <v/>
      </c>
      <c r="AF212" s="26">
        <f t="shared" si="41"/>
        <v>0</v>
      </c>
      <c r="AG212" s="31">
        <f>SUM($T212:T212)</f>
        <v>0</v>
      </c>
      <c r="AH212" s="31">
        <f>SUM($T212:U212)</f>
        <v>0</v>
      </c>
      <c r="AI212" s="31">
        <f>SUM($T212:V212)</f>
        <v>0</v>
      </c>
      <c r="AJ212" s="31">
        <f>SUM($T212:W212)</f>
        <v>0</v>
      </c>
      <c r="AK212" s="31">
        <f>SUM($T212:X212)</f>
        <v>0</v>
      </c>
      <c r="AL212" s="31">
        <f>SUM($T212:Y212)</f>
        <v>0</v>
      </c>
      <c r="AM212" s="31">
        <f>SUM($T212:Z212)</f>
        <v>0</v>
      </c>
      <c r="AN212" s="31">
        <f>SUM($T212:AA212)</f>
        <v>0</v>
      </c>
      <c r="AO212" s="31">
        <f>SUM($T212:AB212)</f>
        <v>0</v>
      </c>
      <c r="AP212" s="31">
        <f>SUM($T212:AC212)</f>
        <v>0</v>
      </c>
      <c r="AQ212" s="31">
        <f>SUM($T212:AD212)</f>
        <v>0</v>
      </c>
      <c r="AR212" s="31">
        <f>SUM($T212:AE212)</f>
        <v>0</v>
      </c>
      <c r="AS212" s="27">
        <f t="shared" si="42"/>
        <v>0</v>
      </c>
    </row>
    <row r="213" spans="2:45">
      <c r="B213" s="102" t="str">
        <f>IF(ROW()-6&gt;NumCostCenter,"",IF(CostCenter&lt;&gt;"ALL",CostCenter,DATA_LF2!B211))</f>
        <v/>
      </c>
      <c r="C213" s="153" t="str">
        <f>IF($B213&lt;&gt;"",INDEX(DataOB[],FirstRow+ROW()-7,2),"")</f>
        <v/>
      </c>
      <c r="D213" s="66" t="str">
        <f>IF($B213&lt;&gt;"",INDEX(DataOB[],FirstRow+ROW()-7,3),"")</f>
        <v/>
      </c>
      <c r="E213" s="103" t="str">
        <f>IF($B213&lt;&gt;"",INDEX(DataOB[],FirstRow+ROW()-7,6),"")</f>
        <v/>
      </c>
      <c r="F213" s="103" t="str">
        <f>IF($B213&lt;&gt;"",INDEX(DataOB[],FirstRow+ROW()-7,5),"")</f>
        <v/>
      </c>
      <c r="G213" s="58">
        <f>IF($B213&lt;&gt;"",SUMIFS(DataAct_tbl[AMOUNT],DataAct_tbl[BG CODE],Detail!$D213,DataAct_tbl[MONTH],LEFT(MonthName,3),DataAct_tbl[Dept code],$B213),0)</f>
        <v>0</v>
      </c>
      <c r="H213" s="31" t="str">
        <f t="shared" si="34"/>
        <v/>
      </c>
      <c r="I213" s="28" t="str">
        <f t="shared" si="35"/>
        <v/>
      </c>
      <c r="J213" s="32" t="str">
        <f t="shared" si="36"/>
        <v/>
      </c>
      <c r="K213" s="86"/>
      <c r="L213" s="62">
        <f>IF($B213&lt;&gt;"",SUMIFS(DataAct_tbl[AMOUNT],DataAct_tbl[BG CODE],Detail!$D213,DataAct_tbl[Check Range],"=true",DataAct_tbl[Dept code],$B213),0)</f>
        <v>0</v>
      </c>
      <c r="M213" s="63">
        <f>INDEX($AG$7:$AR$1005,ROW()-6,MATCH(MTD,$AG$6:$AR$6,0))</f>
        <v>0</v>
      </c>
      <c r="N213" s="34">
        <f t="shared" si="37"/>
        <v>0</v>
      </c>
      <c r="O213" s="64" t="str">
        <f t="shared" si="38"/>
        <v xml:space="preserve"> </v>
      </c>
      <c r="Q213" s="97">
        <f t="shared" si="39"/>
        <v>0</v>
      </c>
      <c r="R213" s="96">
        <f t="shared" si="40"/>
        <v>0</v>
      </c>
      <c r="T213" s="67" t="str">
        <f>IF($B213&lt;&gt;"",INDEX(DataOB[],FirstRow+ROW()-7,MATCH(T$6,DataOB[#Headers],0)),"")</f>
        <v/>
      </c>
      <c r="U213" s="67" t="str">
        <f>IF($B213&lt;&gt;"",INDEX(DataOB[],FirstRow+ROW()-7,MATCH(U$6,DataOB[#Headers],0)),"")</f>
        <v/>
      </c>
      <c r="V213" s="67" t="str">
        <f>IF($B213&lt;&gt;"",INDEX(DataOB[],FirstRow+ROW()-7,MATCH(V$6,DataOB[#Headers],0)),"")</f>
        <v/>
      </c>
      <c r="W213" s="67" t="str">
        <f>IF($B213&lt;&gt;"",INDEX(DataOB[],FirstRow+ROW()-7,MATCH(W$6,DataOB[#Headers],0)),"")</f>
        <v/>
      </c>
      <c r="X213" s="67" t="str">
        <f>IF($B213&lt;&gt;"",INDEX(DataOB[],FirstRow+ROW()-7,MATCH(X$6,DataOB[#Headers],0)),"")</f>
        <v/>
      </c>
      <c r="Y213" s="67" t="str">
        <f>IF($B213&lt;&gt;"",INDEX(DataOB[],FirstRow+ROW()-7,MATCH(Y$6,DataOB[#Headers],0)),"")</f>
        <v/>
      </c>
      <c r="Z213" s="67" t="str">
        <f>IF($B213&lt;&gt;"",INDEX(DataOB[],FirstRow+ROW()-7,MATCH(Z$6,DataOB[#Headers],0)),"")</f>
        <v/>
      </c>
      <c r="AA213" s="67" t="str">
        <f>IF($B213&lt;&gt;"",INDEX(DataOB[],FirstRow+ROW()-7,MATCH(AA$6,DataOB[#Headers],0)),"")</f>
        <v/>
      </c>
      <c r="AB213" s="67" t="str">
        <f>IF($B213&lt;&gt;"",INDEX(DataOB[],FirstRow+ROW()-7,MATCH(AB$6,DataOB[#Headers],0)),"")</f>
        <v/>
      </c>
      <c r="AC213" s="67" t="str">
        <f>IF($B213&lt;&gt;"",INDEX(DataOB[],FirstRow+ROW()-7,MATCH(AC$6,DataOB[#Headers],0)),"")</f>
        <v/>
      </c>
      <c r="AD213" s="67" t="str">
        <f>IF($B213&lt;&gt;"",INDEX(DataOB[],FirstRow+ROW()-7,MATCH(AD$6,DataOB[#Headers],0)),"")</f>
        <v/>
      </c>
      <c r="AE213" s="67" t="str">
        <f>IF($B213&lt;&gt;"",INDEX(DataOB[],FirstRow+ROW()-7,MATCH(AE$6,DataOB[#Headers],0)),"")</f>
        <v/>
      </c>
      <c r="AF213" s="26">
        <f t="shared" si="41"/>
        <v>0</v>
      </c>
      <c r="AG213" s="31">
        <f>SUM($T213:T213)</f>
        <v>0</v>
      </c>
      <c r="AH213" s="31">
        <f>SUM($T213:U213)</f>
        <v>0</v>
      </c>
      <c r="AI213" s="31">
        <f>SUM($T213:V213)</f>
        <v>0</v>
      </c>
      <c r="AJ213" s="31">
        <f>SUM($T213:W213)</f>
        <v>0</v>
      </c>
      <c r="AK213" s="31">
        <f>SUM($T213:X213)</f>
        <v>0</v>
      </c>
      <c r="AL213" s="31">
        <f>SUM($T213:Y213)</f>
        <v>0</v>
      </c>
      <c r="AM213" s="31">
        <f>SUM($T213:Z213)</f>
        <v>0</v>
      </c>
      <c r="AN213" s="31">
        <f>SUM($T213:AA213)</f>
        <v>0</v>
      </c>
      <c r="AO213" s="31">
        <f>SUM($T213:AB213)</f>
        <v>0</v>
      </c>
      <c r="AP213" s="31">
        <f>SUM($T213:AC213)</f>
        <v>0</v>
      </c>
      <c r="AQ213" s="31">
        <f>SUM($T213:AD213)</f>
        <v>0</v>
      </c>
      <c r="AR213" s="31">
        <f>SUM($T213:AE213)</f>
        <v>0</v>
      </c>
      <c r="AS213" s="27">
        <f t="shared" si="42"/>
        <v>0</v>
      </c>
    </row>
    <row r="214" spans="2:45">
      <c r="B214" s="102" t="str">
        <f>IF(ROW()-6&gt;NumCostCenter,"",IF(CostCenter&lt;&gt;"ALL",CostCenter,DATA_LF2!B212))</f>
        <v/>
      </c>
      <c r="C214" s="153" t="str">
        <f>IF($B214&lt;&gt;"",INDEX(DataOB[],FirstRow+ROW()-7,2),"")</f>
        <v/>
      </c>
      <c r="D214" s="66" t="str">
        <f>IF($B214&lt;&gt;"",INDEX(DataOB[],FirstRow+ROW()-7,3),"")</f>
        <v/>
      </c>
      <c r="E214" s="103" t="str">
        <f>IF($B214&lt;&gt;"",INDEX(DataOB[],FirstRow+ROW()-7,6),"")</f>
        <v/>
      </c>
      <c r="F214" s="103" t="str">
        <f>IF($B214&lt;&gt;"",INDEX(DataOB[],FirstRow+ROW()-7,5),"")</f>
        <v/>
      </c>
      <c r="G214" s="58">
        <f>IF($B214&lt;&gt;"",SUMIFS(DataAct_tbl[AMOUNT],DataAct_tbl[BG CODE],Detail!$D214,DataAct_tbl[MONTH],LEFT(MonthName,3),DataAct_tbl[Dept code],$B214),0)</f>
        <v>0</v>
      </c>
      <c r="H214" s="31" t="str">
        <f t="shared" si="34"/>
        <v/>
      </c>
      <c r="I214" s="28" t="str">
        <f t="shared" si="35"/>
        <v/>
      </c>
      <c r="J214" s="32" t="str">
        <f t="shared" si="36"/>
        <v/>
      </c>
      <c r="K214" s="86"/>
      <c r="L214" s="62">
        <f>IF($B214&lt;&gt;"",SUMIFS(DataAct_tbl[AMOUNT],DataAct_tbl[BG CODE],Detail!$D214,DataAct_tbl[Check Range],"=true",DataAct_tbl[Dept code],$B214),0)</f>
        <v>0</v>
      </c>
      <c r="M214" s="63">
        <f>INDEX($AG$7:$AR$1005,ROW()-6,MATCH(MTD,$AG$6:$AR$6,0))</f>
        <v>0</v>
      </c>
      <c r="N214" s="34">
        <f t="shared" si="37"/>
        <v>0</v>
      </c>
      <c r="O214" s="64" t="str">
        <f t="shared" si="38"/>
        <v xml:space="preserve"> </v>
      </c>
      <c r="Q214" s="97">
        <f t="shared" si="39"/>
        <v>0</v>
      </c>
      <c r="R214" s="96">
        <f t="shared" si="40"/>
        <v>0</v>
      </c>
      <c r="T214" s="67" t="str">
        <f>IF($B214&lt;&gt;"",INDEX(DataOB[],FirstRow+ROW()-7,MATCH(T$6,DataOB[#Headers],0)),"")</f>
        <v/>
      </c>
      <c r="U214" s="67" t="str">
        <f>IF($B214&lt;&gt;"",INDEX(DataOB[],FirstRow+ROW()-7,MATCH(U$6,DataOB[#Headers],0)),"")</f>
        <v/>
      </c>
      <c r="V214" s="67" t="str">
        <f>IF($B214&lt;&gt;"",INDEX(DataOB[],FirstRow+ROW()-7,MATCH(V$6,DataOB[#Headers],0)),"")</f>
        <v/>
      </c>
      <c r="W214" s="67" t="str">
        <f>IF($B214&lt;&gt;"",INDEX(DataOB[],FirstRow+ROW()-7,MATCH(W$6,DataOB[#Headers],0)),"")</f>
        <v/>
      </c>
      <c r="X214" s="67" t="str">
        <f>IF($B214&lt;&gt;"",INDEX(DataOB[],FirstRow+ROW()-7,MATCH(X$6,DataOB[#Headers],0)),"")</f>
        <v/>
      </c>
      <c r="Y214" s="67" t="str">
        <f>IF($B214&lt;&gt;"",INDEX(DataOB[],FirstRow+ROW()-7,MATCH(Y$6,DataOB[#Headers],0)),"")</f>
        <v/>
      </c>
      <c r="Z214" s="67" t="str">
        <f>IF($B214&lt;&gt;"",INDEX(DataOB[],FirstRow+ROW()-7,MATCH(Z$6,DataOB[#Headers],0)),"")</f>
        <v/>
      </c>
      <c r="AA214" s="67" t="str">
        <f>IF($B214&lt;&gt;"",INDEX(DataOB[],FirstRow+ROW()-7,MATCH(AA$6,DataOB[#Headers],0)),"")</f>
        <v/>
      </c>
      <c r="AB214" s="67" t="str">
        <f>IF($B214&lt;&gt;"",INDEX(DataOB[],FirstRow+ROW()-7,MATCH(AB$6,DataOB[#Headers],0)),"")</f>
        <v/>
      </c>
      <c r="AC214" s="67" t="str">
        <f>IF($B214&lt;&gt;"",INDEX(DataOB[],FirstRow+ROW()-7,MATCH(AC$6,DataOB[#Headers],0)),"")</f>
        <v/>
      </c>
      <c r="AD214" s="67" t="str">
        <f>IF($B214&lt;&gt;"",INDEX(DataOB[],FirstRow+ROW()-7,MATCH(AD$6,DataOB[#Headers],0)),"")</f>
        <v/>
      </c>
      <c r="AE214" s="67" t="str">
        <f>IF($B214&lt;&gt;"",INDEX(DataOB[],FirstRow+ROW()-7,MATCH(AE$6,DataOB[#Headers],0)),"")</f>
        <v/>
      </c>
      <c r="AF214" s="26">
        <f t="shared" si="41"/>
        <v>0</v>
      </c>
      <c r="AG214" s="31">
        <f>SUM($T214:T214)</f>
        <v>0</v>
      </c>
      <c r="AH214" s="31">
        <f>SUM($T214:U214)</f>
        <v>0</v>
      </c>
      <c r="AI214" s="31">
        <f>SUM($T214:V214)</f>
        <v>0</v>
      </c>
      <c r="AJ214" s="31">
        <f>SUM($T214:W214)</f>
        <v>0</v>
      </c>
      <c r="AK214" s="31">
        <f>SUM($T214:X214)</f>
        <v>0</v>
      </c>
      <c r="AL214" s="31">
        <f>SUM($T214:Y214)</f>
        <v>0</v>
      </c>
      <c r="AM214" s="31">
        <f>SUM($T214:Z214)</f>
        <v>0</v>
      </c>
      <c r="AN214" s="31">
        <f>SUM($T214:AA214)</f>
        <v>0</v>
      </c>
      <c r="AO214" s="31">
        <f>SUM($T214:AB214)</f>
        <v>0</v>
      </c>
      <c r="AP214" s="31">
        <f>SUM($T214:AC214)</f>
        <v>0</v>
      </c>
      <c r="AQ214" s="31">
        <f>SUM($T214:AD214)</f>
        <v>0</v>
      </c>
      <c r="AR214" s="31">
        <f>SUM($T214:AE214)</f>
        <v>0</v>
      </c>
      <c r="AS214" s="27">
        <f t="shared" si="42"/>
        <v>0</v>
      </c>
    </row>
    <row r="215" spans="2:45">
      <c r="B215" s="102" t="str">
        <f>IF(ROW()-6&gt;NumCostCenter,"",IF(CostCenter&lt;&gt;"ALL",CostCenter,DATA_LF2!B213))</f>
        <v/>
      </c>
      <c r="C215" s="153" t="str">
        <f>IF($B215&lt;&gt;"",INDEX(DataOB[],FirstRow+ROW()-7,2),"")</f>
        <v/>
      </c>
      <c r="D215" s="66" t="str">
        <f>IF($B215&lt;&gt;"",INDEX(DataOB[],FirstRow+ROW()-7,3),"")</f>
        <v/>
      </c>
      <c r="E215" s="103" t="str">
        <f>IF($B215&lt;&gt;"",INDEX(DataOB[],FirstRow+ROW()-7,6),"")</f>
        <v/>
      </c>
      <c r="F215" s="103" t="str">
        <f>IF($B215&lt;&gt;"",INDEX(DataOB[],FirstRow+ROW()-7,5),"")</f>
        <v/>
      </c>
      <c r="G215" s="58">
        <f>IF($B215&lt;&gt;"",SUMIFS(DataAct_tbl[AMOUNT],DataAct_tbl[BG CODE],Detail!$D215,DataAct_tbl[MONTH],LEFT(MonthName,3),DataAct_tbl[Dept code],$B215),0)</f>
        <v>0</v>
      </c>
      <c r="H215" s="31" t="str">
        <f t="shared" si="34"/>
        <v/>
      </c>
      <c r="I215" s="28" t="str">
        <f t="shared" si="35"/>
        <v/>
      </c>
      <c r="J215" s="32" t="str">
        <f t="shared" si="36"/>
        <v/>
      </c>
      <c r="K215" s="86"/>
      <c r="L215" s="62">
        <f>IF($B215&lt;&gt;"",SUMIFS(DataAct_tbl[AMOUNT],DataAct_tbl[BG CODE],Detail!$D215,DataAct_tbl[Check Range],"=true",DataAct_tbl[Dept code],$B215),0)</f>
        <v>0</v>
      </c>
      <c r="M215" s="63">
        <f>INDEX($AG$7:$AR$1005,ROW()-6,MATCH(MTD,$AG$6:$AR$6,0))</f>
        <v>0</v>
      </c>
      <c r="N215" s="34">
        <f t="shared" si="37"/>
        <v>0</v>
      </c>
      <c r="O215" s="64" t="str">
        <f t="shared" si="38"/>
        <v xml:space="preserve"> </v>
      </c>
      <c r="Q215" s="97">
        <f t="shared" si="39"/>
        <v>0</v>
      </c>
      <c r="R215" s="96">
        <f t="shared" si="40"/>
        <v>0</v>
      </c>
      <c r="T215" s="67" t="str">
        <f>IF($B215&lt;&gt;"",INDEX(DataOB[],FirstRow+ROW()-7,MATCH(T$6,DataOB[#Headers],0)),"")</f>
        <v/>
      </c>
      <c r="U215" s="67" t="str">
        <f>IF($B215&lt;&gt;"",INDEX(DataOB[],FirstRow+ROW()-7,MATCH(U$6,DataOB[#Headers],0)),"")</f>
        <v/>
      </c>
      <c r="V215" s="67" t="str">
        <f>IF($B215&lt;&gt;"",INDEX(DataOB[],FirstRow+ROW()-7,MATCH(V$6,DataOB[#Headers],0)),"")</f>
        <v/>
      </c>
      <c r="W215" s="67" t="str">
        <f>IF($B215&lt;&gt;"",INDEX(DataOB[],FirstRow+ROW()-7,MATCH(W$6,DataOB[#Headers],0)),"")</f>
        <v/>
      </c>
      <c r="X215" s="67" t="str">
        <f>IF($B215&lt;&gt;"",INDEX(DataOB[],FirstRow+ROW()-7,MATCH(X$6,DataOB[#Headers],0)),"")</f>
        <v/>
      </c>
      <c r="Y215" s="67" t="str">
        <f>IF($B215&lt;&gt;"",INDEX(DataOB[],FirstRow+ROW()-7,MATCH(Y$6,DataOB[#Headers],0)),"")</f>
        <v/>
      </c>
      <c r="Z215" s="67" t="str">
        <f>IF($B215&lt;&gt;"",INDEX(DataOB[],FirstRow+ROW()-7,MATCH(Z$6,DataOB[#Headers],0)),"")</f>
        <v/>
      </c>
      <c r="AA215" s="67" t="str">
        <f>IF($B215&lt;&gt;"",INDEX(DataOB[],FirstRow+ROW()-7,MATCH(AA$6,DataOB[#Headers],0)),"")</f>
        <v/>
      </c>
      <c r="AB215" s="67" t="str">
        <f>IF($B215&lt;&gt;"",INDEX(DataOB[],FirstRow+ROW()-7,MATCH(AB$6,DataOB[#Headers],0)),"")</f>
        <v/>
      </c>
      <c r="AC215" s="67" t="str">
        <f>IF($B215&lt;&gt;"",INDEX(DataOB[],FirstRow+ROW()-7,MATCH(AC$6,DataOB[#Headers],0)),"")</f>
        <v/>
      </c>
      <c r="AD215" s="67" t="str">
        <f>IF($B215&lt;&gt;"",INDEX(DataOB[],FirstRow+ROW()-7,MATCH(AD$6,DataOB[#Headers],0)),"")</f>
        <v/>
      </c>
      <c r="AE215" s="67" t="str">
        <f>IF($B215&lt;&gt;"",INDEX(DataOB[],FirstRow+ROW()-7,MATCH(AE$6,DataOB[#Headers],0)),"")</f>
        <v/>
      </c>
      <c r="AF215" s="26">
        <f t="shared" si="41"/>
        <v>0</v>
      </c>
      <c r="AG215" s="31">
        <f>SUM($T215:T215)</f>
        <v>0</v>
      </c>
      <c r="AH215" s="31">
        <f>SUM($T215:U215)</f>
        <v>0</v>
      </c>
      <c r="AI215" s="31">
        <f>SUM($T215:V215)</f>
        <v>0</v>
      </c>
      <c r="AJ215" s="31">
        <f>SUM($T215:W215)</f>
        <v>0</v>
      </c>
      <c r="AK215" s="31">
        <f>SUM($T215:X215)</f>
        <v>0</v>
      </c>
      <c r="AL215" s="31">
        <f>SUM($T215:Y215)</f>
        <v>0</v>
      </c>
      <c r="AM215" s="31">
        <f>SUM($T215:Z215)</f>
        <v>0</v>
      </c>
      <c r="AN215" s="31">
        <f>SUM($T215:AA215)</f>
        <v>0</v>
      </c>
      <c r="AO215" s="31">
        <f>SUM($T215:AB215)</f>
        <v>0</v>
      </c>
      <c r="AP215" s="31">
        <f>SUM($T215:AC215)</f>
        <v>0</v>
      </c>
      <c r="AQ215" s="31">
        <f>SUM($T215:AD215)</f>
        <v>0</v>
      </c>
      <c r="AR215" s="31">
        <f>SUM($T215:AE215)</f>
        <v>0</v>
      </c>
      <c r="AS215" s="27">
        <f t="shared" si="42"/>
        <v>0</v>
      </c>
    </row>
    <row r="216" spans="2:45">
      <c r="B216" s="102" t="str">
        <f>IF(ROW()-6&gt;NumCostCenter,"",IF(CostCenter&lt;&gt;"ALL",CostCenter,DATA_LF2!B214))</f>
        <v/>
      </c>
      <c r="C216" s="153" t="str">
        <f>IF($B216&lt;&gt;"",INDEX(DataOB[],FirstRow+ROW()-7,2),"")</f>
        <v/>
      </c>
      <c r="D216" s="66" t="str">
        <f>IF($B216&lt;&gt;"",INDEX(DataOB[],FirstRow+ROW()-7,3),"")</f>
        <v/>
      </c>
      <c r="E216" s="103" t="str">
        <f>IF($B216&lt;&gt;"",INDEX(DataOB[],FirstRow+ROW()-7,6),"")</f>
        <v/>
      </c>
      <c r="F216" s="103" t="str">
        <f>IF($B216&lt;&gt;"",INDEX(DataOB[],FirstRow+ROW()-7,5),"")</f>
        <v/>
      </c>
      <c r="G216" s="58">
        <f>IF($B216&lt;&gt;"",SUMIFS(DataAct_tbl[AMOUNT],DataAct_tbl[BG CODE],Detail!$D216,DataAct_tbl[MONTH],LEFT(MonthName,3),DataAct_tbl[Dept code],$B216),0)</f>
        <v>0</v>
      </c>
      <c r="H216" s="31" t="str">
        <f t="shared" si="34"/>
        <v/>
      </c>
      <c r="I216" s="28" t="str">
        <f t="shared" si="35"/>
        <v/>
      </c>
      <c r="J216" s="32" t="str">
        <f t="shared" si="36"/>
        <v/>
      </c>
      <c r="K216" s="86"/>
      <c r="L216" s="62">
        <f>IF($B216&lt;&gt;"",SUMIFS(DataAct_tbl[AMOUNT],DataAct_tbl[BG CODE],Detail!$D216,DataAct_tbl[Check Range],"=true",DataAct_tbl[Dept code],$B216),0)</f>
        <v>0</v>
      </c>
      <c r="M216" s="63">
        <f>INDEX($AG$7:$AR$1005,ROW()-6,MATCH(MTD,$AG$6:$AR$6,0))</f>
        <v>0</v>
      </c>
      <c r="N216" s="34">
        <f t="shared" si="37"/>
        <v>0</v>
      </c>
      <c r="O216" s="64" t="str">
        <f t="shared" si="38"/>
        <v xml:space="preserve"> </v>
      </c>
      <c r="Q216" s="97">
        <f t="shared" si="39"/>
        <v>0</v>
      </c>
      <c r="R216" s="96">
        <f t="shared" si="40"/>
        <v>0</v>
      </c>
      <c r="T216" s="67" t="str">
        <f>IF($B216&lt;&gt;"",INDEX(DataOB[],FirstRow+ROW()-7,MATCH(T$6,DataOB[#Headers],0)),"")</f>
        <v/>
      </c>
      <c r="U216" s="67" t="str">
        <f>IF($B216&lt;&gt;"",INDEX(DataOB[],FirstRow+ROW()-7,MATCH(U$6,DataOB[#Headers],0)),"")</f>
        <v/>
      </c>
      <c r="V216" s="67" t="str">
        <f>IF($B216&lt;&gt;"",INDEX(DataOB[],FirstRow+ROW()-7,MATCH(V$6,DataOB[#Headers],0)),"")</f>
        <v/>
      </c>
      <c r="W216" s="67" t="str">
        <f>IF($B216&lt;&gt;"",INDEX(DataOB[],FirstRow+ROW()-7,MATCH(W$6,DataOB[#Headers],0)),"")</f>
        <v/>
      </c>
      <c r="X216" s="67" t="str">
        <f>IF($B216&lt;&gt;"",INDEX(DataOB[],FirstRow+ROW()-7,MATCH(X$6,DataOB[#Headers],0)),"")</f>
        <v/>
      </c>
      <c r="Y216" s="67" t="str">
        <f>IF($B216&lt;&gt;"",INDEX(DataOB[],FirstRow+ROW()-7,MATCH(Y$6,DataOB[#Headers],0)),"")</f>
        <v/>
      </c>
      <c r="Z216" s="67" t="str">
        <f>IF($B216&lt;&gt;"",INDEX(DataOB[],FirstRow+ROW()-7,MATCH(Z$6,DataOB[#Headers],0)),"")</f>
        <v/>
      </c>
      <c r="AA216" s="67" t="str">
        <f>IF($B216&lt;&gt;"",INDEX(DataOB[],FirstRow+ROW()-7,MATCH(AA$6,DataOB[#Headers],0)),"")</f>
        <v/>
      </c>
      <c r="AB216" s="67" t="str">
        <f>IF($B216&lt;&gt;"",INDEX(DataOB[],FirstRow+ROW()-7,MATCH(AB$6,DataOB[#Headers],0)),"")</f>
        <v/>
      </c>
      <c r="AC216" s="67" t="str">
        <f>IF($B216&lt;&gt;"",INDEX(DataOB[],FirstRow+ROW()-7,MATCH(AC$6,DataOB[#Headers],0)),"")</f>
        <v/>
      </c>
      <c r="AD216" s="67" t="str">
        <f>IF($B216&lt;&gt;"",INDEX(DataOB[],FirstRow+ROW()-7,MATCH(AD$6,DataOB[#Headers],0)),"")</f>
        <v/>
      </c>
      <c r="AE216" s="67" t="str">
        <f>IF($B216&lt;&gt;"",INDEX(DataOB[],FirstRow+ROW()-7,MATCH(AE$6,DataOB[#Headers],0)),"")</f>
        <v/>
      </c>
      <c r="AF216" s="26">
        <f t="shared" si="41"/>
        <v>0</v>
      </c>
      <c r="AG216" s="31">
        <f>SUM($T216:T216)</f>
        <v>0</v>
      </c>
      <c r="AH216" s="31">
        <f>SUM($T216:U216)</f>
        <v>0</v>
      </c>
      <c r="AI216" s="31">
        <f>SUM($T216:V216)</f>
        <v>0</v>
      </c>
      <c r="AJ216" s="31">
        <f>SUM($T216:W216)</f>
        <v>0</v>
      </c>
      <c r="AK216" s="31">
        <f>SUM($T216:X216)</f>
        <v>0</v>
      </c>
      <c r="AL216" s="31">
        <f>SUM($T216:Y216)</f>
        <v>0</v>
      </c>
      <c r="AM216" s="31">
        <f>SUM($T216:Z216)</f>
        <v>0</v>
      </c>
      <c r="AN216" s="31">
        <f>SUM($T216:AA216)</f>
        <v>0</v>
      </c>
      <c r="AO216" s="31">
        <f>SUM($T216:AB216)</f>
        <v>0</v>
      </c>
      <c r="AP216" s="31">
        <f>SUM($T216:AC216)</f>
        <v>0</v>
      </c>
      <c r="AQ216" s="31">
        <f>SUM($T216:AD216)</f>
        <v>0</v>
      </c>
      <c r="AR216" s="31">
        <f>SUM($T216:AE216)</f>
        <v>0</v>
      </c>
      <c r="AS216" s="27">
        <f t="shared" si="42"/>
        <v>0</v>
      </c>
    </row>
    <row r="217" spans="2:45">
      <c r="B217" s="102" t="str">
        <f>IF(ROW()-6&gt;NumCostCenter,"",IF(CostCenter&lt;&gt;"ALL",CostCenter,DATA_LF2!B215))</f>
        <v/>
      </c>
      <c r="C217" s="153" t="str">
        <f>IF($B217&lt;&gt;"",INDEX(DataOB[],FirstRow+ROW()-7,2),"")</f>
        <v/>
      </c>
      <c r="D217" s="66" t="str">
        <f>IF($B217&lt;&gt;"",INDEX(DataOB[],FirstRow+ROW()-7,3),"")</f>
        <v/>
      </c>
      <c r="E217" s="103" t="str">
        <f>IF($B217&lt;&gt;"",INDEX(DataOB[],FirstRow+ROW()-7,6),"")</f>
        <v/>
      </c>
      <c r="F217" s="103" t="str">
        <f>IF($B217&lt;&gt;"",INDEX(DataOB[],FirstRow+ROW()-7,5),"")</f>
        <v/>
      </c>
      <c r="G217" s="58">
        <f>IF($B217&lt;&gt;"",SUMIFS(DataAct_tbl[AMOUNT],DataAct_tbl[BG CODE],Detail!$D217,DataAct_tbl[MONTH],LEFT(MonthName,3),DataAct_tbl[Dept code],$B217),0)</f>
        <v>0</v>
      </c>
      <c r="H217" s="31" t="str">
        <f t="shared" si="34"/>
        <v/>
      </c>
      <c r="I217" s="28" t="str">
        <f t="shared" si="35"/>
        <v/>
      </c>
      <c r="J217" s="32" t="str">
        <f t="shared" si="36"/>
        <v/>
      </c>
      <c r="K217" s="86"/>
      <c r="L217" s="62">
        <f>IF($B217&lt;&gt;"",SUMIFS(DataAct_tbl[AMOUNT],DataAct_tbl[BG CODE],Detail!$D217,DataAct_tbl[Check Range],"=true",DataAct_tbl[Dept code],$B217),0)</f>
        <v>0</v>
      </c>
      <c r="M217" s="63">
        <f>INDEX($AG$7:$AR$1005,ROW()-6,MATCH(MTD,$AG$6:$AR$6,0))</f>
        <v>0</v>
      </c>
      <c r="N217" s="34">
        <f t="shared" si="37"/>
        <v>0</v>
      </c>
      <c r="O217" s="64" t="str">
        <f t="shared" si="38"/>
        <v xml:space="preserve"> </v>
      </c>
      <c r="Q217" s="97">
        <f t="shared" si="39"/>
        <v>0</v>
      </c>
      <c r="R217" s="96">
        <f t="shared" si="40"/>
        <v>0</v>
      </c>
      <c r="T217" s="67" t="str">
        <f>IF($B217&lt;&gt;"",INDEX(DataOB[],FirstRow+ROW()-7,MATCH(T$6,DataOB[#Headers],0)),"")</f>
        <v/>
      </c>
      <c r="U217" s="67" t="str">
        <f>IF($B217&lt;&gt;"",INDEX(DataOB[],FirstRow+ROW()-7,MATCH(U$6,DataOB[#Headers],0)),"")</f>
        <v/>
      </c>
      <c r="V217" s="67" t="str">
        <f>IF($B217&lt;&gt;"",INDEX(DataOB[],FirstRow+ROW()-7,MATCH(V$6,DataOB[#Headers],0)),"")</f>
        <v/>
      </c>
      <c r="W217" s="67" t="str">
        <f>IF($B217&lt;&gt;"",INDEX(DataOB[],FirstRow+ROW()-7,MATCH(W$6,DataOB[#Headers],0)),"")</f>
        <v/>
      </c>
      <c r="X217" s="67" t="str">
        <f>IF($B217&lt;&gt;"",INDEX(DataOB[],FirstRow+ROW()-7,MATCH(X$6,DataOB[#Headers],0)),"")</f>
        <v/>
      </c>
      <c r="Y217" s="67" t="str">
        <f>IF($B217&lt;&gt;"",INDEX(DataOB[],FirstRow+ROW()-7,MATCH(Y$6,DataOB[#Headers],0)),"")</f>
        <v/>
      </c>
      <c r="Z217" s="67" t="str">
        <f>IF($B217&lt;&gt;"",INDEX(DataOB[],FirstRow+ROW()-7,MATCH(Z$6,DataOB[#Headers],0)),"")</f>
        <v/>
      </c>
      <c r="AA217" s="67" t="str">
        <f>IF($B217&lt;&gt;"",INDEX(DataOB[],FirstRow+ROW()-7,MATCH(AA$6,DataOB[#Headers],0)),"")</f>
        <v/>
      </c>
      <c r="AB217" s="67" t="str">
        <f>IF($B217&lt;&gt;"",INDEX(DataOB[],FirstRow+ROW()-7,MATCH(AB$6,DataOB[#Headers],0)),"")</f>
        <v/>
      </c>
      <c r="AC217" s="67" t="str">
        <f>IF($B217&lt;&gt;"",INDEX(DataOB[],FirstRow+ROW()-7,MATCH(AC$6,DataOB[#Headers],0)),"")</f>
        <v/>
      </c>
      <c r="AD217" s="67" t="str">
        <f>IF($B217&lt;&gt;"",INDEX(DataOB[],FirstRow+ROW()-7,MATCH(AD$6,DataOB[#Headers],0)),"")</f>
        <v/>
      </c>
      <c r="AE217" s="67" t="str">
        <f>IF($B217&lt;&gt;"",INDEX(DataOB[],FirstRow+ROW()-7,MATCH(AE$6,DataOB[#Headers],0)),"")</f>
        <v/>
      </c>
      <c r="AF217" s="26">
        <f t="shared" si="41"/>
        <v>0</v>
      </c>
      <c r="AG217" s="31">
        <f>SUM($T217:T217)</f>
        <v>0</v>
      </c>
      <c r="AH217" s="31">
        <f>SUM($T217:U217)</f>
        <v>0</v>
      </c>
      <c r="AI217" s="31">
        <f>SUM($T217:V217)</f>
        <v>0</v>
      </c>
      <c r="AJ217" s="31">
        <f>SUM($T217:W217)</f>
        <v>0</v>
      </c>
      <c r="AK217" s="31">
        <f>SUM($T217:X217)</f>
        <v>0</v>
      </c>
      <c r="AL217" s="31">
        <f>SUM($T217:Y217)</f>
        <v>0</v>
      </c>
      <c r="AM217" s="31">
        <f>SUM($T217:Z217)</f>
        <v>0</v>
      </c>
      <c r="AN217" s="31">
        <f>SUM($T217:AA217)</f>
        <v>0</v>
      </c>
      <c r="AO217" s="31">
        <f>SUM($T217:AB217)</f>
        <v>0</v>
      </c>
      <c r="AP217" s="31">
        <f>SUM($T217:AC217)</f>
        <v>0</v>
      </c>
      <c r="AQ217" s="31">
        <f>SUM($T217:AD217)</f>
        <v>0</v>
      </c>
      <c r="AR217" s="31">
        <f>SUM($T217:AE217)</f>
        <v>0</v>
      </c>
      <c r="AS217" s="27">
        <f t="shared" si="42"/>
        <v>0</v>
      </c>
    </row>
    <row r="218" spans="2:45">
      <c r="B218" s="102" t="str">
        <f>IF(ROW()-6&gt;NumCostCenter,"",IF(CostCenter&lt;&gt;"ALL",CostCenter,DATA_LF2!B216))</f>
        <v/>
      </c>
      <c r="C218" s="153" t="str">
        <f>IF($B218&lt;&gt;"",INDEX(DataOB[],FirstRow+ROW()-7,2),"")</f>
        <v/>
      </c>
      <c r="D218" s="66" t="str">
        <f>IF($B218&lt;&gt;"",INDEX(DataOB[],FirstRow+ROW()-7,3),"")</f>
        <v/>
      </c>
      <c r="E218" s="103" t="str">
        <f>IF($B218&lt;&gt;"",INDEX(DataOB[],FirstRow+ROW()-7,6),"")</f>
        <v/>
      </c>
      <c r="F218" s="103" t="str">
        <f>IF($B218&lt;&gt;"",INDEX(DataOB[],FirstRow+ROW()-7,5),"")</f>
        <v/>
      </c>
      <c r="G218" s="58">
        <f>IF($B218&lt;&gt;"",SUMIFS(DataAct_tbl[AMOUNT],DataAct_tbl[BG CODE],Detail!$D218,DataAct_tbl[MONTH],LEFT(MonthName,3),DataAct_tbl[Dept code],$B218),0)</f>
        <v>0</v>
      </c>
      <c r="H218" s="31" t="str">
        <f t="shared" si="34"/>
        <v/>
      </c>
      <c r="I218" s="28" t="str">
        <f t="shared" si="35"/>
        <v/>
      </c>
      <c r="J218" s="32" t="str">
        <f t="shared" si="36"/>
        <v/>
      </c>
      <c r="K218" s="86"/>
      <c r="L218" s="62">
        <f>IF($B218&lt;&gt;"",SUMIFS(DataAct_tbl[AMOUNT],DataAct_tbl[BG CODE],Detail!$D218,DataAct_tbl[Check Range],"=true",DataAct_tbl[Dept code],$B218),0)</f>
        <v>0</v>
      </c>
      <c r="M218" s="63">
        <f>INDEX($AG$7:$AR$1005,ROW()-6,MATCH(MTD,$AG$6:$AR$6,0))</f>
        <v>0</v>
      </c>
      <c r="N218" s="34">
        <f t="shared" si="37"/>
        <v>0</v>
      </c>
      <c r="O218" s="64" t="str">
        <f t="shared" si="38"/>
        <v xml:space="preserve"> </v>
      </c>
      <c r="Q218" s="97">
        <f t="shared" si="39"/>
        <v>0</v>
      </c>
      <c r="R218" s="96">
        <f t="shared" si="40"/>
        <v>0</v>
      </c>
      <c r="T218" s="67" t="str">
        <f>IF($B218&lt;&gt;"",INDEX(DataOB[],FirstRow+ROW()-7,MATCH(T$6,DataOB[#Headers],0)),"")</f>
        <v/>
      </c>
      <c r="U218" s="67" t="str">
        <f>IF($B218&lt;&gt;"",INDEX(DataOB[],FirstRow+ROW()-7,MATCH(U$6,DataOB[#Headers],0)),"")</f>
        <v/>
      </c>
      <c r="V218" s="67" t="str">
        <f>IF($B218&lt;&gt;"",INDEX(DataOB[],FirstRow+ROW()-7,MATCH(V$6,DataOB[#Headers],0)),"")</f>
        <v/>
      </c>
      <c r="W218" s="67" t="str">
        <f>IF($B218&lt;&gt;"",INDEX(DataOB[],FirstRow+ROW()-7,MATCH(W$6,DataOB[#Headers],0)),"")</f>
        <v/>
      </c>
      <c r="X218" s="67" t="str">
        <f>IF($B218&lt;&gt;"",INDEX(DataOB[],FirstRow+ROW()-7,MATCH(X$6,DataOB[#Headers],0)),"")</f>
        <v/>
      </c>
      <c r="Y218" s="67" t="str">
        <f>IF($B218&lt;&gt;"",INDEX(DataOB[],FirstRow+ROW()-7,MATCH(Y$6,DataOB[#Headers],0)),"")</f>
        <v/>
      </c>
      <c r="Z218" s="67" t="str">
        <f>IF($B218&lt;&gt;"",INDEX(DataOB[],FirstRow+ROW()-7,MATCH(Z$6,DataOB[#Headers],0)),"")</f>
        <v/>
      </c>
      <c r="AA218" s="67" t="str">
        <f>IF($B218&lt;&gt;"",INDEX(DataOB[],FirstRow+ROW()-7,MATCH(AA$6,DataOB[#Headers],0)),"")</f>
        <v/>
      </c>
      <c r="AB218" s="67" t="str">
        <f>IF($B218&lt;&gt;"",INDEX(DataOB[],FirstRow+ROW()-7,MATCH(AB$6,DataOB[#Headers],0)),"")</f>
        <v/>
      </c>
      <c r="AC218" s="67" t="str">
        <f>IF($B218&lt;&gt;"",INDEX(DataOB[],FirstRow+ROW()-7,MATCH(AC$6,DataOB[#Headers],0)),"")</f>
        <v/>
      </c>
      <c r="AD218" s="67" t="str">
        <f>IF($B218&lt;&gt;"",INDEX(DataOB[],FirstRow+ROW()-7,MATCH(AD$6,DataOB[#Headers],0)),"")</f>
        <v/>
      </c>
      <c r="AE218" s="67" t="str">
        <f>IF($B218&lt;&gt;"",INDEX(DataOB[],FirstRow+ROW()-7,MATCH(AE$6,DataOB[#Headers],0)),"")</f>
        <v/>
      </c>
      <c r="AF218" s="26">
        <f t="shared" si="41"/>
        <v>0</v>
      </c>
      <c r="AG218" s="31">
        <f>SUM($T218:T218)</f>
        <v>0</v>
      </c>
      <c r="AH218" s="31">
        <f>SUM($T218:U218)</f>
        <v>0</v>
      </c>
      <c r="AI218" s="31">
        <f>SUM($T218:V218)</f>
        <v>0</v>
      </c>
      <c r="AJ218" s="31">
        <f>SUM($T218:W218)</f>
        <v>0</v>
      </c>
      <c r="AK218" s="31">
        <f>SUM($T218:X218)</f>
        <v>0</v>
      </c>
      <c r="AL218" s="31">
        <f>SUM($T218:Y218)</f>
        <v>0</v>
      </c>
      <c r="AM218" s="31">
        <f>SUM($T218:Z218)</f>
        <v>0</v>
      </c>
      <c r="AN218" s="31">
        <f>SUM($T218:AA218)</f>
        <v>0</v>
      </c>
      <c r="AO218" s="31">
        <f>SUM($T218:AB218)</f>
        <v>0</v>
      </c>
      <c r="AP218" s="31">
        <f>SUM($T218:AC218)</f>
        <v>0</v>
      </c>
      <c r="AQ218" s="31">
        <f>SUM($T218:AD218)</f>
        <v>0</v>
      </c>
      <c r="AR218" s="31">
        <f>SUM($T218:AE218)</f>
        <v>0</v>
      </c>
      <c r="AS218" s="27">
        <f t="shared" si="42"/>
        <v>0</v>
      </c>
    </row>
    <row r="219" spans="2:45">
      <c r="B219" s="102" t="str">
        <f>IF(ROW()-6&gt;NumCostCenter,"",IF(CostCenter&lt;&gt;"ALL",CostCenter,DATA_LF2!B217))</f>
        <v/>
      </c>
      <c r="C219" s="153" t="str">
        <f>IF($B219&lt;&gt;"",INDEX(DataOB[],FirstRow+ROW()-7,2),"")</f>
        <v/>
      </c>
      <c r="D219" s="66" t="str">
        <f>IF($B219&lt;&gt;"",INDEX(DataOB[],FirstRow+ROW()-7,3),"")</f>
        <v/>
      </c>
      <c r="E219" s="103" t="str">
        <f>IF($B219&lt;&gt;"",INDEX(DataOB[],FirstRow+ROW()-7,6),"")</f>
        <v/>
      </c>
      <c r="F219" s="103" t="str">
        <f>IF($B219&lt;&gt;"",INDEX(DataOB[],FirstRow+ROW()-7,5),"")</f>
        <v/>
      </c>
      <c r="G219" s="58">
        <f>IF($B219&lt;&gt;"",SUMIFS(DataAct_tbl[AMOUNT],DataAct_tbl[BG CODE],Detail!$D219,DataAct_tbl[MONTH],LEFT(MonthName,3),DataAct_tbl[Dept code],$B219),0)</f>
        <v>0</v>
      </c>
      <c r="H219" s="31" t="str">
        <f t="shared" si="34"/>
        <v/>
      </c>
      <c r="I219" s="28" t="str">
        <f t="shared" si="35"/>
        <v/>
      </c>
      <c r="J219" s="32" t="str">
        <f t="shared" si="36"/>
        <v/>
      </c>
      <c r="K219" s="86"/>
      <c r="L219" s="62">
        <f>IF($B219&lt;&gt;"",SUMIFS(DataAct_tbl[AMOUNT],DataAct_tbl[BG CODE],Detail!$D219,DataAct_tbl[Check Range],"=true",DataAct_tbl[Dept code],$B219),0)</f>
        <v>0</v>
      </c>
      <c r="M219" s="63">
        <f>INDEX($AG$7:$AR$1005,ROW()-6,MATCH(MTD,$AG$6:$AR$6,0))</f>
        <v>0</v>
      </c>
      <c r="N219" s="34">
        <f t="shared" si="37"/>
        <v>0</v>
      </c>
      <c r="O219" s="64" t="str">
        <f t="shared" si="38"/>
        <v xml:space="preserve"> </v>
      </c>
      <c r="Q219" s="97">
        <f t="shared" si="39"/>
        <v>0</v>
      </c>
      <c r="R219" s="96">
        <f t="shared" si="40"/>
        <v>0</v>
      </c>
      <c r="T219" s="67" t="str">
        <f>IF($B219&lt;&gt;"",INDEX(DataOB[],FirstRow+ROW()-7,MATCH(T$6,DataOB[#Headers],0)),"")</f>
        <v/>
      </c>
      <c r="U219" s="67" t="str">
        <f>IF($B219&lt;&gt;"",INDEX(DataOB[],FirstRow+ROW()-7,MATCH(U$6,DataOB[#Headers],0)),"")</f>
        <v/>
      </c>
      <c r="V219" s="67" t="str">
        <f>IF($B219&lt;&gt;"",INDEX(DataOB[],FirstRow+ROW()-7,MATCH(V$6,DataOB[#Headers],0)),"")</f>
        <v/>
      </c>
      <c r="W219" s="67" t="str">
        <f>IF($B219&lt;&gt;"",INDEX(DataOB[],FirstRow+ROW()-7,MATCH(W$6,DataOB[#Headers],0)),"")</f>
        <v/>
      </c>
      <c r="X219" s="67" t="str">
        <f>IF($B219&lt;&gt;"",INDEX(DataOB[],FirstRow+ROW()-7,MATCH(X$6,DataOB[#Headers],0)),"")</f>
        <v/>
      </c>
      <c r="Y219" s="67" t="str">
        <f>IF($B219&lt;&gt;"",INDEX(DataOB[],FirstRow+ROW()-7,MATCH(Y$6,DataOB[#Headers],0)),"")</f>
        <v/>
      </c>
      <c r="Z219" s="67" t="str">
        <f>IF($B219&lt;&gt;"",INDEX(DataOB[],FirstRow+ROW()-7,MATCH(Z$6,DataOB[#Headers],0)),"")</f>
        <v/>
      </c>
      <c r="AA219" s="67" t="str">
        <f>IF($B219&lt;&gt;"",INDEX(DataOB[],FirstRow+ROW()-7,MATCH(AA$6,DataOB[#Headers],0)),"")</f>
        <v/>
      </c>
      <c r="AB219" s="67" t="str">
        <f>IF($B219&lt;&gt;"",INDEX(DataOB[],FirstRow+ROW()-7,MATCH(AB$6,DataOB[#Headers],0)),"")</f>
        <v/>
      </c>
      <c r="AC219" s="67" t="str">
        <f>IF($B219&lt;&gt;"",INDEX(DataOB[],FirstRow+ROW()-7,MATCH(AC$6,DataOB[#Headers],0)),"")</f>
        <v/>
      </c>
      <c r="AD219" s="67" t="str">
        <f>IF($B219&lt;&gt;"",INDEX(DataOB[],FirstRow+ROW()-7,MATCH(AD$6,DataOB[#Headers],0)),"")</f>
        <v/>
      </c>
      <c r="AE219" s="67" t="str">
        <f>IF($B219&lt;&gt;"",INDEX(DataOB[],FirstRow+ROW()-7,MATCH(AE$6,DataOB[#Headers],0)),"")</f>
        <v/>
      </c>
      <c r="AF219" s="26">
        <f t="shared" si="41"/>
        <v>0</v>
      </c>
      <c r="AG219" s="31">
        <f>SUM($T219:T219)</f>
        <v>0</v>
      </c>
      <c r="AH219" s="31">
        <f>SUM($T219:U219)</f>
        <v>0</v>
      </c>
      <c r="AI219" s="31">
        <f>SUM($T219:V219)</f>
        <v>0</v>
      </c>
      <c r="AJ219" s="31">
        <f>SUM($T219:W219)</f>
        <v>0</v>
      </c>
      <c r="AK219" s="31">
        <f>SUM($T219:X219)</f>
        <v>0</v>
      </c>
      <c r="AL219" s="31">
        <f>SUM($T219:Y219)</f>
        <v>0</v>
      </c>
      <c r="AM219" s="31">
        <f>SUM($T219:Z219)</f>
        <v>0</v>
      </c>
      <c r="AN219" s="31">
        <f>SUM($T219:AA219)</f>
        <v>0</v>
      </c>
      <c r="AO219" s="31">
        <f>SUM($T219:AB219)</f>
        <v>0</v>
      </c>
      <c r="AP219" s="31">
        <f>SUM($T219:AC219)</f>
        <v>0</v>
      </c>
      <c r="AQ219" s="31">
        <f>SUM($T219:AD219)</f>
        <v>0</v>
      </c>
      <c r="AR219" s="31">
        <f>SUM($T219:AE219)</f>
        <v>0</v>
      </c>
      <c r="AS219" s="27">
        <f t="shared" si="42"/>
        <v>0</v>
      </c>
    </row>
    <row r="220" spans="2:45">
      <c r="B220" s="102" t="str">
        <f>IF(ROW()-6&gt;NumCostCenter,"",IF(CostCenter&lt;&gt;"ALL",CostCenter,DATA_LF2!B218))</f>
        <v/>
      </c>
      <c r="C220" s="153" t="str">
        <f>IF($B220&lt;&gt;"",INDEX(DataOB[],FirstRow+ROW()-7,2),"")</f>
        <v/>
      </c>
      <c r="D220" s="66" t="str">
        <f>IF($B220&lt;&gt;"",INDEX(DataOB[],FirstRow+ROW()-7,3),"")</f>
        <v/>
      </c>
      <c r="E220" s="103" t="str">
        <f>IF($B220&lt;&gt;"",INDEX(DataOB[],FirstRow+ROW()-7,6),"")</f>
        <v/>
      </c>
      <c r="F220" s="103" t="str">
        <f>IF($B220&lt;&gt;"",INDEX(DataOB[],FirstRow+ROW()-7,5),"")</f>
        <v/>
      </c>
      <c r="G220" s="58">
        <f>IF($B220&lt;&gt;"",SUMIFS(DataAct_tbl[AMOUNT],DataAct_tbl[BG CODE],Detail!$D220,DataAct_tbl[MONTH],LEFT(MonthName,3),DataAct_tbl[Dept code],$B220),0)</f>
        <v>0</v>
      </c>
      <c r="H220" s="31" t="str">
        <f t="shared" si="34"/>
        <v/>
      </c>
      <c r="I220" s="28" t="str">
        <f t="shared" si="35"/>
        <v/>
      </c>
      <c r="J220" s="32" t="str">
        <f t="shared" si="36"/>
        <v/>
      </c>
      <c r="K220" s="86"/>
      <c r="L220" s="62">
        <f>IF($B220&lt;&gt;"",SUMIFS(DataAct_tbl[AMOUNT],DataAct_tbl[BG CODE],Detail!$D220,DataAct_tbl[Check Range],"=true",DataAct_tbl[Dept code],$B220),0)</f>
        <v>0</v>
      </c>
      <c r="M220" s="63">
        <f>INDEX($AG$7:$AR$1005,ROW()-6,MATCH(MTD,$AG$6:$AR$6,0))</f>
        <v>0</v>
      </c>
      <c r="N220" s="34">
        <f t="shared" si="37"/>
        <v>0</v>
      </c>
      <c r="O220" s="64" t="str">
        <f t="shared" si="38"/>
        <v xml:space="preserve"> </v>
      </c>
      <c r="Q220" s="97">
        <f t="shared" si="39"/>
        <v>0</v>
      </c>
      <c r="R220" s="96">
        <f t="shared" si="40"/>
        <v>0</v>
      </c>
      <c r="T220" s="67" t="str">
        <f>IF($B220&lt;&gt;"",INDEX(DataOB[],FirstRow+ROW()-7,MATCH(T$6,DataOB[#Headers],0)),"")</f>
        <v/>
      </c>
      <c r="U220" s="67" t="str">
        <f>IF($B220&lt;&gt;"",INDEX(DataOB[],FirstRow+ROW()-7,MATCH(U$6,DataOB[#Headers],0)),"")</f>
        <v/>
      </c>
      <c r="V220" s="67" t="str">
        <f>IF($B220&lt;&gt;"",INDEX(DataOB[],FirstRow+ROW()-7,MATCH(V$6,DataOB[#Headers],0)),"")</f>
        <v/>
      </c>
      <c r="W220" s="67" t="str">
        <f>IF($B220&lt;&gt;"",INDEX(DataOB[],FirstRow+ROW()-7,MATCH(W$6,DataOB[#Headers],0)),"")</f>
        <v/>
      </c>
      <c r="X220" s="67" t="str">
        <f>IF($B220&lt;&gt;"",INDEX(DataOB[],FirstRow+ROW()-7,MATCH(X$6,DataOB[#Headers],0)),"")</f>
        <v/>
      </c>
      <c r="Y220" s="67" t="str">
        <f>IF($B220&lt;&gt;"",INDEX(DataOB[],FirstRow+ROW()-7,MATCH(Y$6,DataOB[#Headers],0)),"")</f>
        <v/>
      </c>
      <c r="Z220" s="67" t="str">
        <f>IF($B220&lt;&gt;"",INDEX(DataOB[],FirstRow+ROW()-7,MATCH(Z$6,DataOB[#Headers],0)),"")</f>
        <v/>
      </c>
      <c r="AA220" s="67" t="str">
        <f>IF($B220&lt;&gt;"",INDEX(DataOB[],FirstRow+ROW()-7,MATCH(AA$6,DataOB[#Headers],0)),"")</f>
        <v/>
      </c>
      <c r="AB220" s="67" t="str">
        <f>IF($B220&lt;&gt;"",INDEX(DataOB[],FirstRow+ROW()-7,MATCH(AB$6,DataOB[#Headers],0)),"")</f>
        <v/>
      </c>
      <c r="AC220" s="67" t="str">
        <f>IF($B220&lt;&gt;"",INDEX(DataOB[],FirstRow+ROW()-7,MATCH(AC$6,DataOB[#Headers],0)),"")</f>
        <v/>
      </c>
      <c r="AD220" s="67" t="str">
        <f>IF($B220&lt;&gt;"",INDEX(DataOB[],FirstRow+ROW()-7,MATCH(AD$6,DataOB[#Headers],0)),"")</f>
        <v/>
      </c>
      <c r="AE220" s="67" t="str">
        <f>IF($B220&lt;&gt;"",INDEX(DataOB[],FirstRow+ROW()-7,MATCH(AE$6,DataOB[#Headers],0)),"")</f>
        <v/>
      </c>
      <c r="AF220" s="26">
        <f t="shared" si="41"/>
        <v>0</v>
      </c>
      <c r="AG220" s="31">
        <f>SUM($T220:T220)</f>
        <v>0</v>
      </c>
      <c r="AH220" s="31">
        <f>SUM($T220:U220)</f>
        <v>0</v>
      </c>
      <c r="AI220" s="31">
        <f>SUM($T220:V220)</f>
        <v>0</v>
      </c>
      <c r="AJ220" s="31">
        <f>SUM($T220:W220)</f>
        <v>0</v>
      </c>
      <c r="AK220" s="31">
        <f>SUM($T220:X220)</f>
        <v>0</v>
      </c>
      <c r="AL220" s="31">
        <f>SUM($T220:Y220)</f>
        <v>0</v>
      </c>
      <c r="AM220" s="31">
        <f>SUM($T220:Z220)</f>
        <v>0</v>
      </c>
      <c r="AN220" s="31">
        <f>SUM($T220:AA220)</f>
        <v>0</v>
      </c>
      <c r="AO220" s="31">
        <f>SUM($T220:AB220)</f>
        <v>0</v>
      </c>
      <c r="AP220" s="31">
        <f>SUM($T220:AC220)</f>
        <v>0</v>
      </c>
      <c r="AQ220" s="31">
        <f>SUM($T220:AD220)</f>
        <v>0</v>
      </c>
      <c r="AR220" s="31">
        <f>SUM($T220:AE220)</f>
        <v>0</v>
      </c>
      <c r="AS220" s="27">
        <f t="shared" si="42"/>
        <v>0</v>
      </c>
    </row>
    <row r="221" spans="2:45">
      <c r="B221" s="102" t="str">
        <f>IF(ROW()-6&gt;NumCostCenter,"",IF(CostCenter&lt;&gt;"ALL",CostCenter,DATA_LF2!B219))</f>
        <v/>
      </c>
      <c r="C221" s="153" t="str">
        <f>IF($B221&lt;&gt;"",INDEX(DataOB[],FirstRow+ROW()-7,2),"")</f>
        <v/>
      </c>
      <c r="D221" s="66" t="str">
        <f>IF($B221&lt;&gt;"",INDEX(DataOB[],FirstRow+ROW()-7,3),"")</f>
        <v/>
      </c>
      <c r="E221" s="103" t="str">
        <f>IF($B221&lt;&gt;"",INDEX(DataOB[],FirstRow+ROW()-7,6),"")</f>
        <v/>
      </c>
      <c r="F221" s="103" t="str">
        <f>IF($B221&lt;&gt;"",INDEX(DataOB[],FirstRow+ROW()-7,5),"")</f>
        <v/>
      </c>
      <c r="G221" s="58">
        <f>IF($B221&lt;&gt;"",SUMIFS(DataAct_tbl[AMOUNT],DataAct_tbl[BG CODE],Detail!$D221,DataAct_tbl[MONTH],LEFT(MonthName,3),DataAct_tbl[Dept code],$B221),0)</f>
        <v>0</v>
      </c>
      <c r="H221" s="31" t="str">
        <f t="shared" si="34"/>
        <v/>
      </c>
      <c r="I221" s="28" t="str">
        <f t="shared" si="35"/>
        <v/>
      </c>
      <c r="J221" s="32" t="str">
        <f t="shared" si="36"/>
        <v/>
      </c>
      <c r="K221" s="86"/>
      <c r="L221" s="62">
        <f>IF($B221&lt;&gt;"",SUMIFS(DataAct_tbl[AMOUNT],DataAct_tbl[BG CODE],Detail!$D221,DataAct_tbl[Check Range],"=true",DataAct_tbl[Dept code],$B221),0)</f>
        <v>0</v>
      </c>
      <c r="M221" s="63">
        <f>INDEX($AG$7:$AR$1005,ROW()-6,MATCH(MTD,$AG$6:$AR$6,0))</f>
        <v>0</v>
      </c>
      <c r="N221" s="34">
        <f t="shared" si="37"/>
        <v>0</v>
      </c>
      <c r="O221" s="64" t="str">
        <f t="shared" si="38"/>
        <v xml:space="preserve"> </v>
      </c>
      <c r="Q221" s="97">
        <f t="shared" si="39"/>
        <v>0</v>
      </c>
      <c r="R221" s="96">
        <f t="shared" si="40"/>
        <v>0</v>
      </c>
      <c r="T221" s="67" t="str">
        <f>IF($B221&lt;&gt;"",INDEX(DataOB[],FirstRow+ROW()-7,MATCH(T$6,DataOB[#Headers],0)),"")</f>
        <v/>
      </c>
      <c r="U221" s="67" t="str">
        <f>IF($B221&lt;&gt;"",INDEX(DataOB[],FirstRow+ROW()-7,MATCH(U$6,DataOB[#Headers],0)),"")</f>
        <v/>
      </c>
      <c r="V221" s="67" t="str">
        <f>IF($B221&lt;&gt;"",INDEX(DataOB[],FirstRow+ROW()-7,MATCH(V$6,DataOB[#Headers],0)),"")</f>
        <v/>
      </c>
      <c r="W221" s="67" t="str">
        <f>IF($B221&lt;&gt;"",INDEX(DataOB[],FirstRow+ROW()-7,MATCH(W$6,DataOB[#Headers],0)),"")</f>
        <v/>
      </c>
      <c r="X221" s="67" t="str">
        <f>IF($B221&lt;&gt;"",INDEX(DataOB[],FirstRow+ROW()-7,MATCH(X$6,DataOB[#Headers],0)),"")</f>
        <v/>
      </c>
      <c r="Y221" s="67" t="str">
        <f>IF($B221&lt;&gt;"",INDEX(DataOB[],FirstRow+ROW()-7,MATCH(Y$6,DataOB[#Headers],0)),"")</f>
        <v/>
      </c>
      <c r="Z221" s="67" t="str">
        <f>IF($B221&lt;&gt;"",INDEX(DataOB[],FirstRow+ROW()-7,MATCH(Z$6,DataOB[#Headers],0)),"")</f>
        <v/>
      </c>
      <c r="AA221" s="67" t="str">
        <f>IF($B221&lt;&gt;"",INDEX(DataOB[],FirstRow+ROW()-7,MATCH(AA$6,DataOB[#Headers],0)),"")</f>
        <v/>
      </c>
      <c r="AB221" s="67" t="str">
        <f>IF($B221&lt;&gt;"",INDEX(DataOB[],FirstRow+ROW()-7,MATCH(AB$6,DataOB[#Headers],0)),"")</f>
        <v/>
      </c>
      <c r="AC221" s="67" t="str">
        <f>IF($B221&lt;&gt;"",INDEX(DataOB[],FirstRow+ROW()-7,MATCH(AC$6,DataOB[#Headers],0)),"")</f>
        <v/>
      </c>
      <c r="AD221" s="67" t="str">
        <f>IF($B221&lt;&gt;"",INDEX(DataOB[],FirstRow+ROW()-7,MATCH(AD$6,DataOB[#Headers],0)),"")</f>
        <v/>
      </c>
      <c r="AE221" s="67" t="str">
        <f>IF($B221&lt;&gt;"",INDEX(DataOB[],FirstRow+ROW()-7,MATCH(AE$6,DataOB[#Headers],0)),"")</f>
        <v/>
      </c>
      <c r="AF221" s="26">
        <f t="shared" si="41"/>
        <v>0</v>
      </c>
      <c r="AG221" s="31">
        <f>SUM($T221:T221)</f>
        <v>0</v>
      </c>
      <c r="AH221" s="31">
        <f>SUM($T221:U221)</f>
        <v>0</v>
      </c>
      <c r="AI221" s="31">
        <f>SUM($T221:V221)</f>
        <v>0</v>
      </c>
      <c r="AJ221" s="31">
        <f>SUM($T221:W221)</f>
        <v>0</v>
      </c>
      <c r="AK221" s="31">
        <f>SUM($T221:X221)</f>
        <v>0</v>
      </c>
      <c r="AL221" s="31">
        <f>SUM($T221:Y221)</f>
        <v>0</v>
      </c>
      <c r="AM221" s="31">
        <f>SUM($T221:Z221)</f>
        <v>0</v>
      </c>
      <c r="AN221" s="31">
        <f>SUM($T221:AA221)</f>
        <v>0</v>
      </c>
      <c r="AO221" s="31">
        <f>SUM($T221:AB221)</f>
        <v>0</v>
      </c>
      <c r="AP221" s="31">
        <f>SUM($T221:AC221)</f>
        <v>0</v>
      </c>
      <c r="AQ221" s="31">
        <f>SUM($T221:AD221)</f>
        <v>0</v>
      </c>
      <c r="AR221" s="31">
        <f>SUM($T221:AE221)</f>
        <v>0</v>
      </c>
      <c r="AS221" s="27">
        <f t="shared" si="42"/>
        <v>0</v>
      </c>
    </row>
    <row r="222" spans="2:45">
      <c r="B222" s="102" t="str">
        <f>IF(ROW()-6&gt;NumCostCenter,"",IF(CostCenter&lt;&gt;"ALL",CostCenter,DATA_LF2!B220))</f>
        <v/>
      </c>
      <c r="C222" s="153" t="str">
        <f>IF($B222&lt;&gt;"",INDEX(DataOB[],FirstRow+ROW()-7,2),"")</f>
        <v/>
      </c>
      <c r="D222" s="66" t="str">
        <f>IF($B222&lt;&gt;"",INDEX(DataOB[],FirstRow+ROW()-7,3),"")</f>
        <v/>
      </c>
      <c r="E222" s="103" t="str">
        <f>IF($B222&lt;&gt;"",INDEX(DataOB[],FirstRow+ROW()-7,6),"")</f>
        <v/>
      </c>
      <c r="F222" s="103" t="str">
        <f>IF($B222&lt;&gt;"",INDEX(DataOB[],FirstRow+ROW()-7,5),"")</f>
        <v/>
      </c>
      <c r="G222" s="58">
        <f>IF($B222&lt;&gt;"",SUMIFS(DataAct_tbl[AMOUNT],DataAct_tbl[BG CODE],Detail!$D222,DataAct_tbl[MONTH],LEFT(MonthName,3),DataAct_tbl[Dept code],$B222),0)</f>
        <v>0</v>
      </c>
      <c r="H222" s="31" t="str">
        <f t="shared" si="34"/>
        <v/>
      </c>
      <c r="I222" s="28" t="str">
        <f t="shared" si="35"/>
        <v/>
      </c>
      <c r="J222" s="32" t="str">
        <f t="shared" si="36"/>
        <v/>
      </c>
      <c r="K222" s="86"/>
      <c r="L222" s="62">
        <f>IF($B222&lt;&gt;"",SUMIFS(DataAct_tbl[AMOUNT],DataAct_tbl[BG CODE],Detail!$D222,DataAct_tbl[Check Range],"=true",DataAct_tbl[Dept code],$B222),0)</f>
        <v>0</v>
      </c>
      <c r="M222" s="63">
        <f>INDEX($AG$7:$AR$1005,ROW()-6,MATCH(MTD,$AG$6:$AR$6,0))</f>
        <v>0</v>
      </c>
      <c r="N222" s="34">
        <f t="shared" si="37"/>
        <v>0</v>
      </c>
      <c r="O222" s="64" t="str">
        <f t="shared" si="38"/>
        <v xml:space="preserve"> </v>
      </c>
      <c r="Q222" s="97">
        <f t="shared" si="39"/>
        <v>0</v>
      </c>
      <c r="R222" s="96">
        <f t="shared" si="40"/>
        <v>0</v>
      </c>
      <c r="T222" s="67" t="str">
        <f>IF($B222&lt;&gt;"",INDEX(DataOB[],FirstRow+ROW()-7,MATCH(T$6,DataOB[#Headers],0)),"")</f>
        <v/>
      </c>
      <c r="U222" s="67" t="str">
        <f>IF($B222&lt;&gt;"",INDEX(DataOB[],FirstRow+ROW()-7,MATCH(U$6,DataOB[#Headers],0)),"")</f>
        <v/>
      </c>
      <c r="V222" s="67" t="str">
        <f>IF($B222&lt;&gt;"",INDEX(DataOB[],FirstRow+ROW()-7,MATCH(V$6,DataOB[#Headers],0)),"")</f>
        <v/>
      </c>
      <c r="W222" s="67" t="str">
        <f>IF($B222&lt;&gt;"",INDEX(DataOB[],FirstRow+ROW()-7,MATCH(W$6,DataOB[#Headers],0)),"")</f>
        <v/>
      </c>
      <c r="X222" s="67" t="str">
        <f>IF($B222&lt;&gt;"",INDEX(DataOB[],FirstRow+ROW()-7,MATCH(X$6,DataOB[#Headers],0)),"")</f>
        <v/>
      </c>
      <c r="Y222" s="67" t="str">
        <f>IF($B222&lt;&gt;"",INDEX(DataOB[],FirstRow+ROW()-7,MATCH(Y$6,DataOB[#Headers],0)),"")</f>
        <v/>
      </c>
      <c r="Z222" s="67" t="str">
        <f>IF($B222&lt;&gt;"",INDEX(DataOB[],FirstRow+ROW()-7,MATCH(Z$6,DataOB[#Headers],0)),"")</f>
        <v/>
      </c>
      <c r="AA222" s="67" t="str">
        <f>IF($B222&lt;&gt;"",INDEX(DataOB[],FirstRow+ROW()-7,MATCH(AA$6,DataOB[#Headers],0)),"")</f>
        <v/>
      </c>
      <c r="AB222" s="67" t="str">
        <f>IF($B222&lt;&gt;"",INDEX(DataOB[],FirstRow+ROW()-7,MATCH(AB$6,DataOB[#Headers],0)),"")</f>
        <v/>
      </c>
      <c r="AC222" s="67" t="str">
        <f>IF($B222&lt;&gt;"",INDEX(DataOB[],FirstRow+ROW()-7,MATCH(AC$6,DataOB[#Headers],0)),"")</f>
        <v/>
      </c>
      <c r="AD222" s="67" t="str">
        <f>IF($B222&lt;&gt;"",INDEX(DataOB[],FirstRow+ROW()-7,MATCH(AD$6,DataOB[#Headers],0)),"")</f>
        <v/>
      </c>
      <c r="AE222" s="67" t="str">
        <f>IF($B222&lt;&gt;"",INDEX(DataOB[],FirstRow+ROW()-7,MATCH(AE$6,DataOB[#Headers],0)),"")</f>
        <v/>
      </c>
      <c r="AF222" s="26">
        <f t="shared" si="41"/>
        <v>0</v>
      </c>
      <c r="AG222" s="31">
        <f>SUM($T222:T222)</f>
        <v>0</v>
      </c>
      <c r="AH222" s="31">
        <f>SUM($T222:U222)</f>
        <v>0</v>
      </c>
      <c r="AI222" s="31">
        <f>SUM($T222:V222)</f>
        <v>0</v>
      </c>
      <c r="AJ222" s="31">
        <f>SUM($T222:W222)</f>
        <v>0</v>
      </c>
      <c r="AK222" s="31">
        <f>SUM($T222:X222)</f>
        <v>0</v>
      </c>
      <c r="AL222" s="31">
        <f>SUM($T222:Y222)</f>
        <v>0</v>
      </c>
      <c r="AM222" s="31">
        <f>SUM($T222:Z222)</f>
        <v>0</v>
      </c>
      <c r="AN222" s="31">
        <f>SUM($T222:AA222)</f>
        <v>0</v>
      </c>
      <c r="AO222" s="31">
        <f>SUM($T222:AB222)</f>
        <v>0</v>
      </c>
      <c r="AP222" s="31">
        <f>SUM($T222:AC222)</f>
        <v>0</v>
      </c>
      <c r="AQ222" s="31">
        <f>SUM($T222:AD222)</f>
        <v>0</v>
      </c>
      <c r="AR222" s="31">
        <f>SUM($T222:AE222)</f>
        <v>0</v>
      </c>
      <c r="AS222" s="27">
        <f t="shared" si="42"/>
        <v>0</v>
      </c>
    </row>
    <row r="223" spans="2:45">
      <c r="B223" s="102" t="str">
        <f>IF(ROW()-6&gt;NumCostCenter,"",IF(CostCenter&lt;&gt;"ALL",CostCenter,DATA_LF2!B221))</f>
        <v/>
      </c>
      <c r="C223" s="153" t="str">
        <f>IF($B223&lt;&gt;"",INDEX(DataOB[],FirstRow+ROW()-7,2),"")</f>
        <v/>
      </c>
      <c r="D223" s="66" t="str">
        <f>IF($B223&lt;&gt;"",INDEX(DataOB[],FirstRow+ROW()-7,3),"")</f>
        <v/>
      </c>
      <c r="E223" s="103" t="str">
        <f>IF($B223&lt;&gt;"",INDEX(DataOB[],FirstRow+ROW()-7,6),"")</f>
        <v/>
      </c>
      <c r="F223" s="103" t="str">
        <f>IF($B223&lt;&gt;"",INDEX(DataOB[],FirstRow+ROW()-7,5),"")</f>
        <v/>
      </c>
      <c r="G223" s="58">
        <f>IF($B223&lt;&gt;"",SUMIFS(DataAct_tbl[AMOUNT],DataAct_tbl[BG CODE],Detail!$D223,DataAct_tbl[MONTH],LEFT(MonthName,3),DataAct_tbl[Dept code],$B223),0)</f>
        <v>0</v>
      </c>
      <c r="H223" s="31" t="str">
        <f t="shared" si="34"/>
        <v/>
      </c>
      <c r="I223" s="28" t="str">
        <f t="shared" si="35"/>
        <v/>
      </c>
      <c r="J223" s="32" t="str">
        <f t="shared" si="36"/>
        <v/>
      </c>
      <c r="K223" s="86"/>
      <c r="L223" s="62">
        <f>IF($B223&lt;&gt;"",SUMIFS(DataAct_tbl[AMOUNT],DataAct_tbl[BG CODE],Detail!$D223,DataAct_tbl[Check Range],"=true",DataAct_tbl[Dept code],$B223),0)</f>
        <v>0</v>
      </c>
      <c r="M223" s="63">
        <f>INDEX($AG$7:$AR$1005,ROW()-6,MATCH(MTD,$AG$6:$AR$6,0))</f>
        <v>0</v>
      </c>
      <c r="N223" s="34">
        <f t="shared" si="37"/>
        <v>0</v>
      </c>
      <c r="O223" s="64" t="str">
        <f t="shared" si="38"/>
        <v xml:space="preserve"> </v>
      </c>
      <c r="Q223" s="97">
        <f t="shared" si="39"/>
        <v>0</v>
      </c>
      <c r="R223" s="96">
        <f t="shared" si="40"/>
        <v>0</v>
      </c>
      <c r="T223" s="67" t="str">
        <f>IF($B223&lt;&gt;"",INDEX(DataOB[],FirstRow+ROW()-7,MATCH(T$6,DataOB[#Headers],0)),"")</f>
        <v/>
      </c>
      <c r="U223" s="67" t="str">
        <f>IF($B223&lt;&gt;"",INDEX(DataOB[],FirstRow+ROW()-7,MATCH(U$6,DataOB[#Headers],0)),"")</f>
        <v/>
      </c>
      <c r="V223" s="67" t="str">
        <f>IF($B223&lt;&gt;"",INDEX(DataOB[],FirstRow+ROW()-7,MATCH(V$6,DataOB[#Headers],0)),"")</f>
        <v/>
      </c>
      <c r="W223" s="67" t="str">
        <f>IF($B223&lt;&gt;"",INDEX(DataOB[],FirstRow+ROW()-7,MATCH(W$6,DataOB[#Headers],0)),"")</f>
        <v/>
      </c>
      <c r="X223" s="67" t="str">
        <f>IF($B223&lt;&gt;"",INDEX(DataOB[],FirstRow+ROW()-7,MATCH(X$6,DataOB[#Headers],0)),"")</f>
        <v/>
      </c>
      <c r="Y223" s="67" t="str">
        <f>IF($B223&lt;&gt;"",INDEX(DataOB[],FirstRow+ROW()-7,MATCH(Y$6,DataOB[#Headers],0)),"")</f>
        <v/>
      </c>
      <c r="Z223" s="67" t="str">
        <f>IF($B223&lt;&gt;"",INDEX(DataOB[],FirstRow+ROW()-7,MATCH(Z$6,DataOB[#Headers],0)),"")</f>
        <v/>
      </c>
      <c r="AA223" s="67" t="str">
        <f>IF($B223&lt;&gt;"",INDEX(DataOB[],FirstRow+ROW()-7,MATCH(AA$6,DataOB[#Headers],0)),"")</f>
        <v/>
      </c>
      <c r="AB223" s="67" t="str">
        <f>IF($B223&lt;&gt;"",INDEX(DataOB[],FirstRow+ROW()-7,MATCH(AB$6,DataOB[#Headers],0)),"")</f>
        <v/>
      </c>
      <c r="AC223" s="67" t="str">
        <f>IF($B223&lt;&gt;"",INDEX(DataOB[],FirstRow+ROW()-7,MATCH(AC$6,DataOB[#Headers],0)),"")</f>
        <v/>
      </c>
      <c r="AD223" s="67" t="str">
        <f>IF($B223&lt;&gt;"",INDEX(DataOB[],FirstRow+ROW()-7,MATCH(AD$6,DataOB[#Headers],0)),"")</f>
        <v/>
      </c>
      <c r="AE223" s="67" t="str">
        <f>IF($B223&lt;&gt;"",INDEX(DataOB[],FirstRow+ROW()-7,MATCH(AE$6,DataOB[#Headers],0)),"")</f>
        <v/>
      </c>
      <c r="AF223" s="26">
        <f t="shared" si="41"/>
        <v>0</v>
      </c>
      <c r="AG223" s="31">
        <f>SUM($T223:T223)</f>
        <v>0</v>
      </c>
      <c r="AH223" s="31">
        <f>SUM($T223:U223)</f>
        <v>0</v>
      </c>
      <c r="AI223" s="31">
        <f>SUM($T223:V223)</f>
        <v>0</v>
      </c>
      <c r="AJ223" s="31">
        <f>SUM($T223:W223)</f>
        <v>0</v>
      </c>
      <c r="AK223" s="31">
        <f>SUM($T223:X223)</f>
        <v>0</v>
      </c>
      <c r="AL223" s="31">
        <f>SUM($T223:Y223)</f>
        <v>0</v>
      </c>
      <c r="AM223" s="31">
        <f>SUM($T223:Z223)</f>
        <v>0</v>
      </c>
      <c r="AN223" s="31">
        <f>SUM($T223:AA223)</f>
        <v>0</v>
      </c>
      <c r="AO223" s="31">
        <f>SUM($T223:AB223)</f>
        <v>0</v>
      </c>
      <c r="AP223" s="31">
        <f>SUM($T223:AC223)</f>
        <v>0</v>
      </c>
      <c r="AQ223" s="31">
        <f>SUM($T223:AD223)</f>
        <v>0</v>
      </c>
      <c r="AR223" s="31">
        <f>SUM($T223:AE223)</f>
        <v>0</v>
      </c>
      <c r="AS223" s="27">
        <f t="shared" si="42"/>
        <v>0</v>
      </c>
    </row>
    <row r="224" spans="2:45">
      <c r="B224" s="102" t="str">
        <f>IF(ROW()-6&gt;NumCostCenter,"",IF(CostCenter&lt;&gt;"ALL",CostCenter,DATA_LF2!B222))</f>
        <v/>
      </c>
      <c r="C224" s="153" t="str">
        <f>IF($B224&lt;&gt;"",INDEX(DataOB[],FirstRow+ROW()-7,2),"")</f>
        <v/>
      </c>
      <c r="D224" s="66" t="str">
        <f>IF($B224&lt;&gt;"",INDEX(DataOB[],FirstRow+ROW()-7,3),"")</f>
        <v/>
      </c>
      <c r="E224" s="103" t="str">
        <f>IF($B224&lt;&gt;"",INDEX(DataOB[],FirstRow+ROW()-7,6),"")</f>
        <v/>
      </c>
      <c r="F224" s="103" t="str">
        <f>IF($B224&lt;&gt;"",INDEX(DataOB[],FirstRow+ROW()-7,5),"")</f>
        <v/>
      </c>
      <c r="G224" s="58">
        <f>IF($B224&lt;&gt;"",SUMIFS(DataAct_tbl[AMOUNT],DataAct_tbl[BG CODE],Detail!$D224,DataAct_tbl[MONTH],LEFT(MonthName,3),DataAct_tbl[Dept code],$B224),0)</f>
        <v>0</v>
      </c>
      <c r="H224" s="31" t="str">
        <f t="shared" si="34"/>
        <v/>
      </c>
      <c r="I224" s="28" t="str">
        <f t="shared" si="35"/>
        <v/>
      </c>
      <c r="J224" s="32" t="str">
        <f t="shared" si="36"/>
        <v/>
      </c>
      <c r="K224" s="86"/>
      <c r="L224" s="62">
        <f>IF($B224&lt;&gt;"",SUMIFS(DataAct_tbl[AMOUNT],DataAct_tbl[BG CODE],Detail!$D224,DataAct_tbl[Check Range],"=true",DataAct_tbl[Dept code],$B224),0)</f>
        <v>0</v>
      </c>
      <c r="M224" s="63">
        <f>INDEX($AG$7:$AR$1005,ROW()-6,MATCH(MTD,$AG$6:$AR$6,0))</f>
        <v>0</v>
      </c>
      <c r="N224" s="34">
        <f t="shared" si="37"/>
        <v>0</v>
      </c>
      <c r="O224" s="64" t="str">
        <f t="shared" si="38"/>
        <v xml:space="preserve"> </v>
      </c>
      <c r="Q224" s="97">
        <f t="shared" si="39"/>
        <v>0</v>
      </c>
      <c r="R224" s="96">
        <f t="shared" si="40"/>
        <v>0</v>
      </c>
      <c r="T224" s="67" t="str">
        <f>IF($B224&lt;&gt;"",INDEX(DataOB[],FirstRow+ROW()-7,MATCH(T$6,DataOB[#Headers],0)),"")</f>
        <v/>
      </c>
      <c r="U224" s="67" t="str">
        <f>IF($B224&lt;&gt;"",INDEX(DataOB[],FirstRow+ROW()-7,MATCH(U$6,DataOB[#Headers],0)),"")</f>
        <v/>
      </c>
      <c r="V224" s="67" t="str">
        <f>IF($B224&lt;&gt;"",INDEX(DataOB[],FirstRow+ROW()-7,MATCH(V$6,DataOB[#Headers],0)),"")</f>
        <v/>
      </c>
      <c r="W224" s="67" t="str">
        <f>IF($B224&lt;&gt;"",INDEX(DataOB[],FirstRow+ROW()-7,MATCH(W$6,DataOB[#Headers],0)),"")</f>
        <v/>
      </c>
      <c r="X224" s="67" t="str">
        <f>IF($B224&lt;&gt;"",INDEX(DataOB[],FirstRow+ROW()-7,MATCH(X$6,DataOB[#Headers],0)),"")</f>
        <v/>
      </c>
      <c r="Y224" s="67" t="str">
        <f>IF($B224&lt;&gt;"",INDEX(DataOB[],FirstRow+ROW()-7,MATCH(Y$6,DataOB[#Headers],0)),"")</f>
        <v/>
      </c>
      <c r="Z224" s="67" t="str">
        <f>IF($B224&lt;&gt;"",INDEX(DataOB[],FirstRow+ROW()-7,MATCH(Z$6,DataOB[#Headers],0)),"")</f>
        <v/>
      </c>
      <c r="AA224" s="67" t="str">
        <f>IF($B224&lt;&gt;"",INDEX(DataOB[],FirstRow+ROW()-7,MATCH(AA$6,DataOB[#Headers],0)),"")</f>
        <v/>
      </c>
      <c r="AB224" s="67" t="str">
        <f>IF($B224&lt;&gt;"",INDEX(DataOB[],FirstRow+ROW()-7,MATCH(AB$6,DataOB[#Headers],0)),"")</f>
        <v/>
      </c>
      <c r="AC224" s="67" t="str">
        <f>IF($B224&lt;&gt;"",INDEX(DataOB[],FirstRow+ROW()-7,MATCH(AC$6,DataOB[#Headers],0)),"")</f>
        <v/>
      </c>
      <c r="AD224" s="67" t="str">
        <f>IF($B224&lt;&gt;"",INDEX(DataOB[],FirstRow+ROW()-7,MATCH(AD$6,DataOB[#Headers],0)),"")</f>
        <v/>
      </c>
      <c r="AE224" s="67" t="str">
        <f>IF($B224&lt;&gt;"",INDEX(DataOB[],FirstRow+ROW()-7,MATCH(AE$6,DataOB[#Headers],0)),"")</f>
        <v/>
      </c>
      <c r="AF224" s="26">
        <f t="shared" si="41"/>
        <v>0</v>
      </c>
      <c r="AG224" s="31">
        <f>SUM($T224:T224)</f>
        <v>0</v>
      </c>
      <c r="AH224" s="31">
        <f>SUM($T224:U224)</f>
        <v>0</v>
      </c>
      <c r="AI224" s="31">
        <f>SUM($T224:V224)</f>
        <v>0</v>
      </c>
      <c r="AJ224" s="31">
        <f>SUM($T224:W224)</f>
        <v>0</v>
      </c>
      <c r="AK224" s="31">
        <f>SUM($T224:X224)</f>
        <v>0</v>
      </c>
      <c r="AL224" s="31">
        <f>SUM($T224:Y224)</f>
        <v>0</v>
      </c>
      <c r="AM224" s="31">
        <f>SUM($T224:Z224)</f>
        <v>0</v>
      </c>
      <c r="AN224" s="31">
        <f>SUM($T224:AA224)</f>
        <v>0</v>
      </c>
      <c r="AO224" s="31">
        <f>SUM($T224:AB224)</f>
        <v>0</v>
      </c>
      <c r="AP224" s="31">
        <f>SUM($T224:AC224)</f>
        <v>0</v>
      </c>
      <c r="AQ224" s="31">
        <f>SUM($T224:AD224)</f>
        <v>0</v>
      </c>
      <c r="AR224" s="31">
        <f>SUM($T224:AE224)</f>
        <v>0</v>
      </c>
      <c r="AS224" s="27">
        <f t="shared" si="42"/>
        <v>0</v>
      </c>
    </row>
    <row r="225" spans="2:45">
      <c r="B225" s="102" t="str">
        <f>IF(ROW()-6&gt;NumCostCenter,"",IF(CostCenter&lt;&gt;"ALL",CostCenter,DATA_LF2!B223))</f>
        <v/>
      </c>
      <c r="C225" s="153" t="str">
        <f>IF($B225&lt;&gt;"",INDEX(DataOB[],FirstRow+ROW()-7,2),"")</f>
        <v/>
      </c>
      <c r="D225" s="66" t="str">
        <f>IF($B225&lt;&gt;"",INDEX(DataOB[],FirstRow+ROW()-7,3),"")</f>
        <v/>
      </c>
      <c r="E225" s="103" t="str">
        <f>IF($B225&lt;&gt;"",INDEX(DataOB[],FirstRow+ROW()-7,6),"")</f>
        <v/>
      </c>
      <c r="F225" s="103" t="str">
        <f>IF($B225&lt;&gt;"",INDEX(DataOB[],FirstRow+ROW()-7,5),"")</f>
        <v/>
      </c>
      <c r="G225" s="58">
        <f>IF($B225&lt;&gt;"",SUMIFS(DataAct_tbl[AMOUNT],DataAct_tbl[BG CODE],Detail!$D225,DataAct_tbl[MONTH],LEFT(MonthName,3),DataAct_tbl[Dept code],$B225),0)</f>
        <v>0</v>
      </c>
      <c r="H225" s="31" t="str">
        <f t="shared" si="34"/>
        <v/>
      </c>
      <c r="I225" s="28" t="str">
        <f t="shared" si="35"/>
        <v/>
      </c>
      <c r="J225" s="32" t="str">
        <f t="shared" si="36"/>
        <v/>
      </c>
      <c r="K225" s="86"/>
      <c r="L225" s="62">
        <f>IF($B225&lt;&gt;"",SUMIFS(DataAct_tbl[AMOUNT],DataAct_tbl[BG CODE],Detail!$D225,DataAct_tbl[Check Range],"=true",DataAct_tbl[Dept code],$B225),0)</f>
        <v>0</v>
      </c>
      <c r="M225" s="63">
        <f>INDEX($AG$7:$AR$1005,ROW()-6,MATCH(MTD,$AG$6:$AR$6,0))</f>
        <v>0</v>
      </c>
      <c r="N225" s="34">
        <f t="shared" si="37"/>
        <v>0</v>
      </c>
      <c r="O225" s="64" t="str">
        <f t="shared" si="38"/>
        <v xml:space="preserve"> </v>
      </c>
      <c r="Q225" s="97">
        <f t="shared" si="39"/>
        <v>0</v>
      </c>
      <c r="R225" s="96">
        <f t="shared" si="40"/>
        <v>0</v>
      </c>
      <c r="T225" s="67" t="str">
        <f>IF($B225&lt;&gt;"",INDEX(DataOB[],FirstRow+ROW()-7,MATCH(T$6,DataOB[#Headers],0)),"")</f>
        <v/>
      </c>
      <c r="U225" s="67" t="str">
        <f>IF($B225&lt;&gt;"",INDEX(DataOB[],FirstRow+ROW()-7,MATCH(U$6,DataOB[#Headers],0)),"")</f>
        <v/>
      </c>
      <c r="V225" s="67" t="str">
        <f>IF($B225&lt;&gt;"",INDEX(DataOB[],FirstRow+ROW()-7,MATCH(V$6,DataOB[#Headers],0)),"")</f>
        <v/>
      </c>
      <c r="W225" s="67" t="str">
        <f>IF($B225&lt;&gt;"",INDEX(DataOB[],FirstRow+ROW()-7,MATCH(W$6,DataOB[#Headers],0)),"")</f>
        <v/>
      </c>
      <c r="X225" s="67" t="str">
        <f>IF($B225&lt;&gt;"",INDEX(DataOB[],FirstRow+ROW()-7,MATCH(X$6,DataOB[#Headers],0)),"")</f>
        <v/>
      </c>
      <c r="Y225" s="67" t="str">
        <f>IF($B225&lt;&gt;"",INDEX(DataOB[],FirstRow+ROW()-7,MATCH(Y$6,DataOB[#Headers],0)),"")</f>
        <v/>
      </c>
      <c r="Z225" s="67" t="str">
        <f>IF($B225&lt;&gt;"",INDEX(DataOB[],FirstRow+ROW()-7,MATCH(Z$6,DataOB[#Headers],0)),"")</f>
        <v/>
      </c>
      <c r="AA225" s="67" t="str">
        <f>IF($B225&lt;&gt;"",INDEX(DataOB[],FirstRow+ROW()-7,MATCH(AA$6,DataOB[#Headers],0)),"")</f>
        <v/>
      </c>
      <c r="AB225" s="67" t="str">
        <f>IF($B225&lt;&gt;"",INDEX(DataOB[],FirstRow+ROW()-7,MATCH(AB$6,DataOB[#Headers],0)),"")</f>
        <v/>
      </c>
      <c r="AC225" s="67" t="str">
        <f>IF($B225&lt;&gt;"",INDEX(DataOB[],FirstRow+ROW()-7,MATCH(AC$6,DataOB[#Headers],0)),"")</f>
        <v/>
      </c>
      <c r="AD225" s="67" t="str">
        <f>IF($B225&lt;&gt;"",INDEX(DataOB[],FirstRow+ROW()-7,MATCH(AD$6,DataOB[#Headers],0)),"")</f>
        <v/>
      </c>
      <c r="AE225" s="67" t="str">
        <f>IF($B225&lt;&gt;"",INDEX(DataOB[],FirstRow+ROW()-7,MATCH(AE$6,DataOB[#Headers],0)),"")</f>
        <v/>
      </c>
      <c r="AF225" s="26">
        <f t="shared" si="41"/>
        <v>0</v>
      </c>
      <c r="AG225" s="31">
        <f>SUM($T225:T225)</f>
        <v>0</v>
      </c>
      <c r="AH225" s="31">
        <f>SUM($T225:U225)</f>
        <v>0</v>
      </c>
      <c r="AI225" s="31">
        <f>SUM($T225:V225)</f>
        <v>0</v>
      </c>
      <c r="AJ225" s="31">
        <f>SUM($T225:W225)</f>
        <v>0</v>
      </c>
      <c r="AK225" s="31">
        <f>SUM($T225:X225)</f>
        <v>0</v>
      </c>
      <c r="AL225" s="31">
        <f>SUM($T225:Y225)</f>
        <v>0</v>
      </c>
      <c r="AM225" s="31">
        <f>SUM($T225:Z225)</f>
        <v>0</v>
      </c>
      <c r="AN225" s="31">
        <f>SUM($T225:AA225)</f>
        <v>0</v>
      </c>
      <c r="AO225" s="31">
        <f>SUM($T225:AB225)</f>
        <v>0</v>
      </c>
      <c r="AP225" s="31">
        <f>SUM($T225:AC225)</f>
        <v>0</v>
      </c>
      <c r="AQ225" s="31">
        <f>SUM($T225:AD225)</f>
        <v>0</v>
      </c>
      <c r="AR225" s="31">
        <f>SUM($T225:AE225)</f>
        <v>0</v>
      </c>
      <c r="AS225" s="27">
        <f t="shared" si="42"/>
        <v>0</v>
      </c>
    </row>
    <row r="226" spans="2:45">
      <c r="B226" s="102" t="str">
        <f>IF(ROW()-6&gt;NumCostCenter,"",IF(CostCenter&lt;&gt;"ALL",CostCenter,DATA_LF2!B224))</f>
        <v/>
      </c>
      <c r="C226" s="153" t="str">
        <f>IF($B226&lt;&gt;"",INDEX(DataOB[],FirstRow+ROW()-7,2),"")</f>
        <v/>
      </c>
      <c r="D226" s="66" t="str">
        <f>IF($B226&lt;&gt;"",INDEX(DataOB[],FirstRow+ROW()-7,3),"")</f>
        <v/>
      </c>
      <c r="E226" s="103" t="str">
        <f>IF($B226&lt;&gt;"",INDEX(DataOB[],FirstRow+ROW()-7,6),"")</f>
        <v/>
      </c>
      <c r="F226" s="103" t="str">
        <f>IF($B226&lt;&gt;"",INDEX(DataOB[],FirstRow+ROW()-7,5),"")</f>
        <v/>
      </c>
      <c r="G226" s="58">
        <f>IF($B226&lt;&gt;"",SUMIFS(DataAct_tbl[AMOUNT],DataAct_tbl[BG CODE],Detail!$D226,DataAct_tbl[MONTH],LEFT(MonthName,3),DataAct_tbl[Dept code],$B226),0)</f>
        <v>0</v>
      </c>
      <c r="H226" s="31" t="str">
        <f t="shared" si="34"/>
        <v/>
      </c>
      <c r="I226" s="28" t="str">
        <f t="shared" si="35"/>
        <v/>
      </c>
      <c r="J226" s="32" t="str">
        <f t="shared" si="36"/>
        <v/>
      </c>
      <c r="K226" s="86"/>
      <c r="L226" s="62">
        <f>IF($B226&lt;&gt;"",SUMIFS(DataAct_tbl[AMOUNT],DataAct_tbl[BG CODE],Detail!$D226,DataAct_tbl[Check Range],"=true",DataAct_tbl[Dept code],$B226),0)</f>
        <v>0</v>
      </c>
      <c r="M226" s="63">
        <f>INDEX($AG$7:$AR$1005,ROW()-6,MATCH(MTD,$AG$6:$AR$6,0))</f>
        <v>0</v>
      </c>
      <c r="N226" s="34">
        <f t="shared" si="37"/>
        <v>0</v>
      </c>
      <c r="O226" s="64" t="str">
        <f t="shared" si="38"/>
        <v xml:space="preserve"> </v>
      </c>
      <c r="Q226" s="97">
        <f t="shared" si="39"/>
        <v>0</v>
      </c>
      <c r="R226" s="96">
        <f t="shared" si="40"/>
        <v>0</v>
      </c>
      <c r="T226" s="67" t="str">
        <f>IF($B226&lt;&gt;"",INDEX(DataOB[],FirstRow+ROW()-7,MATCH(T$6,DataOB[#Headers],0)),"")</f>
        <v/>
      </c>
      <c r="U226" s="67" t="str">
        <f>IF($B226&lt;&gt;"",INDEX(DataOB[],FirstRow+ROW()-7,MATCH(U$6,DataOB[#Headers],0)),"")</f>
        <v/>
      </c>
      <c r="V226" s="67" t="str">
        <f>IF($B226&lt;&gt;"",INDEX(DataOB[],FirstRow+ROW()-7,MATCH(V$6,DataOB[#Headers],0)),"")</f>
        <v/>
      </c>
      <c r="W226" s="67" t="str">
        <f>IF($B226&lt;&gt;"",INDEX(DataOB[],FirstRow+ROW()-7,MATCH(W$6,DataOB[#Headers],0)),"")</f>
        <v/>
      </c>
      <c r="X226" s="67" t="str">
        <f>IF($B226&lt;&gt;"",INDEX(DataOB[],FirstRow+ROW()-7,MATCH(X$6,DataOB[#Headers],0)),"")</f>
        <v/>
      </c>
      <c r="Y226" s="67" t="str">
        <f>IF($B226&lt;&gt;"",INDEX(DataOB[],FirstRow+ROW()-7,MATCH(Y$6,DataOB[#Headers],0)),"")</f>
        <v/>
      </c>
      <c r="Z226" s="67" t="str">
        <f>IF($B226&lt;&gt;"",INDEX(DataOB[],FirstRow+ROW()-7,MATCH(Z$6,DataOB[#Headers],0)),"")</f>
        <v/>
      </c>
      <c r="AA226" s="67" t="str">
        <f>IF($B226&lt;&gt;"",INDEX(DataOB[],FirstRow+ROW()-7,MATCH(AA$6,DataOB[#Headers],0)),"")</f>
        <v/>
      </c>
      <c r="AB226" s="67" t="str">
        <f>IF($B226&lt;&gt;"",INDEX(DataOB[],FirstRow+ROW()-7,MATCH(AB$6,DataOB[#Headers],0)),"")</f>
        <v/>
      </c>
      <c r="AC226" s="67" t="str">
        <f>IF($B226&lt;&gt;"",INDEX(DataOB[],FirstRow+ROW()-7,MATCH(AC$6,DataOB[#Headers],0)),"")</f>
        <v/>
      </c>
      <c r="AD226" s="67" t="str">
        <f>IF($B226&lt;&gt;"",INDEX(DataOB[],FirstRow+ROW()-7,MATCH(AD$6,DataOB[#Headers],0)),"")</f>
        <v/>
      </c>
      <c r="AE226" s="67" t="str">
        <f>IF($B226&lt;&gt;"",INDEX(DataOB[],FirstRow+ROW()-7,MATCH(AE$6,DataOB[#Headers],0)),"")</f>
        <v/>
      </c>
      <c r="AF226" s="26">
        <f t="shared" si="41"/>
        <v>0</v>
      </c>
      <c r="AG226" s="31">
        <f>SUM($T226:T226)</f>
        <v>0</v>
      </c>
      <c r="AH226" s="31">
        <f>SUM($T226:U226)</f>
        <v>0</v>
      </c>
      <c r="AI226" s="31">
        <f>SUM($T226:V226)</f>
        <v>0</v>
      </c>
      <c r="AJ226" s="31">
        <f>SUM($T226:W226)</f>
        <v>0</v>
      </c>
      <c r="AK226" s="31">
        <f>SUM($T226:X226)</f>
        <v>0</v>
      </c>
      <c r="AL226" s="31">
        <f>SUM($T226:Y226)</f>
        <v>0</v>
      </c>
      <c r="AM226" s="31">
        <f>SUM($T226:Z226)</f>
        <v>0</v>
      </c>
      <c r="AN226" s="31">
        <f>SUM($T226:AA226)</f>
        <v>0</v>
      </c>
      <c r="AO226" s="31">
        <f>SUM($T226:AB226)</f>
        <v>0</v>
      </c>
      <c r="AP226" s="31">
        <f>SUM($T226:AC226)</f>
        <v>0</v>
      </c>
      <c r="AQ226" s="31">
        <f>SUM($T226:AD226)</f>
        <v>0</v>
      </c>
      <c r="AR226" s="31">
        <f>SUM($T226:AE226)</f>
        <v>0</v>
      </c>
      <c r="AS226" s="27">
        <f t="shared" si="42"/>
        <v>0</v>
      </c>
    </row>
    <row r="227" spans="2:45">
      <c r="B227" s="102" t="str">
        <f>IF(ROW()-6&gt;NumCostCenter,"",IF(CostCenter&lt;&gt;"ALL",CostCenter,DATA_LF2!B225))</f>
        <v/>
      </c>
      <c r="C227" s="153" t="str">
        <f>IF($B227&lt;&gt;"",INDEX(DataOB[],FirstRow+ROW()-7,2),"")</f>
        <v/>
      </c>
      <c r="D227" s="66" t="str">
        <f>IF($B227&lt;&gt;"",INDEX(DataOB[],FirstRow+ROW()-7,3),"")</f>
        <v/>
      </c>
      <c r="E227" s="103" t="str">
        <f>IF($B227&lt;&gt;"",INDEX(DataOB[],FirstRow+ROW()-7,6),"")</f>
        <v/>
      </c>
      <c r="F227" s="103" t="str">
        <f>IF($B227&lt;&gt;"",INDEX(DataOB[],FirstRow+ROW()-7,5),"")</f>
        <v/>
      </c>
      <c r="G227" s="58">
        <f>IF($B227&lt;&gt;"",SUMIFS(DataAct_tbl[AMOUNT],DataAct_tbl[BG CODE],Detail!$D227,DataAct_tbl[MONTH],LEFT(MonthName,3),DataAct_tbl[Dept code],$B227),0)</f>
        <v>0</v>
      </c>
      <c r="H227" s="31" t="str">
        <f t="shared" si="34"/>
        <v/>
      </c>
      <c r="I227" s="28" t="str">
        <f t="shared" si="35"/>
        <v/>
      </c>
      <c r="J227" s="32" t="str">
        <f t="shared" si="36"/>
        <v/>
      </c>
      <c r="K227" s="86"/>
      <c r="L227" s="62">
        <f>IF($B227&lt;&gt;"",SUMIFS(DataAct_tbl[AMOUNT],DataAct_tbl[BG CODE],Detail!$D227,DataAct_tbl[Check Range],"=true",DataAct_tbl[Dept code],$B227),0)</f>
        <v>0</v>
      </c>
      <c r="M227" s="63">
        <f>INDEX($AG$7:$AR$1005,ROW()-6,MATCH(MTD,$AG$6:$AR$6,0))</f>
        <v>0</v>
      </c>
      <c r="N227" s="34">
        <f t="shared" si="37"/>
        <v>0</v>
      </c>
      <c r="O227" s="64" t="str">
        <f t="shared" si="38"/>
        <v xml:space="preserve"> </v>
      </c>
      <c r="Q227" s="97">
        <f t="shared" si="39"/>
        <v>0</v>
      </c>
      <c r="R227" s="96">
        <f t="shared" si="40"/>
        <v>0</v>
      </c>
      <c r="T227" s="67" t="str">
        <f>IF($B227&lt;&gt;"",INDEX(DataOB[],FirstRow+ROW()-7,MATCH(T$6,DataOB[#Headers],0)),"")</f>
        <v/>
      </c>
      <c r="U227" s="67" t="str">
        <f>IF($B227&lt;&gt;"",INDEX(DataOB[],FirstRow+ROW()-7,MATCH(U$6,DataOB[#Headers],0)),"")</f>
        <v/>
      </c>
      <c r="V227" s="67" t="str">
        <f>IF($B227&lt;&gt;"",INDEX(DataOB[],FirstRow+ROW()-7,MATCH(V$6,DataOB[#Headers],0)),"")</f>
        <v/>
      </c>
      <c r="W227" s="67" t="str">
        <f>IF($B227&lt;&gt;"",INDEX(DataOB[],FirstRow+ROW()-7,MATCH(W$6,DataOB[#Headers],0)),"")</f>
        <v/>
      </c>
      <c r="X227" s="67" t="str">
        <f>IF($B227&lt;&gt;"",INDEX(DataOB[],FirstRow+ROW()-7,MATCH(X$6,DataOB[#Headers],0)),"")</f>
        <v/>
      </c>
      <c r="Y227" s="67" t="str">
        <f>IF($B227&lt;&gt;"",INDEX(DataOB[],FirstRow+ROW()-7,MATCH(Y$6,DataOB[#Headers],0)),"")</f>
        <v/>
      </c>
      <c r="Z227" s="67" t="str">
        <f>IF($B227&lt;&gt;"",INDEX(DataOB[],FirstRow+ROW()-7,MATCH(Z$6,DataOB[#Headers],0)),"")</f>
        <v/>
      </c>
      <c r="AA227" s="67" t="str">
        <f>IF($B227&lt;&gt;"",INDEX(DataOB[],FirstRow+ROW()-7,MATCH(AA$6,DataOB[#Headers],0)),"")</f>
        <v/>
      </c>
      <c r="AB227" s="67" t="str">
        <f>IF($B227&lt;&gt;"",INDEX(DataOB[],FirstRow+ROW()-7,MATCH(AB$6,DataOB[#Headers],0)),"")</f>
        <v/>
      </c>
      <c r="AC227" s="67" t="str">
        <f>IF($B227&lt;&gt;"",INDEX(DataOB[],FirstRow+ROW()-7,MATCH(AC$6,DataOB[#Headers],0)),"")</f>
        <v/>
      </c>
      <c r="AD227" s="67" t="str">
        <f>IF($B227&lt;&gt;"",INDEX(DataOB[],FirstRow+ROW()-7,MATCH(AD$6,DataOB[#Headers],0)),"")</f>
        <v/>
      </c>
      <c r="AE227" s="67" t="str">
        <f>IF($B227&lt;&gt;"",INDEX(DataOB[],FirstRow+ROW()-7,MATCH(AE$6,DataOB[#Headers],0)),"")</f>
        <v/>
      </c>
      <c r="AF227" s="26">
        <f t="shared" si="41"/>
        <v>0</v>
      </c>
      <c r="AG227" s="31">
        <f>SUM($T227:T227)</f>
        <v>0</v>
      </c>
      <c r="AH227" s="31">
        <f>SUM($T227:U227)</f>
        <v>0</v>
      </c>
      <c r="AI227" s="31">
        <f>SUM($T227:V227)</f>
        <v>0</v>
      </c>
      <c r="AJ227" s="31">
        <f>SUM($T227:W227)</f>
        <v>0</v>
      </c>
      <c r="AK227" s="31">
        <f>SUM($T227:X227)</f>
        <v>0</v>
      </c>
      <c r="AL227" s="31">
        <f>SUM($T227:Y227)</f>
        <v>0</v>
      </c>
      <c r="AM227" s="31">
        <f>SUM($T227:Z227)</f>
        <v>0</v>
      </c>
      <c r="AN227" s="31">
        <f>SUM($T227:AA227)</f>
        <v>0</v>
      </c>
      <c r="AO227" s="31">
        <f>SUM($T227:AB227)</f>
        <v>0</v>
      </c>
      <c r="AP227" s="31">
        <f>SUM($T227:AC227)</f>
        <v>0</v>
      </c>
      <c r="AQ227" s="31">
        <f>SUM($T227:AD227)</f>
        <v>0</v>
      </c>
      <c r="AR227" s="31">
        <f>SUM($T227:AE227)</f>
        <v>0</v>
      </c>
      <c r="AS227" s="27">
        <f t="shared" si="42"/>
        <v>0</v>
      </c>
    </row>
    <row r="228" spans="2:45">
      <c r="B228" s="102" t="str">
        <f>IF(ROW()-6&gt;NumCostCenter,"",IF(CostCenter&lt;&gt;"ALL",CostCenter,DATA_LF2!B226))</f>
        <v/>
      </c>
      <c r="C228" s="153" t="str">
        <f>IF($B228&lt;&gt;"",INDEX(DataOB[],FirstRow+ROW()-7,2),"")</f>
        <v/>
      </c>
      <c r="D228" s="66" t="str">
        <f>IF($B228&lt;&gt;"",INDEX(DataOB[],FirstRow+ROW()-7,3),"")</f>
        <v/>
      </c>
      <c r="E228" s="103" t="str">
        <f>IF($B228&lt;&gt;"",INDEX(DataOB[],FirstRow+ROW()-7,6),"")</f>
        <v/>
      </c>
      <c r="F228" s="103" t="str">
        <f>IF($B228&lt;&gt;"",INDEX(DataOB[],FirstRow+ROW()-7,5),"")</f>
        <v/>
      </c>
      <c r="G228" s="58">
        <f>IF($B228&lt;&gt;"",SUMIFS(DataAct_tbl[AMOUNT],DataAct_tbl[BG CODE],Detail!$D228,DataAct_tbl[MONTH],LEFT(MonthName,3),DataAct_tbl[Dept code],$B228),0)</f>
        <v>0</v>
      </c>
      <c r="H228" s="31" t="str">
        <f t="shared" si="34"/>
        <v/>
      </c>
      <c r="I228" s="28" t="str">
        <f t="shared" si="35"/>
        <v/>
      </c>
      <c r="J228" s="32" t="str">
        <f t="shared" si="36"/>
        <v/>
      </c>
      <c r="K228" s="86"/>
      <c r="L228" s="62">
        <f>IF($B228&lt;&gt;"",SUMIFS(DataAct_tbl[AMOUNT],DataAct_tbl[BG CODE],Detail!$D228,DataAct_tbl[Check Range],"=true",DataAct_tbl[Dept code],$B228),0)</f>
        <v>0</v>
      </c>
      <c r="M228" s="63">
        <f>INDEX($AG$7:$AR$1005,ROW()-6,MATCH(MTD,$AG$6:$AR$6,0))</f>
        <v>0</v>
      </c>
      <c r="N228" s="34">
        <f t="shared" si="37"/>
        <v>0</v>
      </c>
      <c r="O228" s="64" t="str">
        <f t="shared" si="38"/>
        <v xml:space="preserve"> </v>
      </c>
      <c r="Q228" s="97">
        <f t="shared" si="39"/>
        <v>0</v>
      </c>
      <c r="R228" s="96">
        <f t="shared" si="40"/>
        <v>0</v>
      </c>
      <c r="T228" s="67" t="str">
        <f>IF($B228&lt;&gt;"",INDEX(DataOB[],FirstRow+ROW()-7,MATCH(T$6,DataOB[#Headers],0)),"")</f>
        <v/>
      </c>
      <c r="U228" s="67" t="str">
        <f>IF($B228&lt;&gt;"",INDEX(DataOB[],FirstRow+ROW()-7,MATCH(U$6,DataOB[#Headers],0)),"")</f>
        <v/>
      </c>
      <c r="V228" s="67" t="str">
        <f>IF($B228&lt;&gt;"",INDEX(DataOB[],FirstRow+ROW()-7,MATCH(V$6,DataOB[#Headers],0)),"")</f>
        <v/>
      </c>
      <c r="W228" s="67" t="str">
        <f>IF($B228&lt;&gt;"",INDEX(DataOB[],FirstRow+ROW()-7,MATCH(W$6,DataOB[#Headers],0)),"")</f>
        <v/>
      </c>
      <c r="X228" s="67" t="str">
        <f>IF($B228&lt;&gt;"",INDEX(DataOB[],FirstRow+ROW()-7,MATCH(X$6,DataOB[#Headers],0)),"")</f>
        <v/>
      </c>
      <c r="Y228" s="67" t="str">
        <f>IF($B228&lt;&gt;"",INDEX(DataOB[],FirstRow+ROW()-7,MATCH(Y$6,DataOB[#Headers],0)),"")</f>
        <v/>
      </c>
      <c r="Z228" s="67" t="str">
        <f>IF($B228&lt;&gt;"",INDEX(DataOB[],FirstRow+ROW()-7,MATCH(Z$6,DataOB[#Headers],0)),"")</f>
        <v/>
      </c>
      <c r="AA228" s="67" t="str">
        <f>IF($B228&lt;&gt;"",INDEX(DataOB[],FirstRow+ROW()-7,MATCH(AA$6,DataOB[#Headers],0)),"")</f>
        <v/>
      </c>
      <c r="AB228" s="67" t="str">
        <f>IF($B228&lt;&gt;"",INDEX(DataOB[],FirstRow+ROW()-7,MATCH(AB$6,DataOB[#Headers],0)),"")</f>
        <v/>
      </c>
      <c r="AC228" s="67" t="str">
        <f>IF($B228&lt;&gt;"",INDEX(DataOB[],FirstRow+ROW()-7,MATCH(AC$6,DataOB[#Headers],0)),"")</f>
        <v/>
      </c>
      <c r="AD228" s="67" t="str">
        <f>IF($B228&lt;&gt;"",INDEX(DataOB[],FirstRow+ROW()-7,MATCH(AD$6,DataOB[#Headers],0)),"")</f>
        <v/>
      </c>
      <c r="AE228" s="67" t="str">
        <f>IF($B228&lt;&gt;"",INDEX(DataOB[],FirstRow+ROW()-7,MATCH(AE$6,DataOB[#Headers],0)),"")</f>
        <v/>
      </c>
      <c r="AF228" s="26">
        <f t="shared" si="41"/>
        <v>0</v>
      </c>
      <c r="AG228" s="31">
        <f>SUM($T228:T228)</f>
        <v>0</v>
      </c>
      <c r="AH228" s="31">
        <f>SUM($T228:U228)</f>
        <v>0</v>
      </c>
      <c r="AI228" s="31">
        <f>SUM($T228:V228)</f>
        <v>0</v>
      </c>
      <c r="AJ228" s="31">
        <f>SUM($T228:W228)</f>
        <v>0</v>
      </c>
      <c r="AK228" s="31">
        <f>SUM($T228:X228)</f>
        <v>0</v>
      </c>
      <c r="AL228" s="31">
        <f>SUM($T228:Y228)</f>
        <v>0</v>
      </c>
      <c r="AM228" s="31">
        <f>SUM($T228:Z228)</f>
        <v>0</v>
      </c>
      <c r="AN228" s="31">
        <f>SUM($T228:AA228)</f>
        <v>0</v>
      </c>
      <c r="AO228" s="31">
        <f>SUM($T228:AB228)</f>
        <v>0</v>
      </c>
      <c r="AP228" s="31">
        <f>SUM($T228:AC228)</f>
        <v>0</v>
      </c>
      <c r="AQ228" s="31">
        <f>SUM($T228:AD228)</f>
        <v>0</v>
      </c>
      <c r="AR228" s="31">
        <f>SUM($T228:AE228)</f>
        <v>0</v>
      </c>
      <c r="AS228" s="27">
        <f t="shared" si="42"/>
        <v>0</v>
      </c>
    </row>
    <row r="229" spans="2:45">
      <c r="B229" s="102" t="str">
        <f>IF(ROW()-6&gt;NumCostCenter,"",IF(CostCenter&lt;&gt;"ALL",CostCenter,DATA_LF2!B227))</f>
        <v/>
      </c>
      <c r="C229" s="153" t="str">
        <f>IF($B229&lt;&gt;"",INDEX(DataOB[],FirstRow+ROW()-7,2),"")</f>
        <v/>
      </c>
      <c r="D229" s="66" t="str">
        <f>IF($B229&lt;&gt;"",INDEX(DataOB[],FirstRow+ROW()-7,3),"")</f>
        <v/>
      </c>
      <c r="E229" s="103" t="str">
        <f>IF($B229&lt;&gt;"",INDEX(DataOB[],FirstRow+ROW()-7,6),"")</f>
        <v/>
      </c>
      <c r="F229" s="103" t="str">
        <f>IF($B229&lt;&gt;"",INDEX(DataOB[],FirstRow+ROW()-7,5),"")</f>
        <v/>
      </c>
      <c r="G229" s="58">
        <f>IF($B229&lt;&gt;"",SUMIFS(DataAct_tbl[AMOUNT],DataAct_tbl[BG CODE],Detail!$D229,DataAct_tbl[MONTH],LEFT(MonthName,3),DataAct_tbl[Dept code],$B229),0)</f>
        <v>0</v>
      </c>
      <c r="H229" s="31" t="str">
        <f t="shared" si="34"/>
        <v/>
      </c>
      <c r="I229" s="28" t="str">
        <f t="shared" si="35"/>
        <v/>
      </c>
      <c r="J229" s="32" t="str">
        <f t="shared" si="36"/>
        <v/>
      </c>
      <c r="K229" s="86"/>
      <c r="L229" s="62">
        <f>IF($B229&lt;&gt;"",SUMIFS(DataAct_tbl[AMOUNT],DataAct_tbl[BG CODE],Detail!$D229,DataAct_tbl[Check Range],"=true",DataAct_tbl[Dept code],$B229),0)</f>
        <v>0</v>
      </c>
      <c r="M229" s="63">
        <f>INDEX($AG$7:$AR$1005,ROW()-6,MATCH(MTD,$AG$6:$AR$6,0))</f>
        <v>0</v>
      </c>
      <c r="N229" s="34">
        <f t="shared" si="37"/>
        <v>0</v>
      </c>
      <c r="O229" s="64" t="str">
        <f t="shared" si="38"/>
        <v xml:space="preserve"> </v>
      </c>
      <c r="Q229" s="97">
        <f t="shared" si="39"/>
        <v>0</v>
      </c>
      <c r="R229" s="96">
        <f t="shared" si="40"/>
        <v>0</v>
      </c>
      <c r="T229" s="67" t="str">
        <f>IF($B229&lt;&gt;"",INDEX(DataOB[],FirstRow+ROW()-7,MATCH(T$6,DataOB[#Headers],0)),"")</f>
        <v/>
      </c>
      <c r="U229" s="67" t="str">
        <f>IF($B229&lt;&gt;"",INDEX(DataOB[],FirstRow+ROW()-7,MATCH(U$6,DataOB[#Headers],0)),"")</f>
        <v/>
      </c>
      <c r="V229" s="67" t="str">
        <f>IF($B229&lt;&gt;"",INDEX(DataOB[],FirstRow+ROW()-7,MATCH(V$6,DataOB[#Headers],0)),"")</f>
        <v/>
      </c>
      <c r="W229" s="67" t="str">
        <f>IF($B229&lt;&gt;"",INDEX(DataOB[],FirstRow+ROW()-7,MATCH(W$6,DataOB[#Headers],0)),"")</f>
        <v/>
      </c>
      <c r="X229" s="67" t="str">
        <f>IF($B229&lt;&gt;"",INDEX(DataOB[],FirstRow+ROW()-7,MATCH(X$6,DataOB[#Headers],0)),"")</f>
        <v/>
      </c>
      <c r="Y229" s="67" t="str">
        <f>IF($B229&lt;&gt;"",INDEX(DataOB[],FirstRow+ROW()-7,MATCH(Y$6,DataOB[#Headers],0)),"")</f>
        <v/>
      </c>
      <c r="Z229" s="67" t="str">
        <f>IF($B229&lt;&gt;"",INDEX(DataOB[],FirstRow+ROW()-7,MATCH(Z$6,DataOB[#Headers],0)),"")</f>
        <v/>
      </c>
      <c r="AA229" s="67" t="str">
        <f>IF($B229&lt;&gt;"",INDEX(DataOB[],FirstRow+ROW()-7,MATCH(AA$6,DataOB[#Headers],0)),"")</f>
        <v/>
      </c>
      <c r="AB229" s="67" t="str">
        <f>IF($B229&lt;&gt;"",INDEX(DataOB[],FirstRow+ROW()-7,MATCH(AB$6,DataOB[#Headers],0)),"")</f>
        <v/>
      </c>
      <c r="AC229" s="67" t="str">
        <f>IF($B229&lt;&gt;"",INDEX(DataOB[],FirstRow+ROW()-7,MATCH(AC$6,DataOB[#Headers],0)),"")</f>
        <v/>
      </c>
      <c r="AD229" s="67" t="str">
        <f>IF($B229&lt;&gt;"",INDEX(DataOB[],FirstRow+ROW()-7,MATCH(AD$6,DataOB[#Headers],0)),"")</f>
        <v/>
      </c>
      <c r="AE229" s="67" t="str">
        <f>IF($B229&lt;&gt;"",INDEX(DataOB[],FirstRow+ROW()-7,MATCH(AE$6,DataOB[#Headers],0)),"")</f>
        <v/>
      </c>
      <c r="AF229" s="26">
        <f t="shared" si="41"/>
        <v>0</v>
      </c>
      <c r="AG229" s="31">
        <f>SUM($T229:T229)</f>
        <v>0</v>
      </c>
      <c r="AH229" s="31">
        <f>SUM($T229:U229)</f>
        <v>0</v>
      </c>
      <c r="AI229" s="31">
        <f>SUM($T229:V229)</f>
        <v>0</v>
      </c>
      <c r="AJ229" s="31">
        <f>SUM($T229:W229)</f>
        <v>0</v>
      </c>
      <c r="AK229" s="31">
        <f>SUM($T229:X229)</f>
        <v>0</v>
      </c>
      <c r="AL229" s="31">
        <f>SUM($T229:Y229)</f>
        <v>0</v>
      </c>
      <c r="AM229" s="31">
        <f>SUM($T229:Z229)</f>
        <v>0</v>
      </c>
      <c r="AN229" s="31">
        <f>SUM($T229:AA229)</f>
        <v>0</v>
      </c>
      <c r="AO229" s="31">
        <f>SUM($T229:AB229)</f>
        <v>0</v>
      </c>
      <c r="AP229" s="31">
        <f>SUM($T229:AC229)</f>
        <v>0</v>
      </c>
      <c r="AQ229" s="31">
        <f>SUM($T229:AD229)</f>
        <v>0</v>
      </c>
      <c r="AR229" s="31">
        <f>SUM($T229:AE229)</f>
        <v>0</v>
      </c>
      <c r="AS229" s="27">
        <f t="shared" si="42"/>
        <v>0</v>
      </c>
    </row>
    <row r="230" spans="2:45">
      <c r="B230" s="102" t="str">
        <f>IF(ROW()-6&gt;NumCostCenter,"",IF(CostCenter&lt;&gt;"ALL",CostCenter,DATA_LF2!B228))</f>
        <v/>
      </c>
      <c r="C230" s="153" t="str">
        <f>IF($B230&lt;&gt;"",INDEX(DataOB[],FirstRow+ROW()-7,2),"")</f>
        <v/>
      </c>
      <c r="D230" s="66" t="str">
        <f>IF($B230&lt;&gt;"",INDEX(DataOB[],FirstRow+ROW()-7,3),"")</f>
        <v/>
      </c>
      <c r="E230" s="103" t="str">
        <f>IF($B230&lt;&gt;"",INDEX(DataOB[],FirstRow+ROW()-7,6),"")</f>
        <v/>
      </c>
      <c r="F230" s="103" t="str">
        <f>IF($B230&lt;&gt;"",INDEX(DataOB[],FirstRow+ROW()-7,5),"")</f>
        <v/>
      </c>
      <c r="G230" s="58">
        <f>IF($B230&lt;&gt;"",SUMIFS(DataAct_tbl[AMOUNT],DataAct_tbl[BG CODE],Detail!$D230,DataAct_tbl[MONTH],LEFT(MonthName,3),DataAct_tbl[Dept code],$B230),0)</f>
        <v>0</v>
      </c>
      <c r="H230" s="31" t="str">
        <f t="shared" si="34"/>
        <v/>
      </c>
      <c r="I230" s="28" t="str">
        <f t="shared" si="35"/>
        <v/>
      </c>
      <c r="J230" s="32" t="str">
        <f t="shared" si="36"/>
        <v/>
      </c>
      <c r="K230" s="86"/>
      <c r="L230" s="62">
        <f>IF($B230&lt;&gt;"",SUMIFS(DataAct_tbl[AMOUNT],DataAct_tbl[BG CODE],Detail!$D230,DataAct_tbl[Check Range],"=true",DataAct_tbl[Dept code],$B230),0)</f>
        <v>0</v>
      </c>
      <c r="M230" s="63">
        <f>INDEX($AG$7:$AR$1005,ROW()-6,MATCH(MTD,$AG$6:$AR$6,0))</f>
        <v>0</v>
      </c>
      <c r="N230" s="34">
        <f t="shared" si="37"/>
        <v>0</v>
      </c>
      <c r="O230" s="64" t="str">
        <f t="shared" si="38"/>
        <v xml:space="preserve"> </v>
      </c>
      <c r="Q230" s="97">
        <f t="shared" si="39"/>
        <v>0</v>
      </c>
      <c r="R230" s="96">
        <f t="shared" si="40"/>
        <v>0</v>
      </c>
      <c r="T230" s="67" t="str">
        <f>IF($B230&lt;&gt;"",INDEX(DataOB[],FirstRow+ROW()-7,MATCH(T$6,DataOB[#Headers],0)),"")</f>
        <v/>
      </c>
      <c r="U230" s="67" t="str">
        <f>IF($B230&lt;&gt;"",INDEX(DataOB[],FirstRow+ROW()-7,MATCH(U$6,DataOB[#Headers],0)),"")</f>
        <v/>
      </c>
      <c r="V230" s="67" t="str">
        <f>IF($B230&lt;&gt;"",INDEX(DataOB[],FirstRow+ROW()-7,MATCH(V$6,DataOB[#Headers],0)),"")</f>
        <v/>
      </c>
      <c r="W230" s="67" t="str">
        <f>IF($B230&lt;&gt;"",INDEX(DataOB[],FirstRow+ROW()-7,MATCH(W$6,DataOB[#Headers],0)),"")</f>
        <v/>
      </c>
      <c r="X230" s="67" t="str">
        <f>IF($B230&lt;&gt;"",INDEX(DataOB[],FirstRow+ROW()-7,MATCH(X$6,DataOB[#Headers],0)),"")</f>
        <v/>
      </c>
      <c r="Y230" s="67" t="str">
        <f>IF($B230&lt;&gt;"",INDEX(DataOB[],FirstRow+ROW()-7,MATCH(Y$6,DataOB[#Headers],0)),"")</f>
        <v/>
      </c>
      <c r="Z230" s="67" t="str">
        <f>IF($B230&lt;&gt;"",INDEX(DataOB[],FirstRow+ROW()-7,MATCH(Z$6,DataOB[#Headers],0)),"")</f>
        <v/>
      </c>
      <c r="AA230" s="67" t="str">
        <f>IF($B230&lt;&gt;"",INDEX(DataOB[],FirstRow+ROW()-7,MATCH(AA$6,DataOB[#Headers],0)),"")</f>
        <v/>
      </c>
      <c r="AB230" s="67" t="str">
        <f>IF($B230&lt;&gt;"",INDEX(DataOB[],FirstRow+ROW()-7,MATCH(AB$6,DataOB[#Headers],0)),"")</f>
        <v/>
      </c>
      <c r="AC230" s="67" t="str">
        <f>IF($B230&lt;&gt;"",INDEX(DataOB[],FirstRow+ROW()-7,MATCH(AC$6,DataOB[#Headers],0)),"")</f>
        <v/>
      </c>
      <c r="AD230" s="67" t="str">
        <f>IF($B230&lt;&gt;"",INDEX(DataOB[],FirstRow+ROW()-7,MATCH(AD$6,DataOB[#Headers],0)),"")</f>
        <v/>
      </c>
      <c r="AE230" s="67" t="str">
        <f>IF($B230&lt;&gt;"",INDEX(DataOB[],FirstRow+ROW()-7,MATCH(AE$6,DataOB[#Headers],0)),"")</f>
        <v/>
      </c>
      <c r="AF230" s="26">
        <f t="shared" si="41"/>
        <v>0</v>
      </c>
      <c r="AG230" s="31">
        <f>SUM($T230:T230)</f>
        <v>0</v>
      </c>
      <c r="AH230" s="31">
        <f>SUM($T230:U230)</f>
        <v>0</v>
      </c>
      <c r="AI230" s="31">
        <f>SUM($T230:V230)</f>
        <v>0</v>
      </c>
      <c r="AJ230" s="31">
        <f>SUM($T230:W230)</f>
        <v>0</v>
      </c>
      <c r="AK230" s="31">
        <f>SUM($T230:X230)</f>
        <v>0</v>
      </c>
      <c r="AL230" s="31">
        <f>SUM($T230:Y230)</f>
        <v>0</v>
      </c>
      <c r="AM230" s="31">
        <f>SUM($T230:Z230)</f>
        <v>0</v>
      </c>
      <c r="AN230" s="31">
        <f>SUM($T230:AA230)</f>
        <v>0</v>
      </c>
      <c r="AO230" s="31">
        <f>SUM($T230:AB230)</f>
        <v>0</v>
      </c>
      <c r="AP230" s="31">
        <f>SUM($T230:AC230)</f>
        <v>0</v>
      </c>
      <c r="AQ230" s="31">
        <f>SUM($T230:AD230)</f>
        <v>0</v>
      </c>
      <c r="AR230" s="31">
        <f>SUM($T230:AE230)</f>
        <v>0</v>
      </c>
      <c r="AS230" s="27">
        <f t="shared" si="42"/>
        <v>0</v>
      </c>
    </row>
    <row r="231" spans="2:45">
      <c r="B231" s="102" t="str">
        <f>IF(ROW()-6&gt;NumCostCenter,"",IF(CostCenter&lt;&gt;"ALL",CostCenter,DATA_LF2!B229))</f>
        <v/>
      </c>
      <c r="C231" s="153" t="str">
        <f>IF($B231&lt;&gt;"",INDEX(DataOB[],FirstRow+ROW()-7,2),"")</f>
        <v/>
      </c>
      <c r="D231" s="66" t="str">
        <f>IF($B231&lt;&gt;"",INDEX(DataOB[],FirstRow+ROW()-7,3),"")</f>
        <v/>
      </c>
      <c r="E231" s="103" t="str">
        <f>IF($B231&lt;&gt;"",INDEX(DataOB[],FirstRow+ROW()-7,6),"")</f>
        <v/>
      </c>
      <c r="F231" s="103" t="str">
        <f>IF($B231&lt;&gt;"",INDEX(DataOB[],FirstRow+ROW()-7,5),"")</f>
        <v/>
      </c>
      <c r="G231" s="58">
        <f>IF($B231&lt;&gt;"",SUMIFS(DataAct_tbl[AMOUNT],DataAct_tbl[BG CODE],Detail!$D231,DataAct_tbl[MONTH],LEFT(MonthName,3),DataAct_tbl[Dept code],$B231),0)</f>
        <v>0</v>
      </c>
      <c r="H231" s="31" t="str">
        <f t="shared" si="34"/>
        <v/>
      </c>
      <c r="I231" s="28" t="str">
        <f t="shared" si="35"/>
        <v/>
      </c>
      <c r="J231" s="32" t="str">
        <f t="shared" si="36"/>
        <v/>
      </c>
      <c r="K231" s="86"/>
      <c r="L231" s="62">
        <f>IF($B231&lt;&gt;"",SUMIFS(DataAct_tbl[AMOUNT],DataAct_tbl[BG CODE],Detail!$D231,DataAct_tbl[Check Range],"=true",DataAct_tbl[Dept code],$B231),0)</f>
        <v>0</v>
      </c>
      <c r="M231" s="63">
        <f>INDEX($AG$7:$AR$1005,ROW()-6,MATCH(MTD,$AG$6:$AR$6,0))</f>
        <v>0</v>
      </c>
      <c r="N231" s="34">
        <f t="shared" si="37"/>
        <v>0</v>
      </c>
      <c r="O231" s="64" t="str">
        <f t="shared" si="38"/>
        <v xml:space="preserve"> </v>
      </c>
      <c r="Q231" s="97">
        <f t="shared" si="39"/>
        <v>0</v>
      </c>
      <c r="R231" s="96">
        <f t="shared" si="40"/>
        <v>0</v>
      </c>
      <c r="T231" s="67" t="str">
        <f>IF($B231&lt;&gt;"",INDEX(DataOB[],FirstRow+ROW()-7,MATCH(T$6,DataOB[#Headers],0)),"")</f>
        <v/>
      </c>
      <c r="U231" s="67" t="str">
        <f>IF($B231&lt;&gt;"",INDEX(DataOB[],FirstRow+ROW()-7,MATCH(U$6,DataOB[#Headers],0)),"")</f>
        <v/>
      </c>
      <c r="V231" s="67" t="str">
        <f>IF($B231&lt;&gt;"",INDEX(DataOB[],FirstRow+ROW()-7,MATCH(V$6,DataOB[#Headers],0)),"")</f>
        <v/>
      </c>
      <c r="W231" s="67" t="str">
        <f>IF($B231&lt;&gt;"",INDEX(DataOB[],FirstRow+ROW()-7,MATCH(W$6,DataOB[#Headers],0)),"")</f>
        <v/>
      </c>
      <c r="X231" s="67" t="str">
        <f>IF($B231&lt;&gt;"",INDEX(DataOB[],FirstRow+ROW()-7,MATCH(X$6,DataOB[#Headers],0)),"")</f>
        <v/>
      </c>
      <c r="Y231" s="67" t="str">
        <f>IF($B231&lt;&gt;"",INDEX(DataOB[],FirstRow+ROW()-7,MATCH(Y$6,DataOB[#Headers],0)),"")</f>
        <v/>
      </c>
      <c r="Z231" s="67" t="str">
        <f>IF($B231&lt;&gt;"",INDEX(DataOB[],FirstRow+ROW()-7,MATCH(Z$6,DataOB[#Headers],0)),"")</f>
        <v/>
      </c>
      <c r="AA231" s="67" t="str">
        <f>IF($B231&lt;&gt;"",INDEX(DataOB[],FirstRow+ROW()-7,MATCH(AA$6,DataOB[#Headers],0)),"")</f>
        <v/>
      </c>
      <c r="AB231" s="67" t="str">
        <f>IF($B231&lt;&gt;"",INDEX(DataOB[],FirstRow+ROW()-7,MATCH(AB$6,DataOB[#Headers],0)),"")</f>
        <v/>
      </c>
      <c r="AC231" s="67" t="str">
        <f>IF($B231&lt;&gt;"",INDEX(DataOB[],FirstRow+ROW()-7,MATCH(AC$6,DataOB[#Headers],0)),"")</f>
        <v/>
      </c>
      <c r="AD231" s="67" t="str">
        <f>IF($B231&lt;&gt;"",INDEX(DataOB[],FirstRow+ROW()-7,MATCH(AD$6,DataOB[#Headers],0)),"")</f>
        <v/>
      </c>
      <c r="AE231" s="67" t="str">
        <f>IF($B231&lt;&gt;"",INDEX(DataOB[],FirstRow+ROW()-7,MATCH(AE$6,DataOB[#Headers],0)),"")</f>
        <v/>
      </c>
      <c r="AF231" s="26">
        <f t="shared" si="41"/>
        <v>0</v>
      </c>
      <c r="AG231" s="31">
        <f>SUM($T231:T231)</f>
        <v>0</v>
      </c>
      <c r="AH231" s="31">
        <f>SUM($T231:U231)</f>
        <v>0</v>
      </c>
      <c r="AI231" s="31">
        <f>SUM($T231:V231)</f>
        <v>0</v>
      </c>
      <c r="AJ231" s="31">
        <f>SUM($T231:W231)</f>
        <v>0</v>
      </c>
      <c r="AK231" s="31">
        <f>SUM($T231:X231)</f>
        <v>0</v>
      </c>
      <c r="AL231" s="31">
        <f>SUM($T231:Y231)</f>
        <v>0</v>
      </c>
      <c r="AM231" s="31">
        <f>SUM($T231:Z231)</f>
        <v>0</v>
      </c>
      <c r="AN231" s="31">
        <f>SUM($T231:AA231)</f>
        <v>0</v>
      </c>
      <c r="AO231" s="31">
        <f>SUM($T231:AB231)</f>
        <v>0</v>
      </c>
      <c r="AP231" s="31">
        <f>SUM($T231:AC231)</f>
        <v>0</v>
      </c>
      <c r="AQ231" s="31">
        <f>SUM($T231:AD231)</f>
        <v>0</v>
      </c>
      <c r="AR231" s="31">
        <f>SUM($T231:AE231)</f>
        <v>0</v>
      </c>
      <c r="AS231" s="27">
        <f t="shared" si="42"/>
        <v>0</v>
      </c>
    </row>
    <row r="232" spans="2:45">
      <c r="B232" s="102" t="str">
        <f>IF(ROW()-6&gt;NumCostCenter,"",IF(CostCenter&lt;&gt;"ALL",CostCenter,DATA_LF2!B230))</f>
        <v/>
      </c>
      <c r="C232" s="153" t="str">
        <f>IF($B232&lt;&gt;"",INDEX(DataOB[],FirstRow+ROW()-7,2),"")</f>
        <v/>
      </c>
      <c r="D232" s="66" t="str">
        <f>IF($B232&lt;&gt;"",INDEX(DataOB[],FirstRow+ROW()-7,3),"")</f>
        <v/>
      </c>
      <c r="E232" s="103" t="str">
        <f>IF($B232&lt;&gt;"",INDEX(DataOB[],FirstRow+ROW()-7,6),"")</f>
        <v/>
      </c>
      <c r="F232" s="103" t="str">
        <f>IF($B232&lt;&gt;"",INDEX(DataOB[],FirstRow+ROW()-7,5),"")</f>
        <v/>
      </c>
      <c r="G232" s="58">
        <f>IF($B232&lt;&gt;"",SUMIFS(DataAct_tbl[AMOUNT],DataAct_tbl[BG CODE],Detail!$D232,DataAct_tbl[MONTH],LEFT(MonthName,3),DataAct_tbl[Dept code],$B232),0)</f>
        <v>0</v>
      </c>
      <c r="H232" s="31" t="str">
        <f t="shared" si="34"/>
        <v/>
      </c>
      <c r="I232" s="28" t="str">
        <f t="shared" si="35"/>
        <v/>
      </c>
      <c r="J232" s="32" t="str">
        <f t="shared" si="36"/>
        <v/>
      </c>
      <c r="K232" s="86"/>
      <c r="L232" s="62">
        <f>IF($B232&lt;&gt;"",SUMIFS(DataAct_tbl[AMOUNT],DataAct_tbl[BG CODE],Detail!$D232,DataAct_tbl[Check Range],"=true",DataAct_tbl[Dept code],$B232),0)</f>
        <v>0</v>
      </c>
      <c r="M232" s="63">
        <f>INDEX($AG$7:$AR$1005,ROW()-6,MATCH(MTD,$AG$6:$AR$6,0))</f>
        <v>0</v>
      </c>
      <c r="N232" s="34">
        <f t="shared" si="37"/>
        <v>0</v>
      </c>
      <c r="O232" s="64" t="str">
        <f t="shared" si="38"/>
        <v xml:space="preserve"> </v>
      </c>
      <c r="Q232" s="97">
        <f t="shared" si="39"/>
        <v>0</v>
      </c>
      <c r="R232" s="96">
        <f t="shared" si="40"/>
        <v>0</v>
      </c>
      <c r="T232" s="67" t="str">
        <f>IF($B232&lt;&gt;"",INDEX(DataOB[],FirstRow+ROW()-7,MATCH(T$6,DataOB[#Headers],0)),"")</f>
        <v/>
      </c>
      <c r="U232" s="67" t="str">
        <f>IF($B232&lt;&gt;"",INDEX(DataOB[],FirstRow+ROW()-7,MATCH(U$6,DataOB[#Headers],0)),"")</f>
        <v/>
      </c>
      <c r="V232" s="67" t="str">
        <f>IF($B232&lt;&gt;"",INDEX(DataOB[],FirstRow+ROW()-7,MATCH(V$6,DataOB[#Headers],0)),"")</f>
        <v/>
      </c>
      <c r="W232" s="67" t="str">
        <f>IF($B232&lt;&gt;"",INDEX(DataOB[],FirstRow+ROW()-7,MATCH(W$6,DataOB[#Headers],0)),"")</f>
        <v/>
      </c>
      <c r="X232" s="67" t="str">
        <f>IF($B232&lt;&gt;"",INDEX(DataOB[],FirstRow+ROW()-7,MATCH(X$6,DataOB[#Headers],0)),"")</f>
        <v/>
      </c>
      <c r="Y232" s="67" t="str">
        <f>IF($B232&lt;&gt;"",INDEX(DataOB[],FirstRow+ROW()-7,MATCH(Y$6,DataOB[#Headers],0)),"")</f>
        <v/>
      </c>
      <c r="Z232" s="67" t="str">
        <f>IF($B232&lt;&gt;"",INDEX(DataOB[],FirstRow+ROW()-7,MATCH(Z$6,DataOB[#Headers],0)),"")</f>
        <v/>
      </c>
      <c r="AA232" s="67" t="str">
        <f>IF($B232&lt;&gt;"",INDEX(DataOB[],FirstRow+ROW()-7,MATCH(AA$6,DataOB[#Headers],0)),"")</f>
        <v/>
      </c>
      <c r="AB232" s="67" t="str">
        <f>IF($B232&lt;&gt;"",INDEX(DataOB[],FirstRow+ROW()-7,MATCH(AB$6,DataOB[#Headers],0)),"")</f>
        <v/>
      </c>
      <c r="AC232" s="67" t="str">
        <f>IF($B232&lt;&gt;"",INDEX(DataOB[],FirstRow+ROW()-7,MATCH(AC$6,DataOB[#Headers],0)),"")</f>
        <v/>
      </c>
      <c r="AD232" s="67" t="str">
        <f>IF($B232&lt;&gt;"",INDEX(DataOB[],FirstRow+ROW()-7,MATCH(AD$6,DataOB[#Headers],0)),"")</f>
        <v/>
      </c>
      <c r="AE232" s="67" t="str">
        <f>IF($B232&lt;&gt;"",INDEX(DataOB[],FirstRow+ROW()-7,MATCH(AE$6,DataOB[#Headers],0)),"")</f>
        <v/>
      </c>
      <c r="AF232" s="26">
        <f t="shared" si="41"/>
        <v>0</v>
      </c>
      <c r="AG232" s="31">
        <f>SUM($T232:T232)</f>
        <v>0</v>
      </c>
      <c r="AH232" s="31">
        <f>SUM($T232:U232)</f>
        <v>0</v>
      </c>
      <c r="AI232" s="31">
        <f>SUM($T232:V232)</f>
        <v>0</v>
      </c>
      <c r="AJ232" s="31">
        <f>SUM($T232:W232)</f>
        <v>0</v>
      </c>
      <c r="AK232" s="31">
        <f>SUM($T232:X232)</f>
        <v>0</v>
      </c>
      <c r="AL232" s="31">
        <f>SUM($T232:Y232)</f>
        <v>0</v>
      </c>
      <c r="AM232" s="31">
        <f>SUM($T232:Z232)</f>
        <v>0</v>
      </c>
      <c r="AN232" s="31">
        <f>SUM($T232:AA232)</f>
        <v>0</v>
      </c>
      <c r="AO232" s="31">
        <f>SUM($T232:AB232)</f>
        <v>0</v>
      </c>
      <c r="AP232" s="31">
        <f>SUM($T232:AC232)</f>
        <v>0</v>
      </c>
      <c r="AQ232" s="31">
        <f>SUM($T232:AD232)</f>
        <v>0</v>
      </c>
      <c r="AR232" s="31">
        <f>SUM($T232:AE232)</f>
        <v>0</v>
      </c>
      <c r="AS232" s="27">
        <f t="shared" si="42"/>
        <v>0</v>
      </c>
    </row>
    <row r="233" spans="2:45">
      <c r="B233" s="102" t="str">
        <f>IF(ROW()-6&gt;NumCostCenter,"",IF(CostCenter&lt;&gt;"ALL",CostCenter,DATA_LF2!B231))</f>
        <v/>
      </c>
      <c r="C233" s="153" t="str">
        <f>IF($B233&lt;&gt;"",INDEX(DataOB[],FirstRow+ROW()-7,2),"")</f>
        <v/>
      </c>
      <c r="D233" s="66" t="str">
        <f>IF($B233&lt;&gt;"",INDEX(DataOB[],FirstRow+ROW()-7,3),"")</f>
        <v/>
      </c>
      <c r="E233" s="103" t="str">
        <f>IF($B233&lt;&gt;"",INDEX(DataOB[],FirstRow+ROW()-7,6),"")</f>
        <v/>
      </c>
      <c r="F233" s="103" t="str">
        <f>IF($B233&lt;&gt;"",INDEX(DataOB[],FirstRow+ROW()-7,5),"")</f>
        <v/>
      </c>
      <c r="G233" s="58">
        <f>IF($B233&lt;&gt;"",SUMIFS(DataAct_tbl[AMOUNT],DataAct_tbl[BG CODE],Detail!$D233,DataAct_tbl[MONTH],LEFT(MonthName,3),DataAct_tbl[Dept code],$B233),0)</f>
        <v>0</v>
      </c>
      <c r="H233" s="31" t="str">
        <f t="shared" si="34"/>
        <v/>
      </c>
      <c r="I233" s="28" t="str">
        <f t="shared" si="35"/>
        <v/>
      </c>
      <c r="J233" s="32" t="str">
        <f t="shared" si="36"/>
        <v/>
      </c>
      <c r="K233" s="86"/>
      <c r="L233" s="62">
        <f>IF($B233&lt;&gt;"",SUMIFS(DataAct_tbl[AMOUNT],DataAct_tbl[BG CODE],Detail!$D233,DataAct_tbl[Check Range],"=true",DataAct_tbl[Dept code],$B233),0)</f>
        <v>0</v>
      </c>
      <c r="M233" s="63">
        <f>INDEX($AG$7:$AR$1005,ROW()-6,MATCH(MTD,$AG$6:$AR$6,0))</f>
        <v>0</v>
      </c>
      <c r="N233" s="34">
        <f t="shared" si="37"/>
        <v>0</v>
      </c>
      <c r="O233" s="64" t="str">
        <f t="shared" si="38"/>
        <v xml:space="preserve"> </v>
      </c>
      <c r="Q233" s="97">
        <f t="shared" si="39"/>
        <v>0</v>
      </c>
      <c r="R233" s="96">
        <f t="shared" si="40"/>
        <v>0</v>
      </c>
      <c r="T233" s="67" t="str">
        <f>IF($B233&lt;&gt;"",INDEX(DataOB[],FirstRow+ROW()-7,MATCH(T$6,DataOB[#Headers],0)),"")</f>
        <v/>
      </c>
      <c r="U233" s="67" t="str">
        <f>IF($B233&lt;&gt;"",INDEX(DataOB[],FirstRow+ROW()-7,MATCH(U$6,DataOB[#Headers],0)),"")</f>
        <v/>
      </c>
      <c r="V233" s="67" t="str">
        <f>IF($B233&lt;&gt;"",INDEX(DataOB[],FirstRow+ROW()-7,MATCH(V$6,DataOB[#Headers],0)),"")</f>
        <v/>
      </c>
      <c r="W233" s="67" t="str">
        <f>IF($B233&lt;&gt;"",INDEX(DataOB[],FirstRow+ROW()-7,MATCH(W$6,DataOB[#Headers],0)),"")</f>
        <v/>
      </c>
      <c r="X233" s="67" t="str">
        <f>IF($B233&lt;&gt;"",INDEX(DataOB[],FirstRow+ROW()-7,MATCH(X$6,DataOB[#Headers],0)),"")</f>
        <v/>
      </c>
      <c r="Y233" s="67" t="str">
        <f>IF($B233&lt;&gt;"",INDEX(DataOB[],FirstRow+ROW()-7,MATCH(Y$6,DataOB[#Headers],0)),"")</f>
        <v/>
      </c>
      <c r="Z233" s="67" t="str">
        <f>IF($B233&lt;&gt;"",INDEX(DataOB[],FirstRow+ROW()-7,MATCH(Z$6,DataOB[#Headers],0)),"")</f>
        <v/>
      </c>
      <c r="AA233" s="67" t="str">
        <f>IF($B233&lt;&gt;"",INDEX(DataOB[],FirstRow+ROW()-7,MATCH(AA$6,DataOB[#Headers],0)),"")</f>
        <v/>
      </c>
      <c r="AB233" s="67" t="str">
        <f>IF($B233&lt;&gt;"",INDEX(DataOB[],FirstRow+ROW()-7,MATCH(AB$6,DataOB[#Headers],0)),"")</f>
        <v/>
      </c>
      <c r="AC233" s="67" t="str">
        <f>IF($B233&lt;&gt;"",INDEX(DataOB[],FirstRow+ROW()-7,MATCH(AC$6,DataOB[#Headers],0)),"")</f>
        <v/>
      </c>
      <c r="AD233" s="67" t="str">
        <f>IF($B233&lt;&gt;"",INDEX(DataOB[],FirstRow+ROW()-7,MATCH(AD$6,DataOB[#Headers],0)),"")</f>
        <v/>
      </c>
      <c r="AE233" s="67" t="str">
        <f>IF($B233&lt;&gt;"",INDEX(DataOB[],FirstRow+ROW()-7,MATCH(AE$6,DataOB[#Headers],0)),"")</f>
        <v/>
      </c>
      <c r="AF233" s="26">
        <f t="shared" si="41"/>
        <v>0</v>
      </c>
      <c r="AG233" s="31">
        <f>SUM($T233:T233)</f>
        <v>0</v>
      </c>
      <c r="AH233" s="31">
        <f>SUM($T233:U233)</f>
        <v>0</v>
      </c>
      <c r="AI233" s="31">
        <f>SUM($T233:V233)</f>
        <v>0</v>
      </c>
      <c r="AJ233" s="31">
        <f>SUM($T233:W233)</f>
        <v>0</v>
      </c>
      <c r="AK233" s="31">
        <f>SUM($T233:X233)</f>
        <v>0</v>
      </c>
      <c r="AL233" s="31">
        <f>SUM($T233:Y233)</f>
        <v>0</v>
      </c>
      <c r="AM233" s="31">
        <f>SUM($T233:Z233)</f>
        <v>0</v>
      </c>
      <c r="AN233" s="31">
        <f>SUM($T233:AA233)</f>
        <v>0</v>
      </c>
      <c r="AO233" s="31">
        <f>SUM($T233:AB233)</f>
        <v>0</v>
      </c>
      <c r="AP233" s="31">
        <f>SUM($T233:AC233)</f>
        <v>0</v>
      </c>
      <c r="AQ233" s="31">
        <f>SUM($T233:AD233)</f>
        <v>0</v>
      </c>
      <c r="AR233" s="31">
        <f>SUM($T233:AE233)</f>
        <v>0</v>
      </c>
      <c r="AS233" s="27">
        <f t="shared" si="42"/>
        <v>0</v>
      </c>
    </row>
    <row r="234" spans="2:45">
      <c r="B234" s="102" t="str">
        <f>IF(ROW()-6&gt;NumCostCenter,"",IF(CostCenter&lt;&gt;"ALL",CostCenter,DATA_LF2!B232))</f>
        <v/>
      </c>
      <c r="C234" s="153" t="str">
        <f>IF($B234&lt;&gt;"",INDEX(DataOB[],FirstRow+ROW()-7,2),"")</f>
        <v/>
      </c>
      <c r="D234" s="66" t="str">
        <f>IF($B234&lt;&gt;"",INDEX(DataOB[],FirstRow+ROW()-7,3),"")</f>
        <v/>
      </c>
      <c r="E234" s="103" t="str">
        <f>IF($B234&lt;&gt;"",INDEX(DataOB[],FirstRow+ROW()-7,6),"")</f>
        <v/>
      </c>
      <c r="F234" s="103" t="str">
        <f>IF($B234&lt;&gt;"",INDEX(DataOB[],FirstRow+ROW()-7,5),"")</f>
        <v/>
      </c>
      <c r="G234" s="58">
        <f>IF($B234&lt;&gt;"",SUMIFS(DataAct_tbl[AMOUNT],DataAct_tbl[BG CODE],Detail!$D234,DataAct_tbl[MONTH],LEFT(MonthName,3),DataAct_tbl[Dept code],$B234),0)</f>
        <v>0</v>
      </c>
      <c r="H234" s="31" t="str">
        <f t="shared" si="34"/>
        <v/>
      </c>
      <c r="I234" s="28" t="str">
        <f t="shared" si="35"/>
        <v/>
      </c>
      <c r="J234" s="32" t="str">
        <f t="shared" si="36"/>
        <v/>
      </c>
      <c r="K234" s="86"/>
      <c r="L234" s="62">
        <f>IF($B234&lt;&gt;"",SUMIFS(DataAct_tbl[AMOUNT],DataAct_tbl[BG CODE],Detail!$D234,DataAct_tbl[Check Range],"=true",DataAct_tbl[Dept code],$B234),0)</f>
        <v>0</v>
      </c>
      <c r="M234" s="63">
        <f>INDEX($AG$7:$AR$1005,ROW()-6,MATCH(MTD,$AG$6:$AR$6,0))</f>
        <v>0</v>
      </c>
      <c r="N234" s="34">
        <f t="shared" si="37"/>
        <v>0</v>
      </c>
      <c r="O234" s="64" t="str">
        <f t="shared" si="38"/>
        <v xml:space="preserve"> </v>
      </c>
      <c r="Q234" s="97">
        <f t="shared" si="39"/>
        <v>0</v>
      </c>
      <c r="R234" s="96">
        <f t="shared" si="40"/>
        <v>0</v>
      </c>
      <c r="T234" s="67" t="str">
        <f>IF($B234&lt;&gt;"",INDEX(DataOB[],FirstRow+ROW()-7,MATCH(T$6,DataOB[#Headers],0)),"")</f>
        <v/>
      </c>
      <c r="U234" s="67" t="str">
        <f>IF($B234&lt;&gt;"",INDEX(DataOB[],FirstRow+ROW()-7,MATCH(U$6,DataOB[#Headers],0)),"")</f>
        <v/>
      </c>
      <c r="V234" s="67" t="str">
        <f>IF($B234&lt;&gt;"",INDEX(DataOB[],FirstRow+ROW()-7,MATCH(V$6,DataOB[#Headers],0)),"")</f>
        <v/>
      </c>
      <c r="W234" s="67" t="str">
        <f>IF($B234&lt;&gt;"",INDEX(DataOB[],FirstRow+ROW()-7,MATCH(W$6,DataOB[#Headers],0)),"")</f>
        <v/>
      </c>
      <c r="X234" s="67" t="str">
        <f>IF($B234&lt;&gt;"",INDEX(DataOB[],FirstRow+ROW()-7,MATCH(X$6,DataOB[#Headers],0)),"")</f>
        <v/>
      </c>
      <c r="Y234" s="67" t="str">
        <f>IF($B234&lt;&gt;"",INDEX(DataOB[],FirstRow+ROW()-7,MATCH(Y$6,DataOB[#Headers],0)),"")</f>
        <v/>
      </c>
      <c r="Z234" s="67" t="str">
        <f>IF($B234&lt;&gt;"",INDEX(DataOB[],FirstRow+ROW()-7,MATCH(Z$6,DataOB[#Headers],0)),"")</f>
        <v/>
      </c>
      <c r="AA234" s="67" t="str">
        <f>IF($B234&lt;&gt;"",INDEX(DataOB[],FirstRow+ROW()-7,MATCH(AA$6,DataOB[#Headers],0)),"")</f>
        <v/>
      </c>
      <c r="AB234" s="67" t="str">
        <f>IF($B234&lt;&gt;"",INDEX(DataOB[],FirstRow+ROW()-7,MATCH(AB$6,DataOB[#Headers],0)),"")</f>
        <v/>
      </c>
      <c r="AC234" s="67" t="str">
        <f>IF($B234&lt;&gt;"",INDEX(DataOB[],FirstRow+ROW()-7,MATCH(AC$6,DataOB[#Headers],0)),"")</f>
        <v/>
      </c>
      <c r="AD234" s="67" t="str">
        <f>IF($B234&lt;&gt;"",INDEX(DataOB[],FirstRow+ROW()-7,MATCH(AD$6,DataOB[#Headers],0)),"")</f>
        <v/>
      </c>
      <c r="AE234" s="67" t="str">
        <f>IF($B234&lt;&gt;"",INDEX(DataOB[],FirstRow+ROW()-7,MATCH(AE$6,DataOB[#Headers],0)),"")</f>
        <v/>
      </c>
      <c r="AF234" s="26">
        <f t="shared" si="41"/>
        <v>0</v>
      </c>
      <c r="AG234" s="31">
        <f>SUM($T234:T234)</f>
        <v>0</v>
      </c>
      <c r="AH234" s="31">
        <f>SUM($T234:U234)</f>
        <v>0</v>
      </c>
      <c r="AI234" s="31">
        <f>SUM($T234:V234)</f>
        <v>0</v>
      </c>
      <c r="AJ234" s="31">
        <f>SUM($T234:W234)</f>
        <v>0</v>
      </c>
      <c r="AK234" s="31">
        <f>SUM($T234:X234)</f>
        <v>0</v>
      </c>
      <c r="AL234" s="31">
        <f>SUM($T234:Y234)</f>
        <v>0</v>
      </c>
      <c r="AM234" s="31">
        <f>SUM($T234:Z234)</f>
        <v>0</v>
      </c>
      <c r="AN234" s="31">
        <f>SUM($T234:AA234)</f>
        <v>0</v>
      </c>
      <c r="AO234" s="31">
        <f>SUM($T234:AB234)</f>
        <v>0</v>
      </c>
      <c r="AP234" s="31">
        <f>SUM($T234:AC234)</f>
        <v>0</v>
      </c>
      <c r="AQ234" s="31">
        <f>SUM($T234:AD234)</f>
        <v>0</v>
      </c>
      <c r="AR234" s="31">
        <f>SUM($T234:AE234)</f>
        <v>0</v>
      </c>
      <c r="AS234" s="27">
        <f t="shared" si="42"/>
        <v>0</v>
      </c>
    </row>
    <row r="235" spans="2:45">
      <c r="B235" s="102" t="str">
        <f>IF(ROW()-6&gt;NumCostCenter,"",IF(CostCenter&lt;&gt;"ALL",CostCenter,DATA_LF2!B233))</f>
        <v/>
      </c>
      <c r="C235" s="153" t="str">
        <f>IF($B235&lt;&gt;"",INDEX(DataOB[],FirstRow+ROW()-7,2),"")</f>
        <v/>
      </c>
      <c r="D235" s="66" t="str">
        <f>IF($B235&lt;&gt;"",INDEX(DataOB[],FirstRow+ROW()-7,3),"")</f>
        <v/>
      </c>
      <c r="E235" s="103" t="str">
        <f>IF($B235&lt;&gt;"",INDEX(DataOB[],FirstRow+ROW()-7,6),"")</f>
        <v/>
      </c>
      <c r="F235" s="103" t="str">
        <f>IF($B235&lt;&gt;"",INDEX(DataOB[],FirstRow+ROW()-7,5),"")</f>
        <v/>
      </c>
      <c r="G235" s="58">
        <f>IF($B235&lt;&gt;"",SUMIFS(DataAct_tbl[AMOUNT],DataAct_tbl[BG CODE],Detail!$D235,DataAct_tbl[MONTH],LEFT(MonthName,3),DataAct_tbl[Dept code],$B235),0)</f>
        <v>0</v>
      </c>
      <c r="H235" s="31" t="str">
        <f t="shared" si="34"/>
        <v/>
      </c>
      <c r="I235" s="28" t="str">
        <f t="shared" si="35"/>
        <v/>
      </c>
      <c r="J235" s="32" t="str">
        <f t="shared" si="36"/>
        <v/>
      </c>
      <c r="K235" s="86"/>
      <c r="L235" s="62">
        <f>IF($B235&lt;&gt;"",SUMIFS(DataAct_tbl[AMOUNT],DataAct_tbl[BG CODE],Detail!$D235,DataAct_tbl[Check Range],"=true",DataAct_tbl[Dept code],$B235),0)</f>
        <v>0</v>
      </c>
      <c r="M235" s="63">
        <f>INDEX($AG$7:$AR$1005,ROW()-6,MATCH(MTD,$AG$6:$AR$6,0))</f>
        <v>0</v>
      </c>
      <c r="N235" s="34">
        <f t="shared" si="37"/>
        <v>0</v>
      </c>
      <c r="O235" s="64" t="str">
        <f t="shared" si="38"/>
        <v xml:space="preserve"> </v>
      </c>
      <c r="Q235" s="97">
        <f t="shared" si="39"/>
        <v>0</v>
      </c>
      <c r="R235" s="96">
        <f t="shared" si="40"/>
        <v>0</v>
      </c>
      <c r="T235" s="67" t="str">
        <f>IF($B235&lt;&gt;"",INDEX(DataOB[],FirstRow+ROW()-7,MATCH(T$6,DataOB[#Headers],0)),"")</f>
        <v/>
      </c>
      <c r="U235" s="67" t="str">
        <f>IF($B235&lt;&gt;"",INDEX(DataOB[],FirstRow+ROW()-7,MATCH(U$6,DataOB[#Headers],0)),"")</f>
        <v/>
      </c>
      <c r="V235" s="67" t="str">
        <f>IF($B235&lt;&gt;"",INDEX(DataOB[],FirstRow+ROW()-7,MATCH(V$6,DataOB[#Headers],0)),"")</f>
        <v/>
      </c>
      <c r="W235" s="67" t="str">
        <f>IF($B235&lt;&gt;"",INDEX(DataOB[],FirstRow+ROW()-7,MATCH(W$6,DataOB[#Headers],0)),"")</f>
        <v/>
      </c>
      <c r="X235" s="67" t="str">
        <f>IF($B235&lt;&gt;"",INDEX(DataOB[],FirstRow+ROW()-7,MATCH(X$6,DataOB[#Headers],0)),"")</f>
        <v/>
      </c>
      <c r="Y235" s="67" t="str">
        <f>IF($B235&lt;&gt;"",INDEX(DataOB[],FirstRow+ROW()-7,MATCH(Y$6,DataOB[#Headers],0)),"")</f>
        <v/>
      </c>
      <c r="Z235" s="67" t="str">
        <f>IF($B235&lt;&gt;"",INDEX(DataOB[],FirstRow+ROW()-7,MATCH(Z$6,DataOB[#Headers],0)),"")</f>
        <v/>
      </c>
      <c r="AA235" s="67" t="str">
        <f>IF($B235&lt;&gt;"",INDEX(DataOB[],FirstRow+ROW()-7,MATCH(AA$6,DataOB[#Headers],0)),"")</f>
        <v/>
      </c>
      <c r="AB235" s="67" t="str">
        <f>IF($B235&lt;&gt;"",INDEX(DataOB[],FirstRow+ROW()-7,MATCH(AB$6,DataOB[#Headers],0)),"")</f>
        <v/>
      </c>
      <c r="AC235" s="67" t="str">
        <f>IF($B235&lt;&gt;"",INDEX(DataOB[],FirstRow+ROW()-7,MATCH(AC$6,DataOB[#Headers],0)),"")</f>
        <v/>
      </c>
      <c r="AD235" s="67" t="str">
        <f>IF($B235&lt;&gt;"",INDEX(DataOB[],FirstRow+ROW()-7,MATCH(AD$6,DataOB[#Headers],0)),"")</f>
        <v/>
      </c>
      <c r="AE235" s="67" t="str">
        <f>IF($B235&lt;&gt;"",INDEX(DataOB[],FirstRow+ROW()-7,MATCH(AE$6,DataOB[#Headers],0)),"")</f>
        <v/>
      </c>
      <c r="AF235" s="26">
        <f t="shared" si="41"/>
        <v>0</v>
      </c>
      <c r="AG235" s="31">
        <f>SUM($T235:T235)</f>
        <v>0</v>
      </c>
      <c r="AH235" s="31">
        <f>SUM($T235:U235)</f>
        <v>0</v>
      </c>
      <c r="AI235" s="31">
        <f>SUM($T235:V235)</f>
        <v>0</v>
      </c>
      <c r="AJ235" s="31">
        <f>SUM($T235:W235)</f>
        <v>0</v>
      </c>
      <c r="AK235" s="31">
        <f>SUM($T235:X235)</f>
        <v>0</v>
      </c>
      <c r="AL235" s="31">
        <f>SUM($T235:Y235)</f>
        <v>0</v>
      </c>
      <c r="AM235" s="31">
        <f>SUM($T235:Z235)</f>
        <v>0</v>
      </c>
      <c r="AN235" s="31">
        <f>SUM($T235:AA235)</f>
        <v>0</v>
      </c>
      <c r="AO235" s="31">
        <f>SUM($T235:AB235)</f>
        <v>0</v>
      </c>
      <c r="AP235" s="31">
        <f>SUM($T235:AC235)</f>
        <v>0</v>
      </c>
      <c r="AQ235" s="31">
        <f>SUM($T235:AD235)</f>
        <v>0</v>
      </c>
      <c r="AR235" s="31">
        <f>SUM($T235:AE235)</f>
        <v>0</v>
      </c>
      <c r="AS235" s="27">
        <f t="shared" si="42"/>
        <v>0</v>
      </c>
    </row>
    <row r="236" spans="2:45">
      <c r="B236" s="102" t="str">
        <f>IF(ROW()-6&gt;NumCostCenter,"",IF(CostCenter&lt;&gt;"ALL",CostCenter,DATA_LF2!B234))</f>
        <v/>
      </c>
      <c r="C236" s="153" t="str">
        <f>IF($B236&lt;&gt;"",INDEX(DataOB[],FirstRow+ROW()-7,2),"")</f>
        <v/>
      </c>
      <c r="D236" s="66" t="str">
        <f>IF($B236&lt;&gt;"",INDEX(DataOB[],FirstRow+ROW()-7,3),"")</f>
        <v/>
      </c>
      <c r="E236" s="103" t="str">
        <f>IF($B236&lt;&gt;"",INDEX(DataOB[],FirstRow+ROW()-7,6),"")</f>
        <v/>
      </c>
      <c r="F236" s="103" t="str">
        <f>IF($B236&lt;&gt;"",INDEX(DataOB[],FirstRow+ROW()-7,5),"")</f>
        <v/>
      </c>
      <c r="G236" s="58">
        <f>IF($B236&lt;&gt;"",SUMIFS(DataAct_tbl[AMOUNT],DataAct_tbl[BG CODE],Detail!$D236,DataAct_tbl[MONTH],LEFT(MonthName,3),DataAct_tbl[Dept code],$B236),0)</f>
        <v>0</v>
      </c>
      <c r="H236" s="31" t="str">
        <f t="shared" si="34"/>
        <v/>
      </c>
      <c r="I236" s="28" t="str">
        <f t="shared" si="35"/>
        <v/>
      </c>
      <c r="J236" s="32" t="str">
        <f t="shared" si="36"/>
        <v/>
      </c>
      <c r="K236" s="86"/>
      <c r="L236" s="62">
        <f>IF($B236&lt;&gt;"",SUMIFS(DataAct_tbl[AMOUNT],DataAct_tbl[BG CODE],Detail!$D236,DataAct_tbl[Check Range],"=true",DataAct_tbl[Dept code],$B236),0)</f>
        <v>0</v>
      </c>
      <c r="M236" s="63">
        <f>INDEX($AG$7:$AR$1005,ROW()-6,MATCH(MTD,$AG$6:$AR$6,0))</f>
        <v>0</v>
      </c>
      <c r="N236" s="34">
        <f t="shared" si="37"/>
        <v>0</v>
      </c>
      <c r="O236" s="64" t="str">
        <f t="shared" si="38"/>
        <v xml:space="preserve"> </v>
      </c>
      <c r="Q236" s="97">
        <f t="shared" si="39"/>
        <v>0</v>
      </c>
      <c r="R236" s="96">
        <f t="shared" si="40"/>
        <v>0</v>
      </c>
      <c r="T236" s="67" t="str">
        <f>IF($B236&lt;&gt;"",INDEX(DataOB[],FirstRow+ROW()-7,MATCH(T$6,DataOB[#Headers],0)),"")</f>
        <v/>
      </c>
      <c r="U236" s="67" t="str">
        <f>IF($B236&lt;&gt;"",INDEX(DataOB[],FirstRow+ROW()-7,MATCH(U$6,DataOB[#Headers],0)),"")</f>
        <v/>
      </c>
      <c r="V236" s="67" t="str">
        <f>IF($B236&lt;&gt;"",INDEX(DataOB[],FirstRow+ROW()-7,MATCH(V$6,DataOB[#Headers],0)),"")</f>
        <v/>
      </c>
      <c r="W236" s="67" t="str">
        <f>IF($B236&lt;&gt;"",INDEX(DataOB[],FirstRow+ROW()-7,MATCH(W$6,DataOB[#Headers],0)),"")</f>
        <v/>
      </c>
      <c r="X236" s="67" t="str">
        <f>IF($B236&lt;&gt;"",INDEX(DataOB[],FirstRow+ROW()-7,MATCH(X$6,DataOB[#Headers],0)),"")</f>
        <v/>
      </c>
      <c r="Y236" s="67" t="str">
        <f>IF($B236&lt;&gt;"",INDEX(DataOB[],FirstRow+ROW()-7,MATCH(Y$6,DataOB[#Headers],0)),"")</f>
        <v/>
      </c>
      <c r="Z236" s="67" t="str">
        <f>IF($B236&lt;&gt;"",INDEX(DataOB[],FirstRow+ROW()-7,MATCH(Z$6,DataOB[#Headers],0)),"")</f>
        <v/>
      </c>
      <c r="AA236" s="67" t="str">
        <f>IF($B236&lt;&gt;"",INDEX(DataOB[],FirstRow+ROW()-7,MATCH(AA$6,DataOB[#Headers],0)),"")</f>
        <v/>
      </c>
      <c r="AB236" s="67" t="str">
        <f>IF($B236&lt;&gt;"",INDEX(DataOB[],FirstRow+ROW()-7,MATCH(AB$6,DataOB[#Headers],0)),"")</f>
        <v/>
      </c>
      <c r="AC236" s="67" t="str">
        <f>IF($B236&lt;&gt;"",INDEX(DataOB[],FirstRow+ROW()-7,MATCH(AC$6,DataOB[#Headers],0)),"")</f>
        <v/>
      </c>
      <c r="AD236" s="67" t="str">
        <f>IF($B236&lt;&gt;"",INDEX(DataOB[],FirstRow+ROW()-7,MATCH(AD$6,DataOB[#Headers],0)),"")</f>
        <v/>
      </c>
      <c r="AE236" s="67" t="str">
        <f>IF($B236&lt;&gt;"",INDEX(DataOB[],FirstRow+ROW()-7,MATCH(AE$6,DataOB[#Headers],0)),"")</f>
        <v/>
      </c>
      <c r="AF236" s="26">
        <f t="shared" si="41"/>
        <v>0</v>
      </c>
      <c r="AG236" s="31">
        <f>SUM($T236:T236)</f>
        <v>0</v>
      </c>
      <c r="AH236" s="31">
        <f>SUM($T236:U236)</f>
        <v>0</v>
      </c>
      <c r="AI236" s="31">
        <f>SUM($T236:V236)</f>
        <v>0</v>
      </c>
      <c r="AJ236" s="31">
        <f>SUM($T236:W236)</f>
        <v>0</v>
      </c>
      <c r="AK236" s="31">
        <f>SUM($T236:X236)</f>
        <v>0</v>
      </c>
      <c r="AL236" s="31">
        <f>SUM($T236:Y236)</f>
        <v>0</v>
      </c>
      <c r="AM236" s="31">
        <f>SUM($T236:Z236)</f>
        <v>0</v>
      </c>
      <c r="AN236" s="31">
        <f>SUM($T236:AA236)</f>
        <v>0</v>
      </c>
      <c r="AO236" s="31">
        <f>SUM($T236:AB236)</f>
        <v>0</v>
      </c>
      <c r="AP236" s="31">
        <f>SUM($T236:AC236)</f>
        <v>0</v>
      </c>
      <c r="AQ236" s="31">
        <f>SUM($T236:AD236)</f>
        <v>0</v>
      </c>
      <c r="AR236" s="31">
        <f>SUM($T236:AE236)</f>
        <v>0</v>
      </c>
      <c r="AS236" s="27">
        <f t="shared" si="42"/>
        <v>0</v>
      </c>
    </row>
    <row r="237" spans="2:45">
      <c r="B237" s="102" t="str">
        <f>IF(ROW()-6&gt;NumCostCenter,"",IF(CostCenter&lt;&gt;"ALL",CostCenter,DATA_LF2!B235))</f>
        <v/>
      </c>
      <c r="C237" s="153" t="str">
        <f>IF($B237&lt;&gt;"",INDEX(DataOB[],FirstRow+ROW()-7,2),"")</f>
        <v/>
      </c>
      <c r="D237" s="66" t="str">
        <f>IF($B237&lt;&gt;"",INDEX(DataOB[],FirstRow+ROW()-7,3),"")</f>
        <v/>
      </c>
      <c r="E237" s="103" t="str">
        <f>IF($B237&lt;&gt;"",INDEX(DataOB[],FirstRow+ROW()-7,6),"")</f>
        <v/>
      </c>
      <c r="F237" s="103" t="str">
        <f>IF($B237&lt;&gt;"",INDEX(DataOB[],FirstRow+ROW()-7,5),"")</f>
        <v/>
      </c>
      <c r="G237" s="58">
        <f>IF($B237&lt;&gt;"",SUMIFS(DataAct_tbl[AMOUNT],DataAct_tbl[BG CODE],Detail!$D237,DataAct_tbl[MONTH],LEFT(MonthName,3),DataAct_tbl[Dept code],$B237),0)</f>
        <v>0</v>
      </c>
      <c r="H237" s="31" t="str">
        <f t="shared" si="34"/>
        <v/>
      </c>
      <c r="I237" s="28" t="str">
        <f t="shared" si="35"/>
        <v/>
      </c>
      <c r="J237" s="32" t="str">
        <f t="shared" si="36"/>
        <v/>
      </c>
      <c r="K237" s="86"/>
      <c r="L237" s="62">
        <f>IF($B237&lt;&gt;"",SUMIFS(DataAct_tbl[AMOUNT],DataAct_tbl[BG CODE],Detail!$D237,DataAct_tbl[Check Range],"=true",DataAct_tbl[Dept code],$B237),0)</f>
        <v>0</v>
      </c>
      <c r="M237" s="63">
        <f>INDEX($AG$7:$AR$1005,ROW()-6,MATCH(MTD,$AG$6:$AR$6,0))</f>
        <v>0</v>
      </c>
      <c r="N237" s="34">
        <f t="shared" si="37"/>
        <v>0</v>
      </c>
      <c r="O237" s="64" t="str">
        <f t="shared" si="38"/>
        <v xml:space="preserve"> </v>
      </c>
      <c r="Q237" s="97">
        <f t="shared" si="39"/>
        <v>0</v>
      </c>
      <c r="R237" s="96">
        <f t="shared" si="40"/>
        <v>0</v>
      </c>
      <c r="T237" s="67" t="str">
        <f>IF($B237&lt;&gt;"",INDEX(DataOB[],FirstRow+ROW()-7,MATCH(T$6,DataOB[#Headers],0)),"")</f>
        <v/>
      </c>
      <c r="U237" s="67" t="str">
        <f>IF($B237&lt;&gt;"",INDEX(DataOB[],FirstRow+ROW()-7,MATCH(U$6,DataOB[#Headers],0)),"")</f>
        <v/>
      </c>
      <c r="V237" s="67" t="str">
        <f>IF($B237&lt;&gt;"",INDEX(DataOB[],FirstRow+ROW()-7,MATCH(V$6,DataOB[#Headers],0)),"")</f>
        <v/>
      </c>
      <c r="W237" s="67" t="str">
        <f>IF($B237&lt;&gt;"",INDEX(DataOB[],FirstRow+ROW()-7,MATCH(W$6,DataOB[#Headers],0)),"")</f>
        <v/>
      </c>
      <c r="X237" s="67" t="str">
        <f>IF($B237&lt;&gt;"",INDEX(DataOB[],FirstRow+ROW()-7,MATCH(X$6,DataOB[#Headers],0)),"")</f>
        <v/>
      </c>
      <c r="Y237" s="67" t="str">
        <f>IF($B237&lt;&gt;"",INDEX(DataOB[],FirstRow+ROW()-7,MATCH(Y$6,DataOB[#Headers],0)),"")</f>
        <v/>
      </c>
      <c r="Z237" s="67" t="str">
        <f>IF($B237&lt;&gt;"",INDEX(DataOB[],FirstRow+ROW()-7,MATCH(Z$6,DataOB[#Headers],0)),"")</f>
        <v/>
      </c>
      <c r="AA237" s="67" t="str">
        <f>IF($B237&lt;&gt;"",INDEX(DataOB[],FirstRow+ROW()-7,MATCH(AA$6,DataOB[#Headers],0)),"")</f>
        <v/>
      </c>
      <c r="AB237" s="67" t="str">
        <f>IF($B237&lt;&gt;"",INDEX(DataOB[],FirstRow+ROW()-7,MATCH(AB$6,DataOB[#Headers],0)),"")</f>
        <v/>
      </c>
      <c r="AC237" s="67" t="str">
        <f>IF($B237&lt;&gt;"",INDEX(DataOB[],FirstRow+ROW()-7,MATCH(AC$6,DataOB[#Headers],0)),"")</f>
        <v/>
      </c>
      <c r="AD237" s="67" t="str">
        <f>IF($B237&lt;&gt;"",INDEX(DataOB[],FirstRow+ROW()-7,MATCH(AD$6,DataOB[#Headers],0)),"")</f>
        <v/>
      </c>
      <c r="AE237" s="67" t="str">
        <f>IF($B237&lt;&gt;"",INDEX(DataOB[],FirstRow+ROW()-7,MATCH(AE$6,DataOB[#Headers],0)),"")</f>
        <v/>
      </c>
      <c r="AF237" s="26">
        <f t="shared" si="41"/>
        <v>0</v>
      </c>
      <c r="AG237" s="31">
        <f>SUM($T237:T237)</f>
        <v>0</v>
      </c>
      <c r="AH237" s="31">
        <f>SUM($T237:U237)</f>
        <v>0</v>
      </c>
      <c r="AI237" s="31">
        <f>SUM($T237:V237)</f>
        <v>0</v>
      </c>
      <c r="AJ237" s="31">
        <f>SUM($T237:W237)</f>
        <v>0</v>
      </c>
      <c r="AK237" s="31">
        <f>SUM($T237:X237)</f>
        <v>0</v>
      </c>
      <c r="AL237" s="31">
        <f>SUM($T237:Y237)</f>
        <v>0</v>
      </c>
      <c r="AM237" s="31">
        <f>SUM($T237:Z237)</f>
        <v>0</v>
      </c>
      <c r="AN237" s="31">
        <f>SUM($T237:AA237)</f>
        <v>0</v>
      </c>
      <c r="AO237" s="31">
        <f>SUM($T237:AB237)</f>
        <v>0</v>
      </c>
      <c r="AP237" s="31">
        <f>SUM($T237:AC237)</f>
        <v>0</v>
      </c>
      <c r="AQ237" s="31">
        <f>SUM($T237:AD237)</f>
        <v>0</v>
      </c>
      <c r="AR237" s="31">
        <f>SUM($T237:AE237)</f>
        <v>0</v>
      </c>
      <c r="AS237" s="27">
        <f t="shared" si="42"/>
        <v>0</v>
      </c>
    </row>
    <row r="238" spans="2:45">
      <c r="B238" s="102" t="str">
        <f>IF(ROW()-6&gt;NumCostCenter,"",IF(CostCenter&lt;&gt;"ALL",CostCenter,DATA_LF2!B236))</f>
        <v/>
      </c>
      <c r="C238" s="153" t="str">
        <f>IF($B238&lt;&gt;"",INDEX(DataOB[],FirstRow+ROW()-7,2),"")</f>
        <v/>
      </c>
      <c r="D238" s="66" t="str">
        <f>IF($B238&lt;&gt;"",INDEX(DataOB[],FirstRow+ROW()-7,3),"")</f>
        <v/>
      </c>
      <c r="E238" s="103" t="str">
        <f>IF($B238&lt;&gt;"",INDEX(DataOB[],FirstRow+ROW()-7,6),"")</f>
        <v/>
      </c>
      <c r="F238" s="103" t="str">
        <f>IF($B238&lt;&gt;"",INDEX(DataOB[],FirstRow+ROW()-7,5),"")</f>
        <v/>
      </c>
      <c r="G238" s="58">
        <f>IF($B238&lt;&gt;"",SUMIFS(DataAct_tbl[AMOUNT],DataAct_tbl[BG CODE],Detail!$D238,DataAct_tbl[MONTH],LEFT(MonthName,3),DataAct_tbl[Dept code],$B238),0)</f>
        <v>0</v>
      </c>
      <c r="H238" s="31" t="str">
        <f t="shared" si="34"/>
        <v/>
      </c>
      <c r="I238" s="28" t="str">
        <f t="shared" si="35"/>
        <v/>
      </c>
      <c r="J238" s="32" t="str">
        <f t="shared" si="36"/>
        <v/>
      </c>
      <c r="K238" s="86"/>
      <c r="L238" s="62">
        <f>IF($B238&lt;&gt;"",SUMIFS(DataAct_tbl[AMOUNT],DataAct_tbl[BG CODE],Detail!$D238,DataAct_tbl[Check Range],"=true",DataAct_tbl[Dept code],$B238),0)</f>
        <v>0</v>
      </c>
      <c r="M238" s="63">
        <f>INDEX($AG$7:$AR$1005,ROW()-6,MATCH(MTD,$AG$6:$AR$6,0))</f>
        <v>0</v>
      </c>
      <c r="N238" s="34">
        <f t="shared" si="37"/>
        <v>0</v>
      </c>
      <c r="O238" s="64" t="str">
        <f t="shared" si="38"/>
        <v xml:space="preserve"> </v>
      </c>
      <c r="Q238" s="97">
        <f t="shared" si="39"/>
        <v>0</v>
      </c>
      <c r="R238" s="96">
        <f t="shared" si="40"/>
        <v>0</v>
      </c>
      <c r="T238" s="67" t="str">
        <f>IF($B238&lt;&gt;"",INDEX(DataOB[],FirstRow+ROW()-7,MATCH(T$6,DataOB[#Headers],0)),"")</f>
        <v/>
      </c>
      <c r="U238" s="67" t="str">
        <f>IF($B238&lt;&gt;"",INDEX(DataOB[],FirstRow+ROW()-7,MATCH(U$6,DataOB[#Headers],0)),"")</f>
        <v/>
      </c>
      <c r="V238" s="67" t="str">
        <f>IF($B238&lt;&gt;"",INDEX(DataOB[],FirstRow+ROW()-7,MATCH(V$6,DataOB[#Headers],0)),"")</f>
        <v/>
      </c>
      <c r="W238" s="67" t="str">
        <f>IF($B238&lt;&gt;"",INDEX(DataOB[],FirstRow+ROW()-7,MATCH(W$6,DataOB[#Headers],0)),"")</f>
        <v/>
      </c>
      <c r="X238" s="67" t="str">
        <f>IF($B238&lt;&gt;"",INDEX(DataOB[],FirstRow+ROW()-7,MATCH(X$6,DataOB[#Headers],0)),"")</f>
        <v/>
      </c>
      <c r="Y238" s="67" t="str">
        <f>IF($B238&lt;&gt;"",INDEX(DataOB[],FirstRow+ROW()-7,MATCH(Y$6,DataOB[#Headers],0)),"")</f>
        <v/>
      </c>
      <c r="Z238" s="67" t="str">
        <f>IF($B238&lt;&gt;"",INDEX(DataOB[],FirstRow+ROW()-7,MATCH(Z$6,DataOB[#Headers],0)),"")</f>
        <v/>
      </c>
      <c r="AA238" s="67" t="str">
        <f>IF($B238&lt;&gt;"",INDEX(DataOB[],FirstRow+ROW()-7,MATCH(AA$6,DataOB[#Headers],0)),"")</f>
        <v/>
      </c>
      <c r="AB238" s="67" t="str">
        <f>IF($B238&lt;&gt;"",INDEX(DataOB[],FirstRow+ROW()-7,MATCH(AB$6,DataOB[#Headers],0)),"")</f>
        <v/>
      </c>
      <c r="AC238" s="67" t="str">
        <f>IF($B238&lt;&gt;"",INDEX(DataOB[],FirstRow+ROW()-7,MATCH(AC$6,DataOB[#Headers],0)),"")</f>
        <v/>
      </c>
      <c r="AD238" s="67" t="str">
        <f>IF($B238&lt;&gt;"",INDEX(DataOB[],FirstRow+ROW()-7,MATCH(AD$6,DataOB[#Headers],0)),"")</f>
        <v/>
      </c>
      <c r="AE238" s="67" t="str">
        <f>IF($B238&lt;&gt;"",INDEX(DataOB[],FirstRow+ROW()-7,MATCH(AE$6,DataOB[#Headers],0)),"")</f>
        <v/>
      </c>
      <c r="AF238" s="26">
        <f t="shared" si="41"/>
        <v>0</v>
      </c>
      <c r="AG238" s="31">
        <f>SUM($T238:T238)</f>
        <v>0</v>
      </c>
      <c r="AH238" s="31">
        <f>SUM($T238:U238)</f>
        <v>0</v>
      </c>
      <c r="AI238" s="31">
        <f>SUM($T238:V238)</f>
        <v>0</v>
      </c>
      <c r="AJ238" s="31">
        <f>SUM($T238:W238)</f>
        <v>0</v>
      </c>
      <c r="AK238" s="31">
        <f>SUM($T238:X238)</f>
        <v>0</v>
      </c>
      <c r="AL238" s="31">
        <f>SUM($T238:Y238)</f>
        <v>0</v>
      </c>
      <c r="AM238" s="31">
        <f>SUM($T238:Z238)</f>
        <v>0</v>
      </c>
      <c r="AN238" s="31">
        <f>SUM($T238:AA238)</f>
        <v>0</v>
      </c>
      <c r="AO238" s="31">
        <f>SUM($T238:AB238)</f>
        <v>0</v>
      </c>
      <c r="AP238" s="31">
        <f>SUM($T238:AC238)</f>
        <v>0</v>
      </c>
      <c r="AQ238" s="31">
        <f>SUM($T238:AD238)</f>
        <v>0</v>
      </c>
      <c r="AR238" s="31">
        <f>SUM($T238:AE238)</f>
        <v>0</v>
      </c>
      <c r="AS238" s="27">
        <f t="shared" si="42"/>
        <v>0</v>
      </c>
    </row>
    <row r="239" spans="2:45">
      <c r="B239" s="102" t="str">
        <f>IF(ROW()-6&gt;NumCostCenter,"",IF(CostCenter&lt;&gt;"ALL",CostCenter,DATA_LF2!B237))</f>
        <v/>
      </c>
      <c r="C239" s="153" t="str">
        <f>IF($B239&lt;&gt;"",INDEX(DataOB[],FirstRow+ROW()-7,2),"")</f>
        <v/>
      </c>
      <c r="D239" s="66" t="str">
        <f>IF($B239&lt;&gt;"",INDEX(DataOB[],FirstRow+ROW()-7,3),"")</f>
        <v/>
      </c>
      <c r="E239" s="103" t="str">
        <f>IF($B239&lt;&gt;"",INDEX(DataOB[],FirstRow+ROW()-7,6),"")</f>
        <v/>
      </c>
      <c r="F239" s="103" t="str">
        <f>IF($B239&lt;&gt;"",INDEX(DataOB[],FirstRow+ROW()-7,5),"")</f>
        <v/>
      </c>
      <c r="G239" s="58">
        <f>IF($B239&lt;&gt;"",SUMIFS(DataAct_tbl[AMOUNT],DataAct_tbl[BG CODE],Detail!$D239,DataAct_tbl[MONTH],LEFT(MonthName,3),DataAct_tbl[Dept code],$B239),0)</f>
        <v>0</v>
      </c>
      <c r="H239" s="31" t="str">
        <f t="shared" si="34"/>
        <v/>
      </c>
      <c r="I239" s="28" t="str">
        <f t="shared" si="35"/>
        <v/>
      </c>
      <c r="J239" s="32" t="str">
        <f t="shared" si="36"/>
        <v/>
      </c>
      <c r="K239" s="86"/>
      <c r="L239" s="62">
        <f>IF($B239&lt;&gt;"",SUMIFS(DataAct_tbl[AMOUNT],DataAct_tbl[BG CODE],Detail!$D239,DataAct_tbl[Check Range],"=true",DataAct_tbl[Dept code],$B239),0)</f>
        <v>0</v>
      </c>
      <c r="M239" s="63">
        <f>INDEX($AG$7:$AR$1005,ROW()-6,MATCH(MTD,$AG$6:$AR$6,0))</f>
        <v>0</v>
      </c>
      <c r="N239" s="34">
        <f t="shared" si="37"/>
        <v>0</v>
      </c>
      <c r="O239" s="64" t="str">
        <f t="shared" si="38"/>
        <v xml:space="preserve"> </v>
      </c>
      <c r="Q239" s="97">
        <f t="shared" si="39"/>
        <v>0</v>
      </c>
      <c r="R239" s="96">
        <f t="shared" si="40"/>
        <v>0</v>
      </c>
      <c r="T239" s="67" t="str">
        <f>IF($B239&lt;&gt;"",INDEX(DataOB[],FirstRow+ROW()-7,MATCH(T$6,DataOB[#Headers],0)),"")</f>
        <v/>
      </c>
      <c r="U239" s="67" t="str">
        <f>IF($B239&lt;&gt;"",INDEX(DataOB[],FirstRow+ROW()-7,MATCH(U$6,DataOB[#Headers],0)),"")</f>
        <v/>
      </c>
      <c r="V239" s="67" t="str">
        <f>IF($B239&lt;&gt;"",INDEX(DataOB[],FirstRow+ROW()-7,MATCH(V$6,DataOB[#Headers],0)),"")</f>
        <v/>
      </c>
      <c r="W239" s="67" t="str">
        <f>IF($B239&lt;&gt;"",INDEX(DataOB[],FirstRow+ROW()-7,MATCH(W$6,DataOB[#Headers],0)),"")</f>
        <v/>
      </c>
      <c r="X239" s="67" t="str">
        <f>IF($B239&lt;&gt;"",INDEX(DataOB[],FirstRow+ROW()-7,MATCH(X$6,DataOB[#Headers],0)),"")</f>
        <v/>
      </c>
      <c r="Y239" s="67" t="str">
        <f>IF($B239&lt;&gt;"",INDEX(DataOB[],FirstRow+ROW()-7,MATCH(Y$6,DataOB[#Headers],0)),"")</f>
        <v/>
      </c>
      <c r="Z239" s="67" t="str">
        <f>IF($B239&lt;&gt;"",INDEX(DataOB[],FirstRow+ROW()-7,MATCH(Z$6,DataOB[#Headers],0)),"")</f>
        <v/>
      </c>
      <c r="AA239" s="67" t="str">
        <f>IF($B239&lt;&gt;"",INDEX(DataOB[],FirstRow+ROW()-7,MATCH(AA$6,DataOB[#Headers],0)),"")</f>
        <v/>
      </c>
      <c r="AB239" s="67" t="str">
        <f>IF($B239&lt;&gt;"",INDEX(DataOB[],FirstRow+ROW()-7,MATCH(AB$6,DataOB[#Headers],0)),"")</f>
        <v/>
      </c>
      <c r="AC239" s="67" t="str">
        <f>IF($B239&lt;&gt;"",INDEX(DataOB[],FirstRow+ROW()-7,MATCH(AC$6,DataOB[#Headers],0)),"")</f>
        <v/>
      </c>
      <c r="AD239" s="67" t="str">
        <f>IF($B239&lt;&gt;"",INDEX(DataOB[],FirstRow+ROW()-7,MATCH(AD$6,DataOB[#Headers],0)),"")</f>
        <v/>
      </c>
      <c r="AE239" s="67" t="str">
        <f>IF($B239&lt;&gt;"",INDEX(DataOB[],FirstRow+ROW()-7,MATCH(AE$6,DataOB[#Headers],0)),"")</f>
        <v/>
      </c>
      <c r="AF239" s="26">
        <f t="shared" si="41"/>
        <v>0</v>
      </c>
      <c r="AG239" s="31">
        <f>SUM($T239:T239)</f>
        <v>0</v>
      </c>
      <c r="AH239" s="31">
        <f>SUM($T239:U239)</f>
        <v>0</v>
      </c>
      <c r="AI239" s="31">
        <f>SUM($T239:V239)</f>
        <v>0</v>
      </c>
      <c r="AJ239" s="31">
        <f>SUM($T239:W239)</f>
        <v>0</v>
      </c>
      <c r="AK239" s="31">
        <f>SUM($T239:X239)</f>
        <v>0</v>
      </c>
      <c r="AL239" s="31">
        <f>SUM($T239:Y239)</f>
        <v>0</v>
      </c>
      <c r="AM239" s="31">
        <f>SUM($T239:Z239)</f>
        <v>0</v>
      </c>
      <c r="AN239" s="31">
        <f>SUM($T239:AA239)</f>
        <v>0</v>
      </c>
      <c r="AO239" s="31">
        <f>SUM($T239:AB239)</f>
        <v>0</v>
      </c>
      <c r="AP239" s="31">
        <f>SUM($T239:AC239)</f>
        <v>0</v>
      </c>
      <c r="AQ239" s="31">
        <f>SUM($T239:AD239)</f>
        <v>0</v>
      </c>
      <c r="AR239" s="31">
        <f>SUM($T239:AE239)</f>
        <v>0</v>
      </c>
      <c r="AS239" s="27">
        <f t="shared" si="42"/>
        <v>0</v>
      </c>
    </row>
    <row r="240" spans="2:45">
      <c r="B240" s="102" t="str">
        <f>IF(ROW()-6&gt;NumCostCenter,"",IF(CostCenter&lt;&gt;"ALL",CostCenter,DATA_LF2!B238))</f>
        <v/>
      </c>
      <c r="C240" s="153" t="str">
        <f>IF($B240&lt;&gt;"",INDEX(DataOB[],FirstRow+ROW()-7,2),"")</f>
        <v/>
      </c>
      <c r="D240" s="66" t="str">
        <f>IF($B240&lt;&gt;"",INDEX(DataOB[],FirstRow+ROW()-7,3),"")</f>
        <v/>
      </c>
      <c r="E240" s="103" t="str">
        <f>IF($B240&lt;&gt;"",INDEX(DataOB[],FirstRow+ROW()-7,6),"")</f>
        <v/>
      </c>
      <c r="F240" s="103" t="str">
        <f>IF($B240&lt;&gt;"",INDEX(DataOB[],FirstRow+ROW()-7,5),"")</f>
        <v/>
      </c>
      <c r="G240" s="58">
        <f>IF($B240&lt;&gt;"",SUMIFS(DataAct_tbl[AMOUNT],DataAct_tbl[BG CODE],Detail!$D240,DataAct_tbl[MONTH],LEFT(MonthName,3),DataAct_tbl[Dept code],$B240),0)</f>
        <v>0</v>
      </c>
      <c r="H240" s="31" t="str">
        <f t="shared" si="34"/>
        <v/>
      </c>
      <c r="I240" s="28" t="str">
        <f t="shared" si="35"/>
        <v/>
      </c>
      <c r="J240" s="32" t="str">
        <f t="shared" si="36"/>
        <v/>
      </c>
      <c r="K240" s="86"/>
      <c r="L240" s="62">
        <f>IF($B240&lt;&gt;"",SUMIFS(DataAct_tbl[AMOUNT],DataAct_tbl[BG CODE],Detail!$D240,DataAct_tbl[Check Range],"=true",DataAct_tbl[Dept code],$B240),0)</f>
        <v>0</v>
      </c>
      <c r="M240" s="63">
        <f>INDEX($AG$7:$AR$1005,ROW()-6,MATCH(MTD,$AG$6:$AR$6,0))</f>
        <v>0</v>
      </c>
      <c r="N240" s="34">
        <f t="shared" si="37"/>
        <v>0</v>
      </c>
      <c r="O240" s="64" t="str">
        <f t="shared" si="38"/>
        <v xml:space="preserve"> </v>
      </c>
      <c r="Q240" s="97">
        <f t="shared" si="39"/>
        <v>0</v>
      </c>
      <c r="R240" s="96">
        <f t="shared" si="40"/>
        <v>0</v>
      </c>
      <c r="T240" s="67" t="str">
        <f>IF($B240&lt;&gt;"",INDEX(DataOB[],FirstRow+ROW()-7,MATCH(T$6,DataOB[#Headers],0)),"")</f>
        <v/>
      </c>
      <c r="U240" s="67" t="str">
        <f>IF($B240&lt;&gt;"",INDEX(DataOB[],FirstRow+ROW()-7,MATCH(U$6,DataOB[#Headers],0)),"")</f>
        <v/>
      </c>
      <c r="V240" s="67" t="str">
        <f>IF($B240&lt;&gt;"",INDEX(DataOB[],FirstRow+ROW()-7,MATCH(V$6,DataOB[#Headers],0)),"")</f>
        <v/>
      </c>
      <c r="W240" s="67" t="str">
        <f>IF($B240&lt;&gt;"",INDEX(DataOB[],FirstRow+ROW()-7,MATCH(W$6,DataOB[#Headers],0)),"")</f>
        <v/>
      </c>
      <c r="X240" s="67" t="str">
        <f>IF($B240&lt;&gt;"",INDEX(DataOB[],FirstRow+ROW()-7,MATCH(X$6,DataOB[#Headers],0)),"")</f>
        <v/>
      </c>
      <c r="Y240" s="67" t="str">
        <f>IF($B240&lt;&gt;"",INDEX(DataOB[],FirstRow+ROW()-7,MATCH(Y$6,DataOB[#Headers],0)),"")</f>
        <v/>
      </c>
      <c r="Z240" s="67" t="str">
        <f>IF($B240&lt;&gt;"",INDEX(DataOB[],FirstRow+ROW()-7,MATCH(Z$6,DataOB[#Headers],0)),"")</f>
        <v/>
      </c>
      <c r="AA240" s="67" t="str">
        <f>IF($B240&lt;&gt;"",INDEX(DataOB[],FirstRow+ROW()-7,MATCH(AA$6,DataOB[#Headers],0)),"")</f>
        <v/>
      </c>
      <c r="AB240" s="67" t="str">
        <f>IF($B240&lt;&gt;"",INDEX(DataOB[],FirstRow+ROW()-7,MATCH(AB$6,DataOB[#Headers],0)),"")</f>
        <v/>
      </c>
      <c r="AC240" s="67" t="str">
        <f>IF($B240&lt;&gt;"",INDEX(DataOB[],FirstRow+ROW()-7,MATCH(AC$6,DataOB[#Headers],0)),"")</f>
        <v/>
      </c>
      <c r="AD240" s="67" t="str">
        <f>IF($B240&lt;&gt;"",INDEX(DataOB[],FirstRow+ROW()-7,MATCH(AD$6,DataOB[#Headers],0)),"")</f>
        <v/>
      </c>
      <c r="AE240" s="67" t="str">
        <f>IF($B240&lt;&gt;"",INDEX(DataOB[],FirstRow+ROW()-7,MATCH(AE$6,DataOB[#Headers],0)),"")</f>
        <v/>
      </c>
      <c r="AF240" s="26">
        <f t="shared" si="41"/>
        <v>0</v>
      </c>
      <c r="AG240" s="31">
        <f>SUM($T240:T240)</f>
        <v>0</v>
      </c>
      <c r="AH240" s="31">
        <f>SUM($T240:U240)</f>
        <v>0</v>
      </c>
      <c r="AI240" s="31">
        <f>SUM($T240:V240)</f>
        <v>0</v>
      </c>
      <c r="AJ240" s="31">
        <f>SUM($T240:W240)</f>
        <v>0</v>
      </c>
      <c r="AK240" s="31">
        <f>SUM($T240:X240)</f>
        <v>0</v>
      </c>
      <c r="AL240" s="31">
        <f>SUM($T240:Y240)</f>
        <v>0</v>
      </c>
      <c r="AM240" s="31">
        <f>SUM($T240:Z240)</f>
        <v>0</v>
      </c>
      <c r="AN240" s="31">
        <f>SUM($T240:AA240)</f>
        <v>0</v>
      </c>
      <c r="AO240" s="31">
        <f>SUM($T240:AB240)</f>
        <v>0</v>
      </c>
      <c r="AP240" s="31">
        <f>SUM($T240:AC240)</f>
        <v>0</v>
      </c>
      <c r="AQ240" s="31">
        <f>SUM($T240:AD240)</f>
        <v>0</v>
      </c>
      <c r="AR240" s="31">
        <f>SUM($T240:AE240)</f>
        <v>0</v>
      </c>
      <c r="AS240" s="27">
        <f t="shared" si="42"/>
        <v>0</v>
      </c>
    </row>
    <row r="241" spans="2:45">
      <c r="B241" s="102" t="str">
        <f>IF(ROW()-6&gt;NumCostCenter,"",IF(CostCenter&lt;&gt;"ALL",CostCenter,DATA_LF2!B239))</f>
        <v/>
      </c>
      <c r="C241" s="153" t="str">
        <f>IF($B241&lt;&gt;"",INDEX(DataOB[],FirstRow+ROW()-7,2),"")</f>
        <v/>
      </c>
      <c r="D241" s="66" t="str">
        <f>IF($B241&lt;&gt;"",INDEX(DataOB[],FirstRow+ROW()-7,3),"")</f>
        <v/>
      </c>
      <c r="E241" s="103" t="str">
        <f>IF($B241&lt;&gt;"",INDEX(DataOB[],FirstRow+ROW()-7,6),"")</f>
        <v/>
      </c>
      <c r="F241" s="103" t="str">
        <f>IF($B241&lt;&gt;"",INDEX(DataOB[],FirstRow+ROW()-7,5),"")</f>
        <v/>
      </c>
      <c r="G241" s="58">
        <f>IF($B241&lt;&gt;"",SUMIFS(DataAct_tbl[AMOUNT],DataAct_tbl[BG CODE],Detail!$D241,DataAct_tbl[MONTH],LEFT(MonthName,3),DataAct_tbl[Dept code],$B241),0)</f>
        <v>0</v>
      </c>
      <c r="H241" s="31" t="str">
        <f t="shared" si="34"/>
        <v/>
      </c>
      <c r="I241" s="28" t="str">
        <f t="shared" si="35"/>
        <v/>
      </c>
      <c r="J241" s="32" t="str">
        <f t="shared" si="36"/>
        <v/>
      </c>
      <c r="K241" s="86"/>
      <c r="L241" s="62">
        <f>IF($B241&lt;&gt;"",SUMIFS(DataAct_tbl[AMOUNT],DataAct_tbl[BG CODE],Detail!$D241,DataAct_tbl[Check Range],"=true",DataAct_tbl[Dept code],$B241),0)</f>
        <v>0</v>
      </c>
      <c r="M241" s="63">
        <f>INDEX($AG$7:$AR$1005,ROW()-6,MATCH(MTD,$AG$6:$AR$6,0))</f>
        <v>0</v>
      </c>
      <c r="N241" s="34">
        <f t="shared" si="37"/>
        <v>0</v>
      </c>
      <c r="O241" s="64" t="str">
        <f t="shared" si="38"/>
        <v xml:space="preserve"> </v>
      </c>
      <c r="Q241" s="97">
        <f t="shared" si="39"/>
        <v>0</v>
      </c>
      <c r="R241" s="96">
        <f t="shared" si="40"/>
        <v>0</v>
      </c>
      <c r="T241" s="67" t="str">
        <f>IF($B241&lt;&gt;"",INDEX(DataOB[],FirstRow+ROW()-7,MATCH(T$6,DataOB[#Headers],0)),"")</f>
        <v/>
      </c>
      <c r="U241" s="67" t="str">
        <f>IF($B241&lt;&gt;"",INDEX(DataOB[],FirstRow+ROW()-7,MATCH(U$6,DataOB[#Headers],0)),"")</f>
        <v/>
      </c>
      <c r="V241" s="67" t="str">
        <f>IF($B241&lt;&gt;"",INDEX(DataOB[],FirstRow+ROW()-7,MATCH(V$6,DataOB[#Headers],0)),"")</f>
        <v/>
      </c>
      <c r="W241" s="67" t="str">
        <f>IF($B241&lt;&gt;"",INDEX(DataOB[],FirstRow+ROW()-7,MATCH(W$6,DataOB[#Headers],0)),"")</f>
        <v/>
      </c>
      <c r="X241" s="67" t="str">
        <f>IF($B241&lt;&gt;"",INDEX(DataOB[],FirstRow+ROW()-7,MATCH(X$6,DataOB[#Headers],0)),"")</f>
        <v/>
      </c>
      <c r="Y241" s="67" t="str">
        <f>IF($B241&lt;&gt;"",INDEX(DataOB[],FirstRow+ROW()-7,MATCH(Y$6,DataOB[#Headers],0)),"")</f>
        <v/>
      </c>
      <c r="Z241" s="67" t="str">
        <f>IF($B241&lt;&gt;"",INDEX(DataOB[],FirstRow+ROW()-7,MATCH(Z$6,DataOB[#Headers],0)),"")</f>
        <v/>
      </c>
      <c r="AA241" s="67" t="str">
        <f>IF($B241&lt;&gt;"",INDEX(DataOB[],FirstRow+ROW()-7,MATCH(AA$6,DataOB[#Headers],0)),"")</f>
        <v/>
      </c>
      <c r="AB241" s="67" t="str">
        <f>IF($B241&lt;&gt;"",INDEX(DataOB[],FirstRow+ROW()-7,MATCH(AB$6,DataOB[#Headers],0)),"")</f>
        <v/>
      </c>
      <c r="AC241" s="67" t="str">
        <f>IF($B241&lt;&gt;"",INDEX(DataOB[],FirstRow+ROW()-7,MATCH(AC$6,DataOB[#Headers],0)),"")</f>
        <v/>
      </c>
      <c r="AD241" s="67" t="str">
        <f>IF($B241&lt;&gt;"",INDEX(DataOB[],FirstRow+ROW()-7,MATCH(AD$6,DataOB[#Headers],0)),"")</f>
        <v/>
      </c>
      <c r="AE241" s="67" t="str">
        <f>IF($B241&lt;&gt;"",INDEX(DataOB[],FirstRow+ROW()-7,MATCH(AE$6,DataOB[#Headers],0)),"")</f>
        <v/>
      </c>
      <c r="AF241" s="26">
        <f t="shared" si="41"/>
        <v>0</v>
      </c>
      <c r="AG241" s="31">
        <f>SUM($T241:T241)</f>
        <v>0</v>
      </c>
      <c r="AH241" s="31">
        <f>SUM($T241:U241)</f>
        <v>0</v>
      </c>
      <c r="AI241" s="31">
        <f>SUM($T241:V241)</f>
        <v>0</v>
      </c>
      <c r="AJ241" s="31">
        <f>SUM($T241:W241)</f>
        <v>0</v>
      </c>
      <c r="AK241" s="31">
        <f>SUM($T241:X241)</f>
        <v>0</v>
      </c>
      <c r="AL241" s="31">
        <f>SUM($T241:Y241)</f>
        <v>0</v>
      </c>
      <c r="AM241" s="31">
        <f>SUM($T241:Z241)</f>
        <v>0</v>
      </c>
      <c r="AN241" s="31">
        <f>SUM($T241:AA241)</f>
        <v>0</v>
      </c>
      <c r="AO241" s="31">
        <f>SUM($T241:AB241)</f>
        <v>0</v>
      </c>
      <c r="AP241" s="31">
        <f>SUM($T241:AC241)</f>
        <v>0</v>
      </c>
      <c r="AQ241" s="31">
        <f>SUM($T241:AD241)</f>
        <v>0</v>
      </c>
      <c r="AR241" s="31">
        <f>SUM($T241:AE241)</f>
        <v>0</v>
      </c>
      <c r="AS241" s="27">
        <f t="shared" si="42"/>
        <v>0</v>
      </c>
    </row>
    <row r="242" spans="2:45">
      <c r="B242" s="102" t="str">
        <f>IF(ROW()-6&gt;NumCostCenter,"",IF(CostCenter&lt;&gt;"ALL",CostCenter,DATA_LF2!B240))</f>
        <v/>
      </c>
      <c r="C242" s="153" t="str">
        <f>IF($B242&lt;&gt;"",INDEX(DataOB[],FirstRow+ROW()-7,2),"")</f>
        <v/>
      </c>
      <c r="D242" s="66" t="str">
        <f>IF($B242&lt;&gt;"",INDEX(DataOB[],FirstRow+ROW()-7,3),"")</f>
        <v/>
      </c>
      <c r="E242" s="103" t="str">
        <f>IF($B242&lt;&gt;"",INDEX(DataOB[],FirstRow+ROW()-7,6),"")</f>
        <v/>
      </c>
      <c r="F242" s="103" t="str">
        <f>IF($B242&lt;&gt;"",INDEX(DataOB[],FirstRow+ROW()-7,5),"")</f>
        <v/>
      </c>
      <c r="G242" s="58">
        <f>IF($B242&lt;&gt;"",SUMIFS(DataAct_tbl[AMOUNT],DataAct_tbl[BG CODE],Detail!$D242,DataAct_tbl[MONTH],LEFT(MonthName,3),DataAct_tbl[Dept code],$B242),0)</f>
        <v>0</v>
      </c>
      <c r="H242" s="31" t="str">
        <f t="shared" si="34"/>
        <v/>
      </c>
      <c r="I242" s="28" t="str">
        <f t="shared" si="35"/>
        <v/>
      </c>
      <c r="J242" s="32" t="str">
        <f t="shared" si="36"/>
        <v/>
      </c>
      <c r="K242" s="86"/>
      <c r="L242" s="62">
        <f>IF($B242&lt;&gt;"",SUMIFS(DataAct_tbl[AMOUNT],DataAct_tbl[BG CODE],Detail!$D242,DataAct_tbl[Check Range],"=true",DataAct_tbl[Dept code],$B242),0)</f>
        <v>0</v>
      </c>
      <c r="M242" s="63">
        <f>INDEX($AG$7:$AR$1005,ROW()-6,MATCH(MTD,$AG$6:$AR$6,0))</f>
        <v>0</v>
      </c>
      <c r="N242" s="34">
        <f t="shared" si="37"/>
        <v>0</v>
      </c>
      <c r="O242" s="64" t="str">
        <f t="shared" si="38"/>
        <v xml:space="preserve"> </v>
      </c>
      <c r="Q242" s="97">
        <f t="shared" si="39"/>
        <v>0</v>
      </c>
      <c r="R242" s="96">
        <f t="shared" si="40"/>
        <v>0</v>
      </c>
      <c r="T242" s="67" t="str">
        <f>IF($B242&lt;&gt;"",INDEX(DataOB[],FirstRow+ROW()-7,MATCH(T$6,DataOB[#Headers],0)),"")</f>
        <v/>
      </c>
      <c r="U242" s="67" t="str">
        <f>IF($B242&lt;&gt;"",INDEX(DataOB[],FirstRow+ROW()-7,MATCH(U$6,DataOB[#Headers],0)),"")</f>
        <v/>
      </c>
      <c r="V242" s="67" t="str">
        <f>IF($B242&lt;&gt;"",INDEX(DataOB[],FirstRow+ROW()-7,MATCH(V$6,DataOB[#Headers],0)),"")</f>
        <v/>
      </c>
      <c r="W242" s="67" t="str">
        <f>IF($B242&lt;&gt;"",INDEX(DataOB[],FirstRow+ROW()-7,MATCH(W$6,DataOB[#Headers],0)),"")</f>
        <v/>
      </c>
      <c r="X242" s="67" t="str">
        <f>IF($B242&lt;&gt;"",INDEX(DataOB[],FirstRow+ROW()-7,MATCH(X$6,DataOB[#Headers],0)),"")</f>
        <v/>
      </c>
      <c r="Y242" s="67" t="str">
        <f>IF($B242&lt;&gt;"",INDEX(DataOB[],FirstRow+ROW()-7,MATCH(Y$6,DataOB[#Headers],0)),"")</f>
        <v/>
      </c>
      <c r="Z242" s="67" t="str">
        <f>IF($B242&lt;&gt;"",INDEX(DataOB[],FirstRow+ROW()-7,MATCH(Z$6,DataOB[#Headers],0)),"")</f>
        <v/>
      </c>
      <c r="AA242" s="67" t="str">
        <f>IF($B242&lt;&gt;"",INDEX(DataOB[],FirstRow+ROW()-7,MATCH(AA$6,DataOB[#Headers],0)),"")</f>
        <v/>
      </c>
      <c r="AB242" s="67" t="str">
        <f>IF($B242&lt;&gt;"",INDEX(DataOB[],FirstRow+ROW()-7,MATCH(AB$6,DataOB[#Headers],0)),"")</f>
        <v/>
      </c>
      <c r="AC242" s="67" t="str">
        <f>IF($B242&lt;&gt;"",INDEX(DataOB[],FirstRow+ROW()-7,MATCH(AC$6,DataOB[#Headers],0)),"")</f>
        <v/>
      </c>
      <c r="AD242" s="67" t="str">
        <f>IF($B242&lt;&gt;"",INDEX(DataOB[],FirstRow+ROW()-7,MATCH(AD$6,DataOB[#Headers],0)),"")</f>
        <v/>
      </c>
      <c r="AE242" s="67" t="str">
        <f>IF($B242&lt;&gt;"",INDEX(DataOB[],FirstRow+ROW()-7,MATCH(AE$6,DataOB[#Headers],0)),"")</f>
        <v/>
      </c>
      <c r="AF242" s="26">
        <f t="shared" si="41"/>
        <v>0</v>
      </c>
      <c r="AG242" s="31">
        <f>SUM($T242:T242)</f>
        <v>0</v>
      </c>
      <c r="AH242" s="31">
        <f>SUM($T242:U242)</f>
        <v>0</v>
      </c>
      <c r="AI242" s="31">
        <f>SUM($T242:V242)</f>
        <v>0</v>
      </c>
      <c r="AJ242" s="31">
        <f>SUM($T242:W242)</f>
        <v>0</v>
      </c>
      <c r="AK242" s="31">
        <f>SUM($T242:X242)</f>
        <v>0</v>
      </c>
      <c r="AL242" s="31">
        <f>SUM($T242:Y242)</f>
        <v>0</v>
      </c>
      <c r="AM242" s="31">
        <f>SUM($T242:Z242)</f>
        <v>0</v>
      </c>
      <c r="AN242" s="31">
        <f>SUM($T242:AA242)</f>
        <v>0</v>
      </c>
      <c r="AO242" s="31">
        <f>SUM($T242:AB242)</f>
        <v>0</v>
      </c>
      <c r="AP242" s="31">
        <f>SUM($T242:AC242)</f>
        <v>0</v>
      </c>
      <c r="AQ242" s="31">
        <f>SUM($T242:AD242)</f>
        <v>0</v>
      </c>
      <c r="AR242" s="31">
        <f>SUM($T242:AE242)</f>
        <v>0</v>
      </c>
      <c r="AS242" s="27">
        <f t="shared" si="42"/>
        <v>0</v>
      </c>
    </row>
    <row r="243" spans="2:45">
      <c r="B243" s="102" t="str">
        <f>IF(ROW()-6&gt;NumCostCenter,"",IF(CostCenter&lt;&gt;"ALL",CostCenter,DATA_LF2!B241))</f>
        <v/>
      </c>
      <c r="C243" s="153" t="str">
        <f>IF($B243&lt;&gt;"",INDEX(DataOB[],FirstRow+ROW()-7,2),"")</f>
        <v/>
      </c>
      <c r="D243" s="66" t="str">
        <f>IF($B243&lt;&gt;"",INDEX(DataOB[],FirstRow+ROW()-7,3),"")</f>
        <v/>
      </c>
      <c r="E243" s="103" t="str">
        <f>IF($B243&lt;&gt;"",INDEX(DataOB[],FirstRow+ROW()-7,6),"")</f>
        <v/>
      </c>
      <c r="F243" s="103" t="str">
        <f>IF($B243&lt;&gt;"",INDEX(DataOB[],FirstRow+ROW()-7,5),"")</f>
        <v/>
      </c>
      <c r="G243" s="58">
        <f>IF($B243&lt;&gt;"",SUMIFS(DataAct_tbl[AMOUNT],DataAct_tbl[BG CODE],Detail!$D243,DataAct_tbl[MONTH],LEFT(MonthName,3),DataAct_tbl[Dept code],$B243),0)</f>
        <v>0</v>
      </c>
      <c r="H243" s="31" t="str">
        <f t="shared" si="34"/>
        <v/>
      </c>
      <c r="I243" s="28" t="str">
        <f t="shared" si="35"/>
        <v/>
      </c>
      <c r="J243" s="32" t="str">
        <f t="shared" si="36"/>
        <v/>
      </c>
      <c r="K243" s="86"/>
      <c r="L243" s="62">
        <f>IF($B243&lt;&gt;"",SUMIFS(DataAct_tbl[AMOUNT],DataAct_tbl[BG CODE],Detail!$D243,DataAct_tbl[Check Range],"=true",DataAct_tbl[Dept code],$B243),0)</f>
        <v>0</v>
      </c>
      <c r="M243" s="63">
        <f>INDEX($AG$7:$AR$1005,ROW()-6,MATCH(MTD,$AG$6:$AR$6,0))</f>
        <v>0</v>
      </c>
      <c r="N243" s="34">
        <f t="shared" si="37"/>
        <v>0</v>
      </c>
      <c r="O243" s="64" t="str">
        <f t="shared" si="38"/>
        <v xml:space="preserve"> </v>
      </c>
      <c r="Q243" s="97">
        <f t="shared" si="39"/>
        <v>0</v>
      </c>
      <c r="R243" s="96">
        <f t="shared" si="40"/>
        <v>0</v>
      </c>
      <c r="T243" s="67" t="str">
        <f>IF($B243&lt;&gt;"",INDEX(DataOB[],FirstRow+ROW()-7,MATCH(T$6,DataOB[#Headers],0)),"")</f>
        <v/>
      </c>
      <c r="U243" s="67" t="str">
        <f>IF($B243&lt;&gt;"",INDEX(DataOB[],FirstRow+ROW()-7,MATCH(U$6,DataOB[#Headers],0)),"")</f>
        <v/>
      </c>
      <c r="V243" s="67" t="str">
        <f>IF($B243&lt;&gt;"",INDEX(DataOB[],FirstRow+ROW()-7,MATCH(V$6,DataOB[#Headers],0)),"")</f>
        <v/>
      </c>
      <c r="W243" s="67" t="str">
        <f>IF($B243&lt;&gt;"",INDEX(DataOB[],FirstRow+ROW()-7,MATCH(W$6,DataOB[#Headers],0)),"")</f>
        <v/>
      </c>
      <c r="X243" s="67" t="str">
        <f>IF($B243&lt;&gt;"",INDEX(DataOB[],FirstRow+ROW()-7,MATCH(X$6,DataOB[#Headers],0)),"")</f>
        <v/>
      </c>
      <c r="Y243" s="67" t="str">
        <f>IF($B243&lt;&gt;"",INDEX(DataOB[],FirstRow+ROW()-7,MATCH(Y$6,DataOB[#Headers],0)),"")</f>
        <v/>
      </c>
      <c r="Z243" s="67" t="str">
        <f>IF($B243&lt;&gt;"",INDEX(DataOB[],FirstRow+ROW()-7,MATCH(Z$6,DataOB[#Headers],0)),"")</f>
        <v/>
      </c>
      <c r="AA243" s="67" t="str">
        <f>IF($B243&lt;&gt;"",INDEX(DataOB[],FirstRow+ROW()-7,MATCH(AA$6,DataOB[#Headers],0)),"")</f>
        <v/>
      </c>
      <c r="AB243" s="67" t="str">
        <f>IF($B243&lt;&gt;"",INDEX(DataOB[],FirstRow+ROW()-7,MATCH(AB$6,DataOB[#Headers],0)),"")</f>
        <v/>
      </c>
      <c r="AC243" s="67" t="str">
        <f>IF($B243&lt;&gt;"",INDEX(DataOB[],FirstRow+ROW()-7,MATCH(AC$6,DataOB[#Headers],0)),"")</f>
        <v/>
      </c>
      <c r="AD243" s="67" t="str">
        <f>IF($B243&lt;&gt;"",INDEX(DataOB[],FirstRow+ROW()-7,MATCH(AD$6,DataOB[#Headers],0)),"")</f>
        <v/>
      </c>
      <c r="AE243" s="67" t="str">
        <f>IF($B243&lt;&gt;"",INDEX(DataOB[],FirstRow+ROW()-7,MATCH(AE$6,DataOB[#Headers],0)),"")</f>
        <v/>
      </c>
      <c r="AF243" s="26">
        <f t="shared" si="41"/>
        <v>0</v>
      </c>
      <c r="AG243" s="31">
        <f>SUM($T243:T243)</f>
        <v>0</v>
      </c>
      <c r="AH243" s="31">
        <f>SUM($T243:U243)</f>
        <v>0</v>
      </c>
      <c r="AI243" s="31">
        <f>SUM($T243:V243)</f>
        <v>0</v>
      </c>
      <c r="AJ243" s="31">
        <f>SUM($T243:W243)</f>
        <v>0</v>
      </c>
      <c r="AK243" s="31">
        <f>SUM($T243:X243)</f>
        <v>0</v>
      </c>
      <c r="AL243" s="31">
        <f>SUM($T243:Y243)</f>
        <v>0</v>
      </c>
      <c r="AM243" s="31">
        <f>SUM($T243:Z243)</f>
        <v>0</v>
      </c>
      <c r="AN243" s="31">
        <f>SUM($T243:AA243)</f>
        <v>0</v>
      </c>
      <c r="AO243" s="31">
        <f>SUM($T243:AB243)</f>
        <v>0</v>
      </c>
      <c r="AP243" s="31">
        <f>SUM($T243:AC243)</f>
        <v>0</v>
      </c>
      <c r="AQ243" s="31">
        <f>SUM($T243:AD243)</f>
        <v>0</v>
      </c>
      <c r="AR243" s="31">
        <f>SUM($T243:AE243)</f>
        <v>0</v>
      </c>
      <c r="AS243" s="27">
        <f t="shared" si="42"/>
        <v>0</v>
      </c>
    </row>
    <row r="244" spans="2:45">
      <c r="B244" s="102" t="str">
        <f>IF(ROW()-6&gt;NumCostCenter,"",IF(CostCenter&lt;&gt;"ALL",CostCenter,DATA_LF2!B242))</f>
        <v/>
      </c>
      <c r="C244" s="153" t="str">
        <f>IF($B244&lt;&gt;"",INDEX(DataOB[],FirstRow+ROW()-7,2),"")</f>
        <v/>
      </c>
      <c r="D244" s="66" t="str">
        <f>IF($B244&lt;&gt;"",INDEX(DataOB[],FirstRow+ROW()-7,3),"")</f>
        <v/>
      </c>
      <c r="E244" s="103" t="str">
        <f>IF($B244&lt;&gt;"",INDEX(DataOB[],FirstRow+ROW()-7,6),"")</f>
        <v/>
      </c>
      <c r="F244" s="103" t="str">
        <f>IF($B244&lt;&gt;"",INDEX(DataOB[],FirstRow+ROW()-7,5),"")</f>
        <v/>
      </c>
      <c r="G244" s="58">
        <f>IF($B244&lt;&gt;"",SUMIFS(DataAct_tbl[AMOUNT],DataAct_tbl[BG CODE],Detail!$D244,DataAct_tbl[MONTH],LEFT(MonthName,3),DataAct_tbl[Dept code],$B244),0)</f>
        <v>0</v>
      </c>
      <c r="H244" s="31" t="str">
        <f t="shared" si="34"/>
        <v/>
      </c>
      <c r="I244" s="28" t="str">
        <f t="shared" si="35"/>
        <v/>
      </c>
      <c r="J244" s="32" t="str">
        <f t="shared" si="36"/>
        <v/>
      </c>
      <c r="K244" s="86"/>
      <c r="L244" s="62">
        <f>IF($B244&lt;&gt;"",SUMIFS(DataAct_tbl[AMOUNT],DataAct_tbl[BG CODE],Detail!$D244,DataAct_tbl[Check Range],"=true",DataAct_tbl[Dept code],$B244),0)</f>
        <v>0</v>
      </c>
      <c r="M244" s="63">
        <f>INDEX($AG$7:$AR$1005,ROW()-6,MATCH(MTD,$AG$6:$AR$6,0))</f>
        <v>0</v>
      </c>
      <c r="N244" s="34">
        <f t="shared" si="37"/>
        <v>0</v>
      </c>
      <c r="O244" s="64" t="str">
        <f t="shared" si="38"/>
        <v xml:space="preserve"> </v>
      </c>
      <c r="Q244" s="97">
        <f t="shared" si="39"/>
        <v>0</v>
      </c>
      <c r="R244" s="96">
        <f t="shared" si="40"/>
        <v>0</v>
      </c>
      <c r="T244" s="67" t="str">
        <f>IF($B244&lt;&gt;"",INDEX(DataOB[],FirstRow+ROW()-7,MATCH(T$6,DataOB[#Headers],0)),"")</f>
        <v/>
      </c>
      <c r="U244" s="67" t="str">
        <f>IF($B244&lt;&gt;"",INDEX(DataOB[],FirstRow+ROW()-7,MATCH(U$6,DataOB[#Headers],0)),"")</f>
        <v/>
      </c>
      <c r="V244" s="67" t="str">
        <f>IF($B244&lt;&gt;"",INDEX(DataOB[],FirstRow+ROW()-7,MATCH(V$6,DataOB[#Headers],0)),"")</f>
        <v/>
      </c>
      <c r="W244" s="67" t="str">
        <f>IF($B244&lt;&gt;"",INDEX(DataOB[],FirstRow+ROW()-7,MATCH(W$6,DataOB[#Headers],0)),"")</f>
        <v/>
      </c>
      <c r="X244" s="67" t="str">
        <f>IF($B244&lt;&gt;"",INDEX(DataOB[],FirstRow+ROW()-7,MATCH(X$6,DataOB[#Headers],0)),"")</f>
        <v/>
      </c>
      <c r="Y244" s="67" t="str">
        <f>IF($B244&lt;&gt;"",INDEX(DataOB[],FirstRow+ROW()-7,MATCH(Y$6,DataOB[#Headers],0)),"")</f>
        <v/>
      </c>
      <c r="Z244" s="67" t="str">
        <f>IF($B244&lt;&gt;"",INDEX(DataOB[],FirstRow+ROW()-7,MATCH(Z$6,DataOB[#Headers],0)),"")</f>
        <v/>
      </c>
      <c r="AA244" s="67" t="str">
        <f>IF($B244&lt;&gt;"",INDEX(DataOB[],FirstRow+ROW()-7,MATCH(AA$6,DataOB[#Headers],0)),"")</f>
        <v/>
      </c>
      <c r="AB244" s="67" t="str">
        <f>IF($B244&lt;&gt;"",INDEX(DataOB[],FirstRow+ROW()-7,MATCH(AB$6,DataOB[#Headers],0)),"")</f>
        <v/>
      </c>
      <c r="AC244" s="67" t="str">
        <f>IF($B244&lt;&gt;"",INDEX(DataOB[],FirstRow+ROW()-7,MATCH(AC$6,DataOB[#Headers],0)),"")</f>
        <v/>
      </c>
      <c r="AD244" s="67" t="str">
        <f>IF($B244&lt;&gt;"",INDEX(DataOB[],FirstRow+ROW()-7,MATCH(AD$6,DataOB[#Headers],0)),"")</f>
        <v/>
      </c>
      <c r="AE244" s="67" t="str">
        <f>IF($B244&lt;&gt;"",INDEX(DataOB[],FirstRow+ROW()-7,MATCH(AE$6,DataOB[#Headers],0)),"")</f>
        <v/>
      </c>
      <c r="AF244" s="26">
        <f t="shared" si="41"/>
        <v>0</v>
      </c>
      <c r="AG244" s="31">
        <f>SUM($T244:T244)</f>
        <v>0</v>
      </c>
      <c r="AH244" s="31">
        <f>SUM($T244:U244)</f>
        <v>0</v>
      </c>
      <c r="AI244" s="31">
        <f>SUM($T244:V244)</f>
        <v>0</v>
      </c>
      <c r="AJ244" s="31">
        <f>SUM($T244:W244)</f>
        <v>0</v>
      </c>
      <c r="AK244" s="31">
        <f>SUM($T244:X244)</f>
        <v>0</v>
      </c>
      <c r="AL244" s="31">
        <f>SUM($T244:Y244)</f>
        <v>0</v>
      </c>
      <c r="AM244" s="31">
        <f>SUM($T244:Z244)</f>
        <v>0</v>
      </c>
      <c r="AN244" s="31">
        <f>SUM($T244:AA244)</f>
        <v>0</v>
      </c>
      <c r="AO244" s="31">
        <f>SUM($T244:AB244)</f>
        <v>0</v>
      </c>
      <c r="AP244" s="31">
        <f>SUM($T244:AC244)</f>
        <v>0</v>
      </c>
      <c r="AQ244" s="31">
        <f>SUM($T244:AD244)</f>
        <v>0</v>
      </c>
      <c r="AR244" s="31">
        <f>SUM($T244:AE244)</f>
        <v>0</v>
      </c>
      <c r="AS244" s="27">
        <f t="shared" si="42"/>
        <v>0</v>
      </c>
    </row>
    <row r="245" spans="2:45">
      <c r="B245" s="102" t="str">
        <f>IF(ROW()-6&gt;NumCostCenter,"",IF(CostCenter&lt;&gt;"ALL",CostCenter,DATA_LF2!B243))</f>
        <v/>
      </c>
      <c r="C245" s="153" t="str">
        <f>IF($B245&lt;&gt;"",INDEX(DataOB[],FirstRow+ROW()-7,2),"")</f>
        <v/>
      </c>
      <c r="D245" s="66" t="str">
        <f>IF($B245&lt;&gt;"",INDEX(DataOB[],FirstRow+ROW()-7,3),"")</f>
        <v/>
      </c>
      <c r="E245" s="103" t="str">
        <f>IF($B245&lt;&gt;"",INDEX(DataOB[],FirstRow+ROW()-7,6),"")</f>
        <v/>
      </c>
      <c r="F245" s="103" t="str">
        <f>IF($B245&lt;&gt;"",INDEX(DataOB[],FirstRow+ROW()-7,5),"")</f>
        <v/>
      </c>
      <c r="G245" s="58">
        <f>IF($B245&lt;&gt;"",SUMIFS(DataAct_tbl[AMOUNT],DataAct_tbl[BG CODE],Detail!$D245,DataAct_tbl[MONTH],LEFT(MonthName,3),DataAct_tbl[Dept code],$B245),0)</f>
        <v>0</v>
      </c>
      <c r="H245" s="31" t="str">
        <f t="shared" si="34"/>
        <v/>
      </c>
      <c r="I245" s="28" t="str">
        <f t="shared" si="35"/>
        <v/>
      </c>
      <c r="J245" s="32" t="str">
        <f t="shared" si="36"/>
        <v/>
      </c>
      <c r="K245" s="86"/>
      <c r="L245" s="62">
        <f>IF($B245&lt;&gt;"",SUMIFS(DataAct_tbl[AMOUNT],DataAct_tbl[BG CODE],Detail!$D245,DataAct_tbl[Check Range],"=true",DataAct_tbl[Dept code],$B245),0)</f>
        <v>0</v>
      </c>
      <c r="M245" s="63">
        <f>INDEX($AG$7:$AR$1005,ROW()-6,MATCH(MTD,$AG$6:$AR$6,0))</f>
        <v>0</v>
      </c>
      <c r="N245" s="34">
        <f t="shared" si="37"/>
        <v>0</v>
      </c>
      <c r="O245" s="64" t="str">
        <f t="shared" si="38"/>
        <v xml:space="preserve"> </v>
      </c>
      <c r="Q245" s="97">
        <f t="shared" si="39"/>
        <v>0</v>
      </c>
      <c r="R245" s="96">
        <f t="shared" si="40"/>
        <v>0</v>
      </c>
      <c r="T245" s="67" t="str">
        <f>IF($B245&lt;&gt;"",INDEX(DataOB[],FirstRow+ROW()-7,MATCH(T$6,DataOB[#Headers],0)),"")</f>
        <v/>
      </c>
      <c r="U245" s="67" t="str">
        <f>IF($B245&lt;&gt;"",INDEX(DataOB[],FirstRow+ROW()-7,MATCH(U$6,DataOB[#Headers],0)),"")</f>
        <v/>
      </c>
      <c r="V245" s="67" t="str">
        <f>IF($B245&lt;&gt;"",INDEX(DataOB[],FirstRow+ROW()-7,MATCH(V$6,DataOB[#Headers],0)),"")</f>
        <v/>
      </c>
      <c r="W245" s="67" t="str">
        <f>IF($B245&lt;&gt;"",INDEX(DataOB[],FirstRow+ROW()-7,MATCH(W$6,DataOB[#Headers],0)),"")</f>
        <v/>
      </c>
      <c r="X245" s="67" t="str">
        <f>IF($B245&lt;&gt;"",INDEX(DataOB[],FirstRow+ROW()-7,MATCH(X$6,DataOB[#Headers],0)),"")</f>
        <v/>
      </c>
      <c r="Y245" s="67" t="str">
        <f>IF($B245&lt;&gt;"",INDEX(DataOB[],FirstRow+ROW()-7,MATCH(Y$6,DataOB[#Headers],0)),"")</f>
        <v/>
      </c>
      <c r="Z245" s="67" t="str">
        <f>IF($B245&lt;&gt;"",INDEX(DataOB[],FirstRow+ROW()-7,MATCH(Z$6,DataOB[#Headers],0)),"")</f>
        <v/>
      </c>
      <c r="AA245" s="67" t="str">
        <f>IF($B245&lt;&gt;"",INDEX(DataOB[],FirstRow+ROW()-7,MATCH(AA$6,DataOB[#Headers],0)),"")</f>
        <v/>
      </c>
      <c r="AB245" s="67" t="str">
        <f>IF($B245&lt;&gt;"",INDEX(DataOB[],FirstRow+ROW()-7,MATCH(AB$6,DataOB[#Headers],0)),"")</f>
        <v/>
      </c>
      <c r="AC245" s="67" t="str">
        <f>IF($B245&lt;&gt;"",INDEX(DataOB[],FirstRow+ROW()-7,MATCH(AC$6,DataOB[#Headers],0)),"")</f>
        <v/>
      </c>
      <c r="AD245" s="67" t="str">
        <f>IF($B245&lt;&gt;"",INDEX(DataOB[],FirstRow+ROW()-7,MATCH(AD$6,DataOB[#Headers],0)),"")</f>
        <v/>
      </c>
      <c r="AE245" s="67" t="str">
        <f>IF($B245&lt;&gt;"",INDEX(DataOB[],FirstRow+ROW()-7,MATCH(AE$6,DataOB[#Headers],0)),"")</f>
        <v/>
      </c>
      <c r="AF245" s="26">
        <f t="shared" si="41"/>
        <v>0</v>
      </c>
      <c r="AG245" s="31">
        <f>SUM($T245:T245)</f>
        <v>0</v>
      </c>
      <c r="AH245" s="31">
        <f>SUM($T245:U245)</f>
        <v>0</v>
      </c>
      <c r="AI245" s="31">
        <f>SUM($T245:V245)</f>
        <v>0</v>
      </c>
      <c r="AJ245" s="31">
        <f>SUM($T245:W245)</f>
        <v>0</v>
      </c>
      <c r="AK245" s="31">
        <f>SUM($T245:X245)</f>
        <v>0</v>
      </c>
      <c r="AL245" s="31">
        <f>SUM($T245:Y245)</f>
        <v>0</v>
      </c>
      <c r="AM245" s="31">
        <f>SUM($T245:Z245)</f>
        <v>0</v>
      </c>
      <c r="AN245" s="31">
        <f>SUM($T245:AA245)</f>
        <v>0</v>
      </c>
      <c r="AO245" s="31">
        <f>SUM($T245:AB245)</f>
        <v>0</v>
      </c>
      <c r="AP245" s="31">
        <f>SUM($T245:AC245)</f>
        <v>0</v>
      </c>
      <c r="AQ245" s="31">
        <f>SUM($T245:AD245)</f>
        <v>0</v>
      </c>
      <c r="AR245" s="31">
        <f>SUM($T245:AE245)</f>
        <v>0</v>
      </c>
      <c r="AS245" s="27">
        <f t="shared" si="42"/>
        <v>0</v>
      </c>
    </row>
    <row r="246" spans="2:45">
      <c r="B246" s="102" t="str">
        <f>IF(ROW()-6&gt;NumCostCenter,"",IF(CostCenter&lt;&gt;"ALL",CostCenter,DATA_LF2!B244))</f>
        <v/>
      </c>
      <c r="C246" s="153" t="str">
        <f>IF($B246&lt;&gt;"",INDEX(DataOB[],FirstRow+ROW()-7,2),"")</f>
        <v/>
      </c>
      <c r="D246" s="66" t="str">
        <f>IF($B246&lt;&gt;"",INDEX(DataOB[],FirstRow+ROW()-7,3),"")</f>
        <v/>
      </c>
      <c r="E246" s="103" t="str">
        <f>IF($B246&lt;&gt;"",INDEX(DataOB[],FirstRow+ROW()-7,6),"")</f>
        <v/>
      </c>
      <c r="F246" s="103" t="str">
        <f>IF($B246&lt;&gt;"",INDEX(DataOB[],FirstRow+ROW()-7,5),"")</f>
        <v/>
      </c>
      <c r="G246" s="58">
        <f>IF($B246&lt;&gt;"",SUMIFS(DataAct_tbl[AMOUNT],DataAct_tbl[BG CODE],Detail!$D246,DataAct_tbl[MONTH],LEFT(MonthName,3),DataAct_tbl[Dept code],$B246),0)</f>
        <v>0</v>
      </c>
      <c r="H246" s="31" t="str">
        <f t="shared" si="34"/>
        <v/>
      </c>
      <c r="I246" s="28" t="str">
        <f t="shared" si="35"/>
        <v/>
      </c>
      <c r="J246" s="32" t="str">
        <f t="shared" si="36"/>
        <v/>
      </c>
      <c r="K246" s="86"/>
      <c r="L246" s="62">
        <f>IF($B246&lt;&gt;"",SUMIFS(DataAct_tbl[AMOUNT],DataAct_tbl[BG CODE],Detail!$D246,DataAct_tbl[Check Range],"=true",DataAct_tbl[Dept code],$B246),0)</f>
        <v>0</v>
      </c>
      <c r="M246" s="63">
        <f>INDEX($AG$7:$AR$1005,ROW()-6,MATCH(MTD,$AG$6:$AR$6,0))</f>
        <v>0</v>
      </c>
      <c r="N246" s="34">
        <f t="shared" si="37"/>
        <v>0</v>
      </c>
      <c r="O246" s="64" t="str">
        <f t="shared" si="38"/>
        <v xml:space="preserve"> </v>
      </c>
      <c r="Q246" s="97">
        <f t="shared" si="39"/>
        <v>0</v>
      </c>
      <c r="R246" s="96">
        <f t="shared" si="40"/>
        <v>0</v>
      </c>
      <c r="T246" s="67" t="str">
        <f>IF($B246&lt;&gt;"",INDEX(DataOB[],FirstRow+ROW()-7,MATCH(T$6,DataOB[#Headers],0)),"")</f>
        <v/>
      </c>
      <c r="U246" s="67" t="str">
        <f>IF($B246&lt;&gt;"",INDEX(DataOB[],FirstRow+ROW()-7,MATCH(U$6,DataOB[#Headers],0)),"")</f>
        <v/>
      </c>
      <c r="V246" s="67" t="str">
        <f>IF($B246&lt;&gt;"",INDEX(DataOB[],FirstRow+ROW()-7,MATCH(V$6,DataOB[#Headers],0)),"")</f>
        <v/>
      </c>
      <c r="W246" s="67" t="str">
        <f>IF($B246&lt;&gt;"",INDEX(DataOB[],FirstRow+ROW()-7,MATCH(W$6,DataOB[#Headers],0)),"")</f>
        <v/>
      </c>
      <c r="X246" s="67" t="str">
        <f>IF($B246&lt;&gt;"",INDEX(DataOB[],FirstRow+ROW()-7,MATCH(X$6,DataOB[#Headers],0)),"")</f>
        <v/>
      </c>
      <c r="Y246" s="67" t="str">
        <f>IF($B246&lt;&gt;"",INDEX(DataOB[],FirstRow+ROW()-7,MATCH(Y$6,DataOB[#Headers],0)),"")</f>
        <v/>
      </c>
      <c r="Z246" s="67" t="str">
        <f>IF($B246&lt;&gt;"",INDEX(DataOB[],FirstRow+ROW()-7,MATCH(Z$6,DataOB[#Headers],0)),"")</f>
        <v/>
      </c>
      <c r="AA246" s="67" t="str">
        <f>IF($B246&lt;&gt;"",INDEX(DataOB[],FirstRow+ROW()-7,MATCH(AA$6,DataOB[#Headers],0)),"")</f>
        <v/>
      </c>
      <c r="AB246" s="67" t="str">
        <f>IF($B246&lt;&gt;"",INDEX(DataOB[],FirstRow+ROW()-7,MATCH(AB$6,DataOB[#Headers],0)),"")</f>
        <v/>
      </c>
      <c r="AC246" s="67" t="str">
        <f>IF($B246&lt;&gt;"",INDEX(DataOB[],FirstRow+ROW()-7,MATCH(AC$6,DataOB[#Headers],0)),"")</f>
        <v/>
      </c>
      <c r="AD246" s="67" t="str">
        <f>IF($B246&lt;&gt;"",INDEX(DataOB[],FirstRow+ROW()-7,MATCH(AD$6,DataOB[#Headers],0)),"")</f>
        <v/>
      </c>
      <c r="AE246" s="67" t="str">
        <f>IF($B246&lt;&gt;"",INDEX(DataOB[],FirstRow+ROW()-7,MATCH(AE$6,DataOB[#Headers],0)),"")</f>
        <v/>
      </c>
      <c r="AF246" s="26">
        <f t="shared" si="41"/>
        <v>0</v>
      </c>
      <c r="AG246" s="31">
        <f>SUM($T246:T246)</f>
        <v>0</v>
      </c>
      <c r="AH246" s="31">
        <f>SUM($T246:U246)</f>
        <v>0</v>
      </c>
      <c r="AI246" s="31">
        <f>SUM($T246:V246)</f>
        <v>0</v>
      </c>
      <c r="AJ246" s="31">
        <f>SUM($T246:W246)</f>
        <v>0</v>
      </c>
      <c r="AK246" s="31">
        <f>SUM($T246:X246)</f>
        <v>0</v>
      </c>
      <c r="AL246" s="31">
        <f>SUM($T246:Y246)</f>
        <v>0</v>
      </c>
      <c r="AM246" s="31">
        <f>SUM($T246:Z246)</f>
        <v>0</v>
      </c>
      <c r="AN246" s="31">
        <f>SUM($T246:AA246)</f>
        <v>0</v>
      </c>
      <c r="AO246" s="31">
        <f>SUM($T246:AB246)</f>
        <v>0</v>
      </c>
      <c r="AP246" s="31">
        <f>SUM($T246:AC246)</f>
        <v>0</v>
      </c>
      <c r="AQ246" s="31">
        <f>SUM($T246:AD246)</f>
        <v>0</v>
      </c>
      <c r="AR246" s="31">
        <f>SUM($T246:AE246)</f>
        <v>0</v>
      </c>
      <c r="AS246" s="27">
        <f t="shared" si="42"/>
        <v>0</v>
      </c>
    </row>
    <row r="247" spans="2:45">
      <c r="B247" s="102" t="str">
        <f>IF(ROW()-6&gt;NumCostCenter,"",IF(CostCenter&lt;&gt;"ALL",CostCenter,DATA_LF2!B245))</f>
        <v/>
      </c>
      <c r="C247" s="153" t="str">
        <f>IF($B247&lt;&gt;"",INDEX(DataOB[],FirstRow+ROW()-7,2),"")</f>
        <v/>
      </c>
      <c r="D247" s="66" t="str">
        <f>IF($B247&lt;&gt;"",INDEX(DataOB[],FirstRow+ROW()-7,3),"")</f>
        <v/>
      </c>
      <c r="E247" s="103" t="str">
        <f>IF($B247&lt;&gt;"",INDEX(DataOB[],FirstRow+ROW()-7,6),"")</f>
        <v/>
      </c>
      <c r="F247" s="103" t="str">
        <f>IF($B247&lt;&gt;"",INDEX(DataOB[],FirstRow+ROW()-7,5),"")</f>
        <v/>
      </c>
      <c r="G247" s="58">
        <f>IF($B247&lt;&gt;"",SUMIFS(DataAct_tbl[AMOUNT],DataAct_tbl[BG CODE],Detail!$D247,DataAct_tbl[MONTH],LEFT(MonthName,3),DataAct_tbl[Dept code],$B247),0)</f>
        <v>0</v>
      </c>
      <c r="H247" s="31" t="str">
        <f t="shared" si="34"/>
        <v/>
      </c>
      <c r="I247" s="28" t="str">
        <f t="shared" si="35"/>
        <v/>
      </c>
      <c r="J247" s="32" t="str">
        <f t="shared" si="36"/>
        <v/>
      </c>
      <c r="K247" s="86"/>
      <c r="L247" s="62">
        <f>IF($B247&lt;&gt;"",SUMIFS(DataAct_tbl[AMOUNT],DataAct_tbl[BG CODE],Detail!$D247,DataAct_tbl[Check Range],"=true",DataAct_tbl[Dept code],$B247),0)</f>
        <v>0</v>
      </c>
      <c r="M247" s="63">
        <f>INDEX($AG$7:$AR$1005,ROW()-6,MATCH(MTD,$AG$6:$AR$6,0))</f>
        <v>0</v>
      </c>
      <c r="N247" s="34">
        <f t="shared" si="37"/>
        <v>0</v>
      </c>
      <c r="O247" s="64" t="str">
        <f t="shared" si="38"/>
        <v xml:space="preserve"> </v>
      </c>
      <c r="Q247" s="97">
        <f t="shared" si="39"/>
        <v>0</v>
      </c>
      <c r="R247" s="96">
        <f t="shared" si="40"/>
        <v>0</v>
      </c>
      <c r="T247" s="67" t="str">
        <f>IF($B247&lt;&gt;"",INDEX(DataOB[],FirstRow+ROW()-7,MATCH(T$6,DataOB[#Headers],0)),"")</f>
        <v/>
      </c>
      <c r="U247" s="67" t="str">
        <f>IF($B247&lt;&gt;"",INDEX(DataOB[],FirstRow+ROW()-7,MATCH(U$6,DataOB[#Headers],0)),"")</f>
        <v/>
      </c>
      <c r="V247" s="67" t="str">
        <f>IF($B247&lt;&gt;"",INDEX(DataOB[],FirstRow+ROW()-7,MATCH(V$6,DataOB[#Headers],0)),"")</f>
        <v/>
      </c>
      <c r="W247" s="67" t="str">
        <f>IF($B247&lt;&gt;"",INDEX(DataOB[],FirstRow+ROW()-7,MATCH(W$6,DataOB[#Headers],0)),"")</f>
        <v/>
      </c>
      <c r="X247" s="67" t="str">
        <f>IF($B247&lt;&gt;"",INDEX(DataOB[],FirstRow+ROW()-7,MATCH(X$6,DataOB[#Headers],0)),"")</f>
        <v/>
      </c>
      <c r="Y247" s="67" t="str">
        <f>IF($B247&lt;&gt;"",INDEX(DataOB[],FirstRow+ROW()-7,MATCH(Y$6,DataOB[#Headers],0)),"")</f>
        <v/>
      </c>
      <c r="Z247" s="67" t="str">
        <f>IF($B247&lt;&gt;"",INDEX(DataOB[],FirstRow+ROW()-7,MATCH(Z$6,DataOB[#Headers],0)),"")</f>
        <v/>
      </c>
      <c r="AA247" s="67" t="str">
        <f>IF($B247&lt;&gt;"",INDEX(DataOB[],FirstRow+ROW()-7,MATCH(AA$6,DataOB[#Headers],0)),"")</f>
        <v/>
      </c>
      <c r="AB247" s="67" t="str">
        <f>IF($B247&lt;&gt;"",INDEX(DataOB[],FirstRow+ROW()-7,MATCH(AB$6,DataOB[#Headers],0)),"")</f>
        <v/>
      </c>
      <c r="AC247" s="67" t="str">
        <f>IF($B247&lt;&gt;"",INDEX(DataOB[],FirstRow+ROW()-7,MATCH(AC$6,DataOB[#Headers],0)),"")</f>
        <v/>
      </c>
      <c r="AD247" s="67" t="str">
        <f>IF($B247&lt;&gt;"",INDEX(DataOB[],FirstRow+ROW()-7,MATCH(AD$6,DataOB[#Headers],0)),"")</f>
        <v/>
      </c>
      <c r="AE247" s="67" t="str">
        <f>IF($B247&lt;&gt;"",INDEX(DataOB[],FirstRow+ROW()-7,MATCH(AE$6,DataOB[#Headers],0)),"")</f>
        <v/>
      </c>
      <c r="AF247" s="26">
        <f t="shared" si="41"/>
        <v>0</v>
      </c>
      <c r="AG247" s="31">
        <f>SUM($T247:T247)</f>
        <v>0</v>
      </c>
      <c r="AH247" s="31">
        <f>SUM($T247:U247)</f>
        <v>0</v>
      </c>
      <c r="AI247" s="31">
        <f>SUM($T247:V247)</f>
        <v>0</v>
      </c>
      <c r="AJ247" s="31">
        <f>SUM($T247:W247)</f>
        <v>0</v>
      </c>
      <c r="AK247" s="31">
        <f>SUM($T247:X247)</f>
        <v>0</v>
      </c>
      <c r="AL247" s="31">
        <f>SUM($T247:Y247)</f>
        <v>0</v>
      </c>
      <c r="AM247" s="31">
        <f>SUM($T247:Z247)</f>
        <v>0</v>
      </c>
      <c r="AN247" s="31">
        <f>SUM($T247:AA247)</f>
        <v>0</v>
      </c>
      <c r="AO247" s="31">
        <f>SUM($T247:AB247)</f>
        <v>0</v>
      </c>
      <c r="AP247" s="31">
        <f>SUM($T247:AC247)</f>
        <v>0</v>
      </c>
      <c r="AQ247" s="31">
        <f>SUM($T247:AD247)</f>
        <v>0</v>
      </c>
      <c r="AR247" s="31">
        <f>SUM($T247:AE247)</f>
        <v>0</v>
      </c>
      <c r="AS247" s="27">
        <f t="shared" si="42"/>
        <v>0</v>
      </c>
    </row>
    <row r="248" spans="2:45">
      <c r="B248" s="102" t="str">
        <f>IF(ROW()-6&gt;NumCostCenter,"",IF(CostCenter&lt;&gt;"ALL",CostCenter,DATA_LF2!B246))</f>
        <v/>
      </c>
      <c r="C248" s="153" t="str">
        <f>IF($B248&lt;&gt;"",INDEX(DataOB[],FirstRow+ROW()-7,2),"")</f>
        <v/>
      </c>
      <c r="D248" s="66" t="str">
        <f>IF($B248&lt;&gt;"",INDEX(DataOB[],FirstRow+ROW()-7,3),"")</f>
        <v/>
      </c>
      <c r="E248" s="103" t="str">
        <f>IF($B248&lt;&gt;"",INDEX(DataOB[],FirstRow+ROW()-7,6),"")</f>
        <v/>
      </c>
      <c r="F248" s="103" t="str">
        <f>IF($B248&lt;&gt;"",INDEX(DataOB[],FirstRow+ROW()-7,5),"")</f>
        <v/>
      </c>
      <c r="G248" s="58">
        <f>IF($B248&lt;&gt;"",SUMIFS(DataAct_tbl[AMOUNT],DataAct_tbl[BG CODE],Detail!$D248,DataAct_tbl[MONTH],LEFT(MonthName,3),DataAct_tbl[Dept code],$B248),0)</f>
        <v>0</v>
      </c>
      <c r="H248" s="31" t="str">
        <f t="shared" si="34"/>
        <v/>
      </c>
      <c r="I248" s="28" t="str">
        <f t="shared" si="35"/>
        <v/>
      </c>
      <c r="J248" s="32" t="str">
        <f t="shared" si="36"/>
        <v/>
      </c>
      <c r="K248" s="86"/>
      <c r="L248" s="62">
        <f>IF($B248&lt;&gt;"",SUMIFS(DataAct_tbl[AMOUNT],DataAct_tbl[BG CODE],Detail!$D248,DataAct_tbl[Check Range],"=true",DataAct_tbl[Dept code],$B248),0)</f>
        <v>0</v>
      </c>
      <c r="M248" s="63">
        <f>INDEX($AG$7:$AR$1005,ROW()-6,MATCH(MTD,$AG$6:$AR$6,0))</f>
        <v>0</v>
      </c>
      <c r="N248" s="34">
        <f t="shared" si="37"/>
        <v>0</v>
      </c>
      <c r="O248" s="64" t="str">
        <f t="shared" si="38"/>
        <v xml:space="preserve"> </v>
      </c>
      <c r="Q248" s="97">
        <f t="shared" si="39"/>
        <v>0</v>
      </c>
      <c r="R248" s="96">
        <f t="shared" si="40"/>
        <v>0</v>
      </c>
      <c r="T248" s="67" t="str">
        <f>IF($B248&lt;&gt;"",INDEX(DataOB[],FirstRow+ROW()-7,MATCH(T$6,DataOB[#Headers],0)),"")</f>
        <v/>
      </c>
      <c r="U248" s="67" t="str">
        <f>IF($B248&lt;&gt;"",INDEX(DataOB[],FirstRow+ROW()-7,MATCH(U$6,DataOB[#Headers],0)),"")</f>
        <v/>
      </c>
      <c r="V248" s="67" t="str">
        <f>IF($B248&lt;&gt;"",INDEX(DataOB[],FirstRow+ROW()-7,MATCH(V$6,DataOB[#Headers],0)),"")</f>
        <v/>
      </c>
      <c r="W248" s="67" t="str">
        <f>IF($B248&lt;&gt;"",INDEX(DataOB[],FirstRow+ROW()-7,MATCH(W$6,DataOB[#Headers],0)),"")</f>
        <v/>
      </c>
      <c r="X248" s="67" t="str">
        <f>IF($B248&lt;&gt;"",INDEX(DataOB[],FirstRow+ROW()-7,MATCH(X$6,DataOB[#Headers],0)),"")</f>
        <v/>
      </c>
      <c r="Y248" s="67" t="str">
        <f>IF($B248&lt;&gt;"",INDEX(DataOB[],FirstRow+ROW()-7,MATCH(Y$6,DataOB[#Headers],0)),"")</f>
        <v/>
      </c>
      <c r="Z248" s="67" t="str">
        <f>IF($B248&lt;&gt;"",INDEX(DataOB[],FirstRow+ROW()-7,MATCH(Z$6,DataOB[#Headers],0)),"")</f>
        <v/>
      </c>
      <c r="AA248" s="67" t="str">
        <f>IF($B248&lt;&gt;"",INDEX(DataOB[],FirstRow+ROW()-7,MATCH(AA$6,DataOB[#Headers],0)),"")</f>
        <v/>
      </c>
      <c r="AB248" s="67" t="str">
        <f>IF($B248&lt;&gt;"",INDEX(DataOB[],FirstRow+ROW()-7,MATCH(AB$6,DataOB[#Headers],0)),"")</f>
        <v/>
      </c>
      <c r="AC248" s="67" t="str">
        <f>IF($B248&lt;&gt;"",INDEX(DataOB[],FirstRow+ROW()-7,MATCH(AC$6,DataOB[#Headers],0)),"")</f>
        <v/>
      </c>
      <c r="AD248" s="67" t="str">
        <f>IF($B248&lt;&gt;"",INDEX(DataOB[],FirstRow+ROW()-7,MATCH(AD$6,DataOB[#Headers],0)),"")</f>
        <v/>
      </c>
      <c r="AE248" s="67" t="str">
        <f>IF($B248&lt;&gt;"",INDEX(DataOB[],FirstRow+ROW()-7,MATCH(AE$6,DataOB[#Headers],0)),"")</f>
        <v/>
      </c>
      <c r="AF248" s="26">
        <f t="shared" si="41"/>
        <v>0</v>
      </c>
      <c r="AG248" s="31">
        <f>SUM($T248:T248)</f>
        <v>0</v>
      </c>
      <c r="AH248" s="31">
        <f>SUM($T248:U248)</f>
        <v>0</v>
      </c>
      <c r="AI248" s="31">
        <f>SUM($T248:V248)</f>
        <v>0</v>
      </c>
      <c r="AJ248" s="31">
        <f>SUM($T248:W248)</f>
        <v>0</v>
      </c>
      <c r="AK248" s="31">
        <f>SUM($T248:X248)</f>
        <v>0</v>
      </c>
      <c r="AL248" s="31">
        <f>SUM($T248:Y248)</f>
        <v>0</v>
      </c>
      <c r="AM248" s="31">
        <f>SUM($T248:Z248)</f>
        <v>0</v>
      </c>
      <c r="AN248" s="31">
        <f>SUM($T248:AA248)</f>
        <v>0</v>
      </c>
      <c r="AO248" s="31">
        <f>SUM($T248:AB248)</f>
        <v>0</v>
      </c>
      <c r="AP248" s="31">
        <f>SUM($T248:AC248)</f>
        <v>0</v>
      </c>
      <c r="AQ248" s="31">
        <f>SUM($T248:AD248)</f>
        <v>0</v>
      </c>
      <c r="AR248" s="31">
        <f>SUM($T248:AE248)</f>
        <v>0</v>
      </c>
      <c r="AS248" s="27">
        <f t="shared" si="42"/>
        <v>0</v>
      </c>
    </row>
    <row r="249" spans="2:45">
      <c r="B249" s="102" t="str">
        <f>IF(ROW()-6&gt;NumCostCenter,"",IF(CostCenter&lt;&gt;"ALL",CostCenter,DATA_LF2!B247))</f>
        <v/>
      </c>
      <c r="C249" s="153" t="str">
        <f>IF($B249&lt;&gt;"",INDEX(DataOB[],FirstRow+ROW()-7,2),"")</f>
        <v/>
      </c>
      <c r="D249" s="66" t="str">
        <f>IF($B249&lt;&gt;"",INDEX(DataOB[],FirstRow+ROW()-7,3),"")</f>
        <v/>
      </c>
      <c r="E249" s="103" t="str">
        <f>IF($B249&lt;&gt;"",INDEX(DataOB[],FirstRow+ROW()-7,6),"")</f>
        <v/>
      </c>
      <c r="F249" s="103" t="str">
        <f>IF($B249&lt;&gt;"",INDEX(DataOB[],FirstRow+ROW()-7,5),"")</f>
        <v/>
      </c>
      <c r="G249" s="58">
        <f>IF($B249&lt;&gt;"",SUMIFS(DataAct_tbl[AMOUNT],DataAct_tbl[BG CODE],Detail!$D249,DataAct_tbl[MONTH],LEFT(MonthName,3),DataAct_tbl[Dept code],$B249),0)</f>
        <v>0</v>
      </c>
      <c r="H249" s="31" t="str">
        <f t="shared" si="34"/>
        <v/>
      </c>
      <c r="I249" s="28" t="str">
        <f t="shared" si="35"/>
        <v/>
      </c>
      <c r="J249" s="32" t="str">
        <f t="shared" si="36"/>
        <v/>
      </c>
      <c r="K249" s="86"/>
      <c r="L249" s="62">
        <f>IF($B249&lt;&gt;"",SUMIFS(DataAct_tbl[AMOUNT],DataAct_tbl[BG CODE],Detail!$D249,DataAct_tbl[Check Range],"=true",DataAct_tbl[Dept code],$B249),0)</f>
        <v>0</v>
      </c>
      <c r="M249" s="63">
        <f>INDEX($AG$7:$AR$1005,ROW()-6,MATCH(MTD,$AG$6:$AR$6,0))</f>
        <v>0</v>
      </c>
      <c r="N249" s="34">
        <f t="shared" si="37"/>
        <v>0</v>
      </c>
      <c r="O249" s="64" t="str">
        <f t="shared" si="38"/>
        <v xml:space="preserve"> </v>
      </c>
      <c r="Q249" s="97">
        <f t="shared" si="39"/>
        <v>0</v>
      </c>
      <c r="R249" s="96">
        <f t="shared" si="40"/>
        <v>0</v>
      </c>
      <c r="T249" s="67" t="str">
        <f>IF($B249&lt;&gt;"",INDEX(DataOB[],FirstRow+ROW()-7,MATCH(T$6,DataOB[#Headers],0)),"")</f>
        <v/>
      </c>
      <c r="U249" s="67" t="str">
        <f>IF($B249&lt;&gt;"",INDEX(DataOB[],FirstRow+ROW()-7,MATCH(U$6,DataOB[#Headers],0)),"")</f>
        <v/>
      </c>
      <c r="V249" s="67" t="str">
        <f>IF($B249&lt;&gt;"",INDEX(DataOB[],FirstRow+ROW()-7,MATCH(V$6,DataOB[#Headers],0)),"")</f>
        <v/>
      </c>
      <c r="W249" s="67" t="str">
        <f>IF($B249&lt;&gt;"",INDEX(DataOB[],FirstRow+ROW()-7,MATCH(W$6,DataOB[#Headers],0)),"")</f>
        <v/>
      </c>
      <c r="X249" s="67" t="str">
        <f>IF($B249&lt;&gt;"",INDEX(DataOB[],FirstRow+ROW()-7,MATCH(X$6,DataOB[#Headers],0)),"")</f>
        <v/>
      </c>
      <c r="Y249" s="67" t="str">
        <f>IF($B249&lt;&gt;"",INDEX(DataOB[],FirstRow+ROW()-7,MATCH(Y$6,DataOB[#Headers],0)),"")</f>
        <v/>
      </c>
      <c r="Z249" s="67" t="str">
        <f>IF($B249&lt;&gt;"",INDEX(DataOB[],FirstRow+ROW()-7,MATCH(Z$6,DataOB[#Headers],0)),"")</f>
        <v/>
      </c>
      <c r="AA249" s="67" t="str">
        <f>IF($B249&lt;&gt;"",INDEX(DataOB[],FirstRow+ROW()-7,MATCH(AA$6,DataOB[#Headers],0)),"")</f>
        <v/>
      </c>
      <c r="AB249" s="67" t="str">
        <f>IF($B249&lt;&gt;"",INDEX(DataOB[],FirstRow+ROW()-7,MATCH(AB$6,DataOB[#Headers],0)),"")</f>
        <v/>
      </c>
      <c r="AC249" s="67" t="str">
        <f>IF($B249&lt;&gt;"",INDEX(DataOB[],FirstRow+ROW()-7,MATCH(AC$6,DataOB[#Headers],0)),"")</f>
        <v/>
      </c>
      <c r="AD249" s="67" t="str">
        <f>IF($B249&lt;&gt;"",INDEX(DataOB[],FirstRow+ROW()-7,MATCH(AD$6,DataOB[#Headers],0)),"")</f>
        <v/>
      </c>
      <c r="AE249" s="67" t="str">
        <f>IF($B249&lt;&gt;"",INDEX(DataOB[],FirstRow+ROW()-7,MATCH(AE$6,DataOB[#Headers],0)),"")</f>
        <v/>
      </c>
      <c r="AF249" s="26">
        <f t="shared" si="41"/>
        <v>0</v>
      </c>
      <c r="AG249" s="31">
        <f>SUM($T249:T249)</f>
        <v>0</v>
      </c>
      <c r="AH249" s="31">
        <f>SUM($T249:U249)</f>
        <v>0</v>
      </c>
      <c r="AI249" s="31">
        <f>SUM($T249:V249)</f>
        <v>0</v>
      </c>
      <c r="AJ249" s="31">
        <f>SUM($T249:W249)</f>
        <v>0</v>
      </c>
      <c r="AK249" s="31">
        <f>SUM($T249:X249)</f>
        <v>0</v>
      </c>
      <c r="AL249" s="31">
        <f>SUM($T249:Y249)</f>
        <v>0</v>
      </c>
      <c r="AM249" s="31">
        <f>SUM($T249:Z249)</f>
        <v>0</v>
      </c>
      <c r="AN249" s="31">
        <f>SUM($T249:AA249)</f>
        <v>0</v>
      </c>
      <c r="AO249" s="31">
        <f>SUM($T249:AB249)</f>
        <v>0</v>
      </c>
      <c r="AP249" s="31">
        <f>SUM($T249:AC249)</f>
        <v>0</v>
      </c>
      <c r="AQ249" s="31">
        <f>SUM($T249:AD249)</f>
        <v>0</v>
      </c>
      <c r="AR249" s="31">
        <f>SUM($T249:AE249)</f>
        <v>0</v>
      </c>
      <c r="AS249" s="27">
        <f t="shared" si="42"/>
        <v>0</v>
      </c>
    </row>
    <row r="250" spans="2:45">
      <c r="B250" s="102" t="str">
        <f>IF(ROW()-6&gt;NumCostCenter,"",IF(CostCenter&lt;&gt;"ALL",CostCenter,DATA_LF2!B248))</f>
        <v/>
      </c>
      <c r="C250" s="153" t="str">
        <f>IF($B250&lt;&gt;"",INDEX(DataOB[],FirstRow+ROW()-7,2),"")</f>
        <v/>
      </c>
      <c r="D250" s="66" t="str">
        <f>IF($B250&lt;&gt;"",INDEX(DataOB[],FirstRow+ROW()-7,3),"")</f>
        <v/>
      </c>
      <c r="E250" s="103" t="str">
        <f>IF($B250&lt;&gt;"",INDEX(DataOB[],FirstRow+ROW()-7,6),"")</f>
        <v/>
      </c>
      <c r="F250" s="103" t="str">
        <f>IF($B250&lt;&gt;"",INDEX(DataOB[],FirstRow+ROW()-7,5),"")</f>
        <v/>
      </c>
      <c r="G250" s="58">
        <f>IF($B250&lt;&gt;"",SUMIFS(DataAct_tbl[AMOUNT],DataAct_tbl[BG CODE],Detail!$D250,DataAct_tbl[MONTH],LEFT(MonthName,3),DataAct_tbl[Dept code],$B250),0)</f>
        <v>0</v>
      </c>
      <c r="H250" s="31" t="str">
        <f t="shared" si="34"/>
        <v/>
      </c>
      <c r="I250" s="28" t="str">
        <f t="shared" si="35"/>
        <v/>
      </c>
      <c r="J250" s="32" t="str">
        <f t="shared" si="36"/>
        <v/>
      </c>
      <c r="K250" s="86"/>
      <c r="L250" s="62">
        <f>IF($B250&lt;&gt;"",SUMIFS(DataAct_tbl[AMOUNT],DataAct_tbl[BG CODE],Detail!$D250,DataAct_tbl[Check Range],"=true",DataAct_tbl[Dept code],$B250),0)</f>
        <v>0</v>
      </c>
      <c r="M250" s="63">
        <f>INDEX($AG$7:$AR$1005,ROW()-6,MATCH(MTD,$AG$6:$AR$6,0))</f>
        <v>0</v>
      </c>
      <c r="N250" s="34">
        <f t="shared" si="37"/>
        <v>0</v>
      </c>
      <c r="O250" s="64" t="str">
        <f t="shared" si="38"/>
        <v xml:space="preserve"> </v>
      </c>
      <c r="Q250" s="97">
        <f t="shared" si="39"/>
        <v>0</v>
      </c>
      <c r="R250" s="96">
        <f t="shared" si="40"/>
        <v>0</v>
      </c>
      <c r="T250" s="67" t="str">
        <f>IF($B250&lt;&gt;"",INDEX(DataOB[],FirstRow+ROW()-7,MATCH(T$6,DataOB[#Headers],0)),"")</f>
        <v/>
      </c>
      <c r="U250" s="67" t="str">
        <f>IF($B250&lt;&gt;"",INDEX(DataOB[],FirstRow+ROW()-7,MATCH(U$6,DataOB[#Headers],0)),"")</f>
        <v/>
      </c>
      <c r="V250" s="67" t="str">
        <f>IF($B250&lt;&gt;"",INDEX(DataOB[],FirstRow+ROW()-7,MATCH(V$6,DataOB[#Headers],0)),"")</f>
        <v/>
      </c>
      <c r="W250" s="67" t="str">
        <f>IF($B250&lt;&gt;"",INDEX(DataOB[],FirstRow+ROW()-7,MATCH(W$6,DataOB[#Headers],0)),"")</f>
        <v/>
      </c>
      <c r="X250" s="67" t="str">
        <f>IF($B250&lt;&gt;"",INDEX(DataOB[],FirstRow+ROW()-7,MATCH(X$6,DataOB[#Headers],0)),"")</f>
        <v/>
      </c>
      <c r="Y250" s="67" t="str">
        <f>IF($B250&lt;&gt;"",INDEX(DataOB[],FirstRow+ROW()-7,MATCH(Y$6,DataOB[#Headers],0)),"")</f>
        <v/>
      </c>
      <c r="Z250" s="67" t="str">
        <f>IF($B250&lt;&gt;"",INDEX(DataOB[],FirstRow+ROW()-7,MATCH(Z$6,DataOB[#Headers],0)),"")</f>
        <v/>
      </c>
      <c r="AA250" s="67" t="str">
        <f>IF($B250&lt;&gt;"",INDEX(DataOB[],FirstRow+ROW()-7,MATCH(AA$6,DataOB[#Headers],0)),"")</f>
        <v/>
      </c>
      <c r="AB250" s="67" t="str">
        <f>IF($B250&lt;&gt;"",INDEX(DataOB[],FirstRow+ROW()-7,MATCH(AB$6,DataOB[#Headers],0)),"")</f>
        <v/>
      </c>
      <c r="AC250" s="67" t="str">
        <f>IF($B250&lt;&gt;"",INDEX(DataOB[],FirstRow+ROW()-7,MATCH(AC$6,DataOB[#Headers],0)),"")</f>
        <v/>
      </c>
      <c r="AD250" s="67" t="str">
        <f>IF($B250&lt;&gt;"",INDEX(DataOB[],FirstRow+ROW()-7,MATCH(AD$6,DataOB[#Headers],0)),"")</f>
        <v/>
      </c>
      <c r="AE250" s="67" t="str">
        <f>IF($B250&lt;&gt;"",INDEX(DataOB[],FirstRow+ROW()-7,MATCH(AE$6,DataOB[#Headers],0)),"")</f>
        <v/>
      </c>
      <c r="AF250" s="26">
        <f t="shared" si="41"/>
        <v>0</v>
      </c>
      <c r="AG250" s="31">
        <f>SUM($T250:T250)</f>
        <v>0</v>
      </c>
      <c r="AH250" s="31">
        <f>SUM($T250:U250)</f>
        <v>0</v>
      </c>
      <c r="AI250" s="31">
        <f>SUM($T250:V250)</f>
        <v>0</v>
      </c>
      <c r="AJ250" s="31">
        <f>SUM($T250:W250)</f>
        <v>0</v>
      </c>
      <c r="AK250" s="31">
        <f>SUM($T250:X250)</f>
        <v>0</v>
      </c>
      <c r="AL250" s="31">
        <f>SUM($T250:Y250)</f>
        <v>0</v>
      </c>
      <c r="AM250" s="31">
        <f>SUM($T250:Z250)</f>
        <v>0</v>
      </c>
      <c r="AN250" s="31">
        <f>SUM($T250:AA250)</f>
        <v>0</v>
      </c>
      <c r="AO250" s="31">
        <f>SUM($T250:AB250)</f>
        <v>0</v>
      </c>
      <c r="AP250" s="31">
        <f>SUM($T250:AC250)</f>
        <v>0</v>
      </c>
      <c r="AQ250" s="31">
        <f>SUM($T250:AD250)</f>
        <v>0</v>
      </c>
      <c r="AR250" s="31">
        <f>SUM($T250:AE250)</f>
        <v>0</v>
      </c>
      <c r="AS250" s="27">
        <f t="shared" si="42"/>
        <v>0</v>
      </c>
    </row>
    <row r="251" spans="2:45">
      <c r="B251" s="102" t="str">
        <f>IF(ROW()-6&gt;NumCostCenter,"",IF(CostCenter&lt;&gt;"ALL",CostCenter,DATA_LF2!B249))</f>
        <v/>
      </c>
      <c r="C251" s="153" t="str">
        <f>IF($B251&lt;&gt;"",INDEX(DataOB[],FirstRow+ROW()-7,2),"")</f>
        <v/>
      </c>
      <c r="D251" s="66" t="str">
        <f>IF($B251&lt;&gt;"",INDEX(DataOB[],FirstRow+ROW()-7,3),"")</f>
        <v/>
      </c>
      <c r="E251" s="103" t="str">
        <f>IF($B251&lt;&gt;"",INDEX(DataOB[],FirstRow+ROW()-7,6),"")</f>
        <v/>
      </c>
      <c r="F251" s="103" t="str">
        <f>IF($B251&lt;&gt;"",INDEX(DataOB[],FirstRow+ROW()-7,5),"")</f>
        <v/>
      </c>
      <c r="G251" s="58">
        <f>IF($B251&lt;&gt;"",SUMIFS(DataAct_tbl[AMOUNT],DataAct_tbl[BG CODE],Detail!$D251,DataAct_tbl[MONTH],LEFT(MonthName,3),DataAct_tbl[Dept code],$B251),0)</f>
        <v>0</v>
      </c>
      <c r="H251" s="31" t="str">
        <f t="shared" si="34"/>
        <v/>
      </c>
      <c r="I251" s="28" t="str">
        <f t="shared" si="35"/>
        <v/>
      </c>
      <c r="J251" s="32" t="str">
        <f t="shared" si="36"/>
        <v/>
      </c>
      <c r="K251" s="86"/>
      <c r="L251" s="62">
        <f>IF($B251&lt;&gt;"",SUMIFS(DataAct_tbl[AMOUNT],DataAct_tbl[BG CODE],Detail!$D251,DataAct_tbl[Check Range],"=true",DataAct_tbl[Dept code],$B251),0)</f>
        <v>0</v>
      </c>
      <c r="M251" s="63">
        <f>INDEX($AG$7:$AR$1005,ROW()-6,MATCH(MTD,$AG$6:$AR$6,0))</f>
        <v>0</v>
      </c>
      <c r="N251" s="34">
        <f t="shared" si="37"/>
        <v>0</v>
      </c>
      <c r="O251" s="64" t="str">
        <f t="shared" si="38"/>
        <v xml:space="preserve"> </v>
      </c>
      <c r="Q251" s="97">
        <f t="shared" si="39"/>
        <v>0</v>
      </c>
      <c r="R251" s="96">
        <f t="shared" si="40"/>
        <v>0</v>
      </c>
      <c r="T251" s="67" t="str">
        <f>IF($B251&lt;&gt;"",INDEX(DataOB[],FirstRow+ROW()-7,MATCH(T$6,DataOB[#Headers],0)),"")</f>
        <v/>
      </c>
      <c r="U251" s="67" t="str">
        <f>IF($B251&lt;&gt;"",INDEX(DataOB[],FirstRow+ROW()-7,MATCH(U$6,DataOB[#Headers],0)),"")</f>
        <v/>
      </c>
      <c r="V251" s="67" t="str">
        <f>IF($B251&lt;&gt;"",INDEX(DataOB[],FirstRow+ROW()-7,MATCH(V$6,DataOB[#Headers],0)),"")</f>
        <v/>
      </c>
      <c r="W251" s="67" t="str">
        <f>IF($B251&lt;&gt;"",INDEX(DataOB[],FirstRow+ROW()-7,MATCH(W$6,DataOB[#Headers],0)),"")</f>
        <v/>
      </c>
      <c r="X251" s="67" t="str">
        <f>IF($B251&lt;&gt;"",INDEX(DataOB[],FirstRow+ROW()-7,MATCH(X$6,DataOB[#Headers],0)),"")</f>
        <v/>
      </c>
      <c r="Y251" s="67" t="str">
        <f>IF($B251&lt;&gt;"",INDEX(DataOB[],FirstRow+ROW()-7,MATCH(Y$6,DataOB[#Headers],0)),"")</f>
        <v/>
      </c>
      <c r="Z251" s="67" t="str">
        <f>IF($B251&lt;&gt;"",INDEX(DataOB[],FirstRow+ROW()-7,MATCH(Z$6,DataOB[#Headers],0)),"")</f>
        <v/>
      </c>
      <c r="AA251" s="67" t="str">
        <f>IF($B251&lt;&gt;"",INDEX(DataOB[],FirstRow+ROW()-7,MATCH(AA$6,DataOB[#Headers],0)),"")</f>
        <v/>
      </c>
      <c r="AB251" s="67" t="str">
        <f>IF($B251&lt;&gt;"",INDEX(DataOB[],FirstRow+ROW()-7,MATCH(AB$6,DataOB[#Headers],0)),"")</f>
        <v/>
      </c>
      <c r="AC251" s="67" t="str">
        <f>IF($B251&lt;&gt;"",INDEX(DataOB[],FirstRow+ROW()-7,MATCH(AC$6,DataOB[#Headers],0)),"")</f>
        <v/>
      </c>
      <c r="AD251" s="67" t="str">
        <f>IF($B251&lt;&gt;"",INDEX(DataOB[],FirstRow+ROW()-7,MATCH(AD$6,DataOB[#Headers],0)),"")</f>
        <v/>
      </c>
      <c r="AE251" s="67" t="str">
        <f>IF($B251&lt;&gt;"",INDEX(DataOB[],FirstRow+ROW()-7,MATCH(AE$6,DataOB[#Headers],0)),"")</f>
        <v/>
      </c>
      <c r="AF251" s="26">
        <f t="shared" si="41"/>
        <v>0</v>
      </c>
      <c r="AG251" s="31">
        <f>SUM($T251:T251)</f>
        <v>0</v>
      </c>
      <c r="AH251" s="31">
        <f>SUM($T251:U251)</f>
        <v>0</v>
      </c>
      <c r="AI251" s="31">
        <f>SUM($T251:V251)</f>
        <v>0</v>
      </c>
      <c r="AJ251" s="31">
        <f>SUM($T251:W251)</f>
        <v>0</v>
      </c>
      <c r="AK251" s="31">
        <f>SUM($T251:X251)</f>
        <v>0</v>
      </c>
      <c r="AL251" s="31">
        <f>SUM($T251:Y251)</f>
        <v>0</v>
      </c>
      <c r="AM251" s="31">
        <f>SUM($T251:Z251)</f>
        <v>0</v>
      </c>
      <c r="AN251" s="31">
        <f>SUM($T251:AA251)</f>
        <v>0</v>
      </c>
      <c r="AO251" s="31">
        <f>SUM($T251:AB251)</f>
        <v>0</v>
      </c>
      <c r="AP251" s="31">
        <f>SUM($T251:AC251)</f>
        <v>0</v>
      </c>
      <c r="AQ251" s="31">
        <f>SUM($T251:AD251)</f>
        <v>0</v>
      </c>
      <c r="AR251" s="31">
        <f>SUM($T251:AE251)</f>
        <v>0</v>
      </c>
      <c r="AS251" s="27">
        <f t="shared" si="42"/>
        <v>0</v>
      </c>
    </row>
    <row r="252" spans="2:45">
      <c r="B252" s="102" t="str">
        <f>IF(ROW()-6&gt;NumCostCenter,"",IF(CostCenter&lt;&gt;"ALL",CostCenter,DATA_LF2!B250))</f>
        <v/>
      </c>
      <c r="C252" s="153" t="str">
        <f>IF($B252&lt;&gt;"",INDEX(DataOB[],FirstRow+ROW()-7,2),"")</f>
        <v/>
      </c>
      <c r="D252" s="66" t="str">
        <f>IF($B252&lt;&gt;"",INDEX(DataOB[],FirstRow+ROW()-7,3),"")</f>
        <v/>
      </c>
      <c r="E252" s="103" t="str">
        <f>IF($B252&lt;&gt;"",INDEX(DataOB[],FirstRow+ROW()-7,6),"")</f>
        <v/>
      </c>
      <c r="F252" s="103" t="str">
        <f>IF($B252&lt;&gt;"",INDEX(DataOB[],FirstRow+ROW()-7,5),"")</f>
        <v/>
      </c>
      <c r="G252" s="58">
        <f>IF($B252&lt;&gt;"",SUMIFS(DataAct_tbl[AMOUNT],DataAct_tbl[BG CODE],Detail!$D252,DataAct_tbl[MONTH],LEFT(MonthName,3),DataAct_tbl[Dept code],$B252),0)</f>
        <v>0</v>
      </c>
      <c r="H252" s="31" t="str">
        <f t="shared" si="34"/>
        <v/>
      </c>
      <c r="I252" s="28" t="str">
        <f t="shared" si="35"/>
        <v/>
      </c>
      <c r="J252" s="32" t="str">
        <f t="shared" si="36"/>
        <v/>
      </c>
      <c r="K252" s="86"/>
      <c r="L252" s="62">
        <f>IF($B252&lt;&gt;"",SUMIFS(DataAct_tbl[AMOUNT],DataAct_tbl[BG CODE],Detail!$D252,DataAct_tbl[Check Range],"=true",DataAct_tbl[Dept code],$B252),0)</f>
        <v>0</v>
      </c>
      <c r="M252" s="63">
        <f>INDEX($AG$7:$AR$1005,ROW()-6,MATCH(MTD,$AG$6:$AR$6,0))</f>
        <v>0</v>
      </c>
      <c r="N252" s="34">
        <f t="shared" si="37"/>
        <v>0</v>
      </c>
      <c r="O252" s="64" t="str">
        <f t="shared" si="38"/>
        <v xml:space="preserve"> </v>
      </c>
      <c r="Q252" s="97">
        <f t="shared" si="39"/>
        <v>0</v>
      </c>
      <c r="R252" s="96">
        <f t="shared" si="40"/>
        <v>0</v>
      </c>
      <c r="T252" s="67" t="str">
        <f>IF($B252&lt;&gt;"",INDEX(DataOB[],FirstRow+ROW()-7,MATCH(T$6,DataOB[#Headers],0)),"")</f>
        <v/>
      </c>
      <c r="U252" s="67" t="str">
        <f>IF($B252&lt;&gt;"",INDEX(DataOB[],FirstRow+ROW()-7,MATCH(U$6,DataOB[#Headers],0)),"")</f>
        <v/>
      </c>
      <c r="V252" s="67" t="str">
        <f>IF($B252&lt;&gt;"",INDEX(DataOB[],FirstRow+ROW()-7,MATCH(V$6,DataOB[#Headers],0)),"")</f>
        <v/>
      </c>
      <c r="W252" s="67" t="str">
        <f>IF($B252&lt;&gt;"",INDEX(DataOB[],FirstRow+ROW()-7,MATCH(W$6,DataOB[#Headers],0)),"")</f>
        <v/>
      </c>
      <c r="X252" s="67" t="str">
        <f>IF($B252&lt;&gt;"",INDEX(DataOB[],FirstRow+ROW()-7,MATCH(X$6,DataOB[#Headers],0)),"")</f>
        <v/>
      </c>
      <c r="Y252" s="67" t="str">
        <f>IF($B252&lt;&gt;"",INDEX(DataOB[],FirstRow+ROW()-7,MATCH(Y$6,DataOB[#Headers],0)),"")</f>
        <v/>
      </c>
      <c r="Z252" s="67" t="str">
        <f>IF($B252&lt;&gt;"",INDEX(DataOB[],FirstRow+ROW()-7,MATCH(Z$6,DataOB[#Headers],0)),"")</f>
        <v/>
      </c>
      <c r="AA252" s="67" t="str">
        <f>IF($B252&lt;&gt;"",INDEX(DataOB[],FirstRow+ROW()-7,MATCH(AA$6,DataOB[#Headers],0)),"")</f>
        <v/>
      </c>
      <c r="AB252" s="67" t="str">
        <f>IF($B252&lt;&gt;"",INDEX(DataOB[],FirstRow+ROW()-7,MATCH(AB$6,DataOB[#Headers],0)),"")</f>
        <v/>
      </c>
      <c r="AC252" s="67" t="str">
        <f>IF($B252&lt;&gt;"",INDEX(DataOB[],FirstRow+ROW()-7,MATCH(AC$6,DataOB[#Headers],0)),"")</f>
        <v/>
      </c>
      <c r="AD252" s="67" t="str">
        <f>IF($B252&lt;&gt;"",INDEX(DataOB[],FirstRow+ROW()-7,MATCH(AD$6,DataOB[#Headers],0)),"")</f>
        <v/>
      </c>
      <c r="AE252" s="67" t="str">
        <f>IF($B252&lt;&gt;"",INDEX(DataOB[],FirstRow+ROW()-7,MATCH(AE$6,DataOB[#Headers],0)),"")</f>
        <v/>
      </c>
      <c r="AF252" s="26">
        <f t="shared" si="41"/>
        <v>0</v>
      </c>
      <c r="AG252" s="31">
        <f>SUM($T252:T252)</f>
        <v>0</v>
      </c>
      <c r="AH252" s="31">
        <f>SUM($T252:U252)</f>
        <v>0</v>
      </c>
      <c r="AI252" s="31">
        <f>SUM($T252:V252)</f>
        <v>0</v>
      </c>
      <c r="AJ252" s="31">
        <f>SUM($T252:W252)</f>
        <v>0</v>
      </c>
      <c r="AK252" s="31">
        <f>SUM($T252:X252)</f>
        <v>0</v>
      </c>
      <c r="AL252" s="31">
        <f>SUM($T252:Y252)</f>
        <v>0</v>
      </c>
      <c r="AM252" s="31">
        <f>SUM($T252:Z252)</f>
        <v>0</v>
      </c>
      <c r="AN252" s="31">
        <f>SUM($T252:AA252)</f>
        <v>0</v>
      </c>
      <c r="AO252" s="31">
        <f>SUM($T252:AB252)</f>
        <v>0</v>
      </c>
      <c r="AP252" s="31">
        <f>SUM($T252:AC252)</f>
        <v>0</v>
      </c>
      <c r="AQ252" s="31">
        <f>SUM($T252:AD252)</f>
        <v>0</v>
      </c>
      <c r="AR252" s="31">
        <f>SUM($T252:AE252)</f>
        <v>0</v>
      </c>
      <c r="AS252" s="27">
        <f t="shared" si="42"/>
        <v>0</v>
      </c>
    </row>
    <row r="253" spans="2:45">
      <c r="B253" s="102" t="str">
        <f>IF(ROW()-6&gt;NumCostCenter,"",IF(CostCenter&lt;&gt;"ALL",CostCenter,DATA_LF2!B251))</f>
        <v/>
      </c>
      <c r="C253" s="153" t="str">
        <f>IF($B253&lt;&gt;"",INDEX(DataOB[],FirstRow+ROW()-7,2),"")</f>
        <v/>
      </c>
      <c r="D253" s="66" t="str">
        <f>IF($B253&lt;&gt;"",INDEX(DataOB[],FirstRow+ROW()-7,3),"")</f>
        <v/>
      </c>
      <c r="E253" s="103" t="str">
        <f>IF($B253&lt;&gt;"",INDEX(DataOB[],FirstRow+ROW()-7,6),"")</f>
        <v/>
      </c>
      <c r="F253" s="103" t="str">
        <f>IF($B253&lt;&gt;"",INDEX(DataOB[],FirstRow+ROW()-7,5),"")</f>
        <v/>
      </c>
      <c r="G253" s="58">
        <f>IF($B253&lt;&gt;"",SUMIFS(DataAct_tbl[AMOUNT],DataAct_tbl[BG CODE],Detail!$D253,DataAct_tbl[MONTH],LEFT(MonthName,3),DataAct_tbl[Dept code],$B253),0)</f>
        <v>0</v>
      </c>
      <c r="H253" s="31" t="str">
        <f t="shared" si="34"/>
        <v/>
      </c>
      <c r="I253" s="28" t="str">
        <f t="shared" si="35"/>
        <v/>
      </c>
      <c r="J253" s="32" t="str">
        <f t="shared" si="36"/>
        <v/>
      </c>
      <c r="K253" s="86"/>
      <c r="L253" s="62">
        <f>IF($B253&lt;&gt;"",SUMIFS(DataAct_tbl[AMOUNT],DataAct_tbl[BG CODE],Detail!$D253,DataAct_tbl[Check Range],"=true",DataAct_tbl[Dept code],$B253),0)</f>
        <v>0</v>
      </c>
      <c r="M253" s="63">
        <f>INDEX($AG$7:$AR$1005,ROW()-6,MATCH(MTD,$AG$6:$AR$6,0))</f>
        <v>0</v>
      </c>
      <c r="N253" s="34">
        <f t="shared" si="37"/>
        <v>0</v>
      </c>
      <c r="O253" s="64" t="str">
        <f t="shared" si="38"/>
        <v xml:space="preserve"> </v>
      </c>
      <c r="Q253" s="97">
        <f t="shared" si="39"/>
        <v>0</v>
      </c>
      <c r="R253" s="96">
        <f t="shared" si="40"/>
        <v>0</v>
      </c>
      <c r="T253" s="67" t="str">
        <f>IF($B253&lt;&gt;"",INDEX(DataOB[],FirstRow+ROW()-7,MATCH(T$6,DataOB[#Headers],0)),"")</f>
        <v/>
      </c>
      <c r="U253" s="67" t="str">
        <f>IF($B253&lt;&gt;"",INDEX(DataOB[],FirstRow+ROW()-7,MATCH(U$6,DataOB[#Headers],0)),"")</f>
        <v/>
      </c>
      <c r="V253" s="67" t="str">
        <f>IF($B253&lt;&gt;"",INDEX(DataOB[],FirstRow+ROW()-7,MATCH(V$6,DataOB[#Headers],0)),"")</f>
        <v/>
      </c>
      <c r="W253" s="67" t="str">
        <f>IF($B253&lt;&gt;"",INDEX(DataOB[],FirstRow+ROW()-7,MATCH(W$6,DataOB[#Headers],0)),"")</f>
        <v/>
      </c>
      <c r="X253" s="67" t="str">
        <f>IF($B253&lt;&gt;"",INDEX(DataOB[],FirstRow+ROW()-7,MATCH(X$6,DataOB[#Headers],0)),"")</f>
        <v/>
      </c>
      <c r="Y253" s="67" t="str">
        <f>IF($B253&lt;&gt;"",INDEX(DataOB[],FirstRow+ROW()-7,MATCH(Y$6,DataOB[#Headers],0)),"")</f>
        <v/>
      </c>
      <c r="Z253" s="67" t="str">
        <f>IF($B253&lt;&gt;"",INDEX(DataOB[],FirstRow+ROW()-7,MATCH(Z$6,DataOB[#Headers],0)),"")</f>
        <v/>
      </c>
      <c r="AA253" s="67" t="str">
        <f>IF($B253&lt;&gt;"",INDEX(DataOB[],FirstRow+ROW()-7,MATCH(AA$6,DataOB[#Headers],0)),"")</f>
        <v/>
      </c>
      <c r="AB253" s="67" t="str">
        <f>IF($B253&lt;&gt;"",INDEX(DataOB[],FirstRow+ROW()-7,MATCH(AB$6,DataOB[#Headers],0)),"")</f>
        <v/>
      </c>
      <c r="AC253" s="67" t="str">
        <f>IF($B253&lt;&gt;"",INDEX(DataOB[],FirstRow+ROW()-7,MATCH(AC$6,DataOB[#Headers],0)),"")</f>
        <v/>
      </c>
      <c r="AD253" s="67" t="str">
        <f>IF($B253&lt;&gt;"",INDEX(DataOB[],FirstRow+ROW()-7,MATCH(AD$6,DataOB[#Headers],0)),"")</f>
        <v/>
      </c>
      <c r="AE253" s="67" t="str">
        <f>IF($B253&lt;&gt;"",INDEX(DataOB[],FirstRow+ROW()-7,MATCH(AE$6,DataOB[#Headers],0)),"")</f>
        <v/>
      </c>
      <c r="AF253" s="26">
        <f t="shared" si="41"/>
        <v>0</v>
      </c>
      <c r="AG253" s="31">
        <f>SUM($T253:T253)</f>
        <v>0</v>
      </c>
      <c r="AH253" s="31">
        <f>SUM($T253:U253)</f>
        <v>0</v>
      </c>
      <c r="AI253" s="31">
        <f>SUM($T253:V253)</f>
        <v>0</v>
      </c>
      <c r="AJ253" s="31">
        <f>SUM($T253:W253)</f>
        <v>0</v>
      </c>
      <c r="AK253" s="31">
        <f>SUM($T253:X253)</f>
        <v>0</v>
      </c>
      <c r="AL253" s="31">
        <f>SUM($T253:Y253)</f>
        <v>0</v>
      </c>
      <c r="AM253" s="31">
        <f>SUM($T253:Z253)</f>
        <v>0</v>
      </c>
      <c r="AN253" s="31">
        <f>SUM($T253:AA253)</f>
        <v>0</v>
      </c>
      <c r="AO253" s="31">
        <f>SUM($T253:AB253)</f>
        <v>0</v>
      </c>
      <c r="AP253" s="31">
        <f>SUM($T253:AC253)</f>
        <v>0</v>
      </c>
      <c r="AQ253" s="31">
        <f>SUM($T253:AD253)</f>
        <v>0</v>
      </c>
      <c r="AR253" s="31">
        <f>SUM($T253:AE253)</f>
        <v>0</v>
      </c>
      <c r="AS253" s="27">
        <f t="shared" si="42"/>
        <v>0</v>
      </c>
    </row>
    <row r="254" spans="2:45">
      <c r="B254" s="102" t="str">
        <f>IF(ROW()-6&gt;NumCostCenter,"",IF(CostCenter&lt;&gt;"ALL",CostCenter,DATA_LF2!B252))</f>
        <v/>
      </c>
      <c r="C254" s="153" t="str">
        <f>IF($B254&lt;&gt;"",INDEX(DataOB[],FirstRow+ROW()-7,2),"")</f>
        <v/>
      </c>
      <c r="D254" s="66" t="str">
        <f>IF($B254&lt;&gt;"",INDEX(DataOB[],FirstRow+ROW()-7,3),"")</f>
        <v/>
      </c>
      <c r="E254" s="103" t="str">
        <f>IF($B254&lt;&gt;"",INDEX(DataOB[],FirstRow+ROW()-7,6),"")</f>
        <v/>
      </c>
      <c r="F254" s="103" t="str">
        <f>IF($B254&lt;&gt;"",INDEX(DataOB[],FirstRow+ROW()-7,5),"")</f>
        <v/>
      </c>
      <c r="G254" s="58">
        <f>IF($B254&lt;&gt;"",SUMIFS(DataAct_tbl[AMOUNT],DataAct_tbl[BG CODE],Detail!$D254,DataAct_tbl[MONTH],LEFT(MonthName,3),DataAct_tbl[Dept code],$B254),0)</f>
        <v>0</v>
      </c>
      <c r="H254" s="31" t="str">
        <f t="shared" si="34"/>
        <v/>
      </c>
      <c r="I254" s="28" t="str">
        <f t="shared" si="35"/>
        <v/>
      </c>
      <c r="J254" s="32" t="str">
        <f t="shared" si="36"/>
        <v/>
      </c>
      <c r="K254" s="86"/>
      <c r="L254" s="62">
        <f>IF($B254&lt;&gt;"",SUMIFS(DataAct_tbl[AMOUNT],DataAct_tbl[BG CODE],Detail!$D254,DataAct_tbl[Check Range],"=true",DataAct_tbl[Dept code],$B254),0)</f>
        <v>0</v>
      </c>
      <c r="M254" s="63">
        <f>INDEX($AG$7:$AR$1005,ROW()-6,MATCH(MTD,$AG$6:$AR$6,0))</f>
        <v>0</v>
      </c>
      <c r="N254" s="34">
        <f t="shared" si="37"/>
        <v>0</v>
      </c>
      <c r="O254" s="64" t="str">
        <f t="shared" si="38"/>
        <v xml:space="preserve"> </v>
      </c>
      <c r="Q254" s="97">
        <f t="shared" si="39"/>
        <v>0</v>
      </c>
      <c r="R254" s="96">
        <f t="shared" si="40"/>
        <v>0</v>
      </c>
      <c r="T254" s="67" t="str">
        <f>IF($B254&lt;&gt;"",INDEX(DataOB[],FirstRow+ROW()-7,MATCH(T$6,DataOB[#Headers],0)),"")</f>
        <v/>
      </c>
      <c r="U254" s="67" t="str">
        <f>IF($B254&lt;&gt;"",INDEX(DataOB[],FirstRow+ROW()-7,MATCH(U$6,DataOB[#Headers],0)),"")</f>
        <v/>
      </c>
      <c r="V254" s="67" t="str">
        <f>IF($B254&lt;&gt;"",INDEX(DataOB[],FirstRow+ROW()-7,MATCH(V$6,DataOB[#Headers],0)),"")</f>
        <v/>
      </c>
      <c r="W254" s="67" t="str">
        <f>IF($B254&lt;&gt;"",INDEX(DataOB[],FirstRow+ROW()-7,MATCH(W$6,DataOB[#Headers],0)),"")</f>
        <v/>
      </c>
      <c r="X254" s="67" t="str">
        <f>IF($B254&lt;&gt;"",INDEX(DataOB[],FirstRow+ROW()-7,MATCH(X$6,DataOB[#Headers],0)),"")</f>
        <v/>
      </c>
      <c r="Y254" s="67" t="str">
        <f>IF($B254&lt;&gt;"",INDEX(DataOB[],FirstRow+ROW()-7,MATCH(Y$6,DataOB[#Headers],0)),"")</f>
        <v/>
      </c>
      <c r="Z254" s="67" t="str">
        <f>IF($B254&lt;&gt;"",INDEX(DataOB[],FirstRow+ROW()-7,MATCH(Z$6,DataOB[#Headers],0)),"")</f>
        <v/>
      </c>
      <c r="AA254" s="67" t="str">
        <f>IF($B254&lt;&gt;"",INDEX(DataOB[],FirstRow+ROW()-7,MATCH(AA$6,DataOB[#Headers],0)),"")</f>
        <v/>
      </c>
      <c r="AB254" s="67" t="str">
        <f>IF($B254&lt;&gt;"",INDEX(DataOB[],FirstRow+ROW()-7,MATCH(AB$6,DataOB[#Headers],0)),"")</f>
        <v/>
      </c>
      <c r="AC254" s="67" t="str">
        <f>IF($B254&lt;&gt;"",INDEX(DataOB[],FirstRow+ROW()-7,MATCH(AC$6,DataOB[#Headers],0)),"")</f>
        <v/>
      </c>
      <c r="AD254" s="67" t="str">
        <f>IF($B254&lt;&gt;"",INDEX(DataOB[],FirstRow+ROW()-7,MATCH(AD$6,DataOB[#Headers],0)),"")</f>
        <v/>
      </c>
      <c r="AE254" s="67" t="str">
        <f>IF($B254&lt;&gt;"",INDEX(DataOB[],FirstRow+ROW()-7,MATCH(AE$6,DataOB[#Headers],0)),"")</f>
        <v/>
      </c>
      <c r="AF254" s="26">
        <f t="shared" si="41"/>
        <v>0</v>
      </c>
      <c r="AG254" s="31">
        <f>SUM($T254:T254)</f>
        <v>0</v>
      </c>
      <c r="AH254" s="31">
        <f>SUM($T254:U254)</f>
        <v>0</v>
      </c>
      <c r="AI254" s="31">
        <f>SUM($T254:V254)</f>
        <v>0</v>
      </c>
      <c r="AJ254" s="31">
        <f>SUM($T254:W254)</f>
        <v>0</v>
      </c>
      <c r="AK254" s="31">
        <f>SUM($T254:X254)</f>
        <v>0</v>
      </c>
      <c r="AL254" s="31">
        <f>SUM($T254:Y254)</f>
        <v>0</v>
      </c>
      <c r="AM254" s="31">
        <f>SUM($T254:Z254)</f>
        <v>0</v>
      </c>
      <c r="AN254" s="31">
        <f>SUM($T254:AA254)</f>
        <v>0</v>
      </c>
      <c r="AO254" s="31">
        <f>SUM($T254:AB254)</f>
        <v>0</v>
      </c>
      <c r="AP254" s="31">
        <f>SUM($T254:AC254)</f>
        <v>0</v>
      </c>
      <c r="AQ254" s="31">
        <f>SUM($T254:AD254)</f>
        <v>0</v>
      </c>
      <c r="AR254" s="31">
        <f>SUM($T254:AE254)</f>
        <v>0</v>
      </c>
      <c r="AS254" s="27">
        <f t="shared" si="42"/>
        <v>0</v>
      </c>
    </row>
    <row r="255" spans="2:45">
      <c r="B255" s="102" t="str">
        <f>IF(ROW()-6&gt;NumCostCenter,"",IF(CostCenter&lt;&gt;"ALL",CostCenter,DATA_LF2!B253))</f>
        <v/>
      </c>
      <c r="C255" s="153" t="str">
        <f>IF($B255&lt;&gt;"",INDEX(DataOB[],FirstRow+ROW()-7,2),"")</f>
        <v/>
      </c>
      <c r="D255" s="66" t="str">
        <f>IF($B255&lt;&gt;"",INDEX(DataOB[],FirstRow+ROW()-7,3),"")</f>
        <v/>
      </c>
      <c r="E255" s="103" t="str">
        <f>IF($B255&lt;&gt;"",INDEX(DataOB[],FirstRow+ROW()-7,6),"")</f>
        <v/>
      </c>
      <c r="F255" s="103" t="str">
        <f>IF($B255&lt;&gt;"",INDEX(DataOB[],FirstRow+ROW()-7,5),"")</f>
        <v/>
      </c>
      <c r="G255" s="58">
        <f>IF($B255&lt;&gt;"",SUMIFS(DataAct_tbl[AMOUNT],DataAct_tbl[BG CODE],Detail!$D255,DataAct_tbl[MONTH],LEFT(MonthName,3),DataAct_tbl[Dept code],$B255),0)</f>
        <v>0</v>
      </c>
      <c r="H255" s="31" t="str">
        <f t="shared" si="34"/>
        <v/>
      </c>
      <c r="I255" s="28" t="str">
        <f t="shared" si="35"/>
        <v/>
      </c>
      <c r="J255" s="32" t="str">
        <f t="shared" si="36"/>
        <v/>
      </c>
      <c r="K255" s="86"/>
      <c r="L255" s="62">
        <f>IF($B255&lt;&gt;"",SUMIFS(DataAct_tbl[AMOUNT],DataAct_tbl[BG CODE],Detail!$D255,DataAct_tbl[Check Range],"=true",DataAct_tbl[Dept code],$B255),0)</f>
        <v>0</v>
      </c>
      <c r="M255" s="63">
        <f>INDEX($AG$7:$AR$1005,ROW()-6,MATCH(MTD,$AG$6:$AR$6,0))</f>
        <v>0</v>
      </c>
      <c r="N255" s="34">
        <f t="shared" si="37"/>
        <v>0</v>
      </c>
      <c r="O255" s="64" t="str">
        <f t="shared" si="38"/>
        <v xml:space="preserve"> </v>
      </c>
      <c r="Q255" s="97">
        <f t="shared" si="39"/>
        <v>0</v>
      </c>
      <c r="R255" s="96">
        <f t="shared" si="40"/>
        <v>0</v>
      </c>
      <c r="T255" s="67" t="str">
        <f>IF($B255&lt;&gt;"",INDEX(DataOB[],FirstRow+ROW()-7,MATCH(T$6,DataOB[#Headers],0)),"")</f>
        <v/>
      </c>
      <c r="U255" s="67" t="str">
        <f>IF($B255&lt;&gt;"",INDEX(DataOB[],FirstRow+ROW()-7,MATCH(U$6,DataOB[#Headers],0)),"")</f>
        <v/>
      </c>
      <c r="V255" s="67" t="str">
        <f>IF($B255&lt;&gt;"",INDEX(DataOB[],FirstRow+ROW()-7,MATCH(V$6,DataOB[#Headers],0)),"")</f>
        <v/>
      </c>
      <c r="W255" s="67" t="str">
        <f>IF($B255&lt;&gt;"",INDEX(DataOB[],FirstRow+ROW()-7,MATCH(W$6,DataOB[#Headers],0)),"")</f>
        <v/>
      </c>
      <c r="X255" s="67" t="str">
        <f>IF($B255&lt;&gt;"",INDEX(DataOB[],FirstRow+ROW()-7,MATCH(X$6,DataOB[#Headers],0)),"")</f>
        <v/>
      </c>
      <c r="Y255" s="67" t="str">
        <f>IF($B255&lt;&gt;"",INDEX(DataOB[],FirstRow+ROW()-7,MATCH(Y$6,DataOB[#Headers],0)),"")</f>
        <v/>
      </c>
      <c r="Z255" s="67" t="str">
        <f>IF($B255&lt;&gt;"",INDEX(DataOB[],FirstRow+ROW()-7,MATCH(Z$6,DataOB[#Headers],0)),"")</f>
        <v/>
      </c>
      <c r="AA255" s="67" t="str">
        <f>IF($B255&lt;&gt;"",INDEX(DataOB[],FirstRow+ROW()-7,MATCH(AA$6,DataOB[#Headers],0)),"")</f>
        <v/>
      </c>
      <c r="AB255" s="67" t="str">
        <f>IF($B255&lt;&gt;"",INDEX(DataOB[],FirstRow+ROW()-7,MATCH(AB$6,DataOB[#Headers],0)),"")</f>
        <v/>
      </c>
      <c r="AC255" s="67" t="str">
        <f>IF($B255&lt;&gt;"",INDEX(DataOB[],FirstRow+ROW()-7,MATCH(AC$6,DataOB[#Headers],0)),"")</f>
        <v/>
      </c>
      <c r="AD255" s="67" t="str">
        <f>IF($B255&lt;&gt;"",INDEX(DataOB[],FirstRow+ROW()-7,MATCH(AD$6,DataOB[#Headers],0)),"")</f>
        <v/>
      </c>
      <c r="AE255" s="67" t="str">
        <f>IF($B255&lt;&gt;"",INDEX(DataOB[],FirstRow+ROW()-7,MATCH(AE$6,DataOB[#Headers],0)),"")</f>
        <v/>
      </c>
      <c r="AF255" s="26">
        <f t="shared" si="41"/>
        <v>0</v>
      </c>
      <c r="AG255" s="31">
        <f>SUM($T255:T255)</f>
        <v>0</v>
      </c>
      <c r="AH255" s="31">
        <f>SUM($T255:U255)</f>
        <v>0</v>
      </c>
      <c r="AI255" s="31">
        <f>SUM($T255:V255)</f>
        <v>0</v>
      </c>
      <c r="AJ255" s="31">
        <f>SUM($T255:W255)</f>
        <v>0</v>
      </c>
      <c r="AK255" s="31">
        <f>SUM($T255:X255)</f>
        <v>0</v>
      </c>
      <c r="AL255" s="31">
        <f>SUM($T255:Y255)</f>
        <v>0</v>
      </c>
      <c r="AM255" s="31">
        <f>SUM($T255:Z255)</f>
        <v>0</v>
      </c>
      <c r="AN255" s="31">
        <f>SUM($T255:AA255)</f>
        <v>0</v>
      </c>
      <c r="AO255" s="31">
        <f>SUM($T255:AB255)</f>
        <v>0</v>
      </c>
      <c r="AP255" s="31">
        <f>SUM($T255:AC255)</f>
        <v>0</v>
      </c>
      <c r="AQ255" s="31">
        <f>SUM($T255:AD255)</f>
        <v>0</v>
      </c>
      <c r="AR255" s="31">
        <f>SUM($T255:AE255)</f>
        <v>0</v>
      </c>
      <c r="AS255" s="27">
        <f t="shared" si="42"/>
        <v>0</v>
      </c>
    </row>
    <row r="256" spans="2:45">
      <c r="B256" s="102" t="str">
        <f>IF(ROW()-6&gt;NumCostCenter,"",IF(CostCenter&lt;&gt;"ALL",CostCenter,DATA_LF2!B254))</f>
        <v/>
      </c>
      <c r="C256" s="153" t="str">
        <f>IF($B256&lt;&gt;"",INDEX(DataOB[],FirstRow+ROW()-7,2),"")</f>
        <v/>
      </c>
      <c r="D256" s="66" t="str">
        <f>IF($B256&lt;&gt;"",INDEX(DataOB[],FirstRow+ROW()-7,3),"")</f>
        <v/>
      </c>
      <c r="E256" s="103" t="str">
        <f>IF($B256&lt;&gt;"",INDEX(DataOB[],FirstRow+ROW()-7,6),"")</f>
        <v/>
      </c>
      <c r="F256" s="103" t="str">
        <f>IF($B256&lt;&gt;"",INDEX(DataOB[],FirstRow+ROW()-7,5),"")</f>
        <v/>
      </c>
      <c r="G256" s="58">
        <f>IF($B256&lt;&gt;"",SUMIFS(DataAct_tbl[AMOUNT],DataAct_tbl[BG CODE],Detail!$D256,DataAct_tbl[MONTH],LEFT(MonthName,3),DataAct_tbl[Dept code],$B256),0)</f>
        <v>0</v>
      </c>
      <c r="H256" s="31" t="str">
        <f t="shared" si="34"/>
        <v/>
      </c>
      <c r="I256" s="28" t="str">
        <f t="shared" si="35"/>
        <v/>
      </c>
      <c r="J256" s="32" t="str">
        <f t="shared" si="36"/>
        <v/>
      </c>
      <c r="K256" s="86"/>
      <c r="L256" s="62">
        <f>IF($B256&lt;&gt;"",SUMIFS(DataAct_tbl[AMOUNT],DataAct_tbl[BG CODE],Detail!$D256,DataAct_tbl[Check Range],"=true",DataAct_tbl[Dept code],$B256),0)</f>
        <v>0</v>
      </c>
      <c r="M256" s="63">
        <f>INDEX($AG$7:$AR$1005,ROW()-6,MATCH(MTD,$AG$6:$AR$6,0))</f>
        <v>0</v>
      </c>
      <c r="N256" s="34">
        <f t="shared" si="37"/>
        <v>0</v>
      </c>
      <c r="O256" s="64" t="str">
        <f t="shared" si="38"/>
        <v xml:space="preserve"> </v>
      </c>
      <c r="Q256" s="97">
        <f t="shared" si="39"/>
        <v>0</v>
      </c>
      <c r="R256" s="96">
        <f t="shared" si="40"/>
        <v>0</v>
      </c>
      <c r="T256" s="67" t="str">
        <f>IF($B256&lt;&gt;"",INDEX(DataOB[],FirstRow+ROW()-7,MATCH(T$6,DataOB[#Headers],0)),"")</f>
        <v/>
      </c>
      <c r="U256" s="67" t="str">
        <f>IF($B256&lt;&gt;"",INDEX(DataOB[],FirstRow+ROW()-7,MATCH(U$6,DataOB[#Headers],0)),"")</f>
        <v/>
      </c>
      <c r="V256" s="67" t="str">
        <f>IF($B256&lt;&gt;"",INDEX(DataOB[],FirstRow+ROW()-7,MATCH(V$6,DataOB[#Headers],0)),"")</f>
        <v/>
      </c>
      <c r="W256" s="67" t="str">
        <f>IF($B256&lt;&gt;"",INDEX(DataOB[],FirstRow+ROW()-7,MATCH(W$6,DataOB[#Headers],0)),"")</f>
        <v/>
      </c>
      <c r="X256" s="67" t="str">
        <f>IF($B256&lt;&gt;"",INDEX(DataOB[],FirstRow+ROW()-7,MATCH(X$6,DataOB[#Headers],0)),"")</f>
        <v/>
      </c>
      <c r="Y256" s="67" t="str">
        <f>IF($B256&lt;&gt;"",INDEX(DataOB[],FirstRow+ROW()-7,MATCH(Y$6,DataOB[#Headers],0)),"")</f>
        <v/>
      </c>
      <c r="Z256" s="67" t="str">
        <f>IF($B256&lt;&gt;"",INDEX(DataOB[],FirstRow+ROW()-7,MATCH(Z$6,DataOB[#Headers],0)),"")</f>
        <v/>
      </c>
      <c r="AA256" s="67" t="str">
        <f>IF($B256&lt;&gt;"",INDEX(DataOB[],FirstRow+ROW()-7,MATCH(AA$6,DataOB[#Headers],0)),"")</f>
        <v/>
      </c>
      <c r="AB256" s="67" t="str">
        <f>IF($B256&lt;&gt;"",INDEX(DataOB[],FirstRow+ROW()-7,MATCH(AB$6,DataOB[#Headers],0)),"")</f>
        <v/>
      </c>
      <c r="AC256" s="67" t="str">
        <f>IF($B256&lt;&gt;"",INDEX(DataOB[],FirstRow+ROW()-7,MATCH(AC$6,DataOB[#Headers],0)),"")</f>
        <v/>
      </c>
      <c r="AD256" s="67" t="str">
        <f>IF($B256&lt;&gt;"",INDEX(DataOB[],FirstRow+ROW()-7,MATCH(AD$6,DataOB[#Headers],0)),"")</f>
        <v/>
      </c>
      <c r="AE256" s="67" t="str">
        <f>IF($B256&lt;&gt;"",INDEX(DataOB[],FirstRow+ROW()-7,MATCH(AE$6,DataOB[#Headers],0)),"")</f>
        <v/>
      </c>
      <c r="AF256" s="26">
        <f t="shared" si="41"/>
        <v>0</v>
      </c>
      <c r="AG256" s="31">
        <f>SUM($T256:T256)</f>
        <v>0</v>
      </c>
      <c r="AH256" s="31">
        <f>SUM($T256:U256)</f>
        <v>0</v>
      </c>
      <c r="AI256" s="31">
        <f>SUM($T256:V256)</f>
        <v>0</v>
      </c>
      <c r="AJ256" s="31">
        <f>SUM($T256:W256)</f>
        <v>0</v>
      </c>
      <c r="AK256" s="31">
        <f>SUM($T256:X256)</f>
        <v>0</v>
      </c>
      <c r="AL256" s="31">
        <f>SUM($T256:Y256)</f>
        <v>0</v>
      </c>
      <c r="AM256" s="31">
        <f>SUM($T256:Z256)</f>
        <v>0</v>
      </c>
      <c r="AN256" s="31">
        <f>SUM($T256:AA256)</f>
        <v>0</v>
      </c>
      <c r="AO256" s="31">
        <f>SUM($T256:AB256)</f>
        <v>0</v>
      </c>
      <c r="AP256" s="31">
        <f>SUM($T256:AC256)</f>
        <v>0</v>
      </c>
      <c r="AQ256" s="31">
        <f>SUM($T256:AD256)</f>
        <v>0</v>
      </c>
      <c r="AR256" s="31">
        <f>SUM($T256:AE256)</f>
        <v>0</v>
      </c>
      <c r="AS256" s="27">
        <f t="shared" si="42"/>
        <v>0</v>
      </c>
    </row>
    <row r="257" spans="2:45">
      <c r="B257" s="102" t="str">
        <f>IF(ROW()-6&gt;NumCostCenter,"",IF(CostCenter&lt;&gt;"ALL",CostCenter,DATA_LF2!B255))</f>
        <v/>
      </c>
      <c r="C257" s="153" t="str">
        <f>IF($B257&lt;&gt;"",INDEX(DataOB[],FirstRow+ROW()-7,2),"")</f>
        <v/>
      </c>
      <c r="D257" s="66" t="str">
        <f>IF($B257&lt;&gt;"",INDEX(DataOB[],FirstRow+ROW()-7,3),"")</f>
        <v/>
      </c>
      <c r="E257" s="103" t="str">
        <f>IF($B257&lt;&gt;"",INDEX(DataOB[],FirstRow+ROW()-7,6),"")</f>
        <v/>
      </c>
      <c r="F257" s="103" t="str">
        <f>IF($B257&lt;&gt;"",INDEX(DataOB[],FirstRow+ROW()-7,5),"")</f>
        <v/>
      </c>
      <c r="G257" s="58">
        <f>IF($B257&lt;&gt;"",SUMIFS(DataAct_tbl[AMOUNT],DataAct_tbl[BG CODE],Detail!$D257,DataAct_tbl[MONTH],LEFT(MonthName,3),DataAct_tbl[Dept code],$B257),0)</f>
        <v>0</v>
      </c>
      <c r="H257" s="31" t="str">
        <f t="shared" si="34"/>
        <v/>
      </c>
      <c r="I257" s="28" t="str">
        <f t="shared" si="35"/>
        <v/>
      </c>
      <c r="J257" s="32" t="str">
        <f t="shared" si="36"/>
        <v/>
      </c>
      <c r="K257" s="86"/>
      <c r="L257" s="62">
        <f>IF($B257&lt;&gt;"",SUMIFS(DataAct_tbl[AMOUNT],DataAct_tbl[BG CODE],Detail!$D257,DataAct_tbl[Check Range],"=true",DataAct_tbl[Dept code],$B257),0)</f>
        <v>0</v>
      </c>
      <c r="M257" s="63">
        <f>INDEX($AG$7:$AR$1005,ROW()-6,MATCH(MTD,$AG$6:$AR$6,0))</f>
        <v>0</v>
      </c>
      <c r="N257" s="34">
        <f t="shared" si="37"/>
        <v>0</v>
      </c>
      <c r="O257" s="64" t="str">
        <f t="shared" si="38"/>
        <v xml:space="preserve"> </v>
      </c>
      <c r="Q257" s="97">
        <f t="shared" si="39"/>
        <v>0</v>
      </c>
      <c r="R257" s="96">
        <f t="shared" si="40"/>
        <v>0</v>
      </c>
      <c r="T257" s="67" t="str">
        <f>IF($B257&lt;&gt;"",INDEX(DataOB[],FirstRow+ROW()-7,MATCH(T$6,DataOB[#Headers],0)),"")</f>
        <v/>
      </c>
      <c r="U257" s="67" t="str">
        <f>IF($B257&lt;&gt;"",INDEX(DataOB[],FirstRow+ROW()-7,MATCH(U$6,DataOB[#Headers],0)),"")</f>
        <v/>
      </c>
      <c r="V257" s="67" t="str">
        <f>IF($B257&lt;&gt;"",INDEX(DataOB[],FirstRow+ROW()-7,MATCH(V$6,DataOB[#Headers],0)),"")</f>
        <v/>
      </c>
      <c r="W257" s="67" t="str">
        <f>IF($B257&lt;&gt;"",INDEX(DataOB[],FirstRow+ROW()-7,MATCH(W$6,DataOB[#Headers],0)),"")</f>
        <v/>
      </c>
      <c r="X257" s="67" t="str">
        <f>IF($B257&lt;&gt;"",INDEX(DataOB[],FirstRow+ROW()-7,MATCH(X$6,DataOB[#Headers],0)),"")</f>
        <v/>
      </c>
      <c r="Y257" s="67" t="str">
        <f>IF($B257&lt;&gt;"",INDEX(DataOB[],FirstRow+ROW()-7,MATCH(Y$6,DataOB[#Headers],0)),"")</f>
        <v/>
      </c>
      <c r="Z257" s="67" t="str">
        <f>IF($B257&lt;&gt;"",INDEX(DataOB[],FirstRow+ROW()-7,MATCH(Z$6,DataOB[#Headers],0)),"")</f>
        <v/>
      </c>
      <c r="AA257" s="67" t="str">
        <f>IF($B257&lt;&gt;"",INDEX(DataOB[],FirstRow+ROW()-7,MATCH(AA$6,DataOB[#Headers],0)),"")</f>
        <v/>
      </c>
      <c r="AB257" s="67" t="str">
        <f>IF($B257&lt;&gt;"",INDEX(DataOB[],FirstRow+ROW()-7,MATCH(AB$6,DataOB[#Headers],0)),"")</f>
        <v/>
      </c>
      <c r="AC257" s="67" t="str">
        <f>IF($B257&lt;&gt;"",INDEX(DataOB[],FirstRow+ROW()-7,MATCH(AC$6,DataOB[#Headers],0)),"")</f>
        <v/>
      </c>
      <c r="AD257" s="67" t="str">
        <f>IF($B257&lt;&gt;"",INDEX(DataOB[],FirstRow+ROW()-7,MATCH(AD$6,DataOB[#Headers],0)),"")</f>
        <v/>
      </c>
      <c r="AE257" s="67" t="str">
        <f>IF($B257&lt;&gt;"",INDEX(DataOB[],FirstRow+ROW()-7,MATCH(AE$6,DataOB[#Headers],0)),"")</f>
        <v/>
      </c>
      <c r="AF257" s="26">
        <f t="shared" si="41"/>
        <v>0</v>
      </c>
      <c r="AG257" s="31">
        <f>SUM($T257:T257)</f>
        <v>0</v>
      </c>
      <c r="AH257" s="31">
        <f>SUM($T257:U257)</f>
        <v>0</v>
      </c>
      <c r="AI257" s="31">
        <f>SUM($T257:V257)</f>
        <v>0</v>
      </c>
      <c r="AJ257" s="31">
        <f>SUM($T257:W257)</f>
        <v>0</v>
      </c>
      <c r="AK257" s="31">
        <f>SUM($T257:X257)</f>
        <v>0</v>
      </c>
      <c r="AL257" s="31">
        <f>SUM($T257:Y257)</f>
        <v>0</v>
      </c>
      <c r="AM257" s="31">
        <f>SUM($T257:Z257)</f>
        <v>0</v>
      </c>
      <c r="AN257" s="31">
        <f>SUM($T257:AA257)</f>
        <v>0</v>
      </c>
      <c r="AO257" s="31">
        <f>SUM($T257:AB257)</f>
        <v>0</v>
      </c>
      <c r="AP257" s="31">
        <f>SUM($T257:AC257)</f>
        <v>0</v>
      </c>
      <c r="AQ257" s="31">
        <f>SUM($T257:AD257)</f>
        <v>0</v>
      </c>
      <c r="AR257" s="31">
        <f>SUM($T257:AE257)</f>
        <v>0</v>
      </c>
      <c r="AS257" s="27">
        <f t="shared" si="42"/>
        <v>0</v>
      </c>
    </row>
    <row r="258" spans="2:45">
      <c r="B258" s="102" t="str">
        <f>IF(ROW()-6&gt;NumCostCenter,"",IF(CostCenter&lt;&gt;"ALL",CostCenter,DATA_LF2!B256))</f>
        <v/>
      </c>
      <c r="C258" s="153" t="str">
        <f>IF($B258&lt;&gt;"",INDEX(DataOB[],FirstRow+ROW()-7,2),"")</f>
        <v/>
      </c>
      <c r="D258" s="66" t="str">
        <f>IF($B258&lt;&gt;"",INDEX(DataOB[],FirstRow+ROW()-7,3),"")</f>
        <v/>
      </c>
      <c r="E258" s="103" t="str">
        <f>IF($B258&lt;&gt;"",INDEX(DataOB[],FirstRow+ROW()-7,6),"")</f>
        <v/>
      </c>
      <c r="F258" s="103" t="str">
        <f>IF($B258&lt;&gt;"",INDEX(DataOB[],FirstRow+ROW()-7,5),"")</f>
        <v/>
      </c>
      <c r="G258" s="58">
        <f>IF($B258&lt;&gt;"",SUMIFS(DataAct_tbl[AMOUNT],DataAct_tbl[BG CODE],Detail!$D258,DataAct_tbl[MONTH],LEFT(MonthName,3),DataAct_tbl[Dept code],$B258),0)</f>
        <v>0</v>
      </c>
      <c r="H258" s="31" t="str">
        <f t="shared" si="34"/>
        <v/>
      </c>
      <c r="I258" s="28" t="str">
        <f t="shared" si="35"/>
        <v/>
      </c>
      <c r="J258" s="32" t="str">
        <f t="shared" si="36"/>
        <v/>
      </c>
      <c r="K258" s="86"/>
      <c r="L258" s="62">
        <f>IF($B258&lt;&gt;"",SUMIFS(DataAct_tbl[AMOUNT],DataAct_tbl[BG CODE],Detail!$D258,DataAct_tbl[Check Range],"=true",DataAct_tbl[Dept code],$B258),0)</f>
        <v>0</v>
      </c>
      <c r="M258" s="63">
        <f>INDEX($AG$7:$AR$1005,ROW()-6,MATCH(MTD,$AG$6:$AR$6,0))</f>
        <v>0</v>
      </c>
      <c r="N258" s="34">
        <f t="shared" si="37"/>
        <v>0</v>
      </c>
      <c r="O258" s="64" t="str">
        <f t="shared" si="38"/>
        <v xml:space="preserve"> </v>
      </c>
      <c r="Q258" s="97">
        <f t="shared" si="39"/>
        <v>0</v>
      </c>
      <c r="R258" s="96">
        <f t="shared" si="40"/>
        <v>0</v>
      </c>
      <c r="T258" s="67" t="str">
        <f>IF($B258&lt;&gt;"",INDEX(DataOB[],FirstRow+ROW()-7,MATCH(T$6,DataOB[#Headers],0)),"")</f>
        <v/>
      </c>
      <c r="U258" s="67" t="str">
        <f>IF($B258&lt;&gt;"",INDEX(DataOB[],FirstRow+ROW()-7,MATCH(U$6,DataOB[#Headers],0)),"")</f>
        <v/>
      </c>
      <c r="V258" s="67" t="str">
        <f>IF($B258&lt;&gt;"",INDEX(DataOB[],FirstRow+ROW()-7,MATCH(V$6,DataOB[#Headers],0)),"")</f>
        <v/>
      </c>
      <c r="W258" s="67" t="str">
        <f>IF($B258&lt;&gt;"",INDEX(DataOB[],FirstRow+ROW()-7,MATCH(W$6,DataOB[#Headers],0)),"")</f>
        <v/>
      </c>
      <c r="X258" s="67" t="str">
        <f>IF($B258&lt;&gt;"",INDEX(DataOB[],FirstRow+ROW()-7,MATCH(X$6,DataOB[#Headers],0)),"")</f>
        <v/>
      </c>
      <c r="Y258" s="67" t="str">
        <f>IF($B258&lt;&gt;"",INDEX(DataOB[],FirstRow+ROW()-7,MATCH(Y$6,DataOB[#Headers],0)),"")</f>
        <v/>
      </c>
      <c r="Z258" s="67" t="str">
        <f>IF($B258&lt;&gt;"",INDEX(DataOB[],FirstRow+ROW()-7,MATCH(Z$6,DataOB[#Headers],0)),"")</f>
        <v/>
      </c>
      <c r="AA258" s="67" t="str">
        <f>IF($B258&lt;&gt;"",INDEX(DataOB[],FirstRow+ROW()-7,MATCH(AA$6,DataOB[#Headers],0)),"")</f>
        <v/>
      </c>
      <c r="AB258" s="67" t="str">
        <f>IF($B258&lt;&gt;"",INDEX(DataOB[],FirstRow+ROW()-7,MATCH(AB$6,DataOB[#Headers],0)),"")</f>
        <v/>
      </c>
      <c r="AC258" s="67" t="str">
        <f>IF($B258&lt;&gt;"",INDEX(DataOB[],FirstRow+ROW()-7,MATCH(AC$6,DataOB[#Headers],0)),"")</f>
        <v/>
      </c>
      <c r="AD258" s="67" t="str">
        <f>IF($B258&lt;&gt;"",INDEX(DataOB[],FirstRow+ROW()-7,MATCH(AD$6,DataOB[#Headers],0)),"")</f>
        <v/>
      </c>
      <c r="AE258" s="67" t="str">
        <f>IF($B258&lt;&gt;"",INDEX(DataOB[],FirstRow+ROW()-7,MATCH(AE$6,DataOB[#Headers],0)),"")</f>
        <v/>
      </c>
      <c r="AF258" s="26">
        <f t="shared" si="41"/>
        <v>0</v>
      </c>
      <c r="AG258" s="31">
        <f>SUM($T258:T258)</f>
        <v>0</v>
      </c>
      <c r="AH258" s="31">
        <f>SUM($T258:U258)</f>
        <v>0</v>
      </c>
      <c r="AI258" s="31">
        <f>SUM($T258:V258)</f>
        <v>0</v>
      </c>
      <c r="AJ258" s="31">
        <f>SUM($T258:W258)</f>
        <v>0</v>
      </c>
      <c r="AK258" s="31">
        <f>SUM($T258:X258)</f>
        <v>0</v>
      </c>
      <c r="AL258" s="31">
        <f>SUM($T258:Y258)</f>
        <v>0</v>
      </c>
      <c r="AM258" s="31">
        <f>SUM($T258:Z258)</f>
        <v>0</v>
      </c>
      <c r="AN258" s="31">
        <f>SUM($T258:AA258)</f>
        <v>0</v>
      </c>
      <c r="AO258" s="31">
        <f>SUM($T258:AB258)</f>
        <v>0</v>
      </c>
      <c r="AP258" s="31">
        <f>SUM($T258:AC258)</f>
        <v>0</v>
      </c>
      <c r="AQ258" s="31">
        <f>SUM($T258:AD258)</f>
        <v>0</v>
      </c>
      <c r="AR258" s="31">
        <f>SUM($T258:AE258)</f>
        <v>0</v>
      </c>
      <c r="AS258" s="27">
        <f t="shared" si="42"/>
        <v>0</v>
      </c>
    </row>
    <row r="259" spans="2:45">
      <c r="B259" s="102" t="str">
        <f>IF(ROW()-6&gt;NumCostCenter,"",IF(CostCenter&lt;&gt;"ALL",CostCenter,DATA_LF2!B257))</f>
        <v/>
      </c>
      <c r="C259" s="153" t="str">
        <f>IF($B259&lt;&gt;"",INDEX(DataOB[],FirstRow+ROW()-7,2),"")</f>
        <v/>
      </c>
      <c r="D259" s="66" t="str">
        <f>IF($B259&lt;&gt;"",INDEX(DataOB[],FirstRow+ROW()-7,3),"")</f>
        <v/>
      </c>
      <c r="E259" s="103" t="str">
        <f>IF($B259&lt;&gt;"",INDEX(DataOB[],FirstRow+ROW()-7,6),"")</f>
        <v/>
      </c>
      <c r="F259" s="103" t="str">
        <f>IF($B259&lt;&gt;"",INDEX(DataOB[],FirstRow+ROW()-7,5),"")</f>
        <v/>
      </c>
      <c r="G259" s="58">
        <f>IF($B259&lt;&gt;"",SUMIFS(DataAct_tbl[AMOUNT],DataAct_tbl[BG CODE],Detail!$D259,DataAct_tbl[MONTH],LEFT(MonthName,3),DataAct_tbl[Dept code],$B259),0)</f>
        <v>0</v>
      </c>
      <c r="H259" s="31" t="str">
        <f t="shared" si="34"/>
        <v/>
      </c>
      <c r="I259" s="28" t="str">
        <f t="shared" si="35"/>
        <v/>
      </c>
      <c r="J259" s="32" t="str">
        <f t="shared" si="36"/>
        <v/>
      </c>
      <c r="K259" s="86"/>
      <c r="L259" s="62">
        <f>IF($B259&lt;&gt;"",SUMIFS(DataAct_tbl[AMOUNT],DataAct_tbl[BG CODE],Detail!$D259,DataAct_tbl[Check Range],"=true",DataAct_tbl[Dept code],$B259),0)</f>
        <v>0</v>
      </c>
      <c r="M259" s="63">
        <f>INDEX($AG$7:$AR$1005,ROW()-6,MATCH(MTD,$AG$6:$AR$6,0))</f>
        <v>0</v>
      </c>
      <c r="N259" s="34">
        <f t="shared" si="37"/>
        <v>0</v>
      </c>
      <c r="O259" s="64" t="str">
        <f t="shared" si="38"/>
        <v xml:space="preserve"> </v>
      </c>
      <c r="Q259" s="97">
        <f t="shared" si="39"/>
        <v>0</v>
      </c>
      <c r="R259" s="96">
        <f t="shared" si="40"/>
        <v>0</v>
      </c>
      <c r="T259" s="67" t="str">
        <f>IF($B259&lt;&gt;"",INDEX(DataOB[],FirstRow+ROW()-7,MATCH(T$6,DataOB[#Headers],0)),"")</f>
        <v/>
      </c>
      <c r="U259" s="67" t="str">
        <f>IF($B259&lt;&gt;"",INDEX(DataOB[],FirstRow+ROW()-7,MATCH(U$6,DataOB[#Headers],0)),"")</f>
        <v/>
      </c>
      <c r="V259" s="67" t="str">
        <f>IF($B259&lt;&gt;"",INDEX(DataOB[],FirstRow+ROW()-7,MATCH(V$6,DataOB[#Headers],0)),"")</f>
        <v/>
      </c>
      <c r="W259" s="67" t="str">
        <f>IF($B259&lt;&gt;"",INDEX(DataOB[],FirstRow+ROW()-7,MATCH(W$6,DataOB[#Headers],0)),"")</f>
        <v/>
      </c>
      <c r="X259" s="67" t="str">
        <f>IF($B259&lt;&gt;"",INDEX(DataOB[],FirstRow+ROW()-7,MATCH(X$6,DataOB[#Headers],0)),"")</f>
        <v/>
      </c>
      <c r="Y259" s="67" t="str">
        <f>IF($B259&lt;&gt;"",INDEX(DataOB[],FirstRow+ROW()-7,MATCH(Y$6,DataOB[#Headers],0)),"")</f>
        <v/>
      </c>
      <c r="Z259" s="67" t="str">
        <f>IF($B259&lt;&gt;"",INDEX(DataOB[],FirstRow+ROW()-7,MATCH(Z$6,DataOB[#Headers],0)),"")</f>
        <v/>
      </c>
      <c r="AA259" s="67" t="str">
        <f>IF($B259&lt;&gt;"",INDEX(DataOB[],FirstRow+ROW()-7,MATCH(AA$6,DataOB[#Headers],0)),"")</f>
        <v/>
      </c>
      <c r="AB259" s="67" t="str">
        <f>IF($B259&lt;&gt;"",INDEX(DataOB[],FirstRow+ROW()-7,MATCH(AB$6,DataOB[#Headers],0)),"")</f>
        <v/>
      </c>
      <c r="AC259" s="67" t="str">
        <f>IF($B259&lt;&gt;"",INDEX(DataOB[],FirstRow+ROW()-7,MATCH(AC$6,DataOB[#Headers],0)),"")</f>
        <v/>
      </c>
      <c r="AD259" s="67" t="str">
        <f>IF($B259&lt;&gt;"",INDEX(DataOB[],FirstRow+ROW()-7,MATCH(AD$6,DataOB[#Headers],0)),"")</f>
        <v/>
      </c>
      <c r="AE259" s="67" t="str">
        <f>IF($B259&lt;&gt;"",INDEX(DataOB[],FirstRow+ROW()-7,MATCH(AE$6,DataOB[#Headers],0)),"")</f>
        <v/>
      </c>
      <c r="AF259" s="26">
        <f t="shared" si="41"/>
        <v>0</v>
      </c>
      <c r="AG259" s="31">
        <f>SUM($T259:T259)</f>
        <v>0</v>
      </c>
      <c r="AH259" s="31">
        <f>SUM($T259:U259)</f>
        <v>0</v>
      </c>
      <c r="AI259" s="31">
        <f>SUM($T259:V259)</f>
        <v>0</v>
      </c>
      <c r="AJ259" s="31">
        <f>SUM($T259:W259)</f>
        <v>0</v>
      </c>
      <c r="AK259" s="31">
        <f>SUM($T259:X259)</f>
        <v>0</v>
      </c>
      <c r="AL259" s="31">
        <f>SUM($T259:Y259)</f>
        <v>0</v>
      </c>
      <c r="AM259" s="31">
        <f>SUM($T259:Z259)</f>
        <v>0</v>
      </c>
      <c r="AN259" s="31">
        <f>SUM($T259:AA259)</f>
        <v>0</v>
      </c>
      <c r="AO259" s="31">
        <f>SUM($T259:AB259)</f>
        <v>0</v>
      </c>
      <c r="AP259" s="31">
        <f>SUM($T259:AC259)</f>
        <v>0</v>
      </c>
      <c r="AQ259" s="31">
        <f>SUM($T259:AD259)</f>
        <v>0</v>
      </c>
      <c r="AR259" s="31">
        <f>SUM($T259:AE259)</f>
        <v>0</v>
      </c>
      <c r="AS259" s="27">
        <f t="shared" si="42"/>
        <v>0</v>
      </c>
    </row>
    <row r="260" spans="2:45">
      <c r="B260" s="102" t="str">
        <f>IF(ROW()-6&gt;NumCostCenter,"",IF(CostCenter&lt;&gt;"ALL",CostCenter,DATA_LF2!B258))</f>
        <v/>
      </c>
      <c r="C260" s="153" t="str">
        <f>IF($B260&lt;&gt;"",INDEX(DataOB[],FirstRow+ROW()-7,2),"")</f>
        <v/>
      </c>
      <c r="D260" s="66" t="str">
        <f>IF($B260&lt;&gt;"",INDEX(DataOB[],FirstRow+ROW()-7,3),"")</f>
        <v/>
      </c>
      <c r="E260" s="103" t="str">
        <f>IF($B260&lt;&gt;"",INDEX(DataOB[],FirstRow+ROW()-7,6),"")</f>
        <v/>
      </c>
      <c r="F260" s="103" t="str">
        <f>IF($B260&lt;&gt;"",INDEX(DataOB[],FirstRow+ROW()-7,5),"")</f>
        <v/>
      </c>
      <c r="G260" s="58">
        <f>IF($B260&lt;&gt;"",SUMIFS(DataAct_tbl[AMOUNT],DataAct_tbl[BG CODE],Detail!$D260,DataAct_tbl[MONTH],LEFT(MonthName,3),DataAct_tbl[Dept code],$B260),0)</f>
        <v>0</v>
      </c>
      <c r="H260" s="31" t="str">
        <f t="shared" si="34"/>
        <v/>
      </c>
      <c r="I260" s="28" t="str">
        <f t="shared" si="35"/>
        <v/>
      </c>
      <c r="J260" s="32" t="str">
        <f t="shared" si="36"/>
        <v/>
      </c>
      <c r="K260" s="86"/>
      <c r="L260" s="62">
        <f>IF($B260&lt;&gt;"",SUMIFS(DataAct_tbl[AMOUNT],DataAct_tbl[BG CODE],Detail!$D260,DataAct_tbl[Check Range],"=true",DataAct_tbl[Dept code],$B260),0)</f>
        <v>0</v>
      </c>
      <c r="M260" s="63">
        <f>INDEX($AG$7:$AR$1005,ROW()-6,MATCH(MTD,$AG$6:$AR$6,0))</f>
        <v>0</v>
      </c>
      <c r="N260" s="34">
        <f t="shared" si="37"/>
        <v>0</v>
      </c>
      <c r="O260" s="64" t="str">
        <f t="shared" si="38"/>
        <v xml:space="preserve"> </v>
      </c>
      <c r="Q260" s="97">
        <f t="shared" si="39"/>
        <v>0</v>
      </c>
      <c r="R260" s="96">
        <f t="shared" si="40"/>
        <v>0</v>
      </c>
      <c r="T260" s="67" t="str">
        <f>IF($B260&lt;&gt;"",INDEX(DataOB[],FirstRow+ROW()-7,MATCH(T$6,DataOB[#Headers],0)),"")</f>
        <v/>
      </c>
      <c r="U260" s="67" t="str">
        <f>IF($B260&lt;&gt;"",INDEX(DataOB[],FirstRow+ROW()-7,MATCH(U$6,DataOB[#Headers],0)),"")</f>
        <v/>
      </c>
      <c r="V260" s="67" t="str">
        <f>IF($B260&lt;&gt;"",INDEX(DataOB[],FirstRow+ROW()-7,MATCH(V$6,DataOB[#Headers],0)),"")</f>
        <v/>
      </c>
      <c r="W260" s="67" t="str">
        <f>IF($B260&lt;&gt;"",INDEX(DataOB[],FirstRow+ROW()-7,MATCH(W$6,DataOB[#Headers],0)),"")</f>
        <v/>
      </c>
      <c r="X260" s="67" t="str">
        <f>IF($B260&lt;&gt;"",INDEX(DataOB[],FirstRow+ROW()-7,MATCH(X$6,DataOB[#Headers],0)),"")</f>
        <v/>
      </c>
      <c r="Y260" s="67" t="str">
        <f>IF($B260&lt;&gt;"",INDEX(DataOB[],FirstRow+ROW()-7,MATCH(Y$6,DataOB[#Headers],0)),"")</f>
        <v/>
      </c>
      <c r="Z260" s="67" t="str">
        <f>IF($B260&lt;&gt;"",INDEX(DataOB[],FirstRow+ROW()-7,MATCH(Z$6,DataOB[#Headers],0)),"")</f>
        <v/>
      </c>
      <c r="AA260" s="67" t="str">
        <f>IF($B260&lt;&gt;"",INDEX(DataOB[],FirstRow+ROW()-7,MATCH(AA$6,DataOB[#Headers],0)),"")</f>
        <v/>
      </c>
      <c r="AB260" s="67" t="str">
        <f>IF($B260&lt;&gt;"",INDEX(DataOB[],FirstRow+ROW()-7,MATCH(AB$6,DataOB[#Headers],0)),"")</f>
        <v/>
      </c>
      <c r="AC260" s="67" t="str">
        <f>IF($B260&lt;&gt;"",INDEX(DataOB[],FirstRow+ROW()-7,MATCH(AC$6,DataOB[#Headers],0)),"")</f>
        <v/>
      </c>
      <c r="AD260" s="67" t="str">
        <f>IF($B260&lt;&gt;"",INDEX(DataOB[],FirstRow+ROW()-7,MATCH(AD$6,DataOB[#Headers],0)),"")</f>
        <v/>
      </c>
      <c r="AE260" s="67" t="str">
        <f>IF($B260&lt;&gt;"",INDEX(DataOB[],FirstRow+ROW()-7,MATCH(AE$6,DataOB[#Headers],0)),"")</f>
        <v/>
      </c>
      <c r="AF260" s="26">
        <f t="shared" si="41"/>
        <v>0</v>
      </c>
      <c r="AG260" s="31">
        <f>SUM($T260:T260)</f>
        <v>0</v>
      </c>
      <c r="AH260" s="31">
        <f>SUM($T260:U260)</f>
        <v>0</v>
      </c>
      <c r="AI260" s="31">
        <f>SUM($T260:V260)</f>
        <v>0</v>
      </c>
      <c r="AJ260" s="31">
        <f>SUM($T260:W260)</f>
        <v>0</v>
      </c>
      <c r="AK260" s="31">
        <f>SUM($T260:X260)</f>
        <v>0</v>
      </c>
      <c r="AL260" s="31">
        <f>SUM($T260:Y260)</f>
        <v>0</v>
      </c>
      <c r="AM260" s="31">
        <f>SUM($T260:Z260)</f>
        <v>0</v>
      </c>
      <c r="AN260" s="31">
        <f>SUM($T260:AA260)</f>
        <v>0</v>
      </c>
      <c r="AO260" s="31">
        <f>SUM($T260:AB260)</f>
        <v>0</v>
      </c>
      <c r="AP260" s="31">
        <f>SUM($T260:AC260)</f>
        <v>0</v>
      </c>
      <c r="AQ260" s="31">
        <f>SUM($T260:AD260)</f>
        <v>0</v>
      </c>
      <c r="AR260" s="31">
        <f>SUM($T260:AE260)</f>
        <v>0</v>
      </c>
      <c r="AS260" s="27">
        <f t="shared" si="42"/>
        <v>0</v>
      </c>
    </row>
    <row r="261" spans="2:45">
      <c r="B261" s="102" t="str">
        <f>IF(ROW()-6&gt;NumCostCenter,"",IF(CostCenter&lt;&gt;"ALL",CostCenter,DATA_LF2!B259))</f>
        <v/>
      </c>
      <c r="C261" s="153" t="str">
        <f>IF($B261&lt;&gt;"",INDEX(DataOB[],FirstRow+ROW()-7,2),"")</f>
        <v/>
      </c>
      <c r="D261" s="66" t="str">
        <f>IF($B261&lt;&gt;"",INDEX(DataOB[],FirstRow+ROW()-7,3),"")</f>
        <v/>
      </c>
      <c r="E261" s="103" t="str">
        <f>IF($B261&lt;&gt;"",INDEX(DataOB[],FirstRow+ROW()-7,6),"")</f>
        <v/>
      </c>
      <c r="F261" s="103" t="str">
        <f>IF($B261&lt;&gt;"",INDEX(DataOB[],FirstRow+ROW()-7,5),"")</f>
        <v/>
      </c>
      <c r="G261" s="58">
        <f>IF($B261&lt;&gt;"",SUMIFS(DataAct_tbl[AMOUNT],DataAct_tbl[BG CODE],Detail!$D261,DataAct_tbl[MONTH],LEFT(MonthName,3),DataAct_tbl[Dept code],$B261),0)</f>
        <v>0</v>
      </c>
      <c r="H261" s="31" t="str">
        <f t="shared" si="34"/>
        <v/>
      </c>
      <c r="I261" s="28" t="str">
        <f t="shared" si="35"/>
        <v/>
      </c>
      <c r="J261" s="32" t="str">
        <f t="shared" si="36"/>
        <v/>
      </c>
      <c r="K261" s="86"/>
      <c r="L261" s="62">
        <f>IF($B261&lt;&gt;"",SUMIFS(DataAct_tbl[AMOUNT],DataAct_tbl[BG CODE],Detail!$D261,DataAct_tbl[Check Range],"=true",DataAct_tbl[Dept code],$B261),0)</f>
        <v>0</v>
      </c>
      <c r="M261" s="63">
        <f>INDEX($AG$7:$AR$1005,ROW()-6,MATCH(MTD,$AG$6:$AR$6,0))</f>
        <v>0</v>
      </c>
      <c r="N261" s="34">
        <f t="shared" si="37"/>
        <v>0</v>
      </c>
      <c r="O261" s="64" t="str">
        <f t="shared" si="38"/>
        <v xml:space="preserve"> </v>
      </c>
      <c r="Q261" s="97">
        <f t="shared" si="39"/>
        <v>0</v>
      </c>
      <c r="R261" s="96">
        <f t="shared" si="40"/>
        <v>0</v>
      </c>
      <c r="T261" s="67" t="str">
        <f>IF($B261&lt;&gt;"",INDEX(DataOB[],FirstRow+ROW()-7,MATCH(T$6,DataOB[#Headers],0)),"")</f>
        <v/>
      </c>
      <c r="U261" s="67" t="str">
        <f>IF($B261&lt;&gt;"",INDEX(DataOB[],FirstRow+ROW()-7,MATCH(U$6,DataOB[#Headers],0)),"")</f>
        <v/>
      </c>
      <c r="V261" s="67" t="str">
        <f>IF($B261&lt;&gt;"",INDEX(DataOB[],FirstRow+ROW()-7,MATCH(V$6,DataOB[#Headers],0)),"")</f>
        <v/>
      </c>
      <c r="W261" s="67" t="str">
        <f>IF($B261&lt;&gt;"",INDEX(DataOB[],FirstRow+ROW()-7,MATCH(W$6,DataOB[#Headers],0)),"")</f>
        <v/>
      </c>
      <c r="X261" s="67" t="str">
        <f>IF($B261&lt;&gt;"",INDEX(DataOB[],FirstRow+ROW()-7,MATCH(X$6,DataOB[#Headers],0)),"")</f>
        <v/>
      </c>
      <c r="Y261" s="67" t="str">
        <f>IF($B261&lt;&gt;"",INDEX(DataOB[],FirstRow+ROW()-7,MATCH(Y$6,DataOB[#Headers],0)),"")</f>
        <v/>
      </c>
      <c r="Z261" s="67" t="str">
        <f>IF($B261&lt;&gt;"",INDEX(DataOB[],FirstRow+ROW()-7,MATCH(Z$6,DataOB[#Headers],0)),"")</f>
        <v/>
      </c>
      <c r="AA261" s="67" t="str">
        <f>IF($B261&lt;&gt;"",INDEX(DataOB[],FirstRow+ROW()-7,MATCH(AA$6,DataOB[#Headers],0)),"")</f>
        <v/>
      </c>
      <c r="AB261" s="67" t="str">
        <f>IF($B261&lt;&gt;"",INDEX(DataOB[],FirstRow+ROW()-7,MATCH(AB$6,DataOB[#Headers],0)),"")</f>
        <v/>
      </c>
      <c r="AC261" s="67" t="str">
        <f>IF($B261&lt;&gt;"",INDEX(DataOB[],FirstRow+ROW()-7,MATCH(AC$6,DataOB[#Headers],0)),"")</f>
        <v/>
      </c>
      <c r="AD261" s="67" t="str">
        <f>IF($B261&lt;&gt;"",INDEX(DataOB[],FirstRow+ROW()-7,MATCH(AD$6,DataOB[#Headers],0)),"")</f>
        <v/>
      </c>
      <c r="AE261" s="67" t="str">
        <f>IF($B261&lt;&gt;"",INDEX(DataOB[],FirstRow+ROW()-7,MATCH(AE$6,DataOB[#Headers],0)),"")</f>
        <v/>
      </c>
      <c r="AF261" s="26">
        <f t="shared" si="41"/>
        <v>0</v>
      </c>
      <c r="AG261" s="31">
        <f>SUM($T261:T261)</f>
        <v>0</v>
      </c>
      <c r="AH261" s="31">
        <f>SUM($T261:U261)</f>
        <v>0</v>
      </c>
      <c r="AI261" s="31">
        <f>SUM($T261:V261)</f>
        <v>0</v>
      </c>
      <c r="AJ261" s="31">
        <f>SUM($T261:W261)</f>
        <v>0</v>
      </c>
      <c r="AK261" s="31">
        <f>SUM($T261:X261)</f>
        <v>0</v>
      </c>
      <c r="AL261" s="31">
        <f>SUM($T261:Y261)</f>
        <v>0</v>
      </c>
      <c r="AM261" s="31">
        <f>SUM($T261:Z261)</f>
        <v>0</v>
      </c>
      <c r="AN261" s="31">
        <f>SUM($T261:AA261)</f>
        <v>0</v>
      </c>
      <c r="AO261" s="31">
        <f>SUM($T261:AB261)</f>
        <v>0</v>
      </c>
      <c r="AP261" s="31">
        <f>SUM($T261:AC261)</f>
        <v>0</v>
      </c>
      <c r="AQ261" s="31">
        <f>SUM($T261:AD261)</f>
        <v>0</v>
      </c>
      <c r="AR261" s="31">
        <f>SUM($T261:AE261)</f>
        <v>0</v>
      </c>
      <c r="AS261" s="27">
        <f t="shared" si="42"/>
        <v>0</v>
      </c>
    </row>
    <row r="262" spans="2:45">
      <c r="B262" s="102" t="str">
        <f>IF(ROW()-6&gt;NumCostCenter,"",IF(CostCenter&lt;&gt;"ALL",CostCenter,DATA_LF2!B260))</f>
        <v/>
      </c>
      <c r="C262" s="153" t="str">
        <f>IF($B262&lt;&gt;"",INDEX(DataOB[],FirstRow+ROW()-7,2),"")</f>
        <v/>
      </c>
      <c r="D262" s="66" t="str">
        <f>IF($B262&lt;&gt;"",INDEX(DataOB[],FirstRow+ROW()-7,3),"")</f>
        <v/>
      </c>
      <c r="E262" s="103" t="str">
        <f>IF($B262&lt;&gt;"",INDEX(DataOB[],FirstRow+ROW()-7,6),"")</f>
        <v/>
      </c>
      <c r="F262" s="103" t="str">
        <f>IF($B262&lt;&gt;"",INDEX(DataOB[],FirstRow+ROW()-7,5),"")</f>
        <v/>
      </c>
      <c r="G262" s="58">
        <f>IF($B262&lt;&gt;"",SUMIFS(DataAct_tbl[AMOUNT],DataAct_tbl[BG CODE],Detail!$D262,DataAct_tbl[MONTH],LEFT(MonthName,3),DataAct_tbl[Dept code],$B262),0)</f>
        <v>0</v>
      </c>
      <c r="H262" s="31" t="str">
        <f t="shared" si="34"/>
        <v/>
      </c>
      <c r="I262" s="28" t="str">
        <f t="shared" si="35"/>
        <v/>
      </c>
      <c r="J262" s="32" t="str">
        <f t="shared" si="36"/>
        <v/>
      </c>
      <c r="K262" s="86"/>
      <c r="L262" s="62">
        <f>IF($B262&lt;&gt;"",SUMIFS(DataAct_tbl[AMOUNT],DataAct_tbl[BG CODE],Detail!$D262,DataAct_tbl[Check Range],"=true",DataAct_tbl[Dept code],$B262),0)</f>
        <v>0</v>
      </c>
      <c r="M262" s="63">
        <f>INDEX($AG$7:$AR$1005,ROW()-6,MATCH(MTD,$AG$6:$AR$6,0))</f>
        <v>0</v>
      </c>
      <c r="N262" s="34">
        <f t="shared" si="37"/>
        <v>0</v>
      </c>
      <c r="O262" s="64" t="str">
        <f t="shared" si="38"/>
        <v xml:space="preserve"> </v>
      </c>
      <c r="Q262" s="97">
        <f t="shared" si="39"/>
        <v>0</v>
      </c>
      <c r="R262" s="96">
        <f t="shared" si="40"/>
        <v>0</v>
      </c>
      <c r="T262" s="67" t="str">
        <f>IF($B262&lt;&gt;"",INDEX(DataOB[],FirstRow+ROW()-7,MATCH(T$6,DataOB[#Headers],0)),"")</f>
        <v/>
      </c>
      <c r="U262" s="67" t="str">
        <f>IF($B262&lt;&gt;"",INDEX(DataOB[],FirstRow+ROW()-7,MATCH(U$6,DataOB[#Headers],0)),"")</f>
        <v/>
      </c>
      <c r="V262" s="67" t="str">
        <f>IF($B262&lt;&gt;"",INDEX(DataOB[],FirstRow+ROW()-7,MATCH(V$6,DataOB[#Headers],0)),"")</f>
        <v/>
      </c>
      <c r="W262" s="67" t="str">
        <f>IF($B262&lt;&gt;"",INDEX(DataOB[],FirstRow+ROW()-7,MATCH(W$6,DataOB[#Headers],0)),"")</f>
        <v/>
      </c>
      <c r="X262" s="67" t="str">
        <f>IF($B262&lt;&gt;"",INDEX(DataOB[],FirstRow+ROW()-7,MATCH(X$6,DataOB[#Headers],0)),"")</f>
        <v/>
      </c>
      <c r="Y262" s="67" t="str">
        <f>IF($B262&lt;&gt;"",INDEX(DataOB[],FirstRow+ROW()-7,MATCH(Y$6,DataOB[#Headers],0)),"")</f>
        <v/>
      </c>
      <c r="Z262" s="67" t="str">
        <f>IF($B262&lt;&gt;"",INDEX(DataOB[],FirstRow+ROW()-7,MATCH(Z$6,DataOB[#Headers],0)),"")</f>
        <v/>
      </c>
      <c r="AA262" s="67" t="str">
        <f>IF($B262&lt;&gt;"",INDEX(DataOB[],FirstRow+ROW()-7,MATCH(AA$6,DataOB[#Headers],0)),"")</f>
        <v/>
      </c>
      <c r="AB262" s="67" t="str">
        <f>IF($B262&lt;&gt;"",INDEX(DataOB[],FirstRow+ROW()-7,MATCH(AB$6,DataOB[#Headers],0)),"")</f>
        <v/>
      </c>
      <c r="AC262" s="67" t="str">
        <f>IF($B262&lt;&gt;"",INDEX(DataOB[],FirstRow+ROW()-7,MATCH(AC$6,DataOB[#Headers],0)),"")</f>
        <v/>
      </c>
      <c r="AD262" s="67" t="str">
        <f>IF($B262&lt;&gt;"",INDEX(DataOB[],FirstRow+ROW()-7,MATCH(AD$6,DataOB[#Headers],0)),"")</f>
        <v/>
      </c>
      <c r="AE262" s="67" t="str">
        <f>IF($B262&lt;&gt;"",INDEX(DataOB[],FirstRow+ROW()-7,MATCH(AE$6,DataOB[#Headers],0)),"")</f>
        <v/>
      </c>
      <c r="AF262" s="26">
        <f t="shared" si="41"/>
        <v>0</v>
      </c>
      <c r="AG262" s="31">
        <f>SUM($T262:T262)</f>
        <v>0</v>
      </c>
      <c r="AH262" s="31">
        <f>SUM($T262:U262)</f>
        <v>0</v>
      </c>
      <c r="AI262" s="31">
        <f>SUM($T262:V262)</f>
        <v>0</v>
      </c>
      <c r="AJ262" s="31">
        <f>SUM($T262:W262)</f>
        <v>0</v>
      </c>
      <c r="AK262" s="31">
        <f>SUM($T262:X262)</f>
        <v>0</v>
      </c>
      <c r="AL262" s="31">
        <f>SUM($T262:Y262)</f>
        <v>0</v>
      </c>
      <c r="AM262" s="31">
        <f>SUM($T262:Z262)</f>
        <v>0</v>
      </c>
      <c r="AN262" s="31">
        <f>SUM($T262:AA262)</f>
        <v>0</v>
      </c>
      <c r="AO262" s="31">
        <f>SUM($T262:AB262)</f>
        <v>0</v>
      </c>
      <c r="AP262" s="31">
        <f>SUM($T262:AC262)</f>
        <v>0</v>
      </c>
      <c r="AQ262" s="31">
        <f>SUM($T262:AD262)</f>
        <v>0</v>
      </c>
      <c r="AR262" s="31">
        <f>SUM($T262:AE262)</f>
        <v>0</v>
      </c>
      <c r="AS262" s="27">
        <f t="shared" si="42"/>
        <v>0</v>
      </c>
    </row>
    <row r="263" spans="2:45">
      <c r="B263" s="102" t="str">
        <f>IF(ROW()-6&gt;NumCostCenter,"",IF(CostCenter&lt;&gt;"ALL",CostCenter,DATA_LF2!B261))</f>
        <v/>
      </c>
      <c r="C263" s="153" t="str">
        <f>IF($B263&lt;&gt;"",INDEX(DataOB[],FirstRow+ROW()-7,2),"")</f>
        <v/>
      </c>
      <c r="D263" s="66" t="str">
        <f>IF($B263&lt;&gt;"",INDEX(DataOB[],FirstRow+ROW()-7,3),"")</f>
        <v/>
      </c>
      <c r="E263" s="103" t="str">
        <f>IF($B263&lt;&gt;"",INDEX(DataOB[],FirstRow+ROW()-7,6),"")</f>
        <v/>
      </c>
      <c r="F263" s="103" t="str">
        <f>IF($B263&lt;&gt;"",INDEX(DataOB[],FirstRow+ROW()-7,5),"")</f>
        <v/>
      </c>
      <c r="G263" s="58">
        <f>IF($B263&lt;&gt;"",SUMIFS(DataAct_tbl[AMOUNT],DataAct_tbl[BG CODE],Detail!$D263,DataAct_tbl[MONTH],LEFT(MonthName,3),DataAct_tbl[Dept code],$B263),0)</f>
        <v>0</v>
      </c>
      <c r="H263" s="31" t="str">
        <f t="shared" ref="H263:H326" si="43">INDEX($T$7:$AE$1005,ROW()-6,MATCH(MonthName,$T$6:$AE$6,0))</f>
        <v/>
      </c>
      <c r="I263" s="28" t="str">
        <f t="shared" si="35"/>
        <v/>
      </c>
      <c r="J263" s="32" t="str">
        <f t="shared" si="36"/>
        <v/>
      </c>
      <c r="K263" s="86"/>
      <c r="L263" s="62">
        <f>IF($B263&lt;&gt;"",SUMIFS(DataAct_tbl[AMOUNT],DataAct_tbl[BG CODE],Detail!$D263,DataAct_tbl[Check Range],"=true",DataAct_tbl[Dept code],$B263),0)</f>
        <v>0</v>
      </c>
      <c r="M263" s="63">
        <f>INDEX($AG$7:$AR$1005,ROW()-6,MATCH(MTD,$AG$6:$AR$6,0))</f>
        <v>0</v>
      </c>
      <c r="N263" s="34">
        <f t="shared" si="37"/>
        <v>0</v>
      </c>
      <c r="O263" s="64" t="str">
        <f t="shared" si="38"/>
        <v xml:space="preserve"> </v>
      </c>
      <c r="Q263" s="97">
        <f t="shared" si="39"/>
        <v>0</v>
      </c>
      <c r="R263" s="96">
        <f t="shared" si="40"/>
        <v>0</v>
      </c>
      <c r="T263" s="67" t="str">
        <f>IF($B263&lt;&gt;"",INDEX(DataOB[],FirstRow+ROW()-7,MATCH(T$6,DataOB[#Headers],0)),"")</f>
        <v/>
      </c>
      <c r="U263" s="67" t="str">
        <f>IF($B263&lt;&gt;"",INDEX(DataOB[],FirstRow+ROW()-7,MATCH(U$6,DataOB[#Headers],0)),"")</f>
        <v/>
      </c>
      <c r="V263" s="67" t="str">
        <f>IF($B263&lt;&gt;"",INDEX(DataOB[],FirstRow+ROW()-7,MATCH(V$6,DataOB[#Headers],0)),"")</f>
        <v/>
      </c>
      <c r="W263" s="67" t="str">
        <f>IF($B263&lt;&gt;"",INDEX(DataOB[],FirstRow+ROW()-7,MATCH(W$6,DataOB[#Headers],0)),"")</f>
        <v/>
      </c>
      <c r="X263" s="67" t="str">
        <f>IF($B263&lt;&gt;"",INDEX(DataOB[],FirstRow+ROW()-7,MATCH(X$6,DataOB[#Headers],0)),"")</f>
        <v/>
      </c>
      <c r="Y263" s="67" t="str">
        <f>IF($B263&lt;&gt;"",INDEX(DataOB[],FirstRow+ROW()-7,MATCH(Y$6,DataOB[#Headers],0)),"")</f>
        <v/>
      </c>
      <c r="Z263" s="67" t="str">
        <f>IF($B263&lt;&gt;"",INDEX(DataOB[],FirstRow+ROW()-7,MATCH(Z$6,DataOB[#Headers],0)),"")</f>
        <v/>
      </c>
      <c r="AA263" s="67" t="str">
        <f>IF($B263&lt;&gt;"",INDEX(DataOB[],FirstRow+ROW()-7,MATCH(AA$6,DataOB[#Headers],0)),"")</f>
        <v/>
      </c>
      <c r="AB263" s="67" t="str">
        <f>IF($B263&lt;&gt;"",INDEX(DataOB[],FirstRow+ROW()-7,MATCH(AB$6,DataOB[#Headers],0)),"")</f>
        <v/>
      </c>
      <c r="AC263" s="67" t="str">
        <f>IF($B263&lt;&gt;"",INDEX(DataOB[],FirstRow+ROW()-7,MATCH(AC$6,DataOB[#Headers],0)),"")</f>
        <v/>
      </c>
      <c r="AD263" s="67" t="str">
        <f>IF($B263&lt;&gt;"",INDEX(DataOB[],FirstRow+ROW()-7,MATCH(AD$6,DataOB[#Headers],0)),"")</f>
        <v/>
      </c>
      <c r="AE263" s="67" t="str">
        <f>IF($B263&lt;&gt;"",INDEX(DataOB[],FirstRow+ROW()-7,MATCH(AE$6,DataOB[#Headers],0)),"")</f>
        <v/>
      </c>
      <c r="AF263" s="26">
        <f t="shared" si="41"/>
        <v>0</v>
      </c>
      <c r="AG263" s="31">
        <f>SUM($T263:T263)</f>
        <v>0</v>
      </c>
      <c r="AH263" s="31">
        <f>SUM($T263:U263)</f>
        <v>0</v>
      </c>
      <c r="AI263" s="31">
        <f>SUM($T263:V263)</f>
        <v>0</v>
      </c>
      <c r="AJ263" s="31">
        <f>SUM($T263:W263)</f>
        <v>0</v>
      </c>
      <c r="AK263" s="31">
        <f>SUM($T263:X263)</f>
        <v>0</v>
      </c>
      <c r="AL263" s="31">
        <f>SUM($T263:Y263)</f>
        <v>0</v>
      </c>
      <c r="AM263" s="31">
        <f>SUM($T263:Z263)</f>
        <v>0</v>
      </c>
      <c r="AN263" s="31">
        <f>SUM($T263:AA263)</f>
        <v>0</v>
      </c>
      <c r="AO263" s="31">
        <f>SUM($T263:AB263)</f>
        <v>0</v>
      </c>
      <c r="AP263" s="31">
        <f>SUM($T263:AC263)</f>
        <v>0</v>
      </c>
      <c r="AQ263" s="31">
        <f>SUM($T263:AD263)</f>
        <v>0</v>
      </c>
      <c r="AR263" s="31">
        <f>SUM($T263:AE263)</f>
        <v>0</v>
      </c>
      <c r="AS263" s="27">
        <f t="shared" si="42"/>
        <v>0</v>
      </c>
    </row>
    <row r="264" spans="2:45">
      <c r="B264" s="102" t="str">
        <f>IF(ROW()-6&gt;NumCostCenter,"",IF(CostCenter&lt;&gt;"ALL",CostCenter,DATA_LF2!B262))</f>
        <v/>
      </c>
      <c r="C264" s="153" t="str">
        <f>IF($B264&lt;&gt;"",INDEX(DataOB[],FirstRow+ROW()-7,2),"")</f>
        <v/>
      </c>
      <c r="D264" s="66" t="str">
        <f>IF($B264&lt;&gt;"",INDEX(DataOB[],FirstRow+ROW()-7,3),"")</f>
        <v/>
      </c>
      <c r="E264" s="103" t="str">
        <f>IF($B264&lt;&gt;"",INDEX(DataOB[],FirstRow+ROW()-7,6),"")</f>
        <v/>
      </c>
      <c r="F264" s="103" t="str">
        <f>IF($B264&lt;&gt;"",INDEX(DataOB[],FirstRow+ROW()-7,5),"")</f>
        <v/>
      </c>
      <c r="G264" s="58">
        <f>IF($B264&lt;&gt;"",SUMIFS(DataAct_tbl[AMOUNT],DataAct_tbl[BG CODE],Detail!$D264,DataAct_tbl[MONTH],LEFT(MonthName,3),DataAct_tbl[Dept code],$B264),0)</f>
        <v>0</v>
      </c>
      <c r="H264" s="31" t="str">
        <f t="shared" si="43"/>
        <v/>
      </c>
      <c r="I264" s="28" t="str">
        <f t="shared" ref="I264:I327" si="44">IFERROR(+G264-H264,"")</f>
        <v/>
      </c>
      <c r="J264" s="32" t="str">
        <f t="shared" ref="J264:J327" si="45">IFERROR(+IF(H264&gt;0,G264/H264," "),"")</f>
        <v/>
      </c>
      <c r="K264" s="86"/>
      <c r="L264" s="62">
        <f>IF($B264&lt;&gt;"",SUMIFS(DataAct_tbl[AMOUNT],DataAct_tbl[BG CODE],Detail!$D264,DataAct_tbl[Check Range],"=true",DataAct_tbl[Dept code],$B264),0)</f>
        <v>0</v>
      </c>
      <c r="M264" s="63">
        <f>INDEX($AG$7:$AR$1005,ROW()-6,MATCH(MTD,$AG$6:$AR$6,0))</f>
        <v>0</v>
      </c>
      <c r="N264" s="34">
        <f t="shared" ref="N264:N327" si="46">IFERROR(+L264-M264,"")</f>
        <v>0</v>
      </c>
      <c r="O264" s="64" t="str">
        <f t="shared" ref="O264:O327" si="47">IFERROR(+IF(M264&gt;0,L264/M264," "),"")</f>
        <v xml:space="preserve"> </v>
      </c>
      <c r="Q264" s="97">
        <f t="shared" ref="Q264:Q327" si="48">AF264</f>
        <v>0</v>
      </c>
      <c r="R264" s="96">
        <f t="shared" ref="R264:R327" si="49">Q264-L264</f>
        <v>0</v>
      </c>
      <c r="T264" s="67" t="str">
        <f>IF($B264&lt;&gt;"",INDEX(DataOB[],FirstRow+ROW()-7,MATCH(T$6,DataOB[#Headers],0)),"")</f>
        <v/>
      </c>
      <c r="U264" s="67" t="str">
        <f>IF($B264&lt;&gt;"",INDEX(DataOB[],FirstRow+ROW()-7,MATCH(U$6,DataOB[#Headers],0)),"")</f>
        <v/>
      </c>
      <c r="V264" s="67" t="str">
        <f>IF($B264&lt;&gt;"",INDEX(DataOB[],FirstRow+ROW()-7,MATCH(V$6,DataOB[#Headers],0)),"")</f>
        <v/>
      </c>
      <c r="W264" s="67" t="str">
        <f>IF($B264&lt;&gt;"",INDEX(DataOB[],FirstRow+ROW()-7,MATCH(W$6,DataOB[#Headers],0)),"")</f>
        <v/>
      </c>
      <c r="X264" s="67" t="str">
        <f>IF($B264&lt;&gt;"",INDEX(DataOB[],FirstRow+ROW()-7,MATCH(X$6,DataOB[#Headers],0)),"")</f>
        <v/>
      </c>
      <c r="Y264" s="67" t="str">
        <f>IF($B264&lt;&gt;"",INDEX(DataOB[],FirstRow+ROW()-7,MATCH(Y$6,DataOB[#Headers],0)),"")</f>
        <v/>
      </c>
      <c r="Z264" s="67" t="str">
        <f>IF($B264&lt;&gt;"",INDEX(DataOB[],FirstRow+ROW()-7,MATCH(Z$6,DataOB[#Headers],0)),"")</f>
        <v/>
      </c>
      <c r="AA264" s="67" t="str">
        <f>IF($B264&lt;&gt;"",INDEX(DataOB[],FirstRow+ROW()-7,MATCH(AA$6,DataOB[#Headers],0)),"")</f>
        <v/>
      </c>
      <c r="AB264" s="67" t="str">
        <f>IF($B264&lt;&gt;"",INDEX(DataOB[],FirstRow+ROW()-7,MATCH(AB$6,DataOB[#Headers],0)),"")</f>
        <v/>
      </c>
      <c r="AC264" s="67" t="str">
        <f>IF($B264&lt;&gt;"",INDEX(DataOB[],FirstRow+ROW()-7,MATCH(AC$6,DataOB[#Headers],0)),"")</f>
        <v/>
      </c>
      <c r="AD264" s="67" t="str">
        <f>IF($B264&lt;&gt;"",INDEX(DataOB[],FirstRow+ROW()-7,MATCH(AD$6,DataOB[#Headers],0)),"")</f>
        <v/>
      </c>
      <c r="AE264" s="67" t="str">
        <f>IF($B264&lt;&gt;"",INDEX(DataOB[],FirstRow+ROW()-7,MATCH(AE$6,DataOB[#Headers],0)),"")</f>
        <v/>
      </c>
      <c r="AF264" s="26">
        <f t="shared" ref="AF264:AF327" si="50">+SUM(T264:AE264)</f>
        <v>0</v>
      </c>
      <c r="AG264" s="31">
        <f>SUM($T264:T264)</f>
        <v>0</v>
      </c>
      <c r="AH264" s="31">
        <f>SUM($T264:U264)</f>
        <v>0</v>
      </c>
      <c r="AI264" s="31">
        <f>SUM($T264:V264)</f>
        <v>0</v>
      </c>
      <c r="AJ264" s="31">
        <f>SUM($T264:W264)</f>
        <v>0</v>
      </c>
      <c r="AK264" s="31">
        <f>SUM($T264:X264)</f>
        <v>0</v>
      </c>
      <c r="AL264" s="31">
        <f>SUM($T264:Y264)</f>
        <v>0</v>
      </c>
      <c r="AM264" s="31">
        <f>SUM($T264:Z264)</f>
        <v>0</v>
      </c>
      <c r="AN264" s="31">
        <f>SUM($T264:AA264)</f>
        <v>0</v>
      </c>
      <c r="AO264" s="31">
        <f>SUM($T264:AB264)</f>
        <v>0</v>
      </c>
      <c r="AP264" s="31">
        <f>SUM($T264:AC264)</f>
        <v>0</v>
      </c>
      <c r="AQ264" s="31">
        <f>SUM($T264:AD264)</f>
        <v>0</v>
      </c>
      <c r="AR264" s="31">
        <f>SUM($T264:AE264)</f>
        <v>0</v>
      </c>
      <c r="AS264" s="27">
        <f t="shared" ref="AS264:AS327" si="51">AF264-AR264</f>
        <v>0</v>
      </c>
    </row>
    <row r="265" spans="2:45">
      <c r="B265" s="102" t="str">
        <f>IF(ROW()-6&gt;NumCostCenter,"",IF(CostCenter&lt;&gt;"ALL",CostCenter,DATA_LF2!B263))</f>
        <v/>
      </c>
      <c r="C265" s="153" t="str">
        <f>IF($B265&lt;&gt;"",INDEX(DataOB[],FirstRow+ROW()-7,2),"")</f>
        <v/>
      </c>
      <c r="D265" s="66" t="str">
        <f>IF($B265&lt;&gt;"",INDEX(DataOB[],FirstRow+ROW()-7,3),"")</f>
        <v/>
      </c>
      <c r="E265" s="103" t="str">
        <f>IF($B265&lt;&gt;"",INDEX(DataOB[],FirstRow+ROW()-7,6),"")</f>
        <v/>
      </c>
      <c r="F265" s="103" t="str">
        <f>IF($B265&lt;&gt;"",INDEX(DataOB[],FirstRow+ROW()-7,5),"")</f>
        <v/>
      </c>
      <c r="G265" s="58">
        <f>IF($B265&lt;&gt;"",SUMIFS(DataAct_tbl[AMOUNT],DataAct_tbl[BG CODE],Detail!$D265,DataAct_tbl[MONTH],LEFT(MonthName,3),DataAct_tbl[Dept code],$B265),0)</f>
        <v>0</v>
      </c>
      <c r="H265" s="31" t="str">
        <f t="shared" si="43"/>
        <v/>
      </c>
      <c r="I265" s="28" t="str">
        <f t="shared" si="44"/>
        <v/>
      </c>
      <c r="J265" s="32" t="str">
        <f t="shared" si="45"/>
        <v/>
      </c>
      <c r="K265" s="86"/>
      <c r="L265" s="62">
        <f>IF($B265&lt;&gt;"",SUMIFS(DataAct_tbl[AMOUNT],DataAct_tbl[BG CODE],Detail!$D265,DataAct_tbl[Check Range],"=true",DataAct_tbl[Dept code],$B265),0)</f>
        <v>0</v>
      </c>
      <c r="M265" s="63">
        <f>INDEX($AG$7:$AR$1005,ROW()-6,MATCH(MTD,$AG$6:$AR$6,0))</f>
        <v>0</v>
      </c>
      <c r="N265" s="34">
        <f t="shared" si="46"/>
        <v>0</v>
      </c>
      <c r="O265" s="64" t="str">
        <f t="shared" si="47"/>
        <v xml:space="preserve"> </v>
      </c>
      <c r="Q265" s="97">
        <f t="shared" si="48"/>
        <v>0</v>
      </c>
      <c r="R265" s="96">
        <f t="shared" si="49"/>
        <v>0</v>
      </c>
      <c r="T265" s="67" t="str">
        <f>IF($B265&lt;&gt;"",INDEX(DataOB[],FirstRow+ROW()-7,MATCH(T$6,DataOB[#Headers],0)),"")</f>
        <v/>
      </c>
      <c r="U265" s="67" t="str">
        <f>IF($B265&lt;&gt;"",INDEX(DataOB[],FirstRow+ROW()-7,MATCH(U$6,DataOB[#Headers],0)),"")</f>
        <v/>
      </c>
      <c r="V265" s="67" t="str">
        <f>IF($B265&lt;&gt;"",INDEX(DataOB[],FirstRow+ROW()-7,MATCH(V$6,DataOB[#Headers],0)),"")</f>
        <v/>
      </c>
      <c r="W265" s="67" t="str">
        <f>IF($B265&lt;&gt;"",INDEX(DataOB[],FirstRow+ROW()-7,MATCH(W$6,DataOB[#Headers],0)),"")</f>
        <v/>
      </c>
      <c r="X265" s="67" t="str">
        <f>IF($B265&lt;&gt;"",INDEX(DataOB[],FirstRow+ROW()-7,MATCH(X$6,DataOB[#Headers],0)),"")</f>
        <v/>
      </c>
      <c r="Y265" s="67" t="str">
        <f>IF($B265&lt;&gt;"",INDEX(DataOB[],FirstRow+ROW()-7,MATCH(Y$6,DataOB[#Headers],0)),"")</f>
        <v/>
      </c>
      <c r="Z265" s="67" t="str">
        <f>IF($B265&lt;&gt;"",INDEX(DataOB[],FirstRow+ROW()-7,MATCH(Z$6,DataOB[#Headers],0)),"")</f>
        <v/>
      </c>
      <c r="AA265" s="67" t="str">
        <f>IF($B265&lt;&gt;"",INDEX(DataOB[],FirstRow+ROW()-7,MATCH(AA$6,DataOB[#Headers],0)),"")</f>
        <v/>
      </c>
      <c r="AB265" s="67" t="str">
        <f>IF($B265&lt;&gt;"",INDEX(DataOB[],FirstRow+ROW()-7,MATCH(AB$6,DataOB[#Headers],0)),"")</f>
        <v/>
      </c>
      <c r="AC265" s="67" t="str">
        <f>IF($B265&lt;&gt;"",INDEX(DataOB[],FirstRow+ROW()-7,MATCH(AC$6,DataOB[#Headers],0)),"")</f>
        <v/>
      </c>
      <c r="AD265" s="67" t="str">
        <f>IF($B265&lt;&gt;"",INDEX(DataOB[],FirstRow+ROW()-7,MATCH(AD$6,DataOB[#Headers],0)),"")</f>
        <v/>
      </c>
      <c r="AE265" s="67" t="str">
        <f>IF($B265&lt;&gt;"",INDEX(DataOB[],FirstRow+ROW()-7,MATCH(AE$6,DataOB[#Headers],0)),"")</f>
        <v/>
      </c>
      <c r="AF265" s="26">
        <f t="shared" si="50"/>
        <v>0</v>
      </c>
      <c r="AG265" s="31">
        <f>SUM($T265:T265)</f>
        <v>0</v>
      </c>
      <c r="AH265" s="31">
        <f>SUM($T265:U265)</f>
        <v>0</v>
      </c>
      <c r="AI265" s="31">
        <f>SUM($T265:V265)</f>
        <v>0</v>
      </c>
      <c r="AJ265" s="31">
        <f>SUM($T265:W265)</f>
        <v>0</v>
      </c>
      <c r="AK265" s="31">
        <f>SUM($T265:X265)</f>
        <v>0</v>
      </c>
      <c r="AL265" s="31">
        <f>SUM($T265:Y265)</f>
        <v>0</v>
      </c>
      <c r="AM265" s="31">
        <f>SUM($T265:Z265)</f>
        <v>0</v>
      </c>
      <c r="AN265" s="31">
        <f>SUM($T265:AA265)</f>
        <v>0</v>
      </c>
      <c r="AO265" s="31">
        <f>SUM($T265:AB265)</f>
        <v>0</v>
      </c>
      <c r="AP265" s="31">
        <f>SUM($T265:AC265)</f>
        <v>0</v>
      </c>
      <c r="AQ265" s="31">
        <f>SUM($T265:AD265)</f>
        <v>0</v>
      </c>
      <c r="AR265" s="31">
        <f>SUM($T265:AE265)</f>
        <v>0</v>
      </c>
      <c r="AS265" s="27">
        <f t="shared" si="51"/>
        <v>0</v>
      </c>
    </row>
    <row r="266" spans="2:45">
      <c r="B266" s="102" t="str">
        <f>IF(ROW()-6&gt;NumCostCenter,"",IF(CostCenter&lt;&gt;"ALL",CostCenter,DATA_LF2!B264))</f>
        <v/>
      </c>
      <c r="C266" s="153" t="str">
        <f>IF($B266&lt;&gt;"",INDEX(DataOB[],FirstRow+ROW()-7,2),"")</f>
        <v/>
      </c>
      <c r="D266" s="66" t="str">
        <f>IF($B266&lt;&gt;"",INDEX(DataOB[],FirstRow+ROW()-7,3),"")</f>
        <v/>
      </c>
      <c r="E266" s="103" t="str">
        <f>IF($B266&lt;&gt;"",INDEX(DataOB[],FirstRow+ROW()-7,6),"")</f>
        <v/>
      </c>
      <c r="F266" s="103" t="str">
        <f>IF($B266&lt;&gt;"",INDEX(DataOB[],FirstRow+ROW()-7,5),"")</f>
        <v/>
      </c>
      <c r="G266" s="58">
        <f>IF($B266&lt;&gt;"",SUMIFS(DataAct_tbl[AMOUNT],DataAct_tbl[BG CODE],Detail!$D266,DataAct_tbl[MONTH],LEFT(MonthName,3),DataAct_tbl[Dept code],$B266),0)</f>
        <v>0</v>
      </c>
      <c r="H266" s="31" t="str">
        <f t="shared" si="43"/>
        <v/>
      </c>
      <c r="I266" s="28" t="str">
        <f t="shared" si="44"/>
        <v/>
      </c>
      <c r="J266" s="32" t="str">
        <f t="shared" si="45"/>
        <v/>
      </c>
      <c r="K266" s="86"/>
      <c r="L266" s="62">
        <f>IF($B266&lt;&gt;"",SUMIFS(DataAct_tbl[AMOUNT],DataAct_tbl[BG CODE],Detail!$D266,DataAct_tbl[Check Range],"=true",DataAct_tbl[Dept code],$B266),0)</f>
        <v>0</v>
      </c>
      <c r="M266" s="63">
        <f>INDEX($AG$7:$AR$1005,ROW()-6,MATCH(MTD,$AG$6:$AR$6,0))</f>
        <v>0</v>
      </c>
      <c r="N266" s="34">
        <f t="shared" si="46"/>
        <v>0</v>
      </c>
      <c r="O266" s="64" t="str">
        <f t="shared" si="47"/>
        <v xml:space="preserve"> </v>
      </c>
      <c r="Q266" s="97">
        <f t="shared" si="48"/>
        <v>0</v>
      </c>
      <c r="R266" s="96">
        <f t="shared" si="49"/>
        <v>0</v>
      </c>
      <c r="T266" s="67" t="str">
        <f>IF($B266&lt;&gt;"",INDEX(DataOB[],FirstRow+ROW()-7,MATCH(T$6,DataOB[#Headers],0)),"")</f>
        <v/>
      </c>
      <c r="U266" s="67" t="str">
        <f>IF($B266&lt;&gt;"",INDEX(DataOB[],FirstRow+ROW()-7,MATCH(U$6,DataOB[#Headers],0)),"")</f>
        <v/>
      </c>
      <c r="V266" s="67" t="str">
        <f>IF($B266&lt;&gt;"",INDEX(DataOB[],FirstRow+ROW()-7,MATCH(V$6,DataOB[#Headers],0)),"")</f>
        <v/>
      </c>
      <c r="W266" s="67" t="str">
        <f>IF($B266&lt;&gt;"",INDEX(DataOB[],FirstRow+ROW()-7,MATCH(W$6,DataOB[#Headers],0)),"")</f>
        <v/>
      </c>
      <c r="X266" s="67" t="str">
        <f>IF($B266&lt;&gt;"",INDEX(DataOB[],FirstRow+ROW()-7,MATCH(X$6,DataOB[#Headers],0)),"")</f>
        <v/>
      </c>
      <c r="Y266" s="67" t="str">
        <f>IF($B266&lt;&gt;"",INDEX(DataOB[],FirstRow+ROW()-7,MATCH(Y$6,DataOB[#Headers],0)),"")</f>
        <v/>
      </c>
      <c r="Z266" s="67" t="str">
        <f>IF($B266&lt;&gt;"",INDEX(DataOB[],FirstRow+ROW()-7,MATCH(Z$6,DataOB[#Headers],0)),"")</f>
        <v/>
      </c>
      <c r="AA266" s="67" t="str">
        <f>IF($B266&lt;&gt;"",INDEX(DataOB[],FirstRow+ROW()-7,MATCH(AA$6,DataOB[#Headers],0)),"")</f>
        <v/>
      </c>
      <c r="AB266" s="67" t="str">
        <f>IF($B266&lt;&gt;"",INDEX(DataOB[],FirstRow+ROW()-7,MATCH(AB$6,DataOB[#Headers],0)),"")</f>
        <v/>
      </c>
      <c r="AC266" s="67" t="str">
        <f>IF($B266&lt;&gt;"",INDEX(DataOB[],FirstRow+ROW()-7,MATCH(AC$6,DataOB[#Headers],0)),"")</f>
        <v/>
      </c>
      <c r="AD266" s="67" t="str">
        <f>IF($B266&lt;&gt;"",INDEX(DataOB[],FirstRow+ROW()-7,MATCH(AD$6,DataOB[#Headers],0)),"")</f>
        <v/>
      </c>
      <c r="AE266" s="67" t="str">
        <f>IF($B266&lt;&gt;"",INDEX(DataOB[],FirstRow+ROW()-7,MATCH(AE$6,DataOB[#Headers],0)),"")</f>
        <v/>
      </c>
      <c r="AF266" s="26">
        <f t="shared" si="50"/>
        <v>0</v>
      </c>
      <c r="AG266" s="31">
        <f>SUM($T266:T266)</f>
        <v>0</v>
      </c>
      <c r="AH266" s="31">
        <f>SUM($T266:U266)</f>
        <v>0</v>
      </c>
      <c r="AI266" s="31">
        <f>SUM($T266:V266)</f>
        <v>0</v>
      </c>
      <c r="AJ266" s="31">
        <f>SUM($T266:W266)</f>
        <v>0</v>
      </c>
      <c r="AK266" s="31">
        <f>SUM($T266:X266)</f>
        <v>0</v>
      </c>
      <c r="AL266" s="31">
        <f>SUM($T266:Y266)</f>
        <v>0</v>
      </c>
      <c r="AM266" s="31">
        <f>SUM($T266:Z266)</f>
        <v>0</v>
      </c>
      <c r="AN266" s="31">
        <f>SUM($T266:AA266)</f>
        <v>0</v>
      </c>
      <c r="AO266" s="31">
        <f>SUM($T266:AB266)</f>
        <v>0</v>
      </c>
      <c r="AP266" s="31">
        <f>SUM($T266:AC266)</f>
        <v>0</v>
      </c>
      <c r="AQ266" s="31">
        <f>SUM($T266:AD266)</f>
        <v>0</v>
      </c>
      <c r="AR266" s="31">
        <f>SUM($T266:AE266)</f>
        <v>0</v>
      </c>
      <c r="AS266" s="27">
        <f t="shared" si="51"/>
        <v>0</v>
      </c>
    </row>
    <row r="267" spans="2:45">
      <c r="B267" s="102" t="str">
        <f>IF(ROW()-6&gt;NumCostCenter,"",IF(CostCenter&lt;&gt;"ALL",CostCenter,DATA_LF2!B265))</f>
        <v/>
      </c>
      <c r="C267" s="153" t="str">
        <f>IF($B267&lt;&gt;"",INDEX(DataOB[],FirstRow+ROW()-7,2),"")</f>
        <v/>
      </c>
      <c r="D267" s="66" t="str">
        <f>IF($B267&lt;&gt;"",INDEX(DataOB[],FirstRow+ROW()-7,3),"")</f>
        <v/>
      </c>
      <c r="E267" s="103" t="str">
        <f>IF($B267&lt;&gt;"",INDEX(DataOB[],FirstRow+ROW()-7,6),"")</f>
        <v/>
      </c>
      <c r="F267" s="103" t="str">
        <f>IF($B267&lt;&gt;"",INDEX(DataOB[],FirstRow+ROW()-7,5),"")</f>
        <v/>
      </c>
      <c r="G267" s="58">
        <f>IF($B267&lt;&gt;"",SUMIFS(DataAct_tbl[AMOUNT],DataAct_tbl[BG CODE],Detail!$D267,DataAct_tbl[MONTH],LEFT(MonthName,3),DataAct_tbl[Dept code],$B267),0)</f>
        <v>0</v>
      </c>
      <c r="H267" s="31" t="str">
        <f t="shared" si="43"/>
        <v/>
      </c>
      <c r="I267" s="28" t="str">
        <f t="shared" si="44"/>
        <v/>
      </c>
      <c r="J267" s="32" t="str">
        <f t="shared" si="45"/>
        <v/>
      </c>
      <c r="K267" s="86"/>
      <c r="L267" s="62">
        <f>IF($B267&lt;&gt;"",SUMIFS(DataAct_tbl[AMOUNT],DataAct_tbl[BG CODE],Detail!$D267,DataAct_tbl[Check Range],"=true",DataAct_tbl[Dept code],$B267),0)</f>
        <v>0</v>
      </c>
      <c r="M267" s="63">
        <f>INDEX($AG$7:$AR$1005,ROW()-6,MATCH(MTD,$AG$6:$AR$6,0))</f>
        <v>0</v>
      </c>
      <c r="N267" s="34">
        <f t="shared" si="46"/>
        <v>0</v>
      </c>
      <c r="O267" s="64" t="str">
        <f t="shared" si="47"/>
        <v xml:space="preserve"> </v>
      </c>
      <c r="Q267" s="97">
        <f t="shared" si="48"/>
        <v>0</v>
      </c>
      <c r="R267" s="96">
        <f t="shared" si="49"/>
        <v>0</v>
      </c>
      <c r="T267" s="67" t="str">
        <f>IF($B267&lt;&gt;"",INDEX(DataOB[],FirstRow+ROW()-7,MATCH(T$6,DataOB[#Headers],0)),"")</f>
        <v/>
      </c>
      <c r="U267" s="67" t="str">
        <f>IF($B267&lt;&gt;"",INDEX(DataOB[],FirstRow+ROW()-7,MATCH(U$6,DataOB[#Headers],0)),"")</f>
        <v/>
      </c>
      <c r="V267" s="67" t="str">
        <f>IF($B267&lt;&gt;"",INDEX(DataOB[],FirstRow+ROW()-7,MATCH(V$6,DataOB[#Headers],0)),"")</f>
        <v/>
      </c>
      <c r="W267" s="67" t="str">
        <f>IF($B267&lt;&gt;"",INDEX(DataOB[],FirstRow+ROW()-7,MATCH(W$6,DataOB[#Headers],0)),"")</f>
        <v/>
      </c>
      <c r="X267" s="67" t="str">
        <f>IF($B267&lt;&gt;"",INDEX(DataOB[],FirstRow+ROW()-7,MATCH(X$6,DataOB[#Headers],0)),"")</f>
        <v/>
      </c>
      <c r="Y267" s="67" t="str">
        <f>IF($B267&lt;&gt;"",INDEX(DataOB[],FirstRow+ROW()-7,MATCH(Y$6,DataOB[#Headers],0)),"")</f>
        <v/>
      </c>
      <c r="Z267" s="67" t="str">
        <f>IF($B267&lt;&gt;"",INDEX(DataOB[],FirstRow+ROW()-7,MATCH(Z$6,DataOB[#Headers],0)),"")</f>
        <v/>
      </c>
      <c r="AA267" s="67" t="str">
        <f>IF($B267&lt;&gt;"",INDEX(DataOB[],FirstRow+ROW()-7,MATCH(AA$6,DataOB[#Headers],0)),"")</f>
        <v/>
      </c>
      <c r="AB267" s="67" t="str">
        <f>IF($B267&lt;&gt;"",INDEX(DataOB[],FirstRow+ROW()-7,MATCH(AB$6,DataOB[#Headers],0)),"")</f>
        <v/>
      </c>
      <c r="AC267" s="67" t="str">
        <f>IF($B267&lt;&gt;"",INDEX(DataOB[],FirstRow+ROW()-7,MATCH(AC$6,DataOB[#Headers],0)),"")</f>
        <v/>
      </c>
      <c r="AD267" s="67" t="str">
        <f>IF($B267&lt;&gt;"",INDEX(DataOB[],FirstRow+ROW()-7,MATCH(AD$6,DataOB[#Headers],0)),"")</f>
        <v/>
      </c>
      <c r="AE267" s="67" t="str">
        <f>IF($B267&lt;&gt;"",INDEX(DataOB[],FirstRow+ROW()-7,MATCH(AE$6,DataOB[#Headers],0)),"")</f>
        <v/>
      </c>
      <c r="AF267" s="26">
        <f t="shared" si="50"/>
        <v>0</v>
      </c>
      <c r="AG267" s="31">
        <f>SUM($T267:T267)</f>
        <v>0</v>
      </c>
      <c r="AH267" s="31">
        <f>SUM($T267:U267)</f>
        <v>0</v>
      </c>
      <c r="AI267" s="31">
        <f>SUM($T267:V267)</f>
        <v>0</v>
      </c>
      <c r="AJ267" s="31">
        <f>SUM($T267:W267)</f>
        <v>0</v>
      </c>
      <c r="AK267" s="31">
        <f>SUM($T267:X267)</f>
        <v>0</v>
      </c>
      <c r="AL267" s="31">
        <f>SUM($T267:Y267)</f>
        <v>0</v>
      </c>
      <c r="AM267" s="31">
        <f>SUM($T267:Z267)</f>
        <v>0</v>
      </c>
      <c r="AN267" s="31">
        <f>SUM($T267:AA267)</f>
        <v>0</v>
      </c>
      <c r="AO267" s="31">
        <f>SUM($T267:AB267)</f>
        <v>0</v>
      </c>
      <c r="AP267" s="31">
        <f>SUM($T267:AC267)</f>
        <v>0</v>
      </c>
      <c r="AQ267" s="31">
        <f>SUM($T267:AD267)</f>
        <v>0</v>
      </c>
      <c r="AR267" s="31">
        <f>SUM($T267:AE267)</f>
        <v>0</v>
      </c>
      <c r="AS267" s="27">
        <f t="shared" si="51"/>
        <v>0</v>
      </c>
    </row>
    <row r="268" spans="2:45">
      <c r="B268" s="102" t="str">
        <f>IF(ROW()-6&gt;NumCostCenter,"",IF(CostCenter&lt;&gt;"ALL",CostCenter,DATA_LF2!B266))</f>
        <v/>
      </c>
      <c r="C268" s="153" t="str">
        <f>IF($B268&lt;&gt;"",INDEX(DataOB[],FirstRow+ROW()-7,2),"")</f>
        <v/>
      </c>
      <c r="D268" s="66" t="str">
        <f>IF($B268&lt;&gt;"",INDEX(DataOB[],FirstRow+ROW()-7,3),"")</f>
        <v/>
      </c>
      <c r="E268" s="103" t="str">
        <f>IF($B268&lt;&gt;"",INDEX(DataOB[],FirstRow+ROW()-7,6),"")</f>
        <v/>
      </c>
      <c r="F268" s="103" t="str">
        <f>IF($B268&lt;&gt;"",INDEX(DataOB[],FirstRow+ROW()-7,5),"")</f>
        <v/>
      </c>
      <c r="G268" s="58">
        <f>IF($B268&lt;&gt;"",SUMIFS(DataAct_tbl[AMOUNT],DataAct_tbl[BG CODE],Detail!$D268,DataAct_tbl[MONTH],LEFT(MonthName,3),DataAct_tbl[Dept code],$B268),0)</f>
        <v>0</v>
      </c>
      <c r="H268" s="31" t="str">
        <f t="shared" si="43"/>
        <v/>
      </c>
      <c r="I268" s="28" t="str">
        <f t="shared" si="44"/>
        <v/>
      </c>
      <c r="J268" s="32" t="str">
        <f t="shared" si="45"/>
        <v/>
      </c>
      <c r="K268" s="86"/>
      <c r="L268" s="62">
        <f>IF($B268&lt;&gt;"",SUMIFS(DataAct_tbl[AMOUNT],DataAct_tbl[BG CODE],Detail!$D268,DataAct_tbl[Check Range],"=true",DataAct_tbl[Dept code],$B268),0)</f>
        <v>0</v>
      </c>
      <c r="M268" s="63">
        <f>INDEX($AG$7:$AR$1005,ROW()-6,MATCH(MTD,$AG$6:$AR$6,0))</f>
        <v>0</v>
      </c>
      <c r="N268" s="34">
        <f t="shared" si="46"/>
        <v>0</v>
      </c>
      <c r="O268" s="64" t="str">
        <f t="shared" si="47"/>
        <v xml:space="preserve"> </v>
      </c>
      <c r="Q268" s="97">
        <f t="shared" si="48"/>
        <v>0</v>
      </c>
      <c r="R268" s="96">
        <f t="shared" si="49"/>
        <v>0</v>
      </c>
      <c r="T268" s="67" t="str">
        <f>IF($B268&lt;&gt;"",INDEX(DataOB[],FirstRow+ROW()-7,MATCH(T$6,DataOB[#Headers],0)),"")</f>
        <v/>
      </c>
      <c r="U268" s="67" t="str">
        <f>IF($B268&lt;&gt;"",INDEX(DataOB[],FirstRow+ROW()-7,MATCH(U$6,DataOB[#Headers],0)),"")</f>
        <v/>
      </c>
      <c r="V268" s="67" t="str">
        <f>IF($B268&lt;&gt;"",INDEX(DataOB[],FirstRow+ROW()-7,MATCH(V$6,DataOB[#Headers],0)),"")</f>
        <v/>
      </c>
      <c r="W268" s="67" t="str">
        <f>IF($B268&lt;&gt;"",INDEX(DataOB[],FirstRow+ROW()-7,MATCH(W$6,DataOB[#Headers],0)),"")</f>
        <v/>
      </c>
      <c r="X268" s="67" t="str">
        <f>IF($B268&lt;&gt;"",INDEX(DataOB[],FirstRow+ROW()-7,MATCH(X$6,DataOB[#Headers],0)),"")</f>
        <v/>
      </c>
      <c r="Y268" s="67" t="str">
        <f>IF($B268&lt;&gt;"",INDEX(DataOB[],FirstRow+ROW()-7,MATCH(Y$6,DataOB[#Headers],0)),"")</f>
        <v/>
      </c>
      <c r="Z268" s="67" t="str">
        <f>IF($B268&lt;&gt;"",INDEX(DataOB[],FirstRow+ROW()-7,MATCH(Z$6,DataOB[#Headers],0)),"")</f>
        <v/>
      </c>
      <c r="AA268" s="67" t="str">
        <f>IF($B268&lt;&gt;"",INDEX(DataOB[],FirstRow+ROW()-7,MATCH(AA$6,DataOB[#Headers],0)),"")</f>
        <v/>
      </c>
      <c r="AB268" s="67" t="str">
        <f>IF($B268&lt;&gt;"",INDEX(DataOB[],FirstRow+ROW()-7,MATCH(AB$6,DataOB[#Headers],0)),"")</f>
        <v/>
      </c>
      <c r="AC268" s="67" t="str">
        <f>IF($B268&lt;&gt;"",INDEX(DataOB[],FirstRow+ROW()-7,MATCH(AC$6,DataOB[#Headers],0)),"")</f>
        <v/>
      </c>
      <c r="AD268" s="67" t="str">
        <f>IF($B268&lt;&gt;"",INDEX(DataOB[],FirstRow+ROW()-7,MATCH(AD$6,DataOB[#Headers],0)),"")</f>
        <v/>
      </c>
      <c r="AE268" s="67" t="str">
        <f>IF($B268&lt;&gt;"",INDEX(DataOB[],FirstRow+ROW()-7,MATCH(AE$6,DataOB[#Headers],0)),"")</f>
        <v/>
      </c>
      <c r="AF268" s="26">
        <f t="shared" si="50"/>
        <v>0</v>
      </c>
      <c r="AG268" s="31">
        <f>SUM($T268:T268)</f>
        <v>0</v>
      </c>
      <c r="AH268" s="31">
        <f>SUM($T268:U268)</f>
        <v>0</v>
      </c>
      <c r="AI268" s="31">
        <f>SUM($T268:V268)</f>
        <v>0</v>
      </c>
      <c r="AJ268" s="31">
        <f>SUM($T268:W268)</f>
        <v>0</v>
      </c>
      <c r="AK268" s="31">
        <f>SUM($T268:X268)</f>
        <v>0</v>
      </c>
      <c r="AL268" s="31">
        <f>SUM($T268:Y268)</f>
        <v>0</v>
      </c>
      <c r="AM268" s="31">
        <f>SUM($T268:Z268)</f>
        <v>0</v>
      </c>
      <c r="AN268" s="31">
        <f>SUM($T268:AA268)</f>
        <v>0</v>
      </c>
      <c r="AO268" s="31">
        <f>SUM($T268:AB268)</f>
        <v>0</v>
      </c>
      <c r="AP268" s="31">
        <f>SUM($T268:AC268)</f>
        <v>0</v>
      </c>
      <c r="AQ268" s="31">
        <f>SUM($T268:AD268)</f>
        <v>0</v>
      </c>
      <c r="AR268" s="31">
        <f>SUM($T268:AE268)</f>
        <v>0</v>
      </c>
      <c r="AS268" s="27">
        <f t="shared" si="51"/>
        <v>0</v>
      </c>
    </row>
    <row r="269" spans="2:45">
      <c r="B269" s="102" t="str">
        <f>IF(ROW()-6&gt;NumCostCenter,"",IF(CostCenter&lt;&gt;"ALL",CostCenter,DATA_LF2!B267))</f>
        <v/>
      </c>
      <c r="C269" s="153" t="str">
        <f>IF($B269&lt;&gt;"",INDEX(DataOB[],FirstRow+ROW()-7,2),"")</f>
        <v/>
      </c>
      <c r="D269" s="66" t="str">
        <f>IF($B269&lt;&gt;"",INDEX(DataOB[],FirstRow+ROW()-7,3),"")</f>
        <v/>
      </c>
      <c r="E269" s="103" t="str">
        <f>IF($B269&lt;&gt;"",INDEX(DataOB[],FirstRow+ROW()-7,6),"")</f>
        <v/>
      </c>
      <c r="F269" s="103" t="str">
        <f>IF($B269&lt;&gt;"",INDEX(DataOB[],FirstRow+ROW()-7,5),"")</f>
        <v/>
      </c>
      <c r="G269" s="58">
        <f>IF($B269&lt;&gt;"",SUMIFS(DataAct_tbl[AMOUNT],DataAct_tbl[BG CODE],Detail!$D269,DataAct_tbl[MONTH],LEFT(MonthName,3),DataAct_tbl[Dept code],$B269),0)</f>
        <v>0</v>
      </c>
      <c r="H269" s="31" t="str">
        <f t="shared" si="43"/>
        <v/>
      </c>
      <c r="I269" s="28" t="str">
        <f t="shared" si="44"/>
        <v/>
      </c>
      <c r="J269" s="32" t="str">
        <f t="shared" si="45"/>
        <v/>
      </c>
      <c r="K269" s="86"/>
      <c r="L269" s="62">
        <f>IF($B269&lt;&gt;"",SUMIFS(DataAct_tbl[AMOUNT],DataAct_tbl[BG CODE],Detail!$D269,DataAct_tbl[Check Range],"=true",DataAct_tbl[Dept code],$B269),0)</f>
        <v>0</v>
      </c>
      <c r="M269" s="63">
        <f>INDEX($AG$7:$AR$1005,ROW()-6,MATCH(MTD,$AG$6:$AR$6,0))</f>
        <v>0</v>
      </c>
      <c r="N269" s="34">
        <f t="shared" si="46"/>
        <v>0</v>
      </c>
      <c r="O269" s="64" t="str">
        <f t="shared" si="47"/>
        <v xml:space="preserve"> </v>
      </c>
      <c r="Q269" s="97">
        <f t="shared" si="48"/>
        <v>0</v>
      </c>
      <c r="R269" s="96">
        <f t="shared" si="49"/>
        <v>0</v>
      </c>
      <c r="T269" s="67" t="str">
        <f>IF($B269&lt;&gt;"",INDEX(DataOB[],FirstRow+ROW()-7,MATCH(T$6,DataOB[#Headers],0)),"")</f>
        <v/>
      </c>
      <c r="U269" s="67" t="str">
        <f>IF($B269&lt;&gt;"",INDEX(DataOB[],FirstRow+ROW()-7,MATCH(U$6,DataOB[#Headers],0)),"")</f>
        <v/>
      </c>
      <c r="V269" s="67" t="str">
        <f>IF($B269&lt;&gt;"",INDEX(DataOB[],FirstRow+ROW()-7,MATCH(V$6,DataOB[#Headers],0)),"")</f>
        <v/>
      </c>
      <c r="W269" s="67" t="str">
        <f>IF($B269&lt;&gt;"",INDEX(DataOB[],FirstRow+ROW()-7,MATCH(W$6,DataOB[#Headers],0)),"")</f>
        <v/>
      </c>
      <c r="X269" s="67" t="str">
        <f>IF($B269&lt;&gt;"",INDEX(DataOB[],FirstRow+ROW()-7,MATCH(X$6,DataOB[#Headers],0)),"")</f>
        <v/>
      </c>
      <c r="Y269" s="67" t="str">
        <f>IF($B269&lt;&gt;"",INDEX(DataOB[],FirstRow+ROW()-7,MATCH(Y$6,DataOB[#Headers],0)),"")</f>
        <v/>
      </c>
      <c r="Z269" s="67" t="str">
        <f>IF($B269&lt;&gt;"",INDEX(DataOB[],FirstRow+ROW()-7,MATCH(Z$6,DataOB[#Headers],0)),"")</f>
        <v/>
      </c>
      <c r="AA269" s="67" t="str">
        <f>IF($B269&lt;&gt;"",INDEX(DataOB[],FirstRow+ROW()-7,MATCH(AA$6,DataOB[#Headers],0)),"")</f>
        <v/>
      </c>
      <c r="AB269" s="67" t="str">
        <f>IF($B269&lt;&gt;"",INDEX(DataOB[],FirstRow+ROW()-7,MATCH(AB$6,DataOB[#Headers],0)),"")</f>
        <v/>
      </c>
      <c r="AC269" s="67" t="str">
        <f>IF($B269&lt;&gt;"",INDEX(DataOB[],FirstRow+ROW()-7,MATCH(AC$6,DataOB[#Headers],0)),"")</f>
        <v/>
      </c>
      <c r="AD269" s="67" t="str">
        <f>IF($B269&lt;&gt;"",INDEX(DataOB[],FirstRow+ROW()-7,MATCH(AD$6,DataOB[#Headers],0)),"")</f>
        <v/>
      </c>
      <c r="AE269" s="67" t="str">
        <f>IF($B269&lt;&gt;"",INDEX(DataOB[],FirstRow+ROW()-7,MATCH(AE$6,DataOB[#Headers],0)),"")</f>
        <v/>
      </c>
      <c r="AF269" s="26">
        <f t="shared" si="50"/>
        <v>0</v>
      </c>
      <c r="AG269" s="31">
        <f>SUM($T269:T269)</f>
        <v>0</v>
      </c>
      <c r="AH269" s="31">
        <f>SUM($T269:U269)</f>
        <v>0</v>
      </c>
      <c r="AI269" s="31">
        <f>SUM($T269:V269)</f>
        <v>0</v>
      </c>
      <c r="AJ269" s="31">
        <f>SUM($T269:W269)</f>
        <v>0</v>
      </c>
      <c r="AK269" s="31">
        <f>SUM($T269:X269)</f>
        <v>0</v>
      </c>
      <c r="AL269" s="31">
        <f>SUM($T269:Y269)</f>
        <v>0</v>
      </c>
      <c r="AM269" s="31">
        <f>SUM($T269:Z269)</f>
        <v>0</v>
      </c>
      <c r="AN269" s="31">
        <f>SUM($T269:AA269)</f>
        <v>0</v>
      </c>
      <c r="AO269" s="31">
        <f>SUM($T269:AB269)</f>
        <v>0</v>
      </c>
      <c r="AP269" s="31">
        <f>SUM($T269:AC269)</f>
        <v>0</v>
      </c>
      <c r="AQ269" s="31">
        <f>SUM($T269:AD269)</f>
        <v>0</v>
      </c>
      <c r="AR269" s="31">
        <f>SUM($T269:AE269)</f>
        <v>0</v>
      </c>
      <c r="AS269" s="27">
        <f t="shared" si="51"/>
        <v>0</v>
      </c>
    </row>
    <row r="270" spans="2:45">
      <c r="B270" s="102" t="str">
        <f>IF(ROW()-6&gt;NumCostCenter,"",IF(CostCenter&lt;&gt;"ALL",CostCenter,DATA_LF2!B268))</f>
        <v/>
      </c>
      <c r="C270" s="153" t="str">
        <f>IF($B270&lt;&gt;"",INDEX(DataOB[],FirstRow+ROW()-7,2),"")</f>
        <v/>
      </c>
      <c r="D270" s="66" t="str">
        <f>IF($B270&lt;&gt;"",INDEX(DataOB[],FirstRow+ROW()-7,3),"")</f>
        <v/>
      </c>
      <c r="E270" s="103" t="str">
        <f>IF($B270&lt;&gt;"",INDEX(DataOB[],FirstRow+ROW()-7,6),"")</f>
        <v/>
      </c>
      <c r="F270" s="103" t="str">
        <f>IF($B270&lt;&gt;"",INDEX(DataOB[],FirstRow+ROW()-7,5),"")</f>
        <v/>
      </c>
      <c r="G270" s="58">
        <f>IF($B270&lt;&gt;"",SUMIFS(DataAct_tbl[AMOUNT],DataAct_tbl[BG CODE],Detail!$D270,DataAct_tbl[MONTH],LEFT(MonthName,3),DataAct_tbl[Dept code],$B270),0)</f>
        <v>0</v>
      </c>
      <c r="H270" s="31" t="str">
        <f t="shared" si="43"/>
        <v/>
      </c>
      <c r="I270" s="28" t="str">
        <f t="shared" si="44"/>
        <v/>
      </c>
      <c r="J270" s="32" t="str">
        <f t="shared" si="45"/>
        <v/>
      </c>
      <c r="K270" s="86"/>
      <c r="L270" s="62">
        <f>IF($B270&lt;&gt;"",SUMIFS(DataAct_tbl[AMOUNT],DataAct_tbl[BG CODE],Detail!$D270,DataAct_tbl[Check Range],"=true",DataAct_tbl[Dept code],$B270),0)</f>
        <v>0</v>
      </c>
      <c r="M270" s="63">
        <f>INDEX($AG$7:$AR$1005,ROW()-6,MATCH(MTD,$AG$6:$AR$6,0))</f>
        <v>0</v>
      </c>
      <c r="N270" s="34">
        <f t="shared" si="46"/>
        <v>0</v>
      </c>
      <c r="O270" s="64" t="str">
        <f t="shared" si="47"/>
        <v xml:space="preserve"> </v>
      </c>
      <c r="Q270" s="97">
        <f t="shared" si="48"/>
        <v>0</v>
      </c>
      <c r="R270" s="96">
        <f t="shared" si="49"/>
        <v>0</v>
      </c>
      <c r="T270" s="67" t="str">
        <f>IF($B270&lt;&gt;"",INDEX(DataOB[],FirstRow+ROW()-7,MATCH(T$6,DataOB[#Headers],0)),"")</f>
        <v/>
      </c>
      <c r="U270" s="67" t="str">
        <f>IF($B270&lt;&gt;"",INDEX(DataOB[],FirstRow+ROW()-7,MATCH(U$6,DataOB[#Headers],0)),"")</f>
        <v/>
      </c>
      <c r="V270" s="67" t="str">
        <f>IF($B270&lt;&gt;"",INDEX(DataOB[],FirstRow+ROW()-7,MATCH(V$6,DataOB[#Headers],0)),"")</f>
        <v/>
      </c>
      <c r="W270" s="67" t="str">
        <f>IF($B270&lt;&gt;"",INDEX(DataOB[],FirstRow+ROW()-7,MATCH(W$6,DataOB[#Headers],0)),"")</f>
        <v/>
      </c>
      <c r="X270" s="67" t="str">
        <f>IF($B270&lt;&gt;"",INDEX(DataOB[],FirstRow+ROW()-7,MATCH(X$6,DataOB[#Headers],0)),"")</f>
        <v/>
      </c>
      <c r="Y270" s="67" t="str">
        <f>IF($B270&lt;&gt;"",INDEX(DataOB[],FirstRow+ROW()-7,MATCH(Y$6,DataOB[#Headers],0)),"")</f>
        <v/>
      </c>
      <c r="Z270" s="67" t="str">
        <f>IF($B270&lt;&gt;"",INDEX(DataOB[],FirstRow+ROW()-7,MATCH(Z$6,DataOB[#Headers],0)),"")</f>
        <v/>
      </c>
      <c r="AA270" s="67" t="str">
        <f>IF($B270&lt;&gt;"",INDEX(DataOB[],FirstRow+ROW()-7,MATCH(AA$6,DataOB[#Headers],0)),"")</f>
        <v/>
      </c>
      <c r="AB270" s="67" t="str">
        <f>IF($B270&lt;&gt;"",INDEX(DataOB[],FirstRow+ROW()-7,MATCH(AB$6,DataOB[#Headers],0)),"")</f>
        <v/>
      </c>
      <c r="AC270" s="67" t="str">
        <f>IF($B270&lt;&gt;"",INDEX(DataOB[],FirstRow+ROW()-7,MATCH(AC$6,DataOB[#Headers],0)),"")</f>
        <v/>
      </c>
      <c r="AD270" s="67" t="str">
        <f>IF($B270&lt;&gt;"",INDEX(DataOB[],FirstRow+ROW()-7,MATCH(AD$6,DataOB[#Headers],0)),"")</f>
        <v/>
      </c>
      <c r="AE270" s="67" t="str">
        <f>IF($B270&lt;&gt;"",INDEX(DataOB[],FirstRow+ROW()-7,MATCH(AE$6,DataOB[#Headers],0)),"")</f>
        <v/>
      </c>
      <c r="AF270" s="26">
        <f t="shared" si="50"/>
        <v>0</v>
      </c>
      <c r="AG270" s="31">
        <f>SUM($T270:T270)</f>
        <v>0</v>
      </c>
      <c r="AH270" s="31">
        <f>SUM($T270:U270)</f>
        <v>0</v>
      </c>
      <c r="AI270" s="31">
        <f>SUM($T270:V270)</f>
        <v>0</v>
      </c>
      <c r="AJ270" s="31">
        <f>SUM($T270:W270)</f>
        <v>0</v>
      </c>
      <c r="AK270" s="31">
        <f>SUM($T270:X270)</f>
        <v>0</v>
      </c>
      <c r="AL270" s="31">
        <f>SUM($T270:Y270)</f>
        <v>0</v>
      </c>
      <c r="AM270" s="31">
        <f>SUM($T270:Z270)</f>
        <v>0</v>
      </c>
      <c r="AN270" s="31">
        <f>SUM($T270:AA270)</f>
        <v>0</v>
      </c>
      <c r="AO270" s="31">
        <f>SUM($T270:AB270)</f>
        <v>0</v>
      </c>
      <c r="AP270" s="31">
        <f>SUM($T270:AC270)</f>
        <v>0</v>
      </c>
      <c r="AQ270" s="31">
        <f>SUM($T270:AD270)</f>
        <v>0</v>
      </c>
      <c r="AR270" s="31">
        <f>SUM($T270:AE270)</f>
        <v>0</v>
      </c>
      <c r="AS270" s="27">
        <f t="shared" si="51"/>
        <v>0</v>
      </c>
    </row>
    <row r="271" spans="2:45">
      <c r="B271" s="102" t="str">
        <f>IF(ROW()-6&gt;NumCostCenter,"",IF(CostCenter&lt;&gt;"ALL",CostCenter,DATA_LF2!B269))</f>
        <v/>
      </c>
      <c r="C271" s="153" t="str">
        <f>IF($B271&lt;&gt;"",INDEX(DataOB[],FirstRow+ROW()-7,2),"")</f>
        <v/>
      </c>
      <c r="D271" s="66" t="str">
        <f>IF($B271&lt;&gt;"",INDEX(DataOB[],FirstRow+ROW()-7,3),"")</f>
        <v/>
      </c>
      <c r="E271" s="103" t="str">
        <f>IF($B271&lt;&gt;"",INDEX(DataOB[],FirstRow+ROW()-7,6),"")</f>
        <v/>
      </c>
      <c r="F271" s="103" t="str">
        <f>IF($B271&lt;&gt;"",INDEX(DataOB[],FirstRow+ROW()-7,5),"")</f>
        <v/>
      </c>
      <c r="G271" s="58">
        <f>IF($B271&lt;&gt;"",SUMIFS(DataAct_tbl[AMOUNT],DataAct_tbl[BG CODE],Detail!$D271,DataAct_tbl[MONTH],LEFT(MonthName,3),DataAct_tbl[Dept code],$B271),0)</f>
        <v>0</v>
      </c>
      <c r="H271" s="31" t="str">
        <f t="shared" si="43"/>
        <v/>
      </c>
      <c r="I271" s="28" t="str">
        <f t="shared" si="44"/>
        <v/>
      </c>
      <c r="J271" s="32" t="str">
        <f t="shared" si="45"/>
        <v/>
      </c>
      <c r="K271" s="86"/>
      <c r="L271" s="62">
        <f>IF($B271&lt;&gt;"",SUMIFS(DataAct_tbl[AMOUNT],DataAct_tbl[BG CODE],Detail!$D271,DataAct_tbl[Check Range],"=true",DataAct_tbl[Dept code],$B271),0)</f>
        <v>0</v>
      </c>
      <c r="M271" s="63">
        <f>INDEX($AG$7:$AR$1005,ROW()-6,MATCH(MTD,$AG$6:$AR$6,0))</f>
        <v>0</v>
      </c>
      <c r="N271" s="34">
        <f t="shared" si="46"/>
        <v>0</v>
      </c>
      <c r="O271" s="64" t="str">
        <f t="shared" si="47"/>
        <v xml:space="preserve"> </v>
      </c>
      <c r="Q271" s="97">
        <f t="shared" si="48"/>
        <v>0</v>
      </c>
      <c r="R271" s="96">
        <f t="shared" si="49"/>
        <v>0</v>
      </c>
      <c r="T271" s="67" t="str">
        <f>IF($B271&lt;&gt;"",INDEX(DataOB[],FirstRow+ROW()-7,MATCH(T$6,DataOB[#Headers],0)),"")</f>
        <v/>
      </c>
      <c r="U271" s="67" t="str">
        <f>IF($B271&lt;&gt;"",INDEX(DataOB[],FirstRow+ROW()-7,MATCH(U$6,DataOB[#Headers],0)),"")</f>
        <v/>
      </c>
      <c r="V271" s="67" t="str">
        <f>IF($B271&lt;&gt;"",INDEX(DataOB[],FirstRow+ROW()-7,MATCH(V$6,DataOB[#Headers],0)),"")</f>
        <v/>
      </c>
      <c r="W271" s="67" t="str">
        <f>IF($B271&lt;&gt;"",INDEX(DataOB[],FirstRow+ROW()-7,MATCH(W$6,DataOB[#Headers],0)),"")</f>
        <v/>
      </c>
      <c r="X271" s="67" t="str">
        <f>IF($B271&lt;&gt;"",INDEX(DataOB[],FirstRow+ROW()-7,MATCH(X$6,DataOB[#Headers],0)),"")</f>
        <v/>
      </c>
      <c r="Y271" s="67" t="str">
        <f>IF($B271&lt;&gt;"",INDEX(DataOB[],FirstRow+ROW()-7,MATCH(Y$6,DataOB[#Headers],0)),"")</f>
        <v/>
      </c>
      <c r="Z271" s="67" t="str">
        <f>IF($B271&lt;&gt;"",INDEX(DataOB[],FirstRow+ROW()-7,MATCH(Z$6,DataOB[#Headers],0)),"")</f>
        <v/>
      </c>
      <c r="AA271" s="67" t="str">
        <f>IF($B271&lt;&gt;"",INDEX(DataOB[],FirstRow+ROW()-7,MATCH(AA$6,DataOB[#Headers],0)),"")</f>
        <v/>
      </c>
      <c r="AB271" s="67" t="str">
        <f>IF($B271&lt;&gt;"",INDEX(DataOB[],FirstRow+ROW()-7,MATCH(AB$6,DataOB[#Headers],0)),"")</f>
        <v/>
      </c>
      <c r="AC271" s="67" t="str">
        <f>IF($B271&lt;&gt;"",INDEX(DataOB[],FirstRow+ROW()-7,MATCH(AC$6,DataOB[#Headers],0)),"")</f>
        <v/>
      </c>
      <c r="AD271" s="67" t="str">
        <f>IF($B271&lt;&gt;"",INDEX(DataOB[],FirstRow+ROW()-7,MATCH(AD$6,DataOB[#Headers],0)),"")</f>
        <v/>
      </c>
      <c r="AE271" s="67" t="str">
        <f>IF($B271&lt;&gt;"",INDEX(DataOB[],FirstRow+ROW()-7,MATCH(AE$6,DataOB[#Headers],0)),"")</f>
        <v/>
      </c>
      <c r="AF271" s="26">
        <f t="shared" si="50"/>
        <v>0</v>
      </c>
      <c r="AG271" s="31">
        <f>SUM($T271:T271)</f>
        <v>0</v>
      </c>
      <c r="AH271" s="31">
        <f>SUM($T271:U271)</f>
        <v>0</v>
      </c>
      <c r="AI271" s="31">
        <f>SUM($T271:V271)</f>
        <v>0</v>
      </c>
      <c r="AJ271" s="31">
        <f>SUM($T271:W271)</f>
        <v>0</v>
      </c>
      <c r="AK271" s="31">
        <f>SUM($T271:X271)</f>
        <v>0</v>
      </c>
      <c r="AL271" s="31">
        <f>SUM($T271:Y271)</f>
        <v>0</v>
      </c>
      <c r="AM271" s="31">
        <f>SUM($T271:Z271)</f>
        <v>0</v>
      </c>
      <c r="AN271" s="31">
        <f>SUM($T271:AA271)</f>
        <v>0</v>
      </c>
      <c r="AO271" s="31">
        <f>SUM($T271:AB271)</f>
        <v>0</v>
      </c>
      <c r="AP271" s="31">
        <f>SUM($T271:AC271)</f>
        <v>0</v>
      </c>
      <c r="AQ271" s="31">
        <f>SUM($T271:AD271)</f>
        <v>0</v>
      </c>
      <c r="AR271" s="31">
        <f>SUM($T271:AE271)</f>
        <v>0</v>
      </c>
      <c r="AS271" s="27">
        <f t="shared" si="51"/>
        <v>0</v>
      </c>
    </row>
    <row r="272" spans="2:45">
      <c r="B272" s="102" t="str">
        <f>IF(ROW()-6&gt;NumCostCenter,"",IF(CostCenter&lt;&gt;"ALL",CostCenter,DATA_LF2!B270))</f>
        <v/>
      </c>
      <c r="C272" s="153" t="str">
        <f>IF($B272&lt;&gt;"",INDEX(DataOB[],FirstRow+ROW()-7,2),"")</f>
        <v/>
      </c>
      <c r="D272" s="66" t="str">
        <f>IF($B272&lt;&gt;"",INDEX(DataOB[],FirstRow+ROW()-7,3),"")</f>
        <v/>
      </c>
      <c r="E272" s="103" t="str">
        <f>IF($B272&lt;&gt;"",INDEX(DataOB[],FirstRow+ROW()-7,6),"")</f>
        <v/>
      </c>
      <c r="F272" s="103" t="str">
        <f>IF($B272&lt;&gt;"",INDEX(DataOB[],FirstRow+ROW()-7,5),"")</f>
        <v/>
      </c>
      <c r="G272" s="58">
        <f>IF($B272&lt;&gt;"",SUMIFS(DataAct_tbl[AMOUNT],DataAct_tbl[BG CODE],Detail!$D272,DataAct_tbl[MONTH],LEFT(MonthName,3),DataAct_tbl[Dept code],$B272),0)</f>
        <v>0</v>
      </c>
      <c r="H272" s="31" t="str">
        <f t="shared" si="43"/>
        <v/>
      </c>
      <c r="I272" s="28" t="str">
        <f t="shared" si="44"/>
        <v/>
      </c>
      <c r="J272" s="32" t="str">
        <f t="shared" si="45"/>
        <v/>
      </c>
      <c r="K272" s="86"/>
      <c r="L272" s="62">
        <f>IF($B272&lt;&gt;"",SUMIFS(DataAct_tbl[AMOUNT],DataAct_tbl[BG CODE],Detail!$D272,DataAct_tbl[Check Range],"=true",DataAct_tbl[Dept code],$B272),0)</f>
        <v>0</v>
      </c>
      <c r="M272" s="63">
        <f>INDEX($AG$7:$AR$1005,ROW()-6,MATCH(MTD,$AG$6:$AR$6,0))</f>
        <v>0</v>
      </c>
      <c r="N272" s="34">
        <f t="shared" si="46"/>
        <v>0</v>
      </c>
      <c r="O272" s="64" t="str">
        <f t="shared" si="47"/>
        <v xml:space="preserve"> </v>
      </c>
      <c r="Q272" s="97">
        <f t="shared" si="48"/>
        <v>0</v>
      </c>
      <c r="R272" s="96">
        <f t="shared" si="49"/>
        <v>0</v>
      </c>
      <c r="T272" s="67" t="str">
        <f>IF($B272&lt;&gt;"",INDEX(DataOB[],FirstRow+ROW()-7,MATCH(T$6,DataOB[#Headers],0)),"")</f>
        <v/>
      </c>
      <c r="U272" s="67" t="str">
        <f>IF($B272&lt;&gt;"",INDEX(DataOB[],FirstRow+ROW()-7,MATCH(U$6,DataOB[#Headers],0)),"")</f>
        <v/>
      </c>
      <c r="V272" s="67" t="str">
        <f>IF($B272&lt;&gt;"",INDEX(DataOB[],FirstRow+ROW()-7,MATCH(V$6,DataOB[#Headers],0)),"")</f>
        <v/>
      </c>
      <c r="W272" s="67" t="str">
        <f>IF($B272&lt;&gt;"",INDEX(DataOB[],FirstRow+ROW()-7,MATCH(W$6,DataOB[#Headers],0)),"")</f>
        <v/>
      </c>
      <c r="X272" s="67" t="str">
        <f>IF($B272&lt;&gt;"",INDEX(DataOB[],FirstRow+ROW()-7,MATCH(X$6,DataOB[#Headers],0)),"")</f>
        <v/>
      </c>
      <c r="Y272" s="67" t="str">
        <f>IF($B272&lt;&gt;"",INDEX(DataOB[],FirstRow+ROW()-7,MATCH(Y$6,DataOB[#Headers],0)),"")</f>
        <v/>
      </c>
      <c r="Z272" s="67" t="str">
        <f>IF($B272&lt;&gt;"",INDEX(DataOB[],FirstRow+ROW()-7,MATCH(Z$6,DataOB[#Headers],0)),"")</f>
        <v/>
      </c>
      <c r="AA272" s="67" t="str">
        <f>IF($B272&lt;&gt;"",INDEX(DataOB[],FirstRow+ROW()-7,MATCH(AA$6,DataOB[#Headers],0)),"")</f>
        <v/>
      </c>
      <c r="AB272" s="67" t="str">
        <f>IF($B272&lt;&gt;"",INDEX(DataOB[],FirstRow+ROW()-7,MATCH(AB$6,DataOB[#Headers],0)),"")</f>
        <v/>
      </c>
      <c r="AC272" s="67" t="str">
        <f>IF($B272&lt;&gt;"",INDEX(DataOB[],FirstRow+ROW()-7,MATCH(AC$6,DataOB[#Headers],0)),"")</f>
        <v/>
      </c>
      <c r="AD272" s="67" t="str">
        <f>IF($B272&lt;&gt;"",INDEX(DataOB[],FirstRow+ROW()-7,MATCH(AD$6,DataOB[#Headers],0)),"")</f>
        <v/>
      </c>
      <c r="AE272" s="67" t="str">
        <f>IF($B272&lt;&gt;"",INDEX(DataOB[],FirstRow+ROW()-7,MATCH(AE$6,DataOB[#Headers],0)),"")</f>
        <v/>
      </c>
      <c r="AF272" s="26">
        <f t="shared" si="50"/>
        <v>0</v>
      </c>
      <c r="AG272" s="31">
        <f>SUM($T272:T272)</f>
        <v>0</v>
      </c>
      <c r="AH272" s="31">
        <f>SUM($T272:U272)</f>
        <v>0</v>
      </c>
      <c r="AI272" s="31">
        <f>SUM($T272:V272)</f>
        <v>0</v>
      </c>
      <c r="AJ272" s="31">
        <f>SUM($T272:W272)</f>
        <v>0</v>
      </c>
      <c r="AK272" s="31">
        <f>SUM($T272:X272)</f>
        <v>0</v>
      </c>
      <c r="AL272" s="31">
        <f>SUM($T272:Y272)</f>
        <v>0</v>
      </c>
      <c r="AM272" s="31">
        <f>SUM($T272:Z272)</f>
        <v>0</v>
      </c>
      <c r="AN272" s="31">
        <f>SUM($T272:AA272)</f>
        <v>0</v>
      </c>
      <c r="AO272" s="31">
        <f>SUM($T272:AB272)</f>
        <v>0</v>
      </c>
      <c r="AP272" s="31">
        <f>SUM($T272:AC272)</f>
        <v>0</v>
      </c>
      <c r="AQ272" s="31">
        <f>SUM($T272:AD272)</f>
        <v>0</v>
      </c>
      <c r="AR272" s="31">
        <f>SUM($T272:AE272)</f>
        <v>0</v>
      </c>
      <c r="AS272" s="27">
        <f t="shared" si="51"/>
        <v>0</v>
      </c>
    </row>
    <row r="273" spans="2:45">
      <c r="B273" s="102" t="str">
        <f>IF(ROW()-6&gt;NumCostCenter,"",IF(CostCenter&lt;&gt;"ALL",CostCenter,DATA_LF2!B271))</f>
        <v/>
      </c>
      <c r="C273" s="153" t="str">
        <f>IF($B273&lt;&gt;"",INDEX(DataOB[],FirstRow+ROW()-7,2),"")</f>
        <v/>
      </c>
      <c r="D273" s="66" t="str">
        <f>IF($B273&lt;&gt;"",INDEX(DataOB[],FirstRow+ROW()-7,3),"")</f>
        <v/>
      </c>
      <c r="E273" s="103" t="str">
        <f>IF($B273&lt;&gt;"",INDEX(DataOB[],FirstRow+ROW()-7,6),"")</f>
        <v/>
      </c>
      <c r="F273" s="103" t="str">
        <f>IF($B273&lt;&gt;"",INDEX(DataOB[],FirstRow+ROW()-7,5),"")</f>
        <v/>
      </c>
      <c r="G273" s="58">
        <f>IF($B273&lt;&gt;"",SUMIFS(DataAct_tbl[AMOUNT],DataAct_tbl[BG CODE],Detail!$D273,DataAct_tbl[MONTH],LEFT(MonthName,3),DataAct_tbl[Dept code],$B273),0)</f>
        <v>0</v>
      </c>
      <c r="H273" s="31" t="str">
        <f t="shared" si="43"/>
        <v/>
      </c>
      <c r="I273" s="28" t="str">
        <f t="shared" si="44"/>
        <v/>
      </c>
      <c r="J273" s="32" t="str">
        <f t="shared" si="45"/>
        <v/>
      </c>
      <c r="K273" s="86"/>
      <c r="L273" s="62">
        <f>IF($B273&lt;&gt;"",SUMIFS(DataAct_tbl[AMOUNT],DataAct_tbl[BG CODE],Detail!$D273,DataAct_tbl[Check Range],"=true",DataAct_tbl[Dept code],$B273),0)</f>
        <v>0</v>
      </c>
      <c r="M273" s="63">
        <f>INDEX($AG$7:$AR$1005,ROW()-6,MATCH(MTD,$AG$6:$AR$6,0))</f>
        <v>0</v>
      </c>
      <c r="N273" s="34">
        <f t="shared" si="46"/>
        <v>0</v>
      </c>
      <c r="O273" s="64" t="str">
        <f t="shared" si="47"/>
        <v xml:space="preserve"> </v>
      </c>
      <c r="Q273" s="97">
        <f t="shared" si="48"/>
        <v>0</v>
      </c>
      <c r="R273" s="96">
        <f t="shared" si="49"/>
        <v>0</v>
      </c>
      <c r="T273" s="67" t="str">
        <f>IF($B273&lt;&gt;"",INDEX(DataOB[],FirstRow+ROW()-7,MATCH(T$6,DataOB[#Headers],0)),"")</f>
        <v/>
      </c>
      <c r="U273" s="67" t="str">
        <f>IF($B273&lt;&gt;"",INDEX(DataOB[],FirstRow+ROW()-7,MATCH(U$6,DataOB[#Headers],0)),"")</f>
        <v/>
      </c>
      <c r="V273" s="67" t="str">
        <f>IF($B273&lt;&gt;"",INDEX(DataOB[],FirstRow+ROW()-7,MATCH(V$6,DataOB[#Headers],0)),"")</f>
        <v/>
      </c>
      <c r="W273" s="67" t="str">
        <f>IF($B273&lt;&gt;"",INDEX(DataOB[],FirstRow+ROW()-7,MATCH(W$6,DataOB[#Headers],0)),"")</f>
        <v/>
      </c>
      <c r="X273" s="67" t="str">
        <f>IF($B273&lt;&gt;"",INDEX(DataOB[],FirstRow+ROW()-7,MATCH(X$6,DataOB[#Headers],0)),"")</f>
        <v/>
      </c>
      <c r="Y273" s="67" t="str">
        <f>IF($B273&lt;&gt;"",INDEX(DataOB[],FirstRow+ROW()-7,MATCH(Y$6,DataOB[#Headers],0)),"")</f>
        <v/>
      </c>
      <c r="Z273" s="67" t="str">
        <f>IF($B273&lt;&gt;"",INDEX(DataOB[],FirstRow+ROW()-7,MATCH(Z$6,DataOB[#Headers],0)),"")</f>
        <v/>
      </c>
      <c r="AA273" s="67" t="str">
        <f>IF($B273&lt;&gt;"",INDEX(DataOB[],FirstRow+ROW()-7,MATCH(AA$6,DataOB[#Headers],0)),"")</f>
        <v/>
      </c>
      <c r="AB273" s="67" t="str">
        <f>IF($B273&lt;&gt;"",INDEX(DataOB[],FirstRow+ROW()-7,MATCH(AB$6,DataOB[#Headers],0)),"")</f>
        <v/>
      </c>
      <c r="AC273" s="67" t="str">
        <f>IF($B273&lt;&gt;"",INDEX(DataOB[],FirstRow+ROW()-7,MATCH(AC$6,DataOB[#Headers],0)),"")</f>
        <v/>
      </c>
      <c r="AD273" s="67" t="str">
        <f>IF($B273&lt;&gt;"",INDEX(DataOB[],FirstRow+ROW()-7,MATCH(AD$6,DataOB[#Headers],0)),"")</f>
        <v/>
      </c>
      <c r="AE273" s="67" t="str">
        <f>IF($B273&lt;&gt;"",INDEX(DataOB[],FirstRow+ROW()-7,MATCH(AE$6,DataOB[#Headers],0)),"")</f>
        <v/>
      </c>
      <c r="AF273" s="26">
        <f t="shared" si="50"/>
        <v>0</v>
      </c>
      <c r="AG273" s="31">
        <f>SUM($T273:T273)</f>
        <v>0</v>
      </c>
      <c r="AH273" s="31">
        <f>SUM($T273:U273)</f>
        <v>0</v>
      </c>
      <c r="AI273" s="31">
        <f>SUM($T273:V273)</f>
        <v>0</v>
      </c>
      <c r="AJ273" s="31">
        <f>SUM($T273:W273)</f>
        <v>0</v>
      </c>
      <c r="AK273" s="31">
        <f>SUM($T273:X273)</f>
        <v>0</v>
      </c>
      <c r="AL273" s="31">
        <f>SUM($T273:Y273)</f>
        <v>0</v>
      </c>
      <c r="AM273" s="31">
        <f>SUM($T273:Z273)</f>
        <v>0</v>
      </c>
      <c r="AN273" s="31">
        <f>SUM($T273:AA273)</f>
        <v>0</v>
      </c>
      <c r="AO273" s="31">
        <f>SUM($T273:AB273)</f>
        <v>0</v>
      </c>
      <c r="AP273" s="31">
        <f>SUM($T273:AC273)</f>
        <v>0</v>
      </c>
      <c r="AQ273" s="31">
        <f>SUM($T273:AD273)</f>
        <v>0</v>
      </c>
      <c r="AR273" s="31">
        <f>SUM($T273:AE273)</f>
        <v>0</v>
      </c>
      <c r="AS273" s="27">
        <f t="shared" si="51"/>
        <v>0</v>
      </c>
    </row>
    <row r="274" spans="2:45">
      <c r="B274" s="102" t="str">
        <f>IF(ROW()-6&gt;NumCostCenter,"",IF(CostCenter&lt;&gt;"ALL",CostCenter,DATA_LF2!B272))</f>
        <v/>
      </c>
      <c r="C274" s="153" t="str">
        <f>IF($B274&lt;&gt;"",INDEX(DataOB[],FirstRow+ROW()-7,2),"")</f>
        <v/>
      </c>
      <c r="D274" s="66" t="str">
        <f>IF($B274&lt;&gt;"",INDEX(DataOB[],FirstRow+ROW()-7,3),"")</f>
        <v/>
      </c>
      <c r="E274" s="103" t="str">
        <f>IF($B274&lt;&gt;"",INDEX(DataOB[],FirstRow+ROW()-7,6),"")</f>
        <v/>
      </c>
      <c r="F274" s="103" t="str">
        <f>IF($B274&lt;&gt;"",INDEX(DataOB[],FirstRow+ROW()-7,5),"")</f>
        <v/>
      </c>
      <c r="G274" s="58">
        <f>IF($B274&lt;&gt;"",SUMIFS(DataAct_tbl[AMOUNT],DataAct_tbl[BG CODE],Detail!$D274,DataAct_tbl[MONTH],LEFT(MonthName,3),DataAct_tbl[Dept code],$B274),0)</f>
        <v>0</v>
      </c>
      <c r="H274" s="31" t="str">
        <f t="shared" si="43"/>
        <v/>
      </c>
      <c r="I274" s="28" t="str">
        <f t="shared" si="44"/>
        <v/>
      </c>
      <c r="J274" s="32" t="str">
        <f t="shared" si="45"/>
        <v/>
      </c>
      <c r="K274" s="86"/>
      <c r="L274" s="62">
        <f>IF($B274&lt;&gt;"",SUMIFS(DataAct_tbl[AMOUNT],DataAct_tbl[BG CODE],Detail!$D274,DataAct_tbl[Check Range],"=true",DataAct_tbl[Dept code],$B274),0)</f>
        <v>0</v>
      </c>
      <c r="M274" s="63">
        <f>INDEX($AG$7:$AR$1005,ROW()-6,MATCH(MTD,$AG$6:$AR$6,0))</f>
        <v>0</v>
      </c>
      <c r="N274" s="34">
        <f t="shared" si="46"/>
        <v>0</v>
      </c>
      <c r="O274" s="64" t="str">
        <f t="shared" si="47"/>
        <v xml:space="preserve"> </v>
      </c>
      <c r="Q274" s="97">
        <f t="shared" si="48"/>
        <v>0</v>
      </c>
      <c r="R274" s="96">
        <f t="shared" si="49"/>
        <v>0</v>
      </c>
      <c r="T274" s="67" t="str">
        <f>IF($B274&lt;&gt;"",INDEX(DataOB[],FirstRow+ROW()-7,MATCH(T$6,DataOB[#Headers],0)),"")</f>
        <v/>
      </c>
      <c r="U274" s="67" t="str">
        <f>IF($B274&lt;&gt;"",INDEX(DataOB[],FirstRow+ROW()-7,MATCH(U$6,DataOB[#Headers],0)),"")</f>
        <v/>
      </c>
      <c r="V274" s="67" t="str">
        <f>IF($B274&lt;&gt;"",INDEX(DataOB[],FirstRow+ROW()-7,MATCH(V$6,DataOB[#Headers],0)),"")</f>
        <v/>
      </c>
      <c r="W274" s="67" t="str">
        <f>IF($B274&lt;&gt;"",INDEX(DataOB[],FirstRow+ROW()-7,MATCH(W$6,DataOB[#Headers],0)),"")</f>
        <v/>
      </c>
      <c r="X274" s="67" t="str">
        <f>IF($B274&lt;&gt;"",INDEX(DataOB[],FirstRow+ROW()-7,MATCH(X$6,DataOB[#Headers],0)),"")</f>
        <v/>
      </c>
      <c r="Y274" s="67" t="str">
        <f>IF($B274&lt;&gt;"",INDEX(DataOB[],FirstRow+ROW()-7,MATCH(Y$6,DataOB[#Headers],0)),"")</f>
        <v/>
      </c>
      <c r="Z274" s="67" t="str">
        <f>IF($B274&lt;&gt;"",INDEX(DataOB[],FirstRow+ROW()-7,MATCH(Z$6,DataOB[#Headers],0)),"")</f>
        <v/>
      </c>
      <c r="AA274" s="67" t="str">
        <f>IF($B274&lt;&gt;"",INDEX(DataOB[],FirstRow+ROW()-7,MATCH(AA$6,DataOB[#Headers],0)),"")</f>
        <v/>
      </c>
      <c r="AB274" s="67" t="str">
        <f>IF($B274&lt;&gt;"",INDEX(DataOB[],FirstRow+ROW()-7,MATCH(AB$6,DataOB[#Headers],0)),"")</f>
        <v/>
      </c>
      <c r="AC274" s="67" t="str">
        <f>IF($B274&lt;&gt;"",INDEX(DataOB[],FirstRow+ROW()-7,MATCH(AC$6,DataOB[#Headers],0)),"")</f>
        <v/>
      </c>
      <c r="AD274" s="67" t="str">
        <f>IF($B274&lt;&gt;"",INDEX(DataOB[],FirstRow+ROW()-7,MATCH(AD$6,DataOB[#Headers],0)),"")</f>
        <v/>
      </c>
      <c r="AE274" s="67" t="str">
        <f>IF($B274&lt;&gt;"",INDEX(DataOB[],FirstRow+ROW()-7,MATCH(AE$6,DataOB[#Headers],0)),"")</f>
        <v/>
      </c>
      <c r="AF274" s="26">
        <f t="shared" si="50"/>
        <v>0</v>
      </c>
      <c r="AG274" s="31">
        <f>SUM($T274:T274)</f>
        <v>0</v>
      </c>
      <c r="AH274" s="31">
        <f>SUM($T274:U274)</f>
        <v>0</v>
      </c>
      <c r="AI274" s="31">
        <f>SUM($T274:V274)</f>
        <v>0</v>
      </c>
      <c r="AJ274" s="31">
        <f>SUM($T274:W274)</f>
        <v>0</v>
      </c>
      <c r="AK274" s="31">
        <f>SUM($T274:X274)</f>
        <v>0</v>
      </c>
      <c r="AL274" s="31">
        <f>SUM($T274:Y274)</f>
        <v>0</v>
      </c>
      <c r="AM274" s="31">
        <f>SUM($T274:Z274)</f>
        <v>0</v>
      </c>
      <c r="AN274" s="31">
        <f>SUM($T274:AA274)</f>
        <v>0</v>
      </c>
      <c r="AO274" s="31">
        <f>SUM($T274:AB274)</f>
        <v>0</v>
      </c>
      <c r="AP274" s="31">
        <f>SUM($T274:AC274)</f>
        <v>0</v>
      </c>
      <c r="AQ274" s="31">
        <f>SUM($T274:AD274)</f>
        <v>0</v>
      </c>
      <c r="AR274" s="31">
        <f>SUM($T274:AE274)</f>
        <v>0</v>
      </c>
      <c r="AS274" s="27">
        <f t="shared" si="51"/>
        <v>0</v>
      </c>
    </row>
    <row r="275" spans="2:45">
      <c r="B275" s="102" t="str">
        <f>IF(ROW()-6&gt;NumCostCenter,"",IF(CostCenter&lt;&gt;"ALL",CostCenter,DATA_LF2!B273))</f>
        <v/>
      </c>
      <c r="C275" s="153" t="str">
        <f>IF($B275&lt;&gt;"",INDEX(DataOB[],FirstRow+ROW()-7,2),"")</f>
        <v/>
      </c>
      <c r="D275" s="66" t="str">
        <f>IF($B275&lt;&gt;"",INDEX(DataOB[],FirstRow+ROW()-7,3),"")</f>
        <v/>
      </c>
      <c r="E275" s="103" t="str">
        <f>IF($B275&lt;&gt;"",INDEX(DataOB[],FirstRow+ROW()-7,6),"")</f>
        <v/>
      </c>
      <c r="F275" s="103" t="str">
        <f>IF($B275&lt;&gt;"",INDEX(DataOB[],FirstRow+ROW()-7,5),"")</f>
        <v/>
      </c>
      <c r="G275" s="58">
        <f>IF($B275&lt;&gt;"",SUMIFS(DataAct_tbl[AMOUNT],DataAct_tbl[BG CODE],Detail!$D275,DataAct_tbl[MONTH],LEFT(MonthName,3),DataAct_tbl[Dept code],$B275),0)</f>
        <v>0</v>
      </c>
      <c r="H275" s="31" t="str">
        <f t="shared" si="43"/>
        <v/>
      </c>
      <c r="I275" s="28" t="str">
        <f t="shared" si="44"/>
        <v/>
      </c>
      <c r="J275" s="32" t="str">
        <f t="shared" si="45"/>
        <v/>
      </c>
      <c r="K275" s="86"/>
      <c r="L275" s="62">
        <f>IF($B275&lt;&gt;"",SUMIFS(DataAct_tbl[AMOUNT],DataAct_tbl[BG CODE],Detail!$D275,DataAct_tbl[Check Range],"=true",DataAct_tbl[Dept code],$B275),0)</f>
        <v>0</v>
      </c>
      <c r="M275" s="63">
        <f>INDEX($AG$7:$AR$1005,ROW()-6,MATCH(MTD,$AG$6:$AR$6,0))</f>
        <v>0</v>
      </c>
      <c r="N275" s="34">
        <f t="shared" si="46"/>
        <v>0</v>
      </c>
      <c r="O275" s="64" t="str">
        <f t="shared" si="47"/>
        <v xml:space="preserve"> </v>
      </c>
      <c r="Q275" s="97">
        <f t="shared" si="48"/>
        <v>0</v>
      </c>
      <c r="R275" s="96">
        <f t="shared" si="49"/>
        <v>0</v>
      </c>
      <c r="T275" s="67" t="str">
        <f>IF($B275&lt;&gt;"",INDEX(DataOB[],FirstRow+ROW()-7,MATCH(T$6,DataOB[#Headers],0)),"")</f>
        <v/>
      </c>
      <c r="U275" s="67" t="str">
        <f>IF($B275&lt;&gt;"",INDEX(DataOB[],FirstRow+ROW()-7,MATCH(U$6,DataOB[#Headers],0)),"")</f>
        <v/>
      </c>
      <c r="V275" s="67" t="str">
        <f>IF($B275&lt;&gt;"",INDEX(DataOB[],FirstRow+ROW()-7,MATCH(V$6,DataOB[#Headers],0)),"")</f>
        <v/>
      </c>
      <c r="W275" s="67" t="str">
        <f>IF($B275&lt;&gt;"",INDEX(DataOB[],FirstRow+ROW()-7,MATCH(W$6,DataOB[#Headers],0)),"")</f>
        <v/>
      </c>
      <c r="X275" s="67" t="str">
        <f>IF($B275&lt;&gt;"",INDEX(DataOB[],FirstRow+ROW()-7,MATCH(X$6,DataOB[#Headers],0)),"")</f>
        <v/>
      </c>
      <c r="Y275" s="67" t="str">
        <f>IF($B275&lt;&gt;"",INDEX(DataOB[],FirstRow+ROW()-7,MATCH(Y$6,DataOB[#Headers],0)),"")</f>
        <v/>
      </c>
      <c r="Z275" s="67" t="str">
        <f>IF($B275&lt;&gt;"",INDEX(DataOB[],FirstRow+ROW()-7,MATCH(Z$6,DataOB[#Headers],0)),"")</f>
        <v/>
      </c>
      <c r="AA275" s="67" t="str">
        <f>IF($B275&lt;&gt;"",INDEX(DataOB[],FirstRow+ROW()-7,MATCH(AA$6,DataOB[#Headers],0)),"")</f>
        <v/>
      </c>
      <c r="AB275" s="67" t="str">
        <f>IF($B275&lt;&gt;"",INDEX(DataOB[],FirstRow+ROW()-7,MATCH(AB$6,DataOB[#Headers],0)),"")</f>
        <v/>
      </c>
      <c r="AC275" s="67" t="str">
        <f>IF($B275&lt;&gt;"",INDEX(DataOB[],FirstRow+ROW()-7,MATCH(AC$6,DataOB[#Headers],0)),"")</f>
        <v/>
      </c>
      <c r="AD275" s="67" t="str">
        <f>IF($B275&lt;&gt;"",INDEX(DataOB[],FirstRow+ROW()-7,MATCH(AD$6,DataOB[#Headers],0)),"")</f>
        <v/>
      </c>
      <c r="AE275" s="67" t="str">
        <f>IF($B275&lt;&gt;"",INDEX(DataOB[],FirstRow+ROW()-7,MATCH(AE$6,DataOB[#Headers],0)),"")</f>
        <v/>
      </c>
      <c r="AF275" s="26">
        <f t="shared" si="50"/>
        <v>0</v>
      </c>
      <c r="AG275" s="31">
        <f>SUM($T275:T275)</f>
        <v>0</v>
      </c>
      <c r="AH275" s="31">
        <f>SUM($T275:U275)</f>
        <v>0</v>
      </c>
      <c r="AI275" s="31">
        <f>SUM($T275:V275)</f>
        <v>0</v>
      </c>
      <c r="AJ275" s="31">
        <f>SUM($T275:W275)</f>
        <v>0</v>
      </c>
      <c r="AK275" s="31">
        <f>SUM($T275:X275)</f>
        <v>0</v>
      </c>
      <c r="AL275" s="31">
        <f>SUM($T275:Y275)</f>
        <v>0</v>
      </c>
      <c r="AM275" s="31">
        <f>SUM($T275:Z275)</f>
        <v>0</v>
      </c>
      <c r="AN275" s="31">
        <f>SUM($T275:AA275)</f>
        <v>0</v>
      </c>
      <c r="AO275" s="31">
        <f>SUM($T275:AB275)</f>
        <v>0</v>
      </c>
      <c r="AP275" s="31">
        <f>SUM($T275:AC275)</f>
        <v>0</v>
      </c>
      <c r="AQ275" s="31">
        <f>SUM($T275:AD275)</f>
        <v>0</v>
      </c>
      <c r="AR275" s="31">
        <f>SUM($T275:AE275)</f>
        <v>0</v>
      </c>
      <c r="AS275" s="27">
        <f t="shared" si="51"/>
        <v>0</v>
      </c>
    </row>
    <row r="276" spans="2:45">
      <c r="B276" s="102" t="str">
        <f>IF(ROW()-6&gt;NumCostCenter,"",IF(CostCenter&lt;&gt;"ALL",CostCenter,DATA_LF2!B274))</f>
        <v/>
      </c>
      <c r="C276" s="153" t="str">
        <f>IF($B276&lt;&gt;"",INDEX(DataOB[],FirstRow+ROW()-7,2),"")</f>
        <v/>
      </c>
      <c r="D276" s="66" t="str">
        <f>IF($B276&lt;&gt;"",INDEX(DataOB[],FirstRow+ROW()-7,3),"")</f>
        <v/>
      </c>
      <c r="E276" s="103" t="str">
        <f>IF($B276&lt;&gt;"",INDEX(DataOB[],FirstRow+ROW()-7,6),"")</f>
        <v/>
      </c>
      <c r="F276" s="103" t="str">
        <f>IF($B276&lt;&gt;"",INDEX(DataOB[],FirstRow+ROW()-7,5),"")</f>
        <v/>
      </c>
      <c r="G276" s="58">
        <f>IF($B276&lt;&gt;"",SUMIFS(DataAct_tbl[AMOUNT],DataAct_tbl[BG CODE],Detail!$D276,DataAct_tbl[MONTH],LEFT(MonthName,3),DataAct_tbl[Dept code],$B276),0)</f>
        <v>0</v>
      </c>
      <c r="H276" s="31" t="str">
        <f t="shared" si="43"/>
        <v/>
      </c>
      <c r="I276" s="28" t="str">
        <f t="shared" si="44"/>
        <v/>
      </c>
      <c r="J276" s="32" t="str">
        <f t="shared" si="45"/>
        <v/>
      </c>
      <c r="K276" s="86"/>
      <c r="L276" s="62">
        <f>IF($B276&lt;&gt;"",SUMIFS(DataAct_tbl[AMOUNT],DataAct_tbl[BG CODE],Detail!$D276,DataAct_tbl[Check Range],"=true",DataAct_tbl[Dept code],$B276),0)</f>
        <v>0</v>
      </c>
      <c r="M276" s="63">
        <f>INDEX($AG$7:$AR$1005,ROW()-6,MATCH(MTD,$AG$6:$AR$6,0))</f>
        <v>0</v>
      </c>
      <c r="N276" s="34">
        <f t="shared" si="46"/>
        <v>0</v>
      </c>
      <c r="O276" s="64" t="str">
        <f t="shared" si="47"/>
        <v xml:space="preserve"> </v>
      </c>
      <c r="Q276" s="97">
        <f t="shared" si="48"/>
        <v>0</v>
      </c>
      <c r="R276" s="96">
        <f t="shared" si="49"/>
        <v>0</v>
      </c>
      <c r="T276" s="67" t="str">
        <f>IF($B276&lt;&gt;"",INDEX(DataOB[],FirstRow+ROW()-7,MATCH(T$6,DataOB[#Headers],0)),"")</f>
        <v/>
      </c>
      <c r="U276" s="67" t="str">
        <f>IF($B276&lt;&gt;"",INDEX(DataOB[],FirstRow+ROW()-7,MATCH(U$6,DataOB[#Headers],0)),"")</f>
        <v/>
      </c>
      <c r="V276" s="67" t="str">
        <f>IF($B276&lt;&gt;"",INDEX(DataOB[],FirstRow+ROW()-7,MATCH(V$6,DataOB[#Headers],0)),"")</f>
        <v/>
      </c>
      <c r="W276" s="67" t="str">
        <f>IF($B276&lt;&gt;"",INDEX(DataOB[],FirstRow+ROW()-7,MATCH(W$6,DataOB[#Headers],0)),"")</f>
        <v/>
      </c>
      <c r="X276" s="67" t="str">
        <f>IF($B276&lt;&gt;"",INDEX(DataOB[],FirstRow+ROW()-7,MATCH(X$6,DataOB[#Headers],0)),"")</f>
        <v/>
      </c>
      <c r="Y276" s="67" t="str">
        <f>IF($B276&lt;&gt;"",INDEX(DataOB[],FirstRow+ROW()-7,MATCH(Y$6,DataOB[#Headers],0)),"")</f>
        <v/>
      </c>
      <c r="Z276" s="67" t="str">
        <f>IF($B276&lt;&gt;"",INDEX(DataOB[],FirstRow+ROW()-7,MATCH(Z$6,DataOB[#Headers],0)),"")</f>
        <v/>
      </c>
      <c r="AA276" s="67" t="str">
        <f>IF($B276&lt;&gt;"",INDEX(DataOB[],FirstRow+ROW()-7,MATCH(AA$6,DataOB[#Headers],0)),"")</f>
        <v/>
      </c>
      <c r="AB276" s="67" t="str">
        <f>IF($B276&lt;&gt;"",INDEX(DataOB[],FirstRow+ROW()-7,MATCH(AB$6,DataOB[#Headers],0)),"")</f>
        <v/>
      </c>
      <c r="AC276" s="67" t="str">
        <f>IF($B276&lt;&gt;"",INDEX(DataOB[],FirstRow+ROW()-7,MATCH(AC$6,DataOB[#Headers],0)),"")</f>
        <v/>
      </c>
      <c r="AD276" s="67" t="str">
        <f>IF($B276&lt;&gt;"",INDEX(DataOB[],FirstRow+ROW()-7,MATCH(AD$6,DataOB[#Headers],0)),"")</f>
        <v/>
      </c>
      <c r="AE276" s="67" t="str">
        <f>IF($B276&lt;&gt;"",INDEX(DataOB[],FirstRow+ROW()-7,MATCH(AE$6,DataOB[#Headers],0)),"")</f>
        <v/>
      </c>
      <c r="AF276" s="26">
        <f t="shared" si="50"/>
        <v>0</v>
      </c>
      <c r="AG276" s="31">
        <f>SUM($T276:T276)</f>
        <v>0</v>
      </c>
      <c r="AH276" s="31">
        <f>SUM($T276:U276)</f>
        <v>0</v>
      </c>
      <c r="AI276" s="31">
        <f>SUM($T276:V276)</f>
        <v>0</v>
      </c>
      <c r="AJ276" s="31">
        <f>SUM($T276:W276)</f>
        <v>0</v>
      </c>
      <c r="AK276" s="31">
        <f>SUM($T276:X276)</f>
        <v>0</v>
      </c>
      <c r="AL276" s="31">
        <f>SUM($T276:Y276)</f>
        <v>0</v>
      </c>
      <c r="AM276" s="31">
        <f>SUM($T276:Z276)</f>
        <v>0</v>
      </c>
      <c r="AN276" s="31">
        <f>SUM($T276:AA276)</f>
        <v>0</v>
      </c>
      <c r="AO276" s="31">
        <f>SUM($T276:AB276)</f>
        <v>0</v>
      </c>
      <c r="AP276" s="31">
        <f>SUM($T276:AC276)</f>
        <v>0</v>
      </c>
      <c r="AQ276" s="31">
        <f>SUM($T276:AD276)</f>
        <v>0</v>
      </c>
      <c r="AR276" s="31">
        <f>SUM($T276:AE276)</f>
        <v>0</v>
      </c>
      <c r="AS276" s="27">
        <f t="shared" si="51"/>
        <v>0</v>
      </c>
    </row>
    <row r="277" spans="2:45">
      <c r="B277" s="102" t="str">
        <f>IF(ROW()-6&gt;NumCostCenter,"",IF(CostCenter&lt;&gt;"ALL",CostCenter,DATA_LF2!B275))</f>
        <v/>
      </c>
      <c r="C277" s="153" t="str">
        <f>IF($B277&lt;&gt;"",INDEX(DataOB[],FirstRow+ROW()-7,2),"")</f>
        <v/>
      </c>
      <c r="D277" s="66" t="str">
        <f>IF($B277&lt;&gt;"",INDEX(DataOB[],FirstRow+ROW()-7,3),"")</f>
        <v/>
      </c>
      <c r="E277" s="103" t="str">
        <f>IF($B277&lt;&gt;"",INDEX(DataOB[],FirstRow+ROW()-7,6),"")</f>
        <v/>
      </c>
      <c r="F277" s="103" t="str">
        <f>IF($B277&lt;&gt;"",INDEX(DataOB[],FirstRow+ROW()-7,5),"")</f>
        <v/>
      </c>
      <c r="G277" s="58">
        <f>IF($B277&lt;&gt;"",SUMIFS(DataAct_tbl[AMOUNT],DataAct_tbl[BG CODE],Detail!$D277,DataAct_tbl[MONTH],LEFT(MonthName,3),DataAct_tbl[Dept code],$B277),0)</f>
        <v>0</v>
      </c>
      <c r="H277" s="31" t="str">
        <f t="shared" si="43"/>
        <v/>
      </c>
      <c r="I277" s="28" t="str">
        <f t="shared" si="44"/>
        <v/>
      </c>
      <c r="J277" s="32" t="str">
        <f t="shared" si="45"/>
        <v/>
      </c>
      <c r="K277" s="86"/>
      <c r="L277" s="62">
        <f>IF($B277&lt;&gt;"",SUMIFS(DataAct_tbl[AMOUNT],DataAct_tbl[BG CODE],Detail!$D277,DataAct_tbl[Check Range],"=true",DataAct_tbl[Dept code],$B277),0)</f>
        <v>0</v>
      </c>
      <c r="M277" s="63">
        <f>INDEX($AG$7:$AR$1005,ROW()-6,MATCH(MTD,$AG$6:$AR$6,0))</f>
        <v>0</v>
      </c>
      <c r="N277" s="34">
        <f t="shared" si="46"/>
        <v>0</v>
      </c>
      <c r="O277" s="64" t="str">
        <f t="shared" si="47"/>
        <v xml:space="preserve"> </v>
      </c>
      <c r="Q277" s="97">
        <f t="shared" si="48"/>
        <v>0</v>
      </c>
      <c r="R277" s="96">
        <f t="shared" si="49"/>
        <v>0</v>
      </c>
      <c r="T277" s="67" t="str">
        <f>IF($B277&lt;&gt;"",INDEX(DataOB[],FirstRow+ROW()-7,MATCH(T$6,DataOB[#Headers],0)),"")</f>
        <v/>
      </c>
      <c r="U277" s="67" t="str">
        <f>IF($B277&lt;&gt;"",INDEX(DataOB[],FirstRow+ROW()-7,MATCH(U$6,DataOB[#Headers],0)),"")</f>
        <v/>
      </c>
      <c r="V277" s="67" t="str">
        <f>IF($B277&lt;&gt;"",INDEX(DataOB[],FirstRow+ROW()-7,MATCH(V$6,DataOB[#Headers],0)),"")</f>
        <v/>
      </c>
      <c r="W277" s="67" t="str">
        <f>IF($B277&lt;&gt;"",INDEX(DataOB[],FirstRow+ROW()-7,MATCH(W$6,DataOB[#Headers],0)),"")</f>
        <v/>
      </c>
      <c r="X277" s="67" t="str">
        <f>IF($B277&lt;&gt;"",INDEX(DataOB[],FirstRow+ROW()-7,MATCH(X$6,DataOB[#Headers],0)),"")</f>
        <v/>
      </c>
      <c r="Y277" s="67" t="str">
        <f>IF($B277&lt;&gt;"",INDEX(DataOB[],FirstRow+ROW()-7,MATCH(Y$6,DataOB[#Headers],0)),"")</f>
        <v/>
      </c>
      <c r="Z277" s="67" t="str">
        <f>IF($B277&lt;&gt;"",INDEX(DataOB[],FirstRow+ROW()-7,MATCH(Z$6,DataOB[#Headers],0)),"")</f>
        <v/>
      </c>
      <c r="AA277" s="67" t="str">
        <f>IF($B277&lt;&gt;"",INDEX(DataOB[],FirstRow+ROW()-7,MATCH(AA$6,DataOB[#Headers],0)),"")</f>
        <v/>
      </c>
      <c r="AB277" s="67" t="str">
        <f>IF($B277&lt;&gt;"",INDEX(DataOB[],FirstRow+ROW()-7,MATCH(AB$6,DataOB[#Headers],0)),"")</f>
        <v/>
      </c>
      <c r="AC277" s="67" t="str">
        <f>IF($B277&lt;&gt;"",INDEX(DataOB[],FirstRow+ROW()-7,MATCH(AC$6,DataOB[#Headers],0)),"")</f>
        <v/>
      </c>
      <c r="AD277" s="67" t="str">
        <f>IF($B277&lt;&gt;"",INDEX(DataOB[],FirstRow+ROW()-7,MATCH(AD$6,DataOB[#Headers],0)),"")</f>
        <v/>
      </c>
      <c r="AE277" s="67" t="str">
        <f>IF($B277&lt;&gt;"",INDEX(DataOB[],FirstRow+ROW()-7,MATCH(AE$6,DataOB[#Headers],0)),"")</f>
        <v/>
      </c>
      <c r="AF277" s="26">
        <f t="shared" si="50"/>
        <v>0</v>
      </c>
      <c r="AG277" s="31">
        <f>SUM($T277:T277)</f>
        <v>0</v>
      </c>
      <c r="AH277" s="31">
        <f>SUM($T277:U277)</f>
        <v>0</v>
      </c>
      <c r="AI277" s="31">
        <f>SUM($T277:V277)</f>
        <v>0</v>
      </c>
      <c r="AJ277" s="31">
        <f>SUM($T277:W277)</f>
        <v>0</v>
      </c>
      <c r="AK277" s="31">
        <f>SUM($T277:X277)</f>
        <v>0</v>
      </c>
      <c r="AL277" s="31">
        <f>SUM($T277:Y277)</f>
        <v>0</v>
      </c>
      <c r="AM277" s="31">
        <f>SUM($T277:Z277)</f>
        <v>0</v>
      </c>
      <c r="AN277" s="31">
        <f>SUM($T277:AA277)</f>
        <v>0</v>
      </c>
      <c r="AO277" s="31">
        <f>SUM($T277:AB277)</f>
        <v>0</v>
      </c>
      <c r="AP277" s="31">
        <f>SUM($T277:AC277)</f>
        <v>0</v>
      </c>
      <c r="AQ277" s="31">
        <f>SUM($T277:AD277)</f>
        <v>0</v>
      </c>
      <c r="AR277" s="31">
        <f>SUM($T277:AE277)</f>
        <v>0</v>
      </c>
      <c r="AS277" s="27">
        <f t="shared" si="51"/>
        <v>0</v>
      </c>
    </row>
    <row r="278" spans="2:45">
      <c r="B278" s="102" t="str">
        <f>IF(ROW()-6&gt;NumCostCenter,"",IF(CostCenter&lt;&gt;"ALL",CostCenter,DATA_LF2!B276))</f>
        <v/>
      </c>
      <c r="C278" s="153" t="str">
        <f>IF($B278&lt;&gt;"",INDEX(DataOB[],FirstRow+ROW()-7,2),"")</f>
        <v/>
      </c>
      <c r="D278" s="66" t="str">
        <f>IF($B278&lt;&gt;"",INDEX(DataOB[],FirstRow+ROW()-7,3),"")</f>
        <v/>
      </c>
      <c r="E278" s="103" t="str">
        <f>IF($B278&lt;&gt;"",INDEX(DataOB[],FirstRow+ROW()-7,6),"")</f>
        <v/>
      </c>
      <c r="F278" s="103" t="str">
        <f>IF($B278&lt;&gt;"",INDEX(DataOB[],FirstRow+ROW()-7,5),"")</f>
        <v/>
      </c>
      <c r="G278" s="58">
        <f>IF($B278&lt;&gt;"",SUMIFS(DataAct_tbl[AMOUNT],DataAct_tbl[BG CODE],Detail!$D278,DataAct_tbl[MONTH],LEFT(MonthName,3),DataAct_tbl[Dept code],$B278),0)</f>
        <v>0</v>
      </c>
      <c r="H278" s="31" t="str">
        <f t="shared" si="43"/>
        <v/>
      </c>
      <c r="I278" s="28" t="str">
        <f t="shared" si="44"/>
        <v/>
      </c>
      <c r="J278" s="32" t="str">
        <f t="shared" si="45"/>
        <v/>
      </c>
      <c r="K278" s="86"/>
      <c r="L278" s="62">
        <f>IF($B278&lt;&gt;"",SUMIFS(DataAct_tbl[AMOUNT],DataAct_tbl[BG CODE],Detail!$D278,DataAct_tbl[Check Range],"=true",DataAct_tbl[Dept code],$B278),0)</f>
        <v>0</v>
      </c>
      <c r="M278" s="63">
        <f>INDEX($AG$7:$AR$1005,ROW()-6,MATCH(MTD,$AG$6:$AR$6,0))</f>
        <v>0</v>
      </c>
      <c r="N278" s="34">
        <f t="shared" si="46"/>
        <v>0</v>
      </c>
      <c r="O278" s="64" t="str">
        <f t="shared" si="47"/>
        <v xml:space="preserve"> </v>
      </c>
      <c r="Q278" s="97">
        <f t="shared" si="48"/>
        <v>0</v>
      </c>
      <c r="R278" s="96">
        <f t="shared" si="49"/>
        <v>0</v>
      </c>
      <c r="T278" s="67" t="str">
        <f>IF($B278&lt;&gt;"",INDEX(DataOB[],FirstRow+ROW()-7,MATCH(T$6,DataOB[#Headers],0)),"")</f>
        <v/>
      </c>
      <c r="U278" s="67" t="str">
        <f>IF($B278&lt;&gt;"",INDEX(DataOB[],FirstRow+ROW()-7,MATCH(U$6,DataOB[#Headers],0)),"")</f>
        <v/>
      </c>
      <c r="V278" s="67" t="str">
        <f>IF($B278&lt;&gt;"",INDEX(DataOB[],FirstRow+ROW()-7,MATCH(V$6,DataOB[#Headers],0)),"")</f>
        <v/>
      </c>
      <c r="W278" s="67" t="str">
        <f>IF($B278&lt;&gt;"",INDEX(DataOB[],FirstRow+ROW()-7,MATCH(W$6,DataOB[#Headers],0)),"")</f>
        <v/>
      </c>
      <c r="X278" s="67" t="str">
        <f>IF($B278&lt;&gt;"",INDEX(DataOB[],FirstRow+ROW()-7,MATCH(X$6,DataOB[#Headers],0)),"")</f>
        <v/>
      </c>
      <c r="Y278" s="67" t="str">
        <f>IF($B278&lt;&gt;"",INDEX(DataOB[],FirstRow+ROW()-7,MATCH(Y$6,DataOB[#Headers],0)),"")</f>
        <v/>
      </c>
      <c r="Z278" s="67" t="str">
        <f>IF($B278&lt;&gt;"",INDEX(DataOB[],FirstRow+ROW()-7,MATCH(Z$6,DataOB[#Headers],0)),"")</f>
        <v/>
      </c>
      <c r="AA278" s="67" t="str">
        <f>IF($B278&lt;&gt;"",INDEX(DataOB[],FirstRow+ROW()-7,MATCH(AA$6,DataOB[#Headers],0)),"")</f>
        <v/>
      </c>
      <c r="AB278" s="67" t="str">
        <f>IF($B278&lt;&gt;"",INDEX(DataOB[],FirstRow+ROW()-7,MATCH(AB$6,DataOB[#Headers],0)),"")</f>
        <v/>
      </c>
      <c r="AC278" s="67" t="str">
        <f>IF($B278&lt;&gt;"",INDEX(DataOB[],FirstRow+ROW()-7,MATCH(AC$6,DataOB[#Headers],0)),"")</f>
        <v/>
      </c>
      <c r="AD278" s="67" t="str">
        <f>IF($B278&lt;&gt;"",INDEX(DataOB[],FirstRow+ROW()-7,MATCH(AD$6,DataOB[#Headers],0)),"")</f>
        <v/>
      </c>
      <c r="AE278" s="67" t="str">
        <f>IF($B278&lt;&gt;"",INDEX(DataOB[],FirstRow+ROW()-7,MATCH(AE$6,DataOB[#Headers],0)),"")</f>
        <v/>
      </c>
      <c r="AF278" s="26">
        <f t="shared" si="50"/>
        <v>0</v>
      </c>
      <c r="AG278" s="31">
        <f>SUM($T278:T278)</f>
        <v>0</v>
      </c>
      <c r="AH278" s="31">
        <f>SUM($T278:U278)</f>
        <v>0</v>
      </c>
      <c r="AI278" s="31">
        <f>SUM($T278:V278)</f>
        <v>0</v>
      </c>
      <c r="AJ278" s="31">
        <f>SUM($T278:W278)</f>
        <v>0</v>
      </c>
      <c r="AK278" s="31">
        <f>SUM($T278:X278)</f>
        <v>0</v>
      </c>
      <c r="AL278" s="31">
        <f>SUM($T278:Y278)</f>
        <v>0</v>
      </c>
      <c r="AM278" s="31">
        <f>SUM($T278:Z278)</f>
        <v>0</v>
      </c>
      <c r="AN278" s="31">
        <f>SUM($T278:AA278)</f>
        <v>0</v>
      </c>
      <c r="AO278" s="31">
        <f>SUM($T278:AB278)</f>
        <v>0</v>
      </c>
      <c r="AP278" s="31">
        <f>SUM($T278:AC278)</f>
        <v>0</v>
      </c>
      <c r="AQ278" s="31">
        <f>SUM($T278:AD278)</f>
        <v>0</v>
      </c>
      <c r="AR278" s="31">
        <f>SUM($T278:AE278)</f>
        <v>0</v>
      </c>
      <c r="AS278" s="27">
        <f t="shared" si="51"/>
        <v>0</v>
      </c>
    </row>
    <row r="279" spans="2:45">
      <c r="B279" s="102" t="str">
        <f>IF(ROW()-6&gt;NumCostCenter,"",IF(CostCenter&lt;&gt;"ALL",CostCenter,DATA_LF2!B277))</f>
        <v/>
      </c>
      <c r="C279" s="153" t="str">
        <f>IF($B279&lt;&gt;"",INDEX(DataOB[],FirstRow+ROW()-7,2),"")</f>
        <v/>
      </c>
      <c r="D279" s="66" t="str">
        <f>IF($B279&lt;&gt;"",INDEX(DataOB[],FirstRow+ROW()-7,3),"")</f>
        <v/>
      </c>
      <c r="E279" s="103" t="str">
        <f>IF($B279&lt;&gt;"",INDEX(DataOB[],FirstRow+ROW()-7,6),"")</f>
        <v/>
      </c>
      <c r="F279" s="103" t="str">
        <f>IF($B279&lt;&gt;"",INDEX(DataOB[],FirstRow+ROW()-7,5),"")</f>
        <v/>
      </c>
      <c r="G279" s="58">
        <f>IF($B279&lt;&gt;"",SUMIFS(DataAct_tbl[AMOUNT],DataAct_tbl[BG CODE],Detail!$D279,DataAct_tbl[MONTH],LEFT(MonthName,3),DataAct_tbl[Dept code],$B279),0)</f>
        <v>0</v>
      </c>
      <c r="H279" s="31" t="str">
        <f t="shared" si="43"/>
        <v/>
      </c>
      <c r="I279" s="28" t="str">
        <f t="shared" si="44"/>
        <v/>
      </c>
      <c r="J279" s="32" t="str">
        <f t="shared" si="45"/>
        <v/>
      </c>
      <c r="K279" s="86"/>
      <c r="L279" s="62">
        <f>IF($B279&lt;&gt;"",SUMIFS(DataAct_tbl[AMOUNT],DataAct_tbl[BG CODE],Detail!$D279,DataAct_tbl[Check Range],"=true",DataAct_tbl[Dept code],$B279),0)</f>
        <v>0</v>
      </c>
      <c r="M279" s="63">
        <f>INDEX($AG$7:$AR$1005,ROW()-6,MATCH(MTD,$AG$6:$AR$6,0))</f>
        <v>0</v>
      </c>
      <c r="N279" s="34">
        <f t="shared" si="46"/>
        <v>0</v>
      </c>
      <c r="O279" s="64" t="str">
        <f t="shared" si="47"/>
        <v xml:space="preserve"> </v>
      </c>
      <c r="Q279" s="97">
        <f t="shared" si="48"/>
        <v>0</v>
      </c>
      <c r="R279" s="96">
        <f t="shared" si="49"/>
        <v>0</v>
      </c>
      <c r="T279" s="67" t="str">
        <f>IF($B279&lt;&gt;"",INDEX(DataOB[],FirstRow+ROW()-7,MATCH(T$6,DataOB[#Headers],0)),"")</f>
        <v/>
      </c>
      <c r="U279" s="67" t="str">
        <f>IF($B279&lt;&gt;"",INDEX(DataOB[],FirstRow+ROW()-7,MATCH(U$6,DataOB[#Headers],0)),"")</f>
        <v/>
      </c>
      <c r="V279" s="67" t="str">
        <f>IF($B279&lt;&gt;"",INDEX(DataOB[],FirstRow+ROW()-7,MATCH(V$6,DataOB[#Headers],0)),"")</f>
        <v/>
      </c>
      <c r="W279" s="67" t="str">
        <f>IF($B279&lt;&gt;"",INDEX(DataOB[],FirstRow+ROW()-7,MATCH(W$6,DataOB[#Headers],0)),"")</f>
        <v/>
      </c>
      <c r="X279" s="67" t="str">
        <f>IF($B279&lt;&gt;"",INDEX(DataOB[],FirstRow+ROW()-7,MATCH(X$6,DataOB[#Headers],0)),"")</f>
        <v/>
      </c>
      <c r="Y279" s="67" t="str">
        <f>IF($B279&lt;&gt;"",INDEX(DataOB[],FirstRow+ROW()-7,MATCH(Y$6,DataOB[#Headers],0)),"")</f>
        <v/>
      </c>
      <c r="Z279" s="67" t="str">
        <f>IF($B279&lt;&gt;"",INDEX(DataOB[],FirstRow+ROW()-7,MATCH(Z$6,DataOB[#Headers],0)),"")</f>
        <v/>
      </c>
      <c r="AA279" s="67" t="str">
        <f>IF($B279&lt;&gt;"",INDEX(DataOB[],FirstRow+ROW()-7,MATCH(AA$6,DataOB[#Headers],0)),"")</f>
        <v/>
      </c>
      <c r="AB279" s="67" t="str">
        <f>IF($B279&lt;&gt;"",INDEX(DataOB[],FirstRow+ROW()-7,MATCH(AB$6,DataOB[#Headers],0)),"")</f>
        <v/>
      </c>
      <c r="AC279" s="67" t="str">
        <f>IF($B279&lt;&gt;"",INDEX(DataOB[],FirstRow+ROW()-7,MATCH(AC$6,DataOB[#Headers],0)),"")</f>
        <v/>
      </c>
      <c r="AD279" s="67" t="str">
        <f>IF($B279&lt;&gt;"",INDEX(DataOB[],FirstRow+ROW()-7,MATCH(AD$6,DataOB[#Headers],0)),"")</f>
        <v/>
      </c>
      <c r="AE279" s="67" t="str">
        <f>IF($B279&lt;&gt;"",INDEX(DataOB[],FirstRow+ROW()-7,MATCH(AE$6,DataOB[#Headers],0)),"")</f>
        <v/>
      </c>
      <c r="AF279" s="26">
        <f t="shared" si="50"/>
        <v>0</v>
      </c>
      <c r="AG279" s="31">
        <f>SUM($T279:T279)</f>
        <v>0</v>
      </c>
      <c r="AH279" s="31">
        <f>SUM($T279:U279)</f>
        <v>0</v>
      </c>
      <c r="AI279" s="31">
        <f>SUM($T279:V279)</f>
        <v>0</v>
      </c>
      <c r="AJ279" s="31">
        <f>SUM($T279:W279)</f>
        <v>0</v>
      </c>
      <c r="AK279" s="31">
        <f>SUM($T279:X279)</f>
        <v>0</v>
      </c>
      <c r="AL279" s="31">
        <f>SUM($T279:Y279)</f>
        <v>0</v>
      </c>
      <c r="AM279" s="31">
        <f>SUM($T279:Z279)</f>
        <v>0</v>
      </c>
      <c r="AN279" s="31">
        <f>SUM($T279:AA279)</f>
        <v>0</v>
      </c>
      <c r="AO279" s="31">
        <f>SUM($T279:AB279)</f>
        <v>0</v>
      </c>
      <c r="AP279" s="31">
        <f>SUM($T279:AC279)</f>
        <v>0</v>
      </c>
      <c r="AQ279" s="31">
        <f>SUM($T279:AD279)</f>
        <v>0</v>
      </c>
      <c r="AR279" s="31">
        <f>SUM($T279:AE279)</f>
        <v>0</v>
      </c>
      <c r="AS279" s="27">
        <f t="shared" si="51"/>
        <v>0</v>
      </c>
    </row>
    <row r="280" spans="2:45">
      <c r="B280" s="102" t="str">
        <f>IF(ROW()-6&gt;NumCostCenter,"",IF(CostCenter&lt;&gt;"ALL",CostCenter,DATA_LF2!B278))</f>
        <v/>
      </c>
      <c r="C280" s="153" t="str">
        <f>IF($B280&lt;&gt;"",INDEX(DataOB[],FirstRow+ROW()-7,2),"")</f>
        <v/>
      </c>
      <c r="D280" s="66" t="str">
        <f>IF($B280&lt;&gt;"",INDEX(DataOB[],FirstRow+ROW()-7,3),"")</f>
        <v/>
      </c>
      <c r="E280" s="103" t="str">
        <f>IF($B280&lt;&gt;"",INDEX(DataOB[],FirstRow+ROW()-7,6),"")</f>
        <v/>
      </c>
      <c r="F280" s="103" t="str">
        <f>IF($B280&lt;&gt;"",INDEX(DataOB[],FirstRow+ROW()-7,5),"")</f>
        <v/>
      </c>
      <c r="G280" s="58">
        <f>IF($B280&lt;&gt;"",SUMIFS(DataAct_tbl[AMOUNT],DataAct_tbl[BG CODE],Detail!$D280,DataAct_tbl[MONTH],LEFT(MonthName,3),DataAct_tbl[Dept code],$B280),0)</f>
        <v>0</v>
      </c>
      <c r="H280" s="31" t="str">
        <f t="shared" si="43"/>
        <v/>
      </c>
      <c r="I280" s="28" t="str">
        <f t="shared" si="44"/>
        <v/>
      </c>
      <c r="J280" s="32" t="str">
        <f t="shared" si="45"/>
        <v/>
      </c>
      <c r="K280" s="86"/>
      <c r="L280" s="62">
        <f>IF($B280&lt;&gt;"",SUMIFS(DataAct_tbl[AMOUNT],DataAct_tbl[BG CODE],Detail!$D280,DataAct_tbl[Check Range],"=true",DataAct_tbl[Dept code],$B280),0)</f>
        <v>0</v>
      </c>
      <c r="M280" s="63">
        <f>INDEX($AG$7:$AR$1005,ROW()-6,MATCH(MTD,$AG$6:$AR$6,0))</f>
        <v>0</v>
      </c>
      <c r="N280" s="34">
        <f t="shared" si="46"/>
        <v>0</v>
      </c>
      <c r="O280" s="64" t="str">
        <f t="shared" si="47"/>
        <v xml:space="preserve"> </v>
      </c>
      <c r="Q280" s="97">
        <f t="shared" si="48"/>
        <v>0</v>
      </c>
      <c r="R280" s="96">
        <f t="shared" si="49"/>
        <v>0</v>
      </c>
      <c r="T280" s="67" t="str">
        <f>IF($B280&lt;&gt;"",INDEX(DataOB[],FirstRow+ROW()-7,MATCH(T$6,DataOB[#Headers],0)),"")</f>
        <v/>
      </c>
      <c r="U280" s="67" t="str">
        <f>IF($B280&lt;&gt;"",INDEX(DataOB[],FirstRow+ROW()-7,MATCH(U$6,DataOB[#Headers],0)),"")</f>
        <v/>
      </c>
      <c r="V280" s="67" t="str">
        <f>IF($B280&lt;&gt;"",INDEX(DataOB[],FirstRow+ROW()-7,MATCH(V$6,DataOB[#Headers],0)),"")</f>
        <v/>
      </c>
      <c r="W280" s="67" t="str">
        <f>IF($B280&lt;&gt;"",INDEX(DataOB[],FirstRow+ROW()-7,MATCH(W$6,DataOB[#Headers],0)),"")</f>
        <v/>
      </c>
      <c r="X280" s="67" t="str">
        <f>IF($B280&lt;&gt;"",INDEX(DataOB[],FirstRow+ROW()-7,MATCH(X$6,DataOB[#Headers],0)),"")</f>
        <v/>
      </c>
      <c r="Y280" s="67" t="str">
        <f>IF($B280&lt;&gt;"",INDEX(DataOB[],FirstRow+ROW()-7,MATCH(Y$6,DataOB[#Headers],0)),"")</f>
        <v/>
      </c>
      <c r="Z280" s="67" t="str">
        <f>IF($B280&lt;&gt;"",INDEX(DataOB[],FirstRow+ROW()-7,MATCH(Z$6,DataOB[#Headers],0)),"")</f>
        <v/>
      </c>
      <c r="AA280" s="67" t="str">
        <f>IF($B280&lt;&gt;"",INDEX(DataOB[],FirstRow+ROW()-7,MATCH(AA$6,DataOB[#Headers],0)),"")</f>
        <v/>
      </c>
      <c r="AB280" s="67" t="str">
        <f>IF($B280&lt;&gt;"",INDEX(DataOB[],FirstRow+ROW()-7,MATCH(AB$6,DataOB[#Headers],0)),"")</f>
        <v/>
      </c>
      <c r="AC280" s="67" t="str">
        <f>IF($B280&lt;&gt;"",INDEX(DataOB[],FirstRow+ROW()-7,MATCH(AC$6,DataOB[#Headers],0)),"")</f>
        <v/>
      </c>
      <c r="AD280" s="67" t="str">
        <f>IF($B280&lt;&gt;"",INDEX(DataOB[],FirstRow+ROW()-7,MATCH(AD$6,DataOB[#Headers],0)),"")</f>
        <v/>
      </c>
      <c r="AE280" s="67" t="str">
        <f>IF($B280&lt;&gt;"",INDEX(DataOB[],FirstRow+ROW()-7,MATCH(AE$6,DataOB[#Headers],0)),"")</f>
        <v/>
      </c>
      <c r="AF280" s="26">
        <f t="shared" si="50"/>
        <v>0</v>
      </c>
      <c r="AG280" s="31">
        <f>SUM($T280:T280)</f>
        <v>0</v>
      </c>
      <c r="AH280" s="31">
        <f>SUM($T280:U280)</f>
        <v>0</v>
      </c>
      <c r="AI280" s="31">
        <f>SUM($T280:V280)</f>
        <v>0</v>
      </c>
      <c r="AJ280" s="31">
        <f>SUM($T280:W280)</f>
        <v>0</v>
      </c>
      <c r="AK280" s="31">
        <f>SUM($T280:X280)</f>
        <v>0</v>
      </c>
      <c r="AL280" s="31">
        <f>SUM($T280:Y280)</f>
        <v>0</v>
      </c>
      <c r="AM280" s="31">
        <f>SUM($T280:Z280)</f>
        <v>0</v>
      </c>
      <c r="AN280" s="31">
        <f>SUM($T280:AA280)</f>
        <v>0</v>
      </c>
      <c r="AO280" s="31">
        <f>SUM($T280:AB280)</f>
        <v>0</v>
      </c>
      <c r="AP280" s="31">
        <f>SUM($T280:AC280)</f>
        <v>0</v>
      </c>
      <c r="AQ280" s="31">
        <f>SUM($T280:AD280)</f>
        <v>0</v>
      </c>
      <c r="AR280" s="31">
        <f>SUM($T280:AE280)</f>
        <v>0</v>
      </c>
      <c r="AS280" s="27">
        <f t="shared" si="51"/>
        <v>0</v>
      </c>
    </row>
    <row r="281" spans="2:45">
      <c r="B281" s="102" t="str">
        <f>IF(ROW()-6&gt;NumCostCenter,"",IF(CostCenter&lt;&gt;"ALL",CostCenter,DATA_LF2!B279))</f>
        <v/>
      </c>
      <c r="C281" s="153" t="str">
        <f>IF($B281&lt;&gt;"",INDEX(DataOB[],FirstRow+ROW()-7,2),"")</f>
        <v/>
      </c>
      <c r="D281" s="66" t="str">
        <f>IF($B281&lt;&gt;"",INDEX(DataOB[],FirstRow+ROW()-7,3),"")</f>
        <v/>
      </c>
      <c r="E281" s="103" t="str">
        <f>IF($B281&lt;&gt;"",INDEX(DataOB[],FirstRow+ROW()-7,6),"")</f>
        <v/>
      </c>
      <c r="F281" s="103" t="str">
        <f>IF($B281&lt;&gt;"",INDEX(DataOB[],FirstRow+ROW()-7,5),"")</f>
        <v/>
      </c>
      <c r="G281" s="58">
        <f>IF($B281&lt;&gt;"",SUMIFS(DataAct_tbl[AMOUNT],DataAct_tbl[BG CODE],Detail!$D281,DataAct_tbl[MONTH],LEFT(MonthName,3),DataAct_tbl[Dept code],$B281),0)</f>
        <v>0</v>
      </c>
      <c r="H281" s="31" t="str">
        <f t="shared" si="43"/>
        <v/>
      </c>
      <c r="I281" s="28" t="str">
        <f t="shared" si="44"/>
        <v/>
      </c>
      <c r="J281" s="32" t="str">
        <f t="shared" si="45"/>
        <v/>
      </c>
      <c r="K281" s="86"/>
      <c r="L281" s="62">
        <f>IF($B281&lt;&gt;"",SUMIFS(DataAct_tbl[AMOUNT],DataAct_tbl[BG CODE],Detail!$D281,DataAct_tbl[Check Range],"=true",DataAct_tbl[Dept code],$B281),0)</f>
        <v>0</v>
      </c>
      <c r="M281" s="63">
        <f>INDEX($AG$7:$AR$1005,ROW()-6,MATCH(MTD,$AG$6:$AR$6,0))</f>
        <v>0</v>
      </c>
      <c r="N281" s="34">
        <f t="shared" si="46"/>
        <v>0</v>
      </c>
      <c r="O281" s="64" t="str">
        <f t="shared" si="47"/>
        <v xml:space="preserve"> </v>
      </c>
      <c r="Q281" s="97">
        <f t="shared" si="48"/>
        <v>0</v>
      </c>
      <c r="R281" s="96">
        <f t="shared" si="49"/>
        <v>0</v>
      </c>
      <c r="T281" s="67" t="str">
        <f>IF($B281&lt;&gt;"",INDEX(DataOB[],FirstRow+ROW()-7,MATCH(T$6,DataOB[#Headers],0)),"")</f>
        <v/>
      </c>
      <c r="U281" s="67" t="str">
        <f>IF($B281&lt;&gt;"",INDEX(DataOB[],FirstRow+ROW()-7,MATCH(U$6,DataOB[#Headers],0)),"")</f>
        <v/>
      </c>
      <c r="V281" s="67" t="str">
        <f>IF($B281&lt;&gt;"",INDEX(DataOB[],FirstRow+ROW()-7,MATCH(V$6,DataOB[#Headers],0)),"")</f>
        <v/>
      </c>
      <c r="W281" s="67" t="str">
        <f>IF($B281&lt;&gt;"",INDEX(DataOB[],FirstRow+ROW()-7,MATCH(W$6,DataOB[#Headers],0)),"")</f>
        <v/>
      </c>
      <c r="X281" s="67" t="str">
        <f>IF($B281&lt;&gt;"",INDEX(DataOB[],FirstRow+ROW()-7,MATCH(X$6,DataOB[#Headers],0)),"")</f>
        <v/>
      </c>
      <c r="Y281" s="67" t="str">
        <f>IF($B281&lt;&gt;"",INDEX(DataOB[],FirstRow+ROW()-7,MATCH(Y$6,DataOB[#Headers],0)),"")</f>
        <v/>
      </c>
      <c r="Z281" s="67" t="str">
        <f>IF($B281&lt;&gt;"",INDEX(DataOB[],FirstRow+ROW()-7,MATCH(Z$6,DataOB[#Headers],0)),"")</f>
        <v/>
      </c>
      <c r="AA281" s="67" t="str">
        <f>IF($B281&lt;&gt;"",INDEX(DataOB[],FirstRow+ROW()-7,MATCH(AA$6,DataOB[#Headers],0)),"")</f>
        <v/>
      </c>
      <c r="AB281" s="67" t="str">
        <f>IF($B281&lt;&gt;"",INDEX(DataOB[],FirstRow+ROW()-7,MATCH(AB$6,DataOB[#Headers],0)),"")</f>
        <v/>
      </c>
      <c r="AC281" s="67" t="str">
        <f>IF($B281&lt;&gt;"",INDEX(DataOB[],FirstRow+ROW()-7,MATCH(AC$6,DataOB[#Headers],0)),"")</f>
        <v/>
      </c>
      <c r="AD281" s="67" t="str">
        <f>IF($B281&lt;&gt;"",INDEX(DataOB[],FirstRow+ROW()-7,MATCH(AD$6,DataOB[#Headers],0)),"")</f>
        <v/>
      </c>
      <c r="AE281" s="67" t="str">
        <f>IF($B281&lt;&gt;"",INDEX(DataOB[],FirstRow+ROW()-7,MATCH(AE$6,DataOB[#Headers],0)),"")</f>
        <v/>
      </c>
      <c r="AF281" s="26">
        <f t="shared" si="50"/>
        <v>0</v>
      </c>
      <c r="AG281" s="31">
        <f>SUM($T281:T281)</f>
        <v>0</v>
      </c>
      <c r="AH281" s="31">
        <f>SUM($T281:U281)</f>
        <v>0</v>
      </c>
      <c r="AI281" s="31">
        <f>SUM($T281:V281)</f>
        <v>0</v>
      </c>
      <c r="AJ281" s="31">
        <f>SUM($T281:W281)</f>
        <v>0</v>
      </c>
      <c r="AK281" s="31">
        <f>SUM($T281:X281)</f>
        <v>0</v>
      </c>
      <c r="AL281" s="31">
        <f>SUM($T281:Y281)</f>
        <v>0</v>
      </c>
      <c r="AM281" s="31">
        <f>SUM($T281:Z281)</f>
        <v>0</v>
      </c>
      <c r="AN281" s="31">
        <f>SUM($T281:AA281)</f>
        <v>0</v>
      </c>
      <c r="AO281" s="31">
        <f>SUM($T281:AB281)</f>
        <v>0</v>
      </c>
      <c r="AP281" s="31">
        <f>SUM($T281:AC281)</f>
        <v>0</v>
      </c>
      <c r="AQ281" s="31">
        <f>SUM($T281:AD281)</f>
        <v>0</v>
      </c>
      <c r="AR281" s="31">
        <f>SUM($T281:AE281)</f>
        <v>0</v>
      </c>
      <c r="AS281" s="27">
        <f t="shared" si="51"/>
        <v>0</v>
      </c>
    </row>
    <row r="282" spans="2:45">
      <c r="B282" s="102" t="str">
        <f>IF(ROW()-6&gt;NumCostCenter,"",IF(CostCenter&lt;&gt;"ALL",CostCenter,DATA_LF2!B280))</f>
        <v/>
      </c>
      <c r="C282" s="153" t="str">
        <f>IF($B282&lt;&gt;"",INDEX(DataOB[],FirstRow+ROW()-7,2),"")</f>
        <v/>
      </c>
      <c r="D282" s="66" t="str">
        <f>IF($B282&lt;&gt;"",INDEX(DataOB[],FirstRow+ROW()-7,3),"")</f>
        <v/>
      </c>
      <c r="E282" s="103" t="str">
        <f>IF($B282&lt;&gt;"",INDEX(DataOB[],FirstRow+ROW()-7,6),"")</f>
        <v/>
      </c>
      <c r="F282" s="103" t="str">
        <f>IF($B282&lt;&gt;"",INDEX(DataOB[],FirstRow+ROW()-7,5),"")</f>
        <v/>
      </c>
      <c r="G282" s="58">
        <f>IF($B282&lt;&gt;"",SUMIFS(DataAct_tbl[AMOUNT],DataAct_tbl[BG CODE],Detail!$D282,DataAct_tbl[MONTH],LEFT(MonthName,3),DataAct_tbl[Dept code],$B282),0)</f>
        <v>0</v>
      </c>
      <c r="H282" s="31" t="str">
        <f t="shared" si="43"/>
        <v/>
      </c>
      <c r="I282" s="28" t="str">
        <f t="shared" si="44"/>
        <v/>
      </c>
      <c r="J282" s="32" t="str">
        <f t="shared" si="45"/>
        <v/>
      </c>
      <c r="K282" s="86"/>
      <c r="L282" s="62">
        <f>IF($B282&lt;&gt;"",SUMIFS(DataAct_tbl[AMOUNT],DataAct_tbl[BG CODE],Detail!$D282,DataAct_tbl[Check Range],"=true",DataAct_tbl[Dept code],$B282),0)</f>
        <v>0</v>
      </c>
      <c r="M282" s="63">
        <f>INDEX($AG$7:$AR$1005,ROW()-6,MATCH(MTD,$AG$6:$AR$6,0))</f>
        <v>0</v>
      </c>
      <c r="N282" s="34">
        <f t="shared" si="46"/>
        <v>0</v>
      </c>
      <c r="O282" s="64" t="str">
        <f t="shared" si="47"/>
        <v xml:space="preserve"> </v>
      </c>
      <c r="Q282" s="97">
        <f t="shared" si="48"/>
        <v>0</v>
      </c>
      <c r="R282" s="96">
        <f t="shared" si="49"/>
        <v>0</v>
      </c>
      <c r="T282" s="67" t="str">
        <f>IF($B282&lt;&gt;"",INDEX(DataOB[],FirstRow+ROW()-7,MATCH(T$6,DataOB[#Headers],0)),"")</f>
        <v/>
      </c>
      <c r="U282" s="67" t="str">
        <f>IF($B282&lt;&gt;"",INDEX(DataOB[],FirstRow+ROW()-7,MATCH(U$6,DataOB[#Headers],0)),"")</f>
        <v/>
      </c>
      <c r="V282" s="67" t="str">
        <f>IF($B282&lt;&gt;"",INDEX(DataOB[],FirstRow+ROW()-7,MATCH(V$6,DataOB[#Headers],0)),"")</f>
        <v/>
      </c>
      <c r="W282" s="67" t="str">
        <f>IF($B282&lt;&gt;"",INDEX(DataOB[],FirstRow+ROW()-7,MATCH(W$6,DataOB[#Headers],0)),"")</f>
        <v/>
      </c>
      <c r="X282" s="67" t="str">
        <f>IF($B282&lt;&gt;"",INDEX(DataOB[],FirstRow+ROW()-7,MATCH(X$6,DataOB[#Headers],0)),"")</f>
        <v/>
      </c>
      <c r="Y282" s="67" t="str">
        <f>IF($B282&lt;&gt;"",INDEX(DataOB[],FirstRow+ROW()-7,MATCH(Y$6,DataOB[#Headers],0)),"")</f>
        <v/>
      </c>
      <c r="Z282" s="67" t="str">
        <f>IF($B282&lt;&gt;"",INDEX(DataOB[],FirstRow+ROW()-7,MATCH(Z$6,DataOB[#Headers],0)),"")</f>
        <v/>
      </c>
      <c r="AA282" s="67" t="str">
        <f>IF($B282&lt;&gt;"",INDEX(DataOB[],FirstRow+ROW()-7,MATCH(AA$6,DataOB[#Headers],0)),"")</f>
        <v/>
      </c>
      <c r="AB282" s="67" t="str">
        <f>IF($B282&lt;&gt;"",INDEX(DataOB[],FirstRow+ROW()-7,MATCH(AB$6,DataOB[#Headers],0)),"")</f>
        <v/>
      </c>
      <c r="AC282" s="67" t="str">
        <f>IF($B282&lt;&gt;"",INDEX(DataOB[],FirstRow+ROW()-7,MATCH(AC$6,DataOB[#Headers],0)),"")</f>
        <v/>
      </c>
      <c r="AD282" s="67" t="str">
        <f>IF($B282&lt;&gt;"",INDEX(DataOB[],FirstRow+ROW()-7,MATCH(AD$6,DataOB[#Headers],0)),"")</f>
        <v/>
      </c>
      <c r="AE282" s="67" t="str">
        <f>IF($B282&lt;&gt;"",INDEX(DataOB[],FirstRow+ROW()-7,MATCH(AE$6,DataOB[#Headers],0)),"")</f>
        <v/>
      </c>
      <c r="AF282" s="26">
        <f t="shared" si="50"/>
        <v>0</v>
      </c>
      <c r="AG282" s="31">
        <f>SUM($T282:T282)</f>
        <v>0</v>
      </c>
      <c r="AH282" s="31">
        <f>SUM($T282:U282)</f>
        <v>0</v>
      </c>
      <c r="AI282" s="31">
        <f>SUM($T282:V282)</f>
        <v>0</v>
      </c>
      <c r="AJ282" s="31">
        <f>SUM($T282:W282)</f>
        <v>0</v>
      </c>
      <c r="AK282" s="31">
        <f>SUM($T282:X282)</f>
        <v>0</v>
      </c>
      <c r="AL282" s="31">
        <f>SUM($T282:Y282)</f>
        <v>0</v>
      </c>
      <c r="AM282" s="31">
        <f>SUM($T282:Z282)</f>
        <v>0</v>
      </c>
      <c r="AN282" s="31">
        <f>SUM($T282:AA282)</f>
        <v>0</v>
      </c>
      <c r="AO282" s="31">
        <f>SUM($T282:AB282)</f>
        <v>0</v>
      </c>
      <c r="AP282" s="31">
        <f>SUM($T282:AC282)</f>
        <v>0</v>
      </c>
      <c r="AQ282" s="31">
        <f>SUM($T282:AD282)</f>
        <v>0</v>
      </c>
      <c r="AR282" s="31">
        <f>SUM($T282:AE282)</f>
        <v>0</v>
      </c>
      <c r="AS282" s="27">
        <f t="shared" si="51"/>
        <v>0</v>
      </c>
    </row>
    <row r="283" spans="2:45">
      <c r="B283" s="102" t="str">
        <f>IF(ROW()-6&gt;NumCostCenter,"",IF(CostCenter&lt;&gt;"ALL",CostCenter,DATA_LF2!B281))</f>
        <v/>
      </c>
      <c r="C283" s="153" t="str">
        <f>IF($B283&lt;&gt;"",INDEX(DataOB[],FirstRow+ROW()-7,2),"")</f>
        <v/>
      </c>
      <c r="D283" s="66" t="str">
        <f>IF($B283&lt;&gt;"",INDEX(DataOB[],FirstRow+ROW()-7,3),"")</f>
        <v/>
      </c>
      <c r="E283" s="103" t="str">
        <f>IF($B283&lt;&gt;"",INDEX(DataOB[],FirstRow+ROW()-7,6),"")</f>
        <v/>
      </c>
      <c r="F283" s="103" t="str">
        <f>IF($B283&lt;&gt;"",INDEX(DataOB[],FirstRow+ROW()-7,5),"")</f>
        <v/>
      </c>
      <c r="G283" s="58">
        <f>IF($B283&lt;&gt;"",SUMIFS(DataAct_tbl[AMOUNT],DataAct_tbl[BG CODE],Detail!$D283,DataAct_tbl[MONTH],LEFT(MonthName,3),DataAct_tbl[Dept code],$B283),0)</f>
        <v>0</v>
      </c>
      <c r="H283" s="31" t="str">
        <f t="shared" si="43"/>
        <v/>
      </c>
      <c r="I283" s="28" t="str">
        <f t="shared" si="44"/>
        <v/>
      </c>
      <c r="J283" s="32" t="str">
        <f t="shared" si="45"/>
        <v/>
      </c>
      <c r="K283" s="86"/>
      <c r="L283" s="62">
        <f>IF($B283&lt;&gt;"",SUMIFS(DataAct_tbl[AMOUNT],DataAct_tbl[BG CODE],Detail!$D283,DataAct_tbl[Check Range],"=true",DataAct_tbl[Dept code],$B283),0)</f>
        <v>0</v>
      </c>
      <c r="M283" s="63">
        <f>INDEX($AG$7:$AR$1005,ROW()-6,MATCH(MTD,$AG$6:$AR$6,0))</f>
        <v>0</v>
      </c>
      <c r="N283" s="34">
        <f t="shared" si="46"/>
        <v>0</v>
      </c>
      <c r="O283" s="64" t="str">
        <f t="shared" si="47"/>
        <v xml:space="preserve"> </v>
      </c>
      <c r="Q283" s="97">
        <f t="shared" si="48"/>
        <v>0</v>
      </c>
      <c r="R283" s="96">
        <f t="shared" si="49"/>
        <v>0</v>
      </c>
      <c r="T283" s="67" t="str">
        <f>IF($B283&lt;&gt;"",INDEX(DataOB[],FirstRow+ROW()-7,MATCH(T$6,DataOB[#Headers],0)),"")</f>
        <v/>
      </c>
      <c r="U283" s="67" t="str">
        <f>IF($B283&lt;&gt;"",INDEX(DataOB[],FirstRow+ROW()-7,MATCH(U$6,DataOB[#Headers],0)),"")</f>
        <v/>
      </c>
      <c r="V283" s="67" t="str">
        <f>IF($B283&lt;&gt;"",INDEX(DataOB[],FirstRow+ROW()-7,MATCH(V$6,DataOB[#Headers],0)),"")</f>
        <v/>
      </c>
      <c r="W283" s="67" t="str">
        <f>IF($B283&lt;&gt;"",INDEX(DataOB[],FirstRow+ROW()-7,MATCH(W$6,DataOB[#Headers],0)),"")</f>
        <v/>
      </c>
      <c r="X283" s="67" t="str">
        <f>IF($B283&lt;&gt;"",INDEX(DataOB[],FirstRow+ROW()-7,MATCH(X$6,DataOB[#Headers],0)),"")</f>
        <v/>
      </c>
      <c r="Y283" s="67" t="str">
        <f>IF($B283&lt;&gt;"",INDEX(DataOB[],FirstRow+ROW()-7,MATCH(Y$6,DataOB[#Headers],0)),"")</f>
        <v/>
      </c>
      <c r="Z283" s="67" t="str">
        <f>IF($B283&lt;&gt;"",INDEX(DataOB[],FirstRow+ROW()-7,MATCH(Z$6,DataOB[#Headers],0)),"")</f>
        <v/>
      </c>
      <c r="AA283" s="67" t="str">
        <f>IF($B283&lt;&gt;"",INDEX(DataOB[],FirstRow+ROW()-7,MATCH(AA$6,DataOB[#Headers],0)),"")</f>
        <v/>
      </c>
      <c r="AB283" s="67" t="str">
        <f>IF($B283&lt;&gt;"",INDEX(DataOB[],FirstRow+ROW()-7,MATCH(AB$6,DataOB[#Headers],0)),"")</f>
        <v/>
      </c>
      <c r="AC283" s="67" t="str">
        <f>IF($B283&lt;&gt;"",INDEX(DataOB[],FirstRow+ROW()-7,MATCH(AC$6,DataOB[#Headers],0)),"")</f>
        <v/>
      </c>
      <c r="AD283" s="67" t="str">
        <f>IF($B283&lt;&gt;"",INDEX(DataOB[],FirstRow+ROW()-7,MATCH(AD$6,DataOB[#Headers],0)),"")</f>
        <v/>
      </c>
      <c r="AE283" s="67" t="str">
        <f>IF($B283&lt;&gt;"",INDEX(DataOB[],FirstRow+ROW()-7,MATCH(AE$6,DataOB[#Headers],0)),"")</f>
        <v/>
      </c>
      <c r="AF283" s="26">
        <f t="shared" si="50"/>
        <v>0</v>
      </c>
      <c r="AG283" s="31">
        <f>SUM($T283:T283)</f>
        <v>0</v>
      </c>
      <c r="AH283" s="31">
        <f>SUM($T283:U283)</f>
        <v>0</v>
      </c>
      <c r="AI283" s="31">
        <f>SUM($T283:V283)</f>
        <v>0</v>
      </c>
      <c r="AJ283" s="31">
        <f>SUM($T283:W283)</f>
        <v>0</v>
      </c>
      <c r="AK283" s="31">
        <f>SUM($T283:X283)</f>
        <v>0</v>
      </c>
      <c r="AL283" s="31">
        <f>SUM($T283:Y283)</f>
        <v>0</v>
      </c>
      <c r="AM283" s="31">
        <f>SUM($T283:Z283)</f>
        <v>0</v>
      </c>
      <c r="AN283" s="31">
        <f>SUM($T283:AA283)</f>
        <v>0</v>
      </c>
      <c r="AO283" s="31">
        <f>SUM($T283:AB283)</f>
        <v>0</v>
      </c>
      <c r="AP283" s="31">
        <f>SUM($T283:AC283)</f>
        <v>0</v>
      </c>
      <c r="AQ283" s="31">
        <f>SUM($T283:AD283)</f>
        <v>0</v>
      </c>
      <c r="AR283" s="31">
        <f>SUM($T283:AE283)</f>
        <v>0</v>
      </c>
      <c r="AS283" s="27">
        <f t="shared" si="51"/>
        <v>0</v>
      </c>
    </row>
    <row r="284" spans="2:45">
      <c r="B284" s="102" t="str">
        <f>IF(ROW()-6&gt;NumCostCenter,"",IF(CostCenter&lt;&gt;"ALL",CostCenter,DATA_LF2!B282))</f>
        <v/>
      </c>
      <c r="C284" s="153" t="str">
        <f>IF($B284&lt;&gt;"",INDEX(DataOB[],FirstRow+ROW()-7,2),"")</f>
        <v/>
      </c>
      <c r="D284" s="66" t="str">
        <f>IF($B284&lt;&gt;"",INDEX(DataOB[],FirstRow+ROW()-7,3),"")</f>
        <v/>
      </c>
      <c r="E284" s="103" t="str">
        <f>IF($B284&lt;&gt;"",INDEX(DataOB[],FirstRow+ROW()-7,6),"")</f>
        <v/>
      </c>
      <c r="F284" s="103" t="str">
        <f>IF($B284&lt;&gt;"",INDEX(DataOB[],FirstRow+ROW()-7,5),"")</f>
        <v/>
      </c>
      <c r="G284" s="58">
        <f>IF($B284&lt;&gt;"",SUMIFS(DataAct_tbl[AMOUNT],DataAct_tbl[BG CODE],Detail!$D284,DataAct_tbl[MONTH],LEFT(MonthName,3),DataAct_tbl[Dept code],$B284),0)</f>
        <v>0</v>
      </c>
      <c r="H284" s="31" t="str">
        <f t="shared" si="43"/>
        <v/>
      </c>
      <c r="I284" s="28" t="str">
        <f t="shared" si="44"/>
        <v/>
      </c>
      <c r="J284" s="32" t="str">
        <f t="shared" si="45"/>
        <v/>
      </c>
      <c r="K284" s="86"/>
      <c r="L284" s="62">
        <f>IF($B284&lt;&gt;"",SUMIFS(DataAct_tbl[AMOUNT],DataAct_tbl[BG CODE],Detail!$D284,DataAct_tbl[Check Range],"=true",DataAct_tbl[Dept code],$B284),0)</f>
        <v>0</v>
      </c>
      <c r="M284" s="63">
        <f>INDEX($AG$7:$AR$1005,ROW()-6,MATCH(MTD,$AG$6:$AR$6,0))</f>
        <v>0</v>
      </c>
      <c r="N284" s="34">
        <f t="shared" si="46"/>
        <v>0</v>
      </c>
      <c r="O284" s="64" t="str">
        <f t="shared" si="47"/>
        <v xml:space="preserve"> </v>
      </c>
      <c r="Q284" s="97">
        <f t="shared" si="48"/>
        <v>0</v>
      </c>
      <c r="R284" s="96">
        <f t="shared" si="49"/>
        <v>0</v>
      </c>
      <c r="T284" s="67" t="str">
        <f>IF($B284&lt;&gt;"",INDEX(DataOB[],FirstRow+ROW()-7,MATCH(T$6,DataOB[#Headers],0)),"")</f>
        <v/>
      </c>
      <c r="U284" s="67" t="str">
        <f>IF($B284&lt;&gt;"",INDEX(DataOB[],FirstRow+ROW()-7,MATCH(U$6,DataOB[#Headers],0)),"")</f>
        <v/>
      </c>
      <c r="V284" s="67" t="str">
        <f>IF($B284&lt;&gt;"",INDEX(DataOB[],FirstRow+ROW()-7,MATCH(V$6,DataOB[#Headers],0)),"")</f>
        <v/>
      </c>
      <c r="W284" s="67" t="str">
        <f>IF($B284&lt;&gt;"",INDEX(DataOB[],FirstRow+ROW()-7,MATCH(W$6,DataOB[#Headers],0)),"")</f>
        <v/>
      </c>
      <c r="X284" s="67" t="str">
        <f>IF($B284&lt;&gt;"",INDEX(DataOB[],FirstRow+ROW()-7,MATCH(X$6,DataOB[#Headers],0)),"")</f>
        <v/>
      </c>
      <c r="Y284" s="67" t="str">
        <f>IF($B284&lt;&gt;"",INDEX(DataOB[],FirstRow+ROW()-7,MATCH(Y$6,DataOB[#Headers],0)),"")</f>
        <v/>
      </c>
      <c r="Z284" s="67" t="str">
        <f>IF($B284&lt;&gt;"",INDEX(DataOB[],FirstRow+ROW()-7,MATCH(Z$6,DataOB[#Headers],0)),"")</f>
        <v/>
      </c>
      <c r="AA284" s="67" t="str">
        <f>IF($B284&lt;&gt;"",INDEX(DataOB[],FirstRow+ROW()-7,MATCH(AA$6,DataOB[#Headers],0)),"")</f>
        <v/>
      </c>
      <c r="AB284" s="67" t="str">
        <f>IF($B284&lt;&gt;"",INDEX(DataOB[],FirstRow+ROW()-7,MATCH(AB$6,DataOB[#Headers],0)),"")</f>
        <v/>
      </c>
      <c r="AC284" s="67" t="str">
        <f>IF($B284&lt;&gt;"",INDEX(DataOB[],FirstRow+ROW()-7,MATCH(AC$6,DataOB[#Headers],0)),"")</f>
        <v/>
      </c>
      <c r="AD284" s="67" t="str">
        <f>IF($B284&lt;&gt;"",INDEX(DataOB[],FirstRow+ROW()-7,MATCH(AD$6,DataOB[#Headers],0)),"")</f>
        <v/>
      </c>
      <c r="AE284" s="67" t="str">
        <f>IF($B284&lt;&gt;"",INDEX(DataOB[],FirstRow+ROW()-7,MATCH(AE$6,DataOB[#Headers],0)),"")</f>
        <v/>
      </c>
      <c r="AF284" s="26">
        <f t="shared" si="50"/>
        <v>0</v>
      </c>
      <c r="AG284" s="31">
        <f>SUM($T284:T284)</f>
        <v>0</v>
      </c>
      <c r="AH284" s="31">
        <f>SUM($T284:U284)</f>
        <v>0</v>
      </c>
      <c r="AI284" s="31">
        <f>SUM($T284:V284)</f>
        <v>0</v>
      </c>
      <c r="AJ284" s="31">
        <f>SUM($T284:W284)</f>
        <v>0</v>
      </c>
      <c r="AK284" s="31">
        <f>SUM($T284:X284)</f>
        <v>0</v>
      </c>
      <c r="AL284" s="31">
        <f>SUM($T284:Y284)</f>
        <v>0</v>
      </c>
      <c r="AM284" s="31">
        <f>SUM($T284:Z284)</f>
        <v>0</v>
      </c>
      <c r="AN284" s="31">
        <f>SUM($T284:AA284)</f>
        <v>0</v>
      </c>
      <c r="AO284" s="31">
        <f>SUM($T284:AB284)</f>
        <v>0</v>
      </c>
      <c r="AP284" s="31">
        <f>SUM($T284:AC284)</f>
        <v>0</v>
      </c>
      <c r="AQ284" s="31">
        <f>SUM($T284:AD284)</f>
        <v>0</v>
      </c>
      <c r="AR284" s="31">
        <f>SUM($T284:AE284)</f>
        <v>0</v>
      </c>
      <c r="AS284" s="27">
        <f t="shared" si="51"/>
        <v>0</v>
      </c>
    </row>
    <row r="285" spans="2:45">
      <c r="B285" s="102" t="str">
        <f>IF(ROW()-6&gt;NumCostCenter,"",IF(CostCenter&lt;&gt;"ALL",CostCenter,DATA_LF2!B283))</f>
        <v/>
      </c>
      <c r="C285" s="153" t="str">
        <f>IF($B285&lt;&gt;"",INDEX(DataOB[],FirstRow+ROW()-7,2),"")</f>
        <v/>
      </c>
      <c r="D285" s="66" t="str">
        <f>IF($B285&lt;&gt;"",INDEX(DataOB[],FirstRow+ROW()-7,3),"")</f>
        <v/>
      </c>
      <c r="E285" s="103" t="str">
        <f>IF($B285&lt;&gt;"",INDEX(DataOB[],FirstRow+ROW()-7,6),"")</f>
        <v/>
      </c>
      <c r="F285" s="103" t="str">
        <f>IF($B285&lt;&gt;"",INDEX(DataOB[],FirstRow+ROW()-7,5),"")</f>
        <v/>
      </c>
      <c r="G285" s="58">
        <f>IF($B285&lt;&gt;"",SUMIFS(DataAct_tbl[AMOUNT],DataAct_tbl[BG CODE],Detail!$D285,DataAct_tbl[MONTH],LEFT(MonthName,3),DataAct_tbl[Dept code],$B285),0)</f>
        <v>0</v>
      </c>
      <c r="H285" s="31" t="str">
        <f t="shared" si="43"/>
        <v/>
      </c>
      <c r="I285" s="28" t="str">
        <f t="shared" si="44"/>
        <v/>
      </c>
      <c r="J285" s="32" t="str">
        <f t="shared" si="45"/>
        <v/>
      </c>
      <c r="K285" s="86"/>
      <c r="L285" s="62">
        <f>IF($B285&lt;&gt;"",SUMIFS(DataAct_tbl[AMOUNT],DataAct_tbl[BG CODE],Detail!$D285,DataAct_tbl[Check Range],"=true",DataAct_tbl[Dept code],$B285),0)</f>
        <v>0</v>
      </c>
      <c r="M285" s="63">
        <f>INDEX($AG$7:$AR$1005,ROW()-6,MATCH(MTD,$AG$6:$AR$6,0))</f>
        <v>0</v>
      </c>
      <c r="N285" s="34">
        <f t="shared" si="46"/>
        <v>0</v>
      </c>
      <c r="O285" s="64" t="str">
        <f t="shared" si="47"/>
        <v xml:space="preserve"> </v>
      </c>
      <c r="Q285" s="97">
        <f t="shared" si="48"/>
        <v>0</v>
      </c>
      <c r="R285" s="96">
        <f t="shared" si="49"/>
        <v>0</v>
      </c>
      <c r="T285" s="67" t="str">
        <f>IF($B285&lt;&gt;"",INDEX(DataOB[],FirstRow+ROW()-7,MATCH(T$6,DataOB[#Headers],0)),"")</f>
        <v/>
      </c>
      <c r="U285" s="67" t="str">
        <f>IF($B285&lt;&gt;"",INDEX(DataOB[],FirstRow+ROW()-7,MATCH(U$6,DataOB[#Headers],0)),"")</f>
        <v/>
      </c>
      <c r="V285" s="67" t="str">
        <f>IF($B285&lt;&gt;"",INDEX(DataOB[],FirstRow+ROW()-7,MATCH(V$6,DataOB[#Headers],0)),"")</f>
        <v/>
      </c>
      <c r="W285" s="67" t="str">
        <f>IF($B285&lt;&gt;"",INDEX(DataOB[],FirstRow+ROW()-7,MATCH(W$6,DataOB[#Headers],0)),"")</f>
        <v/>
      </c>
      <c r="X285" s="67" t="str">
        <f>IF($B285&lt;&gt;"",INDEX(DataOB[],FirstRow+ROW()-7,MATCH(X$6,DataOB[#Headers],0)),"")</f>
        <v/>
      </c>
      <c r="Y285" s="67" t="str">
        <f>IF($B285&lt;&gt;"",INDEX(DataOB[],FirstRow+ROW()-7,MATCH(Y$6,DataOB[#Headers],0)),"")</f>
        <v/>
      </c>
      <c r="Z285" s="67" t="str">
        <f>IF($B285&lt;&gt;"",INDEX(DataOB[],FirstRow+ROW()-7,MATCH(Z$6,DataOB[#Headers],0)),"")</f>
        <v/>
      </c>
      <c r="AA285" s="67" t="str">
        <f>IF($B285&lt;&gt;"",INDEX(DataOB[],FirstRow+ROW()-7,MATCH(AA$6,DataOB[#Headers],0)),"")</f>
        <v/>
      </c>
      <c r="AB285" s="67" t="str">
        <f>IF($B285&lt;&gt;"",INDEX(DataOB[],FirstRow+ROW()-7,MATCH(AB$6,DataOB[#Headers],0)),"")</f>
        <v/>
      </c>
      <c r="AC285" s="67" t="str">
        <f>IF($B285&lt;&gt;"",INDEX(DataOB[],FirstRow+ROW()-7,MATCH(AC$6,DataOB[#Headers],0)),"")</f>
        <v/>
      </c>
      <c r="AD285" s="67" t="str">
        <f>IF($B285&lt;&gt;"",INDEX(DataOB[],FirstRow+ROW()-7,MATCH(AD$6,DataOB[#Headers],0)),"")</f>
        <v/>
      </c>
      <c r="AE285" s="67" t="str">
        <f>IF($B285&lt;&gt;"",INDEX(DataOB[],FirstRow+ROW()-7,MATCH(AE$6,DataOB[#Headers],0)),"")</f>
        <v/>
      </c>
      <c r="AF285" s="26">
        <f t="shared" si="50"/>
        <v>0</v>
      </c>
      <c r="AG285" s="31">
        <f>SUM($T285:T285)</f>
        <v>0</v>
      </c>
      <c r="AH285" s="31">
        <f>SUM($T285:U285)</f>
        <v>0</v>
      </c>
      <c r="AI285" s="31">
        <f>SUM($T285:V285)</f>
        <v>0</v>
      </c>
      <c r="AJ285" s="31">
        <f>SUM($T285:W285)</f>
        <v>0</v>
      </c>
      <c r="AK285" s="31">
        <f>SUM($T285:X285)</f>
        <v>0</v>
      </c>
      <c r="AL285" s="31">
        <f>SUM($T285:Y285)</f>
        <v>0</v>
      </c>
      <c r="AM285" s="31">
        <f>SUM($T285:Z285)</f>
        <v>0</v>
      </c>
      <c r="AN285" s="31">
        <f>SUM($T285:AA285)</f>
        <v>0</v>
      </c>
      <c r="AO285" s="31">
        <f>SUM($T285:AB285)</f>
        <v>0</v>
      </c>
      <c r="AP285" s="31">
        <f>SUM($T285:AC285)</f>
        <v>0</v>
      </c>
      <c r="AQ285" s="31">
        <f>SUM($T285:AD285)</f>
        <v>0</v>
      </c>
      <c r="AR285" s="31">
        <f>SUM($T285:AE285)</f>
        <v>0</v>
      </c>
      <c r="AS285" s="27">
        <f t="shared" si="51"/>
        <v>0</v>
      </c>
    </row>
    <row r="286" spans="2:45">
      <c r="B286" s="102" t="str">
        <f>IF(ROW()-6&gt;NumCostCenter,"",IF(CostCenter&lt;&gt;"ALL",CostCenter,DATA_LF2!B284))</f>
        <v/>
      </c>
      <c r="C286" s="153" t="str">
        <f>IF($B286&lt;&gt;"",INDEX(DataOB[],FirstRow+ROW()-7,2),"")</f>
        <v/>
      </c>
      <c r="D286" s="66" t="str">
        <f>IF($B286&lt;&gt;"",INDEX(DataOB[],FirstRow+ROW()-7,3),"")</f>
        <v/>
      </c>
      <c r="E286" s="103" t="str">
        <f>IF($B286&lt;&gt;"",INDEX(DataOB[],FirstRow+ROW()-7,6),"")</f>
        <v/>
      </c>
      <c r="F286" s="103" t="str">
        <f>IF($B286&lt;&gt;"",INDEX(DataOB[],FirstRow+ROW()-7,5),"")</f>
        <v/>
      </c>
      <c r="G286" s="58">
        <f>IF($B286&lt;&gt;"",SUMIFS(DataAct_tbl[AMOUNT],DataAct_tbl[BG CODE],Detail!$D286,DataAct_tbl[MONTH],LEFT(MonthName,3),DataAct_tbl[Dept code],$B286),0)</f>
        <v>0</v>
      </c>
      <c r="H286" s="31" t="str">
        <f t="shared" si="43"/>
        <v/>
      </c>
      <c r="I286" s="28" t="str">
        <f t="shared" si="44"/>
        <v/>
      </c>
      <c r="J286" s="32" t="str">
        <f t="shared" si="45"/>
        <v/>
      </c>
      <c r="K286" s="86"/>
      <c r="L286" s="62">
        <f>IF($B286&lt;&gt;"",SUMIFS(DataAct_tbl[AMOUNT],DataAct_tbl[BG CODE],Detail!$D286,DataAct_tbl[Check Range],"=true",DataAct_tbl[Dept code],$B286),0)</f>
        <v>0</v>
      </c>
      <c r="M286" s="63">
        <f>INDEX($AG$7:$AR$1005,ROW()-6,MATCH(MTD,$AG$6:$AR$6,0))</f>
        <v>0</v>
      </c>
      <c r="N286" s="34">
        <f t="shared" si="46"/>
        <v>0</v>
      </c>
      <c r="O286" s="64" t="str">
        <f t="shared" si="47"/>
        <v xml:space="preserve"> </v>
      </c>
      <c r="Q286" s="97">
        <f t="shared" si="48"/>
        <v>0</v>
      </c>
      <c r="R286" s="96">
        <f t="shared" si="49"/>
        <v>0</v>
      </c>
      <c r="T286" s="67" t="str">
        <f>IF($B286&lt;&gt;"",INDEX(DataOB[],FirstRow+ROW()-7,MATCH(T$6,DataOB[#Headers],0)),"")</f>
        <v/>
      </c>
      <c r="U286" s="67" t="str">
        <f>IF($B286&lt;&gt;"",INDEX(DataOB[],FirstRow+ROW()-7,MATCH(U$6,DataOB[#Headers],0)),"")</f>
        <v/>
      </c>
      <c r="V286" s="67" t="str">
        <f>IF($B286&lt;&gt;"",INDEX(DataOB[],FirstRow+ROW()-7,MATCH(V$6,DataOB[#Headers],0)),"")</f>
        <v/>
      </c>
      <c r="W286" s="67" t="str">
        <f>IF($B286&lt;&gt;"",INDEX(DataOB[],FirstRow+ROW()-7,MATCH(W$6,DataOB[#Headers],0)),"")</f>
        <v/>
      </c>
      <c r="X286" s="67" t="str">
        <f>IF($B286&lt;&gt;"",INDEX(DataOB[],FirstRow+ROW()-7,MATCH(X$6,DataOB[#Headers],0)),"")</f>
        <v/>
      </c>
      <c r="Y286" s="67" t="str">
        <f>IF($B286&lt;&gt;"",INDEX(DataOB[],FirstRow+ROW()-7,MATCH(Y$6,DataOB[#Headers],0)),"")</f>
        <v/>
      </c>
      <c r="Z286" s="67" t="str">
        <f>IF($B286&lt;&gt;"",INDEX(DataOB[],FirstRow+ROW()-7,MATCH(Z$6,DataOB[#Headers],0)),"")</f>
        <v/>
      </c>
      <c r="AA286" s="67" t="str">
        <f>IF($B286&lt;&gt;"",INDEX(DataOB[],FirstRow+ROW()-7,MATCH(AA$6,DataOB[#Headers],0)),"")</f>
        <v/>
      </c>
      <c r="AB286" s="67" t="str">
        <f>IF($B286&lt;&gt;"",INDEX(DataOB[],FirstRow+ROW()-7,MATCH(AB$6,DataOB[#Headers],0)),"")</f>
        <v/>
      </c>
      <c r="AC286" s="67" t="str">
        <f>IF($B286&lt;&gt;"",INDEX(DataOB[],FirstRow+ROW()-7,MATCH(AC$6,DataOB[#Headers],0)),"")</f>
        <v/>
      </c>
      <c r="AD286" s="67" t="str">
        <f>IF($B286&lt;&gt;"",INDEX(DataOB[],FirstRow+ROW()-7,MATCH(AD$6,DataOB[#Headers],0)),"")</f>
        <v/>
      </c>
      <c r="AE286" s="67" t="str">
        <f>IF($B286&lt;&gt;"",INDEX(DataOB[],FirstRow+ROW()-7,MATCH(AE$6,DataOB[#Headers],0)),"")</f>
        <v/>
      </c>
      <c r="AF286" s="26">
        <f t="shared" si="50"/>
        <v>0</v>
      </c>
      <c r="AG286" s="31">
        <f>SUM($T286:T286)</f>
        <v>0</v>
      </c>
      <c r="AH286" s="31">
        <f>SUM($T286:U286)</f>
        <v>0</v>
      </c>
      <c r="AI286" s="31">
        <f>SUM($T286:V286)</f>
        <v>0</v>
      </c>
      <c r="AJ286" s="31">
        <f>SUM($T286:W286)</f>
        <v>0</v>
      </c>
      <c r="AK286" s="31">
        <f>SUM($T286:X286)</f>
        <v>0</v>
      </c>
      <c r="AL286" s="31">
        <f>SUM($T286:Y286)</f>
        <v>0</v>
      </c>
      <c r="AM286" s="31">
        <f>SUM($T286:Z286)</f>
        <v>0</v>
      </c>
      <c r="AN286" s="31">
        <f>SUM($T286:AA286)</f>
        <v>0</v>
      </c>
      <c r="AO286" s="31">
        <f>SUM($T286:AB286)</f>
        <v>0</v>
      </c>
      <c r="AP286" s="31">
        <f>SUM($T286:AC286)</f>
        <v>0</v>
      </c>
      <c r="AQ286" s="31">
        <f>SUM($T286:AD286)</f>
        <v>0</v>
      </c>
      <c r="AR286" s="31">
        <f>SUM($T286:AE286)</f>
        <v>0</v>
      </c>
      <c r="AS286" s="27">
        <f t="shared" si="51"/>
        <v>0</v>
      </c>
    </row>
    <row r="287" spans="2:45">
      <c r="B287" s="102" t="str">
        <f>IF(ROW()-6&gt;NumCostCenter,"",IF(CostCenter&lt;&gt;"ALL",CostCenter,DATA_LF2!B285))</f>
        <v/>
      </c>
      <c r="C287" s="153" t="str">
        <f>IF($B287&lt;&gt;"",INDEX(DataOB[],FirstRow+ROW()-7,2),"")</f>
        <v/>
      </c>
      <c r="D287" s="66" t="str">
        <f>IF($B287&lt;&gt;"",INDEX(DataOB[],FirstRow+ROW()-7,3),"")</f>
        <v/>
      </c>
      <c r="E287" s="103" t="str">
        <f>IF($B287&lt;&gt;"",INDEX(DataOB[],FirstRow+ROW()-7,6),"")</f>
        <v/>
      </c>
      <c r="F287" s="103" t="str">
        <f>IF($B287&lt;&gt;"",INDEX(DataOB[],FirstRow+ROW()-7,5),"")</f>
        <v/>
      </c>
      <c r="G287" s="58">
        <f>IF($B287&lt;&gt;"",SUMIFS(DataAct_tbl[AMOUNT],DataAct_tbl[BG CODE],Detail!$D287,DataAct_tbl[MONTH],LEFT(MonthName,3),DataAct_tbl[Dept code],$B287),0)</f>
        <v>0</v>
      </c>
      <c r="H287" s="31" t="str">
        <f t="shared" si="43"/>
        <v/>
      </c>
      <c r="I287" s="28" t="str">
        <f t="shared" si="44"/>
        <v/>
      </c>
      <c r="J287" s="32" t="str">
        <f t="shared" si="45"/>
        <v/>
      </c>
      <c r="K287" s="86"/>
      <c r="L287" s="62">
        <f>IF($B287&lt;&gt;"",SUMIFS(DataAct_tbl[AMOUNT],DataAct_tbl[BG CODE],Detail!$D287,DataAct_tbl[Check Range],"=true",DataAct_tbl[Dept code],$B287),0)</f>
        <v>0</v>
      </c>
      <c r="M287" s="63">
        <f>INDEX($AG$7:$AR$1005,ROW()-6,MATCH(MTD,$AG$6:$AR$6,0))</f>
        <v>0</v>
      </c>
      <c r="N287" s="34">
        <f t="shared" si="46"/>
        <v>0</v>
      </c>
      <c r="O287" s="64" t="str">
        <f t="shared" si="47"/>
        <v xml:space="preserve"> </v>
      </c>
      <c r="Q287" s="97">
        <f t="shared" si="48"/>
        <v>0</v>
      </c>
      <c r="R287" s="96">
        <f t="shared" si="49"/>
        <v>0</v>
      </c>
      <c r="T287" s="67" t="str">
        <f>IF($B287&lt;&gt;"",INDEX(DataOB[],FirstRow+ROW()-7,MATCH(T$6,DataOB[#Headers],0)),"")</f>
        <v/>
      </c>
      <c r="U287" s="67" t="str">
        <f>IF($B287&lt;&gt;"",INDEX(DataOB[],FirstRow+ROW()-7,MATCH(U$6,DataOB[#Headers],0)),"")</f>
        <v/>
      </c>
      <c r="V287" s="67" t="str">
        <f>IF($B287&lt;&gt;"",INDEX(DataOB[],FirstRow+ROW()-7,MATCH(V$6,DataOB[#Headers],0)),"")</f>
        <v/>
      </c>
      <c r="W287" s="67" t="str">
        <f>IF($B287&lt;&gt;"",INDEX(DataOB[],FirstRow+ROW()-7,MATCH(W$6,DataOB[#Headers],0)),"")</f>
        <v/>
      </c>
      <c r="X287" s="67" t="str">
        <f>IF($B287&lt;&gt;"",INDEX(DataOB[],FirstRow+ROW()-7,MATCH(X$6,DataOB[#Headers],0)),"")</f>
        <v/>
      </c>
      <c r="Y287" s="67" t="str">
        <f>IF($B287&lt;&gt;"",INDEX(DataOB[],FirstRow+ROW()-7,MATCH(Y$6,DataOB[#Headers],0)),"")</f>
        <v/>
      </c>
      <c r="Z287" s="67" t="str">
        <f>IF($B287&lt;&gt;"",INDEX(DataOB[],FirstRow+ROW()-7,MATCH(Z$6,DataOB[#Headers],0)),"")</f>
        <v/>
      </c>
      <c r="AA287" s="67" t="str">
        <f>IF($B287&lt;&gt;"",INDEX(DataOB[],FirstRow+ROW()-7,MATCH(AA$6,DataOB[#Headers],0)),"")</f>
        <v/>
      </c>
      <c r="AB287" s="67" t="str">
        <f>IF($B287&lt;&gt;"",INDEX(DataOB[],FirstRow+ROW()-7,MATCH(AB$6,DataOB[#Headers],0)),"")</f>
        <v/>
      </c>
      <c r="AC287" s="67" t="str">
        <f>IF($B287&lt;&gt;"",INDEX(DataOB[],FirstRow+ROW()-7,MATCH(AC$6,DataOB[#Headers],0)),"")</f>
        <v/>
      </c>
      <c r="AD287" s="67" t="str">
        <f>IF($B287&lt;&gt;"",INDEX(DataOB[],FirstRow+ROW()-7,MATCH(AD$6,DataOB[#Headers],0)),"")</f>
        <v/>
      </c>
      <c r="AE287" s="67" t="str">
        <f>IF($B287&lt;&gt;"",INDEX(DataOB[],FirstRow+ROW()-7,MATCH(AE$6,DataOB[#Headers],0)),"")</f>
        <v/>
      </c>
      <c r="AF287" s="26">
        <f t="shared" si="50"/>
        <v>0</v>
      </c>
      <c r="AG287" s="31">
        <f>SUM($T287:T287)</f>
        <v>0</v>
      </c>
      <c r="AH287" s="31">
        <f>SUM($T287:U287)</f>
        <v>0</v>
      </c>
      <c r="AI287" s="31">
        <f>SUM($T287:V287)</f>
        <v>0</v>
      </c>
      <c r="AJ287" s="31">
        <f>SUM($T287:W287)</f>
        <v>0</v>
      </c>
      <c r="AK287" s="31">
        <f>SUM($T287:X287)</f>
        <v>0</v>
      </c>
      <c r="AL287" s="31">
        <f>SUM($T287:Y287)</f>
        <v>0</v>
      </c>
      <c r="AM287" s="31">
        <f>SUM($T287:Z287)</f>
        <v>0</v>
      </c>
      <c r="AN287" s="31">
        <f>SUM($T287:AA287)</f>
        <v>0</v>
      </c>
      <c r="AO287" s="31">
        <f>SUM($T287:AB287)</f>
        <v>0</v>
      </c>
      <c r="AP287" s="31">
        <f>SUM($T287:AC287)</f>
        <v>0</v>
      </c>
      <c r="AQ287" s="31">
        <f>SUM($T287:AD287)</f>
        <v>0</v>
      </c>
      <c r="AR287" s="31">
        <f>SUM($T287:AE287)</f>
        <v>0</v>
      </c>
      <c r="AS287" s="27">
        <f t="shared" si="51"/>
        <v>0</v>
      </c>
    </row>
    <row r="288" spans="2:45">
      <c r="B288" s="102" t="str">
        <f>IF(ROW()-6&gt;NumCostCenter,"",IF(CostCenter&lt;&gt;"ALL",CostCenter,DATA_LF2!B286))</f>
        <v/>
      </c>
      <c r="C288" s="153" t="str">
        <f>IF($B288&lt;&gt;"",INDEX(DataOB[],FirstRow+ROW()-7,2),"")</f>
        <v/>
      </c>
      <c r="D288" s="66" t="str">
        <f>IF($B288&lt;&gt;"",INDEX(DataOB[],FirstRow+ROW()-7,3),"")</f>
        <v/>
      </c>
      <c r="E288" s="103" t="str">
        <f>IF($B288&lt;&gt;"",INDEX(DataOB[],FirstRow+ROW()-7,6),"")</f>
        <v/>
      </c>
      <c r="F288" s="103" t="str">
        <f>IF($B288&lt;&gt;"",INDEX(DataOB[],FirstRow+ROW()-7,5),"")</f>
        <v/>
      </c>
      <c r="G288" s="58">
        <f>IF($B288&lt;&gt;"",SUMIFS(DataAct_tbl[AMOUNT],DataAct_tbl[BG CODE],Detail!$D288,DataAct_tbl[MONTH],LEFT(MonthName,3),DataAct_tbl[Dept code],$B288),0)</f>
        <v>0</v>
      </c>
      <c r="H288" s="31" t="str">
        <f t="shared" si="43"/>
        <v/>
      </c>
      <c r="I288" s="28" t="str">
        <f t="shared" si="44"/>
        <v/>
      </c>
      <c r="J288" s="32" t="str">
        <f t="shared" si="45"/>
        <v/>
      </c>
      <c r="K288" s="86"/>
      <c r="L288" s="62">
        <f>IF($B288&lt;&gt;"",SUMIFS(DataAct_tbl[AMOUNT],DataAct_tbl[BG CODE],Detail!$D288,DataAct_tbl[Check Range],"=true",DataAct_tbl[Dept code],$B288),0)</f>
        <v>0</v>
      </c>
      <c r="M288" s="63">
        <f>INDEX($AG$7:$AR$1005,ROW()-6,MATCH(MTD,$AG$6:$AR$6,0))</f>
        <v>0</v>
      </c>
      <c r="N288" s="34">
        <f t="shared" si="46"/>
        <v>0</v>
      </c>
      <c r="O288" s="64" t="str">
        <f t="shared" si="47"/>
        <v xml:space="preserve"> </v>
      </c>
      <c r="Q288" s="97">
        <f t="shared" si="48"/>
        <v>0</v>
      </c>
      <c r="R288" s="96">
        <f t="shared" si="49"/>
        <v>0</v>
      </c>
      <c r="T288" s="67" t="str">
        <f>IF($B288&lt;&gt;"",INDEX(DataOB[],FirstRow+ROW()-7,MATCH(T$6,DataOB[#Headers],0)),"")</f>
        <v/>
      </c>
      <c r="U288" s="67" t="str">
        <f>IF($B288&lt;&gt;"",INDEX(DataOB[],FirstRow+ROW()-7,MATCH(U$6,DataOB[#Headers],0)),"")</f>
        <v/>
      </c>
      <c r="V288" s="67" t="str">
        <f>IF($B288&lt;&gt;"",INDEX(DataOB[],FirstRow+ROW()-7,MATCH(V$6,DataOB[#Headers],0)),"")</f>
        <v/>
      </c>
      <c r="W288" s="67" t="str">
        <f>IF($B288&lt;&gt;"",INDEX(DataOB[],FirstRow+ROW()-7,MATCH(W$6,DataOB[#Headers],0)),"")</f>
        <v/>
      </c>
      <c r="X288" s="67" t="str">
        <f>IF($B288&lt;&gt;"",INDEX(DataOB[],FirstRow+ROW()-7,MATCH(X$6,DataOB[#Headers],0)),"")</f>
        <v/>
      </c>
      <c r="Y288" s="67" t="str">
        <f>IF($B288&lt;&gt;"",INDEX(DataOB[],FirstRow+ROW()-7,MATCH(Y$6,DataOB[#Headers],0)),"")</f>
        <v/>
      </c>
      <c r="Z288" s="67" t="str">
        <f>IF($B288&lt;&gt;"",INDEX(DataOB[],FirstRow+ROW()-7,MATCH(Z$6,DataOB[#Headers],0)),"")</f>
        <v/>
      </c>
      <c r="AA288" s="67" t="str">
        <f>IF($B288&lt;&gt;"",INDEX(DataOB[],FirstRow+ROW()-7,MATCH(AA$6,DataOB[#Headers],0)),"")</f>
        <v/>
      </c>
      <c r="AB288" s="67" t="str">
        <f>IF($B288&lt;&gt;"",INDEX(DataOB[],FirstRow+ROW()-7,MATCH(AB$6,DataOB[#Headers],0)),"")</f>
        <v/>
      </c>
      <c r="AC288" s="67" t="str">
        <f>IF($B288&lt;&gt;"",INDEX(DataOB[],FirstRow+ROW()-7,MATCH(AC$6,DataOB[#Headers],0)),"")</f>
        <v/>
      </c>
      <c r="AD288" s="67" t="str">
        <f>IF($B288&lt;&gt;"",INDEX(DataOB[],FirstRow+ROW()-7,MATCH(AD$6,DataOB[#Headers],0)),"")</f>
        <v/>
      </c>
      <c r="AE288" s="67" t="str">
        <f>IF($B288&lt;&gt;"",INDEX(DataOB[],FirstRow+ROW()-7,MATCH(AE$6,DataOB[#Headers],0)),"")</f>
        <v/>
      </c>
      <c r="AF288" s="26">
        <f t="shared" si="50"/>
        <v>0</v>
      </c>
      <c r="AG288" s="31">
        <f>SUM($T288:T288)</f>
        <v>0</v>
      </c>
      <c r="AH288" s="31">
        <f>SUM($T288:U288)</f>
        <v>0</v>
      </c>
      <c r="AI288" s="31">
        <f>SUM($T288:V288)</f>
        <v>0</v>
      </c>
      <c r="AJ288" s="31">
        <f>SUM($T288:W288)</f>
        <v>0</v>
      </c>
      <c r="AK288" s="31">
        <f>SUM($T288:X288)</f>
        <v>0</v>
      </c>
      <c r="AL288" s="31">
        <f>SUM($T288:Y288)</f>
        <v>0</v>
      </c>
      <c r="AM288" s="31">
        <f>SUM($T288:Z288)</f>
        <v>0</v>
      </c>
      <c r="AN288" s="31">
        <f>SUM($T288:AA288)</f>
        <v>0</v>
      </c>
      <c r="AO288" s="31">
        <f>SUM($T288:AB288)</f>
        <v>0</v>
      </c>
      <c r="AP288" s="31">
        <f>SUM($T288:AC288)</f>
        <v>0</v>
      </c>
      <c r="AQ288" s="31">
        <f>SUM($T288:AD288)</f>
        <v>0</v>
      </c>
      <c r="AR288" s="31">
        <f>SUM($T288:AE288)</f>
        <v>0</v>
      </c>
      <c r="AS288" s="27">
        <f t="shared" si="51"/>
        <v>0</v>
      </c>
    </row>
    <row r="289" spans="2:45">
      <c r="B289" s="102" t="str">
        <f>IF(ROW()-6&gt;NumCostCenter,"",IF(CostCenter&lt;&gt;"ALL",CostCenter,DATA_LF2!B287))</f>
        <v/>
      </c>
      <c r="C289" s="153" t="str">
        <f>IF($B289&lt;&gt;"",INDEX(DataOB[],FirstRow+ROW()-7,2),"")</f>
        <v/>
      </c>
      <c r="D289" s="66" t="str">
        <f>IF($B289&lt;&gt;"",INDEX(DataOB[],FirstRow+ROW()-7,3),"")</f>
        <v/>
      </c>
      <c r="E289" s="103" t="str">
        <f>IF($B289&lt;&gt;"",INDEX(DataOB[],FirstRow+ROW()-7,6),"")</f>
        <v/>
      </c>
      <c r="F289" s="103" t="str">
        <f>IF($B289&lt;&gt;"",INDEX(DataOB[],FirstRow+ROW()-7,5),"")</f>
        <v/>
      </c>
      <c r="G289" s="58">
        <f>IF($B289&lt;&gt;"",SUMIFS(DataAct_tbl[AMOUNT],DataAct_tbl[BG CODE],Detail!$D289,DataAct_tbl[MONTH],LEFT(MonthName,3),DataAct_tbl[Dept code],$B289),0)</f>
        <v>0</v>
      </c>
      <c r="H289" s="31" t="str">
        <f t="shared" si="43"/>
        <v/>
      </c>
      <c r="I289" s="28" t="str">
        <f t="shared" si="44"/>
        <v/>
      </c>
      <c r="J289" s="32" t="str">
        <f t="shared" si="45"/>
        <v/>
      </c>
      <c r="K289" s="86"/>
      <c r="L289" s="62">
        <f>IF($B289&lt;&gt;"",SUMIFS(DataAct_tbl[AMOUNT],DataAct_tbl[BG CODE],Detail!$D289,DataAct_tbl[Check Range],"=true",DataAct_tbl[Dept code],$B289),0)</f>
        <v>0</v>
      </c>
      <c r="M289" s="63">
        <f>INDEX($AG$7:$AR$1005,ROW()-6,MATCH(MTD,$AG$6:$AR$6,0))</f>
        <v>0</v>
      </c>
      <c r="N289" s="34">
        <f t="shared" si="46"/>
        <v>0</v>
      </c>
      <c r="O289" s="64" t="str">
        <f t="shared" si="47"/>
        <v xml:space="preserve"> </v>
      </c>
      <c r="Q289" s="97">
        <f t="shared" si="48"/>
        <v>0</v>
      </c>
      <c r="R289" s="96">
        <f t="shared" si="49"/>
        <v>0</v>
      </c>
      <c r="T289" s="67" t="str">
        <f>IF($B289&lt;&gt;"",INDEX(DataOB[],FirstRow+ROW()-7,MATCH(T$6,DataOB[#Headers],0)),"")</f>
        <v/>
      </c>
      <c r="U289" s="67" t="str">
        <f>IF($B289&lt;&gt;"",INDEX(DataOB[],FirstRow+ROW()-7,MATCH(U$6,DataOB[#Headers],0)),"")</f>
        <v/>
      </c>
      <c r="V289" s="67" t="str">
        <f>IF($B289&lt;&gt;"",INDEX(DataOB[],FirstRow+ROW()-7,MATCH(V$6,DataOB[#Headers],0)),"")</f>
        <v/>
      </c>
      <c r="W289" s="67" t="str">
        <f>IF($B289&lt;&gt;"",INDEX(DataOB[],FirstRow+ROW()-7,MATCH(W$6,DataOB[#Headers],0)),"")</f>
        <v/>
      </c>
      <c r="X289" s="67" t="str">
        <f>IF($B289&lt;&gt;"",INDEX(DataOB[],FirstRow+ROW()-7,MATCH(X$6,DataOB[#Headers],0)),"")</f>
        <v/>
      </c>
      <c r="Y289" s="67" t="str">
        <f>IF($B289&lt;&gt;"",INDEX(DataOB[],FirstRow+ROW()-7,MATCH(Y$6,DataOB[#Headers],0)),"")</f>
        <v/>
      </c>
      <c r="Z289" s="67" t="str">
        <f>IF($B289&lt;&gt;"",INDEX(DataOB[],FirstRow+ROW()-7,MATCH(Z$6,DataOB[#Headers],0)),"")</f>
        <v/>
      </c>
      <c r="AA289" s="67" t="str">
        <f>IF($B289&lt;&gt;"",INDEX(DataOB[],FirstRow+ROW()-7,MATCH(AA$6,DataOB[#Headers],0)),"")</f>
        <v/>
      </c>
      <c r="AB289" s="67" t="str">
        <f>IF($B289&lt;&gt;"",INDEX(DataOB[],FirstRow+ROW()-7,MATCH(AB$6,DataOB[#Headers],0)),"")</f>
        <v/>
      </c>
      <c r="AC289" s="67" t="str">
        <f>IF($B289&lt;&gt;"",INDEX(DataOB[],FirstRow+ROW()-7,MATCH(AC$6,DataOB[#Headers],0)),"")</f>
        <v/>
      </c>
      <c r="AD289" s="67" t="str">
        <f>IF($B289&lt;&gt;"",INDEX(DataOB[],FirstRow+ROW()-7,MATCH(AD$6,DataOB[#Headers],0)),"")</f>
        <v/>
      </c>
      <c r="AE289" s="67" t="str">
        <f>IF($B289&lt;&gt;"",INDEX(DataOB[],FirstRow+ROW()-7,MATCH(AE$6,DataOB[#Headers],0)),"")</f>
        <v/>
      </c>
      <c r="AF289" s="26">
        <f t="shared" si="50"/>
        <v>0</v>
      </c>
      <c r="AG289" s="31">
        <f>SUM($T289:T289)</f>
        <v>0</v>
      </c>
      <c r="AH289" s="31">
        <f>SUM($T289:U289)</f>
        <v>0</v>
      </c>
      <c r="AI289" s="31">
        <f>SUM($T289:V289)</f>
        <v>0</v>
      </c>
      <c r="AJ289" s="31">
        <f>SUM($T289:W289)</f>
        <v>0</v>
      </c>
      <c r="AK289" s="31">
        <f>SUM($T289:X289)</f>
        <v>0</v>
      </c>
      <c r="AL289" s="31">
        <f>SUM($T289:Y289)</f>
        <v>0</v>
      </c>
      <c r="AM289" s="31">
        <f>SUM($T289:Z289)</f>
        <v>0</v>
      </c>
      <c r="AN289" s="31">
        <f>SUM($T289:AA289)</f>
        <v>0</v>
      </c>
      <c r="AO289" s="31">
        <f>SUM($T289:AB289)</f>
        <v>0</v>
      </c>
      <c r="AP289" s="31">
        <f>SUM($T289:AC289)</f>
        <v>0</v>
      </c>
      <c r="AQ289" s="31">
        <f>SUM($T289:AD289)</f>
        <v>0</v>
      </c>
      <c r="AR289" s="31">
        <f>SUM($T289:AE289)</f>
        <v>0</v>
      </c>
      <c r="AS289" s="27">
        <f t="shared" si="51"/>
        <v>0</v>
      </c>
    </row>
    <row r="290" spans="2:45">
      <c r="B290" s="102" t="str">
        <f>IF(ROW()-6&gt;NumCostCenter,"",IF(CostCenter&lt;&gt;"ALL",CostCenter,DATA_LF2!B288))</f>
        <v/>
      </c>
      <c r="C290" s="153" t="str">
        <f>IF($B290&lt;&gt;"",INDEX(DataOB[],FirstRow+ROW()-7,2),"")</f>
        <v/>
      </c>
      <c r="D290" s="66" t="str">
        <f>IF($B290&lt;&gt;"",INDEX(DataOB[],FirstRow+ROW()-7,3),"")</f>
        <v/>
      </c>
      <c r="E290" s="103" t="str">
        <f>IF($B290&lt;&gt;"",INDEX(DataOB[],FirstRow+ROW()-7,6),"")</f>
        <v/>
      </c>
      <c r="F290" s="103" t="str">
        <f>IF($B290&lt;&gt;"",INDEX(DataOB[],FirstRow+ROW()-7,5),"")</f>
        <v/>
      </c>
      <c r="G290" s="58">
        <f>IF($B290&lt;&gt;"",SUMIFS(DataAct_tbl[AMOUNT],DataAct_tbl[BG CODE],Detail!$D290,DataAct_tbl[MONTH],LEFT(MonthName,3),DataAct_tbl[Dept code],$B290),0)</f>
        <v>0</v>
      </c>
      <c r="H290" s="31" t="str">
        <f t="shared" si="43"/>
        <v/>
      </c>
      <c r="I290" s="28" t="str">
        <f t="shared" si="44"/>
        <v/>
      </c>
      <c r="J290" s="32" t="str">
        <f t="shared" si="45"/>
        <v/>
      </c>
      <c r="K290" s="86"/>
      <c r="L290" s="62">
        <f>IF($B290&lt;&gt;"",SUMIFS(DataAct_tbl[AMOUNT],DataAct_tbl[BG CODE],Detail!$D290,DataAct_tbl[Check Range],"=true",DataAct_tbl[Dept code],$B290),0)</f>
        <v>0</v>
      </c>
      <c r="M290" s="63">
        <f>INDEX($AG$7:$AR$1005,ROW()-6,MATCH(MTD,$AG$6:$AR$6,0))</f>
        <v>0</v>
      </c>
      <c r="N290" s="34">
        <f t="shared" si="46"/>
        <v>0</v>
      </c>
      <c r="O290" s="64" t="str">
        <f t="shared" si="47"/>
        <v xml:space="preserve"> </v>
      </c>
      <c r="Q290" s="97">
        <f t="shared" si="48"/>
        <v>0</v>
      </c>
      <c r="R290" s="96">
        <f t="shared" si="49"/>
        <v>0</v>
      </c>
      <c r="T290" s="67" t="str">
        <f>IF($B290&lt;&gt;"",INDEX(DataOB[],FirstRow+ROW()-7,MATCH(T$6,DataOB[#Headers],0)),"")</f>
        <v/>
      </c>
      <c r="U290" s="67" t="str">
        <f>IF($B290&lt;&gt;"",INDEX(DataOB[],FirstRow+ROW()-7,MATCH(U$6,DataOB[#Headers],0)),"")</f>
        <v/>
      </c>
      <c r="V290" s="67" t="str">
        <f>IF($B290&lt;&gt;"",INDEX(DataOB[],FirstRow+ROW()-7,MATCH(V$6,DataOB[#Headers],0)),"")</f>
        <v/>
      </c>
      <c r="W290" s="67" t="str">
        <f>IF($B290&lt;&gt;"",INDEX(DataOB[],FirstRow+ROW()-7,MATCH(W$6,DataOB[#Headers],0)),"")</f>
        <v/>
      </c>
      <c r="X290" s="67" t="str">
        <f>IF($B290&lt;&gt;"",INDEX(DataOB[],FirstRow+ROW()-7,MATCH(X$6,DataOB[#Headers],0)),"")</f>
        <v/>
      </c>
      <c r="Y290" s="67" t="str">
        <f>IF($B290&lt;&gt;"",INDEX(DataOB[],FirstRow+ROW()-7,MATCH(Y$6,DataOB[#Headers],0)),"")</f>
        <v/>
      </c>
      <c r="Z290" s="67" t="str">
        <f>IF($B290&lt;&gt;"",INDEX(DataOB[],FirstRow+ROW()-7,MATCH(Z$6,DataOB[#Headers],0)),"")</f>
        <v/>
      </c>
      <c r="AA290" s="67" t="str">
        <f>IF($B290&lt;&gt;"",INDEX(DataOB[],FirstRow+ROW()-7,MATCH(AA$6,DataOB[#Headers],0)),"")</f>
        <v/>
      </c>
      <c r="AB290" s="67" t="str">
        <f>IF($B290&lt;&gt;"",INDEX(DataOB[],FirstRow+ROW()-7,MATCH(AB$6,DataOB[#Headers],0)),"")</f>
        <v/>
      </c>
      <c r="AC290" s="67" t="str">
        <f>IF($B290&lt;&gt;"",INDEX(DataOB[],FirstRow+ROW()-7,MATCH(AC$6,DataOB[#Headers],0)),"")</f>
        <v/>
      </c>
      <c r="AD290" s="67" t="str">
        <f>IF($B290&lt;&gt;"",INDEX(DataOB[],FirstRow+ROW()-7,MATCH(AD$6,DataOB[#Headers],0)),"")</f>
        <v/>
      </c>
      <c r="AE290" s="67" t="str">
        <f>IF($B290&lt;&gt;"",INDEX(DataOB[],FirstRow+ROW()-7,MATCH(AE$6,DataOB[#Headers],0)),"")</f>
        <v/>
      </c>
      <c r="AF290" s="26">
        <f t="shared" si="50"/>
        <v>0</v>
      </c>
      <c r="AG290" s="31">
        <f>SUM($T290:T290)</f>
        <v>0</v>
      </c>
      <c r="AH290" s="31">
        <f>SUM($T290:U290)</f>
        <v>0</v>
      </c>
      <c r="AI290" s="31">
        <f>SUM($T290:V290)</f>
        <v>0</v>
      </c>
      <c r="AJ290" s="31">
        <f>SUM($T290:W290)</f>
        <v>0</v>
      </c>
      <c r="AK290" s="31">
        <f>SUM($T290:X290)</f>
        <v>0</v>
      </c>
      <c r="AL290" s="31">
        <f>SUM($T290:Y290)</f>
        <v>0</v>
      </c>
      <c r="AM290" s="31">
        <f>SUM($T290:Z290)</f>
        <v>0</v>
      </c>
      <c r="AN290" s="31">
        <f>SUM($T290:AA290)</f>
        <v>0</v>
      </c>
      <c r="AO290" s="31">
        <f>SUM($T290:AB290)</f>
        <v>0</v>
      </c>
      <c r="AP290" s="31">
        <f>SUM($T290:AC290)</f>
        <v>0</v>
      </c>
      <c r="AQ290" s="31">
        <f>SUM($T290:AD290)</f>
        <v>0</v>
      </c>
      <c r="AR290" s="31">
        <f>SUM($T290:AE290)</f>
        <v>0</v>
      </c>
      <c r="AS290" s="27">
        <f t="shared" si="51"/>
        <v>0</v>
      </c>
    </row>
    <row r="291" spans="2:45">
      <c r="B291" s="102" t="str">
        <f>IF(ROW()-6&gt;NumCostCenter,"",IF(CostCenter&lt;&gt;"ALL",CostCenter,DATA_LF2!B289))</f>
        <v/>
      </c>
      <c r="C291" s="153" t="str">
        <f>IF($B291&lt;&gt;"",INDEX(DataOB[],FirstRow+ROW()-7,2),"")</f>
        <v/>
      </c>
      <c r="D291" s="66" t="str">
        <f>IF($B291&lt;&gt;"",INDEX(DataOB[],FirstRow+ROW()-7,3),"")</f>
        <v/>
      </c>
      <c r="E291" s="103" t="str">
        <f>IF($B291&lt;&gt;"",INDEX(DataOB[],FirstRow+ROW()-7,6),"")</f>
        <v/>
      </c>
      <c r="F291" s="103" t="str">
        <f>IF($B291&lt;&gt;"",INDEX(DataOB[],FirstRow+ROW()-7,5),"")</f>
        <v/>
      </c>
      <c r="G291" s="58">
        <f>IF($B291&lt;&gt;"",SUMIFS(DataAct_tbl[AMOUNT],DataAct_tbl[BG CODE],Detail!$D291,DataAct_tbl[MONTH],LEFT(MonthName,3),DataAct_tbl[Dept code],$B291),0)</f>
        <v>0</v>
      </c>
      <c r="H291" s="31" t="str">
        <f t="shared" si="43"/>
        <v/>
      </c>
      <c r="I291" s="28" t="str">
        <f t="shared" si="44"/>
        <v/>
      </c>
      <c r="J291" s="32" t="str">
        <f t="shared" si="45"/>
        <v/>
      </c>
      <c r="K291" s="86"/>
      <c r="L291" s="62">
        <f>IF($B291&lt;&gt;"",SUMIFS(DataAct_tbl[AMOUNT],DataAct_tbl[BG CODE],Detail!$D291,DataAct_tbl[Check Range],"=true",DataAct_tbl[Dept code],$B291),0)</f>
        <v>0</v>
      </c>
      <c r="M291" s="63">
        <f>INDEX($AG$7:$AR$1005,ROW()-6,MATCH(MTD,$AG$6:$AR$6,0))</f>
        <v>0</v>
      </c>
      <c r="N291" s="34">
        <f t="shared" si="46"/>
        <v>0</v>
      </c>
      <c r="O291" s="64" t="str">
        <f t="shared" si="47"/>
        <v xml:space="preserve"> </v>
      </c>
      <c r="Q291" s="97">
        <f t="shared" si="48"/>
        <v>0</v>
      </c>
      <c r="R291" s="96">
        <f t="shared" si="49"/>
        <v>0</v>
      </c>
      <c r="T291" s="67" t="str">
        <f>IF($B291&lt;&gt;"",INDEX(DataOB[],FirstRow+ROW()-7,MATCH(T$6,DataOB[#Headers],0)),"")</f>
        <v/>
      </c>
      <c r="U291" s="67" t="str">
        <f>IF($B291&lt;&gt;"",INDEX(DataOB[],FirstRow+ROW()-7,MATCH(U$6,DataOB[#Headers],0)),"")</f>
        <v/>
      </c>
      <c r="V291" s="67" t="str">
        <f>IF($B291&lt;&gt;"",INDEX(DataOB[],FirstRow+ROW()-7,MATCH(V$6,DataOB[#Headers],0)),"")</f>
        <v/>
      </c>
      <c r="W291" s="67" t="str">
        <f>IF($B291&lt;&gt;"",INDEX(DataOB[],FirstRow+ROW()-7,MATCH(W$6,DataOB[#Headers],0)),"")</f>
        <v/>
      </c>
      <c r="X291" s="67" t="str">
        <f>IF($B291&lt;&gt;"",INDEX(DataOB[],FirstRow+ROW()-7,MATCH(X$6,DataOB[#Headers],0)),"")</f>
        <v/>
      </c>
      <c r="Y291" s="67" t="str">
        <f>IF($B291&lt;&gt;"",INDEX(DataOB[],FirstRow+ROW()-7,MATCH(Y$6,DataOB[#Headers],0)),"")</f>
        <v/>
      </c>
      <c r="Z291" s="67" t="str">
        <f>IF($B291&lt;&gt;"",INDEX(DataOB[],FirstRow+ROW()-7,MATCH(Z$6,DataOB[#Headers],0)),"")</f>
        <v/>
      </c>
      <c r="AA291" s="67" t="str">
        <f>IF($B291&lt;&gt;"",INDEX(DataOB[],FirstRow+ROW()-7,MATCH(AA$6,DataOB[#Headers],0)),"")</f>
        <v/>
      </c>
      <c r="AB291" s="67" t="str">
        <f>IF($B291&lt;&gt;"",INDEX(DataOB[],FirstRow+ROW()-7,MATCH(AB$6,DataOB[#Headers],0)),"")</f>
        <v/>
      </c>
      <c r="AC291" s="67" t="str">
        <f>IF($B291&lt;&gt;"",INDEX(DataOB[],FirstRow+ROW()-7,MATCH(AC$6,DataOB[#Headers],0)),"")</f>
        <v/>
      </c>
      <c r="AD291" s="67" t="str">
        <f>IF($B291&lt;&gt;"",INDEX(DataOB[],FirstRow+ROW()-7,MATCH(AD$6,DataOB[#Headers],0)),"")</f>
        <v/>
      </c>
      <c r="AE291" s="67" t="str">
        <f>IF($B291&lt;&gt;"",INDEX(DataOB[],FirstRow+ROW()-7,MATCH(AE$6,DataOB[#Headers],0)),"")</f>
        <v/>
      </c>
      <c r="AF291" s="26">
        <f t="shared" si="50"/>
        <v>0</v>
      </c>
      <c r="AG291" s="31">
        <f>SUM($T291:T291)</f>
        <v>0</v>
      </c>
      <c r="AH291" s="31">
        <f>SUM($T291:U291)</f>
        <v>0</v>
      </c>
      <c r="AI291" s="31">
        <f>SUM($T291:V291)</f>
        <v>0</v>
      </c>
      <c r="AJ291" s="31">
        <f>SUM($T291:W291)</f>
        <v>0</v>
      </c>
      <c r="AK291" s="31">
        <f>SUM($T291:X291)</f>
        <v>0</v>
      </c>
      <c r="AL291" s="31">
        <f>SUM($T291:Y291)</f>
        <v>0</v>
      </c>
      <c r="AM291" s="31">
        <f>SUM($T291:Z291)</f>
        <v>0</v>
      </c>
      <c r="AN291" s="31">
        <f>SUM($T291:AA291)</f>
        <v>0</v>
      </c>
      <c r="AO291" s="31">
        <f>SUM($T291:AB291)</f>
        <v>0</v>
      </c>
      <c r="AP291" s="31">
        <f>SUM($T291:AC291)</f>
        <v>0</v>
      </c>
      <c r="AQ291" s="31">
        <f>SUM($T291:AD291)</f>
        <v>0</v>
      </c>
      <c r="AR291" s="31">
        <f>SUM($T291:AE291)</f>
        <v>0</v>
      </c>
      <c r="AS291" s="27">
        <f t="shared" si="51"/>
        <v>0</v>
      </c>
    </row>
    <row r="292" spans="2:45">
      <c r="B292" s="102" t="str">
        <f>IF(ROW()-6&gt;NumCostCenter,"",IF(CostCenter&lt;&gt;"ALL",CostCenter,DATA_LF2!B290))</f>
        <v/>
      </c>
      <c r="C292" s="153" t="str">
        <f>IF($B292&lt;&gt;"",INDEX(DataOB[],FirstRow+ROW()-7,2),"")</f>
        <v/>
      </c>
      <c r="D292" s="66" t="str">
        <f>IF($B292&lt;&gt;"",INDEX(DataOB[],FirstRow+ROW()-7,3),"")</f>
        <v/>
      </c>
      <c r="E292" s="103" t="str">
        <f>IF($B292&lt;&gt;"",INDEX(DataOB[],FirstRow+ROW()-7,6),"")</f>
        <v/>
      </c>
      <c r="F292" s="103" t="str">
        <f>IF($B292&lt;&gt;"",INDEX(DataOB[],FirstRow+ROW()-7,5),"")</f>
        <v/>
      </c>
      <c r="G292" s="58">
        <f>IF($B292&lt;&gt;"",SUMIFS(DataAct_tbl[AMOUNT],DataAct_tbl[BG CODE],Detail!$D292,DataAct_tbl[MONTH],LEFT(MonthName,3),DataAct_tbl[Dept code],$B292),0)</f>
        <v>0</v>
      </c>
      <c r="H292" s="31" t="str">
        <f t="shared" si="43"/>
        <v/>
      </c>
      <c r="I292" s="28" t="str">
        <f t="shared" si="44"/>
        <v/>
      </c>
      <c r="J292" s="32" t="str">
        <f t="shared" si="45"/>
        <v/>
      </c>
      <c r="K292" s="86"/>
      <c r="L292" s="62">
        <f>IF($B292&lt;&gt;"",SUMIFS(DataAct_tbl[AMOUNT],DataAct_tbl[BG CODE],Detail!$D292,DataAct_tbl[Check Range],"=true",DataAct_tbl[Dept code],$B292),0)</f>
        <v>0</v>
      </c>
      <c r="M292" s="63">
        <f>INDEX($AG$7:$AR$1005,ROW()-6,MATCH(MTD,$AG$6:$AR$6,0))</f>
        <v>0</v>
      </c>
      <c r="N292" s="34">
        <f t="shared" si="46"/>
        <v>0</v>
      </c>
      <c r="O292" s="64" t="str">
        <f t="shared" si="47"/>
        <v xml:space="preserve"> </v>
      </c>
      <c r="Q292" s="97">
        <f t="shared" si="48"/>
        <v>0</v>
      </c>
      <c r="R292" s="96">
        <f t="shared" si="49"/>
        <v>0</v>
      </c>
      <c r="T292" s="67" t="str">
        <f>IF($B292&lt;&gt;"",INDEX(DataOB[],FirstRow+ROW()-7,MATCH(T$6,DataOB[#Headers],0)),"")</f>
        <v/>
      </c>
      <c r="U292" s="67" t="str">
        <f>IF($B292&lt;&gt;"",INDEX(DataOB[],FirstRow+ROW()-7,MATCH(U$6,DataOB[#Headers],0)),"")</f>
        <v/>
      </c>
      <c r="V292" s="67" t="str">
        <f>IF($B292&lt;&gt;"",INDEX(DataOB[],FirstRow+ROW()-7,MATCH(V$6,DataOB[#Headers],0)),"")</f>
        <v/>
      </c>
      <c r="W292" s="67" t="str">
        <f>IF($B292&lt;&gt;"",INDEX(DataOB[],FirstRow+ROW()-7,MATCH(W$6,DataOB[#Headers],0)),"")</f>
        <v/>
      </c>
      <c r="X292" s="67" t="str">
        <f>IF($B292&lt;&gt;"",INDEX(DataOB[],FirstRow+ROW()-7,MATCH(X$6,DataOB[#Headers],0)),"")</f>
        <v/>
      </c>
      <c r="Y292" s="67" t="str">
        <f>IF($B292&lt;&gt;"",INDEX(DataOB[],FirstRow+ROW()-7,MATCH(Y$6,DataOB[#Headers],0)),"")</f>
        <v/>
      </c>
      <c r="Z292" s="67" t="str">
        <f>IF($B292&lt;&gt;"",INDEX(DataOB[],FirstRow+ROW()-7,MATCH(Z$6,DataOB[#Headers],0)),"")</f>
        <v/>
      </c>
      <c r="AA292" s="67" t="str">
        <f>IF($B292&lt;&gt;"",INDEX(DataOB[],FirstRow+ROW()-7,MATCH(AA$6,DataOB[#Headers],0)),"")</f>
        <v/>
      </c>
      <c r="AB292" s="67" t="str">
        <f>IF($B292&lt;&gt;"",INDEX(DataOB[],FirstRow+ROW()-7,MATCH(AB$6,DataOB[#Headers],0)),"")</f>
        <v/>
      </c>
      <c r="AC292" s="67" t="str">
        <f>IF($B292&lt;&gt;"",INDEX(DataOB[],FirstRow+ROW()-7,MATCH(AC$6,DataOB[#Headers],0)),"")</f>
        <v/>
      </c>
      <c r="AD292" s="67" t="str">
        <f>IF($B292&lt;&gt;"",INDEX(DataOB[],FirstRow+ROW()-7,MATCH(AD$6,DataOB[#Headers],0)),"")</f>
        <v/>
      </c>
      <c r="AE292" s="67" t="str">
        <f>IF($B292&lt;&gt;"",INDEX(DataOB[],FirstRow+ROW()-7,MATCH(AE$6,DataOB[#Headers],0)),"")</f>
        <v/>
      </c>
      <c r="AF292" s="26">
        <f t="shared" si="50"/>
        <v>0</v>
      </c>
      <c r="AG292" s="31">
        <f>SUM($T292:T292)</f>
        <v>0</v>
      </c>
      <c r="AH292" s="31">
        <f>SUM($T292:U292)</f>
        <v>0</v>
      </c>
      <c r="AI292" s="31">
        <f>SUM($T292:V292)</f>
        <v>0</v>
      </c>
      <c r="AJ292" s="31">
        <f>SUM($T292:W292)</f>
        <v>0</v>
      </c>
      <c r="AK292" s="31">
        <f>SUM($T292:X292)</f>
        <v>0</v>
      </c>
      <c r="AL292" s="31">
        <f>SUM($T292:Y292)</f>
        <v>0</v>
      </c>
      <c r="AM292" s="31">
        <f>SUM($T292:Z292)</f>
        <v>0</v>
      </c>
      <c r="AN292" s="31">
        <f>SUM($T292:AA292)</f>
        <v>0</v>
      </c>
      <c r="AO292" s="31">
        <f>SUM($T292:AB292)</f>
        <v>0</v>
      </c>
      <c r="AP292" s="31">
        <f>SUM($T292:AC292)</f>
        <v>0</v>
      </c>
      <c r="AQ292" s="31">
        <f>SUM($T292:AD292)</f>
        <v>0</v>
      </c>
      <c r="AR292" s="31">
        <f>SUM($T292:AE292)</f>
        <v>0</v>
      </c>
      <c r="AS292" s="27">
        <f t="shared" si="51"/>
        <v>0</v>
      </c>
    </row>
    <row r="293" spans="2:45">
      <c r="B293" s="102" t="str">
        <f>IF(ROW()-6&gt;NumCostCenter,"",IF(CostCenter&lt;&gt;"ALL",CostCenter,DATA_LF2!B291))</f>
        <v/>
      </c>
      <c r="C293" s="153" t="str">
        <f>IF($B293&lt;&gt;"",INDEX(DataOB[],FirstRow+ROW()-7,2),"")</f>
        <v/>
      </c>
      <c r="D293" s="66" t="str">
        <f>IF($B293&lt;&gt;"",INDEX(DataOB[],FirstRow+ROW()-7,3),"")</f>
        <v/>
      </c>
      <c r="E293" s="103" t="str">
        <f>IF($B293&lt;&gt;"",INDEX(DataOB[],FirstRow+ROW()-7,6),"")</f>
        <v/>
      </c>
      <c r="F293" s="103" t="str">
        <f>IF($B293&lt;&gt;"",INDEX(DataOB[],FirstRow+ROW()-7,5),"")</f>
        <v/>
      </c>
      <c r="G293" s="58">
        <f>IF($B293&lt;&gt;"",SUMIFS(DataAct_tbl[AMOUNT],DataAct_tbl[BG CODE],Detail!$D293,DataAct_tbl[MONTH],LEFT(MonthName,3),DataAct_tbl[Dept code],$B293),0)</f>
        <v>0</v>
      </c>
      <c r="H293" s="31" t="str">
        <f t="shared" si="43"/>
        <v/>
      </c>
      <c r="I293" s="28" t="str">
        <f t="shared" si="44"/>
        <v/>
      </c>
      <c r="J293" s="32" t="str">
        <f t="shared" si="45"/>
        <v/>
      </c>
      <c r="K293" s="86"/>
      <c r="L293" s="62">
        <f>IF($B293&lt;&gt;"",SUMIFS(DataAct_tbl[AMOUNT],DataAct_tbl[BG CODE],Detail!$D293,DataAct_tbl[Check Range],"=true",DataAct_tbl[Dept code],$B293),0)</f>
        <v>0</v>
      </c>
      <c r="M293" s="63">
        <f>INDEX($AG$7:$AR$1005,ROW()-6,MATCH(MTD,$AG$6:$AR$6,0))</f>
        <v>0</v>
      </c>
      <c r="N293" s="34">
        <f t="shared" si="46"/>
        <v>0</v>
      </c>
      <c r="O293" s="64" t="str">
        <f t="shared" si="47"/>
        <v xml:space="preserve"> </v>
      </c>
      <c r="Q293" s="97">
        <f t="shared" si="48"/>
        <v>0</v>
      </c>
      <c r="R293" s="96">
        <f t="shared" si="49"/>
        <v>0</v>
      </c>
      <c r="T293" s="67" t="str">
        <f>IF($B293&lt;&gt;"",INDEX(DataOB[],FirstRow+ROW()-7,MATCH(T$6,DataOB[#Headers],0)),"")</f>
        <v/>
      </c>
      <c r="U293" s="67" t="str">
        <f>IF($B293&lt;&gt;"",INDEX(DataOB[],FirstRow+ROW()-7,MATCH(U$6,DataOB[#Headers],0)),"")</f>
        <v/>
      </c>
      <c r="V293" s="67" t="str">
        <f>IF($B293&lt;&gt;"",INDEX(DataOB[],FirstRow+ROW()-7,MATCH(V$6,DataOB[#Headers],0)),"")</f>
        <v/>
      </c>
      <c r="W293" s="67" t="str">
        <f>IF($B293&lt;&gt;"",INDEX(DataOB[],FirstRow+ROW()-7,MATCH(W$6,DataOB[#Headers],0)),"")</f>
        <v/>
      </c>
      <c r="X293" s="67" t="str">
        <f>IF($B293&lt;&gt;"",INDEX(DataOB[],FirstRow+ROW()-7,MATCH(X$6,DataOB[#Headers],0)),"")</f>
        <v/>
      </c>
      <c r="Y293" s="67" t="str">
        <f>IF($B293&lt;&gt;"",INDEX(DataOB[],FirstRow+ROW()-7,MATCH(Y$6,DataOB[#Headers],0)),"")</f>
        <v/>
      </c>
      <c r="Z293" s="67" t="str">
        <f>IF($B293&lt;&gt;"",INDEX(DataOB[],FirstRow+ROW()-7,MATCH(Z$6,DataOB[#Headers],0)),"")</f>
        <v/>
      </c>
      <c r="AA293" s="67" t="str">
        <f>IF($B293&lt;&gt;"",INDEX(DataOB[],FirstRow+ROW()-7,MATCH(AA$6,DataOB[#Headers],0)),"")</f>
        <v/>
      </c>
      <c r="AB293" s="67" t="str">
        <f>IF($B293&lt;&gt;"",INDEX(DataOB[],FirstRow+ROW()-7,MATCH(AB$6,DataOB[#Headers],0)),"")</f>
        <v/>
      </c>
      <c r="AC293" s="67" t="str">
        <f>IF($B293&lt;&gt;"",INDEX(DataOB[],FirstRow+ROW()-7,MATCH(AC$6,DataOB[#Headers],0)),"")</f>
        <v/>
      </c>
      <c r="AD293" s="67" t="str">
        <f>IF($B293&lt;&gt;"",INDEX(DataOB[],FirstRow+ROW()-7,MATCH(AD$6,DataOB[#Headers],0)),"")</f>
        <v/>
      </c>
      <c r="AE293" s="67" t="str">
        <f>IF($B293&lt;&gt;"",INDEX(DataOB[],FirstRow+ROW()-7,MATCH(AE$6,DataOB[#Headers],0)),"")</f>
        <v/>
      </c>
      <c r="AF293" s="26">
        <f t="shared" si="50"/>
        <v>0</v>
      </c>
      <c r="AG293" s="31">
        <f>SUM($T293:T293)</f>
        <v>0</v>
      </c>
      <c r="AH293" s="31">
        <f>SUM($T293:U293)</f>
        <v>0</v>
      </c>
      <c r="AI293" s="31">
        <f>SUM($T293:V293)</f>
        <v>0</v>
      </c>
      <c r="AJ293" s="31">
        <f>SUM($T293:W293)</f>
        <v>0</v>
      </c>
      <c r="AK293" s="31">
        <f>SUM($T293:X293)</f>
        <v>0</v>
      </c>
      <c r="AL293" s="31">
        <f>SUM($T293:Y293)</f>
        <v>0</v>
      </c>
      <c r="AM293" s="31">
        <f>SUM($T293:Z293)</f>
        <v>0</v>
      </c>
      <c r="AN293" s="31">
        <f>SUM($T293:AA293)</f>
        <v>0</v>
      </c>
      <c r="AO293" s="31">
        <f>SUM($T293:AB293)</f>
        <v>0</v>
      </c>
      <c r="AP293" s="31">
        <f>SUM($T293:AC293)</f>
        <v>0</v>
      </c>
      <c r="AQ293" s="31">
        <f>SUM($T293:AD293)</f>
        <v>0</v>
      </c>
      <c r="AR293" s="31">
        <f>SUM($T293:AE293)</f>
        <v>0</v>
      </c>
      <c r="AS293" s="27">
        <f t="shared" si="51"/>
        <v>0</v>
      </c>
    </row>
    <row r="294" spans="2:45">
      <c r="B294" s="102" t="str">
        <f>IF(ROW()-6&gt;NumCostCenter,"",IF(CostCenter&lt;&gt;"ALL",CostCenter,DATA_LF2!B292))</f>
        <v/>
      </c>
      <c r="C294" s="153" t="str">
        <f>IF($B294&lt;&gt;"",INDEX(DataOB[],FirstRow+ROW()-7,2),"")</f>
        <v/>
      </c>
      <c r="D294" s="66" t="str">
        <f>IF($B294&lt;&gt;"",INDEX(DataOB[],FirstRow+ROW()-7,3),"")</f>
        <v/>
      </c>
      <c r="E294" s="103" t="str">
        <f>IF($B294&lt;&gt;"",INDEX(DataOB[],FirstRow+ROW()-7,6),"")</f>
        <v/>
      </c>
      <c r="F294" s="103" t="str">
        <f>IF($B294&lt;&gt;"",INDEX(DataOB[],FirstRow+ROW()-7,5),"")</f>
        <v/>
      </c>
      <c r="G294" s="58">
        <f>IF($B294&lt;&gt;"",SUMIFS(DataAct_tbl[AMOUNT],DataAct_tbl[BG CODE],Detail!$D294,DataAct_tbl[MONTH],LEFT(MonthName,3),DataAct_tbl[Dept code],$B294),0)</f>
        <v>0</v>
      </c>
      <c r="H294" s="31" t="str">
        <f t="shared" si="43"/>
        <v/>
      </c>
      <c r="I294" s="28" t="str">
        <f t="shared" si="44"/>
        <v/>
      </c>
      <c r="J294" s="32" t="str">
        <f t="shared" si="45"/>
        <v/>
      </c>
      <c r="K294" s="86"/>
      <c r="L294" s="62">
        <f>IF($B294&lt;&gt;"",SUMIFS(DataAct_tbl[AMOUNT],DataAct_tbl[BG CODE],Detail!$D294,DataAct_tbl[Check Range],"=true",DataAct_tbl[Dept code],$B294),0)</f>
        <v>0</v>
      </c>
      <c r="M294" s="63">
        <f>INDEX($AG$7:$AR$1005,ROW()-6,MATCH(MTD,$AG$6:$AR$6,0))</f>
        <v>0</v>
      </c>
      <c r="N294" s="34">
        <f t="shared" si="46"/>
        <v>0</v>
      </c>
      <c r="O294" s="64" t="str">
        <f t="shared" si="47"/>
        <v xml:space="preserve"> </v>
      </c>
      <c r="Q294" s="97">
        <f t="shared" si="48"/>
        <v>0</v>
      </c>
      <c r="R294" s="96">
        <f t="shared" si="49"/>
        <v>0</v>
      </c>
      <c r="T294" s="67" t="str">
        <f>IF($B294&lt;&gt;"",INDEX(DataOB[],FirstRow+ROW()-7,MATCH(T$6,DataOB[#Headers],0)),"")</f>
        <v/>
      </c>
      <c r="U294" s="67" t="str">
        <f>IF($B294&lt;&gt;"",INDEX(DataOB[],FirstRow+ROW()-7,MATCH(U$6,DataOB[#Headers],0)),"")</f>
        <v/>
      </c>
      <c r="V294" s="67" t="str">
        <f>IF($B294&lt;&gt;"",INDEX(DataOB[],FirstRow+ROW()-7,MATCH(V$6,DataOB[#Headers],0)),"")</f>
        <v/>
      </c>
      <c r="W294" s="67" t="str">
        <f>IF($B294&lt;&gt;"",INDEX(DataOB[],FirstRow+ROW()-7,MATCH(W$6,DataOB[#Headers],0)),"")</f>
        <v/>
      </c>
      <c r="X294" s="67" t="str">
        <f>IF($B294&lt;&gt;"",INDEX(DataOB[],FirstRow+ROW()-7,MATCH(X$6,DataOB[#Headers],0)),"")</f>
        <v/>
      </c>
      <c r="Y294" s="67" t="str">
        <f>IF($B294&lt;&gt;"",INDEX(DataOB[],FirstRow+ROW()-7,MATCH(Y$6,DataOB[#Headers],0)),"")</f>
        <v/>
      </c>
      <c r="Z294" s="67" t="str">
        <f>IF($B294&lt;&gt;"",INDEX(DataOB[],FirstRow+ROW()-7,MATCH(Z$6,DataOB[#Headers],0)),"")</f>
        <v/>
      </c>
      <c r="AA294" s="67" t="str">
        <f>IF($B294&lt;&gt;"",INDEX(DataOB[],FirstRow+ROW()-7,MATCH(AA$6,DataOB[#Headers],0)),"")</f>
        <v/>
      </c>
      <c r="AB294" s="67" t="str">
        <f>IF($B294&lt;&gt;"",INDEX(DataOB[],FirstRow+ROW()-7,MATCH(AB$6,DataOB[#Headers],0)),"")</f>
        <v/>
      </c>
      <c r="AC294" s="67" t="str">
        <f>IF($B294&lt;&gt;"",INDEX(DataOB[],FirstRow+ROW()-7,MATCH(AC$6,DataOB[#Headers],0)),"")</f>
        <v/>
      </c>
      <c r="AD294" s="67" t="str">
        <f>IF($B294&lt;&gt;"",INDEX(DataOB[],FirstRow+ROW()-7,MATCH(AD$6,DataOB[#Headers],0)),"")</f>
        <v/>
      </c>
      <c r="AE294" s="67" t="str">
        <f>IF($B294&lt;&gt;"",INDEX(DataOB[],FirstRow+ROW()-7,MATCH(AE$6,DataOB[#Headers],0)),"")</f>
        <v/>
      </c>
      <c r="AF294" s="26">
        <f t="shared" si="50"/>
        <v>0</v>
      </c>
      <c r="AG294" s="31">
        <f>SUM($T294:T294)</f>
        <v>0</v>
      </c>
      <c r="AH294" s="31">
        <f>SUM($T294:U294)</f>
        <v>0</v>
      </c>
      <c r="AI294" s="31">
        <f>SUM($T294:V294)</f>
        <v>0</v>
      </c>
      <c r="AJ294" s="31">
        <f>SUM($T294:W294)</f>
        <v>0</v>
      </c>
      <c r="AK294" s="31">
        <f>SUM($T294:X294)</f>
        <v>0</v>
      </c>
      <c r="AL294" s="31">
        <f>SUM($T294:Y294)</f>
        <v>0</v>
      </c>
      <c r="AM294" s="31">
        <f>SUM($T294:Z294)</f>
        <v>0</v>
      </c>
      <c r="AN294" s="31">
        <f>SUM($T294:AA294)</f>
        <v>0</v>
      </c>
      <c r="AO294" s="31">
        <f>SUM($T294:AB294)</f>
        <v>0</v>
      </c>
      <c r="AP294" s="31">
        <f>SUM($T294:AC294)</f>
        <v>0</v>
      </c>
      <c r="AQ294" s="31">
        <f>SUM($T294:AD294)</f>
        <v>0</v>
      </c>
      <c r="AR294" s="31">
        <f>SUM($T294:AE294)</f>
        <v>0</v>
      </c>
      <c r="AS294" s="27">
        <f t="shared" si="51"/>
        <v>0</v>
      </c>
    </row>
    <row r="295" spans="2:45">
      <c r="B295" s="102" t="str">
        <f>IF(ROW()-6&gt;NumCostCenter,"",IF(CostCenter&lt;&gt;"ALL",CostCenter,DATA_LF2!B293))</f>
        <v/>
      </c>
      <c r="C295" s="153" t="str">
        <f>IF($B295&lt;&gt;"",INDEX(DataOB[],FirstRow+ROW()-7,2),"")</f>
        <v/>
      </c>
      <c r="D295" s="66" t="str">
        <f>IF($B295&lt;&gt;"",INDEX(DataOB[],FirstRow+ROW()-7,3),"")</f>
        <v/>
      </c>
      <c r="E295" s="103" t="str">
        <f>IF($B295&lt;&gt;"",INDEX(DataOB[],FirstRow+ROW()-7,6),"")</f>
        <v/>
      </c>
      <c r="F295" s="103" t="str">
        <f>IF($B295&lt;&gt;"",INDEX(DataOB[],FirstRow+ROW()-7,5),"")</f>
        <v/>
      </c>
      <c r="G295" s="58">
        <f>IF($B295&lt;&gt;"",SUMIFS(DataAct_tbl[AMOUNT],DataAct_tbl[BG CODE],Detail!$D295,DataAct_tbl[MONTH],LEFT(MonthName,3),DataAct_tbl[Dept code],$B295),0)</f>
        <v>0</v>
      </c>
      <c r="H295" s="31" t="str">
        <f t="shared" si="43"/>
        <v/>
      </c>
      <c r="I295" s="28" t="str">
        <f t="shared" si="44"/>
        <v/>
      </c>
      <c r="J295" s="32" t="str">
        <f t="shared" si="45"/>
        <v/>
      </c>
      <c r="K295" s="86"/>
      <c r="L295" s="62">
        <f>IF($B295&lt;&gt;"",SUMIFS(DataAct_tbl[AMOUNT],DataAct_tbl[BG CODE],Detail!$D295,DataAct_tbl[Check Range],"=true",DataAct_tbl[Dept code],$B295),0)</f>
        <v>0</v>
      </c>
      <c r="M295" s="63">
        <f>INDEX($AG$7:$AR$1005,ROW()-6,MATCH(MTD,$AG$6:$AR$6,0))</f>
        <v>0</v>
      </c>
      <c r="N295" s="34">
        <f t="shared" si="46"/>
        <v>0</v>
      </c>
      <c r="O295" s="64" t="str">
        <f t="shared" si="47"/>
        <v xml:space="preserve"> </v>
      </c>
      <c r="Q295" s="97">
        <f t="shared" si="48"/>
        <v>0</v>
      </c>
      <c r="R295" s="96">
        <f t="shared" si="49"/>
        <v>0</v>
      </c>
      <c r="T295" s="67" t="str">
        <f>IF($B295&lt;&gt;"",INDEX(DataOB[],FirstRow+ROW()-7,MATCH(T$6,DataOB[#Headers],0)),"")</f>
        <v/>
      </c>
      <c r="U295" s="67" t="str">
        <f>IF($B295&lt;&gt;"",INDEX(DataOB[],FirstRow+ROW()-7,MATCH(U$6,DataOB[#Headers],0)),"")</f>
        <v/>
      </c>
      <c r="V295" s="67" t="str">
        <f>IF($B295&lt;&gt;"",INDEX(DataOB[],FirstRow+ROW()-7,MATCH(V$6,DataOB[#Headers],0)),"")</f>
        <v/>
      </c>
      <c r="W295" s="67" t="str">
        <f>IF($B295&lt;&gt;"",INDEX(DataOB[],FirstRow+ROW()-7,MATCH(W$6,DataOB[#Headers],0)),"")</f>
        <v/>
      </c>
      <c r="X295" s="67" t="str">
        <f>IF($B295&lt;&gt;"",INDEX(DataOB[],FirstRow+ROW()-7,MATCH(X$6,DataOB[#Headers],0)),"")</f>
        <v/>
      </c>
      <c r="Y295" s="67" t="str">
        <f>IF($B295&lt;&gt;"",INDEX(DataOB[],FirstRow+ROW()-7,MATCH(Y$6,DataOB[#Headers],0)),"")</f>
        <v/>
      </c>
      <c r="Z295" s="67" t="str">
        <f>IF($B295&lt;&gt;"",INDEX(DataOB[],FirstRow+ROW()-7,MATCH(Z$6,DataOB[#Headers],0)),"")</f>
        <v/>
      </c>
      <c r="AA295" s="67" t="str">
        <f>IF($B295&lt;&gt;"",INDEX(DataOB[],FirstRow+ROW()-7,MATCH(AA$6,DataOB[#Headers],0)),"")</f>
        <v/>
      </c>
      <c r="AB295" s="67" t="str">
        <f>IF($B295&lt;&gt;"",INDEX(DataOB[],FirstRow+ROW()-7,MATCH(AB$6,DataOB[#Headers],0)),"")</f>
        <v/>
      </c>
      <c r="AC295" s="67" t="str">
        <f>IF($B295&lt;&gt;"",INDEX(DataOB[],FirstRow+ROW()-7,MATCH(AC$6,DataOB[#Headers],0)),"")</f>
        <v/>
      </c>
      <c r="AD295" s="67" t="str">
        <f>IF($B295&lt;&gt;"",INDEX(DataOB[],FirstRow+ROW()-7,MATCH(AD$6,DataOB[#Headers],0)),"")</f>
        <v/>
      </c>
      <c r="AE295" s="67" t="str">
        <f>IF($B295&lt;&gt;"",INDEX(DataOB[],FirstRow+ROW()-7,MATCH(AE$6,DataOB[#Headers],0)),"")</f>
        <v/>
      </c>
      <c r="AF295" s="26">
        <f t="shared" si="50"/>
        <v>0</v>
      </c>
      <c r="AG295" s="31">
        <f>SUM($T295:T295)</f>
        <v>0</v>
      </c>
      <c r="AH295" s="31">
        <f>SUM($T295:U295)</f>
        <v>0</v>
      </c>
      <c r="AI295" s="31">
        <f>SUM($T295:V295)</f>
        <v>0</v>
      </c>
      <c r="AJ295" s="31">
        <f>SUM($T295:W295)</f>
        <v>0</v>
      </c>
      <c r="AK295" s="31">
        <f>SUM($T295:X295)</f>
        <v>0</v>
      </c>
      <c r="AL295" s="31">
        <f>SUM($T295:Y295)</f>
        <v>0</v>
      </c>
      <c r="AM295" s="31">
        <f>SUM($T295:Z295)</f>
        <v>0</v>
      </c>
      <c r="AN295" s="31">
        <f>SUM($T295:AA295)</f>
        <v>0</v>
      </c>
      <c r="AO295" s="31">
        <f>SUM($T295:AB295)</f>
        <v>0</v>
      </c>
      <c r="AP295" s="31">
        <f>SUM($T295:AC295)</f>
        <v>0</v>
      </c>
      <c r="AQ295" s="31">
        <f>SUM($T295:AD295)</f>
        <v>0</v>
      </c>
      <c r="AR295" s="31">
        <f>SUM($T295:AE295)</f>
        <v>0</v>
      </c>
      <c r="AS295" s="27">
        <f t="shared" si="51"/>
        <v>0</v>
      </c>
    </row>
    <row r="296" spans="2:45">
      <c r="B296" s="102" t="str">
        <f>IF(ROW()-6&gt;NumCostCenter,"",IF(CostCenter&lt;&gt;"ALL",CostCenter,DATA_LF2!B294))</f>
        <v/>
      </c>
      <c r="C296" s="153" t="str">
        <f>IF($B296&lt;&gt;"",INDEX(DataOB[],FirstRow+ROW()-7,2),"")</f>
        <v/>
      </c>
      <c r="D296" s="66" t="str">
        <f>IF($B296&lt;&gt;"",INDEX(DataOB[],FirstRow+ROW()-7,3),"")</f>
        <v/>
      </c>
      <c r="E296" s="103" t="str">
        <f>IF($B296&lt;&gt;"",INDEX(DataOB[],FirstRow+ROW()-7,6),"")</f>
        <v/>
      </c>
      <c r="F296" s="103" t="str">
        <f>IF($B296&lt;&gt;"",INDEX(DataOB[],FirstRow+ROW()-7,5),"")</f>
        <v/>
      </c>
      <c r="G296" s="58">
        <f>IF($B296&lt;&gt;"",SUMIFS(DataAct_tbl[AMOUNT],DataAct_tbl[BG CODE],Detail!$D296,DataAct_tbl[MONTH],LEFT(MonthName,3),DataAct_tbl[Dept code],$B296),0)</f>
        <v>0</v>
      </c>
      <c r="H296" s="31" t="str">
        <f t="shared" si="43"/>
        <v/>
      </c>
      <c r="I296" s="28" t="str">
        <f t="shared" si="44"/>
        <v/>
      </c>
      <c r="J296" s="32" t="str">
        <f t="shared" si="45"/>
        <v/>
      </c>
      <c r="K296" s="86"/>
      <c r="L296" s="62">
        <f>IF($B296&lt;&gt;"",SUMIFS(DataAct_tbl[AMOUNT],DataAct_tbl[BG CODE],Detail!$D296,DataAct_tbl[Check Range],"=true",DataAct_tbl[Dept code],$B296),0)</f>
        <v>0</v>
      </c>
      <c r="M296" s="63">
        <f>INDEX($AG$7:$AR$1005,ROW()-6,MATCH(MTD,$AG$6:$AR$6,0))</f>
        <v>0</v>
      </c>
      <c r="N296" s="34">
        <f t="shared" si="46"/>
        <v>0</v>
      </c>
      <c r="O296" s="64" t="str">
        <f t="shared" si="47"/>
        <v xml:space="preserve"> </v>
      </c>
      <c r="Q296" s="97">
        <f t="shared" si="48"/>
        <v>0</v>
      </c>
      <c r="R296" s="96">
        <f t="shared" si="49"/>
        <v>0</v>
      </c>
      <c r="T296" s="67" t="str">
        <f>IF($B296&lt;&gt;"",INDEX(DataOB[],FirstRow+ROW()-7,MATCH(T$6,DataOB[#Headers],0)),"")</f>
        <v/>
      </c>
      <c r="U296" s="67" t="str">
        <f>IF($B296&lt;&gt;"",INDEX(DataOB[],FirstRow+ROW()-7,MATCH(U$6,DataOB[#Headers],0)),"")</f>
        <v/>
      </c>
      <c r="V296" s="67" t="str">
        <f>IF($B296&lt;&gt;"",INDEX(DataOB[],FirstRow+ROW()-7,MATCH(V$6,DataOB[#Headers],0)),"")</f>
        <v/>
      </c>
      <c r="W296" s="67" t="str">
        <f>IF($B296&lt;&gt;"",INDEX(DataOB[],FirstRow+ROW()-7,MATCH(W$6,DataOB[#Headers],0)),"")</f>
        <v/>
      </c>
      <c r="X296" s="67" t="str">
        <f>IF($B296&lt;&gt;"",INDEX(DataOB[],FirstRow+ROW()-7,MATCH(X$6,DataOB[#Headers],0)),"")</f>
        <v/>
      </c>
      <c r="Y296" s="67" t="str">
        <f>IF($B296&lt;&gt;"",INDEX(DataOB[],FirstRow+ROW()-7,MATCH(Y$6,DataOB[#Headers],0)),"")</f>
        <v/>
      </c>
      <c r="Z296" s="67" t="str">
        <f>IF($B296&lt;&gt;"",INDEX(DataOB[],FirstRow+ROW()-7,MATCH(Z$6,DataOB[#Headers],0)),"")</f>
        <v/>
      </c>
      <c r="AA296" s="67" t="str">
        <f>IF($B296&lt;&gt;"",INDEX(DataOB[],FirstRow+ROW()-7,MATCH(AA$6,DataOB[#Headers],0)),"")</f>
        <v/>
      </c>
      <c r="AB296" s="67" t="str">
        <f>IF($B296&lt;&gt;"",INDEX(DataOB[],FirstRow+ROW()-7,MATCH(AB$6,DataOB[#Headers],0)),"")</f>
        <v/>
      </c>
      <c r="AC296" s="67" t="str">
        <f>IF($B296&lt;&gt;"",INDEX(DataOB[],FirstRow+ROW()-7,MATCH(AC$6,DataOB[#Headers],0)),"")</f>
        <v/>
      </c>
      <c r="AD296" s="67" t="str">
        <f>IF($B296&lt;&gt;"",INDEX(DataOB[],FirstRow+ROW()-7,MATCH(AD$6,DataOB[#Headers],0)),"")</f>
        <v/>
      </c>
      <c r="AE296" s="67" t="str">
        <f>IF($B296&lt;&gt;"",INDEX(DataOB[],FirstRow+ROW()-7,MATCH(AE$6,DataOB[#Headers],0)),"")</f>
        <v/>
      </c>
      <c r="AF296" s="26">
        <f t="shared" si="50"/>
        <v>0</v>
      </c>
      <c r="AG296" s="31">
        <f>SUM($T296:T296)</f>
        <v>0</v>
      </c>
      <c r="AH296" s="31">
        <f>SUM($T296:U296)</f>
        <v>0</v>
      </c>
      <c r="AI296" s="31">
        <f>SUM($T296:V296)</f>
        <v>0</v>
      </c>
      <c r="AJ296" s="31">
        <f>SUM($T296:W296)</f>
        <v>0</v>
      </c>
      <c r="AK296" s="31">
        <f>SUM($T296:X296)</f>
        <v>0</v>
      </c>
      <c r="AL296" s="31">
        <f>SUM($T296:Y296)</f>
        <v>0</v>
      </c>
      <c r="AM296" s="31">
        <f>SUM($T296:Z296)</f>
        <v>0</v>
      </c>
      <c r="AN296" s="31">
        <f>SUM($T296:AA296)</f>
        <v>0</v>
      </c>
      <c r="AO296" s="31">
        <f>SUM($T296:AB296)</f>
        <v>0</v>
      </c>
      <c r="AP296" s="31">
        <f>SUM($T296:AC296)</f>
        <v>0</v>
      </c>
      <c r="AQ296" s="31">
        <f>SUM($T296:AD296)</f>
        <v>0</v>
      </c>
      <c r="AR296" s="31">
        <f>SUM($T296:AE296)</f>
        <v>0</v>
      </c>
      <c r="AS296" s="27">
        <f t="shared" si="51"/>
        <v>0</v>
      </c>
    </row>
    <row r="297" spans="2:45">
      <c r="B297" s="102" t="str">
        <f>IF(ROW()-6&gt;NumCostCenter,"",IF(CostCenter&lt;&gt;"ALL",CostCenter,DATA_LF2!B295))</f>
        <v/>
      </c>
      <c r="C297" s="153" t="str">
        <f>IF($B297&lt;&gt;"",INDEX(DataOB[],FirstRow+ROW()-7,2),"")</f>
        <v/>
      </c>
      <c r="D297" s="66" t="str">
        <f>IF($B297&lt;&gt;"",INDEX(DataOB[],FirstRow+ROW()-7,3),"")</f>
        <v/>
      </c>
      <c r="E297" s="103" t="str">
        <f>IF($B297&lt;&gt;"",INDEX(DataOB[],FirstRow+ROW()-7,6),"")</f>
        <v/>
      </c>
      <c r="F297" s="103" t="str">
        <f>IF($B297&lt;&gt;"",INDEX(DataOB[],FirstRow+ROW()-7,5),"")</f>
        <v/>
      </c>
      <c r="G297" s="58">
        <f>IF($B297&lt;&gt;"",SUMIFS(DataAct_tbl[AMOUNT],DataAct_tbl[BG CODE],Detail!$D297,DataAct_tbl[MONTH],LEFT(MonthName,3),DataAct_tbl[Dept code],$B297),0)</f>
        <v>0</v>
      </c>
      <c r="H297" s="31" t="str">
        <f t="shared" si="43"/>
        <v/>
      </c>
      <c r="I297" s="28" t="str">
        <f t="shared" si="44"/>
        <v/>
      </c>
      <c r="J297" s="32" t="str">
        <f t="shared" si="45"/>
        <v/>
      </c>
      <c r="K297" s="86"/>
      <c r="L297" s="62">
        <f>IF($B297&lt;&gt;"",SUMIFS(DataAct_tbl[AMOUNT],DataAct_tbl[BG CODE],Detail!$D297,DataAct_tbl[Check Range],"=true",DataAct_tbl[Dept code],$B297),0)</f>
        <v>0</v>
      </c>
      <c r="M297" s="63">
        <f>INDEX($AG$7:$AR$1005,ROW()-6,MATCH(MTD,$AG$6:$AR$6,0))</f>
        <v>0</v>
      </c>
      <c r="N297" s="34">
        <f t="shared" si="46"/>
        <v>0</v>
      </c>
      <c r="O297" s="64" t="str">
        <f t="shared" si="47"/>
        <v xml:space="preserve"> </v>
      </c>
      <c r="Q297" s="97">
        <f t="shared" si="48"/>
        <v>0</v>
      </c>
      <c r="R297" s="96">
        <f t="shared" si="49"/>
        <v>0</v>
      </c>
      <c r="T297" s="67" t="str">
        <f>IF($B297&lt;&gt;"",INDEX(DataOB[],FirstRow+ROW()-7,MATCH(T$6,DataOB[#Headers],0)),"")</f>
        <v/>
      </c>
      <c r="U297" s="67" t="str">
        <f>IF($B297&lt;&gt;"",INDEX(DataOB[],FirstRow+ROW()-7,MATCH(U$6,DataOB[#Headers],0)),"")</f>
        <v/>
      </c>
      <c r="V297" s="67" t="str">
        <f>IF($B297&lt;&gt;"",INDEX(DataOB[],FirstRow+ROW()-7,MATCH(V$6,DataOB[#Headers],0)),"")</f>
        <v/>
      </c>
      <c r="W297" s="67" t="str">
        <f>IF($B297&lt;&gt;"",INDEX(DataOB[],FirstRow+ROW()-7,MATCH(W$6,DataOB[#Headers],0)),"")</f>
        <v/>
      </c>
      <c r="X297" s="67" t="str">
        <f>IF($B297&lt;&gt;"",INDEX(DataOB[],FirstRow+ROW()-7,MATCH(X$6,DataOB[#Headers],0)),"")</f>
        <v/>
      </c>
      <c r="Y297" s="67" t="str">
        <f>IF($B297&lt;&gt;"",INDEX(DataOB[],FirstRow+ROW()-7,MATCH(Y$6,DataOB[#Headers],0)),"")</f>
        <v/>
      </c>
      <c r="Z297" s="67" t="str">
        <f>IF($B297&lt;&gt;"",INDEX(DataOB[],FirstRow+ROW()-7,MATCH(Z$6,DataOB[#Headers],0)),"")</f>
        <v/>
      </c>
      <c r="AA297" s="67" t="str">
        <f>IF($B297&lt;&gt;"",INDEX(DataOB[],FirstRow+ROW()-7,MATCH(AA$6,DataOB[#Headers],0)),"")</f>
        <v/>
      </c>
      <c r="AB297" s="67" t="str">
        <f>IF($B297&lt;&gt;"",INDEX(DataOB[],FirstRow+ROW()-7,MATCH(AB$6,DataOB[#Headers],0)),"")</f>
        <v/>
      </c>
      <c r="AC297" s="67" t="str">
        <f>IF($B297&lt;&gt;"",INDEX(DataOB[],FirstRow+ROW()-7,MATCH(AC$6,DataOB[#Headers],0)),"")</f>
        <v/>
      </c>
      <c r="AD297" s="67" t="str">
        <f>IF($B297&lt;&gt;"",INDEX(DataOB[],FirstRow+ROW()-7,MATCH(AD$6,DataOB[#Headers],0)),"")</f>
        <v/>
      </c>
      <c r="AE297" s="67" t="str">
        <f>IF($B297&lt;&gt;"",INDEX(DataOB[],FirstRow+ROW()-7,MATCH(AE$6,DataOB[#Headers],0)),"")</f>
        <v/>
      </c>
      <c r="AF297" s="26">
        <f t="shared" si="50"/>
        <v>0</v>
      </c>
      <c r="AG297" s="31">
        <f>SUM($T297:T297)</f>
        <v>0</v>
      </c>
      <c r="AH297" s="31">
        <f>SUM($T297:U297)</f>
        <v>0</v>
      </c>
      <c r="AI297" s="31">
        <f>SUM($T297:V297)</f>
        <v>0</v>
      </c>
      <c r="AJ297" s="31">
        <f>SUM($T297:W297)</f>
        <v>0</v>
      </c>
      <c r="AK297" s="31">
        <f>SUM($T297:X297)</f>
        <v>0</v>
      </c>
      <c r="AL297" s="31">
        <f>SUM($T297:Y297)</f>
        <v>0</v>
      </c>
      <c r="AM297" s="31">
        <f>SUM($T297:Z297)</f>
        <v>0</v>
      </c>
      <c r="AN297" s="31">
        <f>SUM($T297:AA297)</f>
        <v>0</v>
      </c>
      <c r="AO297" s="31">
        <f>SUM($T297:AB297)</f>
        <v>0</v>
      </c>
      <c r="AP297" s="31">
        <f>SUM($T297:AC297)</f>
        <v>0</v>
      </c>
      <c r="AQ297" s="31">
        <f>SUM($T297:AD297)</f>
        <v>0</v>
      </c>
      <c r="AR297" s="31">
        <f>SUM($T297:AE297)</f>
        <v>0</v>
      </c>
      <c r="AS297" s="27">
        <f t="shared" si="51"/>
        <v>0</v>
      </c>
    </row>
    <row r="298" spans="2:45">
      <c r="B298" s="102" t="str">
        <f>IF(ROW()-6&gt;NumCostCenter,"",IF(CostCenter&lt;&gt;"ALL",CostCenter,DATA_LF2!B296))</f>
        <v/>
      </c>
      <c r="C298" s="153" t="str">
        <f>IF($B298&lt;&gt;"",INDEX(DataOB[],FirstRow+ROW()-7,2),"")</f>
        <v/>
      </c>
      <c r="D298" s="66" t="str">
        <f>IF($B298&lt;&gt;"",INDEX(DataOB[],FirstRow+ROW()-7,3),"")</f>
        <v/>
      </c>
      <c r="E298" s="103" t="str">
        <f>IF($B298&lt;&gt;"",INDEX(DataOB[],FirstRow+ROW()-7,6),"")</f>
        <v/>
      </c>
      <c r="F298" s="103" t="str">
        <f>IF($B298&lt;&gt;"",INDEX(DataOB[],FirstRow+ROW()-7,5),"")</f>
        <v/>
      </c>
      <c r="G298" s="58">
        <f>IF($B298&lt;&gt;"",SUMIFS(DataAct_tbl[AMOUNT],DataAct_tbl[BG CODE],Detail!$D298,DataAct_tbl[MONTH],LEFT(MonthName,3),DataAct_tbl[Dept code],$B298),0)</f>
        <v>0</v>
      </c>
      <c r="H298" s="31" t="str">
        <f t="shared" si="43"/>
        <v/>
      </c>
      <c r="I298" s="28" t="str">
        <f t="shared" si="44"/>
        <v/>
      </c>
      <c r="J298" s="32" t="str">
        <f t="shared" si="45"/>
        <v/>
      </c>
      <c r="K298" s="86"/>
      <c r="L298" s="62">
        <f>IF($B298&lt;&gt;"",SUMIFS(DataAct_tbl[AMOUNT],DataAct_tbl[BG CODE],Detail!$D298,DataAct_tbl[Check Range],"=true",DataAct_tbl[Dept code],$B298),0)</f>
        <v>0</v>
      </c>
      <c r="M298" s="63">
        <f>INDEX($AG$7:$AR$1005,ROW()-6,MATCH(MTD,$AG$6:$AR$6,0))</f>
        <v>0</v>
      </c>
      <c r="N298" s="34">
        <f t="shared" si="46"/>
        <v>0</v>
      </c>
      <c r="O298" s="64" t="str">
        <f t="shared" si="47"/>
        <v xml:space="preserve"> </v>
      </c>
      <c r="Q298" s="97">
        <f t="shared" si="48"/>
        <v>0</v>
      </c>
      <c r="R298" s="96">
        <f t="shared" si="49"/>
        <v>0</v>
      </c>
      <c r="T298" s="67" t="str">
        <f>IF($B298&lt;&gt;"",INDEX(DataOB[],FirstRow+ROW()-7,MATCH(T$6,DataOB[#Headers],0)),"")</f>
        <v/>
      </c>
      <c r="U298" s="67" t="str">
        <f>IF($B298&lt;&gt;"",INDEX(DataOB[],FirstRow+ROW()-7,MATCH(U$6,DataOB[#Headers],0)),"")</f>
        <v/>
      </c>
      <c r="V298" s="67" t="str">
        <f>IF($B298&lt;&gt;"",INDEX(DataOB[],FirstRow+ROW()-7,MATCH(V$6,DataOB[#Headers],0)),"")</f>
        <v/>
      </c>
      <c r="W298" s="67" t="str">
        <f>IF($B298&lt;&gt;"",INDEX(DataOB[],FirstRow+ROW()-7,MATCH(W$6,DataOB[#Headers],0)),"")</f>
        <v/>
      </c>
      <c r="X298" s="67" t="str">
        <f>IF($B298&lt;&gt;"",INDEX(DataOB[],FirstRow+ROW()-7,MATCH(X$6,DataOB[#Headers],0)),"")</f>
        <v/>
      </c>
      <c r="Y298" s="67" t="str">
        <f>IF($B298&lt;&gt;"",INDEX(DataOB[],FirstRow+ROW()-7,MATCH(Y$6,DataOB[#Headers],0)),"")</f>
        <v/>
      </c>
      <c r="Z298" s="67" t="str">
        <f>IF($B298&lt;&gt;"",INDEX(DataOB[],FirstRow+ROW()-7,MATCH(Z$6,DataOB[#Headers],0)),"")</f>
        <v/>
      </c>
      <c r="AA298" s="67" t="str">
        <f>IF($B298&lt;&gt;"",INDEX(DataOB[],FirstRow+ROW()-7,MATCH(AA$6,DataOB[#Headers],0)),"")</f>
        <v/>
      </c>
      <c r="AB298" s="67" t="str">
        <f>IF($B298&lt;&gt;"",INDEX(DataOB[],FirstRow+ROW()-7,MATCH(AB$6,DataOB[#Headers],0)),"")</f>
        <v/>
      </c>
      <c r="AC298" s="67" t="str">
        <f>IF($B298&lt;&gt;"",INDEX(DataOB[],FirstRow+ROW()-7,MATCH(AC$6,DataOB[#Headers],0)),"")</f>
        <v/>
      </c>
      <c r="AD298" s="67" t="str">
        <f>IF($B298&lt;&gt;"",INDEX(DataOB[],FirstRow+ROW()-7,MATCH(AD$6,DataOB[#Headers],0)),"")</f>
        <v/>
      </c>
      <c r="AE298" s="67" t="str">
        <f>IF($B298&lt;&gt;"",INDEX(DataOB[],FirstRow+ROW()-7,MATCH(AE$6,DataOB[#Headers],0)),"")</f>
        <v/>
      </c>
      <c r="AF298" s="26">
        <f t="shared" si="50"/>
        <v>0</v>
      </c>
      <c r="AG298" s="31">
        <f>SUM($T298:T298)</f>
        <v>0</v>
      </c>
      <c r="AH298" s="31">
        <f>SUM($T298:U298)</f>
        <v>0</v>
      </c>
      <c r="AI298" s="31">
        <f>SUM($T298:V298)</f>
        <v>0</v>
      </c>
      <c r="AJ298" s="31">
        <f>SUM($T298:W298)</f>
        <v>0</v>
      </c>
      <c r="AK298" s="31">
        <f>SUM($T298:X298)</f>
        <v>0</v>
      </c>
      <c r="AL298" s="31">
        <f>SUM($T298:Y298)</f>
        <v>0</v>
      </c>
      <c r="AM298" s="31">
        <f>SUM($T298:Z298)</f>
        <v>0</v>
      </c>
      <c r="AN298" s="31">
        <f>SUM($T298:AA298)</f>
        <v>0</v>
      </c>
      <c r="AO298" s="31">
        <f>SUM($T298:AB298)</f>
        <v>0</v>
      </c>
      <c r="AP298" s="31">
        <f>SUM($T298:AC298)</f>
        <v>0</v>
      </c>
      <c r="AQ298" s="31">
        <f>SUM($T298:AD298)</f>
        <v>0</v>
      </c>
      <c r="AR298" s="31">
        <f>SUM($T298:AE298)</f>
        <v>0</v>
      </c>
      <c r="AS298" s="27">
        <f t="shared" si="51"/>
        <v>0</v>
      </c>
    </row>
    <row r="299" spans="2:45">
      <c r="B299" s="102" t="str">
        <f>IF(ROW()-6&gt;NumCostCenter,"",IF(CostCenter&lt;&gt;"ALL",CostCenter,DATA_LF2!B297))</f>
        <v/>
      </c>
      <c r="C299" s="153" t="str">
        <f>IF($B299&lt;&gt;"",INDEX(DataOB[],FirstRow+ROW()-7,2),"")</f>
        <v/>
      </c>
      <c r="D299" s="66" t="str">
        <f>IF($B299&lt;&gt;"",INDEX(DataOB[],FirstRow+ROW()-7,3),"")</f>
        <v/>
      </c>
      <c r="E299" s="103" t="str">
        <f>IF($B299&lt;&gt;"",INDEX(DataOB[],FirstRow+ROW()-7,6),"")</f>
        <v/>
      </c>
      <c r="F299" s="103" t="str">
        <f>IF($B299&lt;&gt;"",INDEX(DataOB[],FirstRow+ROW()-7,5),"")</f>
        <v/>
      </c>
      <c r="G299" s="58">
        <f>IF($B299&lt;&gt;"",SUMIFS(DataAct_tbl[AMOUNT],DataAct_tbl[BG CODE],Detail!$D299,DataAct_tbl[MONTH],LEFT(MonthName,3),DataAct_tbl[Dept code],$B299),0)</f>
        <v>0</v>
      </c>
      <c r="H299" s="31" t="str">
        <f t="shared" si="43"/>
        <v/>
      </c>
      <c r="I299" s="28" t="str">
        <f t="shared" si="44"/>
        <v/>
      </c>
      <c r="J299" s="32" t="str">
        <f t="shared" si="45"/>
        <v/>
      </c>
      <c r="K299" s="86"/>
      <c r="L299" s="62">
        <f>IF($B299&lt;&gt;"",SUMIFS(DataAct_tbl[AMOUNT],DataAct_tbl[BG CODE],Detail!$D299,DataAct_tbl[Check Range],"=true",DataAct_tbl[Dept code],$B299),0)</f>
        <v>0</v>
      </c>
      <c r="M299" s="63">
        <f>INDEX($AG$7:$AR$1005,ROW()-6,MATCH(MTD,$AG$6:$AR$6,0))</f>
        <v>0</v>
      </c>
      <c r="N299" s="34">
        <f t="shared" si="46"/>
        <v>0</v>
      </c>
      <c r="O299" s="64" t="str">
        <f t="shared" si="47"/>
        <v xml:space="preserve"> </v>
      </c>
      <c r="Q299" s="97">
        <f t="shared" si="48"/>
        <v>0</v>
      </c>
      <c r="R299" s="96">
        <f t="shared" si="49"/>
        <v>0</v>
      </c>
      <c r="T299" s="67" t="str">
        <f>IF($B299&lt;&gt;"",INDEX(DataOB[],FirstRow+ROW()-7,MATCH(T$6,DataOB[#Headers],0)),"")</f>
        <v/>
      </c>
      <c r="U299" s="67" t="str">
        <f>IF($B299&lt;&gt;"",INDEX(DataOB[],FirstRow+ROW()-7,MATCH(U$6,DataOB[#Headers],0)),"")</f>
        <v/>
      </c>
      <c r="V299" s="67" t="str">
        <f>IF($B299&lt;&gt;"",INDEX(DataOB[],FirstRow+ROW()-7,MATCH(V$6,DataOB[#Headers],0)),"")</f>
        <v/>
      </c>
      <c r="W299" s="67" t="str">
        <f>IF($B299&lt;&gt;"",INDEX(DataOB[],FirstRow+ROW()-7,MATCH(W$6,DataOB[#Headers],0)),"")</f>
        <v/>
      </c>
      <c r="X299" s="67" t="str">
        <f>IF($B299&lt;&gt;"",INDEX(DataOB[],FirstRow+ROW()-7,MATCH(X$6,DataOB[#Headers],0)),"")</f>
        <v/>
      </c>
      <c r="Y299" s="67" t="str">
        <f>IF($B299&lt;&gt;"",INDEX(DataOB[],FirstRow+ROW()-7,MATCH(Y$6,DataOB[#Headers],0)),"")</f>
        <v/>
      </c>
      <c r="Z299" s="67" t="str">
        <f>IF($B299&lt;&gt;"",INDEX(DataOB[],FirstRow+ROW()-7,MATCH(Z$6,DataOB[#Headers],0)),"")</f>
        <v/>
      </c>
      <c r="AA299" s="67" t="str">
        <f>IF($B299&lt;&gt;"",INDEX(DataOB[],FirstRow+ROW()-7,MATCH(AA$6,DataOB[#Headers],0)),"")</f>
        <v/>
      </c>
      <c r="AB299" s="67" t="str">
        <f>IF($B299&lt;&gt;"",INDEX(DataOB[],FirstRow+ROW()-7,MATCH(AB$6,DataOB[#Headers],0)),"")</f>
        <v/>
      </c>
      <c r="AC299" s="67" t="str">
        <f>IF($B299&lt;&gt;"",INDEX(DataOB[],FirstRow+ROW()-7,MATCH(AC$6,DataOB[#Headers],0)),"")</f>
        <v/>
      </c>
      <c r="AD299" s="67" t="str">
        <f>IF($B299&lt;&gt;"",INDEX(DataOB[],FirstRow+ROW()-7,MATCH(AD$6,DataOB[#Headers],0)),"")</f>
        <v/>
      </c>
      <c r="AE299" s="67" t="str">
        <f>IF($B299&lt;&gt;"",INDEX(DataOB[],FirstRow+ROW()-7,MATCH(AE$6,DataOB[#Headers],0)),"")</f>
        <v/>
      </c>
      <c r="AF299" s="26">
        <f t="shared" si="50"/>
        <v>0</v>
      </c>
      <c r="AG299" s="31">
        <f>SUM($T299:T299)</f>
        <v>0</v>
      </c>
      <c r="AH299" s="31">
        <f>SUM($T299:U299)</f>
        <v>0</v>
      </c>
      <c r="AI299" s="31">
        <f>SUM($T299:V299)</f>
        <v>0</v>
      </c>
      <c r="AJ299" s="31">
        <f>SUM($T299:W299)</f>
        <v>0</v>
      </c>
      <c r="AK299" s="31">
        <f>SUM($T299:X299)</f>
        <v>0</v>
      </c>
      <c r="AL299" s="31">
        <f>SUM($T299:Y299)</f>
        <v>0</v>
      </c>
      <c r="AM299" s="31">
        <f>SUM($T299:Z299)</f>
        <v>0</v>
      </c>
      <c r="AN299" s="31">
        <f>SUM($T299:AA299)</f>
        <v>0</v>
      </c>
      <c r="AO299" s="31">
        <f>SUM($T299:AB299)</f>
        <v>0</v>
      </c>
      <c r="AP299" s="31">
        <f>SUM($T299:AC299)</f>
        <v>0</v>
      </c>
      <c r="AQ299" s="31">
        <f>SUM($T299:AD299)</f>
        <v>0</v>
      </c>
      <c r="AR299" s="31">
        <f>SUM($T299:AE299)</f>
        <v>0</v>
      </c>
      <c r="AS299" s="27">
        <f t="shared" si="51"/>
        <v>0</v>
      </c>
    </row>
    <row r="300" spans="2:45">
      <c r="B300" s="102" t="str">
        <f>IF(ROW()-6&gt;NumCostCenter,"",IF(CostCenter&lt;&gt;"ALL",CostCenter,DATA_LF2!B298))</f>
        <v/>
      </c>
      <c r="C300" s="153" t="str">
        <f>IF($B300&lt;&gt;"",INDEX(DataOB[],FirstRow+ROW()-7,2),"")</f>
        <v/>
      </c>
      <c r="D300" s="66" t="str">
        <f>IF($B300&lt;&gt;"",INDEX(DataOB[],FirstRow+ROW()-7,3),"")</f>
        <v/>
      </c>
      <c r="E300" s="103" t="str">
        <f>IF($B300&lt;&gt;"",INDEX(DataOB[],FirstRow+ROW()-7,6),"")</f>
        <v/>
      </c>
      <c r="F300" s="103" t="str">
        <f>IF($B300&lt;&gt;"",INDEX(DataOB[],FirstRow+ROW()-7,5),"")</f>
        <v/>
      </c>
      <c r="G300" s="58">
        <f>IF($B300&lt;&gt;"",SUMIFS(DataAct_tbl[AMOUNT],DataAct_tbl[BG CODE],Detail!$D300,DataAct_tbl[MONTH],LEFT(MonthName,3),DataAct_tbl[Dept code],$B300),0)</f>
        <v>0</v>
      </c>
      <c r="H300" s="31" t="str">
        <f t="shared" si="43"/>
        <v/>
      </c>
      <c r="I300" s="28" t="str">
        <f t="shared" si="44"/>
        <v/>
      </c>
      <c r="J300" s="32" t="str">
        <f t="shared" si="45"/>
        <v/>
      </c>
      <c r="K300" s="86"/>
      <c r="L300" s="62">
        <f>IF($B300&lt;&gt;"",SUMIFS(DataAct_tbl[AMOUNT],DataAct_tbl[BG CODE],Detail!$D300,DataAct_tbl[Check Range],"=true",DataAct_tbl[Dept code],$B300),0)</f>
        <v>0</v>
      </c>
      <c r="M300" s="63">
        <f>INDEX($AG$7:$AR$1005,ROW()-6,MATCH(MTD,$AG$6:$AR$6,0))</f>
        <v>0</v>
      </c>
      <c r="N300" s="34">
        <f t="shared" si="46"/>
        <v>0</v>
      </c>
      <c r="O300" s="64" t="str">
        <f t="shared" si="47"/>
        <v xml:space="preserve"> </v>
      </c>
      <c r="Q300" s="97">
        <f t="shared" si="48"/>
        <v>0</v>
      </c>
      <c r="R300" s="96">
        <f t="shared" si="49"/>
        <v>0</v>
      </c>
      <c r="T300" s="67" t="str">
        <f>IF($B300&lt;&gt;"",INDEX(DataOB[],FirstRow+ROW()-7,MATCH(T$6,DataOB[#Headers],0)),"")</f>
        <v/>
      </c>
      <c r="U300" s="67" t="str">
        <f>IF($B300&lt;&gt;"",INDEX(DataOB[],FirstRow+ROW()-7,MATCH(U$6,DataOB[#Headers],0)),"")</f>
        <v/>
      </c>
      <c r="V300" s="67" t="str">
        <f>IF($B300&lt;&gt;"",INDEX(DataOB[],FirstRow+ROW()-7,MATCH(V$6,DataOB[#Headers],0)),"")</f>
        <v/>
      </c>
      <c r="W300" s="67" t="str">
        <f>IF($B300&lt;&gt;"",INDEX(DataOB[],FirstRow+ROW()-7,MATCH(W$6,DataOB[#Headers],0)),"")</f>
        <v/>
      </c>
      <c r="X300" s="67" t="str">
        <f>IF($B300&lt;&gt;"",INDEX(DataOB[],FirstRow+ROW()-7,MATCH(X$6,DataOB[#Headers],0)),"")</f>
        <v/>
      </c>
      <c r="Y300" s="67" t="str">
        <f>IF($B300&lt;&gt;"",INDEX(DataOB[],FirstRow+ROW()-7,MATCH(Y$6,DataOB[#Headers],0)),"")</f>
        <v/>
      </c>
      <c r="Z300" s="67" t="str">
        <f>IF($B300&lt;&gt;"",INDEX(DataOB[],FirstRow+ROW()-7,MATCH(Z$6,DataOB[#Headers],0)),"")</f>
        <v/>
      </c>
      <c r="AA300" s="67" t="str">
        <f>IF($B300&lt;&gt;"",INDEX(DataOB[],FirstRow+ROW()-7,MATCH(AA$6,DataOB[#Headers],0)),"")</f>
        <v/>
      </c>
      <c r="AB300" s="67" t="str">
        <f>IF($B300&lt;&gt;"",INDEX(DataOB[],FirstRow+ROW()-7,MATCH(AB$6,DataOB[#Headers],0)),"")</f>
        <v/>
      </c>
      <c r="AC300" s="67" t="str">
        <f>IF($B300&lt;&gt;"",INDEX(DataOB[],FirstRow+ROW()-7,MATCH(AC$6,DataOB[#Headers],0)),"")</f>
        <v/>
      </c>
      <c r="AD300" s="67" t="str">
        <f>IF($B300&lt;&gt;"",INDEX(DataOB[],FirstRow+ROW()-7,MATCH(AD$6,DataOB[#Headers],0)),"")</f>
        <v/>
      </c>
      <c r="AE300" s="67" t="str">
        <f>IF($B300&lt;&gt;"",INDEX(DataOB[],FirstRow+ROW()-7,MATCH(AE$6,DataOB[#Headers],0)),"")</f>
        <v/>
      </c>
      <c r="AF300" s="26">
        <f t="shared" si="50"/>
        <v>0</v>
      </c>
      <c r="AG300" s="31">
        <f>SUM($T300:T300)</f>
        <v>0</v>
      </c>
      <c r="AH300" s="31">
        <f>SUM($T300:U300)</f>
        <v>0</v>
      </c>
      <c r="AI300" s="31">
        <f>SUM($T300:V300)</f>
        <v>0</v>
      </c>
      <c r="AJ300" s="31">
        <f>SUM($T300:W300)</f>
        <v>0</v>
      </c>
      <c r="AK300" s="31">
        <f>SUM($T300:X300)</f>
        <v>0</v>
      </c>
      <c r="AL300" s="31">
        <f>SUM($T300:Y300)</f>
        <v>0</v>
      </c>
      <c r="AM300" s="31">
        <f>SUM($T300:Z300)</f>
        <v>0</v>
      </c>
      <c r="AN300" s="31">
        <f>SUM($T300:AA300)</f>
        <v>0</v>
      </c>
      <c r="AO300" s="31">
        <f>SUM($T300:AB300)</f>
        <v>0</v>
      </c>
      <c r="AP300" s="31">
        <f>SUM($T300:AC300)</f>
        <v>0</v>
      </c>
      <c r="AQ300" s="31">
        <f>SUM($T300:AD300)</f>
        <v>0</v>
      </c>
      <c r="AR300" s="31">
        <f>SUM($T300:AE300)</f>
        <v>0</v>
      </c>
      <c r="AS300" s="27">
        <f t="shared" si="51"/>
        <v>0</v>
      </c>
    </row>
    <row r="301" spans="2:45">
      <c r="B301" s="102" t="str">
        <f>IF(ROW()-6&gt;NumCostCenter,"",IF(CostCenter&lt;&gt;"ALL",CostCenter,DATA_LF2!B299))</f>
        <v/>
      </c>
      <c r="C301" s="153" t="str">
        <f>IF($B301&lt;&gt;"",INDEX(DataOB[],FirstRow+ROW()-7,2),"")</f>
        <v/>
      </c>
      <c r="D301" s="66" t="str">
        <f>IF($B301&lt;&gt;"",INDEX(DataOB[],FirstRow+ROW()-7,3),"")</f>
        <v/>
      </c>
      <c r="E301" s="103" t="str">
        <f>IF($B301&lt;&gt;"",INDEX(DataOB[],FirstRow+ROW()-7,6),"")</f>
        <v/>
      </c>
      <c r="F301" s="103" t="str">
        <f>IF($B301&lt;&gt;"",INDEX(DataOB[],FirstRow+ROW()-7,5),"")</f>
        <v/>
      </c>
      <c r="G301" s="58">
        <f>IF($B301&lt;&gt;"",SUMIFS(DataAct_tbl[AMOUNT],DataAct_tbl[BG CODE],Detail!$D301,DataAct_tbl[MONTH],LEFT(MonthName,3),DataAct_tbl[Dept code],$B301),0)</f>
        <v>0</v>
      </c>
      <c r="H301" s="31" t="str">
        <f t="shared" si="43"/>
        <v/>
      </c>
      <c r="I301" s="28" t="str">
        <f t="shared" si="44"/>
        <v/>
      </c>
      <c r="J301" s="32" t="str">
        <f t="shared" si="45"/>
        <v/>
      </c>
      <c r="K301" s="86"/>
      <c r="L301" s="62">
        <f>IF($B301&lt;&gt;"",SUMIFS(DataAct_tbl[AMOUNT],DataAct_tbl[BG CODE],Detail!$D301,DataAct_tbl[Check Range],"=true",DataAct_tbl[Dept code],$B301),0)</f>
        <v>0</v>
      </c>
      <c r="M301" s="63">
        <f>INDEX($AG$7:$AR$1005,ROW()-6,MATCH(MTD,$AG$6:$AR$6,0))</f>
        <v>0</v>
      </c>
      <c r="N301" s="34">
        <f t="shared" si="46"/>
        <v>0</v>
      </c>
      <c r="O301" s="64" t="str">
        <f t="shared" si="47"/>
        <v xml:space="preserve"> </v>
      </c>
      <c r="Q301" s="97">
        <f t="shared" si="48"/>
        <v>0</v>
      </c>
      <c r="R301" s="96">
        <f t="shared" si="49"/>
        <v>0</v>
      </c>
      <c r="T301" s="67" t="str">
        <f>IF($B301&lt;&gt;"",INDEX(DataOB[],FirstRow+ROW()-7,MATCH(T$6,DataOB[#Headers],0)),"")</f>
        <v/>
      </c>
      <c r="U301" s="67" t="str">
        <f>IF($B301&lt;&gt;"",INDEX(DataOB[],FirstRow+ROW()-7,MATCH(U$6,DataOB[#Headers],0)),"")</f>
        <v/>
      </c>
      <c r="V301" s="67" t="str">
        <f>IF($B301&lt;&gt;"",INDEX(DataOB[],FirstRow+ROW()-7,MATCH(V$6,DataOB[#Headers],0)),"")</f>
        <v/>
      </c>
      <c r="W301" s="67" t="str">
        <f>IF($B301&lt;&gt;"",INDEX(DataOB[],FirstRow+ROW()-7,MATCH(W$6,DataOB[#Headers],0)),"")</f>
        <v/>
      </c>
      <c r="X301" s="67" t="str">
        <f>IF($B301&lt;&gt;"",INDEX(DataOB[],FirstRow+ROW()-7,MATCH(X$6,DataOB[#Headers],0)),"")</f>
        <v/>
      </c>
      <c r="Y301" s="67" t="str">
        <f>IF($B301&lt;&gt;"",INDEX(DataOB[],FirstRow+ROW()-7,MATCH(Y$6,DataOB[#Headers],0)),"")</f>
        <v/>
      </c>
      <c r="Z301" s="67" t="str">
        <f>IF($B301&lt;&gt;"",INDEX(DataOB[],FirstRow+ROW()-7,MATCH(Z$6,DataOB[#Headers],0)),"")</f>
        <v/>
      </c>
      <c r="AA301" s="67" t="str">
        <f>IF($B301&lt;&gt;"",INDEX(DataOB[],FirstRow+ROW()-7,MATCH(AA$6,DataOB[#Headers],0)),"")</f>
        <v/>
      </c>
      <c r="AB301" s="67" t="str">
        <f>IF($B301&lt;&gt;"",INDEX(DataOB[],FirstRow+ROW()-7,MATCH(AB$6,DataOB[#Headers],0)),"")</f>
        <v/>
      </c>
      <c r="AC301" s="67" t="str">
        <f>IF($B301&lt;&gt;"",INDEX(DataOB[],FirstRow+ROW()-7,MATCH(AC$6,DataOB[#Headers],0)),"")</f>
        <v/>
      </c>
      <c r="AD301" s="67" t="str">
        <f>IF($B301&lt;&gt;"",INDEX(DataOB[],FirstRow+ROW()-7,MATCH(AD$6,DataOB[#Headers],0)),"")</f>
        <v/>
      </c>
      <c r="AE301" s="67" t="str">
        <f>IF($B301&lt;&gt;"",INDEX(DataOB[],FirstRow+ROW()-7,MATCH(AE$6,DataOB[#Headers],0)),"")</f>
        <v/>
      </c>
      <c r="AF301" s="26">
        <f t="shared" si="50"/>
        <v>0</v>
      </c>
      <c r="AG301" s="31">
        <f>SUM($T301:T301)</f>
        <v>0</v>
      </c>
      <c r="AH301" s="31">
        <f>SUM($T301:U301)</f>
        <v>0</v>
      </c>
      <c r="AI301" s="31">
        <f>SUM($T301:V301)</f>
        <v>0</v>
      </c>
      <c r="AJ301" s="31">
        <f>SUM($T301:W301)</f>
        <v>0</v>
      </c>
      <c r="AK301" s="31">
        <f>SUM($T301:X301)</f>
        <v>0</v>
      </c>
      <c r="AL301" s="31">
        <f>SUM($T301:Y301)</f>
        <v>0</v>
      </c>
      <c r="AM301" s="31">
        <f>SUM($T301:Z301)</f>
        <v>0</v>
      </c>
      <c r="AN301" s="31">
        <f>SUM($T301:AA301)</f>
        <v>0</v>
      </c>
      <c r="AO301" s="31">
        <f>SUM($T301:AB301)</f>
        <v>0</v>
      </c>
      <c r="AP301" s="31">
        <f>SUM($T301:AC301)</f>
        <v>0</v>
      </c>
      <c r="AQ301" s="31">
        <f>SUM($T301:AD301)</f>
        <v>0</v>
      </c>
      <c r="AR301" s="31">
        <f>SUM($T301:AE301)</f>
        <v>0</v>
      </c>
      <c r="AS301" s="27">
        <f t="shared" si="51"/>
        <v>0</v>
      </c>
    </row>
    <row r="302" spans="2:45">
      <c r="B302" s="102" t="str">
        <f>IF(ROW()-6&gt;NumCostCenter,"",IF(CostCenter&lt;&gt;"ALL",CostCenter,DATA_LF2!B300))</f>
        <v/>
      </c>
      <c r="C302" s="153" t="str">
        <f>IF($B302&lt;&gt;"",INDEX(DataOB[],FirstRow+ROW()-7,2),"")</f>
        <v/>
      </c>
      <c r="D302" s="66" t="str">
        <f>IF($B302&lt;&gt;"",INDEX(DataOB[],FirstRow+ROW()-7,3),"")</f>
        <v/>
      </c>
      <c r="E302" s="103" t="str">
        <f>IF($B302&lt;&gt;"",INDEX(DataOB[],FirstRow+ROW()-7,6),"")</f>
        <v/>
      </c>
      <c r="F302" s="103" t="str">
        <f>IF($B302&lt;&gt;"",INDEX(DataOB[],FirstRow+ROW()-7,5),"")</f>
        <v/>
      </c>
      <c r="G302" s="58">
        <f>IF($B302&lt;&gt;"",SUMIFS(DataAct_tbl[AMOUNT],DataAct_tbl[BG CODE],Detail!$D302,DataAct_tbl[MONTH],LEFT(MonthName,3),DataAct_tbl[Dept code],$B302),0)</f>
        <v>0</v>
      </c>
      <c r="H302" s="31" t="str">
        <f t="shared" si="43"/>
        <v/>
      </c>
      <c r="I302" s="28" t="str">
        <f t="shared" si="44"/>
        <v/>
      </c>
      <c r="J302" s="32" t="str">
        <f t="shared" si="45"/>
        <v/>
      </c>
      <c r="K302" s="86"/>
      <c r="L302" s="62">
        <f>IF($B302&lt;&gt;"",SUMIFS(DataAct_tbl[AMOUNT],DataAct_tbl[BG CODE],Detail!$D302,DataAct_tbl[Check Range],"=true",DataAct_tbl[Dept code],$B302),0)</f>
        <v>0</v>
      </c>
      <c r="M302" s="63">
        <f>INDEX($AG$7:$AR$1005,ROW()-6,MATCH(MTD,$AG$6:$AR$6,0))</f>
        <v>0</v>
      </c>
      <c r="N302" s="34">
        <f t="shared" si="46"/>
        <v>0</v>
      </c>
      <c r="O302" s="64" t="str">
        <f t="shared" si="47"/>
        <v xml:space="preserve"> </v>
      </c>
      <c r="Q302" s="97">
        <f t="shared" si="48"/>
        <v>0</v>
      </c>
      <c r="R302" s="96">
        <f t="shared" si="49"/>
        <v>0</v>
      </c>
      <c r="T302" s="67" t="str">
        <f>IF($B302&lt;&gt;"",INDEX(DataOB[],FirstRow+ROW()-7,MATCH(T$6,DataOB[#Headers],0)),"")</f>
        <v/>
      </c>
      <c r="U302" s="67" t="str">
        <f>IF($B302&lt;&gt;"",INDEX(DataOB[],FirstRow+ROW()-7,MATCH(U$6,DataOB[#Headers],0)),"")</f>
        <v/>
      </c>
      <c r="V302" s="67" t="str">
        <f>IF($B302&lt;&gt;"",INDEX(DataOB[],FirstRow+ROW()-7,MATCH(V$6,DataOB[#Headers],0)),"")</f>
        <v/>
      </c>
      <c r="W302" s="67" t="str">
        <f>IF($B302&lt;&gt;"",INDEX(DataOB[],FirstRow+ROW()-7,MATCH(W$6,DataOB[#Headers],0)),"")</f>
        <v/>
      </c>
      <c r="X302" s="67" t="str">
        <f>IF($B302&lt;&gt;"",INDEX(DataOB[],FirstRow+ROW()-7,MATCH(X$6,DataOB[#Headers],0)),"")</f>
        <v/>
      </c>
      <c r="Y302" s="67" t="str">
        <f>IF($B302&lt;&gt;"",INDEX(DataOB[],FirstRow+ROW()-7,MATCH(Y$6,DataOB[#Headers],0)),"")</f>
        <v/>
      </c>
      <c r="Z302" s="67" t="str">
        <f>IF($B302&lt;&gt;"",INDEX(DataOB[],FirstRow+ROW()-7,MATCH(Z$6,DataOB[#Headers],0)),"")</f>
        <v/>
      </c>
      <c r="AA302" s="67" t="str">
        <f>IF($B302&lt;&gt;"",INDEX(DataOB[],FirstRow+ROW()-7,MATCH(AA$6,DataOB[#Headers],0)),"")</f>
        <v/>
      </c>
      <c r="AB302" s="67" t="str">
        <f>IF($B302&lt;&gt;"",INDEX(DataOB[],FirstRow+ROW()-7,MATCH(AB$6,DataOB[#Headers],0)),"")</f>
        <v/>
      </c>
      <c r="AC302" s="67" t="str">
        <f>IF($B302&lt;&gt;"",INDEX(DataOB[],FirstRow+ROW()-7,MATCH(AC$6,DataOB[#Headers],0)),"")</f>
        <v/>
      </c>
      <c r="AD302" s="67" t="str">
        <f>IF($B302&lt;&gt;"",INDEX(DataOB[],FirstRow+ROW()-7,MATCH(AD$6,DataOB[#Headers],0)),"")</f>
        <v/>
      </c>
      <c r="AE302" s="67" t="str">
        <f>IF($B302&lt;&gt;"",INDEX(DataOB[],FirstRow+ROW()-7,MATCH(AE$6,DataOB[#Headers],0)),"")</f>
        <v/>
      </c>
      <c r="AF302" s="26">
        <f t="shared" si="50"/>
        <v>0</v>
      </c>
      <c r="AG302" s="31">
        <f>SUM($T302:T302)</f>
        <v>0</v>
      </c>
      <c r="AH302" s="31">
        <f>SUM($T302:U302)</f>
        <v>0</v>
      </c>
      <c r="AI302" s="31">
        <f>SUM($T302:V302)</f>
        <v>0</v>
      </c>
      <c r="AJ302" s="31">
        <f>SUM($T302:W302)</f>
        <v>0</v>
      </c>
      <c r="AK302" s="31">
        <f>SUM($T302:X302)</f>
        <v>0</v>
      </c>
      <c r="AL302" s="31">
        <f>SUM($T302:Y302)</f>
        <v>0</v>
      </c>
      <c r="AM302" s="31">
        <f>SUM($T302:Z302)</f>
        <v>0</v>
      </c>
      <c r="AN302" s="31">
        <f>SUM($T302:AA302)</f>
        <v>0</v>
      </c>
      <c r="AO302" s="31">
        <f>SUM($T302:AB302)</f>
        <v>0</v>
      </c>
      <c r="AP302" s="31">
        <f>SUM($T302:AC302)</f>
        <v>0</v>
      </c>
      <c r="AQ302" s="31">
        <f>SUM($T302:AD302)</f>
        <v>0</v>
      </c>
      <c r="AR302" s="31">
        <f>SUM($T302:AE302)</f>
        <v>0</v>
      </c>
      <c r="AS302" s="27">
        <f t="shared" si="51"/>
        <v>0</v>
      </c>
    </row>
    <row r="303" spans="2:45">
      <c r="B303" s="102" t="str">
        <f>IF(ROW()-6&gt;NumCostCenter,"",IF(CostCenter&lt;&gt;"ALL",CostCenter,DATA_LF2!B301))</f>
        <v/>
      </c>
      <c r="C303" s="153" t="str">
        <f>IF($B303&lt;&gt;"",INDEX(DataOB[],FirstRow+ROW()-7,2),"")</f>
        <v/>
      </c>
      <c r="D303" s="66" t="str">
        <f>IF($B303&lt;&gt;"",INDEX(DataOB[],FirstRow+ROW()-7,3),"")</f>
        <v/>
      </c>
      <c r="E303" s="103" t="str">
        <f>IF($B303&lt;&gt;"",INDEX(DataOB[],FirstRow+ROW()-7,6),"")</f>
        <v/>
      </c>
      <c r="F303" s="103" t="str">
        <f>IF($B303&lt;&gt;"",INDEX(DataOB[],FirstRow+ROW()-7,5),"")</f>
        <v/>
      </c>
      <c r="G303" s="58">
        <f>IF($B303&lt;&gt;"",SUMIFS(DataAct_tbl[AMOUNT],DataAct_tbl[BG CODE],Detail!$D303,DataAct_tbl[MONTH],LEFT(MonthName,3),DataAct_tbl[Dept code],$B303),0)</f>
        <v>0</v>
      </c>
      <c r="H303" s="31" t="str">
        <f t="shared" si="43"/>
        <v/>
      </c>
      <c r="I303" s="28" t="str">
        <f t="shared" si="44"/>
        <v/>
      </c>
      <c r="J303" s="32" t="str">
        <f t="shared" si="45"/>
        <v/>
      </c>
      <c r="K303" s="86"/>
      <c r="L303" s="62">
        <f>IF($B303&lt;&gt;"",SUMIFS(DataAct_tbl[AMOUNT],DataAct_tbl[BG CODE],Detail!$D303,DataAct_tbl[Check Range],"=true",DataAct_tbl[Dept code],$B303),0)</f>
        <v>0</v>
      </c>
      <c r="M303" s="63">
        <f>INDEX($AG$7:$AR$1005,ROW()-6,MATCH(MTD,$AG$6:$AR$6,0))</f>
        <v>0</v>
      </c>
      <c r="N303" s="34">
        <f t="shared" si="46"/>
        <v>0</v>
      </c>
      <c r="O303" s="64" t="str">
        <f t="shared" si="47"/>
        <v xml:space="preserve"> </v>
      </c>
      <c r="Q303" s="97">
        <f t="shared" si="48"/>
        <v>0</v>
      </c>
      <c r="R303" s="96">
        <f t="shared" si="49"/>
        <v>0</v>
      </c>
      <c r="T303" s="67" t="str">
        <f>IF($B303&lt;&gt;"",INDEX(DataOB[],FirstRow+ROW()-7,MATCH(T$6,DataOB[#Headers],0)),"")</f>
        <v/>
      </c>
      <c r="U303" s="67" t="str">
        <f>IF($B303&lt;&gt;"",INDEX(DataOB[],FirstRow+ROW()-7,MATCH(U$6,DataOB[#Headers],0)),"")</f>
        <v/>
      </c>
      <c r="V303" s="67" t="str">
        <f>IF($B303&lt;&gt;"",INDEX(DataOB[],FirstRow+ROW()-7,MATCH(V$6,DataOB[#Headers],0)),"")</f>
        <v/>
      </c>
      <c r="W303" s="67" t="str">
        <f>IF($B303&lt;&gt;"",INDEX(DataOB[],FirstRow+ROW()-7,MATCH(W$6,DataOB[#Headers],0)),"")</f>
        <v/>
      </c>
      <c r="X303" s="67" t="str">
        <f>IF($B303&lt;&gt;"",INDEX(DataOB[],FirstRow+ROW()-7,MATCH(X$6,DataOB[#Headers],0)),"")</f>
        <v/>
      </c>
      <c r="Y303" s="67" t="str">
        <f>IF($B303&lt;&gt;"",INDEX(DataOB[],FirstRow+ROW()-7,MATCH(Y$6,DataOB[#Headers],0)),"")</f>
        <v/>
      </c>
      <c r="Z303" s="67" t="str">
        <f>IF($B303&lt;&gt;"",INDEX(DataOB[],FirstRow+ROW()-7,MATCH(Z$6,DataOB[#Headers],0)),"")</f>
        <v/>
      </c>
      <c r="AA303" s="67" t="str">
        <f>IF($B303&lt;&gt;"",INDEX(DataOB[],FirstRow+ROW()-7,MATCH(AA$6,DataOB[#Headers],0)),"")</f>
        <v/>
      </c>
      <c r="AB303" s="67" t="str">
        <f>IF($B303&lt;&gt;"",INDEX(DataOB[],FirstRow+ROW()-7,MATCH(AB$6,DataOB[#Headers],0)),"")</f>
        <v/>
      </c>
      <c r="AC303" s="67" t="str">
        <f>IF($B303&lt;&gt;"",INDEX(DataOB[],FirstRow+ROW()-7,MATCH(AC$6,DataOB[#Headers],0)),"")</f>
        <v/>
      </c>
      <c r="AD303" s="67" t="str">
        <f>IF($B303&lt;&gt;"",INDEX(DataOB[],FirstRow+ROW()-7,MATCH(AD$6,DataOB[#Headers],0)),"")</f>
        <v/>
      </c>
      <c r="AE303" s="67" t="str">
        <f>IF($B303&lt;&gt;"",INDEX(DataOB[],FirstRow+ROW()-7,MATCH(AE$6,DataOB[#Headers],0)),"")</f>
        <v/>
      </c>
      <c r="AF303" s="26">
        <f t="shared" si="50"/>
        <v>0</v>
      </c>
      <c r="AG303" s="31">
        <f>SUM($T303:T303)</f>
        <v>0</v>
      </c>
      <c r="AH303" s="31">
        <f>SUM($T303:U303)</f>
        <v>0</v>
      </c>
      <c r="AI303" s="31">
        <f>SUM($T303:V303)</f>
        <v>0</v>
      </c>
      <c r="AJ303" s="31">
        <f>SUM($T303:W303)</f>
        <v>0</v>
      </c>
      <c r="AK303" s="31">
        <f>SUM($T303:X303)</f>
        <v>0</v>
      </c>
      <c r="AL303" s="31">
        <f>SUM($T303:Y303)</f>
        <v>0</v>
      </c>
      <c r="AM303" s="31">
        <f>SUM($T303:Z303)</f>
        <v>0</v>
      </c>
      <c r="AN303" s="31">
        <f>SUM($T303:AA303)</f>
        <v>0</v>
      </c>
      <c r="AO303" s="31">
        <f>SUM($T303:AB303)</f>
        <v>0</v>
      </c>
      <c r="AP303" s="31">
        <f>SUM($T303:AC303)</f>
        <v>0</v>
      </c>
      <c r="AQ303" s="31">
        <f>SUM($T303:AD303)</f>
        <v>0</v>
      </c>
      <c r="AR303" s="31">
        <f>SUM($T303:AE303)</f>
        <v>0</v>
      </c>
      <c r="AS303" s="27">
        <f t="shared" si="51"/>
        <v>0</v>
      </c>
    </row>
    <row r="304" spans="2:45">
      <c r="B304" s="102" t="str">
        <f>IF(ROW()-6&gt;NumCostCenter,"",IF(CostCenter&lt;&gt;"ALL",CostCenter,DATA_LF2!B302))</f>
        <v/>
      </c>
      <c r="C304" s="153" t="str">
        <f>IF($B304&lt;&gt;"",INDEX(DataOB[],FirstRow+ROW()-7,2),"")</f>
        <v/>
      </c>
      <c r="D304" s="66" t="str">
        <f>IF($B304&lt;&gt;"",INDEX(DataOB[],FirstRow+ROW()-7,3),"")</f>
        <v/>
      </c>
      <c r="E304" s="103" t="str">
        <f>IF($B304&lt;&gt;"",INDEX(DataOB[],FirstRow+ROW()-7,6),"")</f>
        <v/>
      </c>
      <c r="F304" s="103" t="str">
        <f>IF($B304&lt;&gt;"",INDEX(DataOB[],FirstRow+ROW()-7,5),"")</f>
        <v/>
      </c>
      <c r="G304" s="58">
        <f>IF($B304&lt;&gt;"",SUMIFS(DataAct_tbl[AMOUNT],DataAct_tbl[BG CODE],Detail!$D304,DataAct_tbl[MONTH],LEFT(MonthName,3),DataAct_tbl[Dept code],$B304),0)</f>
        <v>0</v>
      </c>
      <c r="H304" s="31" t="str">
        <f t="shared" si="43"/>
        <v/>
      </c>
      <c r="I304" s="28" t="str">
        <f t="shared" si="44"/>
        <v/>
      </c>
      <c r="J304" s="32" t="str">
        <f t="shared" si="45"/>
        <v/>
      </c>
      <c r="K304" s="86"/>
      <c r="L304" s="62">
        <f>IF($B304&lt;&gt;"",SUMIFS(DataAct_tbl[AMOUNT],DataAct_tbl[BG CODE],Detail!$D304,DataAct_tbl[Check Range],"=true",DataAct_tbl[Dept code],$B304),0)</f>
        <v>0</v>
      </c>
      <c r="M304" s="63">
        <f>INDEX($AG$7:$AR$1005,ROW()-6,MATCH(MTD,$AG$6:$AR$6,0))</f>
        <v>0</v>
      </c>
      <c r="N304" s="34">
        <f t="shared" si="46"/>
        <v>0</v>
      </c>
      <c r="O304" s="64" t="str">
        <f t="shared" si="47"/>
        <v xml:space="preserve"> </v>
      </c>
      <c r="Q304" s="97">
        <f t="shared" si="48"/>
        <v>0</v>
      </c>
      <c r="R304" s="96">
        <f t="shared" si="49"/>
        <v>0</v>
      </c>
      <c r="T304" s="67" t="str">
        <f>IF($B304&lt;&gt;"",INDEX(DataOB[],FirstRow+ROW()-7,MATCH(T$6,DataOB[#Headers],0)),"")</f>
        <v/>
      </c>
      <c r="U304" s="67" t="str">
        <f>IF($B304&lt;&gt;"",INDEX(DataOB[],FirstRow+ROW()-7,MATCH(U$6,DataOB[#Headers],0)),"")</f>
        <v/>
      </c>
      <c r="V304" s="67" t="str">
        <f>IF($B304&lt;&gt;"",INDEX(DataOB[],FirstRow+ROW()-7,MATCH(V$6,DataOB[#Headers],0)),"")</f>
        <v/>
      </c>
      <c r="W304" s="67" t="str">
        <f>IF($B304&lt;&gt;"",INDEX(DataOB[],FirstRow+ROW()-7,MATCH(W$6,DataOB[#Headers],0)),"")</f>
        <v/>
      </c>
      <c r="X304" s="67" t="str">
        <f>IF($B304&lt;&gt;"",INDEX(DataOB[],FirstRow+ROW()-7,MATCH(X$6,DataOB[#Headers],0)),"")</f>
        <v/>
      </c>
      <c r="Y304" s="67" t="str">
        <f>IF($B304&lt;&gt;"",INDEX(DataOB[],FirstRow+ROW()-7,MATCH(Y$6,DataOB[#Headers],0)),"")</f>
        <v/>
      </c>
      <c r="Z304" s="67" t="str">
        <f>IF($B304&lt;&gt;"",INDEX(DataOB[],FirstRow+ROW()-7,MATCH(Z$6,DataOB[#Headers],0)),"")</f>
        <v/>
      </c>
      <c r="AA304" s="67" t="str">
        <f>IF($B304&lt;&gt;"",INDEX(DataOB[],FirstRow+ROW()-7,MATCH(AA$6,DataOB[#Headers],0)),"")</f>
        <v/>
      </c>
      <c r="AB304" s="67" t="str">
        <f>IF($B304&lt;&gt;"",INDEX(DataOB[],FirstRow+ROW()-7,MATCH(AB$6,DataOB[#Headers],0)),"")</f>
        <v/>
      </c>
      <c r="AC304" s="67" t="str">
        <f>IF($B304&lt;&gt;"",INDEX(DataOB[],FirstRow+ROW()-7,MATCH(AC$6,DataOB[#Headers],0)),"")</f>
        <v/>
      </c>
      <c r="AD304" s="67" t="str">
        <f>IF($B304&lt;&gt;"",INDEX(DataOB[],FirstRow+ROW()-7,MATCH(AD$6,DataOB[#Headers],0)),"")</f>
        <v/>
      </c>
      <c r="AE304" s="67" t="str">
        <f>IF($B304&lt;&gt;"",INDEX(DataOB[],FirstRow+ROW()-7,MATCH(AE$6,DataOB[#Headers],0)),"")</f>
        <v/>
      </c>
      <c r="AF304" s="26">
        <f t="shared" si="50"/>
        <v>0</v>
      </c>
      <c r="AG304" s="31">
        <f>SUM($T304:T304)</f>
        <v>0</v>
      </c>
      <c r="AH304" s="31">
        <f>SUM($T304:U304)</f>
        <v>0</v>
      </c>
      <c r="AI304" s="31">
        <f>SUM($T304:V304)</f>
        <v>0</v>
      </c>
      <c r="AJ304" s="31">
        <f>SUM($T304:W304)</f>
        <v>0</v>
      </c>
      <c r="AK304" s="31">
        <f>SUM($T304:X304)</f>
        <v>0</v>
      </c>
      <c r="AL304" s="31">
        <f>SUM($T304:Y304)</f>
        <v>0</v>
      </c>
      <c r="AM304" s="31">
        <f>SUM($T304:Z304)</f>
        <v>0</v>
      </c>
      <c r="AN304" s="31">
        <f>SUM($T304:AA304)</f>
        <v>0</v>
      </c>
      <c r="AO304" s="31">
        <f>SUM($T304:AB304)</f>
        <v>0</v>
      </c>
      <c r="AP304" s="31">
        <f>SUM($T304:AC304)</f>
        <v>0</v>
      </c>
      <c r="AQ304" s="31">
        <f>SUM($T304:AD304)</f>
        <v>0</v>
      </c>
      <c r="AR304" s="31">
        <f>SUM($T304:AE304)</f>
        <v>0</v>
      </c>
      <c r="AS304" s="27">
        <f t="shared" si="51"/>
        <v>0</v>
      </c>
    </row>
    <row r="305" spans="2:45">
      <c r="B305" s="102" t="str">
        <f>IF(ROW()-6&gt;NumCostCenter,"",IF(CostCenter&lt;&gt;"ALL",CostCenter,DATA_LF2!B303))</f>
        <v/>
      </c>
      <c r="C305" s="153" t="str">
        <f>IF($B305&lt;&gt;"",INDEX(DataOB[],FirstRow+ROW()-7,2),"")</f>
        <v/>
      </c>
      <c r="D305" s="66" t="str">
        <f>IF($B305&lt;&gt;"",INDEX(DataOB[],FirstRow+ROW()-7,3),"")</f>
        <v/>
      </c>
      <c r="E305" s="103" t="str">
        <f>IF($B305&lt;&gt;"",INDEX(DataOB[],FirstRow+ROW()-7,6),"")</f>
        <v/>
      </c>
      <c r="F305" s="103" t="str">
        <f>IF($B305&lt;&gt;"",INDEX(DataOB[],FirstRow+ROW()-7,5),"")</f>
        <v/>
      </c>
      <c r="G305" s="58">
        <f>IF($B305&lt;&gt;"",SUMIFS(DataAct_tbl[AMOUNT],DataAct_tbl[BG CODE],Detail!$D305,DataAct_tbl[MONTH],LEFT(MonthName,3),DataAct_tbl[Dept code],$B305),0)</f>
        <v>0</v>
      </c>
      <c r="H305" s="31" t="str">
        <f t="shared" si="43"/>
        <v/>
      </c>
      <c r="I305" s="28" t="str">
        <f t="shared" si="44"/>
        <v/>
      </c>
      <c r="J305" s="32" t="str">
        <f t="shared" si="45"/>
        <v/>
      </c>
      <c r="K305" s="86"/>
      <c r="L305" s="62">
        <f>IF($B305&lt;&gt;"",SUMIFS(DataAct_tbl[AMOUNT],DataAct_tbl[BG CODE],Detail!$D305,DataAct_tbl[Check Range],"=true",DataAct_tbl[Dept code],$B305),0)</f>
        <v>0</v>
      </c>
      <c r="M305" s="63">
        <f>INDEX($AG$7:$AR$1005,ROW()-6,MATCH(MTD,$AG$6:$AR$6,0))</f>
        <v>0</v>
      </c>
      <c r="N305" s="34">
        <f t="shared" si="46"/>
        <v>0</v>
      </c>
      <c r="O305" s="64" t="str">
        <f t="shared" si="47"/>
        <v xml:space="preserve"> </v>
      </c>
      <c r="Q305" s="97">
        <f t="shared" si="48"/>
        <v>0</v>
      </c>
      <c r="R305" s="96">
        <f t="shared" si="49"/>
        <v>0</v>
      </c>
      <c r="T305" s="67" t="str">
        <f>IF($B305&lt;&gt;"",INDEX(DataOB[],FirstRow+ROW()-7,MATCH(T$6,DataOB[#Headers],0)),"")</f>
        <v/>
      </c>
      <c r="U305" s="67" t="str">
        <f>IF($B305&lt;&gt;"",INDEX(DataOB[],FirstRow+ROW()-7,MATCH(U$6,DataOB[#Headers],0)),"")</f>
        <v/>
      </c>
      <c r="V305" s="67" t="str">
        <f>IF($B305&lt;&gt;"",INDEX(DataOB[],FirstRow+ROW()-7,MATCH(V$6,DataOB[#Headers],0)),"")</f>
        <v/>
      </c>
      <c r="W305" s="67" t="str">
        <f>IF($B305&lt;&gt;"",INDEX(DataOB[],FirstRow+ROW()-7,MATCH(W$6,DataOB[#Headers],0)),"")</f>
        <v/>
      </c>
      <c r="X305" s="67" t="str">
        <f>IF($B305&lt;&gt;"",INDEX(DataOB[],FirstRow+ROW()-7,MATCH(X$6,DataOB[#Headers],0)),"")</f>
        <v/>
      </c>
      <c r="Y305" s="67" t="str">
        <f>IF($B305&lt;&gt;"",INDEX(DataOB[],FirstRow+ROW()-7,MATCH(Y$6,DataOB[#Headers],0)),"")</f>
        <v/>
      </c>
      <c r="Z305" s="67" t="str">
        <f>IF($B305&lt;&gt;"",INDEX(DataOB[],FirstRow+ROW()-7,MATCH(Z$6,DataOB[#Headers],0)),"")</f>
        <v/>
      </c>
      <c r="AA305" s="67" t="str">
        <f>IF($B305&lt;&gt;"",INDEX(DataOB[],FirstRow+ROW()-7,MATCH(AA$6,DataOB[#Headers],0)),"")</f>
        <v/>
      </c>
      <c r="AB305" s="67" t="str">
        <f>IF($B305&lt;&gt;"",INDEX(DataOB[],FirstRow+ROW()-7,MATCH(AB$6,DataOB[#Headers],0)),"")</f>
        <v/>
      </c>
      <c r="AC305" s="67" t="str">
        <f>IF($B305&lt;&gt;"",INDEX(DataOB[],FirstRow+ROW()-7,MATCH(AC$6,DataOB[#Headers],0)),"")</f>
        <v/>
      </c>
      <c r="AD305" s="67" t="str">
        <f>IF($B305&lt;&gt;"",INDEX(DataOB[],FirstRow+ROW()-7,MATCH(AD$6,DataOB[#Headers],0)),"")</f>
        <v/>
      </c>
      <c r="AE305" s="67" t="str">
        <f>IF($B305&lt;&gt;"",INDEX(DataOB[],FirstRow+ROW()-7,MATCH(AE$6,DataOB[#Headers],0)),"")</f>
        <v/>
      </c>
      <c r="AF305" s="26">
        <f t="shared" si="50"/>
        <v>0</v>
      </c>
      <c r="AG305" s="31">
        <f>SUM($T305:T305)</f>
        <v>0</v>
      </c>
      <c r="AH305" s="31">
        <f>SUM($T305:U305)</f>
        <v>0</v>
      </c>
      <c r="AI305" s="31">
        <f>SUM($T305:V305)</f>
        <v>0</v>
      </c>
      <c r="AJ305" s="31">
        <f>SUM($T305:W305)</f>
        <v>0</v>
      </c>
      <c r="AK305" s="31">
        <f>SUM($T305:X305)</f>
        <v>0</v>
      </c>
      <c r="AL305" s="31">
        <f>SUM($T305:Y305)</f>
        <v>0</v>
      </c>
      <c r="AM305" s="31">
        <f>SUM($T305:Z305)</f>
        <v>0</v>
      </c>
      <c r="AN305" s="31">
        <f>SUM($T305:AA305)</f>
        <v>0</v>
      </c>
      <c r="AO305" s="31">
        <f>SUM($T305:AB305)</f>
        <v>0</v>
      </c>
      <c r="AP305" s="31">
        <f>SUM($T305:AC305)</f>
        <v>0</v>
      </c>
      <c r="AQ305" s="31">
        <f>SUM($T305:AD305)</f>
        <v>0</v>
      </c>
      <c r="AR305" s="31">
        <f>SUM($T305:AE305)</f>
        <v>0</v>
      </c>
      <c r="AS305" s="27">
        <f t="shared" si="51"/>
        <v>0</v>
      </c>
    </row>
    <row r="306" spans="2:45">
      <c r="B306" s="102" t="str">
        <f>IF(ROW()-6&gt;NumCostCenter,"",IF(CostCenter&lt;&gt;"ALL",CostCenter,DATA_LF2!B304))</f>
        <v/>
      </c>
      <c r="C306" s="153" t="str">
        <f>IF($B306&lt;&gt;"",INDEX(DataOB[],FirstRow+ROW()-7,2),"")</f>
        <v/>
      </c>
      <c r="D306" s="66" t="str">
        <f>IF($B306&lt;&gt;"",INDEX(DataOB[],FirstRow+ROW()-7,3),"")</f>
        <v/>
      </c>
      <c r="E306" s="103" t="str">
        <f>IF($B306&lt;&gt;"",INDEX(DataOB[],FirstRow+ROW()-7,6),"")</f>
        <v/>
      </c>
      <c r="F306" s="103" t="str">
        <f>IF($B306&lt;&gt;"",INDEX(DataOB[],FirstRow+ROW()-7,5),"")</f>
        <v/>
      </c>
      <c r="G306" s="58">
        <f>IF($B306&lt;&gt;"",SUMIFS(DataAct_tbl[AMOUNT],DataAct_tbl[BG CODE],Detail!$D306,DataAct_tbl[MONTH],LEFT(MonthName,3),DataAct_tbl[Dept code],$B306),0)</f>
        <v>0</v>
      </c>
      <c r="H306" s="31" t="str">
        <f t="shared" si="43"/>
        <v/>
      </c>
      <c r="I306" s="28" t="str">
        <f t="shared" si="44"/>
        <v/>
      </c>
      <c r="J306" s="32" t="str">
        <f t="shared" si="45"/>
        <v/>
      </c>
      <c r="K306" s="86"/>
      <c r="L306" s="62">
        <f>IF($B306&lt;&gt;"",SUMIFS(DataAct_tbl[AMOUNT],DataAct_tbl[BG CODE],Detail!$D306,DataAct_tbl[Check Range],"=true",DataAct_tbl[Dept code],$B306),0)</f>
        <v>0</v>
      </c>
      <c r="M306" s="63">
        <f>INDEX($AG$7:$AR$1005,ROW()-6,MATCH(MTD,$AG$6:$AR$6,0))</f>
        <v>0</v>
      </c>
      <c r="N306" s="34">
        <f t="shared" si="46"/>
        <v>0</v>
      </c>
      <c r="O306" s="64" t="str">
        <f t="shared" si="47"/>
        <v xml:space="preserve"> </v>
      </c>
      <c r="Q306" s="97">
        <f t="shared" si="48"/>
        <v>0</v>
      </c>
      <c r="R306" s="96">
        <f t="shared" si="49"/>
        <v>0</v>
      </c>
      <c r="T306" s="67" t="str">
        <f>IF($B306&lt;&gt;"",INDEX(DataOB[],FirstRow+ROW()-7,MATCH(T$6,DataOB[#Headers],0)),"")</f>
        <v/>
      </c>
      <c r="U306" s="67" t="str">
        <f>IF($B306&lt;&gt;"",INDEX(DataOB[],FirstRow+ROW()-7,MATCH(U$6,DataOB[#Headers],0)),"")</f>
        <v/>
      </c>
      <c r="V306" s="67" t="str">
        <f>IF($B306&lt;&gt;"",INDEX(DataOB[],FirstRow+ROW()-7,MATCH(V$6,DataOB[#Headers],0)),"")</f>
        <v/>
      </c>
      <c r="W306" s="67" t="str">
        <f>IF($B306&lt;&gt;"",INDEX(DataOB[],FirstRow+ROW()-7,MATCH(W$6,DataOB[#Headers],0)),"")</f>
        <v/>
      </c>
      <c r="X306" s="67" t="str">
        <f>IF($B306&lt;&gt;"",INDEX(DataOB[],FirstRow+ROW()-7,MATCH(X$6,DataOB[#Headers],0)),"")</f>
        <v/>
      </c>
      <c r="Y306" s="67" t="str">
        <f>IF($B306&lt;&gt;"",INDEX(DataOB[],FirstRow+ROW()-7,MATCH(Y$6,DataOB[#Headers],0)),"")</f>
        <v/>
      </c>
      <c r="Z306" s="67" t="str">
        <f>IF($B306&lt;&gt;"",INDEX(DataOB[],FirstRow+ROW()-7,MATCH(Z$6,DataOB[#Headers],0)),"")</f>
        <v/>
      </c>
      <c r="AA306" s="67" t="str">
        <f>IF($B306&lt;&gt;"",INDEX(DataOB[],FirstRow+ROW()-7,MATCH(AA$6,DataOB[#Headers],0)),"")</f>
        <v/>
      </c>
      <c r="AB306" s="67" t="str">
        <f>IF($B306&lt;&gt;"",INDEX(DataOB[],FirstRow+ROW()-7,MATCH(AB$6,DataOB[#Headers],0)),"")</f>
        <v/>
      </c>
      <c r="AC306" s="67" t="str">
        <f>IF($B306&lt;&gt;"",INDEX(DataOB[],FirstRow+ROW()-7,MATCH(AC$6,DataOB[#Headers],0)),"")</f>
        <v/>
      </c>
      <c r="AD306" s="67" t="str">
        <f>IF($B306&lt;&gt;"",INDEX(DataOB[],FirstRow+ROW()-7,MATCH(AD$6,DataOB[#Headers],0)),"")</f>
        <v/>
      </c>
      <c r="AE306" s="67" t="str">
        <f>IF($B306&lt;&gt;"",INDEX(DataOB[],FirstRow+ROW()-7,MATCH(AE$6,DataOB[#Headers],0)),"")</f>
        <v/>
      </c>
      <c r="AF306" s="26">
        <f t="shared" si="50"/>
        <v>0</v>
      </c>
      <c r="AG306" s="31">
        <f>SUM($T306:T306)</f>
        <v>0</v>
      </c>
      <c r="AH306" s="31">
        <f>SUM($T306:U306)</f>
        <v>0</v>
      </c>
      <c r="AI306" s="31">
        <f>SUM($T306:V306)</f>
        <v>0</v>
      </c>
      <c r="AJ306" s="31">
        <f>SUM($T306:W306)</f>
        <v>0</v>
      </c>
      <c r="AK306" s="31">
        <f>SUM($T306:X306)</f>
        <v>0</v>
      </c>
      <c r="AL306" s="31">
        <f>SUM($T306:Y306)</f>
        <v>0</v>
      </c>
      <c r="AM306" s="31">
        <f>SUM($T306:Z306)</f>
        <v>0</v>
      </c>
      <c r="AN306" s="31">
        <f>SUM($T306:AA306)</f>
        <v>0</v>
      </c>
      <c r="AO306" s="31">
        <f>SUM($T306:AB306)</f>
        <v>0</v>
      </c>
      <c r="AP306" s="31">
        <f>SUM($T306:AC306)</f>
        <v>0</v>
      </c>
      <c r="AQ306" s="31">
        <f>SUM($T306:AD306)</f>
        <v>0</v>
      </c>
      <c r="AR306" s="31">
        <f>SUM($T306:AE306)</f>
        <v>0</v>
      </c>
      <c r="AS306" s="27">
        <f t="shared" si="51"/>
        <v>0</v>
      </c>
    </row>
    <row r="307" spans="2:45">
      <c r="B307" s="102" t="str">
        <f>IF(ROW()-6&gt;NumCostCenter,"",IF(CostCenter&lt;&gt;"ALL",CostCenter,DATA_LF2!B305))</f>
        <v/>
      </c>
      <c r="C307" s="153" t="str">
        <f>IF($B307&lt;&gt;"",INDEX(DataOB[],FirstRow+ROW()-7,2),"")</f>
        <v/>
      </c>
      <c r="D307" s="66" t="str">
        <f>IF($B307&lt;&gt;"",INDEX(DataOB[],FirstRow+ROW()-7,3),"")</f>
        <v/>
      </c>
      <c r="E307" s="103" t="str">
        <f>IF($B307&lt;&gt;"",INDEX(DataOB[],FirstRow+ROW()-7,6),"")</f>
        <v/>
      </c>
      <c r="F307" s="103" t="str">
        <f>IF($B307&lt;&gt;"",INDEX(DataOB[],FirstRow+ROW()-7,5),"")</f>
        <v/>
      </c>
      <c r="G307" s="58">
        <f>IF($B307&lt;&gt;"",SUMIFS(DataAct_tbl[AMOUNT],DataAct_tbl[BG CODE],Detail!$D307,DataAct_tbl[MONTH],LEFT(MonthName,3),DataAct_tbl[Dept code],$B307),0)</f>
        <v>0</v>
      </c>
      <c r="H307" s="31" t="str">
        <f t="shared" si="43"/>
        <v/>
      </c>
      <c r="I307" s="28" t="str">
        <f t="shared" si="44"/>
        <v/>
      </c>
      <c r="J307" s="32" t="str">
        <f t="shared" si="45"/>
        <v/>
      </c>
      <c r="K307" s="86"/>
      <c r="L307" s="62">
        <f>IF($B307&lt;&gt;"",SUMIFS(DataAct_tbl[AMOUNT],DataAct_tbl[BG CODE],Detail!$D307,DataAct_tbl[Check Range],"=true",DataAct_tbl[Dept code],$B307),0)</f>
        <v>0</v>
      </c>
      <c r="M307" s="63">
        <f>INDEX($AG$7:$AR$1005,ROW()-6,MATCH(MTD,$AG$6:$AR$6,0))</f>
        <v>0</v>
      </c>
      <c r="N307" s="34">
        <f t="shared" si="46"/>
        <v>0</v>
      </c>
      <c r="O307" s="64" t="str">
        <f t="shared" si="47"/>
        <v xml:space="preserve"> </v>
      </c>
      <c r="Q307" s="97">
        <f t="shared" si="48"/>
        <v>0</v>
      </c>
      <c r="R307" s="96">
        <f t="shared" si="49"/>
        <v>0</v>
      </c>
      <c r="T307" s="67" t="str">
        <f>IF($B307&lt;&gt;"",INDEX(DataOB[],FirstRow+ROW()-7,MATCH(T$6,DataOB[#Headers],0)),"")</f>
        <v/>
      </c>
      <c r="U307" s="67" t="str">
        <f>IF($B307&lt;&gt;"",INDEX(DataOB[],FirstRow+ROW()-7,MATCH(U$6,DataOB[#Headers],0)),"")</f>
        <v/>
      </c>
      <c r="V307" s="67" t="str">
        <f>IF($B307&lt;&gt;"",INDEX(DataOB[],FirstRow+ROW()-7,MATCH(V$6,DataOB[#Headers],0)),"")</f>
        <v/>
      </c>
      <c r="W307" s="67" t="str">
        <f>IF($B307&lt;&gt;"",INDEX(DataOB[],FirstRow+ROW()-7,MATCH(W$6,DataOB[#Headers],0)),"")</f>
        <v/>
      </c>
      <c r="X307" s="67" t="str">
        <f>IF($B307&lt;&gt;"",INDEX(DataOB[],FirstRow+ROW()-7,MATCH(X$6,DataOB[#Headers],0)),"")</f>
        <v/>
      </c>
      <c r="Y307" s="67" t="str">
        <f>IF($B307&lt;&gt;"",INDEX(DataOB[],FirstRow+ROW()-7,MATCH(Y$6,DataOB[#Headers],0)),"")</f>
        <v/>
      </c>
      <c r="Z307" s="67" t="str">
        <f>IF($B307&lt;&gt;"",INDEX(DataOB[],FirstRow+ROW()-7,MATCH(Z$6,DataOB[#Headers],0)),"")</f>
        <v/>
      </c>
      <c r="AA307" s="67" t="str">
        <f>IF($B307&lt;&gt;"",INDEX(DataOB[],FirstRow+ROW()-7,MATCH(AA$6,DataOB[#Headers],0)),"")</f>
        <v/>
      </c>
      <c r="AB307" s="67" t="str">
        <f>IF($B307&lt;&gt;"",INDEX(DataOB[],FirstRow+ROW()-7,MATCH(AB$6,DataOB[#Headers],0)),"")</f>
        <v/>
      </c>
      <c r="AC307" s="67" t="str">
        <f>IF($B307&lt;&gt;"",INDEX(DataOB[],FirstRow+ROW()-7,MATCH(AC$6,DataOB[#Headers],0)),"")</f>
        <v/>
      </c>
      <c r="AD307" s="67" t="str">
        <f>IF($B307&lt;&gt;"",INDEX(DataOB[],FirstRow+ROW()-7,MATCH(AD$6,DataOB[#Headers],0)),"")</f>
        <v/>
      </c>
      <c r="AE307" s="67" t="str">
        <f>IF($B307&lt;&gt;"",INDEX(DataOB[],FirstRow+ROW()-7,MATCH(AE$6,DataOB[#Headers],0)),"")</f>
        <v/>
      </c>
      <c r="AF307" s="26">
        <f t="shared" si="50"/>
        <v>0</v>
      </c>
      <c r="AG307" s="31">
        <f>SUM($T307:T307)</f>
        <v>0</v>
      </c>
      <c r="AH307" s="31">
        <f>SUM($T307:U307)</f>
        <v>0</v>
      </c>
      <c r="AI307" s="31">
        <f>SUM($T307:V307)</f>
        <v>0</v>
      </c>
      <c r="AJ307" s="31">
        <f>SUM($T307:W307)</f>
        <v>0</v>
      </c>
      <c r="AK307" s="31">
        <f>SUM($T307:X307)</f>
        <v>0</v>
      </c>
      <c r="AL307" s="31">
        <f>SUM($T307:Y307)</f>
        <v>0</v>
      </c>
      <c r="AM307" s="31">
        <f>SUM($T307:Z307)</f>
        <v>0</v>
      </c>
      <c r="AN307" s="31">
        <f>SUM($T307:AA307)</f>
        <v>0</v>
      </c>
      <c r="AO307" s="31">
        <f>SUM($T307:AB307)</f>
        <v>0</v>
      </c>
      <c r="AP307" s="31">
        <f>SUM($T307:AC307)</f>
        <v>0</v>
      </c>
      <c r="AQ307" s="31">
        <f>SUM($T307:AD307)</f>
        <v>0</v>
      </c>
      <c r="AR307" s="31">
        <f>SUM($T307:AE307)</f>
        <v>0</v>
      </c>
      <c r="AS307" s="27">
        <f t="shared" si="51"/>
        <v>0</v>
      </c>
    </row>
    <row r="308" spans="2:45">
      <c r="B308" s="102" t="str">
        <f>IF(ROW()-6&gt;NumCostCenter,"",IF(CostCenter&lt;&gt;"ALL",CostCenter,DATA_LF2!B306))</f>
        <v/>
      </c>
      <c r="C308" s="153" t="str">
        <f>IF($B308&lt;&gt;"",INDEX(DataOB[],FirstRow+ROW()-7,2),"")</f>
        <v/>
      </c>
      <c r="D308" s="66" t="str">
        <f>IF($B308&lt;&gt;"",INDEX(DataOB[],FirstRow+ROW()-7,3),"")</f>
        <v/>
      </c>
      <c r="E308" s="103" t="str">
        <f>IF($B308&lt;&gt;"",INDEX(DataOB[],FirstRow+ROW()-7,6),"")</f>
        <v/>
      </c>
      <c r="F308" s="103" t="str">
        <f>IF($B308&lt;&gt;"",INDEX(DataOB[],FirstRow+ROW()-7,5),"")</f>
        <v/>
      </c>
      <c r="G308" s="58">
        <f>IF($B308&lt;&gt;"",SUMIFS(DataAct_tbl[AMOUNT],DataAct_tbl[BG CODE],Detail!$D308,DataAct_tbl[MONTH],LEFT(MonthName,3),DataAct_tbl[Dept code],$B308),0)</f>
        <v>0</v>
      </c>
      <c r="H308" s="31" t="str">
        <f t="shared" si="43"/>
        <v/>
      </c>
      <c r="I308" s="28" t="str">
        <f t="shared" si="44"/>
        <v/>
      </c>
      <c r="J308" s="32" t="str">
        <f t="shared" si="45"/>
        <v/>
      </c>
      <c r="K308" s="86"/>
      <c r="L308" s="62">
        <f>IF($B308&lt;&gt;"",SUMIFS(DataAct_tbl[AMOUNT],DataAct_tbl[BG CODE],Detail!$D308,DataAct_tbl[Check Range],"=true",DataAct_tbl[Dept code],$B308),0)</f>
        <v>0</v>
      </c>
      <c r="M308" s="63">
        <f>INDEX($AG$7:$AR$1005,ROW()-6,MATCH(MTD,$AG$6:$AR$6,0))</f>
        <v>0</v>
      </c>
      <c r="N308" s="34">
        <f t="shared" si="46"/>
        <v>0</v>
      </c>
      <c r="O308" s="64" t="str">
        <f t="shared" si="47"/>
        <v xml:space="preserve"> </v>
      </c>
      <c r="Q308" s="97">
        <f t="shared" si="48"/>
        <v>0</v>
      </c>
      <c r="R308" s="96">
        <f t="shared" si="49"/>
        <v>0</v>
      </c>
      <c r="T308" s="67" t="str">
        <f>IF($B308&lt;&gt;"",INDEX(DataOB[],FirstRow+ROW()-7,MATCH(T$6,DataOB[#Headers],0)),"")</f>
        <v/>
      </c>
      <c r="U308" s="67" t="str">
        <f>IF($B308&lt;&gt;"",INDEX(DataOB[],FirstRow+ROW()-7,MATCH(U$6,DataOB[#Headers],0)),"")</f>
        <v/>
      </c>
      <c r="V308" s="67" t="str">
        <f>IF($B308&lt;&gt;"",INDEX(DataOB[],FirstRow+ROW()-7,MATCH(V$6,DataOB[#Headers],0)),"")</f>
        <v/>
      </c>
      <c r="W308" s="67" t="str">
        <f>IF($B308&lt;&gt;"",INDEX(DataOB[],FirstRow+ROW()-7,MATCH(W$6,DataOB[#Headers],0)),"")</f>
        <v/>
      </c>
      <c r="X308" s="67" t="str">
        <f>IF($B308&lt;&gt;"",INDEX(DataOB[],FirstRow+ROW()-7,MATCH(X$6,DataOB[#Headers],0)),"")</f>
        <v/>
      </c>
      <c r="Y308" s="67" t="str">
        <f>IF($B308&lt;&gt;"",INDEX(DataOB[],FirstRow+ROW()-7,MATCH(Y$6,DataOB[#Headers],0)),"")</f>
        <v/>
      </c>
      <c r="Z308" s="67" t="str">
        <f>IF($B308&lt;&gt;"",INDEX(DataOB[],FirstRow+ROW()-7,MATCH(Z$6,DataOB[#Headers],0)),"")</f>
        <v/>
      </c>
      <c r="AA308" s="67" t="str">
        <f>IF($B308&lt;&gt;"",INDEX(DataOB[],FirstRow+ROW()-7,MATCH(AA$6,DataOB[#Headers],0)),"")</f>
        <v/>
      </c>
      <c r="AB308" s="67" t="str">
        <f>IF($B308&lt;&gt;"",INDEX(DataOB[],FirstRow+ROW()-7,MATCH(AB$6,DataOB[#Headers],0)),"")</f>
        <v/>
      </c>
      <c r="AC308" s="67" t="str">
        <f>IF($B308&lt;&gt;"",INDEX(DataOB[],FirstRow+ROW()-7,MATCH(AC$6,DataOB[#Headers],0)),"")</f>
        <v/>
      </c>
      <c r="AD308" s="67" t="str">
        <f>IF($B308&lt;&gt;"",INDEX(DataOB[],FirstRow+ROW()-7,MATCH(AD$6,DataOB[#Headers],0)),"")</f>
        <v/>
      </c>
      <c r="AE308" s="67" t="str">
        <f>IF($B308&lt;&gt;"",INDEX(DataOB[],FirstRow+ROW()-7,MATCH(AE$6,DataOB[#Headers],0)),"")</f>
        <v/>
      </c>
      <c r="AF308" s="26">
        <f t="shared" si="50"/>
        <v>0</v>
      </c>
      <c r="AG308" s="31">
        <f>SUM($T308:T308)</f>
        <v>0</v>
      </c>
      <c r="AH308" s="31">
        <f>SUM($T308:U308)</f>
        <v>0</v>
      </c>
      <c r="AI308" s="31">
        <f>SUM($T308:V308)</f>
        <v>0</v>
      </c>
      <c r="AJ308" s="31">
        <f>SUM($T308:W308)</f>
        <v>0</v>
      </c>
      <c r="AK308" s="31">
        <f>SUM($T308:X308)</f>
        <v>0</v>
      </c>
      <c r="AL308" s="31">
        <f>SUM($T308:Y308)</f>
        <v>0</v>
      </c>
      <c r="AM308" s="31">
        <f>SUM($T308:Z308)</f>
        <v>0</v>
      </c>
      <c r="AN308" s="31">
        <f>SUM($T308:AA308)</f>
        <v>0</v>
      </c>
      <c r="AO308" s="31">
        <f>SUM($T308:AB308)</f>
        <v>0</v>
      </c>
      <c r="AP308" s="31">
        <f>SUM($T308:AC308)</f>
        <v>0</v>
      </c>
      <c r="AQ308" s="31">
        <f>SUM($T308:AD308)</f>
        <v>0</v>
      </c>
      <c r="AR308" s="31">
        <f>SUM($T308:AE308)</f>
        <v>0</v>
      </c>
      <c r="AS308" s="27">
        <f t="shared" si="51"/>
        <v>0</v>
      </c>
    </row>
    <row r="309" spans="2:45">
      <c r="B309" s="102" t="str">
        <f>IF(ROW()-6&gt;NumCostCenter,"",IF(CostCenter&lt;&gt;"ALL",CostCenter,DATA_LF2!B307))</f>
        <v/>
      </c>
      <c r="C309" s="153" t="str">
        <f>IF($B309&lt;&gt;"",INDEX(DataOB[],FirstRow+ROW()-7,2),"")</f>
        <v/>
      </c>
      <c r="D309" s="66" t="str">
        <f>IF($B309&lt;&gt;"",INDEX(DataOB[],FirstRow+ROW()-7,3),"")</f>
        <v/>
      </c>
      <c r="E309" s="103" t="str">
        <f>IF($B309&lt;&gt;"",INDEX(DataOB[],FirstRow+ROW()-7,6),"")</f>
        <v/>
      </c>
      <c r="F309" s="103" t="str">
        <f>IF($B309&lt;&gt;"",INDEX(DataOB[],FirstRow+ROW()-7,5),"")</f>
        <v/>
      </c>
      <c r="G309" s="58">
        <f>IF($B309&lt;&gt;"",SUMIFS(DataAct_tbl[AMOUNT],DataAct_tbl[BG CODE],Detail!$D309,DataAct_tbl[MONTH],LEFT(MonthName,3),DataAct_tbl[Dept code],$B309),0)</f>
        <v>0</v>
      </c>
      <c r="H309" s="31" t="str">
        <f t="shared" si="43"/>
        <v/>
      </c>
      <c r="I309" s="28" t="str">
        <f t="shared" si="44"/>
        <v/>
      </c>
      <c r="J309" s="32" t="str">
        <f t="shared" si="45"/>
        <v/>
      </c>
      <c r="K309" s="86"/>
      <c r="L309" s="62">
        <f>IF($B309&lt;&gt;"",SUMIFS(DataAct_tbl[AMOUNT],DataAct_tbl[BG CODE],Detail!$D309,DataAct_tbl[Check Range],"=true",DataAct_tbl[Dept code],$B309),0)</f>
        <v>0</v>
      </c>
      <c r="M309" s="63">
        <f>INDEX($AG$7:$AR$1005,ROW()-6,MATCH(MTD,$AG$6:$AR$6,0))</f>
        <v>0</v>
      </c>
      <c r="N309" s="34">
        <f t="shared" si="46"/>
        <v>0</v>
      </c>
      <c r="O309" s="64" t="str">
        <f t="shared" si="47"/>
        <v xml:space="preserve"> </v>
      </c>
      <c r="Q309" s="97">
        <f t="shared" si="48"/>
        <v>0</v>
      </c>
      <c r="R309" s="96">
        <f t="shared" si="49"/>
        <v>0</v>
      </c>
      <c r="T309" s="67" t="str">
        <f>IF($B309&lt;&gt;"",INDEX(DataOB[],FirstRow+ROW()-7,MATCH(T$6,DataOB[#Headers],0)),"")</f>
        <v/>
      </c>
      <c r="U309" s="67" t="str">
        <f>IF($B309&lt;&gt;"",INDEX(DataOB[],FirstRow+ROW()-7,MATCH(U$6,DataOB[#Headers],0)),"")</f>
        <v/>
      </c>
      <c r="V309" s="67" t="str">
        <f>IF($B309&lt;&gt;"",INDEX(DataOB[],FirstRow+ROW()-7,MATCH(V$6,DataOB[#Headers],0)),"")</f>
        <v/>
      </c>
      <c r="W309" s="67" t="str">
        <f>IF($B309&lt;&gt;"",INDEX(DataOB[],FirstRow+ROW()-7,MATCH(W$6,DataOB[#Headers],0)),"")</f>
        <v/>
      </c>
      <c r="X309" s="67" t="str">
        <f>IF($B309&lt;&gt;"",INDEX(DataOB[],FirstRow+ROW()-7,MATCH(X$6,DataOB[#Headers],0)),"")</f>
        <v/>
      </c>
      <c r="Y309" s="67" t="str">
        <f>IF($B309&lt;&gt;"",INDEX(DataOB[],FirstRow+ROW()-7,MATCH(Y$6,DataOB[#Headers],0)),"")</f>
        <v/>
      </c>
      <c r="Z309" s="67" t="str">
        <f>IF($B309&lt;&gt;"",INDEX(DataOB[],FirstRow+ROW()-7,MATCH(Z$6,DataOB[#Headers],0)),"")</f>
        <v/>
      </c>
      <c r="AA309" s="67" t="str">
        <f>IF($B309&lt;&gt;"",INDEX(DataOB[],FirstRow+ROW()-7,MATCH(AA$6,DataOB[#Headers],0)),"")</f>
        <v/>
      </c>
      <c r="AB309" s="67" t="str">
        <f>IF($B309&lt;&gt;"",INDEX(DataOB[],FirstRow+ROW()-7,MATCH(AB$6,DataOB[#Headers],0)),"")</f>
        <v/>
      </c>
      <c r="AC309" s="67" t="str">
        <f>IF($B309&lt;&gt;"",INDEX(DataOB[],FirstRow+ROW()-7,MATCH(AC$6,DataOB[#Headers],0)),"")</f>
        <v/>
      </c>
      <c r="AD309" s="67" t="str">
        <f>IF($B309&lt;&gt;"",INDEX(DataOB[],FirstRow+ROW()-7,MATCH(AD$6,DataOB[#Headers],0)),"")</f>
        <v/>
      </c>
      <c r="AE309" s="67" t="str">
        <f>IF($B309&lt;&gt;"",INDEX(DataOB[],FirstRow+ROW()-7,MATCH(AE$6,DataOB[#Headers],0)),"")</f>
        <v/>
      </c>
      <c r="AF309" s="26">
        <f t="shared" si="50"/>
        <v>0</v>
      </c>
      <c r="AG309" s="31">
        <f>SUM($T309:T309)</f>
        <v>0</v>
      </c>
      <c r="AH309" s="31">
        <f>SUM($T309:U309)</f>
        <v>0</v>
      </c>
      <c r="AI309" s="31">
        <f>SUM($T309:V309)</f>
        <v>0</v>
      </c>
      <c r="AJ309" s="31">
        <f>SUM($T309:W309)</f>
        <v>0</v>
      </c>
      <c r="AK309" s="31">
        <f>SUM($T309:X309)</f>
        <v>0</v>
      </c>
      <c r="AL309" s="31">
        <f>SUM($T309:Y309)</f>
        <v>0</v>
      </c>
      <c r="AM309" s="31">
        <f>SUM($T309:Z309)</f>
        <v>0</v>
      </c>
      <c r="AN309" s="31">
        <f>SUM($T309:AA309)</f>
        <v>0</v>
      </c>
      <c r="AO309" s="31">
        <f>SUM($T309:AB309)</f>
        <v>0</v>
      </c>
      <c r="AP309" s="31">
        <f>SUM($T309:AC309)</f>
        <v>0</v>
      </c>
      <c r="AQ309" s="31">
        <f>SUM($T309:AD309)</f>
        <v>0</v>
      </c>
      <c r="AR309" s="31">
        <f>SUM($T309:AE309)</f>
        <v>0</v>
      </c>
      <c r="AS309" s="27">
        <f t="shared" si="51"/>
        <v>0</v>
      </c>
    </row>
    <row r="310" spans="2:45">
      <c r="B310" s="102" t="str">
        <f>IF(ROW()-6&gt;NumCostCenter,"",IF(CostCenter&lt;&gt;"ALL",CostCenter,DATA_LF2!B308))</f>
        <v/>
      </c>
      <c r="C310" s="153" t="str">
        <f>IF($B310&lt;&gt;"",INDEX(DataOB[],FirstRow+ROW()-7,2),"")</f>
        <v/>
      </c>
      <c r="D310" s="66" t="str">
        <f>IF($B310&lt;&gt;"",INDEX(DataOB[],FirstRow+ROW()-7,3),"")</f>
        <v/>
      </c>
      <c r="E310" s="103" t="str">
        <f>IF($B310&lt;&gt;"",INDEX(DataOB[],FirstRow+ROW()-7,6),"")</f>
        <v/>
      </c>
      <c r="F310" s="103" t="str">
        <f>IF($B310&lt;&gt;"",INDEX(DataOB[],FirstRow+ROW()-7,5),"")</f>
        <v/>
      </c>
      <c r="G310" s="58">
        <f>IF($B310&lt;&gt;"",SUMIFS(DataAct_tbl[AMOUNT],DataAct_tbl[BG CODE],Detail!$D310,DataAct_tbl[MONTH],LEFT(MonthName,3),DataAct_tbl[Dept code],$B310),0)</f>
        <v>0</v>
      </c>
      <c r="H310" s="31" t="str">
        <f t="shared" si="43"/>
        <v/>
      </c>
      <c r="I310" s="28" t="str">
        <f t="shared" si="44"/>
        <v/>
      </c>
      <c r="J310" s="32" t="str">
        <f t="shared" si="45"/>
        <v/>
      </c>
      <c r="K310" s="86"/>
      <c r="L310" s="62">
        <f>IF($B310&lt;&gt;"",SUMIFS(DataAct_tbl[AMOUNT],DataAct_tbl[BG CODE],Detail!$D310,DataAct_tbl[Check Range],"=true",DataAct_tbl[Dept code],$B310),0)</f>
        <v>0</v>
      </c>
      <c r="M310" s="63">
        <f>INDEX($AG$7:$AR$1005,ROW()-6,MATCH(MTD,$AG$6:$AR$6,0))</f>
        <v>0</v>
      </c>
      <c r="N310" s="34">
        <f t="shared" si="46"/>
        <v>0</v>
      </c>
      <c r="O310" s="64" t="str">
        <f t="shared" si="47"/>
        <v xml:space="preserve"> </v>
      </c>
      <c r="Q310" s="97">
        <f t="shared" si="48"/>
        <v>0</v>
      </c>
      <c r="R310" s="96">
        <f t="shared" si="49"/>
        <v>0</v>
      </c>
      <c r="T310" s="67" t="str">
        <f>IF($B310&lt;&gt;"",INDEX(DataOB[],FirstRow+ROW()-7,MATCH(T$6,DataOB[#Headers],0)),"")</f>
        <v/>
      </c>
      <c r="U310" s="67" t="str">
        <f>IF($B310&lt;&gt;"",INDEX(DataOB[],FirstRow+ROW()-7,MATCH(U$6,DataOB[#Headers],0)),"")</f>
        <v/>
      </c>
      <c r="V310" s="67" t="str">
        <f>IF($B310&lt;&gt;"",INDEX(DataOB[],FirstRow+ROW()-7,MATCH(V$6,DataOB[#Headers],0)),"")</f>
        <v/>
      </c>
      <c r="W310" s="67" t="str">
        <f>IF($B310&lt;&gt;"",INDEX(DataOB[],FirstRow+ROW()-7,MATCH(W$6,DataOB[#Headers],0)),"")</f>
        <v/>
      </c>
      <c r="X310" s="67" t="str">
        <f>IF($B310&lt;&gt;"",INDEX(DataOB[],FirstRow+ROW()-7,MATCH(X$6,DataOB[#Headers],0)),"")</f>
        <v/>
      </c>
      <c r="Y310" s="67" t="str">
        <f>IF($B310&lt;&gt;"",INDEX(DataOB[],FirstRow+ROW()-7,MATCH(Y$6,DataOB[#Headers],0)),"")</f>
        <v/>
      </c>
      <c r="Z310" s="67" t="str">
        <f>IF($B310&lt;&gt;"",INDEX(DataOB[],FirstRow+ROW()-7,MATCH(Z$6,DataOB[#Headers],0)),"")</f>
        <v/>
      </c>
      <c r="AA310" s="67" t="str">
        <f>IF($B310&lt;&gt;"",INDEX(DataOB[],FirstRow+ROW()-7,MATCH(AA$6,DataOB[#Headers],0)),"")</f>
        <v/>
      </c>
      <c r="AB310" s="67" t="str">
        <f>IF($B310&lt;&gt;"",INDEX(DataOB[],FirstRow+ROW()-7,MATCH(AB$6,DataOB[#Headers],0)),"")</f>
        <v/>
      </c>
      <c r="AC310" s="67" t="str">
        <f>IF($B310&lt;&gt;"",INDEX(DataOB[],FirstRow+ROW()-7,MATCH(AC$6,DataOB[#Headers],0)),"")</f>
        <v/>
      </c>
      <c r="AD310" s="67" t="str">
        <f>IF($B310&lt;&gt;"",INDEX(DataOB[],FirstRow+ROW()-7,MATCH(AD$6,DataOB[#Headers],0)),"")</f>
        <v/>
      </c>
      <c r="AE310" s="67" t="str">
        <f>IF($B310&lt;&gt;"",INDEX(DataOB[],FirstRow+ROW()-7,MATCH(AE$6,DataOB[#Headers],0)),"")</f>
        <v/>
      </c>
      <c r="AF310" s="26">
        <f t="shared" si="50"/>
        <v>0</v>
      </c>
      <c r="AG310" s="31">
        <f>SUM($T310:T310)</f>
        <v>0</v>
      </c>
      <c r="AH310" s="31">
        <f>SUM($T310:U310)</f>
        <v>0</v>
      </c>
      <c r="AI310" s="31">
        <f>SUM($T310:V310)</f>
        <v>0</v>
      </c>
      <c r="AJ310" s="31">
        <f>SUM($T310:W310)</f>
        <v>0</v>
      </c>
      <c r="AK310" s="31">
        <f>SUM($T310:X310)</f>
        <v>0</v>
      </c>
      <c r="AL310" s="31">
        <f>SUM($T310:Y310)</f>
        <v>0</v>
      </c>
      <c r="AM310" s="31">
        <f>SUM($T310:Z310)</f>
        <v>0</v>
      </c>
      <c r="AN310" s="31">
        <f>SUM($T310:AA310)</f>
        <v>0</v>
      </c>
      <c r="AO310" s="31">
        <f>SUM($T310:AB310)</f>
        <v>0</v>
      </c>
      <c r="AP310" s="31">
        <f>SUM($T310:AC310)</f>
        <v>0</v>
      </c>
      <c r="AQ310" s="31">
        <f>SUM($T310:AD310)</f>
        <v>0</v>
      </c>
      <c r="AR310" s="31">
        <f>SUM($T310:AE310)</f>
        <v>0</v>
      </c>
      <c r="AS310" s="27">
        <f t="shared" si="51"/>
        <v>0</v>
      </c>
    </row>
    <row r="311" spans="2:45">
      <c r="B311" s="102" t="str">
        <f>IF(ROW()-6&gt;NumCostCenter,"",IF(CostCenter&lt;&gt;"ALL",CostCenter,DATA_LF2!B309))</f>
        <v/>
      </c>
      <c r="C311" s="153" t="str">
        <f>IF($B311&lt;&gt;"",INDEX(DataOB[],FirstRow+ROW()-7,2),"")</f>
        <v/>
      </c>
      <c r="D311" s="66" t="str">
        <f>IF($B311&lt;&gt;"",INDEX(DataOB[],FirstRow+ROW()-7,3),"")</f>
        <v/>
      </c>
      <c r="E311" s="103" t="str">
        <f>IF($B311&lt;&gt;"",INDEX(DataOB[],FirstRow+ROW()-7,6),"")</f>
        <v/>
      </c>
      <c r="F311" s="103" t="str">
        <f>IF($B311&lt;&gt;"",INDEX(DataOB[],FirstRow+ROW()-7,5),"")</f>
        <v/>
      </c>
      <c r="G311" s="58">
        <f>IF($B311&lt;&gt;"",SUMIFS(DataAct_tbl[AMOUNT],DataAct_tbl[BG CODE],Detail!$D311,DataAct_tbl[MONTH],LEFT(MonthName,3),DataAct_tbl[Dept code],$B311),0)</f>
        <v>0</v>
      </c>
      <c r="H311" s="31" t="str">
        <f t="shared" si="43"/>
        <v/>
      </c>
      <c r="I311" s="28" t="str">
        <f t="shared" si="44"/>
        <v/>
      </c>
      <c r="J311" s="32" t="str">
        <f t="shared" si="45"/>
        <v/>
      </c>
      <c r="K311" s="86"/>
      <c r="L311" s="62">
        <f>IF($B311&lt;&gt;"",SUMIFS(DataAct_tbl[AMOUNT],DataAct_tbl[BG CODE],Detail!$D311,DataAct_tbl[Check Range],"=true",DataAct_tbl[Dept code],$B311),0)</f>
        <v>0</v>
      </c>
      <c r="M311" s="63">
        <f>INDEX($AG$7:$AR$1005,ROW()-6,MATCH(MTD,$AG$6:$AR$6,0))</f>
        <v>0</v>
      </c>
      <c r="N311" s="34">
        <f t="shared" si="46"/>
        <v>0</v>
      </c>
      <c r="O311" s="64" t="str">
        <f t="shared" si="47"/>
        <v xml:space="preserve"> </v>
      </c>
      <c r="Q311" s="97">
        <f t="shared" si="48"/>
        <v>0</v>
      </c>
      <c r="R311" s="96">
        <f t="shared" si="49"/>
        <v>0</v>
      </c>
      <c r="T311" s="67" t="str">
        <f>IF($B311&lt;&gt;"",INDEX(DataOB[],FirstRow+ROW()-7,MATCH(T$6,DataOB[#Headers],0)),"")</f>
        <v/>
      </c>
      <c r="U311" s="67" t="str">
        <f>IF($B311&lt;&gt;"",INDEX(DataOB[],FirstRow+ROW()-7,MATCH(U$6,DataOB[#Headers],0)),"")</f>
        <v/>
      </c>
      <c r="V311" s="67" t="str">
        <f>IF($B311&lt;&gt;"",INDEX(DataOB[],FirstRow+ROW()-7,MATCH(V$6,DataOB[#Headers],0)),"")</f>
        <v/>
      </c>
      <c r="W311" s="67" t="str">
        <f>IF($B311&lt;&gt;"",INDEX(DataOB[],FirstRow+ROW()-7,MATCH(W$6,DataOB[#Headers],0)),"")</f>
        <v/>
      </c>
      <c r="X311" s="67" t="str">
        <f>IF($B311&lt;&gt;"",INDEX(DataOB[],FirstRow+ROW()-7,MATCH(X$6,DataOB[#Headers],0)),"")</f>
        <v/>
      </c>
      <c r="Y311" s="67" t="str">
        <f>IF($B311&lt;&gt;"",INDEX(DataOB[],FirstRow+ROW()-7,MATCH(Y$6,DataOB[#Headers],0)),"")</f>
        <v/>
      </c>
      <c r="Z311" s="67" t="str">
        <f>IF($B311&lt;&gt;"",INDEX(DataOB[],FirstRow+ROW()-7,MATCH(Z$6,DataOB[#Headers],0)),"")</f>
        <v/>
      </c>
      <c r="AA311" s="67" t="str">
        <f>IF($B311&lt;&gt;"",INDEX(DataOB[],FirstRow+ROW()-7,MATCH(AA$6,DataOB[#Headers],0)),"")</f>
        <v/>
      </c>
      <c r="AB311" s="67" t="str">
        <f>IF($B311&lt;&gt;"",INDEX(DataOB[],FirstRow+ROW()-7,MATCH(AB$6,DataOB[#Headers],0)),"")</f>
        <v/>
      </c>
      <c r="AC311" s="67" t="str">
        <f>IF($B311&lt;&gt;"",INDEX(DataOB[],FirstRow+ROW()-7,MATCH(AC$6,DataOB[#Headers],0)),"")</f>
        <v/>
      </c>
      <c r="AD311" s="67" t="str">
        <f>IF($B311&lt;&gt;"",INDEX(DataOB[],FirstRow+ROW()-7,MATCH(AD$6,DataOB[#Headers],0)),"")</f>
        <v/>
      </c>
      <c r="AE311" s="67" t="str">
        <f>IF($B311&lt;&gt;"",INDEX(DataOB[],FirstRow+ROW()-7,MATCH(AE$6,DataOB[#Headers],0)),"")</f>
        <v/>
      </c>
      <c r="AF311" s="26">
        <f t="shared" si="50"/>
        <v>0</v>
      </c>
      <c r="AG311" s="31">
        <f>SUM($T311:T311)</f>
        <v>0</v>
      </c>
      <c r="AH311" s="31">
        <f>SUM($T311:U311)</f>
        <v>0</v>
      </c>
      <c r="AI311" s="31">
        <f>SUM($T311:V311)</f>
        <v>0</v>
      </c>
      <c r="AJ311" s="31">
        <f>SUM($T311:W311)</f>
        <v>0</v>
      </c>
      <c r="AK311" s="31">
        <f>SUM($T311:X311)</f>
        <v>0</v>
      </c>
      <c r="AL311" s="31">
        <f>SUM($T311:Y311)</f>
        <v>0</v>
      </c>
      <c r="AM311" s="31">
        <f>SUM($T311:Z311)</f>
        <v>0</v>
      </c>
      <c r="AN311" s="31">
        <f>SUM($T311:AA311)</f>
        <v>0</v>
      </c>
      <c r="AO311" s="31">
        <f>SUM($T311:AB311)</f>
        <v>0</v>
      </c>
      <c r="AP311" s="31">
        <f>SUM($T311:AC311)</f>
        <v>0</v>
      </c>
      <c r="AQ311" s="31">
        <f>SUM($T311:AD311)</f>
        <v>0</v>
      </c>
      <c r="AR311" s="31">
        <f>SUM($T311:AE311)</f>
        <v>0</v>
      </c>
      <c r="AS311" s="27">
        <f t="shared" si="51"/>
        <v>0</v>
      </c>
    </row>
    <row r="312" spans="2:45">
      <c r="B312" s="102" t="str">
        <f>IF(ROW()-6&gt;NumCostCenter,"",IF(CostCenter&lt;&gt;"ALL",CostCenter,DATA_LF2!B310))</f>
        <v/>
      </c>
      <c r="C312" s="153" t="str">
        <f>IF($B312&lt;&gt;"",INDEX(DataOB[],FirstRow+ROW()-7,2),"")</f>
        <v/>
      </c>
      <c r="D312" s="66" t="str">
        <f>IF($B312&lt;&gt;"",INDEX(DataOB[],FirstRow+ROW()-7,3),"")</f>
        <v/>
      </c>
      <c r="E312" s="103" t="str">
        <f>IF($B312&lt;&gt;"",INDEX(DataOB[],FirstRow+ROW()-7,6),"")</f>
        <v/>
      </c>
      <c r="F312" s="103" t="str">
        <f>IF($B312&lt;&gt;"",INDEX(DataOB[],FirstRow+ROW()-7,5),"")</f>
        <v/>
      </c>
      <c r="G312" s="58">
        <f>IF($B312&lt;&gt;"",SUMIFS(DataAct_tbl[AMOUNT],DataAct_tbl[BG CODE],Detail!$D312,DataAct_tbl[MONTH],LEFT(MonthName,3),DataAct_tbl[Dept code],$B312),0)</f>
        <v>0</v>
      </c>
      <c r="H312" s="31" t="str">
        <f t="shared" si="43"/>
        <v/>
      </c>
      <c r="I312" s="28" t="str">
        <f t="shared" si="44"/>
        <v/>
      </c>
      <c r="J312" s="32" t="str">
        <f t="shared" si="45"/>
        <v/>
      </c>
      <c r="K312" s="86"/>
      <c r="L312" s="62">
        <f>IF($B312&lt;&gt;"",SUMIFS(DataAct_tbl[AMOUNT],DataAct_tbl[BG CODE],Detail!$D312,DataAct_tbl[Check Range],"=true",DataAct_tbl[Dept code],$B312),0)</f>
        <v>0</v>
      </c>
      <c r="M312" s="63">
        <f>INDEX($AG$7:$AR$1005,ROW()-6,MATCH(MTD,$AG$6:$AR$6,0))</f>
        <v>0</v>
      </c>
      <c r="N312" s="34">
        <f t="shared" si="46"/>
        <v>0</v>
      </c>
      <c r="O312" s="64" t="str">
        <f t="shared" si="47"/>
        <v xml:space="preserve"> </v>
      </c>
      <c r="Q312" s="97">
        <f t="shared" si="48"/>
        <v>0</v>
      </c>
      <c r="R312" s="96">
        <f t="shared" si="49"/>
        <v>0</v>
      </c>
      <c r="T312" s="67" t="str">
        <f>IF($B312&lt;&gt;"",INDEX(DataOB[],FirstRow+ROW()-7,MATCH(T$6,DataOB[#Headers],0)),"")</f>
        <v/>
      </c>
      <c r="U312" s="67" t="str">
        <f>IF($B312&lt;&gt;"",INDEX(DataOB[],FirstRow+ROW()-7,MATCH(U$6,DataOB[#Headers],0)),"")</f>
        <v/>
      </c>
      <c r="V312" s="67" t="str">
        <f>IF($B312&lt;&gt;"",INDEX(DataOB[],FirstRow+ROW()-7,MATCH(V$6,DataOB[#Headers],0)),"")</f>
        <v/>
      </c>
      <c r="W312" s="67" t="str">
        <f>IF($B312&lt;&gt;"",INDEX(DataOB[],FirstRow+ROW()-7,MATCH(W$6,DataOB[#Headers],0)),"")</f>
        <v/>
      </c>
      <c r="X312" s="67" t="str">
        <f>IF($B312&lt;&gt;"",INDEX(DataOB[],FirstRow+ROW()-7,MATCH(X$6,DataOB[#Headers],0)),"")</f>
        <v/>
      </c>
      <c r="Y312" s="67" t="str">
        <f>IF($B312&lt;&gt;"",INDEX(DataOB[],FirstRow+ROW()-7,MATCH(Y$6,DataOB[#Headers],0)),"")</f>
        <v/>
      </c>
      <c r="Z312" s="67" t="str">
        <f>IF($B312&lt;&gt;"",INDEX(DataOB[],FirstRow+ROW()-7,MATCH(Z$6,DataOB[#Headers],0)),"")</f>
        <v/>
      </c>
      <c r="AA312" s="67" t="str">
        <f>IF($B312&lt;&gt;"",INDEX(DataOB[],FirstRow+ROW()-7,MATCH(AA$6,DataOB[#Headers],0)),"")</f>
        <v/>
      </c>
      <c r="AB312" s="67" t="str">
        <f>IF($B312&lt;&gt;"",INDEX(DataOB[],FirstRow+ROW()-7,MATCH(AB$6,DataOB[#Headers],0)),"")</f>
        <v/>
      </c>
      <c r="AC312" s="67" t="str">
        <f>IF($B312&lt;&gt;"",INDEX(DataOB[],FirstRow+ROW()-7,MATCH(AC$6,DataOB[#Headers],0)),"")</f>
        <v/>
      </c>
      <c r="AD312" s="67" t="str">
        <f>IF($B312&lt;&gt;"",INDEX(DataOB[],FirstRow+ROW()-7,MATCH(AD$6,DataOB[#Headers],0)),"")</f>
        <v/>
      </c>
      <c r="AE312" s="67" t="str">
        <f>IF($B312&lt;&gt;"",INDEX(DataOB[],FirstRow+ROW()-7,MATCH(AE$6,DataOB[#Headers],0)),"")</f>
        <v/>
      </c>
      <c r="AF312" s="26">
        <f t="shared" si="50"/>
        <v>0</v>
      </c>
      <c r="AG312" s="31">
        <f>SUM($T312:T312)</f>
        <v>0</v>
      </c>
      <c r="AH312" s="31">
        <f>SUM($T312:U312)</f>
        <v>0</v>
      </c>
      <c r="AI312" s="31">
        <f>SUM($T312:V312)</f>
        <v>0</v>
      </c>
      <c r="AJ312" s="31">
        <f>SUM($T312:W312)</f>
        <v>0</v>
      </c>
      <c r="AK312" s="31">
        <f>SUM($T312:X312)</f>
        <v>0</v>
      </c>
      <c r="AL312" s="31">
        <f>SUM($T312:Y312)</f>
        <v>0</v>
      </c>
      <c r="AM312" s="31">
        <f>SUM($T312:Z312)</f>
        <v>0</v>
      </c>
      <c r="AN312" s="31">
        <f>SUM($T312:AA312)</f>
        <v>0</v>
      </c>
      <c r="AO312" s="31">
        <f>SUM($T312:AB312)</f>
        <v>0</v>
      </c>
      <c r="AP312" s="31">
        <f>SUM($T312:AC312)</f>
        <v>0</v>
      </c>
      <c r="AQ312" s="31">
        <f>SUM($T312:AD312)</f>
        <v>0</v>
      </c>
      <c r="AR312" s="31">
        <f>SUM($T312:AE312)</f>
        <v>0</v>
      </c>
      <c r="AS312" s="27">
        <f t="shared" si="51"/>
        <v>0</v>
      </c>
    </row>
    <row r="313" spans="2:45">
      <c r="B313" s="102" t="str">
        <f>IF(ROW()-6&gt;NumCostCenter,"",IF(CostCenter&lt;&gt;"ALL",CostCenter,DATA_LF2!B311))</f>
        <v/>
      </c>
      <c r="C313" s="153" t="str">
        <f>IF($B313&lt;&gt;"",INDEX(DataOB[],FirstRow+ROW()-7,2),"")</f>
        <v/>
      </c>
      <c r="D313" s="66" t="str">
        <f>IF($B313&lt;&gt;"",INDEX(DataOB[],FirstRow+ROW()-7,3),"")</f>
        <v/>
      </c>
      <c r="E313" s="103" t="str">
        <f>IF($B313&lt;&gt;"",INDEX(DataOB[],FirstRow+ROW()-7,6),"")</f>
        <v/>
      </c>
      <c r="F313" s="103" t="str">
        <f>IF($B313&lt;&gt;"",INDEX(DataOB[],FirstRow+ROW()-7,5),"")</f>
        <v/>
      </c>
      <c r="G313" s="58">
        <f>IF($B313&lt;&gt;"",SUMIFS(DataAct_tbl[AMOUNT],DataAct_tbl[BG CODE],Detail!$D313,DataAct_tbl[MONTH],LEFT(MonthName,3),DataAct_tbl[Dept code],$B313),0)</f>
        <v>0</v>
      </c>
      <c r="H313" s="31" t="str">
        <f t="shared" si="43"/>
        <v/>
      </c>
      <c r="I313" s="28" t="str">
        <f t="shared" si="44"/>
        <v/>
      </c>
      <c r="J313" s="32" t="str">
        <f t="shared" si="45"/>
        <v/>
      </c>
      <c r="K313" s="86"/>
      <c r="L313" s="62">
        <f>IF($B313&lt;&gt;"",SUMIFS(DataAct_tbl[AMOUNT],DataAct_tbl[BG CODE],Detail!$D313,DataAct_tbl[Check Range],"=true",DataAct_tbl[Dept code],$B313),0)</f>
        <v>0</v>
      </c>
      <c r="M313" s="63">
        <f>INDEX($AG$7:$AR$1005,ROW()-6,MATCH(MTD,$AG$6:$AR$6,0))</f>
        <v>0</v>
      </c>
      <c r="N313" s="34">
        <f t="shared" si="46"/>
        <v>0</v>
      </c>
      <c r="O313" s="64" t="str">
        <f t="shared" si="47"/>
        <v xml:space="preserve"> </v>
      </c>
      <c r="Q313" s="97">
        <f t="shared" si="48"/>
        <v>0</v>
      </c>
      <c r="R313" s="96">
        <f t="shared" si="49"/>
        <v>0</v>
      </c>
      <c r="T313" s="67" t="str">
        <f>IF($B313&lt;&gt;"",INDEX(DataOB[],FirstRow+ROW()-7,MATCH(T$6,DataOB[#Headers],0)),"")</f>
        <v/>
      </c>
      <c r="U313" s="67" t="str">
        <f>IF($B313&lt;&gt;"",INDEX(DataOB[],FirstRow+ROW()-7,MATCH(U$6,DataOB[#Headers],0)),"")</f>
        <v/>
      </c>
      <c r="V313" s="67" t="str">
        <f>IF($B313&lt;&gt;"",INDEX(DataOB[],FirstRow+ROW()-7,MATCH(V$6,DataOB[#Headers],0)),"")</f>
        <v/>
      </c>
      <c r="W313" s="67" t="str">
        <f>IF($B313&lt;&gt;"",INDEX(DataOB[],FirstRow+ROW()-7,MATCH(W$6,DataOB[#Headers],0)),"")</f>
        <v/>
      </c>
      <c r="X313" s="67" t="str">
        <f>IF($B313&lt;&gt;"",INDEX(DataOB[],FirstRow+ROW()-7,MATCH(X$6,DataOB[#Headers],0)),"")</f>
        <v/>
      </c>
      <c r="Y313" s="67" t="str">
        <f>IF($B313&lt;&gt;"",INDEX(DataOB[],FirstRow+ROW()-7,MATCH(Y$6,DataOB[#Headers],0)),"")</f>
        <v/>
      </c>
      <c r="Z313" s="67" t="str">
        <f>IF($B313&lt;&gt;"",INDEX(DataOB[],FirstRow+ROW()-7,MATCH(Z$6,DataOB[#Headers],0)),"")</f>
        <v/>
      </c>
      <c r="AA313" s="67" t="str">
        <f>IF($B313&lt;&gt;"",INDEX(DataOB[],FirstRow+ROW()-7,MATCH(AA$6,DataOB[#Headers],0)),"")</f>
        <v/>
      </c>
      <c r="AB313" s="67" t="str">
        <f>IF($B313&lt;&gt;"",INDEX(DataOB[],FirstRow+ROW()-7,MATCH(AB$6,DataOB[#Headers],0)),"")</f>
        <v/>
      </c>
      <c r="AC313" s="67" t="str">
        <f>IF($B313&lt;&gt;"",INDEX(DataOB[],FirstRow+ROW()-7,MATCH(AC$6,DataOB[#Headers],0)),"")</f>
        <v/>
      </c>
      <c r="AD313" s="67" t="str">
        <f>IF($B313&lt;&gt;"",INDEX(DataOB[],FirstRow+ROW()-7,MATCH(AD$6,DataOB[#Headers],0)),"")</f>
        <v/>
      </c>
      <c r="AE313" s="67" t="str">
        <f>IF($B313&lt;&gt;"",INDEX(DataOB[],FirstRow+ROW()-7,MATCH(AE$6,DataOB[#Headers],0)),"")</f>
        <v/>
      </c>
      <c r="AF313" s="26">
        <f t="shared" si="50"/>
        <v>0</v>
      </c>
      <c r="AG313" s="31">
        <f>SUM($T313:T313)</f>
        <v>0</v>
      </c>
      <c r="AH313" s="31">
        <f>SUM($T313:U313)</f>
        <v>0</v>
      </c>
      <c r="AI313" s="31">
        <f>SUM($T313:V313)</f>
        <v>0</v>
      </c>
      <c r="AJ313" s="31">
        <f>SUM($T313:W313)</f>
        <v>0</v>
      </c>
      <c r="AK313" s="31">
        <f>SUM($T313:X313)</f>
        <v>0</v>
      </c>
      <c r="AL313" s="31">
        <f>SUM($T313:Y313)</f>
        <v>0</v>
      </c>
      <c r="AM313" s="31">
        <f>SUM($T313:Z313)</f>
        <v>0</v>
      </c>
      <c r="AN313" s="31">
        <f>SUM($T313:AA313)</f>
        <v>0</v>
      </c>
      <c r="AO313" s="31">
        <f>SUM($T313:AB313)</f>
        <v>0</v>
      </c>
      <c r="AP313" s="31">
        <f>SUM($T313:AC313)</f>
        <v>0</v>
      </c>
      <c r="AQ313" s="31">
        <f>SUM($T313:AD313)</f>
        <v>0</v>
      </c>
      <c r="AR313" s="31">
        <f>SUM($T313:AE313)</f>
        <v>0</v>
      </c>
      <c r="AS313" s="27">
        <f t="shared" si="51"/>
        <v>0</v>
      </c>
    </row>
    <row r="314" spans="2:45">
      <c r="B314" s="102" t="str">
        <f>IF(ROW()-6&gt;NumCostCenter,"",IF(CostCenter&lt;&gt;"ALL",CostCenter,DATA_LF2!B312))</f>
        <v/>
      </c>
      <c r="C314" s="153" t="str">
        <f>IF($B314&lt;&gt;"",INDEX(DataOB[],FirstRow+ROW()-7,2),"")</f>
        <v/>
      </c>
      <c r="D314" s="66" t="str">
        <f>IF($B314&lt;&gt;"",INDEX(DataOB[],FirstRow+ROW()-7,3),"")</f>
        <v/>
      </c>
      <c r="E314" s="103" t="str">
        <f>IF($B314&lt;&gt;"",INDEX(DataOB[],FirstRow+ROW()-7,6),"")</f>
        <v/>
      </c>
      <c r="F314" s="103" t="str">
        <f>IF($B314&lt;&gt;"",INDEX(DataOB[],FirstRow+ROW()-7,5),"")</f>
        <v/>
      </c>
      <c r="G314" s="58">
        <f>IF($B314&lt;&gt;"",SUMIFS(DataAct_tbl[AMOUNT],DataAct_tbl[BG CODE],Detail!$D314,DataAct_tbl[MONTH],LEFT(MonthName,3),DataAct_tbl[Dept code],$B314),0)</f>
        <v>0</v>
      </c>
      <c r="H314" s="31" t="str">
        <f t="shared" si="43"/>
        <v/>
      </c>
      <c r="I314" s="28" t="str">
        <f t="shared" si="44"/>
        <v/>
      </c>
      <c r="J314" s="32" t="str">
        <f t="shared" si="45"/>
        <v/>
      </c>
      <c r="K314" s="86"/>
      <c r="L314" s="62">
        <f>IF($B314&lt;&gt;"",SUMIFS(DataAct_tbl[AMOUNT],DataAct_tbl[BG CODE],Detail!$D314,DataAct_tbl[Check Range],"=true",DataAct_tbl[Dept code],$B314),0)</f>
        <v>0</v>
      </c>
      <c r="M314" s="63">
        <f>INDEX($AG$7:$AR$1005,ROW()-6,MATCH(MTD,$AG$6:$AR$6,0))</f>
        <v>0</v>
      </c>
      <c r="N314" s="34">
        <f t="shared" si="46"/>
        <v>0</v>
      </c>
      <c r="O314" s="64" t="str">
        <f t="shared" si="47"/>
        <v xml:space="preserve"> </v>
      </c>
      <c r="Q314" s="97">
        <f t="shared" si="48"/>
        <v>0</v>
      </c>
      <c r="R314" s="96">
        <f t="shared" si="49"/>
        <v>0</v>
      </c>
      <c r="T314" s="67" t="str">
        <f>IF($B314&lt;&gt;"",INDEX(DataOB[],FirstRow+ROW()-7,MATCH(T$6,DataOB[#Headers],0)),"")</f>
        <v/>
      </c>
      <c r="U314" s="67" t="str">
        <f>IF($B314&lt;&gt;"",INDEX(DataOB[],FirstRow+ROW()-7,MATCH(U$6,DataOB[#Headers],0)),"")</f>
        <v/>
      </c>
      <c r="V314" s="67" t="str">
        <f>IF($B314&lt;&gt;"",INDEX(DataOB[],FirstRow+ROW()-7,MATCH(V$6,DataOB[#Headers],0)),"")</f>
        <v/>
      </c>
      <c r="W314" s="67" t="str">
        <f>IF($B314&lt;&gt;"",INDEX(DataOB[],FirstRow+ROW()-7,MATCH(W$6,DataOB[#Headers],0)),"")</f>
        <v/>
      </c>
      <c r="X314" s="67" t="str">
        <f>IF($B314&lt;&gt;"",INDEX(DataOB[],FirstRow+ROW()-7,MATCH(X$6,DataOB[#Headers],0)),"")</f>
        <v/>
      </c>
      <c r="Y314" s="67" t="str">
        <f>IF($B314&lt;&gt;"",INDEX(DataOB[],FirstRow+ROW()-7,MATCH(Y$6,DataOB[#Headers],0)),"")</f>
        <v/>
      </c>
      <c r="Z314" s="67" t="str">
        <f>IF($B314&lt;&gt;"",INDEX(DataOB[],FirstRow+ROW()-7,MATCH(Z$6,DataOB[#Headers],0)),"")</f>
        <v/>
      </c>
      <c r="AA314" s="67" t="str">
        <f>IF($B314&lt;&gt;"",INDEX(DataOB[],FirstRow+ROW()-7,MATCH(AA$6,DataOB[#Headers],0)),"")</f>
        <v/>
      </c>
      <c r="AB314" s="67" t="str">
        <f>IF($B314&lt;&gt;"",INDEX(DataOB[],FirstRow+ROW()-7,MATCH(AB$6,DataOB[#Headers],0)),"")</f>
        <v/>
      </c>
      <c r="AC314" s="67" t="str">
        <f>IF($B314&lt;&gt;"",INDEX(DataOB[],FirstRow+ROW()-7,MATCH(AC$6,DataOB[#Headers],0)),"")</f>
        <v/>
      </c>
      <c r="AD314" s="67" t="str">
        <f>IF($B314&lt;&gt;"",INDEX(DataOB[],FirstRow+ROW()-7,MATCH(AD$6,DataOB[#Headers],0)),"")</f>
        <v/>
      </c>
      <c r="AE314" s="67" t="str">
        <f>IF($B314&lt;&gt;"",INDEX(DataOB[],FirstRow+ROW()-7,MATCH(AE$6,DataOB[#Headers],0)),"")</f>
        <v/>
      </c>
      <c r="AF314" s="26">
        <f t="shared" si="50"/>
        <v>0</v>
      </c>
      <c r="AG314" s="31">
        <f>SUM($T314:T314)</f>
        <v>0</v>
      </c>
      <c r="AH314" s="31">
        <f>SUM($T314:U314)</f>
        <v>0</v>
      </c>
      <c r="AI314" s="31">
        <f>SUM($T314:V314)</f>
        <v>0</v>
      </c>
      <c r="AJ314" s="31">
        <f>SUM($T314:W314)</f>
        <v>0</v>
      </c>
      <c r="AK314" s="31">
        <f>SUM($T314:X314)</f>
        <v>0</v>
      </c>
      <c r="AL314" s="31">
        <f>SUM($T314:Y314)</f>
        <v>0</v>
      </c>
      <c r="AM314" s="31">
        <f>SUM($T314:Z314)</f>
        <v>0</v>
      </c>
      <c r="AN314" s="31">
        <f>SUM($T314:AA314)</f>
        <v>0</v>
      </c>
      <c r="AO314" s="31">
        <f>SUM($T314:AB314)</f>
        <v>0</v>
      </c>
      <c r="AP314" s="31">
        <f>SUM($T314:AC314)</f>
        <v>0</v>
      </c>
      <c r="AQ314" s="31">
        <f>SUM($T314:AD314)</f>
        <v>0</v>
      </c>
      <c r="AR314" s="31">
        <f>SUM($T314:AE314)</f>
        <v>0</v>
      </c>
      <c r="AS314" s="27">
        <f t="shared" si="51"/>
        <v>0</v>
      </c>
    </row>
    <row r="315" spans="2:45">
      <c r="B315" s="102" t="str">
        <f>IF(ROW()-6&gt;NumCostCenter,"",IF(CostCenter&lt;&gt;"ALL",CostCenter,DATA_LF2!B313))</f>
        <v/>
      </c>
      <c r="C315" s="153" t="str">
        <f>IF($B315&lt;&gt;"",INDEX(DataOB[],FirstRow+ROW()-7,2),"")</f>
        <v/>
      </c>
      <c r="D315" s="66" t="str">
        <f>IF($B315&lt;&gt;"",INDEX(DataOB[],FirstRow+ROW()-7,3),"")</f>
        <v/>
      </c>
      <c r="E315" s="103" t="str">
        <f>IF($B315&lt;&gt;"",INDEX(DataOB[],FirstRow+ROW()-7,6),"")</f>
        <v/>
      </c>
      <c r="F315" s="103" t="str">
        <f>IF($B315&lt;&gt;"",INDEX(DataOB[],FirstRow+ROW()-7,5),"")</f>
        <v/>
      </c>
      <c r="G315" s="58">
        <f>IF($B315&lt;&gt;"",SUMIFS(DataAct_tbl[AMOUNT],DataAct_tbl[BG CODE],Detail!$D315,DataAct_tbl[MONTH],LEFT(MonthName,3),DataAct_tbl[Dept code],$B315),0)</f>
        <v>0</v>
      </c>
      <c r="H315" s="31" t="str">
        <f t="shared" si="43"/>
        <v/>
      </c>
      <c r="I315" s="28" t="str">
        <f t="shared" si="44"/>
        <v/>
      </c>
      <c r="J315" s="32" t="str">
        <f t="shared" si="45"/>
        <v/>
      </c>
      <c r="K315" s="86"/>
      <c r="L315" s="62">
        <f>IF($B315&lt;&gt;"",SUMIFS(DataAct_tbl[AMOUNT],DataAct_tbl[BG CODE],Detail!$D315,DataAct_tbl[Check Range],"=true",DataAct_tbl[Dept code],$B315),0)</f>
        <v>0</v>
      </c>
      <c r="M315" s="63">
        <f>INDEX($AG$7:$AR$1005,ROW()-6,MATCH(MTD,$AG$6:$AR$6,0))</f>
        <v>0</v>
      </c>
      <c r="N315" s="34">
        <f t="shared" si="46"/>
        <v>0</v>
      </c>
      <c r="O315" s="64" t="str">
        <f t="shared" si="47"/>
        <v xml:space="preserve"> </v>
      </c>
      <c r="Q315" s="97">
        <f t="shared" si="48"/>
        <v>0</v>
      </c>
      <c r="R315" s="96">
        <f t="shared" si="49"/>
        <v>0</v>
      </c>
      <c r="T315" s="67" t="str">
        <f>IF($B315&lt;&gt;"",INDEX(DataOB[],FirstRow+ROW()-7,MATCH(T$6,DataOB[#Headers],0)),"")</f>
        <v/>
      </c>
      <c r="U315" s="67" t="str">
        <f>IF($B315&lt;&gt;"",INDEX(DataOB[],FirstRow+ROW()-7,MATCH(U$6,DataOB[#Headers],0)),"")</f>
        <v/>
      </c>
      <c r="V315" s="67" t="str">
        <f>IF($B315&lt;&gt;"",INDEX(DataOB[],FirstRow+ROW()-7,MATCH(V$6,DataOB[#Headers],0)),"")</f>
        <v/>
      </c>
      <c r="W315" s="67" t="str">
        <f>IF($B315&lt;&gt;"",INDEX(DataOB[],FirstRow+ROW()-7,MATCH(W$6,DataOB[#Headers],0)),"")</f>
        <v/>
      </c>
      <c r="X315" s="67" t="str">
        <f>IF($B315&lt;&gt;"",INDEX(DataOB[],FirstRow+ROW()-7,MATCH(X$6,DataOB[#Headers],0)),"")</f>
        <v/>
      </c>
      <c r="Y315" s="67" t="str">
        <f>IF($B315&lt;&gt;"",INDEX(DataOB[],FirstRow+ROW()-7,MATCH(Y$6,DataOB[#Headers],0)),"")</f>
        <v/>
      </c>
      <c r="Z315" s="67" t="str">
        <f>IF($B315&lt;&gt;"",INDEX(DataOB[],FirstRow+ROW()-7,MATCH(Z$6,DataOB[#Headers],0)),"")</f>
        <v/>
      </c>
      <c r="AA315" s="67" t="str">
        <f>IF($B315&lt;&gt;"",INDEX(DataOB[],FirstRow+ROW()-7,MATCH(AA$6,DataOB[#Headers],0)),"")</f>
        <v/>
      </c>
      <c r="AB315" s="67" t="str">
        <f>IF($B315&lt;&gt;"",INDEX(DataOB[],FirstRow+ROW()-7,MATCH(AB$6,DataOB[#Headers],0)),"")</f>
        <v/>
      </c>
      <c r="AC315" s="67" t="str">
        <f>IF($B315&lt;&gt;"",INDEX(DataOB[],FirstRow+ROW()-7,MATCH(AC$6,DataOB[#Headers],0)),"")</f>
        <v/>
      </c>
      <c r="AD315" s="67" t="str">
        <f>IF($B315&lt;&gt;"",INDEX(DataOB[],FirstRow+ROW()-7,MATCH(AD$6,DataOB[#Headers],0)),"")</f>
        <v/>
      </c>
      <c r="AE315" s="67" t="str">
        <f>IF($B315&lt;&gt;"",INDEX(DataOB[],FirstRow+ROW()-7,MATCH(AE$6,DataOB[#Headers],0)),"")</f>
        <v/>
      </c>
      <c r="AF315" s="26">
        <f t="shared" si="50"/>
        <v>0</v>
      </c>
      <c r="AG315" s="31">
        <f>SUM($T315:T315)</f>
        <v>0</v>
      </c>
      <c r="AH315" s="31">
        <f>SUM($T315:U315)</f>
        <v>0</v>
      </c>
      <c r="AI315" s="31">
        <f>SUM($T315:V315)</f>
        <v>0</v>
      </c>
      <c r="AJ315" s="31">
        <f>SUM($T315:W315)</f>
        <v>0</v>
      </c>
      <c r="AK315" s="31">
        <f>SUM($T315:X315)</f>
        <v>0</v>
      </c>
      <c r="AL315" s="31">
        <f>SUM($T315:Y315)</f>
        <v>0</v>
      </c>
      <c r="AM315" s="31">
        <f>SUM($T315:Z315)</f>
        <v>0</v>
      </c>
      <c r="AN315" s="31">
        <f>SUM($T315:AA315)</f>
        <v>0</v>
      </c>
      <c r="AO315" s="31">
        <f>SUM($T315:AB315)</f>
        <v>0</v>
      </c>
      <c r="AP315" s="31">
        <f>SUM($T315:AC315)</f>
        <v>0</v>
      </c>
      <c r="AQ315" s="31">
        <f>SUM($T315:AD315)</f>
        <v>0</v>
      </c>
      <c r="AR315" s="31">
        <f>SUM($T315:AE315)</f>
        <v>0</v>
      </c>
      <c r="AS315" s="27">
        <f t="shared" si="51"/>
        <v>0</v>
      </c>
    </row>
    <row r="316" spans="2:45">
      <c r="B316" s="102" t="str">
        <f>IF(ROW()-6&gt;NumCostCenter,"",IF(CostCenter&lt;&gt;"ALL",CostCenter,DATA_LF2!B314))</f>
        <v/>
      </c>
      <c r="C316" s="153" t="str">
        <f>IF($B316&lt;&gt;"",INDEX(DataOB[],FirstRow+ROW()-7,2),"")</f>
        <v/>
      </c>
      <c r="D316" s="66" t="str">
        <f>IF($B316&lt;&gt;"",INDEX(DataOB[],FirstRow+ROW()-7,3),"")</f>
        <v/>
      </c>
      <c r="E316" s="103" t="str">
        <f>IF($B316&lt;&gt;"",INDEX(DataOB[],FirstRow+ROW()-7,6),"")</f>
        <v/>
      </c>
      <c r="F316" s="103" t="str">
        <f>IF($B316&lt;&gt;"",INDEX(DataOB[],FirstRow+ROW()-7,5),"")</f>
        <v/>
      </c>
      <c r="G316" s="58">
        <f>IF($B316&lt;&gt;"",SUMIFS(DataAct_tbl[AMOUNT],DataAct_tbl[BG CODE],Detail!$D316,DataAct_tbl[MONTH],LEFT(MonthName,3),DataAct_tbl[Dept code],$B316),0)</f>
        <v>0</v>
      </c>
      <c r="H316" s="31" t="str">
        <f t="shared" si="43"/>
        <v/>
      </c>
      <c r="I316" s="28" t="str">
        <f t="shared" si="44"/>
        <v/>
      </c>
      <c r="J316" s="32" t="str">
        <f t="shared" si="45"/>
        <v/>
      </c>
      <c r="K316" s="86"/>
      <c r="L316" s="62">
        <f>IF($B316&lt;&gt;"",SUMIFS(DataAct_tbl[AMOUNT],DataAct_tbl[BG CODE],Detail!$D316,DataAct_tbl[Check Range],"=true",DataAct_tbl[Dept code],$B316),0)</f>
        <v>0</v>
      </c>
      <c r="M316" s="63">
        <f>INDEX($AG$7:$AR$1005,ROW()-6,MATCH(MTD,$AG$6:$AR$6,0))</f>
        <v>0</v>
      </c>
      <c r="N316" s="34">
        <f t="shared" si="46"/>
        <v>0</v>
      </c>
      <c r="O316" s="64" t="str">
        <f t="shared" si="47"/>
        <v xml:space="preserve"> </v>
      </c>
      <c r="Q316" s="97">
        <f t="shared" si="48"/>
        <v>0</v>
      </c>
      <c r="R316" s="96">
        <f t="shared" si="49"/>
        <v>0</v>
      </c>
      <c r="T316" s="67" t="str">
        <f>IF($B316&lt;&gt;"",INDEX(DataOB[],FirstRow+ROW()-7,MATCH(T$6,DataOB[#Headers],0)),"")</f>
        <v/>
      </c>
      <c r="U316" s="67" t="str">
        <f>IF($B316&lt;&gt;"",INDEX(DataOB[],FirstRow+ROW()-7,MATCH(U$6,DataOB[#Headers],0)),"")</f>
        <v/>
      </c>
      <c r="V316" s="67" t="str">
        <f>IF($B316&lt;&gt;"",INDEX(DataOB[],FirstRow+ROW()-7,MATCH(V$6,DataOB[#Headers],0)),"")</f>
        <v/>
      </c>
      <c r="W316" s="67" t="str">
        <f>IF($B316&lt;&gt;"",INDEX(DataOB[],FirstRow+ROW()-7,MATCH(W$6,DataOB[#Headers],0)),"")</f>
        <v/>
      </c>
      <c r="X316" s="67" t="str">
        <f>IF($B316&lt;&gt;"",INDEX(DataOB[],FirstRow+ROW()-7,MATCH(X$6,DataOB[#Headers],0)),"")</f>
        <v/>
      </c>
      <c r="Y316" s="67" t="str">
        <f>IF($B316&lt;&gt;"",INDEX(DataOB[],FirstRow+ROW()-7,MATCH(Y$6,DataOB[#Headers],0)),"")</f>
        <v/>
      </c>
      <c r="Z316" s="67" t="str">
        <f>IF($B316&lt;&gt;"",INDEX(DataOB[],FirstRow+ROW()-7,MATCH(Z$6,DataOB[#Headers],0)),"")</f>
        <v/>
      </c>
      <c r="AA316" s="67" t="str">
        <f>IF($B316&lt;&gt;"",INDEX(DataOB[],FirstRow+ROW()-7,MATCH(AA$6,DataOB[#Headers],0)),"")</f>
        <v/>
      </c>
      <c r="AB316" s="67" t="str">
        <f>IF($B316&lt;&gt;"",INDEX(DataOB[],FirstRow+ROW()-7,MATCH(AB$6,DataOB[#Headers],0)),"")</f>
        <v/>
      </c>
      <c r="AC316" s="67" t="str">
        <f>IF($B316&lt;&gt;"",INDEX(DataOB[],FirstRow+ROW()-7,MATCH(AC$6,DataOB[#Headers],0)),"")</f>
        <v/>
      </c>
      <c r="AD316" s="67" t="str">
        <f>IF($B316&lt;&gt;"",INDEX(DataOB[],FirstRow+ROW()-7,MATCH(AD$6,DataOB[#Headers],0)),"")</f>
        <v/>
      </c>
      <c r="AE316" s="67" t="str">
        <f>IF($B316&lt;&gt;"",INDEX(DataOB[],FirstRow+ROW()-7,MATCH(AE$6,DataOB[#Headers],0)),"")</f>
        <v/>
      </c>
      <c r="AF316" s="26">
        <f t="shared" si="50"/>
        <v>0</v>
      </c>
      <c r="AG316" s="31">
        <f>SUM($T316:T316)</f>
        <v>0</v>
      </c>
      <c r="AH316" s="31">
        <f>SUM($T316:U316)</f>
        <v>0</v>
      </c>
      <c r="AI316" s="31">
        <f>SUM($T316:V316)</f>
        <v>0</v>
      </c>
      <c r="AJ316" s="31">
        <f>SUM($T316:W316)</f>
        <v>0</v>
      </c>
      <c r="AK316" s="31">
        <f>SUM($T316:X316)</f>
        <v>0</v>
      </c>
      <c r="AL316" s="31">
        <f>SUM($T316:Y316)</f>
        <v>0</v>
      </c>
      <c r="AM316" s="31">
        <f>SUM($T316:Z316)</f>
        <v>0</v>
      </c>
      <c r="AN316" s="31">
        <f>SUM($T316:AA316)</f>
        <v>0</v>
      </c>
      <c r="AO316" s="31">
        <f>SUM($T316:AB316)</f>
        <v>0</v>
      </c>
      <c r="AP316" s="31">
        <f>SUM($T316:AC316)</f>
        <v>0</v>
      </c>
      <c r="AQ316" s="31">
        <f>SUM($T316:AD316)</f>
        <v>0</v>
      </c>
      <c r="AR316" s="31">
        <f>SUM($T316:AE316)</f>
        <v>0</v>
      </c>
      <c r="AS316" s="27">
        <f t="shared" si="51"/>
        <v>0</v>
      </c>
    </row>
    <row r="317" spans="2:45">
      <c r="B317" s="102" t="str">
        <f>IF(ROW()-6&gt;NumCostCenter,"",IF(CostCenter&lt;&gt;"ALL",CostCenter,DATA_LF2!B315))</f>
        <v/>
      </c>
      <c r="C317" s="153" t="str">
        <f>IF($B317&lt;&gt;"",INDEX(DataOB[],FirstRow+ROW()-7,2),"")</f>
        <v/>
      </c>
      <c r="D317" s="66" t="str">
        <f>IF($B317&lt;&gt;"",INDEX(DataOB[],FirstRow+ROW()-7,3),"")</f>
        <v/>
      </c>
      <c r="E317" s="103" t="str">
        <f>IF($B317&lt;&gt;"",INDEX(DataOB[],FirstRow+ROW()-7,6),"")</f>
        <v/>
      </c>
      <c r="F317" s="103" t="str">
        <f>IF($B317&lt;&gt;"",INDEX(DataOB[],FirstRow+ROW()-7,5),"")</f>
        <v/>
      </c>
      <c r="G317" s="58">
        <f>IF($B317&lt;&gt;"",SUMIFS(DataAct_tbl[AMOUNT],DataAct_tbl[BG CODE],Detail!$D317,DataAct_tbl[MONTH],LEFT(MonthName,3),DataAct_tbl[Dept code],$B317),0)</f>
        <v>0</v>
      </c>
      <c r="H317" s="31" t="str">
        <f t="shared" si="43"/>
        <v/>
      </c>
      <c r="I317" s="28" t="str">
        <f t="shared" si="44"/>
        <v/>
      </c>
      <c r="J317" s="32" t="str">
        <f t="shared" si="45"/>
        <v/>
      </c>
      <c r="K317" s="86"/>
      <c r="L317" s="62">
        <f>IF($B317&lt;&gt;"",SUMIFS(DataAct_tbl[AMOUNT],DataAct_tbl[BG CODE],Detail!$D317,DataAct_tbl[Check Range],"=true",DataAct_tbl[Dept code],$B317),0)</f>
        <v>0</v>
      </c>
      <c r="M317" s="63">
        <f>INDEX($AG$7:$AR$1005,ROW()-6,MATCH(MTD,$AG$6:$AR$6,0))</f>
        <v>0</v>
      </c>
      <c r="N317" s="34">
        <f t="shared" si="46"/>
        <v>0</v>
      </c>
      <c r="O317" s="64" t="str">
        <f t="shared" si="47"/>
        <v xml:space="preserve"> </v>
      </c>
      <c r="Q317" s="97">
        <f t="shared" si="48"/>
        <v>0</v>
      </c>
      <c r="R317" s="96">
        <f t="shared" si="49"/>
        <v>0</v>
      </c>
      <c r="T317" s="67" t="str">
        <f>IF($B317&lt;&gt;"",INDEX(DataOB[],FirstRow+ROW()-7,MATCH(T$6,DataOB[#Headers],0)),"")</f>
        <v/>
      </c>
      <c r="U317" s="67" t="str">
        <f>IF($B317&lt;&gt;"",INDEX(DataOB[],FirstRow+ROW()-7,MATCH(U$6,DataOB[#Headers],0)),"")</f>
        <v/>
      </c>
      <c r="V317" s="67" t="str">
        <f>IF($B317&lt;&gt;"",INDEX(DataOB[],FirstRow+ROW()-7,MATCH(V$6,DataOB[#Headers],0)),"")</f>
        <v/>
      </c>
      <c r="W317" s="67" t="str">
        <f>IF($B317&lt;&gt;"",INDEX(DataOB[],FirstRow+ROW()-7,MATCH(W$6,DataOB[#Headers],0)),"")</f>
        <v/>
      </c>
      <c r="X317" s="67" t="str">
        <f>IF($B317&lt;&gt;"",INDEX(DataOB[],FirstRow+ROW()-7,MATCH(X$6,DataOB[#Headers],0)),"")</f>
        <v/>
      </c>
      <c r="Y317" s="67" t="str">
        <f>IF($B317&lt;&gt;"",INDEX(DataOB[],FirstRow+ROW()-7,MATCH(Y$6,DataOB[#Headers],0)),"")</f>
        <v/>
      </c>
      <c r="Z317" s="67" t="str">
        <f>IF($B317&lt;&gt;"",INDEX(DataOB[],FirstRow+ROW()-7,MATCH(Z$6,DataOB[#Headers],0)),"")</f>
        <v/>
      </c>
      <c r="AA317" s="67" t="str">
        <f>IF($B317&lt;&gt;"",INDEX(DataOB[],FirstRow+ROW()-7,MATCH(AA$6,DataOB[#Headers],0)),"")</f>
        <v/>
      </c>
      <c r="AB317" s="67" t="str">
        <f>IF($B317&lt;&gt;"",INDEX(DataOB[],FirstRow+ROW()-7,MATCH(AB$6,DataOB[#Headers],0)),"")</f>
        <v/>
      </c>
      <c r="AC317" s="67" t="str">
        <f>IF($B317&lt;&gt;"",INDEX(DataOB[],FirstRow+ROW()-7,MATCH(AC$6,DataOB[#Headers],0)),"")</f>
        <v/>
      </c>
      <c r="AD317" s="67" t="str">
        <f>IF($B317&lt;&gt;"",INDEX(DataOB[],FirstRow+ROW()-7,MATCH(AD$6,DataOB[#Headers],0)),"")</f>
        <v/>
      </c>
      <c r="AE317" s="67" t="str">
        <f>IF($B317&lt;&gt;"",INDEX(DataOB[],FirstRow+ROW()-7,MATCH(AE$6,DataOB[#Headers],0)),"")</f>
        <v/>
      </c>
      <c r="AF317" s="26">
        <f t="shared" si="50"/>
        <v>0</v>
      </c>
      <c r="AG317" s="31">
        <f>SUM($T317:T317)</f>
        <v>0</v>
      </c>
      <c r="AH317" s="31">
        <f>SUM($T317:U317)</f>
        <v>0</v>
      </c>
      <c r="AI317" s="31">
        <f>SUM($T317:V317)</f>
        <v>0</v>
      </c>
      <c r="AJ317" s="31">
        <f>SUM($T317:W317)</f>
        <v>0</v>
      </c>
      <c r="AK317" s="31">
        <f>SUM($T317:X317)</f>
        <v>0</v>
      </c>
      <c r="AL317" s="31">
        <f>SUM($T317:Y317)</f>
        <v>0</v>
      </c>
      <c r="AM317" s="31">
        <f>SUM($T317:Z317)</f>
        <v>0</v>
      </c>
      <c r="AN317" s="31">
        <f>SUM($T317:AA317)</f>
        <v>0</v>
      </c>
      <c r="AO317" s="31">
        <f>SUM($T317:AB317)</f>
        <v>0</v>
      </c>
      <c r="AP317" s="31">
        <f>SUM($T317:AC317)</f>
        <v>0</v>
      </c>
      <c r="AQ317" s="31">
        <f>SUM($T317:AD317)</f>
        <v>0</v>
      </c>
      <c r="AR317" s="31">
        <f>SUM($T317:AE317)</f>
        <v>0</v>
      </c>
      <c r="AS317" s="27">
        <f t="shared" si="51"/>
        <v>0</v>
      </c>
    </row>
    <row r="318" spans="2:45">
      <c r="B318" s="102" t="str">
        <f>IF(ROW()-6&gt;NumCostCenter,"",IF(CostCenter&lt;&gt;"ALL",CostCenter,DATA_LF2!B316))</f>
        <v/>
      </c>
      <c r="C318" s="153" t="str">
        <f>IF($B318&lt;&gt;"",INDEX(DataOB[],FirstRow+ROW()-7,2),"")</f>
        <v/>
      </c>
      <c r="D318" s="66" t="str">
        <f>IF($B318&lt;&gt;"",INDEX(DataOB[],FirstRow+ROW()-7,3),"")</f>
        <v/>
      </c>
      <c r="E318" s="103" t="str">
        <f>IF($B318&lt;&gt;"",INDEX(DataOB[],FirstRow+ROW()-7,6),"")</f>
        <v/>
      </c>
      <c r="F318" s="103" t="str">
        <f>IF($B318&lt;&gt;"",INDEX(DataOB[],FirstRow+ROW()-7,5),"")</f>
        <v/>
      </c>
      <c r="G318" s="58">
        <f>IF($B318&lt;&gt;"",SUMIFS(DataAct_tbl[AMOUNT],DataAct_tbl[BG CODE],Detail!$D318,DataAct_tbl[MONTH],LEFT(MonthName,3),DataAct_tbl[Dept code],$B318),0)</f>
        <v>0</v>
      </c>
      <c r="H318" s="31" t="str">
        <f t="shared" si="43"/>
        <v/>
      </c>
      <c r="I318" s="28" t="str">
        <f t="shared" si="44"/>
        <v/>
      </c>
      <c r="J318" s="32" t="str">
        <f t="shared" si="45"/>
        <v/>
      </c>
      <c r="K318" s="86"/>
      <c r="L318" s="62">
        <f>IF($B318&lt;&gt;"",SUMIFS(DataAct_tbl[AMOUNT],DataAct_tbl[BG CODE],Detail!$D318,DataAct_tbl[Check Range],"=true",DataAct_tbl[Dept code],$B318),0)</f>
        <v>0</v>
      </c>
      <c r="M318" s="63">
        <f>INDEX($AG$7:$AR$1005,ROW()-6,MATCH(MTD,$AG$6:$AR$6,0))</f>
        <v>0</v>
      </c>
      <c r="N318" s="34">
        <f t="shared" si="46"/>
        <v>0</v>
      </c>
      <c r="O318" s="64" t="str">
        <f t="shared" si="47"/>
        <v xml:space="preserve"> </v>
      </c>
      <c r="Q318" s="97">
        <f t="shared" si="48"/>
        <v>0</v>
      </c>
      <c r="R318" s="96">
        <f t="shared" si="49"/>
        <v>0</v>
      </c>
      <c r="T318" s="67" t="str">
        <f>IF($B318&lt;&gt;"",INDEX(DataOB[],FirstRow+ROW()-7,MATCH(T$6,DataOB[#Headers],0)),"")</f>
        <v/>
      </c>
      <c r="U318" s="67" t="str">
        <f>IF($B318&lt;&gt;"",INDEX(DataOB[],FirstRow+ROW()-7,MATCH(U$6,DataOB[#Headers],0)),"")</f>
        <v/>
      </c>
      <c r="V318" s="67" t="str">
        <f>IF($B318&lt;&gt;"",INDEX(DataOB[],FirstRow+ROW()-7,MATCH(V$6,DataOB[#Headers],0)),"")</f>
        <v/>
      </c>
      <c r="W318" s="67" t="str">
        <f>IF($B318&lt;&gt;"",INDEX(DataOB[],FirstRow+ROW()-7,MATCH(W$6,DataOB[#Headers],0)),"")</f>
        <v/>
      </c>
      <c r="X318" s="67" t="str">
        <f>IF($B318&lt;&gt;"",INDEX(DataOB[],FirstRow+ROW()-7,MATCH(X$6,DataOB[#Headers],0)),"")</f>
        <v/>
      </c>
      <c r="Y318" s="67" t="str">
        <f>IF($B318&lt;&gt;"",INDEX(DataOB[],FirstRow+ROW()-7,MATCH(Y$6,DataOB[#Headers],0)),"")</f>
        <v/>
      </c>
      <c r="Z318" s="67" t="str">
        <f>IF($B318&lt;&gt;"",INDEX(DataOB[],FirstRow+ROW()-7,MATCH(Z$6,DataOB[#Headers],0)),"")</f>
        <v/>
      </c>
      <c r="AA318" s="67" t="str">
        <f>IF($B318&lt;&gt;"",INDEX(DataOB[],FirstRow+ROW()-7,MATCH(AA$6,DataOB[#Headers],0)),"")</f>
        <v/>
      </c>
      <c r="AB318" s="67" t="str">
        <f>IF($B318&lt;&gt;"",INDEX(DataOB[],FirstRow+ROW()-7,MATCH(AB$6,DataOB[#Headers],0)),"")</f>
        <v/>
      </c>
      <c r="AC318" s="67" t="str">
        <f>IF($B318&lt;&gt;"",INDEX(DataOB[],FirstRow+ROW()-7,MATCH(AC$6,DataOB[#Headers],0)),"")</f>
        <v/>
      </c>
      <c r="AD318" s="67" t="str">
        <f>IF($B318&lt;&gt;"",INDEX(DataOB[],FirstRow+ROW()-7,MATCH(AD$6,DataOB[#Headers],0)),"")</f>
        <v/>
      </c>
      <c r="AE318" s="67" t="str">
        <f>IF($B318&lt;&gt;"",INDEX(DataOB[],FirstRow+ROW()-7,MATCH(AE$6,DataOB[#Headers],0)),"")</f>
        <v/>
      </c>
      <c r="AF318" s="26">
        <f t="shared" si="50"/>
        <v>0</v>
      </c>
      <c r="AG318" s="31">
        <f>SUM($T318:T318)</f>
        <v>0</v>
      </c>
      <c r="AH318" s="31">
        <f>SUM($T318:U318)</f>
        <v>0</v>
      </c>
      <c r="AI318" s="31">
        <f>SUM($T318:V318)</f>
        <v>0</v>
      </c>
      <c r="AJ318" s="31">
        <f>SUM($T318:W318)</f>
        <v>0</v>
      </c>
      <c r="AK318" s="31">
        <f>SUM($T318:X318)</f>
        <v>0</v>
      </c>
      <c r="AL318" s="31">
        <f>SUM($T318:Y318)</f>
        <v>0</v>
      </c>
      <c r="AM318" s="31">
        <f>SUM($T318:Z318)</f>
        <v>0</v>
      </c>
      <c r="AN318" s="31">
        <f>SUM($T318:AA318)</f>
        <v>0</v>
      </c>
      <c r="AO318" s="31">
        <f>SUM($T318:AB318)</f>
        <v>0</v>
      </c>
      <c r="AP318" s="31">
        <f>SUM($T318:AC318)</f>
        <v>0</v>
      </c>
      <c r="AQ318" s="31">
        <f>SUM($T318:AD318)</f>
        <v>0</v>
      </c>
      <c r="AR318" s="31">
        <f>SUM($T318:AE318)</f>
        <v>0</v>
      </c>
      <c r="AS318" s="27">
        <f t="shared" si="51"/>
        <v>0</v>
      </c>
    </row>
    <row r="319" spans="2:45">
      <c r="B319" s="102" t="str">
        <f>IF(ROW()-6&gt;NumCostCenter,"",IF(CostCenter&lt;&gt;"ALL",CostCenter,DATA_LF2!B317))</f>
        <v/>
      </c>
      <c r="C319" s="153" t="str">
        <f>IF($B319&lt;&gt;"",INDEX(DataOB[],FirstRow+ROW()-7,2),"")</f>
        <v/>
      </c>
      <c r="D319" s="66" t="str">
        <f>IF($B319&lt;&gt;"",INDEX(DataOB[],FirstRow+ROW()-7,3),"")</f>
        <v/>
      </c>
      <c r="E319" s="103" t="str">
        <f>IF($B319&lt;&gt;"",INDEX(DataOB[],FirstRow+ROW()-7,6),"")</f>
        <v/>
      </c>
      <c r="F319" s="103" t="str">
        <f>IF($B319&lt;&gt;"",INDEX(DataOB[],FirstRow+ROW()-7,5),"")</f>
        <v/>
      </c>
      <c r="G319" s="58">
        <f>IF($B319&lt;&gt;"",SUMIFS(DataAct_tbl[AMOUNT],DataAct_tbl[BG CODE],Detail!$D319,DataAct_tbl[MONTH],LEFT(MonthName,3),DataAct_tbl[Dept code],$B319),0)</f>
        <v>0</v>
      </c>
      <c r="H319" s="31" t="str">
        <f t="shared" si="43"/>
        <v/>
      </c>
      <c r="I319" s="28" t="str">
        <f t="shared" si="44"/>
        <v/>
      </c>
      <c r="J319" s="32" t="str">
        <f t="shared" si="45"/>
        <v/>
      </c>
      <c r="K319" s="86"/>
      <c r="L319" s="62">
        <f>IF($B319&lt;&gt;"",SUMIFS(DataAct_tbl[AMOUNT],DataAct_tbl[BG CODE],Detail!$D319,DataAct_tbl[Check Range],"=true",DataAct_tbl[Dept code],$B319),0)</f>
        <v>0</v>
      </c>
      <c r="M319" s="63">
        <f>INDEX($AG$7:$AR$1005,ROW()-6,MATCH(MTD,$AG$6:$AR$6,0))</f>
        <v>0</v>
      </c>
      <c r="N319" s="34">
        <f t="shared" si="46"/>
        <v>0</v>
      </c>
      <c r="O319" s="64" t="str">
        <f t="shared" si="47"/>
        <v xml:space="preserve"> </v>
      </c>
      <c r="Q319" s="97">
        <f t="shared" si="48"/>
        <v>0</v>
      </c>
      <c r="R319" s="96">
        <f t="shared" si="49"/>
        <v>0</v>
      </c>
      <c r="T319" s="67" t="str">
        <f>IF($B319&lt;&gt;"",INDEX(DataOB[],FirstRow+ROW()-7,MATCH(T$6,DataOB[#Headers],0)),"")</f>
        <v/>
      </c>
      <c r="U319" s="67" t="str">
        <f>IF($B319&lt;&gt;"",INDEX(DataOB[],FirstRow+ROW()-7,MATCH(U$6,DataOB[#Headers],0)),"")</f>
        <v/>
      </c>
      <c r="V319" s="67" t="str">
        <f>IF($B319&lt;&gt;"",INDEX(DataOB[],FirstRow+ROW()-7,MATCH(V$6,DataOB[#Headers],0)),"")</f>
        <v/>
      </c>
      <c r="W319" s="67" t="str">
        <f>IF($B319&lt;&gt;"",INDEX(DataOB[],FirstRow+ROW()-7,MATCH(W$6,DataOB[#Headers],0)),"")</f>
        <v/>
      </c>
      <c r="X319" s="67" t="str">
        <f>IF($B319&lt;&gt;"",INDEX(DataOB[],FirstRow+ROW()-7,MATCH(X$6,DataOB[#Headers],0)),"")</f>
        <v/>
      </c>
      <c r="Y319" s="67" t="str">
        <f>IF($B319&lt;&gt;"",INDEX(DataOB[],FirstRow+ROW()-7,MATCH(Y$6,DataOB[#Headers],0)),"")</f>
        <v/>
      </c>
      <c r="Z319" s="67" t="str">
        <f>IF($B319&lt;&gt;"",INDEX(DataOB[],FirstRow+ROW()-7,MATCH(Z$6,DataOB[#Headers],0)),"")</f>
        <v/>
      </c>
      <c r="AA319" s="67" t="str">
        <f>IF($B319&lt;&gt;"",INDEX(DataOB[],FirstRow+ROW()-7,MATCH(AA$6,DataOB[#Headers],0)),"")</f>
        <v/>
      </c>
      <c r="AB319" s="67" t="str">
        <f>IF($B319&lt;&gt;"",INDEX(DataOB[],FirstRow+ROW()-7,MATCH(AB$6,DataOB[#Headers],0)),"")</f>
        <v/>
      </c>
      <c r="AC319" s="67" t="str">
        <f>IF($B319&lt;&gt;"",INDEX(DataOB[],FirstRow+ROW()-7,MATCH(AC$6,DataOB[#Headers],0)),"")</f>
        <v/>
      </c>
      <c r="AD319" s="67" t="str">
        <f>IF($B319&lt;&gt;"",INDEX(DataOB[],FirstRow+ROW()-7,MATCH(AD$6,DataOB[#Headers],0)),"")</f>
        <v/>
      </c>
      <c r="AE319" s="67" t="str">
        <f>IF($B319&lt;&gt;"",INDEX(DataOB[],FirstRow+ROW()-7,MATCH(AE$6,DataOB[#Headers],0)),"")</f>
        <v/>
      </c>
      <c r="AF319" s="26">
        <f t="shared" si="50"/>
        <v>0</v>
      </c>
      <c r="AG319" s="31">
        <f>SUM($T319:T319)</f>
        <v>0</v>
      </c>
      <c r="AH319" s="31">
        <f>SUM($T319:U319)</f>
        <v>0</v>
      </c>
      <c r="AI319" s="31">
        <f>SUM($T319:V319)</f>
        <v>0</v>
      </c>
      <c r="AJ319" s="31">
        <f>SUM($T319:W319)</f>
        <v>0</v>
      </c>
      <c r="AK319" s="31">
        <f>SUM($T319:X319)</f>
        <v>0</v>
      </c>
      <c r="AL319" s="31">
        <f>SUM($T319:Y319)</f>
        <v>0</v>
      </c>
      <c r="AM319" s="31">
        <f>SUM($T319:Z319)</f>
        <v>0</v>
      </c>
      <c r="AN319" s="31">
        <f>SUM($T319:AA319)</f>
        <v>0</v>
      </c>
      <c r="AO319" s="31">
        <f>SUM($T319:AB319)</f>
        <v>0</v>
      </c>
      <c r="AP319" s="31">
        <f>SUM($T319:AC319)</f>
        <v>0</v>
      </c>
      <c r="AQ319" s="31">
        <f>SUM($T319:AD319)</f>
        <v>0</v>
      </c>
      <c r="AR319" s="31">
        <f>SUM($T319:AE319)</f>
        <v>0</v>
      </c>
      <c r="AS319" s="27">
        <f t="shared" si="51"/>
        <v>0</v>
      </c>
    </row>
    <row r="320" spans="2:45">
      <c r="B320" s="102" t="str">
        <f>IF(ROW()-6&gt;NumCostCenter,"",IF(CostCenter&lt;&gt;"ALL",CostCenter,DATA_LF2!B318))</f>
        <v/>
      </c>
      <c r="C320" s="153" t="str">
        <f>IF($B320&lt;&gt;"",INDEX(DataOB[],FirstRow+ROW()-7,2),"")</f>
        <v/>
      </c>
      <c r="D320" s="66" t="str">
        <f>IF($B320&lt;&gt;"",INDEX(DataOB[],FirstRow+ROW()-7,3),"")</f>
        <v/>
      </c>
      <c r="E320" s="103" t="str">
        <f>IF($B320&lt;&gt;"",INDEX(DataOB[],FirstRow+ROW()-7,6),"")</f>
        <v/>
      </c>
      <c r="F320" s="103" t="str">
        <f>IF($B320&lt;&gt;"",INDEX(DataOB[],FirstRow+ROW()-7,5),"")</f>
        <v/>
      </c>
      <c r="G320" s="58">
        <f>IF($B320&lt;&gt;"",SUMIFS(DataAct_tbl[AMOUNT],DataAct_tbl[BG CODE],Detail!$D320,DataAct_tbl[MONTH],LEFT(MonthName,3),DataAct_tbl[Dept code],$B320),0)</f>
        <v>0</v>
      </c>
      <c r="H320" s="31" t="str">
        <f t="shared" si="43"/>
        <v/>
      </c>
      <c r="I320" s="28" t="str">
        <f t="shared" si="44"/>
        <v/>
      </c>
      <c r="J320" s="32" t="str">
        <f t="shared" si="45"/>
        <v/>
      </c>
      <c r="K320" s="86"/>
      <c r="L320" s="62">
        <f>IF($B320&lt;&gt;"",SUMIFS(DataAct_tbl[AMOUNT],DataAct_tbl[BG CODE],Detail!$D320,DataAct_tbl[Check Range],"=true",DataAct_tbl[Dept code],$B320),0)</f>
        <v>0</v>
      </c>
      <c r="M320" s="63">
        <f>INDEX($AG$7:$AR$1005,ROW()-6,MATCH(MTD,$AG$6:$AR$6,0))</f>
        <v>0</v>
      </c>
      <c r="N320" s="34">
        <f t="shared" si="46"/>
        <v>0</v>
      </c>
      <c r="O320" s="64" t="str">
        <f t="shared" si="47"/>
        <v xml:space="preserve"> </v>
      </c>
      <c r="Q320" s="97">
        <f t="shared" si="48"/>
        <v>0</v>
      </c>
      <c r="R320" s="96">
        <f t="shared" si="49"/>
        <v>0</v>
      </c>
      <c r="T320" s="67" t="str">
        <f>IF($B320&lt;&gt;"",INDEX(DataOB[],FirstRow+ROW()-7,MATCH(T$6,DataOB[#Headers],0)),"")</f>
        <v/>
      </c>
      <c r="U320" s="67" t="str">
        <f>IF($B320&lt;&gt;"",INDEX(DataOB[],FirstRow+ROW()-7,MATCH(U$6,DataOB[#Headers],0)),"")</f>
        <v/>
      </c>
      <c r="V320" s="67" t="str">
        <f>IF($B320&lt;&gt;"",INDEX(DataOB[],FirstRow+ROW()-7,MATCH(V$6,DataOB[#Headers],0)),"")</f>
        <v/>
      </c>
      <c r="W320" s="67" t="str">
        <f>IF($B320&lt;&gt;"",INDEX(DataOB[],FirstRow+ROW()-7,MATCH(W$6,DataOB[#Headers],0)),"")</f>
        <v/>
      </c>
      <c r="X320" s="67" t="str">
        <f>IF($B320&lt;&gt;"",INDEX(DataOB[],FirstRow+ROW()-7,MATCH(X$6,DataOB[#Headers],0)),"")</f>
        <v/>
      </c>
      <c r="Y320" s="67" t="str">
        <f>IF($B320&lt;&gt;"",INDEX(DataOB[],FirstRow+ROW()-7,MATCH(Y$6,DataOB[#Headers],0)),"")</f>
        <v/>
      </c>
      <c r="Z320" s="67" t="str">
        <f>IF($B320&lt;&gt;"",INDEX(DataOB[],FirstRow+ROW()-7,MATCH(Z$6,DataOB[#Headers],0)),"")</f>
        <v/>
      </c>
      <c r="AA320" s="67" t="str">
        <f>IF($B320&lt;&gt;"",INDEX(DataOB[],FirstRow+ROW()-7,MATCH(AA$6,DataOB[#Headers],0)),"")</f>
        <v/>
      </c>
      <c r="AB320" s="67" t="str">
        <f>IF($B320&lt;&gt;"",INDEX(DataOB[],FirstRow+ROW()-7,MATCH(AB$6,DataOB[#Headers],0)),"")</f>
        <v/>
      </c>
      <c r="AC320" s="67" t="str">
        <f>IF($B320&lt;&gt;"",INDEX(DataOB[],FirstRow+ROW()-7,MATCH(AC$6,DataOB[#Headers],0)),"")</f>
        <v/>
      </c>
      <c r="AD320" s="67" t="str">
        <f>IF($B320&lt;&gt;"",INDEX(DataOB[],FirstRow+ROW()-7,MATCH(AD$6,DataOB[#Headers],0)),"")</f>
        <v/>
      </c>
      <c r="AE320" s="67" t="str">
        <f>IF($B320&lt;&gt;"",INDEX(DataOB[],FirstRow+ROW()-7,MATCH(AE$6,DataOB[#Headers],0)),"")</f>
        <v/>
      </c>
      <c r="AF320" s="26">
        <f t="shared" si="50"/>
        <v>0</v>
      </c>
      <c r="AG320" s="31">
        <f>SUM($T320:T320)</f>
        <v>0</v>
      </c>
      <c r="AH320" s="31">
        <f>SUM($T320:U320)</f>
        <v>0</v>
      </c>
      <c r="AI320" s="31">
        <f>SUM($T320:V320)</f>
        <v>0</v>
      </c>
      <c r="AJ320" s="31">
        <f>SUM($T320:W320)</f>
        <v>0</v>
      </c>
      <c r="AK320" s="31">
        <f>SUM($T320:X320)</f>
        <v>0</v>
      </c>
      <c r="AL320" s="31">
        <f>SUM($T320:Y320)</f>
        <v>0</v>
      </c>
      <c r="AM320" s="31">
        <f>SUM($T320:Z320)</f>
        <v>0</v>
      </c>
      <c r="AN320" s="31">
        <f>SUM($T320:AA320)</f>
        <v>0</v>
      </c>
      <c r="AO320" s="31">
        <f>SUM($T320:AB320)</f>
        <v>0</v>
      </c>
      <c r="AP320" s="31">
        <f>SUM($T320:AC320)</f>
        <v>0</v>
      </c>
      <c r="AQ320" s="31">
        <f>SUM($T320:AD320)</f>
        <v>0</v>
      </c>
      <c r="AR320" s="31">
        <f>SUM($T320:AE320)</f>
        <v>0</v>
      </c>
      <c r="AS320" s="27">
        <f t="shared" si="51"/>
        <v>0</v>
      </c>
    </row>
    <row r="321" spans="2:45">
      <c r="B321" s="102" t="str">
        <f>IF(ROW()-6&gt;NumCostCenter,"",IF(CostCenter&lt;&gt;"ALL",CostCenter,DATA_LF2!B319))</f>
        <v/>
      </c>
      <c r="C321" s="153" t="str">
        <f>IF($B321&lt;&gt;"",INDEX(DataOB[],FirstRow+ROW()-7,2),"")</f>
        <v/>
      </c>
      <c r="D321" s="66" t="str">
        <f>IF($B321&lt;&gt;"",INDEX(DataOB[],FirstRow+ROW()-7,3),"")</f>
        <v/>
      </c>
      <c r="E321" s="103" t="str">
        <f>IF($B321&lt;&gt;"",INDEX(DataOB[],FirstRow+ROW()-7,6),"")</f>
        <v/>
      </c>
      <c r="F321" s="103" t="str">
        <f>IF($B321&lt;&gt;"",INDEX(DataOB[],FirstRow+ROW()-7,5),"")</f>
        <v/>
      </c>
      <c r="G321" s="58">
        <f>IF($B321&lt;&gt;"",SUMIFS(DataAct_tbl[AMOUNT],DataAct_tbl[BG CODE],Detail!$D321,DataAct_tbl[MONTH],LEFT(MonthName,3),DataAct_tbl[Dept code],$B321),0)</f>
        <v>0</v>
      </c>
      <c r="H321" s="31" t="str">
        <f t="shared" si="43"/>
        <v/>
      </c>
      <c r="I321" s="28" t="str">
        <f t="shared" si="44"/>
        <v/>
      </c>
      <c r="J321" s="32" t="str">
        <f t="shared" si="45"/>
        <v/>
      </c>
      <c r="K321" s="86"/>
      <c r="L321" s="62">
        <f>IF($B321&lt;&gt;"",SUMIFS(DataAct_tbl[AMOUNT],DataAct_tbl[BG CODE],Detail!$D321,DataAct_tbl[Check Range],"=true",DataAct_tbl[Dept code],$B321),0)</f>
        <v>0</v>
      </c>
      <c r="M321" s="63">
        <f>INDEX($AG$7:$AR$1005,ROW()-6,MATCH(MTD,$AG$6:$AR$6,0))</f>
        <v>0</v>
      </c>
      <c r="N321" s="34">
        <f t="shared" si="46"/>
        <v>0</v>
      </c>
      <c r="O321" s="64" t="str">
        <f t="shared" si="47"/>
        <v xml:space="preserve"> </v>
      </c>
      <c r="Q321" s="97">
        <f t="shared" si="48"/>
        <v>0</v>
      </c>
      <c r="R321" s="96">
        <f t="shared" si="49"/>
        <v>0</v>
      </c>
      <c r="T321" s="67" t="str">
        <f>IF($B321&lt;&gt;"",INDEX(DataOB[],FirstRow+ROW()-7,MATCH(T$6,DataOB[#Headers],0)),"")</f>
        <v/>
      </c>
      <c r="U321" s="67" t="str">
        <f>IF($B321&lt;&gt;"",INDEX(DataOB[],FirstRow+ROW()-7,MATCH(U$6,DataOB[#Headers],0)),"")</f>
        <v/>
      </c>
      <c r="V321" s="67" t="str">
        <f>IF($B321&lt;&gt;"",INDEX(DataOB[],FirstRow+ROW()-7,MATCH(V$6,DataOB[#Headers],0)),"")</f>
        <v/>
      </c>
      <c r="W321" s="67" t="str">
        <f>IF($B321&lt;&gt;"",INDEX(DataOB[],FirstRow+ROW()-7,MATCH(W$6,DataOB[#Headers],0)),"")</f>
        <v/>
      </c>
      <c r="X321" s="67" t="str">
        <f>IF($B321&lt;&gt;"",INDEX(DataOB[],FirstRow+ROW()-7,MATCH(X$6,DataOB[#Headers],0)),"")</f>
        <v/>
      </c>
      <c r="Y321" s="67" t="str">
        <f>IF($B321&lt;&gt;"",INDEX(DataOB[],FirstRow+ROW()-7,MATCH(Y$6,DataOB[#Headers],0)),"")</f>
        <v/>
      </c>
      <c r="Z321" s="67" t="str">
        <f>IF($B321&lt;&gt;"",INDEX(DataOB[],FirstRow+ROW()-7,MATCH(Z$6,DataOB[#Headers],0)),"")</f>
        <v/>
      </c>
      <c r="AA321" s="67" t="str">
        <f>IF($B321&lt;&gt;"",INDEX(DataOB[],FirstRow+ROW()-7,MATCH(AA$6,DataOB[#Headers],0)),"")</f>
        <v/>
      </c>
      <c r="AB321" s="67" t="str">
        <f>IF($B321&lt;&gt;"",INDEX(DataOB[],FirstRow+ROW()-7,MATCH(AB$6,DataOB[#Headers],0)),"")</f>
        <v/>
      </c>
      <c r="AC321" s="67" t="str">
        <f>IF($B321&lt;&gt;"",INDEX(DataOB[],FirstRow+ROW()-7,MATCH(AC$6,DataOB[#Headers],0)),"")</f>
        <v/>
      </c>
      <c r="AD321" s="67" t="str">
        <f>IF($B321&lt;&gt;"",INDEX(DataOB[],FirstRow+ROW()-7,MATCH(AD$6,DataOB[#Headers],0)),"")</f>
        <v/>
      </c>
      <c r="AE321" s="67" t="str">
        <f>IF($B321&lt;&gt;"",INDEX(DataOB[],FirstRow+ROW()-7,MATCH(AE$6,DataOB[#Headers],0)),"")</f>
        <v/>
      </c>
      <c r="AF321" s="26">
        <f t="shared" si="50"/>
        <v>0</v>
      </c>
      <c r="AG321" s="31">
        <f>SUM($T321:T321)</f>
        <v>0</v>
      </c>
      <c r="AH321" s="31">
        <f>SUM($T321:U321)</f>
        <v>0</v>
      </c>
      <c r="AI321" s="31">
        <f>SUM($T321:V321)</f>
        <v>0</v>
      </c>
      <c r="AJ321" s="31">
        <f>SUM($T321:W321)</f>
        <v>0</v>
      </c>
      <c r="AK321" s="31">
        <f>SUM($T321:X321)</f>
        <v>0</v>
      </c>
      <c r="AL321" s="31">
        <f>SUM($T321:Y321)</f>
        <v>0</v>
      </c>
      <c r="AM321" s="31">
        <f>SUM($T321:Z321)</f>
        <v>0</v>
      </c>
      <c r="AN321" s="31">
        <f>SUM($T321:AA321)</f>
        <v>0</v>
      </c>
      <c r="AO321" s="31">
        <f>SUM($T321:AB321)</f>
        <v>0</v>
      </c>
      <c r="AP321" s="31">
        <f>SUM($T321:AC321)</f>
        <v>0</v>
      </c>
      <c r="AQ321" s="31">
        <f>SUM($T321:AD321)</f>
        <v>0</v>
      </c>
      <c r="AR321" s="31">
        <f>SUM($T321:AE321)</f>
        <v>0</v>
      </c>
      <c r="AS321" s="27">
        <f t="shared" si="51"/>
        <v>0</v>
      </c>
    </row>
    <row r="322" spans="2:45">
      <c r="B322" s="102" t="str">
        <f>IF(ROW()-6&gt;NumCostCenter,"",IF(CostCenter&lt;&gt;"ALL",CostCenter,DATA_LF2!B320))</f>
        <v/>
      </c>
      <c r="C322" s="153" t="str">
        <f>IF($B322&lt;&gt;"",INDEX(DataOB[],FirstRow+ROW()-7,2),"")</f>
        <v/>
      </c>
      <c r="D322" s="66" t="str">
        <f>IF($B322&lt;&gt;"",INDEX(DataOB[],FirstRow+ROW()-7,3),"")</f>
        <v/>
      </c>
      <c r="E322" s="103" t="str">
        <f>IF($B322&lt;&gt;"",INDEX(DataOB[],FirstRow+ROW()-7,6),"")</f>
        <v/>
      </c>
      <c r="F322" s="103" t="str">
        <f>IF($B322&lt;&gt;"",INDEX(DataOB[],FirstRow+ROW()-7,5),"")</f>
        <v/>
      </c>
      <c r="G322" s="58">
        <f>IF($B322&lt;&gt;"",SUMIFS(DataAct_tbl[AMOUNT],DataAct_tbl[BG CODE],Detail!$D322,DataAct_tbl[MONTH],LEFT(MonthName,3),DataAct_tbl[Dept code],$B322),0)</f>
        <v>0</v>
      </c>
      <c r="H322" s="31" t="str">
        <f t="shared" si="43"/>
        <v/>
      </c>
      <c r="I322" s="28" t="str">
        <f t="shared" si="44"/>
        <v/>
      </c>
      <c r="J322" s="32" t="str">
        <f t="shared" si="45"/>
        <v/>
      </c>
      <c r="K322" s="86"/>
      <c r="L322" s="62">
        <f>IF($B322&lt;&gt;"",SUMIFS(DataAct_tbl[AMOUNT],DataAct_tbl[BG CODE],Detail!$D322,DataAct_tbl[Check Range],"=true",DataAct_tbl[Dept code],$B322),0)</f>
        <v>0</v>
      </c>
      <c r="M322" s="63">
        <f>INDEX($AG$7:$AR$1005,ROW()-6,MATCH(MTD,$AG$6:$AR$6,0))</f>
        <v>0</v>
      </c>
      <c r="N322" s="34">
        <f t="shared" si="46"/>
        <v>0</v>
      </c>
      <c r="O322" s="64" t="str">
        <f t="shared" si="47"/>
        <v xml:space="preserve"> </v>
      </c>
      <c r="Q322" s="97">
        <f t="shared" si="48"/>
        <v>0</v>
      </c>
      <c r="R322" s="96">
        <f t="shared" si="49"/>
        <v>0</v>
      </c>
      <c r="T322" s="67" t="str">
        <f>IF($B322&lt;&gt;"",INDEX(DataOB[],FirstRow+ROW()-7,MATCH(T$6,DataOB[#Headers],0)),"")</f>
        <v/>
      </c>
      <c r="U322" s="67" t="str">
        <f>IF($B322&lt;&gt;"",INDEX(DataOB[],FirstRow+ROW()-7,MATCH(U$6,DataOB[#Headers],0)),"")</f>
        <v/>
      </c>
      <c r="V322" s="67" t="str">
        <f>IF($B322&lt;&gt;"",INDEX(DataOB[],FirstRow+ROW()-7,MATCH(V$6,DataOB[#Headers],0)),"")</f>
        <v/>
      </c>
      <c r="W322" s="67" t="str">
        <f>IF($B322&lt;&gt;"",INDEX(DataOB[],FirstRow+ROW()-7,MATCH(W$6,DataOB[#Headers],0)),"")</f>
        <v/>
      </c>
      <c r="X322" s="67" t="str">
        <f>IF($B322&lt;&gt;"",INDEX(DataOB[],FirstRow+ROW()-7,MATCH(X$6,DataOB[#Headers],0)),"")</f>
        <v/>
      </c>
      <c r="Y322" s="67" t="str">
        <f>IF($B322&lt;&gt;"",INDEX(DataOB[],FirstRow+ROW()-7,MATCH(Y$6,DataOB[#Headers],0)),"")</f>
        <v/>
      </c>
      <c r="Z322" s="67" t="str">
        <f>IF($B322&lt;&gt;"",INDEX(DataOB[],FirstRow+ROW()-7,MATCH(Z$6,DataOB[#Headers],0)),"")</f>
        <v/>
      </c>
      <c r="AA322" s="67" t="str">
        <f>IF($B322&lt;&gt;"",INDEX(DataOB[],FirstRow+ROW()-7,MATCH(AA$6,DataOB[#Headers],0)),"")</f>
        <v/>
      </c>
      <c r="AB322" s="67" t="str">
        <f>IF($B322&lt;&gt;"",INDEX(DataOB[],FirstRow+ROW()-7,MATCH(AB$6,DataOB[#Headers],0)),"")</f>
        <v/>
      </c>
      <c r="AC322" s="67" t="str">
        <f>IF($B322&lt;&gt;"",INDEX(DataOB[],FirstRow+ROW()-7,MATCH(AC$6,DataOB[#Headers],0)),"")</f>
        <v/>
      </c>
      <c r="AD322" s="67" t="str">
        <f>IF($B322&lt;&gt;"",INDEX(DataOB[],FirstRow+ROW()-7,MATCH(AD$6,DataOB[#Headers],0)),"")</f>
        <v/>
      </c>
      <c r="AE322" s="67" t="str">
        <f>IF($B322&lt;&gt;"",INDEX(DataOB[],FirstRow+ROW()-7,MATCH(AE$6,DataOB[#Headers],0)),"")</f>
        <v/>
      </c>
      <c r="AF322" s="26">
        <f t="shared" si="50"/>
        <v>0</v>
      </c>
      <c r="AG322" s="31">
        <f>SUM($T322:T322)</f>
        <v>0</v>
      </c>
      <c r="AH322" s="31">
        <f>SUM($T322:U322)</f>
        <v>0</v>
      </c>
      <c r="AI322" s="31">
        <f>SUM($T322:V322)</f>
        <v>0</v>
      </c>
      <c r="AJ322" s="31">
        <f>SUM($T322:W322)</f>
        <v>0</v>
      </c>
      <c r="AK322" s="31">
        <f>SUM($T322:X322)</f>
        <v>0</v>
      </c>
      <c r="AL322" s="31">
        <f>SUM($T322:Y322)</f>
        <v>0</v>
      </c>
      <c r="AM322" s="31">
        <f>SUM($T322:Z322)</f>
        <v>0</v>
      </c>
      <c r="AN322" s="31">
        <f>SUM($T322:AA322)</f>
        <v>0</v>
      </c>
      <c r="AO322" s="31">
        <f>SUM($T322:AB322)</f>
        <v>0</v>
      </c>
      <c r="AP322" s="31">
        <f>SUM($T322:AC322)</f>
        <v>0</v>
      </c>
      <c r="AQ322" s="31">
        <f>SUM($T322:AD322)</f>
        <v>0</v>
      </c>
      <c r="AR322" s="31">
        <f>SUM($T322:AE322)</f>
        <v>0</v>
      </c>
      <c r="AS322" s="27">
        <f t="shared" si="51"/>
        <v>0</v>
      </c>
    </row>
    <row r="323" spans="2:45">
      <c r="B323" s="102" t="str">
        <f>IF(ROW()-6&gt;NumCostCenter,"",IF(CostCenter&lt;&gt;"ALL",CostCenter,DATA_LF2!B321))</f>
        <v/>
      </c>
      <c r="C323" s="153" t="str">
        <f>IF($B323&lt;&gt;"",INDEX(DataOB[],FirstRow+ROW()-7,2),"")</f>
        <v/>
      </c>
      <c r="D323" s="66" t="str">
        <f>IF($B323&lt;&gt;"",INDEX(DataOB[],FirstRow+ROW()-7,3),"")</f>
        <v/>
      </c>
      <c r="E323" s="103" t="str">
        <f>IF($B323&lt;&gt;"",INDEX(DataOB[],FirstRow+ROW()-7,6),"")</f>
        <v/>
      </c>
      <c r="F323" s="103" t="str">
        <f>IF($B323&lt;&gt;"",INDEX(DataOB[],FirstRow+ROW()-7,5),"")</f>
        <v/>
      </c>
      <c r="G323" s="58">
        <f>IF($B323&lt;&gt;"",SUMIFS(DataAct_tbl[AMOUNT],DataAct_tbl[BG CODE],Detail!$D323,DataAct_tbl[MONTH],LEFT(MonthName,3),DataAct_tbl[Dept code],$B323),0)</f>
        <v>0</v>
      </c>
      <c r="H323" s="31" t="str">
        <f t="shared" si="43"/>
        <v/>
      </c>
      <c r="I323" s="28" t="str">
        <f t="shared" si="44"/>
        <v/>
      </c>
      <c r="J323" s="32" t="str">
        <f t="shared" si="45"/>
        <v/>
      </c>
      <c r="K323" s="86"/>
      <c r="L323" s="62">
        <f>IF($B323&lt;&gt;"",SUMIFS(DataAct_tbl[AMOUNT],DataAct_tbl[BG CODE],Detail!$D323,DataAct_tbl[Check Range],"=true",DataAct_tbl[Dept code],$B323),0)</f>
        <v>0</v>
      </c>
      <c r="M323" s="63">
        <f>INDEX($AG$7:$AR$1005,ROW()-6,MATCH(MTD,$AG$6:$AR$6,0))</f>
        <v>0</v>
      </c>
      <c r="N323" s="34">
        <f t="shared" si="46"/>
        <v>0</v>
      </c>
      <c r="O323" s="64" t="str">
        <f t="shared" si="47"/>
        <v xml:space="preserve"> </v>
      </c>
      <c r="Q323" s="97">
        <f t="shared" si="48"/>
        <v>0</v>
      </c>
      <c r="R323" s="96">
        <f t="shared" si="49"/>
        <v>0</v>
      </c>
      <c r="T323" s="67" t="str">
        <f>IF($B323&lt;&gt;"",INDEX(DataOB[],FirstRow+ROW()-7,MATCH(T$6,DataOB[#Headers],0)),"")</f>
        <v/>
      </c>
      <c r="U323" s="67" t="str">
        <f>IF($B323&lt;&gt;"",INDEX(DataOB[],FirstRow+ROW()-7,MATCH(U$6,DataOB[#Headers],0)),"")</f>
        <v/>
      </c>
      <c r="V323" s="67" t="str">
        <f>IF($B323&lt;&gt;"",INDEX(DataOB[],FirstRow+ROW()-7,MATCH(V$6,DataOB[#Headers],0)),"")</f>
        <v/>
      </c>
      <c r="W323" s="67" t="str">
        <f>IF($B323&lt;&gt;"",INDEX(DataOB[],FirstRow+ROW()-7,MATCH(W$6,DataOB[#Headers],0)),"")</f>
        <v/>
      </c>
      <c r="X323" s="67" t="str">
        <f>IF($B323&lt;&gt;"",INDEX(DataOB[],FirstRow+ROW()-7,MATCH(X$6,DataOB[#Headers],0)),"")</f>
        <v/>
      </c>
      <c r="Y323" s="67" t="str">
        <f>IF($B323&lt;&gt;"",INDEX(DataOB[],FirstRow+ROW()-7,MATCH(Y$6,DataOB[#Headers],0)),"")</f>
        <v/>
      </c>
      <c r="Z323" s="67" t="str">
        <f>IF($B323&lt;&gt;"",INDEX(DataOB[],FirstRow+ROW()-7,MATCH(Z$6,DataOB[#Headers],0)),"")</f>
        <v/>
      </c>
      <c r="AA323" s="67" t="str">
        <f>IF($B323&lt;&gt;"",INDEX(DataOB[],FirstRow+ROW()-7,MATCH(AA$6,DataOB[#Headers],0)),"")</f>
        <v/>
      </c>
      <c r="AB323" s="67" t="str">
        <f>IF($B323&lt;&gt;"",INDEX(DataOB[],FirstRow+ROW()-7,MATCH(AB$6,DataOB[#Headers],0)),"")</f>
        <v/>
      </c>
      <c r="AC323" s="67" t="str">
        <f>IF($B323&lt;&gt;"",INDEX(DataOB[],FirstRow+ROW()-7,MATCH(AC$6,DataOB[#Headers],0)),"")</f>
        <v/>
      </c>
      <c r="AD323" s="67" t="str">
        <f>IF($B323&lt;&gt;"",INDEX(DataOB[],FirstRow+ROW()-7,MATCH(AD$6,DataOB[#Headers],0)),"")</f>
        <v/>
      </c>
      <c r="AE323" s="67" t="str">
        <f>IF($B323&lt;&gt;"",INDEX(DataOB[],FirstRow+ROW()-7,MATCH(AE$6,DataOB[#Headers],0)),"")</f>
        <v/>
      </c>
      <c r="AF323" s="26">
        <f t="shared" si="50"/>
        <v>0</v>
      </c>
      <c r="AG323" s="31">
        <f>SUM($T323:T323)</f>
        <v>0</v>
      </c>
      <c r="AH323" s="31">
        <f>SUM($T323:U323)</f>
        <v>0</v>
      </c>
      <c r="AI323" s="31">
        <f>SUM($T323:V323)</f>
        <v>0</v>
      </c>
      <c r="AJ323" s="31">
        <f>SUM($T323:W323)</f>
        <v>0</v>
      </c>
      <c r="AK323" s="31">
        <f>SUM($T323:X323)</f>
        <v>0</v>
      </c>
      <c r="AL323" s="31">
        <f>SUM($T323:Y323)</f>
        <v>0</v>
      </c>
      <c r="AM323" s="31">
        <f>SUM($T323:Z323)</f>
        <v>0</v>
      </c>
      <c r="AN323" s="31">
        <f>SUM($T323:AA323)</f>
        <v>0</v>
      </c>
      <c r="AO323" s="31">
        <f>SUM($T323:AB323)</f>
        <v>0</v>
      </c>
      <c r="AP323" s="31">
        <f>SUM($T323:AC323)</f>
        <v>0</v>
      </c>
      <c r="AQ323" s="31">
        <f>SUM($T323:AD323)</f>
        <v>0</v>
      </c>
      <c r="AR323" s="31">
        <f>SUM($T323:AE323)</f>
        <v>0</v>
      </c>
      <c r="AS323" s="27">
        <f t="shared" si="51"/>
        <v>0</v>
      </c>
    </row>
    <row r="324" spans="2:45">
      <c r="B324" s="102" t="str">
        <f>IF(ROW()-6&gt;NumCostCenter,"",IF(CostCenter&lt;&gt;"ALL",CostCenter,DATA_LF2!B322))</f>
        <v/>
      </c>
      <c r="C324" s="153" t="str">
        <f>IF($B324&lt;&gt;"",INDEX(DataOB[],FirstRow+ROW()-7,2),"")</f>
        <v/>
      </c>
      <c r="D324" s="66" t="str">
        <f>IF($B324&lt;&gt;"",INDEX(DataOB[],FirstRow+ROW()-7,3),"")</f>
        <v/>
      </c>
      <c r="E324" s="103" t="str">
        <f>IF($B324&lt;&gt;"",INDEX(DataOB[],FirstRow+ROW()-7,6),"")</f>
        <v/>
      </c>
      <c r="F324" s="103" t="str">
        <f>IF($B324&lt;&gt;"",INDEX(DataOB[],FirstRow+ROW()-7,5),"")</f>
        <v/>
      </c>
      <c r="G324" s="58">
        <f>IF($B324&lt;&gt;"",SUMIFS(DataAct_tbl[AMOUNT],DataAct_tbl[BG CODE],Detail!$D324,DataAct_tbl[MONTH],LEFT(MonthName,3),DataAct_tbl[Dept code],$B324),0)</f>
        <v>0</v>
      </c>
      <c r="H324" s="31" t="str">
        <f t="shared" si="43"/>
        <v/>
      </c>
      <c r="I324" s="28" t="str">
        <f t="shared" si="44"/>
        <v/>
      </c>
      <c r="J324" s="32" t="str">
        <f t="shared" si="45"/>
        <v/>
      </c>
      <c r="K324" s="86"/>
      <c r="L324" s="62">
        <f>IF($B324&lt;&gt;"",SUMIFS(DataAct_tbl[AMOUNT],DataAct_tbl[BG CODE],Detail!$D324,DataAct_tbl[Check Range],"=true",DataAct_tbl[Dept code],$B324),0)</f>
        <v>0</v>
      </c>
      <c r="M324" s="63">
        <f>INDEX($AG$7:$AR$1005,ROW()-6,MATCH(MTD,$AG$6:$AR$6,0))</f>
        <v>0</v>
      </c>
      <c r="N324" s="34">
        <f t="shared" si="46"/>
        <v>0</v>
      </c>
      <c r="O324" s="64" t="str">
        <f t="shared" si="47"/>
        <v xml:space="preserve"> </v>
      </c>
      <c r="Q324" s="97">
        <f t="shared" si="48"/>
        <v>0</v>
      </c>
      <c r="R324" s="96">
        <f t="shared" si="49"/>
        <v>0</v>
      </c>
      <c r="T324" s="67" t="str">
        <f>IF($B324&lt;&gt;"",INDEX(DataOB[],FirstRow+ROW()-7,MATCH(T$6,DataOB[#Headers],0)),"")</f>
        <v/>
      </c>
      <c r="U324" s="67" t="str">
        <f>IF($B324&lt;&gt;"",INDEX(DataOB[],FirstRow+ROW()-7,MATCH(U$6,DataOB[#Headers],0)),"")</f>
        <v/>
      </c>
      <c r="V324" s="67" t="str">
        <f>IF($B324&lt;&gt;"",INDEX(DataOB[],FirstRow+ROW()-7,MATCH(V$6,DataOB[#Headers],0)),"")</f>
        <v/>
      </c>
      <c r="W324" s="67" t="str">
        <f>IF($B324&lt;&gt;"",INDEX(DataOB[],FirstRow+ROW()-7,MATCH(W$6,DataOB[#Headers],0)),"")</f>
        <v/>
      </c>
      <c r="X324" s="67" t="str">
        <f>IF($B324&lt;&gt;"",INDEX(DataOB[],FirstRow+ROW()-7,MATCH(X$6,DataOB[#Headers],0)),"")</f>
        <v/>
      </c>
      <c r="Y324" s="67" t="str">
        <f>IF($B324&lt;&gt;"",INDEX(DataOB[],FirstRow+ROW()-7,MATCH(Y$6,DataOB[#Headers],0)),"")</f>
        <v/>
      </c>
      <c r="Z324" s="67" t="str">
        <f>IF($B324&lt;&gt;"",INDEX(DataOB[],FirstRow+ROW()-7,MATCH(Z$6,DataOB[#Headers],0)),"")</f>
        <v/>
      </c>
      <c r="AA324" s="67" t="str">
        <f>IF($B324&lt;&gt;"",INDEX(DataOB[],FirstRow+ROW()-7,MATCH(AA$6,DataOB[#Headers],0)),"")</f>
        <v/>
      </c>
      <c r="AB324" s="67" t="str">
        <f>IF($B324&lt;&gt;"",INDEX(DataOB[],FirstRow+ROW()-7,MATCH(AB$6,DataOB[#Headers],0)),"")</f>
        <v/>
      </c>
      <c r="AC324" s="67" t="str">
        <f>IF($B324&lt;&gt;"",INDEX(DataOB[],FirstRow+ROW()-7,MATCH(AC$6,DataOB[#Headers],0)),"")</f>
        <v/>
      </c>
      <c r="AD324" s="67" t="str">
        <f>IF($B324&lt;&gt;"",INDEX(DataOB[],FirstRow+ROW()-7,MATCH(AD$6,DataOB[#Headers],0)),"")</f>
        <v/>
      </c>
      <c r="AE324" s="67" t="str">
        <f>IF($B324&lt;&gt;"",INDEX(DataOB[],FirstRow+ROW()-7,MATCH(AE$6,DataOB[#Headers],0)),"")</f>
        <v/>
      </c>
      <c r="AF324" s="26">
        <f t="shared" si="50"/>
        <v>0</v>
      </c>
      <c r="AG324" s="31">
        <f>SUM($T324:T324)</f>
        <v>0</v>
      </c>
      <c r="AH324" s="31">
        <f>SUM($T324:U324)</f>
        <v>0</v>
      </c>
      <c r="AI324" s="31">
        <f>SUM($T324:V324)</f>
        <v>0</v>
      </c>
      <c r="AJ324" s="31">
        <f>SUM($T324:W324)</f>
        <v>0</v>
      </c>
      <c r="AK324" s="31">
        <f>SUM($T324:X324)</f>
        <v>0</v>
      </c>
      <c r="AL324" s="31">
        <f>SUM($T324:Y324)</f>
        <v>0</v>
      </c>
      <c r="AM324" s="31">
        <f>SUM($T324:Z324)</f>
        <v>0</v>
      </c>
      <c r="AN324" s="31">
        <f>SUM($T324:AA324)</f>
        <v>0</v>
      </c>
      <c r="AO324" s="31">
        <f>SUM($T324:AB324)</f>
        <v>0</v>
      </c>
      <c r="AP324" s="31">
        <f>SUM($T324:AC324)</f>
        <v>0</v>
      </c>
      <c r="AQ324" s="31">
        <f>SUM($T324:AD324)</f>
        <v>0</v>
      </c>
      <c r="AR324" s="31">
        <f>SUM($T324:AE324)</f>
        <v>0</v>
      </c>
      <c r="AS324" s="27">
        <f t="shared" si="51"/>
        <v>0</v>
      </c>
    </row>
    <row r="325" spans="2:45">
      <c r="B325" s="102" t="str">
        <f>IF(ROW()-6&gt;NumCostCenter,"",IF(CostCenter&lt;&gt;"ALL",CostCenter,DATA_LF2!B323))</f>
        <v/>
      </c>
      <c r="C325" s="153" t="str">
        <f>IF($B325&lt;&gt;"",INDEX(DataOB[],FirstRow+ROW()-7,2),"")</f>
        <v/>
      </c>
      <c r="D325" s="66" t="str">
        <f>IF($B325&lt;&gt;"",INDEX(DataOB[],FirstRow+ROW()-7,3),"")</f>
        <v/>
      </c>
      <c r="E325" s="103" t="str">
        <f>IF($B325&lt;&gt;"",INDEX(DataOB[],FirstRow+ROW()-7,6),"")</f>
        <v/>
      </c>
      <c r="F325" s="103" t="str">
        <f>IF($B325&lt;&gt;"",INDEX(DataOB[],FirstRow+ROW()-7,5),"")</f>
        <v/>
      </c>
      <c r="G325" s="58">
        <f>IF($B325&lt;&gt;"",SUMIFS(DataAct_tbl[AMOUNT],DataAct_tbl[BG CODE],Detail!$D325,DataAct_tbl[MONTH],LEFT(MonthName,3),DataAct_tbl[Dept code],$B325),0)</f>
        <v>0</v>
      </c>
      <c r="H325" s="31" t="str">
        <f t="shared" si="43"/>
        <v/>
      </c>
      <c r="I325" s="28" t="str">
        <f t="shared" si="44"/>
        <v/>
      </c>
      <c r="J325" s="32" t="str">
        <f t="shared" si="45"/>
        <v/>
      </c>
      <c r="K325" s="86"/>
      <c r="L325" s="62">
        <f>IF($B325&lt;&gt;"",SUMIFS(DataAct_tbl[AMOUNT],DataAct_tbl[BG CODE],Detail!$D325,DataAct_tbl[Check Range],"=true",DataAct_tbl[Dept code],$B325),0)</f>
        <v>0</v>
      </c>
      <c r="M325" s="63">
        <f>INDEX($AG$7:$AR$1005,ROW()-6,MATCH(MTD,$AG$6:$AR$6,0))</f>
        <v>0</v>
      </c>
      <c r="N325" s="34">
        <f t="shared" si="46"/>
        <v>0</v>
      </c>
      <c r="O325" s="64" t="str">
        <f t="shared" si="47"/>
        <v xml:space="preserve"> </v>
      </c>
      <c r="Q325" s="97">
        <f t="shared" si="48"/>
        <v>0</v>
      </c>
      <c r="R325" s="96">
        <f t="shared" si="49"/>
        <v>0</v>
      </c>
      <c r="T325" s="67" t="str">
        <f>IF($B325&lt;&gt;"",INDEX(DataOB[],FirstRow+ROW()-7,MATCH(T$6,DataOB[#Headers],0)),"")</f>
        <v/>
      </c>
      <c r="U325" s="67" t="str">
        <f>IF($B325&lt;&gt;"",INDEX(DataOB[],FirstRow+ROW()-7,MATCH(U$6,DataOB[#Headers],0)),"")</f>
        <v/>
      </c>
      <c r="V325" s="67" t="str">
        <f>IF($B325&lt;&gt;"",INDEX(DataOB[],FirstRow+ROW()-7,MATCH(V$6,DataOB[#Headers],0)),"")</f>
        <v/>
      </c>
      <c r="W325" s="67" t="str">
        <f>IF($B325&lt;&gt;"",INDEX(DataOB[],FirstRow+ROW()-7,MATCH(W$6,DataOB[#Headers],0)),"")</f>
        <v/>
      </c>
      <c r="X325" s="67" t="str">
        <f>IF($B325&lt;&gt;"",INDEX(DataOB[],FirstRow+ROW()-7,MATCH(X$6,DataOB[#Headers],0)),"")</f>
        <v/>
      </c>
      <c r="Y325" s="67" t="str">
        <f>IF($B325&lt;&gt;"",INDEX(DataOB[],FirstRow+ROW()-7,MATCH(Y$6,DataOB[#Headers],0)),"")</f>
        <v/>
      </c>
      <c r="Z325" s="67" t="str">
        <f>IF($B325&lt;&gt;"",INDEX(DataOB[],FirstRow+ROW()-7,MATCH(Z$6,DataOB[#Headers],0)),"")</f>
        <v/>
      </c>
      <c r="AA325" s="67" t="str">
        <f>IF($B325&lt;&gt;"",INDEX(DataOB[],FirstRow+ROW()-7,MATCH(AA$6,DataOB[#Headers],0)),"")</f>
        <v/>
      </c>
      <c r="AB325" s="67" t="str">
        <f>IF($B325&lt;&gt;"",INDEX(DataOB[],FirstRow+ROW()-7,MATCH(AB$6,DataOB[#Headers],0)),"")</f>
        <v/>
      </c>
      <c r="AC325" s="67" t="str">
        <f>IF($B325&lt;&gt;"",INDEX(DataOB[],FirstRow+ROW()-7,MATCH(AC$6,DataOB[#Headers],0)),"")</f>
        <v/>
      </c>
      <c r="AD325" s="67" t="str">
        <f>IF($B325&lt;&gt;"",INDEX(DataOB[],FirstRow+ROW()-7,MATCH(AD$6,DataOB[#Headers],0)),"")</f>
        <v/>
      </c>
      <c r="AE325" s="67" t="str">
        <f>IF($B325&lt;&gt;"",INDEX(DataOB[],FirstRow+ROW()-7,MATCH(AE$6,DataOB[#Headers],0)),"")</f>
        <v/>
      </c>
      <c r="AF325" s="26">
        <f t="shared" si="50"/>
        <v>0</v>
      </c>
      <c r="AG325" s="31">
        <f>SUM($T325:T325)</f>
        <v>0</v>
      </c>
      <c r="AH325" s="31">
        <f>SUM($T325:U325)</f>
        <v>0</v>
      </c>
      <c r="AI325" s="31">
        <f>SUM($T325:V325)</f>
        <v>0</v>
      </c>
      <c r="AJ325" s="31">
        <f>SUM($T325:W325)</f>
        <v>0</v>
      </c>
      <c r="AK325" s="31">
        <f>SUM($T325:X325)</f>
        <v>0</v>
      </c>
      <c r="AL325" s="31">
        <f>SUM($T325:Y325)</f>
        <v>0</v>
      </c>
      <c r="AM325" s="31">
        <f>SUM($T325:Z325)</f>
        <v>0</v>
      </c>
      <c r="AN325" s="31">
        <f>SUM($T325:AA325)</f>
        <v>0</v>
      </c>
      <c r="AO325" s="31">
        <f>SUM($T325:AB325)</f>
        <v>0</v>
      </c>
      <c r="AP325" s="31">
        <f>SUM($T325:AC325)</f>
        <v>0</v>
      </c>
      <c r="AQ325" s="31">
        <f>SUM($T325:AD325)</f>
        <v>0</v>
      </c>
      <c r="AR325" s="31">
        <f>SUM($T325:AE325)</f>
        <v>0</v>
      </c>
      <c r="AS325" s="27">
        <f t="shared" si="51"/>
        <v>0</v>
      </c>
    </row>
    <row r="326" spans="2:45">
      <c r="B326" s="102" t="str">
        <f>IF(ROW()-6&gt;NumCostCenter,"",IF(CostCenter&lt;&gt;"ALL",CostCenter,DATA_LF2!B324))</f>
        <v/>
      </c>
      <c r="C326" s="153" t="str">
        <f>IF($B326&lt;&gt;"",INDEX(DataOB[],FirstRow+ROW()-7,2),"")</f>
        <v/>
      </c>
      <c r="D326" s="66" t="str">
        <f>IF($B326&lt;&gt;"",INDEX(DataOB[],FirstRow+ROW()-7,3),"")</f>
        <v/>
      </c>
      <c r="E326" s="103" t="str">
        <f>IF($B326&lt;&gt;"",INDEX(DataOB[],FirstRow+ROW()-7,6),"")</f>
        <v/>
      </c>
      <c r="F326" s="103" t="str">
        <f>IF($B326&lt;&gt;"",INDEX(DataOB[],FirstRow+ROW()-7,5),"")</f>
        <v/>
      </c>
      <c r="G326" s="58">
        <f>IF($B326&lt;&gt;"",SUMIFS(DataAct_tbl[AMOUNT],DataAct_tbl[BG CODE],Detail!$D326,DataAct_tbl[MONTH],LEFT(MonthName,3),DataAct_tbl[Dept code],$B326),0)</f>
        <v>0</v>
      </c>
      <c r="H326" s="31" t="str">
        <f t="shared" si="43"/>
        <v/>
      </c>
      <c r="I326" s="28" t="str">
        <f t="shared" si="44"/>
        <v/>
      </c>
      <c r="J326" s="32" t="str">
        <f t="shared" si="45"/>
        <v/>
      </c>
      <c r="K326" s="86"/>
      <c r="L326" s="62">
        <f>IF($B326&lt;&gt;"",SUMIFS(DataAct_tbl[AMOUNT],DataAct_tbl[BG CODE],Detail!$D326,DataAct_tbl[Check Range],"=true",DataAct_tbl[Dept code],$B326),0)</f>
        <v>0</v>
      </c>
      <c r="M326" s="63">
        <f>INDEX($AG$7:$AR$1005,ROW()-6,MATCH(MTD,$AG$6:$AR$6,0))</f>
        <v>0</v>
      </c>
      <c r="N326" s="34">
        <f t="shared" si="46"/>
        <v>0</v>
      </c>
      <c r="O326" s="64" t="str">
        <f t="shared" si="47"/>
        <v xml:space="preserve"> </v>
      </c>
      <c r="Q326" s="97">
        <f t="shared" si="48"/>
        <v>0</v>
      </c>
      <c r="R326" s="96">
        <f t="shared" si="49"/>
        <v>0</v>
      </c>
      <c r="T326" s="67" t="str">
        <f>IF($B326&lt;&gt;"",INDEX(DataOB[],FirstRow+ROW()-7,MATCH(T$6,DataOB[#Headers],0)),"")</f>
        <v/>
      </c>
      <c r="U326" s="67" t="str">
        <f>IF($B326&lt;&gt;"",INDEX(DataOB[],FirstRow+ROW()-7,MATCH(U$6,DataOB[#Headers],0)),"")</f>
        <v/>
      </c>
      <c r="V326" s="67" t="str">
        <f>IF($B326&lt;&gt;"",INDEX(DataOB[],FirstRow+ROW()-7,MATCH(V$6,DataOB[#Headers],0)),"")</f>
        <v/>
      </c>
      <c r="W326" s="67" t="str">
        <f>IF($B326&lt;&gt;"",INDEX(DataOB[],FirstRow+ROW()-7,MATCH(W$6,DataOB[#Headers],0)),"")</f>
        <v/>
      </c>
      <c r="X326" s="67" t="str">
        <f>IF($B326&lt;&gt;"",INDEX(DataOB[],FirstRow+ROW()-7,MATCH(X$6,DataOB[#Headers],0)),"")</f>
        <v/>
      </c>
      <c r="Y326" s="67" t="str">
        <f>IF($B326&lt;&gt;"",INDEX(DataOB[],FirstRow+ROW()-7,MATCH(Y$6,DataOB[#Headers],0)),"")</f>
        <v/>
      </c>
      <c r="Z326" s="67" t="str">
        <f>IF($B326&lt;&gt;"",INDEX(DataOB[],FirstRow+ROW()-7,MATCH(Z$6,DataOB[#Headers],0)),"")</f>
        <v/>
      </c>
      <c r="AA326" s="67" t="str">
        <f>IF($B326&lt;&gt;"",INDEX(DataOB[],FirstRow+ROW()-7,MATCH(AA$6,DataOB[#Headers],0)),"")</f>
        <v/>
      </c>
      <c r="AB326" s="67" t="str">
        <f>IF($B326&lt;&gt;"",INDEX(DataOB[],FirstRow+ROW()-7,MATCH(AB$6,DataOB[#Headers],0)),"")</f>
        <v/>
      </c>
      <c r="AC326" s="67" t="str">
        <f>IF($B326&lt;&gt;"",INDEX(DataOB[],FirstRow+ROW()-7,MATCH(AC$6,DataOB[#Headers],0)),"")</f>
        <v/>
      </c>
      <c r="AD326" s="67" t="str">
        <f>IF($B326&lt;&gt;"",INDEX(DataOB[],FirstRow+ROW()-7,MATCH(AD$6,DataOB[#Headers],0)),"")</f>
        <v/>
      </c>
      <c r="AE326" s="67" t="str">
        <f>IF($B326&lt;&gt;"",INDEX(DataOB[],FirstRow+ROW()-7,MATCH(AE$6,DataOB[#Headers],0)),"")</f>
        <v/>
      </c>
      <c r="AF326" s="26">
        <f t="shared" si="50"/>
        <v>0</v>
      </c>
      <c r="AG326" s="31">
        <f>SUM($T326:T326)</f>
        <v>0</v>
      </c>
      <c r="AH326" s="31">
        <f>SUM($T326:U326)</f>
        <v>0</v>
      </c>
      <c r="AI326" s="31">
        <f>SUM($T326:V326)</f>
        <v>0</v>
      </c>
      <c r="AJ326" s="31">
        <f>SUM($T326:W326)</f>
        <v>0</v>
      </c>
      <c r="AK326" s="31">
        <f>SUM($T326:X326)</f>
        <v>0</v>
      </c>
      <c r="AL326" s="31">
        <f>SUM($T326:Y326)</f>
        <v>0</v>
      </c>
      <c r="AM326" s="31">
        <f>SUM($T326:Z326)</f>
        <v>0</v>
      </c>
      <c r="AN326" s="31">
        <f>SUM($T326:AA326)</f>
        <v>0</v>
      </c>
      <c r="AO326" s="31">
        <f>SUM($T326:AB326)</f>
        <v>0</v>
      </c>
      <c r="AP326" s="31">
        <f>SUM($T326:AC326)</f>
        <v>0</v>
      </c>
      <c r="AQ326" s="31">
        <f>SUM($T326:AD326)</f>
        <v>0</v>
      </c>
      <c r="AR326" s="31">
        <f>SUM($T326:AE326)</f>
        <v>0</v>
      </c>
      <c r="AS326" s="27">
        <f t="shared" si="51"/>
        <v>0</v>
      </c>
    </row>
    <row r="327" spans="2:45">
      <c r="B327" s="102" t="str">
        <f>IF(ROW()-6&gt;NumCostCenter,"",IF(CostCenter&lt;&gt;"ALL",CostCenter,DATA_LF2!B325))</f>
        <v/>
      </c>
      <c r="C327" s="153" t="str">
        <f>IF($B327&lt;&gt;"",INDEX(DataOB[],FirstRow+ROW()-7,2),"")</f>
        <v/>
      </c>
      <c r="D327" s="66" t="str">
        <f>IF($B327&lt;&gt;"",INDEX(DataOB[],FirstRow+ROW()-7,3),"")</f>
        <v/>
      </c>
      <c r="E327" s="103" t="str">
        <f>IF($B327&lt;&gt;"",INDEX(DataOB[],FirstRow+ROW()-7,6),"")</f>
        <v/>
      </c>
      <c r="F327" s="103" t="str">
        <f>IF($B327&lt;&gt;"",INDEX(DataOB[],FirstRow+ROW()-7,5),"")</f>
        <v/>
      </c>
      <c r="G327" s="58">
        <f>IF($B327&lt;&gt;"",SUMIFS(DataAct_tbl[AMOUNT],DataAct_tbl[BG CODE],Detail!$D327,DataAct_tbl[MONTH],LEFT(MonthName,3),DataAct_tbl[Dept code],$B327),0)</f>
        <v>0</v>
      </c>
      <c r="H327" s="31" t="str">
        <f t="shared" ref="H327:H390" si="52">INDEX($T$7:$AE$1005,ROW()-6,MATCH(MonthName,$T$6:$AE$6,0))</f>
        <v/>
      </c>
      <c r="I327" s="28" t="str">
        <f t="shared" si="44"/>
        <v/>
      </c>
      <c r="J327" s="32" t="str">
        <f t="shared" si="45"/>
        <v/>
      </c>
      <c r="K327" s="86"/>
      <c r="L327" s="62">
        <f>IF($B327&lt;&gt;"",SUMIFS(DataAct_tbl[AMOUNT],DataAct_tbl[BG CODE],Detail!$D327,DataAct_tbl[Check Range],"=true",DataAct_tbl[Dept code],$B327),0)</f>
        <v>0</v>
      </c>
      <c r="M327" s="63">
        <f>INDEX($AG$7:$AR$1005,ROW()-6,MATCH(MTD,$AG$6:$AR$6,0))</f>
        <v>0</v>
      </c>
      <c r="N327" s="34">
        <f t="shared" si="46"/>
        <v>0</v>
      </c>
      <c r="O327" s="64" t="str">
        <f t="shared" si="47"/>
        <v xml:space="preserve"> </v>
      </c>
      <c r="Q327" s="97">
        <f t="shared" si="48"/>
        <v>0</v>
      </c>
      <c r="R327" s="96">
        <f t="shared" si="49"/>
        <v>0</v>
      </c>
      <c r="T327" s="67" t="str">
        <f>IF($B327&lt;&gt;"",INDEX(DataOB[],FirstRow+ROW()-7,MATCH(T$6,DataOB[#Headers],0)),"")</f>
        <v/>
      </c>
      <c r="U327" s="67" t="str">
        <f>IF($B327&lt;&gt;"",INDEX(DataOB[],FirstRow+ROW()-7,MATCH(U$6,DataOB[#Headers],0)),"")</f>
        <v/>
      </c>
      <c r="V327" s="67" t="str">
        <f>IF($B327&lt;&gt;"",INDEX(DataOB[],FirstRow+ROW()-7,MATCH(V$6,DataOB[#Headers],0)),"")</f>
        <v/>
      </c>
      <c r="W327" s="67" t="str">
        <f>IF($B327&lt;&gt;"",INDEX(DataOB[],FirstRow+ROW()-7,MATCH(W$6,DataOB[#Headers],0)),"")</f>
        <v/>
      </c>
      <c r="X327" s="67" t="str">
        <f>IF($B327&lt;&gt;"",INDEX(DataOB[],FirstRow+ROW()-7,MATCH(X$6,DataOB[#Headers],0)),"")</f>
        <v/>
      </c>
      <c r="Y327" s="67" t="str">
        <f>IF($B327&lt;&gt;"",INDEX(DataOB[],FirstRow+ROW()-7,MATCH(Y$6,DataOB[#Headers],0)),"")</f>
        <v/>
      </c>
      <c r="Z327" s="67" t="str">
        <f>IF($B327&lt;&gt;"",INDEX(DataOB[],FirstRow+ROW()-7,MATCH(Z$6,DataOB[#Headers],0)),"")</f>
        <v/>
      </c>
      <c r="AA327" s="67" t="str">
        <f>IF($B327&lt;&gt;"",INDEX(DataOB[],FirstRow+ROW()-7,MATCH(AA$6,DataOB[#Headers],0)),"")</f>
        <v/>
      </c>
      <c r="AB327" s="67" t="str">
        <f>IF($B327&lt;&gt;"",INDEX(DataOB[],FirstRow+ROW()-7,MATCH(AB$6,DataOB[#Headers],0)),"")</f>
        <v/>
      </c>
      <c r="AC327" s="67" t="str">
        <f>IF($B327&lt;&gt;"",INDEX(DataOB[],FirstRow+ROW()-7,MATCH(AC$6,DataOB[#Headers],0)),"")</f>
        <v/>
      </c>
      <c r="AD327" s="67" t="str">
        <f>IF($B327&lt;&gt;"",INDEX(DataOB[],FirstRow+ROW()-7,MATCH(AD$6,DataOB[#Headers],0)),"")</f>
        <v/>
      </c>
      <c r="AE327" s="67" t="str">
        <f>IF($B327&lt;&gt;"",INDEX(DataOB[],FirstRow+ROW()-7,MATCH(AE$6,DataOB[#Headers],0)),"")</f>
        <v/>
      </c>
      <c r="AF327" s="26">
        <f t="shared" si="50"/>
        <v>0</v>
      </c>
      <c r="AG327" s="31">
        <f>SUM($T327:T327)</f>
        <v>0</v>
      </c>
      <c r="AH327" s="31">
        <f>SUM($T327:U327)</f>
        <v>0</v>
      </c>
      <c r="AI327" s="31">
        <f>SUM($T327:V327)</f>
        <v>0</v>
      </c>
      <c r="AJ327" s="31">
        <f>SUM($T327:W327)</f>
        <v>0</v>
      </c>
      <c r="AK327" s="31">
        <f>SUM($T327:X327)</f>
        <v>0</v>
      </c>
      <c r="AL327" s="31">
        <f>SUM($T327:Y327)</f>
        <v>0</v>
      </c>
      <c r="AM327" s="31">
        <f>SUM($T327:Z327)</f>
        <v>0</v>
      </c>
      <c r="AN327" s="31">
        <f>SUM($T327:AA327)</f>
        <v>0</v>
      </c>
      <c r="AO327" s="31">
        <f>SUM($T327:AB327)</f>
        <v>0</v>
      </c>
      <c r="AP327" s="31">
        <f>SUM($T327:AC327)</f>
        <v>0</v>
      </c>
      <c r="AQ327" s="31">
        <f>SUM($T327:AD327)</f>
        <v>0</v>
      </c>
      <c r="AR327" s="31">
        <f>SUM($T327:AE327)</f>
        <v>0</v>
      </c>
      <c r="AS327" s="27">
        <f t="shared" si="51"/>
        <v>0</v>
      </c>
    </row>
    <row r="328" spans="2:45">
      <c r="B328" s="102" t="str">
        <f>IF(ROW()-6&gt;NumCostCenter,"",IF(CostCenter&lt;&gt;"ALL",CostCenter,DATA_LF2!B326))</f>
        <v/>
      </c>
      <c r="C328" s="153" t="str">
        <f>IF($B328&lt;&gt;"",INDEX(DataOB[],FirstRow+ROW()-7,2),"")</f>
        <v/>
      </c>
      <c r="D328" s="66" t="str">
        <f>IF($B328&lt;&gt;"",INDEX(DataOB[],FirstRow+ROW()-7,3),"")</f>
        <v/>
      </c>
      <c r="E328" s="103" t="str">
        <f>IF($B328&lt;&gt;"",INDEX(DataOB[],FirstRow+ROW()-7,6),"")</f>
        <v/>
      </c>
      <c r="F328" s="103" t="str">
        <f>IF($B328&lt;&gt;"",INDEX(DataOB[],FirstRow+ROW()-7,5),"")</f>
        <v/>
      </c>
      <c r="G328" s="58">
        <f>IF($B328&lt;&gt;"",SUMIFS(DataAct_tbl[AMOUNT],DataAct_tbl[BG CODE],Detail!$D328,DataAct_tbl[MONTH],LEFT(MonthName,3),DataAct_tbl[Dept code],$B328),0)</f>
        <v>0</v>
      </c>
      <c r="H328" s="31" t="str">
        <f t="shared" si="52"/>
        <v/>
      </c>
      <c r="I328" s="28" t="str">
        <f t="shared" ref="I328:I391" si="53">IFERROR(+G328-H328,"")</f>
        <v/>
      </c>
      <c r="J328" s="32" t="str">
        <f t="shared" ref="J328:J391" si="54">IFERROR(+IF(H328&gt;0,G328/H328," "),"")</f>
        <v/>
      </c>
      <c r="K328" s="86"/>
      <c r="L328" s="62">
        <f>IF($B328&lt;&gt;"",SUMIFS(DataAct_tbl[AMOUNT],DataAct_tbl[BG CODE],Detail!$D328,DataAct_tbl[Check Range],"=true",DataAct_tbl[Dept code],$B328),0)</f>
        <v>0</v>
      </c>
      <c r="M328" s="63">
        <f>INDEX($AG$7:$AR$1005,ROW()-6,MATCH(MTD,$AG$6:$AR$6,0))</f>
        <v>0</v>
      </c>
      <c r="N328" s="34">
        <f t="shared" ref="N328:N391" si="55">IFERROR(+L328-M328,"")</f>
        <v>0</v>
      </c>
      <c r="O328" s="64" t="str">
        <f t="shared" ref="O328:O391" si="56">IFERROR(+IF(M328&gt;0,L328/M328," "),"")</f>
        <v xml:space="preserve"> </v>
      </c>
      <c r="Q328" s="97">
        <f t="shared" ref="Q328:Q391" si="57">AF328</f>
        <v>0</v>
      </c>
      <c r="R328" s="96">
        <f t="shared" ref="R328:R391" si="58">Q328-L328</f>
        <v>0</v>
      </c>
      <c r="T328" s="67" t="str">
        <f>IF($B328&lt;&gt;"",INDEX(DataOB[],FirstRow+ROW()-7,MATCH(T$6,DataOB[#Headers],0)),"")</f>
        <v/>
      </c>
      <c r="U328" s="67" t="str">
        <f>IF($B328&lt;&gt;"",INDEX(DataOB[],FirstRow+ROW()-7,MATCH(U$6,DataOB[#Headers],0)),"")</f>
        <v/>
      </c>
      <c r="V328" s="67" t="str">
        <f>IF($B328&lt;&gt;"",INDEX(DataOB[],FirstRow+ROW()-7,MATCH(V$6,DataOB[#Headers],0)),"")</f>
        <v/>
      </c>
      <c r="W328" s="67" t="str">
        <f>IF($B328&lt;&gt;"",INDEX(DataOB[],FirstRow+ROW()-7,MATCH(W$6,DataOB[#Headers],0)),"")</f>
        <v/>
      </c>
      <c r="X328" s="67" t="str">
        <f>IF($B328&lt;&gt;"",INDEX(DataOB[],FirstRow+ROW()-7,MATCH(X$6,DataOB[#Headers],0)),"")</f>
        <v/>
      </c>
      <c r="Y328" s="67" t="str">
        <f>IF($B328&lt;&gt;"",INDEX(DataOB[],FirstRow+ROW()-7,MATCH(Y$6,DataOB[#Headers],0)),"")</f>
        <v/>
      </c>
      <c r="Z328" s="67" t="str">
        <f>IF($B328&lt;&gt;"",INDEX(DataOB[],FirstRow+ROW()-7,MATCH(Z$6,DataOB[#Headers],0)),"")</f>
        <v/>
      </c>
      <c r="AA328" s="67" t="str">
        <f>IF($B328&lt;&gt;"",INDEX(DataOB[],FirstRow+ROW()-7,MATCH(AA$6,DataOB[#Headers],0)),"")</f>
        <v/>
      </c>
      <c r="AB328" s="67" t="str">
        <f>IF($B328&lt;&gt;"",INDEX(DataOB[],FirstRow+ROW()-7,MATCH(AB$6,DataOB[#Headers],0)),"")</f>
        <v/>
      </c>
      <c r="AC328" s="67" t="str">
        <f>IF($B328&lt;&gt;"",INDEX(DataOB[],FirstRow+ROW()-7,MATCH(AC$6,DataOB[#Headers],0)),"")</f>
        <v/>
      </c>
      <c r="AD328" s="67" t="str">
        <f>IF($B328&lt;&gt;"",INDEX(DataOB[],FirstRow+ROW()-7,MATCH(AD$6,DataOB[#Headers],0)),"")</f>
        <v/>
      </c>
      <c r="AE328" s="67" t="str">
        <f>IF($B328&lt;&gt;"",INDEX(DataOB[],FirstRow+ROW()-7,MATCH(AE$6,DataOB[#Headers],0)),"")</f>
        <v/>
      </c>
      <c r="AF328" s="26">
        <f t="shared" ref="AF328:AF391" si="59">+SUM(T328:AE328)</f>
        <v>0</v>
      </c>
      <c r="AG328" s="31">
        <f>SUM($T328:T328)</f>
        <v>0</v>
      </c>
      <c r="AH328" s="31">
        <f>SUM($T328:U328)</f>
        <v>0</v>
      </c>
      <c r="AI328" s="31">
        <f>SUM($T328:V328)</f>
        <v>0</v>
      </c>
      <c r="AJ328" s="31">
        <f>SUM($T328:W328)</f>
        <v>0</v>
      </c>
      <c r="AK328" s="31">
        <f>SUM($T328:X328)</f>
        <v>0</v>
      </c>
      <c r="AL328" s="31">
        <f>SUM($T328:Y328)</f>
        <v>0</v>
      </c>
      <c r="AM328" s="31">
        <f>SUM($T328:Z328)</f>
        <v>0</v>
      </c>
      <c r="AN328" s="31">
        <f>SUM($T328:AA328)</f>
        <v>0</v>
      </c>
      <c r="AO328" s="31">
        <f>SUM($T328:AB328)</f>
        <v>0</v>
      </c>
      <c r="AP328" s="31">
        <f>SUM($T328:AC328)</f>
        <v>0</v>
      </c>
      <c r="AQ328" s="31">
        <f>SUM($T328:AD328)</f>
        <v>0</v>
      </c>
      <c r="AR328" s="31">
        <f>SUM($T328:AE328)</f>
        <v>0</v>
      </c>
      <c r="AS328" s="27">
        <f t="shared" ref="AS328:AS391" si="60">AF328-AR328</f>
        <v>0</v>
      </c>
    </row>
    <row r="329" spans="2:45">
      <c r="B329" s="102" t="str">
        <f>IF(ROW()-6&gt;NumCostCenter,"",IF(CostCenter&lt;&gt;"ALL",CostCenter,DATA_LF2!B327))</f>
        <v/>
      </c>
      <c r="C329" s="153" t="str">
        <f>IF($B329&lt;&gt;"",INDEX(DataOB[],FirstRow+ROW()-7,2),"")</f>
        <v/>
      </c>
      <c r="D329" s="66" t="str">
        <f>IF($B329&lt;&gt;"",INDEX(DataOB[],FirstRow+ROW()-7,3),"")</f>
        <v/>
      </c>
      <c r="E329" s="103" t="str">
        <f>IF($B329&lt;&gt;"",INDEX(DataOB[],FirstRow+ROW()-7,6),"")</f>
        <v/>
      </c>
      <c r="F329" s="103" t="str">
        <f>IF($B329&lt;&gt;"",INDEX(DataOB[],FirstRow+ROW()-7,5),"")</f>
        <v/>
      </c>
      <c r="G329" s="58">
        <f>IF($B329&lt;&gt;"",SUMIFS(DataAct_tbl[AMOUNT],DataAct_tbl[BG CODE],Detail!$D329,DataAct_tbl[MONTH],LEFT(MonthName,3),DataAct_tbl[Dept code],$B329),0)</f>
        <v>0</v>
      </c>
      <c r="H329" s="31" t="str">
        <f t="shared" si="52"/>
        <v/>
      </c>
      <c r="I329" s="28" t="str">
        <f t="shared" si="53"/>
        <v/>
      </c>
      <c r="J329" s="32" t="str">
        <f t="shared" si="54"/>
        <v/>
      </c>
      <c r="K329" s="86"/>
      <c r="L329" s="62">
        <f>IF($B329&lt;&gt;"",SUMIFS(DataAct_tbl[AMOUNT],DataAct_tbl[BG CODE],Detail!$D329,DataAct_tbl[Check Range],"=true",DataAct_tbl[Dept code],$B329),0)</f>
        <v>0</v>
      </c>
      <c r="M329" s="63">
        <f>INDEX($AG$7:$AR$1005,ROW()-6,MATCH(MTD,$AG$6:$AR$6,0))</f>
        <v>0</v>
      </c>
      <c r="N329" s="34">
        <f t="shared" si="55"/>
        <v>0</v>
      </c>
      <c r="O329" s="64" t="str">
        <f t="shared" si="56"/>
        <v xml:space="preserve"> </v>
      </c>
      <c r="Q329" s="97">
        <f t="shared" si="57"/>
        <v>0</v>
      </c>
      <c r="R329" s="96">
        <f t="shared" si="58"/>
        <v>0</v>
      </c>
      <c r="T329" s="67" t="str">
        <f>IF($B329&lt;&gt;"",INDEX(DataOB[],FirstRow+ROW()-7,MATCH(T$6,DataOB[#Headers],0)),"")</f>
        <v/>
      </c>
      <c r="U329" s="67" t="str">
        <f>IF($B329&lt;&gt;"",INDEX(DataOB[],FirstRow+ROW()-7,MATCH(U$6,DataOB[#Headers],0)),"")</f>
        <v/>
      </c>
      <c r="V329" s="67" t="str">
        <f>IF($B329&lt;&gt;"",INDEX(DataOB[],FirstRow+ROW()-7,MATCH(V$6,DataOB[#Headers],0)),"")</f>
        <v/>
      </c>
      <c r="W329" s="67" t="str">
        <f>IF($B329&lt;&gt;"",INDEX(DataOB[],FirstRow+ROW()-7,MATCH(W$6,DataOB[#Headers],0)),"")</f>
        <v/>
      </c>
      <c r="X329" s="67" t="str">
        <f>IF($B329&lt;&gt;"",INDEX(DataOB[],FirstRow+ROW()-7,MATCH(X$6,DataOB[#Headers],0)),"")</f>
        <v/>
      </c>
      <c r="Y329" s="67" t="str">
        <f>IF($B329&lt;&gt;"",INDEX(DataOB[],FirstRow+ROW()-7,MATCH(Y$6,DataOB[#Headers],0)),"")</f>
        <v/>
      </c>
      <c r="Z329" s="67" t="str">
        <f>IF($B329&lt;&gt;"",INDEX(DataOB[],FirstRow+ROW()-7,MATCH(Z$6,DataOB[#Headers],0)),"")</f>
        <v/>
      </c>
      <c r="AA329" s="67" t="str">
        <f>IF($B329&lt;&gt;"",INDEX(DataOB[],FirstRow+ROW()-7,MATCH(AA$6,DataOB[#Headers],0)),"")</f>
        <v/>
      </c>
      <c r="AB329" s="67" t="str">
        <f>IF($B329&lt;&gt;"",INDEX(DataOB[],FirstRow+ROW()-7,MATCH(AB$6,DataOB[#Headers],0)),"")</f>
        <v/>
      </c>
      <c r="AC329" s="67" t="str">
        <f>IF($B329&lt;&gt;"",INDEX(DataOB[],FirstRow+ROW()-7,MATCH(AC$6,DataOB[#Headers],0)),"")</f>
        <v/>
      </c>
      <c r="AD329" s="67" t="str">
        <f>IF($B329&lt;&gt;"",INDEX(DataOB[],FirstRow+ROW()-7,MATCH(AD$6,DataOB[#Headers],0)),"")</f>
        <v/>
      </c>
      <c r="AE329" s="67" t="str">
        <f>IF($B329&lt;&gt;"",INDEX(DataOB[],FirstRow+ROW()-7,MATCH(AE$6,DataOB[#Headers],0)),"")</f>
        <v/>
      </c>
      <c r="AF329" s="26">
        <f t="shared" si="59"/>
        <v>0</v>
      </c>
      <c r="AG329" s="31">
        <f>SUM($T329:T329)</f>
        <v>0</v>
      </c>
      <c r="AH329" s="31">
        <f>SUM($T329:U329)</f>
        <v>0</v>
      </c>
      <c r="AI329" s="31">
        <f>SUM($T329:V329)</f>
        <v>0</v>
      </c>
      <c r="AJ329" s="31">
        <f>SUM($T329:W329)</f>
        <v>0</v>
      </c>
      <c r="AK329" s="31">
        <f>SUM($T329:X329)</f>
        <v>0</v>
      </c>
      <c r="AL329" s="31">
        <f>SUM($T329:Y329)</f>
        <v>0</v>
      </c>
      <c r="AM329" s="31">
        <f>SUM($T329:Z329)</f>
        <v>0</v>
      </c>
      <c r="AN329" s="31">
        <f>SUM($T329:AA329)</f>
        <v>0</v>
      </c>
      <c r="AO329" s="31">
        <f>SUM($T329:AB329)</f>
        <v>0</v>
      </c>
      <c r="AP329" s="31">
        <f>SUM($T329:AC329)</f>
        <v>0</v>
      </c>
      <c r="AQ329" s="31">
        <f>SUM($T329:AD329)</f>
        <v>0</v>
      </c>
      <c r="AR329" s="31">
        <f>SUM($T329:AE329)</f>
        <v>0</v>
      </c>
      <c r="AS329" s="27">
        <f t="shared" si="60"/>
        <v>0</v>
      </c>
    </row>
    <row r="330" spans="2:45">
      <c r="B330" s="102" t="str">
        <f>IF(ROW()-6&gt;NumCostCenter,"",IF(CostCenter&lt;&gt;"ALL",CostCenter,DATA_LF2!B328))</f>
        <v/>
      </c>
      <c r="C330" s="153" t="str">
        <f>IF($B330&lt;&gt;"",INDEX(DataOB[],FirstRow+ROW()-7,2),"")</f>
        <v/>
      </c>
      <c r="D330" s="66" t="str">
        <f>IF($B330&lt;&gt;"",INDEX(DataOB[],FirstRow+ROW()-7,3),"")</f>
        <v/>
      </c>
      <c r="E330" s="103" t="str">
        <f>IF($B330&lt;&gt;"",INDEX(DataOB[],FirstRow+ROW()-7,6),"")</f>
        <v/>
      </c>
      <c r="F330" s="103" t="str">
        <f>IF($B330&lt;&gt;"",INDEX(DataOB[],FirstRow+ROW()-7,5),"")</f>
        <v/>
      </c>
      <c r="G330" s="58">
        <f>IF($B330&lt;&gt;"",SUMIFS(DataAct_tbl[AMOUNT],DataAct_tbl[BG CODE],Detail!$D330,DataAct_tbl[MONTH],LEFT(MonthName,3),DataAct_tbl[Dept code],$B330),0)</f>
        <v>0</v>
      </c>
      <c r="H330" s="31" t="str">
        <f t="shared" si="52"/>
        <v/>
      </c>
      <c r="I330" s="28" t="str">
        <f t="shared" si="53"/>
        <v/>
      </c>
      <c r="J330" s="32" t="str">
        <f t="shared" si="54"/>
        <v/>
      </c>
      <c r="K330" s="86"/>
      <c r="L330" s="62">
        <f>IF($B330&lt;&gt;"",SUMIFS(DataAct_tbl[AMOUNT],DataAct_tbl[BG CODE],Detail!$D330,DataAct_tbl[Check Range],"=true",DataAct_tbl[Dept code],$B330),0)</f>
        <v>0</v>
      </c>
      <c r="M330" s="63">
        <f>INDEX($AG$7:$AR$1005,ROW()-6,MATCH(MTD,$AG$6:$AR$6,0))</f>
        <v>0</v>
      </c>
      <c r="N330" s="34">
        <f t="shared" si="55"/>
        <v>0</v>
      </c>
      <c r="O330" s="64" t="str">
        <f t="shared" si="56"/>
        <v xml:space="preserve"> </v>
      </c>
      <c r="Q330" s="97">
        <f t="shared" si="57"/>
        <v>0</v>
      </c>
      <c r="R330" s="96">
        <f t="shared" si="58"/>
        <v>0</v>
      </c>
      <c r="T330" s="67" t="str">
        <f>IF($B330&lt;&gt;"",INDEX(DataOB[],FirstRow+ROW()-7,MATCH(T$6,DataOB[#Headers],0)),"")</f>
        <v/>
      </c>
      <c r="U330" s="67" t="str">
        <f>IF($B330&lt;&gt;"",INDEX(DataOB[],FirstRow+ROW()-7,MATCH(U$6,DataOB[#Headers],0)),"")</f>
        <v/>
      </c>
      <c r="V330" s="67" t="str">
        <f>IF($B330&lt;&gt;"",INDEX(DataOB[],FirstRow+ROW()-7,MATCH(V$6,DataOB[#Headers],0)),"")</f>
        <v/>
      </c>
      <c r="W330" s="67" t="str">
        <f>IF($B330&lt;&gt;"",INDEX(DataOB[],FirstRow+ROW()-7,MATCH(W$6,DataOB[#Headers],0)),"")</f>
        <v/>
      </c>
      <c r="X330" s="67" t="str">
        <f>IF($B330&lt;&gt;"",INDEX(DataOB[],FirstRow+ROW()-7,MATCH(X$6,DataOB[#Headers],0)),"")</f>
        <v/>
      </c>
      <c r="Y330" s="67" t="str">
        <f>IF($B330&lt;&gt;"",INDEX(DataOB[],FirstRow+ROW()-7,MATCH(Y$6,DataOB[#Headers],0)),"")</f>
        <v/>
      </c>
      <c r="Z330" s="67" t="str">
        <f>IF($B330&lt;&gt;"",INDEX(DataOB[],FirstRow+ROW()-7,MATCH(Z$6,DataOB[#Headers],0)),"")</f>
        <v/>
      </c>
      <c r="AA330" s="67" t="str">
        <f>IF($B330&lt;&gt;"",INDEX(DataOB[],FirstRow+ROW()-7,MATCH(AA$6,DataOB[#Headers],0)),"")</f>
        <v/>
      </c>
      <c r="AB330" s="67" t="str">
        <f>IF($B330&lt;&gt;"",INDEX(DataOB[],FirstRow+ROW()-7,MATCH(AB$6,DataOB[#Headers],0)),"")</f>
        <v/>
      </c>
      <c r="AC330" s="67" t="str">
        <f>IF($B330&lt;&gt;"",INDEX(DataOB[],FirstRow+ROW()-7,MATCH(AC$6,DataOB[#Headers],0)),"")</f>
        <v/>
      </c>
      <c r="AD330" s="67" t="str">
        <f>IF($B330&lt;&gt;"",INDEX(DataOB[],FirstRow+ROW()-7,MATCH(AD$6,DataOB[#Headers],0)),"")</f>
        <v/>
      </c>
      <c r="AE330" s="67" t="str">
        <f>IF($B330&lt;&gt;"",INDEX(DataOB[],FirstRow+ROW()-7,MATCH(AE$6,DataOB[#Headers],0)),"")</f>
        <v/>
      </c>
      <c r="AF330" s="26">
        <f t="shared" si="59"/>
        <v>0</v>
      </c>
      <c r="AG330" s="31">
        <f>SUM($T330:T330)</f>
        <v>0</v>
      </c>
      <c r="AH330" s="31">
        <f>SUM($T330:U330)</f>
        <v>0</v>
      </c>
      <c r="AI330" s="31">
        <f>SUM($T330:V330)</f>
        <v>0</v>
      </c>
      <c r="AJ330" s="31">
        <f>SUM($T330:W330)</f>
        <v>0</v>
      </c>
      <c r="AK330" s="31">
        <f>SUM($T330:X330)</f>
        <v>0</v>
      </c>
      <c r="AL330" s="31">
        <f>SUM($T330:Y330)</f>
        <v>0</v>
      </c>
      <c r="AM330" s="31">
        <f>SUM($T330:Z330)</f>
        <v>0</v>
      </c>
      <c r="AN330" s="31">
        <f>SUM($T330:AA330)</f>
        <v>0</v>
      </c>
      <c r="AO330" s="31">
        <f>SUM($T330:AB330)</f>
        <v>0</v>
      </c>
      <c r="AP330" s="31">
        <f>SUM($T330:AC330)</f>
        <v>0</v>
      </c>
      <c r="AQ330" s="31">
        <f>SUM($T330:AD330)</f>
        <v>0</v>
      </c>
      <c r="AR330" s="31">
        <f>SUM($T330:AE330)</f>
        <v>0</v>
      </c>
      <c r="AS330" s="27">
        <f t="shared" si="60"/>
        <v>0</v>
      </c>
    </row>
    <row r="331" spans="2:45">
      <c r="B331" s="102" t="str">
        <f>IF(ROW()-6&gt;NumCostCenter,"",IF(CostCenter&lt;&gt;"ALL",CostCenter,DATA_LF2!B329))</f>
        <v/>
      </c>
      <c r="C331" s="153" t="str">
        <f>IF($B331&lt;&gt;"",INDEX(DataOB[],FirstRow+ROW()-7,2),"")</f>
        <v/>
      </c>
      <c r="D331" s="66" t="str">
        <f>IF($B331&lt;&gt;"",INDEX(DataOB[],FirstRow+ROW()-7,3),"")</f>
        <v/>
      </c>
      <c r="E331" s="103" t="str">
        <f>IF($B331&lt;&gt;"",INDEX(DataOB[],FirstRow+ROW()-7,6),"")</f>
        <v/>
      </c>
      <c r="F331" s="103" t="str">
        <f>IF($B331&lt;&gt;"",INDEX(DataOB[],FirstRow+ROW()-7,5),"")</f>
        <v/>
      </c>
      <c r="G331" s="58">
        <f>IF($B331&lt;&gt;"",SUMIFS(DataAct_tbl[AMOUNT],DataAct_tbl[BG CODE],Detail!$D331,DataAct_tbl[MONTH],LEFT(MonthName,3),DataAct_tbl[Dept code],$B331),0)</f>
        <v>0</v>
      </c>
      <c r="H331" s="31" t="str">
        <f t="shared" si="52"/>
        <v/>
      </c>
      <c r="I331" s="28" t="str">
        <f t="shared" si="53"/>
        <v/>
      </c>
      <c r="J331" s="32" t="str">
        <f t="shared" si="54"/>
        <v/>
      </c>
      <c r="K331" s="86"/>
      <c r="L331" s="62">
        <f>IF($B331&lt;&gt;"",SUMIFS(DataAct_tbl[AMOUNT],DataAct_tbl[BG CODE],Detail!$D331,DataAct_tbl[Check Range],"=true",DataAct_tbl[Dept code],$B331),0)</f>
        <v>0</v>
      </c>
      <c r="M331" s="63">
        <f>INDEX($AG$7:$AR$1005,ROW()-6,MATCH(MTD,$AG$6:$AR$6,0))</f>
        <v>0</v>
      </c>
      <c r="N331" s="34">
        <f t="shared" si="55"/>
        <v>0</v>
      </c>
      <c r="O331" s="64" t="str">
        <f t="shared" si="56"/>
        <v xml:space="preserve"> </v>
      </c>
      <c r="Q331" s="97">
        <f t="shared" si="57"/>
        <v>0</v>
      </c>
      <c r="R331" s="96">
        <f t="shared" si="58"/>
        <v>0</v>
      </c>
      <c r="T331" s="67" t="str">
        <f>IF($B331&lt;&gt;"",INDEX(DataOB[],FirstRow+ROW()-7,MATCH(T$6,DataOB[#Headers],0)),"")</f>
        <v/>
      </c>
      <c r="U331" s="67" t="str">
        <f>IF($B331&lt;&gt;"",INDEX(DataOB[],FirstRow+ROW()-7,MATCH(U$6,DataOB[#Headers],0)),"")</f>
        <v/>
      </c>
      <c r="V331" s="67" t="str">
        <f>IF($B331&lt;&gt;"",INDEX(DataOB[],FirstRow+ROW()-7,MATCH(V$6,DataOB[#Headers],0)),"")</f>
        <v/>
      </c>
      <c r="W331" s="67" t="str">
        <f>IF($B331&lt;&gt;"",INDEX(DataOB[],FirstRow+ROW()-7,MATCH(W$6,DataOB[#Headers],0)),"")</f>
        <v/>
      </c>
      <c r="X331" s="67" t="str">
        <f>IF($B331&lt;&gt;"",INDEX(DataOB[],FirstRow+ROW()-7,MATCH(X$6,DataOB[#Headers],0)),"")</f>
        <v/>
      </c>
      <c r="Y331" s="67" t="str">
        <f>IF($B331&lt;&gt;"",INDEX(DataOB[],FirstRow+ROW()-7,MATCH(Y$6,DataOB[#Headers],0)),"")</f>
        <v/>
      </c>
      <c r="Z331" s="67" t="str">
        <f>IF($B331&lt;&gt;"",INDEX(DataOB[],FirstRow+ROW()-7,MATCH(Z$6,DataOB[#Headers],0)),"")</f>
        <v/>
      </c>
      <c r="AA331" s="67" t="str">
        <f>IF($B331&lt;&gt;"",INDEX(DataOB[],FirstRow+ROW()-7,MATCH(AA$6,DataOB[#Headers],0)),"")</f>
        <v/>
      </c>
      <c r="AB331" s="67" t="str">
        <f>IF($B331&lt;&gt;"",INDEX(DataOB[],FirstRow+ROW()-7,MATCH(AB$6,DataOB[#Headers],0)),"")</f>
        <v/>
      </c>
      <c r="AC331" s="67" t="str">
        <f>IF($B331&lt;&gt;"",INDEX(DataOB[],FirstRow+ROW()-7,MATCH(AC$6,DataOB[#Headers],0)),"")</f>
        <v/>
      </c>
      <c r="AD331" s="67" t="str">
        <f>IF($B331&lt;&gt;"",INDEX(DataOB[],FirstRow+ROW()-7,MATCH(AD$6,DataOB[#Headers],0)),"")</f>
        <v/>
      </c>
      <c r="AE331" s="67" t="str">
        <f>IF($B331&lt;&gt;"",INDEX(DataOB[],FirstRow+ROW()-7,MATCH(AE$6,DataOB[#Headers],0)),"")</f>
        <v/>
      </c>
      <c r="AF331" s="26">
        <f t="shared" si="59"/>
        <v>0</v>
      </c>
      <c r="AG331" s="31">
        <f>SUM($T331:T331)</f>
        <v>0</v>
      </c>
      <c r="AH331" s="31">
        <f>SUM($T331:U331)</f>
        <v>0</v>
      </c>
      <c r="AI331" s="31">
        <f>SUM($T331:V331)</f>
        <v>0</v>
      </c>
      <c r="AJ331" s="31">
        <f>SUM($T331:W331)</f>
        <v>0</v>
      </c>
      <c r="AK331" s="31">
        <f>SUM($T331:X331)</f>
        <v>0</v>
      </c>
      <c r="AL331" s="31">
        <f>SUM($T331:Y331)</f>
        <v>0</v>
      </c>
      <c r="AM331" s="31">
        <f>SUM($T331:Z331)</f>
        <v>0</v>
      </c>
      <c r="AN331" s="31">
        <f>SUM($T331:AA331)</f>
        <v>0</v>
      </c>
      <c r="AO331" s="31">
        <f>SUM($T331:AB331)</f>
        <v>0</v>
      </c>
      <c r="AP331" s="31">
        <f>SUM($T331:AC331)</f>
        <v>0</v>
      </c>
      <c r="AQ331" s="31">
        <f>SUM($T331:AD331)</f>
        <v>0</v>
      </c>
      <c r="AR331" s="31">
        <f>SUM($T331:AE331)</f>
        <v>0</v>
      </c>
      <c r="AS331" s="27">
        <f t="shared" si="60"/>
        <v>0</v>
      </c>
    </row>
    <row r="332" spans="2:45">
      <c r="B332" s="102" t="str">
        <f>IF(ROW()-6&gt;NumCostCenter,"",IF(CostCenter&lt;&gt;"ALL",CostCenter,DATA_LF2!B330))</f>
        <v/>
      </c>
      <c r="C332" s="153" t="str">
        <f>IF($B332&lt;&gt;"",INDEX(DataOB[],FirstRow+ROW()-7,2),"")</f>
        <v/>
      </c>
      <c r="D332" s="66" t="str">
        <f>IF($B332&lt;&gt;"",INDEX(DataOB[],FirstRow+ROW()-7,3),"")</f>
        <v/>
      </c>
      <c r="E332" s="103" t="str">
        <f>IF($B332&lt;&gt;"",INDEX(DataOB[],FirstRow+ROW()-7,6),"")</f>
        <v/>
      </c>
      <c r="F332" s="103" t="str">
        <f>IF($B332&lt;&gt;"",INDEX(DataOB[],FirstRow+ROW()-7,5),"")</f>
        <v/>
      </c>
      <c r="G332" s="58">
        <f>IF($B332&lt;&gt;"",SUMIFS(DataAct_tbl[AMOUNT],DataAct_tbl[BG CODE],Detail!$D332,DataAct_tbl[MONTH],LEFT(MonthName,3),DataAct_tbl[Dept code],$B332),0)</f>
        <v>0</v>
      </c>
      <c r="H332" s="31" t="str">
        <f t="shared" si="52"/>
        <v/>
      </c>
      <c r="I332" s="28" t="str">
        <f t="shared" si="53"/>
        <v/>
      </c>
      <c r="J332" s="32" t="str">
        <f t="shared" si="54"/>
        <v/>
      </c>
      <c r="K332" s="86"/>
      <c r="L332" s="62">
        <f>IF($B332&lt;&gt;"",SUMIFS(DataAct_tbl[AMOUNT],DataAct_tbl[BG CODE],Detail!$D332,DataAct_tbl[Check Range],"=true",DataAct_tbl[Dept code],$B332),0)</f>
        <v>0</v>
      </c>
      <c r="M332" s="63">
        <f>INDEX($AG$7:$AR$1005,ROW()-6,MATCH(MTD,$AG$6:$AR$6,0))</f>
        <v>0</v>
      </c>
      <c r="N332" s="34">
        <f t="shared" si="55"/>
        <v>0</v>
      </c>
      <c r="O332" s="64" t="str">
        <f t="shared" si="56"/>
        <v xml:space="preserve"> </v>
      </c>
      <c r="Q332" s="97">
        <f t="shared" si="57"/>
        <v>0</v>
      </c>
      <c r="R332" s="96">
        <f t="shared" si="58"/>
        <v>0</v>
      </c>
      <c r="T332" s="67" t="str">
        <f>IF($B332&lt;&gt;"",INDEX(DataOB[],FirstRow+ROW()-7,MATCH(T$6,DataOB[#Headers],0)),"")</f>
        <v/>
      </c>
      <c r="U332" s="67" t="str">
        <f>IF($B332&lt;&gt;"",INDEX(DataOB[],FirstRow+ROW()-7,MATCH(U$6,DataOB[#Headers],0)),"")</f>
        <v/>
      </c>
      <c r="V332" s="67" t="str">
        <f>IF($B332&lt;&gt;"",INDEX(DataOB[],FirstRow+ROW()-7,MATCH(V$6,DataOB[#Headers],0)),"")</f>
        <v/>
      </c>
      <c r="W332" s="67" t="str">
        <f>IF($B332&lt;&gt;"",INDEX(DataOB[],FirstRow+ROW()-7,MATCH(W$6,DataOB[#Headers],0)),"")</f>
        <v/>
      </c>
      <c r="X332" s="67" t="str">
        <f>IF($B332&lt;&gt;"",INDEX(DataOB[],FirstRow+ROW()-7,MATCH(X$6,DataOB[#Headers],0)),"")</f>
        <v/>
      </c>
      <c r="Y332" s="67" t="str">
        <f>IF($B332&lt;&gt;"",INDEX(DataOB[],FirstRow+ROW()-7,MATCH(Y$6,DataOB[#Headers],0)),"")</f>
        <v/>
      </c>
      <c r="Z332" s="67" t="str">
        <f>IF($B332&lt;&gt;"",INDEX(DataOB[],FirstRow+ROW()-7,MATCH(Z$6,DataOB[#Headers],0)),"")</f>
        <v/>
      </c>
      <c r="AA332" s="67" t="str">
        <f>IF($B332&lt;&gt;"",INDEX(DataOB[],FirstRow+ROW()-7,MATCH(AA$6,DataOB[#Headers],0)),"")</f>
        <v/>
      </c>
      <c r="AB332" s="67" t="str">
        <f>IF($B332&lt;&gt;"",INDEX(DataOB[],FirstRow+ROW()-7,MATCH(AB$6,DataOB[#Headers],0)),"")</f>
        <v/>
      </c>
      <c r="AC332" s="67" t="str">
        <f>IF($B332&lt;&gt;"",INDEX(DataOB[],FirstRow+ROW()-7,MATCH(AC$6,DataOB[#Headers],0)),"")</f>
        <v/>
      </c>
      <c r="AD332" s="67" t="str">
        <f>IF($B332&lt;&gt;"",INDEX(DataOB[],FirstRow+ROW()-7,MATCH(AD$6,DataOB[#Headers],0)),"")</f>
        <v/>
      </c>
      <c r="AE332" s="67" t="str">
        <f>IF($B332&lt;&gt;"",INDEX(DataOB[],FirstRow+ROW()-7,MATCH(AE$6,DataOB[#Headers],0)),"")</f>
        <v/>
      </c>
      <c r="AF332" s="26">
        <f t="shared" si="59"/>
        <v>0</v>
      </c>
      <c r="AG332" s="31">
        <f>SUM($T332:T332)</f>
        <v>0</v>
      </c>
      <c r="AH332" s="31">
        <f>SUM($T332:U332)</f>
        <v>0</v>
      </c>
      <c r="AI332" s="31">
        <f>SUM($T332:V332)</f>
        <v>0</v>
      </c>
      <c r="AJ332" s="31">
        <f>SUM($T332:W332)</f>
        <v>0</v>
      </c>
      <c r="AK332" s="31">
        <f>SUM($T332:X332)</f>
        <v>0</v>
      </c>
      <c r="AL332" s="31">
        <f>SUM($T332:Y332)</f>
        <v>0</v>
      </c>
      <c r="AM332" s="31">
        <f>SUM($T332:Z332)</f>
        <v>0</v>
      </c>
      <c r="AN332" s="31">
        <f>SUM($T332:AA332)</f>
        <v>0</v>
      </c>
      <c r="AO332" s="31">
        <f>SUM($T332:AB332)</f>
        <v>0</v>
      </c>
      <c r="AP332" s="31">
        <f>SUM($T332:AC332)</f>
        <v>0</v>
      </c>
      <c r="AQ332" s="31">
        <f>SUM($T332:AD332)</f>
        <v>0</v>
      </c>
      <c r="AR332" s="31">
        <f>SUM($T332:AE332)</f>
        <v>0</v>
      </c>
      <c r="AS332" s="27">
        <f t="shared" si="60"/>
        <v>0</v>
      </c>
    </row>
    <row r="333" spans="2:45">
      <c r="B333" s="102" t="str">
        <f>IF(ROW()-6&gt;NumCostCenter,"",IF(CostCenter&lt;&gt;"ALL",CostCenter,DATA_LF2!B331))</f>
        <v/>
      </c>
      <c r="C333" s="153" t="str">
        <f>IF($B333&lt;&gt;"",INDEX(DataOB[],FirstRow+ROW()-7,2),"")</f>
        <v/>
      </c>
      <c r="D333" s="66" t="str">
        <f>IF($B333&lt;&gt;"",INDEX(DataOB[],FirstRow+ROW()-7,3),"")</f>
        <v/>
      </c>
      <c r="E333" s="103" t="str">
        <f>IF($B333&lt;&gt;"",INDEX(DataOB[],FirstRow+ROW()-7,6),"")</f>
        <v/>
      </c>
      <c r="F333" s="103" t="str">
        <f>IF($B333&lt;&gt;"",INDEX(DataOB[],FirstRow+ROW()-7,5),"")</f>
        <v/>
      </c>
      <c r="G333" s="58">
        <f>IF($B333&lt;&gt;"",SUMIFS(DataAct_tbl[AMOUNT],DataAct_tbl[BG CODE],Detail!$D333,DataAct_tbl[MONTH],LEFT(MonthName,3),DataAct_tbl[Dept code],$B333),0)</f>
        <v>0</v>
      </c>
      <c r="H333" s="31" t="str">
        <f t="shared" si="52"/>
        <v/>
      </c>
      <c r="I333" s="28" t="str">
        <f t="shared" si="53"/>
        <v/>
      </c>
      <c r="J333" s="32" t="str">
        <f t="shared" si="54"/>
        <v/>
      </c>
      <c r="K333" s="86"/>
      <c r="L333" s="62">
        <f>IF($B333&lt;&gt;"",SUMIFS(DataAct_tbl[AMOUNT],DataAct_tbl[BG CODE],Detail!$D333,DataAct_tbl[Check Range],"=true",DataAct_tbl[Dept code],$B333),0)</f>
        <v>0</v>
      </c>
      <c r="M333" s="63">
        <f>INDEX($AG$7:$AR$1005,ROW()-6,MATCH(MTD,$AG$6:$AR$6,0))</f>
        <v>0</v>
      </c>
      <c r="N333" s="34">
        <f t="shared" si="55"/>
        <v>0</v>
      </c>
      <c r="O333" s="64" t="str">
        <f t="shared" si="56"/>
        <v xml:space="preserve"> </v>
      </c>
      <c r="Q333" s="97">
        <f t="shared" si="57"/>
        <v>0</v>
      </c>
      <c r="R333" s="96">
        <f t="shared" si="58"/>
        <v>0</v>
      </c>
      <c r="T333" s="67" t="str">
        <f>IF($B333&lt;&gt;"",INDEX(DataOB[],FirstRow+ROW()-7,MATCH(T$6,DataOB[#Headers],0)),"")</f>
        <v/>
      </c>
      <c r="U333" s="67" t="str">
        <f>IF($B333&lt;&gt;"",INDEX(DataOB[],FirstRow+ROW()-7,MATCH(U$6,DataOB[#Headers],0)),"")</f>
        <v/>
      </c>
      <c r="V333" s="67" t="str">
        <f>IF($B333&lt;&gt;"",INDEX(DataOB[],FirstRow+ROW()-7,MATCH(V$6,DataOB[#Headers],0)),"")</f>
        <v/>
      </c>
      <c r="W333" s="67" t="str">
        <f>IF($B333&lt;&gt;"",INDEX(DataOB[],FirstRow+ROW()-7,MATCH(W$6,DataOB[#Headers],0)),"")</f>
        <v/>
      </c>
      <c r="X333" s="67" t="str">
        <f>IF($B333&lt;&gt;"",INDEX(DataOB[],FirstRow+ROW()-7,MATCH(X$6,DataOB[#Headers],0)),"")</f>
        <v/>
      </c>
      <c r="Y333" s="67" t="str">
        <f>IF($B333&lt;&gt;"",INDEX(DataOB[],FirstRow+ROW()-7,MATCH(Y$6,DataOB[#Headers],0)),"")</f>
        <v/>
      </c>
      <c r="Z333" s="67" t="str">
        <f>IF($B333&lt;&gt;"",INDEX(DataOB[],FirstRow+ROW()-7,MATCH(Z$6,DataOB[#Headers],0)),"")</f>
        <v/>
      </c>
      <c r="AA333" s="67" t="str">
        <f>IF($B333&lt;&gt;"",INDEX(DataOB[],FirstRow+ROW()-7,MATCH(AA$6,DataOB[#Headers],0)),"")</f>
        <v/>
      </c>
      <c r="AB333" s="67" t="str">
        <f>IF($B333&lt;&gt;"",INDEX(DataOB[],FirstRow+ROW()-7,MATCH(AB$6,DataOB[#Headers],0)),"")</f>
        <v/>
      </c>
      <c r="AC333" s="67" t="str">
        <f>IF($B333&lt;&gt;"",INDEX(DataOB[],FirstRow+ROW()-7,MATCH(AC$6,DataOB[#Headers],0)),"")</f>
        <v/>
      </c>
      <c r="AD333" s="67" t="str">
        <f>IF($B333&lt;&gt;"",INDEX(DataOB[],FirstRow+ROW()-7,MATCH(AD$6,DataOB[#Headers],0)),"")</f>
        <v/>
      </c>
      <c r="AE333" s="67" t="str">
        <f>IF($B333&lt;&gt;"",INDEX(DataOB[],FirstRow+ROW()-7,MATCH(AE$6,DataOB[#Headers],0)),"")</f>
        <v/>
      </c>
      <c r="AF333" s="26">
        <f t="shared" si="59"/>
        <v>0</v>
      </c>
      <c r="AG333" s="31">
        <f>SUM($T333:T333)</f>
        <v>0</v>
      </c>
      <c r="AH333" s="31">
        <f>SUM($T333:U333)</f>
        <v>0</v>
      </c>
      <c r="AI333" s="31">
        <f>SUM($T333:V333)</f>
        <v>0</v>
      </c>
      <c r="AJ333" s="31">
        <f>SUM($T333:W333)</f>
        <v>0</v>
      </c>
      <c r="AK333" s="31">
        <f>SUM($T333:X333)</f>
        <v>0</v>
      </c>
      <c r="AL333" s="31">
        <f>SUM($T333:Y333)</f>
        <v>0</v>
      </c>
      <c r="AM333" s="31">
        <f>SUM($T333:Z333)</f>
        <v>0</v>
      </c>
      <c r="AN333" s="31">
        <f>SUM($T333:AA333)</f>
        <v>0</v>
      </c>
      <c r="AO333" s="31">
        <f>SUM($T333:AB333)</f>
        <v>0</v>
      </c>
      <c r="AP333" s="31">
        <f>SUM($T333:AC333)</f>
        <v>0</v>
      </c>
      <c r="AQ333" s="31">
        <f>SUM($T333:AD333)</f>
        <v>0</v>
      </c>
      <c r="AR333" s="31">
        <f>SUM($T333:AE333)</f>
        <v>0</v>
      </c>
      <c r="AS333" s="27">
        <f t="shared" si="60"/>
        <v>0</v>
      </c>
    </row>
    <row r="334" spans="2:45">
      <c r="B334" s="102" t="str">
        <f>IF(ROW()-6&gt;NumCostCenter,"",IF(CostCenter&lt;&gt;"ALL",CostCenter,DATA_LF2!B332))</f>
        <v/>
      </c>
      <c r="C334" s="153" t="str">
        <f>IF($B334&lt;&gt;"",INDEX(DataOB[],FirstRow+ROW()-7,2),"")</f>
        <v/>
      </c>
      <c r="D334" s="66" t="str">
        <f>IF($B334&lt;&gt;"",INDEX(DataOB[],FirstRow+ROW()-7,3),"")</f>
        <v/>
      </c>
      <c r="E334" s="103" t="str">
        <f>IF($B334&lt;&gt;"",INDEX(DataOB[],FirstRow+ROW()-7,6),"")</f>
        <v/>
      </c>
      <c r="F334" s="103" t="str">
        <f>IF($B334&lt;&gt;"",INDEX(DataOB[],FirstRow+ROW()-7,5),"")</f>
        <v/>
      </c>
      <c r="G334" s="58">
        <f>IF($B334&lt;&gt;"",SUMIFS(DataAct_tbl[AMOUNT],DataAct_tbl[BG CODE],Detail!$D334,DataAct_tbl[MONTH],LEFT(MonthName,3),DataAct_tbl[Dept code],$B334),0)</f>
        <v>0</v>
      </c>
      <c r="H334" s="31" t="str">
        <f t="shared" si="52"/>
        <v/>
      </c>
      <c r="I334" s="28" t="str">
        <f t="shared" si="53"/>
        <v/>
      </c>
      <c r="J334" s="32" t="str">
        <f t="shared" si="54"/>
        <v/>
      </c>
      <c r="K334" s="86"/>
      <c r="L334" s="62">
        <f>IF($B334&lt;&gt;"",SUMIFS(DataAct_tbl[AMOUNT],DataAct_tbl[BG CODE],Detail!$D334,DataAct_tbl[Check Range],"=true",DataAct_tbl[Dept code],$B334),0)</f>
        <v>0</v>
      </c>
      <c r="M334" s="63">
        <f>INDEX($AG$7:$AR$1005,ROW()-6,MATCH(MTD,$AG$6:$AR$6,0))</f>
        <v>0</v>
      </c>
      <c r="N334" s="34">
        <f t="shared" si="55"/>
        <v>0</v>
      </c>
      <c r="O334" s="64" t="str">
        <f t="shared" si="56"/>
        <v xml:space="preserve"> </v>
      </c>
      <c r="Q334" s="97">
        <f t="shared" si="57"/>
        <v>0</v>
      </c>
      <c r="R334" s="96">
        <f t="shared" si="58"/>
        <v>0</v>
      </c>
      <c r="T334" s="67" t="str">
        <f>IF($B334&lt;&gt;"",INDEX(DataOB[],FirstRow+ROW()-7,MATCH(T$6,DataOB[#Headers],0)),"")</f>
        <v/>
      </c>
      <c r="U334" s="67" t="str">
        <f>IF($B334&lt;&gt;"",INDEX(DataOB[],FirstRow+ROW()-7,MATCH(U$6,DataOB[#Headers],0)),"")</f>
        <v/>
      </c>
      <c r="V334" s="67" t="str">
        <f>IF($B334&lt;&gt;"",INDEX(DataOB[],FirstRow+ROW()-7,MATCH(V$6,DataOB[#Headers],0)),"")</f>
        <v/>
      </c>
      <c r="W334" s="67" t="str">
        <f>IF($B334&lt;&gt;"",INDEX(DataOB[],FirstRow+ROW()-7,MATCH(W$6,DataOB[#Headers],0)),"")</f>
        <v/>
      </c>
      <c r="X334" s="67" t="str">
        <f>IF($B334&lt;&gt;"",INDEX(DataOB[],FirstRow+ROW()-7,MATCH(X$6,DataOB[#Headers],0)),"")</f>
        <v/>
      </c>
      <c r="Y334" s="67" t="str">
        <f>IF($B334&lt;&gt;"",INDEX(DataOB[],FirstRow+ROW()-7,MATCH(Y$6,DataOB[#Headers],0)),"")</f>
        <v/>
      </c>
      <c r="Z334" s="67" t="str">
        <f>IF($B334&lt;&gt;"",INDEX(DataOB[],FirstRow+ROW()-7,MATCH(Z$6,DataOB[#Headers],0)),"")</f>
        <v/>
      </c>
      <c r="AA334" s="67" t="str">
        <f>IF($B334&lt;&gt;"",INDEX(DataOB[],FirstRow+ROW()-7,MATCH(AA$6,DataOB[#Headers],0)),"")</f>
        <v/>
      </c>
      <c r="AB334" s="67" t="str">
        <f>IF($B334&lt;&gt;"",INDEX(DataOB[],FirstRow+ROW()-7,MATCH(AB$6,DataOB[#Headers],0)),"")</f>
        <v/>
      </c>
      <c r="AC334" s="67" t="str">
        <f>IF($B334&lt;&gt;"",INDEX(DataOB[],FirstRow+ROW()-7,MATCH(AC$6,DataOB[#Headers],0)),"")</f>
        <v/>
      </c>
      <c r="AD334" s="67" t="str">
        <f>IF($B334&lt;&gt;"",INDEX(DataOB[],FirstRow+ROW()-7,MATCH(AD$6,DataOB[#Headers],0)),"")</f>
        <v/>
      </c>
      <c r="AE334" s="67" t="str">
        <f>IF($B334&lt;&gt;"",INDEX(DataOB[],FirstRow+ROW()-7,MATCH(AE$6,DataOB[#Headers],0)),"")</f>
        <v/>
      </c>
      <c r="AF334" s="26">
        <f t="shared" si="59"/>
        <v>0</v>
      </c>
      <c r="AG334" s="31">
        <f>SUM($T334:T334)</f>
        <v>0</v>
      </c>
      <c r="AH334" s="31">
        <f>SUM($T334:U334)</f>
        <v>0</v>
      </c>
      <c r="AI334" s="31">
        <f>SUM($T334:V334)</f>
        <v>0</v>
      </c>
      <c r="AJ334" s="31">
        <f>SUM($T334:W334)</f>
        <v>0</v>
      </c>
      <c r="AK334" s="31">
        <f>SUM($T334:X334)</f>
        <v>0</v>
      </c>
      <c r="AL334" s="31">
        <f>SUM($T334:Y334)</f>
        <v>0</v>
      </c>
      <c r="AM334" s="31">
        <f>SUM($T334:Z334)</f>
        <v>0</v>
      </c>
      <c r="AN334" s="31">
        <f>SUM($T334:AA334)</f>
        <v>0</v>
      </c>
      <c r="AO334" s="31">
        <f>SUM($T334:AB334)</f>
        <v>0</v>
      </c>
      <c r="AP334" s="31">
        <f>SUM($T334:AC334)</f>
        <v>0</v>
      </c>
      <c r="AQ334" s="31">
        <f>SUM($T334:AD334)</f>
        <v>0</v>
      </c>
      <c r="AR334" s="31">
        <f>SUM($T334:AE334)</f>
        <v>0</v>
      </c>
      <c r="AS334" s="27">
        <f t="shared" si="60"/>
        <v>0</v>
      </c>
    </row>
    <row r="335" spans="2:45">
      <c r="B335" s="102" t="str">
        <f>IF(ROW()-6&gt;NumCostCenter,"",IF(CostCenter&lt;&gt;"ALL",CostCenter,DATA_LF2!B333))</f>
        <v/>
      </c>
      <c r="C335" s="153" t="str">
        <f>IF($B335&lt;&gt;"",INDEX(DataOB[],FirstRow+ROW()-7,2),"")</f>
        <v/>
      </c>
      <c r="D335" s="66" t="str">
        <f>IF($B335&lt;&gt;"",INDEX(DataOB[],FirstRow+ROW()-7,3),"")</f>
        <v/>
      </c>
      <c r="E335" s="103" t="str">
        <f>IF($B335&lt;&gt;"",INDEX(DataOB[],FirstRow+ROW()-7,6),"")</f>
        <v/>
      </c>
      <c r="F335" s="103" t="str">
        <f>IF($B335&lt;&gt;"",INDEX(DataOB[],FirstRow+ROW()-7,5),"")</f>
        <v/>
      </c>
      <c r="G335" s="58">
        <f>IF($B335&lt;&gt;"",SUMIFS(DataAct_tbl[AMOUNT],DataAct_tbl[BG CODE],Detail!$D335,DataAct_tbl[MONTH],LEFT(MonthName,3),DataAct_tbl[Dept code],$B335),0)</f>
        <v>0</v>
      </c>
      <c r="H335" s="31" t="str">
        <f t="shared" si="52"/>
        <v/>
      </c>
      <c r="I335" s="28" t="str">
        <f t="shared" si="53"/>
        <v/>
      </c>
      <c r="J335" s="32" t="str">
        <f t="shared" si="54"/>
        <v/>
      </c>
      <c r="K335" s="86"/>
      <c r="L335" s="62">
        <f>IF($B335&lt;&gt;"",SUMIFS(DataAct_tbl[AMOUNT],DataAct_tbl[BG CODE],Detail!$D335,DataAct_tbl[Check Range],"=true",DataAct_tbl[Dept code],$B335),0)</f>
        <v>0</v>
      </c>
      <c r="M335" s="63">
        <f>INDEX($AG$7:$AR$1005,ROW()-6,MATCH(MTD,$AG$6:$AR$6,0))</f>
        <v>0</v>
      </c>
      <c r="N335" s="34">
        <f t="shared" si="55"/>
        <v>0</v>
      </c>
      <c r="O335" s="64" t="str">
        <f t="shared" si="56"/>
        <v xml:space="preserve"> </v>
      </c>
      <c r="Q335" s="97">
        <f t="shared" si="57"/>
        <v>0</v>
      </c>
      <c r="R335" s="96">
        <f t="shared" si="58"/>
        <v>0</v>
      </c>
      <c r="T335" s="67" t="str">
        <f>IF($B335&lt;&gt;"",INDEX(DataOB[],FirstRow+ROW()-7,MATCH(T$6,DataOB[#Headers],0)),"")</f>
        <v/>
      </c>
      <c r="U335" s="67" t="str">
        <f>IF($B335&lt;&gt;"",INDEX(DataOB[],FirstRow+ROW()-7,MATCH(U$6,DataOB[#Headers],0)),"")</f>
        <v/>
      </c>
      <c r="V335" s="67" t="str">
        <f>IF($B335&lt;&gt;"",INDEX(DataOB[],FirstRow+ROW()-7,MATCH(V$6,DataOB[#Headers],0)),"")</f>
        <v/>
      </c>
      <c r="W335" s="67" t="str">
        <f>IF($B335&lt;&gt;"",INDEX(DataOB[],FirstRow+ROW()-7,MATCH(W$6,DataOB[#Headers],0)),"")</f>
        <v/>
      </c>
      <c r="X335" s="67" t="str">
        <f>IF($B335&lt;&gt;"",INDEX(DataOB[],FirstRow+ROW()-7,MATCH(X$6,DataOB[#Headers],0)),"")</f>
        <v/>
      </c>
      <c r="Y335" s="67" t="str">
        <f>IF($B335&lt;&gt;"",INDEX(DataOB[],FirstRow+ROW()-7,MATCH(Y$6,DataOB[#Headers],0)),"")</f>
        <v/>
      </c>
      <c r="Z335" s="67" t="str">
        <f>IF($B335&lt;&gt;"",INDEX(DataOB[],FirstRow+ROW()-7,MATCH(Z$6,DataOB[#Headers],0)),"")</f>
        <v/>
      </c>
      <c r="AA335" s="67" t="str">
        <f>IF($B335&lt;&gt;"",INDEX(DataOB[],FirstRow+ROW()-7,MATCH(AA$6,DataOB[#Headers],0)),"")</f>
        <v/>
      </c>
      <c r="AB335" s="67" t="str">
        <f>IF($B335&lt;&gt;"",INDEX(DataOB[],FirstRow+ROW()-7,MATCH(AB$6,DataOB[#Headers],0)),"")</f>
        <v/>
      </c>
      <c r="AC335" s="67" t="str">
        <f>IF($B335&lt;&gt;"",INDEX(DataOB[],FirstRow+ROW()-7,MATCH(AC$6,DataOB[#Headers],0)),"")</f>
        <v/>
      </c>
      <c r="AD335" s="67" t="str">
        <f>IF($B335&lt;&gt;"",INDEX(DataOB[],FirstRow+ROW()-7,MATCH(AD$6,DataOB[#Headers],0)),"")</f>
        <v/>
      </c>
      <c r="AE335" s="67" t="str">
        <f>IF($B335&lt;&gt;"",INDEX(DataOB[],FirstRow+ROW()-7,MATCH(AE$6,DataOB[#Headers],0)),"")</f>
        <v/>
      </c>
      <c r="AF335" s="26">
        <f t="shared" si="59"/>
        <v>0</v>
      </c>
      <c r="AG335" s="31">
        <f>SUM($T335:T335)</f>
        <v>0</v>
      </c>
      <c r="AH335" s="31">
        <f>SUM($T335:U335)</f>
        <v>0</v>
      </c>
      <c r="AI335" s="31">
        <f>SUM($T335:V335)</f>
        <v>0</v>
      </c>
      <c r="AJ335" s="31">
        <f>SUM($T335:W335)</f>
        <v>0</v>
      </c>
      <c r="AK335" s="31">
        <f>SUM($T335:X335)</f>
        <v>0</v>
      </c>
      <c r="AL335" s="31">
        <f>SUM($T335:Y335)</f>
        <v>0</v>
      </c>
      <c r="AM335" s="31">
        <f>SUM($T335:Z335)</f>
        <v>0</v>
      </c>
      <c r="AN335" s="31">
        <f>SUM($T335:AA335)</f>
        <v>0</v>
      </c>
      <c r="AO335" s="31">
        <f>SUM($T335:AB335)</f>
        <v>0</v>
      </c>
      <c r="AP335" s="31">
        <f>SUM($T335:AC335)</f>
        <v>0</v>
      </c>
      <c r="AQ335" s="31">
        <f>SUM($T335:AD335)</f>
        <v>0</v>
      </c>
      <c r="AR335" s="31">
        <f>SUM($T335:AE335)</f>
        <v>0</v>
      </c>
      <c r="AS335" s="27">
        <f t="shared" si="60"/>
        <v>0</v>
      </c>
    </row>
    <row r="336" spans="2:45">
      <c r="B336" s="102" t="str">
        <f>IF(ROW()-6&gt;NumCostCenter,"",IF(CostCenter&lt;&gt;"ALL",CostCenter,DATA_LF2!B334))</f>
        <v/>
      </c>
      <c r="C336" s="153" t="str">
        <f>IF($B336&lt;&gt;"",INDEX(DataOB[],FirstRow+ROW()-7,2),"")</f>
        <v/>
      </c>
      <c r="D336" s="66" t="str">
        <f>IF($B336&lt;&gt;"",INDEX(DataOB[],FirstRow+ROW()-7,3),"")</f>
        <v/>
      </c>
      <c r="E336" s="103" t="str">
        <f>IF($B336&lt;&gt;"",INDEX(DataOB[],FirstRow+ROW()-7,6),"")</f>
        <v/>
      </c>
      <c r="F336" s="103" t="str">
        <f>IF($B336&lt;&gt;"",INDEX(DataOB[],FirstRow+ROW()-7,5),"")</f>
        <v/>
      </c>
      <c r="G336" s="58">
        <f>IF($B336&lt;&gt;"",SUMIFS(DataAct_tbl[AMOUNT],DataAct_tbl[BG CODE],Detail!$D336,DataAct_tbl[MONTH],LEFT(MonthName,3),DataAct_tbl[Dept code],$B336),0)</f>
        <v>0</v>
      </c>
      <c r="H336" s="31" t="str">
        <f t="shared" si="52"/>
        <v/>
      </c>
      <c r="I336" s="28" t="str">
        <f t="shared" si="53"/>
        <v/>
      </c>
      <c r="J336" s="32" t="str">
        <f t="shared" si="54"/>
        <v/>
      </c>
      <c r="K336" s="86"/>
      <c r="L336" s="62">
        <f>IF($B336&lt;&gt;"",SUMIFS(DataAct_tbl[AMOUNT],DataAct_tbl[BG CODE],Detail!$D336,DataAct_tbl[Check Range],"=true",DataAct_tbl[Dept code],$B336),0)</f>
        <v>0</v>
      </c>
      <c r="M336" s="63">
        <f>INDEX($AG$7:$AR$1005,ROW()-6,MATCH(MTD,$AG$6:$AR$6,0))</f>
        <v>0</v>
      </c>
      <c r="N336" s="34">
        <f t="shared" si="55"/>
        <v>0</v>
      </c>
      <c r="O336" s="64" t="str">
        <f t="shared" si="56"/>
        <v xml:space="preserve"> </v>
      </c>
      <c r="Q336" s="97">
        <f t="shared" si="57"/>
        <v>0</v>
      </c>
      <c r="R336" s="96">
        <f t="shared" si="58"/>
        <v>0</v>
      </c>
      <c r="T336" s="67" t="str">
        <f>IF($B336&lt;&gt;"",INDEX(DataOB[],FirstRow+ROW()-7,MATCH(T$6,DataOB[#Headers],0)),"")</f>
        <v/>
      </c>
      <c r="U336" s="67" t="str">
        <f>IF($B336&lt;&gt;"",INDEX(DataOB[],FirstRow+ROW()-7,MATCH(U$6,DataOB[#Headers],0)),"")</f>
        <v/>
      </c>
      <c r="V336" s="67" t="str">
        <f>IF($B336&lt;&gt;"",INDEX(DataOB[],FirstRow+ROW()-7,MATCH(V$6,DataOB[#Headers],0)),"")</f>
        <v/>
      </c>
      <c r="W336" s="67" t="str">
        <f>IF($B336&lt;&gt;"",INDEX(DataOB[],FirstRow+ROW()-7,MATCH(W$6,DataOB[#Headers],0)),"")</f>
        <v/>
      </c>
      <c r="X336" s="67" t="str">
        <f>IF($B336&lt;&gt;"",INDEX(DataOB[],FirstRow+ROW()-7,MATCH(X$6,DataOB[#Headers],0)),"")</f>
        <v/>
      </c>
      <c r="Y336" s="67" t="str">
        <f>IF($B336&lt;&gt;"",INDEX(DataOB[],FirstRow+ROW()-7,MATCH(Y$6,DataOB[#Headers],0)),"")</f>
        <v/>
      </c>
      <c r="Z336" s="67" t="str">
        <f>IF($B336&lt;&gt;"",INDEX(DataOB[],FirstRow+ROW()-7,MATCH(Z$6,DataOB[#Headers],0)),"")</f>
        <v/>
      </c>
      <c r="AA336" s="67" t="str">
        <f>IF($B336&lt;&gt;"",INDEX(DataOB[],FirstRow+ROW()-7,MATCH(AA$6,DataOB[#Headers],0)),"")</f>
        <v/>
      </c>
      <c r="AB336" s="67" t="str">
        <f>IF($B336&lt;&gt;"",INDEX(DataOB[],FirstRow+ROW()-7,MATCH(AB$6,DataOB[#Headers],0)),"")</f>
        <v/>
      </c>
      <c r="AC336" s="67" t="str">
        <f>IF($B336&lt;&gt;"",INDEX(DataOB[],FirstRow+ROW()-7,MATCH(AC$6,DataOB[#Headers],0)),"")</f>
        <v/>
      </c>
      <c r="AD336" s="67" t="str">
        <f>IF($B336&lt;&gt;"",INDEX(DataOB[],FirstRow+ROW()-7,MATCH(AD$6,DataOB[#Headers],0)),"")</f>
        <v/>
      </c>
      <c r="AE336" s="67" t="str">
        <f>IF($B336&lt;&gt;"",INDEX(DataOB[],FirstRow+ROW()-7,MATCH(AE$6,DataOB[#Headers],0)),"")</f>
        <v/>
      </c>
      <c r="AF336" s="26">
        <f t="shared" si="59"/>
        <v>0</v>
      </c>
      <c r="AG336" s="31">
        <f>SUM($T336:T336)</f>
        <v>0</v>
      </c>
      <c r="AH336" s="31">
        <f>SUM($T336:U336)</f>
        <v>0</v>
      </c>
      <c r="AI336" s="31">
        <f>SUM($T336:V336)</f>
        <v>0</v>
      </c>
      <c r="AJ336" s="31">
        <f>SUM($T336:W336)</f>
        <v>0</v>
      </c>
      <c r="AK336" s="31">
        <f>SUM($T336:X336)</f>
        <v>0</v>
      </c>
      <c r="AL336" s="31">
        <f>SUM($T336:Y336)</f>
        <v>0</v>
      </c>
      <c r="AM336" s="31">
        <f>SUM($T336:Z336)</f>
        <v>0</v>
      </c>
      <c r="AN336" s="31">
        <f>SUM($T336:AA336)</f>
        <v>0</v>
      </c>
      <c r="AO336" s="31">
        <f>SUM($T336:AB336)</f>
        <v>0</v>
      </c>
      <c r="AP336" s="31">
        <f>SUM($T336:AC336)</f>
        <v>0</v>
      </c>
      <c r="AQ336" s="31">
        <f>SUM($T336:AD336)</f>
        <v>0</v>
      </c>
      <c r="AR336" s="31">
        <f>SUM($T336:AE336)</f>
        <v>0</v>
      </c>
      <c r="AS336" s="27">
        <f t="shared" si="60"/>
        <v>0</v>
      </c>
    </row>
    <row r="337" spans="2:45">
      <c r="B337" s="102" t="str">
        <f>IF(ROW()-6&gt;NumCostCenter,"",IF(CostCenter&lt;&gt;"ALL",CostCenter,DATA_LF2!B335))</f>
        <v/>
      </c>
      <c r="C337" s="153" t="str">
        <f>IF($B337&lt;&gt;"",INDEX(DataOB[],FirstRow+ROW()-7,2),"")</f>
        <v/>
      </c>
      <c r="D337" s="66" t="str">
        <f>IF($B337&lt;&gt;"",INDEX(DataOB[],FirstRow+ROW()-7,3),"")</f>
        <v/>
      </c>
      <c r="E337" s="103" t="str">
        <f>IF($B337&lt;&gt;"",INDEX(DataOB[],FirstRow+ROW()-7,6),"")</f>
        <v/>
      </c>
      <c r="F337" s="103" t="str">
        <f>IF($B337&lt;&gt;"",INDEX(DataOB[],FirstRow+ROW()-7,5),"")</f>
        <v/>
      </c>
      <c r="G337" s="58">
        <f>IF($B337&lt;&gt;"",SUMIFS(DataAct_tbl[AMOUNT],DataAct_tbl[BG CODE],Detail!$D337,DataAct_tbl[MONTH],LEFT(MonthName,3),DataAct_tbl[Dept code],$B337),0)</f>
        <v>0</v>
      </c>
      <c r="H337" s="31" t="str">
        <f t="shared" si="52"/>
        <v/>
      </c>
      <c r="I337" s="28" t="str">
        <f t="shared" si="53"/>
        <v/>
      </c>
      <c r="J337" s="32" t="str">
        <f t="shared" si="54"/>
        <v/>
      </c>
      <c r="K337" s="86"/>
      <c r="L337" s="62">
        <f>IF($B337&lt;&gt;"",SUMIFS(DataAct_tbl[AMOUNT],DataAct_tbl[BG CODE],Detail!$D337,DataAct_tbl[Check Range],"=true",DataAct_tbl[Dept code],$B337),0)</f>
        <v>0</v>
      </c>
      <c r="M337" s="63">
        <f>INDEX($AG$7:$AR$1005,ROW()-6,MATCH(MTD,$AG$6:$AR$6,0))</f>
        <v>0</v>
      </c>
      <c r="N337" s="34">
        <f t="shared" si="55"/>
        <v>0</v>
      </c>
      <c r="O337" s="64" t="str">
        <f t="shared" si="56"/>
        <v xml:space="preserve"> </v>
      </c>
      <c r="Q337" s="97">
        <f t="shared" si="57"/>
        <v>0</v>
      </c>
      <c r="R337" s="96">
        <f t="shared" si="58"/>
        <v>0</v>
      </c>
      <c r="T337" s="67" t="str">
        <f>IF($B337&lt;&gt;"",INDEX(DataOB[],FirstRow+ROW()-7,MATCH(T$6,DataOB[#Headers],0)),"")</f>
        <v/>
      </c>
      <c r="U337" s="67" t="str">
        <f>IF($B337&lt;&gt;"",INDEX(DataOB[],FirstRow+ROW()-7,MATCH(U$6,DataOB[#Headers],0)),"")</f>
        <v/>
      </c>
      <c r="V337" s="67" t="str">
        <f>IF($B337&lt;&gt;"",INDEX(DataOB[],FirstRow+ROW()-7,MATCH(V$6,DataOB[#Headers],0)),"")</f>
        <v/>
      </c>
      <c r="W337" s="67" t="str">
        <f>IF($B337&lt;&gt;"",INDEX(DataOB[],FirstRow+ROW()-7,MATCH(W$6,DataOB[#Headers],0)),"")</f>
        <v/>
      </c>
      <c r="X337" s="67" t="str">
        <f>IF($B337&lt;&gt;"",INDEX(DataOB[],FirstRow+ROW()-7,MATCH(X$6,DataOB[#Headers],0)),"")</f>
        <v/>
      </c>
      <c r="Y337" s="67" t="str">
        <f>IF($B337&lt;&gt;"",INDEX(DataOB[],FirstRow+ROW()-7,MATCH(Y$6,DataOB[#Headers],0)),"")</f>
        <v/>
      </c>
      <c r="Z337" s="67" t="str">
        <f>IF($B337&lt;&gt;"",INDEX(DataOB[],FirstRow+ROW()-7,MATCH(Z$6,DataOB[#Headers],0)),"")</f>
        <v/>
      </c>
      <c r="AA337" s="67" t="str">
        <f>IF($B337&lt;&gt;"",INDEX(DataOB[],FirstRow+ROW()-7,MATCH(AA$6,DataOB[#Headers],0)),"")</f>
        <v/>
      </c>
      <c r="AB337" s="67" t="str">
        <f>IF($B337&lt;&gt;"",INDEX(DataOB[],FirstRow+ROW()-7,MATCH(AB$6,DataOB[#Headers],0)),"")</f>
        <v/>
      </c>
      <c r="AC337" s="67" t="str">
        <f>IF($B337&lt;&gt;"",INDEX(DataOB[],FirstRow+ROW()-7,MATCH(AC$6,DataOB[#Headers],0)),"")</f>
        <v/>
      </c>
      <c r="AD337" s="67" t="str">
        <f>IF($B337&lt;&gt;"",INDEX(DataOB[],FirstRow+ROW()-7,MATCH(AD$6,DataOB[#Headers],0)),"")</f>
        <v/>
      </c>
      <c r="AE337" s="67" t="str">
        <f>IF($B337&lt;&gt;"",INDEX(DataOB[],FirstRow+ROW()-7,MATCH(AE$6,DataOB[#Headers],0)),"")</f>
        <v/>
      </c>
      <c r="AF337" s="26">
        <f t="shared" si="59"/>
        <v>0</v>
      </c>
      <c r="AG337" s="31">
        <f>SUM($T337:T337)</f>
        <v>0</v>
      </c>
      <c r="AH337" s="31">
        <f>SUM($T337:U337)</f>
        <v>0</v>
      </c>
      <c r="AI337" s="31">
        <f>SUM($T337:V337)</f>
        <v>0</v>
      </c>
      <c r="AJ337" s="31">
        <f>SUM($T337:W337)</f>
        <v>0</v>
      </c>
      <c r="AK337" s="31">
        <f>SUM($T337:X337)</f>
        <v>0</v>
      </c>
      <c r="AL337" s="31">
        <f>SUM($T337:Y337)</f>
        <v>0</v>
      </c>
      <c r="AM337" s="31">
        <f>SUM($T337:Z337)</f>
        <v>0</v>
      </c>
      <c r="AN337" s="31">
        <f>SUM($T337:AA337)</f>
        <v>0</v>
      </c>
      <c r="AO337" s="31">
        <f>SUM($T337:AB337)</f>
        <v>0</v>
      </c>
      <c r="AP337" s="31">
        <f>SUM($T337:AC337)</f>
        <v>0</v>
      </c>
      <c r="AQ337" s="31">
        <f>SUM($T337:AD337)</f>
        <v>0</v>
      </c>
      <c r="AR337" s="31">
        <f>SUM($T337:AE337)</f>
        <v>0</v>
      </c>
      <c r="AS337" s="27">
        <f t="shared" si="60"/>
        <v>0</v>
      </c>
    </row>
    <row r="338" spans="2:45">
      <c r="B338" s="102" t="str">
        <f>IF(ROW()-6&gt;NumCostCenter,"",IF(CostCenter&lt;&gt;"ALL",CostCenter,DATA_LF2!B336))</f>
        <v/>
      </c>
      <c r="C338" s="153" t="str">
        <f>IF($B338&lt;&gt;"",INDEX(DataOB[],FirstRow+ROW()-7,2),"")</f>
        <v/>
      </c>
      <c r="D338" s="66" t="str">
        <f>IF($B338&lt;&gt;"",INDEX(DataOB[],FirstRow+ROW()-7,3),"")</f>
        <v/>
      </c>
      <c r="E338" s="103" t="str">
        <f>IF($B338&lt;&gt;"",INDEX(DataOB[],FirstRow+ROW()-7,6),"")</f>
        <v/>
      </c>
      <c r="F338" s="103" t="str">
        <f>IF($B338&lt;&gt;"",INDEX(DataOB[],FirstRow+ROW()-7,5),"")</f>
        <v/>
      </c>
      <c r="G338" s="58">
        <f>IF($B338&lt;&gt;"",SUMIFS(DataAct_tbl[AMOUNT],DataAct_tbl[BG CODE],Detail!$D338,DataAct_tbl[MONTH],LEFT(MonthName,3),DataAct_tbl[Dept code],$B338),0)</f>
        <v>0</v>
      </c>
      <c r="H338" s="31" t="str">
        <f t="shared" si="52"/>
        <v/>
      </c>
      <c r="I338" s="28" t="str">
        <f t="shared" si="53"/>
        <v/>
      </c>
      <c r="J338" s="32" t="str">
        <f t="shared" si="54"/>
        <v/>
      </c>
      <c r="K338" s="86"/>
      <c r="L338" s="62">
        <f>IF($B338&lt;&gt;"",SUMIFS(DataAct_tbl[AMOUNT],DataAct_tbl[BG CODE],Detail!$D338,DataAct_tbl[Check Range],"=true",DataAct_tbl[Dept code],$B338),0)</f>
        <v>0</v>
      </c>
      <c r="M338" s="63">
        <f>INDEX($AG$7:$AR$1005,ROW()-6,MATCH(MTD,$AG$6:$AR$6,0))</f>
        <v>0</v>
      </c>
      <c r="N338" s="34">
        <f t="shared" si="55"/>
        <v>0</v>
      </c>
      <c r="O338" s="64" t="str">
        <f t="shared" si="56"/>
        <v xml:space="preserve"> </v>
      </c>
      <c r="Q338" s="97">
        <f t="shared" si="57"/>
        <v>0</v>
      </c>
      <c r="R338" s="96">
        <f t="shared" si="58"/>
        <v>0</v>
      </c>
      <c r="T338" s="67" t="str">
        <f>IF($B338&lt;&gt;"",INDEX(DataOB[],FirstRow+ROW()-7,MATCH(T$6,DataOB[#Headers],0)),"")</f>
        <v/>
      </c>
      <c r="U338" s="67" t="str">
        <f>IF($B338&lt;&gt;"",INDEX(DataOB[],FirstRow+ROW()-7,MATCH(U$6,DataOB[#Headers],0)),"")</f>
        <v/>
      </c>
      <c r="V338" s="67" t="str">
        <f>IF($B338&lt;&gt;"",INDEX(DataOB[],FirstRow+ROW()-7,MATCH(V$6,DataOB[#Headers],0)),"")</f>
        <v/>
      </c>
      <c r="W338" s="67" t="str">
        <f>IF($B338&lt;&gt;"",INDEX(DataOB[],FirstRow+ROW()-7,MATCH(W$6,DataOB[#Headers],0)),"")</f>
        <v/>
      </c>
      <c r="X338" s="67" t="str">
        <f>IF($B338&lt;&gt;"",INDEX(DataOB[],FirstRow+ROW()-7,MATCH(X$6,DataOB[#Headers],0)),"")</f>
        <v/>
      </c>
      <c r="Y338" s="67" t="str">
        <f>IF($B338&lt;&gt;"",INDEX(DataOB[],FirstRow+ROW()-7,MATCH(Y$6,DataOB[#Headers],0)),"")</f>
        <v/>
      </c>
      <c r="Z338" s="67" t="str">
        <f>IF($B338&lt;&gt;"",INDEX(DataOB[],FirstRow+ROW()-7,MATCH(Z$6,DataOB[#Headers],0)),"")</f>
        <v/>
      </c>
      <c r="AA338" s="67" t="str">
        <f>IF($B338&lt;&gt;"",INDEX(DataOB[],FirstRow+ROW()-7,MATCH(AA$6,DataOB[#Headers],0)),"")</f>
        <v/>
      </c>
      <c r="AB338" s="67" t="str">
        <f>IF($B338&lt;&gt;"",INDEX(DataOB[],FirstRow+ROW()-7,MATCH(AB$6,DataOB[#Headers],0)),"")</f>
        <v/>
      </c>
      <c r="AC338" s="67" t="str">
        <f>IF($B338&lt;&gt;"",INDEX(DataOB[],FirstRow+ROW()-7,MATCH(AC$6,DataOB[#Headers],0)),"")</f>
        <v/>
      </c>
      <c r="AD338" s="67" t="str">
        <f>IF($B338&lt;&gt;"",INDEX(DataOB[],FirstRow+ROW()-7,MATCH(AD$6,DataOB[#Headers],0)),"")</f>
        <v/>
      </c>
      <c r="AE338" s="67" t="str">
        <f>IF($B338&lt;&gt;"",INDEX(DataOB[],FirstRow+ROW()-7,MATCH(AE$6,DataOB[#Headers],0)),"")</f>
        <v/>
      </c>
      <c r="AF338" s="26">
        <f t="shared" si="59"/>
        <v>0</v>
      </c>
      <c r="AG338" s="31">
        <f>SUM($T338:T338)</f>
        <v>0</v>
      </c>
      <c r="AH338" s="31">
        <f>SUM($T338:U338)</f>
        <v>0</v>
      </c>
      <c r="AI338" s="31">
        <f>SUM($T338:V338)</f>
        <v>0</v>
      </c>
      <c r="AJ338" s="31">
        <f>SUM($T338:W338)</f>
        <v>0</v>
      </c>
      <c r="AK338" s="31">
        <f>SUM($T338:X338)</f>
        <v>0</v>
      </c>
      <c r="AL338" s="31">
        <f>SUM($T338:Y338)</f>
        <v>0</v>
      </c>
      <c r="AM338" s="31">
        <f>SUM($T338:Z338)</f>
        <v>0</v>
      </c>
      <c r="AN338" s="31">
        <f>SUM($T338:AA338)</f>
        <v>0</v>
      </c>
      <c r="AO338" s="31">
        <f>SUM($T338:AB338)</f>
        <v>0</v>
      </c>
      <c r="AP338" s="31">
        <f>SUM($T338:AC338)</f>
        <v>0</v>
      </c>
      <c r="AQ338" s="31">
        <f>SUM($T338:AD338)</f>
        <v>0</v>
      </c>
      <c r="AR338" s="31">
        <f>SUM($T338:AE338)</f>
        <v>0</v>
      </c>
      <c r="AS338" s="27">
        <f t="shared" si="60"/>
        <v>0</v>
      </c>
    </row>
    <row r="339" spans="2:45">
      <c r="B339" s="102" t="str">
        <f>IF(ROW()-6&gt;NumCostCenter,"",IF(CostCenter&lt;&gt;"ALL",CostCenter,DATA_LF2!B337))</f>
        <v/>
      </c>
      <c r="C339" s="153" t="str">
        <f>IF($B339&lt;&gt;"",INDEX(DataOB[],FirstRow+ROW()-7,2),"")</f>
        <v/>
      </c>
      <c r="D339" s="66" t="str">
        <f>IF($B339&lt;&gt;"",INDEX(DataOB[],FirstRow+ROW()-7,3),"")</f>
        <v/>
      </c>
      <c r="E339" s="103" t="str">
        <f>IF($B339&lt;&gt;"",INDEX(DataOB[],FirstRow+ROW()-7,6),"")</f>
        <v/>
      </c>
      <c r="F339" s="103" t="str">
        <f>IF($B339&lt;&gt;"",INDEX(DataOB[],FirstRow+ROW()-7,5),"")</f>
        <v/>
      </c>
      <c r="G339" s="58">
        <f>IF($B339&lt;&gt;"",SUMIFS(DataAct_tbl[AMOUNT],DataAct_tbl[BG CODE],Detail!$D339,DataAct_tbl[MONTH],LEFT(MonthName,3),DataAct_tbl[Dept code],$B339),0)</f>
        <v>0</v>
      </c>
      <c r="H339" s="31" t="str">
        <f t="shared" si="52"/>
        <v/>
      </c>
      <c r="I339" s="28" t="str">
        <f t="shared" si="53"/>
        <v/>
      </c>
      <c r="J339" s="32" t="str">
        <f t="shared" si="54"/>
        <v/>
      </c>
      <c r="K339" s="86"/>
      <c r="L339" s="62">
        <f>IF($B339&lt;&gt;"",SUMIFS(DataAct_tbl[AMOUNT],DataAct_tbl[BG CODE],Detail!$D339,DataAct_tbl[Check Range],"=true",DataAct_tbl[Dept code],$B339),0)</f>
        <v>0</v>
      </c>
      <c r="M339" s="63">
        <f>INDEX($AG$7:$AR$1005,ROW()-6,MATCH(MTD,$AG$6:$AR$6,0))</f>
        <v>0</v>
      </c>
      <c r="N339" s="34">
        <f t="shared" si="55"/>
        <v>0</v>
      </c>
      <c r="O339" s="64" t="str">
        <f t="shared" si="56"/>
        <v xml:space="preserve"> </v>
      </c>
      <c r="Q339" s="97">
        <f t="shared" si="57"/>
        <v>0</v>
      </c>
      <c r="R339" s="96">
        <f t="shared" si="58"/>
        <v>0</v>
      </c>
      <c r="T339" s="67" t="str">
        <f>IF($B339&lt;&gt;"",INDEX(DataOB[],FirstRow+ROW()-7,MATCH(T$6,DataOB[#Headers],0)),"")</f>
        <v/>
      </c>
      <c r="U339" s="67" t="str">
        <f>IF($B339&lt;&gt;"",INDEX(DataOB[],FirstRow+ROW()-7,MATCH(U$6,DataOB[#Headers],0)),"")</f>
        <v/>
      </c>
      <c r="V339" s="67" t="str">
        <f>IF($B339&lt;&gt;"",INDEX(DataOB[],FirstRow+ROW()-7,MATCH(V$6,DataOB[#Headers],0)),"")</f>
        <v/>
      </c>
      <c r="W339" s="67" t="str">
        <f>IF($B339&lt;&gt;"",INDEX(DataOB[],FirstRow+ROW()-7,MATCH(W$6,DataOB[#Headers],0)),"")</f>
        <v/>
      </c>
      <c r="X339" s="67" t="str">
        <f>IF($B339&lt;&gt;"",INDEX(DataOB[],FirstRow+ROW()-7,MATCH(X$6,DataOB[#Headers],0)),"")</f>
        <v/>
      </c>
      <c r="Y339" s="67" t="str">
        <f>IF($B339&lt;&gt;"",INDEX(DataOB[],FirstRow+ROW()-7,MATCH(Y$6,DataOB[#Headers],0)),"")</f>
        <v/>
      </c>
      <c r="Z339" s="67" t="str">
        <f>IF($B339&lt;&gt;"",INDEX(DataOB[],FirstRow+ROW()-7,MATCH(Z$6,DataOB[#Headers],0)),"")</f>
        <v/>
      </c>
      <c r="AA339" s="67" t="str">
        <f>IF($B339&lt;&gt;"",INDEX(DataOB[],FirstRow+ROW()-7,MATCH(AA$6,DataOB[#Headers],0)),"")</f>
        <v/>
      </c>
      <c r="AB339" s="67" t="str">
        <f>IF($B339&lt;&gt;"",INDEX(DataOB[],FirstRow+ROW()-7,MATCH(AB$6,DataOB[#Headers],0)),"")</f>
        <v/>
      </c>
      <c r="AC339" s="67" t="str">
        <f>IF($B339&lt;&gt;"",INDEX(DataOB[],FirstRow+ROW()-7,MATCH(AC$6,DataOB[#Headers],0)),"")</f>
        <v/>
      </c>
      <c r="AD339" s="67" t="str">
        <f>IF($B339&lt;&gt;"",INDEX(DataOB[],FirstRow+ROW()-7,MATCH(AD$6,DataOB[#Headers],0)),"")</f>
        <v/>
      </c>
      <c r="AE339" s="67" t="str">
        <f>IF($B339&lt;&gt;"",INDEX(DataOB[],FirstRow+ROW()-7,MATCH(AE$6,DataOB[#Headers],0)),"")</f>
        <v/>
      </c>
      <c r="AF339" s="26">
        <f t="shared" si="59"/>
        <v>0</v>
      </c>
      <c r="AG339" s="31">
        <f>SUM($T339:T339)</f>
        <v>0</v>
      </c>
      <c r="AH339" s="31">
        <f>SUM($T339:U339)</f>
        <v>0</v>
      </c>
      <c r="AI339" s="31">
        <f>SUM($T339:V339)</f>
        <v>0</v>
      </c>
      <c r="AJ339" s="31">
        <f>SUM($T339:W339)</f>
        <v>0</v>
      </c>
      <c r="AK339" s="31">
        <f>SUM($T339:X339)</f>
        <v>0</v>
      </c>
      <c r="AL339" s="31">
        <f>SUM($T339:Y339)</f>
        <v>0</v>
      </c>
      <c r="AM339" s="31">
        <f>SUM($T339:Z339)</f>
        <v>0</v>
      </c>
      <c r="AN339" s="31">
        <f>SUM($T339:AA339)</f>
        <v>0</v>
      </c>
      <c r="AO339" s="31">
        <f>SUM($T339:AB339)</f>
        <v>0</v>
      </c>
      <c r="AP339" s="31">
        <f>SUM($T339:AC339)</f>
        <v>0</v>
      </c>
      <c r="AQ339" s="31">
        <f>SUM($T339:AD339)</f>
        <v>0</v>
      </c>
      <c r="AR339" s="31">
        <f>SUM($T339:AE339)</f>
        <v>0</v>
      </c>
      <c r="AS339" s="27">
        <f t="shared" si="60"/>
        <v>0</v>
      </c>
    </row>
    <row r="340" spans="2:45">
      <c r="B340" s="102" t="str">
        <f>IF(ROW()-6&gt;NumCostCenter,"",IF(CostCenter&lt;&gt;"ALL",CostCenter,DATA_LF2!B338))</f>
        <v/>
      </c>
      <c r="C340" s="153" t="str">
        <f>IF($B340&lt;&gt;"",INDEX(DataOB[],FirstRow+ROW()-7,2),"")</f>
        <v/>
      </c>
      <c r="D340" s="66" t="str">
        <f>IF($B340&lt;&gt;"",INDEX(DataOB[],FirstRow+ROW()-7,3),"")</f>
        <v/>
      </c>
      <c r="E340" s="103" t="str">
        <f>IF($B340&lt;&gt;"",INDEX(DataOB[],FirstRow+ROW()-7,6),"")</f>
        <v/>
      </c>
      <c r="F340" s="103" t="str">
        <f>IF($B340&lt;&gt;"",INDEX(DataOB[],FirstRow+ROW()-7,5),"")</f>
        <v/>
      </c>
      <c r="G340" s="58">
        <f>IF($B340&lt;&gt;"",SUMIFS(DataAct_tbl[AMOUNT],DataAct_tbl[BG CODE],Detail!$D340,DataAct_tbl[MONTH],LEFT(MonthName,3),DataAct_tbl[Dept code],$B340),0)</f>
        <v>0</v>
      </c>
      <c r="H340" s="31" t="str">
        <f t="shared" si="52"/>
        <v/>
      </c>
      <c r="I340" s="28" t="str">
        <f t="shared" si="53"/>
        <v/>
      </c>
      <c r="J340" s="32" t="str">
        <f t="shared" si="54"/>
        <v/>
      </c>
      <c r="K340" s="86"/>
      <c r="L340" s="62">
        <f>IF($B340&lt;&gt;"",SUMIFS(DataAct_tbl[AMOUNT],DataAct_tbl[BG CODE],Detail!$D340,DataAct_tbl[Check Range],"=true",DataAct_tbl[Dept code],$B340),0)</f>
        <v>0</v>
      </c>
      <c r="M340" s="63">
        <f>INDEX($AG$7:$AR$1005,ROW()-6,MATCH(MTD,$AG$6:$AR$6,0))</f>
        <v>0</v>
      </c>
      <c r="N340" s="34">
        <f t="shared" si="55"/>
        <v>0</v>
      </c>
      <c r="O340" s="64" t="str">
        <f t="shared" si="56"/>
        <v xml:space="preserve"> </v>
      </c>
      <c r="Q340" s="97">
        <f t="shared" si="57"/>
        <v>0</v>
      </c>
      <c r="R340" s="96">
        <f t="shared" si="58"/>
        <v>0</v>
      </c>
      <c r="T340" s="67" t="str">
        <f>IF($B340&lt;&gt;"",INDEX(DataOB[],FirstRow+ROW()-7,MATCH(T$6,DataOB[#Headers],0)),"")</f>
        <v/>
      </c>
      <c r="U340" s="67" t="str">
        <f>IF($B340&lt;&gt;"",INDEX(DataOB[],FirstRow+ROW()-7,MATCH(U$6,DataOB[#Headers],0)),"")</f>
        <v/>
      </c>
      <c r="V340" s="67" t="str">
        <f>IF($B340&lt;&gt;"",INDEX(DataOB[],FirstRow+ROW()-7,MATCH(V$6,DataOB[#Headers],0)),"")</f>
        <v/>
      </c>
      <c r="W340" s="67" t="str">
        <f>IF($B340&lt;&gt;"",INDEX(DataOB[],FirstRow+ROW()-7,MATCH(W$6,DataOB[#Headers],0)),"")</f>
        <v/>
      </c>
      <c r="X340" s="67" t="str">
        <f>IF($B340&lt;&gt;"",INDEX(DataOB[],FirstRow+ROW()-7,MATCH(X$6,DataOB[#Headers],0)),"")</f>
        <v/>
      </c>
      <c r="Y340" s="67" t="str">
        <f>IF($B340&lt;&gt;"",INDEX(DataOB[],FirstRow+ROW()-7,MATCH(Y$6,DataOB[#Headers],0)),"")</f>
        <v/>
      </c>
      <c r="Z340" s="67" t="str">
        <f>IF($B340&lt;&gt;"",INDEX(DataOB[],FirstRow+ROW()-7,MATCH(Z$6,DataOB[#Headers],0)),"")</f>
        <v/>
      </c>
      <c r="AA340" s="67" t="str">
        <f>IF($B340&lt;&gt;"",INDEX(DataOB[],FirstRow+ROW()-7,MATCH(AA$6,DataOB[#Headers],0)),"")</f>
        <v/>
      </c>
      <c r="AB340" s="67" t="str">
        <f>IF($B340&lt;&gt;"",INDEX(DataOB[],FirstRow+ROW()-7,MATCH(AB$6,DataOB[#Headers],0)),"")</f>
        <v/>
      </c>
      <c r="AC340" s="67" t="str">
        <f>IF($B340&lt;&gt;"",INDEX(DataOB[],FirstRow+ROW()-7,MATCH(AC$6,DataOB[#Headers],0)),"")</f>
        <v/>
      </c>
      <c r="AD340" s="67" t="str">
        <f>IF($B340&lt;&gt;"",INDEX(DataOB[],FirstRow+ROW()-7,MATCH(AD$6,DataOB[#Headers],0)),"")</f>
        <v/>
      </c>
      <c r="AE340" s="67" t="str">
        <f>IF($B340&lt;&gt;"",INDEX(DataOB[],FirstRow+ROW()-7,MATCH(AE$6,DataOB[#Headers],0)),"")</f>
        <v/>
      </c>
      <c r="AF340" s="26">
        <f t="shared" si="59"/>
        <v>0</v>
      </c>
      <c r="AG340" s="31">
        <f>SUM($T340:T340)</f>
        <v>0</v>
      </c>
      <c r="AH340" s="31">
        <f>SUM($T340:U340)</f>
        <v>0</v>
      </c>
      <c r="AI340" s="31">
        <f>SUM($T340:V340)</f>
        <v>0</v>
      </c>
      <c r="AJ340" s="31">
        <f>SUM($T340:W340)</f>
        <v>0</v>
      </c>
      <c r="AK340" s="31">
        <f>SUM($T340:X340)</f>
        <v>0</v>
      </c>
      <c r="AL340" s="31">
        <f>SUM($T340:Y340)</f>
        <v>0</v>
      </c>
      <c r="AM340" s="31">
        <f>SUM($T340:Z340)</f>
        <v>0</v>
      </c>
      <c r="AN340" s="31">
        <f>SUM($T340:AA340)</f>
        <v>0</v>
      </c>
      <c r="AO340" s="31">
        <f>SUM($T340:AB340)</f>
        <v>0</v>
      </c>
      <c r="AP340" s="31">
        <f>SUM($T340:AC340)</f>
        <v>0</v>
      </c>
      <c r="AQ340" s="31">
        <f>SUM($T340:AD340)</f>
        <v>0</v>
      </c>
      <c r="AR340" s="31">
        <f>SUM($T340:AE340)</f>
        <v>0</v>
      </c>
      <c r="AS340" s="27">
        <f t="shared" si="60"/>
        <v>0</v>
      </c>
    </row>
    <row r="341" spans="2:45">
      <c r="B341" s="102" t="str">
        <f>IF(ROW()-6&gt;NumCostCenter,"",IF(CostCenter&lt;&gt;"ALL",CostCenter,DATA_LF2!B339))</f>
        <v/>
      </c>
      <c r="C341" s="153" t="str">
        <f>IF($B341&lt;&gt;"",INDEX(DataOB[],FirstRow+ROW()-7,2),"")</f>
        <v/>
      </c>
      <c r="D341" s="66" t="str">
        <f>IF($B341&lt;&gt;"",INDEX(DataOB[],FirstRow+ROW()-7,3),"")</f>
        <v/>
      </c>
      <c r="E341" s="103" t="str">
        <f>IF($B341&lt;&gt;"",INDEX(DataOB[],FirstRow+ROW()-7,6),"")</f>
        <v/>
      </c>
      <c r="F341" s="103" t="str">
        <f>IF($B341&lt;&gt;"",INDEX(DataOB[],FirstRow+ROW()-7,5),"")</f>
        <v/>
      </c>
      <c r="G341" s="58">
        <f>IF($B341&lt;&gt;"",SUMIFS(DataAct_tbl[AMOUNT],DataAct_tbl[BG CODE],Detail!$D341,DataAct_tbl[MONTH],LEFT(MonthName,3),DataAct_tbl[Dept code],$B341),0)</f>
        <v>0</v>
      </c>
      <c r="H341" s="31" t="str">
        <f t="shared" si="52"/>
        <v/>
      </c>
      <c r="I341" s="28" t="str">
        <f t="shared" si="53"/>
        <v/>
      </c>
      <c r="J341" s="32" t="str">
        <f t="shared" si="54"/>
        <v/>
      </c>
      <c r="K341" s="86"/>
      <c r="L341" s="62">
        <f>IF($B341&lt;&gt;"",SUMIFS(DataAct_tbl[AMOUNT],DataAct_tbl[BG CODE],Detail!$D341,DataAct_tbl[Check Range],"=true",DataAct_tbl[Dept code],$B341),0)</f>
        <v>0</v>
      </c>
      <c r="M341" s="63">
        <f>INDEX($AG$7:$AR$1005,ROW()-6,MATCH(MTD,$AG$6:$AR$6,0))</f>
        <v>0</v>
      </c>
      <c r="N341" s="34">
        <f t="shared" si="55"/>
        <v>0</v>
      </c>
      <c r="O341" s="64" t="str">
        <f t="shared" si="56"/>
        <v xml:space="preserve"> </v>
      </c>
      <c r="Q341" s="97">
        <f t="shared" si="57"/>
        <v>0</v>
      </c>
      <c r="R341" s="96">
        <f t="shared" si="58"/>
        <v>0</v>
      </c>
      <c r="T341" s="67" t="str">
        <f>IF($B341&lt;&gt;"",INDEX(DataOB[],FirstRow+ROW()-7,MATCH(T$6,DataOB[#Headers],0)),"")</f>
        <v/>
      </c>
      <c r="U341" s="67" t="str">
        <f>IF($B341&lt;&gt;"",INDEX(DataOB[],FirstRow+ROW()-7,MATCH(U$6,DataOB[#Headers],0)),"")</f>
        <v/>
      </c>
      <c r="V341" s="67" t="str">
        <f>IF($B341&lt;&gt;"",INDEX(DataOB[],FirstRow+ROW()-7,MATCH(V$6,DataOB[#Headers],0)),"")</f>
        <v/>
      </c>
      <c r="W341" s="67" t="str">
        <f>IF($B341&lt;&gt;"",INDEX(DataOB[],FirstRow+ROW()-7,MATCH(W$6,DataOB[#Headers],0)),"")</f>
        <v/>
      </c>
      <c r="X341" s="67" t="str">
        <f>IF($B341&lt;&gt;"",INDEX(DataOB[],FirstRow+ROW()-7,MATCH(X$6,DataOB[#Headers],0)),"")</f>
        <v/>
      </c>
      <c r="Y341" s="67" t="str">
        <f>IF($B341&lt;&gt;"",INDEX(DataOB[],FirstRow+ROW()-7,MATCH(Y$6,DataOB[#Headers],0)),"")</f>
        <v/>
      </c>
      <c r="Z341" s="67" t="str">
        <f>IF($B341&lt;&gt;"",INDEX(DataOB[],FirstRow+ROW()-7,MATCH(Z$6,DataOB[#Headers],0)),"")</f>
        <v/>
      </c>
      <c r="AA341" s="67" t="str">
        <f>IF($B341&lt;&gt;"",INDEX(DataOB[],FirstRow+ROW()-7,MATCH(AA$6,DataOB[#Headers],0)),"")</f>
        <v/>
      </c>
      <c r="AB341" s="67" t="str">
        <f>IF($B341&lt;&gt;"",INDEX(DataOB[],FirstRow+ROW()-7,MATCH(AB$6,DataOB[#Headers],0)),"")</f>
        <v/>
      </c>
      <c r="AC341" s="67" t="str">
        <f>IF($B341&lt;&gt;"",INDEX(DataOB[],FirstRow+ROW()-7,MATCH(AC$6,DataOB[#Headers],0)),"")</f>
        <v/>
      </c>
      <c r="AD341" s="67" t="str">
        <f>IF($B341&lt;&gt;"",INDEX(DataOB[],FirstRow+ROW()-7,MATCH(AD$6,DataOB[#Headers],0)),"")</f>
        <v/>
      </c>
      <c r="AE341" s="67" t="str">
        <f>IF($B341&lt;&gt;"",INDEX(DataOB[],FirstRow+ROW()-7,MATCH(AE$6,DataOB[#Headers],0)),"")</f>
        <v/>
      </c>
      <c r="AF341" s="26">
        <f t="shared" si="59"/>
        <v>0</v>
      </c>
      <c r="AG341" s="31">
        <f>SUM($T341:T341)</f>
        <v>0</v>
      </c>
      <c r="AH341" s="31">
        <f>SUM($T341:U341)</f>
        <v>0</v>
      </c>
      <c r="AI341" s="31">
        <f>SUM($T341:V341)</f>
        <v>0</v>
      </c>
      <c r="AJ341" s="31">
        <f>SUM($T341:W341)</f>
        <v>0</v>
      </c>
      <c r="AK341" s="31">
        <f>SUM($T341:X341)</f>
        <v>0</v>
      </c>
      <c r="AL341" s="31">
        <f>SUM($T341:Y341)</f>
        <v>0</v>
      </c>
      <c r="AM341" s="31">
        <f>SUM($T341:Z341)</f>
        <v>0</v>
      </c>
      <c r="AN341" s="31">
        <f>SUM($T341:AA341)</f>
        <v>0</v>
      </c>
      <c r="AO341" s="31">
        <f>SUM($T341:AB341)</f>
        <v>0</v>
      </c>
      <c r="AP341" s="31">
        <f>SUM($T341:AC341)</f>
        <v>0</v>
      </c>
      <c r="AQ341" s="31">
        <f>SUM($T341:AD341)</f>
        <v>0</v>
      </c>
      <c r="AR341" s="31">
        <f>SUM($T341:AE341)</f>
        <v>0</v>
      </c>
      <c r="AS341" s="27">
        <f t="shared" si="60"/>
        <v>0</v>
      </c>
    </row>
    <row r="342" spans="2:45">
      <c r="B342" s="102" t="str">
        <f>IF(ROW()-6&gt;NumCostCenter,"",IF(CostCenter&lt;&gt;"ALL",CostCenter,DATA_LF2!B340))</f>
        <v/>
      </c>
      <c r="C342" s="153" t="str">
        <f>IF($B342&lt;&gt;"",INDEX(DataOB[],FirstRow+ROW()-7,2),"")</f>
        <v/>
      </c>
      <c r="D342" s="66" t="str">
        <f>IF($B342&lt;&gt;"",INDEX(DataOB[],FirstRow+ROW()-7,3),"")</f>
        <v/>
      </c>
      <c r="E342" s="103" t="str">
        <f>IF($B342&lt;&gt;"",INDEX(DataOB[],FirstRow+ROW()-7,6),"")</f>
        <v/>
      </c>
      <c r="F342" s="103" t="str">
        <f>IF($B342&lt;&gt;"",INDEX(DataOB[],FirstRow+ROW()-7,5),"")</f>
        <v/>
      </c>
      <c r="G342" s="58">
        <f>IF($B342&lt;&gt;"",SUMIFS(DataAct_tbl[AMOUNT],DataAct_tbl[BG CODE],Detail!$D342,DataAct_tbl[MONTH],LEFT(MonthName,3),DataAct_tbl[Dept code],$B342),0)</f>
        <v>0</v>
      </c>
      <c r="H342" s="31" t="str">
        <f t="shared" si="52"/>
        <v/>
      </c>
      <c r="I342" s="28" t="str">
        <f t="shared" si="53"/>
        <v/>
      </c>
      <c r="J342" s="32" t="str">
        <f t="shared" si="54"/>
        <v/>
      </c>
      <c r="K342" s="86"/>
      <c r="L342" s="62">
        <f>IF($B342&lt;&gt;"",SUMIFS(DataAct_tbl[AMOUNT],DataAct_tbl[BG CODE],Detail!$D342,DataAct_tbl[Check Range],"=true",DataAct_tbl[Dept code],$B342),0)</f>
        <v>0</v>
      </c>
      <c r="M342" s="63">
        <f>INDEX($AG$7:$AR$1005,ROW()-6,MATCH(MTD,$AG$6:$AR$6,0))</f>
        <v>0</v>
      </c>
      <c r="N342" s="34">
        <f t="shared" si="55"/>
        <v>0</v>
      </c>
      <c r="O342" s="64" t="str">
        <f t="shared" si="56"/>
        <v xml:space="preserve"> </v>
      </c>
      <c r="Q342" s="97">
        <f t="shared" si="57"/>
        <v>0</v>
      </c>
      <c r="R342" s="96">
        <f t="shared" si="58"/>
        <v>0</v>
      </c>
      <c r="T342" s="67" t="str">
        <f>IF($B342&lt;&gt;"",INDEX(DataOB[],FirstRow+ROW()-7,MATCH(T$6,DataOB[#Headers],0)),"")</f>
        <v/>
      </c>
      <c r="U342" s="67" t="str">
        <f>IF($B342&lt;&gt;"",INDEX(DataOB[],FirstRow+ROW()-7,MATCH(U$6,DataOB[#Headers],0)),"")</f>
        <v/>
      </c>
      <c r="V342" s="67" t="str">
        <f>IF($B342&lt;&gt;"",INDEX(DataOB[],FirstRow+ROW()-7,MATCH(V$6,DataOB[#Headers],0)),"")</f>
        <v/>
      </c>
      <c r="W342" s="67" t="str">
        <f>IF($B342&lt;&gt;"",INDEX(DataOB[],FirstRow+ROW()-7,MATCH(W$6,DataOB[#Headers],0)),"")</f>
        <v/>
      </c>
      <c r="X342" s="67" t="str">
        <f>IF($B342&lt;&gt;"",INDEX(DataOB[],FirstRow+ROW()-7,MATCH(X$6,DataOB[#Headers],0)),"")</f>
        <v/>
      </c>
      <c r="Y342" s="67" t="str">
        <f>IF($B342&lt;&gt;"",INDEX(DataOB[],FirstRow+ROW()-7,MATCH(Y$6,DataOB[#Headers],0)),"")</f>
        <v/>
      </c>
      <c r="Z342" s="67" t="str">
        <f>IF($B342&lt;&gt;"",INDEX(DataOB[],FirstRow+ROW()-7,MATCH(Z$6,DataOB[#Headers],0)),"")</f>
        <v/>
      </c>
      <c r="AA342" s="67" t="str">
        <f>IF($B342&lt;&gt;"",INDEX(DataOB[],FirstRow+ROW()-7,MATCH(AA$6,DataOB[#Headers],0)),"")</f>
        <v/>
      </c>
      <c r="AB342" s="67" t="str">
        <f>IF($B342&lt;&gt;"",INDEX(DataOB[],FirstRow+ROW()-7,MATCH(AB$6,DataOB[#Headers],0)),"")</f>
        <v/>
      </c>
      <c r="AC342" s="67" t="str">
        <f>IF($B342&lt;&gt;"",INDEX(DataOB[],FirstRow+ROW()-7,MATCH(AC$6,DataOB[#Headers],0)),"")</f>
        <v/>
      </c>
      <c r="AD342" s="67" t="str">
        <f>IF($B342&lt;&gt;"",INDEX(DataOB[],FirstRow+ROW()-7,MATCH(AD$6,DataOB[#Headers],0)),"")</f>
        <v/>
      </c>
      <c r="AE342" s="67" t="str">
        <f>IF($B342&lt;&gt;"",INDEX(DataOB[],FirstRow+ROW()-7,MATCH(AE$6,DataOB[#Headers],0)),"")</f>
        <v/>
      </c>
      <c r="AF342" s="26">
        <f t="shared" si="59"/>
        <v>0</v>
      </c>
      <c r="AG342" s="31">
        <f>SUM($T342:T342)</f>
        <v>0</v>
      </c>
      <c r="AH342" s="31">
        <f>SUM($T342:U342)</f>
        <v>0</v>
      </c>
      <c r="AI342" s="31">
        <f>SUM($T342:V342)</f>
        <v>0</v>
      </c>
      <c r="AJ342" s="31">
        <f>SUM($T342:W342)</f>
        <v>0</v>
      </c>
      <c r="AK342" s="31">
        <f>SUM($T342:X342)</f>
        <v>0</v>
      </c>
      <c r="AL342" s="31">
        <f>SUM($T342:Y342)</f>
        <v>0</v>
      </c>
      <c r="AM342" s="31">
        <f>SUM($T342:Z342)</f>
        <v>0</v>
      </c>
      <c r="AN342" s="31">
        <f>SUM($T342:AA342)</f>
        <v>0</v>
      </c>
      <c r="AO342" s="31">
        <f>SUM($T342:AB342)</f>
        <v>0</v>
      </c>
      <c r="AP342" s="31">
        <f>SUM($T342:AC342)</f>
        <v>0</v>
      </c>
      <c r="AQ342" s="31">
        <f>SUM($T342:AD342)</f>
        <v>0</v>
      </c>
      <c r="AR342" s="31">
        <f>SUM($T342:AE342)</f>
        <v>0</v>
      </c>
      <c r="AS342" s="27">
        <f t="shared" si="60"/>
        <v>0</v>
      </c>
    </row>
    <row r="343" spans="2:45">
      <c r="B343" s="102" t="str">
        <f>IF(ROW()-6&gt;NumCostCenter,"",IF(CostCenter&lt;&gt;"ALL",CostCenter,DATA_LF2!B341))</f>
        <v/>
      </c>
      <c r="C343" s="153" t="str">
        <f>IF($B343&lt;&gt;"",INDEX(DataOB[],FirstRow+ROW()-7,2),"")</f>
        <v/>
      </c>
      <c r="D343" s="66" t="str">
        <f>IF($B343&lt;&gt;"",INDEX(DataOB[],FirstRow+ROW()-7,3),"")</f>
        <v/>
      </c>
      <c r="E343" s="103" t="str">
        <f>IF($B343&lt;&gt;"",INDEX(DataOB[],FirstRow+ROW()-7,6),"")</f>
        <v/>
      </c>
      <c r="F343" s="103" t="str">
        <f>IF($B343&lt;&gt;"",INDEX(DataOB[],FirstRow+ROW()-7,5),"")</f>
        <v/>
      </c>
      <c r="G343" s="58">
        <f>IF($B343&lt;&gt;"",SUMIFS(DataAct_tbl[AMOUNT],DataAct_tbl[BG CODE],Detail!$D343,DataAct_tbl[MONTH],LEFT(MonthName,3),DataAct_tbl[Dept code],$B343),0)</f>
        <v>0</v>
      </c>
      <c r="H343" s="31" t="str">
        <f t="shared" si="52"/>
        <v/>
      </c>
      <c r="I343" s="28" t="str">
        <f t="shared" si="53"/>
        <v/>
      </c>
      <c r="J343" s="32" t="str">
        <f t="shared" si="54"/>
        <v/>
      </c>
      <c r="K343" s="86"/>
      <c r="L343" s="62">
        <f>IF($B343&lt;&gt;"",SUMIFS(DataAct_tbl[AMOUNT],DataAct_tbl[BG CODE],Detail!$D343,DataAct_tbl[Check Range],"=true",DataAct_tbl[Dept code],$B343),0)</f>
        <v>0</v>
      </c>
      <c r="M343" s="63">
        <f>INDEX($AG$7:$AR$1005,ROW()-6,MATCH(MTD,$AG$6:$AR$6,0))</f>
        <v>0</v>
      </c>
      <c r="N343" s="34">
        <f t="shared" si="55"/>
        <v>0</v>
      </c>
      <c r="O343" s="64" t="str">
        <f t="shared" si="56"/>
        <v xml:space="preserve"> </v>
      </c>
      <c r="Q343" s="97">
        <f t="shared" si="57"/>
        <v>0</v>
      </c>
      <c r="R343" s="96">
        <f t="shared" si="58"/>
        <v>0</v>
      </c>
      <c r="T343" s="67" t="str">
        <f>IF($B343&lt;&gt;"",INDEX(DataOB[],FirstRow+ROW()-7,MATCH(T$6,DataOB[#Headers],0)),"")</f>
        <v/>
      </c>
      <c r="U343" s="67" t="str">
        <f>IF($B343&lt;&gt;"",INDEX(DataOB[],FirstRow+ROW()-7,MATCH(U$6,DataOB[#Headers],0)),"")</f>
        <v/>
      </c>
      <c r="V343" s="67" t="str">
        <f>IF($B343&lt;&gt;"",INDEX(DataOB[],FirstRow+ROW()-7,MATCH(V$6,DataOB[#Headers],0)),"")</f>
        <v/>
      </c>
      <c r="W343" s="67" t="str">
        <f>IF($B343&lt;&gt;"",INDEX(DataOB[],FirstRow+ROW()-7,MATCH(W$6,DataOB[#Headers],0)),"")</f>
        <v/>
      </c>
      <c r="X343" s="67" t="str">
        <f>IF($B343&lt;&gt;"",INDEX(DataOB[],FirstRow+ROW()-7,MATCH(X$6,DataOB[#Headers],0)),"")</f>
        <v/>
      </c>
      <c r="Y343" s="67" t="str">
        <f>IF($B343&lt;&gt;"",INDEX(DataOB[],FirstRow+ROW()-7,MATCH(Y$6,DataOB[#Headers],0)),"")</f>
        <v/>
      </c>
      <c r="Z343" s="67" t="str">
        <f>IF($B343&lt;&gt;"",INDEX(DataOB[],FirstRow+ROW()-7,MATCH(Z$6,DataOB[#Headers],0)),"")</f>
        <v/>
      </c>
      <c r="AA343" s="67" t="str">
        <f>IF($B343&lt;&gt;"",INDEX(DataOB[],FirstRow+ROW()-7,MATCH(AA$6,DataOB[#Headers],0)),"")</f>
        <v/>
      </c>
      <c r="AB343" s="67" t="str">
        <f>IF($B343&lt;&gt;"",INDEX(DataOB[],FirstRow+ROW()-7,MATCH(AB$6,DataOB[#Headers],0)),"")</f>
        <v/>
      </c>
      <c r="AC343" s="67" t="str">
        <f>IF($B343&lt;&gt;"",INDEX(DataOB[],FirstRow+ROW()-7,MATCH(AC$6,DataOB[#Headers],0)),"")</f>
        <v/>
      </c>
      <c r="AD343" s="67" t="str">
        <f>IF($B343&lt;&gt;"",INDEX(DataOB[],FirstRow+ROW()-7,MATCH(AD$6,DataOB[#Headers],0)),"")</f>
        <v/>
      </c>
      <c r="AE343" s="67" t="str">
        <f>IF($B343&lt;&gt;"",INDEX(DataOB[],FirstRow+ROW()-7,MATCH(AE$6,DataOB[#Headers],0)),"")</f>
        <v/>
      </c>
      <c r="AF343" s="26">
        <f t="shared" si="59"/>
        <v>0</v>
      </c>
      <c r="AG343" s="31">
        <f>SUM($T343:T343)</f>
        <v>0</v>
      </c>
      <c r="AH343" s="31">
        <f>SUM($T343:U343)</f>
        <v>0</v>
      </c>
      <c r="AI343" s="31">
        <f>SUM($T343:V343)</f>
        <v>0</v>
      </c>
      <c r="AJ343" s="31">
        <f>SUM($T343:W343)</f>
        <v>0</v>
      </c>
      <c r="AK343" s="31">
        <f>SUM($T343:X343)</f>
        <v>0</v>
      </c>
      <c r="AL343" s="31">
        <f>SUM($T343:Y343)</f>
        <v>0</v>
      </c>
      <c r="AM343" s="31">
        <f>SUM($T343:Z343)</f>
        <v>0</v>
      </c>
      <c r="AN343" s="31">
        <f>SUM($T343:AA343)</f>
        <v>0</v>
      </c>
      <c r="AO343" s="31">
        <f>SUM($T343:AB343)</f>
        <v>0</v>
      </c>
      <c r="AP343" s="31">
        <f>SUM($T343:AC343)</f>
        <v>0</v>
      </c>
      <c r="AQ343" s="31">
        <f>SUM($T343:AD343)</f>
        <v>0</v>
      </c>
      <c r="AR343" s="31">
        <f>SUM($T343:AE343)</f>
        <v>0</v>
      </c>
      <c r="AS343" s="27">
        <f t="shared" si="60"/>
        <v>0</v>
      </c>
    </row>
    <row r="344" spans="2:45">
      <c r="B344" s="102" t="str">
        <f>IF(ROW()-6&gt;NumCostCenter,"",IF(CostCenter&lt;&gt;"ALL",CostCenter,DATA_LF2!B342))</f>
        <v/>
      </c>
      <c r="C344" s="153" t="str">
        <f>IF($B344&lt;&gt;"",INDEX(DataOB[],FirstRow+ROW()-7,2),"")</f>
        <v/>
      </c>
      <c r="D344" s="66" t="str">
        <f>IF($B344&lt;&gt;"",INDEX(DataOB[],FirstRow+ROW()-7,3),"")</f>
        <v/>
      </c>
      <c r="E344" s="103" t="str">
        <f>IF($B344&lt;&gt;"",INDEX(DataOB[],FirstRow+ROW()-7,6),"")</f>
        <v/>
      </c>
      <c r="F344" s="103" t="str">
        <f>IF($B344&lt;&gt;"",INDEX(DataOB[],FirstRow+ROW()-7,5),"")</f>
        <v/>
      </c>
      <c r="G344" s="58">
        <f>IF($B344&lt;&gt;"",SUMIFS(DataAct_tbl[AMOUNT],DataAct_tbl[BG CODE],Detail!$D344,DataAct_tbl[MONTH],LEFT(MonthName,3),DataAct_tbl[Dept code],$B344),0)</f>
        <v>0</v>
      </c>
      <c r="H344" s="31" t="str">
        <f t="shared" si="52"/>
        <v/>
      </c>
      <c r="I344" s="28" t="str">
        <f t="shared" si="53"/>
        <v/>
      </c>
      <c r="J344" s="32" t="str">
        <f t="shared" si="54"/>
        <v/>
      </c>
      <c r="K344" s="86"/>
      <c r="L344" s="62">
        <f>IF($B344&lt;&gt;"",SUMIFS(DataAct_tbl[AMOUNT],DataAct_tbl[BG CODE],Detail!$D344,DataAct_tbl[Check Range],"=true",DataAct_tbl[Dept code],$B344),0)</f>
        <v>0</v>
      </c>
      <c r="M344" s="63">
        <f>INDEX($AG$7:$AR$1005,ROW()-6,MATCH(MTD,$AG$6:$AR$6,0))</f>
        <v>0</v>
      </c>
      <c r="N344" s="34">
        <f t="shared" si="55"/>
        <v>0</v>
      </c>
      <c r="O344" s="64" t="str">
        <f t="shared" si="56"/>
        <v xml:space="preserve"> </v>
      </c>
      <c r="Q344" s="97">
        <f t="shared" si="57"/>
        <v>0</v>
      </c>
      <c r="R344" s="96">
        <f t="shared" si="58"/>
        <v>0</v>
      </c>
      <c r="T344" s="67" t="str">
        <f>IF($B344&lt;&gt;"",INDEX(DataOB[],FirstRow+ROW()-7,MATCH(T$6,DataOB[#Headers],0)),"")</f>
        <v/>
      </c>
      <c r="U344" s="67" t="str">
        <f>IF($B344&lt;&gt;"",INDEX(DataOB[],FirstRow+ROW()-7,MATCH(U$6,DataOB[#Headers],0)),"")</f>
        <v/>
      </c>
      <c r="V344" s="67" t="str">
        <f>IF($B344&lt;&gt;"",INDEX(DataOB[],FirstRow+ROW()-7,MATCH(V$6,DataOB[#Headers],0)),"")</f>
        <v/>
      </c>
      <c r="W344" s="67" t="str">
        <f>IF($B344&lt;&gt;"",INDEX(DataOB[],FirstRow+ROW()-7,MATCH(W$6,DataOB[#Headers],0)),"")</f>
        <v/>
      </c>
      <c r="X344" s="67" t="str">
        <f>IF($B344&lt;&gt;"",INDEX(DataOB[],FirstRow+ROW()-7,MATCH(X$6,DataOB[#Headers],0)),"")</f>
        <v/>
      </c>
      <c r="Y344" s="67" t="str">
        <f>IF($B344&lt;&gt;"",INDEX(DataOB[],FirstRow+ROW()-7,MATCH(Y$6,DataOB[#Headers],0)),"")</f>
        <v/>
      </c>
      <c r="Z344" s="67" t="str">
        <f>IF($B344&lt;&gt;"",INDEX(DataOB[],FirstRow+ROW()-7,MATCH(Z$6,DataOB[#Headers],0)),"")</f>
        <v/>
      </c>
      <c r="AA344" s="67" t="str">
        <f>IF($B344&lt;&gt;"",INDEX(DataOB[],FirstRow+ROW()-7,MATCH(AA$6,DataOB[#Headers],0)),"")</f>
        <v/>
      </c>
      <c r="AB344" s="67" t="str">
        <f>IF($B344&lt;&gt;"",INDEX(DataOB[],FirstRow+ROW()-7,MATCH(AB$6,DataOB[#Headers],0)),"")</f>
        <v/>
      </c>
      <c r="AC344" s="67" t="str">
        <f>IF($B344&lt;&gt;"",INDEX(DataOB[],FirstRow+ROW()-7,MATCH(AC$6,DataOB[#Headers],0)),"")</f>
        <v/>
      </c>
      <c r="AD344" s="67" t="str">
        <f>IF($B344&lt;&gt;"",INDEX(DataOB[],FirstRow+ROW()-7,MATCH(AD$6,DataOB[#Headers],0)),"")</f>
        <v/>
      </c>
      <c r="AE344" s="67" t="str">
        <f>IF($B344&lt;&gt;"",INDEX(DataOB[],FirstRow+ROW()-7,MATCH(AE$6,DataOB[#Headers],0)),"")</f>
        <v/>
      </c>
      <c r="AF344" s="26">
        <f t="shared" si="59"/>
        <v>0</v>
      </c>
      <c r="AG344" s="31">
        <f>SUM($T344:T344)</f>
        <v>0</v>
      </c>
      <c r="AH344" s="31">
        <f>SUM($T344:U344)</f>
        <v>0</v>
      </c>
      <c r="AI344" s="31">
        <f>SUM($T344:V344)</f>
        <v>0</v>
      </c>
      <c r="AJ344" s="31">
        <f>SUM($T344:W344)</f>
        <v>0</v>
      </c>
      <c r="AK344" s="31">
        <f>SUM($T344:X344)</f>
        <v>0</v>
      </c>
      <c r="AL344" s="31">
        <f>SUM($T344:Y344)</f>
        <v>0</v>
      </c>
      <c r="AM344" s="31">
        <f>SUM($T344:Z344)</f>
        <v>0</v>
      </c>
      <c r="AN344" s="31">
        <f>SUM($T344:AA344)</f>
        <v>0</v>
      </c>
      <c r="AO344" s="31">
        <f>SUM($T344:AB344)</f>
        <v>0</v>
      </c>
      <c r="AP344" s="31">
        <f>SUM($T344:AC344)</f>
        <v>0</v>
      </c>
      <c r="AQ344" s="31">
        <f>SUM($T344:AD344)</f>
        <v>0</v>
      </c>
      <c r="AR344" s="31">
        <f>SUM($T344:AE344)</f>
        <v>0</v>
      </c>
      <c r="AS344" s="27">
        <f t="shared" si="60"/>
        <v>0</v>
      </c>
    </row>
    <row r="345" spans="2:45">
      <c r="B345" s="102" t="str">
        <f>IF(ROW()-6&gt;NumCostCenter,"",IF(CostCenter&lt;&gt;"ALL",CostCenter,DATA_LF2!B343))</f>
        <v/>
      </c>
      <c r="C345" s="153" t="str">
        <f>IF($B345&lt;&gt;"",INDEX(DataOB[],FirstRow+ROW()-7,2),"")</f>
        <v/>
      </c>
      <c r="D345" s="66" t="str">
        <f>IF($B345&lt;&gt;"",INDEX(DataOB[],FirstRow+ROW()-7,3),"")</f>
        <v/>
      </c>
      <c r="E345" s="103" t="str">
        <f>IF($B345&lt;&gt;"",INDEX(DataOB[],FirstRow+ROW()-7,6),"")</f>
        <v/>
      </c>
      <c r="F345" s="103" t="str">
        <f>IF($B345&lt;&gt;"",INDEX(DataOB[],FirstRow+ROW()-7,5),"")</f>
        <v/>
      </c>
      <c r="G345" s="58">
        <f>IF($B345&lt;&gt;"",SUMIFS(DataAct_tbl[AMOUNT],DataAct_tbl[BG CODE],Detail!$D345,DataAct_tbl[MONTH],LEFT(MonthName,3),DataAct_tbl[Dept code],$B345),0)</f>
        <v>0</v>
      </c>
      <c r="H345" s="31" t="str">
        <f t="shared" si="52"/>
        <v/>
      </c>
      <c r="I345" s="28" t="str">
        <f t="shared" si="53"/>
        <v/>
      </c>
      <c r="J345" s="32" t="str">
        <f t="shared" si="54"/>
        <v/>
      </c>
      <c r="K345" s="86"/>
      <c r="L345" s="62">
        <f>IF($B345&lt;&gt;"",SUMIFS(DataAct_tbl[AMOUNT],DataAct_tbl[BG CODE],Detail!$D345,DataAct_tbl[Check Range],"=true",DataAct_tbl[Dept code],$B345),0)</f>
        <v>0</v>
      </c>
      <c r="M345" s="63">
        <f>INDEX($AG$7:$AR$1005,ROW()-6,MATCH(MTD,$AG$6:$AR$6,0))</f>
        <v>0</v>
      </c>
      <c r="N345" s="34">
        <f t="shared" si="55"/>
        <v>0</v>
      </c>
      <c r="O345" s="64" t="str">
        <f t="shared" si="56"/>
        <v xml:space="preserve"> </v>
      </c>
      <c r="Q345" s="97">
        <f t="shared" si="57"/>
        <v>0</v>
      </c>
      <c r="R345" s="96">
        <f t="shared" si="58"/>
        <v>0</v>
      </c>
      <c r="T345" s="67" t="str">
        <f>IF($B345&lt;&gt;"",INDEX(DataOB[],FirstRow+ROW()-7,MATCH(T$6,DataOB[#Headers],0)),"")</f>
        <v/>
      </c>
      <c r="U345" s="67" t="str">
        <f>IF($B345&lt;&gt;"",INDEX(DataOB[],FirstRow+ROW()-7,MATCH(U$6,DataOB[#Headers],0)),"")</f>
        <v/>
      </c>
      <c r="V345" s="67" t="str">
        <f>IF($B345&lt;&gt;"",INDEX(DataOB[],FirstRow+ROW()-7,MATCH(V$6,DataOB[#Headers],0)),"")</f>
        <v/>
      </c>
      <c r="W345" s="67" t="str">
        <f>IF($B345&lt;&gt;"",INDEX(DataOB[],FirstRow+ROW()-7,MATCH(W$6,DataOB[#Headers],0)),"")</f>
        <v/>
      </c>
      <c r="X345" s="67" t="str">
        <f>IF($B345&lt;&gt;"",INDEX(DataOB[],FirstRow+ROW()-7,MATCH(X$6,DataOB[#Headers],0)),"")</f>
        <v/>
      </c>
      <c r="Y345" s="67" t="str">
        <f>IF($B345&lt;&gt;"",INDEX(DataOB[],FirstRow+ROW()-7,MATCH(Y$6,DataOB[#Headers],0)),"")</f>
        <v/>
      </c>
      <c r="Z345" s="67" t="str">
        <f>IF($B345&lt;&gt;"",INDEX(DataOB[],FirstRow+ROW()-7,MATCH(Z$6,DataOB[#Headers],0)),"")</f>
        <v/>
      </c>
      <c r="AA345" s="67" t="str">
        <f>IF($B345&lt;&gt;"",INDEX(DataOB[],FirstRow+ROW()-7,MATCH(AA$6,DataOB[#Headers],0)),"")</f>
        <v/>
      </c>
      <c r="AB345" s="67" t="str">
        <f>IF($B345&lt;&gt;"",INDEX(DataOB[],FirstRow+ROW()-7,MATCH(AB$6,DataOB[#Headers],0)),"")</f>
        <v/>
      </c>
      <c r="AC345" s="67" t="str">
        <f>IF($B345&lt;&gt;"",INDEX(DataOB[],FirstRow+ROW()-7,MATCH(AC$6,DataOB[#Headers],0)),"")</f>
        <v/>
      </c>
      <c r="AD345" s="67" t="str">
        <f>IF($B345&lt;&gt;"",INDEX(DataOB[],FirstRow+ROW()-7,MATCH(AD$6,DataOB[#Headers],0)),"")</f>
        <v/>
      </c>
      <c r="AE345" s="67" t="str">
        <f>IF($B345&lt;&gt;"",INDEX(DataOB[],FirstRow+ROW()-7,MATCH(AE$6,DataOB[#Headers],0)),"")</f>
        <v/>
      </c>
      <c r="AF345" s="26">
        <f t="shared" si="59"/>
        <v>0</v>
      </c>
      <c r="AG345" s="31">
        <f>SUM($T345:T345)</f>
        <v>0</v>
      </c>
      <c r="AH345" s="31">
        <f>SUM($T345:U345)</f>
        <v>0</v>
      </c>
      <c r="AI345" s="31">
        <f>SUM($T345:V345)</f>
        <v>0</v>
      </c>
      <c r="AJ345" s="31">
        <f>SUM($T345:W345)</f>
        <v>0</v>
      </c>
      <c r="AK345" s="31">
        <f>SUM($T345:X345)</f>
        <v>0</v>
      </c>
      <c r="AL345" s="31">
        <f>SUM($T345:Y345)</f>
        <v>0</v>
      </c>
      <c r="AM345" s="31">
        <f>SUM($T345:Z345)</f>
        <v>0</v>
      </c>
      <c r="AN345" s="31">
        <f>SUM($T345:AA345)</f>
        <v>0</v>
      </c>
      <c r="AO345" s="31">
        <f>SUM($T345:AB345)</f>
        <v>0</v>
      </c>
      <c r="AP345" s="31">
        <f>SUM($T345:AC345)</f>
        <v>0</v>
      </c>
      <c r="AQ345" s="31">
        <f>SUM($T345:AD345)</f>
        <v>0</v>
      </c>
      <c r="AR345" s="31">
        <f>SUM($T345:AE345)</f>
        <v>0</v>
      </c>
      <c r="AS345" s="27">
        <f t="shared" si="60"/>
        <v>0</v>
      </c>
    </row>
    <row r="346" spans="2:45">
      <c r="B346" s="102" t="str">
        <f>IF(ROW()-6&gt;NumCostCenter,"",IF(CostCenter&lt;&gt;"ALL",CostCenter,DATA_LF2!B344))</f>
        <v/>
      </c>
      <c r="C346" s="153" t="str">
        <f>IF($B346&lt;&gt;"",INDEX(DataOB[],FirstRow+ROW()-7,2),"")</f>
        <v/>
      </c>
      <c r="D346" s="66" t="str">
        <f>IF($B346&lt;&gt;"",INDEX(DataOB[],FirstRow+ROW()-7,3),"")</f>
        <v/>
      </c>
      <c r="E346" s="103" t="str">
        <f>IF($B346&lt;&gt;"",INDEX(DataOB[],FirstRow+ROW()-7,6),"")</f>
        <v/>
      </c>
      <c r="F346" s="103" t="str">
        <f>IF($B346&lt;&gt;"",INDEX(DataOB[],FirstRow+ROW()-7,5),"")</f>
        <v/>
      </c>
      <c r="G346" s="58">
        <f>IF($B346&lt;&gt;"",SUMIFS(DataAct_tbl[AMOUNT],DataAct_tbl[BG CODE],Detail!$D346,DataAct_tbl[MONTH],LEFT(MonthName,3),DataAct_tbl[Dept code],$B346),0)</f>
        <v>0</v>
      </c>
      <c r="H346" s="31" t="str">
        <f t="shared" si="52"/>
        <v/>
      </c>
      <c r="I346" s="28" t="str">
        <f t="shared" si="53"/>
        <v/>
      </c>
      <c r="J346" s="32" t="str">
        <f t="shared" si="54"/>
        <v/>
      </c>
      <c r="K346" s="86"/>
      <c r="L346" s="62">
        <f>IF($B346&lt;&gt;"",SUMIFS(DataAct_tbl[AMOUNT],DataAct_tbl[BG CODE],Detail!$D346,DataAct_tbl[Check Range],"=true",DataAct_tbl[Dept code],$B346),0)</f>
        <v>0</v>
      </c>
      <c r="M346" s="63">
        <f>INDEX($AG$7:$AR$1005,ROW()-6,MATCH(MTD,$AG$6:$AR$6,0))</f>
        <v>0</v>
      </c>
      <c r="N346" s="34">
        <f t="shared" si="55"/>
        <v>0</v>
      </c>
      <c r="O346" s="64" t="str">
        <f t="shared" si="56"/>
        <v xml:space="preserve"> </v>
      </c>
      <c r="Q346" s="97">
        <f t="shared" si="57"/>
        <v>0</v>
      </c>
      <c r="R346" s="96">
        <f t="shared" si="58"/>
        <v>0</v>
      </c>
      <c r="T346" s="67" t="str">
        <f>IF($B346&lt;&gt;"",INDEX(DataOB[],FirstRow+ROW()-7,MATCH(T$6,DataOB[#Headers],0)),"")</f>
        <v/>
      </c>
      <c r="U346" s="67" t="str">
        <f>IF($B346&lt;&gt;"",INDEX(DataOB[],FirstRow+ROW()-7,MATCH(U$6,DataOB[#Headers],0)),"")</f>
        <v/>
      </c>
      <c r="V346" s="67" t="str">
        <f>IF($B346&lt;&gt;"",INDEX(DataOB[],FirstRow+ROW()-7,MATCH(V$6,DataOB[#Headers],0)),"")</f>
        <v/>
      </c>
      <c r="W346" s="67" t="str">
        <f>IF($B346&lt;&gt;"",INDEX(DataOB[],FirstRow+ROW()-7,MATCH(W$6,DataOB[#Headers],0)),"")</f>
        <v/>
      </c>
      <c r="X346" s="67" t="str">
        <f>IF($B346&lt;&gt;"",INDEX(DataOB[],FirstRow+ROW()-7,MATCH(X$6,DataOB[#Headers],0)),"")</f>
        <v/>
      </c>
      <c r="Y346" s="67" t="str">
        <f>IF($B346&lt;&gt;"",INDEX(DataOB[],FirstRow+ROW()-7,MATCH(Y$6,DataOB[#Headers],0)),"")</f>
        <v/>
      </c>
      <c r="Z346" s="67" t="str">
        <f>IF($B346&lt;&gt;"",INDEX(DataOB[],FirstRow+ROW()-7,MATCH(Z$6,DataOB[#Headers],0)),"")</f>
        <v/>
      </c>
      <c r="AA346" s="67" t="str">
        <f>IF($B346&lt;&gt;"",INDEX(DataOB[],FirstRow+ROW()-7,MATCH(AA$6,DataOB[#Headers],0)),"")</f>
        <v/>
      </c>
      <c r="AB346" s="67" t="str">
        <f>IF($B346&lt;&gt;"",INDEX(DataOB[],FirstRow+ROW()-7,MATCH(AB$6,DataOB[#Headers],0)),"")</f>
        <v/>
      </c>
      <c r="AC346" s="67" t="str">
        <f>IF($B346&lt;&gt;"",INDEX(DataOB[],FirstRow+ROW()-7,MATCH(AC$6,DataOB[#Headers],0)),"")</f>
        <v/>
      </c>
      <c r="AD346" s="67" t="str">
        <f>IF($B346&lt;&gt;"",INDEX(DataOB[],FirstRow+ROW()-7,MATCH(AD$6,DataOB[#Headers],0)),"")</f>
        <v/>
      </c>
      <c r="AE346" s="67" t="str">
        <f>IF($B346&lt;&gt;"",INDEX(DataOB[],FirstRow+ROW()-7,MATCH(AE$6,DataOB[#Headers],0)),"")</f>
        <v/>
      </c>
      <c r="AF346" s="26">
        <f t="shared" si="59"/>
        <v>0</v>
      </c>
      <c r="AG346" s="31">
        <f>SUM($T346:T346)</f>
        <v>0</v>
      </c>
      <c r="AH346" s="31">
        <f>SUM($T346:U346)</f>
        <v>0</v>
      </c>
      <c r="AI346" s="31">
        <f>SUM($T346:V346)</f>
        <v>0</v>
      </c>
      <c r="AJ346" s="31">
        <f>SUM($T346:W346)</f>
        <v>0</v>
      </c>
      <c r="AK346" s="31">
        <f>SUM($T346:X346)</f>
        <v>0</v>
      </c>
      <c r="AL346" s="31">
        <f>SUM($T346:Y346)</f>
        <v>0</v>
      </c>
      <c r="AM346" s="31">
        <f>SUM($T346:Z346)</f>
        <v>0</v>
      </c>
      <c r="AN346" s="31">
        <f>SUM($T346:AA346)</f>
        <v>0</v>
      </c>
      <c r="AO346" s="31">
        <f>SUM($T346:AB346)</f>
        <v>0</v>
      </c>
      <c r="AP346" s="31">
        <f>SUM($T346:AC346)</f>
        <v>0</v>
      </c>
      <c r="AQ346" s="31">
        <f>SUM($T346:AD346)</f>
        <v>0</v>
      </c>
      <c r="AR346" s="31">
        <f>SUM($T346:AE346)</f>
        <v>0</v>
      </c>
      <c r="AS346" s="27">
        <f t="shared" si="60"/>
        <v>0</v>
      </c>
    </row>
    <row r="347" spans="2:45">
      <c r="B347" s="102" t="str">
        <f>IF(ROW()-6&gt;NumCostCenter,"",IF(CostCenter&lt;&gt;"ALL",CostCenter,DATA_LF2!B345))</f>
        <v/>
      </c>
      <c r="C347" s="153" t="str">
        <f>IF($B347&lt;&gt;"",INDEX(DataOB[],FirstRow+ROW()-7,2),"")</f>
        <v/>
      </c>
      <c r="D347" s="66" t="str">
        <f>IF($B347&lt;&gt;"",INDEX(DataOB[],FirstRow+ROW()-7,3),"")</f>
        <v/>
      </c>
      <c r="E347" s="103" t="str">
        <f>IF($B347&lt;&gt;"",INDEX(DataOB[],FirstRow+ROW()-7,6),"")</f>
        <v/>
      </c>
      <c r="F347" s="103" t="str">
        <f>IF($B347&lt;&gt;"",INDEX(DataOB[],FirstRow+ROW()-7,5),"")</f>
        <v/>
      </c>
      <c r="G347" s="58">
        <f>IF($B347&lt;&gt;"",SUMIFS(DataAct_tbl[AMOUNT],DataAct_tbl[BG CODE],Detail!$D347,DataAct_tbl[MONTH],LEFT(MonthName,3),DataAct_tbl[Dept code],$B347),0)</f>
        <v>0</v>
      </c>
      <c r="H347" s="31" t="str">
        <f t="shared" si="52"/>
        <v/>
      </c>
      <c r="I347" s="28" t="str">
        <f t="shared" si="53"/>
        <v/>
      </c>
      <c r="J347" s="32" t="str">
        <f t="shared" si="54"/>
        <v/>
      </c>
      <c r="K347" s="86"/>
      <c r="L347" s="62">
        <f>IF($B347&lt;&gt;"",SUMIFS(DataAct_tbl[AMOUNT],DataAct_tbl[BG CODE],Detail!$D347,DataAct_tbl[Check Range],"=true",DataAct_tbl[Dept code],$B347),0)</f>
        <v>0</v>
      </c>
      <c r="M347" s="63">
        <f>INDEX($AG$7:$AR$1005,ROW()-6,MATCH(MTD,$AG$6:$AR$6,0))</f>
        <v>0</v>
      </c>
      <c r="N347" s="34">
        <f t="shared" si="55"/>
        <v>0</v>
      </c>
      <c r="O347" s="64" t="str">
        <f t="shared" si="56"/>
        <v xml:space="preserve"> </v>
      </c>
      <c r="Q347" s="97">
        <f t="shared" si="57"/>
        <v>0</v>
      </c>
      <c r="R347" s="96">
        <f t="shared" si="58"/>
        <v>0</v>
      </c>
      <c r="T347" s="67" t="str">
        <f>IF($B347&lt;&gt;"",INDEX(DataOB[],FirstRow+ROW()-7,MATCH(T$6,DataOB[#Headers],0)),"")</f>
        <v/>
      </c>
      <c r="U347" s="67" t="str">
        <f>IF($B347&lt;&gt;"",INDEX(DataOB[],FirstRow+ROW()-7,MATCH(U$6,DataOB[#Headers],0)),"")</f>
        <v/>
      </c>
      <c r="V347" s="67" t="str">
        <f>IF($B347&lt;&gt;"",INDEX(DataOB[],FirstRow+ROW()-7,MATCH(V$6,DataOB[#Headers],0)),"")</f>
        <v/>
      </c>
      <c r="W347" s="67" t="str">
        <f>IF($B347&lt;&gt;"",INDEX(DataOB[],FirstRow+ROW()-7,MATCH(W$6,DataOB[#Headers],0)),"")</f>
        <v/>
      </c>
      <c r="X347" s="67" t="str">
        <f>IF($B347&lt;&gt;"",INDEX(DataOB[],FirstRow+ROW()-7,MATCH(X$6,DataOB[#Headers],0)),"")</f>
        <v/>
      </c>
      <c r="Y347" s="67" t="str">
        <f>IF($B347&lt;&gt;"",INDEX(DataOB[],FirstRow+ROW()-7,MATCH(Y$6,DataOB[#Headers],0)),"")</f>
        <v/>
      </c>
      <c r="Z347" s="67" t="str">
        <f>IF($B347&lt;&gt;"",INDEX(DataOB[],FirstRow+ROW()-7,MATCH(Z$6,DataOB[#Headers],0)),"")</f>
        <v/>
      </c>
      <c r="AA347" s="67" t="str">
        <f>IF($B347&lt;&gt;"",INDEX(DataOB[],FirstRow+ROW()-7,MATCH(AA$6,DataOB[#Headers],0)),"")</f>
        <v/>
      </c>
      <c r="AB347" s="67" t="str">
        <f>IF($B347&lt;&gt;"",INDEX(DataOB[],FirstRow+ROW()-7,MATCH(AB$6,DataOB[#Headers],0)),"")</f>
        <v/>
      </c>
      <c r="AC347" s="67" t="str">
        <f>IF($B347&lt;&gt;"",INDEX(DataOB[],FirstRow+ROW()-7,MATCH(AC$6,DataOB[#Headers],0)),"")</f>
        <v/>
      </c>
      <c r="AD347" s="67" t="str">
        <f>IF($B347&lt;&gt;"",INDEX(DataOB[],FirstRow+ROW()-7,MATCH(AD$6,DataOB[#Headers],0)),"")</f>
        <v/>
      </c>
      <c r="AE347" s="67" t="str">
        <f>IF($B347&lt;&gt;"",INDEX(DataOB[],FirstRow+ROW()-7,MATCH(AE$6,DataOB[#Headers],0)),"")</f>
        <v/>
      </c>
      <c r="AF347" s="26">
        <f t="shared" si="59"/>
        <v>0</v>
      </c>
      <c r="AG347" s="31">
        <f>SUM($T347:T347)</f>
        <v>0</v>
      </c>
      <c r="AH347" s="31">
        <f>SUM($T347:U347)</f>
        <v>0</v>
      </c>
      <c r="AI347" s="31">
        <f>SUM($T347:V347)</f>
        <v>0</v>
      </c>
      <c r="AJ347" s="31">
        <f>SUM($T347:W347)</f>
        <v>0</v>
      </c>
      <c r="AK347" s="31">
        <f>SUM($T347:X347)</f>
        <v>0</v>
      </c>
      <c r="AL347" s="31">
        <f>SUM($T347:Y347)</f>
        <v>0</v>
      </c>
      <c r="AM347" s="31">
        <f>SUM($T347:Z347)</f>
        <v>0</v>
      </c>
      <c r="AN347" s="31">
        <f>SUM($T347:AA347)</f>
        <v>0</v>
      </c>
      <c r="AO347" s="31">
        <f>SUM($T347:AB347)</f>
        <v>0</v>
      </c>
      <c r="AP347" s="31">
        <f>SUM($T347:AC347)</f>
        <v>0</v>
      </c>
      <c r="AQ347" s="31">
        <f>SUM($T347:AD347)</f>
        <v>0</v>
      </c>
      <c r="AR347" s="31">
        <f>SUM($T347:AE347)</f>
        <v>0</v>
      </c>
      <c r="AS347" s="27">
        <f t="shared" si="60"/>
        <v>0</v>
      </c>
    </row>
    <row r="348" spans="2:45">
      <c r="B348" s="102" t="str">
        <f>IF(ROW()-6&gt;NumCostCenter,"",IF(CostCenter&lt;&gt;"ALL",CostCenter,DATA_LF2!B346))</f>
        <v/>
      </c>
      <c r="C348" s="153" t="str">
        <f>IF($B348&lt;&gt;"",INDEX(DataOB[],FirstRow+ROW()-7,2),"")</f>
        <v/>
      </c>
      <c r="D348" s="66" t="str">
        <f>IF($B348&lt;&gt;"",INDEX(DataOB[],FirstRow+ROW()-7,3),"")</f>
        <v/>
      </c>
      <c r="E348" s="103" t="str">
        <f>IF($B348&lt;&gt;"",INDEX(DataOB[],FirstRow+ROW()-7,6),"")</f>
        <v/>
      </c>
      <c r="F348" s="103" t="str">
        <f>IF($B348&lt;&gt;"",INDEX(DataOB[],FirstRow+ROW()-7,5),"")</f>
        <v/>
      </c>
      <c r="G348" s="58">
        <f>IF($B348&lt;&gt;"",SUMIFS(DataAct_tbl[AMOUNT],DataAct_tbl[BG CODE],Detail!$D348,DataAct_tbl[MONTH],LEFT(MonthName,3),DataAct_tbl[Dept code],$B348),0)</f>
        <v>0</v>
      </c>
      <c r="H348" s="31" t="str">
        <f t="shared" si="52"/>
        <v/>
      </c>
      <c r="I348" s="28" t="str">
        <f t="shared" si="53"/>
        <v/>
      </c>
      <c r="J348" s="32" t="str">
        <f t="shared" si="54"/>
        <v/>
      </c>
      <c r="K348" s="86"/>
      <c r="L348" s="62">
        <f>IF($B348&lt;&gt;"",SUMIFS(DataAct_tbl[AMOUNT],DataAct_tbl[BG CODE],Detail!$D348,DataAct_tbl[Check Range],"=true",DataAct_tbl[Dept code],$B348),0)</f>
        <v>0</v>
      </c>
      <c r="M348" s="63">
        <f>INDEX($AG$7:$AR$1005,ROW()-6,MATCH(MTD,$AG$6:$AR$6,0))</f>
        <v>0</v>
      </c>
      <c r="N348" s="34">
        <f t="shared" si="55"/>
        <v>0</v>
      </c>
      <c r="O348" s="64" t="str">
        <f t="shared" si="56"/>
        <v xml:space="preserve"> </v>
      </c>
      <c r="Q348" s="97">
        <f t="shared" si="57"/>
        <v>0</v>
      </c>
      <c r="R348" s="96">
        <f t="shared" si="58"/>
        <v>0</v>
      </c>
      <c r="T348" s="67" t="str">
        <f>IF($B348&lt;&gt;"",INDEX(DataOB[],FirstRow+ROW()-7,MATCH(T$6,DataOB[#Headers],0)),"")</f>
        <v/>
      </c>
      <c r="U348" s="67" t="str">
        <f>IF($B348&lt;&gt;"",INDEX(DataOB[],FirstRow+ROW()-7,MATCH(U$6,DataOB[#Headers],0)),"")</f>
        <v/>
      </c>
      <c r="V348" s="67" t="str">
        <f>IF($B348&lt;&gt;"",INDEX(DataOB[],FirstRow+ROW()-7,MATCH(V$6,DataOB[#Headers],0)),"")</f>
        <v/>
      </c>
      <c r="W348" s="67" t="str">
        <f>IF($B348&lt;&gt;"",INDEX(DataOB[],FirstRow+ROW()-7,MATCH(W$6,DataOB[#Headers],0)),"")</f>
        <v/>
      </c>
      <c r="X348" s="67" t="str">
        <f>IF($B348&lt;&gt;"",INDEX(DataOB[],FirstRow+ROW()-7,MATCH(X$6,DataOB[#Headers],0)),"")</f>
        <v/>
      </c>
      <c r="Y348" s="67" t="str">
        <f>IF($B348&lt;&gt;"",INDEX(DataOB[],FirstRow+ROW()-7,MATCH(Y$6,DataOB[#Headers],0)),"")</f>
        <v/>
      </c>
      <c r="Z348" s="67" t="str">
        <f>IF($B348&lt;&gt;"",INDEX(DataOB[],FirstRow+ROW()-7,MATCH(Z$6,DataOB[#Headers],0)),"")</f>
        <v/>
      </c>
      <c r="AA348" s="67" t="str">
        <f>IF($B348&lt;&gt;"",INDEX(DataOB[],FirstRow+ROW()-7,MATCH(AA$6,DataOB[#Headers],0)),"")</f>
        <v/>
      </c>
      <c r="AB348" s="67" t="str">
        <f>IF($B348&lt;&gt;"",INDEX(DataOB[],FirstRow+ROW()-7,MATCH(AB$6,DataOB[#Headers],0)),"")</f>
        <v/>
      </c>
      <c r="AC348" s="67" t="str">
        <f>IF($B348&lt;&gt;"",INDEX(DataOB[],FirstRow+ROW()-7,MATCH(AC$6,DataOB[#Headers],0)),"")</f>
        <v/>
      </c>
      <c r="AD348" s="67" t="str">
        <f>IF($B348&lt;&gt;"",INDEX(DataOB[],FirstRow+ROW()-7,MATCH(AD$6,DataOB[#Headers],0)),"")</f>
        <v/>
      </c>
      <c r="AE348" s="67" t="str">
        <f>IF($B348&lt;&gt;"",INDEX(DataOB[],FirstRow+ROW()-7,MATCH(AE$6,DataOB[#Headers],0)),"")</f>
        <v/>
      </c>
      <c r="AF348" s="26">
        <f t="shared" si="59"/>
        <v>0</v>
      </c>
      <c r="AG348" s="31">
        <f>SUM($T348:T348)</f>
        <v>0</v>
      </c>
      <c r="AH348" s="31">
        <f>SUM($T348:U348)</f>
        <v>0</v>
      </c>
      <c r="AI348" s="31">
        <f>SUM($T348:V348)</f>
        <v>0</v>
      </c>
      <c r="AJ348" s="31">
        <f>SUM($T348:W348)</f>
        <v>0</v>
      </c>
      <c r="AK348" s="31">
        <f>SUM($T348:X348)</f>
        <v>0</v>
      </c>
      <c r="AL348" s="31">
        <f>SUM($T348:Y348)</f>
        <v>0</v>
      </c>
      <c r="AM348" s="31">
        <f>SUM($T348:Z348)</f>
        <v>0</v>
      </c>
      <c r="AN348" s="31">
        <f>SUM($T348:AA348)</f>
        <v>0</v>
      </c>
      <c r="AO348" s="31">
        <f>SUM($T348:AB348)</f>
        <v>0</v>
      </c>
      <c r="AP348" s="31">
        <f>SUM($T348:AC348)</f>
        <v>0</v>
      </c>
      <c r="AQ348" s="31">
        <f>SUM($T348:AD348)</f>
        <v>0</v>
      </c>
      <c r="AR348" s="31">
        <f>SUM($T348:AE348)</f>
        <v>0</v>
      </c>
      <c r="AS348" s="27">
        <f t="shared" si="60"/>
        <v>0</v>
      </c>
    </row>
    <row r="349" spans="2:45">
      <c r="B349" s="102" t="str">
        <f>IF(ROW()-6&gt;NumCostCenter,"",IF(CostCenter&lt;&gt;"ALL",CostCenter,DATA_LF2!B347))</f>
        <v/>
      </c>
      <c r="C349" s="153" t="str">
        <f>IF($B349&lt;&gt;"",INDEX(DataOB[],FirstRow+ROW()-7,2),"")</f>
        <v/>
      </c>
      <c r="D349" s="66" t="str">
        <f>IF($B349&lt;&gt;"",INDEX(DataOB[],FirstRow+ROW()-7,3),"")</f>
        <v/>
      </c>
      <c r="E349" s="103" t="str">
        <f>IF($B349&lt;&gt;"",INDEX(DataOB[],FirstRow+ROW()-7,6),"")</f>
        <v/>
      </c>
      <c r="F349" s="103" t="str">
        <f>IF($B349&lt;&gt;"",INDEX(DataOB[],FirstRow+ROW()-7,5),"")</f>
        <v/>
      </c>
      <c r="G349" s="58">
        <f>IF($B349&lt;&gt;"",SUMIFS(DataAct_tbl[AMOUNT],DataAct_tbl[BG CODE],Detail!$D349,DataAct_tbl[MONTH],LEFT(MonthName,3),DataAct_tbl[Dept code],$B349),0)</f>
        <v>0</v>
      </c>
      <c r="H349" s="31" t="str">
        <f t="shared" si="52"/>
        <v/>
      </c>
      <c r="I349" s="28" t="str">
        <f t="shared" si="53"/>
        <v/>
      </c>
      <c r="J349" s="32" t="str">
        <f t="shared" si="54"/>
        <v/>
      </c>
      <c r="K349" s="86"/>
      <c r="L349" s="62">
        <f>IF($B349&lt;&gt;"",SUMIFS(DataAct_tbl[AMOUNT],DataAct_tbl[BG CODE],Detail!$D349,DataAct_tbl[Check Range],"=true",DataAct_tbl[Dept code],$B349),0)</f>
        <v>0</v>
      </c>
      <c r="M349" s="63">
        <f>INDEX($AG$7:$AR$1005,ROW()-6,MATCH(MTD,$AG$6:$AR$6,0))</f>
        <v>0</v>
      </c>
      <c r="N349" s="34">
        <f t="shared" si="55"/>
        <v>0</v>
      </c>
      <c r="O349" s="64" t="str">
        <f t="shared" si="56"/>
        <v xml:space="preserve"> </v>
      </c>
      <c r="Q349" s="97">
        <f t="shared" si="57"/>
        <v>0</v>
      </c>
      <c r="R349" s="96">
        <f t="shared" si="58"/>
        <v>0</v>
      </c>
      <c r="T349" s="67" t="str">
        <f>IF($B349&lt;&gt;"",INDEX(DataOB[],FirstRow+ROW()-7,MATCH(T$6,DataOB[#Headers],0)),"")</f>
        <v/>
      </c>
      <c r="U349" s="67" t="str">
        <f>IF($B349&lt;&gt;"",INDEX(DataOB[],FirstRow+ROW()-7,MATCH(U$6,DataOB[#Headers],0)),"")</f>
        <v/>
      </c>
      <c r="V349" s="67" t="str">
        <f>IF($B349&lt;&gt;"",INDEX(DataOB[],FirstRow+ROW()-7,MATCH(V$6,DataOB[#Headers],0)),"")</f>
        <v/>
      </c>
      <c r="W349" s="67" t="str">
        <f>IF($B349&lt;&gt;"",INDEX(DataOB[],FirstRow+ROW()-7,MATCH(W$6,DataOB[#Headers],0)),"")</f>
        <v/>
      </c>
      <c r="X349" s="67" t="str">
        <f>IF($B349&lt;&gt;"",INDEX(DataOB[],FirstRow+ROW()-7,MATCH(X$6,DataOB[#Headers],0)),"")</f>
        <v/>
      </c>
      <c r="Y349" s="67" t="str">
        <f>IF($B349&lt;&gt;"",INDEX(DataOB[],FirstRow+ROW()-7,MATCH(Y$6,DataOB[#Headers],0)),"")</f>
        <v/>
      </c>
      <c r="Z349" s="67" t="str">
        <f>IF($B349&lt;&gt;"",INDEX(DataOB[],FirstRow+ROW()-7,MATCH(Z$6,DataOB[#Headers],0)),"")</f>
        <v/>
      </c>
      <c r="AA349" s="67" t="str">
        <f>IF($B349&lt;&gt;"",INDEX(DataOB[],FirstRow+ROW()-7,MATCH(AA$6,DataOB[#Headers],0)),"")</f>
        <v/>
      </c>
      <c r="AB349" s="67" t="str">
        <f>IF($B349&lt;&gt;"",INDEX(DataOB[],FirstRow+ROW()-7,MATCH(AB$6,DataOB[#Headers],0)),"")</f>
        <v/>
      </c>
      <c r="AC349" s="67" t="str">
        <f>IF($B349&lt;&gt;"",INDEX(DataOB[],FirstRow+ROW()-7,MATCH(AC$6,DataOB[#Headers],0)),"")</f>
        <v/>
      </c>
      <c r="AD349" s="67" t="str">
        <f>IF($B349&lt;&gt;"",INDEX(DataOB[],FirstRow+ROW()-7,MATCH(AD$6,DataOB[#Headers],0)),"")</f>
        <v/>
      </c>
      <c r="AE349" s="67" t="str">
        <f>IF($B349&lt;&gt;"",INDEX(DataOB[],FirstRow+ROW()-7,MATCH(AE$6,DataOB[#Headers],0)),"")</f>
        <v/>
      </c>
      <c r="AF349" s="26">
        <f t="shared" si="59"/>
        <v>0</v>
      </c>
      <c r="AG349" s="31">
        <f>SUM($T349:T349)</f>
        <v>0</v>
      </c>
      <c r="AH349" s="31">
        <f>SUM($T349:U349)</f>
        <v>0</v>
      </c>
      <c r="AI349" s="31">
        <f>SUM($T349:V349)</f>
        <v>0</v>
      </c>
      <c r="AJ349" s="31">
        <f>SUM($T349:W349)</f>
        <v>0</v>
      </c>
      <c r="AK349" s="31">
        <f>SUM($T349:X349)</f>
        <v>0</v>
      </c>
      <c r="AL349" s="31">
        <f>SUM($T349:Y349)</f>
        <v>0</v>
      </c>
      <c r="AM349" s="31">
        <f>SUM($T349:Z349)</f>
        <v>0</v>
      </c>
      <c r="AN349" s="31">
        <f>SUM($T349:AA349)</f>
        <v>0</v>
      </c>
      <c r="AO349" s="31">
        <f>SUM($T349:AB349)</f>
        <v>0</v>
      </c>
      <c r="AP349" s="31">
        <f>SUM($T349:AC349)</f>
        <v>0</v>
      </c>
      <c r="AQ349" s="31">
        <f>SUM($T349:AD349)</f>
        <v>0</v>
      </c>
      <c r="AR349" s="31">
        <f>SUM($T349:AE349)</f>
        <v>0</v>
      </c>
      <c r="AS349" s="27">
        <f t="shared" si="60"/>
        <v>0</v>
      </c>
    </row>
    <row r="350" spans="2:45">
      <c r="B350" s="102" t="str">
        <f>IF(ROW()-6&gt;NumCostCenter,"",IF(CostCenter&lt;&gt;"ALL",CostCenter,DATA_LF2!B348))</f>
        <v/>
      </c>
      <c r="C350" s="153" t="str">
        <f>IF($B350&lt;&gt;"",INDEX(DataOB[],FirstRow+ROW()-7,2),"")</f>
        <v/>
      </c>
      <c r="D350" s="66" t="str">
        <f>IF($B350&lt;&gt;"",INDEX(DataOB[],FirstRow+ROW()-7,3),"")</f>
        <v/>
      </c>
      <c r="E350" s="103" t="str">
        <f>IF($B350&lt;&gt;"",INDEX(DataOB[],FirstRow+ROW()-7,6),"")</f>
        <v/>
      </c>
      <c r="F350" s="103" t="str">
        <f>IF($B350&lt;&gt;"",INDEX(DataOB[],FirstRow+ROW()-7,5),"")</f>
        <v/>
      </c>
      <c r="G350" s="58">
        <f>IF($B350&lt;&gt;"",SUMIFS(DataAct_tbl[AMOUNT],DataAct_tbl[BG CODE],Detail!$D350,DataAct_tbl[MONTH],LEFT(MonthName,3),DataAct_tbl[Dept code],$B350),0)</f>
        <v>0</v>
      </c>
      <c r="H350" s="31" t="str">
        <f t="shared" si="52"/>
        <v/>
      </c>
      <c r="I350" s="28" t="str">
        <f t="shared" si="53"/>
        <v/>
      </c>
      <c r="J350" s="32" t="str">
        <f t="shared" si="54"/>
        <v/>
      </c>
      <c r="K350" s="86"/>
      <c r="L350" s="62">
        <f>IF($B350&lt;&gt;"",SUMIFS(DataAct_tbl[AMOUNT],DataAct_tbl[BG CODE],Detail!$D350,DataAct_tbl[Check Range],"=true",DataAct_tbl[Dept code],$B350),0)</f>
        <v>0</v>
      </c>
      <c r="M350" s="63">
        <f>INDEX($AG$7:$AR$1005,ROW()-6,MATCH(MTD,$AG$6:$AR$6,0))</f>
        <v>0</v>
      </c>
      <c r="N350" s="34">
        <f t="shared" si="55"/>
        <v>0</v>
      </c>
      <c r="O350" s="64" t="str">
        <f t="shared" si="56"/>
        <v xml:space="preserve"> </v>
      </c>
      <c r="Q350" s="97">
        <f t="shared" si="57"/>
        <v>0</v>
      </c>
      <c r="R350" s="96">
        <f t="shared" si="58"/>
        <v>0</v>
      </c>
      <c r="T350" s="67" t="str">
        <f>IF($B350&lt;&gt;"",INDEX(DataOB[],FirstRow+ROW()-7,MATCH(T$6,DataOB[#Headers],0)),"")</f>
        <v/>
      </c>
      <c r="U350" s="67" t="str">
        <f>IF($B350&lt;&gt;"",INDEX(DataOB[],FirstRow+ROW()-7,MATCH(U$6,DataOB[#Headers],0)),"")</f>
        <v/>
      </c>
      <c r="V350" s="67" t="str">
        <f>IF($B350&lt;&gt;"",INDEX(DataOB[],FirstRow+ROW()-7,MATCH(V$6,DataOB[#Headers],0)),"")</f>
        <v/>
      </c>
      <c r="W350" s="67" t="str">
        <f>IF($B350&lt;&gt;"",INDEX(DataOB[],FirstRow+ROW()-7,MATCH(W$6,DataOB[#Headers],0)),"")</f>
        <v/>
      </c>
      <c r="X350" s="67" t="str">
        <f>IF($B350&lt;&gt;"",INDEX(DataOB[],FirstRow+ROW()-7,MATCH(X$6,DataOB[#Headers],0)),"")</f>
        <v/>
      </c>
      <c r="Y350" s="67" t="str">
        <f>IF($B350&lt;&gt;"",INDEX(DataOB[],FirstRow+ROW()-7,MATCH(Y$6,DataOB[#Headers],0)),"")</f>
        <v/>
      </c>
      <c r="Z350" s="67" t="str">
        <f>IF($B350&lt;&gt;"",INDEX(DataOB[],FirstRow+ROW()-7,MATCH(Z$6,DataOB[#Headers],0)),"")</f>
        <v/>
      </c>
      <c r="AA350" s="67" t="str">
        <f>IF($B350&lt;&gt;"",INDEX(DataOB[],FirstRow+ROW()-7,MATCH(AA$6,DataOB[#Headers],0)),"")</f>
        <v/>
      </c>
      <c r="AB350" s="67" t="str">
        <f>IF($B350&lt;&gt;"",INDEX(DataOB[],FirstRow+ROW()-7,MATCH(AB$6,DataOB[#Headers],0)),"")</f>
        <v/>
      </c>
      <c r="AC350" s="67" t="str">
        <f>IF($B350&lt;&gt;"",INDEX(DataOB[],FirstRow+ROW()-7,MATCH(AC$6,DataOB[#Headers],0)),"")</f>
        <v/>
      </c>
      <c r="AD350" s="67" t="str">
        <f>IF($B350&lt;&gt;"",INDEX(DataOB[],FirstRow+ROW()-7,MATCH(AD$6,DataOB[#Headers],0)),"")</f>
        <v/>
      </c>
      <c r="AE350" s="67" t="str">
        <f>IF($B350&lt;&gt;"",INDEX(DataOB[],FirstRow+ROW()-7,MATCH(AE$6,DataOB[#Headers],0)),"")</f>
        <v/>
      </c>
      <c r="AF350" s="26">
        <f t="shared" si="59"/>
        <v>0</v>
      </c>
      <c r="AG350" s="31">
        <f>SUM($T350:T350)</f>
        <v>0</v>
      </c>
      <c r="AH350" s="31">
        <f>SUM($T350:U350)</f>
        <v>0</v>
      </c>
      <c r="AI350" s="31">
        <f>SUM($T350:V350)</f>
        <v>0</v>
      </c>
      <c r="AJ350" s="31">
        <f>SUM($T350:W350)</f>
        <v>0</v>
      </c>
      <c r="AK350" s="31">
        <f>SUM($T350:X350)</f>
        <v>0</v>
      </c>
      <c r="AL350" s="31">
        <f>SUM($T350:Y350)</f>
        <v>0</v>
      </c>
      <c r="AM350" s="31">
        <f>SUM($T350:Z350)</f>
        <v>0</v>
      </c>
      <c r="AN350" s="31">
        <f>SUM($T350:AA350)</f>
        <v>0</v>
      </c>
      <c r="AO350" s="31">
        <f>SUM($T350:AB350)</f>
        <v>0</v>
      </c>
      <c r="AP350" s="31">
        <f>SUM($T350:AC350)</f>
        <v>0</v>
      </c>
      <c r="AQ350" s="31">
        <f>SUM($T350:AD350)</f>
        <v>0</v>
      </c>
      <c r="AR350" s="31">
        <f>SUM($T350:AE350)</f>
        <v>0</v>
      </c>
      <c r="AS350" s="27">
        <f t="shared" si="60"/>
        <v>0</v>
      </c>
    </row>
    <row r="351" spans="2:45">
      <c r="B351" s="102" t="str">
        <f>IF(ROW()-6&gt;NumCostCenter,"",IF(CostCenter&lt;&gt;"ALL",CostCenter,DATA_LF2!B349))</f>
        <v/>
      </c>
      <c r="C351" s="153" t="str">
        <f>IF($B351&lt;&gt;"",INDEX(DataOB[],FirstRow+ROW()-7,2),"")</f>
        <v/>
      </c>
      <c r="D351" s="66" t="str">
        <f>IF($B351&lt;&gt;"",INDEX(DataOB[],FirstRow+ROW()-7,3),"")</f>
        <v/>
      </c>
      <c r="E351" s="103" t="str">
        <f>IF($B351&lt;&gt;"",INDEX(DataOB[],FirstRow+ROW()-7,6),"")</f>
        <v/>
      </c>
      <c r="F351" s="103" t="str">
        <f>IF($B351&lt;&gt;"",INDEX(DataOB[],FirstRow+ROW()-7,5),"")</f>
        <v/>
      </c>
      <c r="G351" s="58">
        <f>IF($B351&lt;&gt;"",SUMIFS(DataAct_tbl[AMOUNT],DataAct_tbl[BG CODE],Detail!$D351,DataAct_tbl[MONTH],LEFT(MonthName,3),DataAct_tbl[Dept code],$B351),0)</f>
        <v>0</v>
      </c>
      <c r="H351" s="31" t="str">
        <f t="shared" si="52"/>
        <v/>
      </c>
      <c r="I351" s="28" t="str">
        <f t="shared" si="53"/>
        <v/>
      </c>
      <c r="J351" s="32" t="str">
        <f t="shared" si="54"/>
        <v/>
      </c>
      <c r="K351" s="86"/>
      <c r="L351" s="62">
        <f>IF($B351&lt;&gt;"",SUMIFS(DataAct_tbl[AMOUNT],DataAct_tbl[BG CODE],Detail!$D351,DataAct_tbl[Check Range],"=true",DataAct_tbl[Dept code],$B351),0)</f>
        <v>0</v>
      </c>
      <c r="M351" s="63">
        <f>INDEX($AG$7:$AR$1005,ROW()-6,MATCH(MTD,$AG$6:$AR$6,0))</f>
        <v>0</v>
      </c>
      <c r="N351" s="34">
        <f t="shared" si="55"/>
        <v>0</v>
      </c>
      <c r="O351" s="64" t="str">
        <f t="shared" si="56"/>
        <v xml:space="preserve"> </v>
      </c>
      <c r="Q351" s="97">
        <f t="shared" si="57"/>
        <v>0</v>
      </c>
      <c r="R351" s="96">
        <f t="shared" si="58"/>
        <v>0</v>
      </c>
      <c r="T351" s="67" t="str">
        <f>IF($B351&lt;&gt;"",INDEX(DataOB[],FirstRow+ROW()-7,MATCH(T$6,DataOB[#Headers],0)),"")</f>
        <v/>
      </c>
      <c r="U351" s="67" t="str">
        <f>IF($B351&lt;&gt;"",INDEX(DataOB[],FirstRow+ROW()-7,MATCH(U$6,DataOB[#Headers],0)),"")</f>
        <v/>
      </c>
      <c r="V351" s="67" t="str">
        <f>IF($B351&lt;&gt;"",INDEX(DataOB[],FirstRow+ROW()-7,MATCH(V$6,DataOB[#Headers],0)),"")</f>
        <v/>
      </c>
      <c r="W351" s="67" t="str">
        <f>IF($B351&lt;&gt;"",INDEX(DataOB[],FirstRow+ROW()-7,MATCH(W$6,DataOB[#Headers],0)),"")</f>
        <v/>
      </c>
      <c r="X351" s="67" t="str">
        <f>IF($B351&lt;&gt;"",INDEX(DataOB[],FirstRow+ROW()-7,MATCH(X$6,DataOB[#Headers],0)),"")</f>
        <v/>
      </c>
      <c r="Y351" s="67" t="str">
        <f>IF($B351&lt;&gt;"",INDEX(DataOB[],FirstRow+ROW()-7,MATCH(Y$6,DataOB[#Headers],0)),"")</f>
        <v/>
      </c>
      <c r="Z351" s="67" t="str">
        <f>IF($B351&lt;&gt;"",INDEX(DataOB[],FirstRow+ROW()-7,MATCH(Z$6,DataOB[#Headers],0)),"")</f>
        <v/>
      </c>
      <c r="AA351" s="67" t="str">
        <f>IF($B351&lt;&gt;"",INDEX(DataOB[],FirstRow+ROW()-7,MATCH(AA$6,DataOB[#Headers],0)),"")</f>
        <v/>
      </c>
      <c r="AB351" s="67" t="str">
        <f>IF($B351&lt;&gt;"",INDEX(DataOB[],FirstRow+ROW()-7,MATCH(AB$6,DataOB[#Headers],0)),"")</f>
        <v/>
      </c>
      <c r="AC351" s="67" t="str">
        <f>IF($B351&lt;&gt;"",INDEX(DataOB[],FirstRow+ROW()-7,MATCH(AC$6,DataOB[#Headers],0)),"")</f>
        <v/>
      </c>
      <c r="AD351" s="67" t="str">
        <f>IF($B351&lt;&gt;"",INDEX(DataOB[],FirstRow+ROW()-7,MATCH(AD$6,DataOB[#Headers],0)),"")</f>
        <v/>
      </c>
      <c r="AE351" s="67" t="str">
        <f>IF($B351&lt;&gt;"",INDEX(DataOB[],FirstRow+ROW()-7,MATCH(AE$6,DataOB[#Headers],0)),"")</f>
        <v/>
      </c>
      <c r="AF351" s="26">
        <f t="shared" si="59"/>
        <v>0</v>
      </c>
      <c r="AG351" s="31">
        <f>SUM($T351:T351)</f>
        <v>0</v>
      </c>
      <c r="AH351" s="31">
        <f>SUM($T351:U351)</f>
        <v>0</v>
      </c>
      <c r="AI351" s="31">
        <f>SUM($T351:V351)</f>
        <v>0</v>
      </c>
      <c r="AJ351" s="31">
        <f>SUM($T351:W351)</f>
        <v>0</v>
      </c>
      <c r="AK351" s="31">
        <f>SUM($T351:X351)</f>
        <v>0</v>
      </c>
      <c r="AL351" s="31">
        <f>SUM($T351:Y351)</f>
        <v>0</v>
      </c>
      <c r="AM351" s="31">
        <f>SUM($T351:Z351)</f>
        <v>0</v>
      </c>
      <c r="AN351" s="31">
        <f>SUM($T351:AA351)</f>
        <v>0</v>
      </c>
      <c r="AO351" s="31">
        <f>SUM($T351:AB351)</f>
        <v>0</v>
      </c>
      <c r="AP351" s="31">
        <f>SUM($T351:AC351)</f>
        <v>0</v>
      </c>
      <c r="AQ351" s="31">
        <f>SUM($T351:AD351)</f>
        <v>0</v>
      </c>
      <c r="AR351" s="31">
        <f>SUM($T351:AE351)</f>
        <v>0</v>
      </c>
      <c r="AS351" s="27">
        <f t="shared" si="60"/>
        <v>0</v>
      </c>
    </row>
    <row r="352" spans="2:45">
      <c r="B352" s="102" t="str">
        <f>IF(ROW()-6&gt;NumCostCenter,"",IF(CostCenter&lt;&gt;"ALL",CostCenter,DATA_LF2!B350))</f>
        <v/>
      </c>
      <c r="C352" s="153" t="str">
        <f>IF($B352&lt;&gt;"",INDEX(DataOB[],FirstRow+ROW()-7,2),"")</f>
        <v/>
      </c>
      <c r="D352" s="66" t="str">
        <f>IF($B352&lt;&gt;"",INDEX(DataOB[],FirstRow+ROW()-7,3),"")</f>
        <v/>
      </c>
      <c r="E352" s="103" t="str">
        <f>IF($B352&lt;&gt;"",INDEX(DataOB[],FirstRow+ROW()-7,6),"")</f>
        <v/>
      </c>
      <c r="F352" s="103" t="str">
        <f>IF($B352&lt;&gt;"",INDEX(DataOB[],FirstRow+ROW()-7,5),"")</f>
        <v/>
      </c>
      <c r="G352" s="58">
        <f>IF($B352&lt;&gt;"",SUMIFS(DataAct_tbl[AMOUNT],DataAct_tbl[BG CODE],Detail!$D352,DataAct_tbl[MONTH],LEFT(MonthName,3),DataAct_tbl[Dept code],$B352),0)</f>
        <v>0</v>
      </c>
      <c r="H352" s="31" t="str">
        <f t="shared" si="52"/>
        <v/>
      </c>
      <c r="I352" s="28" t="str">
        <f t="shared" si="53"/>
        <v/>
      </c>
      <c r="J352" s="32" t="str">
        <f t="shared" si="54"/>
        <v/>
      </c>
      <c r="K352" s="86"/>
      <c r="L352" s="62">
        <f>IF($B352&lt;&gt;"",SUMIFS(DataAct_tbl[AMOUNT],DataAct_tbl[BG CODE],Detail!$D352,DataAct_tbl[Check Range],"=true",DataAct_tbl[Dept code],$B352),0)</f>
        <v>0</v>
      </c>
      <c r="M352" s="63">
        <f>INDEX($AG$7:$AR$1005,ROW()-6,MATCH(MTD,$AG$6:$AR$6,0))</f>
        <v>0</v>
      </c>
      <c r="N352" s="34">
        <f t="shared" si="55"/>
        <v>0</v>
      </c>
      <c r="O352" s="64" t="str">
        <f t="shared" si="56"/>
        <v xml:space="preserve"> </v>
      </c>
      <c r="Q352" s="97">
        <f t="shared" si="57"/>
        <v>0</v>
      </c>
      <c r="R352" s="96">
        <f t="shared" si="58"/>
        <v>0</v>
      </c>
      <c r="T352" s="67" t="str">
        <f>IF($B352&lt;&gt;"",INDEX(DataOB[],FirstRow+ROW()-7,MATCH(T$6,DataOB[#Headers],0)),"")</f>
        <v/>
      </c>
      <c r="U352" s="67" t="str">
        <f>IF($B352&lt;&gt;"",INDEX(DataOB[],FirstRow+ROW()-7,MATCH(U$6,DataOB[#Headers],0)),"")</f>
        <v/>
      </c>
      <c r="V352" s="67" t="str">
        <f>IF($B352&lt;&gt;"",INDEX(DataOB[],FirstRow+ROW()-7,MATCH(V$6,DataOB[#Headers],0)),"")</f>
        <v/>
      </c>
      <c r="W352" s="67" t="str">
        <f>IF($B352&lt;&gt;"",INDEX(DataOB[],FirstRow+ROW()-7,MATCH(W$6,DataOB[#Headers],0)),"")</f>
        <v/>
      </c>
      <c r="X352" s="67" t="str">
        <f>IF($B352&lt;&gt;"",INDEX(DataOB[],FirstRow+ROW()-7,MATCH(X$6,DataOB[#Headers],0)),"")</f>
        <v/>
      </c>
      <c r="Y352" s="67" t="str">
        <f>IF($B352&lt;&gt;"",INDEX(DataOB[],FirstRow+ROW()-7,MATCH(Y$6,DataOB[#Headers],0)),"")</f>
        <v/>
      </c>
      <c r="Z352" s="67" t="str">
        <f>IF($B352&lt;&gt;"",INDEX(DataOB[],FirstRow+ROW()-7,MATCH(Z$6,DataOB[#Headers],0)),"")</f>
        <v/>
      </c>
      <c r="AA352" s="67" t="str">
        <f>IF($B352&lt;&gt;"",INDEX(DataOB[],FirstRow+ROW()-7,MATCH(AA$6,DataOB[#Headers],0)),"")</f>
        <v/>
      </c>
      <c r="AB352" s="67" t="str">
        <f>IF($B352&lt;&gt;"",INDEX(DataOB[],FirstRow+ROW()-7,MATCH(AB$6,DataOB[#Headers],0)),"")</f>
        <v/>
      </c>
      <c r="AC352" s="67" t="str">
        <f>IF($B352&lt;&gt;"",INDEX(DataOB[],FirstRow+ROW()-7,MATCH(AC$6,DataOB[#Headers],0)),"")</f>
        <v/>
      </c>
      <c r="AD352" s="67" t="str">
        <f>IF($B352&lt;&gt;"",INDEX(DataOB[],FirstRow+ROW()-7,MATCH(AD$6,DataOB[#Headers],0)),"")</f>
        <v/>
      </c>
      <c r="AE352" s="67" t="str">
        <f>IF($B352&lt;&gt;"",INDEX(DataOB[],FirstRow+ROW()-7,MATCH(AE$6,DataOB[#Headers],0)),"")</f>
        <v/>
      </c>
      <c r="AF352" s="26">
        <f t="shared" si="59"/>
        <v>0</v>
      </c>
      <c r="AG352" s="31">
        <f>SUM($T352:T352)</f>
        <v>0</v>
      </c>
      <c r="AH352" s="31">
        <f>SUM($T352:U352)</f>
        <v>0</v>
      </c>
      <c r="AI352" s="31">
        <f>SUM($T352:V352)</f>
        <v>0</v>
      </c>
      <c r="AJ352" s="31">
        <f>SUM($T352:W352)</f>
        <v>0</v>
      </c>
      <c r="AK352" s="31">
        <f>SUM($T352:X352)</f>
        <v>0</v>
      </c>
      <c r="AL352" s="31">
        <f>SUM($T352:Y352)</f>
        <v>0</v>
      </c>
      <c r="AM352" s="31">
        <f>SUM($T352:Z352)</f>
        <v>0</v>
      </c>
      <c r="AN352" s="31">
        <f>SUM($T352:AA352)</f>
        <v>0</v>
      </c>
      <c r="AO352" s="31">
        <f>SUM($T352:AB352)</f>
        <v>0</v>
      </c>
      <c r="AP352" s="31">
        <f>SUM($T352:AC352)</f>
        <v>0</v>
      </c>
      <c r="AQ352" s="31">
        <f>SUM($T352:AD352)</f>
        <v>0</v>
      </c>
      <c r="AR352" s="31">
        <f>SUM($T352:AE352)</f>
        <v>0</v>
      </c>
      <c r="AS352" s="27">
        <f t="shared" si="60"/>
        <v>0</v>
      </c>
    </row>
    <row r="353" spans="2:45">
      <c r="B353" s="102" t="str">
        <f>IF(ROW()-6&gt;NumCostCenter,"",IF(CostCenter&lt;&gt;"ALL",CostCenter,DATA_LF2!B351))</f>
        <v/>
      </c>
      <c r="C353" s="153" t="str">
        <f>IF($B353&lt;&gt;"",INDEX(DataOB[],FirstRow+ROW()-7,2),"")</f>
        <v/>
      </c>
      <c r="D353" s="66" t="str">
        <f>IF($B353&lt;&gt;"",INDEX(DataOB[],FirstRow+ROW()-7,3),"")</f>
        <v/>
      </c>
      <c r="E353" s="103" t="str">
        <f>IF($B353&lt;&gt;"",INDEX(DataOB[],FirstRow+ROW()-7,6),"")</f>
        <v/>
      </c>
      <c r="F353" s="103" t="str">
        <f>IF($B353&lt;&gt;"",INDEX(DataOB[],FirstRow+ROW()-7,5),"")</f>
        <v/>
      </c>
      <c r="G353" s="58">
        <f>IF($B353&lt;&gt;"",SUMIFS(DataAct_tbl[AMOUNT],DataAct_tbl[BG CODE],Detail!$D353,DataAct_tbl[MONTH],LEFT(MonthName,3),DataAct_tbl[Dept code],$B353),0)</f>
        <v>0</v>
      </c>
      <c r="H353" s="31" t="str">
        <f t="shared" si="52"/>
        <v/>
      </c>
      <c r="I353" s="28" t="str">
        <f t="shared" si="53"/>
        <v/>
      </c>
      <c r="J353" s="32" t="str">
        <f t="shared" si="54"/>
        <v/>
      </c>
      <c r="K353" s="86"/>
      <c r="L353" s="62">
        <f>IF($B353&lt;&gt;"",SUMIFS(DataAct_tbl[AMOUNT],DataAct_tbl[BG CODE],Detail!$D353,DataAct_tbl[Check Range],"=true",DataAct_tbl[Dept code],$B353),0)</f>
        <v>0</v>
      </c>
      <c r="M353" s="63">
        <f>INDEX($AG$7:$AR$1005,ROW()-6,MATCH(MTD,$AG$6:$AR$6,0))</f>
        <v>0</v>
      </c>
      <c r="N353" s="34">
        <f t="shared" si="55"/>
        <v>0</v>
      </c>
      <c r="O353" s="64" t="str">
        <f t="shared" si="56"/>
        <v xml:space="preserve"> </v>
      </c>
      <c r="Q353" s="97">
        <f t="shared" si="57"/>
        <v>0</v>
      </c>
      <c r="R353" s="96">
        <f t="shared" si="58"/>
        <v>0</v>
      </c>
      <c r="T353" s="67" t="str">
        <f>IF($B353&lt;&gt;"",INDEX(DataOB[],FirstRow+ROW()-7,MATCH(T$6,DataOB[#Headers],0)),"")</f>
        <v/>
      </c>
      <c r="U353" s="67" t="str">
        <f>IF($B353&lt;&gt;"",INDEX(DataOB[],FirstRow+ROW()-7,MATCH(U$6,DataOB[#Headers],0)),"")</f>
        <v/>
      </c>
      <c r="V353" s="67" t="str">
        <f>IF($B353&lt;&gt;"",INDEX(DataOB[],FirstRow+ROW()-7,MATCH(V$6,DataOB[#Headers],0)),"")</f>
        <v/>
      </c>
      <c r="W353" s="67" t="str">
        <f>IF($B353&lt;&gt;"",INDEX(DataOB[],FirstRow+ROW()-7,MATCH(W$6,DataOB[#Headers],0)),"")</f>
        <v/>
      </c>
      <c r="X353" s="67" t="str">
        <f>IF($B353&lt;&gt;"",INDEX(DataOB[],FirstRow+ROW()-7,MATCH(X$6,DataOB[#Headers],0)),"")</f>
        <v/>
      </c>
      <c r="Y353" s="67" t="str">
        <f>IF($B353&lt;&gt;"",INDEX(DataOB[],FirstRow+ROW()-7,MATCH(Y$6,DataOB[#Headers],0)),"")</f>
        <v/>
      </c>
      <c r="Z353" s="67" t="str">
        <f>IF($B353&lt;&gt;"",INDEX(DataOB[],FirstRow+ROW()-7,MATCH(Z$6,DataOB[#Headers],0)),"")</f>
        <v/>
      </c>
      <c r="AA353" s="67" t="str">
        <f>IF($B353&lt;&gt;"",INDEX(DataOB[],FirstRow+ROW()-7,MATCH(AA$6,DataOB[#Headers],0)),"")</f>
        <v/>
      </c>
      <c r="AB353" s="67" t="str">
        <f>IF($B353&lt;&gt;"",INDEX(DataOB[],FirstRow+ROW()-7,MATCH(AB$6,DataOB[#Headers],0)),"")</f>
        <v/>
      </c>
      <c r="AC353" s="67" t="str">
        <f>IF($B353&lt;&gt;"",INDEX(DataOB[],FirstRow+ROW()-7,MATCH(AC$6,DataOB[#Headers],0)),"")</f>
        <v/>
      </c>
      <c r="AD353" s="67" t="str">
        <f>IF($B353&lt;&gt;"",INDEX(DataOB[],FirstRow+ROW()-7,MATCH(AD$6,DataOB[#Headers],0)),"")</f>
        <v/>
      </c>
      <c r="AE353" s="67" t="str">
        <f>IF($B353&lt;&gt;"",INDEX(DataOB[],FirstRow+ROW()-7,MATCH(AE$6,DataOB[#Headers],0)),"")</f>
        <v/>
      </c>
      <c r="AF353" s="26">
        <f t="shared" si="59"/>
        <v>0</v>
      </c>
      <c r="AG353" s="31">
        <f>SUM($T353:T353)</f>
        <v>0</v>
      </c>
      <c r="AH353" s="31">
        <f>SUM($T353:U353)</f>
        <v>0</v>
      </c>
      <c r="AI353" s="31">
        <f>SUM($T353:V353)</f>
        <v>0</v>
      </c>
      <c r="AJ353" s="31">
        <f>SUM($T353:W353)</f>
        <v>0</v>
      </c>
      <c r="AK353" s="31">
        <f>SUM($T353:X353)</f>
        <v>0</v>
      </c>
      <c r="AL353" s="31">
        <f>SUM($T353:Y353)</f>
        <v>0</v>
      </c>
      <c r="AM353" s="31">
        <f>SUM($T353:Z353)</f>
        <v>0</v>
      </c>
      <c r="AN353" s="31">
        <f>SUM($T353:AA353)</f>
        <v>0</v>
      </c>
      <c r="AO353" s="31">
        <f>SUM($T353:AB353)</f>
        <v>0</v>
      </c>
      <c r="AP353" s="31">
        <f>SUM($T353:AC353)</f>
        <v>0</v>
      </c>
      <c r="AQ353" s="31">
        <f>SUM($T353:AD353)</f>
        <v>0</v>
      </c>
      <c r="AR353" s="31">
        <f>SUM($T353:AE353)</f>
        <v>0</v>
      </c>
      <c r="AS353" s="27">
        <f t="shared" si="60"/>
        <v>0</v>
      </c>
    </row>
    <row r="354" spans="2:45">
      <c r="B354" s="102" t="str">
        <f>IF(ROW()-6&gt;NumCostCenter,"",IF(CostCenter&lt;&gt;"ALL",CostCenter,DATA_LF2!B352))</f>
        <v/>
      </c>
      <c r="C354" s="153" t="str">
        <f>IF($B354&lt;&gt;"",INDEX(DataOB[],FirstRow+ROW()-7,2),"")</f>
        <v/>
      </c>
      <c r="D354" s="66" t="str">
        <f>IF($B354&lt;&gt;"",INDEX(DataOB[],FirstRow+ROW()-7,3),"")</f>
        <v/>
      </c>
      <c r="E354" s="103" t="str">
        <f>IF($B354&lt;&gt;"",INDEX(DataOB[],FirstRow+ROW()-7,6),"")</f>
        <v/>
      </c>
      <c r="F354" s="103" t="str">
        <f>IF($B354&lt;&gt;"",INDEX(DataOB[],FirstRow+ROW()-7,5),"")</f>
        <v/>
      </c>
      <c r="G354" s="58">
        <f>IF($B354&lt;&gt;"",SUMIFS(DataAct_tbl[AMOUNT],DataAct_tbl[BG CODE],Detail!$D354,DataAct_tbl[MONTH],LEFT(MonthName,3),DataAct_tbl[Dept code],$B354),0)</f>
        <v>0</v>
      </c>
      <c r="H354" s="31" t="str">
        <f t="shared" si="52"/>
        <v/>
      </c>
      <c r="I354" s="28" t="str">
        <f t="shared" si="53"/>
        <v/>
      </c>
      <c r="J354" s="32" t="str">
        <f t="shared" si="54"/>
        <v/>
      </c>
      <c r="K354" s="86"/>
      <c r="L354" s="62">
        <f>IF($B354&lt;&gt;"",SUMIFS(DataAct_tbl[AMOUNT],DataAct_tbl[BG CODE],Detail!$D354,DataAct_tbl[Check Range],"=true",DataAct_tbl[Dept code],$B354),0)</f>
        <v>0</v>
      </c>
      <c r="M354" s="63">
        <f>INDEX($AG$7:$AR$1005,ROW()-6,MATCH(MTD,$AG$6:$AR$6,0))</f>
        <v>0</v>
      </c>
      <c r="N354" s="34">
        <f t="shared" si="55"/>
        <v>0</v>
      </c>
      <c r="O354" s="64" t="str">
        <f t="shared" si="56"/>
        <v xml:space="preserve"> </v>
      </c>
      <c r="Q354" s="97">
        <f t="shared" si="57"/>
        <v>0</v>
      </c>
      <c r="R354" s="96">
        <f t="shared" si="58"/>
        <v>0</v>
      </c>
      <c r="T354" s="67" t="str">
        <f>IF($B354&lt;&gt;"",INDEX(DataOB[],FirstRow+ROW()-7,MATCH(T$6,DataOB[#Headers],0)),"")</f>
        <v/>
      </c>
      <c r="U354" s="67" t="str">
        <f>IF($B354&lt;&gt;"",INDEX(DataOB[],FirstRow+ROW()-7,MATCH(U$6,DataOB[#Headers],0)),"")</f>
        <v/>
      </c>
      <c r="V354" s="67" t="str">
        <f>IF($B354&lt;&gt;"",INDEX(DataOB[],FirstRow+ROW()-7,MATCH(V$6,DataOB[#Headers],0)),"")</f>
        <v/>
      </c>
      <c r="W354" s="67" t="str">
        <f>IF($B354&lt;&gt;"",INDEX(DataOB[],FirstRow+ROW()-7,MATCH(W$6,DataOB[#Headers],0)),"")</f>
        <v/>
      </c>
      <c r="X354" s="67" t="str">
        <f>IF($B354&lt;&gt;"",INDEX(DataOB[],FirstRow+ROW()-7,MATCH(X$6,DataOB[#Headers],0)),"")</f>
        <v/>
      </c>
      <c r="Y354" s="67" t="str">
        <f>IF($B354&lt;&gt;"",INDEX(DataOB[],FirstRow+ROW()-7,MATCH(Y$6,DataOB[#Headers],0)),"")</f>
        <v/>
      </c>
      <c r="Z354" s="67" t="str">
        <f>IF($B354&lt;&gt;"",INDEX(DataOB[],FirstRow+ROW()-7,MATCH(Z$6,DataOB[#Headers],0)),"")</f>
        <v/>
      </c>
      <c r="AA354" s="67" t="str">
        <f>IF($B354&lt;&gt;"",INDEX(DataOB[],FirstRow+ROW()-7,MATCH(AA$6,DataOB[#Headers],0)),"")</f>
        <v/>
      </c>
      <c r="AB354" s="67" t="str">
        <f>IF($B354&lt;&gt;"",INDEX(DataOB[],FirstRow+ROW()-7,MATCH(AB$6,DataOB[#Headers],0)),"")</f>
        <v/>
      </c>
      <c r="AC354" s="67" t="str">
        <f>IF($B354&lt;&gt;"",INDEX(DataOB[],FirstRow+ROW()-7,MATCH(AC$6,DataOB[#Headers],0)),"")</f>
        <v/>
      </c>
      <c r="AD354" s="67" t="str">
        <f>IF($B354&lt;&gt;"",INDEX(DataOB[],FirstRow+ROW()-7,MATCH(AD$6,DataOB[#Headers],0)),"")</f>
        <v/>
      </c>
      <c r="AE354" s="67" t="str">
        <f>IF($B354&lt;&gt;"",INDEX(DataOB[],FirstRow+ROW()-7,MATCH(AE$6,DataOB[#Headers],0)),"")</f>
        <v/>
      </c>
      <c r="AF354" s="26">
        <f t="shared" si="59"/>
        <v>0</v>
      </c>
      <c r="AG354" s="31">
        <f>SUM($T354:T354)</f>
        <v>0</v>
      </c>
      <c r="AH354" s="31">
        <f>SUM($T354:U354)</f>
        <v>0</v>
      </c>
      <c r="AI354" s="31">
        <f>SUM($T354:V354)</f>
        <v>0</v>
      </c>
      <c r="AJ354" s="31">
        <f>SUM($T354:W354)</f>
        <v>0</v>
      </c>
      <c r="AK354" s="31">
        <f>SUM($T354:X354)</f>
        <v>0</v>
      </c>
      <c r="AL354" s="31">
        <f>SUM($T354:Y354)</f>
        <v>0</v>
      </c>
      <c r="AM354" s="31">
        <f>SUM($T354:Z354)</f>
        <v>0</v>
      </c>
      <c r="AN354" s="31">
        <f>SUM($T354:AA354)</f>
        <v>0</v>
      </c>
      <c r="AO354" s="31">
        <f>SUM($T354:AB354)</f>
        <v>0</v>
      </c>
      <c r="AP354" s="31">
        <f>SUM($T354:AC354)</f>
        <v>0</v>
      </c>
      <c r="AQ354" s="31">
        <f>SUM($T354:AD354)</f>
        <v>0</v>
      </c>
      <c r="AR354" s="31">
        <f>SUM($T354:AE354)</f>
        <v>0</v>
      </c>
      <c r="AS354" s="27">
        <f t="shared" si="60"/>
        <v>0</v>
      </c>
    </row>
    <row r="355" spans="2:45">
      <c r="B355" s="102" t="str">
        <f>IF(ROW()-6&gt;NumCostCenter,"",IF(CostCenter&lt;&gt;"ALL",CostCenter,DATA_LF2!B353))</f>
        <v/>
      </c>
      <c r="C355" s="153" t="str">
        <f>IF($B355&lt;&gt;"",INDEX(DataOB[],FirstRow+ROW()-7,2),"")</f>
        <v/>
      </c>
      <c r="D355" s="66" t="str">
        <f>IF($B355&lt;&gt;"",INDEX(DataOB[],FirstRow+ROW()-7,3),"")</f>
        <v/>
      </c>
      <c r="E355" s="103" t="str">
        <f>IF($B355&lt;&gt;"",INDEX(DataOB[],FirstRow+ROW()-7,6),"")</f>
        <v/>
      </c>
      <c r="F355" s="103" t="str">
        <f>IF($B355&lt;&gt;"",INDEX(DataOB[],FirstRow+ROW()-7,5),"")</f>
        <v/>
      </c>
      <c r="G355" s="58">
        <f>IF($B355&lt;&gt;"",SUMIFS(DataAct_tbl[AMOUNT],DataAct_tbl[BG CODE],Detail!$D355,DataAct_tbl[MONTH],LEFT(MonthName,3),DataAct_tbl[Dept code],$B355),0)</f>
        <v>0</v>
      </c>
      <c r="H355" s="31" t="str">
        <f t="shared" si="52"/>
        <v/>
      </c>
      <c r="I355" s="28" t="str">
        <f t="shared" si="53"/>
        <v/>
      </c>
      <c r="J355" s="32" t="str">
        <f t="shared" si="54"/>
        <v/>
      </c>
      <c r="K355" s="86"/>
      <c r="L355" s="62">
        <f>IF($B355&lt;&gt;"",SUMIFS(DataAct_tbl[AMOUNT],DataAct_tbl[BG CODE],Detail!$D355,DataAct_tbl[Check Range],"=true",DataAct_tbl[Dept code],$B355),0)</f>
        <v>0</v>
      </c>
      <c r="M355" s="63">
        <f>INDEX($AG$7:$AR$1005,ROW()-6,MATCH(MTD,$AG$6:$AR$6,0))</f>
        <v>0</v>
      </c>
      <c r="N355" s="34">
        <f t="shared" si="55"/>
        <v>0</v>
      </c>
      <c r="O355" s="64" t="str">
        <f t="shared" si="56"/>
        <v xml:space="preserve"> </v>
      </c>
      <c r="Q355" s="97">
        <f t="shared" si="57"/>
        <v>0</v>
      </c>
      <c r="R355" s="96">
        <f t="shared" si="58"/>
        <v>0</v>
      </c>
      <c r="T355" s="67" t="str">
        <f>IF($B355&lt;&gt;"",INDEX(DataOB[],FirstRow+ROW()-7,MATCH(T$6,DataOB[#Headers],0)),"")</f>
        <v/>
      </c>
      <c r="U355" s="67" t="str">
        <f>IF($B355&lt;&gt;"",INDEX(DataOB[],FirstRow+ROW()-7,MATCH(U$6,DataOB[#Headers],0)),"")</f>
        <v/>
      </c>
      <c r="V355" s="67" t="str">
        <f>IF($B355&lt;&gt;"",INDEX(DataOB[],FirstRow+ROW()-7,MATCH(V$6,DataOB[#Headers],0)),"")</f>
        <v/>
      </c>
      <c r="W355" s="67" t="str">
        <f>IF($B355&lt;&gt;"",INDEX(DataOB[],FirstRow+ROW()-7,MATCH(W$6,DataOB[#Headers],0)),"")</f>
        <v/>
      </c>
      <c r="X355" s="67" t="str">
        <f>IF($B355&lt;&gt;"",INDEX(DataOB[],FirstRow+ROW()-7,MATCH(X$6,DataOB[#Headers],0)),"")</f>
        <v/>
      </c>
      <c r="Y355" s="67" t="str">
        <f>IF($B355&lt;&gt;"",INDEX(DataOB[],FirstRow+ROW()-7,MATCH(Y$6,DataOB[#Headers],0)),"")</f>
        <v/>
      </c>
      <c r="Z355" s="67" t="str">
        <f>IF($B355&lt;&gt;"",INDEX(DataOB[],FirstRow+ROW()-7,MATCH(Z$6,DataOB[#Headers],0)),"")</f>
        <v/>
      </c>
      <c r="AA355" s="67" t="str">
        <f>IF($B355&lt;&gt;"",INDEX(DataOB[],FirstRow+ROW()-7,MATCH(AA$6,DataOB[#Headers],0)),"")</f>
        <v/>
      </c>
      <c r="AB355" s="67" t="str">
        <f>IF($B355&lt;&gt;"",INDEX(DataOB[],FirstRow+ROW()-7,MATCH(AB$6,DataOB[#Headers],0)),"")</f>
        <v/>
      </c>
      <c r="AC355" s="67" t="str">
        <f>IF($B355&lt;&gt;"",INDEX(DataOB[],FirstRow+ROW()-7,MATCH(AC$6,DataOB[#Headers],0)),"")</f>
        <v/>
      </c>
      <c r="AD355" s="67" t="str">
        <f>IF($B355&lt;&gt;"",INDEX(DataOB[],FirstRow+ROW()-7,MATCH(AD$6,DataOB[#Headers],0)),"")</f>
        <v/>
      </c>
      <c r="AE355" s="67" t="str">
        <f>IF($B355&lt;&gt;"",INDEX(DataOB[],FirstRow+ROW()-7,MATCH(AE$6,DataOB[#Headers],0)),"")</f>
        <v/>
      </c>
      <c r="AF355" s="26">
        <f t="shared" si="59"/>
        <v>0</v>
      </c>
      <c r="AG355" s="31">
        <f>SUM($T355:T355)</f>
        <v>0</v>
      </c>
      <c r="AH355" s="31">
        <f>SUM($T355:U355)</f>
        <v>0</v>
      </c>
      <c r="AI355" s="31">
        <f>SUM($T355:V355)</f>
        <v>0</v>
      </c>
      <c r="AJ355" s="31">
        <f>SUM($T355:W355)</f>
        <v>0</v>
      </c>
      <c r="AK355" s="31">
        <f>SUM($T355:X355)</f>
        <v>0</v>
      </c>
      <c r="AL355" s="31">
        <f>SUM($T355:Y355)</f>
        <v>0</v>
      </c>
      <c r="AM355" s="31">
        <f>SUM($T355:Z355)</f>
        <v>0</v>
      </c>
      <c r="AN355" s="31">
        <f>SUM($T355:AA355)</f>
        <v>0</v>
      </c>
      <c r="AO355" s="31">
        <f>SUM($T355:AB355)</f>
        <v>0</v>
      </c>
      <c r="AP355" s="31">
        <f>SUM($T355:AC355)</f>
        <v>0</v>
      </c>
      <c r="AQ355" s="31">
        <f>SUM($T355:AD355)</f>
        <v>0</v>
      </c>
      <c r="AR355" s="31">
        <f>SUM($T355:AE355)</f>
        <v>0</v>
      </c>
      <c r="AS355" s="27">
        <f t="shared" si="60"/>
        <v>0</v>
      </c>
    </row>
    <row r="356" spans="2:45">
      <c r="B356" s="102" t="str">
        <f>IF(ROW()-6&gt;NumCostCenter,"",IF(CostCenter&lt;&gt;"ALL",CostCenter,DATA_LF2!B354))</f>
        <v/>
      </c>
      <c r="C356" s="153" t="str">
        <f>IF($B356&lt;&gt;"",INDEX(DataOB[],FirstRow+ROW()-7,2),"")</f>
        <v/>
      </c>
      <c r="D356" s="66" t="str">
        <f>IF($B356&lt;&gt;"",INDEX(DataOB[],FirstRow+ROW()-7,3),"")</f>
        <v/>
      </c>
      <c r="E356" s="103" t="str">
        <f>IF($B356&lt;&gt;"",INDEX(DataOB[],FirstRow+ROW()-7,6),"")</f>
        <v/>
      </c>
      <c r="F356" s="103" t="str">
        <f>IF($B356&lt;&gt;"",INDEX(DataOB[],FirstRow+ROW()-7,5),"")</f>
        <v/>
      </c>
      <c r="G356" s="58">
        <f>IF($B356&lt;&gt;"",SUMIFS(DataAct_tbl[AMOUNT],DataAct_tbl[BG CODE],Detail!$D356,DataAct_tbl[MONTH],LEFT(MonthName,3),DataAct_tbl[Dept code],$B356),0)</f>
        <v>0</v>
      </c>
      <c r="H356" s="31" t="str">
        <f t="shared" si="52"/>
        <v/>
      </c>
      <c r="I356" s="28" t="str">
        <f t="shared" si="53"/>
        <v/>
      </c>
      <c r="J356" s="32" t="str">
        <f t="shared" si="54"/>
        <v/>
      </c>
      <c r="K356" s="86"/>
      <c r="L356" s="62">
        <f>IF($B356&lt;&gt;"",SUMIFS(DataAct_tbl[AMOUNT],DataAct_tbl[BG CODE],Detail!$D356,DataAct_tbl[Check Range],"=true",DataAct_tbl[Dept code],$B356),0)</f>
        <v>0</v>
      </c>
      <c r="M356" s="63">
        <f>INDEX($AG$7:$AR$1005,ROW()-6,MATCH(MTD,$AG$6:$AR$6,0))</f>
        <v>0</v>
      </c>
      <c r="N356" s="34">
        <f t="shared" si="55"/>
        <v>0</v>
      </c>
      <c r="O356" s="64" t="str">
        <f t="shared" si="56"/>
        <v xml:space="preserve"> </v>
      </c>
      <c r="Q356" s="97">
        <f t="shared" si="57"/>
        <v>0</v>
      </c>
      <c r="R356" s="96">
        <f t="shared" si="58"/>
        <v>0</v>
      </c>
      <c r="T356" s="67" t="str">
        <f>IF($B356&lt;&gt;"",INDEX(DataOB[],FirstRow+ROW()-7,MATCH(T$6,DataOB[#Headers],0)),"")</f>
        <v/>
      </c>
      <c r="U356" s="67" t="str">
        <f>IF($B356&lt;&gt;"",INDEX(DataOB[],FirstRow+ROW()-7,MATCH(U$6,DataOB[#Headers],0)),"")</f>
        <v/>
      </c>
      <c r="V356" s="67" t="str">
        <f>IF($B356&lt;&gt;"",INDEX(DataOB[],FirstRow+ROW()-7,MATCH(V$6,DataOB[#Headers],0)),"")</f>
        <v/>
      </c>
      <c r="W356" s="67" t="str">
        <f>IF($B356&lt;&gt;"",INDEX(DataOB[],FirstRow+ROW()-7,MATCH(W$6,DataOB[#Headers],0)),"")</f>
        <v/>
      </c>
      <c r="X356" s="67" t="str">
        <f>IF($B356&lt;&gt;"",INDEX(DataOB[],FirstRow+ROW()-7,MATCH(X$6,DataOB[#Headers],0)),"")</f>
        <v/>
      </c>
      <c r="Y356" s="67" t="str">
        <f>IF($B356&lt;&gt;"",INDEX(DataOB[],FirstRow+ROW()-7,MATCH(Y$6,DataOB[#Headers],0)),"")</f>
        <v/>
      </c>
      <c r="Z356" s="67" t="str">
        <f>IF($B356&lt;&gt;"",INDEX(DataOB[],FirstRow+ROW()-7,MATCH(Z$6,DataOB[#Headers],0)),"")</f>
        <v/>
      </c>
      <c r="AA356" s="67" t="str">
        <f>IF($B356&lt;&gt;"",INDEX(DataOB[],FirstRow+ROW()-7,MATCH(AA$6,DataOB[#Headers],0)),"")</f>
        <v/>
      </c>
      <c r="AB356" s="67" t="str">
        <f>IF($B356&lt;&gt;"",INDEX(DataOB[],FirstRow+ROW()-7,MATCH(AB$6,DataOB[#Headers],0)),"")</f>
        <v/>
      </c>
      <c r="AC356" s="67" t="str">
        <f>IF($B356&lt;&gt;"",INDEX(DataOB[],FirstRow+ROW()-7,MATCH(AC$6,DataOB[#Headers],0)),"")</f>
        <v/>
      </c>
      <c r="AD356" s="67" t="str">
        <f>IF($B356&lt;&gt;"",INDEX(DataOB[],FirstRow+ROW()-7,MATCH(AD$6,DataOB[#Headers],0)),"")</f>
        <v/>
      </c>
      <c r="AE356" s="67" t="str">
        <f>IF($B356&lt;&gt;"",INDEX(DataOB[],FirstRow+ROW()-7,MATCH(AE$6,DataOB[#Headers],0)),"")</f>
        <v/>
      </c>
      <c r="AF356" s="26">
        <f t="shared" si="59"/>
        <v>0</v>
      </c>
      <c r="AG356" s="31">
        <f>SUM($T356:T356)</f>
        <v>0</v>
      </c>
      <c r="AH356" s="31">
        <f>SUM($T356:U356)</f>
        <v>0</v>
      </c>
      <c r="AI356" s="31">
        <f>SUM($T356:V356)</f>
        <v>0</v>
      </c>
      <c r="AJ356" s="31">
        <f>SUM($T356:W356)</f>
        <v>0</v>
      </c>
      <c r="AK356" s="31">
        <f>SUM($T356:X356)</f>
        <v>0</v>
      </c>
      <c r="AL356" s="31">
        <f>SUM($T356:Y356)</f>
        <v>0</v>
      </c>
      <c r="AM356" s="31">
        <f>SUM($T356:Z356)</f>
        <v>0</v>
      </c>
      <c r="AN356" s="31">
        <f>SUM($T356:AA356)</f>
        <v>0</v>
      </c>
      <c r="AO356" s="31">
        <f>SUM($T356:AB356)</f>
        <v>0</v>
      </c>
      <c r="AP356" s="31">
        <f>SUM($T356:AC356)</f>
        <v>0</v>
      </c>
      <c r="AQ356" s="31">
        <f>SUM($T356:AD356)</f>
        <v>0</v>
      </c>
      <c r="AR356" s="31">
        <f>SUM($T356:AE356)</f>
        <v>0</v>
      </c>
      <c r="AS356" s="27">
        <f t="shared" si="60"/>
        <v>0</v>
      </c>
    </row>
    <row r="357" spans="2:45">
      <c r="B357" s="102" t="str">
        <f>IF(ROW()-6&gt;NumCostCenter,"",IF(CostCenter&lt;&gt;"ALL",CostCenter,DATA_LF2!B355))</f>
        <v/>
      </c>
      <c r="C357" s="153" t="str">
        <f>IF($B357&lt;&gt;"",INDEX(DataOB[],FirstRow+ROW()-7,2),"")</f>
        <v/>
      </c>
      <c r="D357" s="66" t="str">
        <f>IF($B357&lt;&gt;"",INDEX(DataOB[],FirstRow+ROW()-7,3),"")</f>
        <v/>
      </c>
      <c r="E357" s="103" t="str">
        <f>IF($B357&lt;&gt;"",INDEX(DataOB[],FirstRow+ROW()-7,6),"")</f>
        <v/>
      </c>
      <c r="F357" s="103" t="str">
        <f>IF($B357&lt;&gt;"",INDEX(DataOB[],FirstRow+ROW()-7,5),"")</f>
        <v/>
      </c>
      <c r="G357" s="58">
        <f>IF($B357&lt;&gt;"",SUMIFS(DataAct_tbl[AMOUNT],DataAct_tbl[BG CODE],Detail!$D357,DataAct_tbl[MONTH],LEFT(MonthName,3),DataAct_tbl[Dept code],$B357),0)</f>
        <v>0</v>
      </c>
      <c r="H357" s="31" t="str">
        <f t="shared" si="52"/>
        <v/>
      </c>
      <c r="I357" s="28" t="str">
        <f t="shared" si="53"/>
        <v/>
      </c>
      <c r="J357" s="32" t="str">
        <f t="shared" si="54"/>
        <v/>
      </c>
      <c r="K357" s="86"/>
      <c r="L357" s="62">
        <f>IF($B357&lt;&gt;"",SUMIFS(DataAct_tbl[AMOUNT],DataAct_tbl[BG CODE],Detail!$D357,DataAct_tbl[Check Range],"=true",DataAct_tbl[Dept code],$B357),0)</f>
        <v>0</v>
      </c>
      <c r="M357" s="63">
        <f>INDEX($AG$7:$AR$1005,ROW()-6,MATCH(MTD,$AG$6:$AR$6,0))</f>
        <v>0</v>
      </c>
      <c r="N357" s="34">
        <f t="shared" si="55"/>
        <v>0</v>
      </c>
      <c r="O357" s="64" t="str">
        <f t="shared" si="56"/>
        <v xml:space="preserve"> </v>
      </c>
      <c r="Q357" s="97">
        <f t="shared" si="57"/>
        <v>0</v>
      </c>
      <c r="R357" s="96">
        <f t="shared" si="58"/>
        <v>0</v>
      </c>
      <c r="T357" s="67" t="str">
        <f>IF($B357&lt;&gt;"",INDEX(DataOB[],FirstRow+ROW()-7,MATCH(T$6,DataOB[#Headers],0)),"")</f>
        <v/>
      </c>
      <c r="U357" s="67" t="str">
        <f>IF($B357&lt;&gt;"",INDEX(DataOB[],FirstRow+ROW()-7,MATCH(U$6,DataOB[#Headers],0)),"")</f>
        <v/>
      </c>
      <c r="V357" s="67" t="str">
        <f>IF($B357&lt;&gt;"",INDEX(DataOB[],FirstRow+ROW()-7,MATCH(V$6,DataOB[#Headers],0)),"")</f>
        <v/>
      </c>
      <c r="W357" s="67" t="str">
        <f>IF($B357&lt;&gt;"",INDEX(DataOB[],FirstRow+ROW()-7,MATCH(W$6,DataOB[#Headers],0)),"")</f>
        <v/>
      </c>
      <c r="X357" s="67" t="str">
        <f>IF($B357&lt;&gt;"",INDEX(DataOB[],FirstRow+ROW()-7,MATCH(X$6,DataOB[#Headers],0)),"")</f>
        <v/>
      </c>
      <c r="Y357" s="67" t="str">
        <f>IF($B357&lt;&gt;"",INDEX(DataOB[],FirstRow+ROW()-7,MATCH(Y$6,DataOB[#Headers],0)),"")</f>
        <v/>
      </c>
      <c r="Z357" s="67" t="str">
        <f>IF($B357&lt;&gt;"",INDEX(DataOB[],FirstRow+ROW()-7,MATCH(Z$6,DataOB[#Headers],0)),"")</f>
        <v/>
      </c>
      <c r="AA357" s="67" t="str">
        <f>IF($B357&lt;&gt;"",INDEX(DataOB[],FirstRow+ROW()-7,MATCH(AA$6,DataOB[#Headers],0)),"")</f>
        <v/>
      </c>
      <c r="AB357" s="67" t="str">
        <f>IF($B357&lt;&gt;"",INDEX(DataOB[],FirstRow+ROW()-7,MATCH(AB$6,DataOB[#Headers],0)),"")</f>
        <v/>
      </c>
      <c r="AC357" s="67" t="str">
        <f>IF($B357&lt;&gt;"",INDEX(DataOB[],FirstRow+ROW()-7,MATCH(AC$6,DataOB[#Headers],0)),"")</f>
        <v/>
      </c>
      <c r="AD357" s="67" t="str">
        <f>IF($B357&lt;&gt;"",INDEX(DataOB[],FirstRow+ROW()-7,MATCH(AD$6,DataOB[#Headers],0)),"")</f>
        <v/>
      </c>
      <c r="AE357" s="67" t="str">
        <f>IF($B357&lt;&gt;"",INDEX(DataOB[],FirstRow+ROW()-7,MATCH(AE$6,DataOB[#Headers],0)),"")</f>
        <v/>
      </c>
      <c r="AF357" s="26">
        <f t="shared" si="59"/>
        <v>0</v>
      </c>
      <c r="AG357" s="31">
        <f>SUM($T357:T357)</f>
        <v>0</v>
      </c>
      <c r="AH357" s="31">
        <f>SUM($T357:U357)</f>
        <v>0</v>
      </c>
      <c r="AI357" s="31">
        <f>SUM($T357:V357)</f>
        <v>0</v>
      </c>
      <c r="AJ357" s="31">
        <f>SUM($T357:W357)</f>
        <v>0</v>
      </c>
      <c r="AK357" s="31">
        <f>SUM($T357:X357)</f>
        <v>0</v>
      </c>
      <c r="AL357" s="31">
        <f>SUM($T357:Y357)</f>
        <v>0</v>
      </c>
      <c r="AM357" s="31">
        <f>SUM($T357:Z357)</f>
        <v>0</v>
      </c>
      <c r="AN357" s="31">
        <f>SUM($T357:AA357)</f>
        <v>0</v>
      </c>
      <c r="AO357" s="31">
        <f>SUM($T357:AB357)</f>
        <v>0</v>
      </c>
      <c r="AP357" s="31">
        <f>SUM($T357:AC357)</f>
        <v>0</v>
      </c>
      <c r="AQ357" s="31">
        <f>SUM($T357:AD357)</f>
        <v>0</v>
      </c>
      <c r="AR357" s="31">
        <f>SUM($T357:AE357)</f>
        <v>0</v>
      </c>
      <c r="AS357" s="27">
        <f t="shared" si="60"/>
        <v>0</v>
      </c>
    </row>
    <row r="358" spans="2:45">
      <c r="B358" s="102" t="str">
        <f>IF(ROW()-6&gt;NumCostCenter,"",IF(CostCenter&lt;&gt;"ALL",CostCenter,DATA_LF2!B356))</f>
        <v/>
      </c>
      <c r="C358" s="153" t="str">
        <f>IF($B358&lt;&gt;"",INDEX(DataOB[],FirstRow+ROW()-7,2),"")</f>
        <v/>
      </c>
      <c r="D358" s="66" t="str">
        <f>IF($B358&lt;&gt;"",INDEX(DataOB[],FirstRow+ROW()-7,3),"")</f>
        <v/>
      </c>
      <c r="E358" s="103" t="str">
        <f>IF($B358&lt;&gt;"",INDEX(DataOB[],FirstRow+ROW()-7,6),"")</f>
        <v/>
      </c>
      <c r="F358" s="103" t="str">
        <f>IF($B358&lt;&gt;"",INDEX(DataOB[],FirstRow+ROW()-7,5),"")</f>
        <v/>
      </c>
      <c r="G358" s="58">
        <f>IF($B358&lt;&gt;"",SUMIFS(DataAct_tbl[AMOUNT],DataAct_tbl[BG CODE],Detail!$D358,DataAct_tbl[MONTH],LEFT(MonthName,3),DataAct_tbl[Dept code],$B358),0)</f>
        <v>0</v>
      </c>
      <c r="H358" s="31" t="str">
        <f t="shared" si="52"/>
        <v/>
      </c>
      <c r="I358" s="28" t="str">
        <f t="shared" si="53"/>
        <v/>
      </c>
      <c r="J358" s="32" t="str">
        <f t="shared" si="54"/>
        <v/>
      </c>
      <c r="K358" s="86"/>
      <c r="L358" s="62">
        <f>IF($B358&lt;&gt;"",SUMIFS(DataAct_tbl[AMOUNT],DataAct_tbl[BG CODE],Detail!$D358,DataAct_tbl[Check Range],"=true",DataAct_tbl[Dept code],$B358),0)</f>
        <v>0</v>
      </c>
      <c r="M358" s="63">
        <f>INDEX($AG$7:$AR$1005,ROW()-6,MATCH(MTD,$AG$6:$AR$6,0))</f>
        <v>0</v>
      </c>
      <c r="N358" s="34">
        <f t="shared" si="55"/>
        <v>0</v>
      </c>
      <c r="O358" s="64" t="str">
        <f t="shared" si="56"/>
        <v xml:space="preserve"> </v>
      </c>
      <c r="Q358" s="97">
        <f t="shared" si="57"/>
        <v>0</v>
      </c>
      <c r="R358" s="96">
        <f t="shared" si="58"/>
        <v>0</v>
      </c>
      <c r="T358" s="67" t="str">
        <f>IF($B358&lt;&gt;"",INDEX(DataOB[],FirstRow+ROW()-7,MATCH(T$6,DataOB[#Headers],0)),"")</f>
        <v/>
      </c>
      <c r="U358" s="67" t="str">
        <f>IF($B358&lt;&gt;"",INDEX(DataOB[],FirstRow+ROW()-7,MATCH(U$6,DataOB[#Headers],0)),"")</f>
        <v/>
      </c>
      <c r="V358" s="67" t="str">
        <f>IF($B358&lt;&gt;"",INDEX(DataOB[],FirstRow+ROW()-7,MATCH(V$6,DataOB[#Headers],0)),"")</f>
        <v/>
      </c>
      <c r="W358" s="67" t="str">
        <f>IF($B358&lt;&gt;"",INDEX(DataOB[],FirstRow+ROW()-7,MATCH(W$6,DataOB[#Headers],0)),"")</f>
        <v/>
      </c>
      <c r="X358" s="67" t="str">
        <f>IF($B358&lt;&gt;"",INDEX(DataOB[],FirstRow+ROW()-7,MATCH(X$6,DataOB[#Headers],0)),"")</f>
        <v/>
      </c>
      <c r="Y358" s="67" t="str">
        <f>IF($B358&lt;&gt;"",INDEX(DataOB[],FirstRow+ROW()-7,MATCH(Y$6,DataOB[#Headers],0)),"")</f>
        <v/>
      </c>
      <c r="Z358" s="67" t="str">
        <f>IF($B358&lt;&gt;"",INDEX(DataOB[],FirstRow+ROW()-7,MATCH(Z$6,DataOB[#Headers],0)),"")</f>
        <v/>
      </c>
      <c r="AA358" s="67" t="str">
        <f>IF($B358&lt;&gt;"",INDEX(DataOB[],FirstRow+ROW()-7,MATCH(AA$6,DataOB[#Headers],0)),"")</f>
        <v/>
      </c>
      <c r="AB358" s="67" t="str">
        <f>IF($B358&lt;&gt;"",INDEX(DataOB[],FirstRow+ROW()-7,MATCH(AB$6,DataOB[#Headers],0)),"")</f>
        <v/>
      </c>
      <c r="AC358" s="67" t="str">
        <f>IF($B358&lt;&gt;"",INDEX(DataOB[],FirstRow+ROW()-7,MATCH(AC$6,DataOB[#Headers],0)),"")</f>
        <v/>
      </c>
      <c r="AD358" s="67" t="str">
        <f>IF($B358&lt;&gt;"",INDEX(DataOB[],FirstRow+ROW()-7,MATCH(AD$6,DataOB[#Headers],0)),"")</f>
        <v/>
      </c>
      <c r="AE358" s="67" t="str">
        <f>IF($B358&lt;&gt;"",INDEX(DataOB[],FirstRow+ROW()-7,MATCH(AE$6,DataOB[#Headers],0)),"")</f>
        <v/>
      </c>
      <c r="AF358" s="26">
        <f t="shared" si="59"/>
        <v>0</v>
      </c>
      <c r="AG358" s="31">
        <f>SUM($T358:T358)</f>
        <v>0</v>
      </c>
      <c r="AH358" s="31">
        <f>SUM($T358:U358)</f>
        <v>0</v>
      </c>
      <c r="AI358" s="31">
        <f>SUM($T358:V358)</f>
        <v>0</v>
      </c>
      <c r="AJ358" s="31">
        <f>SUM($T358:W358)</f>
        <v>0</v>
      </c>
      <c r="AK358" s="31">
        <f>SUM($T358:X358)</f>
        <v>0</v>
      </c>
      <c r="AL358" s="31">
        <f>SUM($T358:Y358)</f>
        <v>0</v>
      </c>
      <c r="AM358" s="31">
        <f>SUM($T358:Z358)</f>
        <v>0</v>
      </c>
      <c r="AN358" s="31">
        <f>SUM($T358:AA358)</f>
        <v>0</v>
      </c>
      <c r="AO358" s="31">
        <f>SUM($T358:AB358)</f>
        <v>0</v>
      </c>
      <c r="AP358" s="31">
        <f>SUM($T358:AC358)</f>
        <v>0</v>
      </c>
      <c r="AQ358" s="31">
        <f>SUM($T358:AD358)</f>
        <v>0</v>
      </c>
      <c r="AR358" s="31">
        <f>SUM($T358:AE358)</f>
        <v>0</v>
      </c>
      <c r="AS358" s="27">
        <f t="shared" si="60"/>
        <v>0</v>
      </c>
    </row>
    <row r="359" spans="2:45">
      <c r="B359" s="102" t="str">
        <f>IF(ROW()-6&gt;NumCostCenter,"",IF(CostCenter&lt;&gt;"ALL",CostCenter,DATA_LF2!B357))</f>
        <v/>
      </c>
      <c r="C359" s="153" t="str">
        <f>IF($B359&lt;&gt;"",INDEX(DataOB[],FirstRow+ROW()-7,2),"")</f>
        <v/>
      </c>
      <c r="D359" s="66" t="str">
        <f>IF($B359&lt;&gt;"",INDEX(DataOB[],FirstRow+ROW()-7,3),"")</f>
        <v/>
      </c>
      <c r="E359" s="103" t="str">
        <f>IF($B359&lt;&gt;"",INDEX(DataOB[],FirstRow+ROW()-7,6),"")</f>
        <v/>
      </c>
      <c r="F359" s="103" t="str">
        <f>IF($B359&lt;&gt;"",INDEX(DataOB[],FirstRow+ROW()-7,5),"")</f>
        <v/>
      </c>
      <c r="G359" s="58">
        <f>IF($B359&lt;&gt;"",SUMIFS(DataAct_tbl[AMOUNT],DataAct_tbl[BG CODE],Detail!$D359,DataAct_tbl[MONTH],LEFT(MonthName,3),DataAct_tbl[Dept code],$B359),0)</f>
        <v>0</v>
      </c>
      <c r="H359" s="31" t="str">
        <f t="shared" si="52"/>
        <v/>
      </c>
      <c r="I359" s="28" t="str">
        <f t="shared" si="53"/>
        <v/>
      </c>
      <c r="J359" s="32" t="str">
        <f t="shared" si="54"/>
        <v/>
      </c>
      <c r="K359" s="86"/>
      <c r="L359" s="62">
        <f>IF($B359&lt;&gt;"",SUMIFS(DataAct_tbl[AMOUNT],DataAct_tbl[BG CODE],Detail!$D359,DataAct_tbl[Check Range],"=true",DataAct_tbl[Dept code],$B359),0)</f>
        <v>0</v>
      </c>
      <c r="M359" s="63">
        <f>INDEX($AG$7:$AR$1005,ROW()-6,MATCH(MTD,$AG$6:$AR$6,0))</f>
        <v>0</v>
      </c>
      <c r="N359" s="34">
        <f t="shared" si="55"/>
        <v>0</v>
      </c>
      <c r="O359" s="64" t="str">
        <f t="shared" si="56"/>
        <v xml:space="preserve"> </v>
      </c>
      <c r="Q359" s="97">
        <f t="shared" si="57"/>
        <v>0</v>
      </c>
      <c r="R359" s="96">
        <f t="shared" si="58"/>
        <v>0</v>
      </c>
      <c r="T359" s="67" t="str">
        <f>IF($B359&lt;&gt;"",INDEX(DataOB[],FirstRow+ROW()-7,MATCH(T$6,DataOB[#Headers],0)),"")</f>
        <v/>
      </c>
      <c r="U359" s="67" t="str">
        <f>IF($B359&lt;&gt;"",INDEX(DataOB[],FirstRow+ROW()-7,MATCH(U$6,DataOB[#Headers],0)),"")</f>
        <v/>
      </c>
      <c r="V359" s="67" t="str">
        <f>IF($B359&lt;&gt;"",INDEX(DataOB[],FirstRow+ROW()-7,MATCH(V$6,DataOB[#Headers],0)),"")</f>
        <v/>
      </c>
      <c r="W359" s="67" t="str">
        <f>IF($B359&lt;&gt;"",INDEX(DataOB[],FirstRow+ROW()-7,MATCH(W$6,DataOB[#Headers],0)),"")</f>
        <v/>
      </c>
      <c r="X359" s="67" t="str">
        <f>IF($B359&lt;&gt;"",INDEX(DataOB[],FirstRow+ROW()-7,MATCH(X$6,DataOB[#Headers],0)),"")</f>
        <v/>
      </c>
      <c r="Y359" s="67" t="str">
        <f>IF($B359&lt;&gt;"",INDEX(DataOB[],FirstRow+ROW()-7,MATCH(Y$6,DataOB[#Headers],0)),"")</f>
        <v/>
      </c>
      <c r="Z359" s="67" t="str">
        <f>IF($B359&lt;&gt;"",INDEX(DataOB[],FirstRow+ROW()-7,MATCH(Z$6,DataOB[#Headers],0)),"")</f>
        <v/>
      </c>
      <c r="AA359" s="67" t="str">
        <f>IF($B359&lt;&gt;"",INDEX(DataOB[],FirstRow+ROW()-7,MATCH(AA$6,DataOB[#Headers],0)),"")</f>
        <v/>
      </c>
      <c r="AB359" s="67" t="str">
        <f>IF($B359&lt;&gt;"",INDEX(DataOB[],FirstRow+ROW()-7,MATCH(AB$6,DataOB[#Headers],0)),"")</f>
        <v/>
      </c>
      <c r="AC359" s="67" t="str">
        <f>IF($B359&lt;&gt;"",INDEX(DataOB[],FirstRow+ROW()-7,MATCH(AC$6,DataOB[#Headers],0)),"")</f>
        <v/>
      </c>
      <c r="AD359" s="67" t="str">
        <f>IF($B359&lt;&gt;"",INDEX(DataOB[],FirstRow+ROW()-7,MATCH(AD$6,DataOB[#Headers],0)),"")</f>
        <v/>
      </c>
      <c r="AE359" s="67" t="str">
        <f>IF($B359&lt;&gt;"",INDEX(DataOB[],FirstRow+ROW()-7,MATCH(AE$6,DataOB[#Headers],0)),"")</f>
        <v/>
      </c>
      <c r="AF359" s="26">
        <f t="shared" si="59"/>
        <v>0</v>
      </c>
      <c r="AG359" s="31">
        <f>SUM($T359:T359)</f>
        <v>0</v>
      </c>
      <c r="AH359" s="31">
        <f>SUM($T359:U359)</f>
        <v>0</v>
      </c>
      <c r="AI359" s="31">
        <f>SUM($T359:V359)</f>
        <v>0</v>
      </c>
      <c r="AJ359" s="31">
        <f>SUM($T359:W359)</f>
        <v>0</v>
      </c>
      <c r="AK359" s="31">
        <f>SUM($T359:X359)</f>
        <v>0</v>
      </c>
      <c r="AL359" s="31">
        <f>SUM($T359:Y359)</f>
        <v>0</v>
      </c>
      <c r="AM359" s="31">
        <f>SUM($T359:Z359)</f>
        <v>0</v>
      </c>
      <c r="AN359" s="31">
        <f>SUM($T359:AA359)</f>
        <v>0</v>
      </c>
      <c r="AO359" s="31">
        <f>SUM($T359:AB359)</f>
        <v>0</v>
      </c>
      <c r="AP359" s="31">
        <f>SUM($T359:AC359)</f>
        <v>0</v>
      </c>
      <c r="AQ359" s="31">
        <f>SUM($T359:AD359)</f>
        <v>0</v>
      </c>
      <c r="AR359" s="31">
        <f>SUM($T359:AE359)</f>
        <v>0</v>
      </c>
      <c r="AS359" s="27">
        <f t="shared" si="60"/>
        <v>0</v>
      </c>
    </row>
    <row r="360" spans="2:45">
      <c r="B360" s="102" t="str">
        <f>IF(ROW()-6&gt;NumCostCenter,"",IF(CostCenter&lt;&gt;"ALL",CostCenter,DATA_LF2!B358))</f>
        <v/>
      </c>
      <c r="C360" s="153" t="str">
        <f>IF($B360&lt;&gt;"",INDEX(DataOB[],FirstRow+ROW()-7,2),"")</f>
        <v/>
      </c>
      <c r="D360" s="66" t="str">
        <f>IF($B360&lt;&gt;"",INDEX(DataOB[],FirstRow+ROW()-7,3),"")</f>
        <v/>
      </c>
      <c r="E360" s="103" t="str">
        <f>IF($B360&lt;&gt;"",INDEX(DataOB[],FirstRow+ROW()-7,6),"")</f>
        <v/>
      </c>
      <c r="F360" s="103" t="str">
        <f>IF($B360&lt;&gt;"",INDEX(DataOB[],FirstRow+ROW()-7,5),"")</f>
        <v/>
      </c>
      <c r="G360" s="58">
        <f>IF($B360&lt;&gt;"",SUMIFS(DataAct_tbl[AMOUNT],DataAct_tbl[BG CODE],Detail!$D360,DataAct_tbl[MONTH],LEFT(MonthName,3),DataAct_tbl[Dept code],$B360),0)</f>
        <v>0</v>
      </c>
      <c r="H360" s="31" t="str">
        <f t="shared" si="52"/>
        <v/>
      </c>
      <c r="I360" s="28" t="str">
        <f t="shared" si="53"/>
        <v/>
      </c>
      <c r="J360" s="32" t="str">
        <f t="shared" si="54"/>
        <v/>
      </c>
      <c r="K360" s="86"/>
      <c r="L360" s="62">
        <f>IF($B360&lt;&gt;"",SUMIFS(DataAct_tbl[AMOUNT],DataAct_tbl[BG CODE],Detail!$D360,DataAct_tbl[Check Range],"=true",DataAct_tbl[Dept code],$B360),0)</f>
        <v>0</v>
      </c>
      <c r="M360" s="63">
        <f>INDEX($AG$7:$AR$1005,ROW()-6,MATCH(MTD,$AG$6:$AR$6,0))</f>
        <v>0</v>
      </c>
      <c r="N360" s="34">
        <f t="shared" si="55"/>
        <v>0</v>
      </c>
      <c r="O360" s="64" t="str">
        <f t="shared" si="56"/>
        <v xml:space="preserve"> </v>
      </c>
      <c r="Q360" s="97">
        <f t="shared" si="57"/>
        <v>0</v>
      </c>
      <c r="R360" s="96">
        <f t="shared" si="58"/>
        <v>0</v>
      </c>
      <c r="T360" s="67" t="str">
        <f>IF($B360&lt;&gt;"",INDEX(DataOB[],FirstRow+ROW()-7,MATCH(T$6,DataOB[#Headers],0)),"")</f>
        <v/>
      </c>
      <c r="U360" s="67" t="str">
        <f>IF($B360&lt;&gt;"",INDEX(DataOB[],FirstRow+ROW()-7,MATCH(U$6,DataOB[#Headers],0)),"")</f>
        <v/>
      </c>
      <c r="V360" s="67" t="str">
        <f>IF($B360&lt;&gt;"",INDEX(DataOB[],FirstRow+ROW()-7,MATCH(V$6,DataOB[#Headers],0)),"")</f>
        <v/>
      </c>
      <c r="W360" s="67" t="str">
        <f>IF($B360&lt;&gt;"",INDEX(DataOB[],FirstRow+ROW()-7,MATCH(W$6,DataOB[#Headers],0)),"")</f>
        <v/>
      </c>
      <c r="X360" s="67" t="str">
        <f>IF($B360&lt;&gt;"",INDEX(DataOB[],FirstRow+ROW()-7,MATCH(X$6,DataOB[#Headers],0)),"")</f>
        <v/>
      </c>
      <c r="Y360" s="67" t="str">
        <f>IF($B360&lt;&gt;"",INDEX(DataOB[],FirstRow+ROW()-7,MATCH(Y$6,DataOB[#Headers],0)),"")</f>
        <v/>
      </c>
      <c r="Z360" s="67" t="str">
        <f>IF($B360&lt;&gt;"",INDEX(DataOB[],FirstRow+ROW()-7,MATCH(Z$6,DataOB[#Headers],0)),"")</f>
        <v/>
      </c>
      <c r="AA360" s="67" t="str">
        <f>IF($B360&lt;&gt;"",INDEX(DataOB[],FirstRow+ROW()-7,MATCH(AA$6,DataOB[#Headers],0)),"")</f>
        <v/>
      </c>
      <c r="AB360" s="67" t="str">
        <f>IF($B360&lt;&gt;"",INDEX(DataOB[],FirstRow+ROW()-7,MATCH(AB$6,DataOB[#Headers],0)),"")</f>
        <v/>
      </c>
      <c r="AC360" s="67" t="str">
        <f>IF($B360&lt;&gt;"",INDEX(DataOB[],FirstRow+ROW()-7,MATCH(AC$6,DataOB[#Headers],0)),"")</f>
        <v/>
      </c>
      <c r="AD360" s="67" t="str">
        <f>IF($B360&lt;&gt;"",INDEX(DataOB[],FirstRow+ROW()-7,MATCH(AD$6,DataOB[#Headers],0)),"")</f>
        <v/>
      </c>
      <c r="AE360" s="67" t="str">
        <f>IF($B360&lt;&gt;"",INDEX(DataOB[],FirstRow+ROW()-7,MATCH(AE$6,DataOB[#Headers],0)),"")</f>
        <v/>
      </c>
      <c r="AF360" s="26">
        <f t="shared" si="59"/>
        <v>0</v>
      </c>
      <c r="AG360" s="31">
        <f>SUM($T360:T360)</f>
        <v>0</v>
      </c>
      <c r="AH360" s="31">
        <f>SUM($T360:U360)</f>
        <v>0</v>
      </c>
      <c r="AI360" s="31">
        <f>SUM($T360:V360)</f>
        <v>0</v>
      </c>
      <c r="AJ360" s="31">
        <f>SUM($T360:W360)</f>
        <v>0</v>
      </c>
      <c r="AK360" s="31">
        <f>SUM($T360:X360)</f>
        <v>0</v>
      </c>
      <c r="AL360" s="31">
        <f>SUM($T360:Y360)</f>
        <v>0</v>
      </c>
      <c r="AM360" s="31">
        <f>SUM($T360:Z360)</f>
        <v>0</v>
      </c>
      <c r="AN360" s="31">
        <f>SUM($T360:AA360)</f>
        <v>0</v>
      </c>
      <c r="AO360" s="31">
        <f>SUM($T360:AB360)</f>
        <v>0</v>
      </c>
      <c r="AP360" s="31">
        <f>SUM($T360:AC360)</f>
        <v>0</v>
      </c>
      <c r="AQ360" s="31">
        <f>SUM($T360:AD360)</f>
        <v>0</v>
      </c>
      <c r="AR360" s="31">
        <f>SUM($T360:AE360)</f>
        <v>0</v>
      </c>
      <c r="AS360" s="27">
        <f t="shared" si="60"/>
        <v>0</v>
      </c>
    </row>
    <row r="361" spans="2:45">
      <c r="B361" s="102" t="str">
        <f>IF(ROW()-6&gt;NumCostCenter,"",IF(CostCenter&lt;&gt;"ALL",CostCenter,DATA_LF2!B359))</f>
        <v/>
      </c>
      <c r="C361" s="153" t="str">
        <f>IF($B361&lt;&gt;"",INDEX(DataOB[],FirstRow+ROW()-7,2),"")</f>
        <v/>
      </c>
      <c r="D361" s="66" t="str">
        <f>IF($B361&lt;&gt;"",INDEX(DataOB[],FirstRow+ROW()-7,3),"")</f>
        <v/>
      </c>
      <c r="E361" s="103" t="str">
        <f>IF($B361&lt;&gt;"",INDEX(DataOB[],FirstRow+ROW()-7,6),"")</f>
        <v/>
      </c>
      <c r="F361" s="103" t="str">
        <f>IF($B361&lt;&gt;"",INDEX(DataOB[],FirstRow+ROW()-7,5),"")</f>
        <v/>
      </c>
      <c r="G361" s="58">
        <f>IF($B361&lt;&gt;"",SUMIFS(DataAct_tbl[AMOUNT],DataAct_tbl[BG CODE],Detail!$D361,DataAct_tbl[MONTH],LEFT(MonthName,3),DataAct_tbl[Dept code],$B361),0)</f>
        <v>0</v>
      </c>
      <c r="H361" s="31" t="str">
        <f t="shared" si="52"/>
        <v/>
      </c>
      <c r="I361" s="28" t="str">
        <f t="shared" si="53"/>
        <v/>
      </c>
      <c r="J361" s="32" t="str">
        <f t="shared" si="54"/>
        <v/>
      </c>
      <c r="K361" s="86"/>
      <c r="L361" s="62">
        <f>IF($B361&lt;&gt;"",SUMIFS(DataAct_tbl[AMOUNT],DataAct_tbl[BG CODE],Detail!$D361,DataAct_tbl[Check Range],"=true",DataAct_tbl[Dept code],$B361),0)</f>
        <v>0</v>
      </c>
      <c r="M361" s="63">
        <f>INDEX($AG$7:$AR$1005,ROW()-6,MATCH(MTD,$AG$6:$AR$6,0))</f>
        <v>0</v>
      </c>
      <c r="N361" s="34">
        <f t="shared" si="55"/>
        <v>0</v>
      </c>
      <c r="O361" s="64" t="str">
        <f t="shared" si="56"/>
        <v xml:space="preserve"> </v>
      </c>
      <c r="Q361" s="97">
        <f t="shared" si="57"/>
        <v>0</v>
      </c>
      <c r="R361" s="96">
        <f t="shared" si="58"/>
        <v>0</v>
      </c>
      <c r="T361" s="67" t="str">
        <f>IF($B361&lt;&gt;"",INDEX(DataOB[],FirstRow+ROW()-7,MATCH(T$6,DataOB[#Headers],0)),"")</f>
        <v/>
      </c>
      <c r="U361" s="67" t="str">
        <f>IF($B361&lt;&gt;"",INDEX(DataOB[],FirstRow+ROW()-7,MATCH(U$6,DataOB[#Headers],0)),"")</f>
        <v/>
      </c>
      <c r="V361" s="67" t="str">
        <f>IF($B361&lt;&gt;"",INDEX(DataOB[],FirstRow+ROW()-7,MATCH(V$6,DataOB[#Headers],0)),"")</f>
        <v/>
      </c>
      <c r="W361" s="67" t="str">
        <f>IF($B361&lt;&gt;"",INDEX(DataOB[],FirstRow+ROW()-7,MATCH(W$6,DataOB[#Headers],0)),"")</f>
        <v/>
      </c>
      <c r="X361" s="67" t="str">
        <f>IF($B361&lt;&gt;"",INDEX(DataOB[],FirstRow+ROW()-7,MATCH(X$6,DataOB[#Headers],0)),"")</f>
        <v/>
      </c>
      <c r="Y361" s="67" t="str">
        <f>IF($B361&lt;&gt;"",INDEX(DataOB[],FirstRow+ROW()-7,MATCH(Y$6,DataOB[#Headers],0)),"")</f>
        <v/>
      </c>
      <c r="Z361" s="67" t="str">
        <f>IF($B361&lt;&gt;"",INDEX(DataOB[],FirstRow+ROW()-7,MATCH(Z$6,DataOB[#Headers],0)),"")</f>
        <v/>
      </c>
      <c r="AA361" s="67" t="str">
        <f>IF($B361&lt;&gt;"",INDEX(DataOB[],FirstRow+ROW()-7,MATCH(AA$6,DataOB[#Headers],0)),"")</f>
        <v/>
      </c>
      <c r="AB361" s="67" t="str">
        <f>IF($B361&lt;&gt;"",INDEX(DataOB[],FirstRow+ROW()-7,MATCH(AB$6,DataOB[#Headers],0)),"")</f>
        <v/>
      </c>
      <c r="AC361" s="67" t="str">
        <f>IF($B361&lt;&gt;"",INDEX(DataOB[],FirstRow+ROW()-7,MATCH(AC$6,DataOB[#Headers],0)),"")</f>
        <v/>
      </c>
      <c r="AD361" s="67" t="str">
        <f>IF($B361&lt;&gt;"",INDEX(DataOB[],FirstRow+ROW()-7,MATCH(AD$6,DataOB[#Headers],0)),"")</f>
        <v/>
      </c>
      <c r="AE361" s="67" t="str">
        <f>IF($B361&lt;&gt;"",INDEX(DataOB[],FirstRow+ROW()-7,MATCH(AE$6,DataOB[#Headers],0)),"")</f>
        <v/>
      </c>
      <c r="AF361" s="26">
        <f t="shared" si="59"/>
        <v>0</v>
      </c>
      <c r="AG361" s="31">
        <f>SUM($T361:T361)</f>
        <v>0</v>
      </c>
      <c r="AH361" s="31">
        <f>SUM($T361:U361)</f>
        <v>0</v>
      </c>
      <c r="AI361" s="31">
        <f>SUM($T361:V361)</f>
        <v>0</v>
      </c>
      <c r="AJ361" s="31">
        <f>SUM($T361:W361)</f>
        <v>0</v>
      </c>
      <c r="AK361" s="31">
        <f>SUM($T361:X361)</f>
        <v>0</v>
      </c>
      <c r="AL361" s="31">
        <f>SUM($T361:Y361)</f>
        <v>0</v>
      </c>
      <c r="AM361" s="31">
        <f>SUM($T361:Z361)</f>
        <v>0</v>
      </c>
      <c r="AN361" s="31">
        <f>SUM($T361:AA361)</f>
        <v>0</v>
      </c>
      <c r="AO361" s="31">
        <f>SUM($T361:AB361)</f>
        <v>0</v>
      </c>
      <c r="AP361" s="31">
        <f>SUM($T361:AC361)</f>
        <v>0</v>
      </c>
      <c r="AQ361" s="31">
        <f>SUM($T361:AD361)</f>
        <v>0</v>
      </c>
      <c r="AR361" s="31">
        <f>SUM($T361:AE361)</f>
        <v>0</v>
      </c>
      <c r="AS361" s="27">
        <f t="shared" si="60"/>
        <v>0</v>
      </c>
    </row>
    <row r="362" spans="2:45">
      <c r="B362" s="102" t="str">
        <f>IF(ROW()-6&gt;NumCostCenter,"",IF(CostCenter&lt;&gt;"ALL",CostCenter,DATA_LF2!B360))</f>
        <v/>
      </c>
      <c r="C362" s="153" t="str">
        <f>IF($B362&lt;&gt;"",INDEX(DataOB[],FirstRow+ROW()-7,2),"")</f>
        <v/>
      </c>
      <c r="D362" s="66" t="str">
        <f>IF($B362&lt;&gt;"",INDEX(DataOB[],FirstRow+ROW()-7,3),"")</f>
        <v/>
      </c>
      <c r="E362" s="103" t="str">
        <f>IF($B362&lt;&gt;"",INDEX(DataOB[],FirstRow+ROW()-7,6),"")</f>
        <v/>
      </c>
      <c r="F362" s="103" t="str">
        <f>IF($B362&lt;&gt;"",INDEX(DataOB[],FirstRow+ROW()-7,5),"")</f>
        <v/>
      </c>
      <c r="G362" s="58">
        <f>IF($B362&lt;&gt;"",SUMIFS(DataAct_tbl[AMOUNT],DataAct_tbl[BG CODE],Detail!$D362,DataAct_tbl[MONTH],LEFT(MonthName,3),DataAct_tbl[Dept code],$B362),0)</f>
        <v>0</v>
      </c>
      <c r="H362" s="31" t="str">
        <f t="shared" si="52"/>
        <v/>
      </c>
      <c r="I362" s="28" t="str">
        <f t="shared" si="53"/>
        <v/>
      </c>
      <c r="J362" s="32" t="str">
        <f t="shared" si="54"/>
        <v/>
      </c>
      <c r="K362" s="86"/>
      <c r="L362" s="62">
        <f>IF($B362&lt;&gt;"",SUMIFS(DataAct_tbl[AMOUNT],DataAct_tbl[BG CODE],Detail!$D362,DataAct_tbl[Check Range],"=true",DataAct_tbl[Dept code],$B362),0)</f>
        <v>0</v>
      </c>
      <c r="M362" s="63">
        <f>INDEX($AG$7:$AR$1005,ROW()-6,MATCH(MTD,$AG$6:$AR$6,0))</f>
        <v>0</v>
      </c>
      <c r="N362" s="34">
        <f t="shared" si="55"/>
        <v>0</v>
      </c>
      <c r="O362" s="64" t="str">
        <f t="shared" si="56"/>
        <v xml:space="preserve"> </v>
      </c>
      <c r="Q362" s="97">
        <f t="shared" si="57"/>
        <v>0</v>
      </c>
      <c r="R362" s="96">
        <f t="shared" si="58"/>
        <v>0</v>
      </c>
      <c r="T362" s="67" t="str">
        <f>IF($B362&lt;&gt;"",INDEX(DataOB[],FirstRow+ROW()-7,MATCH(T$6,DataOB[#Headers],0)),"")</f>
        <v/>
      </c>
      <c r="U362" s="67" t="str">
        <f>IF($B362&lt;&gt;"",INDEX(DataOB[],FirstRow+ROW()-7,MATCH(U$6,DataOB[#Headers],0)),"")</f>
        <v/>
      </c>
      <c r="V362" s="67" t="str">
        <f>IF($B362&lt;&gt;"",INDEX(DataOB[],FirstRow+ROW()-7,MATCH(V$6,DataOB[#Headers],0)),"")</f>
        <v/>
      </c>
      <c r="W362" s="67" t="str">
        <f>IF($B362&lt;&gt;"",INDEX(DataOB[],FirstRow+ROW()-7,MATCH(W$6,DataOB[#Headers],0)),"")</f>
        <v/>
      </c>
      <c r="X362" s="67" t="str">
        <f>IF($B362&lt;&gt;"",INDEX(DataOB[],FirstRow+ROW()-7,MATCH(X$6,DataOB[#Headers],0)),"")</f>
        <v/>
      </c>
      <c r="Y362" s="67" t="str">
        <f>IF($B362&lt;&gt;"",INDEX(DataOB[],FirstRow+ROW()-7,MATCH(Y$6,DataOB[#Headers],0)),"")</f>
        <v/>
      </c>
      <c r="Z362" s="67" t="str">
        <f>IF($B362&lt;&gt;"",INDEX(DataOB[],FirstRow+ROW()-7,MATCH(Z$6,DataOB[#Headers],0)),"")</f>
        <v/>
      </c>
      <c r="AA362" s="67" t="str">
        <f>IF($B362&lt;&gt;"",INDEX(DataOB[],FirstRow+ROW()-7,MATCH(AA$6,DataOB[#Headers],0)),"")</f>
        <v/>
      </c>
      <c r="AB362" s="67" t="str">
        <f>IF($B362&lt;&gt;"",INDEX(DataOB[],FirstRow+ROW()-7,MATCH(AB$6,DataOB[#Headers],0)),"")</f>
        <v/>
      </c>
      <c r="AC362" s="67" t="str">
        <f>IF($B362&lt;&gt;"",INDEX(DataOB[],FirstRow+ROW()-7,MATCH(AC$6,DataOB[#Headers],0)),"")</f>
        <v/>
      </c>
      <c r="AD362" s="67" t="str">
        <f>IF($B362&lt;&gt;"",INDEX(DataOB[],FirstRow+ROW()-7,MATCH(AD$6,DataOB[#Headers],0)),"")</f>
        <v/>
      </c>
      <c r="AE362" s="67" t="str">
        <f>IF($B362&lt;&gt;"",INDEX(DataOB[],FirstRow+ROW()-7,MATCH(AE$6,DataOB[#Headers],0)),"")</f>
        <v/>
      </c>
      <c r="AF362" s="26">
        <f t="shared" si="59"/>
        <v>0</v>
      </c>
      <c r="AG362" s="31">
        <f>SUM($T362:T362)</f>
        <v>0</v>
      </c>
      <c r="AH362" s="31">
        <f>SUM($T362:U362)</f>
        <v>0</v>
      </c>
      <c r="AI362" s="31">
        <f>SUM($T362:V362)</f>
        <v>0</v>
      </c>
      <c r="AJ362" s="31">
        <f>SUM($T362:W362)</f>
        <v>0</v>
      </c>
      <c r="AK362" s="31">
        <f>SUM($T362:X362)</f>
        <v>0</v>
      </c>
      <c r="AL362" s="31">
        <f>SUM($T362:Y362)</f>
        <v>0</v>
      </c>
      <c r="AM362" s="31">
        <f>SUM($T362:Z362)</f>
        <v>0</v>
      </c>
      <c r="AN362" s="31">
        <f>SUM($T362:AA362)</f>
        <v>0</v>
      </c>
      <c r="AO362" s="31">
        <f>SUM($T362:AB362)</f>
        <v>0</v>
      </c>
      <c r="AP362" s="31">
        <f>SUM($T362:AC362)</f>
        <v>0</v>
      </c>
      <c r="AQ362" s="31">
        <f>SUM($T362:AD362)</f>
        <v>0</v>
      </c>
      <c r="AR362" s="31">
        <f>SUM($T362:AE362)</f>
        <v>0</v>
      </c>
      <c r="AS362" s="27">
        <f t="shared" si="60"/>
        <v>0</v>
      </c>
    </row>
    <row r="363" spans="2:45">
      <c r="B363" s="102" t="str">
        <f>IF(ROW()-6&gt;NumCostCenter,"",IF(CostCenter&lt;&gt;"ALL",CostCenter,DATA_LF2!B361))</f>
        <v/>
      </c>
      <c r="C363" s="153" t="str">
        <f>IF($B363&lt;&gt;"",INDEX(DataOB[],FirstRow+ROW()-7,2),"")</f>
        <v/>
      </c>
      <c r="D363" s="66" t="str">
        <f>IF($B363&lt;&gt;"",INDEX(DataOB[],FirstRow+ROW()-7,3),"")</f>
        <v/>
      </c>
      <c r="E363" s="103" t="str">
        <f>IF($B363&lt;&gt;"",INDEX(DataOB[],FirstRow+ROW()-7,6),"")</f>
        <v/>
      </c>
      <c r="F363" s="103" t="str">
        <f>IF($B363&lt;&gt;"",INDEX(DataOB[],FirstRow+ROW()-7,5),"")</f>
        <v/>
      </c>
      <c r="G363" s="58">
        <f>IF($B363&lt;&gt;"",SUMIFS(DataAct_tbl[AMOUNT],DataAct_tbl[BG CODE],Detail!$D363,DataAct_tbl[MONTH],LEFT(MonthName,3),DataAct_tbl[Dept code],$B363),0)</f>
        <v>0</v>
      </c>
      <c r="H363" s="31" t="str">
        <f t="shared" si="52"/>
        <v/>
      </c>
      <c r="I363" s="28" t="str">
        <f t="shared" si="53"/>
        <v/>
      </c>
      <c r="J363" s="32" t="str">
        <f t="shared" si="54"/>
        <v/>
      </c>
      <c r="K363" s="86"/>
      <c r="L363" s="62">
        <f>IF($B363&lt;&gt;"",SUMIFS(DataAct_tbl[AMOUNT],DataAct_tbl[BG CODE],Detail!$D363,DataAct_tbl[Check Range],"=true",DataAct_tbl[Dept code],$B363),0)</f>
        <v>0</v>
      </c>
      <c r="M363" s="63">
        <f>INDEX($AG$7:$AR$1005,ROW()-6,MATCH(MTD,$AG$6:$AR$6,0))</f>
        <v>0</v>
      </c>
      <c r="N363" s="34">
        <f t="shared" si="55"/>
        <v>0</v>
      </c>
      <c r="O363" s="64" t="str">
        <f t="shared" si="56"/>
        <v xml:space="preserve"> </v>
      </c>
      <c r="Q363" s="97">
        <f t="shared" si="57"/>
        <v>0</v>
      </c>
      <c r="R363" s="96">
        <f t="shared" si="58"/>
        <v>0</v>
      </c>
      <c r="T363" s="67" t="str">
        <f>IF($B363&lt;&gt;"",INDEX(DataOB[],FirstRow+ROW()-7,MATCH(T$6,DataOB[#Headers],0)),"")</f>
        <v/>
      </c>
      <c r="U363" s="67" t="str">
        <f>IF($B363&lt;&gt;"",INDEX(DataOB[],FirstRow+ROW()-7,MATCH(U$6,DataOB[#Headers],0)),"")</f>
        <v/>
      </c>
      <c r="V363" s="67" t="str">
        <f>IF($B363&lt;&gt;"",INDEX(DataOB[],FirstRow+ROW()-7,MATCH(V$6,DataOB[#Headers],0)),"")</f>
        <v/>
      </c>
      <c r="W363" s="67" t="str">
        <f>IF($B363&lt;&gt;"",INDEX(DataOB[],FirstRow+ROW()-7,MATCH(W$6,DataOB[#Headers],0)),"")</f>
        <v/>
      </c>
      <c r="X363" s="67" t="str">
        <f>IF($B363&lt;&gt;"",INDEX(DataOB[],FirstRow+ROW()-7,MATCH(X$6,DataOB[#Headers],0)),"")</f>
        <v/>
      </c>
      <c r="Y363" s="67" t="str">
        <f>IF($B363&lt;&gt;"",INDEX(DataOB[],FirstRow+ROW()-7,MATCH(Y$6,DataOB[#Headers],0)),"")</f>
        <v/>
      </c>
      <c r="Z363" s="67" t="str">
        <f>IF($B363&lt;&gt;"",INDEX(DataOB[],FirstRow+ROW()-7,MATCH(Z$6,DataOB[#Headers],0)),"")</f>
        <v/>
      </c>
      <c r="AA363" s="67" t="str">
        <f>IF($B363&lt;&gt;"",INDEX(DataOB[],FirstRow+ROW()-7,MATCH(AA$6,DataOB[#Headers],0)),"")</f>
        <v/>
      </c>
      <c r="AB363" s="67" t="str">
        <f>IF($B363&lt;&gt;"",INDEX(DataOB[],FirstRow+ROW()-7,MATCH(AB$6,DataOB[#Headers],0)),"")</f>
        <v/>
      </c>
      <c r="AC363" s="67" t="str">
        <f>IF($B363&lt;&gt;"",INDEX(DataOB[],FirstRow+ROW()-7,MATCH(AC$6,DataOB[#Headers],0)),"")</f>
        <v/>
      </c>
      <c r="AD363" s="67" t="str">
        <f>IF($B363&lt;&gt;"",INDEX(DataOB[],FirstRow+ROW()-7,MATCH(AD$6,DataOB[#Headers],0)),"")</f>
        <v/>
      </c>
      <c r="AE363" s="67" t="str">
        <f>IF($B363&lt;&gt;"",INDEX(DataOB[],FirstRow+ROW()-7,MATCH(AE$6,DataOB[#Headers],0)),"")</f>
        <v/>
      </c>
      <c r="AF363" s="26">
        <f t="shared" si="59"/>
        <v>0</v>
      </c>
      <c r="AG363" s="31">
        <f>SUM($T363:T363)</f>
        <v>0</v>
      </c>
      <c r="AH363" s="31">
        <f>SUM($T363:U363)</f>
        <v>0</v>
      </c>
      <c r="AI363" s="31">
        <f>SUM($T363:V363)</f>
        <v>0</v>
      </c>
      <c r="AJ363" s="31">
        <f>SUM($T363:W363)</f>
        <v>0</v>
      </c>
      <c r="AK363" s="31">
        <f>SUM($T363:X363)</f>
        <v>0</v>
      </c>
      <c r="AL363" s="31">
        <f>SUM($T363:Y363)</f>
        <v>0</v>
      </c>
      <c r="AM363" s="31">
        <f>SUM($T363:Z363)</f>
        <v>0</v>
      </c>
      <c r="AN363" s="31">
        <f>SUM($T363:AA363)</f>
        <v>0</v>
      </c>
      <c r="AO363" s="31">
        <f>SUM($T363:AB363)</f>
        <v>0</v>
      </c>
      <c r="AP363" s="31">
        <f>SUM($T363:AC363)</f>
        <v>0</v>
      </c>
      <c r="AQ363" s="31">
        <f>SUM($T363:AD363)</f>
        <v>0</v>
      </c>
      <c r="AR363" s="31">
        <f>SUM($T363:AE363)</f>
        <v>0</v>
      </c>
      <c r="AS363" s="27">
        <f t="shared" si="60"/>
        <v>0</v>
      </c>
    </row>
    <row r="364" spans="2:45">
      <c r="B364" s="102" t="str">
        <f>IF(ROW()-6&gt;NumCostCenter,"",IF(CostCenter&lt;&gt;"ALL",CostCenter,DATA_LF2!B362))</f>
        <v/>
      </c>
      <c r="C364" s="153" t="str">
        <f>IF($B364&lt;&gt;"",INDEX(DataOB[],FirstRow+ROW()-7,2),"")</f>
        <v/>
      </c>
      <c r="D364" s="66" t="str">
        <f>IF($B364&lt;&gt;"",INDEX(DataOB[],FirstRow+ROW()-7,3),"")</f>
        <v/>
      </c>
      <c r="E364" s="103" t="str">
        <f>IF($B364&lt;&gt;"",INDEX(DataOB[],FirstRow+ROW()-7,6),"")</f>
        <v/>
      </c>
      <c r="F364" s="103" t="str">
        <f>IF($B364&lt;&gt;"",INDEX(DataOB[],FirstRow+ROW()-7,5),"")</f>
        <v/>
      </c>
      <c r="G364" s="58">
        <f>IF($B364&lt;&gt;"",SUMIFS(DataAct_tbl[AMOUNT],DataAct_tbl[BG CODE],Detail!$D364,DataAct_tbl[MONTH],LEFT(MonthName,3),DataAct_tbl[Dept code],$B364),0)</f>
        <v>0</v>
      </c>
      <c r="H364" s="31" t="str">
        <f t="shared" si="52"/>
        <v/>
      </c>
      <c r="I364" s="28" t="str">
        <f t="shared" si="53"/>
        <v/>
      </c>
      <c r="J364" s="32" t="str">
        <f t="shared" si="54"/>
        <v/>
      </c>
      <c r="K364" s="86"/>
      <c r="L364" s="62">
        <f>IF($B364&lt;&gt;"",SUMIFS(DataAct_tbl[AMOUNT],DataAct_tbl[BG CODE],Detail!$D364,DataAct_tbl[Check Range],"=true",DataAct_tbl[Dept code],$B364),0)</f>
        <v>0</v>
      </c>
      <c r="M364" s="63">
        <f>INDEX($AG$7:$AR$1005,ROW()-6,MATCH(MTD,$AG$6:$AR$6,0))</f>
        <v>0</v>
      </c>
      <c r="N364" s="34">
        <f t="shared" si="55"/>
        <v>0</v>
      </c>
      <c r="O364" s="64" t="str">
        <f t="shared" si="56"/>
        <v xml:space="preserve"> </v>
      </c>
      <c r="Q364" s="97">
        <f t="shared" si="57"/>
        <v>0</v>
      </c>
      <c r="R364" s="96">
        <f t="shared" si="58"/>
        <v>0</v>
      </c>
      <c r="T364" s="67" t="str">
        <f>IF($B364&lt;&gt;"",INDEX(DataOB[],FirstRow+ROW()-7,MATCH(T$6,DataOB[#Headers],0)),"")</f>
        <v/>
      </c>
      <c r="U364" s="67" t="str">
        <f>IF($B364&lt;&gt;"",INDEX(DataOB[],FirstRow+ROW()-7,MATCH(U$6,DataOB[#Headers],0)),"")</f>
        <v/>
      </c>
      <c r="V364" s="67" t="str">
        <f>IF($B364&lt;&gt;"",INDEX(DataOB[],FirstRow+ROW()-7,MATCH(V$6,DataOB[#Headers],0)),"")</f>
        <v/>
      </c>
      <c r="W364" s="67" t="str">
        <f>IF($B364&lt;&gt;"",INDEX(DataOB[],FirstRow+ROW()-7,MATCH(W$6,DataOB[#Headers],0)),"")</f>
        <v/>
      </c>
      <c r="X364" s="67" t="str">
        <f>IF($B364&lt;&gt;"",INDEX(DataOB[],FirstRow+ROW()-7,MATCH(X$6,DataOB[#Headers],0)),"")</f>
        <v/>
      </c>
      <c r="Y364" s="67" t="str">
        <f>IF($B364&lt;&gt;"",INDEX(DataOB[],FirstRow+ROW()-7,MATCH(Y$6,DataOB[#Headers],0)),"")</f>
        <v/>
      </c>
      <c r="Z364" s="67" t="str">
        <f>IF($B364&lt;&gt;"",INDEX(DataOB[],FirstRow+ROW()-7,MATCH(Z$6,DataOB[#Headers],0)),"")</f>
        <v/>
      </c>
      <c r="AA364" s="67" t="str">
        <f>IF($B364&lt;&gt;"",INDEX(DataOB[],FirstRow+ROW()-7,MATCH(AA$6,DataOB[#Headers],0)),"")</f>
        <v/>
      </c>
      <c r="AB364" s="67" t="str">
        <f>IF($B364&lt;&gt;"",INDEX(DataOB[],FirstRow+ROW()-7,MATCH(AB$6,DataOB[#Headers],0)),"")</f>
        <v/>
      </c>
      <c r="AC364" s="67" t="str">
        <f>IF($B364&lt;&gt;"",INDEX(DataOB[],FirstRow+ROW()-7,MATCH(AC$6,DataOB[#Headers],0)),"")</f>
        <v/>
      </c>
      <c r="AD364" s="67" t="str">
        <f>IF($B364&lt;&gt;"",INDEX(DataOB[],FirstRow+ROW()-7,MATCH(AD$6,DataOB[#Headers],0)),"")</f>
        <v/>
      </c>
      <c r="AE364" s="67" t="str">
        <f>IF($B364&lt;&gt;"",INDEX(DataOB[],FirstRow+ROW()-7,MATCH(AE$6,DataOB[#Headers],0)),"")</f>
        <v/>
      </c>
      <c r="AF364" s="26">
        <f t="shared" si="59"/>
        <v>0</v>
      </c>
      <c r="AG364" s="31">
        <f>SUM($T364:T364)</f>
        <v>0</v>
      </c>
      <c r="AH364" s="31">
        <f>SUM($T364:U364)</f>
        <v>0</v>
      </c>
      <c r="AI364" s="31">
        <f>SUM($T364:V364)</f>
        <v>0</v>
      </c>
      <c r="AJ364" s="31">
        <f>SUM($T364:W364)</f>
        <v>0</v>
      </c>
      <c r="AK364" s="31">
        <f>SUM($T364:X364)</f>
        <v>0</v>
      </c>
      <c r="AL364" s="31">
        <f>SUM($T364:Y364)</f>
        <v>0</v>
      </c>
      <c r="AM364" s="31">
        <f>SUM($T364:Z364)</f>
        <v>0</v>
      </c>
      <c r="AN364" s="31">
        <f>SUM($T364:AA364)</f>
        <v>0</v>
      </c>
      <c r="AO364" s="31">
        <f>SUM($T364:AB364)</f>
        <v>0</v>
      </c>
      <c r="AP364" s="31">
        <f>SUM($T364:AC364)</f>
        <v>0</v>
      </c>
      <c r="AQ364" s="31">
        <f>SUM($T364:AD364)</f>
        <v>0</v>
      </c>
      <c r="AR364" s="31">
        <f>SUM($T364:AE364)</f>
        <v>0</v>
      </c>
      <c r="AS364" s="27">
        <f t="shared" si="60"/>
        <v>0</v>
      </c>
    </row>
    <row r="365" spans="2:45">
      <c r="B365" s="102" t="str">
        <f>IF(ROW()-6&gt;NumCostCenter,"",IF(CostCenter&lt;&gt;"ALL",CostCenter,DATA_LF2!B363))</f>
        <v/>
      </c>
      <c r="C365" s="153" t="str">
        <f>IF($B365&lt;&gt;"",INDEX(DataOB[],FirstRow+ROW()-7,2),"")</f>
        <v/>
      </c>
      <c r="D365" s="66" t="str">
        <f>IF($B365&lt;&gt;"",INDEX(DataOB[],FirstRow+ROW()-7,3),"")</f>
        <v/>
      </c>
      <c r="E365" s="103" t="str">
        <f>IF($B365&lt;&gt;"",INDEX(DataOB[],FirstRow+ROW()-7,6),"")</f>
        <v/>
      </c>
      <c r="F365" s="103" t="str">
        <f>IF($B365&lt;&gt;"",INDEX(DataOB[],FirstRow+ROW()-7,5),"")</f>
        <v/>
      </c>
      <c r="G365" s="58">
        <f>IF($B365&lt;&gt;"",SUMIFS(DataAct_tbl[AMOUNT],DataAct_tbl[BG CODE],Detail!$D365,DataAct_tbl[MONTH],LEFT(MonthName,3),DataAct_tbl[Dept code],$B365),0)</f>
        <v>0</v>
      </c>
      <c r="H365" s="31" t="str">
        <f t="shared" si="52"/>
        <v/>
      </c>
      <c r="I365" s="28" t="str">
        <f t="shared" si="53"/>
        <v/>
      </c>
      <c r="J365" s="32" t="str">
        <f t="shared" si="54"/>
        <v/>
      </c>
      <c r="K365" s="86"/>
      <c r="L365" s="62">
        <f>IF($B365&lt;&gt;"",SUMIFS(DataAct_tbl[AMOUNT],DataAct_tbl[BG CODE],Detail!$D365,DataAct_tbl[Check Range],"=true",DataAct_tbl[Dept code],$B365),0)</f>
        <v>0</v>
      </c>
      <c r="M365" s="63">
        <f>INDEX($AG$7:$AR$1005,ROW()-6,MATCH(MTD,$AG$6:$AR$6,0))</f>
        <v>0</v>
      </c>
      <c r="N365" s="34">
        <f t="shared" si="55"/>
        <v>0</v>
      </c>
      <c r="O365" s="64" t="str">
        <f t="shared" si="56"/>
        <v xml:space="preserve"> </v>
      </c>
      <c r="Q365" s="97">
        <f t="shared" si="57"/>
        <v>0</v>
      </c>
      <c r="R365" s="96">
        <f t="shared" si="58"/>
        <v>0</v>
      </c>
      <c r="T365" s="67" t="str">
        <f>IF($B365&lt;&gt;"",INDEX(DataOB[],FirstRow+ROW()-7,MATCH(T$6,DataOB[#Headers],0)),"")</f>
        <v/>
      </c>
      <c r="U365" s="67" t="str">
        <f>IF($B365&lt;&gt;"",INDEX(DataOB[],FirstRow+ROW()-7,MATCH(U$6,DataOB[#Headers],0)),"")</f>
        <v/>
      </c>
      <c r="V365" s="67" t="str">
        <f>IF($B365&lt;&gt;"",INDEX(DataOB[],FirstRow+ROW()-7,MATCH(V$6,DataOB[#Headers],0)),"")</f>
        <v/>
      </c>
      <c r="W365" s="67" t="str">
        <f>IF($B365&lt;&gt;"",INDEX(DataOB[],FirstRow+ROW()-7,MATCH(W$6,DataOB[#Headers],0)),"")</f>
        <v/>
      </c>
      <c r="X365" s="67" t="str">
        <f>IF($B365&lt;&gt;"",INDEX(DataOB[],FirstRow+ROW()-7,MATCH(X$6,DataOB[#Headers],0)),"")</f>
        <v/>
      </c>
      <c r="Y365" s="67" t="str">
        <f>IF($B365&lt;&gt;"",INDEX(DataOB[],FirstRow+ROW()-7,MATCH(Y$6,DataOB[#Headers],0)),"")</f>
        <v/>
      </c>
      <c r="Z365" s="67" t="str">
        <f>IF($B365&lt;&gt;"",INDEX(DataOB[],FirstRow+ROW()-7,MATCH(Z$6,DataOB[#Headers],0)),"")</f>
        <v/>
      </c>
      <c r="AA365" s="67" t="str">
        <f>IF($B365&lt;&gt;"",INDEX(DataOB[],FirstRow+ROW()-7,MATCH(AA$6,DataOB[#Headers],0)),"")</f>
        <v/>
      </c>
      <c r="AB365" s="67" t="str">
        <f>IF($B365&lt;&gt;"",INDEX(DataOB[],FirstRow+ROW()-7,MATCH(AB$6,DataOB[#Headers],0)),"")</f>
        <v/>
      </c>
      <c r="AC365" s="67" t="str">
        <f>IF($B365&lt;&gt;"",INDEX(DataOB[],FirstRow+ROW()-7,MATCH(AC$6,DataOB[#Headers],0)),"")</f>
        <v/>
      </c>
      <c r="AD365" s="67" t="str">
        <f>IF($B365&lt;&gt;"",INDEX(DataOB[],FirstRow+ROW()-7,MATCH(AD$6,DataOB[#Headers],0)),"")</f>
        <v/>
      </c>
      <c r="AE365" s="67" t="str">
        <f>IF($B365&lt;&gt;"",INDEX(DataOB[],FirstRow+ROW()-7,MATCH(AE$6,DataOB[#Headers],0)),"")</f>
        <v/>
      </c>
      <c r="AF365" s="26">
        <f t="shared" si="59"/>
        <v>0</v>
      </c>
      <c r="AG365" s="31">
        <f>SUM($T365:T365)</f>
        <v>0</v>
      </c>
      <c r="AH365" s="31">
        <f>SUM($T365:U365)</f>
        <v>0</v>
      </c>
      <c r="AI365" s="31">
        <f>SUM($T365:V365)</f>
        <v>0</v>
      </c>
      <c r="AJ365" s="31">
        <f>SUM($T365:W365)</f>
        <v>0</v>
      </c>
      <c r="AK365" s="31">
        <f>SUM($T365:X365)</f>
        <v>0</v>
      </c>
      <c r="AL365" s="31">
        <f>SUM($T365:Y365)</f>
        <v>0</v>
      </c>
      <c r="AM365" s="31">
        <f>SUM($T365:Z365)</f>
        <v>0</v>
      </c>
      <c r="AN365" s="31">
        <f>SUM($T365:AA365)</f>
        <v>0</v>
      </c>
      <c r="AO365" s="31">
        <f>SUM($T365:AB365)</f>
        <v>0</v>
      </c>
      <c r="AP365" s="31">
        <f>SUM($T365:AC365)</f>
        <v>0</v>
      </c>
      <c r="AQ365" s="31">
        <f>SUM($T365:AD365)</f>
        <v>0</v>
      </c>
      <c r="AR365" s="31">
        <f>SUM($T365:AE365)</f>
        <v>0</v>
      </c>
      <c r="AS365" s="27">
        <f t="shared" si="60"/>
        <v>0</v>
      </c>
    </row>
    <row r="366" spans="2:45">
      <c r="B366" s="102" t="str">
        <f>IF(ROW()-6&gt;NumCostCenter,"",IF(CostCenter&lt;&gt;"ALL",CostCenter,DATA_LF2!B364))</f>
        <v/>
      </c>
      <c r="C366" s="153" t="str">
        <f>IF($B366&lt;&gt;"",INDEX(DataOB[],FirstRow+ROW()-7,2),"")</f>
        <v/>
      </c>
      <c r="D366" s="66" t="str">
        <f>IF($B366&lt;&gt;"",INDEX(DataOB[],FirstRow+ROW()-7,3),"")</f>
        <v/>
      </c>
      <c r="E366" s="103" t="str">
        <f>IF($B366&lt;&gt;"",INDEX(DataOB[],FirstRow+ROW()-7,6),"")</f>
        <v/>
      </c>
      <c r="F366" s="103" t="str">
        <f>IF($B366&lt;&gt;"",INDEX(DataOB[],FirstRow+ROW()-7,5),"")</f>
        <v/>
      </c>
      <c r="G366" s="58">
        <f>IF($B366&lt;&gt;"",SUMIFS(DataAct_tbl[AMOUNT],DataAct_tbl[BG CODE],Detail!$D366,DataAct_tbl[MONTH],LEFT(MonthName,3),DataAct_tbl[Dept code],$B366),0)</f>
        <v>0</v>
      </c>
      <c r="H366" s="31" t="str">
        <f t="shared" si="52"/>
        <v/>
      </c>
      <c r="I366" s="28" t="str">
        <f t="shared" si="53"/>
        <v/>
      </c>
      <c r="J366" s="32" t="str">
        <f t="shared" si="54"/>
        <v/>
      </c>
      <c r="K366" s="86"/>
      <c r="L366" s="62">
        <f>IF($B366&lt;&gt;"",SUMIFS(DataAct_tbl[AMOUNT],DataAct_tbl[BG CODE],Detail!$D366,DataAct_tbl[Check Range],"=true",DataAct_tbl[Dept code],$B366),0)</f>
        <v>0</v>
      </c>
      <c r="M366" s="63">
        <f>INDEX($AG$7:$AR$1005,ROW()-6,MATCH(MTD,$AG$6:$AR$6,0))</f>
        <v>0</v>
      </c>
      <c r="N366" s="34">
        <f t="shared" si="55"/>
        <v>0</v>
      </c>
      <c r="O366" s="64" t="str">
        <f t="shared" si="56"/>
        <v xml:space="preserve"> </v>
      </c>
      <c r="Q366" s="97">
        <f t="shared" si="57"/>
        <v>0</v>
      </c>
      <c r="R366" s="96">
        <f t="shared" si="58"/>
        <v>0</v>
      </c>
      <c r="T366" s="67" t="str">
        <f>IF($B366&lt;&gt;"",INDEX(DataOB[],FirstRow+ROW()-7,MATCH(T$6,DataOB[#Headers],0)),"")</f>
        <v/>
      </c>
      <c r="U366" s="67" t="str">
        <f>IF($B366&lt;&gt;"",INDEX(DataOB[],FirstRow+ROW()-7,MATCH(U$6,DataOB[#Headers],0)),"")</f>
        <v/>
      </c>
      <c r="V366" s="67" t="str">
        <f>IF($B366&lt;&gt;"",INDEX(DataOB[],FirstRow+ROW()-7,MATCH(V$6,DataOB[#Headers],0)),"")</f>
        <v/>
      </c>
      <c r="W366" s="67" t="str">
        <f>IF($B366&lt;&gt;"",INDEX(DataOB[],FirstRow+ROW()-7,MATCH(W$6,DataOB[#Headers],0)),"")</f>
        <v/>
      </c>
      <c r="X366" s="67" t="str">
        <f>IF($B366&lt;&gt;"",INDEX(DataOB[],FirstRow+ROW()-7,MATCH(X$6,DataOB[#Headers],0)),"")</f>
        <v/>
      </c>
      <c r="Y366" s="67" t="str">
        <f>IF($B366&lt;&gt;"",INDEX(DataOB[],FirstRow+ROW()-7,MATCH(Y$6,DataOB[#Headers],0)),"")</f>
        <v/>
      </c>
      <c r="Z366" s="67" t="str">
        <f>IF($B366&lt;&gt;"",INDEX(DataOB[],FirstRow+ROW()-7,MATCH(Z$6,DataOB[#Headers],0)),"")</f>
        <v/>
      </c>
      <c r="AA366" s="67" t="str">
        <f>IF($B366&lt;&gt;"",INDEX(DataOB[],FirstRow+ROW()-7,MATCH(AA$6,DataOB[#Headers],0)),"")</f>
        <v/>
      </c>
      <c r="AB366" s="67" t="str">
        <f>IF($B366&lt;&gt;"",INDEX(DataOB[],FirstRow+ROW()-7,MATCH(AB$6,DataOB[#Headers],0)),"")</f>
        <v/>
      </c>
      <c r="AC366" s="67" t="str">
        <f>IF($B366&lt;&gt;"",INDEX(DataOB[],FirstRow+ROW()-7,MATCH(AC$6,DataOB[#Headers],0)),"")</f>
        <v/>
      </c>
      <c r="AD366" s="67" t="str">
        <f>IF($B366&lt;&gt;"",INDEX(DataOB[],FirstRow+ROW()-7,MATCH(AD$6,DataOB[#Headers],0)),"")</f>
        <v/>
      </c>
      <c r="AE366" s="67" t="str">
        <f>IF($B366&lt;&gt;"",INDEX(DataOB[],FirstRow+ROW()-7,MATCH(AE$6,DataOB[#Headers],0)),"")</f>
        <v/>
      </c>
      <c r="AF366" s="26">
        <f t="shared" si="59"/>
        <v>0</v>
      </c>
      <c r="AG366" s="31">
        <f>SUM($T366:T366)</f>
        <v>0</v>
      </c>
      <c r="AH366" s="31">
        <f>SUM($T366:U366)</f>
        <v>0</v>
      </c>
      <c r="AI366" s="31">
        <f>SUM($T366:V366)</f>
        <v>0</v>
      </c>
      <c r="AJ366" s="31">
        <f>SUM($T366:W366)</f>
        <v>0</v>
      </c>
      <c r="AK366" s="31">
        <f>SUM($T366:X366)</f>
        <v>0</v>
      </c>
      <c r="AL366" s="31">
        <f>SUM($T366:Y366)</f>
        <v>0</v>
      </c>
      <c r="AM366" s="31">
        <f>SUM($T366:Z366)</f>
        <v>0</v>
      </c>
      <c r="AN366" s="31">
        <f>SUM($T366:AA366)</f>
        <v>0</v>
      </c>
      <c r="AO366" s="31">
        <f>SUM($T366:AB366)</f>
        <v>0</v>
      </c>
      <c r="AP366" s="31">
        <f>SUM($T366:AC366)</f>
        <v>0</v>
      </c>
      <c r="AQ366" s="31">
        <f>SUM($T366:AD366)</f>
        <v>0</v>
      </c>
      <c r="AR366" s="31">
        <f>SUM($T366:AE366)</f>
        <v>0</v>
      </c>
      <c r="AS366" s="27">
        <f t="shared" si="60"/>
        <v>0</v>
      </c>
    </row>
    <row r="367" spans="2:45">
      <c r="B367" s="102" t="str">
        <f>IF(ROW()-6&gt;NumCostCenter,"",IF(CostCenter&lt;&gt;"ALL",CostCenter,DATA_LF2!B365))</f>
        <v/>
      </c>
      <c r="C367" s="153" t="str">
        <f>IF($B367&lt;&gt;"",INDEX(DataOB[],FirstRow+ROW()-7,2),"")</f>
        <v/>
      </c>
      <c r="D367" s="66" t="str">
        <f>IF($B367&lt;&gt;"",INDEX(DataOB[],FirstRow+ROW()-7,3),"")</f>
        <v/>
      </c>
      <c r="E367" s="103" t="str">
        <f>IF($B367&lt;&gt;"",INDEX(DataOB[],FirstRow+ROW()-7,6),"")</f>
        <v/>
      </c>
      <c r="F367" s="103" t="str">
        <f>IF($B367&lt;&gt;"",INDEX(DataOB[],FirstRow+ROW()-7,5),"")</f>
        <v/>
      </c>
      <c r="G367" s="58">
        <f>IF($B367&lt;&gt;"",SUMIFS(DataAct_tbl[AMOUNT],DataAct_tbl[BG CODE],Detail!$D367,DataAct_tbl[MONTH],LEFT(MonthName,3),DataAct_tbl[Dept code],$B367),0)</f>
        <v>0</v>
      </c>
      <c r="H367" s="31" t="str">
        <f t="shared" si="52"/>
        <v/>
      </c>
      <c r="I367" s="28" t="str">
        <f t="shared" si="53"/>
        <v/>
      </c>
      <c r="J367" s="32" t="str">
        <f t="shared" si="54"/>
        <v/>
      </c>
      <c r="K367" s="86"/>
      <c r="L367" s="62">
        <f>IF($B367&lt;&gt;"",SUMIFS(DataAct_tbl[AMOUNT],DataAct_tbl[BG CODE],Detail!$D367,DataAct_tbl[Check Range],"=true",DataAct_tbl[Dept code],$B367),0)</f>
        <v>0</v>
      </c>
      <c r="M367" s="63">
        <f>INDEX($AG$7:$AR$1005,ROW()-6,MATCH(MTD,$AG$6:$AR$6,0))</f>
        <v>0</v>
      </c>
      <c r="N367" s="34">
        <f t="shared" si="55"/>
        <v>0</v>
      </c>
      <c r="O367" s="64" t="str">
        <f t="shared" si="56"/>
        <v xml:space="preserve"> </v>
      </c>
      <c r="Q367" s="97">
        <f t="shared" si="57"/>
        <v>0</v>
      </c>
      <c r="R367" s="96">
        <f t="shared" si="58"/>
        <v>0</v>
      </c>
      <c r="T367" s="67" t="str">
        <f>IF($B367&lt;&gt;"",INDEX(DataOB[],FirstRow+ROW()-7,MATCH(T$6,DataOB[#Headers],0)),"")</f>
        <v/>
      </c>
      <c r="U367" s="67" t="str">
        <f>IF($B367&lt;&gt;"",INDEX(DataOB[],FirstRow+ROW()-7,MATCH(U$6,DataOB[#Headers],0)),"")</f>
        <v/>
      </c>
      <c r="V367" s="67" t="str">
        <f>IF($B367&lt;&gt;"",INDEX(DataOB[],FirstRow+ROW()-7,MATCH(V$6,DataOB[#Headers],0)),"")</f>
        <v/>
      </c>
      <c r="W367" s="67" t="str">
        <f>IF($B367&lt;&gt;"",INDEX(DataOB[],FirstRow+ROW()-7,MATCH(W$6,DataOB[#Headers],0)),"")</f>
        <v/>
      </c>
      <c r="X367" s="67" t="str">
        <f>IF($B367&lt;&gt;"",INDEX(DataOB[],FirstRow+ROW()-7,MATCH(X$6,DataOB[#Headers],0)),"")</f>
        <v/>
      </c>
      <c r="Y367" s="67" t="str">
        <f>IF($B367&lt;&gt;"",INDEX(DataOB[],FirstRow+ROW()-7,MATCH(Y$6,DataOB[#Headers],0)),"")</f>
        <v/>
      </c>
      <c r="Z367" s="67" t="str">
        <f>IF($B367&lt;&gt;"",INDEX(DataOB[],FirstRow+ROW()-7,MATCH(Z$6,DataOB[#Headers],0)),"")</f>
        <v/>
      </c>
      <c r="AA367" s="67" t="str">
        <f>IF($B367&lt;&gt;"",INDEX(DataOB[],FirstRow+ROW()-7,MATCH(AA$6,DataOB[#Headers],0)),"")</f>
        <v/>
      </c>
      <c r="AB367" s="67" t="str">
        <f>IF($B367&lt;&gt;"",INDEX(DataOB[],FirstRow+ROW()-7,MATCH(AB$6,DataOB[#Headers],0)),"")</f>
        <v/>
      </c>
      <c r="AC367" s="67" t="str">
        <f>IF($B367&lt;&gt;"",INDEX(DataOB[],FirstRow+ROW()-7,MATCH(AC$6,DataOB[#Headers],0)),"")</f>
        <v/>
      </c>
      <c r="AD367" s="67" t="str">
        <f>IF($B367&lt;&gt;"",INDEX(DataOB[],FirstRow+ROW()-7,MATCH(AD$6,DataOB[#Headers],0)),"")</f>
        <v/>
      </c>
      <c r="AE367" s="67" t="str">
        <f>IF($B367&lt;&gt;"",INDEX(DataOB[],FirstRow+ROW()-7,MATCH(AE$6,DataOB[#Headers],0)),"")</f>
        <v/>
      </c>
      <c r="AF367" s="26">
        <f t="shared" si="59"/>
        <v>0</v>
      </c>
      <c r="AG367" s="31">
        <f>SUM($T367:T367)</f>
        <v>0</v>
      </c>
      <c r="AH367" s="31">
        <f>SUM($T367:U367)</f>
        <v>0</v>
      </c>
      <c r="AI367" s="31">
        <f>SUM($T367:V367)</f>
        <v>0</v>
      </c>
      <c r="AJ367" s="31">
        <f>SUM($T367:W367)</f>
        <v>0</v>
      </c>
      <c r="AK367" s="31">
        <f>SUM($T367:X367)</f>
        <v>0</v>
      </c>
      <c r="AL367" s="31">
        <f>SUM($T367:Y367)</f>
        <v>0</v>
      </c>
      <c r="AM367" s="31">
        <f>SUM($T367:Z367)</f>
        <v>0</v>
      </c>
      <c r="AN367" s="31">
        <f>SUM($T367:AA367)</f>
        <v>0</v>
      </c>
      <c r="AO367" s="31">
        <f>SUM($T367:AB367)</f>
        <v>0</v>
      </c>
      <c r="AP367" s="31">
        <f>SUM($T367:AC367)</f>
        <v>0</v>
      </c>
      <c r="AQ367" s="31">
        <f>SUM($T367:AD367)</f>
        <v>0</v>
      </c>
      <c r="AR367" s="31">
        <f>SUM($T367:AE367)</f>
        <v>0</v>
      </c>
      <c r="AS367" s="27">
        <f t="shared" si="60"/>
        <v>0</v>
      </c>
    </row>
    <row r="368" spans="2:45">
      <c r="B368" s="102" t="str">
        <f>IF(ROW()-6&gt;NumCostCenter,"",IF(CostCenter&lt;&gt;"ALL",CostCenter,DATA_LF2!B366))</f>
        <v/>
      </c>
      <c r="C368" s="153" t="str">
        <f>IF($B368&lt;&gt;"",INDEX(DataOB[],FirstRow+ROW()-7,2),"")</f>
        <v/>
      </c>
      <c r="D368" s="66" t="str">
        <f>IF($B368&lt;&gt;"",INDEX(DataOB[],FirstRow+ROW()-7,3),"")</f>
        <v/>
      </c>
      <c r="E368" s="103" t="str">
        <f>IF($B368&lt;&gt;"",INDEX(DataOB[],FirstRow+ROW()-7,6),"")</f>
        <v/>
      </c>
      <c r="F368" s="103" t="str">
        <f>IF($B368&lt;&gt;"",INDEX(DataOB[],FirstRow+ROW()-7,5),"")</f>
        <v/>
      </c>
      <c r="G368" s="58">
        <f>IF($B368&lt;&gt;"",SUMIFS(DataAct_tbl[AMOUNT],DataAct_tbl[BG CODE],Detail!$D368,DataAct_tbl[MONTH],LEFT(MonthName,3),DataAct_tbl[Dept code],$B368),0)</f>
        <v>0</v>
      </c>
      <c r="H368" s="31" t="str">
        <f t="shared" si="52"/>
        <v/>
      </c>
      <c r="I368" s="28" t="str">
        <f t="shared" si="53"/>
        <v/>
      </c>
      <c r="J368" s="32" t="str">
        <f t="shared" si="54"/>
        <v/>
      </c>
      <c r="K368" s="86"/>
      <c r="L368" s="62">
        <f>IF($B368&lt;&gt;"",SUMIFS(DataAct_tbl[AMOUNT],DataAct_tbl[BG CODE],Detail!$D368,DataAct_tbl[Check Range],"=true",DataAct_tbl[Dept code],$B368),0)</f>
        <v>0</v>
      </c>
      <c r="M368" s="63">
        <f>INDEX($AG$7:$AR$1005,ROW()-6,MATCH(MTD,$AG$6:$AR$6,0))</f>
        <v>0</v>
      </c>
      <c r="N368" s="34">
        <f t="shared" si="55"/>
        <v>0</v>
      </c>
      <c r="O368" s="64" t="str">
        <f t="shared" si="56"/>
        <v xml:space="preserve"> </v>
      </c>
      <c r="Q368" s="97">
        <f t="shared" si="57"/>
        <v>0</v>
      </c>
      <c r="R368" s="96">
        <f t="shared" si="58"/>
        <v>0</v>
      </c>
      <c r="T368" s="67" t="str">
        <f>IF($B368&lt;&gt;"",INDEX(DataOB[],FirstRow+ROW()-7,MATCH(T$6,DataOB[#Headers],0)),"")</f>
        <v/>
      </c>
      <c r="U368" s="67" t="str">
        <f>IF($B368&lt;&gt;"",INDEX(DataOB[],FirstRow+ROW()-7,MATCH(U$6,DataOB[#Headers],0)),"")</f>
        <v/>
      </c>
      <c r="V368" s="67" t="str">
        <f>IF($B368&lt;&gt;"",INDEX(DataOB[],FirstRow+ROW()-7,MATCH(V$6,DataOB[#Headers],0)),"")</f>
        <v/>
      </c>
      <c r="W368" s="67" t="str">
        <f>IF($B368&lt;&gt;"",INDEX(DataOB[],FirstRow+ROW()-7,MATCH(W$6,DataOB[#Headers],0)),"")</f>
        <v/>
      </c>
      <c r="X368" s="67" t="str">
        <f>IF($B368&lt;&gt;"",INDEX(DataOB[],FirstRow+ROW()-7,MATCH(X$6,DataOB[#Headers],0)),"")</f>
        <v/>
      </c>
      <c r="Y368" s="67" t="str">
        <f>IF($B368&lt;&gt;"",INDEX(DataOB[],FirstRow+ROW()-7,MATCH(Y$6,DataOB[#Headers],0)),"")</f>
        <v/>
      </c>
      <c r="Z368" s="67" t="str">
        <f>IF($B368&lt;&gt;"",INDEX(DataOB[],FirstRow+ROW()-7,MATCH(Z$6,DataOB[#Headers],0)),"")</f>
        <v/>
      </c>
      <c r="AA368" s="67" t="str">
        <f>IF($B368&lt;&gt;"",INDEX(DataOB[],FirstRow+ROW()-7,MATCH(AA$6,DataOB[#Headers],0)),"")</f>
        <v/>
      </c>
      <c r="AB368" s="67" t="str">
        <f>IF($B368&lt;&gt;"",INDEX(DataOB[],FirstRow+ROW()-7,MATCH(AB$6,DataOB[#Headers],0)),"")</f>
        <v/>
      </c>
      <c r="AC368" s="67" t="str">
        <f>IF($B368&lt;&gt;"",INDEX(DataOB[],FirstRow+ROW()-7,MATCH(AC$6,DataOB[#Headers],0)),"")</f>
        <v/>
      </c>
      <c r="AD368" s="67" t="str">
        <f>IF($B368&lt;&gt;"",INDEX(DataOB[],FirstRow+ROW()-7,MATCH(AD$6,DataOB[#Headers],0)),"")</f>
        <v/>
      </c>
      <c r="AE368" s="67" t="str">
        <f>IF($B368&lt;&gt;"",INDEX(DataOB[],FirstRow+ROW()-7,MATCH(AE$6,DataOB[#Headers],0)),"")</f>
        <v/>
      </c>
      <c r="AF368" s="26">
        <f t="shared" si="59"/>
        <v>0</v>
      </c>
      <c r="AG368" s="31">
        <f>SUM($T368:T368)</f>
        <v>0</v>
      </c>
      <c r="AH368" s="31">
        <f>SUM($T368:U368)</f>
        <v>0</v>
      </c>
      <c r="AI368" s="31">
        <f>SUM($T368:V368)</f>
        <v>0</v>
      </c>
      <c r="AJ368" s="31">
        <f>SUM($T368:W368)</f>
        <v>0</v>
      </c>
      <c r="AK368" s="31">
        <f>SUM($T368:X368)</f>
        <v>0</v>
      </c>
      <c r="AL368" s="31">
        <f>SUM($T368:Y368)</f>
        <v>0</v>
      </c>
      <c r="AM368" s="31">
        <f>SUM($T368:Z368)</f>
        <v>0</v>
      </c>
      <c r="AN368" s="31">
        <f>SUM($T368:AA368)</f>
        <v>0</v>
      </c>
      <c r="AO368" s="31">
        <f>SUM($T368:AB368)</f>
        <v>0</v>
      </c>
      <c r="AP368" s="31">
        <f>SUM($T368:AC368)</f>
        <v>0</v>
      </c>
      <c r="AQ368" s="31">
        <f>SUM($T368:AD368)</f>
        <v>0</v>
      </c>
      <c r="AR368" s="31">
        <f>SUM($T368:AE368)</f>
        <v>0</v>
      </c>
      <c r="AS368" s="27">
        <f t="shared" si="60"/>
        <v>0</v>
      </c>
    </row>
    <row r="369" spans="2:45">
      <c r="B369" s="102" t="str">
        <f>IF(ROW()-6&gt;NumCostCenter,"",IF(CostCenter&lt;&gt;"ALL",CostCenter,DATA_LF2!B367))</f>
        <v/>
      </c>
      <c r="C369" s="153" t="str">
        <f>IF($B369&lt;&gt;"",INDEX(DataOB[],FirstRow+ROW()-7,2),"")</f>
        <v/>
      </c>
      <c r="D369" s="66" t="str">
        <f>IF($B369&lt;&gt;"",INDEX(DataOB[],FirstRow+ROW()-7,3),"")</f>
        <v/>
      </c>
      <c r="E369" s="103" t="str">
        <f>IF($B369&lt;&gt;"",INDEX(DataOB[],FirstRow+ROW()-7,6),"")</f>
        <v/>
      </c>
      <c r="F369" s="103" t="str">
        <f>IF($B369&lt;&gt;"",INDEX(DataOB[],FirstRow+ROW()-7,5),"")</f>
        <v/>
      </c>
      <c r="G369" s="58">
        <f>IF($B369&lt;&gt;"",SUMIFS(DataAct_tbl[AMOUNT],DataAct_tbl[BG CODE],Detail!$D369,DataAct_tbl[MONTH],LEFT(MonthName,3),DataAct_tbl[Dept code],$B369),0)</f>
        <v>0</v>
      </c>
      <c r="H369" s="31" t="str">
        <f t="shared" si="52"/>
        <v/>
      </c>
      <c r="I369" s="28" t="str">
        <f t="shared" si="53"/>
        <v/>
      </c>
      <c r="J369" s="32" t="str">
        <f t="shared" si="54"/>
        <v/>
      </c>
      <c r="K369" s="86"/>
      <c r="L369" s="62">
        <f>IF($B369&lt;&gt;"",SUMIFS(DataAct_tbl[AMOUNT],DataAct_tbl[BG CODE],Detail!$D369,DataAct_tbl[Check Range],"=true",DataAct_tbl[Dept code],$B369),0)</f>
        <v>0</v>
      </c>
      <c r="M369" s="63">
        <f>INDEX($AG$7:$AR$1005,ROW()-6,MATCH(MTD,$AG$6:$AR$6,0))</f>
        <v>0</v>
      </c>
      <c r="N369" s="34">
        <f t="shared" si="55"/>
        <v>0</v>
      </c>
      <c r="O369" s="64" t="str">
        <f t="shared" si="56"/>
        <v xml:space="preserve"> </v>
      </c>
      <c r="Q369" s="97">
        <f t="shared" si="57"/>
        <v>0</v>
      </c>
      <c r="R369" s="96">
        <f t="shared" si="58"/>
        <v>0</v>
      </c>
      <c r="T369" s="67" t="str">
        <f>IF($B369&lt;&gt;"",INDEX(DataOB[],FirstRow+ROW()-7,MATCH(T$6,DataOB[#Headers],0)),"")</f>
        <v/>
      </c>
      <c r="U369" s="67" t="str">
        <f>IF($B369&lt;&gt;"",INDEX(DataOB[],FirstRow+ROW()-7,MATCH(U$6,DataOB[#Headers],0)),"")</f>
        <v/>
      </c>
      <c r="V369" s="67" t="str">
        <f>IF($B369&lt;&gt;"",INDEX(DataOB[],FirstRow+ROW()-7,MATCH(V$6,DataOB[#Headers],0)),"")</f>
        <v/>
      </c>
      <c r="W369" s="67" t="str">
        <f>IF($B369&lt;&gt;"",INDEX(DataOB[],FirstRow+ROW()-7,MATCH(W$6,DataOB[#Headers],0)),"")</f>
        <v/>
      </c>
      <c r="X369" s="67" t="str">
        <f>IF($B369&lt;&gt;"",INDEX(DataOB[],FirstRow+ROW()-7,MATCH(X$6,DataOB[#Headers],0)),"")</f>
        <v/>
      </c>
      <c r="Y369" s="67" t="str">
        <f>IF($B369&lt;&gt;"",INDEX(DataOB[],FirstRow+ROW()-7,MATCH(Y$6,DataOB[#Headers],0)),"")</f>
        <v/>
      </c>
      <c r="Z369" s="67" t="str">
        <f>IF($B369&lt;&gt;"",INDEX(DataOB[],FirstRow+ROW()-7,MATCH(Z$6,DataOB[#Headers],0)),"")</f>
        <v/>
      </c>
      <c r="AA369" s="67" t="str">
        <f>IF($B369&lt;&gt;"",INDEX(DataOB[],FirstRow+ROW()-7,MATCH(AA$6,DataOB[#Headers],0)),"")</f>
        <v/>
      </c>
      <c r="AB369" s="67" t="str">
        <f>IF($B369&lt;&gt;"",INDEX(DataOB[],FirstRow+ROW()-7,MATCH(AB$6,DataOB[#Headers],0)),"")</f>
        <v/>
      </c>
      <c r="AC369" s="67" t="str">
        <f>IF($B369&lt;&gt;"",INDEX(DataOB[],FirstRow+ROW()-7,MATCH(AC$6,DataOB[#Headers],0)),"")</f>
        <v/>
      </c>
      <c r="AD369" s="67" t="str">
        <f>IF($B369&lt;&gt;"",INDEX(DataOB[],FirstRow+ROW()-7,MATCH(AD$6,DataOB[#Headers],0)),"")</f>
        <v/>
      </c>
      <c r="AE369" s="67" t="str">
        <f>IF($B369&lt;&gt;"",INDEX(DataOB[],FirstRow+ROW()-7,MATCH(AE$6,DataOB[#Headers],0)),"")</f>
        <v/>
      </c>
      <c r="AF369" s="26">
        <f t="shared" si="59"/>
        <v>0</v>
      </c>
      <c r="AG369" s="31">
        <f>SUM($T369:T369)</f>
        <v>0</v>
      </c>
      <c r="AH369" s="31">
        <f>SUM($T369:U369)</f>
        <v>0</v>
      </c>
      <c r="AI369" s="31">
        <f>SUM($T369:V369)</f>
        <v>0</v>
      </c>
      <c r="AJ369" s="31">
        <f>SUM($T369:W369)</f>
        <v>0</v>
      </c>
      <c r="AK369" s="31">
        <f>SUM($T369:X369)</f>
        <v>0</v>
      </c>
      <c r="AL369" s="31">
        <f>SUM($T369:Y369)</f>
        <v>0</v>
      </c>
      <c r="AM369" s="31">
        <f>SUM($T369:Z369)</f>
        <v>0</v>
      </c>
      <c r="AN369" s="31">
        <f>SUM($T369:AA369)</f>
        <v>0</v>
      </c>
      <c r="AO369" s="31">
        <f>SUM($T369:AB369)</f>
        <v>0</v>
      </c>
      <c r="AP369" s="31">
        <f>SUM($T369:AC369)</f>
        <v>0</v>
      </c>
      <c r="AQ369" s="31">
        <f>SUM($T369:AD369)</f>
        <v>0</v>
      </c>
      <c r="AR369" s="31">
        <f>SUM($T369:AE369)</f>
        <v>0</v>
      </c>
      <c r="AS369" s="27">
        <f t="shared" si="60"/>
        <v>0</v>
      </c>
    </row>
    <row r="370" spans="2:45">
      <c r="B370" s="102" t="str">
        <f>IF(ROW()-6&gt;NumCostCenter,"",IF(CostCenter&lt;&gt;"ALL",CostCenter,DATA_LF2!B368))</f>
        <v/>
      </c>
      <c r="C370" s="153" t="str">
        <f>IF($B370&lt;&gt;"",INDEX(DataOB[],FirstRow+ROW()-7,2),"")</f>
        <v/>
      </c>
      <c r="D370" s="66" t="str">
        <f>IF($B370&lt;&gt;"",INDEX(DataOB[],FirstRow+ROW()-7,3),"")</f>
        <v/>
      </c>
      <c r="E370" s="103" t="str">
        <f>IF($B370&lt;&gt;"",INDEX(DataOB[],FirstRow+ROW()-7,6),"")</f>
        <v/>
      </c>
      <c r="F370" s="103" t="str">
        <f>IF($B370&lt;&gt;"",INDEX(DataOB[],FirstRow+ROW()-7,5),"")</f>
        <v/>
      </c>
      <c r="G370" s="58">
        <f>IF($B370&lt;&gt;"",SUMIFS(DataAct_tbl[AMOUNT],DataAct_tbl[BG CODE],Detail!$D370,DataAct_tbl[MONTH],LEFT(MonthName,3),DataAct_tbl[Dept code],$B370),0)</f>
        <v>0</v>
      </c>
      <c r="H370" s="31" t="str">
        <f t="shared" si="52"/>
        <v/>
      </c>
      <c r="I370" s="28" t="str">
        <f t="shared" si="53"/>
        <v/>
      </c>
      <c r="J370" s="32" t="str">
        <f t="shared" si="54"/>
        <v/>
      </c>
      <c r="K370" s="86"/>
      <c r="L370" s="62">
        <f>IF($B370&lt;&gt;"",SUMIFS(DataAct_tbl[AMOUNT],DataAct_tbl[BG CODE],Detail!$D370,DataAct_tbl[Check Range],"=true",DataAct_tbl[Dept code],$B370),0)</f>
        <v>0</v>
      </c>
      <c r="M370" s="63">
        <f>INDEX($AG$7:$AR$1005,ROW()-6,MATCH(MTD,$AG$6:$AR$6,0))</f>
        <v>0</v>
      </c>
      <c r="N370" s="34">
        <f t="shared" si="55"/>
        <v>0</v>
      </c>
      <c r="O370" s="64" t="str">
        <f t="shared" si="56"/>
        <v xml:space="preserve"> </v>
      </c>
      <c r="Q370" s="97">
        <f t="shared" si="57"/>
        <v>0</v>
      </c>
      <c r="R370" s="96">
        <f t="shared" si="58"/>
        <v>0</v>
      </c>
      <c r="T370" s="67" t="str">
        <f>IF($B370&lt;&gt;"",INDEX(DataOB[],FirstRow+ROW()-7,MATCH(T$6,DataOB[#Headers],0)),"")</f>
        <v/>
      </c>
      <c r="U370" s="67" t="str">
        <f>IF($B370&lt;&gt;"",INDEX(DataOB[],FirstRow+ROW()-7,MATCH(U$6,DataOB[#Headers],0)),"")</f>
        <v/>
      </c>
      <c r="V370" s="67" t="str">
        <f>IF($B370&lt;&gt;"",INDEX(DataOB[],FirstRow+ROW()-7,MATCH(V$6,DataOB[#Headers],0)),"")</f>
        <v/>
      </c>
      <c r="W370" s="67" t="str">
        <f>IF($B370&lt;&gt;"",INDEX(DataOB[],FirstRow+ROW()-7,MATCH(W$6,DataOB[#Headers],0)),"")</f>
        <v/>
      </c>
      <c r="X370" s="67" t="str">
        <f>IF($B370&lt;&gt;"",INDEX(DataOB[],FirstRow+ROW()-7,MATCH(X$6,DataOB[#Headers],0)),"")</f>
        <v/>
      </c>
      <c r="Y370" s="67" t="str">
        <f>IF($B370&lt;&gt;"",INDEX(DataOB[],FirstRow+ROW()-7,MATCH(Y$6,DataOB[#Headers],0)),"")</f>
        <v/>
      </c>
      <c r="Z370" s="67" t="str">
        <f>IF($B370&lt;&gt;"",INDEX(DataOB[],FirstRow+ROW()-7,MATCH(Z$6,DataOB[#Headers],0)),"")</f>
        <v/>
      </c>
      <c r="AA370" s="67" t="str">
        <f>IF($B370&lt;&gt;"",INDEX(DataOB[],FirstRow+ROW()-7,MATCH(AA$6,DataOB[#Headers],0)),"")</f>
        <v/>
      </c>
      <c r="AB370" s="67" t="str">
        <f>IF($B370&lt;&gt;"",INDEX(DataOB[],FirstRow+ROW()-7,MATCH(AB$6,DataOB[#Headers],0)),"")</f>
        <v/>
      </c>
      <c r="AC370" s="67" t="str">
        <f>IF($B370&lt;&gt;"",INDEX(DataOB[],FirstRow+ROW()-7,MATCH(AC$6,DataOB[#Headers],0)),"")</f>
        <v/>
      </c>
      <c r="AD370" s="67" t="str">
        <f>IF($B370&lt;&gt;"",INDEX(DataOB[],FirstRow+ROW()-7,MATCH(AD$6,DataOB[#Headers],0)),"")</f>
        <v/>
      </c>
      <c r="AE370" s="67" t="str">
        <f>IF($B370&lt;&gt;"",INDEX(DataOB[],FirstRow+ROW()-7,MATCH(AE$6,DataOB[#Headers],0)),"")</f>
        <v/>
      </c>
      <c r="AF370" s="26">
        <f t="shared" si="59"/>
        <v>0</v>
      </c>
      <c r="AG370" s="31">
        <f>SUM($T370:T370)</f>
        <v>0</v>
      </c>
      <c r="AH370" s="31">
        <f>SUM($T370:U370)</f>
        <v>0</v>
      </c>
      <c r="AI370" s="31">
        <f>SUM($T370:V370)</f>
        <v>0</v>
      </c>
      <c r="AJ370" s="31">
        <f>SUM($T370:W370)</f>
        <v>0</v>
      </c>
      <c r="AK370" s="31">
        <f>SUM($T370:X370)</f>
        <v>0</v>
      </c>
      <c r="AL370" s="31">
        <f>SUM($T370:Y370)</f>
        <v>0</v>
      </c>
      <c r="AM370" s="31">
        <f>SUM($T370:Z370)</f>
        <v>0</v>
      </c>
      <c r="AN370" s="31">
        <f>SUM($T370:AA370)</f>
        <v>0</v>
      </c>
      <c r="AO370" s="31">
        <f>SUM($T370:AB370)</f>
        <v>0</v>
      </c>
      <c r="AP370" s="31">
        <f>SUM($T370:AC370)</f>
        <v>0</v>
      </c>
      <c r="AQ370" s="31">
        <f>SUM($T370:AD370)</f>
        <v>0</v>
      </c>
      <c r="AR370" s="31">
        <f>SUM($T370:AE370)</f>
        <v>0</v>
      </c>
      <c r="AS370" s="27">
        <f t="shared" si="60"/>
        <v>0</v>
      </c>
    </row>
    <row r="371" spans="2:45">
      <c r="B371" s="102" t="str">
        <f>IF(ROW()-6&gt;NumCostCenter,"",IF(CostCenter&lt;&gt;"ALL",CostCenter,DATA_LF2!B369))</f>
        <v/>
      </c>
      <c r="C371" s="153" t="str">
        <f>IF($B371&lt;&gt;"",INDEX(DataOB[],FirstRow+ROW()-7,2),"")</f>
        <v/>
      </c>
      <c r="D371" s="66" t="str">
        <f>IF($B371&lt;&gt;"",INDEX(DataOB[],FirstRow+ROW()-7,3),"")</f>
        <v/>
      </c>
      <c r="E371" s="103" t="str">
        <f>IF($B371&lt;&gt;"",INDEX(DataOB[],FirstRow+ROW()-7,6),"")</f>
        <v/>
      </c>
      <c r="F371" s="103" t="str">
        <f>IF($B371&lt;&gt;"",INDEX(DataOB[],FirstRow+ROW()-7,5),"")</f>
        <v/>
      </c>
      <c r="G371" s="58">
        <f>IF($B371&lt;&gt;"",SUMIFS(DataAct_tbl[AMOUNT],DataAct_tbl[BG CODE],Detail!$D371,DataAct_tbl[MONTH],LEFT(MonthName,3),DataAct_tbl[Dept code],$B371),0)</f>
        <v>0</v>
      </c>
      <c r="H371" s="31" t="str">
        <f t="shared" si="52"/>
        <v/>
      </c>
      <c r="I371" s="28" t="str">
        <f t="shared" si="53"/>
        <v/>
      </c>
      <c r="J371" s="32" t="str">
        <f t="shared" si="54"/>
        <v/>
      </c>
      <c r="K371" s="86"/>
      <c r="L371" s="62">
        <f>IF($B371&lt;&gt;"",SUMIFS(DataAct_tbl[AMOUNT],DataAct_tbl[BG CODE],Detail!$D371,DataAct_tbl[Check Range],"=true",DataAct_tbl[Dept code],$B371),0)</f>
        <v>0</v>
      </c>
      <c r="M371" s="63">
        <f>INDEX($AG$7:$AR$1005,ROW()-6,MATCH(MTD,$AG$6:$AR$6,0))</f>
        <v>0</v>
      </c>
      <c r="N371" s="34">
        <f t="shared" si="55"/>
        <v>0</v>
      </c>
      <c r="O371" s="64" t="str">
        <f t="shared" si="56"/>
        <v xml:space="preserve"> </v>
      </c>
      <c r="Q371" s="97">
        <f t="shared" si="57"/>
        <v>0</v>
      </c>
      <c r="R371" s="96">
        <f t="shared" si="58"/>
        <v>0</v>
      </c>
      <c r="T371" s="67" t="str">
        <f>IF($B371&lt;&gt;"",INDEX(DataOB[],FirstRow+ROW()-7,MATCH(T$6,DataOB[#Headers],0)),"")</f>
        <v/>
      </c>
      <c r="U371" s="67" t="str">
        <f>IF($B371&lt;&gt;"",INDEX(DataOB[],FirstRow+ROW()-7,MATCH(U$6,DataOB[#Headers],0)),"")</f>
        <v/>
      </c>
      <c r="V371" s="67" t="str">
        <f>IF($B371&lt;&gt;"",INDEX(DataOB[],FirstRow+ROW()-7,MATCH(V$6,DataOB[#Headers],0)),"")</f>
        <v/>
      </c>
      <c r="W371" s="67" t="str">
        <f>IF($B371&lt;&gt;"",INDEX(DataOB[],FirstRow+ROW()-7,MATCH(W$6,DataOB[#Headers],0)),"")</f>
        <v/>
      </c>
      <c r="X371" s="67" t="str">
        <f>IF($B371&lt;&gt;"",INDEX(DataOB[],FirstRow+ROW()-7,MATCH(X$6,DataOB[#Headers],0)),"")</f>
        <v/>
      </c>
      <c r="Y371" s="67" t="str">
        <f>IF($B371&lt;&gt;"",INDEX(DataOB[],FirstRow+ROW()-7,MATCH(Y$6,DataOB[#Headers],0)),"")</f>
        <v/>
      </c>
      <c r="Z371" s="67" t="str">
        <f>IF($B371&lt;&gt;"",INDEX(DataOB[],FirstRow+ROW()-7,MATCH(Z$6,DataOB[#Headers],0)),"")</f>
        <v/>
      </c>
      <c r="AA371" s="67" t="str">
        <f>IF($B371&lt;&gt;"",INDEX(DataOB[],FirstRow+ROW()-7,MATCH(AA$6,DataOB[#Headers],0)),"")</f>
        <v/>
      </c>
      <c r="AB371" s="67" t="str">
        <f>IF($B371&lt;&gt;"",INDEX(DataOB[],FirstRow+ROW()-7,MATCH(AB$6,DataOB[#Headers],0)),"")</f>
        <v/>
      </c>
      <c r="AC371" s="67" t="str">
        <f>IF($B371&lt;&gt;"",INDEX(DataOB[],FirstRow+ROW()-7,MATCH(AC$6,DataOB[#Headers],0)),"")</f>
        <v/>
      </c>
      <c r="AD371" s="67" t="str">
        <f>IF($B371&lt;&gt;"",INDEX(DataOB[],FirstRow+ROW()-7,MATCH(AD$6,DataOB[#Headers],0)),"")</f>
        <v/>
      </c>
      <c r="AE371" s="67" t="str">
        <f>IF($B371&lt;&gt;"",INDEX(DataOB[],FirstRow+ROW()-7,MATCH(AE$6,DataOB[#Headers],0)),"")</f>
        <v/>
      </c>
      <c r="AF371" s="26">
        <f t="shared" si="59"/>
        <v>0</v>
      </c>
      <c r="AG371" s="31">
        <f>SUM($T371:T371)</f>
        <v>0</v>
      </c>
      <c r="AH371" s="31">
        <f>SUM($T371:U371)</f>
        <v>0</v>
      </c>
      <c r="AI371" s="31">
        <f>SUM($T371:V371)</f>
        <v>0</v>
      </c>
      <c r="AJ371" s="31">
        <f>SUM($T371:W371)</f>
        <v>0</v>
      </c>
      <c r="AK371" s="31">
        <f>SUM($T371:X371)</f>
        <v>0</v>
      </c>
      <c r="AL371" s="31">
        <f>SUM($T371:Y371)</f>
        <v>0</v>
      </c>
      <c r="AM371" s="31">
        <f>SUM($T371:Z371)</f>
        <v>0</v>
      </c>
      <c r="AN371" s="31">
        <f>SUM($T371:AA371)</f>
        <v>0</v>
      </c>
      <c r="AO371" s="31">
        <f>SUM($T371:AB371)</f>
        <v>0</v>
      </c>
      <c r="AP371" s="31">
        <f>SUM($T371:AC371)</f>
        <v>0</v>
      </c>
      <c r="AQ371" s="31">
        <f>SUM($T371:AD371)</f>
        <v>0</v>
      </c>
      <c r="AR371" s="31">
        <f>SUM($T371:AE371)</f>
        <v>0</v>
      </c>
      <c r="AS371" s="27">
        <f t="shared" si="60"/>
        <v>0</v>
      </c>
    </row>
    <row r="372" spans="2:45">
      <c r="B372" s="102" t="str">
        <f>IF(ROW()-6&gt;NumCostCenter,"",IF(CostCenter&lt;&gt;"ALL",CostCenter,DATA_LF2!B370))</f>
        <v/>
      </c>
      <c r="C372" s="153" t="str">
        <f>IF($B372&lt;&gt;"",INDEX(DataOB[],FirstRow+ROW()-7,2),"")</f>
        <v/>
      </c>
      <c r="D372" s="66" t="str">
        <f>IF($B372&lt;&gt;"",INDEX(DataOB[],FirstRow+ROW()-7,3),"")</f>
        <v/>
      </c>
      <c r="E372" s="103" t="str">
        <f>IF($B372&lt;&gt;"",INDEX(DataOB[],FirstRow+ROW()-7,6),"")</f>
        <v/>
      </c>
      <c r="F372" s="103" t="str">
        <f>IF($B372&lt;&gt;"",INDEX(DataOB[],FirstRow+ROW()-7,5),"")</f>
        <v/>
      </c>
      <c r="G372" s="58">
        <f>IF($B372&lt;&gt;"",SUMIFS(DataAct_tbl[AMOUNT],DataAct_tbl[BG CODE],Detail!$D372,DataAct_tbl[MONTH],LEFT(MonthName,3),DataAct_tbl[Dept code],$B372),0)</f>
        <v>0</v>
      </c>
      <c r="H372" s="31" t="str">
        <f t="shared" si="52"/>
        <v/>
      </c>
      <c r="I372" s="28" t="str">
        <f t="shared" si="53"/>
        <v/>
      </c>
      <c r="J372" s="32" t="str">
        <f t="shared" si="54"/>
        <v/>
      </c>
      <c r="K372" s="86"/>
      <c r="L372" s="62">
        <f>IF($B372&lt;&gt;"",SUMIFS(DataAct_tbl[AMOUNT],DataAct_tbl[BG CODE],Detail!$D372,DataAct_tbl[Check Range],"=true",DataAct_tbl[Dept code],$B372),0)</f>
        <v>0</v>
      </c>
      <c r="M372" s="63">
        <f>INDEX($AG$7:$AR$1005,ROW()-6,MATCH(MTD,$AG$6:$AR$6,0))</f>
        <v>0</v>
      </c>
      <c r="N372" s="34">
        <f t="shared" si="55"/>
        <v>0</v>
      </c>
      <c r="O372" s="64" t="str">
        <f t="shared" si="56"/>
        <v xml:space="preserve"> </v>
      </c>
      <c r="Q372" s="97">
        <f t="shared" si="57"/>
        <v>0</v>
      </c>
      <c r="R372" s="96">
        <f t="shared" si="58"/>
        <v>0</v>
      </c>
      <c r="T372" s="67" t="str">
        <f>IF($B372&lt;&gt;"",INDEX(DataOB[],FirstRow+ROW()-7,MATCH(T$6,DataOB[#Headers],0)),"")</f>
        <v/>
      </c>
      <c r="U372" s="67" t="str">
        <f>IF($B372&lt;&gt;"",INDEX(DataOB[],FirstRow+ROW()-7,MATCH(U$6,DataOB[#Headers],0)),"")</f>
        <v/>
      </c>
      <c r="V372" s="67" t="str">
        <f>IF($B372&lt;&gt;"",INDEX(DataOB[],FirstRow+ROW()-7,MATCH(V$6,DataOB[#Headers],0)),"")</f>
        <v/>
      </c>
      <c r="W372" s="67" t="str">
        <f>IF($B372&lt;&gt;"",INDEX(DataOB[],FirstRow+ROW()-7,MATCH(W$6,DataOB[#Headers],0)),"")</f>
        <v/>
      </c>
      <c r="X372" s="67" t="str">
        <f>IF($B372&lt;&gt;"",INDEX(DataOB[],FirstRow+ROW()-7,MATCH(X$6,DataOB[#Headers],0)),"")</f>
        <v/>
      </c>
      <c r="Y372" s="67" t="str">
        <f>IF($B372&lt;&gt;"",INDEX(DataOB[],FirstRow+ROW()-7,MATCH(Y$6,DataOB[#Headers],0)),"")</f>
        <v/>
      </c>
      <c r="Z372" s="67" t="str">
        <f>IF($B372&lt;&gt;"",INDEX(DataOB[],FirstRow+ROW()-7,MATCH(Z$6,DataOB[#Headers],0)),"")</f>
        <v/>
      </c>
      <c r="AA372" s="67" t="str">
        <f>IF($B372&lt;&gt;"",INDEX(DataOB[],FirstRow+ROW()-7,MATCH(AA$6,DataOB[#Headers],0)),"")</f>
        <v/>
      </c>
      <c r="AB372" s="67" t="str">
        <f>IF($B372&lt;&gt;"",INDEX(DataOB[],FirstRow+ROW()-7,MATCH(AB$6,DataOB[#Headers],0)),"")</f>
        <v/>
      </c>
      <c r="AC372" s="67" t="str">
        <f>IF($B372&lt;&gt;"",INDEX(DataOB[],FirstRow+ROW()-7,MATCH(AC$6,DataOB[#Headers],0)),"")</f>
        <v/>
      </c>
      <c r="AD372" s="67" t="str">
        <f>IF($B372&lt;&gt;"",INDEX(DataOB[],FirstRow+ROW()-7,MATCH(AD$6,DataOB[#Headers],0)),"")</f>
        <v/>
      </c>
      <c r="AE372" s="67" t="str">
        <f>IF($B372&lt;&gt;"",INDEX(DataOB[],FirstRow+ROW()-7,MATCH(AE$6,DataOB[#Headers],0)),"")</f>
        <v/>
      </c>
      <c r="AF372" s="26">
        <f t="shared" si="59"/>
        <v>0</v>
      </c>
      <c r="AG372" s="31">
        <f>SUM($T372:T372)</f>
        <v>0</v>
      </c>
      <c r="AH372" s="31">
        <f>SUM($T372:U372)</f>
        <v>0</v>
      </c>
      <c r="AI372" s="31">
        <f>SUM($T372:V372)</f>
        <v>0</v>
      </c>
      <c r="AJ372" s="31">
        <f>SUM($T372:W372)</f>
        <v>0</v>
      </c>
      <c r="AK372" s="31">
        <f>SUM($T372:X372)</f>
        <v>0</v>
      </c>
      <c r="AL372" s="31">
        <f>SUM($T372:Y372)</f>
        <v>0</v>
      </c>
      <c r="AM372" s="31">
        <f>SUM($T372:Z372)</f>
        <v>0</v>
      </c>
      <c r="AN372" s="31">
        <f>SUM($T372:AA372)</f>
        <v>0</v>
      </c>
      <c r="AO372" s="31">
        <f>SUM($T372:AB372)</f>
        <v>0</v>
      </c>
      <c r="AP372" s="31">
        <f>SUM($T372:AC372)</f>
        <v>0</v>
      </c>
      <c r="AQ372" s="31">
        <f>SUM($T372:AD372)</f>
        <v>0</v>
      </c>
      <c r="AR372" s="31">
        <f>SUM($T372:AE372)</f>
        <v>0</v>
      </c>
      <c r="AS372" s="27">
        <f t="shared" si="60"/>
        <v>0</v>
      </c>
    </row>
    <row r="373" spans="2:45">
      <c r="B373" s="102" t="str">
        <f>IF(ROW()-6&gt;NumCostCenter,"",IF(CostCenter&lt;&gt;"ALL",CostCenter,DATA_LF2!B371))</f>
        <v/>
      </c>
      <c r="C373" s="153" t="str">
        <f>IF($B373&lt;&gt;"",INDEX(DataOB[],FirstRow+ROW()-7,2),"")</f>
        <v/>
      </c>
      <c r="D373" s="66" t="str">
        <f>IF($B373&lt;&gt;"",INDEX(DataOB[],FirstRow+ROW()-7,3),"")</f>
        <v/>
      </c>
      <c r="E373" s="103" t="str">
        <f>IF($B373&lt;&gt;"",INDEX(DataOB[],FirstRow+ROW()-7,6),"")</f>
        <v/>
      </c>
      <c r="F373" s="103" t="str">
        <f>IF($B373&lt;&gt;"",INDEX(DataOB[],FirstRow+ROW()-7,5),"")</f>
        <v/>
      </c>
      <c r="G373" s="58">
        <f>IF($B373&lt;&gt;"",SUMIFS(DataAct_tbl[AMOUNT],DataAct_tbl[BG CODE],Detail!$D373,DataAct_tbl[MONTH],LEFT(MonthName,3),DataAct_tbl[Dept code],$B373),0)</f>
        <v>0</v>
      </c>
      <c r="H373" s="31" t="str">
        <f t="shared" si="52"/>
        <v/>
      </c>
      <c r="I373" s="28" t="str">
        <f t="shared" si="53"/>
        <v/>
      </c>
      <c r="J373" s="32" t="str">
        <f t="shared" si="54"/>
        <v/>
      </c>
      <c r="K373" s="86"/>
      <c r="L373" s="62">
        <f>IF($B373&lt;&gt;"",SUMIFS(DataAct_tbl[AMOUNT],DataAct_tbl[BG CODE],Detail!$D373,DataAct_tbl[Check Range],"=true",DataAct_tbl[Dept code],$B373),0)</f>
        <v>0</v>
      </c>
      <c r="M373" s="63">
        <f>INDEX($AG$7:$AR$1005,ROW()-6,MATCH(MTD,$AG$6:$AR$6,0))</f>
        <v>0</v>
      </c>
      <c r="N373" s="34">
        <f t="shared" si="55"/>
        <v>0</v>
      </c>
      <c r="O373" s="64" t="str">
        <f t="shared" si="56"/>
        <v xml:space="preserve"> </v>
      </c>
      <c r="Q373" s="97">
        <f t="shared" si="57"/>
        <v>0</v>
      </c>
      <c r="R373" s="96">
        <f t="shared" si="58"/>
        <v>0</v>
      </c>
      <c r="T373" s="67" t="str">
        <f>IF($B373&lt;&gt;"",INDEX(DataOB[],FirstRow+ROW()-7,MATCH(T$6,DataOB[#Headers],0)),"")</f>
        <v/>
      </c>
      <c r="U373" s="67" t="str">
        <f>IF($B373&lt;&gt;"",INDEX(DataOB[],FirstRow+ROW()-7,MATCH(U$6,DataOB[#Headers],0)),"")</f>
        <v/>
      </c>
      <c r="V373" s="67" t="str">
        <f>IF($B373&lt;&gt;"",INDEX(DataOB[],FirstRow+ROW()-7,MATCH(V$6,DataOB[#Headers],0)),"")</f>
        <v/>
      </c>
      <c r="W373" s="67" t="str">
        <f>IF($B373&lt;&gt;"",INDEX(DataOB[],FirstRow+ROW()-7,MATCH(W$6,DataOB[#Headers],0)),"")</f>
        <v/>
      </c>
      <c r="X373" s="67" t="str">
        <f>IF($B373&lt;&gt;"",INDEX(DataOB[],FirstRow+ROW()-7,MATCH(X$6,DataOB[#Headers],0)),"")</f>
        <v/>
      </c>
      <c r="Y373" s="67" t="str">
        <f>IF($B373&lt;&gt;"",INDEX(DataOB[],FirstRow+ROW()-7,MATCH(Y$6,DataOB[#Headers],0)),"")</f>
        <v/>
      </c>
      <c r="Z373" s="67" t="str">
        <f>IF($B373&lt;&gt;"",INDEX(DataOB[],FirstRow+ROW()-7,MATCH(Z$6,DataOB[#Headers],0)),"")</f>
        <v/>
      </c>
      <c r="AA373" s="67" t="str">
        <f>IF($B373&lt;&gt;"",INDEX(DataOB[],FirstRow+ROW()-7,MATCH(AA$6,DataOB[#Headers],0)),"")</f>
        <v/>
      </c>
      <c r="AB373" s="67" t="str">
        <f>IF($B373&lt;&gt;"",INDEX(DataOB[],FirstRow+ROW()-7,MATCH(AB$6,DataOB[#Headers],0)),"")</f>
        <v/>
      </c>
      <c r="AC373" s="67" t="str">
        <f>IF($B373&lt;&gt;"",INDEX(DataOB[],FirstRow+ROW()-7,MATCH(AC$6,DataOB[#Headers],0)),"")</f>
        <v/>
      </c>
      <c r="AD373" s="67" t="str">
        <f>IF($B373&lt;&gt;"",INDEX(DataOB[],FirstRow+ROW()-7,MATCH(AD$6,DataOB[#Headers],0)),"")</f>
        <v/>
      </c>
      <c r="AE373" s="67" t="str">
        <f>IF($B373&lt;&gt;"",INDEX(DataOB[],FirstRow+ROW()-7,MATCH(AE$6,DataOB[#Headers],0)),"")</f>
        <v/>
      </c>
      <c r="AF373" s="26">
        <f t="shared" si="59"/>
        <v>0</v>
      </c>
      <c r="AG373" s="31">
        <f>SUM($T373:T373)</f>
        <v>0</v>
      </c>
      <c r="AH373" s="31">
        <f>SUM($T373:U373)</f>
        <v>0</v>
      </c>
      <c r="AI373" s="31">
        <f>SUM($T373:V373)</f>
        <v>0</v>
      </c>
      <c r="AJ373" s="31">
        <f>SUM($T373:W373)</f>
        <v>0</v>
      </c>
      <c r="AK373" s="31">
        <f>SUM($T373:X373)</f>
        <v>0</v>
      </c>
      <c r="AL373" s="31">
        <f>SUM($T373:Y373)</f>
        <v>0</v>
      </c>
      <c r="AM373" s="31">
        <f>SUM($T373:Z373)</f>
        <v>0</v>
      </c>
      <c r="AN373" s="31">
        <f>SUM($T373:AA373)</f>
        <v>0</v>
      </c>
      <c r="AO373" s="31">
        <f>SUM($T373:AB373)</f>
        <v>0</v>
      </c>
      <c r="AP373" s="31">
        <f>SUM($T373:AC373)</f>
        <v>0</v>
      </c>
      <c r="AQ373" s="31">
        <f>SUM($T373:AD373)</f>
        <v>0</v>
      </c>
      <c r="AR373" s="31">
        <f>SUM($T373:AE373)</f>
        <v>0</v>
      </c>
      <c r="AS373" s="27">
        <f t="shared" si="60"/>
        <v>0</v>
      </c>
    </row>
    <row r="374" spans="2:45">
      <c r="B374" s="102" t="str">
        <f>IF(ROW()-6&gt;NumCostCenter,"",IF(CostCenter&lt;&gt;"ALL",CostCenter,DATA_LF2!B372))</f>
        <v/>
      </c>
      <c r="C374" s="153" t="str">
        <f>IF($B374&lt;&gt;"",INDEX(DataOB[],FirstRow+ROW()-7,2),"")</f>
        <v/>
      </c>
      <c r="D374" s="66" t="str">
        <f>IF($B374&lt;&gt;"",INDEX(DataOB[],FirstRow+ROW()-7,3),"")</f>
        <v/>
      </c>
      <c r="E374" s="103" t="str">
        <f>IF($B374&lt;&gt;"",INDEX(DataOB[],FirstRow+ROW()-7,6),"")</f>
        <v/>
      </c>
      <c r="F374" s="103" t="str">
        <f>IF($B374&lt;&gt;"",INDEX(DataOB[],FirstRow+ROW()-7,5),"")</f>
        <v/>
      </c>
      <c r="G374" s="58">
        <f>IF($B374&lt;&gt;"",SUMIFS(DataAct_tbl[AMOUNT],DataAct_tbl[BG CODE],Detail!$D374,DataAct_tbl[MONTH],LEFT(MonthName,3),DataAct_tbl[Dept code],$B374),0)</f>
        <v>0</v>
      </c>
      <c r="H374" s="31" t="str">
        <f t="shared" si="52"/>
        <v/>
      </c>
      <c r="I374" s="28" t="str">
        <f t="shared" si="53"/>
        <v/>
      </c>
      <c r="J374" s="32" t="str">
        <f t="shared" si="54"/>
        <v/>
      </c>
      <c r="K374" s="86"/>
      <c r="L374" s="62">
        <f>IF($B374&lt;&gt;"",SUMIFS(DataAct_tbl[AMOUNT],DataAct_tbl[BG CODE],Detail!$D374,DataAct_tbl[Check Range],"=true",DataAct_tbl[Dept code],$B374),0)</f>
        <v>0</v>
      </c>
      <c r="M374" s="63">
        <f>INDEX($AG$7:$AR$1005,ROW()-6,MATCH(MTD,$AG$6:$AR$6,0))</f>
        <v>0</v>
      </c>
      <c r="N374" s="34">
        <f t="shared" si="55"/>
        <v>0</v>
      </c>
      <c r="O374" s="64" t="str">
        <f t="shared" si="56"/>
        <v xml:space="preserve"> </v>
      </c>
      <c r="Q374" s="97">
        <f t="shared" si="57"/>
        <v>0</v>
      </c>
      <c r="R374" s="96">
        <f t="shared" si="58"/>
        <v>0</v>
      </c>
      <c r="T374" s="67" t="str">
        <f>IF($B374&lt;&gt;"",INDEX(DataOB[],FirstRow+ROW()-7,MATCH(T$6,DataOB[#Headers],0)),"")</f>
        <v/>
      </c>
      <c r="U374" s="67" t="str">
        <f>IF($B374&lt;&gt;"",INDEX(DataOB[],FirstRow+ROW()-7,MATCH(U$6,DataOB[#Headers],0)),"")</f>
        <v/>
      </c>
      <c r="V374" s="67" t="str">
        <f>IF($B374&lt;&gt;"",INDEX(DataOB[],FirstRow+ROW()-7,MATCH(V$6,DataOB[#Headers],0)),"")</f>
        <v/>
      </c>
      <c r="W374" s="67" t="str">
        <f>IF($B374&lt;&gt;"",INDEX(DataOB[],FirstRow+ROW()-7,MATCH(W$6,DataOB[#Headers],0)),"")</f>
        <v/>
      </c>
      <c r="X374" s="67" t="str">
        <f>IF($B374&lt;&gt;"",INDEX(DataOB[],FirstRow+ROW()-7,MATCH(X$6,DataOB[#Headers],0)),"")</f>
        <v/>
      </c>
      <c r="Y374" s="67" t="str">
        <f>IF($B374&lt;&gt;"",INDEX(DataOB[],FirstRow+ROW()-7,MATCH(Y$6,DataOB[#Headers],0)),"")</f>
        <v/>
      </c>
      <c r="Z374" s="67" t="str">
        <f>IF($B374&lt;&gt;"",INDEX(DataOB[],FirstRow+ROW()-7,MATCH(Z$6,DataOB[#Headers],0)),"")</f>
        <v/>
      </c>
      <c r="AA374" s="67" t="str">
        <f>IF($B374&lt;&gt;"",INDEX(DataOB[],FirstRow+ROW()-7,MATCH(AA$6,DataOB[#Headers],0)),"")</f>
        <v/>
      </c>
      <c r="AB374" s="67" t="str">
        <f>IF($B374&lt;&gt;"",INDEX(DataOB[],FirstRow+ROW()-7,MATCH(AB$6,DataOB[#Headers],0)),"")</f>
        <v/>
      </c>
      <c r="AC374" s="67" t="str">
        <f>IF($B374&lt;&gt;"",INDEX(DataOB[],FirstRow+ROW()-7,MATCH(AC$6,DataOB[#Headers],0)),"")</f>
        <v/>
      </c>
      <c r="AD374" s="67" t="str">
        <f>IF($B374&lt;&gt;"",INDEX(DataOB[],FirstRow+ROW()-7,MATCH(AD$6,DataOB[#Headers],0)),"")</f>
        <v/>
      </c>
      <c r="AE374" s="67" t="str">
        <f>IF($B374&lt;&gt;"",INDEX(DataOB[],FirstRow+ROW()-7,MATCH(AE$6,DataOB[#Headers],0)),"")</f>
        <v/>
      </c>
      <c r="AF374" s="26">
        <f t="shared" si="59"/>
        <v>0</v>
      </c>
      <c r="AG374" s="31">
        <f>SUM($T374:T374)</f>
        <v>0</v>
      </c>
      <c r="AH374" s="31">
        <f>SUM($T374:U374)</f>
        <v>0</v>
      </c>
      <c r="AI374" s="31">
        <f>SUM($T374:V374)</f>
        <v>0</v>
      </c>
      <c r="AJ374" s="31">
        <f>SUM($T374:W374)</f>
        <v>0</v>
      </c>
      <c r="AK374" s="31">
        <f>SUM($T374:X374)</f>
        <v>0</v>
      </c>
      <c r="AL374" s="31">
        <f>SUM($T374:Y374)</f>
        <v>0</v>
      </c>
      <c r="AM374" s="31">
        <f>SUM($T374:Z374)</f>
        <v>0</v>
      </c>
      <c r="AN374" s="31">
        <f>SUM($T374:AA374)</f>
        <v>0</v>
      </c>
      <c r="AO374" s="31">
        <f>SUM($T374:AB374)</f>
        <v>0</v>
      </c>
      <c r="AP374" s="31">
        <f>SUM($T374:AC374)</f>
        <v>0</v>
      </c>
      <c r="AQ374" s="31">
        <f>SUM($T374:AD374)</f>
        <v>0</v>
      </c>
      <c r="AR374" s="31">
        <f>SUM($T374:AE374)</f>
        <v>0</v>
      </c>
      <c r="AS374" s="27">
        <f t="shared" si="60"/>
        <v>0</v>
      </c>
    </row>
    <row r="375" spans="2:45">
      <c r="B375" s="102" t="str">
        <f>IF(ROW()-6&gt;NumCostCenter,"",IF(CostCenter&lt;&gt;"ALL",CostCenter,DATA_LF2!B373))</f>
        <v/>
      </c>
      <c r="C375" s="153" t="str">
        <f>IF($B375&lt;&gt;"",INDEX(DataOB[],FirstRow+ROW()-7,2),"")</f>
        <v/>
      </c>
      <c r="D375" s="66" t="str">
        <f>IF($B375&lt;&gt;"",INDEX(DataOB[],FirstRow+ROW()-7,3),"")</f>
        <v/>
      </c>
      <c r="E375" s="103" t="str">
        <f>IF($B375&lt;&gt;"",INDEX(DataOB[],FirstRow+ROW()-7,6),"")</f>
        <v/>
      </c>
      <c r="F375" s="103" t="str">
        <f>IF($B375&lt;&gt;"",INDEX(DataOB[],FirstRow+ROW()-7,5),"")</f>
        <v/>
      </c>
      <c r="G375" s="58">
        <f>IF($B375&lt;&gt;"",SUMIFS(DataAct_tbl[AMOUNT],DataAct_tbl[BG CODE],Detail!$D375,DataAct_tbl[MONTH],LEFT(MonthName,3),DataAct_tbl[Dept code],$B375),0)</f>
        <v>0</v>
      </c>
      <c r="H375" s="31" t="str">
        <f t="shared" si="52"/>
        <v/>
      </c>
      <c r="I375" s="28" t="str">
        <f t="shared" si="53"/>
        <v/>
      </c>
      <c r="J375" s="32" t="str">
        <f t="shared" si="54"/>
        <v/>
      </c>
      <c r="K375" s="86"/>
      <c r="L375" s="62">
        <f>IF($B375&lt;&gt;"",SUMIFS(DataAct_tbl[AMOUNT],DataAct_tbl[BG CODE],Detail!$D375,DataAct_tbl[Check Range],"=true",DataAct_tbl[Dept code],$B375),0)</f>
        <v>0</v>
      </c>
      <c r="M375" s="63">
        <f>INDEX($AG$7:$AR$1005,ROW()-6,MATCH(MTD,$AG$6:$AR$6,0))</f>
        <v>0</v>
      </c>
      <c r="N375" s="34">
        <f t="shared" si="55"/>
        <v>0</v>
      </c>
      <c r="O375" s="64" t="str">
        <f t="shared" si="56"/>
        <v xml:space="preserve"> </v>
      </c>
      <c r="Q375" s="97">
        <f t="shared" si="57"/>
        <v>0</v>
      </c>
      <c r="R375" s="96">
        <f t="shared" si="58"/>
        <v>0</v>
      </c>
      <c r="T375" s="67" t="str">
        <f>IF($B375&lt;&gt;"",INDEX(DataOB[],FirstRow+ROW()-7,MATCH(T$6,DataOB[#Headers],0)),"")</f>
        <v/>
      </c>
      <c r="U375" s="67" t="str">
        <f>IF($B375&lt;&gt;"",INDEX(DataOB[],FirstRow+ROW()-7,MATCH(U$6,DataOB[#Headers],0)),"")</f>
        <v/>
      </c>
      <c r="V375" s="67" t="str">
        <f>IF($B375&lt;&gt;"",INDEX(DataOB[],FirstRow+ROW()-7,MATCH(V$6,DataOB[#Headers],0)),"")</f>
        <v/>
      </c>
      <c r="W375" s="67" t="str">
        <f>IF($B375&lt;&gt;"",INDEX(DataOB[],FirstRow+ROW()-7,MATCH(W$6,DataOB[#Headers],0)),"")</f>
        <v/>
      </c>
      <c r="X375" s="67" t="str">
        <f>IF($B375&lt;&gt;"",INDEX(DataOB[],FirstRow+ROW()-7,MATCH(X$6,DataOB[#Headers],0)),"")</f>
        <v/>
      </c>
      <c r="Y375" s="67" t="str">
        <f>IF($B375&lt;&gt;"",INDEX(DataOB[],FirstRow+ROW()-7,MATCH(Y$6,DataOB[#Headers],0)),"")</f>
        <v/>
      </c>
      <c r="Z375" s="67" t="str">
        <f>IF($B375&lt;&gt;"",INDEX(DataOB[],FirstRow+ROW()-7,MATCH(Z$6,DataOB[#Headers],0)),"")</f>
        <v/>
      </c>
      <c r="AA375" s="67" t="str">
        <f>IF($B375&lt;&gt;"",INDEX(DataOB[],FirstRow+ROW()-7,MATCH(AA$6,DataOB[#Headers],0)),"")</f>
        <v/>
      </c>
      <c r="AB375" s="67" t="str">
        <f>IF($B375&lt;&gt;"",INDEX(DataOB[],FirstRow+ROW()-7,MATCH(AB$6,DataOB[#Headers],0)),"")</f>
        <v/>
      </c>
      <c r="AC375" s="67" t="str">
        <f>IF($B375&lt;&gt;"",INDEX(DataOB[],FirstRow+ROW()-7,MATCH(AC$6,DataOB[#Headers],0)),"")</f>
        <v/>
      </c>
      <c r="AD375" s="67" t="str">
        <f>IF($B375&lt;&gt;"",INDEX(DataOB[],FirstRow+ROW()-7,MATCH(AD$6,DataOB[#Headers],0)),"")</f>
        <v/>
      </c>
      <c r="AE375" s="67" t="str">
        <f>IF($B375&lt;&gt;"",INDEX(DataOB[],FirstRow+ROW()-7,MATCH(AE$6,DataOB[#Headers],0)),"")</f>
        <v/>
      </c>
      <c r="AF375" s="26">
        <f t="shared" si="59"/>
        <v>0</v>
      </c>
      <c r="AG375" s="31">
        <f>SUM($T375:T375)</f>
        <v>0</v>
      </c>
      <c r="AH375" s="31">
        <f>SUM($T375:U375)</f>
        <v>0</v>
      </c>
      <c r="AI375" s="31">
        <f>SUM($T375:V375)</f>
        <v>0</v>
      </c>
      <c r="AJ375" s="31">
        <f>SUM($T375:W375)</f>
        <v>0</v>
      </c>
      <c r="AK375" s="31">
        <f>SUM($T375:X375)</f>
        <v>0</v>
      </c>
      <c r="AL375" s="31">
        <f>SUM($T375:Y375)</f>
        <v>0</v>
      </c>
      <c r="AM375" s="31">
        <f>SUM($T375:Z375)</f>
        <v>0</v>
      </c>
      <c r="AN375" s="31">
        <f>SUM($T375:AA375)</f>
        <v>0</v>
      </c>
      <c r="AO375" s="31">
        <f>SUM($T375:AB375)</f>
        <v>0</v>
      </c>
      <c r="AP375" s="31">
        <f>SUM($T375:AC375)</f>
        <v>0</v>
      </c>
      <c r="AQ375" s="31">
        <f>SUM($T375:AD375)</f>
        <v>0</v>
      </c>
      <c r="AR375" s="31">
        <f>SUM($T375:AE375)</f>
        <v>0</v>
      </c>
      <c r="AS375" s="27">
        <f t="shared" si="60"/>
        <v>0</v>
      </c>
    </row>
    <row r="376" spans="2:45">
      <c r="B376" s="102" t="str">
        <f>IF(ROW()-6&gt;NumCostCenter,"",IF(CostCenter&lt;&gt;"ALL",CostCenter,DATA_LF2!B374))</f>
        <v/>
      </c>
      <c r="C376" s="153" t="str">
        <f>IF($B376&lt;&gt;"",INDEX(DataOB[],FirstRow+ROW()-7,2),"")</f>
        <v/>
      </c>
      <c r="D376" s="66" t="str">
        <f>IF($B376&lt;&gt;"",INDEX(DataOB[],FirstRow+ROW()-7,3),"")</f>
        <v/>
      </c>
      <c r="E376" s="103" t="str">
        <f>IF($B376&lt;&gt;"",INDEX(DataOB[],FirstRow+ROW()-7,6),"")</f>
        <v/>
      </c>
      <c r="F376" s="103" t="str">
        <f>IF($B376&lt;&gt;"",INDEX(DataOB[],FirstRow+ROW()-7,5),"")</f>
        <v/>
      </c>
      <c r="G376" s="58">
        <f>IF($B376&lt;&gt;"",SUMIFS(DataAct_tbl[AMOUNT],DataAct_tbl[BG CODE],Detail!$D376,DataAct_tbl[MONTH],LEFT(MonthName,3),DataAct_tbl[Dept code],$B376),0)</f>
        <v>0</v>
      </c>
      <c r="H376" s="31" t="str">
        <f t="shared" si="52"/>
        <v/>
      </c>
      <c r="I376" s="28" t="str">
        <f t="shared" si="53"/>
        <v/>
      </c>
      <c r="J376" s="32" t="str">
        <f t="shared" si="54"/>
        <v/>
      </c>
      <c r="K376" s="86"/>
      <c r="L376" s="62">
        <f>IF($B376&lt;&gt;"",SUMIFS(DataAct_tbl[AMOUNT],DataAct_tbl[BG CODE],Detail!$D376,DataAct_tbl[Check Range],"=true",DataAct_tbl[Dept code],$B376),0)</f>
        <v>0</v>
      </c>
      <c r="M376" s="63">
        <f>INDEX($AG$7:$AR$1005,ROW()-6,MATCH(MTD,$AG$6:$AR$6,0))</f>
        <v>0</v>
      </c>
      <c r="N376" s="34">
        <f t="shared" si="55"/>
        <v>0</v>
      </c>
      <c r="O376" s="64" t="str">
        <f t="shared" si="56"/>
        <v xml:space="preserve"> </v>
      </c>
      <c r="Q376" s="97">
        <f t="shared" si="57"/>
        <v>0</v>
      </c>
      <c r="R376" s="96">
        <f t="shared" si="58"/>
        <v>0</v>
      </c>
      <c r="T376" s="67" t="str">
        <f>IF($B376&lt;&gt;"",INDEX(DataOB[],FirstRow+ROW()-7,MATCH(T$6,DataOB[#Headers],0)),"")</f>
        <v/>
      </c>
      <c r="U376" s="67" t="str">
        <f>IF($B376&lt;&gt;"",INDEX(DataOB[],FirstRow+ROW()-7,MATCH(U$6,DataOB[#Headers],0)),"")</f>
        <v/>
      </c>
      <c r="V376" s="67" t="str">
        <f>IF($B376&lt;&gt;"",INDEX(DataOB[],FirstRow+ROW()-7,MATCH(V$6,DataOB[#Headers],0)),"")</f>
        <v/>
      </c>
      <c r="W376" s="67" t="str">
        <f>IF($B376&lt;&gt;"",INDEX(DataOB[],FirstRow+ROW()-7,MATCH(W$6,DataOB[#Headers],0)),"")</f>
        <v/>
      </c>
      <c r="X376" s="67" t="str">
        <f>IF($B376&lt;&gt;"",INDEX(DataOB[],FirstRow+ROW()-7,MATCH(X$6,DataOB[#Headers],0)),"")</f>
        <v/>
      </c>
      <c r="Y376" s="67" t="str">
        <f>IF($B376&lt;&gt;"",INDEX(DataOB[],FirstRow+ROW()-7,MATCH(Y$6,DataOB[#Headers],0)),"")</f>
        <v/>
      </c>
      <c r="Z376" s="67" t="str">
        <f>IF($B376&lt;&gt;"",INDEX(DataOB[],FirstRow+ROW()-7,MATCH(Z$6,DataOB[#Headers],0)),"")</f>
        <v/>
      </c>
      <c r="AA376" s="67" t="str">
        <f>IF($B376&lt;&gt;"",INDEX(DataOB[],FirstRow+ROW()-7,MATCH(AA$6,DataOB[#Headers],0)),"")</f>
        <v/>
      </c>
      <c r="AB376" s="67" t="str">
        <f>IF($B376&lt;&gt;"",INDEX(DataOB[],FirstRow+ROW()-7,MATCH(AB$6,DataOB[#Headers],0)),"")</f>
        <v/>
      </c>
      <c r="AC376" s="67" t="str">
        <f>IF($B376&lt;&gt;"",INDEX(DataOB[],FirstRow+ROW()-7,MATCH(AC$6,DataOB[#Headers],0)),"")</f>
        <v/>
      </c>
      <c r="AD376" s="67" t="str">
        <f>IF($B376&lt;&gt;"",INDEX(DataOB[],FirstRow+ROW()-7,MATCH(AD$6,DataOB[#Headers],0)),"")</f>
        <v/>
      </c>
      <c r="AE376" s="67" t="str">
        <f>IF($B376&lt;&gt;"",INDEX(DataOB[],FirstRow+ROW()-7,MATCH(AE$6,DataOB[#Headers],0)),"")</f>
        <v/>
      </c>
      <c r="AF376" s="26">
        <f t="shared" si="59"/>
        <v>0</v>
      </c>
      <c r="AG376" s="31">
        <f>SUM($T376:T376)</f>
        <v>0</v>
      </c>
      <c r="AH376" s="31">
        <f>SUM($T376:U376)</f>
        <v>0</v>
      </c>
      <c r="AI376" s="31">
        <f>SUM($T376:V376)</f>
        <v>0</v>
      </c>
      <c r="AJ376" s="31">
        <f>SUM($T376:W376)</f>
        <v>0</v>
      </c>
      <c r="AK376" s="31">
        <f>SUM($T376:X376)</f>
        <v>0</v>
      </c>
      <c r="AL376" s="31">
        <f>SUM($T376:Y376)</f>
        <v>0</v>
      </c>
      <c r="AM376" s="31">
        <f>SUM($T376:Z376)</f>
        <v>0</v>
      </c>
      <c r="AN376" s="31">
        <f>SUM($T376:AA376)</f>
        <v>0</v>
      </c>
      <c r="AO376" s="31">
        <f>SUM($T376:AB376)</f>
        <v>0</v>
      </c>
      <c r="AP376" s="31">
        <f>SUM($T376:AC376)</f>
        <v>0</v>
      </c>
      <c r="AQ376" s="31">
        <f>SUM($T376:AD376)</f>
        <v>0</v>
      </c>
      <c r="AR376" s="31">
        <f>SUM($T376:AE376)</f>
        <v>0</v>
      </c>
      <c r="AS376" s="27">
        <f t="shared" si="60"/>
        <v>0</v>
      </c>
    </row>
    <row r="377" spans="2:45">
      <c r="B377" s="102" t="str">
        <f>IF(ROW()-6&gt;NumCostCenter,"",IF(CostCenter&lt;&gt;"ALL",CostCenter,DATA_LF2!B375))</f>
        <v/>
      </c>
      <c r="C377" s="153" t="str">
        <f>IF($B377&lt;&gt;"",INDEX(DataOB[],FirstRow+ROW()-7,2),"")</f>
        <v/>
      </c>
      <c r="D377" s="66" t="str">
        <f>IF($B377&lt;&gt;"",INDEX(DataOB[],FirstRow+ROW()-7,3),"")</f>
        <v/>
      </c>
      <c r="E377" s="103" t="str">
        <f>IF($B377&lt;&gt;"",INDEX(DataOB[],FirstRow+ROW()-7,6),"")</f>
        <v/>
      </c>
      <c r="F377" s="103" t="str">
        <f>IF($B377&lt;&gt;"",INDEX(DataOB[],FirstRow+ROW()-7,5),"")</f>
        <v/>
      </c>
      <c r="G377" s="58">
        <f>IF($B377&lt;&gt;"",SUMIFS(DataAct_tbl[AMOUNT],DataAct_tbl[BG CODE],Detail!$D377,DataAct_tbl[MONTH],LEFT(MonthName,3),DataAct_tbl[Dept code],$B377),0)</f>
        <v>0</v>
      </c>
      <c r="H377" s="31" t="str">
        <f t="shared" si="52"/>
        <v/>
      </c>
      <c r="I377" s="28" t="str">
        <f t="shared" si="53"/>
        <v/>
      </c>
      <c r="J377" s="32" t="str">
        <f t="shared" si="54"/>
        <v/>
      </c>
      <c r="K377" s="86"/>
      <c r="L377" s="62">
        <f>IF($B377&lt;&gt;"",SUMIFS(DataAct_tbl[AMOUNT],DataAct_tbl[BG CODE],Detail!$D377,DataAct_tbl[Check Range],"=true",DataAct_tbl[Dept code],$B377),0)</f>
        <v>0</v>
      </c>
      <c r="M377" s="63">
        <f>INDEX($AG$7:$AR$1005,ROW()-6,MATCH(MTD,$AG$6:$AR$6,0))</f>
        <v>0</v>
      </c>
      <c r="N377" s="34">
        <f t="shared" si="55"/>
        <v>0</v>
      </c>
      <c r="O377" s="64" t="str">
        <f t="shared" si="56"/>
        <v xml:space="preserve"> </v>
      </c>
      <c r="Q377" s="97">
        <f t="shared" si="57"/>
        <v>0</v>
      </c>
      <c r="R377" s="96">
        <f t="shared" si="58"/>
        <v>0</v>
      </c>
      <c r="T377" s="67" t="str">
        <f>IF($B377&lt;&gt;"",INDEX(DataOB[],FirstRow+ROW()-7,MATCH(T$6,DataOB[#Headers],0)),"")</f>
        <v/>
      </c>
      <c r="U377" s="67" t="str">
        <f>IF($B377&lt;&gt;"",INDEX(DataOB[],FirstRow+ROW()-7,MATCH(U$6,DataOB[#Headers],0)),"")</f>
        <v/>
      </c>
      <c r="V377" s="67" t="str">
        <f>IF($B377&lt;&gt;"",INDEX(DataOB[],FirstRow+ROW()-7,MATCH(V$6,DataOB[#Headers],0)),"")</f>
        <v/>
      </c>
      <c r="W377" s="67" t="str">
        <f>IF($B377&lt;&gt;"",INDEX(DataOB[],FirstRow+ROW()-7,MATCH(W$6,DataOB[#Headers],0)),"")</f>
        <v/>
      </c>
      <c r="X377" s="67" t="str">
        <f>IF($B377&lt;&gt;"",INDEX(DataOB[],FirstRow+ROW()-7,MATCH(X$6,DataOB[#Headers],0)),"")</f>
        <v/>
      </c>
      <c r="Y377" s="67" t="str">
        <f>IF($B377&lt;&gt;"",INDEX(DataOB[],FirstRow+ROW()-7,MATCH(Y$6,DataOB[#Headers],0)),"")</f>
        <v/>
      </c>
      <c r="Z377" s="67" t="str">
        <f>IF($B377&lt;&gt;"",INDEX(DataOB[],FirstRow+ROW()-7,MATCH(Z$6,DataOB[#Headers],0)),"")</f>
        <v/>
      </c>
      <c r="AA377" s="67" t="str">
        <f>IF($B377&lt;&gt;"",INDEX(DataOB[],FirstRow+ROW()-7,MATCH(AA$6,DataOB[#Headers],0)),"")</f>
        <v/>
      </c>
      <c r="AB377" s="67" t="str">
        <f>IF($B377&lt;&gt;"",INDEX(DataOB[],FirstRow+ROW()-7,MATCH(AB$6,DataOB[#Headers],0)),"")</f>
        <v/>
      </c>
      <c r="AC377" s="67" t="str">
        <f>IF($B377&lt;&gt;"",INDEX(DataOB[],FirstRow+ROW()-7,MATCH(AC$6,DataOB[#Headers],0)),"")</f>
        <v/>
      </c>
      <c r="AD377" s="67" t="str">
        <f>IF($B377&lt;&gt;"",INDEX(DataOB[],FirstRow+ROW()-7,MATCH(AD$6,DataOB[#Headers],0)),"")</f>
        <v/>
      </c>
      <c r="AE377" s="67" t="str">
        <f>IF($B377&lt;&gt;"",INDEX(DataOB[],FirstRow+ROW()-7,MATCH(AE$6,DataOB[#Headers],0)),"")</f>
        <v/>
      </c>
      <c r="AF377" s="26">
        <f t="shared" si="59"/>
        <v>0</v>
      </c>
      <c r="AG377" s="31">
        <f>SUM($T377:T377)</f>
        <v>0</v>
      </c>
      <c r="AH377" s="31">
        <f>SUM($T377:U377)</f>
        <v>0</v>
      </c>
      <c r="AI377" s="31">
        <f>SUM($T377:V377)</f>
        <v>0</v>
      </c>
      <c r="AJ377" s="31">
        <f>SUM($T377:W377)</f>
        <v>0</v>
      </c>
      <c r="AK377" s="31">
        <f>SUM($T377:X377)</f>
        <v>0</v>
      </c>
      <c r="AL377" s="31">
        <f>SUM($T377:Y377)</f>
        <v>0</v>
      </c>
      <c r="AM377" s="31">
        <f>SUM($T377:Z377)</f>
        <v>0</v>
      </c>
      <c r="AN377" s="31">
        <f>SUM($T377:AA377)</f>
        <v>0</v>
      </c>
      <c r="AO377" s="31">
        <f>SUM($T377:AB377)</f>
        <v>0</v>
      </c>
      <c r="AP377" s="31">
        <f>SUM($T377:AC377)</f>
        <v>0</v>
      </c>
      <c r="AQ377" s="31">
        <f>SUM($T377:AD377)</f>
        <v>0</v>
      </c>
      <c r="AR377" s="31">
        <f>SUM($T377:AE377)</f>
        <v>0</v>
      </c>
      <c r="AS377" s="27">
        <f t="shared" si="60"/>
        <v>0</v>
      </c>
    </row>
    <row r="378" spans="2:45">
      <c r="B378" s="102" t="str">
        <f>IF(ROW()-6&gt;NumCostCenter,"",IF(CostCenter&lt;&gt;"ALL",CostCenter,DATA_LF2!B376))</f>
        <v/>
      </c>
      <c r="C378" s="153" t="str">
        <f>IF($B378&lt;&gt;"",INDEX(DataOB[],FirstRow+ROW()-7,2),"")</f>
        <v/>
      </c>
      <c r="D378" s="66" t="str">
        <f>IF($B378&lt;&gt;"",INDEX(DataOB[],FirstRow+ROW()-7,3),"")</f>
        <v/>
      </c>
      <c r="E378" s="103" t="str">
        <f>IF($B378&lt;&gt;"",INDEX(DataOB[],FirstRow+ROW()-7,6),"")</f>
        <v/>
      </c>
      <c r="F378" s="103" t="str">
        <f>IF($B378&lt;&gt;"",INDEX(DataOB[],FirstRow+ROW()-7,5),"")</f>
        <v/>
      </c>
      <c r="G378" s="58">
        <f>IF($B378&lt;&gt;"",SUMIFS(DataAct_tbl[AMOUNT],DataAct_tbl[BG CODE],Detail!$D378,DataAct_tbl[MONTH],LEFT(MonthName,3),DataAct_tbl[Dept code],$B378),0)</f>
        <v>0</v>
      </c>
      <c r="H378" s="31" t="str">
        <f t="shared" si="52"/>
        <v/>
      </c>
      <c r="I378" s="28" t="str">
        <f t="shared" si="53"/>
        <v/>
      </c>
      <c r="J378" s="32" t="str">
        <f t="shared" si="54"/>
        <v/>
      </c>
      <c r="K378" s="86"/>
      <c r="L378" s="62">
        <f>IF($B378&lt;&gt;"",SUMIFS(DataAct_tbl[AMOUNT],DataAct_tbl[BG CODE],Detail!$D378,DataAct_tbl[Check Range],"=true",DataAct_tbl[Dept code],$B378),0)</f>
        <v>0</v>
      </c>
      <c r="M378" s="63">
        <f>INDEX($AG$7:$AR$1005,ROW()-6,MATCH(MTD,$AG$6:$AR$6,0))</f>
        <v>0</v>
      </c>
      <c r="N378" s="34">
        <f t="shared" si="55"/>
        <v>0</v>
      </c>
      <c r="O378" s="64" t="str">
        <f t="shared" si="56"/>
        <v xml:space="preserve"> </v>
      </c>
      <c r="Q378" s="97">
        <f t="shared" si="57"/>
        <v>0</v>
      </c>
      <c r="R378" s="96">
        <f t="shared" si="58"/>
        <v>0</v>
      </c>
      <c r="T378" s="67" t="str">
        <f>IF($B378&lt;&gt;"",INDEX(DataOB[],FirstRow+ROW()-7,MATCH(T$6,DataOB[#Headers],0)),"")</f>
        <v/>
      </c>
      <c r="U378" s="67" t="str">
        <f>IF($B378&lt;&gt;"",INDEX(DataOB[],FirstRow+ROW()-7,MATCH(U$6,DataOB[#Headers],0)),"")</f>
        <v/>
      </c>
      <c r="V378" s="67" t="str">
        <f>IF($B378&lt;&gt;"",INDEX(DataOB[],FirstRow+ROW()-7,MATCH(V$6,DataOB[#Headers],0)),"")</f>
        <v/>
      </c>
      <c r="W378" s="67" t="str">
        <f>IF($B378&lt;&gt;"",INDEX(DataOB[],FirstRow+ROW()-7,MATCH(W$6,DataOB[#Headers],0)),"")</f>
        <v/>
      </c>
      <c r="X378" s="67" t="str">
        <f>IF($B378&lt;&gt;"",INDEX(DataOB[],FirstRow+ROW()-7,MATCH(X$6,DataOB[#Headers],0)),"")</f>
        <v/>
      </c>
      <c r="Y378" s="67" t="str">
        <f>IF($B378&lt;&gt;"",INDEX(DataOB[],FirstRow+ROW()-7,MATCH(Y$6,DataOB[#Headers],0)),"")</f>
        <v/>
      </c>
      <c r="Z378" s="67" t="str">
        <f>IF($B378&lt;&gt;"",INDEX(DataOB[],FirstRow+ROW()-7,MATCH(Z$6,DataOB[#Headers],0)),"")</f>
        <v/>
      </c>
      <c r="AA378" s="67" t="str">
        <f>IF($B378&lt;&gt;"",INDEX(DataOB[],FirstRow+ROW()-7,MATCH(AA$6,DataOB[#Headers],0)),"")</f>
        <v/>
      </c>
      <c r="AB378" s="67" t="str">
        <f>IF($B378&lt;&gt;"",INDEX(DataOB[],FirstRow+ROW()-7,MATCH(AB$6,DataOB[#Headers],0)),"")</f>
        <v/>
      </c>
      <c r="AC378" s="67" t="str">
        <f>IF($B378&lt;&gt;"",INDEX(DataOB[],FirstRow+ROW()-7,MATCH(AC$6,DataOB[#Headers],0)),"")</f>
        <v/>
      </c>
      <c r="AD378" s="67" t="str">
        <f>IF($B378&lt;&gt;"",INDEX(DataOB[],FirstRow+ROW()-7,MATCH(AD$6,DataOB[#Headers],0)),"")</f>
        <v/>
      </c>
      <c r="AE378" s="67" t="str">
        <f>IF($B378&lt;&gt;"",INDEX(DataOB[],FirstRow+ROW()-7,MATCH(AE$6,DataOB[#Headers],0)),"")</f>
        <v/>
      </c>
      <c r="AF378" s="26">
        <f t="shared" si="59"/>
        <v>0</v>
      </c>
      <c r="AG378" s="31">
        <f>SUM($T378:T378)</f>
        <v>0</v>
      </c>
      <c r="AH378" s="31">
        <f>SUM($T378:U378)</f>
        <v>0</v>
      </c>
      <c r="AI378" s="31">
        <f>SUM($T378:V378)</f>
        <v>0</v>
      </c>
      <c r="AJ378" s="31">
        <f>SUM($T378:W378)</f>
        <v>0</v>
      </c>
      <c r="AK378" s="31">
        <f>SUM($T378:X378)</f>
        <v>0</v>
      </c>
      <c r="AL378" s="31">
        <f>SUM($T378:Y378)</f>
        <v>0</v>
      </c>
      <c r="AM378" s="31">
        <f>SUM($T378:Z378)</f>
        <v>0</v>
      </c>
      <c r="AN378" s="31">
        <f>SUM($T378:AA378)</f>
        <v>0</v>
      </c>
      <c r="AO378" s="31">
        <f>SUM($T378:AB378)</f>
        <v>0</v>
      </c>
      <c r="AP378" s="31">
        <f>SUM($T378:AC378)</f>
        <v>0</v>
      </c>
      <c r="AQ378" s="31">
        <f>SUM($T378:AD378)</f>
        <v>0</v>
      </c>
      <c r="AR378" s="31">
        <f>SUM($T378:AE378)</f>
        <v>0</v>
      </c>
      <c r="AS378" s="27">
        <f t="shared" si="60"/>
        <v>0</v>
      </c>
    </row>
    <row r="379" spans="2:45">
      <c r="B379" s="102" t="str">
        <f>IF(ROW()-6&gt;NumCostCenter,"",IF(CostCenter&lt;&gt;"ALL",CostCenter,DATA_LF2!B377))</f>
        <v/>
      </c>
      <c r="C379" s="153" t="str">
        <f>IF($B379&lt;&gt;"",INDEX(DataOB[],FirstRow+ROW()-7,2),"")</f>
        <v/>
      </c>
      <c r="D379" s="66" t="str">
        <f>IF($B379&lt;&gt;"",INDEX(DataOB[],FirstRow+ROW()-7,3),"")</f>
        <v/>
      </c>
      <c r="E379" s="103" t="str">
        <f>IF($B379&lt;&gt;"",INDEX(DataOB[],FirstRow+ROW()-7,6),"")</f>
        <v/>
      </c>
      <c r="F379" s="103" t="str">
        <f>IF($B379&lt;&gt;"",INDEX(DataOB[],FirstRow+ROW()-7,5),"")</f>
        <v/>
      </c>
      <c r="G379" s="58">
        <f>IF($B379&lt;&gt;"",SUMIFS(DataAct_tbl[AMOUNT],DataAct_tbl[BG CODE],Detail!$D379,DataAct_tbl[MONTH],LEFT(MonthName,3),DataAct_tbl[Dept code],$B379),0)</f>
        <v>0</v>
      </c>
      <c r="H379" s="31" t="str">
        <f t="shared" si="52"/>
        <v/>
      </c>
      <c r="I379" s="28" t="str">
        <f t="shared" si="53"/>
        <v/>
      </c>
      <c r="J379" s="32" t="str">
        <f t="shared" si="54"/>
        <v/>
      </c>
      <c r="K379" s="86"/>
      <c r="L379" s="62">
        <f>IF($B379&lt;&gt;"",SUMIFS(DataAct_tbl[AMOUNT],DataAct_tbl[BG CODE],Detail!$D379,DataAct_tbl[Check Range],"=true",DataAct_tbl[Dept code],$B379),0)</f>
        <v>0</v>
      </c>
      <c r="M379" s="63">
        <f>INDEX($AG$7:$AR$1005,ROW()-6,MATCH(MTD,$AG$6:$AR$6,0))</f>
        <v>0</v>
      </c>
      <c r="N379" s="34">
        <f t="shared" si="55"/>
        <v>0</v>
      </c>
      <c r="O379" s="64" t="str">
        <f t="shared" si="56"/>
        <v xml:space="preserve"> </v>
      </c>
      <c r="Q379" s="97">
        <f t="shared" si="57"/>
        <v>0</v>
      </c>
      <c r="R379" s="96">
        <f t="shared" si="58"/>
        <v>0</v>
      </c>
      <c r="T379" s="67" t="str">
        <f>IF($B379&lt;&gt;"",INDEX(DataOB[],FirstRow+ROW()-7,MATCH(T$6,DataOB[#Headers],0)),"")</f>
        <v/>
      </c>
      <c r="U379" s="67" t="str">
        <f>IF($B379&lt;&gt;"",INDEX(DataOB[],FirstRow+ROW()-7,MATCH(U$6,DataOB[#Headers],0)),"")</f>
        <v/>
      </c>
      <c r="V379" s="67" t="str">
        <f>IF($B379&lt;&gt;"",INDEX(DataOB[],FirstRow+ROW()-7,MATCH(V$6,DataOB[#Headers],0)),"")</f>
        <v/>
      </c>
      <c r="W379" s="67" t="str">
        <f>IF($B379&lt;&gt;"",INDEX(DataOB[],FirstRow+ROW()-7,MATCH(W$6,DataOB[#Headers],0)),"")</f>
        <v/>
      </c>
      <c r="X379" s="67" t="str">
        <f>IF($B379&lt;&gt;"",INDEX(DataOB[],FirstRow+ROW()-7,MATCH(X$6,DataOB[#Headers],0)),"")</f>
        <v/>
      </c>
      <c r="Y379" s="67" t="str">
        <f>IF($B379&lt;&gt;"",INDEX(DataOB[],FirstRow+ROW()-7,MATCH(Y$6,DataOB[#Headers],0)),"")</f>
        <v/>
      </c>
      <c r="Z379" s="67" t="str">
        <f>IF($B379&lt;&gt;"",INDEX(DataOB[],FirstRow+ROW()-7,MATCH(Z$6,DataOB[#Headers],0)),"")</f>
        <v/>
      </c>
      <c r="AA379" s="67" t="str">
        <f>IF($B379&lt;&gt;"",INDEX(DataOB[],FirstRow+ROW()-7,MATCH(AA$6,DataOB[#Headers],0)),"")</f>
        <v/>
      </c>
      <c r="AB379" s="67" t="str">
        <f>IF($B379&lt;&gt;"",INDEX(DataOB[],FirstRow+ROW()-7,MATCH(AB$6,DataOB[#Headers],0)),"")</f>
        <v/>
      </c>
      <c r="AC379" s="67" t="str">
        <f>IF($B379&lt;&gt;"",INDEX(DataOB[],FirstRow+ROW()-7,MATCH(AC$6,DataOB[#Headers],0)),"")</f>
        <v/>
      </c>
      <c r="AD379" s="67" t="str">
        <f>IF($B379&lt;&gt;"",INDEX(DataOB[],FirstRow+ROW()-7,MATCH(AD$6,DataOB[#Headers],0)),"")</f>
        <v/>
      </c>
      <c r="AE379" s="67" t="str">
        <f>IF($B379&lt;&gt;"",INDEX(DataOB[],FirstRow+ROW()-7,MATCH(AE$6,DataOB[#Headers],0)),"")</f>
        <v/>
      </c>
      <c r="AF379" s="26">
        <f t="shared" si="59"/>
        <v>0</v>
      </c>
      <c r="AG379" s="31">
        <f>SUM($T379:T379)</f>
        <v>0</v>
      </c>
      <c r="AH379" s="31">
        <f>SUM($T379:U379)</f>
        <v>0</v>
      </c>
      <c r="AI379" s="31">
        <f>SUM($T379:V379)</f>
        <v>0</v>
      </c>
      <c r="AJ379" s="31">
        <f>SUM($T379:W379)</f>
        <v>0</v>
      </c>
      <c r="AK379" s="31">
        <f>SUM($T379:X379)</f>
        <v>0</v>
      </c>
      <c r="AL379" s="31">
        <f>SUM($T379:Y379)</f>
        <v>0</v>
      </c>
      <c r="AM379" s="31">
        <f>SUM($T379:Z379)</f>
        <v>0</v>
      </c>
      <c r="AN379" s="31">
        <f>SUM($T379:AA379)</f>
        <v>0</v>
      </c>
      <c r="AO379" s="31">
        <f>SUM($T379:AB379)</f>
        <v>0</v>
      </c>
      <c r="AP379" s="31">
        <f>SUM($T379:AC379)</f>
        <v>0</v>
      </c>
      <c r="AQ379" s="31">
        <f>SUM($T379:AD379)</f>
        <v>0</v>
      </c>
      <c r="AR379" s="31">
        <f>SUM($T379:AE379)</f>
        <v>0</v>
      </c>
      <c r="AS379" s="27">
        <f t="shared" si="60"/>
        <v>0</v>
      </c>
    </row>
    <row r="380" spans="2:45">
      <c r="B380" s="102" t="str">
        <f>IF(ROW()-6&gt;NumCostCenter,"",IF(CostCenter&lt;&gt;"ALL",CostCenter,DATA_LF2!B378))</f>
        <v/>
      </c>
      <c r="C380" s="153" t="str">
        <f>IF($B380&lt;&gt;"",INDEX(DataOB[],FirstRow+ROW()-7,2),"")</f>
        <v/>
      </c>
      <c r="D380" s="66" t="str">
        <f>IF($B380&lt;&gt;"",INDEX(DataOB[],FirstRow+ROW()-7,3),"")</f>
        <v/>
      </c>
      <c r="E380" s="103" t="str">
        <f>IF($B380&lt;&gt;"",INDEX(DataOB[],FirstRow+ROW()-7,6),"")</f>
        <v/>
      </c>
      <c r="F380" s="103" t="str">
        <f>IF($B380&lt;&gt;"",INDEX(DataOB[],FirstRow+ROW()-7,5),"")</f>
        <v/>
      </c>
      <c r="G380" s="58">
        <f>IF($B380&lt;&gt;"",SUMIFS(DataAct_tbl[AMOUNT],DataAct_tbl[BG CODE],Detail!$D380,DataAct_tbl[MONTH],LEFT(MonthName,3),DataAct_tbl[Dept code],$B380),0)</f>
        <v>0</v>
      </c>
      <c r="H380" s="31" t="str">
        <f t="shared" si="52"/>
        <v/>
      </c>
      <c r="I380" s="28" t="str">
        <f t="shared" si="53"/>
        <v/>
      </c>
      <c r="J380" s="32" t="str">
        <f t="shared" si="54"/>
        <v/>
      </c>
      <c r="K380" s="86"/>
      <c r="L380" s="62">
        <f>IF($B380&lt;&gt;"",SUMIFS(DataAct_tbl[AMOUNT],DataAct_tbl[BG CODE],Detail!$D380,DataAct_tbl[Check Range],"=true",DataAct_tbl[Dept code],$B380),0)</f>
        <v>0</v>
      </c>
      <c r="M380" s="63">
        <f>INDEX($AG$7:$AR$1005,ROW()-6,MATCH(MTD,$AG$6:$AR$6,0))</f>
        <v>0</v>
      </c>
      <c r="N380" s="34">
        <f t="shared" si="55"/>
        <v>0</v>
      </c>
      <c r="O380" s="64" t="str">
        <f t="shared" si="56"/>
        <v xml:space="preserve"> </v>
      </c>
      <c r="Q380" s="97">
        <f t="shared" si="57"/>
        <v>0</v>
      </c>
      <c r="R380" s="96">
        <f t="shared" si="58"/>
        <v>0</v>
      </c>
      <c r="T380" s="67" t="str">
        <f>IF($B380&lt;&gt;"",INDEX(DataOB[],FirstRow+ROW()-7,MATCH(T$6,DataOB[#Headers],0)),"")</f>
        <v/>
      </c>
      <c r="U380" s="67" t="str">
        <f>IF($B380&lt;&gt;"",INDEX(DataOB[],FirstRow+ROW()-7,MATCH(U$6,DataOB[#Headers],0)),"")</f>
        <v/>
      </c>
      <c r="V380" s="67" t="str">
        <f>IF($B380&lt;&gt;"",INDEX(DataOB[],FirstRow+ROW()-7,MATCH(V$6,DataOB[#Headers],0)),"")</f>
        <v/>
      </c>
      <c r="W380" s="67" t="str">
        <f>IF($B380&lt;&gt;"",INDEX(DataOB[],FirstRow+ROW()-7,MATCH(W$6,DataOB[#Headers],0)),"")</f>
        <v/>
      </c>
      <c r="X380" s="67" t="str">
        <f>IF($B380&lt;&gt;"",INDEX(DataOB[],FirstRow+ROW()-7,MATCH(X$6,DataOB[#Headers],0)),"")</f>
        <v/>
      </c>
      <c r="Y380" s="67" t="str">
        <f>IF($B380&lt;&gt;"",INDEX(DataOB[],FirstRow+ROW()-7,MATCH(Y$6,DataOB[#Headers],0)),"")</f>
        <v/>
      </c>
      <c r="Z380" s="67" t="str">
        <f>IF($B380&lt;&gt;"",INDEX(DataOB[],FirstRow+ROW()-7,MATCH(Z$6,DataOB[#Headers],0)),"")</f>
        <v/>
      </c>
      <c r="AA380" s="67" t="str">
        <f>IF($B380&lt;&gt;"",INDEX(DataOB[],FirstRow+ROW()-7,MATCH(AA$6,DataOB[#Headers],0)),"")</f>
        <v/>
      </c>
      <c r="AB380" s="67" t="str">
        <f>IF($B380&lt;&gt;"",INDEX(DataOB[],FirstRow+ROW()-7,MATCH(AB$6,DataOB[#Headers],0)),"")</f>
        <v/>
      </c>
      <c r="AC380" s="67" t="str">
        <f>IF($B380&lt;&gt;"",INDEX(DataOB[],FirstRow+ROW()-7,MATCH(AC$6,DataOB[#Headers],0)),"")</f>
        <v/>
      </c>
      <c r="AD380" s="67" t="str">
        <f>IF($B380&lt;&gt;"",INDEX(DataOB[],FirstRow+ROW()-7,MATCH(AD$6,DataOB[#Headers],0)),"")</f>
        <v/>
      </c>
      <c r="AE380" s="67" t="str">
        <f>IF($B380&lt;&gt;"",INDEX(DataOB[],FirstRow+ROW()-7,MATCH(AE$6,DataOB[#Headers],0)),"")</f>
        <v/>
      </c>
      <c r="AF380" s="26">
        <f t="shared" si="59"/>
        <v>0</v>
      </c>
      <c r="AG380" s="31">
        <f>SUM($T380:T380)</f>
        <v>0</v>
      </c>
      <c r="AH380" s="31">
        <f>SUM($T380:U380)</f>
        <v>0</v>
      </c>
      <c r="AI380" s="31">
        <f>SUM($T380:V380)</f>
        <v>0</v>
      </c>
      <c r="AJ380" s="31">
        <f>SUM($T380:W380)</f>
        <v>0</v>
      </c>
      <c r="AK380" s="31">
        <f>SUM($T380:X380)</f>
        <v>0</v>
      </c>
      <c r="AL380" s="31">
        <f>SUM($T380:Y380)</f>
        <v>0</v>
      </c>
      <c r="AM380" s="31">
        <f>SUM($T380:Z380)</f>
        <v>0</v>
      </c>
      <c r="AN380" s="31">
        <f>SUM($T380:AA380)</f>
        <v>0</v>
      </c>
      <c r="AO380" s="31">
        <f>SUM($T380:AB380)</f>
        <v>0</v>
      </c>
      <c r="AP380" s="31">
        <f>SUM($T380:AC380)</f>
        <v>0</v>
      </c>
      <c r="AQ380" s="31">
        <f>SUM($T380:AD380)</f>
        <v>0</v>
      </c>
      <c r="AR380" s="31">
        <f>SUM($T380:AE380)</f>
        <v>0</v>
      </c>
      <c r="AS380" s="27">
        <f t="shared" si="60"/>
        <v>0</v>
      </c>
    </row>
    <row r="381" spans="2:45">
      <c r="B381" s="102" t="str">
        <f>IF(ROW()-6&gt;NumCostCenter,"",IF(CostCenter&lt;&gt;"ALL",CostCenter,DATA_LF2!B379))</f>
        <v/>
      </c>
      <c r="C381" s="153" t="str">
        <f>IF($B381&lt;&gt;"",INDEX(DataOB[],FirstRow+ROW()-7,2),"")</f>
        <v/>
      </c>
      <c r="D381" s="66" t="str">
        <f>IF($B381&lt;&gt;"",INDEX(DataOB[],FirstRow+ROW()-7,3),"")</f>
        <v/>
      </c>
      <c r="E381" s="103" t="str">
        <f>IF($B381&lt;&gt;"",INDEX(DataOB[],FirstRow+ROW()-7,6),"")</f>
        <v/>
      </c>
      <c r="F381" s="103" t="str">
        <f>IF($B381&lt;&gt;"",INDEX(DataOB[],FirstRow+ROW()-7,5),"")</f>
        <v/>
      </c>
      <c r="G381" s="58">
        <f>IF($B381&lt;&gt;"",SUMIFS(DataAct_tbl[AMOUNT],DataAct_tbl[BG CODE],Detail!$D381,DataAct_tbl[MONTH],LEFT(MonthName,3),DataAct_tbl[Dept code],$B381),0)</f>
        <v>0</v>
      </c>
      <c r="H381" s="31" t="str">
        <f t="shared" si="52"/>
        <v/>
      </c>
      <c r="I381" s="28" t="str">
        <f t="shared" si="53"/>
        <v/>
      </c>
      <c r="J381" s="32" t="str">
        <f t="shared" si="54"/>
        <v/>
      </c>
      <c r="K381" s="86"/>
      <c r="L381" s="62">
        <f>IF($B381&lt;&gt;"",SUMIFS(DataAct_tbl[AMOUNT],DataAct_tbl[BG CODE],Detail!$D381,DataAct_tbl[Check Range],"=true",DataAct_tbl[Dept code],$B381),0)</f>
        <v>0</v>
      </c>
      <c r="M381" s="63">
        <f>INDEX($AG$7:$AR$1005,ROW()-6,MATCH(MTD,$AG$6:$AR$6,0))</f>
        <v>0</v>
      </c>
      <c r="N381" s="34">
        <f t="shared" si="55"/>
        <v>0</v>
      </c>
      <c r="O381" s="64" t="str">
        <f t="shared" si="56"/>
        <v xml:space="preserve"> </v>
      </c>
      <c r="Q381" s="97">
        <f t="shared" si="57"/>
        <v>0</v>
      </c>
      <c r="R381" s="96">
        <f t="shared" si="58"/>
        <v>0</v>
      </c>
      <c r="T381" s="67" t="str">
        <f>IF($B381&lt;&gt;"",INDEX(DataOB[],FirstRow+ROW()-7,MATCH(T$6,DataOB[#Headers],0)),"")</f>
        <v/>
      </c>
      <c r="U381" s="67" t="str">
        <f>IF($B381&lt;&gt;"",INDEX(DataOB[],FirstRow+ROW()-7,MATCH(U$6,DataOB[#Headers],0)),"")</f>
        <v/>
      </c>
      <c r="V381" s="67" t="str">
        <f>IF($B381&lt;&gt;"",INDEX(DataOB[],FirstRow+ROW()-7,MATCH(V$6,DataOB[#Headers],0)),"")</f>
        <v/>
      </c>
      <c r="W381" s="67" t="str">
        <f>IF($B381&lt;&gt;"",INDEX(DataOB[],FirstRow+ROW()-7,MATCH(W$6,DataOB[#Headers],0)),"")</f>
        <v/>
      </c>
      <c r="X381" s="67" t="str">
        <f>IF($B381&lt;&gt;"",INDEX(DataOB[],FirstRow+ROW()-7,MATCH(X$6,DataOB[#Headers],0)),"")</f>
        <v/>
      </c>
      <c r="Y381" s="67" t="str">
        <f>IF($B381&lt;&gt;"",INDEX(DataOB[],FirstRow+ROW()-7,MATCH(Y$6,DataOB[#Headers],0)),"")</f>
        <v/>
      </c>
      <c r="Z381" s="67" t="str">
        <f>IF($B381&lt;&gt;"",INDEX(DataOB[],FirstRow+ROW()-7,MATCH(Z$6,DataOB[#Headers],0)),"")</f>
        <v/>
      </c>
      <c r="AA381" s="67" t="str">
        <f>IF($B381&lt;&gt;"",INDEX(DataOB[],FirstRow+ROW()-7,MATCH(AA$6,DataOB[#Headers],0)),"")</f>
        <v/>
      </c>
      <c r="AB381" s="67" t="str">
        <f>IF($B381&lt;&gt;"",INDEX(DataOB[],FirstRow+ROW()-7,MATCH(AB$6,DataOB[#Headers],0)),"")</f>
        <v/>
      </c>
      <c r="AC381" s="67" t="str">
        <f>IF($B381&lt;&gt;"",INDEX(DataOB[],FirstRow+ROW()-7,MATCH(AC$6,DataOB[#Headers],0)),"")</f>
        <v/>
      </c>
      <c r="AD381" s="67" t="str">
        <f>IF($B381&lt;&gt;"",INDEX(DataOB[],FirstRow+ROW()-7,MATCH(AD$6,DataOB[#Headers],0)),"")</f>
        <v/>
      </c>
      <c r="AE381" s="67" t="str">
        <f>IF($B381&lt;&gt;"",INDEX(DataOB[],FirstRow+ROW()-7,MATCH(AE$6,DataOB[#Headers],0)),"")</f>
        <v/>
      </c>
      <c r="AF381" s="26">
        <f t="shared" si="59"/>
        <v>0</v>
      </c>
      <c r="AG381" s="31">
        <f>SUM($T381:T381)</f>
        <v>0</v>
      </c>
      <c r="AH381" s="31">
        <f>SUM($T381:U381)</f>
        <v>0</v>
      </c>
      <c r="AI381" s="31">
        <f>SUM($T381:V381)</f>
        <v>0</v>
      </c>
      <c r="AJ381" s="31">
        <f>SUM($T381:W381)</f>
        <v>0</v>
      </c>
      <c r="AK381" s="31">
        <f>SUM($T381:X381)</f>
        <v>0</v>
      </c>
      <c r="AL381" s="31">
        <f>SUM($T381:Y381)</f>
        <v>0</v>
      </c>
      <c r="AM381" s="31">
        <f>SUM($T381:Z381)</f>
        <v>0</v>
      </c>
      <c r="AN381" s="31">
        <f>SUM($T381:AA381)</f>
        <v>0</v>
      </c>
      <c r="AO381" s="31">
        <f>SUM($T381:AB381)</f>
        <v>0</v>
      </c>
      <c r="AP381" s="31">
        <f>SUM($T381:AC381)</f>
        <v>0</v>
      </c>
      <c r="AQ381" s="31">
        <f>SUM($T381:AD381)</f>
        <v>0</v>
      </c>
      <c r="AR381" s="31">
        <f>SUM($T381:AE381)</f>
        <v>0</v>
      </c>
      <c r="AS381" s="27">
        <f t="shared" si="60"/>
        <v>0</v>
      </c>
    </row>
    <row r="382" spans="2:45">
      <c r="B382" s="102" t="str">
        <f>IF(ROW()-6&gt;NumCostCenter,"",IF(CostCenter&lt;&gt;"ALL",CostCenter,DATA_LF2!B380))</f>
        <v/>
      </c>
      <c r="C382" s="153" t="str">
        <f>IF($B382&lt;&gt;"",INDEX(DataOB[],FirstRow+ROW()-7,2),"")</f>
        <v/>
      </c>
      <c r="D382" s="66" t="str">
        <f>IF($B382&lt;&gt;"",INDEX(DataOB[],FirstRow+ROW()-7,3),"")</f>
        <v/>
      </c>
      <c r="E382" s="103" t="str">
        <f>IF($B382&lt;&gt;"",INDEX(DataOB[],FirstRow+ROW()-7,6),"")</f>
        <v/>
      </c>
      <c r="F382" s="103" t="str">
        <f>IF($B382&lt;&gt;"",INDEX(DataOB[],FirstRow+ROW()-7,5),"")</f>
        <v/>
      </c>
      <c r="G382" s="58">
        <f>IF($B382&lt;&gt;"",SUMIFS(DataAct_tbl[AMOUNT],DataAct_tbl[BG CODE],Detail!$D382,DataAct_tbl[MONTH],LEFT(MonthName,3),DataAct_tbl[Dept code],$B382),0)</f>
        <v>0</v>
      </c>
      <c r="H382" s="31" t="str">
        <f t="shared" si="52"/>
        <v/>
      </c>
      <c r="I382" s="28" t="str">
        <f t="shared" si="53"/>
        <v/>
      </c>
      <c r="J382" s="32" t="str">
        <f t="shared" si="54"/>
        <v/>
      </c>
      <c r="K382" s="86"/>
      <c r="L382" s="62">
        <f>IF($B382&lt;&gt;"",SUMIFS(DataAct_tbl[AMOUNT],DataAct_tbl[BG CODE],Detail!$D382,DataAct_tbl[Check Range],"=true",DataAct_tbl[Dept code],$B382),0)</f>
        <v>0</v>
      </c>
      <c r="M382" s="63">
        <f>INDEX($AG$7:$AR$1005,ROW()-6,MATCH(MTD,$AG$6:$AR$6,0))</f>
        <v>0</v>
      </c>
      <c r="N382" s="34">
        <f t="shared" si="55"/>
        <v>0</v>
      </c>
      <c r="O382" s="64" t="str">
        <f t="shared" si="56"/>
        <v xml:space="preserve"> </v>
      </c>
      <c r="Q382" s="97">
        <f t="shared" si="57"/>
        <v>0</v>
      </c>
      <c r="R382" s="96">
        <f t="shared" si="58"/>
        <v>0</v>
      </c>
      <c r="T382" s="67" t="str">
        <f>IF($B382&lt;&gt;"",INDEX(DataOB[],FirstRow+ROW()-7,MATCH(T$6,DataOB[#Headers],0)),"")</f>
        <v/>
      </c>
      <c r="U382" s="67" t="str">
        <f>IF($B382&lt;&gt;"",INDEX(DataOB[],FirstRow+ROW()-7,MATCH(U$6,DataOB[#Headers],0)),"")</f>
        <v/>
      </c>
      <c r="V382" s="67" t="str">
        <f>IF($B382&lt;&gt;"",INDEX(DataOB[],FirstRow+ROW()-7,MATCH(V$6,DataOB[#Headers],0)),"")</f>
        <v/>
      </c>
      <c r="W382" s="67" t="str">
        <f>IF($B382&lt;&gt;"",INDEX(DataOB[],FirstRow+ROW()-7,MATCH(W$6,DataOB[#Headers],0)),"")</f>
        <v/>
      </c>
      <c r="X382" s="67" t="str">
        <f>IF($B382&lt;&gt;"",INDEX(DataOB[],FirstRow+ROW()-7,MATCH(X$6,DataOB[#Headers],0)),"")</f>
        <v/>
      </c>
      <c r="Y382" s="67" t="str">
        <f>IF($B382&lt;&gt;"",INDEX(DataOB[],FirstRow+ROW()-7,MATCH(Y$6,DataOB[#Headers],0)),"")</f>
        <v/>
      </c>
      <c r="Z382" s="67" t="str">
        <f>IF($B382&lt;&gt;"",INDEX(DataOB[],FirstRow+ROW()-7,MATCH(Z$6,DataOB[#Headers],0)),"")</f>
        <v/>
      </c>
      <c r="AA382" s="67" t="str">
        <f>IF($B382&lt;&gt;"",INDEX(DataOB[],FirstRow+ROW()-7,MATCH(AA$6,DataOB[#Headers],0)),"")</f>
        <v/>
      </c>
      <c r="AB382" s="67" t="str">
        <f>IF($B382&lt;&gt;"",INDEX(DataOB[],FirstRow+ROW()-7,MATCH(AB$6,DataOB[#Headers],0)),"")</f>
        <v/>
      </c>
      <c r="AC382" s="67" t="str">
        <f>IF($B382&lt;&gt;"",INDEX(DataOB[],FirstRow+ROW()-7,MATCH(AC$6,DataOB[#Headers],0)),"")</f>
        <v/>
      </c>
      <c r="AD382" s="67" t="str">
        <f>IF($B382&lt;&gt;"",INDEX(DataOB[],FirstRow+ROW()-7,MATCH(AD$6,DataOB[#Headers],0)),"")</f>
        <v/>
      </c>
      <c r="AE382" s="67" t="str">
        <f>IF($B382&lt;&gt;"",INDEX(DataOB[],FirstRow+ROW()-7,MATCH(AE$6,DataOB[#Headers],0)),"")</f>
        <v/>
      </c>
      <c r="AF382" s="26">
        <f t="shared" si="59"/>
        <v>0</v>
      </c>
      <c r="AG382" s="31">
        <f>SUM($T382:T382)</f>
        <v>0</v>
      </c>
      <c r="AH382" s="31">
        <f>SUM($T382:U382)</f>
        <v>0</v>
      </c>
      <c r="AI382" s="31">
        <f>SUM($T382:V382)</f>
        <v>0</v>
      </c>
      <c r="AJ382" s="31">
        <f>SUM($T382:W382)</f>
        <v>0</v>
      </c>
      <c r="AK382" s="31">
        <f>SUM($T382:X382)</f>
        <v>0</v>
      </c>
      <c r="AL382" s="31">
        <f>SUM($T382:Y382)</f>
        <v>0</v>
      </c>
      <c r="AM382" s="31">
        <f>SUM($T382:Z382)</f>
        <v>0</v>
      </c>
      <c r="AN382" s="31">
        <f>SUM($T382:AA382)</f>
        <v>0</v>
      </c>
      <c r="AO382" s="31">
        <f>SUM($T382:AB382)</f>
        <v>0</v>
      </c>
      <c r="AP382" s="31">
        <f>SUM($T382:AC382)</f>
        <v>0</v>
      </c>
      <c r="AQ382" s="31">
        <f>SUM($T382:AD382)</f>
        <v>0</v>
      </c>
      <c r="AR382" s="31">
        <f>SUM($T382:AE382)</f>
        <v>0</v>
      </c>
      <c r="AS382" s="27">
        <f t="shared" si="60"/>
        <v>0</v>
      </c>
    </row>
    <row r="383" spans="2:45">
      <c r="B383" s="102" t="str">
        <f>IF(ROW()-6&gt;NumCostCenter,"",IF(CostCenter&lt;&gt;"ALL",CostCenter,DATA_LF2!B381))</f>
        <v/>
      </c>
      <c r="C383" s="153" t="str">
        <f>IF($B383&lt;&gt;"",INDEX(DataOB[],FirstRow+ROW()-7,2),"")</f>
        <v/>
      </c>
      <c r="D383" s="66" t="str">
        <f>IF($B383&lt;&gt;"",INDEX(DataOB[],FirstRow+ROW()-7,3),"")</f>
        <v/>
      </c>
      <c r="E383" s="103" t="str">
        <f>IF($B383&lt;&gt;"",INDEX(DataOB[],FirstRow+ROW()-7,6),"")</f>
        <v/>
      </c>
      <c r="F383" s="103" t="str">
        <f>IF($B383&lt;&gt;"",INDEX(DataOB[],FirstRow+ROW()-7,5),"")</f>
        <v/>
      </c>
      <c r="G383" s="58">
        <f>IF($B383&lt;&gt;"",SUMIFS(DataAct_tbl[AMOUNT],DataAct_tbl[BG CODE],Detail!$D383,DataAct_tbl[MONTH],LEFT(MonthName,3),DataAct_tbl[Dept code],$B383),0)</f>
        <v>0</v>
      </c>
      <c r="H383" s="31" t="str">
        <f t="shared" si="52"/>
        <v/>
      </c>
      <c r="I383" s="28" t="str">
        <f t="shared" si="53"/>
        <v/>
      </c>
      <c r="J383" s="32" t="str">
        <f t="shared" si="54"/>
        <v/>
      </c>
      <c r="K383" s="86"/>
      <c r="L383" s="62">
        <f>IF($B383&lt;&gt;"",SUMIFS(DataAct_tbl[AMOUNT],DataAct_tbl[BG CODE],Detail!$D383,DataAct_tbl[Check Range],"=true",DataAct_tbl[Dept code],$B383),0)</f>
        <v>0</v>
      </c>
      <c r="M383" s="63">
        <f>INDEX($AG$7:$AR$1005,ROW()-6,MATCH(MTD,$AG$6:$AR$6,0))</f>
        <v>0</v>
      </c>
      <c r="N383" s="34">
        <f t="shared" si="55"/>
        <v>0</v>
      </c>
      <c r="O383" s="64" t="str">
        <f t="shared" si="56"/>
        <v xml:space="preserve"> </v>
      </c>
      <c r="Q383" s="97">
        <f t="shared" si="57"/>
        <v>0</v>
      </c>
      <c r="R383" s="96">
        <f t="shared" si="58"/>
        <v>0</v>
      </c>
      <c r="T383" s="67" t="str">
        <f>IF($B383&lt;&gt;"",INDEX(DataOB[],FirstRow+ROW()-7,MATCH(T$6,DataOB[#Headers],0)),"")</f>
        <v/>
      </c>
      <c r="U383" s="67" t="str">
        <f>IF($B383&lt;&gt;"",INDEX(DataOB[],FirstRow+ROW()-7,MATCH(U$6,DataOB[#Headers],0)),"")</f>
        <v/>
      </c>
      <c r="V383" s="67" t="str">
        <f>IF($B383&lt;&gt;"",INDEX(DataOB[],FirstRow+ROW()-7,MATCH(V$6,DataOB[#Headers],0)),"")</f>
        <v/>
      </c>
      <c r="W383" s="67" t="str">
        <f>IF($B383&lt;&gt;"",INDEX(DataOB[],FirstRow+ROW()-7,MATCH(W$6,DataOB[#Headers],0)),"")</f>
        <v/>
      </c>
      <c r="X383" s="67" t="str">
        <f>IF($B383&lt;&gt;"",INDEX(DataOB[],FirstRow+ROW()-7,MATCH(X$6,DataOB[#Headers],0)),"")</f>
        <v/>
      </c>
      <c r="Y383" s="67" t="str">
        <f>IF($B383&lt;&gt;"",INDEX(DataOB[],FirstRow+ROW()-7,MATCH(Y$6,DataOB[#Headers],0)),"")</f>
        <v/>
      </c>
      <c r="Z383" s="67" t="str">
        <f>IF($B383&lt;&gt;"",INDEX(DataOB[],FirstRow+ROW()-7,MATCH(Z$6,DataOB[#Headers],0)),"")</f>
        <v/>
      </c>
      <c r="AA383" s="67" t="str">
        <f>IF($B383&lt;&gt;"",INDEX(DataOB[],FirstRow+ROW()-7,MATCH(AA$6,DataOB[#Headers],0)),"")</f>
        <v/>
      </c>
      <c r="AB383" s="67" t="str">
        <f>IF($B383&lt;&gt;"",INDEX(DataOB[],FirstRow+ROW()-7,MATCH(AB$6,DataOB[#Headers],0)),"")</f>
        <v/>
      </c>
      <c r="AC383" s="67" t="str">
        <f>IF($B383&lt;&gt;"",INDEX(DataOB[],FirstRow+ROW()-7,MATCH(AC$6,DataOB[#Headers],0)),"")</f>
        <v/>
      </c>
      <c r="AD383" s="67" t="str">
        <f>IF($B383&lt;&gt;"",INDEX(DataOB[],FirstRow+ROW()-7,MATCH(AD$6,DataOB[#Headers],0)),"")</f>
        <v/>
      </c>
      <c r="AE383" s="67" t="str">
        <f>IF($B383&lt;&gt;"",INDEX(DataOB[],FirstRow+ROW()-7,MATCH(AE$6,DataOB[#Headers],0)),"")</f>
        <v/>
      </c>
      <c r="AF383" s="26">
        <f t="shared" si="59"/>
        <v>0</v>
      </c>
      <c r="AG383" s="31">
        <f>SUM($T383:T383)</f>
        <v>0</v>
      </c>
      <c r="AH383" s="31">
        <f>SUM($T383:U383)</f>
        <v>0</v>
      </c>
      <c r="AI383" s="31">
        <f>SUM($T383:V383)</f>
        <v>0</v>
      </c>
      <c r="AJ383" s="31">
        <f>SUM($T383:W383)</f>
        <v>0</v>
      </c>
      <c r="AK383" s="31">
        <f>SUM($T383:X383)</f>
        <v>0</v>
      </c>
      <c r="AL383" s="31">
        <f>SUM($T383:Y383)</f>
        <v>0</v>
      </c>
      <c r="AM383" s="31">
        <f>SUM($T383:Z383)</f>
        <v>0</v>
      </c>
      <c r="AN383" s="31">
        <f>SUM($T383:AA383)</f>
        <v>0</v>
      </c>
      <c r="AO383" s="31">
        <f>SUM($T383:AB383)</f>
        <v>0</v>
      </c>
      <c r="AP383" s="31">
        <f>SUM($T383:AC383)</f>
        <v>0</v>
      </c>
      <c r="AQ383" s="31">
        <f>SUM($T383:AD383)</f>
        <v>0</v>
      </c>
      <c r="AR383" s="31">
        <f>SUM($T383:AE383)</f>
        <v>0</v>
      </c>
      <c r="AS383" s="27">
        <f t="shared" si="60"/>
        <v>0</v>
      </c>
    </row>
    <row r="384" spans="2:45">
      <c r="B384" s="102" t="str">
        <f>IF(ROW()-6&gt;NumCostCenter,"",IF(CostCenter&lt;&gt;"ALL",CostCenter,DATA_LF2!B382))</f>
        <v/>
      </c>
      <c r="C384" s="153" t="str">
        <f>IF($B384&lt;&gt;"",INDEX(DataOB[],FirstRow+ROW()-7,2),"")</f>
        <v/>
      </c>
      <c r="D384" s="66" t="str">
        <f>IF($B384&lt;&gt;"",INDEX(DataOB[],FirstRow+ROW()-7,3),"")</f>
        <v/>
      </c>
      <c r="E384" s="103" t="str">
        <f>IF($B384&lt;&gt;"",INDEX(DataOB[],FirstRow+ROW()-7,6),"")</f>
        <v/>
      </c>
      <c r="F384" s="103" t="str">
        <f>IF($B384&lt;&gt;"",INDEX(DataOB[],FirstRow+ROW()-7,5),"")</f>
        <v/>
      </c>
      <c r="G384" s="58">
        <f>IF($B384&lt;&gt;"",SUMIFS(DataAct_tbl[AMOUNT],DataAct_tbl[BG CODE],Detail!$D384,DataAct_tbl[MONTH],LEFT(MonthName,3),DataAct_tbl[Dept code],$B384),0)</f>
        <v>0</v>
      </c>
      <c r="H384" s="31" t="str">
        <f t="shared" si="52"/>
        <v/>
      </c>
      <c r="I384" s="28" t="str">
        <f t="shared" si="53"/>
        <v/>
      </c>
      <c r="J384" s="32" t="str">
        <f t="shared" si="54"/>
        <v/>
      </c>
      <c r="K384" s="86"/>
      <c r="L384" s="62">
        <f>IF($B384&lt;&gt;"",SUMIFS(DataAct_tbl[AMOUNT],DataAct_tbl[BG CODE],Detail!$D384,DataAct_tbl[Check Range],"=true",DataAct_tbl[Dept code],$B384),0)</f>
        <v>0</v>
      </c>
      <c r="M384" s="63">
        <f>INDEX($AG$7:$AR$1005,ROW()-6,MATCH(MTD,$AG$6:$AR$6,0))</f>
        <v>0</v>
      </c>
      <c r="N384" s="34">
        <f t="shared" si="55"/>
        <v>0</v>
      </c>
      <c r="O384" s="64" t="str">
        <f t="shared" si="56"/>
        <v xml:space="preserve"> </v>
      </c>
      <c r="Q384" s="97">
        <f t="shared" si="57"/>
        <v>0</v>
      </c>
      <c r="R384" s="96">
        <f t="shared" si="58"/>
        <v>0</v>
      </c>
      <c r="T384" s="67" t="str">
        <f>IF($B384&lt;&gt;"",INDEX(DataOB[],FirstRow+ROW()-7,MATCH(T$6,DataOB[#Headers],0)),"")</f>
        <v/>
      </c>
      <c r="U384" s="67" t="str">
        <f>IF($B384&lt;&gt;"",INDEX(DataOB[],FirstRow+ROW()-7,MATCH(U$6,DataOB[#Headers],0)),"")</f>
        <v/>
      </c>
      <c r="V384" s="67" t="str">
        <f>IF($B384&lt;&gt;"",INDEX(DataOB[],FirstRow+ROW()-7,MATCH(V$6,DataOB[#Headers],0)),"")</f>
        <v/>
      </c>
      <c r="W384" s="67" t="str">
        <f>IF($B384&lt;&gt;"",INDEX(DataOB[],FirstRow+ROW()-7,MATCH(W$6,DataOB[#Headers],0)),"")</f>
        <v/>
      </c>
      <c r="X384" s="67" t="str">
        <f>IF($B384&lt;&gt;"",INDEX(DataOB[],FirstRow+ROW()-7,MATCH(X$6,DataOB[#Headers],0)),"")</f>
        <v/>
      </c>
      <c r="Y384" s="67" t="str">
        <f>IF($B384&lt;&gt;"",INDEX(DataOB[],FirstRow+ROW()-7,MATCH(Y$6,DataOB[#Headers],0)),"")</f>
        <v/>
      </c>
      <c r="Z384" s="67" t="str">
        <f>IF($B384&lt;&gt;"",INDEX(DataOB[],FirstRow+ROW()-7,MATCH(Z$6,DataOB[#Headers],0)),"")</f>
        <v/>
      </c>
      <c r="AA384" s="67" t="str">
        <f>IF($B384&lt;&gt;"",INDEX(DataOB[],FirstRow+ROW()-7,MATCH(AA$6,DataOB[#Headers],0)),"")</f>
        <v/>
      </c>
      <c r="AB384" s="67" t="str">
        <f>IF($B384&lt;&gt;"",INDEX(DataOB[],FirstRow+ROW()-7,MATCH(AB$6,DataOB[#Headers],0)),"")</f>
        <v/>
      </c>
      <c r="AC384" s="67" t="str">
        <f>IF($B384&lt;&gt;"",INDEX(DataOB[],FirstRow+ROW()-7,MATCH(AC$6,DataOB[#Headers],0)),"")</f>
        <v/>
      </c>
      <c r="AD384" s="67" t="str">
        <f>IF($B384&lt;&gt;"",INDEX(DataOB[],FirstRow+ROW()-7,MATCH(AD$6,DataOB[#Headers],0)),"")</f>
        <v/>
      </c>
      <c r="AE384" s="67" t="str">
        <f>IF($B384&lt;&gt;"",INDEX(DataOB[],FirstRow+ROW()-7,MATCH(AE$6,DataOB[#Headers],0)),"")</f>
        <v/>
      </c>
      <c r="AF384" s="26">
        <f t="shared" si="59"/>
        <v>0</v>
      </c>
      <c r="AG384" s="31">
        <f>SUM($T384:T384)</f>
        <v>0</v>
      </c>
      <c r="AH384" s="31">
        <f>SUM($T384:U384)</f>
        <v>0</v>
      </c>
      <c r="AI384" s="31">
        <f>SUM($T384:V384)</f>
        <v>0</v>
      </c>
      <c r="AJ384" s="31">
        <f>SUM($T384:W384)</f>
        <v>0</v>
      </c>
      <c r="AK384" s="31">
        <f>SUM($T384:X384)</f>
        <v>0</v>
      </c>
      <c r="AL384" s="31">
        <f>SUM($T384:Y384)</f>
        <v>0</v>
      </c>
      <c r="AM384" s="31">
        <f>SUM($T384:Z384)</f>
        <v>0</v>
      </c>
      <c r="AN384" s="31">
        <f>SUM($T384:AA384)</f>
        <v>0</v>
      </c>
      <c r="AO384" s="31">
        <f>SUM($T384:AB384)</f>
        <v>0</v>
      </c>
      <c r="AP384" s="31">
        <f>SUM($T384:AC384)</f>
        <v>0</v>
      </c>
      <c r="AQ384" s="31">
        <f>SUM($T384:AD384)</f>
        <v>0</v>
      </c>
      <c r="AR384" s="31">
        <f>SUM($T384:AE384)</f>
        <v>0</v>
      </c>
      <c r="AS384" s="27">
        <f t="shared" si="60"/>
        <v>0</v>
      </c>
    </row>
    <row r="385" spans="2:45">
      <c r="B385" s="102" t="str">
        <f>IF(ROW()-6&gt;NumCostCenter,"",IF(CostCenter&lt;&gt;"ALL",CostCenter,DATA_LF2!B383))</f>
        <v/>
      </c>
      <c r="C385" s="153" t="str">
        <f>IF($B385&lt;&gt;"",INDEX(DataOB[],FirstRow+ROW()-7,2),"")</f>
        <v/>
      </c>
      <c r="D385" s="66" t="str">
        <f>IF($B385&lt;&gt;"",INDEX(DataOB[],FirstRow+ROW()-7,3),"")</f>
        <v/>
      </c>
      <c r="E385" s="103" t="str">
        <f>IF($B385&lt;&gt;"",INDEX(DataOB[],FirstRow+ROW()-7,6),"")</f>
        <v/>
      </c>
      <c r="F385" s="103" t="str">
        <f>IF($B385&lt;&gt;"",INDEX(DataOB[],FirstRow+ROW()-7,5),"")</f>
        <v/>
      </c>
      <c r="G385" s="58">
        <f>IF($B385&lt;&gt;"",SUMIFS(DataAct_tbl[AMOUNT],DataAct_tbl[BG CODE],Detail!$D385,DataAct_tbl[MONTH],LEFT(MonthName,3),DataAct_tbl[Dept code],$B385),0)</f>
        <v>0</v>
      </c>
      <c r="H385" s="31" t="str">
        <f t="shared" si="52"/>
        <v/>
      </c>
      <c r="I385" s="28" t="str">
        <f t="shared" si="53"/>
        <v/>
      </c>
      <c r="J385" s="32" t="str">
        <f t="shared" si="54"/>
        <v/>
      </c>
      <c r="K385" s="86"/>
      <c r="L385" s="62">
        <f>IF($B385&lt;&gt;"",SUMIFS(DataAct_tbl[AMOUNT],DataAct_tbl[BG CODE],Detail!$D385,DataAct_tbl[Check Range],"=true",DataAct_tbl[Dept code],$B385),0)</f>
        <v>0</v>
      </c>
      <c r="M385" s="63">
        <f>INDEX($AG$7:$AR$1005,ROW()-6,MATCH(MTD,$AG$6:$AR$6,0))</f>
        <v>0</v>
      </c>
      <c r="N385" s="34">
        <f t="shared" si="55"/>
        <v>0</v>
      </c>
      <c r="O385" s="64" t="str">
        <f t="shared" si="56"/>
        <v xml:space="preserve"> </v>
      </c>
      <c r="Q385" s="97">
        <f t="shared" si="57"/>
        <v>0</v>
      </c>
      <c r="R385" s="96">
        <f t="shared" si="58"/>
        <v>0</v>
      </c>
      <c r="T385" s="67" t="str">
        <f>IF($B385&lt;&gt;"",INDEX(DataOB[],FirstRow+ROW()-7,MATCH(T$6,DataOB[#Headers],0)),"")</f>
        <v/>
      </c>
      <c r="U385" s="67" t="str">
        <f>IF($B385&lt;&gt;"",INDEX(DataOB[],FirstRow+ROW()-7,MATCH(U$6,DataOB[#Headers],0)),"")</f>
        <v/>
      </c>
      <c r="V385" s="67" t="str">
        <f>IF($B385&lt;&gt;"",INDEX(DataOB[],FirstRow+ROW()-7,MATCH(V$6,DataOB[#Headers],0)),"")</f>
        <v/>
      </c>
      <c r="W385" s="67" t="str">
        <f>IF($B385&lt;&gt;"",INDEX(DataOB[],FirstRow+ROW()-7,MATCH(W$6,DataOB[#Headers],0)),"")</f>
        <v/>
      </c>
      <c r="X385" s="67" t="str">
        <f>IF($B385&lt;&gt;"",INDEX(DataOB[],FirstRow+ROW()-7,MATCH(X$6,DataOB[#Headers],0)),"")</f>
        <v/>
      </c>
      <c r="Y385" s="67" t="str">
        <f>IF($B385&lt;&gt;"",INDEX(DataOB[],FirstRow+ROW()-7,MATCH(Y$6,DataOB[#Headers],0)),"")</f>
        <v/>
      </c>
      <c r="Z385" s="67" t="str">
        <f>IF($B385&lt;&gt;"",INDEX(DataOB[],FirstRow+ROW()-7,MATCH(Z$6,DataOB[#Headers],0)),"")</f>
        <v/>
      </c>
      <c r="AA385" s="67" t="str">
        <f>IF($B385&lt;&gt;"",INDEX(DataOB[],FirstRow+ROW()-7,MATCH(AA$6,DataOB[#Headers],0)),"")</f>
        <v/>
      </c>
      <c r="AB385" s="67" t="str">
        <f>IF($B385&lt;&gt;"",INDEX(DataOB[],FirstRow+ROW()-7,MATCH(AB$6,DataOB[#Headers],0)),"")</f>
        <v/>
      </c>
      <c r="AC385" s="67" t="str">
        <f>IF($B385&lt;&gt;"",INDEX(DataOB[],FirstRow+ROW()-7,MATCH(AC$6,DataOB[#Headers],0)),"")</f>
        <v/>
      </c>
      <c r="AD385" s="67" t="str">
        <f>IF($B385&lt;&gt;"",INDEX(DataOB[],FirstRow+ROW()-7,MATCH(AD$6,DataOB[#Headers],0)),"")</f>
        <v/>
      </c>
      <c r="AE385" s="67" t="str">
        <f>IF($B385&lt;&gt;"",INDEX(DataOB[],FirstRow+ROW()-7,MATCH(AE$6,DataOB[#Headers],0)),"")</f>
        <v/>
      </c>
      <c r="AF385" s="26">
        <f t="shared" si="59"/>
        <v>0</v>
      </c>
      <c r="AG385" s="31">
        <f>SUM($T385:T385)</f>
        <v>0</v>
      </c>
      <c r="AH385" s="31">
        <f>SUM($T385:U385)</f>
        <v>0</v>
      </c>
      <c r="AI385" s="31">
        <f>SUM($T385:V385)</f>
        <v>0</v>
      </c>
      <c r="AJ385" s="31">
        <f>SUM($T385:W385)</f>
        <v>0</v>
      </c>
      <c r="AK385" s="31">
        <f>SUM($T385:X385)</f>
        <v>0</v>
      </c>
      <c r="AL385" s="31">
        <f>SUM($T385:Y385)</f>
        <v>0</v>
      </c>
      <c r="AM385" s="31">
        <f>SUM($T385:Z385)</f>
        <v>0</v>
      </c>
      <c r="AN385" s="31">
        <f>SUM($T385:AA385)</f>
        <v>0</v>
      </c>
      <c r="AO385" s="31">
        <f>SUM($T385:AB385)</f>
        <v>0</v>
      </c>
      <c r="AP385" s="31">
        <f>SUM($T385:AC385)</f>
        <v>0</v>
      </c>
      <c r="AQ385" s="31">
        <f>SUM($T385:AD385)</f>
        <v>0</v>
      </c>
      <c r="AR385" s="31">
        <f>SUM($T385:AE385)</f>
        <v>0</v>
      </c>
      <c r="AS385" s="27">
        <f t="shared" si="60"/>
        <v>0</v>
      </c>
    </row>
    <row r="386" spans="2:45">
      <c r="B386" s="102" t="str">
        <f>IF(ROW()-6&gt;NumCostCenter,"",IF(CostCenter&lt;&gt;"ALL",CostCenter,DATA_LF2!B384))</f>
        <v/>
      </c>
      <c r="C386" s="153" t="str">
        <f>IF($B386&lt;&gt;"",INDEX(DataOB[],FirstRow+ROW()-7,2),"")</f>
        <v/>
      </c>
      <c r="D386" s="66" t="str">
        <f>IF($B386&lt;&gt;"",INDEX(DataOB[],FirstRow+ROW()-7,3),"")</f>
        <v/>
      </c>
      <c r="E386" s="103" t="str">
        <f>IF($B386&lt;&gt;"",INDEX(DataOB[],FirstRow+ROW()-7,6),"")</f>
        <v/>
      </c>
      <c r="F386" s="103" t="str">
        <f>IF($B386&lt;&gt;"",INDEX(DataOB[],FirstRow+ROW()-7,5),"")</f>
        <v/>
      </c>
      <c r="G386" s="58">
        <f>IF($B386&lt;&gt;"",SUMIFS(DataAct_tbl[AMOUNT],DataAct_tbl[BG CODE],Detail!$D386,DataAct_tbl[MONTH],LEFT(MonthName,3),DataAct_tbl[Dept code],$B386),0)</f>
        <v>0</v>
      </c>
      <c r="H386" s="31" t="str">
        <f t="shared" si="52"/>
        <v/>
      </c>
      <c r="I386" s="28" t="str">
        <f t="shared" si="53"/>
        <v/>
      </c>
      <c r="J386" s="32" t="str">
        <f t="shared" si="54"/>
        <v/>
      </c>
      <c r="K386" s="86"/>
      <c r="L386" s="62">
        <f>IF($B386&lt;&gt;"",SUMIFS(DataAct_tbl[AMOUNT],DataAct_tbl[BG CODE],Detail!$D386,DataAct_tbl[Check Range],"=true",DataAct_tbl[Dept code],$B386),0)</f>
        <v>0</v>
      </c>
      <c r="M386" s="63">
        <f>INDEX($AG$7:$AR$1005,ROW()-6,MATCH(MTD,$AG$6:$AR$6,0))</f>
        <v>0</v>
      </c>
      <c r="N386" s="34">
        <f t="shared" si="55"/>
        <v>0</v>
      </c>
      <c r="O386" s="64" t="str">
        <f t="shared" si="56"/>
        <v xml:space="preserve"> </v>
      </c>
      <c r="Q386" s="97">
        <f t="shared" si="57"/>
        <v>0</v>
      </c>
      <c r="R386" s="96">
        <f t="shared" si="58"/>
        <v>0</v>
      </c>
      <c r="T386" s="67" t="str">
        <f>IF($B386&lt;&gt;"",INDEX(DataOB[],FirstRow+ROW()-7,MATCH(T$6,DataOB[#Headers],0)),"")</f>
        <v/>
      </c>
      <c r="U386" s="67" t="str">
        <f>IF($B386&lt;&gt;"",INDEX(DataOB[],FirstRow+ROW()-7,MATCH(U$6,DataOB[#Headers],0)),"")</f>
        <v/>
      </c>
      <c r="V386" s="67" t="str">
        <f>IF($B386&lt;&gt;"",INDEX(DataOB[],FirstRow+ROW()-7,MATCH(V$6,DataOB[#Headers],0)),"")</f>
        <v/>
      </c>
      <c r="W386" s="67" t="str">
        <f>IF($B386&lt;&gt;"",INDEX(DataOB[],FirstRow+ROW()-7,MATCH(W$6,DataOB[#Headers],0)),"")</f>
        <v/>
      </c>
      <c r="X386" s="67" t="str">
        <f>IF($B386&lt;&gt;"",INDEX(DataOB[],FirstRow+ROW()-7,MATCH(X$6,DataOB[#Headers],0)),"")</f>
        <v/>
      </c>
      <c r="Y386" s="67" t="str">
        <f>IF($B386&lt;&gt;"",INDEX(DataOB[],FirstRow+ROW()-7,MATCH(Y$6,DataOB[#Headers],0)),"")</f>
        <v/>
      </c>
      <c r="Z386" s="67" t="str">
        <f>IF($B386&lt;&gt;"",INDEX(DataOB[],FirstRow+ROW()-7,MATCH(Z$6,DataOB[#Headers],0)),"")</f>
        <v/>
      </c>
      <c r="AA386" s="67" t="str">
        <f>IF($B386&lt;&gt;"",INDEX(DataOB[],FirstRow+ROW()-7,MATCH(AA$6,DataOB[#Headers],0)),"")</f>
        <v/>
      </c>
      <c r="AB386" s="67" t="str">
        <f>IF($B386&lt;&gt;"",INDEX(DataOB[],FirstRow+ROW()-7,MATCH(AB$6,DataOB[#Headers],0)),"")</f>
        <v/>
      </c>
      <c r="AC386" s="67" t="str">
        <f>IF($B386&lt;&gt;"",INDEX(DataOB[],FirstRow+ROW()-7,MATCH(AC$6,DataOB[#Headers],0)),"")</f>
        <v/>
      </c>
      <c r="AD386" s="67" t="str">
        <f>IF($B386&lt;&gt;"",INDEX(DataOB[],FirstRow+ROW()-7,MATCH(AD$6,DataOB[#Headers],0)),"")</f>
        <v/>
      </c>
      <c r="AE386" s="67" t="str">
        <f>IF($B386&lt;&gt;"",INDEX(DataOB[],FirstRow+ROW()-7,MATCH(AE$6,DataOB[#Headers],0)),"")</f>
        <v/>
      </c>
      <c r="AF386" s="26">
        <f t="shared" si="59"/>
        <v>0</v>
      </c>
      <c r="AG386" s="31">
        <f>SUM($T386:T386)</f>
        <v>0</v>
      </c>
      <c r="AH386" s="31">
        <f>SUM($T386:U386)</f>
        <v>0</v>
      </c>
      <c r="AI386" s="31">
        <f>SUM($T386:V386)</f>
        <v>0</v>
      </c>
      <c r="AJ386" s="31">
        <f>SUM($T386:W386)</f>
        <v>0</v>
      </c>
      <c r="AK386" s="31">
        <f>SUM($T386:X386)</f>
        <v>0</v>
      </c>
      <c r="AL386" s="31">
        <f>SUM($T386:Y386)</f>
        <v>0</v>
      </c>
      <c r="AM386" s="31">
        <f>SUM($T386:Z386)</f>
        <v>0</v>
      </c>
      <c r="AN386" s="31">
        <f>SUM($T386:AA386)</f>
        <v>0</v>
      </c>
      <c r="AO386" s="31">
        <f>SUM($T386:AB386)</f>
        <v>0</v>
      </c>
      <c r="AP386" s="31">
        <f>SUM($T386:AC386)</f>
        <v>0</v>
      </c>
      <c r="AQ386" s="31">
        <f>SUM($T386:AD386)</f>
        <v>0</v>
      </c>
      <c r="AR386" s="31">
        <f>SUM($T386:AE386)</f>
        <v>0</v>
      </c>
      <c r="AS386" s="27">
        <f t="shared" si="60"/>
        <v>0</v>
      </c>
    </row>
    <row r="387" spans="2:45">
      <c r="B387" s="102" t="str">
        <f>IF(ROW()-6&gt;NumCostCenter,"",IF(CostCenter&lt;&gt;"ALL",CostCenter,DATA_LF2!B385))</f>
        <v/>
      </c>
      <c r="C387" s="153" t="str">
        <f>IF($B387&lt;&gt;"",INDEX(DataOB[],FirstRow+ROW()-7,2),"")</f>
        <v/>
      </c>
      <c r="D387" s="66" t="str">
        <f>IF($B387&lt;&gt;"",INDEX(DataOB[],FirstRow+ROW()-7,3),"")</f>
        <v/>
      </c>
      <c r="E387" s="103" t="str">
        <f>IF($B387&lt;&gt;"",INDEX(DataOB[],FirstRow+ROW()-7,6),"")</f>
        <v/>
      </c>
      <c r="F387" s="103" t="str">
        <f>IF($B387&lt;&gt;"",INDEX(DataOB[],FirstRow+ROW()-7,5),"")</f>
        <v/>
      </c>
      <c r="G387" s="58">
        <f>IF($B387&lt;&gt;"",SUMIFS(DataAct_tbl[AMOUNT],DataAct_tbl[BG CODE],Detail!$D387,DataAct_tbl[MONTH],LEFT(MonthName,3),DataAct_tbl[Dept code],$B387),0)</f>
        <v>0</v>
      </c>
      <c r="H387" s="31" t="str">
        <f t="shared" si="52"/>
        <v/>
      </c>
      <c r="I387" s="28" t="str">
        <f t="shared" si="53"/>
        <v/>
      </c>
      <c r="J387" s="32" t="str">
        <f t="shared" si="54"/>
        <v/>
      </c>
      <c r="K387" s="86"/>
      <c r="L387" s="62">
        <f>IF($B387&lt;&gt;"",SUMIFS(DataAct_tbl[AMOUNT],DataAct_tbl[BG CODE],Detail!$D387,DataAct_tbl[Check Range],"=true",DataAct_tbl[Dept code],$B387),0)</f>
        <v>0</v>
      </c>
      <c r="M387" s="63">
        <f>INDEX($AG$7:$AR$1005,ROW()-6,MATCH(MTD,$AG$6:$AR$6,0))</f>
        <v>0</v>
      </c>
      <c r="N387" s="34">
        <f t="shared" si="55"/>
        <v>0</v>
      </c>
      <c r="O387" s="64" t="str">
        <f t="shared" si="56"/>
        <v xml:space="preserve"> </v>
      </c>
      <c r="Q387" s="97">
        <f t="shared" si="57"/>
        <v>0</v>
      </c>
      <c r="R387" s="96">
        <f t="shared" si="58"/>
        <v>0</v>
      </c>
      <c r="T387" s="67" t="str">
        <f>IF($B387&lt;&gt;"",INDEX(DataOB[],FirstRow+ROW()-7,MATCH(T$6,DataOB[#Headers],0)),"")</f>
        <v/>
      </c>
      <c r="U387" s="67" t="str">
        <f>IF($B387&lt;&gt;"",INDEX(DataOB[],FirstRow+ROW()-7,MATCH(U$6,DataOB[#Headers],0)),"")</f>
        <v/>
      </c>
      <c r="V387" s="67" t="str">
        <f>IF($B387&lt;&gt;"",INDEX(DataOB[],FirstRow+ROW()-7,MATCH(V$6,DataOB[#Headers],0)),"")</f>
        <v/>
      </c>
      <c r="W387" s="67" t="str">
        <f>IF($B387&lt;&gt;"",INDEX(DataOB[],FirstRow+ROW()-7,MATCH(W$6,DataOB[#Headers],0)),"")</f>
        <v/>
      </c>
      <c r="X387" s="67" t="str">
        <f>IF($B387&lt;&gt;"",INDEX(DataOB[],FirstRow+ROW()-7,MATCH(X$6,DataOB[#Headers],0)),"")</f>
        <v/>
      </c>
      <c r="Y387" s="67" t="str">
        <f>IF($B387&lt;&gt;"",INDEX(DataOB[],FirstRow+ROW()-7,MATCH(Y$6,DataOB[#Headers],0)),"")</f>
        <v/>
      </c>
      <c r="Z387" s="67" t="str">
        <f>IF($B387&lt;&gt;"",INDEX(DataOB[],FirstRow+ROW()-7,MATCH(Z$6,DataOB[#Headers],0)),"")</f>
        <v/>
      </c>
      <c r="AA387" s="67" t="str">
        <f>IF($B387&lt;&gt;"",INDEX(DataOB[],FirstRow+ROW()-7,MATCH(AA$6,DataOB[#Headers],0)),"")</f>
        <v/>
      </c>
      <c r="AB387" s="67" t="str">
        <f>IF($B387&lt;&gt;"",INDEX(DataOB[],FirstRow+ROW()-7,MATCH(AB$6,DataOB[#Headers],0)),"")</f>
        <v/>
      </c>
      <c r="AC387" s="67" t="str">
        <f>IF($B387&lt;&gt;"",INDEX(DataOB[],FirstRow+ROW()-7,MATCH(AC$6,DataOB[#Headers],0)),"")</f>
        <v/>
      </c>
      <c r="AD387" s="67" t="str">
        <f>IF($B387&lt;&gt;"",INDEX(DataOB[],FirstRow+ROW()-7,MATCH(AD$6,DataOB[#Headers],0)),"")</f>
        <v/>
      </c>
      <c r="AE387" s="67" t="str">
        <f>IF($B387&lt;&gt;"",INDEX(DataOB[],FirstRow+ROW()-7,MATCH(AE$6,DataOB[#Headers],0)),"")</f>
        <v/>
      </c>
      <c r="AF387" s="26">
        <f t="shared" si="59"/>
        <v>0</v>
      </c>
      <c r="AG387" s="31">
        <f>SUM($T387:T387)</f>
        <v>0</v>
      </c>
      <c r="AH387" s="31">
        <f>SUM($T387:U387)</f>
        <v>0</v>
      </c>
      <c r="AI387" s="31">
        <f>SUM($T387:V387)</f>
        <v>0</v>
      </c>
      <c r="AJ387" s="31">
        <f>SUM($T387:W387)</f>
        <v>0</v>
      </c>
      <c r="AK387" s="31">
        <f>SUM($T387:X387)</f>
        <v>0</v>
      </c>
      <c r="AL387" s="31">
        <f>SUM($T387:Y387)</f>
        <v>0</v>
      </c>
      <c r="AM387" s="31">
        <f>SUM($T387:Z387)</f>
        <v>0</v>
      </c>
      <c r="AN387" s="31">
        <f>SUM($T387:AA387)</f>
        <v>0</v>
      </c>
      <c r="AO387" s="31">
        <f>SUM($T387:AB387)</f>
        <v>0</v>
      </c>
      <c r="AP387" s="31">
        <f>SUM($T387:AC387)</f>
        <v>0</v>
      </c>
      <c r="AQ387" s="31">
        <f>SUM($T387:AD387)</f>
        <v>0</v>
      </c>
      <c r="AR387" s="31">
        <f>SUM($T387:AE387)</f>
        <v>0</v>
      </c>
      <c r="AS387" s="27">
        <f t="shared" si="60"/>
        <v>0</v>
      </c>
    </row>
    <row r="388" spans="2:45">
      <c r="B388" s="102" t="str">
        <f>IF(ROW()-6&gt;NumCostCenter,"",IF(CostCenter&lt;&gt;"ALL",CostCenter,DATA_LF2!B386))</f>
        <v/>
      </c>
      <c r="C388" s="153" t="str">
        <f>IF($B388&lt;&gt;"",INDEX(DataOB[],FirstRow+ROW()-7,2),"")</f>
        <v/>
      </c>
      <c r="D388" s="66" t="str">
        <f>IF($B388&lt;&gt;"",INDEX(DataOB[],FirstRow+ROW()-7,3),"")</f>
        <v/>
      </c>
      <c r="E388" s="103" t="str">
        <f>IF($B388&lt;&gt;"",INDEX(DataOB[],FirstRow+ROW()-7,6),"")</f>
        <v/>
      </c>
      <c r="F388" s="103" t="str">
        <f>IF($B388&lt;&gt;"",INDEX(DataOB[],FirstRow+ROW()-7,5),"")</f>
        <v/>
      </c>
      <c r="G388" s="58">
        <f>IF($B388&lt;&gt;"",SUMIFS(DataAct_tbl[AMOUNT],DataAct_tbl[BG CODE],Detail!$D388,DataAct_tbl[MONTH],LEFT(MonthName,3),DataAct_tbl[Dept code],$B388),0)</f>
        <v>0</v>
      </c>
      <c r="H388" s="31" t="str">
        <f t="shared" si="52"/>
        <v/>
      </c>
      <c r="I388" s="28" t="str">
        <f t="shared" si="53"/>
        <v/>
      </c>
      <c r="J388" s="32" t="str">
        <f t="shared" si="54"/>
        <v/>
      </c>
      <c r="K388" s="86"/>
      <c r="L388" s="62">
        <f>IF($B388&lt;&gt;"",SUMIFS(DataAct_tbl[AMOUNT],DataAct_tbl[BG CODE],Detail!$D388,DataAct_tbl[Check Range],"=true",DataAct_tbl[Dept code],$B388),0)</f>
        <v>0</v>
      </c>
      <c r="M388" s="63">
        <f>INDEX($AG$7:$AR$1005,ROW()-6,MATCH(MTD,$AG$6:$AR$6,0))</f>
        <v>0</v>
      </c>
      <c r="N388" s="34">
        <f t="shared" si="55"/>
        <v>0</v>
      </c>
      <c r="O388" s="64" t="str">
        <f t="shared" si="56"/>
        <v xml:space="preserve"> </v>
      </c>
      <c r="Q388" s="97">
        <f t="shared" si="57"/>
        <v>0</v>
      </c>
      <c r="R388" s="96">
        <f t="shared" si="58"/>
        <v>0</v>
      </c>
      <c r="T388" s="67" t="str">
        <f>IF($B388&lt;&gt;"",INDEX(DataOB[],FirstRow+ROW()-7,MATCH(T$6,DataOB[#Headers],0)),"")</f>
        <v/>
      </c>
      <c r="U388" s="67" t="str">
        <f>IF($B388&lt;&gt;"",INDEX(DataOB[],FirstRow+ROW()-7,MATCH(U$6,DataOB[#Headers],0)),"")</f>
        <v/>
      </c>
      <c r="V388" s="67" t="str">
        <f>IF($B388&lt;&gt;"",INDEX(DataOB[],FirstRow+ROW()-7,MATCH(V$6,DataOB[#Headers],0)),"")</f>
        <v/>
      </c>
      <c r="W388" s="67" t="str">
        <f>IF($B388&lt;&gt;"",INDEX(DataOB[],FirstRow+ROW()-7,MATCH(W$6,DataOB[#Headers],0)),"")</f>
        <v/>
      </c>
      <c r="X388" s="67" t="str">
        <f>IF($B388&lt;&gt;"",INDEX(DataOB[],FirstRow+ROW()-7,MATCH(X$6,DataOB[#Headers],0)),"")</f>
        <v/>
      </c>
      <c r="Y388" s="67" t="str">
        <f>IF($B388&lt;&gt;"",INDEX(DataOB[],FirstRow+ROW()-7,MATCH(Y$6,DataOB[#Headers],0)),"")</f>
        <v/>
      </c>
      <c r="Z388" s="67" t="str">
        <f>IF($B388&lt;&gt;"",INDEX(DataOB[],FirstRow+ROW()-7,MATCH(Z$6,DataOB[#Headers],0)),"")</f>
        <v/>
      </c>
      <c r="AA388" s="67" t="str">
        <f>IF($B388&lt;&gt;"",INDEX(DataOB[],FirstRow+ROW()-7,MATCH(AA$6,DataOB[#Headers],0)),"")</f>
        <v/>
      </c>
      <c r="AB388" s="67" t="str">
        <f>IF($B388&lt;&gt;"",INDEX(DataOB[],FirstRow+ROW()-7,MATCH(AB$6,DataOB[#Headers],0)),"")</f>
        <v/>
      </c>
      <c r="AC388" s="67" t="str">
        <f>IF($B388&lt;&gt;"",INDEX(DataOB[],FirstRow+ROW()-7,MATCH(AC$6,DataOB[#Headers],0)),"")</f>
        <v/>
      </c>
      <c r="AD388" s="67" t="str">
        <f>IF($B388&lt;&gt;"",INDEX(DataOB[],FirstRow+ROW()-7,MATCH(AD$6,DataOB[#Headers],0)),"")</f>
        <v/>
      </c>
      <c r="AE388" s="67" t="str">
        <f>IF($B388&lt;&gt;"",INDEX(DataOB[],FirstRow+ROW()-7,MATCH(AE$6,DataOB[#Headers],0)),"")</f>
        <v/>
      </c>
      <c r="AF388" s="26">
        <f t="shared" si="59"/>
        <v>0</v>
      </c>
      <c r="AG388" s="31">
        <f>SUM($T388:T388)</f>
        <v>0</v>
      </c>
      <c r="AH388" s="31">
        <f>SUM($T388:U388)</f>
        <v>0</v>
      </c>
      <c r="AI388" s="31">
        <f>SUM($T388:V388)</f>
        <v>0</v>
      </c>
      <c r="AJ388" s="31">
        <f>SUM($T388:W388)</f>
        <v>0</v>
      </c>
      <c r="AK388" s="31">
        <f>SUM($T388:X388)</f>
        <v>0</v>
      </c>
      <c r="AL388" s="31">
        <f>SUM($T388:Y388)</f>
        <v>0</v>
      </c>
      <c r="AM388" s="31">
        <f>SUM($T388:Z388)</f>
        <v>0</v>
      </c>
      <c r="AN388" s="31">
        <f>SUM($T388:AA388)</f>
        <v>0</v>
      </c>
      <c r="AO388" s="31">
        <f>SUM($T388:AB388)</f>
        <v>0</v>
      </c>
      <c r="AP388" s="31">
        <f>SUM($T388:AC388)</f>
        <v>0</v>
      </c>
      <c r="AQ388" s="31">
        <f>SUM($T388:AD388)</f>
        <v>0</v>
      </c>
      <c r="AR388" s="31">
        <f>SUM($T388:AE388)</f>
        <v>0</v>
      </c>
      <c r="AS388" s="27">
        <f t="shared" si="60"/>
        <v>0</v>
      </c>
    </row>
    <row r="389" spans="2:45">
      <c r="B389" s="102" t="str">
        <f>IF(ROW()-6&gt;NumCostCenter,"",IF(CostCenter&lt;&gt;"ALL",CostCenter,DATA_LF2!B387))</f>
        <v/>
      </c>
      <c r="C389" s="153" t="str">
        <f>IF($B389&lt;&gt;"",INDEX(DataOB[],FirstRow+ROW()-7,2),"")</f>
        <v/>
      </c>
      <c r="D389" s="66" t="str">
        <f>IF($B389&lt;&gt;"",INDEX(DataOB[],FirstRow+ROW()-7,3),"")</f>
        <v/>
      </c>
      <c r="E389" s="103" t="str">
        <f>IF($B389&lt;&gt;"",INDEX(DataOB[],FirstRow+ROW()-7,6),"")</f>
        <v/>
      </c>
      <c r="F389" s="103" t="str">
        <f>IF($B389&lt;&gt;"",INDEX(DataOB[],FirstRow+ROW()-7,5),"")</f>
        <v/>
      </c>
      <c r="G389" s="58">
        <f>IF($B389&lt;&gt;"",SUMIFS(DataAct_tbl[AMOUNT],DataAct_tbl[BG CODE],Detail!$D389,DataAct_tbl[MONTH],LEFT(MonthName,3),DataAct_tbl[Dept code],$B389),0)</f>
        <v>0</v>
      </c>
      <c r="H389" s="31" t="str">
        <f t="shared" si="52"/>
        <v/>
      </c>
      <c r="I389" s="28" t="str">
        <f t="shared" si="53"/>
        <v/>
      </c>
      <c r="J389" s="32" t="str">
        <f t="shared" si="54"/>
        <v/>
      </c>
      <c r="K389" s="86"/>
      <c r="L389" s="62">
        <f>IF($B389&lt;&gt;"",SUMIFS(DataAct_tbl[AMOUNT],DataAct_tbl[BG CODE],Detail!$D389,DataAct_tbl[Check Range],"=true",DataAct_tbl[Dept code],$B389),0)</f>
        <v>0</v>
      </c>
      <c r="M389" s="63">
        <f>INDEX($AG$7:$AR$1005,ROW()-6,MATCH(MTD,$AG$6:$AR$6,0))</f>
        <v>0</v>
      </c>
      <c r="N389" s="34">
        <f t="shared" si="55"/>
        <v>0</v>
      </c>
      <c r="O389" s="64" t="str">
        <f t="shared" si="56"/>
        <v xml:space="preserve"> </v>
      </c>
      <c r="Q389" s="97">
        <f t="shared" si="57"/>
        <v>0</v>
      </c>
      <c r="R389" s="96">
        <f t="shared" si="58"/>
        <v>0</v>
      </c>
      <c r="T389" s="67" t="str">
        <f>IF($B389&lt;&gt;"",INDEX(DataOB[],FirstRow+ROW()-7,MATCH(T$6,DataOB[#Headers],0)),"")</f>
        <v/>
      </c>
      <c r="U389" s="67" t="str">
        <f>IF($B389&lt;&gt;"",INDEX(DataOB[],FirstRow+ROW()-7,MATCH(U$6,DataOB[#Headers],0)),"")</f>
        <v/>
      </c>
      <c r="V389" s="67" t="str">
        <f>IF($B389&lt;&gt;"",INDEX(DataOB[],FirstRow+ROW()-7,MATCH(V$6,DataOB[#Headers],0)),"")</f>
        <v/>
      </c>
      <c r="W389" s="67" t="str">
        <f>IF($B389&lt;&gt;"",INDEX(DataOB[],FirstRow+ROW()-7,MATCH(W$6,DataOB[#Headers],0)),"")</f>
        <v/>
      </c>
      <c r="X389" s="67" t="str">
        <f>IF($B389&lt;&gt;"",INDEX(DataOB[],FirstRow+ROW()-7,MATCH(X$6,DataOB[#Headers],0)),"")</f>
        <v/>
      </c>
      <c r="Y389" s="67" t="str">
        <f>IF($B389&lt;&gt;"",INDEX(DataOB[],FirstRow+ROW()-7,MATCH(Y$6,DataOB[#Headers],0)),"")</f>
        <v/>
      </c>
      <c r="Z389" s="67" t="str">
        <f>IF($B389&lt;&gt;"",INDEX(DataOB[],FirstRow+ROW()-7,MATCH(Z$6,DataOB[#Headers],0)),"")</f>
        <v/>
      </c>
      <c r="AA389" s="67" t="str">
        <f>IF($B389&lt;&gt;"",INDEX(DataOB[],FirstRow+ROW()-7,MATCH(AA$6,DataOB[#Headers],0)),"")</f>
        <v/>
      </c>
      <c r="AB389" s="67" t="str">
        <f>IF($B389&lt;&gt;"",INDEX(DataOB[],FirstRow+ROW()-7,MATCH(AB$6,DataOB[#Headers],0)),"")</f>
        <v/>
      </c>
      <c r="AC389" s="67" t="str">
        <f>IF($B389&lt;&gt;"",INDEX(DataOB[],FirstRow+ROW()-7,MATCH(AC$6,DataOB[#Headers],0)),"")</f>
        <v/>
      </c>
      <c r="AD389" s="67" t="str">
        <f>IF($B389&lt;&gt;"",INDEX(DataOB[],FirstRow+ROW()-7,MATCH(AD$6,DataOB[#Headers],0)),"")</f>
        <v/>
      </c>
      <c r="AE389" s="67" t="str">
        <f>IF($B389&lt;&gt;"",INDEX(DataOB[],FirstRow+ROW()-7,MATCH(AE$6,DataOB[#Headers],0)),"")</f>
        <v/>
      </c>
      <c r="AF389" s="26">
        <f t="shared" si="59"/>
        <v>0</v>
      </c>
      <c r="AG389" s="31">
        <f>SUM($T389:T389)</f>
        <v>0</v>
      </c>
      <c r="AH389" s="31">
        <f>SUM($T389:U389)</f>
        <v>0</v>
      </c>
      <c r="AI389" s="31">
        <f>SUM($T389:V389)</f>
        <v>0</v>
      </c>
      <c r="AJ389" s="31">
        <f>SUM($T389:W389)</f>
        <v>0</v>
      </c>
      <c r="AK389" s="31">
        <f>SUM($T389:X389)</f>
        <v>0</v>
      </c>
      <c r="AL389" s="31">
        <f>SUM($T389:Y389)</f>
        <v>0</v>
      </c>
      <c r="AM389" s="31">
        <f>SUM($T389:Z389)</f>
        <v>0</v>
      </c>
      <c r="AN389" s="31">
        <f>SUM($T389:AA389)</f>
        <v>0</v>
      </c>
      <c r="AO389" s="31">
        <f>SUM($T389:AB389)</f>
        <v>0</v>
      </c>
      <c r="AP389" s="31">
        <f>SUM($T389:AC389)</f>
        <v>0</v>
      </c>
      <c r="AQ389" s="31">
        <f>SUM($T389:AD389)</f>
        <v>0</v>
      </c>
      <c r="AR389" s="31">
        <f>SUM($T389:AE389)</f>
        <v>0</v>
      </c>
      <c r="AS389" s="27">
        <f t="shared" si="60"/>
        <v>0</v>
      </c>
    </row>
    <row r="390" spans="2:45">
      <c r="B390" s="102" t="str">
        <f>IF(ROW()-6&gt;NumCostCenter,"",IF(CostCenter&lt;&gt;"ALL",CostCenter,DATA_LF2!B388))</f>
        <v/>
      </c>
      <c r="C390" s="153" t="str">
        <f>IF($B390&lt;&gt;"",INDEX(DataOB[],FirstRow+ROW()-7,2),"")</f>
        <v/>
      </c>
      <c r="D390" s="66" t="str">
        <f>IF($B390&lt;&gt;"",INDEX(DataOB[],FirstRow+ROW()-7,3),"")</f>
        <v/>
      </c>
      <c r="E390" s="103" t="str">
        <f>IF($B390&lt;&gt;"",INDEX(DataOB[],FirstRow+ROW()-7,6),"")</f>
        <v/>
      </c>
      <c r="F390" s="103" t="str">
        <f>IF($B390&lt;&gt;"",INDEX(DataOB[],FirstRow+ROW()-7,5),"")</f>
        <v/>
      </c>
      <c r="G390" s="58">
        <f>IF($B390&lt;&gt;"",SUMIFS(DataAct_tbl[AMOUNT],DataAct_tbl[BG CODE],Detail!$D390,DataAct_tbl[MONTH],LEFT(MonthName,3),DataAct_tbl[Dept code],$B390),0)</f>
        <v>0</v>
      </c>
      <c r="H390" s="31" t="str">
        <f t="shared" si="52"/>
        <v/>
      </c>
      <c r="I390" s="28" t="str">
        <f t="shared" si="53"/>
        <v/>
      </c>
      <c r="J390" s="32" t="str">
        <f t="shared" si="54"/>
        <v/>
      </c>
      <c r="K390" s="86"/>
      <c r="L390" s="62">
        <f>IF($B390&lt;&gt;"",SUMIFS(DataAct_tbl[AMOUNT],DataAct_tbl[BG CODE],Detail!$D390,DataAct_tbl[Check Range],"=true",DataAct_tbl[Dept code],$B390),0)</f>
        <v>0</v>
      </c>
      <c r="M390" s="63">
        <f>INDEX($AG$7:$AR$1005,ROW()-6,MATCH(MTD,$AG$6:$AR$6,0))</f>
        <v>0</v>
      </c>
      <c r="N390" s="34">
        <f t="shared" si="55"/>
        <v>0</v>
      </c>
      <c r="O390" s="64" t="str">
        <f t="shared" si="56"/>
        <v xml:space="preserve"> </v>
      </c>
      <c r="Q390" s="97">
        <f t="shared" si="57"/>
        <v>0</v>
      </c>
      <c r="R390" s="96">
        <f t="shared" si="58"/>
        <v>0</v>
      </c>
      <c r="T390" s="67" t="str">
        <f>IF($B390&lt;&gt;"",INDEX(DataOB[],FirstRow+ROW()-7,MATCH(T$6,DataOB[#Headers],0)),"")</f>
        <v/>
      </c>
      <c r="U390" s="67" t="str">
        <f>IF($B390&lt;&gt;"",INDEX(DataOB[],FirstRow+ROW()-7,MATCH(U$6,DataOB[#Headers],0)),"")</f>
        <v/>
      </c>
      <c r="V390" s="67" t="str">
        <f>IF($B390&lt;&gt;"",INDEX(DataOB[],FirstRow+ROW()-7,MATCH(V$6,DataOB[#Headers],0)),"")</f>
        <v/>
      </c>
      <c r="W390" s="67" t="str">
        <f>IF($B390&lt;&gt;"",INDEX(DataOB[],FirstRow+ROW()-7,MATCH(W$6,DataOB[#Headers],0)),"")</f>
        <v/>
      </c>
      <c r="X390" s="67" t="str">
        <f>IF($B390&lt;&gt;"",INDEX(DataOB[],FirstRow+ROW()-7,MATCH(X$6,DataOB[#Headers],0)),"")</f>
        <v/>
      </c>
      <c r="Y390" s="67" t="str">
        <f>IF($B390&lt;&gt;"",INDEX(DataOB[],FirstRow+ROW()-7,MATCH(Y$6,DataOB[#Headers],0)),"")</f>
        <v/>
      </c>
      <c r="Z390" s="67" t="str">
        <f>IF($B390&lt;&gt;"",INDEX(DataOB[],FirstRow+ROW()-7,MATCH(Z$6,DataOB[#Headers],0)),"")</f>
        <v/>
      </c>
      <c r="AA390" s="67" t="str">
        <f>IF($B390&lt;&gt;"",INDEX(DataOB[],FirstRow+ROW()-7,MATCH(AA$6,DataOB[#Headers],0)),"")</f>
        <v/>
      </c>
      <c r="AB390" s="67" t="str">
        <f>IF($B390&lt;&gt;"",INDEX(DataOB[],FirstRow+ROW()-7,MATCH(AB$6,DataOB[#Headers],0)),"")</f>
        <v/>
      </c>
      <c r="AC390" s="67" t="str">
        <f>IF($B390&lt;&gt;"",INDEX(DataOB[],FirstRow+ROW()-7,MATCH(AC$6,DataOB[#Headers],0)),"")</f>
        <v/>
      </c>
      <c r="AD390" s="67" t="str">
        <f>IF($B390&lt;&gt;"",INDEX(DataOB[],FirstRow+ROW()-7,MATCH(AD$6,DataOB[#Headers],0)),"")</f>
        <v/>
      </c>
      <c r="AE390" s="67" t="str">
        <f>IF($B390&lt;&gt;"",INDEX(DataOB[],FirstRow+ROW()-7,MATCH(AE$6,DataOB[#Headers],0)),"")</f>
        <v/>
      </c>
      <c r="AF390" s="26">
        <f t="shared" si="59"/>
        <v>0</v>
      </c>
      <c r="AG390" s="31">
        <f>SUM($T390:T390)</f>
        <v>0</v>
      </c>
      <c r="AH390" s="31">
        <f>SUM($T390:U390)</f>
        <v>0</v>
      </c>
      <c r="AI390" s="31">
        <f>SUM($T390:V390)</f>
        <v>0</v>
      </c>
      <c r="AJ390" s="31">
        <f>SUM($T390:W390)</f>
        <v>0</v>
      </c>
      <c r="AK390" s="31">
        <f>SUM($T390:X390)</f>
        <v>0</v>
      </c>
      <c r="AL390" s="31">
        <f>SUM($T390:Y390)</f>
        <v>0</v>
      </c>
      <c r="AM390" s="31">
        <f>SUM($T390:Z390)</f>
        <v>0</v>
      </c>
      <c r="AN390" s="31">
        <f>SUM($T390:AA390)</f>
        <v>0</v>
      </c>
      <c r="AO390" s="31">
        <f>SUM($T390:AB390)</f>
        <v>0</v>
      </c>
      <c r="AP390" s="31">
        <f>SUM($T390:AC390)</f>
        <v>0</v>
      </c>
      <c r="AQ390" s="31">
        <f>SUM($T390:AD390)</f>
        <v>0</v>
      </c>
      <c r="AR390" s="31">
        <f>SUM($T390:AE390)</f>
        <v>0</v>
      </c>
      <c r="AS390" s="27">
        <f t="shared" si="60"/>
        <v>0</v>
      </c>
    </row>
    <row r="391" spans="2:45">
      <c r="B391" s="102" t="str">
        <f>IF(ROW()-6&gt;NumCostCenter,"",IF(CostCenter&lt;&gt;"ALL",CostCenter,DATA_LF2!B389))</f>
        <v/>
      </c>
      <c r="C391" s="153" t="str">
        <f>IF($B391&lt;&gt;"",INDEX(DataOB[],FirstRow+ROW()-7,2),"")</f>
        <v/>
      </c>
      <c r="D391" s="66" t="str">
        <f>IF($B391&lt;&gt;"",INDEX(DataOB[],FirstRow+ROW()-7,3),"")</f>
        <v/>
      </c>
      <c r="E391" s="103" t="str">
        <f>IF($B391&lt;&gt;"",INDEX(DataOB[],FirstRow+ROW()-7,6),"")</f>
        <v/>
      </c>
      <c r="F391" s="103" t="str">
        <f>IF($B391&lt;&gt;"",INDEX(DataOB[],FirstRow+ROW()-7,5),"")</f>
        <v/>
      </c>
      <c r="G391" s="58">
        <f>IF($B391&lt;&gt;"",SUMIFS(DataAct_tbl[AMOUNT],DataAct_tbl[BG CODE],Detail!$D391,DataAct_tbl[MONTH],LEFT(MonthName,3),DataAct_tbl[Dept code],$B391),0)</f>
        <v>0</v>
      </c>
      <c r="H391" s="31" t="str">
        <f t="shared" ref="H391:H454" si="61">INDEX($T$7:$AE$1005,ROW()-6,MATCH(MonthName,$T$6:$AE$6,0))</f>
        <v/>
      </c>
      <c r="I391" s="28" t="str">
        <f t="shared" si="53"/>
        <v/>
      </c>
      <c r="J391" s="32" t="str">
        <f t="shared" si="54"/>
        <v/>
      </c>
      <c r="K391" s="86"/>
      <c r="L391" s="62">
        <f>IF($B391&lt;&gt;"",SUMIFS(DataAct_tbl[AMOUNT],DataAct_tbl[BG CODE],Detail!$D391,DataAct_tbl[Check Range],"=true",DataAct_tbl[Dept code],$B391),0)</f>
        <v>0</v>
      </c>
      <c r="M391" s="63">
        <f>INDEX($AG$7:$AR$1005,ROW()-6,MATCH(MTD,$AG$6:$AR$6,0))</f>
        <v>0</v>
      </c>
      <c r="N391" s="34">
        <f t="shared" si="55"/>
        <v>0</v>
      </c>
      <c r="O391" s="64" t="str">
        <f t="shared" si="56"/>
        <v xml:space="preserve"> </v>
      </c>
      <c r="Q391" s="97">
        <f t="shared" si="57"/>
        <v>0</v>
      </c>
      <c r="R391" s="96">
        <f t="shared" si="58"/>
        <v>0</v>
      </c>
      <c r="T391" s="67" t="str">
        <f>IF($B391&lt;&gt;"",INDEX(DataOB[],FirstRow+ROW()-7,MATCH(T$6,DataOB[#Headers],0)),"")</f>
        <v/>
      </c>
      <c r="U391" s="67" t="str">
        <f>IF($B391&lt;&gt;"",INDEX(DataOB[],FirstRow+ROW()-7,MATCH(U$6,DataOB[#Headers],0)),"")</f>
        <v/>
      </c>
      <c r="V391" s="67" t="str">
        <f>IF($B391&lt;&gt;"",INDEX(DataOB[],FirstRow+ROW()-7,MATCH(V$6,DataOB[#Headers],0)),"")</f>
        <v/>
      </c>
      <c r="W391" s="67" t="str">
        <f>IF($B391&lt;&gt;"",INDEX(DataOB[],FirstRow+ROW()-7,MATCH(W$6,DataOB[#Headers],0)),"")</f>
        <v/>
      </c>
      <c r="X391" s="67" t="str">
        <f>IF($B391&lt;&gt;"",INDEX(DataOB[],FirstRow+ROW()-7,MATCH(X$6,DataOB[#Headers],0)),"")</f>
        <v/>
      </c>
      <c r="Y391" s="67" t="str">
        <f>IF($B391&lt;&gt;"",INDEX(DataOB[],FirstRow+ROW()-7,MATCH(Y$6,DataOB[#Headers],0)),"")</f>
        <v/>
      </c>
      <c r="Z391" s="67" t="str">
        <f>IF($B391&lt;&gt;"",INDEX(DataOB[],FirstRow+ROW()-7,MATCH(Z$6,DataOB[#Headers],0)),"")</f>
        <v/>
      </c>
      <c r="AA391" s="67" t="str">
        <f>IF($B391&lt;&gt;"",INDEX(DataOB[],FirstRow+ROW()-7,MATCH(AA$6,DataOB[#Headers],0)),"")</f>
        <v/>
      </c>
      <c r="AB391" s="67" t="str">
        <f>IF($B391&lt;&gt;"",INDEX(DataOB[],FirstRow+ROW()-7,MATCH(AB$6,DataOB[#Headers],0)),"")</f>
        <v/>
      </c>
      <c r="AC391" s="67" t="str">
        <f>IF($B391&lt;&gt;"",INDEX(DataOB[],FirstRow+ROW()-7,MATCH(AC$6,DataOB[#Headers],0)),"")</f>
        <v/>
      </c>
      <c r="AD391" s="67" t="str">
        <f>IF($B391&lt;&gt;"",INDEX(DataOB[],FirstRow+ROW()-7,MATCH(AD$6,DataOB[#Headers],0)),"")</f>
        <v/>
      </c>
      <c r="AE391" s="67" t="str">
        <f>IF($B391&lt;&gt;"",INDEX(DataOB[],FirstRow+ROW()-7,MATCH(AE$6,DataOB[#Headers],0)),"")</f>
        <v/>
      </c>
      <c r="AF391" s="26">
        <f t="shared" si="59"/>
        <v>0</v>
      </c>
      <c r="AG391" s="31">
        <f>SUM($T391:T391)</f>
        <v>0</v>
      </c>
      <c r="AH391" s="31">
        <f>SUM($T391:U391)</f>
        <v>0</v>
      </c>
      <c r="AI391" s="31">
        <f>SUM($T391:V391)</f>
        <v>0</v>
      </c>
      <c r="AJ391" s="31">
        <f>SUM($T391:W391)</f>
        <v>0</v>
      </c>
      <c r="AK391" s="31">
        <f>SUM($T391:X391)</f>
        <v>0</v>
      </c>
      <c r="AL391" s="31">
        <f>SUM($T391:Y391)</f>
        <v>0</v>
      </c>
      <c r="AM391" s="31">
        <f>SUM($T391:Z391)</f>
        <v>0</v>
      </c>
      <c r="AN391" s="31">
        <f>SUM($T391:AA391)</f>
        <v>0</v>
      </c>
      <c r="AO391" s="31">
        <f>SUM($T391:AB391)</f>
        <v>0</v>
      </c>
      <c r="AP391" s="31">
        <f>SUM($T391:AC391)</f>
        <v>0</v>
      </c>
      <c r="AQ391" s="31">
        <f>SUM($T391:AD391)</f>
        <v>0</v>
      </c>
      <c r="AR391" s="31">
        <f>SUM($T391:AE391)</f>
        <v>0</v>
      </c>
      <c r="AS391" s="27">
        <f t="shared" si="60"/>
        <v>0</v>
      </c>
    </row>
    <row r="392" spans="2:45">
      <c r="B392" s="102" t="str">
        <f>IF(ROW()-6&gt;NumCostCenter,"",IF(CostCenter&lt;&gt;"ALL",CostCenter,DATA_LF2!B390))</f>
        <v/>
      </c>
      <c r="C392" s="153" t="str">
        <f>IF($B392&lt;&gt;"",INDEX(DataOB[],FirstRow+ROW()-7,2),"")</f>
        <v/>
      </c>
      <c r="D392" s="66" t="str">
        <f>IF($B392&lt;&gt;"",INDEX(DataOB[],FirstRow+ROW()-7,3),"")</f>
        <v/>
      </c>
      <c r="E392" s="103" t="str">
        <f>IF($B392&lt;&gt;"",INDEX(DataOB[],FirstRow+ROW()-7,6),"")</f>
        <v/>
      </c>
      <c r="F392" s="103" t="str">
        <f>IF($B392&lt;&gt;"",INDEX(DataOB[],FirstRow+ROW()-7,5),"")</f>
        <v/>
      </c>
      <c r="G392" s="58">
        <f>IF($B392&lt;&gt;"",SUMIFS(DataAct_tbl[AMOUNT],DataAct_tbl[BG CODE],Detail!$D392,DataAct_tbl[MONTH],LEFT(MonthName,3),DataAct_tbl[Dept code],$B392),0)</f>
        <v>0</v>
      </c>
      <c r="H392" s="31" t="str">
        <f t="shared" si="61"/>
        <v/>
      </c>
      <c r="I392" s="28" t="str">
        <f t="shared" ref="I392:I455" si="62">IFERROR(+G392-H392,"")</f>
        <v/>
      </c>
      <c r="J392" s="32" t="str">
        <f t="shared" ref="J392:J455" si="63">IFERROR(+IF(H392&gt;0,G392/H392," "),"")</f>
        <v/>
      </c>
      <c r="K392" s="86"/>
      <c r="L392" s="62">
        <f>IF($B392&lt;&gt;"",SUMIFS(DataAct_tbl[AMOUNT],DataAct_tbl[BG CODE],Detail!$D392,DataAct_tbl[Check Range],"=true",DataAct_tbl[Dept code],$B392),0)</f>
        <v>0</v>
      </c>
      <c r="M392" s="63">
        <f>INDEX($AG$7:$AR$1005,ROW()-6,MATCH(MTD,$AG$6:$AR$6,0))</f>
        <v>0</v>
      </c>
      <c r="N392" s="34">
        <f t="shared" ref="N392:N455" si="64">IFERROR(+L392-M392,"")</f>
        <v>0</v>
      </c>
      <c r="O392" s="64" t="str">
        <f t="shared" ref="O392:O455" si="65">IFERROR(+IF(M392&gt;0,L392/M392," "),"")</f>
        <v xml:space="preserve"> </v>
      </c>
      <c r="Q392" s="97">
        <f t="shared" ref="Q392:Q455" si="66">AF392</f>
        <v>0</v>
      </c>
      <c r="R392" s="96">
        <f t="shared" ref="R392:R455" si="67">Q392-L392</f>
        <v>0</v>
      </c>
      <c r="T392" s="67" t="str">
        <f>IF($B392&lt;&gt;"",INDEX(DataOB[],FirstRow+ROW()-7,MATCH(T$6,DataOB[#Headers],0)),"")</f>
        <v/>
      </c>
      <c r="U392" s="67" t="str">
        <f>IF($B392&lt;&gt;"",INDEX(DataOB[],FirstRow+ROW()-7,MATCH(U$6,DataOB[#Headers],0)),"")</f>
        <v/>
      </c>
      <c r="V392" s="67" t="str">
        <f>IF($B392&lt;&gt;"",INDEX(DataOB[],FirstRow+ROW()-7,MATCH(V$6,DataOB[#Headers],0)),"")</f>
        <v/>
      </c>
      <c r="W392" s="67" t="str">
        <f>IF($B392&lt;&gt;"",INDEX(DataOB[],FirstRow+ROW()-7,MATCH(W$6,DataOB[#Headers],0)),"")</f>
        <v/>
      </c>
      <c r="X392" s="67" t="str">
        <f>IF($B392&lt;&gt;"",INDEX(DataOB[],FirstRow+ROW()-7,MATCH(X$6,DataOB[#Headers],0)),"")</f>
        <v/>
      </c>
      <c r="Y392" s="67" t="str">
        <f>IF($B392&lt;&gt;"",INDEX(DataOB[],FirstRow+ROW()-7,MATCH(Y$6,DataOB[#Headers],0)),"")</f>
        <v/>
      </c>
      <c r="Z392" s="67" t="str">
        <f>IF($B392&lt;&gt;"",INDEX(DataOB[],FirstRow+ROW()-7,MATCH(Z$6,DataOB[#Headers],0)),"")</f>
        <v/>
      </c>
      <c r="AA392" s="67" t="str">
        <f>IF($B392&lt;&gt;"",INDEX(DataOB[],FirstRow+ROW()-7,MATCH(AA$6,DataOB[#Headers],0)),"")</f>
        <v/>
      </c>
      <c r="AB392" s="67" t="str">
        <f>IF($B392&lt;&gt;"",INDEX(DataOB[],FirstRow+ROW()-7,MATCH(AB$6,DataOB[#Headers],0)),"")</f>
        <v/>
      </c>
      <c r="AC392" s="67" t="str">
        <f>IF($B392&lt;&gt;"",INDEX(DataOB[],FirstRow+ROW()-7,MATCH(AC$6,DataOB[#Headers],0)),"")</f>
        <v/>
      </c>
      <c r="AD392" s="67" t="str">
        <f>IF($B392&lt;&gt;"",INDEX(DataOB[],FirstRow+ROW()-7,MATCH(AD$6,DataOB[#Headers],0)),"")</f>
        <v/>
      </c>
      <c r="AE392" s="67" t="str">
        <f>IF($B392&lt;&gt;"",INDEX(DataOB[],FirstRow+ROW()-7,MATCH(AE$6,DataOB[#Headers],0)),"")</f>
        <v/>
      </c>
      <c r="AF392" s="26">
        <f t="shared" ref="AF392:AF455" si="68">+SUM(T392:AE392)</f>
        <v>0</v>
      </c>
      <c r="AG392" s="31">
        <f>SUM($T392:T392)</f>
        <v>0</v>
      </c>
      <c r="AH392" s="31">
        <f>SUM($T392:U392)</f>
        <v>0</v>
      </c>
      <c r="AI392" s="31">
        <f>SUM($T392:V392)</f>
        <v>0</v>
      </c>
      <c r="AJ392" s="31">
        <f>SUM($T392:W392)</f>
        <v>0</v>
      </c>
      <c r="AK392" s="31">
        <f>SUM($T392:X392)</f>
        <v>0</v>
      </c>
      <c r="AL392" s="31">
        <f>SUM($T392:Y392)</f>
        <v>0</v>
      </c>
      <c r="AM392" s="31">
        <f>SUM($T392:Z392)</f>
        <v>0</v>
      </c>
      <c r="AN392" s="31">
        <f>SUM($T392:AA392)</f>
        <v>0</v>
      </c>
      <c r="AO392" s="31">
        <f>SUM($T392:AB392)</f>
        <v>0</v>
      </c>
      <c r="AP392" s="31">
        <f>SUM($T392:AC392)</f>
        <v>0</v>
      </c>
      <c r="AQ392" s="31">
        <f>SUM($T392:AD392)</f>
        <v>0</v>
      </c>
      <c r="AR392" s="31">
        <f>SUM($T392:AE392)</f>
        <v>0</v>
      </c>
      <c r="AS392" s="27">
        <f t="shared" ref="AS392:AS455" si="69">AF392-AR392</f>
        <v>0</v>
      </c>
    </row>
    <row r="393" spans="2:45">
      <c r="B393" s="102" t="str">
        <f>IF(ROW()-6&gt;NumCostCenter,"",IF(CostCenter&lt;&gt;"ALL",CostCenter,DATA_LF2!B391))</f>
        <v/>
      </c>
      <c r="C393" s="153" t="str">
        <f>IF($B393&lt;&gt;"",INDEX(DataOB[],FirstRow+ROW()-7,2),"")</f>
        <v/>
      </c>
      <c r="D393" s="66" t="str">
        <f>IF($B393&lt;&gt;"",INDEX(DataOB[],FirstRow+ROW()-7,3),"")</f>
        <v/>
      </c>
      <c r="E393" s="103" t="str">
        <f>IF($B393&lt;&gt;"",INDEX(DataOB[],FirstRow+ROW()-7,6),"")</f>
        <v/>
      </c>
      <c r="F393" s="103" t="str">
        <f>IF($B393&lt;&gt;"",INDEX(DataOB[],FirstRow+ROW()-7,5),"")</f>
        <v/>
      </c>
      <c r="G393" s="58">
        <f>IF($B393&lt;&gt;"",SUMIFS(DataAct_tbl[AMOUNT],DataAct_tbl[BG CODE],Detail!$D393,DataAct_tbl[MONTH],LEFT(MonthName,3),DataAct_tbl[Dept code],$B393),0)</f>
        <v>0</v>
      </c>
      <c r="H393" s="31" t="str">
        <f t="shared" si="61"/>
        <v/>
      </c>
      <c r="I393" s="28" t="str">
        <f t="shared" si="62"/>
        <v/>
      </c>
      <c r="J393" s="32" t="str">
        <f t="shared" si="63"/>
        <v/>
      </c>
      <c r="K393" s="86"/>
      <c r="L393" s="62">
        <f>IF($B393&lt;&gt;"",SUMIFS(DataAct_tbl[AMOUNT],DataAct_tbl[BG CODE],Detail!$D393,DataAct_tbl[Check Range],"=true",DataAct_tbl[Dept code],$B393),0)</f>
        <v>0</v>
      </c>
      <c r="M393" s="63">
        <f>INDEX($AG$7:$AR$1005,ROW()-6,MATCH(MTD,$AG$6:$AR$6,0))</f>
        <v>0</v>
      </c>
      <c r="N393" s="34">
        <f t="shared" si="64"/>
        <v>0</v>
      </c>
      <c r="O393" s="64" t="str">
        <f t="shared" si="65"/>
        <v xml:space="preserve"> </v>
      </c>
      <c r="Q393" s="97">
        <f t="shared" si="66"/>
        <v>0</v>
      </c>
      <c r="R393" s="96">
        <f t="shared" si="67"/>
        <v>0</v>
      </c>
      <c r="T393" s="67" t="str">
        <f>IF($B393&lt;&gt;"",INDEX(DataOB[],FirstRow+ROW()-7,MATCH(T$6,DataOB[#Headers],0)),"")</f>
        <v/>
      </c>
      <c r="U393" s="67" t="str">
        <f>IF($B393&lt;&gt;"",INDEX(DataOB[],FirstRow+ROW()-7,MATCH(U$6,DataOB[#Headers],0)),"")</f>
        <v/>
      </c>
      <c r="V393" s="67" t="str">
        <f>IF($B393&lt;&gt;"",INDEX(DataOB[],FirstRow+ROW()-7,MATCH(V$6,DataOB[#Headers],0)),"")</f>
        <v/>
      </c>
      <c r="W393" s="67" t="str">
        <f>IF($B393&lt;&gt;"",INDEX(DataOB[],FirstRow+ROW()-7,MATCH(W$6,DataOB[#Headers],0)),"")</f>
        <v/>
      </c>
      <c r="X393" s="67" t="str">
        <f>IF($B393&lt;&gt;"",INDEX(DataOB[],FirstRow+ROW()-7,MATCH(X$6,DataOB[#Headers],0)),"")</f>
        <v/>
      </c>
      <c r="Y393" s="67" t="str">
        <f>IF($B393&lt;&gt;"",INDEX(DataOB[],FirstRow+ROW()-7,MATCH(Y$6,DataOB[#Headers],0)),"")</f>
        <v/>
      </c>
      <c r="Z393" s="67" t="str">
        <f>IF($B393&lt;&gt;"",INDEX(DataOB[],FirstRow+ROW()-7,MATCH(Z$6,DataOB[#Headers],0)),"")</f>
        <v/>
      </c>
      <c r="AA393" s="67" t="str">
        <f>IF($B393&lt;&gt;"",INDEX(DataOB[],FirstRow+ROW()-7,MATCH(AA$6,DataOB[#Headers],0)),"")</f>
        <v/>
      </c>
      <c r="AB393" s="67" t="str">
        <f>IF($B393&lt;&gt;"",INDEX(DataOB[],FirstRow+ROW()-7,MATCH(AB$6,DataOB[#Headers],0)),"")</f>
        <v/>
      </c>
      <c r="AC393" s="67" t="str">
        <f>IF($B393&lt;&gt;"",INDEX(DataOB[],FirstRow+ROW()-7,MATCH(AC$6,DataOB[#Headers],0)),"")</f>
        <v/>
      </c>
      <c r="AD393" s="67" t="str">
        <f>IF($B393&lt;&gt;"",INDEX(DataOB[],FirstRow+ROW()-7,MATCH(AD$6,DataOB[#Headers],0)),"")</f>
        <v/>
      </c>
      <c r="AE393" s="67" t="str">
        <f>IF($B393&lt;&gt;"",INDEX(DataOB[],FirstRow+ROW()-7,MATCH(AE$6,DataOB[#Headers],0)),"")</f>
        <v/>
      </c>
      <c r="AF393" s="26">
        <f t="shared" si="68"/>
        <v>0</v>
      </c>
      <c r="AG393" s="31">
        <f>SUM($T393:T393)</f>
        <v>0</v>
      </c>
      <c r="AH393" s="31">
        <f>SUM($T393:U393)</f>
        <v>0</v>
      </c>
      <c r="AI393" s="31">
        <f>SUM($T393:V393)</f>
        <v>0</v>
      </c>
      <c r="AJ393" s="31">
        <f>SUM($T393:W393)</f>
        <v>0</v>
      </c>
      <c r="AK393" s="31">
        <f>SUM($T393:X393)</f>
        <v>0</v>
      </c>
      <c r="AL393" s="31">
        <f>SUM($T393:Y393)</f>
        <v>0</v>
      </c>
      <c r="AM393" s="31">
        <f>SUM($T393:Z393)</f>
        <v>0</v>
      </c>
      <c r="AN393" s="31">
        <f>SUM($T393:AA393)</f>
        <v>0</v>
      </c>
      <c r="AO393" s="31">
        <f>SUM($T393:AB393)</f>
        <v>0</v>
      </c>
      <c r="AP393" s="31">
        <f>SUM($T393:AC393)</f>
        <v>0</v>
      </c>
      <c r="AQ393" s="31">
        <f>SUM($T393:AD393)</f>
        <v>0</v>
      </c>
      <c r="AR393" s="31">
        <f>SUM($T393:AE393)</f>
        <v>0</v>
      </c>
      <c r="AS393" s="27">
        <f t="shared" si="69"/>
        <v>0</v>
      </c>
    </row>
    <row r="394" spans="2:45">
      <c r="B394" s="102" t="str">
        <f>IF(ROW()-6&gt;NumCostCenter,"",IF(CostCenter&lt;&gt;"ALL",CostCenter,DATA_LF2!B392))</f>
        <v/>
      </c>
      <c r="C394" s="153" t="str">
        <f>IF($B394&lt;&gt;"",INDEX(DataOB[],FirstRow+ROW()-7,2),"")</f>
        <v/>
      </c>
      <c r="D394" s="66" t="str">
        <f>IF($B394&lt;&gt;"",INDEX(DataOB[],FirstRow+ROW()-7,3),"")</f>
        <v/>
      </c>
      <c r="E394" s="103" t="str">
        <f>IF($B394&lt;&gt;"",INDEX(DataOB[],FirstRow+ROW()-7,6),"")</f>
        <v/>
      </c>
      <c r="F394" s="103" t="str">
        <f>IF($B394&lt;&gt;"",INDEX(DataOB[],FirstRow+ROW()-7,5),"")</f>
        <v/>
      </c>
      <c r="G394" s="58">
        <f>IF($B394&lt;&gt;"",SUMIFS(DataAct_tbl[AMOUNT],DataAct_tbl[BG CODE],Detail!$D394,DataAct_tbl[MONTH],LEFT(MonthName,3),DataAct_tbl[Dept code],$B394),0)</f>
        <v>0</v>
      </c>
      <c r="H394" s="31" t="str">
        <f t="shared" si="61"/>
        <v/>
      </c>
      <c r="I394" s="28" t="str">
        <f t="shared" si="62"/>
        <v/>
      </c>
      <c r="J394" s="32" t="str">
        <f t="shared" si="63"/>
        <v/>
      </c>
      <c r="K394" s="86"/>
      <c r="L394" s="62">
        <f>IF($B394&lt;&gt;"",SUMIFS(DataAct_tbl[AMOUNT],DataAct_tbl[BG CODE],Detail!$D394,DataAct_tbl[Check Range],"=true",DataAct_tbl[Dept code],$B394),0)</f>
        <v>0</v>
      </c>
      <c r="M394" s="63">
        <f>INDEX($AG$7:$AR$1005,ROW()-6,MATCH(MTD,$AG$6:$AR$6,0))</f>
        <v>0</v>
      </c>
      <c r="N394" s="34">
        <f t="shared" si="64"/>
        <v>0</v>
      </c>
      <c r="O394" s="64" t="str">
        <f t="shared" si="65"/>
        <v xml:space="preserve"> </v>
      </c>
      <c r="Q394" s="97">
        <f t="shared" si="66"/>
        <v>0</v>
      </c>
      <c r="R394" s="96">
        <f t="shared" si="67"/>
        <v>0</v>
      </c>
      <c r="T394" s="67" t="str">
        <f>IF($B394&lt;&gt;"",INDEX(DataOB[],FirstRow+ROW()-7,MATCH(T$6,DataOB[#Headers],0)),"")</f>
        <v/>
      </c>
      <c r="U394" s="67" t="str">
        <f>IF($B394&lt;&gt;"",INDEX(DataOB[],FirstRow+ROW()-7,MATCH(U$6,DataOB[#Headers],0)),"")</f>
        <v/>
      </c>
      <c r="V394" s="67" t="str">
        <f>IF($B394&lt;&gt;"",INDEX(DataOB[],FirstRow+ROW()-7,MATCH(V$6,DataOB[#Headers],0)),"")</f>
        <v/>
      </c>
      <c r="W394" s="67" t="str">
        <f>IF($B394&lt;&gt;"",INDEX(DataOB[],FirstRow+ROW()-7,MATCH(W$6,DataOB[#Headers],0)),"")</f>
        <v/>
      </c>
      <c r="X394" s="67" t="str">
        <f>IF($B394&lt;&gt;"",INDEX(DataOB[],FirstRow+ROW()-7,MATCH(X$6,DataOB[#Headers],0)),"")</f>
        <v/>
      </c>
      <c r="Y394" s="67" t="str">
        <f>IF($B394&lt;&gt;"",INDEX(DataOB[],FirstRow+ROW()-7,MATCH(Y$6,DataOB[#Headers],0)),"")</f>
        <v/>
      </c>
      <c r="Z394" s="67" t="str">
        <f>IF($B394&lt;&gt;"",INDEX(DataOB[],FirstRow+ROW()-7,MATCH(Z$6,DataOB[#Headers],0)),"")</f>
        <v/>
      </c>
      <c r="AA394" s="67" t="str">
        <f>IF($B394&lt;&gt;"",INDEX(DataOB[],FirstRow+ROW()-7,MATCH(AA$6,DataOB[#Headers],0)),"")</f>
        <v/>
      </c>
      <c r="AB394" s="67" t="str">
        <f>IF($B394&lt;&gt;"",INDEX(DataOB[],FirstRow+ROW()-7,MATCH(AB$6,DataOB[#Headers],0)),"")</f>
        <v/>
      </c>
      <c r="AC394" s="67" t="str">
        <f>IF($B394&lt;&gt;"",INDEX(DataOB[],FirstRow+ROW()-7,MATCH(AC$6,DataOB[#Headers],0)),"")</f>
        <v/>
      </c>
      <c r="AD394" s="67" t="str">
        <f>IF($B394&lt;&gt;"",INDEX(DataOB[],FirstRow+ROW()-7,MATCH(AD$6,DataOB[#Headers],0)),"")</f>
        <v/>
      </c>
      <c r="AE394" s="67" t="str">
        <f>IF($B394&lt;&gt;"",INDEX(DataOB[],FirstRow+ROW()-7,MATCH(AE$6,DataOB[#Headers],0)),"")</f>
        <v/>
      </c>
      <c r="AF394" s="26">
        <f t="shared" si="68"/>
        <v>0</v>
      </c>
      <c r="AG394" s="31">
        <f>SUM($T394:T394)</f>
        <v>0</v>
      </c>
      <c r="AH394" s="31">
        <f>SUM($T394:U394)</f>
        <v>0</v>
      </c>
      <c r="AI394" s="31">
        <f>SUM($T394:V394)</f>
        <v>0</v>
      </c>
      <c r="AJ394" s="31">
        <f>SUM($T394:W394)</f>
        <v>0</v>
      </c>
      <c r="AK394" s="31">
        <f>SUM($T394:X394)</f>
        <v>0</v>
      </c>
      <c r="AL394" s="31">
        <f>SUM($T394:Y394)</f>
        <v>0</v>
      </c>
      <c r="AM394" s="31">
        <f>SUM($T394:Z394)</f>
        <v>0</v>
      </c>
      <c r="AN394" s="31">
        <f>SUM($T394:AA394)</f>
        <v>0</v>
      </c>
      <c r="AO394" s="31">
        <f>SUM($T394:AB394)</f>
        <v>0</v>
      </c>
      <c r="AP394" s="31">
        <f>SUM($T394:AC394)</f>
        <v>0</v>
      </c>
      <c r="AQ394" s="31">
        <f>SUM($T394:AD394)</f>
        <v>0</v>
      </c>
      <c r="AR394" s="31">
        <f>SUM($T394:AE394)</f>
        <v>0</v>
      </c>
      <c r="AS394" s="27">
        <f t="shared" si="69"/>
        <v>0</v>
      </c>
    </row>
    <row r="395" spans="2:45">
      <c r="B395" s="102" t="str">
        <f>IF(ROW()-6&gt;NumCostCenter,"",IF(CostCenter&lt;&gt;"ALL",CostCenter,DATA_LF2!B393))</f>
        <v/>
      </c>
      <c r="C395" s="153" t="str">
        <f>IF($B395&lt;&gt;"",INDEX(DataOB[],FirstRow+ROW()-7,2),"")</f>
        <v/>
      </c>
      <c r="D395" s="66" t="str">
        <f>IF($B395&lt;&gt;"",INDEX(DataOB[],FirstRow+ROW()-7,3),"")</f>
        <v/>
      </c>
      <c r="E395" s="103" t="str">
        <f>IF($B395&lt;&gt;"",INDEX(DataOB[],FirstRow+ROW()-7,6),"")</f>
        <v/>
      </c>
      <c r="F395" s="103" t="str">
        <f>IF($B395&lt;&gt;"",INDEX(DataOB[],FirstRow+ROW()-7,5),"")</f>
        <v/>
      </c>
      <c r="G395" s="58">
        <f>IF($B395&lt;&gt;"",SUMIFS(DataAct_tbl[AMOUNT],DataAct_tbl[BG CODE],Detail!$D395,DataAct_tbl[MONTH],LEFT(MonthName,3),DataAct_tbl[Dept code],$B395),0)</f>
        <v>0</v>
      </c>
      <c r="H395" s="31" t="str">
        <f t="shared" si="61"/>
        <v/>
      </c>
      <c r="I395" s="28" t="str">
        <f t="shared" si="62"/>
        <v/>
      </c>
      <c r="J395" s="32" t="str">
        <f t="shared" si="63"/>
        <v/>
      </c>
      <c r="K395" s="86"/>
      <c r="L395" s="62">
        <f>IF($B395&lt;&gt;"",SUMIFS(DataAct_tbl[AMOUNT],DataAct_tbl[BG CODE],Detail!$D395,DataAct_tbl[Check Range],"=true",DataAct_tbl[Dept code],$B395),0)</f>
        <v>0</v>
      </c>
      <c r="M395" s="63">
        <f>INDEX($AG$7:$AR$1005,ROW()-6,MATCH(MTD,$AG$6:$AR$6,0))</f>
        <v>0</v>
      </c>
      <c r="N395" s="34">
        <f t="shared" si="64"/>
        <v>0</v>
      </c>
      <c r="O395" s="64" t="str">
        <f t="shared" si="65"/>
        <v xml:space="preserve"> </v>
      </c>
      <c r="Q395" s="97">
        <f t="shared" si="66"/>
        <v>0</v>
      </c>
      <c r="R395" s="96">
        <f t="shared" si="67"/>
        <v>0</v>
      </c>
      <c r="T395" s="67" t="str">
        <f>IF($B395&lt;&gt;"",INDEX(DataOB[],FirstRow+ROW()-7,MATCH(T$6,DataOB[#Headers],0)),"")</f>
        <v/>
      </c>
      <c r="U395" s="67" t="str">
        <f>IF($B395&lt;&gt;"",INDEX(DataOB[],FirstRow+ROW()-7,MATCH(U$6,DataOB[#Headers],0)),"")</f>
        <v/>
      </c>
      <c r="V395" s="67" t="str">
        <f>IF($B395&lt;&gt;"",INDEX(DataOB[],FirstRow+ROW()-7,MATCH(V$6,DataOB[#Headers],0)),"")</f>
        <v/>
      </c>
      <c r="W395" s="67" t="str">
        <f>IF($B395&lt;&gt;"",INDEX(DataOB[],FirstRow+ROW()-7,MATCH(W$6,DataOB[#Headers],0)),"")</f>
        <v/>
      </c>
      <c r="X395" s="67" t="str">
        <f>IF($B395&lt;&gt;"",INDEX(DataOB[],FirstRow+ROW()-7,MATCH(X$6,DataOB[#Headers],0)),"")</f>
        <v/>
      </c>
      <c r="Y395" s="67" t="str">
        <f>IF($B395&lt;&gt;"",INDEX(DataOB[],FirstRow+ROW()-7,MATCH(Y$6,DataOB[#Headers],0)),"")</f>
        <v/>
      </c>
      <c r="Z395" s="67" t="str">
        <f>IF($B395&lt;&gt;"",INDEX(DataOB[],FirstRow+ROW()-7,MATCH(Z$6,DataOB[#Headers],0)),"")</f>
        <v/>
      </c>
      <c r="AA395" s="67" t="str">
        <f>IF($B395&lt;&gt;"",INDEX(DataOB[],FirstRow+ROW()-7,MATCH(AA$6,DataOB[#Headers],0)),"")</f>
        <v/>
      </c>
      <c r="AB395" s="67" t="str">
        <f>IF($B395&lt;&gt;"",INDEX(DataOB[],FirstRow+ROW()-7,MATCH(AB$6,DataOB[#Headers],0)),"")</f>
        <v/>
      </c>
      <c r="AC395" s="67" t="str">
        <f>IF($B395&lt;&gt;"",INDEX(DataOB[],FirstRow+ROW()-7,MATCH(AC$6,DataOB[#Headers],0)),"")</f>
        <v/>
      </c>
      <c r="AD395" s="67" t="str">
        <f>IF($B395&lt;&gt;"",INDEX(DataOB[],FirstRow+ROW()-7,MATCH(AD$6,DataOB[#Headers],0)),"")</f>
        <v/>
      </c>
      <c r="AE395" s="67" t="str">
        <f>IF($B395&lt;&gt;"",INDEX(DataOB[],FirstRow+ROW()-7,MATCH(AE$6,DataOB[#Headers],0)),"")</f>
        <v/>
      </c>
      <c r="AF395" s="26">
        <f t="shared" si="68"/>
        <v>0</v>
      </c>
      <c r="AG395" s="31">
        <f>SUM($T395:T395)</f>
        <v>0</v>
      </c>
      <c r="AH395" s="31">
        <f>SUM($T395:U395)</f>
        <v>0</v>
      </c>
      <c r="AI395" s="31">
        <f>SUM($T395:V395)</f>
        <v>0</v>
      </c>
      <c r="AJ395" s="31">
        <f>SUM($T395:W395)</f>
        <v>0</v>
      </c>
      <c r="AK395" s="31">
        <f>SUM($T395:X395)</f>
        <v>0</v>
      </c>
      <c r="AL395" s="31">
        <f>SUM($T395:Y395)</f>
        <v>0</v>
      </c>
      <c r="AM395" s="31">
        <f>SUM($T395:Z395)</f>
        <v>0</v>
      </c>
      <c r="AN395" s="31">
        <f>SUM($T395:AA395)</f>
        <v>0</v>
      </c>
      <c r="AO395" s="31">
        <f>SUM($T395:AB395)</f>
        <v>0</v>
      </c>
      <c r="AP395" s="31">
        <f>SUM($T395:AC395)</f>
        <v>0</v>
      </c>
      <c r="AQ395" s="31">
        <f>SUM($T395:AD395)</f>
        <v>0</v>
      </c>
      <c r="AR395" s="31">
        <f>SUM($T395:AE395)</f>
        <v>0</v>
      </c>
      <c r="AS395" s="27">
        <f t="shared" si="69"/>
        <v>0</v>
      </c>
    </row>
    <row r="396" spans="2:45">
      <c r="B396" s="102" t="str">
        <f>IF(ROW()-6&gt;NumCostCenter,"",IF(CostCenter&lt;&gt;"ALL",CostCenter,DATA_LF2!B394))</f>
        <v/>
      </c>
      <c r="C396" s="153" t="str">
        <f>IF($B396&lt;&gt;"",INDEX(DataOB[],FirstRow+ROW()-7,2),"")</f>
        <v/>
      </c>
      <c r="D396" s="66" t="str">
        <f>IF($B396&lt;&gt;"",INDEX(DataOB[],FirstRow+ROW()-7,3),"")</f>
        <v/>
      </c>
      <c r="E396" s="103" t="str">
        <f>IF($B396&lt;&gt;"",INDEX(DataOB[],FirstRow+ROW()-7,6),"")</f>
        <v/>
      </c>
      <c r="F396" s="103" t="str">
        <f>IF($B396&lt;&gt;"",INDEX(DataOB[],FirstRow+ROW()-7,5),"")</f>
        <v/>
      </c>
      <c r="G396" s="58">
        <f>IF($B396&lt;&gt;"",SUMIFS(DataAct_tbl[AMOUNT],DataAct_tbl[BG CODE],Detail!$D396,DataAct_tbl[MONTH],LEFT(MonthName,3),DataAct_tbl[Dept code],$B396),0)</f>
        <v>0</v>
      </c>
      <c r="H396" s="31" t="str">
        <f t="shared" si="61"/>
        <v/>
      </c>
      <c r="I396" s="28" t="str">
        <f t="shared" si="62"/>
        <v/>
      </c>
      <c r="J396" s="32" t="str">
        <f t="shared" si="63"/>
        <v/>
      </c>
      <c r="K396" s="86"/>
      <c r="L396" s="62">
        <f>IF($B396&lt;&gt;"",SUMIFS(DataAct_tbl[AMOUNT],DataAct_tbl[BG CODE],Detail!$D396,DataAct_tbl[Check Range],"=true",DataAct_tbl[Dept code],$B396),0)</f>
        <v>0</v>
      </c>
      <c r="M396" s="63">
        <f>INDEX($AG$7:$AR$1005,ROW()-6,MATCH(MTD,$AG$6:$AR$6,0))</f>
        <v>0</v>
      </c>
      <c r="N396" s="34">
        <f t="shared" si="64"/>
        <v>0</v>
      </c>
      <c r="O396" s="64" t="str">
        <f t="shared" si="65"/>
        <v xml:space="preserve"> </v>
      </c>
      <c r="Q396" s="97">
        <f t="shared" si="66"/>
        <v>0</v>
      </c>
      <c r="R396" s="96">
        <f t="shared" si="67"/>
        <v>0</v>
      </c>
      <c r="T396" s="67" t="str">
        <f>IF($B396&lt;&gt;"",INDEX(DataOB[],FirstRow+ROW()-7,MATCH(T$6,DataOB[#Headers],0)),"")</f>
        <v/>
      </c>
      <c r="U396" s="67" t="str">
        <f>IF($B396&lt;&gt;"",INDEX(DataOB[],FirstRow+ROW()-7,MATCH(U$6,DataOB[#Headers],0)),"")</f>
        <v/>
      </c>
      <c r="V396" s="67" t="str">
        <f>IF($B396&lt;&gt;"",INDEX(DataOB[],FirstRow+ROW()-7,MATCH(V$6,DataOB[#Headers],0)),"")</f>
        <v/>
      </c>
      <c r="W396" s="67" t="str">
        <f>IF($B396&lt;&gt;"",INDEX(DataOB[],FirstRow+ROW()-7,MATCH(W$6,DataOB[#Headers],0)),"")</f>
        <v/>
      </c>
      <c r="X396" s="67" t="str">
        <f>IF($B396&lt;&gt;"",INDEX(DataOB[],FirstRow+ROW()-7,MATCH(X$6,DataOB[#Headers],0)),"")</f>
        <v/>
      </c>
      <c r="Y396" s="67" t="str">
        <f>IF($B396&lt;&gt;"",INDEX(DataOB[],FirstRow+ROW()-7,MATCH(Y$6,DataOB[#Headers],0)),"")</f>
        <v/>
      </c>
      <c r="Z396" s="67" t="str">
        <f>IF($B396&lt;&gt;"",INDEX(DataOB[],FirstRow+ROW()-7,MATCH(Z$6,DataOB[#Headers],0)),"")</f>
        <v/>
      </c>
      <c r="AA396" s="67" t="str">
        <f>IF($B396&lt;&gt;"",INDEX(DataOB[],FirstRow+ROW()-7,MATCH(AA$6,DataOB[#Headers],0)),"")</f>
        <v/>
      </c>
      <c r="AB396" s="67" t="str">
        <f>IF($B396&lt;&gt;"",INDEX(DataOB[],FirstRow+ROW()-7,MATCH(AB$6,DataOB[#Headers],0)),"")</f>
        <v/>
      </c>
      <c r="AC396" s="67" t="str">
        <f>IF($B396&lt;&gt;"",INDEX(DataOB[],FirstRow+ROW()-7,MATCH(AC$6,DataOB[#Headers],0)),"")</f>
        <v/>
      </c>
      <c r="AD396" s="67" t="str">
        <f>IF($B396&lt;&gt;"",INDEX(DataOB[],FirstRow+ROW()-7,MATCH(AD$6,DataOB[#Headers],0)),"")</f>
        <v/>
      </c>
      <c r="AE396" s="67" t="str">
        <f>IF($B396&lt;&gt;"",INDEX(DataOB[],FirstRow+ROW()-7,MATCH(AE$6,DataOB[#Headers],0)),"")</f>
        <v/>
      </c>
      <c r="AF396" s="26">
        <f t="shared" si="68"/>
        <v>0</v>
      </c>
      <c r="AG396" s="31">
        <f>SUM($T396:T396)</f>
        <v>0</v>
      </c>
      <c r="AH396" s="31">
        <f>SUM($T396:U396)</f>
        <v>0</v>
      </c>
      <c r="AI396" s="31">
        <f>SUM($T396:V396)</f>
        <v>0</v>
      </c>
      <c r="AJ396" s="31">
        <f>SUM($T396:W396)</f>
        <v>0</v>
      </c>
      <c r="AK396" s="31">
        <f>SUM($T396:X396)</f>
        <v>0</v>
      </c>
      <c r="AL396" s="31">
        <f>SUM($T396:Y396)</f>
        <v>0</v>
      </c>
      <c r="AM396" s="31">
        <f>SUM($T396:Z396)</f>
        <v>0</v>
      </c>
      <c r="AN396" s="31">
        <f>SUM($T396:AA396)</f>
        <v>0</v>
      </c>
      <c r="AO396" s="31">
        <f>SUM($T396:AB396)</f>
        <v>0</v>
      </c>
      <c r="AP396" s="31">
        <f>SUM($T396:AC396)</f>
        <v>0</v>
      </c>
      <c r="AQ396" s="31">
        <f>SUM($T396:AD396)</f>
        <v>0</v>
      </c>
      <c r="AR396" s="31">
        <f>SUM($T396:AE396)</f>
        <v>0</v>
      </c>
      <c r="AS396" s="27">
        <f t="shared" si="69"/>
        <v>0</v>
      </c>
    </row>
    <row r="397" spans="2:45">
      <c r="B397" s="102" t="str">
        <f>IF(ROW()-6&gt;NumCostCenter,"",IF(CostCenter&lt;&gt;"ALL",CostCenter,DATA_LF2!B395))</f>
        <v/>
      </c>
      <c r="C397" s="153" t="str">
        <f>IF($B397&lt;&gt;"",INDEX(DataOB[],FirstRow+ROW()-7,2),"")</f>
        <v/>
      </c>
      <c r="D397" s="66" t="str">
        <f>IF($B397&lt;&gt;"",INDEX(DataOB[],FirstRow+ROW()-7,3),"")</f>
        <v/>
      </c>
      <c r="E397" s="103" t="str">
        <f>IF($B397&lt;&gt;"",INDEX(DataOB[],FirstRow+ROW()-7,6),"")</f>
        <v/>
      </c>
      <c r="F397" s="103" t="str">
        <f>IF($B397&lt;&gt;"",INDEX(DataOB[],FirstRow+ROW()-7,5),"")</f>
        <v/>
      </c>
      <c r="G397" s="58">
        <f>IF($B397&lt;&gt;"",SUMIFS(DataAct_tbl[AMOUNT],DataAct_tbl[BG CODE],Detail!$D397,DataAct_tbl[MONTH],LEFT(MonthName,3),DataAct_tbl[Dept code],$B397),0)</f>
        <v>0</v>
      </c>
      <c r="H397" s="31" t="str">
        <f t="shared" si="61"/>
        <v/>
      </c>
      <c r="I397" s="28" t="str">
        <f t="shared" si="62"/>
        <v/>
      </c>
      <c r="J397" s="32" t="str">
        <f t="shared" si="63"/>
        <v/>
      </c>
      <c r="K397" s="86"/>
      <c r="L397" s="62">
        <f>IF($B397&lt;&gt;"",SUMIFS(DataAct_tbl[AMOUNT],DataAct_tbl[BG CODE],Detail!$D397,DataAct_tbl[Check Range],"=true",DataAct_tbl[Dept code],$B397),0)</f>
        <v>0</v>
      </c>
      <c r="M397" s="63">
        <f>INDEX($AG$7:$AR$1005,ROW()-6,MATCH(MTD,$AG$6:$AR$6,0))</f>
        <v>0</v>
      </c>
      <c r="N397" s="34">
        <f t="shared" si="64"/>
        <v>0</v>
      </c>
      <c r="O397" s="64" t="str">
        <f t="shared" si="65"/>
        <v xml:space="preserve"> </v>
      </c>
      <c r="Q397" s="97">
        <f t="shared" si="66"/>
        <v>0</v>
      </c>
      <c r="R397" s="96">
        <f t="shared" si="67"/>
        <v>0</v>
      </c>
      <c r="T397" s="67" t="str">
        <f>IF($B397&lt;&gt;"",INDEX(DataOB[],FirstRow+ROW()-7,MATCH(T$6,DataOB[#Headers],0)),"")</f>
        <v/>
      </c>
      <c r="U397" s="67" t="str">
        <f>IF($B397&lt;&gt;"",INDEX(DataOB[],FirstRow+ROW()-7,MATCH(U$6,DataOB[#Headers],0)),"")</f>
        <v/>
      </c>
      <c r="V397" s="67" t="str">
        <f>IF($B397&lt;&gt;"",INDEX(DataOB[],FirstRow+ROW()-7,MATCH(V$6,DataOB[#Headers],0)),"")</f>
        <v/>
      </c>
      <c r="W397" s="67" t="str">
        <f>IF($B397&lt;&gt;"",INDEX(DataOB[],FirstRow+ROW()-7,MATCH(W$6,DataOB[#Headers],0)),"")</f>
        <v/>
      </c>
      <c r="X397" s="67" t="str">
        <f>IF($B397&lt;&gt;"",INDEX(DataOB[],FirstRow+ROW()-7,MATCH(X$6,DataOB[#Headers],0)),"")</f>
        <v/>
      </c>
      <c r="Y397" s="67" t="str">
        <f>IF($B397&lt;&gt;"",INDEX(DataOB[],FirstRow+ROW()-7,MATCH(Y$6,DataOB[#Headers],0)),"")</f>
        <v/>
      </c>
      <c r="Z397" s="67" t="str">
        <f>IF($B397&lt;&gt;"",INDEX(DataOB[],FirstRow+ROW()-7,MATCH(Z$6,DataOB[#Headers],0)),"")</f>
        <v/>
      </c>
      <c r="AA397" s="67" t="str">
        <f>IF($B397&lt;&gt;"",INDEX(DataOB[],FirstRow+ROW()-7,MATCH(AA$6,DataOB[#Headers],0)),"")</f>
        <v/>
      </c>
      <c r="AB397" s="67" t="str">
        <f>IF($B397&lt;&gt;"",INDEX(DataOB[],FirstRow+ROW()-7,MATCH(AB$6,DataOB[#Headers],0)),"")</f>
        <v/>
      </c>
      <c r="AC397" s="67" t="str">
        <f>IF($B397&lt;&gt;"",INDEX(DataOB[],FirstRow+ROW()-7,MATCH(AC$6,DataOB[#Headers],0)),"")</f>
        <v/>
      </c>
      <c r="AD397" s="67" t="str">
        <f>IF($B397&lt;&gt;"",INDEX(DataOB[],FirstRow+ROW()-7,MATCH(AD$6,DataOB[#Headers],0)),"")</f>
        <v/>
      </c>
      <c r="AE397" s="67" t="str">
        <f>IF($B397&lt;&gt;"",INDEX(DataOB[],FirstRow+ROW()-7,MATCH(AE$6,DataOB[#Headers],0)),"")</f>
        <v/>
      </c>
      <c r="AF397" s="26">
        <f t="shared" si="68"/>
        <v>0</v>
      </c>
      <c r="AG397" s="31">
        <f>SUM($T397:T397)</f>
        <v>0</v>
      </c>
      <c r="AH397" s="31">
        <f>SUM($T397:U397)</f>
        <v>0</v>
      </c>
      <c r="AI397" s="31">
        <f>SUM($T397:V397)</f>
        <v>0</v>
      </c>
      <c r="AJ397" s="31">
        <f>SUM($T397:W397)</f>
        <v>0</v>
      </c>
      <c r="AK397" s="31">
        <f>SUM($T397:X397)</f>
        <v>0</v>
      </c>
      <c r="AL397" s="31">
        <f>SUM($T397:Y397)</f>
        <v>0</v>
      </c>
      <c r="AM397" s="31">
        <f>SUM($T397:Z397)</f>
        <v>0</v>
      </c>
      <c r="AN397" s="31">
        <f>SUM($T397:AA397)</f>
        <v>0</v>
      </c>
      <c r="AO397" s="31">
        <f>SUM($T397:AB397)</f>
        <v>0</v>
      </c>
      <c r="AP397" s="31">
        <f>SUM($T397:AC397)</f>
        <v>0</v>
      </c>
      <c r="AQ397" s="31">
        <f>SUM($T397:AD397)</f>
        <v>0</v>
      </c>
      <c r="AR397" s="31">
        <f>SUM($T397:AE397)</f>
        <v>0</v>
      </c>
      <c r="AS397" s="27">
        <f t="shared" si="69"/>
        <v>0</v>
      </c>
    </row>
    <row r="398" spans="2:45">
      <c r="B398" s="102" t="str">
        <f>IF(ROW()-6&gt;NumCostCenter,"",IF(CostCenter&lt;&gt;"ALL",CostCenter,DATA_LF2!B396))</f>
        <v/>
      </c>
      <c r="C398" s="153" t="str">
        <f>IF($B398&lt;&gt;"",INDEX(DataOB[],FirstRow+ROW()-7,2),"")</f>
        <v/>
      </c>
      <c r="D398" s="66" t="str">
        <f>IF($B398&lt;&gt;"",INDEX(DataOB[],FirstRow+ROW()-7,3),"")</f>
        <v/>
      </c>
      <c r="E398" s="103" t="str">
        <f>IF($B398&lt;&gt;"",INDEX(DataOB[],FirstRow+ROW()-7,6),"")</f>
        <v/>
      </c>
      <c r="F398" s="103" t="str">
        <f>IF($B398&lt;&gt;"",INDEX(DataOB[],FirstRow+ROW()-7,5),"")</f>
        <v/>
      </c>
      <c r="G398" s="58">
        <f>IF($B398&lt;&gt;"",SUMIFS(DataAct_tbl[AMOUNT],DataAct_tbl[BG CODE],Detail!$D398,DataAct_tbl[MONTH],LEFT(MonthName,3),DataAct_tbl[Dept code],$B398),0)</f>
        <v>0</v>
      </c>
      <c r="H398" s="31" t="str">
        <f t="shared" si="61"/>
        <v/>
      </c>
      <c r="I398" s="28" t="str">
        <f t="shared" si="62"/>
        <v/>
      </c>
      <c r="J398" s="32" t="str">
        <f t="shared" si="63"/>
        <v/>
      </c>
      <c r="K398" s="86"/>
      <c r="L398" s="62">
        <f>IF($B398&lt;&gt;"",SUMIFS(DataAct_tbl[AMOUNT],DataAct_tbl[BG CODE],Detail!$D398,DataAct_tbl[Check Range],"=true",DataAct_tbl[Dept code],$B398),0)</f>
        <v>0</v>
      </c>
      <c r="M398" s="63">
        <f>INDEX($AG$7:$AR$1005,ROW()-6,MATCH(MTD,$AG$6:$AR$6,0))</f>
        <v>0</v>
      </c>
      <c r="N398" s="34">
        <f t="shared" si="64"/>
        <v>0</v>
      </c>
      <c r="O398" s="64" t="str">
        <f t="shared" si="65"/>
        <v xml:space="preserve"> </v>
      </c>
      <c r="Q398" s="97">
        <f t="shared" si="66"/>
        <v>0</v>
      </c>
      <c r="R398" s="96">
        <f t="shared" si="67"/>
        <v>0</v>
      </c>
      <c r="T398" s="67" t="str">
        <f>IF($B398&lt;&gt;"",INDEX(DataOB[],FirstRow+ROW()-7,MATCH(T$6,DataOB[#Headers],0)),"")</f>
        <v/>
      </c>
      <c r="U398" s="67" t="str">
        <f>IF($B398&lt;&gt;"",INDEX(DataOB[],FirstRow+ROW()-7,MATCH(U$6,DataOB[#Headers],0)),"")</f>
        <v/>
      </c>
      <c r="V398" s="67" t="str">
        <f>IF($B398&lt;&gt;"",INDEX(DataOB[],FirstRow+ROW()-7,MATCH(V$6,DataOB[#Headers],0)),"")</f>
        <v/>
      </c>
      <c r="W398" s="67" t="str">
        <f>IF($B398&lt;&gt;"",INDEX(DataOB[],FirstRow+ROW()-7,MATCH(W$6,DataOB[#Headers],0)),"")</f>
        <v/>
      </c>
      <c r="X398" s="67" t="str">
        <f>IF($B398&lt;&gt;"",INDEX(DataOB[],FirstRow+ROW()-7,MATCH(X$6,DataOB[#Headers],0)),"")</f>
        <v/>
      </c>
      <c r="Y398" s="67" t="str">
        <f>IF($B398&lt;&gt;"",INDEX(DataOB[],FirstRow+ROW()-7,MATCH(Y$6,DataOB[#Headers],0)),"")</f>
        <v/>
      </c>
      <c r="Z398" s="67" t="str">
        <f>IF($B398&lt;&gt;"",INDEX(DataOB[],FirstRow+ROW()-7,MATCH(Z$6,DataOB[#Headers],0)),"")</f>
        <v/>
      </c>
      <c r="AA398" s="67" t="str">
        <f>IF($B398&lt;&gt;"",INDEX(DataOB[],FirstRow+ROW()-7,MATCH(AA$6,DataOB[#Headers],0)),"")</f>
        <v/>
      </c>
      <c r="AB398" s="67" t="str">
        <f>IF($B398&lt;&gt;"",INDEX(DataOB[],FirstRow+ROW()-7,MATCH(AB$6,DataOB[#Headers],0)),"")</f>
        <v/>
      </c>
      <c r="AC398" s="67" t="str">
        <f>IF($B398&lt;&gt;"",INDEX(DataOB[],FirstRow+ROW()-7,MATCH(AC$6,DataOB[#Headers],0)),"")</f>
        <v/>
      </c>
      <c r="AD398" s="67" t="str">
        <f>IF($B398&lt;&gt;"",INDEX(DataOB[],FirstRow+ROW()-7,MATCH(AD$6,DataOB[#Headers],0)),"")</f>
        <v/>
      </c>
      <c r="AE398" s="67" t="str">
        <f>IF($B398&lt;&gt;"",INDEX(DataOB[],FirstRow+ROW()-7,MATCH(AE$6,DataOB[#Headers],0)),"")</f>
        <v/>
      </c>
      <c r="AF398" s="26">
        <f t="shared" si="68"/>
        <v>0</v>
      </c>
      <c r="AG398" s="31">
        <f>SUM($T398:T398)</f>
        <v>0</v>
      </c>
      <c r="AH398" s="31">
        <f>SUM($T398:U398)</f>
        <v>0</v>
      </c>
      <c r="AI398" s="31">
        <f>SUM($T398:V398)</f>
        <v>0</v>
      </c>
      <c r="AJ398" s="31">
        <f>SUM($T398:W398)</f>
        <v>0</v>
      </c>
      <c r="AK398" s="31">
        <f>SUM($T398:X398)</f>
        <v>0</v>
      </c>
      <c r="AL398" s="31">
        <f>SUM($T398:Y398)</f>
        <v>0</v>
      </c>
      <c r="AM398" s="31">
        <f>SUM($T398:Z398)</f>
        <v>0</v>
      </c>
      <c r="AN398" s="31">
        <f>SUM($T398:AA398)</f>
        <v>0</v>
      </c>
      <c r="AO398" s="31">
        <f>SUM($T398:AB398)</f>
        <v>0</v>
      </c>
      <c r="AP398" s="31">
        <f>SUM($T398:AC398)</f>
        <v>0</v>
      </c>
      <c r="AQ398" s="31">
        <f>SUM($T398:AD398)</f>
        <v>0</v>
      </c>
      <c r="AR398" s="31">
        <f>SUM($T398:AE398)</f>
        <v>0</v>
      </c>
      <c r="AS398" s="27">
        <f t="shared" si="69"/>
        <v>0</v>
      </c>
    </row>
    <row r="399" spans="2:45">
      <c r="B399" s="102" t="str">
        <f>IF(ROW()-6&gt;NumCostCenter,"",IF(CostCenter&lt;&gt;"ALL",CostCenter,DATA_LF2!B397))</f>
        <v/>
      </c>
      <c r="C399" s="153" t="str">
        <f>IF($B399&lt;&gt;"",INDEX(DataOB[],FirstRow+ROW()-7,2),"")</f>
        <v/>
      </c>
      <c r="D399" s="66" t="str">
        <f>IF($B399&lt;&gt;"",INDEX(DataOB[],FirstRow+ROW()-7,3),"")</f>
        <v/>
      </c>
      <c r="E399" s="103" t="str">
        <f>IF($B399&lt;&gt;"",INDEX(DataOB[],FirstRow+ROW()-7,6),"")</f>
        <v/>
      </c>
      <c r="F399" s="103" t="str">
        <f>IF($B399&lt;&gt;"",INDEX(DataOB[],FirstRow+ROW()-7,5),"")</f>
        <v/>
      </c>
      <c r="G399" s="58">
        <f>IF($B399&lt;&gt;"",SUMIFS(DataAct_tbl[AMOUNT],DataAct_tbl[BG CODE],Detail!$D399,DataAct_tbl[MONTH],LEFT(MonthName,3),DataAct_tbl[Dept code],$B399),0)</f>
        <v>0</v>
      </c>
      <c r="H399" s="31" t="str">
        <f t="shared" si="61"/>
        <v/>
      </c>
      <c r="I399" s="28" t="str">
        <f t="shared" si="62"/>
        <v/>
      </c>
      <c r="J399" s="32" t="str">
        <f t="shared" si="63"/>
        <v/>
      </c>
      <c r="K399" s="86"/>
      <c r="L399" s="62">
        <f>IF($B399&lt;&gt;"",SUMIFS(DataAct_tbl[AMOUNT],DataAct_tbl[BG CODE],Detail!$D399,DataAct_tbl[Check Range],"=true",DataAct_tbl[Dept code],$B399),0)</f>
        <v>0</v>
      </c>
      <c r="M399" s="63">
        <f>INDEX($AG$7:$AR$1005,ROW()-6,MATCH(MTD,$AG$6:$AR$6,0))</f>
        <v>0</v>
      </c>
      <c r="N399" s="34">
        <f t="shared" si="64"/>
        <v>0</v>
      </c>
      <c r="O399" s="64" t="str">
        <f t="shared" si="65"/>
        <v xml:space="preserve"> </v>
      </c>
      <c r="Q399" s="97">
        <f t="shared" si="66"/>
        <v>0</v>
      </c>
      <c r="R399" s="96">
        <f t="shared" si="67"/>
        <v>0</v>
      </c>
      <c r="T399" s="67" t="str">
        <f>IF($B399&lt;&gt;"",INDEX(DataOB[],FirstRow+ROW()-7,MATCH(T$6,DataOB[#Headers],0)),"")</f>
        <v/>
      </c>
      <c r="U399" s="67" t="str">
        <f>IF($B399&lt;&gt;"",INDEX(DataOB[],FirstRow+ROW()-7,MATCH(U$6,DataOB[#Headers],0)),"")</f>
        <v/>
      </c>
      <c r="V399" s="67" t="str">
        <f>IF($B399&lt;&gt;"",INDEX(DataOB[],FirstRow+ROW()-7,MATCH(V$6,DataOB[#Headers],0)),"")</f>
        <v/>
      </c>
      <c r="W399" s="67" t="str">
        <f>IF($B399&lt;&gt;"",INDEX(DataOB[],FirstRow+ROW()-7,MATCH(W$6,DataOB[#Headers],0)),"")</f>
        <v/>
      </c>
      <c r="X399" s="67" t="str">
        <f>IF($B399&lt;&gt;"",INDEX(DataOB[],FirstRow+ROW()-7,MATCH(X$6,DataOB[#Headers],0)),"")</f>
        <v/>
      </c>
      <c r="Y399" s="67" t="str">
        <f>IF($B399&lt;&gt;"",INDEX(DataOB[],FirstRow+ROW()-7,MATCH(Y$6,DataOB[#Headers],0)),"")</f>
        <v/>
      </c>
      <c r="Z399" s="67" t="str">
        <f>IF($B399&lt;&gt;"",INDEX(DataOB[],FirstRow+ROW()-7,MATCH(Z$6,DataOB[#Headers],0)),"")</f>
        <v/>
      </c>
      <c r="AA399" s="67" t="str">
        <f>IF($B399&lt;&gt;"",INDEX(DataOB[],FirstRow+ROW()-7,MATCH(AA$6,DataOB[#Headers],0)),"")</f>
        <v/>
      </c>
      <c r="AB399" s="67" t="str">
        <f>IF($B399&lt;&gt;"",INDEX(DataOB[],FirstRow+ROW()-7,MATCH(AB$6,DataOB[#Headers],0)),"")</f>
        <v/>
      </c>
      <c r="AC399" s="67" t="str">
        <f>IF($B399&lt;&gt;"",INDEX(DataOB[],FirstRow+ROW()-7,MATCH(AC$6,DataOB[#Headers],0)),"")</f>
        <v/>
      </c>
      <c r="AD399" s="67" t="str">
        <f>IF($B399&lt;&gt;"",INDEX(DataOB[],FirstRow+ROW()-7,MATCH(AD$6,DataOB[#Headers],0)),"")</f>
        <v/>
      </c>
      <c r="AE399" s="67" t="str">
        <f>IF($B399&lt;&gt;"",INDEX(DataOB[],FirstRow+ROW()-7,MATCH(AE$6,DataOB[#Headers],0)),"")</f>
        <v/>
      </c>
      <c r="AF399" s="26">
        <f t="shared" si="68"/>
        <v>0</v>
      </c>
      <c r="AG399" s="31">
        <f>SUM($T399:T399)</f>
        <v>0</v>
      </c>
      <c r="AH399" s="31">
        <f>SUM($T399:U399)</f>
        <v>0</v>
      </c>
      <c r="AI399" s="31">
        <f>SUM($T399:V399)</f>
        <v>0</v>
      </c>
      <c r="AJ399" s="31">
        <f>SUM($T399:W399)</f>
        <v>0</v>
      </c>
      <c r="AK399" s="31">
        <f>SUM($T399:X399)</f>
        <v>0</v>
      </c>
      <c r="AL399" s="31">
        <f>SUM($T399:Y399)</f>
        <v>0</v>
      </c>
      <c r="AM399" s="31">
        <f>SUM($T399:Z399)</f>
        <v>0</v>
      </c>
      <c r="AN399" s="31">
        <f>SUM($T399:AA399)</f>
        <v>0</v>
      </c>
      <c r="AO399" s="31">
        <f>SUM($T399:AB399)</f>
        <v>0</v>
      </c>
      <c r="AP399" s="31">
        <f>SUM($T399:AC399)</f>
        <v>0</v>
      </c>
      <c r="AQ399" s="31">
        <f>SUM($T399:AD399)</f>
        <v>0</v>
      </c>
      <c r="AR399" s="31">
        <f>SUM($T399:AE399)</f>
        <v>0</v>
      </c>
      <c r="AS399" s="27">
        <f t="shared" si="69"/>
        <v>0</v>
      </c>
    </row>
    <row r="400" spans="2:45">
      <c r="B400" s="102" t="str">
        <f>IF(ROW()-6&gt;NumCostCenter,"",IF(CostCenter&lt;&gt;"ALL",CostCenter,DATA_LF2!B398))</f>
        <v/>
      </c>
      <c r="C400" s="153" t="str">
        <f>IF($B400&lt;&gt;"",INDEX(DataOB[],FirstRow+ROW()-7,2),"")</f>
        <v/>
      </c>
      <c r="D400" s="66" t="str">
        <f>IF($B400&lt;&gt;"",INDEX(DataOB[],FirstRow+ROW()-7,3),"")</f>
        <v/>
      </c>
      <c r="E400" s="103" t="str">
        <f>IF($B400&lt;&gt;"",INDEX(DataOB[],FirstRow+ROW()-7,6),"")</f>
        <v/>
      </c>
      <c r="F400" s="103" t="str">
        <f>IF($B400&lt;&gt;"",INDEX(DataOB[],FirstRow+ROW()-7,5),"")</f>
        <v/>
      </c>
      <c r="G400" s="58">
        <f>IF($B400&lt;&gt;"",SUMIFS(DataAct_tbl[AMOUNT],DataAct_tbl[BG CODE],Detail!$D400,DataAct_tbl[MONTH],LEFT(MonthName,3),DataAct_tbl[Dept code],$B400),0)</f>
        <v>0</v>
      </c>
      <c r="H400" s="31" t="str">
        <f t="shared" si="61"/>
        <v/>
      </c>
      <c r="I400" s="28" t="str">
        <f t="shared" si="62"/>
        <v/>
      </c>
      <c r="J400" s="32" t="str">
        <f t="shared" si="63"/>
        <v/>
      </c>
      <c r="K400" s="86"/>
      <c r="L400" s="62">
        <f>IF($B400&lt;&gt;"",SUMIFS(DataAct_tbl[AMOUNT],DataAct_tbl[BG CODE],Detail!$D400,DataAct_tbl[Check Range],"=true",DataAct_tbl[Dept code],$B400),0)</f>
        <v>0</v>
      </c>
      <c r="M400" s="63">
        <f>INDEX($AG$7:$AR$1005,ROW()-6,MATCH(MTD,$AG$6:$AR$6,0))</f>
        <v>0</v>
      </c>
      <c r="N400" s="34">
        <f t="shared" si="64"/>
        <v>0</v>
      </c>
      <c r="O400" s="64" t="str">
        <f t="shared" si="65"/>
        <v xml:space="preserve"> </v>
      </c>
      <c r="Q400" s="97">
        <f t="shared" si="66"/>
        <v>0</v>
      </c>
      <c r="R400" s="96">
        <f t="shared" si="67"/>
        <v>0</v>
      </c>
      <c r="T400" s="67" t="str">
        <f>IF($B400&lt;&gt;"",INDEX(DataOB[],FirstRow+ROW()-7,MATCH(T$6,DataOB[#Headers],0)),"")</f>
        <v/>
      </c>
      <c r="U400" s="67" t="str">
        <f>IF($B400&lt;&gt;"",INDEX(DataOB[],FirstRow+ROW()-7,MATCH(U$6,DataOB[#Headers],0)),"")</f>
        <v/>
      </c>
      <c r="V400" s="67" t="str">
        <f>IF($B400&lt;&gt;"",INDEX(DataOB[],FirstRow+ROW()-7,MATCH(V$6,DataOB[#Headers],0)),"")</f>
        <v/>
      </c>
      <c r="W400" s="67" t="str">
        <f>IF($B400&lt;&gt;"",INDEX(DataOB[],FirstRow+ROW()-7,MATCH(W$6,DataOB[#Headers],0)),"")</f>
        <v/>
      </c>
      <c r="X400" s="67" t="str">
        <f>IF($B400&lt;&gt;"",INDEX(DataOB[],FirstRow+ROW()-7,MATCH(X$6,DataOB[#Headers],0)),"")</f>
        <v/>
      </c>
      <c r="Y400" s="67" t="str">
        <f>IF($B400&lt;&gt;"",INDEX(DataOB[],FirstRow+ROW()-7,MATCH(Y$6,DataOB[#Headers],0)),"")</f>
        <v/>
      </c>
      <c r="Z400" s="67" t="str">
        <f>IF($B400&lt;&gt;"",INDEX(DataOB[],FirstRow+ROW()-7,MATCH(Z$6,DataOB[#Headers],0)),"")</f>
        <v/>
      </c>
      <c r="AA400" s="67" t="str">
        <f>IF($B400&lt;&gt;"",INDEX(DataOB[],FirstRow+ROW()-7,MATCH(AA$6,DataOB[#Headers],0)),"")</f>
        <v/>
      </c>
      <c r="AB400" s="67" t="str">
        <f>IF($B400&lt;&gt;"",INDEX(DataOB[],FirstRow+ROW()-7,MATCH(AB$6,DataOB[#Headers],0)),"")</f>
        <v/>
      </c>
      <c r="AC400" s="67" t="str">
        <f>IF($B400&lt;&gt;"",INDEX(DataOB[],FirstRow+ROW()-7,MATCH(AC$6,DataOB[#Headers],0)),"")</f>
        <v/>
      </c>
      <c r="AD400" s="67" t="str">
        <f>IF($B400&lt;&gt;"",INDEX(DataOB[],FirstRow+ROW()-7,MATCH(AD$6,DataOB[#Headers],0)),"")</f>
        <v/>
      </c>
      <c r="AE400" s="67" t="str">
        <f>IF($B400&lt;&gt;"",INDEX(DataOB[],FirstRow+ROW()-7,MATCH(AE$6,DataOB[#Headers],0)),"")</f>
        <v/>
      </c>
      <c r="AF400" s="26">
        <f t="shared" si="68"/>
        <v>0</v>
      </c>
      <c r="AG400" s="31">
        <f>SUM($T400:T400)</f>
        <v>0</v>
      </c>
      <c r="AH400" s="31">
        <f>SUM($T400:U400)</f>
        <v>0</v>
      </c>
      <c r="AI400" s="31">
        <f>SUM($T400:V400)</f>
        <v>0</v>
      </c>
      <c r="AJ400" s="31">
        <f>SUM($T400:W400)</f>
        <v>0</v>
      </c>
      <c r="AK400" s="31">
        <f>SUM($T400:X400)</f>
        <v>0</v>
      </c>
      <c r="AL400" s="31">
        <f>SUM($T400:Y400)</f>
        <v>0</v>
      </c>
      <c r="AM400" s="31">
        <f>SUM($T400:Z400)</f>
        <v>0</v>
      </c>
      <c r="AN400" s="31">
        <f>SUM($T400:AA400)</f>
        <v>0</v>
      </c>
      <c r="AO400" s="31">
        <f>SUM($T400:AB400)</f>
        <v>0</v>
      </c>
      <c r="AP400" s="31">
        <f>SUM($T400:AC400)</f>
        <v>0</v>
      </c>
      <c r="AQ400" s="31">
        <f>SUM($T400:AD400)</f>
        <v>0</v>
      </c>
      <c r="AR400" s="31">
        <f>SUM($T400:AE400)</f>
        <v>0</v>
      </c>
      <c r="AS400" s="27">
        <f t="shared" si="69"/>
        <v>0</v>
      </c>
    </row>
    <row r="401" spans="2:45">
      <c r="B401" s="102" t="str">
        <f>IF(ROW()-6&gt;NumCostCenter,"",IF(CostCenter&lt;&gt;"ALL",CostCenter,DATA_LF2!B399))</f>
        <v/>
      </c>
      <c r="C401" s="153" t="str">
        <f>IF($B401&lt;&gt;"",INDEX(DataOB[],FirstRow+ROW()-7,2),"")</f>
        <v/>
      </c>
      <c r="D401" s="66" t="str">
        <f>IF($B401&lt;&gt;"",INDEX(DataOB[],FirstRow+ROW()-7,3),"")</f>
        <v/>
      </c>
      <c r="E401" s="103" t="str">
        <f>IF($B401&lt;&gt;"",INDEX(DataOB[],FirstRow+ROW()-7,6),"")</f>
        <v/>
      </c>
      <c r="F401" s="103" t="str">
        <f>IF($B401&lt;&gt;"",INDEX(DataOB[],FirstRow+ROW()-7,5),"")</f>
        <v/>
      </c>
      <c r="G401" s="58">
        <f>IF($B401&lt;&gt;"",SUMIFS(DataAct_tbl[AMOUNT],DataAct_tbl[BG CODE],Detail!$D401,DataAct_tbl[MONTH],LEFT(MonthName,3),DataAct_tbl[Dept code],$B401),0)</f>
        <v>0</v>
      </c>
      <c r="H401" s="31" t="str">
        <f t="shared" si="61"/>
        <v/>
      </c>
      <c r="I401" s="28" t="str">
        <f t="shared" si="62"/>
        <v/>
      </c>
      <c r="J401" s="32" t="str">
        <f t="shared" si="63"/>
        <v/>
      </c>
      <c r="K401" s="86"/>
      <c r="L401" s="62">
        <f>IF($B401&lt;&gt;"",SUMIFS(DataAct_tbl[AMOUNT],DataAct_tbl[BG CODE],Detail!$D401,DataAct_tbl[Check Range],"=true",DataAct_tbl[Dept code],$B401),0)</f>
        <v>0</v>
      </c>
      <c r="M401" s="63">
        <f>INDEX($AG$7:$AR$1005,ROW()-6,MATCH(MTD,$AG$6:$AR$6,0))</f>
        <v>0</v>
      </c>
      <c r="N401" s="34">
        <f t="shared" si="64"/>
        <v>0</v>
      </c>
      <c r="O401" s="64" t="str">
        <f t="shared" si="65"/>
        <v xml:space="preserve"> </v>
      </c>
      <c r="Q401" s="97">
        <f t="shared" si="66"/>
        <v>0</v>
      </c>
      <c r="R401" s="96">
        <f t="shared" si="67"/>
        <v>0</v>
      </c>
      <c r="T401" s="67" t="str">
        <f>IF($B401&lt;&gt;"",INDEX(DataOB[],FirstRow+ROW()-7,MATCH(T$6,DataOB[#Headers],0)),"")</f>
        <v/>
      </c>
      <c r="U401" s="67" t="str">
        <f>IF($B401&lt;&gt;"",INDEX(DataOB[],FirstRow+ROW()-7,MATCH(U$6,DataOB[#Headers],0)),"")</f>
        <v/>
      </c>
      <c r="V401" s="67" t="str">
        <f>IF($B401&lt;&gt;"",INDEX(DataOB[],FirstRow+ROW()-7,MATCH(V$6,DataOB[#Headers],0)),"")</f>
        <v/>
      </c>
      <c r="W401" s="67" t="str">
        <f>IF($B401&lt;&gt;"",INDEX(DataOB[],FirstRow+ROW()-7,MATCH(W$6,DataOB[#Headers],0)),"")</f>
        <v/>
      </c>
      <c r="X401" s="67" t="str">
        <f>IF($B401&lt;&gt;"",INDEX(DataOB[],FirstRow+ROW()-7,MATCH(X$6,DataOB[#Headers],0)),"")</f>
        <v/>
      </c>
      <c r="Y401" s="67" t="str">
        <f>IF($B401&lt;&gt;"",INDEX(DataOB[],FirstRow+ROW()-7,MATCH(Y$6,DataOB[#Headers],0)),"")</f>
        <v/>
      </c>
      <c r="Z401" s="67" t="str">
        <f>IF($B401&lt;&gt;"",INDEX(DataOB[],FirstRow+ROW()-7,MATCH(Z$6,DataOB[#Headers],0)),"")</f>
        <v/>
      </c>
      <c r="AA401" s="67" t="str">
        <f>IF($B401&lt;&gt;"",INDEX(DataOB[],FirstRow+ROW()-7,MATCH(AA$6,DataOB[#Headers],0)),"")</f>
        <v/>
      </c>
      <c r="AB401" s="67" t="str">
        <f>IF($B401&lt;&gt;"",INDEX(DataOB[],FirstRow+ROW()-7,MATCH(AB$6,DataOB[#Headers],0)),"")</f>
        <v/>
      </c>
      <c r="AC401" s="67" t="str">
        <f>IF($B401&lt;&gt;"",INDEX(DataOB[],FirstRow+ROW()-7,MATCH(AC$6,DataOB[#Headers],0)),"")</f>
        <v/>
      </c>
      <c r="AD401" s="67" t="str">
        <f>IF($B401&lt;&gt;"",INDEX(DataOB[],FirstRow+ROW()-7,MATCH(AD$6,DataOB[#Headers],0)),"")</f>
        <v/>
      </c>
      <c r="AE401" s="67" t="str">
        <f>IF($B401&lt;&gt;"",INDEX(DataOB[],FirstRow+ROW()-7,MATCH(AE$6,DataOB[#Headers],0)),"")</f>
        <v/>
      </c>
      <c r="AF401" s="26">
        <f t="shared" si="68"/>
        <v>0</v>
      </c>
      <c r="AG401" s="31">
        <f>SUM($T401:T401)</f>
        <v>0</v>
      </c>
      <c r="AH401" s="31">
        <f>SUM($T401:U401)</f>
        <v>0</v>
      </c>
      <c r="AI401" s="31">
        <f>SUM($T401:V401)</f>
        <v>0</v>
      </c>
      <c r="AJ401" s="31">
        <f>SUM($T401:W401)</f>
        <v>0</v>
      </c>
      <c r="AK401" s="31">
        <f>SUM($T401:X401)</f>
        <v>0</v>
      </c>
      <c r="AL401" s="31">
        <f>SUM($T401:Y401)</f>
        <v>0</v>
      </c>
      <c r="AM401" s="31">
        <f>SUM($T401:Z401)</f>
        <v>0</v>
      </c>
      <c r="AN401" s="31">
        <f>SUM($T401:AA401)</f>
        <v>0</v>
      </c>
      <c r="AO401" s="31">
        <f>SUM($T401:AB401)</f>
        <v>0</v>
      </c>
      <c r="AP401" s="31">
        <f>SUM($T401:AC401)</f>
        <v>0</v>
      </c>
      <c r="AQ401" s="31">
        <f>SUM($T401:AD401)</f>
        <v>0</v>
      </c>
      <c r="AR401" s="31">
        <f>SUM($T401:AE401)</f>
        <v>0</v>
      </c>
      <c r="AS401" s="27">
        <f t="shared" si="69"/>
        <v>0</v>
      </c>
    </row>
    <row r="402" spans="2:45">
      <c r="B402" s="102" t="str">
        <f>IF(ROW()-6&gt;NumCostCenter,"",IF(CostCenter&lt;&gt;"ALL",CostCenter,DATA_LF2!B400))</f>
        <v/>
      </c>
      <c r="C402" s="153" t="str">
        <f>IF($B402&lt;&gt;"",INDEX(DataOB[],FirstRow+ROW()-7,2),"")</f>
        <v/>
      </c>
      <c r="D402" s="66" t="str">
        <f>IF($B402&lt;&gt;"",INDEX(DataOB[],FirstRow+ROW()-7,3),"")</f>
        <v/>
      </c>
      <c r="E402" s="103" t="str">
        <f>IF($B402&lt;&gt;"",INDEX(DataOB[],FirstRow+ROW()-7,6),"")</f>
        <v/>
      </c>
      <c r="F402" s="103" t="str">
        <f>IF($B402&lt;&gt;"",INDEX(DataOB[],FirstRow+ROW()-7,5),"")</f>
        <v/>
      </c>
      <c r="G402" s="58">
        <f>IF($B402&lt;&gt;"",SUMIFS(DataAct_tbl[AMOUNT],DataAct_tbl[BG CODE],Detail!$D402,DataAct_tbl[MONTH],LEFT(MonthName,3),DataAct_tbl[Dept code],$B402),0)</f>
        <v>0</v>
      </c>
      <c r="H402" s="31" t="str">
        <f t="shared" si="61"/>
        <v/>
      </c>
      <c r="I402" s="28" t="str">
        <f t="shared" si="62"/>
        <v/>
      </c>
      <c r="J402" s="32" t="str">
        <f t="shared" si="63"/>
        <v/>
      </c>
      <c r="K402" s="86"/>
      <c r="L402" s="62">
        <f>IF($B402&lt;&gt;"",SUMIFS(DataAct_tbl[AMOUNT],DataAct_tbl[BG CODE],Detail!$D402,DataAct_tbl[Check Range],"=true",DataAct_tbl[Dept code],$B402),0)</f>
        <v>0</v>
      </c>
      <c r="M402" s="63">
        <f>INDEX($AG$7:$AR$1005,ROW()-6,MATCH(MTD,$AG$6:$AR$6,0))</f>
        <v>0</v>
      </c>
      <c r="N402" s="34">
        <f t="shared" si="64"/>
        <v>0</v>
      </c>
      <c r="O402" s="64" t="str">
        <f t="shared" si="65"/>
        <v xml:space="preserve"> </v>
      </c>
      <c r="Q402" s="97">
        <f t="shared" si="66"/>
        <v>0</v>
      </c>
      <c r="R402" s="96">
        <f t="shared" si="67"/>
        <v>0</v>
      </c>
      <c r="T402" s="67" t="str">
        <f>IF($B402&lt;&gt;"",INDEX(DataOB[],FirstRow+ROW()-7,MATCH(T$6,DataOB[#Headers],0)),"")</f>
        <v/>
      </c>
      <c r="U402" s="67" t="str">
        <f>IF($B402&lt;&gt;"",INDEX(DataOB[],FirstRow+ROW()-7,MATCH(U$6,DataOB[#Headers],0)),"")</f>
        <v/>
      </c>
      <c r="V402" s="67" t="str">
        <f>IF($B402&lt;&gt;"",INDEX(DataOB[],FirstRow+ROW()-7,MATCH(V$6,DataOB[#Headers],0)),"")</f>
        <v/>
      </c>
      <c r="W402" s="67" t="str">
        <f>IF($B402&lt;&gt;"",INDEX(DataOB[],FirstRow+ROW()-7,MATCH(W$6,DataOB[#Headers],0)),"")</f>
        <v/>
      </c>
      <c r="X402" s="67" t="str">
        <f>IF($B402&lt;&gt;"",INDEX(DataOB[],FirstRow+ROW()-7,MATCH(X$6,DataOB[#Headers],0)),"")</f>
        <v/>
      </c>
      <c r="Y402" s="67" t="str">
        <f>IF($B402&lt;&gt;"",INDEX(DataOB[],FirstRow+ROW()-7,MATCH(Y$6,DataOB[#Headers],0)),"")</f>
        <v/>
      </c>
      <c r="Z402" s="67" t="str">
        <f>IF($B402&lt;&gt;"",INDEX(DataOB[],FirstRow+ROW()-7,MATCH(Z$6,DataOB[#Headers],0)),"")</f>
        <v/>
      </c>
      <c r="AA402" s="67" t="str">
        <f>IF($B402&lt;&gt;"",INDEX(DataOB[],FirstRow+ROW()-7,MATCH(AA$6,DataOB[#Headers],0)),"")</f>
        <v/>
      </c>
      <c r="AB402" s="67" t="str">
        <f>IF($B402&lt;&gt;"",INDEX(DataOB[],FirstRow+ROW()-7,MATCH(AB$6,DataOB[#Headers],0)),"")</f>
        <v/>
      </c>
      <c r="AC402" s="67" t="str">
        <f>IF($B402&lt;&gt;"",INDEX(DataOB[],FirstRow+ROW()-7,MATCH(AC$6,DataOB[#Headers],0)),"")</f>
        <v/>
      </c>
      <c r="AD402" s="67" t="str">
        <f>IF($B402&lt;&gt;"",INDEX(DataOB[],FirstRow+ROW()-7,MATCH(AD$6,DataOB[#Headers],0)),"")</f>
        <v/>
      </c>
      <c r="AE402" s="67" t="str">
        <f>IF($B402&lt;&gt;"",INDEX(DataOB[],FirstRow+ROW()-7,MATCH(AE$6,DataOB[#Headers],0)),"")</f>
        <v/>
      </c>
      <c r="AF402" s="26">
        <f t="shared" si="68"/>
        <v>0</v>
      </c>
      <c r="AG402" s="31">
        <f>SUM($T402:T402)</f>
        <v>0</v>
      </c>
      <c r="AH402" s="31">
        <f>SUM($T402:U402)</f>
        <v>0</v>
      </c>
      <c r="AI402" s="31">
        <f>SUM($T402:V402)</f>
        <v>0</v>
      </c>
      <c r="AJ402" s="31">
        <f>SUM($T402:W402)</f>
        <v>0</v>
      </c>
      <c r="AK402" s="31">
        <f>SUM($T402:X402)</f>
        <v>0</v>
      </c>
      <c r="AL402" s="31">
        <f>SUM($T402:Y402)</f>
        <v>0</v>
      </c>
      <c r="AM402" s="31">
        <f>SUM($T402:Z402)</f>
        <v>0</v>
      </c>
      <c r="AN402" s="31">
        <f>SUM($T402:AA402)</f>
        <v>0</v>
      </c>
      <c r="AO402" s="31">
        <f>SUM($T402:AB402)</f>
        <v>0</v>
      </c>
      <c r="AP402" s="31">
        <f>SUM($T402:AC402)</f>
        <v>0</v>
      </c>
      <c r="AQ402" s="31">
        <f>SUM($T402:AD402)</f>
        <v>0</v>
      </c>
      <c r="AR402" s="31">
        <f>SUM($T402:AE402)</f>
        <v>0</v>
      </c>
      <c r="AS402" s="27">
        <f t="shared" si="69"/>
        <v>0</v>
      </c>
    </row>
    <row r="403" spans="2:45">
      <c r="B403" s="102" t="str">
        <f>IF(ROW()-6&gt;NumCostCenter,"",IF(CostCenter&lt;&gt;"ALL",CostCenter,DATA_LF2!B401))</f>
        <v/>
      </c>
      <c r="C403" s="153" t="str">
        <f>IF($B403&lt;&gt;"",INDEX(DataOB[],FirstRow+ROW()-7,2),"")</f>
        <v/>
      </c>
      <c r="D403" s="66" t="str">
        <f>IF($B403&lt;&gt;"",INDEX(DataOB[],FirstRow+ROW()-7,3),"")</f>
        <v/>
      </c>
      <c r="E403" s="103" t="str">
        <f>IF($B403&lt;&gt;"",INDEX(DataOB[],FirstRow+ROW()-7,6),"")</f>
        <v/>
      </c>
      <c r="F403" s="103" t="str">
        <f>IF($B403&lt;&gt;"",INDEX(DataOB[],FirstRow+ROW()-7,5),"")</f>
        <v/>
      </c>
      <c r="G403" s="58">
        <f>IF($B403&lt;&gt;"",SUMIFS(DataAct_tbl[AMOUNT],DataAct_tbl[BG CODE],Detail!$D403,DataAct_tbl[MONTH],LEFT(MonthName,3),DataAct_tbl[Dept code],$B403),0)</f>
        <v>0</v>
      </c>
      <c r="H403" s="31" t="str">
        <f t="shared" si="61"/>
        <v/>
      </c>
      <c r="I403" s="28" t="str">
        <f t="shared" si="62"/>
        <v/>
      </c>
      <c r="J403" s="32" t="str">
        <f t="shared" si="63"/>
        <v/>
      </c>
      <c r="K403" s="86"/>
      <c r="L403" s="62">
        <f>IF($B403&lt;&gt;"",SUMIFS(DataAct_tbl[AMOUNT],DataAct_tbl[BG CODE],Detail!$D403,DataAct_tbl[Check Range],"=true",DataAct_tbl[Dept code],$B403),0)</f>
        <v>0</v>
      </c>
      <c r="M403" s="63">
        <f>INDEX($AG$7:$AR$1005,ROW()-6,MATCH(MTD,$AG$6:$AR$6,0))</f>
        <v>0</v>
      </c>
      <c r="N403" s="34">
        <f t="shared" si="64"/>
        <v>0</v>
      </c>
      <c r="O403" s="64" t="str">
        <f t="shared" si="65"/>
        <v xml:space="preserve"> </v>
      </c>
      <c r="Q403" s="97">
        <f t="shared" si="66"/>
        <v>0</v>
      </c>
      <c r="R403" s="96">
        <f t="shared" si="67"/>
        <v>0</v>
      </c>
      <c r="T403" s="67" t="str">
        <f>IF($B403&lt;&gt;"",INDEX(DataOB[],FirstRow+ROW()-7,MATCH(T$6,DataOB[#Headers],0)),"")</f>
        <v/>
      </c>
      <c r="U403" s="67" t="str">
        <f>IF($B403&lt;&gt;"",INDEX(DataOB[],FirstRow+ROW()-7,MATCH(U$6,DataOB[#Headers],0)),"")</f>
        <v/>
      </c>
      <c r="V403" s="67" t="str">
        <f>IF($B403&lt;&gt;"",INDEX(DataOB[],FirstRow+ROW()-7,MATCH(V$6,DataOB[#Headers],0)),"")</f>
        <v/>
      </c>
      <c r="W403" s="67" t="str">
        <f>IF($B403&lt;&gt;"",INDEX(DataOB[],FirstRow+ROW()-7,MATCH(W$6,DataOB[#Headers],0)),"")</f>
        <v/>
      </c>
      <c r="X403" s="67" t="str">
        <f>IF($B403&lt;&gt;"",INDEX(DataOB[],FirstRow+ROW()-7,MATCH(X$6,DataOB[#Headers],0)),"")</f>
        <v/>
      </c>
      <c r="Y403" s="67" t="str">
        <f>IF($B403&lt;&gt;"",INDEX(DataOB[],FirstRow+ROW()-7,MATCH(Y$6,DataOB[#Headers],0)),"")</f>
        <v/>
      </c>
      <c r="Z403" s="67" t="str">
        <f>IF($B403&lt;&gt;"",INDEX(DataOB[],FirstRow+ROW()-7,MATCH(Z$6,DataOB[#Headers],0)),"")</f>
        <v/>
      </c>
      <c r="AA403" s="67" t="str">
        <f>IF($B403&lt;&gt;"",INDEX(DataOB[],FirstRow+ROW()-7,MATCH(AA$6,DataOB[#Headers],0)),"")</f>
        <v/>
      </c>
      <c r="AB403" s="67" t="str">
        <f>IF($B403&lt;&gt;"",INDEX(DataOB[],FirstRow+ROW()-7,MATCH(AB$6,DataOB[#Headers],0)),"")</f>
        <v/>
      </c>
      <c r="AC403" s="67" t="str">
        <f>IF($B403&lt;&gt;"",INDEX(DataOB[],FirstRow+ROW()-7,MATCH(AC$6,DataOB[#Headers],0)),"")</f>
        <v/>
      </c>
      <c r="AD403" s="67" t="str">
        <f>IF($B403&lt;&gt;"",INDEX(DataOB[],FirstRow+ROW()-7,MATCH(AD$6,DataOB[#Headers],0)),"")</f>
        <v/>
      </c>
      <c r="AE403" s="67" t="str">
        <f>IF($B403&lt;&gt;"",INDEX(DataOB[],FirstRow+ROW()-7,MATCH(AE$6,DataOB[#Headers],0)),"")</f>
        <v/>
      </c>
      <c r="AF403" s="26">
        <f t="shared" si="68"/>
        <v>0</v>
      </c>
      <c r="AG403" s="31">
        <f>SUM($T403:T403)</f>
        <v>0</v>
      </c>
      <c r="AH403" s="31">
        <f>SUM($T403:U403)</f>
        <v>0</v>
      </c>
      <c r="AI403" s="31">
        <f>SUM($T403:V403)</f>
        <v>0</v>
      </c>
      <c r="AJ403" s="31">
        <f>SUM($T403:W403)</f>
        <v>0</v>
      </c>
      <c r="AK403" s="31">
        <f>SUM($T403:X403)</f>
        <v>0</v>
      </c>
      <c r="AL403" s="31">
        <f>SUM($T403:Y403)</f>
        <v>0</v>
      </c>
      <c r="AM403" s="31">
        <f>SUM($T403:Z403)</f>
        <v>0</v>
      </c>
      <c r="AN403" s="31">
        <f>SUM($T403:AA403)</f>
        <v>0</v>
      </c>
      <c r="AO403" s="31">
        <f>SUM($T403:AB403)</f>
        <v>0</v>
      </c>
      <c r="AP403" s="31">
        <f>SUM($T403:AC403)</f>
        <v>0</v>
      </c>
      <c r="AQ403" s="31">
        <f>SUM($T403:AD403)</f>
        <v>0</v>
      </c>
      <c r="AR403" s="31">
        <f>SUM($T403:AE403)</f>
        <v>0</v>
      </c>
      <c r="AS403" s="27">
        <f t="shared" si="69"/>
        <v>0</v>
      </c>
    </row>
    <row r="404" spans="2:45">
      <c r="B404" s="102" t="str">
        <f>IF(ROW()-6&gt;NumCostCenter,"",IF(CostCenter&lt;&gt;"ALL",CostCenter,DATA_LF2!B402))</f>
        <v/>
      </c>
      <c r="C404" s="153" t="str">
        <f>IF($B404&lt;&gt;"",INDEX(DataOB[],FirstRow+ROW()-7,2),"")</f>
        <v/>
      </c>
      <c r="D404" s="66" t="str">
        <f>IF($B404&lt;&gt;"",INDEX(DataOB[],FirstRow+ROW()-7,3),"")</f>
        <v/>
      </c>
      <c r="E404" s="103" t="str">
        <f>IF($B404&lt;&gt;"",INDEX(DataOB[],FirstRow+ROW()-7,6),"")</f>
        <v/>
      </c>
      <c r="F404" s="103" t="str">
        <f>IF($B404&lt;&gt;"",INDEX(DataOB[],FirstRow+ROW()-7,5),"")</f>
        <v/>
      </c>
      <c r="G404" s="58">
        <f>IF($B404&lt;&gt;"",SUMIFS(DataAct_tbl[AMOUNT],DataAct_tbl[BG CODE],Detail!$D404,DataAct_tbl[MONTH],LEFT(MonthName,3),DataAct_tbl[Dept code],$B404),0)</f>
        <v>0</v>
      </c>
      <c r="H404" s="31" t="str">
        <f t="shared" si="61"/>
        <v/>
      </c>
      <c r="I404" s="28" t="str">
        <f t="shared" si="62"/>
        <v/>
      </c>
      <c r="J404" s="32" t="str">
        <f t="shared" si="63"/>
        <v/>
      </c>
      <c r="K404" s="86"/>
      <c r="L404" s="62">
        <f>IF($B404&lt;&gt;"",SUMIFS(DataAct_tbl[AMOUNT],DataAct_tbl[BG CODE],Detail!$D404,DataAct_tbl[Check Range],"=true",DataAct_tbl[Dept code],$B404),0)</f>
        <v>0</v>
      </c>
      <c r="M404" s="63">
        <f>INDEX($AG$7:$AR$1005,ROW()-6,MATCH(MTD,$AG$6:$AR$6,0))</f>
        <v>0</v>
      </c>
      <c r="N404" s="34">
        <f t="shared" si="64"/>
        <v>0</v>
      </c>
      <c r="O404" s="64" t="str">
        <f t="shared" si="65"/>
        <v xml:space="preserve"> </v>
      </c>
      <c r="Q404" s="97">
        <f t="shared" si="66"/>
        <v>0</v>
      </c>
      <c r="R404" s="96">
        <f t="shared" si="67"/>
        <v>0</v>
      </c>
      <c r="T404" s="67" t="str">
        <f>IF($B404&lt;&gt;"",INDEX(DataOB[],FirstRow+ROW()-7,MATCH(T$6,DataOB[#Headers],0)),"")</f>
        <v/>
      </c>
      <c r="U404" s="67" t="str">
        <f>IF($B404&lt;&gt;"",INDEX(DataOB[],FirstRow+ROW()-7,MATCH(U$6,DataOB[#Headers],0)),"")</f>
        <v/>
      </c>
      <c r="V404" s="67" t="str">
        <f>IF($B404&lt;&gt;"",INDEX(DataOB[],FirstRow+ROW()-7,MATCH(V$6,DataOB[#Headers],0)),"")</f>
        <v/>
      </c>
      <c r="W404" s="67" t="str">
        <f>IF($B404&lt;&gt;"",INDEX(DataOB[],FirstRow+ROW()-7,MATCH(W$6,DataOB[#Headers],0)),"")</f>
        <v/>
      </c>
      <c r="X404" s="67" t="str">
        <f>IF($B404&lt;&gt;"",INDEX(DataOB[],FirstRow+ROW()-7,MATCH(X$6,DataOB[#Headers],0)),"")</f>
        <v/>
      </c>
      <c r="Y404" s="67" t="str">
        <f>IF($B404&lt;&gt;"",INDEX(DataOB[],FirstRow+ROW()-7,MATCH(Y$6,DataOB[#Headers],0)),"")</f>
        <v/>
      </c>
      <c r="Z404" s="67" t="str">
        <f>IF($B404&lt;&gt;"",INDEX(DataOB[],FirstRow+ROW()-7,MATCH(Z$6,DataOB[#Headers],0)),"")</f>
        <v/>
      </c>
      <c r="AA404" s="67" t="str">
        <f>IF($B404&lt;&gt;"",INDEX(DataOB[],FirstRow+ROW()-7,MATCH(AA$6,DataOB[#Headers],0)),"")</f>
        <v/>
      </c>
      <c r="AB404" s="67" t="str">
        <f>IF($B404&lt;&gt;"",INDEX(DataOB[],FirstRow+ROW()-7,MATCH(AB$6,DataOB[#Headers],0)),"")</f>
        <v/>
      </c>
      <c r="AC404" s="67" t="str">
        <f>IF($B404&lt;&gt;"",INDEX(DataOB[],FirstRow+ROW()-7,MATCH(AC$6,DataOB[#Headers],0)),"")</f>
        <v/>
      </c>
      <c r="AD404" s="67" t="str">
        <f>IF($B404&lt;&gt;"",INDEX(DataOB[],FirstRow+ROW()-7,MATCH(AD$6,DataOB[#Headers],0)),"")</f>
        <v/>
      </c>
      <c r="AE404" s="67" t="str">
        <f>IF($B404&lt;&gt;"",INDEX(DataOB[],FirstRow+ROW()-7,MATCH(AE$6,DataOB[#Headers],0)),"")</f>
        <v/>
      </c>
      <c r="AF404" s="26">
        <f t="shared" si="68"/>
        <v>0</v>
      </c>
      <c r="AG404" s="31">
        <f>SUM($T404:T404)</f>
        <v>0</v>
      </c>
      <c r="AH404" s="31">
        <f>SUM($T404:U404)</f>
        <v>0</v>
      </c>
      <c r="AI404" s="31">
        <f>SUM($T404:V404)</f>
        <v>0</v>
      </c>
      <c r="AJ404" s="31">
        <f>SUM($T404:W404)</f>
        <v>0</v>
      </c>
      <c r="AK404" s="31">
        <f>SUM($T404:X404)</f>
        <v>0</v>
      </c>
      <c r="AL404" s="31">
        <f>SUM($T404:Y404)</f>
        <v>0</v>
      </c>
      <c r="AM404" s="31">
        <f>SUM($T404:Z404)</f>
        <v>0</v>
      </c>
      <c r="AN404" s="31">
        <f>SUM($T404:AA404)</f>
        <v>0</v>
      </c>
      <c r="AO404" s="31">
        <f>SUM($T404:AB404)</f>
        <v>0</v>
      </c>
      <c r="AP404" s="31">
        <f>SUM($T404:AC404)</f>
        <v>0</v>
      </c>
      <c r="AQ404" s="31">
        <f>SUM($T404:AD404)</f>
        <v>0</v>
      </c>
      <c r="AR404" s="31">
        <f>SUM($T404:AE404)</f>
        <v>0</v>
      </c>
      <c r="AS404" s="27">
        <f t="shared" si="69"/>
        <v>0</v>
      </c>
    </row>
    <row r="405" spans="2:45">
      <c r="B405" s="102" t="str">
        <f>IF(ROW()-6&gt;NumCostCenter,"",IF(CostCenter&lt;&gt;"ALL",CostCenter,DATA_LF2!B403))</f>
        <v/>
      </c>
      <c r="C405" s="153" t="str">
        <f>IF($B405&lt;&gt;"",INDEX(DataOB[],FirstRow+ROW()-7,2),"")</f>
        <v/>
      </c>
      <c r="D405" s="66" t="str">
        <f>IF($B405&lt;&gt;"",INDEX(DataOB[],FirstRow+ROW()-7,3),"")</f>
        <v/>
      </c>
      <c r="E405" s="103" t="str">
        <f>IF($B405&lt;&gt;"",INDEX(DataOB[],FirstRow+ROW()-7,6),"")</f>
        <v/>
      </c>
      <c r="F405" s="103" t="str">
        <f>IF($B405&lt;&gt;"",INDEX(DataOB[],FirstRow+ROW()-7,5),"")</f>
        <v/>
      </c>
      <c r="G405" s="58">
        <f>IF($B405&lt;&gt;"",SUMIFS(DataAct_tbl[AMOUNT],DataAct_tbl[BG CODE],Detail!$D405,DataAct_tbl[MONTH],LEFT(MonthName,3),DataAct_tbl[Dept code],$B405),0)</f>
        <v>0</v>
      </c>
      <c r="H405" s="31" t="str">
        <f t="shared" si="61"/>
        <v/>
      </c>
      <c r="I405" s="28" t="str">
        <f t="shared" si="62"/>
        <v/>
      </c>
      <c r="J405" s="32" t="str">
        <f t="shared" si="63"/>
        <v/>
      </c>
      <c r="K405" s="86"/>
      <c r="L405" s="62">
        <f>IF($B405&lt;&gt;"",SUMIFS(DataAct_tbl[AMOUNT],DataAct_tbl[BG CODE],Detail!$D405,DataAct_tbl[Check Range],"=true",DataAct_tbl[Dept code],$B405),0)</f>
        <v>0</v>
      </c>
      <c r="M405" s="63">
        <f>INDEX($AG$7:$AR$1005,ROW()-6,MATCH(MTD,$AG$6:$AR$6,0))</f>
        <v>0</v>
      </c>
      <c r="N405" s="34">
        <f t="shared" si="64"/>
        <v>0</v>
      </c>
      <c r="O405" s="64" t="str">
        <f t="shared" si="65"/>
        <v xml:space="preserve"> </v>
      </c>
      <c r="Q405" s="97">
        <f t="shared" si="66"/>
        <v>0</v>
      </c>
      <c r="R405" s="96">
        <f t="shared" si="67"/>
        <v>0</v>
      </c>
      <c r="T405" s="67" t="str">
        <f>IF($B405&lt;&gt;"",INDEX(DataOB[],FirstRow+ROW()-7,MATCH(T$6,DataOB[#Headers],0)),"")</f>
        <v/>
      </c>
      <c r="U405" s="67" t="str">
        <f>IF($B405&lt;&gt;"",INDEX(DataOB[],FirstRow+ROW()-7,MATCH(U$6,DataOB[#Headers],0)),"")</f>
        <v/>
      </c>
      <c r="V405" s="67" t="str">
        <f>IF($B405&lt;&gt;"",INDEX(DataOB[],FirstRow+ROW()-7,MATCH(V$6,DataOB[#Headers],0)),"")</f>
        <v/>
      </c>
      <c r="W405" s="67" t="str">
        <f>IF($B405&lt;&gt;"",INDEX(DataOB[],FirstRow+ROW()-7,MATCH(W$6,DataOB[#Headers],0)),"")</f>
        <v/>
      </c>
      <c r="X405" s="67" t="str">
        <f>IF($B405&lt;&gt;"",INDEX(DataOB[],FirstRow+ROW()-7,MATCH(X$6,DataOB[#Headers],0)),"")</f>
        <v/>
      </c>
      <c r="Y405" s="67" t="str">
        <f>IF($B405&lt;&gt;"",INDEX(DataOB[],FirstRow+ROW()-7,MATCH(Y$6,DataOB[#Headers],0)),"")</f>
        <v/>
      </c>
      <c r="Z405" s="67" t="str">
        <f>IF($B405&lt;&gt;"",INDEX(DataOB[],FirstRow+ROW()-7,MATCH(Z$6,DataOB[#Headers],0)),"")</f>
        <v/>
      </c>
      <c r="AA405" s="67" t="str">
        <f>IF($B405&lt;&gt;"",INDEX(DataOB[],FirstRow+ROW()-7,MATCH(AA$6,DataOB[#Headers],0)),"")</f>
        <v/>
      </c>
      <c r="AB405" s="67" t="str">
        <f>IF($B405&lt;&gt;"",INDEX(DataOB[],FirstRow+ROW()-7,MATCH(AB$6,DataOB[#Headers],0)),"")</f>
        <v/>
      </c>
      <c r="AC405" s="67" t="str">
        <f>IF($B405&lt;&gt;"",INDEX(DataOB[],FirstRow+ROW()-7,MATCH(AC$6,DataOB[#Headers],0)),"")</f>
        <v/>
      </c>
      <c r="AD405" s="67" t="str">
        <f>IF($B405&lt;&gt;"",INDEX(DataOB[],FirstRow+ROW()-7,MATCH(AD$6,DataOB[#Headers],0)),"")</f>
        <v/>
      </c>
      <c r="AE405" s="67" t="str">
        <f>IF($B405&lt;&gt;"",INDEX(DataOB[],FirstRow+ROW()-7,MATCH(AE$6,DataOB[#Headers],0)),"")</f>
        <v/>
      </c>
      <c r="AF405" s="26">
        <f t="shared" si="68"/>
        <v>0</v>
      </c>
      <c r="AG405" s="31">
        <f>SUM($T405:T405)</f>
        <v>0</v>
      </c>
      <c r="AH405" s="31">
        <f>SUM($T405:U405)</f>
        <v>0</v>
      </c>
      <c r="AI405" s="31">
        <f>SUM($T405:V405)</f>
        <v>0</v>
      </c>
      <c r="AJ405" s="31">
        <f>SUM($T405:W405)</f>
        <v>0</v>
      </c>
      <c r="AK405" s="31">
        <f>SUM($T405:X405)</f>
        <v>0</v>
      </c>
      <c r="AL405" s="31">
        <f>SUM($T405:Y405)</f>
        <v>0</v>
      </c>
      <c r="AM405" s="31">
        <f>SUM($T405:Z405)</f>
        <v>0</v>
      </c>
      <c r="AN405" s="31">
        <f>SUM($T405:AA405)</f>
        <v>0</v>
      </c>
      <c r="AO405" s="31">
        <f>SUM($T405:AB405)</f>
        <v>0</v>
      </c>
      <c r="AP405" s="31">
        <f>SUM($T405:AC405)</f>
        <v>0</v>
      </c>
      <c r="AQ405" s="31">
        <f>SUM($T405:AD405)</f>
        <v>0</v>
      </c>
      <c r="AR405" s="31">
        <f>SUM($T405:AE405)</f>
        <v>0</v>
      </c>
      <c r="AS405" s="27">
        <f t="shared" si="69"/>
        <v>0</v>
      </c>
    </row>
    <row r="406" spans="2:45">
      <c r="B406" s="102" t="str">
        <f>IF(ROW()-6&gt;NumCostCenter,"",IF(CostCenter&lt;&gt;"ALL",CostCenter,DATA_LF2!B404))</f>
        <v/>
      </c>
      <c r="C406" s="153" t="str">
        <f>IF($B406&lt;&gt;"",INDEX(DataOB[],FirstRow+ROW()-7,2),"")</f>
        <v/>
      </c>
      <c r="D406" s="66" t="str">
        <f>IF($B406&lt;&gt;"",INDEX(DataOB[],FirstRow+ROW()-7,3),"")</f>
        <v/>
      </c>
      <c r="E406" s="103" t="str">
        <f>IF($B406&lt;&gt;"",INDEX(DataOB[],FirstRow+ROW()-7,6),"")</f>
        <v/>
      </c>
      <c r="F406" s="103" t="str">
        <f>IF($B406&lt;&gt;"",INDEX(DataOB[],FirstRow+ROW()-7,5),"")</f>
        <v/>
      </c>
      <c r="G406" s="58">
        <f>IF($B406&lt;&gt;"",SUMIFS(DataAct_tbl[AMOUNT],DataAct_tbl[BG CODE],Detail!$D406,DataAct_tbl[MONTH],LEFT(MonthName,3),DataAct_tbl[Dept code],$B406),0)</f>
        <v>0</v>
      </c>
      <c r="H406" s="31" t="str">
        <f t="shared" si="61"/>
        <v/>
      </c>
      <c r="I406" s="28" t="str">
        <f t="shared" si="62"/>
        <v/>
      </c>
      <c r="J406" s="32" t="str">
        <f t="shared" si="63"/>
        <v/>
      </c>
      <c r="K406" s="86"/>
      <c r="L406" s="62">
        <f>IF($B406&lt;&gt;"",SUMIFS(DataAct_tbl[AMOUNT],DataAct_tbl[BG CODE],Detail!$D406,DataAct_tbl[Check Range],"=true",DataAct_tbl[Dept code],$B406),0)</f>
        <v>0</v>
      </c>
      <c r="M406" s="63">
        <f>INDEX($AG$7:$AR$1005,ROW()-6,MATCH(MTD,$AG$6:$AR$6,0))</f>
        <v>0</v>
      </c>
      <c r="N406" s="34">
        <f t="shared" si="64"/>
        <v>0</v>
      </c>
      <c r="O406" s="64" t="str">
        <f t="shared" si="65"/>
        <v xml:space="preserve"> </v>
      </c>
      <c r="Q406" s="97">
        <f t="shared" si="66"/>
        <v>0</v>
      </c>
      <c r="R406" s="96">
        <f t="shared" si="67"/>
        <v>0</v>
      </c>
      <c r="T406" s="67" t="str">
        <f>IF($B406&lt;&gt;"",INDEX(DataOB[],FirstRow+ROW()-7,MATCH(T$6,DataOB[#Headers],0)),"")</f>
        <v/>
      </c>
      <c r="U406" s="67" t="str">
        <f>IF($B406&lt;&gt;"",INDEX(DataOB[],FirstRow+ROW()-7,MATCH(U$6,DataOB[#Headers],0)),"")</f>
        <v/>
      </c>
      <c r="V406" s="67" t="str">
        <f>IF($B406&lt;&gt;"",INDEX(DataOB[],FirstRow+ROW()-7,MATCH(V$6,DataOB[#Headers],0)),"")</f>
        <v/>
      </c>
      <c r="W406" s="67" t="str">
        <f>IF($B406&lt;&gt;"",INDEX(DataOB[],FirstRow+ROW()-7,MATCH(W$6,DataOB[#Headers],0)),"")</f>
        <v/>
      </c>
      <c r="X406" s="67" t="str">
        <f>IF($B406&lt;&gt;"",INDEX(DataOB[],FirstRow+ROW()-7,MATCH(X$6,DataOB[#Headers],0)),"")</f>
        <v/>
      </c>
      <c r="Y406" s="67" t="str">
        <f>IF($B406&lt;&gt;"",INDEX(DataOB[],FirstRow+ROW()-7,MATCH(Y$6,DataOB[#Headers],0)),"")</f>
        <v/>
      </c>
      <c r="Z406" s="67" t="str">
        <f>IF($B406&lt;&gt;"",INDEX(DataOB[],FirstRow+ROW()-7,MATCH(Z$6,DataOB[#Headers],0)),"")</f>
        <v/>
      </c>
      <c r="AA406" s="67" t="str">
        <f>IF($B406&lt;&gt;"",INDEX(DataOB[],FirstRow+ROW()-7,MATCH(AA$6,DataOB[#Headers],0)),"")</f>
        <v/>
      </c>
      <c r="AB406" s="67" t="str">
        <f>IF($B406&lt;&gt;"",INDEX(DataOB[],FirstRow+ROW()-7,MATCH(AB$6,DataOB[#Headers],0)),"")</f>
        <v/>
      </c>
      <c r="AC406" s="67" t="str">
        <f>IF($B406&lt;&gt;"",INDEX(DataOB[],FirstRow+ROW()-7,MATCH(AC$6,DataOB[#Headers],0)),"")</f>
        <v/>
      </c>
      <c r="AD406" s="67" t="str">
        <f>IF($B406&lt;&gt;"",INDEX(DataOB[],FirstRow+ROW()-7,MATCH(AD$6,DataOB[#Headers],0)),"")</f>
        <v/>
      </c>
      <c r="AE406" s="67" t="str">
        <f>IF($B406&lt;&gt;"",INDEX(DataOB[],FirstRow+ROW()-7,MATCH(AE$6,DataOB[#Headers],0)),"")</f>
        <v/>
      </c>
      <c r="AF406" s="26">
        <f t="shared" si="68"/>
        <v>0</v>
      </c>
      <c r="AG406" s="31">
        <f>SUM($T406:T406)</f>
        <v>0</v>
      </c>
      <c r="AH406" s="31">
        <f>SUM($T406:U406)</f>
        <v>0</v>
      </c>
      <c r="AI406" s="31">
        <f>SUM($T406:V406)</f>
        <v>0</v>
      </c>
      <c r="AJ406" s="31">
        <f>SUM($T406:W406)</f>
        <v>0</v>
      </c>
      <c r="AK406" s="31">
        <f>SUM($T406:X406)</f>
        <v>0</v>
      </c>
      <c r="AL406" s="31">
        <f>SUM($T406:Y406)</f>
        <v>0</v>
      </c>
      <c r="AM406" s="31">
        <f>SUM($T406:Z406)</f>
        <v>0</v>
      </c>
      <c r="AN406" s="31">
        <f>SUM($T406:AA406)</f>
        <v>0</v>
      </c>
      <c r="AO406" s="31">
        <f>SUM($T406:AB406)</f>
        <v>0</v>
      </c>
      <c r="AP406" s="31">
        <f>SUM($T406:AC406)</f>
        <v>0</v>
      </c>
      <c r="AQ406" s="31">
        <f>SUM($T406:AD406)</f>
        <v>0</v>
      </c>
      <c r="AR406" s="31">
        <f>SUM($T406:AE406)</f>
        <v>0</v>
      </c>
      <c r="AS406" s="27">
        <f t="shared" si="69"/>
        <v>0</v>
      </c>
    </row>
    <row r="407" spans="2:45">
      <c r="B407" s="102" t="str">
        <f>IF(ROW()-6&gt;NumCostCenter,"",IF(CostCenter&lt;&gt;"ALL",CostCenter,DATA_LF2!B405))</f>
        <v/>
      </c>
      <c r="C407" s="153" t="str">
        <f>IF($B407&lt;&gt;"",INDEX(DataOB[],FirstRow+ROW()-7,2),"")</f>
        <v/>
      </c>
      <c r="D407" s="66" t="str">
        <f>IF($B407&lt;&gt;"",INDEX(DataOB[],FirstRow+ROW()-7,3),"")</f>
        <v/>
      </c>
      <c r="E407" s="103" t="str">
        <f>IF($B407&lt;&gt;"",INDEX(DataOB[],FirstRow+ROW()-7,6),"")</f>
        <v/>
      </c>
      <c r="F407" s="103" t="str">
        <f>IF($B407&lt;&gt;"",INDEX(DataOB[],FirstRow+ROW()-7,5),"")</f>
        <v/>
      </c>
      <c r="G407" s="58">
        <f>IF($B407&lt;&gt;"",SUMIFS(DataAct_tbl[AMOUNT],DataAct_tbl[BG CODE],Detail!$D407,DataAct_tbl[MONTH],LEFT(MonthName,3),DataAct_tbl[Dept code],$B407),0)</f>
        <v>0</v>
      </c>
      <c r="H407" s="31" t="str">
        <f t="shared" si="61"/>
        <v/>
      </c>
      <c r="I407" s="28" t="str">
        <f t="shared" si="62"/>
        <v/>
      </c>
      <c r="J407" s="32" t="str">
        <f t="shared" si="63"/>
        <v/>
      </c>
      <c r="K407" s="86"/>
      <c r="L407" s="62">
        <f>IF($B407&lt;&gt;"",SUMIFS(DataAct_tbl[AMOUNT],DataAct_tbl[BG CODE],Detail!$D407,DataAct_tbl[Check Range],"=true",DataAct_tbl[Dept code],$B407),0)</f>
        <v>0</v>
      </c>
      <c r="M407" s="63">
        <f>INDEX($AG$7:$AR$1005,ROW()-6,MATCH(MTD,$AG$6:$AR$6,0))</f>
        <v>0</v>
      </c>
      <c r="N407" s="34">
        <f t="shared" si="64"/>
        <v>0</v>
      </c>
      <c r="O407" s="64" t="str">
        <f t="shared" si="65"/>
        <v xml:space="preserve"> </v>
      </c>
      <c r="Q407" s="97">
        <f t="shared" si="66"/>
        <v>0</v>
      </c>
      <c r="R407" s="96">
        <f t="shared" si="67"/>
        <v>0</v>
      </c>
      <c r="T407" s="67" t="str">
        <f>IF($B407&lt;&gt;"",INDEX(DataOB[],FirstRow+ROW()-7,MATCH(T$6,DataOB[#Headers],0)),"")</f>
        <v/>
      </c>
      <c r="U407" s="67" t="str">
        <f>IF($B407&lt;&gt;"",INDEX(DataOB[],FirstRow+ROW()-7,MATCH(U$6,DataOB[#Headers],0)),"")</f>
        <v/>
      </c>
      <c r="V407" s="67" t="str">
        <f>IF($B407&lt;&gt;"",INDEX(DataOB[],FirstRow+ROW()-7,MATCH(V$6,DataOB[#Headers],0)),"")</f>
        <v/>
      </c>
      <c r="W407" s="67" t="str">
        <f>IF($B407&lt;&gt;"",INDEX(DataOB[],FirstRow+ROW()-7,MATCH(W$6,DataOB[#Headers],0)),"")</f>
        <v/>
      </c>
      <c r="X407" s="67" t="str">
        <f>IF($B407&lt;&gt;"",INDEX(DataOB[],FirstRow+ROW()-7,MATCH(X$6,DataOB[#Headers],0)),"")</f>
        <v/>
      </c>
      <c r="Y407" s="67" t="str">
        <f>IF($B407&lt;&gt;"",INDEX(DataOB[],FirstRow+ROW()-7,MATCH(Y$6,DataOB[#Headers],0)),"")</f>
        <v/>
      </c>
      <c r="Z407" s="67" t="str">
        <f>IF($B407&lt;&gt;"",INDEX(DataOB[],FirstRow+ROW()-7,MATCH(Z$6,DataOB[#Headers],0)),"")</f>
        <v/>
      </c>
      <c r="AA407" s="67" t="str">
        <f>IF($B407&lt;&gt;"",INDEX(DataOB[],FirstRow+ROW()-7,MATCH(AA$6,DataOB[#Headers],0)),"")</f>
        <v/>
      </c>
      <c r="AB407" s="67" t="str">
        <f>IF($B407&lt;&gt;"",INDEX(DataOB[],FirstRow+ROW()-7,MATCH(AB$6,DataOB[#Headers],0)),"")</f>
        <v/>
      </c>
      <c r="AC407" s="67" t="str">
        <f>IF($B407&lt;&gt;"",INDEX(DataOB[],FirstRow+ROW()-7,MATCH(AC$6,DataOB[#Headers],0)),"")</f>
        <v/>
      </c>
      <c r="AD407" s="67" t="str">
        <f>IF($B407&lt;&gt;"",INDEX(DataOB[],FirstRow+ROW()-7,MATCH(AD$6,DataOB[#Headers],0)),"")</f>
        <v/>
      </c>
      <c r="AE407" s="67" t="str">
        <f>IF($B407&lt;&gt;"",INDEX(DataOB[],FirstRow+ROW()-7,MATCH(AE$6,DataOB[#Headers],0)),"")</f>
        <v/>
      </c>
      <c r="AF407" s="26">
        <f t="shared" si="68"/>
        <v>0</v>
      </c>
      <c r="AG407" s="31">
        <f>SUM($T407:T407)</f>
        <v>0</v>
      </c>
      <c r="AH407" s="31">
        <f>SUM($T407:U407)</f>
        <v>0</v>
      </c>
      <c r="AI407" s="31">
        <f>SUM($T407:V407)</f>
        <v>0</v>
      </c>
      <c r="AJ407" s="31">
        <f>SUM($T407:W407)</f>
        <v>0</v>
      </c>
      <c r="AK407" s="31">
        <f>SUM($T407:X407)</f>
        <v>0</v>
      </c>
      <c r="AL407" s="31">
        <f>SUM($T407:Y407)</f>
        <v>0</v>
      </c>
      <c r="AM407" s="31">
        <f>SUM($T407:Z407)</f>
        <v>0</v>
      </c>
      <c r="AN407" s="31">
        <f>SUM($T407:AA407)</f>
        <v>0</v>
      </c>
      <c r="AO407" s="31">
        <f>SUM($T407:AB407)</f>
        <v>0</v>
      </c>
      <c r="AP407" s="31">
        <f>SUM($T407:AC407)</f>
        <v>0</v>
      </c>
      <c r="AQ407" s="31">
        <f>SUM($T407:AD407)</f>
        <v>0</v>
      </c>
      <c r="AR407" s="31">
        <f>SUM($T407:AE407)</f>
        <v>0</v>
      </c>
      <c r="AS407" s="27">
        <f t="shared" si="69"/>
        <v>0</v>
      </c>
    </row>
    <row r="408" spans="2:45">
      <c r="B408" s="102" t="str">
        <f>IF(ROW()-6&gt;NumCostCenter,"",IF(CostCenter&lt;&gt;"ALL",CostCenter,DATA_LF2!B406))</f>
        <v/>
      </c>
      <c r="C408" s="153" t="str">
        <f>IF($B408&lt;&gt;"",INDEX(DataOB[],FirstRow+ROW()-7,2),"")</f>
        <v/>
      </c>
      <c r="D408" s="66" t="str">
        <f>IF($B408&lt;&gt;"",INDEX(DataOB[],FirstRow+ROW()-7,3),"")</f>
        <v/>
      </c>
      <c r="E408" s="103" t="str">
        <f>IF($B408&lt;&gt;"",INDEX(DataOB[],FirstRow+ROW()-7,6),"")</f>
        <v/>
      </c>
      <c r="F408" s="103" t="str">
        <f>IF($B408&lt;&gt;"",INDEX(DataOB[],FirstRow+ROW()-7,5),"")</f>
        <v/>
      </c>
      <c r="G408" s="58">
        <f>IF($B408&lt;&gt;"",SUMIFS(DataAct_tbl[AMOUNT],DataAct_tbl[BG CODE],Detail!$D408,DataAct_tbl[MONTH],LEFT(MonthName,3),DataAct_tbl[Dept code],$B408),0)</f>
        <v>0</v>
      </c>
      <c r="H408" s="31" t="str">
        <f t="shared" si="61"/>
        <v/>
      </c>
      <c r="I408" s="28" t="str">
        <f t="shared" si="62"/>
        <v/>
      </c>
      <c r="J408" s="32" t="str">
        <f t="shared" si="63"/>
        <v/>
      </c>
      <c r="K408" s="86"/>
      <c r="L408" s="62">
        <f>IF($B408&lt;&gt;"",SUMIFS(DataAct_tbl[AMOUNT],DataAct_tbl[BG CODE],Detail!$D408,DataAct_tbl[Check Range],"=true",DataAct_tbl[Dept code],$B408),0)</f>
        <v>0</v>
      </c>
      <c r="M408" s="63">
        <f>INDEX($AG$7:$AR$1005,ROW()-6,MATCH(MTD,$AG$6:$AR$6,0))</f>
        <v>0</v>
      </c>
      <c r="N408" s="34">
        <f t="shared" si="64"/>
        <v>0</v>
      </c>
      <c r="O408" s="64" t="str">
        <f t="shared" si="65"/>
        <v xml:space="preserve"> </v>
      </c>
      <c r="Q408" s="97">
        <f t="shared" si="66"/>
        <v>0</v>
      </c>
      <c r="R408" s="96">
        <f t="shared" si="67"/>
        <v>0</v>
      </c>
      <c r="T408" s="67" t="str">
        <f>IF($B408&lt;&gt;"",INDEX(DataOB[],FirstRow+ROW()-7,MATCH(T$6,DataOB[#Headers],0)),"")</f>
        <v/>
      </c>
      <c r="U408" s="67" t="str">
        <f>IF($B408&lt;&gt;"",INDEX(DataOB[],FirstRow+ROW()-7,MATCH(U$6,DataOB[#Headers],0)),"")</f>
        <v/>
      </c>
      <c r="V408" s="67" t="str">
        <f>IF($B408&lt;&gt;"",INDEX(DataOB[],FirstRow+ROW()-7,MATCH(V$6,DataOB[#Headers],0)),"")</f>
        <v/>
      </c>
      <c r="W408" s="67" t="str">
        <f>IF($B408&lt;&gt;"",INDEX(DataOB[],FirstRow+ROW()-7,MATCH(W$6,DataOB[#Headers],0)),"")</f>
        <v/>
      </c>
      <c r="X408" s="67" t="str">
        <f>IF($B408&lt;&gt;"",INDEX(DataOB[],FirstRow+ROW()-7,MATCH(X$6,DataOB[#Headers],0)),"")</f>
        <v/>
      </c>
      <c r="Y408" s="67" t="str">
        <f>IF($B408&lt;&gt;"",INDEX(DataOB[],FirstRow+ROW()-7,MATCH(Y$6,DataOB[#Headers],0)),"")</f>
        <v/>
      </c>
      <c r="Z408" s="67" t="str">
        <f>IF($B408&lt;&gt;"",INDEX(DataOB[],FirstRow+ROW()-7,MATCH(Z$6,DataOB[#Headers],0)),"")</f>
        <v/>
      </c>
      <c r="AA408" s="67" t="str">
        <f>IF($B408&lt;&gt;"",INDEX(DataOB[],FirstRow+ROW()-7,MATCH(AA$6,DataOB[#Headers],0)),"")</f>
        <v/>
      </c>
      <c r="AB408" s="67" t="str">
        <f>IF($B408&lt;&gt;"",INDEX(DataOB[],FirstRow+ROW()-7,MATCH(AB$6,DataOB[#Headers],0)),"")</f>
        <v/>
      </c>
      <c r="AC408" s="67" t="str">
        <f>IF($B408&lt;&gt;"",INDEX(DataOB[],FirstRow+ROW()-7,MATCH(AC$6,DataOB[#Headers],0)),"")</f>
        <v/>
      </c>
      <c r="AD408" s="67" t="str">
        <f>IF($B408&lt;&gt;"",INDEX(DataOB[],FirstRow+ROW()-7,MATCH(AD$6,DataOB[#Headers],0)),"")</f>
        <v/>
      </c>
      <c r="AE408" s="67" t="str">
        <f>IF($B408&lt;&gt;"",INDEX(DataOB[],FirstRow+ROW()-7,MATCH(AE$6,DataOB[#Headers],0)),"")</f>
        <v/>
      </c>
      <c r="AF408" s="26">
        <f t="shared" si="68"/>
        <v>0</v>
      </c>
      <c r="AG408" s="31">
        <f>SUM($T408:T408)</f>
        <v>0</v>
      </c>
      <c r="AH408" s="31">
        <f>SUM($T408:U408)</f>
        <v>0</v>
      </c>
      <c r="AI408" s="31">
        <f>SUM($T408:V408)</f>
        <v>0</v>
      </c>
      <c r="AJ408" s="31">
        <f>SUM($T408:W408)</f>
        <v>0</v>
      </c>
      <c r="AK408" s="31">
        <f>SUM($T408:X408)</f>
        <v>0</v>
      </c>
      <c r="AL408" s="31">
        <f>SUM($T408:Y408)</f>
        <v>0</v>
      </c>
      <c r="AM408" s="31">
        <f>SUM($T408:Z408)</f>
        <v>0</v>
      </c>
      <c r="AN408" s="31">
        <f>SUM($T408:AA408)</f>
        <v>0</v>
      </c>
      <c r="AO408" s="31">
        <f>SUM($T408:AB408)</f>
        <v>0</v>
      </c>
      <c r="AP408" s="31">
        <f>SUM($T408:AC408)</f>
        <v>0</v>
      </c>
      <c r="AQ408" s="31">
        <f>SUM($T408:AD408)</f>
        <v>0</v>
      </c>
      <c r="AR408" s="31">
        <f>SUM($T408:AE408)</f>
        <v>0</v>
      </c>
      <c r="AS408" s="27">
        <f t="shared" si="69"/>
        <v>0</v>
      </c>
    </row>
    <row r="409" spans="2:45">
      <c r="B409" s="102" t="str">
        <f>IF(ROW()-6&gt;NumCostCenter,"",IF(CostCenter&lt;&gt;"ALL",CostCenter,DATA_LF2!B407))</f>
        <v/>
      </c>
      <c r="C409" s="153" t="str">
        <f>IF($B409&lt;&gt;"",INDEX(DataOB[],FirstRow+ROW()-7,2),"")</f>
        <v/>
      </c>
      <c r="D409" s="66" t="str">
        <f>IF($B409&lt;&gt;"",INDEX(DataOB[],FirstRow+ROW()-7,3),"")</f>
        <v/>
      </c>
      <c r="E409" s="103" t="str">
        <f>IF($B409&lt;&gt;"",INDEX(DataOB[],FirstRow+ROW()-7,6),"")</f>
        <v/>
      </c>
      <c r="F409" s="103" t="str">
        <f>IF($B409&lt;&gt;"",INDEX(DataOB[],FirstRow+ROW()-7,5),"")</f>
        <v/>
      </c>
      <c r="G409" s="58">
        <f>IF($B409&lt;&gt;"",SUMIFS(DataAct_tbl[AMOUNT],DataAct_tbl[BG CODE],Detail!$D409,DataAct_tbl[MONTH],LEFT(MonthName,3),DataAct_tbl[Dept code],$B409),0)</f>
        <v>0</v>
      </c>
      <c r="H409" s="31" t="str">
        <f t="shared" si="61"/>
        <v/>
      </c>
      <c r="I409" s="28" t="str">
        <f t="shared" si="62"/>
        <v/>
      </c>
      <c r="J409" s="32" t="str">
        <f t="shared" si="63"/>
        <v/>
      </c>
      <c r="K409" s="86"/>
      <c r="L409" s="62">
        <f>IF($B409&lt;&gt;"",SUMIFS(DataAct_tbl[AMOUNT],DataAct_tbl[BG CODE],Detail!$D409,DataAct_tbl[Check Range],"=true",DataAct_tbl[Dept code],$B409),0)</f>
        <v>0</v>
      </c>
      <c r="M409" s="63">
        <f>INDEX($AG$7:$AR$1005,ROW()-6,MATCH(MTD,$AG$6:$AR$6,0))</f>
        <v>0</v>
      </c>
      <c r="N409" s="34">
        <f t="shared" si="64"/>
        <v>0</v>
      </c>
      <c r="O409" s="64" t="str">
        <f t="shared" si="65"/>
        <v xml:space="preserve"> </v>
      </c>
      <c r="Q409" s="97">
        <f t="shared" si="66"/>
        <v>0</v>
      </c>
      <c r="R409" s="96">
        <f t="shared" si="67"/>
        <v>0</v>
      </c>
      <c r="T409" s="67" t="str">
        <f>IF($B409&lt;&gt;"",INDEX(DataOB[],FirstRow+ROW()-7,MATCH(T$6,DataOB[#Headers],0)),"")</f>
        <v/>
      </c>
      <c r="U409" s="67" t="str">
        <f>IF($B409&lt;&gt;"",INDEX(DataOB[],FirstRow+ROW()-7,MATCH(U$6,DataOB[#Headers],0)),"")</f>
        <v/>
      </c>
      <c r="V409" s="67" t="str">
        <f>IF($B409&lt;&gt;"",INDEX(DataOB[],FirstRow+ROW()-7,MATCH(V$6,DataOB[#Headers],0)),"")</f>
        <v/>
      </c>
      <c r="W409" s="67" t="str">
        <f>IF($B409&lt;&gt;"",INDEX(DataOB[],FirstRow+ROW()-7,MATCH(W$6,DataOB[#Headers],0)),"")</f>
        <v/>
      </c>
      <c r="X409" s="67" t="str">
        <f>IF($B409&lt;&gt;"",INDEX(DataOB[],FirstRow+ROW()-7,MATCH(X$6,DataOB[#Headers],0)),"")</f>
        <v/>
      </c>
      <c r="Y409" s="67" t="str">
        <f>IF($B409&lt;&gt;"",INDEX(DataOB[],FirstRow+ROW()-7,MATCH(Y$6,DataOB[#Headers],0)),"")</f>
        <v/>
      </c>
      <c r="Z409" s="67" t="str">
        <f>IF($B409&lt;&gt;"",INDEX(DataOB[],FirstRow+ROW()-7,MATCH(Z$6,DataOB[#Headers],0)),"")</f>
        <v/>
      </c>
      <c r="AA409" s="67" t="str">
        <f>IF($B409&lt;&gt;"",INDEX(DataOB[],FirstRow+ROW()-7,MATCH(AA$6,DataOB[#Headers],0)),"")</f>
        <v/>
      </c>
      <c r="AB409" s="67" t="str">
        <f>IF($B409&lt;&gt;"",INDEX(DataOB[],FirstRow+ROW()-7,MATCH(AB$6,DataOB[#Headers],0)),"")</f>
        <v/>
      </c>
      <c r="AC409" s="67" t="str">
        <f>IF($B409&lt;&gt;"",INDEX(DataOB[],FirstRow+ROW()-7,MATCH(AC$6,DataOB[#Headers],0)),"")</f>
        <v/>
      </c>
      <c r="AD409" s="67" t="str">
        <f>IF($B409&lt;&gt;"",INDEX(DataOB[],FirstRow+ROW()-7,MATCH(AD$6,DataOB[#Headers],0)),"")</f>
        <v/>
      </c>
      <c r="AE409" s="67" t="str">
        <f>IF($B409&lt;&gt;"",INDEX(DataOB[],FirstRow+ROW()-7,MATCH(AE$6,DataOB[#Headers],0)),"")</f>
        <v/>
      </c>
      <c r="AF409" s="26">
        <f t="shared" si="68"/>
        <v>0</v>
      </c>
      <c r="AG409" s="31">
        <f>SUM($T409:T409)</f>
        <v>0</v>
      </c>
      <c r="AH409" s="31">
        <f>SUM($T409:U409)</f>
        <v>0</v>
      </c>
      <c r="AI409" s="31">
        <f>SUM($T409:V409)</f>
        <v>0</v>
      </c>
      <c r="AJ409" s="31">
        <f>SUM($T409:W409)</f>
        <v>0</v>
      </c>
      <c r="AK409" s="31">
        <f>SUM($T409:X409)</f>
        <v>0</v>
      </c>
      <c r="AL409" s="31">
        <f>SUM($T409:Y409)</f>
        <v>0</v>
      </c>
      <c r="AM409" s="31">
        <f>SUM($T409:Z409)</f>
        <v>0</v>
      </c>
      <c r="AN409" s="31">
        <f>SUM($T409:AA409)</f>
        <v>0</v>
      </c>
      <c r="AO409" s="31">
        <f>SUM($T409:AB409)</f>
        <v>0</v>
      </c>
      <c r="AP409" s="31">
        <f>SUM($T409:AC409)</f>
        <v>0</v>
      </c>
      <c r="AQ409" s="31">
        <f>SUM($T409:AD409)</f>
        <v>0</v>
      </c>
      <c r="AR409" s="31">
        <f>SUM($T409:AE409)</f>
        <v>0</v>
      </c>
      <c r="AS409" s="27">
        <f t="shared" si="69"/>
        <v>0</v>
      </c>
    </row>
    <row r="410" spans="2:45">
      <c r="B410" s="102" t="str">
        <f>IF(ROW()-6&gt;NumCostCenter,"",IF(CostCenter&lt;&gt;"ALL",CostCenter,DATA_LF2!B408))</f>
        <v/>
      </c>
      <c r="C410" s="153" t="str">
        <f>IF($B410&lt;&gt;"",INDEX(DataOB[],FirstRow+ROW()-7,2),"")</f>
        <v/>
      </c>
      <c r="D410" s="66" t="str">
        <f>IF($B410&lt;&gt;"",INDEX(DataOB[],FirstRow+ROW()-7,3),"")</f>
        <v/>
      </c>
      <c r="E410" s="103" t="str">
        <f>IF($B410&lt;&gt;"",INDEX(DataOB[],FirstRow+ROW()-7,6),"")</f>
        <v/>
      </c>
      <c r="F410" s="103" t="str">
        <f>IF($B410&lt;&gt;"",INDEX(DataOB[],FirstRow+ROW()-7,5),"")</f>
        <v/>
      </c>
      <c r="G410" s="58">
        <f>IF($B410&lt;&gt;"",SUMIFS(DataAct_tbl[AMOUNT],DataAct_tbl[BG CODE],Detail!$D410,DataAct_tbl[MONTH],LEFT(MonthName,3),DataAct_tbl[Dept code],$B410),0)</f>
        <v>0</v>
      </c>
      <c r="H410" s="31" t="str">
        <f t="shared" si="61"/>
        <v/>
      </c>
      <c r="I410" s="28" t="str">
        <f t="shared" si="62"/>
        <v/>
      </c>
      <c r="J410" s="32" t="str">
        <f t="shared" si="63"/>
        <v/>
      </c>
      <c r="K410" s="86"/>
      <c r="L410" s="62">
        <f>IF($B410&lt;&gt;"",SUMIFS(DataAct_tbl[AMOUNT],DataAct_tbl[BG CODE],Detail!$D410,DataAct_tbl[Check Range],"=true",DataAct_tbl[Dept code],$B410),0)</f>
        <v>0</v>
      </c>
      <c r="M410" s="63">
        <f>INDEX($AG$7:$AR$1005,ROW()-6,MATCH(MTD,$AG$6:$AR$6,0))</f>
        <v>0</v>
      </c>
      <c r="N410" s="34">
        <f t="shared" si="64"/>
        <v>0</v>
      </c>
      <c r="O410" s="64" t="str">
        <f t="shared" si="65"/>
        <v xml:space="preserve"> </v>
      </c>
      <c r="Q410" s="97">
        <f t="shared" si="66"/>
        <v>0</v>
      </c>
      <c r="R410" s="96">
        <f t="shared" si="67"/>
        <v>0</v>
      </c>
      <c r="T410" s="67" t="str">
        <f>IF($B410&lt;&gt;"",INDEX(DataOB[],FirstRow+ROW()-7,MATCH(T$6,DataOB[#Headers],0)),"")</f>
        <v/>
      </c>
      <c r="U410" s="67" t="str">
        <f>IF($B410&lt;&gt;"",INDEX(DataOB[],FirstRow+ROW()-7,MATCH(U$6,DataOB[#Headers],0)),"")</f>
        <v/>
      </c>
      <c r="V410" s="67" t="str">
        <f>IF($B410&lt;&gt;"",INDEX(DataOB[],FirstRow+ROW()-7,MATCH(V$6,DataOB[#Headers],0)),"")</f>
        <v/>
      </c>
      <c r="W410" s="67" t="str">
        <f>IF($B410&lt;&gt;"",INDEX(DataOB[],FirstRow+ROW()-7,MATCH(W$6,DataOB[#Headers],0)),"")</f>
        <v/>
      </c>
      <c r="X410" s="67" t="str">
        <f>IF($B410&lt;&gt;"",INDEX(DataOB[],FirstRow+ROW()-7,MATCH(X$6,DataOB[#Headers],0)),"")</f>
        <v/>
      </c>
      <c r="Y410" s="67" t="str">
        <f>IF($B410&lt;&gt;"",INDEX(DataOB[],FirstRow+ROW()-7,MATCH(Y$6,DataOB[#Headers],0)),"")</f>
        <v/>
      </c>
      <c r="Z410" s="67" t="str">
        <f>IF($B410&lt;&gt;"",INDEX(DataOB[],FirstRow+ROW()-7,MATCH(Z$6,DataOB[#Headers],0)),"")</f>
        <v/>
      </c>
      <c r="AA410" s="67" t="str">
        <f>IF($B410&lt;&gt;"",INDEX(DataOB[],FirstRow+ROW()-7,MATCH(AA$6,DataOB[#Headers],0)),"")</f>
        <v/>
      </c>
      <c r="AB410" s="67" t="str">
        <f>IF($B410&lt;&gt;"",INDEX(DataOB[],FirstRow+ROW()-7,MATCH(AB$6,DataOB[#Headers],0)),"")</f>
        <v/>
      </c>
      <c r="AC410" s="67" t="str">
        <f>IF($B410&lt;&gt;"",INDEX(DataOB[],FirstRow+ROW()-7,MATCH(AC$6,DataOB[#Headers],0)),"")</f>
        <v/>
      </c>
      <c r="AD410" s="67" t="str">
        <f>IF($B410&lt;&gt;"",INDEX(DataOB[],FirstRow+ROW()-7,MATCH(AD$6,DataOB[#Headers],0)),"")</f>
        <v/>
      </c>
      <c r="AE410" s="67" t="str">
        <f>IF($B410&lt;&gt;"",INDEX(DataOB[],FirstRow+ROW()-7,MATCH(AE$6,DataOB[#Headers],0)),"")</f>
        <v/>
      </c>
      <c r="AF410" s="26">
        <f t="shared" si="68"/>
        <v>0</v>
      </c>
      <c r="AG410" s="31">
        <f>SUM($T410:T410)</f>
        <v>0</v>
      </c>
      <c r="AH410" s="31">
        <f>SUM($T410:U410)</f>
        <v>0</v>
      </c>
      <c r="AI410" s="31">
        <f>SUM($T410:V410)</f>
        <v>0</v>
      </c>
      <c r="AJ410" s="31">
        <f>SUM($T410:W410)</f>
        <v>0</v>
      </c>
      <c r="AK410" s="31">
        <f>SUM($T410:X410)</f>
        <v>0</v>
      </c>
      <c r="AL410" s="31">
        <f>SUM($T410:Y410)</f>
        <v>0</v>
      </c>
      <c r="AM410" s="31">
        <f>SUM($T410:Z410)</f>
        <v>0</v>
      </c>
      <c r="AN410" s="31">
        <f>SUM($T410:AA410)</f>
        <v>0</v>
      </c>
      <c r="AO410" s="31">
        <f>SUM($T410:AB410)</f>
        <v>0</v>
      </c>
      <c r="AP410" s="31">
        <f>SUM($T410:AC410)</f>
        <v>0</v>
      </c>
      <c r="AQ410" s="31">
        <f>SUM($T410:AD410)</f>
        <v>0</v>
      </c>
      <c r="AR410" s="31">
        <f>SUM($T410:AE410)</f>
        <v>0</v>
      </c>
      <c r="AS410" s="27">
        <f t="shared" si="69"/>
        <v>0</v>
      </c>
    </row>
    <row r="411" spans="2:45">
      <c r="B411" s="102" t="str">
        <f>IF(ROW()-6&gt;NumCostCenter,"",IF(CostCenter&lt;&gt;"ALL",CostCenter,DATA_LF2!B409))</f>
        <v/>
      </c>
      <c r="C411" s="153" t="str">
        <f>IF($B411&lt;&gt;"",INDEX(DataOB[],FirstRow+ROW()-7,2),"")</f>
        <v/>
      </c>
      <c r="D411" s="66" t="str">
        <f>IF($B411&lt;&gt;"",INDEX(DataOB[],FirstRow+ROW()-7,3),"")</f>
        <v/>
      </c>
      <c r="E411" s="103" t="str">
        <f>IF($B411&lt;&gt;"",INDEX(DataOB[],FirstRow+ROW()-7,6),"")</f>
        <v/>
      </c>
      <c r="F411" s="103" t="str">
        <f>IF($B411&lt;&gt;"",INDEX(DataOB[],FirstRow+ROW()-7,5),"")</f>
        <v/>
      </c>
      <c r="G411" s="58">
        <f>IF($B411&lt;&gt;"",SUMIFS(DataAct_tbl[AMOUNT],DataAct_tbl[BG CODE],Detail!$D411,DataAct_tbl[MONTH],LEFT(MonthName,3),DataAct_tbl[Dept code],$B411),0)</f>
        <v>0</v>
      </c>
      <c r="H411" s="31" t="str">
        <f t="shared" si="61"/>
        <v/>
      </c>
      <c r="I411" s="28" t="str">
        <f t="shared" si="62"/>
        <v/>
      </c>
      <c r="J411" s="32" t="str">
        <f t="shared" si="63"/>
        <v/>
      </c>
      <c r="K411" s="86"/>
      <c r="L411" s="62">
        <f>IF($B411&lt;&gt;"",SUMIFS(DataAct_tbl[AMOUNT],DataAct_tbl[BG CODE],Detail!$D411,DataAct_tbl[Check Range],"=true",DataAct_tbl[Dept code],$B411),0)</f>
        <v>0</v>
      </c>
      <c r="M411" s="63">
        <f>INDEX($AG$7:$AR$1005,ROW()-6,MATCH(MTD,$AG$6:$AR$6,0))</f>
        <v>0</v>
      </c>
      <c r="N411" s="34">
        <f t="shared" si="64"/>
        <v>0</v>
      </c>
      <c r="O411" s="64" t="str">
        <f t="shared" si="65"/>
        <v xml:space="preserve"> </v>
      </c>
      <c r="Q411" s="97">
        <f t="shared" si="66"/>
        <v>0</v>
      </c>
      <c r="R411" s="96">
        <f t="shared" si="67"/>
        <v>0</v>
      </c>
      <c r="T411" s="67" t="str">
        <f>IF($B411&lt;&gt;"",INDEX(DataOB[],FirstRow+ROW()-7,MATCH(T$6,DataOB[#Headers],0)),"")</f>
        <v/>
      </c>
      <c r="U411" s="67" t="str">
        <f>IF($B411&lt;&gt;"",INDEX(DataOB[],FirstRow+ROW()-7,MATCH(U$6,DataOB[#Headers],0)),"")</f>
        <v/>
      </c>
      <c r="V411" s="67" t="str">
        <f>IF($B411&lt;&gt;"",INDEX(DataOB[],FirstRow+ROW()-7,MATCH(V$6,DataOB[#Headers],0)),"")</f>
        <v/>
      </c>
      <c r="W411" s="67" t="str">
        <f>IF($B411&lt;&gt;"",INDEX(DataOB[],FirstRow+ROW()-7,MATCH(W$6,DataOB[#Headers],0)),"")</f>
        <v/>
      </c>
      <c r="X411" s="67" t="str">
        <f>IF($B411&lt;&gt;"",INDEX(DataOB[],FirstRow+ROW()-7,MATCH(X$6,DataOB[#Headers],0)),"")</f>
        <v/>
      </c>
      <c r="Y411" s="67" t="str">
        <f>IF($B411&lt;&gt;"",INDEX(DataOB[],FirstRow+ROW()-7,MATCH(Y$6,DataOB[#Headers],0)),"")</f>
        <v/>
      </c>
      <c r="Z411" s="67" t="str">
        <f>IF($B411&lt;&gt;"",INDEX(DataOB[],FirstRow+ROW()-7,MATCH(Z$6,DataOB[#Headers],0)),"")</f>
        <v/>
      </c>
      <c r="AA411" s="67" t="str">
        <f>IF($B411&lt;&gt;"",INDEX(DataOB[],FirstRow+ROW()-7,MATCH(AA$6,DataOB[#Headers],0)),"")</f>
        <v/>
      </c>
      <c r="AB411" s="67" t="str">
        <f>IF($B411&lt;&gt;"",INDEX(DataOB[],FirstRow+ROW()-7,MATCH(AB$6,DataOB[#Headers],0)),"")</f>
        <v/>
      </c>
      <c r="AC411" s="67" t="str">
        <f>IF($B411&lt;&gt;"",INDEX(DataOB[],FirstRow+ROW()-7,MATCH(AC$6,DataOB[#Headers],0)),"")</f>
        <v/>
      </c>
      <c r="AD411" s="67" t="str">
        <f>IF($B411&lt;&gt;"",INDEX(DataOB[],FirstRow+ROW()-7,MATCH(AD$6,DataOB[#Headers],0)),"")</f>
        <v/>
      </c>
      <c r="AE411" s="67" t="str">
        <f>IF($B411&lt;&gt;"",INDEX(DataOB[],FirstRow+ROW()-7,MATCH(AE$6,DataOB[#Headers],0)),"")</f>
        <v/>
      </c>
      <c r="AF411" s="26">
        <f t="shared" si="68"/>
        <v>0</v>
      </c>
      <c r="AG411" s="31">
        <f>SUM($T411:T411)</f>
        <v>0</v>
      </c>
      <c r="AH411" s="31">
        <f>SUM($T411:U411)</f>
        <v>0</v>
      </c>
      <c r="AI411" s="31">
        <f>SUM($T411:V411)</f>
        <v>0</v>
      </c>
      <c r="AJ411" s="31">
        <f>SUM($T411:W411)</f>
        <v>0</v>
      </c>
      <c r="AK411" s="31">
        <f>SUM($T411:X411)</f>
        <v>0</v>
      </c>
      <c r="AL411" s="31">
        <f>SUM($T411:Y411)</f>
        <v>0</v>
      </c>
      <c r="AM411" s="31">
        <f>SUM($T411:Z411)</f>
        <v>0</v>
      </c>
      <c r="AN411" s="31">
        <f>SUM($T411:AA411)</f>
        <v>0</v>
      </c>
      <c r="AO411" s="31">
        <f>SUM($T411:AB411)</f>
        <v>0</v>
      </c>
      <c r="AP411" s="31">
        <f>SUM($T411:AC411)</f>
        <v>0</v>
      </c>
      <c r="AQ411" s="31">
        <f>SUM($T411:AD411)</f>
        <v>0</v>
      </c>
      <c r="AR411" s="31">
        <f>SUM($T411:AE411)</f>
        <v>0</v>
      </c>
      <c r="AS411" s="27">
        <f t="shared" si="69"/>
        <v>0</v>
      </c>
    </row>
    <row r="412" spans="2:45">
      <c r="B412" s="102" t="str">
        <f>IF(ROW()-6&gt;NumCostCenter,"",IF(CostCenter&lt;&gt;"ALL",CostCenter,DATA_LF2!B410))</f>
        <v/>
      </c>
      <c r="C412" s="153" t="str">
        <f>IF($B412&lt;&gt;"",INDEX(DataOB[],FirstRow+ROW()-7,2),"")</f>
        <v/>
      </c>
      <c r="D412" s="66" t="str">
        <f>IF($B412&lt;&gt;"",INDEX(DataOB[],FirstRow+ROW()-7,3),"")</f>
        <v/>
      </c>
      <c r="E412" s="103" t="str">
        <f>IF($B412&lt;&gt;"",INDEX(DataOB[],FirstRow+ROW()-7,6),"")</f>
        <v/>
      </c>
      <c r="F412" s="103" t="str">
        <f>IF($B412&lt;&gt;"",INDEX(DataOB[],FirstRow+ROW()-7,5),"")</f>
        <v/>
      </c>
      <c r="G412" s="58">
        <f>IF($B412&lt;&gt;"",SUMIFS(DataAct_tbl[AMOUNT],DataAct_tbl[BG CODE],Detail!$D412,DataAct_tbl[MONTH],LEFT(MonthName,3),DataAct_tbl[Dept code],$B412),0)</f>
        <v>0</v>
      </c>
      <c r="H412" s="31" t="str">
        <f t="shared" si="61"/>
        <v/>
      </c>
      <c r="I412" s="28" t="str">
        <f t="shared" si="62"/>
        <v/>
      </c>
      <c r="J412" s="32" t="str">
        <f t="shared" si="63"/>
        <v/>
      </c>
      <c r="K412" s="86"/>
      <c r="L412" s="62">
        <f>IF($B412&lt;&gt;"",SUMIFS(DataAct_tbl[AMOUNT],DataAct_tbl[BG CODE],Detail!$D412,DataAct_tbl[Check Range],"=true",DataAct_tbl[Dept code],$B412),0)</f>
        <v>0</v>
      </c>
      <c r="M412" s="63">
        <f>INDEX($AG$7:$AR$1005,ROW()-6,MATCH(MTD,$AG$6:$AR$6,0))</f>
        <v>0</v>
      </c>
      <c r="N412" s="34">
        <f t="shared" si="64"/>
        <v>0</v>
      </c>
      <c r="O412" s="64" t="str">
        <f t="shared" si="65"/>
        <v xml:space="preserve"> </v>
      </c>
      <c r="Q412" s="97">
        <f t="shared" si="66"/>
        <v>0</v>
      </c>
      <c r="R412" s="96">
        <f t="shared" si="67"/>
        <v>0</v>
      </c>
      <c r="T412" s="67" t="str">
        <f>IF($B412&lt;&gt;"",INDEX(DataOB[],FirstRow+ROW()-7,MATCH(T$6,DataOB[#Headers],0)),"")</f>
        <v/>
      </c>
      <c r="U412" s="67" t="str">
        <f>IF($B412&lt;&gt;"",INDEX(DataOB[],FirstRow+ROW()-7,MATCH(U$6,DataOB[#Headers],0)),"")</f>
        <v/>
      </c>
      <c r="V412" s="67" t="str">
        <f>IF($B412&lt;&gt;"",INDEX(DataOB[],FirstRow+ROW()-7,MATCH(V$6,DataOB[#Headers],0)),"")</f>
        <v/>
      </c>
      <c r="W412" s="67" t="str">
        <f>IF($B412&lt;&gt;"",INDEX(DataOB[],FirstRow+ROW()-7,MATCH(W$6,DataOB[#Headers],0)),"")</f>
        <v/>
      </c>
      <c r="X412" s="67" t="str">
        <f>IF($B412&lt;&gt;"",INDEX(DataOB[],FirstRow+ROW()-7,MATCH(X$6,DataOB[#Headers],0)),"")</f>
        <v/>
      </c>
      <c r="Y412" s="67" t="str">
        <f>IF($B412&lt;&gt;"",INDEX(DataOB[],FirstRow+ROW()-7,MATCH(Y$6,DataOB[#Headers],0)),"")</f>
        <v/>
      </c>
      <c r="Z412" s="67" t="str">
        <f>IF($B412&lt;&gt;"",INDEX(DataOB[],FirstRow+ROW()-7,MATCH(Z$6,DataOB[#Headers],0)),"")</f>
        <v/>
      </c>
      <c r="AA412" s="67" t="str">
        <f>IF($B412&lt;&gt;"",INDEX(DataOB[],FirstRow+ROW()-7,MATCH(AA$6,DataOB[#Headers],0)),"")</f>
        <v/>
      </c>
      <c r="AB412" s="67" t="str">
        <f>IF($B412&lt;&gt;"",INDEX(DataOB[],FirstRow+ROW()-7,MATCH(AB$6,DataOB[#Headers],0)),"")</f>
        <v/>
      </c>
      <c r="AC412" s="67" t="str">
        <f>IF($B412&lt;&gt;"",INDEX(DataOB[],FirstRow+ROW()-7,MATCH(AC$6,DataOB[#Headers],0)),"")</f>
        <v/>
      </c>
      <c r="AD412" s="67" t="str">
        <f>IF($B412&lt;&gt;"",INDEX(DataOB[],FirstRow+ROW()-7,MATCH(AD$6,DataOB[#Headers],0)),"")</f>
        <v/>
      </c>
      <c r="AE412" s="67" t="str">
        <f>IF($B412&lt;&gt;"",INDEX(DataOB[],FirstRow+ROW()-7,MATCH(AE$6,DataOB[#Headers],0)),"")</f>
        <v/>
      </c>
      <c r="AF412" s="26">
        <f t="shared" si="68"/>
        <v>0</v>
      </c>
      <c r="AG412" s="31">
        <f>SUM($T412:T412)</f>
        <v>0</v>
      </c>
      <c r="AH412" s="31">
        <f>SUM($T412:U412)</f>
        <v>0</v>
      </c>
      <c r="AI412" s="31">
        <f>SUM($T412:V412)</f>
        <v>0</v>
      </c>
      <c r="AJ412" s="31">
        <f>SUM($T412:W412)</f>
        <v>0</v>
      </c>
      <c r="AK412" s="31">
        <f>SUM($T412:X412)</f>
        <v>0</v>
      </c>
      <c r="AL412" s="31">
        <f>SUM($T412:Y412)</f>
        <v>0</v>
      </c>
      <c r="AM412" s="31">
        <f>SUM($T412:Z412)</f>
        <v>0</v>
      </c>
      <c r="AN412" s="31">
        <f>SUM($T412:AA412)</f>
        <v>0</v>
      </c>
      <c r="AO412" s="31">
        <f>SUM($T412:AB412)</f>
        <v>0</v>
      </c>
      <c r="AP412" s="31">
        <f>SUM($T412:AC412)</f>
        <v>0</v>
      </c>
      <c r="AQ412" s="31">
        <f>SUM($T412:AD412)</f>
        <v>0</v>
      </c>
      <c r="AR412" s="31">
        <f>SUM($T412:AE412)</f>
        <v>0</v>
      </c>
      <c r="AS412" s="27">
        <f t="shared" si="69"/>
        <v>0</v>
      </c>
    </row>
    <row r="413" spans="2:45">
      <c r="B413" s="102" t="str">
        <f>IF(ROW()-6&gt;NumCostCenter,"",IF(CostCenter&lt;&gt;"ALL",CostCenter,DATA_LF2!B411))</f>
        <v/>
      </c>
      <c r="C413" s="153" t="str">
        <f>IF($B413&lt;&gt;"",INDEX(DataOB[],FirstRow+ROW()-7,2),"")</f>
        <v/>
      </c>
      <c r="D413" s="66" t="str">
        <f>IF($B413&lt;&gt;"",INDEX(DataOB[],FirstRow+ROW()-7,3),"")</f>
        <v/>
      </c>
      <c r="E413" s="103" t="str">
        <f>IF($B413&lt;&gt;"",INDEX(DataOB[],FirstRow+ROW()-7,6),"")</f>
        <v/>
      </c>
      <c r="F413" s="103" t="str">
        <f>IF($B413&lt;&gt;"",INDEX(DataOB[],FirstRow+ROW()-7,5),"")</f>
        <v/>
      </c>
      <c r="G413" s="58">
        <f>IF($B413&lt;&gt;"",SUMIFS(DataAct_tbl[AMOUNT],DataAct_tbl[BG CODE],Detail!$D413,DataAct_tbl[MONTH],LEFT(MonthName,3),DataAct_tbl[Dept code],$B413),0)</f>
        <v>0</v>
      </c>
      <c r="H413" s="31" t="str">
        <f t="shared" si="61"/>
        <v/>
      </c>
      <c r="I413" s="28" t="str">
        <f t="shared" si="62"/>
        <v/>
      </c>
      <c r="J413" s="32" t="str">
        <f t="shared" si="63"/>
        <v/>
      </c>
      <c r="K413" s="86"/>
      <c r="L413" s="62">
        <f>IF($B413&lt;&gt;"",SUMIFS(DataAct_tbl[AMOUNT],DataAct_tbl[BG CODE],Detail!$D413,DataAct_tbl[Check Range],"=true",DataAct_tbl[Dept code],$B413),0)</f>
        <v>0</v>
      </c>
      <c r="M413" s="63">
        <f>INDEX($AG$7:$AR$1005,ROW()-6,MATCH(MTD,$AG$6:$AR$6,0))</f>
        <v>0</v>
      </c>
      <c r="N413" s="34">
        <f t="shared" si="64"/>
        <v>0</v>
      </c>
      <c r="O413" s="64" t="str">
        <f t="shared" si="65"/>
        <v xml:space="preserve"> </v>
      </c>
      <c r="Q413" s="97">
        <f t="shared" si="66"/>
        <v>0</v>
      </c>
      <c r="R413" s="96">
        <f t="shared" si="67"/>
        <v>0</v>
      </c>
      <c r="T413" s="67" t="str">
        <f>IF($B413&lt;&gt;"",INDEX(DataOB[],FirstRow+ROW()-7,MATCH(T$6,DataOB[#Headers],0)),"")</f>
        <v/>
      </c>
      <c r="U413" s="67" t="str">
        <f>IF($B413&lt;&gt;"",INDEX(DataOB[],FirstRow+ROW()-7,MATCH(U$6,DataOB[#Headers],0)),"")</f>
        <v/>
      </c>
      <c r="V413" s="67" t="str">
        <f>IF($B413&lt;&gt;"",INDEX(DataOB[],FirstRow+ROW()-7,MATCH(V$6,DataOB[#Headers],0)),"")</f>
        <v/>
      </c>
      <c r="W413" s="67" t="str">
        <f>IF($B413&lt;&gt;"",INDEX(DataOB[],FirstRow+ROW()-7,MATCH(W$6,DataOB[#Headers],0)),"")</f>
        <v/>
      </c>
      <c r="X413" s="67" t="str">
        <f>IF($B413&lt;&gt;"",INDEX(DataOB[],FirstRow+ROW()-7,MATCH(X$6,DataOB[#Headers],0)),"")</f>
        <v/>
      </c>
      <c r="Y413" s="67" t="str">
        <f>IF($B413&lt;&gt;"",INDEX(DataOB[],FirstRow+ROW()-7,MATCH(Y$6,DataOB[#Headers],0)),"")</f>
        <v/>
      </c>
      <c r="Z413" s="67" t="str">
        <f>IF($B413&lt;&gt;"",INDEX(DataOB[],FirstRow+ROW()-7,MATCH(Z$6,DataOB[#Headers],0)),"")</f>
        <v/>
      </c>
      <c r="AA413" s="67" t="str">
        <f>IF($B413&lt;&gt;"",INDEX(DataOB[],FirstRow+ROW()-7,MATCH(AA$6,DataOB[#Headers],0)),"")</f>
        <v/>
      </c>
      <c r="AB413" s="67" t="str">
        <f>IF($B413&lt;&gt;"",INDEX(DataOB[],FirstRow+ROW()-7,MATCH(AB$6,DataOB[#Headers],0)),"")</f>
        <v/>
      </c>
      <c r="AC413" s="67" t="str">
        <f>IF($B413&lt;&gt;"",INDEX(DataOB[],FirstRow+ROW()-7,MATCH(AC$6,DataOB[#Headers],0)),"")</f>
        <v/>
      </c>
      <c r="AD413" s="67" t="str">
        <f>IF($B413&lt;&gt;"",INDEX(DataOB[],FirstRow+ROW()-7,MATCH(AD$6,DataOB[#Headers],0)),"")</f>
        <v/>
      </c>
      <c r="AE413" s="67" t="str">
        <f>IF($B413&lt;&gt;"",INDEX(DataOB[],FirstRow+ROW()-7,MATCH(AE$6,DataOB[#Headers],0)),"")</f>
        <v/>
      </c>
      <c r="AF413" s="26">
        <f t="shared" si="68"/>
        <v>0</v>
      </c>
      <c r="AG413" s="31">
        <f>SUM($T413:T413)</f>
        <v>0</v>
      </c>
      <c r="AH413" s="31">
        <f>SUM($T413:U413)</f>
        <v>0</v>
      </c>
      <c r="AI413" s="31">
        <f>SUM($T413:V413)</f>
        <v>0</v>
      </c>
      <c r="AJ413" s="31">
        <f>SUM($T413:W413)</f>
        <v>0</v>
      </c>
      <c r="AK413" s="31">
        <f>SUM($T413:X413)</f>
        <v>0</v>
      </c>
      <c r="AL413" s="31">
        <f>SUM($T413:Y413)</f>
        <v>0</v>
      </c>
      <c r="AM413" s="31">
        <f>SUM($T413:Z413)</f>
        <v>0</v>
      </c>
      <c r="AN413" s="31">
        <f>SUM($T413:AA413)</f>
        <v>0</v>
      </c>
      <c r="AO413" s="31">
        <f>SUM($T413:AB413)</f>
        <v>0</v>
      </c>
      <c r="AP413" s="31">
        <f>SUM($T413:AC413)</f>
        <v>0</v>
      </c>
      <c r="AQ413" s="31">
        <f>SUM($T413:AD413)</f>
        <v>0</v>
      </c>
      <c r="AR413" s="31">
        <f>SUM($T413:AE413)</f>
        <v>0</v>
      </c>
      <c r="AS413" s="27">
        <f t="shared" si="69"/>
        <v>0</v>
      </c>
    </row>
    <row r="414" spans="2:45">
      <c r="B414" s="102" t="str">
        <f>IF(ROW()-6&gt;NumCostCenter,"",IF(CostCenter&lt;&gt;"ALL",CostCenter,DATA_LF2!B412))</f>
        <v/>
      </c>
      <c r="C414" s="153" t="str">
        <f>IF($B414&lt;&gt;"",INDEX(DataOB[],FirstRow+ROW()-7,2),"")</f>
        <v/>
      </c>
      <c r="D414" s="66" t="str">
        <f>IF($B414&lt;&gt;"",INDEX(DataOB[],FirstRow+ROW()-7,3),"")</f>
        <v/>
      </c>
      <c r="E414" s="103" t="str">
        <f>IF($B414&lt;&gt;"",INDEX(DataOB[],FirstRow+ROW()-7,6),"")</f>
        <v/>
      </c>
      <c r="F414" s="103" t="str">
        <f>IF($B414&lt;&gt;"",INDEX(DataOB[],FirstRow+ROW()-7,5),"")</f>
        <v/>
      </c>
      <c r="G414" s="58">
        <f>IF($B414&lt;&gt;"",SUMIFS(DataAct_tbl[AMOUNT],DataAct_tbl[BG CODE],Detail!$D414,DataAct_tbl[MONTH],LEFT(MonthName,3),DataAct_tbl[Dept code],$B414),0)</f>
        <v>0</v>
      </c>
      <c r="H414" s="31" t="str">
        <f t="shared" si="61"/>
        <v/>
      </c>
      <c r="I414" s="28" t="str">
        <f t="shared" si="62"/>
        <v/>
      </c>
      <c r="J414" s="32" t="str">
        <f t="shared" si="63"/>
        <v/>
      </c>
      <c r="K414" s="86"/>
      <c r="L414" s="62">
        <f>IF($B414&lt;&gt;"",SUMIFS(DataAct_tbl[AMOUNT],DataAct_tbl[BG CODE],Detail!$D414,DataAct_tbl[Check Range],"=true",DataAct_tbl[Dept code],$B414),0)</f>
        <v>0</v>
      </c>
      <c r="M414" s="63">
        <f>INDEX($AG$7:$AR$1005,ROW()-6,MATCH(MTD,$AG$6:$AR$6,0))</f>
        <v>0</v>
      </c>
      <c r="N414" s="34">
        <f t="shared" si="64"/>
        <v>0</v>
      </c>
      <c r="O414" s="64" t="str">
        <f t="shared" si="65"/>
        <v xml:space="preserve"> </v>
      </c>
      <c r="Q414" s="97">
        <f t="shared" si="66"/>
        <v>0</v>
      </c>
      <c r="R414" s="96">
        <f t="shared" si="67"/>
        <v>0</v>
      </c>
      <c r="T414" s="67" t="str">
        <f>IF($B414&lt;&gt;"",INDEX(DataOB[],FirstRow+ROW()-7,MATCH(T$6,DataOB[#Headers],0)),"")</f>
        <v/>
      </c>
      <c r="U414" s="67" t="str">
        <f>IF($B414&lt;&gt;"",INDEX(DataOB[],FirstRow+ROW()-7,MATCH(U$6,DataOB[#Headers],0)),"")</f>
        <v/>
      </c>
      <c r="V414" s="67" t="str">
        <f>IF($B414&lt;&gt;"",INDEX(DataOB[],FirstRow+ROW()-7,MATCH(V$6,DataOB[#Headers],0)),"")</f>
        <v/>
      </c>
      <c r="W414" s="67" t="str">
        <f>IF($B414&lt;&gt;"",INDEX(DataOB[],FirstRow+ROW()-7,MATCH(W$6,DataOB[#Headers],0)),"")</f>
        <v/>
      </c>
      <c r="X414" s="67" t="str">
        <f>IF($B414&lt;&gt;"",INDEX(DataOB[],FirstRow+ROW()-7,MATCH(X$6,DataOB[#Headers],0)),"")</f>
        <v/>
      </c>
      <c r="Y414" s="67" t="str">
        <f>IF($B414&lt;&gt;"",INDEX(DataOB[],FirstRow+ROW()-7,MATCH(Y$6,DataOB[#Headers],0)),"")</f>
        <v/>
      </c>
      <c r="Z414" s="67" t="str">
        <f>IF($B414&lt;&gt;"",INDEX(DataOB[],FirstRow+ROW()-7,MATCH(Z$6,DataOB[#Headers],0)),"")</f>
        <v/>
      </c>
      <c r="AA414" s="67" t="str">
        <f>IF($B414&lt;&gt;"",INDEX(DataOB[],FirstRow+ROW()-7,MATCH(AA$6,DataOB[#Headers],0)),"")</f>
        <v/>
      </c>
      <c r="AB414" s="67" t="str">
        <f>IF($B414&lt;&gt;"",INDEX(DataOB[],FirstRow+ROW()-7,MATCH(AB$6,DataOB[#Headers],0)),"")</f>
        <v/>
      </c>
      <c r="AC414" s="67" t="str">
        <f>IF($B414&lt;&gt;"",INDEX(DataOB[],FirstRow+ROW()-7,MATCH(AC$6,DataOB[#Headers],0)),"")</f>
        <v/>
      </c>
      <c r="AD414" s="67" t="str">
        <f>IF($B414&lt;&gt;"",INDEX(DataOB[],FirstRow+ROW()-7,MATCH(AD$6,DataOB[#Headers],0)),"")</f>
        <v/>
      </c>
      <c r="AE414" s="67" t="str">
        <f>IF($B414&lt;&gt;"",INDEX(DataOB[],FirstRow+ROW()-7,MATCH(AE$6,DataOB[#Headers],0)),"")</f>
        <v/>
      </c>
      <c r="AF414" s="26">
        <f t="shared" si="68"/>
        <v>0</v>
      </c>
      <c r="AG414" s="31">
        <f>SUM($T414:T414)</f>
        <v>0</v>
      </c>
      <c r="AH414" s="31">
        <f>SUM($T414:U414)</f>
        <v>0</v>
      </c>
      <c r="AI414" s="31">
        <f>SUM($T414:V414)</f>
        <v>0</v>
      </c>
      <c r="AJ414" s="31">
        <f>SUM($T414:W414)</f>
        <v>0</v>
      </c>
      <c r="AK414" s="31">
        <f>SUM($T414:X414)</f>
        <v>0</v>
      </c>
      <c r="AL414" s="31">
        <f>SUM($T414:Y414)</f>
        <v>0</v>
      </c>
      <c r="AM414" s="31">
        <f>SUM($T414:Z414)</f>
        <v>0</v>
      </c>
      <c r="AN414" s="31">
        <f>SUM($T414:AA414)</f>
        <v>0</v>
      </c>
      <c r="AO414" s="31">
        <f>SUM($T414:AB414)</f>
        <v>0</v>
      </c>
      <c r="AP414" s="31">
        <f>SUM($T414:AC414)</f>
        <v>0</v>
      </c>
      <c r="AQ414" s="31">
        <f>SUM($T414:AD414)</f>
        <v>0</v>
      </c>
      <c r="AR414" s="31">
        <f>SUM($T414:AE414)</f>
        <v>0</v>
      </c>
      <c r="AS414" s="27">
        <f t="shared" si="69"/>
        <v>0</v>
      </c>
    </row>
    <row r="415" spans="2:45">
      <c r="B415" s="102" t="str">
        <f>IF(ROW()-6&gt;NumCostCenter,"",IF(CostCenter&lt;&gt;"ALL",CostCenter,DATA_LF2!B413))</f>
        <v/>
      </c>
      <c r="C415" s="153" t="str">
        <f>IF($B415&lt;&gt;"",INDEX(DataOB[],FirstRow+ROW()-7,2),"")</f>
        <v/>
      </c>
      <c r="D415" s="66" t="str">
        <f>IF($B415&lt;&gt;"",INDEX(DataOB[],FirstRow+ROW()-7,3),"")</f>
        <v/>
      </c>
      <c r="E415" s="103" t="str">
        <f>IF($B415&lt;&gt;"",INDEX(DataOB[],FirstRow+ROW()-7,6),"")</f>
        <v/>
      </c>
      <c r="F415" s="103" t="str">
        <f>IF($B415&lt;&gt;"",INDEX(DataOB[],FirstRow+ROW()-7,5),"")</f>
        <v/>
      </c>
      <c r="G415" s="58">
        <f>IF($B415&lt;&gt;"",SUMIFS(DataAct_tbl[AMOUNT],DataAct_tbl[BG CODE],Detail!$D415,DataAct_tbl[MONTH],LEFT(MonthName,3),DataAct_tbl[Dept code],$B415),0)</f>
        <v>0</v>
      </c>
      <c r="H415" s="31" t="str">
        <f t="shared" si="61"/>
        <v/>
      </c>
      <c r="I415" s="28" t="str">
        <f t="shared" si="62"/>
        <v/>
      </c>
      <c r="J415" s="32" t="str">
        <f t="shared" si="63"/>
        <v/>
      </c>
      <c r="K415" s="86"/>
      <c r="L415" s="62">
        <f>IF($B415&lt;&gt;"",SUMIFS(DataAct_tbl[AMOUNT],DataAct_tbl[BG CODE],Detail!$D415,DataAct_tbl[Check Range],"=true",DataAct_tbl[Dept code],$B415),0)</f>
        <v>0</v>
      </c>
      <c r="M415" s="63">
        <f>INDEX($AG$7:$AR$1005,ROW()-6,MATCH(MTD,$AG$6:$AR$6,0))</f>
        <v>0</v>
      </c>
      <c r="N415" s="34">
        <f t="shared" si="64"/>
        <v>0</v>
      </c>
      <c r="O415" s="64" t="str">
        <f t="shared" si="65"/>
        <v xml:space="preserve"> </v>
      </c>
      <c r="Q415" s="97">
        <f t="shared" si="66"/>
        <v>0</v>
      </c>
      <c r="R415" s="96">
        <f t="shared" si="67"/>
        <v>0</v>
      </c>
      <c r="T415" s="67" t="str">
        <f>IF($B415&lt;&gt;"",INDEX(DataOB[],FirstRow+ROW()-7,MATCH(T$6,DataOB[#Headers],0)),"")</f>
        <v/>
      </c>
      <c r="U415" s="67" t="str">
        <f>IF($B415&lt;&gt;"",INDEX(DataOB[],FirstRow+ROW()-7,MATCH(U$6,DataOB[#Headers],0)),"")</f>
        <v/>
      </c>
      <c r="V415" s="67" t="str">
        <f>IF($B415&lt;&gt;"",INDEX(DataOB[],FirstRow+ROW()-7,MATCH(V$6,DataOB[#Headers],0)),"")</f>
        <v/>
      </c>
      <c r="W415" s="67" t="str">
        <f>IF($B415&lt;&gt;"",INDEX(DataOB[],FirstRow+ROW()-7,MATCH(W$6,DataOB[#Headers],0)),"")</f>
        <v/>
      </c>
      <c r="X415" s="67" t="str">
        <f>IF($B415&lt;&gt;"",INDEX(DataOB[],FirstRow+ROW()-7,MATCH(X$6,DataOB[#Headers],0)),"")</f>
        <v/>
      </c>
      <c r="Y415" s="67" t="str">
        <f>IF($B415&lt;&gt;"",INDEX(DataOB[],FirstRow+ROW()-7,MATCH(Y$6,DataOB[#Headers],0)),"")</f>
        <v/>
      </c>
      <c r="Z415" s="67" t="str">
        <f>IF($B415&lt;&gt;"",INDEX(DataOB[],FirstRow+ROW()-7,MATCH(Z$6,DataOB[#Headers],0)),"")</f>
        <v/>
      </c>
      <c r="AA415" s="67" t="str">
        <f>IF($B415&lt;&gt;"",INDEX(DataOB[],FirstRow+ROW()-7,MATCH(AA$6,DataOB[#Headers],0)),"")</f>
        <v/>
      </c>
      <c r="AB415" s="67" t="str">
        <f>IF($B415&lt;&gt;"",INDEX(DataOB[],FirstRow+ROW()-7,MATCH(AB$6,DataOB[#Headers],0)),"")</f>
        <v/>
      </c>
      <c r="AC415" s="67" t="str">
        <f>IF($B415&lt;&gt;"",INDEX(DataOB[],FirstRow+ROW()-7,MATCH(AC$6,DataOB[#Headers],0)),"")</f>
        <v/>
      </c>
      <c r="AD415" s="67" t="str">
        <f>IF($B415&lt;&gt;"",INDEX(DataOB[],FirstRow+ROW()-7,MATCH(AD$6,DataOB[#Headers],0)),"")</f>
        <v/>
      </c>
      <c r="AE415" s="67" t="str">
        <f>IF($B415&lt;&gt;"",INDEX(DataOB[],FirstRow+ROW()-7,MATCH(AE$6,DataOB[#Headers],0)),"")</f>
        <v/>
      </c>
      <c r="AF415" s="26">
        <f t="shared" si="68"/>
        <v>0</v>
      </c>
      <c r="AG415" s="31">
        <f>SUM($T415:T415)</f>
        <v>0</v>
      </c>
      <c r="AH415" s="31">
        <f>SUM($T415:U415)</f>
        <v>0</v>
      </c>
      <c r="AI415" s="31">
        <f>SUM($T415:V415)</f>
        <v>0</v>
      </c>
      <c r="AJ415" s="31">
        <f>SUM($T415:W415)</f>
        <v>0</v>
      </c>
      <c r="AK415" s="31">
        <f>SUM($T415:X415)</f>
        <v>0</v>
      </c>
      <c r="AL415" s="31">
        <f>SUM($T415:Y415)</f>
        <v>0</v>
      </c>
      <c r="AM415" s="31">
        <f>SUM($T415:Z415)</f>
        <v>0</v>
      </c>
      <c r="AN415" s="31">
        <f>SUM($T415:AA415)</f>
        <v>0</v>
      </c>
      <c r="AO415" s="31">
        <f>SUM($T415:AB415)</f>
        <v>0</v>
      </c>
      <c r="AP415" s="31">
        <f>SUM($T415:AC415)</f>
        <v>0</v>
      </c>
      <c r="AQ415" s="31">
        <f>SUM($T415:AD415)</f>
        <v>0</v>
      </c>
      <c r="AR415" s="31">
        <f>SUM($T415:AE415)</f>
        <v>0</v>
      </c>
      <c r="AS415" s="27">
        <f t="shared" si="69"/>
        <v>0</v>
      </c>
    </row>
    <row r="416" spans="2:45">
      <c r="B416" s="102" t="str">
        <f>IF(ROW()-6&gt;NumCostCenter,"",IF(CostCenter&lt;&gt;"ALL",CostCenter,DATA_LF2!B414))</f>
        <v/>
      </c>
      <c r="C416" s="153" t="str">
        <f>IF($B416&lt;&gt;"",INDEX(DataOB[],FirstRow+ROW()-7,2),"")</f>
        <v/>
      </c>
      <c r="D416" s="66" t="str">
        <f>IF($B416&lt;&gt;"",INDEX(DataOB[],FirstRow+ROW()-7,3),"")</f>
        <v/>
      </c>
      <c r="E416" s="103" t="str">
        <f>IF($B416&lt;&gt;"",INDEX(DataOB[],FirstRow+ROW()-7,6),"")</f>
        <v/>
      </c>
      <c r="F416" s="103" t="str">
        <f>IF($B416&lt;&gt;"",INDEX(DataOB[],FirstRow+ROW()-7,5),"")</f>
        <v/>
      </c>
      <c r="G416" s="58">
        <f>IF($B416&lt;&gt;"",SUMIFS(DataAct_tbl[AMOUNT],DataAct_tbl[BG CODE],Detail!$D416,DataAct_tbl[MONTH],LEFT(MonthName,3),DataAct_tbl[Dept code],$B416),0)</f>
        <v>0</v>
      </c>
      <c r="H416" s="31" t="str">
        <f t="shared" si="61"/>
        <v/>
      </c>
      <c r="I416" s="28" t="str">
        <f t="shared" si="62"/>
        <v/>
      </c>
      <c r="J416" s="32" t="str">
        <f t="shared" si="63"/>
        <v/>
      </c>
      <c r="K416" s="86"/>
      <c r="L416" s="62">
        <f>IF($B416&lt;&gt;"",SUMIFS(DataAct_tbl[AMOUNT],DataAct_tbl[BG CODE],Detail!$D416,DataAct_tbl[Check Range],"=true",DataAct_tbl[Dept code],$B416),0)</f>
        <v>0</v>
      </c>
      <c r="M416" s="63">
        <f>INDEX($AG$7:$AR$1005,ROW()-6,MATCH(MTD,$AG$6:$AR$6,0))</f>
        <v>0</v>
      </c>
      <c r="N416" s="34">
        <f t="shared" si="64"/>
        <v>0</v>
      </c>
      <c r="O416" s="64" t="str">
        <f t="shared" si="65"/>
        <v xml:space="preserve"> </v>
      </c>
      <c r="Q416" s="97">
        <f t="shared" si="66"/>
        <v>0</v>
      </c>
      <c r="R416" s="96">
        <f t="shared" si="67"/>
        <v>0</v>
      </c>
      <c r="T416" s="67" t="str">
        <f>IF($B416&lt;&gt;"",INDEX(DataOB[],FirstRow+ROW()-7,MATCH(T$6,DataOB[#Headers],0)),"")</f>
        <v/>
      </c>
      <c r="U416" s="67" t="str">
        <f>IF($B416&lt;&gt;"",INDEX(DataOB[],FirstRow+ROW()-7,MATCH(U$6,DataOB[#Headers],0)),"")</f>
        <v/>
      </c>
      <c r="V416" s="67" t="str">
        <f>IF($B416&lt;&gt;"",INDEX(DataOB[],FirstRow+ROW()-7,MATCH(V$6,DataOB[#Headers],0)),"")</f>
        <v/>
      </c>
      <c r="W416" s="67" t="str">
        <f>IF($B416&lt;&gt;"",INDEX(DataOB[],FirstRow+ROW()-7,MATCH(W$6,DataOB[#Headers],0)),"")</f>
        <v/>
      </c>
      <c r="X416" s="67" t="str">
        <f>IF($B416&lt;&gt;"",INDEX(DataOB[],FirstRow+ROW()-7,MATCH(X$6,DataOB[#Headers],0)),"")</f>
        <v/>
      </c>
      <c r="Y416" s="67" t="str">
        <f>IF($B416&lt;&gt;"",INDEX(DataOB[],FirstRow+ROW()-7,MATCH(Y$6,DataOB[#Headers],0)),"")</f>
        <v/>
      </c>
      <c r="Z416" s="67" t="str">
        <f>IF($B416&lt;&gt;"",INDEX(DataOB[],FirstRow+ROW()-7,MATCH(Z$6,DataOB[#Headers],0)),"")</f>
        <v/>
      </c>
      <c r="AA416" s="67" t="str">
        <f>IF($B416&lt;&gt;"",INDEX(DataOB[],FirstRow+ROW()-7,MATCH(AA$6,DataOB[#Headers],0)),"")</f>
        <v/>
      </c>
      <c r="AB416" s="67" t="str">
        <f>IF($B416&lt;&gt;"",INDEX(DataOB[],FirstRow+ROW()-7,MATCH(AB$6,DataOB[#Headers],0)),"")</f>
        <v/>
      </c>
      <c r="AC416" s="67" t="str">
        <f>IF($B416&lt;&gt;"",INDEX(DataOB[],FirstRow+ROW()-7,MATCH(AC$6,DataOB[#Headers],0)),"")</f>
        <v/>
      </c>
      <c r="AD416" s="67" t="str">
        <f>IF($B416&lt;&gt;"",INDEX(DataOB[],FirstRow+ROW()-7,MATCH(AD$6,DataOB[#Headers],0)),"")</f>
        <v/>
      </c>
      <c r="AE416" s="67" t="str">
        <f>IF($B416&lt;&gt;"",INDEX(DataOB[],FirstRow+ROW()-7,MATCH(AE$6,DataOB[#Headers],0)),"")</f>
        <v/>
      </c>
      <c r="AF416" s="26">
        <f t="shared" si="68"/>
        <v>0</v>
      </c>
      <c r="AG416" s="31">
        <f>SUM($T416:T416)</f>
        <v>0</v>
      </c>
      <c r="AH416" s="31">
        <f>SUM($T416:U416)</f>
        <v>0</v>
      </c>
      <c r="AI416" s="31">
        <f>SUM($T416:V416)</f>
        <v>0</v>
      </c>
      <c r="AJ416" s="31">
        <f>SUM($T416:W416)</f>
        <v>0</v>
      </c>
      <c r="AK416" s="31">
        <f>SUM($T416:X416)</f>
        <v>0</v>
      </c>
      <c r="AL416" s="31">
        <f>SUM($T416:Y416)</f>
        <v>0</v>
      </c>
      <c r="AM416" s="31">
        <f>SUM($T416:Z416)</f>
        <v>0</v>
      </c>
      <c r="AN416" s="31">
        <f>SUM($T416:AA416)</f>
        <v>0</v>
      </c>
      <c r="AO416" s="31">
        <f>SUM($T416:AB416)</f>
        <v>0</v>
      </c>
      <c r="AP416" s="31">
        <f>SUM($T416:AC416)</f>
        <v>0</v>
      </c>
      <c r="AQ416" s="31">
        <f>SUM($T416:AD416)</f>
        <v>0</v>
      </c>
      <c r="AR416" s="31">
        <f>SUM($T416:AE416)</f>
        <v>0</v>
      </c>
      <c r="AS416" s="27">
        <f t="shared" si="69"/>
        <v>0</v>
      </c>
    </row>
    <row r="417" spans="2:45">
      <c r="B417" s="102" t="str">
        <f>IF(ROW()-6&gt;NumCostCenter,"",IF(CostCenter&lt;&gt;"ALL",CostCenter,DATA_LF2!B415))</f>
        <v/>
      </c>
      <c r="C417" s="153" t="str">
        <f>IF($B417&lt;&gt;"",INDEX(DataOB[],FirstRow+ROW()-7,2),"")</f>
        <v/>
      </c>
      <c r="D417" s="66" t="str">
        <f>IF($B417&lt;&gt;"",INDEX(DataOB[],FirstRow+ROW()-7,3),"")</f>
        <v/>
      </c>
      <c r="E417" s="103" t="str">
        <f>IF($B417&lt;&gt;"",INDEX(DataOB[],FirstRow+ROW()-7,6),"")</f>
        <v/>
      </c>
      <c r="F417" s="103" t="str">
        <f>IF($B417&lt;&gt;"",INDEX(DataOB[],FirstRow+ROW()-7,5),"")</f>
        <v/>
      </c>
      <c r="G417" s="58">
        <f>IF($B417&lt;&gt;"",SUMIFS(DataAct_tbl[AMOUNT],DataAct_tbl[BG CODE],Detail!$D417,DataAct_tbl[MONTH],LEFT(MonthName,3),DataAct_tbl[Dept code],$B417),0)</f>
        <v>0</v>
      </c>
      <c r="H417" s="31" t="str">
        <f t="shared" si="61"/>
        <v/>
      </c>
      <c r="I417" s="28" t="str">
        <f t="shared" si="62"/>
        <v/>
      </c>
      <c r="J417" s="32" t="str">
        <f t="shared" si="63"/>
        <v/>
      </c>
      <c r="K417" s="86"/>
      <c r="L417" s="62">
        <f>IF($B417&lt;&gt;"",SUMIFS(DataAct_tbl[AMOUNT],DataAct_tbl[BG CODE],Detail!$D417,DataAct_tbl[Check Range],"=true",DataAct_tbl[Dept code],$B417),0)</f>
        <v>0</v>
      </c>
      <c r="M417" s="63">
        <f>INDEX($AG$7:$AR$1005,ROW()-6,MATCH(MTD,$AG$6:$AR$6,0))</f>
        <v>0</v>
      </c>
      <c r="N417" s="34">
        <f t="shared" si="64"/>
        <v>0</v>
      </c>
      <c r="O417" s="64" t="str">
        <f t="shared" si="65"/>
        <v xml:space="preserve"> </v>
      </c>
      <c r="Q417" s="97">
        <f t="shared" si="66"/>
        <v>0</v>
      </c>
      <c r="R417" s="96">
        <f t="shared" si="67"/>
        <v>0</v>
      </c>
      <c r="T417" s="67" t="str">
        <f>IF($B417&lt;&gt;"",INDEX(DataOB[],FirstRow+ROW()-7,MATCH(T$6,DataOB[#Headers],0)),"")</f>
        <v/>
      </c>
      <c r="U417" s="67" t="str">
        <f>IF($B417&lt;&gt;"",INDEX(DataOB[],FirstRow+ROW()-7,MATCH(U$6,DataOB[#Headers],0)),"")</f>
        <v/>
      </c>
      <c r="V417" s="67" t="str">
        <f>IF($B417&lt;&gt;"",INDEX(DataOB[],FirstRow+ROW()-7,MATCH(V$6,DataOB[#Headers],0)),"")</f>
        <v/>
      </c>
      <c r="W417" s="67" t="str">
        <f>IF($B417&lt;&gt;"",INDEX(DataOB[],FirstRow+ROW()-7,MATCH(W$6,DataOB[#Headers],0)),"")</f>
        <v/>
      </c>
      <c r="X417" s="67" t="str">
        <f>IF($B417&lt;&gt;"",INDEX(DataOB[],FirstRow+ROW()-7,MATCH(X$6,DataOB[#Headers],0)),"")</f>
        <v/>
      </c>
      <c r="Y417" s="67" t="str">
        <f>IF($B417&lt;&gt;"",INDEX(DataOB[],FirstRow+ROW()-7,MATCH(Y$6,DataOB[#Headers],0)),"")</f>
        <v/>
      </c>
      <c r="Z417" s="67" t="str">
        <f>IF($B417&lt;&gt;"",INDEX(DataOB[],FirstRow+ROW()-7,MATCH(Z$6,DataOB[#Headers],0)),"")</f>
        <v/>
      </c>
      <c r="AA417" s="67" t="str">
        <f>IF($B417&lt;&gt;"",INDEX(DataOB[],FirstRow+ROW()-7,MATCH(AA$6,DataOB[#Headers],0)),"")</f>
        <v/>
      </c>
      <c r="AB417" s="67" t="str">
        <f>IF($B417&lt;&gt;"",INDEX(DataOB[],FirstRow+ROW()-7,MATCH(AB$6,DataOB[#Headers],0)),"")</f>
        <v/>
      </c>
      <c r="AC417" s="67" t="str">
        <f>IF($B417&lt;&gt;"",INDEX(DataOB[],FirstRow+ROW()-7,MATCH(AC$6,DataOB[#Headers],0)),"")</f>
        <v/>
      </c>
      <c r="AD417" s="67" t="str">
        <f>IF($B417&lt;&gt;"",INDEX(DataOB[],FirstRow+ROW()-7,MATCH(AD$6,DataOB[#Headers],0)),"")</f>
        <v/>
      </c>
      <c r="AE417" s="67" t="str">
        <f>IF($B417&lt;&gt;"",INDEX(DataOB[],FirstRow+ROW()-7,MATCH(AE$6,DataOB[#Headers],0)),"")</f>
        <v/>
      </c>
      <c r="AF417" s="26">
        <f t="shared" si="68"/>
        <v>0</v>
      </c>
      <c r="AG417" s="31">
        <f>SUM($T417:T417)</f>
        <v>0</v>
      </c>
      <c r="AH417" s="31">
        <f>SUM($T417:U417)</f>
        <v>0</v>
      </c>
      <c r="AI417" s="31">
        <f>SUM($T417:V417)</f>
        <v>0</v>
      </c>
      <c r="AJ417" s="31">
        <f>SUM($T417:W417)</f>
        <v>0</v>
      </c>
      <c r="AK417" s="31">
        <f>SUM($T417:X417)</f>
        <v>0</v>
      </c>
      <c r="AL417" s="31">
        <f>SUM($T417:Y417)</f>
        <v>0</v>
      </c>
      <c r="AM417" s="31">
        <f>SUM($T417:Z417)</f>
        <v>0</v>
      </c>
      <c r="AN417" s="31">
        <f>SUM($T417:AA417)</f>
        <v>0</v>
      </c>
      <c r="AO417" s="31">
        <f>SUM($T417:AB417)</f>
        <v>0</v>
      </c>
      <c r="AP417" s="31">
        <f>SUM($T417:AC417)</f>
        <v>0</v>
      </c>
      <c r="AQ417" s="31">
        <f>SUM($T417:AD417)</f>
        <v>0</v>
      </c>
      <c r="AR417" s="31">
        <f>SUM($T417:AE417)</f>
        <v>0</v>
      </c>
      <c r="AS417" s="27">
        <f t="shared" si="69"/>
        <v>0</v>
      </c>
    </row>
    <row r="418" spans="2:45">
      <c r="B418" s="102" t="str">
        <f>IF(ROW()-6&gt;NumCostCenter,"",IF(CostCenter&lt;&gt;"ALL",CostCenter,DATA_LF2!B416))</f>
        <v/>
      </c>
      <c r="C418" s="153" t="str">
        <f>IF($B418&lt;&gt;"",INDEX(DataOB[],FirstRow+ROW()-7,2),"")</f>
        <v/>
      </c>
      <c r="D418" s="66" t="str">
        <f>IF($B418&lt;&gt;"",INDEX(DataOB[],FirstRow+ROW()-7,3),"")</f>
        <v/>
      </c>
      <c r="E418" s="103" t="str">
        <f>IF($B418&lt;&gt;"",INDEX(DataOB[],FirstRow+ROW()-7,6),"")</f>
        <v/>
      </c>
      <c r="F418" s="103" t="str">
        <f>IF($B418&lt;&gt;"",INDEX(DataOB[],FirstRow+ROW()-7,5),"")</f>
        <v/>
      </c>
      <c r="G418" s="58">
        <f>IF($B418&lt;&gt;"",SUMIFS(DataAct_tbl[AMOUNT],DataAct_tbl[BG CODE],Detail!$D418,DataAct_tbl[MONTH],LEFT(MonthName,3),DataAct_tbl[Dept code],$B418),0)</f>
        <v>0</v>
      </c>
      <c r="H418" s="31" t="str">
        <f t="shared" si="61"/>
        <v/>
      </c>
      <c r="I418" s="28" t="str">
        <f t="shared" si="62"/>
        <v/>
      </c>
      <c r="J418" s="32" t="str">
        <f t="shared" si="63"/>
        <v/>
      </c>
      <c r="K418" s="86"/>
      <c r="L418" s="62">
        <f>IF($B418&lt;&gt;"",SUMIFS(DataAct_tbl[AMOUNT],DataAct_tbl[BG CODE],Detail!$D418,DataAct_tbl[Check Range],"=true",DataAct_tbl[Dept code],$B418),0)</f>
        <v>0</v>
      </c>
      <c r="M418" s="63">
        <f>INDEX($AG$7:$AR$1005,ROW()-6,MATCH(MTD,$AG$6:$AR$6,0))</f>
        <v>0</v>
      </c>
      <c r="N418" s="34">
        <f t="shared" si="64"/>
        <v>0</v>
      </c>
      <c r="O418" s="64" t="str">
        <f t="shared" si="65"/>
        <v xml:space="preserve"> </v>
      </c>
      <c r="Q418" s="97">
        <f t="shared" si="66"/>
        <v>0</v>
      </c>
      <c r="R418" s="96">
        <f t="shared" si="67"/>
        <v>0</v>
      </c>
      <c r="T418" s="67" t="str">
        <f>IF($B418&lt;&gt;"",INDEX(DataOB[],FirstRow+ROW()-7,MATCH(T$6,DataOB[#Headers],0)),"")</f>
        <v/>
      </c>
      <c r="U418" s="67" t="str">
        <f>IF($B418&lt;&gt;"",INDEX(DataOB[],FirstRow+ROW()-7,MATCH(U$6,DataOB[#Headers],0)),"")</f>
        <v/>
      </c>
      <c r="V418" s="67" t="str">
        <f>IF($B418&lt;&gt;"",INDEX(DataOB[],FirstRow+ROW()-7,MATCH(V$6,DataOB[#Headers],0)),"")</f>
        <v/>
      </c>
      <c r="W418" s="67" t="str">
        <f>IF($B418&lt;&gt;"",INDEX(DataOB[],FirstRow+ROW()-7,MATCH(W$6,DataOB[#Headers],0)),"")</f>
        <v/>
      </c>
      <c r="X418" s="67" t="str">
        <f>IF($B418&lt;&gt;"",INDEX(DataOB[],FirstRow+ROW()-7,MATCH(X$6,DataOB[#Headers],0)),"")</f>
        <v/>
      </c>
      <c r="Y418" s="67" t="str">
        <f>IF($B418&lt;&gt;"",INDEX(DataOB[],FirstRow+ROW()-7,MATCH(Y$6,DataOB[#Headers],0)),"")</f>
        <v/>
      </c>
      <c r="Z418" s="67" t="str">
        <f>IF($B418&lt;&gt;"",INDEX(DataOB[],FirstRow+ROW()-7,MATCH(Z$6,DataOB[#Headers],0)),"")</f>
        <v/>
      </c>
      <c r="AA418" s="67" t="str">
        <f>IF($B418&lt;&gt;"",INDEX(DataOB[],FirstRow+ROW()-7,MATCH(AA$6,DataOB[#Headers],0)),"")</f>
        <v/>
      </c>
      <c r="AB418" s="67" t="str">
        <f>IF($B418&lt;&gt;"",INDEX(DataOB[],FirstRow+ROW()-7,MATCH(AB$6,DataOB[#Headers],0)),"")</f>
        <v/>
      </c>
      <c r="AC418" s="67" t="str">
        <f>IF($B418&lt;&gt;"",INDEX(DataOB[],FirstRow+ROW()-7,MATCH(AC$6,DataOB[#Headers],0)),"")</f>
        <v/>
      </c>
      <c r="AD418" s="67" t="str">
        <f>IF($B418&lt;&gt;"",INDEX(DataOB[],FirstRow+ROW()-7,MATCH(AD$6,DataOB[#Headers],0)),"")</f>
        <v/>
      </c>
      <c r="AE418" s="67" t="str">
        <f>IF($B418&lt;&gt;"",INDEX(DataOB[],FirstRow+ROW()-7,MATCH(AE$6,DataOB[#Headers],0)),"")</f>
        <v/>
      </c>
      <c r="AF418" s="26">
        <f t="shared" si="68"/>
        <v>0</v>
      </c>
      <c r="AG418" s="31">
        <f>SUM($T418:T418)</f>
        <v>0</v>
      </c>
      <c r="AH418" s="31">
        <f>SUM($T418:U418)</f>
        <v>0</v>
      </c>
      <c r="AI418" s="31">
        <f>SUM($T418:V418)</f>
        <v>0</v>
      </c>
      <c r="AJ418" s="31">
        <f>SUM($T418:W418)</f>
        <v>0</v>
      </c>
      <c r="AK418" s="31">
        <f>SUM($T418:X418)</f>
        <v>0</v>
      </c>
      <c r="AL418" s="31">
        <f>SUM($T418:Y418)</f>
        <v>0</v>
      </c>
      <c r="AM418" s="31">
        <f>SUM($T418:Z418)</f>
        <v>0</v>
      </c>
      <c r="AN418" s="31">
        <f>SUM($T418:AA418)</f>
        <v>0</v>
      </c>
      <c r="AO418" s="31">
        <f>SUM($T418:AB418)</f>
        <v>0</v>
      </c>
      <c r="AP418" s="31">
        <f>SUM($T418:AC418)</f>
        <v>0</v>
      </c>
      <c r="AQ418" s="31">
        <f>SUM($T418:AD418)</f>
        <v>0</v>
      </c>
      <c r="AR418" s="31">
        <f>SUM($T418:AE418)</f>
        <v>0</v>
      </c>
      <c r="AS418" s="27">
        <f t="shared" si="69"/>
        <v>0</v>
      </c>
    </row>
    <row r="419" spans="2:45">
      <c r="B419" s="102" t="str">
        <f>IF(ROW()-6&gt;NumCostCenter,"",IF(CostCenter&lt;&gt;"ALL",CostCenter,DATA_LF2!B417))</f>
        <v/>
      </c>
      <c r="C419" s="153" t="str">
        <f>IF($B419&lt;&gt;"",INDEX(DataOB[],FirstRow+ROW()-7,2),"")</f>
        <v/>
      </c>
      <c r="D419" s="66" t="str">
        <f>IF($B419&lt;&gt;"",INDEX(DataOB[],FirstRow+ROW()-7,3),"")</f>
        <v/>
      </c>
      <c r="E419" s="103" t="str">
        <f>IF($B419&lt;&gt;"",INDEX(DataOB[],FirstRow+ROW()-7,6),"")</f>
        <v/>
      </c>
      <c r="F419" s="103" t="str">
        <f>IF($B419&lt;&gt;"",INDEX(DataOB[],FirstRow+ROW()-7,5),"")</f>
        <v/>
      </c>
      <c r="G419" s="58">
        <f>IF($B419&lt;&gt;"",SUMIFS(DataAct_tbl[AMOUNT],DataAct_tbl[BG CODE],Detail!$D419,DataAct_tbl[MONTH],LEFT(MonthName,3),DataAct_tbl[Dept code],$B419),0)</f>
        <v>0</v>
      </c>
      <c r="H419" s="31" t="str">
        <f t="shared" si="61"/>
        <v/>
      </c>
      <c r="I419" s="28" t="str">
        <f t="shared" si="62"/>
        <v/>
      </c>
      <c r="J419" s="32" t="str">
        <f t="shared" si="63"/>
        <v/>
      </c>
      <c r="K419" s="86"/>
      <c r="L419" s="62">
        <f>IF($B419&lt;&gt;"",SUMIFS(DataAct_tbl[AMOUNT],DataAct_tbl[BG CODE],Detail!$D419,DataAct_tbl[Check Range],"=true",DataAct_tbl[Dept code],$B419),0)</f>
        <v>0</v>
      </c>
      <c r="M419" s="63">
        <f>INDEX($AG$7:$AR$1005,ROW()-6,MATCH(MTD,$AG$6:$AR$6,0))</f>
        <v>0</v>
      </c>
      <c r="N419" s="34">
        <f t="shared" si="64"/>
        <v>0</v>
      </c>
      <c r="O419" s="64" t="str">
        <f t="shared" si="65"/>
        <v xml:space="preserve"> </v>
      </c>
      <c r="Q419" s="97">
        <f t="shared" si="66"/>
        <v>0</v>
      </c>
      <c r="R419" s="96">
        <f t="shared" si="67"/>
        <v>0</v>
      </c>
      <c r="T419" s="67" t="str">
        <f>IF($B419&lt;&gt;"",INDEX(DataOB[],FirstRow+ROW()-7,MATCH(T$6,DataOB[#Headers],0)),"")</f>
        <v/>
      </c>
      <c r="U419" s="67" t="str">
        <f>IF($B419&lt;&gt;"",INDEX(DataOB[],FirstRow+ROW()-7,MATCH(U$6,DataOB[#Headers],0)),"")</f>
        <v/>
      </c>
      <c r="V419" s="67" t="str">
        <f>IF($B419&lt;&gt;"",INDEX(DataOB[],FirstRow+ROW()-7,MATCH(V$6,DataOB[#Headers],0)),"")</f>
        <v/>
      </c>
      <c r="W419" s="67" t="str">
        <f>IF($B419&lt;&gt;"",INDEX(DataOB[],FirstRow+ROW()-7,MATCH(W$6,DataOB[#Headers],0)),"")</f>
        <v/>
      </c>
      <c r="X419" s="67" t="str">
        <f>IF($B419&lt;&gt;"",INDEX(DataOB[],FirstRow+ROW()-7,MATCH(X$6,DataOB[#Headers],0)),"")</f>
        <v/>
      </c>
      <c r="Y419" s="67" t="str">
        <f>IF($B419&lt;&gt;"",INDEX(DataOB[],FirstRow+ROW()-7,MATCH(Y$6,DataOB[#Headers],0)),"")</f>
        <v/>
      </c>
      <c r="Z419" s="67" t="str">
        <f>IF($B419&lt;&gt;"",INDEX(DataOB[],FirstRow+ROW()-7,MATCH(Z$6,DataOB[#Headers],0)),"")</f>
        <v/>
      </c>
      <c r="AA419" s="67" t="str">
        <f>IF($B419&lt;&gt;"",INDEX(DataOB[],FirstRow+ROW()-7,MATCH(AA$6,DataOB[#Headers],0)),"")</f>
        <v/>
      </c>
      <c r="AB419" s="67" t="str">
        <f>IF($B419&lt;&gt;"",INDEX(DataOB[],FirstRow+ROW()-7,MATCH(AB$6,DataOB[#Headers],0)),"")</f>
        <v/>
      </c>
      <c r="AC419" s="67" t="str">
        <f>IF($B419&lt;&gt;"",INDEX(DataOB[],FirstRow+ROW()-7,MATCH(AC$6,DataOB[#Headers],0)),"")</f>
        <v/>
      </c>
      <c r="AD419" s="67" t="str">
        <f>IF($B419&lt;&gt;"",INDEX(DataOB[],FirstRow+ROW()-7,MATCH(AD$6,DataOB[#Headers],0)),"")</f>
        <v/>
      </c>
      <c r="AE419" s="67" t="str">
        <f>IF($B419&lt;&gt;"",INDEX(DataOB[],FirstRow+ROW()-7,MATCH(AE$6,DataOB[#Headers],0)),"")</f>
        <v/>
      </c>
      <c r="AF419" s="26">
        <f t="shared" si="68"/>
        <v>0</v>
      </c>
      <c r="AG419" s="31">
        <f>SUM($T419:T419)</f>
        <v>0</v>
      </c>
      <c r="AH419" s="31">
        <f>SUM($T419:U419)</f>
        <v>0</v>
      </c>
      <c r="AI419" s="31">
        <f>SUM($T419:V419)</f>
        <v>0</v>
      </c>
      <c r="AJ419" s="31">
        <f>SUM($T419:W419)</f>
        <v>0</v>
      </c>
      <c r="AK419" s="31">
        <f>SUM($T419:X419)</f>
        <v>0</v>
      </c>
      <c r="AL419" s="31">
        <f>SUM($T419:Y419)</f>
        <v>0</v>
      </c>
      <c r="AM419" s="31">
        <f>SUM($T419:Z419)</f>
        <v>0</v>
      </c>
      <c r="AN419" s="31">
        <f>SUM($T419:AA419)</f>
        <v>0</v>
      </c>
      <c r="AO419" s="31">
        <f>SUM($T419:AB419)</f>
        <v>0</v>
      </c>
      <c r="AP419" s="31">
        <f>SUM($T419:AC419)</f>
        <v>0</v>
      </c>
      <c r="AQ419" s="31">
        <f>SUM($T419:AD419)</f>
        <v>0</v>
      </c>
      <c r="AR419" s="31">
        <f>SUM($T419:AE419)</f>
        <v>0</v>
      </c>
      <c r="AS419" s="27">
        <f t="shared" si="69"/>
        <v>0</v>
      </c>
    </row>
    <row r="420" spans="2:45">
      <c r="B420" s="102" t="str">
        <f>IF(ROW()-6&gt;NumCostCenter,"",IF(CostCenter&lt;&gt;"ALL",CostCenter,DATA_LF2!B418))</f>
        <v/>
      </c>
      <c r="C420" s="153" t="str">
        <f>IF($B420&lt;&gt;"",INDEX(DataOB[],FirstRow+ROW()-7,2),"")</f>
        <v/>
      </c>
      <c r="D420" s="66" t="str">
        <f>IF($B420&lt;&gt;"",INDEX(DataOB[],FirstRow+ROW()-7,3),"")</f>
        <v/>
      </c>
      <c r="E420" s="103" t="str">
        <f>IF($B420&lt;&gt;"",INDEX(DataOB[],FirstRow+ROW()-7,6),"")</f>
        <v/>
      </c>
      <c r="F420" s="103" t="str">
        <f>IF($B420&lt;&gt;"",INDEX(DataOB[],FirstRow+ROW()-7,5),"")</f>
        <v/>
      </c>
      <c r="G420" s="58">
        <f>IF($B420&lt;&gt;"",SUMIFS(DataAct_tbl[AMOUNT],DataAct_tbl[BG CODE],Detail!$D420,DataAct_tbl[MONTH],LEFT(MonthName,3),DataAct_tbl[Dept code],$B420),0)</f>
        <v>0</v>
      </c>
      <c r="H420" s="31" t="str">
        <f t="shared" si="61"/>
        <v/>
      </c>
      <c r="I420" s="28" t="str">
        <f t="shared" si="62"/>
        <v/>
      </c>
      <c r="J420" s="32" t="str">
        <f t="shared" si="63"/>
        <v/>
      </c>
      <c r="K420" s="86"/>
      <c r="L420" s="62">
        <f>IF($B420&lt;&gt;"",SUMIFS(DataAct_tbl[AMOUNT],DataAct_tbl[BG CODE],Detail!$D420,DataAct_tbl[Check Range],"=true",DataAct_tbl[Dept code],$B420),0)</f>
        <v>0</v>
      </c>
      <c r="M420" s="63">
        <f>INDEX($AG$7:$AR$1005,ROW()-6,MATCH(MTD,$AG$6:$AR$6,0))</f>
        <v>0</v>
      </c>
      <c r="N420" s="34">
        <f t="shared" si="64"/>
        <v>0</v>
      </c>
      <c r="O420" s="64" t="str">
        <f t="shared" si="65"/>
        <v xml:space="preserve"> </v>
      </c>
      <c r="Q420" s="97">
        <f t="shared" si="66"/>
        <v>0</v>
      </c>
      <c r="R420" s="96">
        <f t="shared" si="67"/>
        <v>0</v>
      </c>
      <c r="T420" s="67" t="str">
        <f>IF($B420&lt;&gt;"",INDEX(DataOB[],FirstRow+ROW()-7,MATCH(T$6,DataOB[#Headers],0)),"")</f>
        <v/>
      </c>
      <c r="U420" s="67" t="str">
        <f>IF($B420&lt;&gt;"",INDEX(DataOB[],FirstRow+ROW()-7,MATCH(U$6,DataOB[#Headers],0)),"")</f>
        <v/>
      </c>
      <c r="V420" s="67" t="str">
        <f>IF($B420&lt;&gt;"",INDEX(DataOB[],FirstRow+ROW()-7,MATCH(V$6,DataOB[#Headers],0)),"")</f>
        <v/>
      </c>
      <c r="W420" s="67" t="str">
        <f>IF($B420&lt;&gt;"",INDEX(DataOB[],FirstRow+ROW()-7,MATCH(W$6,DataOB[#Headers],0)),"")</f>
        <v/>
      </c>
      <c r="X420" s="67" t="str">
        <f>IF($B420&lt;&gt;"",INDEX(DataOB[],FirstRow+ROW()-7,MATCH(X$6,DataOB[#Headers],0)),"")</f>
        <v/>
      </c>
      <c r="Y420" s="67" t="str">
        <f>IF($B420&lt;&gt;"",INDEX(DataOB[],FirstRow+ROW()-7,MATCH(Y$6,DataOB[#Headers],0)),"")</f>
        <v/>
      </c>
      <c r="Z420" s="67" t="str">
        <f>IF($B420&lt;&gt;"",INDEX(DataOB[],FirstRow+ROW()-7,MATCH(Z$6,DataOB[#Headers],0)),"")</f>
        <v/>
      </c>
      <c r="AA420" s="67" t="str">
        <f>IF($B420&lt;&gt;"",INDEX(DataOB[],FirstRow+ROW()-7,MATCH(AA$6,DataOB[#Headers],0)),"")</f>
        <v/>
      </c>
      <c r="AB420" s="67" t="str">
        <f>IF($B420&lt;&gt;"",INDEX(DataOB[],FirstRow+ROW()-7,MATCH(AB$6,DataOB[#Headers],0)),"")</f>
        <v/>
      </c>
      <c r="AC420" s="67" t="str">
        <f>IF($B420&lt;&gt;"",INDEX(DataOB[],FirstRow+ROW()-7,MATCH(AC$6,DataOB[#Headers],0)),"")</f>
        <v/>
      </c>
      <c r="AD420" s="67" t="str">
        <f>IF($B420&lt;&gt;"",INDEX(DataOB[],FirstRow+ROW()-7,MATCH(AD$6,DataOB[#Headers],0)),"")</f>
        <v/>
      </c>
      <c r="AE420" s="67" t="str">
        <f>IF($B420&lt;&gt;"",INDEX(DataOB[],FirstRow+ROW()-7,MATCH(AE$6,DataOB[#Headers],0)),"")</f>
        <v/>
      </c>
      <c r="AF420" s="26">
        <f t="shared" si="68"/>
        <v>0</v>
      </c>
      <c r="AG420" s="31">
        <f>SUM($T420:T420)</f>
        <v>0</v>
      </c>
      <c r="AH420" s="31">
        <f>SUM($T420:U420)</f>
        <v>0</v>
      </c>
      <c r="AI420" s="31">
        <f>SUM($T420:V420)</f>
        <v>0</v>
      </c>
      <c r="AJ420" s="31">
        <f>SUM($T420:W420)</f>
        <v>0</v>
      </c>
      <c r="AK420" s="31">
        <f>SUM($T420:X420)</f>
        <v>0</v>
      </c>
      <c r="AL420" s="31">
        <f>SUM($T420:Y420)</f>
        <v>0</v>
      </c>
      <c r="AM420" s="31">
        <f>SUM($T420:Z420)</f>
        <v>0</v>
      </c>
      <c r="AN420" s="31">
        <f>SUM($T420:AA420)</f>
        <v>0</v>
      </c>
      <c r="AO420" s="31">
        <f>SUM($T420:AB420)</f>
        <v>0</v>
      </c>
      <c r="AP420" s="31">
        <f>SUM($T420:AC420)</f>
        <v>0</v>
      </c>
      <c r="AQ420" s="31">
        <f>SUM($T420:AD420)</f>
        <v>0</v>
      </c>
      <c r="AR420" s="31">
        <f>SUM($T420:AE420)</f>
        <v>0</v>
      </c>
      <c r="AS420" s="27">
        <f t="shared" si="69"/>
        <v>0</v>
      </c>
    </row>
    <row r="421" spans="2:45">
      <c r="B421" s="102" t="str">
        <f>IF(ROW()-6&gt;NumCostCenter,"",IF(CostCenter&lt;&gt;"ALL",CostCenter,DATA_LF2!B419))</f>
        <v/>
      </c>
      <c r="C421" s="153" t="str">
        <f>IF($B421&lt;&gt;"",INDEX(DataOB[],FirstRow+ROW()-7,2),"")</f>
        <v/>
      </c>
      <c r="D421" s="66" t="str">
        <f>IF($B421&lt;&gt;"",INDEX(DataOB[],FirstRow+ROW()-7,3),"")</f>
        <v/>
      </c>
      <c r="E421" s="103" t="str">
        <f>IF($B421&lt;&gt;"",INDEX(DataOB[],FirstRow+ROW()-7,6),"")</f>
        <v/>
      </c>
      <c r="F421" s="103" t="str">
        <f>IF($B421&lt;&gt;"",INDEX(DataOB[],FirstRow+ROW()-7,5),"")</f>
        <v/>
      </c>
      <c r="G421" s="58">
        <f>IF($B421&lt;&gt;"",SUMIFS(DataAct_tbl[AMOUNT],DataAct_tbl[BG CODE],Detail!$D421,DataAct_tbl[MONTH],LEFT(MonthName,3),DataAct_tbl[Dept code],$B421),0)</f>
        <v>0</v>
      </c>
      <c r="H421" s="31" t="str">
        <f t="shared" si="61"/>
        <v/>
      </c>
      <c r="I421" s="28" t="str">
        <f t="shared" si="62"/>
        <v/>
      </c>
      <c r="J421" s="32" t="str">
        <f t="shared" si="63"/>
        <v/>
      </c>
      <c r="K421" s="86"/>
      <c r="L421" s="62">
        <f>IF($B421&lt;&gt;"",SUMIFS(DataAct_tbl[AMOUNT],DataAct_tbl[BG CODE],Detail!$D421,DataAct_tbl[Check Range],"=true",DataAct_tbl[Dept code],$B421),0)</f>
        <v>0</v>
      </c>
      <c r="M421" s="63">
        <f>INDEX($AG$7:$AR$1005,ROW()-6,MATCH(MTD,$AG$6:$AR$6,0))</f>
        <v>0</v>
      </c>
      <c r="N421" s="34">
        <f t="shared" si="64"/>
        <v>0</v>
      </c>
      <c r="O421" s="64" t="str">
        <f t="shared" si="65"/>
        <v xml:space="preserve"> </v>
      </c>
      <c r="Q421" s="97">
        <f t="shared" si="66"/>
        <v>0</v>
      </c>
      <c r="R421" s="96">
        <f t="shared" si="67"/>
        <v>0</v>
      </c>
      <c r="T421" s="67" t="str">
        <f>IF($B421&lt;&gt;"",INDEX(DataOB[],FirstRow+ROW()-7,MATCH(T$6,DataOB[#Headers],0)),"")</f>
        <v/>
      </c>
      <c r="U421" s="67" t="str">
        <f>IF($B421&lt;&gt;"",INDEX(DataOB[],FirstRow+ROW()-7,MATCH(U$6,DataOB[#Headers],0)),"")</f>
        <v/>
      </c>
      <c r="V421" s="67" t="str">
        <f>IF($B421&lt;&gt;"",INDEX(DataOB[],FirstRow+ROW()-7,MATCH(V$6,DataOB[#Headers],0)),"")</f>
        <v/>
      </c>
      <c r="W421" s="67" t="str">
        <f>IF($B421&lt;&gt;"",INDEX(DataOB[],FirstRow+ROW()-7,MATCH(W$6,DataOB[#Headers],0)),"")</f>
        <v/>
      </c>
      <c r="X421" s="67" t="str">
        <f>IF($B421&lt;&gt;"",INDEX(DataOB[],FirstRow+ROW()-7,MATCH(X$6,DataOB[#Headers],0)),"")</f>
        <v/>
      </c>
      <c r="Y421" s="67" t="str">
        <f>IF($B421&lt;&gt;"",INDEX(DataOB[],FirstRow+ROW()-7,MATCH(Y$6,DataOB[#Headers],0)),"")</f>
        <v/>
      </c>
      <c r="Z421" s="67" t="str">
        <f>IF($B421&lt;&gt;"",INDEX(DataOB[],FirstRow+ROW()-7,MATCH(Z$6,DataOB[#Headers],0)),"")</f>
        <v/>
      </c>
      <c r="AA421" s="67" t="str">
        <f>IF($B421&lt;&gt;"",INDEX(DataOB[],FirstRow+ROW()-7,MATCH(AA$6,DataOB[#Headers],0)),"")</f>
        <v/>
      </c>
      <c r="AB421" s="67" t="str">
        <f>IF($B421&lt;&gt;"",INDEX(DataOB[],FirstRow+ROW()-7,MATCH(AB$6,DataOB[#Headers],0)),"")</f>
        <v/>
      </c>
      <c r="AC421" s="67" t="str">
        <f>IF($B421&lt;&gt;"",INDEX(DataOB[],FirstRow+ROW()-7,MATCH(AC$6,DataOB[#Headers],0)),"")</f>
        <v/>
      </c>
      <c r="AD421" s="67" t="str">
        <f>IF($B421&lt;&gt;"",INDEX(DataOB[],FirstRow+ROW()-7,MATCH(AD$6,DataOB[#Headers],0)),"")</f>
        <v/>
      </c>
      <c r="AE421" s="67" t="str">
        <f>IF($B421&lt;&gt;"",INDEX(DataOB[],FirstRow+ROW()-7,MATCH(AE$6,DataOB[#Headers],0)),"")</f>
        <v/>
      </c>
      <c r="AF421" s="26">
        <f t="shared" si="68"/>
        <v>0</v>
      </c>
      <c r="AG421" s="31">
        <f>SUM($T421:T421)</f>
        <v>0</v>
      </c>
      <c r="AH421" s="31">
        <f>SUM($T421:U421)</f>
        <v>0</v>
      </c>
      <c r="AI421" s="31">
        <f>SUM($T421:V421)</f>
        <v>0</v>
      </c>
      <c r="AJ421" s="31">
        <f>SUM($T421:W421)</f>
        <v>0</v>
      </c>
      <c r="AK421" s="31">
        <f>SUM($T421:X421)</f>
        <v>0</v>
      </c>
      <c r="AL421" s="31">
        <f>SUM($T421:Y421)</f>
        <v>0</v>
      </c>
      <c r="AM421" s="31">
        <f>SUM($T421:Z421)</f>
        <v>0</v>
      </c>
      <c r="AN421" s="31">
        <f>SUM($T421:AA421)</f>
        <v>0</v>
      </c>
      <c r="AO421" s="31">
        <f>SUM($T421:AB421)</f>
        <v>0</v>
      </c>
      <c r="AP421" s="31">
        <f>SUM($T421:AC421)</f>
        <v>0</v>
      </c>
      <c r="AQ421" s="31">
        <f>SUM($T421:AD421)</f>
        <v>0</v>
      </c>
      <c r="AR421" s="31">
        <f>SUM($T421:AE421)</f>
        <v>0</v>
      </c>
      <c r="AS421" s="27">
        <f t="shared" si="69"/>
        <v>0</v>
      </c>
    </row>
    <row r="422" spans="2:45">
      <c r="B422" s="102" t="str">
        <f>IF(ROW()-6&gt;NumCostCenter,"",IF(CostCenter&lt;&gt;"ALL",CostCenter,DATA_LF2!B420))</f>
        <v/>
      </c>
      <c r="C422" s="153" t="str">
        <f>IF($B422&lt;&gt;"",INDEX(DataOB[],FirstRow+ROW()-7,2),"")</f>
        <v/>
      </c>
      <c r="D422" s="66" t="str">
        <f>IF($B422&lt;&gt;"",INDEX(DataOB[],FirstRow+ROW()-7,3),"")</f>
        <v/>
      </c>
      <c r="E422" s="103" t="str">
        <f>IF($B422&lt;&gt;"",INDEX(DataOB[],FirstRow+ROW()-7,6),"")</f>
        <v/>
      </c>
      <c r="F422" s="103" t="str">
        <f>IF($B422&lt;&gt;"",INDEX(DataOB[],FirstRow+ROW()-7,5),"")</f>
        <v/>
      </c>
      <c r="G422" s="58">
        <f>IF($B422&lt;&gt;"",SUMIFS(DataAct_tbl[AMOUNT],DataAct_tbl[BG CODE],Detail!$D422,DataAct_tbl[MONTH],LEFT(MonthName,3),DataAct_tbl[Dept code],$B422),0)</f>
        <v>0</v>
      </c>
      <c r="H422" s="31" t="str">
        <f t="shared" si="61"/>
        <v/>
      </c>
      <c r="I422" s="28" t="str">
        <f t="shared" si="62"/>
        <v/>
      </c>
      <c r="J422" s="32" t="str">
        <f t="shared" si="63"/>
        <v/>
      </c>
      <c r="K422" s="86"/>
      <c r="L422" s="62">
        <f>IF($B422&lt;&gt;"",SUMIFS(DataAct_tbl[AMOUNT],DataAct_tbl[BG CODE],Detail!$D422,DataAct_tbl[Check Range],"=true",DataAct_tbl[Dept code],$B422),0)</f>
        <v>0</v>
      </c>
      <c r="M422" s="63">
        <f>INDEX($AG$7:$AR$1005,ROW()-6,MATCH(MTD,$AG$6:$AR$6,0))</f>
        <v>0</v>
      </c>
      <c r="N422" s="34">
        <f t="shared" si="64"/>
        <v>0</v>
      </c>
      <c r="O422" s="64" t="str">
        <f t="shared" si="65"/>
        <v xml:space="preserve"> </v>
      </c>
      <c r="Q422" s="97">
        <f t="shared" si="66"/>
        <v>0</v>
      </c>
      <c r="R422" s="96">
        <f t="shared" si="67"/>
        <v>0</v>
      </c>
      <c r="T422" s="67" t="str">
        <f>IF($B422&lt;&gt;"",INDEX(DataOB[],FirstRow+ROW()-7,MATCH(T$6,DataOB[#Headers],0)),"")</f>
        <v/>
      </c>
      <c r="U422" s="67" t="str">
        <f>IF($B422&lt;&gt;"",INDEX(DataOB[],FirstRow+ROW()-7,MATCH(U$6,DataOB[#Headers],0)),"")</f>
        <v/>
      </c>
      <c r="V422" s="67" t="str">
        <f>IF($B422&lt;&gt;"",INDEX(DataOB[],FirstRow+ROW()-7,MATCH(V$6,DataOB[#Headers],0)),"")</f>
        <v/>
      </c>
      <c r="W422" s="67" t="str">
        <f>IF($B422&lt;&gt;"",INDEX(DataOB[],FirstRow+ROW()-7,MATCH(W$6,DataOB[#Headers],0)),"")</f>
        <v/>
      </c>
      <c r="X422" s="67" t="str">
        <f>IF($B422&lt;&gt;"",INDEX(DataOB[],FirstRow+ROW()-7,MATCH(X$6,DataOB[#Headers],0)),"")</f>
        <v/>
      </c>
      <c r="Y422" s="67" t="str">
        <f>IF($B422&lt;&gt;"",INDEX(DataOB[],FirstRow+ROW()-7,MATCH(Y$6,DataOB[#Headers],0)),"")</f>
        <v/>
      </c>
      <c r="Z422" s="67" t="str">
        <f>IF($B422&lt;&gt;"",INDEX(DataOB[],FirstRow+ROW()-7,MATCH(Z$6,DataOB[#Headers],0)),"")</f>
        <v/>
      </c>
      <c r="AA422" s="67" t="str">
        <f>IF($B422&lt;&gt;"",INDEX(DataOB[],FirstRow+ROW()-7,MATCH(AA$6,DataOB[#Headers],0)),"")</f>
        <v/>
      </c>
      <c r="AB422" s="67" t="str">
        <f>IF($B422&lt;&gt;"",INDEX(DataOB[],FirstRow+ROW()-7,MATCH(AB$6,DataOB[#Headers],0)),"")</f>
        <v/>
      </c>
      <c r="AC422" s="67" t="str">
        <f>IF($B422&lt;&gt;"",INDEX(DataOB[],FirstRow+ROW()-7,MATCH(AC$6,DataOB[#Headers],0)),"")</f>
        <v/>
      </c>
      <c r="AD422" s="67" t="str">
        <f>IF($B422&lt;&gt;"",INDEX(DataOB[],FirstRow+ROW()-7,MATCH(AD$6,DataOB[#Headers],0)),"")</f>
        <v/>
      </c>
      <c r="AE422" s="67" t="str">
        <f>IF($B422&lt;&gt;"",INDEX(DataOB[],FirstRow+ROW()-7,MATCH(AE$6,DataOB[#Headers],0)),"")</f>
        <v/>
      </c>
      <c r="AF422" s="26">
        <f t="shared" si="68"/>
        <v>0</v>
      </c>
      <c r="AG422" s="31">
        <f>SUM($T422:T422)</f>
        <v>0</v>
      </c>
      <c r="AH422" s="31">
        <f>SUM($T422:U422)</f>
        <v>0</v>
      </c>
      <c r="AI422" s="31">
        <f>SUM($T422:V422)</f>
        <v>0</v>
      </c>
      <c r="AJ422" s="31">
        <f>SUM($T422:W422)</f>
        <v>0</v>
      </c>
      <c r="AK422" s="31">
        <f>SUM($T422:X422)</f>
        <v>0</v>
      </c>
      <c r="AL422" s="31">
        <f>SUM($T422:Y422)</f>
        <v>0</v>
      </c>
      <c r="AM422" s="31">
        <f>SUM($T422:Z422)</f>
        <v>0</v>
      </c>
      <c r="AN422" s="31">
        <f>SUM($T422:AA422)</f>
        <v>0</v>
      </c>
      <c r="AO422" s="31">
        <f>SUM($T422:AB422)</f>
        <v>0</v>
      </c>
      <c r="AP422" s="31">
        <f>SUM($T422:AC422)</f>
        <v>0</v>
      </c>
      <c r="AQ422" s="31">
        <f>SUM($T422:AD422)</f>
        <v>0</v>
      </c>
      <c r="AR422" s="31">
        <f>SUM($T422:AE422)</f>
        <v>0</v>
      </c>
      <c r="AS422" s="27">
        <f t="shared" si="69"/>
        <v>0</v>
      </c>
    </row>
    <row r="423" spans="2:45">
      <c r="B423" s="102" t="str">
        <f>IF(ROW()-6&gt;NumCostCenter,"",IF(CostCenter&lt;&gt;"ALL",CostCenter,DATA_LF2!B421))</f>
        <v/>
      </c>
      <c r="C423" s="153" t="str">
        <f>IF($B423&lt;&gt;"",INDEX(DataOB[],FirstRow+ROW()-7,2),"")</f>
        <v/>
      </c>
      <c r="D423" s="66" t="str">
        <f>IF($B423&lt;&gt;"",INDEX(DataOB[],FirstRow+ROW()-7,3),"")</f>
        <v/>
      </c>
      <c r="E423" s="103" t="str">
        <f>IF($B423&lt;&gt;"",INDEX(DataOB[],FirstRow+ROW()-7,6),"")</f>
        <v/>
      </c>
      <c r="F423" s="103" t="str">
        <f>IF($B423&lt;&gt;"",INDEX(DataOB[],FirstRow+ROW()-7,5),"")</f>
        <v/>
      </c>
      <c r="G423" s="58">
        <f>IF($B423&lt;&gt;"",SUMIFS(DataAct_tbl[AMOUNT],DataAct_tbl[BG CODE],Detail!$D423,DataAct_tbl[MONTH],LEFT(MonthName,3),DataAct_tbl[Dept code],$B423),0)</f>
        <v>0</v>
      </c>
      <c r="H423" s="31" t="str">
        <f t="shared" si="61"/>
        <v/>
      </c>
      <c r="I423" s="28" t="str">
        <f t="shared" si="62"/>
        <v/>
      </c>
      <c r="J423" s="32" t="str">
        <f t="shared" si="63"/>
        <v/>
      </c>
      <c r="K423" s="86"/>
      <c r="L423" s="62">
        <f>IF($B423&lt;&gt;"",SUMIFS(DataAct_tbl[AMOUNT],DataAct_tbl[BG CODE],Detail!$D423,DataAct_tbl[Check Range],"=true",DataAct_tbl[Dept code],$B423),0)</f>
        <v>0</v>
      </c>
      <c r="M423" s="63">
        <f>INDEX($AG$7:$AR$1005,ROW()-6,MATCH(MTD,$AG$6:$AR$6,0))</f>
        <v>0</v>
      </c>
      <c r="N423" s="34">
        <f t="shared" si="64"/>
        <v>0</v>
      </c>
      <c r="O423" s="64" t="str">
        <f t="shared" si="65"/>
        <v xml:space="preserve"> </v>
      </c>
      <c r="Q423" s="97">
        <f t="shared" si="66"/>
        <v>0</v>
      </c>
      <c r="R423" s="96">
        <f t="shared" si="67"/>
        <v>0</v>
      </c>
      <c r="T423" s="67" t="str">
        <f>IF($B423&lt;&gt;"",INDEX(DataOB[],FirstRow+ROW()-7,MATCH(T$6,DataOB[#Headers],0)),"")</f>
        <v/>
      </c>
      <c r="U423" s="67" t="str">
        <f>IF($B423&lt;&gt;"",INDEX(DataOB[],FirstRow+ROW()-7,MATCH(U$6,DataOB[#Headers],0)),"")</f>
        <v/>
      </c>
      <c r="V423" s="67" t="str">
        <f>IF($B423&lt;&gt;"",INDEX(DataOB[],FirstRow+ROW()-7,MATCH(V$6,DataOB[#Headers],0)),"")</f>
        <v/>
      </c>
      <c r="W423" s="67" t="str">
        <f>IF($B423&lt;&gt;"",INDEX(DataOB[],FirstRow+ROW()-7,MATCH(W$6,DataOB[#Headers],0)),"")</f>
        <v/>
      </c>
      <c r="X423" s="67" t="str">
        <f>IF($B423&lt;&gt;"",INDEX(DataOB[],FirstRow+ROW()-7,MATCH(X$6,DataOB[#Headers],0)),"")</f>
        <v/>
      </c>
      <c r="Y423" s="67" t="str">
        <f>IF($B423&lt;&gt;"",INDEX(DataOB[],FirstRow+ROW()-7,MATCH(Y$6,DataOB[#Headers],0)),"")</f>
        <v/>
      </c>
      <c r="Z423" s="67" t="str">
        <f>IF($B423&lt;&gt;"",INDEX(DataOB[],FirstRow+ROW()-7,MATCH(Z$6,DataOB[#Headers],0)),"")</f>
        <v/>
      </c>
      <c r="AA423" s="67" t="str">
        <f>IF($B423&lt;&gt;"",INDEX(DataOB[],FirstRow+ROW()-7,MATCH(AA$6,DataOB[#Headers],0)),"")</f>
        <v/>
      </c>
      <c r="AB423" s="67" t="str">
        <f>IF($B423&lt;&gt;"",INDEX(DataOB[],FirstRow+ROW()-7,MATCH(AB$6,DataOB[#Headers],0)),"")</f>
        <v/>
      </c>
      <c r="AC423" s="67" t="str">
        <f>IF($B423&lt;&gt;"",INDEX(DataOB[],FirstRow+ROW()-7,MATCH(AC$6,DataOB[#Headers],0)),"")</f>
        <v/>
      </c>
      <c r="AD423" s="67" t="str">
        <f>IF($B423&lt;&gt;"",INDEX(DataOB[],FirstRow+ROW()-7,MATCH(AD$6,DataOB[#Headers],0)),"")</f>
        <v/>
      </c>
      <c r="AE423" s="67" t="str">
        <f>IF($B423&lt;&gt;"",INDEX(DataOB[],FirstRow+ROW()-7,MATCH(AE$6,DataOB[#Headers],0)),"")</f>
        <v/>
      </c>
      <c r="AF423" s="26">
        <f t="shared" si="68"/>
        <v>0</v>
      </c>
      <c r="AG423" s="31">
        <f>SUM($T423:T423)</f>
        <v>0</v>
      </c>
      <c r="AH423" s="31">
        <f>SUM($T423:U423)</f>
        <v>0</v>
      </c>
      <c r="AI423" s="31">
        <f>SUM($T423:V423)</f>
        <v>0</v>
      </c>
      <c r="AJ423" s="31">
        <f>SUM($T423:W423)</f>
        <v>0</v>
      </c>
      <c r="AK423" s="31">
        <f>SUM($T423:X423)</f>
        <v>0</v>
      </c>
      <c r="AL423" s="31">
        <f>SUM($T423:Y423)</f>
        <v>0</v>
      </c>
      <c r="AM423" s="31">
        <f>SUM($T423:Z423)</f>
        <v>0</v>
      </c>
      <c r="AN423" s="31">
        <f>SUM($T423:AA423)</f>
        <v>0</v>
      </c>
      <c r="AO423" s="31">
        <f>SUM($T423:AB423)</f>
        <v>0</v>
      </c>
      <c r="AP423" s="31">
        <f>SUM($T423:AC423)</f>
        <v>0</v>
      </c>
      <c r="AQ423" s="31">
        <f>SUM($T423:AD423)</f>
        <v>0</v>
      </c>
      <c r="AR423" s="31">
        <f>SUM($T423:AE423)</f>
        <v>0</v>
      </c>
      <c r="AS423" s="27">
        <f t="shared" si="69"/>
        <v>0</v>
      </c>
    </row>
    <row r="424" spans="2:45">
      <c r="B424" s="102" t="str">
        <f>IF(ROW()-6&gt;NumCostCenter,"",IF(CostCenter&lt;&gt;"ALL",CostCenter,DATA_LF2!B422))</f>
        <v/>
      </c>
      <c r="C424" s="153" t="str">
        <f>IF($B424&lt;&gt;"",INDEX(DataOB[],FirstRow+ROW()-7,2),"")</f>
        <v/>
      </c>
      <c r="D424" s="66" t="str">
        <f>IF($B424&lt;&gt;"",INDEX(DataOB[],FirstRow+ROW()-7,3),"")</f>
        <v/>
      </c>
      <c r="E424" s="103" t="str">
        <f>IF($B424&lt;&gt;"",INDEX(DataOB[],FirstRow+ROW()-7,6),"")</f>
        <v/>
      </c>
      <c r="F424" s="103" t="str">
        <f>IF($B424&lt;&gt;"",INDEX(DataOB[],FirstRow+ROW()-7,5),"")</f>
        <v/>
      </c>
      <c r="G424" s="58">
        <f>IF($B424&lt;&gt;"",SUMIFS(DataAct_tbl[AMOUNT],DataAct_tbl[BG CODE],Detail!$D424,DataAct_tbl[MONTH],LEFT(MonthName,3),DataAct_tbl[Dept code],$B424),0)</f>
        <v>0</v>
      </c>
      <c r="H424" s="31" t="str">
        <f t="shared" si="61"/>
        <v/>
      </c>
      <c r="I424" s="28" t="str">
        <f t="shared" si="62"/>
        <v/>
      </c>
      <c r="J424" s="32" t="str">
        <f t="shared" si="63"/>
        <v/>
      </c>
      <c r="K424" s="86"/>
      <c r="L424" s="62">
        <f>IF($B424&lt;&gt;"",SUMIFS(DataAct_tbl[AMOUNT],DataAct_tbl[BG CODE],Detail!$D424,DataAct_tbl[Check Range],"=true",DataAct_tbl[Dept code],$B424),0)</f>
        <v>0</v>
      </c>
      <c r="M424" s="63">
        <f>INDEX($AG$7:$AR$1005,ROW()-6,MATCH(MTD,$AG$6:$AR$6,0))</f>
        <v>0</v>
      </c>
      <c r="N424" s="34">
        <f t="shared" si="64"/>
        <v>0</v>
      </c>
      <c r="O424" s="64" t="str">
        <f t="shared" si="65"/>
        <v xml:space="preserve"> </v>
      </c>
      <c r="Q424" s="97">
        <f t="shared" si="66"/>
        <v>0</v>
      </c>
      <c r="R424" s="96">
        <f t="shared" si="67"/>
        <v>0</v>
      </c>
      <c r="T424" s="67" t="str">
        <f>IF($B424&lt;&gt;"",INDEX(DataOB[],FirstRow+ROW()-7,MATCH(T$6,DataOB[#Headers],0)),"")</f>
        <v/>
      </c>
      <c r="U424" s="67" t="str">
        <f>IF($B424&lt;&gt;"",INDEX(DataOB[],FirstRow+ROW()-7,MATCH(U$6,DataOB[#Headers],0)),"")</f>
        <v/>
      </c>
      <c r="V424" s="67" t="str">
        <f>IF($B424&lt;&gt;"",INDEX(DataOB[],FirstRow+ROW()-7,MATCH(V$6,DataOB[#Headers],0)),"")</f>
        <v/>
      </c>
      <c r="W424" s="67" t="str">
        <f>IF($B424&lt;&gt;"",INDEX(DataOB[],FirstRow+ROW()-7,MATCH(W$6,DataOB[#Headers],0)),"")</f>
        <v/>
      </c>
      <c r="X424" s="67" t="str">
        <f>IF($B424&lt;&gt;"",INDEX(DataOB[],FirstRow+ROW()-7,MATCH(X$6,DataOB[#Headers],0)),"")</f>
        <v/>
      </c>
      <c r="Y424" s="67" t="str">
        <f>IF($B424&lt;&gt;"",INDEX(DataOB[],FirstRow+ROW()-7,MATCH(Y$6,DataOB[#Headers],0)),"")</f>
        <v/>
      </c>
      <c r="Z424" s="67" t="str">
        <f>IF($B424&lt;&gt;"",INDEX(DataOB[],FirstRow+ROW()-7,MATCH(Z$6,DataOB[#Headers],0)),"")</f>
        <v/>
      </c>
      <c r="AA424" s="67" t="str">
        <f>IF($B424&lt;&gt;"",INDEX(DataOB[],FirstRow+ROW()-7,MATCH(AA$6,DataOB[#Headers],0)),"")</f>
        <v/>
      </c>
      <c r="AB424" s="67" t="str">
        <f>IF($B424&lt;&gt;"",INDEX(DataOB[],FirstRow+ROW()-7,MATCH(AB$6,DataOB[#Headers],0)),"")</f>
        <v/>
      </c>
      <c r="AC424" s="67" t="str">
        <f>IF($B424&lt;&gt;"",INDEX(DataOB[],FirstRow+ROW()-7,MATCH(AC$6,DataOB[#Headers],0)),"")</f>
        <v/>
      </c>
      <c r="AD424" s="67" t="str">
        <f>IF($B424&lt;&gt;"",INDEX(DataOB[],FirstRow+ROW()-7,MATCH(AD$6,DataOB[#Headers],0)),"")</f>
        <v/>
      </c>
      <c r="AE424" s="67" t="str">
        <f>IF($B424&lt;&gt;"",INDEX(DataOB[],FirstRow+ROW()-7,MATCH(AE$6,DataOB[#Headers],0)),"")</f>
        <v/>
      </c>
      <c r="AF424" s="26">
        <f t="shared" si="68"/>
        <v>0</v>
      </c>
      <c r="AG424" s="31">
        <f>SUM($T424:T424)</f>
        <v>0</v>
      </c>
      <c r="AH424" s="31">
        <f>SUM($T424:U424)</f>
        <v>0</v>
      </c>
      <c r="AI424" s="31">
        <f>SUM($T424:V424)</f>
        <v>0</v>
      </c>
      <c r="AJ424" s="31">
        <f>SUM($T424:W424)</f>
        <v>0</v>
      </c>
      <c r="AK424" s="31">
        <f>SUM($T424:X424)</f>
        <v>0</v>
      </c>
      <c r="AL424" s="31">
        <f>SUM($T424:Y424)</f>
        <v>0</v>
      </c>
      <c r="AM424" s="31">
        <f>SUM($T424:Z424)</f>
        <v>0</v>
      </c>
      <c r="AN424" s="31">
        <f>SUM($T424:AA424)</f>
        <v>0</v>
      </c>
      <c r="AO424" s="31">
        <f>SUM($T424:AB424)</f>
        <v>0</v>
      </c>
      <c r="AP424" s="31">
        <f>SUM($T424:AC424)</f>
        <v>0</v>
      </c>
      <c r="AQ424" s="31">
        <f>SUM($T424:AD424)</f>
        <v>0</v>
      </c>
      <c r="AR424" s="31">
        <f>SUM($T424:AE424)</f>
        <v>0</v>
      </c>
      <c r="AS424" s="27">
        <f t="shared" si="69"/>
        <v>0</v>
      </c>
    </row>
    <row r="425" spans="2:45">
      <c r="B425" s="102" t="str">
        <f>IF(ROW()-6&gt;NumCostCenter,"",IF(CostCenter&lt;&gt;"ALL",CostCenter,DATA_LF2!B423))</f>
        <v/>
      </c>
      <c r="C425" s="153" t="str">
        <f>IF($B425&lt;&gt;"",INDEX(DataOB[],FirstRow+ROW()-7,2),"")</f>
        <v/>
      </c>
      <c r="D425" s="66" t="str">
        <f>IF($B425&lt;&gt;"",INDEX(DataOB[],FirstRow+ROW()-7,3),"")</f>
        <v/>
      </c>
      <c r="E425" s="103" t="str">
        <f>IF($B425&lt;&gt;"",INDEX(DataOB[],FirstRow+ROW()-7,6),"")</f>
        <v/>
      </c>
      <c r="F425" s="103" t="str">
        <f>IF($B425&lt;&gt;"",INDEX(DataOB[],FirstRow+ROW()-7,5),"")</f>
        <v/>
      </c>
      <c r="G425" s="58">
        <f>IF($B425&lt;&gt;"",SUMIFS(DataAct_tbl[AMOUNT],DataAct_tbl[BG CODE],Detail!$D425,DataAct_tbl[MONTH],LEFT(MonthName,3),DataAct_tbl[Dept code],$B425),0)</f>
        <v>0</v>
      </c>
      <c r="H425" s="31" t="str">
        <f t="shared" si="61"/>
        <v/>
      </c>
      <c r="I425" s="28" t="str">
        <f t="shared" si="62"/>
        <v/>
      </c>
      <c r="J425" s="32" t="str">
        <f t="shared" si="63"/>
        <v/>
      </c>
      <c r="K425" s="86"/>
      <c r="L425" s="62">
        <f>IF($B425&lt;&gt;"",SUMIFS(DataAct_tbl[AMOUNT],DataAct_tbl[BG CODE],Detail!$D425,DataAct_tbl[Check Range],"=true",DataAct_tbl[Dept code],$B425),0)</f>
        <v>0</v>
      </c>
      <c r="M425" s="63">
        <f>INDEX($AG$7:$AR$1005,ROW()-6,MATCH(MTD,$AG$6:$AR$6,0))</f>
        <v>0</v>
      </c>
      <c r="N425" s="34">
        <f t="shared" si="64"/>
        <v>0</v>
      </c>
      <c r="O425" s="64" t="str">
        <f t="shared" si="65"/>
        <v xml:space="preserve"> </v>
      </c>
      <c r="Q425" s="97">
        <f t="shared" si="66"/>
        <v>0</v>
      </c>
      <c r="R425" s="96">
        <f t="shared" si="67"/>
        <v>0</v>
      </c>
      <c r="T425" s="67" t="str">
        <f>IF($B425&lt;&gt;"",INDEX(DataOB[],FirstRow+ROW()-7,MATCH(T$6,DataOB[#Headers],0)),"")</f>
        <v/>
      </c>
      <c r="U425" s="67" t="str">
        <f>IF($B425&lt;&gt;"",INDEX(DataOB[],FirstRow+ROW()-7,MATCH(U$6,DataOB[#Headers],0)),"")</f>
        <v/>
      </c>
      <c r="V425" s="67" t="str">
        <f>IF($B425&lt;&gt;"",INDEX(DataOB[],FirstRow+ROW()-7,MATCH(V$6,DataOB[#Headers],0)),"")</f>
        <v/>
      </c>
      <c r="W425" s="67" t="str">
        <f>IF($B425&lt;&gt;"",INDEX(DataOB[],FirstRow+ROW()-7,MATCH(W$6,DataOB[#Headers],0)),"")</f>
        <v/>
      </c>
      <c r="X425" s="67" t="str">
        <f>IF($B425&lt;&gt;"",INDEX(DataOB[],FirstRow+ROW()-7,MATCH(X$6,DataOB[#Headers],0)),"")</f>
        <v/>
      </c>
      <c r="Y425" s="67" t="str">
        <f>IF($B425&lt;&gt;"",INDEX(DataOB[],FirstRow+ROW()-7,MATCH(Y$6,DataOB[#Headers],0)),"")</f>
        <v/>
      </c>
      <c r="Z425" s="67" t="str">
        <f>IF($B425&lt;&gt;"",INDEX(DataOB[],FirstRow+ROW()-7,MATCH(Z$6,DataOB[#Headers],0)),"")</f>
        <v/>
      </c>
      <c r="AA425" s="67" t="str">
        <f>IF($B425&lt;&gt;"",INDEX(DataOB[],FirstRow+ROW()-7,MATCH(AA$6,DataOB[#Headers],0)),"")</f>
        <v/>
      </c>
      <c r="AB425" s="67" t="str">
        <f>IF($B425&lt;&gt;"",INDEX(DataOB[],FirstRow+ROW()-7,MATCH(AB$6,DataOB[#Headers],0)),"")</f>
        <v/>
      </c>
      <c r="AC425" s="67" t="str">
        <f>IF($B425&lt;&gt;"",INDEX(DataOB[],FirstRow+ROW()-7,MATCH(AC$6,DataOB[#Headers],0)),"")</f>
        <v/>
      </c>
      <c r="AD425" s="67" t="str">
        <f>IF($B425&lt;&gt;"",INDEX(DataOB[],FirstRow+ROW()-7,MATCH(AD$6,DataOB[#Headers],0)),"")</f>
        <v/>
      </c>
      <c r="AE425" s="67" t="str">
        <f>IF($B425&lt;&gt;"",INDEX(DataOB[],FirstRow+ROW()-7,MATCH(AE$6,DataOB[#Headers],0)),"")</f>
        <v/>
      </c>
      <c r="AF425" s="26">
        <f t="shared" si="68"/>
        <v>0</v>
      </c>
      <c r="AG425" s="31">
        <f>SUM($T425:T425)</f>
        <v>0</v>
      </c>
      <c r="AH425" s="31">
        <f>SUM($T425:U425)</f>
        <v>0</v>
      </c>
      <c r="AI425" s="31">
        <f>SUM($T425:V425)</f>
        <v>0</v>
      </c>
      <c r="AJ425" s="31">
        <f>SUM($T425:W425)</f>
        <v>0</v>
      </c>
      <c r="AK425" s="31">
        <f>SUM($T425:X425)</f>
        <v>0</v>
      </c>
      <c r="AL425" s="31">
        <f>SUM($T425:Y425)</f>
        <v>0</v>
      </c>
      <c r="AM425" s="31">
        <f>SUM($T425:Z425)</f>
        <v>0</v>
      </c>
      <c r="AN425" s="31">
        <f>SUM($T425:AA425)</f>
        <v>0</v>
      </c>
      <c r="AO425" s="31">
        <f>SUM($T425:AB425)</f>
        <v>0</v>
      </c>
      <c r="AP425" s="31">
        <f>SUM($T425:AC425)</f>
        <v>0</v>
      </c>
      <c r="AQ425" s="31">
        <f>SUM($T425:AD425)</f>
        <v>0</v>
      </c>
      <c r="AR425" s="31">
        <f>SUM($T425:AE425)</f>
        <v>0</v>
      </c>
      <c r="AS425" s="27">
        <f t="shared" si="69"/>
        <v>0</v>
      </c>
    </row>
    <row r="426" spans="2:45">
      <c r="B426" s="102" t="str">
        <f>IF(ROW()-6&gt;NumCostCenter,"",IF(CostCenter&lt;&gt;"ALL",CostCenter,DATA_LF2!B424))</f>
        <v/>
      </c>
      <c r="C426" s="153" t="str">
        <f>IF($B426&lt;&gt;"",INDEX(DataOB[],FirstRow+ROW()-7,2),"")</f>
        <v/>
      </c>
      <c r="D426" s="66" t="str">
        <f>IF($B426&lt;&gt;"",INDEX(DataOB[],FirstRow+ROW()-7,3),"")</f>
        <v/>
      </c>
      <c r="E426" s="103" t="str">
        <f>IF($B426&lt;&gt;"",INDEX(DataOB[],FirstRow+ROW()-7,6),"")</f>
        <v/>
      </c>
      <c r="F426" s="103" t="str">
        <f>IF($B426&lt;&gt;"",INDEX(DataOB[],FirstRow+ROW()-7,5),"")</f>
        <v/>
      </c>
      <c r="G426" s="58">
        <f>IF($B426&lt;&gt;"",SUMIFS(DataAct_tbl[AMOUNT],DataAct_tbl[BG CODE],Detail!$D426,DataAct_tbl[MONTH],LEFT(MonthName,3),DataAct_tbl[Dept code],$B426),0)</f>
        <v>0</v>
      </c>
      <c r="H426" s="31" t="str">
        <f t="shared" si="61"/>
        <v/>
      </c>
      <c r="I426" s="28" t="str">
        <f t="shared" si="62"/>
        <v/>
      </c>
      <c r="J426" s="32" t="str">
        <f t="shared" si="63"/>
        <v/>
      </c>
      <c r="K426" s="86"/>
      <c r="L426" s="62">
        <f>IF($B426&lt;&gt;"",SUMIFS(DataAct_tbl[AMOUNT],DataAct_tbl[BG CODE],Detail!$D426,DataAct_tbl[Check Range],"=true",DataAct_tbl[Dept code],$B426),0)</f>
        <v>0</v>
      </c>
      <c r="M426" s="63">
        <f>INDEX($AG$7:$AR$1005,ROW()-6,MATCH(MTD,$AG$6:$AR$6,0))</f>
        <v>0</v>
      </c>
      <c r="N426" s="34">
        <f t="shared" si="64"/>
        <v>0</v>
      </c>
      <c r="O426" s="64" t="str">
        <f t="shared" si="65"/>
        <v xml:space="preserve"> </v>
      </c>
      <c r="Q426" s="97">
        <f t="shared" si="66"/>
        <v>0</v>
      </c>
      <c r="R426" s="96">
        <f t="shared" si="67"/>
        <v>0</v>
      </c>
      <c r="T426" s="67" t="str">
        <f>IF($B426&lt;&gt;"",INDEX(DataOB[],FirstRow+ROW()-7,MATCH(T$6,DataOB[#Headers],0)),"")</f>
        <v/>
      </c>
      <c r="U426" s="67" t="str">
        <f>IF($B426&lt;&gt;"",INDEX(DataOB[],FirstRow+ROW()-7,MATCH(U$6,DataOB[#Headers],0)),"")</f>
        <v/>
      </c>
      <c r="V426" s="67" t="str">
        <f>IF($B426&lt;&gt;"",INDEX(DataOB[],FirstRow+ROW()-7,MATCH(V$6,DataOB[#Headers],0)),"")</f>
        <v/>
      </c>
      <c r="W426" s="67" t="str">
        <f>IF($B426&lt;&gt;"",INDEX(DataOB[],FirstRow+ROW()-7,MATCH(W$6,DataOB[#Headers],0)),"")</f>
        <v/>
      </c>
      <c r="X426" s="67" t="str">
        <f>IF($B426&lt;&gt;"",INDEX(DataOB[],FirstRow+ROW()-7,MATCH(X$6,DataOB[#Headers],0)),"")</f>
        <v/>
      </c>
      <c r="Y426" s="67" t="str">
        <f>IF($B426&lt;&gt;"",INDEX(DataOB[],FirstRow+ROW()-7,MATCH(Y$6,DataOB[#Headers],0)),"")</f>
        <v/>
      </c>
      <c r="Z426" s="67" t="str">
        <f>IF($B426&lt;&gt;"",INDEX(DataOB[],FirstRow+ROW()-7,MATCH(Z$6,DataOB[#Headers],0)),"")</f>
        <v/>
      </c>
      <c r="AA426" s="67" t="str">
        <f>IF($B426&lt;&gt;"",INDEX(DataOB[],FirstRow+ROW()-7,MATCH(AA$6,DataOB[#Headers],0)),"")</f>
        <v/>
      </c>
      <c r="AB426" s="67" t="str">
        <f>IF($B426&lt;&gt;"",INDEX(DataOB[],FirstRow+ROW()-7,MATCH(AB$6,DataOB[#Headers],0)),"")</f>
        <v/>
      </c>
      <c r="AC426" s="67" t="str">
        <f>IF($B426&lt;&gt;"",INDEX(DataOB[],FirstRow+ROW()-7,MATCH(AC$6,DataOB[#Headers],0)),"")</f>
        <v/>
      </c>
      <c r="AD426" s="67" t="str">
        <f>IF($B426&lt;&gt;"",INDEX(DataOB[],FirstRow+ROW()-7,MATCH(AD$6,DataOB[#Headers],0)),"")</f>
        <v/>
      </c>
      <c r="AE426" s="67" t="str">
        <f>IF($B426&lt;&gt;"",INDEX(DataOB[],FirstRow+ROW()-7,MATCH(AE$6,DataOB[#Headers],0)),"")</f>
        <v/>
      </c>
      <c r="AF426" s="26">
        <f t="shared" si="68"/>
        <v>0</v>
      </c>
      <c r="AG426" s="31">
        <f>SUM($T426:T426)</f>
        <v>0</v>
      </c>
      <c r="AH426" s="31">
        <f>SUM($T426:U426)</f>
        <v>0</v>
      </c>
      <c r="AI426" s="31">
        <f>SUM($T426:V426)</f>
        <v>0</v>
      </c>
      <c r="AJ426" s="31">
        <f>SUM($T426:W426)</f>
        <v>0</v>
      </c>
      <c r="AK426" s="31">
        <f>SUM($T426:X426)</f>
        <v>0</v>
      </c>
      <c r="AL426" s="31">
        <f>SUM($T426:Y426)</f>
        <v>0</v>
      </c>
      <c r="AM426" s="31">
        <f>SUM($T426:Z426)</f>
        <v>0</v>
      </c>
      <c r="AN426" s="31">
        <f>SUM($T426:AA426)</f>
        <v>0</v>
      </c>
      <c r="AO426" s="31">
        <f>SUM($T426:AB426)</f>
        <v>0</v>
      </c>
      <c r="AP426" s="31">
        <f>SUM($T426:AC426)</f>
        <v>0</v>
      </c>
      <c r="AQ426" s="31">
        <f>SUM($T426:AD426)</f>
        <v>0</v>
      </c>
      <c r="AR426" s="31">
        <f>SUM($T426:AE426)</f>
        <v>0</v>
      </c>
      <c r="AS426" s="27">
        <f t="shared" si="69"/>
        <v>0</v>
      </c>
    </row>
    <row r="427" spans="2:45">
      <c r="B427" s="102" t="str">
        <f>IF(ROW()-6&gt;NumCostCenter,"",IF(CostCenter&lt;&gt;"ALL",CostCenter,DATA_LF2!B425))</f>
        <v/>
      </c>
      <c r="C427" s="153" t="str">
        <f>IF($B427&lt;&gt;"",INDEX(DataOB[],FirstRow+ROW()-7,2),"")</f>
        <v/>
      </c>
      <c r="D427" s="66" t="str">
        <f>IF($B427&lt;&gt;"",INDEX(DataOB[],FirstRow+ROW()-7,3),"")</f>
        <v/>
      </c>
      <c r="E427" s="103" t="str">
        <f>IF($B427&lt;&gt;"",INDEX(DataOB[],FirstRow+ROW()-7,6),"")</f>
        <v/>
      </c>
      <c r="F427" s="103" t="str">
        <f>IF($B427&lt;&gt;"",INDEX(DataOB[],FirstRow+ROW()-7,5),"")</f>
        <v/>
      </c>
      <c r="G427" s="58">
        <f>IF($B427&lt;&gt;"",SUMIFS(DataAct_tbl[AMOUNT],DataAct_tbl[BG CODE],Detail!$D427,DataAct_tbl[MONTH],LEFT(MonthName,3),DataAct_tbl[Dept code],$B427),0)</f>
        <v>0</v>
      </c>
      <c r="H427" s="31" t="str">
        <f t="shared" si="61"/>
        <v/>
      </c>
      <c r="I427" s="28" t="str">
        <f t="shared" si="62"/>
        <v/>
      </c>
      <c r="J427" s="32" t="str">
        <f t="shared" si="63"/>
        <v/>
      </c>
      <c r="K427" s="86"/>
      <c r="L427" s="62">
        <f>IF($B427&lt;&gt;"",SUMIFS(DataAct_tbl[AMOUNT],DataAct_tbl[BG CODE],Detail!$D427,DataAct_tbl[Check Range],"=true",DataAct_tbl[Dept code],$B427),0)</f>
        <v>0</v>
      </c>
      <c r="M427" s="63">
        <f>INDEX($AG$7:$AR$1005,ROW()-6,MATCH(MTD,$AG$6:$AR$6,0))</f>
        <v>0</v>
      </c>
      <c r="N427" s="34">
        <f t="shared" si="64"/>
        <v>0</v>
      </c>
      <c r="O427" s="64" t="str">
        <f t="shared" si="65"/>
        <v xml:space="preserve"> </v>
      </c>
      <c r="Q427" s="97">
        <f t="shared" si="66"/>
        <v>0</v>
      </c>
      <c r="R427" s="96">
        <f t="shared" si="67"/>
        <v>0</v>
      </c>
      <c r="T427" s="67" t="str">
        <f>IF($B427&lt;&gt;"",INDEX(DataOB[],FirstRow+ROW()-7,MATCH(T$6,DataOB[#Headers],0)),"")</f>
        <v/>
      </c>
      <c r="U427" s="67" t="str">
        <f>IF($B427&lt;&gt;"",INDEX(DataOB[],FirstRow+ROW()-7,MATCH(U$6,DataOB[#Headers],0)),"")</f>
        <v/>
      </c>
      <c r="V427" s="67" t="str">
        <f>IF($B427&lt;&gt;"",INDEX(DataOB[],FirstRow+ROW()-7,MATCH(V$6,DataOB[#Headers],0)),"")</f>
        <v/>
      </c>
      <c r="W427" s="67" t="str">
        <f>IF($B427&lt;&gt;"",INDEX(DataOB[],FirstRow+ROW()-7,MATCH(W$6,DataOB[#Headers],0)),"")</f>
        <v/>
      </c>
      <c r="X427" s="67" t="str">
        <f>IF($B427&lt;&gt;"",INDEX(DataOB[],FirstRow+ROW()-7,MATCH(X$6,DataOB[#Headers],0)),"")</f>
        <v/>
      </c>
      <c r="Y427" s="67" t="str">
        <f>IF($B427&lt;&gt;"",INDEX(DataOB[],FirstRow+ROW()-7,MATCH(Y$6,DataOB[#Headers],0)),"")</f>
        <v/>
      </c>
      <c r="Z427" s="67" t="str">
        <f>IF($B427&lt;&gt;"",INDEX(DataOB[],FirstRow+ROW()-7,MATCH(Z$6,DataOB[#Headers],0)),"")</f>
        <v/>
      </c>
      <c r="AA427" s="67" t="str">
        <f>IF($B427&lt;&gt;"",INDEX(DataOB[],FirstRow+ROW()-7,MATCH(AA$6,DataOB[#Headers],0)),"")</f>
        <v/>
      </c>
      <c r="AB427" s="67" t="str">
        <f>IF($B427&lt;&gt;"",INDEX(DataOB[],FirstRow+ROW()-7,MATCH(AB$6,DataOB[#Headers],0)),"")</f>
        <v/>
      </c>
      <c r="AC427" s="67" t="str">
        <f>IF($B427&lt;&gt;"",INDEX(DataOB[],FirstRow+ROW()-7,MATCH(AC$6,DataOB[#Headers],0)),"")</f>
        <v/>
      </c>
      <c r="AD427" s="67" t="str">
        <f>IF($B427&lt;&gt;"",INDEX(DataOB[],FirstRow+ROW()-7,MATCH(AD$6,DataOB[#Headers],0)),"")</f>
        <v/>
      </c>
      <c r="AE427" s="67" t="str">
        <f>IF($B427&lt;&gt;"",INDEX(DataOB[],FirstRow+ROW()-7,MATCH(AE$6,DataOB[#Headers],0)),"")</f>
        <v/>
      </c>
      <c r="AF427" s="26">
        <f t="shared" si="68"/>
        <v>0</v>
      </c>
      <c r="AG427" s="31">
        <f>SUM($T427:T427)</f>
        <v>0</v>
      </c>
      <c r="AH427" s="31">
        <f>SUM($T427:U427)</f>
        <v>0</v>
      </c>
      <c r="AI427" s="31">
        <f>SUM($T427:V427)</f>
        <v>0</v>
      </c>
      <c r="AJ427" s="31">
        <f>SUM($T427:W427)</f>
        <v>0</v>
      </c>
      <c r="AK427" s="31">
        <f>SUM($T427:X427)</f>
        <v>0</v>
      </c>
      <c r="AL427" s="31">
        <f>SUM($T427:Y427)</f>
        <v>0</v>
      </c>
      <c r="AM427" s="31">
        <f>SUM($T427:Z427)</f>
        <v>0</v>
      </c>
      <c r="AN427" s="31">
        <f>SUM($T427:AA427)</f>
        <v>0</v>
      </c>
      <c r="AO427" s="31">
        <f>SUM($T427:AB427)</f>
        <v>0</v>
      </c>
      <c r="AP427" s="31">
        <f>SUM($T427:AC427)</f>
        <v>0</v>
      </c>
      <c r="AQ427" s="31">
        <f>SUM($T427:AD427)</f>
        <v>0</v>
      </c>
      <c r="AR427" s="31">
        <f>SUM($T427:AE427)</f>
        <v>0</v>
      </c>
      <c r="AS427" s="27">
        <f t="shared" si="69"/>
        <v>0</v>
      </c>
    </row>
    <row r="428" spans="2:45">
      <c r="B428" s="102" t="str">
        <f>IF(ROW()-6&gt;NumCostCenter,"",IF(CostCenter&lt;&gt;"ALL",CostCenter,DATA_LF2!B426))</f>
        <v/>
      </c>
      <c r="C428" s="153" t="str">
        <f>IF($B428&lt;&gt;"",INDEX(DataOB[],FirstRow+ROW()-7,2),"")</f>
        <v/>
      </c>
      <c r="D428" s="66" t="str">
        <f>IF($B428&lt;&gt;"",INDEX(DataOB[],FirstRow+ROW()-7,3),"")</f>
        <v/>
      </c>
      <c r="E428" s="103" t="str">
        <f>IF($B428&lt;&gt;"",INDEX(DataOB[],FirstRow+ROW()-7,6),"")</f>
        <v/>
      </c>
      <c r="F428" s="103" t="str">
        <f>IF($B428&lt;&gt;"",INDEX(DataOB[],FirstRow+ROW()-7,5),"")</f>
        <v/>
      </c>
      <c r="G428" s="58">
        <f>IF($B428&lt;&gt;"",SUMIFS(DataAct_tbl[AMOUNT],DataAct_tbl[BG CODE],Detail!$D428,DataAct_tbl[MONTH],LEFT(MonthName,3),DataAct_tbl[Dept code],$B428),0)</f>
        <v>0</v>
      </c>
      <c r="H428" s="31" t="str">
        <f t="shared" si="61"/>
        <v/>
      </c>
      <c r="I428" s="28" t="str">
        <f t="shared" si="62"/>
        <v/>
      </c>
      <c r="J428" s="32" t="str">
        <f t="shared" si="63"/>
        <v/>
      </c>
      <c r="K428" s="86"/>
      <c r="L428" s="62">
        <f>IF($B428&lt;&gt;"",SUMIFS(DataAct_tbl[AMOUNT],DataAct_tbl[BG CODE],Detail!$D428,DataAct_tbl[Check Range],"=true",DataAct_tbl[Dept code],$B428),0)</f>
        <v>0</v>
      </c>
      <c r="M428" s="63">
        <f>INDEX($AG$7:$AR$1005,ROW()-6,MATCH(MTD,$AG$6:$AR$6,0))</f>
        <v>0</v>
      </c>
      <c r="N428" s="34">
        <f t="shared" si="64"/>
        <v>0</v>
      </c>
      <c r="O428" s="64" t="str">
        <f t="shared" si="65"/>
        <v xml:space="preserve"> </v>
      </c>
      <c r="Q428" s="97">
        <f t="shared" si="66"/>
        <v>0</v>
      </c>
      <c r="R428" s="96">
        <f t="shared" si="67"/>
        <v>0</v>
      </c>
      <c r="T428" s="67" t="str">
        <f>IF($B428&lt;&gt;"",INDEX(DataOB[],FirstRow+ROW()-7,MATCH(T$6,DataOB[#Headers],0)),"")</f>
        <v/>
      </c>
      <c r="U428" s="67" t="str">
        <f>IF($B428&lt;&gt;"",INDEX(DataOB[],FirstRow+ROW()-7,MATCH(U$6,DataOB[#Headers],0)),"")</f>
        <v/>
      </c>
      <c r="V428" s="67" t="str">
        <f>IF($B428&lt;&gt;"",INDEX(DataOB[],FirstRow+ROW()-7,MATCH(V$6,DataOB[#Headers],0)),"")</f>
        <v/>
      </c>
      <c r="W428" s="67" t="str">
        <f>IF($B428&lt;&gt;"",INDEX(DataOB[],FirstRow+ROW()-7,MATCH(W$6,DataOB[#Headers],0)),"")</f>
        <v/>
      </c>
      <c r="X428" s="67" t="str">
        <f>IF($B428&lt;&gt;"",INDEX(DataOB[],FirstRow+ROW()-7,MATCH(X$6,DataOB[#Headers],0)),"")</f>
        <v/>
      </c>
      <c r="Y428" s="67" t="str">
        <f>IF($B428&lt;&gt;"",INDEX(DataOB[],FirstRow+ROW()-7,MATCH(Y$6,DataOB[#Headers],0)),"")</f>
        <v/>
      </c>
      <c r="Z428" s="67" t="str">
        <f>IF($B428&lt;&gt;"",INDEX(DataOB[],FirstRow+ROW()-7,MATCH(Z$6,DataOB[#Headers],0)),"")</f>
        <v/>
      </c>
      <c r="AA428" s="67" t="str">
        <f>IF($B428&lt;&gt;"",INDEX(DataOB[],FirstRow+ROW()-7,MATCH(AA$6,DataOB[#Headers],0)),"")</f>
        <v/>
      </c>
      <c r="AB428" s="67" t="str">
        <f>IF($B428&lt;&gt;"",INDEX(DataOB[],FirstRow+ROW()-7,MATCH(AB$6,DataOB[#Headers],0)),"")</f>
        <v/>
      </c>
      <c r="AC428" s="67" t="str">
        <f>IF($B428&lt;&gt;"",INDEX(DataOB[],FirstRow+ROW()-7,MATCH(AC$6,DataOB[#Headers],0)),"")</f>
        <v/>
      </c>
      <c r="AD428" s="67" t="str">
        <f>IF($B428&lt;&gt;"",INDEX(DataOB[],FirstRow+ROW()-7,MATCH(AD$6,DataOB[#Headers],0)),"")</f>
        <v/>
      </c>
      <c r="AE428" s="67" t="str">
        <f>IF($B428&lt;&gt;"",INDEX(DataOB[],FirstRow+ROW()-7,MATCH(AE$6,DataOB[#Headers],0)),"")</f>
        <v/>
      </c>
      <c r="AF428" s="26">
        <f t="shared" si="68"/>
        <v>0</v>
      </c>
      <c r="AG428" s="31">
        <f>SUM($T428:T428)</f>
        <v>0</v>
      </c>
      <c r="AH428" s="31">
        <f>SUM($T428:U428)</f>
        <v>0</v>
      </c>
      <c r="AI428" s="31">
        <f>SUM($T428:V428)</f>
        <v>0</v>
      </c>
      <c r="AJ428" s="31">
        <f>SUM($T428:W428)</f>
        <v>0</v>
      </c>
      <c r="AK428" s="31">
        <f>SUM($T428:X428)</f>
        <v>0</v>
      </c>
      <c r="AL428" s="31">
        <f>SUM($T428:Y428)</f>
        <v>0</v>
      </c>
      <c r="AM428" s="31">
        <f>SUM($T428:Z428)</f>
        <v>0</v>
      </c>
      <c r="AN428" s="31">
        <f>SUM($T428:AA428)</f>
        <v>0</v>
      </c>
      <c r="AO428" s="31">
        <f>SUM($T428:AB428)</f>
        <v>0</v>
      </c>
      <c r="AP428" s="31">
        <f>SUM($T428:AC428)</f>
        <v>0</v>
      </c>
      <c r="AQ428" s="31">
        <f>SUM($T428:AD428)</f>
        <v>0</v>
      </c>
      <c r="AR428" s="31">
        <f>SUM($T428:AE428)</f>
        <v>0</v>
      </c>
      <c r="AS428" s="27">
        <f t="shared" si="69"/>
        <v>0</v>
      </c>
    </row>
    <row r="429" spans="2:45">
      <c r="B429" s="102" t="str">
        <f>IF(ROW()-6&gt;NumCostCenter,"",IF(CostCenter&lt;&gt;"ALL",CostCenter,DATA_LF2!B427))</f>
        <v/>
      </c>
      <c r="C429" s="153" t="str">
        <f>IF($B429&lt;&gt;"",INDEX(DataOB[],FirstRow+ROW()-7,2),"")</f>
        <v/>
      </c>
      <c r="D429" s="66" t="str">
        <f>IF($B429&lt;&gt;"",INDEX(DataOB[],FirstRow+ROW()-7,3),"")</f>
        <v/>
      </c>
      <c r="E429" s="103" t="str">
        <f>IF($B429&lt;&gt;"",INDEX(DataOB[],FirstRow+ROW()-7,6),"")</f>
        <v/>
      </c>
      <c r="F429" s="103" t="str">
        <f>IF($B429&lt;&gt;"",INDEX(DataOB[],FirstRow+ROW()-7,5),"")</f>
        <v/>
      </c>
      <c r="G429" s="58">
        <f>IF($B429&lt;&gt;"",SUMIFS(DataAct_tbl[AMOUNT],DataAct_tbl[BG CODE],Detail!$D429,DataAct_tbl[MONTH],LEFT(MonthName,3),DataAct_tbl[Dept code],$B429),0)</f>
        <v>0</v>
      </c>
      <c r="H429" s="31" t="str">
        <f t="shared" si="61"/>
        <v/>
      </c>
      <c r="I429" s="28" t="str">
        <f t="shared" si="62"/>
        <v/>
      </c>
      <c r="J429" s="32" t="str">
        <f t="shared" si="63"/>
        <v/>
      </c>
      <c r="K429" s="86"/>
      <c r="L429" s="62">
        <f>IF($B429&lt;&gt;"",SUMIFS(DataAct_tbl[AMOUNT],DataAct_tbl[BG CODE],Detail!$D429,DataAct_tbl[Check Range],"=true",DataAct_tbl[Dept code],$B429),0)</f>
        <v>0</v>
      </c>
      <c r="M429" s="63">
        <f>INDEX($AG$7:$AR$1005,ROW()-6,MATCH(MTD,$AG$6:$AR$6,0))</f>
        <v>0</v>
      </c>
      <c r="N429" s="34">
        <f t="shared" si="64"/>
        <v>0</v>
      </c>
      <c r="O429" s="64" t="str">
        <f t="shared" si="65"/>
        <v xml:space="preserve"> </v>
      </c>
      <c r="Q429" s="97">
        <f t="shared" si="66"/>
        <v>0</v>
      </c>
      <c r="R429" s="96">
        <f t="shared" si="67"/>
        <v>0</v>
      </c>
      <c r="T429" s="67" t="str">
        <f>IF($B429&lt;&gt;"",INDEX(DataOB[],FirstRow+ROW()-7,MATCH(T$6,DataOB[#Headers],0)),"")</f>
        <v/>
      </c>
      <c r="U429" s="67" t="str">
        <f>IF($B429&lt;&gt;"",INDEX(DataOB[],FirstRow+ROW()-7,MATCH(U$6,DataOB[#Headers],0)),"")</f>
        <v/>
      </c>
      <c r="V429" s="67" t="str">
        <f>IF($B429&lt;&gt;"",INDEX(DataOB[],FirstRow+ROW()-7,MATCH(V$6,DataOB[#Headers],0)),"")</f>
        <v/>
      </c>
      <c r="W429" s="67" t="str">
        <f>IF($B429&lt;&gt;"",INDEX(DataOB[],FirstRow+ROW()-7,MATCH(W$6,DataOB[#Headers],0)),"")</f>
        <v/>
      </c>
      <c r="X429" s="67" t="str">
        <f>IF($B429&lt;&gt;"",INDEX(DataOB[],FirstRow+ROW()-7,MATCH(X$6,DataOB[#Headers],0)),"")</f>
        <v/>
      </c>
      <c r="Y429" s="67" t="str">
        <f>IF($B429&lt;&gt;"",INDEX(DataOB[],FirstRow+ROW()-7,MATCH(Y$6,DataOB[#Headers],0)),"")</f>
        <v/>
      </c>
      <c r="Z429" s="67" t="str">
        <f>IF($B429&lt;&gt;"",INDEX(DataOB[],FirstRow+ROW()-7,MATCH(Z$6,DataOB[#Headers],0)),"")</f>
        <v/>
      </c>
      <c r="AA429" s="67" t="str">
        <f>IF($B429&lt;&gt;"",INDEX(DataOB[],FirstRow+ROW()-7,MATCH(AA$6,DataOB[#Headers],0)),"")</f>
        <v/>
      </c>
      <c r="AB429" s="67" t="str">
        <f>IF($B429&lt;&gt;"",INDEX(DataOB[],FirstRow+ROW()-7,MATCH(AB$6,DataOB[#Headers],0)),"")</f>
        <v/>
      </c>
      <c r="AC429" s="67" t="str">
        <f>IF($B429&lt;&gt;"",INDEX(DataOB[],FirstRow+ROW()-7,MATCH(AC$6,DataOB[#Headers],0)),"")</f>
        <v/>
      </c>
      <c r="AD429" s="67" t="str">
        <f>IF($B429&lt;&gt;"",INDEX(DataOB[],FirstRow+ROW()-7,MATCH(AD$6,DataOB[#Headers],0)),"")</f>
        <v/>
      </c>
      <c r="AE429" s="67" t="str">
        <f>IF($B429&lt;&gt;"",INDEX(DataOB[],FirstRow+ROW()-7,MATCH(AE$6,DataOB[#Headers],0)),"")</f>
        <v/>
      </c>
      <c r="AF429" s="26">
        <f t="shared" si="68"/>
        <v>0</v>
      </c>
      <c r="AG429" s="31">
        <f>SUM($T429:T429)</f>
        <v>0</v>
      </c>
      <c r="AH429" s="31">
        <f>SUM($T429:U429)</f>
        <v>0</v>
      </c>
      <c r="AI429" s="31">
        <f>SUM($T429:V429)</f>
        <v>0</v>
      </c>
      <c r="AJ429" s="31">
        <f>SUM($T429:W429)</f>
        <v>0</v>
      </c>
      <c r="AK429" s="31">
        <f>SUM($T429:X429)</f>
        <v>0</v>
      </c>
      <c r="AL429" s="31">
        <f>SUM($T429:Y429)</f>
        <v>0</v>
      </c>
      <c r="AM429" s="31">
        <f>SUM($T429:Z429)</f>
        <v>0</v>
      </c>
      <c r="AN429" s="31">
        <f>SUM($T429:AA429)</f>
        <v>0</v>
      </c>
      <c r="AO429" s="31">
        <f>SUM($T429:AB429)</f>
        <v>0</v>
      </c>
      <c r="AP429" s="31">
        <f>SUM($T429:AC429)</f>
        <v>0</v>
      </c>
      <c r="AQ429" s="31">
        <f>SUM($T429:AD429)</f>
        <v>0</v>
      </c>
      <c r="AR429" s="31">
        <f>SUM($T429:AE429)</f>
        <v>0</v>
      </c>
      <c r="AS429" s="27">
        <f t="shared" si="69"/>
        <v>0</v>
      </c>
    </row>
    <row r="430" spans="2:45">
      <c r="B430" s="102" t="str">
        <f>IF(ROW()-6&gt;NumCostCenter,"",IF(CostCenter&lt;&gt;"ALL",CostCenter,DATA_LF2!B428))</f>
        <v/>
      </c>
      <c r="C430" s="153" t="str">
        <f>IF($B430&lt;&gt;"",INDEX(DataOB[],FirstRow+ROW()-7,2),"")</f>
        <v/>
      </c>
      <c r="D430" s="66" t="str">
        <f>IF($B430&lt;&gt;"",INDEX(DataOB[],FirstRow+ROW()-7,3),"")</f>
        <v/>
      </c>
      <c r="E430" s="103" t="str">
        <f>IF($B430&lt;&gt;"",INDEX(DataOB[],FirstRow+ROW()-7,6),"")</f>
        <v/>
      </c>
      <c r="F430" s="103" t="str">
        <f>IF($B430&lt;&gt;"",INDEX(DataOB[],FirstRow+ROW()-7,5),"")</f>
        <v/>
      </c>
      <c r="G430" s="58">
        <f>IF($B430&lt;&gt;"",SUMIFS(DataAct_tbl[AMOUNT],DataAct_tbl[BG CODE],Detail!$D430,DataAct_tbl[MONTH],LEFT(MonthName,3),DataAct_tbl[Dept code],$B430),0)</f>
        <v>0</v>
      </c>
      <c r="H430" s="31" t="str">
        <f t="shared" si="61"/>
        <v/>
      </c>
      <c r="I430" s="28" t="str">
        <f t="shared" si="62"/>
        <v/>
      </c>
      <c r="J430" s="32" t="str">
        <f t="shared" si="63"/>
        <v/>
      </c>
      <c r="K430" s="86"/>
      <c r="L430" s="62">
        <f>IF($B430&lt;&gt;"",SUMIFS(DataAct_tbl[AMOUNT],DataAct_tbl[BG CODE],Detail!$D430,DataAct_tbl[Check Range],"=true",DataAct_tbl[Dept code],$B430),0)</f>
        <v>0</v>
      </c>
      <c r="M430" s="63">
        <f>INDEX($AG$7:$AR$1005,ROW()-6,MATCH(MTD,$AG$6:$AR$6,0))</f>
        <v>0</v>
      </c>
      <c r="N430" s="34">
        <f t="shared" si="64"/>
        <v>0</v>
      </c>
      <c r="O430" s="64" t="str">
        <f t="shared" si="65"/>
        <v xml:space="preserve"> </v>
      </c>
      <c r="Q430" s="97">
        <f t="shared" si="66"/>
        <v>0</v>
      </c>
      <c r="R430" s="96">
        <f t="shared" si="67"/>
        <v>0</v>
      </c>
      <c r="T430" s="67" t="str">
        <f>IF($B430&lt;&gt;"",INDEX(DataOB[],FirstRow+ROW()-7,MATCH(T$6,DataOB[#Headers],0)),"")</f>
        <v/>
      </c>
      <c r="U430" s="67" t="str">
        <f>IF($B430&lt;&gt;"",INDEX(DataOB[],FirstRow+ROW()-7,MATCH(U$6,DataOB[#Headers],0)),"")</f>
        <v/>
      </c>
      <c r="V430" s="67" t="str">
        <f>IF($B430&lt;&gt;"",INDEX(DataOB[],FirstRow+ROW()-7,MATCH(V$6,DataOB[#Headers],0)),"")</f>
        <v/>
      </c>
      <c r="W430" s="67" t="str">
        <f>IF($B430&lt;&gt;"",INDEX(DataOB[],FirstRow+ROW()-7,MATCH(W$6,DataOB[#Headers],0)),"")</f>
        <v/>
      </c>
      <c r="X430" s="67" t="str">
        <f>IF($B430&lt;&gt;"",INDEX(DataOB[],FirstRow+ROW()-7,MATCH(X$6,DataOB[#Headers],0)),"")</f>
        <v/>
      </c>
      <c r="Y430" s="67" t="str">
        <f>IF($B430&lt;&gt;"",INDEX(DataOB[],FirstRow+ROW()-7,MATCH(Y$6,DataOB[#Headers],0)),"")</f>
        <v/>
      </c>
      <c r="Z430" s="67" t="str">
        <f>IF($B430&lt;&gt;"",INDEX(DataOB[],FirstRow+ROW()-7,MATCH(Z$6,DataOB[#Headers],0)),"")</f>
        <v/>
      </c>
      <c r="AA430" s="67" t="str">
        <f>IF($B430&lt;&gt;"",INDEX(DataOB[],FirstRow+ROW()-7,MATCH(AA$6,DataOB[#Headers],0)),"")</f>
        <v/>
      </c>
      <c r="AB430" s="67" t="str">
        <f>IF($B430&lt;&gt;"",INDEX(DataOB[],FirstRow+ROW()-7,MATCH(AB$6,DataOB[#Headers],0)),"")</f>
        <v/>
      </c>
      <c r="AC430" s="67" t="str">
        <f>IF($B430&lt;&gt;"",INDEX(DataOB[],FirstRow+ROW()-7,MATCH(AC$6,DataOB[#Headers],0)),"")</f>
        <v/>
      </c>
      <c r="AD430" s="67" t="str">
        <f>IF($B430&lt;&gt;"",INDEX(DataOB[],FirstRow+ROW()-7,MATCH(AD$6,DataOB[#Headers],0)),"")</f>
        <v/>
      </c>
      <c r="AE430" s="67" t="str">
        <f>IF($B430&lt;&gt;"",INDEX(DataOB[],FirstRow+ROW()-7,MATCH(AE$6,DataOB[#Headers],0)),"")</f>
        <v/>
      </c>
      <c r="AF430" s="26">
        <f t="shared" si="68"/>
        <v>0</v>
      </c>
      <c r="AG430" s="31">
        <f>SUM($T430:T430)</f>
        <v>0</v>
      </c>
      <c r="AH430" s="31">
        <f>SUM($T430:U430)</f>
        <v>0</v>
      </c>
      <c r="AI430" s="31">
        <f>SUM($T430:V430)</f>
        <v>0</v>
      </c>
      <c r="AJ430" s="31">
        <f>SUM($T430:W430)</f>
        <v>0</v>
      </c>
      <c r="AK430" s="31">
        <f>SUM($T430:X430)</f>
        <v>0</v>
      </c>
      <c r="AL430" s="31">
        <f>SUM($T430:Y430)</f>
        <v>0</v>
      </c>
      <c r="AM430" s="31">
        <f>SUM($T430:Z430)</f>
        <v>0</v>
      </c>
      <c r="AN430" s="31">
        <f>SUM($T430:AA430)</f>
        <v>0</v>
      </c>
      <c r="AO430" s="31">
        <f>SUM($T430:AB430)</f>
        <v>0</v>
      </c>
      <c r="AP430" s="31">
        <f>SUM($T430:AC430)</f>
        <v>0</v>
      </c>
      <c r="AQ430" s="31">
        <f>SUM($T430:AD430)</f>
        <v>0</v>
      </c>
      <c r="AR430" s="31">
        <f>SUM($T430:AE430)</f>
        <v>0</v>
      </c>
      <c r="AS430" s="27">
        <f t="shared" si="69"/>
        <v>0</v>
      </c>
    </row>
    <row r="431" spans="2:45">
      <c r="B431" s="102" t="str">
        <f>IF(ROW()-6&gt;NumCostCenter,"",IF(CostCenter&lt;&gt;"ALL",CostCenter,DATA_LF2!B429))</f>
        <v/>
      </c>
      <c r="C431" s="153" t="str">
        <f>IF($B431&lt;&gt;"",INDEX(DataOB[],FirstRow+ROW()-7,2),"")</f>
        <v/>
      </c>
      <c r="D431" s="66" t="str">
        <f>IF($B431&lt;&gt;"",INDEX(DataOB[],FirstRow+ROW()-7,3),"")</f>
        <v/>
      </c>
      <c r="E431" s="103" t="str">
        <f>IF($B431&lt;&gt;"",INDEX(DataOB[],FirstRow+ROW()-7,6),"")</f>
        <v/>
      </c>
      <c r="F431" s="103" t="str">
        <f>IF($B431&lt;&gt;"",INDEX(DataOB[],FirstRow+ROW()-7,5),"")</f>
        <v/>
      </c>
      <c r="G431" s="58">
        <f>IF($B431&lt;&gt;"",SUMIFS(DataAct_tbl[AMOUNT],DataAct_tbl[BG CODE],Detail!$D431,DataAct_tbl[MONTH],LEFT(MonthName,3),DataAct_tbl[Dept code],$B431),0)</f>
        <v>0</v>
      </c>
      <c r="H431" s="31" t="str">
        <f t="shared" si="61"/>
        <v/>
      </c>
      <c r="I431" s="28" t="str">
        <f t="shared" si="62"/>
        <v/>
      </c>
      <c r="J431" s="32" t="str">
        <f t="shared" si="63"/>
        <v/>
      </c>
      <c r="K431" s="86"/>
      <c r="L431" s="62">
        <f>IF($B431&lt;&gt;"",SUMIFS(DataAct_tbl[AMOUNT],DataAct_tbl[BG CODE],Detail!$D431,DataAct_tbl[Check Range],"=true",DataAct_tbl[Dept code],$B431),0)</f>
        <v>0</v>
      </c>
      <c r="M431" s="63">
        <f>INDEX($AG$7:$AR$1005,ROW()-6,MATCH(MTD,$AG$6:$AR$6,0))</f>
        <v>0</v>
      </c>
      <c r="N431" s="34">
        <f t="shared" si="64"/>
        <v>0</v>
      </c>
      <c r="O431" s="64" t="str">
        <f t="shared" si="65"/>
        <v xml:space="preserve"> </v>
      </c>
      <c r="Q431" s="97">
        <f t="shared" si="66"/>
        <v>0</v>
      </c>
      <c r="R431" s="96">
        <f t="shared" si="67"/>
        <v>0</v>
      </c>
      <c r="T431" s="67" t="str">
        <f>IF($B431&lt;&gt;"",INDEX(DataOB[],FirstRow+ROW()-7,MATCH(T$6,DataOB[#Headers],0)),"")</f>
        <v/>
      </c>
      <c r="U431" s="67" t="str">
        <f>IF($B431&lt;&gt;"",INDEX(DataOB[],FirstRow+ROW()-7,MATCH(U$6,DataOB[#Headers],0)),"")</f>
        <v/>
      </c>
      <c r="V431" s="67" t="str">
        <f>IF($B431&lt;&gt;"",INDEX(DataOB[],FirstRow+ROW()-7,MATCH(V$6,DataOB[#Headers],0)),"")</f>
        <v/>
      </c>
      <c r="W431" s="67" t="str">
        <f>IF($B431&lt;&gt;"",INDEX(DataOB[],FirstRow+ROW()-7,MATCH(W$6,DataOB[#Headers],0)),"")</f>
        <v/>
      </c>
      <c r="X431" s="67" t="str">
        <f>IF($B431&lt;&gt;"",INDEX(DataOB[],FirstRow+ROW()-7,MATCH(X$6,DataOB[#Headers],0)),"")</f>
        <v/>
      </c>
      <c r="Y431" s="67" t="str">
        <f>IF($B431&lt;&gt;"",INDEX(DataOB[],FirstRow+ROW()-7,MATCH(Y$6,DataOB[#Headers],0)),"")</f>
        <v/>
      </c>
      <c r="Z431" s="67" t="str">
        <f>IF($B431&lt;&gt;"",INDEX(DataOB[],FirstRow+ROW()-7,MATCH(Z$6,DataOB[#Headers],0)),"")</f>
        <v/>
      </c>
      <c r="AA431" s="67" t="str">
        <f>IF($B431&lt;&gt;"",INDEX(DataOB[],FirstRow+ROW()-7,MATCH(AA$6,DataOB[#Headers],0)),"")</f>
        <v/>
      </c>
      <c r="AB431" s="67" t="str">
        <f>IF($B431&lt;&gt;"",INDEX(DataOB[],FirstRow+ROW()-7,MATCH(AB$6,DataOB[#Headers],0)),"")</f>
        <v/>
      </c>
      <c r="AC431" s="67" t="str">
        <f>IF($B431&lt;&gt;"",INDEX(DataOB[],FirstRow+ROW()-7,MATCH(AC$6,DataOB[#Headers],0)),"")</f>
        <v/>
      </c>
      <c r="AD431" s="67" t="str">
        <f>IF($B431&lt;&gt;"",INDEX(DataOB[],FirstRow+ROW()-7,MATCH(AD$6,DataOB[#Headers],0)),"")</f>
        <v/>
      </c>
      <c r="AE431" s="67" t="str">
        <f>IF($B431&lt;&gt;"",INDEX(DataOB[],FirstRow+ROW()-7,MATCH(AE$6,DataOB[#Headers],0)),"")</f>
        <v/>
      </c>
      <c r="AF431" s="26">
        <f t="shared" si="68"/>
        <v>0</v>
      </c>
      <c r="AG431" s="31">
        <f>SUM($T431:T431)</f>
        <v>0</v>
      </c>
      <c r="AH431" s="31">
        <f>SUM($T431:U431)</f>
        <v>0</v>
      </c>
      <c r="AI431" s="31">
        <f>SUM($T431:V431)</f>
        <v>0</v>
      </c>
      <c r="AJ431" s="31">
        <f>SUM($T431:W431)</f>
        <v>0</v>
      </c>
      <c r="AK431" s="31">
        <f>SUM($T431:X431)</f>
        <v>0</v>
      </c>
      <c r="AL431" s="31">
        <f>SUM($T431:Y431)</f>
        <v>0</v>
      </c>
      <c r="AM431" s="31">
        <f>SUM($T431:Z431)</f>
        <v>0</v>
      </c>
      <c r="AN431" s="31">
        <f>SUM($T431:AA431)</f>
        <v>0</v>
      </c>
      <c r="AO431" s="31">
        <f>SUM($T431:AB431)</f>
        <v>0</v>
      </c>
      <c r="AP431" s="31">
        <f>SUM($T431:AC431)</f>
        <v>0</v>
      </c>
      <c r="AQ431" s="31">
        <f>SUM($T431:AD431)</f>
        <v>0</v>
      </c>
      <c r="AR431" s="31">
        <f>SUM($T431:AE431)</f>
        <v>0</v>
      </c>
      <c r="AS431" s="27">
        <f t="shared" si="69"/>
        <v>0</v>
      </c>
    </row>
    <row r="432" spans="2:45">
      <c r="B432" s="102" t="str">
        <f>IF(ROW()-6&gt;NumCostCenter,"",IF(CostCenter&lt;&gt;"ALL",CostCenter,DATA_LF2!B430))</f>
        <v/>
      </c>
      <c r="C432" s="153" t="str">
        <f>IF($B432&lt;&gt;"",INDEX(DataOB[],FirstRow+ROW()-7,2),"")</f>
        <v/>
      </c>
      <c r="D432" s="66" t="str">
        <f>IF($B432&lt;&gt;"",INDEX(DataOB[],FirstRow+ROW()-7,3),"")</f>
        <v/>
      </c>
      <c r="E432" s="103" t="str">
        <f>IF($B432&lt;&gt;"",INDEX(DataOB[],FirstRow+ROW()-7,6),"")</f>
        <v/>
      </c>
      <c r="F432" s="103" t="str">
        <f>IF($B432&lt;&gt;"",INDEX(DataOB[],FirstRow+ROW()-7,5),"")</f>
        <v/>
      </c>
      <c r="G432" s="58">
        <f>IF($B432&lt;&gt;"",SUMIFS(DataAct_tbl[AMOUNT],DataAct_tbl[BG CODE],Detail!$D432,DataAct_tbl[MONTH],LEFT(MonthName,3),DataAct_tbl[Dept code],$B432),0)</f>
        <v>0</v>
      </c>
      <c r="H432" s="31" t="str">
        <f t="shared" si="61"/>
        <v/>
      </c>
      <c r="I432" s="28" t="str">
        <f t="shared" si="62"/>
        <v/>
      </c>
      <c r="J432" s="32" t="str">
        <f t="shared" si="63"/>
        <v/>
      </c>
      <c r="K432" s="86"/>
      <c r="L432" s="62">
        <f>IF($B432&lt;&gt;"",SUMIFS(DataAct_tbl[AMOUNT],DataAct_tbl[BG CODE],Detail!$D432,DataAct_tbl[Check Range],"=true",DataAct_tbl[Dept code],$B432),0)</f>
        <v>0</v>
      </c>
      <c r="M432" s="63">
        <f>INDEX($AG$7:$AR$1005,ROW()-6,MATCH(MTD,$AG$6:$AR$6,0))</f>
        <v>0</v>
      </c>
      <c r="N432" s="34">
        <f t="shared" si="64"/>
        <v>0</v>
      </c>
      <c r="O432" s="64" t="str">
        <f t="shared" si="65"/>
        <v xml:space="preserve"> </v>
      </c>
      <c r="Q432" s="97">
        <f t="shared" si="66"/>
        <v>0</v>
      </c>
      <c r="R432" s="96">
        <f t="shared" si="67"/>
        <v>0</v>
      </c>
      <c r="T432" s="67" t="str">
        <f>IF($B432&lt;&gt;"",INDEX(DataOB[],FirstRow+ROW()-7,MATCH(T$6,DataOB[#Headers],0)),"")</f>
        <v/>
      </c>
      <c r="U432" s="67" t="str">
        <f>IF($B432&lt;&gt;"",INDEX(DataOB[],FirstRow+ROW()-7,MATCH(U$6,DataOB[#Headers],0)),"")</f>
        <v/>
      </c>
      <c r="V432" s="67" t="str">
        <f>IF($B432&lt;&gt;"",INDEX(DataOB[],FirstRow+ROW()-7,MATCH(V$6,DataOB[#Headers],0)),"")</f>
        <v/>
      </c>
      <c r="W432" s="67" t="str">
        <f>IF($B432&lt;&gt;"",INDEX(DataOB[],FirstRow+ROW()-7,MATCH(W$6,DataOB[#Headers],0)),"")</f>
        <v/>
      </c>
      <c r="X432" s="67" t="str">
        <f>IF($B432&lt;&gt;"",INDEX(DataOB[],FirstRow+ROW()-7,MATCH(X$6,DataOB[#Headers],0)),"")</f>
        <v/>
      </c>
      <c r="Y432" s="67" t="str">
        <f>IF($B432&lt;&gt;"",INDEX(DataOB[],FirstRow+ROW()-7,MATCH(Y$6,DataOB[#Headers],0)),"")</f>
        <v/>
      </c>
      <c r="Z432" s="67" t="str">
        <f>IF($B432&lt;&gt;"",INDEX(DataOB[],FirstRow+ROW()-7,MATCH(Z$6,DataOB[#Headers],0)),"")</f>
        <v/>
      </c>
      <c r="AA432" s="67" t="str">
        <f>IF($B432&lt;&gt;"",INDEX(DataOB[],FirstRow+ROW()-7,MATCH(AA$6,DataOB[#Headers],0)),"")</f>
        <v/>
      </c>
      <c r="AB432" s="67" t="str">
        <f>IF($B432&lt;&gt;"",INDEX(DataOB[],FirstRow+ROW()-7,MATCH(AB$6,DataOB[#Headers],0)),"")</f>
        <v/>
      </c>
      <c r="AC432" s="67" t="str">
        <f>IF($B432&lt;&gt;"",INDEX(DataOB[],FirstRow+ROW()-7,MATCH(AC$6,DataOB[#Headers],0)),"")</f>
        <v/>
      </c>
      <c r="AD432" s="67" t="str">
        <f>IF($B432&lt;&gt;"",INDEX(DataOB[],FirstRow+ROW()-7,MATCH(AD$6,DataOB[#Headers],0)),"")</f>
        <v/>
      </c>
      <c r="AE432" s="67" t="str">
        <f>IF($B432&lt;&gt;"",INDEX(DataOB[],FirstRow+ROW()-7,MATCH(AE$6,DataOB[#Headers],0)),"")</f>
        <v/>
      </c>
      <c r="AF432" s="26">
        <f t="shared" si="68"/>
        <v>0</v>
      </c>
      <c r="AG432" s="31">
        <f>SUM($T432:T432)</f>
        <v>0</v>
      </c>
      <c r="AH432" s="31">
        <f>SUM($T432:U432)</f>
        <v>0</v>
      </c>
      <c r="AI432" s="31">
        <f>SUM($T432:V432)</f>
        <v>0</v>
      </c>
      <c r="AJ432" s="31">
        <f>SUM($T432:W432)</f>
        <v>0</v>
      </c>
      <c r="AK432" s="31">
        <f>SUM($T432:X432)</f>
        <v>0</v>
      </c>
      <c r="AL432" s="31">
        <f>SUM($T432:Y432)</f>
        <v>0</v>
      </c>
      <c r="AM432" s="31">
        <f>SUM($T432:Z432)</f>
        <v>0</v>
      </c>
      <c r="AN432" s="31">
        <f>SUM($T432:AA432)</f>
        <v>0</v>
      </c>
      <c r="AO432" s="31">
        <f>SUM($T432:AB432)</f>
        <v>0</v>
      </c>
      <c r="AP432" s="31">
        <f>SUM($T432:AC432)</f>
        <v>0</v>
      </c>
      <c r="AQ432" s="31">
        <f>SUM($T432:AD432)</f>
        <v>0</v>
      </c>
      <c r="AR432" s="31">
        <f>SUM($T432:AE432)</f>
        <v>0</v>
      </c>
      <c r="AS432" s="27">
        <f t="shared" si="69"/>
        <v>0</v>
      </c>
    </row>
    <row r="433" spans="2:45">
      <c r="B433" s="102" t="str">
        <f>IF(ROW()-6&gt;NumCostCenter,"",IF(CostCenter&lt;&gt;"ALL",CostCenter,DATA_LF2!B431))</f>
        <v/>
      </c>
      <c r="C433" s="153" t="str">
        <f>IF($B433&lt;&gt;"",INDEX(DataOB[],FirstRow+ROW()-7,2),"")</f>
        <v/>
      </c>
      <c r="D433" s="66" t="str">
        <f>IF($B433&lt;&gt;"",INDEX(DataOB[],FirstRow+ROW()-7,3),"")</f>
        <v/>
      </c>
      <c r="E433" s="103" t="str">
        <f>IF($B433&lt;&gt;"",INDEX(DataOB[],FirstRow+ROW()-7,6),"")</f>
        <v/>
      </c>
      <c r="F433" s="103" t="str">
        <f>IF($B433&lt;&gt;"",INDEX(DataOB[],FirstRow+ROW()-7,5),"")</f>
        <v/>
      </c>
      <c r="G433" s="58">
        <f>IF($B433&lt;&gt;"",SUMIFS(DataAct_tbl[AMOUNT],DataAct_tbl[BG CODE],Detail!$D433,DataAct_tbl[MONTH],LEFT(MonthName,3),DataAct_tbl[Dept code],$B433),0)</f>
        <v>0</v>
      </c>
      <c r="H433" s="31" t="str">
        <f t="shared" si="61"/>
        <v/>
      </c>
      <c r="I433" s="28" t="str">
        <f t="shared" si="62"/>
        <v/>
      </c>
      <c r="J433" s="32" t="str">
        <f t="shared" si="63"/>
        <v/>
      </c>
      <c r="K433" s="86"/>
      <c r="L433" s="62">
        <f>IF($B433&lt;&gt;"",SUMIFS(DataAct_tbl[AMOUNT],DataAct_tbl[BG CODE],Detail!$D433,DataAct_tbl[Check Range],"=true",DataAct_tbl[Dept code],$B433),0)</f>
        <v>0</v>
      </c>
      <c r="M433" s="63">
        <f>INDEX($AG$7:$AR$1005,ROW()-6,MATCH(MTD,$AG$6:$AR$6,0))</f>
        <v>0</v>
      </c>
      <c r="N433" s="34">
        <f t="shared" si="64"/>
        <v>0</v>
      </c>
      <c r="O433" s="64" t="str">
        <f t="shared" si="65"/>
        <v xml:space="preserve"> </v>
      </c>
      <c r="Q433" s="97">
        <f t="shared" si="66"/>
        <v>0</v>
      </c>
      <c r="R433" s="96">
        <f t="shared" si="67"/>
        <v>0</v>
      </c>
      <c r="T433" s="67" t="str">
        <f>IF($B433&lt;&gt;"",INDEX(DataOB[],FirstRow+ROW()-7,MATCH(T$6,DataOB[#Headers],0)),"")</f>
        <v/>
      </c>
      <c r="U433" s="67" t="str">
        <f>IF($B433&lt;&gt;"",INDEX(DataOB[],FirstRow+ROW()-7,MATCH(U$6,DataOB[#Headers],0)),"")</f>
        <v/>
      </c>
      <c r="V433" s="67" t="str">
        <f>IF($B433&lt;&gt;"",INDEX(DataOB[],FirstRow+ROW()-7,MATCH(V$6,DataOB[#Headers],0)),"")</f>
        <v/>
      </c>
      <c r="W433" s="67" t="str">
        <f>IF($B433&lt;&gt;"",INDEX(DataOB[],FirstRow+ROW()-7,MATCH(W$6,DataOB[#Headers],0)),"")</f>
        <v/>
      </c>
      <c r="X433" s="67" t="str">
        <f>IF($B433&lt;&gt;"",INDEX(DataOB[],FirstRow+ROW()-7,MATCH(X$6,DataOB[#Headers],0)),"")</f>
        <v/>
      </c>
      <c r="Y433" s="67" t="str">
        <f>IF($B433&lt;&gt;"",INDEX(DataOB[],FirstRow+ROW()-7,MATCH(Y$6,DataOB[#Headers],0)),"")</f>
        <v/>
      </c>
      <c r="Z433" s="67" t="str">
        <f>IF($B433&lt;&gt;"",INDEX(DataOB[],FirstRow+ROW()-7,MATCH(Z$6,DataOB[#Headers],0)),"")</f>
        <v/>
      </c>
      <c r="AA433" s="67" t="str">
        <f>IF($B433&lt;&gt;"",INDEX(DataOB[],FirstRow+ROW()-7,MATCH(AA$6,DataOB[#Headers],0)),"")</f>
        <v/>
      </c>
      <c r="AB433" s="67" t="str">
        <f>IF($B433&lt;&gt;"",INDEX(DataOB[],FirstRow+ROW()-7,MATCH(AB$6,DataOB[#Headers],0)),"")</f>
        <v/>
      </c>
      <c r="AC433" s="67" t="str">
        <f>IF($B433&lt;&gt;"",INDEX(DataOB[],FirstRow+ROW()-7,MATCH(AC$6,DataOB[#Headers],0)),"")</f>
        <v/>
      </c>
      <c r="AD433" s="67" t="str">
        <f>IF($B433&lt;&gt;"",INDEX(DataOB[],FirstRow+ROW()-7,MATCH(AD$6,DataOB[#Headers],0)),"")</f>
        <v/>
      </c>
      <c r="AE433" s="67" t="str">
        <f>IF($B433&lt;&gt;"",INDEX(DataOB[],FirstRow+ROW()-7,MATCH(AE$6,DataOB[#Headers],0)),"")</f>
        <v/>
      </c>
      <c r="AF433" s="26">
        <f t="shared" si="68"/>
        <v>0</v>
      </c>
      <c r="AG433" s="31">
        <f>SUM($T433:T433)</f>
        <v>0</v>
      </c>
      <c r="AH433" s="31">
        <f>SUM($T433:U433)</f>
        <v>0</v>
      </c>
      <c r="AI433" s="31">
        <f>SUM($T433:V433)</f>
        <v>0</v>
      </c>
      <c r="AJ433" s="31">
        <f>SUM($T433:W433)</f>
        <v>0</v>
      </c>
      <c r="AK433" s="31">
        <f>SUM($T433:X433)</f>
        <v>0</v>
      </c>
      <c r="AL433" s="31">
        <f>SUM($T433:Y433)</f>
        <v>0</v>
      </c>
      <c r="AM433" s="31">
        <f>SUM($T433:Z433)</f>
        <v>0</v>
      </c>
      <c r="AN433" s="31">
        <f>SUM($T433:AA433)</f>
        <v>0</v>
      </c>
      <c r="AO433" s="31">
        <f>SUM($T433:AB433)</f>
        <v>0</v>
      </c>
      <c r="AP433" s="31">
        <f>SUM($T433:AC433)</f>
        <v>0</v>
      </c>
      <c r="AQ433" s="31">
        <f>SUM($T433:AD433)</f>
        <v>0</v>
      </c>
      <c r="AR433" s="31">
        <f>SUM($T433:AE433)</f>
        <v>0</v>
      </c>
      <c r="AS433" s="27">
        <f t="shared" si="69"/>
        <v>0</v>
      </c>
    </row>
    <row r="434" spans="2:45">
      <c r="B434" s="102" t="str">
        <f>IF(ROW()-6&gt;NumCostCenter,"",IF(CostCenter&lt;&gt;"ALL",CostCenter,DATA_LF2!B432))</f>
        <v/>
      </c>
      <c r="C434" s="153" t="str">
        <f>IF($B434&lt;&gt;"",INDEX(DataOB[],FirstRow+ROW()-7,2),"")</f>
        <v/>
      </c>
      <c r="D434" s="66" t="str">
        <f>IF($B434&lt;&gt;"",INDEX(DataOB[],FirstRow+ROW()-7,3),"")</f>
        <v/>
      </c>
      <c r="E434" s="103" t="str">
        <f>IF($B434&lt;&gt;"",INDEX(DataOB[],FirstRow+ROW()-7,6),"")</f>
        <v/>
      </c>
      <c r="F434" s="103" t="str">
        <f>IF($B434&lt;&gt;"",INDEX(DataOB[],FirstRow+ROW()-7,5),"")</f>
        <v/>
      </c>
      <c r="G434" s="58">
        <f>IF($B434&lt;&gt;"",SUMIFS(DataAct_tbl[AMOUNT],DataAct_tbl[BG CODE],Detail!$D434,DataAct_tbl[MONTH],LEFT(MonthName,3),DataAct_tbl[Dept code],$B434),0)</f>
        <v>0</v>
      </c>
      <c r="H434" s="31" t="str">
        <f t="shared" si="61"/>
        <v/>
      </c>
      <c r="I434" s="28" t="str">
        <f t="shared" si="62"/>
        <v/>
      </c>
      <c r="J434" s="32" t="str">
        <f t="shared" si="63"/>
        <v/>
      </c>
      <c r="K434" s="86"/>
      <c r="L434" s="62">
        <f>IF($B434&lt;&gt;"",SUMIFS(DataAct_tbl[AMOUNT],DataAct_tbl[BG CODE],Detail!$D434,DataAct_tbl[Check Range],"=true",DataAct_tbl[Dept code],$B434),0)</f>
        <v>0</v>
      </c>
      <c r="M434" s="63">
        <f>INDEX($AG$7:$AR$1005,ROW()-6,MATCH(MTD,$AG$6:$AR$6,0))</f>
        <v>0</v>
      </c>
      <c r="N434" s="34">
        <f t="shared" si="64"/>
        <v>0</v>
      </c>
      <c r="O434" s="64" t="str">
        <f t="shared" si="65"/>
        <v xml:space="preserve"> </v>
      </c>
      <c r="Q434" s="97">
        <f t="shared" si="66"/>
        <v>0</v>
      </c>
      <c r="R434" s="96">
        <f t="shared" si="67"/>
        <v>0</v>
      </c>
      <c r="T434" s="67" t="str">
        <f>IF($B434&lt;&gt;"",INDEX(DataOB[],FirstRow+ROW()-7,MATCH(T$6,DataOB[#Headers],0)),"")</f>
        <v/>
      </c>
      <c r="U434" s="67" t="str">
        <f>IF($B434&lt;&gt;"",INDEX(DataOB[],FirstRow+ROW()-7,MATCH(U$6,DataOB[#Headers],0)),"")</f>
        <v/>
      </c>
      <c r="V434" s="67" t="str">
        <f>IF($B434&lt;&gt;"",INDEX(DataOB[],FirstRow+ROW()-7,MATCH(V$6,DataOB[#Headers],0)),"")</f>
        <v/>
      </c>
      <c r="W434" s="67" t="str">
        <f>IF($B434&lt;&gt;"",INDEX(DataOB[],FirstRow+ROW()-7,MATCH(W$6,DataOB[#Headers],0)),"")</f>
        <v/>
      </c>
      <c r="X434" s="67" t="str">
        <f>IF($B434&lt;&gt;"",INDEX(DataOB[],FirstRow+ROW()-7,MATCH(X$6,DataOB[#Headers],0)),"")</f>
        <v/>
      </c>
      <c r="Y434" s="67" t="str">
        <f>IF($B434&lt;&gt;"",INDEX(DataOB[],FirstRow+ROW()-7,MATCH(Y$6,DataOB[#Headers],0)),"")</f>
        <v/>
      </c>
      <c r="Z434" s="67" t="str">
        <f>IF($B434&lt;&gt;"",INDEX(DataOB[],FirstRow+ROW()-7,MATCH(Z$6,DataOB[#Headers],0)),"")</f>
        <v/>
      </c>
      <c r="AA434" s="67" t="str">
        <f>IF($B434&lt;&gt;"",INDEX(DataOB[],FirstRow+ROW()-7,MATCH(AA$6,DataOB[#Headers],0)),"")</f>
        <v/>
      </c>
      <c r="AB434" s="67" t="str">
        <f>IF($B434&lt;&gt;"",INDEX(DataOB[],FirstRow+ROW()-7,MATCH(AB$6,DataOB[#Headers],0)),"")</f>
        <v/>
      </c>
      <c r="AC434" s="67" t="str">
        <f>IF($B434&lt;&gt;"",INDEX(DataOB[],FirstRow+ROW()-7,MATCH(AC$6,DataOB[#Headers],0)),"")</f>
        <v/>
      </c>
      <c r="AD434" s="67" t="str">
        <f>IF($B434&lt;&gt;"",INDEX(DataOB[],FirstRow+ROW()-7,MATCH(AD$6,DataOB[#Headers],0)),"")</f>
        <v/>
      </c>
      <c r="AE434" s="67" t="str">
        <f>IF($B434&lt;&gt;"",INDEX(DataOB[],FirstRow+ROW()-7,MATCH(AE$6,DataOB[#Headers],0)),"")</f>
        <v/>
      </c>
      <c r="AF434" s="26">
        <f t="shared" si="68"/>
        <v>0</v>
      </c>
      <c r="AG434" s="31">
        <f>SUM($T434:T434)</f>
        <v>0</v>
      </c>
      <c r="AH434" s="31">
        <f>SUM($T434:U434)</f>
        <v>0</v>
      </c>
      <c r="AI434" s="31">
        <f>SUM($T434:V434)</f>
        <v>0</v>
      </c>
      <c r="AJ434" s="31">
        <f>SUM($T434:W434)</f>
        <v>0</v>
      </c>
      <c r="AK434" s="31">
        <f>SUM($T434:X434)</f>
        <v>0</v>
      </c>
      <c r="AL434" s="31">
        <f>SUM($T434:Y434)</f>
        <v>0</v>
      </c>
      <c r="AM434" s="31">
        <f>SUM($T434:Z434)</f>
        <v>0</v>
      </c>
      <c r="AN434" s="31">
        <f>SUM($T434:AA434)</f>
        <v>0</v>
      </c>
      <c r="AO434" s="31">
        <f>SUM($T434:AB434)</f>
        <v>0</v>
      </c>
      <c r="AP434" s="31">
        <f>SUM($T434:AC434)</f>
        <v>0</v>
      </c>
      <c r="AQ434" s="31">
        <f>SUM($T434:AD434)</f>
        <v>0</v>
      </c>
      <c r="AR434" s="31">
        <f>SUM($T434:AE434)</f>
        <v>0</v>
      </c>
      <c r="AS434" s="27">
        <f t="shared" si="69"/>
        <v>0</v>
      </c>
    </row>
    <row r="435" spans="2:45">
      <c r="B435" s="102" t="str">
        <f>IF(ROW()-6&gt;NumCostCenter,"",IF(CostCenter&lt;&gt;"ALL",CostCenter,DATA_LF2!B433))</f>
        <v/>
      </c>
      <c r="C435" s="153" t="str">
        <f>IF($B435&lt;&gt;"",INDEX(DataOB[],FirstRow+ROW()-7,2),"")</f>
        <v/>
      </c>
      <c r="D435" s="66" t="str">
        <f>IF($B435&lt;&gt;"",INDEX(DataOB[],FirstRow+ROW()-7,3),"")</f>
        <v/>
      </c>
      <c r="E435" s="103" t="str">
        <f>IF($B435&lt;&gt;"",INDEX(DataOB[],FirstRow+ROW()-7,6),"")</f>
        <v/>
      </c>
      <c r="F435" s="103" t="str">
        <f>IF($B435&lt;&gt;"",INDEX(DataOB[],FirstRow+ROW()-7,5),"")</f>
        <v/>
      </c>
      <c r="G435" s="58">
        <f>IF($B435&lt;&gt;"",SUMIFS(DataAct_tbl[AMOUNT],DataAct_tbl[BG CODE],Detail!$D435,DataAct_tbl[MONTH],LEFT(MonthName,3),DataAct_tbl[Dept code],$B435),0)</f>
        <v>0</v>
      </c>
      <c r="H435" s="31" t="str">
        <f t="shared" si="61"/>
        <v/>
      </c>
      <c r="I435" s="28" t="str">
        <f t="shared" si="62"/>
        <v/>
      </c>
      <c r="J435" s="32" t="str">
        <f t="shared" si="63"/>
        <v/>
      </c>
      <c r="K435" s="86"/>
      <c r="L435" s="62">
        <f>IF($B435&lt;&gt;"",SUMIFS(DataAct_tbl[AMOUNT],DataAct_tbl[BG CODE],Detail!$D435,DataAct_tbl[Check Range],"=true",DataAct_tbl[Dept code],$B435),0)</f>
        <v>0</v>
      </c>
      <c r="M435" s="63">
        <f>INDEX($AG$7:$AR$1005,ROW()-6,MATCH(MTD,$AG$6:$AR$6,0))</f>
        <v>0</v>
      </c>
      <c r="N435" s="34">
        <f t="shared" si="64"/>
        <v>0</v>
      </c>
      <c r="O435" s="64" t="str">
        <f t="shared" si="65"/>
        <v xml:space="preserve"> </v>
      </c>
      <c r="Q435" s="97">
        <f t="shared" si="66"/>
        <v>0</v>
      </c>
      <c r="R435" s="96">
        <f t="shared" si="67"/>
        <v>0</v>
      </c>
      <c r="T435" s="67" t="str">
        <f>IF($B435&lt;&gt;"",INDEX(DataOB[],FirstRow+ROW()-7,MATCH(T$6,DataOB[#Headers],0)),"")</f>
        <v/>
      </c>
      <c r="U435" s="67" t="str">
        <f>IF($B435&lt;&gt;"",INDEX(DataOB[],FirstRow+ROW()-7,MATCH(U$6,DataOB[#Headers],0)),"")</f>
        <v/>
      </c>
      <c r="V435" s="67" t="str">
        <f>IF($B435&lt;&gt;"",INDEX(DataOB[],FirstRow+ROW()-7,MATCH(V$6,DataOB[#Headers],0)),"")</f>
        <v/>
      </c>
      <c r="W435" s="67" t="str">
        <f>IF($B435&lt;&gt;"",INDEX(DataOB[],FirstRow+ROW()-7,MATCH(W$6,DataOB[#Headers],0)),"")</f>
        <v/>
      </c>
      <c r="X435" s="67" t="str">
        <f>IF($B435&lt;&gt;"",INDEX(DataOB[],FirstRow+ROW()-7,MATCH(X$6,DataOB[#Headers],0)),"")</f>
        <v/>
      </c>
      <c r="Y435" s="67" t="str">
        <f>IF($B435&lt;&gt;"",INDEX(DataOB[],FirstRow+ROW()-7,MATCH(Y$6,DataOB[#Headers],0)),"")</f>
        <v/>
      </c>
      <c r="Z435" s="67" t="str">
        <f>IF($B435&lt;&gt;"",INDEX(DataOB[],FirstRow+ROW()-7,MATCH(Z$6,DataOB[#Headers],0)),"")</f>
        <v/>
      </c>
      <c r="AA435" s="67" t="str">
        <f>IF($B435&lt;&gt;"",INDEX(DataOB[],FirstRow+ROW()-7,MATCH(AA$6,DataOB[#Headers],0)),"")</f>
        <v/>
      </c>
      <c r="AB435" s="67" t="str">
        <f>IF($B435&lt;&gt;"",INDEX(DataOB[],FirstRow+ROW()-7,MATCH(AB$6,DataOB[#Headers],0)),"")</f>
        <v/>
      </c>
      <c r="AC435" s="67" t="str">
        <f>IF($B435&lt;&gt;"",INDEX(DataOB[],FirstRow+ROW()-7,MATCH(AC$6,DataOB[#Headers],0)),"")</f>
        <v/>
      </c>
      <c r="AD435" s="67" t="str">
        <f>IF($B435&lt;&gt;"",INDEX(DataOB[],FirstRow+ROW()-7,MATCH(AD$6,DataOB[#Headers],0)),"")</f>
        <v/>
      </c>
      <c r="AE435" s="67" t="str">
        <f>IF($B435&lt;&gt;"",INDEX(DataOB[],FirstRow+ROW()-7,MATCH(AE$6,DataOB[#Headers],0)),"")</f>
        <v/>
      </c>
      <c r="AF435" s="26">
        <f t="shared" si="68"/>
        <v>0</v>
      </c>
      <c r="AG435" s="31">
        <f>SUM($T435:T435)</f>
        <v>0</v>
      </c>
      <c r="AH435" s="31">
        <f>SUM($T435:U435)</f>
        <v>0</v>
      </c>
      <c r="AI435" s="31">
        <f>SUM($T435:V435)</f>
        <v>0</v>
      </c>
      <c r="AJ435" s="31">
        <f>SUM($T435:W435)</f>
        <v>0</v>
      </c>
      <c r="AK435" s="31">
        <f>SUM($T435:X435)</f>
        <v>0</v>
      </c>
      <c r="AL435" s="31">
        <f>SUM($T435:Y435)</f>
        <v>0</v>
      </c>
      <c r="AM435" s="31">
        <f>SUM($T435:Z435)</f>
        <v>0</v>
      </c>
      <c r="AN435" s="31">
        <f>SUM($T435:AA435)</f>
        <v>0</v>
      </c>
      <c r="AO435" s="31">
        <f>SUM($T435:AB435)</f>
        <v>0</v>
      </c>
      <c r="AP435" s="31">
        <f>SUM($T435:AC435)</f>
        <v>0</v>
      </c>
      <c r="AQ435" s="31">
        <f>SUM($T435:AD435)</f>
        <v>0</v>
      </c>
      <c r="AR435" s="31">
        <f>SUM($T435:AE435)</f>
        <v>0</v>
      </c>
      <c r="AS435" s="27">
        <f t="shared" si="69"/>
        <v>0</v>
      </c>
    </row>
    <row r="436" spans="2:45">
      <c r="B436" s="102" t="str">
        <f>IF(ROW()-6&gt;NumCostCenter,"",IF(CostCenter&lt;&gt;"ALL",CostCenter,DATA_LF2!B434))</f>
        <v/>
      </c>
      <c r="C436" s="153" t="str">
        <f>IF($B436&lt;&gt;"",INDEX(DataOB[],FirstRow+ROW()-7,2),"")</f>
        <v/>
      </c>
      <c r="D436" s="66" t="str">
        <f>IF($B436&lt;&gt;"",INDEX(DataOB[],FirstRow+ROW()-7,3),"")</f>
        <v/>
      </c>
      <c r="E436" s="103" t="str">
        <f>IF($B436&lt;&gt;"",INDEX(DataOB[],FirstRow+ROW()-7,6),"")</f>
        <v/>
      </c>
      <c r="F436" s="103" t="str">
        <f>IF($B436&lt;&gt;"",INDEX(DataOB[],FirstRow+ROW()-7,5),"")</f>
        <v/>
      </c>
      <c r="G436" s="58">
        <f>IF($B436&lt;&gt;"",SUMIFS(DataAct_tbl[AMOUNT],DataAct_tbl[BG CODE],Detail!$D436,DataAct_tbl[MONTH],LEFT(MonthName,3),DataAct_tbl[Dept code],$B436),0)</f>
        <v>0</v>
      </c>
      <c r="H436" s="31" t="str">
        <f t="shared" si="61"/>
        <v/>
      </c>
      <c r="I436" s="28" t="str">
        <f t="shared" si="62"/>
        <v/>
      </c>
      <c r="J436" s="32" t="str">
        <f t="shared" si="63"/>
        <v/>
      </c>
      <c r="K436" s="86"/>
      <c r="L436" s="62">
        <f>IF($B436&lt;&gt;"",SUMIFS(DataAct_tbl[AMOUNT],DataAct_tbl[BG CODE],Detail!$D436,DataAct_tbl[Check Range],"=true",DataAct_tbl[Dept code],$B436),0)</f>
        <v>0</v>
      </c>
      <c r="M436" s="63">
        <f>INDEX($AG$7:$AR$1005,ROW()-6,MATCH(MTD,$AG$6:$AR$6,0))</f>
        <v>0</v>
      </c>
      <c r="N436" s="34">
        <f t="shared" si="64"/>
        <v>0</v>
      </c>
      <c r="O436" s="64" t="str">
        <f t="shared" si="65"/>
        <v xml:space="preserve"> </v>
      </c>
      <c r="Q436" s="97">
        <f t="shared" si="66"/>
        <v>0</v>
      </c>
      <c r="R436" s="96">
        <f t="shared" si="67"/>
        <v>0</v>
      </c>
      <c r="T436" s="67" t="str">
        <f>IF($B436&lt;&gt;"",INDEX(DataOB[],FirstRow+ROW()-7,MATCH(T$6,DataOB[#Headers],0)),"")</f>
        <v/>
      </c>
      <c r="U436" s="67" t="str">
        <f>IF($B436&lt;&gt;"",INDEX(DataOB[],FirstRow+ROW()-7,MATCH(U$6,DataOB[#Headers],0)),"")</f>
        <v/>
      </c>
      <c r="V436" s="67" t="str">
        <f>IF($B436&lt;&gt;"",INDEX(DataOB[],FirstRow+ROW()-7,MATCH(V$6,DataOB[#Headers],0)),"")</f>
        <v/>
      </c>
      <c r="W436" s="67" t="str">
        <f>IF($B436&lt;&gt;"",INDEX(DataOB[],FirstRow+ROW()-7,MATCH(W$6,DataOB[#Headers],0)),"")</f>
        <v/>
      </c>
      <c r="X436" s="67" t="str">
        <f>IF($B436&lt;&gt;"",INDEX(DataOB[],FirstRow+ROW()-7,MATCH(X$6,DataOB[#Headers],0)),"")</f>
        <v/>
      </c>
      <c r="Y436" s="67" t="str">
        <f>IF($B436&lt;&gt;"",INDEX(DataOB[],FirstRow+ROW()-7,MATCH(Y$6,DataOB[#Headers],0)),"")</f>
        <v/>
      </c>
      <c r="Z436" s="67" t="str">
        <f>IF($B436&lt;&gt;"",INDEX(DataOB[],FirstRow+ROW()-7,MATCH(Z$6,DataOB[#Headers],0)),"")</f>
        <v/>
      </c>
      <c r="AA436" s="67" t="str">
        <f>IF($B436&lt;&gt;"",INDEX(DataOB[],FirstRow+ROW()-7,MATCH(AA$6,DataOB[#Headers],0)),"")</f>
        <v/>
      </c>
      <c r="AB436" s="67" t="str">
        <f>IF($B436&lt;&gt;"",INDEX(DataOB[],FirstRow+ROW()-7,MATCH(AB$6,DataOB[#Headers],0)),"")</f>
        <v/>
      </c>
      <c r="AC436" s="67" t="str">
        <f>IF($B436&lt;&gt;"",INDEX(DataOB[],FirstRow+ROW()-7,MATCH(AC$6,DataOB[#Headers],0)),"")</f>
        <v/>
      </c>
      <c r="AD436" s="67" t="str">
        <f>IF($B436&lt;&gt;"",INDEX(DataOB[],FirstRow+ROW()-7,MATCH(AD$6,DataOB[#Headers],0)),"")</f>
        <v/>
      </c>
      <c r="AE436" s="67" t="str">
        <f>IF($B436&lt;&gt;"",INDEX(DataOB[],FirstRow+ROW()-7,MATCH(AE$6,DataOB[#Headers],0)),"")</f>
        <v/>
      </c>
      <c r="AF436" s="26">
        <f t="shared" si="68"/>
        <v>0</v>
      </c>
      <c r="AG436" s="31">
        <f>SUM($T436:T436)</f>
        <v>0</v>
      </c>
      <c r="AH436" s="31">
        <f>SUM($T436:U436)</f>
        <v>0</v>
      </c>
      <c r="AI436" s="31">
        <f>SUM($T436:V436)</f>
        <v>0</v>
      </c>
      <c r="AJ436" s="31">
        <f>SUM($T436:W436)</f>
        <v>0</v>
      </c>
      <c r="AK436" s="31">
        <f>SUM($T436:X436)</f>
        <v>0</v>
      </c>
      <c r="AL436" s="31">
        <f>SUM($T436:Y436)</f>
        <v>0</v>
      </c>
      <c r="AM436" s="31">
        <f>SUM($T436:Z436)</f>
        <v>0</v>
      </c>
      <c r="AN436" s="31">
        <f>SUM($T436:AA436)</f>
        <v>0</v>
      </c>
      <c r="AO436" s="31">
        <f>SUM($T436:AB436)</f>
        <v>0</v>
      </c>
      <c r="AP436" s="31">
        <f>SUM($T436:AC436)</f>
        <v>0</v>
      </c>
      <c r="AQ436" s="31">
        <f>SUM($T436:AD436)</f>
        <v>0</v>
      </c>
      <c r="AR436" s="31">
        <f>SUM($T436:AE436)</f>
        <v>0</v>
      </c>
      <c r="AS436" s="27">
        <f t="shared" si="69"/>
        <v>0</v>
      </c>
    </row>
    <row r="437" spans="2:45">
      <c r="B437" s="102" t="str">
        <f>IF(ROW()-6&gt;NumCostCenter,"",IF(CostCenter&lt;&gt;"ALL",CostCenter,DATA_LF2!B435))</f>
        <v/>
      </c>
      <c r="C437" s="153" t="str">
        <f>IF($B437&lt;&gt;"",INDEX(DataOB[],FirstRow+ROW()-7,2),"")</f>
        <v/>
      </c>
      <c r="D437" s="66" t="str">
        <f>IF($B437&lt;&gt;"",INDEX(DataOB[],FirstRow+ROW()-7,3),"")</f>
        <v/>
      </c>
      <c r="E437" s="103" t="str">
        <f>IF($B437&lt;&gt;"",INDEX(DataOB[],FirstRow+ROW()-7,6),"")</f>
        <v/>
      </c>
      <c r="F437" s="103" t="str">
        <f>IF($B437&lt;&gt;"",INDEX(DataOB[],FirstRow+ROW()-7,5),"")</f>
        <v/>
      </c>
      <c r="G437" s="58">
        <f>IF($B437&lt;&gt;"",SUMIFS(DataAct_tbl[AMOUNT],DataAct_tbl[BG CODE],Detail!$D437,DataAct_tbl[MONTH],LEFT(MonthName,3),DataAct_tbl[Dept code],$B437),0)</f>
        <v>0</v>
      </c>
      <c r="H437" s="31" t="str">
        <f t="shared" si="61"/>
        <v/>
      </c>
      <c r="I437" s="28" t="str">
        <f t="shared" si="62"/>
        <v/>
      </c>
      <c r="J437" s="32" t="str">
        <f t="shared" si="63"/>
        <v/>
      </c>
      <c r="K437" s="86"/>
      <c r="L437" s="62">
        <f>IF($B437&lt;&gt;"",SUMIFS(DataAct_tbl[AMOUNT],DataAct_tbl[BG CODE],Detail!$D437,DataAct_tbl[Check Range],"=true",DataAct_tbl[Dept code],$B437),0)</f>
        <v>0</v>
      </c>
      <c r="M437" s="63">
        <f>INDEX($AG$7:$AR$1005,ROW()-6,MATCH(MTD,$AG$6:$AR$6,0))</f>
        <v>0</v>
      </c>
      <c r="N437" s="34">
        <f t="shared" si="64"/>
        <v>0</v>
      </c>
      <c r="O437" s="64" t="str">
        <f t="shared" si="65"/>
        <v xml:space="preserve"> </v>
      </c>
      <c r="Q437" s="97">
        <f t="shared" si="66"/>
        <v>0</v>
      </c>
      <c r="R437" s="96">
        <f t="shared" si="67"/>
        <v>0</v>
      </c>
      <c r="T437" s="67" t="str">
        <f>IF($B437&lt;&gt;"",INDEX(DataOB[],FirstRow+ROW()-7,MATCH(T$6,DataOB[#Headers],0)),"")</f>
        <v/>
      </c>
      <c r="U437" s="67" t="str">
        <f>IF($B437&lt;&gt;"",INDEX(DataOB[],FirstRow+ROW()-7,MATCH(U$6,DataOB[#Headers],0)),"")</f>
        <v/>
      </c>
      <c r="V437" s="67" t="str">
        <f>IF($B437&lt;&gt;"",INDEX(DataOB[],FirstRow+ROW()-7,MATCH(V$6,DataOB[#Headers],0)),"")</f>
        <v/>
      </c>
      <c r="W437" s="67" t="str">
        <f>IF($B437&lt;&gt;"",INDEX(DataOB[],FirstRow+ROW()-7,MATCH(W$6,DataOB[#Headers],0)),"")</f>
        <v/>
      </c>
      <c r="X437" s="67" t="str">
        <f>IF($B437&lt;&gt;"",INDEX(DataOB[],FirstRow+ROW()-7,MATCH(X$6,DataOB[#Headers],0)),"")</f>
        <v/>
      </c>
      <c r="Y437" s="67" t="str">
        <f>IF($B437&lt;&gt;"",INDEX(DataOB[],FirstRow+ROW()-7,MATCH(Y$6,DataOB[#Headers],0)),"")</f>
        <v/>
      </c>
      <c r="Z437" s="67" t="str">
        <f>IF($B437&lt;&gt;"",INDEX(DataOB[],FirstRow+ROW()-7,MATCH(Z$6,DataOB[#Headers],0)),"")</f>
        <v/>
      </c>
      <c r="AA437" s="67" t="str">
        <f>IF($B437&lt;&gt;"",INDEX(DataOB[],FirstRow+ROW()-7,MATCH(AA$6,DataOB[#Headers],0)),"")</f>
        <v/>
      </c>
      <c r="AB437" s="67" t="str">
        <f>IF($B437&lt;&gt;"",INDEX(DataOB[],FirstRow+ROW()-7,MATCH(AB$6,DataOB[#Headers],0)),"")</f>
        <v/>
      </c>
      <c r="AC437" s="67" t="str">
        <f>IF($B437&lt;&gt;"",INDEX(DataOB[],FirstRow+ROW()-7,MATCH(AC$6,DataOB[#Headers],0)),"")</f>
        <v/>
      </c>
      <c r="AD437" s="67" t="str">
        <f>IF($B437&lt;&gt;"",INDEX(DataOB[],FirstRow+ROW()-7,MATCH(AD$6,DataOB[#Headers],0)),"")</f>
        <v/>
      </c>
      <c r="AE437" s="67" t="str">
        <f>IF($B437&lt;&gt;"",INDEX(DataOB[],FirstRow+ROW()-7,MATCH(AE$6,DataOB[#Headers],0)),"")</f>
        <v/>
      </c>
      <c r="AF437" s="26">
        <f t="shared" si="68"/>
        <v>0</v>
      </c>
      <c r="AG437" s="31">
        <f>SUM($T437:T437)</f>
        <v>0</v>
      </c>
      <c r="AH437" s="31">
        <f>SUM($T437:U437)</f>
        <v>0</v>
      </c>
      <c r="AI437" s="31">
        <f>SUM($T437:V437)</f>
        <v>0</v>
      </c>
      <c r="AJ437" s="31">
        <f>SUM($T437:W437)</f>
        <v>0</v>
      </c>
      <c r="AK437" s="31">
        <f>SUM($T437:X437)</f>
        <v>0</v>
      </c>
      <c r="AL437" s="31">
        <f>SUM($T437:Y437)</f>
        <v>0</v>
      </c>
      <c r="AM437" s="31">
        <f>SUM($T437:Z437)</f>
        <v>0</v>
      </c>
      <c r="AN437" s="31">
        <f>SUM($T437:AA437)</f>
        <v>0</v>
      </c>
      <c r="AO437" s="31">
        <f>SUM($T437:AB437)</f>
        <v>0</v>
      </c>
      <c r="AP437" s="31">
        <f>SUM($T437:AC437)</f>
        <v>0</v>
      </c>
      <c r="AQ437" s="31">
        <f>SUM($T437:AD437)</f>
        <v>0</v>
      </c>
      <c r="AR437" s="31">
        <f>SUM($T437:AE437)</f>
        <v>0</v>
      </c>
      <c r="AS437" s="27">
        <f t="shared" si="69"/>
        <v>0</v>
      </c>
    </row>
    <row r="438" spans="2:45">
      <c r="B438" s="102" t="str">
        <f>IF(ROW()-6&gt;NumCostCenter,"",IF(CostCenter&lt;&gt;"ALL",CostCenter,DATA_LF2!B436))</f>
        <v/>
      </c>
      <c r="C438" s="153" t="str">
        <f>IF($B438&lt;&gt;"",INDEX(DataOB[],FirstRow+ROW()-7,2),"")</f>
        <v/>
      </c>
      <c r="D438" s="66" t="str">
        <f>IF($B438&lt;&gt;"",INDEX(DataOB[],FirstRow+ROW()-7,3),"")</f>
        <v/>
      </c>
      <c r="E438" s="103" t="str">
        <f>IF($B438&lt;&gt;"",INDEX(DataOB[],FirstRow+ROW()-7,6),"")</f>
        <v/>
      </c>
      <c r="F438" s="103" t="str">
        <f>IF($B438&lt;&gt;"",INDEX(DataOB[],FirstRow+ROW()-7,5),"")</f>
        <v/>
      </c>
      <c r="G438" s="58">
        <f>IF($B438&lt;&gt;"",SUMIFS(DataAct_tbl[AMOUNT],DataAct_tbl[BG CODE],Detail!$D438,DataAct_tbl[MONTH],LEFT(MonthName,3),DataAct_tbl[Dept code],$B438),0)</f>
        <v>0</v>
      </c>
      <c r="H438" s="31" t="str">
        <f t="shared" si="61"/>
        <v/>
      </c>
      <c r="I438" s="28" t="str">
        <f t="shared" si="62"/>
        <v/>
      </c>
      <c r="J438" s="32" t="str">
        <f t="shared" si="63"/>
        <v/>
      </c>
      <c r="K438" s="86"/>
      <c r="L438" s="62">
        <f>IF($B438&lt;&gt;"",SUMIFS(DataAct_tbl[AMOUNT],DataAct_tbl[BG CODE],Detail!$D438,DataAct_tbl[Check Range],"=true",DataAct_tbl[Dept code],$B438),0)</f>
        <v>0</v>
      </c>
      <c r="M438" s="63">
        <f>INDEX($AG$7:$AR$1005,ROW()-6,MATCH(MTD,$AG$6:$AR$6,0))</f>
        <v>0</v>
      </c>
      <c r="N438" s="34">
        <f t="shared" si="64"/>
        <v>0</v>
      </c>
      <c r="O438" s="64" t="str">
        <f t="shared" si="65"/>
        <v xml:space="preserve"> </v>
      </c>
      <c r="Q438" s="97">
        <f t="shared" si="66"/>
        <v>0</v>
      </c>
      <c r="R438" s="96">
        <f t="shared" si="67"/>
        <v>0</v>
      </c>
      <c r="T438" s="67" t="str">
        <f>IF($B438&lt;&gt;"",INDEX(DataOB[],FirstRow+ROW()-7,MATCH(T$6,DataOB[#Headers],0)),"")</f>
        <v/>
      </c>
      <c r="U438" s="67" t="str">
        <f>IF($B438&lt;&gt;"",INDEX(DataOB[],FirstRow+ROW()-7,MATCH(U$6,DataOB[#Headers],0)),"")</f>
        <v/>
      </c>
      <c r="V438" s="67" t="str">
        <f>IF($B438&lt;&gt;"",INDEX(DataOB[],FirstRow+ROW()-7,MATCH(V$6,DataOB[#Headers],0)),"")</f>
        <v/>
      </c>
      <c r="W438" s="67" t="str">
        <f>IF($B438&lt;&gt;"",INDEX(DataOB[],FirstRow+ROW()-7,MATCH(W$6,DataOB[#Headers],0)),"")</f>
        <v/>
      </c>
      <c r="X438" s="67" t="str">
        <f>IF($B438&lt;&gt;"",INDEX(DataOB[],FirstRow+ROW()-7,MATCH(X$6,DataOB[#Headers],0)),"")</f>
        <v/>
      </c>
      <c r="Y438" s="67" t="str">
        <f>IF($B438&lt;&gt;"",INDEX(DataOB[],FirstRow+ROW()-7,MATCH(Y$6,DataOB[#Headers],0)),"")</f>
        <v/>
      </c>
      <c r="Z438" s="67" t="str">
        <f>IF($B438&lt;&gt;"",INDEX(DataOB[],FirstRow+ROW()-7,MATCH(Z$6,DataOB[#Headers],0)),"")</f>
        <v/>
      </c>
      <c r="AA438" s="67" t="str">
        <f>IF($B438&lt;&gt;"",INDEX(DataOB[],FirstRow+ROW()-7,MATCH(AA$6,DataOB[#Headers],0)),"")</f>
        <v/>
      </c>
      <c r="AB438" s="67" t="str">
        <f>IF($B438&lt;&gt;"",INDEX(DataOB[],FirstRow+ROW()-7,MATCH(AB$6,DataOB[#Headers],0)),"")</f>
        <v/>
      </c>
      <c r="AC438" s="67" t="str">
        <f>IF($B438&lt;&gt;"",INDEX(DataOB[],FirstRow+ROW()-7,MATCH(AC$6,DataOB[#Headers],0)),"")</f>
        <v/>
      </c>
      <c r="AD438" s="67" t="str">
        <f>IF($B438&lt;&gt;"",INDEX(DataOB[],FirstRow+ROW()-7,MATCH(AD$6,DataOB[#Headers],0)),"")</f>
        <v/>
      </c>
      <c r="AE438" s="67" t="str">
        <f>IF($B438&lt;&gt;"",INDEX(DataOB[],FirstRow+ROW()-7,MATCH(AE$6,DataOB[#Headers],0)),"")</f>
        <v/>
      </c>
      <c r="AF438" s="26">
        <f t="shared" si="68"/>
        <v>0</v>
      </c>
      <c r="AG438" s="31">
        <f>SUM($T438:T438)</f>
        <v>0</v>
      </c>
      <c r="AH438" s="31">
        <f>SUM($T438:U438)</f>
        <v>0</v>
      </c>
      <c r="AI438" s="31">
        <f>SUM($T438:V438)</f>
        <v>0</v>
      </c>
      <c r="AJ438" s="31">
        <f>SUM($T438:W438)</f>
        <v>0</v>
      </c>
      <c r="AK438" s="31">
        <f>SUM($T438:X438)</f>
        <v>0</v>
      </c>
      <c r="AL438" s="31">
        <f>SUM($T438:Y438)</f>
        <v>0</v>
      </c>
      <c r="AM438" s="31">
        <f>SUM($T438:Z438)</f>
        <v>0</v>
      </c>
      <c r="AN438" s="31">
        <f>SUM($T438:AA438)</f>
        <v>0</v>
      </c>
      <c r="AO438" s="31">
        <f>SUM($T438:AB438)</f>
        <v>0</v>
      </c>
      <c r="AP438" s="31">
        <f>SUM($T438:AC438)</f>
        <v>0</v>
      </c>
      <c r="AQ438" s="31">
        <f>SUM($T438:AD438)</f>
        <v>0</v>
      </c>
      <c r="AR438" s="31">
        <f>SUM($T438:AE438)</f>
        <v>0</v>
      </c>
      <c r="AS438" s="27">
        <f t="shared" si="69"/>
        <v>0</v>
      </c>
    </row>
    <row r="439" spans="2:45">
      <c r="B439" s="102" t="str">
        <f>IF(ROW()-6&gt;NumCostCenter,"",IF(CostCenter&lt;&gt;"ALL",CostCenter,DATA_LF2!B437))</f>
        <v/>
      </c>
      <c r="C439" s="153" t="str">
        <f>IF($B439&lt;&gt;"",INDEX(DataOB[],FirstRow+ROW()-7,2),"")</f>
        <v/>
      </c>
      <c r="D439" s="66" t="str">
        <f>IF($B439&lt;&gt;"",INDEX(DataOB[],FirstRow+ROW()-7,3),"")</f>
        <v/>
      </c>
      <c r="E439" s="103" t="str">
        <f>IF($B439&lt;&gt;"",INDEX(DataOB[],FirstRow+ROW()-7,6),"")</f>
        <v/>
      </c>
      <c r="F439" s="103" t="str">
        <f>IF($B439&lt;&gt;"",INDEX(DataOB[],FirstRow+ROW()-7,5),"")</f>
        <v/>
      </c>
      <c r="G439" s="58">
        <f>IF($B439&lt;&gt;"",SUMIFS(DataAct_tbl[AMOUNT],DataAct_tbl[BG CODE],Detail!$D439,DataAct_tbl[MONTH],LEFT(MonthName,3),DataAct_tbl[Dept code],$B439),0)</f>
        <v>0</v>
      </c>
      <c r="H439" s="31" t="str">
        <f t="shared" si="61"/>
        <v/>
      </c>
      <c r="I439" s="28" t="str">
        <f t="shared" si="62"/>
        <v/>
      </c>
      <c r="J439" s="32" t="str">
        <f t="shared" si="63"/>
        <v/>
      </c>
      <c r="K439" s="86"/>
      <c r="L439" s="62">
        <f>IF($B439&lt;&gt;"",SUMIFS(DataAct_tbl[AMOUNT],DataAct_tbl[BG CODE],Detail!$D439,DataAct_tbl[Check Range],"=true",DataAct_tbl[Dept code],$B439),0)</f>
        <v>0</v>
      </c>
      <c r="M439" s="63">
        <f>INDEX($AG$7:$AR$1005,ROW()-6,MATCH(MTD,$AG$6:$AR$6,0))</f>
        <v>0</v>
      </c>
      <c r="N439" s="34">
        <f t="shared" si="64"/>
        <v>0</v>
      </c>
      <c r="O439" s="64" t="str">
        <f t="shared" si="65"/>
        <v xml:space="preserve"> </v>
      </c>
      <c r="Q439" s="97">
        <f t="shared" si="66"/>
        <v>0</v>
      </c>
      <c r="R439" s="96">
        <f t="shared" si="67"/>
        <v>0</v>
      </c>
      <c r="T439" s="67" t="str">
        <f>IF($B439&lt;&gt;"",INDEX(DataOB[],FirstRow+ROW()-7,MATCH(T$6,DataOB[#Headers],0)),"")</f>
        <v/>
      </c>
      <c r="U439" s="67" t="str">
        <f>IF($B439&lt;&gt;"",INDEX(DataOB[],FirstRow+ROW()-7,MATCH(U$6,DataOB[#Headers],0)),"")</f>
        <v/>
      </c>
      <c r="V439" s="67" t="str">
        <f>IF($B439&lt;&gt;"",INDEX(DataOB[],FirstRow+ROW()-7,MATCH(V$6,DataOB[#Headers],0)),"")</f>
        <v/>
      </c>
      <c r="W439" s="67" t="str">
        <f>IF($B439&lt;&gt;"",INDEX(DataOB[],FirstRow+ROW()-7,MATCH(W$6,DataOB[#Headers],0)),"")</f>
        <v/>
      </c>
      <c r="X439" s="67" t="str">
        <f>IF($B439&lt;&gt;"",INDEX(DataOB[],FirstRow+ROW()-7,MATCH(X$6,DataOB[#Headers],0)),"")</f>
        <v/>
      </c>
      <c r="Y439" s="67" t="str">
        <f>IF($B439&lt;&gt;"",INDEX(DataOB[],FirstRow+ROW()-7,MATCH(Y$6,DataOB[#Headers],0)),"")</f>
        <v/>
      </c>
      <c r="Z439" s="67" t="str">
        <f>IF($B439&lt;&gt;"",INDEX(DataOB[],FirstRow+ROW()-7,MATCH(Z$6,DataOB[#Headers],0)),"")</f>
        <v/>
      </c>
      <c r="AA439" s="67" t="str">
        <f>IF($B439&lt;&gt;"",INDEX(DataOB[],FirstRow+ROW()-7,MATCH(AA$6,DataOB[#Headers],0)),"")</f>
        <v/>
      </c>
      <c r="AB439" s="67" t="str">
        <f>IF($B439&lt;&gt;"",INDEX(DataOB[],FirstRow+ROW()-7,MATCH(AB$6,DataOB[#Headers],0)),"")</f>
        <v/>
      </c>
      <c r="AC439" s="67" t="str">
        <f>IF($B439&lt;&gt;"",INDEX(DataOB[],FirstRow+ROW()-7,MATCH(AC$6,DataOB[#Headers],0)),"")</f>
        <v/>
      </c>
      <c r="AD439" s="67" t="str">
        <f>IF($B439&lt;&gt;"",INDEX(DataOB[],FirstRow+ROW()-7,MATCH(AD$6,DataOB[#Headers],0)),"")</f>
        <v/>
      </c>
      <c r="AE439" s="67" t="str">
        <f>IF($B439&lt;&gt;"",INDEX(DataOB[],FirstRow+ROW()-7,MATCH(AE$6,DataOB[#Headers],0)),"")</f>
        <v/>
      </c>
      <c r="AF439" s="26">
        <f t="shared" si="68"/>
        <v>0</v>
      </c>
      <c r="AG439" s="31">
        <f>SUM($T439:T439)</f>
        <v>0</v>
      </c>
      <c r="AH439" s="31">
        <f>SUM($T439:U439)</f>
        <v>0</v>
      </c>
      <c r="AI439" s="31">
        <f>SUM($T439:V439)</f>
        <v>0</v>
      </c>
      <c r="AJ439" s="31">
        <f>SUM($T439:W439)</f>
        <v>0</v>
      </c>
      <c r="AK439" s="31">
        <f>SUM($T439:X439)</f>
        <v>0</v>
      </c>
      <c r="AL439" s="31">
        <f>SUM($T439:Y439)</f>
        <v>0</v>
      </c>
      <c r="AM439" s="31">
        <f>SUM($T439:Z439)</f>
        <v>0</v>
      </c>
      <c r="AN439" s="31">
        <f>SUM($T439:AA439)</f>
        <v>0</v>
      </c>
      <c r="AO439" s="31">
        <f>SUM($T439:AB439)</f>
        <v>0</v>
      </c>
      <c r="AP439" s="31">
        <f>SUM($T439:AC439)</f>
        <v>0</v>
      </c>
      <c r="AQ439" s="31">
        <f>SUM($T439:AD439)</f>
        <v>0</v>
      </c>
      <c r="AR439" s="31">
        <f>SUM($T439:AE439)</f>
        <v>0</v>
      </c>
      <c r="AS439" s="27">
        <f t="shared" si="69"/>
        <v>0</v>
      </c>
    </row>
    <row r="440" spans="2:45">
      <c r="B440" s="102" t="str">
        <f>IF(ROW()-6&gt;NumCostCenter,"",IF(CostCenter&lt;&gt;"ALL",CostCenter,DATA_LF2!B438))</f>
        <v/>
      </c>
      <c r="C440" s="153" t="str">
        <f>IF($B440&lt;&gt;"",INDEX(DataOB[],FirstRow+ROW()-7,2),"")</f>
        <v/>
      </c>
      <c r="D440" s="66" t="str">
        <f>IF($B440&lt;&gt;"",INDEX(DataOB[],FirstRow+ROW()-7,3),"")</f>
        <v/>
      </c>
      <c r="E440" s="103" t="str">
        <f>IF($B440&lt;&gt;"",INDEX(DataOB[],FirstRow+ROW()-7,6),"")</f>
        <v/>
      </c>
      <c r="F440" s="103" t="str">
        <f>IF($B440&lt;&gt;"",INDEX(DataOB[],FirstRow+ROW()-7,5),"")</f>
        <v/>
      </c>
      <c r="G440" s="58">
        <f>IF($B440&lt;&gt;"",SUMIFS(DataAct_tbl[AMOUNT],DataAct_tbl[BG CODE],Detail!$D440,DataAct_tbl[MONTH],LEFT(MonthName,3),DataAct_tbl[Dept code],$B440),0)</f>
        <v>0</v>
      </c>
      <c r="H440" s="31" t="str">
        <f t="shared" si="61"/>
        <v/>
      </c>
      <c r="I440" s="28" t="str">
        <f t="shared" si="62"/>
        <v/>
      </c>
      <c r="J440" s="32" t="str">
        <f t="shared" si="63"/>
        <v/>
      </c>
      <c r="K440" s="86"/>
      <c r="L440" s="62">
        <f>IF($B440&lt;&gt;"",SUMIFS(DataAct_tbl[AMOUNT],DataAct_tbl[BG CODE],Detail!$D440,DataAct_tbl[Check Range],"=true",DataAct_tbl[Dept code],$B440),0)</f>
        <v>0</v>
      </c>
      <c r="M440" s="63">
        <f>INDEX($AG$7:$AR$1005,ROW()-6,MATCH(MTD,$AG$6:$AR$6,0))</f>
        <v>0</v>
      </c>
      <c r="N440" s="34">
        <f t="shared" si="64"/>
        <v>0</v>
      </c>
      <c r="O440" s="64" t="str">
        <f t="shared" si="65"/>
        <v xml:space="preserve"> </v>
      </c>
      <c r="Q440" s="97">
        <f t="shared" si="66"/>
        <v>0</v>
      </c>
      <c r="R440" s="96">
        <f t="shared" si="67"/>
        <v>0</v>
      </c>
      <c r="T440" s="67" t="str">
        <f>IF($B440&lt;&gt;"",INDEX(DataOB[],FirstRow+ROW()-7,MATCH(T$6,DataOB[#Headers],0)),"")</f>
        <v/>
      </c>
      <c r="U440" s="67" t="str">
        <f>IF($B440&lt;&gt;"",INDEX(DataOB[],FirstRow+ROW()-7,MATCH(U$6,DataOB[#Headers],0)),"")</f>
        <v/>
      </c>
      <c r="V440" s="67" t="str">
        <f>IF($B440&lt;&gt;"",INDEX(DataOB[],FirstRow+ROW()-7,MATCH(V$6,DataOB[#Headers],0)),"")</f>
        <v/>
      </c>
      <c r="W440" s="67" t="str">
        <f>IF($B440&lt;&gt;"",INDEX(DataOB[],FirstRow+ROW()-7,MATCH(W$6,DataOB[#Headers],0)),"")</f>
        <v/>
      </c>
      <c r="X440" s="67" t="str">
        <f>IF($B440&lt;&gt;"",INDEX(DataOB[],FirstRow+ROW()-7,MATCH(X$6,DataOB[#Headers],0)),"")</f>
        <v/>
      </c>
      <c r="Y440" s="67" t="str">
        <f>IF($B440&lt;&gt;"",INDEX(DataOB[],FirstRow+ROW()-7,MATCH(Y$6,DataOB[#Headers],0)),"")</f>
        <v/>
      </c>
      <c r="Z440" s="67" t="str">
        <f>IF($B440&lt;&gt;"",INDEX(DataOB[],FirstRow+ROW()-7,MATCH(Z$6,DataOB[#Headers],0)),"")</f>
        <v/>
      </c>
      <c r="AA440" s="67" t="str">
        <f>IF($B440&lt;&gt;"",INDEX(DataOB[],FirstRow+ROW()-7,MATCH(AA$6,DataOB[#Headers],0)),"")</f>
        <v/>
      </c>
      <c r="AB440" s="67" t="str">
        <f>IF($B440&lt;&gt;"",INDEX(DataOB[],FirstRow+ROW()-7,MATCH(AB$6,DataOB[#Headers],0)),"")</f>
        <v/>
      </c>
      <c r="AC440" s="67" t="str">
        <f>IF($B440&lt;&gt;"",INDEX(DataOB[],FirstRow+ROW()-7,MATCH(AC$6,DataOB[#Headers],0)),"")</f>
        <v/>
      </c>
      <c r="AD440" s="67" t="str">
        <f>IF($B440&lt;&gt;"",INDEX(DataOB[],FirstRow+ROW()-7,MATCH(AD$6,DataOB[#Headers],0)),"")</f>
        <v/>
      </c>
      <c r="AE440" s="67" t="str">
        <f>IF($B440&lt;&gt;"",INDEX(DataOB[],FirstRow+ROW()-7,MATCH(AE$6,DataOB[#Headers],0)),"")</f>
        <v/>
      </c>
      <c r="AF440" s="26">
        <f t="shared" si="68"/>
        <v>0</v>
      </c>
      <c r="AG440" s="31">
        <f>SUM($T440:T440)</f>
        <v>0</v>
      </c>
      <c r="AH440" s="31">
        <f>SUM($T440:U440)</f>
        <v>0</v>
      </c>
      <c r="AI440" s="31">
        <f>SUM($T440:V440)</f>
        <v>0</v>
      </c>
      <c r="AJ440" s="31">
        <f>SUM($T440:W440)</f>
        <v>0</v>
      </c>
      <c r="AK440" s="31">
        <f>SUM($T440:X440)</f>
        <v>0</v>
      </c>
      <c r="AL440" s="31">
        <f>SUM($T440:Y440)</f>
        <v>0</v>
      </c>
      <c r="AM440" s="31">
        <f>SUM($T440:Z440)</f>
        <v>0</v>
      </c>
      <c r="AN440" s="31">
        <f>SUM($T440:AA440)</f>
        <v>0</v>
      </c>
      <c r="AO440" s="31">
        <f>SUM($T440:AB440)</f>
        <v>0</v>
      </c>
      <c r="AP440" s="31">
        <f>SUM($T440:AC440)</f>
        <v>0</v>
      </c>
      <c r="AQ440" s="31">
        <f>SUM($T440:AD440)</f>
        <v>0</v>
      </c>
      <c r="AR440" s="31">
        <f>SUM($T440:AE440)</f>
        <v>0</v>
      </c>
      <c r="AS440" s="27">
        <f t="shared" si="69"/>
        <v>0</v>
      </c>
    </row>
    <row r="441" spans="2:45">
      <c r="B441" s="102" t="str">
        <f>IF(ROW()-6&gt;NumCostCenter,"",IF(CostCenter&lt;&gt;"ALL",CostCenter,DATA_LF2!B439))</f>
        <v/>
      </c>
      <c r="C441" s="153" t="str">
        <f>IF($B441&lt;&gt;"",INDEX(DataOB[],FirstRow+ROW()-7,2),"")</f>
        <v/>
      </c>
      <c r="D441" s="66" t="str">
        <f>IF($B441&lt;&gt;"",INDEX(DataOB[],FirstRow+ROW()-7,3),"")</f>
        <v/>
      </c>
      <c r="E441" s="103" t="str">
        <f>IF($B441&lt;&gt;"",INDEX(DataOB[],FirstRow+ROW()-7,6),"")</f>
        <v/>
      </c>
      <c r="F441" s="103" t="str">
        <f>IF($B441&lt;&gt;"",INDEX(DataOB[],FirstRow+ROW()-7,5),"")</f>
        <v/>
      </c>
      <c r="G441" s="58">
        <f>IF($B441&lt;&gt;"",SUMIFS(DataAct_tbl[AMOUNT],DataAct_tbl[BG CODE],Detail!$D441,DataAct_tbl[MONTH],LEFT(MonthName,3),DataAct_tbl[Dept code],$B441),0)</f>
        <v>0</v>
      </c>
      <c r="H441" s="31" t="str">
        <f t="shared" si="61"/>
        <v/>
      </c>
      <c r="I441" s="28" t="str">
        <f t="shared" si="62"/>
        <v/>
      </c>
      <c r="J441" s="32" t="str">
        <f t="shared" si="63"/>
        <v/>
      </c>
      <c r="K441" s="86"/>
      <c r="L441" s="62">
        <f>IF($B441&lt;&gt;"",SUMIFS(DataAct_tbl[AMOUNT],DataAct_tbl[BG CODE],Detail!$D441,DataAct_tbl[Check Range],"=true",DataAct_tbl[Dept code],$B441),0)</f>
        <v>0</v>
      </c>
      <c r="M441" s="63">
        <f>INDEX($AG$7:$AR$1005,ROW()-6,MATCH(MTD,$AG$6:$AR$6,0))</f>
        <v>0</v>
      </c>
      <c r="N441" s="34">
        <f t="shared" si="64"/>
        <v>0</v>
      </c>
      <c r="O441" s="64" t="str">
        <f t="shared" si="65"/>
        <v xml:space="preserve"> </v>
      </c>
      <c r="Q441" s="97">
        <f t="shared" si="66"/>
        <v>0</v>
      </c>
      <c r="R441" s="96">
        <f t="shared" si="67"/>
        <v>0</v>
      </c>
      <c r="T441" s="67" t="str">
        <f>IF($B441&lt;&gt;"",INDEX(DataOB[],FirstRow+ROW()-7,MATCH(T$6,DataOB[#Headers],0)),"")</f>
        <v/>
      </c>
      <c r="U441" s="67" t="str">
        <f>IF($B441&lt;&gt;"",INDEX(DataOB[],FirstRow+ROW()-7,MATCH(U$6,DataOB[#Headers],0)),"")</f>
        <v/>
      </c>
      <c r="V441" s="67" t="str">
        <f>IF($B441&lt;&gt;"",INDEX(DataOB[],FirstRow+ROW()-7,MATCH(V$6,DataOB[#Headers],0)),"")</f>
        <v/>
      </c>
      <c r="W441" s="67" t="str">
        <f>IF($B441&lt;&gt;"",INDEX(DataOB[],FirstRow+ROW()-7,MATCH(W$6,DataOB[#Headers],0)),"")</f>
        <v/>
      </c>
      <c r="X441" s="67" t="str">
        <f>IF($B441&lt;&gt;"",INDEX(DataOB[],FirstRow+ROW()-7,MATCH(X$6,DataOB[#Headers],0)),"")</f>
        <v/>
      </c>
      <c r="Y441" s="67" t="str">
        <f>IF($B441&lt;&gt;"",INDEX(DataOB[],FirstRow+ROW()-7,MATCH(Y$6,DataOB[#Headers],0)),"")</f>
        <v/>
      </c>
      <c r="Z441" s="67" t="str">
        <f>IF($B441&lt;&gt;"",INDEX(DataOB[],FirstRow+ROW()-7,MATCH(Z$6,DataOB[#Headers],0)),"")</f>
        <v/>
      </c>
      <c r="AA441" s="67" t="str">
        <f>IF($B441&lt;&gt;"",INDEX(DataOB[],FirstRow+ROW()-7,MATCH(AA$6,DataOB[#Headers],0)),"")</f>
        <v/>
      </c>
      <c r="AB441" s="67" t="str">
        <f>IF($B441&lt;&gt;"",INDEX(DataOB[],FirstRow+ROW()-7,MATCH(AB$6,DataOB[#Headers],0)),"")</f>
        <v/>
      </c>
      <c r="AC441" s="67" t="str">
        <f>IF($B441&lt;&gt;"",INDEX(DataOB[],FirstRow+ROW()-7,MATCH(AC$6,DataOB[#Headers],0)),"")</f>
        <v/>
      </c>
      <c r="AD441" s="67" t="str">
        <f>IF($B441&lt;&gt;"",INDEX(DataOB[],FirstRow+ROW()-7,MATCH(AD$6,DataOB[#Headers],0)),"")</f>
        <v/>
      </c>
      <c r="AE441" s="67" t="str">
        <f>IF($B441&lt;&gt;"",INDEX(DataOB[],FirstRow+ROW()-7,MATCH(AE$6,DataOB[#Headers],0)),"")</f>
        <v/>
      </c>
      <c r="AF441" s="26">
        <f t="shared" si="68"/>
        <v>0</v>
      </c>
      <c r="AG441" s="31">
        <f>SUM($T441:T441)</f>
        <v>0</v>
      </c>
      <c r="AH441" s="31">
        <f>SUM($T441:U441)</f>
        <v>0</v>
      </c>
      <c r="AI441" s="31">
        <f>SUM($T441:V441)</f>
        <v>0</v>
      </c>
      <c r="AJ441" s="31">
        <f>SUM($T441:W441)</f>
        <v>0</v>
      </c>
      <c r="AK441" s="31">
        <f>SUM($T441:X441)</f>
        <v>0</v>
      </c>
      <c r="AL441" s="31">
        <f>SUM($T441:Y441)</f>
        <v>0</v>
      </c>
      <c r="AM441" s="31">
        <f>SUM($T441:Z441)</f>
        <v>0</v>
      </c>
      <c r="AN441" s="31">
        <f>SUM($T441:AA441)</f>
        <v>0</v>
      </c>
      <c r="AO441" s="31">
        <f>SUM($T441:AB441)</f>
        <v>0</v>
      </c>
      <c r="AP441" s="31">
        <f>SUM($T441:AC441)</f>
        <v>0</v>
      </c>
      <c r="AQ441" s="31">
        <f>SUM($T441:AD441)</f>
        <v>0</v>
      </c>
      <c r="AR441" s="31">
        <f>SUM($T441:AE441)</f>
        <v>0</v>
      </c>
      <c r="AS441" s="27">
        <f t="shared" si="69"/>
        <v>0</v>
      </c>
    </row>
    <row r="442" spans="2:45">
      <c r="B442" s="102" t="str">
        <f>IF(ROW()-6&gt;NumCostCenter,"",IF(CostCenter&lt;&gt;"ALL",CostCenter,DATA_LF2!B440))</f>
        <v/>
      </c>
      <c r="C442" s="153" t="str">
        <f>IF($B442&lt;&gt;"",INDEX(DataOB[],FirstRow+ROW()-7,2),"")</f>
        <v/>
      </c>
      <c r="D442" s="66" t="str">
        <f>IF($B442&lt;&gt;"",INDEX(DataOB[],FirstRow+ROW()-7,3),"")</f>
        <v/>
      </c>
      <c r="E442" s="103" t="str">
        <f>IF($B442&lt;&gt;"",INDEX(DataOB[],FirstRow+ROW()-7,6),"")</f>
        <v/>
      </c>
      <c r="F442" s="103" t="str">
        <f>IF($B442&lt;&gt;"",INDEX(DataOB[],FirstRow+ROW()-7,5),"")</f>
        <v/>
      </c>
      <c r="G442" s="58">
        <f>IF($B442&lt;&gt;"",SUMIFS(DataAct_tbl[AMOUNT],DataAct_tbl[BG CODE],Detail!$D442,DataAct_tbl[MONTH],LEFT(MonthName,3),DataAct_tbl[Dept code],$B442),0)</f>
        <v>0</v>
      </c>
      <c r="H442" s="31" t="str">
        <f t="shared" si="61"/>
        <v/>
      </c>
      <c r="I442" s="28" t="str">
        <f t="shared" si="62"/>
        <v/>
      </c>
      <c r="J442" s="32" t="str">
        <f t="shared" si="63"/>
        <v/>
      </c>
      <c r="K442" s="86"/>
      <c r="L442" s="62">
        <f>IF($B442&lt;&gt;"",SUMIFS(DataAct_tbl[AMOUNT],DataAct_tbl[BG CODE],Detail!$D442,DataAct_tbl[Check Range],"=true",DataAct_tbl[Dept code],$B442),0)</f>
        <v>0</v>
      </c>
      <c r="M442" s="63">
        <f>INDEX($AG$7:$AR$1005,ROW()-6,MATCH(MTD,$AG$6:$AR$6,0))</f>
        <v>0</v>
      </c>
      <c r="N442" s="34">
        <f t="shared" si="64"/>
        <v>0</v>
      </c>
      <c r="O442" s="64" t="str">
        <f t="shared" si="65"/>
        <v xml:space="preserve"> </v>
      </c>
      <c r="Q442" s="97">
        <f t="shared" si="66"/>
        <v>0</v>
      </c>
      <c r="R442" s="96">
        <f t="shared" si="67"/>
        <v>0</v>
      </c>
      <c r="T442" s="67" t="str">
        <f>IF($B442&lt;&gt;"",INDEX(DataOB[],FirstRow+ROW()-7,MATCH(T$6,DataOB[#Headers],0)),"")</f>
        <v/>
      </c>
      <c r="U442" s="67" t="str">
        <f>IF($B442&lt;&gt;"",INDEX(DataOB[],FirstRow+ROW()-7,MATCH(U$6,DataOB[#Headers],0)),"")</f>
        <v/>
      </c>
      <c r="V442" s="67" t="str">
        <f>IF($B442&lt;&gt;"",INDEX(DataOB[],FirstRow+ROW()-7,MATCH(V$6,DataOB[#Headers],0)),"")</f>
        <v/>
      </c>
      <c r="W442" s="67" t="str">
        <f>IF($B442&lt;&gt;"",INDEX(DataOB[],FirstRow+ROW()-7,MATCH(W$6,DataOB[#Headers],0)),"")</f>
        <v/>
      </c>
      <c r="X442" s="67" t="str">
        <f>IF($B442&lt;&gt;"",INDEX(DataOB[],FirstRow+ROW()-7,MATCH(X$6,DataOB[#Headers],0)),"")</f>
        <v/>
      </c>
      <c r="Y442" s="67" t="str">
        <f>IF($B442&lt;&gt;"",INDEX(DataOB[],FirstRow+ROW()-7,MATCH(Y$6,DataOB[#Headers],0)),"")</f>
        <v/>
      </c>
      <c r="Z442" s="67" t="str">
        <f>IF($B442&lt;&gt;"",INDEX(DataOB[],FirstRow+ROW()-7,MATCH(Z$6,DataOB[#Headers],0)),"")</f>
        <v/>
      </c>
      <c r="AA442" s="67" t="str">
        <f>IF($B442&lt;&gt;"",INDEX(DataOB[],FirstRow+ROW()-7,MATCH(AA$6,DataOB[#Headers],0)),"")</f>
        <v/>
      </c>
      <c r="AB442" s="67" t="str">
        <f>IF($B442&lt;&gt;"",INDEX(DataOB[],FirstRow+ROW()-7,MATCH(AB$6,DataOB[#Headers],0)),"")</f>
        <v/>
      </c>
      <c r="AC442" s="67" t="str">
        <f>IF($B442&lt;&gt;"",INDEX(DataOB[],FirstRow+ROW()-7,MATCH(AC$6,DataOB[#Headers],0)),"")</f>
        <v/>
      </c>
      <c r="AD442" s="67" t="str">
        <f>IF($B442&lt;&gt;"",INDEX(DataOB[],FirstRow+ROW()-7,MATCH(AD$6,DataOB[#Headers],0)),"")</f>
        <v/>
      </c>
      <c r="AE442" s="67" t="str">
        <f>IF($B442&lt;&gt;"",INDEX(DataOB[],FirstRow+ROW()-7,MATCH(AE$6,DataOB[#Headers],0)),"")</f>
        <v/>
      </c>
      <c r="AF442" s="26">
        <f t="shared" si="68"/>
        <v>0</v>
      </c>
      <c r="AG442" s="31">
        <f>SUM($T442:T442)</f>
        <v>0</v>
      </c>
      <c r="AH442" s="31">
        <f>SUM($T442:U442)</f>
        <v>0</v>
      </c>
      <c r="AI442" s="31">
        <f>SUM($T442:V442)</f>
        <v>0</v>
      </c>
      <c r="AJ442" s="31">
        <f>SUM($T442:W442)</f>
        <v>0</v>
      </c>
      <c r="AK442" s="31">
        <f>SUM($T442:X442)</f>
        <v>0</v>
      </c>
      <c r="AL442" s="31">
        <f>SUM($T442:Y442)</f>
        <v>0</v>
      </c>
      <c r="AM442" s="31">
        <f>SUM($T442:Z442)</f>
        <v>0</v>
      </c>
      <c r="AN442" s="31">
        <f>SUM($T442:AA442)</f>
        <v>0</v>
      </c>
      <c r="AO442" s="31">
        <f>SUM($T442:AB442)</f>
        <v>0</v>
      </c>
      <c r="AP442" s="31">
        <f>SUM($T442:AC442)</f>
        <v>0</v>
      </c>
      <c r="AQ442" s="31">
        <f>SUM($T442:AD442)</f>
        <v>0</v>
      </c>
      <c r="AR442" s="31">
        <f>SUM($T442:AE442)</f>
        <v>0</v>
      </c>
      <c r="AS442" s="27">
        <f t="shared" si="69"/>
        <v>0</v>
      </c>
    </row>
    <row r="443" spans="2:45">
      <c r="B443" s="102" t="str">
        <f>IF(ROW()-6&gt;NumCostCenter,"",IF(CostCenter&lt;&gt;"ALL",CostCenter,DATA_LF2!B441))</f>
        <v/>
      </c>
      <c r="C443" s="153" t="str">
        <f>IF($B443&lt;&gt;"",INDEX(DataOB[],FirstRow+ROW()-7,2),"")</f>
        <v/>
      </c>
      <c r="D443" s="66" t="str">
        <f>IF($B443&lt;&gt;"",INDEX(DataOB[],FirstRow+ROW()-7,3),"")</f>
        <v/>
      </c>
      <c r="E443" s="103" t="str">
        <f>IF($B443&lt;&gt;"",INDEX(DataOB[],FirstRow+ROW()-7,6),"")</f>
        <v/>
      </c>
      <c r="F443" s="103" t="str">
        <f>IF($B443&lt;&gt;"",INDEX(DataOB[],FirstRow+ROW()-7,5),"")</f>
        <v/>
      </c>
      <c r="G443" s="58">
        <f>IF($B443&lt;&gt;"",SUMIFS(DataAct_tbl[AMOUNT],DataAct_tbl[BG CODE],Detail!$D443,DataAct_tbl[MONTH],LEFT(MonthName,3),DataAct_tbl[Dept code],$B443),0)</f>
        <v>0</v>
      </c>
      <c r="H443" s="31" t="str">
        <f t="shared" si="61"/>
        <v/>
      </c>
      <c r="I443" s="28" t="str">
        <f t="shared" si="62"/>
        <v/>
      </c>
      <c r="J443" s="32" t="str">
        <f t="shared" si="63"/>
        <v/>
      </c>
      <c r="K443" s="86"/>
      <c r="L443" s="62">
        <f>IF($B443&lt;&gt;"",SUMIFS(DataAct_tbl[AMOUNT],DataAct_tbl[BG CODE],Detail!$D443,DataAct_tbl[Check Range],"=true",DataAct_tbl[Dept code],$B443),0)</f>
        <v>0</v>
      </c>
      <c r="M443" s="63">
        <f>INDEX($AG$7:$AR$1005,ROW()-6,MATCH(MTD,$AG$6:$AR$6,0))</f>
        <v>0</v>
      </c>
      <c r="N443" s="34">
        <f t="shared" si="64"/>
        <v>0</v>
      </c>
      <c r="O443" s="64" t="str">
        <f t="shared" si="65"/>
        <v xml:space="preserve"> </v>
      </c>
      <c r="Q443" s="97">
        <f t="shared" si="66"/>
        <v>0</v>
      </c>
      <c r="R443" s="96">
        <f t="shared" si="67"/>
        <v>0</v>
      </c>
      <c r="T443" s="67" t="str">
        <f>IF($B443&lt;&gt;"",INDEX(DataOB[],FirstRow+ROW()-7,MATCH(T$6,DataOB[#Headers],0)),"")</f>
        <v/>
      </c>
      <c r="U443" s="67" t="str">
        <f>IF($B443&lt;&gt;"",INDEX(DataOB[],FirstRow+ROW()-7,MATCH(U$6,DataOB[#Headers],0)),"")</f>
        <v/>
      </c>
      <c r="V443" s="67" t="str">
        <f>IF($B443&lt;&gt;"",INDEX(DataOB[],FirstRow+ROW()-7,MATCH(V$6,DataOB[#Headers],0)),"")</f>
        <v/>
      </c>
      <c r="W443" s="67" t="str">
        <f>IF($B443&lt;&gt;"",INDEX(DataOB[],FirstRow+ROW()-7,MATCH(W$6,DataOB[#Headers],0)),"")</f>
        <v/>
      </c>
      <c r="X443" s="67" t="str">
        <f>IF($B443&lt;&gt;"",INDEX(DataOB[],FirstRow+ROW()-7,MATCH(X$6,DataOB[#Headers],0)),"")</f>
        <v/>
      </c>
      <c r="Y443" s="67" t="str">
        <f>IF($B443&lt;&gt;"",INDEX(DataOB[],FirstRow+ROW()-7,MATCH(Y$6,DataOB[#Headers],0)),"")</f>
        <v/>
      </c>
      <c r="Z443" s="67" t="str">
        <f>IF($B443&lt;&gt;"",INDEX(DataOB[],FirstRow+ROW()-7,MATCH(Z$6,DataOB[#Headers],0)),"")</f>
        <v/>
      </c>
      <c r="AA443" s="67" t="str">
        <f>IF($B443&lt;&gt;"",INDEX(DataOB[],FirstRow+ROW()-7,MATCH(AA$6,DataOB[#Headers],0)),"")</f>
        <v/>
      </c>
      <c r="AB443" s="67" t="str">
        <f>IF($B443&lt;&gt;"",INDEX(DataOB[],FirstRow+ROW()-7,MATCH(AB$6,DataOB[#Headers],0)),"")</f>
        <v/>
      </c>
      <c r="AC443" s="67" t="str">
        <f>IF($B443&lt;&gt;"",INDEX(DataOB[],FirstRow+ROW()-7,MATCH(AC$6,DataOB[#Headers],0)),"")</f>
        <v/>
      </c>
      <c r="AD443" s="67" t="str">
        <f>IF($B443&lt;&gt;"",INDEX(DataOB[],FirstRow+ROW()-7,MATCH(AD$6,DataOB[#Headers],0)),"")</f>
        <v/>
      </c>
      <c r="AE443" s="67" t="str">
        <f>IF($B443&lt;&gt;"",INDEX(DataOB[],FirstRow+ROW()-7,MATCH(AE$6,DataOB[#Headers],0)),"")</f>
        <v/>
      </c>
      <c r="AF443" s="26">
        <f t="shared" si="68"/>
        <v>0</v>
      </c>
      <c r="AG443" s="31">
        <f>SUM($T443:T443)</f>
        <v>0</v>
      </c>
      <c r="AH443" s="31">
        <f>SUM($T443:U443)</f>
        <v>0</v>
      </c>
      <c r="AI443" s="31">
        <f>SUM($T443:V443)</f>
        <v>0</v>
      </c>
      <c r="AJ443" s="31">
        <f>SUM($T443:W443)</f>
        <v>0</v>
      </c>
      <c r="AK443" s="31">
        <f>SUM($T443:X443)</f>
        <v>0</v>
      </c>
      <c r="AL443" s="31">
        <f>SUM($T443:Y443)</f>
        <v>0</v>
      </c>
      <c r="AM443" s="31">
        <f>SUM($T443:Z443)</f>
        <v>0</v>
      </c>
      <c r="AN443" s="31">
        <f>SUM($T443:AA443)</f>
        <v>0</v>
      </c>
      <c r="AO443" s="31">
        <f>SUM($T443:AB443)</f>
        <v>0</v>
      </c>
      <c r="AP443" s="31">
        <f>SUM($T443:AC443)</f>
        <v>0</v>
      </c>
      <c r="AQ443" s="31">
        <f>SUM($T443:AD443)</f>
        <v>0</v>
      </c>
      <c r="AR443" s="31">
        <f>SUM($T443:AE443)</f>
        <v>0</v>
      </c>
      <c r="AS443" s="27">
        <f t="shared" si="69"/>
        <v>0</v>
      </c>
    </row>
    <row r="444" spans="2:45">
      <c r="B444" s="102" t="str">
        <f>IF(ROW()-6&gt;NumCostCenter,"",IF(CostCenter&lt;&gt;"ALL",CostCenter,DATA_LF2!B442))</f>
        <v/>
      </c>
      <c r="C444" s="153" t="str">
        <f>IF($B444&lt;&gt;"",INDEX(DataOB[],FirstRow+ROW()-7,2),"")</f>
        <v/>
      </c>
      <c r="D444" s="66" t="str">
        <f>IF($B444&lt;&gt;"",INDEX(DataOB[],FirstRow+ROW()-7,3),"")</f>
        <v/>
      </c>
      <c r="E444" s="103" t="str">
        <f>IF($B444&lt;&gt;"",INDEX(DataOB[],FirstRow+ROW()-7,6),"")</f>
        <v/>
      </c>
      <c r="F444" s="103" t="str">
        <f>IF($B444&lt;&gt;"",INDEX(DataOB[],FirstRow+ROW()-7,5),"")</f>
        <v/>
      </c>
      <c r="G444" s="58">
        <f>IF($B444&lt;&gt;"",SUMIFS(DataAct_tbl[AMOUNT],DataAct_tbl[BG CODE],Detail!$D444,DataAct_tbl[MONTH],LEFT(MonthName,3),DataAct_tbl[Dept code],$B444),0)</f>
        <v>0</v>
      </c>
      <c r="H444" s="31" t="str">
        <f t="shared" si="61"/>
        <v/>
      </c>
      <c r="I444" s="28" t="str">
        <f t="shared" si="62"/>
        <v/>
      </c>
      <c r="J444" s="32" t="str">
        <f t="shared" si="63"/>
        <v/>
      </c>
      <c r="K444" s="86"/>
      <c r="L444" s="62">
        <f>IF($B444&lt;&gt;"",SUMIFS(DataAct_tbl[AMOUNT],DataAct_tbl[BG CODE],Detail!$D444,DataAct_tbl[Check Range],"=true",DataAct_tbl[Dept code],$B444),0)</f>
        <v>0</v>
      </c>
      <c r="M444" s="63">
        <f>INDEX($AG$7:$AR$1005,ROW()-6,MATCH(MTD,$AG$6:$AR$6,0))</f>
        <v>0</v>
      </c>
      <c r="N444" s="34">
        <f t="shared" si="64"/>
        <v>0</v>
      </c>
      <c r="O444" s="64" t="str">
        <f t="shared" si="65"/>
        <v xml:space="preserve"> </v>
      </c>
      <c r="Q444" s="97">
        <f t="shared" si="66"/>
        <v>0</v>
      </c>
      <c r="R444" s="96">
        <f t="shared" si="67"/>
        <v>0</v>
      </c>
      <c r="T444" s="67" t="str">
        <f>IF($B444&lt;&gt;"",INDEX(DataOB[],FirstRow+ROW()-7,MATCH(T$6,DataOB[#Headers],0)),"")</f>
        <v/>
      </c>
      <c r="U444" s="67" t="str">
        <f>IF($B444&lt;&gt;"",INDEX(DataOB[],FirstRow+ROW()-7,MATCH(U$6,DataOB[#Headers],0)),"")</f>
        <v/>
      </c>
      <c r="V444" s="67" t="str">
        <f>IF($B444&lt;&gt;"",INDEX(DataOB[],FirstRow+ROW()-7,MATCH(V$6,DataOB[#Headers],0)),"")</f>
        <v/>
      </c>
      <c r="W444" s="67" t="str">
        <f>IF($B444&lt;&gt;"",INDEX(DataOB[],FirstRow+ROW()-7,MATCH(W$6,DataOB[#Headers],0)),"")</f>
        <v/>
      </c>
      <c r="X444" s="67" t="str">
        <f>IF($B444&lt;&gt;"",INDEX(DataOB[],FirstRow+ROW()-7,MATCH(X$6,DataOB[#Headers],0)),"")</f>
        <v/>
      </c>
      <c r="Y444" s="67" t="str">
        <f>IF($B444&lt;&gt;"",INDEX(DataOB[],FirstRow+ROW()-7,MATCH(Y$6,DataOB[#Headers],0)),"")</f>
        <v/>
      </c>
      <c r="Z444" s="67" t="str">
        <f>IF($B444&lt;&gt;"",INDEX(DataOB[],FirstRow+ROW()-7,MATCH(Z$6,DataOB[#Headers],0)),"")</f>
        <v/>
      </c>
      <c r="AA444" s="67" t="str">
        <f>IF($B444&lt;&gt;"",INDEX(DataOB[],FirstRow+ROW()-7,MATCH(AA$6,DataOB[#Headers],0)),"")</f>
        <v/>
      </c>
      <c r="AB444" s="67" t="str">
        <f>IF($B444&lt;&gt;"",INDEX(DataOB[],FirstRow+ROW()-7,MATCH(AB$6,DataOB[#Headers],0)),"")</f>
        <v/>
      </c>
      <c r="AC444" s="67" t="str">
        <f>IF($B444&lt;&gt;"",INDEX(DataOB[],FirstRow+ROW()-7,MATCH(AC$6,DataOB[#Headers],0)),"")</f>
        <v/>
      </c>
      <c r="AD444" s="67" t="str">
        <f>IF($B444&lt;&gt;"",INDEX(DataOB[],FirstRow+ROW()-7,MATCH(AD$6,DataOB[#Headers],0)),"")</f>
        <v/>
      </c>
      <c r="AE444" s="67" t="str">
        <f>IF($B444&lt;&gt;"",INDEX(DataOB[],FirstRow+ROW()-7,MATCH(AE$6,DataOB[#Headers],0)),"")</f>
        <v/>
      </c>
      <c r="AF444" s="26">
        <f t="shared" si="68"/>
        <v>0</v>
      </c>
      <c r="AG444" s="31">
        <f>SUM($T444:T444)</f>
        <v>0</v>
      </c>
      <c r="AH444" s="31">
        <f>SUM($T444:U444)</f>
        <v>0</v>
      </c>
      <c r="AI444" s="31">
        <f>SUM($T444:V444)</f>
        <v>0</v>
      </c>
      <c r="AJ444" s="31">
        <f>SUM($T444:W444)</f>
        <v>0</v>
      </c>
      <c r="AK444" s="31">
        <f>SUM($T444:X444)</f>
        <v>0</v>
      </c>
      <c r="AL444" s="31">
        <f>SUM($T444:Y444)</f>
        <v>0</v>
      </c>
      <c r="AM444" s="31">
        <f>SUM($T444:Z444)</f>
        <v>0</v>
      </c>
      <c r="AN444" s="31">
        <f>SUM($T444:AA444)</f>
        <v>0</v>
      </c>
      <c r="AO444" s="31">
        <f>SUM($T444:AB444)</f>
        <v>0</v>
      </c>
      <c r="AP444" s="31">
        <f>SUM($T444:AC444)</f>
        <v>0</v>
      </c>
      <c r="AQ444" s="31">
        <f>SUM($T444:AD444)</f>
        <v>0</v>
      </c>
      <c r="AR444" s="31">
        <f>SUM($T444:AE444)</f>
        <v>0</v>
      </c>
      <c r="AS444" s="27">
        <f t="shared" si="69"/>
        <v>0</v>
      </c>
    </row>
    <row r="445" spans="2:45">
      <c r="B445" s="102" t="str">
        <f>IF(ROW()-6&gt;NumCostCenter,"",IF(CostCenter&lt;&gt;"ALL",CostCenter,DATA_LF2!B443))</f>
        <v/>
      </c>
      <c r="C445" s="153" t="str">
        <f>IF($B445&lt;&gt;"",INDEX(DataOB[],FirstRow+ROW()-7,2),"")</f>
        <v/>
      </c>
      <c r="D445" s="66" t="str">
        <f>IF($B445&lt;&gt;"",INDEX(DataOB[],FirstRow+ROW()-7,3),"")</f>
        <v/>
      </c>
      <c r="E445" s="103" t="str">
        <f>IF($B445&lt;&gt;"",INDEX(DataOB[],FirstRow+ROW()-7,6),"")</f>
        <v/>
      </c>
      <c r="F445" s="103" t="str">
        <f>IF($B445&lt;&gt;"",INDEX(DataOB[],FirstRow+ROW()-7,5),"")</f>
        <v/>
      </c>
      <c r="G445" s="58">
        <f>IF($B445&lt;&gt;"",SUMIFS(DataAct_tbl[AMOUNT],DataAct_tbl[BG CODE],Detail!$D445,DataAct_tbl[MONTH],LEFT(MonthName,3),DataAct_tbl[Dept code],$B445),0)</f>
        <v>0</v>
      </c>
      <c r="H445" s="31" t="str">
        <f t="shared" si="61"/>
        <v/>
      </c>
      <c r="I445" s="28" t="str">
        <f t="shared" si="62"/>
        <v/>
      </c>
      <c r="J445" s="32" t="str">
        <f t="shared" si="63"/>
        <v/>
      </c>
      <c r="K445" s="86"/>
      <c r="L445" s="62">
        <f>IF($B445&lt;&gt;"",SUMIFS(DataAct_tbl[AMOUNT],DataAct_tbl[BG CODE],Detail!$D445,DataAct_tbl[Check Range],"=true",DataAct_tbl[Dept code],$B445),0)</f>
        <v>0</v>
      </c>
      <c r="M445" s="63">
        <f>INDEX($AG$7:$AR$1005,ROW()-6,MATCH(MTD,$AG$6:$AR$6,0))</f>
        <v>0</v>
      </c>
      <c r="N445" s="34">
        <f t="shared" si="64"/>
        <v>0</v>
      </c>
      <c r="O445" s="64" t="str">
        <f t="shared" si="65"/>
        <v xml:space="preserve"> </v>
      </c>
      <c r="Q445" s="97">
        <f t="shared" si="66"/>
        <v>0</v>
      </c>
      <c r="R445" s="96">
        <f t="shared" si="67"/>
        <v>0</v>
      </c>
      <c r="T445" s="67" t="str">
        <f>IF($B445&lt;&gt;"",INDEX(DataOB[],FirstRow+ROW()-7,MATCH(T$6,DataOB[#Headers],0)),"")</f>
        <v/>
      </c>
      <c r="U445" s="67" t="str">
        <f>IF($B445&lt;&gt;"",INDEX(DataOB[],FirstRow+ROW()-7,MATCH(U$6,DataOB[#Headers],0)),"")</f>
        <v/>
      </c>
      <c r="V445" s="67" t="str">
        <f>IF($B445&lt;&gt;"",INDEX(DataOB[],FirstRow+ROW()-7,MATCH(V$6,DataOB[#Headers],0)),"")</f>
        <v/>
      </c>
      <c r="W445" s="67" t="str">
        <f>IF($B445&lt;&gt;"",INDEX(DataOB[],FirstRow+ROW()-7,MATCH(W$6,DataOB[#Headers],0)),"")</f>
        <v/>
      </c>
      <c r="X445" s="67" t="str">
        <f>IF($B445&lt;&gt;"",INDEX(DataOB[],FirstRow+ROW()-7,MATCH(X$6,DataOB[#Headers],0)),"")</f>
        <v/>
      </c>
      <c r="Y445" s="67" t="str">
        <f>IF($B445&lt;&gt;"",INDEX(DataOB[],FirstRow+ROW()-7,MATCH(Y$6,DataOB[#Headers],0)),"")</f>
        <v/>
      </c>
      <c r="Z445" s="67" t="str">
        <f>IF($B445&lt;&gt;"",INDEX(DataOB[],FirstRow+ROW()-7,MATCH(Z$6,DataOB[#Headers],0)),"")</f>
        <v/>
      </c>
      <c r="AA445" s="67" t="str">
        <f>IF($B445&lt;&gt;"",INDEX(DataOB[],FirstRow+ROW()-7,MATCH(AA$6,DataOB[#Headers],0)),"")</f>
        <v/>
      </c>
      <c r="AB445" s="67" t="str">
        <f>IF($B445&lt;&gt;"",INDEX(DataOB[],FirstRow+ROW()-7,MATCH(AB$6,DataOB[#Headers],0)),"")</f>
        <v/>
      </c>
      <c r="AC445" s="67" t="str">
        <f>IF($B445&lt;&gt;"",INDEX(DataOB[],FirstRow+ROW()-7,MATCH(AC$6,DataOB[#Headers],0)),"")</f>
        <v/>
      </c>
      <c r="AD445" s="67" t="str">
        <f>IF($B445&lt;&gt;"",INDEX(DataOB[],FirstRow+ROW()-7,MATCH(AD$6,DataOB[#Headers],0)),"")</f>
        <v/>
      </c>
      <c r="AE445" s="67" t="str">
        <f>IF($B445&lt;&gt;"",INDEX(DataOB[],FirstRow+ROW()-7,MATCH(AE$6,DataOB[#Headers],0)),"")</f>
        <v/>
      </c>
      <c r="AF445" s="26">
        <f t="shared" si="68"/>
        <v>0</v>
      </c>
      <c r="AG445" s="31">
        <f>SUM($T445:T445)</f>
        <v>0</v>
      </c>
      <c r="AH445" s="31">
        <f>SUM($T445:U445)</f>
        <v>0</v>
      </c>
      <c r="AI445" s="31">
        <f>SUM($T445:V445)</f>
        <v>0</v>
      </c>
      <c r="AJ445" s="31">
        <f>SUM($T445:W445)</f>
        <v>0</v>
      </c>
      <c r="AK445" s="31">
        <f>SUM($T445:X445)</f>
        <v>0</v>
      </c>
      <c r="AL445" s="31">
        <f>SUM($T445:Y445)</f>
        <v>0</v>
      </c>
      <c r="AM445" s="31">
        <f>SUM($T445:Z445)</f>
        <v>0</v>
      </c>
      <c r="AN445" s="31">
        <f>SUM($T445:AA445)</f>
        <v>0</v>
      </c>
      <c r="AO445" s="31">
        <f>SUM($T445:AB445)</f>
        <v>0</v>
      </c>
      <c r="AP445" s="31">
        <f>SUM($T445:AC445)</f>
        <v>0</v>
      </c>
      <c r="AQ445" s="31">
        <f>SUM($T445:AD445)</f>
        <v>0</v>
      </c>
      <c r="AR445" s="31">
        <f>SUM($T445:AE445)</f>
        <v>0</v>
      </c>
      <c r="AS445" s="27">
        <f t="shared" si="69"/>
        <v>0</v>
      </c>
    </row>
    <row r="446" spans="2:45">
      <c r="B446" s="102" t="str">
        <f>IF(ROW()-6&gt;NumCostCenter,"",IF(CostCenter&lt;&gt;"ALL",CostCenter,DATA_LF2!B444))</f>
        <v/>
      </c>
      <c r="C446" s="153" t="str">
        <f>IF($B446&lt;&gt;"",INDEX(DataOB[],FirstRow+ROW()-7,2),"")</f>
        <v/>
      </c>
      <c r="D446" s="66" t="str">
        <f>IF($B446&lt;&gt;"",INDEX(DataOB[],FirstRow+ROW()-7,3),"")</f>
        <v/>
      </c>
      <c r="E446" s="103" t="str">
        <f>IF($B446&lt;&gt;"",INDEX(DataOB[],FirstRow+ROW()-7,6),"")</f>
        <v/>
      </c>
      <c r="F446" s="103" t="str">
        <f>IF($B446&lt;&gt;"",INDEX(DataOB[],FirstRow+ROW()-7,5),"")</f>
        <v/>
      </c>
      <c r="G446" s="58">
        <f>IF($B446&lt;&gt;"",SUMIFS(DataAct_tbl[AMOUNT],DataAct_tbl[BG CODE],Detail!$D446,DataAct_tbl[MONTH],LEFT(MonthName,3),DataAct_tbl[Dept code],$B446),0)</f>
        <v>0</v>
      </c>
      <c r="H446" s="31" t="str">
        <f t="shared" si="61"/>
        <v/>
      </c>
      <c r="I446" s="28" t="str">
        <f t="shared" si="62"/>
        <v/>
      </c>
      <c r="J446" s="32" t="str">
        <f t="shared" si="63"/>
        <v/>
      </c>
      <c r="K446" s="86"/>
      <c r="L446" s="62">
        <f>IF($B446&lt;&gt;"",SUMIFS(DataAct_tbl[AMOUNT],DataAct_tbl[BG CODE],Detail!$D446,DataAct_tbl[Check Range],"=true",DataAct_tbl[Dept code],$B446),0)</f>
        <v>0</v>
      </c>
      <c r="M446" s="63">
        <f>INDEX($AG$7:$AR$1005,ROW()-6,MATCH(MTD,$AG$6:$AR$6,0))</f>
        <v>0</v>
      </c>
      <c r="N446" s="34">
        <f t="shared" si="64"/>
        <v>0</v>
      </c>
      <c r="O446" s="64" t="str">
        <f t="shared" si="65"/>
        <v xml:space="preserve"> </v>
      </c>
      <c r="Q446" s="97">
        <f t="shared" si="66"/>
        <v>0</v>
      </c>
      <c r="R446" s="96">
        <f t="shared" si="67"/>
        <v>0</v>
      </c>
      <c r="T446" s="67" t="str">
        <f>IF($B446&lt;&gt;"",INDEX(DataOB[],FirstRow+ROW()-7,MATCH(T$6,DataOB[#Headers],0)),"")</f>
        <v/>
      </c>
      <c r="U446" s="67" t="str">
        <f>IF($B446&lt;&gt;"",INDEX(DataOB[],FirstRow+ROW()-7,MATCH(U$6,DataOB[#Headers],0)),"")</f>
        <v/>
      </c>
      <c r="V446" s="67" t="str">
        <f>IF($B446&lt;&gt;"",INDEX(DataOB[],FirstRow+ROW()-7,MATCH(V$6,DataOB[#Headers],0)),"")</f>
        <v/>
      </c>
      <c r="W446" s="67" t="str">
        <f>IF($B446&lt;&gt;"",INDEX(DataOB[],FirstRow+ROW()-7,MATCH(W$6,DataOB[#Headers],0)),"")</f>
        <v/>
      </c>
      <c r="X446" s="67" t="str">
        <f>IF($B446&lt;&gt;"",INDEX(DataOB[],FirstRow+ROW()-7,MATCH(X$6,DataOB[#Headers],0)),"")</f>
        <v/>
      </c>
      <c r="Y446" s="67" t="str">
        <f>IF($B446&lt;&gt;"",INDEX(DataOB[],FirstRow+ROW()-7,MATCH(Y$6,DataOB[#Headers],0)),"")</f>
        <v/>
      </c>
      <c r="Z446" s="67" t="str">
        <f>IF($B446&lt;&gt;"",INDEX(DataOB[],FirstRow+ROW()-7,MATCH(Z$6,DataOB[#Headers],0)),"")</f>
        <v/>
      </c>
      <c r="AA446" s="67" t="str">
        <f>IF($B446&lt;&gt;"",INDEX(DataOB[],FirstRow+ROW()-7,MATCH(AA$6,DataOB[#Headers],0)),"")</f>
        <v/>
      </c>
      <c r="AB446" s="67" t="str">
        <f>IF($B446&lt;&gt;"",INDEX(DataOB[],FirstRow+ROW()-7,MATCH(AB$6,DataOB[#Headers],0)),"")</f>
        <v/>
      </c>
      <c r="AC446" s="67" t="str">
        <f>IF($B446&lt;&gt;"",INDEX(DataOB[],FirstRow+ROW()-7,MATCH(AC$6,DataOB[#Headers],0)),"")</f>
        <v/>
      </c>
      <c r="AD446" s="67" t="str">
        <f>IF($B446&lt;&gt;"",INDEX(DataOB[],FirstRow+ROW()-7,MATCH(AD$6,DataOB[#Headers],0)),"")</f>
        <v/>
      </c>
      <c r="AE446" s="67" t="str">
        <f>IF($B446&lt;&gt;"",INDEX(DataOB[],FirstRow+ROW()-7,MATCH(AE$6,DataOB[#Headers],0)),"")</f>
        <v/>
      </c>
      <c r="AF446" s="26">
        <f t="shared" si="68"/>
        <v>0</v>
      </c>
      <c r="AG446" s="31">
        <f>SUM($T446:T446)</f>
        <v>0</v>
      </c>
      <c r="AH446" s="31">
        <f>SUM($T446:U446)</f>
        <v>0</v>
      </c>
      <c r="AI446" s="31">
        <f>SUM($T446:V446)</f>
        <v>0</v>
      </c>
      <c r="AJ446" s="31">
        <f>SUM($T446:W446)</f>
        <v>0</v>
      </c>
      <c r="AK446" s="31">
        <f>SUM($T446:X446)</f>
        <v>0</v>
      </c>
      <c r="AL446" s="31">
        <f>SUM($T446:Y446)</f>
        <v>0</v>
      </c>
      <c r="AM446" s="31">
        <f>SUM($T446:Z446)</f>
        <v>0</v>
      </c>
      <c r="AN446" s="31">
        <f>SUM($T446:AA446)</f>
        <v>0</v>
      </c>
      <c r="AO446" s="31">
        <f>SUM($T446:AB446)</f>
        <v>0</v>
      </c>
      <c r="AP446" s="31">
        <f>SUM($T446:AC446)</f>
        <v>0</v>
      </c>
      <c r="AQ446" s="31">
        <f>SUM($T446:AD446)</f>
        <v>0</v>
      </c>
      <c r="AR446" s="31">
        <f>SUM($T446:AE446)</f>
        <v>0</v>
      </c>
      <c r="AS446" s="27">
        <f t="shared" si="69"/>
        <v>0</v>
      </c>
    </row>
    <row r="447" spans="2:45">
      <c r="B447" s="102" t="str">
        <f>IF(ROW()-6&gt;NumCostCenter,"",IF(CostCenter&lt;&gt;"ALL",CostCenter,DATA_LF2!B445))</f>
        <v/>
      </c>
      <c r="C447" s="153" t="str">
        <f>IF($B447&lt;&gt;"",INDEX(DataOB[],FirstRow+ROW()-7,2),"")</f>
        <v/>
      </c>
      <c r="D447" s="66" t="str">
        <f>IF($B447&lt;&gt;"",INDEX(DataOB[],FirstRow+ROW()-7,3),"")</f>
        <v/>
      </c>
      <c r="E447" s="103" t="str">
        <f>IF($B447&lt;&gt;"",INDEX(DataOB[],FirstRow+ROW()-7,6),"")</f>
        <v/>
      </c>
      <c r="F447" s="103" t="str">
        <f>IF($B447&lt;&gt;"",INDEX(DataOB[],FirstRow+ROW()-7,5),"")</f>
        <v/>
      </c>
      <c r="G447" s="58">
        <f>IF($B447&lt;&gt;"",SUMIFS(DataAct_tbl[AMOUNT],DataAct_tbl[BG CODE],Detail!$D447,DataAct_tbl[MONTH],LEFT(MonthName,3),DataAct_tbl[Dept code],$B447),0)</f>
        <v>0</v>
      </c>
      <c r="H447" s="31" t="str">
        <f t="shared" si="61"/>
        <v/>
      </c>
      <c r="I447" s="28" t="str">
        <f t="shared" si="62"/>
        <v/>
      </c>
      <c r="J447" s="32" t="str">
        <f t="shared" si="63"/>
        <v/>
      </c>
      <c r="K447" s="86"/>
      <c r="L447" s="62">
        <f>IF($B447&lt;&gt;"",SUMIFS(DataAct_tbl[AMOUNT],DataAct_tbl[BG CODE],Detail!$D447,DataAct_tbl[Check Range],"=true",DataAct_tbl[Dept code],$B447),0)</f>
        <v>0</v>
      </c>
      <c r="M447" s="63">
        <f>INDEX($AG$7:$AR$1005,ROW()-6,MATCH(MTD,$AG$6:$AR$6,0))</f>
        <v>0</v>
      </c>
      <c r="N447" s="34">
        <f t="shared" si="64"/>
        <v>0</v>
      </c>
      <c r="O447" s="64" t="str">
        <f t="shared" si="65"/>
        <v xml:space="preserve"> </v>
      </c>
      <c r="Q447" s="97">
        <f t="shared" si="66"/>
        <v>0</v>
      </c>
      <c r="R447" s="96">
        <f t="shared" si="67"/>
        <v>0</v>
      </c>
      <c r="T447" s="67" t="str">
        <f>IF($B447&lt;&gt;"",INDEX(DataOB[],FirstRow+ROW()-7,MATCH(T$6,DataOB[#Headers],0)),"")</f>
        <v/>
      </c>
      <c r="U447" s="67" t="str">
        <f>IF($B447&lt;&gt;"",INDEX(DataOB[],FirstRow+ROW()-7,MATCH(U$6,DataOB[#Headers],0)),"")</f>
        <v/>
      </c>
      <c r="V447" s="67" t="str">
        <f>IF($B447&lt;&gt;"",INDEX(DataOB[],FirstRow+ROW()-7,MATCH(V$6,DataOB[#Headers],0)),"")</f>
        <v/>
      </c>
      <c r="W447" s="67" t="str">
        <f>IF($B447&lt;&gt;"",INDEX(DataOB[],FirstRow+ROW()-7,MATCH(W$6,DataOB[#Headers],0)),"")</f>
        <v/>
      </c>
      <c r="X447" s="67" t="str">
        <f>IF($B447&lt;&gt;"",INDEX(DataOB[],FirstRow+ROW()-7,MATCH(X$6,DataOB[#Headers],0)),"")</f>
        <v/>
      </c>
      <c r="Y447" s="67" t="str">
        <f>IF($B447&lt;&gt;"",INDEX(DataOB[],FirstRow+ROW()-7,MATCH(Y$6,DataOB[#Headers],0)),"")</f>
        <v/>
      </c>
      <c r="Z447" s="67" t="str">
        <f>IF($B447&lt;&gt;"",INDEX(DataOB[],FirstRow+ROW()-7,MATCH(Z$6,DataOB[#Headers],0)),"")</f>
        <v/>
      </c>
      <c r="AA447" s="67" t="str">
        <f>IF($B447&lt;&gt;"",INDEX(DataOB[],FirstRow+ROW()-7,MATCH(AA$6,DataOB[#Headers],0)),"")</f>
        <v/>
      </c>
      <c r="AB447" s="67" t="str">
        <f>IF($B447&lt;&gt;"",INDEX(DataOB[],FirstRow+ROW()-7,MATCH(AB$6,DataOB[#Headers],0)),"")</f>
        <v/>
      </c>
      <c r="AC447" s="67" t="str">
        <f>IF($B447&lt;&gt;"",INDEX(DataOB[],FirstRow+ROW()-7,MATCH(AC$6,DataOB[#Headers],0)),"")</f>
        <v/>
      </c>
      <c r="AD447" s="67" t="str">
        <f>IF($B447&lt;&gt;"",INDEX(DataOB[],FirstRow+ROW()-7,MATCH(AD$6,DataOB[#Headers],0)),"")</f>
        <v/>
      </c>
      <c r="AE447" s="67" t="str">
        <f>IF($B447&lt;&gt;"",INDEX(DataOB[],FirstRow+ROW()-7,MATCH(AE$6,DataOB[#Headers],0)),"")</f>
        <v/>
      </c>
      <c r="AF447" s="26">
        <f t="shared" si="68"/>
        <v>0</v>
      </c>
      <c r="AG447" s="31">
        <f>SUM($T447:T447)</f>
        <v>0</v>
      </c>
      <c r="AH447" s="31">
        <f>SUM($T447:U447)</f>
        <v>0</v>
      </c>
      <c r="AI447" s="31">
        <f>SUM($T447:V447)</f>
        <v>0</v>
      </c>
      <c r="AJ447" s="31">
        <f>SUM($T447:W447)</f>
        <v>0</v>
      </c>
      <c r="AK447" s="31">
        <f>SUM($T447:X447)</f>
        <v>0</v>
      </c>
      <c r="AL447" s="31">
        <f>SUM($T447:Y447)</f>
        <v>0</v>
      </c>
      <c r="AM447" s="31">
        <f>SUM($T447:Z447)</f>
        <v>0</v>
      </c>
      <c r="AN447" s="31">
        <f>SUM($T447:AA447)</f>
        <v>0</v>
      </c>
      <c r="AO447" s="31">
        <f>SUM($T447:AB447)</f>
        <v>0</v>
      </c>
      <c r="AP447" s="31">
        <f>SUM($T447:AC447)</f>
        <v>0</v>
      </c>
      <c r="AQ447" s="31">
        <f>SUM($T447:AD447)</f>
        <v>0</v>
      </c>
      <c r="AR447" s="31">
        <f>SUM($T447:AE447)</f>
        <v>0</v>
      </c>
      <c r="AS447" s="27">
        <f t="shared" si="69"/>
        <v>0</v>
      </c>
    </row>
    <row r="448" spans="2:45">
      <c r="B448" s="102" t="str">
        <f>IF(ROW()-6&gt;NumCostCenter,"",IF(CostCenter&lt;&gt;"ALL",CostCenter,DATA_LF2!B446))</f>
        <v/>
      </c>
      <c r="C448" s="153" t="str">
        <f>IF($B448&lt;&gt;"",INDEX(DataOB[],FirstRow+ROW()-7,2),"")</f>
        <v/>
      </c>
      <c r="D448" s="66" t="str">
        <f>IF($B448&lt;&gt;"",INDEX(DataOB[],FirstRow+ROW()-7,3),"")</f>
        <v/>
      </c>
      <c r="E448" s="103" t="str">
        <f>IF($B448&lt;&gt;"",INDEX(DataOB[],FirstRow+ROW()-7,6),"")</f>
        <v/>
      </c>
      <c r="F448" s="103" t="str">
        <f>IF($B448&lt;&gt;"",INDEX(DataOB[],FirstRow+ROW()-7,5),"")</f>
        <v/>
      </c>
      <c r="G448" s="58">
        <f>IF($B448&lt;&gt;"",SUMIFS(DataAct_tbl[AMOUNT],DataAct_tbl[BG CODE],Detail!$D448,DataAct_tbl[MONTH],LEFT(MonthName,3),DataAct_tbl[Dept code],$B448),0)</f>
        <v>0</v>
      </c>
      <c r="H448" s="31" t="str">
        <f t="shared" si="61"/>
        <v/>
      </c>
      <c r="I448" s="28" t="str">
        <f t="shared" si="62"/>
        <v/>
      </c>
      <c r="J448" s="32" t="str">
        <f t="shared" si="63"/>
        <v/>
      </c>
      <c r="K448" s="86"/>
      <c r="L448" s="62">
        <f>IF($B448&lt;&gt;"",SUMIFS(DataAct_tbl[AMOUNT],DataAct_tbl[BG CODE],Detail!$D448,DataAct_tbl[Check Range],"=true",DataAct_tbl[Dept code],$B448),0)</f>
        <v>0</v>
      </c>
      <c r="M448" s="63">
        <f>INDEX($AG$7:$AR$1005,ROW()-6,MATCH(MTD,$AG$6:$AR$6,0))</f>
        <v>0</v>
      </c>
      <c r="N448" s="34">
        <f t="shared" si="64"/>
        <v>0</v>
      </c>
      <c r="O448" s="64" t="str">
        <f t="shared" si="65"/>
        <v xml:space="preserve"> </v>
      </c>
      <c r="Q448" s="97">
        <f t="shared" si="66"/>
        <v>0</v>
      </c>
      <c r="R448" s="96">
        <f t="shared" si="67"/>
        <v>0</v>
      </c>
      <c r="T448" s="67" t="str">
        <f>IF($B448&lt;&gt;"",INDEX(DataOB[],FirstRow+ROW()-7,MATCH(T$6,DataOB[#Headers],0)),"")</f>
        <v/>
      </c>
      <c r="U448" s="67" t="str">
        <f>IF($B448&lt;&gt;"",INDEX(DataOB[],FirstRow+ROW()-7,MATCH(U$6,DataOB[#Headers],0)),"")</f>
        <v/>
      </c>
      <c r="V448" s="67" t="str">
        <f>IF($B448&lt;&gt;"",INDEX(DataOB[],FirstRow+ROW()-7,MATCH(V$6,DataOB[#Headers],0)),"")</f>
        <v/>
      </c>
      <c r="W448" s="67" t="str">
        <f>IF($B448&lt;&gt;"",INDEX(DataOB[],FirstRow+ROW()-7,MATCH(W$6,DataOB[#Headers],0)),"")</f>
        <v/>
      </c>
      <c r="X448" s="67" t="str">
        <f>IF($B448&lt;&gt;"",INDEX(DataOB[],FirstRow+ROW()-7,MATCH(X$6,DataOB[#Headers],0)),"")</f>
        <v/>
      </c>
      <c r="Y448" s="67" t="str">
        <f>IF($B448&lt;&gt;"",INDEX(DataOB[],FirstRow+ROW()-7,MATCH(Y$6,DataOB[#Headers],0)),"")</f>
        <v/>
      </c>
      <c r="Z448" s="67" t="str">
        <f>IF($B448&lt;&gt;"",INDEX(DataOB[],FirstRow+ROW()-7,MATCH(Z$6,DataOB[#Headers],0)),"")</f>
        <v/>
      </c>
      <c r="AA448" s="67" t="str">
        <f>IF($B448&lt;&gt;"",INDEX(DataOB[],FirstRow+ROW()-7,MATCH(AA$6,DataOB[#Headers],0)),"")</f>
        <v/>
      </c>
      <c r="AB448" s="67" t="str">
        <f>IF($B448&lt;&gt;"",INDEX(DataOB[],FirstRow+ROW()-7,MATCH(AB$6,DataOB[#Headers],0)),"")</f>
        <v/>
      </c>
      <c r="AC448" s="67" t="str">
        <f>IF($B448&lt;&gt;"",INDEX(DataOB[],FirstRow+ROW()-7,MATCH(AC$6,DataOB[#Headers],0)),"")</f>
        <v/>
      </c>
      <c r="AD448" s="67" t="str">
        <f>IF($B448&lt;&gt;"",INDEX(DataOB[],FirstRow+ROW()-7,MATCH(AD$6,DataOB[#Headers],0)),"")</f>
        <v/>
      </c>
      <c r="AE448" s="67" t="str">
        <f>IF($B448&lt;&gt;"",INDEX(DataOB[],FirstRow+ROW()-7,MATCH(AE$6,DataOB[#Headers],0)),"")</f>
        <v/>
      </c>
      <c r="AF448" s="26">
        <f t="shared" si="68"/>
        <v>0</v>
      </c>
      <c r="AG448" s="31">
        <f>SUM($T448:T448)</f>
        <v>0</v>
      </c>
      <c r="AH448" s="31">
        <f>SUM($T448:U448)</f>
        <v>0</v>
      </c>
      <c r="AI448" s="31">
        <f>SUM($T448:V448)</f>
        <v>0</v>
      </c>
      <c r="AJ448" s="31">
        <f>SUM($T448:W448)</f>
        <v>0</v>
      </c>
      <c r="AK448" s="31">
        <f>SUM($T448:X448)</f>
        <v>0</v>
      </c>
      <c r="AL448" s="31">
        <f>SUM($T448:Y448)</f>
        <v>0</v>
      </c>
      <c r="AM448" s="31">
        <f>SUM($T448:Z448)</f>
        <v>0</v>
      </c>
      <c r="AN448" s="31">
        <f>SUM($T448:AA448)</f>
        <v>0</v>
      </c>
      <c r="AO448" s="31">
        <f>SUM($T448:AB448)</f>
        <v>0</v>
      </c>
      <c r="AP448" s="31">
        <f>SUM($T448:AC448)</f>
        <v>0</v>
      </c>
      <c r="AQ448" s="31">
        <f>SUM($T448:AD448)</f>
        <v>0</v>
      </c>
      <c r="AR448" s="31">
        <f>SUM($T448:AE448)</f>
        <v>0</v>
      </c>
      <c r="AS448" s="27">
        <f t="shared" si="69"/>
        <v>0</v>
      </c>
    </row>
    <row r="449" spans="2:45">
      <c r="B449" s="102" t="str">
        <f>IF(ROW()-6&gt;NumCostCenter,"",IF(CostCenter&lt;&gt;"ALL",CostCenter,DATA_LF2!B447))</f>
        <v/>
      </c>
      <c r="C449" s="153" t="str">
        <f>IF($B449&lt;&gt;"",INDEX(DataOB[],FirstRow+ROW()-7,2),"")</f>
        <v/>
      </c>
      <c r="D449" s="66" t="str">
        <f>IF($B449&lt;&gt;"",INDEX(DataOB[],FirstRow+ROW()-7,3),"")</f>
        <v/>
      </c>
      <c r="E449" s="103" t="str">
        <f>IF($B449&lt;&gt;"",INDEX(DataOB[],FirstRow+ROW()-7,6),"")</f>
        <v/>
      </c>
      <c r="F449" s="103" t="str">
        <f>IF($B449&lt;&gt;"",INDEX(DataOB[],FirstRow+ROW()-7,5),"")</f>
        <v/>
      </c>
      <c r="G449" s="58">
        <f>IF($B449&lt;&gt;"",SUMIFS(DataAct_tbl[AMOUNT],DataAct_tbl[BG CODE],Detail!$D449,DataAct_tbl[MONTH],LEFT(MonthName,3),DataAct_tbl[Dept code],$B449),0)</f>
        <v>0</v>
      </c>
      <c r="H449" s="31" t="str">
        <f t="shared" si="61"/>
        <v/>
      </c>
      <c r="I449" s="28" t="str">
        <f t="shared" si="62"/>
        <v/>
      </c>
      <c r="J449" s="32" t="str">
        <f t="shared" si="63"/>
        <v/>
      </c>
      <c r="K449" s="86"/>
      <c r="L449" s="62">
        <f>IF($B449&lt;&gt;"",SUMIFS(DataAct_tbl[AMOUNT],DataAct_tbl[BG CODE],Detail!$D449,DataAct_tbl[Check Range],"=true",DataAct_tbl[Dept code],$B449),0)</f>
        <v>0</v>
      </c>
      <c r="M449" s="63">
        <f>INDEX($AG$7:$AR$1005,ROW()-6,MATCH(MTD,$AG$6:$AR$6,0))</f>
        <v>0</v>
      </c>
      <c r="N449" s="34">
        <f t="shared" si="64"/>
        <v>0</v>
      </c>
      <c r="O449" s="64" t="str">
        <f t="shared" si="65"/>
        <v xml:space="preserve"> </v>
      </c>
      <c r="Q449" s="97">
        <f t="shared" si="66"/>
        <v>0</v>
      </c>
      <c r="R449" s="96">
        <f t="shared" si="67"/>
        <v>0</v>
      </c>
      <c r="T449" s="67" t="str">
        <f>IF($B449&lt;&gt;"",INDEX(DataOB[],FirstRow+ROW()-7,MATCH(T$6,DataOB[#Headers],0)),"")</f>
        <v/>
      </c>
      <c r="U449" s="67" t="str">
        <f>IF($B449&lt;&gt;"",INDEX(DataOB[],FirstRow+ROW()-7,MATCH(U$6,DataOB[#Headers],0)),"")</f>
        <v/>
      </c>
      <c r="V449" s="67" t="str">
        <f>IF($B449&lt;&gt;"",INDEX(DataOB[],FirstRow+ROW()-7,MATCH(V$6,DataOB[#Headers],0)),"")</f>
        <v/>
      </c>
      <c r="W449" s="67" t="str">
        <f>IF($B449&lt;&gt;"",INDEX(DataOB[],FirstRow+ROW()-7,MATCH(W$6,DataOB[#Headers],0)),"")</f>
        <v/>
      </c>
      <c r="X449" s="67" t="str">
        <f>IF($B449&lt;&gt;"",INDEX(DataOB[],FirstRow+ROW()-7,MATCH(X$6,DataOB[#Headers],0)),"")</f>
        <v/>
      </c>
      <c r="Y449" s="67" t="str">
        <f>IF($B449&lt;&gt;"",INDEX(DataOB[],FirstRow+ROW()-7,MATCH(Y$6,DataOB[#Headers],0)),"")</f>
        <v/>
      </c>
      <c r="Z449" s="67" t="str">
        <f>IF($B449&lt;&gt;"",INDEX(DataOB[],FirstRow+ROW()-7,MATCH(Z$6,DataOB[#Headers],0)),"")</f>
        <v/>
      </c>
      <c r="AA449" s="67" t="str">
        <f>IF($B449&lt;&gt;"",INDEX(DataOB[],FirstRow+ROW()-7,MATCH(AA$6,DataOB[#Headers],0)),"")</f>
        <v/>
      </c>
      <c r="AB449" s="67" t="str">
        <f>IF($B449&lt;&gt;"",INDEX(DataOB[],FirstRow+ROW()-7,MATCH(AB$6,DataOB[#Headers],0)),"")</f>
        <v/>
      </c>
      <c r="AC449" s="67" t="str">
        <f>IF($B449&lt;&gt;"",INDEX(DataOB[],FirstRow+ROW()-7,MATCH(AC$6,DataOB[#Headers],0)),"")</f>
        <v/>
      </c>
      <c r="AD449" s="67" t="str">
        <f>IF($B449&lt;&gt;"",INDEX(DataOB[],FirstRow+ROW()-7,MATCH(AD$6,DataOB[#Headers],0)),"")</f>
        <v/>
      </c>
      <c r="AE449" s="67" t="str">
        <f>IF($B449&lt;&gt;"",INDEX(DataOB[],FirstRow+ROW()-7,MATCH(AE$6,DataOB[#Headers],0)),"")</f>
        <v/>
      </c>
      <c r="AF449" s="26">
        <f t="shared" si="68"/>
        <v>0</v>
      </c>
      <c r="AG449" s="31">
        <f>SUM($T449:T449)</f>
        <v>0</v>
      </c>
      <c r="AH449" s="31">
        <f>SUM($T449:U449)</f>
        <v>0</v>
      </c>
      <c r="AI449" s="31">
        <f>SUM($T449:V449)</f>
        <v>0</v>
      </c>
      <c r="AJ449" s="31">
        <f>SUM($T449:W449)</f>
        <v>0</v>
      </c>
      <c r="AK449" s="31">
        <f>SUM($T449:X449)</f>
        <v>0</v>
      </c>
      <c r="AL449" s="31">
        <f>SUM($T449:Y449)</f>
        <v>0</v>
      </c>
      <c r="AM449" s="31">
        <f>SUM($T449:Z449)</f>
        <v>0</v>
      </c>
      <c r="AN449" s="31">
        <f>SUM($T449:AA449)</f>
        <v>0</v>
      </c>
      <c r="AO449" s="31">
        <f>SUM($T449:AB449)</f>
        <v>0</v>
      </c>
      <c r="AP449" s="31">
        <f>SUM($T449:AC449)</f>
        <v>0</v>
      </c>
      <c r="AQ449" s="31">
        <f>SUM($T449:AD449)</f>
        <v>0</v>
      </c>
      <c r="AR449" s="31">
        <f>SUM($T449:AE449)</f>
        <v>0</v>
      </c>
      <c r="AS449" s="27">
        <f t="shared" si="69"/>
        <v>0</v>
      </c>
    </row>
    <row r="450" spans="2:45">
      <c r="B450" s="102" t="str">
        <f>IF(ROW()-6&gt;NumCostCenter,"",IF(CostCenter&lt;&gt;"ALL",CostCenter,DATA_LF2!B448))</f>
        <v/>
      </c>
      <c r="C450" s="153" t="str">
        <f>IF($B450&lt;&gt;"",INDEX(DataOB[],FirstRow+ROW()-7,2),"")</f>
        <v/>
      </c>
      <c r="D450" s="66" t="str">
        <f>IF($B450&lt;&gt;"",INDEX(DataOB[],FirstRow+ROW()-7,3),"")</f>
        <v/>
      </c>
      <c r="E450" s="103" t="str">
        <f>IF($B450&lt;&gt;"",INDEX(DataOB[],FirstRow+ROW()-7,6),"")</f>
        <v/>
      </c>
      <c r="F450" s="103" t="str">
        <f>IF($B450&lt;&gt;"",INDEX(DataOB[],FirstRow+ROW()-7,5),"")</f>
        <v/>
      </c>
      <c r="G450" s="58">
        <f>IF($B450&lt;&gt;"",SUMIFS(DataAct_tbl[AMOUNT],DataAct_tbl[BG CODE],Detail!$D450,DataAct_tbl[MONTH],LEFT(MonthName,3),DataAct_tbl[Dept code],$B450),0)</f>
        <v>0</v>
      </c>
      <c r="H450" s="31" t="str">
        <f t="shared" si="61"/>
        <v/>
      </c>
      <c r="I450" s="28" t="str">
        <f t="shared" si="62"/>
        <v/>
      </c>
      <c r="J450" s="32" t="str">
        <f t="shared" si="63"/>
        <v/>
      </c>
      <c r="K450" s="86"/>
      <c r="L450" s="62">
        <f>IF($B450&lt;&gt;"",SUMIFS(DataAct_tbl[AMOUNT],DataAct_tbl[BG CODE],Detail!$D450,DataAct_tbl[Check Range],"=true",DataAct_tbl[Dept code],$B450),0)</f>
        <v>0</v>
      </c>
      <c r="M450" s="63">
        <f>INDEX($AG$7:$AR$1005,ROW()-6,MATCH(MTD,$AG$6:$AR$6,0))</f>
        <v>0</v>
      </c>
      <c r="N450" s="34">
        <f t="shared" si="64"/>
        <v>0</v>
      </c>
      <c r="O450" s="64" t="str">
        <f t="shared" si="65"/>
        <v xml:space="preserve"> </v>
      </c>
      <c r="Q450" s="97">
        <f t="shared" si="66"/>
        <v>0</v>
      </c>
      <c r="R450" s="96">
        <f t="shared" si="67"/>
        <v>0</v>
      </c>
      <c r="T450" s="67" t="str">
        <f>IF($B450&lt;&gt;"",INDEX(DataOB[],FirstRow+ROW()-7,MATCH(T$6,DataOB[#Headers],0)),"")</f>
        <v/>
      </c>
      <c r="U450" s="67" t="str">
        <f>IF($B450&lt;&gt;"",INDEX(DataOB[],FirstRow+ROW()-7,MATCH(U$6,DataOB[#Headers],0)),"")</f>
        <v/>
      </c>
      <c r="V450" s="67" t="str">
        <f>IF($B450&lt;&gt;"",INDEX(DataOB[],FirstRow+ROW()-7,MATCH(V$6,DataOB[#Headers],0)),"")</f>
        <v/>
      </c>
      <c r="W450" s="67" t="str">
        <f>IF($B450&lt;&gt;"",INDEX(DataOB[],FirstRow+ROW()-7,MATCH(W$6,DataOB[#Headers],0)),"")</f>
        <v/>
      </c>
      <c r="X450" s="67" t="str">
        <f>IF($B450&lt;&gt;"",INDEX(DataOB[],FirstRow+ROW()-7,MATCH(X$6,DataOB[#Headers],0)),"")</f>
        <v/>
      </c>
      <c r="Y450" s="67" t="str">
        <f>IF($B450&lt;&gt;"",INDEX(DataOB[],FirstRow+ROW()-7,MATCH(Y$6,DataOB[#Headers],0)),"")</f>
        <v/>
      </c>
      <c r="Z450" s="67" t="str">
        <f>IF($B450&lt;&gt;"",INDEX(DataOB[],FirstRow+ROW()-7,MATCH(Z$6,DataOB[#Headers],0)),"")</f>
        <v/>
      </c>
      <c r="AA450" s="67" t="str">
        <f>IF($B450&lt;&gt;"",INDEX(DataOB[],FirstRow+ROW()-7,MATCH(AA$6,DataOB[#Headers],0)),"")</f>
        <v/>
      </c>
      <c r="AB450" s="67" t="str">
        <f>IF($B450&lt;&gt;"",INDEX(DataOB[],FirstRow+ROW()-7,MATCH(AB$6,DataOB[#Headers],0)),"")</f>
        <v/>
      </c>
      <c r="AC450" s="67" t="str">
        <f>IF($B450&lt;&gt;"",INDEX(DataOB[],FirstRow+ROW()-7,MATCH(AC$6,DataOB[#Headers],0)),"")</f>
        <v/>
      </c>
      <c r="AD450" s="67" t="str">
        <f>IF($B450&lt;&gt;"",INDEX(DataOB[],FirstRow+ROW()-7,MATCH(AD$6,DataOB[#Headers],0)),"")</f>
        <v/>
      </c>
      <c r="AE450" s="67" t="str">
        <f>IF($B450&lt;&gt;"",INDEX(DataOB[],FirstRow+ROW()-7,MATCH(AE$6,DataOB[#Headers],0)),"")</f>
        <v/>
      </c>
      <c r="AF450" s="26">
        <f t="shared" si="68"/>
        <v>0</v>
      </c>
      <c r="AG450" s="31">
        <f>SUM($T450:T450)</f>
        <v>0</v>
      </c>
      <c r="AH450" s="31">
        <f>SUM($T450:U450)</f>
        <v>0</v>
      </c>
      <c r="AI450" s="31">
        <f>SUM($T450:V450)</f>
        <v>0</v>
      </c>
      <c r="AJ450" s="31">
        <f>SUM($T450:W450)</f>
        <v>0</v>
      </c>
      <c r="AK450" s="31">
        <f>SUM($T450:X450)</f>
        <v>0</v>
      </c>
      <c r="AL450" s="31">
        <f>SUM($T450:Y450)</f>
        <v>0</v>
      </c>
      <c r="AM450" s="31">
        <f>SUM($T450:Z450)</f>
        <v>0</v>
      </c>
      <c r="AN450" s="31">
        <f>SUM($T450:AA450)</f>
        <v>0</v>
      </c>
      <c r="AO450" s="31">
        <f>SUM($T450:AB450)</f>
        <v>0</v>
      </c>
      <c r="AP450" s="31">
        <f>SUM($T450:AC450)</f>
        <v>0</v>
      </c>
      <c r="AQ450" s="31">
        <f>SUM($T450:AD450)</f>
        <v>0</v>
      </c>
      <c r="AR450" s="31">
        <f>SUM($T450:AE450)</f>
        <v>0</v>
      </c>
      <c r="AS450" s="27">
        <f t="shared" si="69"/>
        <v>0</v>
      </c>
    </row>
    <row r="451" spans="2:45">
      <c r="B451" s="102" t="str">
        <f>IF(ROW()-6&gt;NumCostCenter,"",IF(CostCenter&lt;&gt;"ALL",CostCenter,DATA_LF2!B449))</f>
        <v/>
      </c>
      <c r="C451" s="153" t="str">
        <f>IF($B451&lt;&gt;"",INDEX(DataOB[],FirstRow+ROW()-7,2),"")</f>
        <v/>
      </c>
      <c r="D451" s="66" t="str">
        <f>IF($B451&lt;&gt;"",INDEX(DataOB[],FirstRow+ROW()-7,3),"")</f>
        <v/>
      </c>
      <c r="E451" s="103" t="str">
        <f>IF($B451&lt;&gt;"",INDEX(DataOB[],FirstRow+ROW()-7,6),"")</f>
        <v/>
      </c>
      <c r="F451" s="103" t="str">
        <f>IF($B451&lt;&gt;"",INDEX(DataOB[],FirstRow+ROW()-7,5),"")</f>
        <v/>
      </c>
      <c r="G451" s="58">
        <f>IF($B451&lt;&gt;"",SUMIFS(DataAct_tbl[AMOUNT],DataAct_tbl[BG CODE],Detail!$D451,DataAct_tbl[MONTH],LEFT(MonthName,3),DataAct_tbl[Dept code],$B451),0)</f>
        <v>0</v>
      </c>
      <c r="H451" s="31" t="str">
        <f t="shared" si="61"/>
        <v/>
      </c>
      <c r="I451" s="28" t="str">
        <f t="shared" si="62"/>
        <v/>
      </c>
      <c r="J451" s="32" t="str">
        <f t="shared" si="63"/>
        <v/>
      </c>
      <c r="K451" s="86"/>
      <c r="L451" s="62">
        <f>IF($B451&lt;&gt;"",SUMIFS(DataAct_tbl[AMOUNT],DataAct_tbl[BG CODE],Detail!$D451,DataAct_tbl[Check Range],"=true",DataAct_tbl[Dept code],$B451),0)</f>
        <v>0</v>
      </c>
      <c r="M451" s="63">
        <f>INDEX($AG$7:$AR$1005,ROW()-6,MATCH(MTD,$AG$6:$AR$6,0))</f>
        <v>0</v>
      </c>
      <c r="N451" s="34">
        <f t="shared" si="64"/>
        <v>0</v>
      </c>
      <c r="O451" s="64" t="str">
        <f t="shared" si="65"/>
        <v xml:space="preserve"> </v>
      </c>
      <c r="Q451" s="97">
        <f t="shared" si="66"/>
        <v>0</v>
      </c>
      <c r="R451" s="96">
        <f t="shared" si="67"/>
        <v>0</v>
      </c>
      <c r="T451" s="67" t="str">
        <f>IF($B451&lt;&gt;"",INDEX(DataOB[],FirstRow+ROW()-7,MATCH(T$6,DataOB[#Headers],0)),"")</f>
        <v/>
      </c>
      <c r="U451" s="67" t="str">
        <f>IF($B451&lt;&gt;"",INDEX(DataOB[],FirstRow+ROW()-7,MATCH(U$6,DataOB[#Headers],0)),"")</f>
        <v/>
      </c>
      <c r="V451" s="67" t="str">
        <f>IF($B451&lt;&gt;"",INDEX(DataOB[],FirstRow+ROW()-7,MATCH(V$6,DataOB[#Headers],0)),"")</f>
        <v/>
      </c>
      <c r="W451" s="67" t="str">
        <f>IF($B451&lt;&gt;"",INDEX(DataOB[],FirstRow+ROW()-7,MATCH(W$6,DataOB[#Headers],0)),"")</f>
        <v/>
      </c>
      <c r="X451" s="67" t="str">
        <f>IF($B451&lt;&gt;"",INDEX(DataOB[],FirstRow+ROW()-7,MATCH(X$6,DataOB[#Headers],0)),"")</f>
        <v/>
      </c>
      <c r="Y451" s="67" t="str">
        <f>IF($B451&lt;&gt;"",INDEX(DataOB[],FirstRow+ROW()-7,MATCH(Y$6,DataOB[#Headers],0)),"")</f>
        <v/>
      </c>
      <c r="Z451" s="67" t="str">
        <f>IF($B451&lt;&gt;"",INDEX(DataOB[],FirstRow+ROW()-7,MATCH(Z$6,DataOB[#Headers],0)),"")</f>
        <v/>
      </c>
      <c r="AA451" s="67" t="str">
        <f>IF($B451&lt;&gt;"",INDEX(DataOB[],FirstRow+ROW()-7,MATCH(AA$6,DataOB[#Headers],0)),"")</f>
        <v/>
      </c>
      <c r="AB451" s="67" t="str">
        <f>IF($B451&lt;&gt;"",INDEX(DataOB[],FirstRow+ROW()-7,MATCH(AB$6,DataOB[#Headers],0)),"")</f>
        <v/>
      </c>
      <c r="AC451" s="67" t="str">
        <f>IF($B451&lt;&gt;"",INDEX(DataOB[],FirstRow+ROW()-7,MATCH(AC$6,DataOB[#Headers],0)),"")</f>
        <v/>
      </c>
      <c r="AD451" s="67" t="str">
        <f>IF($B451&lt;&gt;"",INDEX(DataOB[],FirstRow+ROW()-7,MATCH(AD$6,DataOB[#Headers],0)),"")</f>
        <v/>
      </c>
      <c r="AE451" s="67" t="str">
        <f>IF($B451&lt;&gt;"",INDEX(DataOB[],FirstRow+ROW()-7,MATCH(AE$6,DataOB[#Headers],0)),"")</f>
        <v/>
      </c>
      <c r="AF451" s="26">
        <f t="shared" si="68"/>
        <v>0</v>
      </c>
      <c r="AG451" s="31">
        <f>SUM($T451:T451)</f>
        <v>0</v>
      </c>
      <c r="AH451" s="31">
        <f>SUM($T451:U451)</f>
        <v>0</v>
      </c>
      <c r="AI451" s="31">
        <f>SUM($T451:V451)</f>
        <v>0</v>
      </c>
      <c r="AJ451" s="31">
        <f>SUM($T451:W451)</f>
        <v>0</v>
      </c>
      <c r="AK451" s="31">
        <f>SUM($T451:X451)</f>
        <v>0</v>
      </c>
      <c r="AL451" s="31">
        <f>SUM($T451:Y451)</f>
        <v>0</v>
      </c>
      <c r="AM451" s="31">
        <f>SUM($T451:Z451)</f>
        <v>0</v>
      </c>
      <c r="AN451" s="31">
        <f>SUM($T451:AA451)</f>
        <v>0</v>
      </c>
      <c r="AO451" s="31">
        <f>SUM($T451:AB451)</f>
        <v>0</v>
      </c>
      <c r="AP451" s="31">
        <f>SUM($T451:AC451)</f>
        <v>0</v>
      </c>
      <c r="AQ451" s="31">
        <f>SUM($T451:AD451)</f>
        <v>0</v>
      </c>
      <c r="AR451" s="31">
        <f>SUM($T451:AE451)</f>
        <v>0</v>
      </c>
      <c r="AS451" s="27">
        <f t="shared" si="69"/>
        <v>0</v>
      </c>
    </row>
    <row r="452" spans="2:45">
      <c r="B452" s="102" t="str">
        <f>IF(ROW()-6&gt;NumCostCenter,"",IF(CostCenter&lt;&gt;"ALL",CostCenter,DATA_LF2!B450))</f>
        <v/>
      </c>
      <c r="C452" s="153" t="str">
        <f>IF($B452&lt;&gt;"",INDEX(DataOB[],FirstRow+ROW()-7,2),"")</f>
        <v/>
      </c>
      <c r="D452" s="66" t="str">
        <f>IF($B452&lt;&gt;"",INDEX(DataOB[],FirstRow+ROW()-7,3),"")</f>
        <v/>
      </c>
      <c r="E452" s="103" t="str">
        <f>IF($B452&lt;&gt;"",INDEX(DataOB[],FirstRow+ROW()-7,6),"")</f>
        <v/>
      </c>
      <c r="F452" s="103" t="str">
        <f>IF($B452&lt;&gt;"",INDEX(DataOB[],FirstRow+ROW()-7,5),"")</f>
        <v/>
      </c>
      <c r="G452" s="58">
        <f>IF($B452&lt;&gt;"",SUMIFS(DataAct_tbl[AMOUNT],DataAct_tbl[BG CODE],Detail!$D452,DataAct_tbl[MONTH],LEFT(MonthName,3),DataAct_tbl[Dept code],$B452),0)</f>
        <v>0</v>
      </c>
      <c r="H452" s="31" t="str">
        <f t="shared" si="61"/>
        <v/>
      </c>
      <c r="I452" s="28" t="str">
        <f t="shared" si="62"/>
        <v/>
      </c>
      <c r="J452" s="32" t="str">
        <f t="shared" si="63"/>
        <v/>
      </c>
      <c r="K452" s="86"/>
      <c r="L452" s="62">
        <f>IF($B452&lt;&gt;"",SUMIFS(DataAct_tbl[AMOUNT],DataAct_tbl[BG CODE],Detail!$D452,DataAct_tbl[Check Range],"=true",DataAct_tbl[Dept code],$B452),0)</f>
        <v>0</v>
      </c>
      <c r="M452" s="63">
        <f>INDEX($AG$7:$AR$1005,ROW()-6,MATCH(MTD,$AG$6:$AR$6,0))</f>
        <v>0</v>
      </c>
      <c r="N452" s="34">
        <f t="shared" si="64"/>
        <v>0</v>
      </c>
      <c r="O452" s="64" t="str">
        <f t="shared" si="65"/>
        <v xml:space="preserve"> </v>
      </c>
      <c r="Q452" s="97">
        <f t="shared" si="66"/>
        <v>0</v>
      </c>
      <c r="R452" s="96">
        <f t="shared" si="67"/>
        <v>0</v>
      </c>
      <c r="T452" s="67" t="str">
        <f>IF($B452&lt;&gt;"",INDEX(DataOB[],FirstRow+ROW()-7,MATCH(T$6,DataOB[#Headers],0)),"")</f>
        <v/>
      </c>
      <c r="U452" s="67" t="str">
        <f>IF($B452&lt;&gt;"",INDEX(DataOB[],FirstRow+ROW()-7,MATCH(U$6,DataOB[#Headers],0)),"")</f>
        <v/>
      </c>
      <c r="V452" s="67" t="str">
        <f>IF($B452&lt;&gt;"",INDEX(DataOB[],FirstRow+ROW()-7,MATCH(V$6,DataOB[#Headers],0)),"")</f>
        <v/>
      </c>
      <c r="W452" s="67" t="str">
        <f>IF($B452&lt;&gt;"",INDEX(DataOB[],FirstRow+ROW()-7,MATCH(W$6,DataOB[#Headers],0)),"")</f>
        <v/>
      </c>
      <c r="X452" s="67" t="str">
        <f>IF($B452&lt;&gt;"",INDEX(DataOB[],FirstRow+ROW()-7,MATCH(X$6,DataOB[#Headers],0)),"")</f>
        <v/>
      </c>
      <c r="Y452" s="67" t="str">
        <f>IF($B452&lt;&gt;"",INDEX(DataOB[],FirstRow+ROW()-7,MATCH(Y$6,DataOB[#Headers],0)),"")</f>
        <v/>
      </c>
      <c r="Z452" s="67" t="str">
        <f>IF($B452&lt;&gt;"",INDEX(DataOB[],FirstRow+ROW()-7,MATCH(Z$6,DataOB[#Headers],0)),"")</f>
        <v/>
      </c>
      <c r="AA452" s="67" t="str">
        <f>IF($B452&lt;&gt;"",INDEX(DataOB[],FirstRow+ROW()-7,MATCH(AA$6,DataOB[#Headers],0)),"")</f>
        <v/>
      </c>
      <c r="AB452" s="67" t="str">
        <f>IF($B452&lt;&gt;"",INDEX(DataOB[],FirstRow+ROW()-7,MATCH(AB$6,DataOB[#Headers],0)),"")</f>
        <v/>
      </c>
      <c r="AC452" s="67" t="str">
        <f>IF($B452&lt;&gt;"",INDEX(DataOB[],FirstRow+ROW()-7,MATCH(AC$6,DataOB[#Headers],0)),"")</f>
        <v/>
      </c>
      <c r="AD452" s="67" t="str">
        <f>IF($B452&lt;&gt;"",INDEX(DataOB[],FirstRow+ROW()-7,MATCH(AD$6,DataOB[#Headers],0)),"")</f>
        <v/>
      </c>
      <c r="AE452" s="67" t="str">
        <f>IF($B452&lt;&gt;"",INDEX(DataOB[],FirstRow+ROW()-7,MATCH(AE$6,DataOB[#Headers],0)),"")</f>
        <v/>
      </c>
      <c r="AF452" s="26">
        <f t="shared" si="68"/>
        <v>0</v>
      </c>
      <c r="AG452" s="31">
        <f>SUM($T452:T452)</f>
        <v>0</v>
      </c>
      <c r="AH452" s="31">
        <f>SUM($T452:U452)</f>
        <v>0</v>
      </c>
      <c r="AI452" s="31">
        <f>SUM($T452:V452)</f>
        <v>0</v>
      </c>
      <c r="AJ452" s="31">
        <f>SUM($T452:W452)</f>
        <v>0</v>
      </c>
      <c r="AK452" s="31">
        <f>SUM($T452:X452)</f>
        <v>0</v>
      </c>
      <c r="AL452" s="31">
        <f>SUM($T452:Y452)</f>
        <v>0</v>
      </c>
      <c r="AM452" s="31">
        <f>SUM($T452:Z452)</f>
        <v>0</v>
      </c>
      <c r="AN452" s="31">
        <f>SUM($T452:AA452)</f>
        <v>0</v>
      </c>
      <c r="AO452" s="31">
        <f>SUM($T452:AB452)</f>
        <v>0</v>
      </c>
      <c r="AP452" s="31">
        <f>SUM($T452:AC452)</f>
        <v>0</v>
      </c>
      <c r="AQ452" s="31">
        <f>SUM($T452:AD452)</f>
        <v>0</v>
      </c>
      <c r="AR452" s="31">
        <f>SUM($T452:AE452)</f>
        <v>0</v>
      </c>
      <c r="AS452" s="27">
        <f t="shared" si="69"/>
        <v>0</v>
      </c>
    </row>
    <row r="453" spans="2:45">
      <c r="B453" s="102" t="str">
        <f>IF(ROW()-6&gt;NumCostCenter,"",IF(CostCenter&lt;&gt;"ALL",CostCenter,DATA_LF2!B451))</f>
        <v/>
      </c>
      <c r="C453" s="153" t="str">
        <f>IF($B453&lt;&gt;"",INDEX(DataOB[],FirstRow+ROW()-7,2),"")</f>
        <v/>
      </c>
      <c r="D453" s="66" t="str">
        <f>IF($B453&lt;&gt;"",INDEX(DataOB[],FirstRow+ROW()-7,3),"")</f>
        <v/>
      </c>
      <c r="E453" s="103" t="str">
        <f>IF($B453&lt;&gt;"",INDEX(DataOB[],FirstRow+ROW()-7,6),"")</f>
        <v/>
      </c>
      <c r="F453" s="103" t="str">
        <f>IF($B453&lt;&gt;"",INDEX(DataOB[],FirstRow+ROW()-7,5),"")</f>
        <v/>
      </c>
      <c r="G453" s="58">
        <f>IF($B453&lt;&gt;"",SUMIFS(DataAct_tbl[AMOUNT],DataAct_tbl[BG CODE],Detail!$D453,DataAct_tbl[MONTH],LEFT(MonthName,3),DataAct_tbl[Dept code],$B453),0)</f>
        <v>0</v>
      </c>
      <c r="H453" s="31" t="str">
        <f t="shared" si="61"/>
        <v/>
      </c>
      <c r="I453" s="28" t="str">
        <f t="shared" si="62"/>
        <v/>
      </c>
      <c r="J453" s="32" t="str">
        <f t="shared" si="63"/>
        <v/>
      </c>
      <c r="K453" s="86"/>
      <c r="L453" s="62">
        <f>IF($B453&lt;&gt;"",SUMIFS(DataAct_tbl[AMOUNT],DataAct_tbl[BG CODE],Detail!$D453,DataAct_tbl[Check Range],"=true",DataAct_tbl[Dept code],$B453),0)</f>
        <v>0</v>
      </c>
      <c r="M453" s="63">
        <f>INDEX($AG$7:$AR$1005,ROW()-6,MATCH(MTD,$AG$6:$AR$6,0))</f>
        <v>0</v>
      </c>
      <c r="N453" s="34">
        <f t="shared" si="64"/>
        <v>0</v>
      </c>
      <c r="O453" s="64" t="str">
        <f t="shared" si="65"/>
        <v xml:space="preserve"> </v>
      </c>
      <c r="Q453" s="97">
        <f t="shared" si="66"/>
        <v>0</v>
      </c>
      <c r="R453" s="96">
        <f t="shared" si="67"/>
        <v>0</v>
      </c>
      <c r="T453" s="67" t="str">
        <f>IF($B453&lt;&gt;"",INDEX(DataOB[],FirstRow+ROW()-7,MATCH(T$6,DataOB[#Headers],0)),"")</f>
        <v/>
      </c>
      <c r="U453" s="67" t="str">
        <f>IF($B453&lt;&gt;"",INDEX(DataOB[],FirstRow+ROW()-7,MATCH(U$6,DataOB[#Headers],0)),"")</f>
        <v/>
      </c>
      <c r="V453" s="67" t="str">
        <f>IF($B453&lt;&gt;"",INDEX(DataOB[],FirstRow+ROW()-7,MATCH(V$6,DataOB[#Headers],0)),"")</f>
        <v/>
      </c>
      <c r="W453" s="67" t="str">
        <f>IF($B453&lt;&gt;"",INDEX(DataOB[],FirstRow+ROW()-7,MATCH(W$6,DataOB[#Headers],0)),"")</f>
        <v/>
      </c>
      <c r="X453" s="67" t="str">
        <f>IF($B453&lt;&gt;"",INDEX(DataOB[],FirstRow+ROW()-7,MATCH(X$6,DataOB[#Headers],0)),"")</f>
        <v/>
      </c>
      <c r="Y453" s="67" t="str">
        <f>IF($B453&lt;&gt;"",INDEX(DataOB[],FirstRow+ROW()-7,MATCH(Y$6,DataOB[#Headers],0)),"")</f>
        <v/>
      </c>
      <c r="Z453" s="67" t="str">
        <f>IF($B453&lt;&gt;"",INDEX(DataOB[],FirstRow+ROW()-7,MATCH(Z$6,DataOB[#Headers],0)),"")</f>
        <v/>
      </c>
      <c r="AA453" s="67" t="str">
        <f>IF($B453&lt;&gt;"",INDEX(DataOB[],FirstRow+ROW()-7,MATCH(AA$6,DataOB[#Headers],0)),"")</f>
        <v/>
      </c>
      <c r="AB453" s="67" t="str">
        <f>IF($B453&lt;&gt;"",INDEX(DataOB[],FirstRow+ROW()-7,MATCH(AB$6,DataOB[#Headers],0)),"")</f>
        <v/>
      </c>
      <c r="AC453" s="67" t="str">
        <f>IF($B453&lt;&gt;"",INDEX(DataOB[],FirstRow+ROW()-7,MATCH(AC$6,DataOB[#Headers],0)),"")</f>
        <v/>
      </c>
      <c r="AD453" s="67" t="str">
        <f>IF($B453&lt;&gt;"",INDEX(DataOB[],FirstRow+ROW()-7,MATCH(AD$6,DataOB[#Headers],0)),"")</f>
        <v/>
      </c>
      <c r="AE453" s="67" t="str">
        <f>IF($B453&lt;&gt;"",INDEX(DataOB[],FirstRow+ROW()-7,MATCH(AE$6,DataOB[#Headers],0)),"")</f>
        <v/>
      </c>
      <c r="AF453" s="26">
        <f t="shared" si="68"/>
        <v>0</v>
      </c>
      <c r="AG453" s="31">
        <f>SUM($T453:T453)</f>
        <v>0</v>
      </c>
      <c r="AH453" s="31">
        <f>SUM($T453:U453)</f>
        <v>0</v>
      </c>
      <c r="AI453" s="31">
        <f>SUM($T453:V453)</f>
        <v>0</v>
      </c>
      <c r="AJ453" s="31">
        <f>SUM($T453:W453)</f>
        <v>0</v>
      </c>
      <c r="AK453" s="31">
        <f>SUM($T453:X453)</f>
        <v>0</v>
      </c>
      <c r="AL453" s="31">
        <f>SUM($T453:Y453)</f>
        <v>0</v>
      </c>
      <c r="AM453" s="31">
        <f>SUM($T453:Z453)</f>
        <v>0</v>
      </c>
      <c r="AN453" s="31">
        <f>SUM($T453:AA453)</f>
        <v>0</v>
      </c>
      <c r="AO453" s="31">
        <f>SUM($T453:AB453)</f>
        <v>0</v>
      </c>
      <c r="AP453" s="31">
        <f>SUM($T453:AC453)</f>
        <v>0</v>
      </c>
      <c r="AQ453" s="31">
        <f>SUM($T453:AD453)</f>
        <v>0</v>
      </c>
      <c r="AR453" s="31">
        <f>SUM($T453:AE453)</f>
        <v>0</v>
      </c>
      <c r="AS453" s="27">
        <f t="shared" si="69"/>
        <v>0</v>
      </c>
    </row>
    <row r="454" spans="2:45">
      <c r="B454" s="102" t="str">
        <f>IF(ROW()-6&gt;NumCostCenter,"",IF(CostCenter&lt;&gt;"ALL",CostCenter,DATA_LF2!B452))</f>
        <v/>
      </c>
      <c r="C454" s="153" t="str">
        <f>IF($B454&lt;&gt;"",INDEX(DataOB[],FirstRow+ROW()-7,2),"")</f>
        <v/>
      </c>
      <c r="D454" s="66" t="str">
        <f>IF($B454&lt;&gt;"",INDEX(DataOB[],FirstRow+ROW()-7,3),"")</f>
        <v/>
      </c>
      <c r="E454" s="103" t="str">
        <f>IF($B454&lt;&gt;"",INDEX(DataOB[],FirstRow+ROW()-7,6),"")</f>
        <v/>
      </c>
      <c r="F454" s="103" t="str">
        <f>IF($B454&lt;&gt;"",INDEX(DataOB[],FirstRow+ROW()-7,5),"")</f>
        <v/>
      </c>
      <c r="G454" s="58">
        <f>IF($B454&lt;&gt;"",SUMIFS(DataAct_tbl[AMOUNT],DataAct_tbl[BG CODE],Detail!$D454,DataAct_tbl[MONTH],LEFT(MonthName,3),DataAct_tbl[Dept code],$B454),0)</f>
        <v>0</v>
      </c>
      <c r="H454" s="31" t="str">
        <f t="shared" si="61"/>
        <v/>
      </c>
      <c r="I454" s="28" t="str">
        <f t="shared" si="62"/>
        <v/>
      </c>
      <c r="J454" s="32" t="str">
        <f t="shared" si="63"/>
        <v/>
      </c>
      <c r="K454" s="86"/>
      <c r="L454" s="62">
        <f>IF($B454&lt;&gt;"",SUMIFS(DataAct_tbl[AMOUNT],DataAct_tbl[BG CODE],Detail!$D454,DataAct_tbl[Check Range],"=true",DataAct_tbl[Dept code],$B454),0)</f>
        <v>0</v>
      </c>
      <c r="M454" s="63">
        <f>INDEX($AG$7:$AR$1005,ROW()-6,MATCH(MTD,$AG$6:$AR$6,0))</f>
        <v>0</v>
      </c>
      <c r="N454" s="34">
        <f t="shared" si="64"/>
        <v>0</v>
      </c>
      <c r="O454" s="64" t="str">
        <f t="shared" si="65"/>
        <v xml:space="preserve"> </v>
      </c>
      <c r="Q454" s="97">
        <f t="shared" si="66"/>
        <v>0</v>
      </c>
      <c r="R454" s="96">
        <f t="shared" si="67"/>
        <v>0</v>
      </c>
      <c r="T454" s="67" t="str">
        <f>IF($B454&lt;&gt;"",INDEX(DataOB[],FirstRow+ROW()-7,MATCH(T$6,DataOB[#Headers],0)),"")</f>
        <v/>
      </c>
      <c r="U454" s="67" t="str">
        <f>IF($B454&lt;&gt;"",INDEX(DataOB[],FirstRow+ROW()-7,MATCH(U$6,DataOB[#Headers],0)),"")</f>
        <v/>
      </c>
      <c r="V454" s="67" t="str">
        <f>IF($B454&lt;&gt;"",INDEX(DataOB[],FirstRow+ROW()-7,MATCH(V$6,DataOB[#Headers],0)),"")</f>
        <v/>
      </c>
      <c r="W454" s="67" t="str">
        <f>IF($B454&lt;&gt;"",INDEX(DataOB[],FirstRow+ROW()-7,MATCH(W$6,DataOB[#Headers],0)),"")</f>
        <v/>
      </c>
      <c r="X454" s="67" t="str">
        <f>IF($B454&lt;&gt;"",INDEX(DataOB[],FirstRow+ROW()-7,MATCH(X$6,DataOB[#Headers],0)),"")</f>
        <v/>
      </c>
      <c r="Y454" s="67" t="str">
        <f>IF($B454&lt;&gt;"",INDEX(DataOB[],FirstRow+ROW()-7,MATCH(Y$6,DataOB[#Headers],0)),"")</f>
        <v/>
      </c>
      <c r="Z454" s="67" t="str">
        <f>IF($B454&lt;&gt;"",INDEX(DataOB[],FirstRow+ROW()-7,MATCH(Z$6,DataOB[#Headers],0)),"")</f>
        <v/>
      </c>
      <c r="AA454" s="67" t="str">
        <f>IF($B454&lt;&gt;"",INDEX(DataOB[],FirstRow+ROW()-7,MATCH(AA$6,DataOB[#Headers],0)),"")</f>
        <v/>
      </c>
      <c r="AB454" s="67" t="str">
        <f>IF($B454&lt;&gt;"",INDEX(DataOB[],FirstRow+ROW()-7,MATCH(AB$6,DataOB[#Headers],0)),"")</f>
        <v/>
      </c>
      <c r="AC454" s="67" t="str">
        <f>IF($B454&lt;&gt;"",INDEX(DataOB[],FirstRow+ROW()-7,MATCH(AC$6,DataOB[#Headers],0)),"")</f>
        <v/>
      </c>
      <c r="AD454" s="67" t="str">
        <f>IF($B454&lt;&gt;"",INDEX(DataOB[],FirstRow+ROW()-7,MATCH(AD$6,DataOB[#Headers],0)),"")</f>
        <v/>
      </c>
      <c r="AE454" s="67" t="str">
        <f>IF($B454&lt;&gt;"",INDEX(DataOB[],FirstRow+ROW()-7,MATCH(AE$6,DataOB[#Headers],0)),"")</f>
        <v/>
      </c>
      <c r="AF454" s="26">
        <f t="shared" si="68"/>
        <v>0</v>
      </c>
      <c r="AG454" s="31">
        <f>SUM($T454:T454)</f>
        <v>0</v>
      </c>
      <c r="AH454" s="31">
        <f>SUM($T454:U454)</f>
        <v>0</v>
      </c>
      <c r="AI454" s="31">
        <f>SUM($T454:V454)</f>
        <v>0</v>
      </c>
      <c r="AJ454" s="31">
        <f>SUM($T454:W454)</f>
        <v>0</v>
      </c>
      <c r="AK454" s="31">
        <f>SUM($T454:X454)</f>
        <v>0</v>
      </c>
      <c r="AL454" s="31">
        <f>SUM($T454:Y454)</f>
        <v>0</v>
      </c>
      <c r="AM454" s="31">
        <f>SUM($T454:Z454)</f>
        <v>0</v>
      </c>
      <c r="AN454" s="31">
        <f>SUM($T454:AA454)</f>
        <v>0</v>
      </c>
      <c r="AO454" s="31">
        <f>SUM($T454:AB454)</f>
        <v>0</v>
      </c>
      <c r="AP454" s="31">
        <f>SUM($T454:AC454)</f>
        <v>0</v>
      </c>
      <c r="AQ454" s="31">
        <f>SUM($T454:AD454)</f>
        <v>0</v>
      </c>
      <c r="AR454" s="31">
        <f>SUM($T454:AE454)</f>
        <v>0</v>
      </c>
      <c r="AS454" s="27">
        <f t="shared" si="69"/>
        <v>0</v>
      </c>
    </row>
    <row r="455" spans="2:45">
      <c r="B455" s="102" t="str">
        <f>IF(ROW()-6&gt;NumCostCenter,"",IF(CostCenter&lt;&gt;"ALL",CostCenter,DATA_LF2!B453))</f>
        <v/>
      </c>
      <c r="C455" s="153" t="str">
        <f>IF($B455&lt;&gt;"",INDEX(DataOB[],FirstRow+ROW()-7,2),"")</f>
        <v/>
      </c>
      <c r="D455" s="66" t="str">
        <f>IF($B455&lt;&gt;"",INDEX(DataOB[],FirstRow+ROW()-7,3),"")</f>
        <v/>
      </c>
      <c r="E455" s="103" t="str">
        <f>IF($B455&lt;&gt;"",INDEX(DataOB[],FirstRow+ROW()-7,6),"")</f>
        <v/>
      </c>
      <c r="F455" s="103" t="str">
        <f>IF($B455&lt;&gt;"",INDEX(DataOB[],FirstRow+ROW()-7,5),"")</f>
        <v/>
      </c>
      <c r="G455" s="58">
        <f>IF($B455&lt;&gt;"",SUMIFS(DataAct_tbl[AMOUNT],DataAct_tbl[BG CODE],Detail!$D455,DataAct_tbl[MONTH],LEFT(MonthName,3),DataAct_tbl[Dept code],$B455),0)</f>
        <v>0</v>
      </c>
      <c r="H455" s="31" t="str">
        <f t="shared" ref="H455:H518" si="70">INDEX($T$7:$AE$1005,ROW()-6,MATCH(MonthName,$T$6:$AE$6,0))</f>
        <v/>
      </c>
      <c r="I455" s="28" t="str">
        <f t="shared" si="62"/>
        <v/>
      </c>
      <c r="J455" s="32" t="str">
        <f t="shared" si="63"/>
        <v/>
      </c>
      <c r="K455" s="86"/>
      <c r="L455" s="62">
        <f>IF($B455&lt;&gt;"",SUMIFS(DataAct_tbl[AMOUNT],DataAct_tbl[BG CODE],Detail!$D455,DataAct_tbl[Check Range],"=true",DataAct_tbl[Dept code],$B455),0)</f>
        <v>0</v>
      </c>
      <c r="M455" s="63">
        <f>INDEX($AG$7:$AR$1005,ROW()-6,MATCH(MTD,$AG$6:$AR$6,0))</f>
        <v>0</v>
      </c>
      <c r="N455" s="34">
        <f t="shared" si="64"/>
        <v>0</v>
      </c>
      <c r="O455" s="64" t="str">
        <f t="shared" si="65"/>
        <v xml:space="preserve"> </v>
      </c>
      <c r="Q455" s="97">
        <f t="shared" si="66"/>
        <v>0</v>
      </c>
      <c r="R455" s="96">
        <f t="shared" si="67"/>
        <v>0</v>
      </c>
      <c r="T455" s="67" t="str">
        <f>IF($B455&lt;&gt;"",INDEX(DataOB[],FirstRow+ROW()-7,MATCH(T$6,DataOB[#Headers],0)),"")</f>
        <v/>
      </c>
      <c r="U455" s="67" t="str">
        <f>IF($B455&lt;&gt;"",INDEX(DataOB[],FirstRow+ROW()-7,MATCH(U$6,DataOB[#Headers],0)),"")</f>
        <v/>
      </c>
      <c r="V455" s="67" t="str">
        <f>IF($B455&lt;&gt;"",INDEX(DataOB[],FirstRow+ROW()-7,MATCH(V$6,DataOB[#Headers],0)),"")</f>
        <v/>
      </c>
      <c r="W455" s="67" t="str">
        <f>IF($B455&lt;&gt;"",INDEX(DataOB[],FirstRow+ROW()-7,MATCH(W$6,DataOB[#Headers],0)),"")</f>
        <v/>
      </c>
      <c r="X455" s="67" t="str">
        <f>IF($B455&lt;&gt;"",INDEX(DataOB[],FirstRow+ROW()-7,MATCH(X$6,DataOB[#Headers],0)),"")</f>
        <v/>
      </c>
      <c r="Y455" s="67" t="str">
        <f>IF($B455&lt;&gt;"",INDEX(DataOB[],FirstRow+ROW()-7,MATCH(Y$6,DataOB[#Headers],0)),"")</f>
        <v/>
      </c>
      <c r="Z455" s="67" t="str">
        <f>IF($B455&lt;&gt;"",INDEX(DataOB[],FirstRow+ROW()-7,MATCH(Z$6,DataOB[#Headers],0)),"")</f>
        <v/>
      </c>
      <c r="AA455" s="67" t="str">
        <f>IF($B455&lt;&gt;"",INDEX(DataOB[],FirstRow+ROW()-7,MATCH(AA$6,DataOB[#Headers],0)),"")</f>
        <v/>
      </c>
      <c r="AB455" s="67" t="str">
        <f>IF($B455&lt;&gt;"",INDEX(DataOB[],FirstRow+ROW()-7,MATCH(AB$6,DataOB[#Headers],0)),"")</f>
        <v/>
      </c>
      <c r="AC455" s="67" t="str">
        <f>IF($B455&lt;&gt;"",INDEX(DataOB[],FirstRow+ROW()-7,MATCH(AC$6,DataOB[#Headers],0)),"")</f>
        <v/>
      </c>
      <c r="AD455" s="67" t="str">
        <f>IF($B455&lt;&gt;"",INDEX(DataOB[],FirstRow+ROW()-7,MATCH(AD$6,DataOB[#Headers],0)),"")</f>
        <v/>
      </c>
      <c r="AE455" s="67" t="str">
        <f>IF($B455&lt;&gt;"",INDEX(DataOB[],FirstRow+ROW()-7,MATCH(AE$6,DataOB[#Headers],0)),"")</f>
        <v/>
      </c>
      <c r="AF455" s="26">
        <f t="shared" si="68"/>
        <v>0</v>
      </c>
      <c r="AG455" s="31">
        <f>SUM($T455:T455)</f>
        <v>0</v>
      </c>
      <c r="AH455" s="31">
        <f>SUM($T455:U455)</f>
        <v>0</v>
      </c>
      <c r="AI455" s="31">
        <f>SUM($T455:V455)</f>
        <v>0</v>
      </c>
      <c r="AJ455" s="31">
        <f>SUM($T455:W455)</f>
        <v>0</v>
      </c>
      <c r="AK455" s="31">
        <f>SUM($T455:X455)</f>
        <v>0</v>
      </c>
      <c r="AL455" s="31">
        <f>SUM($T455:Y455)</f>
        <v>0</v>
      </c>
      <c r="AM455" s="31">
        <f>SUM($T455:Z455)</f>
        <v>0</v>
      </c>
      <c r="AN455" s="31">
        <f>SUM($T455:AA455)</f>
        <v>0</v>
      </c>
      <c r="AO455" s="31">
        <f>SUM($T455:AB455)</f>
        <v>0</v>
      </c>
      <c r="AP455" s="31">
        <f>SUM($T455:AC455)</f>
        <v>0</v>
      </c>
      <c r="AQ455" s="31">
        <f>SUM($T455:AD455)</f>
        <v>0</v>
      </c>
      <c r="AR455" s="31">
        <f>SUM($T455:AE455)</f>
        <v>0</v>
      </c>
      <c r="AS455" s="27">
        <f t="shared" si="69"/>
        <v>0</v>
      </c>
    </row>
    <row r="456" spans="2:45">
      <c r="B456" s="102" t="str">
        <f>IF(ROW()-6&gt;NumCostCenter,"",IF(CostCenter&lt;&gt;"ALL",CostCenter,DATA_LF2!B454))</f>
        <v/>
      </c>
      <c r="C456" s="153" t="str">
        <f>IF($B456&lt;&gt;"",INDEX(DataOB[],FirstRow+ROW()-7,2),"")</f>
        <v/>
      </c>
      <c r="D456" s="66" t="str">
        <f>IF($B456&lt;&gt;"",INDEX(DataOB[],FirstRow+ROW()-7,3),"")</f>
        <v/>
      </c>
      <c r="E456" s="103" t="str">
        <f>IF($B456&lt;&gt;"",INDEX(DataOB[],FirstRow+ROW()-7,6),"")</f>
        <v/>
      </c>
      <c r="F456" s="103" t="str">
        <f>IF($B456&lt;&gt;"",INDEX(DataOB[],FirstRow+ROW()-7,5),"")</f>
        <v/>
      </c>
      <c r="G456" s="58">
        <f>IF($B456&lt;&gt;"",SUMIFS(DataAct_tbl[AMOUNT],DataAct_tbl[BG CODE],Detail!$D456,DataAct_tbl[MONTH],LEFT(MonthName,3),DataAct_tbl[Dept code],$B456),0)</f>
        <v>0</v>
      </c>
      <c r="H456" s="31" t="str">
        <f t="shared" si="70"/>
        <v/>
      </c>
      <c r="I456" s="28" t="str">
        <f t="shared" ref="I456:I519" si="71">IFERROR(+G456-H456,"")</f>
        <v/>
      </c>
      <c r="J456" s="32" t="str">
        <f t="shared" ref="J456:J519" si="72">IFERROR(+IF(H456&gt;0,G456/H456," "),"")</f>
        <v/>
      </c>
      <c r="K456" s="86"/>
      <c r="L456" s="62">
        <f>IF($B456&lt;&gt;"",SUMIFS(DataAct_tbl[AMOUNT],DataAct_tbl[BG CODE],Detail!$D456,DataAct_tbl[Check Range],"=true",DataAct_tbl[Dept code],$B456),0)</f>
        <v>0</v>
      </c>
      <c r="M456" s="63">
        <f>INDEX($AG$7:$AR$1005,ROW()-6,MATCH(MTD,$AG$6:$AR$6,0))</f>
        <v>0</v>
      </c>
      <c r="N456" s="34">
        <f t="shared" ref="N456:N519" si="73">IFERROR(+L456-M456,"")</f>
        <v>0</v>
      </c>
      <c r="O456" s="64" t="str">
        <f t="shared" ref="O456:O519" si="74">IFERROR(+IF(M456&gt;0,L456/M456," "),"")</f>
        <v xml:space="preserve"> </v>
      </c>
      <c r="Q456" s="97">
        <f t="shared" ref="Q456:Q519" si="75">AF456</f>
        <v>0</v>
      </c>
      <c r="R456" s="96">
        <f t="shared" ref="R456:R519" si="76">Q456-L456</f>
        <v>0</v>
      </c>
      <c r="T456" s="67" t="str">
        <f>IF($B456&lt;&gt;"",INDEX(DataOB[],FirstRow+ROW()-7,MATCH(T$6,DataOB[#Headers],0)),"")</f>
        <v/>
      </c>
      <c r="U456" s="67" t="str">
        <f>IF($B456&lt;&gt;"",INDEX(DataOB[],FirstRow+ROW()-7,MATCH(U$6,DataOB[#Headers],0)),"")</f>
        <v/>
      </c>
      <c r="V456" s="67" t="str">
        <f>IF($B456&lt;&gt;"",INDEX(DataOB[],FirstRow+ROW()-7,MATCH(V$6,DataOB[#Headers],0)),"")</f>
        <v/>
      </c>
      <c r="W456" s="67" t="str">
        <f>IF($B456&lt;&gt;"",INDEX(DataOB[],FirstRow+ROW()-7,MATCH(W$6,DataOB[#Headers],0)),"")</f>
        <v/>
      </c>
      <c r="X456" s="67" t="str">
        <f>IF($B456&lt;&gt;"",INDEX(DataOB[],FirstRow+ROW()-7,MATCH(X$6,DataOB[#Headers],0)),"")</f>
        <v/>
      </c>
      <c r="Y456" s="67" t="str">
        <f>IF($B456&lt;&gt;"",INDEX(DataOB[],FirstRow+ROW()-7,MATCH(Y$6,DataOB[#Headers],0)),"")</f>
        <v/>
      </c>
      <c r="Z456" s="67" t="str">
        <f>IF($B456&lt;&gt;"",INDEX(DataOB[],FirstRow+ROW()-7,MATCH(Z$6,DataOB[#Headers],0)),"")</f>
        <v/>
      </c>
      <c r="AA456" s="67" t="str">
        <f>IF($B456&lt;&gt;"",INDEX(DataOB[],FirstRow+ROW()-7,MATCH(AA$6,DataOB[#Headers],0)),"")</f>
        <v/>
      </c>
      <c r="AB456" s="67" t="str">
        <f>IF($B456&lt;&gt;"",INDEX(DataOB[],FirstRow+ROW()-7,MATCH(AB$6,DataOB[#Headers],0)),"")</f>
        <v/>
      </c>
      <c r="AC456" s="67" t="str">
        <f>IF($B456&lt;&gt;"",INDEX(DataOB[],FirstRow+ROW()-7,MATCH(AC$6,DataOB[#Headers],0)),"")</f>
        <v/>
      </c>
      <c r="AD456" s="67" t="str">
        <f>IF($B456&lt;&gt;"",INDEX(DataOB[],FirstRow+ROW()-7,MATCH(AD$6,DataOB[#Headers],0)),"")</f>
        <v/>
      </c>
      <c r="AE456" s="67" t="str">
        <f>IF($B456&lt;&gt;"",INDEX(DataOB[],FirstRow+ROW()-7,MATCH(AE$6,DataOB[#Headers],0)),"")</f>
        <v/>
      </c>
      <c r="AF456" s="26">
        <f t="shared" ref="AF456:AF519" si="77">+SUM(T456:AE456)</f>
        <v>0</v>
      </c>
      <c r="AG456" s="31">
        <f>SUM($T456:T456)</f>
        <v>0</v>
      </c>
      <c r="AH456" s="31">
        <f>SUM($T456:U456)</f>
        <v>0</v>
      </c>
      <c r="AI456" s="31">
        <f>SUM($T456:V456)</f>
        <v>0</v>
      </c>
      <c r="AJ456" s="31">
        <f>SUM($T456:W456)</f>
        <v>0</v>
      </c>
      <c r="AK456" s="31">
        <f>SUM($T456:X456)</f>
        <v>0</v>
      </c>
      <c r="AL456" s="31">
        <f>SUM($T456:Y456)</f>
        <v>0</v>
      </c>
      <c r="AM456" s="31">
        <f>SUM($T456:Z456)</f>
        <v>0</v>
      </c>
      <c r="AN456" s="31">
        <f>SUM($T456:AA456)</f>
        <v>0</v>
      </c>
      <c r="AO456" s="31">
        <f>SUM($T456:AB456)</f>
        <v>0</v>
      </c>
      <c r="AP456" s="31">
        <f>SUM($T456:AC456)</f>
        <v>0</v>
      </c>
      <c r="AQ456" s="31">
        <f>SUM($T456:AD456)</f>
        <v>0</v>
      </c>
      <c r="AR456" s="31">
        <f>SUM($T456:AE456)</f>
        <v>0</v>
      </c>
      <c r="AS456" s="27">
        <f t="shared" ref="AS456:AS519" si="78">AF456-AR456</f>
        <v>0</v>
      </c>
    </row>
    <row r="457" spans="2:45">
      <c r="B457" s="102" t="str">
        <f>IF(ROW()-6&gt;NumCostCenter,"",IF(CostCenter&lt;&gt;"ALL",CostCenter,DATA_LF2!B455))</f>
        <v/>
      </c>
      <c r="C457" s="153" t="str">
        <f>IF($B457&lt;&gt;"",INDEX(DataOB[],FirstRow+ROW()-7,2),"")</f>
        <v/>
      </c>
      <c r="D457" s="66" t="str">
        <f>IF($B457&lt;&gt;"",INDEX(DataOB[],FirstRow+ROW()-7,3),"")</f>
        <v/>
      </c>
      <c r="E457" s="103" t="str">
        <f>IF($B457&lt;&gt;"",INDEX(DataOB[],FirstRow+ROW()-7,6),"")</f>
        <v/>
      </c>
      <c r="F457" s="103" t="str">
        <f>IF($B457&lt;&gt;"",INDEX(DataOB[],FirstRow+ROW()-7,5),"")</f>
        <v/>
      </c>
      <c r="G457" s="58">
        <f>IF($B457&lt;&gt;"",SUMIFS(DataAct_tbl[AMOUNT],DataAct_tbl[BG CODE],Detail!$D457,DataAct_tbl[MONTH],LEFT(MonthName,3),DataAct_tbl[Dept code],$B457),0)</f>
        <v>0</v>
      </c>
      <c r="H457" s="31" t="str">
        <f t="shared" si="70"/>
        <v/>
      </c>
      <c r="I457" s="28" t="str">
        <f t="shared" si="71"/>
        <v/>
      </c>
      <c r="J457" s="32" t="str">
        <f t="shared" si="72"/>
        <v/>
      </c>
      <c r="K457" s="86"/>
      <c r="L457" s="62">
        <f>IF($B457&lt;&gt;"",SUMIFS(DataAct_tbl[AMOUNT],DataAct_tbl[BG CODE],Detail!$D457,DataAct_tbl[Check Range],"=true",DataAct_tbl[Dept code],$B457),0)</f>
        <v>0</v>
      </c>
      <c r="M457" s="63">
        <f>INDEX($AG$7:$AR$1005,ROW()-6,MATCH(MTD,$AG$6:$AR$6,0))</f>
        <v>0</v>
      </c>
      <c r="N457" s="34">
        <f t="shared" si="73"/>
        <v>0</v>
      </c>
      <c r="O457" s="64" t="str">
        <f t="shared" si="74"/>
        <v xml:space="preserve"> </v>
      </c>
      <c r="Q457" s="97">
        <f t="shared" si="75"/>
        <v>0</v>
      </c>
      <c r="R457" s="96">
        <f t="shared" si="76"/>
        <v>0</v>
      </c>
      <c r="T457" s="67" t="str">
        <f>IF($B457&lt;&gt;"",INDEX(DataOB[],FirstRow+ROW()-7,MATCH(T$6,DataOB[#Headers],0)),"")</f>
        <v/>
      </c>
      <c r="U457" s="67" t="str">
        <f>IF($B457&lt;&gt;"",INDEX(DataOB[],FirstRow+ROW()-7,MATCH(U$6,DataOB[#Headers],0)),"")</f>
        <v/>
      </c>
      <c r="V457" s="67" t="str">
        <f>IF($B457&lt;&gt;"",INDEX(DataOB[],FirstRow+ROW()-7,MATCH(V$6,DataOB[#Headers],0)),"")</f>
        <v/>
      </c>
      <c r="W457" s="67" t="str">
        <f>IF($B457&lt;&gt;"",INDEX(DataOB[],FirstRow+ROW()-7,MATCH(W$6,DataOB[#Headers],0)),"")</f>
        <v/>
      </c>
      <c r="X457" s="67" t="str">
        <f>IF($B457&lt;&gt;"",INDEX(DataOB[],FirstRow+ROW()-7,MATCH(X$6,DataOB[#Headers],0)),"")</f>
        <v/>
      </c>
      <c r="Y457" s="67" t="str">
        <f>IF($B457&lt;&gt;"",INDEX(DataOB[],FirstRow+ROW()-7,MATCH(Y$6,DataOB[#Headers],0)),"")</f>
        <v/>
      </c>
      <c r="Z457" s="67" t="str">
        <f>IF($B457&lt;&gt;"",INDEX(DataOB[],FirstRow+ROW()-7,MATCH(Z$6,DataOB[#Headers],0)),"")</f>
        <v/>
      </c>
      <c r="AA457" s="67" t="str">
        <f>IF($B457&lt;&gt;"",INDEX(DataOB[],FirstRow+ROW()-7,MATCH(AA$6,DataOB[#Headers],0)),"")</f>
        <v/>
      </c>
      <c r="AB457" s="67" t="str">
        <f>IF($B457&lt;&gt;"",INDEX(DataOB[],FirstRow+ROW()-7,MATCH(AB$6,DataOB[#Headers],0)),"")</f>
        <v/>
      </c>
      <c r="AC457" s="67" t="str">
        <f>IF($B457&lt;&gt;"",INDEX(DataOB[],FirstRow+ROW()-7,MATCH(AC$6,DataOB[#Headers],0)),"")</f>
        <v/>
      </c>
      <c r="AD457" s="67" t="str">
        <f>IF($B457&lt;&gt;"",INDEX(DataOB[],FirstRow+ROW()-7,MATCH(AD$6,DataOB[#Headers],0)),"")</f>
        <v/>
      </c>
      <c r="AE457" s="67" t="str">
        <f>IF($B457&lt;&gt;"",INDEX(DataOB[],FirstRow+ROW()-7,MATCH(AE$6,DataOB[#Headers],0)),"")</f>
        <v/>
      </c>
      <c r="AF457" s="26">
        <f t="shared" si="77"/>
        <v>0</v>
      </c>
      <c r="AG457" s="31">
        <f>SUM($T457:T457)</f>
        <v>0</v>
      </c>
      <c r="AH457" s="31">
        <f>SUM($T457:U457)</f>
        <v>0</v>
      </c>
      <c r="AI457" s="31">
        <f>SUM($T457:V457)</f>
        <v>0</v>
      </c>
      <c r="AJ457" s="31">
        <f>SUM($T457:W457)</f>
        <v>0</v>
      </c>
      <c r="AK457" s="31">
        <f>SUM($T457:X457)</f>
        <v>0</v>
      </c>
      <c r="AL457" s="31">
        <f>SUM($T457:Y457)</f>
        <v>0</v>
      </c>
      <c r="AM457" s="31">
        <f>SUM($T457:Z457)</f>
        <v>0</v>
      </c>
      <c r="AN457" s="31">
        <f>SUM($T457:AA457)</f>
        <v>0</v>
      </c>
      <c r="AO457" s="31">
        <f>SUM($T457:AB457)</f>
        <v>0</v>
      </c>
      <c r="AP457" s="31">
        <f>SUM($T457:AC457)</f>
        <v>0</v>
      </c>
      <c r="AQ457" s="31">
        <f>SUM($T457:AD457)</f>
        <v>0</v>
      </c>
      <c r="AR457" s="31">
        <f>SUM($T457:AE457)</f>
        <v>0</v>
      </c>
      <c r="AS457" s="27">
        <f t="shared" si="78"/>
        <v>0</v>
      </c>
    </row>
    <row r="458" spans="2:45">
      <c r="B458" s="102" t="str">
        <f>IF(ROW()-6&gt;NumCostCenter,"",IF(CostCenter&lt;&gt;"ALL",CostCenter,DATA_LF2!B456))</f>
        <v/>
      </c>
      <c r="C458" s="153" t="str">
        <f>IF($B458&lt;&gt;"",INDEX(DataOB[],FirstRow+ROW()-7,2),"")</f>
        <v/>
      </c>
      <c r="D458" s="66" t="str">
        <f>IF($B458&lt;&gt;"",INDEX(DataOB[],FirstRow+ROW()-7,3),"")</f>
        <v/>
      </c>
      <c r="E458" s="103" t="str">
        <f>IF($B458&lt;&gt;"",INDEX(DataOB[],FirstRow+ROW()-7,6),"")</f>
        <v/>
      </c>
      <c r="F458" s="103" t="str">
        <f>IF($B458&lt;&gt;"",INDEX(DataOB[],FirstRow+ROW()-7,5),"")</f>
        <v/>
      </c>
      <c r="G458" s="58">
        <f>IF($B458&lt;&gt;"",SUMIFS(DataAct_tbl[AMOUNT],DataAct_tbl[BG CODE],Detail!$D458,DataAct_tbl[MONTH],LEFT(MonthName,3),DataAct_tbl[Dept code],$B458),0)</f>
        <v>0</v>
      </c>
      <c r="H458" s="31" t="str">
        <f t="shared" si="70"/>
        <v/>
      </c>
      <c r="I458" s="28" t="str">
        <f t="shared" si="71"/>
        <v/>
      </c>
      <c r="J458" s="32" t="str">
        <f t="shared" si="72"/>
        <v/>
      </c>
      <c r="K458" s="86"/>
      <c r="L458" s="62">
        <f>IF($B458&lt;&gt;"",SUMIFS(DataAct_tbl[AMOUNT],DataAct_tbl[BG CODE],Detail!$D458,DataAct_tbl[Check Range],"=true",DataAct_tbl[Dept code],$B458),0)</f>
        <v>0</v>
      </c>
      <c r="M458" s="63">
        <f>INDEX($AG$7:$AR$1005,ROW()-6,MATCH(MTD,$AG$6:$AR$6,0))</f>
        <v>0</v>
      </c>
      <c r="N458" s="34">
        <f t="shared" si="73"/>
        <v>0</v>
      </c>
      <c r="O458" s="64" t="str">
        <f t="shared" si="74"/>
        <v xml:space="preserve"> </v>
      </c>
      <c r="Q458" s="97">
        <f t="shared" si="75"/>
        <v>0</v>
      </c>
      <c r="R458" s="96">
        <f t="shared" si="76"/>
        <v>0</v>
      </c>
      <c r="T458" s="67" t="str">
        <f>IF($B458&lt;&gt;"",INDEX(DataOB[],FirstRow+ROW()-7,MATCH(T$6,DataOB[#Headers],0)),"")</f>
        <v/>
      </c>
      <c r="U458" s="67" t="str">
        <f>IF($B458&lt;&gt;"",INDEX(DataOB[],FirstRow+ROW()-7,MATCH(U$6,DataOB[#Headers],0)),"")</f>
        <v/>
      </c>
      <c r="V458" s="67" t="str">
        <f>IF($B458&lt;&gt;"",INDEX(DataOB[],FirstRow+ROW()-7,MATCH(V$6,DataOB[#Headers],0)),"")</f>
        <v/>
      </c>
      <c r="W458" s="67" t="str">
        <f>IF($B458&lt;&gt;"",INDEX(DataOB[],FirstRow+ROW()-7,MATCH(W$6,DataOB[#Headers],0)),"")</f>
        <v/>
      </c>
      <c r="X458" s="67" t="str">
        <f>IF($B458&lt;&gt;"",INDEX(DataOB[],FirstRow+ROW()-7,MATCH(X$6,DataOB[#Headers],0)),"")</f>
        <v/>
      </c>
      <c r="Y458" s="67" t="str">
        <f>IF($B458&lt;&gt;"",INDEX(DataOB[],FirstRow+ROW()-7,MATCH(Y$6,DataOB[#Headers],0)),"")</f>
        <v/>
      </c>
      <c r="Z458" s="67" t="str">
        <f>IF($B458&lt;&gt;"",INDEX(DataOB[],FirstRow+ROW()-7,MATCH(Z$6,DataOB[#Headers],0)),"")</f>
        <v/>
      </c>
      <c r="AA458" s="67" t="str">
        <f>IF($B458&lt;&gt;"",INDEX(DataOB[],FirstRow+ROW()-7,MATCH(AA$6,DataOB[#Headers],0)),"")</f>
        <v/>
      </c>
      <c r="AB458" s="67" t="str">
        <f>IF($B458&lt;&gt;"",INDEX(DataOB[],FirstRow+ROW()-7,MATCH(AB$6,DataOB[#Headers],0)),"")</f>
        <v/>
      </c>
      <c r="AC458" s="67" t="str">
        <f>IF($B458&lt;&gt;"",INDEX(DataOB[],FirstRow+ROW()-7,MATCH(AC$6,DataOB[#Headers],0)),"")</f>
        <v/>
      </c>
      <c r="AD458" s="67" t="str">
        <f>IF($B458&lt;&gt;"",INDEX(DataOB[],FirstRow+ROW()-7,MATCH(AD$6,DataOB[#Headers],0)),"")</f>
        <v/>
      </c>
      <c r="AE458" s="67" t="str">
        <f>IF($B458&lt;&gt;"",INDEX(DataOB[],FirstRow+ROW()-7,MATCH(AE$6,DataOB[#Headers],0)),"")</f>
        <v/>
      </c>
      <c r="AF458" s="26">
        <f t="shared" si="77"/>
        <v>0</v>
      </c>
      <c r="AG458" s="31">
        <f>SUM($T458:T458)</f>
        <v>0</v>
      </c>
      <c r="AH458" s="31">
        <f>SUM($T458:U458)</f>
        <v>0</v>
      </c>
      <c r="AI458" s="31">
        <f>SUM($T458:V458)</f>
        <v>0</v>
      </c>
      <c r="AJ458" s="31">
        <f>SUM($T458:W458)</f>
        <v>0</v>
      </c>
      <c r="AK458" s="31">
        <f>SUM($T458:X458)</f>
        <v>0</v>
      </c>
      <c r="AL458" s="31">
        <f>SUM($T458:Y458)</f>
        <v>0</v>
      </c>
      <c r="AM458" s="31">
        <f>SUM($T458:Z458)</f>
        <v>0</v>
      </c>
      <c r="AN458" s="31">
        <f>SUM($T458:AA458)</f>
        <v>0</v>
      </c>
      <c r="AO458" s="31">
        <f>SUM($T458:AB458)</f>
        <v>0</v>
      </c>
      <c r="AP458" s="31">
        <f>SUM($T458:AC458)</f>
        <v>0</v>
      </c>
      <c r="AQ458" s="31">
        <f>SUM($T458:AD458)</f>
        <v>0</v>
      </c>
      <c r="AR458" s="31">
        <f>SUM($T458:AE458)</f>
        <v>0</v>
      </c>
      <c r="AS458" s="27">
        <f t="shared" si="78"/>
        <v>0</v>
      </c>
    </row>
    <row r="459" spans="2:45">
      <c r="B459" s="102" t="str">
        <f>IF(ROW()-6&gt;NumCostCenter,"",IF(CostCenter&lt;&gt;"ALL",CostCenter,DATA_LF2!B457))</f>
        <v/>
      </c>
      <c r="C459" s="153" t="str">
        <f>IF($B459&lt;&gt;"",INDEX(DataOB[],FirstRow+ROW()-7,2),"")</f>
        <v/>
      </c>
      <c r="D459" s="66" t="str">
        <f>IF($B459&lt;&gt;"",INDEX(DataOB[],FirstRow+ROW()-7,3),"")</f>
        <v/>
      </c>
      <c r="E459" s="103" t="str">
        <f>IF($B459&lt;&gt;"",INDEX(DataOB[],FirstRow+ROW()-7,6),"")</f>
        <v/>
      </c>
      <c r="F459" s="103" t="str">
        <f>IF($B459&lt;&gt;"",INDEX(DataOB[],FirstRow+ROW()-7,5),"")</f>
        <v/>
      </c>
      <c r="G459" s="58">
        <f>IF($B459&lt;&gt;"",SUMIFS(DataAct_tbl[AMOUNT],DataAct_tbl[BG CODE],Detail!$D459,DataAct_tbl[MONTH],LEFT(MonthName,3),DataAct_tbl[Dept code],$B459),0)</f>
        <v>0</v>
      </c>
      <c r="H459" s="31" t="str">
        <f t="shared" si="70"/>
        <v/>
      </c>
      <c r="I459" s="28" t="str">
        <f t="shared" si="71"/>
        <v/>
      </c>
      <c r="J459" s="32" t="str">
        <f t="shared" si="72"/>
        <v/>
      </c>
      <c r="K459" s="86"/>
      <c r="L459" s="62">
        <f>IF($B459&lt;&gt;"",SUMIFS(DataAct_tbl[AMOUNT],DataAct_tbl[BG CODE],Detail!$D459,DataAct_tbl[Check Range],"=true",DataAct_tbl[Dept code],$B459),0)</f>
        <v>0</v>
      </c>
      <c r="M459" s="63">
        <f>INDEX($AG$7:$AR$1005,ROW()-6,MATCH(MTD,$AG$6:$AR$6,0))</f>
        <v>0</v>
      </c>
      <c r="N459" s="34">
        <f t="shared" si="73"/>
        <v>0</v>
      </c>
      <c r="O459" s="64" t="str">
        <f t="shared" si="74"/>
        <v xml:space="preserve"> </v>
      </c>
      <c r="Q459" s="97">
        <f t="shared" si="75"/>
        <v>0</v>
      </c>
      <c r="R459" s="96">
        <f t="shared" si="76"/>
        <v>0</v>
      </c>
      <c r="T459" s="67" t="str">
        <f>IF($B459&lt;&gt;"",INDEX(DataOB[],FirstRow+ROW()-7,MATCH(T$6,DataOB[#Headers],0)),"")</f>
        <v/>
      </c>
      <c r="U459" s="67" t="str">
        <f>IF($B459&lt;&gt;"",INDEX(DataOB[],FirstRow+ROW()-7,MATCH(U$6,DataOB[#Headers],0)),"")</f>
        <v/>
      </c>
      <c r="V459" s="67" t="str">
        <f>IF($B459&lt;&gt;"",INDEX(DataOB[],FirstRow+ROW()-7,MATCH(V$6,DataOB[#Headers],0)),"")</f>
        <v/>
      </c>
      <c r="W459" s="67" t="str">
        <f>IF($B459&lt;&gt;"",INDEX(DataOB[],FirstRow+ROW()-7,MATCH(W$6,DataOB[#Headers],0)),"")</f>
        <v/>
      </c>
      <c r="X459" s="67" t="str">
        <f>IF($B459&lt;&gt;"",INDEX(DataOB[],FirstRow+ROW()-7,MATCH(X$6,DataOB[#Headers],0)),"")</f>
        <v/>
      </c>
      <c r="Y459" s="67" t="str">
        <f>IF($B459&lt;&gt;"",INDEX(DataOB[],FirstRow+ROW()-7,MATCH(Y$6,DataOB[#Headers],0)),"")</f>
        <v/>
      </c>
      <c r="Z459" s="67" t="str">
        <f>IF($B459&lt;&gt;"",INDEX(DataOB[],FirstRow+ROW()-7,MATCH(Z$6,DataOB[#Headers],0)),"")</f>
        <v/>
      </c>
      <c r="AA459" s="67" t="str">
        <f>IF($B459&lt;&gt;"",INDEX(DataOB[],FirstRow+ROW()-7,MATCH(AA$6,DataOB[#Headers],0)),"")</f>
        <v/>
      </c>
      <c r="AB459" s="67" t="str">
        <f>IF($B459&lt;&gt;"",INDEX(DataOB[],FirstRow+ROW()-7,MATCH(AB$6,DataOB[#Headers],0)),"")</f>
        <v/>
      </c>
      <c r="AC459" s="67" t="str">
        <f>IF($B459&lt;&gt;"",INDEX(DataOB[],FirstRow+ROW()-7,MATCH(AC$6,DataOB[#Headers],0)),"")</f>
        <v/>
      </c>
      <c r="AD459" s="67" t="str">
        <f>IF($B459&lt;&gt;"",INDEX(DataOB[],FirstRow+ROW()-7,MATCH(AD$6,DataOB[#Headers],0)),"")</f>
        <v/>
      </c>
      <c r="AE459" s="67" t="str">
        <f>IF($B459&lt;&gt;"",INDEX(DataOB[],FirstRow+ROW()-7,MATCH(AE$6,DataOB[#Headers],0)),"")</f>
        <v/>
      </c>
      <c r="AF459" s="26">
        <f t="shared" si="77"/>
        <v>0</v>
      </c>
      <c r="AG459" s="31">
        <f>SUM($T459:T459)</f>
        <v>0</v>
      </c>
      <c r="AH459" s="31">
        <f>SUM($T459:U459)</f>
        <v>0</v>
      </c>
      <c r="AI459" s="31">
        <f>SUM($T459:V459)</f>
        <v>0</v>
      </c>
      <c r="AJ459" s="31">
        <f>SUM($T459:W459)</f>
        <v>0</v>
      </c>
      <c r="AK459" s="31">
        <f>SUM($T459:X459)</f>
        <v>0</v>
      </c>
      <c r="AL459" s="31">
        <f>SUM($T459:Y459)</f>
        <v>0</v>
      </c>
      <c r="AM459" s="31">
        <f>SUM($T459:Z459)</f>
        <v>0</v>
      </c>
      <c r="AN459" s="31">
        <f>SUM($T459:AA459)</f>
        <v>0</v>
      </c>
      <c r="AO459" s="31">
        <f>SUM($T459:AB459)</f>
        <v>0</v>
      </c>
      <c r="AP459" s="31">
        <f>SUM($T459:AC459)</f>
        <v>0</v>
      </c>
      <c r="AQ459" s="31">
        <f>SUM($T459:AD459)</f>
        <v>0</v>
      </c>
      <c r="AR459" s="31">
        <f>SUM($T459:AE459)</f>
        <v>0</v>
      </c>
      <c r="AS459" s="27">
        <f t="shared" si="78"/>
        <v>0</v>
      </c>
    </row>
    <row r="460" spans="2:45">
      <c r="B460" s="102" t="str">
        <f>IF(ROW()-6&gt;NumCostCenter,"",IF(CostCenter&lt;&gt;"ALL",CostCenter,DATA_LF2!B458))</f>
        <v/>
      </c>
      <c r="C460" s="153" t="str">
        <f>IF($B460&lt;&gt;"",INDEX(DataOB[],FirstRow+ROW()-7,2),"")</f>
        <v/>
      </c>
      <c r="D460" s="66" t="str">
        <f>IF($B460&lt;&gt;"",INDEX(DataOB[],FirstRow+ROW()-7,3),"")</f>
        <v/>
      </c>
      <c r="E460" s="103" t="str">
        <f>IF($B460&lt;&gt;"",INDEX(DataOB[],FirstRow+ROW()-7,6),"")</f>
        <v/>
      </c>
      <c r="F460" s="103" t="str">
        <f>IF($B460&lt;&gt;"",INDEX(DataOB[],FirstRow+ROW()-7,5),"")</f>
        <v/>
      </c>
      <c r="G460" s="58">
        <f>IF($B460&lt;&gt;"",SUMIFS(DataAct_tbl[AMOUNT],DataAct_tbl[BG CODE],Detail!$D460,DataAct_tbl[MONTH],LEFT(MonthName,3),DataAct_tbl[Dept code],$B460),0)</f>
        <v>0</v>
      </c>
      <c r="H460" s="31" t="str">
        <f t="shared" si="70"/>
        <v/>
      </c>
      <c r="I460" s="28" t="str">
        <f t="shared" si="71"/>
        <v/>
      </c>
      <c r="J460" s="32" t="str">
        <f t="shared" si="72"/>
        <v/>
      </c>
      <c r="K460" s="86"/>
      <c r="L460" s="62">
        <f>IF($B460&lt;&gt;"",SUMIFS(DataAct_tbl[AMOUNT],DataAct_tbl[BG CODE],Detail!$D460,DataAct_tbl[Check Range],"=true",DataAct_tbl[Dept code],$B460),0)</f>
        <v>0</v>
      </c>
      <c r="M460" s="63">
        <f>INDEX($AG$7:$AR$1005,ROW()-6,MATCH(MTD,$AG$6:$AR$6,0))</f>
        <v>0</v>
      </c>
      <c r="N460" s="34">
        <f t="shared" si="73"/>
        <v>0</v>
      </c>
      <c r="O460" s="64" t="str">
        <f t="shared" si="74"/>
        <v xml:space="preserve"> </v>
      </c>
      <c r="Q460" s="97">
        <f t="shared" si="75"/>
        <v>0</v>
      </c>
      <c r="R460" s="96">
        <f t="shared" si="76"/>
        <v>0</v>
      </c>
      <c r="T460" s="67" t="str">
        <f>IF($B460&lt;&gt;"",INDEX(DataOB[],FirstRow+ROW()-7,MATCH(T$6,DataOB[#Headers],0)),"")</f>
        <v/>
      </c>
      <c r="U460" s="67" t="str">
        <f>IF($B460&lt;&gt;"",INDEX(DataOB[],FirstRow+ROW()-7,MATCH(U$6,DataOB[#Headers],0)),"")</f>
        <v/>
      </c>
      <c r="V460" s="67" t="str">
        <f>IF($B460&lt;&gt;"",INDEX(DataOB[],FirstRow+ROW()-7,MATCH(V$6,DataOB[#Headers],0)),"")</f>
        <v/>
      </c>
      <c r="W460" s="67" t="str">
        <f>IF($B460&lt;&gt;"",INDEX(DataOB[],FirstRow+ROW()-7,MATCH(W$6,DataOB[#Headers],0)),"")</f>
        <v/>
      </c>
      <c r="X460" s="67" t="str">
        <f>IF($B460&lt;&gt;"",INDEX(DataOB[],FirstRow+ROW()-7,MATCH(X$6,DataOB[#Headers],0)),"")</f>
        <v/>
      </c>
      <c r="Y460" s="67" t="str">
        <f>IF($B460&lt;&gt;"",INDEX(DataOB[],FirstRow+ROW()-7,MATCH(Y$6,DataOB[#Headers],0)),"")</f>
        <v/>
      </c>
      <c r="Z460" s="67" t="str">
        <f>IF($B460&lt;&gt;"",INDEX(DataOB[],FirstRow+ROW()-7,MATCH(Z$6,DataOB[#Headers],0)),"")</f>
        <v/>
      </c>
      <c r="AA460" s="67" t="str">
        <f>IF($B460&lt;&gt;"",INDEX(DataOB[],FirstRow+ROW()-7,MATCH(AA$6,DataOB[#Headers],0)),"")</f>
        <v/>
      </c>
      <c r="AB460" s="67" t="str">
        <f>IF($B460&lt;&gt;"",INDEX(DataOB[],FirstRow+ROW()-7,MATCH(AB$6,DataOB[#Headers],0)),"")</f>
        <v/>
      </c>
      <c r="AC460" s="67" t="str">
        <f>IF($B460&lt;&gt;"",INDEX(DataOB[],FirstRow+ROW()-7,MATCH(AC$6,DataOB[#Headers],0)),"")</f>
        <v/>
      </c>
      <c r="AD460" s="67" t="str">
        <f>IF($B460&lt;&gt;"",INDEX(DataOB[],FirstRow+ROW()-7,MATCH(AD$6,DataOB[#Headers],0)),"")</f>
        <v/>
      </c>
      <c r="AE460" s="67" t="str">
        <f>IF($B460&lt;&gt;"",INDEX(DataOB[],FirstRow+ROW()-7,MATCH(AE$6,DataOB[#Headers],0)),"")</f>
        <v/>
      </c>
      <c r="AF460" s="26">
        <f t="shared" si="77"/>
        <v>0</v>
      </c>
      <c r="AG460" s="31">
        <f>SUM($T460:T460)</f>
        <v>0</v>
      </c>
      <c r="AH460" s="31">
        <f>SUM($T460:U460)</f>
        <v>0</v>
      </c>
      <c r="AI460" s="31">
        <f>SUM($T460:V460)</f>
        <v>0</v>
      </c>
      <c r="AJ460" s="31">
        <f>SUM($T460:W460)</f>
        <v>0</v>
      </c>
      <c r="AK460" s="31">
        <f>SUM($T460:X460)</f>
        <v>0</v>
      </c>
      <c r="AL460" s="31">
        <f>SUM($T460:Y460)</f>
        <v>0</v>
      </c>
      <c r="AM460" s="31">
        <f>SUM($T460:Z460)</f>
        <v>0</v>
      </c>
      <c r="AN460" s="31">
        <f>SUM($T460:AA460)</f>
        <v>0</v>
      </c>
      <c r="AO460" s="31">
        <f>SUM($T460:AB460)</f>
        <v>0</v>
      </c>
      <c r="AP460" s="31">
        <f>SUM($T460:AC460)</f>
        <v>0</v>
      </c>
      <c r="AQ460" s="31">
        <f>SUM($T460:AD460)</f>
        <v>0</v>
      </c>
      <c r="AR460" s="31">
        <f>SUM($T460:AE460)</f>
        <v>0</v>
      </c>
      <c r="AS460" s="27">
        <f t="shared" si="78"/>
        <v>0</v>
      </c>
    </row>
    <row r="461" spans="2:45">
      <c r="B461" s="102" t="str">
        <f>IF(ROW()-6&gt;NumCostCenter,"",IF(CostCenter&lt;&gt;"ALL",CostCenter,DATA_LF2!B459))</f>
        <v/>
      </c>
      <c r="C461" s="153" t="str">
        <f>IF($B461&lt;&gt;"",INDEX(DataOB[],FirstRow+ROW()-7,2),"")</f>
        <v/>
      </c>
      <c r="D461" s="66" t="str">
        <f>IF($B461&lt;&gt;"",INDEX(DataOB[],FirstRow+ROW()-7,3),"")</f>
        <v/>
      </c>
      <c r="E461" s="103" t="str">
        <f>IF($B461&lt;&gt;"",INDEX(DataOB[],FirstRow+ROW()-7,6),"")</f>
        <v/>
      </c>
      <c r="F461" s="103" t="str">
        <f>IF($B461&lt;&gt;"",INDEX(DataOB[],FirstRow+ROW()-7,5),"")</f>
        <v/>
      </c>
      <c r="G461" s="58">
        <f>IF($B461&lt;&gt;"",SUMIFS(DataAct_tbl[AMOUNT],DataAct_tbl[BG CODE],Detail!$D461,DataAct_tbl[MONTH],LEFT(MonthName,3),DataAct_tbl[Dept code],$B461),0)</f>
        <v>0</v>
      </c>
      <c r="H461" s="31" t="str">
        <f t="shared" si="70"/>
        <v/>
      </c>
      <c r="I461" s="28" t="str">
        <f t="shared" si="71"/>
        <v/>
      </c>
      <c r="J461" s="32" t="str">
        <f t="shared" si="72"/>
        <v/>
      </c>
      <c r="K461" s="86"/>
      <c r="L461" s="62">
        <f>IF($B461&lt;&gt;"",SUMIFS(DataAct_tbl[AMOUNT],DataAct_tbl[BG CODE],Detail!$D461,DataAct_tbl[Check Range],"=true",DataAct_tbl[Dept code],$B461),0)</f>
        <v>0</v>
      </c>
      <c r="M461" s="63">
        <f>INDEX($AG$7:$AR$1005,ROW()-6,MATCH(MTD,$AG$6:$AR$6,0))</f>
        <v>0</v>
      </c>
      <c r="N461" s="34">
        <f t="shared" si="73"/>
        <v>0</v>
      </c>
      <c r="O461" s="64" t="str">
        <f t="shared" si="74"/>
        <v xml:space="preserve"> </v>
      </c>
      <c r="Q461" s="97">
        <f t="shared" si="75"/>
        <v>0</v>
      </c>
      <c r="R461" s="96">
        <f t="shared" si="76"/>
        <v>0</v>
      </c>
      <c r="T461" s="67" t="str">
        <f>IF($B461&lt;&gt;"",INDEX(DataOB[],FirstRow+ROW()-7,MATCH(T$6,DataOB[#Headers],0)),"")</f>
        <v/>
      </c>
      <c r="U461" s="67" t="str">
        <f>IF($B461&lt;&gt;"",INDEX(DataOB[],FirstRow+ROW()-7,MATCH(U$6,DataOB[#Headers],0)),"")</f>
        <v/>
      </c>
      <c r="V461" s="67" t="str">
        <f>IF($B461&lt;&gt;"",INDEX(DataOB[],FirstRow+ROW()-7,MATCH(V$6,DataOB[#Headers],0)),"")</f>
        <v/>
      </c>
      <c r="W461" s="67" t="str">
        <f>IF($B461&lt;&gt;"",INDEX(DataOB[],FirstRow+ROW()-7,MATCH(W$6,DataOB[#Headers],0)),"")</f>
        <v/>
      </c>
      <c r="X461" s="67" t="str">
        <f>IF($B461&lt;&gt;"",INDEX(DataOB[],FirstRow+ROW()-7,MATCH(X$6,DataOB[#Headers],0)),"")</f>
        <v/>
      </c>
      <c r="Y461" s="67" t="str">
        <f>IF($B461&lt;&gt;"",INDEX(DataOB[],FirstRow+ROW()-7,MATCH(Y$6,DataOB[#Headers],0)),"")</f>
        <v/>
      </c>
      <c r="Z461" s="67" t="str">
        <f>IF($B461&lt;&gt;"",INDEX(DataOB[],FirstRow+ROW()-7,MATCH(Z$6,DataOB[#Headers],0)),"")</f>
        <v/>
      </c>
      <c r="AA461" s="67" t="str">
        <f>IF($B461&lt;&gt;"",INDEX(DataOB[],FirstRow+ROW()-7,MATCH(AA$6,DataOB[#Headers],0)),"")</f>
        <v/>
      </c>
      <c r="AB461" s="67" t="str">
        <f>IF($B461&lt;&gt;"",INDEX(DataOB[],FirstRow+ROW()-7,MATCH(AB$6,DataOB[#Headers],0)),"")</f>
        <v/>
      </c>
      <c r="AC461" s="67" t="str">
        <f>IF($B461&lt;&gt;"",INDEX(DataOB[],FirstRow+ROW()-7,MATCH(AC$6,DataOB[#Headers],0)),"")</f>
        <v/>
      </c>
      <c r="AD461" s="67" t="str">
        <f>IF($B461&lt;&gt;"",INDEX(DataOB[],FirstRow+ROW()-7,MATCH(AD$6,DataOB[#Headers],0)),"")</f>
        <v/>
      </c>
      <c r="AE461" s="67" t="str">
        <f>IF($B461&lt;&gt;"",INDEX(DataOB[],FirstRow+ROW()-7,MATCH(AE$6,DataOB[#Headers],0)),"")</f>
        <v/>
      </c>
      <c r="AF461" s="26">
        <f t="shared" si="77"/>
        <v>0</v>
      </c>
      <c r="AG461" s="31">
        <f>SUM($T461:T461)</f>
        <v>0</v>
      </c>
      <c r="AH461" s="31">
        <f>SUM($T461:U461)</f>
        <v>0</v>
      </c>
      <c r="AI461" s="31">
        <f>SUM($T461:V461)</f>
        <v>0</v>
      </c>
      <c r="AJ461" s="31">
        <f>SUM($T461:W461)</f>
        <v>0</v>
      </c>
      <c r="AK461" s="31">
        <f>SUM($T461:X461)</f>
        <v>0</v>
      </c>
      <c r="AL461" s="31">
        <f>SUM($T461:Y461)</f>
        <v>0</v>
      </c>
      <c r="AM461" s="31">
        <f>SUM($T461:Z461)</f>
        <v>0</v>
      </c>
      <c r="AN461" s="31">
        <f>SUM($T461:AA461)</f>
        <v>0</v>
      </c>
      <c r="AO461" s="31">
        <f>SUM($T461:AB461)</f>
        <v>0</v>
      </c>
      <c r="AP461" s="31">
        <f>SUM($T461:AC461)</f>
        <v>0</v>
      </c>
      <c r="AQ461" s="31">
        <f>SUM($T461:AD461)</f>
        <v>0</v>
      </c>
      <c r="AR461" s="31">
        <f>SUM($T461:AE461)</f>
        <v>0</v>
      </c>
      <c r="AS461" s="27">
        <f t="shared" si="78"/>
        <v>0</v>
      </c>
    </row>
    <row r="462" spans="2:45">
      <c r="B462" s="102" t="str">
        <f>IF(ROW()-6&gt;NumCostCenter,"",IF(CostCenter&lt;&gt;"ALL",CostCenter,DATA_LF2!B460))</f>
        <v/>
      </c>
      <c r="C462" s="153" t="str">
        <f>IF($B462&lt;&gt;"",INDEX(DataOB[],FirstRow+ROW()-7,2),"")</f>
        <v/>
      </c>
      <c r="D462" s="66" t="str">
        <f>IF($B462&lt;&gt;"",INDEX(DataOB[],FirstRow+ROW()-7,3),"")</f>
        <v/>
      </c>
      <c r="E462" s="103" t="str">
        <f>IF($B462&lt;&gt;"",INDEX(DataOB[],FirstRow+ROW()-7,6),"")</f>
        <v/>
      </c>
      <c r="F462" s="103" t="str">
        <f>IF($B462&lt;&gt;"",INDEX(DataOB[],FirstRow+ROW()-7,5),"")</f>
        <v/>
      </c>
      <c r="G462" s="58">
        <f>IF($B462&lt;&gt;"",SUMIFS(DataAct_tbl[AMOUNT],DataAct_tbl[BG CODE],Detail!$D462,DataAct_tbl[MONTH],LEFT(MonthName,3),DataAct_tbl[Dept code],$B462),0)</f>
        <v>0</v>
      </c>
      <c r="H462" s="31" t="str">
        <f t="shared" si="70"/>
        <v/>
      </c>
      <c r="I462" s="28" t="str">
        <f t="shared" si="71"/>
        <v/>
      </c>
      <c r="J462" s="32" t="str">
        <f t="shared" si="72"/>
        <v/>
      </c>
      <c r="K462" s="86"/>
      <c r="L462" s="62">
        <f>IF($B462&lt;&gt;"",SUMIFS(DataAct_tbl[AMOUNT],DataAct_tbl[BG CODE],Detail!$D462,DataAct_tbl[Check Range],"=true",DataAct_tbl[Dept code],$B462),0)</f>
        <v>0</v>
      </c>
      <c r="M462" s="63">
        <f>INDEX($AG$7:$AR$1005,ROW()-6,MATCH(MTD,$AG$6:$AR$6,0))</f>
        <v>0</v>
      </c>
      <c r="N462" s="34">
        <f t="shared" si="73"/>
        <v>0</v>
      </c>
      <c r="O462" s="64" t="str">
        <f t="shared" si="74"/>
        <v xml:space="preserve"> </v>
      </c>
      <c r="Q462" s="97">
        <f t="shared" si="75"/>
        <v>0</v>
      </c>
      <c r="R462" s="96">
        <f t="shared" si="76"/>
        <v>0</v>
      </c>
      <c r="T462" s="67" t="str">
        <f>IF($B462&lt;&gt;"",INDEX(DataOB[],FirstRow+ROW()-7,MATCH(T$6,DataOB[#Headers],0)),"")</f>
        <v/>
      </c>
      <c r="U462" s="67" t="str">
        <f>IF($B462&lt;&gt;"",INDEX(DataOB[],FirstRow+ROW()-7,MATCH(U$6,DataOB[#Headers],0)),"")</f>
        <v/>
      </c>
      <c r="V462" s="67" t="str">
        <f>IF($B462&lt;&gt;"",INDEX(DataOB[],FirstRow+ROW()-7,MATCH(V$6,DataOB[#Headers],0)),"")</f>
        <v/>
      </c>
      <c r="W462" s="67" t="str">
        <f>IF($B462&lt;&gt;"",INDEX(DataOB[],FirstRow+ROW()-7,MATCH(W$6,DataOB[#Headers],0)),"")</f>
        <v/>
      </c>
      <c r="X462" s="67" t="str">
        <f>IF($B462&lt;&gt;"",INDEX(DataOB[],FirstRow+ROW()-7,MATCH(X$6,DataOB[#Headers],0)),"")</f>
        <v/>
      </c>
      <c r="Y462" s="67" t="str">
        <f>IF($B462&lt;&gt;"",INDEX(DataOB[],FirstRow+ROW()-7,MATCH(Y$6,DataOB[#Headers],0)),"")</f>
        <v/>
      </c>
      <c r="Z462" s="67" t="str">
        <f>IF($B462&lt;&gt;"",INDEX(DataOB[],FirstRow+ROW()-7,MATCH(Z$6,DataOB[#Headers],0)),"")</f>
        <v/>
      </c>
      <c r="AA462" s="67" t="str">
        <f>IF($B462&lt;&gt;"",INDEX(DataOB[],FirstRow+ROW()-7,MATCH(AA$6,DataOB[#Headers],0)),"")</f>
        <v/>
      </c>
      <c r="AB462" s="67" t="str">
        <f>IF($B462&lt;&gt;"",INDEX(DataOB[],FirstRow+ROW()-7,MATCH(AB$6,DataOB[#Headers],0)),"")</f>
        <v/>
      </c>
      <c r="AC462" s="67" t="str">
        <f>IF($B462&lt;&gt;"",INDEX(DataOB[],FirstRow+ROW()-7,MATCH(AC$6,DataOB[#Headers],0)),"")</f>
        <v/>
      </c>
      <c r="AD462" s="67" t="str">
        <f>IF($B462&lt;&gt;"",INDEX(DataOB[],FirstRow+ROW()-7,MATCH(AD$6,DataOB[#Headers],0)),"")</f>
        <v/>
      </c>
      <c r="AE462" s="67" t="str">
        <f>IF($B462&lt;&gt;"",INDEX(DataOB[],FirstRow+ROW()-7,MATCH(AE$6,DataOB[#Headers],0)),"")</f>
        <v/>
      </c>
      <c r="AF462" s="26">
        <f t="shared" si="77"/>
        <v>0</v>
      </c>
      <c r="AG462" s="31">
        <f>SUM($T462:T462)</f>
        <v>0</v>
      </c>
      <c r="AH462" s="31">
        <f>SUM($T462:U462)</f>
        <v>0</v>
      </c>
      <c r="AI462" s="31">
        <f>SUM($T462:V462)</f>
        <v>0</v>
      </c>
      <c r="AJ462" s="31">
        <f>SUM($T462:W462)</f>
        <v>0</v>
      </c>
      <c r="AK462" s="31">
        <f>SUM($T462:X462)</f>
        <v>0</v>
      </c>
      <c r="AL462" s="31">
        <f>SUM($T462:Y462)</f>
        <v>0</v>
      </c>
      <c r="AM462" s="31">
        <f>SUM($T462:Z462)</f>
        <v>0</v>
      </c>
      <c r="AN462" s="31">
        <f>SUM($T462:AA462)</f>
        <v>0</v>
      </c>
      <c r="AO462" s="31">
        <f>SUM($T462:AB462)</f>
        <v>0</v>
      </c>
      <c r="AP462" s="31">
        <f>SUM($T462:AC462)</f>
        <v>0</v>
      </c>
      <c r="AQ462" s="31">
        <f>SUM($T462:AD462)</f>
        <v>0</v>
      </c>
      <c r="AR462" s="31">
        <f>SUM($T462:AE462)</f>
        <v>0</v>
      </c>
      <c r="AS462" s="27">
        <f t="shared" si="78"/>
        <v>0</v>
      </c>
    </row>
    <row r="463" spans="2:45">
      <c r="B463" s="102" t="str">
        <f>IF(ROW()-6&gt;NumCostCenter,"",IF(CostCenter&lt;&gt;"ALL",CostCenter,DATA_LF2!B461))</f>
        <v/>
      </c>
      <c r="C463" s="153" t="str">
        <f>IF($B463&lt;&gt;"",INDEX(DataOB[],FirstRow+ROW()-7,2),"")</f>
        <v/>
      </c>
      <c r="D463" s="66" t="str">
        <f>IF($B463&lt;&gt;"",INDEX(DataOB[],FirstRow+ROW()-7,3),"")</f>
        <v/>
      </c>
      <c r="E463" s="103" t="str">
        <f>IF($B463&lt;&gt;"",INDEX(DataOB[],FirstRow+ROW()-7,6),"")</f>
        <v/>
      </c>
      <c r="F463" s="103" t="str">
        <f>IF($B463&lt;&gt;"",INDEX(DataOB[],FirstRow+ROW()-7,5),"")</f>
        <v/>
      </c>
      <c r="G463" s="58">
        <f>IF($B463&lt;&gt;"",SUMIFS(DataAct_tbl[AMOUNT],DataAct_tbl[BG CODE],Detail!$D463,DataAct_tbl[MONTH],LEFT(MonthName,3),DataAct_tbl[Dept code],$B463),0)</f>
        <v>0</v>
      </c>
      <c r="H463" s="31" t="str">
        <f t="shared" si="70"/>
        <v/>
      </c>
      <c r="I463" s="28" t="str">
        <f t="shared" si="71"/>
        <v/>
      </c>
      <c r="J463" s="32" t="str">
        <f t="shared" si="72"/>
        <v/>
      </c>
      <c r="K463" s="86"/>
      <c r="L463" s="62">
        <f>IF($B463&lt;&gt;"",SUMIFS(DataAct_tbl[AMOUNT],DataAct_tbl[BG CODE],Detail!$D463,DataAct_tbl[Check Range],"=true",DataAct_tbl[Dept code],$B463),0)</f>
        <v>0</v>
      </c>
      <c r="M463" s="63">
        <f>INDEX($AG$7:$AR$1005,ROW()-6,MATCH(MTD,$AG$6:$AR$6,0))</f>
        <v>0</v>
      </c>
      <c r="N463" s="34">
        <f t="shared" si="73"/>
        <v>0</v>
      </c>
      <c r="O463" s="64" t="str">
        <f t="shared" si="74"/>
        <v xml:space="preserve"> </v>
      </c>
      <c r="Q463" s="97">
        <f t="shared" si="75"/>
        <v>0</v>
      </c>
      <c r="R463" s="96">
        <f t="shared" si="76"/>
        <v>0</v>
      </c>
      <c r="T463" s="67" t="str">
        <f>IF($B463&lt;&gt;"",INDEX(DataOB[],FirstRow+ROW()-7,MATCH(T$6,DataOB[#Headers],0)),"")</f>
        <v/>
      </c>
      <c r="U463" s="67" t="str">
        <f>IF($B463&lt;&gt;"",INDEX(DataOB[],FirstRow+ROW()-7,MATCH(U$6,DataOB[#Headers],0)),"")</f>
        <v/>
      </c>
      <c r="V463" s="67" t="str">
        <f>IF($B463&lt;&gt;"",INDEX(DataOB[],FirstRow+ROW()-7,MATCH(V$6,DataOB[#Headers],0)),"")</f>
        <v/>
      </c>
      <c r="W463" s="67" t="str">
        <f>IF($B463&lt;&gt;"",INDEX(DataOB[],FirstRow+ROW()-7,MATCH(W$6,DataOB[#Headers],0)),"")</f>
        <v/>
      </c>
      <c r="X463" s="67" t="str">
        <f>IF($B463&lt;&gt;"",INDEX(DataOB[],FirstRow+ROW()-7,MATCH(X$6,DataOB[#Headers],0)),"")</f>
        <v/>
      </c>
      <c r="Y463" s="67" t="str">
        <f>IF($B463&lt;&gt;"",INDEX(DataOB[],FirstRow+ROW()-7,MATCH(Y$6,DataOB[#Headers],0)),"")</f>
        <v/>
      </c>
      <c r="Z463" s="67" t="str">
        <f>IF($B463&lt;&gt;"",INDEX(DataOB[],FirstRow+ROW()-7,MATCH(Z$6,DataOB[#Headers],0)),"")</f>
        <v/>
      </c>
      <c r="AA463" s="67" t="str">
        <f>IF($B463&lt;&gt;"",INDEX(DataOB[],FirstRow+ROW()-7,MATCH(AA$6,DataOB[#Headers],0)),"")</f>
        <v/>
      </c>
      <c r="AB463" s="67" t="str">
        <f>IF($B463&lt;&gt;"",INDEX(DataOB[],FirstRow+ROW()-7,MATCH(AB$6,DataOB[#Headers],0)),"")</f>
        <v/>
      </c>
      <c r="AC463" s="67" t="str">
        <f>IF($B463&lt;&gt;"",INDEX(DataOB[],FirstRow+ROW()-7,MATCH(AC$6,DataOB[#Headers],0)),"")</f>
        <v/>
      </c>
      <c r="AD463" s="67" t="str">
        <f>IF($B463&lt;&gt;"",INDEX(DataOB[],FirstRow+ROW()-7,MATCH(AD$6,DataOB[#Headers],0)),"")</f>
        <v/>
      </c>
      <c r="AE463" s="67" t="str">
        <f>IF($B463&lt;&gt;"",INDEX(DataOB[],FirstRow+ROW()-7,MATCH(AE$6,DataOB[#Headers],0)),"")</f>
        <v/>
      </c>
      <c r="AF463" s="26">
        <f t="shared" si="77"/>
        <v>0</v>
      </c>
      <c r="AG463" s="31">
        <f>SUM($T463:T463)</f>
        <v>0</v>
      </c>
      <c r="AH463" s="31">
        <f>SUM($T463:U463)</f>
        <v>0</v>
      </c>
      <c r="AI463" s="31">
        <f>SUM($T463:V463)</f>
        <v>0</v>
      </c>
      <c r="AJ463" s="31">
        <f>SUM($T463:W463)</f>
        <v>0</v>
      </c>
      <c r="AK463" s="31">
        <f>SUM($T463:X463)</f>
        <v>0</v>
      </c>
      <c r="AL463" s="31">
        <f>SUM($T463:Y463)</f>
        <v>0</v>
      </c>
      <c r="AM463" s="31">
        <f>SUM($T463:Z463)</f>
        <v>0</v>
      </c>
      <c r="AN463" s="31">
        <f>SUM($T463:AA463)</f>
        <v>0</v>
      </c>
      <c r="AO463" s="31">
        <f>SUM($T463:AB463)</f>
        <v>0</v>
      </c>
      <c r="AP463" s="31">
        <f>SUM($T463:AC463)</f>
        <v>0</v>
      </c>
      <c r="AQ463" s="31">
        <f>SUM($T463:AD463)</f>
        <v>0</v>
      </c>
      <c r="AR463" s="31">
        <f>SUM($T463:AE463)</f>
        <v>0</v>
      </c>
      <c r="AS463" s="27">
        <f t="shared" si="78"/>
        <v>0</v>
      </c>
    </row>
    <row r="464" spans="2:45">
      <c r="B464" s="102" t="str">
        <f>IF(ROW()-6&gt;NumCostCenter,"",IF(CostCenter&lt;&gt;"ALL",CostCenter,DATA_LF2!B462))</f>
        <v/>
      </c>
      <c r="C464" s="153" t="str">
        <f>IF($B464&lt;&gt;"",INDEX(DataOB[],FirstRow+ROW()-7,2),"")</f>
        <v/>
      </c>
      <c r="D464" s="66" t="str">
        <f>IF($B464&lt;&gt;"",INDEX(DataOB[],FirstRow+ROW()-7,3),"")</f>
        <v/>
      </c>
      <c r="E464" s="103" t="str">
        <f>IF($B464&lt;&gt;"",INDEX(DataOB[],FirstRow+ROW()-7,6),"")</f>
        <v/>
      </c>
      <c r="F464" s="103" t="str">
        <f>IF($B464&lt;&gt;"",INDEX(DataOB[],FirstRow+ROW()-7,5),"")</f>
        <v/>
      </c>
      <c r="G464" s="58">
        <f>IF($B464&lt;&gt;"",SUMIFS(DataAct_tbl[AMOUNT],DataAct_tbl[BG CODE],Detail!$D464,DataAct_tbl[MONTH],LEFT(MonthName,3),DataAct_tbl[Dept code],$B464),0)</f>
        <v>0</v>
      </c>
      <c r="H464" s="31" t="str">
        <f t="shared" si="70"/>
        <v/>
      </c>
      <c r="I464" s="28" t="str">
        <f t="shared" si="71"/>
        <v/>
      </c>
      <c r="J464" s="32" t="str">
        <f t="shared" si="72"/>
        <v/>
      </c>
      <c r="K464" s="86"/>
      <c r="L464" s="62">
        <f>IF($B464&lt;&gt;"",SUMIFS(DataAct_tbl[AMOUNT],DataAct_tbl[BG CODE],Detail!$D464,DataAct_tbl[Check Range],"=true",DataAct_tbl[Dept code],$B464),0)</f>
        <v>0</v>
      </c>
      <c r="M464" s="63">
        <f>INDEX($AG$7:$AR$1005,ROW()-6,MATCH(MTD,$AG$6:$AR$6,0))</f>
        <v>0</v>
      </c>
      <c r="N464" s="34">
        <f t="shared" si="73"/>
        <v>0</v>
      </c>
      <c r="O464" s="64" t="str">
        <f t="shared" si="74"/>
        <v xml:space="preserve"> </v>
      </c>
      <c r="Q464" s="97">
        <f t="shared" si="75"/>
        <v>0</v>
      </c>
      <c r="R464" s="96">
        <f t="shared" si="76"/>
        <v>0</v>
      </c>
      <c r="T464" s="67" t="str">
        <f>IF($B464&lt;&gt;"",INDEX(DataOB[],FirstRow+ROW()-7,MATCH(T$6,DataOB[#Headers],0)),"")</f>
        <v/>
      </c>
      <c r="U464" s="67" t="str">
        <f>IF($B464&lt;&gt;"",INDEX(DataOB[],FirstRow+ROW()-7,MATCH(U$6,DataOB[#Headers],0)),"")</f>
        <v/>
      </c>
      <c r="V464" s="67" t="str">
        <f>IF($B464&lt;&gt;"",INDEX(DataOB[],FirstRow+ROW()-7,MATCH(V$6,DataOB[#Headers],0)),"")</f>
        <v/>
      </c>
      <c r="W464" s="67" t="str">
        <f>IF($B464&lt;&gt;"",INDEX(DataOB[],FirstRow+ROW()-7,MATCH(W$6,DataOB[#Headers],0)),"")</f>
        <v/>
      </c>
      <c r="X464" s="67" t="str">
        <f>IF($B464&lt;&gt;"",INDEX(DataOB[],FirstRow+ROW()-7,MATCH(X$6,DataOB[#Headers],0)),"")</f>
        <v/>
      </c>
      <c r="Y464" s="67" t="str">
        <f>IF($B464&lt;&gt;"",INDEX(DataOB[],FirstRow+ROW()-7,MATCH(Y$6,DataOB[#Headers],0)),"")</f>
        <v/>
      </c>
      <c r="Z464" s="67" t="str">
        <f>IF($B464&lt;&gt;"",INDEX(DataOB[],FirstRow+ROW()-7,MATCH(Z$6,DataOB[#Headers],0)),"")</f>
        <v/>
      </c>
      <c r="AA464" s="67" t="str">
        <f>IF($B464&lt;&gt;"",INDEX(DataOB[],FirstRow+ROW()-7,MATCH(AA$6,DataOB[#Headers],0)),"")</f>
        <v/>
      </c>
      <c r="AB464" s="67" t="str">
        <f>IF($B464&lt;&gt;"",INDEX(DataOB[],FirstRow+ROW()-7,MATCH(AB$6,DataOB[#Headers],0)),"")</f>
        <v/>
      </c>
      <c r="AC464" s="67" t="str">
        <f>IF($B464&lt;&gt;"",INDEX(DataOB[],FirstRow+ROW()-7,MATCH(AC$6,DataOB[#Headers],0)),"")</f>
        <v/>
      </c>
      <c r="AD464" s="67" t="str">
        <f>IF($B464&lt;&gt;"",INDEX(DataOB[],FirstRow+ROW()-7,MATCH(AD$6,DataOB[#Headers],0)),"")</f>
        <v/>
      </c>
      <c r="AE464" s="67" t="str">
        <f>IF($B464&lt;&gt;"",INDEX(DataOB[],FirstRow+ROW()-7,MATCH(AE$6,DataOB[#Headers],0)),"")</f>
        <v/>
      </c>
      <c r="AF464" s="26">
        <f t="shared" si="77"/>
        <v>0</v>
      </c>
      <c r="AG464" s="31">
        <f>SUM($T464:T464)</f>
        <v>0</v>
      </c>
      <c r="AH464" s="31">
        <f>SUM($T464:U464)</f>
        <v>0</v>
      </c>
      <c r="AI464" s="31">
        <f>SUM($T464:V464)</f>
        <v>0</v>
      </c>
      <c r="AJ464" s="31">
        <f>SUM($T464:W464)</f>
        <v>0</v>
      </c>
      <c r="AK464" s="31">
        <f>SUM($T464:X464)</f>
        <v>0</v>
      </c>
      <c r="AL464" s="31">
        <f>SUM($T464:Y464)</f>
        <v>0</v>
      </c>
      <c r="AM464" s="31">
        <f>SUM($T464:Z464)</f>
        <v>0</v>
      </c>
      <c r="AN464" s="31">
        <f>SUM($T464:AA464)</f>
        <v>0</v>
      </c>
      <c r="AO464" s="31">
        <f>SUM($T464:AB464)</f>
        <v>0</v>
      </c>
      <c r="AP464" s="31">
        <f>SUM($T464:AC464)</f>
        <v>0</v>
      </c>
      <c r="AQ464" s="31">
        <f>SUM($T464:AD464)</f>
        <v>0</v>
      </c>
      <c r="AR464" s="31">
        <f>SUM($T464:AE464)</f>
        <v>0</v>
      </c>
      <c r="AS464" s="27">
        <f t="shared" si="78"/>
        <v>0</v>
      </c>
    </row>
    <row r="465" spans="2:45">
      <c r="B465" s="102" t="str">
        <f>IF(ROW()-6&gt;NumCostCenter,"",IF(CostCenter&lt;&gt;"ALL",CostCenter,DATA_LF2!B463))</f>
        <v/>
      </c>
      <c r="C465" s="153" t="str">
        <f>IF($B465&lt;&gt;"",INDEX(DataOB[],FirstRow+ROW()-7,2),"")</f>
        <v/>
      </c>
      <c r="D465" s="66" t="str">
        <f>IF($B465&lt;&gt;"",INDEX(DataOB[],FirstRow+ROW()-7,3),"")</f>
        <v/>
      </c>
      <c r="E465" s="103" t="str">
        <f>IF($B465&lt;&gt;"",INDEX(DataOB[],FirstRow+ROW()-7,6),"")</f>
        <v/>
      </c>
      <c r="F465" s="103" t="str">
        <f>IF($B465&lt;&gt;"",INDEX(DataOB[],FirstRow+ROW()-7,5),"")</f>
        <v/>
      </c>
      <c r="G465" s="58">
        <f>IF($B465&lt;&gt;"",SUMIFS(DataAct_tbl[AMOUNT],DataAct_tbl[BG CODE],Detail!$D465,DataAct_tbl[MONTH],LEFT(MonthName,3),DataAct_tbl[Dept code],$B465),0)</f>
        <v>0</v>
      </c>
      <c r="H465" s="31" t="str">
        <f t="shared" si="70"/>
        <v/>
      </c>
      <c r="I465" s="28" t="str">
        <f t="shared" si="71"/>
        <v/>
      </c>
      <c r="J465" s="32" t="str">
        <f t="shared" si="72"/>
        <v/>
      </c>
      <c r="K465" s="86"/>
      <c r="L465" s="62">
        <f>IF($B465&lt;&gt;"",SUMIFS(DataAct_tbl[AMOUNT],DataAct_tbl[BG CODE],Detail!$D465,DataAct_tbl[Check Range],"=true",DataAct_tbl[Dept code],$B465),0)</f>
        <v>0</v>
      </c>
      <c r="M465" s="63">
        <f>INDEX($AG$7:$AR$1005,ROW()-6,MATCH(MTD,$AG$6:$AR$6,0))</f>
        <v>0</v>
      </c>
      <c r="N465" s="34">
        <f t="shared" si="73"/>
        <v>0</v>
      </c>
      <c r="O465" s="64" t="str">
        <f t="shared" si="74"/>
        <v xml:space="preserve"> </v>
      </c>
      <c r="Q465" s="97">
        <f t="shared" si="75"/>
        <v>0</v>
      </c>
      <c r="R465" s="96">
        <f t="shared" si="76"/>
        <v>0</v>
      </c>
      <c r="T465" s="67" t="str">
        <f>IF($B465&lt;&gt;"",INDEX(DataOB[],FirstRow+ROW()-7,MATCH(T$6,DataOB[#Headers],0)),"")</f>
        <v/>
      </c>
      <c r="U465" s="67" t="str">
        <f>IF($B465&lt;&gt;"",INDEX(DataOB[],FirstRow+ROW()-7,MATCH(U$6,DataOB[#Headers],0)),"")</f>
        <v/>
      </c>
      <c r="V465" s="67" t="str">
        <f>IF($B465&lt;&gt;"",INDEX(DataOB[],FirstRow+ROW()-7,MATCH(V$6,DataOB[#Headers],0)),"")</f>
        <v/>
      </c>
      <c r="W465" s="67" t="str">
        <f>IF($B465&lt;&gt;"",INDEX(DataOB[],FirstRow+ROW()-7,MATCH(W$6,DataOB[#Headers],0)),"")</f>
        <v/>
      </c>
      <c r="X465" s="67" t="str">
        <f>IF($B465&lt;&gt;"",INDEX(DataOB[],FirstRow+ROW()-7,MATCH(X$6,DataOB[#Headers],0)),"")</f>
        <v/>
      </c>
      <c r="Y465" s="67" t="str">
        <f>IF($B465&lt;&gt;"",INDEX(DataOB[],FirstRow+ROW()-7,MATCH(Y$6,DataOB[#Headers],0)),"")</f>
        <v/>
      </c>
      <c r="Z465" s="67" t="str">
        <f>IF($B465&lt;&gt;"",INDEX(DataOB[],FirstRow+ROW()-7,MATCH(Z$6,DataOB[#Headers],0)),"")</f>
        <v/>
      </c>
      <c r="AA465" s="67" t="str">
        <f>IF($B465&lt;&gt;"",INDEX(DataOB[],FirstRow+ROW()-7,MATCH(AA$6,DataOB[#Headers],0)),"")</f>
        <v/>
      </c>
      <c r="AB465" s="67" t="str">
        <f>IF($B465&lt;&gt;"",INDEX(DataOB[],FirstRow+ROW()-7,MATCH(AB$6,DataOB[#Headers],0)),"")</f>
        <v/>
      </c>
      <c r="AC465" s="67" t="str">
        <f>IF($B465&lt;&gt;"",INDEX(DataOB[],FirstRow+ROW()-7,MATCH(AC$6,DataOB[#Headers],0)),"")</f>
        <v/>
      </c>
      <c r="AD465" s="67" t="str">
        <f>IF($B465&lt;&gt;"",INDEX(DataOB[],FirstRow+ROW()-7,MATCH(AD$6,DataOB[#Headers],0)),"")</f>
        <v/>
      </c>
      <c r="AE465" s="67" t="str">
        <f>IF($B465&lt;&gt;"",INDEX(DataOB[],FirstRow+ROW()-7,MATCH(AE$6,DataOB[#Headers],0)),"")</f>
        <v/>
      </c>
      <c r="AF465" s="26">
        <f t="shared" si="77"/>
        <v>0</v>
      </c>
      <c r="AG465" s="31">
        <f>SUM($T465:T465)</f>
        <v>0</v>
      </c>
      <c r="AH465" s="31">
        <f>SUM($T465:U465)</f>
        <v>0</v>
      </c>
      <c r="AI465" s="31">
        <f>SUM($T465:V465)</f>
        <v>0</v>
      </c>
      <c r="AJ465" s="31">
        <f>SUM($T465:W465)</f>
        <v>0</v>
      </c>
      <c r="AK465" s="31">
        <f>SUM($T465:X465)</f>
        <v>0</v>
      </c>
      <c r="AL465" s="31">
        <f>SUM($T465:Y465)</f>
        <v>0</v>
      </c>
      <c r="AM465" s="31">
        <f>SUM($T465:Z465)</f>
        <v>0</v>
      </c>
      <c r="AN465" s="31">
        <f>SUM($T465:AA465)</f>
        <v>0</v>
      </c>
      <c r="AO465" s="31">
        <f>SUM($T465:AB465)</f>
        <v>0</v>
      </c>
      <c r="AP465" s="31">
        <f>SUM($T465:AC465)</f>
        <v>0</v>
      </c>
      <c r="AQ465" s="31">
        <f>SUM($T465:AD465)</f>
        <v>0</v>
      </c>
      <c r="AR465" s="31">
        <f>SUM($T465:AE465)</f>
        <v>0</v>
      </c>
      <c r="AS465" s="27">
        <f t="shared" si="78"/>
        <v>0</v>
      </c>
    </row>
    <row r="466" spans="2:45">
      <c r="B466" s="102" t="str">
        <f>IF(ROW()-6&gt;NumCostCenter,"",IF(CostCenter&lt;&gt;"ALL",CostCenter,DATA_LF2!B464))</f>
        <v/>
      </c>
      <c r="C466" s="153" t="str">
        <f>IF($B466&lt;&gt;"",INDEX(DataOB[],FirstRow+ROW()-7,2),"")</f>
        <v/>
      </c>
      <c r="D466" s="66" t="str">
        <f>IF($B466&lt;&gt;"",INDEX(DataOB[],FirstRow+ROW()-7,3),"")</f>
        <v/>
      </c>
      <c r="E466" s="103" t="str">
        <f>IF($B466&lt;&gt;"",INDEX(DataOB[],FirstRow+ROW()-7,6),"")</f>
        <v/>
      </c>
      <c r="F466" s="103" t="str">
        <f>IF($B466&lt;&gt;"",INDEX(DataOB[],FirstRow+ROW()-7,5),"")</f>
        <v/>
      </c>
      <c r="G466" s="58">
        <f>IF($B466&lt;&gt;"",SUMIFS(DataAct_tbl[AMOUNT],DataAct_tbl[BG CODE],Detail!$D466,DataAct_tbl[MONTH],LEFT(MonthName,3),DataAct_tbl[Dept code],$B466),0)</f>
        <v>0</v>
      </c>
      <c r="H466" s="31" t="str">
        <f t="shared" si="70"/>
        <v/>
      </c>
      <c r="I466" s="28" t="str">
        <f t="shared" si="71"/>
        <v/>
      </c>
      <c r="J466" s="32" t="str">
        <f t="shared" si="72"/>
        <v/>
      </c>
      <c r="K466" s="86"/>
      <c r="L466" s="62">
        <f>IF($B466&lt;&gt;"",SUMIFS(DataAct_tbl[AMOUNT],DataAct_tbl[BG CODE],Detail!$D466,DataAct_tbl[Check Range],"=true",DataAct_tbl[Dept code],$B466),0)</f>
        <v>0</v>
      </c>
      <c r="M466" s="63">
        <f>INDEX($AG$7:$AR$1005,ROW()-6,MATCH(MTD,$AG$6:$AR$6,0))</f>
        <v>0</v>
      </c>
      <c r="N466" s="34">
        <f t="shared" si="73"/>
        <v>0</v>
      </c>
      <c r="O466" s="64" t="str">
        <f t="shared" si="74"/>
        <v xml:space="preserve"> </v>
      </c>
      <c r="Q466" s="97">
        <f t="shared" si="75"/>
        <v>0</v>
      </c>
      <c r="R466" s="96">
        <f t="shared" si="76"/>
        <v>0</v>
      </c>
      <c r="T466" s="67" t="str">
        <f>IF($B466&lt;&gt;"",INDEX(DataOB[],FirstRow+ROW()-7,MATCH(T$6,DataOB[#Headers],0)),"")</f>
        <v/>
      </c>
      <c r="U466" s="67" t="str">
        <f>IF($B466&lt;&gt;"",INDEX(DataOB[],FirstRow+ROW()-7,MATCH(U$6,DataOB[#Headers],0)),"")</f>
        <v/>
      </c>
      <c r="V466" s="67" t="str">
        <f>IF($B466&lt;&gt;"",INDEX(DataOB[],FirstRow+ROW()-7,MATCH(V$6,DataOB[#Headers],0)),"")</f>
        <v/>
      </c>
      <c r="W466" s="67" t="str">
        <f>IF($B466&lt;&gt;"",INDEX(DataOB[],FirstRow+ROW()-7,MATCH(W$6,DataOB[#Headers],0)),"")</f>
        <v/>
      </c>
      <c r="X466" s="67" t="str">
        <f>IF($B466&lt;&gt;"",INDEX(DataOB[],FirstRow+ROW()-7,MATCH(X$6,DataOB[#Headers],0)),"")</f>
        <v/>
      </c>
      <c r="Y466" s="67" t="str">
        <f>IF($B466&lt;&gt;"",INDEX(DataOB[],FirstRow+ROW()-7,MATCH(Y$6,DataOB[#Headers],0)),"")</f>
        <v/>
      </c>
      <c r="Z466" s="67" t="str">
        <f>IF($B466&lt;&gt;"",INDEX(DataOB[],FirstRow+ROW()-7,MATCH(Z$6,DataOB[#Headers],0)),"")</f>
        <v/>
      </c>
      <c r="AA466" s="67" t="str">
        <f>IF($B466&lt;&gt;"",INDEX(DataOB[],FirstRow+ROW()-7,MATCH(AA$6,DataOB[#Headers],0)),"")</f>
        <v/>
      </c>
      <c r="AB466" s="67" t="str">
        <f>IF($B466&lt;&gt;"",INDEX(DataOB[],FirstRow+ROW()-7,MATCH(AB$6,DataOB[#Headers],0)),"")</f>
        <v/>
      </c>
      <c r="AC466" s="67" t="str">
        <f>IF($B466&lt;&gt;"",INDEX(DataOB[],FirstRow+ROW()-7,MATCH(AC$6,DataOB[#Headers],0)),"")</f>
        <v/>
      </c>
      <c r="AD466" s="67" t="str">
        <f>IF($B466&lt;&gt;"",INDEX(DataOB[],FirstRow+ROW()-7,MATCH(AD$6,DataOB[#Headers],0)),"")</f>
        <v/>
      </c>
      <c r="AE466" s="67" t="str">
        <f>IF($B466&lt;&gt;"",INDEX(DataOB[],FirstRow+ROW()-7,MATCH(AE$6,DataOB[#Headers],0)),"")</f>
        <v/>
      </c>
      <c r="AF466" s="26">
        <f t="shared" si="77"/>
        <v>0</v>
      </c>
      <c r="AG466" s="31">
        <f>SUM($T466:T466)</f>
        <v>0</v>
      </c>
      <c r="AH466" s="31">
        <f>SUM($T466:U466)</f>
        <v>0</v>
      </c>
      <c r="AI466" s="31">
        <f>SUM($T466:V466)</f>
        <v>0</v>
      </c>
      <c r="AJ466" s="31">
        <f>SUM($T466:W466)</f>
        <v>0</v>
      </c>
      <c r="AK466" s="31">
        <f>SUM($T466:X466)</f>
        <v>0</v>
      </c>
      <c r="AL466" s="31">
        <f>SUM($T466:Y466)</f>
        <v>0</v>
      </c>
      <c r="AM466" s="31">
        <f>SUM($T466:Z466)</f>
        <v>0</v>
      </c>
      <c r="AN466" s="31">
        <f>SUM($T466:AA466)</f>
        <v>0</v>
      </c>
      <c r="AO466" s="31">
        <f>SUM($T466:AB466)</f>
        <v>0</v>
      </c>
      <c r="AP466" s="31">
        <f>SUM($T466:AC466)</f>
        <v>0</v>
      </c>
      <c r="AQ466" s="31">
        <f>SUM($T466:AD466)</f>
        <v>0</v>
      </c>
      <c r="AR466" s="31">
        <f>SUM($T466:AE466)</f>
        <v>0</v>
      </c>
      <c r="AS466" s="27">
        <f t="shared" si="78"/>
        <v>0</v>
      </c>
    </row>
    <row r="467" spans="2:45">
      <c r="B467" s="102" t="str">
        <f>IF(ROW()-6&gt;NumCostCenter,"",IF(CostCenter&lt;&gt;"ALL",CostCenter,DATA_LF2!B465))</f>
        <v/>
      </c>
      <c r="C467" s="153" t="str">
        <f>IF($B467&lt;&gt;"",INDEX(DataOB[],FirstRow+ROW()-7,2),"")</f>
        <v/>
      </c>
      <c r="D467" s="66" t="str">
        <f>IF($B467&lt;&gt;"",INDEX(DataOB[],FirstRow+ROW()-7,3),"")</f>
        <v/>
      </c>
      <c r="E467" s="103" t="str">
        <f>IF($B467&lt;&gt;"",INDEX(DataOB[],FirstRow+ROW()-7,6),"")</f>
        <v/>
      </c>
      <c r="F467" s="103" t="str">
        <f>IF($B467&lt;&gt;"",INDEX(DataOB[],FirstRow+ROW()-7,5),"")</f>
        <v/>
      </c>
      <c r="G467" s="58">
        <f>IF($B467&lt;&gt;"",SUMIFS(DataAct_tbl[AMOUNT],DataAct_tbl[BG CODE],Detail!$D467,DataAct_tbl[MONTH],LEFT(MonthName,3),DataAct_tbl[Dept code],$B467),0)</f>
        <v>0</v>
      </c>
      <c r="H467" s="31" t="str">
        <f t="shared" si="70"/>
        <v/>
      </c>
      <c r="I467" s="28" t="str">
        <f t="shared" si="71"/>
        <v/>
      </c>
      <c r="J467" s="32" t="str">
        <f t="shared" si="72"/>
        <v/>
      </c>
      <c r="K467" s="86"/>
      <c r="L467" s="62">
        <f>IF($B467&lt;&gt;"",SUMIFS(DataAct_tbl[AMOUNT],DataAct_tbl[BG CODE],Detail!$D467,DataAct_tbl[Check Range],"=true",DataAct_tbl[Dept code],$B467),0)</f>
        <v>0</v>
      </c>
      <c r="M467" s="63">
        <f>INDEX($AG$7:$AR$1005,ROW()-6,MATCH(MTD,$AG$6:$AR$6,0))</f>
        <v>0</v>
      </c>
      <c r="N467" s="34">
        <f t="shared" si="73"/>
        <v>0</v>
      </c>
      <c r="O467" s="64" t="str">
        <f t="shared" si="74"/>
        <v xml:space="preserve"> </v>
      </c>
      <c r="Q467" s="97">
        <f t="shared" si="75"/>
        <v>0</v>
      </c>
      <c r="R467" s="96">
        <f t="shared" si="76"/>
        <v>0</v>
      </c>
      <c r="T467" s="67" t="str">
        <f>IF($B467&lt;&gt;"",INDEX(DataOB[],FirstRow+ROW()-7,MATCH(T$6,DataOB[#Headers],0)),"")</f>
        <v/>
      </c>
      <c r="U467" s="67" t="str">
        <f>IF($B467&lt;&gt;"",INDEX(DataOB[],FirstRow+ROW()-7,MATCH(U$6,DataOB[#Headers],0)),"")</f>
        <v/>
      </c>
      <c r="V467" s="67" t="str">
        <f>IF($B467&lt;&gt;"",INDEX(DataOB[],FirstRow+ROW()-7,MATCH(V$6,DataOB[#Headers],0)),"")</f>
        <v/>
      </c>
      <c r="W467" s="67" t="str">
        <f>IF($B467&lt;&gt;"",INDEX(DataOB[],FirstRow+ROW()-7,MATCH(W$6,DataOB[#Headers],0)),"")</f>
        <v/>
      </c>
      <c r="X467" s="67" t="str">
        <f>IF($B467&lt;&gt;"",INDEX(DataOB[],FirstRow+ROW()-7,MATCH(X$6,DataOB[#Headers],0)),"")</f>
        <v/>
      </c>
      <c r="Y467" s="67" t="str">
        <f>IF($B467&lt;&gt;"",INDEX(DataOB[],FirstRow+ROW()-7,MATCH(Y$6,DataOB[#Headers],0)),"")</f>
        <v/>
      </c>
      <c r="Z467" s="67" t="str">
        <f>IF($B467&lt;&gt;"",INDEX(DataOB[],FirstRow+ROW()-7,MATCH(Z$6,DataOB[#Headers],0)),"")</f>
        <v/>
      </c>
      <c r="AA467" s="67" t="str">
        <f>IF($B467&lt;&gt;"",INDEX(DataOB[],FirstRow+ROW()-7,MATCH(AA$6,DataOB[#Headers],0)),"")</f>
        <v/>
      </c>
      <c r="AB467" s="67" t="str">
        <f>IF($B467&lt;&gt;"",INDEX(DataOB[],FirstRow+ROW()-7,MATCH(AB$6,DataOB[#Headers],0)),"")</f>
        <v/>
      </c>
      <c r="AC467" s="67" t="str">
        <f>IF($B467&lt;&gt;"",INDEX(DataOB[],FirstRow+ROW()-7,MATCH(AC$6,DataOB[#Headers],0)),"")</f>
        <v/>
      </c>
      <c r="AD467" s="67" t="str">
        <f>IF($B467&lt;&gt;"",INDEX(DataOB[],FirstRow+ROW()-7,MATCH(AD$6,DataOB[#Headers],0)),"")</f>
        <v/>
      </c>
      <c r="AE467" s="67" t="str">
        <f>IF($B467&lt;&gt;"",INDEX(DataOB[],FirstRow+ROW()-7,MATCH(AE$6,DataOB[#Headers],0)),"")</f>
        <v/>
      </c>
      <c r="AF467" s="26">
        <f t="shared" si="77"/>
        <v>0</v>
      </c>
      <c r="AG467" s="31">
        <f>SUM($T467:T467)</f>
        <v>0</v>
      </c>
      <c r="AH467" s="31">
        <f>SUM($T467:U467)</f>
        <v>0</v>
      </c>
      <c r="AI467" s="31">
        <f>SUM($T467:V467)</f>
        <v>0</v>
      </c>
      <c r="AJ467" s="31">
        <f>SUM($T467:W467)</f>
        <v>0</v>
      </c>
      <c r="AK467" s="31">
        <f>SUM($T467:X467)</f>
        <v>0</v>
      </c>
      <c r="AL467" s="31">
        <f>SUM($T467:Y467)</f>
        <v>0</v>
      </c>
      <c r="AM467" s="31">
        <f>SUM($T467:Z467)</f>
        <v>0</v>
      </c>
      <c r="AN467" s="31">
        <f>SUM($T467:AA467)</f>
        <v>0</v>
      </c>
      <c r="AO467" s="31">
        <f>SUM($T467:AB467)</f>
        <v>0</v>
      </c>
      <c r="AP467" s="31">
        <f>SUM($T467:AC467)</f>
        <v>0</v>
      </c>
      <c r="AQ467" s="31">
        <f>SUM($T467:AD467)</f>
        <v>0</v>
      </c>
      <c r="AR467" s="31">
        <f>SUM($T467:AE467)</f>
        <v>0</v>
      </c>
      <c r="AS467" s="27">
        <f t="shared" si="78"/>
        <v>0</v>
      </c>
    </row>
    <row r="468" spans="2:45">
      <c r="B468" s="102" t="str">
        <f>IF(ROW()-6&gt;NumCostCenter,"",IF(CostCenter&lt;&gt;"ALL",CostCenter,DATA_LF2!B466))</f>
        <v/>
      </c>
      <c r="C468" s="153" t="str">
        <f>IF($B468&lt;&gt;"",INDEX(DataOB[],FirstRow+ROW()-7,2),"")</f>
        <v/>
      </c>
      <c r="D468" s="66" t="str">
        <f>IF($B468&lt;&gt;"",INDEX(DataOB[],FirstRow+ROW()-7,3),"")</f>
        <v/>
      </c>
      <c r="E468" s="103" t="str">
        <f>IF($B468&lt;&gt;"",INDEX(DataOB[],FirstRow+ROW()-7,6),"")</f>
        <v/>
      </c>
      <c r="F468" s="103" t="str">
        <f>IF($B468&lt;&gt;"",INDEX(DataOB[],FirstRow+ROW()-7,5),"")</f>
        <v/>
      </c>
      <c r="G468" s="58">
        <f>IF($B468&lt;&gt;"",SUMIFS(DataAct_tbl[AMOUNT],DataAct_tbl[BG CODE],Detail!$D468,DataAct_tbl[MONTH],LEFT(MonthName,3),DataAct_tbl[Dept code],$B468),0)</f>
        <v>0</v>
      </c>
      <c r="H468" s="31" t="str">
        <f t="shared" si="70"/>
        <v/>
      </c>
      <c r="I468" s="28" t="str">
        <f t="shared" si="71"/>
        <v/>
      </c>
      <c r="J468" s="32" t="str">
        <f t="shared" si="72"/>
        <v/>
      </c>
      <c r="K468" s="86"/>
      <c r="L468" s="62">
        <f>IF($B468&lt;&gt;"",SUMIFS(DataAct_tbl[AMOUNT],DataAct_tbl[BG CODE],Detail!$D468,DataAct_tbl[Check Range],"=true",DataAct_tbl[Dept code],$B468),0)</f>
        <v>0</v>
      </c>
      <c r="M468" s="63">
        <f>INDEX($AG$7:$AR$1005,ROW()-6,MATCH(MTD,$AG$6:$AR$6,0))</f>
        <v>0</v>
      </c>
      <c r="N468" s="34">
        <f t="shared" si="73"/>
        <v>0</v>
      </c>
      <c r="O468" s="64" t="str">
        <f t="shared" si="74"/>
        <v xml:space="preserve"> </v>
      </c>
      <c r="Q468" s="97">
        <f t="shared" si="75"/>
        <v>0</v>
      </c>
      <c r="R468" s="96">
        <f t="shared" si="76"/>
        <v>0</v>
      </c>
      <c r="T468" s="67" t="str">
        <f>IF($B468&lt;&gt;"",INDEX(DataOB[],FirstRow+ROW()-7,MATCH(T$6,DataOB[#Headers],0)),"")</f>
        <v/>
      </c>
      <c r="U468" s="67" t="str">
        <f>IF($B468&lt;&gt;"",INDEX(DataOB[],FirstRow+ROW()-7,MATCH(U$6,DataOB[#Headers],0)),"")</f>
        <v/>
      </c>
      <c r="V468" s="67" t="str">
        <f>IF($B468&lt;&gt;"",INDEX(DataOB[],FirstRow+ROW()-7,MATCH(V$6,DataOB[#Headers],0)),"")</f>
        <v/>
      </c>
      <c r="W468" s="67" t="str">
        <f>IF($B468&lt;&gt;"",INDEX(DataOB[],FirstRow+ROW()-7,MATCH(W$6,DataOB[#Headers],0)),"")</f>
        <v/>
      </c>
      <c r="X468" s="67" t="str">
        <f>IF($B468&lt;&gt;"",INDEX(DataOB[],FirstRow+ROW()-7,MATCH(X$6,DataOB[#Headers],0)),"")</f>
        <v/>
      </c>
      <c r="Y468" s="67" t="str">
        <f>IF($B468&lt;&gt;"",INDEX(DataOB[],FirstRow+ROW()-7,MATCH(Y$6,DataOB[#Headers],0)),"")</f>
        <v/>
      </c>
      <c r="Z468" s="67" t="str">
        <f>IF($B468&lt;&gt;"",INDEX(DataOB[],FirstRow+ROW()-7,MATCH(Z$6,DataOB[#Headers],0)),"")</f>
        <v/>
      </c>
      <c r="AA468" s="67" t="str">
        <f>IF($B468&lt;&gt;"",INDEX(DataOB[],FirstRow+ROW()-7,MATCH(AA$6,DataOB[#Headers],0)),"")</f>
        <v/>
      </c>
      <c r="AB468" s="67" t="str">
        <f>IF($B468&lt;&gt;"",INDEX(DataOB[],FirstRow+ROW()-7,MATCH(AB$6,DataOB[#Headers],0)),"")</f>
        <v/>
      </c>
      <c r="AC468" s="67" t="str">
        <f>IF($B468&lt;&gt;"",INDEX(DataOB[],FirstRow+ROW()-7,MATCH(AC$6,DataOB[#Headers],0)),"")</f>
        <v/>
      </c>
      <c r="AD468" s="67" t="str">
        <f>IF($B468&lt;&gt;"",INDEX(DataOB[],FirstRow+ROW()-7,MATCH(AD$6,DataOB[#Headers],0)),"")</f>
        <v/>
      </c>
      <c r="AE468" s="67" t="str">
        <f>IF($B468&lt;&gt;"",INDEX(DataOB[],FirstRow+ROW()-7,MATCH(AE$6,DataOB[#Headers],0)),"")</f>
        <v/>
      </c>
      <c r="AF468" s="26">
        <f t="shared" si="77"/>
        <v>0</v>
      </c>
      <c r="AG468" s="31">
        <f>SUM($T468:T468)</f>
        <v>0</v>
      </c>
      <c r="AH468" s="31">
        <f>SUM($T468:U468)</f>
        <v>0</v>
      </c>
      <c r="AI468" s="31">
        <f>SUM($T468:V468)</f>
        <v>0</v>
      </c>
      <c r="AJ468" s="31">
        <f>SUM($T468:W468)</f>
        <v>0</v>
      </c>
      <c r="AK468" s="31">
        <f>SUM($T468:X468)</f>
        <v>0</v>
      </c>
      <c r="AL468" s="31">
        <f>SUM($T468:Y468)</f>
        <v>0</v>
      </c>
      <c r="AM468" s="31">
        <f>SUM($T468:Z468)</f>
        <v>0</v>
      </c>
      <c r="AN468" s="31">
        <f>SUM($T468:AA468)</f>
        <v>0</v>
      </c>
      <c r="AO468" s="31">
        <f>SUM($T468:AB468)</f>
        <v>0</v>
      </c>
      <c r="AP468" s="31">
        <f>SUM($T468:AC468)</f>
        <v>0</v>
      </c>
      <c r="AQ468" s="31">
        <f>SUM($T468:AD468)</f>
        <v>0</v>
      </c>
      <c r="AR468" s="31">
        <f>SUM($T468:AE468)</f>
        <v>0</v>
      </c>
      <c r="AS468" s="27">
        <f t="shared" si="78"/>
        <v>0</v>
      </c>
    </row>
    <row r="469" spans="2:45">
      <c r="B469" s="102" t="str">
        <f>IF(ROW()-6&gt;NumCostCenter,"",IF(CostCenter&lt;&gt;"ALL",CostCenter,DATA_LF2!B467))</f>
        <v/>
      </c>
      <c r="C469" s="153" t="str">
        <f>IF($B469&lt;&gt;"",INDEX(DataOB[],FirstRow+ROW()-7,2),"")</f>
        <v/>
      </c>
      <c r="D469" s="66" t="str">
        <f>IF($B469&lt;&gt;"",INDEX(DataOB[],FirstRow+ROW()-7,3),"")</f>
        <v/>
      </c>
      <c r="E469" s="103" t="str">
        <f>IF($B469&lt;&gt;"",INDEX(DataOB[],FirstRow+ROW()-7,6),"")</f>
        <v/>
      </c>
      <c r="F469" s="103" t="str">
        <f>IF($B469&lt;&gt;"",INDEX(DataOB[],FirstRow+ROW()-7,5),"")</f>
        <v/>
      </c>
      <c r="G469" s="58">
        <f>IF($B469&lt;&gt;"",SUMIFS(DataAct_tbl[AMOUNT],DataAct_tbl[BG CODE],Detail!$D469,DataAct_tbl[MONTH],LEFT(MonthName,3),DataAct_tbl[Dept code],$B469),0)</f>
        <v>0</v>
      </c>
      <c r="H469" s="31" t="str">
        <f t="shared" si="70"/>
        <v/>
      </c>
      <c r="I469" s="28" t="str">
        <f t="shared" si="71"/>
        <v/>
      </c>
      <c r="J469" s="32" t="str">
        <f t="shared" si="72"/>
        <v/>
      </c>
      <c r="K469" s="86"/>
      <c r="L469" s="62">
        <f>IF($B469&lt;&gt;"",SUMIFS(DataAct_tbl[AMOUNT],DataAct_tbl[BG CODE],Detail!$D469,DataAct_tbl[Check Range],"=true",DataAct_tbl[Dept code],$B469),0)</f>
        <v>0</v>
      </c>
      <c r="M469" s="63">
        <f>INDEX($AG$7:$AR$1005,ROW()-6,MATCH(MTD,$AG$6:$AR$6,0))</f>
        <v>0</v>
      </c>
      <c r="N469" s="34">
        <f t="shared" si="73"/>
        <v>0</v>
      </c>
      <c r="O469" s="64" t="str">
        <f t="shared" si="74"/>
        <v xml:space="preserve"> </v>
      </c>
      <c r="Q469" s="97">
        <f t="shared" si="75"/>
        <v>0</v>
      </c>
      <c r="R469" s="96">
        <f t="shared" si="76"/>
        <v>0</v>
      </c>
      <c r="T469" s="67" t="str">
        <f>IF($B469&lt;&gt;"",INDEX(DataOB[],FirstRow+ROW()-7,MATCH(T$6,DataOB[#Headers],0)),"")</f>
        <v/>
      </c>
      <c r="U469" s="67" t="str">
        <f>IF($B469&lt;&gt;"",INDEX(DataOB[],FirstRow+ROW()-7,MATCH(U$6,DataOB[#Headers],0)),"")</f>
        <v/>
      </c>
      <c r="V469" s="67" t="str">
        <f>IF($B469&lt;&gt;"",INDEX(DataOB[],FirstRow+ROW()-7,MATCH(V$6,DataOB[#Headers],0)),"")</f>
        <v/>
      </c>
      <c r="W469" s="67" t="str">
        <f>IF($B469&lt;&gt;"",INDEX(DataOB[],FirstRow+ROW()-7,MATCH(W$6,DataOB[#Headers],0)),"")</f>
        <v/>
      </c>
      <c r="X469" s="67" t="str">
        <f>IF($B469&lt;&gt;"",INDEX(DataOB[],FirstRow+ROW()-7,MATCH(X$6,DataOB[#Headers],0)),"")</f>
        <v/>
      </c>
      <c r="Y469" s="67" t="str">
        <f>IF($B469&lt;&gt;"",INDEX(DataOB[],FirstRow+ROW()-7,MATCH(Y$6,DataOB[#Headers],0)),"")</f>
        <v/>
      </c>
      <c r="Z469" s="67" t="str">
        <f>IF($B469&lt;&gt;"",INDEX(DataOB[],FirstRow+ROW()-7,MATCH(Z$6,DataOB[#Headers],0)),"")</f>
        <v/>
      </c>
      <c r="AA469" s="67" t="str">
        <f>IF($B469&lt;&gt;"",INDEX(DataOB[],FirstRow+ROW()-7,MATCH(AA$6,DataOB[#Headers],0)),"")</f>
        <v/>
      </c>
      <c r="AB469" s="67" t="str">
        <f>IF($B469&lt;&gt;"",INDEX(DataOB[],FirstRow+ROW()-7,MATCH(AB$6,DataOB[#Headers],0)),"")</f>
        <v/>
      </c>
      <c r="AC469" s="67" t="str">
        <f>IF($B469&lt;&gt;"",INDEX(DataOB[],FirstRow+ROW()-7,MATCH(AC$6,DataOB[#Headers],0)),"")</f>
        <v/>
      </c>
      <c r="AD469" s="67" t="str">
        <f>IF($B469&lt;&gt;"",INDEX(DataOB[],FirstRow+ROW()-7,MATCH(AD$6,DataOB[#Headers],0)),"")</f>
        <v/>
      </c>
      <c r="AE469" s="67" t="str">
        <f>IF($B469&lt;&gt;"",INDEX(DataOB[],FirstRow+ROW()-7,MATCH(AE$6,DataOB[#Headers],0)),"")</f>
        <v/>
      </c>
      <c r="AF469" s="26">
        <f t="shared" si="77"/>
        <v>0</v>
      </c>
      <c r="AG469" s="31">
        <f>SUM($T469:T469)</f>
        <v>0</v>
      </c>
      <c r="AH469" s="31">
        <f>SUM($T469:U469)</f>
        <v>0</v>
      </c>
      <c r="AI469" s="31">
        <f>SUM($T469:V469)</f>
        <v>0</v>
      </c>
      <c r="AJ469" s="31">
        <f>SUM($T469:W469)</f>
        <v>0</v>
      </c>
      <c r="AK469" s="31">
        <f>SUM($T469:X469)</f>
        <v>0</v>
      </c>
      <c r="AL469" s="31">
        <f>SUM($T469:Y469)</f>
        <v>0</v>
      </c>
      <c r="AM469" s="31">
        <f>SUM($T469:Z469)</f>
        <v>0</v>
      </c>
      <c r="AN469" s="31">
        <f>SUM($T469:AA469)</f>
        <v>0</v>
      </c>
      <c r="AO469" s="31">
        <f>SUM($T469:AB469)</f>
        <v>0</v>
      </c>
      <c r="AP469" s="31">
        <f>SUM($T469:AC469)</f>
        <v>0</v>
      </c>
      <c r="AQ469" s="31">
        <f>SUM($T469:AD469)</f>
        <v>0</v>
      </c>
      <c r="AR469" s="31">
        <f>SUM($T469:AE469)</f>
        <v>0</v>
      </c>
      <c r="AS469" s="27">
        <f t="shared" si="78"/>
        <v>0</v>
      </c>
    </row>
    <row r="470" spans="2:45">
      <c r="B470" s="102" t="str">
        <f>IF(ROW()-6&gt;NumCostCenter,"",IF(CostCenter&lt;&gt;"ALL",CostCenter,DATA_LF2!B468))</f>
        <v/>
      </c>
      <c r="C470" s="153" t="str">
        <f>IF($B470&lt;&gt;"",INDEX(DataOB[],FirstRow+ROW()-7,2),"")</f>
        <v/>
      </c>
      <c r="D470" s="66" t="str">
        <f>IF($B470&lt;&gt;"",INDEX(DataOB[],FirstRow+ROW()-7,3),"")</f>
        <v/>
      </c>
      <c r="E470" s="103" t="str">
        <f>IF($B470&lt;&gt;"",INDEX(DataOB[],FirstRow+ROW()-7,6),"")</f>
        <v/>
      </c>
      <c r="F470" s="103" t="str">
        <f>IF($B470&lt;&gt;"",INDEX(DataOB[],FirstRow+ROW()-7,5),"")</f>
        <v/>
      </c>
      <c r="G470" s="58">
        <f>IF($B470&lt;&gt;"",SUMIFS(DataAct_tbl[AMOUNT],DataAct_tbl[BG CODE],Detail!$D470,DataAct_tbl[MONTH],LEFT(MonthName,3),DataAct_tbl[Dept code],$B470),0)</f>
        <v>0</v>
      </c>
      <c r="H470" s="31" t="str">
        <f t="shared" si="70"/>
        <v/>
      </c>
      <c r="I470" s="28" t="str">
        <f t="shared" si="71"/>
        <v/>
      </c>
      <c r="J470" s="32" t="str">
        <f t="shared" si="72"/>
        <v/>
      </c>
      <c r="K470" s="86"/>
      <c r="L470" s="62">
        <f>IF($B470&lt;&gt;"",SUMIFS(DataAct_tbl[AMOUNT],DataAct_tbl[BG CODE],Detail!$D470,DataAct_tbl[Check Range],"=true",DataAct_tbl[Dept code],$B470),0)</f>
        <v>0</v>
      </c>
      <c r="M470" s="63">
        <f>INDEX($AG$7:$AR$1005,ROW()-6,MATCH(MTD,$AG$6:$AR$6,0))</f>
        <v>0</v>
      </c>
      <c r="N470" s="34">
        <f t="shared" si="73"/>
        <v>0</v>
      </c>
      <c r="O470" s="64" t="str">
        <f t="shared" si="74"/>
        <v xml:space="preserve"> </v>
      </c>
      <c r="Q470" s="97">
        <f t="shared" si="75"/>
        <v>0</v>
      </c>
      <c r="R470" s="96">
        <f t="shared" si="76"/>
        <v>0</v>
      </c>
      <c r="T470" s="67" t="str">
        <f>IF($B470&lt;&gt;"",INDEX(DataOB[],FirstRow+ROW()-7,MATCH(T$6,DataOB[#Headers],0)),"")</f>
        <v/>
      </c>
      <c r="U470" s="67" t="str">
        <f>IF($B470&lt;&gt;"",INDEX(DataOB[],FirstRow+ROW()-7,MATCH(U$6,DataOB[#Headers],0)),"")</f>
        <v/>
      </c>
      <c r="V470" s="67" t="str">
        <f>IF($B470&lt;&gt;"",INDEX(DataOB[],FirstRow+ROW()-7,MATCH(V$6,DataOB[#Headers],0)),"")</f>
        <v/>
      </c>
      <c r="W470" s="67" t="str">
        <f>IF($B470&lt;&gt;"",INDEX(DataOB[],FirstRow+ROW()-7,MATCH(W$6,DataOB[#Headers],0)),"")</f>
        <v/>
      </c>
      <c r="X470" s="67" t="str">
        <f>IF($B470&lt;&gt;"",INDEX(DataOB[],FirstRow+ROW()-7,MATCH(X$6,DataOB[#Headers],0)),"")</f>
        <v/>
      </c>
      <c r="Y470" s="67" t="str">
        <f>IF($B470&lt;&gt;"",INDEX(DataOB[],FirstRow+ROW()-7,MATCH(Y$6,DataOB[#Headers],0)),"")</f>
        <v/>
      </c>
      <c r="Z470" s="67" t="str">
        <f>IF($B470&lt;&gt;"",INDEX(DataOB[],FirstRow+ROW()-7,MATCH(Z$6,DataOB[#Headers],0)),"")</f>
        <v/>
      </c>
      <c r="AA470" s="67" t="str">
        <f>IF($B470&lt;&gt;"",INDEX(DataOB[],FirstRow+ROW()-7,MATCH(AA$6,DataOB[#Headers],0)),"")</f>
        <v/>
      </c>
      <c r="AB470" s="67" t="str">
        <f>IF($B470&lt;&gt;"",INDEX(DataOB[],FirstRow+ROW()-7,MATCH(AB$6,DataOB[#Headers],0)),"")</f>
        <v/>
      </c>
      <c r="AC470" s="67" t="str">
        <f>IF($B470&lt;&gt;"",INDEX(DataOB[],FirstRow+ROW()-7,MATCH(AC$6,DataOB[#Headers],0)),"")</f>
        <v/>
      </c>
      <c r="AD470" s="67" t="str">
        <f>IF($B470&lt;&gt;"",INDEX(DataOB[],FirstRow+ROW()-7,MATCH(AD$6,DataOB[#Headers],0)),"")</f>
        <v/>
      </c>
      <c r="AE470" s="67" t="str">
        <f>IF($B470&lt;&gt;"",INDEX(DataOB[],FirstRow+ROW()-7,MATCH(AE$6,DataOB[#Headers],0)),"")</f>
        <v/>
      </c>
      <c r="AF470" s="26">
        <f t="shared" si="77"/>
        <v>0</v>
      </c>
      <c r="AG470" s="31">
        <f>SUM($T470:T470)</f>
        <v>0</v>
      </c>
      <c r="AH470" s="31">
        <f>SUM($T470:U470)</f>
        <v>0</v>
      </c>
      <c r="AI470" s="31">
        <f>SUM($T470:V470)</f>
        <v>0</v>
      </c>
      <c r="AJ470" s="31">
        <f>SUM($T470:W470)</f>
        <v>0</v>
      </c>
      <c r="AK470" s="31">
        <f>SUM($T470:X470)</f>
        <v>0</v>
      </c>
      <c r="AL470" s="31">
        <f>SUM($T470:Y470)</f>
        <v>0</v>
      </c>
      <c r="AM470" s="31">
        <f>SUM($T470:Z470)</f>
        <v>0</v>
      </c>
      <c r="AN470" s="31">
        <f>SUM($T470:AA470)</f>
        <v>0</v>
      </c>
      <c r="AO470" s="31">
        <f>SUM($T470:AB470)</f>
        <v>0</v>
      </c>
      <c r="AP470" s="31">
        <f>SUM($T470:AC470)</f>
        <v>0</v>
      </c>
      <c r="AQ470" s="31">
        <f>SUM($T470:AD470)</f>
        <v>0</v>
      </c>
      <c r="AR470" s="31">
        <f>SUM($T470:AE470)</f>
        <v>0</v>
      </c>
      <c r="AS470" s="27">
        <f t="shared" si="78"/>
        <v>0</v>
      </c>
    </row>
    <row r="471" spans="2:45">
      <c r="B471" s="102" t="str">
        <f>IF(ROW()-6&gt;NumCostCenter,"",IF(CostCenter&lt;&gt;"ALL",CostCenter,DATA_LF2!B469))</f>
        <v/>
      </c>
      <c r="C471" s="153" t="str">
        <f>IF($B471&lt;&gt;"",INDEX(DataOB[],FirstRow+ROW()-7,2),"")</f>
        <v/>
      </c>
      <c r="D471" s="66" t="str">
        <f>IF($B471&lt;&gt;"",INDEX(DataOB[],FirstRow+ROW()-7,3),"")</f>
        <v/>
      </c>
      <c r="E471" s="103" t="str">
        <f>IF($B471&lt;&gt;"",INDEX(DataOB[],FirstRow+ROW()-7,6),"")</f>
        <v/>
      </c>
      <c r="F471" s="103" t="str">
        <f>IF($B471&lt;&gt;"",INDEX(DataOB[],FirstRow+ROW()-7,5),"")</f>
        <v/>
      </c>
      <c r="G471" s="58">
        <f>IF($B471&lt;&gt;"",SUMIFS(DataAct_tbl[AMOUNT],DataAct_tbl[BG CODE],Detail!$D471,DataAct_tbl[MONTH],LEFT(MonthName,3),DataAct_tbl[Dept code],$B471),0)</f>
        <v>0</v>
      </c>
      <c r="H471" s="31" t="str">
        <f t="shared" si="70"/>
        <v/>
      </c>
      <c r="I471" s="28" t="str">
        <f t="shared" si="71"/>
        <v/>
      </c>
      <c r="J471" s="32" t="str">
        <f t="shared" si="72"/>
        <v/>
      </c>
      <c r="K471" s="86"/>
      <c r="L471" s="62">
        <f>IF($B471&lt;&gt;"",SUMIFS(DataAct_tbl[AMOUNT],DataAct_tbl[BG CODE],Detail!$D471,DataAct_tbl[Check Range],"=true",DataAct_tbl[Dept code],$B471),0)</f>
        <v>0</v>
      </c>
      <c r="M471" s="63">
        <f>INDEX($AG$7:$AR$1005,ROW()-6,MATCH(MTD,$AG$6:$AR$6,0))</f>
        <v>0</v>
      </c>
      <c r="N471" s="34">
        <f t="shared" si="73"/>
        <v>0</v>
      </c>
      <c r="O471" s="64" t="str">
        <f t="shared" si="74"/>
        <v xml:space="preserve"> </v>
      </c>
      <c r="Q471" s="97">
        <f t="shared" si="75"/>
        <v>0</v>
      </c>
      <c r="R471" s="96">
        <f t="shared" si="76"/>
        <v>0</v>
      </c>
      <c r="T471" s="67" t="str">
        <f>IF($B471&lt;&gt;"",INDEX(DataOB[],FirstRow+ROW()-7,MATCH(T$6,DataOB[#Headers],0)),"")</f>
        <v/>
      </c>
      <c r="U471" s="67" t="str">
        <f>IF($B471&lt;&gt;"",INDEX(DataOB[],FirstRow+ROW()-7,MATCH(U$6,DataOB[#Headers],0)),"")</f>
        <v/>
      </c>
      <c r="V471" s="67" t="str">
        <f>IF($B471&lt;&gt;"",INDEX(DataOB[],FirstRow+ROW()-7,MATCH(V$6,DataOB[#Headers],0)),"")</f>
        <v/>
      </c>
      <c r="W471" s="67" t="str">
        <f>IF($B471&lt;&gt;"",INDEX(DataOB[],FirstRow+ROW()-7,MATCH(W$6,DataOB[#Headers],0)),"")</f>
        <v/>
      </c>
      <c r="X471" s="67" t="str">
        <f>IF($B471&lt;&gt;"",INDEX(DataOB[],FirstRow+ROW()-7,MATCH(X$6,DataOB[#Headers],0)),"")</f>
        <v/>
      </c>
      <c r="Y471" s="67" t="str">
        <f>IF($B471&lt;&gt;"",INDEX(DataOB[],FirstRow+ROW()-7,MATCH(Y$6,DataOB[#Headers],0)),"")</f>
        <v/>
      </c>
      <c r="Z471" s="67" t="str">
        <f>IF($B471&lt;&gt;"",INDEX(DataOB[],FirstRow+ROW()-7,MATCH(Z$6,DataOB[#Headers],0)),"")</f>
        <v/>
      </c>
      <c r="AA471" s="67" t="str">
        <f>IF($B471&lt;&gt;"",INDEX(DataOB[],FirstRow+ROW()-7,MATCH(AA$6,DataOB[#Headers],0)),"")</f>
        <v/>
      </c>
      <c r="AB471" s="67" t="str">
        <f>IF($B471&lt;&gt;"",INDEX(DataOB[],FirstRow+ROW()-7,MATCH(AB$6,DataOB[#Headers],0)),"")</f>
        <v/>
      </c>
      <c r="AC471" s="67" t="str">
        <f>IF($B471&lt;&gt;"",INDEX(DataOB[],FirstRow+ROW()-7,MATCH(AC$6,DataOB[#Headers],0)),"")</f>
        <v/>
      </c>
      <c r="AD471" s="67" t="str">
        <f>IF($B471&lt;&gt;"",INDEX(DataOB[],FirstRow+ROW()-7,MATCH(AD$6,DataOB[#Headers],0)),"")</f>
        <v/>
      </c>
      <c r="AE471" s="67" t="str">
        <f>IF($B471&lt;&gt;"",INDEX(DataOB[],FirstRow+ROW()-7,MATCH(AE$6,DataOB[#Headers],0)),"")</f>
        <v/>
      </c>
      <c r="AF471" s="26">
        <f t="shared" si="77"/>
        <v>0</v>
      </c>
      <c r="AG471" s="31">
        <f>SUM($T471:T471)</f>
        <v>0</v>
      </c>
      <c r="AH471" s="31">
        <f>SUM($T471:U471)</f>
        <v>0</v>
      </c>
      <c r="AI471" s="31">
        <f>SUM($T471:V471)</f>
        <v>0</v>
      </c>
      <c r="AJ471" s="31">
        <f>SUM($T471:W471)</f>
        <v>0</v>
      </c>
      <c r="AK471" s="31">
        <f>SUM($T471:X471)</f>
        <v>0</v>
      </c>
      <c r="AL471" s="31">
        <f>SUM($T471:Y471)</f>
        <v>0</v>
      </c>
      <c r="AM471" s="31">
        <f>SUM($T471:Z471)</f>
        <v>0</v>
      </c>
      <c r="AN471" s="31">
        <f>SUM($T471:AA471)</f>
        <v>0</v>
      </c>
      <c r="AO471" s="31">
        <f>SUM($T471:AB471)</f>
        <v>0</v>
      </c>
      <c r="AP471" s="31">
        <f>SUM($T471:AC471)</f>
        <v>0</v>
      </c>
      <c r="AQ471" s="31">
        <f>SUM($T471:AD471)</f>
        <v>0</v>
      </c>
      <c r="AR471" s="31">
        <f>SUM($T471:AE471)</f>
        <v>0</v>
      </c>
      <c r="AS471" s="27">
        <f t="shared" si="78"/>
        <v>0</v>
      </c>
    </row>
    <row r="472" spans="2:45">
      <c r="B472" s="102" t="str">
        <f>IF(ROW()-6&gt;NumCostCenter,"",IF(CostCenter&lt;&gt;"ALL",CostCenter,DATA_LF2!B470))</f>
        <v/>
      </c>
      <c r="C472" s="153" t="str">
        <f>IF($B472&lt;&gt;"",INDEX(DataOB[],FirstRow+ROW()-7,2),"")</f>
        <v/>
      </c>
      <c r="D472" s="66" t="str">
        <f>IF($B472&lt;&gt;"",INDEX(DataOB[],FirstRow+ROW()-7,3),"")</f>
        <v/>
      </c>
      <c r="E472" s="103" t="str">
        <f>IF($B472&lt;&gt;"",INDEX(DataOB[],FirstRow+ROW()-7,6),"")</f>
        <v/>
      </c>
      <c r="F472" s="103" t="str">
        <f>IF($B472&lt;&gt;"",INDEX(DataOB[],FirstRow+ROW()-7,5),"")</f>
        <v/>
      </c>
      <c r="G472" s="58">
        <f>IF($B472&lt;&gt;"",SUMIFS(DataAct_tbl[AMOUNT],DataAct_tbl[BG CODE],Detail!$D472,DataAct_tbl[MONTH],LEFT(MonthName,3),DataAct_tbl[Dept code],$B472),0)</f>
        <v>0</v>
      </c>
      <c r="H472" s="31" t="str">
        <f t="shared" si="70"/>
        <v/>
      </c>
      <c r="I472" s="28" t="str">
        <f t="shared" si="71"/>
        <v/>
      </c>
      <c r="J472" s="32" t="str">
        <f t="shared" si="72"/>
        <v/>
      </c>
      <c r="K472" s="86"/>
      <c r="L472" s="62">
        <f>IF($B472&lt;&gt;"",SUMIFS(DataAct_tbl[AMOUNT],DataAct_tbl[BG CODE],Detail!$D472,DataAct_tbl[Check Range],"=true",DataAct_tbl[Dept code],$B472),0)</f>
        <v>0</v>
      </c>
      <c r="M472" s="63">
        <f>INDEX($AG$7:$AR$1005,ROW()-6,MATCH(MTD,$AG$6:$AR$6,0))</f>
        <v>0</v>
      </c>
      <c r="N472" s="34">
        <f t="shared" si="73"/>
        <v>0</v>
      </c>
      <c r="O472" s="64" t="str">
        <f t="shared" si="74"/>
        <v xml:space="preserve"> </v>
      </c>
      <c r="Q472" s="97">
        <f t="shared" si="75"/>
        <v>0</v>
      </c>
      <c r="R472" s="96">
        <f t="shared" si="76"/>
        <v>0</v>
      </c>
      <c r="T472" s="67" t="str">
        <f>IF($B472&lt;&gt;"",INDEX(DataOB[],FirstRow+ROW()-7,MATCH(T$6,DataOB[#Headers],0)),"")</f>
        <v/>
      </c>
      <c r="U472" s="67" t="str">
        <f>IF($B472&lt;&gt;"",INDEX(DataOB[],FirstRow+ROW()-7,MATCH(U$6,DataOB[#Headers],0)),"")</f>
        <v/>
      </c>
      <c r="V472" s="67" t="str">
        <f>IF($B472&lt;&gt;"",INDEX(DataOB[],FirstRow+ROW()-7,MATCH(V$6,DataOB[#Headers],0)),"")</f>
        <v/>
      </c>
      <c r="W472" s="67" t="str">
        <f>IF($B472&lt;&gt;"",INDEX(DataOB[],FirstRow+ROW()-7,MATCH(W$6,DataOB[#Headers],0)),"")</f>
        <v/>
      </c>
      <c r="X472" s="67" t="str">
        <f>IF($B472&lt;&gt;"",INDEX(DataOB[],FirstRow+ROW()-7,MATCH(X$6,DataOB[#Headers],0)),"")</f>
        <v/>
      </c>
      <c r="Y472" s="67" t="str">
        <f>IF($B472&lt;&gt;"",INDEX(DataOB[],FirstRow+ROW()-7,MATCH(Y$6,DataOB[#Headers],0)),"")</f>
        <v/>
      </c>
      <c r="Z472" s="67" t="str">
        <f>IF($B472&lt;&gt;"",INDEX(DataOB[],FirstRow+ROW()-7,MATCH(Z$6,DataOB[#Headers],0)),"")</f>
        <v/>
      </c>
      <c r="AA472" s="67" t="str">
        <f>IF($B472&lt;&gt;"",INDEX(DataOB[],FirstRow+ROW()-7,MATCH(AA$6,DataOB[#Headers],0)),"")</f>
        <v/>
      </c>
      <c r="AB472" s="67" t="str">
        <f>IF($B472&lt;&gt;"",INDEX(DataOB[],FirstRow+ROW()-7,MATCH(AB$6,DataOB[#Headers],0)),"")</f>
        <v/>
      </c>
      <c r="AC472" s="67" t="str">
        <f>IF($B472&lt;&gt;"",INDEX(DataOB[],FirstRow+ROW()-7,MATCH(AC$6,DataOB[#Headers],0)),"")</f>
        <v/>
      </c>
      <c r="AD472" s="67" t="str">
        <f>IF($B472&lt;&gt;"",INDEX(DataOB[],FirstRow+ROW()-7,MATCH(AD$6,DataOB[#Headers],0)),"")</f>
        <v/>
      </c>
      <c r="AE472" s="67" t="str">
        <f>IF($B472&lt;&gt;"",INDEX(DataOB[],FirstRow+ROW()-7,MATCH(AE$6,DataOB[#Headers],0)),"")</f>
        <v/>
      </c>
      <c r="AF472" s="26">
        <f t="shared" si="77"/>
        <v>0</v>
      </c>
      <c r="AG472" s="31">
        <f>SUM($T472:T472)</f>
        <v>0</v>
      </c>
      <c r="AH472" s="31">
        <f>SUM($T472:U472)</f>
        <v>0</v>
      </c>
      <c r="AI472" s="31">
        <f>SUM($T472:V472)</f>
        <v>0</v>
      </c>
      <c r="AJ472" s="31">
        <f>SUM($T472:W472)</f>
        <v>0</v>
      </c>
      <c r="AK472" s="31">
        <f>SUM($T472:X472)</f>
        <v>0</v>
      </c>
      <c r="AL472" s="31">
        <f>SUM($T472:Y472)</f>
        <v>0</v>
      </c>
      <c r="AM472" s="31">
        <f>SUM($T472:Z472)</f>
        <v>0</v>
      </c>
      <c r="AN472" s="31">
        <f>SUM($T472:AA472)</f>
        <v>0</v>
      </c>
      <c r="AO472" s="31">
        <f>SUM($T472:AB472)</f>
        <v>0</v>
      </c>
      <c r="AP472" s="31">
        <f>SUM($T472:AC472)</f>
        <v>0</v>
      </c>
      <c r="AQ472" s="31">
        <f>SUM($T472:AD472)</f>
        <v>0</v>
      </c>
      <c r="AR472" s="31">
        <f>SUM($T472:AE472)</f>
        <v>0</v>
      </c>
      <c r="AS472" s="27">
        <f t="shared" si="78"/>
        <v>0</v>
      </c>
    </row>
    <row r="473" spans="2:45">
      <c r="B473" s="102" t="str">
        <f>IF(ROW()-6&gt;NumCostCenter,"",IF(CostCenter&lt;&gt;"ALL",CostCenter,DATA_LF2!B471))</f>
        <v/>
      </c>
      <c r="C473" s="153" t="str">
        <f>IF($B473&lt;&gt;"",INDEX(DataOB[],FirstRow+ROW()-7,2),"")</f>
        <v/>
      </c>
      <c r="D473" s="66" t="str">
        <f>IF($B473&lt;&gt;"",INDEX(DataOB[],FirstRow+ROW()-7,3),"")</f>
        <v/>
      </c>
      <c r="E473" s="103" t="str">
        <f>IF($B473&lt;&gt;"",INDEX(DataOB[],FirstRow+ROW()-7,6),"")</f>
        <v/>
      </c>
      <c r="F473" s="103" t="str">
        <f>IF($B473&lt;&gt;"",INDEX(DataOB[],FirstRow+ROW()-7,5),"")</f>
        <v/>
      </c>
      <c r="G473" s="58">
        <f>IF($B473&lt;&gt;"",SUMIFS(DataAct_tbl[AMOUNT],DataAct_tbl[BG CODE],Detail!$D473,DataAct_tbl[MONTH],LEFT(MonthName,3),DataAct_tbl[Dept code],$B473),0)</f>
        <v>0</v>
      </c>
      <c r="H473" s="31" t="str">
        <f t="shared" si="70"/>
        <v/>
      </c>
      <c r="I473" s="28" t="str">
        <f t="shared" si="71"/>
        <v/>
      </c>
      <c r="J473" s="32" t="str">
        <f t="shared" si="72"/>
        <v/>
      </c>
      <c r="K473" s="86"/>
      <c r="L473" s="62">
        <f>IF($B473&lt;&gt;"",SUMIFS(DataAct_tbl[AMOUNT],DataAct_tbl[BG CODE],Detail!$D473,DataAct_tbl[Check Range],"=true",DataAct_tbl[Dept code],$B473),0)</f>
        <v>0</v>
      </c>
      <c r="M473" s="63">
        <f>INDEX($AG$7:$AR$1005,ROW()-6,MATCH(MTD,$AG$6:$AR$6,0))</f>
        <v>0</v>
      </c>
      <c r="N473" s="34">
        <f t="shared" si="73"/>
        <v>0</v>
      </c>
      <c r="O473" s="64" t="str">
        <f t="shared" si="74"/>
        <v xml:space="preserve"> </v>
      </c>
      <c r="Q473" s="97">
        <f t="shared" si="75"/>
        <v>0</v>
      </c>
      <c r="R473" s="96">
        <f t="shared" si="76"/>
        <v>0</v>
      </c>
      <c r="T473" s="67" t="str">
        <f>IF($B473&lt;&gt;"",INDEX(DataOB[],FirstRow+ROW()-7,MATCH(T$6,DataOB[#Headers],0)),"")</f>
        <v/>
      </c>
      <c r="U473" s="67" t="str">
        <f>IF($B473&lt;&gt;"",INDEX(DataOB[],FirstRow+ROW()-7,MATCH(U$6,DataOB[#Headers],0)),"")</f>
        <v/>
      </c>
      <c r="V473" s="67" t="str">
        <f>IF($B473&lt;&gt;"",INDEX(DataOB[],FirstRow+ROW()-7,MATCH(V$6,DataOB[#Headers],0)),"")</f>
        <v/>
      </c>
      <c r="W473" s="67" t="str">
        <f>IF($B473&lt;&gt;"",INDEX(DataOB[],FirstRow+ROW()-7,MATCH(W$6,DataOB[#Headers],0)),"")</f>
        <v/>
      </c>
      <c r="X473" s="67" t="str">
        <f>IF($B473&lt;&gt;"",INDEX(DataOB[],FirstRow+ROW()-7,MATCH(X$6,DataOB[#Headers],0)),"")</f>
        <v/>
      </c>
      <c r="Y473" s="67" t="str">
        <f>IF($B473&lt;&gt;"",INDEX(DataOB[],FirstRow+ROW()-7,MATCH(Y$6,DataOB[#Headers],0)),"")</f>
        <v/>
      </c>
      <c r="Z473" s="67" t="str">
        <f>IF($B473&lt;&gt;"",INDEX(DataOB[],FirstRow+ROW()-7,MATCH(Z$6,DataOB[#Headers],0)),"")</f>
        <v/>
      </c>
      <c r="AA473" s="67" t="str">
        <f>IF($B473&lt;&gt;"",INDEX(DataOB[],FirstRow+ROW()-7,MATCH(AA$6,DataOB[#Headers],0)),"")</f>
        <v/>
      </c>
      <c r="AB473" s="67" t="str">
        <f>IF($B473&lt;&gt;"",INDEX(DataOB[],FirstRow+ROW()-7,MATCH(AB$6,DataOB[#Headers],0)),"")</f>
        <v/>
      </c>
      <c r="AC473" s="67" t="str">
        <f>IF($B473&lt;&gt;"",INDEX(DataOB[],FirstRow+ROW()-7,MATCH(AC$6,DataOB[#Headers],0)),"")</f>
        <v/>
      </c>
      <c r="AD473" s="67" t="str">
        <f>IF($B473&lt;&gt;"",INDEX(DataOB[],FirstRow+ROW()-7,MATCH(AD$6,DataOB[#Headers],0)),"")</f>
        <v/>
      </c>
      <c r="AE473" s="67" t="str">
        <f>IF($B473&lt;&gt;"",INDEX(DataOB[],FirstRow+ROW()-7,MATCH(AE$6,DataOB[#Headers],0)),"")</f>
        <v/>
      </c>
      <c r="AF473" s="26">
        <f t="shared" si="77"/>
        <v>0</v>
      </c>
      <c r="AG473" s="31">
        <f>SUM($T473:T473)</f>
        <v>0</v>
      </c>
      <c r="AH473" s="31">
        <f>SUM($T473:U473)</f>
        <v>0</v>
      </c>
      <c r="AI473" s="31">
        <f>SUM($T473:V473)</f>
        <v>0</v>
      </c>
      <c r="AJ473" s="31">
        <f>SUM($T473:W473)</f>
        <v>0</v>
      </c>
      <c r="AK473" s="31">
        <f>SUM($T473:X473)</f>
        <v>0</v>
      </c>
      <c r="AL473" s="31">
        <f>SUM($T473:Y473)</f>
        <v>0</v>
      </c>
      <c r="AM473" s="31">
        <f>SUM($T473:Z473)</f>
        <v>0</v>
      </c>
      <c r="AN473" s="31">
        <f>SUM($T473:AA473)</f>
        <v>0</v>
      </c>
      <c r="AO473" s="31">
        <f>SUM($T473:AB473)</f>
        <v>0</v>
      </c>
      <c r="AP473" s="31">
        <f>SUM($T473:AC473)</f>
        <v>0</v>
      </c>
      <c r="AQ473" s="31">
        <f>SUM($T473:AD473)</f>
        <v>0</v>
      </c>
      <c r="AR473" s="31">
        <f>SUM($T473:AE473)</f>
        <v>0</v>
      </c>
      <c r="AS473" s="27">
        <f t="shared" si="78"/>
        <v>0</v>
      </c>
    </row>
    <row r="474" spans="2:45">
      <c r="B474" s="102" t="str">
        <f>IF(ROW()-6&gt;NumCostCenter,"",IF(CostCenter&lt;&gt;"ALL",CostCenter,DATA_LF2!B472))</f>
        <v/>
      </c>
      <c r="C474" s="153" t="str">
        <f>IF($B474&lt;&gt;"",INDEX(DataOB[],FirstRow+ROW()-7,2),"")</f>
        <v/>
      </c>
      <c r="D474" s="66" t="str">
        <f>IF($B474&lt;&gt;"",INDEX(DataOB[],FirstRow+ROW()-7,3),"")</f>
        <v/>
      </c>
      <c r="E474" s="103" t="str">
        <f>IF($B474&lt;&gt;"",INDEX(DataOB[],FirstRow+ROW()-7,6),"")</f>
        <v/>
      </c>
      <c r="F474" s="103" t="str">
        <f>IF($B474&lt;&gt;"",INDEX(DataOB[],FirstRow+ROW()-7,5),"")</f>
        <v/>
      </c>
      <c r="G474" s="58">
        <f>IF($B474&lt;&gt;"",SUMIFS(DataAct_tbl[AMOUNT],DataAct_tbl[BG CODE],Detail!$D474,DataAct_tbl[MONTH],LEFT(MonthName,3),DataAct_tbl[Dept code],$B474),0)</f>
        <v>0</v>
      </c>
      <c r="H474" s="31" t="str">
        <f t="shared" si="70"/>
        <v/>
      </c>
      <c r="I474" s="28" t="str">
        <f t="shared" si="71"/>
        <v/>
      </c>
      <c r="J474" s="32" t="str">
        <f t="shared" si="72"/>
        <v/>
      </c>
      <c r="K474" s="86"/>
      <c r="L474" s="62">
        <f>IF($B474&lt;&gt;"",SUMIFS(DataAct_tbl[AMOUNT],DataAct_tbl[BG CODE],Detail!$D474,DataAct_tbl[Check Range],"=true",DataAct_tbl[Dept code],$B474),0)</f>
        <v>0</v>
      </c>
      <c r="M474" s="63">
        <f>INDEX($AG$7:$AR$1005,ROW()-6,MATCH(MTD,$AG$6:$AR$6,0))</f>
        <v>0</v>
      </c>
      <c r="N474" s="34">
        <f t="shared" si="73"/>
        <v>0</v>
      </c>
      <c r="O474" s="64" t="str">
        <f t="shared" si="74"/>
        <v xml:space="preserve"> </v>
      </c>
      <c r="Q474" s="97">
        <f t="shared" si="75"/>
        <v>0</v>
      </c>
      <c r="R474" s="96">
        <f t="shared" si="76"/>
        <v>0</v>
      </c>
      <c r="T474" s="67" t="str">
        <f>IF($B474&lt;&gt;"",INDEX(DataOB[],FirstRow+ROW()-7,MATCH(T$6,DataOB[#Headers],0)),"")</f>
        <v/>
      </c>
      <c r="U474" s="67" t="str">
        <f>IF($B474&lt;&gt;"",INDEX(DataOB[],FirstRow+ROW()-7,MATCH(U$6,DataOB[#Headers],0)),"")</f>
        <v/>
      </c>
      <c r="V474" s="67" t="str">
        <f>IF($B474&lt;&gt;"",INDEX(DataOB[],FirstRow+ROW()-7,MATCH(V$6,DataOB[#Headers],0)),"")</f>
        <v/>
      </c>
      <c r="W474" s="67" t="str">
        <f>IF($B474&lt;&gt;"",INDEX(DataOB[],FirstRow+ROW()-7,MATCH(W$6,DataOB[#Headers],0)),"")</f>
        <v/>
      </c>
      <c r="X474" s="67" t="str">
        <f>IF($B474&lt;&gt;"",INDEX(DataOB[],FirstRow+ROW()-7,MATCH(X$6,DataOB[#Headers],0)),"")</f>
        <v/>
      </c>
      <c r="Y474" s="67" t="str">
        <f>IF($B474&lt;&gt;"",INDEX(DataOB[],FirstRow+ROW()-7,MATCH(Y$6,DataOB[#Headers],0)),"")</f>
        <v/>
      </c>
      <c r="Z474" s="67" t="str">
        <f>IF($B474&lt;&gt;"",INDEX(DataOB[],FirstRow+ROW()-7,MATCH(Z$6,DataOB[#Headers],0)),"")</f>
        <v/>
      </c>
      <c r="AA474" s="67" t="str">
        <f>IF($B474&lt;&gt;"",INDEX(DataOB[],FirstRow+ROW()-7,MATCH(AA$6,DataOB[#Headers],0)),"")</f>
        <v/>
      </c>
      <c r="AB474" s="67" t="str">
        <f>IF($B474&lt;&gt;"",INDEX(DataOB[],FirstRow+ROW()-7,MATCH(AB$6,DataOB[#Headers],0)),"")</f>
        <v/>
      </c>
      <c r="AC474" s="67" t="str">
        <f>IF($B474&lt;&gt;"",INDEX(DataOB[],FirstRow+ROW()-7,MATCH(AC$6,DataOB[#Headers],0)),"")</f>
        <v/>
      </c>
      <c r="AD474" s="67" t="str">
        <f>IF($B474&lt;&gt;"",INDEX(DataOB[],FirstRow+ROW()-7,MATCH(AD$6,DataOB[#Headers],0)),"")</f>
        <v/>
      </c>
      <c r="AE474" s="67" t="str">
        <f>IF($B474&lt;&gt;"",INDEX(DataOB[],FirstRow+ROW()-7,MATCH(AE$6,DataOB[#Headers],0)),"")</f>
        <v/>
      </c>
      <c r="AF474" s="26">
        <f t="shared" si="77"/>
        <v>0</v>
      </c>
      <c r="AG474" s="31">
        <f>SUM($T474:T474)</f>
        <v>0</v>
      </c>
      <c r="AH474" s="31">
        <f>SUM($T474:U474)</f>
        <v>0</v>
      </c>
      <c r="AI474" s="31">
        <f>SUM($T474:V474)</f>
        <v>0</v>
      </c>
      <c r="AJ474" s="31">
        <f>SUM($T474:W474)</f>
        <v>0</v>
      </c>
      <c r="AK474" s="31">
        <f>SUM($T474:X474)</f>
        <v>0</v>
      </c>
      <c r="AL474" s="31">
        <f>SUM($T474:Y474)</f>
        <v>0</v>
      </c>
      <c r="AM474" s="31">
        <f>SUM($T474:Z474)</f>
        <v>0</v>
      </c>
      <c r="AN474" s="31">
        <f>SUM($T474:AA474)</f>
        <v>0</v>
      </c>
      <c r="AO474" s="31">
        <f>SUM($T474:AB474)</f>
        <v>0</v>
      </c>
      <c r="AP474" s="31">
        <f>SUM($T474:AC474)</f>
        <v>0</v>
      </c>
      <c r="AQ474" s="31">
        <f>SUM($T474:AD474)</f>
        <v>0</v>
      </c>
      <c r="AR474" s="31">
        <f>SUM($T474:AE474)</f>
        <v>0</v>
      </c>
      <c r="AS474" s="27">
        <f t="shared" si="78"/>
        <v>0</v>
      </c>
    </row>
    <row r="475" spans="2:45">
      <c r="B475" s="102" t="str">
        <f>IF(ROW()-6&gt;NumCostCenter,"",IF(CostCenter&lt;&gt;"ALL",CostCenter,DATA_LF2!B473))</f>
        <v/>
      </c>
      <c r="C475" s="153" t="str">
        <f>IF($B475&lt;&gt;"",INDEX(DataOB[],FirstRow+ROW()-7,2),"")</f>
        <v/>
      </c>
      <c r="D475" s="66" t="str">
        <f>IF($B475&lt;&gt;"",INDEX(DataOB[],FirstRow+ROW()-7,3),"")</f>
        <v/>
      </c>
      <c r="E475" s="103" t="str">
        <f>IF($B475&lt;&gt;"",INDEX(DataOB[],FirstRow+ROW()-7,6),"")</f>
        <v/>
      </c>
      <c r="F475" s="103" t="str">
        <f>IF($B475&lt;&gt;"",INDEX(DataOB[],FirstRow+ROW()-7,5),"")</f>
        <v/>
      </c>
      <c r="G475" s="58">
        <f>IF($B475&lt;&gt;"",SUMIFS(DataAct_tbl[AMOUNT],DataAct_tbl[BG CODE],Detail!$D475,DataAct_tbl[MONTH],LEFT(MonthName,3),DataAct_tbl[Dept code],$B475),0)</f>
        <v>0</v>
      </c>
      <c r="H475" s="31" t="str">
        <f t="shared" si="70"/>
        <v/>
      </c>
      <c r="I475" s="28" t="str">
        <f t="shared" si="71"/>
        <v/>
      </c>
      <c r="J475" s="32" t="str">
        <f t="shared" si="72"/>
        <v/>
      </c>
      <c r="K475" s="86"/>
      <c r="L475" s="62">
        <f>IF($B475&lt;&gt;"",SUMIFS(DataAct_tbl[AMOUNT],DataAct_tbl[BG CODE],Detail!$D475,DataAct_tbl[Check Range],"=true",DataAct_tbl[Dept code],$B475),0)</f>
        <v>0</v>
      </c>
      <c r="M475" s="63">
        <f>INDEX($AG$7:$AR$1005,ROW()-6,MATCH(MTD,$AG$6:$AR$6,0))</f>
        <v>0</v>
      </c>
      <c r="N475" s="34">
        <f t="shared" si="73"/>
        <v>0</v>
      </c>
      <c r="O475" s="64" t="str">
        <f t="shared" si="74"/>
        <v xml:space="preserve"> </v>
      </c>
      <c r="Q475" s="97">
        <f t="shared" si="75"/>
        <v>0</v>
      </c>
      <c r="R475" s="96">
        <f t="shared" si="76"/>
        <v>0</v>
      </c>
      <c r="T475" s="67" t="str">
        <f>IF($B475&lt;&gt;"",INDEX(DataOB[],FirstRow+ROW()-7,MATCH(T$6,DataOB[#Headers],0)),"")</f>
        <v/>
      </c>
      <c r="U475" s="67" t="str">
        <f>IF($B475&lt;&gt;"",INDEX(DataOB[],FirstRow+ROW()-7,MATCH(U$6,DataOB[#Headers],0)),"")</f>
        <v/>
      </c>
      <c r="V475" s="67" t="str">
        <f>IF($B475&lt;&gt;"",INDEX(DataOB[],FirstRow+ROW()-7,MATCH(V$6,DataOB[#Headers],0)),"")</f>
        <v/>
      </c>
      <c r="W475" s="67" t="str">
        <f>IF($B475&lt;&gt;"",INDEX(DataOB[],FirstRow+ROW()-7,MATCH(W$6,DataOB[#Headers],0)),"")</f>
        <v/>
      </c>
      <c r="X475" s="67" t="str">
        <f>IF($B475&lt;&gt;"",INDEX(DataOB[],FirstRow+ROW()-7,MATCH(X$6,DataOB[#Headers],0)),"")</f>
        <v/>
      </c>
      <c r="Y475" s="67" t="str">
        <f>IF($B475&lt;&gt;"",INDEX(DataOB[],FirstRow+ROW()-7,MATCH(Y$6,DataOB[#Headers],0)),"")</f>
        <v/>
      </c>
      <c r="Z475" s="67" t="str">
        <f>IF($B475&lt;&gt;"",INDEX(DataOB[],FirstRow+ROW()-7,MATCH(Z$6,DataOB[#Headers],0)),"")</f>
        <v/>
      </c>
      <c r="AA475" s="67" t="str">
        <f>IF($B475&lt;&gt;"",INDEX(DataOB[],FirstRow+ROW()-7,MATCH(AA$6,DataOB[#Headers],0)),"")</f>
        <v/>
      </c>
      <c r="AB475" s="67" t="str">
        <f>IF($B475&lt;&gt;"",INDEX(DataOB[],FirstRow+ROW()-7,MATCH(AB$6,DataOB[#Headers],0)),"")</f>
        <v/>
      </c>
      <c r="AC475" s="67" t="str">
        <f>IF($B475&lt;&gt;"",INDEX(DataOB[],FirstRow+ROW()-7,MATCH(AC$6,DataOB[#Headers],0)),"")</f>
        <v/>
      </c>
      <c r="AD475" s="67" t="str">
        <f>IF($B475&lt;&gt;"",INDEX(DataOB[],FirstRow+ROW()-7,MATCH(AD$6,DataOB[#Headers],0)),"")</f>
        <v/>
      </c>
      <c r="AE475" s="67" t="str">
        <f>IF($B475&lt;&gt;"",INDEX(DataOB[],FirstRow+ROW()-7,MATCH(AE$6,DataOB[#Headers],0)),"")</f>
        <v/>
      </c>
      <c r="AF475" s="26">
        <f t="shared" si="77"/>
        <v>0</v>
      </c>
      <c r="AG475" s="31">
        <f>SUM($T475:T475)</f>
        <v>0</v>
      </c>
      <c r="AH475" s="31">
        <f>SUM($T475:U475)</f>
        <v>0</v>
      </c>
      <c r="AI475" s="31">
        <f>SUM($T475:V475)</f>
        <v>0</v>
      </c>
      <c r="AJ475" s="31">
        <f>SUM($T475:W475)</f>
        <v>0</v>
      </c>
      <c r="AK475" s="31">
        <f>SUM($T475:X475)</f>
        <v>0</v>
      </c>
      <c r="AL475" s="31">
        <f>SUM($T475:Y475)</f>
        <v>0</v>
      </c>
      <c r="AM475" s="31">
        <f>SUM($T475:Z475)</f>
        <v>0</v>
      </c>
      <c r="AN475" s="31">
        <f>SUM($T475:AA475)</f>
        <v>0</v>
      </c>
      <c r="AO475" s="31">
        <f>SUM($T475:AB475)</f>
        <v>0</v>
      </c>
      <c r="AP475" s="31">
        <f>SUM($T475:AC475)</f>
        <v>0</v>
      </c>
      <c r="AQ475" s="31">
        <f>SUM($T475:AD475)</f>
        <v>0</v>
      </c>
      <c r="AR475" s="31">
        <f>SUM($T475:AE475)</f>
        <v>0</v>
      </c>
      <c r="AS475" s="27">
        <f t="shared" si="78"/>
        <v>0</v>
      </c>
    </row>
    <row r="476" spans="2:45">
      <c r="B476" s="102" t="str">
        <f>IF(ROW()-6&gt;NumCostCenter,"",IF(CostCenter&lt;&gt;"ALL",CostCenter,DATA_LF2!B474))</f>
        <v/>
      </c>
      <c r="C476" s="153" t="str">
        <f>IF($B476&lt;&gt;"",INDEX(DataOB[],FirstRow+ROW()-7,2),"")</f>
        <v/>
      </c>
      <c r="D476" s="66" t="str">
        <f>IF($B476&lt;&gt;"",INDEX(DataOB[],FirstRow+ROW()-7,3),"")</f>
        <v/>
      </c>
      <c r="E476" s="103" t="str">
        <f>IF($B476&lt;&gt;"",INDEX(DataOB[],FirstRow+ROW()-7,6),"")</f>
        <v/>
      </c>
      <c r="F476" s="103" t="str">
        <f>IF($B476&lt;&gt;"",INDEX(DataOB[],FirstRow+ROW()-7,5),"")</f>
        <v/>
      </c>
      <c r="G476" s="58">
        <f>IF($B476&lt;&gt;"",SUMIFS(DataAct_tbl[AMOUNT],DataAct_tbl[BG CODE],Detail!$D476,DataAct_tbl[MONTH],LEFT(MonthName,3),DataAct_tbl[Dept code],$B476),0)</f>
        <v>0</v>
      </c>
      <c r="H476" s="31" t="str">
        <f t="shared" si="70"/>
        <v/>
      </c>
      <c r="I476" s="28" t="str">
        <f t="shared" si="71"/>
        <v/>
      </c>
      <c r="J476" s="32" t="str">
        <f t="shared" si="72"/>
        <v/>
      </c>
      <c r="K476" s="86"/>
      <c r="L476" s="62">
        <f>IF($B476&lt;&gt;"",SUMIFS(DataAct_tbl[AMOUNT],DataAct_tbl[BG CODE],Detail!$D476,DataAct_tbl[Check Range],"=true",DataAct_tbl[Dept code],$B476),0)</f>
        <v>0</v>
      </c>
      <c r="M476" s="63">
        <f>INDEX($AG$7:$AR$1005,ROW()-6,MATCH(MTD,$AG$6:$AR$6,0))</f>
        <v>0</v>
      </c>
      <c r="N476" s="34">
        <f t="shared" si="73"/>
        <v>0</v>
      </c>
      <c r="O476" s="64" t="str">
        <f t="shared" si="74"/>
        <v xml:space="preserve"> </v>
      </c>
      <c r="Q476" s="97">
        <f t="shared" si="75"/>
        <v>0</v>
      </c>
      <c r="R476" s="96">
        <f t="shared" si="76"/>
        <v>0</v>
      </c>
      <c r="T476" s="67" t="str">
        <f>IF($B476&lt;&gt;"",INDEX(DataOB[],FirstRow+ROW()-7,MATCH(T$6,DataOB[#Headers],0)),"")</f>
        <v/>
      </c>
      <c r="U476" s="67" t="str">
        <f>IF($B476&lt;&gt;"",INDEX(DataOB[],FirstRow+ROW()-7,MATCH(U$6,DataOB[#Headers],0)),"")</f>
        <v/>
      </c>
      <c r="V476" s="67" t="str">
        <f>IF($B476&lt;&gt;"",INDEX(DataOB[],FirstRow+ROW()-7,MATCH(V$6,DataOB[#Headers],0)),"")</f>
        <v/>
      </c>
      <c r="W476" s="67" t="str">
        <f>IF($B476&lt;&gt;"",INDEX(DataOB[],FirstRow+ROW()-7,MATCH(W$6,DataOB[#Headers],0)),"")</f>
        <v/>
      </c>
      <c r="X476" s="67" t="str">
        <f>IF($B476&lt;&gt;"",INDEX(DataOB[],FirstRow+ROW()-7,MATCH(X$6,DataOB[#Headers],0)),"")</f>
        <v/>
      </c>
      <c r="Y476" s="67" t="str">
        <f>IF($B476&lt;&gt;"",INDEX(DataOB[],FirstRow+ROW()-7,MATCH(Y$6,DataOB[#Headers],0)),"")</f>
        <v/>
      </c>
      <c r="Z476" s="67" t="str">
        <f>IF($B476&lt;&gt;"",INDEX(DataOB[],FirstRow+ROW()-7,MATCH(Z$6,DataOB[#Headers],0)),"")</f>
        <v/>
      </c>
      <c r="AA476" s="67" t="str">
        <f>IF($B476&lt;&gt;"",INDEX(DataOB[],FirstRow+ROW()-7,MATCH(AA$6,DataOB[#Headers],0)),"")</f>
        <v/>
      </c>
      <c r="AB476" s="67" t="str">
        <f>IF($B476&lt;&gt;"",INDEX(DataOB[],FirstRow+ROW()-7,MATCH(AB$6,DataOB[#Headers],0)),"")</f>
        <v/>
      </c>
      <c r="AC476" s="67" t="str">
        <f>IF($B476&lt;&gt;"",INDEX(DataOB[],FirstRow+ROW()-7,MATCH(AC$6,DataOB[#Headers],0)),"")</f>
        <v/>
      </c>
      <c r="AD476" s="67" t="str">
        <f>IF($B476&lt;&gt;"",INDEX(DataOB[],FirstRow+ROW()-7,MATCH(AD$6,DataOB[#Headers],0)),"")</f>
        <v/>
      </c>
      <c r="AE476" s="67" t="str">
        <f>IF($B476&lt;&gt;"",INDEX(DataOB[],FirstRow+ROW()-7,MATCH(AE$6,DataOB[#Headers],0)),"")</f>
        <v/>
      </c>
      <c r="AF476" s="26">
        <f t="shared" si="77"/>
        <v>0</v>
      </c>
      <c r="AG476" s="31">
        <f>SUM($T476:T476)</f>
        <v>0</v>
      </c>
      <c r="AH476" s="31">
        <f>SUM($T476:U476)</f>
        <v>0</v>
      </c>
      <c r="AI476" s="31">
        <f>SUM($T476:V476)</f>
        <v>0</v>
      </c>
      <c r="AJ476" s="31">
        <f>SUM($T476:W476)</f>
        <v>0</v>
      </c>
      <c r="AK476" s="31">
        <f>SUM($T476:X476)</f>
        <v>0</v>
      </c>
      <c r="AL476" s="31">
        <f>SUM($T476:Y476)</f>
        <v>0</v>
      </c>
      <c r="AM476" s="31">
        <f>SUM($T476:Z476)</f>
        <v>0</v>
      </c>
      <c r="AN476" s="31">
        <f>SUM($T476:AA476)</f>
        <v>0</v>
      </c>
      <c r="AO476" s="31">
        <f>SUM($T476:AB476)</f>
        <v>0</v>
      </c>
      <c r="AP476" s="31">
        <f>SUM($T476:AC476)</f>
        <v>0</v>
      </c>
      <c r="AQ476" s="31">
        <f>SUM($T476:AD476)</f>
        <v>0</v>
      </c>
      <c r="AR476" s="31">
        <f>SUM($T476:AE476)</f>
        <v>0</v>
      </c>
      <c r="AS476" s="27">
        <f t="shared" si="78"/>
        <v>0</v>
      </c>
    </row>
    <row r="477" spans="2:45">
      <c r="B477" s="102" t="str">
        <f>IF(ROW()-6&gt;NumCostCenter,"",IF(CostCenter&lt;&gt;"ALL",CostCenter,DATA_LF2!B475))</f>
        <v/>
      </c>
      <c r="C477" s="153" t="str">
        <f>IF($B477&lt;&gt;"",INDEX(DataOB[],FirstRow+ROW()-7,2),"")</f>
        <v/>
      </c>
      <c r="D477" s="66" t="str">
        <f>IF($B477&lt;&gt;"",INDEX(DataOB[],FirstRow+ROW()-7,3),"")</f>
        <v/>
      </c>
      <c r="E477" s="103" t="str">
        <f>IF($B477&lt;&gt;"",INDEX(DataOB[],FirstRow+ROW()-7,6),"")</f>
        <v/>
      </c>
      <c r="F477" s="103" t="str">
        <f>IF($B477&lt;&gt;"",INDEX(DataOB[],FirstRow+ROW()-7,5),"")</f>
        <v/>
      </c>
      <c r="G477" s="58">
        <f>IF($B477&lt;&gt;"",SUMIFS(DataAct_tbl[AMOUNT],DataAct_tbl[BG CODE],Detail!$D477,DataAct_tbl[MONTH],LEFT(MonthName,3),DataAct_tbl[Dept code],$B477),0)</f>
        <v>0</v>
      </c>
      <c r="H477" s="31" t="str">
        <f t="shared" si="70"/>
        <v/>
      </c>
      <c r="I477" s="28" t="str">
        <f t="shared" si="71"/>
        <v/>
      </c>
      <c r="J477" s="32" t="str">
        <f t="shared" si="72"/>
        <v/>
      </c>
      <c r="K477" s="86"/>
      <c r="L477" s="62">
        <f>IF($B477&lt;&gt;"",SUMIFS(DataAct_tbl[AMOUNT],DataAct_tbl[BG CODE],Detail!$D477,DataAct_tbl[Check Range],"=true",DataAct_tbl[Dept code],$B477),0)</f>
        <v>0</v>
      </c>
      <c r="M477" s="63">
        <f>INDEX($AG$7:$AR$1005,ROW()-6,MATCH(MTD,$AG$6:$AR$6,0))</f>
        <v>0</v>
      </c>
      <c r="N477" s="34">
        <f t="shared" si="73"/>
        <v>0</v>
      </c>
      <c r="O477" s="64" t="str">
        <f t="shared" si="74"/>
        <v xml:space="preserve"> </v>
      </c>
      <c r="Q477" s="97">
        <f t="shared" si="75"/>
        <v>0</v>
      </c>
      <c r="R477" s="96">
        <f t="shared" si="76"/>
        <v>0</v>
      </c>
      <c r="T477" s="67" t="str">
        <f>IF($B477&lt;&gt;"",INDEX(DataOB[],FirstRow+ROW()-7,MATCH(T$6,DataOB[#Headers],0)),"")</f>
        <v/>
      </c>
      <c r="U477" s="67" t="str">
        <f>IF($B477&lt;&gt;"",INDEX(DataOB[],FirstRow+ROW()-7,MATCH(U$6,DataOB[#Headers],0)),"")</f>
        <v/>
      </c>
      <c r="V477" s="67" t="str">
        <f>IF($B477&lt;&gt;"",INDEX(DataOB[],FirstRow+ROW()-7,MATCH(V$6,DataOB[#Headers],0)),"")</f>
        <v/>
      </c>
      <c r="W477" s="67" t="str">
        <f>IF($B477&lt;&gt;"",INDEX(DataOB[],FirstRow+ROW()-7,MATCH(W$6,DataOB[#Headers],0)),"")</f>
        <v/>
      </c>
      <c r="X477" s="67" t="str">
        <f>IF($B477&lt;&gt;"",INDEX(DataOB[],FirstRow+ROW()-7,MATCH(X$6,DataOB[#Headers],0)),"")</f>
        <v/>
      </c>
      <c r="Y477" s="67" t="str">
        <f>IF($B477&lt;&gt;"",INDEX(DataOB[],FirstRow+ROW()-7,MATCH(Y$6,DataOB[#Headers],0)),"")</f>
        <v/>
      </c>
      <c r="Z477" s="67" t="str">
        <f>IF($B477&lt;&gt;"",INDEX(DataOB[],FirstRow+ROW()-7,MATCH(Z$6,DataOB[#Headers],0)),"")</f>
        <v/>
      </c>
      <c r="AA477" s="67" t="str">
        <f>IF($B477&lt;&gt;"",INDEX(DataOB[],FirstRow+ROW()-7,MATCH(AA$6,DataOB[#Headers],0)),"")</f>
        <v/>
      </c>
      <c r="AB477" s="67" t="str">
        <f>IF($B477&lt;&gt;"",INDEX(DataOB[],FirstRow+ROW()-7,MATCH(AB$6,DataOB[#Headers],0)),"")</f>
        <v/>
      </c>
      <c r="AC477" s="67" t="str">
        <f>IF($B477&lt;&gt;"",INDEX(DataOB[],FirstRow+ROW()-7,MATCH(AC$6,DataOB[#Headers],0)),"")</f>
        <v/>
      </c>
      <c r="AD477" s="67" t="str">
        <f>IF($B477&lt;&gt;"",INDEX(DataOB[],FirstRow+ROW()-7,MATCH(AD$6,DataOB[#Headers],0)),"")</f>
        <v/>
      </c>
      <c r="AE477" s="67" t="str">
        <f>IF($B477&lt;&gt;"",INDEX(DataOB[],FirstRow+ROW()-7,MATCH(AE$6,DataOB[#Headers],0)),"")</f>
        <v/>
      </c>
      <c r="AF477" s="26">
        <f t="shared" si="77"/>
        <v>0</v>
      </c>
      <c r="AG477" s="31">
        <f>SUM($T477:T477)</f>
        <v>0</v>
      </c>
      <c r="AH477" s="31">
        <f>SUM($T477:U477)</f>
        <v>0</v>
      </c>
      <c r="AI477" s="31">
        <f>SUM($T477:V477)</f>
        <v>0</v>
      </c>
      <c r="AJ477" s="31">
        <f>SUM($T477:W477)</f>
        <v>0</v>
      </c>
      <c r="AK477" s="31">
        <f>SUM($T477:X477)</f>
        <v>0</v>
      </c>
      <c r="AL477" s="31">
        <f>SUM($T477:Y477)</f>
        <v>0</v>
      </c>
      <c r="AM477" s="31">
        <f>SUM($T477:Z477)</f>
        <v>0</v>
      </c>
      <c r="AN477" s="31">
        <f>SUM($T477:AA477)</f>
        <v>0</v>
      </c>
      <c r="AO477" s="31">
        <f>SUM($T477:AB477)</f>
        <v>0</v>
      </c>
      <c r="AP477" s="31">
        <f>SUM($T477:AC477)</f>
        <v>0</v>
      </c>
      <c r="AQ477" s="31">
        <f>SUM($T477:AD477)</f>
        <v>0</v>
      </c>
      <c r="AR477" s="31">
        <f>SUM($T477:AE477)</f>
        <v>0</v>
      </c>
      <c r="AS477" s="27">
        <f t="shared" si="78"/>
        <v>0</v>
      </c>
    </row>
    <row r="478" spans="2:45">
      <c r="B478" s="102" t="str">
        <f>IF(ROW()-6&gt;NumCostCenter,"",IF(CostCenter&lt;&gt;"ALL",CostCenter,DATA_LF2!B476))</f>
        <v/>
      </c>
      <c r="C478" s="153" t="str">
        <f>IF($B478&lt;&gt;"",INDEX(DataOB[],FirstRow+ROW()-7,2),"")</f>
        <v/>
      </c>
      <c r="D478" s="66" t="str">
        <f>IF($B478&lt;&gt;"",INDEX(DataOB[],FirstRow+ROW()-7,3),"")</f>
        <v/>
      </c>
      <c r="E478" s="103" t="str">
        <f>IF($B478&lt;&gt;"",INDEX(DataOB[],FirstRow+ROW()-7,6),"")</f>
        <v/>
      </c>
      <c r="F478" s="103" t="str">
        <f>IF($B478&lt;&gt;"",INDEX(DataOB[],FirstRow+ROW()-7,5),"")</f>
        <v/>
      </c>
      <c r="G478" s="58">
        <f>IF($B478&lt;&gt;"",SUMIFS(DataAct_tbl[AMOUNT],DataAct_tbl[BG CODE],Detail!$D478,DataAct_tbl[MONTH],LEFT(MonthName,3),DataAct_tbl[Dept code],$B478),0)</f>
        <v>0</v>
      </c>
      <c r="H478" s="31" t="str">
        <f t="shared" si="70"/>
        <v/>
      </c>
      <c r="I478" s="28" t="str">
        <f t="shared" si="71"/>
        <v/>
      </c>
      <c r="J478" s="32" t="str">
        <f t="shared" si="72"/>
        <v/>
      </c>
      <c r="K478" s="86"/>
      <c r="L478" s="62">
        <f>IF($B478&lt;&gt;"",SUMIFS(DataAct_tbl[AMOUNT],DataAct_tbl[BG CODE],Detail!$D478,DataAct_tbl[Check Range],"=true",DataAct_tbl[Dept code],$B478),0)</f>
        <v>0</v>
      </c>
      <c r="M478" s="63">
        <f>INDEX($AG$7:$AR$1005,ROW()-6,MATCH(MTD,$AG$6:$AR$6,0))</f>
        <v>0</v>
      </c>
      <c r="N478" s="34">
        <f t="shared" si="73"/>
        <v>0</v>
      </c>
      <c r="O478" s="64" t="str">
        <f t="shared" si="74"/>
        <v xml:space="preserve"> </v>
      </c>
      <c r="Q478" s="97">
        <f t="shared" si="75"/>
        <v>0</v>
      </c>
      <c r="R478" s="96">
        <f t="shared" si="76"/>
        <v>0</v>
      </c>
      <c r="T478" s="67" t="str">
        <f>IF($B478&lt;&gt;"",INDEX(DataOB[],FirstRow+ROW()-7,MATCH(T$6,DataOB[#Headers],0)),"")</f>
        <v/>
      </c>
      <c r="U478" s="67" t="str">
        <f>IF($B478&lt;&gt;"",INDEX(DataOB[],FirstRow+ROW()-7,MATCH(U$6,DataOB[#Headers],0)),"")</f>
        <v/>
      </c>
      <c r="V478" s="67" t="str">
        <f>IF($B478&lt;&gt;"",INDEX(DataOB[],FirstRow+ROW()-7,MATCH(V$6,DataOB[#Headers],0)),"")</f>
        <v/>
      </c>
      <c r="W478" s="67" t="str">
        <f>IF($B478&lt;&gt;"",INDEX(DataOB[],FirstRow+ROW()-7,MATCH(W$6,DataOB[#Headers],0)),"")</f>
        <v/>
      </c>
      <c r="X478" s="67" t="str">
        <f>IF($B478&lt;&gt;"",INDEX(DataOB[],FirstRow+ROW()-7,MATCH(X$6,DataOB[#Headers],0)),"")</f>
        <v/>
      </c>
      <c r="Y478" s="67" t="str">
        <f>IF($B478&lt;&gt;"",INDEX(DataOB[],FirstRow+ROW()-7,MATCH(Y$6,DataOB[#Headers],0)),"")</f>
        <v/>
      </c>
      <c r="Z478" s="67" t="str">
        <f>IF($B478&lt;&gt;"",INDEX(DataOB[],FirstRow+ROW()-7,MATCH(Z$6,DataOB[#Headers],0)),"")</f>
        <v/>
      </c>
      <c r="AA478" s="67" t="str">
        <f>IF($B478&lt;&gt;"",INDEX(DataOB[],FirstRow+ROW()-7,MATCH(AA$6,DataOB[#Headers],0)),"")</f>
        <v/>
      </c>
      <c r="AB478" s="67" t="str">
        <f>IF($B478&lt;&gt;"",INDEX(DataOB[],FirstRow+ROW()-7,MATCH(AB$6,DataOB[#Headers],0)),"")</f>
        <v/>
      </c>
      <c r="AC478" s="67" t="str">
        <f>IF($B478&lt;&gt;"",INDEX(DataOB[],FirstRow+ROW()-7,MATCH(AC$6,DataOB[#Headers],0)),"")</f>
        <v/>
      </c>
      <c r="AD478" s="67" t="str">
        <f>IF($B478&lt;&gt;"",INDEX(DataOB[],FirstRow+ROW()-7,MATCH(AD$6,DataOB[#Headers],0)),"")</f>
        <v/>
      </c>
      <c r="AE478" s="67" t="str">
        <f>IF($B478&lt;&gt;"",INDEX(DataOB[],FirstRow+ROW()-7,MATCH(AE$6,DataOB[#Headers],0)),"")</f>
        <v/>
      </c>
      <c r="AF478" s="26">
        <f t="shared" si="77"/>
        <v>0</v>
      </c>
      <c r="AG478" s="31">
        <f>SUM($T478:T478)</f>
        <v>0</v>
      </c>
      <c r="AH478" s="31">
        <f>SUM($T478:U478)</f>
        <v>0</v>
      </c>
      <c r="AI478" s="31">
        <f>SUM($T478:V478)</f>
        <v>0</v>
      </c>
      <c r="AJ478" s="31">
        <f>SUM($T478:W478)</f>
        <v>0</v>
      </c>
      <c r="AK478" s="31">
        <f>SUM($T478:X478)</f>
        <v>0</v>
      </c>
      <c r="AL478" s="31">
        <f>SUM($T478:Y478)</f>
        <v>0</v>
      </c>
      <c r="AM478" s="31">
        <f>SUM($T478:Z478)</f>
        <v>0</v>
      </c>
      <c r="AN478" s="31">
        <f>SUM($T478:AA478)</f>
        <v>0</v>
      </c>
      <c r="AO478" s="31">
        <f>SUM($T478:AB478)</f>
        <v>0</v>
      </c>
      <c r="AP478" s="31">
        <f>SUM($T478:AC478)</f>
        <v>0</v>
      </c>
      <c r="AQ478" s="31">
        <f>SUM($T478:AD478)</f>
        <v>0</v>
      </c>
      <c r="AR478" s="31">
        <f>SUM($T478:AE478)</f>
        <v>0</v>
      </c>
      <c r="AS478" s="27">
        <f t="shared" si="78"/>
        <v>0</v>
      </c>
    </row>
    <row r="479" spans="2:45">
      <c r="B479" s="102" t="str">
        <f>IF(ROW()-6&gt;NumCostCenter,"",IF(CostCenter&lt;&gt;"ALL",CostCenter,DATA_LF2!B477))</f>
        <v/>
      </c>
      <c r="C479" s="153" t="str">
        <f>IF($B479&lt;&gt;"",INDEX(DataOB[],FirstRow+ROW()-7,2),"")</f>
        <v/>
      </c>
      <c r="D479" s="66" t="str">
        <f>IF($B479&lt;&gt;"",INDEX(DataOB[],FirstRow+ROW()-7,3),"")</f>
        <v/>
      </c>
      <c r="E479" s="103" t="str">
        <f>IF($B479&lt;&gt;"",INDEX(DataOB[],FirstRow+ROW()-7,6),"")</f>
        <v/>
      </c>
      <c r="F479" s="103" t="str">
        <f>IF($B479&lt;&gt;"",INDEX(DataOB[],FirstRow+ROW()-7,5),"")</f>
        <v/>
      </c>
      <c r="G479" s="58">
        <f>IF($B479&lt;&gt;"",SUMIFS(DataAct_tbl[AMOUNT],DataAct_tbl[BG CODE],Detail!$D479,DataAct_tbl[MONTH],LEFT(MonthName,3),DataAct_tbl[Dept code],$B479),0)</f>
        <v>0</v>
      </c>
      <c r="H479" s="31" t="str">
        <f t="shared" si="70"/>
        <v/>
      </c>
      <c r="I479" s="28" t="str">
        <f t="shared" si="71"/>
        <v/>
      </c>
      <c r="J479" s="32" t="str">
        <f t="shared" si="72"/>
        <v/>
      </c>
      <c r="K479" s="86"/>
      <c r="L479" s="62">
        <f>IF($B479&lt;&gt;"",SUMIFS(DataAct_tbl[AMOUNT],DataAct_tbl[BG CODE],Detail!$D479,DataAct_tbl[Check Range],"=true",DataAct_tbl[Dept code],$B479),0)</f>
        <v>0</v>
      </c>
      <c r="M479" s="63">
        <f>INDEX($AG$7:$AR$1005,ROW()-6,MATCH(MTD,$AG$6:$AR$6,0))</f>
        <v>0</v>
      </c>
      <c r="N479" s="34">
        <f t="shared" si="73"/>
        <v>0</v>
      </c>
      <c r="O479" s="64" t="str">
        <f t="shared" si="74"/>
        <v xml:space="preserve"> </v>
      </c>
      <c r="Q479" s="97">
        <f t="shared" si="75"/>
        <v>0</v>
      </c>
      <c r="R479" s="96">
        <f t="shared" si="76"/>
        <v>0</v>
      </c>
      <c r="T479" s="67" t="str">
        <f>IF($B479&lt;&gt;"",INDEX(DataOB[],FirstRow+ROW()-7,MATCH(T$6,DataOB[#Headers],0)),"")</f>
        <v/>
      </c>
      <c r="U479" s="67" t="str">
        <f>IF($B479&lt;&gt;"",INDEX(DataOB[],FirstRow+ROW()-7,MATCH(U$6,DataOB[#Headers],0)),"")</f>
        <v/>
      </c>
      <c r="V479" s="67" t="str">
        <f>IF($B479&lt;&gt;"",INDEX(DataOB[],FirstRow+ROW()-7,MATCH(V$6,DataOB[#Headers],0)),"")</f>
        <v/>
      </c>
      <c r="W479" s="67" t="str">
        <f>IF($B479&lt;&gt;"",INDEX(DataOB[],FirstRow+ROW()-7,MATCH(W$6,DataOB[#Headers],0)),"")</f>
        <v/>
      </c>
      <c r="X479" s="67" t="str">
        <f>IF($B479&lt;&gt;"",INDEX(DataOB[],FirstRow+ROW()-7,MATCH(X$6,DataOB[#Headers],0)),"")</f>
        <v/>
      </c>
      <c r="Y479" s="67" t="str">
        <f>IF($B479&lt;&gt;"",INDEX(DataOB[],FirstRow+ROW()-7,MATCH(Y$6,DataOB[#Headers],0)),"")</f>
        <v/>
      </c>
      <c r="Z479" s="67" t="str">
        <f>IF($B479&lt;&gt;"",INDEX(DataOB[],FirstRow+ROW()-7,MATCH(Z$6,DataOB[#Headers],0)),"")</f>
        <v/>
      </c>
      <c r="AA479" s="67" t="str">
        <f>IF($B479&lt;&gt;"",INDEX(DataOB[],FirstRow+ROW()-7,MATCH(AA$6,DataOB[#Headers],0)),"")</f>
        <v/>
      </c>
      <c r="AB479" s="67" t="str">
        <f>IF($B479&lt;&gt;"",INDEX(DataOB[],FirstRow+ROW()-7,MATCH(AB$6,DataOB[#Headers],0)),"")</f>
        <v/>
      </c>
      <c r="AC479" s="67" t="str">
        <f>IF($B479&lt;&gt;"",INDEX(DataOB[],FirstRow+ROW()-7,MATCH(AC$6,DataOB[#Headers],0)),"")</f>
        <v/>
      </c>
      <c r="AD479" s="67" t="str">
        <f>IF($B479&lt;&gt;"",INDEX(DataOB[],FirstRow+ROW()-7,MATCH(AD$6,DataOB[#Headers],0)),"")</f>
        <v/>
      </c>
      <c r="AE479" s="67" t="str">
        <f>IF($B479&lt;&gt;"",INDEX(DataOB[],FirstRow+ROW()-7,MATCH(AE$6,DataOB[#Headers],0)),"")</f>
        <v/>
      </c>
      <c r="AF479" s="26">
        <f t="shared" si="77"/>
        <v>0</v>
      </c>
      <c r="AG479" s="31">
        <f>SUM($T479:T479)</f>
        <v>0</v>
      </c>
      <c r="AH479" s="31">
        <f>SUM($T479:U479)</f>
        <v>0</v>
      </c>
      <c r="AI479" s="31">
        <f>SUM($T479:V479)</f>
        <v>0</v>
      </c>
      <c r="AJ479" s="31">
        <f>SUM($T479:W479)</f>
        <v>0</v>
      </c>
      <c r="AK479" s="31">
        <f>SUM($T479:X479)</f>
        <v>0</v>
      </c>
      <c r="AL479" s="31">
        <f>SUM($T479:Y479)</f>
        <v>0</v>
      </c>
      <c r="AM479" s="31">
        <f>SUM($T479:Z479)</f>
        <v>0</v>
      </c>
      <c r="AN479" s="31">
        <f>SUM($T479:AA479)</f>
        <v>0</v>
      </c>
      <c r="AO479" s="31">
        <f>SUM($T479:AB479)</f>
        <v>0</v>
      </c>
      <c r="AP479" s="31">
        <f>SUM($T479:AC479)</f>
        <v>0</v>
      </c>
      <c r="AQ479" s="31">
        <f>SUM($T479:AD479)</f>
        <v>0</v>
      </c>
      <c r="AR479" s="31">
        <f>SUM($T479:AE479)</f>
        <v>0</v>
      </c>
      <c r="AS479" s="27">
        <f t="shared" si="78"/>
        <v>0</v>
      </c>
    </row>
    <row r="480" spans="2:45">
      <c r="B480" s="102" t="str">
        <f>IF(ROW()-6&gt;NumCostCenter,"",IF(CostCenter&lt;&gt;"ALL",CostCenter,DATA_LF2!B478))</f>
        <v/>
      </c>
      <c r="C480" s="153" t="str">
        <f>IF($B480&lt;&gt;"",INDEX(DataOB[],FirstRow+ROW()-7,2),"")</f>
        <v/>
      </c>
      <c r="D480" s="66" t="str">
        <f>IF($B480&lt;&gt;"",INDEX(DataOB[],FirstRow+ROW()-7,3),"")</f>
        <v/>
      </c>
      <c r="E480" s="103" t="str">
        <f>IF($B480&lt;&gt;"",INDEX(DataOB[],FirstRow+ROW()-7,6),"")</f>
        <v/>
      </c>
      <c r="F480" s="103" t="str">
        <f>IF($B480&lt;&gt;"",INDEX(DataOB[],FirstRow+ROW()-7,5),"")</f>
        <v/>
      </c>
      <c r="G480" s="58">
        <f>IF($B480&lt;&gt;"",SUMIFS(DataAct_tbl[AMOUNT],DataAct_tbl[BG CODE],Detail!$D480,DataAct_tbl[MONTH],LEFT(MonthName,3),DataAct_tbl[Dept code],$B480),0)</f>
        <v>0</v>
      </c>
      <c r="H480" s="31" t="str">
        <f t="shared" si="70"/>
        <v/>
      </c>
      <c r="I480" s="28" t="str">
        <f t="shared" si="71"/>
        <v/>
      </c>
      <c r="J480" s="32" t="str">
        <f t="shared" si="72"/>
        <v/>
      </c>
      <c r="K480" s="86"/>
      <c r="L480" s="62">
        <f>IF($B480&lt;&gt;"",SUMIFS(DataAct_tbl[AMOUNT],DataAct_tbl[BG CODE],Detail!$D480,DataAct_tbl[Check Range],"=true",DataAct_tbl[Dept code],$B480),0)</f>
        <v>0</v>
      </c>
      <c r="M480" s="63">
        <f>INDEX($AG$7:$AR$1005,ROW()-6,MATCH(MTD,$AG$6:$AR$6,0))</f>
        <v>0</v>
      </c>
      <c r="N480" s="34">
        <f t="shared" si="73"/>
        <v>0</v>
      </c>
      <c r="O480" s="64" t="str">
        <f t="shared" si="74"/>
        <v xml:space="preserve"> </v>
      </c>
      <c r="Q480" s="97">
        <f t="shared" si="75"/>
        <v>0</v>
      </c>
      <c r="R480" s="96">
        <f t="shared" si="76"/>
        <v>0</v>
      </c>
      <c r="T480" s="67" t="str">
        <f>IF($B480&lt;&gt;"",INDEX(DataOB[],FirstRow+ROW()-7,MATCH(T$6,DataOB[#Headers],0)),"")</f>
        <v/>
      </c>
      <c r="U480" s="67" t="str">
        <f>IF($B480&lt;&gt;"",INDEX(DataOB[],FirstRow+ROW()-7,MATCH(U$6,DataOB[#Headers],0)),"")</f>
        <v/>
      </c>
      <c r="V480" s="67" t="str">
        <f>IF($B480&lt;&gt;"",INDEX(DataOB[],FirstRow+ROW()-7,MATCH(V$6,DataOB[#Headers],0)),"")</f>
        <v/>
      </c>
      <c r="W480" s="67" t="str">
        <f>IF($B480&lt;&gt;"",INDEX(DataOB[],FirstRow+ROW()-7,MATCH(W$6,DataOB[#Headers],0)),"")</f>
        <v/>
      </c>
      <c r="X480" s="67" t="str">
        <f>IF($B480&lt;&gt;"",INDEX(DataOB[],FirstRow+ROW()-7,MATCH(X$6,DataOB[#Headers],0)),"")</f>
        <v/>
      </c>
      <c r="Y480" s="67" t="str">
        <f>IF($B480&lt;&gt;"",INDEX(DataOB[],FirstRow+ROW()-7,MATCH(Y$6,DataOB[#Headers],0)),"")</f>
        <v/>
      </c>
      <c r="Z480" s="67" t="str">
        <f>IF($B480&lt;&gt;"",INDEX(DataOB[],FirstRow+ROW()-7,MATCH(Z$6,DataOB[#Headers],0)),"")</f>
        <v/>
      </c>
      <c r="AA480" s="67" t="str">
        <f>IF($B480&lt;&gt;"",INDEX(DataOB[],FirstRow+ROW()-7,MATCH(AA$6,DataOB[#Headers],0)),"")</f>
        <v/>
      </c>
      <c r="AB480" s="67" t="str">
        <f>IF($B480&lt;&gt;"",INDEX(DataOB[],FirstRow+ROW()-7,MATCH(AB$6,DataOB[#Headers],0)),"")</f>
        <v/>
      </c>
      <c r="AC480" s="67" t="str">
        <f>IF($B480&lt;&gt;"",INDEX(DataOB[],FirstRow+ROW()-7,MATCH(AC$6,DataOB[#Headers],0)),"")</f>
        <v/>
      </c>
      <c r="AD480" s="67" t="str">
        <f>IF($B480&lt;&gt;"",INDEX(DataOB[],FirstRow+ROW()-7,MATCH(AD$6,DataOB[#Headers],0)),"")</f>
        <v/>
      </c>
      <c r="AE480" s="67" t="str">
        <f>IF($B480&lt;&gt;"",INDEX(DataOB[],FirstRow+ROW()-7,MATCH(AE$6,DataOB[#Headers],0)),"")</f>
        <v/>
      </c>
      <c r="AF480" s="26">
        <f t="shared" si="77"/>
        <v>0</v>
      </c>
      <c r="AG480" s="31">
        <f>SUM($T480:T480)</f>
        <v>0</v>
      </c>
      <c r="AH480" s="31">
        <f>SUM($T480:U480)</f>
        <v>0</v>
      </c>
      <c r="AI480" s="31">
        <f>SUM($T480:V480)</f>
        <v>0</v>
      </c>
      <c r="AJ480" s="31">
        <f>SUM($T480:W480)</f>
        <v>0</v>
      </c>
      <c r="AK480" s="31">
        <f>SUM($T480:X480)</f>
        <v>0</v>
      </c>
      <c r="AL480" s="31">
        <f>SUM($T480:Y480)</f>
        <v>0</v>
      </c>
      <c r="AM480" s="31">
        <f>SUM($T480:Z480)</f>
        <v>0</v>
      </c>
      <c r="AN480" s="31">
        <f>SUM($T480:AA480)</f>
        <v>0</v>
      </c>
      <c r="AO480" s="31">
        <f>SUM($T480:AB480)</f>
        <v>0</v>
      </c>
      <c r="AP480" s="31">
        <f>SUM($T480:AC480)</f>
        <v>0</v>
      </c>
      <c r="AQ480" s="31">
        <f>SUM($T480:AD480)</f>
        <v>0</v>
      </c>
      <c r="AR480" s="31">
        <f>SUM($T480:AE480)</f>
        <v>0</v>
      </c>
      <c r="AS480" s="27">
        <f t="shared" si="78"/>
        <v>0</v>
      </c>
    </row>
    <row r="481" spans="2:45">
      <c r="B481" s="102" t="str">
        <f>IF(ROW()-6&gt;NumCostCenter,"",IF(CostCenter&lt;&gt;"ALL",CostCenter,DATA_LF2!B479))</f>
        <v/>
      </c>
      <c r="C481" s="153" t="str">
        <f>IF($B481&lt;&gt;"",INDEX(DataOB[],FirstRow+ROW()-7,2),"")</f>
        <v/>
      </c>
      <c r="D481" s="66" t="str">
        <f>IF($B481&lt;&gt;"",INDEX(DataOB[],FirstRow+ROW()-7,3),"")</f>
        <v/>
      </c>
      <c r="E481" s="103" t="str">
        <f>IF($B481&lt;&gt;"",INDEX(DataOB[],FirstRow+ROW()-7,6),"")</f>
        <v/>
      </c>
      <c r="F481" s="103" t="str">
        <f>IF($B481&lt;&gt;"",INDEX(DataOB[],FirstRow+ROW()-7,5),"")</f>
        <v/>
      </c>
      <c r="G481" s="58">
        <f>IF($B481&lt;&gt;"",SUMIFS(DataAct_tbl[AMOUNT],DataAct_tbl[BG CODE],Detail!$D481,DataAct_tbl[MONTH],LEFT(MonthName,3),DataAct_tbl[Dept code],$B481),0)</f>
        <v>0</v>
      </c>
      <c r="H481" s="31" t="str">
        <f t="shared" si="70"/>
        <v/>
      </c>
      <c r="I481" s="28" t="str">
        <f t="shared" si="71"/>
        <v/>
      </c>
      <c r="J481" s="32" t="str">
        <f t="shared" si="72"/>
        <v/>
      </c>
      <c r="K481" s="86"/>
      <c r="L481" s="62">
        <f>IF($B481&lt;&gt;"",SUMIFS(DataAct_tbl[AMOUNT],DataAct_tbl[BG CODE],Detail!$D481,DataAct_tbl[Check Range],"=true",DataAct_tbl[Dept code],$B481),0)</f>
        <v>0</v>
      </c>
      <c r="M481" s="63">
        <f>INDEX($AG$7:$AR$1005,ROW()-6,MATCH(MTD,$AG$6:$AR$6,0))</f>
        <v>0</v>
      </c>
      <c r="N481" s="34">
        <f t="shared" si="73"/>
        <v>0</v>
      </c>
      <c r="O481" s="64" t="str">
        <f t="shared" si="74"/>
        <v xml:space="preserve"> </v>
      </c>
      <c r="Q481" s="97">
        <f t="shared" si="75"/>
        <v>0</v>
      </c>
      <c r="R481" s="96">
        <f t="shared" si="76"/>
        <v>0</v>
      </c>
      <c r="T481" s="67" t="str">
        <f>IF($B481&lt;&gt;"",INDEX(DataOB[],FirstRow+ROW()-7,MATCH(T$6,DataOB[#Headers],0)),"")</f>
        <v/>
      </c>
      <c r="U481" s="67" t="str">
        <f>IF($B481&lt;&gt;"",INDEX(DataOB[],FirstRow+ROW()-7,MATCH(U$6,DataOB[#Headers],0)),"")</f>
        <v/>
      </c>
      <c r="V481" s="67" t="str">
        <f>IF($B481&lt;&gt;"",INDEX(DataOB[],FirstRow+ROW()-7,MATCH(V$6,DataOB[#Headers],0)),"")</f>
        <v/>
      </c>
      <c r="W481" s="67" t="str">
        <f>IF($B481&lt;&gt;"",INDEX(DataOB[],FirstRow+ROW()-7,MATCH(W$6,DataOB[#Headers],0)),"")</f>
        <v/>
      </c>
      <c r="X481" s="67" t="str">
        <f>IF($B481&lt;&gt;"",INDEX(DataOB[],FirstRow+ROW()-7,MATCH(X$6,DataOB[#Headers],0)),"")</f>
        <v/>
      </c>
      <c r="Y481" s="67" t="str">
        <f>IF($B481&lt;&gt;"",INDEX(DataOB[],FirstRow+ROW()-7,MATCH(Y$6,DataOB[#Headers],0)),"")</f>
        <v/>
      </c>
      <c r="Z481" s="67" t="str">
        <f>IF($B481&lt;&gt;"",INDEX(DataOB[],FirstRow+ROW()-7,MATCH(Z$6,DataOB[#Headers],0)),"")</f>
        <v/>
      </c>
      <c r="AA481" s="67" t="str">
        <f>IF($B481&lt;&gt;"",INDEX(DataOB[],FirstRow+ROW()-7,MATCH(AA$6,DataOB[#Headers],0)),"")</f>
        <v/>
      </c>
      <c r="AB481" s="67" t="str">
        <f>IF($B481&lt;&gt;"",INDEX(DataOB[],FirstRow+ROW()-7,MATCH(AB$6,DataOB[#Headers],0)),"")</f>
        <v/>
      </c>
      <c r="AC481" s="67" t="str">
        <f>IF($B481&lt;&gt;"",INDEX(DataOB[],FirstRow+ROW()-7,MATCH(AC$6,DataOB[#Headers],0)),"")</f>
        <v/>
      </c>
      <c r="AD481" s="67" t="str">
        <f>IF($B481&lt;&gt;"",INDEX(DataOB[],FirstRow+ROW()-7,MATCH(AD$6,DataOB[#Headers],0)),"")</f>
        <v/>
      </c>
      <c r="AE481" s="67" t="str">
        <f>IF($B481&lt;&gt;"",INDEX(DataOB[],FirstRow+ROW()-7,MATCH(AE$6,DataOB[#Headers],0)),"")</f>
        <v/>
      </c>
      <c r="AF481" s="26">
        <f t="shared" si="77"/>
        <v>0</v>
      </c>
      <c r="AG481" s="31">
        <f>SUM($T481:T481)</f>
        <v>0</v>
      </c>
      <c r="AH481" s="31">
        <f>SUM($T481:U481)</f>
        <v>0</v>
      </c>
      <c r="AI481" s="31">
        <f>SUM($T481:V481)</f>
        <v>0</v>
      </c>
      <c r="AJ481" s="31">
        <f>SUM($T481:W481)</f>
        <v>0</v>
      </c>
      <c r="AK481" s="31">
        <f>SUM($T481:X481)</f>
        <v>0</v>
      </c>
      <c r="AL481" s="31">
        <f>SUM($T481:Y481)</f>
        <v>0</v>
      </c>
      <c r="AM481" s="31">
        <f>SUM($T481:Z481)</f>
        <v>0</v>
      </c>
      <c r="AN481" s="31">
        <f>SUM($T481:AA481)</f>
        <v>0</v>
      </c>
      <c r="AO481" s="31">
        <f>SUM($T481:AB481)</f>
        <v>0</v>
      </c>
      <c r="AP481" s="31">
        <f>SUM($T481:AC481)</f>
        <v>0</v>
      </c>
      <c r="AQ481" s="31">
        <f>SUM($T481:AD481)</f>
        <v>0</v>
      </c>
      <c r="AR481" s="31">
        <f>SUM($T481:AE481)</f>
        <v>0</v>
      </c>
      <c r="AS481" s="27">
        <f t="shared" si="78"/>
        <v>0</v>
      </c>
    </row>
    <row r="482" spans="2:45">
      <c r="B482" s="102" t="str">
        <f>IF(ROW()-6&gt;NumCostCenter,"",IF(CostCenter&lt;&gt;"ALL",CostCenter,DATA_LF2!B480))</f>
        <v/>
      </c>
      <c r="C482" s="153" t="str">
        <f>IF($B482&lt;&gt;"",INDEX(DataOB[],FirstRow+ROW()-7,2),"")</f>
        <v/>
      </c>
      <c r="D482" s="66" t="str">
        <f>IF($B482&lt;&gt;"",INDEX(DataOB[],FirstRow+ROW()-7,3),"")</f>
        <v/>
      </c>
      <c r="E482" s="103" t="str">
        <f>IF($B482&lt;&gt;"",INDEX(DataOB[],FirstRow+ROW()-7,6),"")</f>
        <v/>
      </c>
      <c r="F482" s="103" t="str">
        <f>IF($B482&lt;&gt;"",INDEX(DataOB[],FirstRow+ROW()-7,5),"")</f>
        <v/>
      </c>
      <c r="G482" s="58">
        <f>IF($B482&lt;&gt;"",SUMIFS(DataAct_tbl[AMOUNT],DataAct_tbl[BG CODE],Detail!$D482,DataAct_tbl[MONTH],LEFT(MonthName,3),DataAct_tbl[Dept code],$B482),0)</f>
        <v>0</v>
      </c>
      <c r="H482" s="31" t="str">
        <f t="shared" si="70"/>
        <v/>
      </c>
      <c r="I482" s="28" t="str">
        <f t="shared" si="71"/>
        <v/>
      </c>
      <c r="J482" s="32" t="str">
        <f t="shared" si="72"/>
        <v/>
      </c>
      <c r="K482" s="86"/>
      <c r="L482" s="62">
        <f>IF($B482&lt;&gt;"",SUMIFS(DataAct_tbl[AMOUNT],DataAct_tbl[BG CODE],Detail!$D482,DataAct_tbl[Check Range],"=true",DataAct_tbl[Dept code],$B482),0)</f>
        <v>0</v>
      </c>
      <c r="M482" s="63">
        <f>INDEX($AG$7:$AR$1005,ROW()-6,MATCH(MTD,$AG$6:$AR$6,0))</f>
        <v>0</v>
      </c>
      <c r="N482" s="34">
        <f t="shared" si="73"/>
        <v>0</v>
      </c>
      <c r="O482" s="64" t="str">
        <f t="shared" si="74"/>
        <v xml:space="preserve"> </v>
      </c>
      <c r="Q482" s="97">
        <f t="shared" si="75"/>
        <v>0</v>
      </c>
      <c r="R482" s="96">
        <f t="shared" si="76"/>
        <v>0</v>
      </c>
      <c r="T482" s="67" t="str">
        <f>IF($B482&lt;&gt;"",INDEX(DataOB[],FirstRow+ROW()-7,MATCH(T$6,DataOB[#Headers],0)),"")</f>
        <v/>
      </c>
      <c r="U482" s="67" t="str">
        <f>IF($B482&lt;&gt;"",INDEX(DataOB[],FirstRow+ROW()-7,MATCH(U$6,DataOB[#Headers],0)),"")</f>
        <v/>
      </c>
      <c r="V482" s="67" t="str">
        <f>IF($B482&lt;&gt;"",INDEX(DataOB[],FirstRow+ROW()-7,MATCH(V$6,DataOB[#Headers],0)),"")</f>
        <v/>
      </c>
      <c r="W482" s="67" t="str">
        <f>IF($B482&lt;&gt;"",INDEX(DataOB[],FirstRow+ROW()-7,MATCH(W$6,DataOB[#Headers],0)),"")</f>
        <v/>
      </c>
      <c r="X482" s="67" t="str">
        <f>IF($B482&lt;&gt;"",INDEX(DataOB[],FirstRow+ROW()-7,MATCH(X$6,DataOB[#Headers],0)),"")</f>
        <v/>
      </c>
      <c r="Y482" s="67" t="str">
        <f>IF($B482&lt;&gt;"",INDEX(DataOB[],FirstRow+ROW()-7,MATCH(Y$6,DataOB[#Headers],0)),"")</f>
        <v/>
      </c>
      <c r="Z482" s="67" t="str">
        <f>IF($B482&lt;&gt;"",INDEX(DataOB[],FirstRow+ROW()-7,MATCH(Z$6,DataOB[#Headers],0)),"")</f>
        <v/>
      </c>
      <c r="AA482" s="67" t="str">
        <f>IF($B482&lt;&gt;"",INDEX(DataOB[],FirstRow+ROW()-7,MATCH(AA$6,DataOB[#Headers],0)),"")</f>
        <v/>
      </c>
      <c r="AB482" s="67" t="str">
        <f>IF($B482&lt;&gt;"",INDEX(DataOB[],FirstRow+ROW()-7,MATCH(AB$6,DataOB[#Headers],0)),"")</f>
        <v/>
      </c>
      <c r="AC482" s="67" t="str">
        <f>IF($B482&lt;&gt;"",INDEX(DataOB[],FirstRow+ROW()-7,MATCH(AC$6,DataOB[#Headers],0)),"")</f>
        <v/>
      </c>
      <c r="AD482" s="67" t="str">
        <f>IF($B482&lt;&gt;"",INDEX(DataOB[],FirstRow+ROW()-7,MATCH(AD$6,DataOB[#Headers],0)),"")</f>
        <v/>
      </c>
      <c r="AE482" s="67" t="str">
        <f>IF($B482&lt;&gt;"",INDEX(DataOB[],FirstRow+ROW()-7,MATCH(AE$6,DataOB[#Headers],0)),"")</f>
        <v/>
      </c>
      <c r="AF482" s="26">
        <f t="shared" si="77"/>
        <v>0</v>
      </c>
      <c r="AG482" s="31">
        <f>SUM($T482:T482)</f>
        <v>0</v>
      </c>
      <c r="AH482" s="31">
        <f>SUM($T482:U482)</f>
        <v>0</v>
      </c>
      <c r="AI482" s="31">
        <f>SUM($T482:V482)</f>
        <v>0</v>
      </c>
      <c r="AJ482" s="31">
        <f>SUM($T482:W482)</f>
        <v>0</v>
      </c>
      <c r="AK482" s="31">
        <f>SUM($T482:X482)</f>
        <v>0</v>
      </c>
      <c r="AL482" s="31">
        <f>SUM($T482:Y482)</f>
        <v>0</v>
      </c>
      <c r="AM482" s="31">
        <f>SUM($T482:Z482)</f>
        <v>0</v>
      </c>
      <c r="AN482" s="31">
        <f>SUM($T482:AA482)</f>
        <v>0</v>
      </c>
      <c r="AO482" s="31">
        <f>SUM($T482:AB482)</f>
        <v>0</v>
      </c>
      <c r="AP482" s="31">
        <f>SUM($T482:AC482)</f>
        <v>0</v>
      </c>
      <c r="AQ482" s="31">
        <f>SUM($T482:AD482)</f>
        <v>0</v>
      </c>
      <c r="AR482" s="31">
        <f>SUM($T482:AE482)</f>
        <v>0</v>
      </c>
      <c r="AS482" s="27">
        <f t="shared" si="78"/>
        <v>0</v>
      </c>
    </row>
    <row r="483" spans="2:45">
      <c r="B483" s="102" t="str">
        <f>IF(ROW()-6&gt;NumCostCenter,"",IF(CostCenter&lt;&gt;"ALL",CostCenter,DATA_LF2!B481))</f>
        <v/>
      </c>
      <c r="C483" s="153" t="str">
        <f>IF($B483&lt;&gt;"",INDEX(DataOB[],FirstRow+ROW()-7,2),"")</f>
        <v/>
      </c>
      <c r="D483" s="66" t="str">
        <f>IF($B483&lt;&gt;"",INDEX(DataOB[],FirstRow+ROW()-7,3),"")</f>
        <v/>
      </c>
      <c r="E483" s="103" t="str">
        <f>IF($B483&lt;&gt;"",INDEX(DataOB[],FirstRow+ROW()-7,6),"")</f>
        <v/>
      </c>
      <c r="F483" s="103" t="str">
        <f>IF($B483&lt;&gt;"",INDEX(DataOB[],FirstRow+ROW()-7,5),"")</f>
        <v/>
      </c>
      <c r="G483" s="58">
        <f>IF($B483&lt;&gt;"",SUMIFS(DataAct_tbl[AMOUNT],DataAct_tbl[BG CODE],Detail!$D483,DataAct_tbl[MONTH],LEFT(MonthName,3),DataAct_tbl[Dept code],$B483),0)</f>
        <v>0</v>
      </c>
      <c r="H483" s="31" t="str">
        <f t="shared" si="70"/>
        <v/>
      </c>
      <c r="I483" s="28" t="str">
        <f t="shared" si="71"/>
        <v/>
      </c>
      <c r="J483" s="32" t="str">
        <f t="shared" si="72"/>
        <v/>
      </c>
      <c r="K483" s="86"/>
      <c r="L483" s="62">
        <f>IF($B483&lt;&gt;"",SUMIFS(DataAct_tbl[AMOUNT],DataAct_tbl[BG CODE],Detail!$D483,DataAct_tbl[Check Range],"=true",DataAct_tbl[Dept code],$B483),0)</f>
        <v>0</v>
      </c>
      <c r="M483" s="63">
        <f>INDEX($AG$7:$AR$1005,ROW()-6,MATCH(MTD,$AG$6:$AR$6,0))</f>
        <v>0</v>
      </c>
      <c r="N483" s="34">
        <f t="shared" si="73"/>
        <v>0</v>
      </c>
      <c r="O483" s="64" t="str">
        <f t="shared" si="74"/>
        <v xml:space="preserve"> </v>
      </c>
      <c r="Q483" s="97">
        <f t="shared" si="75"/>
        <v>0</v>
      </c>
      <c r="R483" s="96">
        <f t="shared" si="76"/>
        <v>0</v>
      </c>
      <c r="T483" s="67" t="str">
        <f>IF($B483&lt;&gt;"",INDEX(DataOB[],FirstRow+ROW()-7,MATCH(T$6,DataOB[#Headers],0)),"")</f>
        <v/>
      </c>
      <c r="U483" s="67" t="str">
        <f>IF($B483&lt;&gt;"",INDEX(DataOB[],FirstRow+ROW()-7,MATCH(U$6,DataOB[#Headers],0)),"")</f>
        <v/>
      </c>
      <c r="V483" s="67" t="str">
        <f>IF($B483&lt;&gt;"",INDEX(DataOB[],FirstRow+ROW()-7,MATCH(V$6,DataOB[#Headers],0)),"")</f>
        <v/>
      </c>
      <c r="W483" s="67" t="str">
        <f>IF($B483&lt;&gt;"",INDEX(DataOB[],FirstRow+ROW()-7,MATCH(W$6,DataOB[#Headers],0)),"")</f>
        <v/>
      </c>
      <c r="X483" s="67" t="str">
        <f>IF($B483&lt;&gt;"",INDEX(DataOB[],FirstRow+ROW()-7,MATCH(X$6,DataOB[#Headers],0)),"")</f>
        <v/>
      </c>
      <c r="Y483" s="67" t="str">
        <f>IF($B483&lt;&gt;"",INDEX(DataOB[],FirstRow+ROW()-7,MATCH(Y$6,DataOB[#Headers],0)),"")</f>
        <v/>
      </c>
      <c r="Z483" s="67" t="str">
        <f>IF($B483&lt;&gt;"",INDEX(DataOB[],FirstRow+ROW()-7,MATCH(Z$6,DataOB[#Headers],0)),"")</f>
        <v/>
      </c>
      <c r="AA483" s="67" t="str">
        <f>IF($B483&lt;&gt;"",INDEX(DataOB[],FirstRow+ROW()-7,MATCH(AA$6,DataOB[#Headers],0)),"")</f>
        <v/>
      </c>
      <c r="AB483" s="67" t="str">
        <f>IF($B483&lt;&gt;"",INDEX(DataOB[],FirstRow+ROW()-7,MATCH(AB$6,DataOB[#Headers],0)),"")</f>
        <v/>
      </c>
      <c r="AC483" s="67" t="str">
        <f>IF($B483&lt;&gt;"",INDEX(DataOB[],FirstRow+ROW()-7,MATCH(AC$6,DataOB[#Headers],0)),"")</f>
        <v/>
      </c>
      <c r="AD483" s="67" t="str">
        <f>IF($B483&lt;&gt;"",INDEX(DataOB[],FirstRow+ROW()-7,MATCH(AD$6,DataOB[#Headers],0)),"")</f>
        <v/>
      </c>
      <c r="AE483" s="67" t="str">
        <f>IF($B483&lt;&gt;"",INDEX(DataOB[],FirstRow+ROW()-7,MATCH(AE$6,DataOB[#Headers],0)),"")</f>
        <v/>
      </c>
      <c r="AF483" s="26">
        <f t="shared" si="77"/>
        <v>0</v>
      </c>
      <c r="AG483" s="31">
        <f>SUM($T483:T483)</f>
        <v>0</v>
      </c>
      <c r="AH483" s="31">
        <f>SUM($T483:U483)</f>
        <v>0</v>
      </c>
      <c r="AI483" s="31">
        <f>SUM($T483:V483)</f>
        <v>0</v>
      </c>
      <c r="AJ483" s="31">
        <f>SUM($T483:W483)</f>
        <v>0</v>
      </c>
      <c r="AK483" s="31">
        <f>SUM($T483:X483)</f>
        <v>0</v>
      </c>
      <c r="AL483" s="31">
        <f>SUM($T483:Y483)</f>
        <v>0</v>
      </c>
      <c r="AM483" s="31">
        <f>SUM($T483:Z483)</f>
        <v>0</v>
      </c>
      <c r="AN483" s="31">
        <f>SUM($T483:AA483)</f>
        <v>0</v>
      </c>
      <c r="AO483" s="31">
        <f>SUM($T483:AB483)</f>
        <v>0</v>
      </c>
      <c r="AP483" s="31">
        <f>SUM($T483:AC483)</f>
        <v>0</v>
      </c>
      <c r="AQ483" s="31">
        <f>SUM($T483:AD483)</f>
        <v>0</v>
      </c>
      <c r="AR483" s="31">
        <f>SUM($T483:AE483)</f>
        <v>0</v>
      </c>
      <c r="AS483" s="27">
        <f t="shared" si="78"/>
        <v>0</v>
      </c>
    </row>
    <row r="484" spans="2:45">
      <c r="B484" s="102" t="str">
        <f>IF(ROW()-6&gt;NumCostCenter,"",IF(CostCenter&lt;&gt;"ALL",CostCenter,DATA_LF2!B482))</f>
        <v/>
      </c>
      <c r="C484" s="153" t="str">
        <f>IF($B484&lt;&gt;"",INDEX(DataOB[],FirstRow+ROW()-7,2),"")</f>
        <v/>
      </c>
      <c r="D484" s="66" t="str">
        <f>IF($B484&lt;&gt;"",INDEX(DataOB[],FirstRow+ROW()-7,3),"")</f>
        <v/>
      </c>
      <c r="E484" s="103" t="str">
        <f>IF($B484&lt;&gt;"",INDEX(DataOB[],FirstRow+ROW()-7,6),"")</f>
        <v/>
      </c>
      <c r="F484" s="103" t="str">
        <f>IF($B484&lt;&gt;"",INDEX(DataOB[],FirstRow+ROW()-7,5),"")</f>
        <v/>
      </c>
      <c r="G484" s="58">
        <f>IF($B484&lt;&gt;"",SUMIFS(DataAct_tbl[AMOUNT],DataAct_tbl[BG CODE],Detail!$D484,DataAct_tbl[MONTH],LEFT(MonthName,3),DataAct_tbl[Dept code],$B484),0)</f>
        <v>0</v>
      </c>
      <c r="H484" s="31" t="str">
        <f t="shared" si="70"/>
        <v/>
      </c>
      <c r="I484" s="28" t="str">
        <f t="shared" si="71"/>
        <v/>
      </c>
      <c r="J484" s="32" t="str">
        <f t="shared" si="72"/>
        <v/>
      </c>
      <c r="K484" s="86"/>
      <c r="L484" s="62">
        <f>IF($B484&lt;&gt;"",SUMIFS(DataAct_tbl[AMOUNT],DataAct_tbl[BG CODE],Detail!$D484,DataAct_tbl[Check Range],"=true",DataAct_tbl[Dept code],$B484),0)</f>
        <v>0</v>
      </c>
      <c r="M484" s="63">
        <f>INDEX($AG$7:$AR$1005,ROW()-6,MATCH(MTD,$AG$6:$AR$6,0))</f>
        <v>0</v>
      </c>
      <c r="N484" s="34">
        <f t="shared" si="73"/>
        <v>0</v>
      </c>
      <c r="O484" s="64" t="str">
        <f t="shared" si="74"/>
        <v xml:space="preserve"> </v>
      </c>
      <c r="Q484" s="97">
        <f t="shared" si="75"/>
        <v>0</v>
      </c>
      <c r="R484" s="96">
        <f t="shared" si="76"/>
        <v>0</v>
      </c>
      <c r="T484" s="67" t="str">
        <f>IF($B484&lt;&gt;"",INDEX(DataOB[],FirstRow+ROW()-7,MATCH(T$6,DataOB[#Headers],0)),"")</f>
        <v/>
      </c>
      <c r="U484" s="67" t="str">
        <f>IF($B484&lt;&gt;"",INDEX(DataOB[],FirstRow+ROW()-7,MATCH(U$6,DataOB[#Headers],0)),"")</f>
        <v/>
      </c>
      <c r="V484" s="67" t="str">
        <f>IF($B484&lt;&gt;"",INDEX(DataOB[],FirstRow+ROW()-7,MATCH(V$6,DataOB[#Headers],0)),"")</f>
        <v/>
      </c>
      <c r="W484" s="67" t="str">
        <f>IF($B484&lt;&gt;"",INDEX(DataOB[],FirstRow+ROW()-7,MATCH(W$6,DataOB[#Headers],0)),"")</f>
        <v/>
      </c>
      <c r="X484" s="67" t="str">
        <f>IF($B484&lt;&gt;"",INDEX(DataOB[],FirstRow+ROW()-7,MATCH(X$6,DataOB[#Headers],0)),"")</f>
        <v/>
      </c>
      <c r="Y484" s="67" t="str">
        <f>IF($B484&lt;&gt;"",INDEX(DataOB[],FirstRow+ROW()-7,MATCH(Y$6,DataOB[#Headers],0)),"")</f>
        <v/>
      </c>
      <c r="Z484" s="67" t="str">
        <f>IF($B484&lt;&gt;"",INDEX(DataOB[],FirstRow+ROW()-7,MATCH(Z$6,DataOB[#Headers],0)),"")</f>
        <v/>
      </c>
      <c r="AA484" s="67" t="str">
        <f>IF($B484&lt;&gt;"",INDEX(DataOB[],FirstRow+ROW()-7,MATCH(AA$6,DataOB[#Headers],0)),"")</f>
        <v/>
      </c>
      <c r="AB484" s="67" t="str">
        <f>IF($B484&lt;&gt;"",INDEX(DataOB[],FirstRow+ROW()-7,MATCH(AB$6,DataOB[#Headers],0)),"")</f>
        <v/>
      </c>
      <c r="AC484" s="67" t="str">
        <f>IF($B484&lt;&gt;"",INDEX(DataOB[],FirstRow+ROW()-7,MATCH(AC$6,DataOB[#Headers],0)),"")</f>
        <v/>
      </c>
      <c r="AD484" s="67" t="str">
        <f>IF($B484&lt;&gt;"",INDEX(DataOB[],FirstRow+ROW()-7,MATCH(AD$6,DataOB[#Headers],0)),"")</f>
        <v/>
      </c>
      <c r="AE484" s="67" t="str">
        <f>IF($B484&lt;&gt;"",INDEX(DataOB[],FirstRow+ROW()-7,MATCH(AE$6,DataOB[#Headers],0)),"")</f>
        <v/>
      </c>
      <c r="AF484" s="26">
        <f t="shared" si="77"/>
        <v>0</v>
      </c>
      <c r="AG484" s="31">
        <f>SUM($T484:T484)</f>
        <v>0</v>
      </c>
      <c r="AH484" s="31">
        <f>SUM($T484:U484)</f>
        <v>0</v>
      </c>
      <c r="AI484" s="31">
        <f>SUM($T484:V484)</f>
        <v>0</v>
      </c>
      <c r="AJ484" s="31">
        <f>SUM($T484:W484)</f>
        <v>0</v>
      </c>
      <c r="AK484" s="31">
        <f>SUM($T484:X484)</f>
        <v>0</v>
      </c>
      <c r="AL484" s="31">
        <f>SUM($T484:Y484)</f>
        <v>0</v>
      </c>
      <c r="AM484" s="31">
        <f>SUM($T484:Z484)</f>
        <v>0</v>
      </c>
      <c r="AN484" s="31">
        <f>SUM($T484:AA484)</f>
        <v>0</v>
      </c>
      <c r="AO484" s="31">
        <f>SUM($T484:AB484)</f>
        <v>0</v>
      </c>
      <c r="AP484" s="31">
        <f>SUM($T484:AC484)</f>
        <v>0</v>
      </c>
      <c r="AQ484" s="31">
        <f>SUM($T484:AD484)</f>
        <v>0</v>
      </c>
      <c r="AR484" s="31">
        <f>SUM($T484:AE484)</f>
        <v>0</v>
      </c>
      <c r="AS484" s="27">
        <f t="shared" si="78"/>
        <v>0</v>
      </c>
    </row>
    <row r="485" spans="2:45">
      <c r="B485" s="102" t="str">
        <f>IF(ROW()-6&gt;NumCostCenter,"",IF(CostCenter&lt;&gt;"ALL",CostCenter,DATA_LF2!B483))</f>
        <v/>
      </c>
      <c r="C485" s="153" t="str">
        <f>IF($B485&lt;&gt;"",INDEX(DataOB[],FirstRow+ROW()-7,2),"")</f>
        <v/>
      </c>
      <c r="D485" s="66" t="str">
        <f>IF($B485&lt;&gt;"",INDEX(DataOB[],FirstRow+ROW()-7,3),"")</f>
        <v/>
      </c>
      <c r="E485" s="103" t="str">
        <f>IF($B485&lt;&gt;"",INDEX(DataOB[],FirstRow+ROW()-7,6),"")</f>
        <v/>
      </c>
      <c r="F485" s="103" t="str">
        <f>IF($B485&lt;&gt;"",INDEX(DataOB[],FirstRow+ROW()-7,5),"")</f>
        <v/>
      </c>
      <c r="G485" s="58">
        <f>IF($B485&lt;&gt;"",SUMIFS(DataAct_tbl[AMOUNT],DataAct_tbl[BG CODE],Detail!$D485,DataAct_tbl[MONTH],LEFT(MonthName,3),DataAct_tbl[Dept code],$B485),0)</f>
        <v>0</v>
      </c>
      <c r="H485" s="31" t="str">
        <f t="shared" si="70"/>
        <v/>
      </c>
      <c r="I485" s="28" t="str">
        <f t="shared" si="71"/>
        <v/>
      </c>
      <c r="J485" s="32" t="str">
        <f t="shared" si="72"/>
        <v/>
      </c>
      <c r="K485" s="86"/>
      <c r="L485" s="62">
        <f>IF($B485&lt;&gt;"",SUMIFS(DataAct_tbl[AMOUNT],DataAct_tbl[BG CODE],Detail!$D485,DataAct_tbl[Check Range],"=true",DataAct_tbl[Dept code],$B485),0)</f>
        <v>0</v>
      </c>
      <c r="M485" s="63">
        <f>INDEX($AG$7:$AR$1005,ROW()-6,MATCH(MTD,$AG$6:$AR$6,0))</f>
        <v>0</v>
      </c>
      <c r="N485" s="34">
        <f t="shared" si="73"/>
        <v>0</v>
      </c>
      <c r="O485" s="64" t="str">
        <f t="shared" si="74"/>
        <v xml:space="preserve"> </v>
      </c>
      <c r="Q485" s="97">
        <f t="shared" si="75"/>
        <v>0</v>
      </c>
      <c r="R485" s="96">
        <f t="shared" si="76"/>
        <v>0</v>
      </c>
      <c r="T485" s="67" t="str">
        <f>IF($B485&lt;&gt;"",INDEX(DataOB[],FirstRow+ROW()-7,MATCH(T$6,DataOB[#Headers],0)),"")</f>
        <v/>
      </c>
      <c r="U485" s="67" t="str">
        <f>IF($B485&lt;&gt;"",INDEX(DataOB[],FirstRow+ROW()-7,MATCH(U$6,DataOB[#Headers],0)),"")</f>
        <v/>
      </c>
      <c r="V485" s="67" t="str">
        <f>IF($B485&lt;&gt;"",INDEX(DataOB[],FirstRow+ROW()-7,MATCH(V$6,DataOB[#Headers],0)),"")</f>
        <v/>
      </c>
      <c r="W485" s="67" t="str">
        <f>IF($B485&lt;&gt;"",INDEX(DataOB[],FirstRow+ROW()-7,MATCH(W$6,DataOB[#Headers],0)),"")</f>
        <v/>
      </c>
      <c r="X485" s="67" t="str">
        <f>IF($B485&lt;&gt;"",INDEX(DataOB[],FirstRow+ROW()-7,MATCH(X$6,DataOB[#Headers],0)),"")</f>
        <v/>
      </c>
      <c r="Y485" s="67" t="str">
        <f>IF($B485&lt;&gt;"",INDEX(DataOB[],FirstRow+ROW()-7,MATCH(Y$6,DataOB[#Headers],0)),"")</f>
        <v/>
      </c>
      <c r="Z485" s="67" t="str">
        <f>IF($B485&lt;&gt;"",INDEX(DataOB[],FirstRow+ROW()-7,MATCH(Z$6,DataOB[#Headers],0)),"")</f>
        <v/>
      </c>
      <c r="AA485" s="67" t="str">
        <f>IF($B485&lt;&gt;"",INDEX(DataOB[],FirstRow+ROW()-7,MATCH(AA$6,DataOB[#Headers],0)),"")</f>
        <v/>
      </c>
      <c r="AB485" s="67" t="str">
        <f>IF($B485&lt;&gt;"",INDEX(DataOB[],FirstRow+ROW()-7,MATCH(AB$6,DataOB[#Headers],0)),"")</f>
        <v/>
      </c>
      <c r="AC485" s="67" t="str">
        <f>IF($B485&lt;&gt;"",INDEX(DataOB[],FirstRow+ROW()-7,MATCH(AC$6,DataOB[#Headers],0)),"")</f>
        <v/>
      </c>
      <c r="AD485" s="67" t="str">
        <f>IF($B485&lt;&gt;"",INDEX(DataOB[],FirstRow+ROW()-7,MATCH(AD$6,DataOB[#Headers],0)),"")</f>
        <v/>
      </c>
      <c r="AE485" s="67" t="str">
        <f>IF($B485&lt;&gt;"",INDEX(DataOB[],FirstRow+ROW()-7,MATCH(AE$6,DataOB[#Headers],0)),"")</f>
        <v/>
      </c>
      <c r="AF485" s="26">
        <f t="shared" si="77"/>
        <v>0</v>
      </c>
      <c r="AG485" s="31">
        <f>SUM($T485:T485)</f>
        <v>0</v>
      </c>
      <c r="AH485" s="31">
        <f>SUM($T485:U485)</f>
        <v>0</v>
      </c>
      <c r="AI485" s="31">
        <f>SUM($T485:V485)</f>
        <v>0</v>
      </c>
      <c r="AJ485" s="31">
        <f>SUM($T485:W485)</f>
        <v>0</v>
      </c>
      <c r="AK485" s="31">
        <f>SUM($T485:X485)</f>
        <v>0</v>
      </c>
      <c r="AL485" s="31">
        <f>SUM($T485:Y485)</f>
        <v>0</v>
      </c>
      <c r="AM485" s="31">
        <f>SUM($T485:Z485)</f>
        <v>0</v>
      </c>
      <c r="AN485" s="31">
        <f>SUM($T485:AA485)</f>
        <v>0</v>
      </c>
      <c r="AO485" s="31">
        <f>SUM($T485:AB485)</f>
        <v>0</v>
      </c>
      <c r="AP485" s="31">
        <f>SUM($T485:AC485)</f>
        <v>0</v>
      </c>
      <c r="AQ485" s="31">
        <f>SUM($T485:AD485)</f>
        <v>0</v>
      </c>
      <c r="AR485" s="31">
        <f>SUM($T485:AE485)</f>
        <v>0</v>
      </c>
      <c r="AS485" s="27">
        <f t="shared" si="78"/>
        <v>0</v>
      </c>
    </row>
    <row r="486" spans="2:45">
      <c r="B486" s="102" t="str">
        <f>IF(ROW()-6&gt;NumCostCenter,"",IF(CostCenter&lt;&gt;"ALL",CostCenter,DATA_LF2!B484))</f>
        <v/>
      </c>
      <c r="C486" s="153" t="str">
        <f>IF($B486&lt;&gt;"",INDEX(DataOB[],FirstRow+ROW()-7,2),"")</f>
        <v/>
      </c>
      <c r="D486" s="66" t="str">
        <f>IF($B486&lt;&gt;"",INDEX(DataOB[],FirstRow+ROW()-7,3),"")</f>
        <v/>
      </c>
      <c r="E486" s="103" t="str">
        <f>IF($B486&lt;&gt;"",INDEX(DataOB[],FirstRow+ROW()-7,6),"")</f>
        <v/>
      </c>
      <c r="F486" s="103" t="str">
        <f>IF($B486&lt;&gt;"",INDEX(DataOB[],FirstRow+ROW()-7,5),"")</f>
        <v/>
      </c>
      <c r="G486" s="58">
        <f>IF($B486&lt;&gt;"",SUMIFS(DataAct_tbl[AMOUNT],DataAct_tbl[BG CODE],Detail!$D486,DataAct_tbl[MONTH],LEFT(MonthName,3),DataAct_tbl[Dept code],$B486),0)</f>
        <v>0</v>
      </c>
      <c r="H486" s="31" t="str">
        <f t="shared" si="70"/>
        <v/>
      </c>
      <c r="I486" s="28" t="str">
        <f t="shared" si="71"/>
        <v/>
      </c>
      <c r="J486" s="32" t="str">
        <f t="shared" si="72"/>
        <v/>
      </c>
      <c r="K486" s="86"/>
      <c r="L486" s="62">
        <f>IF($B486&lt;&gt;"",SUMIFS(DataAct_tbl[AMOUNT],DataAct_tbl[BG CODE],Detail!$D486,DataAct_tbl[Check Range],"=true",DataAct_tbl[Dept code],$B486),0)</f>
        <v>0</v>
      </c>
      <c r="M486" s="63">
        <f>INDEX($AG$7:$AR$1005,ROW()-6,MATCH(MTD,$AG$6:$AR$6,0))</f>
        <v>0</v>
      </c>
      <c r="N486" s="34">
        <f t="shared" si="73"/>
        <v>0</v>
      </c>
      <c r="O486" s="64" t="str">
        <f t="shared" si="74"/>
        <v xml:space="preserve"> </v>
      </c>
      <c r="Q486" s="97">
        <f t="shared" si="75"/>
        <v>0</v>
      </c>
      <c r="R486" s="96">
        <f t="shared" si="76"/>
        <v>0</v>
      </c>
      <c r="T486" s="67" t="str">
        <f>IF($B486&lt;&gt;"",INDEX(DataOB[],FirstRow+ROW()-7,MATCH(T$6,DataOB[#Headers],0)),"")</f>
        <v/>
      </c>
      <c r="U486" s="67" t="str">
        <f>IF($B486&lt;&gt;"",INDEX(DataOB[],FirstRow+ROW()-7,MATCH(U$6,DataOB[#Headers],0)),"")</f>
        <v/>
      </c>
      <c r="V486" s="67" t="str">
        <f>IF($B486&lt;&gt;"",INDEX(DataOB[],FirstRow+ROW()-7,MATCH(V$6,DataOB[#Headers],0)),"")</f>
        <v/>
      </c>
      <c r="W486" s="67" t="str">
        <f>IF($B486&lt;&gt;"",INDEX(DataOB[],FirstRow+ROW()-7,MATCH(W$6,DataOB[#Headers],0)),"")</f>
        <v/>
      </c>
      <c r="X486" s="67" t="str">
        <f>IF($B486&lt;&gt;"",INDEX(DataOB[],FirstRow+ROW()-7,MATCH(X$6,DataOB[#Headers],0)),"")</f>
        <v/>
      </c>
      <c r="Y486" s="67" t="str">
        <f>IF($B486&lt;&gt;"",INDEX(DataOB[],FirstRow+ROW()-7,MATCH(Y$6,DataOB[#Headers],0)),"")</f>
        <v/>
      </c>
      <c r="Z486" s="67" t="str">
        <f>IF($B486&lt;&gt;"",INDEX(DataOB[],FirstRow+ROW()-7,MATCH(Z$6,DataOB[#Headers],0)),"")</f>
        <v/>
      </c>
      <c r="AA486" s="67" t="str">
        <f>IF($B486&lt;&gt;"",INDEX(DataOB[],FirstRow+ROW()-7,MATCH(AA$6,DataOB[#Headers],0)),"")</f>
        <v/>
      </c>
      <c r="AB486" s="67" t="str">
        <f>IF($B486&lt;&gt;"",INDEX(DataOB[],FirstRow+ROW()-7,MATCH(AB$6,DataOB[#Headers],0)),"")</f>
        <v/>
      </c>
      <c r="AC486" s="67" t="str">
        <f>IF($B486&lt;&gt;"",INDEX(DataOB[],FirstRow+ROW()-7,MATCH(AC$6,DataOB[#Headers],0)),"")</f>
        <v/>
      </c>
      <c r="AD486" s="67" t="str">
        <f>IF($B486&lt;&gt;"",INDEX(DataOB[],FirstRow+ROW()-7,MATCH(AD$6,DataOB[#Headers],0)),"")</f>
        <v/>
      </c>
      <c r="AE486" s="67" t="str">
        <f>IF($B486&lt;&gt;"",INDEX(DataOB[],FirstRow+ROW()-7,MATCH(AE$6,DataOB[#Headers],0)),"")</f>
        <v/>
      </c>
      <c r="AF486" s="26">
        <f t="shared" si="77"/>
        <v>0</v>
      </c>
      <c r="AG486" s="31">
        <f>SUM($T486:T486)</f>
        <v>0</v>
      </c>
      <c r="AH486" s="31">
        <f>SUM($T486:U486)</f>
        <v>0</v>
      </c>
      <c r="AI486" s="31">
        <f>SUM($T486:V486)</f>
        <v>0</v>
      </c>
      <c r="AJ486" s="31">
        <f>SUM($T486:W486)</f>
        <v>0</v>
      </c>
      <c r="AK486" s="31">
        <f>SUM($T486:X486)</f>
        <v>0</v>
      </c>
      <c r="AL486" s="31">
        <f>SUM($T486:Y486)</f>
        <v>0</v>
      </c>
      <c r="AM486" s="31">
        <f>SUM($T486:Z486)</f>
        <v>0</v>
      </c>
      <c r="AN486" s="31">
        <f>SUM($T486:AA486)</f>
        <v>0</v>
      </c>
      <c r="AO486" s="31">
        <f>SUM($T486:AB486)</f>
        <v>0</v>
      </c>
      <c r="AP486" s="31">
        <f>SUM($T486:AC486)</f>
        <v>0</v>
      </c>
      <c r="AQ486" s="31">
        <f>SUM($T486:AD486)</f>
        <v>0</v>
      </c>
      <c r="AR486" s="31">
        <f>SUM($T486:AE486)</f>
        <v>0</v>
      </c>
      <c r="AS486" s="27">
        <f t="shared" si="78"/>
        <v>0</v>
      </c>
    </row>
    <row r="487" spans="2:45">
      <c r="B487" s="102" t="str">
        <f>IF(ROW()-6&gt;NumCostCenter,"",IF(CostCenter&lt;&gt;"ALL",CostCenter,DATA_LF2!B485))</f>
        <v/>
      </c>
      <c r="C487" s="153" t="str">
        <f>IF($B487&lt;&gt;"",INDEX(DataOB[],FirstRow+ROW()-7,2),"")</f>
        <v/>
      </c>
      <c r="D487" s="66" t="str">
        <f>IF($B487&lt;&gt;"",INDEX(DataOB[],FirstRow+ROW()-7,3),"")</f>
        <v/>
      </c>
      <c r="E487" s="103" t="str">
        <f>IF($B487&lt;&gt;"",INDEX(DataOB[],FirstRow+ROW()-7,6),"")</f>
        <v/>
      </c>
      <c r="F487" s="103" t="str">
        <f>IF($B487&lt;&gt;"",INDEX(DataOB[],FirstRow+ROW()-7,5),"")</f>
        <v/>
      </c>
      <c r="G487" s="58">
        <f>IF($B487&lt;&gt;"",SUMIFS(DataAct_tbl[AMOUNT],DataAct_tbl[BG CODE],Detail!$D487,DataAct_tbl[MONTH],LEFT(MonthName,3),DataAct_tbl[Dept code],$B487),0)</f>
        <v>0</v>
      </c>
      <c r="H487" s="31" t="str">
        <f t="shared" si="70"/>
        <v/>
      </c>
      <c r="I487" s="28" t="str">
        <f t="shared" si="71"/>
        <v/>
      </c>
      <c r="J487" s="32" t="str">
        <f t="shared" si="72"/>
        <v/>
      </c>
      <c r="K487" s="86"/>
      <c r="L487" s="62">
        <f>IF($B487&lt;&gt;"",SUMIFS(DataAct_tbl[AMOUNT],DataAct_tbl[BG CODE],Detail!$D487,DataAct_tbl[Check Range],"=true",DataAct_tbl[Dept code],$B487),0)</f>
        <v>0</v>
      </c>
      <c r="M487" s="63">
        <f>INDEX($AG$7:$AR$1005,ROW()-6,MATCH(MTD,$AG$6:$AR$6,0))</f>
        <v>0</v>
      </c>
      <c r="N487" s="34">
        <f t="shared" si="73"/>
        <v>0</v>
      </c>
      <c r="O487" s="64" t="str">
        <f t="shared" si="74"/>
        <v xml:space="preserve"> </v>
      </c>
      <c r="Q487" s="97">
        <f t="shared" si="75"/>
        <v>0</v>
      </c>
      <c r="R487" s="96">
        <f t="shared" si="76"/>
        <v>0</v>
      </c>
      <c r="T487" s="67" t="str">
        <f>IF($B487&lt;&gt;"",INDEX(DataOB[],FirstRow+ROW()-7,MATCH(T$6,DataOB[#Headers],0)),"")</f>
        <v/>
      </c>
      <c r="U487" s="67" t="str">
        <f>IF($B487&lt;&gt;"",INDEX(DataOB[],FirstRow+ROW()-7,MATCH(U$6,DataOB[#Headers],0)),"")</f>
        <v/>
      </c>
      <c r="V487" s="67" t="str">
        <f>IF($B487&lt;&gt;"",INDEX(DataOB[],FirstRow+ROW()-7,MATCH(V$6,DataOB[#Headers],0)),"")</f>
        <v/>
      </c>
      <c r="W487" s="67" t="str">
        <f>IF($B487&lt;&gt;"",INDEX(DataOB[],FirstRow+ROW()-7,MATCH(W$6,DataOB[#Headers],0)),"")</f>
        <v/>
      </c>
      <c r="X487" s="67" t="str">
        <f>IF($B487&lt;&gt;"",INDEX(DataOB[],FirstRow+ROW()-7,MATCH(X$6,DataOB[#Headers],0)),"")</f>
        <v/>
      </c>
      <c r="Y487" s="67" t="str">
        <f>IF($B487&lt;&gt;"",INDEX(DataOB[],FirstRow+ROW()-7,MATCH(Y$6,DataOB[#Headers],0)),"")</f>
        <v/>
      </c>
      <c r="Z487" s="67" t="str">
        <f>IF($B487&lt;&gt;"",INDEX(DataOB[],FirstRow+ROW()-7,MATCH(Z$6,DataOB[#Headers],0)),"")</f>
        <v/>
      </c>
      <c r="AA487" s="67" t="str">
        <f>IF($B487&lt;&gt;"",INDEX(DataOB[],FirstRow+ROW()-7,MATCH(AA$6,DataOB[#Headers],0)),"")</f>
        <v/>
      </c>
      <c r="AB487" s="67" t="str">
        <f>IF($B487&lt;&gt;"",INDEX(DataOB[],FirstRow+ROW()-7,MATCH(AB$6,DataOB[#Headers],0)),"")</f>
        <v/>
      </c>
      <c r="AC487" s="67" t="str">
        <f>IF($B487&lt;&gt;"",INDEX(DataOB[],FirstRow+ROW()-7,MATCH(AC$6,DataOB[#Headers],0)),"")</f>
        <v/>
      </c>
      <c r="AD487" s="67" t="str">
        <f>IF($B487&lt;&gt;"",INDEX(DataOB[],FirstRow+ROW()-7,MATCH(AD$6,DataOB[#Headers],0)),"")</f>
        <v/>
      </c>
      <c r="AE487" s="67" t="str">
        <f>IF($B487&lt;&gt;"",INDEX(DataOB[],FirstRow+ROW()-7,MATCH(AE$6,DataOB[#Headers],0)),"")</f>
        <v/>
      </c>
      <c r="AF487" s="26">
        <f t="shared" si="77"/>
        <v>0</v>
      </c>
      <c r="AG487" s="31">
        <f>SUM($T487:T487)</f>
        <v>0</v>
      </c>
      <c r="AH487" s="31">
        <f>SUM($T487:U487)</f>
        <v>0</v>
      </c>
      <c r="AI487" s="31">
        <f>SUM($T487:V487)</f>
        <v>0</v>
      </c>
      <c r="AJ487" s="31">
        <f>SUM($T487:W487)</f>
        <v>0</v>
      </c>
      <c r="AK487" s="31">
        <f>SUM($T487:X487)</f>
        <v>0</v>
      </c>
      <c r="AL487" s="31">
        <f>SUM($T487:Y487)</f>
        <v>0</v>
      </c>
      <c r="AM487" s="31">
        <f>SUM($T487:Z487)</f>
        <v>0</v>
      </c>
      <c r="AN487" s="31">
        <f>SUM($T487:AA487)</f>
        <v>0</v>
      </c>
      <c r="AO487" s="31">
        <f>SUM($T487:AB487)</f>
        <v>0</v>
      </c>
      <c r="AP487" s="31">
        <f>SUM($T487:AC487)</f>
        <v>0</v>
      </c>
      <c r="AQ487" s="31">
        <f>SUM($T487:AD487)</f>
        <v>0</v>
      </c>
      <c r="AR487" s="31">
        <f>SUM($T487:AE487)</f>
        <v>0</v>
      </c>
      <c r="AS487" s="27">
        <f t="shared" si="78"/>
        <v>0</v>
      </c>
    </row>
    <row r="488" spans="2:45">
      <c r="B488" s="102" t="str">
        <f>IF(ROW()-6&gt;NumCostCenter,"",IF(CostCenter&lt;&gt;"ALL",CostCenter,DATA_LF2!B486))</f>
        <v/>
      </c>
      <c r="C488" s="153" t="str">
        <f>IF($B488&lt;&gt;"",INDEX(DataOB[],FirstRow+ROW()-7,2),"")</f>
        <v/>
      </c>
      <c r="D488" s="66" t="str">
        <f>IF($B488&lt;&gt;"",INDEX(DataOB[],FirstRow+ROW()-7,3),"")</f>
        <v/>
      </c>
      <c r="E488" s="103" t="str">
        <f>IF($B488&lt;&gt;"",INDEX(DataOB[],FirstRow+ROW()-7,6),"")</f>
        <v/>
      </c>
      <c r="F488" s="103" t="str">
        <f>IF($B488&lt;&gt;"",INDEX(DataOB[],FirstRow+ROW()-7,5),"")</f>
        <v/>
      </c>
      <c r="G488" s="58">
        <f>IF($B488&lt;&gt;"",SUMIFS(DataAct_tbl[AMOUNT],DataAct_tbl[BG CODE],Detail!$D488,DataAct_tbl[MONTH],LEFT(MonthName,3),DataAct_tbl[Dept code],$B488),0)</f>
        <v>0</v>
      </c>
      <c r="H488" s="31" t="str">
        <f t="shared" si="70"/>
        <v/>
      </c>
      <c r="I488" s="28" t="str">
        <f t="shared" si="71"/>
        <v/>
      </c>
      <c r="J488" s="32" t="str">
        <f t="shared" si="72"/>
        <v/>
      </c>
      <c r="K488" s="86"/>
      <c r="L488" s="62">
        <f>IF($B488&lt;&gt;"",SUMIFS(DataAct_tbl[AMOUNT],DataAct_tbl[BG CODE],Detail!$D488,DataAct_tbl[Check Range],"=true",DataAct_tbl[Dept code],$B488),0)</f>
        <v>0</v>
      </c>
      <c r="M488" s="63">
        <f>INDEX($AG$7:$AR$1005,ROW()-6,MATCH(MTD,$AG$6:$AR$6,0))</f>
        <v>0</v>
      </c>
      <c r="N488" s="34">
        <f t="shared" si="73"/>
        <v>0</v>
      </c>
      <c r="O488" s="64" t="str">
        <f t="shared" si="74"/>
        <v xml:space="preserve"> </v>
      </c>
      <c r="Q488" s="97">
        <f t="shared" si="75"/>
        <v>0</v>
      </c>
      <c r="R488" s="96">
        <f t="shared" si="76"/>
        <v>0</v>
      </c>
      <c r="T488" s="67" t="str">
        <f>IF($B488&lt;&gt;"",INDEX(DataOB[],FirstRow+ROW()-7,MATCH(T$6,DataOB[#Headers],0)),"")</f>
        <v/>
      </c>
      <c r="U488" s="67" t="str">
        <f>IF($B488&lt;&gt;"",INDEX(DataOB[],FirstRow+ROW()-7,MATCH(U$6,DataOB[#Headers],0)),"")</f>
        <v/>
      </c>
      <c r="V488" s="67" t="str">
        <f>IF($B488&lt;&gt;"",INDEX(DataOB[],FirstRow+ROW()-7,MATCH(V$6,DataOB[#Headers],0)),"")</f>
        <v/>
      </c>
      <c r="W488" s="67" t="str">
        <f>IF($B488&lt;&gt;"",INDEX(DataOB[],FirstRow+ROW()-7,MATCH(W$6,DataOB[#Headers],0)),"")</f>
        <v/>
      </c>
      <c r="X488" s="67" t="str">
        <f>IF($B488&lt;&gt;"",INDEX(DataOB[],FirstRow+ROW()-7,MATCH(X$6,DataOB[#Headers],0)),"")</f>
        <v/>
      </c>
      <c r="Y488" s="67" t="str">
        <f>IF($B488&lt;&gt;"",INDEX(DataOB[],FirstRow+ROW()-7,MATCH(Y$6,DataOB[#Headers],0)),"")</f>
        <v/>
      </c>
      <c r="Z488" s="67" t="str">
        <f>IF($B488&lt;&gt;"",INDEX(DataOB[],FirstRow+ROW()-7,MATCH(Z$6,DataOB[#Headers],0)),"")</f>
        <v/>
      </c>
      <c r="AA488" s="67" t="str">
        <f>IF($B488&lt;&gt;"",INDEX(DataOB[],FirstRow+ROW()-7,MATCH(AA$6,DataOB[#Headers],0)),"")</f>
        <v/>
      </c>
      <c r="AB488" s="67" t="str">
        <f>IF($B488&lt;&gt;"",INDEX(DataOB[],FirstRow+ROW()-7,MATCH(AB$6,DataOB[#Headers],0)),"")</f>
        <v/>
      </c>
      <c r="AC488" s="67" t="str">
        <f>IF($B488&lt;&gt;"",INDEX(DataOB[],FirstRow+ROW()-7,MATCH(AC$6,DataOB[#Headers],0)),"")</f>
        <v/>
      </c>
      <c r="AD488" s="67" t="str">
        <f>IF($B488&lt;&gt;"",INDEX(DataOB[],FirstRow+ROW()-7,MATCH(AD$6,DataOB[#Headers],0)),"")</f>
        <v/>
      </c>
      <c r="AE488" s="67" t="str">
        <f>IF($B488&lt;&gt;"",INDEX(DataOB[],FirstRow+ROW()-7,MATCH(AE$6,DataOB[#Headers],0)),"")</f>
        <v/>
      </c>
      <c r="AF488" s="26">
        <f t="shared" si="77"/>
        <v>0</v>
      </c>
      <c r="AG488" s="31">
        <f>SUM($T488:T488)</f>
        <v>0</v>
      </c>
      <c r="AH488" s="31">
        <f>SUM($T488:U488)</f>
        <v>0</v>
      </c>
      <c r="AI488" s="31">
        <f>SUM($T488:V488)</f>
        <v>0</v>
      </c>
      <c r="AJ488" s="31">
        <f>SUM($T488:W488)</f>
        <v>0</v>
      </c>
      <c r="AK488" s="31">
        <f>SUM($T488:X488)</f>
        <v>0</v>
      </c>
      <c r="AL488" s="31">
        <f>SUM($T488:Y488)</f>
        <v>0</v>
      </c>
      <c r="AM488" s="31">
        <f>SUM($T488:Z488)</f>
        <v>0</v>
      </c>
      <c r="AN488" s="31">
        <f>SUM($T488:AA488)</f>
        <v>0</v>
      </c>
      <c r="AO488" s="31">
        <f>SUM($T488:AB488)</f>
        <v>0</v>
      </c>
      <c r="AP488" s="31">
        <f>SUM($T488:AC488)</f>
        <v>0</v>
      </c>
      <c r="AQ488" s="31">
        <f>SUM($T488:AD488)</f>
        <v>0</v>
      </c>
      <c r="AR488" s="31">
        <f>SUM($T488:AE488)</f>
        <v>0</v>
      </c>
      <c r="AS488" s="27">
        <f t="shared" si="78"/>
        <v>0</v>
      </c>
    </row>
    <row r="489" spans="2:45">
      <c r="B489" s="102" t="str">
        <f>IF(ROW()-6&gt;NumCostCenter,"",IF(CostCenter&lt;&gt;"ALL",CostCenter,DATA_LF2!B487))</f>
        <v/>
      </c>
      <c r="C489" s="153" t="str">
        <f>IF($B489&lt;&gt;"",INDEX(DataOB[],FirstRow+ROW()-7,2),"")</f>
        <v/>
      </c>
      <c r="D489" s="66" t="str">
        <f>IF($B489&lt;&gt;"",INDEX(DataOB[],FirstRow+ROW()-7,3),"")</f>
        <v/>
      </c>
      <c r="E489" s="103" t="str">
        <f>IF($B489&lt;&gt;"",INDEX(DataOB[],FirstRow+ROW()-7,6),"")</f>
        <v/>
      </c>
      <c r="F489" s="103" t="str">
        <f>IF($B489&lt;&gt;"",INDEX(DataOB[],FirstRow+ROW()-7,5),"")</f>
        <v/>
      </c>
      <c r="G489" s="58">
        <f>IF($B489&lt;&gt;"",SUMIFS(DataAct_tbl[AMOUNT],DataAct_tbl[BG CODE],Detail!$D489,DataAct_tbl[MONTH],LEFT(MonthName,3),DataAct_tbl[Dept code],$B489),0)</f>
        <v>0</v>
      </c>
      <c r="H489" s="31" t="str">
        <f t="shared" si="70"/>
        <v/>
      </c>
      <c r="I489" s="28" t="str">
        <f t="shared" si="71"/>
        <v/>
      </c>
      <c r="J489" s="32" t="str">
        <f t="shared" si="72"/>
        <v/>
      </c>
      <c r="K489" s="86"/>
      <c r="L489" s="62">
        <f>IF($B489&lt;&gt;"",SUMIFS(DataAct_tbl[AMOUNT],DataAct_tbl[BG CODE],Detail!$D489,DataAct_tbl[Check Range],"=true",DataAct_tbl[Dept code],$B489),0)</f>
        <v>0</v>
      </c>
      <c r="M489" s="63">
        <f>INDEX($AG$7:$AR$1005,ROW()-6,MATCH(MTD,$AG$6:$AR$6,0))</f>
        <v>0</v>
      </c>
      <c r="N489" s="34">
        <f t="shared" si="73"/>
        <v>0</v>
      </c>
      <c r="O489" s="64" t="str">
        <f t="shared" si="74"/>
        <v xml:space="preserve"> </v>
      </c>
      <c r="Q489" s="97">
        <f t="shared" si="75"/>
        <v>0</v>
      </c>
      <c r="R489" s="96">
        <f t="shared" si="76"/>
        <v>0</v>
      </c>
      <c r="T489" s="67" t="str">
        <f>IF($B489&lt;&gt;"",INDEX(DataOB[],FirstRow+ROW()-7,MATCH(T$6,DataOB[#Headers],0)),"")</f>
        <v/>
      </c>
      <c r="U489" s="67" t="str">
        <f>IF($B489&lt;&gt;"",INDEX(DataOB[],FirstRow+ROW()-7,MATCH(U$6,DataOB[#Headers],0)),"")</f>
        <v/>
      </c>
      <c r="V489" s="67" t="str">
        <f>IF($B489&lt;&gt;"",INDEX(DataOB[],FirstRow+ROW()-7,MATCH(V$6,DataOB[#Headers],0)),"")</f>
        <v/>
      </c>
      <c r="W489" s="67" t="str">
        <f>IF($B489&lt;&gt;"",INDEX(DataOB[],FirstRow+ROW()-7,MATCH(W$6,DataOB[#Headers],0)),"")</f>
        <v/>
      </c>
      <c r="X489" s="67" t="str">
        <f>IF($B489&lt;&gt;"",INDEX(DataOB[],FirstRow+ROW()-7,MATCH(X$6,DataOB[#Headers],0)),"")</f>
        <v/>
      </c>
      <c r="Y489" s="67" t="str">
        <f>IF($B489&lt;&gt;"",INDEX(DataOB[],FirstRow+ROW()-7,MATCH(Y$6,DataOB[#Headers],0)),"")</f>
        <v/>
      </c>
      <c r="Z489" s="67" t="str">
        <f>IF($B489&lt;&gt;"",INDEX(DataOB[],FirstRow+ROW()-7,MATCH(Z$6,DataOB[#Headers],0)),"")</f>
        <v/>
      </c>
      <c r="AA489" s="67" t="str">
        <f>IF($B489&lt;&gt;"",INDEX(DataOB[],FirstRow+ROW()-7,MATCH(AA$6,DataOB[#Headers],0)),"")</f>
        <v/>
      </c>
      <c r="AB489" s="67" t="str">
        <f>IF($B489&lt;&gt;"",INDEX(DataOB[],FirstRow+ROW()-7,MATCH(AB$6,DataOB[#Headers],0)),"")</f>
        <v/>
      </c>
      <c r="AC489" s="67" t="str">
        <f>IF($B489&lt;&gt;"",INDEX(DataOB[],FirstRow+ROW()-7,MATCH(AC$6,DataOB[#Headers],0)),"")</f>
        <v/>
      </c>
      <c r="AD489" s="67" t="str">
        <f>IF($B489&lt;&gt;"",INDEX(DataOB[],FirstRow+ROW()-7,MATCH(AD$6,DataOB[#Headers],0)),"")</f>
        <v/>
      </c>
      <c r="AE489" s="67" t="str">
        <f>IF($B489&lt;&gt;"",INDEX(DataOB[],FirstRow+ROW()-7,MATCH(AE$6,DataOB[#Headers],0)),"")</f>
        <v/>
      </c>
      <c r="AF489" s="26">
        <f t="shared" si="77"/>
        <v>0</v>
      </c>
      <c r="AG489" s="31">
        <f>SUM($T489:T489)</f>
        <v>0</v>
      </c>
      <c r="AH489" s="31">
        <f>SUM($T489:U489)</f>
        <v>0</v>
      </c>
      <c r="AI489" s="31">
        <f>SUM($T489:V489)</f>
        <v>0</v>
      </c>
      <c r="AJ489" s="31">
        <f>SUM($T489:W489)</f>
        <v>0</v>
      </c>
      <c r="AK489" s="31">
        <f>SUM($T489:X489)</f>
        <v>0</v>
      </c>
      <c r="AL489" s="31">
        <f>SUM($T489:Y489)</f>
        <v>0</v>
      </c>
      <c r="AM489" s="31">
        <f>SUM($T489:Z489)</f>
        <v>0</v>
      </c>
      <c r="AN489" s="31">
        <f>SUM($T489:AA489)</f>
        <v>0</v>
      </c>
      <c r="AO489" s="31">
        <f>SUM($T489:AB489)</f>
        <v>0</v>
      </c>
      <c r="AP489" s="31">
        <f>SUM($T489:AC489)</f>
        <v>0</v>
      </c>
      <c r="AQ489" s="31">
        <f>SUM($T489:AD489)</f>
        <v>0</v>
      </c>
      <c r="AR489" s="31">
        <f>SUM($T489:AE489)</f>
        <v>0</v>
      </c>
      <c r="AS489" s="27">
        <f t="shared" si="78"/>
        <v>0</v>
      </c>
    </row>
    <row r="490" spans="2:45">
      <c r="B490" s="102" t="str">
        <f>IF(ROW()-6&gt;NumCostCenter,"",IF(CostCenter&lt;&gt;"ALL",CostCenter,DATA_LF2!B488))</f>
        <v/>
      </c>
      <c r="C490" s="153" t="str">
        <f>IF($B490&lt;&gt;"",INDEX(DataOB[],FirstRow+ROW()-7,2),"")</f>
        <v/>
      </c>
      <c r="D490" s="66" t="str">
        <f>IF($B490&lt;&gt;"",INDEX(DataOB[],FirstRow+ROW()-7,3),"")</f>
        <v/>
      </c>
      <c r="E490" s="103" t="str">
        <f>IF($B490&lt;&gt;"",INDEX(DataOB[],FirstRow+ROW()-7,6),"")</f>
        <v/>
      </c>
      <c r="F490" s="103" t="str">
        <f>IF($B490&lt;&gt;"",INDEX(DataOB[],FirstRow+ROW()-7,5),"")</f>
        <v/>
      </c>
      <c r="G490" s="58">
        <f>IF($B490&lt;&gt;"",SUMIFS(DataAct_tbl[AMOUNT],DataAct_tbl[BG CODE],Detail!$D490,DataAct_tbl[MONTH],LEFT(MonthName,3),DataAct_tbl[Dept code],$B490),0)</f>
        <v>0</v>
      </c>
      <c r="H490" s="31" t="str">
        <f t="shared" si="70"/>
        <v/>
      </c>
      <c r="I490" s="28" t="str">
        <f t="shared" si="71"/>
        <v/>
      </c>
      <c r="J490" s="32" t="str">
        <f t="shared" si="72"/>
        <v/>
      </c>
      <c r="K490" s="86"/>
      <c r="L490" s="62">
        <f>IF($B490&lt;&gt;"",SUMIFS(DataAct_tbl[AMOUNT],DataAct_tbl[BG CODE],Detail!$D490,DataAct_tbl[Check Range],"=true",DataAct_tbl[Dept code],$B490),0)</f>
        <v>0</v>
      </c>
      <c r="M490" s="63">
        <f>INDEX($AG$7:$AR$1005,ROW()-6,MATCH(MTD,$AG$6:$AR$6,0))</f>
        <v>0</v>
      </c>
      <c r="N490" s="34">
        <f t="shared" si="73"/>
        <v>0</v>
      </c>
      <c r="O490" s="64" t="str">
        <f t="shared" si="74"/>
        <v xml:space="preserve"> </v>
      </c>
      <c r="Q490" s="97">
        <f t="shared" si="75"/>
        <v>0</v>
      </c>
      <c r="R490" s="96">
        <f t="shared" si="76"/>
        <v>0</v>
      </c>
      <c r="T490" s="67" t="str">
        <f>IF($B490&lt;&gt;"",INDEX(DataOB[],FirstRow+ROW()-7,MATCH(T$6,DataOB[#Headers],0)),"")</f>
        <v/>
      </c>
      <c r="U490" s="67" t="str">
        <f>IF($B490&lt;&gt;"",INDEX(DataOB[],FirstRow+ROW()-7,MATCH(U$6,DataOB[#Headers],0)),"")</f>
        <v/>
      </c>
      <c r="V490" s="67" t="str">
        <f>IF($B490&lt;&gt;"",INDEX(DataOB[],FirstRow+ROW()-7,MATCH(V$6,DataOB[#Headers],0)),"")</f>
        <v/>
      </c>
      <c r="W490" s="67" t="str">
        <f>IF($B490&lt;&gt;"",INDEX(DataOB[],FirstRow+ROW()-7,MATCH(W$6,DataOB[#Headers],0)),"")</f>
        <v/>
      </c>
      <c r="X490" s="67" t="str">
        <f>IF($B490&lt;&gt;"",INDEX(DataOB[],FirstRow+ROW()-7,MATCH(X$6,DataOB[#Headers],0)),"")</f>
        <v/>
      </c>
      <c r="Y490" s="67" t="str">
        <f>IF($B490&lt;&gt;"",INDEX(DataOB[],FirstRow+ROW()-7,MATCH(Y$6,DataOB[#Headers],0)),"")</f>
        <v/>
      </c>
      <c r="Z490" s="67" t="str">
        <f>IF($B490&lt;&gt;"",INDEX(DataOB[],FirstRow+ROW()-7,MATCH(Z$6,DataOB[#Headers],0)),"")</f>
        <v/>
      </c>
      <c r="AA490" s="67" t="str">
        <f>IF($B490&lt;&gt;"",INDEX(DataOB[],FirstRow+ROW()-7,MATCH(AA$6,DataOB[#Headers],0)),"")</f>
        <v/>
      </c>
      <c r="AB490" s="67" t="str">
        <f>IF($B490&lt;&gt;"",INDEX(DataOB[],FirstRow+ROW()-7,MATCH(AB$6,DataOB[#Headers],0)),"")</f>
        <v/>
      </c>
      <c r="AC490" s="67" t="str">
        <f>IF($B490&lt;&gt;"",INDEX(DataOB[],FirstRow+ROW()-7,MATCH(AC$6,DataOB[#Headers],0)),"")</f>
        <v/>
      </c>
      <c r="AD490" s="67" t="str">
        <f>IF($B490&lt;&gt;"",INDEX(DataOB[],FirstRow+ROW()-7,MATCH(AD$6,DataOB[#Headers],0)),"")</f>
        <v/>
      </c>
      <c r="AE490" s="67" t="str">
        <f>IF($B490&lt;&gt;"",INDEX(DataOB[],FirstRow+ROW()-7,MATCH(AE$6,DataOB[#Headers],0)),"")</f>
        <v/>
      </c>
      <c r="AF490" s="26">
        <f t="shared" si="77"/>
        <v>0</v>
      </c>
      <c r="AG490" s="31">
        <f>SUM($T490:T490)</f>
        <v>0</v>
      </c>
      <c r="AH490" s="31">
        <f>SUM($T490:U490)</f>
        <v>0</v>
      </c>
      <c r="AI490" s="31">
        <f>SUM($T490:V490)</f>
        <v>0</v>
      </c>
      <c r="AJ490" s="31">
        <f>SUM($T490:W490)</f>
        <v>0</v>
      </c>
      <c r="AK490" s="31">
        <f>SUM($T490:X490)</f>
        <v>0</v>
      </c>
      <c r="AL490" s="31">
        <f>SUM($T490:Y490)</f>
        <v>0</v>
      </c>
      <c r="AM490" s="31">
        <f>SUM($T490:Z490)</f>
        <v>0</v>
      </c>
      <c r="AN490" s="31">
        <f>SUM($T490:AA490)</f>
        <v>0</v>
      </c>
      <c r="AO490" s="31">
        <f>SUM($T490:AB490)</f>
        <v>0</v>
      </c>
      <c r="AP490" s="31">
        <f>SUM($T490:AC490)</f>
        <v>0</v>
      </c>
      <c r="AQ490" s="31">
        <f>SUM($T490:AD490)</f>
        <v>0</v>
      </c>
      <c r="AR490" s="31">
        <f>SUM($T490:AE490)</f>
        <v>0</v>
      </c>
      <c r="AS490" s="27">
        <f t="shared" si="78"/>
        <v>0</v>
      </c>
    </row>
    <row r="491" spans="2:45">
      <c r="B491" s="102" t="str">
        <f>IF(ROW()-6&gt;NumCostCenter,"",IF(CostCenter&lt;&gt;"ALL",CostCenter,DATA_LF2!B489))</f>
        <v/>
      </c>
      <c r="C491" s="153" t="str">
        <f>IF($B491&lt;&gt;"",INDEX(DataOB[],FirstRow+ROW()-7,2),"")</f>
        <v/>
      </c>
      <c r="D491" s="66" t="str">
        <f>IF($B491&lt;&gt;"",INDEX(DataOB[],FirstRow+ROW()-7,3),"")</f>
        <v/>
      </c>
      <c r="E491" s="103" t="str">
        <f>IF($B491&lt;&gt;"",INDEX(DataOB[],FirstRow+ROW()-7,6),"")</f>
        <v/>
      </c>
      <c r="F491" s="103" t="str">
        <f>IF($B491&lt;&gt;"",INDEX(DataOB[],FirstRow+ROW()-7,5),"")</f>
        <v/>
      </c>
      <c r="G491" s="58">
        <f>IF($B491&lt;&gt;"",SUMIFS(DataAct_tbl[AMOUNT],DataAct_tbl[BG CODE],Detail!$D491,DataAct_tbl[MONTH],LEFT(MonthName,3),DataAct_tbl[Dept code],$B491),0)</f>
        <v>0</v>
      </c>
      <c r="H491" s="31" t="str">
        <f t="shared" si="70"/>
        <v/>
      </c>
      <c r="I491" s="28" t="str">
        <f t="shared" si="71"/>
        <v/>
      </c>
      <c r="J491" s="32" t="str">
        <f t="shared" si="72"/>
        <v/>
      </c>
      <c r="K491" s="86"/>
      <c r="L491" s="62">
        <f>IF($B491&lt;&gt;"",SUMIFS(DataAct_tbl[AMOUNT],DataAct_tbl[BG CODE],Detail!$D491,DataAct_tbl[Check Range],"=true",DataAct_tbl[Dept code],$B491),0)</f>
        <v>0</v>
      </c>
      <c r="M491" s="63">
        <f>INDEX($AG$7:$AR$1005,ROW()-6,MATCH(MTD,$AG$6:$AR$6,0))</f>
        <v>0</v>
      </c>
      <c r="N491" s="34">
        <f t="shared" si="73"/>
        <v>0</v>
      </c>
      <c r="O491" s="64" t="str">
        <f t="shared" si="74"/>
        <v xml:space="preserve"> </v>
      </c>
      <c r="Q491" s="97">
        <f t="shared" si="75"/>
        <v>0</v>
      </c>
      <c r="R491" s="96">
        <f t="shared" si="76"/>
        <v>0</v>
      </c>
      <c r="T491" s="67" t="str">
        <f>IF($B491&lt;&gt;"",INDEX(DataOB[],FirstRow+ROW()-7,MATCH(T$6,DataOB[#Headers],0)),"")</f>
        <v/>
      </c>
      <c r="U491" s="67" t="str">
        <f>IF($B491&lt;&gt;"",INDEX(DataOB[],FirstRow+ROW()-7,MATCH(U$6,DataOB[#Headers],0)),"")</f>
        <v/>
      </c>
      <c r="V491" s="67" t="str">
        <f>IF($B491&lt;&gt;"",INDEX(DataOB[],FirstRow+ROW()-7,MATCH(V$6,DataOB[#Headers],0)),"")</f>
        <v/>
      </c>
      <c r="W491" s="67" t="str">
        <f>IF($B491&lt;&gt;"",INDEX(DataOB[],FirstRow+ROW()-7,MATCH(W$6,DataOB[#Headers],0)),"")</f>
        <v/>
      </c>
      <c r="X491" s="67" t="str">
        <f>IF($B491&lt;&gt;"",INDEX(DataOB[],FirstRow+ROW()-7,MATCH(X$6,DataOB[#Headers],0)),"")</f>
        <v/>
      </c>
      <c r="Y491" s="67" t="str">
        <f>IF($B491&lt;&gt;"",INDEX(DataOB[],FirstRow+ROW()-7,MATCH(Y$6,DataOB[#Headers],0)),"")</f>
        <v/>
      </c>
      <c r="Z491" s="67" t="str">
        <f>IF($B491&lt;&gt;"",INDEX(DataOB[],FirstRow+ROW()-7,MATCH(Z$6,DataOB[#Headers],0)),"")</f>
        <v/>
      </c>
      <c r="AA491" s="67" t="str">
        <f>IF($B491&lt;&gt;"",INDEX(DataOB[],FirstRow+ROW()-7,MATCH(AA$6,DataOB[#Headers],0)),"")</f>
        <v/>
      </c>
      <c r="AB491" s="67" t="str">
        <f>IF($B491&lt;&gt;"",INDEX(DataOB[],FirstRow+ROW()-7,MATCH(AB$6,DataOB[#Headers],0)),"")</f>
        <v/>
      </c>
      <c r="AC491" s="67" t="str">
        <f>IF($B491&lt;&gt;"",INDEX(DataOB[],FirstRow+ROW()-7,MATCH(AC$6,DataOB[#Headers],0)),"")</f>
        <v/>
      </c>
      <c r="AD491" s="67" t="str">
        <f>IF($B491&lt;&gt;"",INDEX(DataOB[],FirstRow+ROW()-7,MATCH(AD$6,DataOB[#Headers],0)),"")</f>
        <v/>
      </c>
      <c r="AE491" s="67" t="str">
        <f>IF($B491&lt;&gt;"",INDEX(DataOB[],FirstRow+ROW()-7,MATCH(AE$6,DataOB[#Headers],0)),"")</f>
        <v/>
      </c>
      <c r="AF491" s="26">
        <f t="shared" si="77"/>
        <v>0</v>
      </c>
      <c r="AG491" s="31">
        <f>SUM($T491:T491)</f>
        <v>0</v>
      </c>
      <c r="AH491" s="31">
        <f>SUM($T491:U491)</f>
        <v>0</v>
      </c>
      <c r="AI491" s="31">
        <f>SUM($T491:V491)</f>
        <v>0</v>
      </c>
      <c r="AJ491" s="31">
        <f>SUM($T491:W491)</f>
        <v>0</v>
      </c>
      <c r="AK491" s="31">
        <f>SUM($T491:X491)</f>
        <v>0</v>
      </c>
      <c r="AL491" s="31">
        <f>SUM($T491:Y491)</f>
        <v>0</v>
      </c>
      <c r="AM491" s="31">
        <f>SUM($T491:Z491)</f>
        <v>0</v>
      </c>
      <c r="AN491" s="31">
        <f>SUM($T491:AA491)</f>
        <v>0</v>
      </c>
      <c r="AO491" s="31">
        <f>SUM($T491:AB491)</f>
        <v>0</v>
      </c>
      <c r="AP491" s="31">
        <f>SUM($T491:AC491)</f>
        <v>0</v>
      </c>
      <c r="AQ491" s="31">
        <f>SUM($T491:AD491)</f>
        <v>0</v>
      </c>
      <c r="AR491" s="31">
        <f>SUM($T491:AE491)</f>
        <v>0</v>
      </c>
      <c r="AS491" s="27">
        <f t="shared" si="78"/>
        <v>0</v>
      </c>
    </row>
    <row r="492" spans="2:45">
      <c r="B492" s="102" t="str">
        <f>IF(ROW()-6&gt;NumCostCenter,"",IF(CostCenter&lt;&gt;"ALL",CostCenter,DATA_LF2!B490))</f>
        <v/>
      </c>
      <c r="C492" s="153" t="str">
        <f>IF($B492&lt;&gt;"",INDEX(DataOB[],FirstRow+ROW()-7,2),"")</f>
        <v/>
      </c>
      <c r="D492" s="66" t="str">
        <f>IF($B492&lt;&gt;"",INDEX(DataOB[],FirstRow+ROW()-7,3),"")</f>
        <v/>
      </c>
      <c r="E492" s="103" t="str">
        <f>IF($B492&lt;&gt;"",INDEX(DataOB[],FirstRow+ROW()-7,6),"")</f>
        <v/>
      </c>
      <c r="F492" s="103" t="str">
        <f>IF($B492&lt;&gt;"",INDEX(DataOB[],FirstRow+ROW()-7,5),"")</f>
        <v/>
      </c>
      <c r="G492" s="58">
        <f>IF($B492&lt;&gt;"",SUMIFS(DataAct_tbl[AMOUNT],DataAct_tbl[BG CODE],Detail!$D492,DataAct_tbl[MONTH],LEFT(MonthName,3),DataAct_tbl[Dept code],$B492),0)</f>
        <v>0</v>
      </c>
      <c r="H492" s="31" t="str">
        <f t="shared" si="70"/>
        <v/>
      </c>
      <c r="I492" s="28" t="str">
        <f t="shared" si="71"/>
        <v/>
      </c>
      <c r="J492" s="32" t="str">
        <f t="shared" si="72"/>
        <v/>
      </c>
      <c r="K492" s="86"/>
      <c r="L492" s="62">
        <f>IF($B492&lt;&gt;"",SUMIFS(DataAct_tbl[AMOUNT],DataAct_tbl[BG CODE],Detail!$D492,DataAct_tbl[Check Range],"=true",DataAct_tbl[Dept code],$B492),0)</f>
        <v>0</v>
      </c>
      <c r="M492" s="63">
        <f>INDEX($AG$7:$AR$1005,ROW()-6,MATCH(MTD,$AG$6:$AR$6,0))</f>
        <v>0</v>
      </c>
      <c r="N492" s="34">
        <f t="shared" si="73"/>
        <v>0</v>
      </c>
      <c r="O492" s="64" t="str">
        <f t="shared" si="74"/>
        <v xml:space="preserve"> </v>
      </c>
      <c r="Q492" s="97">
        <f t="shared" si="75"/>
        <v>0</v>
      </c>
      <c r="R492" s="96">
        <f t="shared" si="76"/>
        <v>0</v>
      </c>
      <c r="T492" s="67" t="str">
        <f>IF($B492&lt;&gt;"",INDEX(DataOB[],FirstRow+ROW()-7,MATCH(T$6,DataOB[#Headers],0)),"")</f>
        <v/>
      </c>
      <c r="U492" s="67" t="str">
        <f>IF($B492&lt;&gt;"",INDEX(DataOB[],FirstRow+ROW()-7,MATCH(U$6,DataOB[#Headers],0)),"")</f>
        <v/>
      </c>
      <c r="V492" s="67" t="str">
        <f>IF($B492&lt;&gt;"",INDEX(DataOB[],FirstRow+ROW()-7,MATCH(V$6,DataOB[#Headers],0)),"")</f>
        <v/>
      </c>
      <c r="W492" s="67" t="str">
        <f>IF($B492&lt;&gt;"",INDEX(DataOB[],FirstRow+ROW()-7,MATCH(W$6,DataOB[#Headers],0)),"")</f>
        <v/>
      </c>
      <c r="X492" s="67" t="str">
        <f>IF($B492&lt;&gt;"",INDEX(DataOB[],FirstRow+ROW()-7,MATCH(X$6,DataOB[#Headers],0)),"")</f>
        <v/>
      </c>
      <c r="Y492" s="67" t="str">
        <f>IF($B492&lt;&gt;"",INDEX(DataOB[],FirstRow+ROW()-7,MATCH(Y$6,DataOB[#Headers],0)),"")</f>
        <v/>
      </c>
      <c r="Z492" s="67" t="str">
        <f>IF($B492&lt;&gt;"",INDEX(DataOB[],FirstRow+ROW()-7,MATCH(Z$6,DataOB[#Headers],0)),"")</f>
        <v/>
      </c>
      <c r="AA492" s="67" t="str">
        <f>IF($B492&lt;&gt;"",INDEX(DataOB[],FirstRow+ROW()-7,MATCH(AA$6,DataOB[#Headers],0)),"")</f>
        <v/>
      </c>
      <c r="AB492" s="67" t="str">
        <f>IF($B492&lt;&gt;"",INDEX(DataOB[],FirstRow+ROW()-7,MATCH(AB$6,DataOB[#Headers],0)),"")</f>
        <v/>
      </c>
      <c r="AC492" s="67" t="str">
        <f>IF($B492&lt;&gt;"",INDEX(DataOB[],FirstRow+ROW()-7,MATCH(AC$6,DataOB[#Headers],0)),"")</f>
        <v/>
      </c>
      <c r="AD492" s="67" t="str">
        <f>IF($B492&lt;&gt;"",INDEX(DataOB[],FirstRow+ROW()-7,MATCH(AD$6,DataOB[#Headers],0)),"")</f>
        <v/>
      </c>
      <c r="AE492" s="67" t="str">
        <f>IF($B492&lt;&gt;"",INDEX(DataOB[],FirstRow+ROW()-7,MATCH(AE$6,DataOB[#Headers],0)),"")</f>
        <v/>
      </c>
      <c r="AF492" s="26">
        <f t="shared" si="77"/>
        <v>0</v>
      </c>
      <c r="AG492" s="31">
        <f>SUM($T492:T492)</f>
        <v>0</v>
      </c>
      <c r="AH492" s="31">
        <f>SUM($T492:U492)</f>
        <v>0</v>
      </c>
      <c r="AI492" s="31">
        <f>SUM($T492:V492)</f>
        <v>0</v>
      </c>
      <c r="AJ492" s="31">
        <f>SUM($T492:W492)</f>
        <v>0</v>
      </c>
      <c r="AK492" s="31">
        <f>SUM($T492:X492)</f>
        <v>0</v>
      </c>
      <c r="AL492" s="31">
        <f>SUM($T492:Y492)</f>
        <v>0</v>
      </c>
      <c r="AM492" s="31">
        <f>SUM($T492:Z492)</f>
        <v>0</v>
      </c>
      <c r="AN492" s="31">
        <f>SUM($T492:AA492)</f>
        <v>0</v>
      </c>
      <c r="AO492" s="31">
        <f>SUM($T492:AB492)</f>
        <v>0</v>
      </c>
      <c r="AP492" s="31">
        <f>SUM($T492:AC492)</f>
        <v>0</v>
      </c>
      <c r="AQ492" s="31">
        <f>SUM($T492:AD492)</f>
        <v>0</v>
      </c>
      <c r="AR492" s="31">
        <f>SUM($T492:AE492)</f>
        <v>0</v>
      </c>
      <c r="AS492" s="27">
        <f t="shared" si="78"/>
        <v>0</v>
      </c>
    </row>
    <row r="493" spans="2:45">
      <c r="B493" s="102" t="str">
        <f>IF(ROW()-6&gt;NumCostCenter,"",IF(CostCenter&lt;&gt;"ALL",CostCenter,DATA_LF2!B491))</f>
        <v/>
      </c>
      <c r="C493" s="153" t="str">
        <f>IF($B493&lt;&gt;"",INDEX(DataOB[],FirstRow+ROW()-7,2),"")</f>
        <v/>
      </c>
      <c r="D493" s="66" t="str">
        <f>IF($B493&lt;&gt;"",INDEX(DataOB[],FirstRow+ROW()-7,3),"")</f>
        <v/>
      </c>
      <c r="E493" s="103" t="str">
        <f>IF($B493&lt;&gt;"",INDEX(DataOB[],FirstRow+ROW()-7,6),"")</f>
        <v/>
      </c>
      <c r="F493" s="103" t="str">
        <f>IF($B493&lt;&gt;"",INDEX(DataOB[],FirstRow+ROW()-7,5),"")</f>
        <v/>
      </c>
      <c r="G493" s="58">
        <f>IF($B493&lt;&gt;"",SUMIFS(DataAct_tbl[AMOUNT],DataAct_tbl[BG CODE],Detail!$D493,DataAct_tbl[MONTH],LEFT(MonthName,3),DataAct_tbl[Dept code],$B493),0)</f>
        <v>0</v>
      </c>
      <c r="H493" s="31" t="str">
        <f t="shared" si="70"/>
        <v/>
      </c>
      <c r="I493" s="28" t="str">
        <f t="shared" si="71"/>
        <v/>
      </c>
      <c r="J493" s="32" t="str">
        <f t="shared" si="72"/>
        <v/>
      </c>
      <c r="K493" s="86"/>
      <c r="L493" s="62">
        <f>IF($B493&lt;&gt;"",SUMIFS(DataAct_tbl[AMOUNT],DataAct_tbl[BG CODE],Detail!$D493,DataAct_tbl[Check Range],"=true",DataAct_tbl[Dept code],$B493),0)</f>
        <v>0</v>
      </c>
      <c r="M493" s="63">
        <f>INDEX($AG$7:$AR$1005,ROW()-6,MATCH(MTD,$AG$6:$AR$6,0))</f>
        <v>0</v>
      </c>
      <c r="N493" s="34">
        <f t="shared" si="73"/>
        <v>0</v>
      </c>
      <c r="O493" s="64" t="str">
        <f t="shared" si="74"/>
        <v xml:space="preserve"> </v>
      </c>
      <c r="Q493" s="97">
        <f t="shared" si="75"/>
        <v>0</v>
      </c>
      <c r="R493" s="96">
        <f t="shared" si="76"/>
        <v>0</v>
      </c>
      <c r="T493" s="67" t="str">
        <f>IF($B493&lt;&gt;"",INDEX(DataOB[],FirstRow+ROW()-7,MATCH(T$6,DataOB[#Headers],0)),"")</f>
        <v/>
      </c>
      <c r="U493" s="67" t="str">
        <f>IF($B493&lt;&gt;"",INDEX(DataOB[],FirstRow+ROW()-7,MATCH(U$6,DataOB[#Headers],0)),"")</f>
        <v/>
      </c>
      <c r="V493" s="67" t="str">
        <f>IF($B493&lt;&gt;"",INDEX(DataOB[],FirstRow+ROW()-7,MATCH(V$6,DataOB[#Headers],0)),"")</f>
        <v/>
      </c>
      <c r="W493" s="67" t="str">
        <f>IF($B493&lt;&gt;"",INDEX(DataOB[],FirstRow+ROW()-7,MATCH(W$6,DataOB[#Headers],0)),"")</f>
        <v/>
      </c>
      <c r="X493" s="67" t="str">
        <f>IF($B493&lt;&gt;"",INDEX(DataOB[],FirstRow+ROW()-7,MATCH(X$6,DataOB[#Headers],0)),"")</f>
        <v/>
      </c>
      <c r="Y493" s="67" t="str">
        <f>IF($B493&lt;&gt;"",INDEX(DataOB[],FirstRow+ROW()-7,MATCH(Y$6,DataOB[#Headers],0)),"")</f>
        <v/>
      </c>
      <c r="Z493" s="67" t="str">
        <f>IF($B493&lt;&gt;"",INDEX(DataOB[],FirstRow+ROW()-7,MATCH(Z$6,DataOB[#Headers],0)),"")</f>
        <v/>
      </c>
      <c r="AA493" s="67" t="str">
        <f>IF($B493&lt;&gt;"",INDEX(DataOB[],FirstRow+ROW()-7,MATCH(AA$6,DataOB[#Headers],0)),"")</f>
        <v/>
      </c>
      <c r="AB493" s="67" t="str">
        <f>IF($B493&lt;&gt;"",INDEX(DataOB[],FirstRow+ROW()-7,MATCH(AB$6,DataOB[#Headers],0)),"")</f>
        <v/>
      </c>
      <c r="AC493" s="67" t="str">
        <f>IF($B493&lt;&gt;"",INDEX(DataOB[],FirstRow+ROW()-7,MATCH(AC$6,DataOB[#Headers],0)),"")</f>
        <v/>
      </c>
      <c r="AD493" s="67" t="str">
        <f>IF($B493&lt;&gt;"",INDEX(DataOB[],FirstRow+ROW()-7,MATCH(AD$6,DataOB[#Headers],0)),"")</f>
        <v/>
      </c>
      <c r="AE493" s="67" t="str">
        <f>IF($B493&lt;&gt;"",INDEX(DataOB[],FirstRow+ROW()-7,MATCH(AE$6,DataOB[#Headers],0)),"")</f>
        <v/>
      </c>
      <c r="AF493" s="26">
        <f t="shared" si="77"/>
        <v>0</v>
      </c>
      <c r="AG493" s="31">
        <f>SUM($T493:T493)</f>
        <v>0</v>
      </c>
      <c r="AH493" s="31">
        <f>SUM($T493:U493)</f>
        <v>0</v>
      </c>
      <c r="AI493" s="31">
        <f>SUM($T493:V493)</f>
        <v>0</v>
      </c>
      <c r="AJ493" s="31">
        <f>SUM($T493:W493)</f>
        <v>0</v>
      </c>
      <c r="AK493" s="31">
        <f>SUM($T493:X493)</f>
        <v>0</v>
      </c>
      <c r="AL493" s="31">
        <f>SUM($T493:Y493)</f>
        <v>0</v>
      </c>
      <c r="AM493" s="31">
        <f>SUM($T493:Z493)</f>
        <v>0</v>
      </c>
      <c r="AN493" s="31">
        <f>SUM($T493:AA493)</f>
        <v>0</v>
      </c>
      <c r="AO493" s="31">
        <f>SUM($T493:AB493)</f>
        <v>0</v>
      </c>
      <c r="AP493" s="31">
        <f>SUM($T493:AC493)</f>
        <v>0</v>
      </c>
      <c r="AQ493" s="31">
        <f>SUM($T493:AD493)</f>
        <v>0</v>
      </c>
      <c r="AR493" s="31">
        <f>SUM($T493:AE493)</f>
        <v>0</v>
      </c>
      <c r="AS493" s="27">
        <f t="shared" si="78"/>
        <v>0</v>
      </c>
    </row>
    <row r="494" spans="2:45">
      <c r="B494" s="102" t="str">
        <f>IF(ROW()-6&gt;NumCostCenter,"",IF(CostCenter&lt;&gt;"ALL",CostCenter,DATA_LF2!B492))</f>
        <v/>
      </c>
      <c r="C494" s="153" t="str">
        <f>IF($B494&lt;&gt;"",INDEX(DataOB[],FirstRow+ROW()-7,2),"")</f>
        <v/>
      </c>
      <c r="D494" s="66" t="str">
        <f>IF($B494&lt;&gt;"",INDEX(DataOB[],FirstRow+ROW()-7,3),"")</f>
        <v/>
      </c>
      <c r="E494" s="103" t="str">
        <f>IF($B494&lt;&gt;"",INDEX(DataOB[],FirstRow+ROW()-7,6),"")</f>
        <v/>
      </c>
      <c r="F494" s="103" t="str">
        <f>IF($B494&lt;&gt;"",INDEX(DataOB[],FirstRow+ROW()-7,5),"")</f>
        <v/>
      </c>
      <c r="G494" s="58">
        <f>IF($B494&lt;&gt;"",SUMIFS(DataAct_tbl[AMOUNT],DataAct_tbl[BG CODE],Detail!$D494,DataAct_tbl[MONTH],LEFT(MonthName,3),DataAct_tbl[Dept code],$B494),0)</f>
        <v>0</v>
      </c>
      <c r="H494" s="31" t="str">
        <f t="shared" si="70"/>
        <v/>
      </c>
      <c r="I494" s="28" t="str">
        <f t="shared" si="71"/>
        <v/>
      </c>
      <c r="J494" s="32" t="str">
        <f t="shared" si="72"/>
        <v/>
      </c>
      <c r="K494" s="86"/>
      <c r="L494" s="62">
        <f>IF($B494&lt;&gt;"",SUMIFS(DataAct_tbl[AMOUNT],DataAct_tbl[BG CODE],Detail!$D494,DataAct_tbl[Check Range],"=true",DataAct_tbl[Dept code],$B494),0)</f>
        <v>0</v>
      </c>
      <c r="M494" s="63">
        <f>INDEX($AG$7:$AR$1005,ROW()-6,MATCH(MTD,$AG$6:$AR$6,0))</f>
        <v>0</v>
      </c>
      <c r="N494" s="34">
        <f t="shared" si="73"/>
        <v>0</v>
      </c>
      <c r="O494" s="64" t="str">
        <f t="shared" si="74"/>
        <v xml:space="preserve"> </v>
      </c>
      <c r="Q494" s="97">
        <f t="shared" si="75"/>
        <v>0</v>
      </c>
      <c r="R494" s="96">
        <f t="shared" si="76"/>
        <v>0</v>
      </c>
      <c r="T494" s="67" t="str">
        <f>IF($B494&lt;&gt;"",INDEX(DataOB[],FirstRow+ROW()-7,MATCH(T$6,DataOB[#Headers],0)),"")</f>
        <v/>
      </c>
      <c r="U494" s="67" t="str">
        <f>IF($B494&lt;&gt;"",INDEX(DataOB[],FirstRow+ROW()-7,MATCH(U$6,DataOB[#Headers],0)),"")</f>
        <v/>
      </c>
      <c r="V494" s="67" t="str">
        <f>IF($B494&lt;&gt;"",INDEX(DataOB[],FirstRow+ROW()-7,MATCH(V$6,DataOB[#Headers],0)),"")</f>
        <v/>
      </c>
      <c r="W494" s="67" t="str">
        <f>IF($B494&lt;&gt;"",INDEX(DataOB[],FirstRow+ROW()-7,MATCH(W$6,DataOB[#Headers],0)),"")</f>
        <v/>
      </c>
      <c r="X494" s="67" t="str">
        <f>IF($B494&lt;&gt;"",INDEX(DataOB[],FirstRow+ROW()-7,MATCH(X$6,DataOB[#Headers],0)),"")</f>
        <v/>
      </c>
      <c r="Y494" s="67" t="str">
        <f>IF($B494&lt;&gt;"",INDEX(DataOB[],FirstRow+ROW()-7,MATCH(Y$6,DataOB[#Headers],0)),"")</f>
        <v/>
      </c>
      <c r="Z494" s="67" t="str">
        <f>IF($B494&lt;&gt;"",INDEX(DataOB[],FirstRow+ROW()-7,MATCH(Z$6,DataOB[#Headers],0)),"")</f>
        <v/>
      </c>
      <c r="AA494" s="67" t="str">
        <f>IF($B494&lt;&gt;"",INDEX(DataOB[],FirstRow+ROW()-7,MATCH(AA$6,DataOB[#Headers],0)),"")</f>
        <v/>
      </c>
      <c r="AB494" s="67" t="str">
        <f>IF($B494&lt;&gt;"",INDEX(DataOB[],FirstRow+ROW()-7,MATCH(AB$6,DataOB[#Headers],0)),"")</f>
        <v/>
      </c>
      <c r="AC494" s="67" t="str">
        <f>IF($B494&lt;&gt;"",INDEX(DataOB[],FirstRow+ROW()-7,MATCH(AC$6,DataOB[#Headers],0)),"")</f>
        <v/>
      </c>
      <c r="AD494" s="67" t="str">
        <f>IF($B494&lt;&gt;"",INDEX(DataOB[],FirstRow+ROW()-7,MATCH(AD$6,DataOB[#Headers],0)),"")</f>
        <v/>
      </c>
      <c r="AE494" s="67" t="str">
        <f>IF($B494&lt;&gt;"",INDEX(DataOB[],FirstRow+ROW()-7,MATCH(AE$6,DataOB[#Headers],0)),"")</f>
        <v/>
      </c>
      <c r="AF494" s="26">
        <f t="shared" si="77"/>
        <v>0</v>
      </c>
      <c r="AG494" s="31">
        <f>SUM($T494:T494)</f>
        <v>0</v>
      </c>
      <c r="AH494" s="31">
        <f>SUM($T494:U494)</f>
        <v>0</v>
      </c>
      <c r="AI494" s="31">
        <f>SUM($T494:V494)</f>
        <v>0</v>
      </c>
      <c r="AJ494" s="31">
        <f>SUM($T494:W494)</f>
        <v>0</v>
      </c>
      <c r="AK494" s="31">
        <f>SUM($T494:X494)</f>
        <v>0</v>
      </c>
      <c r="AL494" s="31">
        <f>SUM($T494:Y494)</f>
        <v>0</v>
      </c>
      <c r="AM494" s="31">
        <f>SUM($T494:Z494)</f>
        <v>0</v>
      </c>
      <c r="AN494" s="31">
        <f>SUM($T494:AA494)</f>
        <v>0</v>
      </c>
      <c r="AO494" s="31">
        <f>SUM($T494:AB494)</f>
        <v>0</v>
      </c>
      <c r="AP494" s="31">
        <f>SUM($T494:AC494)</f>
        <v>0</v>
      </c>
      <c r="AQ494" s="31">
        <f>SUM($T494:AD494)</f>
        <v>0</v>
      </c>
      <c r="AR494" s="31">
        <f>SUM($T494:AE494)</f>
        <v>0</v>
      </c>
      <c r="AS494" s="27">
        <f t="shared" si="78"/>
        <v>0</v>
      </c>
    </row>
    <row r="495" spans="2:45">
      <c r="B495" s="102" t="str">
        <f>IF(ROW()-6&gt;NumCostCenter,"",IF(CostCenter&lt;&gt;"ALL",CostCenter,DATA_LF2!B493))</f>
        <v/>
      </c>
      <c r="C495" s="153" t="str">
        <f>IF($B495&lt;&gt;"",INDEX(DataOB[],FirstRow+ROW()-7,2),"")</f>
        <v/>
      </c>
      <c r="D495" s="66" t="str">
        <f>IF($B495&lt;&gt;"",INDEX(DataOB[],FirstRow+ROW()-7,3),"")</f>
        <v/>
      </c>
      <c r="E495" s="103" t="str">
        <f>IF($B495&lt;&gt;"",INDEX(DataOB[],FirstRow+ROW()-7,6),"")</f>
        <v/>
      </c>
      <c r="F495" s="103" t="str">
        <f>IF($B495&lt;&gt;"",INDEX(DataOB[],FirstRow+ROW()-7,5),"")</f>
        <v/>
      </c>
      <c r="G495" s="58">
        <f>IF($B495&lt;&gt;"",SUMIFS(DataAct_tbl[AMOUNT],DataAct_tbl[BG CODE],Detail!$D495,DataAct_tbl[MONTH],LEFT(MonthName,3),DataAct_tbl[Dept code],$B495),0)</f>
        <v>0</v>
      </c>
      <c r="H495" s="31" t="str">
        <f t="shared" si="70"/>
        <v/>
      </c>
      <c r="I495" s="28" t="str">
        <f t="shared" si="71"/>
        <v/>
      </c>
      <c r="J495" s="32" t="str">
        <f t="shared" si="72"/>
        <v/>
      </c>
      <c r="K495" s="86"/>
      <c r="L495" s="62">
        <f>IF($B495&lt;&gt;"",SUMIFS(DataAct_tbl[AMOUNT],DataAct_tbl[BG CODE],Detail!$D495,DataAct_tbl[Check Range],"=true",DataAct_tbl[Dept code],$B495),0)</f>
        <v>0</v>
      </c>
      <c r="M495" s="63">
        <f>INDEX($AG$7:$AR$1005,ROW()-6,MATCH(MTD,$AG$6:$AR$6,0))</f>
        <v>0</v>
      </c>
      <c r="N495" s="34">
        <f t="shared" si="73"/>
        <v>0</v>
      </c>
      <c r="O495" s="64" t="str">
        <f t="shared" si="74"/>
        <v xml:space="preserve"> </v>
      </c>
      <c r="Q495" s="97">
        <f t="shared" si="75"/>
        <v>0</v>
      </c>
      <c r="R495" s="96">
        <f t="shared" si="76"/>
        <v>0</v>
      </c>
      <c r="T495" s="67" t="str">
        <f>IF($B495&lt;&gt;"",INDEX(DataOB[],FirstRow+ROW()-7,MATCH(T$6,DataOB[#Headers],0)),"")</f>
        <v/>
      </c>
      <c r="U495" s="67" t="str">
        <f>IF($B495&lt;&gt;"",INDEX(DataOB[],FirstRow+ROW()-7,MATCH(U$6,DataOB[#Headers],0)),"")</f>
        <v/>
      </c>
      <c r="V495" s="67" t="str">
        <f>IF($B495&lt;&gt;"",INDEX(DataOB[],FirstRow+ROW()-7,MATCH(V$6,DataOB[#Headers],0)),"")</f>
        <v/>
      </c>
      <c r="W495" s="67" t="str">
        <f>IF($B495&lt;&gt;"",INDEX(DataOB[],FirstRow+ROW()-7,MATCH(W$6,DataOB[#Headers],0)),"")</f>
        <v/>
      </c>
      <c r="X495" s="67" t="str">
        <f>IF($B495&lt;&gt;"",INDEX(DataOB[],FirstRow+ROW()-7,MATCH(X$6,DataOB[#Headers],0)),"")</f>
        <v/>
      </c>
      <c r="Y495" s="67" t="str">
        <f>IF($B495&lt;&gt;"",INDEX(DataOB[],FirstRow+ROW()-7,MATCH(Y$6,DataOB[#Headers],0)),"")</f>
        <v/>
      </c>
      <c r="Z495" s="67" t="str">
        <f>IF($B495&lt;&gt;"",INDEX(DataOB[],FirstRow+ROW()-7,MATCH(Z$6,DataOB[#Headers],0)),"")</f>
        <v/>
      </c>
      <c r="AA495" s="67" t="str">
        <f>IF($B495&lt;&gt;"",INDEX(DataOB[],FirstRow+ROW()-7,MATCH(AA$6,DataOB[#Headers],0)),"")</f>
        <v/>
      </c>
      <c r="AB495" s="67" t="str">
        <f>IF($B495&lt;&gt;"",INDEX(DataOB[],FirstRow+ROW()-7,MATCH(AB$6,DataOB[#Headers],0)),"")</f>
        <v/>
      </c>
      <c r="AC495" s="67" t="str">
        <f>IF($B495&lt;&gt;"",INDEX(DataOB[],FirstRow+ROW()-7,MATCH(AC$6,DataOB[#Headers],0)),"")</f>
        <v/>
      </c>
      <c r="AD495" s="67" t="str">
        <f>IF($B495&lt;&gt;"",INDEX(DataOB[],FirstRow+ROW()-7,MATCH(AD$6,DataOB[#Headers],0)),"")</f>
        <v/>
      </c>
      <c r="AE495" s="67" t="str">
        <f>IF($B495&lt;&gt;"",INDEX(DataOB[],FirstRow+ROW()-7,MATCH(AE$6,DataOB[#Headers],0)),"")</f>
        <v/>
      </c>
      <c r="AF495" s="26">
        <f t="shared" si="77"/>
        <v>0</v>
      </c>
      <c r="AG495" s="31">
        <f>SUM($T495:T495)</f>
        <v>0</v>
      </c>
      <c r="AH495" s="31">
        <f>SUM($T495:U495)</f>
        <v>0</v>
      </c>
      <c r="AI495" s="31">
        <f>SUM($T495:V495)</f>
        <v>0</v>
      </c>
      <c r="AJ495" s="31">
        <f>SUM($T495:W495)</f>
        <v>0</v>
      </c>
      <c r="AK495" s="31">
        <f>SUM($T495:X495)</f>
        <v>0</v>
      </c>
      <c r="AL495" s="31">
        <f>SUM($T495:Y495)</f>
        <v>0</v>
      </c>
      <c r="AM495" s="31">
        <f>SUM($T495:Z495)</f>
        <v>0</v>
      </c>
      <c r="AN495" s="31">
        <f>SUM($T495:AA495)</f>
        <v>0</v>
      </c>
      <c r="AO495" s="31">
        <f>SUM($T495:AB495)</f>
        <v>0</v>
      </c>
      <c r="AP495" s="31">
        <f>SUM($T495:AC495)</f>
        <v>0</v>
      </c>
      <c r="AQ495" s="31">
        <f>SUM($T495:AD495)</f>
        <v>0</v>
      </c>
      <c r="AR495" s="31">
        <f>SUM($T495:AE495)</f>
        <v>0</v>
      </c>
      <c r="AS495" s="27">
        <f t="shared" si="78"/>
        <v>0</v>
      </c>
    </row>
    <row r="496" spans="2:45">
      <c r="B496" s="102" t="str">
        <f>IF(ROW()-6&gt;NumCostCenter,"",IF(CostCenter&lt;&gt;"ALL",CostCenter,DATA_LF2!B494))</f>
        <v/>
      </c>
      <c r="C496" s="153" t="str">
        <f>IF($B496&lt;&gt;"",INDEX(DataOB[],FirstRow+ROW()-7,2),"")</f>
        <v/>
      </c>
      <c r="D496" s="66" t="str">
        <f>IF($B496&lt;&gt;"",INDEX(DataOB[],FirstRow+ROW()-7,3),"")</f>
        <v/>
      </c>
      <c r="E496" s="103" t="str">
        <f>IF($B496&lt;&gt;"",INDEX(DataOB[],FirstRow+ROW()-7,6),"")</f>
        <v/>
      </c>
      <c r="F496" s="103" t="str">
        <f>IF($B496&lt;&gt;"",INDEX(DataOB[],FirstRow+ROW()-7,5),"")</f>
        <v/>
      </c>
      <c r="G496" s="58">
        <f>IF($B496&lt;&gt;"",SUMIFS(DataAct_tbl[AMOUNT],DataAct_tbl[BG CODE],Detail!$D496,DataAct_tbl[MONTH],LEFT(MonthName,3),DataAct_tbl[Dept code],$B496),0)</f>
        <v>0</v>
      </c>
      <c r="H496" s="31" t="str">
        <f t="shared" si="70"/>
        <v/>
      </c>
      <c r="I496" s="28" t="str">
        <f t="shared" si="71"/>
        <v/>
      </c>
      <c r="J496" s="32" t="str">
        <f t="shared" si="72"/>
        <v/>
      </c>
      <c r="K496" s="86"/>
      <c r="L496" s="62">
        <f>IF($B496&lt;&gt;"",SUMIFS(DataAct_tbl[AMOUNT],DataAct_tbl[BG CODE],Detail!$D496,DataAct_tbl[Check Range],"=true",DataAct_tbl[Dept code],$B496),0)</f>
        <v>0</v>
      </c>
      <c r="M496" s="63">
        <f>INDEX($AG$7:$AR$1005,ROW()-6,MATCH(MTD,$AG$6:$AR$6,0))</f>
        <v>0</v>
      </c>
      <c r="N496" s="34">
        <f t="shared" si="73"/>
        <v>0</v>
      </c>
      <c r="O496" s="64" t="str">
        <f t="shared" si="74"/>
        <v xml:space="preserve"> </v>
      </c>
      <c r="Q496" s="97">
        <f t="shared" si="75"/>
        <v>0</v>
      </c>
      <c r="R496" s="96">
        <f t="shared" si="76"/>
        <v>0</v>
      </c>
      <c r="T496" s="67" t="str">
        <f>IF($B496&lt;&gt;"",INDEX(DataOB[],FirstRow+ROW()-7,MATCH(T$6,DataOB[#Headers],0)),"")</f>
        <v/>
      </c>
      <c r="U496" s="67" t="str">
        <f>IF($B496&lt;&gt;"",INDEX(DataOB[],FirstRow+ROW()-7,MATCH(U$6,DataOB[#Headers],0)),"")</f>
        <v/>
      </c>
      <c r="V496" s="67" t="str">
        <f>IF($B496&lt;&gt;"",INDEX(DataOB[],FirstRow+ROW()-7,MATCH(V$6,DataOB[#Headers],0)),"")</f>
        <v/>
      </c>
      <c r="W496" s="67" t="str">
        <f>IF($B496&lt;&gt;"",INDEX(DataOB[],FirstRow+ROW()-7,MATCH(W$6,DataOB[#Headers],0)),"")</f>
        <v/>
      </c>
      <c r="X496" s="67" t="str">
        <f>IF($B496&lt;&gt;"",INDEX(DataOB[],FirstRow+ROW()-7,MATCH(X$6,DataOB[#Headers],0)),"")</f>
        <v/>
      </c>
      <c r="Y496" s="67" t="str">
        <f>IF($B496&lt;&gt;"",INDEX(DataOB[],FirstRow+ROW()-7,MATCH(Y$6,DataOB[#Headers],0)),"")</f>
        <v/>
      </c>
      <c r="Z496" s="67" t="str">
        <f>IF($B496&lt;&gt;"",INDEX(DataOB[],FirstRow+ROW()-7,MATCH(Z$6,DataOB[#Headers],0)),"")</f>
        <v/>
      </c>
      <c r="AA496" s="67" t="str">
        <f>IF($B496&lt;&gt;"",INDEX(DataOB[],FirstRow+ROW()-7,MATCH(AA$6,DataOB[#Headers],0)),"")</f>
        <v/>
      </c>
      <c r="AB496" s="67" t="str">
        <f>IF($B496&lt;&gt;"",INDEX(DataOB[],FirstRow+ROW()-7,MATCH(AB$6,DataOB[#Headers],0)),"")</f>
        <v/>
      </c>
      <c r="AC496" s="67" t="str">
        <f>IF($B496&lt;&gt;"",INDEX(DataOB[],FirstRow+ROW()-7,MATCH(AC$6,DataOB[#Headers],0)),"")</f>
        <v/>
      </c>
      <c r="AD496" s="67" t="str">
        <f>IF($B496&lt;&gt;"",INDEX(DataOB[],FirstRow+ROW()-7,MATCH(AD$6,DataOB[#Headers],0)),"")</f>
        <v/>
      </c>
      <c r="AE496" s="67" t="str">
        <f>IF($B496&lt;&gt;"",INDEX(DataOB[],FirstRow+ROW()-7,MATCH(AE$6,DataOB[#Headers],0)),"")</f>
        <v/>
      </c>
      <c r="AF496" s="26">
        <f t="shared" si="77"/>
        <v>0</v>
      </c>
      <c r="AG496" s="31">
        <f>SUM($T496:T496)</f>
        <v>0</v>
      </c>
      <c r="AH496" s="31">
        <f>SUM($T496:U496)</f>
        <v>0</v>
      </c>
      <c r="AI496" s="31">
        <f>SUM($T496:V496)</f>
        <v>0</v>
      </c>
      <c r="AJ496" s="31">
        <f>SUM($T496:W496)</f>
        <v>0</v>
      </c>
      <c r="AK496" s="31">
        <f>SUM($T496:X496)</f>
        <v>0</v>
      </c>
      <c r="AL496" s="31">
        <f>SUM($T496:Y496)</f>
        <v>0</v>
      </c>
      <c r="AM496" s="31">
        <f>SUM($T496:Z496)</f>
        <v>0</v>
      </c>
      <c r="AN496" s="31">
        <f>SUM($T496:AA496)</f>
        <v>0</v>
      </c>
      <c r="AO496" s="31">
        <f>SUM($T496:AB496)</f>
        <v>0</v>
      </c>
      <c r="AP496" s="31">
        <f>SUM($T496:AC496)</f>
        <v>0</v>
      </c>
      <c r="AQ496" s="31">
        <f>SUM($T496:AD496)</f>
        <v>0</v>
      </c>
      <c r="AR496" s="31">
        <f>SUM($T496:AE496)</f>
        <v>0</v>
      </c>
      <c r="AS496" s="27">
        <f t="shared" si="78"/>
        <v>0</v>
      </c>
    </row>
    <row r="497" spans="2:45">
      <c r="B497" s="102" t="str">
        <f>IF(ROW()-6&gt;NumCostCenter,"",IF(CostCenter&lt;&gt;"ALL",CostCenter,DATA_LF2!B495))</f>
        <v/>
      </c>
      <c r="C497" s="153" t="str">
        <f>IF($B497&lt;&gt;"",INDEX(DataOB[],FirstRow+ROW()-7,2),"")</f>
        <v/>
      </c>
      <c r="D497" s="66" t="str">
        <f>IF($B497&lt;&gt;"",INDEX(DataOB[],FirstRow+ROW()-7,3),"")</f>
        <v/>
      </c>
      <c r="E497" s="103" t="str">
        <f>IF($B497&lt;&gt;"",INDEX(DataOB[],FirstRow+ROW()-7,6),"")</f>
        <v/>
      </c>
      <c r="F497" s="103" t="str">
        <f>IF($B497&lt;&gt;"",INDEX(DataOB[],FirstRow+ROW()-7,5),"")</f>
        <v/>
      </c>
      <c r="G497" s="58">
        <f>IF($B497&lt;&gt;"",SUMIFS(DataAct_tbl[AMOUNT],DataAct_tbl[BG CODE],Detail!$D497,DataAct_tbl[MONTH],LEFT(MonthName,3),DataAct_tbl[Dept code],$B497),0)</f>
        <v>0</v>
      </c>
      <c r="H497" s="31" t="str">
        <f t="shared" si="70"/>
        <v/>
      </c>
      <c r="I497" s="28" t="str">
        <f t="shared" si="71"/>
        <v/>
      </c>
      <c r="J497" s="32" t="str">
        <f t="shared" si="72"/>
        <v/>
      </c>
      <c r="K497" s="86"/>
      <c r="L497" s="62">
        <f>IF($B497&lt;&gt;"",SUMIFS(DataAct_tbl[AMOUNT],DataAct_tbl[BG CODE],Detail!$D497,DataAct_tbl[Check Range],"=true",DataAct_tbl[Dept code],$B497),0)</f>
        <v>0</v>
      </c>
      <c r="M497" s="63">
        <f>INDEX($AG$7:$AR$1005,ROW()-6,MATCH(MTD,$AG$6:$AR$6,0))</f>
        <v>0</v>
      </c>
      <c r="N497" s="34">
        <f t="shared" si="73"/>
        <v>0</v>
      </c>
      <c r="O497" s="64" t="str">
        <f t="shared" si="74"/>
        <v xml:space="preserve"> </v>
      </c>
      <c r="Q497" s="97">
        <f t="shared" si="75"/>
        <v>0</v>
      </c>
      <c r="R497" s="96">
        <f t="shared" si="76"/>
        <v>0</v>
      </c>
      <c r="T497" s="67" t="str">
        <f>IF($B497&lt;&gt;"",INDEX(DataOB[],FirstRow+ROW()-7,MATCH(T$6,DataOB[#Headers],0)),"")</f>
        <v/>
      </c>
      <c r="U497" s="67" t="str">
        <f>IF($B497&lt;&gt;"",INDEX(DataOB[],FirstRow+ROW()-7,MATCH(U$6,DataOB[#Headers],0)),"")</f>
        <v/>
      </c>
      <c r="V497" s="67" t="str">
        <f>IF($B497&lt;&gt;"",INDEX(DataOB[],FirstRow+ROW()-7,MATCH(V$6,DataOB[#Headers],0)),"")</f>
        <v/>
      </c>
      <c r="W497" s="67" t="str">
        <f>IF($B497&lt;&gt;"",INDEX(DataOB[],FirstRow+ROW()-7,MATCH(W$6,DataOB[#Headers],0)),"")</f>
        <v/>
      </c>
      <c r="X497" s="67" t="str">
        <f>IF($B497&lt;&gt;"",INDEX(DataOB[],FirstRow+ROW()-7,MATCH(X$6,DataOB[#Headers],0)),"")</f>
        <v/>
      </c>
      <c r="Y497" s="67" t="str">
        <f>IF($B497&lt;&gt;"",INDEX(DataOB[],FirstRow+ROW()-7,MATCH(Y$6,DataOB[#Headers],0)),"")</f>
        <v/>
      </c>
      <c r="Z497" s="67" t="str">
        <f>IF($B497&lt;&gt;"",INDEX(DataOB[],FirstRow+ROW()-7,MATCH(Z$6,DataOB[#Headers],0)),"")</f>
        <v/>
      </c>
      <c r="AA497" s="67" t="str">
        <f>IF($B497&lt;&gt;"",INDEX(DataOB[],FirstRow+ROW()-7,MATCH(AA$6,DataOB[#Headers],0)),"")</f>
        <v/>
      </c>
      <c r="AB497" s="67" t="str">
        <f>IF($B497&lt;&gt;"",INDEX(DataOB[],FirstRow+ROW()-7,MATCH(AB$6,DataOB[#Headers],0)),"")</f>
        <v/>
      </c>
      <c r="AC497" s="67" t="str">
        <f>IF($B497&lt;&gt;"",INDEX(DataOB[],FirstRow+ROW()-7,MATCH(AC$6,DataOB[#Headers],0)),"")</f>
        <v/>
      </c>
      <c r="AD497" s="67" t="str">
        <f>IF($B497&lt;&gt;"",INDEX(DataOB[],FirstRow+ROW()-7,MATCH(AD$6,DataOB[#Headers],0)),"")</f>
        <v/>
      </c>
      <c r="AE497" s="67" t="str">
        <f>IF($B497&lt;&gt;"",INDEX(DataOB[],FirstRow+ROW()-7,MATCH(AE$6,DataOB[#Headers],0)),"")</f>
        <v/>
      </c>
      <c r="AF497" s="26">
        <f t="shared" si="77"/>
        <v>0</v>
      </c>
      <c r="AG497" s="31">
        <f>SUM($T497:T497)</f>
        <v>0</v>
      </c>
      <c r="AH497" s="31">
        <f>SUM($T497:U497)</f>
        <v>0</v>
      </c>
      <c r="AI497" s="31">
        <f>SUM($T497:V497)</f>
        <v>0</v>
      </c>
      <c r="AJ497" s="31">
        <f>SUM($T497:W497)</f>
        <v>0</v>
      </c>
      <c r="AK497" s="31">
        <f>SUM($T497:X497)</f>
        <v>0</v>
      </c>
      <c r="AL497" s="31">
        <f>SUM($T497:Y497)</f>
        <v>0</v>
      </c>
      <c r="AM497" s="31">
        <f>SUM($T497:Z497)</f>
        <v>0</v>
      </c>
      <c r="AN497" s="31">
        <f>SUM($T497:AA497)</f>
        <v>0</v>
      </c>
      <c r="AO497" s="31">
        <f>SUM($T497:AB497)</f>
        <v>0</v>
      </c>
      <c r="AP497" s="31">
        <f>SUM($T497:AC497)</f>
        <v>0</v>
      </c>
      <c r="AQ497" s="31">
        <f>SUM($T497:AD497)</f>
        <v>0</v>
      </c>
      <c r="AR497" s="31">
        <f>SUM($T497:AE497)</f>
        <v>0</v>
      </c>
      <c r="AS497" s="27">
        <f t="shared" si="78"/>
        <v>0</v>
      </c>
    </row>
    <row r="498" spans="2:45">
      <c r="B498" s="102" t="str">
        <f>IF(ROW()-6&gt;NumCostCenter,"",IF(CostCenter&lt;&gt;"ALL",CostCenter,DATA_LF2!B496))</f>
        <v/>
      </c>
      <c r="C498" s="153" t="str">
        <f>IF($B498&lt;&gt;"",INDEX(DataOB[],FirstRow+ROW()-7,2),"")</f>
        <v/>
      </c>
      <c r="D498" s="66" t="str">
        <f>IF($B498&lt;&gt;"",INDEX(DataOB[],FirstRow+ROW()-7,3),"")</f>
        <v/>
      </c>
      <c r="E498" s="103" t="str">
        <f>IF($B498&lt;&gt;"",INDEX(DataOB[],FirstRow+ROW()-7,6),"")</f>
        <v/>
      </c>
      <c r="F498" s="103" t="str">
        <f>IF($B498&lt;&gt;"",INDEX(DataOB[],FirstRow+ROW()-7,5),"")</f>
        <v/>
      </c>
      <c r="G498" s="58">
        <f>IF($B498&lt;&gt;"",SUMIFS(DataAct_tbl[AMOUNT],DataAct_tbl[BG CODE],Detail!$D498,DataAct_tbl[MONTH],LEFT(MonthName,3),DataAct_tbl[Dept code],$B498),0)</f>
        <v>0</v>
      </c>
      <c r="H498" s="31" t="str">
        <f t="shared" si="70"/>
        <v/>
      </c>
      <c r="I498" s="28" t="str">
        <f t="shared" si="71"/>
        <v/>
      </c>
      <c r="J498" s="32" t="str">
        <f t="shared" si="72"/>
        <v/>
      </c>
      <c r="K498" s="86"/>
      <c r="L498" s="62">
        <f>IF($B498&lt;&gt;"",SUMIFS(DataAct_tbl[AMOUNT],DataAct_tbl[BG CODE],Detail!$D498,DataAct_tbl[Check Range],"=true",DataAct_tbl[Dept code],$B498),0)</f>
        <v>0</v>
      </c>
      <c r="M498" s="63">
        <f>INDEX($AG$7:$AR$1005,ROW()-6,MATCH(MTD,$AG$6:$AR$6,0))</f>
        <v>0</v>
      </c>
      <c r="N498" s="34">
        <f t="shared" si="73"/>
        <v>0</v>
      </c>
      <c r="O498" s="64" t="str">
        <f t="shared" si="74"/>
        <v xml:space="preserve"> </v>
      </c>
      <c r="Q498" s="97">
        <f t="shared" si="75"/>
        <v>0</v>
      </c>
      <c r="R498" s="96">
        <f t="shared" si="76"/>
        <v>0</v>
      </c>
      <c r="T498" s="67" t="str">
        <f>IF($B498&lt;&gt;"",INDEX(DataOB[],FirstRow+ROW()-7,MATCH(T$6,DataOB[#Headers],0)),"")</f>
        <v/>
      </c>
      <c r="U498" s="67" t="str">
        <f>IF($B498&lt;&gt;"",INDEX(DataOB[],FirstRow+ROW()-7,MATCH(U$6,DataOB[#Headers],0)),"")</f>
        <v/>
      </c>
      <c r="V498" s="67" t="str">
        <f>IF($B498&lt;&gt;"",INDEX(DataOB[],FirstRow+ROW()-7,MATCH(V$6,DataOB[#Headers],0)),"")</f>
        <v/>
      </c>
      <c r="W498" s="67" t="str">
        <f>IF($B498&lt;&gt;"",INDEX(DataOB[],FirstRow+ROW()-7,MATCH(W$6,DataOB[#Headers],0)),"")</f>
        <v/>
      </c>
      <c r="X498" s="67" t="str">
        <f>IF($B498&lt;&gt;"",INDEX(DataOB[],FirstRow+ROW()-7,MATCH(X$6,DataOB[#Headers],0)),"")</f>
        <v/>
      </c>
      <c r="Y498" s="67" t="str">
        <f>IF($B498&lt;&gt;"",INDEX(DataOB[],FirstRow+ROW()-7,MATCH(Y$6,DataOB[#Headers],0)),"")</f>
        <v/>
      </c>
      <c r="Z498" s="67" t="str">
        <f>IF($B498&lt;&gt;"",INDEX(DataOB[],FirstRow+ROW()-7,MATCH(Z$6,DataOB[#Headers],0)),"")</f>
        <v/>
      </c>
      <c r="AA498" s="67" t="str">
        <f>IF($B498&lt;&gt;"",INDEX(DataOB[],FirstRow+ROW()-7,MATCH(AA$6,DataOB[#Headers],0)),"")</f>
        <v/>
      </c>
      <c r="AB498" s="67" t="str">
        <f>IF($B498&lt;&gt;"",INDEX(DataOB[],FirstRow+ROW()-7,MATCH(AB$6,DataOB[#Headers],0)),"")</f>
        <v/>
      </c>
      <c r="AC498" s="67" t="str">
        <f>IF($B498&lt;&gt;"",INDEX(DataOB[],FirstRow+ROW()-7,MATCH(AC$6,DataOB[#Headers],0)),"")</f>
        <v/>
      </c>
      <c r="AD498" s="67" t="str">
        <f>IF($B498&lt;&gt;"",INDEX(DataOB[],FirstRow+ROW()-7,MATCH(AD$6,DataOB[#Headers],0)),"")</f>
        <v/>
      </c>
      <c r="AE498" s="67" t="str">
        <f>IF($B498&lt;&gt;"",INDEX(DataOB[],FirstRow+ROW()-7,MATCH(AE$6,DataOB[#Headers],0)),"")</f>
        <v/>
      </c>
      <c r="AF498" s="26">
        <f t="shared" si="77"/>
        <v>0</v>
      </c>
      <c r="AG498" s="31">
        <f>SUM($T498:T498)</f>
        <v>0</v>
      </c>
      <c r="AH498" s="31">
        <f>SUM($T498:U498)</f>
        <v>0</v>
      </c>
      <c r="AI498" s="31">
        <f>SUM($T498:V498)</f>
        <v>0</v>
      </c>
      <c r="AJ498" s="31">
        <f>SUM($T498:W498)</f>
        <v>0</v>
      </c>
      <c r="AK498" s="31">
        <f>SUM($T498:X498)</f>
        <v>0</v>
      </c>
      <c r="AL498" s="31">
        <f>SUM($T498:Y498)</f>
        <v>0</v>
      </c>
      <c r="AM498" s="31">
        <f>SUM($T498:Z498)</f>
        <v>0</v>
      </c>
      <c r="AN498" s="31">
        <f>SUM($T498:AA498)</f>
        <v>0</v>
      </c>
      <c r="AO498" s="31">
        <f>SUM($T498:AB498)</f>
        <v>0</v>
      </c>
      <c r="AP498" s="31">
        <f>SUM($T498:AC498)</f>
        <v>0</v>
      </c>
      <c r="AQ498" s="31">
        <f>SUM($T498:AD498)</f>
        <v>0</v>
      </c>
      <c r="AR498" s="31">
        <f>SUM($T498:AE498)</f>
        <v>0</v>
      </c>
      <c r="AS498" s="27">
        <f t="shared" si="78"/>
        <v>0</v>
      </c>
    </row>
    <row r="499" spans="2:45">
      <c r="B499" s="102" t="str">
        <f>IF(ROW()-6&gt;NumCostCenter,"",IF(CostCenter&lt;&gt;"ALL",CostCenter,DATA_LF2!B497))</f>
        <v/>
      </c>
      <c r="C499" s="153" t="str">
        <f>IF($B499&lt;&gt;"",INDEX(DataOB[],FirstRow+ROW()-7,2),"")</f>
        <v/>
      </c>
      <c r="D499" s="66" t="str">
        <f>IF($B499&lt;&gt;"",INDEX(DataOB[],FirstRow+ROW()-7,3),"")</f>
        <v/>
      </c>
      <c r="E499" s="103" t="str">
        <f>IF($B499&lt;&gt;"",INDEX(DataOB[],FirstRow+ROW()-7,6),"")</f>
        <v/>
      </c>
      <c r="F499" s="103" t="str">
        <f>IF($B499&lt;&gt;"",INDEX(DataOB[],FirstRow+ROW()-7,5),"")</f>
        <v/>
      </c>
      <c r="G499" s="58">
        <f>IF($B499&lt;&gt;"",SUMIFS(DataAct_tbl[AMOUNT],DataAct_tbl[BG CODE],Detail!$D499,DataAct_tbl[MONTH],LEFT(MonthName,3),DataAct_tbl[Dept code],$B499),0)</f>
        <v>0</v>
      </c>
      <c r="H499" s="31" t="str">
        <f t="shared" si="70"/>
        <v/>
      </c>
      <c r="I499" s="28" t="str">
        <f t="shared" si="71"/>
        <v/>
      </c>
      <c r="J499" s="32" t="str">
        <f t="shared" si="72"/>
        <v/>
      </c>
      <c r="K499" s="86"/>
      <c r="L499" s="62">
        <f>IF($B499&lt;&gt;"",SUMIFS(DataAct_tbl[AMOUNT],DataAct_tbl[BG CODE],Detail!$D499,DataAct_tbl[Check Range],"=true",DataAct_tbl[Dept code],$B499),0)</f>
        <v>0</v>
      </c>
      <c r="M499" s="63">
        <f>INDEX($AG$7:$AR$1005,ROW()-6,MATCH(MTD,$AG$6:$AR$6,0))</f>
        <v>0</v>
      </c>
      <c r="N499" s="34">
        <f t="shared" si="73"/>
        <v>0</v>
      </c>
      <c r="O499" s="64" t="str">
        <f t="shared" si="74"/>
        <v xml:space="preserve"> </v>
      </c>
      <c r="Q499" s="97">
        <f t="shared" si="75"/>
        <v>0</v>
      </c>
      <c r="R499" s="96">
        <f t="shared" si="76"/>
        <v>0</v>
      </c>
      <c r="T499" s="67" t="str">
        <f>IF($B499&lt;&gt;"",INDEX(DataOB[],FirstRow+ROW()-7,MATCH(T$6,DataOB[#Headers],0)),"")</f>
        <v/>
      </c>
      <c r="U499" s="67" t="str">
        <f>IF($B499&lt;&gt;"",INDEX(DataOB[],FirstRow+ROW()-7,MATCH(U$6,DataOB[#Headers],0)),"")</f>
        <v/>
      </c>
      <c r="V499" s="67" t="str">
        <f>IF($B499&lt;&gt;"",INDEX(DataOB[],FirstRow+ROW()-7,MATCH(V$6,DataOB[#Headers],0)),"")</f>
        <v/>
      </c>
      <c r="W499" s="67" t="str">
        <f>IF($B499&lt;&gt;"",INDEX(DataOB[],FirstRow+ROW()-7,MATCH(W$6,DataOB[#Headers],0)),"")</f>
        <v/>
      </c>
      <c r="X499" s="67" t="str">
        <f>IF($B499&lt;&gt;"",INDEX(DataOB[],FirstRow+ROW()-7,MATCH(X$6,DataOB[#Headers],0)),"")</f>
        <v/>
      </c>
      <c r="Y499" s="67" t="str">
        <f>IF($B499&lt;&gt;"",INDEX(DataOB[],FirstRow+ROW()-7,MATCH(Y$6,DataOB[#Headers],0)),"")</f>
        <v/>
      </c>
      <c r="Z499" s="67" t="str">
        <f>IF($B499&lt;&gt;"",INDEX(DataOB[],FirstRow+ROW()-7,MATCH(Z$6,DataOB[#Headers],0)),"")</f>
        <v/>
      </c>
      <c r="AA499" s="67" t="str">
        <f>IF($B499&lt;&gt;"",INDEX(DataOB[],FirstRow+ROW()-7,MATCH(AA$6,DataOB[#Headers],0)),"")</f>
        <v/>
      </c>
      <c r="AB499" s="67" t="str">
        <f>IF($B499&lt;&gt;"",INDEX(DataOB[],FirstRow+ROW()-7,MATCH(AB$6,DataOB[#Headers],0)),"")</f>
        <v/>
      </c>
      <c r="AC499" s="67" t="str">
        <f>IF($B499&lt;&gt;"",INDEX(DataOB[],FirstRow+ROW()-7,MATCH(AC$6,DataOB[#Headers],0)),"")</f>
        <v/>
      </c>
      <c r="AD499" s="67" t="str">
        <f>IF($B499&lt;&gt;"",INDEX(DataOB[],FirstRow+ROW()-7,MATCH(AD$6,DataOB[#Headers],0)),"")</f>
        <v/>
      </c>
      <c r="AE499" s="67" t="str">
        <f>IF($B499&lt;&gt;"",INDEX(DataOB[],FirstRow+ROW()-7,MATCH(AE$6,DataOB[#Headers],0)),"")</f>
        <v/>
      </c>
      <c r="AF499" s="26">
        <f t="shared" si="77"/>
        <v>0</v>
      </c>
      <c r="AG499" s="31">
        <f>SUM($T499:T499)</f>
        <v>0</v>
      </c>
      <c r="AH499" s="31">
        <f>SUM($T499:U499)</f>
        <v>0</v>
      </c>
      <c r="AI499" s="31">
        <f>SUM($T499:V499)</f>
        <v>0</v>
      </c>
      <c r="AJ499" s="31">
        <f>SUM($T499:W499)</f>
        <v>0</v>
      </c>
      <c r="AK499" s="31">
        <f>SUM($T499:X499)</f>
        <v>0</v>
      </c>
      <c r="AL499" s="31">
        <f>SUM($T499:Y499)</f>
        <v>0</v>
      </c>
      <c r="AM499" s="31">
        <f>SUM($T499:Z499)</f>
        <v>0</v>
      </c>
      <c r="AN499" s="31">
        <f>SUM($T499:AA499)</f>
        <v>0</v>
      </c>
      <c r="AO499" s="31">
        <f>SUM($T499:AB499)</f>
        <v>0</v>
      </c>
      <c r="AP499" s="31">
        <f>SUM($T499:AC499)</f>
        <v>0</v>
      </c>
      <c r="AQ499" s="31">
        <f>SUM($T499:AD499)</f>
        <v>0</v>
      </c>
      <c r="AR499" s="31">
        <f>SUM($T499:AE499)</f>
        <v>0</v>
      </c>
      <c r="AS499" s="27">
        <f t="shared" si="78"/>
        <v>0</v>
      </c>
    </row>
    <row r="500" spans="2:45">
      <c r="B500" s="102" t="str">
        <f>IF(ROW()-6&gt;NumCostCenter,"",IF(CostCenter&lt;&gt;"ALL",CostCenter,DATA_LF2!B498))</f>
        <v/>
      </c>
      <c r="C500" s="153" t="str">
        <f>IF($B500&lt;&gt;"",INDEX(DataOB[],FirstRow+ROW()-7,2),"")</f>
        <v/>
      </c>
      <c r="D500" s="66" t="str">
        <f>IF($B500&lt;&gt;"",INDEX(DataOB[],FirstRow+ROW()-7,3),"")</f>
        <v/>
      </c>
      <c r="E500" s="103" t="str">
        <f>IF($B500&lt;&gt;"",INDEX(DataOB[],FirstRow+ROW()-7,6),"")</f>
        <v/>
      </c>
      <c r="F500" s="103" t="str">
        <f>IF($B500&lt;&gt;"",INDEX(DataOB[],FirstRow+ROW()-7,5),"")</f>
        <v/>
      </c>
      <c r="G500" s="58">
        <f>IF($B500&lt;&gt;"",SUMIFS(DataAct_tbl[AMOUNT],DataAct_tbl[BG CODE],Detail!$D500,DataAct_tbl[MONTH],LEFT(MonthName,3),DataAct_tbl[Dept code],$B500),0)</f>
        <v>0</v>
      </c>
      <c r="H500" s="31" t="str">
        <f t="shared" si="70"/>
        <v/>
      </c>
      <c r="I500" s="28" t="str">
        <f t="shared" si="71"/>
        <v/>
      </c>
      <c r="J500" s="32" t="str">
        <f t="shared" si="72"/>
        <v/>
      </c>
      <c r="K500" s="86"/>
      <c r="L500" s="62">
        <f>IF($B500&lt;&gt;"",SUMIFS(DataAct_tbl[AMOUNT],DataAct_tbl[BG CODE],Detail!$D500,DataAct_tbl[Check Range],"=true",DataAct_tbl[Dept code],$B500),0)</f>
        <v>0</v>
      </c>
      <c r="M500" s="63">
        <f>INDEX($AG$7:$AR$1005,ROW()-6,MATCH(MTD,$AG$6:$AR$6,0))</f>
        <v>0</v>
      </c>
      <c r="N500" s="34">
        <f t="shared" si="73"/>
        <v>0</v>
      </c>
      <c r="O500" s="64" t="str">
        <f t="shared" si="74"/>
        <v xml:space="preserve"> </v>
      </c>
      <c r="Q500" s="97">
        <f t="shared" si="75"/>
        <v>0</v>
      </c>
      <c r="R500" s="96">
        <f t="shared" si="76"/>
        <v>0</v>
      </c>
      <c r="T500" s="67" t="str">
        <f>IF($B500&lt;&gt;"",INDEX(DataOB[],FirstRow+ROW()-7,MATCH(T$6,DataOB[#Headers],0)),"")</f>
        <v/>
      </c>
      <c r="U500" s="67" t="str">
        <f>IF($B500&lt;&gt;"",INDEX(DataOB[],FirstRow+ROW()-7,MATCH(U$6,DataOB[#Headers],0)),"")</f>
        <v/>
      </c>
      <c r="V500" s="67" t="str">
        <f>IF($B500&lt;&gt;"",INDEX(DataOB[],FirstRow+ROW()-7,MATCH(V$6,DataOB[#Headers],0)),"")</f>
        <v/>
      </c>
      <c r="W500" s="67" t="str">
        <f>IF($B500&lt;&gt;"",INDEX(DataOB[],FirstRow+ROW()-7,MATCH(W$6,DataOB[#Headers],0)),"")</f>
        <v/>
      </c>
      <c r="X500" s="67" t="str">
        <f>IF($B500&lt;&gt;"",INDEX(DataOB[],FirstRow+ROW()-7,MATCH(X$6,DataOB[#Headers],0)),"")</f>
        <v/>
      </c>
      <c r="Y500" s="67" t="str">
        <f>IF($B500&lt;&gt;"",INDEX(DataOB[],FirstRow+ROW()-7,MATCH(Y$6,DataOB[#Headers],0)),"")</f>
        <v/>
      </c>
      <c r="Z500" s="67" t="str">
        <f>IF($B500&lt;&gt;"",INDEX(DataOB[],FirstRow+ROW()-7,MATCH(Z$6,DataOB[#Headers],0)),"")</f>
        <v/>
      </c>
      <c r="AA500" s="67" t="str">
        <f>IF($B500&lt;&gt;"",INDEX(DataOB[],FirstRow+ROW()-7,MATCH(AA$6,DataOB[#Headers],0)),"")</f>
        <v/>
      </c>
      <c r="AB500" s="67" t="str">
        <f>IF($B500&lt;&gt;"",INDEX(DataOB[],FirstRow+ROW()-7,MATCH(AB$6,DataOB[#Headers],0)),"")</f>
        <v/>
      </c>
      <c r="AC500" s="67" t="str">
        <f>IF($B500&lt;&gt;"",INDEX(DataOB[],FirstRow+ROW()-7,MATCH(AC$6,DataOB[#Headers],0)),"")</f>
        <v/>
      </c>
      <c r="AD500" s="67" t="str">
        <f>IF($B500&lt;&gt;"",INDEX(DataOB[],FirstRow+ROW()-7,MATCH(AD$6,DataOB[#Headers],0)),"")</f>
        <v/>
      </c>
      <c r="AE500" s="67" t="str">
        <f>IF($B500&lt;&gt;"",INDEX(DataOB[],FirstRow+ROW()-7,MATCH(AE$6,DataOB[#Headers],0)),"")</f>
        <v/>
      </c>
      <c r="AF500" s="26">
        <f t="shared" si="77"/>
        <v>0</v>
      </c>
      <c r="AG500" s="31">
        <f>SUM($T500:T500)</f>
        <v>0</v>
      </c>
      <c r="AH500" s="31">
        <f>SUM($T500:U500)</f>
        <v>0</v>
      </c>
      <c r="AI500" s="31">
        <f>SUM($T500:V500)</f>
        <v>0</v>
      </c>
      <c r="AJ500" s="31">
        <f>SUM($T500:W500)</f>
        <v>0</v>
      </c>
      <c r="AK500" s="31">
        <f>SUM($T500:X500)</f>
        <v>0</v>
      </c>
      <c r="AL500" s="31">
        <f>SUM($T500:Y500)</f>
        <v>0</v>
      </c>
      <c r="AM500" s="31">
        <f>SUM($T500:Z500)</f>
        <v>0</v>
      </c>
      <c r="AN500" s="31">
        <f>SUM($T500:AA500)</f>
        <v>0</v>
      </c>
      <c r="AO500" s="31">
        <f>SUM($T500:AB500)</f>
        <v>0</v>
      </c>
      <c r="AP500" s="31">
        <f>SUM($T500:AC500)</f>
        <v>0</v>
      </c>
      <c r="AQ500" s="31">
        <f>SUM($T500:AD500)</f>
        <v>0</v>
      </c>
      <c r="AR500" s="31">
        <f>SUM($T500:AE500)</f>
        <v>0</v>
      </c>
      <c r="AS500" s="27">
        <f t="shared" si="78"/>
        <v>0</v>
      </c>
    </row>
    <row r="501" spans="2:45">
      <c r="B501" s="102" t="str">
        <f>IF(ROW()-6&gt;NumCostCenter,"",IF(CostCenter&lt;&gt;"ALL",CostCenter,DATA_LF2!B499))</f>
        <v/>
      </c>
      <c r="C501" s="153" t="str">
        <f>IF($B501&lt;&gt;"",INDEX(DataOB[],FirstRow+ROW()-7,2),"")</f>
        <v/>
      </c>
      <c r="D501" s="66" t="str">
        <f>IF($B501&lt;&gt;"",INDEX(DataOB[],FirstRow+ROW()-7,3),"")</f>
        <v/>
      </c>
      <c r="E501" s="103" t="str">
        <f>IF($B501&lt;&gt;"",INDEX(DataOB[],FirstRow+ROW()-7,6),"")</f>
        <v/>
      </c>
      <c r="F501" s="103" t="str">
        <f>IF($B501&lt;&gt;"",INDEX(DataOB[],FirstRow+ROW()-7,5),"")</f>
        <v/>
      </c>
      <c r="G501" s="58">
        <f>IF($B501&lt;&gt;"",SUMIFS(DataAct_tbl[AMOUNT],DataAct_tbl[BG CODE],Detail!$D501,DataAct_tbl[MONTH],LEFT(MonthName,3),DataAct_tbl[Dept code],$B501),0)</f>
        <v>0</v>
      </c>
      <c r="H501" s="31" t="str">
        <f t="shared" si="70"/>
        <v/>
      </c>
      <c r="I501" s="28" t="str">
        <f t="shared" si="71"/>
        <v/>
      </c>
      <c r="J501" s="32" t="str">
        <f t="shared" si="72"/>
        <v/>
      </c>
      <c r="K501" s="86"/>
      <c r="L501" s="62">
        <f>IF($B501&lt;&gt;"",SUMIFS(DataAct_tbl[AMOUNT],DataAct_tbl[BG CODE],Detail!$D501,DataAct_tbl[Check Range],"=true",DataAct_tbl[Dept code],$B501),0)</f>
        <v>0</v>
      </c>
      <c r="M501" s="63">
        <f>INDEX($AG$7:$AR$1005,ROW()-6,MATCH(MTD,$AG$6:$AR$6,0))</f>
        <v>0</v>
      </c>
      <c r="N501" s="34">
        <f t="shared" si="73"/>
        <v>0</v>
      </c>
      <c r="O501" s="64" t="str">
        <f t="shared" si="74"/>
        <v xml:space="preserve"> </v>
      </c>
      <c r="Q501" s="97">
        <f t="shared" si="75"/>
        <v>0</v>
      </c>
      <c r="R501" s="96">
        <f t="shared" si="76"/>
        <v>0</v>
      </c>
      <c r="T501" s="67" t="str">
        <f>IF($B501&lt;&gt;"",INDEX(DataOB[],FirstRow+ROW()-7,MATCH(T$6,DataOB[#Headers],0)),"")</f>
        <v/>
      </c>
      <c r="U501" s="67" t="str">
        <f>IF($B501&lt;&gt;"",INDEX(DataOB[],FirstRow+ROW()-7,MATCH(U$6,DataOB[#Headers],0)),"")</f>
        <v/>
      </c>
      <c r="V501" s="67" t="str">
        <f>IF($B501&lt;&gt;"",INDEX(DataOB[],FirstRow+ROW()-7,MATCH(V$6,DataOB[#Headers],0)),"")</f>
        <v/>
      </c>
      <c r="W501" s="67" t="str">
        <f>IF($B501&lt;&gt;"",INDEX(DataOB[],FirstRow+ROW()-7,MATCH(W$6,DataOB[#Headers],0)),"")</f>
        <v/>
      </c>
      <c r="X501" s="67" t="str">
        <f>IF($B501&lt;&gt;"",INDEX(DataOB[],FirstRow+ROW()-7,MATCH(X$6,DataOB[#Headers],0)),"")</f>
        <v/>
      </c>
      <c r="Y501" s="67" t="str">
        <f>IF($B501&lt;&gt;"",INDEX(DataOB[],FirstRow+ROW()-7,MATCH(Y$6,DataOB[#Headers],0)),"")</f>
        <v/>
      </c>
      <c r="Z501" s="67" t="str">
        <f>IF($B501&lt;&gt;"",INDEX(DataOB[],FirstRow+ROW()-7,MATCH(Z$6,DataOB[#Headers],0)),"")</f>
        <v/>
      </c>
      <c r="AA501" s="67" t="str">
        <f>IF($B501&lt;&gt;"",INDEX(DataOB[],FirstRow+ROW()-7,MATCH(AA$6,DataOB[#Headers],0)),"")</f>
        <v/>
      </c>
      <c r="AB501" s="67" t="str">
        <f>IF($B501&lt;&gt;"",INDEX(DataOB[],FirstRow+ROW()-7,MATCH(AB$6,DataOB[#Headers],0)),"")</f>
        <v/>
      </c>
      <c r="AC501" s="67" t="str">
        <f>IF($B501&lt;&gt;"",INDEX(DataOB[],FirstRow+ROW()-7,MATCH(AC$6,DataOB[#Headers],0)),"")</f>
        <v/>
      </c>
      <c r="AD501" s="67" t="str">
        <f>IF($B501&lt;&gt;"",INDEX(DataOB[],FirstRow+ROW()-7,MATCH(AD$6,DataOB[#Headers],0)),"")</f>
        <v/>
      </c>
      <c r="AE501" s="67" t="str">
        <f>IF($B501&lt;&gt;"",INDEX(DataOB[],FirstRow+ROW()-7,MATCH(AE$6,DataOB[#Headers],0)),"")</f>
        <v/>
      </c>
      <c r="AF501" s="26">
        <f t="shared" si="77"/>
        <v>0</v>
      </c>
      <c r="AG501" s="31">
        <f>SUM($T501:T501)</f>
        <v>0</v>
      </c>
      <c r="AH501" s="31">
        <f>SUM($T501:U501)</f>
        <v>0</v>
      </c>
      <c r="AI501" s="31">
        <f>SUM($T501:V501)</f>
        <v>0</v>
      </c>
      <c r="AJ501" s="31">
        <f>SUM($T501:W501)</f>
        <v>0</v>
      </c>
      <c r="AK501" s="31">
        <f>SUM($T501:X501)</f>
        <v>0</v>
      </c>
      <c r="AL501" s="31">
        <f>SUM($T501:Y501)</f>
        <v>0</v>
      </c>
      <c r="AM501" s="31">
        <f>SUM($T501:Z501)</f>
        <v>0</v>
      </c>
      <c r="AN501" s="31">
        <f>SUM($T501:AA501)</f>
        <v>0</v>
      </c>
      <c r="AO501" s="31">
        <f>SUM($T501:AB501)</f>
        <v>0</v>
      </c>
      <c r="AP501" s="31">
        <f>SUM($T501:AC501)</f>
        <v>0</v>
      </c>
      <c r="AQ501" s="31">
        <f>SUM($T501:AD501)</f>
        <v>0</v>
      </c>
      <c r="AR501" s="31">
        <f>SUM($T501:AE501)</f>
        <v>0</v>
      </c>
      <c r="AS501" s="27">
        <f t="shared" si="78"/>
        <v>0</v>
      </c>
    </row>
    <row r="502" spans="2:45">
      <c r="B502" s="102" t="str">
        <f>IF(ROW()-6&gt;NumCostCenter,"",IF(CostCenter&lt;&gt;"ALL",CostCenter,DATA_LF2!B500))</f>
        <v/>
      </c>
      <c r="C502" s="153" t="str">
        <f>IF($B502&lt;&gt;"",INDEX(DataOB[],FirstRow+ROW()-7,2),"")</f>
        <v/>
      </c>
      <c r="D502" s="66" t="str">
        <f>IF($B502&lt;&gt;"",INDEX(DataOB[],FirstRow+ROW()-7,3),"")</f>
        <v/>
      </c>
      <c r="E502" s="103" t="str">
        <f>IF($B502&lt;&gt;"",INDEX(DataOB[],FirstRow+ROW()-7,6),"")</f>
        <v/>
      </c>
      <c r="F502" s="103" t="str">
        <f>IF($B502&lt;&gt;"",INDEX(DataOB[],FirstRow+ROW()-7,5),"")</f>
        <v/>
      </c>
      <c r="G502" s="58">
        <f>IF($B502&lt;&gt;"",SUMIFS(DataAct_tbl[AMOUNT],DataAct_tbl[BG CODE],Detail!$D502,DataAct_tbl[MONTH],LEFT(MonthName,3),DataAct_tbl[Dept code],$B502),0)</f>
        <v>0</v>
      </c>
      <c r="H502" s="31" t="str">
        <f t="shared" si="70"/>
        <v/>
      </c>
      <c r="I502" s="28" t="str">
        <f t="shared" si="71"/>
        <v/>
      </c>
      <c r="J502" s="32" t="str">
        <f t="shared" si="72"/>
        <v/>
      </c>
      <c r="K502" s="86"/>
      <c r="L502" s="62">
        <f>IF($B502&lt;&gt;"",SUMIFS(DataAct_tbl[AMOUNT],DataAct_tbl[BG CODE],Detail!$D502,DataAct_tbl[Check Range],"=true",DataAct_tbl[Dept code],$B502),0)</f>
        <v>0</v>
      </c>
      <c r="M502" s="63">
        <f>INDEX($AG$7:$AR$1005,ROW()-6,MATCH(MTD,$AG$6:$AR$6,0))</f>
        <v>0</v>
      </c>
      <c r="N502" s="34">
        <f t="shared" si="73"/>
        <v>0</v>
      </c>
      <c r="O502" s="64" t="str">
        <f t="shared" si="74"/>
        <v xml:space="preserve"> </v>
      </c>
      <c r="Q502" s="97">
        <f t="shared" si="75"/>
        <v>0</v>
      </c>
      <c r="R502" s="96">
        <f t="shared" si="76"/>
        <v>0</v>
      </c>
      <c r="T502" s="67" t="str">
        <f>IF($B502&lt;&gt;"",INDEX(DataOB[],FirstRow+ROW()-7,MATCH(T$6,DataOB[#Headers],0)),"")</f>
        <v/>
      </c>
      <c r="U502" s="67" t="str">
        <f>IF($B502&lt;&gt;"",INDEX(DataOB[],FirstRow+ROW()-7,MATCH(U$6,DataOB[#Headers],0)),"")</f>
        <v/>
      </c>
      <c r="V502" s="67" t="str">
        <f>IF($B502&lt;&gt;"",INDEX(DataOB[],FirstRow+ROW()-7,MATCH(V$6,DataOB[#Headers],0)),"")</f>
        <v/>
      </c>
      <c r="W502" s="67" t="str">
        <f>IF($B502&lt;&gt;"",INDEX(DataOB[],FirstRow+ROW()-7,MATCH(W$6,DataOB[#Headers],0)),"")</f>
        <v/>
      </c>
      <c r="X502" s="67" t="str">
        <f>IF($B502&lt;&gt;"",INDEX(DataOB[],FirstRow+ROW()-7,MATCH(X$6,DataOB[#Headers],0)),"")</f>
        <v/>
      </c>
      <c r="Y502" s="67" t="str">
        <f>IF($B502&lt;&gt;"",INDEX(DataOB[],FirstRow+ROW()-7,MATCH(Y$6,DataOB[#Headers],0)),"")</f>
        <v/>
      </c>
      <c r="Z502" s="67" t="str">
        <f>IF($B502&lt;&gt;"",INDEX(DataOB[],FirstRow+ROW()-7,MATCH(Z$6,DataOB[#Headers],0)),"")</f>
        <v/>
      </c>
      <c r="AA502" s="67" t="str">
        <f>IF($B502&lt;&gt;"",INDEX(DataOB[],FirstRow+ROW()-7,MATCH(AA$6,DataOB[#Headers],0)),"")</f>
        <v/>
      </c>
      <c r="AB502" s="67" t="str">
        <f>IF($B502&lt;&gt;"",INDEX(DataOB[],FirstRow+ROW()-7,MATCH(AB$6,DataOB[#Headers],0)),"")</f>
        <v/>
      </c>
      <c r="AC502" s="67" t="str">
        <f>IF($B502&lt;&gt;"",INDEX(DataOB[],FirstRow+ROW()-7,MATCH(AC$6,DataOB[#Headers],0)),"")</f>
        <v/>
      </c>
      <c r="AD502" s="67" t="str">
        <f>IF($B502&lt;&gt;"",INDEX(DataOB[],FirstRow+ROW()-7,MATCH(AD$6,DataOB[#Headers],0)),"")</f>
        <v/>
      </c>
      <c r="AE502" s="67" t="str">
        <f>IF($B502&lt;&gt;"",INDEX(DataOB[],FirstRow+ROW()-7,MATCH(AE$6,DataOB[#Headers],0)),"")</f>
        <v/>
      </c>
      <c r="AF502" s="26">
        <f t="shared" si="77"/>
        <v>0</v>
      </c>
      <c r="AG502" s="31">
        <f>SUM($T502:T502)</f>
        <v>0</v>
      </c>
      <c r="AH502" s="31">
        <f>SUM($T502:U502)</f>
        <v>0</v>
      </c>
      <c r="AI502" s="31">
        <f>SUM($T502:V502)</f>
        <v>0</v>
      </c>
      <c r="AJ502" s="31">
        <f>SUM($T502:W502)</f>
        <v>0</v>
      </c>
      <c r="AK502" s="31">
        <f>SUM($T502:X502)</f>
        <v>0</v>
      </c>
      <c r="AL502" s="31">
        <f>SUM($T502:Y502)</f>
        <v>0</v>
      </c>
      <c r="AM502" s="31">
        <f>SUM($T502:Z502)</f>
        <v>0</v>
      </c>
      <c r="AN502" s="31">
        <f>SUM($T502:AA502)</f>
        <v>0</v>
      </c>
      <c r="AO502" s="31">
        <f>SUM($T502:AB502)</f>
        <v>0</v>
      </c>
      <c r="AP502" s="31">
        <f>SUM($T502:AC502)</f>
        <v>0</v>
      </c>
      <c r="AQ502" s="31">
        <f>SUM($T502:AD502)</f>
        <v>0</v>
      </c>
      <c r="AR502" s="31">
        <f>SUM($T502:AE502)</f>
        <v>0</v>
      </c>
      <c r="AS502" s="27">
        <f t="shared" si="78"/>
        <v>0</v>
      </c>
    </row>
    <row r="503" spans="2:45">
      <c r="B503" s="102" t="str">
        <f>IF(ROW()-6&gt;NumCostCenter,"",IF(CostCenter&lt;&gt;"ALL",CostCenter,DATA_LF2!B501))</f>
        <v/>
      </c>
      <c r="C503" s="153" t="str">
        <f>IF($B503&lt;&gt;"",INDEX(DataOB[],FirstRow+ROW()-7,2),"")</f>
        <v/>
      </c>
      <c r="D503" s="66" t="str">
        <f>IF($B503&lt;&gt;"",INDEX(DataOB[],FirstRow+ROW()-7,3),"")</f>
        <v/>
      </c>
      <c r="E503" s="103" t="str">
        <f>IF($B503&lt;&gt;"",INDEX(DataOB[],FirstRow+ROW()-7,6),"")</f>
        <v/>
      </c>
      <c r="F503" s="103" t="str">
        <f>IF($B503&lt;&gt;"",INDEX(DataOB[],FirstRow+ROW()-7,5),"")</f>
        <v/>
      </c>
      <c r="G503" s="58">
        <f>IF($B503&lt;&gt;"",SUMIFS(DataAct_tbl[AMOUNT],DataAct_tbl[BG CODE],Detail!$D503,DataAct_tbl[MONTH],LEFT(MonthName,3),DataAct_tbl[Dept code],$B503),0)</f>
        <v>0</v>
      </c>
      <c r="H503" s="31" t="str">
        <f t="shared" si="70"/>
        <v/>
      </c>
      <c r="I503" s="28" t="str">
        <f t="shared" si="71"/>
        <v/>
      </c>
      <c r="J503" s="32" t="str">
        <f t="shared" si="72"/>
        <v/>
      </c>
      <c r="K503" s="86"/>
      <c r="L503" s="62">
        <f>IF($B503&lt;&gt;"",SUMIFS(DataAct_tbl[AMOUNT],DataAct_tbl[BG CODE],Detail!$D503,DataAct_tbl[Check Range],"=true",DataAct_tbl[Dept code],$B503),0)</f>
        <v>0</v>
      </c>
      <c r="M503" s="63">
        <f>INDEX($AG$7:$AR$1005,ROW()-6,MATCH(MTD,$AG$6:$AR$6,0))</f>
        <v>0</v>
      </c>
      <c r="N503" s="34">
        <f t="shared" si="73"/>
        <v>0</v>
      </c>
      <c r="O503" s="64" t="str">
        <f t="shared" si="74"/>
        <v xml:space="preserve"> </v>
      </c>
      <c r="Q503" s="97">
        <f t="shared" si="75"/>
        <v>0</v>
      </c>
      <c r="R503" s="96">
        <f t="shared" si="76"/>
        <v>0</v>
      </c>
      <c r="T503" s="67" t="str">
        <f>IF($B503&lt;&gt;"",INDEX(DataOB[],FirstRow+ROW()-7,MATCH(T$6,DataOB[#Headers],0)),"")</f>
        <v/>
      </c>
      <c r="U503" s="67" t="str">
        <f>IF($B503&lt;&gt;"",INDEX(DataOB[],FirstRow+ROW()-7,MATCH(U$6,DataOB[#Headers],0)),"")</f>
        <v/>
      </c>
      <c r="V503" s="67" t="str">
        <f>IF($B503&lt;&gt;"",INDEX(DataOB[],FirstRow+ROW()-7,MATCH(V$6,DataOB[#Headers],0)),"")</f>
        <v/>
      </c>
      <c r="W503" s="67" t="str">
        <f>IF($B503&lt;&gt;"",INDEX(DataOB[],FirstRow+ROW()-7,MATCH(W$6,DataOB[#Headers],0)),"")</f>
        <v/>
      </c>
      <c r="X503" s="67" t="str">
        <f>IF($B503&lt;&gt;"",INDEX(DataOB[],FirstRow+ROW()-7,MATCH(X$6,DataOB[#Headers],0)),"")</f>
        <v/>
      </c>
      <c r="Y503" s="67" t="str">
        <f>IF($B503&lt;&gt;"",INDEX(DataOB[],FirstRow+ROW()-7,MATCH(Y$6,DataOB[#Headers],0)),"")</f>
        <v/>
      </c>
      <c r="Z503" s="67" t="str">
        <f>IF($B503&lt;&gt;"",INDEX(DataOB[],FirstRow+ROW()-7,MATCH(Z$6,DataOB[#Headers],0)),"")</f>
        <v/>
      </c>
      <c r="AA503" s="67" t="str">
        <f>IF($B503&lt;&gt;"",INDEX(DataOB[],FirstRow+ROW()-7,MATCH(AA$6,DataOB[#Headers],0)),"")</f>
        <v/>
      </c>
      <c r="AB503" s="67" t="str">
        <f>IF($B503&lt;&gt;"",INDEX(DataOB[],FirstRow+ROW()-7,MATCH(AB$6,DataOB[#Headers],0)),"")</f>
        <v/>
      </c>
      <c r="AC503" s="67" t="str">
        <f>IF($B503&lt;&gt;"",INDEX(DataOB[],FirstRow+ROW()-7,MATCH(AC$6,DataOB[#Headers],0)),"")</f>
        <v/>
      </c>
      <c r="AD503" s="67" t="str">
        <f>IF($B503&lt;&gt;"",INDEX(DataOB[],FirstRow+ROW()-7,MATCH(AD$6,DataOB[#Headers],0)),"")</f>
        <v/>
      </c>
      <c r="AE503" s="67" t="str">
        <f>IF($B503&lt;&gt;"",INDEX(DataOB[],FirstRow+ROW()-7,MATCH(AE$6,DataOB[#Headers],0)),"")</f>
        <v/>
      </c>
      <c r="AF503" s="26">
        <f t="shared" si="77"/>
        <v>0</v>
      </c>
      <c r="AG503" s="31">
        <f>SUM($T503:T503)</f>
        <v>0</v>
      </c>
      <c r="AH503" s="31">
        <f>SUM($T503:U503)</f>
        <v>0</v>
      </c>
      <c r="AI503" s="31">
        <f>SUM($T503:V503)</f>
        <v>0</v>
      </c>
      <c r="AJ503" s="31">
        <f>SUM($T503:W503)</f>
        <v>0</v>
      </c>
      <c r="AK503" s="31">
        <f>SUM($T503:X503)</f>
        <v>0</v>
      </c>
      <c r="AL503" s="31">
        <f>SUM($T503:Y503)</f>
        <v>0</v>
      </c>
      <c r="AM503" s="31">
        <f>SUM($T503:Z503)</f>
        <v>0</v>
      </c>
      <c r="AN503" s="31">
        <f>SUM($T503:AA503)</f>
        <v>0</v>
      </c>
      <c r="AO503" s="31">
        <f>SUM($T503:AB503)</f>
        <v>0</v>
      </c>
      <c r="AP503" s="31">
        <f>SUM($T503:AC503)</f>
        <v>0</v>
      </c>
      <c r="AQ503" s="31">
        <f>SUM($T503:AD503)</f>
        <v>0</v>
      </c>
      <c r="AR503" s="31">
        <f>SUM($T503:AE503)</f>
        <v>0</v>
      </c>
      <c r="AS503" s="27">
        <f t="shared" si="78"/>
        <v>0</v>
      </c>
    </row>
    <row r="504" spans="2:45">
      <c r="B504" s="102" t="str">
        <f>IF(ROW()-6&gt;NumCostCenter,"",IF(CostCenter&lt;&gt;"ALL",CostCenter,DATA_LF2!B502))</f>
        <v/>
      </c>
      <c r="C504" s="153" t="str">
        <f>IF($B504&lt;&gt;"",INDEX(DataOB[],FirstRow+ROW()-7,2),"")</f>
        <v/>
      </c>
      <c r="D504" s="66" t="str">
        <f>IF($B504&lt;&gt;"",INDEX(DataOB[],FirstRow+ROW()-7,3),"")</f>
        <v/>
      </c>
      <c r="E504" s="103" t="str">
        <f>IF($B504&lt;&gt;"",INDEX(DataOB[],FirstRow+ROW()-7,6),"")</f>
        <v/>
      </c>
      <c r="F504" s="103" t="str">
        <f>IF($B504&lt;&gt;"",INDEX(DataOB[],FirstRow+ROW()-7,5),"")</f>
        <v/>
      </c>
      <c r="G504" s="58">
        <f>IF($B504&lt;&gt;"",SUMIFS(DataAct_tbl[AMOUNT],DataAct_tbl[BG CODE],Detail!$D504,DataAct_tbl[MONTH],LEFT(MonthName,3),DataAct_tbl[Dept code],$B504),0)</f>
        <v>0</v>
      </c>
      <c r="H504" s="31" t="str">
        <f t="shared" si="70"/>
        <v/>
      </c>
      <c r="I504" s="28" t="str">
        <f t="shared" si="71"/>
        <v/>
      </c>
      <c r="J504" s="32" t="str">
        <f t="shared" si="72"/>
        <v/>
      </c>
      <c r="K504" s="86"/>
      <c r="L504" s="62">
        <f>IF($B504&lt;&gt;"",SUMIFS(DataAct_tbl[AMOUNT],DataAct_tbl[BG CODE],Detail!$D504,DataAct_tbl[Check Range],"=true",DataAct_tbl[Dept code],$B504),0)</f>
        <v>0</v>
      </c>
      <c r="M504" s="63">
        <f>INDEX($AG$7:$AR$1005,ROW()-6,MATCH(MTD,$AG$6:$AR$6,0))</f>
        <v>0</v>
      </c>
      <c r="N504" s="34">
        <f t="shared" si="73"/>
        <v>0</v>
      </c>
      <c r="O504" s="64" t="str">
        <f t="shared" si="74"/>
        <v xml:space="preserve"> </v>
      </c>
      <c r="Q504" s="97">
        <f t="shared" si="75"/>
        <v>0</v>
      </c>
      <c r="R504" s="96">
        <f t="shared" si="76"/>
        <v>0</v>
      </c>
      <c r="T504" s="67" t="str">
        <f>IF($B504&lt;&gt;"",INDEX(DataOB[],FirstRow+ROW()-7,MATCH(T$6,DataOB[#Headers],0)),"")</f>
        <v/>
      </c>
      <c r="U504" s="67" t="str">
        <f>IF($B504&lt;&gt;"",INDEX(DataOB[],FirstRow+ROW()-7,MATCH(U$6,DataOB[#Headers],0)),"")</f>
        <v/>
      </c>
      <c r="V504" s="67" t="str">
        <f>IF($B504&lt;&gt;"",INDEX(DataOB[],FirstRow+ROW()-7,MATCH(V$6,DataOB[#Headers],0)),"")</f>
        <v/>
      </c>
      <c r="W504" s="67" t="str">
        <f>IF($B504&lt;&gt;"",INDEX(DataOB[],FirstRow+ROW()-7,MATCH(W$6,DataOB[#Headers],0)),"")</f>
        <v/>
      </c>
      <c r="X504" s="67" t="str">
        <f>IF($B504&lt;&gt;"",INDEX(DataOB[],FirstRow+ROW()-7,MATCH(X$6,DataOB[#Headers],0)),"")</f>
        <v/>
      </c>
      <c r="Y504" s="67" t="str">
        <f>IF($B504&lt;&gt;"",INDEX(DataOB[],FirstRow+ROW()-7,MATCH(Y$6,DataOB[#Headers],0)),"")</f>
        <v/>
      </c>
      <c r="Z504" s="67" t="str">
        <f>IF($B504&lt;&gt;"",INDEX(DataOB[],FirstRow+ROW()-7,MATCH(Z$6,DataOB[#Headers],0)),"")</f>
        <v/>
      </c>
      <c r="AA504" s="67" t="str">
        <f>IF($B504&lt;&gt;"",INDEX(DataOB[],FirstRow+ROW()-7,MATCH(AA$6,DataOB[#Headers],0)),"")</f>
        <v/>
      </c>
      <c r="AB504" s="67" t="str">
        <f>IF($B504&lt;&gt;"",INDEX(DataOB[],FirstRow+ROW()-7,MATCH(AB$6,DataOB[#Headers],0)),"")</f>
        <v/>
      </c>
      <c r="AC504" s="67" t="str">
        <f>IF($B504&lt;&gt;"",INDEX(DataOB[],FirstRow+ROW()-7,MATCH(AC$6,DataOB[#Headers],0)),"")</f>
        <v/>
      </c>
      <c r="AD504" s="67" t="str">
        <f>IF($B504&lt;&gt;"",INDEX(DataOB[],FirstRow+ROW()-7,MATCH(AD$6,DataOB[#Headers],0)),"")</f>
        <v/>
      </c>
      <c r="AE504" s="67" t="str">
        <f>IF($B504&lt;&gt;"",INDEX(DataOB[],FirstRow+ROW()-7,MATCH(AE$6,DataOB[#Headers],0)),"")</f>
        <v/>
      </c>
      <c r="AF504" s="26">
        <f t="shared" si="77"/>
        <v>0</v>
      </c>
      <c r="AG504" s="31">
        <f>SUM($T504:T504)</f>
        <v>0</v>
      </c>
      <c r="AH504" s="31">
        <f>SUM($T504:U504)</f>
        <v>0</v>
      </c>
      <c r="AI504" s="31">
        <f>SUM($T504:V504)</f>
        <v>0</v>
      </c>
      <c r="AJ504" s="31">
        <f>SUM($T504:W504)</f>
        <v>0</v>
      </c>
      <c r="AK504" s="31">
        <f>SUM($T504:X504)</f>
        <v>0</v>
      </c>
      <c r="AL504" s="31">
        <f>SUM($T504:Y504)</f>
        <v>0</v>
      </c>
      <c r="AM504" s="31">
        <f>SUM($T504:Z504)</f>
        <v>0</v>
      </c>
      <c r="AN504" s="31">
        <f>SUM($T504:AA504)</f>
        <v>0</v>
      </c>
      <c r="AO504" s="31">
        <f>SUM($T504:AB504)</f>
        <v>0</v>
      </c>
      <c r="AP504" s="31">
        <f>SUM($T504:AC504)</f>
        <v>0</v>
      </c>
      <c r="AQ504" s="31">
        <f>SUM($T504:AD504)</f>
        <v>0</v>
      </c>
      <c r="AR504" s="31">
        <f>SUM($T504:AE504)</f>
        <v>0</v>
      </c>
      <c r="AS504" s="27">
        <f t="shared" si="78"/>
        <v>0</v>
      </c>
    </row>
    <row r="505" spans="2:45">
      <c r="B505" s="102" t="str">
        <f>IF(ROW()-6&gt;NumCostCenter,"",IF(CostCenter&lt;&gt;"ALL",CostCenter,DATA_LF2!B503))</f>
        <v/>
      </c>
      <c r="C505" s="153" t="str">
        <f>IF($B505&lt;&gt;"",INDEX(DataOB[],FirstRow+ROW()-7,2),"")</f>
        <v/>
      </c>
      <c r="D505" s="66" t="str">
        <f>IF($B505&lt;&gt;"",INDEX(DataOB[],FirstRow+ROW()-7,3),"")</f>
        <v/>
      </c>
      <c r="E505" s="103" t="str">
        <f>IF($B505&lt;&gt;"",INDEX(DataOB[],FirstRow+ROW()-7,6),"")</f>
        <v/>
      </c>
      <c r="F505" s="103" t="str">
        <f>IF($B505&lt;&gt;"",INDEX(DataOB[],FirstRow+ROW()-7,5),"")</f>
        <v/>
      </c>
      <c r="G505" s="58">
        <f>IF($B505&lt;&gt;"",SUMIFS(DataAct_tbl[AMOUNT],DataAct_tbl[BG CODE],Detail!$D505,DataAct_tbl[MONTH],LEFT(MonthName,3),DataAct_tbl[Dept code],$B505),0)</f>
        <v>0</v>
      </c>
      <c r="H505" s="31" t="str">
        <f t="shared" si="70"/>
        <v/>
      </c>
      <c r="I505" s="28" t="str">
        <f t="shared" si="71"/>
        <v/>
      </c>
      <c r="J505" s="32" t="str">
        <f t="shared" si="72"/>
        <v/>
      </c>
      <c r="K505" s="86"/>
      <c r="L505" s="62">
        <f>IF($B505&lt;&gt;"",SUMIFS(DataAct_tbl[AMOUNT],DataAct_tbl[BG CODE],Detail!$D505,DataAct_tbl[Check Range],"=true",DataAct_tbl[Dept code],$B505),0)</f>
        <v>0</v>
      </c>
      <c r="M505" s="63">
        <f>INDEX($AG$7:$AR$1005,ROW()-6,MATCH(MTD,$AG$6:$AR$6,0))</f>
        <v>0</v>
      </c>
      <c r="N505" s="34">
        <f t="shared" si="73"/>
        <v>0</v>
      </c>
      <c r="O505" s="64" t="str">
        <f t="shared" si="74"/>
        <v xml:space="preserve"> </v>
      </c>
      <c r="Q505" s="97">
        <f t="shared" si="75"/>
        <v>0</v>
      </c>
      <c r="R505" s="96">
        <f t="shared" si="76"/>
        <v>0</v>
      </c>
      <c r="T505" s="67" t="str">
        <f>IF($B505&lt;&gt;"",INDEX(DataOB[],FirstRow+ROW()-7,MATCH(T$6,DataOB[#Headers],0)),"")</f>
        <v/>
      </c>
      <c r="U505" s="67" t="str">
        <f>IF($B505&lt;&gt;"",INDEX(DataOB[],FirstRow+ROW()-7,MATCH(U$6,DataOB[#Headers],0)),"")</f>
        <v/>
      </c>
      <c r="V505" s="67" t="str">
        <f>IF($B505&lt;&gt;"",INDEX(DataOB[],FirstRow+ROW()-7,MATCH(V$6,DataOB[#Headers],0)),"")</f>
        <v/>
      </c>
      <c r="W505" s="67" t="str">
        <f>IF($B505&lt;&gt;"",INDEX(DataOB[],FirstRow+ROW()-7,MATCH(W$6,DataOB[#Headers],0)),"")</f>
        <v/>
      </c>
      <c r="X505" s="67" t="str">
        <f>IF($B505&lt;&gt;"",INDEX(DataOB[],FirstRow+ROW()-7,MATCH(X$6,DataOB[#Headers],0)),"")</f>
        <v/>
      </c>
      <c r="Y505" s="67" t="str">
        <f>IF($B505&lt;&gt;"",INDEX(DataOB[],FirstRow+ROW()-7,MATCH(Y$6,DataOB[#Headers],0)),"")</f>
        <v/>
      </c>
      <c r="Z505" s="67" t="str">
        <f>IF($B505&lt;&gt;"",INDEX(DataOB[],FirstRow+ROW()-7,MATCH(Z$6,DataOB[#Headers],0)),"")</f>
        <v/>
      </c>
      <c r="AA505" s="67" t="str">
        <f>IF($B505&lt;&gt;"",INDEX(DataOB[],FirstRow+ROW()-7,MATCH(AA$6,DataOB[#Headers],0)),"")</f>
        <v/>
      </c>
      <c r="AB505" s="67" t="str">
        <f>IF($B505&lt;&gt;"",INDEX(DataOB[],FirstRow+ROW()-7,MATCH(AB$6,DataOB[#Headers],0)),"")</f>
        <v/>
      </c>
      <c r="AC505" s="67" t="str">
        <f>IF($B505&lt;&gt;"",INDEX(DataOB[],FirstRow+ROW()-7,MATCH(AC$6,DataOB[#Headers],0)),"")</f>
        <v/>
      </c>
      <c r="AD505" s="67" t="str">
        <f>IF($B505&lt;&gt;"",INDEX(DataOB[],FirstRow+ROW()-7,MATCH(AD$6,DataOB[#Headers],0)),"")</f>
        <v/>
      </c>
      <c r="AE505" s="67" t="str">
        <f>IF($B505&lt;&gt;"",INDEX(DataOB[],FirstRow+ROW()-7,MATCH(AE$6,DataOB[#Headers],0)),"")</f>
        <v/>
      </c>
      <c r="AF505" s="26">
        <f t="shared" si="77"/>
        <v>0</v>
      </c>
      <c r="AG505" s="31">
        <f>SUM($T505:T505)</f>
        <v>0</v>
      </c>
      <c r="AH505" s="31">
        <f>SUM($T505:U505)</f>
        <v>0</v>
      </c>
      <c r="AI505" s="31">
        <f>SUM($T505:V505)</f>
        <v>0</v>
      </c>
      <c r="AJ505" s="31">
        <f>SUM($T505:W505)</f>
        <v>0</v>
      </c>
      <c r="AK505" s="31">
        <f>SUM($T505:X505)</f>
        <v>0</v>
      </c>
      <c r="AL505" s="31">
        <f>SUM($T505:Y505)</f>
        <v>0</v>
      </c>
      <c r="AM505" s="31">
        <f>SUM($T505:Z505)</f>
        <v>0</v>
      </c>
      <c r="AN505" s="31">
        <f>SUM($T505:AA505)</f>
        <v>0</v>
      </c>
      <c r="AO505" s="31">
        <f>SUM($T505:AB505)</f>
        <v>0</v>
      </c>
      <c r="AP505" s="31">
        <f>SUM($T505:AC505)</f>
        <v>0</v>
      </c>
      <c r="AQ505" s="31">
        <f>SUM($T505:AD505)</f>
        <v>0</v>
      </c>
      <c r="AR505" s="31">
        <f>SUM($T505:AE505)</f>
        <v>0</v>
      </c>
      <c r="AS505" s="27">
        <f t="shared" si="78"/>
        <v>0</v>
      </c>
    </row>
    <row r="506" spans="2:45">
      <c r="B506" s="102" t="str">
        <f>IF(ROW()-6&gt;NumCostCenter,"",IF(CostCenter&lt;&gt;"ALL",CostCenter,DATA_LF2!B504))</f>
        <v/>
      </c>
      <c r="C506" s="153" t="str">
        <f>IF($B506&lt;&gt;"",INDEX(DataOB[],FirstRow+ROW()-7,2),"")</f>
        <v/>
      </c>
      <c r="D506" s="66" t="str">
        <f>IF($B506&lt;&gt;"",INDEX(DataOB[],FirstRow+ROW()-7,3),"")</f>
        <v/>
      </c>
      <c r="E506" s="103" t="str">
        <f>IF($B506&lt;&gt;"",INDEX(DataOB[],FirstRow+ROW()-7,6),"")</f>
        <v/>
      </c>
      <c r="F506" s="103" t="str">
        <f>IF($B506&lt;&gt;"",INDEX(DataOB[],FirstRow+ROW()-7,5),"")</f>
        <v/>
      </c>
      <c r="G506" s="58">
        <f>IF($B506&lt;&gt;"",SUMIFS(DataAct_tbl[AMOUNT],DataAct_tbl[BG CODE],Detail!$D506,DataAct_tbl[MONTH],LEFT(MonthName,3),DataAct_tbl[Dept code],$B506),0)</f>
        <v>0</v>
      </c>
      <c r="H506" s="31" t="str">
        <f t="shared" si="70"/>
        <v/>
      </c>
      <c r="I506" s="28" t="str">
        <f t="shared" si="71"/>
        <v/>
      </c>
      <c r="J506" s="32" t="str">
        <f t="shared" si="72"/>
        <v/>
      </c>
      <c r="K506" s="86"/>
      <c r="L506" s="62">
        <f>IF($B506&lt;&gt;"",SUMIFS(DataAct_tbl[AMOUNT],DataAct_tbl[BG CODE],Detail!$D506,DataAct_tbl[Check Range],"=true",DataAct_tbl[Dept code],$B506),0)</f>
        <v>0</v>
      </c>
      <c r="M506" s="63">
        <f>INDEX($AG$7:$AR$1005,ROW()-6,MATCH(MTD,$AG$6:$AR$6,0))</f>
        <v>0</v>
      </c>
      <c r="N506" s="34">
        <f t="shared" si="73"/>
        <v>0</v>
      </c>
      <c r="O506" s="64" t="str">
        <f t="shared" si="74"/>
        <v xml:space="preserve"> </v>
      </c>
      <c r="Q506" s="97">
        <f t="shared" si="75"/>
        <v>0</v>
      </c>
      <c r="R506" s="96">
        <f t="shared" si="76"/>
        <v>0</v>
      </c>
      <c r="T506" s="67" t="str">
        <f>IF($B506&lt;&gt;"",INDEX(DataOB[],FirstRow+ROW()-7,MATCH(T$6,DataOB[#Headers],0)),"")</f>
        <v/>
      </c>
      <c r="U506" s="67" t="str">
        <f>IF($B506&lt;&gt;"",INDEX(DataOB[],FirstRow+ROW()-7,MATCH(U$6,DataOB[#Headers],0)),"")</f>
        <v/>
      </c>
      <c r="V506" s="67" t="str">
        <f>IF($B506&lt;&gt;"",INDEX(DataOB[],FirstRow+ROW()-7,MATCH(V$6,DataOB[#Headers],0)),"")</f>
        <v/>
      </c>
      <c r="W506" s="67" t="str">
        <f>IF($B506&lt;&gt;"",INDEX(DataOB[],FirstRow+ROW()-7,MATCH(W$6,DataOB[#Headers],0)),"")</f>
        <v/>
      </c>
      <c r="X506" s="67" t="str">
        <f>IF($B506&lt;&gt;"",INDEX(DataOB[],FirstRow+ROW()-7,MATCH(X$6,DataOB[#Headers],0)),"")</f>
        <v/>
      </c>
      <c r="Y506" s="67" t="str">
        <f>IF($B506&lt;&gt;"",INDEX(DataOB[],FirstRow+ROW()-7,MATCH(Y$6,DataOB[#Headers],0)),"")</f>
        <v/>
      </c>
      <c r="Z506" s="67" t="str">
        <f>IF($B506&lt;&gt;"",INDEX(DataOB[],FirstRow+ROW()-7,MATCH(Z$6,DataOB[#Headers],0)),"")</f>
        <v/>
      </c>
      <c r="AA506" s="67" t="str">
        <f>IF($B506&lt;&gt;"",INDEX(DataOB[],FirstRow+ROW()-7,MATCH(AA$6,DataOB[#Headers],0)),"")</f>
        <v/>
      </c>
      <c r="AB506" s="67" t="str">
        <f>IF($B506&lt;&gt;"",INDEX(DataOB[],FirstRow+ROW()-7,MATCH(AB$6,DataOB[#Headers],0)),"")</f>
        <v/>
      </c>
      <c r="AC506" s="67" t="str">
        <f>IF($B506&lt;&gt;"",INDEX(DataOB[],FirstRow+ROW()-7,MATCH(AC$6,DataOB[#Headers],0)),"")</f>
        <v/>
      </c>
      <c r="AD506" s="67" t="str">
        <f>IF($B506&lt;&gt;"",INDEX(DataOB[],FirstRow+ROW()-7,MATCH(AD$6,DataOB[#Headers],0)),"")</f>
        <v/>
      </c>
      <c r="AE506" s="67" t="str">
        <f>IF($B506&lt;&gt;"",INDEX(DataOB[],FirstRow+ROW()-7,MATCH(AE$6,DataOB[#Headers],0)),"")</f>
        <v/>
      </c>
      <c r="AF506" s="26">
        <f t="shared" si="77"/>
        <v>0</v>
      </c>
      <c r="AG506" s="31">
        <f>SUM($T506:T506)</f>
        <v>0</v>
      </c>
      <c r="AH506" s="31">
        <f>SUM($T506:U506)</f>
        <v>0</v>
      </c>
      <c r="AI506" s="31">
        <f>SUM($T506:V506)</f>
        <v>0</v>
      </c>
      <c r="AJ506" s="31">
        <f>SUM($T506:W506)</f>
        <v>0</v>
      </c>
      <c r="AK506" s="31">
        <f>SUM($T506:X506)</f>
        <v>0</v>
      </c>
      <c r="AL506" s="31">
        <f>SUM($T506:Y506)</f>
        <v>0</v>
      </c>
      <c r="AM506" s="31">
        <f>SUM($T506:Z506)</f>
        <v>0</v>
      </c>
      <c r="AN506" s="31">
        <f>SUM($T506:AA506)</f>
        <v>0</v>
      </c>
      <c r="AO506" s="31">
        <f>SUM($T506:AB506)</f>
        <v>0</v>
      </c>
      <c r="AP506" s="31">
        <f>SUM($T506:AC506)</f>
        <v>0</v>
      </c>
      <c r="AQ506" s="31">
        <f>SUM($T506:AD506)</f>
        <v>0</v>
      </c>
      <c r="AR506" s="31">
        <f>SUM($T506:AE506)</f>
        <v>0</v>
      </c>
      <c r="AS506" s="27">
        <f t="shared" si="78"/>
        <v>0</v>
      </c>
    </row>
    <row r="507" spans="2:45">
      <c r="B507" s="102" t="str">
        <f>IF(ROW()-6&gt;NumCostCenter,"",IF(CostCenter&lt;&gt;"ALL",CostCenter,DATA_LF2!B505))</f>
        <v/>
      </c>
      <c r="C507" s="153" t="str">
        <f>IF($B507&lt;&gt;"",INDEX(DataOB[],FirstRow+ROW()-7,2),"")</f>
        <v/>
      </c>
      <c r="D507" s="66" t="str">
        <f>IF($B507&lt;&gt;"",INDEX(DataOB[],FirstRow+ROW()-7,3),"")</f>
        <v/>
      </c>
      <c r="E507" s="103" t="str">
        <f>IF($B507&lt;&gt;"",INDEX(DataOB[],FirstRow+ROW()-7,6),"")</f>
        <v/>
      </c>
      <c r="F507" s="103" t="str">
        <f>IF($B507&lt;&gt;"",INDEX(DataOB[],FirstRow+ROW()-7,5),"")</f>
        <v/>
      </c>
      <c r="G507" s="58">
        <f>IF($B507&lt;&gt;"",SUMIFS(DataAct_tbl[AMOUNT],DataAct_tbl[BG CODE],Detail!$D507,DataAct_tbl[MONTH],LEFT(MonthName,3),DataAct_tbl[Dept code],$B507),0)</f>
        <v>0</v>
      </c>
      <c r="H507" s="31" t="str">
        <f t="shared" si="70"/>
        <v/>
      </c>
      <c r="I507" s="28" t="str">
        <f t="shared" si="71"/>
        <v/>
      </c>
      <c r="J507" s="32" t="str">
        <f t="shared" si="72"/>
        <v/>
      </c>
      <c r="K507" s="86"/>
      <c r="L507" s="62">
        <f>IF($B507&lt;&gt;"",SUMIFS(DataAct_tbl[AMOUNT],DataAct_tbl[BG CODE],Detail!$D507,DataAct_tbl[Check Range],"=true",DataAct_tbl[Dept code],$B507),0)</f>
        <v>0</v>
      </c>
      <c r="M507" s="63">
        <f>INDEX($AG$7:$AR$1005,ROW()-6,MATCH(MTD,$AG$6:$AR$6,0))</f>
        <v>0</v>
      </c>
      <c r="N507" s="34">
        <f t="shared" si="73"/>
        <v>0</v>
      </c>
      <c r="O507" s="64" t="str">
        <f t="shared" si="74"/>
        <v xml:space="preserve"> </v>
      </c>
      <c r="Q507" s="97">
        <f t="shared" si="75"/>
        <v>0</v>
      </c>
      <c r="R507" s="96">
        <f t="shared" si="76"/>
        <v>0</v>
      </c>
      <c r="T507" s="67" t="str">
        <f>IF($B507&lt;&gt;"",INDEX(DataOB[],FirstRow+ROW()-7,MATCH(T$6,DataOB[#Headers],0)),"")</f>
        <v/>
      </c>
      <c r="U507" s="67" t="str">
        <f>IF($B507&lt;&gt;"",INDEX(DataOB[],FirstRow+ROW()-7,MATCH(U$6,DataOB[#Headers],0)),"")</f>
        <v/>
      </c>
      <c r="V507" s="67" t="str">
        <f>IF($B507&lt;&gt;"",INDEX(DataOB[],FirstRow+ROW()-7,MATCH(V$6,DataOB[#Headers],0)),"")</f>
        <v/>
      </c>
      <c r="W507" s="67" t="str">
        <f>IF($B507&lt;&gt;"",INDEX(DataOB[],FirstRow+ROW()-7,MATCH(W$6,DataOB[#Headers],0)),"")</f>
        <v/>
      </c>
      <c r="X507" s="67" t="str">
        <f>IF($B507&lt;&gt;"",INDEX(DataOB[],FirstRow+ROW()-7,MATCH(X$6,DataOB[#Headers],0)),"")</f>
        <v/>
      </c>
      <c r="Y507" s="67" t="str">
        <f>IF($B507&lt;&gt;"",INDEX(DataOB[],FirstRow+ROW()-7,MATCH(Y$6,DataOB[#Headers],0)),"")</f>
        <v/>
      </c>
      <c r="Z507" s="67" t="str">
        <f>IF($B507&lt;&gt;"",INDEX(DataOB[],FirstRow+ROW()-7,MATCH(Z$6,DataOB[#Headers],0)),"")</f>
        <v/>
      </c>
      <c r="AA507" s="67" t="str">
        <f>IF($B507&lt;&gt;"",INDEX(DataOB[],FirstRow+ROW()-7,MATCH(AA$6,DataOB[#Headers],0)),"")</f>
        <v/>
      </c>
      <c r="AB507" s="67" t="str">
        <f>IF($B507&lt;&gt;"",INDEX(DataOB[],FirstRow+ROW()-7,MATCH(AB$6,DataOB[#Headers],0)),"")</f>
        <v/>
      </c>
      <c r="AC507" s="67" t="str">
        <f>IF($B507&lt;&gt;"",INDEX(DataOB[],FirstRow+ROW()-7,MATCH(AC$6,DataOB[#Headers],0)),"")</f>
        <v/>
      </c>
      <c r="AD507" s="67" t="str">
        <f>IF($B507&lt;&gt;"",INDEX(DataOB[],FirstRow+ROW()-7,MATCH(AD$6,DataOB[#Headers],0)),"")</f>
        <v/>
      </c>
      <c r="AE507" s="67" t="str">
        <f>IF($B507&lt;&gt;"",INDEX(DataOB[],FirstRow+ROW()-7,MATCH(AE$6,DataOB[#Headers],0)),"")</f>
        <v/>
      </c>
      <c r="AF507" s="26">
        <f t="shared" si="77"/>
        <v>0</v>
      </c>
      <c r="AG507" s="31">
        <f>SUM($T507:T507)</f>
        <v>0</v>
      </c>
      <c r="AH507" s="31">
        <f>SUM($T507:U507)</f>
        <v>0</v>
      </c>
      <c r="AI507" s="31">
        <f>SUM($T507:V507)</f>
        <v>0</v>
      </c>
      <c r="AJ507" s="31">
        <f>SUM($T507:W507)</f>
        <v>0</v>
      </c>
      <c r="AK507" s="31">
        <f>SUM($T507:X507)</f>
        <v>0</v>
      </c>
      <c r="AL507" s="31">
        <f>SUM($T507:Y507)</f>
        <v>0</v>
      </c>
      <c r="AM507" s="31">
        <f>SUM($T507:Z507)</f>
        <v>0</v>
      </c>
      <c r="AN507" s="31">
        <f>SUM($T507:AA507)</f>
        <v>0</v>
      </c>
      <c r="AO507" s="31">
        <f>SUM($T507:AB507)</f>
        <v>0</v>
      </c>
      <c r="AP507" s="31">
        <f>SUM($T507:AC507)</f>
        <v>0</v>
      </c>
      <c r="AQ507" s="31">
        <f>SUM($T507:AD507)</f>
        <v>0</v>
      </c>
      <c r="AR507" s="31">
        <f>SUM($T507:AE507)</f>
        <v>0</v>
      </c>
      <c r="AS507" s="27">
        <f t="shared" si="78"/>
        <v>0</v>
      </c>
    </row>
    <row r="508" spans="2:45">
      <c r="B508" s="102" t="str">
        <f>IF(ROW()-6&gt;NumCostCenter,"",IF(CostCenter&lt;&gt;"ALL",CostCenter,DATA_LF2!B506))</f>
        <v/>
      </c>
      <c r="C508" s="153" t="str">
        <f>IF($B508&lt;&gt;"",INDEX(DataOB[],FirstRow+ROW()-7,2),"")</f>
        <v/>
      </c>
      <c r="D508" s="66" t="str">
        <f>IF($B508&lt;&gt;"",INDEX(DataOB[],FirstRow+ROW()-7,3),"")</f>
        <v/>
      </c>
      <c r="E508" s="103" t="str">
        <f>IF($B508&lt;&gt;"",INDEX(DataOB[],FirstRow+ROW()-7,6),"")</f>
        <v/>
      </c>
      <c r="F508" s="103" t="str">
        <f>IF($B508&lt;&gt;"",INDEX(DataOB[],FirstRow+ROW()-7,5),"")</f>
        <v/>
      </c>
      <c r="G508" s="58">
        <f>IF($B508&lt;&gt;"",SUMIFS(DataAct_tbl[AMOUNT],DataAct_tbl[BG CODE],Detail!$D508,DataAct_tbl[MONTH],LEFT(MonthName,3),DataAct_tbl[Dept code],$B508),0)</f>
        <v>0</v>
      </c>
      <c r="H508" s="31" t="str">
        <f t="shared" si="70"/>
        <v/>
      </c>
      <c r="I508" s="28" t="str">
        <f t="shared" si="71"/>
        <v/>
      </c>
      <c r="J508" s="32" t="str">
        <f t="shared" si="72"/>
        <v/>
      </c>
      <c r="K508" s="86"/>
      <c r="L508" s="62">
        <f>IF($B508&lt;&gt;"",SUMIFS(DataAct_tbl[AMOUNT],DataAct_tbl[BG CODE],Detail!$D508,DataAct_tbl[Check Range],"=true",DataAct_tbl[Dept code],$B508),0)</f>
        <v>0</v>
      </c>
      <c r="M508" s="63">
        <f>INDEX($AG$7:$AR$1005,ROW()-6,MATCH(MTD,$AG$6:$AR$6,0))</f>
        <v>0</v>
      </c>
      <c r="N508" s="34">
        <f t="shared" si="73"/>
        <v>0</v>
      </c>
      <c r="O508" s="64" t="str">
        <f t="shared" si="74"/>
        <v xml:space="preserve"> </v>
      </c>
      <c r="Q508" s="97">
        <f t="shared" si="75"/>
        <v>0</v>
      </c>
      <c r="R508" s="96">
        <f t="shared" si="76"/>
        <v>0</v>
      </c>
      <c r="T508" s="67" t="str">
        <f>IF($B508&lt;&gt;"",INDEX(DataOB[],FirstRow+ROW()-7,MATCH(T$6,DataOB[#Headers],0)),"")</f>
        <v/>
      </c>
      <c r="U508" s="67" t="str">
        <f>IF($B508&lt;&gt;"",INDEX(DataOB[],FirstRow+ROW()-7,MATCH(U$6,DataOB[#Headers],0)),"")</f>
        <v/>
      </c>
      <c r="V508" s="67" t="str">
        <f>IF($B508&lt;&gt;"",INDEX(DataOB[],FirstRow+ROW()-7,MATCH(V$6,DataOB[#Headers],0)),"")</f>
        <v/>
      </c>
      <c r="W508" s="67" t="str">
        <f>IF($B508&lt;&gt;"",INDEX(DataOB[],FirstRow+ROW()-7,MATCH(W$6,DataOB[#Headers],0)),"")</f>
        <v/>
      </c>
      <c r="X508" s="67" t="str">
        <f>IF($B508&lt;&gt;"",INDEX(DataOB[],FirstRow+ROW()-7,MATCH(X$6,DataOB[#Headers],0)),"")</f>
        <v/>
      </c>
      <c r="Y508" s="67" t="str">
        <f>IF($B508&lt;&gt;"",INDEX(DataOB[],FirstRow+ROW()-7,MATCH(Y$6,DataOB[#Headers],0)),"")</f>
        <v/>
      </c>
      <c r="Z508" s="67" t="str">
        <f>IF($B508&lt;&gt;"",INDEX(DataOB[],FirstRow+ROW()-7,MATCH(Z$6,DataOB[#Headers],0)),"")</f>
        <v/>
      </c>
      <c r="AA508" s="67" t="str">
        <f>IF($B508&lt;&gt;"",INDEX(DataOB[],FirstRow+ROW()-7,MATCH(AA$6,DataOB[#Headers],0)),"")</f>
        <v/>
      </c>
      <c r="AB508" s="67" t="str">
        <f>IF($B508&lt;&gt;"",INDEX(DataOB[],FirstRow+ROW()-7,MATCH(AB$6,DataOB[#Headers],0)),"")</f>
        <v/>
      </c>
      <c r="AC508" s="67" t="str">
        <f>IF($B508&lt;&gt;"",INDEX(DataOB[],FirstRow+ROW()-7,MATCH(AC$6,DataOB[#Headers],0)),"")</f>
        <v/>
      </c>
      <c r="AD508" s="67" t="str">
        <f>IF($B508&lt;&gt;"",INDEX(DataOB[],FirstRow+ROW()-7,MATCH(AD$6,DataOB[#Headers],0)),"")</f>
        <v/>
      </c>
      <c r="AE508" s="67" t="str">
        <f>IF($B508&lt;&gt;"",INDEX(DataOB[],FirstRow+ROW()-7,MATCH(AE$6,DataOB[#Headers],0)),"")</f>
        <v/>
      </c>
      <c r="AF508" s="26">
        <f t="shared" si="77"/>
        <v>0</v>
      </c>
      <c r="AG508" s="31">
        <f>SUM($T508:T508)</f>
        <v>0</v>
      </c>
      <c r="AH508" s="31">
        <f>SUM($T508:U508)</f>
        <v>0</v>
      </c>
      <c r="AI508" s="31">
        <f>SUM($T508:V508)</f>
        <v>0</v>
      </c>
      <c r="AJ508" s="31">
        <f>SUM($T508:W508)</f>
        <v>0</v>
      </c>
      <c r="AK508" s="31">
        <f>SUM($T508:X508)</f>
        <v>0</v>
      </c>
      <c r="AL508" s="31">
        <f>SUM($T508:Y508)</f>
        <v>0</v>
      </c>
      <c r="AM508" s="31">
        <f>SUM($T508:Z508)</f>
        <v>0</v>
      </c>
      <c r="AN508" s="31">
        <f>SUM($T508:AA508)</f>
        <v>0</v>
      </c>
      <c r="AO508" s="31">
        <f>SUM($T508:AB508)</f>
        <v>0</v>
      </c>
      <c r="AP508" s="31">
        <f>SUM($T508:AC508)</f>
        <v>0</v>
      </c>
      <c r="AQ508" s="31">
        <f>SUM($T508:AD508)</f>
        <v>0</v>
      </c>
      <c r="AR508" s="31">
        <f>SUM($T508:AE508)</f>
        <v>0</v>
      </c>
      <c r="AS508" s="27">
        <f t="shared" si="78"/>
        <v>0</v>
      </c>
    </row>
    <row r="509" spans="2:45">
      <c r="B509" s="102" t="str">
        <f>IF(ROW()-6&gt;NumCostCenter,"",IF(CostCenter&lt;&gt;"ALL",CostCenter,DATA_LF2!B507))</f>
        <v/>
      </c>
      <c r="C509" s="153" t="str">
        <f>IF($B509&lt;&gt;"",INDEX(DataOB[],FirstRow+ROW()-7,2),"")</f>
        <v/>
      </c>
      <c r="D509" s="66" t="str">
        <f>IF($B509&lt;&gt;"",INDEX(DataOB[],FirstRow+ROW()-7,3),"")</f>
        <v/>
      </c>
      <c r="E509" s="103" t="str">
        <f>IF($B509&lt;&gt;"",INDEX(DataOB[],FirstRow+ROW()-7,6),"")</f>
        <v/>
      </c>
      <c r="F509" s="103" t="str">
        <f>IF($B509&lt;&gt;"",INDEX(DataOB[],FirstRow+ROW()-7,5),"")</f>
        <v/>
      </c>
      <c r="G509" s="58">
        <f>IF($B509&lt;&gt;"",SUMIFS(DataAct_tbl[AMOUNT],DataAct_tbl[BG CODE],Detail!$D509,DataAct_tbl[MONTH],LEFT(MonthName,3),DataAct_tbl[Dept code],$B509),0)</f>
        <v>0</v>
      </c>
      <c r="H509" s="31" t="str">
        <f t="shared" si="70"/>
        <v/>
      </c>
      <c r="I509" s="28" t="str">
        <f t="shared" si="71"/>
        <v/>
      </c>
      <c r="J509" s="32" t="str">
        <f t="shared" si="72"/>
        <v/>
      </c>
      <c r="K509" s="86"/>
      <c r="L509" s="62">
        <f>IF($B509&lt;&gt;"",SUMIFS(DataAct_tbl[AMOUNT],DataAct_tbl[BG CODE],Detail!$D509,DataAct_tbl[Check Range],"=true",DataAct_tbl[Dept code],$B509),0)</f>
        <v>0</v>
      </c>
      <c r="M509" s="63">
        <f>INDEX($AG$7:$AR$1005,ROW()-6,MATCH(MTD,$AG$6:$AR$6,0))</f>
        <v>0</v>
      </c>
      <c r="N509" s="34">
        <f t="shared" si="73"/>
        <v>0</v>
      </c>
      <c r="O509" s="64" t="str">
        <f t="shared" si="74"/>
        <v xml:space="preserve"> </v>
      </c>
      <c r="Q509" s="97">
        <f t="shared" si="75"/>
        <v>0</v>
      </c>
      <c r="R509" s="96">
        <f t="shared" si="76"/>
        <v>0</v>
      </c>
      <c r="T509" s="67" t="str">
        <f>IF($B509&lt;&gt;"",INDEX(DataOB[],FirstRow+ROW()-7,MATCH(T$6,DataOB[#Headers],0)),"")</f>
        <v/>
      </c>
      <c r="U509" s="67" t="str">
        <f>IF($B509&lt;&gt;"",INDEX(DataOB[],FirstRow+ROW()-7,MATCH(U$6,DataOB[#Headers],0)),"")</f>
        <v/>
      </c>
      <c r="V509" s="67" t="str">
        <f>IF($B509&lt;&gt;"",INDEX(DataOB[],FirstRow+ROW()-7,MATCH(V$6,DataOB[#Headers],0)),"")</f>
        <v/>
      </c>
      <c r="W509" s="67" t="str">
        <f>IF($B509&lt;&gt;"",INDEX(DataOB[],FirstRow+ROW()-7,MATCH(W$6,DataOB[#Headers],0)),"")</f>
        <v/>
      </c>
      <c r="X509" s="67" t="str">
        <f>IF($B509&lt;&gt;"",INDEX(DataOB[],FirstRow+ROW()-7,MATCH(X$6,DataOB[#Headers],0)),"")</f>
        <v/>
      </c>
      <c r="Y509" s="67" t="str">
        <f>IF($B509&lt;&gt;"",INDEX(DataOB[],FirstRow+ROW()-7,MATCH(Y$6,DataOB[#Headers],0)),"")</f>
        <v/>
      </c>
      <c r="Z509" s="67" t="str">
        <f>IF($B509&lt;&gt;"",INDEX(DataOB[],FirstRow+ROW()-7,MATCH(Z$6,DataOB[#Headers],0)),"")</f>
        <v/>
      </c>
      <c r="AA509" s="67" t="str">
        <f>IF($B509&lt;&gt;"",INDEX(DataOB[],FirstRow+ROW()-7,MATCH(AA$6,DataOB[#Headers],0)),"")</f>
        <v/>
      </c>
      <c r="AB509" s="67" t="str">
        <f>IF($B509&lt;&gt;"",INDEX(DataOB[],FirstRow+ROW()-7,MATCH(AB$6,DataOB[#Headers],0)),"")</f>
        <v/>
      </c>
      <c r="AC509" s="67" t="str">
        <f>IF($B509&lt;&gt;"",INDEX(DataOB[],FirstRow+ROW()-7,MATCH(AC$6,DataOB[#Headers],0)),"")</f>
        <v/>
      </c>
      <c r="AD509" s="67" t="str">
        <f>IF($B509&lt;&gt;"",INDEX(DataOB[],FirstRow+ROW()-7,MATCH(AD$6,DataOB[#Headers],0)),"")</f>
        <v/>
      </c>
      <c r="AE509" s="67" t="str">
        <f>IF($B509&lt;&gt;"",INDEX(DataOB[],FirstRow+ROW()-7,MATCH(AE$6,DataOB[#Headers],0)),"")</f>
        <v/>
      </c>
      <c r="AF509" s="26">
        <f t="shared" si="77"/>
        <v>0</v>
      </c>
      <c r="AG509" s="31">
        <f>SUM($T509:T509)</f>
        <v>0</v>
      </c>
      <c r="AH509" s="31">
        <f>SUM($T509:U509)</f>
        <v>0</v>
      </c>
      <c r="AI509" s="31">
        <f>SUM($T509:V509)</f>
        <v>0</v>
      </c>
      <c r="AJ509" s="31">
        <f>SUM($T509:W509)</f>
        <v>0</v>
      </c>
      <c r="AK509" s="31">
        <f>SUM($T509:X509)</f>
        <v>0</v>
      </c>
      <c r="AL509" s="31">
        <f>SUM($T509:Y509)</f>
        <v>0</v>
      </c>
      <c r="AM509" s="31">
        <f>SUM($T509:Z509)</f>
        <v>0</v>
      </c>
      <c r="AN509" s="31">
        <f>SUM($T509:AA509)</f>
        <v>0</v>
      </c>
      <c r="AO509" s="31">
        <f>SUM($T509:AB509)</f>
        <v>0</v>
      </c>
      <c r="AP509" s="31">
        <f>SUM($T509:AC509)</f>
        <v>0</v>
      </c>
      <c r="AQ509" s="31">
        <f>SUM($T509:AD509)</f>
        <v>0</v>
      </c>
      <c r="AR509" s="31">
        <f>SUM($T509:AE509)</f>
        <v>0</v>
      </c>
      <c r="AS509" s="27">
        <f t="shared" si="78"/>
        <v>0</v>
      </c>
    </row>
    <row r="510" spans="2:45">
      <c r="B510" s="102" t="str">
        <f>IF(ROW()-6&gt;NumCostCenter,"",IF(CostCenter&lt;&gt;"ALL",CostCenter,DATA_LF2!B508))</f>
        <v/>
      </c>
      <c r="C510" s="153" t="str">
        <f>IF($B510&lt;&gt;"",INDEX(DataOB[],FirstRow+ROW()-7,2),"")</f>
        <v/>
      </c>
      <c r="D510" s="66" t="str">
        <f>IF($B510&lt;&gt;"",INDEX(DataOB[],FirstRow+ROW()-7,3),"")</f>
        <v/>
      </c>
      <c r="E510" s="103" t="str">
        <f>IF($B510&lt;&gt;"",INDEX(DataOB[],FirstRow+ROW()-7,6),"")</f>
        <v/>
      </c>
      <c r="F510" s="103" t="str">
        <f>IF($B510&lt;&gt;"",INDEX(DataOB[],FirstRow+ROW()-7,5),"")</f>
        <v/>
      </c>
      <c r="G510" s="58">
        <f>IF($B510&lt;&gt;"",SUMIFS(DataAct_tbl[AMOUNT],DataAct_tbl[BG CODE],Detail!$D510,DataAct_tbl[MONTH],LEFT(MonthName,3),DataAct_tbl[Dept code],$B510),0)</f>
        <v>0</v>
      </c>
      <c r="H510" s="31" t="str">
        <f t="shared" si="70"/>
        <v/>
      </c>
      <c r="I510" s="28" t="str">
        <f t="shared" si="71"/>
        <v/>
      </c>
      <c r="J510" s="32" t="str">
        <f t="shared" si="72"/>
        <v/>
      </c>
      <c r="K510" s="86"/>
      <c r="L510" s="62">
        <f>IF($B510&lt;&gt;"",SUMIFS(DataAct_tbl[AMOUNT],DataAct_tbl[BG CODE],Detail!$D510,DataAct_tbl[Check Range],"=true",DataAct_tbl[Dept code],$B510),0)</f>
        <v>0</v>
      </c>
      <c r="M510" s="63">
        <f>INDEX($AG$7:$AR$1005,ROW()-6,MATCH(MTD,$AG$6:$AR$6,0))</f>
        <v>0</v>
      </c>
      <c r="N510" s="34">
        <f t="shared" si="73"/>
        <v>0</v>
      </c>
      <c r="O510" s="64" t="str">
        <f t="shared" si="74"/>
        <v xml:space="preserve"> </v>
      </c>
      <c r="Q510" s="97">
        <f t="shared" si="75"/>
        <v>0</v>
      </c>
      <c r="R510" s="96">
        <f t="shared" si="76"/>
        <v>0</v>
      </c>
      <c r="T510" s="67" t="str">
        <f>IF($B510&lt;&gt;"",INDEX(DataOB[],FirstRow+ROW()-7,MATCH(T$6,DataOB[#Headers],0)),"")</f>
        <v/>
      </c>
      <c r="U510" s="67" t="str">
        <f>IF($B510&lt;&gt;"",INDEX(DataOB[],FirstRow+ROW()-7,MATCH(U$6,DataOB[#Headers],0)),"")</f>
        <v/>
      </c>
      <c r="V510" s="67" t="str">
        <f>IF($B510&lt;&gt;"",INDEX(DataOB[],FirstRow+ROW()-7,MATCH(V$6,DataOB[#Headers],0)),"")</f>
        <v/>
      </c>
      <c r="W510" s="67" t="str">
        <f>IF($B510&lt;&gt;"",INDEX(DataOB[],FirstRow+ROW()-7,MATCH(W$6,DataOB[#Headers],0)),"")</f>
        <v/>
      </c>
      <c r="X510" s="67" t="str">
        <f>IF($B510&lt;&gt;"",INDEX(DataOB[],FirstRow+ROW()-7,MATCH(X$6,DataOB[#Headers],0)),"")</f>
        <v/>
      </c>
      <c r="Y510" s="67" t="str">
        <f>IF($B510&lt;&gt;"",INDEX(DataOB[],FirstRow+ROW()-7,MATCH(Y$6,DataOB[#Headers],0)),"")</f>
        <v/>
      </c>
      <c r="Z510" s="67" t="str">
        <f>IF($B510&lt;&gt;"",INDEX(DataOB[],FirstRow+ROW()-7,MATCH(Z$6,DataOB[#Headers],0)),"")</f>
        <v/>
      </c>
      <c r="AA510" s="67" t="str">
        <f>IF($B510&lt;&gt;"",INDEX(DataOB[],FirstRow+ROW()-7,MATCH(AA$6,DataOB[#Headers],0)),"")</f>
        <v/>
      </c>
      <c r="AB510" s="67" t="str">
        <f>IF($B510&lt;&gt;"",INDEX(DataOB[],FirstRow+ROW()-7,MATCH(AB$6,DataOB[#Headers],0)),"")</f>
        <v/>
      </c>
      <c r="AC510" s="67" t="str">
        <f>IF($B510&lt;&gt;"",INDEX(DataOB[],FirstRow+ROW()-7,MATCH(AC$6,DataOB[#Headers],0)),"")</f>
        <v/>
      </c>
      <c r="AD510" s="67" t="str">
        <f>IF($B510&lt;&gt;"",INDEX(DataOB[],FirstRow+ROW()-7,MATCH(AD$6,DataOB[#Headers],0)),"")</f>
        <v/>
      </c>
      <c r="AE510" s="67" t="str">
        <f>IF($B510&lt;&gt;"",INDEX(DataOB[],FirstRow+ROW()-7,MATCH(AE$6,DataOB[#Headers],0)),"")</f>
        <v/>
      </c>
      <c r="AF510" s="26">
        <f t="shared" si="77"/>
        <v>0</v>
      </c>
      <c r="AG510" s="31">
        <f>SUM($T510:T510)</f>
        <v>0</v>
      </c>
      <c r="AH510" s="31">
        <f>SUM($T510:U510)</f>
        <v>0</v>
      </c>
      <c r="AI510" s="31">
        <f>SUM($T510:V510)</f>
        <v>0</v>
      </c>
      <c r="AJ510" s="31">
        <f>SUM($T510:W510)</f>
        <v>0</v>
      </c>
      <c r="AK510" s="31">
        <f>SUM($T510:X510)</f>
        <v>0</v>
      </c>
      <c r="AL510" s="31">
        <f>SUM($T510:Y510)</f>
        <v>0</v>
      </c>
      <c r="AM510" s="31">
        <f>SUM($T510:Z510)</f>
        <v>0</v>
      </c>
      <c r="AN510" s="31">
        <f>SUM($T510:AA510)</f>
        <v>0</v>
      </c>
      <c r="AO510" s="31">
        <f>SUM($T510:AB510)</f>
        <v>0</v>
      </c>
      <c r="AP510" s="31">
        <f>SUM($T510:AC510)</f>
        <v>0</v>
      </c>
      <c r="AQ510" s="31">
        <f>SUM($T510:AD510)</f>
        <v>0</v>
      </c>
      <c r="AR510" s="31">
        <f>SUM($T510:AE510)</f>
        <v>0</v>
      </c>
      <c r="AS510" s="27">
        <f t="shared" si="78"/>
        <v>0</v>
      </c>
    </row>
    <row r="511" spans="2:45">
      <c r="B511" s="102" t="str">
        <f>IF(ROW()-6&gt;NumCostCenter,"",IF(CostCenter&lt;&gt;"ALL",CostCenter,DATA_LF2!B509))</f>
        <v/>
      </c>
      <c r="C511" s="153" t="str">
        <f>IF($B511&lt;&gt;"",INDEX(DataOB[],FirstRow+ROW()-7,2),"")</f>
        <v/>
      </c>
      <c r="D511" s="66" t="str">
        <f>IF($B511&lt;&gt;"",INDEX(DataOB[],FirstRow+ROW()-7,3),"")</f>
        <v/>
      </c>
      <c r="E511" s="103" t="str">
        <f>IF($B511&lt;&gt;"",INDEX(DataOB[],FirstRow+ROW()-7,6),"")</f>
        <v/>
      </c>
      <c r="F511" s="103" t="str">
        <f>IF($B511&lt;&gt;"",INDEX(DataOB[],FirstRow+ROW()-7,5),"")</f>
        <v/>
      </c>
      <c r="G511" s="58">
        <f>IF($B511&lt;&gt;"",SUMIFS(DataAct_tbl[AMOUNT],DataAct_tbl[BG CODE],Detail!$D511,DataAct_tbl[MONTH],LEFT(MonthName,3),DataAct_tbl[Dept code],$B511),0)</f>
        <v>0</v>
      </c>
      <c r="H511" s="31" t="str">
        <f t="shared" si="70"/>
        <v/>
      </c>
      <c r="I511" s="28" t="str">
        <f t="shared" si="71"/>
        <v/>
      </c>
      <c r="J511" s="32" t="str">
        <f t="shared" si="72"/>
        <v/>
      </c>
      <c r="K511" s="86"/>
      <c r="L511" s="62">
        <f>IF($B511&lt;&gt;"",SUMIFS(DataAct_tbl[AMOUNT],DataAct_tbl[BG CODE],Detail!$D511,DataAct_tbl[Check Range],"=true",DataAct_tbl[Dept code],$B511),0)</f>
        <v>0</v>
      </c>
      <c r="M511" s="63">
        <f>INDEX($AG$7:$AR$1005,ROW()-6,MATCH(MTD,$AG$6:$AR$6,0))</f>
        <v>0</v>
      </c>
      <c r="N511" s="34">
        <f t="shared" si="73"/>
        <v>0</v>
      </c>
      <c r="O511" s="64" t="str">
        <f t="shared" si="74"/>
        <v xml:space="preserve"> </v>
      </c>
      <c r="Q511" s="97">
        <f t="shared" si="75"/>
        <v>0</v>
      </c>
      <c r="R511" s="96">
        <f t="shared" si="76"/>
        <v>0</v>
      </c>
      <c r="T511" s="67" t="str">
        <f>IF($B511&lt;&gt;"",INDEX(DataOB[],FirstRow+ROW()-7,MATCH(T$6,DataOB[#Headers],0)),"")</f>
        <v/>
      </c>
      <c r="U511" s="67" t="str">
        <f>IF($B511&lt;&gt;"",INDEX(DataOB[],FirstRow+ROW()-7,MATCH(U$6,DataOB[#Headers],0)),"")</f>
        <v/>
      </c>
      <c r="V511" s="67" t="str">
        <f>IF($B511&lt;&gt;"",INDEX(DataOB[],FirstRow+ROW()-7,MATCH(V$6,DataOB[#Headers],0)),"")</f>
        <v/>
      </c>
      <c r="W511" s="67" t="str">
        <f>IF($B511&lt;&gt;"",INDEX(DataOB[],FirstRow+ROW()-7,MATCH(W$6,DataOB[#Headers],0)),"")</f>
        <v/>
      </c>
      <c r="X511" s="67" t="str">
        <f>IF($B511&lt;&gt;"",INDEX(DataOB[],FirstRow+ROW()-7,MATCH(X$6,DataOB[#Headers],0)),"")</f>
        <v/>
      </c>
      <c r="Y511" s="67" t="str">
        <f>IF($B511&lt;&gt;"",INDEX(DataOB[],FirstRow+ROW()-7,MATCH(Y$6,DataOB[#Headers],0)),"")</f>
        <v/>
      </c>
      <c r="Z511" s="67" t="str">
        <f>IF($B511&lt;&gt;"",INDEX(DataOB[],FirstRow+ROW()-7,MATCH(Z$6,DataOB[#Headers],0)),"")</f>
        <v/>
      </c>
      <c r="AA511" s="67" t="str">
        <f>IF($B511&lt;&gt;"",INDEX(DataOB[],FirstRow+ROW()-7,MATCH(AA$6,DataOB[#Headers],0)),"")</f>
        <v/>
      </c>
      <c r="AB511" s="67" t="str">
        <f>IF($B511&lt;&gt;"",INDEX(DataOB[],FirstRow+ROW()-7,MATCH(AB$6,DataOB[#Headers],0)),"")</f>
        <v/>
      </c>
      <c r="AC511" s="67" t="str">
        <f>IF($B511&lt;&gt;"",INDEX(DataOB[],FirstRow+ROW()-7,MATCH(AC$6,DataOB[#Headers],0)),"")</f>
        <v/>
      </c>
      <c r="AD511" s="67" t="str">
        <f>IF($B511&lt;&gt;"",INDEX(DataOB[],FirstRow+ROW()-7,MATCH(AD$6,DataOB[#Headers],0)),"")</f>
        <v/>
      </c>
      <c r="AE511" s="67" t="str">
        <f>IF($B511&lt;&gt;"",INDEX(DataOB[],FirstRow+ROW()-7,MATCH(AE$6,DataOB[#Headers],0)),"")</f>
        <v/>
      </c>
      <c r="AF511" s="26">
        <f t="shared" si="77"/>
        <v>0</v>
      </c>
      <c r="AG511" s="31">
        <f>SUM($T511:T511)</f>
        <v>0</v>
      </c>
      <c r="AH511" s="31">
        <f>SUM($T511:U511)</f>
        <v>0</v>
      </c>
      <c r="AI511" s="31">
        <f>SUM($T511:V511)</f>
        <v>0</v>
      </c>
      <c r="AJ511" s="31">
        <f>SUM($T511:W511)</f>
        <v>0</v>
      </c>
      <c r="AK511" s="31">
        <f>SUM($T511:X511)</f>
        <v>0</v>
      </c>
      <c r="AL511" s="31">
        <f>SUM($T511:Y511)</f>
        <v>0</v>
      </c>
      <c r="AM511" s="31">
        <f>SUM($T511:Z511)</f>
        <v>0</v>
      </c>
      <c r="AN511" s="31">
        <f>SUM($T511:AA511)</f>
        <v>0</v>
      </c>
      <c r="AO511" s="31">
        <f>SUM($T511:AB511)</f>
        <v>0</v>
      </c>
      <c r="AP511" s="31">
        <f>SUM($T511:AC511)</f>
        <v>0</v>
      </c>
      <c r="AQ511" s="31">
        <f>SUM($T511:AD511)</f>
        <v>0</v>
      </c>
      <c r="AR511" s="31">
        <f>SUM($T511:AE511)</f>
        <v>0</v>
      </c>
      <c r="AS511" s="27">
        <f t="shared" si="78"/>
        <v>0</v>
      </c>
    </row>
    <row r="512" spans="2:45">
      <c r="B512" s="102" t="str">
        <f>IF(ROW()-6&gt;NumCostCenter,"",IF(CostCenter&lt;&gt;"ALL",CostCenter,DATA_LF2!B510))</f>
        <v/>
      </c>
      <c r="C512" s="153" t="str">
        <f>IF($B512&lt;&gt;"",INDEX(DataOB[],FirstRow+ROW()-7,2),"")</f>
        <v/>
      </c>
      <c r="D512" s="66" t="str">
        <f>IF($B512&lt;&gt;"",INDEX(DataOB[],FirstRow+ROW()-7,3),"")</f>
        <v/>
      </c>
      <c r="E512" s="103" t="str">
        <f>IF($B512&lt;&gt;"",INDEX(DataOB[],FirstRow+ROW()-7,6),"")</f>
        <v/>
      </c>
      <c r="F512" s="103" t="str">
        <f>IF($B512&lt;&gt;"",INDEX(DataOB[],FirstRow+ROW()-7,5),"")</f>
        <v/>
      </c>
      <c r="G512" s="58">
        <f>IF($B512&lt;&gt;"",SUMIFS(DataAct_tbl[AMOUNT],DataAct_tbl[BG CODE],Detail!$D512,DataAct_tbl[MONTH],LEFT(MonthName,3),DataAct_tbl[Dept code],$B512),0)</f>
        <v>0</v>
      </c>
      <c r="H512" s="31" t="str">
        <f t="shared" si="70"/>
        <v/>
      </c>
      <c r="I512" s="28" t="str">
        <f t="shared" si="71"/>
        <v/>
      </c>
      <c r="J512" s="32" t="str">
        <f t="shared" si="72"/>
        <v/>
      </c>
      <c r="K512" s="86"/>
      <c r="L512" s="62">
        <f>IF($B512&lt;&gt;"",SUMIFS(DataAct_tbl[AMOUNT],DataAct_tbl[BG CODE],Detail!$D512,DataAct_tbl[Check Range],"=true",DataAct_tbl[Dept code],$B512),0)</f>
        <v>0</v>
      </c>
      <c r="M512" s="63">
        <f>INDEX($AG$7:$AR$1005,ROW()-6,MATCH(MTD,$AG$6:$AR$6,0))</f>
        <v>0</v>
      </c>
      <c r="N512" s="34">
        <f t="shared" si="73"/>
        <v>0</v>
      </c>
      <c r="O512" s="64" t="str">
        <f t="shared" si="74"/>
        <v xml:space="preserve"> </v>
      </c>
      <c r="Q512" s="97">
        <f t="shared" si="75"/>
        <v>0</v>
      </c>
      <c r="R512" s="96">
        <f t="shared" si="76"/>
        <v>0</v>
      </c>
      <c r="T512" s="67" t="str">
        <f>IF($B512&lt;&gt;"",INDEX(DataOB[],FirstRow+ROW()-7,MATCH(T$6,DataOB[#Headers],0)),"")</f>
        <v/>
      </c>
      <c r="U512" s="67" t="str">
        <f>IF($B512&lt;&gt;"",INDEX(DataOB[],FirstRow+ROW()-7,MATCH(U$6,DataOB[#Headers],0)),"")</f>
        <v/>
      </c>
      <c r="V512" s="67" t="str">
        <f>IF($B512&lt;&gt;"",INDEX(DataOB[],FirstRow+ROW()-7,MATCH(V$6,DataOB[#Headers],0)),"")</f>
        <v/>
      </c>
      <c r="W512" s="67" t="str">
        <f>IF($B512&lt;&gt;"",INDEX(DataOB[],FirstRow+ROW()-7,MATCH(W$6,DataOB[#Headers],0)),"")</f>
        <v/>
      </c>
      <c r="X512" s="67" t="str">
        <f>IF($B512&lt;&gt;"",INDEX(DataOB[],FirstRow+ROW()-7,MATCH(X$6,DataOB[#Headers],0)),"")</f>
        <v/>
      </c>
      <c r="Y512" s="67" t="str">
        <f>IF($B512&lt;&gt;"",INDEX(DataOB[],FirstRow+ROW()-7,MATCH(Y$6,DataOB[#Headers],0)),"")</f>
        <v/>
      </c>
      <c r="Z512" s="67" t="str">
        <f>IF($B512&lt;&gt;"",INDEX(DataOB[],FirstRow+ROW()-7,MATCH(Z$6,DataOB[#Headers],0)),"")</f>
        <v/>
      </c>
      <c r="AA512" s="67" t="str">
        <f>IF($B512&lt;&gt;"",INDEX(DataOB[],FirstRow+ROW()-7,MATCH(AA$6,DataOB[#Headers],0)),"")</f>
        <v/>
      </c>
      <c r="AB512" s="67" t="str">
        <f>IF($B512&lt;&gt;"",INDEX(DataOB[],FirstRow+ROW()-7,MATCH(AB$6,DataOB[#Headers],0)),"")</f>
        <v/>
      </c>
      <c r="AC512" s="67" t="str">
        <f>IF($B512&lt;&gt;"",INDEX(DataOB[],FirstRow+ROW()-7,MATCH(AC$6,DataOB[#Headers],0)),"")</f>
        <v/>
      </c>
      <c r="AD512" s="67" t="str">
        <f>IF($B512&lt;&gt;"",INDEX(DataOB[],FirstRow+ROW()-7,MATCH(AD$6,DataOB[#Headers],0)),"")</f>
        <v/>
      </c>
      <c r="AE512" s="67" t="str">
        <f>IF($B512&lt;&gt;"",INDEX(DataOB[],FirstRow+ROW()-7,MATCH(AE$6,DataOB[#Headers],0)),"")</f>
        <v/>
      </c>
      <c r="AF512" s="26">
        <f t="shared" si="77"/>
        <v>0</v>
      </c>
      <c r="AG512" s="31">
        <f>SUM($T512:T512)</f>
        <v>0</v>
      </c>
      <c r="AH512" s="31">
        <f>SUM($T512:U512)</f>
        <v>0</v>
      </c>
      <c r="AI512" s="31">
        <f>SUM($T512:V512)</f>
        <v>0</v>
      </c>
      <c r="AJ512" s="31">
        <f>SUM($T512:W512)</f>
        <v>0</v>
      </c>
      <c r="AK512" s="31">
        <f>SUM($T512:X512)</f>
        <v>0</v>
      </c>
      <c r="AL512" s="31">
        <f>SUM($T512:Y512)</f>
        <v>0</v>
      </c>
      <c r="AM512" s="31">
        <f>SUM($T512:Z512)</f>
        <v>0</v>
      </c>
      <c r="AN512" s="31">
        <f>SUM($T512:AA512)</f>
        <v>0</v>
      </c>
      <c r="AO512" s="31">
        <f>SUM($T512:AB512)</f>
        <v>0</v>
      </c>
      <c r="AP512" s="31">
        <f>SUM($T512:AC512)</f>
        <v>0</v>
      </c>
      <c r="AQ512" s="31">
        <f>SUM($T512:AD512)</f>
        <v>0</v>
      </c>
      <c r="AR512" s="31">
        <f>SUM($T512:AE512)</f>
        <v>0</v>
      </c>
      <c r="AS512" s="27">
        <f t="shared" si="78"/>
        <v>0</v>
      </c>
    </row>
    <row r="513" spans="2:45">
      <c r="B513" s="102" t="str">
        <f>IF(ROW()-6&gt;NumCostCenter,"",IF(CostCenter&lt;&gt;"ALL",CostCenter,DATA_LF2!B511))</f>
        <v/>
      </c>
      <c r="C513" s="153" t="str">
        <f>IF($B513&lt;&gt;"",INDEX(DataOB[],FirstRow+ROW()-7,2),"")</f>
        <v/>
      </c>
      <c r="D513" s="66" t="str">
        <f>IF($B513&lt;&gt;"",INDEX(DataOB[],FirstRow+ROW()-7,3),"")</f>
        <v/>
      </c>
      <c r="E513" s="103" t="str">
        <f>IF($B513&lt;&gt;"",INDEX(DataOB[],FirstRow+ROW()-7,6),"")</f>
        <v/>
      </c>
      <c r="F513" s="103" t="str">
        <f>IF($B513&lt;&gt;"",INDEX(DataOB[],FirstRow+ROW()-7,5),"")</f>
        <v/>
      </c>
      <c r="G513" s="58">
        <f>IF($B513&lt;&gt;"",SUMIFS(DataAct_tbl[AMOUNT],DataAct_tbl[BG CODE],Detail!$D513,DataAct_tbl[MONTH],LEFT(MonthName,3),DataAct_tbl[Dept code],$B513),0)</f>
        <v>0</v>
      </c>
      <c r="H513" s="31" t="str">
        <f t="shared" si="70"/>
        <v/>
      </c>
      <c r="I513" s="28" t="str">
        <f t="shared" si="71"/>
        <v/>
      </c>
      <c r="J513" s="32" t="str">
        <f t="shared" si="72"/>
        <v/>
      </c>
      <c r="K513" s="86"/>
      <c r="L513" s="62">
        <f>IF($B513&lt;&gt;"",SUMIFS(DataAct_tbl[AMOUNT],DataAct_tbl[BG CODE],Detail!$D513,DataAct_tbl[Check Range],"=true",DataAct_tbl[Dept code],$B513),0)</f>
        <v>0</v>
      </c>
      <c r="M513" s="63">
        <f>INDEX($AG$7:$AR$1005,ROW()-6,MATCH(MTD,$AG$6:$AR$6,0))</f>
        <v>0</v>
      </c>
      <c r="N513" s="34">
        <f t="shared" si="73"/>
        <v>0</v>
      </c>
      <c r="O513" s="64" t="str">
        <f t="shared" si="74"/>
        <v xml:space="preserve"> </v>
      </c>
      <c r="Q513" s="97">
        <f t="shared" si="75"/>
        <v>0</v>
      </c>
      <c r="R513" s="96">
        <f t="shared" si="76"/>
        <v>0</v>
      </c>
      <c r="T513" s="67" t="str">
        <f>IF($B513&lt;&gt;"",INDEX(DataOB[],FirstRow+ROW()-7,MATCH(T$6,DataOB[#Headers],0)),"")</f>
        <v/>
      </c>
      <c r="U513" s="67" t="str">
        <f>IF($B513&lt;&gt;"",INDEX(DataOB[],FirstRow+ROW()-7,MATCH(U$6,DataOB[#Headers],0)),"")</f>
        <v/>
      </c>
      <c r="V513" s="67" t="str">
        <f>IF($B513&lt;&gt;"",INDEX(DataOB[],FirstRow+ROW()-7,MATCH(V$6,DataOB[#Headers],0)),"")</f>
        <v/>
      </c>
      <c r="W513" s="67" t="str">
        <f>IF($B513&lt;&gt;"",INDEX(DataOB[],FirstRow+ROW()-7,MATCH(W$6,DataOB[#Headers],0)),"")</f>
        <v/>
      </c>
      <c r="X513" s="67" t="str">
        <f>IF($B513&lt;&gt;"",INDEX(DataOB[],FirstRow+ROW()-7,MATCH(X$6,DataOB[#Headers],0)),"")</f>
        <v/>
      </c>
      <c r="Y513" s="67" t="str">
        <f>IF($B513&lt;&gt;"",INDEX(DataOB[],FirstRow+ROW()-7,MATCH(Y$6,DataOB[#Headers],0)),"")</f>
        <v/>
      </c>
      <c r="Z513" s="67" t="str">
        <f>IF($B513&lt;&gt;"",INDEX(DataOB[],FirstRow+ROW()-7,MATCH(Z$6,DataOB[#Headers],0)),"")</f>
        <v/>
      </c>
      <c r="AA513" s="67" t="str">
        <f>IF($B513&lt;&gt;"",INDEX(DataOB[],FirstRow+ROW()-7,MATCH(AA$6,DataOB[#Headers],0)),"")</f>
        <v/>
      </c>
      <c r="AB513" s="67" t="str">
        <f>IF($B513&lt;&gt;"",INDEX(DataOB[],FirstRow+ROW()-7,MATCH(AB$6,DataOB[#Headers],0)),"")</f>
        <v/>
      </c>
      <c r="AC513" s="67" t="str">
        <f>IF($B513&lt;&gt;"",INDEX(DataOB[],FirstRow+ROW()-7,MATCH(AC$6,DataOB[#Headers],0)),"")</f>
        <v/>
      </c>
      <c r="AD513" s="67" t="str">
        <f>IF($B513&lt;&gt;"",INDEX(DataOB[],FirstRow+ROW()-7,MATCH(AD$6,DataOB[#Headers],0)),"")</f>
        <v/>
      </c>
      <c r="AE513" s="67" t="str">
        <f>IF($B513&lt;&gt;"",INDEX(DataOB[],FirstRow+ROW()-7,MATCH(AE$6,DataOB[#Headers],0)),"")</f>
        <v/>
      </c>
      <c r="AF513" s="26">
        <f t="shared" si="77"/>
        <v>0</v>
      </c>
      <c r="AG513" s="31">
        <f>SUM($T513:T513)</f>
        <v>0</v>
      </c>
      <c r="AH513" s="31">
        <f>SUM($T513:U513)</f>
        <v>0</v>
      </c>
      <c r="AI513" s="31">
        <f>SUM($T513:V513)</f>
        <v>0</v>
      </c>
      <c r="AJ513" s="31">
        <f>SUM($T513:W513)</f>
        <v>0</v>
      </c>
      <c r="AK513" s="31">
        <f>SUM($T513:X513)</f>
        <v>0</v>
      </c>
      <c r="AL513" s="31">
        <f>SUM($T513:Y513)</f>
        <v>0</v>
      </c>
      <c r="AM513" s="31">
        <f>SUM($T513:Z513)</f>
        <v>0</v>
      </c>
      <c r="AN513" s="31">
        <f>SUM($T513:AA513)</f>
        <v>0</v>
      </c>
      <c r="AO513" s="31">
        <f>SUM($T513:AB513)</f>
        <v>0</v>
      </c>
      <c r="AP513" s="31">
        <f>SUM($T513:AC513)</f>
        <v>0</v>
      </c>
      <c r="AQ513" s="31">
        <f>SUM($T513:AD513)</f>
        <v>0</v>
      </c>
      <c r="AR513" s="31">
        <f>SUM($T513:AE513)</f>
        <v>0</v>
      </c>
      <c r="AS513" s="27">
        <f t="shared" si="78"/>
        <v>0</v>
      </c>
    </row>
    <row r="514" spans="2:45">
      <c r="B514" s="102" t="str">
        <f>IF(ROW()-6&gt;NumCostCenter,"",IF(CostCenter&lt;&gt;"ALL",CostCenter,DATA_LF2!B512))</f>
        <v/>
      </c>
      <c r="C514" s="153" t="str">
        <f>IF($B514&lt;&gt;"",INDEX(DataOB[],FirstRow+ROW()-7,2),"")</f>
        <v/>
      </c>
      <c r="D514" s="66" t="str">
        <f>IF($B514&lt;&gt;"",INDEX(DataOB[],FirstRow+ROW()-7,3),"")</f>
        <v/>
      </c>
      <c r="E514" s="103" t="str">
        <f>IF($B514&lt;&gt;"",INDEX(DataOB[],FirstRow+ROW()-7,6),"")</f>
        <v/>
      </c>
      <c r="F514" s="103" t="str">
        <f>IF($B514&lt;&gt;"",INDEX(DataOB[],FirstRow+ROW()-7,5),"")</f>
        <v/>
      </c>
      <c r="G514" s="58">
        <f>IF($B514&lt;&gt;"",SUMIFS(DataAct_tbl[AMOUNT],DataAct_tbl[BG CODE],Detail!$D514,DataAct_tbl[MONTH],LEFT(MonthName,3),DataAct_tbl[Dept code],$B514),0)</f>
        <v>0</v>
      </c>
      <c r="H514" s="31" t="str">
        <f t="shared" si="70"/>
        <v/>
      </c>
      <c r="I514" s="28" t="str">
        <f t="shared" si="71"/>
        <v/>
      </c>
      <c r="J514" s="32" t="str">
        <f t="shared" si="72"/>
        <v/>
      </c>
      <c r="K514" s="86"/>
      <c r="L514" s="62">
        <f>IF($B514&lt;&gt;"",SUMIFS(DataAct_tbl[AMOUNT],DataAct_tbl[BG CODE],Detail!$D514,DataAct_tbl[Check Range],"=true",DataAct_tbl[Dept code],$B514),0)</f>
        <v>0</v>
      </c>
      <c r="M514" s="63">
        <f>INDEX($AG$7:$AR$1005,ROW()-6,MATCH(MTD,$AG$6:$AR$6,0))</f>
        <v>0</v>
      </c>
      <c r="N514" s="34">
        <f t="shared" si="73"/>
        <v>0</v>
      </c>
      <c r="O514" s="64" t="str">
        <f t="shared" si="74"/>
        <v xml:space="preserve"> </v>
      </c>
      <c r="Q514" s="97">
        <f t="shared" si="75"/>
        <v>0</v>
      </c>
      <c r="R514" s="96">
        <f t="shared" si="76"/>
        <v>0</v>
      </c>
      <c r="T514" s="67" t="str">
        <f>IF($B514&lt;&gt;"",INDEX(DataOB[],FirstRow+ROW()-7,MATCH(T$6,DataOB[#Headers],0)),"")</f>
        <v/>
      </c>
      <c r="U514" s="67" t="str">
        <f>IF($B514&lt;&gt;"",INDEX(DataOB[],FirstRow+ROW()-7,MATCH(U$6,DataOB[#Headers],0)),"")</f>
        <v/>
      </c>
      <c r="V514" s="67" t="str">
        <f>IF($B514&lt;&gt;"",INDEX(DataOB[],FirstRow+ROW()-7,MATCH(V$6,DataOB[#Headers],0)),"")</f>
        <v/>
      </c>
      <c r="W514" s="67" t="str">
        <f>IF($B514&lt;&gt;"",INDEX(DataOB[],FirstRow+ROW()-7,MATCH(W$6,DataOB[#Headers],0)),"")</f>
        <v/>
      </c>
      <c r="X514" s="67" t="str">
        <f>IF($B514&lt;&gt;"",INDEX(DataOB[],FirstRow+ROW()-7,MATCH(X$6,DataOB[#Headers],0)),"")</f>
        <v/>
      </c>
      <c r="Y514" s="67" t="str">
        <f>IF($B514&lt;&gt;"",INDEX(DataOB[],FirstRow+ROW()-7,MATCH(Y$6,DataOB[#Headers],0)),"")</f>
        <v/>
      </c>
      <c r="Z514" s="67" t="str">
        <f>IF($B514&lt;&gt;"",INDEX(DataOB[],FirstRow+ROW()-7,MATCH(Z$6,DataOB[#Headers],0)),"")</f>
        <v/>
      </c>
      <c r="AA514" s="67" t="str">
        <f>IF($B514&lt;&gt;"",INDEX(DataOB[],FirstRow+ROW()-7,MATCH(AA$6,DataOB[#Headers],0)),"")</f>
        <v/>
      </c>
      <c r="AB514" s="67" t="str">
        <f>IF($B514&lt;&gt;"",INDEX(DataOB[],FirstRow+ROW()-7,MATCH(AB$6,DataOB[#Headers],0)),"")</f>
        <v/>
      </c>
      <c r="AC514" s="67" t="str">
        <f>IF($B514&lt;&gt;"",INDEX(DataOB[],FirstRow+ROW()-7,MATCH(AC$6,DataOB[#Headers],0)),"")</f>
        <v/>
      </c>
      <c r="AD514" s="67" t="str">
        <f>IF($B514&lt;&gt;"",INDEX(DataOB[],FirstRow+ROW()-7,MATCH(AD$6,DataOB[#Headers],0)),"")</f>
        <v/>
      </c>
      <c r="AE514" s="67" t="str">
        <f>IF($B514&lt;&gt;"",INDEX(DataOB[],FirstRow+ROW()-7,MATCH(AE$6,DataOB[#Headers],0)),"")</f>
        <v/>
      </c>
      <c r="AF514" s="26">
        <f t="shared" si="77"/>
        <v>0</v>
      </c>
      <c r="AG514" s="31">
        <f>SUM($T514:T514)</f>
        <v>0</v>
      </c>
      <c r="AH514" s="31">
        <f>SUM($T514:U514)</f>
        <v>0</v>
      </c>
      <c r="AI514" s="31">
        <f>SUM($T514:V514)</f>
        <v>0</v>
      </c>
      <c r="AJ514" s="31">
        <f>SUM($T514:W514)</f>
        <v>0</v>
      </c>
      <c r="AK514" s="31">
        <f>SUM($T514:X514)</f>
        <v>0</v>
      </c>
      <c r="AL514" s="31">
        <f>SUM($T514:Y514)</f>
        <v>0</v>
      </c>
      <c r="AM514" s="31">
        <f>SUM($T514:Z514)</f>
        <v>0</v>
      </c>
      <c r="AN514" s="31">
        <f>SUM($T514:AA514)</f>
        <v>0</v>
      </c>
      <c r="AO514" s="31">
        <f>SUM($T514:AB514)</f>
        <v>0</v>
      </c>
      <c r="AP514" s="31">
        <f>SUM($T514:AC514)</f>
        <v>0</v>
      </c>
      <c r="AQ514" s="31">
        <f>SUM($T514:AD514)</f>
        <v>0</v>
      </c>
      <c r="AR514" s="31">
        <f>SUM($T514:AE514)</f>
        <v>0</v>
      </c>
      <c r="AS514" s="27">
        <f t="shared" si="78"/>
        <v>0</v>
      </c>
    </row>
    <row r="515" spans="2:45">
      <c r="B515" s="102" t="str">
        <f>IF(ROW()-6&gt;NumCostCenter,"",IF(CostCenter&lt;&gt;"ALL",CostCenter,DATA_LF2!B513))</f>
        <v/>
      </c>
      <c r="C515" s="153" t="str">
        <f>IF($B515&lt;&gt;"",INDEX(DataOB[],FirstRow+ROW()-7,2),"")</f>
        <v/>
      </c>
      <c r="D515" s="66" t="str">
        <f>IF($B515&lt;&gt;"",INDEX(DataOB[],FirstRow+ROW()-7,3),"")</f>
        <v/>
      </c>
      <c r="E515" s="103" t="str">
        <f>IF($B515&lt;&gt;"",INDEX(DataOB[],FirstRow+ROW()-7,6),"")</f>
        <v/>
      </c>
      <c r="F515" s="103" t="str">
        <f>IF($B515&lt;&gt;"",INDEX(DataOB[],FirstRow+ROW()-7,5),"")</f>
        <v/>
      </c>
      <c r="G515" s="58">
        <f>IF($B515&lt;&gt;"",SUMIFS(DataAct_tbl[AMOUNT],DataAct_tbl[BG CODE],Detail!$D515,DataAct_tbl[MONTH],LEFT(MonthName,3),DataAct_tbl[Dept code],$B515),0)</f>
        <v>0</v>
      </c>
      <c r="H515" s="31" t="str">
        <f t="shared" si="70"/>
        <v/>
      </c>
      <c r="I515" s="28" t="str">
        <f t="shared" si="71"/>
        <v/>
      </c>
      <c r="J515" s="32" t="str">
        <f t="shared" si="72"/>
        <v/>
      </c>
      <c r="K515" s="86"/>
      <c r="L515" s="62">
        <f>IF($B515&lt;&gt;"",SUMIFS(DataAct_tbl[AMOUNT],DataAct_tbl[BG CODE],Detail!$D515,DataAct_tbl[Check Range],"=true",DataAct_tbl[Dept code],$B515),0)</f>
        <v>0</v>
      </c>
      <c r="M515" s="63">
        <f>INDEX($AG$7:$AR$1005,ROW()-6,MATCH(MTD,$AG$6:$AR$6,0))</f>
        <v>0</v>
      </c>
      <c r="N515" s="34">
        <f t="shared" si="73"/>
        <v>0</v>
      </c>
      <c r="O515" s="64" t="str">
        <f t="shared" si="74"/>
        <v xml:space="preserve"> </v>
      </c>
      <c r="Q515" s="97">
        <f t="shared" si="75"/>
        <v>0</v>
      </c>
      <c r="R515" s="96">
        <f t="shared" si="76"/>
        <v>0</v>
      </c>
      <c r="T515" s="67" t="str">
        <f>IF($B515&lt;&gt;"",INDEX(DataOB[],FirstRow+ROW()-7,MATCH(T$6,DataOB[#Headers],0)),"")</f>
        <v/>
      </c>
      <c r="U515" s="67" t="str">
        <f>IF($B515&lt;&gt;"",INDEX(DataOB[],FirstRow+ROW()-7,MATCH(U$6,DataOB[#Headers],0)),"")</f>
        <v/>
      </c>
      <c r="V515" s="67" t="str">
        <f>IF($B515&lt;&gt;"",INDEX(DataOB[],FirstRow+ROW()-7,MATCH(V$6,DataOB[#Headers],0)),"")</f>
        <v/>
      </c>
      <c r="W515" s="67" t="str">
        <f>IF($B515&lt;&gt;"",INDEX(DataOB[],FirstRow+ROW()-7,MATCH(W$6,DataOB[#Headers],0)),"")</f>
        <v/>
      </c>
      <c r="X515" s="67" t="str">
        <f>IF($B515&lt;&gt;"",INDEX(DataOB[],FirstRow+ROW()-7,MATCH(X$6,DataOB[#Headers],0)),"")</f>
        <v/>
      </c>
      <c r="Y515" s="67" t="str">
        <f>IF($B515&lt;&gt;"",INDEX(DataOB[],FirstRow+ROW()-7,MATCH(Y$6,DataOB[#Headers],0)),"")</f>
        <v/>
      </c>
      <c r="Z515" s="67" t="str">
        <f>IF($B515&lt;&gt;"",INDEX(DataOB[],FirstRow+ROW()-7,MATCH(Z$6,DataOB[#Headers],0)),"")</f>
        <v/>
      </c>
      <c r="AA515" s="67" t="str">
        <f>IF($B515&lt;&gt;"",INDEX(DataOB[],FirstRow+ROW()-7,MATCH(AA$6,DataOB[#Headers],0)),"")</f>
        <v/>
      </c>
      <c r="AB515" s="67" t="str">
        <f>IF($B515&lt;&gt;"",INDEX(DataOB[],FirstRow+ROW()-7,MATCH(AB$6,DataOB[#Headers],0)),"")</f>
        <v/>
      </c>
      <c r="AC515" s="67" t="str">
        <f>IF($B515&lt;&gt;"",INDEX(DataOB[],FirstRow+ROW()-7,MATCH(AC$6,DataOB[#Headers],0)),"")</f>
        <v/>
      </c>
      <c r="AD515" s="67" t="str">
        <f>IF($B515&lt;&gt;"",INDEX(DataOB[],FirstRow+ROW()-7,MATCH(AD$6,DataOB[#Headers],0)),"")</f>
        <v/>
      </c>
      <c r="AE515" s="67" t="str">
        <f>IF($B515&lt;&gt;"",INDEX(DataOB[],FirstRow+ROW()-7,MATCH(AE$6,DataOB[#Headers],0)),"")</f>
        <v/>
      </c>
      <c r="AF515" s="26">
        <f t="shared" si="77"/>
        <v>0</v>
      </c>
      <c r="AG515" s="31">
        <f>SUM($T515:T515)</f>
        <v>0</v>
      </c>
      <c r="AH515" s="31">
        <f>SUM($T515:U515)</f>
        <v>0</v>
      </c>
      <c r="AI515" s="31">
        <f>SUM($T515:V515)</f>
        <v>0</v>
      </c>
      <c r="AJ515" s="31">
        <f>SUM($T515:W515)</f>
        <v>0</v>
      </c>
      <c r="AK515" s="31">
        <f>SUM($T515:X515)</f>
        <v>0</v>
      </c>
      <c r="AL515" s="31">
        <f>SUM($T515:Y515)</f>
        <v>0</v>
      </c>
      <c r="AM515" s="31">
        <f>SUM($T515:Z515)</f>
        <v>0</v>
      </c>
      <c r="AN515" s="31">
        <f>SUM($T515:AA515)</f>
        <v>0</v>
      </c>
      <c r="AO515" s="31">
        <f>SUM($T515:AB515)</f>
        <v>0</v>
      </c>
      <c r="AP515" s="31">
        <f>SUM($T515:AC515)</f>
        <v>0</v>
      </c>
      <c r="AQ515" s="31">
        <f>SUM($T515:AD515)</f>
        <v>0</v>
      </c>
      <c r="AR515" s="31">
        <f>SUM($T515:AE515)</f>
        <v>0</v>
      </c>
      <c r="AS515" s="27">
        <f t="shared" si="78"/>
        <v>0</v>
      </c>
    </row>
    <row r="516" spans="2:45">
      <c r="B516" s="102" t="str">
        <f>IF(ROW()-6&gt;NumCostCenter,"",IF(CostCenter&lt;&gt;"ALL",CostCenter,DATA_LF2!B514))</f>
        <v/>
      </c>
      <c r="C516" s="153" t="str">
        <f>IF($B516&lt;&gt;"",INDEX(DataOB[],FirstRow+ROW()-7,2),"")</f>
        <v/>
      </c>
      <c r="D516" s="66" t="str">
        <f>IF($B516&lt;&gt;"",INDEX(DataOB[],FirstRow+ROW()-7,3),"")</f>
        <v/>
      </c>
      <c r="E516" s="103" t="str">
        <f>IF($B516&lt;&gt;"",INDEX(DataOB[],FirstRow+ROW()-7,6),"")</f>
        <v/>
      </c>
      <c r="F516" s="103" t="str">
        <f>IF($B516&lt;&gt;"",INDEX(DataOB[],FirstRow+ROW()-7,5),"")</f>
        <v/>
      </c>
      <c r="G516" s="58">
        <f>IF($B516&lt;&gt;"",SUMIFS(DataAct_tbl[AMOUNT],DataAct_tbl[BG CODE],Detail!$D516,DataAct_tbl[MONTH],LEFT(MonthName,3),DataAct_tbl[Dept code],$B516),0)</f>
        <v>0</v>
      </c>
      <c r="H516" s="31" t="str">
        <f t="shared" si="70"/>
        <v/>
      </c>
      <c r="I516" s="28" t="str">
        <f t="shared" si="71"/>
        <v/>
      </c>
      <c r="J516" s="32" t="str">
        <f t="shared" si="72"/>
        <v/>
      </c>
      <c r="K516" s="86"/>
      <c r="L516" s="62">
        <f>IF($B516&lt;&gt;"",SUMIFS(DataAct_tbl[AMOUNT],DataAct_tbl[BG CODE],Detail!$D516,DataAct_tbl[Check Range],"=true",DataAct_tbl[Dept code],$B516),0)</f>
        <v>0</v>
      </c>
      <c r="M516" s="63">
        <f>INDEX($AG$7:$AR$1005,ROW()-6,MATCH(MTD,$AG$6:$AR$6,0))</f>
        <v>0</v>
      </c>
      <c r="N516" s="34">
        <f t="shared" si="73"/>
        <v>0</v>
      </c>
      <c r="O516" s="64" t="str">
        <f t="shared" si="74"/>
        <v xml:space="preserve"> </v>
      </c>
      <c r="Q516" s="97">
        <f t="shared" si="75"/>
        <v>0</v>
      </c>
      <c r="R516" s="96">
        <f t="shared" si="76"/>
        <v>0</v>
      </c>
      <c r="T516" s="67" t="str">
        <f>IF($B516&lt;&gt;"",INDEX(DataOB[],FirstRow+ROW()-7,MATCH(T$6,DataOB[#Headers],0)),"")</f>
        <v/>
      </c>
      <c r="U516" s="67" t="str">
        <f>IF($B516&lt;&gt;"",INDEX(DataOB[],FirstRow+ROW()-7,MATCH(U$6,DataOB[#Headers],0)),"")</f>
        <v/>
      </c>
      <c r="V516" s="67" t="str">
        <f>IF($B516&lt;&gt;"",INDEX(DataOB[],FirstRow+ROW()-7,MATCH(V$6,DataOB[#Headers],0)),"")</f>
        <v/>
      </c>
      <c r="W516" s="67" t="str">
        <f>IF($B516&lt;&gt;"",INDEX(DataOB[],FirstRow+ROW()-7,MATCH(W$6,DataOB[#Headers],0)),"")</f>
        <v/>
      </c>
      <c r="X516" s="67" t="str">
        <f>IF($B516&lt;&gt;"",INDEX(DataOB[],FirstRow+ROW()-7,MATCH(X$6,DataOB[#Headers],0)),"")</f>
        <v/>
      </c>
      <c r="Y516" s="67" t="str">
        <f>IF($B516&lt;&gt;"",INDEX(DataOB[],FirstRow+ROW()-7,MATCH(Y$6,DataOB[#Headers],0)),"")</f>
        <v/>
      </c>
      <c r="Z516" s="67" t="str">
        <f>IF($B516&lt;&gt;"",INDEX(DataOB[],FirstRow+ROW()-7,MATCH(Z$6,DataOB[#Headers],0)),"")</f>
        <v/>
      </c>
      <c r="AA516" s="67" t="str">
        <f>IF($B516&lt;&gt;"",INDEX(DataOB[],FirstRow+ROW()-7,MATCH(AA$6,DataOB[#Headers],0)),"")</f>
        <v/>
      </c>
      <c r="AB516" s="67" t="str">
        <f>IF($B516&lt;&gt;"",INDEX(DataOB[],FirstRow+ROW()-7,MATCH(AB$6,DataOB[#Headers],0)),"")</f>
        <v/>
      </c>
      <c r="AC516" s="67" t="str">
        <f>IF($B516&lt;&gt;"",INDEX(DataOB[],FirstRow+ROW()-7,MATCH(AC$6,DataOB[#Headers],0)),"")</f>
        <v/>
      </c>
      <c r="AD516" s="67" t="str">
        <f>IF($B516&lt;&gt;"",INDEX(DataOB[],FirstRow+ROW()-7,MATCH(AD$6,DataOB[#Headers],0)),"")</f>
        <v/>
      </c>
      <c r="AE516" s="67" t="str">
        <f>IF($B516&lt;&gt;"",INDEX(DataOB[],FirstRow+ROW()-7,MATCH(AE$6,DataOB[#Headers],0)),"")</f>
        <v/>
      </c>
      <c r="AF516" s="26">
        <f t="shared" si="77"/>
        <v>0</v>
      </c>
      <c r="AG516" s="31">
        <f>SUM($T516:T516)</f>
        <v>0</v>
      </c>
      <c r="AH516" s="31">
        <f>SUM($T516:U516)</f>
        <v>0</v>
      </c>
      <c r="AI516" s="31">
        <f>SUM($T516:V516)</f>
        <v>0</v>
      </c>
      <c r="AJ516" s="31">
        <f>SUM($T516:W516)</f>
        <v>0</v>
      </c>
      <c r="AK516" s="31">
        <f>SUM($T516:X516)</f>
        <v>0</v>
      </c>
      <c r="AL516" s="31">
        <f>SUM($T516:Y516)</f>
        <v>0</v>
      </c>
      <c r="AM516" s="31">
        <f>SUM($T516:Z516)</f>
        <v>0</v>
      </c>
      <c r="AN516" s="31">
        <f>SUM($T516:AA516)</f>
        <v>0</v>
      </c>
      <c r="AO516" s="31">
        <f>SUM($T516:AB516)</f>
        <v>0</v>
      </c>
      <c r="AP516" s="31">
        <f>SUM($T516:AC516)</f>
        <v>0</v>
      </c>
      <c r="AQ516" s="31">
        <f>SUM($T516:AD516)</f>
        <v>0</v>
      </c>
      <c r="AR516" s="31">
        <f>SUM($T516:AE516)</f>
        <v>0</v>
      </c>
      <c r="AS516" s="27">
        <f t="shared" si="78"/>
        <v>0</v>
      </c>
    </row>
    <row r="517" spans="2:45">
      <c r="B517" s="102" t="str">
        <f>IF(ROW()-6&gt;NumCostCenter,"",IF(CostCenter&lt;&gt;"ALL",CostCenter,DATA_LF2!B515))</f>
        <v/>
      </c>
      <c r="C517" s="153" t="str">
        <f>IF($B517&lt;&gt;"",INDEX(DataOB[],FirstRow+ROW()-7,2),"")</f>
        <v/>
      </c>
      <c r="D517" s="66" t="str">
        <f>IF($B517&lt;&gt;"",INDEX(DataOB[],FirstRow+ROW()-7,3),"")</f>
        <v/>
      </c>
      <c r="E517" s="103" t="str">
        <f>IF($B517&lt;&gt;"",INDEX(DataOB[],FirstRow+ROW()-7,6),"")</f>
        <v/>
      </c>
      <c r="F517" s="103" t="str">
        <f>IF($B517&lt;&gt;"",INDEX(DataOB[],FirstRow+ROW()-7,5),"")</f>
        <v/>
      </c>
      <c r="G517" s="58">
        <f>IF($B517&lt;&gt;"",SUMIFS(DataAct_tbl[AMOUNT],DataAct_tbl[BG CODE],Detail!$D517,DataAct_tbl[MONTH],LEFT(MonthName,3),DataAct_tbl[Dept code],$B517),0)</f>
        <v>0</v>
      </c>
      <c r="H517" s="31" t="str">
        <f t="shared" si="70"/>
        <v/>
      </c>
      <c r="I517" s="28" t="str">
        <f t="shared" si="71"/>
        <v/>
      </c>
      <c r="J517" s="32" t="str">
        <f t="shared" si="72"/>
        <v/>
      </c>
      <c r="K517" s="86"/>
      <c r="L517" s="62">
        <f>IF($B517&lt;&gt;"",SUMIFS(DataAct_tbl[AMOUNT],DataAct_tbl[BG CODE],Detail!$D517,DataAct_tbl[Check Range],"=true",DataAct_tbl[Dept code],$B517),0)</f>
        <v>0</v>
      </c>
      <c r="M517" s="63">
        <f>INDEX($AG$7:$AR$1005,ROW()-6,MATCH(MTD,$AG$6:$AR$6,0))</f>
        <v>0</v>
      </c>
      <c r="N517" s="34">
        <f t="shared" si="73"/>
        <v>0</v>
      </c>
      <c r="O517" s="64" t="str">
        <f t="shared" si="74"/>
        <v xml:space="preserve"> </v>
      </c>
      <c r="Q517" s="97">
        <f t="shared" si="75"/>
        <v>0</v>
      </c>
      <c r="R517" s="96">
        <f t="shared" si="76"/>
        <v>0</v>
      </c>
      <c r="T517" s="67" t="str">
        <f>IF($B517&lt;&gt;"",INDEX(DataOB[],FirstRow+ROW()-7,MATCH(T$6,DataOB[#Headers],0)),"")</f>
        <v/>
      </c>
      <c r="U517" s="67" t="str">
        <f>IF($B517&lt;&gt;"",INDEX(DataOB[],FirstRow+ROW()-7,MATCH(U$6,DataOB[#Headers],0)),"")</f>
        <v/>
      </c>
      <c r="V517" s="67" t="str">
        <f>IF($B517&lt;&gt;"",INDEX(DataOB[],FirstRow+ROW()-7,MATCH(V$6,DataOB[#Headers],0)),"")</f>
        <v/>
      </c>
      <c r="W517" s="67" t="str">
        <f>IF($B517&lt;&gt;"",INDEX(DataOB[],FirstRow+ROW()-7,MATCH(W$6,DataOB[#Headers],0)),"")</f>
        <v/>
      </c>
      <c r="X517" s="67" t="str">
        <f>IF($B517&lt;&gt;"",INDEX(DataOB[],FirstRow+ROW()-7,MATCH(X$6,DataOB[#Headers],0)),"")</f>
        <v/>
      </c>
      <c r="Y517" s="67" t="str">
        <f>IF($B517&lt;&gt;"",INDEX(DataOB[],FirstRow+ROW()-7,MATCH(Y$6,DataOB[#Headers],0)),"")</f>
        <v/>
      </c>
      <c r="Z517" s="67" t="str">
        <f>IF($B517&lt;&gt;"",INDEX(DataOB[],FirstRow+ROW()-7,MATCH(Z$6,DataOB[#Headers],0)),"")</f>
        <v/>
      </c>
      <c r="AA517" s="67" t="str">
        <f>IF($B517&lt;&gt;"",INDEX(DataOB[],FirstRow+ROW()-7,MATCH(AA$6,DataOB[#Headers],0)),"")</f>
        <v/>
      </c>
      <c r="AB517" s="67" t="str">
        <f>IF($B517&lt;&gt;"",INDEX(DataOB[],FirstRow+ROW()-7,MATCH(AB$6,DataOB[#Headers],0)),"")</f>
        <v/>
      </c>
      <c r="AC517" s="67" t="str">
        <f>IF($B517&lt;&gt;"",INDEX(DataOB[],FirstRow+ROW()-7,MATCH(AC$6,DataOB[#Headers],0)),"")</f>
        <v/>
      </c>
      <c r="AD517" s="67" t="str">
        <f>IF($B517&lt;&gt;"",INDEX(DataOB[],FirstRow+ROW()-7,MATCH(AD$6,DataOB[#Headers],0)),"")</f>
        <v/>
      </c>
      <c r="AE517" s="67" t="str">
        <f>IF($B517&lt;&gt;"",INDEX(DataOB[],FirstRow+ROW()-7,MATCH(AE$6,DataOB[#Headers],0)),"")</f>
        <v/>
      </c>
      <c r="AF517" s="26">
        <f t="shared" si="77"/>
        <v>0</v>
      </c>
      <c r="AG517" s="31">
        <f>SUM($T517:T517)</f>
        <v>0</v>
      </c>
      <c r="AH517" s="31">
        <f>SUM($T517:U517)</f>
        <v>0</v>
      </c>
      <c r="AI517" s="31">
        <f>SUM($T517:V517)</f>
        <v>0</v>
      </c>
      <c r="AJ517" s="31">
        <f>SUM($T517:W517)</f>
        <v>0</v>
      </c>
      <c r="AK517" s="31">
        <f>SUM($T517:X517)</f>
        <v>0</v>
      </c>
      <c r="AL517" s="31">
        <f>SUM($T517:Y517)</f>
        <v>0</v>
      </c>
      <c r="AM517" s="31">
        <f>SUM($T517:Z517)</f>
        <v>0</v>
      </c>
      <c r="AN517" s="31">
        <f>SUM($T517:AA517)</f>
        <v>0</v>
      </c>
      <c r="AO517" s="31">
        <f>SUM($T517:AB517)</f>
        <v>0</v>
      </c>
      <c r="AP517" s="31">
        <f>SUM($T517:AC517)</f>
        <v>0</v>
      </c>
      <c r="AQ517" s="31">
        <f>SUM($T517:AD517)</f>
        <v>0</v>
      </c>
      <c r="AR517" s="31">
        <f>SUM($T517:AE517)</f>
        <v>0</v>
      </c>
      <c r="AS517" s="27">
        <f t="shared" si="78"/>
        <v>0</v>
      </c>
    </row>
    <row r="518" spans="2:45">
      <c r="B518" s="102" t="str">
        <f>IF(ROW()-6&gt;NumCostCenter,"",IF(CostCenter&lt;&gt;"ALL",CostCenter,DATA_LF2!B516))</f>
        <v/>
      </c>
      <c r="C518" s="153" t="str">
        <f>IF($B518&lt;&gt;"",INDEX(DataOB[],FirstRow+ROW()-7,2),"")</f>
        <v/>
      </c>
      <c r="D518" s="66" t="str">
        <f>IF($B518&lt;&gt;"",INDEX(DataOB[],FirstRow+ROW()-7,3),"")</f>
        <v/>
      </c>
      <c r="E518" s="103" t="str">
        <f>IF($B518&lt;&gt;"",INDEX(DataOB[],FirstRow+ROW()-7,6),"")</f>
        <v/>
      </c>
      <c r="F518" s="103" t="str">
        <f>IF($B518&lt;&gt;"",INDEX(DataOB[],FirstRow+ROW()-7,5),"")</f>
        <v/>
      </c>
      <c r="G518" s="58">
        <f>IF($B518&lt;&gt;"",SUMIFS(DataAct_tbl[AMOUNT],DataAct_tbl[BG CODE],Detail!$D518,DataAct_tbl[MONTH],LEFT(MonthName,3),DataAct_tbl[Dept code],$B518),0)</f>
        <v>0</v>
      </c>
      <c r="H518" s="31" t="str">
        <f t="shared" si="70"/>
        <v/>
      </c>
      <c r="I518" s="28" t="str">
        <f t="shared" si="71"/>
        <v/>
      </c>
      <c r="J518" s="32" t="str">
        <f t="shared" si="72"/>
        <v/>
      </c>
      <c r="K518" s="86"/>
      <c r="L518" s="62">
        <f>IF($B518&lt;&gt;"",SUMIFS(DataAct_tbl[AMOUNT],DataAct_tbl[BG CODE],Detail!$D518,DataAct_tbl[Check Range],"=true",DataAct_tbl[Dept code],$B518),0)</f>
        <v>0</v>
      </c>
      <c r="M518" s="63">
        <f>INDEX($AG$7:$AR$1005,ROW()-6,MATCH(MTD,$AG$6:$AR$6,0))</f>
        <v>0</v>
      </c>
      <c r="N518" s="34">
        <f t="shared" si="73"/>
        <v>0</v>
      </c>
      <c r="O518" s="64" t="str">
        <f t="shared" si="74"/>
        <v xml:space="preserve"> </v>
      </c>
      <c r="Q518" s="97">
        <f t="shared" si="75"/>
        <v>0</v>
      </c>
      <c r="R518" s="96">
        <f t="shared" si="76"/>
        <v>0</v>
      </c>
      <c r="T518" s="67" t="str">
        <f>IF($B518&lt;&gt;"",INDEX(DataOB[],FirstRow+ROW()-7,MATCH(T$6,DataOB[#Headers],0)),"")</f>
        <v/>
      </c>
      <c r="U518" s="67" t="str">
        <f>IF($B518&lt;&gt;"",INDEX(DataOB[],FirstRow+ROW()-7,MATCH(U$6,DataOB[#Headers],0)),"")</f>
        <v/>
      </c>
      <c r="V518" s="67" t="str">
        <f>IF($B518&lt;&gt;"",INDEX(DataOB[],FirstRow+ROW()-7,MATCH(V$6,DataOB[#Headers],0)),"")</f>
        <v/>
      </c>
      <c r="W518" s="67" t="str">
        <f>IF($B518&lt;&gt;"",INDEX(DataOB[],FirstRow+ROW()-7,MATCH(W$6,DataOB[#Headers],0)),"")</f>
        <v/>
      </c>
      <c r="X518" s="67" t="str">
        <f>IF($B518&lt;&gt;"",INDEX(DataOB[],FirstRow+ROW()-7,MATCH(X$6,DataOB[#Headers],0)),"")</f>
        <v/>
      </c>
      <c r="Y518" s="67" t="str">
        <f>IF($B518&lt;&gt;"",INDEX(DataOB[],FirstRow+ROW()-7,MATCH(Y$6,DataOB[#Headers],0)),"")</f>
        <v/>
      </c>
      <c r="Z518" s="67" t="str">
        <f>IF($B518&lt;&gt;"",INDEX(DataOB[],FirstRow+ROW()-7,MATCH(Z$6,DataOB[#Headers],0)),"")</f>
        <v/>
      </c>
      <c r="AA518" s="67" t="str">
        <f>IF($B518&lt;&gt;"",INDEX(DataOB[],FirstRow+ROW()-7,MATCH(AA$6,DataOB[#Headers],0)),"")</f>
        <v/>
      </c>
      <c r="AB518" s="67" t="str">
        <f>IF($B518&lt;&gt;"",INDEX(DataOB[],FirstRow+ROW()-7,MATCH(AB$6,DataOB[#Headers],0)),"")</f>
        <v/>
      </c>
      <c r="AC518" s="67" t="str">
        <f>IF($B518&lt;&gt;"",INDEX(DataOB[],FirstRow+ROW()-7,MATCH(AC$6,DataOB[#Headers],0)),"")</f>
        <v/>
      </c>
      <c r="AD518" s="67" t="str">
        <f>IF($B518&lt;&gt;"",INDEX(DataOB[],FirstRow+ROW()-7,MATCH(AD$6,DataOB[#Headers],0)),"")</f>
        <v/>
      </c>
      <c r="AE518" s="67" t="str">
        <f>IF($B518&lt;&gt;"",INDEX(DataOB[],FirstRow+ROW()-7,MATCH(AE$6,DataOB[#Headers],0)),"")</f>
        <v/>
      </c>
      <c r="AF518" s="26">
        <f t="shared" si="77"/>
        <v>0</v>
      </c>
      <c r="AG518" s="31">
        <f>SUM($T518:T518)</f>
        <v>0</v>
      </c>
      <c r="AH518" s="31">
        <f>SUM($T518:U518)</f>
        <v>0</v>
      </c>
      <c r="AI518" s="31">
        <f>SUM($T518:V518)</f>
        <v>0</v>
      </c>
      <c r="AJ518" s="31">
        <f>SUM($T518:W518)</f>
        <v>0</v>
      </c>
      <c r="AK518" s="31">
        <f>SUM($T518:X518)</f>
        <v>0</v>
      </c>
      <c r="AL518" s="31">
        <f>SUM($T518:Y518)</f>
        <v>0</v>
      </c>
      <c r="AM518" s="31">
        <f>SUM($T518:Z518)</f>
        <v>0</v>
      </c>
      <c r="AN518" s="31">
        <f>SUM($T518:AA518)</f>
        <v>0</v>
      </c>
      <c r="AO518" s="31">
        <f>SUM($T518:AB518)</f>
        <v>0</v>
      </c>
      <c r="AP518" s="31">
        <f>SUM($T518:AC518)</f>
        <v>0</v>
      </c>
      <c r="AQ518" s="31">
        <f>SUM($T518:AD518)</f>
        <v>0</v>
      </c>
      <c r="AR518" s="31">
        <f>SUM($T518:AE518)</f>
        <v>0</v>
      </c>
      <c r="AS518" s="27">
        <f t="shared" si="78"/>
        <v>0</v>
      </c>
    </row>
    <row r="519" spans="2:45">
      <c r="B519" s="102" t="str">
        <f>IF(ROW()-6&gt;NumCostCenter,"",IF(CostCenter&lt;&gt;"ALL",CostCenter,DATA_LF2!B517))</f>
        <v/>
      </c>
      <c r="C519" s="153" t="str">
        <f>IF($B519&lt;&gt;"",INDEX(DataOB[],FirstRow+ROW()-7,2),"")</f>
        <v/>
      </c>
      <c r="D519" s="66" t="str">
        <f>IF($B519&lt;&gt;"",INDEX(DataOB[],FirstRow+ROW()-7,3),"")</f>
        <v/>
      </c>
      <c r="E519" s="103" t="str">
        <f>IF($B519&lt;&gt;"",INDEX(DataOB[],FirstRow+ROW()-7,6),"")</f>
        <v/>
      </c>
      <c r="F519" s="103" t="str">
        <f>IF($B519&lt;&gt;"",INDEX(DataOB[],FirstRow+ROW()-7,5),"")</f>
        <v/>
      </c>
      <c r="G519" s="58">
        <f>IF($B519&lt;&gt;"",SUMIFS(DataAct_tbl[AMOUNT],DataAct_tbl[BG CODE],Detail!$D519,DataAct_tbl[MONTH],LEFT(MonthName,3),DataAct_tbl[Dept code],$B519),0)</f>
        <v>0</v>
      </c>
      <c r="H519" s="31" t="str">
        <f t="shared" ref="H519:H582" si="79">INDEX($T$7:$AE$1005,ROW()-6,MATCH(MonthName,$T$6:$AE$6,0))</f>
        <v/>
      </c>
      <c r="I519" s="28" t="str">
        <f t="shared" si="71"/>
        <v/>
      </c>
      <c r="J519" s="32" t="str">
        <f t="shared" si="72"/>
        <v/>
      </c>
      <c r="K519" s="86"/>
      <c r="L519" s="62">
        <f>IF($B519&lt;&gt;"",SUMIFS(DataAct_tbl[AMOUNT],DataAct_tbl[BG CODE],Detail!$D519,DataAct_tbl[Check Range],"=true",DataAct_tbl[Dept code],$B519),0)</f>
        <v>0</v>
      </c>
      <c r="M519" s="63">
        <f>INDEX($AG$7:$AR$1005,ROW()-6,MATCH(MTD,$AG$6:$AR$6,0))</f>
        <v>0</v>
      </c>
      <c r="N519" s="34">
        <f t="shared" si="73"/>
        <v>0</v>
      </c>
      <c r="O519" s="64" t="str">
        <f t="shared" si="74"/>
        <v xml:space="preserve"> </v>
      </c>
      <c r="Q519" s="97">
        <f t="shared" si="75"/>
        <v>0</v>
      </c>
      <c r="R519" s="96">
        <f t="shared" si="76"/>
        <v>0</v>
      </c>
      <c r="T519" s="67" t="str">
        <f>IF($B519&lt;&gt;"",INDEX(DataOB[],FirstRow+ROW()-7,MATCH(T$6,DataOB[#Headers],0)),"")</f>
        <v/>
      </c>
      <c r="U519" s="67" t="str">
        <f>IF($B519&lt;&gt;"",INDEX(DataOB[],FirstRow+ROW()-7,MATCH(U$6,DataOB[#Headers],0)),"")</f>
        <v/>
      </c>
      <c r="V519" s="67" t="str">
        <f>IF($B519&lt;&gt;"",INDEX(DataOB[],FirstRow+ROW()-7,MATCH(V$6,DataOB[#Headers],0)),"")</f>
        <v/>
      </c>
      <c r="W519" s="67" t="str">
        <f>IF($B519&lt;&gt;"",INDEX(DataOB[],FirstRow+ROW()-7,MATCH(W$6,DataOB[#Headers],0)),"")</f>
        <v/>
      </c>
      <c r="X519" s="67" t="str">
        <f>IF($B519&lt;&gt;"",INDEX(DataOB[],FirstRow+ROW()-7,MATCH(X$6,DataOB[#Headers],0)),"")</f>
        <v/>
      </c>
      <c r="Y519" s="67" t="str">
        <f>IF($B519&lt;&gt;"",INDEX(DataOB[],FirstRow+ROW()-7,MATCH(Y$6,DataOB[#Headers],0)),"")</f>
        <v/>
      </c>
      <c r="Z519" s="67" t="str">
        <f>IF($B519&lt;&gt;"",INDEX(DataOB[],FirstRow+ROW()-7,MATCH(Z$6,DataOB[#Headers],0)),"")</f>
        <v/>
      </c>
      <c r="AA519" s="67" t="str">
        <f>IF($B519&lt;&gt;"",INDEX(DataOB[],FirstRow+ROW()-7,MATCH(AA$6,DataOB[#Headers],0)),"")</f>
        <v/>
      </c>
      <c r="AB519" s="67" t="str">
        <f>IF($B519&lt;&gt;"",INDEX(DataOB[],FirstRow+ROW()-7,MATCH(AB$6,DataOB[#Headers],0)),"")</f>
        <v/>
      </c>
      <c r="AC519" s="67" t="str">
        <f>IF($B519&lt;&gt;"",INDEX(DataOB[],FirstRow+ROW()-7,MATCH(AC$6,DataOB[#Headers],0)),"")</f>
        <v/>
      </c>
      <c r="AD519" s="67" t="str">
        <f>IF($B519&lt;&gt;"",INDEX(DataOB[],FirstRow+ROW()-7,MATCH(AD$6,DataOB[#Headers],0)),"")</f>
        <v/>
      </c>
      <c r="AE519" s="67" t="str">
        <f>IF($B519&lt;&gt;"",INDEX(DataOB[],FirstRow+ROW()-7,MATCH(AE$6,DataOB[#Headers],0)),"")</f>
        <v/>
      </c>
      <c r="AF519" s="26">
        <f t="shared" si="77"/>
        <v>0</v>
      </c>
      <c r="AG519" s="31">
        <f>SUM($T519:T519)</f>
        <v>0</v>
      </c>
      <c r="AH519" s="31">
        <f>SUM($T519:U519)</f>
        <v>0</v>
      </c>
      <c r="AI519" s="31">
        <f>SUM($T519:V519)</f>
        <v>0</v>
      </c>
      <c r="AJ519" s="31">
        <f>SUM($T519:W519)</f>
        <v>0</v>
      </c>
      <c r="AK519" s="31">
        <f>SUM($T519:X519)</f>
        <v>0</v>
      </c>
      <c r="AL519" s="31">
        <f>SUM($T519:Y519)</f>
        <v>0</v>
      </c>
      <c r="AM519" s="31">
        <f>SUM($T519:Z519)</f>
        <v>0</v>
      </c>
      <c r="AN519" s="31">
        <f>SUM($T519:AA519)</f>
        <v>0</v>
      </c>
      <c r="AO519" s="31">
        <f>SUM($T519:AB519)</f>
        <v>0</v>
      </c>
      <c r="AP519" s="31">
        <f>SUM($T519:AC519)</f>
        <v>0</v>
      </c>
      <c r="AQ519" s="31">
        <f>SUM($T519:AD519)</f>
        <v>0</v>
      </c>
      <c r="AR519" s="31">
        <f>SUM($T519:AE519)</f>
        <v>0</v>
      </c>
      <c r="AS519" s="27">
        <f t="shared" si="78"/>
        <v>0</v>
      </c>
    </row>
    <row r="520" spans="2:45">
      <c r="B520" s="102" t="str">
        <f>IF(ROW()-6&gt;NumCostCenter,"",IF(CostCenter&lt;&gt;"ALL",CostCenter,DATA_LF2!B518))</f>
        <v/>
      </c>
      <c r="C520" s="153" t="str">
        <f>IF($B520&lt;&gt;"",INDEX(DataOB[],FirstRow+ROW()-7,2),"")</f>
        <v/>
      </c>
      <c r="D520" s="66" t="str">
        <f>IF($B520&lt;&gt;"",INDEX(DataOB[],FirstRow+ROW()-7,3),"")</f>
        <v/>
      </c>
      <c r="E520" s="103" t="str">
        <f>IF($B520&lt;&gt;"",INDEX(DataOB[],FirstRow+ROW()-7,6),"")</f>
        <v/>
      </c>
      <c r="F520" s="103" t="str">
        <f>IF($B520&lt;&gt;"",INDEX(DataOB[],FirstRow+ROW()-7,5),"")</f>
        <v/>
      </c>
      <c r="G520" s="58">
        <f>IF($B520&lt;&gt;"",SUMIFS(DataAct_tbl[AMOUNT],DataAct_tbl[BG CODE],Detail!$D520,DataAct_tbl[MONTH],LEFT(MonthName,3),DataAct_tbl[Dept code],$B520),0)</f>
        <v>0</v>
      </c>
      <c r="H520" s="31" t="str">
        <f t="shared" si="79"/>
        <v/>
      </c>
      <c r="I520" s="28" t="str">
        <f t="shared" ref="I520:I583" si="80">IFERROR(+G520-H520,"")</f>
        <v/>
      </c>
      <c r="J520" s="32" t="str">
        <f t="shared" ref="J520:J583" si="81">IFERROR(+IF(H520&gt;0,G520/H520," "),"")</f>
        <v/>
      </c>
      <c r="K520" s="86"/>
      <c r="L520" s="62">
        <f>IF($B520&lt;&gt;"",SUMIFS(DataAct_tbl[AMOUNT],DataAct_tbl[BG CODE],Detail!$D520,DataAct_tbl[Check Range],"=true",DataAct_tbl[Dept code],$B520),0)</f>
        <v>0</v>
      </c>
      <c r="M520" s="63">
        <f>INDEX($AG$7:$AR$1005,ROW()-6,MATCH(MTD,$AG$6:$AR$6,0))</f>
        <v>0</v>
      </c>
      <c r="N520" s="34">
        <f t="shared" ref="N520:N583" si="82">IFERROR(+L520-M520,"")</f>
        <v>0</v>
      </c>
      <c r="O520" s="64" t="str">
        <f t="shared" ref="O520:O583" si="83">IFERROR(+IF(M520&gt;0,L520/M520," "),"")</f>
        <v xml:space="preserve"> </v>
      </c>
      <c r="Q520" s="97">
        <f t="shared" ref="Q520:Q583" si="84">AF520</f>
        <v>0</v>
      </c>
      <c r="R520" s="96">
        <f t="shared" ref="R520:R583" si="85">Q520-L520</f>
        <v>0</v>
      </c>
      <c r="T520" s="67" t="str">
        <f>IF($B520&lt;&gt;"",INDEX(DataOB[],FirstRow+ROW()-7,MATCH(T$6,DataOB[#Headers],0)),"")</f>
        <v/>
      </c>
      <c r="U520" s="67" t="str">
        <f>IF($B520&lt;&gt;"",INDEX(DataOB[],FirstRow+ROW()-7,MATCH(U$6,DataOB[#Headers],0)),"")</f>
        <v/>
      </c>
      <c r="V520" s="67" t="str">
        <f>IF($B520&lt;&gt;"",INDEX(DataOB[],FirstRow+ROW()-7,MATCH(V$6,DataOB[#Headers],0)),"")</f>
        <v/>
      </c>
      <c r="W520" s="67" t="str">
        <f>IF($B520&lt;&gt;"",INDEX(DataOB[],FirstRow+ROW()-7,MATCH(W$6,DataOB[#Headers],0)),"")</f>
        <v/>
      </c>
      <c r="X520" s="67" t="str">
        <f>IF($B520&lt;&gt;"",INDEX(DataOB[],FirstRow+ROW()-7,MATCH(X$6,DataOB[#Headers],0)),"")</f>
        <v/>
      </c>
      <c r="Y520" s="67" t="str">
        <f>IF($B520&lt;&gt;"",INDEX(DataOB[],FirstRow+ROW()-7,MATCH(Y$6,DataOB[#Headers],0)),"")</f>
        <v/>
      </c>
      <c r="Z520" s="67" t="str">
        <f>IF($B520&lt;&gt;"",INDEX(DataOB[],FirstRow+ROW()-7,MATCH(Z$6,DataOB[#Headers],0)),"")</f>
        <v/>
      </c>
      <c r="AA520" s="67" t="str">
        <f>IF($B520&lt;&gt;"",INDEX(DataOB[],FirstRow+ROW()-7,MATCH(AA$6,DataOB[#Headers],0)),"")</f>
        <v/>
      </c>
      <c r="AB520" s="67" t="str">
        <f>IF($B520&lt;&gt;"",INDEX(DataOB[],FirstRow+ROW()-7,MATCH(AB$6,DataOB[#Headers],0)),"")</f>
        <v/>
      </c>
      <c r="AC520" s="67" t="str">
        <f>IF($B520&lt;&gt;"",INDEX(DataOB[],FirstRow+ROW()-7,MATCH(AC$6,DataOB[#Headers],0)),"")</f>
        <v/>
      </c>
      <c r="AD520" s="67" t="str">
        <f>IF($B520&lt;&gt;"",INDEX(DataOB[],FirstRow+ROW()-7,MATCH(AD$6,DataOB[#Headers],0)),"")</f>
        <v/>
      </c>
      <c r="AE520" s="67" t="str">
        <f>IF($B520&lt;&gt;"",INDEX(DataOB[],FirstRow+ROW()-7,MATCH(AE$6,DataOB[#Headers],0)),"")</f>
        <v/>
      </c>
      <c r="AF520" s="26">
        <f t="shared" ref="AF520:AF583" si="86">+SUM(T520:AE520)</f>
        <v>0</v>
      </c>
      <c r="AG520" s="31">
        <f>SUM($T520:T520)</f>
        <v>0</v>
      </c>
      <c r="AH520" s="31">
        <f>SUM($T520:U520)</f>
        <v>0</v>
      </c>
      <c r="AI520" s="31">
        <f>SUM($T520:V520)</f>
        <v>0</v>
      </c>
      <c r="AJ520" s="31">
        <f>SUM($T520:W520)</f>
        <v>0</v>
      </c>
      <c r="AK520" s="31">
        <f>SUM($T520:X520)</f>
        <v>0</v>
      </c>
      <c r="AL520" s="31">
        <f>SUM($T520:Y520)</f>
        <v>0</v>
      </c>
      <c r="AM520" s="31">
        <f>SUM($T520:Z520)</f>
        <v>0</v>
      </c>
      <c r="AN520" s="31">
        <f>SUM($T520:AA520)</f>
        <v>0</v>
      </c>
      <c r="AO520" s="31">
        <f>SUM($T520:AB520)</f>
        <v>0</v>
      </c>
      <c r="AP520" s="31">
        <f>SUM($T520:AC520)</f>
        <v>0</v>
      </c>
      <c r="AQ520" s="31">
        <f>SUM($T520:AD520)</f>
        <v>0</v>
      </c>
      <c r="AR520" s="31">
        <f>SUM($T520:AE520)</f>
        <v>0</v>
      </c>
      <c r="AS520" s="27">
        <f t="shared" ref="AS520:AS583" si="87">AF520-AR520</f>
        <v>0</v>
      </c>
    </row>
    <row r="521" spans="2:45">
      <c r="B521" s="102" t="str">
        <f>IF(ROW()-6&gt;NumCostCenter,"",IF(CostCenter&lt;&gt;"ALL",CostCenter,DATA_LF2!B519))</f>
        <v/>
      </c>
      <c r="C521" s="153" t="str">
        <f>IF($B521&lt;&gt;"",INDEX(DataOB[],FirstRow+ROW()-7,2),"")</f>
        <v/>
      </c>
      <c r="D521" s="66" t="str">
        <f>IF($B521&lt;&gt;"",INDEX(DataOB[],FirstRow+ROW()-7,3),"")</f>
        <v/>
      </c>
      <c r="E521" s="103" t="str">
        <f>IF($B521&lt;&gt;"",INDEX(DataOB[],FirstRow+ROW()-7,6),"")</f>
        <v/>
      </c>
      <c r="F521" s="103" t="str">
        <f>IF($B521&lt;&gt;"",INDEX(DataOB[],FirstRow+ROW()-7,5),"")</f>
        <v/>
      </c>
      <c r="G521" s="58">
        <f>IF($B521&lt;&gt;"",SUMIFS(DataAct_tbl[AMOUNT],DataAct_tbl[BG CODE],Detail!$D521,DataAct_tbl[MONTH],LEFT(MonthName,3),DataAct_tbl[Dept code],$B521),0)</f>
        <v>0</v>
      </c>
      <c r="H521" s="31" t="str">
        <f t="shared" si="79"/>
        <v/>
      </c>
      <c r="I521" s="28" t="str">
        <f t="shared" si="80"/>
        <v/>
      </c>
      <c r="J521" s="32" t="str">
        <f t="shared" si="81"/>
        <v/>
      </c>
      <c r="K521" s="86"/>
      <c r="L521" s="62">
        <f>IF($B521&lt;&gt;"",SUMIFS(DataAct_tbl[AMOUNT],DataAct_tbl[BG CODE],Detail!$D521,DataAct_tbl[Check Range],"=true",DataAct_tbl[Dept code],$B521),0)</f>
        <v>0</v>
      </c>
      <c r="M521" s="63">
        <f>INDEX($AG$7:$AR$1005,ROW()-6,MATCH(MTD,$AG$6:$AR$6,0))</f>
        <v>0</v>
      </c>
      <c r="N521" s="34">
        <f t="shared" si="82"/>
        <v>0</v>
      </c>
      <c r="O521" s="64" t="str">
        <f t="shared" si="83"/>
        <v xml:space="preserve"> </v>
      </c>
      <c r="Q521" s="97">
        <f t="shared" si="84"/>
        <v>0</v>
      </c>
      <c r="R521" s="96">
        <f t="shared" si="85"/>
        <v>0</v>
      </c>
      <c r="T521" s="67" t="str">
        <f>IF($B521&lt;&gt;"",INDEX(DataOB[],FirstRow+ROW()-7,MATCH(T$6,DataOB[#Headers],0)),"")</f>
        <v/>
      </c>
      <c r="U521" s="67" t="str">
        <f>IF($B521&lt;&gt;"",INDEX(DataOB[],FirstRow+ROW()-7,MATCH(U$6,DataOB[#Headers],0)),"")</f>
        <v/>
      </c>
      <c r="V521" s="67" t="str">
        <f>IF($B521&lt;&gt;"",INDEX(DataOB[],FirstRow+ROW()-7,MATCH(V$6,DataOB[#Headers],0)),"")</f>
        <v/>
      </c>
      <c r="W521" s="67" t="str">
        <f>IF($B521&lt;&gt;"",INDEX(DataOB[],FirstRow+ROW()-7,MATCH(W$6,DataOB[#Headers],0)),"")</f>
        <v/>
      </c>
      <c r="X521" s="67" t="str">
        <f>IF($B521&lt;&gt;"",INDEX(DataOB[],FirstRow+ROW()-7,MATCH(X$6,DataOB[#Headers],0)),"")</f>
        <v/>
      </c>
      <c r="Y521" s="67" t="str">
        <f>IF($B521&lt;&gt;"",INDEX(DataOB[],FirstRow+ROW()-7,MATCH(Y$6,DataOB[#Headers],0)),"")</f>
        <v/>
      </c>
      <c r="Z521" s="67" t="str">
        <f>IF($B521&lt;&gt;"",INDEX(DataOB[],FirstRow+ROW()-7,MATCH(Z$6,DataOB[#Headers],0)),"")</f>
        <v/>
      </c>
      <c r="AA521" s="67" t="str">
        <f>IF($B521&lt;&gt;"",INDEX(DataOB[],FirstRow+ROW()-7,MATCH(AA$6,DataOB[#Headers],0)),"")</f>
        <v/>
      </c>
      <c r="AB521" s="67" t="str">
        <f>IF($B521&lt;&gt;"",INDEX(DataOB[],FirstRow+ROW()-7,MATCH(AB$6,DataOB[#Headers],0)),"")</f>
        <v/>
      </c>
      <c r="AC521" s="67" t="str">
        <f>IF($B521&lt;&gt;"",INDEX(DataOB[],FirstRow+ROW()-7,MATCH(AC$6,DataOB[#Headers],0)),"")</f>
        <v/>
      </c>
      <c r="AD521" s="67" t="str">
        <f>IF($B521&lt;&gt;"",INDEX(DataOB[],FirstRow+ROW()-7,MATCH(AD$6,DataOB[#Headers],0)),"")</f>
        <v/>
      </c>
      <c r="AE521" s="67" t="str">
        <f>IF($B521&lt;&gt;"",INDEX(DataOB[],FirstRow+ROW()-7,MATCH(AE$6,DataOB[#Headers],0)),"")</f>
        <v/>
      </c>
      <c r="AF521" s="26">
        <f t="shared" si="86"/>
        <v>0</v>
      </c>
      <c r="AG521" s="31">
        <f>SUM($T521:T521)</f>
        <v>0</v>
      </c>
      <c r="AH521" s="31">
        <f>SUM($T521:U521)</f>
        <v>0</v>
      </c>
      <c r="AI521" s="31">
        <f>SUM($T521:V521)</f>
        <v>0</v>
      </c>
      <c r="AJ521" s="31">
        <f>SUM($T521:W521)</f>
        <v>0</v>
      </c>
      <c r="AK521" s="31">
        <f>SUM($T521:X521)</f>
        <v>0</v>
      </c>
      <c r="AL521" s="31">
        <f>SUM($T521:Y521)</f>
        <v>0</v>
      </c>
      <c r="AM521" s="31">
        <f>SUM($T521:Z521)</f>
        <v>0</v>
      </c>
      <c r="AN521" s="31">
        <f>SUM($T521:AA521)</f>
        <v>0</v>
      </c>
      <c r="AO521" s="31">
        <f>SUM($T521:AB521)</f>
        <v>0</v>
      </c>
      <c r="AP521" s="31">
        <f>SUM($T521:AC521)</f>
        <v>0</v>
      </c>
      <c r="AQ521" s="31">
        <f>SUM($T521:AD521)</f>
        <v>0</v>
      </c>
      <c r="AR521" s="31">
        <f>SUM($T521:AE521)</f>
        <v>0</v>
      </c>
      <c r="AS521" s="27">
        <f t="shared" si="87"/>
        <v>0</v>
      </c>
    </row>
    <row r="522" spans="2:45">
      <c r="B522" s="102" t="str">
        <f>IF(ROW()-6&gt;NumCostCenter,"",IF(CostCenter&lt;&gt;"ALL",CostCenter,DATA_LF2!B520))</f>
        <v/>
      </c>
      <c r="C522" s="153" t="str">
        <f>IF($B522&lt;&gt;"",INDEX(DataOB[],FirstRow+ROW()-7,2),"")</f>
        <v/>
      </c>
      <c r="D522" s="66" t="str">
        <f>IF($B522&lt;&gt;"",INDEX(DataOB[],FirstRow+ROW()-7,3),"")</f>
        <v/>
      </c>
      <c r="E522" s="103" t="str">
        <f>IF($B522&lt;&gt;"",INDEX(DataOB[],FirstRow+ROW()-7,6),"")</f>
        <v/>
      </c>
      <c r="F522" s="103" t="str">
        <f>IF($B522&lt;&gt;"",INDEX(DataOB[],FirstRow+ROW()-7,5),"")</f>
        <v/>
      </c>
      <c r="G522" s="58">
        <f>IF($B522&lt;&gt;"",SUMIFS(DataAct_tbl[AMOUNT],DataAct_tbl[BG CODE],Detail!$D522,DataAct_tbl[MONTH],LEFT(MonthName,3),DataAct_tbl[Dept code],$B522),0)</f>
        <v>0</v>
      </c>
      <c r="H522" s="31" t="str">
        <f t="shared" si="79"/>
        <v/>
      </c>
      <c r="I522" s="28" t="str">
        <f t="shared" si="80"/>
        <v/>
      </c>
      <c r="J522" s="32" t="str">
        <f t="shared" si="81"/>
        <v/>
      </c>
      <c r="K522" s="86"/>
      <c r="L522" s="62">
        <f>IF($B522&lt;&gt;"",SUMIFS(DataAct_tbl[AMOUNT],DataAct_tbl[BG CODE],Detail!$D522,DataAct_tbl[Check Range],"=true",DataAct_tbl[Dept code],$B522),0)</f>
        <v>0</v>
      </c>
      <c r="M522" s="63">
        <f>INDEX($AG$7:$AR$1005,ROW()-6,MATCH(MTD,$AG$6:$AR$6,0))</f>
        <v>0</v>
      </c>
      <c r="N522" s="34">
        <f t="shared" si="82"/>
        <v>0</v>
      </c>
      <c r="O522" s="64" t="str">
        <f t="shared" si="83"/>
        <v xml:space="preserve"> </v>
      </c>
      <c r="Q522" s="97">
        <f t="shared" si="84"/>
        <v>0</v>
      </c>
      <c r="R522" s="96">
        <f t="shared" si="85"/>
        <v>0</v>
      </c>
      <c r="T522" s="67" t="str">
        <f>IF($B522&lt;&gt;"",INDEX(DataOB[],FirstRow+ROW()-7,MATCH(T$6,DataOB[#Headers],0)),"")</f>
        <v/>
      </c>
      <c r="U522" s="67" t="str">
        <f>IF($B522&lt;&gt;"",INDEX(DataOB[],FirstRow+ROW()-7,MATCH(U$6,DataOB[#Headers],0)),"")</f>
        <v/>
      </c>
      <c r="V522" s="67" t="str">
        <f>IF($B522&lt;&gt;"",INDEX(DataOB[],FirstRow+ROW()-7,MATCH(V$6,DataOB[#Headers],0)),"")</f>
        <v/>
      </c>
      <c r="W522" s="67" t="str">
        <f>IF($B522&lt;&gt;"",INDEX(DataOB[],FirstRow+ROW()-7,MATCH(W$6,DataOB[#Headers],0)),"")</f>
        <v/>
      </c>
      <c r="X522" s="67" t="str">
        <f>IF($B522&lt;&gt;"",INDEX(DataOB[],FirstRow+ROW()-7,MATCH(X$6,DataOB[#Headers],0)),"")</f>
        <v/>
      </c>
      <c r="Y522" s="67" t="str">
        <f>IF($B522&lt;&gt;"",INDEX(DataOB[],FirstRow+ROW()-7,MATCH(Y$6,DataOB[#Headers],0)),"")</f>
        <v/>
      </c>
      <c r="Z522" s="67" t="str">
        <f>IF($B522&lt;&gt;"",INDEX(DataOB[],FirstRow+ROW()-7,MATCH(Z$6,DataOB[#Headers],0)),"")</f>
        <v/>
      </c>
      <c r="AA522" s="67" t="str">
        <f>IF($B522&lt;&gt;"",INDEX(DataOB[],FirstRow+ROW()-7,MATCH(AA$6,DataOB[#Headers],0)),"")</f>
        <v/>
      </c>
      <c r="AB522" s="67" t="str">
        <f>IF($B522&lt;&gt;"",INDEX(DataOB[],FirstRow+ROW()-7,MATCH(AB$6,DataOB[#Headers],0)),"")</f>
        <v/>
      </c>
      <c r="AC522" s="67" t="str">
        <f>IF($B522&lt;&gt;"",INDEX(DataOB[],FirstRow+ROW()-7,MATCH(AC$6,DataOB[#Headers],0)),"")</f>
        <v/>
      </c>
      <c r="AD522" s="67" t="str">
        <f>IF($B522&lt;&gt;"",INDEX(DataOB[],FirstRow+ROW()-7,MATCH(AD$6,DataOB[#Headers],0)),"")</f>
        <v/>
      </c>
      <c r="AE522" s="67" t="str">
        <f>IF($B522&lt;&gt;"",INDEX(DataOB[],FirstRow+ROW()-7,MATCH(AE$6,DataOB[#Headers],0)),"")</f>
        <v/>
      </c>
      <c r="AF522" s="26">
        <f t="shared" si="86"/>
        <v>0</v>
      </c>
      <c r="AG522" s="31">
        <f>SUM($T522:T522)</f>
        <v>0</v>
      </c>
      <c r="AH522" s="31">
        <f>SUM($T522:U522)</f>
        <v>0</v>
      </c>
      <c r="AI522" s="31">
        <f>SUM($T522:V522)</f>
        <v>0</v>
      </c>
      <c r="AJ522" s="31">
        <f>SUM($T522:W522)</f>
        <v>0</v>
      </c>
      <c r="AK522" s="31">
        <f>SUM($T522:X522)</f>
        <v>0</v>
      </c>
      <c r="AL522" s="31">
        <f>SUM($T522:Y522)</f>
        <v>0</v>
      </c>
      <c r="AM522" s="31">
        <f>SUM($T522:Z522)</f>
        <v>0</v>
      </c>
      <c r="AN522" s="31">
        <f>SUM($T522:AA522)</f>
        <v>0</v>
      </c>
      <c r="AO522" s="31">
        <f>SUM($T522:AB522)</f>
        <v>0</v>
      </c>
      <c r="AP522" s="31">
        <f>SUM($T522:AC522)</f>
        <v>0</v>
      </c>
      <c r="AQ522" s="31">
        <f>SUM($T522:AD522)</f>
        <v>0</v>
      </c>
      <c r="AR522" s="31">
        <f>SUM($T522:AE522)</f>
        <v>0</v>
      </c>
      <c r="AS522" s="27">
        <f t="shared" si="87"/>
        <v>0</v>
      </c>
    </row>
    <row r="523" spans="2:45">
      <c r="B523" s="102" t="str">
        <f>IF(ROW()-6&gt;NumCostCenter,"",IF(CostCenter&lt;&gt;"ALL",CostCenter,DATA_LF2!B521))</f>
        <v/>
      </c>
      <c r="C523" s="153" t="str">
        <f>IF($B523&lt;&gt;"",INDEX(DataOB[],FirstRow+ROW()-7,2),"")</f>
        <v/>
      </c>
      <c r="D523" s="66" t="str">
        <f>IF($B523&lt;&gt;"",INDEX(DataOB[],FirstRow+ROW()-7,3),"")</f>
        <v/>
      </c>
      <c r="E523" s="103" t="str">
        <f>IF($B523&lt;&gt;"",INDEX(DataOB[],FirstRow+ROW()-7,6),"")</f>
        <v/>
      </c>
      <c r="F523" s="103" t="str">
        <f>IF($B523&lt;&gt;"",INDEX(DataOB[],FirstRow+ROW()-7,5),"")</f>
        <v/>
      </c>
      <c r="G523" s="58">
        <f>IF($B523&lt;&gt;"",SUMIFS(DataAct_tbl[AMOUNT],DataAct_tbl[BG CODE],Detail!$D523,DataAct_tbl[MONTH],LEFT(MonthName,3),DataAct_tbl[Dept code],$B523),0)</f>
        <v>0</v>
      </c>
      <c r="H523" s="31" t="str">
        <f t="shared" si="79"/>
        <v/>
      </c>
      <c r="I523" s="28" t="str">
        <f t="shared" si="80"/>
        <v/>
      </c>
      <c r="J523" s="32" t="str">
        <f t="shared" si="81"/>
        <v/>
      </c>
      <c r="K523" s="86"/>
      <c r="L523" s="62">
        <f>IF($B523&lt;&gt;"",SUMIFS(DataAct_tbl[AMOUNT],DataAct_tbl[BG CODE],Detail!$D523,DataAct_tbl[Check Range],"=true",DataAct_tbl[Dept code],$B523),0)</f>
        <v>0</v>
      </c>
      <c r="M523" s="63">
        <f>INDEX($AG$7:$AR$1005,ROW()-6,MATCH(MTD,$AG$6:$AR$6,0))</f>
        <v>0</v>
      </c>
      <c r="N523" s="34">
        <f t="shared" si="82"/>
        <v>0</v>
      </c>
      <c r="O523" s="64" t="str">
        <f t="shared" si="83"/>
        <v xml:space="preserve"> </v>
      </c>
      <c r="Q523" s="97">
        <f t="shared" si="84"/>
        <v>0</v>
      </c>
      <c r="R523" s="96">
        <f t="shared" si="85"/>
        <v>0</v>
      </c>
      <c r="T523" s="67" t="str">
        <f>IF($B523&lt;&gt;"",INDEX(DataOB[],FirstRow+ROW()-7,MATCH(T$6,DataOB[#Headers],0)),"")</f>
        <v/>
      </c>
      <c r="U523" s="67" t="str">
        <f>IF($B523&lt;&gt;"",INDEX(DataOB[],FirstRow+ROW()-7,MATCH(U$6,DataOB[#Headers],0)),"")</f>
        <v/>
      </c>
      <c r="V523" s="67" t="str">
        <f>IF($B523&lt;&gt;"",INDEX(DataOB[],FirstRow+ROW()-7,MATCH(V$6,DataOB[#Headers],0)),"")</f>
        <v/>
      </c>
      <c r="W523" s="67" t="str">
        <f>IF($B523&lt;&gt;"",INDEX(DataOB[],FirstRow+ROW()-7,MATCH(W$6,DataOB[#Headers],0)),"")</f>
        <v/>
      </c>
      <c r="X523" s="67" t="str">
        <f>IF($B523&lt;&gt;"",INDEX(DataOB[],FirstRow+ROW()-7,MATCH(X$6,DataOB[#Headers],0)),"")</f>
        <v/>
      </c>
      <c r="Y523" s="67" t="str">
        <f>IF($B523&lt;&gt;"",INDEX(DataOB[],FirstRow+ROW()-7,MATCH(Y$6,DataOB[#Headers],0)),"")</f>
        <v/>
      </c>
      <c r="Z523" s="67" t="str">
        <f>IF($B523&lt;&gt;"",INDEX(DataOB[],FirstRow+ROW()-7,MATCH(Z$6,DataOB[#Headers],0)),"")</f>
        <v/>
      </c>
      <c r="AA523" s="67" t="str">
        <f>IF($B523&lt;&gt;"",INDEX(DataOB[],FirstRow+ROW()-7,MATCH(AA$6,DataOB[#Headers],0)),"")</f>
        <v/>
      </c>
      <c r="AB523" s="67" t="str">
        <f>IF($B523&lt;&gt;"",INDEX(DataOB[],FirstRow+ROW()-7,MATCH(AB$6,DataOB[#Headers],0)),"")</f>
        <v/>
      </c>
      <c r="AC523" s="67" t="str">
        <f>IF($B523&lt;&gt;"",INDEX(DataOB[],FirstRow+ROW()-7,MATCH(AC$6,DataOB[#Headers],0)),"")</f>
        <v/>
      </c>
      <c r="AD523" s="67" t="str">
        <f>IF($B523&lt;&gt;"",INDEX(DataOB[],FirstRow+ROW()-7,MATCH(AD$6,DataOB[#Headers],0)),"")</f>
        <v/>
      </c>
      <c r="AE523" s="67" t="str">
        <f>IF($B523&lt;&gt;"",INDEX(DataOB[],FirstRow+ROW()-7,MATCH(AE$6,DataOB[#Headers],0)),"")</f>
        <v/>
      </c>
      <c r="AF523" s="26">
        <f t="shared" si="86"/>
        <v>0</v>
      </c>
      <c r="AG523" s="31">
        <f>SUM($T523:T523)</f>
        <v>0</v>
      </c>
      <c r="AH523" s="31">
        <f>SUM($T523:U523)</f>
        <v>0</v>
      </c>
      <c r="AI523" s="31">
        <f>SUM($T523:V523)</f>
        <v>0</v>
      </c>
      <c r="AJ523" s="31">
        <f>SUM($T523:W523)</f>
        <v>0</v>
      </c>
      <c r="AK523" s="31">
        <f>SUM($T523:X523)</f>
        <v>0</v>
      </c>
      <c r="AL523" s="31">
        <f>SUM($T523:Y523)</f>
        <v>0</v>
      </c>
      <c r="AM523" s="31">
        <f>SUM($T523:Z523)</f>
        <v>0</v>
      </c>
      <c r="AN523" s="31">
        <f>SUM($T523:AA523)</f>
        <v>0</v>
      </c>
      <c r="AO523" s="31">
        <f>SUM($T523:AB523)</f>
        <v>0</v>
      </c>
      <c r="AP523" s="31">
        <f>SUM($T523:AC523)</f>
        <v>0</v>
      </c>
      <c r="AQ523" s="31">
        <f>SUM($T523:AD523)</f>
        <v>0</v>
      </c>
      <c r="AR523" s="31">
        <f>SUM($T523:AE523)</f>
        <v>0</v>
      </c>
      <c r="AS523" s="27">
        <f t="shared" si="87"/>
        <v>0</v>
      </c>
    </row>
    <row r="524" spans="2:45">
      <c r="B524" s="102" t="str">
        <f>IF(ROW()-6&gt;NumCostCenter,"",IF(CostCenter&lt;&gt;"ALL",CostCenter,DATA_LF2!B522))</f>
        <v/>
      </c>
      <c r="C524" s="153" t="str">
        <f>IF($B524&lt;&gt;"",INDEX(DataOB[],FirstRow+ROW()-7,2),"")</f>
        <v/>
      </c>
      <c r="D524" s="66" t="str">
        <f>IF($B524&lt;&gt;"",INDEX(DataOB[],FirstRow+ROW()-7,3),"")</f>
        <v/>
      </c>
      <c r="E524" s="103" t="str">
        <f>IF($B524&lt;&gt;"",INDEX(DataOB[],FirstRow+ROW()-7,6),"")</f>
        <v/>
      </c>
      <c r="F524" s="103" t="str">
        <f>IF($B524&lt;&gt;"",INDEX(DataOB[],FirstRow+ROW()-7,5),"")</f>
        <v/>
      </c>
      <c r="G524" s="58">
        <f>IF($B524&lt;&gt;"",SUMIFS(DataAct_tbl[AMOUNT],DataAct_tbl[BG CODE],Detail!$D524,DataAct_tbl[MONTH],LEFT(MonthName,3),DataAct_tbl[Dept code],$B524),0)</f>
        <v>0</v>
      </c>
      <c r="H524" s="31" t="str">
        <f t="shared" si="79"/>
        <v/>
      </c>
      <c r="I524" s="28" t="str">
        <f t="shared" si="80"/>
        <v/>
      </c>
      <c r="J524" s="32" t="str">
        <f t="shared" si="81"/>
        <v/>
      </c>
      <c r="K524" s="86"/>
      <c r="L524" s="62">
        <f>IF($B524&lt;&gt;"",SUMIFS(DataAct_tbl[AMOUNT],DataAct_tbl[BG CODE],Detail!$D524,DataAct_tbl[Check Range],"=true",DataAct_tbl[Dept code],$B524),0)</f>
        <v>0</v>
      </c>
      <c r="M524" s="63">
        <f>INDEX($AG$7:$AR$1005,ROW()-6,MATCH(MTD,$AG$6:$AR$6,0))</f>
        <v>0</v>
      </c>
      <c r="N524" s="34">
        <f t="shared" si="82"/>
        <v>0</v>
      </c>
      <c r="O524" s="64" t="str">
        <f t="shared" si="83"/>
        <v xml:space="preserve"> </v>
      </c>
      <c r="Q524" s="97">
        <f t="shared" si="84"/>
        <v>0</v>
      </c>
      <c r="R524" s="96">
        <f t="shared" si="85"/>
        <v>0</v>
      </c>
      <c r="T524" s="67" t="str">
        <f>IF($B524&lt;&gt;"",INDEX(DataOB[],FirstRow+ROW()-7,MATCH(T$6,DataOB[#Headers],0)),"")</f>
        <v/>
      </c>
      <c r="U524" s="67" t="str">
        <f>IF($B524&lt;&gt;"",INDEX(DataOB[],FirstRow+ROW()-7,MATCH(U$6,DataOB[#Headers],0)),"")</f>
        <v/>
      </c>
      <c r="V524" s="67" t="str">
        <f>IF($B524&lt;&gt;"",INDEX(DataOB[],FirstRow+ROW()-7,MATCH(V$6,DataOB[#Headers],0)),"")</f>
        <v/>
      </c>
      <c r="W524" s="67" t="str">
        <f>IF($B524&lt;&gt;"",INDEX(DataOB[],FirstRow+ROW()-7,MATCH(W$6,DataOB[#Headers],0)),"")</f>
        <v/>
      </c>
      <c r="X524" s="67" t="str">
        <f>IF($B524&lt;&gt;"",INDEX(DataOB[],FirstRow+ROW()-7,MATCH(X$6,DataOB[#Headers],0)),"")</f>
        <v/>
      </c>
      <c r="Y524" s="67" t="str">
        <f>IF($B524&lt;&gt;"",INDEX(DataOB[],FirstRow+ROW()-7,MATCH(Y$6,DataOB[#Headers],0)),"")</f>
        <v/>
      </c>
      <c r="Z524" s="67" t="str">
        <f>IF($B524&lt;&gt;"",INDEX(DataOB[],FirstRow+ROW()-7,MATCH(Z$6,DataOB[#Headers],0)),"")</f>
        <v/>
      </c>
      <c r="AA524" s="67" t="str">
        <f>IF($B524&lt;&gt;"",INDEX(DataOB[],FirstRow+ROW()-7,MATCH(AA$6,DataOB[#Headers],0)),"")</f>
        <v/>
      </c>
      <c r="AB524" s="67" t="str">
        <f>IF($B524&lt;&gt;"",INDEX(DataOB[],FirstRow+ROW()-7,MATCH(AB$6,DataOB[#Headers],0)),"")</f>
        <v/>
      </c>
      <c r="AC524" s="67" t="str">
        <f>IF($B524&lt;&gt;"",INDEX(DataOB[],FirstRow+ROW()-7,MATCH(AC$6,DataOB[#Headers],0)),"")</f>
        <v/>
      </c>
      <c r="AD524" s="67" t="str">
        <f>IF($B524&lt;&gt;"",INDEX(DataOB[],FirstRow+ROW()-7,MATCH(AD$6,DataOB[#Headers],0)),"")</f>
        <v/>
      </c>
      <c r="AE524" s="67" t="str">
        <f>IF($B524&lt;&gt;"",INDEX(DataOB[],FirstRow+ROW()-7,MATCH(AE$6,DataOB[#Headers],0)),"")</f>
        <v/>
      </c>
      <c r="AF524" s="26">
        <f t="shared" si="86"/>
        <v>0</v>
      </c>
      <c r="AG524" s="31">
        <f>SUM($T524:T524)</f>
        <v>0</v>
      </c>
      <c r="AH524" s="31">
        <f>SUM($T524:U524)</f>
        <v>0</v>
      </c>
      <c r="AI524" s="31">
        <f>SUM($T524:V524)</f>
        <v>0</v>
      </c>
      <c r="AJ524" s="31">
        <f>SUM($T524:W524)</f>
        <v>0</v>
      </c>
      <c r="AK524" s="31">
        <f>SUM($T524:X524)</f>
        <v>0</v>
      </c>
      <c r="AL524" s="31">
        <f>SUM($T524:Y524)</f>
        <v>0</v>
      </c>
      <c r="AM524" s="31">
        <f>SUM($T524:Z524)</f>
        <v>0</v>
      </c>
      <c r="AN524" s="31">
        <f>SUM($T524:AA524)</f>
        <v>0</v>
      </c>
      <c r="AO524" s="31">
        <f>SUM($T524:AB524)</f>
        <v>0</v>
      </c>
      <c r="AP524" s="31">
        <f>SUM($T524:AC524)</f>
        <v>0</v>
      </c>
      <c r="AQ524" s="31">
        <f>SUM($T524:AD524)</f>
        <v>0</v>
      </c>
      <c r="AR524" s="31">
        <f>SUM($T524:AE524)</f>
        <v>0</v>
      </c>
      <c r="AS524" s="27">
        <f t="shared" si="87"/>
        <v>0</v>
      </c>
    </row>
    <row r="525" spans="2:45">
      <c r="B525" s="102" t="str">
        <f>IF(ROW()-6&gt;NumCostCenter,"",IF(CostCenter&lt;&gt;"ALL",CostCenter,DATA_LF2!B523))</f>
        <v/>
      </c>
      <c r="C525" s="153" t="str">
        <f>IF($B525&lt;&gt;"",INDEX(DataOB[],FirstRow+ROW()-7,2),"")</f>
        <v/>
      </c>
      <c r="D525" s="66" t="str">
        <f>IF($B525&lt;&gt;"",INDEX(DataOB[],FirstRow+ROW()-7,3),"")</f>
        <v/>
      </c>
      <c r="E525" s="103" t="str">
        <f>IF($B525&lt;&gt;"",INDEX(DataOB[],FirstRow+ROW()-7,6),"")</f>
        <v/>
      </c>
      <c r="F525" s="103" t="str">
        <f>IF($B525&lt;&gt;"",INDEX(DataOB[],FirstRow+ROW()-7,5),"")</f>
        <v/>
      </c>
      <c r="G525" s="58">
        <f>IF($B525&lt;&gt;"",SUMIFS(DataAct_tbl[AMOUNT],DataAct_tbl[BG CODE],Detail!$D525,DataAct_tbl[MONTH],LEFT(MonthName,3),DataAct_tbl[Dept code],$B525),0)</f>
        <v>0</v>
      </c>
      <c r="H525" s="31" t="str">
        <f t="shared" si="79"/>
        <v/>
      </c>
      <c r="I525" s="28" t="str">
        <f t="shared" si="80"/>
        <v/>
      </c>
      <c r="J525" s="32" t="str">
        <f t="shared" si="81"/>
        <v/>
      </c>
      <c r="K525" s="86"/>
      <c r="L525" s="62">
        <f>IF($B525&lt;&gt;"",SUMIFS(DataAct_tbl[AMOUNT],DataAct_tbl[BG CODE],Detail!$D525,DataAct_tbl[Check Range],"=true",DataAct_tbl[Dept code],$B525),0)</f>
        <v>0</v>
      </c>
      <c r="M525" s="63">
        <f>INDEX($AG$7:$AR$1005,ROW()-6,MATCH(MTD,$AG$6:$AR$6,0))</f>
        <v>0</v>
      </c>
      <c r="N525" s="34">
        <f t="shared" si="82"/>
        <v>0</v>
      </c>
      <c r="O525" s="64" t="str">
        <f t="shared" si="83"/>
        <v xml:space="preserve"> </v>
      </c>
      <c r="Q525" s="97">
        <f t="shared" si="84"/>
        <v>0</v>
      </c>
      <c r="R525" s="96">
        <f t="shared" si="85"/>
        <v>0</v>
      </c>
      <c r="T525" s="67" t="str">
        <f>IF($B525&lt;&gt;"",INDEX(DataOB[],FirstRow+ROW()-7,MATCH(T$6,DataOB[#Headers],0)),"")</f>
        <v/>
      </c>
      <c r="U525" s="67" t="str">
        <f>IF($B525&lt;&gt;"",INDEX(DataOB[],FirstRow+ROW()-7,MATCH(U$6,DataOB[#Headers],0)),"")</f>
        <v/>
      </c>
      <c r="V525" s="67" t="str">
        <f>IF($B525&lt;&gt;"",INDEX(DataOB[],FirstRow+ROW()-7,MATCH(V$6,DataOB[#Headers],0)),"")</f>
        <v/>
      </c>
      <c r="W525" s="67" t="str">
        <f>IF($B525&lt;&gt;"",INDEX(DataOB[],FirstRow+ROW()-7,MATCH(W$6,DataOB[#Headers],0)),"")</f>
        <v/>
      </c>
      <c r="X525" s="67" t="str">
        <f>IF($B525&lt;&gt;"",INDEX(DataOB[],FirstRow+ROW()-7,MATCH(X$6,DataOB[#Headers],0)),"")</f>
        <v/>
      </c>
      <c r="Y525" s="67" t="str">
        <f>IF($B525&lt;&gt;"",INDEX(DataOB[],FirstRow+ROW()-7,MATCH(Y$6,DataOB[#Headers],0)),"")</f>
        <v/>
      </c>
      <c r="Z525" s="67" t="str">
        <f>IF($B525&lt;&gt;"",INDEX(DataOB[],FirstRow+ROW()-7,MATCH(Z$6,DataOB[#Headers],0)),"")</f>
        <v/>
      </c>
      <c r="AA525" s="67" t="str">
        <f>IF($B525&lt;&gt;"",INDEX(DataOB[],FirstRow+ROW()-7,MATCH(AA$6,DataOB[#Headers],0)),"")</f>
        <v/>
      </c>
      <c r="AB525" s="67" t="str">
        <f>IF($B525&lt;&gt;"",INDEX(DataOB[],FirstRow+ROW()-7,MATCH(AB$6,DataOB[#Headers],0)),"")</f>
        <v/>
      </c>
      <c r="AC525" s="67" t="str">
        <f>IF($B525&lt;&gt;"",INDEX(DataOB[],FirstRow+ROW()-7,MATCH(AC$6,DataOB[#Headers],0)),"")</f>
        <v/>
      </c>
      <c r="AD525" s="67" t="str">
        <f>IF($B525&lt;&gt;"",INDEX(DataOB[],FirstRow+ROW()-7,MATCH(AD$6,DataOB[#Headers],0)),"")</f>
        <v/>
      </c>
      <c r="AE525" s="67" t="str">
        <f>IF($B525&lt;&gt;"",INDEX(DataOB[],FirstRow+ROW()-7,MATCH(AE$6,DataOB[#Headers],0)),"")</f>
        <v/>
      </c>
      <c r="AF525" s="26">
        <f t="shared" si="86"/>
        <v>0</v>
      </c>
      <c r="AG525" s="31">
        <f>SUM($T525:T525)</f>
        <v>0</v>
      </c>
      <c r="AH525" s="31">
        <f>SUM($T525:U525)</f>
        <v>0</v>
      </c>
      <c r="AI525" s="31">
        <f>SUM($T525:V525)</f>
        <v>0</v>
      </c>
      <c r="AJ525" s="31">
        <f>SUM($T525:W525)</f>
        <v>0</v>
      </c>
      <c r="AK525" s="31">
        <f>SUM($T525:X525)</f>
        <v>0</v>
      </c>
      <c r="AL525" s="31">
        <f>SUM($T525:Y525)</f>
        <v>0</v>
      </c>
      <c r="AM525" s="31">
        <f>SUM($T525:Z525)</f>
        <v>0</v>
      </c>
      <c r="AN525" s="31">
        <f>SUM($T525:AA525)</f>
        <v>0</v>
      </c>
      <c r="AO525" s="31">
        <f>SUM($T525:AB525)</f>
        <v>0</v>
      </c>
      <c r="AP525" s="31">
        <f>SUM($T525:AC525)</f>
        <v>0</v>
      </c>
      <c r="AQ525" s="31">
        <f>SUM($T525:AD525)</f>
        <v>0</v>
      </c>
      <c r="AR525" s="31">
        <f>SUM($T525:AE525)</f>
        <v>0</v>
      </c>
      <c r="AS525" s="27">
        <f t="shared" si="87"/>
        <v>0</v>
      </c>
    </row>
    <row r="526" spans="2:45">
      <c r="B526" s="102" t="str">
        <f>IF(ROW()-6&gt;NumCostCenter,"",IF(CostCenter&lt;&gt;"ALL",CostCenter,DATA_LF2!B524))</f>
        <v/>
      </c>
      <c r="C526" s="153" t="str">
        <f>IF($B526&lt;&gt;"",INDEX(DataOB[],FirstRow+ROW()-7,2),"")</f>
        <v/>
      </c>
      <c r="D526" s="66" t="str">
        <f>IF($B526&lt;&gt;"",INDEX(DataOB[],FirstRow+ROW()-7,3),"")</f>
        <v/>
      </c>
      <c r="E526" s="103" t="str">
        <f>IF($B526&lt;&gt;"",INDEX(DataOB[],FirstRow+ROW()-7,6),"")</f>
        <v/>
      </c>
      <c r="F526" s="103" t="str">
        <f>IF($B526&lt;&gt;"",INDEX(DataOB[],FirstRow+ROW()-7,5),"")</f>
        <v/>
      </c>
      <c r="G526" s="58">
        <f>IF($B526&lt;&gt;"",SUMIFS(DataAct_tbl[AMOUNT],DataAct_tbl[BG CODE],Detail!$D526,DataAct_tbl[MONTH],LEFT(MonthName,3),DataAct_tbl[Dept code],$B526),0)</f>
        <v>0</v>
      </c>
      <c r="H526" s="31" t="str">
        <f t="shared" si="79"/>
        <v/>
      </c>
      <c r="I526" s="28" t="str">
        <f t="shared" si="80"/>
        <v/>
      </c>
      <c r="J526" s="32" t="str">
        <f t="shared" si="81"/>
        <v/>
      </c>
      <c r="K526" s="86"/>
      <c r="L526" s="62">
        <f>IF($B526&lt;&gt;"",SUMIFS(DataAct_tbl[AMOUNT],DataAct_tbl[BG CODE],Detail!$D526,DataAct_tbl[Check Range],"=true",DataAct_tbl[Dept code],$B526),0)</f>
        <v>0</v>
      </c>
      <c r="M526" s="63">
        <f>INDEX($AG$7:$AR$1005,ROW()-6,MATCH(MTD,$AG$6:$AR$6,0))</f>
        <v>0</v>
      </c>
      <c r="N526" s="34">
        <f t="shared" si="82"/>
        <v>0</v>
      </c>
      <c r="O526" s="64" t="str">
        <f t="shared" si="83"/>
        <v xml:space="preserve"> </v>
      </c>
      <c r="Q526" s="97">
        <f t="shared" si="84"/>
        <v>0</v>
      </c>
      <c r="R526" s="96">
        <f t="shared" si="85"/>
        <v>0</v>
      </c>
      <c r="T526" s="67" t="str">
        <f>IF($B526&lt;&gt;"",INDEX(DataOB[],FirstRow+ROW()-7,MATCH(T$6,DataOB[#Headers],0)),"")</f>
        <v/>
      </c>
      <c r="U526" s="67" t="str">
        <f>IF($B526&lt;&gt;"",INDEX(DataOB[],FirstRow+ROW()-7,MATCH(U$6,DataOB[#Headers],0)),"")</f>
        <v/>
      </c>
      <c r="V526" s="67" t="str">
        <f>IF($B526&lt;&gt;"",INDEX(DataOB[],FirstRow+ROW()-7,MATCH(V$6,DataOB[#Headers],0)),"")</f>
        <v/>
      </c>
      <c r="W526" s="67" t="str">
        <f>IF($B526&lt;&gt;"",INDEX(DataOB[],FirstRow+ROW()-7,MATCH(W$6,DataOB[#Headers],0)),"")</f>
        <v/>
      </c>
      <c r="X526" s="67" t="str">
        <f>IF($B526&lt;&gt;"",INDEX(DataOB[],FirstRow+ROW()-7,MATCH(X$6,DataOB[#Headers],0)),"")</f>
        <v/>
      </c>
      <c r="Y526" s="67" t="str">
        <f>IF($B526&lt;&gt;"",INDEX(DataOB[],FirstRow+ROW()-7,MATCH(Y$6,DataOB[#Headers],0)),"")</f>
        <v/>
      </c>
      <c r="Z526" s="67" t="str">
        <f>IF($B526&lt;&gt;"",INDEX(DataOB[],FirstRow+ROW()-7,MATCH(Z$6,DataOB[#Headers],0)),"")</f>
        <v/>
      </c>
      <c r="AA526" s="67" t="str">
        <f>IF($B526&lt;&gt;"",INDEX(DataOB[],FirstRow+ROW()-7,MATCH(AA$6,DataOB[#Headers],0)),"")</f>
        <v/>
      </c>
      <c r="AB526" s="67" t="str">
        <f>IF($B526&lt;&gt;"",INDEX(DataOB[],FirstRow+ROW()-7,MATCH(AB$6,DataOB[#Headers],0)),"")</f>
        <v/>
      </c>
      <c r="AC526" s="67" t="str">
        <f>IF($B526&lt;&gt;"",INDEX(DataOB[],FirstRow+ROW()-7,MATCH(AC$6,DataOB[#Headers],0)),"")</f>
        <v/>
      </c>
      <c r="AD526" s="67" t="str">
        <f>IF($B526&lt;&gt;"",INDEX(DataOB[],FirstRow+ROW()-7,MATCH(AD$6,DataOB[#Headers],0)),"")</f>
        <v/>
      </c>
      <c r="AE526" s="67" t="str">
        <f>IF($B526&lt;&gt;"",INDEX(DataOB[],FirstRow+ROW()-7,MATCH(AE$6,DataOB[#Headers],0)),"")</f>
        <v/>
      </c>
      <c r="AF526" s="26">
        <f t="shared" si="86"/>
        <v>0</v>
      </c>
      <c r="AG526" s="31">
        <f>SUM($T526:T526)</f>
        <v>0</v>
      </c>
      <c r="AH526" s="31">
        <f>SUM($T526:U526)</f>
        <v>0</v>
      </c>
      <c r="AI526" s="31">
        <f>SUM($T526:V526)</f>
        <v>0</v>
      </c>
      <c r="AJ526" s="31">
        <f>SUM($T526:W526)</f>
        <v>0</v>
      </c>
      <c r="AK526" s="31">
        <f>SUM($T526:X526)</f>
        <v>0</v>
      </c>
      <c r="AL526" s="31">
        <f>SUM($T526:Y526)</f>
        <v>0</v>
      </c>
      <c r="AM526" s="31">
        <f>SUM($T526:Z526)</f>
        <v>0</v>
      </c>
      <c r="AN526" s="31">
        <f>SUM($T526:AA526)</f>
        <v>0</v>
      </c>
      <c r="AO526" s="31">
        <f>SUM($T526:AB526)</f>
        <v>0</v>
      </c>
      <c r="AP526" s="31">
        <f>SUM($T526:AC526)</f>
        <v>0</v>
      </c>
      <c r="AQ526" s="31">
        <f>SUM($T526:AD526)</f>
        <v>0</v>
      </c>
      <c r="AR526" s="31">
        <f>SUM($T526:AE526)</f>
        <v>0</v>
      </c>
      <c r="AS526" s="27">
        <f t="shared" si="87"/>
        <v>0</v>
      </c>
    </row>
    <row r="527" spans="2:45">
      <c r="B527" s="102" t="str">
        <f>IF(ROW()-6&gt;NumCostCenter,"",IF(CostCenter&lt;&gt;"ALL",CostCenter,DATA_LF2!B525))</f>
        <v/>
      </c>
      <c r="C527" s="153" t="str">
        <f>IF($B527&lt;&gt;"",INDEX(DataOB[],FirstRow+ROW()-7,2),"")</f>
        <v/>
      </c>
      <c r="D527" s="66" t="str">
        <f>IF($B527&lt;&gt;"",INDEX(DataOB[],FirstRow+ROW()-7,3),"")</f>
        <v/>
      </c>
      <c r="E527" s="103" t="str">
        <f>IF($B527&lt;&gt;"",INDEX(DataOB[],FirstRow+ROW()-7,6),"")</f>
        <v/>
      </c>
      <c r="F527" s="103" t="str">
        <f>IF($B527&lt;&gt;"",INDEX(DataOB[],FirstRow+ROW()-7,5),"")</f>
        <v/>
      </c>
      <c r="G527" s="58">
        <f>IF($B527&lt;&gt;"",SUMIFS(DataAct_tbl[AMOUNT],DataAct_tbl[BG CODE],Detail!$D527,DataAct_tbl[MONTH],LEFT(MonthName,3),DataAct_tbl[Dept code],$B527),0)</f>
        <v>0</v>
      </c>
      <c r="H527" s="31" t="str">
        <f t="shared" si="79"/>
        <v/>
      </c>
      <c r="I527" s="28" t="str">
        <f t="shared" si="80"/>
        <v/>
      </c>
      <c r="J527" s="32" t="str">
        <f t="shared" si="81"/>
        <v/>
      </c>
      <c r="K527" s="86"/>
      <c r="L527" s="62">
        <f>IF($B527&lt;&gt;"",SUMIFS(DataAct_tbl[AMOUNT],DataAct_tbl[BG CODE],Detail!$D527,DataAct_tbl[Check Range],"=true",DataAct_tbl[Dept code],$B527),0)</f>
        <v>0</v>
      </c>
      <c r="M527" s="63">
        <f>INDEX($AG$7:$AR$1005,ROW()-6,MATCH(MTD,$AG$6:$AR$6,0))</f>
        <v>0</v>
      </c>
      <c r="N527" s="34">
        <f t="shared" si="82"/>
        <v>0</v>
      </c>
      <c r="O527" s="64" t="str">
        <f t="shared" si="83"/>
        <v xml:space="preserve"> </v>
      </c>
      <c r="Q527" s="97">
        <f t="shared" si="84"/>
        <v>0</v>
      </c>
      <c r="R527" s="96">
        <f t="shared" si="85"/>
        <v>0</v>
      </c>
      <c r="T527" s="67" t="str">
        <f>IF($B527&lt;&gt;"",INDEX(DataOB[],FirstRow+ROW()-7,MATCH(T$6,DataOB[#Headers],0)),"")</f>
        <v/>
      </c>
      <c r="U527" s="67" t="str">
        <f>IF($B527&lt;&gt;"",INDEX(DataOB[],FirstRow+ROW()-7,MATCH(U$6,DataOB[#Headers],0)),"")</f>
        <v/>
      </c>
      <c r="V527" s="67" t="str">
        <f>IF($B527&lt;&gt;"",INDEX(DataOB[],FirstRow+ROW()-7,MATCH(V$6,DataOB[#Headers],0)),"")</f>
        <v/>
      </c>
      <c r="W527" s="67" t="str">
        <f>IF($B527&lt;&gt;"",INDEX(DataOB[],FirstRow+ROW()-7,MATCH(W$6,DataOB[#Headers],0)),"")</f>
        <v/>
      </c>
      <c r="X527" s="67" t="str">
        <f>IF($B527&lt;&gt;"",INDEX(DataOB[],FirstRow+ROW()-7,MATCH(X$6,DataOB[#Headers],0)),"")</f>
        <v/>
      </c>
      <c r="Y527" s="67" t="str">
        <f>IF($B527&lt;&gt;"",INDEX(DataOB[],FirstRow+ROW()-7,MATCH(Y$6,DataOB[#Headers],0)),"")</f>
        <v/>
      </c>
      <c r="Z527" s="67" t="str">
        <f>IF($B527&lt;&gt;"",INDEX(DataOB[],FirstRow+ROW()-7,MATCH(Z$6,DataOB[#Headers],0)),"")</f>
        <v/>
      </c>
      <c r="AA527" s="67" t="str">
        <f>IF($B527&lt;&gt;"",INDEX(DataOB[],FirstRow+ROW()-7,MATCH(AA$6,DataOB[#Headers],0)),"")</f>
        <v/>
      </c>
      <c r="AB527" s="67" t="str">
        <f>IF($B527&lt;&gt;"",INDEX(DataOB[],FirstRow+ROW()-7,MATCH(AB$6,DataOB[#Headers],0)),"")</f>
        <v/>
      </c>
      <c r="AC527" s="67" t="str">
        <f>IF($B527&lt;&gt;"",INDEX(DataOB[],FirstRow+ROW()-7,MATCH(AC$6,DataOB[#Headers],0)),"")</f>
        <v/>
      </c>
      <c r="AD527" s="67" t="str">
        <f>IF($B527&lt;&gt;"",INDEX(DataOB[],FirstRow+ROW()-7,MATCH(AD$6,DataOB[#Headers],0)),"")</f>
        <v/>
      </c>
      <c r="AE527" s="67" t="str">
        <f>IF($B527&lt;&gt;"",INDEX(DataOB[],FirstRow+ROW()-7,MATCH(AE$6,DataOB[#Headers],0)),"")</f>
        <v/>
      </c>
      <c r="AF527" s="26">
        <f t="shared" si="86"/>
        <v>0</v>
      </c>
      <c r="AG527" s="31">
        <f>SUM($T527:T527)</f>
        <v>0</v>
      </c>
      <c r="AH527" s="31">
        <f>SUM($T527:U527)</f>
        <v>0</v>
      </c>
      <c r="AI527" s="31">
        <f>SUM($T527:V527)</f>
        <v>0</v>
      </c>
      <c r="AJ527" s="31">
        <f>SUM($T527:W527)</f>
        <v>0</v>
      </c>
      <c r="AK527" s="31">
        <f>SUM($T527:X527)</f>
        <v>0</v>
      </c>
      <c r="AL527" s="31">
        <f>SUM($T527:Y527)</f>
        <v>0</v>
      </c>
      <c r="AM527" s="31">
        <f>SUM($T527:Z527)</f>
        <v>0</v>
      </c>
      <c r="AN527" s="31">
        <f>SUM($T527:AA527)</f>
        <v>0</v>
      </c>
      <c r="AO527" s="31">
        <f>SUM($T527:AB527)</f>
        <v>0</v>
      </c>
      <c r="AP527" s="31">
        <f>SUM($T527:AC527)</f>
        <v>0</v>
      </c>
      <c r="AQ527" s="31">
        <f>SUM($T527:AD527)</f>
        <v>0</v>
      </c>
      <c r="AR527" s="31">
        <f>SUM($T527:AE527)</f>
        <v>0</v>
      </c>
      <c r="AS527" s="27">
        <f t="shared" si="87"/>
        <v>0</v>
      </c>
    </row>
    <row r="528" spans="2:45">
      <c r="B528" s="102" t="str">
        <f>IF(ROW()-6&gt;NumCostCenter,"",IF(CostCenter&lt;&gt;"ALL",CostCenter,DATA_LF2!B526))</f>
        <v/>
      </c>
      <c r="C528" s="153" t="str">
        <f>IF($B528&lt;&gt;"",INDEX(DataOB[],FirstRow+ROW()-7,2),"")</f>
        <v/>
      </c>
      <c r="D528" s="66" t="str">
        <f>IF($B528&lt;&gt;"",INDEX(DataOB[],FirstRow+ROW()-7,3),"")</f>
        <v/>
      </c>
      <c r="E528" s="103" t="str">
        <f>IF($B528&lt;&gt;"",INDEX(DataOB[],FirstRow+ROW()-7,6),"")</f>
        <v/>
      </c>
      <c r="F528" s="103" t="str">
        <f>IF($B528&lt;&gt;"",INDEX(DataOB[],FirstRow+ROW()-7,5),"")</f>
        <v/>
      </c>
      <c r="G528" s="58">
        <f>IF($B528&lt;&gt;"",SUMIFS(DataAct_tbl[AMOUNT],DataAct_tbl[BG CODE],Detail!$D528,DataAct_tbl[MONTH],LEFT(MonthName,3),DataAct_tbl[Dept code],$B528),0)</f>
        <v>0</v>
      </c>
      <c r="H528" s="31" t="str">
        <f t="shared" si="79"/>
        <v/>
      </c>
      <c r="I528" s="28" t="str">
        <f t="shared" si="80"/>
        <v/>
      </c>
      <c r="J528" s="32" t="str">
        <f t="shared" si="81"/>
        <v/>
      </c>
      <c r="K528" s="86"/>
      <c r="L528" s="62">
        <f>IF($B528&lt;&gt;"",SUMIFS(DataAct_tbl[AMOUNT],DataAct_tbl[BG CODE],Detail!$D528,DataAct_tbl[Check Range],"=true",DataAct_tbl[Dept code],$B528),0)</f>
        <v>0</v>
      </c>
      <c r="M528" s="63">
        <f>INDEX($AG$7:$AR$1005,ROW()-6,MATCH(MTD,$AG$6:$AR$6,0))</f>
        <v>0</v>
      </c>
      <c r="N528" s="34">
        <f t="shared" si="82"/>
        <v>0</v>
      </c>
      <c r="O528" s="64" t="str">
        <f t="shared" si="83"/>
        <v xml:space="preserve"> </v>
      </c>
      <c r="Q528" s="97">
        <f t="shared" si="84"/>
        <v>0</v>
      </c>
      <c r="R528" s="96">
        <f t="shared" si="85"/>
        <v>0</v>
      </c>
      <c r="T528" s="67" t="str">
        <f>IF($B528&lt;&gt;"",INDEX(DataOB[],FirstRow+ROW()-7,MATCH(T$6,DataOB[#Headers],0)),"")</f>
        <v/>
      </c>
      <c r="U528" s="67" t="str">
        <f>IF($B528&lt;&gt;"",INDEX(DataOB[],FirstRow+ROW()-7,MATCH(U$6,DataOB[#Headers],0)),"")</f>
        <v/>
      </c>
      <c r="V528" s="67" t="str">
        <f>IF($B528&lt;&gt;"",INDEX(DataOB[],FirstRow+ROW()-7,MATCH(V$6,DataOB[#Headers],0)),"")</f>
        <v/>
      </c>
      <c r="W528" s="67" t="str">
        <f>IF($B528&lt;&gt;"",INDEX(DataOB[],FirstRow+ROW()-7,MATCH(W$6,DataOB[#Headers],0)),"")</f>
        <v/>
      </c>
      <c r="X528" s="67" t="str">
        <f>IF($B528&lt;&gt;"",INDEX(DataOB[],FirstRow+ROW()-7,MATCH(X$6,DataOB[#Headers],0)),"")</f>
        <v/>
      </c>
      <c r="Y528" s="67" t="str">
        <f>IF($B528&lt;&gt;"",INDEX(DataOB[],FirstRow+ROW()-7,MATCH(Y$6,DataOB[#Headers],0)),"")</f>
        <v/>
      </c>
      <c r="Z528" s="67" t="str">
        <f>IF($B528&lt;&gt;"",INDEX(DataOB[],FirstRow+ROW()-7,MATCH(Z$6,DataOB[#Headers],0)),"")</f>
        <v/>
      </c>
      <c r="AA528" s="67" t="str">
        <f>IF($B528&lt;&gt;"",INDEX(DataOB[],FirstRow+ROW()-7,MATCH(AA$6,DataOB[#Headers],0)),"")</f>
        <v/>
      </c>
      <c r="AB528" s="67" t="str">
        <f>IF($B528&lt;&gt;"",INDEX(DataOB[],FirstRow+ROW()-7,MATCH(AB$6,DataOB[#Headers],0)),"")</f>
        <v/>
      </c>
      <c r="AC528" s="67" t="str">
        <f>IF($B528&lt;&gt;"",INDEX(DataOB[],FirstRow+ROW()-7,MATCH(AC$6,DataOB[#Headers],0)),"")</f>
        <v/>
      </c>
      <c r="AD528" s="67" t="str">
        <f>IF($B528&lt;&gt;"",INDEX(DataOB[],FirstRow+ROW()-7,MATCH(AD$6,DataOB[#Headers],0)),"")</f>
        <v/>
      </c>
      <c r="AE528" s="67" t="str">
        <f>IF($B528&lt;&gt;"",INDEX(DataOB[],FirstRow+ROW()-7,MATCH(AE$6,DataOB[#Headers],0)),"")</f>
        <v/>
      </c>
      <c r="AF528" s="26">
        <f t="shared" si="86"/>
        <v>0</v>
      </c>
      <c r="AG528" s="31">
        <f>SUM($T528:T528)</f>
        <v>0</v>
      </c>
      <c r="AH528" s="31">
        <f>SUM($T528:U528)</f>
        <v>0</v>
      </c>
      <c r="AI528" s="31">
        <f>SUM($T528:V528)</f>
        <v>0</v>
      </c>
      <c r="AJ528" s="31">
        <f>SUM($T528:W528)</f>
        <v>0</v>
      </c>
      <c r="AK528" s="31">
        <f>SUM($T528:X528)</f>
        <v>0</v>
      </c>
      <c r="AL528" s="31">
        <f>SUM($T528:Y528)</f>
        <v>0</v>
      </c>
      <c r="AM528" s="31">
        <f>SUM($T528:Z528)</f>
        <v>0</v>
      </c>
      <c r="AN528" s="31">
        <f>SUM($T528:AA528)</f>
        <v>0</v>
      </c>
      <c r="AO528" s="31">
        <f>SUM($T528:AB528)</f>
        <v>0</v>
      </c>
      <c r="AP528" s="31">
        <f>SUM($T528:AC528)</f>
        <v>0</v>
      </c>
      <c r="AQ528" s="31">
        <f>SUM($T528:AD528)</f>
        <v>0</v>
      </c>
      <c r="AR528" s="31">
        <f>SUM($T528:AE528)</f>
        <v>0</v>
      </c>
      <c r="AS528" s="27">
        <f t="shared" si="87"/>
        <v>0</v>
      </c>
    </row>
    <row r="529" spans="2:45">
      <c r="B529" s="102" t="str">
        <f>IF(ROW()-6&gt;NumCostCenter,"",IF(CostCenter&lt;&gt;"ALL",CostCenter,DATA_LF2!B527))</f>
        <v/>
      </c>
      <c r="C529" s="153" t="str">
        <f>IF($B529&lt;&gt;"",INDEX(DataOB[],FirstRow+ROW()-7,2),"")</f>
        <v/>
      </c>
      <c r="D529" s="66" t="str">
        <f>IF($B529&lt;&gt;"",INDEX(DataOB[],FirstRow+ROW()-7,3),"")</f>
        <v/>
      </c>
      <c r="E529" s="103" t="str">
        <f>IF($B529&lt;&gt;"",INDEX(DataOB[],FirstRow+ROW()-7,6),"")</f>
        <v/>
      </c>
      <c r="F529" s="103" t="str">
        <f>IF($B529&lt;&gt;"",INDEX(DataOB[],FirstRow+ROW()-7,5),"")</f>
        <v/>
      </c>
      <c r="G529" s="58">
        <f>IF($B529&lt;&gt;"",SUMIFS(DataAct_tbl[AMOUNT],DataAct_tbl[BG CODE],Detail!$D529,DataAct_tbl[MONTH],LEFT(MonthName,3),DataAct_tbl[Dept code],$B529),0)</f>
        <v>0</v>
      </c>
      <c r="H529" s="31" t="str">
        <f t="shared" si="79"/>
        <v/>
      </c>
      <c r="I529" s="28" t="str">
        <f t="shared" si="80"/>
        <v/>
      </c>
      <c r="J529" s="32" t="str">
        <f t="shared" si="81"/>
        <v/>
      </c>
      <c r="K529" s="86"/>
      <c r="L529" s="62">
        <f>IF($B529&lt;&gt;"",SUMIFS(DataAct_tbl[AMOUNT],DataAct_tbl[BG CODE],Detail!$D529,DataAct_tbl[Check Range],"=true",DataAct_tbl[Dept code],$B529),0)</f>
        <v>0</v>
      </c>
      <c r="M529" s="63">
        <f>INDEX($AG$7:$AR$1005,ROW()-6,MATCH(MTD,$AG$6:$AR$6,0))</f>
        <v>0</v>
      </c>
      <c r="N529" s="34">
        <f t="shared" si="82"/>
        <v>0</v>
      </c>
      <c r="O529" s="64" t="str">
        <f t="shared" si="83"/>
        <v xml:space="preserve"> </v>
      </c>
      <c r="Q529" s="97">
        <f t="shared" si="84"/>
        <v>0</v>
      </c>
      <c r="R529" s="96">
        <f t="shared" si="85"/>
        <v>0</v>
      </c>
      <c r="T529" s="67" t="str">
        <f>IF($B529&lt;&gt;"",INDEX(DataOB[],FirstRow+ROW()-7,MATCH(T$6,DataOB[#Headers],0)),"")</f>
        <v/>
      </c>
      <c r="U529" s="67" t="str">
        <f>IF($B529&lt;&gt;"",INDEX(DataOB[],FirstRow+ROW()-7,MATCH(U$6,DataOB[#Headers],0)),"")</f>
        <v/>
      </c>
      <c r="V529" s="67" t="str">
        <f>IF($B529&lt;&gt;"",INDEX(DataOB[],FirstRow+ROW()-7,MATCH(V$6,DataOB[#Headers],0)),"")</f>
        <v/>
      </c>
      <c r="W529" s="67" t="str">
        <f>IF($B529&lt;&gt;"",INDEX(DataOB[],FirstRow+ROW()-7,MATCH(W$6,DataOB[#Headers],0)),"")</f>
        <v/>
      </c>
      <c r="X529" s="67" t="str">
        <f>IF($B529&lt;&gt;"",INDEX(DataOB[],FirstRow+ROW()-7,MATCH(X$6,DataOB[#Headers],0)),"")</f>
        <v/>
      </c>
      <c r="Y529" s="67" t="str">
        <f>IF($B529&lt;&gt;"",INDEX(DataOB[],FirstRow+ROW()-7,MATCH(Y$6,DataOB[#Headers],0)),"")</f>
        <v/>
      </c>
      <c r="Z529" s="67" t="str">
        <f>IF($B529&lt;&gt;"",INDEX(DataOB[],FirstRow+ROW()-7,MATCH(Z$6,DataOB[#Headers],0)),"")</f>
        <v/>
      </c>
      <c r="AA529" s="67" t="str">
        <f>IF($B529&lt;&gt;"",INDEX(DataOB[],FirstRow+ROW()-7,MATCH(AA$6,DataOB[#Headers],0)),"")</f>
        <v/>
      </c>
      <c r="AB529" s="67" t="str">
        <f>IF($B529&lt;&gt;"",INDEX(DataOB[],FirstRow+ROW()-7,MATCH(AB$6,DataOB[#Headers],0)),"")</f>
        <v/>
      </c>
      <c r="AC529" s="67" t="str">
        <f>IF($B529&lt;&gt;"",INDEX(DataOB[],FirstRow+ROW()-7,MATCH(AC$6,DataOB[#Headers],0)),"")</f>
        <v/>
      </c>
      <c r="AD529" s="67" t="str">
        <f>IF($B529&lt;&gt;"",INDEX(DataOB[],FirstRow+ROW()-7,MATCH(AD$6,DataOB[#Headers],0)),"")</f>
        <v/>
      </c>
      <c r="AE529" s="67" t="str">
        <f>IF($B529&lt;&gt;"",INDEX(DataOB[],FirstRow+ROW()-7,MATCH(AE$6,DataOB[#Headers],0)),"")</f>
        <v/>
      </c>
      <c r="AF529" s="26">
        <f t="shared" si="86"/>
        <v>0</v>
      </c>
      <c r="AG529" s="31">
        <f>SUM($T529:T529)</f>
        <v>0</v>
      </c>
      <c r="AH529" s="31">
        <f>SUM($T529:U529)</f>
        <v>0</v>
      </c>
      <c r="AI529" s="31">
        <f>SUM($T529:V529)</f>
        <v>0</v>
      </c>
      <c r="AJ529" s="31">
        <f>SUM($T529:W529)</f>
        <v>0</v>
      </c>
      <c r="AK529" s="31">
        <f>SUM($T529:X529)</f>
        <v>0</v>
      </c>
      <c r="AL529" s="31">
        <f>SUM($T529:Y529)</f>
        <v>0</v>
      </c>
      <c r="AM529" s="31">
        <f>SUM($T529:Z529)</f>
        <v>0</v>
      </c>
      <c r="AN529" s="31">
        <f>SUM($T529:AA529)</f>
        <v>0</v>
      </c>
      <c r="AO529" s="31">
        <f>SUM($T529:AB529)</f>
        <v>0</v>
      </c>
      <c r="AP529" s="31">
        <f>SUM($T529:AC529)</f>
        <v>0</v>
      </c>
      <c r="AQ529" s="31">
        <f>SUM($T529:AD529)</f>
        <v>0</v>
      </c>
      <c r="AR529" s="31">
        <f>SUM($T529:AE529)</f>
        <v>0</v>
      </c>
      <c r="AS529" s="27">
        <f t="shared" si="87"/>
        <v>0</v>
      </c>
    </row>
    <row r="530" spans="2:45">
      <c r="B530" s="102" t="str">
        <f>IF(ROW()-6&gt;NumCostCenter,"",IF(CostCenter&lt;&gt;"ALL",CostCenter,DATA_LF2!B528))</f>
        <v/>
      </c>
      <c r="C530" s="153" t="str">
        <f>IF($B530&lt;&gt;"",INDEX(DataOB[],FirstRow+ROW()-7,2),"")</f>
        <v/>
      </c>
      <c r="D530" s="66" t="str">
        <f>IF($B530&lt;&gt;"",INDEX(DataOB[],FirstRow+ROW()-7,3),"")</f>
        <v/>
      </c>
      <c r="E530" s="103" t="str">
        <f>IF($B530&lt;&gt;"",INDEX(DataOB[],FirstRow+ROW()-7,6),"")</f>
        <v/>
      </c>
      <c r="F530" s="103" t="str">
        <f>IF($B530&lt;&gt;"",INDEX(DataOB[],FirstRow+ROW()-7,5),"")</f>
        <v/>
      </c>
      <c r="G530" s="58">
        <f>IF($B530&lt;&gt;"",SUMIFS(DataAct_tbl[AMOUNT],DataAct_tbl[BG CODE],Detail!$D530,DataAct_tbl[MONTH],LEFT(MonthName,3),DataAct_tbl[Dept code],$B530),0)</f>
        <v>0</v>
      </c>
      <c r="H530" s="31" t="str">
        <f t="shared" si="79"/>
        <v/>
      </c>
      <c r="I530" s="28" t="str">
        <f t="shared" si="80"/>
        <v/>
      </c>
      <c r="J530" s="32" t="str">
        <f t="shared" si="81"/>
        <v/>
      </c>
      <c r="K530" s="86"/>
      <c r="L530" s="62">
        <f>IF($B530&lt;&gt;"",SUMIFS(DataAct_tbl[AMOUNT],DataAct_tbl[BG CODE],Detail!$D530,DataAct_tbl[Check Range],"=true",DataAct_tbl[Dept code],$B530),0)</f>
        <v>0</v>
      </c>
      <c r="M530" s="63">
        <f>INDEX($AG$7:$AR$1005,ROW()-6,MATCH(MTD,$AG$6:$AR$6,0))</f>
        <v>0</v>
      </c>
      <c r="N530" s="34">
        <f t="shared" si="82"/>
        <v>0</v>
      </c>
      <c r="O530" s="64" t="str">
        <f t="shared" si="83"/>
        <v xml:space="preserve"> </v>
      </c>
      <c r="Q530" s="97">
        <f t="shared" si="84"/>
        <v>0</v>
      </c>
      <c r="R530" s="96">
        <f t="shared" si="85"/>
        <v>0</v>
      </c>
      <c r="T530" s="67" t="str">
        <f>IF($B530&lt;&gt;"",INDEX(DataOB[],FirstRow+ROW()-7,MATCH(T$6,DataOB[#Headers],0)),"")</f>
        <v/>
      </c>
      <c r="U530" s="67" t="str">
        <f>IF($B530&lt;&gt;"",INDEX(DataOB[],FirstRow+ROW()-7,MATCH(U$6,DataOB[#Headers],0)),"")</f>
        <v/>
      </c>
      <c r="V530" s="67" t="str">
        <f>IF($B530&lt;&gt;"",INDEX(DataOB[],FirstRow+ROW()-7,MATCH(V$6,DataOB[#Headers],0)),"")</f>
        <v/>
      </c>
      <c r="W530" s="67" t="str">
        <f>IF($B530&lt;&gt;"",INDEX(DataOB[],FirstRow+ROW()-7,MATCH(W$6,DataOB[#Headers],0)),"")</f>
        <v/>
      </c>
      <c r="X530" s="67" t="str">
        <f>IF($B530&lt;&gt;"",INDEX(DataOB[],FirstRow+ROW()-7,MATCH(X$6,DataOB[#Headers],0)),"")</f>
        <v/>
      </c>
      <c r="Y530" s="67" t="str">
        <f>IF($B530&lt;&gt;"",INDEX(DataOB[],FirstRow+ROW()-7,MATCH(Y$6,DataOB[#Headers],0)),"")</f>
        <v/>
      </c>
      <c r="Z530" s="67" t="str">
        <f>IF($B530&lt;&gt;"",INDEX(DataOB[],FirstRow+ROW()-7,MATCH(Z$6,DataOB[#Headers],0)),"")</f>
        <v/>
      </c>
      <c r="AA530" s="67" t="str">
        <f>IF($B530&lt;&gt;"",INDEX(DataOB[],FirstRow+ROW()-7,MATCH(AA$6,DataOB[#Headers],0)),"")</f>
        <v/>
      </c>
      <c r="AB530" s="67" t="str">
        <f>IF($B530&lt;&gt;"",INDEX(DataOB[],FirstRow+ROW()-7,MATCH(AB$6,DataOB[#Headers],0)),"")</f>
        <v/>
      </c>
      <c r="AC530" s="67" t="str">
        <f>IF($B530&lt;&gt;"",INDEX(DataOB[],FirstRow+ROW()-7,MATCH(AC$6,DataOB[#Headers],0)),"")</f>
        <v/>
      </c>
      <c r="AD530" s="67" t="str">
        <f>IF($B530&lt;&gt;"",INDEX(DataOB[],FirstRow+ROW()-7,MATCH(AD$6,DataOB[#Headers],0)),"")</f>
        <v/>
      </c>
      <c r="AE530" s="67" t="str">
        <f>IF($B530&lt;&gt;"",INDEX(DataOB[],FirstRow+ROW()-7,MATCH(AE$6,DataOB[#Headers],0)),"")</f>
        <v/>
      </c>
      <c r="AF530" s="26">
        <f t="shared" si="86"/>
        <v>0</v>
      </c>
      <c r="AG530" s="31">
        <f>SUM($T530:T530)</f>
        <v>0</v>
      </c>
      <c r="AH530" s="31">
        <f>SUM($T530:U530)</f>
        <v>0</v>
      </c>
      <c r="AI530" s="31">
        <f>SUM($T530:V530)</f>
        <v>0</v>
      </c>
      <c r="AJ530" s="31">
        <f>SUM($T530:W530)</f>
        <v>0</v>
      </c>
      <c r="AK530" s="31">
        <f>SUM($T530:X530)</f>
        <v>0</v>
      </c>
      <c r="AL530" s="31">
        <f>SUM($T530:Y530)</f>
        <v>0</v>
      </c>
      <c r="AM530" s="31">
        <f>SUM($T530:Z530)</f>
        <v>0</v>
      </c>
      <c r="AN530" s="31">
        <f>SUM($T530:AA530)</f>
        <v>0</v>
      </c>
      <c r="AO530" s="31">
        <f>SUM($T530:AB530)</f>
        <v>0</v>
      </c>
      <c r="AP530" s="31">
        <f>SUM($T530:AC530)</f>
        <v>0</v>
      </c>
      <c r="AQ530" s="31">
        <f>SUM($T530:AD530)</f>
        <v>0</v>
      </c>
      <c r="AR530" s="31">
        <f>SUM($T530:AE530)</f>
        <v>0</v>
      </c>
      <c r="AS530" s="27">
        <f t="shared" si="87"/>
        <v>0</v>
      </c>
    </row>
    <row r="531" spans="2:45">
      <c r="B531" s="102" t="str">
        <f>IF(ROW()-6&gt;NumCostCenter,"",IF(CostCenter&lt;&gt;"ALL",CostCenter,DATA_LF2!B529))</f>
        <v/>
      </c>
      <c r="C531" s="153" t="str">
        <f>IF($B531&lt;&gt;"",INDEX(DataOB[],FirstRow+ROW()-7,2),"")</f>
        <v/>
      </c>
      <c r="D531" s="66" t="str">
        <f>IF($B531&lt;&gt;"",INDEX(DataOB[],FirstRow+ROW()-7,3),"")</f>
        <v/>
      </c>
      <c r="E531" s="103" t="str">
        <f>IF($B531&lt;&gt;"",INDEX(DataOB[],FirstRow+ROW()-7,6),"")</f>
        <v/>
      </c>
      <c r="F531" s="103" t="str">
        <f>IF($B531&lt;&gt;"",INDEX(DataOB[],FirstRow+ROW()-7,5),"")</f>
        <v/>
      </c>
      <c r="G531" s="58">
        <f>IF($B531&lt;&gt;"",SUMIFS(DataAct_tbl[AMOUNT],DataAct_tbl[BG CODE],Detail!$D531,DataAct_tbl[MONTH],LEFT(MonthName,3),DataAct_tbl[Dept code],$B531),0)</f>
        <v>0</v>
      </c>
      <c r="H531" s="31" t="str">
        <f t="shared" si="79"/>
        <v/>
      </c>
      <c r="I531" s="28" t="str">
        <f t="shared" si="80"/>
        <v/>
      </c>
      <c r="J531" s="32" t="str">
        <f t="shared" si="81"/>
        <v/>
      </c>
      <c r="K531" s="86"/>
      <c r="L531" s="62">
        <f>IF($B531&lt;&gt;"",SUMIFS(DataAct_tbl[AMOUNT],DataAct_tbl[BG CODE],Detail!$D531,DataAct_tbl[Check Range],"=true",DataAct_tbl[Dept code],$B531),0)</f>
        <v>0</v>
      </c>
      <c r="M531" s="63">
        <f>INDEX($AG$7:$AR$1005,ROW()-6,MATCH(MTD,$AG$6:$AR$6,0))</f>
        <v>0</v>
      </c>
      <c r="N531" s="34">
        <f t="shared" si="82"/>
        <v>0</v>
      </c>
      <c r="O531" s="64" t="str">
        <f t="shared" si="83"/>
        <v xml:space="preserve"> </v>
      </c>
      <c r="Q531" s="97">
        <f t="shared" si="84"/>
        <v>0</v>
      </c>
      <c r="R531" s="96">
        <f t="shared" si="85"/>
        <v>0</v>
      </c>
      <c r="T531" s="67" t="str">
        <f>IF($B531&lt;&gt;"",INDEX(DataOB[],FirstRow+ROW()-7,MATCH(T$6,DataOB[#Headers],0)),"")</f>
        <v/>
      </c>
      <c r="U531" s="67" t="str">
        <f>IF($B531&lt;&gt;"",INDEX(DataOB[],FirstRow+ROW()-7,MATCH(U$6,DataOB[#Headers],0)),"")</f>
        <v/>
      </c>
      <c r="V531" s="67" t="str">
        <f>IF($B531&lt;&gt;"",INDEX(DataOB[],FirstRow+ROW()-7,MATCH(V$6,DataOB[#Headers],0)),"")</f>
        <v/>
      </c>
      <c r="W531" s="67" t="str">
        <f>IF($B531&lt;&gt;"",INDEX(DataOB[],FirstRow+ROW()-7,MATCH(W$6,DataOB[#Headers],0)),"")</f>
        <v/>
      </c>
      <c r="X531" s="67" t="str">
        <f>IF($B531&lt;&gt;"",INDEX(DataOB[],FirstRow+ROW()-7,MATCH(X$6,DataOB[#Headers],0)),"")</f>
        <v/>
      </c>
      <c r="Y531" s="67" t="str">
        <f>IF($B531&lt;&gt;"",INDEX(DataOB[],FirstRow+ROW()-7,MATCH(Y$6,DataOB[#Headers],0)),"")</f>
        <v/>
      </c>
      <c r="Z531" s="67" t="str">
        <f>IF($B531&lt;&gt;"",INDEX(DataOB[],FirstRow+ROW()-7,MATCH(Z$6,DataOB[#Headers],0)),"")</f>
        <v/>
      </c>
      <c r="AA531" s="67" t="str">
        <f>IF($B531&lt;&gt;"",INDEX(DataOB[],FirstRow+ROW()-7,MATCH(AA$6,DataOB[#Headers],0)),"")</f>
        <v/>
      </c>
      <c r="AB531" s="67" t="str">
        <f>IF($B531&lt;&gt;"",INDEX(DataOB[],FirstRow+ROW()-7,MATCH(AB$6,DataOB[#Headers],0)),"")</f>
        <v/>
      </c>
      <c r="AC531" s="67" t="str">
        <f>IF($B531&lt;&gt;"",INDEX(DataOB[],FirstRow+ROW()-7,MATCH(AC$6,DataOB[#Headers],0)),"")</f>
        <v/>
      </c>
      <c r="AD531" s="67" t="str">
        <f>IF($B531&lt;&gt;"",INDEX(DataOB[],FirstRow+ROW()-7,MATCH(AD$6,DataOB[#Headers],0)),"")</f>
        <v/>
      </c>
      <c r="AE531" s="67" t="str">
        <f>IF($B531&lt;&gt;"",INDEX(DataOB[],FirstRow+ROW()-7,MATCH(AE$6,DataOB[#Headers],0)),"")</f>
        <v/>
      </c>
      <c r="AF531" s="26">
        <f t="shared" si="86"/>
        <v>0</v>
      </c>
      <c r="AG531" s="31">
        <f>SUM($T531:T531)</f>
        <v>0</v>
      </c>
      <c r="AH531" s="31">
        <f>SUM($T531:U531)</f>
        <v>0</v>
      </c>
      <c r="AI531" s="31">
        <f>SUM($T531:V531)</f>
        <v>0</v>
      </c>
      <c r="AJ531" s="31">
        <f>SUM($T531:W531)</f>
        <v>0</v>
      </c>
      <c r="AK531" s="31">
        <f>SUM($T531:X531)</f>
        <v>0</v>
      </c>
      <c r="AL531" s="31">
        <f>SUM($T531:Y531)</f>
        <v>0</v>
      </c>
      <c r="AM531" s="31">
        <f>SUM($T531:Z531)</f>
        <v>0</v>
      </c>
      <c r="AN531" s="31">
        <f>SUM($T531:AA531)</f>
        <v>0</v>
      </c>
      <c r="AO531" s="31">
        <f>SUM($T531:AB531)</f>
        <v>0</v>
      </c>
      <c r="AP531" s="31">
        <f>SUM($T531:AC531)</f>
        <v>0</v>
      </c>
      <c r="AQ531" s="31">
        <f>SUM($T531:AD531)</f>
        <v>0</v>
      </c>
      <c r="AR531" s="31">
        <f>SUM($T531:AE531)</f>
        <v>0</v>
      </c>
      <c r="AS531" s="27">
        <f t="shared" si="87"/>
        <v>0</v>
      </c>
    </row>
    <row r="532" spans="2:45">
      <c r="B532" s="102" t="str">
        <f>IF(ROW()-6&gt;NumCostCenter,"",IF(CostCenter&lt;&gt;"ALL",CostCenter,DATA_LF2!B530))</f>
        <v/>
      </c>
      <c r="C532" s="153" t="str">
        <f>IF($B532&lt;&gt;"",INDEX(DataOB[],FirstRow+ROW()-7,2),"")</f>
        <v/>
      </c>
      <c r="D532" s="66" t="str">
        <f>IF($B532&lt;&gt;"",INDEX(DataOB[],FirstRow+ROW()-7,3),"")</f>
        <v/>
      </c>
      <c r="E532" s="103" t="str">
        <f>IF($B532&lt;&gt;"",INDEX(DataOB[],FirstRow+ROW()-7,6),"")</f>
        <v/>
      </c>
      <c r="F532" s="103" t="str">
        <f>IF($B532&lt;&gt;"",INDEX(DataOB[],FirstRow+ROW()-7,5),"")</f>
        <v/>
      </c>
      <c r="G532" s="58">
        <f>IF($B532&lt;&gt;"",SUMIFS(DataAct_tbl[AMOUNT],DataAct_tbl[BG CODE],Detail!$D532,DataAct_tbl[MONTH],LEFT(MonthName,3),DataAct_tbl[Dept code],$B532),0)</f>
        <v>0</v>
      </c>
      <c r="H532" s="31" t="str">
        <f t="shared" si="79"/>
        <v/>
      </c>
      <c r="I532" s="28" t="str">
        <f t="shared" si="80"/>
        <v/>
      </c>
      <c r="J532" s="32" t="str">
        <f t="shared" si="81"/>
        <v/>
      </c>
      <c r="K532" s="86"/>
      <c r="L532" s="62">
        <f>IF($B532&lt;&gt;"",SUMIFS(DataAct_tbl[AMOUNT],DataAct_tbl[BG CODE],Detail!$D532,DataAct_tbl[Check Range],"=true",DataAct_tbl[Dept code],$B532),0)</f>
        <v>0</v>
      </c>
      <c r="M532" s="63">
        <f>INDEX($AG$7:$AR$1005,ROW()-6,MATCH(MTD,$AG$6:$AR$6,0))</f>
        <v>0</v>
      </c>
      <c r="N532" s="34">
        <f t="shared" si="82"/>
        <v>0</v>
      </c>
      <c r="O532" s="64" t="str">
        <f t="shared" si="83"/>
        <v xml:space="preserve"> </v>
      </c>
      <c r="Q532" s="97">
        <f t="shared" si="84"/>
        <v>0</v>
      </c>
      <c r="R532" s="96">
        <f t="shared" si="85"/>
        <v>0</v>
      </c>
      <c r="T532" s="67" t="str">
        <f>IF($B532&lt;&gt;"",INDEX(DataOB[],FirstRow+ROW()-7,MATCH(T$6,DataOB[#Headers],0)),"")</f>
        <v/>
      </c>
      <c r="U532" s="67" t="str">
        <f>IF($B532&lt;&gt;"",INDEX(DataOB[],FirstRow+ROW()-7,MATCH(U$6,DataOB[#Headers],0)),"")</f>
        <v/>
      </c>
      <c r="V532" s="67" t="str">
        <f>IF($B532&lt;&gt;"",INDEX(DataOB[],FirstRow+ROW()-7,MATCH(V$6,DataOB[#Headers],0)),"")</f>
        <v/>
      </c>
      <c r="W532" s="67" t="str">
        <f>IF($B532&lt;&gt;"",INDEX(DataOB[],FirstRow+ROW()-7,MATCH(W$6,DataOB[#Headers],0)),"")</f>
        <v/>
      </c>
      <c r="X532" s="67" t="str">
        <f>IF($B532&lt;&gt;"",INDEX(DataOB[],FirstRow+ROW()-7,MATCH(X$6,DataOB[#Headers],0)),"")</f>
        <v/>
      </c>
      <c r="Y532" s="67" t="str">
        <f>IF($B532&lt;&gt;"",INDEX(DataOB[],FirstRow+ROW()-7,MATCH(Y$6,DataOB[#Headers],0)),"")</f>
        <v/>
      </c>
      <c r="Z532" s="67" t="str">
        <f>IF($B532&lt;&gt;"",INDEX(DataOB[],FirstRow+ROW()-7,MATCH(Z$6,DataOB[#Headers],0)),"")</f>
        <v/>
      </c>
      <c r="AA532" s="67" t="str">
        <f>IF($B532&lt;&gt;"",INDEX(DataOB[],FirstRow+ROW()-7,MATCH(AA$6,DataOB[#Headers],0)),"")</f>
        <v/>
      </c>
      <c r="AB532" s="67" t="str">
        <f>IF($B532&lt;&gt;"",INDEX(DataOB[],FirstRow+ROW()-7,MATCH(AB$6,DataOB[#Headers],0)),"")</f>
        <v/>
      </c>
      <c r="AC532" s="67" t="str">
        <f>IF($B532&lt;&gt;"",INDEX(DataOB[],FirstRow+ROW()-7,MATCH(AC$6,DataOB[#Headers],0)),"")</f>
        <v/>
      </c>
      <c r="AD532" s="67" t="str">
        <f>IF($B532&lt;&gt;"",INDEX(DataOB[],FirstRow+ROW()-7,MATCH(AD$6,DataOB[#Headers],0)),"")</f>
        <v/>
      </c>
      <c r="AE532" s="67" t="str">
        <f>IF($B532&lt;&gt;"",INDEX(DataOB[],FirstRow+ROW()-7,MATCH(AE$6,DataOB[#Headers],0)),"")</f>
        <v/>
      </c>
      <c r="AF532" s="26">
        <f t="shared" si="86"/>
        <v>0</v>
      </c>
      <c r="AG532" s="31">
        <f>SUM($T532:T532)</f>
        <v>0</v>
      </c>
      <c r="AH532" s="31">
        <f>SUM($T532:U532)</f>
        <v>0</v>
      </c>
      <c r="AI532" s="31">
        <f>SUM($T532:V532)</f>
        <v>0</v>
      </c>
      <c r="AJ532" s="31">
        <f>SUM($T532:W532)</f>
        <v>0</v>
      </c>
      <c r="AK532" s="31">
        <f>SUM($T532:X532)</f>
        <v>0</v>
      </c>
      <c r="AL532" s="31">
        <f>SUM($T532:Y532)</f>
        <v>0</v>
      </c>
      <c r="AM532" s="31">
        <f>SUM($T532:Z532)</f>
        <v>0</v>
      </c>
      <c r="AN532" s="31">
        <f>SUM($T532:AA532)</f>
        <v>0</v>
      </c>
      <c r="AO532" s="31">
        <f>SUM($T532:AB532)</f>
        <v>0</v>
      </c>
      <c r="AP532" s="31">
        <f>SUM($T532:AC532)</f>
        <v>0</v>
      </c>
      <c r="AQ532" s="31">
        <f>SUM($T532:AD532)</f>
        <v>0</v>
      </c>
      <c r="AR532" s="31">
        <f>SUM($T532:AE532)</f>
        <v>0</v>
      </c>
      <c r="AS532" s="27">
        <f t="shared" si="87"/>
        <v>0</v>
      </c>
    </row>
    <row r="533" spans="2:45">
      <c r="B533" s="102" t="str">
        <f>IF(ROW()-6&gt;NumCostCenter,"",IF(CostCenter&lt;&gt;"ALL",CostCenter,DATA_LF2!B531))</f>
        <v/>
      </c>
      <c r="C533" s="153" t="str">
        <f>IF($B533&lt;&gt;"",INDEX(DataOB[],FirstRow+ROW()-7,2),"")</f>
        <v/>
      </c>
      <c r="D533" s="66" t="str">
        <f>IF($B533&lt;&gt;"",INDEX(DataOB[],FirstRow+ROW()-7,3),"")</f>
        <v/>
      </c>
      <c r="E533" s="103" t="str">
        <f>IF($B533&lt;&gt;"",INDEX(DataOB[],FirstRow+ROW()-7,6),"")</f>
        <v/>
      </c>
      <c r="F533" s="103" t="str">
        <f>IF($B533&lt;&gt;"",INDEX(DataOB[],FirstRow+ROW()-7,5),"")</f>
        <v/>
      </c>
      <c r="G533" s="58">
        <f>IF($B533&lt;&gt;"",SUMIFS(DataAct_tbl[AMOUNT],DataAct_tbl[BG CODE],Detail!$D533,DataAct_tbl[MONTH],LEFT(MonthName,3),DataAct_tbl[Dept code],$B533),0)</f>
        <v>0</v>
      </c>
      <c r="H533" s="31" t="str">
        <f t="shared" si="79"/>
        <v/>
      </c>
      <c r="I533" s="28" t="str">
        <f t="shared" si="80"/>
        <v/>
      </c>
      <c r="J533" s="32" t="str">
        <f t="shared" si="81"/>
        <v/>
      </c>
      <c r="K533" s="86"/>
      <c r="L533" s="62">
        <f>IF($B533&lt;&gt;"",SUMIFS(DataAct_tbl[AMOUNT],DataAct_tbl[BG CODE],Detail!$D533,DataAct_tbl[Check Range],"=true",DataAct_tbl[Dept code],$B533),0)</f>
        <v>0</v>
      </c>
      <c r="M533" s="63">
        <f>INDEX($AG$7:$AR$1005,ROW()-6,MATCH(MTD,$AG$6:$AR$6,0))</f>
        <v>0</v>
      </c>
      <c r="N533" s="34">
        <f t="shared" si="82"/>
        <v>0</v>
      </c>
      <c r="O533" s="64" t="str">
        <f t="shared" si="83"/>
        <v xml:space="preserve"> </v>
      </c>
      <c r="Q533" s="97">
        <f t="shared" si="84"/>
        <v>0</v>
      </c>
      <c r="R533" s="96">
        <f t="shared" si="85"/>
        <v>0</v>
      </c>
      <c r="T533" s="67" t="str">
        <f>IF($B533&lt;&gt;"",INDEX(DataOB[],FirstRow+ROW()-7,MATCH(T$6,DataOB[#Headers],0)),"")</f>
        <v/>
      </c>
      <c r="U533" s="67" t="str">
        <f>IF($B533&lt;&gt;"",INDEX(DataOB[],FirstRow+ROW()-7,MATCH(U$6,DataOB[#Headers],0)),"")</f>
        <v/>
      </c>
      <c r="V533" s="67" t="str">
        <f>IF($B533&lt;&gt;"",INDEX(DataOB[],FirstRow+ROW()-7,MATCH(V$6,DataOB[#Headers],0)),"")</f>
        <v/>
      </c>
      <c r="W533" s="67" t="str">
        <f>IF($B533&lt;&gt;"",INDEX(DataOB[],FirstRow+ROW()-7,MATCH(W$6,DataOB[#Headers],0)),"")</f>
        <v/>
      </c>
      <c r="X533" s="67" t="str">
        <f>IF($B533&lt;&gt;"",INDEX(DataOB[],FirstRow+ROW()-7,MATCH(X$6,DataOB[#Headers],0)),"")</f>
        <v/>
      </c>
      <c r="Y533" s="67" t="str">
        <f>IF($B533&lt;&gt;"",INDEX(DataOB[],FirstRow+ROW()-7,MATCH(Y$6,DataOB[#Headers],0)),"")</f>
        <v/>
      </c>
      <c r="Z533" s="67" t="str">
        <f>IF($B533&lt;&gt;"",INDEX(DataOB[],FirstRow+ROW()-7,MATCH(Z$6,DataOB[#Headers],0)),"")</f>
        <v/>
      </c>
      <c r="AA533" s="67" t="str">
        <f>IF($B533&lt;&gt;"",INDEX(DataOB[],FirstRow+ROW()-7,MATCH(AA$6,DataOB[#Headers],0)),"")</f>
        <v/>
      </c>
      <c r="AB533" s="67" t="str">
        <f>IF($B533&lt;&gt;"",INDEX(DataOB[],FirstRow+ROW()-7,MATCH(AB$6,DataOB[#Headers],0)),"")</f>
        <v/>
      </c>
      <c r="AC533" s="67" t="str">
        <f>IF($B533&lt;&gt;"",INDEX(DataOB[],FirstRow+ROW()-7,MATCH(AC$6,DataOB[#Headers],0)),"")</f>
        <v/>
      </c>
      <c r="AD533" s="67" t="str">
        <f>IF($B533&lt;&gt;"",INDEX(DataOB[],FirstRow+ROW()-7,MATCH(AD$6,DataOB[#Headers],0)),"")</f>
        <v/>
      </c>
      <c r="AE533" s="67" t="str">
        <f>IF($B533&lt;&gt;"",INDEX(DataOB[],FirstRow+ROW()-7,MATCH(AE$6,DataOB[#Headers],0)),"")</f>
        <v/>
      </c>
      <c r="AF533" s="26">
        <f t="shared" si="86"/>
        <v>0</v>
      </c>
      <c r="AG533" s="31">
        <f>SUM($T533:T533)</f>
        <v>0</v>
      </c>
      <c r="AH533" s="31">
        <f>SUM($T533:U533)</f>
        <v>0</v>
      </c>
      <c r="AI533" s="31">
        <f>SUM($T533:V533)</f>
        <v>0</v>
      </c>
      <c r="AJ533" s="31">
        <f>SUM($T533:W533)</f>
        <v>0</v>
      </c>
      <c r="AK533" s="31">
        <f>SUM($T533:X533)</f>
        <v>0</v>
      </c>
      <c r="AL533" s="31">
        <f>SUM($T533:Y533)</f>
        <v>0</v>
      </c>
      <c r="AM533" s="31">
        <f>SUM($T533:Z533)</f>
        <v>0</v>
      </c>
      <c r="AN533" s="31">
        <f>SUM($T533:AA533)</f>
        <v>0</v>
      </c>
      <c r="AO533" s="31">
        <f>SUM($T533:AB533)</f>
        <v>0</v>
      </c>
      <c r="AP533" s="31">
        <f>SUM($T533:AC533)</f>
        <v>0</v>
      </c>
      <c r="AQ533" s="31">
        <f>SUM($T533:AD533)</f>
        <v>0</v>
      </c>
      <c r="AR533" s="31">
        <f>SUM($T533:AE533)</f>
        <v>0</v>
      </c>
      <c r="AS533" s="27">
        <f t="shared" si="87"/>
        <v>0</v>
      </c>
    </row>
    <row r="534" spans="2:45">
      <c r="B534" s="102" t="str">
        <f>IF(ROW()-6&gt;NumCostCenter,"",IF(CostCenter&lt;&gt;"ALL",CostCenter,DATA_LF2!B532))</f>
        <v/>
      </c>
      <c r="C534" s="153" t="str">
        <f>IF($B534&lt;&gt;"",INDEX(DataOB[],FirstRow+ROW()-7,2),"")</f>
        <v/>
      </c>
      <c r="D534" s="66" t="str">
        <f>IF($B534&lt;&gt;"",INDEX(DataOB[],FirstRow+ROW()-7,3),"")</f>
        <v/>
      </c>
      <c r="E534" s="103" t="str">
        <f>IF($B534&lt;&gt;"",INDEX(DataOB[],FirstRow+ROW()-7,6),"")</f>
        <v/>
      </c>
      <c r="F534" s="103" t="str">
        <f>IF($B534&lt;&gt;"",INDEX(DataOB[],FirstRow+ROW()-7,5),"")</f>
        <v/>
      </c>
      <c r="G534" s="58">
        <f>IF($B534&lt;&gt;"",SUMIFS(DataAct_tbl[AMOUNT],DataAct_tbl[BG CODE],Detail!$D534,DataAct_tbl[MONTH],LEFT(MonthName,3),DataAct_tbl[Dept code],$B534),0)</f>
        <v>0</v>
      </c>
      <c r="H534" s="31" t="str">
        <f t="shared" si="79"/>
        <v/>
      </c>
      <c r="I534" s="28" t="str">
        <f t="shared" si="80"/>
        <v/>
      </c>
      <c r="J534" s="32" t="str">
        <f t="shared" si="81"/>
        <v/>
      </c>
      <c r="K534" s="86"/>
      <c r="L534" s="62">
        <f>IF($B534&lt;&gt;"",SUMIFS(DataAct_tbl[AMOUNT],DataAct_tbl[BG CODE],Detail!$D534,DataAct_tbl[Check Range],"=true",DataAct_tbl[Dept code],$B534),0)</f>
        <v>0</v>
      </c>
      <c r="M534" s="63">
        <f>INDEX($AG$7:$AR$1005,ROW()-6,MATCH(MTD,$AG$6:$AR$6,0))</f>
        <v>0</v>
      </c>
      <c r="N534" s="34">
        <f t="shared" si="82"/>
        <v>0</v>
      </c>
      <c r="O534" s="64" t="str">
        <f t="shared" si="83"/>
        <v xml:space="preserve"> </v>
      </c>
      <c r="Q534" s="97">
        <f t="shared" si="84"/>
        <v>0</v>
      </c>
      <c r="R534" s="96">
        <f t="shared" si="85"/>
        <v>0</v>
      </c>
      <c r="T534" s="67" t="str">
        <f>IF($B534&lt;&gt;"",INDEX(DataOB[],FirstRow+ROW()-7,MATCH(T$6,DataOB[#Headers],0)),"")</f>
        <v/>
      </c>
      <c r="U534" s="67" t="str">
        <f>IF($B534&lt;&gt;"",INDEX(DataOB[],FirstRow+ROW()-7,MATCH(U$6,DataOB[#Headers],0)),"")</f>
        <v/>
      </c>
      <c r="V534" s="67" t="str">
        <f>IF($B534&lt;&gt;"",INDEX(DataOB[],FirstRow+ROW()-7,MATCH(V$6,DataOB[#Headers],0)),"")</f>
        <v/>
      </c>
      <c r="W534" s="67" t="str">
        <f>IF($B534&lt;&gt;"",INDEX(DataOB[],FirstRow+ROW()-7,MATCH(W$6,DataOB[#Headers],0)),"")</f>
        <v/>
      </c>
      <c r="X534" s="67" t="str">
        <f>IF($B534&lt;&gt;"",INDEX(DataOB[],FirstRow+ROW()-7,MATCH(X$6,DataOB[#Headers],0)),"")</f>
        <v/>
      </c>
      <c r="Y534" s="67" t="str">
        <f>IF($B534&lt;&gt;"",INDEX(DataOB[],FirstRow+ROW()-7,MATCH(Y$6,DataOB[#Headers],0)),"")</f>
        <v/>
      </c>
      <c r="Z534" s="67" t="str">
        <f>IF($B534&lt;&gt;"",INDEX(DataOB[],FirstRow+ROW()-7,MATCH(Z$6,DataOB[#Headers],0)),"")</f>
        <v/>
      </c>
      <c r="AA534" s="67" t="str">
        <f>IF($B534&lt;&gt;"",INDEX(DataOB[],FirstRow+ROW()-7,MATCH(AA$6,DataOB[#Headers],0)),"")</f>
        <v/>
      </c>
      <c r="AB534" s="67" t="str">
        <f>IF($B534&lt;&gt;"",INDEX(DataOB[],FirstRow+ROW()-7,MATCH(AB$6,DataOB[#Headers],0)),"")</f>
        <v/>
      </c>
      <c r="AC534" s="67" t="str">
        <f>IF($B534&lt;&gt;"",INDEX(DataOB[],FirstRow+ROW()-7,MATCH(AC$6,DataOB[#Headers],0)),"")</f>
        <v/>
      </c>
      <c r="AD534" s="67" t="str">
        <f>IF($B534&lt;&gt;"",INDEX(DataOB[],FirstRow+ROW()-7,MATCH(AD$6,DataOB[#Headers],0)),"")</f>
        <v/>
      </c>
      <c r="AE534" s="67" t="str">
        <f>IF($B534&lt;&gt;"",INDEX(DataOB[],FirstRow+ROW()-7,MATCH(AE$6,DataOB[#Headers],0)),"")</f>
        <v/>
      </c>
      <c r="AF534" s="26">
        <f t="shared" si="86"/>
        <v>0</v>
      </c>
      <c r="AG534" s="31">
        <f>SUM($T534:T534)</f>
        <v>0</v>
      </c>
      <c r="AH534" s="31">
        <f>SUM($T534:U534)</f>
        <v>0</v>
      </c>
      <c r="AI534" s="31">
        <f>SUM($T534:V534)</f>
        <v>0</v>
      </c>
      <c r="AJ534" s="31">
        <f>SUM($T534:W534)</f>
        <v>0</v>
      </c>
      <c r="AK534" s="31">
        <f>SUM($T534:X534)</f>
        <v>0</v>
      </c>
      <c r="AL534" s="31">
        <f>SUM($T534:Y534)</f>
        <v>0</v>
      </c>
      <c r="AM534" s="31">
        <f>SUM($T534:Z534)</f>
        <v>0</v>
      </c>
      <c r="AN534" s="31">
        <f>SUM($T534:AA534)</f>
        <v>0</v>
      </c>
      <c r="AO534" s="31">
        <f>SUM($T534:AB534)</f>
        <v>0</v>
      </c>
      <c r="AP534" s="31">
        <f>SUM($T534:AC534)</f>
        <v>0</v>
      </c>
      <c r="AQ534" s="31">
        <f>SUM($T534:AD534)</f>
        <v>0</v>
      </c>
      <c r="AR534" s="31">
        <f>SUM($T534:AE534)</f>
        <v>0</v>
      </c>
      <c r="AS534" s="27">
        <f t="shared" si="87"/>
        <v>0</v>
      </c>
    </row>
    <row r="535" spans="2:45">
      <c r="B535" s="102" t="str">
        <f>IF(ROW()-6&gt;NumCostCenter,"",IF(CostCenter&lt;&gt;"ALL",CostCenter,DATA_LF2!B533))</f>
        <v/>
      </c>
      <c r="C535" s="153" t="str">
        <f>IF($B535&lt;&gt;"",INDEX(DataOB[],FirstRow+ROW()-7,2),"")</f>
        <v/>
      </c>
      <c r="D535" s="66" t="str">
        <f>IF($B535&lt;&gt;"",INDEX(DataOB[],FirstRow+ROW()-7,3),"")</f>
        <v/>
      </c>
      <c r="E535" s="103" t="str">
        <f>IF($B535&lt;&gt;"",INDEX(DataOB[],FirstRow+ROW()-7,6),"")</f>
        <v/>
      </c>
      <c r="F535" s="103" t="str">
        <f>IF($B535&lt;&gt;"",INDEX(DataOB[],FirstRow+ROW()-7,5),"")</f>
        <v/>
      </c>
      <c r="G535" s="58">
        <f>IF($B535&lt;&gt;"",SUMIFS(DataAct_tbl[AMOUNT],DataAct_tbl[BG CODE],Detail!$D535,DataAct_tbl[MONTH],LEFT(MonthName,3),DataAct_tbl[Dept code],$B535),0)</f>
        <v>0</v>
      </c>
      <c r="H535" s="31" t="str">
        <f t="shared" si="79"/>
        <v/>
      </c>
      <c r="I535" s="28" t="str">
        <f t="shared" si="80"/>
        <v/>
      </c>
      <c r="J535" s="32" t="str">
        <f t="shared" si="81"/>
        <v/>
      </c>
      <c r="K535" s="86"/>
      <c r="L535" s="62">
        <f>IF($B535&lt;&gt;"",SUMIFS(DataAct_tbl[AMOUNT],DataAct_tbl[BG CODE],Detail!$D535,DataAct_tbl[Check Range],"=true",DataAct_tbl[Dept code],$B535),0)</f>
        <v>0</v>
      </c>
      <c r="M535" s="63">
        <f>INDEX($AG$7:$AR$1005,ROW()-6,MATCH(MTD,$AG$6:$AR$6,0))</f>
        <v>0</v>
      </c>
      <c r="N535" s="34">
        <f t="shared" si="82"/>
        <v>0</v>
      </c>
      <c r="O535" s="64" t="str">
        <f t="shared" si="83"/>
        <v xml:space="preserve"> </v>
      </c>
      <c r="Q535" s="97">
        <f t="shared" si="84"/>
        <v>0</v>
      </c>
      <c r="R535" s="96">
        <f t="shared" si="85"/>
        <v>0</v>
      </c>
      <c r="T535" s="67" t="str">
        <f>IF($B535&lt;&gt;"",INDEX(DataOB[],FirstRow+ROW()-7,MATCH(T$6,DataOB[#Headers],0)),"")</f>
        <v/>
      </c>
      <c r="U535" s="67" t="str">
        <f>IF($B535&lt;&gt;"",INDEX(DataOB[],FirstRow+ROW()-7,MATCH(U$6,DataOB[#Headers],0)),"")</f>
        <v/>
      </c>
      <c r="V535" s="67" t="str">
        <f>IF($B535&lt;&gt;"",INDEX(DataOB[],FirstRow+ROW()-7,MATCH(V$6,DataOB[#Headers],0)),"")</f>
        <v/>
      </c>
      <c r="W535" s="67" t="str">
        <f>IF($B535&lt;&gt;"",INDEX(DataOB[],FirstRow+ROW()-7,MATCH(W$6,DataOB[#Headers],0)),"")</f>
        <v/>
      </c>
      <c r="X535" s="67" t="str">
        <f>IF($B535&lt;&gt;"",INDEX(DataOB[],FirstRow+ROW()-7,MATCH(X$6,DataOB[#Headers],0)),"")</f>
        <v/>
      </c>
      <c r="Y535" s="67" t="str">
        <f>IF($B535&lt;&gt;"",INDEX(DataOB[],FirstRow+ROW()-7,MATCH(Y$6,DataOB[#Headers],0)),"")</f>
        <v/>
      </c>
      <c r="Z535" s="67" t="str">
        <f>IF($B535&lt;&gt;"",INDEX(DataOB[],FirstRow+ROW()-7,MATCH(Z$6,DataOB[#Headers],0)),"")</f>
        <v/>
      </c>
      <c r="AA535" s="67" t="str">
        <f>IF($B535&lt;&gt;"",INDEX(DataOB[],FirstRow+ROW()-7,MATCH(AA$6,DataOB[#Headers],0)),"")</f>
        <v/>
      </c>
      <c r="AB535" s="67" t="str">
        <f>IF($B535&lt;&gt;"",INDEX(DataOB[],FirstRow+ROW()-7,MATCH(AB$6,DataOB[#Headers],0)),"")</f>
        <v/>
      </c>
      <c r="AC535" s="67" t="str">
        <f>IF($B535&lt;&gt;"",INDEX(DataOB[],FirstRow+ROW()-7,MATCH(AC$6,DataOB[#Headers],0)),"")</f>
        <v/>
      </c>
      <c r="AD535" s="67" t="str">
        <f>IF($B535&lt;&gt;"",INDEX(DataOB[],FirstRow+ROW()-7,MATCH(AD$6,DataOB[#Headers],0)),"")</f>
        <v/>
      </c>
      <c r="AE535" s="67" t="str">
        <f>IF($B535&lt;&gt;"",INDEX(DataOB[],FirstRow+ROW()-7,MATCH(AE$6,DataOB[#Headers],0)),"")</f>
        <v/>
      </c>
      <c r="AF535" s="26">
        <f t="shared" si="86"/>
        <v>0</v>
      </c>
      <c r="AG535" s="31">
        <f>SUM($T535:T535)</f>
        <v>0</v>
      </c>
      <c r="AH535" s="31">
        <f>SUM($T535:U535)</f>
        <v>0</v>
      </c>
      <c r="AI535" s="31">
        <f>SUM($T535:V535)</f>
        <v>0</v>
      </c>
      <c r="AJ535" s="31">
        <f>SUM($T535:W535)</f>
        <v>0</v>
      </c>
      <c r="AK535" s="31">
        <f>SUM($T535:X535)</f>
        <v>0</v>
      </c>
      <c r="AL535" s="31">
        <f>SUM($T535:Y535)</f>
        <v>0</v>
      </c>
      <c r="AM535" s="31">
        <f>SUM($T535:Z535)</f>
        <v>0</v>
      </c>
      <c r="AN535" s="31">
        <f>SUM($T535:AA535)</f>
        <v>0</v>
      </c>
      <c r="AO535" s="31">
        <f>SUM($T535:AB535)</f>
        <v>0</v>
      </c>
      <c r="AP535" s="31">
        <f>SUM($T535:AC535)</f>
        <v>0</v>
      </c>
      <c r="AQ535" s="31">
        <f>SUM($T535:AD535)</f>
        <v>0</v>
      </c>
      <c r="AR535" s="31">
        <f>SUM($T535:AE535)</f>
        <v>0</v>
      </c>
      <c r="AS535" s="27">
        <f t="shared" si="87"/>
        <v>0</v>
      </c>
    </row>
    <row r="536" spans="2:45">
      <c r="B536" s="102" t="str">
        <f>IF(ROW()-6&gt;NumCostCenter,"",IF(CostCenter&lt;&gt;"ALL",CostCenter,DATA_LF2!B534))</f>
        <v/>
      </c>
      <c r="C536" s="153" t="str">
        <f>IF($B536&lt;&gt;"",INDEX(DataOB[],FirstRow+ROW()-7,2),"")</f>
        <v/>
      </c>
      <c r="D536" s="66" t="str">
        <f>IF($B536&lt;&gt;"",INDEX(DataOB[],FirstRow+ROW()-7,3),"")</f>
        <v/>
      </c>
      <c r="E536" s="103" t="str">
        <f>IF($B536&lt;&gt;"",INDEX(DataOB[],FirstRow+ROW()-7,6),"")</f>
        <v/>
      </c>
      <c r="F536" s="103" t="str">
        <f>IF($B536&lt;&gt;"",INDEX(DataOB[],FirstRow+ROW()-7,5),"")</f>
        <v/>
      </c>
      <c r="G536" s="58">
        <f>IF($B536&lt;&gt;"",SUMIFS(DataAct_tbl[AMOUNT],DataAct_tbl[BG CODE],Detail!$D536,DataAct_tbl[MONTH],LEFT(MonthName,3),DataAct_tbl[Dept code],$B536),0)</f>
        <v>0</v>
      </c>
      <c r="H536" s="31" t="str">
        <f t="shared" si="79"/>
        <v/>
      </c>
      <c r="I536" s="28" t="str">
        <f t="shared" si="80"/>
        <v/>
      </c>
      <c r="J536" s="32" t="str">
        <f t="shared" si="81"/>
        <v/>
      </c>
      <c r="K536" s="86"/>
      <c r="L536" s="62">
        <f>IF($B536&lt;&gt;"",SUMIFS(DataAct_tbl[AMOUNT],DataAct_tbl[BG CODE],Detail!$D536,DataAct_tbl[Check Range],"=true",DataAct_tbl[Dept code],$B536),0)</f>
        <v>0</v>
      </c>
      <c r="M536" s="63">
        <f>INDEX($AG$7:$AR$1005,ROW()-6,MATCH(MTD,$AG$6:$AR$6,0))</f>
        <v>0</v>
      </c>
      <c r="N536" s="34">
        <f t="shared" si="82"/>
        <v>0</v>
      </c>
      <c r="O536" s="64" t="str">
        <f t="shared" si="83"/>
        <v xml:space="preserve"> </v>
      </c>
      <c r="Q536" s="97">
        <f t="shared" si="84"/>
        <v>0</v>
      </c>
      <c r="R536" s="96">
        <f t="shared" si="85"/>
        <v>0</v>
      </c>
      <c r="T536" s="67" t="str">
        <f>IF($B536&lt;&gt;"",INDEX(DataOB[],FirstRow+ROW()-7,MATCH(T$6,DataOB[#Headers],0)),"")</f>
        <v/>
      </c>
      <c r="U536" s="67" t="str">
        <f>IF($B536&lt;&gt;"",INDEX(DataOB[],FirstRow+ROW()-7,MATCH(U$6,DataOB[#Headers],0)),"")</f>
        <v/>
      </c>
      <c r="V536" s="67" t="str">
        <f>IF($B536&lt;&gt;"",INDEX(DataOB[],FirstRow+ROW()-7,MATCH(V$6,DataOB[#Headers],0)),"")</f>
        <v/>
      </c>
      <c r="W536" s="67" t="str">
        <f>IF($B536&lt;&gt;"",INDEX(DataOB[],FirstRow+ROW()-7,MATCH(W$6,DataOB[#Headers],0)),"")</f>
        <v/>
      </c>
      <c r="X536" s="67" t="str">
        <f>IF($B536&lt;&gt;"",INDEX(DataOB[],FirstRow+ROW()-7,MATCH(X$6,DataOB[#Headers],0)),"")</f>
        <v/>
      </c>
      <c r="Y536" s="67" t="str">
        <f>IF($B536&lt;&gt;"",INDEX(DataOB[],FirstRow+ROW()-7,MATCH(Y$6,DataOB[#Headers],0)),"")</f>
        <v/>
      </c>
      <c r="Z536" s="67" t="str">
        <f>IF($B536&lt;&gt;"",INDEX(DataOB[],FirstRow+ROW()-7,MATCH(Z$6,DataOB[#Headers],0)),"")</f>
        <v/>
      </c>
      <c r="AA536" s="67" t="str">
        <f>IF($B536&lt;&gt;"",INDEX(DataOB[],FirstRow+ROW()-7,MATCH(AA$6,DataOB[#Headers],0)),"")</f>
        <v/>
      </c>
      <c r="AB536" s="67" t="str">
        <f>IF($B536&lt;&gt;"",INDEX(DataOB[],FirstRow+ROW()-7,MATCH(AB$6,DataOB[#Headers],0)),"")</f>
        <v/>
      </c>
      <c r="AC536" s="67" t="str">
        <f>IF($B536&lt;&gt;"",INDEX(DataOB[],FirstRow+ROW()-7,MATCH(AC$6,DataOB[#Headers],0)),"")</f>
        <v/>
      </c>
      <c r="AD536" s="67" t="str">
        <f>IF($B536&lt;&gt;"",INDEX(DataOB[],FirstRow+ROW()-7,MATCH(AD$6,DataOB[#Headers],0)),"")</f>
        <v/>
      </c>
      <c r="AE536" s="67" t="str">
        <f>IF($B536&lt;&gt;"",INDEX(DataOB[],FirstRow+ROW()-7,MATCH(AE$6,DataOB[#Headers],0)),"")</f>
        <v/>
      </c>
      <c r="AF536" s="26">
        <f t="shared" si="86"/>
        <v>0</v>
      </c>
      <c r="AG536" s="31">
        <f>SUM($T536:T536)</f>
        <v>0</v>
      </c>
      <c r="AH536" s="31">
        <f>SUM($T536:U536)</f>
        <v>0</v>
      </c>
      <c r="AI536" s="31">
        <f>SUM($T536:V536)</f>
        <v>0</v>
      </c>
      <c r="AJ536" s="31">
        <f>SUM($T536:W536)</f>
        <v>0</v>
      </c>
      <c r="AK536" s="31">
        <f>SUM($T536:X536)</f>
        <v>0</v>
      </c>
      <c r="AL536" s="31">
        <f>SUM($T536:Y536)</f>
        <v>0</v>
      </c>
      <c r="AM536" s="31">
        <f>SUM($T536:Z536)</f>
        <v>0</v>
      </c>
      <c r="AN536" s="31">
        <f>SUM($T536:AA536)</f>
        <v>0</v>
      </c>
      <c r="AO536" s="31">
        <f>SUM($T536:AB536)</f>
        <v>0</v>
      </c>
      <c r="AP536" s="31">
        <f>SUM($T536:AC536)</f>
        <v>0</v>
      </c>
      <c r="AQ536" s="31">
        <f>SUM($T536:AD536)</f>
        <v>0</v>
      </c>
      <c r="AR536" s="31">
        <f>SUM($T536:AE536)</f>
        <v>0</v>
      </c>
      <c r="AS536" s="27">
        <f t="shared" si="87"/>
        <v>0</v>
      </c>
    </row>
    <row r="537" spans="2:45">
      <c r="B537" s="102" t="str">
        <f>IF(ROW()-6&gt;NumCostCenter,"",IF(CostCenter&lt;&gt;"ALL",CostCenter,DATA_LF2!B535))</f>
        <v/>
      </c>
      <c r="C537" s="153" t="str">
        <f>IF($B537&lt;&gt;"",INDEX(DataOB[],FirstRow+ROW()-7,2),"")</f>
        <v/>
      </c>
      <c r="D537" s="66" t="str">
        <f>IF($B537&lt;&gt;"",INDEX(DataOB[],FirstRow+ROW()-7,3),"")</f>
        <v/>
      </c>
      <c r="E537" s="103" t="str">
        <f>IF($B537&lt;&gt;"",INDEX(DataOB[],FirstRow+ROW()-7,6),"")</f>
        <v/>
      </c>
      <c r="F537" s="103" t="str">
        <f>IF($B537&lt;&gt;"",INDEX(DataOB[],FirstRow+ROW()-7,5),"")</f>
        <v/>
      </c>
      <c r="G537" s="58">
        <f>IF($B537&lt;&gt;"",SUMIFS(DataAct_tbl[AMOUNT],DataAct_tbl[BG CODE],Detail!$D537,DataAct_tbl[MONTH],LEFT(MonthName,3),DataAct_tbl[Dept code],$B537),0)</f>
        <v>0</v>
      </c>
      <c r="H537" s="31" t="str">
        <f t="shared" si="79"/>
        <v/>
      </c>
      <c r="I537" s="28" t="str">
        <f t="shared" si="80"/>
        <v/>
      </c>
      <c r="J537" s="32" t="str">
        <f t="shared" si="81"/>
        <v/>
      </c>
      <c r="K537" s="86"/>
      <c r="L537" s="62">
        <f>IF($B537&lt;&gt;"",SUMIFS(DataAct_tbl[AMOUNT],DataAct_tbl[BG CODE],Detail!$D537,DataAct_tbl[Check Range],"=true",DataAct_tbl[Dept code],$B537),0)</f>
        <v>0</v>
      </c>
      <c r="M537" s="63">
        <f>INDEX($AG$7:$AR$1005,ROW()-6,MATCH(MTD,$AG$6:$AR$6,0))</f>
        <v>0</v>
      </c>
      <c r="N537" s="34">
        <f t="shared" si="82"/>
        <v>0</v>
      </c>
      <c r="O537" s="64" t="str">
        <f t="shared" si="83"/>
        <v xml:space="preserve"> </v>
      </c>
      <c r="Q537" s="97">
        <f t="shared" si="84"/>
        <v>0</v>
      </c>
      <c r="R537" s="96">
        <f t="shared" si="85"/>
        <v>0</v>
      </c>
      <c r="T537" s="67" t="str">
        <f>IF($B537&lt;&gt;"",INDEX(DataOB[],FirstRow+ROW()-7,MATCH(T$6,DataOB[#Headers],0)),"")</f>
        <v/>
      </c>
      <c r="U537" s="67" t="str">
        <f>IF($B537&lt;&gt;"",INDEX(DataOB[],FirstRow+ROW()-7,MATCH(U$6,DataOB[#Headers],0)),"")</f>
        <v/>
      </c>
      <c r="V537" s="67" t="str">
        <f>IF($B537&lt;&gt;"",INDEX(DataOB[],FirstRow+ROW()-7,MATCH(V$6,DataOB[#Headers],0)),"")</f>
        <v/>
      </c>
      <c r="W537" s="67" t="str">
        <f>IF($B537&lt;&gt;"",INDEX(DataOB[],FirstRow+ROW()-7,MATCH(W$6,DataOB[#Headers],0)),"")</f>
        <v/>
      </c>
      <c r="X537" s="67" t="str">
        <f>IF($B537&lt;&gt;"",INDEX(DataOB[],FirstRow+ROW()-7,MATCH(X$6,DataOB[#Headers],0)),"")</f>
        <v/>
      </c>
      <c r="Y537" s="67" t="str">
        <f>IF($B537&lt;&gt;"",INDEX(DataOB[],FirstRow+ROW()-7,MATCH(Y$6,DataOB[#Headers],0)),"")</f>
        <v/>
      </c>
      <c r="Z537" s="67" t="str">
        <f>IF($B537&lt;&gt;"",INDEX(DataOB[],FirstRow+ROW()-7,MATCH(Z$6,DataOB[#Headers],0)),"")</f>
        <v/>
      </c>
      <c r="AA537" s="67" t="str">
        <f>IF($B537&lt;&gt;"",INDEX(DataOB[],FirstRow+ROW()-7,MATCH(AA$6,DataOB[#Headers],0)),"")</f>
        <v/>
      </c>
      <c r="AB537" s="67" t="str">
        <f>IF($B537&lt;&gt;"",INDEX(DataOB[],FirstRow+ROW()-7,MATCH(AB$6,DataOB[#Headers],0)),"")</f>
        <v/>
      </c>
      <c r="AC537" s="67" t="str">
        <f>IF($B537&lt;&gt;"",INDEX(DataOB[],FirstRow+ROW()-7,MATCH(AC$6,DataOB[#Headers],0)),"")</f>
        <v/>
      </c>
      <c r="AD537" s="67" t="str">
        <f>IF($B537&lt;&gt;"",INDEX(DataOB[],FirstRow+ROW()-7,MATCH(AD$6,DataOB[#Headers],0)),"")</f>
        <v/>
      </c>
      <c r="AE537" s="67" t="str">
        <f>IF($B537&lt;&gt;"",INDEX(DataOB[],FirstRow+ROW()-7,MATCH(AE$6,DataOB[#Headers],0)),"")</f>
        <v/>
      </c>
      <c r="AF537" s="26">
        <f t="shared" si="86"/>
        <v>0</v>
      </c>
      <c r="AG537" s="31">
        <f>SUM($T537:T537)</f>
        <v>0</v>
      </c>
      <c r="AH537" s="31">
        <f>SUM($T537:U537)</f>
        <v>0</v>
      </c>
      <c r="AI537" s="31">
        <f>SUM($T537:V537)</f>
        <v>0</v>
      </c>
      <c r="AJ537" s="31">
        <f>SUM($T537:W537)</f>
        <v>0</v>
      </c>
      <c r="AK537" s="31">
        <f>SUM($T537:X537)</f>
        <v>0</v>
      </c>
      <c r="AL537" s="31">
        <f>SUM($T537:Y537)</f>
        <v>0</v>
      </c>
      <c r="AM537" s="31">
        <f>SUM($T537:Z537)</f>
        <v>0</v>
      </c>
      <c r="AN537" s="31">
        <f>SUM($T537:AA537)</f>
        <v>0</v>
      </c>
      <c r="AO537" s="31">
        <f>SUM($T537:AB537)</f>
        <v>0</v>
      </c>
      <c r="AP537" s="31">
        <f>SUM($T537:AC537)</f>
        <v>0</v>
      </c>
      <c r="AQ537" s="31">
        <f>SUM($T537:AD537)</f>
        <v>0</v>
      </c>
      <c r="AR537" s="31">
        <f>SUM($T537:AE537)</f>
        <v>0</v>
      </c>
      <c r="AS537" s="27">
        <f t="shared" si="87"/>
        <v>0</v>
      </c>
    </row>
    <row r="538" spans="2:45">
      <c r="B538" s="102" t="str">
        <f>IF(ROW()-6&gt;NumCostCenter,"",IF(CostCenter&lt;&gt;"ALL",CostCenter,DATA_LF2!B536))</f>
        <v/>
      </c>
      <c r="C538" s="153" t="str">
        <f>IF($B538&lt;&gt;"",INDEX(DataOB[],FirstRow+ROW()-7,2),"")</f>
        <v/>
      </c>
      <c r="D538" s="66" t="str">
        <f>IF($B538&lt;&gt;"",INDEX(DataOB[],FirstRow+ROW()-7,3),"")</f>
        <v/>
      </c>
      <c r="E538" s="103" t="str">
        <f>IF($B538&lt;&gt;"",INDEX(DataOB[],FirstRow+ROW()-7,6),"")</f>
        <v/>
      </c>
      <c r="F538" s="103" t="str">
        <f>IF($B538&lt;&gt;"",INDEX(DataOB[],FirstRow+ROW()-7,5),"")</f>
        <v/>
      </c>
      <c r="G538" s="58">
        <f>IF($B538&lt;&gt;"",SUMIFS(DataAct_tbl[AMOUNT],DataAct_tbl[BG CODE],Detail!$D538,DataAct_tbl[MONTH],LEFT(MonthName,3),DataAct_tbl[Dept code],$B538),0)</f>
        <v>0</v>
      </c>
      <c r="H538" s="31" t="str">
        <f t="shared" si="79"/>
        <v/>
      </c>
      <c r="I538" s="28" t="str">
        <f t="shared" si="80"/>
        <v/>
      </c>
      <c r="J538" s="32" t="str">
        <f t="shared" si="81"/>
        <v/>
      </c>
      <c r="K538" s="86"/>
      <c r="L538" s="62">
        <f>IF($B538&lt;&gt;"",SUMIFS(DataAct_tbl[AMOUNT],DataAct_tbl[BG CODE],Detail!$D538,DataAct_tbl[Check Range],"=true",DataAct_tbl[Dept code],$B538),0)</f>
        <v>0</v>
      </c>
      <c r="M538" s="63">
        <f>INDEX($AG$7:$AR$1005,ROW()-6,MATCH(MTD,$AG$6:$AR$6,0))</f>
        <v>0</v>
      </c>
      <c r="N538" s="34">
        <f t="shared" si="82"/>
        <v>0</v>
      </c>
      <c r="O538" s="64" t="str">
        <f t="shared" si="83"/>
        <v xml:space="preserve"> </v>
      </c>
      <c r="Q538" s="97">
        <f t="shared" si="84"/>
        <v>0</v>
      </c>
      <c r="R538" s="96">
        <f t="shared" si="85"/>
        <v>0</v>
      </c>
      <c r="T538" s="67" t="str">
        <f>IF($B538&lt;&gt;"",INDEX(DataOB[],FirstRow+ROW()-7,MATCH(T$6,DataOB[#Headers],0)),"")</f>
        <v/>
      </c>
      <c r="U538" s="67" t="str">
        <f>IF($B538&lt;&gt;"",INDEX(DataOB[],FirstRow+ROW()-7,MATCH(U$6,DataOB[#Headers],0)),"")</f>
        <v/>
      </c>
      <c r="V538" s="67" t="str">
        <f>IF($B538&lt;&gt;"",INDEX(DataOB[],FirstRow+ROW()-7,MATCH(V$6,DataOB[#Headers],0)),"")</f>
        <v/>
      </c>
      <c r="W538" s="67" t="str">
        <f>IF($B538&lt;&gt;"",INDEX(DataOB[],FirstRow+ROW()-7,MATCH(W$6,DataOB[#Headers],0)),"")</f>
        <v/>
      </c>
      <c r="X538" s="67" t="str">
        <f>IF($B538&lt;&gt;"",INDEX(DataOB[],FirstRow+ROW()-7,MATCH(X$6,DataOB[#Headers],0)),"")</f>
        <v/>
      </c>
      <c r="Y538" s="67" t="str">
        <f>IF($B538&lt;&gt;"",INDEX(DataOB[],FirstRow+ROW()-7,MATCH(Y$6,DataOB[#Headers],0)),"")</f>
        <v/>
      </c>
      <c r="Z538" s="67" t="str">
        <f>IF($B538&lt;&gt;"",INDEX(DataOB[],FirstRow+ROW()-7,MATCH(Z$6,DataOB[#Headers],0)),"")</f>
        <v/>
      </c>
      <c r="AA538" s="67" t="str">
        <f>IF($B538&lt;&gt;"",INDEX(DataOB[],FirstRow+ROW()-7,MATCH(AA$6,DataOB[#Headers],0)),"")</f>
        <v/>
      </c>
      <c r="AB538" s="67" t="str">
        <f>IF($B538&lt;&gt;"",INDEX(DataOB[],FirstRow+ROW()-7,MATCH(AB$6,DataOB[#Headers],0)),"")</f>
        <v/>
      </c>
      <c r="AC538" s="67" t="str">
        <f>IF($B538&lt;&gt;"",INDEX(DataOB[],FirstRow+ROW()-7,MATCH(AC$6,DataOB[#Headers],0)),"")</f>
        <v/>
      </c>
      <c r="AD538" s="67" t="str">
        <f>IF($B538&lt;&gt;"",INDEX(DataOB[],FirstRow+ROW()-7,MATCH(AD$6,DataOB[#Headers],0)),"")</f>
        <v/>
      </c>
      <c r="AE538" s="67" t="str">
        <f>IF($B538&lt;&gt;"",INDEX(DataOB[],FirstRow+ROW()-7,MATCH(AE$6,DataOB[#Headers],0)),"")</f>
        <v/>
      </c>
      <c r="AF538" s="26">
        <f t="shared" si="86"/>
        <v>0</v>
      </c>
      <c r="AG538" s="31">
        <f>SUM($T538:T538)</f>
        <v>0</v>
      </c>
      <c r="AH538" s="31">
        <f>SUM($T538:U538)</f>
        <v>0</v>
      </c>
      <c r="AI538" s="31">
        <f>SUM($T538:V538)</f>
        <v>0</v>
      </c>
      <c r="AJ538" s="31">
        <f>SUM($T538:W538)</f>
        <v>0</v>
      </c>
      <c r="AK538" s="31">
        <f>SUM($T538:X538)</f>
        <v>0</v>
      </c>
      <c r="AL538" s="31">
        <f>SUM($T538:Y538)</f>
        <v>0</v>
      </c>
      <c r="AM538" s="31">
        <f>SUM($T538:Z538)</f>
        <v>0</v>
      </c>
      <c r="AN538" s="31">
        <f>SUM($T538:AA538)</f>
        <v>0</v>
      </c>
      <c r="AO538" s="31">
        <f>SUM($T538:AB538)</f>
        <v>0</v>
      </c>
      <c r="AP538" s="31">
        <f>SUM($T538:AC538)</f>
        <v>0</v>
      </c>
      <c r="AQ538" s="31">
        <f>SUM($T538:AD538)</f>
        <v>0</v>
      </c>
      <c r="AR538" s="31">
        <f>SUM($T538:AE538)</f>
        <v>0</v>
      </c>
      <c r="AS538" s="27">
        <f t="shared" si="87"/>
        <v>0</v>
      </c>
    </row>
    <row r="539" spans="2:45">
      <c r="B539" s="102" t="str">
        <f>IF(ROW()-6&gt;NumCostCenter,"",IF(CostCenter&lt;&gt;"ALL",CostCenter,DATA_LF2!B537))</f>
        <v/>
      </c>
      <c r="C539" s="153" t="str">
        <f>IF($B539&lt;&gt;"",INDEX(DataOB[],FirstRow+ROW()-7,2),"")</f>
        <v/>
      </c>
      <c r="D539" s="66" t="str">
        <f>IF($B539&lt;&gt;"",INDEX(DataOB[],FirstRow+ROW()-7,3),"")</f>
        <v/>
      </c>
      <c r="E539" s="103" t="str">
        <f>IF($B539&lt;&gt;"",INDEX(DataOB[],FirstRow+ROW()-7,6),"")</f>
        <v/>
      </c>
      <c r="F539" s="103" t="str">
        <f>IF($B539&lt;&gt;"",INDEX(DataOB[],FirstRow+ROW()-7,5),"")</f>
        <v/>
      </c>
      <c r="G539" s="58">
        <f>IF($B539&lt;&gt;"",SUMIFS(DataAct_tbl[AMOUNT],DataAct_tbl[BG CODE],Detail!$D539,DataAct_tbl[MONTH],LEFT(MonthName,3),DataAct_tbl[Dept code],$B539),0)</f>
        <v>0</v>
      </c>
      <c r="H539" s="31" t="str">
        <f t="shared" si="79"/>
        <v/>
      </c>
      <c r="I539" s="28" t="str">
        <f t="shared" si="80"/>
        <v/>
      </c>
      <c r="J539" s="32" t="str">
        <f t="shared" si="81"/>
        <v/>
      </c>
      <c r="K539" s="86"/>
      <c r="L539" s="62">
        <f>IF($B539&lt;&gt;"",SUMIFS(DataAct_tbl[AMOUNT],DataAct_tbl[BG CODE],Detail!$D539,DataAct_tbl[Check Range],"=true",DataAct_tbl[Dept code],$B539),0)</f>
        <v>0</v>
      </c>
      <c r="M539" s="63">
        <f>INDEX($AG$7:$AR$1005,ROW()-6,MATCH(MTD,$AG$6:$AR$6,0))</f>
        <v>0</v>
      </c>
      <c r="N539" s="34">
        <f t="shared" si="82"/>
        <v>0</v>
      </c>
      <c r="O539" s="64" t="str">
        <f t="shared" si="83"/>
        <v xml:space="preserve"> </v>
      </c>
      <c r="Q539" s="97">
        <f t="shared" si="84"/>
        <v>0</v>
      </c>
      <c r="R539" s="96">
        <f t="shared" si="85"/>
        <v>0</v>
      </c>
      <c r="T539" s="67" t="str">
        <f>IF($B539&lt;&gt;"",INDEX(DataOB[],FirstRow+ROW()-7,MATCH(T$6,DataOB[#Headers],0)),"")</f>
        <v/>
      </c>
      <c r="U539" s="67" t="str">
        <f>IF($B539&lt;&gt;"",INDEX(DataOB[],FirstRow+ROW()-7,MATCH(U$6,DataOB[#Headers],0)),"")</f>
        <v/>
      </c>
      <c r="V539" s="67" t="str">
        <f>IF($B539&lt;&gt;"",INDEX(DataOB[],FirstRow+ROW()-7,MATCH(V$6,DataOB[#Headers],0)),"")</f>
        <v/>
      </c>
      <c r="W539" s="67" t="str">
        <f>IF($B539&lt;&gt;"",INDEX(DataOB[],FirstRow+ROW()-7,MATCH(W$6,DataOB[#Headers],0)),"")</f>
        <v/>
      </c>
      <c r="X539" s="67" t="str">
        <f>IF($B539&lt;&gt;"",INDEX(DataOB[],FirstRow+ROW()-7,MATCH(X$6,DataOB[#Headers],0)),"")</f>
        <v/>
      </c>
      <c r="Y539" s="67" t="str">
        <f>IF($B539&lt;&gt;"",INDEX(DataOB[],FirstRow+ROW()-7,MATCH(Y$6,DataOB[#Headers],0)),"")</f>
        <v/>
      </c>
      <c r="Z539" s="67" t="str">
        <f>IF($B539&lt;&gt;"",INDEX(DataOB[],FirstRow+ROW()-7,MATCH(Z$6,DataOB[#Headers],0)),"")</f>
        <v/>
      </c>
      <c r="AA539" s="67" t="str">
        <f>IF($B539&lt;&gt;"",INDEX(DataOB[],FirstRow+ROW()-7,MATCH(AA$6,DataOB[#Headers],0)),"")</f>
        <v/>
      </c>
      <c r="AB539" s="67" t="str">
        <f>IF($B539&lt;&gt;"",INDEX(DataOB[],FirstRow+ROW()-7,MATCH(AB$6,DataOB[#Headers],0)),"")</f>
        <v/>
      </c>
      <c r="AC539" s="67" t="str">
        <f>IF($B539&lt;&gt;"",INDEX(DataOB[],FirstRow+ROW()-7,MATCH(AC$6,DataOB[#Headers],0)),"")</f>
        <v/>
      </c>
      <c r="AD539" s="67" t="str">
        <f>IF($B539&lt;&gt;"",INDEX(DataOB[],FirstRow+ROW()-7,MATCH(AD$6,DataOB[#Headers],0)),"")</f>
        <v/>
      </c>
      <c r="AE539" s="67" t="str">
        <f>IF($B539&lt;&gt;"",INDEX(DataOB[],FirstRow+ROW()-7,MATCH(AE$6,DataOB[#Headers],0)),"")</f>
        <v/>
      </c>
      <c r="AF539" s="26">
        <f t="shared" si="86"/>
        <v>0</v>
      </c>
      <c r="AG539" s="31">
        <f>SUM($T539:T539)</f>
        <v>0</v>
      </c>
      <c r="AH539" s="31">
        <f>SUM($T539:U539)</f>
        <v>0</v>
      </c>
      <c r="AI539" s="31">
        <f>SUM($T539:V539)</f>
        <v>0</v>
      </c>
      <c r="AJ539" s="31">
        <f>SUM($T539:W539)</f>
        <v>0</v>
      </c>
      <c r="AK539" s="31">
        <f>SUM($T539:X539)</f>
        <v>0</v>
      </c>
      <c r="AL539" s="31">
        <f>SUM($T539:Y539)</f>
        <v>0</v>
      </c>
      <c r="AM539" s="31">
        <f>SUM($T539:Z539)</f>
        <v>0</v>
      </c>
      <c r="AN539" s="31">
        <f>SUM($T539:AA539)</f>
        <v>0</v>
      </c>
      <c r="AO539" s="31">
        <f>SUM($T539:AB539)</f>
        <v>0</v>
      </c>
      <c r="AP539" s="31">
        <f>SUM($T539:AC539)</f>
        <v>0</v>
      </c>
      <c r="AQ539" s="31">
        <f>SUM($T539:AD539)</f>
        <v>0</v>
      </c>
      <c r="AR539" s="31">
        <f>SUM($T539:AE539)</f>
        <v>0</v>
      </c>
      <c r="AS539" s="27">
        <f t="shared" si="87"/>
        <v>0</v>
      </c>
    </row>
    <row r="540" spans="2:45">
      <c r="B540" s="102" t="str">
        <f>IF(ROW()-6&gt;NumCostCenter,"",IF(CostCenter&lt;&gt;"ALL",CostCenter,DATA_LF2!B538))</f>
        <v/>
      </c>
      <c r="C540" s="153" t="str">
        <f>IF($B540&lt;&gt;"",INDEX(DataOB[],FirstRow+ROW()-7,2),"")</f>
        <v/>
      </c>
      <c r="D540" s="66" t="str">
        <f>IF($B540&lt;&gt;"",INDEX(DataOB[],FirstRow+ROW()-7,3),"")</f>
        <v/>
      </c>
      <c r="E540" s="103" t="str">
        <f>IF($B540&lt;&gt;"",INDEX(DataOB[],FirstRow+ROW()-7,6),"")</f>
        <v/>
      </c>
      <c r="F540" s="103" t="str">
        <f>IF($B540&lt;&gt;"",INDEX(DataOB[],FirstRow+ROW()-7,5),"")</f>
        <v/>
      </c>
      <c r="G540" s="58">
        <f>IF($B540&lt;&gt;"",SUMIFS(DataAct_tbl[AMOUNT],DataAct_tbl[BG CODE],Detail!$D540,DataAct_tbl[MONTH],LEFT(MonthName,3),DataAct_tbl[Dept code],$B540),0)</f>
        <v>0</v>
      </c>
      <c r="H540" s="31" t="str">
        <f t="shared" si="79"/>
        <v/>
      </c>
      <c r="I540" s="28" t="str">
        <f t="shared" si="80"/>
        <v/>
      </c>
      <c r="J540" s="32" t="str">
        <f t="shared" si="81"/>
        <v/>
      </c>
      <c r="K540" s="86"/>
      <c r="L540" s="62">
        <f>IF($B540&lt;&gt;"",SUMIFS(DataAct_tbl[AMOUNT],DataAct_tbl[BG CODE],Detail!$D540,DataAct_tbl[Check Range],"=true",DataAct_tbl[Dept code],$B540),0)</f>
        <v>0</v>
      </c>
      <c r="M540" s="63">
        <f>INDEX($AG$7:$AR$1005,ROW()-6,MATCH(MTD,$AG$6:$AR$6,0))</f>
        <v>0</v>
      </c>
      <c r="N540" s="34">
        <f t="shared" si="82"/>
        <v>0</v>
      </c>
      <c r="O540" s="64" t="str">
        <f t="shared" si="83"/>
        <v xml:space="preserve"> </v>
      </c>
      <c r="Q540" s="97">
        <f t="shared" si="84"/>
        <v>0</v>
      </c>
      <c r="R540" s="96">
        <f t="shared" si="85"/>
        <v>0</v>
      </c>
      <c r="T540" s="67" t="str">
        <f>IF($B540&lt;&gt;"",INDEX(DataOB[],FirstRow+ROW()-7,MATCH(T$6,DataOB[#Headers],0)),"")</f>
        <v/>
      </c>
      <c r="U540" s="67" t="str">
        <f>IF($B540&lt;&gt;"",INDEX(DataOB[],FirstRow+ROW()-7,MATCH(U$6,DataOB[#Headers],0)),"")</f>
        <v/>
      </c>
      <c r="V540" s="67" t="str">
        <f>IF($B540&lt;&gt;"",INDEX(DataOB[],FirstRow+ROW()-7,MATCH(V$6,DataOB[#Headers],0)),"")</f>
        <v/>
      </c>
      <c r="W540" s="67" t="str">
        <f>IF($B540&lt;&gt;"",INDEX(DataOB[],FirstRow+ROW()-7,MATCH(W$6,DataOB[#Headers],0)),"")</f>
        <v/>
      </c>
      <c r="X540" s="67" t="str">
        <f>IF($B540&lt;&gt;"",INDEX(DataOB[],FirstRow+ROW()-7,MATCH(X$6,DataOB[#Headers],0)),"")</f>
        <v/>
      </c>
      <c r="Y540" s="67" t="str">
        <f>IF($B540&lt;&gt;"",INDEX(DataOB[],FirstRow+ROW()-7,MATCH(Y$6,DataOB[#Headers],0)),"")</f>
        <v/>
      </c>
      <c r="Z540" s="67" t="str">
        <f>IF($B540&lt;&gt;"",INDEX(DataOB[],FirstRow+ROW()-7,MATCH(Z$6,DataOB[#Headers],0)),"")</f>
        <v/>
      </c>
      <c r="AA540" s="67" t="str">
        <f>IF($B540&lt;&gt;"",INDEX(DataOB[],FirstRow+ROW()-7,MATCH(AA$6,DataOB[#Headers],0)),"")</f>
        <v/>
      </c>
      <c r="AB540" s="67" t="str">
        <f>IF($B540&lt;&gt;"",INDEX(DataOB[],FirstRow+ROW()-7,MATCH(AB$6,DataOB[#Headers],0)),"")</f>
        <v/>
      </c>
      <c r="AC540" s="67" t="str">
        <f>IF($B540&lt;&gt;"",INDEX(DataOB[],FirstRow+ROW()-7,MATCH(AC$6,DataOB[#Headers],0)),"")</f>
        <v/>
      </c>
      <c r="AD540" s="67" t="str">
        <f>IF($B540&lt;&gt;"",INDEX(DataOB[],FirstRow+ROW()-7,MATCH(AD$6,DataOB[#Headers],0)),"")</f>
        <v/>
      </c>
      <c r="AE540" s="67" t="str">
        <f>IF($B540&lt;&gt;"",INDEX(DataOB[],FirstRow+ROW()-7,MATCH(AE$6,DataOB[#Headers],0)),"")</f>
        <v/>
      </c>
      <c r="AF540" s="26">
        <f t="shared" si="86"/>
        <v>0</v>
      </c>
      <c r="AG540" s="31">
        <f>SUM($T540:T540)</f>
        <v>0</v>
      </c>
      <c r="AH540" s="31">
        <f>SUM($T540:U540)</f>
        <v>0</v>
      </c>
      <c r="AI540" s="31">
        <f>SUM($T540:V540)</f>
        <v>0</v>
      </c>
      <c r="AJ540" s="31">
        <f>SUM($T540:W540)</f>
        <v>0</v>
      </c>
      <c r="AK540" s="31">
        <f>SUM($T540:X540)</f>
        <v>0</v>
      </c>
      <c r="AL540" s="31">
        <f>SUM($T540:Y540)</f>
        <v>0</v>
      </c>
      <c r="AM540" s="31">
        <f>SUM($T540:Z540)</f>
        <v>0</v>
      </c>
      <c r="AN540" s="31">
        <f>SUM($T540:AA540)</f>
        <v>0</v>
      </c>
      <c r="AO540" s="31">
        <f>SUM($T540:AB540)</f>
        <v>0</v>
      </c>
      <c r="AP540" s="31">
        <f>SUM($T540:AC540)</f>
        <v>0</v>
      </c>
      <c r="AQ540" s="31">
        <f>SUM($T540:AD540)</f>
        <v>0</v>
      </c>
      <c r="AR540" s="31">
        <f>SUM($T540:AE540)</f>
        <v>0</v>
      </c>
      <c r="AS540" s="27">
        <f t="shared" si="87"/>
        <v>0</v>
      </c>
    </row>
    <row r="541" spans="2:45">
      <c r="B541" s="102" t="str">
        <f>IF(ROW()-6&gt;NumCostCenter,"",IF(CostCenter&lt;&gt;"ALL",CostCenter,DATA_LF2!B539))</f>
        <v/>
      </c>
      <c r="C541" s="153" t="str">
        <f>IF($B541&lt;&gt;"",INDEX(DataOB[],FirstRow+ROW()-7,2),"")</f>
        <v/>
      </c>
      <c r="D541" s="66" t="str">
        <f>IF($B541&lt;&gt;"",INDEX(DataOB[],FirstRow+ROW()-7,3),"")</f>
        <v/>
      </c>
      <c r="E541" s="103" t="str">
        <f>IF($B541&lt;&gt;"",INDEX(DataOB[],FirstRow+ROW()-7,6),"")</f>
        <v/>
      </c>
      <c r="F541" s="103" t="str">
        <f>IF($B541&lt;&gt;"",INDEX(DataOB[],FirstRow+ROW()-7,5),"")</f>
        <v/>
      </c>
      <c r="G541" s="58">
        <f>IF($B541&lt;&gt;"",SUMIFS(DataAct_tbl[AMOUNT],DataAct_tbl[BG CODE],Detail!$D541,DataAct_tbl[MONTH],LEFT(MonthName,3),DataAct_tbl[Dept code],$B541),0)</f>
        <v>0</v>
      </c>
      <c r="H541" s="31" t="str">
        <f t="shared" si="79"/>
        <v/>
      </c>
      <c r="I541" s="28" t="str">
        <f t="shared" si="80"/>
        <v/>
      </c>
      <c r="J541" s="32" t="str">
        <f t="shared" si="81"/>
        <v/>
      </c>
      <c r="K541" s="86"/>
      <c r="L541" s="62">
        <f>IF($B541&lt;&gt;"",SUMIFS(DataAct_tbl[AMOUNT],DataAct_tbl[BG CODE],Detail!$D541,DataAct_tbl[Check Range],"=true",DataAct_tbl[Dept code],$B541),0)</f>
        <v>0</v>
      </c>
      <c r="M541" s="63">
        <f>INDEX($AG$7:$AR$1005,ROW()-6,MATCH(MTD,$AG$6:$AR$6,0))</f>
        <v>0</v>
      </c>
      <c r="N541" s="34">
        <f t="shared" si="82"/>
        <v>0</v>
      </c>
      <c r="O541" s="64" t="str">
        <f t="shared" si="83"/>
        <v xml:space="preserve"> </v>
      </c>
      <c r="Q541" s="97">
        <f t="shared" si="84"/>
        <v>0</v>
      </c>
      <c r="R541" s="96">
        <f t="shared" si="85"/>
        <v>0</v>
      </c>
      <c r="T541" s="67" t="str">
        <f>IF($B541&lt;&gt;"",INDEX(DataOB[],FirstRow+ROW()-7,MATCH(T$6,DataOB[#Headers],0)),"")</f>
        <v/>
      </c>
      <c r="U541" s="67" t="str">
        <f>IF($B541&lt;&gt;"",INDEX(DataOB[],FirstRow+ROW()-7,MATCH(U$6,DataOB[#Headers],0)),"")</f>
        <v/>
      </c>
      <c r="V541" s="67" t="str">
        <f>IF($B541&lt;&gt;"",INDEX(DataOB[],FirstRow+ROW()-7,MATCH(V$6,DataOB[#Headers],0)),"")</f>
        <v/>
      </c>
      <c r="W541" s="67" t="str">
        <f>IF($B541&lt;&gt;"",INDEX(DataOB[],FirstRow+ROW()-7,MATCH(W$6,DataOB[#Headers],0)),"")</f>
        <v/>
      </c>
      <c r="X541" s="67" t="str">
        <f>IF($B541&lt;&gt;"",INDEX(DataOB[],FirstRow+ROW()-7,MATCH(X$6,DataOB[#Headers],0)),"")</f>
        <v/>
      </c>
      <c r="Y541" s="67" t="str">
        <f>IF($B541&lt;&gt;"",INDEX(DataOB[],FirstRow+ROW()-7,MATCH(Y$6,DataOB[#Headers],0)),"")</f>
        <v/>
      </c>
      <c r="Z541" s="67" t="str">
        <f>IF($B541&lt;&gt;"",INDEX(DataOB[],FirstRow+ROW()-7,MATCH(Z$6,DataOB[#Headers],0)),"")</f>
        <v/>
      </c>
      <c r="AA541" s="67" t="str">
        <f>IF($B541&lt;&gt;"",INDEX(DataOB[],FirstRow+ROW()-7,MATCH(AA$6,DataOB[#Headers],0)),"")</f>
        <v/>
      </c>
      <c r="AB541" s="67" t="str">
        <f>IF($B541&lt;&gt;"",INDEX(DataOB[],FirstRow+ROW()-7,MATCH(AB$6,DataOB[#Headers],0)),"")</f>
        <v/>
      </c>
      <c r="AC541" s="67" t="str">
        <f>IF($B541&lt;&gt;"",INDEX(DataOB[],FirstRow+ROW()-7,MATCH(AC$6,DataOB[#Headers],0)),"")</f>
        <v/>
      </c>
      <c r="AD541" s="67" t="str">
        <f>IF($B541&lt;&gt;"",INDEX(DataOB[],FirstRow+ROW()-7,MATCH(AD$6,DataOB[#Headers],0)),"")</f>
        <v/>
      </c>
      <c r="AE541" s="67" t="str">
        <f>IF($B541&lt;&gt;"",INDEX(DataOB[],FirstRow+ROW()-7,MATCH(AE$6,DataOB[#Headers],0)),"")</f>
        <v/>
      </c>
      <c r="AF541" s="26">
        <f t="shared" si="86"/>
        <v>0</v>
      </c>
      <c r="AG541" s="31">
        <f>SUM($T541:T541)</f>
        <v>0</v>
      </c>
      <c r="AH541" s="31">
        <f>SUM($T541:U541)</f>
        <v>0</v>
      </c>
      <c r="AI541" s="31">
        <f>SUM($T541:V541)</f>
        <v>0</v>
      </c>
      <c r="AJ541" s="31">
        <f>SUM($T541:W541)</f>
        <v>0</v>
      </c>
      <c r="AK541" s="31">
        <f>SUM($T541:X541)</f>
        <v>0</v>
      </c>
      <c r="AL541" s="31">
        <f>SUM($T541:Y541)</f>
        <v>0</v>
      </c>
      <c r="AM541" s="31">
        <f>SUM($T541:Z541)</f>
        <v>0</v>
      </c>
      <c r="AN541" s="31">
        <f>SUM($T541:AA541)</f>
        <v>0</v>
      </c>
      <c r="AO541" s="31">
        <f>SUM($T541:AB541)</f>
        <v>0</v>
      </c>
      <c r="AP541" s="31">
        <f>SUM($T541:AC541)</f>
        <v>0</v>
      </c>
      <c r="AQ541" s="31">
        <f>SUM($T541:AD541)</f>
        <v>0</v>
      </c>
      <c r="AR541" s="31">
        <f>SUM($T541:AE541)</f>
        <v>0</v>
      </c>
      <c r="AS541" s="27">
        <f t="shared" si="87"/>
        <v>0</v>
      </c>
    </row>
    <row r="542" spans="2:45">
      <c r="B542" s="102" t="str">
        <f>IF(ROW()-6&gt;NumCostCenter,"",IF(CostCenter&lt;&gt;"ALL",CostCenter,DATA_LF2!B540))</f>
        <v/>
      </c>
      <c r="C542" s="153" t="str">
        <f>IF($B542&lt;&gt;"",INDEX(DataOB[],FirstRow+ROW()-7,2),"")</f>
        <v/>
      </c>
      <c r="D542" s="66" t="str">
        <f>IF($B542&lt;&gt;"",INDEX(DataOB[],FirstRow+ROW()-7,3),"")</f>
        <v/>
      </c>
      <c r="E542" s="103" t="str">
        <f>IF($B542&lt;&gt;"",INDEX(DataOB[],FirstRow+ROW()-7,6),"")</f>
        <v/>
      </c>
      <c r="F542" s="103" t="str">
        <f>IF($B542&lt;&gt;"",INDEX(DataOB[],FirstRow+ROW()-7,5),"")</f>
        <v/>
      </c>
      <c r="G542" s="58">
        <f>IF($B542&lt;&gt;"",SUMIFS(DataAct_tbl[AMOUNT],DataAct_tbl[BG CODE],Detail!$D542,DataAct_tbl[MONTH],LEFT(MonthName,3),DataAct_tbl[Dept code],$B542),0)</f>
        <v>0</v>
      </c>
      <c r="H542" s="31" t="str">
        <f t="shared" si="79"/>
        <v/>
      </c>
      <c r="I542" s="28" t="str">
        <f t="shared" si="80"/>
        <v/>
      </c>
      <c r="J542" s="32" t="str">
        <f t="shared" si="81"/>
        <v/>
      </c>
      <c r="K542" s="86"/>
      <c r="L542" s="62">
        <f>IF($B542&lt;&gt;"",SUMIFS(DataAct_tbl[AMOUNT],DataAct_tbl[BG CODE],Detail!$D542,DataAct_tbl[Check Range],"=true",DataAct_tbl[Dept code],$B542),0)</f>
        <v>0</v>
      </c>
      <c r="M542" s="63">
        <f>INDEX($AG$7:$AR$1005,ROW()-6,MATCH(MTD,$AG$6:$AR$6,0))</f>
        <v>0</v>
      </c>
      <c r="N542" s="34">
        <f t="shared" si="82"/>
        <v>0</v>
      </c>
      <c r="O542" s="64" t="str">
        <f t="shared" si="83"/>
        <v xml:space="preserve"> </v>
      </c>
      <c r="Q542" s="97">
        <f t="shared" si="84"/>
        <v>0</v>
      </c>
      <c r="R542" s="96">
        <f t="shared" si="85"/>
        <v>0</v>
      </c>
      <c r="T542" s="67" t="str">
        <f>IF($B542&lt;&gt;"",INDEX(DataOB[],FirstRow+ROW()-7,MATCH(T$6,DataOB[#Headers],0)),"")</f>
        <v/>
      </c>
      <c r="U542" s="67" t="str">
        <f>IF($B542&lt;&gt;"",INDEX(DataOB[],FirstRow+ROW()-7,MATCH(U$6,DataOB[#Headers],0)),"")</f>
        <v/>
      </c>
      <c r="V542" s="67" t="str">
        <f>IF($B542&lt;&gt;"",INDEX(DataOB[],FirstRow+ROW()-7,MATCH(V$6,DataOB[#Headers],0)),"")</f>
        <v/>
      </c>
      <c r="W542" s="67" t="str">
        <f>IF($B542&lt;&gt;"",INDEX(DataOB[],FirstRow+ROW()-7,MATCH(W$6,DataOB[#Headers],0)),"")</f>
        <v/>
      </c>
      <c r="X542" s="67" t="str">
        <f>IF($B542&lt;&gt;"",INDEX(DataOB[],FirstRow+ROW()-7,MATCH(X$6,DataOB[#Headers],0)),"")</f>
        <v/>
      </c>
      <c r="Y542" s="67" t="str">
        <f>IF($B542&lt;&gt;"",INDEX(DataOB[],FirstRow+ROW()-7,MATCH(Y$6,DataOB[#Headers],0)),"")</f>
        <v/>
      </c>
      <c r="Z542" s="67" t="str">
        <f>IF($B542&lt;&gt;"",INDEX(DataOB[],FirstRow+ROW()-7,MATCH(Z$6,DataOB[#Headers],0)),"")</f>
        <v/>
      </c>
      <c r="AA542" s="67" t="str">
        <f>IF($B542&lt;&gt;"",INDEX(DataOB[],FirstRow+ROW()-7,MATCH(AA$6,DataOB[#Headers],0)),"")</f>
        <v/>
      </c>
      <c r="AB542" s="67" t="str">
        <f>IF($B542&lt;&gt;"",INDEX(DataOB[],FirstRow+ROW()-7,MATCH(AB$6,DataOB[#Headers],0)),"")</f>
        <v/>
      </c>
      <c r="AC542" s="67" t="str">
        <f>IF($B542&lt;&gt;"",INDEX(DataOB[],FirstRow+ROW()-7,MATCH(AC$6,DataOB[#Headers],0)),"")</f>
        <v/>
      </c>
      <c r="AD542" s="67" t="str">
        <f>IF($B542&lt;&gt;"",INDEX(DataOB[],FirstRow+ROW()-7,MATCH(AD$6,DataOB[#Headers],0)),"")</f>
        <v/>
      </c>
      <c r="AE542" s="67" t="str">
        <f>IF($B542&lt;&gt;"",INDEX(DataOB[],FirstRow+ROW()-7,MATCH(AE$6,DataOB[#Headers],0)),"")</f>
        <v/>
      </c>
      <c r="AF542" s="26">
        <f t="shared" si="86"/>
        <v>0</v>
      </c>
      <c r="AG542" s="31">
        <f>SUM($T542:T542)</f>
        <v>0</v>
      </c>
      <c r="AH542" s="31">
        <f>SUM($T542:U542)</f>
        <v>0</v>
      </c>
      <c r="AI542" s="31">
        <f>SUM($T542:V542)</f>
        <v>0</v>
      </c>
      <c r="AJ542" s="31">
        <f>SUM($T542:W542)</f>
        <v>0</v>
      </c>
      <c r="AK542" s="31">
        <f>SUM($T542:X542)</f>
        <v>0</v>
      </c>
      <c r="AL542" s="31">
        <f>SUM($T542:Y542)</f>
        <v>0</v>
      </c>
      <c r="AM542" s="31">
        <f>SUM($T542:Z542)</f>
        <v>0</v>
      </c>
      <c r="AN542" s="31">
        <f>SUM($T542:AA542)</f>
        <v>0</v>
      </c>
      <c r="AO542" s="31">
        <f>SUM($T542:AB542)</f>
        <v>0</v>
      </c>
      <c r="AP542" s="31">
        <f>SUM($T542:AC542)</f>
        <v>0</v>
      </c>
      <c r="AQ542" s="31">
        <f>SUM($T542:AD542)</f>
        <v>0</v>
      </c>
      <c r="AR542" s="31">
        <f>SUM($T542:AE542)</f>
        <v>0</v>
      </c>
      <c r="AS542" s="27">
        <f t="shared" si="87"/>
        <v>0</v>
      </c>
    </row>
    <row r="543" spans="2:45">
      <c r="B543" s="102" t="str">
        <f>IF(ROW()-6&gt;NumCostCenter,"",IF(CostCenter&lt;&gt;"ALL",CostCenter,DATA_LF2!B541))</f>
        <v/>
      </c>
      <c r="C543" s="153" t="str">
        <f>IF($B543&lt;&gt;"",INDEX(DataOB[],FirstRow+ROW()-7,2),"")</f>
        <v/>
      </c>
      <c r="D543" s="66" t="str">
        <f>IF($B543&lt;&gt;"",INDEX(DataOB[],FirstRow+ROW()-7,3),"")</f>
        <v/>
      </c>
      <c r="E543" s="103" t="str">
        <f>IF($B543&lt;&gt;"",INDEX(DataOB[],FirstRow+ROW()-7,6),"")</f>
        <v/>
      </c>
      <c r="F543" s="103" t="str">
        <f>IF($B543&lt;&gt;"",INDEX(DataOB[],FirstRow+ROW()-7,5),"")</f>
        <v/>
      </c>
      <c r="G543" s="58">
        <f>IF($B543&lt;&gt;"",SUMIFS(DataAct_tbl[AMOUNT],DataAct_tbl[BG CODE],Detail!$D543,DataAct_tbl[MONTH],LEFT(MonthName,3),DataAct_tbl[Dept code],$B543),0)</f>
        <v>0</v>
      </c>
      <c r="H543" s="31" t="str">
        <f t="shared" si="79"/>
        <v/>
      </c>
      <c r="I543" s="28" t="str">
        <f t="shared" si="80"/>
        <v/>
      </c>
      <c r="J543" s="32" t="str">
        <f t="shared" si="81"/>
        <v/>
      </c>
      <c r="K543" s="86"/>
      <c r="L543" s="62">
        <f>IF($B543&lt;&gt;"",SUMIFS(DataAct_tbl[AMOUNT],DataAct_tbl[BG CODE],Detail!$D543,DataAct_tbl[Check Range],"=true",DataAct_tbl[Dept code],$B543),0)</f>
        <v>0</v>
      </c>
      <c r="M543" s="63">
        <f>INDEX($AG$7:$AR$1005,ROW()-6,MATCH(MTD,$AG$6:$AR$6,0))</f>
        <v>0</v>
      </c>
      <c r="N543" s="34">
        <f t="shared" si="82"/>
        <v>0</v>
      </c>
      <c r="O543" s="64" t="str">
        <f t="shared" si="83"/>
        <v xml:space="preserve"> </v>
      </c>
      <c r="Q543" s="97">
        <f t="shared" si="84"/>
        <v>0</v>
      </c>
      <c r="R543" s="96">
        <f t="shared" si="85"/>
        <v>0</v>
      </c>
      <c r="T543" s="67" t="str">
        <f>IF($B543&lt;&gt;"",INDEX(DataOB[],FirstRow+ROW()-7,MATCH(T$6,DataOB[#Headers],0)),"")</f>
        <v/>
      </c>
      <c r="U543" s="67" t="str">
        <f>IF($B543&lt;&gt;"",INDEX(DataOB[],FirstRow+ROW()-7,MATCH(U$6,DataOB[#Headers],0)),"")</f>
        <v/>
      </c>
      <c r="V543" s="67" t="str">
        <f>IF($B543&lt;&gt;"",INDEX(DataOB[],FirstRow+ROW()-7,MATCH(V$6,DataOB[#Headers],0)),"")</f>
        <v/>
      </c>
      <c r="W543" s="67" t="str">
        <f>IF($B543&lt;&gt;"",INDEX(DataOB[],FirstRow+ROW()-7,MATCH(W$6,DataOB[#Headers],0)),"")</f>
        <v/>
      </c>
      <c r="X543" s="67" t="str">
        <f>IF($B543&lt;&gt;"",INDEX(DataOB[],FirstRow+ROW()-7,MATCH(X$6,DataOB[#Headers],0)),"")</f>
        <v/>
      </c>
      <c r="Y543" s="67" t="str">
        <f>IF($B543&lt;&gt;"",INDEX(DataOB[],FirstRow+ROW()-7,MATCH(Y$6,DataOB[#Headers],0)),"")</f>
        <v/>
      </c>
      <c r="Z543" s="67" t="str">
        <f>IF($B543&lt;&gt;"",INDEX(DataOB[],FirstRow+ROW()-7,MATCH(Z$6,DataOB[#Headers],0)),"")</f>
        <v/>
      </c>
      <c r="AA543" s="67" t="str">
        <f>IF($B543&lt;&gt;"",INDEX(DataOB[],FirstRow+ROW()-7,MATCH(AA$6,DataOB[#Headers],0)),"")</f>
        <v/>
      </c>
      <c r="AB543" s="67" t="str">
        <f>IF($B543&lt;&gt;"",INDEX(DataOB[],FirstRow+ROW()-7,MATCH(AB$6,DataOB[#Headers],0)),"")</f>
        <v/>
      </c>
      <c r="AC543" s="67" t="str">
        <f>IF($B543&lt;&gt;"",INDEX(DataOB[],FirstRow+ROW()-7,MATCH(AC$6,DataOB[#Headers],0)),"")</f>
        <v/>
      </c>
      <c r="AD543" s="67" t="str">
        <f>IF($B543&lt;&gt;"",INDEX(DataOB[],FirstRow+ROW()-7,MATCH(AD$6,DataOB[#Headers],0)),"")</f>
        <v/>
      </c>
      <c r="AE543" s="67" t="str">
        <f>IF($B543&lt;&gt;"",INDEX(DataOB[],FirstRow+ROW()-7,MATCH(AE$6,DataOB[#Headers],0)),"")</f>
        <v/>
      </c>
      <c r="AF543" s="26">
        <f t="shared" si="86"/>
        <v>0</v>
      </c>
      <c r="AG543" s="31">
        <f>SUM($T543:T543)</f>
        <v>0</v>
      </c>
      <c r="AH543" s="31">
        <f>SUM($T543:U543)</f>
        <v>0</v>
      </c>
      <c r="AI543" s="31">
        <f>SUM($T543:V543)</f>
        <v>0</v>
      </c>
      <c r="AJ543" s="31">
        <f>SUM($T543:W543)</f>
        <v>0</v>
      </c>
      <c r="AK543" s="31">
        <f>SUM($T543:X543)</f>
        <v>0</v>
      </c>
      <c r="AL543" s="31">
        <f>SUM($T543:Y543)</f>
        <v>0</v>
      </c>
      <c r="AM543" s="31">
        <f>SUM($T543:Z543)</f>
        <v>0</v>
      </c>
      <c r="AN543" s="31">
        <f>SUM($T543:AA543)</f>
        <v>0</v>
      </c>
      <c r="AO543" s="31">
        <f>SUM($T543:AB543)</f>
        <v>0</v>
      </c>
      <c r="AP543" s="31">
        <f>SUM($T543:AC543)</f>
        <v>0</v>
      </c>
      <c r="AQ543" s="31">
        <f>SUM($T543:AD543)</f>
        <v>0</v>
      </c>
      <c r="AR543" s="31">
        <f>SUM($T543:AE543)</f>
        <v>0</v>
      </c>
      <c r="AS543" s="27">
        <f t="shared" si="87"/>
        <v>0</v>
      </c>
    </row>
    <row r="544" spans="2:45">
      <c r="B544" s="102" t="str">
        <f>IF(ROW()-6&gt;NumCostCenter,"",IF(CostCenter&lt;&gt;"ALL",CostCenter,DATA_LF2!B542))</f>
        <v/>
      </c>
      <c r="C544" s="153" t="str">
        <f>IF($B544&lt;&gt;"",INDEX(DataOB[],FirstRow+ROW()-7,2),"")</f>
        <v/>
      </c>
      <c r="D544" s="66" t="str">
        <f>IF($B544&lt;&gt;"",INDEX(DataOB[],FirstRow+ROW()-7,3),"")</f>
        <v/>
      </c>
      <c r="E544" s="103" t="str">
        <f>IF($B544&lt;&gt;"",INDEX(DataOB[],FirstRow+ROW()-7,6),"")</f>
        <v/>
      </c>
      <c r="F544" s="103" t="str">
        <f>IF($B544&lt;&gt;"",INDEX(DataOB[],FirstRow+ROW()-7,5),"")</f>
        <v/>
      </c>
      <c r="G544" s="58">
        <f>IF($B544&lt;&gt;"",SUMIFS(DataAct_tbl[AMOUNT],DataAct_tbl[BG CODE],Detail!$D544,DataAct_tbl[MONTH],LEFT(MonthName,3),DataAct_tbl[Dept code],$B544),0)</f>
        <v>0</v>
      </c>
      <c r="H544" s="31" t="str">
        <f t="shared" si="79"/>
        <v/>
      </c>
      <c r="I544" s="28" t="str">
        <f t="shared" si="80"/>
        <v/>
      </c>
      <c r="J544" s="32" t="str">
        <f t="shared" si="81"/>
        <v/>
      </c>
      <c r="K544" s="86"/>
      <c r="L544" s="62">
        <f>IF($B544&lt;&gt;"",SUMIFS(DataAct_tbl[AMOUNT],DataAct_tbl[BG CODE],Detail!$D544,DataAct_tbl[Check Range],"=true",DataAct_tbl[Dept code],$B544),0)</f>
        <v>0</v>
      </c>
      <c r="M544" s="63">
        <f>INDEX($AG$7:$AR$1005,ROW()-6,MATCH(MTD,$AG$6:$AR$6,0))</f>
        <v>0</v>
      </c>
      <c r="N544" s="34">
        <f t="shared" si="82"/>
        <v>0</v>
      </c>
      <c r="O544" s="64" t="str">
        <f t="shared" si="83"/>
        <v xml:space="preserve"> </v>
      </c>
      <c r="Q544" s="97">
        <f t="shared" si="84"/>
        <v>0</v>
      </c>
      <c r="R544" s="96">
        <f t="shared" si="85"/>
        <v>0</v>
      </c>
      <c r="T544" s="67" t="str">
        <f>IF($B544&lt;&gt;"",INDEX(DataOB[],FirstRow+ROW()-7,MATCH(T$6,DataOB[#Headers],0)),"")</f>
        <v/>
      </c>
      <c r="U544" s="67" t="str">
        <f>IF($B544&lt;&gt;"",INDEX(DataOB[],FirstRow+ROW()-7,MATCH(U$6,DataOB[#Headers],0)),"")</f>
        <v/>
      </c>
      <c r="V544" s="67" t="str">
        <f>IF($B544&lt;&gt;"",INDEX(DataOB[],FirstRow+ROW()-7,MATCH(V$6,DataOB[#Headers],0)),"")</f>
        <v/>
      </c>
      <c r="W544" s="67" t="str">
        <f>IF($B544&lt;&gt;"",INDEX(DataOB[],FirstRow+ROW()-7,MATCH(W$6,DataOB[#Headers],0)),"")</f>
        <v/>
      </c>
      <c r="X544" s="67" t="str">
        <f>IF($B544&lt;&gt;"",INDEX(DataOB[],FirstRow+ROW()-7,MATCH(X$6,DataOB[#Headers],0)),"")</f>
        <v/>
      </c>
      <c r="Y544" s="67" t="str">
        <f>IF($B544&lt;&gt;"",INDEX(DataOB[],FirstRow+ROW()-7,MATCH(Y$6,DataOB[#Headers],0)),"")</f>
        <v/>
      </c>
      <c r="Z544" s="67" t="str">
        <f>IF($B544&lt;&gt;"",INDEX(DataOB[],FirstRow+ROW()-7,MATCH(Z$6,DataOB[#Headers],0)),"")</f>
        <v/>
      </c>
      <c r="AA544" s="67" t="str">
        <f>IF($B544&lt;&gt;"",INDEX(DataOB[],FirstRow+ROW()-7,MATCH(AA$6,DataOB[#Headers],0)),"")</f>
        <v/>
      </c>
      <c r="AB544" s="67" t="str">
        <f>IF($B544&lt;&gt;"",INDEX(DataOB[],FirstRow+ROW()-7,MATCH(AB$6,DataOB[#Headers],0)),"")</f>
        <v/>
      </c>
      <c r="AC544" s="67" t="str">
        <f>IF($B544&lt;&gt;"",INDEX(DataOB[],FirstRow+ROW()-7,MATCH(AC$6,DataOB[#Headers],0)),"")</f>
        <v/>
      </c>
      <c r="AD544" s="67" t="str">
        <f>IF($B544&lt;&gt;"",INDEX(DataOB[],FirstRow+ROW()-7,MATCH(AD$6,DataOB[#Headers],0)),"")</f>
        <v/>
      </c>
      <c r="AE544" s="67" t="str">
        <f>IF($B544&lt;&gt;"",INDEX(DataOB[],FirstRow+ROW()-7,MATCH(AE$6,DataOB[#Headers],0)),"")</f>
        <v/>
      </c>
      <c r="AF544" s="26">
        <f t="shared" si="86"/>
        <v>0</v>
      </c>
      <c r="AG544" s="31">
        <f>SUM($T544:T544)</f>
        <v>0</v>
      </c>
      <c r="AH544" s="31">
        <f>SUM($T544:U544)</f>
        <v>0</v>
      </c>
      <c r="AI544" s="31">
        <f>SUM($T544:V544)</f>
        <v>0</v>
      </c>
      <c r="AJ544" s="31">
        <f>SUM($T544:W544)</f>
        <v>0</v>
      </c>
      <c r="AK544" s="31">
        <f>SUM($T544:X544)</f>
        <v>0</v>
      </c>
      <c r="AL544" s="31">
        <f>SUM($T544:Y544)</f>
        <v>0</v>
      </c>
      <c r="AM544" s="31">
        <f>SUM($T544:Z544)</f>
        <v>0</v>
      </c>
      <c r="AN544" s="31">
        <f>SUM($T544:AA544)</f>
        <v>0</v>
      </c>
      <c r="AO544" s="31">
        <f>SUM($T544:AB544)</f>
        <v>0</v>
      </c>
      <c r="AP544" s="31">
        <f>SUM($T544:AC544)</f>
        <v>0</v>
      </c>
      <c r="AQ544" s="31">
        <f>SUM($T544:AD544)</f>
        <v>0</v>
      </c>
      <c r="AR544" s="31">
        <f>SUM($T544:AE544)</f>
        <v>0</v>
      </c>
      <c r="AS544" s="27">
        <f t="shared" si="87"/>
        <v>0</v>
      </c>
    </row>
    <row r="545" spans="2:45">
      <c r="B545" s="102" t="str">
        <f>IF(ROW()-6&gt;NumCostCenter,"",IF(CostCenter&lt;&gt;"ALL",CostCenter,DATA_LF2!B543))</f>
        <v/>
      </c>
      <c r="C545" s="153" t="str">
        <f>IF($B545&lt;&gt;"",INDEX(DataOB[],FirstRow+ROW()-7,2),"")</f>
        <v/>
      </c>
      <c r="D545" s="66" t="str">
        <f>IF($B545&lt;&gt;"",INDEX(DataOB[],FirstRow+ROW()-7,3),"")</f>
        <v/>
      </c>
      <c r="E545" s="103" t="str">
        <f>IF($B545&lt;&gt;"",INDEX(DataOB[],FirstRow+ROW()-7,6),"")</f>
        <v/>
      </c>
      <c r="F545" s="103" t="str">
        <f>IF($B545&lt;&gt;"",INDEX(DataOB[],FirstRow+ROW()-7,5),"")</f>
        <v/>
      </c>
      <c r="G545" s="58">
        <f>IF($B545&lt;&gt;"",SUMIFS(DataAct_tbl[AMOUNT],DataAct_tbl[BG CODE],Detail!$D545,DataAct_tbl[MONTH],LEFT(MonthName,3),DataAct_tbl[Dept code],$B545),0)</f>
        <v>0</v>
      </c>
      <c r="H545" s="31" t="str">
        <f t="shared" si="79"/>
        <v/>
      </c>
      <c r="I545" s="28" t="str">
        <f t="shared" si="80"/>
        <v/>
      </c>
      <c r="J545" s="32" t="str">
        <f t="shared" si="81"/>
        <v/>
      </c>
      <c r="K545" s="86"/>
      <c r="L545" s="62">
        <f>IF($B545&lt;&gt;"",SUMIFS(DataAct_tbl[AMOUNT],DataAct_tbl[BG CODE],Detail!$D545,DataAct_tbl[Check Range],"=true",DataAct_tbl[Dept code],$B545),0)</f>
        <v>0</v>
      </c>
      <c r="M545" s="63">
        <f>INDEX($AG$7:$AR$1005,ROW()-6,MATCH(MTD,$AG$6:$AR$6,0))</f>
        <v>0</v>
      </c>
      <c r="N545" s="34">
        <f t="shared" si="82"/>
        <v>0</v>
      </c>
      <c r="O545" s="64" t="str">
        <f t="shared" si="83"/>
        <v xml:space="preserve"> </v>
      </c>
      <c r="Q545" s="97">
        <f t="shared" si="84"/>
        <v>0</v>
      </c>
      <c r="R545" s="96">
        <f t="shared" si="85"/>
        <v>0</v>
      </c>
      <c r="T545" s="67" t="str">
        <f>IF($B545&lt;&gt;"",INDEX(DataOB[],FirstRow+ROW()-7,MATCH(T$6,DataOB[#Headers],0)),"")</f>
        <v/>
      </c>
      <c r="U545" s="67" t="str">
        <f>IF($B545&lt;&gt;"",INDEX(DataOB[],FirstRow+ROW()-7,MATCH(U$6,DataOB[#Headers],0)),"")</f>
        <v/>
      </c>
      <c r="V545" s="67" t="str">
        <f>IF($B545&lt;&gt;"",INDEX(DataOB[],FirstRow+ROW()-7,MATCH(V$6,DataOB[#Headers],0)),"")</f>
        <v/>
      </c>
      <c r="W545" s="67" t="str">
        <f>IF($B545&lt;&gt;"",INDEX(DataOB[],FirstRow+ROW()-7,MATCH(W$6,DataOB[#Headers],0)),"")</f>
        <v/>
      </c>
      <c r="X545" s="67" t="str">
        <f>IF($B545&lt;&gt;"",INDEX(DataOB[],FirstRow+ROW()-7,MATCH(X$6,DataOB[#Headers],0)),"")</f>
        <v/>
      </c>
      <c r="Y545" s="67" t="str">
        <f>IF($B545&lt;&gt;"",INDEX(DataOB[],FirstRow+ROW()-7,MATCH(Y$6,DataOB[#Headers],0)),"")</f>
        <v/>
      </c>
      <c r="Z545" s="67" t="str">
        <f>IF($B545&lt;&gt;"",INDEX(DataOB[],FirstRow+ROW()-7,MATCH(Z$6,DataOB[#Headers],0)),"")</f>
        <v/>
      </c>
      <c r="AA545" s="67" t="str">
        <f>IF($B545&lt;&gt;"",INDEX(DataOB[],FirstRow+ROW()-7,MATCH(AA$6,DataOB[#Headers],0)),"")</f>
        <v/>
      </c>
      <c r="AB545" s="67" t="str">
        <f>IF($B545&lt;&gt;"",INDEX(DataOB[],FirstRow+ROW()-7,MATCH(AB$6,DataOB[#Headers],0)),"")</f>
        <v/>
      </c>
      <c r="AC545" s="67" t="str">
        <f>IF($B545&lt;&gt;"",INDEX(DataOB[],FirstRow+ROW()-7,MATCH(AC$6,DataOB[#Headers],0)),"")</f>
        <v/>
      </c>
      <c r="AD545" s="67" t="str">
        <f>IF($B545&lt;&gt;"",INDEX(DataOB[],FirstRow+ROW()-7,MATCH(AD$6,DataOB[#Headers],0)),"")</f>
        <v/>
      </c>
      <c r="AE545" s="67" t="str">
        <f>IF($B545&lt;&gt;"",INDEX(DataOB[],FirstRow+ROW()-7,MATCH(AE$6,DataOB[#Headers],0)),"")</f>
        <v/>
      </c>
      <c r="AF545" s="26">
        <f t="shared" si="86"/>
        <v>0</v>
      </c>
      <c r="AG545" s="31">
        <f>SUM($T545:T545)</f>
        <v>0</v>
      </c>
      <c r="AH545" s="31">
        <f>SUM($T545:U545)</f>
        <v>0</v>
      </c>
      <c r="AI545" s="31">
        <f>SUM($T545:V545)</f>
        <v>0</v>
      </c>
      <c r="AJ545" s="31">
        <f>SUM($T545:W545)</f>
        <v>0</v>
      </c>
      <c r="AK545" s="31">
        <f>SUM($T545:X545)</f>
        <v>0</v>
      </c>
      <c r="AL545" s="31">
        <f>SUM($T545:Y545)</f>
        <v>0</v>
      </c>
      <c r="AM545" s="31">
        <f>SUM($T545:Z545)</f>
        <v>0</v>
      </c>
      <c r="AN545" s="31">
        <f>SUM($T545:AA545)</f>
        <v>0</v>
      </c>
      <c r="AO545" s="31">
        <f>SUM($T545:AB545)</f>
        <v>0</v>
      </c>
      <c r="AP545" s="31">
        <f>SUM($T545:AC545)</f>
        <v>0</v>
      </c>
      <c r="AQ545" s="31">
        <f>SUM($T545:AD545)</f>
        <v>0</v>
      </c>
      <c r="AR545" s="31">
        <f>SUM($T545:AE545)</f>
        <v>0</v>
      </c>
      <c r="AS545" s="27">
        <f t="shared" si="87"/>
        <v>0</v>
      </c>
    </row>
    <row r="546" spans="2:45">
      <c r="B546" s="102" t="str">
        <f>IF(ROW()-6&gt;NumCostCenter,"",IF(CostCenter&lt;&gt;"ALL",CostCenter,DATA_LF2!B544))</f>
        <v/>
      </c>
      <c r="C546" s="153" t="str">
        <f>IF($B546&lt;&gt;"",INDEX(DataOB[],FirstRow+ROW()-7,2),"")</f>
        <v/>
      </c>
      <c r="D546" s="66" t="str">
        <f>IF($B546&lt;&gt;"",INDEX(DataOB[],FirstRow+ROW()-7,3),"")</f>
        <v/>
      </c>
      <c r="E546" s="103" t="str">
        <f>IF($B546&lt;&gt;"",INDEX(DataOB[],FirstRow+ROW()-7,6),"")</f>
        <v/>
      </c>
      <c r="F546" s="103" t="str">
        <f>IF($B546&lt;&gt;"",INDEX(DataOB[],FirstRow+ROW()-7,5),"")</f>
        <v/>
      </c>
      <c r="G546" s="58">
        <f>IF($B546&lt;&gt;"",SUMIFS(DataAct_tbl[AMOUNT],DataAct_tbl[BG CODE],Detail!$D546,DataAct_tbl[MONTH],LEFT(MonthName,3),DataAct_tbl[Dept code],$B546),0)</f>
        <v>0</v>
      </c>
      <c r="H546" s="31" t="str">
        <f t="shared" si="79"/>
        <v/>
      </c>
      <c r="I546" s="28" t="str">
        <f t="shared" si="80"/>
        <v/>
      </c>
      <c r="J546" s="32" t="str">
        <f t="shared" si="81"/>
        <v/>
      </c>
      <c r="K546" s="86"/>
      <c r="L546" s="62">
        <f>IF($B546&lt;&gt;"",SUMIFS(DataAct_tbl[AMOUNT],DataAct_tbl[BG CODE],Detail!$D546,DataAct_tbl[Check Range],"=true",DataAct_tbl[Dept code],$B546),0)</f>
        <v>0</v>
      </c>
      <c r="M546" s="63">
        <f>INDEX($AG$7:$AR$1005,ROW()-6,MATCH(MTD,$AG$6:$AR$6,0))</f>
        <v>0</v>
      </c>
      <c r="N546" s="34">
        <f t="shared" si="82"/>
        <v>0</v>
      </c>
      <c r="O546" s="64" t="str">
        <f t="shared" si="83"/>
        <v xml:space="preserve"> </v>
      </c>
      <c r="Q546" s="97">
        <f t="shared" si="84"/>
        <v>0</v>
      </c>
      <c r="R546" s="96">
        <f t="shared" si="85"/>
        <v>0</v>
      </c>
      <c r="T546" s="67" t="str">
        <f>IF($B546&lt;&gt;"",INDEX(DataOB[],FirstRow+ROW()-7,MATCH(T$6,DataOB[#Headers],0)),"")</f>
        <v/>
      </c>
      <c r="U546" s="67" t="str">
        <f>IF($B546&lt;&gt;"",INDEX(DataOB[],FirstRow+ROW()-7,MATCH(U$6,DataOB[#Headers],0)),"")</f>
        <v/>
      </c>
      <c r="V546" s="67" t="str">
        <f>IF($B546&lt;&gt;"",INDEX(DataOB[],FirstRow+ROW()-7,MATCH(V$6,DataOB[#Headers],0)),"")</f>
        <v/>
      </c>
      <c r="W546" s="67" t="str">
        <f>IF($B546&lt;&gt;"",INDEX(DataOB[],FirstRow+ROW()-7,MATCH(W$6,DataOB[#Headers],0)),"")</f>
        <v/>
      </c>
      <c r="X546" s="67" t="str">
        <f>IF($B546&lt;&gt;"",INDEX(DataOB[],FirstRow+ROW()-7,MATCH(X$6,DataOB[#Headers],0)),"")</f>
        <v/>
      </c>
      <c r="Y546" s="67" t="str">
        <f>IF($B546&lt;&gt;"",INDEX(DataOB[],FirstRow+ROW()-7,MATCH(Y$6,DataOB[#Headers],0)),"")</f>
        <v/>
      </c>
      <c r="Z546" s="67" t="str">
        <f>IF($B546&lt;&gt;"",INDEX(DataOB[],FirstRow+ROW()-7,MATCH(Z$6,DataOB[#Headers],0)),"")</f>
        <v/>
      </c>
      <c r="AA546" s="67" t="str">
        <f>IF($B546&lt;&gt;"",INDEX(DataOB[],FirstRow+ROW()-7,MATCH(AA$6,DataOB[#Headers],0)),"")</f>
        <v/>
      </c>
      <c r="AB546" s="67" t="str">
        <f>IF($B546&lt;&gt;"",INDEX(DataOB[],FirstRow+ROW()-7,MATCH(AB$6,DataOB[#Headers],0)),"")</f>
        <v/>
      </c>
      <c r="AC546" s="67" t="str">
        <f>IF($B546&lt;&gt;"",INDEX(DataOB[],FirstRow+ROW()-7,MATCH(AC$6,DataOB[#Headers],0)),"")</f>
        <v/>
      </c>
      <c r="AD546" s="67" t="str">
        <f>IF($B546&lt;&gt;"",INDEX(DataOB[],FirstRow+ROW()-7,MATCH(AD$6,DataOB[#Headers],0)),"")</f>
        <v/>
      </c>
      <c r="AE546" s="67" t="str">
        <f>IF($B546&lt;&gt;"",INDEX(DataOB[],FirstRow+ROW()-7,MATCH(AE$6,DataOB[#Headers],0)),"")</f>
        <v/>
      </c>
      <c r="AF546" s="26">
        <f t="shared" si="86"/>
        <v>0</v>
      </c>
      <c r="AG546" s="31">
        <f>SUM($T546:T546)</f>
        <v>0</v>
      </c>
      <c r="AH546" s="31">
        <f>SUM($T546:U546)</f>
        <v>0</v>
      </c>
      <c r="AI546" s="31">
        <f>SUM($T546:V546)</f>
        <v>0</v>
      </c>
      <c r="AJ546" s="31">
        <f>SUM($T546:W546)</f>
        <v>0</v>
      </c>
      <c r="AK546" s="31">
        <f>SUM($T546:X546)</f>
        <v>0</v>
      </c>
      <c r="AL546" s="31">
        <f>SUM($T546:Y546)</f>
        <v>0</v>
      </c>
      <c r="AM546" s="31">
        <f>SUM($T546:Z546)</f>
        <v>0</v>
      </c>
      <c r="AN546" s="31">
        <f>SUM($T546:AA546)</f>
        <v>0</v>
      </c>
      <c r="AO546" s="31">
        <f>SUM($T546:AB546)</f>
        <v>0</v>
      </c>
      <c r="AP546" s="31">
        <f>SUM($T546:AC546)</f>
        <v>0</v>
      </c>
      <c r="AQ546" s="31">
        <f>SUM($T546:AD546)</f>
        <v>0</v>
      </c>
      <c r="AR546" s="31">
        <f>SUM($T546:AE546)</f>
        <v>0</v>
      </c>
      <c r="AS546" s="27">
        <f t="shared" si="87"/>
        <v>0</v>
      </c>
    </row>
    <row r="547" spans="2:45">
      <c r="B547" s="102" t="str">
        <f>IF(ROW()-6&gt;NumCostCenter,"",IF(CostCenter&lt;&gt;"ALL",CostCenter,DATA_LF2!B545))</f>
        <v/>
      </c>
      <c r="C547" s="153" t="str">
        <f>IF($B547&lt;&gt;"",INDEX(DataOB[],FirstRow+ROW()-7,2),"")</f>
        <v/>
      </c>
      <c r="D547" s="66" t="str">
        <f>IF($B547&lt;&gt;"",INDEX(DataOB[],FirstRow+ROW()-7,3),"")</f>
        <v/>
      </c>
      <c r="E547" s="103" t="str">
        <f>IF($B547&lt;&gt;"",INDEX(DataOB[],FirstRow+ROW()-7,6),"")</f>
        <v/>
      </c>
      <c r="F547" s="103" t="str">
        <f>IF($B547&lt;&gt;"",INDEX(DataOB[],FirstRow+ROW()-7,5),"")</f>
        <v/>
      </c>
      <c r="G547" s="58">
        <f>IF($B547&lt;&gt;"",SUMIFS(DataAct_tbl[AMOUNT],DataAct_tbl[BG CODE],Detail!$D547,DataAct_tbl[MONTH],LEFT(MonthName,3),DataAct_tbl[Dept code],$B547),0)</f>
        <v>0</v>
      </c>
      <c r="H547" s="31" t="str">
        <f t="shared" si="79"/>
        <v/>
      </c>
      <c r="I547" s="28" t="str">
        <f t="shared" si="80"/>
        <v/>
      </c>
      <c r="J547" s="32" t="str">
        <f t="shared" si="81"/>
        <v/>
      </c>
      <c r="K547" s="86"/>
      <c r="L547" s="62">
        <f>IF($B547&lt;&gt;"",SUMIFS(DataAct_tbl[AMOUNT],DataAct_tbl[BG CODE],Detail!$D547,DataAct_tbl[Check Range],"=true",DataAct_tbl[Dept code],$B547),0)</f>
        <v>0</v>
      </c>
      <c r="M547" s="63">
        <f>INDEX($AG$7:$AR$1005,ROW()-6,MATCH(MTD,$AG$6:$AR$6,0))</f>
        <v>0</v>
      </c>
      <c r="N547" s="34">
        <f t="shared" si="82"/>
        <v>0</v>
      </c>
      <c r="O547" s="64" t="str">
        <f t="shared" si="83"/>
        <v xml:space="preserve"> </v>
      </c>
      <c r="Q547" s="97">
        <f t="shared" si="84"/>
        <v>0</v>
      </c>
      <c r="R547" s="96">
        <f t="shared" si="85"/>
        <v>0</v>
      </c>
      <c r="T547" s="67" t="str">
        <f>IF($B547&lt;&gt;"",INDEX(DataOB[],FirstRow+ROW()-7,MATCH(T$6,DataOB[#Headers],0)),"")</f>
        <v/>
      </c>
      <c r="U547" s="67" t="str">
        <f>IF($B547&lt;&gt;"",INDEX(DataOB[],FirstRow+ROW()-7,MATCH(U$6,DataOB[#Headers],0)),"")</f>
        <v/>
      </c>
      <c r="V547" s="67" t="str">
        <f>IF($B547&lt;&gt;"",INDEX(DataOB[],FirstRow+ROW()-7,MATCH(V$6,DataOB[#Headers],0)),"")</f>
        <v/>
      </c>
      <c r="W547" s="67" t="str">
        <f>IF($B547&lt;&gt;"",INDEX(DataOB[],FirstRow+ROW()-7,MATCH(W$6,DataOB[#Headers],0)),"")</f>
        <v/>
      </c>
      <c r="X547" s="67" t="str">
        <f>IF($B547&lt;&gt;"",INDEX(DataOB[],FirstRow+ROW()-7,MATCH(X$6,DataOB[#Headers],0)),"")</f>
        <v/>
      </c>
      <c r="Y547" s="67" t="str">
        <f>IF($B547&lt;&gt;"",INDEX(DataOB[],FirstRow+ROW()-7,MATCH(Y$6,DataOB[#Headers],0)),"")</f>
        <v/>
      </c>
      <c r="Z547" s="67" t="str">
        <f>IF($B547&lt;&gt;"",INDEX(DataOB[],FirstRow+ROW()-7,MATCH(Z$6,DataOB[#Headers],0)),"")</f>
        <v/>
      </c>
      <c r="AA547" s="67" t="str">
        <f>IF($B547&lt;&gt;"",INDEX(DataOB[],FirstRow+ROW()-7,MATCH(AA$6,DataOB[#Headers],0)),"")</f>
        <v/>
      </c>
      <c r="AB547" s="67" t="str">
        <f>IF($B547&lt;&gt;"",INDEX(DataOB[],FirstRow+ROW()-7,MATCH(AB$6,DataOB[#Headers],0)),"")</f>
        <v/>
      </c>
      <c r="AC547" s="67" t="str">
        <f>IF($B547&lt;&gt;"",INDEX(DataOB[],FirstRow+ROW()-7,MATCH(AC$6,DataOB[#Headers],0)),"")</f>
        <v/>
      </c>
      <c r="AD547" s="67" t="str">
        <f>IF($B547&lt;&gt;"",INDEX(DataOB[],FirstRow+ROW()-7,MATCH(AD$6,DataOB[#Headers],0)),"")</f>
        <v/>
      </c>
      <c r="AE547" s="67" t="str">
        <f>IF($B547&lt;&gt;"",INDEX(DataOB[],FirstRow+ROW()-7,MATCH(AE$6,DataOB[#Headers],0)),"")</f>
        <v/>
      </c>
      <c r="AF547" s="26">
        <f t="shared" si="86"/>
        <v>0</v>
      </c>
      <c r="AG547" s="31">
        <f>SUM($T547:T547)</f>
        <v>0</v>
      </c>
      <c r="AH547" s="31">
        <f>SUM($T547:U547)</f>
        <v>0</v>
      </c>
      <c r="AI547" s="31">
        <f>SUM($T547:V547)</f>
        <v>0</v>
      </c>
      <c r="AJ547" s="31">
        <f>SUM($T547:W547)</f>
        <v>0</v>
      </c>
      <c r="AK547" s="31">
        <f>SUM($T547:X547)</f>
        <v>0</v>
      </c>
      <c r="AL547" s="31">
        <f>SUM($T547:Y547)</f>
        <v>0</v>
      </c>
      <c r="AM547" s="31">
        <f>SUM($T547:Z547)</f>
        <v>0</v>
      </c>
      <c r="AN547" s="31">
        <f>SUM($T547:AA547)</f>
        <v>0</v>
      </c>
      <c r="AO547" s="31">
        <f>SUM($T547:AB547)</f>
        <v>0</v>
      </c>
      <c r="AP547" s="31">
        <f>SUM($T547:AC547)</f>
        <v>0</v>
      </c>
      <c r="AQ547" s="31">
        <f>SUM($T547:AD547)</f>
        <v>0</v>
      </c>
      <c r="AR547" s="31">
        <f>SUM($T547:AE547)</f>
        <v>0</v>
      </c>
      <c r="AS547" s="27">
        <f t="shared" si="87"/>
        <v>0</v>
      </c>
    </row>
    <row r="548" spans="2:45">
      <c r="B548" s="102" t="str">
        <f>IF(ROW()-6&gt;NumCostCenter,"",IF(CostCenter&lt;&gt;"ALL",CostCenter,DATA_LF2!B546))</f>
        <v/>
      </c>
      <c r="C548" s="153" t="str">
        <f>IF($B548&lt;&gt;"",INDEX(DataOB[],FirstRow+ROW()-7,2),"")</f>
        <v/>
      </c>
      <c r="D548" s="66" t="str">
        <f>IF($B548&lt;&gt;"",INDEX(DataOB[],FirstRow+ROW()-7,3),"")</f>
        <v/>
      </c>
      <c r="E548" s="103" t="str">
        <f>IF($B548&lt;&gt;"",INDEX(DataOB[],FirstRow+ROW()-7,6),"")</f>
        <v/>
      </c>
      <c r="F548" s="103" t="str">
        <f>IF($B548&lt;&gt;"",INDEX(DataOB[],FirstRow+ROW()-7,5),"")</f>
        <v/>
      </c>
      <c r="G548" s="58">
        <f>IF($B548&lt;&gt;"",SUMIFS(DataAct_tbl[AMOUNT],DataAct_tbl[BG CODE],Detail!$D548,DataAct_tbl[MONTH],LEFT(MonthName,3),DataAct_tbl[Dept code],$B548),0)</f>
        <v>0</v>
      </c>
      <c r="H548" s="31" t="str">
        <f t="shared" si="79"/>
        <v/>
      </c>
      <c r="I548" s="28" t="str">
        <f t="shared" si="80"/>
        <v/>
      </c>
      <c r="J548" s="32" t="str">
        <f t="shared" si="81"/>
        <v/>
      </c>
      <c r="K548" s="86"/>
      <c r="L548" s="62">
        <f>IF($B548&lt;&gt;"",SUMIFS(DataAct_tbl[AMOUNT],DataAct_tbl[BG CODE],Detail!$D548,DataAct_tbl[Check Range],"=true",DataAct_tbl[Dept code],$B548),0)</f>
        <v>0</v>
      </c>
      <c r="M548" s="63">
        <f>INDEX($AG$7:$AR$1005,ROW()-6,MATCH(MTD,$AG$6:$AR$6,0))</f>
        <v>0</v>
      </c>
      <c r="N548" s="34">
        <f t="shared" si="82"/>
        <v>0</v>
      </c>
      <c r="O548" s="64" t="str">
        <f t="shared" si="83"/>
        <v xml:space="preserve"> </v>
      </c>
      <c r="Q548" s="97">
        <f t="shared" si="84"/>
        <v>0</v>
      </c>
      <c r="R548" s="96">
        <f t="shared" si="85"/>
        <v>0</v>
      </c>
      <c r="T548" s="67" t="str">
        <f>IF($B548&lt;&gt;"",INDEX(DataOB[],FirstRow+ROW()-7,MATCH(T$6,DataOB[#Headers],0)),"")</f>
        <v/>
      </c>
      <c r="U548" s="67" t="str">
        <f>IF($B548&lt;&gt;"",INDEX(DataOB[],FirstRow+ROW()-7,MATCH(U$6,DataOB[#Headers],0)),"")</f>
        <v/>
      </c>
      <c r="V548" s="67" t="str">
        <f>IF($B548&lt;&gt;"",INDEX(DataOB[],FirstRow+ROW()-7,MATCH(V$6,DataOB[#Headers],0)),"")</f>
        <v/>
      </c>
      <c r="W548" s="67" t="str">
        <f>IF($B548&lt;&gt;"",INDEX(DataOB[],FirstRow+ROW()-7,MATCH(W$6,DataOB[#Headers],0)),"")</f>
        <v/>
      </c>
      <c r="X548" s="67" t="str">
        <f>IF($B548&lt;&gt;"",INDEX(DataOB[],FirstRow+ROW()-7,MATCH(X$6,DataOB[#Headers],0)),"")</f>
        <v/>
      </c>
      <c r="Y548" s="67" t="str">
        <f>IF($B548&lt;&gt;"",INDEX(DataOB[],FirstRow+ROW()-7,MATCH(Y$6,DataOB[#Headers],0)),"")</f>
        <v/>
      </c>
      <c r="Z548" s="67" t="str">
        <f>IF($B548&lt;&gt;"",INDEX(DataOB[],FirstRow+ROW()-7,MATCH(Z$6,DataOB[#Headers],0)),"")</f>
        <v/>
      </c>
      <c r="AA548" s="67" t="str">
        <f>IF($B548&lt;&gt;"",INDEX(DataOB[],FirstRow+ROW()-7,MATCH(AA$6,DataOB[#Headers],0)),"")</f>
        <v/>
      </c>
      <c r="AB548" s="67" t="str">
        <f>IF($B548&lt;&gt;"",INDEX(DataOB[],FirstRow+ROW()-7,MATCH(AB$6,DataOB[#Headers],0)),"")</f>
        <v/>
      </c>
      <c r="AC548" s="67" t="str">
        <f>IF($B548&lt;&gt;"",INDEX(DataOB[],FirstRow+ROW()-7,MATCH(AC$6,DataOB[#Headers],0)),"")</f>
        <v/>
      </c>
      <c r="AD548" s="67" t="str">
        <f>IF($B548&lt;&gt;"",INDEX(DataOB[],FirstRow+ROW()-7,MATCH(AD$6,DataOB[#Headers],0)),"")</f>
        <v/>
      </c>
      <c r="AE548" s="67" t="str">
        <f>IF($B548&lt;&gt;"",INDEX(DataOB[],FirstRow+ROW()-7,MATCH(AE$6,DataOB[#Headers],0)),"")</f>
        <v/>
      </c>
      <c r="AF548" s="26">
        <f t="shared" si="86"/>
        <v>0</v>
      </c>
      <c r="AG548" s="31">
        <f>SUM($T548:T548)</f>
        <v>0</v>
      </c>
      <c r="AH548" s="31">
        <f>SUM($T548:U548)</f>
        <v>0</v>
      </c>
      <c r="AI548" s="31">
        <f>SUM($T548:V548)</f>
        <v>0</v>
      </c>
      <c r="AJ548" s="31">
        <f>SUM($T548:W548)</f>
        <v>0</v>
      </c>
      <c r="AK548" s="31">
        <f>SUM($T548:X548)</f>
        <v>0</v>
      </c>
      <c r="AL548" s="31">
        <f>SUM($T548:Y548)</f>
        <v>0</v>
      </c>
      <c r="AM548" s="31">
        <f>SUM($T548:Z548)</f>
        <v>0</v>
      </c>
      <c r="AN548" s="31">
        <f>SUM($T548:AA548)</f>
        <v>0</v>
      </c>
      <c r="AO548" s="31">
        <f>SUM($T548:AB548)</f>
        <v>0</v>
      </c>
      <c r="AP548" s="31">
        <f>SUM($T548:AC548)</f>
        <v>0</v>
      </c>
      <c r="AQ548" s="31">
        <f>SUM($T548:AD548)</f>
        <v>0</v>
      </c>
      <c r="AR548" s="31">
        <f>SUM($T548:AE548)</f>
        <v>0</v>
      </c>
      <c r="AS548" s="27">
        <f t="shared" si="87"/>
        <v>0</v>
      </c>
    </row>
    <row r="549" spans="2:45">
      <c r="B549" s="102" t="str">
        <f>IF(ROW()-6&gt;NumCostCenter,"",IF(CostCenter&lt;&gt;"ALL",CostCenter,DATA_LF2!B547))</f>
        <v/>
      </c>
      <c r="C549" s="153" t="str">
        <f>IF($B549&lt;&gt;"",INDEX(DataOB[],FirstRow+ROW()-7,2),"")</f>
        <v/>
      </c>
      <c r="D549" s="66" t="str">
        <f>IF($B549&lt;&gt;"",INDEX(DataOB[],FirstRow+ROW()-7,3),"")</f>
        <v/>
      </c>
      <c r="E549" s="103" t="str">
        <f>IF($B549&lt;&gt;"",INDEX(DataOB[],FirstRow+ROW()-7,6),"")</f>
        <v/>
      </c>
      <c r="F549" s="103" t="str">
        <f>IF($B549&lt;&gt;"",INDEX(DataOB[],FirstRow+ROW()-7,5),"")</f>
        <v/>
      </c>
      <c r="G549" s="58">
        <f>IF($B549&lt;&gt;"",SUMIFS(DataAct_tbl[AMOUNT],DataAct_tbl[BG CODE],Detail!$D549,DataAct_tbl[MONTH],LEFT(MonthName,3),DataAct_tbl[Dept code],$B549),0)</f>
        <v>0</v>
      </c>
      <c r="H549" s="31" t="str">
        <f t="shared" si="79"/>
        <v/>
      </c>
      <c r="I549" s="28" t="str">
        <f t="shared" si="80"/>
        <v/>
      </c>
      <c r="J549" s="32" t="str">
        <f t="shared" si="81"/>
        <v/>
      </c>
      <c r="K549" s="86"/>
      <c r="L549" s="62">
        <f>IF($B549&lt;&gt;"",SUMIFS(DataAct_tbl[AMOUNT],DataAct_tbl[BG CODE],Detail!$D549,DataAct_tbl[Check Range],"=true",DataAct_tbl[Dept code],$B549),0)</f>
        <v>0</v>
      </c>
      <c r="M549" s="63">
        <f>INDEX($AG$7:$AR$1005,ROW()-6,MATCH(MTD,$AG$6:$AR$6,0))</f>
        <v>0</v>
      </c>
      <c r="N549" s="34">
        <f t="shared" si="82"/>
        <v>0</v>
      </c>
      <c r="O549" s="64" t="str">
        <f t="shared" si="83"/>
        <v xml:space="preserve"> </v>
      </c>
      <c r="Q549" s="97">
        <f t="shared" si="84"/>
        <v>0</v>
      </c>
      <c r="R549" s="96">
        <f t="shared" si="85"/>
        <v>0</v>
      </c>
      <c r="T549" s="67" t="str">
        <f>IF($B549&lt;&gt;"",INDEX(DataOB[],FirstRow+ROW()-7,MATCH(T$6,DataOB[#Headers],0)),"")</f>
        <v/>
      </c>
      <c r="U549" s="67" t="str">
        <f>IF($B549&lt;&gt;"",INDEX(DataOB[],FirstRow+ROW()-7,MATCH(U$6,DataOB[#Headers],0)),"")</f>
        <v/>
      </c>
      <c r="V549" s="67" t="str">
        <f>IF($B549&lt;&gt;"",INDEX(DataOB[],FirstRow+ROW()-7,MATCH(V$6,DataOB[#Headers],0)),"")</f>
        <v/>
      </c>
      <c r="W549" s="67" t="str">
        <f>IF($B549&lt;&gt;"",INDEX(DataOB[],FirstRow+ROW()-7,MATCH(W$6,DataOB[#Headers],0)),"")</f>
        <v/>
      </c>
      <c r="X549" s="67" t="str">
        <f>IF($B549&lt;&gt;"",INDEX(DataOB[],FirstRow+ROW()-7,MATCH(X$6,DataOB[#Headers],0)),"")</f>
        <v/>
      </c>
      <c r="Y549" s="67" t="str">
        <f>IF($B549&lt;&gt;"",INDEX(DataOB[],FirstRow+ROW()-7,MATCH(Y$6,DataOB[#Headers],0)),"")</f>
        <v/>
      </c>
      <c r="Z549" s="67" t="str">
        <f>IF($B549&lt;&gt;"",INDEX(DataOB[],FirstRow+ROW()-7,MATCH(Z$6,DataOB[#Headers],0)),"")</f>
        <v/>
      </c>
      <c r="AA549" s="67" t="str">
        <f>IF($B549&lt;&gt;"",INDEX(DataOB[],FirstRow+ROW()-7,MATCH(AA$6,DataOB[#Headers],0)),"")</f>
        <v/>
      </c>
      <c r="AB549" s="67" t="str">
        <f>IF($B549&lt;&gt;"",INDEX(DataOB[],FirstRow+ROW()-7,MATCH(AB$6,DataOB[#Headers],0)),"")</f>
        <v/>
      </c>
      <c r="AC549" s="67" t="str">
        <f>IF($B549&lt;&gt;"",INDEX(DataOB[],FirstRow+ROW()-7,MATCH(AC$6,DataOB[#Headers],0)),"")</f>
        <v/>
      </c>
      <c r="AD549" s="67" t="str">
        <f>IF($B549&lt;&gt;"",INDEX(DataOB[],FirstRow+ROW()-7,MATCH(AD$6,DataOB[#Headers],0)),"")</f>
        <v/>
      </c>
      <c r="AE549" s="67" t="str">
        <f>IF($B549&lt;&gt;"",INDEX(DataOB[],FirstRow+ROW()-7,MATCH(AE$6,DataOB[#Headers],0)),"")</f>
        <v/>
      </c>
      <c r="AF549" s="26">
        <f t="shared" si="86"/>
        <v>0</v>
      </c>
      <c r="AG549" s="31">
        <f>SUM($T549:T549)</f>
        <v>0</v>
      </c>
      <c r="AH549" s="31">
        <f>SUM($T549:U549)</f>
        <v>0</v>
      </c>
      <c r="AI549" s="31">
        <f>SUM($T549:V549)</f>
        <v>0</v>
      </c>
      <c r="AJ549" s="31">
        <f>SUM($T549:W549)</f>
        <v>0</v>
      </c>
      <c r="AK549" s="31">
        <f>SUM($T549:X549)</f>
        <v>0</v>
      </c>
      <c r="AL549" s="31">
        <f>SUM($T549:Y549)</f>
        <v>0</v>
      </c>
      <c r="AM549" s="31">
        <f>SUM($T549:Z549)</f>
        <v>0</v>
      </c>
      <c r="AN549" s="31">
        <f>SUM($T549:AA549)</f>
        <v>0</v>
      </c>
      <c r="AO549" s="31">
        <f>SUM($T549:AB549)</f>
        <v>0</v>
      </c>
      <c r="AP549" s="31">
        <f>SUM($T549:AC549)</f>
        <v>0</v>
      </c>
      <c r="AQ549" s="31">
        <f>SUM($T549:AD549)</f>
        <v>0</v>
      </c>
      <c r="AR549" s="31">
        <f>SUM($T549:AE549)</f>
        <v>0</v>
      </c>
      <c r="AS549" s="27">
        <f t="shared" si="87"/>
        <v>0</v>
      </c>
    </row>
    <row r="550" spans="2:45">
      <c r="B550" s="102" t="str">
        <f>IF(ROW()-6&gt;NumCostCenter,"",IF(CostCenter&lt;&gt;"ALL",CostCenter,DATA_LF2!B548))</f>
        <v/>
      </c>
      <c r="C550" s="153" t="str">
        <f>IF($B550&lt;&gt;"",INDEX(DataOB[],FirstRow+ROW()-7,2),"")</f>
        <v/>
      </c>
      <c r="D550" s="66" t="str">
        <f>IF($B550&lt;&gt;"",INDEX(DataOB[],FirstRow+ROW()-7,3),"")</f>
        <v/>
      </c>
      <c r="E550" s="103" t="str">
        <f>IF($B550&lt;&gt;"",INDEX(DataOB[],FirstRow+ROW()-7,6),"")</f>
        <v/>
      </c>
      <c r="F550" s="103" t="str">
        <f>IF($B550&lt;&gt;"",INDEX(DataOB[],FirstRow+ROW()-7,5),"")</f>
        <v/>
      </c>
      <c r="G550" s="58">
        <f>IF($B550&lt;&gt;"",SUMIFS(DataAct_tbl[AMOUNT],DataAct_tbl[BG CODE],Detail!$D550,DataAct_tbl[MONTH],LEFT(MonthName,3),DataAct_tbl[Dept code],$B550),0)</f>
        <v>0</v>
      </c>
      <c r="H550" s="31" t="str">
        <f t="shared" si="79"/>
        <v/>
      </c>
      <c r="I550" s="28" t="str">
        <f t="shared" si="80"/>
        <v/>
      </c>
      <c r="J550" s="32" t="str">
        <f t="shared" si="81"/>
        <v/>
      </c>
      <c r="K550" s="86"/>
      <c r="L550" s="62">
        <f>IF($B550&lt;&gt;"",SUMIFS(DataAct_tbl[AMOUNT],DataAct_tbl[BG CODE],Detail!$D550,DataAct_tbl[Check Range],"=true",DataAct_tbl[Dept code],$B550),0)</f>
        <v>0</v>
      </c>
      <c r="M550" s="63">
        <f>INDEX($AG$7:$AR$1005,ROW()-6,MATCH(MTD,$AG$6:$AR$6,0))</f>
        <v>0</v>
      </c>
      <c r="N550" s="34">
        <f t="shared" si="82"/>
        <v>0</v>
      </c>
      <c r="O550" s="64" t="str">
        <f t="shared" si="83"/>
        <v xml:space="preserve"> </v>
      </c>
      <c r="Q550" s="97">
        <f t="shared" si="84"/>
        <v>0</v>
      </c>
      <c r="R550" s="96">
        <f t="shared" si="85"/>
        <v>0</v>
      </c>
      <c r="T550" s="67" t="str">
        <f>IF($B550&lt;&gt;"",INDEX(DataOB[],FirstRow+ROW()-7,MATCH(T$6,DataOB[#Headers],0)),"")</f>
        <v/>
      </c>
      <c r="U550" s="67" t="str">
        <f>IF($B550&lt;&gt;"",INDEX(DataOB[],FirstRow+ROW()-7,MATCH(U$6,DataOB[#Headers],0)),"")</f>
        <v/>
      </c>
      <c r="V550" s="67" t="str">
        <f>IF($B550&lt;&gt;"",INDEX(DataOB[],FirstRow+ROW()-7,MATCH(V$6,DataOB[#Headers],0)),"")</f>
        <v/>
      </c>
      <c r="W550" s="67" t="str">
        <f>IF($B550&lt;&gt;"",INDEX(DataOB[],FirstRow+ROW()-7,MATCH(W$6,DataOB[#Headers],0)),"")</f>
        <v/>
      </c>
      <c r="X550" s="67" t="str">
        <f>IF($B550&lt;&gt;"",INDEX(DataOB[],FirstRow+ROW()-7,MATCH(X$6,DataOB[#Headers],0)),"")</f>
        <v/>
      </c>
      <c r="Y550" s="67" t="str">
        <f>IF($B550&lt;&gt;"",INDEX(DataOB[],FirstRow+ROW()-7,MATCH(Y$6,DataOB[#Headers],0)),"")</f>
        <v/>
      </c>
      <c r="Z550" s="67" t="str">
        <f>IF($B550&lt;&gt;"",INDEX(DataOB[],FirstRow+ROW()-7,MATCH(Z$6,DataOB[#Headers],0)),"")</f>
        <v/>
      </c>
      <c r="AA550" s="67" t="str">
        <f>IF($B550&lt;&gt;"",INDEX(DataOB[],FirstRow+ROW()-7,MATCH(AA$6,DataOB[#Headers],0)),"")</f>
        <v/>
      </c>
      <c r="AB550" s="67" t="str">
        <f>IF($B550&lt;&gt;"",INDEX(DataOB[],FirstRow+ROW()-7,MATCH(AB$6,DataOB[#Headers],0)),"")</f>
        <v/>
      </c>
      <c r="AC550" s="67" t="str">
        <f>IF($B550&lt;&gt;"",INDEX(DataOB[],FirstRow+ROW()-7,MATCH(AC$6,DataOB[#Headers],0)),"")</f>
        <v/>
      </c>
      <c r="AD550" s="67" t="str">
        <f>IF($B550&lt;&gt;"",INDEX(DataOB[],FirstRow+ROW()-7,MATCH(AD$6,DataOB[#Headers],0)),"")</f>
        <v/>
      </c>
      <c r="AE550" s="67" t="str">
        <f>IF($B550&lt;&gt;"",INDEX(DataOB[],FirstRow+ROW()-7,MATCH(AE$6,DataOB[#Headers],0)),"")</f>
        <v/>
      </c>
      <c r="AF550" s="26">
        <f t="shared" si="86"/>
        <v>0</v>
      </c>
      <c r="AG550" s="31">
        <f>SUM($T550:T550)</f>
        <v>0</v>
      </c>
      <c r="AH550" s="31">
        <f>SUM($T550:U550)</f>
        <v>0</v>
      </c>
      <c r="AI550" s="31">
        <f>SUM($T550:V550)</f>
        <v>0</v>
      </c>
      <c r="AJ550" s="31">
        <f>SUM($T550:W550)</f>
        <v>0</v>
      </c>
      <c r="AK550" s="31">
        <f>SUM($T550:X550)</f>
        <v>0</v>
      </c>
      <c r="AL550" s="31">
        <f>SUM($T550:Y550)</f>
        <v>0</v>
      </c>
      <c r="AM550" s="31">
        <f>SUM($T550:Z550)</f>
        <v>0</v>
      </c>
      <c r="AN550" s="31">
        <f>SUM($T550:AA550)</f>
        <v>0</v>
      </c>
      <c r="AO550" s="31">
        <f>SUM($T550:AB550)</f>
        <v>0</v>
      </c>
      <c r="AP550" s="31">
        <f>SUM($T550:AC550)</f>
        <v>0</v>
      </c>
      <c r="AQ550" s="31">
        <f>SUM($T550:AD550)</f>
        <v>0</v>
      </c>
      <c r="AR550" s="31">
        <f>SUM($T550:AE550)</f>
        <v>0</v>
      </c>
      <c r="AS550" s="27">
        <f t="shared" si="87"/>
        <v>0</v>
      </c>
    </row>
    <row r="551" spans="2:45">
      <c r="B551" s="102" t="str">
        <f>IF(ROW()-6&gt;NumCostCenter,"",IF(CostCenter&lt;&gt;"ALL",CostCenter,DATA_LF2!B549))</f>
        <v/>
      </c>
      <c r="C551" s="153" t="str">
        <f>IF($B551&lt;&gt;"",INDEX(DataOB[],FirstRow+ROW()-7,2),"")</f>
        <v/>
      </c>
      <c r="D551" s="66" t="str">
        <f>IF($B551&lt;&gt;"",INDEX(DataOB[],FirstRow+ROW()-7,3),"")</f>
        <v/>
      </c>
      <c r="E551" s="103" t="str">
        <f>IF($B551&lt;&gt;"",INDEX(DataOB[],FirstRow+ROW()-7,6),"")</f>
        <v/>
      </c>
      <c r="F551" s="103" t="str">
        <f>IF($B551&lt;&gt;"",INDEX(DataOB[],FirstRow+ROW()-7,5),"")</f>
        <v/>
      </c>
      <c r="G551" s="58">
        <f>IF($B551&lt;&gt;"",SUMIFS(DataAct_tbl[AMOUNT],DataAct_tbl[BG CODE],Detail!$D551,DataAct_tbl[MONTH],LEFT(MonthName,3),DataAct_tbl[Dept code],$B551),0)</f>
        <v>0</v>
      </c>
      <c r="H551" s="31" t="str">
        <f t="shared" si="79"/>
        <v/>
      </c>
      <c r="I551" s="28" t="str">
        <f t="shared" si="80"/>
        <v/>
      </c>
      <c r="J551" s="32" t="str">
        <f t="shared" si="81"/>
        <v/>
      </c>
      <c r="K551" s="86"/>
      <c r="L551" s="62">
        <f>IF($B551&lt;&gt;"",SUMIFS(DataAct_tbl[AMOUNT],DataAct_tbl[BG CODE],Detail!$D551,DataAct_tbl[Check Range],"=true",DataAct_tbl[Dept code],$B551),0)</f>
        <v>0</v>
      </c>
      <c r="M551" s="63">
        <f>INDEX($AG$7:$AR$1005,ROW()-6,MATCH(MTD,$AG$6:$AR$6,0))</f>
        <v>0</v>
      </c>
      <c r="N551" s="34">
        <f t="shared" si="82"/>
        <v>0</v>
      </c>
      <c r="O551" s="64" t="str">
        <f t="shared" si="83"/>
        <v xml:space="preserve"> </v>
      </c>
      <c r="Q551" s="97">
        <f t="shared" si="84"/>
        <v>0</v>
      </c>
      <c r="R551" s="96">
        <f t="shared" si="85"/>
        <v>0</v>
      </c>
      <c r="T551" s="67" t="str">
        <f>IF($B551&lt;&gt;"",INDEX(DataOB[],FirstRow+ROW()-7,MATCH(T$6,DataOB[#Headers],0)),"")</f>
        <v/>
      </c>
      <c r="U551" s="67" t="str">
        <f>IF($B551&lt;&gt;"",INDEX(DataOB[],FirstRow+ROW()-7,MATCH(U$6,DataOB[#Headers],0)),"")</f>
        <v/>
      </c>
      <c r="V551" s="67" t="str">
        <f>IF($B551&lt;&gt;"",INDEX(DataOB[],FirstRow+ROW()-7,MATCH(V$6,DataOB[#Headers],0)),"")</f>
        <v/>
      </c>
      <c r="W551" s="67" t="str">
        <f>IF($B551&lt;&gt;"",INDEX(DataOB[],FirstRow+ROW()-7,MATCH(W$6,DataOB[#Headers],0)),"")</f>
        <v/>
      </c>
      <c r="X551" s="67" t="str">
        <f>IF($B551&lt;&gt;"",INDEX(DataOB[],FirstRow+ROW()-7,MATCH(X$6,DataOB[#Headers],0)),"")</f>
        <v/>
      </c>
      <c r="Y551" s="67" t="str">
        <f>IF($B551&lt;&gt;"",INDEX(DataOB[],FirstRow+ROW()-7,MATCH(Y$6,DataOB[#Headers],0)),"")</f>
        <v/>
      </c>
      <c r="Z551" s="67" t="str">
        <f>IF($B551&lt;&gt;"",INDEX(DataOB[],FirstRow+ROW()-7,MATCH(Z$6,DataOB[#Headers],0)),"")</f>
        <v/>
      </c>
      <c r="AA551" s="67" t="str">
        <f>IF($B551&lt;&gt;"",INDEX(DataOB[],FirstRow+ROW()-7,MATCH(AA$6,DataOB[#Headers],0)),"")</f>
        <v/>
      </c>
      <c r="AB551" s="67" t="str">
        <f>IF($B551&lt;&gt;"",INDEX(DataOB[],FirstRow+ROW()-7,MATCH(AB$6,DataOB[#Headers],0)),"")</f>
        <v/>
      </c>
      <c r="AC551" s="67" t="str">
        <f>IF($B551&lt;&gt;"",INDEX(DataOB[],FirstRow+ROW()-7,MATCH(AC$6,DataOB[#Headers],0)),"")</f>
        <v/>
      </c>
      <c r="AD551" s="67" t="str">
        <f>IF($B551&lt;&gt;"",INDEX(DataOB[],FirstRow+ROW()-7,MATCH(AD$6,DataOB[#Headers],0)),"")</f>
        <v/>
      </c>
      <c r="AE551" s="67" t="str">
        <f>IF($B551&lt;&gt;"",INDEX(DataOB[],FirstRow+ROW()-7,MATCH(AE$6,DataOB[#Headers],0)),"")</f>
        <v/>
      </c>
      <c r="AF551" s="26">
        <f t="shared" si="86"/>
        <v>0</v>
      </c>
      <c r="AG551" s="31">
        <f>SUM($T551:T551)</f>
        <v>0</v>
      </c>
      <c r="AH551" s="31">
        <f>SUM($T551:U551)</f>
        <v>0</v>
      </c>
      <c r="AI551" s="31">
        <f>SUM($T551:V551)</f>
        <v>0</v>
      </c>
      <c r="AJ551" s="31">
        <f>SUM($T551:W551)</f>
        <v>0</v>
      </c>
      <c r="AK551" s="31">
        <f>SUM($T551:X551)</f>
        <v>0</v>
      </c>
      <c r="AL551" s="31">
        <f>SUM($T551:Y551)</f>
        <v>0</v>
      </c>
      <c r="AM551" s="31">
        <f>SUM($T551:Z551)</f>
        <v>0</v>
      </c>
      <c r="AN551" s="31">
        <f>SUM($T551:AA551)</f>
        <v>0</v>
      </c>
      <c r="AO551" s="31">
        <f>SUM($T551:AB551)</f>
        <v>0</v>
      </c>
      <c r="AP551" s="31">
        <f>SUM($T551:AC551)</f>
        <v>0</v>
      </c>
      <c r="AQ551" s="31">
        <f>SUM($T551:AD551)</f>
        <v>0</v>
      </c>
      <c r="AR551" s="31">
        <f>SUM($T551:AE551)</f>
        <v>0</v>
      </c>
      <c r="AS551" s="27">
        <f t="shared" si="87"/>
        <v>0</v>
      </c>
    </row>
    <row r="552" spans="2:45">
      <c r="B552" s="102" t="str">
        <f>IF(ROW()-6&gt;NumCostCenter,"",IF(CostCenter&lt;&gt;"ALL",CostCenter,DATA_LF2!B550))</f>
        <v/>
      </c>
      <c r="C552" s="153" t="str">
        <f>IF($B552&lt;&gt;"",INDEX(DataOB[],FirstRow+ROW()-7,2),"")</f>
        <v/>
      </c>
      <c r="D552" s="66" t="str">
        <f>IF($B552&lt;&gt;"",INDEX(DataOB[],FirstRow+ROW()-7,3),"")</f>
        <v/>
      </c>
      <c r="E552" s="103" t="str">
        <f>IF($B552&lt;&gt;"",INDEX(DataOB[],FirstRow+ROW()-7,6),"")</f>
        <v/>
      </c>
      <c r="F552" s="103" t="str">
        <f>IF($B552&lt;&gt;"",INDEX(DataOB[],FirstRow+ROW()-7,5),"")</f>
        <v/>
      </c>
      <c r="G552" s="58">
        <f>IF($B552&lt;&gt;"",SUMIFS(DataAct_tbl[AMOUNT],DataAct_tbl[BG CODE],Detail!$D552,DataAct_tbl[MONTH],LEFT(MonthName,3),DataAct_tbl[Dept code],$B552),0)</f>
        <v>0</v>
      </c>
      <c r="H552" s="31" t="str">
        <f t="shared" si="79"/>
        <v/>
      </c>
      <c r="I552" s="28" t="str">
        <f t="shared" si="80"/>
        <v/>
      </c>
      <c r="J552" s="32" t="str">
        <f t="shared" si="81"/>
        <v/>
      </c>
      <c r="K552" s="86"/>
      <c r="L552" s="62">
        <f>IF($B552&lt;&gt;"",SUMIFS(DataAct_tbl[AMOUNT],DataAct_tbl[BG CODE],Detail!$D552,DataAct_tbl[Check Range],"=true",DataAct_tbl[Dept code],$B552),0)</f>
        <v>0</v>
      </c>
      <c r="M552" s="63">
        <f>INDEX($AG$7:$AR$1005,ROW()-6,MATCH(MTD,$AG$6:$AR$6,0))</f>
        <v>0</v>
      </c>
      <c r="N552" s="34">
        <f t="shared" si="82"/>
        <v>0</v>
      </c>
      <c r="O552" s="64" t="str">
        <f t="shared" si="83"/>
        <v xml:space="preserve"> </v>
      </c>
      <c r="Q552" s="97">
        <f t="shared" si="84"/>
        <v>0</v>
      </c>
      <c r="R552" s="96">
        <f t="shared" si="85"/>
        <v>0</v>
      </c>
      <c r="T552" s="67" t="str">
        <f>IF($B552&lt;&gt;"",INDEX(DataOB[],FirstRow+ROW()-7,MATCH(T$6,DataOB[#Headers],0)),"")</f>
        <v/>
      </c>
      <c r="U552" s="67" t="str">
        <f>IF($B552&lt;&gt;"",INDEX(DataOB[],FirstRow+ROW()-7,MATCH(U$6,DataOB[#Headers],0)),"")</f>
        <v/>
      </c>
      <c r="V552" s="67" t="str">
        <f>IF($B552&lt;&gt;"",INDEX(DataOB[],FirstRow+ROW()-7,MATCH(V$6,DataOB[#Headers],0)),"")</f>
        <v/>
      </c>
      <c r="W552" s="67" t="str">
        <f>IF($B552&lt;&gt;"",INDEX(DataOB[],FirstRow+ROW()-7,MATCH(W$6,DataOB[#Headers],0)),"")</f>
        <v/>
      </c>
      <c r="X552" s="67" t="str">
        <f>IF($B552&lt;&gt;"",INDEX(DataOB[],FirstRow+ROW()-7,MATCH(X$6,DataOB[#Headers],0)),"")</f>
        <v/>
      </c>
      <c r="Y552" s="67" t="str">
        <f>IF($B552&lt;&gt;"",INDEX(DataOB[],FirstRow+ROW()-7,MATCH(Y$6,DataOB[#Headers],0)),"")</f>
        <v/>
      </c>
      <c r="Z552" s="67" t="str">
        <f>IF($B552&lt;&gt;"",INDEX(DataOB[],FirstRow+ROW()-7,MATCH(Z$6,DataOB[#Headers],0)),"")</f>
        <v/>
      </c>
      <c r="AA552" s="67" t="str">
        <f>IF($B552&lt;&gt;"",INDEX(DataOB[],FirstRow+ROW()-7,MATCH(AA$6,DataOB[#Headers],0)),"")</f>
        <v/>
      </c>
      <c r="AB552" s="67" t="str">
        <f>IF($B552&lt;&gt;"",INDEX(DataOB[],FirstRow+ROW()-7,MATCH(AB$6,DataOB[#Headers],0)),"")</f>
        <v/>
      </c>
      <c r="AC552" s="67" t="str">
        <f>IF($B552&lt;&gt;"",INDEX(DataOB[],FirstRow+ROW()-7,MATCH(AC$6,DataOB[#Headers],0)),"")</f>
        <v/>
      </c>
      <c r="AD552" s="67" t="str">
        <f>IF($B552&lt;&gt;"",INDEX(DataOB[],FirstRow+ROW()-7,MATCH(AD$6,DataOB[#Headers],0)),"")</f>
        <v/>
      </c>
      <c r="AE552" s="67" t="str">
        <f>IF($B552&lt;&gt;"",INDEX(DataOB[],FirstRow+ROW()-7,MATCH(AE$6,DataOB[#Headers],0)),"")</f>
        <v/>
      </c>
      <c r="AF552" s="26">
        <f t="shared" si="86"/>
        <v>0</v>
      </c>
      <c r="AG552" s="31">
        <f>SUM($T552:T552)</f>
        <v>0</v>
      </c>
      <c r="AH552" s="31">
        <f>SUM($T552:U552)</f>
        <v>0</v>
      </c>
      <c r="AI552" s="31">
        <f>SUM($T552:V552)</f>
        <v>0</v>
      </c>
      <c r="AJ552" s="31">
        <f>SUM($T552:W552)</f>
        <v>0</v>
      </c>
      <c r="AK552" s="31">
        <f>SUM($T552:X552)</f>
        <v>0</v>
      </c>
      <c r="AL552" s="31">
        <f>SUM($T552:Y552)</f>
        <v>0</v>
      </c>
      <c r="AM552" s="31">
        <f>SUM($T552:Z552)</f>
        <v>0</v>
      </c>
      <c r="AN552" s="31">
        <f>SUM($T552:AA552)</f>
        <v>0</v>
      </c>
      <c r="AO552" s="31">
        <f>SUM($T552:AB552)</f>
        <v>0</v>
      </c>
      <c r="AP552" s="31">
        <f>SUM($T552:AC552)</f>
        <v>0</v>
      </c>
      <c r="AQ552" s="31">
        <f>SUM($T552:AD552)</f>
        <v>0</v>
      </c>
      <c r="AR552" s="31">
        <f>SUM($T552:AE552)</f>
        <v>0</v>
      </c>
      <c r="AS552" s="27">
        <f t="shared" si="87"/>
        <v>0</v>
      </c>
    </row>
    <row r="553" spans="2:45">
      <c r="B553" s="102" t="str">
        <f>IF(ROW()-6&gt;NumCostCenter,"",IF(CostCenter&lt;&gt;"ALL",CostCenter,DATA_LF2!B551))</f>
        <v/>
      </c>
      <c r="C553" s="153" t="str">
        <f>IF($B553&lt;&gt;"",INDEX(DataOB[],FirstRow+ROW()-7,2),"")</f>
        <v/>
      </c>
      <c r="D553" s="66" t="str">
        <f>IF($B553&lt;&gt;"",INDEX(DataOB[],FirstRow+ROW()-7,3),"")</f>
        <v/>
      </c>
      <c r="E553" s="103" t="str">
        <f>IF($B553&lt;&gt;"",INDEX(DataOB[],FirstRow+ROW()-7,6),"")</f>
        <v/>
      </c>
      <c r="F553" s="103" t="str">
        <f>IF($B553&lt;&gt;"",INDEX(DataOB[],FirstRow+ROW()-7,5),"")</f>
        <v/>
      </c>
      <c r="G553" s="58">
        <f>IF($B553&lt;&gt;"",SUMIFS(DataAct_tbl[AMOUNT],DataAct_tbl[BG CODE],Detail!$D553,DataAct_tbl[MONTH],LEFT(MonthName,3),DataAct_tbl[Dept code],$B553),0)</f>
        <v>0</v>
      </c>
      <c r="H553" s="31" t="str">
        <f t="shared" si="79"/>
        <v/>
      </c>
      <c r="I553" s="28" t="str">
        <f t="shared" si="80"/>
        <v/>
      </c>
      <c r="J553" s="32" t="str">
        <f t="shared" si="81"/>
        <v/>
      </c>
      <c r="K553" s="86"/>
      <c r="L553" s="62">
        <f>IF($B553&lt;&gt;"",SUMIFS(DataAct_tbl[AMOUNT],DataAct_tbl[BG CODE],Detail!$D553,DataAct_tbl[Check Range],"=true",DataAct_tbl[Dept code],$B553),0)</f>
        <v>0</v>
      </c>
      <c r="M553" s="63">
        <f>INDEX($AG$7:$AR$1005,ROW()-6,MATCH(MTD,$AG$6:$AR$6,0))</f>
        <v>0</v>
      </c>
      <c r="N553" s="34">
        <f t="shared" si="82"/>
        <v>0</v>
      </c>
      <c r="O553" s="64" t="str">
        <f t="shared" si="83"/>
        <v xml:space="preserve"> </v>
      </c>
      <c r="Q553" s="97">
        <f t="shared" si="84"/>
        <v>0</v>
      </c>
      <c r="R553" s="96">
        <f t="shared" si="85"/>
        <v>0</v>
      </c>
      <c r="T553" s="67" t="str">
        <f>IF($B553&lt;&gt;"",INDEX(DataOB[],FirstRow+ROW()-7,MATCH(T$6,DataOB[#Headers],0)),"")</f>
        <v/>
      </c>
      <c r="U553" s="67" t="str">
        <f>IF($B553&lt;&gt;"",INDEX(DataOB[],FirstRow+ROW()-7,MATCH(U$6,DataOB[#Headers],0)),"")</f>
        <v/>
      </c>
      <c r="V553" s="67" t="str">
        <f>IF($B553&lt;&gt;"",INDEX(DataOB[],FirstRow+ROW()-7,MATCH(V$6,DataOB[#Headers],0)),"")</f>
        <v/>
      </c>
      <c r="W553" s="67" t="str">
        <f>IF($B553&lt;&gt;"",INDEX(DataOB[],FirstRow+ROW()-7,MATCH(W$6,DataOB[#Headers],0)),"")</f>
        <v/>
      </c>
      <c r="X553" s="67" t="str">
        <f>IF($B553&lt;&gt;"",INDEX(DataOB[],FirstRow+ROW()-7,MATCH(X$6,DataOB[#Headers],0)),"")</f>
        <v/>
      </c>
      <c r="Y553" s="67" t="str">
        <f>IF($B553&lt;&gt;"",INDEX(DataOB[],FirstRow+ROW()-7,MATCH(Y$6,DataOB[#Headers],0)),"")</f>
        <v/>
      </c>
      <c r="Z553" s="67" t="str">
        <f>IF($B553&lt;&gt;"",INDEX(DataOB[],FirstRow+ROW()-7,MATCH(Z$6,DataOB[#Headers],0)),"")</f>
        <v/>
      </c>
      <c r="AA553" s="67" t="str">
        <f>IF($B553&lt;&gt;"",INDEX(DataOB[],FirstRow+ROW()-7,MATCH(AA$6,DataOB[#Headers],0)),"")</f>
        <v/>
      </c>
      <c r="AB553" s="67" t="str">
        <f>IF($B553&lt;&gt;"",INDEX(DataOB[],FirstRow+ROW()-7,MATCH(AB$6,DataOB[#Headers],0)),"")</f>
        <v/>
      </c>
      <c r="AC553" s="67" t="str">
        <f>IF($B553&lt;&gt;"",INDEX(DataOB[],FirstRow+ROW()-7,MATCH(AC$6,DataOB[#Headers],0)),"")</f>
        <v/>
      </c>
      <c r="AD553" s="67" t="str">
        <f>IF($B553&lt;&gt;"",INDEX(DataOB[],FirstRow+ROW()-7,MATCH(AD$6,DataOB[#Headers],0)),"")</f>
        <v/>
      </c>
      <c r="AE553" s="67" t="str">
        <f>IF($B553&lt;&gt;"",INDEX(DataOB[],FirstRow+ROW()-7,MATCH(AE$6,DataOB[#Headers],0)),"")</f>
        <v/>
      </c>
      <c r="AF553" s="26">
        <f t="shared" si="86"/>
        <v>0</v>
      </c>
      <c r="AG553" s="31">
        <f>SUM($T553:T553)</f>
        <v>0</v>
      </c>
      <c r="AH553" s="31">
        <f>SUM($T553:U553)</f>
        <v>0</v>
      </c>
      <c r="AI553" s="31">
        <f>SUM($T553:V553)</f>
        <v>0</v>
      </c>
      <c r="AJ553" s="31">
        <f>SUM($T553:W553)</f>
        <v>0</v>
      </c>
      <c r="AK553" s="31">
        <f>SUM($T553:X553)</f>
        <v>0</v>
      </c>
      <c r="AL553" s="31">
        <f>SUM($T553:Y553)</f>
        <v>0</v>
      </c>
      <c r="AM553" s="31">
        <f>SUM($T553:Z553)</f>
        <v>0</v>
      </c>
      <c r="AN553" s="31">
        <f>SUM($T553:AA553)</f>
        <v>0</v>
      </c>
      <c r="AO553" s="31">
        <f>SUM($T553:AB553)</f>
        <v>0</v>
      </c>
      <c r="AP553" s="31">
        <f>SUM($T553:AC553)</f>
        <v>0</v>
      </c>
      <c r="AQ553" s="31">
        <f>SUM($T553:AD553)</f>
        <v>0</v>
      </c>
      <c r="AR553" s="31">
        <f>SUM($T553:AE553)</f>
        <v>0</v>
      </c>
      <c r="AS553" s="27">
        <f t="shared" si="87"/>
        <v>0</v>
      </c>
    </row>
    <row r="554" spans="2:45">
      <c r="B554" s="102" t="str">
        <f>IF(ROW()-6&gt;NumCostCenter,"",IF(CostCenter&lt;&gt;"ALL",CostCenter,DATA_LF2!B552))</f>
        <v/>
      </c>
      <c r="C554" s="153" t="str">
        <f>IF($B554&lt;&gt;"",INDEX(DataOB[],FirstRow+ROW()-7,2),"")</f>
        <v/>
      </c>
      <c r="D554" s="66" t="str">
        <f>IF($B554&lt;&gt;"",INDEX(DataOB[],FirstRow+ROW()-7,3),"")</f>
        <v/>
      </c>
      <c r="E554" s="103" t="str">
        <f>IF($B554&lt;&gt;"",INDEX(DataOB[],FirstRow+ROW()-7,6),"")</f>
        <v/>
      </c>
      <c r="F554" s="103" t="str">
        <f>IF($B554&lt;&gt;"",INDEX(DataOB[],FirstRow+ROW()-7,5),"")</f>
        <v/>
      </c>
      <c r="G554" s="58">
        <f>IF($B554&lt;&gt;"",SUMIFS(DataAct_tbl[AMOUNT],DataAct_tbl[BG CODE],Detail!$D554,DataAct_tbl[MONTH],LEFT(MonthName,3),DataAct_tbl[Dept code],$B554),0)</f>
        <v>0</v>
      </c>
      <c r="H554" s="31" t="str">
        <f t="shared" si="79"/>
        <v/>
      </c>
      <c r="I554" s="28" t="str">
        <f t="shared" si="80"/>
        <v/>
      </c>
      <c r="J554" s="32" t="str">
        <f t="shared" si="81"/>
        <v/>
      </c>
      <c r="K554" s="86"/>
      <c r="L554" s="62">
        <f>IF($B554&lt;&gt;"",SUMIFS(DataAct_tbl[AMOUNT],DataAct_tbl[BG CODE],Detail!$D554,DataAct_tbl[Check Range],"=true",DataAct_tbl[Dept code],$B554),0)</f>
        <v>0</v>
      </c>
      <c r="M554" s="63">
        <f>INDEX($AG$7:$AR$1005,ROW()-6,MATCH(MTD,$AG$6:$AR$6,0))</f>
        <v>0</v>
      </c>
      <c r="N554" s="34">
        <f t="shared" si="82"/>
        <v>0</v>
      </c>
      <c r="O554" s="64" t="str">
        <f t="shared" si="83"/>
        <v xml:space="preserve"> </v>
      </c>
      <c r="Q554" s="97">
        <f t="shared" si="84"/>
        <v>0</v>
      </c>
      <c r="R554" s="96">
        <f t="shared" si="85"/>
        <v>0</v>
      </c>
      <c r="T554" s="67" t="str">
        <f>IF($B554&lt;&gt;"",INDEX(DataOB[],FirstRow+ROW()-7,MATCH(T$6,DataOB[#Headers],0)),"")</f>
        <v/>
      </c>
      <c r="U554" s="67" t="str">
        <f>IF($B554&lt;&gt;"",INDEX(DataOB[],FirstRow+ROW()-7,MATCH(U$6,DataOB[#Headers],0)),"")</f>
        <v/>
      </c>
      <c r="V554" s="67" t="str">
        <f>IF($B554&lt;&gt;"",INDEX(DataOB[],FirstRow+ROW()-7,MATCH(V$6,DataOB[#Headers],0)),"")</f>
        <v/>
      </c>
      <c r="W554" s="67" t="str">
        <f>IF($B554&lt;&gt;"",INDEX(DataOB[],FirstRow+ROW()-7,MATCH(W$6,DataOB[#Headers],0)),"")</f>
        <v/>
      </c>
      <c r="X554" s="67" t="str">
        <f>IF($B554&lt;&gt;"",INDEX(DataOB[],FirstRow+ROW()-7,MATCH(X$6,DataOB[#Headers],0)),"")</f>
        <v/>
      </c>
      <c r="Y554" s="67" t="str">
        <f>IF($B554&lt;&gt;"",INDEX(DataOB[],FirstRow+ROW()-7,MATCH(Y$6,DataOB[#Headers],0)),"")</f>
        <v/>
      </c>
      <c r="Z554" s="67" t="str">
        <f>IF($B554&lt;&gt;"",INDEX(DataOB[],FirstRow+ROW()-7,MATCH(Z$6,DataOB[#Headers],0)),"")</f>
        <v/>
      </c>
      <c r="AA554" s="67" t="str">
        <f>IF($B554&lt;&gt;"",INDEX(DataOB[],FirstRow+ROW()-7,MATCH(AA$6,DataOB[#Headers],0)),"")</f>
        <v/>
      </c>
      <c r="AB554" s="67" t="str">
        <f>IF($B554&lt;&gt;"",INDEX(DataOB[],FirstRow+ROW()-7,MATCH(AB$6,DataOB[#Headers],0)),"")</f>
        <v/>
      </c>
      <c r="AC554" s="67" t="str">
        <f>IF($B554&lt;&gt;"",INDEX(DataOB[],FirstRow+ROW()-7,MATCH(AC$6,DataOB[#Headers],0)),"")</f>
        <v/>
      </c>
      <c r="AD554" s="67" t="str">
        <f>IF($B554&lt;&gt;"",INDEX(DataOB[],FirstRow+ROW()-7,MATCH(AD$6,DataOB[#Headers],0)),"")</f>
        <v/>
      </c>
      <c r="AE554" s="67" t="str">
        <f>IF($B554&lt;&gt;"",INDEX(DataOB[],FirstRow+ROW()-7,MATCH(AE$6,DataOB[#Headers],0)),"")</f>
        <v/>
      </c>
      <c r="AF554" s="26">
        <f t="shared" si="86"/>
        <v>0</v>
      </c>
      <c r="AG554" s="31">
        <f>SUM($T554:T554)</f>
        <v>0</v>
      </c>
      <c r="AH554" s="31">
        <f>SUM($T554:U554)</f>
        <v>0</v>
      </c>
      <c r="AI554" s="31">
        <f>SUM($T554:V554)</f>
        <v>0</v>
      </c>
      <c r="AJ554" s="31">
        <f>SUM($T554:W554)</f>
        <v>0</v>
      </c>
      <c r="AK554" s="31">
        <f>SUM($T554:X554)</f>
        <v>0</v>
      </c>
      <c r="AL554" s="31">
        <f>SUM($T554:Y554)</f>
        <v>0</v>
      </c>
      <c r="AM554" s="31">
        <f>SUM($T554:Z554)</f>
        <v>0</v>
      </c>
      <c r="AN554" s="31">
        <f>SUM($T554:AA554)</f>
        <v>0</v>
      </c>
      <c r="AO554" s="31">
        <f>SUM($T554:AB554)</f>
        <v>0</v>
      </c>
      <c r="AP554" s="31">
        <f>SUM($T554:AC554)</f>
        <v>0</v>
      </c>
      <c r="AQ554" s="31">
        <f>SUM($T554:AD554)</f>
        <v>0</v>
      </c>
      <c r="AR554" s="31">
        <f>SUM($T554:AE554)</f>
        <v>0</v>
      </c>
      <c r="AS554" s="27">
        <f t="shared" si="87"/>
        <v>0</v>
      </c>
    </row>
    <row r="555" spans="2:45">
      <c r="B555" s="102" t="str">
        <f>IF(ROW()-6&gt;NumCostCenter,"",IF(CostCenter&lt;&gt;"ALL",CostCenter,DATA_LF2!B553))</f>
        <v/>
      </c>
      <c r="C555" s="153" t="str">
        <f>IF($B555&lt;&gt;"",INDEX(DataOB[],FirstRow+ROW()-7,2),"")</f>
        <v/>
      </c>
      <c r="D555" s="66" t="str">
        <f>IF($B555&lt;&gt;"",INDEX(DataOB[],FirstRow+ROW()-7,3),"")</f>
        <v/>
      </c>
      <c r="E555" s="103" t="str">
        <f>IF($B555&lt;&gt;"",INDEX(DataOB[],FirstRow+ROW()-7,6),"")</f>
        <v/>
      </c>
      <c r="F555" s="103" t="str">
        <f>IF($B555&lt;&gt;"",INDEX(DataOB[],FirstRow+ROW()-7,5),"")</f>
        <v/>
      </c>
      <c r="G555" s="58">
        <f>IF($B555&lt;&gt;"",SUMIFS(DataAct_tbl[AMOUNT],DataAct_tbl[BG CODE],Detail!$D555,DataAct_tbl[MONTH],LEFT(MonthName,3),DataAct_tbl[Dept code],$B555),0)</f>
        <v>0</v>
      </c>
      <c r="H555" s="31" t="str">
        <f t="shared" si="79"/>
        <v/>
      </c>
      <c r="I555" s="28" t="str">
        <f t="shared" si="80"/>
        <v/>
      </c>
      <c r="J555" s="32" t="str">
        <f t="shared" si="81"/>
        <v/>
      </c>
      <c r="K555" s="86"/>
      <c r="L555" s="62">
        <f>IF($B555&lt;&gt;"",SUMIFS(DataAct_tbl[AMOUNT],DataAct_tbl[BG CODE],Detail!$D555,DataAct_tbl[Check Range],"=true",DataAct_tbl[Dept code],$B555),0)</f>
        <v>0</v>
      </c>
      <c r="M555" s="63">
        <f>INDEX($AG$7:$AR$1005,ROW()-6,MATCH(MTD,$AG$6:$AR$6,0))</f>
        <v>0</v>
      </c>
      <c r="N555" s="34">
        <f t="shared" si="82"/>
        <v>0</v>
      </c>
      <c r="O555" s="64" t="str">
        <f t="shared" si="83"/>
        <v xml:space="preserve"> </v>
      </c>
      <c r="Q555" s="97">
        <f t="shared" si="84"/>
        <v>0</v>
      </c>
      <c r="R555" s="96">
        <f t="shared" si="85"/>
        <v>0</v>
      </c>
      <c r="T555" s="67" t="str">
        <f>IF($B555&lt;&gt;"",INDEX(DataOB[],FirstRow+ROW()-7,MATCH(T$6,DataOB[#Headers],0)),"")</f>
        <v/>
      </c>
      <c r="U555" s="67" t="str">
        <f>IF($B555&lt;&gt;"",INDEX(DataOB[],FirstRow+ROW()-7,MATCH(U$6,DataOB[#Headers],0)),"")</f>
        <v/>
      </c>
      <c r="V555" s="67" t="str">
        <f>IF($B555&lt;&gt;"",INDEX(DataOB[],FirstRow+ROW()-7,MATCH(V$6,DataOB[#Headers],0)),"")</f>
        <v/>
      </c>
      <c r="W555" s="67" t="str">
        <f>IF($B555&lt;&gt;"",INDEX(DataOB[],FirstRow+ROW()-7,MATCH(W$6,DataOB[#Headers],0)),"")</f>
        <v/>
      </c>
      <c r="X555" s="67" t="str">
        <f>IF($B555&lt;&gt;"",INDEX(DataOB[],FirstRow+ROW()-7,MATCH(X$6,DataOB[#Headers],0)),"")</f>
        <v/>
      </c>
      <c r="Y555" s="67" t="str">
        <f>IF($B555&lt;&gt;"",INDEX(DataOB[],FirstRow+ROW()-7,MATCH(Y$6,DataOB[#Headers],0)),"")</f>
        <v/>
      </c>
      <c r="Z555" s="67" t="str">
        <f>IF($B555&lt;&gt;"",INDEX(DataOB[],FirstRow+ROW()-7,MATCH(Z$6,DataOB[#Headers],0)),"")</f>
        <v/>
      </c>
      <c r="AA555" s="67" t="str">
        <f>IF($B555&lt;&gt;"",INDEX(DataOB[],FirstRow+ROW()-7,MATCH(AA$6,DataOB[#Headers],0)),"")</f>
        <v/>
      </c>
      <c r="AB555" s="67" t="str">
        <f>IF($B555&lt;&gt;"",INDEX(DataOB[],FirstRow+ROW()-7,MATCH(AB$6,DataOB[#Headers],0)),"")</f>
        <v/>
      </c>
      <c r="AC555" s="67" t="str">
        <f>IF($B555&lt;&gt;"",INDEX(DataOB[],FirstRow+ROW()-7,MATCH(AC$6,DataOB[#Headers],0)),"")</f>
        <v/>
      </c>
      <c r="AD555" s="67" t="str">
        <f>IF($B555&lt;&gt;"",INDEX(DataOB[],FirstRow+ROW()-7,MATCH(AD$6,DataOB[#Headers],0)),"")</f>
        <v/>
      </c>
      <c r="AE555" s="67" t="str">
        <f>IF($B555&lt;&gt;"",INDEX(DataOB[],FirstRow+ROW()-7,MATCH(AE$6,DataOB[#Headers],0)),"")</f>
        <v/>
      </c>
      <c r="AF555" s="26">
        <f t="shared" si="86"/>
        <v>0</v>
      </c>
      <c r="AG555" s="31">
        <f>SUM($T555:T555)</f>
        <v>0</v>
      </c>
      <c r="AH555" s="31">
        <f>SUM($T555:U555)</f>
        <v>0</v>
      </c>
      <c r="AI555" s="31">
        <f>SUM($T555:V555)</f>
        <v>0</v>
      </c>
      <c r="AJ555" s="31">
        <f>SUM($T555:W555)</f>
        <v>0</v>
      </c>
      <c r="AK555" s="31">
        <f>SUM($T555:X555)</f>
        <v>0</v>
      </c>
      <c r="AL555" s="31">
        <f>SUM($T555:Y555)</f>
        <v>0</v>
      </c>
      <c r="AM555" s="31">
        <f>SUM($T555:Z555)</f>
        <v>0</v>
      </c>
      <c r="AN555" s="31">
        <f>SUM($T555:AA555)</f>
        <v>0</v>
      </c>
      <c r="AO555" s="31">
        <f>SUM($T555:AB555)</f>
        <v>0</v>
      </c>
      <c r="AP555" s="31">
        <f>SUM($T555:AC555)</f>
        <v>0</v>
      </c>
      <c r="AQ555" s="31">
        <f>SUM($T555:AD555)</f>
        <v>0</v>
      </c>
      <c r="AR555" s="31">
        <f>SUM($T555:AE555)</f>
        <v>0</v>
      </c>
      <c r="AS555" s="27">
        <f t="shared" si="87"/>
        <v>0</v>
      </c>
    </row>
    <row r="556" spans="2:45">
      <c r="B556" s="102" t="str">
        <f>IF(ROW()-6&gt;NumCostCenter,"",IF(CostCenter&lt;&gt;"ALL",CostCenter,DATA_LF2!B554))</f>
        <v/>
      </c>
      <c r="C556" s="153" t="str">
        <f>IF($B556&lt;&gt;"",INDEX(DataOB[],FirstRow+ROW()-7,2),"")</f>
        <v/>
      </c>
      <c r="D556" s="66" t="str">
        <f>IF($B556&lt;&gt;"",INDEX(DataOB[],FirstRow+ROW()-7,3),"")</f>
        <v/>
      </c>
      <c r="E556" s="103" t="str">
        <f>IF($B556&lt;&gt;"",INDEX(DataOB[],FirstRow+ROW()-7,6),"")</f>
        <v/>
      </c>
      <c r="F556" s="103" t="str">
        <f>IF($B556&lt;&gt;"",INDEX(DataOB[],FirstRow+ROW()-7,5),"")</f>
        <v/>
      </c>
      <c r="G556" s="58">
        <f>IF($B556&lt;&gt;"",SUMIFS(DataAct_tbl[AMOUNT],DataAct_tbl[BG CODE],Detail!$D556,DataAct_tbl[MONTH],LEFT(MonthName,3),DataAct_tbl[Dept code],$B556),0)</f>
        <v>0</v>
      </c>
      <c r="H556" s="31" t="str">
        <f t="shared" si="79"/>
        <v/>
      </c>
      <c r="I556" s="28" t="str">
        <f t="shared" si="80"/>
        <v/>
      </c>
      <c r="J556" s="32" t="str">
        <f t="shared" si="81"/>
        <v/>
      </c>
      <c r="K556" s="86"/>
      <c r="L556" s="62">
        <f>IF($B556&lt;&gt;"",SUMIFS(DataAct_tbl[AMOUNT],DataAct_tbl[BG CODE],Detail!$D556,DataAct_tbl[Check Range],"=true",DataAct_tbl[Dept code],$B556),0)</f>
        <v>0</v>
      </c>
      <c r="M556" s="63">
        <f>INDEX($AG$7:$AR$1005,ROW()-6,MATCH(MTD,$AG$6:$AR$6,0))</f>
        <v>0</v>
      </c>
      <c r="N556" s="34">
        <f t="shared" si="82"/>
        <v>0</v>
      </c>
      <c r="O556" s="64" t="str">
        <f t="shared" si="83"/>
        <v xml:space="preserve"> </v>
      </c>
      <c r="Q556" s="97">
        <f t="shared" si="84"/>
        <v>0</v>
      </c>
      <c r="R556" s="96">
        <f t="shared" si="85"/>
        <v>0</v>
      </c>
      <c r="T556" s="67" t="str">
        <f>IF($B556&lt;&gt;"",INDEX(DataOB[],FirstRow+ROW()-7,MATCH(T$6,DataOB[#Headers],0)),"")</f>
        <v/>
      </c>
      <c r="U556" s="67" t="str">
        <f>IF($B556&lt;&gt;"",INDEX(DataOB[],FirstRow+ROW()-7,MATCH(U$6,DataOB[#Headers],0)),"")</f>
        <v/>
      </c>
      <c r="V556" s="67" t="str">
        <f>IF($B556&lt;&gt;"",INDEX(DataOB[],FirstRow+ROW()-7,MATCH(V$6,DataOB[#Headers],0)),"")</f>
        <v/>
      </c>
      <c r="W556" s="67" t="str">
        <f>IF($B556&lt;&gt;"",INDEX(DataOB[],FirstRow+ROW()-7,MATCH(W$6,DataOB[#Headers],0)),"")</f>
        <v/>
      </c>
      <c r="X556" s="67" t="str">
        <f>IF($B556&lt;&gt;"",INDEX(DataOB[],FirstRow+ROW()-7,MATCH(X$6,DataOB[#Headers],0)),"")</f>
        <v/>
      </c>
      <c r="Y556" s="67" t="str">
        <f>IF($B556&lt;&gt;"",INDEX(DataOB[],FirstRow+ROW()-7,MATCH(Y$6,DataOB[#Headers],0)),"")</f>
        <v/>
      </c>
      <c r="Z556" s="67" t="str">
        <f>IF($B556&lt;&gt;"",INDEX(DataOB[],FirstRow+ROW()-7,MATCH(Z$6,DataOB[#Headers],0)),"")</f>
        <v/>
      </c>
      <c r="AA556" s="67" t="str">
        <f>IF($B556&lt;&gt;"",INDEX(DataOB[],FirstRow+ROW()-7,MATCH(AA$6,DataOB[#Headers],0)),"")</f>
        <v/>
      </c>
      <c r="AB556" s="67" t="str">
        <f>IF($B556&lt;&gt;"",INDEX(DataOB[],FirstRow+ROW()-7,MATCH(AB$6,DataOB[#Headers],0)),"")</f>
        <v/>
      </c>
      <c r="AC556" s="67" t="str">
        <f>IF($B556&lt;&gt;"",INDEX(DataOB[],FirstRow+ROW()-7,MATCH(AC$6,DataOB[#Headers],0)),"")</f>
        <v/>
      </c>
      <c r="AD556" s="67" t="str">
        <f>IF($B556&lt;&gt;"",INDEX(DataOB[],FirstRow+ROW()-7,MATCH(AD$6,DataOB[#Headers],0)),"")</f>
        <v/>
      </c>
      <c r="AE556" s="67" t="str">
        <f>IF($B556&lt;&gt;"",INDEX(DataOB[],FirstRow+ROW()-7,MATCH(AE$6,DataOB[#Headers],0)),"")</f>
        <v/>
      </c>
      <c r="AF556" s="26">
        <f t="shared" si="86"/>
        <v>0</v>
      </c>
      <c r="AG556" s="31">
        <f>SUM($T556:T556)</f>
        <v>0</v>
      </c>
      <c r="AH556" s="31">
        <f>SUM($T556:U556)</f>
        <v>0</v>
      </c>
      <c r="AI556" s="31">
        <f>SUM($T556:V556)</f>
        <v>0</v>
      </c>
      <c r="AJ556" s="31">
        <f>SUM($T556:W556)</f>
        <v>0</v>
      </c>
      <c r="AK556" s="31">
        <f>SUM($T556:X556)</f>
        <v>0</v>
      </c>
      <c r="AL556" s="31">
        <f>SUM($T556:Y556)</f>
        <v>0</v>
      </c>
      <c r="AM556" s="31">
        <f>SUM($T556:Z556)</f>
        <v>0</v>
      </c>
      <c r="AN556" s="31">
        <f>SUM($T556:AA556)</f>
        <v>0</v>
      </c>
      <c r="AO556" s="31">
        <f>SUM($T556:AB556)</f>
        <v>0</v>
      </c>
      <c r="AP556" s="31">
        <f>SUM($T556:AC556)</f>
        <v>0</v>
      </c>
      <c r="AQ556" s="31">
        <f>SUM($T556:AD556)</f>
        <v>0</v>
      </c>
      <c r="AR556" s="31">
        <f>SUM($T556:AE556)</f>
        <v>0</v>
      </c>
      <c r="AS556" s="27">
        <f t="shared" si="87"/>
        <v>0</v>
      </c>
    </row>
    <row r="557" spans="2:45">
      <c r="B557" s="102" t="str">
        <f>IF(ROW()-6&gt;NumCostCenter,"",IF(CostCenter&lt;&gt;"ALL",CostCenter,DATA_LF2!B555))</f>
        <v/>
      </c>
      <c r="C557" s="153" t="str">
        <f>IF($B557&lt;&gt;"",INDEX(DataOB[],FirstRow+ROW()-7,2),"")</f>
        <v/>
      </c>
      <c r="D557" s="66" t="str">
        <f>IF($B557&lt;&gt;"",INDEX(DataOB[],FirstRow+ROW()-7,3),"")</f>
        <v/>
      </c>
      <c r="E557" s="103" t="str">
        <f>IF($B557&lt;&gt;"",INDEX(DataOB[],FirstRow+ROW()-7,6),"")</f>
        <v/>
      </c>
      <c r="F557" s="103" t="str">
        <f>IF($B557&lt;&gt;"",INDEX(DataOB[],FirstRow+ROW()-7,5),"")</f>
        <v/>
      </c>
      <c r="G557" s="58">
        <f>IF($B557&lt;&gt;"",SUMIFS(DataAct_tbl[AMOUNT],DataAct_tbl[BG CODE],Detail!$D557,DataAct_tbl[MONTH],LEFT(MonthName,3),DataAct_tbl[Dept code],$B557),0)</f>
        <v>0</v>
      </c>
      <c r="H557" s="31" t="str">
        <f t="shared" si="79"/>
        <v/>
      </c>
      <c r="I557" s="28" t="str">
        <f t="shared" si="80"/>
        <v/>
      </c>
      <c r="J557" s="32" t="str">
        <f t="shared" si="81"/>
        <v/>
      </c>
      <c r="K557" s="86"/>
      <c r="L557" s="62">
        <f>IF($B557&lt;&gt;"",SUMIFS(DataAct_tbl[AMOUNT],DataAct_tbl[BG CODE],Detail!$D557,DataAct_tbl[Check Range],"=true",DataAct_tbl[Dept code],$B557),0)</f>
        <v>0</v>
      </c>
      <c r="M557" s="63">
        <f>INDEX($AG$7:$AR$1005,ROW()-6,MATCH(MTD,$AG$6:$AR$6,0))</f>
        <v>0</v>
      </c>
      <c r="N557" s="34">
        <f t="shared" si="82"/>
        <v>0</v>
      </c>
      <c r="O557" s="64" t="str">
        <f t="shared" si="83"/>
        <v xml:space="preserve"> </v>
      </c>
      <c r="Q557" s="97">
        <f t="shared" si="84"/>
        <v>0</v>
      </c>
      <c r="R557" s="96">
        <f t="shared" si="85"/>
        <v>0</v>
      </c>
      <c r="T557" s="67" t="str">
        <f>IF($B557&lt;&gt;"",INDEX(DataOB[],FirstRow+ROW()-7,MATCH(T$6,DataOB[#Headers],0)),"")</f>
        <v/>
      </c>
      <c r="U557" s="67" t="str">
        <f>IF($B557&lt;&gt;"",INDEX(DataOB[],FirstRow+ROW()-7,MATCH(U$6,DataOB[#Headers],0)),"")</f>
        <v/>
      </c>
      <c r="V557" s="67" t="str">
        <f>IF($B557&lt;&gt;"",INDEX(DataOB[],FirstRow+ROW()-7,MATCH(V$6,DataOB[#Headers],0)),"")</f>
        <v/>
      </c>
      <c r="W557" s="67" t="str">
        <f>IF($B557&lt;&gt;"",INDEX(DataOB[],FirstRow+ROW()-7,MATCH(W$6,DataOB[#Headers],0)),"")</f>
        <v/>
      </c>
      <c r="X557" s="67" t="str">
        <f>IF($B557&lt;&gt;"",INDEX(DataOB[],FirstRow+ROW()-7,MATCH(X$6,DataOB[#Headers],0)),"")</f>
        <v/>
      </c>
      <c r="Y557" s="67" t="str">
        <f>IF($B557&lt;&gt;"",INDEX(DataOB[],FirstRow+ROW()-7,MATCH(Y$6,DataOB[#Headers],0)),"")</f>
        <v/>
      </c>
      <c r="Z557" s="67" t="str">
        <f>IF($B557&lt;&gt;"",INDEX(DataOB[],FirstRow+ROW()-7,MATCH(Z$6,DataOB[#Headers],0)),"")</f>
        <v/>
      </c>
      <c r="AA557" s="67" t="str">
        <f>IF($B557&lt;&gt;"",INDEX(DataOB[],FirstRow+ROW()-7,MATCH(AA$6,DataOB[#Headers],0)),"")</f>
        <v/>
      </c>
      <c r="AB557" s="67" t="str">
        <f>IF($B557&lt;&gt;"",INDEX(DataOB[],FirstRow+ROW()-7,MATCH(AB$6,DataOB[#Headers],0)),"")</f>
        <v/>
      </c>
      <c r="AC557" s="67" t="str">
        <f>IF($B557&lt;&gt;"",INDEX(DataOB[],FirstRow+ROW()-7,MATCH(AC$6,DataOB[#Headers],0)),"")</f>
        <v/>
      </c>
      <c r="AD557" s="67" t="str">
        <f>IF($B557&lt;&gt;"",INDEX(DataOB[],FirstRow+ROW()-7,MATCH(AD$6,DataOB[#Headers],0)),"")</f>
        <v/>
      </c>
      <c r="AE557" s="67" t="str">
        <f>IF($B557&lt;&gt;"",INDEX(DataOB[],FirstRow+ROW()-7,MATCH(AE$6,DataOB[#Headers],0)),"")</f>
        <v/>
      </c>
      <c r="AF557" s="26">
        <f t="shared" si="86"/>
        <v>0</v>
      </c>
      <c r="AG557" s="31">
        <f>SUM($T557:T557)</f>
        <v>0</v>
      </c>
      <c r="AH557" s="31">
        <f>SUM($T557:U557)</f>
        <v>0</v>
      </c>
      <c r="AI557" s="31">
        <f>SUM($T557:V557)</f>
        <v>0</v>
      </c>
      <c r="AJ557" s="31">
        <f>SUM($T557:W557)</f>
        <v>0</v>
      </c>
      <c r="AK557" s="31">
        <f>SUM($T557:X557)</f>
        <v>0</v>
      </c>
      <c r="AL557" s="31">
        <f>SUM($T557:Y557)</f>
        <v>0</v>
      </c>
      <c r="AM557" s="31">
        <f>SUM($T557:Z557)</f>
        <v>0</v>
      </c>
      <c r="AN557" s="31">
        <f>SUM($T557:AA557)</f>
        <v>0</v>
      </c>
      <c r="AO557" s="31">
        <f>SUM($T557:AB557)</f>
        <v>0</v>
      </c>
      <c r="AP557" s="31">
        <f>SUM($T557:AC557)</f>
        <v>0</v>
      </c>
      <c r="AQ557" s="31">
        <f>SUM($T557:AD557)</f>
        <v>0</v>
      </c>
      <c r="AR557" s="31">
        <f>SUM($T557:AE557)</f>
        <v>0</v>
      </c>
      <c r="AS557" s="27">
        <f t="shared" si="87"/>
        <v>0</v>
      </c>
    </row>
    <row r="558" spans="2:45">
      <c r="B558" s="102" t="str">
        <f>IF(ROW()-6&gt;NumCostCenter,"",IF(CostCenter&lt;&gt;"ALL",CostCenter,DATA_LF2!B556))</f>
        <v/>
      </c>
      <c r="C558" s="153" t="str">
        <f>IF($B558&lt;&gt;"",INDEX(DataOB[],FirstRow+ROW()-7,2),"")</f>
        <v/>
      </c>
      <c r="D558" s="66" t="str">
        <f>IF($B558&lt;&gt;"",INDEX(DataOB[],FirstRow+ROW()-7,3),"")</f>
        <v/>
      </c>
      <c r="E558" s="103" t="str">
        <f>IF($B558&lt;&gt;"",INDEX(DataOB[],FirstRow+ROW()-7,6),"")</f>
        <v/>
      </c>
      <c r="F558" s="103" t="str">
        <f>IF($B558&lt;&gt;"",INDEX(DataOB[],FirstRow+ROW()-7,5),"")</f>
        <v/>
      </c>
      <c r="G558" s="58">
        <f>IF($B558&lt;&gt;"",SUMIFS(DataAct_tbl[AMOUNT],DataAct_tbl[BG CODE],Detail!$D558,DataAct_tbl[MONTH],LEFT(MonthName,3),DataAct_tbl[Dept code],$B558),0)</f>
        <v>0</v>
      </c>
      <c r="H558" s="31" t="str">
        <f t="shared" si="79"/>
        <v/>
      </c>
      <c r="I558" s="28" t="str">
        <f t="shared" si="80"/>
        <v/>
      </c>
      <c r="J558" s="32" t="str">
        <f t="shared" si="81"/>
        <v/>
      </c>
      <c r="K558" s="86"/>
      <c r="L558" s="62">
        <f>IF($B558&lt;&gt;"",SUMIFS(DataAct_tbl[AMOUNT],DataAct_tbl[BG CODE],Detail!$D558,DataAct_tbl[Check Range],"=true",DataAct_tbl[Dept code],$B558),0)</f>
        <v>0</v>
      </c>
      <c r="M558" s="63">
        <f>INDEX($AG$7:$AR$1005,ROW()-6,MATCH(MTD,$AG$6:$AR$6,0))</f>
        <v>0</v>
      </c>
      <c r="N558" s="34">
        <f t="shared" si="82"/>
        <v>0</v>
      </c>
      <c r="O558" s="64" t="str">
        <f t="shared" si="83"/>
        <v xml:space="preserve"> </v>
      </c>
      <c r="Q558" s="97">
        <f t="shared" si="84"/>
        <v>0</v>
      </c>
      <c r="R558" s="96">
        <f t="shared" si="85"/>
        <v>0</v>
      </c>
      <c r="T558" s="67" t="str">
        <f>IF($B558&lt;&gt;"",INDEX(DataOB[],FirstRow+ROW()-7,MATCH(T$6,DataOB[#Headers],0)),"")</f>
        <v/>
      </c>
      <c r="U558" s="67" t="str">
        <f>IF($B558&lt;&gt;"",INDEX(DataOB[],FirstRow+ROW()-7,MATCH(U$6,DataOB[#Headers],0)),"")</f>
        <v/>
      </c>
      <c r="V558" s="67" t="str">
        <f>IF($B558&lt;&gt;"",INDEX(DataOB[],FirstRow+ROW()-7,MATCH(V$6,DataOB[#Headers],0)),"")</f>
        <v/>
      </c>
      <c r="W558" s="67" t="str">
        <f>IF($B558&lt;&gt;"",INDEX(DataOB[],FirstRow+ROW()-7,MATCH(W$6,DataOB[#Headers],0)),"")</f>
        <v/>
      </c>
      <c r="X558" s="67" t="str">
        <f>IF($B558&lt;&gt;"",INDEX(DataOB[],FirstRow+ROW()-7,MATCH(X$6,DataOB[#Headers],0)),"")</f>
        <v/>
      </c>
      <c r="Y558" s="67" t="str">
        <f>IF($B558&lt;&gt;"",INDEX(DataOB[],FirstRow+ROW()-7,MATCH(Y$6,DataOB[#Headers],0)),"")</f>
        <v/>
      </c>
      <c r="Z558" s="67" t="str">
        <f>IF($B558&lt;&gt;"",INDEX(DataOB[],FirstRow+ROW()-7,MATCH(Z$6,DataOB[#Headers],0)),"")</f>
        <v/>
      </c>
      <c r="AA558" s="67" t="str">
        <f>IF($B558&lt;&gt;"",INDEX(DataOB[],FirstRow+ROW()-7,MATCH(AA$6,DataOB[#Headers],0)),"")</f>
        <v/>
      </c>
      <c r="AB558" s="67" t="str">
        <f>IF($B558&lt;&gt;"",INDEX(DataOB[],FirstRow+ROW()-7,MATCH(AB$6,DataOB[#Headers],0)),"")</f>
        <v/>
      </c>
      <c r="AC558" s="67" t="str">
        <f>IF($B558&lt;&gt;"",INDEX(DataOB[],FirstRow+ROW()-7,MATCH(AC$6,DataOB[#Headers],0)),"")</f>
        <v/>
      </c>
      <c r="AD558" s="67" t="str">
        <f>IF($B558&lt;&gt;"",INDEX(DataOB[],FirstRow+ROW()-7,MATCH(AD$6,DataOB[#Headers],0)),"")</f>
        <v/>
      </c>
      <c r="AE558" s="67" t="str">
        <f>IF($B558&lt;&gt;"",INDEX(DataOB[],FirstRow+ROW()-7,MATCH(AE$6,DataOB[#Headers],0)),"")</f>
        <v/>
      </c>
      <c r="AF558" s="26">
        <f t="shared" si="86"/>
        <v>0</v>
      </c>
      <c r="AG558" s="31">
        <f>SUM($T558:T558)</f>
        <v>0</v>
      </c>
      <c r="AH558" s="31">
        <f>SUM($T558:U558)</f>
        <v>0</v>
      </c>
      <c r="AI558" s="31">
        <f>SUM($T558:V558)</f>
        <v>0</v>
      </c>
      <c r="AJ558" s="31">
        <f>SUM($T558:W558)</f>
        <v>0</v>
      </c>
      <c r="AK558" s="31">
        <f>SUM($T558:X558)</f>
        <v>0</v>
      </c>
      <c r="AL558" s="31">
        <f>SUM($T558:Y558)</f>
        <v>0</v>
      </c>
      <c r="AM558" s="31">
        <f>SUM($T558:Z558)</f>
        <v>0</v>
      </c>
      <c r="AN558" s="31">
        <f>SUM($T558:AA558)</f>
        <v>0</v>
      </c>
      <c r="AO558" s="31">
        <f>SUM($T558:AB558)</f>
        <v>0</v>
      </c>
      <c r="AP558" s="31">
        <f>SUM($T558:AC558)</f>
        <v>0</v>
      </c>
      <c r="AQ558" s="31">
        <f>SUM($T558:AD558)</f>
        <v>0</v>
      </c>
      <c r="AR558" s="31">
        <f>SUM($T558:AE558)</f>
        <v>0</v>
      </c>
      <c r="AS558" s="27">
        <f t="shared" si="87"/>
        <v>0</v>
      </c>
    </row>
    <row r="559" spans="2:45">
      <c r="B559" s="102" t="str">
        <f>IF(ROW()-6&gt;NumCostCenter,"",IF(CostCenter&lt;&gt;"ALL",CostCenter,DATA_LF2!B557))</f>
        <v/>
      </c>
      <c r="C559" s="153" t="str">
        <f>IF($B559&lt;&gt;"",INDEX(DataOB[],FirstRow+ROW()-7,2),"")</f>
        <v/>
      </c>
      <c r="D559" s="66" t="str">
        <f>IF($B559&lt;&gt;"",INDEX(DataOB[],FirstRow+ROW()-7,3),"")</f>
        <v/>
      </c>
      <c r="E559" s="103" t="str">
        <f>IF($B559&lt;&gt;"",INDEX(DataOB[],FirstRow+ROW()-7,6),"")</f>
        <v/>
      </c>
      <c r="F559" s="103" t="str">
        <f>IF($B559&lt;&gt;"",INDEX(DataOB[],FirstRow+ROW()-7,5),"")</f>
        <v/>
      </c>
      <c r="G559" s="58">
        <f>IF($B559&lt;&gt;"",SUMIFS(DataAct_tbl[AMOUNT],DataAct_tbl[BG CODE],Detail!$D559,DataAct_tbl[MONTH],LEFT(MonthName,3),DataAct_tbl[Dept code],$B559),0)</f>
        <v>0</v>
      </c>
      <c r="H559" s="31" t="str">
        <f t="shared" si="79"/>
        <v/>
      </c>
      <c r="I559" s="28" t="str">
        <f t="shared" si="80"/>
        <v/>
      </c>
      <c r="J559" s="32" t="str">
        <f t="shared" si="81"/>
        <v/>
      </c>
      <c r="K559" s="86"/>
      <c r="L559" s="62">
        <f>IF($B559&lt;&gt;"",SUMIFS(DataAct_tbl[AMOUNT],DataAct_tbl[BG CODE],Detail!$D559,DataAct_tbl[Check Range],"=true",DataAct_tbl[Dept code],$B559),0)</f>
        <v>0</v>
      </c>
      <c r="M559" s="63">
        <f>INDEX($AG$7:$AR$1005,ROW()-6,MATCH(MTD,$AG$6:$AR$6,0))</f>
        <v>0</v>
      </c>
      <c r="N559" s="34">
        <f t="shared" si="82"/>
        <v>0</v>
      </c>
      <c r="O559" s="64" t="str">
        <f t="shared" si="83"/>
        <v xml:space="preserve"> </v>
      </c>
      <c r="Q559" s="97">
        <f t="shared" si="84"/>
        <v>0</v>
      </c>
      <c r="R559" s="96">
        <f t="shared" si="85"/>
        <v>0</v>
      </c>
      <c r="T559" s="67" t="str">
        <f>IF($B559&lt;&gt;"",INDEX(DataOB[],FirstRow+ROW()-7,MATCH(T$6,DataOB[#Headers],0)),"")</f>
        <v/>
      </c>
      <c r="U559" s="67" t="str">
        <f>IF($B559&lt;&gt;"",INDEX(DataOB[],FirstRow+ROW()-7,MATCH(U$6,DataOB[#Headers],0)),"")</f>
        <v/>
      </c>
      <c r="V559" s="67" t="str">
        <f>IF($B559&lt;&gt;"",INDEX(DataOB[],FirstRow+ROW()-7,MATCH(V$6,DataOB[#Headers],0)),"")</f>
        <v/>
      </c>
      <c r="W559" s="67" t="str">
        <f>IF($B559&lt;&gt;"",INDEX(DataOB[],FirstRow+ROW()-7,MATCH(W$6,DataOB[#Headers],0)),"")</f>
        <v/>
      </c>
      <c r="X559" s="67" t="str">
        <f>IF($B559&lt;&gt;"",INDEX(DataOB[],FirstRow+ROW()-7,MATCH(X$6,DataOB[#Headers],0)),"")</f>
        <v/>
      </c>
      <c r="Y559" s="67" t="str">
        <f>IF($B559&lt;&gt;"",INDEX(DataOB[],FirstRow+ROW()-7,MATCH(Y$6,DataOB[#Headers],0)),"")</f>
        <v/>
      </c>
      <c r="Z559" s="67" t="str">
        <f>IF($B559&lt;&gt;"",INDEX(DataOB[],FirstRow+ROW()-7,MATCH(Z$6,DataOB[#Headers],0)),"")</f>
        <v/>
      </c>
      <c r="AA559" s="67" t="str">
        <f>IF($B559&lt;&gt;"",INDEX(DataOB[],FirstRow+ROW()-7,MATCH(AA$6,DataOB[#Headers],0)),"")</f>
        <v/>
      </c>
      <c r="AB559" s="67" t="str">
        <f>IF($B559&lt;&gt;"",INDEX(DataOB[],FirstRow+ROW()-7,MATCH(AB$6,DataOB[#Headers],0)),"")</f>
        <v/>
      </c>
      <c r="AC559" s="67" t="str">
        <f>IF($B559&lt;&gt;"",INDEX(DataOB[],FirstRow+ROW()-7,MATCH(AC$6,DataOB[#Headers],0)),"")</f>
        <v/>
      </c>
      <c r="AD559" s="67" t="str">
        <f>IF($B559&lt;&gt;"",INDEX(DataOB[],FirstRow+ROW()-7,MATCH(AD$6,DataOB[#Headers],0)),"")</f>
        <v/>
      </c>
      <c r="AE559" s="67" t="str">
        <f>IF($B559&lt;&gt;"",INDEX(DataOB[],FirstRow+ROW()-7,MATCH(AE$6,DataOB[#Headers],0)),"")</f>
        <v/>
      </c>
      <c r="AF559" s="26">
        <f t="shared" si="86"/>
        <v>0</v>
      </c>
      <c r="AG559" s="31">
        <f>SUM($T559:T559)</f>
        <v>0</v>
      </c>
      <c r="AH559" s="31">
        <f>SUM($T559:U559)</f>
        <v>0</v>
      </c>
      <c r="AI559" s="31">
        <f>SUM($T559:V559)</f>
        <v>0</v>
      </c>
      <c r="AJ559" s="31">
        <f>SUM($T559:W559)</f>
        <v>0</v>
      </c>
      <c r="AK559" s="31">
        <f>SUM($T559:X559)</f>
        <v>0</v>
      </c>
      <c r="AL559" s="31">
        <f>SUM($T559:Y559)</f>
        <v>0</v>
      </c>
      <c r="AM559" s="31">
        <f>SUM($T559:Z559)</f>
        <v>0</v>
      </c>
      <c r="AN559" s="31">
        <f>SUM($T559:AA559)</f>
        <v>0</v>
      </c>
      <c r="AO559" s="31">
        <f>SUM($T559:AB559)</f>
        <v>0</v>
      </c>
      <c r="AP559" s="31">
        <f>SUM($T559:AC559)</f>
        <v>0</v>
      </c>
      <c r="AQ559" s="31">
        <f>SUM($T559:AD559)</f>
        <v>0</v>
      </c>
      <c r="AR559" s="31">
        <f>SUM($T559:AE559)</f>
        <v>0</v>
      </c>
      <c r="AS559" s="27">
        <f t="shared" si="87"/>
        <v>0</v>
      </c>
    </row>
    <row r="560" spans="2:45">
      <c r="B560" s="102" t="str">
        <f>IF(ROW()-6&gt;NumCostCenter,"",IF(CostCenter&lt;&gt;"ALL",CostCenter,DATA_LF2!B558))</f>
        <v/>
      </c>
      <c r="C560" s="153" t="str">
        <f>IF($B560&lt;&gt;"",INDEX(DataOB[],FirstRow+ROW()-7,2),"")</f>
        <v/>
      </c>
      <c r="D560" s="66" t="str">
        <f>IF($B560&lt;&gt;"",INDEX(DataOB[],FirstRow+ROW()-7,3),"")</f>
        <v/>
      </c>
      <c r="E560" s="103" t="str">
        <f>IF($B560&lt;&gt;"",INDEX(DataOB[],FirstRow+ROW()-7,6),"")</f>
        <v/>
      </c>
      <c r="F560" s="103" t="str">
        <f>IF($B560&lt;&gt;"",INDEX(DataOB[],FirstRow+ROW()-7,5),"")</f>
        <v/>
      </c>
      <c r="G560" s="58">
        <f>IF($B560&lt;&gt;"",SUMIFS(DataAct_tbl[AMOUNT],DataAct_tbl[BG CODE],Detail!$D560,DataAct_tbl[MONTH],LEFT(MonthName,3),DataAct_tbl[Dept code],$B560),0)</f>
        <v>0</v>
      </c>
      <c r="H560" s="31" t="str">
        <f t="shared" si="79"/>
        <v/>
      </c>
      <c r="I560" s="28" t="str">
        <f t="shared" si="80"/>
        <v/>
      </c>
      <c r="J560" s="32" t="str">
        <f t="shared" si="81"/>
        <v/>
      </c>
      <c r="K560" s="86"/>
      <c r="L560" s="62">
        <f>IF($B560&lt;&gt;"",SUMIFS(DataAct_tbl[AMOUNT],DataAct_tbl[BG CODE],Detail!$D560,DataAct_tbl[Check Range],"=true",DataAct_tbl[Dept code],$B560),0)</f>
        <v>0</v>
      </c>
      <c r="M560" s="63">
        <f>INDEX($AG$7:$AR$1005,ROW()-6,MATCH(MTD,$AG$6:$AR$6,0))</f>
        <v>0</v>
      </c>
      <c r="N560" s="34">
        <f t="shared" si="82"/>
        <v>0</v>
      </c>
      <c r="O560" s="64" t="str">
        <f t="shared" si="83"/>
        <v xml:space="preserve"> </v>
      </c>
      <c r="Q560" s="97">
        <f t="shared" si="84"/>
        <v>0</v>
      </c>
      <c r="R560" s="96">
        <f t="shared" si="85"/>
        <v>0</v>
      </c>
      <c r="T560" s="67" t="str">
        <f>IF($B560&lt;&gt;"",INDEX(DataOB[],FirstRow+ROW()-7,MATCH(T$6,DataOB[#Headers],0)),"")</f>
        <v/>
      </c>
      <c r="U560" s="67" t="str">
        <f>IF($B560&lt;&gt;"",INDEX(DataOB[],FirstRow+ROW()-7,MATCH(U$6,DataOB[#Headers],0)),"")</f>
        <v/>
      </c>
      <c r="V560" s="67" t="str">
        <f>IF($B560&lt;&gt;"",INDEX(DataOB[],FirstRow+ROW()-7,MATCH(V$6,DataOB[#Headers],0)),"")</f>
        <v/>
      </c>
      <c r="W560" s="67" t="str">
        <f>IF($B560&lt;&gt;"",INDEX(DataOB[],FirstRow+ROW()-7,MATCH(W$6,DataOB[#Headers],0)),"")</f>
        <v/>
      </c>
      <c r="X560" s="67" t="str">
        <f>IF($B560&lt;&gt;"",INDEX(DataOB[],FirstRow+ROW()-7,MATCH(X$6,DataOB[#Headers],0)),"")</f>
        <v/>
      </c>
      <c r="Y560" s="67" t="str">
        <f>IF($B560&lt;&gt;"",INDEX(DataOB[],FirstRow+ROW()-7,MATCH(Y$6,DataOB[#Headers],0)),"")</f>
        <v/>
      </c>
      <c r="Z560" s="67" t="str">
        <f>IF($B560&lt;&gt;"",INDEX(DataOB[],FirstRow+ROW()-7,MATCH(Z$6,DataOB[#Headers],0)),"")</f>
        <v/>
      </c>
      <c r="AA560" s="67" t="str">
        <f>IF($B560&lt;&gt;"",INDEX(DataOB[],FirstRow+ROW()-7,MATCH(AA$6,DataOB[#Headers],0)),"")</f>
        <v/>
      </c>
      <c r="AB560" s="67" t="str">
        <f>IF($B560&lt;&gt;"",INDEX(DataOB[],FirstRow+ROW()-7,MATCH(AB$6,DataOB[#Headers],0)),"")</f>
        <v/>
      </c>
      <c r="AC560" s="67" t="str">
        <f>IF($B560&lt;&gt;"",INDEX(DataOB[],FirstRow+ROW()-7,MATCH(AC$6,DataOB[#Headers],0)),"")</f>
        <v/>
      </c>
      <c r="AD560" s="67" t="str">
        <f>IF($B560&lt;&gt;"",INDEX(DataOB[],FirstRow+ROW()-7,MATCH(AD$6,DataOB[#Headers],0)),"")</f>
        <v/>
      </c>
      <c r="AE560" s="67" t="str">
        <f>IF($B560&lt;&gt;"",INDEX(DataOB[],FirstRow+ROW()-7,MATCH(AE$6,DataOB[#Headers],0)),"")</f>
        <v/>
      </c>
      <c r="AF560" s="26">
        <f t="shared" si="86"/>
        <v>0</v>
      </c>
      <c r="AG560" s="31">
        <f>SUM($T560:T560)</f>
        <v>0</v>
      </c>
      <c r="AH560" s="31">
        <f>SUM($T560:U560)</f>
        <v>0</v>
      </c>
      <c r="AI560" s="31">
        <f>SUM($T560:V560)</f>
        <v>0</v>
      </c>
      <c r="AJ560" s="31">
        <f>SUM($T560:W560)</f>
        <v>0</v>
      </c>
      <c r="AK560" s="31">
        <f>SUM($T560:X560)</f>
        <v>0</v>
      </c>
      <c r="AL560" s="31">
        <f>SUM($T560:Y560)</f>
        <v>0</v>
      </c>
      <c r="AM560" s="31">
        <f>SUM($T560:Z560)</f>
        <v>0</v>
      </c>
      <c r="AN560" s="31">
        <f>SUM($T560:AA560)</f>
        <v>0</v>
      </c>
      <c r="AO560" s="31">
        <f>SUM($T560:AB560)</f>
        <v>0</v>
      </c>
      <c r="AP560" s="31">
        <f>SUM($T560:AC560)</f>
        <v>0</v>
      </c>
      <c r="AQ560" s="31">
        <f>SUM($T560:AD560)</f>
        <v>0</v>
      </c>
      <c r="AR560" s="31">
        <f>SUM($T560:AE560)</f>
        <v>0</v>
      </c>
      <c r="AS560" s="27">
        <f t="shared" si="87"/>
        <v>0</v>
      </c>
    </row>
    <row r="561" spans="2:45">
      <c r="B561" s="102" t="str">
        <f>IF(ROW()-6&gt;NumCostCenter,"",IF(CostCenter&lt;&gt;"ALL",CostCenter,DATA_LF2!B559))</f>
        <v/>
      </c>
      <c r="C561" s="153" t="str">
        <f>IF($B561&lt;&gt;"",INDEX(DataOB[],FirstRow+ROW()-7,2),"")</f>
        <v/>
      </c>
      <c r="D561" s="66" t="str">
        <f>IF($B561&lt;&gt;"",INDEX(DataOB[],FirstRow+ROW()-7,3),"")</f>
        <v/>
      </c>
      <c r="E561" s="103" t="str">
        <f>IF($B561&lt;&gt;"",INDEX(DataOB[],FirstRow+ROW()-7,6),"")</f>
        <v/>
      </c>
      <c r="F561" s="103" t="str">
        <f>IF($B561&lt;&gt;"",INDEX(DataOB[],FirstRow+ROW()-7,5),"")</f>
        <v/>
      </c>
      <c r="G561" s="58">
        <f>IF($B561&lt;&gt;"",SUMIFS(DataAct_tbl[AMOUNT],DataAct_tbl[BG CODE],Detail!$D561,DataAct_tbl[MONTH],LEFT(MonthName,3),DataAct_tbl[Dept code],$B561),0)</f>
        <v>0</v>
      </c>
      <c r="H561" s="31" t="str">
        <f t="shared" si="79"/>
        <v/>
      </c>
      <c r="I561" s="28" t="str">
        <f t="shared" si="80"/>
        <v/>
      </c>
      <c r="J561" s="32" t="str">
        <f t="shared" si="81"/>
        <v/>
      </c>
      <c r="K561" s="86"/>
      <c r="L561" s="62">
        <f>IF($B561&lt;&gt;"",SUMIFS(DataAct_tbl[AMOUNT],DataAct_tbl[BG CODE],Detail!$D561,DataAct_tbl[Check Range],"=true",DataAct_tbl[Dept code],$B561),0)</f>
        <v>0</v>
      </c>
      <c r="M561" s="63">
        <f>INDEX($AG$7:$AR$1005,ROW()-6,MATCH(MTD,$AG$6:$AR$6,0))</f>
        <v>0</v>
      </c>
      <c r="N561" s="34">
        <f t="shared" si="82"/>
        <v>0</v>
      </c>
      <c r="O561" s="64" t="str">
        <f t="shared" si="83"/>
        <v xml:space="preserve"> </v>
      </c>
      <c r="Q561" s="97">
        <f t="shared" si="84"/>
        <v>0</v>
      </c>
      <c r="R561" s="96">
        <f t="shared" si="85"/>
        <v>0</v>
      </c>
      <c r="T561" s="67" t="str">
        <f>IF($B561&lt;&gt;"",INDEX(DataOB[],FirstRow+ROW()-7,MATCH(T$6,DataOB[#Headers],0)),"")</f>
        <v/>
      </c>
      <c r="U561" s="67" t="str">
        <f>IF($B561&lt;&gt;"",INDEX(DataOB[],FirstRow+ROW()-7,MATCH(U$6,DataOB[#Headers],0)),"")</f>
        <v/>
      </c>
      <c r="V561" s="67" t="str">
        <f>IF($B561&lt;&gt;"",INDEX(DataOB[],FirstRow+ROW()-7,MATCH(V$6,DataOB[#Headers],0)),"")</f>
        <v/>
      </c>
      <c r="W561" s="67" t="str">
        <f>IF($B561&lt;&gt;"",INDEX(DataOB[],FirstRow+ROW()-7,MATCH(W$6,DataOB[#Headers],0)),"")</f>
        <v/>
      </c>
      <c r="X561" s="67" t="str">
        <f>IF($B561&lt;&gt;"",INDEX(DataOB[],FirstRow+ROW()-7,MATCH(X$6,DataOB[#Headers],0)),"")</f>
        <v/>
      </c>
      <c r="Y561" s="67" t="str">
        <f>IF($B561&lt;&gt;"",INDEX(DataOB[],FirstRow+ROW()-7,MATCH(Y$6,DataOB[#Headers],0)),"")</f>
        <v/>
      </c>
      <c r="Z561" s="67" t="str">
        <f>IF($B561&lt;&gt;"",INDEX(DataOB[],FirstRow+ROW()-7,MATCH(Z$6,DataOB[#Headers],0)),"")</f>
        <v/>
      </c>
      <c r="AA561" s="67" t="str">
        <f>IF($B561&lt;&gt;"",INDEX(DataOB[],FirstRow+ROW()-7,MATCH(AA$6,DataOB[#Headers],0)),"")</f>
        <v/>
      </c>
      <c r="AB561" s="67" t="str">
        <f>IF($B561&lt;&gt;"",INDEX(DataOB[],FirstRow+ROW()-7,MATCH(AB$6,DataOB[#Headers],0)),"")</f>
        <v/>
      </c>
      <c r="AC561" s="67" t="str">
        <f>IF($B561&lt;&gt;"",INDEX(DataOB[],FirstRow+ROW()-7,MATCH(AC$6,DataOB[#Headers],0)),"")</f>
        <v/>
      </c>
      <c r="AD561" s="67" t="str">
        <f>IF($B561&lt;&gt;"",INDEX(DataOB[],FirstRow+ROW()-7,MATCH(AD$6,DataOB[#Headers],0)),"")</f>
        <v/>
      </c>
      <c r="AE561" s="67" t="str">
        <f>IF($B561&lt;&gt;"",INDEX(DataOB[],FirstRow+ROW()-7,MATCH(AE$6,DataOB[#Headers],0)),"")</f>
        <v/>
      </c>
      <c r="AF561" s="26">
        <f t="shared" si="86"/>
        <v>0</v>
      </c>
      <c r="AG561" s="31">
        <f>SUM($T561:T561)</f>
        <v>0</v>
      </c>
      <c r="AH561" s="31">
        <f>SUM($T561:U561)</f>
        <v>0</v>
      </c>
      <c r="AI561" s="31">
        <f>SUM($T561:V561)</f>
        <v>0</v>
      </c>
      <c r="AJ561" s="31">
        <f>SUM($T561:W561)</f>
        <v>0</v>
      </c>
      <c r="AK561" s="31">
        <f>SUM($T561:X561)</f>
        <v>0</v>
      </c>
      <c r="AL561" s="31">
        <f>SUM($T561:Y561)</f>
        <v>0</v>
      </c>
      <c r="AM561" s="31">
        <f>SUM($T561:Z561)</f>
        <v>0</v>
      </c>
      <c r="AN561" s="31">
        <f>SUM($T561:AA561)</f>
        <v>0</v>
      </c>
      <c r="AO561" s="31">
        <f>SUM($T561:AB561)</f>
        <v>0</v>
      </c>
      <c r="AP561" s="31">
        <f>SUM($T561:AC561)</f>
        <v>0</v>
      </c>
      <c r="AQ561" s="31">
        <f>SUM($T561:AD561)</f>
        <v>0</v>
      </c>
      <c r="AR561" s="31">
        <f>SUM($T561:AE561)</f>
        <v>0</v>
      </c>
      <c r="AS561" s="27">
        <f t="shared" si="87"/>
        <v>0</v>
      </c>
    </row>
    <row r="562" spans="2:45">
      <c r="B562" s="102" t="str">
        <f>IF(ROW()-6&gt;NumCostCenter,"",IF(CostCenter&lt;&gt;"ALL",CostCenter,DATA_LF2!B560))</f>
        <v/>
      </c>
      <c r="C562" s="153" t="str">
        <f>IF($B562&lt;&gt;"",INDEX(DataOB[],FirstRow+ROW()-7,2),"")</f>
        <v/>
      </c>
      <c r="D562" s="66" t="str">
        <f>IF($B562&lt;&gt;"",INDEX(DataOB[],FirstRow+ROW()-7,3),"")</f>
        <v/>
      </c>
      <c r="E562" s="103" t="str">
        <f>IF($B562&lt;&gt;"",INDEX(DataOB[],FirstRow+ROW()-7,6),"")</f>
        <v/>
      </c>
      <c r="F562" s="103" t="str">
        <f>IF($B562&lt;&gt;"",INDEX(DataOB[],FirstRow+ROW()-7,5),"")</f>
        <v/>
      </c>
      <c r="G562" s="58">
        <f>IF($B562&lt;&gt;"",SUMIFS(DataAct_tbl[AMOUNT],DataAct_tbl[BG CODE],Detail!$D562,DataAct_tbl[MONTH],LEFT(MonthName,3),DataAct_tbl[Dept code],$B562),0)</f>
        <v>0</v>
      </c>
      <c r="H562" s="31" t="str">
        <f t="shared" si="79"/>
        <v/>
      </c>
      <c r="I562" s="28" t="str">
        <f t="shared" si="80"/>
        <v/>
      </c>
      <c r="J562" s="32" t="str">
        <f t="shared" si="81"/>
        <v/>
      </c>
      <c r="K562" s="86"/>
      <c r="L562" s="62">
        <f>IF($B562&lt;&gt;"",SUMIFS(DataAct_tbl[AMOUNT],DataAct_tbl[BG CODE],Detail!$D562,DataAct_tbl[Check Range],"=true",DataAct_tbl[Dept code],$B562),0)</f>
        <v>0</v>
      </c>
      <c r="M562" s="63">
        <f>INDEX($AG$7:$AR$1005,ROW()-6,MATCH(MTD,$AG$6:$AR$6,0))</f>
        <v>0</v>
      </c>
      <c r="N562" s="34">
        <f t="shared" si="82"/>
        <v>0</v>
      </c>
      <c r="O562" s="64" t="str">
        <f t="shared" si="83"/>
        <v xml:space="preserve"> </v>
      </c>
      <c r="Q562" s="97">
        <f t="shared" si="84"/>
        <v>0</v>
      </c>
      <c r="R562" s="96">
        <f t="shared" si="85"/>
        <v>0</v>
      </c>
      <c r="T562" s="67" t="str">
        <f>IF($B562&lt;&gt;"",INDEX(DataOB[],FirstRow+ROW()-7,MATCH(T$6,DataOB[#Headers],0)),"")</f>
        <v/>
      </c>
      <c r="U562" s="67" t="str">
        <f>IF($B562&lt;&gt;"",INDEX(DataOB[],FirstRow+ROW()-7,MATCH(U$6,DataOB[#Headers],0)),"")</f>
        <v/>
      </c>
      <c r="V562" s="67" t="str">
        <f>IF($B562&lt;&gt;"",INDEX(DataOB[],FirstRow+ROW()-7,MATCH(V$6,DataOB[#Headers],0)),"")</f>
        <v/>
      </c>
      <c r="W562" s="67" t="str">
        <f>IF($B562&lt;&gt;"",INDEX(DataOB[],FirstRow+ROW()-7,MATCH(W$6,DataOB[#Headers],0)),"")</f>
        <v/>
      </c>
      <c r="X562" s="67" t="str">
        <f>IF($B562&lt;&gt;"",INDEX(DataOB[],FirstRow+ROW()-7,MATCH(X$6,DataOB[#Headers],0)),"")</f>
        <v/>
      </c>
      <c r="Y562" s="67" t="str">
        <f>IF($B562&lt;&gt;"",INDEX(DataOB[],FirstRow+ROW()-7,MATCH(Y$6,DataOB[#Headers],0)),"")</f>
        <v/>
      </c>
      <c r="Z562" s="67" t="str">
        <f>IF($B562&lt;&gt;"",INDEX(DataOB[],FirstRow+ROW()-7,MATCH(Z$6,DataOB[#Headers],0)),"")</f>
        <v/>
      </c>
      <c r="AA562" s="67" t="str">
        <f>IF($B562&lt;&gt;"",INDEX(DataOB[],FirstRow+ROW()-7,MATCH(AA$6,DataOB[#Headers],0)),"")</f>
        <v/>
      </c>
      <c r="AB562" s="67" t="str">
        <f>IF($B562&lt;&gt;"",INDEX(DataOB[],FirstRow+ROW()-7,MATCH(AB$6,DataOB[#Headers],0)),"")</f>
        <v/>
      </c>
      <c r="AC562" s="67" t="str">
        <f>IF($B562&lt;&gt;"",INDEX(DataOB[],FirstRow+ROW()-7,MATCH(AC$6,DataOB[#Headers],0)),"")</f>
        <v/>
      </c>
      <c r="AD562" s="67" t="str">
        <f>IF($B562&lt;&gt;"",INDEX(DataOB[],FirstRow+ROW()-7,MATCH(AD$6,DataOB[#Headers],0)),"")</f>
        <v/>
      </c>
      <c r="AE562" s="67" t="str">
        <f>IF($B562&lt;&gt;"",INDEX(DataOB[],FirstRow+ROW()-7,MATCH(AE$6,DataOB[#Headers],0)),"")</f>
        <v/>
      </c>
      <c r="AF562" s="26">
        <f t="shared" si="86"/>
        <v>0</v>
      </c>
      <c r="AG562" s="31">
        <f>SUM($T562:T562)</f>
        <v>0</v>
      </c>
      <c r="AH562" s="31">
        <f>SUM($T562:U562)</f>
        <v>0</v>
      </c>
      <c r="AI562" s="31">
        <f>SUM($T562:V562)</f>
        <v>0</v>
      </c>
      <c r="AJ562" s="31">
        <f>SUM($T562:W562)</f>
        <v>0</v>
      </c>
      <c r="AK562" s="31">
        <f>SUM($T562:X562)</f>
        <v>0</v>
      </c>
      <c r="AL562" s="31">
        <f>SUM($T562:Y562)</f>
        <v>0</v>
      </c>
      <c r="AM562" s="31">
        <f>SUM($T562:Z562)</f>
        <v>0</v>
      </c>
      <c r="AN562" s="31">
        <f>SUM($T562:AA562)</f>
        <v>0</v>
      </c>
      <c r="AO562" s="31">
        <f>SUM($T562:AB562)</f>
        <v>0</v>
      </c>
      <c r="AP562" s="31">
        <f>SUM($T562:AC562)</f>
        <v>0</v>
      </c>
      <c r="AQ562" s="31">
        <f>SUM($T562:AD562)</f>
        <v>0</v>
      </c>
      <c r="AR562" s="31">
        <f>SUM($T562:AE562)</f>
        <v>0</v>
      </c>
      <c r="AS562" s="27">
        <f t="shared" si="87"/>
        <v>0</v>
      </c>
    </row>
    <row r="563" spans="2:45">
      <c r="B563" s="102" t="str">
        <f>IF(ROW()-6&gt;NumCostCenter,"",IF(CostCenter&lt;&gt;"ALL",CostCenter,DATA_LF2!B561))</f>
        <v/>
      </c>
      <c r="C563" s="153" t="str">
        <f>IF($B563&lt;&gt;"",INDEX(DataOB[],FirstRow+ROW()-7,2),"")</f>
        <v/>
      </c>
      <c r="D563" s="66" t="str">
        <f>IF($B563&lt;&gt;"",INDEX(DataOB[],FirstRow+ROW()-7,3),"")</f>
        <v/>
      </c>
      <c r="E563" s="103" t="str">
        <f>IF($B563&lt;&gt;"",INDEX(DataOB[],FirstRow+ROW()-7,6),"")</f>
        <v/>
      </c>
      <c r="F563" s="103" t="str">
        <f>IF($B563&lt;&gt;"",INDEX(DataOB[],FirstRow+ROW()-7,5),"")</f>
        <v/>
      </c>
      <c r="G563" s="58">
        <f>IF($B563&lt;&gt;"",SUMIFS(DataAct_tbl[AMOUNT],DataAct_tbl[BG CODE],Detail!$D563,DataAct_tbl[MONTH],LEFT(MonthName,3),DataAct_tbl[Dept code],$B563),0)</f>
        <v>0</v>
      </c>
      <c r="H563" s="31" t="str">
        <f t="shared" si="79"/>
        <v/>
      </c>
      <c r="I563" s="28" t="str">
        <f t="shared" si="80"/>
        <v/>
      </c>
      <c r="J563" s="32" t="str">
        <f t="shared" si="81"/>
        <v/>
      </c>
      <c r="K563" s="86"/>
      <c r="L563" s="62">
        <f>IF($B563&lt;&gt;"",SUMIFS(DataAct_tbl[AMOUNT],DataAct_tbl[BG CODE],Detail!$D563,DataAct_tbl[Check Range],"=true",DataAct_tbl[Dept code],$B563),0)</f>
        <v>0</v>
      </c>
      <c r="M563" s="63">
        <f>INDEX($AG$7:$AR$1005,ROW()-6,MATCH(MTD,$AG$6:$AR$6,0))</f>
        <v>0</v>
      </c>
      <c r="N563" s="34">
        <f t="shared" si="82"/>
        <v>0</v>
      </c>
      <c r="O563" s="64" t="str">
        <f t="shared" si="83"/>
        <v xml:space="preserve"> </v>
      </c>
      <c r="Q563" s="97">
        <f t="shared" si="84"/>
        <v>0</v>
      </c>
      <c r="R563" s="96">
        <f t="shared" si="85"/>
        <v>0</v>
      </c>
      <c r="T563" s="67" t="str">
        <f>IF($B563&lt;&gt;"",INDEX(DataOB[],FirstRow+ROW()-7,MATCH(T$6,DataOB[#Headers],0)),"")</f>
        <v/>
      </c>
      <c r="U563" s="67" t="str">
        <f>IF($B563&lt;&gt;"",INDEX(DataOB[],FirstRow+ROW()-7,MATCH(U$6,DataOB[#Headers],0)),"")</f>
        <v/>
      </c>
      <c r="V563" s="67" t="str">
        <f>IF($B563&lt;&gt;"",INDEX(DataOB[],FirstRow+ROW()-7,MATCH(V$6,DataOB[#Headers],0)),"")</f>
        <v/>
      </c>
      <c r="W563" s="67" t="str">
        <f>IF($B563&lt;&gt;"",INDEX(DataOB[],FirstRow+ROW()-7,MATCH(W$6,DataOB[#Headers],0)),"")</f>
        <v/>
      </c>
      <c r="X563" s="67" t="str">
        <f>IF($B563&lt;&gt;"",INDEX(DataOB[],FirstRow+ROW()-7,MATCH(X$6,DataOB[#Headers],0)),"")</f>
        <v/>
      </c>
      <c r="Y563" s="67" t="str">
        <f>IF($B563&lt;&gt;"",INDEX(DataOB[],FirstRow+ROW()-7,MATCH(Y$6,DataOB[#Headers],0)),"")</f>
        <v/>
      </c>
      <c r="Z563" s="67" t="str">
        <f>IF($B563&lt;&gt;"",INDEX(DataOB[],FirstRow+ROW()-7,MATCH(Z$6,DataOB[#Headers],0)),"")</f>
        <v/>
      </c>
      <c r="AA563" s="67" t="str">
        <f>IF($B563&lt;&gt;"",INDEX(DataOB[],FirstRow+ROW()-7,MATCH(AA$6,DataOB[#Headers],0)),"")</f>
        <v/>
      </c>
      <c r="AB563" s="67" t="str">
        <f>IF($B563&lt;&gt;"",INDEX(DataOB[],FirstRow+ROW()-7,MATCH(AB$6,DataOB[#Headers],0)),"")</f>
        <v/>
      </c>
      <c r="AC563" s="67" t="str">
        <f>IF($B563&lt;&gt;"",INDEX(DataOB[],FirstRow+ROW()-7,MATCH(AC$6,DataOB[#Headers],0)),"")</f>
        <v/>
      </c>
      <c r="AD563" s="67" t="str">
        <f>IF($B563&lt;&gt;"",INDEX(DataOB[],FirstRow+ROW()-7,MATCH(AD$6,DataOB[#Headers],0)),"")</f>
        <v/>
      </c>
      <c r="AE563" s="67" t="str">
        <f>IF($B563&lt;&gt;"",INDEX(DataOB[],FirstRow+ROW()-7,MATCH(AE$6,DataOB[#Headers],0)),"")</f>
        <v/>
      </c>
      <c r="AF563" s="26">
        <f t="shared" si="86"/>
        <v>0</v>
      </c>
      <c r="AG563" s="31">
        <f>SUM($T563:T563)</f>
        <v>0</v>
      </c>
      <c r="AH563" s="31">
        <f>SUM($T563:U563)</f>
        <v>0</v>
      </c>
      <c r="AI563" s="31">
        <f>SUM($T563:V563)</f>
        <v>0</v>
      </c>
      <c r="AJ563" s="31">
        <f>SUM($T563:W563)</f>
        <v>0</v>
      </c>
      <c r="AK563" s="31">
        <f>SUM($T563:X563)</f>
        <v>0</v>
      </c>
      <c r="AL563" s="31">
        <f>SUM($T563:Y563)</f>
        <v>0</v>
      </c>
      <c r="AM563" s="31">
        <f>SUM($T563:Z563)</f>
        <v>0</v>
      </c>
      <c r="AN563" s="31">
        <f>SUM($T563:AA563)</f>
        <v>0</v>
      </c>
      <c r="AO563" s="31">
        <f>SUM($T563:AB563)</f>
        <v>0</v>
      </c>
      <c r="AP563" s="31">
        <f>SUM($T563:AC563)</f>
        <v>0</v>
      </c>
      <c r="AQ563" s="31">
        <f>SUM($T563:AD563)</f>
        <v>0</v>
      </c>
      <c r="AR563" s="31">
        <f>SUM($T563:AE563)</f>
        <v>0</v>
      </c>
      <c r="AS563" s="27">
        <f t="shared" si="87"/>
        <v>0</v>
      </c>
    </row>
    <row r="564" spans="2:45">
      <c r="B564" s="102" t="str">
        <f>IF(ROW()-6&gt;NumCostCenter,"",IF(CostCenter&lt;&gt;"ALL",CostCenter,DATA_LF2!B562))</f>
        <v/>
      </c>
      <c r="C564" s="153" t="str">
        <f>IF($B564&lt;&gt;"",INDEX(DataOB[],FirstRow+ROW()-7,2),"")</f>
        <v/>
      </c>
      <c r="D564" s="66" t="str">
        <f>IF($B564&lt;&gt;"",INDEX(DataOB[],FirstRow+ROW()-7,3),"")</f>
        <v/>
      </c>
      <c r="E564" s="103" t="str">
        <f>IF($B564&lt;&gt;"",INDEX(DataOB[],FirstRow+ROW()-7,6),"")</f>
        <v/>
      </c>
      <c r="F564" s="103" t="str">
        <f>IF($B564&lt;&gt;"",INDEX(DataOB[],FirstRow+ROW()-7,5),"")</f>
        <v/>
      </c>
      <c r="G564" s="58">
        <f>IF($B564&lt;&gt;"",SUMIFS(DataAct_tbl[AMOUNT],DataAct_tbl[BG CODE],Detail!$D564,DataAct_tbl[MONTH],LEFT(MonthName,3),DataAct_tbl[Dept code],$B564),0)</f>
        <v>0</v>
      </c>
      <c r="H564" s="31" t="str">
        <f t="shared" si="79"/>
        <v/>
      </c>
      <c r="I564" s="28" t="str">
        <f t="shared" si="80"/>
        <v/>
      </c>
      <c r="J564" s="32" t="str">
        <f t="shared" si="81"/>
        <v/>
      </c>
      <c r="K564" s="86"/>
      <c r="L564" s="62">
        <f>IF($B564&lt;&gt;"",SUMIFS(DataAct_tbl[AMOUNT],DataAct_tbl[BG CODE],Detail!$D564,DataAct_tbl[Check Range],"=true",DataAct_tbl[Dept code],$B564),0)</f>
        <v>0</v>
      </c>
      <c r="M564" s="63">
        <f>INDEX($AG$7:$AR$1005,ROW()-6,MATCH(MTD,$AG$6:$AR$6,0))</f>
        <v>0</v>
      </c>
      <c r="N564" s="34">
        <f t="shared" si="82"/>
        <v>0</v>
      </c>
      <c r="O564" s="64" t="str">
        <f t="shared" si="83"/>
        <v xml:space="preserve"> </v>
      </c>
      <c r="Q564" s="97">
        <f t="shared" si="84"/>
        <v>0</v>
      </c>
      <c r="R564" s="96">
        <f t="shared" si="85"/>
        <v>0</v>
      </c>
      <c r="T564" s="67" t="str">
        <f>IF($B564&lt;&gt;"",INDEX(DataOB[],FirstRow+ROW()-7,MATCH(T$6,DataOB[#Headers],0)),"")</f>
        <v/>
      </c>
      <c r="U564" s="67" t="str">
        <f>IF($B564&lt;&gt;"",INDEX(DataOB[],FirstRow+ROW()-7,MATCH(U$6,DataOB[#Headers],0)),"")</f>
        <v/>
      </c>
      <c r="V564" s="67" t="str">
        <f>IF($B564&lt;&gt;"",INDEX(DataOB[],FirstRow+ROW()-7,MATCH(V$6,DataOB[#Headers],0)),"")</f>
        <v/>
      </c>
      <c r="W564" s="67" t="str">
        <f>IF($B564&lt;&gt;"",INDEX(DataOB[],FirstRow+ROW()-7,MATCH(W$6,DataOB[#Headers],0)),"")</f>
        <v/>
      </c>
      <c r="X564" s="67" t="str">
        <f>IF($B564&lt;&gt;"",INDEX(DataOB[],FirstRow+ROW()-7,MATCH(X$6,DataOB[#Headers],0)),"")</f>
        <v/>
      </c>
      <c r="Y564" s="67" t="str">
        <f>IF($B564&lt;&gt;"",INDEX(DataOB[],FirstRow+ROW()-7,MATCH(Y$6,DataOB[#Headers],0)),"")</f>
        <v/>
      </c>
      <c r="Z564" s="67" t="str">
        <f>IF($B564&lt;&gt;"",INDEX(DataOB[],FirstRow+ROW()-7,MATCH(Z$6,DataOB[#Headers],0)),"")</f>
        <v/>
      </c>
      <c r="AA564" s="67" t="str">
        <f>IF($B564&lt;&gt;"",INDEX(DataOB[],FirstRow+ROW()-7,MATCH(AA$6,DataOB[#Headers],0)),"")</f>
        <v/>
      </c>
      <c r="AB564" s="67" t="str">
        <f>IF($B564&lt;&gt;"",INDEX(DataOB[],FirstRow+ROW()-7,MATCH(AB$6,DataOB[#Headers],0)),"")</f>
        <v/>
      </c>
      <c r="AC564" s="67" t="str">
        <f>IF($B564&lt;&gt;"",INDEX(DataOB[],FirstRow+ROW()-7,MATCH(AC$6,DataOB[#Headers],0)),"")</f>
        <v/>
      </c>
      <c r="AD564" s="67" t="str">
        <f>IF($B564&lt;&gt;"",INDEX(DataOB[],FirstRow+ROW()-7,MATCH(AD$6,DataOB[#Headers],0)),"")</f>
        <v/>
      </c>
      <c r="AE564" s="67" t="str">
        <f>IF($B564&lt;&gt;"",INDEX(DataOB[],FirstRow+ROW()-7,MATCH(AE$6,DataOB[#Headers],0)),"")</f>
        <v/>
      </c>
      <c r="AF564" s="26">
        <f t="shared" si="86"/>
        <v>0</v>
      </c>
      <c r="AG564" s="31">
        <f>SUM($T564:T564)</f>
        <v>0</v>
      </c>
      <c r="AH564" s="31">
        <f>SUM($T564:U564)</f>
        <v>0</v>
      </c>
      <c r="AI564" s="31">
        <f>SUM($T564:V564)</f>
        <v>0</v>
      </c>
      <c r="AJ564" s="31">
        <f>SUM($T564:W564)</f>
        <v>0</v>
      </c>
      <c r="AK564" s="31">
        <f>SUM($T564:X564)</f>
        <v>0</v>
      </c>
      <c r="AL564" s="31">
        <f>SUM($T564:Y564)</f>
        <v>0</v>
      </c>
      <c r="AM564" s="31">
        <f>SUM($T564:Z564)</f>
        <v>0</v>
      </c>
      <c r="AN564" s="31">
        <f>SUM($T564:AA564)</f>
        <v>0</v>
      </c>
      <c r="AO564" s="31">
        <f>SUM($T564:AB564)</f>
        <v>0</v>
      </c>
      <c r="AP564" s="31">
        <f>SUM($T564:AC564)</f>
        <v>0</v>
      </c>
      <c r="AQ564" s="31">
        <f>SUM($T564:AD564)</f>
        <v>0</v>
      </c>
      <c r="AR564" s="31">
        <f>SUM($T564:AE564)</f>
        <v>0</v>
      </c>
      <c r="AS564" s="27">
        <f t="shared" si="87"/>
        <v>0</v>
      </c>
    </row>
    <row r="565" spans="2:45">
      <c r="B565" s="102" t="str">
        <f>IF(ROW()-6&gt;NumCostCenter,"",IF(CostCenter&lt;&gt;"ALL",CostCenter,DATA_LF2!B563))</f>
        <v/>
      </c>
      <c r="C565" s="153" t="str">
        <f>IF($B565&lt;&gt;"",INDEX(DataOB[],FirstRow+ROW()-7,2),"")</f>
        <v/>
      </c>
      <c r="D565" s="66" t="str">
        <f>IF($B565&lt;&gt;"",INDEX(DataOB[],FirstRow+ROW()-7,3),"")</f>
        <v/>
      </c>
      <c r="E565" s="103" t="str">
        <f>IF($B565&lt;&gt;"",INDEX(DataOB[],FirstRow+ROW()-7,6),"")</f>
        <v/>
      </c>
      <c r="F565" s="103" t="str">
        <f>IF($B565&lt;&gt;"",INDEX(DataOB[],FirstRow+ROW()-7,5),"")</f>
        <v/>
      </c>
      <c r="G565" s="58">
        <f>IF($B565&lt;&gt;"",SUMIFS(DataAct_tbl[AMOUNT],DataAct_tbl[BG CODE],Detail!$D565,DataAct_tbl[MONTH],LEFT(MonthName,3),DataAct_tbl[Dept code],$B565),0)</f>
        <v>0</v>
      </c>
      <c r="H565" s="31" t="str">
        <f t="shared" si="79"/>
        <v/>
      </c>
      <c r="I565" s="28" t="str">
        <f t="shared" si="80"/>
        <v/>
      </c>
      <c r="J565" s="32" t="str">
        <f t="shared" si="81"/>
        <v/>
      </c>
      <c r="K565" s="86"/>
      <c r="L565" s="62">
        <f>IF($B565&lt;&gt;"",SUMIFS(DataAct_tbl[AMOUNT],DataAct_tbl[BG CODE],Detail!$D565,DataAct_tbl[Check Range],"=true",DataAct_tbl[Dept code],$B565),0)</f>
        <v>0</v>
      </c>
      <c r="M565" s="63">
        <f>INDEX($AG$7:$AR$1005,ROW()-6,MATCH(MTD,$AG$6:$AR$6,0))</f>
        <v>0</v>
      </c>
      <c r="N565" s="34">
        <f t="shared" si="82"/>
        <v>0</v>
      </c>
      <c r="O565" s="64" t="str">
        <f t="shared" si="83"/>
        <v xml:space="preserve"> </v>
      </c>
      <c r="Q565" s="97">
        <f t="shared" si="84"/>
        <v>0</v>
      </c>
      <c r="R565" s="96">
        <f t="shared" si="85"/>
        <v>0</v>
      </c>
      <c r="T565" s="67" t="str">
        <f>IF($B565&lt;&gt;"",INDEX(DataOB[],FirstRow+ROW()-7,MATCH(T$6,DataOB[#Headers],0)),"")</f>
        <v/>
      </c>
      <c r="U565" s="67" t="str">
        <f>IF($B565&lt;&gt;"",INDEX(DataOB[],FirstRow+ROW()-7,MATCH(U$6,DataOB[#Headers],0)),"")</f>
        <v/>
      </c>
      <c r="V565" s="67" t="str">
        <f>IF($B565&lt;&gt;"",INDEX(DataOB[],FirstRow+ROW()-7,MATCH(V$6,DataOB[#Headers],0)),"")</f>
        <v/>
      </c>
      <c r="W565" s="67" t="str">
        <f>IF($B565&lt;&gt;"",INDEX(DataOB[],FirstRow+ROW()-7,MATCH(W$6,DataOB[#Headers],0)),"")</f>
        <v/>
      </c>
      <c r="X565" s="67" t="str">
        <f>IF($B565&lt;&gt;"",INDEX(DataOB[],FirstRow+ROW()-7,MATCH(X$6,DataOB[#Headers],0)),"")</f>
        <v/>
      </c>
      <c r="Y565" s="67" t="str">
        <f>IF($B565&lt;&gt;"",INDEX(DataOB[],FirstRow+ROW()-7,MATCH(Y$6,DataOB[#Headers],0)),"")</f>
        <v/>
      </c>
      <c r="Z565" s="67" t="str">
        <f>IF($B565&lt;&gt;"",INDEX(DataOB[],FirstRow+ROW()-7,MATCH(Z$6,DataOB[#Headers],0)),"")</f>
        <v/>
      </c>
      <c r="AA565" s="67" t="str">
        <f>IF($B565&lt;&gt;"",INDEX(DataOB[],FirstRow+ROW()-7,MATCH(AA$6,DataOB[#Headers],0)),"")</f>
        <v/>
      </c>
      <c r="AB565" s="67" t="str">
        <f>IF($B565&lt;&gt;"",INDEX(DataOB[],FirstRow+ROW()-7,MATCH(AB$6,DataOB[#Headers],0)),"")</f>
        <v/>
      </c>
      <c r="AC565" s="67" t="str">
        <f>IF($B565&lt;&gt;"",INDEX(DataOB[],FirstRow+ROW()-7,MATCH(AC$6,DataOB[#Headers],0)),"")</f>
        <v/>
      </c>
      <c r="AD565" s="67" t="str">
        <f>IF($B565&lt;&gt;"",INDEX(DataOB[],FirstRow+ROW()-7,MATCH(AD$6,DataOB[#Headers],0)),"")</f>
        <v/>
      </c>
      <c r="AE565" s="67" t="str">
        <f>IF($B565&lt;&gt;"",INDEX(DataOB[],FirstRow+ROW()-7,MATCH(AE$6,DataOB[#Headers],0)),"")</f>
        <v/>
      </c>
      <c r="AF565" s="26">
        <f t="shared" si="86"/>
        <v>0</v>
      </c>
      <c r="AG565" s="31">
        <f>SUM($T565:T565)</f>
        <v>0</v>
      </c>
      <c r="AH565" s="31">
        <f>SUM($T565:U565)</f>
        <v>0</v>
      </c>
      <c r="AI565" s="31">
        <f>SUM($T565:V565)</f>
        <v>0</v>
      </c>
      <c r="AJ565" s="31">
        <f>SUM($T565:W565)</f>
        <v>0</v>
      </c>
      <c r="AK565" s="31">
        <f>SUM($T565:X565)</f>
        <v>0</v>
      </c>
      <c r="AL565" s="31">
        <f>SUM($T565:Y565)</f>
        <v>0</v>
      </c>
      <c r="AM565" s="31">
        <f>SUM($T565:Z565)</f>
        <v>0</v>
      </c>
      <c r="AN565" s="31">
        <f>SUM($T565:AA565)</f>
        <v>0</v>
      </c>
      <c r="AO565" s="31">
        <f>SUM($T565:AB565)</f>
        <v>0</v>
      </c>
      <c r="AP565" s="31">
        <f>SUM($T565:AC565)</f>
        <v>0</v>
      </c>
      <c r="AQ565" s="31">
        <f>SUM($T565:AD565)</f>
        <v>0</v>
      </c>
      <c r="AR565" s="31">
        <f>SUM($T565:AE565)</f>
        <v>0</v>
      </c>
      <c r="AS565" s="27">
        <f t="shared" si="87"/>
        <v>0</v>
      </c>
    </row>
    <row r="566" spans="2:45">
      <c r="B566" s="102" t="str">
        <f>IF(ROW()-6&gt;NumCostCenter,"",IF(CostCenter&lt;&gt;"ALL",CostCenter,DATA_LF2!B564))</f>
        <v/>
      </c>
      <c r="C566" s="153" t="str">
        <f>IF($B566&lt;&gt;"",INDEX(DataOB[],FirstRow+ROW()-7,2),"")</f>
        <v/>
      </c>
      <c r="D566" s="66" t="str">
        <f>IF($B566&lt;&gt;"",INDEX(DataOB[],FirstRow+ROW()-7,3),"")</f>
        <v/>
      </c>
      <c r="E566" s="103" t="str">
        <f>IF($B566&lt;&gt;"",INDEX(DataOB[],FirstRow+ROW()-7,6),"")</f>
        <v/>
      </c>
      <c r="F566" s="103" t="str">
        <f>IF($B566&lt;&gt;"",INDEX(DataOB[],FirstRow+ROW()-7,5),"")</f>
        <v/>
      </c>
      <c r="G566" s="58">
        <f>IF($B566&lt;&gt;"",SUMIFS(DataAct_tbl[AMOUNT],DataAct_tbl[BG CODE],Detail!$D566,DataAct_tbl[MONTH],LEFT(MonthName,3),DataAct_tbl[Dept code],$B566),0)</f>
        <v>0</v>
      </c>
      <c r="H566" s="31" t="str">
        <f t="shared" si="79"/>
        <v/>
      </c>
      <c r="I566" s="28" t="str">
        <f t="shared" si="80"/>
        <v/>
      </c>
      <c r="J566" s="32" t="str">
        <f t="shared" si="81"/>
        <v/>
      </c>
      <c r="K566" s="86"/>
      <c r="L566" s="62">
        <f>IF($B566&lt;&gt;"",SUMIFS(DataAct_tbl[AMOUNT],DataAct_tbl[BG CODE],Detail!$D566,DataAct_tbl[Check Range],"=true",DataAct_tbl[Dept code],$B566),0)</f>
        <v>0</v>
      </c>
      <c r="M566" s="63">
        <f>INDEX($AG$7:$AR$1005,ROW()-6,MATCH(MTD,$AG$6:$AR$6,0))</f>
        <v>0</v>
      </c>
      <c r="N566" s="34">
        <f t="shared" si="82"/>
        <v>0</v>
      </c>
      <c r="O566" s="64" t="str">
        <f t="shared" si="83"/>
        <v xml:space="preserve"> </v>
      </c>
      <c r="Q566" s="97">
        <f t="shared" si="84"/>
        <v>0</v>
      </c>
      <c r="R566" s="96">
        <f t="shared" si="85"/>
        <v>0</v>
      </c>
      <c r="T566" s="67" t="str">
        <f>IF($B566&lt;&gt;"",INDEX(DataOB[],FirstRow+ROW()-7,MATCH(T$6,DataOB[#Headers],0)),"")</f>
        <v/>
      </c>
      <c r="U566" s="67" t="str">
        <f>IF($B566&lt;&gt;"",INDEX(DataOB[],FirstRow+ROW()-7,MATCH(U$6,DataOB[#Headers],0)),"")</f>
        <v/>
      </c>
      <c r="V566" s="67" t="str">
        <f>IF($B566&lt;&gt;"",INDEX(DataOB[],FirstRow+ROW()-7,MATCH(V$6,DataOB[#Headers],0)),"")</f>
        <v/>
      </c>
      <c r="W566" s="67" t="str">
        <f>IF($B566&lt;&gt;"",INDEX(DataOB[],FirstRow+ROW()-7,MATCH(W$6,DataOB[#Headers],0)),"")</f>
        <v/>
      </c>
      <c r="X566" s="67" t="str">
        <f>IF($B566&lt;&gt;"",INDEX(DataOB[],FirstRow+ROW()-7,MATCH(X$6,DataOB[#Headers],0)),"")</f>
        <v/>
      </c>
      <c r="Y566" s="67" t="str">
        <f>IF($B566&lt;&gt;"",INDEX(DataOB[],FirstRow+ROW()-7,MATCH(Y$6,DataOB[#Headers],0)),"")</f>
        <v/>
      </c>
      <c r="Z566" s="67" t="str">
        <f>IF($B566&lt;&gt;"",INDEX(DataOB[],FirstRow+ROW()-7,MATCH(Z$6,DataOB[#Headers],0)),"")</f>
        <v/>
      </c>
      <c r="AA566" s="67" t="str">
        <f>IF($B566&lt;&gt;"",INDEX(DataOB[],FirstRow+ROW()-7,MATCH(AA$6,DataOB[#Headers],0)),"")</f>
        <v/>
      </c>
      <c r="AB566" s="67" t="str">
        <f>IF($B566&lt;&gt;"",INDEX(DataOB[],FirstRow+ROW()-7,MATCH(AB$6,DataOB[#Headers],0)),"")</f>
        <v/>
      </c>
      <c r="AC566" s="67" t="str">
        <f>IF($B566&lt;&gt;"",INDEX(DataOB[],FirstRow+ROW()-7,MATCH(AC$6,DataOB[#Headers],0)),"")</f>
        <v/>
      </c>
      <c r="AD566" s="67" t="str">
        <f>IF($B566&lt;&gt;"",INDEX(DataOB[],FirstRow+ROW()-7,MATCH(AD$6,DataOB[#Headers],0)),"")</f>
        <v/>
      </c>
      <c r="AE566" s="67" t="str">
        <f>IF($B566&lt;&gt;"",INDEX(DataOB[],FirstRow+ROW()-7,MATCH(AE$6,DataOB[#Headers],0)),"")</f>
        <v/>
      </c>
      <c r="AF566" s="26">
        <f t="shared" si="86"/>
        <v>0</v>
      </c>
      <c r="AG566" s="31">
        <f>SUM($T566:T566)</f>
        <v>0</v>
      </c>
      <c r="AH566" s="31">
        <f>SUM($T566:U566)</f>
        <v>0</v>
      </c>
      <c r="AI566" s="31">
        <f>SUM($T566:V566)</f>
        <v>0</v>
      </c>
      <c r="AJ566" s="31">
        <f>SUM($T566:W566)</f>
        <v>0</v>
      </c>
      <c r="AK566" s="31">
        <f>SUM($T566:X566)</f>
        <v>0</v>
      </c>
      <c r="AL566" s="31">
        <f>SUM($T566:Y566)</f>
        <v>0</v>
      </c>
      <c r="AM566" s="31">
        <f>SUM($T566:Z566)</f>
        <v>0</v>
      </c>
      <c r="AN566" s="31">
        <f>SUM($T566:AA566)</f>
        <v>0</v>
      </c>
      <c r="AO566" s="31">
        <f>SUM($T566:AB566)</f>
        <v>0</v>
      </c>
      <c r="AP566" s="31">
        <f>SUM($T566:AC566)</f>
        <v>0</v>
      </c>
      <c r="AQ566" s="31">
        <f>SUM($T566:AD566)</f>
        <v>0</v>
      </c>
      <c r="AR566" s="31">
        <f>SUM($T566:AE566)</f>
        <v>0</v>
      </c>
      <c r="AS566" s="27">
        <f t="shared" si="87"/>
        <v>0</v>
      </c>
    </row>
    <row r="567" spans="2:45">
      <c r="B567" s="102" t="str">
        <f>IF(ROW()-6&gt;NumCostCenter,"",IF(CostCenter&lt;&gt;"ALL",CostCenter,DATA_LF2!B565))</f>
        <v/>
      </c>
      <c r="C567" s="153" t="str">
        <f>IF($B567&lt;&gt;"",INDEX(DataOB[],FirstRow+ROW()-7,2),"")</f>
        <v/>
      </c>
      <c r="D567" s="66" t="str">
        <f>IF($B567&lt;&gt;"",INDEX(DataOB[],FirstRow+ROW()-7,3),"")</f>
        <v/>
      </c>
      <c r="E567" s="103" t="str">
        <f>IF($B567&lt;&gt;"",INDEX(DataOB[],FirstRow+ROW()-7,6),"")</f>
        <v/>
      </c>
      <c r="F567" s="103" t="str">
        <f>IF($B567&lt;&gt;"",INDEX(DataOB[],FirstRow+ROW()-7,5),"")</f>
        <v/>
      </c>
      <c r="G567" s="58">
        <f>IF($B567&lt;&gt;"",SUMIFS(DataAct_tbl[AMOUNT],DataAct_tbl[BG CODE],Detail!$D567,DataAct_tbl[MONTH],LEFT(MonthName,3),DataAct_tbl[Dept code],$B567),0)</f>
        <v>0</v>
      </c>
      <c r="H567" s="31" t="str">
        <f t="shared" si="79"/>
        <v/>
      </c>
      <c r="I567" s="28" t="str">
        <f t="shared" si="80"/>
        <v/>
      </c>
      <c r="J567" s="32" t="str">
        <f t="shared" si="81"/>
        <v/>
      </c>
      <c r="K567" s="86"/>
      <c r="L567" s="62">
        <f>IF($B567&lt;&gt;"",SUMIFS(DataAct_tbl[AMOUNT],DataAct_tbl[BG CODE],Detail!$D567,DataAct_tbl[Check Range],"=true",DataAct_tbl[Dept code],$B567),0)</f>
        <v>0</v>
      </c>
      <c r="M567" s="63">
        <f>INDEX($AG$7:$AR$1005,ROW()-6,MATCH(MTD,$AG$6:$AR$6,0))</f>
        <v>0</v>
      </c>
      <c r="N567" s="34">
        <f t="shared" si="82"/>
        <v>0</v>
      </c>
      <c r="O567" s="64" t="str">
        <f t="shared" si="83"/>
        <v xml:space="preserve"> </v>
      </c>
      <c r="Q567" s="97">
        <f t="shared" si="84"/>
        <v>0</v>
      </c>
      <c r="R567" s="96">
        <f t="shared" si="85"/>
        <v>0</v>
      </c>
      <c r="T567" s="67" t="str">
        <f>IF($B567&lt;&gt;"",INDEX(DataOB[],FirstRow+ROW()-7,MATCH(T$6,DataOB[#Headers],0)),"")</f>
        <v/>
      </c>
      <c r="U567" s="67" t="str">
        <f>IF($B567&lt;&gt;"",INDEX(DataOB[],FirstRow+ROW()-7,MATCH(U$6,DataOB[#Headers],0)),"")</f>
        <v/>
      </c>
      <c r="V567" s="67" t="str">
        <f>IF($B567&lt;&gt;"",INDEX(DataOB[],FirstRow+ROW()-7,MATCH(V$6,DataOB[#Headers],0)),"")</f>
        <v/>
      </c>
      <c r="W567" s="67" t="str">
        <f>IF($B567&lt;&gt;"",INDEX(DataOB[],FirstRow+ROW()-7,MATCH(W$6,DataOB[#Headers],0)),"")</f>
        <v/>
      </c>
      <c r="X567" s="67" t="str">
        <f>IF($B567&lt;&gt;"",INDEX(DataOB[],FirstRow+ROW()-7,MATCH(X$6,DataOB[#Headers],0)),"")</f>
        <v/>
      </c>
      <c r="Y567" s="67" t="str">
        <f>IF($B567&lt;&gt;"",INDEX(DataOB[],FirstRow+ROW()-7,MATCH(Y$6,DataOB[#Headers],0)),"")</f>
        <v/>
      </c>
      <c r="Z567" s="67" t="str">
        <f>IF($B567&lt;&gt;"",INDEX(DataOB[],FirstRow+ROW()-7,MATCH(Z$6,DataOB[#Headers],0)),"")</f>
        <v/>
      </c>
      <c r="AA567" s="67" t="str">
        <f>IF($B567&lt;&gt;"",INDEX(DataOB[],FirstRow+ROW()-7,MATCH(AA$6,DataOB[#Headers],0)),"")</f>
        <v/>
      </c>
      <c r="AB567" s="67" t="str">
        <f>IF($B567&lt;&gt;"",INDEX(DataOB[],FirstRow+ROW()-7,MATCH(AB$6,DataOB[#Headers],0)),"")</f>
        <v/>
      </c>
      <c r="AC567" s="67" t="str">
        <f>IF($B567&lt;&gt;"",INDEX(DataOB[],FirstRow+ROW()-7,MATCH(AC$6,DataOB[#Headers],0)),"")</f>
        <v/>
      </c>
      <c r="AD567" s="67" t="str">
        <f>IF($B567&lt;&gt;"",INDEX(DataOB[],FirstRow+ROW()-7,MATCH(AD$6,DataOB[#Headers],0)),"")</f>
        <v/>
      </c>
      <c r="AE567" s="67" t="str">
        <f>IF($B567&lt;&gt;"",INDEX(DataOB[],FirstRow+ROW()-7,MATCH(AE$6,DataOB[#Headers],0)),"")</f>
        <v/>
      </c>
      <c r="AF567" s="26">
        <f t="shared" si="86"/>
        <v>0</v>
      </c>
      <c r="AG567" s="31">
        <f>SUM($T567:T567)</f>
        <v>0</v>
      </c>
      <c r="AH567" s="31">
        <f>SUM($T567:U567)</f>
        <v>0</v>
      </c>
      <c r="AI567" s="31">
        <f>SUM($T567:V567)</f>
        <v>0</v>
      </c>
      <c r="AJ567" s="31">
        <f>SUM($T567:W567)</f>
        <v>0</v>
      </c>
      <c r="AK567" s="31">
        <f>SUM($T567:X567)</f>
        <v>0</v>
      </c>
      <c r="AL567" s="31">
        <f>SUM($T567:Y567)</f>
        <v>0</v>
      </c>
      <c r="AM567" s="31">
        <f>SUM($T567:Z567)</f>
        <v>0</v>
      </c>
      <c r="AN567" s="31">
        <f>SUM($T567:AA567)</f>
        <v>0</v>
      </c>
      <c r="AO567" s="31">
        <f>SUM($T567:AB567)</f>
        <v>0</v>
      </c>
      <c r="AP567" s="31">
        <f>SUM($T567:AC567)</f>
        <v>0</v>
      </c>
      <c r="AQ567" s="31">
        <f>SUM($T567:AD567)</f>
        <v>0</v>
      </c>
      <c r="AR567" s="31">
        <f>SUM($T567:AE567)</f>
        <v>0</v>
      </c>
      <c r="AS567" s="27">
        <f t="shared" si="87"/>
        <v>0</v>
      </c>
    </row>
    <row r="568" spans="2:45">
      <c r="B568" s="102" t="str">
        <f>IF(ROW()-6&gt;NumCostCenter,"",IF(CostCenter&lt;&gt;"ALL",CostCenter,DATA_LF2!B566))</f>
        <v/>
      </c>
      <c r="C568" s="153" t="str">
        <f>IF($B568&lt;&gt;"",INDEX(DataOB[],FirstRow+ROW()-7,2),"")</f>
        <v/>
      </c>
      <c r="D568" s="66" t="str">
        <f>IF($B568&lt;&gt;"",INDEX(DataOB[],FirstRow+ROW()-7,3),"")</f>
        <v/>
      </c>
      <c r="E568" s="103" t="str">
        <f>IF($B568&lt;&gt;"",INDEX(DataOB[],FirstRow+ROW()-7,6),"")</f>
        <v/>
      </c>
      <c r="F568" s="103" t="str">
        <f>IF($B568&lt;&gt;"",INDEX(DataOB[],FirstRow+ROW()-7,5),"")</f>
        <v/>
      </c>
      <c r="G568" s="58">
        <f>IF($B568&lt;&gt;"",SUMIFS(DataAct_tbl[AMOUNT],DataAct_tbl[BG CODE],Detail!$D568,DataAct_tbl[MONTH],LEFT(MonthName,3),DataAct_tbl[Dept code],$B568),0)</f>
        <v>0</v>
      </c>
      <c r="H568" s="31" t="str">
        <f t="shared" si="79"/>
        <v/>
      </c>
      <c r="I568" s="28" t="str">
        <f t="shared" si="80"/>
        <v/>
      </c>
      <c r="J568" s="32" t="str">
        <f t="shared" si="81"/>
        <v/>
      </c>
      <c r="K568" s="86"/>
      <c r="L568" s="62">
        <f>IF($B568&lt;&gt;"",SUMIFS(DataAct_tbl[AMOUNT],DataAct_tbl[BG CODE],Detail!$D568,DataAct_tbl[Check Range],"=true",DataAct_tbl[Dept code],$B568),0)</f>
        <v>0</v>
      </c>
      <c r="M568" s="63">
        <f>INDEX($AG$7:$AR$1005,ROW()-6,MATCH(MTD,$AG$6:$AR$6,0))</f>
        <v>0</v>
      </c>
      <c r="N568" s="34">
        <f t="shared" si="82"/>
        <v>0</v>
      </c>
      <c r="O568" s="64" t="str">
        <f t="shared" si="83"/>
        <v xml:space="preserve"> </v>
      </c>
      <c r="Q568" s="97">
        <f t="shared" si="84"/>
        <v>0</v>
      </c>
      <c r="R568" s="96">
        <f t="shared" si="85"/>
        <v>0</v>
      </c>
      <c r="T568" s="67" t="str">
        <f>IF($B568&lt;&gt;"",INDEX(DataOB[],FirstRow+ROW()-7,MATCH(T$6,DataOB[#Headers],0)),"")</f>
        <v/>
      </c>
      <c r="U568" s="67" t="str">
        <f>IF($B568&lt;&gt;"",INDEX(DataOB[],FirstRow+ROW()-7,MATCH(U$6,DataOB[#Headers],0)),"")</f>
        <v/>
      </c>
      <c r="V568" s="67" t="str">
        <f>IF($B568&lt;&gt;"",INDEX(DataOB[],FirstRow+ROW()-7,MATCH(V$6,DataOB[#Headers],0)),"")</f>
        <v/>
      </c>
      <c r="W568" s="67" t="str">
        <f>IF($B568&lt;&gt;"",INDEX(DataOB[],FirstRow+ROW()-7,MATCH(W$6,DataOB[#Headers],0)),"")</f>
        <v/>
      </c>
      <c r="X568" s="67" t="str">
        <f>IF($B568&lt;&gt;"",INDEX(DataOB[],FirstRow+ROW()-7,MATCH(X$6,DataOB[#Headers],0)),"")</f>
        <v/>
      </c>
      <c r="Y568" s="67" t="str">
        <f>IF($B568&lt;&gt;"",INDEX(DataOB[],FirstRow+ROW()-7,MATCH(Y$6,DataOB[#Headers],0)),"")</f>
        <v/>
      </c>
      <c r="Z568" s="67" t="str">
        <f>IF($B568&lt;&gt;"",INDEX(DataOB[],FirstRow+ROW()-7,MATCH(Z$6,DataOB[#Headers],0)),"")</f>
        <v/>
      </c>
      <c r="AA568" s="67" t="str">
        <f>IF($B568&lt;&gt;"",INDEX(DataOB[],FirstRow+ROW()-7,MATCH(AA$6,DataOB[#Headers],0)),"")</f>
        <v/>
      </c>
      <c r="AB568" s="67" t="str">
        <f>IF($B568&lt;&gt;"",INDEX(DataOB[],FirstRow+ROW()-7,MATCH(AB$6,DataOB[#Headers],0)),"")</f>
        <v/>
      </c>
      <c r="AC568" s="67" t="str">
        <f>IF($B568&lt;&gt;"",INDEX(DataOB[],FirstRow+ROW()-7,MATCH(AC$6,DataOB[#Headers],0)),"")</f>
        <v/>
      </c>
      <c r="AD568" s="67" t="str">
        <f>IF($B568&lt;&gt;"",INDEX(DataOB[],FirstRow+ROW()-7,MATCH(AD$6,DataOB[#Headers],0)),"")</f>
        <v/>
      </c>
      <c r="AE568" s="67" t="str">
        <f>IF($B568&lt;&gt;"",INDEX(DataOB[],FirstRow+ROW()-7,MATCH(AE$6,DataOB[#Headers],0)),"")</f>
        <v/>
      </c>
      <c r="AF568" s="26">
        <f t="shared" si="86"/>
        <v>0</v>
      </c>
      <c r="AG568" s="31">
        <f>SUM($T568:T568)</f>
        <v>0</v>
      </c>
      <c r="AH568" s="31">
        <f>SUM($T568:U568)</f>
        <v>0</v>
      </c>
      <c r="AI568" s="31">
        <f>SUM($T568:V568)</f>
        <v>0</v>
      </c>
      <c r="AJ568" s="31">
        <f>SUM($T568:W568)</f>
        <v>0</v>
      </c>
      <c r="AK568" s="31">
        <f>SUM($T568:X568)</f>
        <v>0</v>
      </c>
      <c r="AL568" s="31">
        <f>SUM($T568:Y568)</f>
        <v>0</v>
      </c>
      <c r="AM568" s="31">
        <f>SUM($T568:Z568)</f>
        <v>0</v>
      </c>
      <c r="AN568" s="31">
        <f>SUM($T568:AA568)</f>
        <v>0</v>
      </c>
      <c r="AO568" s="31">
        <f>SUM($T568:AB568)</f>
        <v>0</v>
      </c>
      <c r="AP568" s="31">
        <f>SUM($T568:AC568)</f>
        <v>0</v>
      </c>
      <c r="AQ568" s="31">
        <f>SUM($T568:AD568)</f>
        <v>0</v>
      </c>
      <c r="AR568" s="31">
        <f>SUM($T568:AE568)</f>
        <v>0</v>
      </c>
      <c r="AS568" s="27">
        <f t="shared" si="87"/>
        <v>0</v>
      </c>
    </row>
    <row r="569" spans="2:45">
      <c r="B569" s="102" t="str">
        <f>IF(ROW()-6&gt;NumCostCenter,"",IF(CostCenter&lt;&gt;"ALL",CostCenter,DATA_LF2!B567))</f>
        <v/>
      </c>
      <c r="C569" s="153" t="str">
        <f>IF($B569&lt;&gt;"",INDEX(DataOB[],FirstRow+ROW()-7,2),"")</f>
        <v/>
      </c>
      <c r="D569" s="66" t="str">
        <f>IF($B569&lt;&gt;"",INDEX(DataOB[],FirstRow+ROW()-7,3),"")</f>
        <v/>
      </c>
      <c r="E569" s="103" t="str">
        <f>IF($B569&lt;&gt;"",INDEX(DataOB[],FirstRow+ROW()-7,6),"")</f>
        <v/>
      </c>
      <c r="F569" s="103" t="str">
        <f>IF($B569&lt;&gt;"",INDEX(DataOB[],FirstRow+ROW()-7,5),"")</f>
        <v/>
      </c>
      <c r="G569" s="58">
        <f>IF($B569&lt;&gt;"",SUMIFS(DataAct_tbl[AMOUNT],DataAct_tbl[BG CODE],Detail!$D569,DataAct_tbl[MONTH],LEFT(MonthName,3),DataAct_tbl[Dept code],$B569),0)</f>
        <v>0</v>
      </c>
      <c r="H569" s="31" t="str">
        <f t="shared" si="79"/>
        <v/>
      </c>
      <c r="I569" s="28" t="str">
        <f t="shared" si="80"/>
        <v/>
      </c>
      <c r="J569" s="32" t="str">
        <f t="shared" si="81"/>
        <v/>
      </c>
      <c r="K569" s="86"/>
      <c r="L569" s="62">
        <f>IF($B569&lt;&gt;"",SUMIFS(DataAct_tbl[AMOUNT],DataAct_tbl[BG CODE],Detail!$D569,DataAct_tbl[Check Range],"=true",DataAct_tbl[Dept code],$B569),0)</f>
        <v>0</v>
      </c>
      <c r="M569" s="63">
        <f>INDEX($AG$7:$AR$1005,ROW()-6,MATCH(MTD,$AG$6:$AR$6,0))</f>
        <v>0</v>
      </c>
      <c r="N569" s="34">
        <f t="shared" si="82"/>
        <v>0</v>
      </c>
      <c r="O569" s="64" t="str">
        <f t="shared" si="83"/>
        <v xml:space="preserve"> </v>
      </c>
      <c r="Q569" s="97">
        <f t="shared" si="84"/>
        <v>0</v>
      </c>
      <c r="R569" s="96">
        <f t="shared" si="85"/>
        <v>0</v>
      </c>
      <c r="T569" s="67" t="str">
        <f>IF($B569&lt;&gt;"",INDEX(DataOB[],FirstRow+ROW()-7,MATCH(T$6,DataOB[#Headers],0)),"")</f>
        <v/>
      </c>
      <c r="U569" s="67" t="str">
        <f>IF($B569&lt;&gt;"",INDEX(DataOB[],FirstRow+ROW()-7,MATCH(U$6,DataOB[#Headers],0)),"")</f>
        <v/>
      </c>
      <c r="V569" s="67" t="str">
        <f>IF($B569&lt;&gt;"",INDEX(DataOB[],FirstRow+ROW()-7,MATCH(V$6,DataOB[#Headers],0)),"")</f>
        <v/>
      </c>
      <c r="W569" s="67" t="str">
        <f>IF($B569&lt;&gt;"",INDEX(DataOB[],FirstRow+ROW()-7,MATCH(W$6,DataOB[#Headers],0)),"")</f>
        <v/>
      </c>
      <c r="X569" s="67" t="str">
        <f>IF($B569&lt;&gt;"",INDEX(DataOB[],FirstRow+ROW()-7,MATCH(X$6,DataOB[#Headers],0)),"")</f>
        <v/>
      </c>
      <c r="Y569" s="67" t="str">
        <f>IF($B569&lt;&gt;"",INDEX(DataOB[],FirstRow+ROW()-7,MATCH(Y$6,DataOB[#Headers],0)),"")</f>
        <v/>
      </c>
      <c r="Z569" s="67" t="str">
        <f>IF($B569&lt;&gt;"",INDEX(DataOB[],FirstRow+ROW()-7,MATCH(Z$6,DataOB[#Headers],0)),"")</f>
        <v/>
      </c>
      <c r="AA569" s="67" t="str">
        <f>IF($B569&lt;&gt;"",INDEX(DataOB[],FirstRow+ROW()-7,MATCH(AA$6,DataOB[#Headers],0)),"")</f>
        <v/>
      </c>
      <c r="AB569" s="67" t="str">
        <f>IF($B569&lt;&gt;"",INDEX(DataOB[],FirstRow+ROW()-7,MATCH(AB$6,DataOB[#Headers],0)),"")</f>
        <v/>
      </c>
      <c r="AC569" s="67" t="str">
        <f>IF($B569&lt;&gt;"",INDEX(DataOB[],FirstRow+ROW()-7,MATCH(AC$6,DataOB[#Headers],0)),"")</f>
        <v/>
      </c>
      <c r="AD569" s="67" t="str">
        <f>IF($B569&lt;&gt;"",INDEX(DataOB[],FirstRow+ROW()-7,MATCH(AD$6,DataOB[#Headers],0)),"")</f>
        <v/>
      </c>
      <c r="AE569" s="67" t="str">
        <f>IF($B569&lt;&gt;"",INDEX(DataOB[],FirstRow+ROW()-7,MATCH(AE$6,DataOB[#Headers],0)),"")</f>
        <v/>
      </c>
      <c r="AF569" s="26">
        <f t="shared" si="86"/>
        <v>0</v>
      </c>
      <c r="AG569" s="31">
        <f>SUM($T569:T569)</f>
        <v>0</v>
      </c>
      <c r="AH569" s="31">
        <f>SUM($T569:U569)</f>
        <v>0</v>
      </c>
      <c r="AI569" s="31">
        <f>SUM($T569:V569)</f>
        <v>0</v>
      </c>
      <c r="AJ569" s="31">
        <f>SUM($T569:W569)</f>
        <v>0</v>
      </c>
      <c r="AK569" s="31">
        <f>SUM($T569:X569)</f>
        <v>0</v>
      </c>
      <c r="AL569" s="31">
        <f>SUM($T569:Y569)</f>
        <v>0</v>
      </c>
      <c r="AM569" s="31">
        <f>SUM($T569:Z569)</f>
        <v>0</v>
      </c>
      <c r="AN569" s="31">
        <f>SUM($T569:AA569)</f>
        <v>0</v>
      </c>
      <c r="AO569" s="31">
        <f>SUM($T569:AB569)</f>
        <v>0</v>
      </c>
      <c r="AP569" s="31">
        <f>SUM($T569:AC569)</f>
        <v>0</v>
      </c>
      <c r="AQ569" s="31">
        <f>SUM($T569:AD569)</f>
        <v>0</v>
      </c>
      <c r="AR569" s="31">
        <f>SUM($T569:AE569)</f>
        <v>0</v>
      </c>
      <c r="AS569" s="27">
        <f t="shared" si="87"/>
        <v>0</v>
      </c>
    </row>
    <row r="570" spans="2:45">
      <c r="B570" s="102" t="str">
        <f>IF(ROW()-6&gt;NumCostCenter,"",IF(CostCenter&lt;&gt;"ALL",CostCenter,DATA_LF2!B568))</f>
        <v/>
      </c>
      <c r="C570" s="153" t="str">
        <f>IF($B570&lt;&gt;"",INDEX(DataOB[],FirstRow+ROW()-7,2),"")</f>
        <v/>
      </c>
      <c r="D570" s="66" t="str">
        <f>IF($B570&lt;&gt;"",INDEX(DataOB[],FirstRow+ROW()-7,3),"")</f>
        <v/>
      </c>
      <c r="E570" s="103" t="str">
        <f>IF($B570&lt;&gt;"",INDEX(DataOB[],FirstRow+ROW()-7,6),"")</f>
        <v/>
      </c>
      <c r="F570" s="103" t="str">
        <f>IF($B570&lt;&gt;"",INDEX(DataOB[],FirstRow+ROW()-7,5),"")</f>
        <v/>
      </c>
      <c r="G570" s="58">
        <f>IF($B570&lt;&gt;"",SUMIFS(DataAct_tbl[AMOUNT],DataAct_tbl[BG CODE],Detail!$D570,DataAct_tbl[MONTH],LEFT(MonthName,3),DataAct_tbl[Dept code],$B570),0)</f>
        <v>0</v>
      </c>
      <c r="H570" s="31" t="str">
        <f t="shared" si="79"/>
        <v/>
      </c>
      <c r="I570" s="28" t="str">
        <f t="shared" si="80"/>
        <v/>
      </c>
      <c r="J570" s="32" t="str">
        <f t="shared" si="81"/>
        <v/>
      </c>
      <c r="K570" s="86"/>
      <c r="L570" s="62">
        <f>IF($B570&lt;&gt;"",SUMIFS(DataAct_tbl[AMOUNT],DataAct_tbl[BG CODE],Detail!$D570,DataAct_tbl[Check Range],"=true",DataAct_tbl[Dept code],$B570),0)</f>
        <v>0</v>
      </c>
      <c r="M570" s="63">
        <f>INDEX($AG$7:$AR$1005,ROW()-6,MATCH(MTD,$AG$6:$AR$6,0))</f>
        <v>0</v>
      </c>
      <c r="N570" s="34">
        <f t="shared" si="82"/>
        <v>0</v>
      </c>
      <c r="O570" s="64" t="str">
        <f t="shared" si="83"/>
        <v xml:space="preserve"> </v>
      </c>
      <c r="Q570" s="97">
        <f t="shared" si="84"/>
        <v>0</v>
      </c>
      <c r="R570" s="96">
        <f t="shared" si="85"/>
        <v>0</v>
      </c>
      <c r="T570" s="67" t="str">
        <f>IF($B570&lt;&gt;"",INDEX(DataOB[],FirstRow+ROW()-7,MATCH(T$6,DataOB[#Headers],0)),"")</f>
        <v/>
      </c>
      <c r="U570" s="67" t="str">
        <f>IF($B570&lt;&gt;"",INDEX(DataOB[],FirstRow+ROW()-7,MATCH(U$6,DataOB[#Headers],0)),"")</f>
        <v/>
      </c>
      <c r="V570" s="67" t="str">
        <f>IF($B570&lt;&gt;"",INDEX(DataOB[],FirstRow+ROW()-7,MATCH(V$6,DataOB[#Headers],0)),"")</f>
        <v/>
      </c>
      <c r="W570" s="67" t="str">
        <f>IF($B570&lt;&gt;"",INDEX(DataOB[],FirstRow+ROW()-7,MATCH(W$6,DataOB[#Headers],0)),"")</f>
        <v/>
      </c>
      <c r="X570" s="67" t="str">
        <f>IF($B570&lt;&gt;"",INDEX(DataOB[],FirstRow+ROW()-7,MATCH(X$6,DataOB[#Headers],0)),"")</f>
        <v/>
      </c>
      <c r="Y570" s="67" t="str">
        <f>IF($B570&lt;&gt;"",INDEX(DataOB[],FirstRow+ROW()-7,MATCH(Y$6,DataOB[#Headers],0)),"")</f>
        <v/>
      </c>
      <c r="Z570" s="67" t="str">
        <f>IF($B570&lt;&gt;"",INDEX(DataOB[],FirstRow+ROW()-7,MATCH(Z$6,DataOB[#Headers],0)),"")</f>
        <v/>
      </c>
      <c r="AA570" s="67" t="str">
        <f>IF($B570&lt;&gt;"",INDEX(DataOB[],FirstRow+ROW()-7,MATCH(AA$6,DataOB[#Headers],0)),"")</f>
        <v/>
      </c>
      <c r="AB570" s="67" t="str">
        <f>IF($B570&lt;&gt;"",INDEX(DataOB[],FirstRow+ROW()-7,MATCH(AB$6,DataOB[#Headers],0)),"")</f>
        <v/>
      </c>
      <c r="AC570" s="67" t="str">
        <f>IF($B570&lt;&gt;"",INDEX(DataOB[],FirstRow+ROW()-7,MATCH(AC$6,DataOB[#Headers],0)),"")</f>
        <v/>
      </c>
      <c r="AD570" s="67" t="str">
        <f>IF($B570&lt;&gt;"",INDEX(DataOB[],FirstRow+ROW()-7,MATCH(AD$6,DataOB[#Headers],0)),"")</f>
        <v/>
      </c>
      <c r="AE570" s="67" t="str">
        <f>IF($B570&lt;&gt;"",INDEX(DataOB[],FirstRow+ROW()-7,MATCH(AE$6,DataOB[#Headers],0)),"")</f>
        <v/>
      </c>
      <c r="AF570" s="26">
        <f t="shared" si="86"/>
        <v>0</v>
      </c>
      <c r="AG570" s="31">
        <f>SUM($T570:T570)</f>
        <v>0</v>
      </c>
      <c r="AH570" s="31">
        <f>SUM($T570:U570)</f>
        <v>0</v>
      </c>
      <c r="AI570" s="31">
        <f>SUM($T570:V570)</f>
        <v>0</v>
      </c>
      <c r="AJ570" s="31">
        <f>SUM($T570:W570)</f>
        <v>0</v>
      </c>
      <c r="AK570" s="31">
        <f>SUM($T570:X570)</f>
        <v>0</v>
      </c>
      <c r="AL570" s="31">
        <f>SUM($T570:Y570)</f>
        <v>0</v>
      </c>
      <c r="AM570" s="31">
        <f>SUM($T570:Z570)</f>
        <v>0</v>
      </c>
      <c r="AN570" s="31">
        <f>SUM($T570:AA570)</f>
        <v>0</v>
      </c>
      <c r="AO570" s="31">
        <f>SUM($T570:AB570)</f>
        <v>0</v>
      </c>
      <c r="AP570" s="31">
        <f>SUM($T570:AC570)</f>
        <v>0</v>
      </c>
      <c r="AQ570" s="31">
        <f>SUM($T570:AD570)</f>
        <v>0</v>
      </c>
      <c r="AR570" s="31">
        <f>SUM($T570:AE570)</f>
        <v>0</v>
      </c>
      <c r="AS570" s="27">
        <f t="shared" si="87"/>
        <v>0</v>
      </c>
    </row>
    <row r="571" spans="2:45">
      <c r="B571" s="102" t="str">
        <f>IF(ROW()-6&gt;NumCostCenter,"",IF(CostCenter&lt;&gt;"ALL",CostCenter,DATA_LF2!B569))</f>
        <v/>
      </c>
      <c r="C571" s="153" t="str">
        <f>IF($B571&lt;&gt;"",INDEX(DataOB[],FirstRow+ROW()-7,2),"")</f>
        <v/>
      </c>
      <c r="D571" s="66" t="str">
        <f>IF($B571&lt;&gt;"",INDEX(DataOB[],FirstRow+ROW()-7,3),"")</f>
        <v/>
      </c>
      <c r="E571" s="103" t="str">
        <f>IF($B571&lt;&gt;"",INDEX(DataOB[],FirstRow+ROW()-7,6),"")</f>
        <v/>
      </c>
      <c r="F571" s="103" t="str">
        <f>IF($B571&lt;&gt;"",INDEX(DataOB[],FirstRow+ROW()-7,5),"")</f>
        <v/>
      </c>
      <c r="G571" s="58">
        <f>IF($B571&lt;&gt;"",SUMIFS(DataAct_tbl[AMOUNT],DataAct_tbl[BG CODE],Detail!$D571,DataAct_tbl[MONTH],LEFT(MonthName,3),DataAct_tbl[Dept code],$B571),0)</f>
        <v>0</v>
      </c>
      <c r="H571" s="31" t="str">
        <f t="shared" si="79"/>
        <v/>
      </c>
      <c r="I571" s="28" t="str">
        <f t="shared" si="80"/>
        <v/>
      </c>
      <c r="J571" s="32" t="str">
        <f t="shared" si="81"/>
        <v/>
      </c>
      <c r="K571" s="86"/>
      <c r="L571" s="62">
        <f>IF($B571&lt;&gt;"",SUMIFS(DataAct_tbl[AMOUNT],DataAct_tbl[BG CODE],Detail!$D571,DataAct_tbl[Check Range],"=true",DataAct_tbl[Dept code],$B571),0)</f>
        <v>0</v>
      </c>
      <c r="M571" s="63">
        <f>INDEX($AG$7:$AR$1005,ROW()-6,MATCH(MTD,$AG$6:$AR$6,0))</f>
        <v>0</v>
      </c>
      <c r="N571" s="34">
        <f t="shared" si="82"/>
        <v>0</v>
      </c>
      <c r="O571" s="64" t="str">
        <f t="shared" si="83"/>
        <v xml:space="preserve"> </v>
      </c>
      <c r="Q571" s="97">
        <f t="shared" si="84"/>
        <v>0</v>
      </c>
      <c r="R571" s="96">
        <f t="shared" si="85"/>
        <v>0</v>
      </c>
      <c r="T571" s="67" t="str">
        <f>IF($B571&lt;&gt;"",INDEX(DataOB[],FirstRow+ROW()-7,MATCH(T$6,DataOB[#Headers],0)),"")</f>
        <v/>
      </c>
      <c r="U571" s="67" t="str">
        <f>IF($B571&lt;&gt;"",INDEX(DataOB[],FirstRow+ROW()-7,MATCH(U$6,DataOB[#Headers],0)),"")</f>
        <v/>
      </c>
      <c r="V571" s="67" t="str">
        <f>IF($B571&lt;&gt;"",INDEX(DataOB[],FirstRow+ROW()-7,MATCH(V$6,DataOB[#Headers],0)),"")</f>
        <v/>
      </c>
      <c r="W571" s="67" t="str">
        <f>IF($B571&lt;&gt;"",INDEX(DataOB[],FirstRow+ROW()-7,MATCH(W$6,DataOB[#Headers],0)),"")</f>
        <v/>
      </c>
      <c r="X571" s="67" t="str">
        <f>IF($B571&lt;&gt;"",INDEX(DataOB[],FirstRow+ROW()-7,MATCH(X$6,DataOB[#Headers],0)),"")</f>
        <v/>
      </c>
      <c r="Y571" s="67" t="str">
        <f>IF($B571&lt;&gt;"",INDEX(DataOB[],FirstRow+ROW()-7,MATCH(Y$6,DataOB[#Headers],0)),"")</f>
        <v/>
      </c>
      <c r="Z571" s="67" t="str">
        <f>IF($B571&lt;&gt;"",INDEX(DataOB[],FirstRow+ROW()-7,MATCH(Z$6,DataOB[#Headers],0)),"")</f>
        <v/>
      </c>
      <c r="AA571" s="67" t="str">
        <f>IF($B571&lt;&gt;"",INDEX(DataOB[],FirstRow+ROW()-7,MATCH(AA$6,DataOB[#Headers],0)),"")</f>
        <v/>
      </c>
      <c r="AB571" s="67" t="str">
        <f>IF($B571&lt;&gt;"",INDEX(DataOB[],FirstRow+ROW()-7,MATCH(AB$6,DataOB[#Headers],0)),"")</f>
        <v/>
      </c>
      <c r="AC571" s="67" t="str">
        <f>IF($B571&lt;&gt;"",INDEX(DataOB[],FirstRow+ROW()-7,MATCH(AC$6,DataOB[#Headers],0)),"")</f>
        <v/>
      </c>
      <c r="AD571" s="67" t="str">
        <f>IF($B571&lt;&gt;"",INDEX(DataOB[],FirstRow+ROW()-7,MATCH(AD$6,DataOB[#Headers],0)),"")</f>
        <v/>
      </c>
      <c r="AE571" s="67" t="str">
        <f>IF($B571&lt;&gt;"",INDEX(DataOB[],FirstRow+ROW()-7,MATCH(AE$6,DataOB[#Headers],0)),"")</f>
        <v/>
      </c>
      <c r="AF571" s="26">
        <f t="shared" si="86"/>
        <v>0</v>
      </c>
      <c r="AG571" s="31">
        <f>SUM($T571:T571)</f>
        <v>0</v>
      </c>
      <c r="AH571" s="31">
        <f>SUM($T571:U571)</f>
        <v>0</v>
      </c>
      <c r="AI571" s="31">
        <f>SUM($T571:V571)</f>
        <v>0</v>
      </c>
      <c r="AJ571" s="31">
        <f>SUM($T571:W571)</f>
        <v>0</v>
      </c>
      <c r="AK571" s="31">
        <f>SUM($T571:X571)</f>
        <v>0</v>
      </c>
      <c r="AL571" s="31">
        <f>SUM($T571:Y571)</f>
        <v>0</v>
      </c>
      <c r="AM571" s="31">
        <f>SUM($T571:Z571)</f>
        <v>0</v>
      </c>
      <c r="AN571" s="31">
        <f>SUM($T571:AA571)</f>
        <v>0</v>
      </c>
      <c r="AO571" s="31">
        <f>SUM($T571:AB571)</f>
        <v>0</v>
      </c>
      <c r="AP571" s="31">
        <f>SUM($T571:AC571)</f>
        <v>0</v>
      </c>
      <c r="AQ571" s="31">
        <f>SUM($T571:AD571)</f>
        <v>0</v>
      </c>
      <c r="AR571" s="31">
        <f>SUM($T571:AE571)</f>
        <v>0</v>
      </c>
      <c r="AS571" s="27">
        <f t="shared" si="87"/>
        <v>0</v>
      </c>
    </row>
    <row r="572" spans="2:45">
      <c r="B572" s="102" t="str">
        <f>IF(ROW()-6&gt;NumCostCenter,"",IF(CostCenter&lt;&gt;"ALL",CostCenter,DATA_LF2!B570))</f>
        <v/>
      </c>
      <c r="C572" s="153" t="str">
        <f>IF($B572&lt;&gt;"",INDEX(DataOB[],FirstRow+ROW()-7,2),"")</f>
        <v/>
      </c>
      <c r="D572" s="66" t="str">
        <f>IF($B572&lt;&gt;"",INDEX(DataOB[],FirstRow+ROW()-7,3),"")</f>
        <v/>
      </c>
      <c r="E572" s="103" t="str">
        <f>IF($B572&lt;&gt;"",INDEX(DataOB[],FirstRow+ROW()-7,6),"")</f>
        <v/>
      </c>
      <c r="F572" s="103" t="str">
        <f>IF($B572&lt;&gt;"",INDEX(DataOB[],FirstRow+ROW()-7,5),"")</f>
        <v/>
      </c>
      <c r="G572" s="58">
        <f>IF($B572&lt;&gt;"",SUMIFS(DataAct_tbl[AMOUNT],DataAct_tbl[BG CODE],Detail!$D572,DataAct_tbl[MONTH],LEFT(MonthName,3),DataAct_tbl[Dept code],$B572),0)</f>
        <v>0</v>
      </c>
      <c r="H572" s="31" t="str">
        <f t="shared" si="79"/>
        <v/>
      </c>
      <c r="I572" s="28" t="str">
        <f t="shared" si="80"/>
        <v/>
      </c>
      <c r="J572" s="32" t="str">
        <f t="shared" si="81"/>
        <v/>
      </c>
      <c r="K572" s="86"/>
      <c r="L572" s="62">
        <f>IF($B572&lt;&gt;"",SUMIFS(DataAct_tbl[AMOUNT],DataAct_tbl[BG CODE],Detail!$D572,DataAct_tbl[Check Range],"=true",DataAct_tbl[Dept code],$B572),0)</f>
        <v>0</v>
      </c>
      <c r="M572" s="63">
        <f>INDEX($AG$7:$AR$1005,ROW()-6,MATCH(MTD,$AG$6:$AR$6,0))</f>
        <v>0</v>
      </c>
      <c r="N572" s="34">
        <f t="shared" si="82"/>
        <v>0</v>
      </c>
      <c r="O572" s="64" t="str">
        <f t="shared" si="83"/>
        <v xml:space="preserve"> </v>
      </c>
      <c r="Q572" s="97">
        <f t="shared" si="84"/>
        <v>0</v>
      </c>
      <c r="R572" s="96">
        <f t="shared" si="85"/>
        <v>0</v>
      </c>
      <c r="T572" s="67" t="str">
        <f>IF($B572&lt;&gt;"",INDEX(DataOB[],FirstRow+ROW()-7,MATCH(T$6,DataOB[#Headers],0)),"")</f>
        <v/>
      </c>
      <c r="U572" s="67" t="str">
        <f>IF($B572&lt;&gt;"",INDEX(DataOB[],FirstRow+ROW()-7,MATCH(U$6,DataOB[#Headers],0)),"")</f>
        <v/>
      </c>
      <c r="V572" s="67" t="str">
        <f>IF($B572&lt;&gt;"",INDEX(DataOB[],FirstRow+ROW()-7,MATCH(V$6,DataOB[#Headers],0)),"")</f>
        <v/>
      </c>
      <c r="W572" s="67" t="str">
        <f>IF($B572&lt;&gt;"",INDEX(DataOB[],FirstRow+ROW()-7,MATCH(W$6,DataOB[#Headers],0)),"")</f>
        <v/>
      </c>
      <c r="X572" s="67" t="str">
        <f>IF($B572&lt;&gt;"",INDEX(DataOB[],FirstRow+ROW()-7,MATCH(X$6,DataOB[#Headers],0)),"")</f>
        <v/>
      </c>
      <c r="Y572" s="67" t="str">
        <f>IF($B572&lt;&gt;"",INDEX(DataOB[],FirstRow+ROW()-7,MATCH(Y$6,DataOB[#Headers],0)),"")</f>
        <v/>
      </c>
      <c r="Z572" s="67" t="str">
        <f>IF($B572&lt;&gt;"",INDEX(DataOB[],FirstRow+ROW()-7,MATCH(Z$6,DataOB[#Headers],0)),"")</f>
        <v/>
      </c>
      <c r="AA572" s="67" t="str">
        <f>IF($B572&lt;&gt;"",INDEX(DataOB[],FirstRow+ROW()-7,MATCH(AA$6,DataOB[#Headers],0)),"")</f>
        <v/>
      </c>
      <c r="AB572" s="67" t="str">
        <f>IF($B572&lt;&gt;"",INDEX(DataOB[],FirstRow+ROW()-7,MATCH(AB$6,DataOB[#Headers],0)),"")</f>
        <v/>
      </c>
      <c r="AC572" s="67" t="str">
        <f>IF($B572&lt;&gt;"",INDEX(DataOB[],FirstRow+ROW()-7,MATCH(AC$6,DataOB[#Headers],0)),"")</f>
        <v/>
      </c>
      <c r="AD572" s="67" t="str">
        <f>IF($B572&lt;&gt;"",INDEX(DataOB[],FirstRow+ROW()-7,MATCH(AD$6,DataOB[#Headers],0)),"")</f>
        <v/>
      </c>
      <c r="AE572" s="67" t="str">
        <f>IF($B572&lt;&gt;"",INDEX(DataOB[],FirstRow+ROW()-7,MATCH(AE$6,DataOB[#Headers],0)),"")</f>
        <v/>
      </c>
      <c r="AF572" s="26">
        <f t="shared" si="86"/>
        <v>0</v>
      </c>
      <c r="AG572" s="31">
        <f>SUM($T572:T572)</f>
        <v>0</v>
      </c>
      <c r="AH572" s="31">
        <f>SUM($T572:U572)</f>
        <v>0</v>
      </c>
      <c r="AI572" s="31">
        <f>SUM($T572:V572)</f>
        <v>0</v>
      </c>
      <c r="AJ572" s="31">
        <f>SUM($T572:W572)</f>
        <v>0</v>
      </c>
      <c r="AK572" s="31">
        <f>SUM($T572:X572)</f>
        <v>0</v>
      </c>
      <c r="AL572" s="31">
        <f>SUM($T572:Y572)</f>
        <v>0</v>
      </c>
      <c r="AM572" s="31">
        <f>SUM($T572:Z572)</f>
        <v>0</v>
      </c>
      <c r="AN572" s="31">
        <f>SUM($T572:AA572)</f>
        <v>0</v>
      </c>
      <c r="AO572" s="31">
        <f>SUM($T572:AB572)</f>
        <v>0</v>
      </c>
      <c r="AP572" s="31">
        <f>SUM($T572:AC572)</f>
        <v>0</v>
      </c>
      <c r="AQ572" s="31">
        <f>SUM($T572:AD572)</f>
        <v>0</v>
      </c>
      <c r="AR572" s="31">
        <f>SUM($T572:AE572)</f>
        <v>0</v>
      </c>
      <c r="AS572" s="27">
        <f t="shared" si="87"/>
        <v>0</v>
      </c>
    </row>
    <row r="573" spans="2:45">
      <c r="B573" s="102" t="str">
        <f>IF(ROW()-6&gt;NumCostCenter,"",IF(CostCenter&lt;&gt;"ALL",CostCenter,DATA_LF2!B571))</f>
        <v/>
      </c>
      <c r="C573" s="153" t="str">
        <f>IF($B573&lt;&gt;"",INDEX(DataOB[],FirstRow+ROW()-7,2),"")</f>
        <v/>
      </c>
      <c r="D573" s="66" t="str">
        <f>IF($B573&lt;&gt;"",INDEX(DataOB[],FirstRow+ROW()-7,3),"")</f>
        <v/>
      </c>
      <c r="E573" s="103" t="str">
        <f>IF($B573&lt;&gt;"",INDEX(DataOB[],FirstRow+ROW()-7,6),"")</f>
        <v/>
      </c>
      <c r="F573" s="103" t="str">
        <f>IF($B573&lt;&gt;"",INDEX(DataOB[],FirstRow+ROW()-7,5),"")</f>
        <v/>
      </c>
      <c r="G573" s="58">
        <f>IF($B573&lt;&gt;"",SUMIFS(DataAct_tbl[AMOUNT],DataAct_tbl[BG CODE],Detail!$D573,DataAct_tbl[MONTH],LEFT(MonthName,3),DataAct_tbl[Dept code],$B573),0)</f>
        <v>0</v>
      </c>
      <c r="H573" s="31" t="str">
        <f t="shared" si="79"/>
        <v/>
      </c>
      <c r="I573" s="28" t="str">
        <f t="shared" si="80"/>
        <v/>
      </c>
      <c r="J573" s="32" t="str">
        <f t="shared" si="81"/>
        <v/>
      </c>
      <c r="K573" s="86"/>
      <c r="L573" s="62">
        <f>IF($B573&lt;&gt;"",SUMIFS(DataAct_tbl[AMOUNT],DataAct_tbl[BG CODE],Detail!$D573,DataAct_tbl[Check Range],"=true",DataAct_tbl[Dept code],$B573),0)</f>
        <v>0</v>
      </c>
      <c r="M573" s="63">
        <f>INDEX($AG$7:$AR$1005,ROW()-6,MATCH(MTD,$AG$6:$AR$6,0))</f>
        <v>0</v>
      </c>
      <c r="N573" s="34">
        <f t="shared" si="82"/>
        <v>0</v>
      </c>
      <c r="O573" s="64" t="str">
        <f t="shared" si="83"/>
        <v xml:space="preserve"> </v>
      </c>
      <c r="Q573" s="97">
        <f t="shared" si="84"/>
        <v>0</v>
      </c>
      <c r="R573" s="96">
        <f t="shared" si="85"/>
        <v>0</v>
      </c>
      <c r="T573" s="67" t="str">
        <f>IF($B573&lt;&gt;"",INDEX(DataOB[],FirstRow+ROW()-7,MATCH(T$6,DataOB[#Headers],0)),"")</f>
        <v/>
      </c>
      <c r="U573" s="67" t="str">
        <f>IF($B573&lt;&gt;"",INDEX(DataOB[],FirstRow+ROW()-7,MATCH(U$6,DataOB[#Headers],0)),"")</f>
        <v/>
      </c>
      <c r="V573" s="67" t="str">
        <f>IF($B573&lt;&gt;"",INDEX(DataOB[],FirstRow+ROW()-7,MATCH(V$6,DataOB[#Headers],0)),"")</f>
        <v/>
      </c>
      <c r="W573" s="67" t="str">
        <f>IF($B573&lt;&gt;"",INDEX(DataOB[],FirstRow+ROW()-7,MATCH(W$6,DataOB[#Headers],0)),"")</f>
        <v/>
      </c>
      <c r="X573" s="67" t="str">
        <f>IF($B573&lt;&gt;"",INDEX(DataOB[],FirstRow+ROW()-7,MATCH(X$6,DataOB[#Headers],0)),"")</f>
        <v/>
      </c>
      <c r="Y573" s="67" t="str">
        <f>IF($B573&lt;&gt;"",INDEX(DataOB[],FirstRow+ROW()-7,MATCH(Y$6,DataOB[#Headers],0)),"")</f>
        <v/>
      </c>
      <c r="Z573" s="67" t="str">
        <f>IF($B573&lt;&gt;"",INDEX(DataOB[],FirstRow+ROW()-7,MATCH(Z$6,DataOB[#Headers],0)),"")</f>
        <v/>
      </c>
      <c r="AA573" s="67" t="str">
        <f>IF($B573&lt;&gt;"",INDEX(DataOB[],FirstRow+ROW()-7,MATCH(AA$6,DataOB[#Headers],0)),"")</f>
        <v/>
      </c>
      <c r="AB573" s="67" t="str">
        <f>IF($B573&lt;&gt;"",INDEX(DataOB[],FirstRow+ROW()-7,MATCH(AB$6,DataOB[#Headers],0)),"")</f>
        <v/>
      </c>
      <c r="AC573" s="67" t="str">
        <f>IF($B573&lt;&gt;"",INDEX(DataOB[],FirstRow+ROW()-7,MATCH(AC$6,DataOB[#Headers],0)),"")</f>
        <v/>
      </c>
      <c r="AD573" s="67" t="str">
        <f>IF($B573&lt;&gt;"",INDEX(DataOB[],FirstRow+ROW()-7,MATCH(AD$6,DataOB[#Headers],0)),"")</f>
        <v/>
      </c>
      <c r="AE573" s="67" t="str">
        <f>IF($B573&lt;&gt;"",INDEX(DataOB[],FirstRow+ROW()-7,MATCH(AE$6,DataOB[#Headers],0)),"")</f>
        <v/>
      </c>
      <c r="AF573" s="26">
        <f t="shared" si="86"/>
        <v>0</v>
      </c>
      <c r="AG573" s="31">
        <f>SUM($T573:T573)</f>
        <v>0</v>
      </c>
      <c r="AH573" s="31">
        <f>SUM($T573:U573)</f>
        <v>0</v>
      </c>
      <c r="AI573" s="31">
        <f>SUM($T573:V573)</f>
        <v>0</v>
      </c>
      <c r="AJ573" s="31">
        <f>SUM($T573:W573)</f>
        <v>0</v>
      </c>
      <c r="AK573" s="31">
        <f>SUM($T573:X573)</f>
        <v>0</v>
      </c>
      <c r="AL573" s="31">
        <f>SUM($T573:Y573)</f>
        <v>0</v>
      </c>
      <c r="AM573" s="31">
        <f>SUM($T573:Z573)</f>
        <v>0</v>
      </c>
      <c r="AN573" s="31">
        <f>SUM($T573:AA573)</f>
        <v>0</v>
      </c>
      <c r="AO573" s="31">
        <f>SUM($T573:AB573)</f>
        <v>0</v>
      </c>
      <c r="AP573" s="31">
        <f>SUM($T573:AC573)</f>
        <v>0</v>
      </c>
      <c r="AQ573" s="31">
        <f>SUM($T573:AD573)</f>
        <v>0</v>
      </c>
      <c r="AR573" s="31">
        <f>SUM($T573:AE573)</f>
        <v>0</v>
      </c>
      <c r="AS573" s="27">
        <f t="shared" si="87"/>
        <v>0</v>
      </c>
    </row>
    <row r="574" spans="2:45">
      <c r="B574" s="102" t="str">
        <f>IF(ROW()-6&gt;NumCostCenter,"",IF(CostCenter&lt;&gt;"ALL",CostCenter,DATA_LF2!B572))</f>
        <v/>
      </c>
      <c r="C574" s="153" t="str">
        <f>IF($B574&lt;&gt;"",INDEX(DataOB[],FirstRow+ROW()-7,2),"")</f>
        <v/>
      </c>
      <c r="D574" s="66" t="str">
        <f>IF($B574&lt;&gt;"",INDEX(DataOB[],FirstRow+ROW()-7,3),"")</f>
        <v/>
      </c>
      <c r="E574" s="103" t="str">
        <f>IF($B574&lt;&gt;"",INDEX(DataOB[],FirstRow+ROW()-7,6),"")</f>
        <v/>
      </c>
      <c r="F574" s="103" t="str">
        <f>IF($B574&lt;&gt;"",INDEX(DataOB[],FirstRow+ROW()-7,5),"")</f>
        <v/>
      </c>
      <c r="G574" s="58">
        <f>IF($B574&lt;&gt;"",SUMIFS(DataAct_tbl[AMOUNT],DataAct_tbl[BG CODE],Detail!$D574,DataAct_tbl[MONTH],LEFT(MonthName,3),DataAct_tbl[Dept code],$B574),0)</f>
        <v>0</v>
      </c>
      <c r="H574" s="31" t="str">
        <f t="shared" si="79"/>
        <v/>
      </c>
      <c r="I574" s="28" t="str">
        <f t="shared" si="80"/>
        <v/>
      </c>
      <c r="J574" s="32" t="str">
        <f t="shared" si="81"/>
        <v/>
      </c>
      <c r="K574" s="86"/>
      <c r="L574" s="62">
        <f>IF($B574&lt;&gt;"",SUMIFS(DataAct_tbl[AMOUNT],DataAct_tbl[BG CODE],Detail!$D574,DataAct_tbl[Check Range],"=true",DataAct_tbl[Dept code],$B574),0)</f>
        <v>0</v>
      </c>
      <c r="M574" s="63">
        <f>INDEX($AG$7:$AR$1005,ROW()-6,MATCH(MTD,$AG$6:$AR$6,0))</f>
        <v>0</v>
      </c>
      <c r="N574" s="34">
        <f t="shared" si="82"/>
        <v>0</v>
      </c>
      <c r="O574" s="64" t="str">
        <f t="shared" si="83"/>
        <v xml:space="preserve"> </v>
      </c>
      <c r="Q574" s="97">
        <f t="shared" si="84"/>
        <v>0</v>
      </c>
      <c r="R574" s="96">
        <f t="shared" si="85"/>
        <v>0</v>
      </c>
      <c r="T574" s="67" t="str">
        <f>IF($B574&lt;&gt;"",INDEX(DataOB[],FirstRow+ROW()-7,MATCH(T$6,DataOB[#Headers],0)),"")</f>
        <v/>
      </c>
      <c r="U574" s="67" t="str">
        <f>IF($B574&lt;&gt;"",INDEX(DataOB[],FirstRow+ROW()-7,MATCH(U$6,DataOB[#Headers],0)),"")</f>
        <v/>
      </c>
      <c r="V574" s="67" t="str">
        <f>IF($B574&lt;&gt;"",INDEX(DataOB[],FirstRow+ROW()-7,MATCH(V$6,DataOB[#Headers],0)),"")</f>
        <v/>
      </c>
      <c r="W574" s="67" t="str">
        <f>IF($B574&lt;&gt;"",INDEX(DataOB[],FirstRow+ROW()-7,MATCH(W$6,DataOB[#Headers],0)),"")</f>
        <v/>
      </c>
      <c r="X574" s="67" t="str">
        <f>IF($B574&lt;&gt;"",INDEX(DataOB[],FirstRow+ROW()-7,MATCH(X$6,DataOB[#Headers],0)),"")</f>
        <v/>
      </c>
      <c r="Y574" s="67" t="str">
        <f>IF($B574&lt;&gt;"",INDEX(DataOB[],FirstRow+ROW()-7,MATCH(Y$6,DataOB[#Headers],0)),"")</f>
        <v/>
      </c>
      <c r="Z574" s="67" t="str">
        <f>IF($B574&lt;&gt;"",INDEX(DataOB[],FirstRow+ROW()-7,MATCH(Z$6,DataOB[#Headers],0)),"")</f>
        <v/>
      </c>
      <c r="AA574" s="67" t="str">
        <f>IF($B574&lt;&gt;"",INDEX(DataOB[],FirstRow+ROW()-7,MATCH(AA$6,DataOB[#Headers],0)),"")</f>
        <v/>
      </c>
      <c r="AB574" s="67" t="str">
        <f>IF($B574&lt;&gt;"",INDEX(DataOB[],FirstRow+ROW()-7,MATCH(AB$6,DataOB[#Headers],0)),"")</f>
        <v/>
      </c>
      <c r="AC574" s="67" t="str">
        <f>IF($B574&lt;&gt;"",INDEX(DataOB[],FirstRow+ROW()-7,MATCH(AC$6,DataOB[#Headers],0)),"")</f>
        <v/>
      </c>
      <c r="AD574" s="67" t="str">
        <f>IF($B574&lt;&gt;"",INDEX(DataOB[],FirstRow+ROW()-7,MATCH(AD$6,DataOB[#Headers],0)),"")</f>
        <v/>
      </c>
      <c r="AE574" s="67" t="str">
        <f>IF($B574&lt;&gt;"",INDEX(DataOB[],FirstRow+ROW()-7,MATCH(AE$6,DataOB[#Headers],0)),"")</f>
        <v/>
      </c>
      <c r="AF574" s="26">
        <f t="shared" si="86"/>
        <v>0</v>
      </c>
      <c r="AG574" s="31">
        <f>SUM($T574:T574)</f>
        <v>0</v>
      </c>
      <c r="AH574" s="31">
        <f>SUM($T574:U574)</f>
        <v>0</v>
      </c>
      <c r="AI574" s="31">
        <f>SUM($T574:V574)</f>
        <v>0</v>
      </c>
      <c r="AJ574" s="31">
        <f>SUM($T574:W574)</f>
        <v>0</v>
      </c>
      <c r="AK574" s="31">
        <f>SUM($T574:X574)</f>
        <v>0</v>
      </c>
      <c r="AL574" s="31">
        <f>SUM($T574:Y574)</f>
        <v>0</v>
      </c>
      <c r="AM574" s="31">
        <f>SUM($T574:Z574)</f>
        <v>0</v>
      </c>
      <c r="AN574" s="31">
        <f>SUM($T574:AA574)</f>
        <v>0</v>
      </c>
      <c r="AO574" s="31">
        <f>SUM($T574:AB574)</f>
        <v>0</v>
      </c>
      <c r="AP574" s="31">
        <f>SUM($T574:AC574)</f>
        <v>0</v>
      </c>
      <c r="AQ574" s="31">
        <f>SUM($T574:AD574)</f>
        <v>0</v>
      </c>
      <c r="AR574" s="31">
        <f>SUM($T574:AE574)</f>
        <v>0</v>
      </c>
      <c r="AS574" s="27">
        <f t="shared" si="87"/>
        <v>0</v>
      </c>
    </row>
    <row r="575" spans="2:45">
      <c r="B575" s="102" t="str">
        <f>IF(ROW()-6&gt;NumCostCenter,"",IF(CostCenter&lt;&gt;"ALL",CostCenter,DATA_LF2!B573))</f>
        <v/>
      </c>
      <c r="C575" s="153" t="str">
        <f>IF($B575&lt;&gt;"",INDEX(DataOB[],FirstRow+ROW()-7,2),"")</f>
        <v/>
      </c>
      <c r="D575" s="66" t="str">
        <f>IF($B575&lt;&gt;"",INDEX(DataOB[],FirstRow+ROW()-7,3),"")</f>
        <v/>
      </c>
      <c r="E575" s="103" t="str">
        <f>IF($B575&lt;&gt;"",INDEX(DataOB[],FirstRow+ROW()-7,6),"")</f>
        <v/>
      </c>
      <c r="F575" s="103" t="str">
        <f>IF($B575&lt;&gt;"",INDEX(DataOB[],FirstRow+ROW()-7,5),"")</f>
        <v/>
      </c>
      <c r="G575" s="58">
        <f>IF($B575&lt;&gt;"",SUMIFS(DataAct_tbl[AMOUNT],DataAct_tbl[BG CODE],Detail!$D575,DataAct_tbl[MONTH],LEFT(MonthName,3),DataAct_tbl[Dept code],$B575),0)</f>
        <v>0</v>
      </c>
      <c r="H575" s="31" t="str">
        <f t="shared" si="79"/>
        <v/>
      </c>
      <c r="I575" s="28" t="str">
        <f t="shared" si="80"/>
        <v/>
      </c>
      <c r="J575" s="32" t="str">
        <f t="shared" si="81"/>
        <v/>
      </c>
      <c r="K575" s="86"/>
      <c r="L575" s="62">
        <f>IF($B575&lt;&gt;"",SUMIFS(DataAct_tbl[AMOUNT],DataAct_tbl[BG CODE],Detail!$D575,DataAct_tbl[Check Range],"=true",DataAct_tbl[Dept code],$B575),0)</f>
        <v>0</v>
      </c>
      <c r="M575" s="63">
        <f>INDEX($AG$7:$AR$1005,ROW()-6,MATCH(MTD,$AG$6:$AR$6,0))</f>
        <v>0</v>
      </c>
      <c r="N575" s="34">
        <f t="shared" si="82"/>
        <v>0</v>
      </c>
      <c r="O575" s="64" t="str">
        <f t="shared" si="83"/>
        <v xml:space="preserve"> </v>
      </c>
      <c r="Q575" s="97">
        <f t="shared" si="84"/>
        <v>0</v>
      </c>
      <c r="R575" s="96">
        <f t="shared" si="85"/>
        <v>0</v>
      </c>
      <c r="T575" s="67" t="str">
        <f>IF($B575&lt;&gt;"",INDEX(DataOB[],FirstRow+ROW()-7,MATCH(T$6,DataOB[#Headers],0)),"")</f>
        <v/>
      </c>
      <c r="U575" s="67" t="str">
        <f>IF($B575&lt;&gt;"",INDEX(DataOB[],FirstRow+ROW()-7,MATCH(U$6,DataOB[#Headers],0)),"")</f>
        <v/>
      </c>
      <c r="V575" s="67" t="str">
        <f>IF($B575&lt;&gt;"",INDEX(DataOB[],FirstRow+ROW()-7,MATCH(V$6,DataOB[#Headers],0)),"")</f>
        <v/>
      </c>
      <c r="W575" s="67" t="str">
        <f>IF($B575&lt;&gt;"",INDEX(DataOB[],FirstRow+ROW()-7,MATCH(W$6,DataOB[#Headers],0)),"")</f>
        <v/>
      </c>
      <c r="X575" s="67" t="str">
        <f>IF($B575&lt;&gt;"",INDEX(DataOB[],FirstRow+ROW()-7,MATCH(X$6,DataOB[#Headers],0)),"")</f>
        <v/>
      </c>
      <c r="Y575" s="67" t="str">
        <f>IF($B575&lt;&gt;"",INDEX(DataOB[],FirstRow+ROW()-7,MATCH(Y$6,DataOB[#Headers],0)),"")</f>
        <v/>
      </c>
      <c r="Z575" s="67" t="str">
        <f>IF($B575&lt;&gt;"",INDEX(DataOB[],FirstRow+ROW()-7,MATCH(Z$6,DataOB[#Headers],0)),"")</f>
        <v/>
      </c>
      <c r="AA575" s="67" t="str">
        <f>IF($B575&lt;&gt;"",INDEX(DataOB[],FirstRow+ROW()-7,MATCH(AA$6,DataOB[#Headers],0)),"")</f>
        <v/>
      </c>
      <c r="AB575" s="67" t="str">
        <f>IF($B575&lt;&gt;"",INDEX(DataOB[],FirstRow+ROW()-7,MATCH(AB$6,DataOB[#Headers],0)),"")</f>
        <v/>
      </c>
      <c r="AC575" s="67" t="str">
        <f>IF($B575&lt;&gt;"",INDEX(DataOB[],FirstRow+ROW()-7,MATCH(AC$6,DataOB[#Headers],0)),"")</f>
        <v/>
      </c>
      <c r="AD575" s="67" t="str">
        <f>IF($B575&lt;&gt;"",INDEX(DataOB[],FirstRow+ROW()-7,MATCH(AD$6,DataOB[#Headers],0)),"")</f>
        <v/>
      </c>
      <c r="AE575" s="67" t="str">
        <f>IF($B575&lt;&gt;"",INDEX(DataOB[],FirstRow+ROW()-7,MATCH(AE$6,DataOB[#Headers],0)),"")</f>
        <v/>
      </c>
      <c r="AF575" s="26">
        <f t="shared" si="86"/>
        <v>0</v>
      </c>
      <c r="AG575" s="31">
        <f>SUM($T575:T575)</f>
        <v>0</v>
      </c>
      <c r="AH575" s="31">
        <f>SUM($T575:U575)</f>
        <v>0</v>
      </c>
      <c r="AI575" s="31">
        <f>SUM($T575:V575)</f>
        <v>0</v>
      </c>
      <c r="AJ575" s="31">
        <f>SUM($T575:W575)</f>
        <v>0</v>
      </c>
      <c r="AK575" s="31">
        <f>SUM($T575:X575)</f>
        <v>0</v>
      </c>
      <c r="AL575" s="31">
        <f>SUM($T575:Y575)</f>
        <v>0</v>
      </c>
      <c r="AM575" s="31">
        <f>SUM($T575:Z575)</f>
        <v>0</v>
      </c>
      <c r="AN575" s="31">
        <f>SUM($T575:AA575)</f>
        <v>0</v>
      </c>
      <c r="AO575" s="31">
        <f>SUM($T575:AB575)</f>
        <v>0</v>
      </c>
      <c r="AP575" s="31">
        <f>SUM($T575:AC575)</f>
        <v>0</v>
      </c>
      <c r="AQ575" s="31">
        <f>SUM($T575:AD575)</f>
        <v>0</v>
      </c>
      <c r="AR575" s="31">
        <f>SUM($T575:AE575)</f>
        <v>0</v>
      </c>
      <c r="AS575" s="27">
        <f t="shared" si="87"/>
        <v>0</v>
      </c>
    </row>
    <row r="576" spans="2:45">
      <c r="B576" s="102" t="str">
        <f>IF(ROW()-6&gt;NumCostCenter,"",IF(CostCenter&lt;&gt;"ALL",CostCenter,DATA_LF2!B574))</f>
        <v/>
      </c>
      <c r="C576" s="153" t="str">
        <f>IF($B576&lt;&gt;"",INDEX(DataOB[],FirstRow+ROW()-7,2),"")</f>
        <v/>
      </c>
      <c r="D576" s="66" t="str">
        <f>IF($B576&lt;&gt;"",INDEX(DataOB[],FirstRow+ROW()-7,3),"")</f>
        <v/>
      </c>
      <c r="E576" s="103" t="str">
        <f>IF($B576&lt;&gt;"",INDEX(DataOB[],FirstRow+ROW()-7,6),"")</f>
        <v/>
      </c>
      <c r="F576" s="103" t="str">
        <f>IF($B576&lt;&gt;"",INDEX(DataOB[],FirstRow+ROW()-7,5),"")</f>
        <v/>
      </c>
      <c r="G576" s="58">
        <f>IF($B576&lt;&gt;"",SUMIFS(DataAct_tbl[AMOUNT],DataAct_tbl[BG CODE],Detail!$D576,DataAct_tbl[MONTH],LEFT(MonthName,3),DataAct_tbl[Dept code],$B576),0)</f>
        <v>0</v>
      </c>
      <c r="H576" s="31" t="str">
        <f t="shared" si="79"/>
        <v/>
      </c>
      <c r="I576" s="28" t="str">
        <f t="shared" si="80"/>
        <v/>
      </c>
      <c r="J576" s="32" t="str">
        <f t="shared" si="81"/>
        <v/>
      </c>
      <c r="K576" s="86"/>
      <c r="L576" s="62">
        <f>IF($B576&lt;&gt;"",SUMIFS(DataAct_tbl[AMOUNT],DataAct_tbl[BG CODE],Detail!$D576,DataAct_tbl[Check Range],"=true",DataAct_tbl[Dept code],$B576),0)</f>
        <v>0</v>
      </c>
      <c r="M576" s="63">
        <f>INDEX($AG$7:$AR$1005,ROW()-6,MATCH(MTD,$AG$6:$AR$6,0))</f>
        <v>0</v>
      </c>
      <c r="N576" s="34">
        <f t="shared" si="82"/>
        <v>0</v>
      </c>
      <c r="O576" s="64" t="str">
        <f t="shared" si="83"/>
        <v xml:space="preserve"> </v>
      </c>
      <c r="Q576" s="97">
        <f t="shared" si="84"/>
        <v>0</v>
      </c>
      <c r="R576" s="96">
        <f t="shared" si="85"/>
        <v>0</v>
      </c>
      <c r="T576" s="67" t="str">
        <f>IF($B576&lt;&gt;"",INDEX(DataOB[],FirstRow+ROW()-7,MATCH(T$6,DataOB[#Headers],0)),"")</f>
        <v/>
      </c>
      <c r="U576" s="67" t="str">
        <f>IF($B576&lt;&gt;"",INDEX(DataOB[],FirstRow+ROW()-7,MATCH(U$6,DataOB[#Headers],0)),"")</f>
        <v/>
      </c>
      <c r="V576" s="67" t="str">
        <f>IF($B576&lt;&gt;"",INDEX(DataOB[],FirstRow+ROW()-7,MATCH(V$6,DataOB[#Headers],0)),"")</f>
        <v/>
      </c>
      <c r="W576" s="67" t="str">
        <f>IF($B576&lt;&gt;"",INDEX(DataOB[],FirstRow+ROW()-7,MATCH(W$6,DataOB[#Headers],0)),"")</f>
        <v/>
      </c>
      <c r="X576" s="67" t="str">
        <f>IF($B576&lt;&gt;"",INDEX(DataOB[],FirstRow+ROW()-7,MATCH(X$6,DataOB[#Headers],0)),"")</f>
        <v/>
      </c>
      <c r="Y576" s="67" t="str">
        <f>IF($B576&lt;&gt;"",INDEX(DataOB[],FirstRow+ROW()-7,MATCH(Y$6,DataOB[#Headers],0)),"")</f>
        <v/>
      </c>
      <c r="Z576" s="67" t="str">
        <f>IF($B576&lt;&gt;"",INDEX(DataOB[],FirstRow+ROW()-7,MATCH(Z$6,DataOB[#Headers],0)),"")</f>
        <v/>
      </c>
      <c r="AA576" s="67" t="str">
        <f>IF($B576&lt;&gt;"",INDEX(DataOB[],FirstRow+ROW()-7,MATCH(AA$6,DataOB[#Headers],0)),"")</f>
        <v/>
      </c>
      <c r="AB576" s="67" t="str">
        <f>IF($B576&lt;&gt;"",INDEX(DataOB[],FirstRow+ROW()-7,MATCH(AB$6,DataOB[#Headers],0)),"")</f>
        <v/>
      </c>
      <c r="AC576" s="67" t="str">
        <f>IF($B576&lt;&gt;"",INDEX(DataOB[],FirstRow+ROW()-7,MATCH(AC$6,DataOB[#Headers],0)),"")</f>
        <v/>
      </c>
      <c r="AD576" s="67" t="str">
        <f>IF($B576&lt;&gt;"",INDEX(DataOB[],FirstRow+ROW()-7,MATCH(AD$6,DataOB[#Headers],0)),"")</f>
        <v/>
      </c>
      <c r="AE576" s="67" t="str">
        <f>IF($B576&lt;&gt;"",INDEX(DataOB[],FirstRow+ROW()-7,MATCH(AE$6,DataOB[#Headers],0)),"")</f>
        <v/>
      </c>
      <c r="AF576" s="26">
        <f t="shared" si="86"/>
        <v>0</v>
      </c>
      <c r="AG576" s="31">
        <f>SUM($T576:T576)</f>
        <v>0</v>
      </c>
      <c r="AH576" s="31">
        <f>SUM($T576:U576)</f>
        <v>0</v>
      </c>
      <c r="AI576" s="31">
        <f>SUM($T576:V576)</f>
        <v>0</v>
      </c>
      <c r="AJ576" s="31">
        <f>SUM($T576:W576)</f>
        <v>0</v>
      </c>
      <c r="AK576" s="31">
        <f>SUM($T576:X576)</f>
        <v>0</v>
      </c>
      <c r="AL576" s="31">
        <f>SUM($T576:Y576)</f>
        <v>0</v>
      </c>
      <c r="AM576" s="31">
        <f>SUM($T576:Z576)</f>
        <v>0</v>
      </c>
      <c r="AN576" s="31">
        <f>SUM($T576:AA576)</f>
        <v>0</v>
      </c>
      <c r="AO576" s="31">
        <f>SUM($T576:AB576)</f>
        <v>0</v>
      </c>
      <c r="AP576" s="31">
        <f>SUM($T576:AC576)</f>
        <v>0</v>
      </c>
      <c r="AQ576" s="31">
        <f>SUM($T576:AD576)</f>
        <v>0</v>
      </c>
      <c r="AR576" s="31">
        <f>SUM($T576:AE576)</f>
        <v>0</v>
      </c>
      <c r="AS576" s="27">
        <f t="shared" si="87"/>
        <v>0</v>
      </c>
    </row>
    <row r="577" spans="2:45">
      <c r="B577" s="102" t="str">
        <f>IF(ROW()-6&gt;NumCostCenter,"",IF(CostCenter&lt;&gt;"ALL",CostCenter,DATA_LF2!B575))</f>
        <v/>
      </c>
      <c r="C577" s="153" t="str">
        <f>IF($B577&lt;&gt;"",INDEX(DataOB[],FirstRow+ROW()-7,2),"")</f>
        <v/>
      </c>
      <c r="D577" s="66" t="str">
        <f>IF($B577&lt;&gt;"",INDEX(DataOB[],FirstRow+ROW()-7,3),"")</f>
        <v/>
      </c>
      <c r="E577" s="103" t="str">
        <f>IF($B577&lt;&gt;"",INDEX(DataOB[],FirstRow+ROW()-7,6),"")</f>
        <v/>
      </c>
      <c r="F577" s="103" t="str">
        <f>IF($B577&lt;&gt;"",INDEX(DataOB[],FirstRow+ROW()-7,5),"")</f>
        <v/>
      </c>
      <c r="G577" s="58">
        <f>IF($B577&lt;&gt;"",SUMIFS(DataAct_tbl[AMOUNT],DataAct_tbl[BG CODE],Detail!$D577,DataAct_tbl[MONTH],LEFT(MonthName,3),DataAct_tbl[Dept code],$B577),0)</f>
        <v>0</v>
      </c>
      <c r="H577" s="31" t="str">
        <f t="shared" si="79"/>
        <v/>
      </c>
      <c r="I577" s="28" t="str">
        <f t="shared" si="80"/>
        <v/>
      </c>
      <c r="J577" s="32" t="str">
        <f t="shared" si="81"/>
        <v/>
      </c>
      <c r="K577" s="86"/>
      <c r="L577" s="62">
        <f>IF($B577&lt;&gt;"",SUMIFS(DataAct_tbl[AMOUNT],DataAct_tbl[BG CODE],Detail!$D577,DataAct_tbl[Check Range],"=true",DataAct_tbl[Dept code],$B577),0)</f>
        <v>0</v>
      </c>
      <c r="M577" s="63">
        <f>INDEX($AG$7:$AR$1005,ROW()-6,MATCH(MTD,$AG$6:$AR$6,0))</f>
        <v>0</v>
      </c>
      <c r="N577" s="34">
        <f t="shared" si="82"/>
        <v>0</v>
      </c>
      <c r="O577" s="64" t="str">
        <f t="shared" si="83"/>
        <v xml:space="preserve"> </v>
      </c>
      <c r="Q577" s="97">
        <f t="shared" si="84"/>
        <v>0</v>
      </c>
      <c r="R577" s="96">
        <f t="shared" si="85"/>
        <v>0</v>
      </c>
      <c r="T577" s="67" t="str">
        <f>IF($B577&lt;&gt;"",INDEX(DataOB[],FirstRow+ROW()-7,MATCH(T$6,DataOB[#Headers],0)),"")</f>
        <v/>
      </c>
      <c r="U577" s="67" t="str">
        <f>IF($B577&lt;&gt;"",INDEX(DataOB[],FirstRow+ROW()-7,MATCH(U$6,DataOB[#Headers],0)),"")</f>
        <v/>
      </c>
      <c r="V577" s="67" t="str">
        <f>IF($B577&lt;&gt;"",INDEX(DataOB[],FirstRow+ROW()-7,MATCH(V$6,DataOB[#Headers],0)),"")</f>
        <v/>
      </c>
      <c r="W577" s="67" t="str">
        <f>IF($B577&lt;&gt;"",INDEX(DataOB[],FirstRow+ROW()-7,MATCH(W$6,DataOB[#Headers],0)),"")</f>
        <v/>
      </c>
      <c r="X577" s="67" t="str">
        <f>IF($B577&lt;&gt;"",INDEX(DataOB[],FirstRow+ROW()-7,MATCH(X$6,DataOB[#Headers],0)),"")</f>
        <v/>
      </c>
      <c r="Y577" s="67" t="str">
        <f>IF($B577&lt;&gt;"",INDEX(DataOB[],FirstRow+ROW()-7,MATCH(Y$6,DataOB[#Headers],0)),"")</f>
        <v/>
      </c>
      <c r="Z577" s="67" t="str">
        <f>IF($B577&lt;&gt;"",INDEX(DataOB[],FirstRow+ROW()-7,MATCH(Z$6,DataOB[#Headers],0)),"")</f>
        <v/>
      </c>
      <c r="AA577" s="67" t="str">
        <f>IF($B577&lt;&gt;"",INDEX(DataOB[],FirstRow+ROW()-7,MATCH(AA$6,DataOB[#Headers],0)),"")</f>
        <v/>
      </c>
      <c r="AB577" s="67" t="str">
        <f>IF($B577&lt;&gt;"",INDEX(DataOB[],FirstRow+ROW()-7,MATCH(AB$6,DataOB[#Headers],0)),"")</f>
        <v/>
      </c>
      <c r="AC577" s="67" t="str">
        <f>IF($B577&lt;&gt;"",INDEX(DataOB[],FirstRow+ROW()-7,MATCH(AC$6,DataOB[#Headers],0)),"")</f>
        <v/>
      </c>
      <c r="AD577" s="67" t="str">
        <f>IF($B577&lt;&gt;"",INDEX(DataOB[],FirstRow+ROW()-7,MATCH(AD$6,DataOB[#Headers],0)),"")</f>
        <v/>
      </c>
      <c r="AE577" s="67" t="str">
        <f>IF($B577&lt;&gt;"",INDEX(DataOB[],FirstRow+ROW()-7,MATCH(AE$6,DataOB[#Headers],0)),"")</f>
        <v/>
      </c>
      <c r="AF577" s="26">
        <f t="shared" si="86"/>
        <v>0</v>
      </c>
      <c r="AG577" s="31">
        <f>SUM($T577:T577)</f>
        <v>0</v>
      </c>
      <c r="AH577" s="31">
        <f>SUM($T577:U577)</f>
        <v>0</v>
      </c>
      <c r="AI577" s="31">
        <f>SUM($T577:V577)</f>
        <v>0</v>
      </c>
      <c r="AJ577" s="31">
        <f>SUM($T577:W577)</f>
        <v>0</v>
      </c>
      <c r="AK577" s="31">
        <f>SUM($T577:X577)</f>
        <v>0</v>
      </c>
      <c r="AL577" s="31">
        <f>SUM($T577:Y577)</f>
        <v>0</v>
      </c>
      <c r="AM577" s="31">
        <f>SUM($T577:Z577)</f>
        <v>0</v>
      </c>
      <c r="AN577" s="31">
        <f>SUM($T577:AA577)</f>
        <v>0</v>
      </c>
      <c r="AO577" s="31">
        <f>SUM($T577:AB577)</f>
        <v>0</v>
      </c>
      <c r="AP577" s="31">
        <f>SUM($T577:AC577)</f>
        <v>0</v>
      </c>
      <c r="AQ577" s="31">
        <f>SUM($T577:AD577)</f>
        <v>0</v>
      </c>
      <c r="AR577" s="31">
        <f>SUM($T577:AE577)</f>
        <v>0</v>
      </c>
      <c r="AS577" s="27">
        <f t="shared" si="87"/>
        <v>0</v>
      </c>
    </row>
    <row r="578" spans="2:45">
      <c r="B578" s="102" t="str">
        <f>IF(ROW()-6&gt;NumCostCenter,"",IF(CostCenter&lt;&gt;"ALL",CostCenter,DATA_LF2!B576))</f>
        <v/>
      </c>
      <c r="C578" s="153" t="str">
        <f>IF($B578&lt;&gt;"",INDEX(DataOB[],FirstRow+ROW()-7,2),"")</f>
        <v/>
      </c>
      <c r="D578" s="66" t="str">
        <f>IF($B578&lt;&gt;"",INDEX(DataOB[],FirstRow+ROW()-7,3),"")</f>
        <v/>
      </c>
      <c r="E578" s="103" t="str">
        <f>IF($B578&lt;&gt;"",INDEX(DataOB[],FirstRow+ROW()-7,6),"")</f>
        <v/>
      </c>
      <c r="F578" s="103" t="str">
        <f>IF($B578&lt;&gt;"",INDEX(DataOB[],FirstRow+ROW()-7,5),"")</f>
        <v/>
      </c>
      <c r="G578" s="58">
        <f>IF($B578&lt;&gt;"",SUMIFS(DataAct_tbl[AMOUNT],DataAct_tbl[BG CODE],Detail!$D578,DataAct_tbl[MONTH],LEFT(MonthName,3),DataAct_tbl[Dept code],$B578),0)</f>
        <v>0</v>
      </c>
      <c r="H578" s="31" t="str">
        <f t="shared" si="79"/>
        <v/>
      </c>
      <c r="I578" s="28" t="str">
        <f t="shared" si="80"/>
        <v/>
      </c>
      <c r="J578" s="32" t="str">
        <f t="shared" si="81"/>
        <v/>
      </c>
      <c r="K578" s="86"/>
      <c r="L578" s="62">
        <f>IF($B578&lt;&gt;"",SUMIFS(DataAct_tbl[AMOUNT],DataAct_tbl[BG CODE],Detail!$D578,DataAct_tbl[Check Range],"=true",DataAct_tbl[Dept code],$B578),0)</f>
        <v>0</v>
      </c>
      <c r="M578" s="63">
        <f>INDEX($AG$7:$AR$1005,ROW()-6,MATCH(MTD,$AG$6:$AR$6,0))</f>
        <v>0</v>
      </c>
      <c r="N578" s="34">
        <f t="shared" si="82"/>
        <v>0</v>
      </c>
      <c r="O578" s="64" t="str">
        <f t="shared" si="83"/>
        <v xml:space="preserve"> </v>
      </c>
      <c r="Q578" s="97">
        <f t="shared" si="84"/>
        <v>0</v>
      </c>
      <c r="R578" s="96">
        <f t="shared" si="85"/>
        <v>0</v>
      </c>
      <c r="T578" s="67" t="str">
        <f>IF($B578&lt;&gt;"",INDEX(DataOB[],FirstRow+ROW()-7,MATCH(T$6,DataOB[#Headers],0)),"")</f>
        <v/>
      </c>
      <c r="U578" s="67" t="str">
        <f>IF($B578&lt;&gt;"",INDEX(DataOB[],FirstRow+ROW()-7,MATCH(U$6,DataOB[#Headers],0)),"")</f>
        <v/>
      </c>
      <c r="V578" s="67" t="str">
        <f>IF($B578&lt;&gt;"",INDEX(DataOB[],FirstRow+ROW()-7,MATCH(V$6,DataOB[#Headers],0)),"")</f>
        <v/>
      </c>
      <c r="W578" s="67" t="str">
        <f>IF($B578&lt;&gt;"",INDEX(DataOB[],FirstRow+ROW()-7,MATCH(W$6,DataOB[#Headers],0)),"")</f>
        <v/>
      </c>
      <c r="X578" s="67" t="str">
        <f>IF($B578&lt;&gt;"",INDEX(DataOB[],FirstRow+ROW()-7,MATCH(X$6,DataOB[#Headers],0)),"")</f>
        <v/>
      </c>
      <c r="Y578" s="67" t="str">
        <f>IF($B578&lt;&gt;"",INDEX(DataOB[],FirstRow+ROW()-7,MATCH(Y$6,DataOB[#Headers],0)),"")</f>
        <v/>
      </c>
      <c r="Z578" s="67" t="str">
        <f>IF($B578&lt;&gt;"",INDEX(DataOB[],FirstRow+ROW()-7,MATCH(Z$6,DataOB[#Headers],0)),"")</f>
        <v/>
      </c>
      <c r="AA578" s="67" t="str">
        <f>IF($B578&lt;&gt;"",INDEX(DataOB[],FirstRow+ROW()-7,MATCH(AA$6,DataOB[#Headers],0)),"")</f>
        <v/>
      </c>
      <c r="AB578" s="67" t="str">
        <f>IF($B578&lt;&gt;"",INDEX(DataOB[],FirstRow+ROW()-7,MATCH(AB$6,DataOB[#Headers],0)),"")</f>
        <v/>
      </c>
      <c r="AC578" s="67" t="str">
        <f>IF($B578&lt;&gt;"",INDEX(DataOB[],FirstRow+ROW()-7,MATCH(AC$6,DataOB[#Headers],0)),"")</f>
        <v/>
      </c>
      <c r="AD578" s="67" t="str">
        <f>IF($B578&lt;&gt;"",INDEX(DataOB[],FirstRow+ROW()-7,MATCH(AD$6,DataOB[#Headers],0)),"")</f>
        <v/>
      </c>
      <c r="AE578" s="67" t="str">
        <f>IF($B578&lt;&gt;"",INDEX(DataOB[],FirstRow+ROW()-7,MATCH(AE$6,DataOB[#Headers],0)),"")</f>
        <v/>
      </c>
      <c r="AF578" s="26">
        <f t="shared" si="86"/>
        <v>0</v>
      </c>
      <c r="AG578" s="31">
        <f>SUM($T578:T578)</f>
        <v>0</v>
      </c>
      <c r="AH578" s="31">
        <f>SUM($T578:U578)</f>
        <v>0</v>
      </c>
      <c r="AI578" s="31">
        <f>SUM($T578:V578)</f>
        <v>0</v>
      </c>
      <c r="AJ578" s="31">
        <f>SUM($T578:W578)</f>
        <v>0</v>
      </c>
      <c r="AK578" s="31">
        <f>SUM($T578:X578)</f>
        <v>0</v>
      </c>
      <c r="AL578" s="31">
        <f>SUM($T578:Y578)</f>
        <v>0</v>
      </c>
      <c r="AM578" s="31">
        <f>SUM($T578:Z578)</f>
        <v>0</v>
      </c>
      <c r="AN578" s="31">
        <f>SUM($T578:AA578)</f>
        <v>0</v>
      </c>
      <c r="AO578" s="31">
        <f>SUM($T578:AB578)</f>
        <v>0</v>
      </c>
      <c r="AP578" s="31">
        <f>SUM($T578:AC578)</f>
        <v>0</v>
      </c>
      <c r="AQ578" s="31">
        <f>SUM($T578:AD578)</f>
        <v>0</v>
      </c>
      <c r="AR578" s="31">
        <f>SUM($T578:AE578)</f>
        <v>0</v>
      </c>
      <c r="AS578" s="27">
        <f t="shared" si="87"/>
        <v>0</v>
      </c>
    </row>
    <row r="579" spans="2:45">
      <c r="B579" s="102" t="str">
        <f>IF(ROW()-6&gt;NumCostCenter,"",IF(CostCenter&lt;&gt;"ALL",CostCenter,DATA_LF2!B577))</f>
        <v/>
      </c>
      <c r="C579" s="153" t="str">
        <f>IF($B579&lt;&gt;"",INDEX(DataOB[],FirstRow+ROW()-7,2),"")</f>
        <v/>
      </c>
      <c r="D579" s="66" t="str">
        <f>IF($B579&lt;&gt;"",INDEX(DataOB[],FirstRow+ROW()-7,3),"")</f>
        <v/>
      </c>
      <c r="E579" s="103" t="str">
        <f>IF($B579&lt;&gt;"",INDEX(DataOB[],FirstRow+ROW()-7,6),"")</f>
        <v/>
      </c>
      <c r="F579" s="103" t="str">
        <f>IF($B579&lt;&gt;"",INDEX(DataOB[],FirstRow+ROW()-7,5),"")</f>
        <v/>
      </c>
      <c r="G579" s="58">
        <f>IF($B579&lt;&gt;"",SUMIFS(DataAct_tbl[AMOUNT],DataAct_tbl[BG CODE],Detail!$D579,DataAct_tbl[MONTH],LEFT(MonthName,3),DataAct_tbl[Dept code],$B579),0)</f>
        <v>0</v>
      </c>
      <c r="H579" s="31" t="str">
        <f t="shared" si="79"/>
        <v/>
      </c>
      <c r="I579" s="28" t="str">
        <f t="shared" si="80"/>
        <v/>
      </c>
      <c r="J579" s="32" t="str">
        <f t="shared" si="81"/>
        <v/>
      </c>
      <c r="K579" s="86"/>
      <c r="L579" s="62">
        <f>IF($B579&lt;&gt;"",SUMIFS(DataAct_tbl[AMOUNT],DataAct_tbl[BG CODE],Detail!$D579,DataAct_tbl[Check Range],"=true",DataAct_tbl[Dept code],$B579),0)</f>
        <v>0</v>
      </c>
      <c r="M579" s="63">
        <f>INDEX($AG$7:$AR$1005,ROW()-6,MATCH(MTD,$AG$6:$AR$6,0))</f>
        <v>0</v>
      </c>
      <c r="N579" s="34">
        <f t="shared" si="82"/>
        <v>0</v>
      </c>
      <c r="O579" s="64" t="str">
        <f t="shared" si="83"/>
        <v xml:space="preserve"> </v>
      </c>
      <c r="Q579" s="97">
        <f t="shared" si="84"/>
        <v>0</v>
      </c>
      <c r="R579" s="96">
        <f t="shared" si="85"/>
        <v>0</v>
      </c>
      <c r="T579" s="67" t="str">
        <f>IF($B579&lt;&gt;"",INDEX(DataOB[],FirstRow+ROW()-7,MATCH(T$6,DataOB[#Headers],0)),"")</f>
        <v/>
      </c>
      <c r="U579" s="67" t="str">
        <f>IF($B579&lt;&gt;"",INDEX(DataOB[],FirstRow+ROW()-7,MATCH(U$6,DataOB[#Headers],0)),"")</f>
        <v/>
      </c>
      <c r="V579" s="67" t="str">
        <f>IF($B579&lt;&gt;"",INDEX(DataOB[],FirstRow+ROW()-7,MATCH(V$6,DataOB[#Headers],0)),"")</f>
        <v/>
      </c>
      <c r="W579" s="67" t="str">
        <f>IF($B579&lt;&gt;"",INDEX(DataOB[],FirstRow+ROW()-7,MATCH(W$6,DataOB[#Headers],0)),"")</f>
        <v/>
      </c>
      <c r="X579" s="67" t="str">
        <f>IF($B579&lt;&gt;"",INDEX(DataOB[],FirstRow+ROW()-7,MATCH(X$6,DataOB[#Headers],0)),"")</f>
        <v/>
      </c>
      <c r="Y579" s="67" t="str">
        <f>IF($B579&lt;&gt;"",INDEX(DataOB[],FirstRow+ROW()-7,MATCH(Y$6,DataOB[#Headers],0)),"")</f>
        <v/>
      </c>
      <c r="Z579" s="67" t="str">
        <f>IF($B579&lt;&gt;"",INDEX(DataOB[],FirstRow+ROW()-7,MATCH(Z$6,DataOB[#Headers],0)),"")</f>
        <v/>
      </c>
      <c r="AA579" s="67" t="str">
        <f>IF($B579&lt;&gt;"",INDEX(DataOB[],FirstRow+ROW()-7,MATCH(AA$6,DataOB[#Headers],0)),"")</f>
        <v/>
      </c>
      <c r="AB579" s="67" t="str">
        <f>IF($B579&lt;&gt;"",INDEX(DataOB[],FirstRow+ROW()-7,MATCH(AB$6,DataOB[#Headers],0)),"")</f>
        <v/>
      </c>
      <c r="AC579" s="67" t="str">
        <f>IF($B579&lt;&gt;"",INDEX(DataOB[],FirstRow+ROW()-7,MATCH(AC$6,DataOB[#Headers],0)),"")</f>
        <v/>
      </c>
      <c r="AD579" s="67" t="str">
        <f>IF($B579&lt;&gt;"",INDEX(DataOB[],FirstRow+ROW()-7,MATCH(AD$6,DataOB[#Headers],0)),"")</f>
        <v/>
      </c>
      <c r="AE579" s="67" t="str">
        <f>IF($B579&lt;&gt;"",INDEX(DataOB[],FirstRow+ROW()-7,MATCH(AE$6,DataOB[#Headers],0)),"")</f>
        <v/>
      </c>
      <c r="AF579" s="26">
        <f t="shared" si="86"/>
        <v>0</v>
      </c>
      <c r="AG579" s="31">
        <f>SUM($T579:T579)</f>
        <v>0</v>
      </c>
      <c r="AH579" s="31">
        <f>SUM($T579:U579)</f>
        <v>0</v>
      </c>
      <c r="AI579" s="31">
        <f>SUM($T579:V579)</f>
        <v>0</v>
      </c>
      <c r="AJ579" s="31">
        <f>SUM($T579:W579)</f>
        <v>0</v>
      </c>
      <c r="AK579" s="31">
        <f>SUM($T579:X579)</f>
        <v>0</v>
      </c>
      <c r="AL579" s="31">
        <f>SUM($T579:Y579)</f>
        <v>0</v>
      </c>
      <c r="AM579" s="31">
        <f>SUM($T579:Z579)</f>
        <v>0</v>
      </c>
      <c r="AN579" s="31">
        <f>SUM($T579:AA579)</f>
        <v>0</v>
      </c>
      <c r="AO579" s="31">
        <f>SUM($T579:AB579)</f>
        <v>0</v>
      </c>
      <c r="AP579" s="31">
        <f>SUM($T579:AC579)</f>
        <v>0</v>
      </c>
      <c r="AQ579" s="31">
        <f>SUM($T579:AD579)</f>
        <v>0</v>
      </c>
      <c r="AR579" s="31">
        <f>SUM($T579:AE579)</f>
        <v>0</v>
      </c>
      <c r="AS579" s="27">
        <f t="shared" si="87"/>
        <v>0</v>
      </c>
    </row>
    <row r="580" spans="2:45">
      <c r="B580" s="102" t="str">
        <f>IF(ROW()-6&gt;NumCostCenter,"",IF(CostCenter&lt;&gt;"ALL",CostCenter,DATA_LF2!B578))</f>
        <v/>
      </c>
      <c r="C580" s="153" t="str">
        <f>IF($B580&lt;&gt;"",INDEX(DataOB[],FirstRow+ROW()-7,2),"")</f>
        <v/>
      </c>
      <c r="D580" s="66" t="str">
        <f>IF($B580&lt;&gt;"",INDEX(DataOB[],FirstRow+ROW()-7,3),"")</f>
        <v/>
      </c>
      <c r="E580" s="103" t="str">
        <f>IF($B580&lt;&gt;"",INDEX(DataOB[],FirstRow+ROW()-7,6),"")</f>
        <v/>
      </c>
      <c r="F580" s="103" t="str">
        <f>IF($B580&lt;&gt;"",INDEX(DataOB[],FirstRow+ROW()-7,5),"")</f>
        <v/>
      </c>
      <c r="G580" s="58">
        <f>IF($B580&lt;&gt;"",SUMIFS(DataAct_tbl[AMOUNT],DataAct_tbl[BG CODE],Detail!$D580,DataAct_tbl[MONTH],LEFT(MonthName,3),DataAct_tbl[Dept code],$B580),0)</f>
        <v>0</v>
      </c>
      <c r="H580" s="31" t="str">
        <f t="shared" si="79"/>
        <v/>
      </c>
      <c r="I580" s="28" t="str">
        <f t="shared" si="80"/>
        <v/>
      </c>
      <c r="J580" s="32" t="str">
        <f t="shared" si="81"/>
        <v/>
      </c>
      <c r="K580" s="86"/>
      <c r="L580" s="62">
        <f>IF($B580&lt;&gt;"",SUMIFS(DataAct_tbl[AMOUNT],DataAct_tbl[BG CODE],Detail!$D580,DataAct_tbl[Check Range],"=true",DataAct_tbl[Dept code],$B580),0)</f>
        <v>0</v>
      </c>
      <c r="M580" s="63">
        <f>INDEX($AG$7:$AR$1005,ROW()-6,MATCH(MTD,$AG$6:$AR$6,0))</f>
        <v>0</v>
      </c>
      <c r="N580" s="34">
        <f t="shared" si="82"/>
        <v>0</v>
      </c>
      <c r="O580" s="64" t="str">
        <f t="shared" si="83"/>
        <v xml:space="preserve"> </v>
      </c>
      <c r="Q580" s="97">
        <f t="shared" si="84"/>
        <v>0</v>
      </c>
      <c r="R580" s="96">
        <f t="shared" si="85"/>
        <v>0</v>
      </c>
      <c r="T580" s="67" t="str">
        <f>IF($B580&lt;&gt;"",INDEX(DataOB[],FirstRow+ROW()-7,MATCH(T$6,DataOB[#Headers],0)),"")</f>
        <v/>
      </c>
      <c r="U580" s="67" t="str">
        <f>IF($B580&lt;&gt;"",INDEX(DataOB[],FirstRow+ROW()-7,MATCH(U$6,DataOB[#Headers],0)),"")</f>
        <v/>
      </c>
      <c r="V580" s="67" t="str">
        <f>IF($B580&lt;&gt;"",INDEX(DataOB[],FirstRow+ROW()-7,MATCH(V$6,DataOB[#Headers],0)),"")</f>
        <v/>
      </c>
      <c r="W580" s="67" t="str">
        <f>IF($B580&lt;&gt;"",INDEX(DataOB[],FirstRow+ROW()-7,MATCH(W$6,DataOB[#Headers],0)),"")</f>
        <v/>
      </c>
      <c r="X580" s="67" t="str">
        <f>IF($B580&lt;&gt;"",INDEX(DataOB[],FirstRow+ROW()-7,MATCH(X$6,DataOB[#Headers],0)),"")</f>
        <v/>
      </c>
      <c r="Y580" s="67" t="str">
        <f>IF($B580&lt;&gt;"",INDEX(DataOB[],FirstRow+ROW()-7,MATCH(Y$6,DataOB[#Headers],0)),"")</f>
        <v/>
      </c>
      <c r="Z580" s="67" t="str">
        <f>IF($B580&lt;&gt;"",INDEX(DataOB[],FirstRow+ROW()-7,MATCH(Z$6,DataOB[#Headers],0)),"")</f>
        <v/>
      </c>
      <c r="AA580" s="67" t="str">
        <f>IF($B580&lt;&gt;"",INDEX(DataOB[],FirstRow+ROW()-7,MATCH(AA$6,DataOB[#Headers],0)),"")</f>
        <v/>
      </c>
      <c r="AB580" s="67" t="str">
        <f>IF($B580&lt;&gt;"",INDEX(DataOB[],FirstRow+ROW()-7,MATCH(AB$6,DataOB[#Headers],0)),"")</f>
        <v/>
      </c>
      <c r="AC580" s="67" t="str">
        <f>IF($B580&lt;&gt;"",INDEX(DataOB[],FirstRow+ROW()-7,MATCH(AC$6,DataOB[#Headers],0)),"")</f>
        <v/>
      </c>
      <c r="AD580" s="67" t="str">
        <f>IF($B580&lt;&gt;"",INDEX(DataOB[],FirstRow+ROW()-7,MATCH(AD$6,DataOB[#Headers],0)),"")</f>
        <v/>
      </c>
      <c r="AE580" s="67" t="str">
        <f>IF($B580&lt;&gt;"",INDEX(DataOB[],FirstRow+ROW()-7,MATCH(AE$6,DataOB[#Headers],0)),"")</f>
        <v/>
      </c>
      <c r="AF580" s="26">
        <f t="shared" si="86"/>
        <v>0</v>
      </c>
      <c r="AG580" s="31">
        <f>SUM($T580:T580)</f>
        <v>0</v>
      </c>
      <c r="AH580" s="31">
        <f>SUM($T580:U580)</f>
        <v>0</v>
      </c>
      <c r="AI580" s="31">
        <f>SUM($T580:V580)</f>
        <v>0</v>
      </c>
      <c r="AJ580" s="31">
        <f>SUM($T580:W580)</f>
        <v>0</v>
      </c>
      <c r="AK580" s="31">
        <f>SUM($T580:X580)</f>
        <v>0</v>
      </c>
      <c r="AL580" s="31">
        <f>SUM($T580:Y580)</f>
        <v>0</v>
      </c>
      <c r="AM580" s="31">
        <f>SUM($T580:Z580)</f>
        <v>0</v>
      </c>
      <c r="AN580" s="31">
        <f>SUM($T580:AA580)</f>
        <v>0</v>
      </c>
      <c r="AO580" s="31">
        <f>SUM($T580:AB580)</f>
        <v>0</v>
      </c>
      <c r="AP580" s="31">
        <f>SUM($T580:AC580)</f>
        <v>0</v>
      </c>
      <c r="AQ580" s="31">
        <f>SUM($T580:AD580)</f>
        <v>0</v>
      </c>
      <c r="AR580" s="31">
        <f>SUM($T580:AE580)</f>
        <v>0</v>
      </c>
      <c r="AS580" s="27">
        <f t="shared" si="87"/>
        <v>0</v>
      </c>
    </row>
    <row r="581" spans="2:45">
      <c r="B581" s="102" t="str">
        <f>IF(ROW()-6&gt;NumCostCenter,"",IF(CostCenter&lt;&gt;"ALL",CostCenter,DATA_LF2!B579))</f>
        <v/>
      </c>
      <c r="C581" s="153" t="str">
        <f>IF($B581&lt;&gt;"",INDEX(DataOB[],FirstRow+ROW()-7,2),"")</f>
        <v/>
      </c>
      <c r="D581" s="66" t="str">
        <f>IF($B581&lt;&gt;"",INDEX(DataOB[],FirstRow+ROW()-7,3),"")</f>
        <v/>
      </c>
      <c r="E581" s="103" t="str">
        <f>IF($B581&lt;&gt;"",INDEX(DataOB[],FirstRow+ROW()-7,6),"")</f>
        <v/>
      </c>
      <c r="F581" s="103" t="str">
        <f>IF($B581&lt;&gt;"",INDEX(DataOB[],FirstRow+ROW()-7,5),"")</f>
        <v/>
      </c>
      <c r="G581" s="58">
        <f>IF($B581&lt;&gt;"",SUMIFS(DataAct_tbl[AMOUNT],DataAct_tbl[BG CODE],Detail!$D581,DataAct_tbl[MONTH],LEFT(MonthName,3),DataAct_tbl[Dept code],$B581),0)</f>
        <v>0</v>
      </c>
      <c r="H581" s="31" t="str">
        <f t="shared" si="79"/>
        <v/>
      </c>
      <c r="I581" s="28" t="str">
        <f t="shared" si="80"/>
        <v/>
      </c>
      <c r="J581" s="32" t="str">
        <f t="shared" si="81"/>
        <v/>
      </c>
      <c r="K581" s="86"/>
      <c r="L581" s="62">
        <f>IF($B581&lt;&gt;"",SUMIFS(DataAct_tbl[AMOUNT],DataAct_tbl[BG CODE],Detail!$D581,DataAct_tbl[Check Range],"=true",DataAct_tbl[Dept code],$B581),0)</f>
        <v>0</v>
      </c>
      <c r="M581" s="63">
        <f>INDEX($AG$7:$AR$1005,ROW()-6,MATCH(MTD,$AG$6:$AR$6,0))</f>
        <v>0</v>
      </c>
      <c r="N581" s="34">
        <f t="shared" si="82"/>
        <v>0</v>
      </c>
      <c r="O581" s="64" t="str">
        <f t="shared" si="83"/>
        <v xml:space="preserve"> </v>
      </c>
      <c r="Q581" s="97">
        <f t="shared" si="84"/>
        <v>0</v>
      </c>
      <c r="R581" s="96">
        <f t="shared" si="85"/>
        <v>0</v>
      </c>
      <c r="T581" s="67" t="str">
        <f>IF($B581&lt;&gt;"",INDEX(DataOB[],FirstRow+ROW()-7,MATCH(T$6,DataOB[#Headers],0)),"")</f>
        <v/>
      </c>
      <c r="U581" s="67" t="str">
        <f>IF($B581&lt;&gt;"",INDEX(DataOB[],FirstRow+ROW()-7,MATCH(U$6,DataOB[#Headers],0)),"")</f>
        <v/>
      </c>
      <c r="V581" s="67" t="str">
        <f>IF($B581&lt;&gt;"",INDEX(DataOB[],FirstRow+ROW()-7,MATCH(V$6,DataOB[#Headers],0)),"")</f>
        <v/>
      </c>
      <c r="W581" s="67" t="str">
        <f>IF($B581&lt;&gt;"",INDEX(DataOB[],FirstRow+ROW()-7,MATCH(W$6,DataOB[#Headers],0)),"")</f>
        <v/>
      </c>
      <c r="X581" s="67" t="str">
        <f>IF($B581&lt;&gt;"",INDEX(DataOB[],FirstRow+ROW()-7,MATCH(X$6,DataOB[#Headers],0)),"")</f>
        <v/>
      </c>
      <c r="Y581" s="67" t="str">
        <f>IF($B581&lt;&gt;"",INDEX(DataOB[],FirstRow+ROW()-7,MATCH(Y$6,DataOB[#Headers],0)),"")</f>
        <v/>
      </c>
      <c r="Z581" s="67" t="str">
        <f>IF($B581&lt;&gt;"",INDEX(DataOB[],FirstRow+ROW()-7,MATCH(Z$6,DataOB[#Headers],0)),"")</f>
        <v/>
      </c>
      <c r="AA581" s="67" t="str">
        <f>IF($B581&lt;&gt;"",INDEX(DataOB[],FirstRow+ROW()-7,MATCH(AA$6,DataOB[#Headers],0)),"")</f>
        <v/>
      </c>
      <c r="AB581" s="67" t="str">
        <f>IF($B581&lt;&gt;"",INDEX(DataOB[],FirstRow+ROW()-7,MATCH(AB$6,DataOB[#Headers],0)),"")</f>
        <v/>
      </c>
      <c r="AC581" s="67" t="str">
        <f>IF($B581&lt;&gt;"",INDEX(DataOB[],FirstRow+ROW()-7,MATCH(AC$6,DataOB[#Headers],0)),"")</f>
        <v/>
      </c>
      <c r="AD581" s="67" t="str">
        <f>IF($B581&lt;&gt;"",INDEX(DataOB[],FirstRow+ROW()-7,MATCH(AD$6,DataOB[#Headers],0)),"")</f>
        <v/>
      </c>
      <c r="AE581" s="67" t="str">
        <f>IF($B581&lt;&gt;"",INDEX(DataOB[],FirstRow+ROW()-7,MATCH(AE$6,DataOB[#Headers],0)),"")</f>
        <v/>
      </c>
      <c r="AF581" s="26">
        <f t="shared" si="86"/>
        <v>0</v>
      </c>
      <c r="AG581" s="31">
        <f>SUM($T581:T581)</f>
        <v>0</v>
      </c>
      <c r="AH581" s="31">
        <f>SUM($T581:U581)</f>
        <v>0</v>
      </c>
      <c r="AI581" s="31">
        <f>SUM($T581:V581)</f>
        <v>0</v>
      </c>
      <c r="AJ581" s="31">
        <f>SUM($T581:W581)</f>
        <v>0</v>
      </c>
      <c r="AK581" s="31">
        <f>SUM($T581:X581)</f>
        <v>0</v>
      </c>
      <c r="AL581" s="31">
        <f>SUM($T581:Y581)</f>
        <v>0</v>
      </c>
      <c r="AM581" s="31">
        <f>SUM($T581:Z581)</f>
        <v>0</v>
      </c>
      <c r="AN581" s="31">
        <f>SUM($T581:AA581)</f>
        <v>0</v>
      </c>
      <c r="AO581" s="31">
        <f>SUM($T581:AB581)</f>
        <v>0</v>
      </c>
      <c r="AP581" s="31">
        <f>SUM($T581:AC581)</f>
        <v>0</v>
      </c>
      <c r="AQ581" s="31">
        <f>SUM($T581:AD581)</f>
        <v>0</v>
      </c>
      <c r="AR581" s="31">
        <f>SUM($T581:AE581)</f>
        <v>0</v>
      </c>
      <c r="AS581" s="27">
        <f t="shared" si="87"/>
        <v>0</v>
      </c>
    </row>
    <row r="582" spans="2:45">
      <c r="B582" s="102" t="str">
        <f>IF(ROW()-6&gt;NumCostCenter,"",IF(CostCenter&lt;&gt;"ALL",CostCenter,DATA_LF2!B580))</f>
        <v/>
      </c>
      <c r="C582" s="153" t="str">
        <f>IF($B582&lt;&gt;"",INDEX(DataOB[],FirstRow+ROW()-7,2),"")</f>
        <v/>
      </c>
      <c r="D582" s="66" t="str">
        <f>IF($B582&lt;&gt;"",INDEX(DataOB[],FirstRow+ROW()-7,3),"")</f>
        <v/>
      </c>
      <c r="E582" s="103" t="str">
        <f>IF($B582&lt;&gt;"",INDEX(DataOB[],FirstRow+ROW()-7,6),"")</f>
        <v/>
      </c>
      <c r="F582" s="103" t="str">
        <f>IF($B582&lt;&gt;"",INDEX(DataOB[],FirstRow+ROW()-7,5),"")</f>
        <v/>
      </c>
      <c r="G582" s="58">
        <f>IF($B582&lt;&gt;"",SUMIFS(DataAct_tbl[AMOUNT],DataAct_tbl[BG CODE],Detail!$D582,DataAct_tbl[MONTH],LEFT(MonthName,3),DataAct_tbl[Dept code],$B582),0)</f>
        <v>0</v>
      </c>
      <c r="H582" s="31" t="str">
        <f t="shared" si="79"/>
        <v/>
      </c>
      <c r="I582" s="28" t="str">
        <f t="shared" si="80"/>
        <v/>
      </c>
      <c r="J582" s="32" t="str">
        <f t="shared" si="81"/>
        <v/>
      </c>
      <c r="K582" s="86"/>
      <c r="L582" s="62">
        <f>IF($B582&lt;&gt;"",SUMIFS(DataAct_tbl[AMOUNT],DataAct_tbl[BG CODE],Detail!$D582,DataAct_tbl[Check Range],"=true",DataAct_tbl[Dept code],$B582),0)</f>
        <v>0</v>
      </c>
      <c r="M582" s="63">
        <f>INDEX($AG$7:$AR$1005,ROW()-6,MATCH(MTD,$AG$6:$AR$6,0))</f>
        <v>0</v>
      </c>
      <c r="N582" s="34">
        <f t="shared" si="82"/>
        <v>0</v>
      </c>
      <c r="O582" s="64" t="str">
        <f t="shared" si="83"/>
        <v xml:space="preserve"> </v>
      </c>
      <c r="Q582" s="97">
        <f t="shared" si="84"/>
        <v>0</v>
      </c>
      <c r="R582" s="96">
        <f t="shared" si="85"/>
        <v>0</v>
      </c>
      <c r="T582" s="67" t="str">
        <f>IF($B582&lt;&gt;"",INDEX(DataOB[],FirstRow+ROW()-7,MATCH(T$6,DataOB[#Headers],0)),"")</f>
        <v/>
      </c>
      <c r="U582" s="67" t="str">
        <f>IF($B582&lt;&gt;"",INDEX(DataOB[],FirstRow+ROW()-7,MATCH(U$6,DataOB[#Headers],0)),"")</f>
        <v/>
      </c>
      <c r="V582" s="67" t="str">
        <f>IF($B582&lt;&gt;"",INDEX(DataOB[],FirstRow+ROW()-7,MATCH(V$6,DataOB[#Headers],0)),"")</f>
        <v/>
      </c>
      <c r="W582" s="67" t="str">
        <f>IF($B582&lt;&gt;"",INDEX(DataOB[],FirstRow+ROW()-7,MATCH(W$6,DataOB[#Headers],0)),"")</f>
        <v/>
      </c>
      <c r="X582" s="67" t="str">
        <f>IF($B582&lt;&gt;"",INDEX(DataOB[],FirstRow+ROW()-7,MATCH(X$6,DataOB[#Headers],0)),"")</f>
        <v/>
      </c>
      <c r="Y582" s="67" t="str">
        <f>IF($B582&lt;&gt;"",INDEX(DataOB[],FirstRow+ROW()-7,MATCH(Y$6,DataOB[#Headers],0)),"")</f>
        <v/>
      </c>
      <c r="Z582" s="67" t="str">
        <f>IF($B582&lt;&gt;"",INDEX(DataOB[],FirstRow+ROW()-7,MATCH(Z$6,DataOB[#Headers],0)),"")</f>
        <v/>
      </c>
      <c r="AA582" s="67" t="str">
        <f>IF($B582&lt;&gt;"",INDEX(DataOB[],FirstRow+ROW()-7,MATCH(AA$6,DataOB[#Headers],0)),"")</f>
        <v/>
      </c>
      <c r="AB582" s="67" t="str">
        <f>IF($B582&lt;&gt;"",INDEX(DataOB[],FirstRow+ROW()-7,MATCH(AB$6,DataOB[#Headers],0)),"")</f>
        <v/>
      </c>
      <c r="AC582" s="67" t="str">
        <f>IF($B582&lt;&gt;"",INDEX(DataOB[],FirstRow+ROW()-7,MATCH(AC$6,DataOB[#Headers],0)),"")</f>
        <v/>
      </c>
      <c r="AD582" s="67" t="str">
        <f>IF($B582&lt;&gt;"",INDEX(DataOB[],FirstRow+ROW()-7,MATCH(AD$6,DataOB[#Headers],0)),"")</f>
        <v/>
      </c>
      <c r="AE582" s="67" t="str">
        <f>IF($B582&lt;&gt;"",INDEX(DataOB[],FirstRow+ROW()-7,MATCH(AE$6,DataOB[#Headers],0)),"")</f>
        <v/>
      </c>
      <c r="AF582" s="26">
        <f t="shared" si="86"/>
        <v>0</v>
      </c>
      <c r="AG582" s="31">
        <f>SUM($T582:T582)</f>
        <v>0</v>
      </c>
      <c r="AH582" s="31">
        <f>SUM($T582:U582)</f>
        <v>0</v>
      </c>
      <c r="AI582" s="31">
        <f>SUM($T582:V582)</f>
        <v>0</v>
      </c>
      <c r="AJ582" s="31">
        <f>SUM($T582:W582)</f>
        <v>0</v>
      </c>
      <c r="AK582" s="31">
        <f>SUM($T582:X582)</f>
        <v>0</v>
      </c>
      <c r="AL582" s="31">
        <f>SUM($T582:Y582)</f>
        <v>0</v>
      </c>
      <c r="AM582" s="31">
        <f>SUM($T582:Z582)</f>
        <v>0</v>
      </c>
      <c r="AN582" s="31">
        <f>SUM($T582:AA582)</f>
        <v>0</v>
      </c>
      <c r="AO582" s="31">
        <f>SUM($T582:AB582)</f>
        <v>0</v>
      </c>
      <c r="AP582" s="31">
        <f>SUM($T582:AC582)</f>
        <v>0</v>
      </c>
      <c r="AQ582" s="31">
        <f>SUM($T582:AD582)</f>
        <v>0</v>
      </c>
      <c r="AR582" s="31">
        <f>SUM($T582:AE582)</f>
        <v>0</v>
      </c>
      <c r="AS582" s="27">
        <f t="shared" si="87"/>
        <v>0</v>
      </c>
    </row>
    <row r="583" spans="2:45">
      <c r="B583" s="102" t="str">
        <f>IF(ROW()-6&gt;NumCostCenter,"",IF(CostCenter&lt;&gt;"ALL",CostCenter,DATA_LF2!B581))</f>
        <v/>
      </c>
      <c r="C583" s="153" t="str">
        <f>IF($B583&lt;&gt;"",INDEX(DataOB[],FirstRow+ROW()-7,2),"")</f>
        <v/>
      </c>
      <c r="D583" s="66" t="str">
        <f>IF($B583&lt;&gt;"",INDEX(DataOB[],FirstRow+ROW()-7,3),"")</f>
        <v/>
      </c>
      <c r="E583" s="103" t="str">
        <f>IF($B583&lt;&gt;"",INDEX(DataOB[],FirstRow+ROW()-7,6),"")</f>
        <v/>
      </c>
      <c r="F583" s="103" t="str">
        <f>IF($B583&lt;&gt;"",INDEX(DataOB[],FirstRow+ROW()-7,5),"")</f>
        <v/>
      </c>
      <c r="G583" s="58">
        <f>IF($B583&lt;&gt;"",SUMIFS(DataAct_tbl[AMOUNT],DataAct_tbl[BG CODE],Detail!$D583,DataAct_tbl[MONTH],LEFT(MonthName,3),DataAct_tbl[Dept code],$B583),0)</f>
        <v>0</v>
      </c>
      <c r="H583" s="31" t="str">
        <f t="shared" ref="H583:H646" si="88">INDEX($T$7:$AE$1005,ROW()-6,MATCH(MonthName,$T$6:$AE$6,0))</f>
        <v/>
      </c>
      <c r="I583" s="28" t="str">
        <f t="shared" si="80"/>
        <v/>
      </c>
      <c r="J583" s="32" t="str">
        <f t="shared" si="81"/>
        <v/>
      </c>
      <c r="K583" s="86"/>
      <c r="L583" s="62">
        <f>IF($B583&lt;&gt;"",SUMIFS(DataAct_tbl[AMOUNT],DataAct_tbl[BG CODE],Detail!$D583,DataAct_tbl[Check Range],"=true",DataAct_tbl[Dept code],$B583),0)</f>
        <v>0</v>
      </c>
      <c r="M583" s="63">
        <f>INDEX($AG$7:$AR$1005,ROW()-6,MATCH(MTD,$AG$6:$AR$6,0))</f>
        <v>0</v>
      </c>
      <c r="N583" s="34">
        <f t="shared" si="82"/>
        <v>0</v>
      </c>
      <c r="O583" s="64" t="str">
        <f t="shared" si="83"/>
        <v xml:space="preserve"> </v>
      </c>
      <c r="Q583" s="97">
        <f t="shared" si="84"/>
        <v>0</v>
      </c>
      <c r="R583" s="96">
        <f t="shared" si="85"/>
        <v>0</v>
      </c>
      <c r="T583" s="67" t="str">
        <f>IF($B583&lt;&gt;"",INDEX(DataOB[],FirstRow+ROW()-7,MATCH(T$6,DataOB[#Headers],0)),"")</f>
        <v/>
      </c>
      <c r="U583" s="67" t="str">
        <f>IF($B583&lt;&gt;"",INDEX(DataOB[],FirstRow+ROW()-7,MATCH(U$6,DataOB[#Headers],0)),"")</f>
        <v/>
      </c>
      <c r="V583" s="67" t="str">
        <f>IF($B583&lt;&gt;"",INDEX(DataOB[],FirstRow+ROW()-7,MATCH(V$6,DataOB[#Headers],0)),"")</f>
        <v/>
      </c>
      <c r="W583" s="67" t="str">
        <f>IF($B583&lt;&gt;"",INDEX(DataOB[],FirstRow+ROW()-7,MATCH(W$6,DataOB[#Headers],0)),"")</f>
        <v/>
      </c>
      <c r="X583" s="67" t="str">
        <f>IF($B583&lt;&gt;"",INDEX(DataOB[],FirstRow+ROW()-7,MATCH(X$6,DataOB[#Headers],0)),"")</f>
        <v/>
      </c>
      <c r="Y583" s="67" t="str">
        <f>IF($B583&lt;&gt;"",INDEX(DataOB[],FirstRow+ROW()-7,MATCH(Y$6,DataOB[#Headers],0)),"")</f>
        <v/>
      </c>
      <c r="Z583" s="67" t="str">
        <f>IF($B583&lt;&gt;"",INDEX(DataOB[],FirstRow+ROW()-7,MATCH(Z$6,DataOB[#Headers],0)),"")</f>
        <v/>
      </c>
      <c r="AA583" s="67" t="str">
        <f>IF($B583&lt;&gt;"",INDEX(DataOB[],FirstRow+ROW()-7,MATCH(AA$6,DataOB[#Headers],0)),"")</f>
        <v/>
      </c>
      <c r="AB583" s="67" t="str">
        <f>IF($B583&lt;&gt;"",INDEX(DataOB[],FirstRow+ROW()-7,MATCH(AB$6,DataOB[#Headers],0)),"")</f>
        <v/>
      </c>
      <c r="AC583" s="67" t="str">
        <f>IF($B583&lt;&gt;"",INDEX(DataOB[],FirstRow+ROW()-7,MATCH(AC$6,DataOB[#Headers],0)),"")</f>
        <v/>
      </c>
      <c r="AD583" s="67" t="str">
        <f>IF($B583&lt;&gt;"",INDEX(DataOB[],FirstRow+ROW()-7,MATCH(AD$6,DataOB[#Headers],0)),"")</f>
        <v/>
      </c>
      <c r="AE583" s="67" t="str">
        <f>IF($B583&lt;&gt;"",INDEX(DataOB[],FirstRow+ROW()-7,MATCH(AE$6,DataOB[#Headers],0)),"")</f>
        <v/>
      </c>
      <c r="AF583" s="26">
        <f t="shared" si="86"/>
        <v>0</v>
      </c>
      <c r="AG583" s="31">
        <f>SUM($T583:T583)</f>
        <v>0</v>
      </c>
      <c r="AH583" s="31">
        <f>SUM($T583:U583)</f>
        <v>0</v>
      </c>
      <c r="AI583" s="31">
        <f>SUM($T583:V583)</f>
        <v>0</v>
      </c>
      <c r="AJ583" s="31">
        <f>SUM($T583:W583)</f>
        <v>0</v>
      </c>
      <c r="AK583" s="31">
        <f>SUM($T583:X583)</f>
        <v>0</v>
      </c>
      <c r="AL583" s="31">
        <f>SUM($T583:Y583)</f>
        <v>0</v>
      </c>
      <c r="AM583" s="31">
        <f>SUM($T583:Z583)</f>
        <v>0</v>
      </c>
      <c r="AN583" s="31">
        <f>SUM($T583:AA583)</f>
        <v>0</v>
      </c>
      <c r="AO583" s="31">
        <f>SUM($T583:AB583)</f>
        <v>0</v>
      </c>
      <c r="AP583" s="31">
        <f>SUM($T583:AC583)</f>
        <v>0</v>
      </c>
      <c r="AQ583" s="31">
        <f>SUM($T583:AD583)</f>
        <v>0</v>
      </c>
      <c r="AR583" s="31">
        <f>SUM($T583:AE583)</f>
        <v>0</v>
      </c>
      <c r="AS583" s="27">
        <f t="shared" si="87"/>
        <v>0</v>
      </c>
    </row>
    <row r="584" spans="2:45">
      <c r="B584" s="102" t="str">
        <f>IF(ROW()-6&gt;NumCostCenter,"",IF(CostCenter&lt;&gt;"ALL",CostCenter,DATA_LF2!B582))</f>
        <v/>
      </c>
      <c r="C584" s="153" t="str">
        <f>IF($B584&lt;&gt;"",INDEX(DataOB[],FirstRow+ROW()-7,2),"")</f>
        <v/>
      </c>
      <c r="D584" s="66" t="str">
        <f>IF($B584&lt;&gt;"",INDEX(DataOB[],FirstRow+ROW()-7,3),"")</f>
        <v/>
      </c>
      <c r="E584" s="103" t="str">
        <f>IF($B584&lt;&gt;"",INDEX(DataOB[],FirstRow+ROW()-7,6),"")</f>
        <v/>
      </c>
      <c r="F584" s="103" t="str">
        <f>IF($B584&lt;&gt;"",INDEX(DataOB[],FirstRow+ROW()-7,5),"")</f>
        <v/>
      </c>
      <c r="G584" s="58">
        <f>IF($B584&lt;&gt;"",SUMIFS(DataAct_tbl[AMOUNT],DataAct_tbl[BG CODE],Detail!$D584,DataAct_tbl[MONTH],LEFT(MonthName,3),DataAct_tbl[Dept code],$B584),0)</f>
        <v>0</v>
      </c>
      <c r="H584" s="31" t="str">
        <f t="shared" si="88"/>
        <v/>
      </c>
      <c r="I584" s="28" t="str">
        <f t="shared" ref="I584:I647" si="89">IFERROR(+G584-H584,"")</f>
        <v/>
      </c>
      <c r="J584" s="32" t="str">
        <f t="shared" ref="J584:J647" si="90">IFERROR(+IF(H584&gt;0,G584/H584," "),"")</f>
        <v/>
      </c>
      <c r="K584" s="86"/>
      <c r="L584" s="62">
        <f>IF($B584&lt;&gt;"",SUMIFS(DataAct_tbl[AMOUNT],DataAct_tbl[BG CODE],Detail!$D584,DataAct_tbl[Check Range],"=true",DataAct_tbl[Dept code],$B584),0)</f>
        <v>0</v>
      </c>
      <c r="M584" s="63">
        <f>INDEX($AG$7:$AR$1005,ROW()-6,MATCH(MTD,$AG$6:$AR$6,0))</f>
        <v>0</v>
      </c>
      <c r="N584" s="34">
        <f t="shared" ref="N584:N647" si="91">IFERROR(+L584-M584,"")</f>
        <v>0</v>
      </c>
      <c r="O584" s="64" t="str">
        <f t="shared" ref="O584:O647" si="92">IFERROR(+IF(M584&gt;0,L584/M584," "),"")</f>
        <v xml:space="preserve"> </v>
      </c>
      <c r="Q584" s="97">
        <f t="shared" ref="Q584:Q647" si="93">AF584</f>
        <v>0</v>
      </c>
      <c r="R584" s="96">
        <f t="shared" ref="R584:R647" si="94">Q584-L584</f>
        <v>0</v>
      </c>
      <c r="T584" s="67" t="str">
        <f>IF($B584&lt;&gt;"",INDEX(DataOB[],FirstRow+ROW()-7,MATCH(T$6,DataOB[#Headers],0)),"")</f>
        <v/>
      </c>
      <c r="U584" s="67" t="str">
        <f>IF($B584&lt;&gt;"",INDEX(DataOB[],FirstRow+ROW()-7,MATCH(U$6,DataOB[#Headers],0)),"")</f>
        <v/>
      </c>
      <c r="V584" s="67" t="str">
        <f>IF($B584&lt;&gt;"",INDEX(DataOB[],FirstRow+ROW()-7,MATCH(V$6,DataOB[#Headers],0)),"")</f>
        <v/>
      </c>
      <c r="W584" s="67" t="str">
        <f>IF($B584&lt;&gt;"",INDEX(DataOB[],FirstRow+ROW()-7,MATCH(W$6,DataOB[#Headers],0)),"")</f>
        <v/>
      </c>
      <c r="X584" s="67" t="str">
        <f>IF($B584&lt;&gt;"",INDEX(DataOB[],FirstRow+ROW()-7,MATCH(X$6,DataOB[#Headers],0)),"")</f>
        <v/>
      </c>
      <c r="Y584" s="67" t="str">
        <f>IF($B584&lt;&gt;"",INDEX(DataOB[],FirstRow+ROW()-7,MATCH(Y$6,DataOB[#Headers],0)),"")</f>
        <v/>
      </c>
      <c r="Z584" s="67" t="str">
        <f>IF($B584&lt;&gt;"",INDEX(DataOB[],FirstRow+ROW()-7,MATCH(Z$6,DataOB[#Headers],0)),"")</f>
        <v/>
      </c>
      <c r="AA584" s="67" t="str">
        <f>IF($B584&lt;&gt;"",INDEX(DataOB[],FirstRow+ROW()-7,MATCH(AA$6,DataOB[#Headers],0)),"")</f>
        <v/>
      </c>
      <c r="AB584" s="67" t="str">
        <f>IF($B584&lt;&gt;"",INDEX(DataOB[],FirstRow+ROW()-7,MATCH(AB$6,DataOB[#Headers],0)),"")</f>
        <v/>
      </c>
      <c r="AC584" s="67" t="str">
        <f>IF($B584&lt;&gt;"",INDEX(DataOB[],FirstRow+ROW()-7,MATCH(AC$6,DataOB[#Headers],0)),"")</f>
        <v/>
      </c>
      <c r="AD584" s="67" t="str">
        <f>IF($B584&lt;&gt;"",INDEX(DataOB[],FirstRow+ROW()-7,MATCH(AD$6,DataOB[#Headers],0)),"")</f>
        <v/>
      </c>
      <c r="AE584" s="67" t="str">
        <f>IF($B584&lt;&gt;"",INDEX(DataOB[],FirstRow+ROW()-7,MATCH(AE$6,DataOB[#Headers],0)),"")</f>
        <v/>
      </c>
      <c r="AF584" s="26">
        <f t="shared" ref="AF584:AF647" si="95">+SUM(T584:AE584)</f>
        <v>0</v>
      </c>
      <c r="AG584" s="31">
        <f>SUM($T584:T584)</f>
        <v>0</v>
      </c>
      <c r="AH584" s="31">
        <f>SUM($T584:U584)</f>
        <v>0</v>
      </c>
      <c r="AI584" s="31">
        <f>SUM($T584:V584)</f>
        <v>0</v>
      </c>
      <c r="AJ584" s="31">
        <f>SUM($T584:W584)</f>
        <v>0</v>
      </c>
      <c r="AK584" s="31">
        <f>SUM($T584:X584)</f>
        <v>0</v>
      </c>
      <c r="AL584" s="31">
        <f>SUM($T584:Y584)</f>
        <v>0</v>
      </c>
      <c r="AM584" s="31">
        <f>SUM($T584:Z584)</f>
        <v>0</v>
      </c>
      <c r="AN584" s="31">
        <f>SUM($T584:AA584)</f>
        <v>0</v>
      </c>
      <c r="AO584" s="31">
        <f>SUM($T584:AB584)</f>
        <v>0</v>
      </c>
      <c r="AP584" s="31">
        <f>SUM($T584:AC584)</f>
        <v>0</v>
      </c>
      <c r="AQ584" s="31">
        <f>SUM($T584:AD584)</f>
        <v>0</v>
      </c>
      <c r="AR584" s="31">
        <f>SUM($T584:AE584)</f>
        <v>0</v>
      </c>
      <c r="AS584" s="27">
        <f t="shared" ref="AS584:AS647" si="96">AF584-AR584</f>
        <v>0</v>
      </c>
    </row>
    <row r="585" spans="2:45">
      <c r="B585" s="102" t="str">
        <f>IF(ROW()-6&gt;NumCostCenter,"",IF(CostCenter&lt;&gt;"ALL",CostCenter,DATA_LF2!B583))</f>
        <v/>
      </c>
      <c r="C585" s="153" t="str">
        <f>IF($B585&lt;&gt;"",INDEX(DataOB[],FirstRow+ROW()-7,2),"")</f>
        <v/>
      </c>
      <c r="D585" s="66" t="str">
        <f>IF($B585&lt;&gt;"",INDEX(DataOB[],FirstRow+ROW()-7,3),"")</f>
        <v/>
      </c>
      <c r="E585" s="103" t="str">
        <f>IF($B585&lt;&gt;"",INDEX(DataOB[],FirstRow+ROW()-7,6),"")</f>
        <v/>
      </c>
      <c r="F585" s="103" t="str">
        <f>IF($B585&lt;&gt;"",INDEX(DataOB[],FirstRow+ROW()-7,5),"")</f>
        <v/>
      </c>
      <c r="G585" s="58">
        <f>IF($B585&lt;&gt;"",SUMIFS(DataAct_tbl[AMOUNT],DataAct_tbl[BG CODE],Detail!$D585,DataAct_tbl[MONTH],LEFT(MonthName,3),DataAct_tbl[Dept code],$B585),0)</f>
        <v>0</v>
      </c>
      <c r="H585" s="31" t="str">
        <f t="shared" si="88"/>
        <v/>
      </c>
      <c r="I585" s="28" t="str">
        <f t="shared" si="89"/>
        <v/>
      </c>
      <c r="J585" s="32" t="str">
        <f t="shared" si="90"/>
        <v/>
      </c>
      <c r="K585" s="86"/>
      <c r="L585" s="62">
        <f>IF($B585&lt;&gt;"",SUMIFS(DataAct_tbl[AMOUNT],DataAct_tbl[BG CODE],Detail!$D585,DataAct_tbl[Check Range],"=true",DataAct_tbl[Dept code],$B585),0)</f>
        <v>0</v>
      </c>
      <c r="M585" s="63">
        <f>INDEX($AG$7:$AR$1005,ROW()-6,MATCH(MTD,$AG$6:$AR$6,0))</f>
        <v>0</v>
      </c>
      <c r="N585" s="34">
        <f t="shared" si="91"/>
        <v>0</v>
      </c>
      <c r="O585" s="64" t="str">
        <f t="shared" si="92"/>
        <v xml:space="preserve"> </v>
      </c>
      <c r="Q585" s="97">
        <f t="shared" si="93"/>
        <v>0</v>
      </c>
      <c r="R585" s="96">
        <f t="shared" si="94"/>
        <v>0</v>
      </c>
      <c r="T585" s="67" t="str">
        <f>IF($B585&lt;&gt;"",INDEX(DataOB[],FirstRow+ROW()-7,MATCH(T$6,DataOB[#Headers],0)),"")</f>
        <v/>
      </c>
      <c r="U585" s="67" t="str">
        <f>IF($B585&lt;&gt;"",INDEX(DataOB[],FirstRow+ROW()-7,MATCH(U$6,DataOB[#Headers],0)),"")</f>
        <v/>
      </c>
      <c r="V585" s="67" t="str">
        <f>IF($B585&lt;&gt;"",INDEX(DataOB[],FirstRow+ROW()-7,MATCH(V$6,DataOB[#Headers],0)),"")</f>
        <v/>
      </c>
      <c r="W585" s="67" t="str">
        <f>IF($B585&lt;&gt;"",INDEX(DataOB[],FirstRow+ROW()-7,MATCH(W$6,DataOB[#Headers],0)),"")</f>
        <v/>
      </c>
      <c r="X585" s="67" t="str">
        <f>IF($B585&lt;&gt;"",INDEX(DataOB[],FirstRow+ROW()-7,MATCH(X$6,DataOB[#Headers],0)),"")</f>
        <v/>
      </c>
      <c r="Y585" s="67" t="str">
        <f>IF($B585&lt;&gt;"",INDEX(DataOB[],FirstRow+ROW()-7,MATCH(Y$6,DataOB[#Headers],0)),"")</f>
        <v/>
      </c>
      <c r="Z585" s="67" t="str">
        <f>IF($B585&lt;&gt;"",INDEX(DataOB[],FirstRow+ROW()-7,MATCH(Z$6,DataOB[#Headers],0)),"")</f>
        <v/>
      </c>
      <c r="AA585" s="67" t="str">
        <f>IF($B585&lt;&gt;"",INDEX(DataOB[],FirstRow+ROW()-7,MATCH(AA$6,DataOB[#Headers],0)),"")</f>
        <v/>
      </c>
      <c r="AB585" s="67" t="str">
        <f>IF($B585&lt;&gt;"",INDEX(DataOB[],FirstRow+ROW()-7,MATCH(AB$6,DataOB[#Headers],0)),"")</f>
        <v/>
      </c>
      <c r="AC585" s="67" t="str">
        <f>IF($B585&lt;&gt;"",INDEX(DataOB[],FirstRow+ROW()-7,MATCH(AC$6,DataOB[#Headers],0)),"")</f>
        <v/>
      </c>
      <c r="AD585" s="67" t="str">
        <f>IF($B585&lt;&gt;"",INDEX(DataOB[],FirstRow+ROW()-7,MATCH(AD$6,DataOB[#Headers],0)),"")</f>
        <v/>
      </c>
      <c r="AE585" s="67" t="str">
        <f>IF($B585&lt;&gt;"",INDEX(DataOB[],FirstRow+ROW()-7,MATCH(AE$6,DataOB[#Headers],0)),"")</f>
        <v/>
      </c>
      <c r="AF585" s="26">
        <f t="shared" si="95"/>
        <v>0</v>
      </c>
      <c r="AG585" s="31">
        <f>SUM($T585:T585)</f>
        <v>0</v>
      </c>
      <c r="AH585" s="31">
        <f>SUM($T585:U585)</f>
        <v>0</v>
      </c>
      <c r="AI585" s="31">
        <f>SUM($T585:V585)</f>
        <v>0</v>
      </c>
      <c r="AJ585" s="31">
        <f>SUM($T585:W585)</f>
        <v>0</v>
      </c>
      <c r="AK585" s="31">
        <f>SUM($T585:X585)</f>
        <v>0</v>
      </c>
      <c r="AL585" s="31">
        <f>SUM($T585:Y585)</f>
        <v>0</v>
      </c>
      <c r="AM585" s="31">
        <f>SUM($T585:Z585)</f>
        <v>0</v>
      </c>
      <c r="AN585" s="31">
        <f>SUM($T585:AA585)</f>
        <v>0</v>
      </c>
      <c r="AO585" s="31">
        <f>SUM($T585:AB585)</f>
        <v>0</v>
      </c>
      <c r="AP585" s="31">
        <f>SUM($T585:AC585)</f>
        <v>0</v>
      </c>
      <c r="AQ585" s="31">
        <f>SUM($T585:AD585)</f>
        <v>0</v>
      </c>
      <c r="AR585" s="31">
        <f>SUM($T585:AE585)</f>
        <v>0</v>
      </c>
      <c r="AS585" s="27">
        <f t="shared" si="96"/>
        <v>0</v>
      </c>
    </row>
    <row r="586" spans="2:45">
      <c r="B586" s="102" t="str">
        <f>IF(ROW()-6&gt;NumCostCenter,"",IF(CostCenter&lt;&gt;"ALL",CostCenter,DATA_LF2!B584))</f>
        <v/>
      </c>
      <c r="C586" s="153" t="str">
        <f>IF($B586&lt;&gt;"",INDEX(DataOB[],FirstRow+ROW()-7,2),"")</f>
        <v/>
      </c>
      <c r="D586" s="66" t="str">
        <f>IF($B586&lt;&gt;"",INDEX(DataOB[],FirstRow+ROW()-7,3),"")</f>
        <v/>
      </c>
      <c r="E586" s="103" t="str">
        <f>IF($B586&lt;&gt;"",INDEX(DataOB[],FirstRow+ROW()-7,6),"")</f>
        <v/>
      </c>
      <c r="F586" s="103" t="str">
        <f>IF($B586&lt;&gt;"",INDEX(DataOB[],FirstRow+ROW()-7,5),"")</f>
        <v/>
      </c>
      <c r="G586" s="58">
        <f>IF($B586&lt;&gt;"",SUMIFS(DataAct_tbl[AMOUNT],DataAct_tbl[BG CODE],Detail!$D586,DataAct_tbl[MONTH],LEFT(MonthName,3),DataAct_tbl[Dept code],$B586),0)</f>
        <v>0</v>
      </c>
      <c r="H586" s="31" t="str">
        <f t="shared" si="88"/>
        <v/>
      </c>
      <c r="I586" s="28" t="str">
        <f t="shared" si="89"/>
        <v/>
      </c>
      <c r="J586" s="32" t="str">
        <f t="shared" si="90"/>
        <v/>
      </c>
      <c r="K586" s="86"/>
      <c r="L586" s="62">
        <f>IF($B586&lt;&gt;"",SUMIFS(DataAct_tbl[AMOUNT],DataAct_tbl[BG CODE],Detail!$D586,DataAct_tbl[Check Range],"=true",DataAct_tbl[Dept code],$B586),0)</f>
        <v>0</v>
      </c>
      <c r="M586" s="63">
        <f>INDEX($AG$7:$AR$1005,ROW()-6,MATCH(MTD,$AG$6:$AR$6,0))</f>
        <v>0</v>
      </c>
      <c r="N586" s="34">
        <f t="shared" si="91"/>
        <v>0</v>
      </c>
      <c r="O586" s="64" t="str">
        <f t="shared" si="92"/>
        <v xml:space="preserve"> </v>
      </c>
      <c r="Q586" s="97">
        <f t="shared" si="93"/>
        <v>0</v>
      </c>
      <c r="R586" s="96">
        <f t="shared" si="94"/>
        <v>0</v>
      </c>
      <c r="T586" s="67" t="str">
        <f>IF($B586&lt;&gt;"",INDEX(DataOB[],FirstRow+ROW()-7,MATCH(T$6,DataOB[#Headers],0)),"")</f>
        <v/>
      </c>
      <c r="U586" s="67" t="str">
        <f>IF($B586&lt;&gt;"",INDEX(DataOB[],FirstRow+ROW()-7,MATCH(U$6,DataOB[#Headers],0)),"")</f>
        <v/>
      </c>
      <c r="V586" s="67" t="str">
        <f>IF($B586&lt;&gt;"",INDEX(DataOB[],FirstRow+ROW()-7,MATCH(V$6,DataOB[#Headers],0)),"")</f>
        <v/>
      </c>
      <c r="W586" s="67" t="str">
        <f>IF($B586&lt;&gt;"",INDEX(DataOB[],FirstRow+ROW()-7,MATCH(W$6,DataOB[#Headers],0)),"")</f>
        <v/>
      </c>
      <c r="X586" s="67" t="str">
        <f>IF($B586&lt;&gt;"",INDEX(DataOB[],FirstRow+ROW()-7,MATCH(X$6,DataOB[#Headers],0)),"")</f>
        <v/>
      </c>
      <c r="Y586" s="67" t="str">
        <f>IF($B586&lt;&gt;"",INDEX(DataOB[],FirstRow+ROW()-7,MATCH(Y$6,DataOB[#Headers],0)),"")</f>
        <v/>
      </c>
      <c r="Z586" s="67" t="str">
        <f>IF($B586&lt;&gt;"",INDEX(DataOB[],FirstRow+ROW()-7,MATCH(Z$6,DataOB[#Headers],0)),"")</f>
        <v/>
      </c>
      <c r="AA586" s="67" t="str">
        <f>IF($B586&lt;&gt;"",INDEX(DataOB[],FirstRow+ROW()-7,MATCH(AA$6,DataOB[#Headers],0)),"")</f>
        <v/>
      </c>
      <c r="AB586" s="67" t="str">
        <f>IF($B586&lt;&gt;"",INDEX(DataOB[],FirstRow+ROW()-7,MATCH(AB$6,DataOB[#Headers],0)),"")</f>
        <v/>
      </c>
      <c r="AC586" s="67" t="str">
        <f>IF($B586&lt;&gt;"",INDEX(DataOB[],FirstRow+ROW()-7,MATCH(AC$6,DataOB[#Headers],0)),"")</f>
        <v/>
      </c>
      <c r="AD586" s="67" t="str">
        <f>IF($B586&lt;&gt;"",INDEX(DataOB[],FirstRow+ROW()-7,MATCH(AD$6,DataOB[#Headers],0)),"")</f>
        <v/>
      </c>
      <c r="AE586" s="67" t="str">
        <f>IF($B586&lt;&gt;"",INDEX(DataOB[],FirstRow+ROW()-7,MATCH(AE$6,DataOB[#Headers],0)),"")</f>
        <v/>
      </c>
      <c r="AF586" s="26">
        <f t="shared" si="95"/>
        <v>0</v>
      </c>
      <c r="AG586" s="31">
        <f>SUM($T586:T586)</f>
        <v>0</v>
      </c>
      <c r="AH586" s="31">
        <f>SUM($T586:U586)</f>
        <v>0</v>
      </c>
      <c r="AI586" s="31">
        <f>SUM($T586:V586)</f>
        <v>0</v>
      </c>
      <c r="AJ586" s="31">
        <f>SUM($T586:W586)</f>
        <v>0</v>
      </c>
      <c r="AK586" s="31">
        <f>SUM($T586:X586)</f>
        <v>0</v>
      </c>
      <c r="AL586" s="31">
        <f>SUM($T586:Y586)</f>
        <v>0</v>
      </c>
      <c r="AM586" s="31">
        <f>SUM($T586:Z586)</f>
        <v>0</v>
      </c>
      <c r="AN586" s="31">
        <f>SUM($T586:AA586)</f>
        <v>0</v>
      </c>
      <c r="AO586" s="31">
        <f>SUM($T586:AB586)</f>
        <v>0</v>
      </c>
      <c r="AP586" s="31">
        <f>SUM($T586:AC586)</f>
        <v>0</v>
      </c>
      <c r="AQ586" s="31">
        <f>SUM($T586:AD586)</f>
        <v>0</v>
      </c>
      <c r="AR586" s="31">
        <f>SUM($T586:AE586)</f>
        <v>0</v>
      </c>
      <c r="AS586" s="27">
        <f t="shared" si="96"/>
        <v>0</v>
      </c>
    </row>
    <row r="587" spans="2:45">
      <c r="B587" s="102" t="str">
        <f>IF(ROW()-6&gt;NumCostCenter,"",IF(CostCenter&lt;&gt;"ALL",CostCenter,DATA_LF2!B585))</f>
        <v/>
      </c>
      <c r="C587" s="153" t="str">
        <f>IF($B587&lt;&gt;"",INDEX(DataOB[],FirstRow+ROW()-7,2),"")</f>
        <v/>
      </c>
      <c r="D587" s="66" t="str">
        <f>IF($B587&lt;&gt;"",INDEX(DataOB[],FirstRow+ROW()-7,3),"")</f>
        <v/>
      </c>
      <c r="E587" s="103" t="str">
        <f>IF($B587&lt;&gt;"",INDEX(DataOB[],FirstRow+ROW()-7,6),"")</f>
        <v/>
      </c>
      <c r="F587" s="103" t="str">
        <f>IF($B587&lt;&gt;"",INDEX(DataOB[],FirstRow+ROW()-7,5),"")</f>
        <v/>
      </c>
      <c r="G587" s="58">
        <f>IF($B587&lt;&gt;"",SUMIFS(DataAct_tbl[AMOUNT],DataAct_tbl[BG CODE],Detail!$D587,DataAct_tbl[MONTH],LEFT(MonthName,3),DataAct_tbl[Dept code],$B587),0)</f>
        <v>0</v>
      </c>
      <c r="H587" s="31" t="str">
        <f t="shared" si="88"/>
        <v/>
      </c>
      <c r="I587" s="28" t="str">
        <f t="shared" si="89"/>
        <v/>
      </c>
      <c r="J587" s="32" t="str">
        <f t="shared" si="90"/>
        <v/>
      </c>
      <c r="K587" s="86"/>
      <c r="L587" s="62">
        <f>IF($B587&lt;&gt;"",SUMIFS(DataAct_tbl[AMOUNT],DataAct_tbl[BG CODE],Detail!$D587,DataAct_tbl[Check Range],"=true",DataAct_tbl[Dept code],$B587),0)</f>
        <v>0</v>
      </c>
      <c r="M587" s="63">
        <f>INDEX($AG$7:$AR$1005,ROW()-6,MATCH(MTD,$AG$6:$AR$6,0))</f>
        <v>0</v>
      </c>
      <c r="N587" s="34">
        <f t="shared" si="91"/>
        <v>0</v>
      </c>
      <c r="O587" s="64" t="str">
        <f t="shared" si="92"/>
        <v xml:space="preserve"> </v>
      </c>
      <c r="Q587" s="97">
        <f t="shared" si="93"/>
        <v>0</v>
      </c>
      <c r="R587" s="96">
        <f t="shared" si="94"/>
        <v>0</v>
      </c>
      <c r="T587" s="67" t="str">
        <f>IF($B587&lt;&gt;"",INDEX(DataOB[],FirstRow+ROW()-7,MATCH(T$6,DataOB[#Headers],0)),"")</f>
        <v/>
      </c>
      <c r="U587" s="67" t="str">
        <f>IF($B587&lt;&gt;"",INDEX(DataOB[],FirstRow+ROW()-7,MATCH(U$6,DataOB[#Headers],0)),"")</f>
        <v/>
      </c>
      <c r="V587" s="67" t="str">
        <f>IF($B587&lt;&gt;"",INDEX(DataOB[],FirstRow+ROW()-7,MATCH(V$6,DataOB[#Headers],0)),"")</f>
        <v/>
      </c>
      <c r="W587" s="67" t="str">
        <f>IF($B587&lt;&gt;"",INDEX(DataOB[],FirstRow+ROW()-7,MATCH(W$6,DataOB[#Headers],0)),"")</f>
        <v/>
      </c>
      <c r="X587" s="67" t="str">
        <f>IF($B587&lt;&gt;"",INDEX(DataOB[],FirstRow+ROW()-7,MATCH(X$6,DataOB[#Headers],0)),"")</f>
        <v/>
      </c>
      <c r="Y587" s="67" t="str">
        <f>IF($B587&lt;&gt;"",INDEX(DataOB[],FirstRow+ROW()-7,MATCH(Y$6,DataOB[#Headers],0)),"")</f>
        <v/>
      </c>
      <c r="Z587" s="67" t="str">
        <f>IF($B587&lt;&gt;"",INDEX(DataOB[],FirstRow+ROW()-7,MATCH(Z$6,DataOB[#Headers],0)),"")</f>
        <v/>
      </c>
      <c r="AA587" s="67" t="str">
        <f>IF($B587&lt;&gt;"",INDEX(DataOB[],FirstRow+ROW()-7,MATCH(AA$6,DataOB[#Headers],0)),"")</f>
        <v/>
      </c>
      <c r="AB587" s="67" t="str">
        <f>IF($B587&lt;&gt;"",INDEX(DataOB[],FirstRow+ROW()-7,MATCH(AB$6,DataOB[#Headers],0)),"")</f>
        <v/>
      </c>
      <c r="AC587" s="67" t="str">
        <f>IF($B587&lt;&gt;"",INDEX(DataOB[],FirstRow+ROW()-7,MATCH(AC$6,DataOB[#Headers],0)),"")</f>
        <v/>
      </c>
      <c r="AD587" s="67" t="str">
        <f>IF($B587&lt;&gt;"",INDEX(DataOB[],FirstRow+ROW()-7,MATCH(AD$6,DataOB[#Headers],0)),"")</f>
        <v/>
      </c>
      <c r="AE587" s="67" t="str">
        <f>IF($B587&lt;&gt;"",INDEX(DataOB[],FirstRow+ROW()-7,MATCH(AE$6,DataOB[#Headers],0)),"")</f>
        <v/>
      </c>
      <c r="AF587" s="26">
        <f t="shared" si="95"/>
        <v>0</v>
      </c>
      <c r="AG587" s="31">
        <f>SUM($T587:T587)</f>
        <v>0</v>
      </c>
      <c r="AH587" s="31">
        <f>SUM($T587:U587)</f>
        <v>0</v>
      </c>
      <c r="AI587" s="31">
        <f>SUM($T587:V587)</f>
        <v>0</v>
      </c>
      <c r="AJ587" s="31">
        <f>SUM($T587:W587)</f>
        <v>0</v>
      </c>
      <c r="AK587" s="31">
        <f>SUM($T587:X587)</f>
        <v>0</v>
      </c>
      <c r="AL587" s="31">
        <f>SUM($T587:Y587)</f>
        <v>0</v>
      </c>
      <c r="AM587" s="31">
        <f>SUM($T587:Z587)</f>
        <v>0</v>
      </c>
      <c r="AN587" s="31">
        <f>SUM($T587:AA587)</f>
        <v>0</v>
      </c>
      <c r="AO587" s="31">
        <f>SUM($T587:AB587)</f>
        <v>0</v>
      </c>
      <c r="AP587" s="31">
        <f>SUM($T587:AC587)</f>
        <v>0</v>
      </c>
      <c r="AQ587" s="31">
        <f>SUM($T587:AD587)</f>
        <v>0</v>
      </c>
      <c r="AR587" s="31">
        <f>SUM($T587:AE587)</f>
        <v>0</v>
      </c>
      <c r="AS587" s="27">
        <f t="shared" si="96"/>
        <v>0</v>
      </c>
    </row>
    <row r="588" spans="2:45">
      <c r="B588" s="102" t="str">
        <f>IF(ROW()-6&gt;NumCostCenter,"",IF(CostCenter&lt;&gt;"ALL",CostCenter,DATA_LF2!B586))</f>
        <v/>
      </c>
      <c r="C588" s="153" t="str">
        <f>IF($B588&lt;&gt;"",INDEX(DataOB[],FirstRow+ROW()-7,2),"")</f>
        <v/>
      </c>
      <c r="D588" s="66" t="str">
        <f>IF($B588&lt;&gt;"",INDEX(DataOB[],FirstRow+ROW()-7,3),"")</f>
        <v/>
      </c>
      <c r="E588" s="103" t="str">
        <f>IF($B588&lt;&gt;"",INDEX(DataOB[],FirstRow+ROW()-7,6),"")</f>
        <v/>
      </c>
      <c r="F588" s="103" t="str">
        <f>IF($B588&lt;&gt;"",INDEX(DataOB[],FirstRow+ROW()-7,5),"")</f>
        <v/>
      </c>
      <c r="G588" s="58">
        <f>IF($B588&lt;&gt;"",SUMIFS(DataAct_tbl[AMOUNT],DataAct_tbl[BG CODE],Detail!$D588,DataAct_tbl[MONTH],LEFT(MonthName,3),DataAct_tbl[Dept code],$B588),0)</f>
        <v>0</v>
      </c>
      <c r="H588" s="31" t="str">
        <f t="shared" si="88"/>
        <v/>
      </c>
      <c r="I588" s="28" t="str">
        <f t="shared" si="89"/>
        <v/>
      </c>
      <c r="J588" s="32" t="str">
        <f t="shared" si="90"/>
        <v/>
      </c>
      <c r="K588" s="86"/>
      <c r="L588" s="62">
        <f>IF($B588&lt;&gt;"",SUMIFS(DataAct_tbl[AMOUNT],DataAct_tbl[BG CODE],Detail!$D588,DataAct_tbl[Check Range],"=true",DataAct_tbl[Dept code],$B588),0)</f>
        <v>0</v>
      </c>
      <c r="M588" s="63">
        <f>INDEX($AG$7:$AR$1005,ROW()-6,MATCH(MTD,$AG$6:$AR$6,0))</f>
        <v>0</v>
      </c>
      <c r="N588" s="34">
        <f t="shared" si="91"/>
        <v>0</v>
      </c>
      <c r="O588" s="64" t="str">
        <f t="shared" si="92"/>
        <v xml:space="preserve"> </v>
      </c>
      <c r="Q588" s="97">
        <f t="shared" si="93"/>
        <v>0</v>
      </c>
      <c r="R588" s="96">
        <f t="shared" si="94"/>
        <v>0</v>
      </c>
      <c r="T588" s="67" t="str">
        <f>IF($B588&lt;&gt;"",INDEX(DataOB[],FirstRow+ROW()-7,MATCH(T$6,DataOB[#Headers],0)),"")</f>
        <v/>
      </c>
      <c r="U588" s="67" t="str">
        <f>IF($B588&lt;&gt;"",INDEX(DataOB[],FirstRow+ROW()-7,MATCH(U$6,DataOB[#Headers],0)),"")</f>
        <v/>
      </c>
      <c r="V588" s="67" t="str">
        <f>IF($B588&lt;&gt;"",INDEX(DataOB[],FirstRow+ROW()-7,MATCH(V$6,DataOB[#Headers],0)),"")</f>
        <v/>
      </c>
      <c r="W588" s="67" t="str">
        <f>IF($B588&lt;&gt;"",INDEX(DataOB[],FirstRow+ROW()-7,MATCH(W$6,DataOB[#Headers],0)),"")</f>
        <v/>
      </c>
      <c r="X588" s="67" t="str">
        <f>IF($B588&lt;&gt;"",INDEX(DataOB[],FirstRow+ROW()-7,MATCH(X$6,DataOB[#Headers],0)),"")</f>
        <v/>
      </c>
      <c r="Y588" s="67" t="str">
        <f>IF($B588&lt;&gt;"",INDEX(DataOB[],FirstRow+ROW()-7,MATCH(Y$6,DataOB[#Headers],0)),"")</f>
        <v/>
      </c>
      <c r="Z588" s="67" t="str">
        <f>IF($B588&lt;&gt;"",INDEX(DataOB[],FirstRow+ROW()-7,MATCH(Z$6,DataOB[#Headers],0)),"")</f>
        <v/>
      </c>
      <c r="AA588" s="67" t="str">
        <f>IF($B588&lt;&gt;"",INDEX(DataOB[],FirstRow+ROW()-7,MATCH(AA$6,DataOB[#Headers],0)),"")</f>
        <v/>
      </c>
      <c r="AB588" s="67" t="str">
        <f>IF($B588&lt;&gt;"",INDEX(DataOB[],FirstRow+ROW()-7,MATCH(AB$6,DataOB[#Headers],0)),"")</f>
        <v/>
      </c>
      <c r="AC588" s="67" t="str">
        <f>IF($B588&lt;&gt;"",INDEX(DataOB[],FirstRow+ROW()-7,MATCH(AC$6,DataOB[#Headers],0)),"")</f>
        <v/>
      </c>
      <c r="AD588" s="67" t="str">
        <f>IF($B588&lt;&gt;"",INDEX(DataOB[],FirstRow+ROW()-7,MATCH(AD$6,DataOB[#Headers],0)),"")</f>
        <v/>
      </c>
      <c r="AE588" s="67" t="str">
        <f>IF($B588&lt;&gt;"",INDEX(DataOB[],FirstRow+ROW()-7,MATCH(AE$6,DataOB[#Headers],0)),"")</f>
        <v/>
      </c>
      <c r="AF588" s="26">
        <f t="shared" si="95"/>
        <v>0</v>
      </c>
      <c r="AG588" s="31">
        <f>SUM($T588:T588)</f>
        <v>0</v>
      </c>
      <c r="AH588" s="31">
        <f>SUM($T588:U588)</f>
        <v>0</v>
      </c>
      <c r="AI588" s="31">
        <f>SUM($T588:V588)</f>
        <v>0</v>
      </c>
      <c r="AJ588" s="31">
        <f>SUM($T588:W588)</f>
        <v>0</v>
      </c>
      <c r="AK588" s="31">
        <f>SUM($T588:X588)</f>
        <v>0</v>
      </c>
      <c r="AL588" s="31">
        <f>SUM($T588:Y588)</f>
        <v>0</v>
      </c>
      <c r="AM588" s="31">
        <f>SUM($T588:Z588)</f>
        <v>0</v>
      </c>
      <c r="AN588" s="31">
        <f>SUM($T588:AA588)</f>
        <v>0</v>
      </c>
      <c r="AO588" s="31">
        <f>SUM($T588:AB588)</f>
        <v>0</v>
      </c>
      <c r="AP588" s="31">
        <f>SUM($T588:AC588)</f>
        <v>0</v>
      </c>
      <c r="AQ588" s="31">
        <f>SUM($T588:AD588)</f>
        <v>0</v>
      </c>
      <c r="AR588" s="31">
        <f>SUM($T588:AE588)</f>
        <v>0</v>
      </c>
      <c r="AS588" s="27">
        <f t="shared" si="96"/>
        <v>0</v>
      </c>
    </row>
    <row r="589" spans="2:45">
      <c r="B589" s="102" t="str">
        <f>IF(ROW()-6&gt;NumCostCenter,"",IF(CostCenter&lt;&gt;"ALL",CostCenter,DATA_LF2!B587))</f>
        <v/>
      </c>
      <c r="C589" s="153" t="str">
        <f>IF($B589&lt;&gt;"",INDEX(DataOB[],FirstRow+ROW()-7,2),"")</f>
        <v/>
      </c>
      <c r="D589" s="66" t="str">
        <f>IF($B589&lt;&gt;"",INDEX(DataOB[],FirstRow+ROW()-7,3),"")</f>
        <v/>
      </c>
      <c r="E589" s="103" t="str">
        <f>IF($B589&lt;&gt;"",INDEX(DataOB[],FirstRow+ROW()-7,6),"")</f>
        <v/>
      </c>
      <c r="F589" s="103" t="str">
        <f>IF($B589&lt;&gt;"",INDEX(DataOB[],FirstRow+ROW()-7,5),"")</f>
        <v/>
      </c>
      <c r="G589" s="58">
        <f>IF($B589&lt;&gt;"",SUMIFS(DataAct_tbl[AMOUNT],DataAct_tbl[BG CODE],Detail!$D589,DataAct_tbl[MONTH],LEFT(MonthName,3),DataAct_tbl[Dept code],$B589),0)</f>
        <v>0</v>
      </c>
      <c r="H589" s="31" t="str">
        <f t="shared" si="88"/>
        <v/>
      </c>
      <c r="I589" s="28" t="str">
        <f t="shared" si="89"/>
        <v/>
      </c>
      <c r="J589" s="32" t="str">
        <f t="shared" si="90"/>
        <v/>
      </c>
      <c r="K589" s="86"/>
      <c r="L589" s="62">
        <f>IF($B589&lt;&gt;"",SUMIFS(DataAct_tbl[AMOUNT],DataAct_tbl[BG CODE],Detail!$D589,DataAct_tbl[Check Range],"=true",DataAct_tbl[Dept code],$B589),0)</f>
        <v>0</v>
      </c>
      <c r="M589" s="63">
        <f>INDEX($AG$7:$AR$1005,ROW()-6,MATCH(MTD,$AG$6:$AR$6,0))</f>
        <v>0</v>
      </c>
      <c r="N589" s="34">
        <f t="shared" si="91"/>
        <v>0</v>
      </c>
      <c r="O589" s="64" t="str">
        <f t="shared" si="92"/>
        <v xml:space="preserve"> </v>
      </c>
      <c r="Q589" s="97">
        <f t="shared" si="93"/>
        <v>0</v>
      </c>
      <c r="R589" s="96">
        <f t="shared" si="94"/>
        <v>0</v>
      </c>
      <c r="T589" s="67" t="str">
        <f>IF($B589&lt;&gt;"",INDEX(DataOB[],FirstRow+ROW()-7,MATCH(T$6,DataOB[#Headers],0)),"")</f>
        <v/>
      </c>
      <c r="U589" s="67" t="str">
        <f>IF($B589&lt;&gt;"",INDEX(DataOB[],FirstRow+ROW()-7,MATCH(U$6,DataOB[#Headers],0)),"")</f>
        <v/>
      </c>
      <c r="V589" s="67" t="str">
        <f>IF($B589&lt;&gt;"",INDEX(DataOB[],FirstRow+ROW()-7,MATCH(V$6,DataOB[#Headers],0)),"")</f>
        <v/>
      </c>
      <c r="W589" s="67" t="str">
        <f>IF($B589&lt;&gt;"",INDEX(DataOB[],FirstRow+ROW()-7,MATCH(W$6,DataOB[#Headers],0)),"")</f>
        <v/>
      </c>
      <c r="X589" s="67" t="str">
        <f>IF($B589&lt;&gt;"",INDEX(DataOB[],FirstRow+ROW()-7,MATCH(X$6,DataOB[#Headers],0)),"")</f>
        <v/>
      </c>
      <c r="Y589" s="67" t="str">
        <f>IF($B589&lt;&gt;"",INDEX(DataOB[],FirstRow+ROW()-7,MATCH(Y$6,DataOB[#Headers],0)),"")</f>
        <v/>
      </c>
      <c r="Z589" s="67" t="str">
        <f>IF($B589&lt;&gt;"",INDEX(DataOB[],FirstRow+ROW()-7,MATCH(Z$6,DataOB[#Headers],0)),"")</f>
        <v/>
      </c>
      <c r="AA589" s="67" t="str">
        <f>IF($B589&lt;&gt;"",INDEX(DataOB[],FirstRow+ROW()-7,MATCH(AA$6,DataOB[#Headers],0)),"")</f>
        <v/>
      </c>
      <c r="AB589" s="67" t="str">
        <f>IF($B589&lt;&gt;"",INDEX(DataOB[],FirstRow+ROW()-7,MATCH(AB$6,DataOB[#Headers],0)),"")</f>
        <v/>
      </c>
      <c r="AC589" s="67" t="str">
        <f>IF($B589&lt;&gt;"",INDEX(DataOB[],FirstRow+ROW()-7,MATCH(AC$6,DataOB[#Headers],0)),"")</f>
        <v/>
      </c>
      <c r="AD589" s="67" t="str">
        <f>IF($B589&lt;&gt;"",INDEX(DataOB[],FirstRow+ROW()-7,MATCH(AD$6,DataOB[#Headers],0)),"")</f>
        <v/>
      </c>
      <c r="AE589" s="67" t="str">
        <f>IF($B589&lt;&gt;"",INDEX(DataOB[],FirstRow+ROW()-7,MATCH(AE$6,DataOB[#Headers],0)),"")</f>
        <v/>
      </c>
      <c r="AF589" s="26">
        <f t="shared" si="95"/>
        <v>0</v>
      </c>
      <c r="AG589" s="31">
        <f>SUM($T589:T589)</f>
        <v>0</v>
      </c>
      <c r="AH589" s="31">
        <f>SUM($T589:U589)</f>
        <v>0</v>
      </c>
      <c r="AI589" s="31">
        <f>SUM($T589:V589)</f>
        <v>0</v>
      </c>
      <c r="AJ589" s="31">
        <f>SUM($T589:W589)</f>
        <v>0</v>
      </c>
      <c r="AK589" s="31">
        <f>SUM($T589:X589)</f>
        <v>0</v>
      </c>
      <c r="AL589" s="31">
        <f>SUM($T589:Y589)</f>
        <v>0</v>
      </c>
      <c r="AM589" s="31">
        <f>SUM($T589:Z589)</f>
        <v>0</v>
      </c>
      <c r="AN589" s="31">
        <f>SUM($T589:AA589)</f>
        <v>0</v>
      </c>
      <c r="AO589" s="31">
        <f>SUM($T589:AB589)</f>
        <v>0</v>
      </c>
      <c r="AP589" s="31">
        <f>SUM($T589:AC589)</f>
        <v>0</v>
      </c>
      <c r="AQ589" s="31">
        <f>SUM($T589:AD589)</f>
        <v>0</v>
      </c>
      <c r="AR589" s="31">
        <f>SUM($T589:AE589)</f>
        <v>0</v>
      </c>
      <c r="AS589" s="27">
        <f t="shared" si="96"/>
        <v>0</v>
      </c>
    </row>
    <row r="590" spans="2:45">
      <c r="B590" s="102" t="str">
        <f>IF(ROW()-6&gt;NumCostCenter,"",IF(CostCenter&lt;&gt;"ALL",CostCenter,DATA_LF2!B588))</f>
        <v/>
      </c>
      <c r="C590" s="153" t="str">
        <f>IF($B590&lt;&gt;"",INDEX(DataOB[],FirstRow+ROW()-7,2),"")</f>
        <v/>
      </c>
      <c r="D590" s="66" t="str">
        <f>IF($B590&lt;&gt;"",INDEX(DataOB[],FirstRow+ROW()-7,3),"")</f>
        <v/>
      </c>
      <c r="E590" s="103" t="str">
        <f>IF($B590&lt;&gt;"",INDEX(DataOB[],FirstRow+ROW()-7,6),"")</f>
        <v/>
      </c>
      <c r="F590" s="103" t="str">
        <f>IF($B590&lt;&gt;"",INDEX(DataOB[],FirstRow+ROW()-7,5),"")</f>
        <v/>
      </c>
      <c r="G590" s="58">
        <f>IF($B590&lt;&gt;"",SUMIFS(DataAct_tbl[AMOUNT],DataAct_tbl[BG CODE],Detail!$D590,DataAct_tbl[MONTH],LEFT(MonthName,3),DataAct_tbl[Dept code],$B590),0)</f>
        <v>0</v>
      </c>
      <c r="H590" s="31" t="str">
        <f t="shared" si="88"/>
        <v/>
      </c>
      <c r="I590" s="28" t="str">
        <f t="shared" si="89"/>
        <v/>
      </c>
      <c r="J590" s="32" t="str">
        <f t="shared" si="90"/>
        <v/>
      </c>
      <c r="K590" s="86"/>
      <c r="L590" s="62">
        <f>IF($B590&lt;&gt;"",SUMIFS(DataAct_tbl[AMOUNT],DataAct_tbl[BG CODE],Detail!$D590,DataAct_tbl[Check Range],"=true",DataAct_tbl[Dept code],$B590),0)</f>
        <v>0</v>
      </c>
      <c r="M590" s="63">
        <f>INDEX($AG$7:$AR$1005,ROW()-6,MATCH(MTD,$AG$6:$AR$6,0))</f>
        <v>0</v>
      </c>
      <c r="N590" s="34">
        <f t="shared" si="91"/>
        <v>0</v>
      </c>
      <c r="O590" s="64" t="str">
        <f t="shared" si="92"/>
        <v xml:space="preserve"> </v>
      </c>
      <c r="Q590" s="97">
        <f t="shared" si="93"/>
        <v>0</v>
      </c>
      <c r="R590" s="96">
        <f t="shared" si="94"/>
        <v>0</v>
      </c>
      <c r="T590" s="67" t="str">
        <f>IF($B590&lt;&gt;"",INDEX(DataOB[],FirstRow+ROW()-7,MATCH(T$6,DataOB[#Headers],0)),"")</f>
        <v/>
      </c>
      <c r="U590" s="67" t="str">
        <f>IF($B590&lt;&gt;"",INDEX(DataOB[],FirstRow+ROW()-7,MATCH(U$6,DataOB[#Headers],0)),"")</f>
        <v/>
      </c>
      <c r="V590" s="67" t="str">
        <f>IF($B590&lt;&gt;"",INDEX(DataOB[],FirstRow+ROW()-7,MATCH(V$6,DataOB[#Headers],0)),"")</f>
        <v/>
      </c>
      <c r="W590" s="67" t="str">
        <f>IF($B590&lt;&gt;"",INDEX(DataOB[],FirstRow+ROW()-7,MATCH(W$6,DataOB[#Headers],0)),"")</f>
        <v/>
      </c>
      <c r="X590" s="67" t="str">
        <f>IF($B590&lt;&gt;"",INDEX(DataOB[],FirstRow+ROW()-7,MATCH(X$6,DataOB[#Headers],0)),"")</f>
        <v/>
      </c>
      <c r="Y590" s="67" t="str">
        <f>IF($B590&lt;&gt;"",INDEX(DataOB[],FirstRow+ROW()-7,MATCH(Y$6,DataOB[#Headers],0)),"")</f>
        <v/>
      </c>
      <c r="Z590" s="67" t="str">
        <f>IF($B590&lt;&gt;"",INDEX(DataOB[],FirstRow+ROW()-7,MATCH(Z$6,DataOB[#Headers],0)),"")</f>
        <v/>
      </c>
      <c r="AA590" s="67" t="str">
        <f>IF($B590&lt;&gt;"",INDEX(DataOB[],FirstRow+ROW()-7,MATCH(AA$6,DataOB[#Headers],0)),"")</f>
        <v/>
      </c>
      <c r="AB590" s="67" t="str">
        <f>IF($B590&lt;&gt;"",INDEX(DataOB[],FirstRow+ROW()-7,MATCH(AB$6,DataOB[#Headers],0)),"")</f>
        <v/>
      </c>
      <c r="AC590" s="67" t="str">
        <f>IF($B590&lt;&gt;"",INDEX(DataOB[],FirstRow+ROW()-7,MATCH(AC$6,DataOB[#Headers],0)),"")</f>
        <v/>
      </c>
      <c r="AD590" s="67" t="str">
        <f>IF($B590&lt;&gt;"",INDEX(DataOB[],FirstRow+ROW()-7,MATCH(AD$6,DataOB[#Headers],0)),"")</f>
        <v/>
      </c>
      <c r="AE590" s="67" t="str">
        <f>IF($B590&lt;&gt;"",INDEX(DataOB[],FirstRow+ROW()-7,MATCH(AE$6,DataOB[#Headers],0)),"")</f>
        <v/>
      </c>
      <c r="AF590" s="26">
        <f t="shared" si="95"/>
        <v>0</v>
      </c>
      <c r="AG590" s="31">
        <f>SUM($T590:T590)</f>
        <v>0</v>
      </c>
      <c r="AH590" s="31">
        <f>SUM($T590:U590)</f>
        <v>0</v>
      </c>
      <c r="AI590" s="31">
        <f>SUM($T590:V590)</f>
        <v>0</v>
      </c>
      <c r="AJ590" s="31">
        <f>SUM($T590:W590)</f>
        <v>0</v>
      </c>
      <c r="AK590" s="31">
        <f>SUM($T590:X590)</f>
        <v>0</v>
      </c>
      <c r="AL590" s="31">
        <f>SUM($T590:Y590)</f>
        <v>0</v>
      </c>
      <c r="AM590" s="31">
        <f>SUM($T590:Z590)</f>
        <v>0</v>
      </c>
      <c r="AN590" s="31">
        <f>SUM($T590:AA590)</f>
        <v>0</v>
      </c>
      <c r="AO590" s="31">
        <f>SUM($T590:AB590)</f>
        <v>0</v>
      </c>
      <c r="AP590" s="31">
        <f>SUM($T590:AC590)</f>
        <v>0</v>
      </c>
      <c r="AQ590" s="31">
        <f>SUM($T590:AD590)</f>
        <v>0</v>
      </c>
      <c r="AR590" s="31">
        <f>SUM($T590:AE590)</f>
        <v>0</v>
      </c>
      <c r="AS590" s="27">
        <f t="shared" si="96"/>
        <v>0</v>
      </c>
    </row>
    <row r="591" spans="2:45">
      <c r="B591" s="102" t="str">
        <f>IF(ROW()-6&gt;NumCostCenter,"",IF(CostCenter&lt;&gt;"ALL",CostCenter,DATA_LF2!B589))</f>
        <v/>
      </c>
      <c r="C591" s="153" t="str">
        <f>IF($B591&lt;&gt;"",INDEX(DataOB[],FirstRow+ROW()-7,2),"")</f>
        <v/>
      </c>
      <c r="D591" s="66" t="str">
        <f>IF($B591&lt;&gt;"",INDEX(DataOB[],FirstRow+ROW()-7,3),"")</f>
        <v/>
      </c>
      <c r="E591" s="103" t="str">
        <f>IF($B591&lt;&gt;"",INDEX(DataOB[],FirstRow+ROW()-7,6),"")</f>
        <v/>
      </c>
      <c r="F591" s="103" t="str">
        <f>IF($B591&lt;&gt;"",INDEX(DataOB[],FirstRow+ROW()-7,5),"")</f>
        <v/>
      </c>
      <c r="G591" s="58">
        <f>IF($B591&lt;&gt;"",SUMIFS(DataAct_tbl[AMOUNT],DataAct_tbl[BG CODE],Detail!$D591,DataAct_tbl[MONTH],LEFT(MonthName,3),DataAct_tbl[Dept code],$B591),0)</f>
        <v>0</v>
      </c>
      <c r="H591" s="31" t="str">
        <f t="shared" si="88"/>
        <v/>
      </c>
      <c r="I591" s="28" t="str">
        <f t="shared" si="89"/>
        <v/>
      </c>
      <c r="J591" s="32" t="str">
        <f t="shared" si="90"/>
        <v/>
      </c>
      <c r="K591" s="86"/>
      <c r="L591" s="62">
        <f>IF($B591&lt;&gt;"",SUMIFS(DataAct_tbl[AMOUNT],DataAct_tbl[BG CODE],Detail!$D591,DataAct_tbl[Check Range],"=true",DataAct_tbl[Dept code],$B591),0)</f>
        <v>0</v>
      </c>
      <c r="M591" s="63">
        <f>INDEX($AG$7:$AR$1005,ROW()-6,MATCH(MTD,$AG$6:$AR$6,0))</f>
        <v>0</v>
      </c>
      <c r="N591" s="34">
        <f t="shared" si="91"/>
        <v>0</v>
      </c>
      <c r="O591" s="64" t="str">
        <f t="shared" si="92"/>
        <v xml:space="preserve"> </v>
      </c>
      <c r="Q591" s="97">
        <f t="shared" si="93"/>
        <v>0</v>
      </c>
      <c r="R591" s="96">
        <f t="shared" si="94"/>
        <v>0</v>
      </c>
      <c r="T591" s="67" t="str">
        <f>IF($B591&lt;&gt;"",INDEX(DataOB[],FirstRow+ROW()-7,MATCH(T$6,DataOB[#Headers],0)),"")</f>
        <v/>
      </c>
      <c r="U591" s="67" t="str">
        <f>IF($B591&lt;&gt;"",INDEX(DataOB[],FirstRow+ROW()-7,MATCH(U$6,DataOB[#Headers],0)),"")</f>
        <v/>
      </c>
      <c r="V591" s="67" t="str">
        <f>IF($B591&lt;&gt;"",INDEX(DataOB[],FirstRow+ROW()-7,MATCH(V$6,DataOB[#Headers],0)),"")</f>
        <v/>
      </c>
      <c r="W591" s="67" t="str">
        <f>IF($B591&lt;&gt;"",INDEX(DataOB[],FirstRow+ROW()-7,MATCH(W$6,DataOB[#Headers],0)),"")</f>
        <v/>
      </c>
      <c r="X591" s="67" t="str">
        <f>IF($B591&lt;&gt;"",INDEX(DataOB[],FirstRow+ROW()-7,MATCH(X$6,DataOB[#Headers],0)),"")</f>
        <v/>
      </c>
      <c r="Y591" s="67" t="str">
        <f>IF($B591&lt;&gt;"",INDEX(DataOB[],FirstRow+ROW()-7,MATCH(Y$6,DataOB[#Headers],0)),"")</f>
        <v/>
      </c>
      <c r="Z591" s="67" t="str">
        <f>IF($B591&lt;&gt;"",INDEX(DataOB[],FirstRow+ROW()-7,MATCH(Z$6,DataOB[#Headers],0)),"")</f>
        <v/>
      </c>
      <c r="AA591" s="67" t="str">
        <f>IF($B591&lt;&gt;"",INDEX(DataOB[],FirstRow+ROW()-7,MATCH(AA$6,DataOB[#Headers],0)),"")</f>
        <v/>
      </c>
      <c r="AB591" s="67" t="str">
        <f>IF($B591&lt;&gt;"",INDEX(DataOB[],FirstRow+ROW()-7,MATCH(AB$6,DataOB[#Headers],0)),"")</f>
        <v/>
      </c>
      <c r="AC591" s="67" t="str">
        <f>IF($B591&lt;&gt;"",INDEX(DataOB[],FirstRow+ROW()-7,MATCH(AC$6,DataOB[#Headers],0)),"")</f>
        <v/>
      </c>
      <c r="AD591" s="67" t="str">
        <f>IF($B591&lt;&gt;"",INDEX(DataOB[],FirstRow+ROW()-7,MATCH(AD$6,DataOB[#Headers],0)),"")</f>
        <v/>
      </c>
      <c r="AE591" s="67" t="str">
        <f>IF($B591&lt;&gt;"",INDEX(DataOB[],FirstRow+ROW()-7,MATCH(AE$6,DataOB[#Headers],0)),"")</f>
        <v/>
      </c>
      <c r="AF591" s="26">
        <f t="shared" si="95"/>
        <v>0</v>
      </c>
      <c r="AG591" s="31">
        <f>SUM($T591:T591)</f>
        <v>0</v>
      </c>
      <c r="AH591" s="31">
        <f>SUM($T591:U591)</f>
        <v>0</v>
      </c>
      <c r="AI591" s="31">
        <f>SUM($T591:V591)</f>
        <v>0</v>
      </c>
      <c r="AJ591" s="31">
        <f>SUM($T591:W591)</f>
        <v>0</v>
      </c>
      <c r="AK591" s="31">
        <f>SUM($T591:X591)</f>
        <v>0</v>
      </c>
      <c r="AL591" s="31">
        <f>SUM($T591:Y591)</f>
        <v>0</v>
      </c>
      <c r="AM591" s="31">
        <f>SUM($T591:Z591)</f>
        <v>0</v>
      </c>
      <c r="AN591" s="31">
        <f>SUM($T591:AA591)</f>
        <v>0</v>
      </c>
      <c r="AO591" s="31">
        <f>SUM($T591:AB591)</f>
        <v>0</v>
      </c>
      <c r="AP591" s="31">
        <f>SUM($T591:AC591)</f>
        <v>0</v>
      </c>
      <c r="AQ591" s="31">
        <f>SUM($T591:AD591)</f>
        <v>0</v>
      </c>
      <c r="AR591" s="31">
        <f>SUM($T591:AE591)</f>
        <v>0</v>
      </c>
      <c r="AS591" s="27">
        <f t="shared" si="96"/>
        <v>0</v>
      </c>
    </row>
    <row r="592" spans="2:45">
      <c r="B592" s="102" t="str">
        <f>IF(ROW()-6&gt;NumCostCenter,"",IF(CostCenter&lt;&gt;"ALL",CostCenter,DATA_LF2!B590))</f>
        <v/>
      </c>
      <c r="C592" s="153" t="str">
        <f>IF($B592&lt;&gt;"",INDEX(DataOB[],FirstRow+ROW()-7,2),"")</f>
        <v/>
      </c>
      <c r="D592" s="66" t="str">
        <f>IF($B592&lt;&gt;"",INDEX(DataOB[],FirstRow+ROW()-7,3),"")</f>
        <v/>
      </c>
      <c r="E592" s="103" t="str">
        <f>IF($B592&lt;&gt;"",INDEX(DataOB[],FirstRow+ROW()-7,6),"")</f>
        <v/>
      </c>
      <c r="F592" s="103" t="str">
        <f>IF($B592&lt;&gt;"",INDEX(DataOB[],FirstRow+ROW()-7,5),"")</f>
        <v/>
      </c>
      <c r="G592" s="58">
        <f>IF($B592&lt;&gt;"",SUMIFS(DataAct_tbl[AMOUNT],DataAct_tbl[BG CODE],Detail!$D592,DataAct_tbl[MONTH],LEFT(MonthName,3),DataAct_tbl[Dept code],$B592),0)</f>
        <v>0</v>
      </c>
      <c r="H592" s="31" t="str">
        <f t="shared" si="88"/>
        <v/>
      </c>
      <c r="I592" s="28" t="str">
        <f t="shared" si="89"/>
        <v/>
      </c>
      <c r="J592" s="32" t="str">
        <f t="shared" si="90"/>
        <v/>
      </c>
      <c r="K592" s="86"/>
      <c r="L592" s="62">
        <f>IF($B592&lt;&gt;"",SUMIFS(DataAct_tbl[AMOUNT],DataAct_tbl[BG CODE],Detail!$D592,DataAct_tbl[Check Range],"=true",DataAct_tbl[Dept code],$B592),0)</f>
        <v>0</v>
      </c>
      <c r="M592" s="63">
        <f>INDEX($AG$7:$AR$1005,ROW()-6,MATCH(MTD,$AG$6:$AR$6,0))</f>
        <v>0</v>
      </c>
      <c r="N592" s="34">
        <f t="shared" si="91"/>
        <v>0</v>
      </c>
      <c r="O592" s="64" t="str">
        <f t="shared" si="92"/>
        <v xml:space="preserve"> </v>
      </c>
      <c r="Q592" s="97">
        <f t="shared" si="93"/>
        <v>0</v>
      </c>
      <c r="R592" s="96">
        <f t="shared" si="94"/>
        <v>0</v>
      </c>
      <c r="T592" s="67" t="str">
        <f>IF($B592&lt;&gt;"",INDEX(DataOB[],FirstRow+ROW()-7,MATCH(T$6,DataOB[#Headers],0)),"")</f>
        <v/>
      </c>
      <c r="U592" s="67" t="str">
        <f>IF($B592&lt;&gt;"",INDEX(DataOB[],FirstRow+ROW()-7,MATCH(U$6,DataOB[#Headers],0)),"")</f>
        <v/>
      </c>
      <c r="V592" s="67" t="str">
        <f>IF($B592&lt;&gt;"",INDEX(DataOB[],FirstRow+ROW()-7,MATCH(V$6,DataOB[#Headers],0)),"")</f>
        <v/>
      </c>
      <c r="W592" s="67" t="str">
        <f>IF($B592&lt;&gt;"",INDEX(DataOB[],FirstRow+ROW()-7,MATCH(W$6,DataOB[#Headers],0)),"")</f>
        <v/>
      </c>
      <c r="X592" s="67" t="str">
        <f>IF($B592&lt;&gt;"",INDEX(DataOB[],FirstRow+ROW()-7,MATCH(X$6,DataOB[#Headers],0)),"")</f>
        <v/>
      </c>
      <c r="Y592" s="67" t="str">
        <f>IF($B592&lt;&gt;"",INDEX(DataOB[],FirstRow+ROW()-7,MATCH(Y$6,DataOB[#Headers],0)),"")</f>
        <v/>
      </c>
      <c r="Z592" s="67" t="str">
        <f>IF($B592&lt;&gt;"",INDEX(DataOB[],FirstRow+ROW()-7,MATCH(Z$6,DataOB[#Headers],0)),"")</f>
        <v/>
      </c>
      <c r="AA592" s="67" t="str">
        <f>IF($B592&lt;&gt;"",INDEX(DataOB[],FirstRow+ROW()-7,MATCH(AA$6,DataOB[#Headers],0)),"")</f>
        <v/>
      </c>
      <c r="AB592" s="67" t="str">
        <f>IF($B592&lt;&gt;"",INDEX(DataOB[],FirstRow+ROW()-7,MATCH(AB$6,DataOB[#Headers],0)),"")</f>
        <v/>
      </c>
      <c r="AC592" s="67" t="str">
        <f>IF($B592&lt;&gt;"",INDEX(DataOB[],FirstRow+ROW()-7,MATCH(AC$6,DataOB[#Headers],0)),"")</f>
        <v/>
      </c>
      <c r="AD592" s="67" t="str">
        <f>IF($B592&lt;&gt;"",INDEX(DataOB[],FirstRow+ROW()-7,MATCH(AD$6,DataOB[#Headers],0)),"")</f>
        <v/>
      </c>
      <c r="AE592" s="67" t="str">
        <f>IF($B592&lt;&gt;"",INDEX(DataOB[],FirstRow+ROW()-7,MATCH(AE$6,DataOB[#Headers],0)),"")</f>
        <v/>
      </c>
      <c r="AF592" s="26">
        <f t="shared" si="95"/>
        <v>0</v>
      </c>
      <c r="AG592" s="31">
        <f>SUM($T592:T592)</f>
        <v>0</v>
      </c>
      <c r="AH592" s="31">
        <f>SUM($T592:U592)</f>
        <v>0</v>
      </c>
      <c r="AI592" s="31">
        <f>SUM($T592:V592)</f>
        <v>0</v>
      </c>
      <c r="AJ592" s="31">
        <f>SUM($T592:W592)</f>
        <v>0</v>
      </c>
      <c r="AK592" s="31">
        <f>SUM($T592:X592)</f>
        <v>0</v>
      </c>
      <c r="AL592" s="31">
        <f>SUM($T592:Y592)</f>
        <v>0</v>
      </c>
      <c r="AM592" s="31">
        <f>SUM($T592:Z592)</f>
        <v>0</v>
      </c>
      <c r="AN592" s="31">
        <f>SUM($T592:AA592)</f>
        <v>0</v>
      </c>
      <c r="AO592" s="31">
        <f>SUM($T592:AB592)</f>
        <v>0</v>
      </c>
      <c r="AP592" s="31">
        <f>SUM($T592:AC592)</f>
        <v>0</v>
      </c>
      <c r="AQ592" s="31">
        <f>SUM($T592:AD592)</f>
        <v>0</v>
      </c>
      <c r="AR592" s="31">
        <f>SUM($T592:AE592)</f>
        <v>0</v>
      </c>
      <c r="AS592" s="27">
        <f t="shared" si="96"/>
        <v>0</v>
      </c>
    </row>
    <row r="593" spans="2:45">
      <c r="B593" s="102" t="str">
        <f>IF(ROW()-6&gt;NumCostCenter,"",IF(CostCenter&lt;&gt;"ALL",CostCenter,DATA_LF2!B591))</f>
        <v/>
      </c>
      <c r="C593" s="153" t="str">
        <f>IF($B593&lt;&gt;"",INDEX(DataOB[],FirstRow+ROW()-7,2),"")</f>
        <v/>
      </c>
      <c r="D593" s="66" t="str">
        <f>IF($B593&lt;&gt;"",INDEX(DataOB[],FirstRow+ROW()-7,3),"")</f>
        <v/>
      </c>
      <c r="E593" s="103" t="str">
        <f>IF($B593&lt;&gt;"",INDEX(DataOB[],FirstRow+ROW()-7,6),"")</f>
        <v/>
      </c>
      <c r="F593" s="103" t="str">
        <f>IF($B593&lt;&gt;"",INDEX(DataOB[],FirstRow+ROW()-7,5),"")</f>
        <v/>
      </c>
      <c r="G593" s="58">
        <f>IF($B593&lt;&gt;"",SUMIFS(DataAct_tbl[AMOUNT],DataAct_tbl[BG CODE],Detail!$D593,DataAct_tbl[MONTH],LEFT(MonthName,3),DataAct_tbl[Dept code],$B593),0)</f>
        <v>0</v>
      </c>
      <c r="H593" s="31" t="str">
        <f t="shared" si="88"/>
        <v/>
      </c>
      <c r="I593" s="28" t="str">
        <f t="shared" si="89"/>
        <v/>
      </c>
      <c r="J593" s="32" t="str">
        <f t="shared" si="90"/>
        <v/>
      </c>
      <c r="K593" s="86"/>
      <c r="L593" s="62">
        <f>IF($B593&lt;&gt;"",SUMIFS(DataAct_tbl[AMOUNT],DataAct_tbl[BG CODE],Detail!$D593,DataAct_tbl[Check Range],"=true",DataAct_tbl[Dept code],$B593),0)</f>
        <v>0</v>
      </c>
      <c r="M593" s="63">
        <f>INDEX($AG$7:$AR$1005,ROW()-6,MATCH(MTD,$AG$6:$AR$6,0))</f>
        <v>0</v>
      </c>
      <c r="N593" s="34">
        <f t="shared" si="91"/>
        <v>0</v>
      </c>
      <c r="O593" s="64" t="str">
        <f t="shared" si="92"/>
        <v xml:space="preserve"> </v>
      </c>
      <c r="Q593" s="97">
        <f t="shared" si="93"/>
        <v>0</v>
      </c>
      <c r="R593" s="96">
        <f t="shared" si="94"/>
        <v>0</v>
      </c>
      <c r="T593" s="67" t="str">
        <f>IF($B593&lt;&gt;"",INDEX(DataOB[],FirstRow+ROW()-7,MATCH(T$6,DataOB[#Headers],0)),"")</f>
        <v/>
      </c>
      <c r="U593" s="67" t="str">
        <f>IF($B593&lt;&gt;"",INDEX(DataOB[],FirstRow+ROW()-7,MATCH(U$6,DataOB[#Headers],0)),"")</f>
        <v/>
      </c>
      <c r="V593" s="67" t="str">
        <f>IF($B593&lt;&gt;"",INDEX(DataOB[],FirstRow+ROW()-7,MATCH(V$6,DataOB[#Headers],0)),"")</f>
        <v/>
      </c>
      <c r="W593" s="67" t="str">
        <f>IF($B593&lt;&gt;"",INDEX(DataOB[],FirstRow+ROW()-7,MATCH(W$6,DataOB[#Headers],0)),"")</f>
        <v/>
      </c>
      <c r="X593" s="67" t="str">
        <f>IF($B593&lt;&gt;"",INDEX(DataOB[],FirstRow+ROW()-7,MATCH(X$6,DataOB[#Headers],0)),"")</f>
        <v/>
      </c>
      <c r="Y593" s="67" t="str">
        <f>IF($B593&lt;&gt;"",INDEX(DataOB[],FirstRow+ROW()-7,MATCH(Y$6,DataOB[#Headers],0)),"")</f>
        <v/>
      </c>
      <c r="Z593" s="67" t="str">
        <f>IF($B593&lt;&gt;"",INDEX(DataOB[],FirstRow+ROW()-7,MATCH(Z$6,DataOB[#Headers],0)),"")</f>
        <v/>
      </c>
      <c r="AA593" s="67" t="str">
        <f>IF($B593&lt;&gt;"",INDEX(DataOB[],FirstRow+ROW()-7,MATCH(AA$6,DataOB[#Headers],0)),"")</f>
        <v/>
      </c>
      <c r="AB593" s="67" t="str">
        <f>IF($B593&lt;&gt;"",INDEX(DataOB[],FirstRow+ROW()-7,MATCH(AB$6,DataOB[#Headers],0)),"")</f>
        <v/>
      </c>
      <c r="AC593" s="67" t="str">
        <f>IF($B593&lt;&gt;"",INDEX(DataOB[],FirstRow+ROW()-7,MATCH(AC$6,DataOB[#Headers],0)),"")</f>
        <v/>
      </c>
      <c r="AD593" s="67" t="str">
        <f>IF($B593&lt;&gt;"",INDEX(DataOB[],FirstRow+ROW()-7,MATCH(AD$6,DataOB[#Headers],0)),"")</f>
        <v/>
      </c>
      <c r="AE593" s="67" t="str">
        <f>IF($B593&lt;&gt;"",INDEX(DataOB[],FirstRow+ROW()-7,MATCH(AE$6,DataOB[#Headers],0)),"")</f>
        <v/>
      </c>
      <c r="AF593" s="26">
        <f t="shared" si="95"/>
        <v>0</v>
      </c>
      <c r="AG593" s="31">
        <f>SUM($T593:T593)</f>
        <v>0</v>
      </c>
      <c r="AH593" s="31">
        <f>SUM($T593:U593)</f>
        <v>0</v>
      </c>
      <c r="AI593" s="31">
        <f>SUM($T593:V593)</f>
        <v>0</v>
      </c>
      <c r="AJ593" s="31">
        <f>SUM($T593:W593)</f>
        <v>0</v>
      </c>
      <c r="AK593" s="31">
        <f>SUM($T593:X593)</f>
        <v>0</v>
      </c>
      <c r="AL593" s="31">
        <f>SUM($T593:Y593)</f>
        <v>0</v>
      </c>
      <c r="AM593" s="31">
        <f>SUM($T593:Z593)</f>
        <v>0</v>
      </c>
      <c r="AN593" s="31">
        <f>SUM($T593:AA593)</f>
        <v>0</v>
      </c>
      <c r="AO593" s="31">
        <f>SUM($T593:AB593)</f>
        <v>0</v>
      </c>
      <c r="AP593" s="31">
        <f>SUM($T593:AC593)</f>
        <v>0</v>
      </c>
      <c r="AQ593" s="31">
        <f>SUM($T593:AD593)</f>
        <v>0</v>
      </c>
      <c r="AR593" s="31">
        <f>SUM($T593:AE593)</f>
        <v>0</v>
      </c>
      <c r="AS593" s="27">
        <f t="shared" si="96"/>
        <v>0</v>
      </c>
    </row>
    <row r="594" spans="2:45">
      <c r="B594" s="102" t="str">
        <f>IF(ROW()-6&gt;NumCostCenter,"",IF(CostCenter&lt;&gt;"ALL",CostCenter,DATA_LF2!B592))</f>
        <v/>
      </c>
      <c r="C594" s="153" t="str">
        <f>IF($B594&lt;&gt;"",INDEX(DataOB[],FirstRow+ROW()-7,2),"")</f>
        <v/>
      </c>
      <c r="D594" s="66" t="str">
        <f>IF($B594&lt;&gt;"",INDEX(DataOB[],FirstRow+ROW()-7,3),"")</f>
        <v/>
      </c>
      <c r="E594" s="103" t="str">
        <f>IF($B594&lt;&gt;"",INDEX(DataOB[],FirstRow+ROW()-7,6),"")</f>
        <v/>
      </c>
      <c r="F594" s="103" t="str">
        <f>IF($B594&lt;&gt;"",INDEX(DataOB[],FirstRow+ROW()-7,5),"")</f>
        <v/>
      </c>
      <c r="G594" s="58">
        <f>IF($B594&lt;&gt;"",SUMIFS(DataAct_tbl[AMOUNT],DataAct_tbl[BG CODE],Detail!$D594,DataAct_tbl[MONTH],LEFT(MonthName,3),DataAct_tbl[Dept code],$B594),0)</f>
        <v>0</v>
      </c>
      <c r="H594" s="31" t="str">
        <f t="shared" si="88"/>
        <v/>
      </c>
      <c r="I594" s="28" t="str">
        <f t="shared" si="89"/>
        <v/>
      </c>
      <c r="J594" s="32" t="str">
        <f t="shared" si="90"/>
        <v/>
      </c>
      <c r="K594" s="86"/>
      <c r="L594" s="62">
        <f>IF($B594&lt;&gt;"",SUMIFS(DataAct_tbl[AMOUNT],DataAct_tbl[BG CODE],Detail!$D594,DataAct_tbl[Check Range],"=true",DataAct_tbl[Dept code],$B594),0)</f>
        <v>0</v>
      </c>
      <c r="M594" s="63">
        <f>INDEX($AG$7:$AR$1005,ROW()-6,MATCH(MTD,$AG$6:$AR$6,0))</f>
        <v>0</v>
      </c>
      <c r="N594" s="34">
        <f t="shared" si="91"/>
        <v>0</v>
      </c>
      <c r="O594" s="64" t="str">
        <f t="shared" si="92"/>
        <v xml:space="preserve"> </v>
      </c>
      <c r="Q594" s="97">
        <f t="shared" si="93"/>
        <v>0</v>
      </c>
      <c r="R594" s="96">
        <f t="shared" si="94"/>
        <v>0</v>
      </c>
      <c r="T594" s="67" t="str">
        <f>IF($B594&lt;&gt;"",INDEX(DataOB[],FirstRow+ROW()-7,MATCH(T$6,DataOB[#Headers],0)),"")</f>
        <v/>
      </c>
      <c r="U594" s="67" t="str">
        <f>IF($B594&lt;&gt;"",INDEX(DataOB[],FirstRow+ROW()-7,MATCH(U$6,DataOB[#Headers],0)),"")</f>
        <v/>
      </c>
      <c r="V594" s="67" t="str">
        <f>IF($B594&lt;&gt;"",INDEX(DataOB[],FirstRow+ROW()-7,MATCH(V$6,DataOB[#Headers],0)),"")</f>
        <v/>
      </c>
      <c r="W594" s="67" t="str">
        <f>IF($B594&lt;&gt;"",INDEX(DataOB[],FirstRow+ROW()-7,MATCH(W$6,DataOB[#Headers],0)),"")</f>
        <v/>
      </c>
      <c r="X594" s="67" t="str">
        <f>IF($B594&lt;&gt;"",INDEX(DataOB[],FirstRow+ROW()-7,MATCH(X$6,DataOB[#Headers],0)),"")</f>
        <v/>
      </c>
      <c r="Y594" s="67" t="str">
        <f>IF($B594&lt;&gt;"",INDEX(DataOB[],FirstRow+ROW()-7,MATCH(Y$6,DataOB[#Headers],0)),"")</f>
        <v/>
      </c>
      <c r="Z594" s="67" t="str">
        <f>IF($B594&lt;&gt;"",INDEX(DataOB[],FirstRow+ROW()-7,MATCH(Z$6,DataOB[#Headers],0)),"")</f>
        <v/>
      </c>
      <c r="AA594" s="67" t="str">
        <f>IF($B594&lt;&gt;"",INDEX(DataOB[],FirstRow+ROW()-7,MATCH(AA$6,DataOB[#Headers],0)),"")</f>
        <v/>
      </c>
      <c r="AB594" s="67" t="str">
        <f>IF($B594&lt;&gt;"",INDEX(DataOB[],FirstRow+ROW()-7,MATCH(AB$6,DataOB[#Headers],0)),"")</f>
        <v/>
      </c>
      <c r="AC594" s="67" t="str">
        <f>IF($B594&lt;&gt;"",INDEX(DataOB[],FirstRow+ROW()-7,MATCH(AC$6,DataOB[#Headers],0)),"")</f>
        <v/>
      </c>
      <c r="AD594" s="67" t="str">
        <f>IF($B594&lt;&gt;"",INDEX(DataOB[],FirstRow+ROW()-7,MATCH(AD$6,DataOB[#Headers],0)),"")</f>
        <v/>
      </c>
      <c r="AE594" s="67" t="str">
        <f>IF($B594&lt;&gt;"",INDEX(DataOB[],FirstRow+ROW()-7,MATCH(AE$6,DataOB[#Headers],0)),"")</f>
        <v/>
      </c>
      <c r="AF594" s="26">
        <f t="shared" si="95"/>
        <v>0</v>
      </c>
      <c r="AG594" s="31">
        <f>SUM($T594:T594)</f>
        <v>0</v>
      </c>
      <c r="AH594" s="31">
        <f>SUM($T594:U594)</f>
        <v>0</v>
      </c>
      <c r="AI594" s="31">
        <f>SUM($T594:V594)</f>
        <v>0</v>
      </c>
      <c r="AJ594" s="31">
        <f>SUM($T594:W594)</f>
        <v>0</v>
      </c>
      <c r="AK594" s="31">
        <f>SUM($T594:X594)</f>
        <v>0</v>
      </c>
      <c r="AL594" s="31">
        <f>SUM($T594:Y594)</f>
        <v>0</v>
      </c>
      <c r="AM594" s="31">
        <f>SUM($T594:Z594)</f>
        <v>0</v>
      </c>
      <c r="AN594" s="31">
        <f>SUM($T594:AA594)</f>
        <v>0</v>
      </c>
      <c r="AO594" s="31">
        <f>SUM($T594:AB594)</f>
        <v>0</v>
      </c>
      <c r="AP594" s="31">
        <f>SUM($T594:AC594)</f>
        <v>0</v>
      </c>
      <c r="AQ594" s="31">
        <f>SUM($T594:AD594)</f>
        <v>0</v>
      </c>
      <c r="AR594" s="31">
        <f>SUM($T594:AE594)</f>
        <v>0</v>
      </c>
      <c r="AS594" s="27">
        <f t="shared" si="96"/>
        <v>0</v>
      </c>
    </row>
    <row r="595" spans="2:45">
      <c r="B595" s="102" t="str">
        <f>IF(ROW()-6&gt;NumCostCenter,"",IF(CostCenter&lt;&gt;"ALL",CostCenter,DATA_LF2!B593))</f>
        <v/>
      </c>
      <c r="C595" s="153" t="str">
        <f>IF($B595&lt;&gt;"",INDEX(DataOB[],FirstRow+ROW()-7,2),"")</f>
        <v/>
      </c>
      <c r="D595" s="66" t="str">
        <f>IF($B595&lt;&gt;"",INDEX(DataOB[],FirstRow+ROW()-7,3),"")</f>
        <v/>
      </c>
      <c r="E595" s="103" t="str">
        <f>IF($B595&lt;&gt;"",INDEX(DataOB[],FirstRow+ROW()-7,6),"")</f>
        <v/>
      </c>
      <c r="F595" s="103" t="str">
        <f>IF($B595&lt;&gt;"",INDEX(DataOB[],FirstRow+ROW()-7,5),"")</f>
        <v/>
      </c>
      <c r="G595" s="58">
        <f>IF($B595&lt;&gt;"",SUMIFS(DataAct_tbl[AMOUNT],DataAct_tbl[BG CODE],Detail!$D595,DataAct_tbl[MONTH],LEFT(MonthName,3),DataAct_tbl[Dept code],$B595),0)</f>
        <v>0</v>
      </c>
      <c r="H595" s="31" t="str">
        <f t="shared" si="88"/>
        <v/>
      </c>
      <c r="I595" s="28" t="str">
        <f t="shared" si="89"/>
        <v/>
      </c>
      <c r="J595" s="32" t="str">
        <f t="shared" si="90"/>
        <v/>
      </c>
      <c r="K595" s="86"/>
      <c r="L595" s="62">
        <f>IF($B595&lt;&gt;"",SUMIFS(DataAct_tbl[AMOUNT],DataAct_tbl[BG CODE],Detail!$D595,DataAct_tbl[Check Range],"=true",DataAct_tbl[Dept code],$B595),0)</f>
        <v>0</v>
      </c>
      <c r="M595" s="63">
        <f>INDEX($AG$7:$AR$1005,ROW()-6,MATCH(MTD,$AG$6:$AR$6,0))</f>
        <v>0</v>
      </c>
      <c r="N595" s="34">
        <f t="shared" si="91"/>
        <v>0</v>
      </c>
      <c r="O595" s="64" t="str">
        <f t="shared" si="92"/>
        <v xml:space="preserve"> </v>
      </c>
      <c r="Q595" s="97">
        <f t="shared" si="93"/>
        <v>0</v>
      </c>
      <c r="R595" s="96">
        <f t="shared" si="94"/>
        <v>0</v>
      </c>
      <c r="T595" s="67" t="str">
        <f>IF($B595&lt;&gt;"",INDEX(DataOB[],FirstRow+ROW()-7,MATCH(T$6,DataOB[#Headers],0)),"")</f>
        <v/>
      </c>
      <c r="U595" s="67" t="str">
        <f>IF($B595&lt;&gt;"",INDEX(DataOB[],FirstRow+ROW()-7,MATCH(U$6,DataOB[#Headers],0)),"")</f>
        <v/>
      </c>
      <c r="V595" s="67" t="str">
        <f>IF($B595&lt;&gt;"",INDEX(DataOB[],FirstRow+ROW()-7,MATCH(V$6,DataOB[#Headers],0)),"")</f>
        <v/>
      </c>
      <c r="W595" s="67" t="str">
        <f>IF($B595&lt;&gt;"",INDEX(DataOB[],FirstRow+ROW()-7,MATCH(W$6,DataOB[#Headers],0)),"")</f>
        <v/>
      </c>
      <c r="X595" s="67" t="str">
        <f>IF($B595&lt;&gt;"",INDEX(DataOB[],FirstRow+ROW()-7,MATCH(X$6,DataOB[#Headers],0)),"")</f>
        <v/>
      </c>
      <c r="Y595" s="67" t="str">
        <f>IF($B595&lt;&gt;"",INDEX(DataOB[],FirstRow+ROW()-7,MATCH(Y$6,DataOB[#Headers],0)),"")</f>
        <v/>
      </c>
      <c r="Z595" s="67" t="str">
        <f>IF($B595&lt;&gt;"",INDEX(DataOB[],FirstRow+ROW()-7,MATCH(Z$6,DataOB[#Headers],0)),"")</f>
        <v/>
      </c>
      <c r="AA595" s="67" t="str">
        <f>IF($B595&lt;&gt;"",INDEX(DataOB[],FirstRow+ROW()-7,MATCH(AA$6,DataOB[#Headers],0)),"")</f>
        <v/>
      </c>
      <c r="AB595" s="67" t="str">
        <f>IF($B595&lt;&gt;"",INDEX(DataOB[],FirstRow+ROW()-7,MATCH(AB$6,DataOB[#Headers],0)),"")</f>
        <v/>
      </c>
      <c r="AC595" s="67" t="str">
        <f>IF($B595&lt;&gt;"",INDEX(DataOB[],FirstRow+ROW()-7,MATCH(AC$6,DataOB[#Headers],0)),"")</f>
        <v/>
      </c>
      <c r="AD595" s="67" t="str">
        <f>IF($B595&lt;&gt;"",INDEX(DataOB[],FirstRow+ROW()-7,MATCH(AD$6,DataOB[#Headers],0)),"")</f>
        <v/>
      </c>
      <c r="AE595" s="67" t="str">
        <f>IF($B595&lt;&gt;"",INDEX(DataOB[],FirstRow+ROW()-7,MATCH(AE$6,DataOB[#Headers],0)),"")</f>
        <v/>
      </c>
      <c r="AF595" s="26">
        <f t="shared" si="95"/>
        <v>0</v>
      </c>
      <c r="AG595" s="31">
        <f>SUM($T595:T595)</f>
        <v>0</v>
      </c>
      <c r="AH595" s="31">
        <f>SUM($T595:U595)</f>
        <v>0</v>
      </c>
      <c r="AI595" s="31">
        <f>SUM($T595:V595)</f>
        <v>0</v>
      </c>
      <c r="AJ595" s="31">
        <f>SUM($T595:W595)</f>
        <v>0</v>
      </c>
      <c r="AK595" s="31">
        <f>SUM($T595:X595)</f>
        <v>0</v>
      </c>
      <c r="AL595" s="31">
        <f>SUM($T595:Y595)</f>
        <v>0</v>
      </c>
      <c r="AM595" s="31">
        <f>SUM($T595:Z595)</f>
        <v>0</v>
      </c>
      <c r="AN595" s="31">
        <f>SUM($T595:AA595)</f>
        <v>0</v>
      </c>
      <c r="AO595" s="31">
        <f>SUM($T595:AB595)</f>
        <v>0</v>
      </c>
      <c r="AP595" s="31">
        <f>SUM($T595:AC595)</f>
        <v>0</v>
      </c>
      <c r="AQ595" s="31">
        <f>SUM($T595:AD595)</f>
        <v>0</v>
      </c>
      <c r="AR595" s="31">
        <f>SUM($T595:AE595)</f>
        <v>0</v>
      </c>
      <c r="AS595" s="27">
        <f t="shared" si="96"/>
        <v>0</v>
      </c>
    </row>
    <row r="596" spans="2:45">
      <c r="B596" s="102" t="str">
        <f>IF(ROW()-6&gt;NumCostCenter,"",IF(CostCenter&lt;&gt;"ALL",CostCenter,DATA_LF2!B594))</f>
        <v/>
      </c>
      <c r="C596" s="153" t="str">
        <f>IF($B596&lt;&gt;"",INDEX(DataOB[],FirstRow+ROW()-7,2),"")</f>
        <v/>
      </c>
      <c r="D596" s="66" t="str">
        <f>IF($B596&lt;&gt;"",INDEX(DataOB[],FirstRow+ROW()-7,3),"")</f>
        <v/>
      </c>
      <c r="E596" s="103" t="str">
        <f>IF($B596&lt;&gt;"",INDEX(DataOB[],FirstRow+ROW()-7,6),"")</f>
        <v/>
      </c>
      <c r="F596" s="103" t="str">
        <f>IF($B596&lt;&gt;"",INDEX(DataOB[],FirstRow+ROW()-7,5),"")</f>
        <v/>
      </c>
      <c r="G596" s="58">
        <f>IF($B596&lt;&gt;"",SUMIFS(DataAct_tbl[AMOUNT],DataAct_tbl[BG CODE],Detail!$D596,DataAct_tbl[MONTH],LEFT(MonthName,3),DataAct_tbl[Dept code],$B596),0)</f>
        <v>0</v>
      </c>
      <c r="H596" s="31" t="str">
        <f t="shared" si="88"/>
        <v/>
      </c>
      <c r="I596" s="28" t="str">
        <f t="shared" si="89"/>
        <v/>
      </c>
      <c r="J596" s="32" t="str">
        <f t="shared" si="90"/>
        <v/>
      </c>
      <c r="K596" s="86"/>
      <c r="L596" s="62">
        <f>IF($B596&lt;&gt;"",SUMIFS(DataAct_tbl[AMOUNT],DataAct_tbl[BG CODE],Detail!$D596,DataAct_tbl[Check Range],"=true",DataAct_tbl[Dept code],$B596),0)</f>
        <v>0</v>
      </c>
      <c r="M596" s="63">
        <f>INDEX($AG$7:$AR$1005,ROW()-6,MATCH(MTD,$AG$6:$AR$6,0))</f>
        <v>0</v>
      </c>
      <c r="N596" s="34">
        <f t="shared" si="91"/>
        <v>0</v>
      </c>
      <c r="O596" s="64" t="str">
        <f t="shared" si="92"/>
        <v xml:space="preserve"> </v>
      </c>
      <c r="Q596" s="97">
        <f t="shared" si="93"/>
        <v>0</v>
      </c>
      <c r="R596" s="96">
        <f t="shared" si="94"/>
        <v>0</v>
      </c>
      <c r="T596" s="67" t="str">
        <f>IF($B596&lt;&gt;"",INDEX(DataOB[],FirstRow+ROW()-7,MATCH(T$6,DataOB[#Headers],0)),"")</f>
        <v/>
      </c>
      <c r="U596" s="67" t="str">
        <f>IF($B596&lt;&gt;"",INDEX(DataOB[],FirstRow+ROW()-7,MATCH(U$6,DataOB[#Headers],0)),"")</f>
        <v/>
      </c>
      <c r="V596" s="67" t="str">
        <f>IF($B596&lt;&gt;"",INDEX(DataOB[],FirstRow+ROW()-7,MATCH(V$6,DataOB[#Headers],0)),"")</f>
        <v/>
      </c>
      <c r="W596" s="67" t="str">
        <f>IF($B596&lt;&gt;"",INDEX(DataOB[],FirstRow+ROW()-7,MATCH(W$6,DataOB[#Headers],0)),"")</f>
        <v/>
      </c>
      <c r="X596" s="67" t="str">
        <f>IF($B596&lt;&gt;"",INDEX(DataOB[],FirstRow+ROW()-7,MATCH(X$6,DataOB[#Headers],0)),"")</f>
        <v/>
      </c>
      <c r="Y596" s="67" t="str">
        <f>IF($B596&lt;&gt;"",INDEX(DataOB[],FirstRow+ROW()-7,MATCH(Y$6,DataOB[#Headers],0)),"")</f>
        <v/>
      </c>
      <c r="Z596" s="67" t="str">
        <f>IF($B596&lt;&gt;"",INDEX(DataOB[],FirstRow+ROW()-7,MATCH(Z$6,DataOB[#Headers],0)),"")</f>
        <v/>
      </c>
      <c r="AA596" s="67" t="str">
        <f>IF($B596&lt;&gt;"",INDEX(DataOB[],FirstRow+ROW()-7,MATCH(AA$6,DataOB[#Headers],0)),"")</f>
        <v/>
      </c>
      <c r="AB596" s="67" t="str">
        <f>IF($B596&lt;&gt;"",INDEX(DataOB[],FirstRow+ROW()-7,MATCH(AB$6,DataOB[#Headers],0)),"")</f>
        <v/>
      </c>
      <c r="AC596" s="67" t="str">
        <f>IF($B596&lt;&gt;"",INDEX(DataOB[],FirstRow+ROW()-7,MATCH(AC$6,DataOB[#Headers],0)),"")</f>
        <v/>
      </c>
      <c r="AD596" s="67" t="str">
        <f>IF($B596&lt;&gt;"",INDEX(DataOB[],FirstRow+ROW()-7,MATCH(AD$6,DataOB[#Headers],0)),"")</f>
        <v/>
      </c>
      <c r="AE596" s="67" t="str">
        <f>IF($B596&lt;&gt;"",INDEX(DataOB[],FirstRow+ROW()-7,MATCH(AE$6,DataOB[#Headers],0)),"")</f>
        <v/>
      </c>
      <c r="AF596" s="26">
        <f t="shared" si="95"/>
        <v>0</v>
      </c>
      <c r="AG596" s="31">
        <f>SUM($T596:T596)</f>
        <v>0</v>
      </c>
      <c r="AH596" s="31">
        <f>SUM($T596:U596)</f>
        <v>0</v>
      </c>
      <c r="AI596" s="31">
        <f>SUM($T596:V596)</f>
        <v>0</v>
      </c>
      <c r="AJ596" s="31">
        <f>SUM($T596:W596)</f>
        <v>0</v>
      </c>
      <c r="AK596" s="31">
        <f>SUM($T596:X596)</f>
        <v>0</v>
      </c>
      <c r="AL596" s="31">
        <f>SUM($T596:Y596)</f>
        <v>0</v>
      </c>
      <c r="AM596" s="31">
        <f>SUM($T596:Z596)</f>
        <v>0</v>
      </c>
      <c r="AN596" s="31">
        <f>SUM($T596:AA596)</f>
        <v>0</v>
      </c>
      <c r="AO596" s="31">
        <f>SUM($T596:AB596)</f>
        <v>0</v>
      </c>
      <c r="AP596" s="31">
        <f>SUM($T596:AC596)</f>
        <v>0</v>
      </c>
      <c r="AQ596" s="31">
        <f>SUM($T596:AD596)</f>
        <v>0</v>
      </c>
      <c r="AR596" s="31">
        <f>SUM($T596:AE596)</f>
        <v>0</v>
      </c>
      <c r="AS596" s="27">
        <f t="shared" si="96"/>
        <v>0</v>
      </c>
    </row>
    <row r="597" spans="2:45">
      <c r="B597" s="102" t="str">
        <f>IF(ROW()-6&gt;NumCostCenter,"",IF(CostCenter&lt;&gt;"ALL",CostCenter,DATA_LF2!B595))</f>
        <v/>
      </c>
      <c r="C597" s="153" t="str">
        <f>IF($B597&lt;&gt;"",INDEX(DataOB[],FirstRow+ROW()-7,2),"")</f>
        <v/>
      </c>
      <c r="D597" s="66" t="str">
        <f>IF($B597&lt;&gt;"",INDEX(DataOB[],FirstRow+ROW()-7,3),"")</f>
        <v/>
      </c>
      <c r="E597" s="103" t="str">
        <f>IF($B597&lt;&gt;"",INDEX(DataOB[],FirstRow+ROW()-7,6),"")</f>
        <v/>
      </c>
      <c r="F597" s="103" t="str">
        <f>IF($B597&lt;&gt;"",INDEX(DataOB[],FirstRow+ROW()-7,5),"")</f>
        <v/>
      </c>
      <c r="G597" s="58">
        <f>IF($B597&lt;&gt;"",SUMIFS(DataAct_tbl[AMOUNT],DataAct_tbl[BG CODE],Detail!$D597,DataAct_tbl[MONTH],LEFT(MonthName,3),DataAct_tbl[Dept code],$B597),0)</f>
        <v>0</v>
      </c>
      <c r="H597" s="31" t="str">
        <f t="shared" si="88"/>
        <v/>
      </c>
      <c r="I597" s="28" t="str">
        <f t="shared" si="89"/>
        <v/>
      </c>
      <c r="J597" s="32" t="str">
        <f t="shared" si="90"/>
        <v/>
      </c>
      <c r="K597" s="86"/>
      <c r="L597" s="62">
        <f>IF($B597&lt;&gt;"",SUMIFS(DataAct_tbl[AMOUNT],DataAct_tbl[BG CODE],Detail!$D597,DataAct_tbl[Check Range],"=true",DataAct_tbl[Dept code],$B597),0)</f>
        <v>0</v>
      </c>
      <c r="M597" s="63">
        <f>INDEX($AG$7:$AR$1005,ROW()-6,MATCH(MTD,$AG$6:$AR$6,0))</f>
        <v>0</v>
      </c>
      <c r="N597" s="34">
        <f t="shared" si="91"/>
        <v>0</v>
      </c>
      <c r="O597" s="64" t="str">
        <f t="shared" si="92"/>
        <v xml:space="preserve"> </v>
      </c>
      <c r="Q597" s="97">
        <f t="shared" si="93"/>
        <v>0</v>
      </c>
      <c r="R597" s="96">
        <f t="shared" si="94"/>
        <v>0</v>
      </c>
      <c r="T597" s="67" t="str">
        <f>IF($B597&lt;&gt;"",INDEX(DataOB[],FirstRow+ROW()-7,MATCH(T$6,DataOB[#Headers],0)),"")</f>
        <v/>
      </c>
      <c r="U597" s="67" t="str">
        <f>IF($B597&lt;&gt;"",INDEX(DataOB[],FirstRow+ROW()-7,MATCH(U$6,DataOB[#Headers],0)),"")</f>
        <v/>
      </c>
      <c r="V597" s="67" t="str">
        <f>IF($B597&lt;&gt;"",INDEX(DataOB[],FirstRow+ROW()-7,MATCH(V$6,DataOB[#Headers],0)),"")</f>
        <v/>
      </c>
      <c r="W597" s="67" t="str">
        <f>IF($B597&lt;&gt;"",INDEX(DataOB[],FirstRow+ROW()-7,MATCH(W$6,DataOB[#Headers],0)),"")</f>
        <v/>
      </c>
      <c r="X597" s="67" t="str">
        <f>IF($B597&lt;&gt;"",INDEX(DataOB[],FirstRow+ROW()-7,MATCH(X$6,DataOB[#Headers],0)),"")</f>
        <v/>
      </c>
      <c r="Y597" s="67" t="str">
        <f>IF($B597&lt;&gt;"",INDEX(DataOB[],FirstRow+ROW()-7,MATCH(Y$6,DataOB[#Headers],0)),"")</f>
        <v/>
      </c>
      <c r="Z597" s="67" t="str">
        <f>IF($B597&lt;&gt;"",INDEX(DataOB[],FirstRow+ROW()-7,MATCH(Z$6,DataOB[#Headers],0)),"")</f>
        <v/>
      </c>
      <c r="AA597" s="67" t="str">
        <f>IF($B597&lt;&gt;"",INDEX(DataOB[],FirstRow+ROW()-7,MATCH(AA$6,DataOB[#Headers],0)),"")</f>
        <v/>
      </c>
      <c r="AB597" s="67" t="str">
        <f>IF($B597&lt;&gt;"",INDEX(DataOB[],FirstRow+ROW()-7,MATCH(AB$6,DataOB[#Headers],0)),"")</f>
        <v/>
      </c>
      <c r="AC597" s="67" t="str">
        <f>IF($B597&lt;&gt;"",INDEX(DataOB[],FirstRow+ROW()-7,MATCH(AC$6,DataOB[#Headers],0)),"")</f>
        <v/>
      </c>
      <c r="AD597" s="67" t="str">
        <f>IF($B597&lt;&gt;"",INDEX(DataOB[],FirstRow+ROW()-7,MATCH(AD$6,DataOB[#Headers],0)),"")</f>
        <v/>
      </c>
      <c r="AE597" s="67" t="str">
        <f>IF($B597&lt;&gt;"",INDEX(DataOB[],FirstRow+ROW()-7,MATCH(AE$6,DataOB[#Headers],0)),"")</f>
        <v/>
      </c>
      <c r="AF597" s="26">
        <f t="shared" si="95"/>
        <v>0</v>
      </c>
      <c r="AG597" s="31">
        <f>SUM($T597:T597)</f>
        <v>0</v>
      </c>
      <c r="AH597" s="31">
        <f>SUM($T597:U597)</f>
        <v>0</v>
      </c>
      <c r="AI597" s="31">
        <f>SUM($T597:V597)</f>
        <v>0</v>
      </c>
      <c r="AJ597" s="31">
        <f>SUM($T597:W597)</f>
        <v>0</v>
      </c>
      <c r="AK597" s="31">
        <f>SUM($T597:X597)</f>
        <v>0</v>
      </c>
      <c r="AL597" s="31">
        <f>SUM($T597:Y597)</f>
        <v>0</v>
      </c>
      <c r="AM597" s="31">
        <f>SUM($T597:Z597)</f>
        <v>0</v>
      </c>
      <c r="AN597" s="31">
        <f>SUM($T597:AA597)</f>
        <v>0</v>
      </c>
      <c r="AO597" s="31">
        <f>SUM($T597:AB597)</f>
        <v>0</v>
      </c>
      <c r="AP597" s="31">
        <f>SUM($T597:AC597)</f>
        <v>0</v>
      </c>
      <c r="AQ597" s="31">
        <f>SUM($T597:AD597)</f>
        <v>0</v>
      </c>
      <c r="AR597" s="31">
        <f>SUM($T597:AE597)</f>
        <v>0</v>
      </c>
      <c r="AS597" s="27">
        <f t="shared" si="96"/>
        <v>0</v>
      </c>
    </row>
    <row r="598" spans="2:45">
      <c r="B598" s="102" t="str">
        <f>IF(ROW()-6&gt;NumCostCenter,"",IF(CostCenter&lt;&gt;"ALL",CostCenter,DATA_LF2!B596))</f>
        <v/>
      </c>
      <c r="C598" s="153" t="str">
        <f>IF($B598&lt;&gt;"",INDEX(DataOB[],FirstRow+ROW()-7,2),"")</f>
        <v/>
      </c>
      <c r="D598" s="66" t="str">
        <f>IF($B598&lt;&gt;"",INDEX(DataOB[],FirstRow+ROW()-7,3),"")</f>
        <v/>
      </c>
      <c r="E598" s="103" t="str">
        <f>IF($B598&lt;&gt;"",INDEX(DataOB[],FirstRow+ROW()-7,6),"")</f>
        <v/>
      </c>
      <c r="F598" s="103" t="str">
        <f>IF($B598&lt;&gt;"",INDEX(DataOB[],FirstRow+ROW()-7,5),"")</f>
        <v/>
      </c>
      <c r="G598" s="58">
        <f>IF($B598&lt;&gt;"",SUMIFS(DataAct_tbl[AMOUNT],DataAct_tbl[BG CODE],Detail!$D598,DataAct_tbl[MONTH],LEFT(MonthName,3),DataAct_tbl[Dept code],$B598),0)</f>
        <v>0</v>
      </c>
      <c r="H598" s="31" t="str">
        <f t="shared" si="88"/>
        <v/>
      </c>
      <c r="I598" s="28" t="str">
        <f t="shared" si="89"/>
        <v/>
      </c>
      <c r="J598" s="32" t="str">
        <f t="shared" si="90"/>
        <v/>
      </c>
      <c r="K598" s="86"/>
      <c r="L598" s="62">
        <f>IF($B598&lt;&gt;"",SUMIFS(DataAct_tbl[AMOUNT],DataAct_tbl[BG CODE],Detail!$D598,DataAct_tbl[Check Range],"=true",DataAct_tbl[Dept code],$B598),0)</f>
        <v>0</v>
      </c>
      <c r="M598" s="63">
        <f>INDEX($AG$7:$AR$1005,ROW()-6,MATCH(MTD,$AG$6:$AR$6,0))</f>
        <v>0</v>
      </c>
      <c r="N598" s="34">
        <f t="shared" si="91"/>
        <v>0</v>
      </c>
      <c r="O598" s="64" t="str">
        <f t="shared" si="92"/>
        <v xml:space="preserve"> </v>
      </c>
      <c r="Q598" s="97">
        <f t="shared" si="93"/>
        <v>0</v>
      </c>
      <c r="R598" s="96">
        <f t="shared" si="94"/>
        <v>0</v>
      </c>
      <c r="T598" s="67" t="str">
        <f>IF($B598&lt;&gt;"",INDEX(DataOB[],FirstRow+ROW()-7,MATCH(T$6,DataOB[#Headers],0)),"")</f>
        <v/>
      </c>
      <c r="U598" s="67" t="str">
        <f>IF($B598&lt;&gt;"",INDEX(DataOB[],FirstRow+ROW()-7,MATCH(U$6,DataOB[#Headers],0)),"")</f>
        <v/>
      </c>
      <c r="V598" s="67" t="str">
        <f>IF($B598&lt;&gt;"",INDEX(DataOB[],FirstRow+ROW()-7,MATCH(V$6,DataOB[#Headers],0)),"")</f>
        <v/>
      </c>
      <c r="W598" s="67" t="str">
        <f>IF($B598&lt;&gt;"",INDEX(DataOB[],FirstRow+ROW()-7,MATCH(W$6,DataOB[#Headers],0)),"")</f>
        <v/>
      </c>
      <c r="X598" s="67" t="str">
        <f>IF($B598&lt;&gt;"",INDEX(DataOB[],FirstRow+ROW()-7,MATCH(X$6,DataOB[#Headers],0)),"")</f>
        <v/>
      </c>
      <c r="Y598" s="67" t="str">
        <f>IF($B598&lt;&gt;"",INDEX(DataOB[],FirstRow+ROW()-7,MATCH(Y$6,DataOB[#Headers],0)),"")</f>
        <v/>
      </c>
      <c r="Z598" s="67" t="str">
        <f>IF($B598&lt;&gt;"",INDEX(DataOB[],FirstRow+ROW()-7,MATCH(Z$6,DataOB[#Headers],0)),"")</f>
        <v/>
      </c>
      <c r="AA598" s="67" t="str">
        <f>IF($B598&lt;&gt;"",INDEX(DataOB[],FirstRow+ROW()-7,MATCH(AA$6,DataOB[#Headers],0)),"")</f>
        <v/>
      </c>
      <c r="AB598" s="67" t="str">
        <f>IF($B598&lt;&gt;"",INDEX(DataOB[],FirstRow+ROW()-7,MATCH(AB$6,DataOB[#Headers],0)),"")</f>
        <v/>
      </c>
      <c r="AC598" s="67" t="str">
        <f>IF($B598&lt;&gt;"",INDEX(DataOB[],FirstRow+ROW()-7,MATCH(AC$6,DataOB[#Headers],0)),"")</f>
        <v/>
      </c>
      <c r="AD598" s="67" t="str">
        <f>IF($B598&lt;&gt;"",INDEX(DataOB[],FirstRow+ROW()-7,MATCH(AD$6,DataOB[#Headers],0)),"")</f>
        <v/>
      </c>
      <c r="AE598" s="67" t="str">
        <f>IF($B598&lt;&gt;"",INDEX(DataOB[],FirstRow+ROW()-7,MATCH(AE$6,DataOB[#Headers],0)),"")</f>
        <v/>
      </c>
      <c r="AF598" s="26">
        <f t="shared" si="95"/>
        <v>0</v>
      </c>
      <c r="AG598" s="31">
        <f>SUM($T598:T598)</f>
        <v>0</v>
      </c>
      <c r="AH598" s="31">
        <f>SUM($T598:U598)</f>
        <v>0</v>
      </c>
      <c r="AI598" s="31">
        <f>SUM($T598:V598)</f>
        <v>0</v>
      </c>
      <c r="AJ598" s="31">
        <f>SUM($T598:W598)</f>
        <v>0</v>
      </c>
      <c r="AK598" s="31">
        <f>SUM($T598:X598)</f>
        <v>0</v>
      </c>
      <c r="AL598" s="31">
        <f>SUM($T598:Y598)</f>
        <v>0</v>
      </c>
      <c r="AM598" s="31">
        <f>SUM($T598:Z598)</f>
        <v>0</v>
      </c>
      <c r="AN598" s="31">
        <f>SUM($T598:AA598)</f>
        <v>0</v>
      </c>
      <c r="AO598" s="31">
        <f>SUM($T598:AB598)</f>
        <v>0</v>
      </c>
      <c r="AP598" s="31">
        <f>SUM($T598:AC598)</f>
        <v>0</v>
      </c>
      <c r="AQ598" s="31">
        <f>SUM($T598:AD598)</f>
        <v>0</v>
      </c>
      <c r="AR598" s="31">
        <f>SUM($T598:AE598)</f>
        <v>0</v>
      </c>
      <c r="AS598" s="27">
        <f t="shared" si="96"/>
        <v>0</v>
      </c>
    </row>
    <row r="599" spans="2:45">
      <c r="B599" s="102" t="str">
        <f>IF(ROW()-6&gt;NumCostCenter,"",IF(CostCenter&lt;&gt;"ALL",CostCenter,DATA_LF2!B597))</f>
        <v/>
      </c>
      <c r="C599" s="153" t="str">
        <f>IF($B599&lt;&gt;"",INDEX(DataOB[],FirstRow+ROW()-7,2),"")</f>
        <v/>
      </c>
      <c r="D599" s="66" t="str">
        <f>IF($B599&lt;&gt;"",INDEX(DataOB[],FirstRow+ROW()-7,3),"")</f>
        <v/>
      </c>
      <c r="E599" s="103" t="str">
        <f>IF($B599&lt;&gt;"",INDEX(DataOB[],FirstRow+ROW()-7,6),"")</f>
        <v/>
      </c>
      <c r="F599" s="103" t="str">
        <f>IF($B599&lt;&gt;"",INDEX(DataOB[],FirstRow+ROW()-7,5),"")</f>
        <v/>
      </c>
      <c r="G599" s="58">
        <f>IF($B599&lt;&gt;"",SUMIFS(DataAct_tbl[AMOUNT],DataAct_tbl[BG CODE],Detail!$D599,DataAct_tbl[MONTH],LEFT(MonthName,3),DataAct_tbl[Dept code],$B599),0)</f>
        <v>0</v>
      </c>
      <c r="H599" s="31" t="str">
        <f t="shared" si="88"/>
        <v/>
      </c>
      <c r="I599" s="28" t="str">
        <f t="shared" si="89"/>
        <v/>
      </c>
      <c r="J599" s="32" t="str">
        <f t="shared" si="90"/>
        <v/>
      </c>
      <c r="K599" s="86"/>
      <c r="L599" s="62">
        <f>IF($B599&lt;&gt;"",SUMIFS(DataAct_tbl[AMOUNT],DataAct_tbl[BG CODE],Detail!$D599,DataAct_tbl[Check Range],"=true",DataAct_tbl[Dept code],$B599),0)</f>
        <v>0</v>
      </c>
      <c r="M599" s="63">
        <f>INDEX($AG$7:$AR$1005,ROW()-6,MATCH(MTD,$AG$6:$AR$6,0))</f>
        <v>0</v>
      </c>
      <c r="N599" s="34">
        <f t="shared" si="91"/>
        <v>0</v>
      </c>
      <c r="O599" s="64" t="str">
        <f t="shared" si="92"/>
        <v xml:space="preserve"> </v>
      </c>
      <c r="Q599" s="97">
        <f t="shared" si="93"/>
        <v>0</v>
      </c>
      <c r="R599" s="96">
        <f t="shared" si="94"/>
        <v>0</v>
      </c>
      <c r="T599" s="67" t="str">
        <f>IF($B599&lt;&gt;"",INDEX(DataOB[],FirstRow+ROW()-7,MATCH(T$6,DataOB[#Headers],0)),"")</f>
        <v/>
      </c>
      <c r="U599" s="67" t="str">
        <f>IF($B599&lt;&gt;"",INDEX(DataOB[],FirstRow+ROW()-7,MATCH(U$6,DataOB[#Headers],0)),"")</f>
        <v/>
      </c>
      <c r="V599" s="67" t="str">
        <f>IF($B599&lt;&gt;"",INDEX(DataOB[],FirstRow+ROW()-7,MATCH(V$6,DataOB[#Headers],0)),"")</f>
        <v/>
      </c>
      <c r="W599" s="67" t="str">
        <f>IF($B599&lt;&gt;"",INDEX(DataOB[],FirstRow+ROW()-7,MATCH(W$6,DataOB[#Headers],0)),"")</f>
        <v/>
      </c>
      <c r="X599" s="67" t="str">
        <f>IF($B599&lt;&gt;"",INDEX(DataOB[],FirstRow+ROW()-7,MATCH(X$6,DataOB[#Headers],0)),"")</f>
        <v/>
      </c>
      <c r="Y599" s="67" t="str">
        <f>IF($B599&lt;&gt;"",INDEX(DataOB[],FirstRow+ROW()-7,MATCH(Y$6,DataOB[#Headers],0)),"")</f>
        <v/>
      </c>
      <c r="Z599" s="67" t="str">
        <f>IF($B599&lt;&gt;"",INDEX(DataOB[],FirstRow+ROW()-7,MATCH(Z$6,DataOB[#Headers],0)),"")</f>
        <v/>
      </c>
      <c r="AA599" s="67" t="str">
        <f>IF($B599&lt;&gt;"",INDEX(DataOB[],FirstRow+ROW()-7,MATCH(AA$6,DataOB[#Headers],0)),"")</f>
        <v/>
      </c>
      <c r="AB599" s="67" t="str">
        <f>IF($B599&lt;&gt;"",INDEX(DataOB[],FirstRow+ROW()-7,MATCH(AB$6,DataOB[#Headers],0)),"")</f>
        <v/>
      </c>
      <c r="AC599" s="67" t="str">
        <f>IF($B599&lt;&gt;"",INDEX(DataOB[],FirstRow+ROW()-7,MATCH(AC$6,DataOB[#Headers],0)),"")</f>
        <v/>
      </c>
      <c r="AD599" s="67" t="str">
        <f>IF($B599&lt;&gt;"",INDEX(DataOB[],FirstRow+ROW()-7,MATCH(AD$6,DataOB[#Headers],0)),"")</f>
        <v/>
      </c>
      <c r="AE599" s="67" t="str">
        <f>IF($B599&lt;&gt;"",INDEX(DataOB[],FirstRow+ROW()-7,MATCH(AE$6,DataOB[#Headers],0)),"")</f>
        <v/>
      </c>
      <c r="AF599" s="26">
        <f t="shared" si="95"/>
        <v>0</v>
      </c>
      <c r="AG599" s="31">
        <f>SUM($T599:T599)</f>
        <v>0</v>
      </c>
      <c r="AH599" s="31">
        <f>SUM($T599:U599)</f>
        <v>0</v>
      </c>
      <c r="AI599" s="31">
        <f>SUM($T599:V599)</f>
        <v>0</v>
      </c>
      <c r="AJ599" s="31">
        <f>SUM($T599:W599)</f>
        <v>0</v>
      </c>
      <c r="AK599" s="31">
        <f>SUM($T599:X599)</f>
        <v>0</v>
      </c>
      <c r="AL599" s="31">
        <f>SUM($T599:Y599)</f>
        <v>0</v>
      </c>
      <c r="AM599" s="31">
        <f>SUM($T599:Z599)</f>
        <v>0</v>
      </c>
      <c r="AN599" s="31">
        <f>SUM($T599:AA599)</f>
        <v>0</v>
      </c>
      <c r="AO599" s="31">
        <f>SUM($T599:AB599)</f>
        <v>0</v>
      </c>
      <c r="AP599" s="31">
        <f>SUM($T599:AC599)</f>
        <v>0</v>
      </c>
      <c r="AQ599" s="31">
        <f>SUM($T599:AD599)</f>
        <v>0</v>
      </c>
      <c r="AR599" s="31">
        <f>SUM($T599:AE599)</f>
        <v>0</v>
      </c>
      <c r="AS599" s="27">
        <f t="shared" si="96"/>
        <v>0</v>
      </c>
    </row>
    <row r="600" spans="2:45">
      <c r="B600" s="102" t="str">
        <f>IF(ROW()-6&gt;NumCostCenter,"",IF(CostCenter&lt;&gt;"ALL",CostCenter,DATA_LF2!B598))</f>
        <v/>
      </c>
      <c r="C600" s="153" t="str">
        <f>IF($B600&lt;&gt;"",INDEX(DataOB[],FirstRow+ROW()-7,2),"")</f>
        <v/>
      </c>
      <c r="D600" s="66" t="str">
        <f>IF($B600&lt;&gt;"",INDEX(DataOB[],FirstRow+ROW()-7,3),"")</f>
        <v/>
      </c>
      <c r="E600" s="103" t="str">
        <f>IF($B600&lt;&gt;"",INDEX(DataOB[],FirstRow+ROW()-7,6),"")</f>
        <v/>
      </c>
      <c r="F600" s="103" t="str">
        <f>IF($B600&lt;&gt;"",INDEX(DataOB[],FirstRow+ROW()-7,5),"")</f>
        <v/>
      </c>
      <c r="G600" s="58">
        <f>IF($B600&lt;&gt;"",SUMIFS(DataAct_tbl[AMOUNT],DataAct_tbl[BG CODE],Detail!$D600,DataAct_tbl[MONTH],LEFT(MonthName,3),DataAct_tbl[Dept code],$B600),0)</f>
        <v>0</v>
      </c>
      <c r="H600" s="31" t="str">
        <f t="shared" si="88"/>
        <v/>
      </c>
      <c r="I600" s="28" t="str">
        <f t="shared" si="89"/>
        <v/>
      </c>
      <c r="J600" s="32" t="str">
        <f t="shared" si="90"/>
        <v/>
      </c>
      <c r="K600" s="86"/>
      <c r="L600" s="62">
        <f>IF($B600&lt;&gt;"",SUMIFS(DataAct_tbl[AMOUNT],DataAct_tbl[BG CODE],Detail!$D600,DataAct_tbl[Check Range],"=true",DataAct_tbl[Dept code],$B600),0)</f>
        <v>0</v>
      </c>
      <c r="M600" s="63">
        <f>INDEX($AG$7:$AR$1005,ROW()-6,MATCH(MTD,$AG$6:$AR$6,0))</f>
        <v>0</v>
      </c>
      <c r="N600" s="34">
        <f t="shared" si="91"/>
        <v>0</v>
      </c>
      <c r="O600" s="64" t="str">
        <f t="shared" si="92"/>
        <v xml:space="preserve"> </v>
      </c>
      <c r="Q600" s="97">
        <f t="shared" si="93"/>
        <v>0</v>
      </c>
      <c r="R600" s="96">
        <f t="shared" si="94"/>
        <v>0</v>
      </c>
      <c r="T600" s="67" t="str">
        <f>IF($B600&lt;&gt;"",INDEX(DataOB[],FirstRow+ROW()-7,MATCH(T$6,DataOB[#Headers],0)),"")</f>
        <v/>
      </c>
      <c r="U600" s="67" t="str">
        <f>IF($B600&lt;&gt;"",INDEX(DataOB[],FirstRow+ROW()-7,MATCH(U$6,DataOB[#Headers],0)),"")</f>
        <v/>
      </c>
      <c r="V600" s="67" t="str">
        <f>IF($B600&lt;&gt;"",INDEX(DataOB[],FirstRow+ROW()-7,MATCH(V$6,DataOB[#Headers],0)),"")</f>
        <v/>
      </c>
      <c r="W600" s="67" t="str">
        <f>IF($B600&lt;&gt;"",INDEX(DataOB[],FirstRow+ROW()-7,MATCH(W$6,DataOB[#Headers],0)),"")</f>
        <v/>
      </c>
      <c r="X600" s="67" t="str">
        <f>IF($B600&lt;&gt;"",INDEX(DataOB[],FirstRow+ROW()-7,MATCH(X$6,DataOB[#Headers],0)),"")</f>
        <v/>
      </c>
      <c r="Y600" s="67" t="str">
        <f>IF($B600&lt;&gt;"",INDEX(DataOB[],FirstRow+ROW()-7,MATCH(Y$6,DataOB[#Headers],0)),"")</f>
        <v/>
      </c>
      <c r="Z600" s="67" t="str">
        <f>IF($B600&lt;&gt;"",INDEX(DataOB[],FirstRow+ROW()-7,MATCH(Z$6,DataOB[#Headers],0)),"")</f>
        <v/>
      </c>
      <c r="AA600" s="67" t="str">
        <f>IF($B600&lt;&gt;"",INDEX(DataOB[],FirstRow+ROW()-7,MATCH(AA$6,DataOB[#Headers],0)),"")</f>
        <v/>
      </c>
      <c r="AB600" s="67" t="str">
        <f>IF($B600&lt;&gt;"",INDEX(DataOB[],FirstRow+ROW()-7,MATCH(AB$6,DataOB[#Headers],0)),"")</f>
        <v/>
      </c>
      <c r="AC600" s="67" t="str">
        <f>IF($B600&lt;&gt;"",INDEX(DataOB[],FirstRow+ROW()-7,MATCH(AC$6,DataOB[#Headers],0)),"")</f>
        <v/>
      </c>
      <c r="AD600" s="67" t="str">
        <f>IF($B600&lt;&gt;"",INDEX(DataOB[],FirstRow+ROW()-7,MATCH(AD$6,DataOB[#Headers],0)),"")</f>
        <v/>
      </c>
      <c r="AE600" s="67" t="str">
        <f>IF($B600&lt;&gt;"",INDEX(DataOB[],FirstRow+ROW()-7,MATCH(AE$6,DataOB[#Headers],0)),"")</f>
        <v/>
      </c>
      <c r="AF600" s="26">
        <f t="shared" si="95"/>
        <v>0</v>
      </c>
      <c r="AG600" s="31">
        <f>SUM($T600:T600)</f>
        <v>0</v>
      </c>
      <c r="AH600" s="31">
        <f>SUM($T600:U600)</f>
        <v>0</v>
      </c>
      <c r="AI600" s="31">
        <f>SUM($T600:V600)</f>
        <v>0</v>
      </c>
      <c r="AJ600" s="31">
        <f>SUM($T600:W600)</f>
        <v>0</v>
      </c>
      <c r="AK600" s="31">
        <f>SUM($T600:X600)</f>
        <v>0</v>
      </c>
      <c r="AL600" s="31">
        <f>SUM($T600:Y600)</f>
        <v>0</v>
      </c>
      <c r="AM600" s="31">
        <f>SUM($T600:Z600)</f>
        <v>0</v>
      </c>
      <c r="AN600" s="31">
        <f>SUM($T600:AA600)</f>
        <v>0</v>
      </c>
      <c r="AO600" s="31">
        <f>SUM($T600:AB600)</f>
        <v>0</v>
      </c>
      <c r="AP600" s="31">
        <f>SUM($T600:AC600)</f>
        <v>0</v>
      </c>
      <c r="AQ600" s="31">
        <f>SUM($T600:AD600)</f>
        <v>0</v>
      </c>
      <c r="AR600" s="31">
        <f>SUM($T600:AE600)</f>
        <v>0</v>
      </c>
      <c r="AS600" s="27">
        <f t="shared" si="96"/>
        <v>0</v>
      </c>
    </row>
    <row r="601" spans="2:45">
      <c r="B601" s="102" t="str">
        <f>IF(ROW()-6&gt;NumCostCenter,"",IF(CostCenter&lt;&gt;"ALL",CostCenter,DATA_LF2!B599))</f>
        <v/>
      </c>
      <c r="C601" s="153" t="str">
        <f>IF($B601&lt;&gt;"",INDEX(DataOB[],FirstRow+ROW()-7,2),"")</f>
        <v/>
      </c>
      <c r="D601" s="66" t="str">
        <f>IF($B601&lt;&gt;"",INDEX(DataOB[],FirstRow+ROW()-7,3),"")</f>
        <v/>
      </c>
      <c r="E601" s="103" t="str">
        <f>IF($B601&lt;&gt;"",INDEX(DataOB[],FirstRow+ROW()-7,6),"")</f>
        <v/>
      </c>
      <c r="F601" s="103" t="str">
        <f>IF($B601&lt;&gt;"",INDEX(DataOB[],FirstRow+ROW()-7,5),"")</f>
        <v/>
      </c>
      <c r="G601" s="58">
        <f>IF($B601&lt;&gt;"",SUMIFS(DataAct_tbl[AMOUNT],DataAct_tbl[BG CODE],Detail!$D601,DataAct_tbl[MONTH],LEFT(MonthName,3),DataAct_tbl[Dept code],$B601),0)</f>
        <v>0</v>
      </c>
      <c r="H601" s="31" t="str">
        <f t="shared" si="88"/>
        <v/>
      </c>
      <c r="I601" s="28" t="str">
        <f t="shared" si="89"/>
        <v/>
      </c>
      <c r="J601" s="32" t="str">
        <f t="shared" si="90"/>
        <v/>
      </c>
      <c r="K601" s="86"/>
      <c r="L601" s="62">
        <f>IF($B601&lt;&gt;"",SUMIFS(DataAct_tbl[AMOUNT],DataAct_tbl[BG CODE],Detail!$D601,DataAct_tbl[Check Range],"=true",DataAct_tbl[Dept code],$B601),0)</f>
        <v>0</v>
      </c>
      <c r="M601" s="63">
        <f>INDEX($AG$7:$AR$1005,ROW()-6,MATCH(MTD,$AG$6:$AR$6,0))</f>
        <v>0</v>
      </c>
      <c r="N601" s="34">
        <f t="shared" si="91"/>
        <v>0</v>
      </c>
      <c r="O601" s="64" t="str">
        <f t="shared" si="92"/>
        <v xml:space="preserve"> </v>
      </c>
      <c r="Q601" s="97">
        <f t="shared" si="93"/>
        <v>0</v>
      </c>
      <c r="R601" s="96">
        <f t="shared" si="94"/>
        <v>0</v>
      </c>
      <c r="T601" s="67" t="str">
        <f>IF($B601&lt;&gt;"",INDEX(DataOB[],FirstRow+ROW()-7,MATCH(T$6,DataOB[#Headers],0)),"")</f>
        <v/>
      </c>
      <c r="U601" s="67" t="str">
        <f>IF($B601&lt;&gt;"",INDEX(DataOB[],FirstRow+ROW()-7,MATCH(U$6,DataOB[#Headers],0)),"")</f>
        <v/>
      </c>
      <c r="V601" s="67" t="str">
        <f>IF($B601&lt;&gt;"",INDEX(DataOB[],FirstRow+ROW()-7,MATCH(V$6,DataOB[#Headers],0)),"")</f>
        <v/>
      </c>
      <c r="W601" s="67" t="str">
        <f>IF($B601&lt;&gt;"",INDEX(DataOB[],FirstRow+ROW()-7,MATCH(W$6,DataOB[#Headers],0)),"")</f>
        <v/>
      </c>
      <c r="X601" s="67" t="str">
        <f>IF($B601&lt;&gt;"",INDEX(DataOB[],FirstRow+ROW()-7,MATCH(X$6,DataOB[#Headers],0)),"")</f>
        <v/>
      </c>
      <c r="Y601" s="67" t="str">
        <f>IF($B601&lt;&gt;"",INDEX(DataOB[],FirstRow+ROW()-7,MATCH(Y$6,DataOB[#Headers],0)),"")</f>
        <v/>
      </c>
      <c r="Z601" s="67" t="str">
        <f>IF($B601&lt;&gt;"",INDEX(DataOB[],FirstRow+ROW()-7,MATCH(Z$6,DataOB[#Headers],0)),"")</f>
        <v/>
      </c>
      <c r="AA601" s="67" t="str">
        <f>IF($B601&lt;&gt;"",INDEX(DataOB[],FirstRow+ROW()-7,MATCH(AA$6,DataOB[#Headers],0)),"")</f>
        <v/>
      </c>
      <c r="AB601" s="67" t="str">
        <f>IF($B601&lt;&gt;"",INDEX(DataOB[],FirstRow+ROW()-7,MATCH(AB$6,DataOB[#Headers],0)),"")</f>
        <v/>
      </c>
      <c r="AC601" s="67" t="str">
        <f>IF($B601&lt;&gt;"",INDEX(DataOB[],FirstRow+ROW()-7,MATCH(AC$6,DataOB[#Headers],0)),"")</f>
        <v/>
      </c>
      <c r="AD601" s="67" t="str">
        <f>IF($B601&lt;&gt;"",INDEX(DataOB[],FirstRow+ROW()-7,MATCH(AD$6,DataOB[#Headers],0)),"")</f>
        <v/>
      </c>
      <c r="AE601" s="67" t="str">
        <f>IF($B601&lt;&gt;"",INDEX(DataOB[],FirstRow+ROW()-7,MATCH(AE$6,DataOB[#Headers],0)),"")</f>
        <v/>
      </c>
      <c r="AF601" s="26">
        <f t="shared" si="95"/>
        <v>0</v>
      </c>
      <c r="AG601" s="31">
        <f>SUM($T601:T601)</f>
        <v>0</v>
      </c>
      <c r="AH601" s="31">
        <f>SUM($T601:U601)</f>
        <v>0</v>
      </c>
      <c r="AI601" s="31">
        <f>SUM($T601:V601)</f>
        <v>0</v>
      </c>
      <c r="AJ601" s="31">
        <f>SUM($T601:W601)</f>
        <v>0</v>
      </c>
      <c r="AK601" s="31">
        <f>SUM($T601:X601)</f>
        <v>0</v>
      </c>
      <c r="AL601" s="31">
        <f>SUM($T601:Y601)</f>
        <v>0</v>
      </c>
      <c r="AM601" s="31">
        <f>SUM($T601:Z601)</f>
        <v>0</v>
      </c>
      <c r="AN601" s="31">
        <f>SUM($T601:AA601)</f>
        <v>0</v>
      </c>
      <c r="AO601" s="31">
        <f>SUM($T601:AB601)</f>
        <v>0</v>
      </c>
      <c r="AP601" s="31">
        <f>SUM($T601:AC601)</f>
        <v>0</v>
      </c>
      <c r="AQ601" s="31">
        <f>SUM($T601:AD601)</f>
        <v>0</v>
      </c>
      <c r="AR601" s="31">
        <f>SUM($T601:AE601)</f>
        <v>0</v>
      </c>
      <c r="AS601" s="27">
        <f t="shared" si="96"/>
        <v>0</v>
      </c>
    </row>
    <row r="602" spans="2:45">
      <c r="B602" s="102" t="str">
        <f>IF(ROW()-6&gt;NumCostCenter,"",IF(CostCenter&lt;&gt;"ALL",CostCenter,DATA_LF2!B600))</f>
        <v/>
      </c>
      <c r="C602" s="153" t="str">
        <f>IF($B602&lt;&gt;"",INDEX(DataOB[],FirstRow+ROW()-7,2),"")</f>
        <v/>
      </c>
      <c r="D602" s="66" t="str">
        <f>IF($B602&lt;&gt;"",INDEX(DataOB[],FirstRow+ROW()-7,3),"")</f>
        <v/>
      </c>
      <c r="E602" s="103" t="str">
        <f>IF($B602&lt;&gt;"",INDEX(DataOB[],FirstRow+ROW()-7,6),"")</f>
        <v/>
      </c>
      <c r="F602" s="103" t="str">
        <f>IF($B602&lt;&gt;"",INDEX(DataOB[],FirstRow+ROW()-7,5),"")</f>
        <v/>
      </c>
      <c r="G602" s="58">
        <f>IF($B602&lt;&gt;"",SUMIFS(DataAct_tbl[AMOUNT],DataAct_tbl[BG CODE],Detail!$D602,DataAct_tbl[MONTH],LEFT(MonthName,3),DataAct_tbl[Dept code],$B602),0)</f>
        <v>0</v>
      </c>
      <c r="H602" s="31" t="str">
        <f t="shared" si="88"/>
        <v/>
      </c>
      <c r="I602" s="28" t="str">
        <f t="shared" si="89"/>
        <v/>
      </c>
      <c r="J602" s="32" t="str">
        <f t="shared" si="90"/>
        <v/>
      </c>
      <c r="K602" s="86"/>
      <c r="L602" s="62">
        <f>IF($B602&lt;&gt;"",SUMIFS(DataAct_tbl[AMOUNT],DataAct_tbl[BG CODE],Detail!$D602,DataAct_tbl[Check Range],"=true",DataAct_tbl[Dept code],$B602),0)</f>
        <v>0</v>
      </c>
      <c r="M602" s="63">
        <f>INDEX($AG$7:$AR$1005,ROW()-6,MATCH(MTD,$AG$6:$AR$6,0))</f>
        <v>0</v>
      </c>
      <c r="N602" s="34">
        <f t="shared" si="91"/>
        <v>0</v>
      </c>
      <c r="O602" s="64" t="str">
        <f t="shared" si="92"/>
        <v xml:space="preserve"> </v>
      </c>
      <c r="Q602" s="97">
        <f t="shared" si="93"/>
        <v>0</v>
      </c>
      <c r="R602" s="96">
        <f t="shared" si="94"/>
        <v>0</v>
      </c>
      <c r="T602" s="67" t="str">
        <f>IF($B602&lt;&gt;"",INDEX(DataOB[],FirstRow+ROW()-7,MATCH(T$6,DataOB[#Headers],0)),"")</f>
        <v/>
      </c>
      <c r="U602" s="67" t="str">
        <f>IF($B602&lt;&gt;"",INDEX(DataOB[],FirstRow+ROW()-7,MATCH(U$6,DataOB[#Headers],0)),"")</f>
        <v/>
      </c>
      <c r="V602" s="67" t="str">
        <f>IF($B602&lt;&gt;"",INDEX(DataOB[],FirstRow+ROW()-7,MATCH(V$6,DataOB[#Headers],0)),"")</f>
        <v/>
      </c>
      <c r="W602" s="67" t="str">
        <f>IF($B602&lt;&gt;"",INDEX(DataOB[],FirstRow+ROW()-7,MATCH(W$6,DataOB[#Headers],0)),"")</f>
        <v/>
      </c>
      <c r="X602" s="67" t="str">
        <f>IF($B602&lt;&gt;"",INDEX(DataOB[],FirstRow+ROW()-7,MATCH(X$6,DataOB[#Headers],0)),"")</f>
        <v/>
      </c>
      <c r="Y602" s="67" t="str">
        <f>IF($B602&lt;&gt;"",INDEX(DataOB[],FirstRow+ROW()-7,MATCH(Y$6,DataOB[#Headers],0)),"")</f>
        <v/>
      </c>
      <c r="Z602" s="67" t="str">
        <f>IF($B602&lt;&gt;"",INDEX(DataOB[],FirstRow+ROW()-7,MATCH(Z$6,DataOB[#Headers],0)),"")</f>
        <v/>
      </c>
      <c r="AA602" s="67" t="str">
        <f>IF($B602&lt;&gt;"",INDEX(DataOB[],FirstRow+ROW()-7,MATCH(AA$6,DataOB[#Headers],0)),"")</f>
        <v/>
      </c>
      <c r="AB602" s="67" t="str">
        <f>IF($B602&lt;&gt;"",INDEX(DataOB[],FirstRow+ROW()-7,MATCH(AB$6,DataOB[#Headers],0)),"")</f>
        <v/>
      </c>
      <c r="AC602" s="67" t="str">
        <f>IF($B602&lt;&gt;"",INDEX(DataOB[],FirstRow+ROW()-7,MATCH(AC$6,DataOB[#Headers],0)),"")</f>
        <v/>
      </c>
      <c r="AD602" s="67" t="str">
        <f>IF($B602&lt;&gt;"",INDEX(DataOB[],FirstRow+ROW()-7,MATCH(AD$6,DataOB[#Headers],0)),"")</f>
        <v/>
      </c>
      <c r="AE602" s="67" t="str">
        <f>IF($B602&lt;&gt;"",INDEX(DataOB[],FirstRow+ROW()-7,MATCH(AE$6,DataOB[#Headers],0)),"")</f>
        <v/>
      </c>
      <c r="AF602" s="26">
        <f t="shared" si="95"/>
        <v>0</v>
      </c>
      <c r="AG602" s="31">
        <f>SUM($T602:T602)</f>
        <v>0</v>
      </c>
      <c r="AH602" s="31">
        <f>SUM($T602:U602)</f>
        <v>0</v>
      </c>
      <c r="AI602" s="31">
        <f>SUM($T602:V602)</f>
        <v>0</v>
      </c>
      <c r="AJ602" s="31">
        <f>SUM($T602:W602)</f>
        <v>0</v>
      </c>
      <c r="AK602" s="31">
        <f>SUM($T602:X602)</f>
        <v>0</v>
      </c>
      <c r="AL602" s="31">
        <f>SUM($T602:Y602)</f>
        <v>0</v>
      </c>
      <c r="AM602" s="31">
        <f>SUM($T602:Z602)</f>
        <v>0</v>
      </c>
      <c r="AN602" s="31">
        <f>SUM($T602:AA602)</f>
        <v>0</v>
      </c>
      <c r="AO602" s="31">
        <f>SUM($T602:AB602)</f>
        <v>0</v>
      </c>
      <c r="AP602" s="31">
        <f>SUM($T602:AC602)</f>
        <v>0</v>
      </c>
      <c r="AQ602" s="31">
        <f>SUM($T602:AD602)</f>
        <v>0</v>
      </c>
      <c r="AR602" s="31">
        <f>SUM($T602:AE602)</f>
        <v>0</v>
      </c>
      <c r="AS602" s="27">
        <f t="shared" si="96"/>
        <v>0</v>
      </c>
    </row>
    <row r="603" spans="2:45">
      <c r="B603" s="102" t="str">
        <f>IF(ROW()-6&gt;NumCostCenter,"",IF(CostCenter&lt;&gt;"ALL",CostCenter,DATA_LF2!B601))</f>
        <v/>
      </c>
      <c r="C603" s="153" t="str">
        <f>IF($B603&lt;&gt;"",INDEX(DataOB[],FirstRow+ROW()-7,2),"")</f>
        <v/>
      </c>
      <c r="D603" s="66" t="str">
        <f>IF($B603&lt;&gt;"",INDEX(DataOB[],FirstRow+ROW()-7,3),"")</f>
        <v/>
      </c>
      <c r="E603" s="103" t="str">
        <f>IF($B603&lt;&gt;"",INDEX(DataOB[],FirstRow+ROW()-7,6),"")</f>
        <v/>
      </c>
      <c r="F603" s="103" t="str">
        <f>IF($B603&lt;&gt;"",INDEX(DataOB[],FirstRow+ROW()-7,5),"")</f>
        <v/>
      </c>
      <c r="G603" s="58">
        <f>IF($B603&lt;&gt;"",SUMIFS(DataAct_tbl[AMOUNT],DataAct_tbl[BG CODE],Detail!$D603,DataAct_tbl[MONTH],LEFT(MonthName,3),DataAct_tbl[Dept code],$B603),0)</f>
        <v>0</v>
      </c>
      <c r="H603" s="31" t="str">
        <f t="shared" si="88"/>
        <v/>
      </c>
      <c r="I603" s="28" t="str">
        <f t="shared" si="89"/>
        <v/>
      </c>
      <c r="J603" s="32" t="str">
        <f t="shared" si="90"/>
        <v/>
      </c>
      <c r="K603" s="86"/>
      <c r="L603" s="62">
        <f>IF($B603&lt;&gt;"",SUMIFS(DataAct_tbl[AMOUNT],DataAct_tbl[BG CODE],Detail!$D603,DataAct_tbl[Check Range],"=true",DataAct_tbl[Dept code],$B603),0)</f>
        <v>0</v>
      </c>
      <c r="M603" s="63">
        <f>INDEX($AG$7:$AR$1005,ROW()-6,MATCH(MTD,$AG$6:$AR$6,0))</f>
        <v>0</v>
      </c>
      <c r="N603" s="34">
        <f t="shared" si="91"/>
        <v>0</v>
      </c>
      <c r="O603" s="64" t="str">
        <f t="shared" si="92"/>
        <v xml:space="preserve"> </v>
      </c>
      <c r="Q603" s="97">
        <f t="shared" si="93"/>
        <v>0</v>
      </c>
      <c r="R603" s="96">
        <f t="shared" si="94"/>
        <v>0</v>
      </c>
      <c r="T603" s="67" t="str">
        <f>IF($B603&lt;&gt;"",INDEX(DataOB[],FirstRow+ROW()-7,MATCH(T$6,DataOB[#Headers],0)),"")</f>
        <v/>
      </c>
      <c r="U603" s="67" t="str">
        <f>IF($B603&lt;&gt;"",INDEX(DataOB[],FirstRow+ROW()-7,MATCH(U$6,DataOB[#Headers],0)),"")</f>
        <v/>
      </c>
      <c r="V603" s="67" t="str">
        <f>IF($B603&lt;&gt;"",INDEX(DataOB[],FirstRow+ROW()-7,MATCH(V$6,DataOB[#Headers],0)),"")</f>
        <v/>
      </c>
      <c r="W603" s="67" t="str">
        <f>IF($B603&lt;&gt;"",INDEX(DataOB[],FirstRow+ROW()-7,MATCH(W$6,DataOB[#Headers],0)),"")</f>
        <v/>
      </c>
      <c r="X603" s="67" t="str">
        <f>IF($B603&lt;&gt;"",INDEX(DataOB[],FirstRow+ROW()-7,MATCH(X$6,DataOB[#Headers],0)),"")</f>
        <v/>
      </c>
      <c r="Y603" s="67" t="str">
        <f>IF($B603&lt;&gt;"",INDEX(DataOB[],FirstRow+ROW()-7,MATCH(Y$6,DataOB[#Headers],0)),"")</f>
        <v/>
      </c>
      <c r="Z603" s="67" t="str">
        <f>IF($B603&lt;&gt;"",INDEX(DataOB[],FirstRow+ROW()-7,MATCH(Z$6,DataOB[#Headers],0)),"")</f>
        <v/>
      </c>
      <c r="AA603" s="67" t="str">
        <f>IF($B603&lt;&gt;"",INDEX(DataOB[],FirstRow+ROW()-7,MATCH(AA$6,DataOB[#Headers],0)),"")</f>
        <v/>
      </c>
      <c r="AB603" s="67" t="str">
        <f>IF($B603&lt;&gt;"",INDEX(DataOB[],FirstRow+ROW()-7,MATCH(AB$6,DataOB[#Headers],0)),"")</f>
        <v/>
      </c>
      <c r="AC603" s="67" t="str">
        <f>IF($B603&lt;&gt;"",INDEX(DataOB[],FirstRow+ROW()-7,MATCH(AC$6,DataOB[#Headers],0)),"")</f>
        <v/>
      </c>
      <c r="AD603" s="67" t="str">
        <f>IF($B603&lt;&gt;"",INDEX(DataOB[],FirstRow+ROW()-7,MATCH(AD$6,DataOB[#Headers],0)),"")</f>
        <v/>
      </c>
      <c r="AE603" s="67" t="str">
        <f>IF($B603&lt;&gt;"",INDEX(DataOB[],FirstRow+ROW()-7,MATCH(AE$6,DataOB[#Headers],0)),"")</f>
        <v/>
      </c>
      <c r="AF603" s="26">
        <f t="shared" si="95"/>
        <v>0</v>
      </c>
      <c r="AG603" s="31">
        <f>SUM($T603:T603)</f>
        <v>0</v>
      </c>
      <c r="AH603" s="31">
        <f>SUM($T603:U603)</f>
        <v>0</v>
      </c>
      <c r="AI603" s="31">
        <f>SUM($T603:V603)</f>
        <v>0</v>
      </c>
      <c r="AJ603" s="31">
        <f>SUM($T603:W603)</f>
        <v>0</v>
      </c>
      <c r="AK603" s="31">
        <f>SUM($T603:X603)</f>
        <v>0</v>
      </c>
      <c r="AL603" s="31">
        <f>SUM($T603:Y603)</f>
        <v>0</v>
      </c>
      <c r="AM603" s="31">
        <f>SUM($T603:Z603)</f>
        <v>0</v>
      </c>
      <c r="AN603" s="31">
        <f>SUM($T603:AA603)</f>
        <v>0</v>
      </c>
      <c r="AO603" s="31">
        <f>SUM($T603:AB603)</f>
        <v>0</v>
      </c>
      <c r="AP603" s="31">
        <f>SUM($T603:AC603)</f>
        <v>0</v>
      </c>
      <c r="AQ603" s="31">
        <f>SUM($T603:AD603)</f>
        <v>0</v>
      </c>
      <c r="AR603" s="31">
        <f>SUM($T603:AE603)</f>
        <v>0</v>
      </c>
      <c r="AS603" s="27">
        <f t="shared" si="96"/>
        <v>0</v>
      </c>
    </row>
    <row r="604" spans="2:45">
      <c r="B604" s="102" t="str">
        <f>IF(ROW()-6&gt;NumCostCenter,"",IF(CostCenter&lt;&gt;"ALL",CostCenter,DATA_LF2!B602))</f>
        <v/>
      </c>
      <c r="C604" s="153" t="str">
        <f>IF($B604&lt;&gt;"",INDEX(DataOB[],FirstRow+ROW()-7,2),"")</f>
        <v/>
      </c>
      <c r="D604" s="66" t="str">
        <f>IF($B604&lt;&gt;"",INDEX(DataOB[],FirstRow+ROW()-7,3),"")</f>
        <v/>
      </c>
      <c r="E604" s="103" t="str">
        <f>IF($B604&lt;&gt;"",INDEX(DataOB[],FirstRow+ROW()-7,6),"")</f>
        <v/>
      </c>
      <c r="F604" s="103" t="str">
        <f>IF($B604&lt;&gt;"",INDEX(DataOB[],FirstRow+ROW()-7,5),"")</f>
        <v/>
      </c>
      <c r="G604" s="58">
        <f>IF($B604&lt;&gt;"",SUMIFS(DataAct_tbl[AMOUNT],DataAct_tbl[BG CODE],Detail!$D604,DataAct_tbl[MONTH],LEFT(MonthName,3),DataAct_tbl[Dept code],$B604),0)</f>
        <v>0</v>
      </c>
      <c r="H604" s="31" t="str">
        <f t="shared" si="88"/>
        <v/>
      </c>
      <c r="I604" s="28" t="str">
        <f t="shared" si="89"/>
        <v/>
      </c>
      <c r="J604" s="32" t="str">
        <f t="shared" si="90"/>
        <v/>
      </c>
      <c r="K604" s="86"/>
      <c r="L604" s="62">
        <f>IF($B604&lt;&gt;"",SUMIFS(DataAct_tbl[AMOUNT],DataAct_tbl[BG CODE],Detail!$D604,DataAct_tbl[Check Range],"=true",DataAct_tbl[Dept code],$B604),0)</f>
        <v>0</v>
      </c>
      <c r="M604" s="63">
        <f>INDEX($AG$7:$AR$1005,ROW()-6,MATCH(MTD,$AG$6:$AR$6,0))</f>
        <v>0</v>
      </c>
      <c r="N604" s="34">
        <f t="shared" si="91"/>
        <v>0</v>
      </c>
      <c r="O604" s="64" t="str">
        <f t="shared" si="92"/>
        <v xml:space="preserve"> </v>
      </c>
      <c r="Q604" s="97">
        <f t="shared" si="93"/>
        <v>0</v>
      </c>
      <c r="R604" s="96">
        <f t="shared" si="94"/>
        <v>0</v>
      </c>
      <c r="T604" s="67" t="str">
        <f>IF($B604&lt;&gt;"",INDEX(DataOB[],FirstRow+ROW()-7,MATCH(T$6,DataOB[#Headers],0)),"")</f>
        <v/>
      </c>
      <c r="U604" s="67" t="str">
        <f>IF($B604&lt;&gt;"",INDEX(DataOB[],FirstRow+ROW()-7,MATCH(U$6,DataOB[#Headers],0)),"")</f>
        <v/>
      </c>
      <c r="V604" s="67" t="str">
        <f>IF($B604&lt;&gt;"",INDEX(DataOB[],FirstRow+ROW()-7,MATCH(V$6,DataOB[#Headers],0)),"")</f>
        <v/>
      </c>
      <c r="W604" s="67" t="str">
        <f>IF($B604&lt;&gt;"",INDEX(DataOB[],FirstRow+ROW()-7,MATCH(W$6,DataOB[#Headers],0)),"")</f>
        <v/>
      </c>
      <c r="X604" s="67" t="str">
        <f>IF($B604&lt;&gt;"",INDEX(DataOB[],FirstRow+ROW()-7,MATCH(X$6,DataOB[#Headers],0)),"")</f>
        <v/>
      </c>
      <c r="Y604" s="67" t="str">
        <f>IF($B604&lt;&gt;"",INDEX(DataOB[],FirstRow+ROW()-7,MATCH(Y$6,DataOB[#Headers],0)),"")</f>
        <v/>
      </c>
      <c r="Z604" s="67" t="str">
        <f>IF($B604&lt;&gt;"",INDEX(DataOB[],FirstRow+ROW()-7,MATCH(Z$6,DataOB[#Headers],0)),"")</f>
        <v/>
      </c>
      <c r="AA604" s="67" t="str">
        <f>IF($B604&lt;&gt;"",INDEX(DataOB[],FirstRow+ROW()-7,MATCH(AA$6,DataOB[#Headers],0)),"")</f>
        <v/>
      </c>
      <c r="AB604" s="67" t="str">
        <f>IF($B604&lt;&gt;"",INDEX(DataOB[],FirstRow+ROW()-7,MATCH(AB$6,DataOB[#Headers],0)),"")</f>
        <v/>
      </c>
      <c r="AC604" s="67" t="str">
        <f>IF($B604&lt;&gt;"",INDEX(DataOB[],FirstRow+ROW()-7,MATCH(AC$6,DataOB[#Headers],0)),"")</f>
        <v/>
      </c>
      <c r="AD604" s="67" t="str">
        <f>IF($B604&lt;&gt;"",INDEX(DataOB[],FirstRow+ROW()-7,MATCH(AD$6,DataOB[#Headers],0)),"")</f>
        <v/>
      </c>
      <c r="AE604" s="67" t="str">
        <f>IF($B604&lt;&gt;"",INDEX(DataOB[],FirstRow+ROW()-7,MATCH(AE$6,DataOB[#Headers],0)),"")</f>
        <v/>
      </c>
      <c r="AF604" s="26">
        <f t="shared" si="95"/>
        <v>0</v>
      </c>
      <c r="AG604" s="31">
        <f>SUM($T604:T604)</f>
        <v>0</v>
      </c>
      <c r="AH604" s="31">
        <f>SUM($T604:U604)</f>
        <v>0</v>
      </c>
      <c r="AI604" s="31">
        <f>SUM($T604:V604)</f>
        <v>0</v>
      </c>
      <c r="AJ604" s="31">
        <f>SUM($T604:W604)</f>
        <v>0</v>
      </c>
      <c r="AK604" s="31">
        <f>SUM($T604:X604)</f>
        <v>0</v>
      </c>
      <c r="AL604" s="31">
        <f>SUM($T604:Y604)</f>
        <v>0</v>
      </c>
      <c r="AM604" s="31">
        <f>SUM($T604:Z604)</f>
        <v>0</v>
      </c>
      <c r="AN604" s="31">
        <f>SUM($T604:AA604)</f>
        <v>0</v>
      </c>
      <c r="AO604" s="31">
        <f>SUM($T604:AB604)</f>
        <v>0</v>
      </c>
      <c r="AP604" s="31">
        <f>SUM($T604:AC604)</f>
        <v>0</v>
      </c>
      <c r="AQ604" s="31">
        <f>SUM($T604:AD604)</f>
        <v>0</v>
      </c>
      <c r="AR604" s="31">
        <f>SUM($T604:AE604)</f>
        <v>0</v>
      </c>
      <c r="AS604" s="27">
        <f t="shared" si="96"/>
        <v>0</v>
      </c>
    </row>
    <row r="605" spans="2:45">
      <c r="B605" s="102" t="str">
        <f>IF(ROW()-6&gt;NumCostCenter,"",IF(CostCenter&lt;&gt;"ALL",CostCenter,DATA_LF2!B603))</f>
        <v/>
      </c>
      <c r="C605" s="153" t="str">
        <f>IF($B605&lt;&gt;"",INDEX(DataOB[],FirstRow+ROW()-7,2),"")</f>
        <v/>
      </c>
      <c r="D605" s="66" t="str">
        <f>IF($B605&lt;&gt;"",INDEX(DataOB[],FirstRow+ROW()-7,3),"")</f>
        <v/>
      </c>
      <c r="E605" s="103" t="str">
        <f>IF($B605&lt;&gt;"",INDEX(DataOB[],FirstRow+ROW()-7,6),"")</f>
        <v/>
      </c>
      <c r="F605" s="103" t="str">
        <f>IF($B605&lt;&gt;"",INDEX(DataOB[],FirstRow+ROW()-7,5),"")</f>
        <v/>
      </c>
      <c r="G605" s="58">
        <f>IF($B605&lt;&gt;"",SUMIFS(DataAct_tbl[AMOUNT],DataAct_tbl[BG CODE],Detail!$D605,DataAct_tbl[MONTH],LEFT(MonthName,3),DataAct_tbl[Dept code],$B605),0)</f>
        <v>0</v>
      </c>
      <c r="H605" s="31" t="str">
        <f t="shared" si="88"/>
        <v/>
      </c>
      <c r="I605" s="28" t="str">
        <f t="shared" si="89"/>
        <v/>
      </c>
      <c r="J605" s="32" t="str">
        <f t="shared" si="90"/>
        <v/>
      </c>
      <c r="K605" s="86"/>
      <c r="L605" s="62">
        <f>IF($B605&lt;&gt;"",SUMIFS(DataAct_tbl[AMOUNT],DataAct_tbl[BG CODE],Detail!$D605,DataAct_tbl[Check Range],"=true",DataAct_tbl[Dept code],$B605),0)</f>
        <v>0</v>
      </c>
      <c r="M605" s="63">
        <f>INDEX($AG$7:$AR$1005,ROW()-6,MATCH(MTD,$AG$6:$AR$6,0))</f>
        <v>0</v>
      </c>
      <c r="N605" s="34">
        <f t="shared" si="91"/>
        <v>0</v>
      </c>
      <c r="O605" s="64" t="str">
        <f t="shared" si="92"/>
        <v xml:space="preserve"> </v>
      </c>
      <c r="Q605" s="97">
        <f t="shared" si="93"/>
        <v>0</v>
      </c>
      <c r="R605" s="96">
        <f t="shared" si="94"/>
        <v>0</v>
      </c>
      <c r="T605" s="67" t="str">
        <f>IF($B605&lt;&gt;"",INDEX(DataOB[],FirstRow+ROW()-7,MATCH(T$6,DataOB[#Headers],0)),"")</f>
        <v/>
      </c>
      <c r="U605" s="67" t="str">
        <f>IF($B605&lt;&gt;"",INDEX(DataOB[],FirstRow+ROW()-7,MATCH(U$6,DataOB[#Headers],0)),"")</f>
        <v/>
      </c>
      <c r="V605" s="67" t="str">
        <f>IF($B605&lt;&gt;"",INDEX(DataOB[],FirstRow+ROW()-7,MATCH(V$6,DataOB[#Headers],0)),"")</f>
        <v/>
      </c>
      <c r="W605" s="67" t="str">
        <f>IF($B605&lt;&gt;"",INDEX(DataOB[],FirstRow+ROW()-7,MATCH(W$6,DataOB[#Headers],0)),"")</f>
        <v/>
      </c>
      <c r="X605" s="67" t="str">
        <f>IF($B605&lt;&gt;"",INDEX(DataOB[],FirstRow+ROW()-7,MATCH(X$6,DataOB[#Headers],0)),"")</f>
        <v/>
      </c>
      <c r="Y605" s="67" t="str">
        <f>IF($B605&lt;&gt;"",INDEX(DataOB[],FirstRow+ROW()-7,MATCH(Y$6,DataOB[#Headers],0)),"")</f>
        <v/>
      </c>
      <c r="Z605" s="67" t="str">
        <f>IF($B605&lt;&gt;"",INDEX(DataOB[],FirstRow+ROW()-7,MATCH(Z$6,DataOB[#Headers],0)),"")</f>
        <v/>
      </c>
      <c r="AA605" s="67" t="str">
        <f>IF($B605&lt;&gt;"",INDEX(DataOB[],FirstRow+ROW()-7,MATCH(AA$6,DataOB[#Headers],0)),"")</f>
        <v/>
      </c>
      <c r="AB605" s="67" t="str">
        <f>IF($B605&lt;&gt;"",INDEX(DataOB[],FirstRow+ROW()-7,MATCH(AB$6,DataOB[#Headers],0)),"")</f>
        <v/>
      </c>
      <c r="AC605" s="67" t="str">
        <f>IF($B605&lt;&gt;"",INDEX(DataOB[],FirstRow+ROW()-7,MATCH(AC$6,DataOB[#Headers],0)),"")</f>
        <v/>
      </c>
      <c r="AD605" s="67" t="str">
        <f>IF($B605&lt;&gt;"",INDEX(DataOB[],FirstRow+ROW()-7,MATCH(AD$6,DataOB[#Headers],0)),"")</f>
        <v/>
      </c>
      <c r="AE605" s="67" t="str">
        <f>IF($B605&lt;&gt;"",INDEX(DataOB[],FirstRow+ROW()-7,MATCH(AE$6,DataOB[#Headers],0)),"")</f>
        <v/>
      </c>
      <c r="AF605" s="26">
        <f t="shared" si="95"/>
        <v>0</v>
      </c>
      <c r="AG605" s="31">
        <f>SUM($T605:T605)</f>
        <v>0</v>
      </c>
      <c r="AH605" s="31">
        <f>SUM($T605:U605)</f>
        <v>0</v>
      </c>
      <c r="AI605" s="31">
        <f>SUM($T605:V605)</f>
        <v>0</v>
      </c>
      <c r="AJ605" s="31">
        <f>SUM($T605:W605)</f>
        <v>0</v>
      </c>
      <c r="AK605" s="31">
        <f>SUM($T605:X605)</f>
        <v>0</v>
      </c>
      <c r="AL605" s="31">
        <f>SUM($T605:Y605)</f>
        <v>0</v>
      </c>
      <c r="AM605" s="31">
        <f>SUM($T605:Z605)</f>
        <v>0</v>
      </c>
      <c r="AN605" s="31">
        <f>SUM($T605:AA605)</f>
        <v>0</v>
      </c>
      <c r="AO605" s="31">
        <f>SUM($T605:AB605)</f>
        <v>0</v>
      </c>
      <c r="AP605" s="31">
        <f>SUM($T605:AC605)</f>
        <v>0</v>
      </c>
      <c r="AQ605" s="31">
        <f>SUM($T605:AD605)</f>
        <v>0</v>
      </c>
      <c r="AR605" s="31">
        <f>SUM($T605:AE605)</f>
        <v>0</v>
      </c>
      <c r="AS605" s="27">
        <f t="shared" si="96"/>
        <v>0</v>
      </c>
    </row>
    <row r="606" spans="2:45">
      <c r="B606" s="102" t="str">
        <f>IF(ROW()-6&gt;NumCostCenter,"",IF(CostCenter&lt;&gt;"ALL",CostCenter,DATA_LF2!B604))</f>
        <v/>
      </c>
      <c r="C606" s="153" t="str">
        <f>IF($B606&lt;&gt;"",INDEX(DataOB[],FirstRow+ROW()-7,2),"")</f>
        <v/>
      </c>
      <c r="D606" s="66" t="str">
        <f>IF($B606&lt;&gt;"",INDEX(DataOB[],FirstRow+ROW()-7,3),"")</f>
        <v/>
      </c>
      <c r="E606" s="103" t="str">
        <f>IF($B606&lt;&gt;"",INDEX(DataOB[],FirstRow+ROW()-7,6),"")</f>
        <v/>
      </c>
      <c r="F606" s="103" t="str">
        <f>IF($B606&lt;&gt;"",INDEX(DataOB[],FirstRow+ROW()-7,5),"")</f>
        <v/>
      </c>
      <c r="G606" s="58">
        <f>IF($B606&lt;&gt;"",SUMIFS(DataAct_tbl[AMOUNT],DataAct_tbl[BG CODE],Detail!$D606,DataAct_tbl[MONTH],LEFT(MonthName,3),DataAct_tbl[Dept code],$B606),0)</f>
        <v>0</v>
      </c>
      <c r="H606" s="31" t="str">
        <f t="shared" si="88"/>
        <v/>
      </c>
      <c r="I606" s="28" t="str">
        <f t="shared" si="89"/>
        <v/>
      </c>
      <c r="J606" s="32" t="str">
        <f t="shared" si="90"/>
        <v/>
      </c>
      <c r="K606" s="86"/>
      <c r="L606" s="62">
        <f>IF($B606&lt;&gt;"",SUMIFS(DataAct_tbl[AMOUNT],DataAct_tbl[BG CODE],Detail!$D606,DataAct_tbl[Check Range],"=true",DataAct_tbl[Dept code],$B606),0)</f>
        <v>0</v>
      </c>
      <c r="M606" s="63">
        <f>INDEX($AG$7:$AR$1005,ROW()-6,MATCH(MTD,$AG$6:$AR$6,0))</f>
        <v>0</v>
      </c>
      <c r="N606" s="34">
        <f t="shared" si="91"/>
        <v>0</v>
      </c>
      <c r="O606" s="64" t="str">
        <f t="shared" si="92"/>
        <v xml:space="preserve"> </v>
      </c>
      <c r="Q606" s="97">
        <f t="shared" si="93"/>
        <v>0</v>
      </c>
      <c r="R606" s="96">
        <f t="shared" si="94"/>
        <v>0</v>
      </c>
      <c r="T606" s="67" t="str">
        <f>IF($B606&lt;&gt;"",INDEX(DataOB[],FirstRow+ROW()-7,MATCH(T$6,DataOB[#Headers],0)),"")</f>
        <v/>
      </c>
      <c r="U606" s="67" t="str">
        <f>IF($B606&lt;&gt;"",INDEX(DataOB[],FirstRow+ROW()-7,MATCH(U$6,DataOB[#Headers],0)),"")</f>
        <v/>
      </c>
      <c r="V606" s="67" t="str">
        <f>IF($B606&lt;&gt;"",INDEX(DataOB[],FirstRow+ROW()-7,MATCH(V$6,DataOB[#Headers],0)),"")</f>
        <v/>
      </c>
      <c r="W606" s="67" t="str">
        <f>IF($B606&lt;&gt;"",INDEX(DataOB[],FirstRow+ROW()-7,MATCH(W$6,DataOB[#Headers],0)),"")</f>
        <v/>
      </c>
      <c r="X606" s="67" t="str">
        <f>IF($B606&lt;&gt;"",INDEX(DataOB[],FirstRow+ROW()-7,MATCH(X$6,DataOB[#Headers],0)),"")</f>
        <v/>
      </c>
      <c r="Y606" s="67" t="str">
        <f>IF($B606&lt;&gt;"",INDEX(DataOB[],FirstRow+ROW()-7,MATCH(Y$6,DataOB[#Headers],0)),"")</f>
        <v/>
      </c>
      <c r="Z606" s="67" t="str">
        <f>IF($B606&lt;&gt;"",INDEX(DataOB[],FirstRow+ROW()-7,MATCH(Z$6,DataOB[#Headers],0)),"")</f>
        <v/>
      </c>
      <c r="AA606" s="67" t="str">
        <f>IF($B606&lt;&gt;"",INDEX(DataOB[],FirstRow+ROW()-7,MATCH(AA$6,DataOB[#Headers],0)),"")</f>
        <v/>
      </c>
      <c r="AB606" s="67" t="str">
        <f>IF($B606&lt;&gt;"",INDEX(DataOB[],FirstRow+ROW()-7,MATCH(AB$6,DataOB[#Headers],0)),"")</f>
        <v/>
      </c>
      <c r="AC606" s="67" t="str">
        <f>IF($B606&lt;&gt;"",INDEX(DataOB[],FirstRow+ROW()-7,MATCH(AC$6,DataOB[#Headers],0)),"")</f>
        <v/>
      </c>
      <c r="AD606" s="67" t="str">
        <f>IF($B606&lt;&gt;"",INDEX(DataOB[],FirstRow+ROW()-7,MATCH(AD$6,DataOB[#Headers],0)),"")</f>
        <v/>
      </c>
      <c r="AE606" s="67" t="str">
        <f>IF($B606&lt;&gt;"",INDEX(DataOB[],FirstRow+ROW()-7,MATCH(AE$6,DataOB[#Headers],0)),"")</f>
        <v/>
      </c>
      <c r="AF606" s="26">
        <f t="shared" si="95"/>
        <v>0</v>
      </c>
      <c r="AG606" s="31">
        <f>SUM($T606:T606)</f>
        <v>0</v>
      </c>
      <c r="AH606" s="31">
        <f>SUM($T606:U606)</f>
        <v>0</v>
      </c>
      <c r="AI606" s="31">
        <f>SUM($T606:V606)</f>
        <v>0</v>
      </c>
      <c r="AJ606" s="31">
        <f>SUM($T606:W606)</f>
        <v>0</v>
      </c>
      <c r="AK606" s="31">
        <f>SUM($T606:X606)</f>
        <v>0</v>
      </c>
      <c r="AL606" s="31">
        <f>SUM($T606:Y606)</f>
        <v>0</v>
      </c>
      <c r="AM606" s="31">
        <f>SUM($T606:Z606)</f>
        <v>0</v>
      </c>
      <c r="AN606" s="31">
        <f>SUM($T606:AA606)</f>
        <v>0</v>
      </c>
      <c r="AO606" s="31">
        <f>SUM($T606:AB606)</f>
        <v>0</v>
      </c>
      <c r="AP606" s="31">
        <f>SUM($T606:AC606)</f>
        <v>0</v>
      </c>
      <c r="AQ606" s="31">
        <f>SUM($T606:AD606)</f>
        <v>0</v>
      </c>
      <c r="AR606" s="31">
        <f>SUM($T606:AE606)</f>
        <v>0</v>
      </c>
      <c r="AS606" s="27">
        <f t="shared" si="96"/>
        <v>0</v>
      </c>
    </row>
    <row r="607" spans="2:45">
      <c r="B607" s="102" t="str">
        <f>IF(ROW()-6&gt;NumCostCenter,"",IF(CostCenter&lt;&gt;"ALL",CostCenter,DATA_LF2!B605))</f>
        <v/>
      </c>
      <c r="C607" s="153" t="str">
        <f>IF($B607&lt;&gt;"",INDEX(DataOB[],FirstRow+ROW()-7,2),"")</f>
        <v/>
      </c>
      <c r="D607" s="66" t="str">
        <f>IF($B607&lt;&gt;"",INDEX(DataOB[],FirstRow+ROW()-7,3),"")</f>
        <v/>
      </c>
      <c r="E607" s="103" t="str">
        <f>IF($B607&lt;&gt;"",INDEX(DataOB[],FirstRow+ROW()-7,6),"")</f>
        <v/>
      </c>
      <c r="F607" s="103" t="str">
        <f>IF($B607&lt;&gt;"",INDEX(DataOB[],FirstRow+ROW()-7,5),"")</f>
        <v/>
      </c>
      <c r="G607" s="58">
        <f>IF($B607&lt;&gt;"",SUMIFS(DataAct_tbl[AMOUNT],DataAct_tbl[BG CODE],Detail!$D607,DataAct_tbl[MONTH],LEFT(MonthName,3),DataAct_tbl[Dept code],$B607),0)</f>
        <v>0</v>
      </c>
      <c r="H607" s="31" t="str">
        <f t="shared" si="88"/>
        <v/>
      </c>
      <c r="I607" s="28" t="str">
        <f t="shared" si="89"/>
        <v/>
      </c>
      <c r="J607" s="32" t="str">
        <f t="shared" si="90"/>
        <v/>
      </c>
      <c r="K607" s="86"/>
      <c r="L607" s="62">
        <f>IF($B607&lt;&gt;"",SUMIFS(DataAct_tbl[AMOUNT],DataAct_tbl[BG CODE],Detail!$D607,DataAct_tbl[Check Range],"=true",DataAct_tbl[Dept code],$B607),0)</f>
        <v>0</v>
      </c>
      <c r="M607" s="63">
        <f>INDEX($AG$7:$AR$1005,ROW()-6,MATCH(MTD,$AG$6:$AR$6,0))</f>
        <v>0</v>
      </c>
      <c r="N607" s="34">
        <f t="shared" si="91"/>
        <v>0</v>
      </c>
      <c r="O607" s="64" t="str">
        <f t="shared" si="92"/>
        <v xml:space="preserve"> </v>
      </c>
      <c r="Q607" s="97">
        <f t="shared" si="93"/>
        <v>0</v>
      </c>
      <c r="R607" s="96">
        <f t="shared" si="94"/>
        <v>0</v>
      </c>
      <c r="T607" s="67" t="str">
        <f>IF($B607&lt;&gt;"",INDEX(DataOB[],FirstRow+ROW()-7,MATCH(T$6,DataOB[#Headers],0)),"")</f>
        <v/>
      </c>
      <c r="U607" s="67" t="str">
        <f>IF($B607&lt;&gt;"",INDEX(DataOB[],FirstRow+ROW()-7,MATCH(U$6,DataOB[#Headers],0)),"")</f>
        <v/>
      </c>
      <c r="V607" s="67" t="str">
        <f>IF($B607&lt;&gt;"",INDEX(DataOB[],FirstRow+ROW()-7,MATCH(V$6,DataOB[#Headers],0)),"")</f>
        <v/>
      </c>
      <c r="W607" s="67" t="str">
        <f>IF($B607&lt;&gt;"",INDEX(DataOB[],FirstRow+ROW()-7,MATCH(W$6,DataOB[#Headers],0)),"")</f>
        <v/>
      </c>
      <c r="X607" s="67" t="str">
        <f>IF($B607&lt;&gt;"",INDEX(DataOB[],FirstRow+ROW()-7,MATCH(X$6,DataOB[#Headers],0)),"")</f>
        <v/>
      </c>
      <c r="Y607" s="67" t="str">
        <f>IF($B607&lt;&gt;"",INDEX(DataOB[],FirstRow+ROW()-7,MATCH(Y$6,DataOB[#Headers],0)),"")</f>
        <v/>
      </c>
      <c r="Z607" s="67" t="str">
        <f>IF($B607&lt;&gt;"",INDEX(DataOB[],FirstRow+ROW()-7,MATCH(Z$6,DataOB[#Headers],0)),"")</f>
        <v/>
      </c>
      <c r="AA607" s="67" t="str">
        <f>IF($B607&lt;&gt;"",INDEX(DataOB[],FirstRow+ROW()-7,MATCH(AA$6,DataOB[#Headers],0)),"")</f>
        <v/>
      </c>
      <c r="AB607" s="67" t="str">
        <f>IF($B607&lt;&gt;"",INDEX(DataOB[],FirstRow+ROW()-7,MATCH(AB$6,DataOB[#Headers],0)),"")</f>
        <v/>
      </c>
      <c r="AC607" s="67" t="str">
        <f>IF($B607&lt;&gt;"",INDEX(DataOB[],FirstRow+ROW()-7,MATCH(AC$6,DataOB[#Headers],0)),"")</f>
        <v/>
      </c>
      <c r="AD607" s="67" t="str">
        <f>IF($B607&lt;&gt;"",INDEX(DataOB[],FirstRow+ROW()-7,MATCH(AD$6,DataOB[#Headers],0)),"")</f>
        <v/>
      </c>
      <c r="AE607" s="67" t="str">
        <f>IF($B607&lt;&gt;"",INDEX(DataOB[],FirstRow+ROW()-7,MATCH(AE$6,DataOB[#Headers],0)),"")</f>
        <v/>
      </c>
      <c r="AF607" s="26">
        <f t="shared" si="95"/>
        <v>0</v>
      </c>
      <c r="AG607" s="31">
        <f>SUM($T607:T607)</f>
        <v>0</v>
      </c>
      <c r="AH607" s="31">
        <f>SUM($T607:U607)</f>
        <v>0</v>
      </c>
      <c r="AI607" s="31">
        <f>SUM($T607:V607)</f>
        <v>0</v>
      </c>
      <c r="AJ607" s="31">
        <f>SUM($T607:W607)</f>
        <v>0</v>
      </c>
      <c r="AK607" s="31">
        <f>SUM($T607:X607)</f>
        <v>0</v>
      </c>
      <c r="AL607" s="31">
        <f>SUM($T607:Y607)</f>
        <v>0</v>
      </c>
      <c r="AM607" s="31">
        <f>SUM($T607:Z607)</f>
        <v>0</v>
      </c>
      <c r="AN607" s="31">
        <f>SUM($T607:AA607)</f>
        <v>0</v>
      </c>
      <c r="AO607" s="31">
        <f>SUM($T607:AB607)</f>
        <v>0</v>
      </c>
      <c r="AP607" s="31">
        <f>SUM($T607:AC607)</f>
        <v>0</v>
      </c>
      <c r="AQ607" s="31">
        <f>SUM($T607:AD607)</f>
        <v>0</v>
      </c>
      <c r="AR607" s="31">
        <f>SUM($T607:AE607)</f>
        <v>0</v>
      </c>
      <c r="AS607" s="27">
        <f t="shared" si="96"/>
        <v>0</v>
      </c>
    </row>
    <row r="608" spans="2:45">
      <c r="B608" s="102" t="str">
        <f>IF(ROW()-6&gt;NumCostCenter,"",IF(CostCenter&lt;&gt;"ALL",CostCenter,DATA_LF2!B606))</f>
        <v/>
      </c>
      <c r="C608" s="153" t="str">
        <f>IF($B608&lt;&gt;"",INDEX(DataOB[],FirstRow+ROW()-7,2),"")</f>
        <v/>
      </c>
      <c r="D608" s="66" t="str">
        <f>IF($B608&lt;&gt;"",INDEX(DataOB[],FirstRow+ROW()-7,3),"")</f>
        <v/>
      </c>
      <c r="E608" s="103" t="str">
        <f>IF($B608&lt;&gt;"",INDEX(DataOB[],FirstRow+ROW()-7,6),"")</f>
        <v/>
      </c>
      <c r="F608" s="103" t="str">
        <f>IF($B608&lt;&gt;"",INDEX(DataOB[],FirstRow+ROW()-7,5),"")</f>
        <v/>
      </c>
      <c r="G608" s="58">
        <f>IF($B608&lt;&gt;"",SUMIFS(DataAct_tbl[AMOUNT],DataAct_tbl[BG CODE],Detail!$D608,DataAct_tbl[MONTH],LEFT(MonthName,3),DataAct_tbl[Dept code],$B608),0)</f>
        <v>0</v>
      </c>
      <c r="H608" s="31" t="str">
        <f t="shared" si="88"/>
        <v/>
      </c>
      <c r="I608" s="28" t="str">
        <f t="shared" si="89"/>
        <v/>
      </c>
      <c r="J608" s="32" t="str">
        <f t="shared" si="90"/>
        <v/>
      </c>
      <c r="K608" s="86"/>
      <c r="L608" s="62">
        <f>IF($B608&lt;&gt;"",SUMIFS(DataAct_tbl[AMOUNT],DataAct_tbl[BG CODE],Detail!$D608,DataAct_tbl[Check Range],"=true",DataAct_tbl[Dept code],$B608),0)</f>
        <v>0</v>
      </c>
      <c r="M608" s="63">
        <f>INDEX($AG$7:$AR$1005,ROW()-6,MATCH(MTD,$AG$6:$AR$6,0))</f>
        <v>0</v>
      </c>
      <c r="N608" s="34">
        <f t="shared" si="91"/>
        <v>0</v>
      </c>
      <c r="O608" s="64" t="str">
        <f t="shared" si="92"/>
        <v xml:space="preserve"> </v>
      </c>
      <c r="Q608" s="97">
        <f t="shared" si="93"/>
        <v>0</v>
      </c>
      <c r="R608" s="96">
        <f t="shared" si="94"/>
        <v>0</v>
      </c>
      <c r="T608" s="67" t="str">
        <f>IF($B608&lt;&gt;"",INDEX(DataOB[],FirstRow+ROW()-7,MATCH(T$6,DataOB[#Headers],0)),"")</f>
        <v/>
      </c>
      <c r="U608" s="67" t="str">
        <f>IF($B608&lt;&gt;"",INDEX(DataOB[],FirstRow+ROW()-7,MATCH(U$6,DataOB[#Headers],0)),"")</f>
        <v/>
      </c>
      <c r="V608" s="67" t="str">
        <f>IF($B608&lt;&gt;"",INDEX(DataOB[],FirstRow+ROW()-7,MATCH(V$6,DataOB[#Headers],0)),"")</f>
        <v/>
      </c>
      <c r="W608" s="67" t="str">
        <f>IF($B608&lt;&gt;"",INDEX(DataOB[],FirstRow+ROW()-7,MATCH(W$6,DataOB[#Headers],0)),"")</f>
        <v/>
      </c>
      <c r="X608" s="67" t="str">
        <f>IF($B608&lt;&gt;"",INDEX(DataOB[],FirstRow+ROW()-7,MATCH(X$6,DataOB[#Headers],0)),"")</f>
        <v/>
      </c>
      <c r="Y608" s="67" t="str">
        <f>IF($B608&lt;&gt;"",INDEX(DataOB[],FirstRow+ROW()-7,MATCH(Y$6,DataOB[#Headers],0)),"")</f>
        <v/>
      </c>
      <c r="Z608" s="67" t="str">
        <f>IF($B608&lt;&gt;"",INDEX(DataOB[],FirstRow+ROW()-7,MATCH(Z$6,DataOB[#Headers],0)),"")</f>
        <v/>
      </c>
      <c r="AA608" s="67" t="str">
        <f>IF($B608&lt;&gt;"",INDEX(DataOB[],FirstRow+ROW()-7,MATCH(AA$6,DataOB[#Headers],0)),"")</f>
        <v/>
      </c>
      <c r="AB608" s="67" t="str">
        <f>IF($B608&lt;&gt;"",INDEX(DataOB[],FirstRow+ROW()-7,MATCH(AB$6,DataOB[#Headers],0)),"")</f>
        <v/>
      </c>
      <c r="AC608" s="67" t="str">
        <f>IF($B608&lt;&gt;"",INDEX(DataOB[],FirstRow+ROW()-7,MATCH(AC$6,DataOB[#Headers],0)),"")</f>
        <v/>
      </c>
      <c r="AD608" s="67" t="str">
        <f>IF($B608&lt;&gt;"",INDEX(DataOB[],FirstRow+ROW()-7,MATCH(AD$6,DataOB[#Headers],0)),"")</f>
        <v/>
      </c>
      <c r="AE608" s="67" t="str">
        <f>IF($B608&lt;&gt;"",INDEX(DataOB[],FirstRow+ROW()-7,MATCH(AE$6,DataOB[#Headers],0)),"")</f>
        <v/>
      </c>
      <c r="AF608" s="26">
        <f t="shared" si="95"/>
        <v>0</v>
      </c>
      <c r="AG608" s="31">
        <f>SUM($T608:T608)</f>
        <v>0</v>
      </c>
      <c r="AH608" s="31">
        <f>SUM($T608:U608)</f>
        <v>0</v>
      </c>
      <c r="AI608" s="31">
        <f>SUM($T608:V608)</f>
        <v>0</v>
      </c>
      <c r="AJ608" s="31">
        <f>SUM($T608:W608)</f>
        <v>0</v>
      </c>
      <c r="AK608" s="31">
        <f>SUM($T608:X608)</f>
        <v>0</v>
      </c>
      <c r="AL608" s="31">
        <f>SUM($T608:Y608)</f>
        <v>0</v>
      </c>
      <c r="AM608" s="31">
        <f>SUM($T608:Z608)</f>
        <v>0</v>
      </c>
      <c r="AN608" s="31">
        <f>SUM($T608:AA608)</f>
        <v>0</v>
      </c>
      <c r="AO608" s="31">
        <f>SUM($T608:AB608)</f>
        <v>0</v>
      </c>
      <c r="AP608" s="31">
        <f>SUM($T608:AC608)</f>
        <v>0</v>
      </c>
      <c r="AQ608" s="31">
        <f>SUM($T608:AD608)</f>
        <v>0</v>
      </c>
      <c r="AR608" s="31">
        <f>SUM($T608:AE608)</f>
        <v>0</v>
      </c>
      <c r="AS608" s="27">
        <f t="shared" si="96"/>
        <v>0</v>
      </c>
    </row>
    <row r="609" spans="2:45">
      <c r="B609" s="102" t="str">
        <f>IF(ROW()-6&gt;NumCostCenter,"",IF(CostCenter&lt;&gt;"ALL",CostCenter,DATA_LF2!B607))</f>
        <v/>
      </c>
      <c r="C609" s="153" t="str">
        <f>IF($B609&lt;&gt;"",INDEX(DataOB[],FirstRow+ROW()-7,2),"")</f>
        <v/>
      </c>
      <c r="D609" s="66" t="str">
        <f>IF($B609&lt;&gt;"",INDEX(DataOB[],FirstRow+ROW()-7,3),"")</f>
        <v/>
      </c>
      <c r="E609" s="103" t="str">
        <f>IF($B609&lt;&gt;"",INDEX(DataOB[],FirstRow+ROW()-7,6),"")</f>
        <v/>
      </c>
      <c r="F609" s="103" t="str">
        <f>IF($B609&lt;&gt;"",INDEX(DataOB[],FirstRow+ROW()-7,5),"")</f>
        <v/>
      </c>
      <c r="G609" s="58">
        <f>IF($B609&lt;&gt;"",SUMIFS(DataAct_tbl[AMOUNT],DataAct_tbl[BG CODE],Detail!$D609,DataAct_tbl[MONTH],LEFT(MonthName,3),DataAct_tbl[Dept code],$B609),0)</f>
        <v>0</v>
      </c>
      <c r="H609" s="31" t="str">
        <f t="shared" si="88"/>
        <v/>
      </c>
      <c r="I609" s="28" t="str">
        <f t="shared" si="89"/>
        <v/>
      </c>
      <c r="J609" s="32" t="str">
        <f t="shared" si="90"/>
        <v/>
      </c>
      <c r="K609" s="86"/>
      <c r="L609" s="62">
        <f>IF($B609&lt;&gt;"",SUMIFS(DataAct_tbl[AMOUNT],DataAct_tbl[BG CODE],Detail!$D609,DataAct_tbl[Check Range],"=true",DataAct_tbl[Dept code],$B609),0)</f>
        <v>0</v>
      </c>
      <c r="M609" s="63">
        <f>INDEX($AG$7:$AR$1005,ROW()-6,MATCH(MTD,$AG$6:$AR$6,0))</f>
        <v>0</v>
      </c>
      <c r="N609" s="34">
        <f t="shared" si="91"/>
        <v>0</v>
      </c>
      <c r="O609" s="64" t="str">
        <f t="shared" si="92"/>
        <v xml:space="preserve"> </v>
      </c>
      <c r="Q609" s="97">
        <f t="shared" si="93"/>
        <v>0</v>
      </c>
      <c r="R609" s="96">
        <f t="shared" si="94"/>
        <v>0</v>
      </c>
      <c r="T609" s="67" t="str">
        <f>IF($B609&lt;&gt;"",INDEX(DataOB[],FirstRow+ROW()-7,MATCH(T$6,DataOB[#Headers],0)),"")</f>
        <v/>
      </c>
      <c r="U609" s="67" t="str">
        <f>IF($B609&lt;&gt;"",INDEX(DataOB[],FirstRow+ROW()-7,MATCH(U$6,DataOB[#Headers],0)),"")</f>
        <v/>
      </c>
      <c r="V609" s="67" t="str">
        <f>IF($B609&lt;&gt;"",INDEX(DataOB[],FirstRow+ROW()-7,MATCH(V$6,DataOB[#Headers],0)),"")</f>
        <v/>
      </c>
      <c r="W609" s="67" t="str">
        <f>IF($B609&lt;&gt;"",INDEX(DataOB[],FirstRow+ROW()-7,MATCH(W$6,DataOB[#Headers],0)),"")</f>
        <v/>
      </c>
      <c r="X609" s="67" t="str">
        <f>IF($B609&lt;&gt;"",INDEX(DataOB[],FirstRow+ROW()-7,MATCH(X$6,DataOB[#Headers],0)),"")</f>
        <v/>
      </c>
      <c r="Y609" s="67" t="str">
        <f>IF($B609&lt;&gt;"",INDEX(DataOB[],FirstRow+ROW()-7,MATCH(Y$6,DataOB[#Headers],0)),"")</f>
        <v/>
      </c>
      <c r="Z609" s="67" t="str">
        <f>IF($B609&lt;&gt;"",INDEX(DataOB[],FirstRow+ROW()-7,MATCH(Z$6,DataOB[#Headers],0)),"")</f>
        <v/>
      </c>
      <c r="AA609" s="67" t="str">
        <f>IF($B609&lt;&gt;"",INDEX(DataOB[],FirstRow+ROW()-7,MATCH(AA$6,DataOB[#Headers],0)),"")</f>
        <v/>
      </c>
      <c r="AB609" s="67" t="str">
        <f>IF($B609&lt;&gt;"",INDEX(DataOB[],FirstRow+ROW()-7,MATCH(AB$6,DataOB[#Headers],0)),"")</f>
        <v/>
      </c>
      <c r="AC609" s="67" t="str">
        <f>IF($B609&lt;&gt;"",INDEX(DataOB[],FirstRow+ROW()-7,MATCH(AC$6,DataOB[#Headers],0)),"")</f>
        <v/>
      </c>
      <c r="AD609" s="67" t="str">
        <f>IF($B609&lt;&gt;"",INDEX(DataOB[],FirstRow+ROW()-7,MATCH(AD$6,DataOB[#Headers],0)),"")</f>
        <v/>
      </c>
      <c r="AE609" s="67" t="str">
        <f>IF($B609&lt;&gt;"",INDEX(DataOB[],FirstRow+ROW()-7,MATCH(AE$6,DataOB[#Headers],0)),"")</f>
        <v/>
      </c>
      <c r="AF609" s="26">
        <f t="shared" si="95"/>
        <v>0</v>
      </c>
      <c r="AG609" s="31">
        <f>SUM($T609:T609)</f>
        <v>0</v>
      </c>
      <c r="AH609" s="31">
        <f>SUM($T609:U609)</f>
        <v>0</v>
      </c>
      <c r="AI609" s="31">
        <f>SUM($T609:V609)</f>
        <v>0</v>
      </c>
      <c r="AJ609" s="31">
        <f>SUM($T609:W609)</f>
        <v>0</v>
      </c>
      <c r="AK609" s="31">
        <f>SUM($T609:X609)</f>
        <v>0</v>
      </c>
      <c r="AL609" s="31">
        <f>SUM($T609:Y609)</f>
        <v>0</v>
      </c>
      <c r="AM609" s="31">
        <f>SUM($T609:Z609)</f>
        <v>0</v>
      </c>
      <c r="AN609" s="31">
        <f>SUM($T609:AA609)</f>
        <v>0</v>
      </c>
      <c r="AO609" s="31">
        <f>SUM($T609:AB609)</f>
        <v>0</v>
      </c>
      <c r="AP609" s="31">
        <f>SUM($T609:AC609)</f>
        <v>0</v>
      </c>
      <c r="AQ609" s="31">
        <f>SUM($T609:AD609)</f>
        <v>0</v>
      </c>
      <c r="AR609" s="31">
        <f>SUM($T609:AE609)</f>
        <v>0</v>
      </c>
      <c r="AS609" s="27">
        <f t="shared" si="96"/>
        <v>0</v>
      </c>
    </row>
    <row r="610" spans="2:45">
      <c r="B610" s="102" t="str">
        <f>IF(ROW()-6&gt;NumCostCenter,"",IF(CostCenter&lt;&gt;"ALL",CostCenter,DATA_LF2!B608))</f>
        <v/>
      </c>
      <c r="C610" s="153" t="str">
        <f>IF($B610&lt;&gt;"",INDEX(DataOB[],FirstRow+ROW()-7,2),"")</f>
        <v/>
      </c>
      <c r="D610" s="66" t="str">
        <f>IF($B610&lt;&gt;"",INDEX(DataOB[],FirstRow+ROW()-7,3),"")</f>
        <v/>
      </c>
      <c r="E610" s="103" t="str">
        <f>IF($B610&lt;&gt;"",INDEX(DataOB[],FirstRow+ROW()-7,6),"")</f>
        <v/>
      </c>
      <c r="F610" s="103" t="str">
        <f>IF($B610&lt;&gt;"",INDEX(DataOB[],FirstRow+ROW()-7,5),"")</f>
        <v/>
      </c>
      <c r="G610" s="58">
        <f>IF($B610&lt;&gt;"",SUMIFS(DataAct_tbl[AMOUNT],DataAct_tbl[BG CODE],Detail!$D610,DataAct_tbl[MONTH],LEFT(MonthName,3),DataAct_tbl[Dept code],$B610),0)</f>
        <v>0</v>
      </c>
      <c r="H610" s="31" t="str">
        <f t="shared" si="88"/>
        <v/>
      </c>
      <c r="I610" s="28" t="str">
        <f t="shared" si="89"/>
        <v/>
      </c>
      <c r="J610" s="32" t="str">
        <f t="shared" si="90"/>
        <v/>
      </c>
      <c r="K610" s="86"/>
      <c r="L610" s="62">
        <f>IF($B610&lt;&gt;"",SUMIFS(DataAct_tbl[AMOUNT],DataAct_tbl[BG CODE],Detail!$D610,DataAct_tbl[Check Range],"=true",DataAct_tbl[Dept code],$B610),0)</f>
        <v>0</v>
      </c>
      <c r="M610" s="63">
        <f>INDEX($AG$7:$AR$1005,ROW()-6,MATCH(MTD,$AG$6:$AR$6,0))</f>
        <v>0</v>
      </c>
      <c r="N610" s="34">
        <f t="shared" si="91"/>
        <v>0</v>
      </c>
      <c r="O610" s="64" t="str">
        <f t="shared" si="92"/>
        <v xml:space="preserve"> </v>
      </c>
      <c r="Q610" s="97">
        <f t="shared" si="93"/>
        <v>0</v>
      </c>
      <c r="R610" s="96">
        <f t="shared" si="94"/>
        <v>0</v>
      </c>
      <c r="T610" s="67" t="str">
        <f>IF($B610&lt;&gt;"",INDEX(DataOB[],FirstRow+ROW()-7,MATCH(T$6,DataOB[#Headers],0)),"")</f>
        <v/>
      </c>
      <c r="U610" s="67" t="str">
        <f>IF($B610&lt;&gt;"",INDEX(DataOB[],FirstRow+ROW()-7,MATCH(U$6,DataOB[#Headers],0)),"")</f>
        <v/>
      </c>
      <c r="V610" s="67" t="str">
        <f>IF($B610&lt;&gt;"",INDEX(DataOB[],FirstRow+ROW()-7,MATCH(V$6,DataOB[#Headers],0)),"")</f>
        <v/>
      </c>
      <c r="W610" s="67" t="str">
        <f>IF($B610&lt;&gt;"",INDEX(DataOB[],FirstRow+ROW()-7,MATCH(W$6,DataOB[#Headers],0)),"")</f>
        <v/>
      </c>
      <c r="X610" s="67" t="str">
        <f>IF($B610&lt;&gt;"",INDEX(DataOB[],FirstRow+ROW()-7,MATCH(X$6,DataOB[#Headers],0)),"")</f>
        <v/>
      </c>
      <c r="Y610" s="67" t="str">
        <f>IF($B610&lt;&gt;"",INDEX(DataOB[],FirstRow+ROW()-7,MATCH(Y$6,DataOB[#Headers],0)),"")</f>
        <v/>
      </c>
      <c r="Z610" s="67" t="str">
        <f>IF($B610&lt;&gt;"",INDEX(DataOB[],FirstRow+ROW()-7,MATCH(Z$6,DataOB[#Headers],0)),"")</f>
        <v/>
      </c>
      <c r="AA610" s="67" t="str">
        <f>IF($B610&lt;&gt;"",INDEX(DataOB[],FirstRow+ROW()-7,MATCH(AA$6,DataOB[#Headers],0)),"")</f>
        <v/>
      </c>
      <c r="AB610" s="67" t="str">
        <f>IF($B610&lt;&gt;"",INDEX(DataOB[],FirstRow+ROW()-7,MATCH(AB$6,DataOB[#Headers],0)),"")</f>
        <v/>
      </c>
      <c r="AC610" s="67" t="str">
        <f>IF($B610&lt;&gt;"",INDEX(DataOB[],FirstRow+ROW()-7,MATCH(AC$6,DataOB[#Headers],0)),"")</f>
        <v/>
      </c>
      <c r="AD610" s="67" t="str">
        <f>IF($B610&lt;&gt;"",INDEX(DataOB[],FirstRow+ROW()-7,MATCH(AD$6,DataOB[#Headers],0)),"")</f>
        <v/>
      </c>
      <c r="AE610" s="67" t="str">
        <f>IF($B610&lt;&gt;"",INDEX(DataOB[],FirstRow+ROW()-7,MATCH(AE$6,DataOB[#Headers],0)),"")</f>
        <v/>
      </c>
      <c r="AF610" s="26">
        <f t="shared" si="95"/>
        <v>0</v>
      </c>
      <c r="AG610" s="31">
        <f>SUM($T610:T610)</f>
        <v>0</v>
      </c>
      <c r="AH610" s="31">
        <f>SUM($T610:U610)</f>
        <v>0</v>
      </c>
      <c r="AI610" s="31">
        <f>SUM($T610:V610)</f>
        <v>0</v>
      </c>
      <c r="AJ610" s="31">
        <f>SUM($T610:W610)</f>
        <v>0</v>
      </c>
      <c r="AK610" s="31">
        <f>SUM($T610:X610)</f>
        <v>0</v>
      </c>
      <c r="AL610" s="31">
        <f>SUM($T610:Y610)</f>
        <v>0</v>
      </c>
      <c r="AM610" s="31">
        <f>SUM($T610:Z610)</f>
        <v>0</v>
      </c>
      <c r="AN610" s="31">
        <f>SUM($T610:AA610)</f>
        <v>0</v>
      </c>
      <c r="AO610" s="31">
        <f>SUM($T610:AB610)</f>
        <v>0</v>
      </c>
      <c r="AP610" s="31">
        <f>SUM($T610:AC610)</f>
        <v>0</v>
      </c>
      <c r="AQ610" s="31">
        <f>SUM($T610:AD610)</f>
        <v>0</v>
      </c>
      <c r="AR610" s="31">
        <f>SUM($T610:AE610)</f>
        <v>0</v>
      </c>
      <c r="AS610" s="27">
        <f t="shared" si="96"/>
        <v>0</v>
      </c>
    </row>
    <row r="611" spans="2:45">
      <c r="B611" s="102" t="str">
        <f>IF(ROW()-6&gt;NumCostCenter,"",IF(CostCenter&lt;&gt;"ALL",CostCenter,DATA_LF2!B609))</f>
        <v/>
      </c>
      <c r="C611" s="153" t="str">
        <f>IF($B611&lt;&gt;"",INDEX(DataOB[],FirstRow+ROW()-7,2),"")</f>
        <v/>
      </c>
      <c r="D611" s="66" t="str">
        <f>IF($B611&lt;&gt;"",INDEX(DataOB[],FirstRow+ROW()-7,3),"")</f>
        <v/>
      </c>
      <c r="E611" s="103" t="str">
        <f>IF($B611&lt;&gt;"",INDEX(DataOB[],FirstRow+ROW()-7,6),"")</f>
        <v/>
      </c>
      <c r="F611" s="103" t="str">
        <f>IF($B611&lt;&gt;"",INDEX(DataOB[],FirstRow+ROW()-7,5),"")</f>
        <v/>
      </c>
      <c r="G611" s="58">
        <f>IF($B611&lt;&gt;"",SUMIFS(DataAct_tbl[AMOUNT],DataAct_tbl[BG CODE],Detail!$D611,DataAct_tbl[MONTH],LEFT(MonthName,3),DataAct_tbl[Dept code],$B611),0)</f>
        <v>0</v>
      </c>
      <c r="H611" s="31" t="str">
        <f t="shared" si="88"/>
        <v/>
      </c>
      <c r="I611" s="28" t="str">
        <f t="shared" si="89"/>
        <v/>
      </c>
      <c r="J611" s="32" t="str">
        <f t="shared" si="90"/>
        <v/>
      </c>
      <c r="K611" s="86"/>
      <c r="L611" s="62">
        <f>IF($B611&lt;&gt;"",SUMIFS(DataAct_tbl[AMOUNT],DataAct_tbl[BG CODE],Detail!$D611,DataAct_tbl[Check Range],"=true",DataAct_tbl[Dept code],$B611),0)</f>
        <v>0</v>
      </c>
      <c r="M611" s="63">
        <f>INDEX($AG$7:$AR$1005,ROW()-6,MATCH(MTD,$AG$6:$AR$6,0))</f>
        <v>0</v>
      </c>
      <c r="N611" s="34">
        <f t="shared" si="91"/>
        <v>0</v>
      </c>
      <c r="O611" s="64" t="str">
        <f t="shared" si="92"/>
        <v xml:space="preserve"> </v>
      </c>
      <c r="Q611" s="97">
        <f t="shared" si="93"/>
        <v>0</v>
      </c>
      <c r="R611" s="96">
        <f t="shared" si="94"/>
        <v>0</v>
      </c>
      <c r="T611" s="67" t="str">
        <f>IF($B611&lt;&gt;"",INDEX(DataOB[],FirstRow+ROW()-7,MATCH(T$6,DataOB[#Headers],0)),"")</f>
        <v/>
      </c>
      <c r="U611" s="67" t="str">
        <f>IF($B611&lt;&gt;"",INDEX(DataOB[],FirstRow+ROW()-7,MATCH(U$6,DataOB[#Headers],0)),"")</f>
        <v/>
      </c>
      <c r="V611" s="67" t="str">
        <f>IF($B611&lt;&gt;"",INDEX(DataOB[],FirstRow+ROW()-7,MATCH(V$6,DataOB[#Headers],0)),"")</f>
        <v/>
      </c>
      <c r="W611" s="67" t="str">
        <f>IF($B611&lt;&gt;"",INDEX(DataOB[],FirstRow+ROW()-7,MATCH(W$6,DataOB[#Headers],0)),"")</f>
        <v/>
      </c>
      <c r="X611" s="67" t="str">
        <f>IF($B611&lt;&gt;"",INDEX(DataOB[],FirstRow+ROW()-7,MATCH(X$6,DataOB[#Headers],0)),"")</f>
        <v/>
      </c>
      <c r="Y611" s="67" t="str">
        <f>IF($B611&lt;&gt;"",INDEX(DataOB[],FirstRow+ROW()-7,MATCH(Y$6,DataOB[#Headers],0)),"")</f>
        <v/>
      </c>
      <c r="Z611" s="67" t="str">
        <f>IF($B611&lt;&gt;"",INDEX(DataOB[],FirstRow+ROW()-7,MATCH(Z$6,DataOB[#Headers],0)),"")</f>
        <v/>
      </c>
      <c r="AA611" s="67" t="str">
        <f>IF($B611&lt;&gt;"",INDEX(DataOB[],FirstRow+ROW()-7,MATCH(AA$6,DataOB[#Headers],0)),"")</f>
        <v/>
      </c>
      <c r="AB611" s="67" t="str">
        <f>IF($B611&lt;&gt;"",INDEX(DataOB[],FirstRow+ROW()-7,MATCH(AB$6,DataOB[#Headers],0)),"")</f>
        <v/>
      </c>
      <c r="AC611" s="67" t="str">
        <f>IF($B611&lt;&gt;"",INDEX(DataOB[],FirstRow+ROW()-7,MATCH(AC$6,DataOB[#Headers],0)),"")</f>
        <v/>
      </c>
      <c r="AD611" s="67" t="str">
        <f>IF($B611&lt;&gt;"",INDEX(DataOB[],FirstRow+ROW()-7,MATCH(AD$6,DataOB[#Headers],0)),"")</f>
        <v/>
      </c>
      <c r="AE611" s="67" t="str">
        <f>IF($B611&lt;&gt;"",INDEX(DataOB[],FirstRow+ROW()-7,MATCH(AE$6,DataOB[#Headers],0)),"")</f>
        <v/>
      </c>
      <c r="AF611" s="26">
        <f t="shared" si="95"/>
        <v>0</v>
      </c>
      <c r="AG611" s="31">
        <f>SUM($T611:T611)</f>
        <v>0</v>
      </c>
      <c r="AH611" s="31">
        <f>SUM($T611:U611)</f>
        <v>0</v>
      </c>
      <c r="AI611" s="31">
        <f>SUM($T611:V611)</f>
        <v>0</v>
      </c>
      <c r="AJ611" s="31">
        <f>SUM($T611:W611)</f>
        <v>0</v>
      </c>
      <c r="AK611" s="31">
        <f>SUM($T611:X611)</f>
        <v>0</v>
      </c>
      <c r="AL611" s="31">
        <f>SUM($T611:Y611)</f>
        <v>0</v>
      </c>
      <c r="AM611" s="31">
        <f>SUM($T611:Z611)</f>
        <v>0</v>
      </c>
      <c r="AN611" s="31">
        <f>SUM($T611:AA611)</f>
        <v>0</v>
      </c>
      <c r="AO611" s="31">
        <f>SUM($T611:AB611)</f>
        <v>0</v>
      </c>
      <c r="AP611" s="31">
        <f>SUM($T611:AC611)</f>
        <v>0</v>
      </c>
      <c r="AQ611" s="31">
        <f>SUM($T611:AD611)</f>
        <v>0</v>
      </c>
      <c r="AR611" s="31">
        <f>SUM($T611:AE611)</f>
        <v>0</v>
      </c>
      <c r="AS611" s="27">
        <f t="shared" si="96"/>
        <v>0</v>
      </c>
    </row>
    <row r="612" spans="2:45">
      <c r="B612" s="102" t="str">
        <f>IF(ROW()-6&gt;NumCostCenter,"",IF(CostCenter&lt;&gt;"ALL",CostCenter,DATA_LF2!B610))</f>
        <v/>
      </c>
      <c r="C612" s="153" t="str">
        <f>IF($B612&lt;&gt;"",INDEX(DataOB[],FirstRow+ROW()-7,2),"")</f>
        <v/>
      </c>
      <c r="D612" s="66" t="str">
        <f>IF($B612&lt;&gt;"",INDEX(DataOB[],FirstRow+ROW()-7,3),"")</f>
        <v/>
      </c>
      <c r="E612" s="103" t="str">
        <f>IF($B612&lt;&gt;"",INDEX(DataOB[],FirstRow+ROW()-7,6),"")</f>
        <v/>
      </c>
      <c r="F612" s="103" t="str">
        <f>IF($B612&lt;&gt;"",INDEX(DataOB[],FirstRow+ROW()-7,5),"")</f>
        <v/>
      </c>
      <c r="G612" s="58">
        <f>IF($B612&lt;&gt;"",SUMIFS(DataAct_tbl[AMOUNT],DataAct_tbl[BG CODE],Detail!$D612,DataAct_tbl[MONTH],LEFT(MonthName,3),DataAct_tbl[Dept code],$B612),0)</f>
        <v>0</v>
      </c>
      <c r="H612" s="31" t="str">
        <f t="shared" si="88"/>
        <v/>
      </c>
      <c r="I612" s="28" t="str">
        <f t="shared" si="89"/>
        <v/>
      </c>
      <c r="J612" s="32" t="str">
        <f t="shared" si="90"/>
        <v/>
      </c>
      <c r="K612" s="86"/>
      <c r="L612" s="62">
        <f>IF($B612&lt;&gt;"",SUMIFS(DataAct_tbl[AMOUNT],DataAct_tbl[BG CODE],Detail!$D612,DataAct_tbl[Check Range],"=true",DataAct_tbl[Dept code],$B612),0)</f>
        <v>0</v>
      </c>
      <c r="M612" s="63">
        <f>INDEX($AG$7:$AR$1005,ROW()-6,MATCH(MTD,$AG$6:$AR$6,0))</f>
        <v>0</v>
      </c>
      <c r="N612" s="34">
        <f t="shared" si="91"/>
        <v>0</v>
      </c>
      <c r="O612" s="64" t="str">
        <f t="shared" si="92"/>
        <v xml:space="preserve"> </v>
      </c>
      <c r="Q612" s="97">
        <f t="shared" si="93"/>
        <v>0</v>
      </c>
      <c r="R612" s="96">
        <f t="shared" si="94"/>
        <v>0</v>
      </c>
      <c r="T612" s="67" t="str">
        <f>IF($B612&lt;&gt;"",INDEX(DataOB[],FirstRow+ROW()-7,MATCH(T$6,DataOB[#Headers],0)),"")</f>
        <v/>
      </c>
      <c r="U612" s="67" t="str">
        <f>IF($B612&lt;&gt;"",INDEX(DataOB[],FirstRow+ROW()-7,MATCH(U$6,DataOB[#Headers],0)),"")</f>
        <v/>
      </c>
      <c r="V612" s="67" t="str">
        <f>IF($B612&lt;&gt;"",INDEX(DataOB[],FirstRow+ROW()-7,MATCH(V$6,DataOB[#Headers],0)),"")</f>
        <v/>
      </c>
      <c r="W612" s="67" t="str">
        <f>IF($B612&lt;&gt;"",INDEX(DataOB[],FirstRow+ROW()-7,MATCH(W$6,DataOB[#Headers],0)),"")</f>
        <v/>
      </c>
      <c r="X612" s="67" t="str">
        <f>IF($B612&lt;&gt;"",INDEX(DataOB[],FirstRow+ROW()-7,MATCH(X$6,DataOB[#Headers],0)),"")</f>
        <v/>
      </c>
      <c r="Y612" s="67" t="str">
        <f>IF($B612&lt;&gt;"",INDEX(DataOB[],FirstRow+ROW()-7,MATCH(Y$6,DataOB[#Headers],0)),"")</f>
        <v/>
      </c>
      <c r="Z612" s="67" t="str">
        <f>IF($B612&lt;&gt;"",INDEX(DataOB[],FirstRow+ROW()-7,MATCH(Z$6,DataOB[#Headers],0)),"")</f>
        <v/>
      </c>
      <c r="AA612" s="67" t="str">
        <f>IF($B612&lt;&gt;"",INDEX(DataOB[],FirstRow+ROW()-7,MATCH(AA$6,DataOB[#Headers],0)),"")</f>
        <v/>
      </c>
      <c r="AB612" s="67" t="str">
        <f>IF($B612&lt;&gt;"",INDEX(DataOB[],FirstRow+ROW()-7,MATCH(AB$6,DataOB[#Headers],0)),"")</f>
        <v/>
      </c>
      <c r="AC612" s="67" t="str">
        <f>IF($B612&lt;&gt;"",INDEX(DataOB[],FirstRow+ROW()-7,MATCH(AC$6,DataOB[#Headers],0)),"")</f>
        <v/>
      </c>
      <c r="AD612" s="67" t="str">
        <f>IF($B612&lt;&gt;"",INDEX(DataOB[],FirstRow+ROW()-7,MATCH(AD$6,DataOB[#Headers],0)),"")</f>
        <v/>
      </c>
      <c r="AE612" s="67" t="str">
        <f>IF($B612&lt;&gt;"",INDEX(DataOB[],FirstRow+ROW()-7,MATCH(AE$6,DataOB[#Headers],0)),"")</f>
        <v/>
      </c>
      <c r="AF612" s="26">
        <f t="shared" si="95"/>
        <v>0</v>
      </c>
      <c r="AG612" s="31">
        <f>SUM($T612:T612)</f>
        <v>0</v>
      </c>
      <c r="AH612" s="31">
        <f>SUM($T612:U612)</f>
        <v>0</v>
      </c>
      <c r="AI612" s="31">
        <f>SUM($T612:V612)</f>
        <v>0</v>
      </c>
      <c r="AJ612" s="31">
        <f>SUM($T612:W612)</f>
        <v>0</v>
      </c>
      <c r="AK612" s="31">
        <f>SUM($T612:X612)</f>
        <v>0</v>
      </c>
      <c r="AL612" s="31">
        <f>SUM($T612:Y612)</f>
        <v>0</v>
      </c>
      <c r="AM612" s="31">
        <f>SUM($T612:Z612)</f>
        <v>0</v>
      </c>
      <c r="AN612" s="31">
        <f>SUM($T612:AA612)</f>
        <v>0</v>
      </c>
      <c r="AO612" s="31">
        <f>SUM($T612:AB612)</f>
        <v>0</v>
      </c>
      <c r="AP612" s="31">
        <f>SUM($T612:AC612)</f>
        <v>0</v>
      </c>
      <c r="AQ612" s="31">
        <f>SUM($T612:AD612)</f>
        <v>0</v>
      </c>
      <c r="AR612" s="31">
        <f>SUM($T612:AE612)</f>
        <v>0</v>
      </c>
      <c r="AS612" s="27">
        <f t="shared" si="96"/>
        <v>0</v>
      </c>
    </row>
    <row r="613" spans="2:45">
      <c r="B613" s="102" t="str">
        <f>IF(ROW()-6&gt;NumCostCenter,"",IF(CostCenter&lt;&gt;"ALL",CostCenter,DATA_LF2!B611))</f>
        <v/>
      </c>
      <c r="C613" s="153" t="str">
        <f>IF($B613&lt;&gt;"",INDEX(DataOB[],FirstRow+ROW()-7,2),"")</f>
        <v/>
      </c>
      <c r="D613" s="66" t="str">
        <f>IF($B613&lt;&gt;"",INDEX(DataOB[],FirstRow+ROW()-7,3),"")</f>
        <v/>
      </c>
      <c r="E613" s="103" t="str">
        <f>IF($B613&lt;&gt;"",INDEX(DataOB[],FirstRow+ROW()-7,6),"")</f>
        <v/>
      </c>
      <c r="F613" s="103" t="str">
        <f>IF($B613&lt;&gt;"",INDEX(DataOB[],FirstRow+ROW()-7,5),"")</f>
        <v/>
      </c>
      <c r="G613" s="58">
        <f>IF($B613&lt;&gt;"",SUMIFS(DataAct_tbl[AMOUNT],DataAct_tbl[BG CODE],Detail!$D613,DataAct_tbl[MONTH],LEFT(MonthName,3),DataAct_tbl[Dept code],$B613),0)</f>
        <v>0</v>
      </c>
      <c r="H613" s="31" t="str">
        <f t="shared" si="88"/>
        <v/>
      </c>
      <c r="I613" s="28" t="str">
        <f t="shared" si="89"/>
        <v/>
      </c>
      <c r="J613" s="32" t="str">
        <f t="shared" si="90"/>
        <v/>
      </c>
      <c r="K613" s="86"/>
      <c r="L613" s="62">
        <f>IF($B613&lt;&gt;"",SUMIFS(DataAct_tbl[AMOUNT],DataAct_tbl[BG CODE],Detail!$D613,DataAct_tbl[Check Range],"=true",DataAct_tbl[Dept code],$B613),0)</f>
        <v>0</v>
      </c>
      <c r="M613" s="63">
        <f>INDEX($AG$7:$AR$1005,ROW()-6,MATCH(MTD,$AG$6:$AR$6,0))</f>
        <v>0</v>
      </c>
      <c r="N613" s="34">
        <f t="shared" si="91"/>
        <v>0</v>
      </c>
      <c r="O613" s="64" t="str">
        <f t="shared" si="92"/>
        <v xml:space="preserve"> </v>
      </c>
      <c r="Q613" s="97">
        <f t="shared" si="93"/>
        <v>0</v>
      </c>
      <c r="R613" s="96">
        <f t="shared" si="94"/>
        <v>0</v>
      </c>
      <c r="T613" s="67" t="str">
        <f>IF($B613&lt;&gt;"",INDEX(DataOB[],FirstRow+ROW()-7,MATCH(T$6,DataOB[#Headers],0)),"")</f>
        <v/>
      </c>
      <c r="U613" s="67" t="str">
        <f>IF($B613&lt;&gt;"",INDEX(DataOB[],FirstRow+ROW()-7,MATCH(U$6,DataOB[#Headers],0)),"")</f>
        <v/>
      </c>
      <c r="V613" s="67" t="str">
        <f>IF($B613&lt;&gt;"",INDEX(DataOB[],FirstRow+ROW()-7,MATCH(V$6,DataOB[#Headers],0)),"")</f>
        <v/>
      </c>
      <c r="W613" s="67" t="str">
        <f>IF($B613&lt;&gt;"",INDEX(DataOB[],FirstRow+ROW()-7,MATCH(W$6,DataOB[#Headers],0)),"")</f>
        <v/>
      </c>
      <c r="X613" s="67" t="str">
        <f>IF($B613&lt;&gt;"",INDEX(DataOB[],FirstRow+ROW()-7,MATCH(X$6,DataOB[#Headers],0)),"")</f>
        <v/>
      </c>
      <c r="Y613" s="67" t="str">
        <f>IF($B613&lt;&gt;"",INDEX(DataOB[],FirstRow+ROW()-7,MATCH(Y$6,DataOB[#Headers],0)),"")</f>
        <v/>
      </c>
      <c r="Z613" s="67" t="str">
        <f>IF($B613&lt;&gt;"",INDEX(DataOB[],FirstRow+ROW()-7,MATCH(Z$6,DataOB[#Headers],0)),"")</f>
        <v/>
      </c>
      <c r="AA613" s="67" t="str">
        <f>IF($B613&lt;&gt;"",INDEX(DataOB[],FirstRow+ROW()-7,MATCH(AA$6,DataOB[#Headers],0)),"")</f>
        <v/>
      </c>
      <c r="AB613" s="67" t="str">
        <f>IF($B613&lt;&gt;"",INDEX(DataOB[],FirstRow+ROW()-7,MATCH(AB$6,DataOB[#Headers],0)),"")</f>
        <v/>
      </c>
      <c r="AC613" s="67" t="str">
        <f>IF($B613&lt;&gt;"",INDEX(DataOB[],FirstRow+ROW()-7,MATCH(AC$6,DataOB[#Headers],0)),"")</f>
        <v/>
      </c>
      <c r="AD613" s="67" t="str">
        <f>IF($B613&lt;&gt;"",INDEX(DataOB[],FirstRow+ROW()-7,MATCH(AD$6,DataOB[#Headers],0)),"")</f>
        <v/>
      </c>
      <c r="AE613" s="67" t="str">
        <f>IF($B613&lt;&gt;"",INDEX(DataOB[],FirstRow+ROW()-7,MATCH(AE$6,DataOB[#Headers],0)),"")</f>
        <v/>
      </c>
      <c r="AF613" s="26">
        <f t="shared" si="95"/>
        <v>0</v>
      </c>
      <c r="AG613" s="31">
        <f>SUM($T613:T613)</f>
        <v>0</v>
      </c>
      <c r="AH613" s="31">
        <f>SUM($T613:U613)</f>
        <v>0</v>
      </c>
      <c r="AI613" s="31">
        <f>SUM($T613:V613)</f>
        <v>0</v>
      </c>
      <c r="AJ613" s="31">
        <f>SUM($T613:W613)</f>
        <v>0</v>
      </c>
      <c r="AK613" s="31">
        <f>SUM($T613:X613)</f>
        <v>0</v>
      </c>
      <c r="AL613" s="31">
        <f>SUM($T613:Y613)</f>
        <v>0</v>
      </c>
      <c r="AM613" s="31">
        <f>SUM($T613:Z613)</f>
        <v>0</v>
      </c>
      <c r="AN613" s="31">
        <f>SUM($T613:AA613)</f>
        <v>0</v>
      </c>
      <c r="AO613" s="31">
        <f>SUM($T613:AB613)</f>
        <v>0</v>
      </c>
      <c r="AP613" s="31">
        <f>SUM($T613:AC613)</f>
        <v>0</v>
      </c>
      <c r="AQ613" s="31">
        <f>SUM($T613:AD613)</f>
        <v>0</v>
      </c>
      <c r="AR613" s="31">
        <f>SUM($T613:AE613)</f>
        <v>0</v>
      </c>
      <c r="AS613" s="27">
        <f t="shared" si="96"/>
        <v>0</v>
      </c>
    </row>
    <row r="614" spans="2:45">
      <c r="B614" s="102" t="str">
        <f>IF(ROW()-6&gt;NumCostCenter,"",IF(CostCenter&lt;&gt;"ALL",CostCenter,DATA_LF2!B612))</f>
        <v/>
      </c>
      <c r="C614" s="153" t="str">
        <f>IF($B614&lt;&gt;"",INDEX(DataOB[],FirstRow+ROW()-7,2),"")</f>
        <v/>
      </c>
      <c r="D614" s="66" t="str">
        <f>IF($B614&lt;&gt;"",INDEX(DataOB[],FirstRow+ROW()-7,3),"")</f>
        <v/>
      </c>
      <c r="E614" s="103" t="str">
        <f>IF($B614&lt;&gt;"",INDEX(DataOB[],FirstRow+ROW()-7,6),"")</f>
        <v/>
      </c>
      <c r="F614" s="103" t="str">
        <f>IF($B614&lt;&gt;"",INDEX(DataOB[],FirstRow+ROW()-7,5),"")</f>
        <v/>
      </c>
      <c r="G614" s="58">
        <f>IF($B614&lt;&gt;"",SUMIFS(DataAct_tbl[AMOUNT],DataAct_tbl[BG CODE],Detail!$D614,DataAct_tbl[MONTH],LEFT(MonthName,3),DataAct_tbl[Dept code],$B614),0)</f>
        <v>0</v>
      </c>
      <c r="H614" s="31" t="str">
        <f t="shared" si="88"/>
        <v/>
      </c>
      <c r="I614" s="28" t="str">
        <f t="shared" si="89"/>
        <v/>
      </c>
      <c r="J614" s="32" t="str">
        <f t="shared" si="90"/>
        <v/>
      </c>
      <c r="K614" s="86"/>
      <c r="L614" s="62">
        <f>IF($B614&lt;&gt;"",SUMIFS(DataAct_tbl[AMOUNT],DataAct_tbl[BG CODE],Detail!$D614,DataAct_tbl[Check Range],"=true",DataAct_tbl[Dept code],$B614),0)</f>
        <v>0</v>
      </c>
      <c r="M614" s="63">
        <f>INDEX($AG$7:$AR$1005,ROW()-6,MATCH(MTD,$AG$6:$AR$6,0))</f>
        <v>0</v>
      </c>
      <c r="N614" s="34">
        <f t="shared" si="91"/>
        <v>0</v>
      </c>
      <c r="O614" s="64" t="str">
        <f t="shared" si="92"/>
        <v xml:space="preserve"> </v>
      </c>
      <c r="Q614" s="97">
        <f t="shared" si="93"/>
        <v>0</v>
      </c>
      <c r="R614" s="96">
        <f t="shared" si="94"/>
        <v>0</v>
      </c>
      <c r="T614" s="67" t="str">
        <f>IF($B614&lt;&gt;"",INDEX(DataOB[],FirstRow+ROW()-7,MATCH(T$6,DataOB[#Headers],0)),"")</f>
        <v/>
      </c>
      <c r="U614" s="67" t="str">
        <f>IF($B614&lt;&gt;"",INDEX(DataOB[],FirstRow+ROW()-7,MATCH(U$6,DataOB[#Headers],0)),"")</f>
        <v/>
      </c>
      <c r="V614" s="67" t="str">
        <f>IF($B614&lt;&gt;"",INDEX(DataOB[],FirstRow+ROW()-7,MATCH(V$6,DataOB[#Headers],0)),"")</f>
        <v/>
      </c>
      <c r="W614" s="67" t="str">
        <f>IF($B614&lt;&gt;"",INDEX(DataOB[],FirstRow+ROW()-7,MATCH(W$6,DataOB[#Headers],0)),"")</f>
        <v/>
      </c>
      <c r="X614" s="67" t="str">
        <f>IF($B614&lt;&gt;"",INDEX(DataOB[],FirstRow+ROW()-7,MATCH(X$6,DataOB[#Headers],0)),"")</f>
        <v/>
      </c>
      <c r="Y614" s="67" t="str">
        <f>IF($B614&lt;&gt;"",INDEX(DataOB[],FirstRow+ROW()-7,MATCH(Y$6,DataOB[#Headers],0)),"")</f>
        <v/>
      </c>
      <c r="Z614" s="67" t="str">
        <f>IF($B614&lt;&gt;"",INDEX(DataOB[],FirstRow+ROW()-7,MATCH(Z$6,DataOB[#Headers],0)),"")</f>
        <v/>
      </c>
      <c r="AA614" s="67" t="str">
        <f>IF($B614&lt;&gt;"",INDEX(DataOB[],FirstRow+ROW()-7,MATCH(AA$6,DataOB[#Headers],0)),"")</f>
        <v/>
      </c>
      <c r="AB614" s="67" t="str">
        <f>IF($B614&lt;&gt;"",INDEX(DataOB[],FirstRow+ROW()-7,MATCH(AB$6,DataOB[#Headers],0)),"")</f>
        <v/>
      </c>
      <c r="AC614" s="67" t="str">
        <f>IF($B614&lt;&gt;"",INDEX(DataOB[],FirstRow+ROW()-7,MATCH(AC$6,DataOB[#Headers],0)),"")</f>
        <v/>
      </c>
      <c r="AD614" s="67" t="str">
        <f>IF($B614&lt;&gt;"",INDEX(DataOB[],FirstRow+ROW()-7,MATCH(AD$6,DataOB[#Headers],0)),"")</f>
        <v/>
      </c>
      <c r="AE614" s="67" t="str">
        <f>IF($B614&lt;&gt;"",INDEX(DataOB[],FirstRow+ROW()-7,MATCH(AE$6,DataOB[#Headers],0)),"")</f>
        <v/>
      </c>
      <c r="AF614" s="26">
        <f t="shared" si="95"/>
        <v>0</v>
      </c>
      <c r="AG614" s="31">
        <f>SUM($T614:T614)</f>
        <v>0</v>
      </c>
      <c r="AH614" s="31">
        <f>SUM($T614:U614)</f>
        <v>0</v>
      </c>
      <c r="AI614" s="31">
        <f>SUM($T614:V614)</f>
        <v>0</v>
      </c>
      <c r="AJ614" s="31">
        <f>SUM($T614:W614)</f>
        <v>0</v>
      </c>
      <c r="AK614" s="31">
        <f>SUM($T614:X614)</f>
        <v>0</v>
      </c>
      <c r="AL614" s="31">
        <f>SUM($T614:Y614)</f>
        <v>0</v>
      </c>
      <c r="AM614" s="31">
        <f>SUM($T614:Z614)</f>
        <v>0</v>
      </c>
      <c r="AN614" s="31">
        <f>SUM($T614:AA614)</f>
        <v>0</v>
      </c>
      <c r="AO614" s="31">
        <f>SUM($T614:AB614)</f>
        <v>0</v>
      </c>
      <c r="AP614" s="31">
        <f>SUM($T614:AC614)</f>
        <v>0</v>
      </c>
      <c r="AQ614" s="31">
        <f>SUM($T614:AD614)</f>
        <v>0</v>
      </c>
      <c r="AR614" s="31">
        <f>SUM($T614:AE614)</f>
        <v>0</v>
      </c>
      <c r="AS614" s="27">
        <f t="shared" si="96"/>
        <v>0</v>
      </c>
    </row>
    <row r="615" spans="2:45">
      <c r="B615" s="102" t="str">
        <f>IF(ROW()-6&gt;NumCostCenter,"",IF(CostCenter&lt;&gt;"ALL",CostCenter,DATA_LF2!B613))</f>
        <v/>
      </c>
      <c r="C615" s="153" t="str">
        <f>IF($B615&lt;&gt;"",INDEX(DataOB[],FirstRow+ROW()-7,2),"")</f>
        <v/>
      </c>
      <c r="D615" s="66" t="str">
        <f>IF($B615&lt;&gt;"",INDEX(DataOB[],FirstRow+ROW()-7,3),"")</f>
        <v/>
      </c>
      <c r="E615" s="103" t="str">
        <f>IF($B615&lt;&gt;"",INDEX(DataOB[],FirstRow+ROW()-7,6),"")</f>
        <v/>
      </c>
      <c r="F615" s="103" t="str">
        <f>IF($B615&lt;&gt;"",INDEX(DataOB[],FirstRow+ROW()-7,5),"")</f>
        <v/>
      </c>
      <c r="G615" s="58">
        <f>IF($B615&lt;&gt;"",SUMIFS(DataAct_tbl[AMOUNT],DataAct_tbl[BG CODE],Detail!$D615,DataAct_tbl[MONTH],LEFT(MonthName,3),DataAct_tbl[Dept code],$B615),0)</f>
        <v>0</v>
      </c>
      <c r="H615" s="31" t="str">
        <f t="shared" si="88"/>
        <v/>
      </c>
      <c r="I615" s="28" t="str">
        <f t="shared" si="89"/>
        <v/>
      </c>
      <c r="J615" s="32" t="str">
        <f t="shared" si="90"/>
        <v/>
      </c>
      <c r="K615" s="86"/>
      <c r="L615" s="62">
        <f>IF($B615&lt;&gt;"",SUMIFS(DataAct_tbl[AMOUNT],DataAct_tbl[BG CODE],Detail!$D615,DataAct_tbl[Check Range],"=true",DataAct_tbl[Dept code],$B615),0)</f>
        <v>0</v>
      </c>
      <c r="M615" s="63">
        <f>INDEX($AG$7:$AR$1005,ROW()-6,MATCH(MTD,$AG$6:$AR$6,0))</f>
        <v>0</v>
      </c>
      <c r="N615" s="34">
        <f t="shared" si="91"/>
        <v>0</v>
      </c>
      <c r="O615" s="64" t="str">
        <f t="shared" si="92"/>
        <v xml:space="preserve"> </v>
      </c>
      <c r="Q615" s="97">
        <f t="shared" si="93"/>
        <v>0</v>
      </c>
      <c r="R615" s="96">
        <f t="shared" si="94"/>
        <v>0</v>
      </c>
      <c r="T615" s="67" t="str">
        <f>IF($B615&lt;&gt;"",INDEX(DataOB[],FirstRow+ROW()-7,MATCH(T$6,DataOB[#Headers],0)),"")</f>
        <v/>
      </c>
      <c r="U615" s="67" t="str">
        <f>IF($B615&lt;&gt;"",INDEX(DataOB[],FirstRow+ROW()-7,MATCH(U$6,DataOB[#Headers],0)),"")</f>
        <v/>
      </c>
      <c r="V615" s="67" t="str">
        <f>IF($B615&lt;&gt;"",INDEX(DataOB[],FirstRow+ROW()-7,MATCH(V$6,DataOB[#Headers],0)),"")</f>
        <v/>
      </c>
      <c r="W615" s="67" t="str">
        <f>IF($B615&lt;&gt;"",INDEX(DataOB[],FirstRow+ROW()-7,MATCH(W$6,DataOB[#Headers],0)),"")</f>
        <v/>
      </c>
      <c r="X615" s="67" t="str">
        <f>IF($B615&lt;&gt;"",INDEX(DataOB[],FirstRow+ROW()-7,MATCH(X$6,DataOB[#Headers],0)),"")</f>
        <v/>
      </c>
      <c r="Y615" s="67" t="str">
        <f>IF($B615&lt;&gt;"",INDEX(DataOB[],FirstRow+ROW()-7,MATCH(Y$6,DataOB[#Headers],0)),"")</f>
        <v/>
      </c>
      <c r="Z615" s="67" t="str">
        <f>IF($B615&lt;&gt;"",INDEX(DataOB[],FirstRow+ROW()-7,MATCH(Z$6,DataOB[#Headers],0)),"")</f>
        <v/>
      </c>
      <c r="AA615" s="67" t="str">
        <f>IF($B615&lt;&gt;"",INDEX(DataOB[],FirstRow+ROW()-7,MATCH(AA$6,DataOB[#Headers],0)),"")</f>
        <v/>
      </c>
      <c r="AB615" s="67" t="str">
        <f>IF($B615&lt;&gt;"",INDEX(DataOB[],FirstRow+ROW()-7,MATCH(AB$6,DataOB[#Headers],0)),"")</f>
        <v/>
      </c>
      <c r="AC615" s="67" t="str">
        <f>IF($B615&lt;&gt;"",INDEX(DataOB[],FirstRow+ROW()-7,MATCH(AC$6,DataOB[#Headers],0)),"")</f>
        <v/>
      </c>
      <c r="AD615" s="67" t="str">
        <f>IF($B615&lt;&gt;"",INDEX(DataOB[],FirstRow+ROW()-7,MATCH(AD$6,DataOB[#Headers],0)),"")</f>
        <v/>
      </c>
      <c r="AE615" s="67" t="str">
        <f>IF($B615&lt;&gt;"",INDEX(DataOB[],FirstRow+ROW()-7,MATCH(AE$6,DataOB[#Headers],0)),"")</f>
        <v/>
      </c>
      <c r="AF615" s="26">
        <f t="shared" si="95"/>
        <v>0</v>
      </c>
      <c r="AG615" s="31">
        <f>SUM($T615:T615)</f>
        <v>0</v>
      </c>
      <c r="AH615" s="31">
        <f>SUM($T615:U615)</f>
        <v>0</v>
      </c>
      <c r="AI615" s="31">
        <f>SUM($T615:V615)</f>
        <v>0</v>
      </c>
      <c r="AJ615" s="31">
        <f>SUM($T615:W615)</f>
        <v>0</v>
      </c>
      <c r="AK615" s="31">
        <f>SUM($T615:X615)</f>
        <v>0</v>
      </c>
      <c r="AL615" s="31">
        <f>SUM($T615:Y615)</f>
        <v>0</v>
      </c>
      <c r="AM615" s="31">
        <f>SUM($T615:Z615)</f>
        <v>0</v>
      </c>
      <c r="AN615" s="31">
        <f>SUM($T615:AA615)</f>
        <v>0</v>
      </c>
      <c r="AO615" s="31">
        <f>SUM($T615:AB615)</f>
        <v>0</v>
      </c>
      <c r="AP615" s="31">
        <f>SUM($T615:AC615)</f>
        <v>0</v>
      </c>
      <c r="AQ615" s="31">
        <f>SUM($T615:AD615)</f>
        <v>0</v>
      </c>
      <c r="AR615" s="31">
        <f>SUM($T615:AE615)</f>
        <v>0</v>
      </c>
      <c r="AS615" s="27">
        <f t="shared" si="96"/>
        <v>0</v>
      </c>
    </row>
    <row r="616" spans="2:45">
      <c r="B616" s="102" t="str">
        <f>IF(ROW()-6&gt;NumCostCenter,"",IF(CostCenter&lt;&gt;"ALL",CostCenter,DATA_LF2!B614))</f>
        <v/>
      </c>
      <c r="C616" s="153" t="str">
        <f>IF($B616&lt;&gt;"",INDEX(DataOB[],FirstRow+ROW()-7,2),"")</f>
        <v/>
      </c>
      <c r="D616" s="66" t="str">
        <f>IF($B616&lt;&gt;"",INDEX(DataOB[],FirstRow+ROW()-7,3),"")</f>
        <v/>
      </c>
      <c r="E616" s="103" t="str">
        <f>IF($B616&lt;&gt;"",INDEX(DataOB[],FirstRow+ROW()-7,6),"")</f>
        <v/>
      </c>
      <c r="F616" s="103" t="str">
        <f>IF($B616&lt;&gt;"",INDEX(DataOB[],FirstRow+ROW()-7,5),"")</f>
        <v/>
      </c>
      <c r="G616" s="58">
        <f>IF($B616&lt;&gt;"",SUMIFS(DataAct_tbl[AMOUNT],DataAct_tbl[BG CODE],Detail!$D616,DataAct_tbl[MONTH],LEFT(MonthName,3),DataAct_tbl[Dept code],$B616),0)</f>
        <v>0</v>
      </c>
      <c r="H616" s="31" t="str">
        <f t="shared" si="88"/>
        <v/>
      </c>
      <c r="I616" s="28" t="str">
        <f t="shared" si="89"/>
        <v/>
      </c>
      <c r="J616" s="32" t="str">
        <f t="shared" si="90"/>
        <v/>
      </c>
      <c r="K616" s="86"/>
      <c r="L616" s="62">
        <f>IF($B616&lt;&gt;"",SUMIFS(DataAct_tbl[AMOUNT],DataAct_tbl[BG CODE],Detail!$D616,DataAct_tbl[Check Range],"=true",DataAct_tbl[Dept code],$B616),0)</f>
        <v>0</v>
      </c>
      <c r="M616" s="63">
        <f>INDEX($AG$7:$AR$1005,ROW()-6,MATCH(MTD,$AG$6:$AR$6,0))</f>
        <v>0</v>
      </c>
      <c r="N616" s="34">
        <f t="shared" si="91"/>
        <v>0</v>
      </c>
      <c r="O616" s="64" t="str">
        <f t="shared" si="92"/>
        <v xml:space="preserve"> </v>
      </c>
      <c r="Q616" s="97">
        <f t="shared" si="93"/>
        <v>0</v>
      </c>
      <c r="R616" s="96">
        <f t="shared" si="94"/>
        <v>0</v>
      </c>
      <c r="T616" s="67" t="str">
        <f>IF($B616&lt;&gt;"",INDEX(DataOB[],FirstRow+ROW()-7,MATCH(T$6,DataOB[#Headers],0)),"")</f>
        <v/>
      </c>
      <c r="U616" s="67" t="str">
        <f>IF($B616&lt;&gt;"",INDEX(DataOB[],FirstRow+ROW()-7,MATCH(U$6,DataOB[#Headers],0)),"")</f>
        <v/>
      </c>
      <c r="V616" s="67" t="str">
        <f>IF($B616&lt;&gt;"",INDEX(DataOB[],FirstRow+ROW()-7,MATCH(V$6,DataOB[#Headers],0)),"")</f>
        <v/>
      </c>
      <c r="W616" s="67" t="str">
        <f>IF($B616&lt;&gt;"",INDEX(DataOB[],FirstRow+ROW()-7,MATCH(W$6,DataOB[#Headers],0)),"")</f>
        <v/>
      </c>
      <c r="X616" s="67" t="str">
        <f>IF($B616&lt;&gt;"",INDEX(DataOB[],FirstRow+ROW()-7,MATCH(X$6,DataOB[#Headers],0)),"")</f>
        <v/>
      </c>
      <c r="Y616" s="67" t="str">
        <f>IF($B616&lt;&gt;"",INDEX(DataOB[],FirstRow+ROW()-7,MATCH(Y$6,DataOB[#Headers],0)),"")</f>
        <v/>
      </c>
      <c r="Z616" s="67" t="str">
        <f>IF($B616&lt;&gt;"",INDEX(DataOB[],FirstRow+ROW()-7,MATCH(Z$6,DataOB[#Headers],0)),"")</f>
        <v/>
      </c>
      <c r="AA616" s="67" t="str">
        <f>IF($B616&lt;&gt;"",INDEX(DataOB[],FirstRow+ROW()-7,MATCH(AA$6,DataOB[#Headers],0)),"")</f>
        <v/>
      </c>
      <c r="AB616" s="67" t="str">
        <f>IF($B616&lt;&gt;"",INDEX(DataOB[],FirstRow+ROW()-7,MATCH(AB$6,DataOB[#Headers],0)),"")</f>
        <v/>
      </c>
      <c r="AC616" s="67" t="str">
        <f>IF($B616&lt;&gt;"",INDEX(DataOB[],FirstRow+ROW()-7,MATCH(AC$6,DataOB[#Headers],0)),"")</f>
        <v/>
      </c>
      <c r="AD616" s="67" t="str">
        <f>IF($B616&lt;&gt;"",INDEX(DataOB[],FirstRow+ROW()-7,MATCH(AD$6,DataOB[#Headers],0)),"")</f>
        <v/>
      </c>
      <c r="AE616" s="67" t="str">
        <f>IF($B616&lt;&gt;"",INDEX(DataOB[],FirstRow+ROW()-7,MATCH(AE$6,DataOB[#Headers],0)),"")</f>
        <v/>
      </c>
      <c r="AF616" s="26">
        <f t="shared" si="95"/>
        <v>0</v>
      </c>
      <c r="AG616" s="31">
        <f>SUM($T616:T616)</f>
        <v>0</v>
      </c>
      <c r="AH616" s="31">
        <f>SUM($T616:U616)</f>
        <v>0</v>
      </c>
      <c r="AI616" s="31">
        <f>SUM($T616:V616)</f>
        <v>0</v>
      </c>
      <c r="AJ616" s="31">
        <f>SUM($T616:W616)</f>
        <v>0</v>
      </c>
      <c r="AK616" s="31">
        <f>SUM($T616:X616)</f>
        <v>0</v>
      </c>
      <c r="AL616" s="31">
        <f>SUM($T616:Y616)</f>
        <v>0</v>
      </c>
      <c r="AM616" s="31">
        <f>SUM($T616:Z616)</f>
        <v>0</v>
      </c>
      <c r="AN616" s="31">
        <f>SUM($T616:AA616)</f>
        <v>0</v>
      </c>
      <c r="AO616" s="31">
        <f>SUM($T616:AB616)</f>
        <v>0</v>
      </c>
      <c r="AP616" s="31">
        <f>SUM($T616:AC616)</f>
        <v>0</v>
      </c>
      <c r="AQ616" s="31">
        <f>SUM($T616:AD616)</f>
        <v>0</v>
      </c>
      <c r="AR616" s="31">
        <f>SUM($T616:AE616)</f>
        <v>0</v>
      </c>
      <c r="AS616" s="27">
        <f t="shared" si="96"/>
        <v>0</v>
      </c>
    </row>
    <row r="617" spans="2:45">
      <c r="B617" s="102" t="str">
        <f>IF(ROW()-6&gt;NumCostCenter,"",IF(CostCenter&lt;&gt;"ALL",CostCenter,DATA_LF2!B615))</f>
        <v/>
      </c>
      <c r="C617" s="153" t="str">
        <f>IF($B617&lt;&gt;"",INDEX(DataOB[],FirstRow+ROW()-7,2),"")</f>
        <v/>
      </c>
      <c r="D617" s="66" t="str">
        <f>IF($B617&lt;&gt;"",INDEX(DataOB[],FirstRow+ROW()-7,3),"")</f>
        <v/>
      </c>
      <c r="E617" s="103" t="str">
        <f>IF($B617&lt;&gt;"",INDEX(DataOB[],FirstRow+ROW()-7,6),"")</f>
        <v/>
      </c>
      <c r="F617" s="103" t="str">
        <f>IF($B617&lt;&gt;"",INDEX(DataOB[],FirstRow+ROW()-7,5),"")</f>
        <v/>
      </c>
      <c r="G617" s="58">
        <f>IF($B617&lt;&gt;"",SUMIFS(DataAct_tbl[AMOUNT],DataAct_tbl[BG CODE],Detail!$D617,DataAct_tbl[MONTH],LEFT(MonthName,3),DataAct_tbl[Dept code],$B617),0)</f>
        <v>0</v>
      </c>
      <c r="H617" s="31" t="str">
        <f t="shared" si="88"/>
        <v/>
      </c>
      <c r="I617" s="28" t="str">
        <f t="shared" si="89"/>
        <v/>
      </c>
      <c r="J617" s="32" t="str">
        <f t="shared" si="90"/>
        <v/>
      </c>
      <c r="K617" s="86"/>
      <c r="L617" s="62">
        <f>IF($B617&lt;&gt;"",SUMIFS(DataAct_tbl[AMOUNT],DataAct_tbl[BG CODE],Detail!$D617,DataAct_tbl[Check Range],"=true",DataAct_tbl[Dept code],$B617),0)</f>
        <v>0</v>
      </c>
      <c r="M617" s="63">
        <f>INDEX($AG$7:$AR$1005,ROW()-6,MATCH(MTD,$AG$6:$AR$6,0))</f>
        <v>0</v>
      </c>
      <c r="N617" s="34">
        <f t="shared" si="91"/>
        <v>0</v>
      </c>
      <c r="O617" s="64" t="str">
        <f t="shared" si="92"/>
        <v xml:space="preserve"> </v>
      </c>
      <c r="Q617" s="97">
        <f t="shared" si="93"/>
        <v>0</v>
      </c>
      <c r="R617" s="96">
        <f t="shared" si="94"/>
        <v>0</v>
      </c>
      <c r="T617" s="67" t="str">
        <f>IF($B617&lt;&gt;"",INDEX(DataOB[],FirstRow+ROW()-7,MATCH(T$6,DataOB[#Headers],0)),"")</f>
        <v/>
      </c>
      <c r="U617" s="67" t="str">
        <f>IF($B617&lt;&gt;"",INDEX(DataOB[],FirstRow+ROW()-7,MATCH(U$6,DataOB[#Headers],0)),"")</f>
        <v/>
      </c>
      <c r="V617" s="67" t="str">
        <f>IF($B617&lt;&gt;"",INDEX(DataOB[],FirstRow+ROW()-7,MATCH(V$6,DataOB[#Headers],0)),"")</f>
        <v/>
      </c>
      <c r="W617" s="67" t="str">
        <f>IF($B617&lt;&gt;"",INDEX(DataOB[],FirstRow+ROW()-7,MATCH(W$6,DataOB[#Headers],0)),"")</f>
        <v/>
      </c>
      <c r="X617" s="67" t="str">
        <f>IF($B617&lt;&gt;"",INDEX(DataOB[],FirstRow+ROW()-7,MATCH(X$6,DataOB[#Headers],0)),"")</f>
        <v/>
      </c>
      <c r="Y617" s="67" t="str">
        <f>IF($B617&lt;&gt;"",INDEX(DataOB[],FirstRow+ROW()-7,MATCH(Y$6,DataOB[#Headers],0)),"")</f>
        <v/>
      </c>
      <c r="Z617" s="67" t="str">
        <f>IF($B617&lt;&gt;"",INDEX(DataOB[],FirstRow+ROW()-7,MATCH(Z$6,DataOB[#Headers],0)),"")</f>
        <v/>
      </c>
      <c r="AA617" s="67" t="str">
        <f>IF($B617&lt;&gt;"",INDEX(DataOB[],FirstRow+ROW()-7,MATCH(AA$6,DataOB[#Headers],0)),"")</f>
        <v/>
      </c>
      <c r="AB617" s="67" t="str">
        <f>IF($B617&lt;&gt;"",INDEX(DataOB[],FirstRow+ROW()-7,MATCH(AB$6,DataOB[#Headers],0)),"")</f>
        <v/>
      </c>
      <c r="AC617" s="67" t="str">
        <f>IF($B617&lt;&gt;"",INDEX(DataOB[],FirstRow+ROW()-7,MATCH(AC$6,DataOB[#Headers],0)),"")</f>
        <v/>
      </c>
      <c r="AD617" s="67" t="str">
        <f>IF($B617&lt;&gt;"",INDEX(DataOB[],FirstRow+ROW()-7,MATCH(AD$6,DataOB[#Headers],0)),"")</f>
        <v/>
      </c>
      <c r="AE617" s="67" t="str">
        <f>IF($B617&lt;&gt;"",INDEX(DataOB[],FirstRow+ROW()-7,MATCH(AE$6,DataOB[#Headers],0)),"")</f>
        <v/>
      </c>
      <c r="AF617" s="26">
        <f t="shared" si="95"/>
        <v>0</v>
      </c>
      <c r="AG617" s="31">
        <f>SUM($T617:T617)</f>
        <v>0</v>
      </c>
      <c r="AH617" s="31">
        <f>SUM($T617:U617)</f>
        <v>0</v>
      </c>
      <c r="AI617" s="31">
        <f>SUM($T617:V617)</f>
        <v>0</v>
      </c>
      <c r="AJ617" s="31">
        <f>SUM($T617:W617)</f>
        <v>0</v>
      </c>
      <c r="AK617" s="31">
        <f>SUM($T617:X617)</f>
        <v>0</v>
      </c>
      <c r="AL617" s="31">
        <f>SUM($T617:Y617)</f>
        <v>0</v>
      </c>
      <c r="AM617" s="31">
        <f>SUM($T617:Z617)</f>
        <v>0</v>
      </c>
      <c r="AN617" s="31">
        <f>SUM($T617:AA617)</f>
        <v>0</v>
      </c>
      <c r="AO617" s="31">
        <f>SUM($T617:AB617)</f>
        <v>0</v>
      </c>
      <c r="AP617" s="31">
        <f>SUM($T617:AC617)</f>
        <v>0</v>
      </c>
      <c r="AQ617" s="31">
        <f>SUM($T617:AD617)</f>
        <v>0</v>
      </c>
      <c r="AR617" s="31">
        <f>SUM($T617:AE617)</f>
        <v>0</v>
      </c>
      <c r="AS617" s="27">
        <f t="shared" si="96"/>
        <v>0</v>
      </c>
    </row>
    <row r="618" spans="2:45">
      <c r="B618" s="102" t="str">
        <f>IF(ROW()-6&gt;NumCostCenter,"",IF(CostCenter&lt;&gt;"ALL",CostCenter,DATA_LF2!B616))</f>
        <v/>
      </c>
      <c r="C618" s="153" t="str">
        <f>IF($B618&lt;&gt;"",INDEX(DataOB[],FirstRow+ROW()-7,2),"")</f>
        <v/>
      </c>
      <c r="D618" s="66" t="str">
        <f>IF($B618&lt;&gt;"",INDEX(DataOB[],FirstRow+ROW()-7,3),"")</f>
        <v/>
      </c>
      <c r="E618" s="103" t="str">
        <f>IF($B618&lt;&gt;"",INDEX(DataOB[],FirstRow+ROW()-7,6),"")</f>
        <v/>
      </c>
      <c r="F618" s="103" t="str">
        <f>IF($B618&lt;&gt;"",INDEX(DataOB[],FirstRow+ROW()-7,5),"")</f>
        <v/>
      </c>
      <c r="G618" s="58">
        <f>IF($B618&lt;&gt;"",SUMIFS(DataAct_tbl[AMOUNT],DataAct_tbl[BG CODE],Detail!$D618,DataAct_tbl[MONTH],LEFT(MonthName,3),DataAct_tbl[Dept code],$B618),0)</f>
        <v>0</v>
      </c>
      <c r="H618" s="31" t="str">
        <f t="shared" si="88"/>
        <v/>
      </c>
      <c r="I618" s="28" t="str">
        <f t="shared" si="89"/>
        <v/>
      </c>
      <c r="J618" s="32" t="str">
        <f t="shared" si="90"/>
        <v/>
      </c>
      <c r="K618" s="86"/>
      <c r="L618" s="62">
        <f>IF($B618&lt;&gt;"",SUMIFS(DataAct_tbl[AMOUNT],DataAct_tbl[BG CODE],Detail!$D618,DataAct_tbl[Check Range],"=true",DataAct_tbl[Dept code],$B618),0)</f>
        <v>0</v>
      </c>
      <c r="M618" s="63">
        <f>INDEX($AG$7:$AR$1005,ROW()-6,MATCH(MTD,$AG$6:$AR$6,0))</f>
        <v>0</v>
      </c>
      <c r="N618" s="34">
        <f t="shared" si="91"/>
        <v>0</v>
      </c>
      <c r="O618" s="64" t="str">
        <f t="shared" si="92"/>
        <v xml:space="preserve"> </v>
      </c>
      <c r="Q618" s="97">
        <f t="shared" si="93"/>
        <v>0</v>
      </c>
      <c r="R618" s="96">
        <f t="shared" si="94"/>
        <v>0</v>
      </c>
      <c r="T618" s="67" t="str">
        <f>IF($B618&lt;&gt;"",INDEX(DataOB[],FirstRow+ROW()-7,MATCH(T$6,DataOB[#Headers],0)),"")</f>
        <v/>
      </c>
      <c r="U618" s="67" t="str">
        <f>IF($B618&lt;&gt;"",INDEX(DataOB[],FirstRow+ROW()-7,MATCH(U$6,DataOB[#Headers],0)),"")</f>
        <v/>
      </c>
      <c r="V618" s="67" t="str">
        <f>IF($B618&lt;&gt;"",INDEX(DataOB[],FirstRow+ROW()-7,MATCH(V$6,DataOB[#Headers],0)),"")</f>
        <v/>
      </c>
      <c r="W618" s="67" t="str">
        <f>IF($B618&lt;&gt;"",INDEX(DataOB[],FirstRow+ROW()-7,MATCH(W$6,DataOB[#Headers],0)),"")</f>
        <v/>
      </c>
      <c r="X618" s="67" t="str">
        <f>IF($B618&lt;&gt;"",INDEX(DataOB[],FirstRow+ROW()-7,MATCH(X$6,DataOB[#Headers],0)),"")</f>
        <v/>
      </c>
      <c r="Y618" s="67" t="str">
        <f>IF($B618&lt;&gt;"",INDEX(DataOB[],FirstRow+ROW()-7,MATCH(Y$6,DataOB[#Headers],0)),"")</f>
        <v/>
      </c>
      <c r="Z618" s="67" t="str">
        <f>IF($B618&lt;&gt;"",INDEX(DataOB[],FirstRow+ROW()-7,MATCH(Z$6,DataOB[#Headers],0)),"")</f>
        <v/>
      </c>
      <c r="AA618" s="67" t="str">
        <f>IF($B618&lt;&gt;"",INDEX(DataOB[],FirstRow+ROW()-7,MATCH(AA$6,DataOB[#Headers],0)),"")</f>
        <v/>
      </c>
      <c r="AB618" s="67" t="str">
        <f>IF($B618&lt;&gt;"",INDEX(DataOB[],FirstRow+ROW()-7,MATCH(AB$6,DataOB[#Headers],0)),"")</f>
        <v/>
      </c>
      <c r="AC618" s="67" t="str">
        <f>IF($B618&lt;&gt;"",INDEX(DataOB[],FirstRow+ROW()-7,MATCH(AC$6,DataOB[#Headers],0)),"")</f>
        <v/>
      </c>
      <c r="AD618" s="67" t="str">
        <f>IF($B618&lt;&gt;"",INDEX(DataOB[],FirstRow+ROW()-7,MATCH(AD$6,DataOB[#Headers],0)),"")</f>
        <v/>
      </c>
      <c r="AE618" s="67" t="str">
        <f>IF($B618&lt;&gt;"",INDEX(DataOB[],FirstRow+ROW()-7,MATCH(AE$6,DataOB[#Headers],0)),"")</f>
        <v/>
      </c>
      <c r="AF618" s="26">
        <f t="shared" si="95"/>
        <v>0</v>
      </c>
      <c r="AG618" s="31">
        <f>SUM($T618:T618)</f>
        <v>0</v>
      </c>
      <c r="AH618" s="31">
        <f>SUM($T618:U618)</f>
        <v>0</v>
      </c>
      <c r="AI618" s="31">
        <f>SUM($T618:V618)</f>
        <v>0</v>
      </c>
      <c r="AJ618" s="31">
        <f>SUM($T618:W618)</f>
        <v>0</v>
      </c>
      <c r="AK618" s="31">
        <f>SUM($T618:X618)</f>
        <v>0</v>
      </c>
      <c r="AL618" s="31">
        <f>SUM($T618:Y618)</f>
        <v>0</v>
      </c>
      <c r="AM618" s="31">
        <f>SUM($T618:Z618)</f>
        <v>0</v>
      </c>
      <c r="AN618" s="31">
        <f>SUM($T618:AA618)</f>
        <v>0</v>
      </c>
      <c r="AO618" s="31">
        <f>SUM($T618:AB618)</f>
        <v>0</v>
      </c>
      <c r="AP618" s="31">
        <f>SUM($T618:AC618)</f>
        <v>0</v>
      </c>
      <c r="AQ618" s="31">
        <f>SUM($T618:AD618)</f>
        <v>0</v>
      </c>
      <c r="AR618" s="31">
        <f>SUM($T618:AE618)</f>
        <v>0</v>
      </c>
      <c r="AS618" s="27">
        <f t="shared" si="96"/>
        <v>0</v>
      </c>
    </row>
    <row r="619" spans="2:45">
      <c r="B619" s="102" t="str">
        <f>IF(ROW()-6&gt;NumCostCenter,"",IF(CostCenter&lt;&gt;"ALL",CostCenter,DATA_LF2!B617))</f>
        <v/>
      </c>
      <c r="C619" s="153" t="str">
        <f>IF($B619&lt;&gt;"",INDEX(DataOB[],FirstRow+ROW()-7,2),"")</f>
        <v/>
      </c>
      <c r="D619" s="66" t="str">
        <f>IF($B619&lt;&gt;"",INDEX(DataOB[],FirstRow+ROW()-7,3),"")</f>
        <v/>
      </c>
      <c r="E619" s="103" t="str">
        <f>IF($B619&lt;&gt;"",INDEX(DataOB[],FirstRow+ROW()-7,6),"")</f>
        <v/>
      </c>
      <c r="F619" s="103" t="str">
        <f>IF($B619&lt;&gt;"",INDEX(DataOB[],FirstRow+ROW()-7,5),"")</f>
        <v/>
      </c>
      <c r="G619" s="58">
        <f>IF($B619&lt;&gt;"",SUMIFS(DataAct_tbl[AMOUNT],DataAct_tbl[BG CODE],Detail!$D619,DataAct_tbl[MONTH],LEFT(MonthName,3),DataAct_tbl[Dept code],$B619),0)</f>
        <v>0</v>
      </c>
      <c r="H619" s="31" t="str">
        <f t="shared" si="88"/>
        <v/>
      </c>
      <c r="I619" s="28" t="str">
        <f t="shared" si="89"/>
        <v/>
      </c>
      <c r="J619" s="32" t="str">
        <f t="shared" si="90"/>
        <v/>
      </c>
      <c r="K619" s="86"/>
      <c r="L619" s="62">
        <f>IF($B619&lt;&gt;"",SUMIFS(DataAct_tbl[AMOUNT],DataAct_tbl[BG CODE],Detail!$D619,DataAct_tbl[Check Range],"=true",DataAct_tbl[Dept code],$B619),0)</f>
        <v>0</v>
      </c>
      <c r="M619" s="63">
        <f>INDEX($AG$7:$AR$1005,ROW()-6,MATCH(MTD,$AG$6:$AR$6,0))</f>
        <v>0</v>
      </c>
      <c r="N619" s="34">
        <f t="shared" si="91"/>
        <v>0</v>
      </c>
      <c r="O619" s="64" t="str">
        <f t="shared" si="92"/>
        <v xml:space="preserve"> </v>
      </c>
      <c r="Q619" s="97">
        <f t="shared" si="93"/>
        <v>0</v>
      </c>
      <c r="R619" s="96">
        <f t="shared" si="94"/>
        <v>0</v>
      </c>
      <c r="T619" s="67" t="str">
        <f>IF($B619&lt;&gt;"",INDEX(DataOB[],FirstRow+ROW()-7,MATCH(T$6,DataOB[#Headers],0)),"")</f>
        <v/>
      </c>
      <c r="U619" s="67" t="str">
        <f>IF($B619&lt;&gt;"",INDEX(DataOB[],FirstRow+ROW()-7,MATCH(U$6,DataOB[#Headers],0)),"")</f>
        <v/>
      </c>
      <c r="V619" s="67" t="str">
        <f>IF($B619&lt;&gt;"",INDEX(DataOB[],FirstRow+ROW()-7,MATCH(V$6,DataOB[#Headers],0)),"")</f>
        <v/>
      </c>
      <c r="W619" s="67" t="str">
        <f>IF($B619&lt;&gt;"",INDEX(DataOB[],FirstRow+ROW()-7,MATCH(W$6,DataOB[#Headers],0)),"")</f>
        <v/>
      </c>
      <c r="X619" s="67" t="str">
        <f>IF($B619&lt;&gt;"",INDEX(DataOB[],FirstRow+ROW()-7,MATCH(X$6,DataOB[#Headers],0)),"")</f>
        <v/>
      </c>
      <c r="Y619" s="67" t="str">
        <f>IF($B619&lt;&gt;"",INDEX(DataOB[],FirstRow+ROW()-7,MATCH(Y$6,DataOB[#Headers],0)),"")</f>
        <v/>
      </c>
      <c r="Z619" s="67" t="str">
        <f>IF($B619&lt;&gt;"",INDEX(DataOB[],FirstRow+ROW()-7,MATCH(Z$6,DataOB[#Headers],0)),"")</f>
        <v/>
      </c>
      <c r="AA619" s="67" t="str">
        <f>IF($B619&lt;&gt;"",INDEX(DataOB[],FirstRow+ROW()-7,MATCH(AA$6,DataOB[#Headers],0)),"")</f>
        <v/>
      </c>
      <c r="AB619" s="67" t="str">
        <f>IF($B619&lt;&gt;"",INDEX(DataOB[],FirstRow+ROW()-7,MATCH(AB$6,DataOB[#Headers],0)),"")</f>
        <v/>
      </c>
      <c r="AC619" s="67" t="str">
        <f>IF($B619&lt;&gt;"",INDEX(DataOB[],FirstRow+ROW()-7,MATCH(AC$6,DataOB[#Headers],0)),"")</f>
        <v/>
      </c>
      <c r="AD619" s="67" t="str">
        <f>IF($B619&lt;&gt;"",INDEX(DataOB[],FirstRow+ROW()-7,MATCH(AD$6,DataOB[#Headers],0)),"")</f>
        <v/>
      </c>
      <c r="AE619" s="67" t="str">
        <f>IF($B619&lt;&gt;"",INDEX(DataOB[],FirstRow+ROW()-7,MATCH(AE$6,DataOB[#Headers],0)),"")</f>
        <v/>
      </c>
      <c r="AF619" s="26">
        <f t="shared" si="95"/>
        <v>0</v>
      </c>
      <c r="AG619" s="31">
        <f>SUM($T619:T619)</f>
        <v>0</v>
      </c>
      <c r="AH619" s="31">
        <f>SUM($T619:U619)</f>
        <v>0</v>
      </c>
      <c r="AI619" s="31">
        <f>SUM($T619:V619)</f>
        <v>0</v>
      </c>
      <c r="AJ619" s="31">
        <f>SUM($T619:W619)</f>
        <v>0</v>
      </c>
      <c r="AK619" s="31">
        <f>SUM($T619:X619)</f>
        <v>0</v>
      </c>
      <c r="AL619" s="31">
        <f>SUM($T619:Y619)</f>
        <v>0</v>
      </c>
      <c r="AM619" s="31">
        <f>SUM($T619:Z619)</f>
        <v>0</v>
      </c>
      <c r="AN619" s="31">
        <f>SUM($T619:AA619)</f>
        <v>0</v>
      </c>
      <c r="AO619" s="31">
        <f>SUM($T619:AB619)</f>
        <v>0</v>
      </c>
      <c r="AP619" s="31">
        <f>SUM($T619:AC619)</f>
        <v>0</v>
      </c>
      <c r="AQ619" s="31">
        <f>SUM($T619:AD619)</f>
        <v>0</v>
      </c>
      <c r="AR619" s="31">
        <f>SUM($T619:AE619)</f>
        <v>0</v>
      </c>
      <c r="AS619" s="27">
        <f t="shared" si="96"/>
        <v>0</v>
      </c>
    </row>
    <row r="620" spans="2:45">
      <c r="B620" s="102" t="str">
        <f>IF(ROW()-6&gt;NumCostCenter,"",IF(CostCenter&lt;&gt;"ALL",CostCenter,DATA_LF2!B618))</f>
        <v/>
      </c>
      <c r="C620" s="153" t="str">
        <f>IF($B620&lt;&gt;"",INDEX(DataOB[],FirstRow+ROW()-7,2),"")</f>
        <v/>
      </c>
      <c r="D620" s="66" t="str">
        <f>IF($B620&lt;&gt;"",INDEX(DataOB[],FirstRow+ROW()-7,3),"")</f>
        <v/>
      </c>
      <c r="E620" s="103" t="str">
        <f>IF($B620&lt;&gt;"",INDEX(DataOB[],FirstRow+ROW()-7,6),"")</f>
        <v/>
      </c>
      <c r="F620" s="103" t="str">
        <f>IF($B620&lt;&gt;"",INDEX(DataOB[],FirstRow+ROW()-7,5),"")</f>
        <v/>
      </c>
      <c r="G620" s="58">
        <f>IF($B620&lt;&gt;"",SUMIFS(DataAct_tbl[AMOUNT],DataAct_tbl[BG CODE],Detail!$D620,DataAct_tbl[MONTH],LEFT(MonthName,3),DataAct_tbl[Dept code],$B620),0)</f>
        <v>0</v>
      </c>
      <c r="H620" s="31" t="str">
        <f t="shared" si="88"/>
        <v/>
      </c>
      <c r="I620" s="28" t="str">
        <f t="shared" si="89"/>
        <v/>
      </c>
      <c r="J620" s="32" t="str">
        <f t="shared" si="90"/>
        <v/>
      </c>
      <c r="K620" s="86"/>
      <c r="L620" s="62">
        <f>IF($B620&lt;&gt;"",SUMIFS(DataAct_tbl[AMOUNT],DataAct_tbl[BG CODE],Detail!$D620,DataAct_tbl[Check Range],"=true",DataAct_tbl[Dept code],$B620),0)</f>
        <v>0</v>
      </c>
      <c r="M620" s="63">
        <f>INDEX($AG$7:$AR$1005,ROW()-6,MATCH(MTD,$AG$6:$AR$6,0))</f>
        <v>0</v>
      </c>
      <c r="N620" s="34">
        <f t="shared" si="91"/>
        <v>0</v>
      </c>
      <c r="O620" s="64" t="str">
        <f t="shared" si="92"/>
        <v xml:space="preserve"> </v>
      </c>
      <c r="Q620" s="97">
        <f t="shared" si="93"/>
        <v>0</v>
      </c>
      <c r="R620" s="96">
        <f t="shared" si="94"/>
        <v>0</v>
      </c>
      <c r="T620" s="67" t="str">
        <f>IF($B620&lt;&gt;"",INDEX(DataOB[],FirstRow+ROW()-7,MATCH(T$6,DataOB[#Headers],0)),"")</f>
        <v/>
      </c>
      <c r="U620" s="67" t="str">
        <f>IF($B620&lt;&gt;"",INDEX(DataOB[],FirstRow+ROW()-7,MATCH(U$6,DataOB[#Headers],0)),"")</f>
        <v/>
      </c>
      <c r="V620" s="67" t="str">
        <f>IF($B620&lt;&gt;"",INDEX(DataOB[],FirstRow+ROW()-7,MATCH(V$6,DataOB[#Headers],0)),"")</f>
        <v/>
      </c>
      <c r="W620" s="67" t="str">
        <f>IF($B620&lt;&gt;"",INDEX(DataOB[],FirstRow+ROW()-7,MATCH(W$6,DataOB[#Headers],0)),"")</f>
        <v/>
      </c>
      <c r="X620" s="67" t="str">
        <f>IF($B620&lt;&gt;"",INDEX(DataOB[],FirstRow+ROW()-7,MATCH(X$6,DataOB[#Headers],0)),"")</f>
        <v/>
      </c>
      <c r="Y620" s="67" t="str">
        <f>IF($B620&lt;&gt;"",INDEX(DataOB[],FirstRow+ROW()-7,MATCH(Y$6,DataOB[#Headers],0)),"")</f>
        <v/>
      </c>
      <c r="Z620" s="67" t="str">
        <f>IF($B620&lt;&gt;"",INDEX(DataOB[],FirstRow+ROW()-7,MATCH(Z$6,DataOB[#Headers],0)),"")</f>
        <v/>
      </c>
      <c r="AA620" s="67" t="str">
        <f>IF($B620&lt;&gt;"",INDEX(DataOB[],FirstRow+ROW()-7,MATCH(AA$6,DataOB[#Headers],0)),"")</f>
        <v/>
      </c>
      <c r="AB620" s="67" t="str">
        <f>IF($B620&lt;&gt;"",INDEX(DataOB[],FirstRow+ROW()-7,MATCH(AB$6,DataOB[#Headers],0)),"")</f>
        <v/>
      </c>
      <c r="AC620" s="67" t="str">
        <f>IF($B620&lt;&gt;"",INDEX(DataOB[],FirstRow+ROW()-7,MATCH(AC$6,DataOB[#Headers],0)),"")</f>
        <v/>
      </c>
      <c r="AD620" s="67" t="str">
        <f>IF($B620&lt;&gt;"",INDEX(DataOB[],FirstRow+ROW()-7,MATCH(AD$6,DataOB[#Headers],0)),"")</f>
        <v/>
      </c>
      <c r="AE620" s="67" t="str">
        <f>IF($B620&lt;&gt;"",INDEX(DataOB[],FirstRow+ROW()-7,MATCH(AE$6,DataOB[#Headers],0)),"")</f>
        <v/>
      </c>
      <c r="AF620" s="26">
        <f t="shared" si="95"/>
        <v>0</v>
      </c>
      <c r="AG620" s="31">
        <f>SUM($T620:T620)</f>
        <v>0</v>
      </c>
      <c r="AH620" s="31">
        <f>SUM($T620:U620)</f>
        <v>0</v>
      </c>
      <c r="AI620" s="31">
        <f>SUM($T620:V620)</f>
        <v>0</v>
      </c>
      <c r="AJ620" s="31">
        <f>SUM($T620:W620)</f>
        <v>0</v>
      </c>
      <c r="AK620" s="31">
        <f>SUM($T620:X620)</f>
        <v>0</v>
      </c>
      <c r="AL620" s="31">
        <f>SUM($T620:Y620)</f>
        <v>0</v>
      </c>
      <c r="AM620" s="31">
        <f>SUM($T620:Z620)</f>
        <v>0</v>
      </c>
      <c r="AN620" s="31">
        <f>SUM($T620:AA620)</f>
        <v>0</v>
      </c>
      <c r="AO620" s="31">
        <f>SUM($T620:AB620)</f>
        <v>0</v>
      </c>
      <c r="AP620" s="31">
        <f>SUM($T620:AC620)</f>
        <v>0</v>
      </c>
      <c r="AQ620" s="31">
        <f>SUM($T620:AD620)</f>
        <v>0</v>
      </c>
      <c r="AR620" s="31">
        <f>SUM($T620:AE620)</f>
        <v>0</v>
      </c>
      <c r="AS620" s="27">
        <f t="shared" si="96"/>
        <v>0</v>
      </c>
    </row>
    <row r="621" spans="2:45">
      <c r="B621" s="102" t="str">
        <f>IF(ROW()-6&gt;NumCostCenter,"",IF(CostCenter&lt;&gt;"ALL",CostCenter,DATA_LF2!B619))</f>
        <v/>
      </c>
      <c r="C621" s="153" t="str">
        <f>IF($B621&lt;&gt;"",INDEX(DataOB[],FirstRow+ROW()-7,2),"")</f>
        <v/>
      </c>
      <c r="D621" s="66" t="str">
        <f>IF($B621&lt;&gt;"",INDEX(DataOB[],FirstRow+ROW()-7,3),"")</f>
        <v/>
      </c>
      <c r="E621" s="103" t="str">
        <f>IF($B621&lt;&gt;"",INDEX(DataOB[],FirstRow+ROW()-7,6),"")</f>
        <v/>
      </c>
      <c r="F621" s="103" t="str">
        <f>IF($B621&lt;&gt;"",INDEX(DataOB[],FirstRow+ROW()-7,5),"")</f>
        <v/>
      </c>
      <c r="G621" s="58">
        <f>IF($B621&lt;&gt;"",SUMIFS(DataAct_tbl[AMOUNT],DataAct_tbl[BG CODE],Detail!$D621,DataAct_tbl[MONTH],LEFT(MonthName,3),DataAct_tbl[Dept code],$B621),0)</f>
        <v>0</v>
      </c>
      <c r="H621" s="31" t="str">
        <f t="shared" si="88"/>
        <v/>
      </c>
      <c r="I621" s="28" t="str">
        <f t="shared" si="89"/>
        <v/>
      </c>
      <c r="J621" s="32" t="str">
        <f t="shared" si="90"/>
        <v/>
      </c>
      <c r="K621" s="86"/>
      <c r="L621" s="62">
        <f>IF($B621&lt;&gt;"",SUMIFS(DataAct_tbl[AMOUNT],DataAct_tbl[BG CODE],Detail!$D621,DataAct_tbl[Check Range],"=true",DataAct_tbl[Dept code],$B621),0)</f>
        <v>0</v>
      </c>
      <c r="M621" s="63">
        <f>INDEX($AG$7:$AR$1005,ROW()-6,MATCH(MTD,$AG$6:$AR$6,0))</f>
        <v>0</v>
      </c>
      <c r="N621" s="34">
        <f t="shared" si="91"/>
        <v>0</v>
      </c>
      <c r="O621" s="64" t="str">
        <f t="shared" si="92"/>
        <v xml:space="preserve"> </v>
      </c>
      <c r="Q621" s="97">
        <f t="shared" si="93"/>
        <v>0</v>
      </c>
      <c r="R621" s="96">
        <f t="shared" si="94"/>
        <v>0</v>
      </c>
      <c r="T621" s="67" t="str">
        <f>IF($B621&lt;&gt;"",INDEX(DataOB[],FirstRow+ROW()-7,MATCH(T$6,DataOB[#Headers],0)),"")</f>
        <v/>
      </c>
      <c r="U621" s="67" t="str">
        <f>IF($B621&lt;&gt;"",INDEX(DataOB[],FirstRow+ROW()-7,MATCH(U$6,DataOB[#Headers],0)),"")</f>
        <v/>
      </c>
      <c r="V621" s="67" t="str">
        <f>IF($B621&lt;&gt;"",INDEX(DataOB[],FirstRow+ROW()-7,MATCH(V$6,DataOB[#Headers],0)),"")</f>
        <v/>
      </c>
      <c r="W621" s="67" t="str">
        <f>IF($B621&lt;&gt;"",INDEX(DataOB[],FirstRow+ROW()-7,MATCH(W$6,DataOB[#Headers],0)),"")</f>
        <v/>
      </c>
      <c r="X621" s="67" t="str">
        <f>IF($B621&lt;&gt;"",INDEX(DataOB[],FirstRow+ROW()-7,MATCH(X$6,DataOB[#Headers],0)),"")</f>
        <v/>
      </c>
      <c r="Y621" s="67" t="str">
        <f>IF($B621&lt;&gt;"",INDEX(DataOB[],FirstRow+ROW()-7,MATCH(Y$6,DataOB[#Headers],0)),"")</f>
        <v/>
      </c>
      <c r="Z621" s="67" t="str">
        <f>IF($B621&lt;&gt;"",INDEX(DataOB[],FirstRow+ROW()-7,MATCH(Z$6,DataOB[#Headers],0)),"")</f>
        <v/>
      </c>
      <c r="AA621" s="67" t="str">
        <f>IF($B621&lt;&gt;"",INDEX(DataOB[],FirstRow+ROW()-7,MATCH(AA$6,DataOB[#Headers],0)),"")</f>
        <v/>
      </c>
      <c r="AB621" s="67" t="str">
        <f>IF($B621&lt;&gt;"",INDEX(DataOB[],FirstRow+ROW()-7,MATCH(AB$6,DataOB[#Headers],0)),"")</f>
        <v/>
      </c>
      <c r="AC621" s="67" t="str">
        <f>IF($B621&lt;&gt;"",INDEX(DataOB[],FirstRow+ROW()-7,MATCH(AC$6,DataOB[#Headers],0)),"")</f>
        <v/>
      </c>
      <c r="AD621" s="67" t="str">
        <f>IF($B621&lt;&gt;"",INDEX(DataOB[],FirstRow+ROW()-7,MATCH(AD$6,DataOB[#Headers],0)),"")</f>
        <v/>
      </c>
      <c r="AE621" s="67" t="str">
        <f>IF($B621&lt;&gt;"",INDEX(DataOB[],FirstRow+ROW()-7,MATCH(AE$6,DataOB[#Headers],0)),"")</f>
        <v/>
      </c>
      <c r="AF621" s="26">
        <f t="shared" si="95"/>
        <v>0</v>
      </c>
      <c r="AG621" s="31">
        <f>SUM($T621:T621)</f>
        <v>0</v>
      </c>
      <c r="AH621" s="31">
        <f>SUM($T621:U621)</f>
        <v>0</v>
      </c>
      <c r="AI621" s="31">
        <f>SUM($T621:V621)</f>
        <v>0</v>
      </c>
      <c r="AJ621" s="31">
        <f>SUM($T621:W621)</f>
        <v>0</v>
      </c>
      <c r="AK621" s="31">
        <f>SUM($T621:X621)</f>
        <v>0</v>
      </c>
      <c r="AL621" s="31">
        <f>SUM($T621:Y621)</f>
        <v>0</v>
      </c>
      <c r="AM621" s="31">
        <f>SUM($T621:Z621)</f>
        <v>0</v>
      </c>
      <c r="AN621" s="31">
        <f>SUM($T621:AA621)</f>
        <v>0</v>
      </c>
      <c r="AO621" s="31">
        <f>SUM($T621:AB621)</f>
        <v>0</v>
      </c>
      <c r="AP621" s="31">
        <f>SUM($T621:AC621)</f>
        <v>0</v>
      </c>
      <c r="AQ621" s="31">
        <f>SUM($T621:AD621)</f>
        <v>0</v>
      </c>
      <c r="AR621" s="31">
        <f>SUM($T621:AE621)</f>
        <v>0</v>
      </c>
      <c r="AS621" s="27">
        <f t="shared" si="96"/>
        <v>0</v>
      </c>
    </row>
    <row r="622" spans="2:45">
      <c r="B622" s="102" t="str">
        <f>IF(ROW()-6&gt;NumCostCenter,"",IF(CostCenter&lt;&gt;"ALL",CostCenter,DATA_LF2!B620))</f>
        <v/>
      </c>
      <c r="C622" s="153" t="str">
        <f>IF($B622&lt;&gt;"",INDEX(DataOB[],FirstRow+ROW()-7,2),"")</f>
        <v/>
      </c>
      <c r="D622" s="66" t="str">
        <f>IF($B622&lt;&gt;"",INDEX(DataOB[],FirstRow+ROW()-7,3),"")</f>
        <v/>
      </c>
      <c r="E622" s="103" t="str">
        <f>IF($B622&lt;&gt;"",INDEX(DataOB[],FirstRow+ROW()-7,6),"")</f>
        <v/>
      </c>
      <c r="F622" s="103" t="str">
        <f>IF($B622&lt;&gt;"",INDEX(DataOB[],FirstRow+ROW()-7,5),"")</f>
        <v/>
      </c>
      <c r="G622" s="58">
        <f>IF($B622&lt;&gt;"",SUMIFS(DataAct_tbl[AMOUNT],DataAct_tbl[BG CODE],Detail!$D622,DataAct_tbl[MONTH],LEFT(MonthName,3),DataAct_tbl[Dept code],$B622),0)</f>
        <v>0</v>
      </c>
      <c r="H622" s="31" t="str">
        <f t="shared" si="88"/>
        <v/>
      </c>
      <c r="I622" s="28" t="str">
        <f t="shared" si="89"/>
        <v/>
      </c>
      <c r="J622" s="32" t="str">
        <f t="shared" si="90"/>
        <v/>
      </c>
      <c r="K622" s="86"/>
      <c r="L622" s="62">
        <f>IF($B622&lt;&gt;"",SUMIFS(DataAct_tbl[AMOUNT],DataAct_tbl[BG CODE],Detail!$D622,DataAct_tbl[Check Range],"=true",DataAct_tbl[Dept code],$B622),0)</f>
        <v>0</v>
      </c>
      <c r="M622" s="63">
        <f>INDEX($AG$7:$AR$1005,ROW()-6,MATCH(MTD,$AG$6:$AR$6,0))</f>
        <v>0</v>
      </c>
      <c r="N622" s="34">
        <f t="shared" si="91"/>
        <v>0</v>
      </c>
      <c r="O622" s="64" t="str">
        <f t="shared" si="92"/>
        <v xml:space="preserve"> </v>
      </c>
      <c r="Q622" s="97">
        <f t="shared" si="93"/>
        <v>0</v>
      </c>
      <c r="R622" s="96">
        <f t="shared" si="94"/>
        <v>0</v>
      </c>
      <c r="T622" s="67" t="str">
        <f>IF($B622&lt;&gt;"",INDEX(DataOB[],FirstRow+ROW()-7,MATCH(T$6,DataOB[#Headers],0)),"")</f>
        <v/>
      </c>
      <c r="U622" s="67" t="str">
        <f>IF($B622&lt;&gt;"",INDEX(DataOB[],FirstRow+ROW()-7,MATCH(U$6,DataOB[#Headers],0)),"")</f>
        <v/>
      </c>
      <c r="V622" s="67" t="str">
        <f>IF($B622&lt;&gt;"",INDEX(DataOB[],FirstRow+ROW()-7,MATCH(V$6,DataOB[#Headers],0)),"")</f>
        <v/>
      </c>
      <c r="W622" s="67" t="str">
        <f>IF($B622&lt;&gt;"",INDEX(DataOB[],FirstRow+ROW()-7,MATCH(W$6,DataOB[#Headers],0)),"")</f>
        <v/>
      </c>
      <c r="X622" s="67" t="str">
        <f>IF($B622&lt;&gt;"",INDEX(DataOB[],FirstRow+ROW()-7,MATCH(X$6,DataOB[#Headers],0)),"")</f>
        <v/>
      </c>
      <c r="Y622" s="67" t="str">
        <f>IF($B622&lt;&gt;"",INDEX(DataOB[],FirstRow+ROW()-7,MATCH(Y$6,DataOB[#Headers],0)),"")</f>
        <v/>
      </c>
      <c r="Z622" s="67" t="str">
        <f>IF($B622&lt;&gt;"",INDEX(DataOB[],FirstRow+ROW()-7,MATCH(Z$6,DataOB[#Headers],0)),"")</f>
        <v/>
      </c>
      <c r="AA622" s="67" t="str">
        <f>IF($B622&lt;&gt;"",INDEX(DataOB[],FirstRow+ROW()-7,MATCH(AA$6,DataOB[#Headers],0)),"")</f>
        <v/>
      </c>
      <c r="AB622" s="67" t="str">
        <f>IF($B622&lt;&gt;"",INDEX(DataOB[],FirstRow+ROW()-7,MATCH(AB$6,DataOB[#Headers],0)),"")</f>
        <v/>
      </c>
      <c r="AC622" s="67" t="str">
        <f>IF($B622&lt;&gt;"",INDEX(DataOB[],FirstRow+ROW()-7,MATCH(AC$6,DataOB[#Headers],0)),"")</f>
        <v/>
      </c>
      <c r="AD622" s="67" t="str">
        <f>IF($B622&lt;&gt;"",INDEX(DataOB[],FirstRow+ROW()-7,MATCH(AD$6,DataOB[#Headers],0)),"")</f>
        <v/>
      </c>
      <c r="AE622" s="67" t="str">
        <f>IF($B622&lt;&gt;"",INDEX(DataOB[],FirstRow+ROW()-7,MATCH(AE$6,DataOB[#Headers],0)),"")</f>
        <v/>
      </c>
      <c r="AF622" s="26">
        <f t="shared" si="95"/>
        <v>0</v>
      </c>
      <c r="AG622" s="31">
        <f>SUM($T622:T622)</f>
        <v>0</v>
      </c>
      <c r="AH622" s="31">
        <f>SUM($T622:U622)</f>
        <v>0</v>
      </c>
      <c r="AI622" s="31">
        <f>SUM($T622:V622)</f>
        <v>0</v>
      </c>
      <c r="AJ622" s="31">
        <f>SUM($T622:W622)</f>
        <v>0</v>
      </c>
      <c r="AK622" s="31">
        <f>SUM($T622:X622)</f>
        <v>0</v>
      </c>
      <c r="AL622" s="31">
        <f>SUM($T622:Y622)</f>
        <v>0</v>
      </c>
      <c r="AM622" s="31">
        <f>SUM($T622:Z622)</f>
        <v>0</v>
      </c>
      <c r="AN622" s="31">
        <f>SUM($T622:AA622)</f>
        <v>0</v>
      </c>
      <c r="AO622" s="31">
        <f>SUM($T622:AB622)</f>
        <v>0</v>
      </c>
      <c r="AP622" s="31">
        <f>SUM($T622:AC622)</f>
        <v>0</v>
      </c>
      <c r="AQ622" s="31">
        <f>SUM($T622:AD622)</f>
        <v>0</v>
      </c>
      <c r="AR622" s="31">
        <f>SUM($T622:AE622)</f>
        <v>0</v>
      </c>
      <c r="AS622" s="27">
        <f t="shared" si="96"/>
        <v>0</v>
      </c>
    </row>
    <row r="623" spans="2:45">
      <c r="B623" s="102" t="str">
        <f>IF(ROW()-6&gt;NumCostCenter,"",IF(CostCenter&lt;&gt;"ALL",CostCenter,DATA_LF2!B621))</f>
        <v/>
      </c>
      <c r="C623" s="153" t="str">
        <f>IF($B623&lt;&gt;"",INDEX(DataOB[],FirstRow+ROW()-7,2),"")</f>
        <v/>
      </c>
      <c r="D623" s="66" t="str">
        <f>IF($B623&lt;&gt;"",INDEX(DataOB[],FirstRow+ROW()-7,3),"")</f>
        <v/>
      </c>
      <c r="E623" s="103" t="str">
        <f>IF($B623&lt;&gt;"",INDEX(DataOB[],FirstRow+ROW()-7,6),"")</f>
        <v/>
      </c>
      <c r="F623" s="103" t="str">
        <f>IF($B623&lt;&gt;"",INDEX(DataOB[],FirstRow+ROW()-7,5),"")</f>
        <v/>
      </c>
      <c r="G623" s="58">
        <f>IF($B623&lt;&gt;"",SUMIFS(DataAct_tbl[AMOUNT],DataAct_tbl[BG CODE],Detail!$D623,DataAct_tbl[MONTH],LEFT(MonthName,3),DataAct_tbl[Dept code],$B623),0)</f>
        <v>0</v>
      </c>
      <c r="H623" s="31" t="str">
        <f t="shared" si="88"/>
        <v/>
      </c>
      <c r="I623" s="28" t="str">
        <f t="shared" si="89"/>
        <v/>
      </c>
      <c r="J623" s="32" t="str">
        <f t="shared" si="90"/>
        <v/>
      </c>
      <c r="K623" s="86"/>
      <c r="L623" s="62">
        <f>IF($B623&lt;&gt;"",SUMIFS(DataAct_tbl[AMOUNT],DataAct_tbl[BG CODE],Detail!$D623,DataAct_tbl[Check Range],"=true",DataAct_tbl[Dept code],$B623),0)</f>
        <v>0</v>
      </c>
      <c r="M623" s="63">
        <f>INDEX($AG$7:$AR$1005,ROW()-6,MATCH(MTD,$AG$6:$AR$6,0))</f>
        <v>0</v>
      </c>
      <c r="N623" s="34">
        <f t="shared" si="91"/>
        <v>0</v>
      </c>
      <c r="O623" s="64" t="str">
        <f t="shared" si="92"/>
        <v xml:space="preserve"> </v>
      </c>
      <c r="Q623" s="97">
        <f t="shared" si="93"/>
        <v>0</v>
      </c>
      <c r="R623" s="96">
        <f t="shared" si="94"/>
        <v>0</v>
      </c>
      <c r="T623" s="67" t="str">
        <f>IF($B623&lt;&gt;"",INDEX(DataOB[],FirstRow+ROW()-7,MATCH(T$6,DataOB[#Headers],0)),"")</f>
        <v/>
      </c>
      <c r="U623" s="67" t="str">
        <f>IF($B623&lt;&gt;"",INDEX(DataOB[],FirstRow+ROW()-7,MATCH(U$6,DataOB[#Headers],0)),"")</f>
        <v/>
      </c>
      <c r="V623" s="67" t="str">
        <f>IF($B623&lt;&gt;"",INDEX(DataOB[],FirstRow+ROW()-7,MATCH(V$6,DataOB[#Headers],0)),"")</f>
        <v/>
      </c>
      <c r="W623" s="67" t="str">
        <f>IF($B623&lt;&gt;"",INDEX(DataOB[],FirstRow+ROW()-7,MATCH(W$6,DataOB[#Headers],0)),"")</f>
        <v/>
      </c>
      <c r="X623" s="67" t="str">
        <f>IF($B623&lt;&gt;"",INDEX(DataOB[],FirstRow+ROW()-7,MATCH(X$6,DataOB[#Headers],0)),"")</f>
        <v/>
      </c>
      <c r="Y623" s="67" t="str">
        <f>IF($B623&lt;&gt;"",INDEX(DataOB[],FirstRow+ROW()-7,MATCH(Y$6,DataOB[#Headers],0)),"")</f>
        <v/>
      </c>
      <c r="Z623" s="67" t="str">
        <f>IF($B623&lt;&gt;"",INDEX(DataOB[],FirstRow+ROW()-7,MATCH(Z$6,DataOB[#Headers],0)),"")</f>
        <v/>
      </c>
      <c r="AA623" s="67" t="str">
        <f>IF($B623&lt;&gt;"",INDEX(DataOB[],FirstRow+ROW()-7,MATCH(AA$6,DataOB[#Headers],0)),"")</f>
        <v/>
      </c>
      <c r="AB623" s="67" t="str">
        <f>IF($B623&lt;&gt;"",INDEX(DataOB[],FirstRow+ROW()-7,MATCH(AB$6,DataOB[#Headers],0)),"")</f>
        <v/>
      </c>
      <c r="AC623" s="67" t="str">
        <f>IF($B623&lt;&gt;"",INDEX(DataOB[],FirstRow+ROW()-7,MATCH(AC$6,DataOB[#Headers],0)),"")</f>
        <v/>
      </c>
      <c r="AD623" s="67" t="str">
        <f>IF($B623&lt;&gt;"",INDEX(DataOB[],FirstRow+ROW()-7,MATCH(AD$6,DataOB[#Headers],0)),"")</f>
        <v/>
      </c>
      <c r="AE623" s="67" t="str">
        <f>IF($B623&lt;&gt;"",INDEX(DataOB[],FirstRow+ROW()-7,MATCH(AE$6,DataOB[#Headers],0)),"")</f>
        <v/>
      </c>
      <c r="AF623" s="26">
        <f t="shared" si="95"/>
        <v>0</v>
      </c>
      <c r="AG623" s="31">
        <f>SUM($T623:T623)</f>
        <v>0</v>
      </c>
      <c r="AH623" s="31">
        <f>SUM($T623:U623)</f>
        <v>0</v>
      </c>
      <c r="AI623" s="31">
        <f>SUM($T623:V623)</f>
        <v>0</v>
      </c>
      <c r="AJ623" s="31">
        <f>SUM($T623:W623)</f>
        <v>0</v>
      </c>
      <c r="AK623" s="31">
        <f>SUM($T623:X623)</f>
        <v>0</v>
      </c>
      <c r="AL623" s="31">
        <f>SUM($T623:Y623)</f>
        <v>0</v>
      </c>
      <c r="AM623" s="31">
        <f>SUM($T623:Z623)</f>
        <v>0</v>
      </c>
      <c r="AN623" s="31">
        <f>SUM($T623:AA623)</f>
        <v>0</v>
      </c>
      <c r="AO623" s="31">
        <f>SUM($T623:AB623)</f>
        <v>0</v>
      </c>
      <c r="AP623" s="31">
        <f>SUM($T623:AC623)</f>
        <v>0</v>
      </c>
      <c r="AQ623" s="31">
        <f>SUM($T623:AD623)</f>
        <v>0</v>
      </c>
      <c r="AR623" s="31">
        <f>SUM($T623:AE623)</f>
        <v>0</v>
      </c>
      <c r="AS623" s="27">
        <f t="shared" si="96"/>
        <v>0</v>
      </c>
    </row>
    <row r="624" spans="2:45">
      <c r="B624" s="102" t="str">
        <f>IF(ROW()-6&gt;NumCostCenter,"",IF(CostCenter&lt;&gt;"ALL",CostCenter,DATA_LF2!B622))</f>
        <v/>
      </c>
      <c r="C624" s="153" t="str">
        <f>IF($B624&lt;&gt;"",INDEX(DataOB[],FirstRow+ROW()-7,2),"")</f>
        <v/>
      </c>
      <c r="D624" s="66" t="str">
        <f>IF($B624&lt;&gt;"",INDEX(DataOB[],FirstRow+ROW()-7,3),"")</f>
        <v/>
      </c>
      <c r="E624" s="103" t="str">
        <f>IF($B624&lt;&gt;"",INDEX(DataOB[],FirstRow+ROW()-7,6),"")</f>
        <v/>
      </c>
      <c r="F624" s="103" t="str">
        <f>IF($B624&lt;&gt;"",INDEX(DataOB[],FirstRow+ROW()-7,5),"")</f>
        <v/>
      </c>
      <c r="G624" s="58">
        <f>IF($B624&lt;&gt;"",SUMIFS(DataAct_tbl[AMOUNT],DataAct_tbl[BG CODE],Detail!$D624,DataAct_tbl[MONTH],LEFT(MonthName,3),DataAct_tbl[Dept code],$B624),0)</f>
        <v>0</v>
      </c>
      <c r="H624" s="31" t="str">
        <f t="shared" si="88"/>
        <v/>
      </c>
      <c r="I624" s="28" t="str">
        <f t="shared" si="89"/>
        <v/>
      </c>
      <c r="J624" s="32" t="str">
        <f t="shared" si="90"/>
        <v/>
      </c>
      <c r="K624" s="86"/>
      <c r="L624" s="62">
        <f>IF($B624&lt;&gt;"",SUMIFS(DataAct_tbl[AMOUNT],DataAct_tbl[BG CODE],Detail!$D624,DataAct_tbl[Check Range],"=true",DataAct_tbl[Dept code],$B624),0)</f>
        <v>0</v>
      </c>
      <c r="M624" s="63">
        <f>INDEX($AG$7:$AR$1005,ROW()-6,MATCH(MTD,$AG$6:$AR$6,0))</f>
        <v>0</v>
      </c>
      <c r="N624" s="34">
        <f t="shared" si="91"/>
        <v>0</v>
      </c>
      <c r="O624" s="64" t="str">
        <f t="shared" si="92"/>
        <v xml:space="preserve"> </v>
      </c>
      <c r="Q624" s="97">
        <f t="shared" si="93"/>
        <v>0</v>
      </c>
      <c r="R624" s="96">
        <f t="shared" si="94"/>
        <v>0</v>
      </c>
      <c r="T624" s="67" t="str">
        <f>IF($B624&lt;&gt;"",INDEX(DataOB[],FirstRow+ROW()-7,MATCH(T$6,DataOB[#Headers],0)),"")</f>
        <v/>
      </c>
      <c r="U624" s="67" t="str">
        <f>IF($B624&lt;&gt;"",INDEX(DataOB[],FirstRow+ROW()-7,MATCH(U$6,DataOB[#Headers],0)),"")</f>
        <v/>
      </c>
      <c r="V624" s="67" t="str">
        <f>IF($B624&lt;&gt;"",INDEX(DataOB[],FirstRow+ROW()-7,MATCH(V$6,DataOB[#Headers],0)),"")</f>
        <v/>
      </c>
      <c r="W624" s="67" t="str">
        <f>IF($B624&lt;&gt;"",INDEX(DataOB[],FirstRow+ROW()-7,MATCH(W$6,DataOB[#Headers],0)),"")</f>
        <v/>
      </c>
      <c r="X624" s="67" t="str">
        <f>IF($B624&lt;&gt;"",INDEX(DataOB[],FirstRow+ROW()-7,MATCH(X$6,DataOB[#Headers],0)),"")</f>
        <v/>
      </c>
      <c r="Y624" s="67" t="str">
        <f>IF($B624&lt;&gt;"",INDEX(DataOB[],FirstRow+ROW()-7,MATCH(Y$6,DataOB[#Headers],0)),"")</f>
        <v/>
      </c>
      <c r="Z624" s="67" t="str">
        <f>IF($B624&lt;&gt;"",INDEX(DataOB[],FirstRow+ROW()-7,MATCH(Z$6,DataOB[#Headers],0)),"")</f>
        <v/>
      </c>
      <c r="AA624" s="67" t="str">
        <f>IF($B624&lt;&gt;"",INDEX(DataOB[],FirstRow+ROW()-7,MATCH(AA$6,DataOB[#Headers],0)),"")</f>
        <v/>
      </c>
      <c r="AB624" s="67" t="str">
        <f>IF($B624&lt;&gt;"",INDEX(DataOB[],FirstRow+ROW()-7,MATCH(AB$6,DataOB[#Headers],0)),"")</f>
        <v/>
      </c>
      <c r="AC624" s="67" t="str">
        <f>IF($B624&lt;&gt;"",INDEX(DataOB[],FirstRow+ROW()-7,MATCH(AC$6,DataOB[#Headers],0)),"")</f>
        <v/>
      </c>
      <c r="AD624" s="67" t="str">
        <f>IF($B624&lt;&gt;"",INDEX(DataOB[],FirstRow+ROW()-7,MATCH(AD$6,DataOB[#Headers],0)),"")</f>
        <v/>
      </c>
      <c r="AE624" s="67" t="str">
        <f>IF($B624&lt;&gt;"",INDEX(DataOB[],FirstRow+ROW()-7,MATCH(AE$6,DataOB[#Headers],0)),"")</f>
        <v/>
      </c>
      <c r="AF624" s="26">
        <f t="shared" si="95"/>
        <v>0</v>
      </c>
      <c r="AG624" s="31">
        <f>SUM($T624:T624)</f>
        <v>0</v>
      </c>
      <c r="AH624" s="31">
        <f>SUM($T624:U624)</f>
        <v>0</v>
      </c>
      <c r="AI624" s="31">
        <f>SUM($T624:V624)</f>
        <v>0</v>
      </c>
      <c r="AJ624" s="31">
        <f>SUM($T624:W624)</f>
        <v>0</v>
      </c>
      <c r="AK624" s="31">
        <f>SUM($T624:X624)</f>
        <v>0</v>
      </c>
      <c r="AL624" s="31">
        <f>SUM($T624:Y624)</f>
        <v>0</v>
      </c>
      <c r="AM624" s="31">
        <f>SUM($T624:Z624)</f>
        <v>0</v>
      </c>
      <c r="AN624" s="31">
        <f>SUM($T624:AA624)</f>
        <v>0</v>
      </c>
      <c r="AO624" s="31">
        <f>SUM($T624:AB624)</f>
        <v>0</v>
      </c>
      <c r="AP624" s="31">
        <f>SUM($T624:AC624)</f>
        <v>0</v>
      </c>
      <c r="AQ624" s="31">
        <f>SUM($T624:AD624)</f>
        <v>0</v>
      </c>
      <c r="AR624" s="31">
        <f>SUM($T624:AE624)</f>
        <v>0</v>
      </c>
      <c r="AS624" s="27">
        <f t="shared" si="96"/>
        <v>0</v>
      </c>
    </row>
    <row r="625" spans="2:45">
      <c r="B625" s="102" t="str">
        <f>IF(ROW()-6&gt;NumCostCenter,"",IF(CostCenter&lt;&gt;"ALL",CostCenter,DATA_LF2!B623))</f>
        <v/>
      </c>
      <c r="C625" s="153" t="str">
        <f>IF($B625&lt;&gt;"",INDEX(DataOB[],FirstRow+ROW()-7,2),"")</f>
        <v/>
      </c>
      <c r="D625" s="66" t="str">
        <f>IF($B625&lt;&gt;"",INDEX(DataOB[],FirstRow+ROW()-7,3),"")</f>
        <v/>
      </c>
      <c r="E625" s="103" t="str">
        <f>IF($B625&lt;&gt;"",INDEX(DataOB[],FirstRow+ROW()-7,6),"")</f>
        <v/>
      </c>
      <c r="F625" s="103" t="str">
        <f>IF($B625&lt;&gt;"",INDEX(DataOB[],FirstRow+ROW()-7,5),"")</f>
        <v/>
      </c>
      <c r="G625" s="58">
        <f>IF($B625&lt;&gt;"",SUMIFS(DataAct_tbl[AMOUNT],DataAct_tbl[BG CODE],Detail!$D625,DataAct_tbl[MONTH],LEFT(MonthName,3),DataAct_tbl[Dept code],$B625),0)</f>
        <v>0</v>
      </c>
      <c r="H625" s="31" t="str">
        <f t="shared" si="88"/>
        <v/>
      </c>
      <c r="I625" s="28" t="str">
        <f t="shared" si="89"/>
        <v/>
      </c>
      <c r="J625" s="32" t="str">
        <f t="shared" si="90"/>
        <v/>
      </c>
      <c r="K625" s="86"/>
      <c r="L625" s="62">
        <f>IF($B625&lt;&gt;"",SUMIFS(DataAct_tbl[AMOUNT],DataAct_tbl[BG CODE],Detail!$D625,DataAct_tbl[Check Range],"=true",DataAct_tbl[Dept code],$B625),0)</f>
        <v>0</v>
      </c>
      <c r="M625" s="63">
        <f>INDEX($AG$7:$AR$1005,ROW()-6,MATCH(MTD,$AG$6:$AR$6,0))</f>
        <v>0</v>
      </c>
      <c r="N625" s="34">
        <f t="shared" si="91"/>
        <v>0</v>
      </c>
      <c r="O625" s="64" t="str">
        <f t="shared" si="92"/>
        <v xml:space="preserve"> </v>
      </c>
      <c r="Q625" s="97">
        <f t="shared" si="93"/>
        <v>0</v>
      </c>
      <c r="R625" s="96">
        <f t="shared" si="94"/>
        <v>0</v>
      </c>
      <c r="T625" s="67" t="str">
        <f>IF($B625&lt;&gt;"",INDEX(DataOB[],FirstRow+ROW()-7,MATCH(T$6,DataOB[#Headers],0)),"")</f>
        <v/>
      </c>
      <c r="U625" s="67" t="str">
        <f>IF($B625&lt;&gt;"",INDEX(DataOB[],FirstRow+ROW()-7,MATCH(U$6,DataOB[#Headers],0)),"")</f>
        <v/>
      </c>
      <c r="V625" s="67" t="str">
        <f>IF($B625&lt;&gt;"",INDEX(DataOB[],FirstRow+ROW()-7,MATCH(V$6,DataOB[#Headers],0)),"")</f>
        <v/>
      </c>
      <c r="W625" s="67" t="str">
        <f>IF($B625&lt;&gt;"",INDEX(DataOB[],FirstRow+ROW()-7,MATCH(W$6,DataOB[#Headers],0)),"")</f>
        <v/>
      </c>
      <c r="X625" s="67" t="str">
        <f>IF($B625&lt;&gt;"",INDEX(DataOB[],FirstRow+ROW()-7,MATCH(X$6,DataOB[#Headers],0)),"")</f>
        <v/>
      </c>
      <c r="Y625" s="67" t="str">
        <f>IF($B625&lt;&gt;"",INDEX(DataOB[],FirstRow+ROW()-7,MATCH(Y$6,DataOB[#Headers],0)),"")</f>
        <v/>
      </c>
      <c r="Z625" s="67" t="str">
        <f>IF($B625&lt;&gt;"",INDEX(DataOB[],FirstRow+ROW()-7,MATCH(Z$6,DataOB[#Headers],0)),"")</f>
        <v/>
      </c>
      <c r="AA625" s="67" t="str">
        <f>IF($B625&lt;&gt;"",INDEX(DataOB[],FirstRow+ROW()-7,MATCH(AA$6,DataOB[#Headers],0)),"")</f>
        <v/>
      </c>
      <c r="AB625" s="67" t="str">
        <f>IF($B625&lt;&gt;"",INDEX(DataOB[],FirstRow+ROW()-7,MATCH(AB$6,DataOB[#Headers],0)),"")</f>
        <v/>
      </c>
      <c r="AC625" s="67" t="str">
        <f>IF($B625&lt;&gt;"",INDEX(DataOB[],FirstRow+ROW()-7,MATCH(AC$6,DataOB[#Headers],0)),"")</f>
        <v/>
      </c>
      <c r="AD625" s="67" t="str">
        <f>IF($B625&lt;&gt;"",INDEX(DataOB[],FirstRow+ROW()-7,MATCH(AD$6,DataOB[#Headers],0)),"")</f>
        <v/>
      </c>
      <c r="AE625" s="67" t="str">
        <f>IF($B625&lt;&gt;"",INDEX(DataOB[],FirstRow+ROW()-7,MATCH(AE$6,DataOB[#Headers],0)),"")</f>
        <v/>
      </c>
      <c r="AF625" s="26">
        <f t="shared" si="95"/>
        <v>0</v>
      </c>
      <c r="AG625" s="31">
        <f>SUM($T625:T625)</f>
        <v>0</v>
      </c>
      <c r="AH625" s="31">
        <f>SUM($T625:U625)</f>
        <v>0</v>
      </c>
      <c r="AI625" s="31">
        <f>SUM($T625:V625)</f>
        <v>0</v>
      </c>
      <c r="AJ625" s="31">
        <f>SUM($T625:W625)</f>
        <v>0</v>
      </c>
      <c r="AK625" s="31">
        <f>SUM($T625:X625)</f>
        <v>0</v>
      </c>
      <c r="AL625" s="31">
        <f>SUM($T625:Y625)</f>
        <v>0</v>
      </c>
      <c r="AM625" s="31">
        <f>SUM($T625:Z625)</f>
        <v>0</v>
      </c>
      <c r="AN625" s="31">
        <f>SUM($T625:AA625)</f>
        <v>0</v>
      </c>
      <c r="AO625" s="31">
        <f>SUM($T625:AB625)</f>
        <v>0</v>
      </c>
      <c r="AP625" s="31">
        <f>SUM($T625:AC625)</f>
        <v>0</v>
      </c>
      <c r="AQ625" s="31">
        <f>SUM($T625:AD625)</f>
        <v>0</v>
      </c>
      <c r="AR625" s="31">
        <f>SUM($T625:AE625)</f>
        <v>0</v>
      </c>
      <c r="AS625" s="27">
        <f t="shared" si="96"/>
        <v>0</v>
      </c>
    </row>
    <row r="626" spans="2:45">
      <c r="B626" s="102" t="str">
        <f>IF(ROW()-6&gt;NumCostCenter,"",IF(CostCenter&lt;&gt;"ALL",CostCenter,DATA_LF2!B624))</f>
        <v/>
      </c>
      <c r="C626" s="153" t="str">
        <f>IF($B626&lt;&gt;"",INDEX(DataOB[],FirstRow+ROW()-7,2),"")</f>
        <v/>
      </c>
      <c r="D626" s="66" t="str">
        <f>IF($B626&lt;&gt;"",INDEX(DataOB[],FirstRow+ROW()-7,3),"")</f>
        <v/>
      </c>
      <c r="E626" s="103" t="str">
        <f>IF($B626&lt;&gt;"",INDEX(DataOB[],FirstRow+ROW()-7,6),"")</f>
        <v/>
      </c>
      <c r="F626" s="103" t="str">
        <f>IF($B626&lt;&gt;"",INDEX(DataOB[],FirstRow+ROW()-7,5),"")</f>
        <v/>
      </c>
      <c r="G626" s="58">
        <f>IF($B626&lt;&gt;"",SUMIFS(DataAct_tbl[AMOUNT],DataAct_tbl[BG CODE],Detail!$D626,DataAct_tbl[MONTH],LEFT(MonthName,3),DataAct_tbl[Dept code],$B626),0)</f>
        <v>0</v>
      </c>
      <c r="H626" s="31" t="str">
        <f t="shared" si="88"/>
        <v/>
      </c>
      <c r="I626" s="28" t="str">
        <f t="shared" si="89"/>
        <v/>
      </c>
      <c r="J626" s="32" t="str">
        <f t="shared" si="90"/>
        <v/>
      </c>
      <c r="K626" s="86"/>
      <c r="L626" s="62">
        <f>IF($B626&lt;&gt;"",SUMIFS(DataAct_tbl[AMOUNT],DataAct_tbl[BG CODE],Detail!$D626,DataAct_tbl[Check Range],"=true",DataAct_tbl[Dept code],$B626),0)</f>
        <v>0</v>
      </c>
      <c r="M626" s="63">
        <f>INDEX($AG$7:$AR$1005,ROW()-6,MATCH(MTD,$AG$6:$AR$6,0))</f>
        <v>0</v>
      </c>
      <c r="N626" s="34">
        <f t="shared" si="91"/>
        <v>0</v>
      </c>
      <c r="O626" s="64" t="str">
        <f t="shared" si="92"/>
        <v xml:space="preserve"> </v>
      </c>
      <c r="Q626" s="97">
        <f t="shared" si="93"/>
        <v>0</v>
      </c>
      <c r="R626" s="96">
        <f t="shared" si="94"/>
        <v>0</v>
      </c>
      <c r="T626" s="67" t="str">
        <f>IF($B626&lt;&gt;"",INDEX(DataOB[],FirstRow+ROW()-7,MATCH(T$6,DataOB[#Headers],0)),"")</f>
        <v/>
      </c>
      <c r="U626" s="67" t="str">
        <f>IF($B626&lt;&gt;"",INDEX(DataOB[],FirstRow+ROW()-7,MATCH(U$6,DataOB[#Headers],0)),"")</f>
        <v/>
      </c>
      <c r="V626" s="67" t="str">
        <f>IF($B626&lt;&gt;"",INDEX(DataOB[],FirstRow+ROW()-7,MATCH(V$6,DataOB[#Headers],0)),"")</f>
        <v/>
      </c>
      <c r="W626" s="67" t="str">
        <f>IF($B626&lt;&gt;"",INDEX(DataOB[],FirstRow+ROW()-7,MATCH(W$6,DataOB[#Headers],0)),"")</f>
        <v/>
      </c>
      <c r="X626" s="67" t="str">
        <f>IF($B626&lt;&gt;"",INDEX(DataOB[],FirstRow+ROW()-7,MATCH(X$6,DataOB[#Headers],0)),"")</f>
        <v/>
      </c>
      <c r="Y626" s="67" t="str">
        <f>IF($B626&lt;&gt;"",INDEX(DataOB[],FirstRow+ROW()-7,MATCH(Y$6,DataOB[#Headers],0)),"")</f>
        <v/>
      </c>
      <c r="Z626" s="67" t="str">
        <f>IF($B626&lt;&gt;"",INDEX(DataOB[],FirstRow+ROW()-7,MATCH(Z$6,DataOB[#Headers],0)),"")</f>
        <v/>
      </c>
      <c r="AA626" s="67" t="str">
        <f>IF($B626&lt;&gt;"",INDEX(DataOB[],FirstRow+ROW()-7,MATCH(AA$6,DataOB[#Headers],0)),"")</f>
        <v/>
      </c>
      <c r="AB626" s="67" t="str">
        <f>IF($B626&lt;&gt;"",INDEX(DataOB[],FirstRow+ROW()-7,MATCH(AB$6,DataOB[#Headers],0)),"")</f>
        <v/>
      </c>
      <c r="AC626" s="67" t="str">
        <f>IF($B626&lt;&gt;"",INDEX(DataOB[],FirstRow+ROW()-7,MATCH(AC$6,DataOB[#Headers],0)),"")</f>
        <v/>
      </c>
      <c r="AD626" s="67" t="str">
        <f>IF($B626&lt;&gt;"",INDEX(DataOB[],FirstRow+ROW()-7,MATCH(AD$6,DataOB[#Headers],0)),"")</f>
        <v/>
      </c>
      <c r="AE626" s="67" t="str">
        <f>IF($B626&lt;&gt;"",INDEX(DataOB[],FirstRow+ROW()-7,MATCH(AE$6,DataOB[#Headers],0)),"")</f>
        <v/>
      </c>
      <c r="AF626" s="26">
        <f t="shared" si="95"/>
        <v>0</v>
      </c>
      <c r="AG626" s="31">
        <f>SUM($T626:T626)</f>
        <v>0</v>
      </c>
      <c r="AH626" s="31">
        <f>SUM($T626:U626)</f>
        <v>0</v>
      </c>
      <c r="AI626" s="31">
        <f>SUM($T626:V626)</f>
        <v>0</v>
      </c>
      <c r="AJ626" s="31">
        <f>SUM($T626:W626)</f>
        <v>0</v>
      </c>
      <c r="AK626" s="31">
        <f>SUM($T626:X626)</f>
        <v>0</v>
      </c>
      <c r="AL626" s="31">
        <f>SUM($T626:Y626)</f>
        <v>0</v>
      </c>
      <c r="AM626" s="31">
        <f>SUM($T626:Z626)</f>
        <v>0</v>
      </c>
      <c r="AN626" s="31">
        <f>SUM($T626:AA626)</f>
        <v>0</v>
      </c>
      <c r="AO626" s="31">
        <f>SUM($T626:AB626)</f>
        <v>0</v>
      </c>
      <c r="AP626" s="31">
        <f>SUM($T626:AC626)</f>
        <v>0</v>
      </c>
      <c r="AQ626" s="31">
        <f>SUM($T626:AD626)</f>
        <v>0</v>
      </c>
      <c r="AR626" s="31">
        <f>SUM($T626:AE626)</f>
        <v>0</v>
      </c>
      <c r="AS626" s="27">
        <f t="shared" si="96"/>
        <v>0</v>
      </c>
    </row>
    <row r="627" spans="2:45">
      <c r="B627" s="102" t="str">
        <f>IF(ROW()-6&gt;NumCostCenter,"",IF(CostCenter&lt;&gt;"ALL",CostCenter,DATA_LF2!B625))</f>
        <v/>
      </c>
      <c r="C627" s="153" t="str">
        <f>IF($B627&lt;&gt;"",INDEX(DataOB[],FirstRow+ROW()-7,2),"")</f>
        <v/>
      </c>
      <c r="D627" s="66" t="str">
        <f>IF($B627&lt;&gt;"",INDEX(DataOB[],FirstRow+ROW()-7,3),"")</f>
        <v/>
      </c>
      <c r="E627" s="103" t="str">
        <f>IF($B627&lt;&gt;"",INDEX(DataOB[],FirstRow+ROW()-7,6),"")</f>
        <v/>
      </c>
      <c r="F627" s="103" t="str">
        <f>IF($B627&lt;&gt;"",INDEX(DataOB[],FirstRow+ROW()-7,5),"")</f>
        <v/>
      </c>
      <c r="G627" s="58">
        <f>IF($B627&lt;&gt;"",SUMIFS(DataAct_tbl[AMOUNT],DataAct_tbl[BG CODE],Detail!$D627,DataAct_tbl[MONTH],LEFT(MonthName,3),DataAct_tbl[Dept code],$B627),0)</f>
        <v>0</v>
      </c>
      <c r="H627" s="31" t="str">
        <f t="shared" si="88"/>
        <v/>
      </c>
      <c r="I627" s="28" t="str">
        <f t="shared" si="89"/>
        <v/>
      </c>
      <c r="J627" s="32" t="str">
        <f t="shared" si="90"/>
        <v/>
      </c>
      <c r="K627" s="86"/>
      <c r="L627" s="62">
        <f>IF($B627&lt;&gt;"",SUMIFS(DataAct_tbl[AMOUNT],DataAct_tbl[BG CODE],Detail!$D627,DataAct_tbl[Check Range],"=true",DataAct_tbl[Dept code],$B627),0)</f>
        <v>0</v>
      </c>
      <c r="M627" s="63">
        <f>INDEX($AG$7:$AR$1005,ROW()-6,MATCH(MTD,$AG$6:$AR$6,0))</f>
        <v>0</v>
      </c>
      <c r="N627" s="34">
        <f t="shared" si="91"/>
        <v>0</v>
      </c>
      <c r="O627" s="64" t="str">
        <f t="shared" si="92"/>
        <v xml:space="preserve"> </v>
      </c>
      <c r="Q627" s="97">
        <f t="shared" si="93"/>
        <v>0</v>
      </c>
      <c r="R627" s="96">
        <f t="shared" si="94"/>
        <v>0</v>
      </c>
      <c r="T627" s="67" t="str">
        <f>IF($B627&lt;&gt;"",INDEX(DataOB[],FirstRow+ROW()-7,MATCH(T$6,DataOB[#Headers],0)),"")</f>
        <v/>
      </c>
      <c r="U627" s="67" t="str">
        <f>IF($B627&lt;&gt;"",INDEX(DataOB[],FirstRow+ROW()-7,MATCH(U$6,DataOB[#Headers],0)),"")</f>
        <v/>
      </c>
      <c r="V627" s="67" t="str">
        <f>IF($B627&lt;&gt;"",INDEX(DataOB[],FirstRow+ROW()-7,MATCH(V$6,DataOB[#Headers],0)),"")</f>
        <v/>
      </c>
      <c r="W627" s="67" t="str">
        <f>IF($B627&lt;&gt;"",INDEX(DataOB[],FirstRow+ROW()-7,MATCH(W$6,DataOB[#Headers],0)),"")</f>
        <v/>
      </c>
      <c r="X627" s="67" t="str">
        <f>IF($B627&lt;&gt;"",INDEX(DataOB[],FirstRow+ROW()-7,MATCH(X$6,DataOB[#Headers],0)),"")</f>
        <v/>
      </c>
      <c r="Y627" s="67" t="str">
        <f>IF($B627&lt;&gt;"",INDEX(DataOB[],FirstRow+ROW()-7,MATCH(Y$6,DataOB[#Headers],0)),"")</f>
        <v/>
      </c>
      <c r="Z627" s="67" t="str">
        <f>IF($B627&lt;&gt;"",INDEX(DataOB[],FirstRow+ROW()-7,MATCH(Z$6,DataOB[#Headers],0)),"")</f>
        <v/>
      </c>
      <c r="AA627" s="67" t="str">
        <f>IF($B627&lt;&gt;"",INDEX(DataOB[],FirstRow+ROW()-7,MATCH(AA$6,DataOB[#Headers],0)),"")</f>
        <v/>
      </c>
      <c r="AB627" s="67" t="str">
        <f>IF($B627&lt;&gt;"",INDEX(DataOB[],FirstRow+ROW()-7,MATCH(AB$6,DataOB[#Headers],0)),"")</f>
        <v/>
      </c>
      <c r="AC627" s="67" t="str">
        <f>IF($B627&lt;&gt;"",INDEX(DataOB[],FirstRow+ROW()-7,MATCH(AC$6,DataOB[#Headers],0)),"")</f>
        <v/>
      </c>
      <c r="AD627" s="67" t="str">
        <f>IF($B627&lt;&gt;"",INDEX(DataOB[],FirstRow+ROW()-7,MATCH(AD$6,DataOB[#Headers],0)),"")</f>
        <v/>
      </c>
      <c r="AE627" s="67" t="str">
        <f>IF($B627&lt;&gt;"",INDEX(DataOB[],FirstRow+ROW()-7,MATCH(AE$6,DataOB[#Headers],0)),"")</f>
        <v/>
      </c>
      <c r="AF627" s="26">
        <f t="shared" si="95"/>
        <v>0</v>
      </c>
      <c r="AG627" s="31">
        <f>SUM($T627:T627)</f>
        <v>0</v>
      </c>
      <c r="AH627" s="31">
        <f>SUM($T627:U627)</f>
        <v>0</v>
      </c>
      <c r="AI627" s="31">
        <f>SUM($T627:V627)</f>
        <v>0</v>
      </c>
      <c r="AJ627" s="31">
        <f>SUM($T627:W627)</f>
        <v>0</v>
      </c>
      <c r="AK627" s="31">
        <f>SUM($T627:X627)</f>
        <v>0</v>
      </c>
      <c r="AL627" s="31">
        <f>SUM($T627:Y627)</f>
        <v>0</v>
      </c>
      <c r="AM627" s="31">
        <f>SUM($T627:Z627)</f>
        <v>0</v>
      </c>
      <c r="AN627" s="31">
        <f>SUM($T627:AA627)</f>
        <v>0</v>
      </c>
      <c r="AO627" s="31">
        <f>SUM($T627:AB627)</f>
        <v>0</v>
      </c>
      <c r="AP627" s="31">
        <f>SUM($T627:AC627)</f>
        <v>0</v>
      </c>
      <c r="AQ627" s="31">
        <f>SUM($T627:AD627)</f>
        <v>0</v>
      </c>
      <c r="AR627" s="31">
        <f>SUM($T627:AE627)</f>
        <v>0</v>
      </c>
      <c r="AS627" s="27">
        <f t="shared" si="96"/>
        <v>0</v>
      </c>
    </row>
    <row r="628" spans="2:45">
      <c r="B628" s="102" t="str">
        <f>IF(ROW()-6&gt;NumCostCenter,"",IF(CostCenter&lt;&gt;"ALL",CostCenter,DATA_LF2!B626))</f>
        <v/>
      </c>
      <c r="C628" s="153" t="str">
        <f>IF($B628&lt;&gt;"",INDEX(DataOB[],FirstRow+ROW()-7,2),"")</f>
        <v/>
      </c>
      <c r="D628" s="66" t="str">
        <f>IF($B628&lt;&gt;"",INDEX(DataOB[],FirstRow+ROW()-7,3),"")</f>
        <v/>
      </c>
      <c r="E628" s="103" t="str">
        <f>IF($B628&lt;&gt;"",INDEX(DataOB[],FirstRow+ROW()-7,6),"")</f>
        <v/>
      </c>
      <c r="F628" s="103" t="str">
        <f>IF($B628&lt;&gt;"",INDEX(DataOB[],FirstRow+ROW()-7,5),"")</f>
        <v/>
      </c>
      <c r="G628" s="58">
        <f>IF($B628&lt;&gt;"",SUMIFS(DataAct_tbl[AMOUNT],DataAct_tbl[BG CODE],Detail!$D628,DataAct_tbl[MONTH],LEFT(MonthName,3),DataAct_tbl[Dept code],$B628),0)</f>
        <v>0</v>
      </c>
      <c r="H628" s="31" t="str">
        <f t="shared" si="88"/>
        <v/>
      </c>
      <c r="I628" s="28" t="str">
        <f t="shared" si="89"/>
        <v/>
      </c>
      <c r="J628" s="32" t="str">
        <f t="shared" si="90"/>
        <v/>
      </c>
      <c r="K628" s="86"/>
      <c r="L628" s="62">
        <f>IF($B628&lt;&gt;"",SUMIFS(DataAct_tbl[AMOUNT],DataAct_tbl[BG CODE],Detail!$D628,DataAct_tbl[Check Range],"=true",DataAct_tbl[Dept code],$B628),0)</f>
        <v>0</v>
      </c>
      <c r="M628" s="63">
        <f>INDEX($AG$7:$AR$1005,ROW()-6,MATCH(MTD,$AG$6:$AR$6,0))</f>
        <v>0</v>
      </c>
      <c r="N628" s="34">
        <f t="shared" si="91"/>
        <v>0</v>
      </c>
      <c r="O628" s="64" t="str">
        <f t="shared" si="92"/>
        <v xml:space="preserve"> </v>
      </c>
      <c r="Q628" s="97">
        <f t="shared" si="93"/>
        <v>0</v>
      </c>
      <c r="R628" s="96">
        <f t="shared" si="94"/>
        <v>0</v>
      </c>
      <c r="T628" s="67" t="str">
        <f>IF($B628&lt;&gt;"",INDEX(DataOB[],FirstRow+ROW()-7,MATCH(T$6,DataOB[#Headers],0)),"")</f>
        <v/>
      </c>
      <c r="U628" s="67" t="str">
        <f>IF($B628&lt;&gt;"",INDEX(DataOB[],FirstRow+ROW()-7,MATCH(U$6,DataOB[#Headers],0)),"")</f>
        <v/>
      </c>
      <c r="V628" s="67" t="str">
        <f>IF($B628&lt;&gt;"",INDEX(DataOB[],FirstRow+ROW()-7,MATCH(V$6,DataOB[#Headers],0)),"")</f>
        <v/>
      </c>
      <c r="W628" s="67" t="str">
        <f>IF($B628&lt;&gt;"",INDEX(DataOB[],FirstRow+ROW()-7,MATCH(W$6,DataOB[#Headers],0)),"")</f>
        <v/>
      </c>
      <c r="X628" s="67" t="str">
        <f>IF($B628&lt;&gt;"",INDEX(DataOB[],FirstRow+ROW()-7,MATCH(X$6,DataOB[#Headers],0)),"")</f>
        <v/>
      </c>
      <c r="Y628" s="67" t="str">
        <f>IF($B628&lt;&gt;"",INDEX(DataOB[],FirstRow+ROW()-7,MATCH(Y$6,DataOB[#Headers],0)),"")</f>
        <v/>
      </c>
      <c r="Z628" s="67" t="str">
        <f>IF($B628&lt;&gt;"",INDEX(DataOB[],FirstRow+ROW()-7,MATCH(Z$6,DataOB[#Headers],0)),"")</f>
        <v/>
      </c>
      <c r="AA628" s="67" t="str">
        <f>IF($B628&lt;&gt;"",INDEX(DataOB[],FirstRow+ROW()-7,MATCH(AA$6,DataOB[#Headers],0)),"")</f>
        <v/>
      </c>
      <c r="AB628" s="67" t="str">
        <f>IF($B628&lt;&gt;"",INDEX(DataOB[],FirstRow+ROW()-7,MATCH(AB$6,DataOB[#Headers],0)),"")</f>
        <v/>
      </c>
      <c r="AC628" s="67" t="str">
        <f>IF($B628&lt;&gt;"",INDEX(DataOB[],FirstRow+ROW()-7,MATCH(AC$6,DataOB[#Headers],0)),"")</f>
        <v/>
      </c>
      <c r="AD628" s="67" t="str">
        <f>IF($B628&lt;&gt;"",INDEX(DataOB[],FirstRow+ROW()-7,MATCH(AD$6,DataOB[#Headers],0)),"")</f>
        <v/>
      </c>
      <c r="AE628" s="67" t="str">
        <f>IF($B628&lt;&gt;"",INDEX(DataOB[],FirstRow+ROW()-7,MATCH(AE$6,DataOB[#Headers],0)),"")</f>
        <v/>
      </c>
      <c r="AF628" s="26">
        <f t="shared" si="95"/>
        <v>0</v>
      </c>
      <c r="AG628" s="31">
        <f>SUM($T628:T628)</f>
        <v>0</v>
      </c>
      <c r="AH628" s="31">
        <f>SUM($T628:U628)</f>
        <v>0</v>
      </c>
      <c r="AI628" s="31">
        <f>SUM($T628:V628)</f>
        <v>0</v>
      </c>
      <c r="AJ628" s="31">
        <f>SUM($T628:W628)</f>
        <v>0</v>
      </c>
      <c r="AK628" s="31">
        <f>SUM($T628:X628)</f>
        <v>0</v>
      </c>
      <c r="AL628" s="31">
        <f>SUM($T628:Y628)</f>
        <v>0</v>
      </c>
      <c r="AM628" s="31">
        <f>SUM($T628:Z628)</f>
        <v>0</v>
      </c>
      <c r="AN628" s="31">
        <f>SUM($T628:AA628)</f>
        <v>0</v>
      </c>
      <c r="AO628" s="31">
        <f>SUM($T628:AB628)</f>
        <v>0</v>
      </c>
      <c r="AP628" s="31">
        <f>SUM($T628:AC628)</f>
        <v>0</v>
      </c>
      <c r="AQ628" s="31">
        <f>SUM($T628:AD628)</f>
        <v>0</v>
      </c>
      <c r="AR628" s="31">
        <f>SUM($T628:AE628)</f>
        <v>0</v>
      </c>
      <c r="AS628" s="27">
        <f t="shared" si="96"/>
        <v>0</v>
      </c>
    </row>
    <row r="629" spans="2:45">
      <c r="B629" s="102" t="str">
        <f>IF(ROW()-6&gt;NumCostCenter,"",IF(CostCenter&lt;&gt;"ALL",CostCenter,DATA_LF2!B627))</f>
        <v/>
      </c>
      <c r="C629" s="153" t="str">
        <f>IF($B629&lt;&gt;"",INDEX(DataOB[],FirstRow+ROW()-7,2),"")</f>
        <v/>
      </c>
      <c r="D629" s="66" t="str">
        <f>IF($B629&lt;&gt;"",INDEX(DataOB[],FirstRow+ROW()-7,3),"")</f>
        <v/>
      </c>
      <c r="E629" s="103" t="str">
        <f>IF($B629&lt;&gt;"",INDEX(DataOB[],FirstRow+ROW()-7,6),"")</f>
        <v/>
      </c>
      <c r="F629" s="103" t="str">
        <f>IF($B629&lt;&gt;"",INDEX(DataOB[],FirstRow+ROW()-7,5),"")</f>
        <v/>
      </c>
      <c r="G629" s="58">
        <f>IF($B629&lt;&gt;"",SUMIFS(DataAct_tbl[AMOUNT],DataAct_tbl[BG CODE],Detail!$D629,DataAct_tbl[MONTH],LEFT(MonthName,3),DataAct_tbl[Dept code],$B629),0)</f>
        <v>0</v>
      </c>
      <c r="H629" s="31" t="str">
        <f t="shared" si="88"/>
        <v/>
      </c>
      <c r="I629" s="28" t="str">
        <f t="shared" si="89"/>
        <v/>
      </c>
      <c r="J629" s="32" t="str">
        <f t="shared" si="90"/>
        <v/>
      </c>
      <c r="K629" s="86"/>
      <c r="L629" s="62">
        <f>IF($B629&lt;&gt;"",SUMIFS(DataAct_tbl[AMOUNT],DataAct_tbl[BG CODE],Detail!$D629,DataAct_tbl[Check Range],"=true",DataAct_tbl[Dept code],$B629),0)</f>
        <v>0</v>
      </c>
      <c r="M629" s="63">
        <f>INDEX($AG$7:$AR$1005,ROW()-6,MATCH(MTD,$AG$6:$AR$6,0))</f>
        <v>0</v>
      </c>
      <c r="N629" s="34">
        <f t="shared" si="91"/>
        <v>0</v>
      </c>
      <c r="O629" s="64" t="str">
        <f t="shared" si="92"/>
        <v xml:space="preserve"> </v>
      </c>
      <c r="Q629" s="97">
        <f t="shared" si="93"/>
        <v>0</v>
      </c>
      <c r="R629" s="96">
        <f t="shared" si="94"/>
        <v>0</v>
      </c>
      <c r="T629" s="67" t="str">
        <f>IF($B629&lt;&gt;"",INDEX(DataOB[],FirstRow+ROW()-7,MATCH(T$6,DataOB[#Headers],0)),"")</f>
        <v/>
      </c>
      <c r="U629" s="67" t="str">
        <f>IF($B629&lt;&gt;"",INDEX(DataOB[],FirstRow+ROW()-7,MATCH(U$6,DataOB[#Headers],0)),"")</f>
        <v/>
      </c>
      <c r="V629" s="67" t="str">
        <f>IF($B629&lt;&gt;"",INDEX(DataOB[],FirstRow+ROW()-7,MATCH(V$6,DataOB[#Headers],0)),"")</f>
        <v/>
      </c>
      <c r="W629" s="67" t="str">
        <f>IF($B629&lt;&gt;"",INDEX(DataOB[],FirstRow+ROW()-7,MATCH(W$6,DataOB[#Headers],0)),"")</f>
        <v/>
      </c>
      <c r="X629" s="67" t="str">
        <f>IF($B629&lt;&gt;"",INDEX(DataOB[],FirstRow+ROW()-7,MATCH(X$6,DataOB[#Headers],0)),"")</f>
        <v/>
      </c>
      <c r="Y629" s="67" t="str">
        <f>IF($B629&lt;&gt;"",INDEX(DataOB[],FirstRow+ROW()-7,MATCH(Y$6,DataOB[#Headers],0)),"")</f>
        <v/>
      </c>
      <c r="Z629" s="67" t="str">
        <f>IF($B629&lt;&gt;"",INDEX(DataOB[],FirstRow+ROW()-7,MATCH(Z$6,DataOB[#Headers],0)),"")</f>
        <v/>
      </c>
      <c r="AA629" s="67" t="str">
        <f>IF($B629&lt;&gt;"",INDEX(DataOB[],FirstRow+ROW()-7,MATCH(AA$6,DataOB[#Headers],0)),"")</f>
        <v/>
      </c>
      <c r="AB629" s="67" t="str">
        <f>IF($B629&lt;&gt;"",INDEX(DataOB[],FirstRow+ROW()-7,MATCH(AB$6,DataOB[#Headers],0)),"")</f>
        <v/>
      </c>
      <c r="AC629" s="67" t="str">
        <f>IF($B629&lt;&gt;"",INDEX(DataOB[],FirstRow+ROW()-7,MATCH(AC$6,DataOB[#Headers],0)),"")</f>
        <v/>
      </c>
      <c r="AD629" s="67" t="str">
        <f>IF($B629&lt;&gt;"",INDEX(DataOB[],FirstRow+ROW()-7,MATCH(AD$6,DataOB[#Headers],0)),"")</f>
        <v/>
      </c>
      <c r="AE629" s="67" t="str">
        <f>IF($B629&lt;&gt;"",INDEX(DataOB[],FirstRow+ROW()-7,MATCH(AE$6,DataOB[#Headers],0)),"")</f>
        <v/>
      </c>
      <c r="AF629" s="26">
        <f t="shared" si="95"/>
        <v>0</v>
      </c>
      <c r="AG629" s="31">
        <f>SUM($T629:T629)</f>
        <v>0</v>
      </c>
      <c r="AH629" s="31">
        <f>SUM($T629:U629)</f>
        <v>0</v>
      </c>
      <c r="AI629" s="31">
        <f>SUM($T629:V629)</f>
        <v>0</v>
      </c>
      <c r="AJ629" s="31">
        <f>SUM($T629:W629)</f>
        <v>0</v>
      </c>
      <c r="AK629" s="31">
        <f>SUM($T629:X629)</f>
        <v>0</v>
      </c>
      <c r="AL629" s="31">
        <f>SUM($T629:Y629)</f>
        <v>0</v>
      </c>
      <c r="AM629" s="31">
        <f>SUM($T629:Z629)</f>
        <v>0</v>
      </c>
      <c r="AN629" s="31">
        <f>SUM($T629:AA629)</f>
        <v>0</v>
      </c>
      <c r="AO629" s="31">
        <f>SUM($T629:AB629)</f>
        <v>0</v>
      </c>
      <c r="AP629" s="31">
        <f>SUM($T629:AC629)</f>
        <v>0</v>
      </c>
      <c r="AQ629" s="31">
        <f>SUM($T629:AD629)</f>
        <v>0</v>
      </c>
      <c r="AR629" s="31">
        <f>SUM($T629:AE629)</f>
        <v>0</v>
      </c>
      <c r="AS629" s="27">
        <f t="shared" si="96"/>
        <v>0</v>
      </c>
    </row>
    <row r="630" spans="2:45">
      <c r="B630" s="102" t="str">
        <f>IF(ROW()-6&gt;NumCostCenter,"",IF(CostCenter&lt;&gt;"ALL",CostCenter,DATA_LF2!B628))</f>
        <v/>
      </c>
      <c r="C630" s="153" t="str">
        <f>IF($B630&lt;&gt;"",INDEX(DataOB[],FirstRow+ROW()-7,2),"")</f>
        <v/>
      </c>
      <c r="D630" s="66" t="str">
        <f>IF($B630&lt;&gt;"",INDEX(DataOB[],FirstRow+ROW()-7,3),"")</f>
        <v/>
      </c>
      <c r="E630" s="103" t="str">
        <f>IF($B630&lt;&gt;"",INDEX(DataOB[],FirstRow+ROW()-7,6),"")</f>
        <v/>
      </c>
      <c r="F630" s="103" t="str">
        <f>IF($B630&lt;&gt;"",INDEX(DataOB[],FirstRow+ROW()-7,5),"")</f>
        <v/>
      </c>
      <c r="G630" s="58">
        <f>IF($B630&lt;&gt;"",SUMIFS(DataAct_tbl[AMOUNT],DataAct_tbl[BG CODE],Detail!$D630,DataAct_tbl[MONTH],LEFT(MonthName,3),DataAct_tbl[Dept code],$B630),0)</f>
        <v>0</v>
      </c>
      <c r="H630" s="31" t="str">
        <f t="shared" si="88"/>
        <v/>
      </c>
      <c r="I630" s="28" t="str">
        <f t="shared" si="89"/>
        <v/>
      </c>
      <c r="J630" s="32" t="str">
        <f t="shared" si="90"/>
        <v/>
      </c>
      <c r="K630" s="86"/>
      <c r="L630" s="62">
        <f>IF($B630&lt;&gt;"",SUMIFS(DataAct_tbl[AMOUNT],DataAct_tbl[BG CODE],Detail!$D630,DataAct_tbl[Check Range],"=true",DataAct_tbl[Dept code],$B630),0)</f>
        <v>0</v>
      </c>
      <c r="M630" s="63">
        <f>INDEX($AG$7:$AR$1005,ROW()-6,MATCH(MTD,$AG$6:$AR$6,0))</f>
        <v>0</v>
      </c>
      <c r="N630" s="34">
        <f t="shared" si="91"/>
        <v>0</v>
      </c>
      <c r="O630" s="64" t="str">
        <f t="shared" si="92"/>
        <v xml:space="preserve"> </v>
      </c>
      <c r="Q630" s="97">
        <f t="shared" si="93"/>
        <v>0</v>
      </c>
      <c r="R630" s="96">
        <f t="shared" si="94"/>
        <v>0</v>
      </c>
      <c r="T630" s="67" t="str">
        <f>IF($B630&lt;&gt;"",INDEX(DataOB[],FirstRow+ROW()-7,MATCH(T$6,DataOB[#Headers],0)),"")</f>
        <v/>
      </c>
      <c r="U630" s="67" t="str">
        <f>IF($B630&lt;&gt;"",INDEX(DataOB[],FirstRow+ROW()-7,MATCH(U$6,DataOB[#Headers],0)),"")</f>
        <v/>
      </c>
      <c r="V630" s="67" t="str">
        <f>IF($B630&lt;&gt;"",INDEX(DataOB[],FirstRow+ROW()-7,MATCH(V$6,DataOB[#Headers],0)),"")</f>
        <v/>
      </c>
      <c r="W630" s="67" t="str">
        <f>IF($B630&lt;&gt;"",INDEX(DataOB[],FirstRow+ROW()-7,MATCH(W$6,DataOB[#Headers],0)),"")</f>
        <v/>
      </c>
      <c r="X630" s="67" t="str">
        <f>IF($B630&lt;&gt;"",INDEX(DataOB[],FirstRow+ROW()-7,MATCH(X$6,DataOB[#Headers],0)),"")</f>
        <v/>
      </c>
      <c r="Y630" s="67" t="str">
        <f>IF($B630&lt;&gt;"",INDEX(DataOB[],FirstRow+ROW()-7,MATCH(Y$6,DataOB[#Headers],0)),"")</f>
        <v/>
      </c>
      <c r="Z630" s="67" t="str">
        <f>IF($B630&lt;&gt;"",INDEX(DataOB[],FirstRow+ROW()-7,MATCH(Z$6,DataOB[#Headers],0)),"")</f>
        <v/>
      </c>
      <c r="AA630" s="67" t="str">
        <f>IF($B630&lt;&gt;"",INDEX(DataOB[],FirstRow+ROW()-7,MATCH(AA$6,DataOB[#Headers],0)),"")</f>
        <v/>
      </c>
      <c r="AB630" s="67" t="str">
        <f>IF($B630&lt;&gt;"",INDEX(DataOB[],FirstRow+ROW()-7,MATCH(AB$6,DataOB[#Headers],0)),"")</f>
        <v/>
      </c>
      <c r="AC630" s="67" t="str">
        <f>IF($B630&lt;&gt;"",INDEX(DataOB[],FirstRow+ROW()-7,MATCH(AC$6,DataOB[#Headers],0)),"")</f>
        <v/>
      </c>
      <c r="AD630" s="67" t="str">
        <f>IF($B630&lt;&gt;"",INDEX(DataOB[],FirstRow+ROW()-7,MATCH(AD$6,DataOB[#Headers],0)),"")</f>
        <v/>
      </c>
      <c r="AE630" s="67" t="str">
        <f>IF($B630&lt;&gt;"",INDEX(DataOB[],FirstRow+ROW()-7,MATCH(AE$6,DataOB[#Headers],0)),"")</f>
        <v/>
      </c>
      <c r="AF630" s="26">
        <f t="shared" si="95"/>
        <v>0</v>
      </c>
      <c r="AG630" s="31">
        <f>SUM($T630:T630)</f>
        <v>0</v>
      </c>
      <c r="AH630" s="31">
        <f>SUM($T630:U630)</f>
        <v>0</v>
      </c>
      <c r="AI630" s="31">
        <f>SUM($T630:V630)</f>
        <v>0</v>
      </c>
      <c r="AJ630" s="31">
        <f>SUM($T630:W630)</f>
        <v>0</v>
      </c>
      <c r="AK630" s="31">
        <f>SUM($T630:X630)</f>
        <v>0</v>
      </c>
      <c r="AL630" s="31">
        <f>SUM($T630:Y630)</f>
        <v>0</v>
      </c>
      <c r="AM630" s="31">
        <f>SUM($T630:Z630)</f>
        <v>0</v>
      </c>
      <c r="AN630" s="31">
        <f>SUM($T630:AA630)</f>
        <v>0</v>
      </c>
      <c r="AO630" s="31">
        <f>SUM($T630:AB630)</f>
        <v>0</v>
      </c>
      <c r="AP630" s="31">
        <f>SUM($T630:AC630)</f>
        <v>0</v>
      </c>
      <c r="AQ630" s="31">
        <f>SUM($T630:AD630)</f>
        <v>0</v>
      </c>
      <c r="AR630" s="31">
        <f>SUM($T630:AE630)</f>
        <v>0</v>
      </c>
      <c r="AS630" s="27">
        <f t="shared" si="96"/>
        <v>0</v>
      </c>
    </row>
    <row r="631" spans="2:45">
      <c r="B631" s="102" t="str">
        <f>IF(ROW()-6&gt;NumCostCenter,"",IF(CostCenter&lt;&gt;"ALL",CostCenter,DATA_LF2!B629))</f>
        <v/>
      </c>
      <c r="C631" s="153" t="str">
        <f>IF($B631&lt;&gt;"",INDEX(DataOB[],FirstRow+ROW()-7,2),"")</f>
        <v/>
      </c>
      <c r="D631" s="66" t="str">
        <f>IF($B631&lt;&gt;"",INDEX(DataOB[],FirstRow+ROW()-7,3),"")</f>
        <v/>
      </c>
      <c r="E631" s="103" t="str">
        <f>IF($B631&lt;&gt;"",INDEX(DataOB[],FirstRow+ROW()-7,6),"")</f>
        <v/>
      </c>
      <c r="F631" s="103" t="str">
        <f>IF($B631&lt;&gt;"",INDEX(DataOB[],FirstRow+ROW()-7,5),"")</f>
        <v/>
      </c>
      <c r="G631" s="58">
        <f>IF($B631&lt;&gt;"",SUMIFS(DataAct_tbl[AMOUNT],DataAct_tbl[BG CODE],Detail!$D631,DataAct_tbl[MONTH],LEFT(MonthName,3),DataAct_tbl[Dept code],$B631),0)</f>
        <v>0</v>
      </c>
      <c r="H631" s="31" t="str">
        <f t="shared" si="88"/>
        <v/>
      </c>
      <c r="I631" s="28" t="str">
        <f t="shared" si="89"/>
        <v/>
      </c>
      <c r="J631" s="32" t="str">
        <f t="shared" si="90"/>
        <v/>
      </c>
      <c r="K631" s="86"/>
      <c r="L631" s="62">
        <f>IF($B631&lt;&gt;"",SUMIFS(DataAct_tbl[AMOUNT],DataAct_tbl[BG CODE],Detail!$D631,DataAct_tbl[Check Range],"=true",DataAct_tbl[Dept code],$B631),0)</f>
        <v>0</v>
      </c>
      <c r="M631" s="63">
        <f>INDEX($AG$7:$AR$1005,ROW()-6,MATCH(MTD,$AG$6:$AR$6,0))</f>
        <v>0</v>
      </c>
      <c r="N631" s="34">
        <f t="shared" si="91"/>
        <v>0</v>
      </c>
      <c r="O631" s="64" t="str">
        <f t="shared" si="92"/>
        <v xml:space="preserve"> </v>
      </c>
      <c r="Q631" s="97">
        <f t="shared" si="93"/>
        <v>0</v>
      </c>
      <c r="R631" s="96">
        <f t="shared" si="94"/>
        <v>0</v>
      </c>
      <c r="T631" s="67" t="str">
        <f>IF($B631&lt;&gt;"",INDEX(DataOB[],FirstRow+ROW()-7,MATCH(T$6,DataOB[#Headers],0)),"")</f>
        <v/>
      </c>
      <c r="U631" s="67" t="str">
        <f>IF($B631&lt;&gt;"",INDEX(DataOB[],FirstRow+ROW()-7,MATCH(U$6,DataOB[#Headers],0)),"")</f>
        <v/>
      </c>
      <c r="V631" s="67" t="str">
        <f>IF($B631&lt;&gt;"",INDEX(DataOB[],FirstRow+ROW()-7,MATCH(V$6,DataOB[#Headers],0)),"")</f>
        <v/>
      </c>
      <c r="W631" s="67" t="str">
        <f>IF($B631&lt;&gt;"",INDEX(DataOB[],FirstRow+ROW()-7,MATCH(W$6,DataOB[#Headers],0)),"")</f>
        <v/>
      </c>
      <c r="X631" s="67" t="str">
        <f>IF($B631&lt;&gt;"",INDEX(DataOB[],FirstRow+ROW()-7,MATCH(X$6,DataOB[#Headers],0)),"")</f>
        <v/>
      </c>
      <c r="Y631" s="67" t="str">
        <f>IF($B631&lt;&gt;"",INDEX(DataOB[],FirstRow+ROW()-7,MATCH(Y$6,DataOB[#Headers],0)),"")</f>
        <v/>
      </c>
      <c r="Z631" s="67" t="str">
        <f>IF($B631&lt;&gt;"",INDEX(DataOB[],FirstRow+ROW()-7,MATCH(Z$6,DataOB[#Headers],0)),"")</f>
        <v/>
      </c>
      <c r="AA631" s="67" t="str">
        <f>IF($B631&lt;&gt;"",INDEX(DataOB[],FirstRow+ROW()-7,MATCH(AA$6,DataOB[#Headers],0)),"")</f>
        <v/>
      </c>
      <c r="AB631" s="67" t="str">
        <f>IF($B631&lt;&gt;"",INDEX(DataOB[],FirstRow+ROW()-7,MATCH(AB$6,DataOB[#Headers],0)),"")</f>
        <v/>
      </c>
      <c r="AC631" s="67" t="str">
        <f>IF($B631&lt;&gt;"",INDEX(DataOB[],FirstRow+ROW()-7,MATCH(AC$6,DataOB[#Headers],0)),"")</f>
        <v/>
      </c>
      <c r="AD631" s="67" t="str">
        <f>IF($B631&lt;&gt;"",INDEX(DataOB[],FirstRow+ROW()-7,MATCH(AD$6,DataOB[#Headers],0)),"")</f>
        <v/>
      </c>
      <c r="AE631" s="67" t="str">
        <f>IF($B631&lt;&gt;"",INDEX(DataOB[],FirstRow+ROW()-7,MATCH(AE$6,DataOB[#Headers],0)),"")</f>
        <v/>
      </c>
      <c r="AF631" s="26">
        <f t="shared" si="95"/>
        <v>0</v>
      </c>
      <c r="AG631" s="31">
        <f>SUM($T631:T631)</f>
        <v>0</v>
      </c>
      <c r="AH631" s="31">
        <f>SUM($T631:U631)</f>
        <v>0</v>
      </c>
      <c r="AI631" s="31">
        <f>SUM($T631:V631)</f>
        <v>0</v>
      </c>
      <c r="AJ631" s="31">
        <f>SUM($T631:W631)</f>
        <v>0</v>
      </c>
      <c r="AK631" s="31">
        <f>SUM($T631:X631)</f>
        <v>0</v>
      </c>
      <c r="AL631" s="31">
        <f>SUM($T631:Y631)</f>
        <v>0</v>
      </c>
      <c r="AM631" s="31">
        <f>SUM($T631:Z631)</f>
        <v>0</v>
      </c>
      <c r="AN631" s="31">
        <f>SUM($T631:AA631)</f>
        <v>0</v>
      </c>
      <c r="AO631" s="31">
        <f>SUM($T631:AB631)</f>
        <v>0</v>
      </c>
      <c r="AP631" s="31">
        <f>SUM($T631:AC631)</f>
        <v>0</v>
      </c>
      <c r="AQ631" s="31">
        <f>SUM($T631:AD631)</f>
        <v>0</v>
      </c>
      <c r="AR631" s="31">
        <f>SUM($T631:AE631)</f>
        <v>0</v>
      </c>
      <c r="AS631" s="27">
        <f t="shared" si="96"/>
        <v>0</v>
      </c>
    </row>
    <row r="632" spans="2:45">
      <c r="B632" s="102" t="str">
        <f>IF(ROW()-6&gt;NumCostCenter,"",IF(CostCenter&lt;&gt;"ALL",CostCenter,DATA_LF2!B630))</f>
        <v/>
      </c>
      <c r="C632" s="153" t="str">
        <f>IF($B632&lt;&gt;"",INDEX(DataOB[],FirstRow+ROW()-7,2),"")</f>
        <v/>
      </c>
      <c r="D632" s="66" t="str">
        <f>IF($B632&lt;&gt;"",INDEX(DataOB[],FirstRow+ROW()-7,3),"")</f>
        <v/>
      </c>
      <c r="E632" s="103" t="str">
        <f>IF($B632&lt;&gt;"",INDEX(DataOB[],FirstRow+ROW()-7,6),"")</f>
        <v/>
      </c>
      <c r="F632" s="103" t="str">
        <f>IF($B632&lt;&gt;"",INDEX(DataOB[],FirstRow+ROW()-7,5),"")</f>
        <v/>
      </c>
      <c r="G632" s="58">
        <f>IF($B632&lt;&gt;"",SUMIFS(DataAct_tbl[AMOUNT],DataAct_tbl[BG CODE],Detail!$D632,DataAct_tbl[MONTH],LEFT(MonthName,3),DataAct_tbl[Dept code],$B632),0)</f>
        <v>0</v>
      </c>
      <c r="H632" s="31" t="str">
        <f t="shared" si="88"/>
        <v/>
      </c>
      <c r="I632" s="28" t="str">
        <f t="shared" si="89"/>
        <v/>
      </c>
      <c r="J632" s="32" t="str">
        <f t="shared" si="90"/>
        <v/>
      </c>
      <c r="K632" s="86"/>
      <c r="L632" s="62">
        <f>IF($B632&lt;&gt;"",SUMIFS(DataAct_tbl[AMOUNT],DataAct_tbl[BG CODE],Detail!$D632,DataAct_tbl[Check Range],"=true",DataAct_tbl[Dept code],$B632),0)</f>
        <v>0</v>
      </c>
      <c r="M632" s="63">
        <f>INDEX($AG$7:$AR$1005,ROW()-6,MATCH(MTD,$AG$6:$AR$6,0))</f>
        <v>0</v>
      </c>
      <c r="N632" s="34">
        <f t="shared" si="91"/>
        <v>0</v>
      </c>
      <c r="O632" s="64" t="str">
        <f t="shared" si="92"/>
        <v xml:space="preserve"> </v>
      </c>
      <c r="Q632" s="97">
        <f t="shared" si="93"/>
        <v>0</v>
      </c>
      <c r="R632" s="96">
        <f t="shared" si="94"/>
        <v>0</v>
      </c>
      <c r="T632" s="67" t="str">
        <f>IF($B632&lt;&gt;"",INDEX(DataOB[],FirstRow+ROW()-7,MATCH(T$6,DataOB[#Headers],0)),"")</f>
        <v/>
      </c>
      <c r="U632" s="67" t="str">
        <f>IF($B632&lt;&gt;"",INDEX(DataOB[],FirstRow+ROW()-7,MATCH(U$6,DataOB[#Headers],0)),"")</f>
        <v/>
      </c>
      <c r="V632" s="67" t="str">
        <f>IF($B632&lt;&gt;"",INDEX(DataOB[],FirstRow+ROW()-7,MATCH(V$6,DataOB[#Headers],0)),"")</f>
        <v/>
      </c>
      <c r="W632" s="67" t="str">
        <f>IF($B632&lt;&gt;"",INDEX(DataOB[],FirstRow+ROW()-7,MATCH(W$6,DataOB[#Headers],0)),"")</f>
        <v/>
      </c>
      <c r="X632" s="67" t="str">
        <f>IF($B632&lt;&gt;"",INDEX(DataOB[],FirstRow+ROW()-7,MATCH(X$6,DataOB[#Headers],0)),"")</f>
        <v/>
      </c>
      <c r="Y632" s="67" t="str">
        <f>IF($B632&lt;&gt;"",INDEX(DataOB[],FirstRow+ROW()-7,MATCH(Y$6,DataOB[#Headers],0)),"")</f>
        <v/>
      </c>
      <c r="Z632" s="67" t="str">
        <f>IF($B632&lt;&gt;"",INDEX(DataOB[],FirstRow+ROW()-7,MATCH(Z$6,DataOB[#Headers],0)),"")</f>
        <v/>
      </c>
      <c r="AA632" s="67" t="str">
        <f>IF($B632&lt;&gt;"",INDEX(DataOB[],FirstRow+ROW()-7,MATCH(AA$6,DataOB[#Headers],0)),"")</f>
        <v/>
      </c>
      <c r="AB632" s="67" t="str">
        <f>IF($B632&lt;&gt;"",INDEX(DataOB[],FirstRow+ROW()-7,MATCH(AB$6,DataOB[#Headers],0)),"")</f>
        <v/>
      </c>
      <c r="AC632" s="67" t="str">
        <f>IF($B632&lt;&gt;"",INDEX(DataOB[],FirstRow+ROW()-7,MATCH(AC$6,DataOB[#Headers],0)),"")</f>
        <v/>
      </c>
      <c r="AD632" s="67" t="str">
        <f>IF($B632&lt;&gt;"",INDEX(DataOB[],FirstRow+ROW()-7,MATCH(AD$6,DataOB[#Headers],0)),"")</f>
        <v/>
      </c>
      <c r="AE632" s="67" t="str">
        <f>IF($B632&lt;&gt;"",INDEX(DataOB[],FirstRow+ROW()-7,MATCH(AE$6,DataOB[#Headers],0)),"")</f>
        <v/>
      </c>
      <c r="AF632" s="26">
        <f t="shared" si="95"/>
        <v>0</v>
      </c>
      <c r="AG632" s="31">
        <f>SUM($T632:T632)</f>
        <v>0</v>
      </c>
      <c r="AH632" s="31">
        <f>SUM($T632:U632)</f>
        <v>0</v>
      </c>
      <c r="AI632" s="31">
        <f>SUM($T632:V632)</f>
        <v>0</v>
      </c>
      <c r="AJ632" s="31">
        <f>SUM($T632:W632)</f>
        <v>0</v>
      </c>
      <c r="AK632" s="31">
        <f>SUM($T632:X632)</f>
        <v>0</v>
      </c>
      <c r="AL632" s="31">
        <f>SUM($T632:Y632)</f>
        <v>0</v>
      </c>
      <c r="AM632" s="31">
        <f>SUM($T632:Z632)</f>
        <v>0</v>
      </c>
      <c r="AN632" s="31">
        <f>SUM($T632:AA632)</f>
        <v>0</v>
      </c>
      <c r="AO632" s="31">
        <f>SUM($T632:AB632)</f>
        <v>0</v>
      </c>
      <c r="AP632" s="31">
        <f>SUM($T632:AC632)</f>
        <v>0</v>
      </c>
      <c r="AQ632" s="31">
        <f>SUM($T632:AD632)</f>
        <v>0</v>
      </c>
      <c r="AR632" s="31">
        <f>SUM($T632:AE632)</f>
        <v>0</v>
      </c>
      <c r="AS632" s="27">
        <f t="shared" si="96"/>
        <v>0</v>
      </c>
    </row>
    <row r="633" spans="2:45">
      <c r="B633" s="102" t="str">
        <f>IF(ROW()-6&gt;NumCostCenter,"",IF(CostCenter&lt;&gt;"ALL",CostCenter,DATA_LF2!B631))</f>
        <v/>
      </c>
      <c r="C633" s="153" t="str">
        <f>IF($B633&lt;&gt;"",INDEX(DataOB[],FirstRow+ROW()-7,2),"")</f>
        <v/>
      </c>
      <c r="D633" s="66" t="str">
        <f>IF($B633&lt;&gt;"",INDEX(DataOB[],FirstRow+ROW()-7,3),"")</f>
        <v/>
      </c>
      <c r="E633" s="103" t="str">
        <f>IF($B633&lt;&gt;"",INDEX(DataOB[],FirstRow+ROW()-7,6),"")</f>
        <v/>
      </c>
      <c r="F633" s="103" t="str">
        <f>IF($B633&lt;&gt;"",INDEX(DataOB[],FirstRow+ROW()-7,5),"")</f>
        <v/>
      </c>
      <c r="G633" s="58">
        <f>IF($B633&lt;&gt;"",SUMIFS(DataAct_tbl[AMOUNT],DataAct_tbl[BG CODE],Detail!$D633,DataAct_tbl[MONTH],LEFT(MonthName,3),DataAct_tbl[Dept code],$B633),0)</f>
        <v>0</v>
      </c>
      <c r="H633" s="31" t="str">
        <f t="shared" si="88"/>
        <v/>
      </c>
      <c r="I633" s="28" t="str">
        <f t="shared" si="89"/>
        <v/>
      </c>
      <c r="J633" s="32" t="str">
        <f t="shared" si="90"/>
        <v/>
      </c>
      <c r="K633" s="86"/>
      <c r="L633" s="62">
        <f>IF($B633&lt;&gt;"",SUMIFS(DataAct_tbl[AMOUNT],DataAct_tbl[BG CODE],Detail!$D633,DataAct_tbl[Check Range],"=true",DataAct_tbl[Dept code],$B633),0)</f>
        <v>0</v>
      </c>
      <c r="M633" s="63">
        <f>INDEX($AG$7:$AR$1005,ROW()-6,MATCH(MTD,$AG$6:$AR$6,0))</f>
        <v>0</v>
      </c>
      <c r="N633" s="34">
        <f t="shared" si="91"/>
        <v>0</v>
      </c>
      <c r="O633" s="64" t="str">
        <f t="shared" si="92"/>
        <v xml:space="preserve"> </v>
      </c>
      <c r="Q633" s="97">
        <f t="shared" si="93"/>
        <v>0</v>
      </c>
      <c r="R633" s="96">
        <f t="shared" si="94"/>
        <v>0</v>
      </c>
      <c r="T633" s="67" t="str">
        <f>IF($B633&lt;&gt;"",INDEX(DataOB[],FirstRow+ROW()-7,MATCH(T$6,DataOB[#Headers],0)),"")</f>
        <v/>
      </c>
      <c r="U633" s="67" t="str">
        <f>IF($B633&lt;&gt;"",INDEX(DataOB[],FirstRow+ROW()-7,MATCH(U$6,DataOB[#Headers],0)),"")</f>
        <v/>
      </c>
      <c r="V633" s="67" t="str">
        <f>IF($B633&lt;&gt;"",INDEX(DataOB[],FirstRow+ROW()-7,MATCH(V$6,DataOB[#Headers],0)),"")</f>
        <v/>
      </c>
      <c r="W633" s="67" t="str">
        <f>IF($B633&lt;&gt;"",INDEX(DataOB[],FirstRow+ROW()-7,MATCH(W$6,DataOB[#Headers],0)),"")</f>
        <v/>
      </c>
      <c r="X633" s="67" t="str">
        <f>IF($B633&lt;&gt;"",INDEX(DataOB[],FirstRow+ROW()-7,MATCH(X$6,DataOB[#Headers],0)),"")</f>
        <v/>
      </c>
      <c r="Y633" s="67" t="str">
        <f>IF($B633&lt;&gt;"",INDEX(DataOB[],FirstRow+ROW()-7,MATCH(Y$6,DataOB[#Headers],0)),"")</f>
        <v/>
      </c>
      <c r="Z633" s="67" t="str">
        <f>IF($B633&lt;&gt;"",INDEX(DataOB[],FirstRow+ROW()-7,MATCH(Z$6,DataOB[#Headers],0)),"")</f>
        <v/>
      </c>
      <c r="AA633" s="67" t="str">
        <f>IF($B633&lt;&gt;"",INDEX(DataOB[],FirstRow+ROW()-7,MATCH(AA$6,DataOB[#Headers],0)),"")</f>
        <v/>
      </c>
      <c r="AB633" s="67" t="str">
        <f>IF($B633&lt;&gt;"",INDEX(DataOB[],FirstRow+ROW()-7,MATCH(AB$6,DataOB[#Headers],0)),"")</f>
        <v/>
      </c>
      <c r="AC633" s="67" t="str">
        <f>IF($B633&lt;&gt;"",INDEX(DataOB[],FirstRow+ROW()-7,MATCH(AC$6,DataOB[#Headers],0)),"")</f>
        <v/>
      </c>
      <c r="AD633" s="67" t="str">
        <f>IF($B633&lt;&gt;"",INDEX(DataOB[],FirstRow+ROW()-7,MATCH(AD$6,DataOB[#Headers],0)),"")</f>
        <v/>
      </c>
      <c r="AE633" s="67" t="str">
        <f>IF($B633&lt;&gt;"",INDEX(DataOB[],FirstRow+ROW()-7,MATCH(AE$6,DataOB[#Headers],0)),"")</f>
        <v/>
      </c>
      <c r="AF633" s="26">
        <f t="shared" si="95"/>
        <v>0</v>
      </c>
      <c r="AG633" s="31">
        <f>SUM($T633:T633)</f>
        <v>0</v>
      </c>
      <c r="AH633" s="31">
        <f>SUM($T633:U633)</f>
        <v>0</v>
      </c>
      <c r="AI633" s="31">
        <f>SUM($T633:V633)</f>
        <v>0</v>
      </c>
      <c r="AJ633" s="31">
        <f>SUM($T633:W633)</f>
        <v>0</v>
      </c>
      <c r="AK633" s="31">
        <f>SUM($T633:X633)</f>
        <v>0</v>
      </c>
      <c r="AL633" s="31">
        <f>SUM($T633:Y633)</f>
        <v>0</v>
      </c>
      <c r="AM633" s="31">
        <f>SUM($T633:Z633)</f>
        <v>0</v>
      </c>
      <c r="AN633" s="31">
        <f>SUM($T633:AA633)</f>
        <v>0</v>
      </c>
      <c r="AO633" s="31">
        <f>SUM($T633:AB633)</f>
        <v>0</v>
      </c>
      <c r="AP633" s="31">
        <f>SUM($T633:AC633)</f>
        <v>0</v>
      </c>
      <c r="AQ633" s="31">
        <f>SUM($T633:AD633)</f>
        <v>0</v>
      </c>
      <c r="AR633" s="31">
        <f>SUM($T633:AE633)</f>
        <v>0</v>
      </c>
      <c r="AS633" s="27">
        <f t="shared" si="96"/>
        <v>0</v>
      </c>
    </row>
    <row r="634" spans="2:45">
      <c r="B634" s="102" t="str">
        <f>IF(ROW()-6&gt;NumCostCenter,"",IF(CostCenter&lt;&gt;"ALL",CostCenter,DATA_LF2!B632))</f>
        <v/>
      </c>
      <c r="C634" s="153" t="str">
        <f>IF($B634&lt;&gt;"",INDEX(DataOB[],FirstRow+ROW()-7,2),"")</f>
        <v/>
      </c>
      <c r="D634" s="66" t="str">
        <f>IF($B634&lt;&gt;"",INDEX(DataOB[],FirstRow+ROW()-7,3),"")</f>
        <v/>
      </c>
      <c r="E634" s="103" t="str">
        <f>IF($B634&lt;&gt;"",INDEX(DataOB[],FirstRow+ROW()-7,6),"")</f>
        <v/>
      </c>
      <c r="F634" s="103" t="str">
        <f>IF($B634&lt;&gt;"",INDEX(DataOB[],FirstRow+ROW()-7,5),"")</f>
        <v/>
      </c>
      <c r="G634" s="58">
        <f>IF($B634&lt;&gt;"",SUMIFS(DataAct_tbl[AMOUNT],DataAct_tbl[BG CODE],Detail!$D634,DataAct_tbl[MONTH],LEFT(MonthName,3),DataAct_tbl[Dept code],$B634),0)</f>
        <v>0</v>
      </c>
      <c r="H634" s="31" t="str">
        <f t="shared" si="88"/>
        <v/>
      </c>
      <c r="I634" s="28" t="str">
        <f t="shared" si="89"/>
        <v/>
      </c>
      <c r="J634" s="32" t="str">
        <f t="shared" si="90"/>
        <v/>
      </c>
      <c r="K634" s="86"/>
      <c r="L634" s="62">
        <f>IF($B634&lt;&gt;"",SUMIFS(DataAct_tbl[AMOUNT],DataAct_tbl[BG CODE],Detail!$D634,DataAct_tbl[Check Range],"=true",DataAct_tbl[Dept code],$B634),0)</f>
        <v>0</v>
      </c>
      <c r="M634" s="63">
        <f>INDEX($AG$7:$AR$1005,ROW()-6,MATCH(MTD,$AG$6:$AR$6,0))</f>
        <v>0</v>
      </c>
      <c r="N634" s="34">
        <f t="shared" si="91"/>
        <v>0</v>
      </c>
      <c r="O634" s="64" t="str">
        <f t="shared" si="92"/>
        <v xml:space="preserve"> </v>
      </c>
      <c r="Q634" s="97">
        <f t="shared" si="93"/>
        <v>0</v>
      </c>
      <c r="R634" s="96">
        <f t="shared" si="94"/>
        <v>0</v>
      </c>
      <c r="T634" s="67" t="str">
        <f>IF($B634&lt;&gt;"",INDEX(DataOB[],FirstRow+ROW()-7,MATCH(T$6,DataOB[#Headers],0)),"")</f>
        <v/>
      </c>
      <c r="U634" s="67" t="str">
        <f>IF($B634&lt;&gt;"",INDEX(DataOB[],FirstRow+ROW()-7,MATCH(U$6,DataOB[#Headers],0)),"")</f>
        <v/>
      </c>
      <c r="V634" s="67" t="str">
        <f>IF($B634&lt;&gt;"",INDEX(DataOB[],FirstRow+ROW()-7,MATCH(V$6,DataOB[#Headers],0)),"")</f>
        <v/>
      </c>
      <c r="W634" s="67" t="str">
        <f>IF($B634&lt;&gt;"",INDEX(DataOB[],FirstRow+ROW()-7,MATCH(W$6,DataOB[#Headers],0)),"")</f>
        <v/>
      </c>
      <c r="X634" s="67" t="str">
        <f>IF($B634&lt;&gt;"",INDEX(DataOB[],FirstRow+ROW()-7,MATCH(X$6,DataOB[#Headers],0)),"")</f>
        <v/>
      </c>
      <c r="Y634" s="67" t="str">
        <f>IF($B634&lt;&gt;"",INDEX(DataOB[],FirstRow+ROW()-7,MATCH(Y$6,DataOB[#Headers],0)),"")</f>
        <v/>
      </c>
      <c r="Z634" s="67" t="str">
        <f>IF($B634&lt;&gt;"",INDEX(DataOB[],FirstRow+ROW()-7,MATCH(Z$6,DataOB[#Headers],0)),"")</f>
        <v/>
      </c>
      <c r="AA634" s="67" t="str">
        <f>IF($B634&lt;&gt;"",INDEX(DataOB[],FirstRow+ROW()-7,MATCH(AA$6,DataOB[#Headers],0)),"")</f>
        <v/>
      </c>
      <c r="AB634" s="67" t="str">
        <f>IF($B634&lt;&gt;"",INDEX(DataOB[],FirstRow+ROW()-7,MATCH(AB$6,DataOB[#Headers],0)),"")</f>
        <v/>
      </c>
      <c r="AC634" s="67" t="str">
        <f>IF($B634&lt;&gt;"",INDEX(DataOB[],FirstRow+ROW()-7,MATCH(AC$6,DataOB[#Headers],0)),"")</f>
        <v/>
      </c>
      <c r="AD634" s="67" t="str">
        <f>IF($B634&lt;&gt;"",INDEX(DataOB[],FirstRow+ROW()-7,MATCH(AD$6,DataOB[#Headers],0)),"")</f>
        <v/>
      </c>
      <c r="AE634" s="67" t="str">
        <f>IF($B634&lt;&gt;"",INDEX(DataOB[],FirstRow+ROW()-7,MATCH(AE$6,DataOB[#Headers],0)),"")</f>
        <v/>
      </c>
      <c r="AF634" s="26">
        <f t="shared" si="95"/>
        <v>0</v>
      </c>
      <c r="AG634" s="31">
        <f>SUM($T634:T634)</f>
        <v>0</v>
      </c>
      <c r="AH634" s="31">
        <f>SUM($T634:U634)</f>
        <v>0</v>
      </c>
      <c r="AI634" s="31">
        <f>SUM($T634:V634)</f>
        <v>0</v>
      </c>
      <c r="AJ634" s="31">
        <f>SUM($T634:W634)</f>
        <v>0</v>
      </c>
      <c r="AK634" s="31">
        <f>SUM($T634:X634)</f>
        <v>0</v>
      </c>
      <c r="AL634" s="31">
        <f>SUM($T634:Y634)</f>
        <v>0</v>
      </c>
      <c r="AM634" s="31">
        <f>SUM($T634:Z634)</f>
        <v>0</v>
      </c>
      <c r="AN634" s="31">
        <f>SUM($T634:AA634)</f>
        <v>0</v>
      </c>
      <c r="AO634" s="31">
        <f>SUM($T634:AB634)</f>
        <v>0</v>
      </c>
      <c r="AP634" s="31">
        <f>SUM($T634:AC634)</f>
        <v>0</v>
      </c>
      <c r="AQ634" s="31">
        <f>SUM($T634:AD634)</f>
        <v>0</v>
      </c>
      <c r="AR634" s="31">
        <f>SUM($T634:AE634)</f>
        <v>0</v>
      </c>
      <c r="AS634" s="27">
        <f t="shared" si="96"/>
        <v>0</v>
      </c>
    </row>
    <row r="635" spans="2:45">
      <c r="B635" s="102" t="str">
        <f>IF(ROW()-6&gt;NumCostCenter,"",IF(CostCenter&lt;&gt;"ALL",CostCenter,DATA_LF2!B633))</f>
        <v/>
      </c>
      <c r="C635" s="153" t="str">
        <f>IF($B635&lt;&gt;"",INDEX(DataOB[],FirstRow+ROW()-7,2),"")</f>
        <v/>
      </c>
      <c r="D635" s="66" t="str">
        <f>IF($B635&lt;&gt;"",INDEX(DataOB[],FirstRow+ROW()-7,3),"")</f>
        <v/>
      </c>
      <c r="E635" s="103" t="str">
        <f>IF($B635&lt;&gt;"",INDEX(DataOB[],FirstRow+ROW()-7,6),"")</f>
        <v/>
      </c>
      <c r="F635" s="103" t="str">
        <f>IF($B635&lt;&gt;"",INDEX(DataOB[],FirstRow+ROW()-7,5),"")</f>
        <v/>
      </c>
      <c r="G635" s="58">
        <f>IF($B635&lt;&gt;"",SUMIFS(DataAct_tbl[AMOUNT],DataAct_tbl[BG CODE],Detail!$D635,DataAct_tbl[MONTH],LEFT(MonthName,3),DataAct_tbl[Dept code],$B635),0)</f>
        <v>0</v>
      </c>
      <c r="H635" s="31" t="str">
        <f t="shared" si="88"/>
        <v/>
      </c>
      <c r="I635" s="28" t="str">
        <f t="shared" si="89"/>
        <v/>
      </c>
      <c r="J635" s="32" t="str">
        <f t="shared" si="90"/>
        <v/>
      </c>
      <c r="K635" s="86"/>
      <c r="L635" s="62">
        <f>IF($B635&lt;&gt;"",SUMIFS(DataAct_tbl[AMOUNT],DataAct_tbl[BG CODE],Detail!$D635,DataAct_tbl[Check Range],"=true",DataAct_tbl[Dept code],$B635),0)</f>
        <v>0</v>
      </c>
      <c r="M635" s="63">
        <f>INDEX($AG$7:$AR$1005,ROW()-6,MATCH(MTD,$AG$6:$AR$6,0))</f>
        <v>0</v>
      </c>
      <c r="N635" s="34">
        <f t="shared" si="91"/>
        <v>0</v>
      </c>
      <c r="O635" s="64" t="str">
        <f t="shared" si="92"/>
        <v xml:space="preserve"> </v>
      </c>
      <c r="Q635" s="97">
        <f t="shared" si="93"/>
        <v>0</v>
      </c>
      <c r="R635" s="96">
        <f t="shared" si="94"/>
        <v>0</v>
      </c>
      <c r="T635" s="67" t="str">
        <f>IF($B635&lt;&gt;"",INDEX(DataOB[],FirstRow+ROW()-7,MATCH(T$6,DataOB[#Headers],0)),"")</f>
        <v/>
      </c>
      <c r="U635" s="67" t="str">
        <f>IF($B635&lt;&gt;"",INDEX(DataOB[],FirstRow+ROW()-7,MATCH(U$6,DataOB[#Headers],0)),"")</f>
        <v/>
      </c>
      <c r="V635" s="67" t="str">
        <f>IF($B635&lt;&gt;"",INDEX(DataOB[],FirstRow+ROW()-7,MATCH(V$6,DataOB[#Headers],0)),"")</f>
        <v/>
      </c>
      <c r="W635" s="67" t="str">
        <f>IF($B635&lt;&gt;"",INDEX(DataOB[],FirstRow+ROW()-7,MATCH(W$6,DataOB[#Headers],0)),"")</f>
        <v/>
      </c>
      <c r="X635" s="67" t="str">
        <f>IF($B635&lt;&gt;"",INDEX(DataOB[],FirstRow+ROW()-7,MATCH(X$6,DataOB[#Headers],0)),"")</f>
        <v/>
      </c>
      <c r="Y635" s="67" t="str">
        <f>IF($B635&lt;&gt;"",INDEX(DataOB[],FirstRow+ROW()-7,MATCH(Y$6,DataOB[#Headers],0)),"")</f>
        <v/>
      </c>
      <c r="Z635" s="67" t="str">
        <f>IF($B635&lt;&gt;"",INDEX(DataOB[],FirstRow+ROW()-7,MATCH(Z$6,DataOB[#Headers],0)),"")</f>
        <v/>
      </c>
      <c r="AA635" s="67" t="str">
        <f>IF($B635&lt;&gt;"",INDEX(DataOB[],FirstRow+ROW()-7,MATCH(AA$6,DataOB[#Headers],0)),"")</f>
        <v/>
      </c>
      <c r="AB635" s="67" t="str">
        <f>IF($B635&lt;&gt;"",INDEX(DataOB[],FirstRow+ROW()-7,MATCH(AB$6,DataOB[#Headers],0)),"")</f>
        <v/>
      </c>
      <c r="AC635" s="67" t="str">
        <f>IF($B635&lt;&gt;"",INDEX(DataOB[],FirstRow+ROW()-7,MATCH(AC$6,DataOB[#Headers],0)),"")</f>
        <v/>
      </c>
      <c r="AD635" s="67" t="str">
        <f>IF($B635&lt;&gt;"",INDEX(DataOB[],FirstRow+ROW()-7,MATCH(AD$6,DataOB[#Headers],0)),"")</f>
        <v/>
      </c>
      <c r="AE635" s="67" t="str">
        <f>IF($B635&lt;&gt;"",INDEX(DataOB[],FirstRow+ROW()-7,MATCH(AE$6,DataOB[#Headers],0)),"")</f>
        <v/>
      </c>
      <c r="AF635" s="26">
        <f t="shared" si="95"/>
        <v>0</v>
      </c>
      <c r="AG635" s="31">
        <f>SUM($T635:T635)</f>
        <v>0</v>
      </c>
      <c r="AH635" s="31">
        <f>SUM($T635:U635)</f>
        <v>0</v>
      </c>
      <c r="AI635" s="31">
        <f>SUM($T635:V635)</f>
        <v>0</v>
      </c>
      <c r="AJ635" s="31">
        <f>SUM($T635:W635)</f>
        <v>0</v>
      </c>
      <c r="AK635" s="31">
        <f>SUM($T635:X635)</f>
        <v>0</v>
      </c>
      <c r="AL635" s="31">
        <f>SUM($T635:Y635)</f>
        <v>0</v>
      </c>
      <c r="AM635" s="31">
        <f>SUM($T635:Z635)</f>
        <v>0</v>
      </c>
      <c r="AN635" s="31">
        <f>SUM($T635:AA635)</f>
        <v>0</v>
      </c>
      <c r="AO635" s="31">
        <f>SUM($T635:AB635)</f>
        <v>0</v>
      </c>
      <c r="AP635" s="31">
        <f>SUM($T635:AC635)</f>
        <v>0</v>
      </c>
      <c r="AQ635" s="31">
        <f>SUM($T635:AD635)</f>
        <v>0</v>
      </c>
      <c r="AR635" s="31">
        <f>SUM($T635:AE635)</f>
        <v>0</v>
      </c>
      <c r="AS635" s="27">
        <f t="shared" si="96"/>
        <v>0</v>
      </c>
    </row>
    <row r="636" spans="2:45">
      <c r="B636" s="102" t="str">
        <f>IF(ROW()-6&gt;NumCostCenter,"",IF(CostCenter&lt;&gt;"ALL",CostCenter,DATA_LF2!B634))</f>
        <v/>
      </c>
      <c r="C636" s="153" t="str">
        <f>IF($B636&lt;&gt;"",INDEX(DataOB[],FirstRow+ROW()-7,2),"")</f>
        <v/>
      </c>
      <c r="D636" s="66" t="str">
        <f>IF($B636&lt;&gt;"",INDEX(DataOB[],FirstRow+ROW()-7,3),"")</f>
        <v/>
      </c>
      <c r="E636" s="103" t="str">
        <f>IF($B636&lt;&gt;"",INDEX(DataOB[],FirstRow+ROW()-7,6),"")</f>
        <v/>
      </c>
      <c r="F636" s="103" t="str">
        <f>IF($B636&lt;&gt;"",INDEX(DataOB[],FirstRow+ROW()-7,5),"")</f>
        <v/>
      </c>
      <c r="G636" s="58">
        <f>IF($B636&lt;&gt;"",SUMIFS(DataAct_tbl[AMOUNT],DataAct_tbl[BG CODE],Detail!$D636,DataAct_tbl[MONTH],LEFT(MonthName,3),DataAct_tbl[Dept code],$B636),0)</f>
        <v>0</v>
      </c>
      <c r="H636" s="31" t="str">
        <f t="shared" si="88"/>
        <v/>
      </c>
      <c r="I636" s="28" t="str">
        <f t="shared" si="89"/>
        <v/>
      </c>
      <c r="J636" s="32" t="str">
        <f t="shared" si="90"/>
        <v/>
      </c>
      <c r="K636" s="86"/>
      <c r="L636" s="62">
        <f>IF($B636&lt;&gt;"",SUMIFS(DataAct_tbl[AMOUNT],DataAct_tbl[BG CODE],Detail!$D636,DataAct_tbl[Check Range],"=true",DataAct_tbl[Dept code],$B636),0)</f>
        <v>0</v>
      </c>
      <c r="M636" s="63">
        <f>INDEX($AG$7:$AR$1005,ROW()-6,MATCH(MTD,$AG$6:$AR$6,0))</f>
        <v>0</v>
      </c>
      <c r="N636" s="34">
        <f t="shared" si="91"/>
        <v>0</v>
      </c>
      <c r="O636" s="64" t="str">
        <f t="shared" si="92"/>
        <v xml:space="preserve"> </v>
      </c>
      <c r="Q636" s="97">
        <f t="shared" si="93"/>
        <v>0</v>
      </c>
      <c r="R636" s="96">
        <f t="shared" si="94"/>
        <v>0</v>
      </c>
      <c r="T636" s="67" t="str">
        <f>IF($B636&lt;&gt;"",INDEX(DataOB[],FirstRow+ROW()-7,MATCH(T$6,DataOB[#Headers],0)),"")</f>
        <v/>
      </c>
      <c r="U636" s="67" t="str">
        <f>IF($B636&lt;&gt;"",INDEX(DataOB[],FirstRow+ROW()-7,MATCH(U$6,DataOB[#Headers],0)),"")</f>
        <v/>
      </c>
      <c r="V636" s="67" t="str">
        <f>IF($B636&lt;&gt;"",INDEX(DataOB[],FirstRow+ROW()-7,MATCH(V$6,DataOB[#Headers],0)),"")</f>
        <v/>
      </c>
      <c r="W636" s="67" t="str">
        <f>IF($B636&lt;&gt;"",INDEX(DataOB[],FirstRow+ROW()-7,MATCH(W$6,DataOB[#Headers],0)),"")</f>
        <v/>
      </c>
      <c r="X636" s="67" t="str">
        <f>IF($B636&lt;&gt;"",INDEX(DataOB[],FirstRow+ROW()-7,MATCH(X$6,DataOB[#Headers],0)),"")</f>
        <v/>
      </c>
      <c r="Y636" s="67" t="str">
        <f>IF($B636&lt;&gt;"",INDEX(DataOB[],FirstRow+ROW()-7,MATCH(Y$6,DataOB[#Headers],0)),"")</f>
        <v/>
      </c>
      <c r="Z636" s="67" t="str">
        <f>IF($B636&lt;&gt;"",INDEX(DataOB[],FirstRow+ROW()-7,MATCH(Z$6,DataOB[#Headers],0)),"")</f>
        <v/>
      </c>
      <c r="AA636" s="67" t="str">
        <f>IF($B636&lt;&gt;"",INDEX(DataOB[],FirstRow+ROW()-7,MATCH(AA$6,DataOB[#Headers],0)),"")</f>
        <v/>
      </c>
      <c r="AB636" s="67" t="str">
        <f>IF($B636&lt;&gt;"",INDEX(DataOB[],FirstRow+ROW()-7,MATCH(AB$6,DataOB[#Headers],0)),"")</f>
        <v/>
      </c>
      <c r="AC636" s="67" t="str">
        <f>IF($B636&lt;&gt;"",INDEX(DataOB[],FirstRow+ROW()-7,MATCH(AC$6,DataOB[#Headers],0)),"")</f>
        <v/>
      </c>
      <c r="AD636" s="67" t="str">
        <f>IF($B636&lt;&gt;"",INDEX(DataOB[],FirstRow+ROW()-7,MATCH(AD$6,DataOB[#Headers],0)),"")</f>
        <v/>
      </c>
      <c r="AE636" s="67" t="str">
        <f>IF($B636&lt;&gt;"",INDEX(DataOB[],FirstRow+ROW()-7,MATCH(AE$6,DataOB[#Headers],0)),"")</f>
        <v/>
      </c>
      <c r="AF636" s="26">
        <f t="shared" si="95"/>
        <v>0</v>
      </c>
      <c r="AG636" s="31">
        <f>SUM($T636:T636)</f>
        <v>0</v>
      </c>
      <c r="AH636" s="31">
        <f>SUM($T636:U636)</f>
        <v>0</v>
      </c>
      <c r="AI636" s="31">
        <f>SUM($T636:V636)</f>
        <v>0</v>
      </c>
      <c r="AJ636" s="31">
        <f>SUM($T636:W636)</f>
        <v>0</v>
      </c>
      <c r="AK636" s="31">
        <f>SUM($T636:X636)</f>
        <v>0</v>
      </c>
      <c r="AL636" s="31">
        <f>SUM($T636:Y636)</f>
        <v>0</v>
      </c>
      <c r="AM636" s="31">
        <f>SUM($T636:Z636)</f>
        <v>0</v>
      </c>
      <c r="AN636" s="31">
        <f>SUM($T636:AA636)</f>
        <v>0</v>
      </c>
      <c r="AO636" s="31">
        <f>SUM($T636:AB636)</f>
        <v>0</v>
      </c>
      <c r="AP636" s="31">
        <f>SUM($T636:AC636)</f>
        <v>0</v>
      </c>
      <c r="AQ636" s="31">
        <f>SUM($T636:AD636)</f>
        <v>0</v>
      </c>
      <c r="AR636" s="31">
        <f>SUM($T636:AE636)</f>
        <v>0</v>
      </c>
      <c r="AS636" s="27">
        <f t="shared" si="96"/>
        <v>0</v>
      </c>
    </row>
    <row r="637" spans="2:45">
      <c r="B637" s="102" t="str">
        <f>IF(ROW()-6&gt;NumCostCenter,"",IF(CostCenter&lt;&gt;"ALL",CostCenter,DATA_LF2!B635))</f>
        <v/>
      </c>
      <c r="C637" s="153" t="str">
        <f>IF($B637&lt;&gt;"",INDEX(DataOB[],FirstRow+ROW()-7,2),"")</f>
        <v/>
      </c>
      <c r="D637" s="66" t="str">
        <f>IF($B637&lt;&gt;"",INDEX(DataOB[],FirstRow+ROW()-7,3),"")</f>
        <v/>
      </c>
      <c r="E637" s="103" t="str">
        <f>IF($B637&lt;&gt;"",INDEX(DataOB[],FirstRow+ROW()-7,6),"")</f>
        <v/>
      </c>
      <c r="F637" s="103" t="str">
        <f>IF($B637&lt;&gt;"",INDEX(DataOB[],FirstRow+ROW()-7,5),"")</f>
        <v/>
      </c>
      <c r="G637" s="58">
        <f>IF($B637&lt;&gt;"",SUMIFS(DataAct_tbl[AMOUNT],DataAct_tbl[BG CODE],Detail!$D637,DataAct_tbl[MONTH],LEFT(MonthName,3),DataAct_tbl[Dept code],$B637),0)</f>
        <v>0</v>
      </c>
      <c r="H637" s="31" t="str">
        <f t="shared" si="88"/>
        <v/>
      </c>
      <c r="I637" s="28" t="str">
        <f t="shared" si="89"/>
        <v/>
      </c>
      <c r="J637" s="32" t="str">
        <f t="shared" si="90"/>
        <v/>
      </c>
      <c r="K637" s="86"/>
      <c r="L637" s="62">
        <f>IF($B637&lt;&gt;"",SUMIFS(DataAct_tbl[AMOUNT],DataAct_tbl[BG CODE],Detail!$D637,DataAct_tbl[Check Range],"=true",DataAct_tbl[Dept code],$B637),0)</f>
        <v>0</v>
      </c>
      <c r="M637" s="63">
        <f>INDEX($AG$7:$AR$1005,ROW()-6,MATCH(MTD,$AG$6:$AR$6,0))</f>
        <v>0</v>
      </c>
      <c r="N637" s="34">
        <f t="shared" si="91"/>
        <v>0</v>
      </c>
      <c r="O637" s="64" t="str">
        <f t="shared" si="92"/>
        <v xml:space="preserve"> </v>
      </c>
      <c r="Q637" s="97">
        <f t="shared" si="93"/>
        <v>0</v>
      </c>
      <c r="R637" s="96">
        <f t="shared" si="94"/>
        <v>0</v>
      </c>
      <c r="T637" s="67" t="str">
        <f>IF($B637&lt;&gt;"",INDEX(DataOB[],FirstRow+ROW()-7,MATCH(T$6,DataOB[#Headers],0)),"")</f>
        <v/>
      </c>
      <c r="U637" s="67" t="str">
        <f>IF($B637&lt;&gt;"",INDEX(DataOB[],FirstRow+ROW()-7,MATCH(U$6,DataOB[#Headers],0)),"")</f>
        <v/>
      </c>
      <c r="V637" s="67" t="str">
        <f>IF($B637&lt;&gt;"",INDEX(DataOB[],FirstRow+ROW()-7,MATCH(V$6,DataOB[#Headers],0)),"")</f>
        <v/>
      </c>
      <c r="W637" s="67" t="str">
        <f>IF($B637&lt;&gt;"",INDEX(DataOB[],FirstRow+ROW()-7,MATCH(W$6,DataOB[#Headers],0)),"")</f>
        <v/>
      </c>
      <c r="X637" s="67" t="str">
        <f>IF($B637&lt;&gt;"",INDEX(DataOB[],FirstRow+ROW()-7,MATCH(X$6,DataOB[#Headers],0)),"")</f>
        <v/>
      </c>
      <c r="Y637" s="67" t="str">
        <f>IF($B637&lt;&gt;"",INDEX(DataOB[],FirstRow+ROW()-7,MATCH(Y$6,DataOB[#Headers],0)),"")</f>
        <v/>
      </c>
      <c r="Z637" s="67" t="str">
        <f>IF($B637&lt;&gt;"",INDEX(DataOB[],FirstRow+ROW()-7,MATCH(Z$6,DataOB[#Headers],0)),"")</f>
        <v/>
      </c>
      <c r="AA637" s="67" t="str">
        <f>IF($B637&lt;&gt;"",INDEX(DataOB[],FirstRow+ROW()-7,MATCH(AA$6,DataOB[#Headers],0)),"")</f>
        <v/>
      </c>
      <c r="AB637" s="67" t="str">
        <f>IF($B637&lt;&gt;"",INDEX(DataOB[],FirstRow+ROW()-7,MATCH(AB$6,DataOB[#Headers],0)),"")</f>
        <v/>
      </c>
      <c r="AC637" s="67" t="str">
        <f>IF($B637&lt;&gt;"",INDEX(DataOB[],FirstRow+ROW()-7,MATCH(AC$6,DataOB[#Headers],0)),"")</f>
        <v/>
      </c>
      <c r="AD637" s="67" t="str">
        <f>IF($B637&lt;&gt;"",INDEX(DataOB[],FirstRow+ROW()-7,MATCH(AD$6,DataOB[#Headers],0)),"")</f>
        <v/>
      </c>
      <c r="AE637" s="67" t="str">
        <f>IF($B637&lt;&gt;"",INDEX(DataOB[],FirstRow+ROW()-7,MATCH(AE$6,DataOB[#Headers],0)),"")</f>
        <v/>
      </c>
      <c r="AF637" s="26">
        <f t="shared" si="95"/>
        <v>0</v>
      </c>
      <c r="AG637" s="31">
        <f>SUM($T637:T637)</f>
        <v>0</v>
      </c>
      <c r="AH637" s="31">
        <f>SUM($T637:U637)</f>
        <v>0</v>
      </c>
      <c r="AI637" s="31">
        <f>SUM($T637:V637)</f>
        <v>0</v>
      </c>
      <c r="AJ637" s="31">
        <f>SUM($T637:W637)</f>
        <v>0</v>
      </c>
      <c r="AK637" s="31">
        <f>SUM($T637:X637)</f>
        <v>0</v>
      </c>
      <c r="AL637" s="31">
        <f>SUM($T637:Y637)</f>
        <v>0</v>
      </c>
      <c r="AM637" s="31">
        <f>SUM($T637:Z637)</f>
        <v>0</v>
      </c>
      <c r="AN637" s="31">
        <f>SUM($T637:AA637)</f>
        <v>0</v>
      </c>
      <c r="AO637" s="31">
        <f>SUM($T637:AB637)</f>
        <v>0</v>
      </c>
      <c r="AP637" s="31">
        <f>SUM($T637:AC637)</f>
        <v>0</v>
      </c>
      <c r="AQ637" s="31">
        <f>SUM($T637:AD637)</f>
        <v>0</v>
      </c>
      <c r="AR637" s="31">
        <f>SUM($T637:AE637)</f>
        <v>0</v>
      </c>
      <c r="AS637" s="27">
        <f t="shared" si="96"/>
        <v>0</v>
      </c>
    </row>
    <row r="638" spans="2:45">
      <c r="B638" s="102" t="str">
        <f>IF(ROW()-6&gt;NumCostCenter,"",IF(CostCenter&lt;&gt;"ALL",CostCenter,DATA_LF2!B636))</f>
        <v/>
      </c>
      <c r="C638" s="153" t="str">
        <f>IF($B638&lt;&gt;"",INDEX(DataOB[],FirstRow+ROW()-7,2),"")</f>
        <v/>
      </c>
      <c r="D638" s="66" t="str">
        <f>IF($B638&lt;&gt;"",INDEX(DataOB[],FirstRow+ROW()-7,3),"")</f>
        <v/>
      </c>
      <c r="E638" s="103" t="str">
        <f>IF($B638&lt;&gt;"",INDEX(DataOB[],FirstRow+ROW()-7,6),"")</f>
        <v/>
      </c>
      <c r="F638" s="103" t="str">
        <f>IF($B638&lt;&gt;"",INDEX(DataOB[],FirstRow+ROW()-7,5),"")</f>
        <v/>
      </c>
      <c r="G638" s="58">
        <f>IF($B638&lt;&gt;"",SUMIFS(DataAct_tbl[AMOUNT],DataAct_tbl[BG CODE],Detail!$D638,DataAct_tbl[MONTH],LEFT(MonthName,3),DataAct_tbl[Dept code],$B638),0)</f>
        <v>0</v>
      </c>
      <c r="H638" s="31" t="str">
        <f t="shared" si="88"/>
        <v/>
      </c>
      <c r="I638" s="28" t="str">
        <f t="shared" si="89"/>
        <v/>
      </c>
      <c r="J638" s="32" t="str">
        <f t="shared" si="90"/>
        <v/>
      </c>
      <c r="K638" s="86"/>
      <c r="L638" s="62">
        <f>IF($B638&lt;&gt;"",SUMIFS(DataAct_tbl[AMOUNT],DataAct_tbl[BG CODE],Detail!$D638,DataAct_tbl[Check Range],"=true",DataAct_tbl[Dept code],$B638),0)</f>
        <v>0</v>
      </c>
      <c r="M638" s="63">
        <f>INDEX($AG$7:$AR$1005,ROW()-6,MATCH(MTD,$AG$6:$AR$6,0))</f>
        <v>0</v>
      </c>
      <c r="N638" s="34">
        <f t="shared" si="91"/>
        <v>0</v>
      </c>
      <c r="O638" s="64" t="str">
        <f t="shared" si="92"/>
        <v xml:space="preserve"> </v>
      </c>
      <c r="Q638" s="97">
        <f t="shared" si="93"/>
        <v>0</v>
      </c>
      <c r="R638" s="96">
        <f t="shared" si="94"/>
        <v>0</v>
      </c>
      <c r="T638" s="67" t="str">
        <f>IF($B638&lt;&gt;"",INDEX(DataOB[],FirstRow+ROW()-7,MATCH(T$6,DataOB[#Headers],0)),"")</f>
        <v/>
      </c>
      <c r="U638" s="67" t="str">
        <f>IF($B638&lt;&gt;"",INDEX(DataOB[],FirstRow+ROW()-7,MATCH(U$6,DataOB[#Headers],0)),"")</f>
        <v/>
      </c>
      <c r="V638" s="67" t="str">
        <f>IF($B638&lt;&gt;"",INDEX(DataOB[],FirstRow+ROW()-7,MATCH(V$6,DataOB[#Headers],0)),"")</f>
        <v/>
      </c>
      <c r="W638" s="67" t="str">
        <f>IF($B638&lt;&gt;"",INDEX(DataOB[],FirstRow+ROW()-7,MATCH(W$6,DataOB[#Headers],0)),"")</f>
        <v/>
      </c>
      <c r="X638" s="67" t="str">
        <f>IF($B638&lt;&gt;"",INDEX(DataOB[],FirstRow+ROW()-7,MATCH(X$6,DataOB[#Headers],0)),"")</f>
        <v/>
      </c>
      <c r="Y638" s="67" t="str">
        <f>IF($B638&lt;&gt;"",INDEX(DataOB[],FirstRow+ROW()-7,MATCH(Y$6,DataOB[#Headers],0)),"")</f>
        <v/>
      </c>
      <c r="Z638" s="67" t="str">
        <f>IF($B638&lt;&gt;"",INDEX(DataOB[],FirstRow+ROW()-7,MATCH(Z$6,DataOB[#Headers],0)),"")</f>
        <v/>
      </c>
      <c r="AA638" s="67" t="str">
        <f>IF($B638&lt;&gt;"",INDEX(DataOB[],FirstRow+ROW()-7,MATCH(AA$6,DataOB[#Headers],0)),"")</f>
        <v/>
      </c>
      <c r="AB638" s="67" t="str">
        <f>IF($B638&lt;&gt;"",INDEX(DataOB[],FirstRow+ROW()-7,MATCH(AB$6,DataOB[#Headers],0)),"")</f>
        <v/>
      </c>
      <c r="AC638" s="67" t="str">
        <f>IF($B638&lt;&gt;"",INDEX(DataOB[],FirstRow+ROW()-7,MATCH(AC$6,DataOB[#Headers],0)),"")</f>
        <v/>
      </c>
      <c r="AD638" s="67" t="str">
        <f>IF($B638&lt;&gt;"",INDEX(DataOB[],FirstRow+ROW()-7,MATCH(AD$6,DataOB[#Headers],0)),"")</f>
        <v/>
      </c>
      <c r="AE638" s="67" t="str">
        <f>IF($B638&lt;&gt;"",INDEX(DataOB[],FirstRow+ROW()-7,MATCH(AE$6,DataOB[#Headers],0)),"")</f>
        <v/>
      </c>
      <c r="AF638" s="26">
        <f t="shared" si="95"/>
        <v>0</v>
      </c>
      <c r="AG638" s="31">
        <f>SUM($T638:T638)</f>
        <v>0</v>
      </c>
      <c r="AH638" s="31">
        <f>SUM($T638:U638)</f>
        <v>0</v>
      </c>
      <c r="AI638" s="31">
        <f>SUM($T638:V638)</f>
        <v>0</v>
      </c>
      <c r="AJ638" s="31">
        <f>SUM($T638:W638)</f>
        <v>0</v>
      </c>
      <c r="AK638" s="31">
        <f>SUM($T638:X638)</f>
        <v>0</v>
      </c>
      <c r="AL638" s="31">
        <f>SUM($T638:Y638)</f>
        <v>0</v>
      </c>
      <c r="AM638" s="31">
        <f>SUM($T638:Z638)</f>
        <v>0</v>
      </c>
      <c r="AN638" s="31">
        <f>SUM($T638:AA638)</f>
        <v>0</v>
      </c>
      <c r="AO638" s="31">
        <f>SUM($T638:AB638)</f>
        <v>0</v>
      </c>
      <c r="AP638" s="31">
        <f>SUM($T638:AC638)</f>
        <v>0</v>
      </c>
      <c r="AQ638" s="31">
        <f>SUM($T638:AD638)</f>
        <v>0</v>
      </c>
      <c r="AR638" s="31">
        <f>SUM($T638:AE638)</f>
        <v>0</v>
      </c>
      <c r="AS638" s="27">
        <f t="shared" si="96"/>
        <v>0</v>
      </c>
    </row>
    <row r="639" spans="2:45">
      <c r="B639" s="102" t="str">
        <f>IF(ROW()-6&gt;NumCostCenter,"",IF(CostCenter&lt;&gt;"ALL",CostCenter,DATA_LF2!B637))</f>
        <v/>
      </c>
      <c r="C639" s="153" t="str">
        <f>IF($B639&lt;&gt;"",INDEX(DataOB[],FirstRow+ROW()-7,2),"")</f>
        <v/>
      </c>
      <c r="D639" s="66" t="str">
        <f>IF($B639&lt;&gt;"",INDEX(DataOB[],FirstRow+ROW()-7,3),"")</f>
        <v/>
      </c>
      <c r="E639" s="103" t="str">
        <f>IF($B639&lt;&gt;"",INDEX(DataOB[],FirstRow+ROW()-7,6),"")</f>
        <v/>
      </c>
      <c r="F639" s="103" t="str">
        <f>IF($B639&lt;&gt;"",INDEX(DataOB[],FirstRow+ROW()-7,5),"")</f>
        <v/>
      </c>
      <c r="G639" s="58">
        <f>IF($B639&lt;&gt;"",SUMIFS(DataAct_tbl[AMOUNT],DataAct_tbl[BG CODE],Detail!$D639,DataAct_tbl[MONTH],LEFT(MonthName,3),DataAct_tbl[Dept code],$B639),0)</f>
        <v>0</v>
      </c>
      <c r="H639" s="31" t="str">
        <f t="shared" si="88"/>
        <v/>
      </c>
      <c r="I639" s="28" t="str">
        <f t="shared" si="89"/>
        <v/>
      </c>
      <c r="J639" s="32" t="str">
        <f t="shared" si="90"/>
        <v/>
      </c>
      <c r="K639" s="86"/>
      <c r="L639" s="62">
        <f>IF($B639&lt;&gt;"",SUMIFS(DataAct_tbl[AMOUNT],DataAct_tbl[BG CODE],Detail!$D639,DataAct_tbl[Check Range],"=true",DataAct_tbl[Dept code],$B639),0)</f>
        <v>0</v>
      </c>
      <c r="M639" s="63">
        <f>INDEX($AG$7:$AR$1005,ROW()-6,MATCH(MTD,$AG$6:$AR$6,0))</f>
        <v>0</v>
      </c>
      <c r="N639" s="34">
        <f t="shared" si="91"/>
        <v>0</v>
      </c>
      <c r="O639" s="64" t="str">
        <f t="shared" si="92"/>
        <v xml:space="preserve"> </v>
      </c>
      <c r="Q639" s="97">
        <f t="shared" si="93"/>
        <v>0</v>
      </c>
      <c r="R639" s="96">
        <f t="shared" si="94"/>
        <v>0</v>
      </c>
      <c r="T639" s="67" t="str">
        <f>IF($B639&lt;&gt;"",INDEX(DataOB[],FirstRow+ROW()-7,MATCH(T$6,DataOB[#Headers],0)),"")</f>
        <v/>
      </c>
      <c r="U639" s="67" t="str">
        <f>IF($B639&lt;&gt;"",INDEX(DataOB[],FirstRow+ROW()-7,MATCH(U$6,DataOB[#Headers],0)),"")</f>
        <v/>
      </c>
      <c r="V639" s="67" t="str">
        <f>IF($B639&lt;&gt;"",INDEX(DataOB[],FirstRow+ROW()-7,MATCH(V$6,DataOB[#Headers],0)),"")</f>
        <v/>
      </c>
      <c r="W639" s="67" t="str">
        <f>IF($B639&lt;&gt;"",INDEX(DataOB[],FirstRow+ROW()-7,MATCH(W$6,DataOB[#Headers],0)),"")</f>
        <v/>
      </c>
      <c r="X639" s="67" t="str">
        <f>IF($B639&lt;&gt;"",INDEX(DataOB[],FirstRow+ROW()-7,MATCH(X$6,DataOB[#Headers],0)),"")</f>
        <v/>
      </c>
      <c r="Y639" s="67" t="str">
        <f>IF($B639&lt;&gt;"",INDEX(DataOB[],FirstRow+ROW()-7,MATCH(Y$6,DataOB[#Headers],0)),"")</f>
        <v/>
      </c>
      <c r="Z639" s="67" t="str">
        <f>IF($B639&lt;&gt;"",INDEX(DataOB[],FirstRow+ROW()-7,MATCH(Z$6,DataOB[#Headers],0)),"")</f>
        <v/>
      </c>
      <c r="AA639" s="67" t="str">
        <f>IF($B639&lt;&gt;"",INDEX(DataOB[],FirstRow+ROW()-7,MATCH(AA$6,DataOB[#Headers],0)),"")</f>
        <v/>
      </c>
      <c r="AB639" s="67" t="str">
        <f>IF($B639&lt;&gt;"",INDEX(DataOB[],FirstRow+ROW()-7,MATCH(AB$6,DataOB[#Headers],0)),"")</f>
        <v/>
      </c>
      <c r="AC639" s="67" t="str">
        <f>IF($B639&lt;&gt;"",INDEX(DataOB[],FirstRow+ROW()-7,MATCH(AC$6,DataOB[#Headers],0)),"")</f>
        <v/>
      </c>
      <c r="AD639" s="67" t="str">
        <f>IF($B639&lt;&gt;"",INDEX(DataOB[],FirstRow+ROW()-7,MATCH(AD$6,DataOB[#Headers],0)),"")</f>
        <v/>
      </c>
      <c r="AE639" s="67" t="str">
        <f>IF($B639&lt;&gt;"",INDEX(DataOB[],FirstRow+ROW()-7,MATCH(AE$6,DataOB[#Headers],0)),"")</f>
        <v/>
      </c>
      <c r="AF639" s="26">
        <f t="shared" si="95"/>
        <v>0</v>
      </c>
      <c r="AG639" s="31">
        <f>SUM($T639:T639)</f>
        <v>0</v>
      </c>
      <c r="AH639" s="31">
        <f>SUM($T639:U639)</f>
        <v>0</v>
      </c>
      <c r="AI639" s="31">
        <f>SUM($T639:V639)</f>
        <v>0</v>
      </c>
      <c r="AJ639" s="31">
        <f>SUM($T639:W639)</f>
        <v>0</v>
      </c>
      <c r="AK639" s="31">
        <f>SUM($T639:X639)</f>
        <v>0</v>
      </c>
      <c r="AL639" s="31">
        <f>SUM($T639:Y639)</f>
        <v>0</v>
      </c>
      <c r="AM639" s="31">
        <f>SUM($T639:Z639)</f>
        <v>0</v>
      </c>
      <c r="AN639" s="31">
        <f>SUM($T639:AA639)</f>
        <v>0</v>
      </c>
      <c r="AO639" s="31">
        <f>SUM($T639:AB639)</f>
        <v>0</v>
      </c>
      <c r="AP639" s="31">
        <f>SUM($T639:AC639)</f>
        <v>0</v>
      </c>
      <c r="AQ639" s="31">
        <f>SUM($T639:AD639)</f>
        <v>0</v>
      </c>
      <c r="AR639" s="31">
        <f>SUM($T639:AE639)</f>
        <v>0</v>
      </c>
      <c r="AS639" s="27">
        <f t="shared" si="96"/>
        <v>0</v>
      </c>
    </row>
    <row r="640" spans="2:45">
      <c r="B640" s="102" t="str">
        <f>IF(ROW()-6&gt;NumCostCenter,"",IF(CostCenter&lt;&gt;"ALL",CostCenter,DATA_LF2!B638))</f>
        <v/>
      </c>
      <c r="C640" s="153" t="str">
        <f>IF($B640&lt;&gt;"",INDEX(DataOB[],FirstRow+ROW()-7,2),"")</f>
        <v/>
      </c>
      <c r="D640" s="66" t="str">
        <f>IF($B640&lt;&gt;"",INDEX(DataOB[],FirstRow+ROW()-7,3),"")</f>
        <v/>
      </c>
      <c r="E640" s="103" t="str">
        <f>IF($B640&lt;&gt;"",INDEX(DataOB[],FirstRow+ROW()-7,6),"")</f>
        <v/>
      </c>
      <c r="F640" s="103" t="str">
        <f>IF($B640&lt;&gt;"",INDEX(DataOB[],FirstRow+ROW()-7,5),"")</f>
        <v/>
      </c>
      <c r="G640" s="58">
        <f>IF($B640&lt;&gt;"",SUMIFS(DataAct_tbl[AMOUNT],DataAct_tbl[BG CODE],Detail!$D640,DataAct_tbl[MONTH],LEFT(MonthName,3),DataAct_tbl[Dept code],$B640),0)</f>
        <v>0</v>
      </c>
      <c r="H640" s="31" t="str">
        <f t="shared" si="88"/>
        <v/>
      </c>
      <c r="I640" s="28" t="str">
        <f t="shared" si="89"/>
        <v/>
      </c>
      <c r="J640" s="32" t="str">
        <f t="shared" si="90"/>
        <v/>
      </c>
      <c r="K640" s="86"/>
      <c r="L640" s="62">
        <f>IF($B640&lt;&gt;"",SUMIFS(DataAct_tbl[AMOUNT],DataAct_tbl[BG CODE],Detail!$D640,DataAct_tbl[Check Range],"=true",DataAct_tbl[Dept code],$B640),0)</f>
        <v>0</v>
      </c>
      <c r="M640" s="63">
        <f>INDEX($AG$7:$AR$1005,ROW()-6,MATCH(MTD,$AG$6:$AR$6,0))</f>
        <v>0</v>
      </c>
      <c r="N640" s="34">
        <f t="shared" si="91"/>
        <v>0</v>
      </c>
      <c r="O640" s="64" t="str">
        <f t="shared" si="92"/>
        <v xml:space="preserve"> </v>
      </c>
      <c r="Q640" s="97">
        <f t="shared" si="93"/>
        <v>0</v>
      </c>
      <c r="R640" s="96">
        <f t="shared" si="94"/>
        <v>0</v>
      </c>
      <c r="T640" s="67" t="str">
        <f>IF($B640&lt;&gt;"",INDEX(DataOB[],FirstRow+ROW()-7,MATCH(T$6,DataOB[#Headers],0)),"")</f>
        <v/>
      </c>
      <c r="U640" s="67" t="str">
        <f>IF($B640&lt;&gt;"",INDEX(DataOB[],FirstRow+ROW()-7,MATCH(U$6,DataOB[#Headers],0)),"")</f>
        <v/>
      </c>
      <c r="V640" s="67" t="str">
        <f>IF($B640&lt;&gt;"",INDEX(DataOB[],FirstRow+ROW()-7,MATCH(V$6,DataOB[#Headers],0)),"")</f>
        <v/>
      </c>
      <c r="W640" s="67" t="str">
        <f>IF($B640&lt;&gt;"",INDEX(DataOB[],FirstRow+ROW()-7,MATCH(W$6,DataOB[#Headers],0)),"")</f>
        <v/>
      </c>
      <c r="X640" s="67" t="str">
        <f>IF($B640&lt;&gt;"",INDEX(DataOB[],FirstRow+ROW()-7,MATCH(X$6,DataOB[#Headers],0)),"")</f>
        <v/>
      </c>
      <c r="Y640" s="67" t="str">
        <f>IF($B640&lt;&gt;"",INDEX(DataOB[],FirstRow+ROW()-7,MATCH(Y$6,DataOB[#Headers],0)),"")</f>
        <v/>
      </c>
      <c r="Z640" s="67" t="str">
        <f>IF($B640&lt;&gt;"",INDEX(DataOB[],FirstRow+ROW()-7,MATCH(Z$6,DataOB[#Headers],0)),"")</f>
        <v/>
      </c>
      <c r="AA640" s="67" t="str">
        <f>IF($B640&lt;&gt;"",INDEX(DataOB[],FirstRow+ROW()-7,MATCH(AA$6,DataOB[#Headers],0)),"")</f>
        <v/>
      </c>
      <c r="AB640" s="67" t="str">
        <f>IF($B640&lt;&gt;"",INDEX(DataOB[],FirstRow+ROW()-7,MATCH(AB$6,DataOB[#Headers],0)),"")</f>
        <v/>
      </c>
      <c r="AC640" s="67" t="str">
        <f>IF($B640&lt;&gt;"",INDEX(DataOB[],FirstRow+ROW()-7,MATCH(AC$6,DataOB[#Headers],0)),"")</f>
        <v/>
      </c>
      <c r="AD640" s="67" t="str">
        <f>IF($B640&lt;&gt;"",INDEX(DataOB[],FirstRow+ROW()-7,MATCH(AD$6,DataOB[#Headers],0)),"")</f>
        <v/>
      </c>
      <c r="AE640" s="67" t="str">
        <f>IF($B640&lt;&gt;"",INDEX(DataOB[],FirstRow+ROW()-7,MATCH(AE$6,DataOB[#Headers],0)),"")</f>
        <v/>
      </c>
      <c r="AF640" s="26">
        <f t="shared" si="95"/>
        <v>0</v>
      </c>
      <c r="AG640" s="31">
        <f>SUM($T640:T640)</f>
        <v>0</v>
      </c>
      <c r="AH640" s="31">
        <f>SUM($T640:U640)</f>
        <v>0</v>
      </c>
      <c r="AI640" s="31">
        <f>SUM($T640:V640)</f>
        <v>0</v>
      </c>
      <c r="AJ640" s="31">
        <f>SUM($T640:W640)</f>
        <v>0</v>
      </c>
      <c r="AK640" s="31">
        <f>SUM($T640:X640)</f>
        <v>0</v>
      </c>
      <c r="AL640" s="31">
        <f>SUM($T640:Y640)</f>
        <v>0</v>
      </c>
      <c r="AM640" s="31">
        <f>SUM($T640:Z640)</f>
        <v>0</v>
      </c>
      <c r="AN640" s="31">
        <f>SUM($T640:AA640)</f>
        <v>0</v>
      </c>
      <c r="AO640" s="31">
        <f>SUM($T640:AB640)</f>
        <v>0</v>
      </c>
      <c r="AP640" s="31">
        <f>SUM($T640:AC640)</f>
        <v>0</v>
      </c>
      <c r="AQ640" s="31">
        <f>SUM($T640:AD640)</f>
        <v>0</v>
      </c>
      <c r="AR640" s="31">
        <f>SUM($T640:AE640)</f>
        <v>0</v>
      </c>
      <c r="AS640" s="27">
        <f t="shared" si="96"/>
        <v>0</v>
      </c>
    </row>
    <row r="641" spans="2:45">
      <c r="B641" s="102" t="str">
        <f>IF(ROW()-6&gt;NumCostCenter,"",IF(CostCenter&lt;&gt;"ALL",CostCenter,DATA_LF2!B639))</f>
        <v/>
      </c>
      <c r="C641" s="153" t="str">
        <f>IF($B641&lt;&gt;"",INDEX(DataOB[],FirstRow+ROW()-7,2),"")</f>
        <v/>
      </c>
      <c r="D641" s="66" t="str">
        <f>IF($B641&lt;&gt;"",INDEX(DataOB[],FirstRow+ROW()-7,3),"")</f>
        <v/>
      </c>
      <c r="E641" s="103" t="str">
        <f>IF($B641&lt;&gt;"",INDEX(DataOB[],FirstRow+ROW()-7,6),"")</f>
        <v/>
      </c>
      <c r="F641" s="103" t="str">
        <f>IF($B641&lt;&gt;"",INDEX(DataOB[],FirstRow+ROW()-7,5),"")</f>
        <v/>
      </c>
      <c r="G641" s="58">
        <f>IF($B641&lt;&gt;"",SUMIFS(DataAct_tbl[AMOUNT],DataAct_tbl[BG CODE],Detail!$D641,DataAct_tbl[MONTH],LEFT(MonthName,3),DataAct_tbl[Dept code],$B641),0)</f>
        <v>0</v>
      </c>
      <c r="H641" s="31" t="str">
        <f t="shared" si="88"/>
        <v/>
      </c>
      <c r="I641" s="28" t="str">
        <f t="shared" si="89"/>
        <v/>
      </c>
      <c r="J641" s="32" t="str">
        <f t="shared" si="90"/>
        <v/>
      </c>
      <c r="K641" s="86"/>
      <c r="L641" s="62">
        <f>IF($B641&lt;&gt;"",SUMIFS(DataAct_tbl[AMOUNT],DataAct_tbl[BG CODE],Detail!$D641,DataAct_tbl[Check Range],"=true",DataAct_tbl[Dept code],$B641),0)</f>
        <v>0</v>
      </c>
      <c r="M641" s="63">
        <f>INDEX($AG$7:$AR$1005,ROW()-6,MATCH(MTD,$AG$6:$AR$6,0))</f>
        <v>0</v>
      </c>
      <c r="N641" s="34">
        <f t="shared" si="91"/>
        <v>0</v>
      </c>
      <c r="O641" s="64" t="str">
        <f t="shared" si="92"/>
        <v xml:space="preserve"> </v>
      </c>
      <c r="Q641" s="97">
        <f t="shared" si="93"/>
        <v>0</v>
      </c>
      <c r="R641" s="96">
        <f t="shared" si="94"/>
        <v>0</v>
      </c>
      <c r="T641" s="67" t="str">
        <f>IF($B641&lt;&gt;"",INDEX(DataOB[],FirstRow+ROW()-7,MATCH(T$6,DataOB[#Headers],0)),"")</f>
        <v/>
      </c>
      <c r="U641" s="67" t="str">
        <f>IF($B641&lt;&gt;"",INDEX(DataOB[],FirstRow+ROW()-7,MATCH(U$6,DataOB[#Headers],0)),"")</f>
        <v/>
      </c>
      <c r="V641" s="67" t="str">
        <f>IF($B641&lt;&gt;"",INDEX(DataOB[],FirstRow+ROW()-7,MATCH(V$6,DataOB[#Headers],0)),"")</f>
        <v/>
      </c>
      <c r="W641" s="67" t="str">
        <f>IF($B641&lt;&gt;"",INDEX(DataOB[],FirstRow+ROW()-7,MATCH(W$6,DataOB[#Headers],0)),"")</f>
        <v/>
      </c>
      <c r="X641" s="67" t="str">
        <f>IF($B641&lt;&gt;"",INDEX(DataOB[],FirstRow+ROW()-7,MATCH(X$6,DataOB[#Headers],0)),"")</f>
        <v/>
      </c>
      <c r="Y641" s="67" t="str">
        <f>IF($B641&lt;&gt;"",INDEX(DataOB[],FirstRow+ROW()-7,MATCH(Y$6,DataOB[#Headers],0)),"")</f>
        <v/>
      </c>
      <c r="Z641" s="67" t="str">
        <f>IF($B641&lt;&gt;"",INDEX(DataOB[],FirstRow+ROW()-7,MATCH(Z$6,DataOB[#Headers],0)),"")</f>
        <v/>
      </c>
      <c r="AA641" s="67" t="str">
        <f>IF($B641&lt;&gt;"",INDEX(DataOB[],FirstRow+ROW()-7,MATCH(AA$6,DataOB[#Headers],0)),"")</f>
        <v/>
      </c>
      <c r="AB641" s="67" t="str">
        <f>IF($B641&lt;&gt;"",INDEX(DataOB[],FirstRow+ROW()-7,MATCH(AB$6,DataOB[#Headers],0)),"")</f>
        <v/>
      </c>
      <c r="AC641" s="67" t="str">
        <f>IF($B641&lt;&gt;"",INDEX(DataOB[],FirstRow+ROW()-7,MATCH(AC$6,DataOB[#Headers],0)),"")</f>
        <v/>
      </c>
      <c r="AD641" s="67" t="str">
        <f>IF($B641&lt;&gt;"",INDEX(DataOB[],FirstRow+ROW()-7,MATCH(AD$6,DataOB[#Headers],0)),"")</f>
        <v/>
      </c>
      <c r="AE641" s="67" t="str">
        <f>IF($B641&lt;&gt;"",INDEX(DataOB[],FirstRow+ROW()-7,MATCH(AE$6,DataOB[#Headers],0)),"")</f>
        <v/>
      </c>
      <c r="AF641" s="26">
        <f t="shared" si="95"/>
        <v>0</v>
      </c>
      <c r="AG641" s="31">
        <f>SUM($T641:T641)</f>
        <v>0</v>
      </c>
      <c r="AH641" s="31">
        <f>SUM($T641:U641)</f>
        <v>0</v>
      </c>
      <c r="AI641" s="31">
        <f>SUM($T641:V641)</f>
        <v>0</v>
      </c>
      <c r="AJ641" s="31">
        <f>SUM($T641:W641)</f>
        <v>0</v>
      </c>
      <c r="AK641" s="31">
        <f>SUM($T641:X641)</f>
        <v>0</v>
      </c>
      <c r="AL641" s="31">
        <f>SUM($T641:Y641)</f>
        <v>0</v>
      </c>
      <c r="AM641" s="31">
        <f>SUM($T641:Z641)</f>
        <v>0</v>
      </c>
      <c r="AN641" s="31">
        <f>SUM($T641:AA641)</f>
        <v>0</v>
      </c>
      <c r="AO641" s="31">
        <f>SUM($T641:AB641)</f>
        <v>0</v>
      </c>
      <c r="AP641" s="31">
        <f>SUM($T641:AC641)</f>
        <v>0</v>
      </c>
      <c r="AQ641" s="31">
        <f>SUM($T641:AD641)</f>
        <v>0</v>
      </c>
      <c r="AR641" s="31">
        <f>SUM($T641:AE641)</f>
        <v>0</v>
      </c>
      <c r="AS641" s="27">
        <f t="shared" si="96"/>
        <v>0</v>
      </c>
    </row>
    <row r="642" spans="2:45">
      <c r="B642" s="102" t="str">
        <f>IF(ROW()-6&gt;NumCostCenter,"",IF(CostCenter&lt;&gt;"ALL",CostCenter,DATA_LF2!B640))</f>
        <v/>
      </c>
      <c r="C642" s="153" t="str">
        <f>IF($B642&lt;&gt;"",INDEX(DataOB[],FirstRow+ROW()-7,2),"")</f>
        <v/>
      </c>
      <c r="D642" s="66" t="str">
        <f>IF($B642&lt;&gt;"",INDEX(DataOB[],FirstRow+ROW()-7,3),"")</f>
        <v/>
      </c>
      <c r="E642" s="103" t="str">
        <f>IF($B642&lt;&gt;"",INDEX(DataOB[],FirstRow+ROW()-7,6),"")</f>
        <v/>
      </c>
      <c r="F642" s="103" t="str">
        <f>IF($B642&lt;&gt;"",INDEX(DataOB[],FirstRow+ROW()-7,5),"")</f>
        <v/>
      </c>
      <c r="G642" s="58">
        <f>IF($B642&lt;&gt;"",SUMIFS(DataAct_tbl[AMOUNT],DataAct_tbl[BG CODE],Detail!$D642,DataAct_tbl[MONTH],LEFT(MonthName,3),DataAct_tbl[Dept code],$B642),0)</f>
        <v>0</v>
      </c>
      <c r="H642" s="31" t="str">
        <f t="shared" si="88"/>
        <v/>
      </c>
      <c r="I642" s="28" t="str">
        <f t="shared" si="89"/>
        <v/>
      </c>
      <c r="J642" s="32" t="str">
        <f t="shared" si="90"/>
        <v/>
      </c>
      <c r="K642" s="86"/>
      <c r="L642" s="62">
        <f>IF($B642&lt;&gt;"",SUMIFS(DataAct_tbl[AMOUNT],DataAct_tbl[BG CODE],Detail!$D642,DataAct_tbl[Check Range],"=true",DataAct_tbl[Dept code],$B642),0)</f>
        <v>0</v>
      </c>
      <c r="M642" s="63">
        <f>INDEX($AG$7:$AR$1005,ROW()-6,MATCH(MTD,$AG$6:$AR$6,0))</f>
        <v>0</v>
      </c>
      <c r="N642" s="34">
        <f t="shared" si="91"/>
        <v>0</v>
      </c>
      <c r="O642" s="64" t="str">
        <f t="shared" si="92"/>
        <v xml:space="preserve"> </v>
      </c>
      <c r="Q642" s="97">
        <f t="shared" si="93"/>
        <v>0</v>
      </c>
      <c r="R642" s="96">
        <f t="shared" si="94"/>
        <v>0</v>
      </c>
      <c r="T642" s="67" t="str">
        <f>IF($B642&lt;&gt;"",INDEX(DataOB[],FirstRow+ROW()-7,MATCH(T$6,DataOB[#Headers],0)),"")</f>
        <v/>
      </c>
      <c r="U642" s="67" t="str">
        <f>IF($B642&lt;&gt;"",INDEX(DataOB[],FirstRow+ROW()-7,MATCH(U$6,DataOB[#Headers],0)),"")</f>
        <v/>
      </c>
      <c r="V642" s="67" t="str">
        <f>IF($B642&lt;&gt;"",INDEX(DataOB[],FirstRow+ROW()-7,MATCH(V$6,DataOB[#Headers],0)),"")</f>
        <v/>
      </c>
      <c r="W642" s="67" t="str">
        <f>IF($B642&lt;&gt;"",INDEX(DataOB[],FirstRow+ROW()-7,MATCH(W$6,DataOB[#Headers],0)),"")</f>
        <v/>
      </c>
      <c r="X642" s="67" t="str">
        <f>IF($B642&lt;&gt;"",INDEX(DataOB[],FirstRow+ROW()-7,MATCH(X$6,DataOB[#Headers],0)),"")</f>
        <v/>
      </c>
      <c r="Y642" s="67" t="str">
        <f>IF($B642&lt;&gt;"",INDEX(DataOB[],FirstRow+ROW()-7,MATCH(Y$6,DataOB[#Headers],0)),"")</f>
        <v/>
      </c>
      <c r="Z642" s="67" t="str">
        <f>IF($B642&lt;&gt;"",INDEX(DataOB[],FirstRow+ROW()-7,MATCH(Z$6,DataOB[#Headers],0)),"")</f>
        <v/>
      </c>
      <c r="AA642" s="67" t="str">
        <f>IF($B642&lt;&gt;"",INDEX(DataOB[],FirstRow+ROW()-7,MATCH(AA$6,DataOB[#Headers],0)),"")</f>
        <v/>
      </c>
      <c r="AB642" s="67" t="str">
        <f>IF($B642&lt;&gt;"",INDEX(DataOB[],FirstRow+ROW()-7,MATCH(AB$6,DataOB[#Headers],0)),"")</f>
        <v/>
      </c>
      <c r="AC642" s="67" t="str">
        <f>IF($B642&lt;&gt;"",INDEX(DataOB[],FirstRow+ROW()-7,MATCH(AC$6,DataOB[#Headers],0)),"")</f>
        <v/>
      </c>
      <c r="AD642" s="67" t="str">
        <f>IF($B642&lt;&gt;"",INDEX(DataOB[],FirstRow+ROW()-7,MATCH(AD$6,DataOB[#Headers],0)),"")</f>
        <v/>
      </c>
      <c r="AE642" s="67" t="str">
        <f>IF($B642&lt;&gt;"",INDEX(DataOB[],FirstRow+ROW()-7,MATCH(AE$6,DataOB[#Headers],0)),"")</f>
        <v/>
      </c>
      <c r="AF642" s="26">
        <f t="shared" si="95"/>
        <v>0</v>
      </c>
      <c r="AG642" s="31">
        <f>SUM($T642:T642)</f>
        <v>0</v>
      </c>
      <c r="AH642" s="31">
        <f>SUM($T642:U642)</f>
        <v>0</v>
      </c>
      <c r="AI642" s="31">
        <f>SUM($T642:V642)</f>
        <v>0</v>
      </c>
      <c r="AJ642" s="31">
        <f>SUM($T642:W642)</f>
        <v>0</v>
      </c>
      <c r="AK642" s="31">
        <f>SUM($T642:X642)</f>
        <v>0</v>
      </c>
      <c r="AL642" s="31">
        <f>SUM($T642:Y642)</f>
        <v>0</v>
      </c>
      <c r="AM642" s="31">
        <f>SUM($T642:Z642)</f>
        <v>0</v>
      </c>
      <c r="AN642" s="31">
        <f>SUM($T642:AA642)</f>
        <v>0</v>
      </c>
      <c r="AO642" s="31">
        <f>SUM($T642:AB642)</f>
        <v>0</v>
      </c>
      <c r="AP642" s="31">
        <f>SUM($T642:AC642)</f>
        <v>0</v>
      </c>
      <c r="AQ642" s="31">
        <f>SUM($T642:AD642)</f>
        <v>0</v>
      </c>
      <c r="AR642" s="31">
        <f>SUM($T642:AE642)</f>
        <v>0</v>
      </c>
      <c r="AS642" s="27">
        <f t="shared" si="96"/>
        <v>0</v>
      </c>
    </row>
    <row r="643" spans="2:45">
      <c r="B643" s="102" t="str">
        <f>IF(ROW()-6&gt;NumCostCenter,"",IF(CostCenter&lt;&gt;"ALL",CostCenter,DATA_LF2!B641))</f>
        <v/>
      </c>
      <c r="C643" s="153" t="str">
        <f>IF($B643&lt;&gt;"",INDEX(DataOB[],FirstRow+ROW()-7,2),"")</f>
        <v/>
      </c>
      <c r="D643" s="66" t="str">
        <f>IF($B643&lt;&gt;"",INDEX(DataOB[],FirstRow+ROW()-7,3),"")</f>
        <v/>
      </c>
      <c r="E643" s="103" t="str">
        <f>IF($B643&lt;&gt;"",INDEX(DataOB[],FirstRow+ROW()-7,6),"")</f>
        <v/>
      </c>
      <c r="F643" s="103" t="str">
        <f>IF($B643&lt;&gt;"",INDEX(DataOB[],FirstRow+ROW()-7,5),"")</f>
        <v/>
      </c>
      <c r="G643" s="58">
        <f>IF($B643&lt;&gt;"",SUMIFS(DataAct_tbl[AMOUNT],DataAct_tbl[BG CODE],Detail!$D643,DataAct_tbl[MONTH],LEFT(MonthName,3),DataAct_tbl[Dept code],$B643),0)</f>
        <v>0</v>
      </c>
      <c r="H643" s="31" t="str">
        <f t="shared" si="88"/>
        <v/>
      </c>
      <c r="I643" s="28" t="str">
        <f t="shared" si="89"/>
        <v/>
      </c>
      <c r="J643" s="32" t="str">
        <f t="shared" si="90"/>
        <v/>
      </c>
      <c r="K643" s="86"/>
      <c r="L643" s="62">
        <f>IF($B643&lt;&gt;"",SUMIFS(DataAct_tbl[AMOUNT],DataAct_tbl[BG CODE],Detail!$D643,DataAct_tbl[Check Range],"=true",DataAct_tbl[Dept code],$B643),0)</f>
        <v>0</v>
      </c>
      <c r="M643" s="63">
        <f>INDEX($AG$7:$AR$1005,ROW()-6,MATCH(MTD,$AG$6:$AR$6,0))</f>
        <v>0</v>
      </c>
      <c r="N643" s="34">
        <f t="shared" si="91"/>
        <v>0</v>
      </c>
      <c r="O643" s="64" t="str">
        <f t="shared" si="92"/>
        <v xml:space="preserve"> </v>
      </c>
      <c r="Q643" s="97">
        <f t="shared" si="93"/>
        <v>0</v>
      </c>
      <c r="R643" s="96">
        <f t="shared" si="94"/>
        <v>0</v>
      </c>
      <c r="T643" s="67" t="str">
        <f>IF($B643&lt;&gt;"",INDEX(DataOB[],FirstRow+ROW()-7,MATCH(T$6,DataOB[#Headers],0)),"")</f>
        <v/>
      </c>
      <c r="U643" s="67" t="str">
        <f>IF($B643&lt;&gt;"",INDEX(DataOB[],FirstRow+ROW()-7,MATCH(U$6,DataOB[#Headers],0)),"")</f>
        <v/>
      </c>
      <c r="V643" s="67" t="str">
        <f>IF($B643&lt;&gt;"",INDEX(DataOB[],FirstRow+ROW()-7,MATCH(V$6,DataOB[#Headers],0)),"")</f>
        <v/>
      </c>
      <c r="W643" s="67" t="str">
        <f>IF($B643&lt;&gt;"",INDEX(DataOB[],FirstRow+ROW()-7,MATCH(W$6,DataOB[#Headers],0)),"")</f>
        <v/>
      </c>
      <c r="X643" s="67" t="str">
        <f>IF($B643&lt;&gt;"",INDEX(DataOB[],FirstRow+ROW()-7,MATCH(X$6,DataOB[#Headers],0)),"")</f>
        <v/>
      </c>
      <c r="Y643" s="67" t="str">
        <f>IF($B643&lt;&gt;"",INDEX(DataOB[],FirstRow+ROW()-7,MATCH(Y$6,DataOB[#Headers],0)),"")</f>
        <v/>
      </c>
      <c r="Z643" s="67" t="str">
        <f>IF($B643&lt;&gt;"",INDEX(DataOB[],FirstRow+ROW()-7,MATCH(Z$6,DataOB[#Headers],0)),"")</f>
        <v/>
      </c>
      <c r="AA643" s="67" t="str">
        <f>IF($B643&lt;&gt;"",INDEX(DataOB[],FirstRow+ROW()-7,MATCH(AA$6,DataOB[#Headers],0)),"")</f>
        <v/>
      </c>
      <c r="AB643" s="67" t="str">
        <f>IF($B643&lt;&gt;"",INDEX(DataOB[],FirstRow+ROW()-7,MATCH(AB$6,DataOB[#Headers],0)),"")</f>
        <v/>
      </c>
      <c r="AC643" s="67" t="str">
        <f>IF($B643&lt;&gt;"",INDEX(DataOB[],FirstRow+ROW()-7,MATCH(AC$6,DataOB[#Headers],0)),"")</f>
        <v/>
      </c>
      <c r="AD643" s="67" t="str">
        <f>IF($B643&lt;&gt;"",INDEX(DataOB[],FirstRow+ROW()-7,MATCH(AD$6,DataOB[#Headers],0)),"")</f>
        <v/>
      </c>
      <c r="AE643" s="67" t="str">
        <f>IF($B643&lt;&gt;"",INDEX(DataOB[],FirstRow+ROW()-7,MATCH(AE$6,DataOB[#Headers],0)),"")</f>
        <v/>
      </c>
      <c r="AF643" s="26">
        <f t="shared" si="95"/>
        <v>0</v>
      </c>
      <c r="AG643" s="31">
        <f>SUM($T643:T643)</f>
        <v>0</v>
      </c>
      <c r="AH643" s="31">
        <f>SUM($T643:U643)</f>
        <v>0</v>
      </c>
      <c r="AI643" s="31">
        <f>SUM($T643:V643)</f>
        <v>0</v>
      </c>
      <c r="AJ643" s="31">
        <f>SUM($T643:W643)</f>
        <v>0</v>
      </c>
      <c r="AK643" s="31">
        <f>SUM($T643:X643)</f>
        <v>0</v>
      </c>
      <c r="AL643" s="31">
        <f>SUM($T643:Y643)</f>
        <v>0</v>
      </c>
      <c r="AM643" s="31">
        <f>SUM($T643:Z643)</f>
        <v>0</v>
      </c>
      <c r="AN643" s="31">
        <f>SUM($T643:AA643)</f>
        <v>0</v>
      </c>
      <c r="AO643" s="31">
        <f>SUM($T643:AB643)</f>
        <v>0</v>
      </c>
      <c r="AP643" s="31">
        <f>SUM($T643:AC643)</f>
        <v>0</v>
      </c>
      <c r="AQ643" s="31">
        <f>SUM($T643:AD643)</f>
        <v>0</v>
      </c>
      <c r="AR643" s="31">
        <f>SUM($T643:AE643)</f>
        <v>0</v>
      </c>
      <c r="AS643" s="27">
        <f t="shared" si="96"/>
        <v>0</v>
      </c>
    </row>
    <row r="644" spans="2:45">
      <c r="B644" s="102" t="str">
        <f>IF(ROW()-6&gt;NumCostCenter,"",IF(CostCenter&lt;&gt;"ALL",CostCenter,DATA_LF2!B642))</f>
        <v/>
      </c>
      <c r="C644" s="153" t="str">
        <f>IF($B644&lt;&gt;"",INDEX(DataOB[],FirstRow+ROW()-7,2),"")</f>
        <v/>
      </c>
      <c r="D644" s="66" t="str">
        <f>IF($B644&lt;&gt;"",INDEX(DataOB[],FirstRow+ROW()-7,3),"")</f>
        <v/>
      </c>
      <c r="E644" s="103" t="str">
        <f>IF($B644&lt;&gt;"",INDEX(DataOB[],FirstRow+ROW()-7,6),"")</f>
        <v/>
      </c>
      <c r="F644" s="103" t="str">
        <f>IF($B644&lt;&gt;"",INDEX(DataOB[],FirstRow+ROW()-7,5),"")</f>
        <v/>
      </c>
      <c r="G644" s="58">
        <f>IF($B644&lt;&gt;"",SUMIFS(DataAct_tbl[AMOUNT],DataAct_tbl[BG CODE],Detail!$D644,DataAct_tbl[MONTH],LEFT(MonthName,3),DataAct_tbl[Dept code],$B644),0)</f>
        <v>0</v>
      </c>
      <c r="H644" s="31" t="str">
        <f t="shared" si="88"/>
        <v/>
      </c>
      <c r="I644" s="28" t="str">
        <f t="shared" si="89"/>
        <v/>
      </c>
      <c r="J644" s="32" t="str">
        <f t="shared" si="90"/>
        <v/>
      </c>
      <c r="K644" s="86"/>
      <c r="L644" s="62">
        <f>IF($B644&lt;&gt;"",SUMIFS(DataAct_tbl[AMOUNT],DataAct_tbl[BG CODE],Detail!$D644,DataAct_tbl[Check Range],"=true",DataAct_tbl[Dept code],$B644),0)</f>
        <v>0</v>
      </c>
      <c r="M644" s="63">
        <f>INDEX($AG$7:$AR$1005,ROW()-6,MATCH(MTD,$AG$6:$AR$6,0))</f>
        <v>0</v>
      </c>
      <c r="N644" s="34">
        <f t="shared" si="91"/>
        <v>0</v>
      </c>
      <c r="O644" s="64" t="str">
        <f t="shared" si="92"/>
        <v xml:space="preserve"> </v>
      </c>
      <c r="Q644" s="97">
        <f t="shared" si="93"/>
        <v>0</v>
      </c>
      <c r="R644" s="96">
        <f t="shared" si="94"/>
        <v>0</v>
      </c>
      <c r="T644" s="67" t="str">
        <f>IF($B644&lt;&gt;"",INDEX(DataOB[],FirstRow+ROW()-7,MATCH(T$6,DataOB[#Headers],0)),"")</f>
        <v/>
      </c>
      <c r="U644" s="67" t="str">
        <f>IF($B644&lt;&gt;"",INDEX(DataOB[],FirstRow+ROW()-7,MATCH(U$6,DataOB[#Headers],0)),"")</f>
        <v/>
      </c>
      <c r="V644" s="67" t="str">
        <f>IF($B644&lt;&gt;"",INDEX(DataOB[],FirstRow+ROW()-7,MATCH(V$6,DataOB[#Headers],0)),"")</f>
        <v/>
      </c>
      <c r="W644" s="67" t="str">
        <f>IF($B644&lt;&gt;"",INDEX(DataOB[],FirstRow+ROW()-7,MATCH(W$6,DataOB[#Headers],0)),"")</f>
        <v/>
      </c>
      <c r="X644" s="67" t="str">
        <f>IF($B644&lt;&gt;"",INDEX(DataOB[],FirstRow+ROW()-7,MATCH(X$6,DataOB[#Headers],0)),"")</f>
        <v/>
      </c>
      <c r="Y644" s="67" t="str">
        <f>IF($B644&lt;&gt;"",INDEX(DataOB[],FirstRow+ROW()-7,MATCH(Y$6,DataOB[#Headers],0)),"")</f>
        <v/>
      </c>
      <c r="Z644" s="67" t="str">
        <f>IF($B644&lt;&gt;"",INDEX(DataOB[],FirstRow+ROW()-7,MATCH(Z$6,DataOB[#Headers],0)),"")</f>
        <v/>
      </c>
      <c r="AA644" s="67" t="str">
        <f>IF($B644&lt;&gt;"",INDEX(DataOB[],FirstRow+ROW()-7,MATCH(AA$6,DataOB[#Headers],0)),"")</f>
        <v/>
      </c>
      <c r="AB644" s="67" t="str">
        <f>IF($B644&lt;&gt;"",INDEX(DataOB[],FirstRow+ROW()-7,MATCH(AB$6,DataOB[#Headers],0)),"")</f>
        <v/>
      </c>
      <c r="AC644" s="67" t="str">
        <f>IF($B644&lt;&gt;"",INDEX(DataOB[],FirstRow+ROW()-7,MATCH(AC$6,DataOB[#Headers],0)),"")</f>
        <v/>
      </c>
      <c r="AD644" s="67" t="str">
        <f>IF($B644&lt;&gt;"",INDEX(DataOB[],FirstRow+ROW()-7,MATCH(AD$6,DataOB[#Headers],0)),"")</f>
        <v/>
      </c>
      <c r="AE644" s="67" t="str">
        <f>IF($B644&lt;&gt;"",INDEX(DataOB[],FirstRow+ROW()-7,MATCH(AE$6,DataOB[#Headers],0)),"")</f>
        <v/>
      </c>
      <c r="AF644" s="26">
        <f t="shared" si="95"/>
        <v>0</v>
      </c>
      <c r="AG644" s="31">
        <f>SUM($T644:T644)</f>
        <v>0</v>
      </c>
      <c r="AH644" s="31">
        <f>SUM($T644:U644)</f>
        <v>0</v>
      </c>
      <c r="AI644" s="31">
        <f>SUM($T644:V644)</f>
        <v>0</v>
      </c>
      <c r="AJ644" s="31">
        <f>SUM($T644:W644)</f>
        <v>0</v>
      </c>
      <c r="AK644" s="31">
        <f>SUM($T644:X644)</f>
        <v>0</v>
      </c>
      <c r="AL644" s="31">
        <f>SUM($T644:Y644)</f>
        <v>0</v>
      </c>
      <c r="AM644" s="31">
        <f>SUM($T644:Z644)</f>
        <v>0</v>
      </c>
      <c r="AN644" s="31">
        <f>SUM($T644:AA644)</f>
        <v>0</v>
      </c>
      <c r="AO644" s="31">
        <f>SUM($T644:AB644)</f>
        <v>0</v>
      </c>
      <c r="AP644" s="31">
        <f>SUM($T644:AC644)</f>
        <v>0</v>
      </c>
      <c r="AQ644" s="31">
        <f>SUM($T644:AD644)</f>
        <v>0</v>
      </c>
      <c r="AR644" s="31">
        <f>SUM($T644:AE644)</f>
        <v>0</v>
      </c>
      <c r="AS644" s="27">
        <f t="shared" si="96"/>
        <v>0</v>
      </c>
    </row>
    <row r="645" spans="2:45">
      <c r="B645" s="102" t="str">
        <f>IF(ROW()-6&gt;NumCostCenter,"",IF(CostCenter&lt;&gt;"ALL",CostCenter,DATA_LF2!B643))</f>
        <v/>
      </c>
      <c r="C645" s="153" t="str">
        <f>IF($B645&lt;&gt;"",INDEX(DataOB[],FirstRow+ROW()-7,2),"")</f>
        <v/>
      </c>
      <c r="D645" s="66" t="str">
        <f>IF($B645&lt;&gt;"",INDEX(DataOB[],FirstRow+ROW()-7,3),"")</f>
        <v/>
      </c>
      <c r="E645" s="103" t="str">
        <f>IF($B645&lt;&gt;"",INDEX(DataOB[],FirstRow+ROW()-7,6),"")</f>
        <v/>
      </c>
      <c r="F645" s="103" t="str">
        <f>IF($B645&lt;&gt;"",INDEX(DataOB[],FirstRow+ROW()-7,5),"")</f>
        <v/>
      </c>
      <c r="G645" s="58">
        <f>IF($B645&lt;&gt;"",SUMIFS(DataAct_tbl[AMOUNT],DataAct_tbl[BG CODE],Detail!$D645,DataAct_tbl[MONTH],LEFT(MonthName,3),DataAct_tbl[Dept code],$B645),0)</f>
        <v>0</v>
      </c>
      <c r="H645" s="31" t="str">
        <f t="shared" si="88"/>
        <v/>
      </c>
      <c r="I645" s="28" t="str">
        <f t="shared" si="89"/>
        <v/>
      </c>
      <c r="J645" s="32" t="str">
        <f t="shared" si="90"/>
        <v/>
      </c>
      <c r="K645" s="86"/>
      <c r="L645" s="62">
        <f>IF($B645&lt;&gt;"",SUMIFS(DataAct_tbl[AMOUNT],DataAct_tbl[BG CODE],Detail!$D645,DataAct_tbl[Check Range],"=true",DataAct_tbl[Dept code],$B645),0)</f>
        <v>0</v>
      </c>
      <c r="M645" s="63">
        <f>INDEX($AG$7:$AR$1005,ROW()-6,MATCH(MTD,$AG$6:$AR$6,0))</f>
        <v>0</v>
      </c>
      <c r="N645" s="34">
        <f t="shared" si="91"/>
        <v>0</v>
      </c>
      <c r="O645" s="64" t="str">
        <f t="shared" si="92"/>
        <v xml:space="preserve"> </v>
      </c>
      <c r="Q645" s="97">
        <f t="shared" si="93"/>
        <v>0</v>
      </c>
      <c r="R645" s="96">
        <f t="shared" si="94"/>
        <v>0</v>
      </c>
      <c r="T645" s="67" t="str">
        <f>IF($B645&lt;&gt;"",INDEX(DataOB[],FirstRow+ROW()-7,MATCH(T$6,DataOB[#Headers],0)),"")</f>
        <v/>
      </c>
      <c r="U645" s="67" t="str">
        <f>IF($B645&lt;&gt;"",INDEX(DataOB[],FirstRow+ROW()-7,MATCH(U$6,DataOB[#Headers],0)),"")</f>
        <v/>
      </c>
      <c r="V645" s="67" t="str">
        <f>IF($B645&lt;&gt;"",INDEX(DataOB[],FirstRow+ROW()-7,MATCH(V$6,DataOB[#Headers],0)),"")</f>
        <v/>
      </c>
      <c r="W645" s="67" t="str">
        <f>IF($B645&lt;&gt;"",INDEX(DataOB[],FirstRow+ROW()-7,MATCH(W$6,DataOB[#Headers],0)),"")</f>
        <v/>
      </c>
      <c r="X645" s="67" t="str">
        <f>IF($B645&lt;&gt;"",INDEX(DataOB[],FirstRow+ROW()-7,MATCH(X$6,DataOB[#Headers],0)),"")</f>
        <v/>
      </c>
      <c r="Y645" s="67" t="str">
        <f>IF($B645&lt;&gt;"",INDEX(DataOB[],FirstRow+ROW()-7,MATCH(Y$6,DataOB[#Headers],0)),"")</f>
        <v/>
      </c>
      <c r="Z645" s="67" t="str">
        <f>IF($B645&lt;&gt;"",INDEX(DataOB[],FirstRow+ROW()-7,MATCH(Z$6,DataOB[#Headers],0)),"")</f>
        <v/>
      </c>
      <c r="AA645" s="67" t="str">
        <f>IF($B645&lt;&gt;"",INDEX(DataOB[],FirstRow+ROW()-7,MATCH(AA$6,DataOB[#Headers],0)),"")</f>
        <v/>
      </c>
      <c r="AB645" s="67" t="str">
        <f>IF($B645&lt;&gt;"",INDEX(DataOB[],FirstRow+ROW()-7,MATCH(AB$6,DataOB[#Headers],0)),"")</f>
        <v/>
      </c>
      <c r="AC645" s="67" t="str">
        <f>IF($B645&lt;&gt;"",INDEX(DataOB[],FirstRow+ROW()-7,MATCH(AC$6,DataOB[#Headers],0)),"")</f>
        <v/>
      </c>
      <c r="AD645" s="67" t="str">
        <f>IF($B645&lt;&gt;"",INDEX(DataOB[],FirstRow+ROW()-7,MATCH(AD$6,DataOB[#Headers],0)),"")</f>
        <v/>
      </c>
      <c r="AE645" s="67" t="str">
        <f>IF($B645&lt;&gt;"",INDEX(DataOB[],FirstRow+ROW()-7,MATCH(AE$6,DataOB[#Headers],0)),"")</f>
        <v/>
      </c>
      <c r="AF645" s="26">
        <f t="shared" si="95"/>
        <v>0</v>
      </c>
      <c r="AG645" s="31">
        <f>SUM($T645:T645)</f>
        <v>0</v>
      </c>
      <c r="AH645" s="31">
        <f>SUM($T645:U645)</f>
        <v>0</v>
      </c>
      <c r="AI645" s="31">
        <f>SUM($T645:V645)</f>
        <v>0</v>
      </c>
      <c r="AJ645" s="31">
        <f>SUM($T645:W645)</f>
        <v>0</v>
      </c>
      <c r="AK645" s="31">
        <f>SUM($T645:X645)</f>
        <v>0</v>
      </c>
      <c r="AL645" s="31">
        <f>SUM($T645:Y645)</f>
        <v>0</v>
      </c>
      <c r="AM645" s="31">
        <f>SUM($T645:Z645)</f>
        <v>0</v>
      </c>
      <c r="AN645" s="31">
        <f>SUM($T645:AA645)</f>
        <v>0</v>
      </c>
      <c r="AO645" s="31">
        <f>SUM($T645:AB645)</f>
        <v>0</v>
      </c>
      <c r="AP645" s="31">
        <f>SUM($T645:AC645)</f>
        <v>0</v>
      </c>
      <c r="AQ645" s="31">
        <f>SUM($T645:AD645)</f>
        <v>0</v>
      </c>
      <c r="AR645" s="31">
        <f>SUM($T645:AE645)</f>
        <v>0</v>
      </c>
      <c r="AS645" s="27">
        <f t="shared" si="96"/>
        <v>0</v>
      </c>
    </row>
    <row r="646" spans="2:45">
      <c r="B646" s="102" t="str">
        <f>IF(ROW()-6&gt;NumCostCenter,"",IF(CostCenter&lt;&gt;"ALL",CostCenter,DATA_LF2!B644))</f>
        <v/>
      </c>
      <c r="C646" s="153" t="str">
        <f>IF($B646&lt;&gt;"",INDEX(DataOB[],FirstRow+ROW()-7,2),"")</f>
        <v/>
      </c>
      <c r="D646" s="66" t="str">
        <f>IF($B646&lt;&gt;"",INDEX(DataOB[],FirstRow+ROW()-7,3),"")</f>
        <v/>
      </c>
      <c r="E646" s="103" t="str">
        <f>IF($B646&lt;&gt;"",INDEX(DataOB[],FirstRow+ROW()-7,6),"")</f>
        <v/>
      </c>
      <c r="F646" s="103" t="str">
        <f>IF($B646&lt;&gt;"",INDEX(DataOB[],FirstRow+ROW()-7,5),"")</f>
        <v/>
      </c>
      <c r="G646" s="58">
        <f>IF($B646&lt;&gt;"",SUMIFS(DataAct_tbl[AMOUNT],DataAct_tbl[BG CODE],Detail!$D646,DataAct_tbl[MONTH],LEFT(MonthName,3),DataAct_tbl[Dept code],$B646),0)</f>
        <v>0</v>
      </c>
      <c r="H646" s="31" t="str">
        <f t="shared" si="88"/>
        <v/>
      </c>
      <c r="I646" s="28" t="str">
        <f t="shared" si="89"/>
        <v/>
      </c>
      <c r="J646" s="32" t="str">
        <f t="shared" si="90"/>
        <v/>
      </c>
      <c r="K646" s="86"/>
      <c r="L646" s="62">
        <f>IF($B646&lt;&gt;"",SUMIFS(DataAct_tbl[AMOUNT],DataAct_tbl[BG CODE],Detail!$D646,DataAct_tbl[Check Range],"=true",DataAct_tbl[Dept code],$B646),0)</f>
        <v>0</v>
      </c>
      <c r="M646" s="63">
        <f>INDEX($AG$7:$AR$1005,ROW()-6,MATCH(MTD,$AG$6:$AR$6,0))</f>
        <v>0</v>
      </c>
      <c r="N646" s="34">
        <f t="shared" si="91"/>
        <v>0</v>
      </c>
      <c r="O646" s="64" t="str">
        <f t="shared" si="92"/>
        <v xml:space="preserve"> </v>
      </c>
      <c r="Q646" s="97">
        <f t="shared" si="93"/>
        <v>0</v>
      </c>
      <c r="R646" s="96">
        <f t="shared" si="94"/>
        <v>0</v>
      </c>
      <c r="T646" s="67" t="str">
        <f>IF($B646&lt;&gt;"",INDEX(DataOB[],FirstRow+ROW()-7,MATCH(T$6,DataOB[#Headers],0)),"")</f>
        <v/>
      </c>
      <c r="U646" s="67" t="str">
        <f>IF($B646&lt;&gt;"",INDEX(DataOB[],FirstRow+ROW()-7,MATCH(U$6,DataOB[#Headers],0)),"")</f>
        <v/>
      </c>
      <c r="V646" s="67" t="str">
        <f>IF($B646&lt;&gt;"",INDEX(DataOB[],FirstRow+ROW()-7,MATCH(V$6,DataOB[#Headers],0)),"")</f>
        <v/>
      </c>
      <c r="W646" s="67" t="str">
        <f>IF($B646&lt;&gt;"",INDEX(DataOB[],FirstRow+ROW()-7,MATCH(W$6,DataOB[#Headers],0)),"")</f>
        <v/>
      </c>
      <c r="X646" s="67" t="str">
        <f>IF($B646&lt;&gt;"",INDEX(DataOB[],FirstRow+ROW()-7,MATCH(X$6,DataOB[#Headers],0)),"")</f>
        <v/>
      </c>
      <c r="Y646" s="67" t="str">
        <f>IF($B646&lt;&gt;"",INDEX(DataOB[],FirstRow+ROW()-7,MATCH(Y$6,DataOB[#Headers],0)),"")</f>
        <v/>
      </c>
      <c r="Z646" s="67" t="str">
        <f>IF($B646&lt;&gt;"",INDEX(DataOB[],FirstRow+ROW()-7,MATCH(Z$6,DataOB[#Headers],0)),"")</f>
        <v/>
      </c>
      <c r="AA646" s="67" t="str">
        <f>IF($B646&lt;&gt;"",INDEX(DataOB[],FirstRow+ROW()-7,MATCH(AA$6,DataOB[#Headers],0)),"")</f>
        <v/>
      </c>
      <c r="AB646" s="67" t="str">
        <f>IF($B646&lt;&gt;"",INDEX(DataOB[],FirstRow+ROW()-7,MATCH(AB$6,DataOB[#Headers],0)),"")</f>
        <v/>
      </c>
      <c r="AC646" s="67" t="str">
        <f>IF($B646&lt;&gt;"",INDEX(DataOB[],FirstRow+ROW()-7,MATCH(AC$6,DataOB[#Headers],0)),"")</f>
        <v/>
      </c>
      <c r="AD646" s="67" t="str">
        <f>IF($B646&lt;&gt;"",INDEX(DataOB[],FirstRow+ROW()-7,MATCH(AD$6,DataOB[#Headers],0)),"")</f>
        <v/>
      </c>
      <c r="AE646" s="67" t="str">
        <f>IF($B646&lt;&gt;"",INDEX(DataOB[],FirstRow+ROW()-7,MATCH(AE$6,DataOB[#Headers],0)),"")</f>
        <v/>
      </c>
      <c r="AF646" s="26">
        <f t="shared" si="95"/>
        <v>0</v>
      </c>
      <c r="AG646" s="31">
        <f>SUM($T646:T646)</f>
        <v>0</v>
      </c>
      <c r="AH646" s="31">
        <f>SUM($T646:U646)</f>
        <v>0</v>
      </c>
      <c r="AI646" s="31">
        <f>SUM($T646:V646)</f>
        <v>0</v>
      </c>
      <c r="AJ646" s="31">
        <f>SUM($T646:W646)</f>
        <v>0</v>
      </c>
      <c r="AK646" s="31">
        <f>SUM($T646:X646)</f>
        <v>0</v>
      </c>
      <c r="AL646" s="31">
        <f>SUM($T646:Y646)</f>
        <v>0</v>
      </c>
      <c r="AM646" s="31">
        <f>SUM($T646:Z646)</f>
        <v>0</v>
      </c>
      <c r="AN646" s="31">
        <f>SUM($T646:AA646)</f>
        <v>0</v>
      </c>
      <c r="AO646" s="31">
        <f>SUM($T646:AB646)</f>
        <v>0</v>
      </c>
      <c r="AP646" s="31">
        <f>SUM($T646:AC646)</f>
        <v>0</v>
      </c>
      <c r="AQ646" s="31">
        <f>SUM($T646:AD646)</f>
        <v>0</v>
      </c>
      <c r="AR646" s="31">
        <f>SUM($T646:AE646)</f>
        <v>0</v>
      </c>
      <c r="AS646" s="27">
        <f t="shared" si="96"/>
        <v>0</v>
      </c>
    </row>
    <row r="647" spans="2:45">
      <c r="B647" s="102" t="str">
        <f>IF(ROW()-6&gt;NumCostCenter,"",IF(CostCenter&lt;&gt;"ALL",CostCenter,DATA_LF2!B645))</f>
        <v/>
      </c>
      <c r="C647" s="153" t="str">
        <f>IF($B647&lt;&gt;"",INDEX(DataOB[],FirstRow+ROW()-7,2),"")</f>
        <v/>
      </c>
      <c r="D647" s="66" t="str">
        <f>IF($B647&lt;&gt;"",INDEX(DataOB[],FirstRow+ROW()-7,3),"")</f>
        <v/>
      </c>
      <c r="E647" s="103" t="str">
        <f>IF($B647&lt;&gt;"",INDEX(DataOB[],FirstRow+ROW()-7,6),"")</f>
        <v/>
      </c>
      <c r="F647" s="103" t="str">
        <f>IF($B647&lt;&gt;"",INDEX(DataOB[],FirstRow+ROW()-7,5),"")</f>
        <v/>
      </c>
      <c r="G647" s="58">
        <f>IF($B647&lt;&gt;"",SUMIFS(DataAct_tbl[AMOUNT],DataAct_tbl[BG CODE],Detail!$D647,DataAct_tbl[MONTH],LEFT(MonthName,3),DataAct_tbl[Dept code],$B647),0)</f>
        <v>0</v>
      </c>
      <c r="H647" s="31" t="str">
        <f t="shared" ref="H647:H710" si="97">INDEX($T$7:$AE$1005,ROW()-6,MATCH(MonthName,$T$6:$AE$6,0))</f>
        <v/>
      </c>
      <c r="I647" s="28" t="str">
        <f t="shared" si="89"/>
        <v/>
      </c>
      <c r="J647" s="32" t="str">
        <f t="shared" si="90"/>
        <v/>
      </c>
      <c r="K647" s="86"/>
      <c r="L647" s="62">
        <f>IF($B647&lt;&gt;"",SUMIFS(DataAct_tbl[AMOUNT],DataAct_tbl[BG CODE],Detail!$D647,DataAct_tbl[Check Range],"=true",DataAct_tbl[Dept code],$B647),0)</f>
        <v>0</v>
      </c>
      <c r="M647" s="63">
        <f>INDEX($AG$7:$AR$1005,ROW()-6,MATCH(MTD,$AG$6:$AR$6,0))</f>
        <v>0</v>
      </c>
      <c r="N647" s="34">
        <f t="shared" si="91"/>
        <v>0</v>
      </c>
      <c r="O647" s="64" t="str">
        <f t="shared" si="92"/>
        <v xml:space="preserve"> </v>
      </c>
      <c r="Q647" s="97">
        <f t="shared" si="93"/>
        <v>0</v>
      </c>
      <c r="R647" s="96">
        <f t="shared" si="94"/>
        <v>0</v>
      </c>
      <c r="T647" s="67" t="str">
        <f>IF($B647&lt;&gt;"",INDEX(DataOB[],FirstRow+ROW()-7,MATCH(T$6,DataOB[#Headers],0)),"")</f>
        <v/>
      </c>
      <c r="U647" s="67" t="str">
        <f>IF($B647&lt;&gt;"",INDEX(DataOB[],FirstRow+ROW()-7,MATCH(U$6,DataOB[#Headers],0)),"")</f>
        <v/>
      </c>
      <c r="V647" s="67" t="str">
        <f>IF($B647&lt;&gt;"",INDEX(DataOB[],FirstRow+ROW()-7,MATCH(V$6,DataOB[#Headers],0)),"")</f>
        <v/>
      </c>
      <c r="W647" s="67" t="str">
        <f>IF($B647&lt;&gt;"",INDEX(DataOB[],FirstRow+ROW()-7,MATCH(W$6,DataOB[#Headers],0)),"")</f>
        <v/>
      </c>
      <c r="X647" s="67" t="str">
        <f>IF($B647&lt;&gt;"",INDEX(DataOB[],FirstRow+ROW()-7,MATCH(X$6,DataOB[#Headers],0)),"")</f>
        <v/>
      </c>
      <c r="Y647" s="67" t="str">
        <f>IF($B647&lt;&gt;"",INDEX(DataOB[],FirstRow+ROW()-7,MATCH(Y$6,DataOB[#Headers],0)),"")</f>
        <v/>
      </c>
      <c r="Z647" s="67" t="str">
        <f>IF($B647&lt;&gt;"",INDEX(DataOB[],FirstRow+ROW()-7,MATCH(Z$6,DataOB[#Headers],0)),"")</f>
        <v/>
      </c>
      <c r="AA647" s="67" t="str">
        <f>IF($B647&lt;&gt;"",INDEX(DataOB[],FirstRow+ROW()-7,MATCH(AA$6,DataOB[#Headers],0)),"")</f>
        <v/>
      </c>
      <c r="AB647" s="67" t="str">
        <f>IF($B647&lt;&gt;"",INDEX(DataOB[],FirstRow+ROW()-7,MATCH(AB$6,DataOB[#Headers],0)),"")</f>
        <v/>
      </c>
      <c r="AC647" s="67" t="str">
        <f>IF($B647&lt;&gt;"",INDEX(DataOB[],FirstRow+ROW()-7,MATCH(AC$6,DataOB[#Headers],0)),"")</f>
        <v/>
      </c>
      <c r="AD647" s="67" t="str">
        <f>IF($B647&lt;&gt;"",INDEX(DataOB[],FirstRow+ROW()-7,MATCH(AD$6,DataOB[#Headers],0)),"")</f>
        <v/>
      </c>
      <c r="AE647" s="67" t="str">
        <f>IF($B647&lt;&gt;"",INDEX(DataOB[],FirstRow+ROW()-7,MATCH(AE$6,DataOB[#Headers],0)),"")</f>
        <v/>
      </c>
      <c r="AF647" s="26">
        <f t="shared" si="95"/>
        <v>0</v>
      </c>
      <c r="AG647" s="31">
        <f>SUM($T647:T647)</f>
        <v>0</v>
      </c>
      <c r="AH647" s="31">
        <f>SUM($T647:U647)</f>
        <v>0</v>
      </c>
      <c r="AI647" s="31">
        <f>SUM($T647:V647)</f>
        <v>0</v>
      </c>
      <c r="AJ647" s="31">
        <f>SUM($T647:W647)</f>
        <v>0</v>
      </c>
      <c r="AK647" s="31">
        <f>SUM($T647:X647)</f>
        <v>0</v>
      </c>
      <c r="AL647" s="31">
        <f>SUM($T647:Y647)</f>
        <v>0</v>
      </c>
      <c r="AM647" s="31">
        <f>SUM($T647:Z647)</f>
        <v>0</v>
      </c>
      <c r="AN647" s="31">
        <f>SUM($T647:AA647)</f>
        <v>0</v>
      </c>
      <c r="AO647" s="31">
        <f>SUM($T647:AB647)</f>
        <v>0</v>
      </c>
      <c r="AP647" s="31">
        <f>SUM($T647:AC647)</f>
        <v>0</v>
      </c>
      <c r="AQ647" s="31">
        <f>SUM($T647:AD647)</f>
        <v>0</v>
      </c>
      <c r="AR647" s="31">
        <f>SUM($T647:AE647)</f>
        <v>0</v>
      </c>
      <c r="AS647" s="27">
        <f t="shared" si="96"/>
        <v>0</v>
      </c>
    </row>
    <row r="648" spans="2:45">
      <c r="B648" s="102" t="str">
        <f>IF(ROW()-6&gt;NumCostCenter,"",IF(CostCenter&lt;&gt;"ALL",CostCenter,DATA_LF2!B646))</f>
        <v/>
      </c>
      <c r="C648" s="153" t="str">
        <f>IF($B648&lt;&gt;"",INDEX(DataOB[],FirstRow+ROW()-7,2),"")</f>
        <v/>
      </c>
      <c r="D648" s="66" t="str">
        <f>IF($B648&lt;&gt;"",INDEX(DataOB[],FirstRow+ROW()-7,3),"")</f>
        <v/>
      </c>
      <c r="E648" s="103" t="str">
        <f>IF($B648&lt;&gt;"",INDEX(DataOB[],FirstRow+ROW()-7,6),"")</f>
        <v/>
      </c>
      <c r="F648" s="103" t="str">
        <f>IF($B648&lt;&gt;"",INDEX(DataOB[],FirstRow+ROW()-7,5),"")</f>
        <v/>
      </c>
      <c r="G648" s="58">
        <f>IF($B648&lt;&gt;"",SUMIFS(DataAct_tbl[AMOUNT],DataAct_tbl[BG CODE],Detail!$D648,DataAct_tbl[MONTH],LEFT(MonthName,3),DataAct_tbl[Dept code],$B648),0)</f>
        <v>0</v>
      </c>
      <c r="H648" s="31" t="str">
        <f t="shared" si="97"/>
        <v/>
      </c>
      <c r="I648" s="28" t="str">
        <f t="shared" ref="I648:I711" si="98">IFERROR(+G648-H648,"")</f>
        <v/>
      </c>
      <c r="J648" s="32" t="str">
        <f t="shared" ref="J648:J711" si="99">IFERROR(+IF(H648&gt;0,G648/H648," "),"")</f>
        <v/>
      </c>
      <c r="K648" s="86"/>
      <c r="L648" s="62">
        <f>IF($B648&lt;&gt;"",SUMIFS(DataAct_tbl[AMOUNT],DataAct_tbl[BG CODE],Detail!$D648,DataAct_tbl[Check Range],"=true",DataAct_tbl[Dept code],$B648),0)</f>
        <v>0</v>
      </c>
      <c r="M648" s="63">
        <f>INDEX($AG$7:$AR$1005,ROW()-6,MATCH(MTD,$AG$6:$AR$6,0))</f>
        <v>0</v>
      </c>
      <c r="N648" s="34">
        <f t="shared" ref="N648:N711" si="100">IFERROR(+L648-M648,"")</f>
        <v>0</v>
      </c>
      <c r="O648" s="64" t="str">
        <f t="shared" ref="O648:O711" si="101">IFERROR(+IF(M648&gt;0,L648/M648," "),"")</f>
        <v xml:space="preserve"> </v>
      </c>
      <c r="Q648" s="97">
        <f t="shared" ref="Q648:Q711" si="102">AF648</f>
        <v>0</v>
      </c>
      <c r="R648" s="96">
        <f t="shared" ref="R648:R711" si="103">Q648-L648</f>
        <v>0</v>
      </c>
      <c r="T648" s="67" t="str">
        <f>IF($B648&lt;&gt;"",INDEX(DataOB[],FirstRow+ROW()-7,MATCH(T$6,DataOB[#Headers],0)),"")</f>
        <v/>
      </c>
      <c r="U648" s="67" t="str">
        <f>IF($B648&lt;&gt;"",INDEX(DataOB[],FirstRow+ROW()-7,MATCH(U$6,DataOB[#Headers],0)),"")</f>
        <v/>
      </c>
      <c r="V648" s="67" t="str">
        <f>IF($B648&lt;&gt;"",INDEX(DataOB[],FirstRow+ROW()-7,MATCH(V$6,DataOB[#Headers],0)),"")</f>
        <v/>
      </c>
      <c r="W648" s="67" t="str">
        <f>IF($B648&lt;&gt;"",INDEX(DataOB[],FirstRow+ROW()-7,MATCH(W$6,DataOB[#Headers],0)),"")</f>
        <v/>
      </c>
      <c r="X648" s="67" t="str">
        <f>IF($B648&lt;&gt;"",INDEX(DataOB[],FirstRow+ROW()-7,MATCH(X$6,DataOB[#Headers],0)),"")</f>
        <v/>
      </c>
      <c r="Y648" s="67" t="str">
        <f>IF($B648&lt;&gt;"",INDEX(DataOB[],FirstRow+ROW()-7,MATCH(Y$6,DataOB[#Headers],0)),"")</f>
        <v/>
      </c>
      <c r="Z648" s="67" t="str">
        <f>IF($B648&lt;&gt;"",INDEX(DataOB[],FirstRow+ROW()-7,MATCH(Z$6,DataOB[#Headers],0)),"")</f>
        <v/>
      </c>
      <c r="AA648" s="67" t="str">
        <f>IF($B648&lt;&gt;"",INDEX(DataOB[],FirstRow+ROW()-7,MATCH(AA$6,DataOB[#Headers],0)),"")</f>
        <v/>
      </c>
      <c r="AB648" s="67" t="str">
        <f>IF($B648&lt;&gt;"",INDEX(DataOB[],FirstRow+ROW()-7,MATCH(AB$6,DataOB[#Headers],0)),"")</f>
        <v/>
      </c>
      <c r="AC648" s="67" t="str">
        <f>IF($B648&lt;&gt;"",INDEX(DataOB[],FirstRow+ROW()-7,MATCH(AC$6,DataOB[#Headers],0)),"")</f>
        <v/>
      </c>
      <c r="AD648" s="67" t="str">
        <f>IF($B648&lt;&gt;"",INDEX(DataOB[],FirstRow+ROW()-7,MATCH(AD$6,DataOB[#Headers],0)),"")</f>
        <v/>
      </c>
      <c r="AE648" s="67" t="str">
        <f>IF($B648&lt;&gt;"",INDEX(DataOB[],FirstRow+ROW()-7,MATCH(AE$6,DataOB[#Headers],0)),"")</f>
        <v/>
      </c>
      <c r="AF648" s="26">
        <f t="shared" ref="AF648:AF711" si="104">+SUM(T648:AE648)</f>
        <v>0</v>
      </c>
      <c r="AG648" s="31">
        <f>SUM($T648:T648)</f>
        <v>0</v>
      </c>
      <c r="AH648" s="31">
        <f>SUM($T648:U648)</f>
        <v>0</v>
      </c>
      <c r="AI648" s="31">
        <f>SUM($T648:V648)</f>
        <v>0</v>
      </c>
      <c r="AJ648" s="31">
        <f>SUM($T648:W648)</f>
        <v>0</v>
      </c>
      <c r="AK648" s="31">
        <f>SUM($T648:X648)</f>
        <v>0</v>
      </c>
      <c r="AL648" s="31">
        <f>SUM($T648:Y648)</f>
        <v>0</v>
      </c>
      <c r="AM648" s="31">
        <f>SUM($T648:Z648)</f>
        <v>0</v>
      </c>
      <c r="AN648" s="31">
        <f>SUM($T648:AA648)</f>
        <v>0</v>
      </c>
      <c r="AO648" s="31">
        <f>SUM($T648:AB648)</f>
        <v>0</v>
      </c>
      <c r="AP648" s="31">
        <f>SUM($T648:AC648)</f>
        <v>0</v>
      </c>
      <c r="AQ648" s="31">
        <f>SUM($T648:AD648)</f>
        <v>0</v>
      </c>
      <c r="AR648" s="31">
        <f>SUM($T648:AE648)</f>
        <v>0</v>
      </c>
      <c r="AS648" s="27">
        <f t="shared" ref="AS648:AS711" si="105">AF648-AR648</f>
        <v>0</v>
      </c>
    </row>
    <row r="649" spans="2:45">
      <c r="B649" s="102" t="str">
        <f>IF(ROW()-6&gt;NumCostCenter,"",IF(CostCenter&lt;&gt;"ALL",CostCenter,DATA_LF2!B647))</f>
        <v/>
      </c>
      <c r="C649" s="153" t="str">
        <f>IF($B649&lt;&gt;"",INDEX(DataOB[],FirstRow+ROW()-7,2),"")</f>
        <v/>
      </c>
      <c r="D649" s="66" t="str">
        <f>IF($B649&lt;&gt;"",INDEX(DataOB[],FirstRow+ROW()-7,3),"")</f>
        <v/>
      </c>
      <c r="E649" s="103" t="str">
        <f>IF($B649&lt;&gt;"",INDEX(DataOB[],FirstRow+ROW()-7,6),"")</f>
        <v/>
      </c>
      <c r="F649" s="103" t="str">
        <f>IF($B649&lt;&gt;"",INDEX(DataOB[],FirstRow+ROW()-7,5),"")</f>
        <v/>
      </c>
      <c r="G649" s="58">
        <f>IF($B649&lt;&gt;"",SUMIFS(DataAct_tbl[AMOUNT],DataAct_tbl[BG CODE],Detail!$D649,DataAct_tbl[MONTH],LEFT(MonthName,3),DataAct_tbl[Dept code],$B649),0)</f>
        <v>0</v>
      </c>
      <c r="H649" s="31" t="str">
        <f t="shared" si="97"/>
        <v/>
      </c>
      <c r="I649" s="28" t="str">
        <f t="shared" si="98"/>
        <v/>
      </c>
      <c r="J649" s="32" t="str">
        <f t="shared" si="99"/>
        <v/>
      </c>
      <c r="K649" s="86"/>
      <c r="L649" s="62">
        <f>IF($B649&lt;&gt;"",SUMIFS(DataAct_tbl[AMOUNT],DataAct_tbl[BG CODE],Detail!$D649,DataAct_tbl[Check Range],"=true",DataAct_tbl[Dept code],$B649),0)</f>
        <v>0</v>
      </c>
      <c r="M649" s="63">
        <f>INDEX($AG$7:$AR$1005,ROW()-6,MATCH(MTD,$AG$6:$AR$6,0))</f>
        <v>0</v>
      </c>
      <c r="N649" s="34">
        <f t="shared" si="100"/>
        <v>0</v>
      </c>
      <c r="O649" s="64" t="str">
        <f t="shared" si="101"/>
        <v xml:space="preserve"> </v>
      </c>
      <c r="Q649" s="97">
        <f t="shared" si="102"/>
        <v>0</v>
      </c>
      <c r="R649" s="96">
        <f t="shared" si="103"/>
        <v>0</v>
      </c>
      <c r="T649" s="67" t="str">
        <f>IF($B649&lt;&gt;"",INDEX(DataOB[],FirstRow+ROW()-7,MATCH(T$6,DataOB[#Headers],0)),"")</f>
        <v/>
      </c>
      <c r="U649" s="67" t="str">
        <f>IF($B649&lt;&gt;"",INDEX(DataOB[],FirstRow+ROW()-7,MATCH(U$6,DataOB[#Headers],0)),"")</f>
        <v/>
      </c>
      <c r="V649" s="67" t="str">
        <f>IF($B649&lt;&gt;"",INDEX(DataOB[],FirstRow+ROW()-7,MATCH(V$6,DataOB[#Headers],0)),"")</f>
        <v/>
      </c>
      <c r="W649" s="67" t="str">
        <f>IF($B649&lt;&gt;"",INDEX(DataOB[],FirstRow+ROW()-7,MATCH(W$6,DataOB[#Headers],0)),"")</f>
        <v/>
      </c>
      <c r="X649" s="67" t="str">
        <f>IF($B649&lt;&gt;"",INDEX(DataOB[],FirstRow+ROW()-7,MATCH(X$6,DataOB[#Headers],0)),"")</f>
        <v/>
      </c>
      <c r="Y649" s="67" t="str">
        <f>IF($B649&lt;&gt;"",INDEX(DataOB[],FirstRow+ROW()-7,MATCH(Y$6,DataOB[#Headers],0)),"")</f>
        <v/>
      </c>
      <c r="Z649" s="67" t="str">
        <f>IF($B649&lt;&gt;"",INDEX(DataOB[],FirstRow+ROW()-7,MATCH(Z$6,DataOB[#Headers],0)),"")</f>
        <v/>
      </c>
      <c r="AA649" s="67" t="str">
        <f>IF($B649&lt;&gt;"",INDEX(DataOB[],FirstRow+ROW()-7,MATCH(AA$6,DataOB[#Headers],0)),"")</f>
        <v/>
      </c>
      <c r="AB649" s="67" t="str">
        <f>IF($B649&lt;&gt;"",INDEX(DataOB[],FirstRow+ROW()-7,MATCH(AB$6,DataOB[#Headers],0)),"")</f>
        <v/>
      </c>
      <c r="AC649" s="67" t="str">
        <f>IF($B649&lt;&gt;"",INDEX(DataOB[],FirstRow+ROW()-7,MATCH(AC$6,DataOB[#Headers],0)),"")</f>
        <v/>
      </c>
      <c r="AD649" s="67" t="str">
        <f>IF($B649&lt;&gt;"",INDEX(DataOB[],FirstRow+ROW()-7,MATCH(AD$6,DataOB[#Headers],0)),"")</f>
        <v/>
      </c>
      <c r="AE649" s="67" t="str">
        <f>IF($B649&lt;&gt;"",INDEX(DataOB[],FirstRow+ROW()-7,MATCH(AE$6,DataOB[#Headers],0)),"")</f>
        <v/>
      </c>
      <c r="AF649" s="26">
        <f t="shared" si="104"/>
        <v>0</v>
      </c>
      <c r="AG649" s="31">
        <f>SUM($T649:T649)</f>
        <v>0</v>
      </c>
      <c r="AH649" s="31">
        <f>SUM($T649:U649)</f>
        <v>0</v>
      </c>
      <c r="AI649" s="31">
        <f>SUM($T649:V649)</f>
        <v>0</v>
      </c>
      <c r="AJ649" s="31">
        <f>SUM($T649:W649)</f>
        <v>0</v>
      </c>
      <c r="AK649" s="31">
        <f>SUM($T649:X649)</f>
        <v>0</v>
      </c>
      <c r="AL649" s="31">
        <f>SUM($T649:Y649)</f>
        <v>0</v>
      </c>
      <c r="AM649" s="31">
        <f>SUM($T649:Z649)</f>
        <v>0</v>
      </c>
      <c r="AN649" s="31">
        <f>SUM($T649:AA649)</f>
        <v>0</v>
      </c>
      <c r="AO649" s="31">
        <f>SUM($T649:AB649)</f>
        <v>0</v>
      </c>
      <c r="AP649" s="31">
        <f>SUM($T649:AC649)</f>
        <v>0</v>
      </c>
      <c r="AQ649" s="31">
        <f>SUM($T649:AD649)</f>
        <v>0</v>
      </c>
      <c r="AR649" s="31">
        <f>SUM($T649:AE649)</f>
        <v>0</v>
      </c>
      <c r="AS649" s="27">
        <f t="shared" si="105"/>
        <v>0</v>
      </c>
    </row>
    <row r="650" spans="2:45">
      <c r="B650" s="102" t="str">
        <f>IF(ROW()-6&gt;NumCostCenter,"",IF(CostCenter&lt;&gt;"ALL",CostCenter,DATA_LF2!B648))</f>
        <v/>
      </c>
      <c r="C650" s="153" t="str">
        <f>IF($B650&lt;&gt;"",INDEX(DataOB[],FirstRow+ROW()-7,2),"")</f>
        <v/>
      </c>
      <c r="D650" s="66" t="str">
        <f>IF($B650&lt;&gt;"",INDEX(DataOB[],FirstRow+ROW()-7,3),"")</f>
        <v/>
      </c>
      <c r="E650" s="103" t="str">
        <f>IF($B650&lt;&gt;"",INDEX(DataOB[],FirstRow+ROW()-7,6),"")</f>
        <v/>
      </c>
      <c r="F650" s="103" t="str">
        <f>IF($B650&lt;&gt;"",INDEX(DataOB[],FirstRow+ROW()-7,5),"")</f>
        <v/>
      </c>
      <c r="G650" s="58">
        <f>IF($B650&lt;&gt;"",SUMIFS(DataAct_tbl[AMOUNT],DataAct_tbl[BG CODE],Detail!$D650,DataAct_tbl[MONTH],LEFT(MonthName,3),DataAct_tbl[Dept code],$B650),0)</f>
        <v>0</v>
      </c>
      <c r="H650" s="31" t="str">
        <f t="shared" si="97"/>
        <v/>
      </c>
      <c r="I650" s="28" t="str">
        <f t="shared" si="98"/>
        <v/>
      </c>
      <c r="J650" s="32" t="str">
        <f t="shared" si="99"/>
        <v/>
      </c>
      <c r="K650" s="86"/>
      <c r="L650" s="62">
        <f>IF($B650&lt;&gt;"",SUMIFS(DataAct_tbl[AMOUNT],DataAct_tbl[BG CODE],Detail!$D650,DataAct_tbl[Check Range],"=true",DataAct_tbl[Dept code],$B650),0)</f>
        <v>0</v>
      </c>
      <c r="M650" s="63">
        <f>INDEX($AG$7:$AR$1005,ROW()-6,MATCH(MTD,$AG$6:$AR$6,0))</f>
        <v>0</v>
      </c>
      <c r="N650" s="34">
        <f t="shared" si="100"/>
        <v>0</v>
      </c>
      <c r="O650" s="64" t="str">
        <f t="shared" si="101"/>
        <v xml:space="preserve"> </v>
      </c>
      <c r="Q650" s="97">
        <f t="shared" si="102"/>
        <v>0</v>
      </c>
      <c r="R650" s="96">
        <f t="shared" si="103"/>
        <v>0</v>
      </c>
      <c r="T650" s="67" t="str">
        <f>IF($B650&lt;&gt;"",INDEX(DataOB[],FirstRow+ROW()-7,MATCH(T$6,DataOB[#Headers],0)),"")</f>
        <v/>
      </c>
      <c r="U650" s="67" t="str">
        <f>IF($B650&lt;&gt;"",INDEX(DataOB[],FirstRow+ROW()-7,MATCH(U$6,DataOB[#Headers],0)),"")</f>
        <v/>
      </c>
      <c r="V650" s="67" t="str">
        <f>IF($B650&lt;&gt;"",INDEX(DataOB[],FirstRow+ROW()-7,MATCH(V$6,DataOB[#Headers],0)),"")</f>
        <v/>
      </c>
      <c r="W650" s="67" t="str">
        <f>IF($B650&lt;&gt;"",INDEX(DataOB[],FirstRow+ROW()-7,MATCH(W$6,DataOB[#Headers],0)),"")</f>
        <v/>
      </c>
      <c r="X650" s="67" t="str">
        <f>IF($B650&lt;&gt;"",INDEX(DataOB[],FirstRow+ROW()-7,MATCH(X$6,DataOB[#Headers],0)),"")</f>
        <v/>
      </c>
      <c r="Y650" s="67" t="str">
        <f>IF($B650&lt;&gt;"",INDEX(DataOB[],FirstRow+ROW()-7,MATCH(Y$6,DataOB[#Headers],0)),"")</f>
        <v/>
      </c>
      <c r="Z650" s="67" t="str">
        <f>IF($B650&lt;&gt;"",INDEX(DataOB[],FirstRow+ROW()-7,MATCH(Z$6,DataOB[#Headers],0)),"")</f>
        <v/>
      </c>
      <c r="AA650" s="67" t="str">
        <f>IF($B650&lt;&gt;"",INDEX(DataOB[],FirstRow+ROW()-7,MATCH(AA$6,DataOB[#Headers],0)),"")</f>
        <v/>
      </c>
      <c r="AB650" s="67" t="str">
        <f>IF($B650&lt;&gt;"",INDEX(DataOB[],FirstRow+ROW()-7,MATCH(AB$6,DataOB[#Headers],0)),"")</f>
        <v/>
      </c>
      <c r="AC650" s="67" t="str">
        <f>IF($B650&lt;&gt;"",INDEX(DataOB[],FirstRow+ROW()-7,MATCH(AC$6,DataOB[#Headers],0)),"")</f>
        <v/>
      </c>
      <c r="AD650" s="67" t="str">
        <f>IF($B650&lt;&gt;"",INDEX(DataOB[],FirstRow+ROW()-7,MATCH(AD$6,DataOB[#Headers],0)),"")</f>
        <v/>
      </c>
      <c r="AE650" s="67" t="str">
        <f>IF($B650&lt;&gt;"",INDEX(DataOB[],FirstRow+ROW()-7,MATCH(AE$6,DataOB[#Headers],0)),"")</f>
        <v/>
      </c>
      <c r="AF650" s="26">
        <f t="shared" si="104"/>
        <v>0</v>
      </c>
      <c r="AG650" s="31">
        <f>SUM($T650:T650)</f>
        <v>0</v>
      </c>
      <c r="AH650" s="31">
        <f>SUM($T650:U650)</f>
        <v>0</v>
      </c>
      <c r="AI650" s="31">
        <f>SUM($T650:V650)</f>
        <v>0</v>
      </c>
      <c r="AJ650" s="31">
        <f>SUM($T650:W650)</f>
        <v>0</v>
      </c>
      <c r="AK650" s="31">
        <f>SUM($T650:X650)</f>
        <v>0</v>
      </c>
      <c r="AL650" s="31">
        <f>SUM($T650:Y650)</f>
        <v>0</v>
      </c>
      <c r="AM650" s="31">
        <f>SUM($T650:Z650)</f>
        <v>0</v>
      </c>
      <c r="AN650" s="31">
        <f>SUM($T650:AA650)</f>
        <v>0</v>
      </c>
      <c r="AO650" s="31">
        <f>SUM($T650:AB650)</f>
        <v>0</v>
      </c>
      <c r="AP650" s="31">
        <f>SUM($T650:AC650)</f>
        <v>0</v>
      </c>
      <c r="AQ650" s="31">
        <f>SUM($T650:AD650)</f>
        <v>0</v>
      </c>
      <c r="AR650" s="31">
        <f>SUM($T650:AE650)</f>
        <v>0</v>
      </c>
      <c r="AS650" s="27">
        <f t="shared" si="105"/>
        <v>0</v>
      </c>
    </row>
    <row r="651" spans="2:45">
      <c r="B651" s="102" t="str">
        <f>IF(ROW()-6&gt;NumCostCenter,"",IF(CostCenter&lt;&gt;"ALL",CostCenter,DATA_LF2!B649))</f>
        <v/>
      </c>
      <c r="C651" s="153" t="str">
        <f>IF($B651&lt;&gt;"",INDEX(DataOB[],FirstRow+ROW()-7,2),"")</f>
        <v/>
      </c>
      <c r="D651" s="66" t="str">
        <f>IF($B651&lt;&gt;"",INDEX(DataOB[],FirstRow+ROW()-7,3),"")</f>
        <v/>
      </c>
      <c r="E651" s="103" t="str">
        <f>IF($B651&lt;&gt;"",INDEX(DataOB[],FirstRow+ROW()-7,6),"")</f>
        <v/>
      </c>
      <c r="F651" s="103" t="str">
        <f>IF($B651&lt;&gt;"",INDEX(DataOB[],FirstRow+ROW()-7,5),"")</f>
        <v/>
      </c>
      <c r="G651" s="58">
        <f>IF($B651&lt;&gt;"",SUMIFS(DataAct_tbl[AMOUNT],DataAct_tbl[BG CODE],Detail!$D651,DataAct_tbl[MONTH],LEFT(MonthName,3),DataAct_tbl[Dept code],$B651),0)</f>
        <v>0</v>
      </c>
      <c r="H651" s="31" t="str">
        <f t="shared" si="97"/>
        <v/>
      </c>
      <c r="I651" s="28" t="str">
        <f t="shared" si="98"/>
        <v/>
      </c>
      <c r="J651" s="32" t="str">
        <f t="shared" si="99"/>
        <v/>
      </c>
      <c r="K651" s="86"/>
      <c r="L651" s="62">
        <f>IF($B651&lt;&gt;"",SUMIFS(DataAct_tbl[AMOUNT],DataAct_tbl[BG CODE],Detail!$D651,DataAct_tbl[Check Range],"=true",DataAct_tbl[Dept code],$B651),0)</f>
        <v>0</v>
      </c>
      <c r="M651" s="63">
        <f>INDEX($AG$7:$AR$1005,ROW()-6,MATCH(MTD,$AG$6:$AR$6,0))</f>
        <v>0</v>
      </c>
      <c r="N651" s="34">
        <f t="shared" si="100"/>
        <v>0</v>
      </c>
      <c r="O651" s="64" t="str">
        <f t="shared" si="101"/>
        <v xml:space="preserve"> </v>
      </c>
      <c r="Q651" s="97">
        <f t="shared" si="102"/>
        <v>0</v>
      </c>
      <c r="R651" s="96">
        <f t="shared" si="103"/>
        <v>0</v>
      </c>
      <c r="T651" s="67" t="str">
        <f>IF($B651&lt;&gt;"",INDEX(DataOB[],FirstRow+ROW()-7,MATCH(T$6,DataOB[#Headers],0)),"")</f>
        <v/>
      </c>
      <c r="U651" s="67" t="str">
        <f>IF($B651&lt;&gt;"",INDEX(DataOB[],FirstRow+ROW()-7,MATCH(U$6,DataOB[#Headers],0)),"")</f>
        <v/>
      </c>
      <c r="V651" s="67" t="str">
        <f>IF($B651&lt;&gt;"",INDEX(DataOB[],FirstRow+ROW()-7,MATCH(V$6,DataOB[#Headers],0)),"")</f>
        <v/>
      </c>
      <c r="W651" s="67" t="str">
        <f>IF($B651&lt;&gt;"",INDEX(DataOB[],FirstRow+ROW()-7,MATCH(W$6,DataOB[#Headers],0)),"")</f>
        <v/>
      </c>
      <c r="X651" s="67" t="str">
        <f>IF($B651&lt;&gt;"",INDEX(DataOB[],FirstRow+ROW()-7,MATCH(X$6,DataOB[#Headers],0)),"")</f>
        <v/>
      </c>
      <c r="Y651" s="67" t="str">
        <f>IF($B651&lt;&gt;"",INDEX(DataOB[],FirstRow+ROW()-7,MATCH(Y$6,DataOB[#Headers],0)),"")</f>
        <v/>
      </c>
      <c r="Z651" s="67" t="str">
        <f>IF($B651&lt;&gt;"",INDEX(DataOB[],FirstRow+ROW()-7,MATCH(Z$6,DataOB[#Headers],0)),"")</f>
        <v/>
      </c>
      <c r="AA651" s="67" t="str">
        <f>IF($B651&lt;&gt;"",INDEX(DataOB[],FirstRow+ROW()-7,MATCH(AA$6,DataOB[#Headers],0)),"")</f>
        <v/>
      </c>
      <c r="AB651" s="67" t="str">
        <f>IF($B651&lt;&gt;"",INDEX(DataOB[],FirstRow+ROW()-7,MATCH(AB$6,DataOB[#Headers],0)),"")</f>
        <v/>
      </c>
      <c r="AC651" s="67" t="str">
        <f>IF($B651&lt;&gt;"",INDEX(DataOB[],FirstRow+ROW()-7,MATCH(AC$6,DataOB[#Headers],0)),"")</f>
        <v/>
      </c>
      <c r="AD651" s="67" t="str">
        <f>IF($B651&lt;&gt;"",INDEX(DataOB[],FirstRow+ROW()-7,MATCH(AD$6,DataOB[#Headers],0)),"")</f>
        <v/>
      </c>
      <c r="AE651" s="67" t="str">
        <f>IF($B651&lt;&gt;"",INDEX(DataOB[],FirstRow+ROW()-7,MATCH(AE$6,DataOB[#Headers],0)),"")</f>
        <v/>
      </c>
      <c r="AF651" s="26">
        <f t="shared" si="104"/>
        <v>0</v>
      </c>
      <c r="AG651" s="31">
        <f>SUM($T651:T651)</f>
        <v>0</v>
      </c>
      <c r="AH651" s="31">
        <f>SUM($T651:U651)</f>
        <v>0</v>
      </c>
      <c r="AI651" s="31">
        <f>SUM($T651:V651)</f>
        <v>0</v>
      </c>
      <c r="AJ651" s="31">
        <f>SUM($T651:W651)</f>
        <v>0</v>
      </c>
      <c r="AK651" s="31">
        <f>SUM($T651:X651)</f>
        <v>0</v>
      </c>
      <c r="AL651" s="31">
        <f>SUM($T651:Y651)</f>
        <v>0</v>
      </c>
      <c r="AM651" s="31">
        <f>SUM($T651:Z651)</f>
        <v>0</v>
      </c>
      <c r="AN651" s="31">
        <f>SUM($T651:AA651)</f>
        <v>0</v>
      </c>
      <c r="AO651" s="31">
        <f>SUM($T651:AB651)</f>
        <v>0</v>
      </c>
      <c r="AP651" s="31">
        <f>SUM($T651:AC651)</f>
        <v>0</v>
      </c>
      <c r="AQ651" s="31">
        <f>SUM($T651:AD651)</f>
        <v>0</v>
      </c>
      <c r="AR651" s="31">
        <f>SUM($T651:AE651)</f>
        <v>0</v>
      </c>
      <c r="AS651" s="27">
        <f t="shared" si="105"/>
        <v>0</v>
      </c>
    </row>
    <row r="652" spans="2:45">
      <c r="B652" s="102" t="str">
        <f>IF(ROW()-6&gt;NumCostCenter,"",IF(CostCenter&lt;&gt;"ALL",CostCenter,DATA_LF2!B650))</f>
        <v/>
      </c>
      <c r="C652" s="153" t="str">
        <f>IF($B652&lt;&gt;"",INDEX(DataOB[],FirstRow+ROW()-7,2),"")</f>
        <v/>
      </c>
      <c r="D652" s="66" t="str">
        <f>IF($B652&lt;&gt;"",INDEX(DataOB[],FirstRow+ROW()-7,3),"")</f>
        <v/>
      </c>
      <c r="E652" s="103" t="str">
        <f>IF($B652&lt;&gt;"",INDEX(DataOB[],FirstRow+ROW()-7,6),"")</f>
        <v/>
      </c>
      <c r="F652" s="103" t="str">
        <f>IF($B652&lt;&gt;"",INDEX(DataOB[],FirstRow+ROW()-7,5),"")</f>
        <v/>
      </c>
      <c r="G652" s="58">
        <f>IF($B652&lt;&gt;"",SUMIFS(DataAct_tbl[AMOUNT],DataAct_tbl[BG CODE],Detail!$D652,DataAct_tbl[MONTH],LEFT(MonthName,3),DataAct_tbl[Dept code],$B652),0)</f>
        <v>0</v>
      </c>
      <c r="H652" s="31" t="str">
        <f t="shared" si="97"/>
        <v/>
      </c>
      <c r="I652" s="28" t="str">
        <f t="shared" si="98"/>
        <v/>
      </c>
      <c r="J652" s="32" t="str">
        <f t="shared" si="99"/>
        <v/>
      </c>
      <c r="K652" s="86"/>
      <c r="L652" s="62">
        <f>IF($B652&lt;&gt;"",SUMIFS(DataAct_tbl[AMOUNT],DataAct_tbl[BG CODE],Detail!$D652,DataAct_tbl[Check Range],"=true",DataAct_tbl[Dept code],$B652),0)</f>
        <v>0</v>
      </c>
      <c r="M652" s="63">
        <f>INDEX($AG$7:$AR$1005,ROW()-6,MATCH(MTD,$AG$6:$AR$6,0))</f>
        <v>0</v>
      </c>
      <c r="N652" s="34">
        <f t="shared" si="100"/>
        <v>0</v>
      </c>
      <c r="O652" s="64" t="str">
        <f t="shared" si="101"/>
        <v xml:space="preserve"> </v>
      </c>
      <c r="Q652" s="97">
        <f t="shared" si="102"/>
        <v>0</v>
      </c>
      <c r="R652" s="96">
        <f t="shared" si="103"/>
        <v>0</v>
      </c>
      <c r="T652" s="67" t="str">
        <f>IF($B652&lt;&gt;"",INDEX(DataOB[],FirstRow+ROW()-7,MATCH(T$6,DataOB[#Headers],0)),"")</f>
        <v/>
      </c>
      <c r="U652" s="67" t="str">
        <f>IF($B652&lt;&gt;"",INDEX(DataOB[],FirstRow+ROW()-7,MATCH(U$6,DataOB[#Headers],0)),"")</f>
        <v/>
      </c>
      <c r="V652" s="67" t="str">
        <f>IF($B652&lt;&gt;"",INDEX(DataOB[],FirstRow+ROW()-7,MATCH(V$6,DataOB[#Headers],0)),"")</f>
        <v/>
      </c>
      <c r="W652" s="67" t="str">
        <f>IF($B652&lt;&gt;"",INDEX(DataOB[],FirstRow+ROW()-7,MATCH(W$6,DataOB[#Headers],0)),"")</f>
        <v/>
      </c>
      <c r="X652" s="67" t="str">
        <f>IF($B652&lt;&gt;"",INDEX(DataOB[],FirstRow+ROW()-7,MATCH(X$6,DataOB[#Headers],0)),"")</f>
        <v/>
      </c>
      <c r="Y652" s="67" t="str">
        <f>IF($B652&lt;&gt;"",INDEX(DataOB[],FirstRow+ROW()-7,MATCH(Y$6,DataOB[#Headers],0)),"")</f>
        <v/>
      </c>
      <c r="Z652" s="67" t="str">
        <f>IF($B652&lt;&gt;"",INDEX(DataOB[],FirstRow+ROW()-7,MATCH(Z$6,DataOB[#Headers],0)),"")</f>
        <v/>
      </c>
      <c r="AA652" s="67" t="str">
        <f>IF($B652&lt;&gt;"",INDEX(DataOB[],FirstRow+ROW()-7,MATCH(AA$6,DataOB[#Headers],0)),"")</f>
        <v/>
      </c>
      <c r="AB652" s="67" t="str">
        <f>IF($B652&lt;&gt;"",INDEX(DataOB[],FirstRow+ROW()-7,MATCH(AB$6,DataOB[#Headers],0)),"")</f>
        <v/>
      </c>
      <c r="AC652" s="67" t="str">
        <f>IF($B652&lt;&gt;"",INDEX(DataOB[],FirstRow+ROW()-7,MATCH(AC$6,DataOB[#Headers],0)),"")</f>
        <v/>
      </c>
      <c r="AD652" s="67" t="str">
        <f>IF($B652&lt;&gt;"",INDEX(DataOB[],FirstRow+ROW()-7,MATCH(AD$6,DataOB[#Headers],0)),"")</f>
        <v/>
      </c>
      <c r="AE652" s="67" t="str">
        <f>IF($B652&lt;&gt;"",INDEX(DataOB[],FirstRow+ROW()-7,MATCH(AE$6,DataOB[#Headers],0)),"")</f>
        <v/>
      </c>
      <c r="AF652" s="26">
        <f t="shared" si="104"/>
        <v>0</v>
      </c>
      <c r="AG652" s="31">
        <f>SUM($T652:T652)</f>
        <v>0</v>
      </c>
      <c r="AH652" s="31">
        <f>SUM($T652:U652)</f>
        <v>0</v>
      </c>
      <c r="AI652" s="31">
        <f>SUM($T652:V652)</f>
        <v>0</v>
      </c>
      <c r="AJ652" s="31">
        <f>SUM($T652:W652)</f>
        <v>0</v>
      </c>
      <c r="AK652" s="31">
        <f>SUM($T652:X652)</f>
        <v>0</v>
      </c>
      <c r="AL652" s="31">
        <f>SUM($T652:Y652)</f>
        <v>0</v>
      </c>
      <c r="AM652" s="31">
        <f>SUM($T652:Z652)</f>
        <v>0</v>
      </c>
      <c r="AN652" s="31">
        <f>SUM($T652:AA652)</f>
        <v>0</v>
      </c>
      <c r="AO652" s="31">
        <f>SUM($T652:AB652)</f>
        <v>0</v>
      </c>
      <c r="AP652" s="31">
        <f>SUM($T652:AC652)</f>
        <v>0</v>
      </c>
      <c r="AQ652" s="31">
        <f>SUM($T652:AD652)</f>
        <v>0</v>
      </c>
      <c r="AR652" s="31">
        <f>SUM($T652:AE652)</f>
        <v>0</v>
      </c>
      <c r="AS652" s="27">
        <f t="shared" si="105"/>
        <v>0</v>
      </c>
    </row>
    <row r="653" spans="2:45">
      <c r="B653" s="102" t="str">
        <f>IF(ROW()-6&gt;NumCostCenter,"",IF(CostCenter&lt;&gt;"ALL",CostCenter,DATA_LF2!B651))</f>
        <v/>
      </c>
      <c r="C653" s="153" t="str">
        <f>IF($B653&lt;&gt;"",INDEX(DataOB[],FirstRow+ROW()-7,2),"")</f>
        <v/>
      </c>
      <c r="D653" s="66" t="str">
        <f>IF($B653&lt;&gt;"",INDEX(DataOB[],FirstRow+ROW()-7,3),"")</f>
        <v/>
      </c>
      <c r="E653" s="103" t="str">
        <f>IF($B653&lt;&gt;"",INDEX(DataOB[],FirstRow+ROW()-7,6),"")</f>
        <v/>
      </c>
      <c r="F653" s="103" t="str">
        <f>IF($B653&lt;&gt;"",INDEX(DataOB[],FirstRow+ROW()-7,5),"")</f>
        <v/>
      </c>
      <c r="G653" s="58">
        <f>IF($B653&lt;&gt;"",SUMIFS(DataAct_tbl[AMOUNT],DataAct_tbl[BG CODE],Detail!$D653,DataAct_tbl[MONTH],LEFT(MonthName,3),DataAct_tbl[Dept code],$B653),0)</f>
        <v>0</v>
      </c>
      <c r="H653" s="31" t="str">
        <f t="shared" si="97"/>
        <v/>
      </c>
      <c r="I653" s="28" t="str">
        <f t="shared" si="98"/>
        <v/>
      </c>
      <c r="J653" s="32" t="str">
        <f t="shared" si="99"/>
        <v/>
      </c>
      <c r="K653" s="86"/>
      <c r="L653" s="62">
        <f>IF($B653&lt;&gt;"",SUMIFS(DataAct_tbl[AMOUNT],DataAct_tbl[BG CODE],Detail!$D653,DataAct_tbl[Check Range],"=true",DataAct_tbl[Dept code],$B653),0)</f>
        <v>0</v>
      </c>
      <c r="M653" s="63">
        <f>INDEX($AG$7:$AR$1005,ROW()-6,MATCH(MTD,$AG$6:$AR$6,0))</f>
        <v>0</v>
      </c>
      <c r="N653" s="34">
        <f t="shared" si="100"/>
        <v>0</v>
      </c>
      <c r="O653" s="64" t="str">
        <f t="shared" si="101"/>
        <v xml:space="preserve"> </v>
      </c>
      <c r="Q653" s="97">
        <f t="shared" si="102"/>
        <v>0</v>
      </c>
      <c r="R653" s="96">
        <f t="shared" si="103"/>
        <v>0</v>
      </c>
      <c r="T653" s="67" t="str">
        <f>IF($B653&lt;&gt;"",INDEX(DataOB[],FirstRow+ROW()-7,MATCH(T$6,DataOB[#Headers],0)),"")</f>
        <v/>
      </c>
      <c r="U653" s="67" t="str">
        <f>IF($B653&lt;&gt;"",INDEX(DataOB[],FirstRow+ROW()-7,MATCH(U$6,DataOB[#Headers],0)),"")</f>
        <v/>
      </c>
      <c r="V653" s="67" t="str">
        <f>IF($B653&lt;&gt;"",INDEX(DataOB[],FirstRow+ROW()-7,MATCH(V$6,DataOB[#Headers],0)),"")</f>
        <v/>
      </c>
      <c r="W653" s="67" t="str">
        <f>IF($B653&lt;&gt;"",INDEX(DataOB[],FirstRow+ROW()-7,MATCH(W$6,DataOB[#Headers],0)),"")</f>
        <v/>
      </c>
      <c r="X653" s="67" t="str">
        <f>IF($B653&lt;&gt;"",INDEX(DataOB[],FirstRow+ROW()-7,MATCH(X$6,DataOB[#Headers],0)),"")</f>
        <v/>
      </c>
      <c r="Y653" s="67" t="str">
        <f>IF($B653&lt;&gt;"",INDEX(DataOB[],FirstRow+ROW()-7,MATCH(Y$6,DataOB[#Headers],0)),"")</f>
        <v/>
      </c>
      <c r="Z653" s="67" t="str">
        <f>IF($B653&lt;&gt;"",INDEX(DataOB[],FirstRow+ROW()-7,MATCH(Z$6,DataOB[#Headers],0)),"")</f>
        <v/>
      </c>
      <c r="AA653" s="67" t="str">
        <f>IF($B653&lt;&gt;"",INDEX(DataOB[],FirstRow+ROW()-7,MATCH(AA$6,DataOB[#Headers],0)),"")</f>
        <v/>
      </c>
      <c r="AB653" s="67" t="str">
        <f>IF($B653&lt;&gt;"",INDEX(DataOB[],FirstRow+ROW()-7,MATCH(AB$6,DataOB[#Headers],0)),"")</f>
        <v/>
      </c>
      <c r="AC653" s="67" t="str">
        <f>IF($B653&lt;&gt;"",INDEX(DataOB[],FirstRow+ROW()-7,MATCH(AC$6,DataOB[#Headers],0)),"")</f>
        <v/>
      </c>
      <c r="AD653" s="67" t="str">
        <f>IF($B653&lt;&gt;"",INDEX(DataOB[],FirstRow+ROW()-7,MATCH(AD$6,DataOB[#Headers],0)),"")</f>
        <v/>
      </c>
      <c r="AE653" s="67" t="str">
        <f>IF($B653&lt;&gt;"",INDEX(DataOB[],FirstRow+ROW()-7,MATCH(AE$6,DataOB[#Headers],0)),"")</f>
        <v/>
      </c>
      <c r="AF653" s="26">
        <f t="shared" si="104"/>
        <v>0</v>
      </c>
      <c r="AG653" s="31">
        <f>SUM($T653:T653)</f>
        <v>0</v>
      </c>
      <c r="AH653" s="31">
        <f>SUM($T653:U653)</f>
        <v>0</v>
      </c>
      <c r="AI653" s="31">
        <f>SUM($T653:V653)</f>
        <v>0</v>
      </c>
      <c r="AJ653" s="31">
        <f>SUM($T653:W653)</f>
        <v>0</v>
      </c>
      <c r="AK653" s="31">
        <f>SUM($T653:X653)</f>
        <v>0</v>
      </c>
      <c r="AL653" s="31">
        <f>SUM($T653:Y653)</f>
        <v>0</v>
      </c>
      <c r="AM653" s="31">
        <f>SUM($T653:Z653)</f>
        <v>0</v>
      </c>
      <c r="AN653" s="31">
        <f>SUM($T653:AA653)</f>
        <v>0</v>
      </c>
      <c r="AO653" s="31">
        <f>SUM($T653:AB653)</f>
        <v>0</v>
      </c>
      <c r="AP653" s="31">
        <f>SUM($T653:AC653)</f>
        <v>0</v>
      </c>
      <c r="AQ653" s="31">
        <f>SUM($T653:AD653)</f>
        <v>0</v>
      </c>
      <c r="AR653" s="31">
        <f>SUM($T653:AE653)</f>
        <v>0</v>
      </c>
      <c r="AS653" s="27">
        <f t="shared" si="105"/>
        <v>0</v>
      </c>
    </row>
    <row r="654" spans="2:45">
      <c r="B654" s="102" t="str">
        <f>IF(ROW()-6&gt;NumCostCenter,"",IF(CostCenter&lt;&gt;"ALL",CostCenter,DATA_LF2!B652))</f>
        <v/>
      </c>
      <c r="C654" s="153" t="str">
        <f>IF($B654&lt;&gt;"",INDEX(DataOB[],FirstRow+ROW()-7,2),"")</f>
        <v/>
      </c>
      <c r="D654" s="66" t="str">
        <f>IF($B654&lt;&gt;"",INDEX(DataOB[],FirstRow+ROW()-7,3),"")</f>
        <v/>
      </c>
      <c r="E654" s="103" t="str">
        <f>IF($B654&lt;&gt;"",INDEX(DataOB[],FirstRow+ROW()-7,6),"")</f>
        <v/>
      </c>
      <c r="F654" s="103" t="str">
        <f>IF($B654&lt;&gt;"",INDEX(DataOB[],FirstRow+ROW()-7,5),"")</f>
        <v/>
      </c>
      <c r="G654" s="58">
        <f>IF($B654&lt;&gt;"",SUMIFS(DataAct_tbl[AMOUNT],DataAct_tbl[BG CODE],Detail!$D654,DataAct_tbl[MONTH],LEFT(MonthName,3),DataAct_tbl[Dept code],$B654),0)</f>
        <v>0</v>
      </c>
      <c r="H654" s="31" t="str">
        <f t="shared" si="97"/>
        <v/>
      </c>
      <c r="I654" s="28" t="str">
        <f t="shared" si="98"/>
        <v/>
      </c>
      <c r="J654" s="32" t="str">
        <f t="shared" si="99"/>
        <v/>
      </c>
      <c r="K654" s="86"/>
      <c r="L654" s="62">
        <f>IF($B654&lt;&gt;"",SUMIFS(DataAct_tbl[AMOUNT],DataAct_tbl[BG CODE],Detail!$D654,DataAct_tbl[Check Range],"=true",DataAct_tbl[Dept code],$B654),0)</f>
        <v>0</v>
      </c>
      <c r="M654" s="63">
        <f>INDEX($AG$7:$AR$1005,ROW()-6,MATCH(MTD,$AG$6:$AR$6,0))</f>
        <v>0</v>
      </c>
      <c r="N654" s="34">
        <f t="shared" si="100"/>
        <v>0</v>
      </c>
      <c r="O654" s="64" t="str">
        <f t="shared" si="101"/>
        <v xml:space="preserve"> </v>
      </c>
      <c r="Q654" s="97">
        <f t="shared" si="102"/>
        <v>0</v>
      </c>
      <c r="R654" s="96">
        <f t="shared" si="103"/>
        <v>0</v>
      </c>
      <c r="T654" s="67" t="str">
        <f>IF($B654&lt;&gt;"",INDEX(DataOB[],FirstRow+ROW()-7,MATCH(T$6,DataOB[#Headers],0)),"")</f>
        <v/>
      </c>
      <c r="U654" s="67" t="str">
        <f>IF($B654&lt;&gt;"",INDEX(DataOB[],FirstRow+ROW()-7,MATCH(U$6,DataOB[#Headers],0)),"")</f>
        <v/>
      </c>
      <c r="V654" s="67" t="str">
        <f>IF($B654&lt;&gt;"",INDEX(DataOB[],FirstRow+ROW()-7,MATCH(V$6,DataOB[#Headers],0)),"")</f>
        <v/>
      </c>
      <c r="W654" s="67" t="str">
        <f>IF($B654&lt;&gt;"",INDEX(DataOB[],FirstRow+ROW()-7,MATCH(W$6,DataOB[#Headers],0)),"")</f>
        <v/>
      </c>
      <c r="X654" s="67" t="str">
        <f>IF($B654&lt;&gt;"",INDEX(DataOB[],FirstRow+ROW()-7,MATCH(X$6,DataOB[#Headers],0)),"")</f>
        <v/>
      </c>
      <c r="Y654" s="67" t="str">
        <f>IF($B654&lt;&gt;"",INDEX(DataOB[],FirstRow+ROW()-7,MATCH(Y$6,DataOB[#Headers],0)),"")</f>
        <v/>
      </c>
      <c r="Z654" s="67" t="str">
        <f>IF($B654&lt;&gt;"",INDEX(DataOB[],FirstRow+ROW()-7,MATCH(Z$6,DataOB[#Headers],0)),"")</f>
        <v/>
      </c>
      <c r="AA654" s="67" t="str">
        <f>IF($B654&lt;&gt;"",INDEX(DataOB[],FirstRow+ROW()-7,MATCH(AA$6,DataOB[#Headers],0)),"")</f>
        <v/>
      </c>
      <c r="AB654" s="67" t="str">
        <f>IF($B654&lt;&gt;"",INDEX(DataOB[],FirstRow+ROW()-7,MATCH(AB$6,DataOB[#Headers],0)),"")</f>
        <v/>
      </c>
      <c r="AC654" s="67" t="str">
        <f>IF($B654&lt;&gt;"",INDEX(DataOB[],FirstRow+ROW()-7,MATCH(AC$6,DataOB[#Headers],0)),"")</f>
        <v/>
      </c>
      <c r="AD654" s="67" t="str">
        <f>IF($B654&lt;&gt;"",INDEX(DataOB[],FirstRow+ROW()-7,MATCH(AD$6,DataOB[#Headers],0)),"")</f>
        <v/>
      </c>
      <c r="AE654" s="67" t="str">
        <f>IF($B654&lt;&gt;"",INDEX(DataOB[],FirstRow+ROW()-7,MATCH(AE$6,DataOB[#Headers],0)),"")</f>
        <v/>
      </c>
      <c r="AF654" s="26">
        <f t="shared" si="104"/>
        <v>0</v>
      </c>
      <c r="AG654" s="31">
        <f>SUM($T654:T654)</f>
        <v>0</v>
      </c>
      <c r="AH654" s="31">
        <f>SUM($T654:U654)</f>
        <v>0</v>
      </c>
      <c r="AI654" s="31">
        <f>SUM($T654:V654)</f>
        <v>0</v>
      </c>
      <c r="AJ654" s="31">
        <f>SUM($T654:W654)</f>
        <v>0</v>
      </c>
      <c r="AK654" s="31">
        <f>SUM($T654:X654)</f>
        <v>0</v>
      </c>
      <c r="AL654" s="31">
        <f>SUM($T654:Y654)</f>
        <v>0</v>
      </c>
      <c r="AM654" s="31">
        <f>SUM($T654:Z654)</f>
        <v>0</v>
      </c>
      <c r="AN654" s="31">
        <f>SUM($T654:AA654)</f>
        <v>0</v>
      </c>
      <c r="AO654" s="31">
        <f>SUM($T654:AB654)</f>
        <v>0</v>
      </c>
      <c r="AP654" s="31">
        <f>SUM($T654:AC654)</f>
        <v>0</v>
      </c>
      <c r="AQ654" s="31">
        <f>SUM($T654:AD654)</f>
        <v>0</v>
      </c>
      <c r="AR654" s="31">
        <f>SUM($T654:AE654)</f>
        <v>0</v>
      </c>
      <c r="AS654" s="27">
        <f t="shared" si="105"/>
        <v>0</v>
      </c>
    </row>
    <row r="655" spans="2:45">
      <c r="B655" s="102" t="str">
        <f>IF(ROW()-6&gt;NumCostCenter,"",IF(CostCenter&lt;&gt;"ALL",CostCenter,DATA_LF2!B653))</f>
        <v/>
      </c>
      <c r="C655" s="153" t="str">
        <f>IF($B655&lt;&gt;"",INDEX(DataOB[],FirstRow+ROW()-7,2),"")</f>
        <v/>
      </c>
      <c r="D655" s="66" t="str">
        <f>IF($B655&lt;&gt;"",INDEX(DataOB[],FirstRow+ROW()-7,3),"")</f>
        <v/>
      </c>
      <c r="E655" s="103" t="str">
        <f>IF($B655&lt;&gt;"",INDEX(DataOB[],FirstRow+ROW()-7,6),"")</f>
        <v/>
      </c>
      <c r="F655" s="103" t="str">
        <f>IF($B655&lt;&gt;"",INDEX(DataOB[],FirstRow+ROW()-7,5),"")</f>
        <v/>
      </c>
      <c r="G655" s="58">
        <f>IF($B655&lt;&gt;"",SUMIFS(DataAct_tbl[AMOUNT],DataAct_tbl[BG CODE],Detail!$D655,DataAct_tbl[MONTH],LEFT(MonthName,3),DataAct_tbl[Dept code],$B655),0)</f>
        <v>0</v>
      </c>
      <c r="H655" s="31" t="str">
        <f t="shared" si="97"/>
        <v/>
      </c>
      <c r="I655" s="28" t="str">
        <f t="shared" si="98"/>
        <v/>
      </c>
      <c r="J655" s="32" t="str">
        <f t="shared" si="99"/>
        <v/>
      </c>
      <c r="K655" s="86"/>
      <c r="L655" s="62">
        <f>IF($B655&lt;&gt;"",SUMIFS(DataAct_tbl[AMOUNT],DataAct_tbl[BG CODE],Detail!$D655,DataAct_tbl[Check Range],"=true",DataAct_tbl[Dept code],$B655),0)</f>
        <v>0</v>
      </c>
      <c r="M655" s="63">
        <f>INDEX($AG$7:$AR$1005,ROW()-6,MATCH(MTD,$AG$6:$AR$6,0))</f>
        <v>0</v>
      </c>
      <c r="N655" s="34">
        <f t="shared" si="100"/>
        <v>0</v>
      </c>
      <c r="O655" s="64" t="str">
        <f t="shared" si="101"/>
        <v xml:space="preserve"> </v>
      </c>
      <c r="Q655" s="97">
        <f t="shared" si="102"/>
        <v>0</v>
      </c>
      <c r="R655" s="96">
        <f t="shared" si="103"/>
        <v>0</v>
      </c>
      <c r="T655" s="67" t="str">
        <f>IF($B655&lt;&gt;"",INDEX(DataOB[],FirstRow+ROW()-7,MATCH(T$6,DataOB[#Headers],0)),"")</f>
        <v/>
      </c>
      <c r="U655" s="67" t="str">
        <f>IF($B655&lt;&gt;"",INDEX(DataOB[],FirstRow+ROW()-7,MATCH(U$6,DataOB[#Headers],0)),"")</f>
        <v/>
      </c>
      <c r="V655" s="67" t="str">
        <f>IF($B655&lt;&gt;"",INDEX(DataOB[],FirstRow+ROW()-7,MATCH(V$6,DataOB[#Headers],0)),"")</f>
        <v/>
      </c>
      <c r="W655" s="67" t="str">
        <f>IF($B655&lt;&gt;"",INDEX(DataOB[],FirstRow+ROW()-7,MATCH(W$6,DataOB[#Headers],0)),"")</f>
        <v/>
      </c>
      <c r="X655" s="67" t="str">
        <f>IF($B655&lt;&gt;"",INDEX(DataOB[],FirstRow+ROW()-7,MATCH(X$6,DataOB[#Headers],0)),"")</f>
        <v/>
      </c>
      <c r="Y655" s="67" t="str">
        <f>IF($B655&lt;&gt;"",INDEX(DataOB[],FirstRow+ROW()-7,MATCH(Y$6,DataOB[#Headers],0)),"")</f>
        <v/>
      </c>
      <c r="Z655" s="67" t="str">
        <f>IF($B655&lt;&gt;"",INDEX(DataOB[],FirstRow+ROW()-7,MATCH(Z$6,DataOB[#Headers],0)),"")</f>
        <v/>
      </c>
      <c r="AA655" s="67" t="str">
        <f>IF($B655&lt;&gt;"",INDEX(DataOB[],FirstRow+ROW()-7,MATCH(AA$6,DataOB[#Headers],0)),"")</f>
        <v/>
      </c>
      <c r="AB655" s="67" t="str">
        <f>IF($B655&lt;&gt;"",INDEX(DataOB[],FirstRow+ROW()-7,MATCH(AB$6,DataOB[#Headers],0)),"")</f>
        <v/>
      </c>
      <c r="AC655" s="67" t="str">
        <f>IF($B655&lt;&gt;"",INDEX(DataOB[],FirstRow+ROW()-7,MATCH(AC$6,DataOB[#Headers],0)),"")</f>
        <v/>
      </c>
      <c r="AD655" s="67" t="str">
        <f>IF($B655&lt;&gt;"",INDEX(DataOB[],FirstRow+ROW()-7,MATCH(AD$6,DataOB[#Headers],0)),"")</f>
        <v/>
      </c>
      <c r="AE655" s="67" t="str">
        <f>IF($B655&lt;&gt;"",INDEX(DataOB[],FirstRow+ROW()-7,MATCH(AE$6,DataOB[#Headers],0)),"")</f>
        <v/>
      </c>
      <c r="AF655" s="26">
        <f t="shared" si="104"/>
        <v>0</v>
      </c>
      <c r="AG655" s="31">
        <f>SUM($T655:T655)</f>
        <v>0</v>
      </c>
      <c r="AH655" s="31">
        <f>SUM($T655:U655)</f>
        <v>0</v>
      </c>
      <c r="AI655" s="31">
        <f>SUM($T655:V655)</f>
        <v>0</v>
      </c>
      <c r="AJ655" s="31">
        <f>SUM($T655:W655)</f>
        <v>0</v>
      </c>
      <c r="AK655" s="31">
        <f>SUM($T655:X655)</f>
        <v>0</v>
      </c>
      <c r="AL655" s="31">
        <f>SUM($T655:Y655)</f>
        <v>0</v>
      </c>
      <c r="AM655" s="31">
        <f>SUM($T655:Z655)</f>
        <v>0</v>
      </c>
      <c r="AN655" s="31">
        <f>SUM($T655:AA655)</f>
        <v>0</v>
      </c>
      <c r="AO655" s="31">
        <f>SUM($T655:AB655)</f>
        <v>0</v>
      </c>
      <c r="AP655" s="31">
        <f>SUM($T655:AC655)</f>
        <v>0</v>
      </c>
      <c r="AQ655" s="31">
        <f>SUM($T655:AD655)</f>
        <v>0</v>
      </c>
      <c r="AR655" s="31">
        <f>SUM($T655:AE655)</f>
        <v>0</v>
      </c>
      <c r="AS655" s="27">
        <f t="shared" si="105"/>
        <v>0</v>
      </c>
    </row>
    <row r="656" spans="2:45">
      <c r="B656" s="102" t="str">
        <f>IF(ROW()-6&gt;NumCostCenter,"",IF(CostCenter&lt;&gt;"ALL",CostCenter,DATA_LF2!B654))</f>
        <v/>
      </c>
      <c r="C656" s="153" t="str">
        <f>IF($B656&lt;&gt;"",INDEX(DataOB[],FirstRow+ROW()-7,2),"")</f>
        <v/>
      </c>
      <c r="D656" s="66" t="str">
        <f>IF($B656&lt;&gt;"",INDEX(DataOB[],FirstRow+ROW()-7,3),"")</f>
        <v/>
      </c>
      <c r="E656" s="103" t="str">
        <f>IF($B656&lt;&gt;"",INDEX(DataOB[],FirstRow+ROW()-7,6),"")</f>
        <v/>
      </c>
      <c r="F656" s="103" t="str">
        <f>IF($B656&lt;&gt;"",INDEX(DataOB[],FirstRow+ROW()-7,5),"")</f>
        <v/>
      </c>
      <c r="G656" s="58">
        <f>IF($B656&lt;&gt;"",SUMIFS(DataAct_tbl[AMOUNT],DataAct_tbl[BG CODE],Detail!$D656,DataAct_tbl[MONTH],LEFT(MonthName,3),DataAct_tbl[Dept code],$B656),0)</f>
        <v>0</v>
      </c>
      <c r="H656" s="31" t="str">
        <f t="shared" si="97"/>
        <v/>
      </c>
      <c r="I656" s="28" t="str">
        <f t="shared" si="98"/>
        <v/>
      </c>
      <c r="J656" s="32" t="str">
        <f t="shared" si="99"/>
        <v/>
      </c>
      <c r="K656" s="86"/>
      <c r="L656" s="62">
        <f>IF($B656&lt;&gt;"",SUMIFS(DataAct_tbl[AMOUNT],DataAct_tbl[BG CODE],Detail!$D656,DataAct_tbl[Check Range],"=true",DataAct_tbl[Dept code],$B656),0)</f>
        <v>0</v>
      </c>
      <c r="M656" s="63">
        <f>INDEX($AG$7:$AR$1005,ROW()-6,MATCH(MTD,$AG$6:$AR$6,0))</f>
        <v>0</v>
      </c>
      <c r="N656" s="34">
        <f t="shared" si="100"/>
        <v>0</v>
      </c>
      <c r="O656" s="64" t="str">
        <f t="shared" si="101"/>
        <v xml:space="preserve"> </v>
      </c>
      <c r="Q656" s="97">
        <f t="shared" si="102"/>
        <v>0</v>
      </c>
      <c r="R656" s="96">
        <f t="shared" si="103"/>
        <v>0</v>
      </c>
      <c r="T656" s="67" t="str">
        <f>IF($B656&lt;&gt;"",INDEX(DataOB[],FirstRow+ROW()-7,MATCH(T$6,DataOB[#Headers],0)),"")</f>
        <v/>
      </c>
      <c r="U656" s="67" t="str">
        <f>IF($B656&lt;&gt;"",INDEX(DataOB[],FirstRow+ROW()-7,MATCH(U$6,DataOB[#Headers],0)),"")</f>
        <v/>
      </c>
      <c r="V656" s="67" t="str">
        <f>IF($B656&lt;&gt;"",INDEX(DataOB[],FirstRow+ROW()-7,MATCH(V$6,DataOB[#Headers],0)),"")</f>
        <v/>
      </c>
      <c r="W656" s="67" t="str">
        <f>IF($B656&lt;&gt;"",INDEX(DataOB[],FirstRow+ROW()-7,MATCH(W$6,DataOB[#Headers],0)),"")</f>
        <v/>
      </c>
      <c r="X656" s="67" t="str">
        <f>IF($B656&lt;&gt;"",INDEX(DataOB[],FirstRow+ROW()-7,MATCH(X$6,DataOB[#Headers],0)),"")</f>
        <v/>
      </c>
      <c r="Y656" s="67" t="str">
        <f>IF($B656&lt;&gt;"",INDEX(DataOB[],FirstRow+ROW()-7,MATCH(Y$6,DataOB[#Headers],0)),"")</f>
        <v/>
      </c>
      <c r="Z656" s="67" t="str">
        <f>IF($B656&lt;&gt;"",INDEX(DataOB[],FirstRow+ROW()-7,MATCH(Z$6,DataOB[#Headers],0)),"")</f>
        <v/>
      </c>
      <c r="AA656" s="67" t="str">
        <f>IF($B656&lt;&gt;"",INDEX(DataOB[],FirstRow+ROW()-7,MATCH(AA$6,DataOB[#Headers],0)),"")</f>
        <v/>
      </c>
      <c r="AB656" s="67" t="str">
        <f>IF($B656&lt;&gt;"",INDEX(DataOB[],FirstRow+ROW()-7,MATCH(AB$6,DataOB[#Headers],0)),"")</f>
        <v/>
      </c>
      <c r="AC656" s="67" t="str">
        <f>IF($B656&lt;&gt;"",INDEX(DataOB[],FirstRow+ROW()-7,MATCH(AC$6,DataOB[#Headers],0)),"")</f>
        <v/>
      </c>
      <c r="AD656" s="67" t="str">
        <f>IF($B656&lt;&gt;"",INDEX(DataOB[],FirstRow+ROW()-7,MATCH(AD$6,DataOB[#Headers],0)),"")</f>
        <v/>
      </c>
      <c r="AE656" s="67" t="str">
        <f>IF($B656&lt;&gt;"",INDEX(DataOB[],FirstRow+ROW()-7,MATCH(AE$6,DataOB[#Headers],0)),"")</f>
        <v/>
      </c>
      <c r="AF656" s="26">
        <f t="shared" si="104"/>
        <v>0</v>
      </c>
      <c r="AG656" s="31">
        <f>SUM($T656:T656)</f>
        <v>0</v>
      </c>
      <c r="AH656" s="31">
        <f>SUM($T656:U656)</f>
        <v>0</v>
      </c>
      <c r="AI656" s="31">
        <f>SUM($T656:V656)</f>
        <v>0</v>
      </c>
      <c r="AJ656" s="31">
        <f>SUM($T656:W656)</f>
        <v>0</v>
      </c>
      <c r="AK656" s="31">
        <f>SUM($T656:X656)</f>
        <v>0</v>
      </c>
      <c r="AL656" s="31">
        <f>SUM($T656:Y656)</f>
        <v>0</v>
      </c>
      <c r="AM656" s="31">
        <f>SUM($T656:Z656)</f>
        <v>0</v>
      </c>
      <c r="AN656" s="31">
        <f>SUM($T656:AA656)</f>
        <v>0</v>
      </c>
      <c r="AO656" s="31">
        <f>SUM($T656:AB656)</f>
        <v>0</v>
      </c>
      <c r="AP656" s="31">
        <f>SUM($T656:AC656)</f>
        <v>0</v>
      </c>
      <c r="AQ656" s="31">
        <f>SUM($T656:AD656)</f>
        <v>0</v>
      </c>
      <c r="AR656" s="31">
        <f>SUM($T656:AE656)</f>
        <v>0</v>
      </c>
      <c r="AS656" s="27">
        <f t="shared" si="105"/>
        <v>0</v>
      </c>
    </row>
    <row r="657" spans="2:45">
      <c r="B657" s="102" t="str">
        <f>IF(ROW()-6&gt;NumCostCenter,"",IF(CostCenter&lt;&gt;"ALL",CostCenter,DATA_LF2!B655))</f>
        <v/>
      </c>
      <c r="C657" s="153" t="str">
        <f>IF($B657&lt;&gt;"",INDEX(DataOB[],FirstRow+ROW()-7,2),"")</f>
        <v/>
      </c>
      <c r="D657" s="66" t="str">
        <f>IF($B657&lt;&gt;"",INDEX(DataOB[],FirstRow+ROW()-7,3),"")</f>
        <v/>
      </c>
      <c r="E657" s="103" t="str">
        <f>IF($B657&lt;&gt;"",INDEX(DataOB[],FirstRow+ROW()-7,6),"")</f>
        <v/>
      </c>
      <c r="F657" s="103" t="str">
        <f>IF($B657&lt;&gt;"",INDEX(DataOB[],FirstRow+ROW()-7,5),"")</f>
        <v/>
      </c>
      <c r="G657" s="58">
        <f>IF($B657&lt;&gt;"",SUMIFS(DataAct_tbl[AMOUNT],DataAct_tbl[BG CODE],Detail!$D657,DataAct_tbl[MONTH],LEFT(MonthName,3),DataAct_tbl[Dept code],$B657),0)</f>
        <v>0</v>
      </c>
      <c r="H657" s="31" t="str">
        <f t="shared" si="97"/>
        <v/>
      </c>
      <c r="I657" s="28" t="str">
        <f t="shared" si="98"/>
        <v/>
      </c>
      <c r="J657" s="32" t="str">
        <f t="shared" si="99"/>
        <v/>
      </c>
      <c r="K657" s="86"/>
      <c r="L657" s="62">
        <f>IF($B657&lt;&gt;"",SUMIFS(DataAct_tbl[AMOUNT],DataAct_tbl[BG CODE],Detail!$D657,DataAct_tbl[Check Range],"=true",DataAct_tbl[Dept code],$B657),0)</f>
        <v>0</v>
      </c>
      <c r="M657" s="63">
        <f>INDEX($AG$7:$AR$1005,ROW()-6,MATCH(MTD,$AG$6:$AR$6,0))</f>
        <v>0</v>
      </c>
      <c r="N657" s="34">
        <f t="shared" si="100"/>
        <v>0</v>
      </c>
      <c r="O657" s="64" t="str">
        <f t="shared" si="101"/>
        <v xml:space="preserve"> </v>
      </c>
      <c r="Q657" s="97">
        <f t="shared" si="102"/>
        <v>0</v>
      </c>
      <c r="R657" s="96">
        <f t="shared" si="103"/>
        <v>0</v>
      </c>
      <c r="T657" s="67" t="str">
        <f>IF($B657&lt;&gt;"",INDEX(DataOB[],FirstRow+ROW()-7,MATCH(T$6,DataOB[#Headers],0)),"")</f>
        <v/>
      </c>
      <c r="U657" s="67" t="str">
        <f>IF($B657&lt;&gt;"",INDEX(DataOB[],FirstRow+ROW()-7,MATCH(U$6,DataOB[#Headers],0)),"")</f>
        <v/>
      </c>
      <c r="V657" s="67" t="str">
        <f>IF($B657&lt;&gt;"",INDEX(DataOB[],FirstRow+ROW()-7,MATCH(V$6,DataOB[#Headers],0)),"")</f>
        <v/>
      </c>
      <c r="W657" s="67" t="str">
        <f>IF($B657&lt;&gt;"",INDEX(DataOB[],FirstRow+ROW()-7,MATCH(W$6,DataOB[#Headers],0)),"")</f>
        <v/>
      </c>
      <c r="X657" s="67" t="str">
        <f>IF($B657&lt;&gt;"",INDEX(DataOB[],FirstRow+ROW()-7,MATCH(X$6,DataOB[#Headers],0)),"")</f>
        <v/>
      </c>
      <c r="Y657" s="67" t="str">
        <f>IF($B657&lt;&gt;"",INDEX(DataOB[],FirstRow+ROW()-7,MATCH(Y$6,DataOB[#Headers],0)),"")</f>
        <v/>
      </c>
      <c r="Z657" s="67" t="str">
        <f>IF($B657&lt;&gt;"",INDEX(DataOB[],FirstRow+ROW()-7,MATCH(Z$6,DataOB[#Headers],0)),"")</f>
        <v/>
      </c>
      <c r="AA657" s="67" t="str">
        <f>IF($B657&lt;&gt;"",INDEX(DataOB[],FirstRow+ROW()-7,MATCH(AA$6,DataOB[#Headers],0)),"")</f>
        <v/>
      </c>
      <c r="AB657" s="67" t="str">
        <f>IF($B657&lt;&gt;"",INDEX(DataOB[],FirstRow+ROW()-7,MATCH(AB$6,DataOB[#Headers],0)),"")</f>
        <v/>
      </c>
      <c r="AC657" s="67" t="str">
        <f>IF($B657&lt;&gt;"",INDEX(DataOB[],FirstRow+ROW()-7,MATCH(AC$6,DataOB[#Headers],0)),"")</f>
        <v/>
      </c>
      <c r="AD657" s="67" t="str">
        <f>IF($B657&lt;&gt;"",INDEX(DataOB[],FirstRow+ROW()-7,MATCH(AD$6,DataOB[#Headers],0)),"")</f>
        <v/>
      </c>
      <c r="AE657" s="67" t="str">
        <f>IF($B657&lt;&gt;"",INDEX(DataOB[],FirstRow+ROW()-7,MATCH(AE$6,DataOB[#Headers],0)),"")</f>
        <v/>
      </c>
      <c r="AF657" s="26">
        <f t="shared" si="104"/>
        <v>0</v>
      </c>
      <c r="AG657" s="31">
        <f>SUM($T657:T657)</f>
        <v>0</v>
      </c>
      <c r="AH657" s="31">
        <f>SUM($T657:U657)</f>
        <v>0</v>
      </c>
      <c r="AI657" s="31">
        <f>SUM($T657:V657)</f>
        <v>0</v>
      </c>
      <c r="AJ657" s="31">
        <f>SUM($T657:W657)</f>
        <v>0</v>
      </c>
      <c r="AK657" s="31">
        <f>SUM($T657:X657)</f>
        <v>0</v>
      </c>
      <c r="AL657" s="31">
        <f>SUM($T657:Y657)</f>
        <v>0</v>
      </c>
      <c r="AM657" s="31">
        <f>SUM($T657:Z657)</f>
        <v>0</v>
      </c>
      <c r="AN657" s="31">
        <f>SUM($T657:AA657)</f>
        <v>0</v>
      </c>
      <c r="AO657" s="31">
        <f>SUM($T657:AB657)</f>
        <v>0</v>
      </c>
      <c r="AP657" s="31">
        <f>SUM($T657:AC657)</f>
        <v>0</v>
      </c>
      <c r="AQ657" s="31">
        <f>SUM($T657:AD657)</f>
        <v>0</v>
      </c>
      <c r="AR657" s="31">
        <f>SUM($T657:AE657)</f>
        <v>0</v>
      </c>
      <c r="AS657" s="27">
        <f t="shared" si="105"/>
        <v>0</v>
      </c>
    </row>
    <row r="658" spans="2:45">
      <c r="B658" s="102" t="str">
        <f>IF(ROW()-6&gt;NumCostCenter,"",IF(CostCenter&lt;&gt;"ALL",CostCenter,DATA_LF2!B656))</f>
        <v/>
      </c>
      <c r="C658" s="153" t="str">
        <f>IF($B658&lt;&gt;"",INDEX(DataOB[],FirstRow+ROW()-7,2),"")</f>
        <v/>
      </c>
      <c r="D658" s="66" t="str">
        <f>IF($B658&lt;&gt;"",INDEX(DataOB[],FirstRow+ROW()-7,3),"")</f>
        <v/>
      </c>
      <c r="E658" s="103" t="str">
        <f>IF($B658&lt;&gt;"",INDEX(DataOB[],FirstRow+ROW()-7,6),"")</f>
        <v/>
      </c>
      <c r="F658" s="103" t="str">
        <f>IF($B658&lt;&gt;"",INDEX(DataOB[],FirstRow+ROW()-7,5),"")</f>
        <v/>
      </c>
      <c r="G658" s="58">
        <f>IF($B658&lt;&gt;"",SUMIFS(DataAct_tbl[AMOUNT],DataAct_tbl[BG CODE],Detail!$D658,DataAct_tbl[MONTH],LEFT(MonthName,3),DataAct_tbl[Dept code],$B658),0)</f>
        <v>0</v>
      </c>
      <c r="H658" s="31" t="str">
        <f t="shared" si="97"/>
        <v/>
      </c>
      <c r="I658" s="28" t="str">
        <f t="shared" si="98"/>
        <v/>
      </c>
      <c r="J658" s="32" t="str">
        <f t="shared" si="99"/>
        <v/>
      </c>
      <c r="K658" s="86"/>
      <c r="L658" s="62">
        <f>IF($B658&lt;&gt;"",SUMIFS(DataAct_tbl[AMOUNT],DataAct_tbl[BG CODE],Detail!$D658,DataAct_tbl[Check Range],"=true",DataAct_tbl[Dept code],$B658),0)</f>
        <v>0</v>
      </c>
      <c r="M658" s="63">
        <f>INDEX($AG$7:$AR$1005,ROW()-6,MATCH(MTD,$AG$6:$AR$6,0))</f>
        <v>0</v>
      </c>
      <c r="N658" s="34">
        <f t="shared" si="100"/>
        <v>0</v>
      </c>
      <c r="O658" s="64" t="str">
        <f t="shared" si="101"/>
        <v xml:space="preserve"> </v>
      </c>
      <c r="Q658" s="97">
        <f t="shared" si="102"/>
        <v>0</v>
      </c>
      <c r="R658" s="96">
        <f t="shared" si="103"/>
        <v>0</v>
      </c>
      <c r="T658" s="67" t="str">
        <f>IF($B658&lt;&gt;"",INDEX(DataOB[],FirstRow+ROW()-7,MATCH(T$6,DataOB[#Headers],0)),"")</f>
        <v/>
      </c>
      <c r="U658" s="67" t="str">
        <f>IF($B658&lt;&gt;"",INDEX(DataOB[],FirstRow+ROW()-7,MATCH(U$6,DataOB[#Headers],0)),"")</f>
        <v/>
      </c>
      <c r="V658" s="67" t="str">
        <f>IF($B658&lt;&gt;"",INDEX(DataOB[],FirstRow+ROW()-7,MATCH(V$6,DataOB[#Headers],0)),"")</f>
        <v/>
      </c>
      <c r="W658" s="67" t="str">
        <f>IF($B658&lt;&gt;"",INDEX(DataOB[],FirstRow+ROW()-7,MATCH(W$6,DataOB[#Headers],0)),"")</f>
        <v/>
      </c>
      <c r="X658" s="67" t="str">
        <f>IF($B658&lt;&gt;"",INDEX(DataOB[],FirstRow+ROW()-7,MATCH(X$6,DataOB[#Headers],0)),"")</f>
        <v/>
      </c>
      <c r="Y658" s="67" t="str">
        <f>IF($B658&lt;&gt;"",INDEX(DataOB[],FirstRow+ROW()-7,MATCH(Y$6,DataOB[#Headers],0)),"")</f>
        <v/>
      </c>
      <c r="Z658" s="67" t="str">
        <f>IF($B658&lt;&gt;"",INDEX(DataOB[],FirstRow+ROW()-7,MATCH(Z$6,DataOB[#Headers],0)),"")</f>
        <v/>
      </c>
      <c r="AA658" s="67" t="str">
        <f>IF($B658&lt;&gt;"",INDEX(DataOB[],FirstRow+ROW()-7,MATCH(AA$6,DataOB[#Headers],0)),"")</f>
        <v/>
      </c>
      <c r="AB658" s="67" t="str">
        <f>IF($B658&lt;&gt;"",INDEX(DataOB[],FirstRow+ROW()-7,MATCH(AB$6,DataOB[#Headers],0)),"")</f>
        <v/>
      </c>
      <c r="AC658" s="67" t="str">
        <f>IF($B658&lt;&gt;"",INDEX(DataOB[],FirstRow+ROW()-7,MATCH(AC$6,DataOB[#Headers],0)),"")</f>
        <v/>
      </c>
      <c r="AD658" s="67" t="str">
        <f>IF($B658&lt;&gt;"",INDEX(DataOB[],FirstRow+ROW()-7,MATCH(AD$6,DataOB[#Headers],0)),"")</f>
        <v/>
      </c>
      <c r="AE658" s="67" t="str">
        <f>IF($B658&lt;&gt;"",INDEX(DataOB[],FirstRow+ROW()-7,MATCH(AE$6,DataOB[#Headers],0)),"")</f>
        <v/>
      </c>
      <c r="AF658" s="26">
        <f t="shared" si="104"/>
        <v>0</v>
      </c>
      <c r="AG658" s="31">
        <f>SUM($T658:T658)</f>
        <v>0</v>
      </c>
      <c r="AH658" s="31">
        <f>SUM($T658:U658)</f>
        <v>0</v>
      </c>
      <c r="AI658" s="31">
        <f>SUM($T658:V658)</f>
        <v>0</v>
      </c>
      <c r="AJ658" s="31">
        <f>SUM($T658:W658)</f>
        <v>0</v>
      </c>
      <c r="AK658" s="31">
        <f>SUM($T658:X658)</f>
        <v>0</v>
      </c>
      <c r="AL658" s="31">
        <f>SUM($T658:Y658)</f>
        <v>0</v>
      </c>
      <c r="AM658" s="31">
        <f>SUM($T658:Z658)</f>
        <v>0</v>
      </c>
      <c r="AN658" s="31">
        <f>SUM($T658:AA658)</f>
        <v>0</v>
      </c>
      <c r="AO658" s="31">
        <f>SUM($T658:AB658)</f>
        <v>0</v>
      </c>
      <c r="AP658" s="31">
        <f>SUM($T658:AC658)</f>
        <v>0</v>
      </c>
      <c r="AQ658" s="31">
        <f>SUM($T658:AD658)</f>
        <v>0</v>
      </c>
      <c r="AR658" s="31">
        <f>SUM($T658:AE658)</f>
        <v>0</v>
      </c>
      <c r="AS658" s="27">
        <f t="shared" si="105"/>
        <v>0</v>
      </c>
    </row>
    <row r="659" spans="2:45">
      <c r="B659" s="102" t="str">
        <f>IF(ROW()-6&gt;NumCostCenter,"",IF(CostCenter&lt;&gt;"ALL",CostCenter,DATA_LF2!B657))</f>
        <v/>
      </c>
      <c r="C659" s="153" t="str">
        <f>IF($B659&lt;&gt;"",INDEX(DataOB[],FirstRow+ROW()-7,2),"")</f>
        <v/>
      </c>
      <c r="D659" s="66" t="str">
        <f>IF($B659&lt;&gt;"",INDEX(DataOB[],FirstRow+ROW()-7,3),"")</f>
        <v/>
      </c>
      <c r="E659" s="103" t="str">
        <f>IF($B659&lt;&gt;"",INDEX(DataOB[],FirstRow+ROW()-7,6),"")</f>
        <v/>
      </c>
      <c r="F659" s="103" t="str">
        <f>IF($B659&lt;&gt;"",INDEX(DataOB[],FirstRow+ROW()-7,5),"")</f>
        <v/>
      </c>
      <c r="G659" s="58">
        <f>IF($B659&lt;&gt;"",SUMIFS(DataAct_tbl[AMOUNT],DataAct_tbl[BG CODE],Detail!$D659,DataAct_tbl[MONTH],LEFT(MonthName,3),DataAct_tbl[Dept code],$B659),0)</f>
        <v>0</v>
      </c>
      <c r="H659" s="31" t="str">
        <f t="shared" si="97"/>
        <v/>
      </c>
      <c r="I659" s="28" t="str">
        <f t="shared" si="98"/>
        <v/>
      </c>
      <c r="J659" s="32" t="str">
        <f t="shared" si="99"/>
        <v/>
      </c>
      <c r="K659" s="86"/>
      <c r="L659" s="62">
        <f>IF($B659&lt;&gt;"",SUMIFS(DataAct_tbl[AMOUNT],DataAct_tbl[BG CODE],Detail!$D659,DataAct_tbl[Check Range],"=true",DataAct_tbl[Dept code],$B659),0)</f>
        <v>0</v>
      </c>
      <c r="M659" s="63">
        <f>INDEX($AG$7:$AR$1005,ROW()-6,MATCH(MTD,$AG$6:$AR$6,0))</f>
        <v>0</v>
      </c>
      <c r="N659" s="34">
        <f t="shared" si="100"/>
        <v>0</v>
      </c>
      <c r="O659" s="64" t="str">
        <f t="shared" si="101"/>
        <v xml:space="preserve"> </v>
      </c>
      <c r="Q659" s="97">
        <f t="shared" si="102"/>
        <v>0</v>
      </c>
      <c r="R659" s="96">
        <f t="shared" si="103"/>
        <v>0</v>
      </c>
      <c r="T659" s="67" t="str">
        <f>IF($B659&lt;&gt;"",INDEX(DataOB[],FirstRow+ROW()-7,MATCH(T$6,DataOB[#Headers],0)),"")</f>
        <v/>
      </c>
      <c r="U659" s="67" t="str">
        <f>IF($B659&lt;&gt;"",INDEX(DataOB[],FirstRow+ROW()-7,MATCH(U$6,DataOB[#Headers],0)),"")</f>
        <v/>
      </c>
      <c r="V659" s="67" t="str">
        <f>IF($B659&lt;&gt;"",INDEX(DataOB[],FirstRow+ROW()-7,MATCH(V$6,DataOB[#Headers],0)),"")</f>
        <v/>
      </c>
      <c r="W659" s="67" t="str">
        <f>IF($B659&lt;&gt;"",INDEX(DataOB[],FirstRow+ROW()-7,MATCH(W$6,DataOB[#Headers],0)),"")</f>
        <v/>
      </c>
      <c r="X659" s="67" t="str">
        <f>IF($B659&lt;&gt;"",INDEX(DataOB[],FirstRow+ROW()-7,MATCH(X$6,DataOB[#Headers],0)),"")</f>
        <v/>
      </c>
      <c r="Y659" s="67" t="str">
        <f>IF($B659&lt;&gt;"",INDEX(DataOB[],FirstRow+ROW()-7,MATCH(Y$6,DataOB[#Headers],0)),"")</f>
        <v/>
      </c>
      <c r="Z659" s="67" t="str">
        <f>IF($B659&lt;&gt;"",INDEX(DataOB[],FirstRow+ROW()-7,MATCH(Z$6,DataOB[#Headers],0)),"")</f>
        <v/>
      </c>
      <c r="AA659" s="67" t="str">
        <f>IF($B659&lt;&gt;"",INDEX(DataOB[],FirstRow+ROW()-7,MATCH(AA$6,DataOB[#Headers],0)),"")</f>
        <v/>
      </c>
      <c r="AB659" s="67" t="str">
        <f>IF($B659&lt;&gt;"",INDEX(DataOB[],FirstRow+ROW()-7,MATCH(AB$6,DataOB[#Headers],0)),"")</f>
        <v/>
      </c>
      <c r="AC659" s="67" t="str">
        <f>IF($B659&lt;&gt;"",INDEX(DataOB[],FirstRow+ROW()-7,MATCH(AC$6,DataOB[#Headers],0)),"")</f>
        <v/>
      </c>
      <c r="AD659" s="67" t="str">
        <f>IF($B659&lt;&gt;"",INDEX(DataOB[],FirstRow+ROW()-7,MATCH(AD$6,DataOB[#Headers],0)),"")</f>
        <v/>
      </c>
      <c r="AE659" s="67" t="str">
        <f>IF($B659&lt;&gt;"",INDEX(DataOB[],FirstRow+ROW()-7,MATCH(AE$6,DataOB[#Headers],0)),"")</f>
        <v/>
      </c>
      <c r="AF659" s="26">
        <f t="shared" si="104"/>
        <v>0</v>
      </c>
      <c r="AG659" s="31">
        <f>SUM($T659:T659)</f>
        <v>0</v>
      </c>
      <c r="AH659" s="31">
        <f>SUM($T659:U659)</f>
        <v>0</v>
      </c>
      <c r="AI659" s="31">
        <f>SUM($T659:V659)</f>
        <v>0</v>
      </c>
      <c r="AJ659" s="31">
        <f>SUM($T659:W659)</f>
        <v>0</v>
      </c>
      <c r="AK659" s="31">
        <f>SUM($T659:X659)</f>
        <v>0</v>
      </c>
      <c r="AL659" s="31">
        <f>SUM($T659:Y659)</f>
        <v>0</v>
      </c>
      <c r="AM659" s="31">
        <f>SUM($T659:Z659)</f>
        <v>0</v>
      </c>
      <c r="AN659" s="31">
        <f>SUM($T659:AA659)</f>
        <v>0</v>
      </c>
      <c r="AO659" s="31">
        <f>SUM($T659:AB659)</f>
        <v>0</v>
      </c>
      <c r="AP659" s="31">
        <f>SUM($T659:AC659)</f>
        <v>0</v>
      </c>
      <c r="AQ659" s="31">
        <f>SUM($T659:AD659)</f>
        <v>0</v>
      </c>
      <c r="AR659" s="31">
        <f>SUM($T659:AE659)</f>
        <v>0</v>
      </c>
      <c r="AS659" s="27">
        <f t="shared" si="105"/>
        <v>0</v>
      </c>
    </row>
    <row r="660" spans="2:45">
      <c r="B660" s="102" t="str">
        <f>IF(ROW()-6&gt;NumCostCenter,"",IF(CostCenter&lt;&gt;"ALL",CostCenter,DATA_LF2!B658))</f>
        <v/>
      </c>
      <c r="C660" s="153" t="str">
        <f>IF($B660&lt;&gt;"",INDEX(DataOB[],FirstRow+ROW()-7,2),"")</f>
        <v/>
      </c>
      <c r="D660" s="66" t="str">
        <f>IF($B660&lt;&gt;"",INDEX(DataOB[],FirstRow+ROW()-7,3),"")</f>
        <v/>
      </c>
      <c r="E660" s="103" t="str">
        <f>IF($B660&lt;&gt;"",INDEX(DataOB[],FirstRow+ROW()-7,6),"")</f>
        <v/>
      </c>
      <c r="F660" s="103" t="str">
        <f>IF($B660&lt;&gt;"",INDEX(DataOB[],FirstRow+ROW()-7,5),"")</f>
        <v/>
      </c>
      <c r="G660" s="58">
        <f>IF($B660&lt;&gt;"",SUMIFS(DataAct_tbl[AMOUNT],DataAct_tbl[BG CODE],Detail!$D660,DataAct_tbl[MONTH],LEFT(MonthName,3),DataAct_tbl[Dept code],$B660),0)</f>
        <v>0</v>
      </c>
      <c r="H660" s="31" t="str">
        <f t="shared" si="97"/>
        <v/>
      </c>
      <c r="I660" s="28" t="str">
        <f t="shared" si="98"/>
        <v/>
      </c>
      <c r="J660" s="32" t="str">
        <f t="shared" si="99"/>
        <v/>
      </c>
      <c r="K660" s="86"/>
      <c r="L660" s="62">
        <f>IF($B660&lt;&gt;"",SUMIFS(DataAct_tbl[AMOUNT],DataAct_tbl[BG CODE],Detail!$D660,DataAct_tbl[Check Range],"=true",DataAct_tbl[Dept code],$B660),0)</f>
        <v>0</v>
      </c>
      <c r="M660" s="63">
        <f>INDEX($AG$7:$AR$1005,ROW()-6,MATCH(MTD,$AG$6:$AR$6,0))</f>
        <v>0</v>
      </c>
      <c r="N660" s="34">
        <f t="shared" si="100"/>
        <v>0</v>
      </c>
      <c r="O660" s="64" t="str">
        <f t="shared" si="101"/>
        <v xml:space="preserve"> </v>
      </c>
      <c r="Q660" s="97">
        <f t="shared" si="102"/>
        <v>0</v>
      </c>
      <c r="R660" s="96">
        <f t="shared" si="103"/>
        <v>0</v>
      </c>
      <c r="T660" s="67" t="str">
        <f>IF($B660&lt;&gt;"",INDEX(DataOB[],FirstRow+ROW()-7,MATCH(T$6,DataOB[#Headers],0)),"")</f>
        <v/>
      </c>
      <c r="U660" s="67" t="str">
        <f>IF($B660&lt;&gt;"",INDEX(DataOB[],FirstRow+ROW()-7,MATCH(U$6,DataOB[#Headers],0)),"")</f>
        <v/>
      </c>
      <c r="V660" s="67" t="str">
        <f>IF($B660&lt;&gt;"",INDEX(DataOB[],FirstRow+ROW()-7,MATCH(V$6,DataOB[#Headers],0)),"")</f>
        <v/>
      </c>
      <c r="W660" s="67" t="str">
        <f>IF($B660&lt;&gt;"",INDEX(DataOB[],FirstRow+ROW()-7,MATCH(W$6,DataOB[#Headers],0)),"")</f>
        <v/>
      </c>
      <c r="X660" s="67" t="str">
        <f>IF($B660&lt;&gt;"",INDEX(DataOB[],FirstRow+ROW()-7,MATCH(X$6,DataOB[#Headers],0)),"")</f>
        <v/>
      </c>
      <c r="Y660" s="67" t="str">
        <f>IF($B660&lt;&gt;"",INDEX(DataOB[],FirstRow+ROW()-7,MATCH(Y$6,DataOB[#Headers],0)),"")</f>
        <v/>
      </c>
      <c r="Z660" s="67" t="str">
        <f>IF($B660&lt;&gt;"",INDEX(DataOB[],FirstRow+ROW()-7,MATCH(Z$6,DataOB[#Headers],0)),"")</f>
        <v/>
      </c>
      <c r="AA660" s="67" t="str">
        <f>IF($B660&lt;&gt;"",INDEX(DataOB[],FirstRow+ROW()-7,MATCH(AA$6,DataOB[#Headers],0)),"")</f>
        <v/>
      </c>
      <c r="AB660" s="67" t="str">
        <f>IF($B660&lt;&gt;"",INDEX(DataOB[],FirstRow+ROW()-7,MATCH(AB$6,DataOB[#Headers],0)),"")</f>
        <v/>
      </c>
      <c r="AC660" s="67" t="str">
        <f>IF($B660&lt;&gt;"",INDEX(DataOB[],FirstRow+ROW()-7,MATCH(AC$6,DataOB[#Headers],0)),"")</f>
        <v/>
      </c>
      <c r="AD660" s="67" t="str">
        <f>IF($B660&lt;&gt;"",INDEX(DataOB[],FirstRow+ROW()-7,MATCH(AD$6,DataOB[#Headers],0)),"")</f>
        <v/>
      </c>
      <c r="AE660" s="67" t="str">
        <f>IF($B660&lt;&gt;"",INDEX(DataOB[],FirstRow+ROW()-7,MATCH(AE$6,DataOB[#Headers],0)),"")</f>
        <v/>
      </c>
      <c r="AF660" s="26">
        <f t="shared" si="104"/>
        <v>0</v>
      </c>
      <c r="AG660" s="31">
        <f>SUM($T660:T660)</f>
        <v>0</v>
      </c>
      <c r="AH660" s="31">
        <f>SUM($T660:U660)</f>
        <v>0</v>
      </c>
      <c r="AI660" s="31">
        <f>SUM($T660:V660)</f>
        <v>0</v>
      </c>
      <c r="AJ660" s="31">
        <f>SUM($T660:W660)</f>
        <v>0</v>
      </c>
      <c r="AK660" s="31">
        <f>SUM($T660:X660)</f>
        <v>0</v>
      </c>
      <c r="AL660" s="31">
        <f>SUM($T660:Y660)</f>
        <v>0</v>
      </c>
      <c r="AM660" s="31">
        <f>SUM($T660:Z660)</f>
        <v>0</v>
      </c>
      <c r="AN660" s="31">
        <f>SUM($T660:AA660)</f>
        <v>0</v>
      </c>
      <c r="AO660" s="31">
        <f>SUM($T660:AB660)</f>
        <v>0</v>
      </c>
      <c r="AP660" s="31">
        <f>SUM($T660:AC660)</f>
        <v>0</v>
      </c>
      <c r="AQ660" s="31">
        <f>SUM($T660:AD660)</f>
        <v>0</v>
      </c>
      <c r="AR660" s="31">
        <f>SUM($T660:AE660)</f>
        <v>0</v>
      </c>
      <c r="AS660" s="27">
        <f t="shared" si="105"/>
        <v>0</v>
      </c>
    </row>
    <row r="661" spans="2:45">
      <c r="B661" s="102" t="str">
        <f>IF(ROW()-6&gt;NumCostCenter,"",IF(CostCenter&lt;&gt;"ALL",CostCenter,DATA_LF2!B659))</f>
        <v/>
      </c>
      <c r="C661" s="153" t="str">
        <f>IF($B661&lt;&gt;"",INDEX(DataOB[],FirstRow+ROW()-7,2),"")</f>
        <v/>
      </c>
      <c r="D661" s="66" t="str">
        <f>IF($B661&lt;&gt;"",INDEX(DataOB[],FirstRow+ROW()-7,3),"")</f>
        <v/>
      </c>
      <c r="E661" s="103" t="str">
        <f>IF($B661&lt;&gt;"",INDEX(DataOB[],FirstRow+ROW()-7,6),"")</f>
        <v/>
      </c>
      <c r="F661" s="103" t="str">
        <f>IF($B661&lt;&gt;"",INDEX(DataOB[],FirstRow+ROW()-7,5),"")</f>
        <v/>
      </c>
      <c r="G661" s="58">
        <f>IF($B661&lt;&gt;"",SUMIFS(DataAct_tbl[AMOUNT],DataAct_tbl[BG CODE],Detail!$D661,DataAct_tbl[MONTH],LEFT(MonthName,3),DataAct_tbl[Dept code],$B661),0)</f>
        <v>0</v>
      </c>
      <c r="H661" s="31" t="str">
        <f t="shared" si="97"/>
        <v/>
      </c>
      <c r="I661" s="28" t="str">
        <f t="shared" si="98"/>
        <v/>
      </c>
      <c r="J661" s="32" t="str">
        <f t="shared" si="99"/>
        <v/>
      </c>
      <c r="K661" s="86"/>
      <c r="L661" s="62">
        <f>IF($B661&lt;&gt;"",SUMIFS(DataAct_tbl[AMOUNT],DataAct_tbl[BG CODE],Detail!$D661,DataAct_tbl[Check Range],"=true",DataAct_tbl[Dept code],$B661),0)</f>
        <v>0</v>
      </c>
      <c r="M661" s="63">
        <f>INDEX($AG$7:$AR$1005,ROW()-6,MATCH(MTD,$AG$6:$AR$6,0))</f>
        <v>0</v>
      </c>
      <c r="N661" s="34">
        <f t="shared" si="100"/>
        <v>0</v>
      </c>
      <c r="O661" s="64" t="str">
        <f t="shared" si="101"/>
        <v xml:space="preserve"> </v>
      </c>
      <c r="Q661" s="97">
        <f t="shared" si="102"/>
        <v>0</v>
      </c>
      <c r="R661" s="96">
        <f t="shared" si="103"/>
        <v>0</v>
      </c>
      <c r="T661" s="67" t="str">
        <f>IF($B661&lt;&gt;"",INDEX(DataOB[],FirstRow+ROW()-7,MATCH(T$6,DataOB[#Headers],0)),"")</f>
        <v/>
      </c>
      <c r="U661" s="67" t="str">
        <f>IF($B661&lt;&gt;"",INDEX(DataOB[],FirstRow+ROW()-7,MATCH(U$6,DataOB[#Headers],0)),"")</f>
        <v/>
      </c>
      <c r="V661" s="67" t="str">
        <f>IF($B661&lt;&gt;"",INDEX(DataOB[],FirstRow+ROW()-7,MATCH(V$6,DataOB[#Headers],0)),"")</f>
        <v/>
      </c>
      <c r="W661" s="67" t="str">
        <f>IF($B661&lt;&gt;"",INDEX(DataOB[],FirstRow+ROW()-7,MATCH(W$6,DataOB[#Headers],0)),"")</f>
        <v/>
      </c>
      <c r="X661" s="67" t="str">
        <f>IF($B661&lt;&gt;"",INDEX(DataOB[],FirstRow+ROW()-7,MATCH(X$6,DataOB[#Headers],0)),"")</f>
        <v/>
      </c>
      <c r="Y661" s="67" t="str">
        <f>IF($B661&lt;&gt;"",INDEX(DataOB[],FirstRow+ROW()-7,MATCH(Y$6,DataOB[#Headers],0)),"")</f>
        <v/>
      </c>
      <c r="Z661" s="67" t="str">
        <f>IF($B661&lt;&gt;"",INDEX(DataOB[],FirstRow+ROW()-7,MATCH(Z$6,DataOB[#Headers],0)),"")</f>
        <v/>
      </c>
      <c r="AA661" s="67" t="str">
        <f>IF($B661&lt;&gt;"",INDEX(DataOB[],FirstRow+ROW()-7,MATCH(AA$6,DataOB[#Headers],0)),"")</f>
        <v/>
      </c>
      <c r="AB661" s="67" t="str">
        <f>IF($B661&lt;&gt;"",INDEX(DataOB[],FirstRow+ROW()-7,MATCH(AB$6,DataOB[#Headers],0)),"")</f>
        <v/>
      </c>
      <c r="AC661" s="67" t="str">
        <f>IF($B661&lt;&gt;"",INDEX(DataOB[],FirstRow+ROW()-7,MATCH(AC$6,DataOB[#Headers],0)),"")</f>
        <v/>
      </c>
      <c r="AD661" s="67" t="str">
        <f>IF($B661&lt;&gt;"",INDEX(DataOB[],FirstRow+ROW()-7,MATCH(AD$6,DataOB[#Headers],0)),"")</f>
        <v/>
      </c>
      <c r="AE661" s="67" t="str">
        <f>IF($B661&lt;&gt;"",INDEX(DataOB[],FirstRow+ROW()-7,MATCH(AE$6,DataOB[#Headers],0)),"")</f>
        <v/>
      </c>
      <c r="AF661" s="26">
        <f t="shared" si="104"/>
        <v>0</v>
      </c>
      <c r="AG661" s="31">
        <f>SUM($T661:T661)</f>
        <v>0</v>
      </c>
      <c r="AH661" s="31">
        <f>SUM($T661:U661)</f>
        <v>0</v>
      </c>
      <c r="AI661" s="31">
        <f>SUM($T661:V661)</f>
        <v>0</v>
      </c>
      <c r="AJ661" s="31">
        <f>SUM($T661:W661)</f>
        <v>0</v>
      </c>
      <c r="AK661" s="31">
        <f>SUM($T661:X661)</f>
        <v>0</v>
      </c>
      <c r="AL661" s="31">
        <f>SUM($T661:Y661)</f>
        <v>0</v>
      </c>
      <c r="AM661" s="31">
        <f>SUM($T661:Z661)</f>
        <v>0</v>
      </c>
      <c r="AN661" s="31">
        <f>SUM($T661:AA661)</f>
        <v>0</v>
      </c>
      <c r="AO661" s="31">
        <f>SUM($T661:AB661)</f>
        <v>0</v>
      </c>
      <c r="AP661" s="31">
        <f>SUM($T661:AC661)</f>
        <v>0</v>
      </c>
      <c r="AQ661" s="31">
        <f>SUM($T661:AD661)</f>
        <v>0</v>
      </c>
      <c r="AR661" s="31">
        <f>SUM($T661:AE661)</f>
        <v>0</v>
      </c>
      <c r="AS661" s="27">
        <f t="shared" si="105"/>
        <v>0</v>
      </c>
    </row>
    <row r="662" spans="2:45">
      <c r="B662" s="102" t="str">
        <f>IF(ROW()-6&gt;NumCostCenter,"",IF(CostCenter&lt;&gt;"ALL",CostCenter,DATA_LF2!B660))</f>
        <v/>
      </c>
      <c r="C662" s="153" t="str">
        <f>IF($B662&lt;&gt;"",INDEX(DataOB[],FirstRow+ROW()-7,2),"")</f>
        <v/>
      </c>
      <c r="D662" s="66" t="str">
        <f>IF($B662&lt;&gt;"",INDEX(DataOB[],FirstRow+ROW()-7,3),"")</f>
        <v/>
      </c>
      <c r="E662" s="103" t="str">
        <f>IF($B662&lt;&gt;"",INDEX(DataOB[],FirstRow+ROW()-7,6),"")</f>
        <v/>
      </c>
      <c r="F662" s="103" t="str">
        <f>IF($B662&lt;&gt;"",INDEX(DataOB[],FirstRow+ROW()-7,5),"")</f>
        <v/>
      </c>
      <c r="G662" s="58">
        <f>IF($B662&lt;&gt;"",SUMIFS(DataAct_tbl[AMOUNT],DataAct_tbl[BG CODE],Detail!$D662,DataAct_tbl[MONTH],LEFT(MonthName,3),DataAct_tbl[Dept code],$B662),0)</f>
        <v>0</v>
      </c>
      <c r="H662" s="31" t="str">
        <f t="shared" si="97"/>
        <v/>
      </c>
      <c r="I662" s="28" t="str">
        <f t="shared" si="98"/>
        <v/>
      </c>
      <c r="J662" s="32" t="str">
        <f t="shared" si="99"/>
        <v/>
      </c>
      <c r="K662" s="86"/>
      <c r="L662" s="62">
        <f>IF($B662&lt;&gt;"",SUMIFS(DataAct_tbl[AMOUNT],DataAct_tbl[BG CODE],Detail!$D662,DataAct_tbl[Check Range],"=true",DataAct_tbl[Dept code],$B662),0)</f>
        <v>0</v>
      </c>
      <c r="M662" s="63">
        <f>INDEX($AG$7:$AR$1005,ROW()-6,MATCH(MTD,$AG$6:$AR$6,0))</f>
        <v>0</v>
      </c>
      <c r="N662" s="34">
        <f t="shared" si="100"/>
        <v>0</v>
      </c>
      <c r="O662" s="64" t="str">
        <f t="shared" si="101"/>
        <v xml:space="preserve"> </v>
      </c>
      <c r="Q662" s="97">
        <f t="shared" si="102"/>
        <v>0</v>
      </c>
      <c r="R662" s="96">
        <f t="shared" si="103"/>
        <v>0</v>
      </c>
      <c r="T662" s="67" t="str">
        <f>IF($B662&lt;&gt;"",INDEX(DataOB[],FirstRow+ROW()-7,MATCH(T$6,DataOB[#Headers],0)),"")</f>
        <v/>
      </c>
      <c r="U662" s="67" t="str">
        <f>IF($B662&lt;&gt;"",INDEX(DataOB[],FirstRow+ROW()-7,MATCH(U$6,DataOB[#Headers],0)),"")</f>
        <v/>
      </c>
      <c r="V662" s="67" t="str">
        <f>IF($B662&lt;&gt;"",INDEX(DataOB[],FirstRow+ROW()-7,MATCH(V$6,DataOB[#Headers],0)),"")</f>
        <v/>
      </c>
      <c r="W662" s="67" t="str">
        <f>IF($B662&lt;&gt;"",INDEX(DataOB[],FirstRow+ROW()-7,MATCH(W$6,DataOB[#Headers],0)),"")</f>
        <v/>
      </c>
      <c r="X662" s="67" t="str">
        <f>IF($B662&lt;&gt;"",INDEX(DataOB[],FirstRow+ROW()-7,MATCH(X$6,DataOB[#Headers],0)),"")</f>
        <v/>
      </c>
      <c r="Y662" s="67" t="str">
        <f>IF($B662&lt;&gt;"",INDEX(DataOB[],FirstRow+ROW()-7,MATCH(Y$6,DataOB[#Headers],0)),"")</f>
        <v/>
      </c>
      <c r="Z662" s="67" t="str">
        <f>IF($B662&lt;&gt;"",INDEX(DataOB[],FirstRow+ROW()-7,MATCH(Z$6,DataOB[#Headers],0)),"")</f>
        <v/>
      </c>
      <c r="AA662" s="67" t="str">
        <f>IF($B662&lt;&gt;"",INDEX(DataOB[],FirstRow+ROW()-7,MATCH(AA$6,DataOB[#Headers],0)),"")</f>
        <v/>
      </c>
      <c r="AB662" s="67" t="str">
        <f>IF($B662&lt;&gt;"",INDEX(DataOB[],FirstRow+ROW()-7,MATCH(AB$6,DataOB[#Headers],0)),"")</f>
        <v/>
      </c>
      <c r="AC662" s="67" t="str">
        <f>IF($B662&lt;&gt;"",INDEX(DataOB[],FirstRow+ROW()-7,MATCH(AC$6,DataOB[#Headers],0)),"")</f>
        <v/>
      </c>
      <c r="AD662" s="67" t="str">
        <f>IF($B662&lt;&gt;"",INDEX(DataOB[],FirstRow+ROW()-7,MATCH(AD$6,DataOB[#Headers],0)),"")</f>
        <v/>
      </c>
      <c r="AE662" s="67" t="str">
        <f>IF($B662&lt;&gt;"",INDEX(DataOB[],FirstRow+ROW()-7,MATCH(AE$6,DataOB[#Headers],0)),"")</f>
        <v/>
      </c>
      <c r="AF662" s="26">
        <f t="shared" si="104"/>
        <v>0</v>
      </c>
      <c r="AG662" s="31">
        <f>SUM($T662:T662)</f>
        <v>0</v>
      </c>
      <c r="AH662" s="31">
        <f>SUM($T662:U662)</f>
        <v>0</v>
      </c>
      <c r="AI662" s="31">
        <f>SUM($T662:V662)</f>
        <v>0</v>
      </c>
      <c r="AJ662" s="31">
        <f>SUM($T662:W662)</f>
        <v>0</v>
      </c>
      <c r="AK662" s="31">
        <f>SUM($T662:X662)</f>
        <v>0</v>
      </c>
      <c r="AL662" s="31">
        <f>SUM($T662:Y662)</f>
        <v>0</v>
      </c>
      <c r="AM662" s="31">
        <f>SUM($T662:Z662)</f>
        <v>0</v>
      </c>
      <c r="AN662" s="31">
        <f>SUM($T662:AA662)</f>
        <v>0</v>
      </c>
      <c r="AO662" s="31">
        <f>SUM($T662:AB662)</f>
        <v>0</v>
      </c>
      <c r="AP662" s="31">
        <f>SUM($T662:AC662)</f>
        <v>0</v>
      </c>
      <c r="AQ662" s="31">
        <f>SUM($T662:AD662)</f>
        <v>0</v>
      </c>
      <c r="AR662" s="31">
        <f>SUM($T662:AE662)</f>
        <v>0</v>
      </c>
      <c r="AS662" s="27">
        <f t="shared" si="105"/>
        <v>0</v>
      </c>
    </row>
    <row r="663" spans="2:45">
      <c r="B663" s="102" t="str">
        <f>IF(ROW()-6&gt;NumCostCenter,"",IF(CostCenter&lt;&gt;"ALL",CostCenter,DATA_LF2!B661))</f>
        <v/>
      </c>
      <c r="C663" s="153" t="str">
        <f>IF($B663&lt;&gt;"",INDEX(DataOB[],FirstRow+ROW()-7,2),"")</f>
        <v/>
      </c>
      <c r="D663" s="66" t="str">
        <f>IF($B663&lt;&gt;"",INDEX(DataOB[],FirstRow+ROW()-7,3),"")</f>
        <v/>
      </c>
      <c r="E663" s="103" t="str">
        <f>IF($B663&lt;&gt;"",INDEX(DataOB[],FirstRow+ROW()-7,6),"")</f>
        <v/>
      </c>
      <c r="F663" s="103" t="str">
        <f>IF($B663&lt;&gt;"",INDEX(DataOB[],FirstRow+ROW()-7,5),"")</f>
        <v/>
      </c>
      <c r="G663" s="58">
        <f>IF($B663&lt;&gt;"",SUMIFS(DataAct_tbl[AMOUNT],DataAct_tbl[BG CODE],Detail!$D663,DataAct_tbl[MONTH],LEFT(MonthName,3),DataAct_tbl[Dept code],$B663),0)</f>
        <v>0</v>
      </c>
      <c r="H663" s="31" t="str">
        <f t="shared" si="97"/>
        <v/>
      </c>
      <c r="I663" s="28" t="str">
        <f t="shared" si="98"/>
        <v/>
      </c>
      <c r="J663" s="32" t="str">
        <f t="shared" si="99"/>
        <v/>
      </c>
      <c r="K663" s="86"/>
      <c r="L663" s="62">
        <f>IF($B663&lt;&gt;"",SUMIFS(DataAct_tbl[AMOUNT],DataAct_tbl[BG CODE],Detail!$D663,DataAct_tbl[Check Range],"=true",DataAct_tbl[Dept code],$B663),0)</f>
        <v>0</v>
      </c>
      <c r="M663" s="63">
        <f>INDEX($AG$7:$AR$1005,ROW()-6,MATCH(MTD,$AG$6:$AR$6,0))</f>
        <v>0</v>
      </c>
      <c r="N663" s="34">
        <f t="shared" si="100"/>
        <v>0</v>
      </c>
      <c r="O663" s="64" t="str">
        <f t="shared" si="101"/>
        <v xml:space="preserve"> </v>
      </c>
      <c r="Q663" s="97">
        <f t="shared" si="102"/>
        <v>0</v>
      </c>
      <c r="R663" s="96">
        <f t="shared" si="103"/>
        <v>0</v>
      </c>
      <c r="T663" s="67" t="str">
        <f>IF($B663&lt;&gt;"",INDEX(DataOB[],FirstRow+ROW()-7,MATCH(T$6,DataOB[#Headers],0)),"")</f>
        <v/>
      </c>
      <c r="U663" s="67" t="str">
        <f>IF($B663&lt;&gt;"",INDEX(DataOB[],FirstRow+ROW()-7,MATCH(U$6,DataOB[#Headers],0)),"")</f>
        <v/>
      </c>
      <c r="V663" s="67" t="str">
        <f>IF($B663&lt;&gt;"",INDEX(DataOB[],FirstRow+ROW()-7,MATCH(V$6,DataOB[#Headers],0)),"")</f>
        <v/>
      </c>
      <c r="W663" s="67" t="str">
        <f>IF($B663&lt;&gt;"",INDEX(DataOB[],FirstRow+ROW()-7,MATCH(W$6,DataOB[#Headers],0)),"")</f>
        <v/>
      </c>
      <c r="X663" s="67" t="str">
        <f>IF($B663&lt;&gt;"",INDEX(DataOB[],FirstRow+ROW()-7,MATCH(X$6,DataOB[#Headers],0)),"")</f>
        <v/>
      </c>
      <c r="Y663" s="67" t="str">
        <f>IF($B663&lt;&gt;"",INDEX(DataOB[],FirstRow+ROW()-7,MATCH(Y$6,DataOB[#Headers],0)),"")</f>
        <v/>
      </c>
      <c r="Z663" s="67" t="str">
        <f>IF($B663&lt;&gt;"",INDEX(DataOB[],FirstRow+ROW()-7,MATCH(Z$6,DataOB[#Headers],0)),"")</f>
        <v/>
      </c>
      <c r="AA663" s="67" t="str">
        <f>IF($B663&lt;&gt;"",INDEX(DataOB[],FirstRow+ROW()-7,MATCH(AA$6,DataOB[#Headers],0)),"")</f>
        <v/>
      </c>
      <c r="AB663" s="67" t="str">
        <f>IF($B663&lt;&gt;"",INDEX(DataOB[],FirstRow+ROW()-7,MATCH(AB$6,DataOB[#Headers],0)),"")</f>
        <v/>
      </c>
      <c r="AC663" s="67" t="str">
        <f>IF($B663&lt;&gt;"",INDEX(DataOB[],FirstRow+ROW()-7,MATCH(AC$6,DataOB[#Headers],0)),"")</f>
        <v/>
      </c>
      <c r="AD663" s="67" t="str">
        <f>IF($B663&lt;&gt;"",INDEX(DataOB[],FirstRow+ROW()-7,MATCH(AD$6,DataOB[#Headers],0)),"")</f>
        <v/>
      </c>
      <c r="AE663" s="67" t="str">
        <f>IF($B663&lt;&gt;"",INDEX(DataOB[],FirstRow+ROW()-7,MATCH(AE$6,DataOB[#Headers],0)),"")</f>
        <v/>
      </c>
      <c r="AF663" s="26">
        <f t="shared" si="104"/>
        <v>0</v>
      </c>
      <c r="AG663" s="31">
        <f>SUM($T663:T663)</f>
        <v>0</v>
      </c>
      <c r="AH663" s="31">
        <f>SUM($T663:U663)</f>
        <v>0</v>
      </c>
      <c r="AI663" s="31">
        <f>SUM($T663:V663)</f>
        <v>0</v>
      </c>
      <c r="AJ663" s="31">
        <f>SUM($T663:W663)</f>
        <v>0</v>
      </c>
      <c r="AK663" s="31">
        <f>SUM($T663:X663)</f>
        <v>0</v>
      </c>
      <c r="AL663" s="31">
        <f>SUM($T663:Y663)</f>
        <v>0</v>
      </c>
      <c r="AM663" s="31">
        <f>SUM($T663:Z663)</f>
        <v>0</v>
      </c>
      <c r="AN663" s="31">
        <f>SUM($T663:AA663)</f>
        <v>0</v>
      </c>
      <c r="AO663" s="31">
        <f>SUM($T663:AB663)</f>
        <v>0</v>
      </c>
      <c r="AP663" s="31">
        <f>SUM($T663:AC663)</f>
        <v>0</v>
      </c>
      <c r="AQ663" s="31">
        <f>SUM($T663:AD663)</f>
        <v>0</v>
      </c>
      <c r="AR663" s="31">
        <f>SUM($T663:AE663)</f>
        <v>0</v>
      </c>
      <c r="AS663" s="27">
        <f t="shared" si="105"/>
        <v>0</v>
      </c>
    </row>
    <row r="664" spans="2:45">
      <c r="B664" s="102" t="str">
        <f>IF(ROW()-6&gt;NumCostCenter,"",IF(CostCenter&lt;&gt;"ALL",CostCenter,DATA_LF2!B662))</f>
        <v/>
      </c>
      <c r="C664" s="153" t="str">
        <f>IF($B664&lt;&gt;"",INDEX(DataOB[],FirstRow+ROW()-7,2),"")</f>
        <v/>
      </c>
      <c r="D664" s="66" t="str">
        <f>IF($B664&lt;&gt;"",INDEX(DataOB[],FirstRow+ROW()-7,3),"")</f>
        <v/>
      </c>
      <c r="E664" s="103" t="str">
        <f>IF($B664&lt;&gt;"",INDEX(DataOB[],FirstRow+ROW()-7,6),"")</f>
        <v/>
      </c>
      <c r="F664" s="103" t="str">
        <f>IF($B664&lt;&gt;"",INDEX(DataOB[],FirstRow+ROW()-7,5),"")</f>
        <v/>
      </c>
      <c r="G664" s="58">
        <f>IF($B664&lt;&gt;"",SUMIFS(DataAct_tbl[AMOUNT],DataAct_tbl[BG CODE],Detail!$D664,DataAct_tbl[MONTH],LEFT(MonthName,3),DataAct_tbl[Dept code],$B664),0)</f>
        <v>0</v>
      </c>
      <c r="H664" s="31" t="str">
        <f t="shared" si="97"/>
        <v/>
      </c>
      <c r="I664" s="28" t="str">
        <f t="shared" si="98"/>
        <v/>
      </c>
      <c r="J664" s="32" t="str">
        <f t="shared" si="99"/>
        <v/>
      </c>
      <c r="K664" s="86"/>
      <c r="L664" s="62">
        <f>IF($B664&lt;&gt;"",SUMIFS(DataAct_tbl[AMOUNT],DataAct_tbl[BG CODE],Detail!$D664,DataAct_tbl[Check Range],"=true",DataAct_tbl[Dept code],$B664),0)</f>
        <v>0</v>
      </c>
      <c r="M664" s="63">
        <f>INDEX($AG$7:$AR$1005,ROW()-6,MATCH(MTD,$AG$6:$AR$6,0))</f>
        <v>0</v>
      </c>
      <c r="N664" s="34">
        <f t="shared" si="100"/>
        <v>0</v>
      </c>
      <c r="O664" s="64" t="str">
        <f t="shared" si="101"/>
        <v xml:space="preserve"> </v>
      </c>
      <c r="Q664" s="97">
        <f t="shared" si="102"/>
        <v>0</v>
      </c>
      <c r="R664" s="96">
        <f t="shared" si="103"/>
        <v>0</v>
      </c>
      <c r="T664" s="67" t="str">
        <f>IF($B664&lt;&gt;"",INDEX(DataOB[],FirstRow+ROW()-7,MATCH(T$6,DataOB[#Headers],0)),"")</f>
        <v/>
      </c>
      <c r="U664" s="67" t="str">
        <f>IF($B664&lt;&gt;"",INDEX(DataOB[],FirstRow+ROW()-7,MATCH(U$6,DataOB[#Headers],0)),"")</f>
        <v/>
      </c>
      <c r="V664" s="67" t="str">
        <f>IF($B664&lt;&gt;"",INDEX(DataOB[],FirstRow+ROW()-7,MATCH(V$6,DataOB[#Headers],0)),"")</f>
        <v/>
      </c>
      <c r="W664" s="67" t="str">
        <f>IF($B664&lt;&gt;"",INDEX(DataOB[],FirstRow+ROW()-7,MATCH(W$6,DataOB[#Headers],0)),"")</f>
        <v/>
      </c>
      <c r="X664" s="67" t="str">
        <f>IF($B664&lt;&gt;"",INDEX(DataOB[],FirstRow+ROW()-7,MATCH(X$6,DataOB[#Headers],0)),"")</f>
        <v/>
      </c>
      <c r="Y664" s="67" t="str">
        <f>IF($B664&lt;&gt;"",INDEX(DataOB[],FirstRow+ROW()-7,MATCH(Y$6,DataOB[#Headers],0)),"")</f>
        <v/>
      </c>
      <c r="Z664" s="67" t="str">
        <f>IF($B664&lt;&gt;"",INDEX(DataOB[],FirstRow+ROW()-7,MATCH(Z$6,DataOB[#Headers],0)),"")</f>
        <v/>
      </c>
      <c r="AA664" s="67" t="str">
        <f>IF($B664&lt;&gt;"",INDEX(DataOB[],FirstRow+ROW()-7,MATCH(AA$6,DataOB[#Headers],0)),"")</f>
        <v/>
      </c>
      <c r="AB664" s="67" t="str">
        <f>IF($B664&lt;&gt;"",INDEX(DataOB[],FirstRow+ROW()-7,MATCH(AB$6,DataOB[#Headers],0)),"")</f>
        <v/>
      </c>
      <c r="AC664" s="67" t="str">
        <f>IF($B664&lt;&gt;"",INDEX(DataOB[],FirstRow+ROW()-7,MATCH(AC$6,DataOB[#Headers],0)),"")</f>
        <v/>
      </c>
      <c r="AD664" s="67" t="str">
        <f>IF($B664&lt;&gt;"",INDEX(DataOB[],FirstRow+ROW()-7,MATCH(AD$6,DataOB[#Headers],0)),"")</f>
        <v/>
      </c>
      <c r="AE664" s="67" t="str">
        <f>IF($B664&lt;&gt;"",INDEX(DataOB[],FirstRow+ROW()-7,MATCH(AE$6,DataOB[#Headers],0)),"")</f>
        <v/>
      </c>
      <c r="AF664" s="26">
        <f t="shared" si="104"/>
        <v>0</v>
      </c>
      <c r="AG664" s="31">
        <f>SUM($T664:T664)</f>
        <v>0</v>
      </c>
      <c r="AH664" s="31">
        <f>SUM($T664:U664)</f>
        <v>0</v>
      </c>
      <c r="AI664" s="31">
        <f>SUM($T664:V664)</f>
        <v>0</v>
      </c>
      <c r="AJ664" s="31">
        <f>SUM($T664:W664)</f>
        <v>0</v>
      </c>
      <c r="AK664" s="31">
        <f>SUM($T664:X664)</f>
        <v>0</v>
      </c>
      <c r="AL664" s="31">
        <f>SUM($T664:Y664)</f>
        <v>0</v>
      </c>
      <c r="AM664" s="31">
        <f>SUM($T664:Z664)</f>
        <v>0</v>
      </c>
      <c r="AN664" s="31">
        <f>SUM($T664:AA664)</f>
        <v>0</v>
      </c>
      <c r="AO664" s="31">
        <f>SUM($T664:AB664)</f>
        <v>0</v>
      </c>
      <c r="AP664" s="31">
        <f>SUM($T664:AC664)</f>
        <v>0</v>
      </c>
      <c r="AQ664" s="31">
        <f>SUM($T664:AD664)</f>
        <v>0</v>
      </c>
      <c r="AR664" s="31">
        <f>SUM($T664:AE664)</f>
        <v>0</v>
      </c>
      <c r="AS664" s="27">
        <f t="shared" si="105"/>
        <v>0</v>
      </c>
    </row>
    <row r="665" spans="2:45">
      <c r="B665" s="102" t="str">
        <f>IF(ROW()-6&gt;NumCostCenter,"",IF(CostCenter&lt;&gt;"ALL",CostCenter,DATA_LF2!B663))</f>
        <v/>
      </c>
      <c r="C665" s="153" t="str">
        <f>IF($B665&lt;&gt;"",INDEX(DataOB[],FirstRow+ROW()-7,2),"")</f>
        <v/>
      </c>
      <c r="D665" s="66" t="str">
        <f>IF($B665&lt;&gt;"",INDEX(DataOB[],FirstRow+ROW()-7,3),"")</f>
        <v/>
      </c>
      <c r="E665" s="103" t="str">
        <f>IF($B665&lt;&gt;"",INDEX(DataOB[],FirstRow+ROW()-7,6),"")</f>
        <v/>
      </c>
      <c r="F665" s="103" t="str">
        <f>IF($B665&lt;&gt;"",INDEX(DataOB[],FirstRow+ROW()-7,5),"")</f>
        <v/>
      </c>
      <c r="G665" s="58">
        <f>IF($B665&lt;&gt;"",SUMIFS(DataAct_tbl[AMOUNT],DataAct_tbl[BG CODE],Detail!$D665,DataAct_tbl[MONTH],LEFT(MonthName,3),DataAct_tbl[Dept code],$B665),0)</f>
        <v>0</v>
      </c>
      <c r="H665" s="31" t="str">
        <f t="shared" si="97"/>
        <v/>
      </c>
      <c r="I665" s="28" t="str">
        <f t="shared" si="98"/>
        <v/>
      </c>
      <c r="J665" s="32" t="str">
        <f t="shared" si="99"/>
        <v/>
      </c>
      <c r="K665" s="86"/>
      <c r="L665" s="62">
        <f>IF($B665&lt;&gt;"",SUMIFS(DataAct_tbl[AMOUNT],DataAct_tbl[BG CODE],Detail!$D665,DataAct_tbl[Check Range],"=true",DataAct_tbl[Dept code],$B665),0)</f>
        <v>0</v>
      </c>
      <c r="M665" s="63">
        <f>INDEX($AG$7:$AR$1005,ROW()-6,MATCH(MTD,$AG$6:$AR$6,0))</f>
        <v>0</v>
      </c>
      <c r="N665" s="34">
        <f t="shared" si="100"/>
        <v>0</v>
      </c>
      <c r="O665" s="64" t="str">
        <f t="shared" si="101"/>
        <v xml:space="preserve"> </v>
      </c>
      <c r="Q665" s="97">
        <f t="shared" si="102"/>
        <v>0</v>
      </c>
      <c r="R665" s="96">
        <f t="shared" si="103"/>
        <v>0</v>
      </c>
      <c r="T665" s="67" t="str">
        <f>IF($B665&lt;&gt;"",INDEX(DataOB[],FirstRow+ROW()-7,MATCH(T$6,DataOB[#Headers],0)),"")</f>
        <v/>
      </c>
      <c r="U665" s="67" t="str">
        <f>IF($B665&lt;&gt;"",INDEX(DataOB[],FirstRow+ROW()-7,MATCH(U$6,DataOB[#Headers],0)),"")</f>
        <v/>
      </c>
      <c r="V665" s="67" t="str">
        <f>IF($B665&lt;&gt;"",INDEX(DataOB[],FirstRow+ROW()-7,MATCH(V$6,DataOB[#Headers],0)),"")</f>
        <v/>
      </c>
      <c r="W665" s="67" t="str">
        <f>IF($B665&lt;&gt;"",INDEX(DataOB[],FirstRow+ROW()-7,MATCH(W$6,DataOB[#Headers],0)),"")</f>
        <v/>
      </c>
      <c r="X665" s="67" t="str">
        <f>IF($B665&lt;&gt;"",INDEX(DataOB[],FirstRow+ROW()-7,MATCH(X$6,DataOB[#Headers],0)),"")</f>
        <v/>
      </c>
      <c r="Y665" s="67" t="str">
        <f>IF($B665&lt;&gt;"",INDEX(DataOB[],FirstRow+ROW()-7,MATCH(Y$6,DataOB[#Headers],0)),"")</f>
        <v/>
      </c>
      <c r="Z665" s="67" t="str">
        <f>IF($B665&lt;&gt;"",INDEX(DataOB[],FirstRow+ROW()-7,MATCH(Z$6,DataOB[#Headers],0)),"")</f>
        <v/>
      </c>
      <c r="AA665" s="67" t="str">
        <f>IF($B665&lt;&gt;"",INDEX(DataOB[],FirstRow+ROW()-7,MATCH(AA$6,DataOB[#Headers],0)),"")</f>
        <v/>
      </c>
      <c r="AB665" s="67" t="str">
        <f>IF($B665&lt;&gt;"",INDEX(DataOB[],FirstRow+ROW()-7,MATCH(AB$6,DataOB[#Headers],0)),"")</f>
        <v/>
      </c>
      <c r="AC665" s="67" t="str">
        <f>IF($B665&lt;&gt;"",INDEX(DataOB[],FirstRow+ROW()-7,MATCH(AC$6,DataOB[#Headers],0)),"")</f>
        <v/>
      </c>
      <c r="AD665" s="67" t="str">
        <f>IF($B665&lt;&gt;"",INDEX(DataOB[],FirstRow+ROW()-7,MATCH(AD$6,DataOB[#Headers],0)),"")</f>
        <v/>
      </c>
      <c r="AE665" s="67" t="str">
        <f>IF($B665&lt;&gt;"",INDEX(DataOB[],FirstRow+ROW()-7,MATCH(AE$6,DataOB[#Headers],0)),"")</f>
        <v/>
      </c>
      <c r="AF665" s="26">
        <f t="shared" si="104"/>
        <v>0</v>
      </c>
      <c r="AG665" s="31">
        <f>SUM($T665:T665)</f>
        <v>0</v>
      </c>
      <c r="AH665" s="31">
        <f>SUM($T665:U665)</f>
        <v>0</v>
      </c>
      <c r="AI665" s="31">
        <f>SUM($T665:V665)</f>
        <v>0</v>
      </c>
      <c r="AJ665" s="31">
        <f>SUM($T665:W665)</f>
        <v>0</v>
      </c>
      <c r="AK665" s="31">
        <f>SUM($T665:X665)</f>
        <v>0</v>
      </c>
      <c r="AL665" s="31">
        <f>SUM($T665:Y665)</f>
        <v>0</v>
      </c>
      <c r="AM665" s="31">
        <f>SUM($T665:Z665)</f>
        <v>0</v>
      </c>
      <c r="AN665" s="31">
        <f>SUM($T665:AA665)</f>
        <v>0</v>
      </c>
      <c r="AO665" s="31">
        <f>SUM($T665:AB665)</f>
        <v>0</v>
      </c>
      <c r="AP665" s="31">
        <f>SUM($T665:AC665)</f>
        <v>0</v>
      </c>
      <c r="AQ665" s="31">
        <f>SUM($T665:AD665)</f>
        <v>0</v>
      </c>
      <c r="AR665" s="31">
        <f>SUM($T665:AE665)</f>
        <v>0</v>
      </c>
      <c r="AS665" s="27">
        <f t="shared" si="105"/>
        <v>0</v>
      </c>
    </row>
    <row r="666" spans="2:45">
      <c r="B666" s="102" t="str">
        <f>IF(ROW()-6&gt;NumCostCenter,"",IF(CostCenter&lt;&gt;"ALL",CostCenter,DATA_LF2!B664))</f>
        <v/>
      </c>
      <c r="C666" s="153" t="str">
        <f>IF($B666&lt;&gt;"",INDEX(DataOB[],FirstRow+ROW()-7,2),"")</f>
        <v/>
      </c>
      <c r="D666" s="66" t="str">
        <f>IF($B666&lt;&gt;"",INDEX(DataOB[],FirstRow+ROW()-7,3),"")</f>
        <v/>
      </c>
      <c r="E666" s="103" t="str">
        <f>IF($B666&lt;&gt;"",INDEX(DataOB[],FirstRow+ROW()-7,6),"")</f>
        <v/>
      </c>
      <c r="F666" s="103" t="str">
        <f>IF($B666&lt;&gt;"",INDEX(DataOB[],FirstRow+ROW()-7,5),"")</f>
        <v/>
      </c>
      <c r="G666" s="58">
        <f>IF($B666&lt;&gt;"",SUMIFS(DataAct_tbl[AMOUNT],DataAct_tbl[BG CODE],Detail!$D666,DataAct_tbl[MONTH],LEFT(MonthName,3),DataAct_tbl[Dept code],$B666),0)</f>
        <v>0</v>
      </c>
      <c r="H666" s="31" t="str">
        <f t="shared" si="97"/>
        <v/>
      </c>
      <c r="I666" s="28" t="str">
        <f t="shared" si="98"/>
        <v/>
      </c>
      <c r="J666" s="32" t="str">
        <f t="shared" si="99"/>
        <v/>
      </c>
      <c r="K666" s="86"/>
      <c r="L666" s="62">
        <f>IF($B666&lt;&gt;"",SUMIFS(DataAct_tbl[AMOUNT],DataAct_tbl[BG CODE],Detail!$D666,DataAct_tbl[Check Range],"=true",DataAct_tbl[Dept code],$B666),0)</f>
        <v>0</v>
      </c>
      <c r="M666" s="63">
        <f>INDEX($AG$7:$AR$1005,ROW()-6,MATCH(MTD,$AG$6:$AR$6,0))</f>
        <v>0</v>
      </c>
      <c r="N666" s="34">
        <f t="shared" si="100"/>
        <v>0</v>
      </c>
      <c r="O666" s="64" t="str">
        <f t="shared" si="101"/>
        <v xml:space="preserve"> </v>
      </c>
      <c r="Q666" s="97">
        <f t="shared" si="102"/>
        <v>0</v>
      </c>
      <c r="R666" s="96">
        <f t="shared" si="103"/>
        <v>0</v>
      </c>
      <c r="T666" s="67" t="str">
        <f>IF($B666&lt;&gt;"",INDEX(DataOB[],FirstRow+ROW()-7,MATCH(T$6,DataOB[#Headers],0)),"")</f>
        <v/>
      </c>
      <c r="U666" s="67" t="str">
        <f>IF($B666&lt;&gt;"",INDEX(DataOB[],FirstRow+ROW()-7,MATCH(U$6,DataOB[#Headers],0)),"")</f>
        <v/>
      </c>
      <c r="V666" s="67" t="str">
        <f>IF($B666&lt;&gt;"",INDEX(DataOB[],FirstRow+ROW()-7,MATCH(V$6,DataOB[#Headers],0)),"")</f>
        <v/>
      </c>
      <c r="W666" s="67" t="str">
        <f>IF($B666&lt;&gt;"",INDEX(DataOB[],FirstRow+ROW()-7,MATCH(W$6,DataOB[#Headers],0)),"")</f>
        <v/>
      </c>
      <c r="X666" s="67" t="str">
        <f>IF($B666&lt;&gt;"",INDEX(DataOB[],FirstRow+ROW()-7,MATCH(X$6,DataOB[#Headers],0)),"")</f>
        <v/>
      </c>
      <c r="Y666" s="67" t="str">
        <f>IF($B666&lt;&gt;"",INDEX(DataOB[],FirstRow+ROW()-7,MATCH(Y$6,DataOB[#Headers],0)),"")</f>
        <v/>
      </c>
      <c r="Z666" s="67" t="str">
        <f>IF($B666&lt;&gt;"",INDEX(DataOB[],FirstRow+ROW()-7,MATCH(Z$6,DataOB[#Headers],0)),"")</f>
        <v/>
      </c>
      <c r="AA666" s="67" t="str">
        <f>IF($B666&lt;&gt;"",INDEX(DataOB[],FirstRow+ROW()-7,MATCH(AA$6,DataOB[#Headers],0)),"")</f>
        <v/>
      </c>
      <c r="AB666" s="67" t="str">
        <f>IF($B666&lt;&gt;"",INDEX(DataOB[],FirstRow+ROW()-7,MATCH(AB$6,DataOB[#Headers],0)),"")</f>
        <v/>
      </c>
      <c r="AC666" s="67" t="str">
        <f>IF($B666&lt;&gt;"",INDEX(DataOB[],FirstRow+ROW()-7,MATCH(AC$6,DataOB[#Headers],0)),"")</f>
        <v/>
      </c>
      <c r="AD666" s="67" t="str">
        <f>IF($B666&lt;&gt;"",INDEX(DataOB[],FirstRow+ROW()-7,MATCH(AD$6,DataOB[#Headers],0)),"")</f>
        <v/>
      </c>
      <c r="AE666" s="67" t="str">
        <f>IF($B666&lt;&gt;"",INDEX(DataOB[],FirstRow+ROW()-7,MATCH(AE$6,DataOB[#Headers],0)),"")</f>
        <v/>
      </c>
      <c r="AF666" s="26">
        <f t="shared" si="104"/>
        <v>0</v>
      </c>
      <c r="AG666" s="31">
        <f>SUM($T666:T666)</f>
        <v>0</v>
      </c>
      <c r="AH666" s="31">
        <f>SUM($T666:U666)</f>
        <v>0</v>
      </c>
      <c r="AI666" s="31">
        <f>SUM($T666:V666)</f>
        <v>0</v>
      </c>
      <c r="AJ666" s="31">
        <f>SUM($T666:W666)</f>
        <v>0</v>
      </c>
      <c r="AK666" s="31">
        <f>SUM($T666:X666)</f>
        <v>0</v>
      </c>
      <c r="AL666" s="31">
        <f>SUM($T666:Y666)</f>
        <v>0</v>
      </c>
      <c r="AM666" s="31">
        <f>SUM($T666:Z666)</f>
        <v>0</v>
      </c>
      <c r="AN666" s="31">
        <f>SUM($T666:AA666)</f>
        <v>0</v>
      </c>
      <c r="AO666" s="31">
        <f>SUM($T666:AB666)</f>
        <v>0</v>
      </c>
      <c r="AP666" s="31">
        <f>SUM($T666:AC666)</f>
        <v>0</v>
      </c>
      <c r="AQ666" s="31">
        <f>SUM($T666:AD666)</f>
        <v>0</v>
      </c>
      <c r="AR666" s="31">
        <f>SUM($T666:AE666)</f>
        <v>0</v>
      </c>
      <c r="AS666" s="27">
        <f t="shared" si="105"/>
        <v>0</v>
      </c>
    </row>
    <row r="667" spans="2:45">
      <c r="B667" s="102" t="str">
        <f>IF(ROW()-6&gt;NumCostCenter,"",IF(CostCenter&lt;&gt;"ALL",CostCenter,DATA_LF2!B665))</f>
        <v/>
      </c>
      <c r="C667" s="153" t="str">
        <f>IF($B667&lt;&gt;"",INDEX(DataOB[],FirstRow+ROW()-7,2),"")</f>
        <v/>
      </c>
      <c r="D667" s="66" t="str">
        <f>IF($B667&lt;&gt;"",INDEX(DataOB[],FirstRow+ROW()-7,3),"")</f>
        <v/>
      </c>
      <c r="E667" s="103" t="str">
        <f>IF($B667&lt;&gt;"",INDEX(DataOB[],FirstRow+ROW()-7,6),"")</f>
        <v/>
      </c>
      <c r="F667" s="103" t="str">
        <f>IF($B667&lt;&gt;"",INDEX(DataOB[],FirstRow+ROW()-7,5),"")</f>
        <v/>
      </c>
      <c r="G667" s="58">
        <f>IF($B667&lt;&gt;"",SUMIFS(DataAct_tbl[AMOUNT],DataAct_tbl[BG CODE],Detail!$D667,DataAct_tbl[MONTH],LEFT(MonthName,3),DataAct_tbl[Dept code],$B667),0)</f>
        <v>0</v>
      </c>
      <c r="H667" s="31" t="str">
        <f t="shared" si="97"/>
        <v/>
      </c>
      <c r="I667" s="28" t="str">
        <f t="shared" si="98"/>
        <v/>
      </c>
      <c r="J667" s="32" t="str">
        <f t="shared" si="99"/>
        <v/>
      </c>
      <c r="K667" s="86"/>
      <c r="L667" s="62">
        <f>IF($B667&lt;&gt;"",SUMIFS(DataAct_tbl[AMOUNT],DataAct_tbl[BG CODE],Detail!$D667,DataAct_tbl[Check Range],"=true",DataAct_tbl[Dept code],$B667),0)</f>
        <v>0</v>
      </c>
      <c r="M667" s="63">
        <f>INDEX($AG$7:$AR$1005,ROW()-6,MATCH(MTD,$AG$6:$AR$6,0))</f>
        <v>0</v>
      </c>
      <c r="N667" s="34">
        <f t="shared" si="100"/>
        <v>0</v>
      </c>
      <c r="O667" s="64" t="str">
        <f t="shared" si="101"/>
        <v xml:space="preserve"> </v>
      </c>
      <c r="Q667" s="97">
        <f t="shared" si="102"/>
        <v>0</v>
      </c>
      <c r="R667" s="96">
        <f t="shared" si="103"/>
        <v>0</v>
      </c>
      <c r="T667" s="67" t="str">
        <f>IF($B667&lt;&gt;"",INDEX(DataOB[],FirstRow+ROW()-7,MATCH(T$6,DataOB[#Headers],0)),"")</f>
        <v/>
      </c>
      <c r="U667" s="67" t="str">
        <f>IF($B667&lt;&gt;"",INDEX(DataOB[],FirstRow+ROW()-7,MATCH(U$6,DataOB[#Headers],0)),"")</f>
        <v/>
      </c>
      <c r="V667" s="67" t="str">
        <f>IF($B667&lt;&gt;"",INDEX(DataOB[],FirstRow+ROW()-7,MATCH(V$6,DataOB[#Headers],0)),"")</f>
        <v/>
      </c>
      <c r="W667" s="67" t="str">
        <f>IF($B667&lt;&gt;"",INDEX(DataOB[],FirstRow+ROW()-7,MATCH(W$6,DataOB[#Headers],0)),"")</f>
        <v/>
      </c>
      <c r="X667" s="67" t="str">
        <f>IF($B667&lt;&gt;"",INDEX(DataOB[],FirstRow+ROW()-7,MATCH(X$6,DataOB[#Headers],0)),"")</f>
        <v/>
      </c>
      <c r="Y667" s="67" t="str">
        <f>IF($B667&lt;&gt;"",INDEX(DataOB[],FirstRow+ROW()-7,MATCH(Y$6,DataOB[#Headers],0)),"")</f>
        <v/>
      </c>
      <c r="Z667" s="67" t="str">
        <f>IF($B667&lt;&gt;"",INDEX(DataOB[],FirstRow+ROW()-7,MATCH(Z$6,DataOB[#Headers],0)),"")</f>
        <v/>
      </c>
      <c r="AA667" s="67" t="str">
        <f>IF($B667&lt;&gt;"",INDEX(DataOB[],FirstRow+ROW()-7,MATCH(AA$6,DataOB[#Headers],0)),"")</f>
        <v/>
      </c>
      <c r="AB667" s="67" t="str">
        <f>IF($B667&lt;&gt;"",INDEX(DataOB[],FirstRow+ROW()-7,MATCH(AB$6,DataOB[#Headers],0)),"")</f>
        <v/>
      </c>
      <c r="AC667" s="67" t="str">
        <f>IF($B667&lt;&gt;"",INDEX(DataOB[],FirstRow+ROW()-7,MATCH(AC$6,DataOB[#Headers],0)),"")</f>
        <v/>
      </c>
      <c r="AD667" s="67" t="str">
        <f>IF($B667&lt;&gt;"",INDEX(DataOB[],FirstRow+ROW()-7,MATCH(AD$6,DataOB[#Headers],0)),"")</f>
        <v/>
      </c>
      <c r="AE667" s="67" t="str">
        <f>IF($B667&lt;&gt;"",INDEX(DataOB[],FirstRow+ROW()-7,MATCH(AE$6,DataOB[#Headers],0)),"")</f>
        <v/>
      </c>
      <c r="AF667" s="26">
        <f t="shared" si="104"/>
        <v>0</v>
      </c>
      <c r="AG667" s="31">
        <f>SUM($T667:T667)</f>
        <v>0</v>
      </c>
      <c r="AH667" s="31">
        <f>SUM($T667:U667)</f>
        <v>0</v>
      </c>
      <c r="AI667" s="31">
        <f>SUM($T667:V667)</f>
        <v>0</v>
      </c>
      <c r="AJ667" s="31">
        <f>SUM($T667:W667)</f>
        <v>0</v>
      </c>
      <c r="AK667" s="31">
        <f>SUM($T667:X667)</f>
        <v>0</v>
      </c>
      <c r="AL667" s="31">
        <f>SUM($T667:Y667)</f>
        <v>0</v>
      </c>
      <c r="AM667" s="31">
        <f>SUM($T667:Z667)</f>
        <v>0</v>
      </c>
      <c r="AN667" s="31">
        <f>SUM($T667:AA667)</f>
        <v>0</v>
      </c>
      <c r="AO667" s="31">
        <f>SUM($T667:AB667)</f>
        <v>0</v>
      </c>
      <c r="AP667" s="31">
        <f>SUM($T667:AC667)</f>
        <v>0</v>
      </c>
      <c r="AQ667" s="31">
        <f>SUM($T667:AD667)</f>
        <v>0</v>
      </c>
      <c r="AR667" s="31">
        <f>SUM($T667:AE667)</f>
        <v>0</v>
      </c>
      <c r="AS667" s="27">
        <f t="shared" si="105"/>
        <v>0</v>
      </c>
    </row>
    <row r="668" spans="2:45">
      <c r="B668" s="102" t="str">
        <f>IF(ROW()-6&gt;NumCostCenter,"",IF(CostCenter&lt;&gt;"ALL",CostCenter,DATA_LF2!B666))</f>
        <v/>
      </c>
      <c r="C668" s="153" t="str">
        <f>IF($B668&lt;&gt;"",INDEX(DataOB[],FirstRow+ROW()-7,2),"")</f>
        <v/>
      </c>
      <c r="D668" s="66" t="str">
        <f>IF($B668&lt;&gt;"",INDEX(DataOB[],FirstRow+ROW()-7,3),"")</f>
        <v/>
      </c>
      <c r="E668" s="103" t="str">
        <f>IF($B668&lt;&gt;"",INDEX(DataOB[],FirstRow+ROW()-7,6),"")</f>
        <v/>
      </c>
      <c r="F668" s="103" t="str">
        <f>IF($B668&lt;&gt;"",INDEX(DataOB[],FirstRow+ROW()-7,5),"")</f>
        <v/>
      </c>
      <c r="G668" s="58">
        <f>IF($B668&lt;&gt;"",SUMIFS(DataAct_tbl[AMOUNT],DataAct_tbl[BG CODE],Detail!$D668,DataAct_tbl[MONTH],LEFT(MonthName,3),DataAct_tbl[Dept code],$B668),0)</f>
        <v>0</v>
      </c>
      <c r="H668" s="31" t="str">
        <f t="shared" si="97"/>
        <v/>
      </c>
      <c r="I668" s="28" t="str">
        <f t="shared" si="98"/>
        <v/>
      </c>
      <c r="J668" s="32" t="str">
        <f t="shared" si="99"/>
        <v/>
      </c>
      <c r="K668" s="86"/>
      <c r="L668" s="62">
        <f>IF($B668&lt;&gt;"",SUMIFS(DataAct_tbl[AMOUNT],DataAct_tbl[BG CODE],Detail!$D668,DataAct_tbl[Check Range],"=true",DataAct_tbl[Dept code],$B668),0)</f>
        <v>0</v>
      </c>
      <c r="M668" s="63">
        <f>INDEX($AG$7:$AR$1005,ROW()-6,MATCH(MTD,$AG$6:$AR$6,0))</f>
        <v>0</v>
      </c>
      <c r="N668" s="34">
        <f t="shared" si="100"/>
        <v>0</v>
      </c>
      <c r="O668" s="64" t="str">
        <f t="shared" si="101"/>
        <v xml:space="preserve"> </v>
      </c>
      <c r="Q668" s="97">
        <f t="shared" si="102"/>
        <v>0</v>
      </c>
      <c r="R668" s="96">
        <f t="shared" si="103"/>
        <v>0</v>
      </c>
      <c r="T668" s="67" t="str">
        <f>IF($B668&lt;&gt;"",INDEX(DataOB[],FirstRow+ROW()-7,MATCH(T$6,DataOB[#Headers],0)),"")</f>
        <v/>
      </c>
      <c r="U668" s="67" t="str">
        <f>IF($B668&lt;&gt;"",INDEX(DataOB[],FirstRow+ROW()-7,MATCH(U$6,DataOB[#Headers],0)),"")</f>
        <v/>
      </c>
      <c r="V668" s="67" t="str">
        <f>IF($B668&lt;&gt;"",INDEX(DataOB[],FirstRow+ROW()-7,MATCH(V$6,DataOB[#Headers],0)),"")</f>
        <v/>
      </c>
      <c r="W668" s="67" t="str">
        <f>IF($B668&lt;&gt;"",INDEX(DataOB[],FirstRow+ROW()-7,MATCH(W$6,DataOB[#Headers],0)),"")</f>
        <v/>
      </c>
      <c r="X668" s="67" t="str">
        <f>IF($B668&lt;&gt;"",INDEX(DataOB[],FirstRow+ROW()-7,MATCH(X$6,DataOB[#Headers],0)),"")</f>
        <v/>
      </c>
      <c r="Y668" s="67" t="str">
        <f>IF($B668&lt;&gt;"",INDEX(DataOB[],FirstRow+ROW()-7,MATCH(Y$6,DataOB[#Headers],0)),"")</f>
        <v/>
      </c>
      <c r="Z668" s="67" t="str">
        <f>IF($B668&lt;&gt;"",INDEX(DataOB[],FirstRow+ROW()-7,MATCH(Z$6,DataOB[#Headers],0)),"")</f>
        <v/>
      </c>
      <c r="AA668" s="67" t="str">
        <f>IF($B668&lt;&gt;"",INDEX(DataOB[],FirstRow+ROW()-7,MATCH(AA$6,DataOB[#Headers],0)),"")</f>
        <v/>
      </c>
      <c r="AB668" s="67" t="str">
        <f>IF($B668&lt;&gt;"",INDEX(DataOB[],FirstRow+ROW()-7,MATCH(AB$6,DataOB[#Headers],0)),"")</f>
        <v/>
      </c>
      <c r="AC668" s="67" t="str">
        <f>IF($B668&lt;&gt;"",INDEX(DataOB[],FirstRow+ROW()-7,MATCH(AC$6,DataOB[#Headers],0)),"")</f>
        <v/>
      </c>
      <c r="AD668" s="67" t="str">
        <f>IF($B668&lt;&gt;"",INDEX(DataOB[],FirstRow+ROW()-7,MATCH(AD$6,DataOB[#Headers],0)),"")</f>
        <v/>
      </c>
      <c r="AE668" s="67" t="str">
        <f>IF($B668&lt;&gt;"",INDEX(DataOB[],FirstRow+ROW()-7,MATCH(AE$6,DataOB[#Headers],0)),"")</f>
        <v/>
      </c>
      <c r="AF668" s="26">
        <f t="shared" si="104"/>
        <v>0</v>
      </c>
      <c r="AG668" s="31">
        <f>SUM($T668:T668)</f>
        <v>0</v>
      </c>
      <c r="AH668" s="31">
        <f>SUM($T668:U668)</f>
        <v>0</v>
      </c>
      <c r="AI668" s="31">
        <f>SUM($T668:V668)</f>
        <v>0</v>
      </c>
      <c r="AJ668" s="31">
        <f>SUM($T668:W668)</f>
        <v>0</v>
      </c>
      <c r="AK668" s="31">
        <f>SUM($T668:X668)</f>
        <v>0</v>
      </c>
      <c r="AL668" s="31">
        <f>SUM($T668:Y668)</f>
        <v>0</v>
      </c>
      <c r="AM668" s="31">
        <f>SUM($T668:Z668)</f>
        <v>0</v>
      </c>
      <c r="AN668" s="31">
        <f>SUM($T668:AA668)</f>
        <v>0</v>
      </c>
      <c r="AO668" s="31">
        <f>SUM($T668:AB668)</f>
        <v>0</v>
      </c>
      <c r="AP668" s="31">
        <f>SUM($T668:AC668)</f>
        <v>0</v>
      </c>
      <c r="AQ668" s="31">
        <f>SUM($T668:AD668)</f>
        <v>0</v>
      </c>
      <c r="AR668" s="31">
        <f>SUM($T668:AE668)</f>
        <v>0</v>
      </c>
      <c r="AS668" s="27">
        <f t="shared" si="105"/>
        <v>0</v>
      </c>
    </row>
    <row r="669" spans="2:45">
      <c r="B669" s="102" t="str">
        <f>IF(ROW()-6&gt;NumCostCenter,"",IF(CostCenter&lt;&gt;"ALL",CostCenter,DATA_LF2!B667))</f>
        <v/>
      </c>
      <c r="C669" s="153" t="str">
        <f>IF($B669&lt;&gt;"",INDEX(DataOB[],FirstRow+ROW()-7,2),"")</f>
        <v/>
      </c>
      <c r="D669" s="66" t="str">
        <f>IF($B669&lt;&gt;"",INDEX(DataOB[],FirstRow+ROW()-7,3),"")</f>
        <v/>
      </c>
      <c r="E669" s="103" t="str">
        <f>IF($B669&lt;&gt;"",INDEX(DataOB[],FirstRow+ROW()-7,6),"")</f>
        <v/>
      </c>
      <c r="F669" s="103" t="str">
        <f>IF($B669&lt;&gt;"",INDEX(DataOB[],FirstRow+ROW()-7,5),"")</f>
        <v/>
      </c>
      <c r="G669" s="58">
        <f>IF($B669&lt;&gt;"",SUMIFS(DataAct_tbl[AMOUNT],DataAct_tbl[BG CODE],Detail!$D669,DataAct_tbl[MONTH],LEFT(MonthName,3),DataAct_tbl[Dept code],$B669),0)</f>
        <v>0</v>
      </c>
      <c r="H669" s="31" t="str">
        <f t="shared" si="97"/>
        <v/>
      </c>
      <c r="I669" s="28" t="str">
        <f t="shared" si="98"/>
        <v/>
      </c>
      <c r="J669" s="32" t="str">
        <f t="shared" si="99"/>
        <v/>
      </c>
      <c r="K669" s="86"/>
      <c r="L669" s="62">
        <f>IF($B669&lt;&gt;"",SUMIFS(DataAct_tbl[AMOUNT],DataAct_tbl[BG CODE],Detail!$D669,DataAct_tbl[Check Range],"=true",DataAct_tbl[Dept code],$B669),0)</f>
        <v>0</v>
      </c>
      <c r="M669" s="63">
        <f>INDEX($AG$7:$AR$1005,ROW()-6,MATCH(MTD,$AG$6:$AR$6,0))</f>
        <v>0</v>
      </c>
      <c r="N669" s="34">
        <f t="shared" si="100"/>
        <v>0</v>
      </c>
      <c r="O669" s="64" t="str">
        <f t="shared" si="101"/>
        <v xml:space="preserve"> </v>
      </c>
      <c r="Q669" s="97">
        <f t="shared" si="102"/>
        <v>0</v>
      </c>
      <c r="R669" s="96">
        <f t="shared" si="103"/>
        <v>0</v>
      </c>
      <c r="T669" s="67" t="str">
        <f>IF($B669&lt;&gt;"",INDEX(DataOB[],FirstRow+ROW()-7,MATCH(T$6,DataOB[#Headers],0)),"")</f>
        <v/>
      </c>
      <c r="U669" s="67" t="str">
        <f>IF($B669&lt;&gt;"",INDEX(DataOB[],FirstRow+ROW()-7,MATCH(U$6,DataOB[#Headers],0)),"")</f>
        <v/>
      </c>
      <c r="V669" s="67" t="str">
        <f>IF($B669&lt;&gt;"",INDEX(DataOB[],FirstRow+ROW()-7,MATCH(V$6,DataOB[#Headers],0)),"")</f>
        <v/>
      </c>
      <c r="W669" s="67" t="str">
        <f>IF($B669&lt;&gt;"",INDEX(DataOB[],FirstRow+ROW()-7,MATCH(W$6,DataOB[#Headers],0)),"")</f>
        <v/>
      </c>
      <c r="X669" s="67" t="str">
        <f>IF($B669&lt;&gt;"",INDEX(DataOB[],FirstRow+ROW()-7,MATCH(X$6,DataOB[#Headers],0)),"")</f>
        <v/>
      </c>
      <c r="Y669" s="67" t="str">
        <f>IF($B669&lt;&gt;"",INDEX(DataOB[],FirstRow+ROW()-7,MATCH(Y$6,DataOB[#Headers],0)),"")</f>
        <v/>
      </c>
      <c r="Z669" s="67" t="str">
        <f>IF($B669&lt;&gt;"",INDEX(DataOB[],FirstRow+ROW()-7,MATCH(Z$6,DataOB[#Headers],0)),"")</f>
        <v/>
      </c>
      <c r="AA669" s="67" t="str">
        <f>IF($B669&lt;&gt;"",INDEX(DataOB[],FirstRow+ROW()-7,MATCH(AA$6,DataOB[#Headers],0)),"")</f>
        <v/>
      </c>
      <c r="AB669" s="67" t="str">
        <f>IF($B669&lt;&gt;"",INDEX(DataOB[],FirstRow+ROW()-7,MATCH(AB$6,DataOB[#Headers],0)),"")</f>
        <v/>
      </c>
      <c r="AC669" s="67" t="str">
        <f>IF($B669&lt;&gt;"",INDEX(DataOB[],FirstRow+ROW()-7,MATCH(AC$6,DataOB[#Headers],0)),"")</f>
        <v/>
      </c>
      <c r="AD669" s="67" t="str">
        <f>IF($B669&lt;&gt;"",INDEX(DataOB[],FirstRow+ROW()-7,MATCH(AD$6,DataOB[#Headers],0)),"")</f>
        <v/>
      </c>
      <c r="AE669" s="67" t="str">
        <f>IF($B669&lt;&gt;"",INDEX(DataOB[],FirstRow+ROW()-7,MATCH(AE$6,DataOB[#Headers],0)),"")</f>
        <v/>
      </c>
      <c r="AF669" s="26">
        <f t="shared" si="104"/>
        <v>0</v>
      </c>
      <c r="AG669" s="31">
        <f>SUM($T669:T669)</f>
        <v>0</v>
      </c>
      <c r="AH669" s="31">
        <f>SUM($T669:U669)</f>
        <v>0</v>
      </c>
      <c r="AI669" s="31">
        <f>SUM($T669:V669)</f>
        <v>0</v>
      </c>
      <c r="AJ669" s="31">
        <f>SUM($T669:W669)</f>
        <v>0</v>
      </c>
      <c r="AK669" s="31">
        <f>SUM($T669:X669)</f>
        <v>0</v>
      </c>
      <c r="AL669" s="31">
        <f>SUM($T669:Y669)</f>
        <v>0</v>
      </c>
      <c r="AM669" s="31">
        <f>SUM($T669:Z669)</f>
        <v>0</v>
      </c>
      <c r="AN669" s="31">
        <f>SUM($T669:AA669)</f>
        <v>0</v>
      </c>
      <c r="AO669" s="31">
        <f>SUM($T669:AB669)</f>
        <v>0</v>
      </c>
      <c r="AP669" s="31">
        <f>SUM($T669:AC669)</f>
        <v>0</v>
      </c>
      <c r="AQ669" s="31">
        <f>SUM($T669:AD669)</f>
        <v>0</v>
      </c>
      <c r="AR669" s="31">
        <f>SUM($T669:AE669)</f>
        <v>0</v>
      </c>
      <c r="AS669" s="27">
        <f t="shared" si="105"/>
        <v>0</v>
      </c>
    </row>
    <row r="670" spans="2:45">
      <c r="B670" s="102" t="str">
        <f>IF(ROW()-6&gt;NumCostCenter,"",IF(CostCenter&lt;&gt;"ALL",CostCenter,DATA_LF2!B668))</f>
        <v/>
      </c>
      <c r="C670" s="153" t="str">
        <f>IF($B670&lt;&gt;"",INDEX(DataOB[],FirstRow+ROW()-7,2),"")</f>
        <v/>
      </c>
      <c r="D670" s="66" t="str">
        <f>IF($B670&lt;&gt;"",INDEX(DataOB[],FirstRow+ROW()-7,3),"")</f>
        <v/>
      </c>
      <c r="E670" s="103" t="str">
        <f>IF($B670&lt;&gt;"",INDEX(DataOB[],FirstRow+ROW()-7,6),"")</f>
        <v/>
      </c>
      <c r="F670" s="103" t="str">
        <f>IF($B670&lt;&gt;"",INDEX(DataOB[],FirstRow+ROW()-7,5),"")</f>
        <v/>
      </c>
      <c r="G670" s="58">
        <f>IF($B670&lt;&gt;"",SUMIFS(DataAct_tbl[AMOUNT],DataAct_tbl[BG CODE],Detail!$D670,DataAct_tbl[MONTH],LEFT(MonthName,3),DataAct_tbl[Dept code],$B670),0)</f>
        <v>0</v>
      </c>
      <c r="H670" s="31" t="str">
        <f t="shared" si="97"/>
        <v/>
      </c>
      <c r="I670" s="28" t="str">
        <f t="shared" si="98"/>
        <v/>
      </c>
      <c r="J670" s="32" t="str">
        <f t="shared" si="99"/>
        <v/>
      </c>
      <c r="K670" s="86"/>
      <c r="L670" s="62">
        <f>IF($B670&lt;&gt;"",SUMIFS(DataAct_tbl[AMOUNT],DataAct_tbl[BG CODE],Detail!$D670,DataAct_tbl[Check Range],"=true",DataAct_tbl[Dept code],$B670),0)</f>
        <v>0</v>
      </c>
      <c r="M670" s="63">
        <f>INDEX($AG$7:$AR$1005,ROW()-6,MATCH(MTD,$AG$6:$AR$6,0))</f>
        <v>0</v>
      </c>
      <c r="N670" s="34">
        <f t="shared" si="100"/>
        <v>0</v>
      </c>
      <c r="O670" s="64" t="str">
        <f t="shared" si="101"/>
        <v xml:space="preserve"> </v>
      </c>
      <c r="Q670" s="97">
        <f t="shared" si="102"/>
        <v>0</v>
      </c>
      <c r="R670" s="96">
        <f t="shared" si="103"/>
        <v>0</v>
      </c>
      <c r="T670" s="67" t="str">
        <f>IF($B670&lt;&gt;"",INDEX(DataOB[],FirstRow+ROW()-7,MATCH(T$6,DataOB[#Headers],0)),"")</f>
        <v/>
      </c>
      <c r="U670" s="67" t="str">
        <f>IF($B670&lt;&gt;"",INDEX(DataOB[],FirstRow+ROW()-7,MATCH(U$6,DataOB[#Headers],0)),"")</f>
        <v/>
      </c>
      <c r="V670" s="67" t="str">
        <f>IF($B670&lt;&gt;"",INDEX(DataOB[],FirstRow+ROW()-7,MATCH(V$6,DataOB[#Headers],0)),"")</f>
        <v/>
      </c>
      <c r="W670" s="67" t="str">
        <f>IF($B670&lt;&gt;"",INDEX(DataOB[],FirstRow+ROW()-7,MATCH(W$6,DataOB[#Headers],0)),"")</f>
        <v/>
      </c>
      <c r="X670" s="67" t="str">
        <f>IF($B670&lt;&gt;"",INDEX(DataOB[],FirstRow+ROW()-7,MATCH(X$6,DataOB[#Headers],0)),"")</f>
        <v/>
      </c>
      <c r="Y670" s="67" t="str">
        <f>IF($B670&lt;&gt;"",INDEX(DataOB[],FirstRow+ROW()-7,MATCH(Y$6,DataOB[#Headers],0)),"")</f>
        <v/>
      </c>
      <c r="Z670" s="67" t="str">
        <f>IF($B670&lt;&gt;"",INDEX(DataOB[],FirstRow+ROW()-7,MATCH(Z$6,DataOB[#Headers],0)),"")</f>
        <v/>
      </c>
      <c r="AA670" s="67" t="str">
        <f>IF($B670&lt;&gt;"",INDEX(DataOB[],FirstRow+ROW()-7,MATCH(AA$6,DataOB[#Headers],0)),"")</f>
        <v/>
      </c>
      <c r="AB670" s="67" t="str">
        <f>IF($B670&lt;&gt;"",INDEX(DataOB[],FirstRow+ROW()-7,MATCH(AB$6,DataOB[#Headers],0)),"")</f>
        <v/>
      </c>
      <c r="AC670" s="67" t="str">
        <f>IF($B670&lt;&gt;"",INDEX(DataOB[],FirstRow+ROW()-7,MATCH(AC$6,DataOB[#Headers],0)),"")</f>
        <v/>
      </c>
      <c r="AD670" s="67" t="str">
        <f>IF($B670&lt;&gt;"",INDEX(DataOB[],FirstRow+ROW()-7,MATCH(AD$6,DataOB[#Headers],0)),"")</f>
        <v/>
      </c>
      <c r="AE670" s="67" t="str">
        <f>IF($B670&lt;&gt;"",INDEX(DataOB[],FirstRow+ROW()-7,MATCH(AE$6,DataOB[#Headers],0)),"")</f>
        <v/>
      </c>
      <c r="AF670" s="26">
        <f t="shared" si="104"/>
        <v>0</v>
      </c>
      <c r="AG670" s="31">
        <f>SUM($T670:T670)</f>
        <v>0</v>
      </c>
      <c r="AH670" s="31">
        <f>SUM($T670:U670)</f>
        <v>0</v>
      </c>
      <c r="AI670" s="31">
        <f>SUM($T670:V670)</f>
        <v>0</v>
      </c>
      <c r="AJ670" s="31">
        <f>SUM($T670:W670)</f>
        <v>0</v>
      </c>
      <c r="AK670" s="31">
        <f>SUM($T670:X670)</f>
        <v>0</v>
      </c>
      <c r="AL670" s="31">
        <f>SUM($T670:Y670)</f>
        <v>0</v>
      </c>
      <c r="AM670" s="31">
        <f>SUM($T670:Z670)</f>
        <v>0</v>
      </c>
      <c r="AN670" s="31">
        <f>SUM($T670:AA670)</f>
        <v>0</v>
      </c>
      <c r="AO670" s="31">
        <f>SUM($T670:AB670)</f>
        <v>0</v>
      </c>
      <c r="AP670" s="31">
        <f>SUM($T670:AC670)</f>
        <v>0</v>
      </c>
      <c r="AQ670" s="31">
        <f>SUM($T670:AD670)</f>
        <v>0</v>
      </c>
      <c r="AR670" s="31">
        <f>SUM($T670:AE670)</f>
        <v>0</v>
      </c>
      <c r="AS670" s="27">
        <f t="shared" si="105"/>
        <v>0</v>
      </c>
    </row>
    <row r="671" spans="2:45">
      <c r="B671" s="102" t="str">
        <f>IF(ROW()-6&gt;NumCostCenter,"",IF(CostCenter&lt;&gt;"ALL",CostCenter,DATA_LF2!B669))</f>
        <v/>
      </c>
      <c r="C671" s="153" t="str">
        <f>IF($B671&lt;&gt;"",INDEX(DataOB[],FirstRow+ROW()-7,2),"")</f>
        <v/>
      </c>
      <c r="D671" s="66" t="str">
        <f>IF($B671&lt;&gt;"",INDEX(DataOB[],FirstRow+ROW()-7,3),"")</f>
        <v/>
      </c>
      <c r="E671" s="103" t="str">
        <f>IF($B671&lt;&gt;"",INDEX(DataOB[],FirstRow+ROW()-7,6),"")</f>
        <v/>
      </c>
      <c r="F671" s="103" t="str">
        <f>IF($B671&lt;&gt;"",INDEX(DataOB[],FirstRow+ROW()-7,5),"")</f>
        <v/>
      </c>
      <c r="G671" s="58">
        <f>IF($B671&lt;&gt;"",SUMIFS(DataAct_tbl[AMOUNT],DataAct_tbl[BG CODE],Detail!$D671,DataAct_tbl[MONTH],LEFT(MonthName,3),DataAct_tbl[Dept code],$B671),0)</f>
        <v>0</v>
      </c>
      <c r="H671" s="31" t="str">
        <f t="shared" si="97"/>
        <v/>
      </c>
      <c r="I671" s="28" t="str">
        <f t="shared" si="98"/>
        <v/>
      </c>
      <c r="J671" s="32" t="str">
        <f t="shared" si="99"/>
        <v/>
      </c>
      <c r="K671" s="86"/>
      <c r="L671" s="62">
        <f>IF($B671&lt;&gt;"",SUMIFS(DataAct_tbl[AMOUNT],DataAct_tbl[BG CODE],Detail!$D671,DataAct_tbl[Check Range],"=true",DataAct_tbl[Dept code],$B671),0)</f>
        <v>0</v>
      </c>
      <c r="M671" s="63">
        <f>INDEX($AG$7:$AR$1005,ROW()-6,MATCH(MTD,$AG$6:$AR$6,0))</f>
        <v>0</v>
      </c>
      <c r="N671" s="34">
        <f t="shared" si="100"/>
        <v>0</v>
      </c>
      <c r="O671" s="64" t="str">
        <f t="shared" si="101"/>
        <v xml:space="preserve"> </v>
      </c>
      <c r="Q671" s="97">
        <f t="shared" si="102"/>
        <v>0</v>
      </c>
      <c r="R671" s="96">
        <f t="shared" si="103"/>
        <v>0</v>
      </c>
      <c r="T671" s="67" t="str">
        <f>IF($B671&lt;&gt;"",INDEX(DataOB[],FirstRow+ROW()-7,MATCH(T$6,DataOB[#Headers],0)),"")</f>
        <v/>
      </c>
      <c r="U671" s="67" t="str">
        <f>IF($B671&lt;&gt;"",INDEX(DataOB[],FirstRow+ROW()-7,MATCH(U$6,DataOB[#Headers],0)),"")</f>
        <v/>
      </c>
      <c r="V671" s="67" t="str">
        <f>IF($B671&lt;&gt;"",INDEX(DataOB[],FirstRow+ROW()-7,MATCH(V$6,DataOB[#Headers],0)),"")</f>
        <v/>
      </c>
      <c r="W671" s="67" t="str">
        <f>IF($B671&lt;&gt;"",INDEX(DataOB[],FirstRow+ROW()-7,MATCH(W$6,DataOB[#Headers],0)),"")</f>
        <v/>
      </c>
      <c r="X671" s="67" t="str">
        <f>IF($B671&lt;&gt;"",INDEX(DataOB[],FirstRow+ROW()-7,MATCH(X$6,DataOB[#Headers],0)),"")</f>
        <v/>
      </c>
      <c r="Y671" s="67" t="str">
        <f>IF($B671&lt;&gt;"",INDEX(DataOB[],FirstRow+ROW()-7,MATCH(Y$6,DataOB[#Headers],0)),"")</f>
        <v/>
      </c>
      <c r="Z671" s="67" t="str">
        <f>IF($B671&lt;&gt;"",INDEX(DataOB[],FirstRow+ROW()-7,MATCH(Z$6,DataOB[#Headers],0)),"")</f>
        <v/>
      </c>
      <c r="AA671" s="67" t="str">
        <f>IF($B671&lt;&gt;"",INDEX(DataOB[],FirstRow+ROW()-7,MATCH(AA$6,DataOB[#Headers],0)),"")</f>
        <v/>
      </c>
      <c r="AB671" s="67" t="str">
        <f>IF($B671&lt;&gt;"",INDEX(DataOB[],FirstRow+ROW()-7,MATCH(AB$6,DataOB[#Headers],0)),"")</f>
        <v/>
      </c>
      <c r="AC671" s="67" t="str">
        <f>IF($B671&lt;&gt;"",INDEX(DataOB[],FirstRow+ROW()-7,MATCH(AC$6,DataOB[#Headers],0)),"")</f>
        <v/>
      </c>
      <c r="AD671" s="67" t="str">
        <f>IF($B671&lt;&gt;"",INDEX(DataOB[],FirstRow+ROW()-7,MATCH(AD$6,DataOB[#Headers],0)),"")</f>
        <v/>
      </c>
      <c r="AE671" s="67" t="str">
        <f>IF($B671&lt;&gt;"",INDEX(DataOB[],FirstRow+ROW()-7,MATCH(AE$6,DataOB[#Headers],0)),"")</f>
        <v/>
      </c>
      <c r="AF671" s="26">
        <f t="shared" si="104"/>
        <v>0</v>
      </c>
      <c r="AG671" s="31">
        <f>SUM($T671:T671)</f>
        <v>0</v>
      </c>
      <c r="AH671" s="31">
        <f>SUM($T671:U671)</f>
        <v>0</v>
      </c>
      <c r="AI671" s="31">
        <f>SUM($T671:V671)</f>
        <v>0</v>
      </c>
      <c r="AJ671" s="31">
        <f>SUM($T671:W671)</f>
        <v>0</v>
      </c>
      <c r="AK671" s="31">
        <f>SUM($T671:X671)</f>
        <v>0</v>
      </c>
      <c r="AL671" s="31">
        <f>SUM($T671:Y671)</f>
        <v>0</v>
      </c>
      <c r="AM671" s="31">
        <f>SUM($T671:Z671)</f>
        <v>0</v>
      </c>
      <c r="AN671" s="31">
        <f>SUM($T671:AA671)</f>
        <v>0</v>
      </c>
      <c r="AO671" s="31">
        <f>SUM($T671:AB671)</f>
        <v>0</v>
      </c>
      <c r="AP671" s="31">
        <f>SUM($T671:AC671)</f>
        <v>0</v>
      </c>
      <c r="AQ671" s="31">
        <f>SUM($T671:AD671)</f>
        <v>0</v>
      </c>
      <c r="AR671" s="31">
        <f>SUM($T671:AE671)</f>
        <v>0</v>
      </c>
      <c r="AS671" s="27">
        <f t="shared" si="105"/>
        <v>0</v>
      </c>
    </row>
    <row r="672" spans="2:45">
      <c r="B672" s="102" t="str">
        <f>IF(ROW()-6&gt;NumCostCenter,"",IF(CostCenter&lt;&gt;"ALL",CostCenter,DATA_LF2!B670))</f>
        <v/>
      </c>
      <c r="C672" s="153" t="str">
        <f>IF($B672&lt;&gt;"",INDEX(DataOB[],FirstRow+ROW()-7,2),"")</f>
        <v/>
      </c>
      <c r="D672" s="66" t="str">
        <f>IF($B672&lt;&gt;"",INDEX(DataOB[],FirstRow+ROW()-7,3),"")</f>
        <v/>
      </c>
      <c r="E672" s="103" t="str">
        <f>IF($B672&lt;&gt;"",INDEX(DataOB[],FirstRow+ROW()-7,6),"")</f>
        <v/>
      </c>
      <c r="F672" s="103" t="str">
        <f>IF($B672&lt;&gt;"",INDEX(DataOB[],FirstRow+ROW()-7,5),"")</f>
        <v/>
      </c>
      <c r="G672" s="58">
        <f>IF($B672&lt;&gt;"",SUMIFS(DataAct_tbl[AMOUNT],DataAct_tbl[BG CODE],Detail!$D672,DataAct_tbl[MONTH],LEFT(MonthName,3),DataAct_tbl[Dept code],$B672),0)</f>
        <v>0</v>
      </c>
      <c r="H672" s="31" t="str">
        <f t="shared" si="97"/>
        <v/>
      </c>
      <c r="I672" s="28" t="str">
        <f t="shared" si="98"/>
        <v/>
      </c>
      <c r="J672" s="32" t="str">
        <f t="shared" si="99"/>
        <v/>
      </c>
      <c r="K672" s="86"/>
      <c r="L672" s="62">
        <f>IF($B672&lt;&gt;"",SUMIFS(DataAct_tbl[AMOUNT],DataAct_tbl[BG CODE],Detail!$D672,DataAct_tbl[Check Range],"=true",DataAct_tbl[Dept code],$B672),0)</f>
        <v>0</v>
      </c>
      <c r="M672" s="63">
        <f>INDEX($AG$7:$AR$1005,ROW()-6,MATCH(MTD,$AG$6:$AR$6,0))</f>
        <v>0</v>
      </c>
      <c r="N672" s="34">
        <f t="shared" si="100"/>
        <v>0</v>
      </c>
      <c r="O672" s="64" t="str">
        <f t="shared" si="101"/>
        <v xml:space="preserve"> </v>
      </c>
      <c r="Q672" s="97">
        <f t="shared" si="102"/>
        <v>0</v>
      </c>
      <c r="R672" s="96">
        <f t="shared" si="103"/>
        <v>0</v>
      </c>
      <c r="T672" s="67" t="str">
        <f>IF($B672&lt;&gt;"",INDEX(DataOB[],FirstRow+ROW()-7,MATCH(T$6,DataOB[#Headers],0)),"")</f>
        <v/>
      </c>
      <c r="U672" s="67" t="str">
        <f>IF($B672&lt;&gt;"",INDEX(DataOB[],FirstRow+ROW()-7,MATCH(U$6,DataOB[#Headers],0)),"")</f>
        <v/>
      </c>
      <c r="V672" s="67" t="str">
        <f>IF($B672&lt;&gt;"",INDEX(DataOB[],FirstRow+ROW()-7,MATCH(V$6,DataOB[#Headers],0)),"")</f>
        <v/>
      </c>
      <c r="W672" s="67" t="str">
        <f>IF($B672&lt;&gt;"",INDEX(DataOB[],FirstRow+ROW()-7,MATCH(W$6,DataOB[#Headers],0)),"")</f>
        <v/>
      </c>
      <c r="X672" s="67" t="str">
        <f>IF($B672&lt;&gt;"",INDEX(DataOB[],FirstRow+ROW()-7,MATCH(X$6,DataOB[#Headers],0)),"")</f>
        <v/>
      </c>
      <c r="Y672" s="67" t="str">
        <f>IF($B672&lt;&gt;"",INDEX(DataOB[],FirstRow+ROW()-7,MATCH(Y$6,DataOB[#Headers],0)),"")</f>
        <v/>
      </c>
      <c r="Z672" s="67" t="str">
        <f>IF($B672&lt;&gt;"",INDEX(DataOB[],FirstRow+ROW()-7,MATCH(Z$6,DataOB[#Headers],0)),"")</f>
        <v/>
      </c>
      <c r="AA672" s="67" t="str">
        <f>IF($B672&lt;&gt;"",INDEX(DataOB[],FirstRow+ROW()-7,MATCH(AA$6,DataOB[#Headers],0)),"")</f>
        <v/>
      </c>
      <c r="AB672" s="67" t="str">
        <f>IF($B672&lt;&gt;"",INDEX(DataOB[],FirstRow+ROW()-7,MATCH(AB$6,DataOB[#Headers],0)),"")</f>
        <v/>
      </c>
      <c r="AC672" s="67" t="str">
        <f>IF($B672&lt;&gt;"",INDEX(DataOB[],FirstRow+ROW()-7,MATCH(AC$6,DataOB[#Headers],0)),"")</f>
        <v/>
      </c>
      <c r="AD672" s="67" t="str">
        <f>IF($B672&lt;&gt;"",INDEX(DataOB[],FirstRow+ROW()-7,MATCH(AD$6,DataOB[#Headers],0)),"")</f>
        <v/>
      </c>
      <c r="AE672" s="67" t="str">
        <f>IF($B672&lt;&gt;"",INDEX(DataOB[],FirstRow+ROW()-7,MATCH(AE$6,DataOB[#Headers],0)),"")</f>
        <v/>
      </c>
      <c r="AF672" s="26">
        <f t="shared" si="104"/>
        <v>0</v>
      </c>
      <c r="AG672" s="31">
        <f>SUM($T672:T672)</f>
        <v>0</v>
      </c>
      <c r="AH672" s="31">
        <f>SUM($T672:U672)</f>
        <v>0</v>
      </c>
      <c r="AI672" s="31">
        <f>SUM($T672:V672)</f>
        <v>0</v>
      </c>
      <c r="AJ672" s="31">
        <f>SUM($T672:W672)</f>
        <v>0</v>
      </c>
      <c r="AK672" s="31">
        <f>SUM($T672:X672)</f>
        <v>0</v>
      </c>
      <c r="AL672" s="31">
        <f>SUM($T672:Y672)</f>
        <v>0</v>
      </c>
      <c r="AM672" s="31">
        <f>SUM($T672:Z672)</f>
        <v>0</v>
      </c>
      <c r="AN672" s="31">
        <f>SUM($T672:AA672)</f>
        <v>0</v>
      </c>
      <c r="AO672" s="31">
        <f>SUM($T672:AB672)</f>
        <v>0</v>
      </c>
      <c r="AP672" s="31">
        <f>SUM($T672:AC672)</f>
        <v>0</v>
      </c>
      <c r="AQ672" s="31">
        <f>SUM($T672:AD672)</f>
        <v>0</v>
      </c>
      <c r="AR672" s="31">
        <f>SUM($T672:AE672)</f>
        <v>0</v>
      </c>
      <c r="AS672" s="27">
        <f t="shared" si="105"/>
        <v>0</v>
      </c>
    </row>
    <row r="673" spans="2:45">
      <c r="B673" s="102" t="str">
        <f>IF(ROW()-6&gt;NumCostCenter,"",IF(CostCenter&lt;&gt;"ALL",CostCenter,DATA_LF2!B671))</f>
        <v/>
      </c>
      <c r="C673" s="153" t="str">
        <f>IF($B673&lt;&gt;"",INDEX(DataOB[],FirstRow+ROW()-7,2),"")</f>
        <v/>
      </c>
      <c r="D673" s="66" t="str">
        <f>IF($B673&lt;&gt;"",INDEX(DataOB[],FirstRow+ROW()-7,3),"")</f>
        <v/>
      </c>
      <c r="E673" s="103" t="str">
        <f>IF($B673&lt;&gt;"",INDEX(DataOB[],FirstRow+ROW()-7,6),"")</f>
        <v/>
      </c>
      <c r="F673" s="103" t="str">
        <f>IF($B673&lt;&gt;"",INDEX(DataOB[],FirstRow+ROW()-7,5),"")</f>
        <v/>
      </c>
      <c r="G673" s="58">
        <f>IF($B673&lt;&gt;"",SUMIFS(DataAct_tbl[AMOUNT],DataAct_tbl[BG CODE],Detail!$D673,DataAct_tbl[MONTH],LEFT(MonthName,3),DataAct_tbl[Dept code],$B673),0)</f>
        <v>0</v>
      </c>
      <c r="H673" s="31" t="str">
        <f t="shared" si="97"/>
        <v/>
      </c>
      <c r="I673" s="28" t="str">
        <f t="shared" si="98"/>
        <v/>
      </c>
      <c r="J673" s="32" t="str">
        <f t="shared" si="99"/>
        <v/>
      </c>
      <c r="K673" s="86"/>
      <c r="L673" s="62">
        <f>IF($B673&lt;&gt;"",SUMIFS(DataAct_tbl[AMOUNT],DataAct_tbl[BG CODE],Detail!$D673,DataAct_tbl[Check Range],"=true",DataAct_tbl[Dept code],$B673),0)</f>
        <v>0</v>
      </c>
      <c r="M673" s="63">
        <f>INDEX($AG$7:$AR$1005,ROW()-6,MATCH(MTD,$AG$6:$AR$6,0))</f>
        <v>0</v>
      </c>
      <c r="N673" s="34">
        <f t="shared" si="100"/>
        <v>0</v>
      </c>
      <c r="O673" s="64" t="str">
        <f t="shared" si="101"/>
        <v xml:space="preserve"> </v>
      </c>
      <c r="Q673" s="97">
        <f t="shared" si="102"/>
        <v>0</v>
      </c>
      <c r="R673" s="96">
        <f t="shared" si="103"/>
        <v>0</v>
      </c>
      <c r="T673" s="67" t="str">
        <f>IF($B673&lt;&gt;"",INDEX(DataOB[],FirstRow+ROW()-7,MATCH(T$6,DataOB[#Headers],0)),"")</f>
        <v/>
      </c>
      <c r="U673" s="67" t="str">
        <f>IF($B673&lt;&gt;"",INDEX(DataOB[],FirstRow+ROW()-7,MATCH(U$6,DataOB[#Headers],0)),"")</f>
        <v/>
      </c>
      <c r="V673" s="67" t="str">
        <f>IF($B673&lt;&gt;"",INDEX(DataOB[],FirstRow+ROW()-7,MATCH(V$6,DataOB[#Headers],0)),"")</f>
        <v/>
      </c>
      <c r="W673" s="67" t="str">
        <f>IF($B673&lt;&gt;"",INDEX(DataOB[],FirstRow+ROW()-7,MATCH(W$6,DataOB[#Headers],0)),"")</f>
        <v/>
      </c>
      <c r="X673" s="67" t="str">
        <f>IF($B673&lt;&gt;"",INDEX(DataOB[],FirstRow+ROW()-7,MATCH(X$6,DataOB[#Headers],0)),"")</f>
        <v/>
      </c>
      <c r="Y673" s="67" t="str">
        <f>IF($B673&lt;&gt;"",INDEX(DataOB[],FirstRow+ROW()-7,MATCH(Y$6,DataOB[#Headers],0)),"")</f>
        <v/>
      </c>
      <c r="Z673" s="67" t="str">
        <f>IF($B673&lt;&gt;"",INDEX(DataOB[],FirstRow+ROW()-7,MATCH(Z$6,DataOB[#Headers],0)),"")</f>
        <v/>
      </c>
      <c r="AA673" s="67" t="str">
        <f>IF($B673&lt;&gt;"",INDEX(DataOB[],FirstRow+ROW()-7,MATCH(AA$6,DataOB[#Headers],0)),"")</f>
        <v/>
      </c>
      <c r="AB673" s="67" t="str">
        <f>IF($B673&lt;&gt;"",INDEX(DataOB[],FirstRow+ROW()-7,MATCH(AB$6,DataOB[#Headers],0)),"")</f>
        <v/>
      </c>
      <c r="AC673" s="67" t="str">
        <f>IF($B673&lt;&gt;"",INDEX(DataOB[],FirstRow+ROW()-7,MATCH(AC$6,DataOB[#Headers],0)),"")</f>
        <v/>
      </c>
      <c r="AD673" s="67" t="str">
        <f>IF($B673&lt;&gt;"",INDEX(DataOB[],FirstRow+ROW()-7,MATCH(AD$6,DataOB[#Headers],0)),"")</f>
        <v/>
      </c>
      <c r="AE673" s="67" t="str">
        <f>IF($B673&lt;&gt;"",INDEX(DataOB[],FirstRow+ROW()-7,MATCH(AE$6,DataOB[#Headers],0)),"")</f>
        <v/>
      </c>
      <c r="AF673" s="26">
        <f t="shared" si="104"/>
        <v>0</v>
      </c>
      <c r="AG673" s="31">
        <f>SUM($T673:T673)</f>
        <v>0</v>
      </c>
      <c r="AH673" s="31">
        <f>SUM($T673:U673)</f>
        <v>0</v>
      </c>
      <c r="AI673" s="31">
        <f>SUM($T673:V673)</f>
        <v>0</v>
      </c>
      <c r="AJ673" s="31">
        <f>SUM($T673:W673)</f>
        <v>0</v>
      </c>
      <c r="AK673" s="31">
        <f>SUM($T673:X673)</f>
        <v>0</v>
      </c>
      <c r="AL673" s="31">
        <f>SUM($T673:Y673)</f>
        <v>0</v>
      </c>
      <c r="AM673" s="31">
        <f>SUM($T673:Z673)</f>
        <v>0</v>
      </c>
      <c r="AN673" s="31">
        <f>SUM($T673:AA673)</f>
        <v>0</v>
      </c>
      <c r="AO673" s="31">
        <f>SUM($T673:AB673)</f>
        <v>0</v>
      </c>
      <c r="AP673" s="31">
        <f>SUM($T673:AC673)</f>
        <v>0</v>
      </c>
      <c r="AQ673" s="31">
        <f>SUM($T673:AD673)</f>
        <v>0</v>
      </c>
      <c r="AR673" s="31">
        <f>SUM($T673:AE673)</f>
        <v>0</v>
      </c>
      <c r="AS673" s="27">
        <f t="shared" si="105"/>
        <v>0</v>
      </c>
    </row>
    <row r="674" spans="2:45">
      <c r="B674" s="102" t="str">
        <f>IF(ROW()-6&gt;NumCostCenter,"",IF(CostCenter&lt;&gt;"ALL",CostCenter,DATA_LF2!B672))</f>
        <v/>
      </c>
      <c r="C674" s="153" t="str">
        <f>IF($B674&lt;&gt;"",INDEX(DataOB[],FirstRow+ROW()-7,2),"")</f>
        <v/>
      </c>
      <c r="D674" s="66" t="str">
        <f>IF($B674&lt;&gt;"",INDEX(DataOB[],FirstRow+ROW()-7,3),"")</f>
        <v/>
      </c>
      <c r="E674" s="103" t="str">
        <f>IF($B674&lt;&gt;"",INDEX(DataOB[],FirstRow+ROW()-7,6),"")</f>
        <v/>
      </c>
      <c r="F674" s="103" t="str">
        <f>IF($B674&lt;&gt;"",INDEX(DataOB[],FirstRow+ROW()-7,5),"")</f>
        <v/>
      </c>
      <c r="G674" s="58">
        <f>IF($B674&lt;&gt;"",SUMIFS(DataAct_tbl[AMOUNT],DataAct_tbl[BG CODE],Detail!$D674,DataAct_tbl[MONTH],LEFT(MonthName,3),DataAct_tbl[Dept code],$B674),0)</f>
        <v>0</v>
      </c>
      <c r="H674" s="31" t="str">
        <f t="shared" si="97"/>
        <v/>
      </c>
      <c r="I674" s="28" t="str">
        <f t="shared" si="98"/>
        <v/>
      </c>
      <c r="J674" s="32" t="str">
        <f t="shared" si="99"/>
        <v/>
      </c>
      <c r="K674" s="86"/>
      <c r="L674" s="62">
        <f>IF($B674&lt;&gt;"",SUMIFS(DataAct_tbl[AMOUNT],DataAct_tbl[BG CODE],Detail!$D674,DataAct_tbl[Check Range],"=true",DataAct_tbl[Dept code],$B674),0)</f>
        <v>0</v>
      </c>
      <c r="M674" s="63">
        <f>INDEX($AG$7:$AR$1005,ROW()-6,MATCH(MTD,$AG$6:$AR$6,0))</f>
        <v>0</v>
      </c>
      <c r="N674" s="34">
        <f t="shared" si="100"/>
        <v>0</v>
      </c>
      <c r="O674" s="64" t="str">
        <f t="shared" si="101"/>
        <v xml:space="preserve"> </v>
      </c>
      <c r="Q674" s="97">
        <f t="shared" si="102"/>
        <v>0</v>
      </c>
      <c r="R674" s="96">
        <f t="shared" si="103"/>
        <v>0</v>
      </c>
      <c r="T674" s="67" t="str">
        <f>IF($B674&lt;&gt;"",INDEX(DataOB[],FirstRow+ROW()-7,MATCH(T$6,DataOB[#Headers],0)),"")</f>
        <v/>
      </c>
      <c r="U674" s="67" t="str">
        <f>IF($B674&lt;&gt;"",INDEX(DataOB[],FirstRow+ROW()-7,MATCH(U$6,DataOB[#Headers],0)),"")</f>
        <v/>
      </c>
      <c r="V674" s="67" t="str">
        <f>IF($B674&lt;&gt;"",INDEX(DataOB[],FirstRow+ROW()-7,MATCH(V$6,DataOB[#Headers],0)),"")</f>
        <v/>
      </c>
      <c r="W674" s="67" t="str">
        <f>IF($B674&lt;&gt;"",INDEX(DataOB[],FirstRow+ROW()-7,MATCH(W$6,DataOB[#Headers],0)),"")</f>
        <v/>
      </c>
      <c r="X674" s="67" t="str">
        <f>IF($B674&lt;&gt;"",INDEX(DataOB[],FirstRow+ROW()-7,MATCH(X$6,DataOB[#Headers],0)),"")</f>
        <v/>
      </c>
      <c r="Y674" s="67" t="str">
        <f>IF($B674&lt;&gt;"",INDEX(DataOB[],FirstRow+ROW()-7,MATCH(Y$6,DataOB[#Headers],0)),"")</f>
        <v/>
      </c>
      <c r="Z674" s="67" t="str">
        <f>IF($B674&lt;&gt;"",INDEX(DataOB[],FirstRow+ROW()-7,MATCH(Z$6,DataOB[#Headers],0)),"")</f>
        <v/>
      </c>
      <c r="AA674" s="67" t="str">
        <f>IF($B674&lt;&gt;"",INDEX(DataOB[],FirstRow+ROW()-7,MATCH(AA$6,DataOB[#Headers],0)),"")</f>
        <v/>
      </c>
      <c r="AB674" s="67" t="str">
        <f>IF($B674&lt;&gt;"",INDEX(DataOB[],FirstRow+ROW()-7,MATCH(AB$6,DataOB[#Headers],0)),"")</f>
        <v/>
      </c>
      <c r="AC674" s="67" t="str">
        <f>IF($B674&lt;&gt;"",INDEX(DataOB[],FirstRow+ROW()-7,MATCH(AC$6,DataOB[#Headers],0)),"")</f>
        <v/>
      </c>
      <c r="AD674" s="67" t="str">
        <f>IF($B674&lt;&gt;"",INDEX(DataOB[],FirstRow+ROW()-7,MATCH(AD$6,DataOB[#Headers],0)),"")</f>
        <v/>
      </c>
      <c r="AE674" s="67" t="str">
        <f>IF($B674&lt;&gt;"",INDEX(DataOB[],FirstRow+ROW()-7,MATCH(AE$6,DataOB[#Headers],0)),"")</f>
        <v/>
      </c>
      <c r="AF674" s="26">
        <f t="shared" si="104"/>
        <v>0</v>
      </c>
      <c r="AG674" s="31">
        <f>SUM($T674:T674)</f>
        <v>0</v>
      </c>
      <c r="AH674" s="31">
        <f>SUM($T674:U674)</f>
        <v>0</v>
      </c>
      <c r="AI674" s="31">
        <f>SUM($T674:V674)</f>
        <v>0</v>
      </c>
      <c r="AJ674" s="31">
        <f>SUM($T674:W674)</f>
        <v>0</v>
      </c>
      <c r="AK674" s="31">
        <f>SUM($T674:X674)</f>
        <v>0</v>
      </c>
      <c r="AL674" s="31">
        <f>SUM($T674:Y674)</f>
        <v>0</v>
      </c>
      <c r="AM674" s="31">
        <f>SUM($T674:Z674)</f>
        <v>0</v>
      </c>
      <c r="AN674" s="31">
        <f>SUM($T674:AA674)</f>
        <v>0</v>
      </c>
      <c r="AO674" s="31">
        <f>SUM($T674:AB674)</f>
        <v>0</v>
      </c>
      <c r="AP674" s="31">
        <f>SUM($T674:AC674)</f>
        <v>0</v>
      </c>
      <c r="AQ674" s="31">
        <f>SUM($T674:AD674)</f>
        <v>0</v>
      </c>
      <c r="AR674" s="31">
        <f>SUM($T674:AE674)</f>
        <v>0</v>
      </c>
      <c r="AS674" s="27">
        <f t="shared" si="105"/>
        <v>0</v>
      </c>
    </row>
    <row r="675" spans="2:45">
      <c r="B675" s="102" t="str">
        <f>IF(ROW()-6&gt;NumCostCenter,"",IF(CostCenter&lt;&gt;"ALL",CostCenter,DATA_LF2!B673))</f>
        <v/>
      </c>
      <c r="C675" s="153" t="str">
        <f>IF($B675&lt;&gt;"",INDEX(DataOB[],FirstRow+ROW()-7,2),"")</f>
        <v/>
      </c>
      <c r="D675" s="66" t="str">
        <f>IF($B675&lt;&gt;"",INDEX(DataOB[],FirstRow+ROW()-7,3),"")</f>
        <v/>
      </c>
      <c r="E675" s="103" t="str">
        <f>IF($B675&lt;&gt;"",INDEX(DataOB[],FirstRow+ROW()-7,6),"")</f>
        <v/>
      </c>
      <c r="F675" s="103" t="str">
        <f>IF($B675&lt;&gt;"",INDEX(DataOB[],FirstRow+ROW()-7,5),"")</f>
        <v/>
      </c>
      <c r="G675" s="58">
        <f>IF($B675&lt;&gt;"",SUMIFS(DataAct_tbl[AMOUNT],DataAct_tbl[BG CODE],Detail!$D675,DataAct_tbl[MONTH],LEFT(MonthName,3),DataAct_tbl[Dept code],$B675),0)</f>
        <v>0</v>
      </c>
      <c r="H675" s="31" t="str">
        <f t="shared" si="97"/>
        <v/>
      </c>
      <c r="I675" s="28" t="str">
        <f t="shared" si="98"/>
        <v/>
      </c>
      <c r="J675" s="32" t="str">
        <f t="shared" si="99"/>
        <v/>
      </c>
      <c r="K675" s="86"/>
      <c r="L675" s="62">
        <f>IF($B675&lt;&gt;"",SUMIFS(DataAct_tbl[AMOUNT],DataAct_tbl[BG CODE],Detail!$D675,DataAct_tbl[Check Range],"=true",DataAct_tbl[Dept code],$B675),0)</f>
        <v>0</v>
      </c>
      <c r="M675" s="63">
        <f>INDEX($AG$7:$AR$1005,ROW()-6,MATCH(MTD,$AG$6:$AR$6,0))</f>
        <v>0</v>
      </c>
      <c r="N675" s="34">
        <f t="shared" si="100"/>
        <v>0</v>
      </c>
      <c r="O675" s="64" t="str">
        <f t="shared" si="101"/>
        <v xml:space="preserve"> </v>
      </c>
      <c r="Q675" s="97">
        <f t="shared" si="102"/>
        <v>0</v>
      </c>
      <c r="R675" s="96">
        <f t="shared" si="103"/>
        <v>0</v>
      </c>
      <c r="T675" s="67" t="str">
        <f>IF($B675&lt;&gt;"",INDEX(DataOB[],FirstRow+ROW()-7,MATCH(T$6,DataOB[#Headers],0)),"")</f>
        <v/>
      </c>
      <c r="U675" s="67" t="str">
        <f>IF($B675&lt;&gt;"",INDEX(DataOB[],FirstRow+ROW()-7,MATCH(U$6,DataOB[#Headers],0)),"")</f>
        <v/>
      </c>
      <c r="V675" s="67" t="str">
        <f>IF($B675&lt;&gt;"",INDEX(DataOB[],FirstRow+ROW()-7,MATCH(V$6,DataOB[#Headers],0)),"")</f>
        <v/>
      </c>
      <c r="W675" s="67" t="str">
        <f>IF($B675&lt;&gt;"",INDEX(DataOB[],FirstRow+ROW()-7,MATCH(W$6,DataOB[#Headers],0)),"")</f>
        <v/>
      </c>
      <c r="X675" s="67" t="str">
        <f>IF($B675&lt;&gt;"",INDEX(DataOB[],FirstRow+ROW()-7,MATCH(X$6,DataOB[#Headers],0)),"")</f>
        <v/>
      </c>
      <c r="Y675" s="67" t="str">
        <f>IF($B675&lt;&gt;"",INDEX(DataOB[],FirstRow+ROW()-7,MATCH(Y$6,DataOB[#Headers],0)),"")</f>
        <v/>
      </c>
      <c r="Z675" s="67" t="str">
        <f>IF($B675&lt;&gt;"",INDEX(DataOB[],FirstRow+ROW()-7,MATCH(Z$6,DataOB[#Headers],0)),"")</f>
        <v/>
      </c>
      <c r="AA675" s="67" t="str">
        <f>IF($B675&lt;&gt;"",INDEX(DataOB[],FirstRow+ROW()-7,MATCH(AA$6,DataOB[#Headers],0)),"")</f>
        <v/>
      </c>
      <c r="AB675" s="67" t="str">
        <f>IF($B675&lt;&gt;"",INDEX(DataOB[],FirstRow+ROW()-7,MATCH(AB$6,DataOB[#Headers],0)),"")</f>
        <v/>
      </c>
      <c r="AC675" s="67" t="str">
        <f>IF($B675&lt;&gt;"",INDEX(DataOB[],FirstRow+ROW()-7,MATCH(AC$6,DataOB[#Headers],0)),"")</f>
        <v/>
      </c>
      <c r="AD675" s="67" t="str">
        <f>IF($B675&lt;&gt;"",INDEX(DataOB[],FirstRow+ROW()-7,MATCH(AD$6,DataOB[#Headers],0)),"")</f>
        <v/>
      </c>
      <c r="AE675" s="67" t="str">
        <f>IF($B675&lt;&gt;"",INDEX(DataOB[],FirstRow+ROW()-7,MATCH(AE$6,DataOB[#Headers],0)),"")</f>
        <v/>
      </c>
      <c r="AF675" s="26">
        <f t="shared" si="104"/>
        <v>0</v>
      </c>
      <c r="AG675" s="31">
        <f>SUM($T675:T675)</f>
        <v>0</v>
      </c>
      <c r="AH675" s="31">
        <f>SUM($T675:U675)</f>
        <v>0</v>
      </c>
      <c r="AI675" s="31">
        <f>SUM($T675:V675)</f>
        <v>0</v>
      </c>
      <c r="AJ675" s="31">
        <f>SUM($T675:W675)</f>
        <v>0</v>
      </c>
      <c r="AK675" s="31">
        <f>SUM($T675:X675)</f>
        <v>0</v>
      </c>
      <c r="AL675" s="31">
        <f>SUM($T675:Y675)</f>
        <v>0</v>
      </c>
      <c r="AM675" s="31">
        <f>SUM($T675:Z675)</f>
        <v>0</v>
      </c>
      <c r="AN675" s="31">
        <f>SUM($T675:AA675)</f>
        <v>0</v>
      </c>
      <c r="AO675" s="31">
        <f>SUM($T675:AB675)</f>
        <v>0</v>
      </c>
      <c r="AP675" s="31">
        <f>SUM($T675:AC675)</f>
        <v>0</v>
      </c>
      <c r="AQ675" s="31">
        <f>SUM($T675:AD675)</f>
        <v>0</v>
      </c>
      <c r="AR675" s="31">
        <f>SUM($T675:AE675)</f>
        <v>0</v>
      </c>
      <c r="AS675" s="27">
        <f t="shared" si="105"/>
        <v>0</v>
      </c>
    </row>
    <row r="676" spans="2:45">
      <c r="B676" s="102" t="str">
        <f>IF(ROW()-6&gt;NumCostCenter,"",IF(CostCenter&lt;&gt;"ALL",CostCenter,DATA_LF2!B674))</f>
        <v/>
      </c>
      <c r="C676" s="153" t="str">
        <f>IF($B676&lt;&gt;"",INDEX(DataOB[],FirstRow+ROW()-7,2),"")</f>
        <v/>
      </c>
      <c r="D676" s="66" t="str">
        <f>IF($B676&lt;&gt;"",INDEX(DataOB[],FirstRow+ROW()-7,3),"")</f>
        <v/>
      </c>
      <c r="E676" s="103" t="str">
        <f>IF($B676&lt;&gt;"",INDEX(DataOB[],FirstRow+ROW()-7,6),"")</f>
        <v/>
      </c>
      <c r="F676" s="103" t="str">
        <f>IF($B676&lt;&gt;"",INDEX(DataOB[],FirstRow+ROW()-7,5),"")</f>
        <v/>
      </c>
      <c r="G676" s="58">
        <f>IF($B676&lt;&gt;"",SUMIFS(DataAct_tbl[AMOUNT],DataAct_tbl[BG CODE],Detail!$D676,DataAct_tbl[MONTH],LEFT(MonthName,3),DataAct_tbl[Dept code],$B676),0)</f>
        <v>0</v>
      </c>
      <c r="H676" s="31" t="str">
        <f t="shared" si="97"/>
        <v/>
      </c>
      <c r="I676" s="28" t="str">
        <f t="shared" si="98"/>
        <v/>
      </c>
      <c r="J676" s="32" t="str">
        <f t="shared" si="99"/>
        <v/>
      </c>
      <c r="K676" s="86"/>
      <c r="L676" s="62">
        <f>IF($B676&lt;&gt;"",SUMIFS(DataAct_tbl[AMOUNT],DataAct_tbl[BG CODE],Detail!$D676,DataAct_tbl[Check Range],"=true",DataAct_tbl[Dept code],$B676),0)</f>
        <v>0</v>
      </c>
      <c r="M676" s="63">
        <f>INDEX($AG$7:$AR$1005,ROW()-6,MATCH(MTD,$AG$6:$AR$6,0))</f>
        <v>0</v>
      </c>
      <c r="N676" s="34">
        <f t="shared" si="100"/>
        <v>0</v>
      </c>
      <c r="O676" s="64" t="str">
        <f t="shared" si="101"/>
        <v xml:space="preserve"> </v>
      </c>
      <c r="Q676" s="97">
        <f t="shared" si="102"/>
        <v>0</v>
      </c>
      <c r="R676" s="96">
        <f t="shared" si="103"/>
        <v>0</v>
      </c>
      <c r="T676" s="67" t="str">
        <f>IF($B676&lt;&gt;"",INDEX(DataOB[],FirstRow+ROW()-7,MATCH(T$6,DataOB[#Headers],0)),"")</f>
        <v/>
      </c>
      <c r="U676" s="67" t="str">
        <f>IF($B676&lt;&gt;"",INDEX(DataOB[],FirstRow+ROW()-7,MATCH(U$6,DataOB[#Headers],0)),"")</f>
        <v/>
      </c>
      <c r="V676" s="67" t="str">
        <f>IF($B676&lt;&gt;"",INDEX(DataOB[],FirstRow+ROW()-7,MATCH(V$6,DataOB[#Headers],0)),"")</f>
        <v/>
      </c>
      <c r="W676" s="67" t="str">
        <f>IF($B676&lt;&gt;"",INDEX(DataOB[],FirstRow+ROW()-7,MATCH(W$6,DataOB[#Headers],0)),"")</f>
        <v/>
      </c>
      <c r="X676" s="67" t="str">
        <f>IF($B676&lt;&gt;"",INDEX(DataOB[],FirstRow+ROW()-7,MATCH(X$6,DataOB[#Headers],0)),"")</f>
        <v/>
      </c>
      <c r="Y676" s="67" t="str">
        <f>IF($B676&lt;&gt;"",INDEX(DataOB[],FirstRow+ROW()-7,MATCH(Y$6,DataOB[#Headers],0)),"")</f>
        <v/>
      </c>
      <c r="Z676" s="67" t="str">
        <f>IF($B676&lt;&gt;"",INDEX(DataOB[],FirstRow+ROW()-7,MATCH(Z$6,DataOB[#Headers],0)),"")</f>
        <v/>
      </c>
      <c r="AA676" s="67" t="str">
        <f>IF($B676&lt;&gt;"",INDEX(DataOB[],FirstRow+ROW()-7,MATCH(AA$6,DataOB[#Headers],0)),"")</f>
        <v/>
      </c>
      <c r="AB676" s="67" t="str">
        <f>IF($B676&lt;&gt;"",INDEX(DataOB[],FirstRow+ROW()-7,MATCH(AB$6,DataOB[#Headers],0)),"")</f>
        <v/>
      </c>
      <c r="AC676" s="67" t="str">
        <f>IF($B676&lt;&gt;"",INDEX(DataOB[],FirstRow+ROW()-7,MATCH(AC$6,DataOB[#Headers],0)),"")</f>
        <v/>
      </c>
      <c r="AD676" s="67" t="str">
        <f>IF($B676&lt;&gt;"",INDEX(DataOB[],FirstRow+ROW()-7,MATCH(AD$6,DataOB[#Headers],0)),"")</f>
        <v/>
      </c>
      <c r="AE676" s="67" t="str">
        <f>IF($B676&lt;&gt;"",INDEX(DataOB[],FirstRow+ROW()-7,MATCH(AE$6,DataOB[#Headers],0)),"")</f>
        <v/>
      </c>
      <c r="AF676" s="26">
        <f t="shared" si="104"/>
        <v>0</v>
      </c>
      <c r="AG676" s="31">
        <f>SUM($T676:T676)</f>
        <v>0</v>
      </c>
      <c r="AH676" s="31">
        <f>SUM($T676:U676)</f>
        <v>0</v>
      </c>
      <c r="AI676" s="31">
        <f>SUM($T676:V676)</f>
        <v>0</v>
      </c>
      <c r="AJ676" s="31">
        <f>SUM($T676:W676)</f>
        <v>0</v>
      </c>
      <c r="AK676" s="31">
        <f>SUM($T676:X676)</f>
        <v>0</v>
      </c>
      <c r="AL676" s="31">
        <f>SUM($T676:Y676)</f>
        <v>0</v>
      </c>
      <c r="AM676" s="31">
        <f>SUM($T676:Z676)</f>
        <v>0</v>
      </c>
      <c r="AN676" s="31">
        <f>SUM($T676:AA676)</f>
        <v>0</v>
      </c>
      <c r="AO676" s="31">
        <f>SUM($T676:AB676)</f>
        <v>0</v>
      </c>
      <c r="AP676" s="31">
        <f>SUM($T676:AC676)</f>
        <v>0</v>
      </c>
      <c r="AQ676" s="31">
        <f>SUM($T676:AD676)</f>
        <v>0</v>
      </c>
      <c r="AR676" s="31">
        <f>SUM($T676:AE676)</f>
        <v>0</v>
      </c>
      <c r="AS676" s="27">
        <f t="shared" si="105"/>
        <v>0</v>
      </c>
    </row>
    <row r="677" spans="2:45">
      <c r="B677" s="102" t="str">
        <f>IF(ROW()-6&gt;NumCostCenter,"",IF(CostCenter&lt;&gt;"ALL",CostCenter,DATA_LF2!B675))</f>
        <v/>
      </c>
      <c r="C677" s="153" t="str">
        <f>IF($B677&lt;&gt;"",INDEX(DataOB[],FirstRow+ROW()-7,2),"")</f>
        <v/>
      </c>
      <c r="D677" s="66" t="str">
        <f>IF($B677&lt;&gt;"",INDEX(DataOB[],FirstRow+ROW()-7,3),"")</f>
        <v/>
      </c>
      <c r="E677" s="103" t="str">
        <f>IF($B677&lt;&gt;"",INDEX(DataOB[],FirstRow+ROW()-7,6),"")</f>
        <v/>
      </c>
      <c r="F677" s="103" t="str">
        <f>IF($B677&lt;&gt;"",INDEX(DataOB[],FirstRow+ROW()-7,5),"")</f>
        <v/>
      </c>
      <c r="G677" s="58">
        <f>IF($B677&lt;&gt;"",SUMIFS(DataAct_tbl[AMOUNT],DataAct_tbl[BG CODE],Detail!$D677,DataAct_tbl[MONTH],LEFT(MonthName,3),DataAct_tbl[Dept code],$B677),0)</f>
        <v>0</v>
      </c>
      <c r="H677" s="31" t="str">
        <f t="shared" si="97"/>
        <v/>
      </c>
      <c r="I677" s="28" t="str">
        <f t="shared" si="98"/>
        <v/>
      </c>
      <c r="J677" s="32" t="str">
        <f t="shared" si="99"/>
        <v/>
      </c>
      <c r="K677" s="86"/>
      <c r="L677" s="62">
        <f>IF($B677&lt;&gt;"",SUMIFS(DataAct_tbl[AMOUNT],DataAct_tbl[BG CODE],Detail!$D677,DataAct_tbl[Check Range],"=true",DataAct_tbl[Dept code],$B677),0)</f>
        <v>0</v>
      </c>
      <c r="M677" s="63">
        <f>INDEX($AG$7:$AR$1005,ROW()-6,MATCH(MTD,$AG$6:$AR$6,0))</f>
        <v>0</v>
      </c>
      <c r="N677" s="34">
        <f t="shared" si="100"/>
        <v>0</v>
      </c>
      <c r="O677" s="64" t="str">
        <f t="shared" si="101"/>
        <v xml:space="preserve"> </v>
      </c>
      <c r="Q677" s="97">
        <f t="shared" si="102"/>
        <v>0</v>
      </c>
      <c r="R677" s="96">
        <f t="shared" si="103"/>
        <v>0</v>
      </c>
      <c r="T677" s="67" t="str">
        <f>IF($B677&lt;&gt;"",INDEX(DataOB[],FirstRow+ROW()-7,MATCH(T$6,DataOB[#Headers],0)),"")</f>
        <v/>
      </c>
      <c r="U677" s="67" t="str">
        <f>IF($B677&lt;&gt;"",INDEX(DataOB[],FirstRow+ROW()-7,MATCH(U$6,DataOB[#Headers],0)),"")</f>
        <v/>
      </c>
      <c r="V677" s="67" t="str">
        <f>IF($B677&lt;&gt;"",INDEX(DataOB[],FirstRow+ROW()-7,MATCH(V$6,DataOB[#Headers],0)),"")</f>
        <v/>
      </c>
      <c r="W677" s="67" t="str">
        <f>IF($B677&lt;&gt;"",INDEX(DataOB[],FirstRow+ROW()-7,MATCH(W$6,DataOB[#Headers],0)),"")</f>
        <v/>
      </c>
      <c r="X677" s="67" t="str">
        <f>IF($B677&lt;&gt;"",INDEX(DataOB[],FirstRow+ROW()-7,MATCH(X$6,DataOB[#Headers],0)),"")</f>
        <v/>
      </c>
      <c r="Y677" s="67" t="str">
        <f>IF($B677&lt;&gt;"",INDEX(DataOB[],FirstRow+ROW()-7,MATCH(Y$6,DataOB[#Headers],0)),"")</f>
        <v/>
      </c>
      <c r="Z677" s="67" t="str">
        <f>IF($B677&lt;&gt;"",INDEX(DataOB[],FirstRow+ROW()-7,MATCH(Z$6,DataOB[#Headers],0)),"")</f>
        <v/>
      </c>
      <c r="AA677" s="67" t="str">
        <f>IF($B677&lt;&gt;"",INDEX(DataOB[],FirstRow+ROW()-7,MATCH(AA$6,DataOB[#Headers],0)),"")</f>
        <v/>
      </c>
      <c r="AB677" s="67" t="str">
        <f>IF($B677&lt;&gt;"",INDEX(DataOB[],FirstRow+ROW()-7,MATCH(AB$6,DataOB[#Headers],0)),"")</f>
        <v/>
      </c>
      <c r="AC677" s="67" t="str">
        <f>IF($B677&lt;&gt;"",INDEX(DataOB[],FirstRow+ROW()-7,MATCH(AC$6,DataOB[#Headers],0)),"")</f>
        <v/>
      </c>
      <c r="AD677" s="67" t="str">
        <f>IF($B677&lt;&gt;"",INDEX(DataOB[],FirstRow+ROW()-7,MATCH(AD$6,DataOB[#Headers],0)),"")</f>
        <v/>
      </c>
      <c r="AE677" s="67" t="str">
        <f>IF($B677&lt;&gt;"",INDEX(DataOB[],FirstRow+ROW()-7,MATCH(AE$6,DataOB[#Headers],0)),"")</f>
        <v/>
      </c>
      <c r="AF677" s="26">
        <f t="shared" si="104"/>
        <v>0</v>
      </c>
      <c r="AG677" s="31">
        <f>SUM($T677:T677)</f>
        <v>0</v>
      </c>
      <c r="AH677" s="31">
        <f>SUM($T677:U677)</f>
        <v>0</v>
      </c>
      <c r="AI677" s="31">
        <f>SUM($T677:V677)</f>
        <v>0</v>
      </c>
      <c r="AJ677" s="31">
        <f>SUM($T677:W677)</f>
        <v>0</v>
      </c>
      <c r="AK677" s="31">
        <f>SUM($T677:X677)</f>
        <v>0</v>
      </c>
      <c r="AL677" s="31">
        <f>SUM($T677:Y677)</f>
        <v>0</v>
      </c>
      <c r="AM677" s="31">
        <f>SUM($T677:Z677)</f>
        <v>0</v>
      </c>
      <c r="AN677" s="31">
        <f>SUM($T677:AA677)</f>
        <v>0</v>
      </c>
      <c r="AO677" s="31">
        <f>SUM($T677:AB677)</f>
        <v>0</v>
      </c>
      <c r="AP677" s="31">
        <f>SUM($T677:AC677)</f>
        <v>0</v>
      </c>
      <c r="AQ677" s="31">
        <f>SUM($T677:AD677)</f>
        <v>0</v>
      </c>
      <c r="AR677" s="31">
        <f>SUM($T677:AE677)</f>
        <v>0</v>
      </c>
      <c r="AS677" s="27">
        <f t="shared" si="105"/>
        <v>0</v>
      </c>
    </row>
    <row r="678" spans="2:45">
      <c r="B678" s="102" t="str">
        <f>IF(ROW()-6&gt;NumCostCenter,"",IF(CostCenter&lt;&gt;"ALL",CostCenter,DATA_LF2!B676))</f>
        <v/>
      </c>
      <c r="C678" s="153" t="str">
        <f>IF($B678&lt;&gt;"",INDEX(DataOB[],FirstRow+ROW()-7,2),"")</f>
        <v/>
      </c>
      <c r="D678" s="66" t="str">
        <f>IF($B678&lt;&gt;"",INDEX(DataOB[],FirstRow+ROW()-7,3),"")</f>
        <v/>
      </c>
      <c r="E678" s="103" t="str">
        <f>IF($B678&lt;&gt;"",INDEX(DataOB[],FirstRow+ROW()-7,6),"")</f>
        <v/>
      </c>
      <c r="F678" s="103" t="str">
        <f>IF($B678&lt;&gt;"",INDEX(DataOB[],FirstRow+ROW()-7,5),"")</f>
        <v/>
      </c>
      <c r="G678" s="58">
        <f>IF($B678&lt;&gt;"",SUMIFS(DataAct_tbl[AMOUNT],DataAct_tbl[BG CODE],Detail!$D678,DataAct_tbl[MONTH],LEFT(MonthName,3),DataAct_tbl[Dept code],$B678),0)</f>
        <v>0</v>
      </c>
      <c r="H678" s="31" t="str">
        <f t="shared" si="97"/>
        <v/>
      </c>
      <c r="I678" s="28" t="str">
        <f t="shared" si="98"/>
        <v/>
      </c>
      <c r="J678" s="32" t="str">
        <f t="shared" si="99"/>
        <v/>
      </c>
      <c r="K678" s="86"/>
      <c r="L678" s="62">
        <f>IF($B678&lt;&gt;"",SUMIFS(DataAct_tbl[AMOUNT],DataAct_tbl[BG CODE],Detail!$D678,DataAct_tbl[Check Range],"=true",DataAct_tbl[Dept code],$B678),0)</f>
        <v>0</v>
      </c>
      <c r="M678" s="63">
        <f>INDEX($AG$7:$AR$1005,ROW()-6,MATCH(MTD,$AG$6:$AR$6,0))</f>
        <v>0</v>
      </c>
      <c r="N678" s="34">
        <f t="shared" si="100"/>
        <v>0</v>
      </c>
      <c r="O678" s="64" t="str">
        <f t="shared" si="101"/>
        <v xml:space="preserve"> </v>
      </c>
      <c r="Q678" s="97">
        <f t="shared" si="102"/>
        <v>0</v>
      </c>
      <c r="R678" s="96">
        <f t="shared" si="103"/>
        <v>0</v>
      </c>
      <c r="T678" s="67" t="str">
        <f>IF($B678&lt;&gt;"",INDEX(DataOB[],FirstRow+ROW()-7,MATCH(T$6,DataOB[#Headers],0)),"")</f>
        <v/>
      </c>
      <c r="U678" s="67" t="str">
        <f>IF($B678&lt;&gt;"",INDEX(DataOB[],FirstRow+ROW()-7,MATCH(U$6,DataOB[#Headers],0)),"")</f>
        <v/>
      </c>
      <c r="V678" s="67" t="str">
        <f>IF($B678&lt;&gt;"",INDEX(DataOB[],FirstRow+ROW()-7,MATCH(V$6,DataOB[#Headers],0)),"")</f>
        <v/>
      </c>
      <c r="W678" s="67" t="str">
        <f>IF($B678&lt;&gt;"",INDEX(DataOB[],FirstRow+ROW()-7,MATCH(W$6,DataOB[#Headers],0)),"")</f>
        <v/>
      </c>
      <c r="X678" s="67" t="str">
        <f>IF($B678&lt;&gt;"",INDEX(DataOB[],FirstRow+ROW()-7,MATCH(X$6,DataOB[#Headers],0)),"")</f>
        <v/>
      </c>
      <c r="Y678" s="67" t="str">
        <f>IF($B678&lt;&gt;"",INDEX(DataOB[],FirstRow+ROW()-7,MATCH(Y$6,DataOB[#Headers],0)),"")</f>
        <v/>
      </c>
      <c r="Z678" s="67" t="str">
        <f>IF($B678&lt;&gt;"",INDEX(DataOB[],FirstRow+ROW()-7,MATCH(Z$6,DataOB[#Headers],0)),"")</f>
        <v/>
      </c>
      <c r="AA678" s="67" t="str">
        <f>IF($B678&lt;&gt;"",INDEX(DataOB[],FirstRow+ROW()-7,MATCH(AA$6,DataOB[#Headers],0)),"")</f>
        <v/>
      </c>
      <c r="AB678" s="67" t="str">
        <f>IF($B678&lt;&gt;"",INDEX(DataOB[],FirstRow+ROW()-7,MATCH(AB$6,DataOB[#Headers],0)),"")</f>
        <v/>
      </c>
      <c r="AC678" s="67" t="str">
        <f>IF($B678&lt;&gt;"",INDEX(DataOB[],FirstRow+ROW()-7,MATCH(AC$6,DataOB[#Headers],0)),"")</f>
        <v/>
      </c>
      <c r="AD678" s="67" t="str">
        <f>IF($B678&lt;&gt;"",INDEX(DataOB[],FirstRow+ROW()-7,MATCH(AD$6,DataOB[#Headers],0)),"")</f>
        <v/>
      </c>
      <c r="AE678" s="67" t="str">
        <f>IF($B678&lt;&gt;"",INDEX(DataOB[],FirstRow+ROW()-7,MATCH(AE$6,DataOB[#Headers],0)),"")</f>
        <v/>
      </c>
      <c r="AF678" s="26">
        <f t="shared" si="104"/>
        <v>0</v>
      </c>
      <c r="AG678" s="31">
        <f>SUM($T678:T678)</f>
        <v>0</v>
      </c>
      <c r="AH678" s="31">
        <f>SUM($T678:U678)</f>
        <v>0</v>
      </c>
      <c r="AI678" s="31">
        <f>SUM($T678:V678)</f>
        <v>0</v>
      </c>
      <c r="AJ678" s="31">
        <f>SUM($T678:W678)</f>
        <v>0</v>
      </c>
      <c r="AK678" s="31">
        <f>SUM($T678:X678)</f>
        <v>0</v>
      </c>
      <c r="AL678" s="31">
        <f>SUM($T678:Y678)</f>
        <v>0</v>
      </c>
      <c r="AM678" s="31">
        <f>SUM($T678:Z678)</f>
        <v>0</v>
      </c>
      <c r="AN678" s="31">
        <f>SUM($T678:AA678)</f>
        <v>0</v>
      </c>
      <c r="AO678" s="31">
        <f>SUM($T678:AB678)</f>
        <v>0</v>
      </c>
      <c r="AP678" s="31">
        <f>SUM($T678:AC678)</f>
        <v>0</v>
      </c>
      <c r="AQ678" s="31">
        <f>SUM($T678:AD678)</f>
        <v>0</v>
      </c>
      <c r="AR678" s="31">
        <f>SUM($T678:AE678)</f>
        <v>0</v>
      </c>
      <c r="AS678" s="27">
        <f t="shared" si="105"/>
        <v>0</v>
      </c>
    </row>
    <row r="679" spans="2:45">
      <c r="B679" s="102" t="str">
        <f>IF(ROW()-6&gt;NumCostCenter,"",IF(CostCenter&lt;&gt;"ALL",CostCenter,DATA_LF2!B677))</f>
        <v/>
      </c>
      <c r="C679" s="153" t="str">
        <f>IF($B679&lt;&gt;"",INDEX(DataOB[],FirstRow+ROW()-7,2),"")</f>
        <v/>
      </c>
      <c r="D679" s="66" t="str">
        <f>IF($B679&lt;&gt;"",INDEX(DataOB[],FirstRow+ROW()-7,3),"")</f>
        <v/>
      </c>
      <c r="E679" s="103" t="str">
        <f>IF($B679&lt;&gt;"",INDEX(DataOB[],FirstRow+ROW()-7,6),"")</f>
        <v/>
      </c>
      <c r="F679" s="103" t="str">
        <f>IF($B679&lt;&gt;"",INDEX(DataOB[],FirstRow+ROW()-7,5),"")</f>
        <v/>
      </c>
      <c r="G679" s="58">
        <f>IF($B679&lt;&gt;"",SUMIFS(DataAct_tbl[AMOUNT],DataAct_tbl[BG CODE],Detail!$D679,DataAct_tbl[MONTH],LEFT(MonthName,3),DataAct_tbl[Dept code],$B679),0)</f>
        <v>0</v>
      </c>
      <c r="H679" s="31" t="str">
        <f t="shared" si="97"/>
        <v/>
      </c>
      <c r="I679" s="28" t="str">
        <f t="shared" si="98"/>
        <v/>
      </c>
      <c r="J679" s="32" t="str">
        <f t="shared" si="99"/>
        <v/>
      </c>
      <c r="K679" s="86"/>
      <c r="L679" s="62">
        <f>IF($B679&lt;&gt;"",SUMIFS(DataAct_tbl[AMOUNT],DataAct_tbl[BG CODE],Detail!$D679,DataAct_tbl[Check Range],"=true",DataAct_tbl[Dept code],$B679),0)</f>
        <v>0</v>
      </c>
      <c r="M679" s="63">
        <f>INDEX($AG$7:$AR$1005,ROW()-6,MATCH(MTD,$AG$6:$AR$6,0))</f>
        <v>0</v>
      </c>
      <c r="N679" s="34">
        <f t="shared" si="100"/>
        <v>0</v>
      </c>
      <c r="O679" s="64" t="str">
        <f t="shared" si="101"/>
        <v xml:space="preserve"> </v>
      </c>
      <c r="Q679" s="97">
        <f t="shared" si="102"/>
        <v>0</v>
      </c>
      <c r="R679" s="96">
        <f t="shared" si="103"/>
        <v>0</v>
      </c>
      <c r="T679" s="67" t="str">
        <f>IF($B679&lt;&gt;"",INDEX(DataOB[],FirstRow+ROW()-7,MATCH(T$6,DataOB[#Headers],0)),"")</f>
        <v/>
      </c>
      <c r="U679" s="67" t="str">
        <f>IF($B679&lt;&gt;"",INDEX(DataOB[],FirstRow+ROW()-7,MATCH(U$6,DataOB[#Headers],0)),"")</f>
        <v/>
      </c>
      <c r="V679" s="67" t="str">
        <f>IF($B679&lt;&gt;"",INDEX(DataOB[],FirstRow+ROW()-7,MATCH(V$6,DataOB[#Headers],0)),"")</f>
        <v/>
      </c>
      <c r="W679" s="67" t="str">
        <f>IF($B679&lt;&gt;"",INDEX(DataOB[],FirstRow+ROW()-7,MATCH(W$6,DataOB[#Headers],0)),"")</f>
        <v/>
      </c>
      <c r="X679" s="67" t="str">
        <f>IF($B679&lt;&gt;"",INDEX(DataOB[],FirstRow+ROW()-7,MATCH(X$6,DataOB[#Headers],0)),"")</f>
        <v/>
      </c>
      <c r="Y679" s="67" t="str">
        <f>IF($B679&lt;&gt;"",INDEX(DataOB[],FirstRow+ROW()-7,MATCH(Y$6,DataOB[#Headers],0)),"")</f>
        <v/>
      </c>
      <c r="Z679" s="67" t="str">
        <f>IF($B679&lt;&gt;"",INDEX(DataOB[],FirstRow+ROW()-7,MATCH(Z$6,DataOB[#Headers],0)),"")</f>
        <v/>
      </c>
      <c r="AA679" s="67" t="str">
        <f>IF($B679&lt;&gt;"",INDEX(DataOB[],FirstRow+ROW()-7,MATCH(AA$6,DataOB[#Headers],0)),"")</f>
        <v/>
      </c>
      <c r="AB679" s="67" t="str">
        <f>IF($B679&lt;&gt;"",INDEX(DataOB[],FirstRow+ROW()-7,MATCH(AB$6,DataOB[#Headers],0)),"")</f>
        <v/>
      </c>
      <c r="AC679" s="67" t="str">
        <f>IF($B679&lt;&gt;"",INDEX(DataOB[],FirstRow+ROW()-7,MATCH(AC$6,DataOB[#Headers],0)),"")</f>
        <v/>
      </c>
      <c r="AD679" s="67" t="str">
        <f>IF($B679&lt;&gt;"",INDEX(DataOB[],FirstRow+ROW()-7,MATCH(AD$6,DataOB[#Headers],0)),"")</f>
        <v/>
      </c>
      <c r="AE679" s="67" t="str">
        <f>IF($B679&lt;&gt;"",INDEX(DataOB[],FirstRow+ROW()-7,MATCH(AE$6,DataOB[#Headers],0)),"")</f>
        <v/>
      </c>
      <c r="AF679" s="26">
        <f t="shared" si="104"/>
        <v>0</v>
      </c>
      <c r="AG679" s="31">
        <f>SUM($T679:T679)</f>
        <v>0</v>
      </c>
      <c r="AH679" s="31">
        <f>SUM($T679:U679)</f>
        <v>0</v>
      </c>
      <c r="AI679" s="31">
        <f>SUM($T679:V679)</f>
        <v>0</v>
      </c>
      <c r="AJ679" s="31">
        <f>SUM($T679:W679)</f>
        <v>0</v>
      </c>
      <c r="AK679" s="31">
        <f>SUM($T679:X679)</f>
        <v>0</v>
      </c>
      <c r="AL679" s="31">
        <f>SUM($T679:Y679)</f>
        <v>0</v>
      </c>
      <c r="AM679" s="31">
        <f>SUM($T679:Z679)</f>
        <v>0</v>
      </c>
      <c r="AN679" s="31">
        <f>SUM($T679:AA679)</f>
        <v>0</v>
      </c>
      <c r="AO679" s="31">
        <f>SUM($T679:AB679)</f>
        <v>0</v>
      </c>
      <c r="AP679" s="31">
        <f>SUM($T679:AC679)</f>
        <v>0</v>
      </c>
      <c r="AQ679" s="31">
        <f>SUM($T679:AD679)</f>
        <v>0</v>
      </c>
      <c r="AR679" s="31">
        <f>SUM($T679:AE679)</f>
        <v>0</v>
      </c>
      <c r="AS679" s="27">
        <f t="shared" si="105"/>
        <v>0</v>
      </c>
    </row>
    <row r="680" spans="2:45">
      <c r="B680" s="102" t="str">
        <f>IF(ROW()-6&gt;NumCostCenter,"",IF(CostCenter&lt;&gt;"ALL",CostCenter,DATA_LF2!B678))</f>
        <v/>
      </c>
      <c r="C680" s="153" t="str">
        <f>IF($B680&lt;&gt;"",INDEX(DataOB[],FirstRow+ROW()-7,2),"")</f>
        <v/>
      </c>
      <c r="D680" s="66" t="str">
        <f>IF($B680&lt;&gt;"",INDEX(DataOB[],FirstRow+ROW()-7,3),"")</f>
        <v/>
      </c>
      <c r="E680" s="103" t="str">
        <f>IF($B680&lt;&gt;"",INDEX(DataOB[],FirstRow+ROW()-7,6),"")</f>
        <v/>
      </c>
      <c r="F680" s="103" t="str">
        <f>IF($B680&lt;&gt;"",INDEX(DataOB[],FirstRow+ROW()-7,5),"")</f>
        <v/>
      </c>
      <c r="G680" s="58">
        <f>IF($B680&lt;&gt;"",SUMIFS(DataAct_tbl[AMOUNT],DataAct_tbl[BG CODE],Detail!$D680,DataAct_tbl[MONTH],LEFT(MonthName,3),DataAct_tbl[Dept code],$B680),0)</f>
        <v>0</v>
      </c>
      <c r="H680" s="31" t="str">
        <f t="shared" si="97"/>
        <v/>
      </c>
      <c r="I680" s="28" t="str">
        <f t="shared" si="98"/>
        <v/>
      </c>
      <c r="J680" s="32" t="str">
        <f t="shared" si="99"/>
        <v/>
      </c>
      <c r="K680" s="86"/>
      <c r="L680" s="62">
        <f>IF($B680&lt;&gt;"",SUMIFS(DataAct_tbl[AMOUNT],DataAct_tbl[BG CODE],Detail!$D680,DataAct_tbl[Check Range],"=true",DataAct_tbl[Dept code],$B680),0)</f>
        <v>0</v>
      </c>
      <c r="M680" s="63">
        <f>INDEX($AG$7:$AR$1005,ROW()-6,MATCH(MTD,$AG$6:$AR$6,0))</f>
        <v>0</v>
      </c>
      <c r="N680" s="34">
        <f t="shared" si="100"/>
        <v>0</v>
      </c>
      <c r="O680" s="64" t="str">
        <f t="shared" si="101"/>
        <v xml:space="preserve"> </v>
      </c>
      <c r="Q680" s="97">
        <f t="shared" si="102"/>
        <v>0</v>
      </c>
      <c r="R680" s="96">
        <f t="shared" si="103"/>
        <v>0</v>
      </c>
      <c r="T680" s="67" t="str">
        <f>IF($B680&lt;&gt;"",INDEX(DataOB[],FirstRow+ROW()-7,MATCH(T$6,DataOB[#Headers],0)),"")</f>
        <v/>
      </c>
      <c r="U680" s="67" t="str">
        <f>IF($B680&lt;&gt;"",INDEX(DataOB[],FirstRow+ROW()-7,MATCH(U$6,DataOB[#Headers],0)),"")</f>
        <v/>
      </c>
      <c r="V680" s="67" t="str">
        <f>IF($B680&lt;&gt;"",INDEX(DataOB[],FirstRow+ROW()-7,MATCH(V$6,DataOB[#Headers],0)),"")</f>
        <v/>
      </c>
      <c r="W680" s="67" t="str">
        <f>IF($B680&lt;&gt;"",INDEX(DataOB[],FirstRow+ROW()-7,MATCH(W$6,DataOB[#Headers],0)),"")</f>
        <v/>
      </c>
      <c r="X680" s="67" t="str">
        <f>IF($B680&lt;&gt;"",INDEX(DataOB[],FirstRow+ROW()-7,MATCH(X$6,DataOB[#Headers],0)),"")</f>
        <v/>
      </c>
      <c r="Y680" s="67" t="str">
        <f>IF($B680&lt;&gt;"",INDEX(DataOB[],FirstRow+ROW()-7,MATCH(Y$6,DataOB[#Headers],0)),"")</f>
        <v/>
      </c>
      <c r="Z680" s="67" t="str">
        <f>IF($B680&lt;&gt;"",INDEX(DataOB[],FirstRow+ROW()-7,MATCH(Z$6,DataOB[#Headers],0)),"")</f>
        <v/>
      </c>
      <c r="AA680" s="67" t="str">
        <f>IF($B680&lt;&gt;"",INDEX(DataOB[],FirstRow+ROW()-7,MATCH(AA$6,DataOB[#Headers],0)),"")</f>
        <v/>
      </c>
      <c r="AB680" s="67" t="str">
        <f>IF($B680&lt;&gt;"",INDEX(DataOB[],FirstRow+ROW()-7,MATCH(AB$6,DataOB[#Headers],0)),"")</f>
        <v/>
      </c>
      <c r="AC680" s="67" t="str">
        <f>IF($B680&lt;&gt;"",INDEX(DataOB[],FirstRow+ROW()-7,MATCH(AC$6,DataOB[#Headers],0)),"")</f>
        <v/>
      </c>
      <c r="AD680" s="67" t="str">
        <f>IF($B680&lt;&gt;"",INDEX(DataOB[],FirstRow+ROW()-7,MATCH(AD$6,DataOB[#Headers],0)),"")</f>
        <v/>
      </c>
      <c r="AE680" s="67" t="str">
        <f>IF($B680&lt;&gt;"",INDEX(DataOB[],FirstRow+ROW()-7,MATCH(AE$6,DataOB[#Headers],0)),"")</f>
        <v/>
      </c>
      <c r="AF680" s="26">
        <f t="shared" si="104"/>
        <v>0</v>
      </c>
      <c r="AG680" s="31">
        <f>SUM($T680:T680)</f>
        <v>0</v>
      </c>
      <c r="AH680" s="31">
        <f>SUM($T680:U680)</f>
        <v>0</v>
      </c>
      <c r="AI680" s="31">
        <f>SUM($T680:V680)</f>
        <v>0</v>
      </c>
      <c r="AJ680" s="31">
        <f>SUM($T680:W680)</f>
        <v>0</v>
      </c>
      <c r="AK680" s="31">
        <f>SUM($T680:X680)</f>
        <v>0</v>
      </c>
      <c r="AL680" s="31">
        <f>SUM($T680:Y680)</f>
        <v>0</v>
      </c>
      <c r="AM680" s="31">
        <f>SUM($T680:Z680)</f>
        <v>0</v>
      </c>
      <c r="AN680" s="31">
        <f>SUM($T680:AA680)</f>
        <v>0</v>
      </c>
      <c r="AO680" s="31">
        <f>SUM($T680:AB680)</f>
        <v>0</v>
      </c>
      <c r="AP680" s="31">
        <f>SUM($T680:AC680)</f>
        <v>0</v>
      </c>
      <c r="AQ680" s="31">
        <f>SUM($T680:AD680)</f>
        <v>0</v>
      </c>
      <c r="AR680" s="31">
        <f>SUM($T680:AE680)</f>
        <v>0</v>
      </c>
      <c r="AS680" s="27">
        <f t="shared" si="105"/>
        <v>0</v>
      </c>
    </row>
    <row r="681" spans="2:45">
      <c r="B681" s="102" t="str">
        <f>IF(ROW()-6&gt;NumCostCenter,"",IF(CostCenter&lt;&gt;"ALL",CostCenter,DATA_LF2!B679))</f>
        <v/>
      </c>
      <c r="C681" s="153" t="str">
        <f>IF($B681&lt;&gt;"",INDEX(DataOB[],FirstRow+ROW()-7,2),"")</f>
        <v/>
      </c>
      <c r="D681" s="66" t="str">
        <f>IF($B681&lt;&gt;"",INDEX(DataOB[],FirstRow+ROW()-7,3),"")</f>
        <v/>
      </c>
      <c r="E681" s="103" t="str">
        <f>IF($B681&lt;&gt;"",INDEX(DataOB[],FirstRow+ROW()-7,6),"")</f>
        <v/>
      </c>
      <c r="F681" s="103" t="str">
        <f>IF($B681&lt;&gt;"",INDEX(DataOB[],FirstRow+ROW()-7,5),"")</f>
        <v/>
      </c>
      <c r="G681" s="58">
        <f>IF($B681&lt;&gt;"",SUMIFS(DataAct_tbl[AMOUNT],DataAct_tbl[BG CODE],Detail!$D681,DataAct_tbl[MONTH],LEFT(MonthName,3),DataAct_tbl[Dept code],$B681),0)</f>
        <v>0</v>
      </c>
      <c r="H681" s="31" t="str">
        <f t="shared" si="97"/>
        <v/>
      </c>
      <c r="I681" s="28" t="str">
        <f t="shared" si="98"/>
        <v/>
      </c>
      <c r="J681" s="32" t="str">
        <f t="shared" si="99"/>
        <v/>
      </c>
      <c r="K681" s="86"/>
      <c r="L681" s="62">
        <f>IF($B681&lt;&gt;"",SUMIFS(DataAct_tbl[AMOUNT],DataAct_tbl[BG CODE],Detail!$D681,DataAct_tbl[Check Range],"=true",DataAct_tbl[Dept code],$B681),0)</f>
        <v>0</v>
      </c>
      <c r="M681" s="63">
        <f>INDEX($AG$7:$AR$1005,ROW()-6,MATCH(MTD,$AG$6:$AR$6,0))</f>
        <v>0</v>
      </c>
      <c r="N681" s="34">
        <f t="shared" si="100"/>
        <v>0</v>
      </c>
      <c r="O681" s="64" t="str">
        <f t="shared" si="101"/>
        <v xml:space="preserve"> </v>
      </c>
      <c r="Q681" s="97">
        <f t="shared" si="102"/>
        <v>0</v>
      </c>
      <c r="R681" s="96">
        <f t="shared" si="103"/>
        <v>0</v>
      </c>
      <c r="T681" s="67" t="str">
        <f>IF($B681&lt;&gt;"",INDEX(DataOB[],FirstRow+ROW()-7,MATCH(T$6,DataOB[#Headers],0)),"")</f>
        <v/>
      </c>
      <c r="U681" s="67" t="str">
        <f>IF($B681&lt;&gt;"",INDEX(DataOB[],FirstRow+ROW()-7,MATCH(U$6,DataOB[#Headers],0)),"")</f>
        <v/>
      </c>
      <c r="V681" s="67" t="str">
        <f>IF($B681&lt;&gt;"",INDEX(DataOB[],FirstRow+ROW()-7,MATCH(V$6,DataOB[#Headers],0)),"")</f>
        <v/>
      </c>
      <c r="W681" s="67" t="str">
        <f>IF($B681&lt;&gt;"",INDEX(DataOB[],FirstRow+ROW()-7,MATCH(W$6,DataOB[#Headers],0)),"")</f>
        <v/>
      </c>
      <c r="X681" s="67" t="str">
        <f>IF($B681&lt;&gt;"",INDEX(DataOB[],FirstRow+ROW()-7,MATCH(X$6,DataOB[#Headers],0)),"")</f>
        <v/>
      </c>
      <c r="Y681" s="67" t="str">
        <f>IF($B681&lt;&gt;"",INDEX(DataOB[],FirstRow+ROW()-7,MATCH(Y$6,DataOB[#Headers],0)),"")</f>
        <v/>
      </c>
      <c r="Z681" s="67" t="str">
        <f>IF($B681&lt;&gt;"",INDEX(DataOB[],FirstRow+ROW()-7,MATCH(Z$6,DataOB[#Headers],0)),"")</f>
        <v/>
      </c>
      <c r="AA681" s="67" t="str">
        <f>IF($B681&lt;&gt;"",INDEX(DataOB[],FirstRow+ROW()-7,MATCH(AA$6,DataOB[#Headers],0)),"")</f>
        <v/>
      </c>
      <c r="AB681" s="67" t="str">
        <f>IF($B681&lt;&gt;"",INDEX(DataOB[],FirstRow+ROW()-7,MATCH(AB$6,DataOB[#Headers],0)),"")</f>
        <v/>
      </c>
      <c r="AC681" s="67" t="str">
        <f>IF($B681&lt;&gt;"",INDEX(DataOB[],FirstRow+ROW()-7,MATCH(AC$6,DataOB[#Headers],0)),"")</f>
        <v/>
      </c>
      <c r="AD681" s="67" t="str">
        <f>IF($B681&lt;&gt;"",INDEX(DataOB[],FirstRow+ROW()-7,MATCH(AD$6,DataOB[#Headers],0)),"")</f>
        <v/>
      </c>
      <c r="AE681" s="67" t="str">
        <f>IF($B681&lt;&gt;"",INDEX(DataOB[],FirstRow+ROW()-7,MATCH(AE$6,DataOB[#Headers],0)),"")</f>
        <v/>
      </c>
      <c r="AF681" s="26">
        <f t="shared" si="104"/>
        <v>0</v>
      </c>
      <c r="AG681" s="31">
        <f>SUM($T681:T681)</f>
        <v>0</v>
      </c>
      <c r="AH681" s="31">
        <f>SUM($T681:U681)</f>
        <v>0</v>
      </c>
      <c r="AI681" s="31">
        <f>SUM($T681:V681)</f>
        <v>0</v>
      </c>
      <c r="AJ681" s="31">
        <f>SUM($T681:W681)</f>
        <v>0</v>
      </c>
      <c r="AK681" s="31">
        <f>SUM($T681:X681)</f>
        <v>0</v>
      </c>
      <c r="AL681" s="31">
        <f>SUM($T681:Y681)</f>
        <v>0</v>
      </c>
      <c r="AM681" s="31">
        <f>SUM($T681:Z681)</f>
        <v>0</v>
      </c>
      <c r="AN681" s="31">
        <f>SUM($T681:AA681)</f>
        <v>0</v>
      </c>
      <c r="AO681" s="31">
        <f>SUM($T681:AB681)</f>
        <v>0</v>
      </c>
      <c r="AP681" s="31">
        <f>SUM($T681:AC681)</f>
        <v>0</v>
      </c>
      <c r="AQ681" s="31">
        <f>SUM($T681:AD681)</f>
        <v>0</v>
      </c>
      <c r="AR681" s="31">
        <f>SUM($T681:AE681)</f>
        <v>0</v>
      </c>
      <c r="AS681" s="27">
        <f t="shared" si="105"/>
        <v>0</v>
      </c>
    </row>
    <row r="682" spans="2:45">
      <c r="B682" s="102" t="str">
        <f>IF(ROW()-6&gt;NumCostCenter,"",IF(CostCenter&lt;&gt;"ALL",CostCenter,DATA_LF2!B680))</f>
        <v/>
      </c>
      <c r="C682" s="153" t="str">
        <f>IF($B682&lt;&gt;"",INDEX(DataOB[],FirstRow+ROW()-7,2),"")</f>
        <v/>
      </c>
      <c r="D682" s="66" t="str">
        <f>IF($B682&lt;&gt;"",INDEX(DataOB[],FirstRow+ROW()-7,3),"")</f>
        <v/>
      </c>
      <c r="E682" s="103" t="str">
        <f>IF($B682&lt;&gt;"",INDEX(DataOB[],FirstRow+ROW()-7,6),"")</f>
        <v/>
      </c>
      <c r="F682" s="103" t="str">
        <f>IF($B682&lt;&gt;"",INDEX(DataOB[],FirstRow+ROW()-7,5),"")</f>
        <v/>
      </c>
      <c r="G682" s="58">
        <f>IF($B682&lt;&gt;"",SUMIFS(DataAct_tbl[AMOUNT],DataAct_tbl[BG CODE],Detail!$D682,DataAct_tbl[MONTH],LEFT(MonthName,3),DataAct_tbl[Dept code],$B682),0)</f>
        <v>0</v>
      </c>
      <c r="H682" s="31" t="str">
        <f t="shared" si="97"/>
        <v/>
      </c>
      <c r="I682" s="28" t="str">
        <f t="shared" si="98"/>
        <v/>
      </c>
      <c r="J682" s="32" t="str">
        <f t="shared" si="99"/>
        <v/>
      </c>
      <c r="K682" s="86"/>
      <c r="L682" s="62">
        <f>IF($B682&lt;&gt;"",SUMIFS(DataAct_tbl[AMOUNT],DataAct_tbl[BG CODE],Detail!$D682,DataAct_tbl[Check Range],"=true",DataAct_tbl[Dept code],$B682),0)</f>
        <v>0</v>
      </c>
      <c r="M682" s="63">
        <f>INDEX($AG$7:$AR$1005,ROW()-6,MATCH(MTD,$AG$6:$AR$6,0))</f>
        <v>0</v>
      </c>
      <c r="N682" s="34">
        <f t="shared" si="100"/>
        <v>0</v>
      </c>
      <c r="O682" s="64" t="str">
        <f t="shared" si="101"/>
        <v xml:space="preserve"> </v>
      </c>
      <c r="Q682" s="97">
        <f t="shared" si="102"/>
        <v>0</v>
      </c>
      <c r="R682" s="96">
        <f t="shared" si="103"/>
        <v>0</v>
      </c>
      <c r="T682" s="67" t="str">
        <f>IF($B682&lt;&gt;"",INDEX(DataOB[],FirstRow+ROW()-7,MATCH(T$6,DataOB[#Headers],0)),"")</f>
        <v/>
      </c>
      <c r="U682" s="67" t="str">
        <f>IF($B682&lt;&gt;"",INDEX(DataOB[],FirstRow+ROW()-7,MATCH(U$6,DataOB[#Headers],0)),"")</f>
        <v/>
      </c>
      <c r="V682" s="67" t="str">
        <f>IF($B682&lt;&gt;"",INDEX(DataOB[],FirstRow+ROW()-7,MATCH(V$6,DataOB[#Headers],0)),"")</f>
        <v/>
      </c>
      <c r="W682" s="67" t="str">
        <f>IF($B682&lt;&gt;"",INDEX(DataOB[],FirstRow+ROW()-7,MATCH(W$6,DataOB[#Headers],0)),"")</f>
        <v/>
      </c>
      <c r="X682" s="67" t="str">
        <f>IF($B682&lt;&gt;"",INDEX(DataOB[],FirstRow+ROW()-7,MATCH(X$6,DataOB[#Headers],0)),"")</f>
        <v/>
      </c>
      <c r="Y682" s="67" t="str">
        <f>IF($B682&lt;&gt;"",INDEX(DataOB[],FirstRow+ROW()-7,MATCH(Y$6,DataOB[#Headers],0)),"")</f>
        <v/>
      </c>
      <c r="Z682" s="67" t="str">
        <f>IF($B682&lt;&gt;"",INDEX(DataOB[],FirstRow+ROW()-7,MATCH(Z$6,DataOB[#Headers],0)),"")</f>
        <v/>
      </c>
      <c r="AA682" s="67" t="str">
        <f>IF($B682&lt;&gt;"",INDEX(DataOB[],FirstRow+ROW()-7,MATCH(AA$6,DataOB[#Headers],0)),"")</f>
        <v/>
      </c>
      <c r="AB682" s="67" t="str">
        <f>IF($B682&lt;&gt;"",INDEX(DataOB[],FirstRow+ROW()-7,MATCH(AB$6,DataOB[#Headers],0)),"")</f>
        <v/>
      </c>
      <c r="AC682" s="67" t="str">
        <f>IF($B682&lt;&gt;"",INDEX(DataOB[],FirstRow+ROW()-7,MATCH(AC$6,DataOB[#Headers],0)),"")</f>
        <v/>
      </c>
      <c r="AD682" s="67" t="str">
        <f>IF($B682&lt;&gt;"",INDEX(DataOB[],FirstRow+ROW()-7,MATCH(AD$6,DataOB[#Headers],0)),"")</f>
        <v/>
      </c>
      <c r="AE682" s="67" t="str">
        <f>IF($B682&lt;&gt;"",INDEX(DataOB[],FirstRow+ROW()-7,MATCH(AE$6,DataOB[#Headers],0)),"")</f>
        <v/>
      </c>
      <c r="AF682" s="26">
        <f t="shared" si="104"/>
        <v>0</v>
      </c>
      <c r="AG682" s="31">
        <f>SUM($T682:T682)</f>
        <v>0</v>
      </c>
      <c r="AH682" s="31">
        <f>SUM($T682:U682)</f>
        <v>0</v>
      </c>
      <c r="AI682" s="31">
        <f>SUM($T682:V682)</f>
        <v>0</v>
      </c>
      <c r="AJ682" s="31">
        <f>SUM($T682:W682)</f>
        <v>0</v>
      </c>
      <c r="AK682" s="31">
        <f>SUM($T682:X682)</f>
        <v>0</v>
      </c>
      <c r="AL682" s="31">
        <f>SUM($T682:Y682)</f>
        <v>0</v>
      </c>
      <c r="AM682" s="31">
        <f>SUM($T682:Z682)</f>
        <v>0</v>
      </c>
      <c r="AN682" s="31">
        <f>SUM($T682:AA682)</f>
        <v>0</v>
      </c>
      <c r="AO682" s="31">
        <f>SUM($T682:AB682)</f>
        <v>0</v>
      </c>
      <c r="AP682" s="31">
        <f>SUM($T682:AC682)</f>
        <v>0</v>
      </c>
      <c r="AQ682" s="31">
        <f>SUM($T682:AD682)</f>
        <v>0</v>
      </c>
      <c r="AR682" s="31">
        <f>SUM($T682:AE682)</f>
        <v>0</v>
      </c>
      <c r="AS682" s="27">
        <f t="shared" si="105"/>
        <v>0</v>
      </c>
    </row>
    <row r="683" spans="2:45">
      <c r="B683" s="102" t="str">
        <f>IF(ROW()-6&gt;NumCostCenter,"",IF(CostCenter&lt;&gt;"ALL",CostCenter,DATA_LF2!B681))</f>
        <v/>
      </c>
      <c r="C683" s="153" t="str">
        <f>IF($B683&lt;&gt;"",INDEX(DataOB[],FirstRow+ROW()-7,2),"")</f>
        <v/>
      </c>
      <c r="D683" s="66" t="str">
        <f>IF($B683&lt;&gt;"",INDEX(DataOB[],FirstRow+ROW()-7,3),"")</f>
        <v/>
      </c>
      <c r="E683" s="103" t="str">
        <f>IF($B683&lt;&gt;"",INDEX(DataOB[],FirstRow+ROW()-7,6),"")</f>
        <v/>
      </c>
      <c r="F683" s="103" t="str">
        <f>IF($B683&lt;&gt;"",INDEX(DataOB[],FirstRow+ROW()-7,5),"")</f>
        <v/>
      </c>
      <c r="G683" s="58">
        <f>IF($B683&lt;&gt;"",SUMIFS(DataAct_tbl[AMOUNT],DataAct_tbl[BG CODE],Detail!$D683,DataAct_tbl[MONTH],LEFT(MonthName,3),DataAct_tbl[Dept code],$B683),0)</f>
        <v>0</v>
      </c>
      <c r="H683" s="31" t="str">
        <f t="shared" si="97"/>
        <v/>
      </c>
      <c r="I683" s="28" t="str">
        <f t="shared" si="98"/>
        <v/>
      </c>
      <c r="J683" s="32" t="str">
        <f t="shared" si="99"/>
        <v/>
      </c>
      <c r="K683" s="86"/>
      <c r="L683" s="62">
        <f>IF($B683&lt;&gt;"",SUMIFS(DataAct_tbl[AMOUNT],DataAct_tbl[BG CODE],Detail!$D683,DataAct_tbl[Check Range],"=true",DataAct_tbl[Dept code],$B683),0)</f>
        <v>0</v>
      </c>
      <c r="M683" s="63">
        <f>INDEX($AG$7:$AR$1005,ROW()-6,MATCH(MTD,$AG$6:$AR$6,0))</f>
        <v>0</v>
      </c>
      <c r="N683" s="34">
        <f t="shared" si="100"/>
        <v>0</v>
      </c>
      <c r="O683" s="64" t="str">
        <f t="shared" si="101"/>
        <v xml:space="preserve"> </v>
      </c>
      <c r="Q683" s="97">
        <f t="shared" si="102"/>
        <v>0</v>
      </c>
      <c r="R683" s="96">
        <f t="shared" si="103"/>
        <v>0</v>
      </c>
      <c r="T683" s="67" t="str">
        <f>IF($B683&lt;&gt;"",INDEX(DataOB[],FirstRow+ROW()-7,MATCH(T$6,DataOB[#Headers],0)),"")</f>
        <v/>
      </c>
      <c r="U683" s="67" t="str">
        <f>IF($B683&lt;&gt;"",INDEX(DataOB[],FirstRow+ROW()-7,MATCH(U$6,DataOB[#Headers],0)),"")</f>
        <v/>
      </c>
      <c r="V683" s="67" t="str">
        <f>IF($B683&lt;&gt;"",INDEX(DataOB[],FirstRow+ROW()-7,MATCH(V$6,DataOB[#Headers],0)),"")</f>
        <v/>
      </c>
      <c r="W683" s="67" t="str">
        <f>IF($B683&lt;&gt;"",INDEX(DataOB[],FirstRow+ROW()-7,MATCH(W$6,DataOB[#Headers],0)),"")</f>
        <v/>
      </c>
      <c r="X683" s="67" t="str">
        <f>IF($B683&lt;&gt;"",INDEX(DataOB[],FirstRow+ROW()-7,MATCH(X$6,DataOB[#Headers],0)),"")</f>
        <v/>
      </c>
      <c r="Y683" s="67" t="str">
        <f>IF($B683&lt;&gt;"",INDEX(DataOB[],FirstRow+ROW()-7,MATCH(Y$6,DataOB[#Headers],0)),"")</f>
        <v/>
      </c>
      <c r="Z683" s="67" t="str">
        <f>IF($B683&lt;&gt;"",INDEX(DataOB[],FirstRow+ROW()-7,MATCH(Z$6,DataOB[#Headers],0)),"")</f>
        <v/>
      </c>
      <c r="AA683" s="67" t="str">
        <f>IF($B683&lt;&gt;"",INDEX(DataOB[],FirstRow+ROW()-7,MATCH(AA$6,DataOB[#Headers],0)),"")</f>
        <v/>
      </c>
      <c r="AB683" s="67" t="str">
        <f>IF($B683&lt;&gt;"",INDEX(DataOB[],FirstRow+ROW()-7,MATCH(AB$6,DataOB[#Headers],0)),"")</f>
        <v/>
      </c>
      <c r="AC683" s="67" t="str">
        <f>IF($B683&lt;&gt;"",INDEX(DataOB[],FirstRow+ROW()-7,MATCH(AC$6,DataOB[#Headers],0)),"")</f>
        <v/>
      </c>
      <c r="AD683" s="67" t="str">
        <f>IF($B683&lt;&gt;"",INDEX(DataOB[],FirstRow+ROW()-7,MATCH(AD$6,DataOB[#Headers],0)),"")</f>
        <v/>
      </c>
      <c r="AE683" s="67" t="str">
        <f>IF($B683&lt;&gt;"",INDEX(DataOB[],FirstRow+ROW()-7,MATCH(AE$6,DataOB[#Headers],0)),"")</f>
        <v/>
      </c>
      <c r="AF683" s="26">
        <f t="shared" si="104"/>
        <v>0</v>
      </c>
      <c r="AG683" s="31">
        <f>SUM($T683:T683)</f>
        <v>0</v>
      </c>
      <c r="AH683" s="31">
        <f>SUM($T683:U683)</f>
        <v>0</v>
      </c>
      <c r="AI683" s="31">
        <f>SUM($T683:V683)</f>
        <v>0</v>
      </c>
      <c r="AJ683" s="31">
        <f>SUM($T683:W683)</f>
        <v>0</v>
      </c>
      <c r="AK683" s="31">
        <f>SUM($T683:X683)</f>
        <v>0</v>
      </c>
      <c r="AL683" s="31">
        <f>SUM($T683:Y683)</f>
        <v>0</v>
      </c>
      <c r="AM683" s="31">
        <f>SUM($T683:Z683)</f>
        <v>0</v>
      </c>
      <c r="AN683" s="31">
        <f>SUM($T683:AA683)</f>
        <v>0</v>
      </c>
      <c r="AO683" s="31">
        <f>SUM($T683:AB683)</f>
        <v>0</v>
      </c>
      <c r="AP683" s="31">
        <f>SUM($T683:AC683)</f>
        <v>0</v>
      </c>
      <c r="AQ683" s="31">
        <f>SUM($T683:AD683)</f>
        <v>0</v>
      </c>
      <c r="AR683" s="31">
        <f>SUM($T683:AE683)</f>
        <v>0</v>
      </c>
      <c r="AS683" s="27">
        <f t="shared" si="105"/>
        <v>0</v>
      </c>
    </row>
    <row r="684" spans="2:45">
      <c r="B684" s="102" t="str">
        <f>IF(ROW()-6&gt;NumCostCenter,"",IF(CostCenter&lt;&gt;"ALL",CostCenter,DATA_LF2!B682))</f>
        <v/>
      </c>
      <c r="C684" s="153" t="str">
        <f>IF($B684&lt;&gt;"",INDEX(DataOB[],FirstRow+ROW()-7,2),"")</f>
        <v/>
      </c>
      <c r="D684" s="66" t="str">
        <f>IF($B684&lt;&gt;"",INDEX(DataOB[],FirstRow+ROW()-7,3),"")</f>
        <v/>
      </c>
      <c r="E684" s="103" t="str">
        <f>IF($B684&lt;&gt;"",INDEX(DataOB[],FirstRow+ROW()-7,6),"")</f>
        <v/>
      </c>
      <c r="F684" s="103" t="str">
        <f>IF($B684&lt;&gt;"",INDEX(DataOB[],FirstRow+ROW()-7,5),"")</f>
        <v/>
      </c>
      <c r="G684" s="58">
        <f>IF($B684&lt;&gt;"",SUMIFS(DataAct_tbl[AMOUNT],DataAct_tbl[BG CODE],Detail!$D684,DataAct_tbl[MONTH],LEFT(MonthName,3),DataAct_tbl[Dept code],$B684),0)</f>
        <v>0</v>
      </c>
      <c r="H684" s="31" t="str">
        <f t="shared" si="97"/>
        <v/>
      </c>
      <c r="I684" s="28" t="str">
        <f t="shared" si="98"/>
        <v/>
      </c>
      <c r="J684" s="32" t="str">
        <f t="shared" si="99"/>
        <v/>
      </c>
      <c r="K684" s="86"/>
      <c r="L684" s="62">
        <f>IF($B684&lt;&gt;"",SUMIFS(DataAct_tbl[AMOUNT],DataAct_tbl[BG CODE],Detail!$D684,DataAct_tbl[Check Range],"=true",DataAct_tbl[Dept code],$B684),0)</f>
        <v>0</v>
      </c>
      <c r="M684" s="63">
        <f>INDEX($AG$7:$AR$1005,ROW()-6,MATCH(MTD,$AG$6:$AR$6,0))</f>
        <v>0</v>
      </c>
      <c r="N684" s="34">
        <f t="shared" si="100"/>
        <v>0</v>
      </c>
      <c r="O684" s="64" t="str">
        <f t="shared" si="101"/>
        <v xml:space="preserve"> </v>
      </c>
      <c r="Q684" s="97">
        <f t="shared" si="102"/>
        <v>0</v>
      </c>
      <c r="R684" s="96">
        <f t="shared" si="103"/>
        <v>0</v>
      </c>
      <c r="T684" s="67" t="str">
        <f>IF($B684&lt;&gt;"",INDEX(DataOB[],FirstRow+ROW()-7,MATCH(T$6,DataOB[#Headers],0)),"")</f>
        <v/>
      </c>
      <c r="U684" s="67" t="str">
        <f>IF($B684&lt;&gt;"",INDEX(DataOB[],FirstRow+ROW()-7,MATCH(U$6,DataOB[#Headers],0)),"")</f>
        <v/>
      </c>
      <c r="V684" s="67" t="str">
        <f>IF($B684&lt;&gt;"",INDEX(DataOB[],FirstRow+ROW()-7,MATCH(V$6,DataOB[#Headers],0)),"")</f>
        <v/>
      </c>
      <c r="W684" s="67" t="str">
        <f>IF($B684&lt;&gt;"",INDEX(DataOB[],FirstRow+ROW()-7,MATCH(W$6,DataOB[#Headers],0)),"")</f>
        <v/>
      </c>
      <c r="X684" s="67" t="str">
        <f>IF($B684&lt;&gt;"",INDEX(DataOB[],FirstRow+ROW()-7,MATCH(X$6,DataOB[#Headers],0)),"")</f>
        <v/>
      </c>
      <c r="Y684" s="67" t="str">
        <f>IF($B684&lt;&gt;"",INDEX(DataOB[],FirstRow+ROW()-7,MATCH(Y$6,DataOB[#Headers],0)),"")</f>
        <v/>
      </c>
      <c r="Z684" s="67" t="str">
        <f>IF($B684&lt;&gt;"",INDEX(DataOB[],FirstRow+ROW()-7,MATCH(Z$6,DataOB[#Headers],0)),"")</f>
        <v/>
      </c>
      <c r="AA684" s="67" t="str">
        <f>IF($B684&lt;&gt;"",INDEX(DataOB[],FirstRow+ROW()-7,MATCH(AA$6,DataOB[#Headers],0)),"")</f>
        <v/>
      </c>
      <c r="AB684" s="67" t="str">
        <f>IF($B684&lt;&gt;"",INDEX(DataOB[],FirstRow+ROW()-7,MATCH(AB$6,DataOB[#Headers],0)),"")</f>
        <v/>
      </c>
      <c r="AC684" s="67" t="str">
        <f>IF($B684&lt;&gt;"",INDEX(DataOB[],FirstRow+ROW()-7,MATCH(AC$6,DataOB[#Headers],0)),"")</f>
        <v/>
      </c>
      <c r="AD684" s="67" t="str">
        <f>IF($B684&lt;&gt;"",INDEX(DataOB[],FirstRow+ROW()-7,MATCH(AD$6,DataOB[#Headers],0)),"")</f>
        <v/>
      </c>
      <c r="AE684" s="67" t="str">
        <f>IF($B684&lt;&gt;"",INDEX(DataOB[],FirstRow+ROW()-7,MATCH(AE$6,DataOB[#Headers],0)),"")</f>
        <v/>
      </c>
      <c r="AF684" s="26">
        <f t="shared" si="104"/>
        <v>0</v>
      </c>
      <c r="AG684" s="31">
        <f>SUM($T684:T684)</f>
        <v>0</v>
      </c>
      <c r="AH684" s="31">
        <f>SUM($T684:U684)</f>
        <v>0</v>
      </c>
      <c r="AI684" s="31">
        <f>SUM($T684:V684)</f>
        <v>0</v>
      </c>
      <c r="AJ684" s="31">
        <f>SUM($T684:W684)</f>
        <v>0</v>
      </c>
      <c r="AK684" s="31">
        <f>SUM($T684:X684)</f>
        <v>0</v>
      </c>
      <c r="AL684" s="31">
        <f>SUM($T684:Y684)</f>
        <v>0</v>
      </c>
      <c r="AM684" s="31">
        <f>SUM($T684:Z684)</f>
        <v>0</v>
      </c>
      <c r="AN684" s="31">
        <f>SUM($T684:AA684)</f>
        <v>0</v>
      </c>
      <c r="AO684" s="31">
        <f>SUM($T684:AB684)</f>
        <v>0</v>
      </c>
      <c r="AP684" s="31">
        <f>SUM($T684:AC684)</f>
        <v>0</v>
      </c>
      <c r="AQ684" s="31">
        <f>SUM($T684:AD684)</f>
        <v>0</v>
      </c>
      <c r="AR684" s="31">
        <f>SUM($T684:AE684)</f>
        <v>0</v>
      </c>
      <c r="AS684" s="27">
        <f t="shared" si="105"/>
        <v>0</v>
      </c>
    </row>
    <row r="685" spans="2:45">
      <c r="B685" s="102" t="str">
        <f>IF(ROW()-6&gt;NumCostCenter,"",IF(CostCenter&lt;&gt;"ALL",CostCenter,DATA_LF2!B683))</f>
        <v/>
      </c>
      <c r="C685" s="153" t="str">
        <f>IF($B685&lt;&gt;"",INDEX(DataOB[],FirstRow+ROW()-7,2),"")</f>
        <v/>
      </c>
      <c r="D685" s="66" t="str">
        <f>IF($B685&lt;&gt;"",INDEX(DataOB[],FirstRow+ROW()-7,3),"")</f>
        <v/>
      </c>
      <c r="E685" s="103" t="str">
        <f>IF($B685&lt;&gt;"",INDEX(DataOB[],FirstRow+ROW()-7,6),"")</f>
        <v/>
      </c>
      <c r="F685" s="103" t="str">
        <f>IF($B685&lt;&gt;"",INDEX(DataOB[],FirstRow+ROW()-7,5),"")</f>
        <v/>
      </c>
      <c r="G685" s="58">
        <f>IF($B685&lt;&gt;"",SUMIFS(DataAct_tbl[AMOUNT],DataAct_tbl[BG CODE],Detail!$D685,DataAct_tbl[MONTH],LEFT(MonthName,3),DataAct_tbl[Dept code],$B685),0)</f>
        <v>0</v>
      </c>
      <c r="H685" s="31" t="str">
        <f t="shared" si="97"/>
        <v/>
      </c>
      <c r="I685" s="28" t="str">
        <f t="shared" si="98"/>
        <v/>
      </c>
      <c r="J685" s="32" t="str">
        <f t="shared" si="99"/>
        <v/>
      </c>
      <c r="K685" s="86"/>
      <c r="L685" s="62">
        <f>IF($B685&lt;&gt;"",SUMIFS(DataAct_tbl[AMOUNT],DataAct_tbl[BG CODE],Detail!$D685,DataAct_tbl[Check Range],"=true",DataAct_tbl[Dept code],$B685),0)</f>
        <v>0</v>
      </c>
      <c r="M685" s="63">
        <f>INDEX($AG$7:$AR$1005,ROW()-6,MATCH(MTD,$AG$6:$AR$6,0))</f>
        <v>0</v>
      </c>
      <c r="N685" s="34">
        <f t="shared" si="100"/>
        <v>0</v>
      </c>
      <c r="O685" s="64" t="str">
        <f t="shared" si="101"/>
        <v xml:space="preserve"> </v>
      </c>
      <c r="Q685" s="97">
        <f t="shared" si="102"/>
        <v>0</v>
      </c>
      <c r="R685" s="96">
        <f t="shared" si="103"/>
        <v>0</v>
      </c>
      <c r="T685" s="67" t="str">
        <f>IF($B685&lt;&gt;"",INDEX(DataOB[],FirstRow+ROW()-7,MATCH(T$6,DataOB[#Headers],0)),"")</f>
        <v/>
      </c>
      <c r="U685" s="67" t="str">
        <f>IF($B685&lt;&gt;"",INDEX(DataOB[],FirstRow+ROW()-7,MATCH(U$6,DataOB[#Headers],0)),"")</f>
        <v/>
      </c>
      <c r="V685" s="67" t="str">
        <f>IF($B685&lt;&gt;"",INDEX(DataOB[],FirstRow+ROW()-7,MATCH(V$6,DataOB[#Headers],0)),"")</f>
        <v/>
      </c>
      <c r="W685" s="67" t="str">
        <f>IF($B685&lt;&gt;"",INDEX(DataOB[],FirstRow+ROW()-7,MATCH(W$6,DataOB[#Headers],0)),"")</f>
        <v/>
      </c>
      <c r="X685" s="67" t="str">
        <f>IF($B685&lt;&gt;"",INDEX(DataOB[],FirstRow+ROW()-7,MATCH(X$6,DataOB[#Headers],0)),"")</f>
        <v/>
      </c>
      <c r="Y685" s="67" t="str">
        <f>IF($B685&lt;&gt;"",INDEX(DataOB[],FirstRow+ROW()-7,MATCH(Y$6,DataOB[#Headers],0)),"")</f>
        <v/>
      </c>
      <c r="Z685" s="67" t="str">
        <f>IF($B685&lt;&gt;"",INDEX(DataOB[],FirstRow+ROW()-7,MATCH(Z$6,DataOB[#Headers],0)),"")</f>
        <v/>
      </c>
      <c r="AA685" s="67" t="str">
        <f>IF($B685&lt;&gt;"",INDEX(DataOB[],FirstRow+ROW()-7,MATCH(AA$6,DataOB[#Headers],0)),"")</f>
        <v/>
      </c>
      <c r="AB685" s="67" t="str">
        <f>IF($B685&lt;&gt;"",INDEX(DataOB[],FirstRow+ROW()-7,MATCH(AB$6,DataOB[#Headers],0)),"")</f>
        <v/>
      </c>
      <c r="AC685" s="67" t="str">
        <f>IF($B685&lt;&gt;"",INDEX(DataOB[],FirstRow+ROW()-7,MATCH(AC$6,DataOB[#Headers],0)),"")</f>
        <v/>
      </c>
      <c r="AD685" s="67" t="str">
        <f>IF($B685&lt;&gt;"",INDEX(DataOB[],FirstRow+ROW()-7,MATCH(AD$6,DataOB[#Headers],0)),"")</f>
        <v/>
      </c>
      <c r="AE685" s="67" t="str">
        <f>IF($B685&lt;&gt;"",INDEX(DataOB[],FirstRow+ROW()-7,MATCH(AE$6,DataOB[#Headers],0)),"")</f>
        <v/>
      </c>
      <c r="AF685" s="26">
        <f t="shared" si="104"/>
        <v>0</v>
      </c>
      <c r="AG685" s="31">
        <f>SUM($T685:T685)</f>
        <v>0</v>
      </c>
      <c r="AH685" s="31">
        <f>SUM($T685:U685)</f>
        <v>0</v>
      </c>
      <c r="AI685" s="31">
        <f>SUM($T685:V685)</f>
        <v>0</v>
      </c>
      <c r="AJ685" s="31">
        <f>SUM($T685:W685)</f>
        <v>0</v>
      </c>
      <c r="AK685" s="31">
        <f>SUM($T685:X685)</f>
        <v>0</v>
      </c>
      <c r="AL685" s="31">
        <f>SUM($T685:Y685)</f>
        <v>0</v>
      </c>
      <c r="AM685" s="31">
        <f>SUM($T685:Z685)</f>
        <v>0</v>
      </c>
      <c r="AN685" s="31">
        <f>SUM($T685:AA685)</f>
        <v>0</v>
      </c>
      <c r="AO685" s="31">
        <f>SUM($T685:AB685)</f>
        <v>0</v>
      </c>
      <c r="AP685" s="31">
        <f>SUM($T685:AC685)</f>
        <v>0</v>
      </c>
      <c r="AQ685" s="31">
        <f>SUM($T685:AD685)</f>
        <v>0</v>
      </c>
      <c r="AR685" s="31">
        <f>SUM($T685:AE685)</f>
        <v>0</v>
      </c>
      <c r="AS685" s="27">
        <f t="shared" si="105"/>
        <v>0</v>
      </c>
    </row>
    <row r="686" spans="2:45">
      <c r="B686" s="102" t="str">
        <f>IF(ROW()-6&gt;NumCostCenter,"",IF(CostCenter&lt;&gt;"ALL",CostCenter,DATA_LF2!B684))</f>
        <v/>
      </c>
      <c r="C686" s="153" t="str">
        <f>IF($B686&lt;&gt;"",INDEX(DataOB[],FirstRow+ROW()-7,2),"")</f>
        <v/>
      </c>
      <c r="D686" s="66" t="str">
        <f>IF($B686&lt;&gt;"",INDEX(DataOB[],FirstRow+ROW()-7,3),"")</f>
        <v/>
      </c>
      <c r="E686" s="103" t="str">
        <f>IF($B686&lt;&gt;"",INDEX(DataOB[],FirstRow+ROW()-7,6),"")</f>
        <v/>
      </c>
      <c r="F686" s="103" t="str">
        <f>IF($B686&lt;&gt;"",INDEX(DataOB[],FirstRow+ROW()-7,5),"")</f>
        <v/>
      </c>
      <c r="G686" s="58">
        <f>IF($B686&lt;&gt;"",SUMIFS(DataAct_tbl[AMOUNT],DataAct_tbl[BG CODE],Detail!$D686,DataAct_tbl[MONTH],LEFT(MonthName,3),DataAct_tbl[Dept code],$B686),0)</f>
        <v>0</v>
      </c>
      <c r="H686" s="31" t="str">
        <f t="shared" si="97"/>
        <v/>
      </c>
      <c r="I686" s="28" t="str">
        <f t="shared" si="98"/>
        <v/>
      </c>
      <c r="J686" s="32" t="str">
        <f t="shared" si="99"/>
        <v/>
      </c>
      <c r="K686" s="86"/>
      <c r="L686" s="62">
        <f>IF($B686&lt;&gt;"",SUMIFS(DataAct_tbl[AMOUNT],DataAct_tbl[BG CODE],Detail!$D686,DataAct_tbl[Check Range],"=true",DataAct_tbl[Dept code],$B686),0)</f>
        <v>0</v>
      </c>
      <c r="M686" s="63">
        <f>INDEX($AG$7:$AR$1005,ROW()-6,MATCH(MTD,$AG$6:$AR$6,0))</f>
        <v>0</v>
      </c>
      <c r="N686" s="34">
        <f t="shared" si="100"/>
        <v>0</v>
      </c>
      <c r="O686" s="64" t="str">
        <f t="shared" si="101"/>
        <v xml:space="preserve"> </v>
      </c>
      <c r="Q686" s="97">
        <f t="shared" si="102"/>
        <v>0</v>
      </c>
      <c r="R686" s="96">
        <f t="shared" si="103"/>
        <v>0</v>
      </c>
      <c r="T686" s="67" t="str">
        <f>IF($B686&lt;&gt;"",INDEX(DataOB[],FirstRow+ROW()-7,MATCH(T$6,DataOB[#Headers],0)),"")</f>
        <v/>
      </c>
      <c r="U686" s="67" t="str">
        <f>IF($B686&lt;&gt;"",INDEX(DataOB[],FirstRow+ROW()-7,MATCH(U$6,DataOB[#Headers],0)),"")</f>
        <v/>
      </c>
      <c r="V686" s="67" t="str">
        <f>IF($B686&lt;&gt;"",INDEX(DataOB[],FirstRow+ROW()-7,MATCH(V$6,DataOB[#Headers],0)),"")</f>
        <v/>
      </c>
      <c r="W686" s="67" t="str">
        <f>IF($B686&lt;&gt;"",INDEX(DataOB[],FirstRow+ROW()-7,MATCH(W$6,DataOB[#Headers],0)),"")</f>
        <v/>
      </c>
      <c r="X686" s="67" t="str">
        <f>IF($B686&lt;&gt;"",INDEX(DataOB[],FirstRow+ROW()-7,MATCH(X$6,DataOB[#Headers],0)),"")</f>
        <v/>
      </c>
      <c r="Y686" s="67" t="str">
        <f>IF($B686&lt;&gt;"",INDEX(DataOB[],FirstRow+ROW()-7,MATCH(Y$6,DataOB[#Headers],0)),"")</f>
        <v/>
      </c>
      <c r="Z686" s="67" t="str">
        <f>IF($B686&lt;&gt;"",INDEX(DataOB[],FirstRow+ROW()-7,MATCH(Z$6,DataOB[#Headers],0)),"")</f>
        <v/>
      </c>
      <c r="AA686" s="67" t="str">
        <f>IF($B686&lt;&gt;"",INDEX(DataOB[],FirstRow+ROW()-7,MATCH(AA$6,DataOB[#Headers],0)),"")</f>
        <v/>
      </c>
      <c r="AB686" s="67" t="str">
        <f>IF($B686&lt;&gt;"",INDEX(DataOB[],FirstRow+ROW()-7,MATCH(AB$6,DataOB[#Headers],0)),"")</f>
        <v/>
      </c>
      <c r="AC686" s="67" t="str">
        <f>IF($B686&lt;&gt;"",INDEX(DataOB[],FirstRow+ROW()-7,MATCH(AC$6,DataOB[#Headers],0)),"")</f>
        <v/>
      </c>
      <c r="AD686" s="67" t="str">
        <f>IF($B686&lt;&gt;"",INDEX(DataOB[],FirstRow+ROW()-7,MATCH(AD$6,DataOB[#Headers],0)),"")</f>
        <v/>
      </c>
      <c r="AE686" s="67" t="str">
        <f>IF($B686&lt;&gt;"",INDEX(DataOB[],FirstRow+ROW()-7,MATCH(AE$6,DataOB[#Headers],0)),"")</f>
        <v/>
      </c>
      <c r="AF686" s="26">
        <f t="shared" si="104"/>
        <v>0</v>
      </c>
      <c r="AG686" s="31">
        <f>SUM($T686:T686)</f>
        <v>0</v>
      </c>
      <c r="AH686" s="31">
        <f>SUM($T686:U686)</f>
        <v>0</v>
      </c>
      <c r="AI686" s="31">
        <f>SUM($T686:V686)</f>
        <v>0</v>
      </c>
      <c r="AJ686" s="31">
        <f>SUM($T686:W686)</f>
        <v>0</v>
      </c>
      <c r="AK686" s="31">
        <f>SUM($T686:X686)</f>
        <v>0</v>
      </c>
      <c r="AL686" s="31">
        <f>SUM($T686:Y686)</f>
        <v>0</v>
      </c>
      <c r="AM686" s="31">
        <f>SUM($T686:Z686)</f>
        <v>0</v>
      </c>
      <c r="AN686" s="31">
        <f>SUM($T686:AA686)</f>
        <v>0</v>
      </c>
      <c r="AO686" s="31">
        <f>SUM($T686:AB686)</f>
        <v>0</v>
      </c>
      <c r="AP686" s="31">
        <f>SUM($T686:AC686)</f>
        <v>0</v>
      </c>
      <c r="AQ686" s="31">
        <f>SUM($T686:AD686)</f>
        <v>0</v>
      </c>
      <c r="AR686" s="31">
        <f>SUM($T686:AE686)</f>
        <v>0</v>
      </c>
      <c r="AS686" s="27">
        <f t="shared" si="105"/>
        <v>0</v>
      </c>
    </row>
    <row r="687" spans="2:45">
      <c r="B687" s="102" t="str">
        <f>IF(ROW()-6&gt;NumCostCenter,"",IF(CostCenter&lt;&gt;"ALL",CostCenter,DATA_LF2!B685))</f>
        <v/>
      </c>
      <c r="C687" s="153" t="str">
        <f>IF($B687&lt;&gt;"",INDEX(DataOB[],FirstRow+ROW()-7,2),"")</f>
        <v/>
      </c>
      <c r="D687" s="66" t="str">
        <f>IF($B687&lt;&gt;"",INDEX(DataOB[],FirstRow+ROW()-7,3),"")</f>
        <v/>
      </c>
      <c r="E687" s="103" t="str">
        <f>IF($B687&lt;&gt;"",INDEX(DataOB[],FirstRow+ROW()-7,6),"")</f>
        <v/>
      </c>
      <c r="F687" s="103" t="str">
        <f>IF($B687&lt;&gt;"",INDEX(DataOB[],FirstRow+ROW()-7,5),"")</f>
        <v/>
      </c>
      <c r="G687" s="58">
        <f>IF($B687&lt;&gt;"",SUMIFS(DataAct_tbl[AMOUNT],DataAct_tbl[BG CODE],Detail!$D687,DataAct_tbl[MONTH],LEFT(MonthName,3),DataAct_tbl[Dept code],$B687),0)</f>
        <v>0</v>
      </c>
      <c r="H687" s="31" t="str">
        <f t="shared" si="97"/>
        <v/>
      </c>
      <c r="I687" s="28" t="str">
        <f t="shared" si="98"/>
        <v/>
      </c>
      <c r="J687" s="32" t="str">
        <f t="shared" si="99"/>
        <v/>
      </c>
      <c r="K687" s="86"/>
      <c r="L687" s="62">
        <f>IF($B687&lt;&gt;"",SUMIFS(DataAct_tbl[AMOUNT],DataAct_tbl[BG CODE],Detail!$D687,DataAct_tbl[Check Range],"=true",DataAct_tbl[Dept code],$B687),0)</f>
        <v>0</v>
      </c>
      <c r="M687" s="63">
        <f>INDEX($AG$7:$AR$1005,ROW()-6,MATCH(MTD,$AG$6:$AR$6,0))</f>
        <v>0</v>
      </c>
      <c r="N687" s="34">
        <f t="shared" si="100"/>
        <v>0</v>
      </c>
      <c r="O687" s="64" t="str">
        <f t="shared" si="101"/>
        <v xml:space="preserve"> </v>
      </c>
      <c r="Q687" s="97">
        <f t="shared" si="102"/>
        <v>0</v>
      </c>
      <c r="R687" s="96">
        <f t="shared" si="103"/>
        <v>0</v>
      </c>
      <c r="T687" s="67" t="str">
        <f>IF($B687&lt;&gt;"",INDEX(DataOB[],FirstRow+ROW()-7,MATCH(T$6,DataOB[#Headers],0)),"")</f>
        <v/>
      </c>
      <c r="U687" s="67" t="str">
        <f>IF($B687&lt;&gt;"",INDEX(DataOB[],FirstRow+ROW()-7,MATCH(U$6,DataOB[#Headers],0)),"")</f>
        <v/>
      </c>
      <c r="V687" s="67" t="str">
        <f>IF($B687&lt;&gt;"",INDEX(DataOB[],FirstRow+ROW()-7,MATCH(V$6,DataOB[#Headers],0)),"")</f>
        <v/>
      </c>
      <c r="W687" s="67" t="str">
        <f>IF($B687&lt;&gt;"",INDEX(DataOB[],FirstRow+ROW()-7,MATCH(W$6,DataOB[#Headers],0)),"")</f>
        <v/>
      </c>
      <c r="X687" s="67" t="str">
        <f>IF($B687&lt;&gt;"",INDEX(DataOB[],FirstRow+ROW()-7,MATCH(X$6,DataOB[#Headers],0)),"")</f>
        <v/>
      </c>
      <c r="Y687" s="67" t="str">
        <f>IF($B687&lt;&gt;"",INDEX(DataOB[],FirstRow+ROW()-7,MATCH(Y$6,DataOB[#Headers],0)),"")</f>
        <v/>
      </c>
      <c r="Z687" s="67" t="str">
        <f>IF($B687&lt;&gt;"",INDEX(DataOB[],FirstRow+ROW()-7,MATCH(Z$6,DataOB[#Headers],0)),"")</f>
        <v/>
      </c>
      <c r="AA687" s="67" t="str">
        <f>IF($B687&lt;&gt;"",INDEX(DataOB[],FirstRow+ROW()-7,MATCH(AA$6,DataOB[#Headers],0)),"")</f>
        <v/>
      </c>
      <c r="AB687" s="67" t="str">
        <f>IF($B687&lt;&gt;"",INDEX(DataOB[],FirstRow+ROW()-7,MATCH(AB$6,DataOB[#Headers],0)),"")</f>
        <v/>
      </c>
      <c r="AC687" s="67" t="str">
        <f>IF($B687&lt;&gt;"",INDEX(DataOB[],FirstRow+ROW()-7,MATCH(AC$6,DataOB[#Headers],0)),"")</f>
        <v/>
      </c>
      <c r="AD687" s="67" t="str">
        <f>IF($B687&lt;&gt;"",INDEX(DataOB[],FirstRow+ROW()-7,MATCH(AD$6,DataOB[#Headers],0)),"")</f>
        <v/>
      </c>
      <c r="AE687" s="67" t="str">
        <f>IF($B687&lt;&gt;"",INDEX(DataOB[],FirstRow+ROW()-7,MATCH(AE$6,DataOB[#Headers],0)),"")</f>
        <v/>
      </c>
      <c r="AF687" s="26">
        <f t="shared" si="104"/>
        <v>0</v>
      </c>
      <c r="AG687" s="31">
        <f>SUM($T687:T687)</f>
        <v>0</v>
      </c>
      <c r="AH687" s="31">
        <f>SUM($T687:U687)</f>
        <v>0</v>
      </c>
      <c r="AI687" s="31">
        <f>SUM($T687:V687)</f>
        <v>0</v>
      </c>
      <c r="AJ687" s="31">
        <f>SUM($T687:W687)</f>
        <v>0</v>
      </c>
      <c r="AK687" s="31">
        <f>SUM($T687:X687)</f>
        <v>0</v>
      </c>
      <c r="AL687" s="31">
        <f>SUM($T687:Y687)</f>
        <v>0</v>
      </c>
      <c r="AM687" s="31">
        <f>SUM($T687:Z687)</f>
        <v>0</v>
      </c>
      <c r="AN687" s="31">
        <f>SUM($T687:AA687)</f>
        <v>0</v>
      </c>
      <c r="AO687" s="31">
        <f>SUM($T687:AB687)</f>
        <v>0</v>
      </c>
      <c r="AP687" s="31">
        <f>SUM($T687:AC687)</f>
        <v>0</v>
      </c>
      <c r="AQ687" s="31">
        <f>SUM($T687:AD687)</f>
        <v>0</v>
      </c>
      <c r="AR687" s="31">
        <f>SUM($T687:AE687)</f>
        <v>0</v>
      </c>
      <c r="AS687" s="27">
        <f t="shared" si="105"/>
        <v>0</v>
      </c>
    </row>
    <row r="688" spans="2:45">
      <c r="B688" s="102" t="str">
        <f>IF(ROW()-6&gt;NumCostCenter,"",IF(CostCenter&lt;&gt;"ALL",CostCenter,DATA_LF2!B686))</f>
        <v/>
      </c>
      <c r="C688" s="153" t="str">
        <f>IF($B688&lt;&gt;"",INDEX(DataOB[],FirstRow+ROW()-7,2),"")</f>
        <v/>
      </c>
      <c r="D688" s="66" t="str">
        <f>IF($B688&lt;&gt;"",INDEX(DataOB[],FirstRow+ROW()-7,3),"")</f>
        <v/>
      </c>
      <c r="E688" s="103" t="str">
        <f>IF($B688&lt;&gt;"",INDEX(DataOB[],FirstRow+ROW()-7,6),"")</f>
        <v/>
      </c>
      <c r="F688" s="103" t="str">
        <f>IF($B688&lt;&gt;"",INDEX(DataOB[],FirstRow+ROW()-7,5),"")</f>
        <v/>
      </c>
      <c r="G688" s="58">
        <f>IF($B688&lt;&gt;"",SUMIFS(DataAct_tbl[AMOUNT],DataAct_tbl[BG CODE],Detail!$D688,DataAct_tbl[MONTH],LEFT(MonthName,3),DataAct_tbl[Dept code],$B688),0)</f>
        <v>0</v>
      </c>
      <c r="H688" s="31" t="str">
        <f t="shared" si="97"/>
        <v/>
      </c>
      <c r="I688" s="28" t="str">
        <f t="shared" si="98"/>
        <v/>
      </c>
      <c r="J688" s="32" t="str">
        <f t="shared" si="99"/>
        <v/>
      </c>
      <c r="K688" s="86"/>
      <c r="L688" s="62">
        <f>IF($B688&lt;&gt;"",SUMIFS(DataAct_tbl[AMOUNT],DataAct_tbl[BG CODE],Detail!$D688,DataAct_tbl[Check Range],"=true",DataAct_tbl[Dept code],$B688),0)</f>
        <v>0</v>
      </c>
      <c r="M688" s="63">
        <f>INDEX($AG$7:$AR$1005,ROW()-6,MATCH(MTD,$AG$6:$AR$6,0))</f>
        <v>0</v>
      </c>
      <c r="N688" s="34">
        <f t="shared" si="100"/>
        <v>0</v>
      </c>
      <c r="O688" s="64" t="str">
        <f t="shared" si="101"/>
        <v xml:space="preserve"> </v>
      </c>
      <c r="Q688" s="97">
        <f t="shared" si="102"/>
        <v>0</v>
      </c>
      <c r="R688" s="96">
        <f t="shared" si="103"/>
        <v>0</v>
      </c>
      <c r="T688" s="67" t="str">
        <f>IF($B688&lt;&gt;"",INDEX(DataOB[],FirstRow+ROW()-7,MATCH(T$6,DataOB[#Headers],0)),"")</f>
        <v/>
      </c>
      <c r="U688" s="67" t="str">
        <f>IF($B688&lt;&gt;"",INDEX(DataOB[],FirstRow+ROW()-7,MATCH(U$6,DataOB[#Headers],0)),"")</f>
        <v/>
      </c>
      <c r="V688" s="67" t="str">
        <f>IF($B688&lt;&gt;"",INDEX(DataOB[],FirstRow+ROW()-7,MATCH(V$6,DataOB[#Headers],0)),"")</f>
        <v/>
      </c>
      <c r="W688" s="67" t="str">
        <f>IF($B688&lt;&gt;"",INDEX(DataOB[],FirstRow+ROW()-7,MATCH(W$6,DataOB[#Headers],0)),"")</f>
        <v/>
      </c>
      <c r="X688" s="67" t="str">
        <f>IF($B688&lt;&gt;"",INDEX(DataOB[],FirstRow+ROW()-7,MATCH(X$6,DataOB[#Headers],0)),"")</f>
        <v/>
      </c>
      <c r="Y688" s="67" t="str">
        <f>IF($B688&lt;&gt;"",INDEX(DataOB[],FirstRow+ROW()-7,MATCH(Y$6,DataOB[#Headers],0)),"")</f>
        <v/>
      </c>
      <c r="Z688" s="67" t="str">
        <f>IF($B688&lt;&gt;"",INDEX(DataOB[],FirstRow+ROW()-7,MATCH(Z$6,DataOB[#Headers],0)),"")</f>
        <v/>
      </c>
      <c r="AA688" s="67" t="str">
        <f>IF($B688&lt;&gt;"",INDEX(DataOB[],FirstRow+ROW()-7,MATCH(AA$6,DataOB[#Headers],0)),"")</f>
        <v/>
      </c>
      <c r="AB688" s="67" t="str">
        <f>IF($B688&lt;&gt;"",INDEX(DataOB[],FirstRow+ROW()-7,MATCH(AB$6,DataOB[#Headers],0)),"")</f>
        <v/>
      </c>
      <c r="AC688" s="67" t="str">
        <f>IF($B688&lt;&gt;"",INDEX(DataOB[],FirstRow+ROW()-7,MATCH(AC$6,DataOB[#Headers],0)),"")</f>
        <v/>
      </c>
      <c r="AD688" s="67" t="str">
        <f>IF($B688&lt;&gt;"",INDEX(DataOB[],FirstRow+ROW()-7,MATCH(AD$6,DataOB[#Headers],0)),"")</f>
        <v/>
      </c>
      <c r="AE688" s="67" t="str">
        <f>IF($B688&lt;&gt;"",INDEX(DataOB[],FirstRow+ROW()-7,MATCH(AE$6,DataOB[#Headers],0)),"")</f>
        <v/>
      </c>
      <c r="AF688" s="26">
        <f t="shared" si="104"/>
        <v>0</v>
      </c>
      <c r="AG688" s="31">
        <f>SUM($T688:T688)</f>
        <v>0</v>
      </c>
      <c r="AH688" s="31">
        <f>SUM($T688:U688)</f>
        <v>0</v>
      </c>
      <c r="AI688" s="31">
        <f>SUM($T688:V688)</f>
        <v>0</v>
      </c>
      <c r="AJ688" s="31">
        <f>SUM($T688:W688)</f>
        <v>0</v>
      </c>
      <c r="AK688" s="31">
        <f>SUM($T688:X688)</f>
        <v>0</v>
      </c>
      <c r="AL688" s="31">
        <f>SUM($T688:Y688)</f>
        <v>0</v>
      </c>
      <c r="AM688" s="31">
        <f>SUM($T688:Z688)</f>
        <v>0</v>
      </c>
      <c r="AN688" s="31">
        <f>SUM($T688:AA688)</f>
        <v>0</v>
      </c>
      <c r="AO688" s="31">
        <f>SUM($T688:AB688)</f>
        <v>0</v>
      </c>
      <c r="AP688" s="31">
        <f>SUM($T688:AC688)</f>
        <v>0</v>
      </c>
      <c r="AQ688" s="31">
        <f>SUM($T688:AD688)</f>
        <v>0</v>
      </c>
      <c r="AR688" s="31">
        <f>SUM($T688:AE688)</f>
        <v>0</v>
      </c>
      <c r="AS688" s="27">
        <f t="shared" si="105"/>
        <v>0</v>
      </c>
    </row>
    <row r="689" spans="2:45">
      <c r="B689" s="102" t="str">
        <f>IF(ROW()-6&gt;NumCostCenter,"",IF(CostCenter&lt;&gt;"ALL",CostCenter,DATA_LF2!B687))</f>
        <v/>
      </c>
      <c r="C689" s="153" t="str">
        <f>IF($B689&lt;&gt;"",INDEX(DataOB[],FirstRow+ROW()-7,2),"")</f>
        <v/>
      </c>
      <c r="D689" s="66" t="str">
        <f>IF($B689&lt;&gt;"",INDEX(DataOB[],FirstRow+ROW()-7,3),"")</f>
        <v/>
      </c>
      <c r="E689" s="103" t="str">
        <f>IF($B689&lt;&gt;"",INDEX(DataOB[],FirstRow+ROW()-7,6),"")</f>
        <v/>
      </c>
      <c r="F689" s="103" t="str">
        <f>IF($B689&lt;&gt;"",INDEX(DataOB[],FirstRow+ROW()-7,5),"")</f>
        <v/>
      </c>
      <c r="G689" s="58">
        <f>IF($B689&lt;&gt;"",SUMIFS(DataAct_tbl[AMOUNT],DataAct_tbl[BG CODE],Detail!$D689,DataAct_tbl[MONTH],LEFT(MonthName,3),DataAct_tbl[Dept code],$B689),0)</f>
        <v>0</v>
      </c>
      <c r="H689" s="31" t="str">
        <f t="shared" si="97"/>
        <v/>
      </c>
      <c r="I689" s="28" t="str">
        <f t="shared" si="98"/>
        <v/>
      </c>
      <c r="J689" s="32" t="str">
        <f t="shared" si="99"/>
        <v/>
      </c>
      <c r="K689" s="86"/>
      <c r="L689" s="62">
        <f>IF($B689&lt;&gt;"",SUMIFS(DataAct_tbl[AMOUNT],DataAct_tbl[BG CODE],Detail!$D689,DataAct_tbl[Check Range],"=true",DataAct_tbl[Dept code],$B689),0)</f>
        <v>0</v>
      </c>
      <c r="M689" s="63">
        <f>INDEX($AG$7:$AR$1005,ROW()-6,MATCH(MTD,$AG$6:$AR$6,0))</f>
        <v>0</v>
      </c>
      <c r="N689" s="34">
        <f t="shared" si="100"/>
        <v>0</v>
      </c>
      <c r="O689" s="64" t="str">
        <f t="shared" si="101"/>
        <v xml:space="preserve"> </v>
      </c>
      <c r="Q689" s="97">
        <f t="shared" si="102"/>
        <v>0</v>
      </c>
      <c r="R689" s="96">
        <f t="shared" si="103"/>
        <v>0</v>
      </c>
      <c r="T689" s="67" t="str">
        <f>IF($B689&lt;&gt;"",INDEX(DataOB[],FirstRow+ROW()-7,MATCH(T$6,DataOB[#Headers],0)),"")</f>
        <v/>
      </c>
      <c r="U689" s="67" t="str">
        <f>IF($B689&lt;&gt;"",INDEX(DataOB[],FirstRow+ROW()-7,MATCH(U$6,DataOB[#Headers],0)),"")</f>
        <v/>
      </c>
      <c r="V689" s="67" t="str">
        <f>IF($B689&lt;&gt;"",INDEX(DataOB[],FirstRow+ROW()-7,MATCH(V$6,DataOB[#Headers],0)),"")</f>
        <v/>
      </c>
      <c r="W689" s="67" t="str">
        <f>IF($B689&lt;&gt;"",INDEX(DataOB[],FirstRow+ROW()-7,MATCH(W$6,DataOB[#Headers],0)),"")</f>
        <v/>
      </c>
      <c r="X689" s="67" t="str">
        <f>IF($B689&lt;&gt;"",INDEX(DataOB[],FirstRow+ROW()-7,MATCH(X$6,DataOB[#Headers],0)),"")</f>
        <v/>
      </c>
      <c r="Y689" s="67" t="str">
        <f>IF($B689&lt;&gt;"",INDEX(DataOB[],FirstRow+ROW()-7,MATCH(Y$6,DataOB[#Headers],0)),"")</f>
        <v/>
      </c>
      <c r="Z689" s="67" t="str">
        <f>IF($B689&lt;&gt;"",INDEX(DataOB[],FirstRow+ROW()-7,MATCH(Z$6,DataOB[#Headers],0)),"")</f>
        <v/>
      </c>
      <c r="AA689" s="67" t="str">
        <f>IF($B689&lt;&gt;"",INDEX(DataOB[],FirstRow+ROW()-7,MATCH(AA$6,DataOB[#Headers],0)),"")</f>
        <v/>
      </c>
      <c r="AB689" s="67" t="str">
        <f>IF($B689&lt;&gt;"",INDEX(DataOB[],FirstRow+ROW()-7,MATCH(AB$6,DataOB[#Headers],0)),"")</f>
        <v/>
      </c>
      <c r="AC689" s="67" t="str">
        <f>IF($B689&lt;&gt;"",INDEX(DataOB[],FirstRow+ROW()-7,MATCH(AC$6,DataOB[#Headers],0)),"")</f>
        <v/>
      </c>
      <c r="AD689" s="67" t="str">
        <f>IF($B689&lt;&gt;"",INDEX(DataOB[],FirstRow+ROW()-7,MATCH(AD$6,DataOB[#Headers],0)),"")</f>
        <v/>
      </c>
      <c r="AE689" s="67" t="str">
        <f>IF($B689&lt;&gt;"",INDEX(DataOB[],FirstRow+ROW()-7,MATCH(AE$6,DataOB[#Headers],0)),"")</f>
        <v/>
      </c>
      <c r="AF689" s="26">
        <f t="shared" si="104"/>
        <v>0</v>
      </c>
      <c r="AG689" s="31">
        <f>SUM($T689:T689)</f>
        <v>0</v>
      </c>
      <c r="AH689" s="31">
        <f>SUM($T689:U689)</f>
        <v>0</v>
      </c>
      <c r="AI689" s="31">
        <f>SUM($T689:V689)</f>
        <v>0</v>
      </c>
      <c r="AJ689" s="31">
        <f>SUM($T689:W689)</f>
        <v>0</v>
      </c>
      <c r="AK689" s="31">
        <f>SUM($T689:X689)</f>
        <v>0</v>
      </c>
      <c r="AL689" s="31">
        <f>SUM($T689:Y689)</f>
        <v>0</v>
      </c>
      <c r="AM689" s="31">
        <f>SUM($T689:Z689)</f>
        <v>0</v>
      </c>
      <c r="AN689" s="31">
        <f>SUM($T689:AA689)</f>
        <v>0</v>
      </c>
      <c r="AO689" s="31">
        <f>SUM($T689:AB689)</f>
        <v>0</v>
      </c>
      <c r="AP689" s="31">
        <f>SUM($T689:AC689)</f>
        <v>0</v>
      </c>
      <c r="AQ689" s="31">
        <f>SUM($T689:AD689)</f>
        <v>0</v>
      </c>
      <c r="AR689" s="31">
        <f>SUM($T689:AE689)</f>
        <v>0</v>
      </c>
      <c r="AS689" s="27">
        <f t="shared" si="105"/>
        <v>0</v>
      </c>
    </row>
    <row r="690" spans="2:45">
      <c r="B690" s="102" t="str">
        <f>IF(ROW()-6&gt;NumCostCenter,"",IF(CostCenter&lt;&gt;"ALL",CostCenter,DATA_LF2!B688))</f>
        <v/>
      </c>
      <c r="C690" s="153" t="str">
        <f>IF($B690&lt;&gt;"",INDEX(DataOB[],FirstRow+ROW()-7,2),"")</f>
        <v/>
      </c>
      <c r="D690" s="66" t="str">
        <f>IF($B690&lt;&gt;"",INDEX(DataOB[],FirstRow+ROW()-7,3),"")</f>
        <v/>
      </c>
      <c r="E690" s="103" t="str">
        <f>IF($B690&lt;&gt;"",INDEX(DataOB[],FirstRow+ROW()-7,6),"")</f>
        <v/>
      </c>
      <c r="F690" s="103" t="str">
        <f>IF($B690&lt;&gt;"",INDEX(DataOB[],FirstRow+ROW()-7,5),"")</f>
        <v/>
      </c>
      <c r="G690" s="58">
        <f>IF($B690&lt;&gt;"",SUMIFS(DataAct_tbl[AMOUNT],DataAct_tbl[BG CODE],Detail!$D690,DataAct_tbl[MONTH],LEFT(MonthName,3),DataAct_tbl[Dept code],$B690),0)</f>
        <v>0</v>
      </c>
      <c r="H690" s="31" t="str">
        <f t="shared" si="97"/>
        <v/>
      </c>
      <c r="I690" s="28" t="str">
        <f t="shared" si="98"/>
        <v/>
      </c>
      <c r="J690" s="32" t="str">
        <f t="shared" si="99"/>
        <v/>
      </c>
      <c r="K690" s="86"/>
      <c r="L690" s="62">
        <f>IF($B690&lt;&gt;"",SUMIFS(DataAct_tbl[AMOUNT],DataAct_tbl[BG CODE],Detail!$D690,DataAct_tbl[Check Range],"=true",DataAct_tbl[Dept code],$B690),0)</f>
        <v>0</v>
      </c>
      <c r="M690" s="63">
        <f>INDEX($AG$7:$AR$1005,ROW()-6,MATCH(MTD,$AG$6:$AR$6,0))</f>
        <v>0</v>
      </c>
      <c r="N690" s="34">
        <f t="shared" si="100"/>
        <v>0</v>
      </c>
      <c r="O690" s="64" t="str">
        <f t="shared" si="101"/>
        <v xml:space="preserve"> </v>
      </c>
      <c r="Q690" s="97">
        <f t="shared" si="102"/>
        <v>0</v>
      </c>
      <c r="R690" s="96">
        <f t="shared" si="103"/>
        <v>0</v>
      </c>
      <c r="T690" s="67" t="str">
        <f>IF($B690&lt;&gt;"",INDEX(DataOB[],FirstRow+ROW()-7,MATCH(T$6,DataOB[#Headers],0)),"")</f>
        <v/>
      </c>
      <c r="U690" s="67" t="str">
        <f>IF($B690&lt;&gt;"",INDEX(DataOB[],FirstRow+ROW()-7,MATCH(U$6,DataOB[#Headers],0)),"")</f>
        <v/>
      </c>
      <c r="V690" s="67" t="str">
        <f>IF($B690&lt;&gt;"",INDEX(DataOB[],FirstRow+ROW()-7,MATCH(V$6,DataOB[#Headers],0)),"")</f>
        <v/>
      </c>
      <c r="W690" s="67" t="str">
        <f>IF($B690&lt;&gt;"",INDEX(DataOB[],FirstRow+ROW()-7,MATCH(W$6,DataOB[#Headers],0)),"")</f>
        <v/>
      </c>
      <c r="X690" s="67" t="str">
        <f>IF($B690&lt;&gt;"",INDEX(DataOB[],FirstRow+ROW()-7,MATCH(X$6,DataOB[#Headers],0)),"")</f>
        <v/>
      </c>
      <c r="Y690" s="67" t="str">
        <f>IF($B690&lt;&gt;"",INDEX(DataOB[],FirstRow+ROW()-7,MATCH(Y$6,DataOB[#Headers],0)),"")</f>
        <v/>
      </c>
      <c r="Z690" s="67" t="str">
        <f>IF($B690&lt;&gt;"",INDEX(DataOB[],FirstRow+ROW()-7,MATCH(Z$6,DataOB[#Headers],0)),"")</f>
        <v/>
      </c>
      <c r="AA690" s="67" t="str">
        <f>IF($B690&lt;&gt;"",INDEX(DataOB[],FirstRow+ROW()-7,MATCH(AA$6,DataOB[#Headers],0)),"")</f>
        <v/>
      </c>
      <c r="AB690" s="67" t="str">
        <f>IF($B690&lt;&gt;"",INDEX(DataOB[],FirstRow+ROW()-7,MATCH(AB$6,DataOB[#Headers],0)),"")</f>
        <v/>
      </c>
      <c r="AC690" s="67" t="str">
        <f>IF($B690&lt;&gt;"",INDEX(DataOB[],FirstRow+ROW()-7,MATCH(AC$6,DataOB[#Headers],0)),"")</f>
        <v/>
      </c>
      <c r="AD690" s="67" t="str">
        <f>IF($B690&lt;&gt;"",INDEX(DataOB[],FirstRow+ROW()-7,MATCH(AD$6,DataOB[#Headers],0)),"")</f>
        <v/>
      </c>
      <c r="AE690" s="67" t="str">
        <f>IF($B690&lt;&gt;"",INDEX(DataOB[],FirstRow+ROW()-7,MATCH(AE$6,DataOB[#Headers],0)),"")</f>
        <v/>
      </c>
      <c r="AF690" s="26">
        <f t="shared" si="104"/>
        <v>0</v>
      </c>
      <c r="AG690" s="31">
        <f>SUM($T690:T690)</f>
        <v>0</v>
      </c>
      <c r="AH690" s="31">
        <f>SUM($T690:U690)</f>
        <v>0</v>
      </c>
      <c r="AI690" s="31">
        <f>SUM($T690:V690)</f>
        <v>0</v>
      </c>
      <c r="AJ690" s="31">
        <f>SUM($T690:W690)</f>
        <v>0</v>
      </c>
      <c r="AK690" s="31">
        <f>SUM($T690:X690)</f>
        <v>0</v>
      </c>
      <c r="AL690" s="31">
        <f>SUM($T690:Y690)</f>
        <v>0</v>
      </c>
      <c r="AM690" s="31">
        <f>SUM($T690:Z690)</f>
        <v>0</v>
      </c>
      <c r="AN690" s="31">
        <f>SUM($T690:AA690)</f>
        <v>0</v>
      </c>
      <c r="AO690" s="31">
        <f>SUM($T690:AB690)</f>
        <v>0</v>
      </c>
      <c r="AP690" s="31">
        <f>SUM($T690:AC690)</f>
        <v>0</v>
      </c>
      <c r="AQ690" s="31">
        <f>SUM($T690:AD690)</f>
        <v>0</v>
      </c>
      <c r="AR690" s="31">
        <f>SUM($T690:AE690)</f>
        <v>0</v>
      </c>
      <c r="AS690" s="27">
        <f t="shared" si="105"/>
        <v>0</v>
      </c>
    </row>
    <row r="691" spans="2:45">
      <c r="B691" s="102" t="str">
        <f>IF(ROW()-6&gt;NumCostCenter,"",IF(CostCenter&lt;&gt;"ALL",CostCenter,DATA_LF2!B689))</f>
        <v/>
      </c>
      <c r="C691" s="153" t="str">
        <f>IF($B691&lt;&gt;"",INDEX(DataOB[],FirstRow+ROW()-7,2),"")</f>
        <v/>
      </c>
      <c r="D691" s="66" t="str">
        <f>IF($B691&lt;&gt;"",INDEX(DataOB[],FirstRow+ROW()-7,3),"")</f>
        <v/>
      </c>
      <c r="E691" s="103" t="str">
        <f>IF($B691&lt;&gt;"",INDEX(DataOB[],FirstRow+ROW()-7,6),"")</f>
        <v/>
      </c>
      <c r="F691" s="103" t="str">
        <f>IF($B691&lt;&gt;"",INDEX(DataOB[],FirstRow+ROW()-7,5),"")</f>
        <v/>
      </c>
      <c r="G691" s="58">
        <f>IF($B691&lt;&gt;"",SUMIFS(DataAct_tbl[AMOUNT],DataAct_tbl[BG CODE],Detail!$D691,DataAct_tbl[MONTH],LEFT(MonthName,3),DataAct_tbl[Dept code],$B691),0)</f>
        <v>0</v>
      </c>
      <c r="H691" s="31" t="str">
        <f t="shared" si="97"/>
        <v/>
      </c>
      <c r="I691" s="28" t="str">
        <f t="shared" si="98"/>
        <v/>
      </c>
      <c r="J691" s="32" t="str">
        <f t="shared" si="99"/>
        <v/>
      </c>
      <c r="K691" s="86"/>
      <c r="L691" s="62">
        <f>IF($B691&lt;&gt;"",SUMIFS(DataAct_tbl[AMOUNT],DataAct_tbl[BG CODE],Detail!$D691,DataAct_tbl[Check Range],"=true",DataAct_tbl[Dept code],$B691),0)</f>
        <v>0</v>
      </c>
      <c r="M691" s="63">
        <f>INDEX($AG$7:$AR$1005,ROW()-6,MATCH(MTD,$AG$6:$AR$6,0))</f>
        <v>0</v>
      </c>
      <c r="N691" s="34">
        <f t="shared" si="100"/>
        <v>0</v>
      </c>
      <c r="O691" s="64" t="str">
        <f t="shared" si="101"/>
        <v xml:space="preserve"> </v>
      </c>
      <c r="Q691" s="97">
        <f t="shared" si="102"/>
        <v>0</v>
      </c>
      <c r="R691" s="96">
        <f t="shared" si="103"/>
        <v>0</v>
      </c>
      <c r="T691" s="67" t="str">
        <f>IF($B691&lt;&gt;"",INDEX(DataOB[],FirstRow+ROW()-7,MATCH(T$6,DataOB[#Headers],0)),"")</f>
        <v/>
      </c>
      <c r="U691" s="67" t="str">
        <f>IF($B691&lt;&gt;"",INDEX(DataOB[],FirstRow+ROW()-7,MATCH(U$6,DataOB[#Headers],0)),"")</f>
        <v/>
      </c>
      <c r="V691" s="67" t="str">
        <f>IF($B691&lt;&gt;"",INDEX(DataOB[],FirstRow+ROW()-7,MATCH(V$6,DataOB[#Headers],0)),"")</f>
        <v/>
      </c>
      <c r="W691" s="67" t="str">
        <f>IF($B691&lt;&gt;"",INDEX(DataOB[],FirstRow+ROW()-7,MATCH(W$6,DataOB[#Headers],0)),"")</f>
        <v/>
      </c>
      <c r="X691" s="67" t="str">
        <f>IF($B691&lt;&gt;"",INDEX(DataOB[],FirstRow+ROW()-7,MATCH(X$6,DataOB[#Headers],0)),"")</f>
        <v/>
      </c>
      <c r="Y691" s="67" t="str">
        <f>IF($B691&lt;&gt;"",INDEX(DataOB[],FirstRow+ROW()-7,MATCH(Y$6,DataOB[#Headers],0)),"")</f>
        <v/>
      </c>
      <c r="Z691" s="67" t="str">
        <f>IF($B691&lt;&gt;"",INDEX(DataOB[],FirstRow+ROW()-7,MATCH(Z$6,DataOB[#Headers],0)),"")</f>
        <v/>
      </c>
      <c r="AA691" s="67" t="str">
        <f>IF($B691&lt;&gt;"",INDEX(DataOB[],FirstRow+ROW()-7,MATCH(AA$6,DataOB[#Headers],0)),"")</f>
        <v/>
      </c>
      <c r="AB691" s="67" t="str">
        <f>IF($B691&lt;&gt;"",INDEX(DataOB[],FirstRow+ROW()-7,MATCH(AB$6,DataOB[#Headers],0)),"")</f>
        <v/>
      </c>
      <c r="AC691" s="67" t="str">
        <f>IF($B691&lt;&gt;"",INDEX(DataOB[],FirstRow+ROW()-7,MATCH(AC$6,DataOB[#Headers],0)),"")</f>
        <v/>
      </c>
      <c r="AD691" s="67" t="str">
        <f>IF($B691&lt;&gt;"",INDEX(DataOB[],FirstRow+ROW()-7,MATCH(AD$6,DataOB[#Headers],0)),"")</f>
        <v/>
      </c>
      <c r="AE691" s="67" t="str">
        <f>IF($B691&lt;&gt;"",INDEX(DataOB[],FirstRow+ROW()-7,MATCH(AE$6,DataOB[#Headers],0)),"")</f>
        <v/>
      </c>
      <c r="AF691" s="26">
        <f t="shared" si="104"/>
        <v>0</v>
      </c>
      <c r="AG691" s="31">
        <f>SUM($T691:T691)</f>
        <v>0</v>
      </c>
      <c r="AH691" s="31">
        <f>SUM($T691:U691)</f>
        <v>0</v>
      </c>
      <c r="AI691" s="31">
        <f>SUM($T691:V691)</f>
        <v>0</v>
      </c>
      <c r="AJ691" s="31">
        <f>SUM($T691:W691)</f>
        <v>0</v>
      </c>
      <c r="AK691" s="31">
        <f>SUM($T691:X691)</f>
        <v>0</v>
      </c>
      <c r="AL691" s="31">
        <f>SUM($T691:Y691)</f>
        <v>0</v>
      </c>
      <c r="AM691" s="31">
        <f>SUM($T691:Z691)</f>
        <v>0</v>
      </c>
      <c r="AN691" s="31">
        <f>SUM($T691:AA691)</f>
        <v>0</v>
      </c>
      <c r="AO691" s="31">
        <f>SUM($T691:AB691)</f>
        <v>0</v>
      </c>
      <c r="AP691" s="31">
        <f>SUM($T691:AC691)</f>
        <v>0</v>
      </c>
      <c r="AQ691" s="31">
        <f>SUM($T691:AD691)</f>
        <v>0</v>
      </c>
      <c r="AR691" s="31">
        <f>SUM($T691:AE691)</f>
        <v>0</v>
      </c>
      <c r="AS691" s="27">
        <f t="shared" si="105"/>
        <v>0</v>
      </c>
    </row>
    <row r="692" spans="2:45">
      <c r="B692" s="102" t="str">
        <f>IF(ROW()-6&gt;NumCostCenter,"",IF(CostCenter&lt;&gt;"ALL",CostCenter,DATA_LF2!B690))</f>
        <v/>
      </c>
      <c r="C692" s="153" t="str">
        <f>IF($B692&lt;&gt;"",INDEX(DataOB[],FirstRow+ROW()-7,2),"")</f>
        <v/>
      </c>
      <c r="D692" s="66" t="str">
        <f>IF($B692&lt;&gt;"",INDEX(DataOB[],FirstRow+ROW()-7,3),"")</f>
        <v/>
      </c>
      <c r="E692" s="103" t="str">
        <f>IF($B692&lt;&gt;"",INDEX(DataOB[],FirstRow+ROW()-7,6),"")</f>
        <v/>
      </c>
      <c r="F692" s="103" t="str">
        <f>IF($B692&lt;&gt;"",INDEX(DataOB[],FirstRow+ROW()-7,5),"")</f>
        <v/>
      </c>
      <c r="G692" s="58">
        <f>IF($B692&lt;&gt;"",SUMIFS(DataAct_tbl[AMOUNT],DataAct_tbl[BG CODE],Detail!$D692,DataAct_tbl[MONTH],LEFT(MonthName,3),DataAct_tbl[Dept code],$B692),0)</f>
        <v>0</v>
      </c>
      <c r="H692" s="31" t="str">
        <f t="shared" si="97"/>
        <v/>
      </c>
      <c r="I692" s="28" t="str">
        <f t="shared" si="98"/>
        <v/>
      </c>
      <c r="J692" s="32" t="str">
        <f t="shared" si="99"/>
        <v/>
      </c>
      <c r="K692" s="86"/>
      <c r="L692" s="62">
        <f>IF($B692&lt;&gt;"",SUMIFS(DataAct_tbl[AMOUNT],DataAct_tbl[BG CODE],Detail!$D692,DataAct_tbl[Check Range],"=true",DataAct_tbl[Dept code],$B692),0)</f>
        <v>0</v>
      </c>
      <c r="M692" s="63">
        <f>INDEX($AG$7:$AR$1005,ROW()-6,MATCH(MTD,$AG$6:$AR$6,0))</f>
        <v>0</v>
      </c>
      <c r="N692" s="34">
        <f t="shared" si="100"/>
        <v>0</v>
      </c>
      <c r="O692" s="64" t="str">
        <f t="shared" si="101"/>
        <v xml:space="preserve"> </v>
      </c>
      <c r="Q692" s="97">
        <f t="shared" si="102"/>
        <v>0</v>
      </c>
      <c r="R692" s="96">
        <f t="shared" si="103"/>
        <v>0</v>
      </c>
      <c r="T692" s="67" t="str">
        <f>IF($B692&lt;&gt;"",INDEX(DataOB[],FirstRow+ROW()-7,MATCH(T$6,DataOB[#Headers],0)),"")</f>
        <v/>
      </c>
      <c r="U692" s="67" t="str">
        <f>IF($B692&lt;&gt;"",INDEX(DataOB[],FirstRow+ROW()-7,MATCH(U$6,DataOB[#Headers],0)),"")</f>
        <v/>
      </c>
      <c r="V692" s="67" t="str">
        <f>IF($B692&lt;&gt;"",INDEX(DataOB[],FirstRow+ROW()-7,MATCH(V$6,DataOB[#Headers],0)),"")</f>
        <v/>
      </c>
      <c r="W692" s="67" t="str">
        <f>IF($B692&lt;&gt;"",INDEX(DataOB[],FirstRow+ROW()-7,MATCH(W$6,DataOB[#Headers],0)),"")</f>
        <v/>
      </c>
      <c r="X692" s="67" t="str">
        <f>IF($B692&lt;&gt;"",INDEX(DataOB[],FirstRow+ROW()-7,MATCH(X$6,DataOB[#Headers],0)),"")</f>
        <v/>
      </c>
      <c r="Y692" s="67" t="str">
        <f>IF($B692&lt;&gt;"",INDEX(DataOB[],FirstRow+ROW()-7,MATCH(Y$6,DataOB[#Headers],0)),"")</f>
        <v/>
      </c>
      <c r="Z692" s="67" t="str">
        <f>IF($B692&lt;&gt;"",INDEX(DataOB[],FirstRow+ROW()-7,MATCH(Z$6,DataOB[#Headers],0)),"")</f>
        <v/>
      </c>
      <c r="AA692" s="67" t="str">
        <f>IF($B692&lt;&gt;"",INDEX(DataOB[],FirstRow+ROW()-7,MATCH(AA$6,DataOB[#Headers],0)),"")</f>
        <v/>
      </c>
      <c r="AB692" s="67" t="str">
        <f>IF($B692&lt;&gt;"",INDEX(DataOB[],FirstRow+ROW()-7,MATCH(AB$6,DataOB[#Headers],0)),"")</f>
        <v/>
      </c>
      <c r="AC692" s="67" t="str">
        <f>IF($B692&lt;&gt;"",INDEX(DataOB[],FirstRow+ROW()-7,MATCH(AC$6,DataOB[#Headers],0)),"")</f>
        <v/>
      </c>
      <c r="AD692" s="67" t="str">
        <f>IF($B692&lt;&gt;"",INDEX(DataOB[],FirstRow+ROW()-7,MATCH(AD$6,DataOB[#Headers],0)),"")</f>
        <v/>
      </c>
      <c r="AE692" s="67" t="str">
        <f>IF($B692&lt;&gt;"",INDEX(DataOB[],FirstRow+ROW()-7,MATCH(AE$6,DataOB[#Headers],0)),"")</f>
        <v/>
      </c>
      <c r="AF692" s="26">
        <f t="shared" si="104"/>
        <v>0</v>
      </c>
      <c r="AG692" s="31">
        <f>SUM($T692:T692)</f>
        <v>0</v>
      </c>
      <c r="AH692" s="31">
        <f>SUM($T692:U692)</f>
        <v>0</v>
      </c>
      <c r="AI692" s="31">
        <f>SUM($T692:V692)</f>
        <v>0</v>
      </c>
      <c r="AJ692" s="31">
        <f>SUM($T692:W692)</f>
        <v>0</v>
      </c>
      <c r="AK692" s="31">
        <f>SUM($T692:X692)</f>
        <v>0</v>
      </c>
      <c r="AL692" s="31">
        <f>SUM($T692:Y692)</f>
        <v>0</v>
      </c>
      <c r="AM692" s="31">
        <f>SUM($T692:Z692)</f>
        <v>0</v>
      </c>
      <c r="AN692" s="31">
        <f>SUM($T692:AA692)</f>
        <v>0</v>
      </c>
      <c r="AO692" s="31">
        <f>SUM($T692:AB692)</f>
        <v>0</v>
      </c>
      <c r="AP692" s="31">
        <f>SUM($T692:AC692)</f>
        <v>0</v>
      </c>
      <c r="AQ692" s="31">
        <f>SUM($T692:AD692)</f>
        <v>0</v>
      </c>
      <c r="AR692" s="31">
        <f>SUM($T692:AE692)</f>
        <v>0</v>
      </c>
      <c r="AS692" s="27">
        <f t="shared" si="105"/>
        <v>0</v>
      </c>
    </row>
    <row r="693" spans="2:45">
      <c r="B693" s="102" t="str">
        <f>IF(ROW()-6&gt;NumCostCenter,"",IF(CostCenter&lt;&gt;"ALL",CostCenter,DATA_LF2!B691))</f>
        <v/>
      </c>
      <c r="C693" s="153" t="str">
        <f>IF($B693&lt;&gt;"",INDEX(DataOB[],FirstRow+ROW()-7,2),"")</f>
        <v/>
      </c>
      <c r="D693" s="66" t="str">
        <f>IF($B693&lt;&gt;"",INDEX(DataOB[],FirstRow+ROW()-7,3),"")</f>
        <v/>
      </c>
      <c r="E693" s="103" t="str">
        <f>IF($B693&lt;&gt;"",INDEX(DataOB[],FirstRow+ROW()-7,6),"")</f>
        <v/>
      </c>
      <c r="F693" s="103" t="str">
        <f>IF($B693&lt;&gt;"",INDEX(DataOB[],FirstRow+ROW()-7,5),"")</f>
        <v/>
      </c>
      <c r="G693" s="58">
        <f>IF($B693&lt;&gt;"",SUMIFS(DataAct_tbl[AMOUNT],DataAct_tbl[BG CODE],Detail!$D693,DataAct_tbl[MONTH],LEFT(MonthName,3),DataAct_tbl[Dept code],$B693),0)</f>
        <v>0</v>
      </c>
      <c r="H693" s="31" t="str">
        <f t="shared" si="97"/>
        <v/>
      </c>
      <c r="I693" s="28" t="str">
        <f t="shared" si="98"/>
        <v/>
      </c>
      <c r="J693" s="32" t="str">
        <f t="shared" si="99"/>
        <v/>
      </c>
      <c r="K693" s="86"/>
      <c r="L693" s="62">
        <f>IF($B693&lt;&gt;"",SUMIFS(DataAct_tbl[AMOUNT],DataAct_tbl[BG CODE],Detail!$D693,DataAct_tbl[Check Range],"=true",DataAct_tbl[Dept code],$B693),0)</f>
        <v>0</v>
      </c>
      <c r="M693" s="63">
        <f>INDEX($AG$7:$AR$1005,ROW()-6,MATCH(MTD,$AG$6:$AR$6,0))</f>
        <v>0</v>
      </c>
      <c r="N693" s="34">
        <f t="shared" si="100"/>
        <v>0</v>
      </c>
      <c r="O693" s="64" t="str">
        <f t="shared" si="101"/>
        <v xml:space="preserve"> </v>
      </c>
      <c r="Q693" s="97">
        <f t="shared" si="102"/>
        <v>0</v>
      </c>
      <c r="R693" s="96">
        <f t="shared" si="103"/>
        <v>0</v>
      </c>
      <c r="T693" s="67" t="str">
        <f>IF($B693&lt;&gt;"",INDEX(DataOB[],FirstRow+ROW()-7,MATCH(T$6,DataOB[#Headers],0)),"")</f>
        <v/>
      </c>
      <c r="U693" s="67" t="str">
        <f>IF($B693&lt;&gt;"",INDEX(DataOB[],FirstRow+ROW()-7,MATCH(U$6,DataOB[#Headers],0)),"")</f>
        <v/>
      </c>
      <c r="V693" s="67" t="str">
        <f>IF($B693&lt;&gt;"",INDEX(DataOB[],FirstRow+ROW()-7,MATCH(V$6,DataOB[#Headers],0)),"")</f>
        <v/>
      </c>
      <c r="W693" s="67" t="str">
        <f>IF($B693&lt;&gt;"",INDEX(DataOB[],FirstRow+ROW()-7,MATCH(W$6,DataOB[#Headers],0)),"")</f>
        <v/>
      </c>
      <c r="X693" s="67" t="str">
        <f>IF($B693&lt;&gt;"",INDEX(DataOB[],FirstRow+ROW()-7,MATCH(X$6,DataOB[#Headers],0)),"")</f>
        <v/>
      </c>
      <c r="Y693" s="67" t="str">
        <f>IF($B693&lt;&gt;"",INDEX(DataOB[],FirstRow+ROW()-7,MATCH(Y$6,DataOB[#Headers],0)),"")</f>
        <v/>
      </c>
      <c r="Z693" s="67" t="str">
        <f>IF($B693&lt;&gt;"",INDEX(DataOB[],FirstRow+ROW()-7,MATCH(Z$6,DataOB[#Headers],0)),"")</f>
        <v/>
      </c>
      <c r="AA693" s="67" t="str">
        <f>IF($B693&lt;&gt;"",INDEX(DataOB[],FirstRow+ROW()-7,MATCH(AA$6,DataOB[#Headers],0)),"")</f>
        <v/>
      </c>
      <c r="AB693" s="67" t="str">
        <f>IF($B693&lt;&gt;"",INDEX(DataOB[],FirstRow+ROW()-7,MATCH(AB$6,DataOB[#Headers],0)),"")</f>
        <v/>
      </c>
      <c r="AC693" s="67" t="str">
        <f>IF($B693&lt;&gt;"",INDEX(DataOB[],FirstRow+ROW()-7,MATCH(AC$6,DataOB[#Headers],0)),"")</f>
        <v/>
      </c>
      <c r="AD693" s="67" t="str">
        <f>IF($B693&lt;&gt;"",INDEX(DataOB[],FirstRow+ROW()-7,MATCH(AD$6,DataOB[#Headers],0)),"")</f>
        <v/>
      </c>
      <c r="AE693" s="67" t="str">
        <f>IF($B693&lt;&gt;"",INDEX(DataOB[],FirstRow+ROW()-7,MATCH(AE$6,DataOB[#Headers],0)),"")</f>
        <v/>
      </c>
      <c r="AF693" s="26">
        <f t="shared" si="104"/>
        <v>0</v>
      </c>
      <c r="AG693" s="31">
        <f>SUM($T693:T693)</f>
        <v>0</v>
      </c>
      <c r="AH693" s="31">
        <f>SUM($T693:U693)</f>
        <v>0</v>
      </c>
      <c r="AI693" s="31">
        <f>SUM($T693:V693)</f>
        <v>0</v>
      </c>
      <c r="AJ693" s="31">
        <f>SUM($T693:W693)</f>
        <v>0</v>
      </c>
      <c r="AK693" s="31">
        <f>SUM($T693:X693)</f>
        <v>0</v>
      </c>
      <c r="AL693" s="31">
        <f>SUM($T693:Y693)</f>
        <v>0</v>
      </c>
      <c r="AM693" s="31">
        <f>SUM($T693:Z693)</f>
        <v>0</v>
      </c>
      <c r="AN693" s="31">
        <f>SUM($T693:AA693)</f>
        <v>0</v>
      </c>
      <c r="AO693" s="31">
        <f>SUM($T693:AB693)</f>
        <v>0</v>
      </c>
      <c r="AP693" s="31">
        <f>SUM($T693:AC693)</f>
        <v>0</v>
      </c>
      <c r="AQ693" s="31">
        <f>SUM($T693:AD693)</f>
        <v>0</v>
      </c>
      <c r="AR693" s="31">
        <f>SUM($T693:AE693)</f>
        <v>0</v>
      </c>
      <c r="AS693" s="27">
        <f t="shared" si="105"/>
        <v>0</v>
      </c>
    </row>
    <row r="694" spans="2:45">
      <c r="B694" s="102" t="str">
        <f>IF(ROW()-6&gt;NumCostCenter,"",IF(CostCenter&lt;&gt;"ALL",CostCenter,DATA_LF2!B692))</f>
        <v/>
      </c>
      <c r="C694" s="153" t="str">
        <f>IF($B694&lt;&gt;"",INDEX(DataOB[],FirstRow+ROW()-7,2),"")</f>
        <v/>
      </c>
      <c r="D694" s="66" t="str">
        <f>IF($B694&lt;&gt;"",INDEX(DataOB[],FirstRow+ROW()-7,3),"")</f>
        <v/>
      </c>
      <c r="E694" s="103" t="str">
        <f>IF($B694&lt;&gt;"",INDEX(DataOB[],FirstRow+ROW()-7,6),"")</f>
        <v/>
      </c>
      <c r="F694" s="103" t="str">
        <f>IF($B694&lt;&gt;"",INDEX(DataOB[],FirstRow+ROW()-7,5),"")</f>
        <v/>
      </c>
      <c r="G694" s="58">
        <f>IF($B694&lt;&gt;"",SUMIFS(DataAct_tbl[AMOUNT],DataAct_tbl[BG CODE],Detail!$D694,DataAct_tbl[MONTH],LEFT(MonthName,3),DataAct_tbl[Dept code],$B694),0)</f>
        <v>0</v>
      </c>
      <c r="H694" s="31" t="str">
        <f t="shared" si="97"/>
        <v/>
      </c>
      <c r="I694" s="28" t="str">
        <f t="shared" si="98"/>
        <v/>
      </c>
      <c r="J694" s="32" t="str">
        <f t="shared" si="99"/>
        <v/>
      </c>
      <c r="K694" s="86"/>
      <c r="L694" s="62">
        <f>IF($B694&lt;&gt;"",SUMIFS(DataAct_tbl[AMOUNT],DataAct_tbl[BG CODE],Detail!$D694,DataAct_tbl[Check Range],"=true",DataAct_tbl[Dept code],$B694),0)</f>
        <v>0</v>
      </c>
      <c r="M694" s="63">
        <f>INDEX($AG$7:$AR$1005,ROW()-6,MATCH(MTD,$AG$6:$AR$6,0))</f>
        <v>0</v>
      </c>
      <c r="N694" s="34">
        <f t="shared" si="100"/>
        <v>0</v>
      </c>
      <c r="O694" s="64" t="str">
        <f t="shared" si="101"/>
        <v xml:space="preserve"> </v>
      </c>
      <c r="Q694" s="97">
        <f t="shared" si="102"/>
        <v>0</v>
      </c>
      <c r="R694" s="96">
        <f t="shared" si="103"/>
        <v>0</v>
      </c>
      <c r="T694" s="67" t="str">
        <f>IF($B694&lt;&gt;"",INDEX(DataOB[],FirstRow+ROW()-7,MATCH(T$6,DataOB[#Headers],0)),"")</f>
        <v/>
      </c>
      <c r="U694" s="67" t="str">
        <f>IF($B694&lt;&gt;"",INDEX(DataOB[],FirstRow+ROW()-7,MATCH(U$6,DataOB[#Headers],0)),"")</f>
        <v/>
      </c>
      <c r="V694" s="67" t="str">
        <f>IF($B694&lt;&gt;"",INDEX(DataOB[],FirstRow+ROW()-7,MATCH(V$6,DataOB[#Headers],0)),"")</f>
        <v/>
      </c>
      <c r="W694" s="67" t="str">
        <f>IF($B694&lt;&gt;"",INDEX(DataOB[],FirstRow+ROW()-7,MATCH(W$6,DataOB[#Headers],0)),"")</f>
        <v/>
      </c>
      <c r="X694" s="67" t="str">
        <f>IF($B694&lt;&gt;"",INDEX(DataOB[],FirstRow+ROW()-7,MATCH(X$6,DataOB[#Headers],0)),"")</f>
        <v/>
      </c>
      <c r="Y694" s="67" t="str">
        <f>IF($B694&lt;&gt;"",INDEX(DataOB[],FirstRow+ROW()-7,MATCH(Y$6,DataOB[#Headers],0)),"")</f>
        <v/>
      </c>
      <c r="Z694" s="67" t="str">
        <f>IF($B694&lt;&gt;"",INDEX(DataOB[],FirstRow+ROW()-7,MATCH(Z$6,DataOB[#Headers],0)),"")</f>
        <v/>
      </c>
      <c r="AA694" s="67" t="str">
        <f>IF($B694&lt;&gt;"",INDEX(DataOB[],FirstRow+ROW()-7,MATCH(AA$6,DataOB[#Headers],0)),"")</f>
        <v/>
      </c>
      <c r="AB694" s="67" t="str">
        <f>IF($B694&lt;&gt;"",INDEX(DataOB[],FirstRow+ROW()-7,MATCH(AB$6,DataOB[#Headers],0)),"")</f>
        <v/>
      </c>
      <c r="AC694" s="67" t="str">
        <f>IF($B694&lt;&gt;"",INDEX(DataOB[],FirstRow+ROW()-7,MATCH(AC$6,DataOB[#Headers],0)),"")</f>
        <v/>
      </c>
      <c r="AD694" s="67" t="str">
        <f>IF($B694&lt;&gt;"",INDEX(DataOB[],FirstRow+ROW()-7,MATCH(AD$6,DataOB[#Headers],0)),"")</f>
        <v/>
      </c>
      <c r="AE694" s="67" t="str">
        <f>IF($B694&lt;&gt;"",INDEX(DataOB[],FirstRow+ROW()-7,MATCH(AE$6,DataOB[#Headers],0)),"")</f>
        <v/>
      </c>
      <c r="AF694" s="26">
        <f t="shared" si="104"/>
        <v>0</v>
      </c>
      <c r="AG694" s="31">
        <f>SUM($T694:T694)</f>
        <v>0</v>
      </c>
      <c r="AH694" s="31">
        <f>SUM($T694:U694)</f>
        <v>0</v>
      </c>
      <c r="AI694" s="31">
        <f>SUM($T694:V694)</f>
        <v>0</v>
      </c>
      <c r="AJ694" s="31">
        <f>SUM($T694:W694)</f>
        <v>0</v>
      </c>
      <c r="AK694" s="31">
        <f>SUM($T694:X694)</f>
        <v>0</v>
      </c>
      <c r="AL694" s="31">
        <f>SUM($T694:Y694)</f>
        <v>0</v>
      </c>
      <c r="AM694" s="31">
        <f>SUM($T694:Z694)</f>
        <v>0</v>
      </c>
      <c r="AN694" s="31">
        <f>SUM($T694:AA694)</f>
        <v>0</v>
      </c>
      <c r="AO694" s="31">
        <f>SUM($T694:AB694)</f>
        <v>0</v>
      </c>
      <c r="AP694" s="31">
        <f>SUM($T694:AC694)</f>
        <v>0</v>
      </c>
      <c r="AQ694" s="31">
        <f>SUM($T694:AD694)</f>
        <v>0</v>
      </c>
      <c r="AR694" s="31">
        <f>SUM($T694:AE694)</f>
        <v>0</v>
      </c>
      <c r="AS694" s="27">
        <f t="shared" si="105"/>
        <v>0</v>
      </c>
    </row>
    <row r="695" spans="2:45">
      <c r="B695" s="102" t="str">
        <f>IF(ROW()-6&gt;NumCostCenter,"",IF(CostCenter&lt;&gt;"ALL",CostCenter,DATA_LF2!B693))</f>
        <v/>
      </c>
      <c r="C695" s="153" t="str">
        <f>IF($B695&lt;&gt;"",INDEX(DataOB[],FirstRow+ROW()-7,2),"")</f>
        <v/>
      </c>
      <c r="D695" s="66" t="str">
        <f>IF($B695&lt;&gt;"",INDEX(DataOB[],FirstRow+ROW()-7,3),"")</f>
        <v/>
      </c>
      <c r="E695" s="103" t="str">
        <f>IF($B695&lt;&gt;"",INDEX(DataOB[],FirstRow+ROW()-7,6),"")</f>
        <v/>
      </c>
      <c r="F695" s="103" t="str">
        <f>IF($B695&lt;&gt;"",INDEX(DataOB[],FirstRow+ROW()-7,5),"")</f>
        <v/>
      </c>
      <c r="G695" s="58">
        <f>IF($B695&lt;&gt;"",SUMIFS(DataAct_tbl[AMOUNT],DataAct_tbl[BG CODE],Detail!$D695,DataAct_tbl[MONTH],LEFT(MonthName,3),DataAct_tbl[Dept code],$B695),0)</f>
        <v>0</v>
      </c>
      <c r="H695" s="31" t="str">
        <f t="shared" si="97"/>
        <v/>
      </c>
      <c r="I695" s="28" t="str">
        <f t="shared" si="98"/>
        <v/>
      </c>
      <c r="J695" s="32" t="str">
        <f t="shared" si="99"/>
        <v/>
      </c>
      <c r="K695" s="86"/>
      <c r="L695" s="62">
        <f>IF($B695&lt;&gt;"",SUMIFS(DataAct_tbl[AMOUNT],DataAct_tbl[BG CODE],Detail!$D695,DataAct_tbl[Check Range],"=true",DataAct_tbl[Dept code],$B695),0)</f>
        <v>0</v>
      </c>
      <c r="M695" s="63">
        <f>INDEX($AG$7:$AR$1005,ROW()-6,MATCH(MTD,$AG$6:$AR$6,0))</f>
        <v>0</v>
      </c>
      <c r="N695" s="34">
        <f t="shared" si="100"/>
        <v>0</v>
      </c>
      <c r="O695" s="64" t="str">
        <f t="shared" si="101"/>
        <v xml:space="preserve"> </v>
      </c>
      <c r="Q695" s="97">
        <f t="shared" si="102"/>
        <v>0</v>
      </c>
      <c r="R695" s="96">
        <f t="shared" si="103"/>
        <v>0</v>
      </c>
      <c r="T695" s="67" t="str">
        <f>IF($B695&lt;&gt;"",INDEX(DataOB[],FirstRow+ROW()-7,MATCH(T$6,DataOB[#Headers],0)),"")</f>
        <v/>
      </c>
      <c r="U695" s="67" t="str">
        <f>IF($B695&lt;&gt;"",INDEX(DataOB[],FirstRow+ROW()-7,MATCH(U$6,DataOB[#Headers],0)),"")</f>
        <v/>
      </c>
      <c r="V695" s="67" t="str">
        <f>IF($B695&lt;&gt;"",INDEX(DataOB[],FirstRow+ROW()-7,MATCH(V$6,DataOB[#Headers],0)),"")</f>
        <v/>
      </c>
      <c r="W695" s="67" t="str">
        <f>IF($B695&lt;&gt;"",INDEX(DataOB[],FirstRow+ROW()-7,MATCH(W$6,DataOB[#Headers],0)),"")</f>
        <v/>
      </c>
      <c r="X695" s="67" t="str">
        <f>IF($B695&lt;&gt;"",INDEX(DataOB[],FirstRow+ROW()-7,MATCH(X$6,DataOB[#Headers],0)),"")</f>
        <v/>
      </c>
      <c r="Y695" s="67" t="str">
        <f>IF($B695&lt;&gt;"",INDEX(DataOB[],FirstRow+ROW()-7,MATCH(Y$6,DataOB[#Headers],0)),"")</f>
        <v/>
      </c>
      <c r="Z695" s="67" t="str">
        <f>IF($B695&lt;&gt;"",INDEX(DataOB[],FirstRow+ROW()-7,MATCH(Z$6,DataOB[#Headers],0)),"")</f>
        <v/>
      </c>
      <c r="AA695" s="67" t="str">
        <f>IF($B695&lt;&gt;"",INDEX(DataOB[],FirstRow+ROW()-7,MATCH(AA$6,DataOB[#Headers],0)),"")</f>
        <v/>
      </c>
      <c r="AB695" s="67" t="str">
        <f>IF($B695&lt;&gt;"",INDEX(DataOB[],FirstRow+ROW()-7,MATCH(AB$6,DataOB[#Headers],0)),"")</f>
        <v/>
      </c>
      <c r="AC695" s="67" t="str">
        <f>IF($B695&lt;&gt;"",INDEX(DataOB[],FirstRow+ROW()-7,MATCH(AC$6,DataOB[#Headers],0)),"")</f>
        <v/>
      </c>
      <c r="AD695" s="67" t="str">
        <f>IF($B695&lt;&gt;"",INDEX(DataOB[],FirstRow+ROW()-7,MATCH(AD$6,DataOB[#Headers],0)),"")</f>
        <v/>
      </c>
      <c r="AE695" s="67" t="str">
        <f>IF($B695&lt;&gt;"",INDEX(DataOB[],FirstRow+ROW()-7,MATCH(AE$6,DataOB[#Headers],0)),"")</f>
        <v/>
      </c>
      <c r="AF695" s="26">
        <f t="shared" si="104"/>
        <v>0</v>
      </c>
      <c r="AG695" s="31">
        <f>SUM($T695:T695)</f>
        <v>0</v>
      </c>
      <c r="AH695" s="31">
        <f>SUM($T695:U695)</f>
        <v>0</v>
      </c>
      <c r="AI695" s="31">
        <f>SUM($T695:V695)</f>
        <v>0</v>
      </c>
      <c r="AJ695" s="31">
        <f>SUM($T695:W695)</f>
        <v>0</v>
      </c>
      <c r="AK695" s="31">
        <f>SUM($T695:X695)</f>
        <v>0</v>
      </c>
      <c r="AL695" s="31">
        <f>SUM($T695:Y695)</f>
        <v>0</v>
      </c>
      <c r="AM695" s="31">
        <f>SUM($T695:Z695)</f>
        <v>0</v>
      </c>
      <c r="AN695" s="31">
        <f>SUM($T695:AA695)</f>
        <v>0</v>
      </c>
      <c r="AO695" s="31">
        <f>SUM($T695:AB695)</f>
        <v>0</v>
      </c>
      <c r="AP695" s="31">
        <f>SUM($T695:AC695)</f>
        <v>0</v>
      </c>
      <c r="AQ695" s="31">
        <f>SUM($T695:AD695)</f>
        <v>0</v>
      </c>
      <c r="AR695" s="31">
        <f>SUM($T695:AE695)</f>
        <v>0</v>
      </c>
      <c r="AS695" s="27">
        <f t="shared" si="105"/>
        <v>0</v>
      </c>
    </row>
    <row r="696" spans="2:45">
      <c r="B696" s="102" t="str">
        <f>IF(ROW()-6&gt;NumCostCenter,"",IF(CostCenter&lt;&gt;"ALL",CostCenter,DATA_LF2!B694))</f>
        <v/>
      </c>
      <c r="C696" s="153" t="str">
        <f>IF($B696&lt;&gt;"",INDEX(DataOB[],FirstRow+ROW()-7,2),"")</f>
        <v/>
      </c>
      <c r="D696" s="66" t="str">
        <f>IF($B696&lt;&gt;"",INDEX(DataOB[],FirstRow+ROW()-7,3),"")</f>
        <v/>
      </c>
      <c r="E696" s="103" t="str">
        <f>IF($B696&lt;&gt;"",INDEX(DataOB[],FirstRow+ROW()-7,6),"")</f>
        <v/>
      </c>
      <c r="F696" s="103" t="str">
        <f>IF($B696&lt;&gt;"",INDEX(DataOB[],FirstRow+ROW()-7,5),"")</f>
        <v/>
      </c>
      <c r="G696" s="58">
        <f>IF($B696&lt;&gt;"",SUMIFS(DataAct_tbl[AMOUNT],DataAct_tbl[BG CODE],Detail!$D696,DataAct_tbl[MONTH],LEFT(MonthName,3),DataAct_tbl[Dept code],$B696),0)</f>
        <v>0</v>
      </c>
      <c r="H696" s="31" t="str">
        <f t="shared" si="97"/>
        <v/>
      </c>
      <c r="I696" s="28" t="str">
        <f t="shared" si="98"/>
        <v/>
      </c>
      <c r="J696" s="32" t="str">
        <f t="shared" si="99"/>
        <v/>
      </c>
      <c r="K696" s="86"/>
      <c r="L696" s="62">
        <f>IF($B696&lt;&gt;"",SUMIFS(DataAct_tbl[AMOUNT],DataAct_tbl[BG CODE],Detail!$D696,DataAct_tbl[Check Range],"=true",DataAct_tbl[Dept code],$B696),0)</f>
        <v>0</v>
      </c>
      <c r="M696" s="63">
        <f>INDEX($AG$7:$AR$1005,ROW()-6,MATCH(MTD,$AG$6:$AR$6,0))</f>
        <v>0</v>
      </c>
      <c r="N696" s="34">
        <f t="shared" si="100"/>
        <v>0</v>
      </c>
      <c r="O696" s="64" t="str">
        <f t="shared" si="101"/>
        <v xml:space="preserve"> </v>
      </c>
      <c r="Q696" s="97">
        <f t="shared" si="102"/>
        <v>0</v>
      </c>
      <c r="R696" s="96">
        <f t="shared" si="103"/>
        <v>0</v>
      </c>
      <c r="T696" s="67" t="str">
        <f>IF($B696&lt;&gt;"",INDEX(DataOB[],FirstRow+ROW()-7,MATCH(T$6,DataOB[#Headers],0)),"")</f>
        <v/>
      </c>
      <c r="U696" s="67" t="str">
        <f>IF($B696&lt;&gt;"",INDEX(DataOB[],FirstRow+ROW()-7,MATCH(U$6,DataOB[#Headers],0)),"")</f>
        <v/>
      </c>
      <c r="V696" s="67" t="str">
        <f>IF($B696&lt;&gt;"",INDEX(DataOB[],FirstRow+ROW()-7,MATCH(V$6,DataOB[#Headers],0)),"")</f>
        <v/>
      </c>
      <c r="W696" s="67" t="str">
        <f>IF($B696&lt;&gt;"",INDEX(DataOB[],FirstRow+ROW()-7,MATCH(W$6,DataOB[#Headers],0)),"")</f>
        <v/>
      </c>
      <c r="X696" s="67" t="str">
        <f>IF($B696&lt;&gt;"",INDEX(DataOB[],FirstRow+ROW()-7,MATCH(X$6,DataOB[#Headers],0)),"")</f>
        <v/>
      </c>
      <c r="Y696" s="67" t="str">
        <f>IF($B696&lt;&gt;"",INDEX(DataOB[],FirstRow+ROW()-7,MATCH(Y$6,DataOB[#Headers],0)),"")</f>
        <v/>
      </c>
      <c r="Z696" s="67" t="str">
        <f>IF($B696&lt;&gt;"",INDEX(DataOB[],FirstRow+ROW()-7,MATCH(Z$6,DataOB[#Headers],0)),"")</f>
        <v/>
      </c>
      <c r="AA696" s="67" t="str">
        <f>IF($B696&lt;&gt;"",INDEX(DataOB[],FirstRow+ROW()-7,MATCH(AA$6,DataOB[#Headers],0)),"")</f>
        <v/>
      </c>
      <c r="AB696" s="67" t="str">
        <f>IF($B696&lt;&gt;"",INDEX(DataOB[],FirstRow+ROW()-7,MATCH(AB$6,DataOB[#Headers],0)),"")</f>
        <v/>
      </c>
      <c r="AC696" s="67" t="str">
        <f>IF($B696&lt;&gt;"",INDEX(DataOB[],FirstRow+ROW()-7,MATCH(AC$6,DataOB[#Headers],0)),"")</f>
        <v/>
      </c>
      <c r="AD696" s="67" t="str">
        <f>IF($B696&lt;&gt;"",INDEX(DataOB[],FirstRow+ROW()-7,MATCH(AD$6,DataOB[#Headers],0)),"")</f>
        <v/>
      </c>
      <c r="AE696" s="67" t="str">
        <f>IF($B696&lt;&gt;"",INDEX(DataOB[],FirstRow+ROW()-7,MATCH(AE$6,DataOB[#Headers],0)),"")</f>
        <v/>
      </c>
      <c r="AF696" s="26">
        <f t="shared" si="104"/>
        <v>0</v>
      </c>
      <c r="AG696" s="31">
        <f>SUM($T696:T696)</f>
        <v>0</v>
      </c>
      <c r="AH696" s="31">
        <f>SUM($T696:U696)</f>
        <v>0</v>
      </c>
      <c r="AI696" s="31">
        <f>SUM($T696:V696)</f>
        <v>0</v>
      </c>
      <c r="AJ696" s="31">
        <f>SUM($T696:W696)</f>
        <v>0</v>
      </c>
      <c r="AK696" s="31">
        <f>SUM($T696:X696)</f>
        <v>0</v>
      </c>
      <c r="AL696" s="31">
        <f>SUM($T696:Y696)</f>
        <v>0</v>
      </c>
      <c r="AM696" s="31">
        <f>SUM($T696:Z696)</f>
        <v>0</v>
      </c>
      <c r="AN696" s="31">
        <f>SUM($T696:AA696)</f>
        <v>0</v>
      </c>
      <c r="AO696" s="31">
        <f>SUM($T696:AB696)</f>
        <v>0</v>
      </c>
      <c r="AP696" s="31">
        <f>SUM($T696:AC696)</f>
        <v>0</v>
      </c>
      <c r="AQ696" s="31">
        <f>SUM($T696:AD696)</f>
        <v>0</v>
      </c>
      <c r="AR696" s="31">
        <f>SUM($T696:AE696)</f>
        <v>0</v>
      </c>
      <c r="AS696" s="27">
        <f t="shared" si="105"/>
        <v>0</v>
      </c>
    </row>
    <row r="697" spans="2:45">
      <c r="B697" s="102" t="str">
        <f>IF(ROW()-6&gt;NumCostCenter,"",IF(CostCenter&lt;&gt;"ALL",CostCenter,DATA_LF2!B695))</f>
        <v/>
      </c>
      <c r="C697" s="153" t="str">
        <f>IF($B697&lt;&gt;"",INDEX(DataOB[],FirstRow+ROW()-7,2),"")</f>
        <v/>
      </c>
      <c r="D697" s="66" t="str">
        <f>IF($B697&lt;&gt;"",INDEX(DataOB[],FirstRow+ROW()-7,3),"")</f>
        <v/>
      </c>
      <c r="E697" s="103" t="str">
        <f>IF($B697&lt;&gt;"",INDEX(DataOB[],FirstRow+ROW()-7,6),"")</f>
        <v/>
      </c>
      <c r="F697" s="103" t="str">
        <f>IF($B697&lt;&gt;"",INDEX(DataOB[],FirstRow+ROW()-7,5),"")</f>
        <v/>
      </c>
      <c r="G697" s="58">
        <f>IF($B697&lt;&gt;"",SUMIFS(DataAct_tbl[AMOUNT],DataAct_tbl[BG CODE],Detail!$D697,DataAct_tbl[MONTH],LEFT(MonthName,3),DataAct_tbl[Dept code],$B697),0)</f>
        <v>0</v>
      </c>
      <c r="H697" s="31" t="str">
        <f t="shared" si="97"/>
        <v/>
      </c>
      <c r="I697" s="28" t="str">
        <f t="shared" si="98"/>
        <v/>
      </c>
      <c r="J697" s="32" t="str">
        <f t="shared" si="99"/>
        <v/>
      </c>
      <c r="K697" s="86"/>
      <c r="L697" s="62">
        <f>IF($B697&lt;&gt;"",SUMIFS(DataAct_tbl[AMOUNT],DataAct_tbl[BG CODE],Detail!$D697,DataAct_tbl[Check Range],"=true",DataAct_tbl[Dept code],$B697),0)</f>
        <v>0</v>
      </c>
      <c r="M697" s="63">
        <f>INDEX($AG$7:$AR$1005,ROW()-6,MATCH(MTD,$AG$6:$AR$6,0))</f>
        <v>0</v>
      </c>
      <c r="N697" s="34">
        <f t="shared" si="100"/>
        <v>0</v>
      </c>
      <c r="O697" s="64" t="str">
        <f t="shared" si="101"/>
        <v xml:space="preserve"> </v>
      </c>
      <c r="Q697" s="97">
        <f t="shared" si="102"/>
        <v>0</v>
      </c>
      <c r="R697" s="96">
        <f t="shared" si="103"/>
        <v>0</v>
      </c>
      <c r="T697" s="67" t="str">
        <f>IF($B697&lt;&gt;"",INDEX(DataOB[],FirstRow+ROW()-7,MATCH(T$6,DataOB[#Headers],0)),"")</f>
        <v/>
      </c>
      <c r="U697" s="67" t="str">
        <f>IF($B697&lt;&gt;"",INDEX(DataOB[],FirstRow+ROW()-7,MATCH(U$6,DataOB[#Headers],0)),"")</f>
        <v/>
      </c>
      <c r="V697" s="67" t="str">
        <f>IF($B697&lt;&gt;"",INDEX(DataOB[],FirstRow+ROW()-7,MATCH(V$6,DataOB[#Headers],0)),"")</f>
        <v/>
      </c>
      <c r="W697" s="67" t="str">
        <f>IF($B697&lt;&gt;"",INDEX(DataOB[],FirstRow+ROW()-7,MATCH(W$6,DataOB[#Headers],0)),"")</f>
        <v/>
      </c>
      <c r="X697" s="67" t="str">
        <f>IF($B697&lt;&gt;"",INDEX(DataOB[],FirstRow+ROW()-7,MATCH(X$6,DataOB[#Headers],0)),"")</f>
        <v/>
      </c>
      <c r="Y697" s="67" t="str">
        <f>IF($B697&lt;&gt;"",INDEX(DataOB[],FirstRow+ROW()-7,MATCH(Y$6,DataOB[#Headers],0)),"")</f>
        <v/>
      </c>
      <c r="Z697" s="67" t="str">
        <f>IF($B697&lt;&gt;"",INDEX(DataOB[],FirstRow+ROW()-7,MATCH(Z$6,DataOB[#Headers],0)),"")</f>
        <v/>
      </c>
      <c r="AA697" s="67" t="str">
        <f>IF($B697&lt;&gt;"",INDEX(DataOB[],FirstRow+ROW()-7,MATCH(AA$6,DataOB[#Headers],0)),"")</f>
        <v/>
      </c>
      <c r="AB697" s="67" t="str">
        <f>IF($B697&lt;&gt;"",INDEX(DataOB[],FirstRow+ROW()-7,MATCH(AB$6,DataOB[#Headers],0)),"")</f>
        <v/>
      </c>
      <c r="AC697" s="67" t="str">
        <f>IF($B697&lt;&gt;"",INDEX(DataOB[],FirstRow+ROW()-7,MATCH(AC$6,DataOB[#Headers],0)),"")</f>
        <v/>
      </c>
      <c r="AD697" s="67" t="str">
        <f>IF($B697&lt;&gt;"",INDEX(DataOB[],FirstRow+ROW()-7,MATCH(AD$6,DataOB[#Headers],0)),"")</f>
        <v/>
      </c>
      <c r="AE697" s="67" t="str">
        <f>IF($B697&lt;&gt;"",INDEX(DataOB[],FirstRow+ROW()-7,MATCH(AE$6,DataOB[#Headers],0)),"")</f>
        <v/>
      </c>
      <c r="AF697" s="26">
        <f t="shared" si="104"/>
        <v>0</v>
      </c>
      <c r="AG697" s="31">
        <f>SUM($T697:T697)</f>
        <v>0</v>
      </c>
      <c r="AH697" s="31">
        <f>SUM($T697:U697)</f>
        <v>0</v>
      </c>
      <c r="AI697" s="31">
        <f>SUM($T697:V697)</f>
        <v>0</v>
      </c>
      <c r="AJ697" s="31">
        <f>SUM($T697:W697)</f>
        <v>0</v>
      </c>
      <c r="AK697" s="31">
        <f>SUM($T697:X697)</f>
        <v>0</v>
      </c>
      <c r="AL697" s="31">
        <f>SUM($T697:Y697)</f>
        <v>0</v>
      </c>
      <c r="AM697" s="31">
        <f>SUM($T697:Z697)</f>
        <v>0</v>
      </c>
      <c r="AN697" s="31">
        <f>SUM($T697:AA697)</f>
        <v>0</v>
      </c>
      <c r="AO697" s="31">
        <f>SUM($T697:AB697)</f>
        <v>0</v>
      </c>
      <c r="AP697" s="31">
        <f>SUM($T697:AC697)</f>
        <v>0</v>
      </c>
      <c r="AQ697" s="31">
        <f>SUM($T697:AD697)</f>
        <v>0</v>
      </c>
      <c r="AR697" s="31">
        <f>SUM($T697:AE697)</f>
        <v>0</v>
      </c>
      <c r="AS697" s="27">
        <f t="shared" si="105"/>
        <v>0</v>
      </c>
    </row>
    <row r="698" spans="2:45">
      <c r="B698" s="102" t="str">
        <f>IF(ROW()-6&gt;NumCostCenter,"",IF(CostCenter&lt;&gt;"ALL",CostCenter,DATA_LF2!B696))</f>
        <v/>
      </c>
      <c r="C698" s="153" t="str">
        <f>IF($B698&lt;&gt;"",INDEX(DataOB[],FirstRow+ROW()-7,2),"")</f>
        <v/>
      </c>
      <c r="D698" s="66" t="str">
        <f>IF($B698&lt;&gt;"",INDEX(DataOB[],FirstRow+ROW()-7,3),"")</f>
        <v/>
      </c>
      <c r="E698" s="103" t="str">
        <f>IF($B698&lt;&gt;"",INDEX(DataOB[],FirstRow+ROW()-7,6),"")</f>
        <v/>
      </c>
      <c r="F698" s="103" t="str">
        <f>IF($B698&lt;&gt;"",INDEX(DataOB[],FirstRow+ROW()-7,5),"")</f>
        <v/>
      </c>
      <c r="G698" s="58">
        <f>IF($B698&lt;&gt;"",SUMIFS(DataAct_tbl[AMOUNT],DataAct_tbl[BG CODE],Detail!$D698,DataAct_tbl[MONTH],LEFT(MonthName,3),DataAct_tbl[Dept code],$B698),0)</f>
        <v>0</v>
      </c>
      <c r="H698" s="31" t="str">
        <f t="shared" si="97"/>
        <v/>
      </c>
      <c r="I698" s="28" t="str">
        <f t="shared" si="98"/>
        <v/>
      </c>
      <c r="J698" s="32" t="str">
        <f t="shared" si="99"/>
        <v/>
      </c>
      <c r="K698" s="86"/>
      <c r="L698" s="62">
        <f>IF($B698&lt;&gt;"",SUMIFS(DataAct_tbl[AMOUNT],DataAct_tbl[BG CODE],Detail!$D698,DataAct_tbl[Check Range],"=true",DataAct_tbl[Dept code],$B698),0)</f>
        <v>0</v>
      </c>
      <c r="M698" s="63">
        <f>INDEX($AG$7:$AR$1005,ROW()-6,MATCH(MTD,$AG$6:$AR$6,0))</f>
        <v>0</v>
      </c>
      <c r="N698" s="34">
        <f t="shared" si="100"/>
        <v>0</v>
      </c>
      <c r="O698" s="64" t="str">
        <f t="shared" si="101"/>
        <v xml:space="preserve"> </v>
      </c>
      <c r="Q698" s="97">
        <f t="shared" si="102"/>
        <v>0</v>
      </c>
      <c r="R698" s="96">
        <f t="shared" si="103"/>
        <v>0</v>
      </c>
      <c r="T698" s="67" t="str">
        <f>IF($B698&lt;&gt;"",INDEX(DataOB[],FirstRow+ROW()-7,MATCH(T$6,DataOB[#Headers],0)),"")</f>
        <v/>
      </c>
      <c r="U698" s="67" t="str">
        <f>IF($B698&lt;&gt;"",INDEX(DataOB[],FirstRow+ROW()-7,MATCH(U$6,DataOB[#Headers],0)),"")</f>
        <v/>
      </c>
      <c r="V698" s="67" t="str">
        <f>IF($B698&lt;&gt;"",INDEX(DataOB[],FirstRow+ROW()-7,MATCH(V$6,DataOB[#Headers],0)),"")</f>
        <v/>
      </c>
      <c r="W698" s="67" t="str">
        <f>IF($B698&lt;&gt;"",INDEX(DataOB[],FirstRow+ROW()-7,MATCH(W$6,DataOB[#Headers],0)),"")</f>
        <v/>
      </c>
      <c r="X698" s="67" t="str">
        <f>IF($B698&lt;&gt;"",INDEX(DataOB[],FirstRow+ROW()-7,MATCH(X$6,DataOB[#Headers],0)),"")</f>
        <v/>
      </c>
      <c r="Y698" s="67" t="str">
        <f>IF($B698&lt;&gt;"",INDEX(DataOB[],FirstRow+ROW()-7,MATCH(Y$6,DataOB[#Headers],0)),"")</f>
        <v/>
      </c>
      <c r="Z698" s="67" t="str">
        <f>IF($B698&lt;&gt;"",INDEX(DataOB[],FirstRow+ROW()-7,MATCH(Z$6,DataOB[#Headers],0)),"")</f>
        <v/>
      </c>
      <c r="AA698" s="67" t="str">
        <f>IF($B698&lt;&gt;"",INDEX(DataOB[],FirstRow+ROW()-7,MATCH(AA$6,DataOB[#Headers],0)),"")</f>
        <v/>
      </c>
      <c r="AB698" s="67" t="str">
        <f>IF($B698&lt;&gt;"",INDEX(DataOB[],FirstRow+ROW()-7,MATCH(AB$6,DataOB[#Headers],0)),"")</f>
        <v/>
      </c>
      <c r="AC698" s="67" t="str">
        <f>IF($B698&lt;&gt;"",INDEX(DataOB[],FirstRow+ROW()-7,MATCH(AC$6,DataOB[#Headers],0)),"")</f>
        <v/>
      </c>
      <c r="AD698" s="67" t="str">
        <f>IF($B698&lt;&gt;"",INDEX(DataOB[],FirstRow+ROW()-7,MATCH(AD$6,DataOB[#Headers],0)),"")</f>
        <v/>
      </c>
      <c r="AE698" s="67" t="str">
        <f>IF($B698&lt;&gt;"",INDEX(DataOB[],FirstRow+ROW()-7,MATCH(AE$6,DataOB[#Headers],0)),"")</f>
        <v/>
      </c>
      <c r="AF698" s="26">
        <f t="shared" si="104"/>
        <v>0</v>
      </c>
      <c r="AG698" s="31">
        <f>SUM($T698:T698)</f>
        <v>0</v>
      </c>
      <c r="AH698" s="31">
        <f>SUM($T698:U698)</f>
        <v>0</v>
      </c>
      <c r="AI698" s="31">
        <f>SUM($T698:V698)</f>
        <v>0</v>
      </c>
      <c r="AJ698" s="31">
        <f>SUM($T698:W698)</f>
        <v>0</v>
      </c>
      <c r="AK698" s="31">
        <f>SUM($T698:X698)</f>
        <v>0</v>
      </c>
      <c r="AL698" s="31">
        <f>SUM($T698:Y698)</f>
        <v>0</v>
      </c>
      <c r="AM698" s="31">
        <f>SUM($T698:Z698)</f>
        <v>0</v>
      </c>
      <c r="AN698" s="31">
        <f>SUM($T698:AA698)</f>
        <v>0</v>
      </c>
      <c r="AO698" s="31">
        <f>SUM($T698:AB698)</f>
        <v>0</v>
      </c>
      <c r="AP698" s="31">
        <f>SUM($T698:AC698)</f>
        <v>0</v>
      </c>
      <c r="AQ698" s="31">
        <f>SUM($T698:AD698)</f>
        <v>0</v>
      </c>
      <c r="AR698" s="31">
        <f>SUM($T698:AE698)</f>
        <v>0</v>
      </c>
      <c r="AS698" s="27">
        <f t="shared" si="105"/>
        <v>0</v>
      </c>
    </row>
    <row r="699" spans="2:45">
      <c r="B699" s="102" t="str">
        <f>IF(ROW()-6&gt;NumCostCenter,"",IF(CostCenter&lt;&gt;"ALL",CostCenter,DATA_LF2!B697))</f>
        <v/>
      </c>
      <c r="C699" s="153" t="str">
        <f>IF($B699&lt;&gt;"",INDEX(DataOB[],FirstRow+ROW()-7,2),"")</f>
        <v/>
      </c>
      <c r="D699" s="66" t="str">
        <f>IF($B699&lt;&gt;"",INDEX(DataOB[],FirstRow+ROW()-7,3),"")</f>
        <v/>
      </c>
      <c r="E699" s="103" t="str">
        <f>IF($B699&lt;&gt;"",INDEX(DataOB[],FirstRow+ROW()-7,6),"")</f>
        <v/>
      </c>
      <c r="F699" s="103" t="str">
        <f>IF($B699&lt;&gt;"",INDEX(DataOB[],FirstRow+ROW()-7,5),"")</f>
        <v/>
      </c>
      <c r="G699" s="58">
        <f>IF($B699&lt;&gt;"",SUMIFS(DataAct_tbl[AMOUNT],DataAct_tbl[BG CODE],Detail!$D699,DataAct_tbl[MONTH],LEFT(MonthName,3),DataAct_tbl[Dept code],$B699),0)</f>
        <v>0</v>
      </c>
      <c r="H699" s="31" t="str">
        <f t="shared" si="97"/>
        <v/>
      </c>
      <c r="I699" s="28" t="str">
        <f t="shared" si="98"/>
        <v/>
      </c>
      <c r="J699" s="32" t="str">
        <f t="shared" si="99"/>
        <v/>
      </c>
      <c r="K699" s="86"/>
      <c r="L699" s="62">
        <f>IF($B699&lt;&gt;"",SUMIFS(DataAct_tbl[AMOUNT],DataAct_tbl[BG CODE],Detail!$D699,DataAct_tbl[Check Range],"=true",DataAct_tbl[Dept code],$B699),0)</f>
        <v>0</v>
      </c>
      <c r="M699" s="63">
        <f>INDEX($AG$7:$AR$1005,ROW()-6,MATCH(MTD,$AG$6:$AR$6,0))</f>
        <v>0</v>
      </c>
      <c r="N699" s="34">
        <f t="shared" si="100"/>
        <v>0</v>
      </c>
      <c r="O699" s="64" t="str">
        <f t="shared" si="101"/>
        <v xml:space="preserve"> </v>
      </c>
      <c r="Q699" s="97">
        <f t="shared" si="102"/>
        <v>0</v>
      </c>
      <c r="R699" s="96">
        <f t="shared" si="103"/>
        <v>0</v>
      </c>
      <c r="T699" s="67" t="str">
        <f>IF($B699&lt;&gt;"",INDEX(DataOB[],FirstRow+ROW()-7,MATCH(T$6,DataOB[#Headers],0)),"")</f>
        <v/>
      </c>
      <c r="U699" s="67" t="str">
        <f>IF($B699&lt;&gt;"",INDEX(DataOB[],FirstRow+ROW()-7,MATCH(U$6,DataOB[#Headers],0)),"")</f>
        <v/>
      </c>
      <c r="V699" s="67" t="str">
        <f>IF($B699&lt;&gt;"",INDEX(DataOB[],FirstRow+ROW()-7,MATCH(V$6,DataOB[#Headers],0)),"")</f>
        <v/>
      </c>
      <c r="W699" s="67" t="str">
        <f>IF($B699&lt;&gt;"",INDEX(DataOB[],FirstRow+ROW()-7,MATCH(W$6,DataOB[#Headers],0)),"")</f>
        <v/>
      </c>
      <c r="X699" s="67" t="str">
        <f>IF($B699&lt;&gt;"",INDEX(DataOB[],FirstRow+ROW()-7,MATCH(X$6,DataOB[#Headers],0)),"")</f>
        <v/>
      </c>
      <c r="Y699" s="67" t="str">
        <f>IF($B699&lt;&gt;"",INDEX(DataOB[],FirstRow+ROW()-7,MATCH(Y$6,DataOB[#Headers],0)),"")</f>
        <v/>
      </c>
      <c r="Z699" s="67" t="str">
        <f>IF($B699&lt;&gt;"",INDEX(DataOB[],FirstRow+ROW()-7,MATCH(Z$6,DataOB[#Headers],0)),"")</f>
        <v/>
      </c>
      <c r="AA699" s="67" t="str">
        <f>IF($B699&lt;&gt;"",INDEX(DataOB[],FirstRow+ROW()-7,MATCH(AA$6,DataOB[#Headers],0)),"")</f>
        <v/>
      </c>
      <c r="AB699" s="67" t="str">
        <f>IF($B699&lt;&gt;"",INDEX(DataOB[],FirstRow+ROW()-7,MATCH(AB$6,DataOB[#Headers],0)),"")</f>
        <v/>
      </c>
      <c r="AC699" s="67" t="str">
        <f>IF($B699&lt;&gt;"",INDEX(DataOB[],FirstRow+ROW()-7,MATCH(AC$6,DataOB[#Headers],0)),"")</f>
        <v/>
      </c>
      <c r="AD699" s="67" t="str">
        <f>IF($B699&lt;&gt;"",INDEX(DataOB[],FirstRow+ROW()-7,MATCH(AD$6,DataOB[#Headers],0)),"")</f>
        <v/>
      </c>
      <c r="AE699" s="67" t="str">
        <f>IF($B699&lt;&gt;"",INDEX(DataOB[],FirstRow+ROW()-7,MATCH(AE$6,DataOB[#Headers],0)),"")</f>
        <v/>
      </c>
      <c r="AF699" s="26">
        <f t="shared" si="104"/>
        <v>0</v>
      </c>
      <c r="AG699" s="31">
        <f>SUM($T699:T699)</f>
        <v>0</v>
      </c>
      <c r="AH699" s="31">
        <f>SUM($T699:U699)</f>
        <v>0</v>
      </c>
      <c r="AI699" s="31">
        <f>SUM($T699:V699)</f>
        <v>0</v>
      </c>
      <c r="AJ699" s="31">
        <f>SUM($T699:W699)</f>
        <v>0</v>
      </c>
      <c r="AK699" s="31">
        <f>SUM($T699:X699)</f>
        <v>0</v>
      </c>
      <c r="AL699" s="31">
        <f>SUM($T699:Y699)</f>
        <v>0</v>
      </c>
      <c r="AM699" s="31">
        <f>SUM($T699:Z699)</f>
        <v>0</v>
      </c>
      <c r="AN699" s="31">
        <f>SUM($T699:AA699)</f>
        <v>0</v>
      </c>
      <c r="AO699" s="31">
        <f>SUM($T699:AB699)</f>
        <v>0</v>
      </c>
      <c r="AP699" s="31">
        <f>SUM($T699:AC699)</f>
        <v>0</v>
      </c>
      <c r="AQ699" s="31">
        <f>SUM($T699:AD699)</f>
        <v>0</v>
      </c>
      <c r="AR699" s="31">
        <f>SUM($T699:AE699)</f>
        <v>0</v>
      </c>
      <c r="AS699" s="27">
        <f t="shared" si="105"/>
        <v>0</v>
      </c>
    </row>
    <row r="700" spans="2:45">
      <c r="B700" s="102" t="str">
        <f>IF(ROW()-6&gt;NumCostCenter,"",IF(CostCenter&lt;&gt;"ALL",CostCenter,DATA_LF2!B698))</f>
        <v/>
      </c>
      <c r="C700" s="153" t="str">
        <f>IF($B700&lt;&gt;"",INDEX(DataOB[],FirstRow+ROW()-7,2),"")</f>
        <v/>
      </c>
      <c r="D700" s="66" t="str">
        <f>IF($B700&lt;&gt;"",INDEX(DataOB[],FirstRow+ROW()-7,3),"")</f>
        <v/>
      </c>
      <c r="E700" s="103" t="str">
        <f>IF($B700&lt;&gt;"",INDEX(DataOB[],FirstRow+ROW()-7,6),"")</f>
        <v/>
      </c>
      <c r="F700" s="103" t="str">
        <f>IF($B700&lt;&gt;"",INDEX(DataOB[],FirstRow+ROW()-7,5),"")</f>
        <v/>
      </c>
      <c r="G700" s="58">
        <f>IF($B700&lt;&gt;"",SUMIFS(DataAct_tbl[AMOUNT],DataAct_tbl[BG CODE],Detail!$D700,DataAct_tbl[MONTH],LEFT(MonthName,3),DataAct_tbl[Dept code],$B700),0)</f>
        <v>0</v>
      </c>
      <c r="H700" s="31" t="str">
        <f t="shared" si="97"/>
        <v/>
      </c>
      <c r="I700" s="28" t="str">
        <f t="shared" si="98"/>
        <v/>
      </c>
      <c r="J700" s="32" t="str">
        <f t="shared" si="99"/>
        <v/>
      </c>
      <c r="K700" s="86"/>
      <c r="L700" s="62">
        <f>IF($B700&lt;&gt;"",SUMIFS(DataAct_tbl[AMOUNT],DataAct_tbl[BG CODE],Detail!$D700,DataAct_tbl[Check Range],"=true",DataAct_tbl[Dept code],$B700),0)</f>
        <v>0</v>
      </c>
      <c r="M700" s="63">
        <f>INDEX($AG$7:$AR$1005,ROW()-6,MATCH(MTD,$AG$6:$AR$6,0))</f>
        <v>0</v>
      </c>
      <c r="N700" s="34">
        <f t="shared" si="100"/>
        <v>0</v>
      </c>
      <c r="O700" s="64" t="str">
        <f t="shared" si="101"/>
        <v xml:space="preserve"> </v>
      </c>
      <c r="Q700" s="97">
        <f t="shared" si="102"/>
        <v>0</v>
      </c>
      <c r="R700" s="96">
        <f t="shared" si="103"/>
        <v>0</v>
      </c>
      <c r="T700" s="67" t="str">
        <f>IF($B700&lt;&gt;"",INDEX(DataOB[],FirstRow+ROW()-7,MATCH(T$6,DataOB[#Headers],0)),"")</f>
        <v/>
      </c>
      <c r="U700" s="67" t="str">
        <f>IF($B700&lt;&gt;"",INDEX(DataOB[],FirstRow+ROW()-7,MATCH(U$6,DataOB[#Headers],0)),"")</f>
        <v/>
      </c>
      <c r="V700" s="67" t="str">
        <f>IF($B700&lt;&gt;"",INDEX(DataOB[],FirstRow+ROW()-7,MATCH(V$6,DataOB[#Headers],0)),"")</f>
        <v/>
      </c>
      <c r="W700" s="67" t="str">
        <f>IF($B700&lt;&gt;"",INDEX(DataOB[],FirstRow+ROW()-7,MATCH(W$6,DataOB[#Headers],0)),"")</f>
        <v/>
      </c>
      <c r="X700" s="67" t="str">
        <f>IF($B700&lt;&gt;"",INDEX(DataOB[],FirstRow+ROW()-7,MATCH(X$6,DataOB[#Headers],0)),"")</f>
        <v/>
      </c>
      <c r="Y700" s="67" t="str">
        <f>IF($B700&lt;&gt;"",INDEX(DataOB[],FirstRow+ROW()-7,MATCH(Y$6,DataOB[#Headers],0)),"")</f>
        <v/>
      </c>
      <c r="Z700" s="67" t="str">
        <f>IF($B700&lt;&gt;"",INDEX(DataOB[],FirstRow+ROW()-7,MATCH(Z$6,DataOB[#Headers],0)),"")</f>
        <v/>
      </c>
      <c r="AA700" s="67" t="str">
        <f>IF($B700&lt;&gt;"",INDEX(DataOB[],FirstRow+ROW()-7,MATCH(AA$6,DataOB[#Headers],0)),"")</f>
        <v/>
      </c>
      <c r="AB700" s="67" t="str">
        <f>IF($B700&lt;&gt;"",INDEX(DataOB[],FirstRow+ROW()-7,MATCH(AB$6,DataOB[#Headers],0)),"")</f>
        <v/>
      </c>
      <c r="AC700" s="67" t="str">
        <f>IF($B700&lt;&gt;"",INDEX(DataOB[],FirstRow+ROW()-7,MATCH(AC$6,DataOB[#Headers],0)),"")</f>
        <v/>
      </c>
      <c r="AD700" s="67" t="str">
        <f>IF($B700&lt;&gt;"",INDEX(DataOB[],FirstRow+ROW()-7,MATCH(AD$6,DataOB[#Headers],0)),"")</f>
        <v/>
      </c>
      <c r="AE700" s="67" t="str">
        <f>IF($B700&lt;&gt;"",INDEX(DataOB[],FirstRow+ROW()-7,MATCH(AE$6,DataOB[#Headers],0)),"")</f>
        <v/>
      </c>
      <c r="AF700" s="26">
        <f t="shared" si="104"/>
        <v>0</v>
      </c>
      <c r="AG700" s="31">
        <f>SUM($T700:T700)</f>
        <v>0</v>
      </c>
      <c r="AH700" s="31">
        <f>SUM($T700:U700)</f>
        <v>0</v>
      </c>
      <c r="AI700" s="31">
        <f>SUM($T700:V700)</f>
        <v>0</v>
      </c>
      <c r="AJ700" s="31">
        <f>SUM($T700:W700)</f>
        <v>0</v>
      </c>
      <c r="AK700" s="31">
        <f>SUM($T700:X700)</f>
        <v>0</v>
      </c>
      <c r="AL700" s="31">
        <f>SUM($T700:Y700)</f>
        <v>0</v>
      </c>
      <c r="AM700" s="31">
        <f>SUM($T700:Z700)</f>
        <v>0</v>
      </c>
      <c r="AN700" s="31">
        <f>SUM($T700:AA700)</f>
        <v>0</v>
      </c>
      <c r="AO700" s="31">
        <f>SUM($T700:AB700)</f>
        <v>0</v>
      </c>
      <c r="AP700" s="31">
        <f>SUM($T700:AC700)</f>
        <v>0</v>
      </c>
      <c r="AQ700" s="31">
        <f>SUM($T700:AD700)</f>
        <v>0</v>
      </c>
      <c r="AR700" s="31">
        <f>SUM($T700:AE700)</f>
        <v>0</v>
      </c>
      <c r="AS700" s="27">
        <f t="shared" si="105"/>
        <v>0</v>
      </c>
    </row>
    <row r="701" spans="2:45">
      <c r="B701" s="102" t="str">
        <f>IF(ROW()-6&gt;NumCostCenter,"",IF(CostCenter&lt;&gt;"ALL",CostCenter,DATA_LF2!B699))</f>
        <v/>
      </c>
      <c r="C701" s="153" t="str">
        <f>IF($B701&lt;&gt;"",INDEX(DataOB[],FirstRow+ROW()-7,2),"")</f>
        <v/>
      </c>
      <c r="D701" s="66" t="str">
        <f>IF($B701&lt;&gt;"",INDEX(DataOB[],FirstRow+ROW()-7,3),"")</f>
        <v/>
      </c>
      <c r="E701" s="103" t="str">
        <f>IF($B701&lt;&gt;"",INDEX(DataOB[],FirstRow+ROW()-7,6),"")</f>
        <v/>
      </c>
      <c r="F701" s="103" t="str">
        <f>IF($B701&lt;&gt;"",INDEX(DataOB[],FirstRow+ROW()-7,5),"")</f>
        <v/>
      </c>
      <c r="G701" s="58">
        <f>IF($B701&lt;&gt;"",SUMIFS(DataAct_tbl[AMOUNT],DataAct_tbl[BG CODE],Detail!$D701,DataAct_tbl[MONTH],LEFT(MonthName,3),DataAct_tbl[Dept code],$B701),0)</f>
        <v>0</v>
      </c>
      <c r="H701" s="31" t="str">
        <f t="shared" si="97"/>
        <v/>
      </c>
      <c r="I701" s="28" t="str">
        <f t="shared" si="98"/>
        <v/>
      </c>
      <c r="J701" s="32" t="str">
        <f t="shared" si="99"/>
        <v/>
      </c>
      <c r="K701" s="86"/>
      <c r="L701" s="62">
        <f>IF($B701&lt;&gt;"",SUMIFS(DataAct_tbl[AMOUNT],DataAct_tbl[BG CODE],Detail!$D701,DataAct_tbl[Check Range],"=true",DataAct_tbl[Dept code],$B701),0)</f>
        <v>0</v>
      </c>
      <c r="M701" s="63">
        <f>INDEX($AG$7:$AR$1005,ROW()-6,MATCH(MTD,$AG$6:$AR$6,0))</f>
        <v>0</v>
      </c>
      <c r="N701" s="34">
        <f t="shared" si="100"/>
        <v>0</v>
      </c>
      <c r="O701" s="64" t="str">
        <f t="shared" si="101"/>
        <v xml:space="preserve"> </v>
      </c>
      <c r="Q701" s="97">
        <f t="shared" si="102"/>
        <v>0</v>
      </c>
      <c r="R701" s="96">
        <f t="shared" si="103"/>
        <v>0</v>
      </c>
      <c r="T701" s="67" t="str">
        <f>IF($B701&lt;&gt;"",INDEX(DataOB[],FirstRow+ROW()-7,MATCH(T$6,DataOB[#Headers],0)),"")</f>
        <v/>
      </c>
      <c r="U701" s="67" t="str">
        <f>IF($B701&lt;&gt;"",INDEX(DataOB[],FirstRow+ROW()-7,MATCH(U$6,DataOB[#Headers],0)),"")</f>
        <v/>
      </c>
      <c r="V701" s="67" t="str">
        <f>IF($B701&lt;&gt;"",INDEX(DataOB[],FirstRow+ROW()-7,MATCH(V$6,DataOB[#Headers],0)),"")</f>
        <v/>
      </c>
      <c r="W701" s="67" t="str">
        <f>IF($B701&lt;&gt;"",INDEX(DataOB[],FirstRow+ROW()-7,MATCH(W$6,DataOB[#Headers],0)),"")</f>
        <v/>
      </c>
      <c r="X701" s="67" t="str">
        <f>IF($B701&lt;&gt;"",INDEX(DataOB[],FirstRow+ROW()-7,MATCH(X$6,DataOB[#Headers],0)),"")</f>
        <v/>
      </c>
      <c r="Y701" s="67" t="str">
        <f>IF($B701&lt;&gt;"",INDEX(DataOB[],FirstRow+ROW()-7,MATCH(Y$6,DataOB[#Headers],0)),"")</f>
        <v/>
      </c>
      <c r="Z701" s="67" t="str">
        <f>IF($B701&lt;&gt;"",INDEX(DataOB[],FirstRow+ROW()-7,MATCH(Z$6,DataOB[#Headers],0)),"")</f>
        <v/>
      </c>
      <c r="AA701" s="67" t="str">
        <f>IF($B701&lt;&gt;"",INDEX(DataOB[],FirstRow+ROW()-7,MATCH(AA$6,DataOB[#Headers],0)),"")</f>
        <v/>
      </c>
      <c r="AB701" s="67" t="str">
        <f>IF($B701&lt;&gt;"",INDEX(DataOB[],FirstRow+ROW()-7,MATCH(AB$6,DataOB[#Headers],0)),"")</f>
        <v/>
      </c>
      <c r="AC701" s="67" t="str">
        <f>IF($B701&lt;&gt;"",INDEX(DataOB[],FirstRow+ROW()-7,MATCH(AC$6,DataOB[#Headers],0)),"")</f>
        <v/>
      </c>
      <c r="AD701" s="67" t="str">
        <f>IF($B701&lt;&gt;"",INDEX(DataOB[],FirstRow+ROW()-7,MATCH(AD$6,DataOB[#Headers],0)),"")</f>
        <v/>
      </c>
      <c r="AE701" s="67" t="str">
        <f>IF($B701&lt;&gt;"",INDEX(DataOB[],FirstRow+ROW()-7,MATCH(AE$6,DataOB[#Headers],0)),"")</f>
        <v/>
      </c>
      <c r="AF701" s="26">
        <f t="shared" si="104"/>
        <v>0</v>
      </c>
      <c r="AG701" s="31">
        <f>SUM($T701:T701)</f>
        <v>0</v>
      </c>
      <c r="AH701" s="31">
        <f>SUM($T701:U701)</f>
        <v>0</v>
      </c>
      <c r="AI701" s="31">
        <f>SUM($T701:V701)</f>
        <v>0</v>
      </c>
      <c r="AJ701" s="31">
        <f>SUM($T701:W701)</f>
        <v>0</v>
      </c>
      <c r="AK701" s="31">
        <f>SUM($T701:X701)</f>
        <v>0</v>
      </c>
      <c r="AL701" s="31">
        <f>SUM($T701:Y701)</f>
        <v>0</v>
      </c>
      <c r="AM701" s="31">
        <f>SUM($T701:Z701)</f>
        <v>0</v>
      </c>
      <c r="AN701" s="31">
        <f>SUM($T701:AA701)</f>
        <v>0</v>
      </c>
      <c r="AO701" s="31">
        <f>SUM($T701:AB701)</f>
        <v>0</v>
      </c>
      <c r="AP701" s="31">
        <f>SUM($T701:AC701)</f>
        <v>0</v>
      </c>
      <c r="AQ701" s="31">
        <f>SUM($T701:AD701)</f>
        <v>0</v>
      </c>
      <c r="AR701" s="31">
        <f>SUM($T701:AE701)</f>
        <v>0</v>
      </c>
      <c r="AS701" s="27">
        <f t="shared" si="105"/>
        <v>0</v>
      </c>
    </row>
    <row r="702" spans="2:45">
      <c r="B702" s="102" t="str">
        <f>IF(ROW()-6&gt;NumCostCenter,"",IF(CostCenter&lt;&gt;"ALL",CostCenter,DATA_LF2!B700))</f>
        <v/>
      </c>
      <c r="C702" s="153" t="str">
        <f>IF($B702&lt;&gt;"",INDEX(DataOB[],FirstRow+ROW()-7,2),"")</f>
        <v/>
      </c>
      <c r="D702" s="66" t="str">
        <f>IF($B702&lt;&gt;"",INDEX(DataOB[],FirstRow+ROW()-7,3),"")</f>
        <v/>
      </c>
      <c r="E702" s="103" t="str">
        <f>IF($B702&lt;&gt;"",INDEX(DataOB[],FirstRow+ROW()-7,6),"")</f>
        <v/>
      </c>
      <c r="F702" s="103" t="str">
        <f>IF($B702&lt;&gt;"",INDEX(DataOB[],FirstRow+ROW()-7,5),"")</f>
        <v/>
      </c>
      <c r="G702" s="58">
        <f>IF($B702&lt;&gt;"",SUMIFS(DataAct_tbl[AMOUNT],DataAct_tbl[BG CODE],Detail!$D702,DataAct_tbl[MONTH],LEFT(MonthName,3),DataAct_tbl[Dept code],$B702),0)</f>
        <v>0</v>
      </c>
      <c r="H702" s="31" t="str">
        <f t="shared" si="97"/>
        <v/>
      </c>
      <c r="I702" s="28" t="str">
        <f t="shared" si="98"/>
        <v/>
      </c>
      <c r="J702" s="32" t="str">
        <f t="shared" si="99"/>
        <v/>
      </c>
      <c r="K702" s="86"/>
      <c r="L702" s="62">
        <f>IF($B702&lt;&gt;"",SUMIFS(DataAct_tbl[AMOUNT],DataAct_tbl[BG CODE],Detail!$D702,DataAct_tbl[Check Range],"=true",DataAct_tbl[Dept code],$B702),0)</f>
        <v>0</v>
      </c>
      <c r="M702" s="63">
        <f>INDEX($AG$7:$AR$1005,ROW()-6,MATCH(MTD,$AG$6:$AR$6,0))</f>
        <v>0</v>
      </c>
      <c r="N702" s="34">
        <f t="shared" si="100"/>
        <v>0</v>
      </c>
      <c r="O702" s="64" t="str">
        <f t="shared" si="101"/>
        <v xml:space="preserve"> </v>
      </c>
      <c r="Q702" s="97">
        <f t="shared" si="102"/>
        <v>0</v>
      </c>
      <c r="R702" s="96">
        <f t="shared" si="103"/>
        <v>0</v>
      </c>
      <c r="T702" s="67" t="str">
        <f>IF($B702&lt;&gt;"",INDEX(DataOB[],FirstRow+ROW()-7,MATCH(T$6,DataOB[#Headers],0)),"")</f>
        <v/>
      </c>
      <c r="U702" s="67" t="str">
        <f>IF($B702&lt;&gt;"",INDEX(DataOB[],FirstRow+ROW()-7,MATCH(U$6,DataOB[#Headers],0)),"")</f>
        <v/>
      </c>
      <c r="V702" s="67" t="str">
        <f>IF($B702&lt;&gt;"",INDEX(DataOB[],FirstRow+ROW()-7,MATCH(V$6,DataOB[#Headers],0)),"")</f>
        <v/>
      </c>
      <c r="W702" s="67" t="str">
        <f>IF($B702&lt;&gt;"",INDEX(DataOB[],FirstRow+ROW()-7,MATCH(W$6,DataOB[#Headers],0)),"")</f>
        <v/>
      </c>
      <c r="X702" s="67" t="str">
        <f>IF($B702&lt;&gt;"",INDEX(DataOB[],FirstRow+ROW()-7,MATCH(X$6,DataOB[#Headers],0)),"")</f>
        <v/>
      </c>
      <c r="Y702" s="67" t="str">
        <f>IF($B702&lt;&gt;"",INDEX(DataOB[],FirstRow+ROW()-7,MATCH(Y$6,DataOB[#Headers],0)),"")</f>
        <v/>
      </c>
      <c r="Z702" s="67" t="str">
        <f>IF($B702&lt;&gt;"",INDEX(DataOB[],FirstRow+ROW()-7,MATCH(Z$6,DataOB[#Headers],0)),"")</f>
        <v/>
      </c>
      <c r="AA702" s="67" t="str">
        <f>IF($B702&lt;&gt;"",INDEX(DataOB[],FirstRow+ROW()-7,MATCH(AA$6,DataOB[#Headers],0)),"")</f>
        <v/>
      </c>
      <c r="AB702" s="67" t="str">
        <f>IF($B702&lt;&gt;"",INDEX(DataOB[],FirstRow+ROW()-7,MATCH(AB$6,DataOB[#Headers],0)),"")</f>
        <v/>
      </c>
      <c r="AC702" s="67" t="str">
        <f>IF($B702&lt;&gt;"",INDEX(DataOB[],FirstRow+ROW()-7,MATCH(AC$6,DataOB[#Headers],0)),"")</f>
        <v/>
      </c>
      <c r="AD702" s="67" t="str">
        <f>IF($B702&lt;&gt;"",INDEX(DataOB[],FirstRow+ROW()-7,MATCH(AD$6,DataOB[#Headers],0)),"")</f>
        <v/>
      </c>
      <c r="AE702" s="67" t="str">
        <f>IF($B702&lt;&gt;"",INDEX(DataOB[],FirstRow+ROW()-7,MATCH(AE$6,DataOB[#Headers],0)),"")</f>
        <v/>
      </c>
      <c r="AF702" s="26">
        <f t="shared" si="104"/>
        <v>0</v>
      </c>
      <c r="AG702" s="31">
        <f>SUM($T702:T702)</f>
        <v>0</v>
      </c>
      <c r="AH702" s="31">
        <f>SUM($T702:U702)</f>
        <v>0</v>
      </c>
      <c r="AI702" s="31">
        <f>SUM($T702:V702)</f>
        <v>0</v>
      </c>
      <c r="AJ702" s="31">
        <f>SUM($T702:W702)</f>
        <v>0</v>
      </c>
      <c r="AK702" s="31">
        <f>SUM($T702:X702)</f>
        <v>0</v>
      </c>
      <c r="AL702" s="31">
        <f>SUM($T702:Y702)</f>
        <v>0</v>
      </c>
      <c r="AM702" s="31">
        <f>SUM($T702:Z702)</f>
        <v>0</v>
      </c>
      <c r="AN702" s="31">
        <f>SUM($T702:AA702)</f>
        <v>0</v>
      </c>
      <c r="AO702" s="31">
        <f>SUM($T702:AB702)</f>
        <v>0</v>
      </c>
      <c r="AP702" s="31">
        <f>SUM($T702:AC702)</f>
        <v>0</v>
      </c>
      <c r="AQ702" s="31">
        <f>SUM($T702:AD702)</f>
        <v>0</v>
      </c>
      <c r="AR702" s="31">
        <f>SUM($T702:AE702)</f>
        <v>0</v>
      </c>
      <c r="AS702" s="27">
        <f t="shared" si="105"/>
        <v>0</v>
      </c>
    </row>
    <row r="703" spans="2:45">
      <c r="B703" s="102" t="str">
        <f>IF(ROW()-6&gt;NumCostCenter,"",IF(CostCenter&lt;&gt;"ALL",CostCenter,DATA_LF2!B701))</f>
        <v/>
      </c>
      <c r="C703" s="153" t="str">
        <f>IF($B703&lt;&gt;"",INDEX(DataOB[],FirstRow+ROW()-7,2),"")</f>
        <v/>
      </c>
      <c r="D703" s="66" t="str">
        <f>IF($B703&lt;&gt;"",INDEX(DataOB[],FirstRow+ROW()-7,3),"")</f>
        <v/>
      </c>
      <c r="E703" s="103" t="str">
        <f>IF($B703&lt;&gt;"",INDEX(DataOB[],FirstRow+ROW()-7,6),"")</f>
        <v/>
      </c>
      <c r="F703" s="103" t="str">
        <f>IF($B703&lt;&gt;"",INDEX(DataOB[],FirstRow+ROW()-7,5),"")</f>
        <v/>
      </c>
      <c r="G703" s="58">
        <f>IF($B703&lt;&gt;"",SUMIFS(DataAct_tbl[AMOUNT],DataAct_tbl[BG CODE],Detail!$D703,DataAct_tbl[MONTH],LEFT(MonthName,3),DataAct_tbl[Dept code],$B703),0)</f>
        <v>0</v>
      </c>
      <c r="H703" s="31" t="str">
        <f t="shared" si="97"/>
        <v/>
      </c>
      <c r="I703" s="28" t="str">
        <f t="shared" si="98"/>
        <v/>
      </c>
      <c r="J703" s="32" t="str">
        <f t="shared" si="99"/>
        <v/>
      </c>
      <c r="K703" s="86"/>
      <c r="L703" s="62">
        <f>IF($B703&lt;&gt;"",SUMIFS(DataAct_tbl[AMOUNT],DataAct_tbl[BG CODE],Detail!$D703,DataAct_tbl[Check Range],"=true",DataAct_tbl[Dept code],$B703),0)</f>
        <v>0</v>
      </c>
      <c r="M703" s="63">
        <f>INDEX($AG$7:$AR$1005,ROW()-6,MATCH(MTD,$AG$6:$AR$6,0))</f>
        <v>0</v>
      </c>
      <c r="N703" s="34">
        <f t="shared" si="100"/>
        <v>0</v>
      </c>
      <c r="O703" s="64" t="str">
        <f t="shared" si="101"/>
        <v xml:space="preserve"> </v>
      </c>
      <c r="Q703" s="97">
        <f t="shared" si="102"/>
        <v>0</v>
      </c>
      <c r="R703" s="96">
        <f t="shared" si="103"/>
        <v>0</v>
      </c>
      <c r="T703" s="67" t="str">
        <f>IF($B703&lt;&gt;"",INDEX(DataOB[],FirstRow+ROW()-7,MATCH(T$6,DataOB[#Headers],0)),"")</f>
        <v/>
      </c>
      <c r="U703" s="67" t="str">
        <f>IF($B703&lt;&gt;"",INDEX(DataOB[],FirstRow+ROW()-7,MATCH(U$6,DataOB[#Headers],0)),"")</f>
        <v/>
      </c>
      <c r="V703" s="67" t="str">
        <f>IF($B703&lt;&gt;"",INDEX(DataOB[],FirstRow+ROW()-7,MATCH(V$6,DataOB[#Headers],0)),"")</f>
        <v/>
      </c>
      <c r="W703" s="67" t="str">
        <f>IF($B703&lt;&gt;"",INDEX(DataOB[],FirstRow+ROW()-7,MATCH(W$6,DataOB[#Headers],0)),"")</f>
        <v/>
      </c>
      <c r="X703" s="67" t="str">
        <f>IF($B703&lt;&gt;"",INDEX(DataOB[],FirstRow+ROW()-7,MATCH(X$6,DataOB[#Headers],0)),"")</f>
        <v/>
      </c>
      <c r="Y703" s="67" t="str">
        <f>IF($B703&lt;&gt;"",INDEX(DataOB[],FirstRow+ROW()-7,MATCH(Y$6,DataOB[#Headers],0)),"")</f>
        <v/>
      </c>
      <c r="Z703" s="67" t="str">
        <f>IF($B703&lt;&gt;"",INDEX(DataOB[],FirstRow+ROW()-7,MATCH(Z$6,DataOB[#Headers],0)),"")</f>
        <v/>
      </c>
      <c r="AA703" s="67" t="str">
        <f>IF($B703&lt;&gt;"",INDEX(DataOB[],FirstRow+ROW()-7,MATCH(AA$6,DataOB[#Headers],0)),"")</f>
        <v/>
      </c>
      <c r="AB703" s="67" t="str">
        <f>IF($B703&lt;&gt;"",INDEX(DataOB[],FirstRow+ROW()-7,MATCH(AB$6,DataOB[#Headers],0)),"")</f>
        <v/>
      </c>
      <c r="AC703" s="67" t="str">
        <f>IF($B703&lt;&gt;"",INDEX(DataOB[],FirstRow+ROW()-7,MATCH(AC$6,DataOB[#Headers],0)),"")</f>
        <v/>
      </c>
      <c r="AD703" s="67" t="str">
        <f>IF($B703&lt;&gt;"",INDEX(DataOB[],FirstRow+ROW()-7,MATCH(AD$6,DataOB[#Headers],0)),"")</f>
        <v/>
      </c>
      <c r="AE703" s="67" t="str">
        <f>IF($B703&lt;&gt;"",INDEX(DataOB[],FirstRow+ROW()-7,MATCH(AE$6,DataOB[#Headers],0)),"")</f>
        <v/>
      </c>
      <c r="AF703" s="26">
        <f t="shared" si="104"/>
        <v>0</v>
      </c>
      <c r="AG703" s="31">
        <f>SUM($T703:T703)</f>
        <v>0</v>
      </c>
      <c r="AH703" s="31">
        <f>SUM($T703:U703)</f>
        <v>0</v>
      </c>
      <c r="AI703" s="31">
        <f>SUM($T703:V703)</f>
        <v>0</v>
      </c>
      <c r="AJ703" s="31">
        <f>SUM($T703:W703)</f>
        <v>0</v>
      </c>
      <c r="AK703" s="31">
        <f>SUM($T703:X703)</f>
        <v>0</v>
      </c>
      <c r="AL703" s="31">
        <f>SUM($T703:Y703)</f>
        <v>0</v>
      </c>
      <c r="AM703" s="31">
        <f>SUM($T703:Z703)</f>
        <v>0</v>
      </c>
      <c r="AN703" s="31">
        <f>SUM($T703:AA703)</f>
        <v>0</v>
      </c>
      <c r="AO703" s="31">
        <f>SUM($T703:AB703)</f>
        <v>0</v>
      </c>
      <c r="AP703" s="31">
        <f>SUM($T703:AC703)</f>
        <v>0</v>
      </c>
      <c r="AQ703" s="31">
        <f>SUM($T703:AD703)</f>
        <v>0</v>
      </c>
      <c r="AR703" s="31">
        <f>SUM($T703:AE703)</f>
        <v>0</v>
      </c>
      <c r="AS703" s="27">
        <f t="shared" si="105"/>
        <v>0</v>
      </c>
    </row>
    <row r="704" spans="2:45">
      <c r="B704" s="102" t="str">
        <f>IF(ROW()-6&gt;NumCostCenter,"",IF(CostCenter&lt;&gt;"ALL",CostCenter,DATA_LF2!B702))</f>
        <v/>
      </c>
      <c r="C704" s="153" t="str">
        <f>IF($B704&lt;&gt;"",INDEX(DataOB[],FirstRow+ROW()-7,2),"")</f>
        <v/>
      </c>
      <c r="D704" s="66" t="str">
        <f>IF($B704&lt;&gt;"",INDEX(DataOB[],FirstRow+ROW()-7,3),"")</f>
        <v/>
      </c>
      <c r="E704" s="103" t="str">
        <f>IF($B704&lt;&gt;"",INDEX(DataOB[],FirstRow+ROW()-7,6),"")</f>
        <v/>
      </c>
      <c r="F704" s="103" t="str">
        <f>IF($B704&lt;&gt;"",INDEX(DataOB[],FirstRow+ROW()-7,5),"")</f>
        <v/>
      </c>
      <c r="G704" s="58">
        <f>IF($B704&lt;&gt;"",SUMIFS(DataAct_tbl[AMOUNT],DataAct_tbl[BG CODE],Detail!$D704,DataAct_tbl[MONTH],LEFT(MonthName,3),DataAct_tbl[Dept code],$B704),0)</f>
        <v>0</v>
      </c>
      <c r="H704" s="31" t="str">
        <f t="shared" si="97"/>
        <v/>
      </c>
      <c r="I704" s="28" t="str">
        <f t="shared" si="98"/>
        <v/>
      </c>
      <c r="J704" s="32" t="str">
        <f t="shared" si="99"/>
        <v/>
      </c>
      <c r="K704" s="86"/>
      <c r="L704" s="62">
        <f>IF($B704&lt;&gt;"",SUMIFS(DataAct_tbl[AMOUNT],DataAct_tbl[BG CODE],Detail!$D704,DataAct_tbl[Check Range],"=true",DataAct_tbl[Dept code],$B704),0)</f>
        <v>0</v>
      </c>
      <c r="M704" s="63">
        <f>INDEX($AG$7:$AR$1005,ROW()-6,MATCH(MTD,$AG$6:$AR$6,0))</f>
        <v>0</v>
      </c>
      <c r="N704" s="34">
        <f t="shared" si="100"/>
        <v>0</v>
      </c>
      <c r="O704" s="64" t="str">
        <f t="shared" si="101"/>
        <v xml:space="preserve"> </v>
      </c>
      <c r="Q704" s="97">
        <f t="shared" si="102"/>
        <v>0</v>
      </c>
      <c r="R704" s="96">
        <f t="shared" si="103"/>
        <v>0</v>
      </c>
      <c r="T704" s="67" t="str">
        <f>IF($B704&lt;&gt;"",INDEX(DataOB[],FirstRow+ROW()-7,MATCH(T$6,DataOB[#Headers],0)),"")</f>
        <v/>
      </c>
      <c r="U704" s="67" t="str">
        <f>IF($B704&lt;&gt;"",INDEX(DataOB[],FirstRow+ROW()-7,MATCH(U$6,DataOB[#Headers],0)),"")</f>
        <v/>
      </c>
      <c r="V704" s="67" t="str">
        <f>IF($B704&lt;&gt;"",INDEX(DataOB[],FirstRow+ROW()-7,MATCH(V$6,DataOB[#Headers],0)),"")</f>
        <v/>
      </c>
      <c r="W704" s="67" t="str">
        <f>IF($B704&lt;&gt;"",INDEX(DataOB[],FirstRow+ROW()-7,MATCH(W$6,DataOB[#Headers],0)),"")</f>
        <v/>
      </c>
      <c r="X704" s="67" t="str">
        <f>IF($B704&lt;&gt;"",INDEX(DataOB[],FirstRow+ROW()-7,MATCH(X$6,DataOB[#Headers],0)),"")</f>
        <v/>
      </c>
      <c r="Y704" s="67" t="str">
        <f>IF($B704&lt;&gt;"",INDEX(DataOB[],FirstRow+ROW()-7,MATCH(Y$6,DataOB[#Headers],0)),"")</f>
        <v/>
      </c>
      <c r="Z704" s="67" t="str">
        <f>IF($B704&lt;&gt;"",INDEX(DataOB[],FirstRow+ROW()-7,MATCH(Z$6,DataOB[#Headers],0)),"")</f>
        <v/>
      </c>
      <c r="AA704" s="67" t="str">
        <f>IF($B704&lt;&gt;"",INDEX(DataOB[],FirstRow+ROW()-7,MATCH(AA$6,DataOB[#Headers],0)),"")</f>
        <v/>
      </c>
      <c r="AB704" s="67" t="str">
        <f>IF($B704&lt;&gt;"",INDEX(DataOB[],FirstRow+ROW()-7,MATCH(AB$6,DataOB[#Headers],0)),"")</f>
        <v/>
      </c>
      <c r="AC704" s="67" t="str">
        <f>IF($B704&lt;&gt;"",INDEX(DataOB[],FirstRow+ROW()-7,MATCH(AC$6,DataOB[#Headers],0)),"")</f>
        <v/>
      </c>
      <c r="AD704" s="67" t="str">
        <f>IF($B704&lt;&gt;"",INDEX(DataOB[],FirstRow+ROW()-7,MATCH(AD$6,DataOB[#Headers],0)),"")</f>
        <v/>
      </c>
      <c r="AE704" s="67" t="str">
        <f>IF($B704&lt;&gt;"",INDEX(DataOB[],FirstRow+ROW()-7,MATCH(AE$6,DataOB[#Headers],0)),"")</f>
        <v/>
      </c>
      <c r="AF704" s="26">
        <f t="shared" si="104"/>
        <v>0</v>
      </c>
      <c r="AG704" s="31">
        <f>SUM($T704:T704)</f>
        <v>0</v>
      </c>
      <c r="AH704" s="31">
        <f>SUM($T704:U704)</f>
        <v>0</v>
      </c>
      <c r="AI704" s="31">
        <f>SUM($T704:V704)</f>
        <v>0</v>
      </c>
      <c r="AJ704" s="31">
        <f>SUM($T704:W704)</f>
        <v>0</v>
      </c>
      <c r="AK704" s="31">
        <f>SUM($T704:X704)</f>
        <v>0</v>
      </c>
      <c r="AL704" s="31">
        <f>SUM($T704:Y704)</f>
        <v>0</v>
      </c>
      <c r="AM704" s="31">
        <f>SUM($T704:Z704)</f>
        <v>0</v>
      </c>
      <c r="AN704" s="31">
        <f>SUM($T704:AA704)</f>
        <v>0</v>
      </c>
      <c r="AO704" s="31">
        <f>SUM($T704:AB704)</f>
        <v>0</v>
      </c>
      <c r="AP704" s="31">
        <f>SUM($T704:AC704)</f>
        <v>0</v>
      </c>
      <c r="AQ704" s="31">
        <f>SUM($T704:AD704)</f>
        <v>0</v>
      </c>
      <c r="AR704" s="31">
        <f>SUM($T704:AE704)</f>
        <v>0</v>
      </c>
      <c r="AS704" s="27">
        <f t="shared" si="105"/>
        <v>0</v>
      </c>
    </row>
    <row r="705" spans="2:45">
      <c r="B705" s="102" t="str">
        <f>IF(ROW()-6&gt;NumCostCenter,"",IF(CostCenter&lt;&gt;"ALL",CostCenter,DATA_LF2!B703))</f>
        <v/>
      </c>
      <c r="C705" s="153" t="str">
        <f>IF($B705&lt;&gt;"",INDEX(DataOB[],FirstRow+ROW()-7,2),"")</f>
        <v/>
      </c>
      <c r="D705" s="66" t="str">
        <f>IF($B705&lt;&gt;"",INDEX(DataOB[],FirstRow+ROW()-7,3),"")</f>
        <v/>
      </c>
      <c r="E705" s="103" t="str">
        <f>IF($B705&lt;&gt;"",INDEX(DataOB[],FirstRow+ROW()-7,6),"")</f>
        <v/>
      </c>
      <c r="F705" s="103" t="str">
        <f>IF($B705&lt;&gt;"",INDEX(DataOB[],FirstRow+ROW()-7,5),"")</f>
        <v/>
      </c>
      <c r="G705" s="58">
        <f>IF($B705&lt;&gt;"",SUMIFS(DataAct_tbl[AMOUNT],DataAct_tbl[BG CODE],Detail!$D705,DataAct_tbl[MONTH],LEFT(MonthName,3),DataAct_tbl[Dept code],$B705),0)</f>
        <v>0</v>
      </c>
      <c r="H705" s="31" t="str">
        <f t="shared" si="97"/>
        <v/>
      </c>
      <c r="I705" s="28" t="str">
        <f t="shared" si="98"/>
        <v/>
      </c>
      <c r="J705" s="32" t="str">
        <f t="shared" si="99"/>
        <v/>
      </c>
      <c r="K705" s="86"/>
      <c r="L705" s="62">
        <f>IF($B705&lt;&gt;"",SUMIFS(DataAct_tbl[AMOUNT],DataAct_tbl[BG CODE],Detail!$D705,DataAct_tbl[Check Range],"=true",DataAct_tbl[Dept code],$B705),0)</f>
        <v>0</v>
      </c>
      <c r="M705" s="63">
        <f>INDEX($AG$7:$AR$1005,ROW()-6,MATCH(MTD,$AG$6:$AR$6,0))</f>
        <v>0</v>
      </c>
      <c r="N705" s="34">
        <f t="shared" si="100"/>
        <v>0</v>
      </c>
      <c r="O705" s="64" t="str">
        <f t="shared" si="101"/>
        <v xml:space="preserve"> </v>
      </c>
      <c r="Q705" s="97">
        <f t="shared" si="102"/>
        <v>0</v>
      </c>
      <c r="R705" s="96">
        <f t="shared" si="103"/>
        <v>0</v>
      </c>
      <c r="T705" s="67" t="str">
        <f>IF($B705&lt;&gt;"",INDEX(DataOB[],FirstRow+ROW()-7,MATCH(T$6,DataOB[#Headers],0)),"")</f>
        <v/>
      </c>
      <c r="U705" s="67" t="str">
        <f>IF($B705&lt;&gt;"",INDEX(DataOB[],FirstRow+ROW()-7,MATCH(U$6,DataOB[#Headers],0)),"")</f>
        <v/>
      </c>
      <c r="V705" s="67" t="str">
        <f>IF($B705&lt;&gt;"",INDEX(DataOB[],FirstRow+ROW()-7,MATCH(V$6,DataOB[#Headers],0)),"")</f>
        <v/>
      </c>
      <c r="W705" s="67" t="str">
        <f>IF($B705&lt;&gt;"",INDEX(DataOB[],FirstRow+ROW()-7,MATCH(W$6,DataOB[#Headers],0)),"")</f>
        <v/>
      </c>
      <c r="X705" s="67" t="str">
        <f>IF($B705&lt;&gt;"",INDEX(DataOB[],FirstRow+ROW()-7,MATCH(X$6,DataOB[#Headers],0)),"")</f>
        <v/>
      </c>
      <c r="Y705" s="67" t="str">
        <f>IF($B705&lt;&gt;"",INDEX(DataOB[],FirstRow+ROW()-7,MATCH(Y$6,DataOB[#Headers],0)),"")</f>
        <v/>
      </c>
      <c r="Z705" s="67" t="str">
        <f>IF($B705&lt;&gt;"",INDEX(DataOB[],FirstRow+ROW()-7,MATCH(Z$6,DataOB[#Headers],0)),"")</f>
        <v/>
      </c>
      <c r="AA705" s="67" t="str">
        <f>IF($B705&lt;&gt;"",INDEX(DataOB[],FirstRow+ROW()-7,MATCH(AA$6,DataOB[#Headers],0)),"")</f>
        <v/>
      </c>
      <c r="AB705" s="67" t="str">
        <f>IF($B705&lt;&gt;"",INDEX(DataOB[],FirstRow+ROW()-7,MATCH(AB$6,DataOB[#Headers],0)),"")</f>
        <v/>
      </c>
      <c r="AC705" s="67" t="str">
        <f>IF($B705&lt;&gt;"",INDEX(DataOB[],FirstRow+ROW()-7,MATCH(AC$6,DataOB[#Headers],0)),"")</f>
        <v/>
      </c>
      <c r="AD705" s="67" t="str">
        <f>IF($B705&lt;&gt;"",INDEX(DataOB[],FirstRow+ROW()-7,MATCH(AD$6,DataOB[#Headers],0)),"")</f>
        <v/>
      </c>
      <c r="AE705" s="67" t="str">
        <f>IF($B705&lt;&gt;"",INDEX(DataOB[],FirstRow+ROW()-7,MATCH(AE$6,DataOB[#Headers],0)),"")</f>
        <v/>
      </c>
      <c r="AF705" s="26">
        <f t="shared" si="104"/>
        <v>0</v>
      </c>
      <c r="AG705" s="31">
        <f>SUM($T705:T705)</f>
        <v>0</v>
      </c>
      <c r="AH705" s="31">
        <f>SUM($T705:U705)</f>
        <v>0</v>
      </c>
      <c r="AI705" s="31">
        <f>SUM($T705:V705)</f>
        <v>0</v>
      </c>
      <c r="AJ705" s="31">
        <f>SUM($T705:W705)</f>
        <v>0</v>
      </c>
      <c r="AK705" s="31">
        <f>SUM($T705:X705)</f>
        <v>0</v>
      </c>
      <c r="AL705" s="31">
        <f>SUM($T705:Y705)</f>
        <v>0</v>
      </c>
      <c r="AM705" s="31">
        <f>SUM($T705:Z705)</f>
        <v>0</v>
      </c>
      <c r="AN705" s="31">
        <f>SUM($T705:AA705)</f>
        <v>0</v>
      </c>
      <c r="AO705" s="31">
        <f>SUM($T705:AB705)</f>
        <v>0</v>
      </c>
      <c r="AP705" s="31">
        <f>SUM($T705:AC705)</f>
        <v>0</v>
      </c>
      <c r="AQ705" s="31">
        <f>SUM($T705:AD705)</f>
        <v>0</v>
      </c>
      <c r="AR705" s="31">
        <f>SUM($T705:AE705)</f>
        <v>0</v>
      </c>
      <c r="AS705" s="27">
        <f t="shared" si="105"/>
        <v>0</v>
      </c>
    </row>
    <row r="706" spans="2:45">
      <c r="B706" s="102" t="str">
        <f>IF(ROW()-6&gt;NumCostCenter,"",IF(CostCenter&lt;&gt;"ALL",CostCenter,DATA_LF2!B704))</f>
        <v/>
      </c>
      <c r="C706" s="153" t="str">
        <f>IF($B706&lt;&gt;"",INDEX(DataOB[],FirstRow+ROW()-7,2),"")</f>
        <v/>
      </c>
      <c r="D706" s="66" t="str">
        <f>IF($B706&lt;&gt;"",INDEX(DataOB[],FirstRow+ROW()-7,3),"")</f>
        <v/>
      </c>
      <c r="E706" s="103" t="str">
        <f>IF($B706&lt;&gt;"",INDEX(DataOB[],FirstRow+ROW()-7,6),"")</f>
        <v/>
      </c>
      <c r="F706" s="103" t="str">
        <f>IF($B706&lt;&gt;"",INDEX(DataOB[],FirstRow+ROW()-7,5),"")</f>
        <v/>
      </c>
      <c r="G706" s="58">
        <f>IF($B706&lt;&gt;"",SUMIFS(DataAct_tbl[AMOUNT],DataAct_tbl[BG CODE],Detail!$D706,DataAct_tbl[MONTH],LEFT(MonthName,3),DataAct_tbl[Dept code],$B706),0)</f>
        <v>0</v>
      </c>
      <c r="H706" s="31" t="str">
        <f t="shared" si="97"/>
        <v/>
      </c>
      <c r="I706" s="28" t="str">
        <f t="shared" si="98"/>
        <v/>
      </c>
      <c r="J706" s="32" t="str">
        <f t="shared" si="99"/>
        <v/>
      </c>
      <c r="K706" s="86"/>
      <c r="L706" s="62">
        <f>IF($B706&lt;&gt;"",SUMIFS(DataAct_tbl[AMOUNT],DataAct_tbl[BG CODE],Detail!$D706,DataAct_tbl[Check Range],"=true",DataAct_tbl[Dept code],$B706),0)</f>
        <v>0</v>
      </c>
      <c r="M706" s="63">
        <f>INDEX($AG$7:$AR$1005,ROW()-6,MATCH(MTD,$AG$6:$AR$6,0))</f>
        <v>0</v>
      </c>
      <c r="N706" s="34">
        <f t="shared" si="100"/>
        <v>0</v>
      </c>
      <c r="O706" s="64" t="str">
        <f t="shared" si="101"/>
        <v xml:space="preserve"> </v>
      </c>
      <c r="Q706" s="97">
        <f t="shared" si="102"/>
        <v>0</v>
      </c>
      <c r="R706" s="96">
        <f t="shared" si="103"/>
        <v>0</v>
      </c>
      <c r="T706" s="67" t="str">
        <f>IF($B706&lt;&gt;"",INDEX(DataOB[],FirstRow+ROW()-7,MATCH(T$6,DataOB[#Headers],0)),"")</f>
        <v/>
      </c>
      <c r="U706" s="67" t="str">
        <f>IF($B706&lt;&gt;"",INDEX(DataOB[],FirstRow+ROW()-7,MATCH(U$6,DataOB[#Headers],0)),"")</f>
        <v/>
      </c>
      <c r="V706" s="67" t="str">
        <f>IF($B706&lt;&gt;"",INDEX(DataOB[],FirstRow+ROW()-7,MATCH(V$6,DataOB[#Headers],0)),"")</f>
        <v/>
      </c>
      <c r="W706" s="67" t="str">
        <f>IF($B706&lt;&gt;"",INDEX(DataOB[],FirstRow+ROW()-7,MATCH(W$6,DataOB[#Headers],0)),"")</f>
        <v/>
      </c>
      <c r="X706" s="67" t="str">
        <f>IF($B706&lt;&gt;"",INDEX(DataOB[],FirstRow+ROW()-7,MATCH(X$6,DataOB[#Headers],0)),"")</f>
        <v/>
      </c>
      <c r="Y706" s="67" t="str">
        <f>IF($B706&lt;&gt;"",INDEX(DataOB[],FirstRow+ROW()-7,MATCH(Y$6,DataOB[#Headers],0)),"")</f>
        <v/>
      </c>
      <c r="Z706" s="67" t="str">
        <f>IF($B706&lt;&gt;"",INDEX(DataOB[],FirstRow+ROW()-7,MATCH(Z$6,DataOB[#Headers],0)),"")</f>
        <v/>
      </c>
      <c r="AA706" s="67" t="str">
        <f>IF($B706&lt;&gt;"",INDEX(DataOB[],FirstRow+ROW()-7,MATCH(AA$6,DataOB[#Headers],0)),"")</f>
        <v/>
      </c>
      <c r="AB706" s="67" t="str">
        <f>IF($B706&lt;&gt;"",INDEX(DataOB[],FirstRow+ROW()-7,MATCH(AB$6,DataOB[#Headers],0)),"")</f>
        <v/>
      </c>
      <c r="AC706" s="67" t="str">
        <f>IF($B706&lt;&gt;"",INDEX(DataOB[],FirstRow+ROW()-7,MATCH(AC$6,DataOB[#Headers],0)),"")</f>
        <v/>
      </c>
      <c r="AD706" s="67" t="str">
        <f>IF($B706&lt;&gt;"",INDEX(DataOB[],FirstRow+ROW()-7,MATCH(AD$6,DataOB[#Headers],0)),"")</f>
        <v/>
      </c>
      <c r="AE706" s="67" t="str">
        <f>IF($B706&lt;&gt;"",INDEX(DataOB[],FirstRow+ROW()-7,MATCH(AE$6,DataOB[#Headers],0)),"")</f>
        <v/>
      </c>
      <c r="AF706" s="26">
        <f t="shared" si="104"/>
        <v>0</v>
      </c>
      <c r="AG706" s="31">
        <f>SUM($T706:T706)</f>
        <v>0</v>
      </c>
      <c r="AH706" s="31">
        <f>SUM($T706:U706)</f>
        <v>0</v>
      </c>
      <c r="AI706" s="31">
        <f>SUM($T706:V706)</f>
        <v>0</v>
      </c>
      <c r="AJ706" s="31">
        <f>SUM($T706:W706)</f>
        <v>0</v>
      </c>
      <c r="AK706" s="31">
        <f>SUM($T706:X706)</f>
        <v>0</v>
      </c>
      <c r="AL706" s="31">
        <f>SUM($T706:Y706)</f>
        <v>0</v>
      </c>
      <c r="AM706" s="31">
        <f>SUM($T706:Z706)</f>
        <v>0</v>
      </c>
      <c r="AN706" s="31">
        <f>SUM($T706:AA706)</f>
        <v>0</v>
      </c>
      <c r="AO706" s="31">
        <f>SUM($T706:AB706)</f>
        <v>0</v>
      </c>
      <c r="AP706" s="31">
        <f>SUM($T706:AC706)</f>
        <v>0</v>
      </c>
      <c r="AQ706" s="31">
        <f>SUM($T706:AD706)</f>
        <v>0</v>
      </c>
      <c r="AR706" s="31">
        <f>SUM($T706:AE706)</f>
        <v>0</v>
      </c>
      <c r="AS706" s="27">
        <f t="shared" si="105"/>
        <v>0</v>
      </c>
    </row>
    <row r="707" spans="2:45">
      <c r="B707" s="102" t="str">
        <f>IF(ROW()-6&gt;NumCostCenter,"",IF(CostCenter&lt;&gt;"ALL",CostCenter,DATA_LF2!B705))</f>
        <v/>
      </c>
      <c r="C707" s="153" t="str">
        <f>IF($B707&lt;&gt;"",INDEX(DataOB[],FirstRow+ROW()-7,2),"")</f>
        <v/>
      </c>
      <c r="D707" s="66" t="str">
        <f>IF($B707&lt;&gt;"",INDEX(DataOB[],FirstRow+ROW()-7,3),"")</f>
        <v/>
      </c>
      <c r="E707" s="103" t="str">
        <f>IF($B707&lt;&gt;"",INDEX(DataOB[],FirstRow+ROW()-7,6),"")</f>
        <v/>
      </c>
      <c r="F707" s="103" t="str">
        <f>IF($B707&lt;&gt;"",INDEX(DataOB[],FirstRow+ROW()-7,5),"")</f>
        <v/>
      </c>
      <c r="G707" s="58">
        <f>IF($B707&lt;&gt;"",SUMIFS(DataAct_tbl[AMOUNT],DataAct_tbl[BG CODE],Detail!$D707,DataAct_tbl[MONTH],LEFT(MonthName,3),DataAct_tbl[Dept code],$B707),0)</f>
        <v>0</v>
      </c>
      <c r="H707" s="31" t="str">
        <f t="shared" si="97"/>
        <v/>
      </c>
      <c r="I707" s="28" t="str">
        <f t="shared" si="98"/>
        <v/>
      </c>
      <c r="J707" s="32" t="str">
        <f t="shared" si="99"/>
        <v/>
      </c>
      <c r="K707" s="86"/>
      <c r="L707" s="62">
        <f>IF($B707&lt;&gt;"",SUMIFS(DataAct_tbl[AMOUNT],DataAct_tbl[BG CODE],Detail!$D707,DataAct_tbl[Check Range],"=true",DataAct_tbl[Dept code],$B707),0)</f>
        <v>0</v>
      </c>
      <c r="M707" s="63">
        <f>INDEX($AG$7:$AR$1005,ROW()-6,MATCH(MTD,$AG$6:$AR$6,0))</f>
        <v>0</v>
      </c>
      <c r="N707" s="34">
        <f t="shared" si="100"/>
        <v>0</v>
      </c>
      <c r="O707" s="64" t="str">
        <f t="shared" si="101"/>
        <v xml:space="preserve"> </v>
      </c>
      <c r="Q707" s="97">
        <f t="shared" si="102"/>
        <v>0</v>
      </c>
      <c r="R707" s="96">
        <f t="shared" si="103"/>
        <v>0</v>
      </c>
      <c r="T707" s="67" t="str">
        <f>IF($B707&lt;&gt;"",INDEX(DataOB[],FirstRow+ROW()-7,MATCH(T$6,DataOB[#Headers],0)),"")</f>
        <v/>
      </c>
      <c r="U707" s="67" t="str">
        <f>IF($B707&lt;&gt;"",INDEX(DataOB[],FirstRow+ROW()-7,MATCH(U$6,DataOB[#Headers],0)),"")</f>
        <v/>
      </c>
      <c r="V707" s="67" t="str">
        <f>IF($B707&lt;&gt;"",INDEX(DataOB[],FirstRow+ROW()-7,MATCH(V$6,DataOB[#Headers],0)),"")</f>
        <v/>
      </c>
      <c r="W707" s="67" t="str">
        <f>IF($B707&lt;&gt;"",INDEX(DataOB[],FirstRow+ROW()-7,MATCH(W$6,DataOB[#Headers],0)),"")</f>
        <v/>
      </c>
      <c r="X707" s="67" t="str">
        <f>IF($B707&lt;&gt;"",INDEX(DataOB[],FirstRow+ROW()-7,MATCH(X$6,DataOB[#Headers],0)),"")</f>
        <v/>
      </c>
      <c r="Y707" s="67" t="str">
        <f>IF($B707&lt;&gt;"",INDEX(DataOB[],FirstRow+ROW()-7,MATCH(Y$6,DataOB[#Headers],0)),"")</f>
        <v/>
      </c>
      <c r="Z707" s="67" t="str">
        <f>IF($B707&lt;&gt;"",INDEX(DataOB[],FirstRow+ROW()-7,MATCH(Z$6,DataOB[#Headers],0)),"")</f>
        <v/>
      </c>
      <c r="AA707" s="67" t="str">
        <f>IF($B707&lt;&gt;"",INDEX(DataOB[],FirstRow+ROW()-7,MATCH(AA$6,DataOB[#Headers],0)),"")</f>
        <v/>
      </c>
      <c r="AB707" s="67" t="str">
        <f>IF($B707&lt;&gt;"",INDEX(DataOB[],FirstRow+ROW()-7,MATCH(AB$6,DataOB[#Headers],0)),"")</f>
        <v/>
      </c>
      <c r="AC707" s="67" t="str">
        <f>IF($B707&lt;&gt;"",INDEX(DataOB[],FirstRow+ROW()-7,MATCH(AC$6,DataOB[#Headers],0)),"")</f>
        <v/>
      </c>
      <c r="AD707" s="67" t="str">
        <f>IF($B707&lt;&gt;"",INDEX(DataOB[],FirstRow+ROW()-7,MATCH(AD$6,DataOB[#Headers],0)),"")</f>
        <v/>
      </c>
      <c r="AE707" s="67" t="str">
        <f>IF($B707&lt;&gt;"",INDEX(DataOB[],FirstRow+ROW()-7,MATCH(AE$6,DataOB[#Headers],0)),"")</f>
        <v/>
      </c>
      <c r="AF707" s="26">
        <f t="shared" si="104"/>
        <v>0</v>
      </c>
      <c r="AG707" s="31">
        <f>SUM($T707:T707)</f>
        <v>0</v>
      </c>
      <c r="AH707" s="31">
        <f>SUM($T707:U707)</f>
        <v>0</v>
      </c>
      <c r="AI707" s="31">
        <f>SUM($T707:V707)</f>
        <v>0</v>
      </c>
      <c r="AJ707" s="31">
        <f>SUM($T707:W707)</f>
        <v>0</v>
      </c>
      <c r="AK707" s="31">
        <f>SUM($T707:X707)</f>
        <v>0</v>
      </c>
      <c r="AL707" s="31">
        <f>SUM($T707:Y707)</f>
        <v>0</v>
      </c>
      <c r="AM707" s="31">
        <f>SUM($T707:Z707)</f>
        <v>0</v>
      </c>
      <c r="AN707" s="31">
        <f>SUM($T707:AA707)</f>
        <v>0</v>
      </c>
      <c r="AO707" s="31">
        <f>SUM($T707:AB707)</f>
        <v>0</v>
      </c>
      <c r="AP707" s="31">
        <f>SUM($T707:AC707)</f>
        <v>0</v>
      </c>
      <c r="AQ707" s="31">
        <f>SUM($T707:AD707)</f>
        <v>0</v>
      </c>
      <c r="AR707" s="31">
        <f>SUM($T707:AE707)</f>
        <v>0</v>
      </c>
      <c r="AS707" s="27">
        <f t="shared" si="105"/>
        <v>0</v>
      </c>
    </row>
    <row r="708" spans="2:45">
      <c r="B708" s="102" t="str">
        <f>IF(ROW()-6&gt;NumCostCenter,"",IF(CostCenter&lt;&gt;"ALL",CostCenter,DATA_LF2!B706))</f>
        <v/>
      </c>
      <c r="C708" s="153" t="str">
        <f>IF($B708&lt;&gt;"",INDEX(DataOB[],FirstRow+ROW()-7,2),"")</f>
        <v/>
      </c>
      <c r="D708" s="66" t="str">
        <f>IF($B708&lt;&gt;"",INDEX(DataOB[],FirstRow+ROW()-7,3),"")</f>
        <v/>
      </c>
      <c r="E708" s="103" t="str">
        <f>IF($B708&lt;&gt;"",INDEX(DataOB[],FirstRow+ROW()-7,6),"")</f>
        <v/>
      </c>
      <c r="F708" s="103" t="str">
        <f>IF($B708&lt;&gt;"",INDEX(DataOB[],FirstRow+ROW()-7,5),"")</f>
        <v/>
      </c>
      <c r="G708" s="58">
        <f>IF($B708&lt;&gt;"",SUMIFS(DataAct_tbl[AMOUNT],DataAct_tbl[BG CODE],Detail!$D708,DataAct_tbl[MONTH],LEFT(MonthName,3),DataAct_tbl[Dept code],$B708),0)</f>
        <v>0</v>
      </c>
      <c r="H708" s="31" t="str">
        <f t="shared" si="97"/>
        <v/>
      </c>
      <c r="I708" s="28" t="str">
        <f t="shared" si="98"/>
        <v/>
      </c>
      <c r="J708" s="32" t="str">
        <f t="shared" si="99"/>
        <v/>
      </c>
      <c r="K708" s="86"/>
      <c r="L708" s="62">
        <f>IF($B708&lt;&gt;"",SUMIFS(DataAct_tbl[AMOUNT],DataAct_tbl[BG CODE],Detail!$D708,DataAct_tbl[Check Range],"=true",DataAct_tbl[Dept code],$B708),0)</f>
        <v>0</v>
      </c>
      <c r="M708" s="63">
        <f>INDEX($AG$7:$AR$1005,ROW()-6,MATCH(MTD,$AG$6:$AR$6,0))</f>
        <v>0</v>
      </c>
      <c r="N708" s="34">
        <f t="shared" si="100"/>
        <v>0</v>
      </c>
      <c r="O708" s="64" t="str">
        <f t="shared" si="101"/>
        <v xml:space="preserve"> </v>
      </c>
      <c r="Q708" s="97">
        <f t="shared" si="102"/>
        <v>0</v>
      </c>
      <c r="R708" s="96">
        <f t="shared" si="103"/>
        <v>0</v>
      </c>
      <c r="T708" s="67" t="str">
        <f>IF($B708&lt;&gt;"",INDEX(DataOB[],FirstRow+ROW()-7,MATCH(T$6,DataOB[#Headers],0)),"")</f>
        <v/>
      </c>
      <c r="U708" s="67" t="str">
        <f>IF($B708&lt;&gt;"",INDEX(DataOB[],FirstRow+ROW()-7,MATCH(U$6,DataOB[#Headers],0)),"")</f>
        <v/>
      </c>
      <c r="V708" s="67" t="str">
        <f>IF($B708&lt;&gt;"",INDEX(DataOB[],FirstRow+ROW()-7,MATCH(V$6,DataOB[#Headers],0)),"")</f>
        <v/>
      </c>
      <c r="W708" s="67" t="str">
        <f>IF($B708&lt;&gt;"",INDEX(DataOB[],FirstRow+ROW()-7,MATCH(W$6,DataOB[#Headers],0)),"")</f>
        <v/>
      </c>
      <c r="X708" s="67" t="str">
        <f>IF($B708&lt;&gt;"",INDEX(DataOB[],FirstRow+ROW()-7,MATCH(X$6,DataOB[#Headers],0)),"")</f>
        <v/>
      </c>
      <c r="Y708" s="67" t="str">
        <f>IF($B708&lt;&gt;"",INDEX(DataOB[],FirstRow+ROW()-7,MATCH(Y$6,DataOB[#Headers],0)),"")</f>
        <v/>
      </c>
      <c r="Z708" s="67" t="str">
        <f>IF($B708&lt;&gt;"",INDEX(DataOB[],FirstRow+ROW()-7,MATCH(Z$6,DataOB[#Headers],0)),"")</f>
        <v/>
      </c>
      <c r="AA708" s="67" t="str">
        <f>IF($B708&lt;&gt;"",INDEX(DataOB[],FirstRow+ROW()-7,MATCH(AA$6,DataOB[#Headers],0)),"")</f>
        <v/>
      </c>
      <c r="AB708" s="67" t="str">
        <f>IF($B708&lt;&gt;"",INDEX(DataOB[],FirstRow+ROW()-7,MATCH(AB$6,DataOB[#Headers],0)),"")</f>
        <v/>
      </c>
      <c r="AC708" s="67" t="str">
        <f>IF($B708&lt;&gt;"",INDEX(DataOB[],FirstRow+ROW()-7,MATCH(AC$6,DataOB[#Headers],0)),"")</f>
        <v/>
      </c>
      <c r="AD708" s="67" t="str">
        <f>IF($B708&lt;&gt;"",INDEX(DataOB[],FirstRow+ROW()-7,MATCH(AD$6,DataOB[#Headers],0)),"")</f>
        <v/>
      </c>
      <c r="AE708" s="67" t="str">
        <f>IF($B708&lt;&gt;"",INDEX(DataOB[],FirstRow+ROW()-7,MATCH(AE$6,DataOB[#Headers],0)),"")</f>
        <v/>
      </c>
      <c r="AF708" s="26">
        <f t="shared" si="104"/>
        <v>0</v>
      </c>
      <c r="AG708" s="31">
        <f>SUM($T708:T708)</f>
        <v>0</v>
      </c>
      <c r="AH708" s="31">
        <f>SUM($T708:U708)</f>
        <v>0</v>
      </c>
      <c r="AI708" s="31">
        <f>SUM($T708:V708)</f>
        <v>0</v>
      </c>
      <c r="AJ708" s="31">
        <f>SUM($T708:W708)</f>
        <v>0</v>
      </c>
      <c r="AK708" s="31">
        <f>SUM($T708:X708)</f>
        <v>0</v>
      </c>
      <c r="AL708" s="31">
        <f>SUM($T708:Y708)</f>
        <v>0</v>
      </c>
      <c r="AM708" s="31">
        <f>SUM($T708:Z708)</f>
        <v>0</v>
      </c>
      <c r="AN708" s="31">
        <f>SUM($T708:AA708)</f>
        <v>0</v>
      </c>
      <c r="AO708" s="31">
        <f>SUM($T708:AB708)</f>
        <v>0</v>
      </c>
      <c r="AP708" s="31">
        <f>SUM($T708:AC708)</f>
        <v>0</v>
      </c>
      <c r="AQ708" s="31">
        <f>SUM($T708:AD708)</f>
        <v>0</v>
      </c>
      <c r="AR708" s="31">
        <f>SUM($T708:AE708)</f>
        <v>0</v>
      </c>
      <c r="AS708" s="27">
        <f t="shared" si="105"/>
        <v>0</v>
      </c>
    </row>
    <row r="709" spans="2:45">
      <c r="B709" s="102" t="str">
        <f>IF(ROW()-6&gt;NumCostCenter,"",IF(CostCenter&lt;&gt;"ALL",CostCenter,DATA_LF2!B707))</f>
        <v/>
      </c>
      <c r="C709" s="153" t="str">
        <f>IF($B709&lt;&gt;"",INDEX(DataOB[],FirstRow+ROW()-7,2),"")</f>
        <v/>
      </c>
      <c r="D709" s="66" t="str">
        <f>IF($B709&lt;&gt;"",INDEX(DataOB[],FirstRow+ROW()-7,3),"")</f>
        <v/>
      </c>
      <c r="E709" s="103" t="str">
        <f>IF($B709&lt;&gt;"",INDEX(DataOB[],FirstRow+ROW()-7,6),"")</f>
        <v/>
      </c>
      <c r="F709" s="103" t="str">
        <f>IF($B709&lt;&gt;"",INDEX(DataOB[],FirstRow+ROW()-7,5),"")</f>
        <v/>
      </c>
      <c r="G709" s="58">
        <f>IF($B709&lt;&gt;"",SUMIFS(DataAct_tbl[AMOUNT],DataAct_tbl[BG CODE],Detail!$D709,DataAct_tbl[MONTH],LEFT(MonthName,3),DataAct_tbl[Dept code],$B709),0)</f>
        <v>0</v>
      </c>
      <c r="H709" s="31" t="str">
        <f t="shared" si="97"/>
        <v/>
      </c>
      <c r="I709" s="28" t="str">
        <f t="shared" si="98"/>
        <v/>
      </c>
      <c r="J709" s="32" t="str">
        <f t="shared" si="99"/>
        <v/>
      </c>
      <c r="K709" s="86"/>
      <c r="L709" s="62">
        <f>IF($B709&lt;&gt;"",SUMIFS(DataAct_tbl[AMOUNT],DataAct_tbl[BG CODE],Detail!$D709,DataAct_tbl[Check Range],"=true",DataAct_tbl[Dept code],$B709),0)</f>
        <v>0</v>
      </c>
      <c r="M709" s="63">
        <f>INDEX($AG$7:$AR$1005,ROW()-6,MATCH(MTD,$AG$6:$AR$6,0))</f>
        <v>0</v>
      </c>
      <c r="N709" s="34">
        <f t="shared" si="100"/>
        <v>0</v>
      </c>
      <c r="O709" s="64" t="str">
        <f t="shared" si="101"/>
        <v xml:space="preserve"> </v>
      </c>
      <c r="Q709" s="97">
        <f t="shared" si="102"/>
        <v>0</v>
      </c>
      <c r="R709" s="96">
        <f t="shared" si="103"/>
        <v>0</v>
      </c>
      <c r="T709" s="67" t="str">
        <f>IF($B709&lt;&gt;"",INDEX(DataOB[],FirstRow+ROW()-7,MATCH(T$6,DataOB[#Headers],0)),"")</f>
        <v/>
      </c>
      <c r="U709" s="67" t="str">
        <f>IF($B709&lt;&gt;"",INDEX(DataOB[],FirstRow+ROW()-7,MATCH(U$6,DataOB[#Headers],0)),"")</f>
        <v/>
      </c>
      <c r="V709" s="67" t="str">
        <f>IF($B709&lt;&gt;"",INDEX(DataOB[],FirstRow+ROW()-7,MATCH(V$6,DataOB[#Headers],0)),"")</f>
        <v/>
      </c>
      <c r="W709" s="67" t="str">
        <f>IF($B709&lt;&gt;"",INDEX(DataOB[],FirstRow+ROW()-7,MATCH(W$6,DataOB[#Headers],0)),"")</f>
        <v/>
      </c>
      <c r="X709" s="67" t="str">
        <f>IF($B709&lt;&gt;"",INDEX(DataOB[],FirstRow+ROW()-7,MATCH(X$6,DataOB[#Headers],0)),"")</f>
        <v/>
      </c>
      <c r="Y709" s="67" t="str">
        <f>IF($B709&lt;&gt;"",INDEX(DataOB[],FirstRow+ROW()-7,MATCH(Y$6,DataOB[#Headers],0)),"")</f>
        <v/>
      </c>
      <c r="Z709" s="67" t="str">
        <f>IF($B709&lt;&gt;"",INDEX(DataOB[],FirstRow+ROW()-7,MATCH(Z$6,DataOB[#Headers],0)),"")</f>
        <v/>
      </c>
      <c r="AA709" s="67" t="str">
        <f>IF($B709&lt;&gt;"",INDEX(DataOB[],FirstRow+ROW()-7,MATCH(AA$6,DataOB[#Headers],0)),"")</f>
        <v/>
      </c>
      <c r="AB709" s="67" t="str">
        <f>IF($B709&lt;&gt;"",INDEX(DataOB[],FirstRow+ROW()-7,MATCH(AB$6,DataOB[#Headers],0)),"")</f>
        <v/>
      </c>
      <c r="AC709" s="67" t="str">
        <f>IF($B709&lt;&gt;"",INDEX(DataOB[],FirstRow+ROW()-7,MATCH(AC$6,DataOB[#Headers],0)),"")</f>
        <v/>
      </c>
      <c r="AD709" s="67" t="str">
        <f>IF($B709&lt;&gt;"",INDEX(DataOB[],FirstRow+ROW()-7,MATCH(AD$6,DataOB[#Headers],0)),"")</f>
        <v/>
      </c>
      <c r="AE709" s="67" t="str">
        <f>IF($B709&lt;&gt;"",INDEX(DataOB[],FirstRow+ROW()-7,MATCH(AE$6,DataOB[#Headers],0)),"")</f>
        <v/>
      </c>
      <c r="AF709" s="26">
        <f t="shared" si="104"/>
        <v>0</v>
      </c>
      <c r="AG709" s="31">
        <f>SUM($T709:T709)</f>
        <v>0</v>
      </c>
      <c r="AH709" s="31">
        <f>SUM($T709:U709)</f>
        <v>0</v>
      </c>
      <c r="AI709" s="31">
        <f>SUM($T709:V709)</f>
        <v>0</v>
      </c>
      <c r="AJ709" s="31">
        <f>SUM($T709:W709)</f>
        <v>0</v>
      </c>
      <c r="AK709" s="31">
        <f>SUM($T709:X709)</f>
        <v>0</v>
      </c>
      <c r="AL709" s="31">
        <f>SUM($T709:Y709)</f>
        <v>0</v>
      </c>
      <c r="AM709" s="31">
        <f>SUM($T709:Z709)</f>
        <v>0</v>
      </c>
      <c r="AN709" s="31">
        <f>SUM($T709:AA709)</f>
        <v>0</v>
      </c>
      <c r="AO709" s="31">
        <f>SUM($T709:AB709)</f>
        <v>0</v>
      </c>
      <c r="AP709" s="31">
        <f>SUM($T709:AC709)</f>
        <v>0</v>
      </c>
      <c r="AQ709" s="31">
        <f>SUM($T709:AD709)</f>
        <v>0</v>
      </c>
      <c r="AR709" s="31">
        <f>SUM($T709:AE709)</f>
        <v>0</v>
      </c>
      <c r="AS709" s="27">
        <f t="shared" si="105"/>
        <v>0</v>
      </c>
    </row>
    <row r="710" spans="2:45">
      <c r="B710" s="102" t="str">
        <f>IF(ROW()-6&gt;NumCostCenter,"",IF(CostCenter&lt;&gt;"ALL",CostCenter,DATA_LF2!B708))</f>
        <v/>
      </c>
      <c r="C710" s="153" t="str">
        <f>IF($B710&lt;&gt;"",INDEX(DataOB[],FirstRow+ROW()-7,2),"")</f>
        <v/>
      </c>
      <c r="D710" s="66" t="str">
        <f>IF($B710&lt;&gt;"",INDEX(DataOB[],FirstRow+ROW()-7,3),"")</f>
        <v/>
      </c>
      <c r="E710" s="103" t="str">
        <f>IF($B710&lt;&gt;"",INDEX(DataOB[],FirstRow+ROW()-7,6),"")</f>
        <v/>
      </c>
      <c r="F710" s="103" t="str">
        <f>IF($B710&lt;&gt;"",INDEX(DataOB[],FirstRow+ROW()-7,5),"")</f>
        <v/>
      </c>
      <c r="G710" s="58">
        <f>IF($B710&lt;&gt;"",SUMIFS(DataAct_tbl[AMOUNT],DataAct_tbl[BG CODE],Detail!$D710,DataAct_tbl[MONTH],LEFT(MonthName,3),DataAct_tbl[Dept code],$B710),0)</f>
        <v>0</v>
      </c>
      <c r="H710" s="31" t="str">
        <f t="shared" si="97"/>
        <v/>
      </c>
      <c r="I710" s="28" t="str">
        <f t="shared" si="98"/>
        <v/>
      </c>
      <c r="J710" s="32" t="str">
        <f t="shared" si="99"/>
        <v/>
      </c>
      <c r="K710" s="86"/>
      <c r="L710" s="62">
        <f>IF($B710&lt;&gt;"",SUMIFS(DataAct_tbl[AMOUNT],DataAct_tbl[BG CODE],Detail!$D710,DataAct_tbl[Check Range],"=true",DataAct_tbl[Dept code],$B710),0)</f>
        <v>0</v>
      </c>
      <c r="M710" s="63">
        <f>INDEX($AG$7:$AR$1005,ROW()-6,MATCH(MTD,$AG$6:$AR$6,0))</f>
        <v>0</v>
      </c>
      <c r="N710" s="34">
        <f t="shared" si="100"/>
        <v>0</v>
      </c>
      <c r="O710" s="64" t="str">
        <f t="shared" si="101"/>
        <v xml:space="preserve"> </v>
      </c>
      <c r="Q710" s="97">
        <f t="shared" si="102"/>
        <v>0</v>
      </c>
      <c r="R710" s="96">
        <f t="shared" si="103"/>
        <v>0</v>
      </c>
      <c r="T710" s="67" t="str">
        <f>IF($B710&lt;&gt;"",INDEX(DataOB[],FirstRow+ROW()-7,MATCH(T$6,DataOB[#Headers],0)),"")</f>
        <v/>
      </c>
      <c r="U710" s="67" t="str">
        <f>IF($B710&lt;&gt;"",INDEX(DataOB[],FirstRow+ROW()-7,MATCH(U$6,DataOB[#Headers],0)),"")</f>
        <v/>
      </c>
      <c r="V710" s="67" t="str">
        <f>IF($B710&lt;&gt;"",INDEX(DataOB[],FirstRow+ROW()-7,MATCH(V$6,DataOB[#Headers],0)),"")</f>
        <v/>
      </c>
      <c r="W710" s="67" t="str">
        <f>IF($B710&lt;&gt;"",INDEX(DataOB[],FirstRow+ROW()-7,MATCH(W$6,DataOB[#Headers],0)),"")</f>
        <v/>
      </c>
      <c r="X710" s="67" t="str">
        <f>IF($B710&lt;&gt;"",INDEX(DataOB[],FirstRow+ROW()-7,MATCH(X$6,DataOB[#Headers],0)),"")</f>
        <v/>
      </c>
      <c r="Y710" s="67" t="str">
        <f>IF($B710&lt;&gt;"",INDEX(DataOB[],FirstRow+ROW()-7,MATCH(Y$6,DataOB[#Headers],0)),"")</f>
        <v/>
      </c>
      <c r="Z710" s="67" t="str">
        <f>IF($B710&lt;&gt;"",INDEX(DataOB[],FirstRow+ROW()-7,MATCH(Z$6,DataOB[#Headers],0)),"")</f>
        <v/>
      </c>
      <c r="AA710" s="67" t="str">
        <f>IF($B710&lt;&gt;"",INDEX(DataOB[],FirstRow+ROW()-7,MATCH(AA$6,DataOB[#Headers],0)),"")</f>
        <v/>
      </c>
      <c r="AB710" s="67" t="str">
        <f>IF($B710&lt;&gt;"",INDEX(DataOB[],FirstRow+ROW()-7,MATCH(AB$6,DataOB[#Headers],0)),"")</f>
        <v/>
      </c>
      <c r="AC710" s="67" t="str">
        <f>IF($B710&lt;&gt;"",INDEX(DataOB[],FirstRow+ROW()-7,MATCH(AC$6,DataOB[#Headers],0)),"")</f>
        <v/>
      </c>
      <c r="AD710" s="67" t="str">
        <f>IF($B710&lt;&gt;"",INDEX(DataOB[],FirstRow+ROW()-7,MATCH(AD$6,DataOB[#Headers],0)),"")</f>
        <v/>
      </c>
      <c r="AE710" s="67" t="str">
        <f>IF($B710&lt;&gt;"",INDEX(DataOB[],FirstRow+ROW()-7,MATCH(AE$6,DataOB[#Headers],0)),"")</f>
        <v/>
      </c>
      <c r="AF710" s="26">
        <f t="shared" si="104"/>
        <v>0</v>
      </c>
      <c r="AG710" s="31">
        <f>SUM($T710:T710)</f>
        <v>0</v>
      </c>
      <c r="AH710" s="31">
        <f>SUM($T710:U710)</f>
        <v>0</v>
      </c>
      <c r="AI710" s="31">
        <f>SUM($T710:V710)</f>
        <v>0</v>
      </c>
      <c r="AJ710" s="31">
        <f>SUM($T710:W710)</f>
        <v>0</v>
      </c>
      <c r="AK710" s="31">
        <f>SUM($T710:X710)</f>
        <v>0</v>
      </c>
      <c r="AL710" s="31">
        <f>SUM($T710:Y710)</f>
        <v>0</v>
      </c>
      <c r="AM710" s="31">
        <f>SUM($T710:Z710)</f>
        <v>0</v>
      </c>
      <c r="AN710" s="31">
        <f>SUM($T710:AA710)</f>
        <v>0</v>
      </c>
      <c r="AO710" s="31">
        <f>SUM($T710:AB710)</f>
        <v>0</v>
      </c>
      <c r="AP710" s="31">
        <f>SUM($T710:AC710)</f>
        <v>0</v>
      </c>
      <c r="AQ710" s="31">
        <f>SUM($T710:AD710)</f>
        <v>0</v>
      </c>
      <c r="AR710" s="31">
        <f>SUM($T710:AE710)</f>
        <v>0</v>
      </c>
      <c r="AS710" s="27">
        <f t="shared" si="105"/>
        <v>0</v>
      </c>
    </row>
    <row r="711" spans="2:45">
      <c r="B711" s="102" t="str">
        <f>IF(ROW()-6&gt;NumCostCenter,"",IF(CostCenter&lt;&gt;"ALL",CostCenter,DATA_LF2!B709))</f>
        <v/>
      </c>
      <c r="C711" s="153" t="str">
        <f>IF($B711&lt;&gt;"",INDEX(DataOB[],FirstRow+ROW()-7,2),"")</f>
        <v/>
      </c>
      <c r="D711" s="66" t="str">
        <f>IF($B711&lt;&gt;"",INDEX(DataOB[],FirstRow+ROW()-7,3),"")</f>
        <v/>
      </c>
      <c r="E711" s="103" t="str">
        <f>IF($B711&lt;&gt;"",INDEX(DataOB[],FirstRow+ROW()-7,6),"")</f>
        <v/>
      </c>
      <c r="F711" s="103" t="str">
        <f>IF($B711&lt;&gt;"",INDEX(DataOB[],FirstRow+ROW()-7,5),"")</f>
        <v/>
      </c>
      <c r="G711" s="58">
        <f>IF($B711&lt;&gt;"",SUMIFS(DataAct_tbl[AMOUNT],DataAct_tbl[BG CODE],Detail!$D711,DataAct_tbl[MONTH],LEFT(MonthName,3),DataAct_tbl[Dept code],$B711),0)</f>
        <v>0</v>
      </c>
      <c r="H711" s="31" t="str">
        <f t="shared" ref="H711:H774" si="106">INDEX($T$7:$AE$1005,ROW()-6,MATCH(MonthName,$T$6:$AE$6,0))</f>
        <v/>
      </c>
      <c r="I711" s="28" t="str">
        <f t="shared" si="98"/>
        <v/>
      </c>
      <c r="J711" s="32" t="str">
        <f t="shared" si="99"/>
        <v/>
      </c>
      <c r="K711" s="86"/>
      <c r="L711" s="62">
        <f>IF($B711&lt;&gt;"",SUMIFS(DataAct_tbl[AMOUNT],DataAct_tbl[BG CODE],Detail!$D711,DataAct_tbl[Check Range],"=true",DataAct_tbl[Dept code],$B711),0)</f>
        <v>0</v>
      </c>
      <c r="M711" s="63">
        <f>INDEX($AG$7:$AR$1005,ROW()-6,MATCH(MTD,$AG$6:$AR$6,0))</f>
        <v>0</v>
      </c>
      <c r="N711" s="34">
        <f t="shared" si="100"/>
        <v>0</v>
      </c>
      <c r="O711" s="64" t="str">
        <f t="shared" si="101"/>
        <v xml:space="preserve"> </v>
      </c>
      <c r="Q711" s="97">
        <f t="shared" si="102"/>
        <v>0</v>
      </c>
      <c r="R711" s="96">
        <f t="shared" si="103"/>
        <v>0</v>
      </c>
      <c r="T711" s="67" t="str">
        <f>IF($B711&lt;&gt;"",INDEX(DataOB[],FirstRow+ROW()-7,MATCH(T$6,DataOB[#Headers],0)),"")</f>
        <v/>
      </c>
      <c r="U711" s="67" t="str">
        <f>IF($B711&lt;&gt;"",INDEX(DataOB[],FirstRow+ROW()-7,MATCH(U$6,DataOB[#Headers],0)),"")</f>
        <v/>
      </c>
      <c r="V711" s="67" t="str">
        <f>IF($B711&lt;&gt;"",INDEX(DataOB[],FirstRow+ROW()-7,MATCH(V$6,DataOB[#Headers],0)),"")</f>
        <v/>
      </c>
      <c r="W711" s="67" t="str">
        <f>IF($B711&lt;&gt;"",INDEX(DataOB[],FirstRow+ROW()-7,MATCH(W$6,DataOB[#Headers],0)),"")</f>
        <v/>
      </c>
      <c r="X711" s="67" t="str">
        <f>IF($B711&lt;&gt;"",INDEX(DataOB[],FirstRow+ROW()-7,MATCH(X$6,DataOB[#Headers],0)),"")</f>
        <v/>
      </c>
      <c r="Y711" s="67" t="str">
        <f>IF($B711&lt;&gt;"",INDEX(DataOB[],FirstRow+ROW()-7,MATCH(Y$6,DataOB[#Headers],0)),"")</f>
        <v/>
      </c>
      <c r="Z711" s="67" t="str">
        <f>IF($B711&lt;&gt;"",INDEX(DataOB[],FirstRow+ROW()-7,MATCH(Z$6,DataOB[#Headers],0)),"")</f>
        <v/>
      </c>
      <c r="AA711" s="67" t="str">
        <f>IF($B711&lt;&gt;"",INDEX(DataOB[],FirstRow+ROW()-7,MATCH(AA$6,DataOB[#Headers],0)),"")</f>
        <v/>
      </c>
      <c r="AB711" s="67" t="str">
        <f>IF($B711&lt;&gt;"",INDEX(DataOB[],FirstRow+ROW()-7,MATCH(AB$6,DataOB[#Headers],0)),"")</f>
        <v/>
      </c>
      <c r="AC711" s="67" t="str">
        <f>IF($B711&lt;&gt;"",INDEX(DataOB[],FirstRow+ROW()-7,MATCH(AC$6,DataOB[#Headers],0)),"")</f>
        <v/>
      </c>
      <c r="AD711" s="67" t="str">
        <f>IF($B711&lt;&gt;"",INDEX(DataOB[],FirstRow+ROW()-7,MATCH(AD$6,DataOB[#Headers],0)),"")</f>
        <v/>
      </c>
      <c r="AE711" s="67" t="str">
        <f>IF($B711&lt;&gt;"",INDEX(DataOB[],FirstRow+ROW()-7,MATCH(AE$6,DataOB[#Headers],0)),"")</f>
        <v/>
      </c>
      <c r="AF711" s="26">
        <f t="shared" si="104"/>
        <v>0</v>
      </c>
      <c r="AG711" s="31">
        <f>SUM($T711:T711)</f>
        <v>0</v>
      </c>
      <c r="AH711" s="31">
        <f>SUM($T711:U711)</f>
        <v>0</v>
      </c>
      <c r="AI711" s="31">
        <f>SUM($T711:V711)</f>
        <v>0</v>
      </c>
      <c r="AJ711" s="31">
        <f>SUM($T711:W711)</f>
        <v>0</v>
      </c>
      <c r="AK711" s="31">
        <f>SUM($T711:X711)</f>
        <v>0</v>
      </c>
      <c r="AL711" s="31">
        <f>SUM($T711:Y711)</f>
        <v>0</v>
      </c>
      <c r="AM711" s="31">
        <f>SUM($T711:Z711)</f>
        <v>0</v>
      </c>
      <c r="AN711" s="31">
        <f>SUM($T711:AA711)</f>
        <v>0</v>
      </c>
      <c r="AO711" s="31">
        <f>SUM($T711:AB711)</f>
        <v>0</v>
      </c>
      <c r="AP711" s="31">
        <f>SUM($T711:AC711)</f>
        <v>0</v>
      </c>
      <c r="AQ711" s="31">
        <f>SUM($T711:AD711)</f>
        <v>0</v>
      </c>
      <c r="AR711" s="31">
        <f>SUM($T711:AE711)</f>
        <v>0</v>
      </c>
      <c r="AS711" s="27">
        <f t="shared" si="105"/>
        <v>0</v>
      </c>
    </row>
    <row r="712" spans="2:45">
      <c r="B712" s="102" t="str">
        <f>IF(ROW()-6&gt;NumCostCenter,"",IF(CostCenter&lt;&gt;"ALL",CostCenter,DATA_LF2!B710))</f>
        <v/>
      </c>
      <c r="C712" s="153" t="str">
        <f>IF($B712&lt;&gt;"",INDEX(DataOB[],FirstRow+ROW()-7,2),"")</f>
        <v/>
      </c>
      <c r="D712" s="66" t="str">
        <f>IF($B712&lt;&gt;"",INDEX(DataOB[],FirstRow+ROW()-7,3),"")</f>
        <v/>
      </c>
      <c r="E712" s="103" t="str">
        <f>IF($B712&lt;&gt;"",INDEX(DataOB[],FirstRow+ROW()-7,6),"")</f>
        <v/>
      </c>
      <c r="F712" s="103" t="str">
        <f>IF($B712&lt;&gt;"",INDEX(DataOB[],FirstRow+ROW()-7,5),"")</f>
        <v/>
      </c>
      <c r="G712" s="58">
        <f>IF($B712&lt;&gt;"",SUMIFS(DataAct_tbl[AMOUNT],DataAct_tbl[BG CODE],Detail!$D712,DataAct_tbl[MONTH],LEFT(MonthName,3),DataAct_tbl[Dept code],$B712),0)</f>
        <v>0</v>
      </c>
      <c r="H712" s="31" t="str">
        <f t="shared" si="106"/>
        <v/>
      </c>
      <c r="I712" s="28" t="str">
        <f t="shared" ref="I712:I775" si="107">IFERROR(+G712-H712,"")</f>
        <v/>
      </c>
      <c r="J712" s="32" t="str">
        <f t="shared" ref="J712:J775" si="108">IFERROR(+IF(H712&gt;0,G712/H712," "),"")</f>
        <v/>
      </c>
      <c r="K712" s="86"/>
      <c r="L712" s="62">
        <f>IF($B712&lt;&gt;"",SUMIFS(DataAct_tbl[AMOUNT],DataAct_tbl[BG CODE],Detail!$D712,DataAct_tbl[Check Range],"=true",DataAct_tbl[Dept code],$B712),0)</f>
        <v>0</v>
      </c>
      <c r="M712" s="63">
        <f>INDEX($AG$7:$AR$1005,ROW()-6,MATCH(MTD,$AG$6:$AR$6,0))</f>
        <v>0</v>
      </c>
      <c r="N712" s="34">
        <f t="shared" ref="N712:N775" si="109">IFERROR(+L712-M712,"")</f>
        <v>0</v>
      </c>
      <c r="O712" s="64" t="str">
        <f t="shared" ref="O712:O775" si="110">IFERROR(+IF(M712&gt;0,L712/M712," "),"")</f>
        <v xml:space="preserve"> </v>
      </c>
      <c r="Q712" s="97">
        <f t="shared" ref="Q712:Q775" si="111">AF712</f>
        <v>0</v>
      </c>
      <c r="R712" s="96">
        <f t="shared" ref="R712:R775" si="112">Q712-L712</f>
        <v>0</v>
      </c>
      <c r="T712" s="67" t="str">
        <f>IF($B712&lt;&gt;"",INDEX(DataOB[],FirstRow+ROW()-7,MATCH(T$6,DataOB[#Headers],0)),"")</f>
        <v/>
      </c>
      <c r="U712" s="67" t="str">
        <f>IF($B712&lt;&gt;"",INDEX(DataOB[],FirstRow+ROW()-7,MATCH(U$6,DataOB[#Headers],0)),"")</f>
        <v/>
      </c>
      <c r="V712" s="67" t="str">
        <f>IF($B712&lt;&gt;"",INDEX(DataOB[],FirstRow+ROW()-7,MATCH(V$6,DataOB[#Headers],0)),"")</f>
        <v/>
      </c>
      <c r="W712" s="67" t="str">
        <f>IF($B712&lt;&gt;"",INDEX(DataOB[],FirstRow+ROW()-7,MATCH(W$6,DataOB[#Headers],0)),"")</f>
        <v/>
      </c>
      <c r="X712" s="67" t="str">
        <f>IF($B712&lt;&gt;"",INDEX(DataOB[],FirstRow+ROW()-7,MATCH(X$6,DataOB[#Headers],0)),"")</f>
        <v/>
      </c>
      <c r="Y712" s="67" t="str">
        <f>IF($B712&lt;&gt;"",INDEX(DataOB[],FirstRow+ROW()-7,MATCH(Y$6,DataOB[#Headers],0)),"")</f>
        <v/>
      </c>
      <c r="Z712" s="67" t="str">
        <f>IF($B712&lt;&gt;"",INDEX(DataOB[],FirstRow+ROW()-7,MATCH(Z$6,DataOB[#Headers],0)),"")</f>
        <v/>
      </c>
      <c r="AA712" s="67" t="str">
        <f>IF($B712&lt;&gt;"",INDEX(DataOB[],FirstRow+ROW()-7,MATCH(AA$6,DataOB[#Headers],0)),"")</f>
        <v/>
      </c>
      <c r="AB712" s="67" t="str">
        <f>IF($B712&lt;&gt;"",INDEX(DataOB[],FirstRow+ROW()-7,MATCH(AB$6,DataOB[#Headers],0)),"")</f>
        <v/>
      </c>
      <c r="AC712" s="67" t="str">
        <f>IF($B712&lt;&gt;"",INDEX(DataOB[],FirstRow+ROW()-7,MATCH(AC$6,DataOB[#Headers],0)),"")</f>
        <v/>
      </c>
      <c r="AD712" s="67" t="str">
        <f>IF($B712&lt;&gt;"",INDEX(DataOB[],FirstRow+ROW()-7,MATCH(AD$6,DataOB[#Headers],0)),"")</f>
        <v/>
      </c>
      <c r="AE712" s="67" t="str">
        <f>IF($B712&lt;&gt;"",INDEX(DataOB[],FirstRow+ROW()-7,MATCH(AE$6,DataOB[#Headers],0)),"")</f>
        <v/>
      </c>
      <c r="AF712" s="26">
        <f t="shared" ref="AF712:AF775" si="113">+SUM(T712:AE712)</f>
        <v>0</v>
      </c>
      <c r="AG712" s="31">
        <f>SUM($T712:T712)</f>
        <v>0</v>
      </c>
      <c r="AH712" s="31">
        <f>SUM($T712:U712)</f>
        <v>0</v>
      </c>
      <c r="AI712" s="31">
        <f>SUM($T712:V712)</f>
        <v>0</v>
      </c>
      <c r="AJ712" s="31">
        <f>SUM($T712:W712)</f>
        <v>0</v>
      </c>
      <c r="AK712" s="31">
        <f>SUM($T712:X712)</f>
        <v>0</v>
      </c>
      <c r="AL712" s="31">
        <f>SUM($T712:Y712)</f>
        <v>0</v>
      </c>
      <c r="AM712" s="31">
        <f>SUM($T712:Z712)</f>
        <v>0</v>
      </c>
      <c r="AN712" s="31">
        <f>SUM($T712:AA712)</f>
        <v>0</v>
      </c>
      <c r="AO712" s="31">
        <f>SUM($T712:AB712)</f>
        <v>0</v>
      </c>
      <c r="AP712" s="31">
        <f>SUM($T712:AC712)</f>
        <v>0</v>
      </c>
      <c r="AQ712" s="31">
        <f>SUM($T712:AD712)</f>
        <v>0</v>
      </c>
      <c r="AR712" s="31">
        <f>SUM($T712:AE712)</f>
        <v>0</v>
      </c>
      <c r="AS712" s="27">
        <f t="shared" ref="AS712:AS775" si="114">AF712-AR712</f>
        <v>0</v>
      </c>
    </row>
    <row r="713" spans="2:45">
      <c r="B713" s="102" t="str">
        <f>IF(ROW()-6&gt;NumCostCenter,"",IF(CostCenter&lt;&gt;"ALL",CostCenter,DATA_LF2!B711))</f>
        <v/>
      </c>
      <c r="C713" s="153" t="str">
        <f>IF($B713&lt;&gt;"",INDEX(DataOB[],FirstRow+ROW()-7,2),"")</f>
        <v/>
      </c>
      <c r="D713" s="66" t="str">
        <f>IF($B713&lt;&gt;"",INDEX(DataOB[],FirstRow+ROW()-7,3),"")</f>
        <v/>
      </c>
      <c r="E713" s="103" t="str">
        <f>IF($B713&lt;&gt;"",INDEX(DataOB[],FirstRow+ROW()-7,6),"")</f>
        <v/>
      </c>
      <c r="F713" s="103" t="str">
        <f>IF($B713&lt;&gt;"",INDEX(DataOB[],FirstRow+ROW()-7,5),"")</f>
        <v/>
      </c>
      <c r="G713" s="58">
        <f>IF($B713&lt;&gt;"",SUMIFS(DataAct_tbl[AMOUNT],DataAct_tbl[BG CODE],Detail!$D713,DataAct_tbl[MONTH],LEFT(MonthName,3),DataAct_tbl[Dept code],$B713),0)</f>
        <v>0</v>
      </c>
      <c r="H713" s="31" t="str">
        <f t="shared" si="106"/>
        <v/>
      </c>
      <c r="I713" s="28" t="str">
        <f t="shared" si="107"/>
        <v/>
      </c>
      <c r="J713" s="32" t="str">
        <f t="shared" si="108"/>
        <v/>
      </c>
      <c r="K713" s="86"/>
      <c r="L713" s="62">
        <f>IF($B713&lt;&gt;"",SUMIFS(DataAct_tbl[AMOUNT],DataAct_tbl[BG CODE],Detail!$D713,DataAct_tbl[Check Range],"=true",DataAct_tbl[Dept code],$B713),0)</f>
        <v>0</v>
      </c>
      <c r="M713" s="63">
        <f>INDEX($AG$7:$AR$1005,ROW()-6,MATCH(MTD,$AG$6:$AR$6,0))</f>
        <v>0</v>
      </c>
      <c r="N713" s="34">
        <f t="shared" si="109"/>
        <v>0</v>
      </c>
      <c r="O713" s="64" t="str">
        <f t="shared" si="110"/>
        <v xml:space="preserve"> </v>
      </c>
      <c r="Q713" s="97">
        <f t="shared" si="111"/>
        <v>0</v>
      </c>
      <c r="R713" s="96">
        <f t="shared" si="112"/>
        <v>0</v>
      </c>
      <c r="T713" s="67" t="str">
        <f>IF($B713&lt;&gt;"",INDEX(DataOB[],FirstRow+ROW()-7,MATCH(T$6,DataOB[#Headers],0)),"")</f>
        <v/>
      </c>
      <c r="U713" s="67" t="str">
        <f>IF($B713&lt;&gt;"",INDEX(DataOB[],FirstRow+ROW()-7,MATCH(U$6,DataOB[#Headers],0)),"")</f>
        <v/>
      </c>
      <c r="V713" s="67" t="str">
        <f>IF($B713&lt;&gt;"",INDEX(DataOB[],FirstRow+ROW()-7,MATCH(V$6,DataOB[#Headers],0)),"")</f>
        <v/>
      </c>
      <c r="W713" s="67" t="str">
        <f>IF($B713&lt;&gt;"",INDEX(DataOB[],FirstRow+ROW()-7,MATCH(W$6,DataOB[#Headers],0)),"")</f>
        <v/>
      </c>
      <c r="X713" s="67" t="str">
        <f>IF($B713&lt;&gt;"",INDEX(DataOB[],FirstRow+ROW()-7,MATCH(X$6,DataOB[#Headers],0)),"")</f>
        <v/>
      </c>
      <c r="Y713" s="67" t="str">
        <f>IF($B713&lt;&gt;"",INDEX(DataOB[],FirstRow+ROW()-7,MATCH(Y$6,DataOB[#Headers],0)),"")</f>
        <v/>
      </c>
      <c r="Z713" s="67" t="str">
        <f>IF($B713&lt;&gt;"",INDEX(DataOB[],FirstRow+ROW()-7,MATCH(Z$6,DataOB[#Headers],0)),"")</f>
        <v/>
      </c>
      <c r="AA713" s="67" t="str">
        <f>IF($B713&lt;&gt;"",INDEX(DataOB[],FirstRow+ROW()-7,MATCH(AA$6,DataOB[#Headers],0)),"")</f>
        <v/>
      </c>
      <c r="AB713" s="67" t="str">
        <f>IF($B713&lt;&gt;"",INDEX(DataOB[],FirstRow+ROW()-7,MATCH(AB$6,DataOB[#Headers],0)),"")</f>
        <v/>
      </c>
      <c r="AC713" s="67" t="str">
        <f>IF($B713&lt;&gt;"",INDEX(DataOB[],FirstRow+ROW()-7,MATCH(AC$6,DataOB[#Headers],0)),"")</f>
        <v/>
      </c>
      <c r="AD713" s="67" t="str">
        <f>IF($B713&lt;&gt;"",INDEX(DataOB[],FirstRow+ROW()-7,MATCH(AD$6,DataOB[#Headers],0)),"")</f>
        <v/>
      </c>
      <c r="AE713" s="67" t="str">
        <f>IF($B713&lt;&gt;"",INDEX(DataOB[],FirstRow+ROW()-7,MATCH(AE$6,DataOB[#Headers],0)),"")</f>
        <v/>
      </c>
      <c r="AF713" s="26">
        <f t="shared" si="113"/>
        <v>0</v>
      </c>
      <c r="AG713" s="31">
        <f>SUM($T713:T713)</f>
        <v>0</v>
      </c>
      <c r="AH713" s="31">
        <f>SUM($T713:U713)</f>
        <v>0</v>
      </c>
      <c r="AI713" s="31">
        <f>SUM($T713:V713)</f>
        <v>0</v>
      </c>
      <c r="AJ713" s="31">
        <f>SUM($T713:W713)</f>
        <v>0</v>
      </c>
      <c r="AK713" s="31">
        <f>SUM($T713:X713)</f>
        <v>0</v>
      </c>
      <c r="AL713" s="31">
        <f>SUM($T713:Y713)</f>
        <v>0</v>
      </c>
      <c r="AM713" s="31">
        <f>SUM($T713:Z713)</f>
        <v>0</v>
      </c>
      <c r="AN713" s="31">
        <f>SUM($T713:AA713)</f>
        <v>0</v>
      </c>
      <c r="AO713" s="31">
        <f>SUM($T713:AB713)</f>
        <v>0</v>
      </c>
      <c r="AP713" s="31">
        <f>SUM($T713:AC713)</f>
        <v>0</v>
      </c>
      <c r="AQ713" s="31">
        <f>SUM($T713:AD713)</f>
        <v>0</v>
      </c>
      <c r="AR713" s="31">
        <f>SUM($T713:AE713)</f>
        <v>0</v>
      </c>
      <c r="AS713" s="27">
        <f t="shared" si="114"/>
        <v>0</v>
      </c>
    </row>
    <row r="714" spans="2:45">
      <c r="B714" s="102" t="str">
        <f>IF(ROW()-6&gt;NumCostCenter,"",IF(CostCenter&lt;&gt;"ALL",CostCenter,DATA_LF2!B712))</f>
        <v/>
      </c>
      <c r="C714" s="153" t="str">
        <f>IF($B714&lt;&gt;"",INDEX(DataOB[],FirstRow+ROW()-7,2),"")</f>
        <v/>
      </c>
      <c r="D714" s="66" t="str">
        <f>IF($B714&lt;&gt;"",INDEX(DataOB[],FirstRow+ROW()-7,3),"")</f>
        <v/>
      </c>
      <c r="E714" s="103" t="str">
        <f>IF($B714&lt;&gt;"",INDEX(DataOB[],FirstRow+ROW()-7,6),"")</f>
        <v/>
      </c>
      <c r="F714" s="103" t="str">
        <f>IF($B714&lt;&gt;"",INDEX(DataOB[],FirstRow+ROW()-7,5),"")</f>
        <v/>
      </c>
      <c r="G714" s="58">
        <f>IF($B714&lt;&gt;"",SUMIFS(DataAct_tbl[AMOUNT],DataAct_tbl[BG CODE],Detail!$D714,DataAct_tbl[MONTH],LEFT(MonthName,3),DataAct_tbl[Dept code],$B714),0)</f>
        <v>0</v>
      </c>
      <c r="H714" s="31" t="str">
        <f t="shared" si="106"/>
        <v/>
      </c>
      <c r="I714" s="28" t="str">
        <f t="shared" si="107"/>
        <v/>
      </c>
      <c r="J714" s="32" t="str">
        <f t="shared" si="108"/>
        <v/>
      </c>
      <c r="K714" s="86"/>
      <c r="L714" s="62">
        <f>IF($B714&lt;&gt;"",SUMIFS(DataAct_tbl[AMOUNT],DataAct_tbl[BG CODE],Detail!$D714,DataAct_tbl[Check Range],"=true",DataAct_tbl[Dept code],$B714),0)</f>
        <v>0</v>
      </c>
      <c r="M714" s="63">
        <f>INDEX($AG$7:$AR$1005,ROW()-6,MATCH(MTD,$AG$6:$AR$6,0))</f>
        <v>0</v>
      </c>
      <c r="N714" s="34">
        <f t="shared" si="109"/>
        <v>0</v>
      </c>
      <c r="O714" s="64" t="str">
        <f t="shared" si="110"/>
        <v xml:space="preserve"> </v>
      </c>
      <c r="Q714" s="97">
        <f t="shared" si="111"/>
        <v>0</v>
      </c>
      <c r="R714" s="96">
        <f t="shared" si="112"/>
        <v>0</v>
      </c>
      <c r="T714" s="67" t="str">
        <f>IF($B714&lt;&gt;"",INDEX(DataOB[],FirstRow+ROW()-7,MATCH(T$6,DataOB[#Headers],0)),"")</f>
        <v/>
      </c>
      <c r="U714" s="67" t="str">
        <f>IF($B714&lt;&gt;"",INDEX(DataOB[],FirstRow+ROW()-7,MATCH(U$6,DataOB[#Headers],0)),"")</f>
        <v/>
      </c>
      <c r="V714" s="67" t="str">
        <f>IF($B714&lt;&gt;"",INDEX(DataOB[],FirstRow+ROW()-7,MATCH(V$6,DataOB[#Headers],0)),"")</f>
        <v/>
      </c>
      <c r="W714" s="67" t="str">
        <f>IF($B714&lt;&gt;"",INDEX(DataOB[],FirstRow+ROW()-7,MATCH(W$6,DataOB[#Headers],0)),"")</f>
        <v/>
      </c>
      <c r="X714" s="67" t="str">
        <f>IF($B714&lt;&gt;"",INDEX(DataOB[],FirstRow+ROW()-7,MATCH(X$6,DataOB[#Headers],0)),"")</f>
        <v/>
      </c>
      <c r="Y714" s="67" t="str">
        <f>IF($B714&lt;&gt;"",INDEX(DataOB[],FirstRow+ROW()-7,MATCH(Y$6,DataOB[#Headers],0)),"")</f>
        <v/>
      </c>
      <c r="Z714" s="67" t="str">
        <f>IF($B714&lt;&gt;"",INDEX(DataOB[],FirstRow+ROW()-7,MATCH(Z$6,DataOB[#Headers],0)),"")</f>
        <v/>
      </c>
      <c r="AA714" s="67" t="str">
        <f>IF($B714&lt;&gt;"",INDEX(DataOB[],FirstRow+ROW()-7,MATCH(AA$6,DataOB[#Headers],0)),"")</f>
        <v/>
      </c>
      <c r="AB714" s="67" t="str">
        <f>IF($B714&lt;&gt;"",INDEX(DataOB[],FirstRow+ROW()-7,MATCH(AB$6,DataOB[#Headers],0)),"")</f>
        <v/>
      </c>
      <c r="AC714" s="67" t="str">
        <f>IF($B714&lt;&gt;"",INDEX(DataOB[],FirstRow+ROW()-7,MATCH(AC$6,DataOB[#Headers],0)),"")</f>
        <v/>
      </c>
      <c r="AD714" s="67" t="str">
        <f>IF($B714&lt;&gt;"",INDEX(DataOB[],FirstRow+ROW()-7,MATCH(AD$6,DataOB[#Headers],0)),"")</f>
        <v/>
      </c>
      <c r="AE714" s="67" t="str">
        <f>IF($B714&lt;&gt;"",INDEX(DataOB[],FirstRow+ROW()-7,MATCH(AE$6,DataOB[#Headers],0)),"")</f>
        <v/>
      </c>
      <c r="AF714" s="26">
        <f t="shared" si="113"/>
        <v>0</v>
      </c>
      <c r="AG714" s="31">
        <f>SUM($T714:T714)</f>
        <v>0</v>
      </c>
      <c r="AH714" s="31">
        <f>SUM($T714:U714)</f>
        <v>0</v>
      </c>
      <c r="AI714" s="31">
        <f>SUM($T714:V714)</f>
        <v>0</v>
      </c>
      <c r="AJ714" s="31">
        <f>SUM($T714:W714)</f>
        <v>0</v>
      </c>
      <c r="AK714" s="31">
        <f>SUM($T714:X714)</f>
        <v>0</v>
      </c>
      <c r="AL714" s="31">
        <f>SUM($T714:Y714)</f>
        <v>0</v>
      </c>
      <c r="AM714" s="31">
        <f>SUM($T714:Z714)</f>
        <v>0</v>
      </c>
      <c r="AN714" s="31">
        <f>SUM($T714:AA714)</f>
        <v>0</v>
      </c>
      <c r="AO714" s="31">
        <f>SUM($T714:AB714)</f>
        <v>0</v>
      </c>
      <c r="AP714" s="31">
        <f>SUM($T714:AC714)</f>
        <v>0</v>
      </c>
      <c r="AQ714" s="31">
        <f>SUM($T714:AD714)</f>
        <v>0</v>
      </c>
      <c r="AR714" s="31">
        <f>SUM($T714:AE714)</f>
        <v>0</v>
      </c>
      <c r="AS714" s="27">
        <f t="shared" si="114"/>
        <v>0</v>
      </c>
    </row>
    <row r="715" spans="2:45">
      <c r="B715" s="102" t="str">
        <f>IF(ROW()-6&gt;NumCostCenter,"",IF(CostCenter&lt;&gt;"ALL",CostCenter,DATA_LF2!B713))</f>
        <v/>
      </c>
      <c r="C715" s="153" t="str">
        <f>IF($B715&lt;&gt;"",INDEX(DataOB[],FirstRow+ROW()-7,2),"")</f>
        <v/>
      </c>
      <c r="D715" s="66" t="str">
        <f>IF($B715&lt;&gt;"",INDEX(DataOB[],FirstRow+ROW()-7,3),"")</f>
        <v/>
      </c>
      <c r="E715" s="103" t="str">
        <f>IF($B715&lt;&gt;"",INDEX(DataOB[],FirstRow+ROW()-7,6),"")</f>
        <v/>
      </c>
      <c r="F715" s="103" t="str">
        <f>IF($B715&lt;&gt;"",INDEX(DataOB[],FirstRow+ROW()-7,5),"")</f>
        <v/>
      </c>
      <c r="G715" s="58">
        <f>IF($B715&lt;&gt;"",SUMIFS(DataAct_tbl[AMOUNT],DataAct_tbl[BG CODE],Detail!$D715,DataAct_tbl[MONTH],LEFT(MonthName,3),DataAct_tbl[Dept code],$B715),0)</f>
        <v>0</v>
      </c>
      <c r="H715" s="31" t="str">
        <f t="shared" si="106"/>
        <v/>
      </c>
      <c r="I715" s="28" t="str">
        <f t="shared" si="107"/>
        <v/>
      </c>
      <c r="J715" s="32" t="str">
        <f t="shared" si="108"/>
        <v/>
      </c>
      <c r="K715" s="86"/>
      <c r="L715" s="62">
        <f>IF($B715&lt;&gt;"",SUMIFS(DataAct_tbl[AMOUNT],DataAct_tbl[BG CODE],Detail!$D715,DataAct_tbl[Check Range],"=true",DataAct_tbl[Dept code],$B715),0)</f>
        <v>0</v>
      </c>
      <c r="M715" s="63">
        <f>INDEX($AG$7:$AR$1005,ROW()-6,MATCH(MTD,$AG$6:$AR$6,0))</f>
        <v>0</v>
      </c>
      <c r="N715" s="34">
        <f t="shared" si="109"/>
        <v>0</v>
      </c>
      <c r="O715" s="64" t="str">
        <f t="shared" si="110"/>
        <v xml:space="preserve"> </v>
      </c>
      <c r="Q715" s="97">
        <f t="shared" si="111"/>
        <v>0</v>
      </c>
      <c r="R715" s="96">
        <f t="shared" si="112"/>
        <v>0</v>
      </c>
      <c r="T715" s="67" t="str">
        <f>IF($B715&lt;&gt;"",INDEX(DataOB[],FirstRow+ROW()-7,MATCH(T$6,DataOB[#Headers],0)),"")</f>
        <v/>
      </c>
      <c r="U715" s="67" t="str">
        <f>IF($B715&lt;&gt;"",INDEX(DataOB[],FirstRow+ROW()-7,MATCH(U$6,DataOB[#Headers],0)),"")</f>
        <v/>
      </c>
      <c r="V715" s="67" t="str">
        <f>IF($B715&lt;&gt;"",INDEX(DataOB[],FirstRow+ROW()-7,MATCH(V$6,DataOB[#Headers],0)),"")</f>
        <v/>
      </c>
      <c r="W715" s="67" t="str">
        <f>IF($B715&lt;&gt;"",INDEX(DataOB[],FirstRow+ROW()-7,MATCH(W$6,DataOB[#Headers],0)),"")</f>
        <v/>
      </c>
      <c r="X715" s="67" t="str">
        <f>IF($B715&lt;&gt;"",INDEX(DataOB[],FirstRow+ROW()-7,MATCH(X$6,DataOB[#Headers],0)),"")</f>
        <v/>
      </c>
      <c r="Y715" s="67" t="str">
        <f>IF($B715&lt;&gt;"",INDEX(DataOB[],FirstRow+ROW()-7,MATCH(Y$6,DataOB[#Headers],0)),"")</f>
        <v/>
      </c>
      <c r="Z715" s="67" t="str">
        <f>IF($B715&lt;&gt;"",INDEX(DataOB[],FirstRow+ROW()-7,MATCH(Z$6,DataOB[#Headers],0)),"")</f>
        <v/>
      </c>
      <c r="AA715" s="67" t="str">
        <f>IF($B715&lt;&gt;"",INDEX(DataOB[],FirstRow+ROW()-7,MATCH(AA$6,DataOB[#Headers],0)),"")</f>
        <v/>
      </c>
      <c r="AB715" s="67" t="str">
        <f>IF($B715&lt;&gt;"",INDEX(DataOB[],FirstRow+ROW()-7,MATCH(AB$6,DataOB[#Headers],0)),"")</f>
        <v/>
      </c>
      <c r="AC715" s="67" t="str">
        <f>IF($B715&lt;&gt;"",INDEX(DataOB[],FirstRow+ROW()-7,MATCH(AC$6,DataOB[#Headers],0)),"")</f>
        <v/>
      </c>
      <c r="AD715" s="67" t="str">
        <f>IF($B715&lt;&gt;"",INDEX(DataOB[],FirstRow+ROW()-7,MATCH(AD$6,DataOB[#Headers],0)),"")</f>
        <v/>
      </c>
      <c r="AE715" s="67" t="str">
        <f>IF($B715&lt;&gt;"",INDEX(DataOB[],FirstRow+ROW()-7,MATCH(AE$6,DataOB[#Headers],0)),"")</f>
        <v/>
      </c>
      <c r="AF715" s="26">
        <f t="shared" si="113"/>
        <v>0</v>
      </c>
      <c r="AG715" s="31">
        <f>SUM($T715:T715)</f>
        <v>0</v>
      </c>
      <c r="AH715" s="31">
        <f>SUM($T715:U715)</f>
        <v>0</v>
      </c>
      <c r="AI715" s="31">
        <f>SUM($T715:V715)</f>
        <v>0</v>
      </c>
      <c r="AJ715" s="31">
        <f>SUM($T715:W715)</f>
        <v>0</v>
      </c>
      <c r="AK715" s="31">
        <f>SUM($T715:X715)</f>
        <v>0</v>
      </c>
      <c r="AL715" s="31">
        <f>SUM($T715:Y715)</f>
        <v>0</v>
      </c>
      <c r="AM715" s="31">
        <f>SUM($T715:Z715)</f>
        <v>0</v>
      </c>
      <c r="AN715" s="31">
        <f>SUM($T715:AA715)</f>
        <v>0</v>
      </c>
      <c r="AO715" s="31">
        <f>SUM($T715:AB715)</f>
        <v>0</v>
      </c>
      <c r="AP715" s="31">
        <f>SUM($T715:AC715)</f>
        <v>0</v>
      </c>
      <c r="AQ715" s="31">
        <f>SUM($T715:AD715)</f>
        <v>0</v>
      </c>
      <c r="AR715" s="31">
        <f>SUM($T715:AE715)</f>
        <v>0</v>
      </c>
      <c r="AS715" s="27">
        <f t="shared" si="114"/>
        <v>0</v>
      </c>
    </row>
    <row r="716" spans="2:45">
      <c r="B716" s="102" t="str">
        <f>IF(ROW()-6&gt;NumCostCenter,"",IF(CostCenter&lt;&gt;"ALL",CostCenter,DATA_LF2!B714))</f>
        <v/>
      </c>
      <c r="C716" s="153" t="str">
        <f>IF($B716&lt;&gt;"",INDEX(DataOB[],FirstRow+ROW()-7,2),"")</f>
        <v/>
      </c>
      <c r="D716" s="66" t="str">
        <f>IF($B716&lt;&gt;"",INDEX(DataOB[],FirstRow+ROW()-7,3),"")</f>
        <v/>
      </c>
      <c r="E716" s="103" t="str">
        <f>IF($B716&lt;&gt;"",INDEX(DataOB[],FirstRow+ROW()-7,6),"")</f>
        <v/>
      </c>
      <c r="F716" s="103" t="str">
        <f>IF($B716&lt;&gt;"",INDEX(DataOB[],FirstRow+ROW()-7,5),"")</f>
        <v/>
      </c>
      <c r="G716" s="58">
        <f>IF($B716&lt;&gt;"",SUMIFS(DataAct_tbl[AMOUNT],DataAct_tbl[BG CODE],Detail!$D716,DataAct_tbl[MONTH],LEFT(MonthName,3),DataAct_tbl[Dept code],$B716),0)</f>
        <v>0</v>
      </c>
      <c r="H716" s="31" t="str">
        <f t="shared" si="106"/>
        <v/>
      </c>
      <c r="I716" s="28" t="str">
        <f t="shared" si="107"/>
        <v/>
      </c>
      <c r="J716" s="32" t="str">
        <f t="shared" si="108"/>
        <v/>
      </c>
      <c r="K716" s="86"/>
      <c r="L716" s="62">
        <f>IF($B716&lt;&gt;"",SUMIFS(DataAct_tbl[AMOUNT],DataAct_tbl[BG CODE],Detail!$D716,DataAct_tbl[Check Range],"=true",DataAct_tbl[Dept code],$B716),0)</f>
        <v>0</v>
      </c>
      <c r="M716" s="63">
        <f>INDEX($AG$7:$AR$1005,ROW()-6,MATCH(MTD,$AG$6:$AR$6,0))</f>
        <v>0</v>
      </c>
      <c r="N716" s="34">
        <f t="shared" si="109"/>
        <v>0</v>
      </c>
      <c r="O716" s="64" t="str">
        <f t="shared" si="110"/>
        <v xml:space="preserve"> </v>
      </c>
      <c r="Q716" s="97">
        <f t="shared" si="111"/>
        <v>0</v>
      </c>
      <c r="R716" s="96">
        <f t="shared" si="112"/>
        <v>0</v>
      </c>
      <c r="T716" s="67" t="str">
        <f>IF($B716&lt;&gt;"",INDEX(DataOB[],FirstRow+ROW()-7,MATCH(T$6,DataOB[#Headers],0)),"")</f>
        <v/>
      </c>
      <c r="U716" s="67" t="str">
        <f>IF($B716&lt;&gt;"",INDEX(DataOB[],FirstRow+ROW()-7,MATCH(U$6,DataOB[#Headers],0)),"")</f>
        <v/>
      </c>
      <c r="V716" s="67" t="str">
        <f>IF($B716&lt;&gt;"",INDEX(DataOB[],FirstRow+ROW()-7,MATCH(V$6,DataOB[#Headers],0)),"")</f>
        <v/>
      </c>
      <c r="W716" s="67" t="str">
        <f>IF($B716&lt;&gt;"",INDEX(DataOB[],FirstRow+ROW()-7,MATCH(W$6,DataOB[#Headers],0)),"")</f>
        <v/>
      </c>
      <c r="X716" s="67" t="str">
        <f>IF($B716&lt;&gt;"",INDEX(DataOB[],FirstRow+ROW()-7,MATCH(X$6,DataOB[#Headers],0)),"")</f>
        <v/>
      </c>
      <c r="Y716" s="67" t="str">
        <f>IF($B716&lt;&gt;"",INDEX(DataOB[],FirstRow+ROW()-7,MATCH(Y$6,DataOB[#Headers],0)),"")</f>
        <v/>
      </c>
      <c r="Z716" s="67" t="str">
        <f>IF($B716&lt;&gt;"",INDEX(DataOB[],FirstRow+ROW()-7,MATCH(Z$6,DataOB[#Headers],0)),"")</f>
        <v/>
      </c>
      <c r="AA716" s="67" t="str">
        <f>IF($B716&lt;&gt;"",INDEX(DataOB[],FirstRow+ROW()-7,MATCH(AA$6,DataOB[#Headers],0)),"")</f>
        <v/>
      </c>
      <c r="AB716" s="67" t="str">
        <f>IF($B716&lt;&gt;"",INDEX(DataOB[],FirstRow+ROW()-7,MATCH(AB$6,DataOB[#Headers],0)),"")</f>
        <v/>
      </c>
      <c r="AC716" s="67" t="str">
        <f>IF($B716&lt;&gt;"",INDEX(DataOB[],FirstRow+ROW()-7,MATCH(AC$6,DataOB[#Headers],0)),"")</f>
        <v/>
      </c>
      <c r="AD716" s="67" t="str">
        <f>IF($B716&lt;&gt;"",INDEX(DataOB[],FirstRow+ROW()-7,MATCH(AD$6,DataOB[#Headers],0)),"")</f>
        <v/>
      </c>
      <c r="AE716" s="67" t="str">
        <f>IF($B716&lt;&gt;"",INDEX(DataOB[],FirstRow+ROW()-7,MATCH(AE$6,DataOB[#Headers],0)),"")</f>
        <v/>
      </c>
      <c r="AF716" s="26">
        <f t="shared" si="113"/>
        <v>0</v>
      </c>
      <c r="AG716" s="31">
        <f>SUM($T716:T716)</f>
        <v>0</v>
      </c>
      <c r="AH716" s="31">
        <f>SUM($T716:U716)</f>
        <v>0</v>
      </c>
      <c r="AI716" s="31">
        <f>SUM($T716:V716)</f>
        <v>0</v>
      </c>
      <c r="AJ716" s="31">
        <f>SUM($T716:W716)</f>
        <v>0</v>
      </c>
      <c r="AK716" s="31">
        <f>SUM($T716:X716)</f>
        <v>0</v>
      </c>
      <c r="AL716" s="31">
        <f>SUM($T716:Y716)</f>
        <v>0</v>
      </c>
      <c r="AM716" s="31">
        <f>SUM($T716:Z716)</f>
        <v>0</v>
      </c>
      <c r="AN716" s="31">
        <f>SUM($T716:AA716)</f>
        <v>0</v>
      </c>
      <c r="AO716" s="31">
        <f>SUM($T716:AB716)</f>
        <v>0</v>
      </c>
      <c r="AP716" s="31">
        <f>SUM($T716:AC716)</f>
        <v>0</v>
      </c>
      <c r="AQ716" s="31">
        <f>SUM($T716:AD716)</f>
        <v>0</v>
      </c>
      <c r="AR716" s="31">
        <f>SUM($T716:AE716)</f>
        <v>0</v>
      </c>
      <c r="AS716" s="27">
        <f t="shared" si="114"/>
        <v>0</v>
      </c>
    </row>
    <row r="717" spans="2:45">
      <c r="B717" s="102" t="str">
        <f>IF(ROW()-6&gt;NumCostCenter,"",IF(CostCenter&lt;&gt;"ALL",CostCenter,DATA_LF2!B715))</f>
        <v/>
      </c>
      <c r="C717" s="153" t="str">
        <f>IF($B717&lt;&gt;"",INDEX(DataOB[],FirstRow+ROW()-7,2),"")</f>
        <v/>
      </c>
      <c r="D717" s="66" t="str">
        <f>IF($B717&lt;&gt;"",INDEX(DataOB[],FirstRow+ROW()-7,3),"")</f>
        <v/>
      </c>
      <c r="E717" s="103" t="str">
        <f>IF($B717&lt;&gt;"",INDEX(DataOB[],FirstRow+ROW()-7,6),"")</f>
        <v/>
      </c>
      <c r="F717" s="103" t="str">
        <f>IF($B717&lt;&gt;"",INDEX(DataOB[],FirstRow+ROW()-7,5),"")</f>
        <v/>
      </c>
      <c r="G717" s="58">
        <f>IF($B717&lt;&gt;"",SUMIFS(DataAct_tbl[AMOUNT],DataAct_tbl[BG CODE],Detail!$D717,DataAct_tbl[MONTH],LEFT(MonthName,3),DataAct_tbl[Dept code],$B717),0)</f>
        <v>0</v>
      </c>
      <c r="H717" s="31" t="str">
        <f t="shared" si="106"/>
        <v/>
      </c>
      <c r="I717" s="28" t="str">
        <f t="shared" si="107"/>
        <v/>
      </c>
      <c r="J717" s="32" t="str">
        <f t="shared" si="108"/>
        <v/>
      </c>
      <c r="K717" s="86"/>
      <c r="L717" s="62">
        <f>IF($B717&lt;&gt;"",SUMIFS(DataAct_tbl[AMOUNT],DataAct_tbl[BG CODE],Detail!$D717,DataAct_tbl[Check Range],"=true",DataAct_tbl[Dept code],$B717),0)</f>
        <v>0</v>
      </c>
      <c r="M717" s="63">
        <f>INDEX($AG$7:$AR$1005,ROW()-6,MATCH(MTD,$AG$6:$AR$6,0))</f>
        <v>0</v>
      </c>
      <c r="N717" s="34">
        <f t="shared" si="109"/>
        <v>0</v>
      </c>
      <c r="O717" s="64" t="str">
        <f t="shared" si="110"/>
        <v xml:space="preserve"> </v>
      </c>
      <c r="Q717" s="97">
        <f t="shared" si="111"/>
        <v>0</v>
      </c>
      <c r="R717" s="96">
        <f t="shared" si="112"/>
        <v>0</v>
      </c>
      <c r="T717" s="67" t="str">
        <f>IF($B717&lt;&gt;"",INDEX(DataOB[],FirstRow+ROW()-7,MATCH(T$6,DataOB[#Headers],0)),"")</f>
        <v/>
      </c>
      <c r="U717" s="67" t="str">
        <f>IF($B717&lt;&gt;"",INDEX(DataOB[],FirstRow+ROW()-7,MATCH(U$6,DataOB[#Headers],0)),"")</f>
        <v/>
      </c>
      <c r="V717" s="67" t="str">
        <f>IF($B717&lt;&gt;"",INDEX(DataOB[],FirstRow+ROW()-7,MATCH(V$6,DataOB[#Headers],0)),"")</f>
        <v/>
      </c>
      <c r="W717" s="67" t="str">
        <f>IF($B717&lt;&gt;"",INDEX(DataOB[],FirstRow+ROW()-7,MATCH(W$6,DataOB[#Headers],0)),"")</f>
        <v/>
      </c>
      <c r="X717" s="67" t="str">
        <f>IF($B717&lt;&gt;"",INDEX(DataOB[],FirstRow+ROW()-7,MATCH(X$6,DataOB[#Headers],0)),"")</f>
        <v/>
      </c>
      <c r="Y717" s="67" t="str">
        <f>IF($B717&lt;&gt;"",INDEX(DataOB[],FirstRow+ROW()-7,MATCH(Y$6,DataOB[#Headers],0)),"")</f>
        <v/>
      </c>
      <c r="Z717" s="67" t="str">
        <f>IF($B717&lt;&gt;"",INDEX(DataOB[],FirstRow+ROW()-7,MATCH(Z$6,DataOB[#Headers],0)),"")</f>
        <v/>
      </c>
      <c r="AA717" s="67" t="str">
        <f>IF($B717&lt;&gt;"",INDEX(DataOB[],FirstRow+ROW()-7,MATCH(AA$6,DataOB[#Headers],0)),"")</f>
        <v/>
      </c>
      <c r="AB717" s="67" t="str">
        <f>IF($B717&lt;&gt;"",INDEX(DataOB[],FirstRow+ROW()-7,MATCH(AB$6,DataOB[#Headers],0)),"")</f>
        <v/>
      </c>
      <c r="AC717" s="67" t="str">
        <f>IF($B717&lt;&gt;"",INDEX(DataOB[],FirstRow+ROW()-7,MATCH(AC$6,DataOB[#Headers],0)),"")</f>
        <v/>
      </c>
      <c r="AD717" s="67" t="str">
        <f>IF($B717&lt;&gt;"",INDEX(DataOB[],FirstRow+ROW()-7,MATCH(AD$6,DataOB[#Headers],0)),"")</f>
        <v/>
      </c>
      <c r="AE717" s="67" t="str">
        <f>IF($B717&lt;&gt;"",INDEX(DataOB[],FirstRow+ROW()-7,MATCH(AE$6,DataOB[#Headers],0)),"")</f>
        <v/>
      </c>
      <c r="AF717" s="26">
        <f t="shared" si="113"/>
        <v>0</v>
      </c>
      <c r="AG717" s="31">
        <f>SUM($T717:T717)</f>
        <v>0</v>
      </c>
      <c r="AH717" s="31">
        <f>SUM($T717:U717)</f>
        <v>0</v>
      </c>
      <c r="AI717" s="31">
        <f>SUM($T717:V717)</f>
        <v>0</v>
      </c>
      <c r="AJ717" s="31">
        <f>SUM($T717:W717)</f>
        <v>0</v>
      </c>
      <c r="AK717" s="31">
        <f>SUM($T717:X717)</f>
        <v>0</v>
      </c>
      <c r="AL717" s="31">
        <f>SUM($T717:Y717)</f>
        <v>0</v>
      </c>
      <c r="AM717" s="31">
        <f>SUM($T717:Z717)</f>
        <v>0</v>
      </c>
      <c r="AN717" s="31">
        <f>SUM($T717:AA717)</f>
        <v>0</v>
      </c>
      <c r="AO717" s="31">
        <f>SUM($T717:AB717)</f>
        <v>0</v>
      </c>
      <c r="AP717" s="31">
        <f>SUM($T717:AC717)</f>
        <v>0</v>
      </c>
      <c r="AQ717" s="31">
        <f>SUM($T717:AD717)</f>
        <v>0</v>
      </c>
      <c r="AR717" s="31">
        <f>SUM($T717:AE717)</f>
        <v>0</v>
      </c>
      <c r="AS717" s="27">
        <f t="shared" si="114"/>
        <v>0</v>
      </c>
    </row>
    <row r="718" spans="2:45">
      <c r="B718" s="102" t="str">
        <f>IF(ROW()-6&gt;NumCostCenter,"",IF(CostCenter&lt;&gt;"ALL",CostCenter,DATA_LF2!B716))</f>
        <v/>
      </c>
      <c r="C718" s="153" t="str">
        <f>IF($B718&lt;&gt;"",INDEX(DataOB[],FirstRow+ROW()-7,2),"")</f>
        <v/>
      </c>
      <c r="D718" s="66" t="str">
        <f>IF($B718&lt;&gt;"",INDEX(DataOB[],FirstRow+ROW()-7,3),"")</f>
        <v/>
      </c>
      <c r="E718" s="103" t="str">
        <f>IF($B718&lt;&gt;"",INDEX(DataOB[],FirstRow+ROW()-7,6),"")</f>
        <v/>
      </c>
      <c r="F718" s="103" t="str">
        <f>IF($B718&lt;&gt;"",INDEX(DataOB[],FirstRow+ROW()-7,5),"")</f>
        <v/>
      </c>
      <c r="G718" s="58">
        <f>IF($B718&lt;&gt;"",SUMIFS(DataAct_tbl[AMOUNT],DataAct_tbl[BG CODE],Detail!$D718,DataAct_tbl[MONTH],LEFT(MonthName,3),DataAct_tbl[Dept code],$B718),0)</f>
        <v>0</v>
      </c>
      <c r="H718" s="31" t="str">
        <f t="shared" si="106"/>
        <v/>
      </c>
      <c r="I718" s="28" t="str">
        <f t="shared" si="107"/>
        <v/>
      </c>
      <c r="J718" s="32" t="str">
        <f t="shared" si="108"/>
        <v/>
      </c>
      <c r="K718" s="86"/>
      <c r="L718" s="62">
        <f>IF($B718&lt;&gt;"",SUMIFS(DataAct_tbl[AMOUNT],DataAct_tbl[BG CODE],Detail!$D718,DataAct_tbl[Check Range],"=true",DataAct_tbl[Dept code],$B718),0)</f>
        <v>0</v>
      </c>
      <c r="M718" s="63">
        <f>INDEX($AG$7:$AR$1005,ROW()-6,MATCH(MTD,$AG$6:$AR$6,0))</f>
        <v>0</v>
      </c>
      <c r="N718" s="34">
        <f t="shared" si="109"/>
        <v>0</v>
      </c>
      <c r="O718" s="64" t="str">
        <f t="shared" si="110"/>
        <v xml:space="preserve"> </v>
      </c>
      <c r="Q718" s="97">
        <f t="shared" si="111"/>
        <v>0</v>
      </c>
      <c r="R718" s="96">
        <f t="shared" si="112"/>
        <v>0</v>
      </c>
      <c r="T718" s="67" t="str">
        <f>IF($B718&lt;&gt;"",INDEX(DataOB[],FirstRow+ROW()-7,MATCH(T$6,DataOB[#Headers],0)),"")</f>
        <v/>
      </c>
      <c r="U718" s="67" t="str">
        <f>IF($B718&lt;&gt;"",INDEX(DataOB[],FirstRow+ROW()-7,MATCH(U$6,DataOB[#Headers],0)),"")</f>
        <v/>
      </c>
      <c r="V718" s="67" t="str">
        <f>IF($B718&lt;&gt;"",INDEX(DataOB[],FirstRow+ROW()-7,MATCH(V$6,DataOB[#Headers],0)),"")</f>
        <v/>
      </c>
      <c r="W718" s="67" t="str">
        <f>IF($B718&lt;&gt;"",INDEX(DataOB[],FirstRow+ROW()-7,MATCH(W$6,DataOB[#Headers],0)),"")</f>
        <v/>
      </c>
      <c r="X718" s="67" t="str">
        <f>IF($B718&lt;&gt;"",INDEX(DataOB[],FirstRow+ROW()-7,MATCH(X$6,DataOB[#Headers],0)),"")</f>
        <v/>
      </c>
      <c r="Y718" s="67" t="str">
        <f>IF($B718&lt;&gt;"",INDEX(DataOB[],FirstRow+ROW()-7,MATCH(Y$6,DataOB[#Headers],0)),"")</f>
        <v/>
      </c>
      <c r="Z718" s="67" t="str">
        <f>IF($B718&lt;&gt;"",INDEX(DataOB[],FirstRow+ROW()-7,MATCH(Z$6,DataOB[#Headers],0)),"")</f>
        <v/>
      </c>
      <c r="AA718" s="67" t="str">
        <f>IF($B718&lt;&gt;"",INDEX(DataOB[],FirstRow+ROW()-7,MATCH(AA$6,DataOB[#Headers],0)),"")</f>
        <v/>
      </c>
      <c r="AB718" s="67" t="str">
        <f>IF($B718&lt;&gt;"",INDEX(DataOB[],FirstRow+ROW()-7,MATCH(AB$6,DataOB[#Headers],0)),"")</f>
        <v/>
      </c>
      <c r="AC718" s="67" t="str">
        <f>IF($B718&lt;&gt;"",INDEX(DataOB[],FirstRow+ROW()-7,MATCH(AC$6,DataOB[#Headers],0)),"")</f>
        <v/>
      </c>
      <c r="AD718" s="67" t="str">
        <f>IF($B718&lt;&gt;"",INDEX(DataOB[],FirstRow+ROW()-7,MATCH(AD$6,DataOB[#Headers],0)),"")</f>
        <v/>
      </c>
      <c r="AE718" s="67" t="str">
        <f>IF($B718&lt;&gt;"",INDEX(DataOB[],FirstRow+ROW()-7,MATCH(AE$6,DataOB[#Headers],0)),"")</f>
        <v/>
      </c>
      <c r="AF718" s="26">
        <f t="shared" si="113"/>
        <v>0</v>
      </c>
      <c r="AG718" s="31">
        <f>SUM($T718:T718)</f>
        <v>0</v>
      </c>
      <c r="AH718" s="31">
        <f>SUM($T718:U718)</f>
        <v>0</v>
      </c>
      <c r="AI718" s="31">
        <f>SUM($T718:V718)</f>
        <v>0</v>
      </c>
      <c r="AJ718" s="31">
        <f>SUM($T718:W718)</f>
        <v>0</v>
      </c>
      <c r="AK718" s="31">
        <f>SUM($T718:X718)</f>
        <v>0</v>
      </c>
      <c r="AL718" s="31">
        <f>SUM($T718:Y718)</f>
        <v>0</v>
      </c>
      <c r="AM718" s="31">
        <f>SUM($T718:Z718)</f>
        <v>0</v>
      </c>
      <c r="AN718" s="31">
        <f>SUM($T718:AA718)</f>
        <v>0</v>
      </c>
      <c r="AO718" s="31">
        <f>SUM($T718:AB718)</f>
        <v>0</v>
      </c>
      <c r="AP718" s="31">
        <f>SUM($T718:AC718)</f>
        <v>0</v>
      </c>
      <c r="AQ718" s="31">
        <f>SUM($T718:AD718)</f>
        <v>0</v>
      </c>
      <c r="AR718" s="31">
        <f>SUM($T718:AE718)</f>
        <v>0</v>
      </c>
      <c r="AS718" s="27">
        <f t="shared" si="114"/>
        <v>0</v>
      </c>
    </row>
    <row r="719" spans="2:45">
      <c r="B719" s="102" t="str">
        <f>IF(ROW()-6&gt;NumCostCenter,"",IF(CostCenter&lt;&gt;"ALL",CostCenter,DATA_LF2!B717))</f>
        <v/>
      </c>
      <c r="C719" s="153" t="str">
        <f>IF($B719&lt;&gt;"",INDEX(DataOB[],FirstRow+ROW()-7,2),"")</f>
        <v/>
      </c>
      <c r="D719" s="66" t="str">
        <f>IF($B719&lt;&gt;"",INDEX(DataOB[],FirstRow+ROW()-7,3),"")</f>
        <v/>
      </c>
      <c r="E719" s="103" t="str">
        <f>IF($B719&lt;&gt;"",INDEX(DataOB[],FirstRow+ROW()-7,6),"")</f>
        <v/>
      </c>
      <c r="F719" s="103" t="str">
        <f>IF($B719&lt;&gt;"",INDEX(DataOB[],FirstRow+ROW()-7,5),"")</f>
        <v/>
      </c>
      <c r="G719" s="58">
        <f>IF($B719&lt;&gt;"",SUMIFS(DataAct_tbl[AMOUNT],DataAct_tbl[BG CODE],Detail!$D719,DataAct_tbl[MONTH],LEFT(MonthName,3),DataAct_tbl[Dept code],$B719),0)</f>
        <v>0</v>
      </c>
      <c r="H719" s="31" t="str">
        <f t="shared" si="106"/>
        <v/>
      </c>
      <c r="I719" s="28" t="str">
        <f t="shared" si="107"/>
        <v/>
      </c>
      <c r="J719" s="32" t="str">
        <f t="shared" si="108"/>
        <v/>
      </c>
      <c r="K719" s="86"/>
      <c r="L719" s="62">
        <f>IF($B719&lt;&gt;"",SUMIFS(DataAct_tbl[AMOUNT],DataAct_tbl[BG CODE],Detail!$D719,DataAct_tbl[Check Range],"=true",DataAct_tbl[Dept code],$B719),0)</f>
        <v>0</v>
      </c>
      <c r="M719" s="63">
        <f>INDEX($AG$7:$AR$1005,ROW()-6,MATCH(MTD,$AG$6:$AR$6,0))</f>
        <v>0</v>
      </c>
      <c r="N719" s="34">
        <f t="shared" si="109"/>
        <v>0</v>
      </c>
      <c r="O719" s="64" t="str">
        <f t="shared" si="110"/>
        <v xml:space="preserve"> </v>
      </c>
      <c r="Q719" s="97">
        <f t="shared" si="111"/>
        <v>0</v>
      </c>
      <c r="R719" s="96">
        <f t="shared" si="112"/>
        <v>0</v>
      </c>
      <c r="T719" s="67" t="str">
        <f>IF($B719&lt;&gt;"",INDEX(DataOB[],FirstRow+ROW()-7,MATCH(T$6,DataOB[#Headers],0)),"")</f>
        <v/>
      </c>
      <c r="U719" s="67" t="str">
        <f>IF($B719&lt;&gt;"",INDEX(DataOB[],FirstRow+ROW()-7,MATCH(U$6,DataOB[#Headers],0)),"")</f>
        <v/>
      </c>
      <c r="V719" s="67" t="str">
        <f>IF($B719&lt;&gt;"",INDEX(DataOB[],FirstRow+ROW()-7,MATCH(V$6,DataOB[#Headers],0)),"")</f>
        <v/>
      </c>
      <c r="W719" s="67" t="str">
        <f>IF($B719&lt;&gt;"",INDEX(DataOB[],FirstRow+ROW()-7,MATCH(W$6,DataOB[#Headers],0)),"")</f>
        <v/>
      </c>
      <c r="X719" s="67" t="str">
        <f>IF($B719&lt;&gt;"",INDEX(DataOB[],FirstRow+ROW()-7,MATCH(X$6,DataOB[#Headers],0)),"")</f>
        <v/>
      </c>
      <c r="Y719" s="67" t="str">
        <f>IF($B719&lt;&gt;"",INDEX(DataOB[],FirstRow+ROW()-7,MATCH(Y$6,DataOB[#Headers],0)),"")</f>
        <v/>
      </c>
      <c r="Z719" s="67" t="str">
        <f>IF($B719&lt;&gt;"",INDEX(DataOB[],FirstRow+ROW()-7,MATCH(Z$6,DataOB[#Headers],0)),"")</f>
        <v/>
      </c>
      <c r="AA719" s="67" t="str">
        <f>IF($B719&lt;&gt;"",INDEX(DataOB[],FirstRow+ROW()-7,MATCH(AA$6,DataOB[#Headers],0)),"")</f>
        <v/>
      </c>
      <c r="AB719" s="67" t="str">
        <f>IF($B719&lt;&gt;"",INDEX(DataOB[],FirstRow+ROW()-7,MATCH(AB$6,DataOB[#Headers],0)),"")</f>
        <v/>
      </c>
      <c r="AC719" s="67" t="str">
        <f>IF($B719&lt;&gt;"",INDEX(DataOB[],FirstRow+ROW()-7,MATCH(AC$6,DataOB[#Headers],0)),"")</f>
        <v/>
      </c>
      <c r="AD719" s="67" t="str">
        <f>IF($B719&lt;&gt;"",INDEX(DataOB[],FirstRow+ROW()-7,MATCH(AD$6,DataOB[#Headers],0)),"")</f>
        <v/>
      </c>
      <c r="AE719" s="67" t="str">
        <f>IF($B719&lt;&gt;"",INDEX(DataOB[],FirstRow+ROW()-7,MATCH(AE$6,DataOB[#Headers],0)),"")</f>
        <v/>
      </c>
      <c r="AF719" s="26">
        <f t="shared" si="113"/>
        <v>0</v>
      </c>
      <c r="AG719" s="31">
        <f>SUM($T719:T719)</f>
        <v>0</v>
      </c>
      <c r="AH719" s="31">
        <f>SUM($T719:U719)</f>
        <v>0</v>
      </c>
      <c r="AI719" s="31">
        <f>SUM($T719:V719)</f>
        <v>0</v>
      </c>
      <c r="AJ719" s="31">
        <f>SUM($T719:W719)</f>
        <v>0</v>
      </c>
      <c r="AK719" s="31">
        <f>SUM($T719:X719)</f>
        <v>0</v>
      </c>
      <c r="AL719" s="31">
        <f>SUM($T719:Y719)</f>
        <v>0</v>
      </c>
      <c r="AM719" s="31">
        <f>SUM($T719:Z719)</f>
        <v>0</v>
      </c>
      <c r="AN719" s="31">
        <f>SUM($T719:AA719)</f>
        <v>0</v>
      </c>
      <c r="AO719" s="31">
        <f>SUM($T719:AB719)</f>
        <v>0</v>
      </c>
      <c r="AP719" s="31">
        <f>SUM($T719:AC719)</f>
        <v>0</v>
      </c>
      <c r="AQ719" s="31">
        <f>SUM($T719:AD719)</f>
        <v>0</v>
      </c>
      <c r="AR719" s="31">
        <f>SUM($T719:AE719)</f>
        <v>0</v>
      </c>
      <c r="AS719" s="27">
        <f t="shared" si="114"/>
        <v>0</v>
      </c>
    </row>
    <row r="720" spans="2:45">
      <c r="B720" s="102" t="str">
        <f>IF(ROW()-6&gt;NumCostCenter,"",IF(CostCenter&lt;&gt;"ALL",CostCenter,DATA_LF2!B718))</f>
        <v/>
      </c>
      <c r="C720" s="153" t="str">
        <f>IF($B720&lt;&gt;"",INDEX(DataOB[],FirstRow+ROW()-7,2),"")</f>
        <v/>
      </c>
      <c r="D720" s="66" t="str">
        <f>IF($B720&lt;&gt;"",INDEX(DataOB[],FirstRow+ROW()-7,3),"")</f>
        <v/>
      </c>
      <c r="E720" s="103" t="str">
        <f>IF($B720&lt;&gt;"",INDEX(DataOB[],FirstRow+ROW()-7,6),"")</f>
        <v/>
      </c>
      <c r="F720" s="103" t="str">
        <f>IF($B720&lt;&gt;"",INDEX(DataOB[],FirstRow+ROW()-7,5),"")</f>
        <v/>
      </c>
      <c r="G720" s="58">
        <f>IF($B720&lt;&gt;"",SUMIFS(DataAct_tbl[AMOUNT],DataAct_tbl[BG CODE],Detail!$D720,DataAct_tbl[MONTH],LEFT(MonthName,3),DataAct_tbl[Dept code],$B720),0)</f>
        <v>0</v>
      </c>
      <c r="H720" s="31" t="str">
        <f t="shared" si="106"/>
        <v/>
      </c>
      <c r="I720" s="28" t="str">
        <f t="shared" si="107"/>
        <v/>
      </c>
      <c r="J720" s="32" t="str">
        <f t="shared" si="108"/>
        <v/>
      </c>
      <c r="K720" s="86"/>
      <c r="L720" s="62">
        <f>IF($B720&lt;&gt;"",SUMIFS(DataAct_tbl[AMOUNT],DataAct_tbl[BG CODE],Detail!$D720,DataAct_tbl[Check Range],"=true",DataAct_tbl[Dept code],$B720),0)</f>
        <v>0</v>
      </c>
      <c r="M720" s="63">
        <f>INDEX($AG$7:$AR$1005,ROW()-6,MATCH(MTD,$AG$6:$AR$6,0))</f>
        <v>0</v>
      </c>
      <c r="N720" s="34">
        <f t="shared" si="109"/>
        <v>0</v>
      </c>
      <c r="O720" s="64" t="str">
        <f t="shared" si="110"/>
        <v xml:space="preserve"> </v>
      </c>
      <c r="Q720" s="97">
        <f t="shared" si="111"/>
        <v>0</v>
      </c>
      <c r="R720" s="96">
        <f t="shared" si="112"/>
        <v>0</v>
      </c>
      <c r="T720" s="67" t="str">
        <f>IF($B720&lt;&gt;"",INDEX(DataOB[],FirstRow+ROW()-7,MATCH(T$6,DataOB[#Headers],0)),"")</f>
        <v/>
      </c>
      <c r="U720" s="67" t="str">
        <f>IF($B720&lt;&gt;"",INDEX(DataOB[],FirstRow+ROW()-7,MATCH(U$6,DataOB[#Headers],0)),"")</f>
        <v/>
      </c>
      <c r="V720" s="67" t="str">
        <f>IF($B720&lt;&gt;"",INDEX(DataOB[],FirstRow+ROW()-7,MATCH(V$6,DataOB[#Headers],0)),"")</f>
        <v/>
      </c>
      <c r="W720" s="67" t="str">
        <f>IF($B720&lt;&gt;"",INDEX(DataOB[],FirstRow+ROW()-7,MATCH(W$6,DataOB[#Headers],0)),"")</f>
        <v/>
      </c>
      <c r="X720" s="67" t="str">
        <f>IF($B720&lt;&gt;"",INDEX(DataOB[],FirstRow+ROW()-7,MATCH(X$6,DataOB[#Headers],0)),"")</f>
        <v/>
      </c>
      <c r="Y720" s="67" t="str">
        <f>IF($B720&lt;&gt;"",INDEX(DataOB[],FirstRow+ROW()-7,MATCH(Y$6,DataOB[#Headers],0)),"")</f>
        <v/>
      </c>
      <c r="Z720" s="67" t="str">
        <f>IF($B720&lt;&gt;"",INDEX(DataOB[],FirstRow+ROW()-7,MATCH(Z$6,DataOB[#Headers],0)),"")</f>
        <v/>
      </c>
      <c r="AA720" s="67" t="str">
        <f>IF($B720&lt;&gt;"",INDEX(DataOB[],FirstRow+ROW()-7,MATCH(AA$6,DataOB[#Headers],0)),"")</f>
        <v/>
      </c>
      <c r="AB720" s="67" t="str">
        <f>IF($B720&lt;&gt;"",INDEX(DataOB[],FirstRow+ROW()-7,MATCH(AB$6,DataOB[#Headers],0)),"")</f>
        <v/>
      </c>
      <c r="AC720" s="67" t="str">
        <f>IF($B720&lt;&gt;"",INDEX(DataOB[],FirstRow+ROW()-7,MATCH(AC$6,DataOB[#Headers],0)),"")</f>
        <v/>
      </c>
      <c r="AD720" s="67" t="str">
        <f>IF($B720&lt;&gt;"",INDEX(DataOB[],FirstRow+ROW()-7,MATCH(AD$6,DataOB[#Headers],0)),"")</f>
        <v/>
      </c>
      <c r="AE720" s="67" t="str">
        <f>IF($B720&lt;&gt;"",INDEX(DataOB[],FirstRow+ROW()-7,MATCH(AE$6,DataOB[#Headers],0)),"")</f>
        <v/>
      </c>
      <c r="AF720" s="26">
        <f t="shared" si="113"/>
        <v>0</v>
      </c>
      <c r="AG720" s="31">
        <f>SUM($T720:T720)</f>
        <v>0</v>
      </c>
      <c r="AH720" s="31">
        <f>SUM($T720:U720)</f>
        <v>0</v>
      </c>
      <c r="AI720" s="31">
        <f>SUM($T720:V720)</f>
        <v>0</v>
      </c>
      <c r="AJ720" s="31">
        <f>SUM($T720:W720)</f>
        <v>0</v>
      </c>
      <c r="AK720" s="31">
        <f>SUM($T720:X720)</f>
        <v>0</v>
      </c>
      <c r="AL720" s="31">
        <f>SUM($T720:Y720)</f>
        <v>0</v>
      </c>
      <c r="AM720" s="31">
        <f>SUM($T720:Z720)</f>
        <v>0</v>
      </c>
      <c r="AN720" s="31">
        <f>SUM($T720:AA720)</f>
        <v>0</v>
      </c>
      <c r="AO720" s="31">
        <f>SUM($T720:AB720)</f>
        <v>0</v>
      </c>
      <c r="AP720" s="31">
        <f>SUM($T720:AC720)</f>
        <v>0</v>
      </c>
      <c r="AQ720" s="31">
        <f>SUM($T720:AD720)</f>
        <v>0</v>
      </c>
      <c r="AR720" s="31">
        <f>SUM($T720:AE720)</f>
        <v>0</v>
      </c>
      <c r="AS720" s="27">
        <f t="shared" si="114"/>
        <v>0</v>
      </c>
    </row>
    <row r="721" spans="2:45">
      <c r="B721" s="102" t="str">
        <f>IF(ROW()-6&gt;NumCostCenter,"",IF(CostCenter&lt;&gt;"ALL",CostCenter,DATA_LF2!B719))</f>
        <v/>
      </c>
      <c r="C721" s="153" t="str">
        <f>IF($B721&lt;&gt;"",INDEX(DataOB[],FirstRow+ROW()-7,2),"")</f>
        <v/>
      </c>
      <c r="D721" s="66" t="str">
        <f>IF($B721&lt;&gt;"",INDEX(DataOB[],FirstRow+ROW()-7,3),"")</f>
        <v/>
      </c>
      <c r="E721" s="103" t="str">
        <f>IF($B721&lt;&gt;"",INDEX(DataOB[],FirstRow+ROW()-7,6),"")</f>
        <v/>
      </c>
      <c r="F721" s="103" t="str">
        <f>IF($B721&lt;&gt;"",INDEX(DataOB[],FirstRow+ROW()-7,5),"")</f>
        <v/>
      </c>
      <c r="G721" s="58">
        <f>IF($B721&lt;&gt;"",SUMIFS(DataAct_tbl[AMOUNT],DataAct_tbl[BG CODE],Detail!$D721,DataAct_tbl[MONTH],LEFT(MonthName,3),DataAct_tbl[Dept code],$B721),0)</f>
        <v>0</v>
      </c>
      <c r="H721" s="31" t="str">
        <f t="shared" si="106"/>
        <v/>
      </c>
      <c r="I721" s="28" t="str">
        <f t="shared" si="107"/>
        <v/>
      </c>
      <c r="J721" s="32" t="str">
        <f t="shared" si="108"/>
        <v/>
      </c>
      <c r="K721" s="86"/>
      <c r="L721" s="62">
        <f>IF($B721&lt;&gt;"",SUMIFS(DataAct_tbl[AMOUNT],DataAct_tbl[BG CODE],Detail!$D721,DataAct_tbl[Check Range],"=true",DataAct_tbl[Dept code],$B721),0)</f>
        <v>0</v>
      </c>
      <c r="M721" s="63">
        <f>INDEX($AG$7:$AR$1005,ROW()-6,MATCH(MTD,$AG$6:$AR$6,0))</f>
        <v>0</v>
      </c>
      <c r="N721" s="34">
        <f t="shared" si="109"/>
        <v>0</v>
      </c>
      <c r="O721" s="64" t="str">
        <f t="shared" si="110"/>
        <v xml:space="preserve"> </v>
      </c>
      <c r="Q721" s="97">
        <f t="shared" si="111"/>
        <v>0</v>
      </c>
      <c r="R721" s="96">
        <f t="shared" si="112"/>
        <v>0</v>
      </c>
      <c r="T721" s="67" t="str">
        <f>IF($B721&lt;&gt;"",INDEX(DataOB[],FirstRow+ROW()-7,MATCH(T$6,DataOB[#Headers],0)),"")</f>
        <v/>
      </c>
      <c r="U721" s="67" t="str">
        <f>IF($B721&lt;&gt;"",INDEX(DataOB[],FirstRow+ROW()-7,MATCH(U$6,DataOB[#Headers],0)),"")</f>
        <v/>
      </c>
      <c r="V721" s="67" t="str">
        <f>IF($B721&lt;&gt;"",INDEX(DataOB[],FirstRow+ROW()-7,MATCH(V$6,DataOB[#Headers],0)),"")</f>
        <v/>
      </c>
      <c r="W721" s="67" t="str">
        <f>IF($B721&lt;&gt;"",INDEX(DataOB[],FirstRow+ROW()-7,MATCH(W$6,DataOB[#Headers],0)),"")</f>
        <v/>
      </c>
      <c r="X721" s="67" t="str">
        <f>IF($B721&lt;&gt;"",INDEX(DataOB[],FirstRow+ROW()-7,MATCH(X$6,DataOB[#Headers],0)),"")</f>
        <v/>
      </c>
      <c r="Y721" s="67" t="str">
        <f>IF($B721&lt;&gt;"",INDEX(DataOB[],FirstRow+ROW()-7,MATCH(Y$6,DataOB[#Headers],0)),"")</f>
        <v/>
      </c>
      <c r="Z721" s="67" t="str">
        <f>IF($B721&lt;&gt;"",INDEX(DataOB[],FirstRow+ROW()-7,MATCH(Z$6,DataOB[#Headers],0)),"")</f>
        <v/>
      </c>
      <c r="AA721" s="67" t="str">
        <f>IF($B721&lt;&gt;"",INDEX(DataOB[],FirstRow+ROW()-7,MATCH(AA$6,DataOB[#Headers],0)),"")</f>
        <v/>
      </c>
      <c r="AB721" s="67" t="str">
        <f>IF($B721&lt;&gt;"",INDEX(DataOB[],FirstRow+ROW()-7,MATCH(AB$6,DataOB[#Headers],0)),"")</f>
        <v/>
      </c>
      <c r="AC721" s="67" t="str">
        <f>IF($B721&lt;&gt;"",INDEX(DataOB[],FirstRow+ROW()-7,MATCH(AC$6,DataOB[#Headers],0)),"")</f>
        <v/>
      </c>
      <c r="AD721" s="67" t="str">
        <f>IF($B721&lt;&gt;"",INDEX(DataOB[],FirstRow+ROW()-7,MATCH(AD$6,DataOB[#Headers],0)),"")</f>
        <v/>
      </c>
      <c r="AE721" s="67" t="str">
        <f>IF($B721&lt;&gt;"",INDEX(DataOB[],FirstRow+ROW()-7,MATCH(AE$6,DataOB[#Headers],0)),"")</f>
        <v/>
      </c>
      <c r="AF721" s="26">
        <f t="shared" si="113"/>
        <v>0</v>
      </c>
      <c r="AG721" s="31">
        <f>SUM($T721:T721)</f>
        <v>0</v>
      </c>
      <c r="AH721" s="31">
        <f>SUM($T721:U721)</f>
        <v>0</v>
      </c>
      <c r="AI721" s="31">
        <f>SUM($T721:V721)</f>
        <v>0</v>
      </c>
      <c r="AJ721" s="31">
        <f>SUM($T721:W721)</f>
        <v>0</v>
      </c>
      <c r="AK721" s="31">
        <f>SUM($T721:X721)</f>
        <v>0</v>
      </c>
      <c r="AL721" s="31">
        <f>SUM($T721:Y721)</f>
        <v>0</v>
      </c>
      <c r="AM721" s="31">
        <f>SUM($T721:Z721)</f>
        <v>0</v>
      </c>
      <c r="AN721" s="31">
        <f>SUM($T721:AA721)</f>
        <v>0</v>
      </c>
      <c r="AO721" s="31">
        <f>SUM($T721:AB721)</f>
        <v>0</v>
      </c>
      <c r="AP721" s="31">
        <f>SUM($T721:AC721)</f>
        <v>0</v>
      </c>
      <c r="AQ721" s="31">
        <f>SUM($T721:AD721)</f>
        <v>0</v>
      </c>
      <c r="AR721" s="31">
        <f>SUM($T721:AE721)</f>
        <v>0</v>
      </c>
      <c r="AS721" s="27">
        <f t="shared" si="114"/>
        <v>0</v>
      </c>
    </row>
    <row r="722" spans="2:45">
      <c r="B722" s="102" t="str">
        <f>IF(ROW()-6&gt;NumCostCenter,"",IF(CostCenter&lt;&gt;"ALL",CostCenter,DATA_LF2!B720))</f>
        <v/>
      </c>
      <c r="C722" s="153" t="str">
        <f>IF($B722&lt;&gt;"",INDEX(DataOB[],FirstRow+ROW()-7,2),"")</f>
        <v/>
      </c>
      <c r="D722" s="66" t="str">
        <f>IF($B722&lt;&gt;"",INDEX(DataOB[],FirstRow+ROW()-7,3),"")</f>
        <v/>
      </c>
      <c r="E722" s="103" t="str">
        <f>IF($B722&lt;&gt;"",INDEX(DataOB[],FirstRow+ROW()-7,6),"")</f>
        <v/>
      </c>
      <c r="F722" s="103" t="str">
        <f>IF($B722&lt;&gt;"",INDEX(DataOB[],FirstRow+ROW()-7,5),"")</f>
        <v/>
      </c>
      <c r="G722" s="58">
        <f>IF($B722&lt;&gt;"",SUMIFS(DataAct_tbl[AMOUNT],DataAct_tbl[BG CODE],Detail!$D722,DataAct_tbl[MONTH],LEFT(MonthName,3),DataAct_tbl[Dept code],$B722),0)</f>
        <v>0</v>
      </c>
      <c r="H722" s="31" t="str">
        <f t="shared" si="106"/>
        <v/>
      </c>
      <c r="I722" s="28" t="str">
        <f t="shared" si="107"/>
        <v/>
      </c>
      <c r="J722" s="32" t="str">
        <f t="shared" si="108"/>
        <v/>
      </c>
      <c r="K722" s="86"/>
      <c r="L722" s="62">
        <f>IF($B722&lt;&gt;"",SUMIFS(DataAct_tbl[AMOUNT],DataAct_tbl[BG CODE],Detail!$D722,DataAct_tbl[Check Range],"=true",DataAct_tbl[Dept code],$B722),0)</f>
        <v>0</v>
      </c>
      <c r="M722" s="63">
        <f>INDEX($AG$7:$AR$1005,ROW()-6,MATCH(MTD,$AG$6:$AR$6,0))</f>
        <v>0</v>
      </c>
      <c r="N722" s="34">
        <f t="shared" si="109"/>
        <v>0</v>
      </c>
      <c r="O722" s="64" t="str">
        <f t="shared" si="110"/>
        <v xml:space="preserve"> </v>
      </c>
      <c r="Q722" s="97">
        <f t="shared" si="111"/>
        <v>0</v>
      </c>
      <c r="R722" s="96">
        <f t="shared" si="112"/>
        <v>0</v>
      </c>
      <c r="T722" s="67" t="str">
        <f>IF($B722&lt;&gt;"",INDEX(DataOB[],FirstRow+ROW()-7,MATCH(T$6,DataOB[#Headers],0)),"")</f>
        <v/>
      </c>
      <c r="U722" s="67" t="str">
        <f>IF($B722&lt;&gt;"",INDEX(DataOB[],FirstRow+ROW()-7,MATCH(U$6,DataOB[#Headers],0)),"")</f>
        <v/>
      </c>
      <c r="V722" s="67" t="str">
        <f>IF($B722&lt;&gt;"",INDEX(DataOB[],FirstRow+ROW()-7,MATCH(V$6,DataOB[#Headers],0)),"")</f>
        <v/>
      </c>
      <c r="W722" s="67" t="str">
        <f>IF($B722&lt;&gt;"",INDEX(DataOB[],FirstRow+ROW()-7,MATCH(W$6,DataOB[#Headers],0)),"")</f>
        <v/>
      </c>
      <c r="X722" s="67" t="str">
        <f>IF($B722&lt;&gt;"",INDEX(DataOB[],FirstRow+ROW()-7,MATCH(X$6,DataOB[#Headers],0)),"")</f>
        <v/>
      </c>
      <c r="Y722" s="67" t="str">
        <f>IF($B722&lt;&gt;"",INDEX(DataOB[],FirstRow+ROW()-7,MATCH(Y$6,DataOB[#Headers],0)),"")</f>
        <v/>
      </c>
      <c r="Z722" s="67" t="str">
        <f>IF($B722&lt;&gt;"",INDEX(DataOB[],FirstRow+ROW()-7,MATCH(Z$6,DataOB[#Headers],0)),"")</f>
        <v/>
      </c>
      <c r="AA722" s="67" t="str">
        <f>IF($B722&lt;&gt;"",INDEX(DataOB[],FirstRow+ROW()-7,MATCH(AA$6,DataOB[#Headers],0)),"")</f>
        <v/>
      </c>
      <c r="AB722" s="67" t="str">
        <f>IF($B722&lt;&gt;"",INDEX(DataOB[],FirstRow+ROW()-7,MATCH(AB$6,DataOB[#Headers],0)),"")</f>
        <v/>
      </c>
      <c r="AC722" s="67" t="str">
        <f>IF($B722&lt;&gt;"",INDEX(DataOB[],FirstRow+ROW()-7,MATCH(AC$6,DataOB[#Headers],0)),"")</f>
        <v/>
      </c>
      <c r="AD722" s="67" t="str">
        <f>IF($B722&lt;&gt;"",INDEX(DataOB[],FirstRow+ROW()-7,MATCH(AD$6,DataOB[#Headers],0)),"")</f>
        <v/>
      </c>
      <c r="AE722" s="67" t="str">
        <f>IF($B722&lt;&gt;"",INDEX(DataOB[],FirstRow+ROW()-7,MATCH(AE$6,DataOB[#Headers],0)),"")</f>
        <v/>
      </c>
      <c r="AF722" s="26">
        <f t="shared" si="113"/>
        <v>0</v>
      </c>
      <c r="AG722" s="31">
        <f>SUM($T722:T722)</f>
        <v>0</v>
      </c>
      <c r="AH722" s="31">
        <f>SUM($T722:U722)</f>
        <v>0</v>
      </c>
      <c r="AI722" s="31">
        <f>SUM($T722:V722)</f>
        <v>0</v>
      </c>
      <c r="AJ722" s="31">
        <f>SUM($T722:W722)</f>
        <v>0</v>
      </c>
      <c r="AK722" s="31">
        <f>SUM($T722:X722)</f>
        <v>0</v>
      </c>
      <c r="AL722" s="31">
        <f>SUM($T722:Y722)</f>
        <v>0</v>
      </c>
      <c r="AM722" s="31">
        <f>SUM($T722:Z722)</f>
        <v>0</v>
      </c>
      <c r="AN722" s="31">
        <f>SUM($T722:AA722)</f>
        <v>0</v>
      </c>
      <c r="AO722" s="31">
        <f>SUM($T722:AB722)</f>
        <v>0</v>
      </c>
      <c r="AP722" s="31">
        <f>SUM($T722:AC722)</f>
        <v>0</v>
      </c>
      <c r="AQ722" s="31">
        <f>SUM($T722:AD722)</f>
        <v>0</v>
      </c>
      <c r="AR722" s="31">
        <f>SUM($T722:AE722)</f>
        <v>0</v>
      </c>
      <c r="AS722" s="27">
        <f t="shared" si="114"/>
        <v>0</v>
      </c>
    </row>
    <row r="723" spans="2:45">
      <c r="B723" s="102" t="str">
        <f>IF(ROW()-6&gt;NumCostCenter,"",IF(CostCenter&lt;&gt;"ALL",CostCenter,DATA_LF2!B721))</f>
        <v/>
      </c>
      <c r="C723" s="153" t="str">
        <f>IF($B723&lt;&gt;"",INDEX(DataOB[],FirstRow+ROW()-7,2),"")</f>
        <v/>
      </c>
      <c r="D723" s="66" t="str">
        <f>IF($B723&lt;&gt;"",INDEX(DataOB[],FirstRow+ROW()-7,3),"")</f>
        <v/>
      </c>
      <c r="E723" s="103" t="str">
        <f>IF($B723&lt;&gt;"",INDEX(DataOB[],FirstRow+ROW()-7,6),"")</f>
        <v/>
      </c>
      <c r="F723" s="103" t="str">
        <f>IF($B723&lt;&gt;"",INDEX(DataOB[],FirstRow+ROW()-7,5),"")</f>
        <v/>
      </c>
      <c r="G723" s="58">
        <f>IF($B723&lt;&gt;"",SUMIFS(DataAct_tbl[AMOUNT],DataAct_tbl[BG CODE],Detail!$D723,DataAct_tbl[MONTH],LEFT(MonthName,3),DataAct_tbl[Dept code],$B723),0)</f>
        <v>0</v>
      </c>
      <c r="H723" s="31" t="str">
        <f t="shared" si="106"/>
        <v/>
      </c>
      <c r="I723" s="28" t="str">
        <f t="shared" si="107"/>
        <v/>
      </c>
      <c r="J723" s="32" t="str">
        <f t="shared" si="108"/>
        <v/>
      </c>
      <c r="K723" s="86"/>
      <c r="L723" s="62">
        <f>IF($B723&lt;&gt;"",SUMIFS(DataAct_tbl[AMOUNT],DataAct_tbl[BG CODE],Detail!$D723,DataAct_tbl[Check Range],"=true",DataAct_tbl[Dept code],$B723),0)</f>
        <v>0</v>
      </c>
      <c r="M723" s="63">
        <f>INDEX($AG$7:$AR$1005,ROW()-6,MATCH(MTD,$AG$6:$AR$6,0))</f>
        <v>0</v>
      </c>
      <c r="N723" s="34">
        <f t="shared" si="109"/>
        <v>0</v>
      </c>
      <c r="O723" s="64" t="str">
        <f t="shared" si="110"/>
        <v xml:space="preserve"> </v>
      </c>
      <c r="Q723" s="97">
        <f t="shared" si="111"/>
        <v>0</v>
      </c>
      <c r="R723" s="96">
        <f t="shared" si="112"/>
        <v>0</v>
      </c>
      <c r="T723" s="67" t="str">
        <f>IF($B723&lt;&gt;"",INDEX(DataOB[],FirstRow+ROW()-7,MATCH(T$6,DataOB[#Headers],0)),"")</f>
        <v/>
      </c>
      <c r="U723" s="67" t="str">
        <f>IF($B723&lt;&gt;"",INDEX(DataOB[],FirstRow+ROW()-7,MATCH(U$6,DataOB[#Headers],0)),"")</f>
        <v/>
      </c>
      <c r="V723" s="67" t="str">
        <f>IF($B723&lt;&gt;"",INDEX(DataOB[],FirstRow+ROW()-7,MATCH(V$6,DataOB[#Headers],0)),"")</f>
        <v/>
      </c>
      <c r="W723" s="67" t="str">
        <f>IF($B723&lt;&gt;"",INDEX(DataOB[],FirstRow+ROW()-7,MATCH(W$6,DataOB[#Headers],0)),"")</f>
        <v/>
      </c>
      <c r="X723" s="67" t="str">
        <f>IF($B723&lt;&gt;"",INDEX(DataOB[],FirstRow+ROW()-7,MATCH(X$6,DataOB[#Headers],0)),"")</f>
        <v/>
      </c>
      <c r="Y723" s="67" t="str">
        <f>IF($B723&lt;&gt;"",INDEX(DataOB[],FirstRow+ROW()-7,MATCH(Y$6,DataOB[#Headers],0)),"")</f>
        <v/>
      </c>
      <c r="Z723" s="67" t="str">
        <f>IF($B723&lt;&gt;"",INDEX(DataOB[],FirstRow+ROW()-7,MATCH(Z$6,DataOB[#Headers],0)),"")</f>
        <v/>
      </c>
      <c r="AA723" s="67" t="str">
        <f>IF($B723&lt;&gt;"",INDEX(DataOB[],FirstRow+ROW()-7,MATCH(AA$6,DataOB[#Headers],0)),"")</f>
        <v/>
      </c>
      <c r="AB723" s="67" t="str">
        <f>IF($B723&lt;&gt;"",INDEX(DataOB[],FirstRow+ROW()-7,MATCH(AB$6,DataOB[#Headers],0)),"")</f>
        <v/>
      </c>
      <c r="AC723" s="67" t="str">
        <f>IF($B723&lt;&gt;"",INDEX(DataOB[],FirstRow+ROW()-7,MATCH(AC$6,DataOB[#Headers],0)),"")</f>
        <v/>
      </c>
      <c r="AD723" s="67" t="str">
        <f>IF($B723&lt;&gt;"",INDEX(DataOB[],FirstRow+ROW()-7,MATCH(AD$6,DataOB[#Headers],0)),"")</f>
        <v/>
      </c>
      <c r="AE723" s="67" t="str">
        <f>IF($B723&lt;&gt;"",INDEX(DataOB[],FirstRow+ROW()-7,MATCH(AE$6,DataOB[#Headers],0)),"")</f>
        <v/>
      </c>
      <c r="AF723" s="26">
        <f t="shared" si="113"/>
        <v>0</v>
      </c>
      <c r="AG723" s="31">
        <f>SUM($T723:T723)</f>
        <v>0</v>
      </c>
      <c r="AH723" s="31">
        <f>SUM($T723:U723)</f>
        <v>0</v>
      </c>
      <c r="AI723" s="31">
        <f>SUM($T723:V723)</f>
        <v>0</v>
      </c>
      <c r="AJ723" s="31">
        <f>SUM($T723:W723)</f>
        <v>0</v>
      </c>
      <c r="AK723" s="31">
        <f>SUM($T723:X723)</f>
        <v>0</v>
      </c>
      <c r="AL723" s="31">
        <f>SUM($T723:Y723)</f>
        <v>0</v>
      </c>
      <c r="AM723" s="31">
        <f>SUM($T723:Z723)</f>
        <v>0</v>
      </c>
      <c r="AN723" s="31">
        <f>SUM($T723:AA723)</f>
        <v>0</v>
      </c>
      <c r="AO723" s="31">
        <f>SUM($T723:AB723)</f>
        <v>0</v>
      </c>
      <c r="AP723" s="31">
        <f>SUM($T723:AC723)</f>
        <v>0</v>
      </c>
      <c r="AQ723" s="31">
        <f>SUM($T723:AD723)</f>
        <v>0</v>
      </c>
      <c r="AR723" s="31">
        <f>SUM($T723:AE723)</f>
        <v>0</v>
      </c>
      <c r="AS723" s="27">
        <f t="shared" si="114"/>
        <v>0</v>
      </c>
    </row>
    <row r="724" spans="2:45">
      <c r="B724" s="102" t="str">
        <f>IF(ROW()-6&gt;NumCostCenter,"",IF(CostCenter&lt;&gt;"ALL",CostCenter,DATA_LF2!B722))</f>
        <v/>
      </c>
      <c r="C724" s="153" t="str">
        <f>IF($B724&lt;&gt;"",INDEX(DataOB[],FirstRow+ROW()-7,2),"")</f>
        <v/>
      </c>
      <c r="D724" s="66" t="str">
        <f>IF($B724&lt;&gt;"",INDEX(DataOB[],FirstRow+ROW()-7,3),"")</f>
        <v/>
      </c>
      <c r="E724" s="103" t="str">
        <f>IF($B724&lt;&gt;"",INDEX(DataOB[],FirstRow+ROW()-7,6),"")</f>
        <v/>
      </c>
      <c r="F724" s="103" t="str">
        <f>IF($B724&lt;&gt;"",INDEX(DataOB[],FirstRow+ROW()-7,5),"")</f>
        <v/>
      </c>
      <c r="G724" s="58">
        <f>IF($B724&lt;&gt;"",SUMIFS(DataAct_tbl[AMOUNT],DataAct_tbl[BG CODE],Detail!$D724,DataAct_tbl[MONTH],LEFT(MonthName,3),DataAct_tbl[Dept code],$B724),0)</f>
        <v>0</v>
      </c>
      <c r="H724" s="31" t="str">
        <f t="shared" si="106"/>
        <v/>
      </c>
      <c r="I724" s="28" t="str">
        <f t="shared" si="107"/>
        <v/>
      </c>
      <c r="J724" s="32" t="str">
        <f t="shared" si="108"/>
        <v/>
      </c>
      <c r="K724" s="86"/>
      <c r="L724" s="62">
        <f>IF($B724&lt;&gt;"",SUMIFS(DataAct_tbl[AMOUNT],DataAct_tbl[BG CODE],Detail!$D724,DataAct_tbl[Check Range],"=true",DataAct_tbl[Dept code],$B724),0)</f>
        <v>0</v>
      </c>
      <c r="M724" s="63">
        <f>INDEX($AG$7:$AR$1005,ROW()-6,MATCH(MTD,$AG$6:$AR$6,0))</f>
        <v>0</v>
      </c>
      <c r="N724" s="34">
        <f t="shared" si="109"/>
        <v>0</v>
      </c>
      <c r="O724" s="64" t="str">
        <f t="shared" si="110"/>
        <v xml:space="preserve"> </v>
      </c>
      <c r="Q724" s="97">
        <f t="shared" si="111"/>
        <v>0</v>
      </c>
      <c r="R724" s="96">
        <f t="shared" si="112"/>
        <v>0</v>
      </c>
      <c r="T724" s="67" t="str">
        <f>IF($B724&lt;&gt;"",INDEX(DataOB[],FirstRow+ROW()-7,MATCH(T$6,DataOB[#Headers],0)),"")</f>
        <v/>
      </c>
      <c r="U724" s="67" t="str">
        <f>IF($B724&lt;&gt;"",INDEX(DataOB[],FirstRow+ROW()-7,MATCH(U$6,DataOB[#Headers],0)),"")</f>
        <v/>
      </c>
      <c r="V724" s="67" t="str">
        <f>IF($B724&lt;&gt;"",INDEX(DataOB[],FirstRow+ROW()-7,MATCH(V$6,DataOB[#Headers],0)),"")</f>
        <v/>
      </c>
      <c r="W724" s="67" t="str">
        <f>IF($B724&lt;&gt;"",INDEX(DataOB[],FirstRow+ROW()-7,MATCH(W$6,DataOB[#Headers],0)),"")</f>
        <v/>
      </c>
      <c r="X724" s="67" t="str">
        <f>IF($B724&lt;&gt;"",INDEX(DataOB[],FirstRow+ROW()-7,MATCH(X$6,DataOB[#Headers],0)),"")</f>
        <v/>
      </c>
      <c r="Y724" s="67" t="str">
        <f>IF($B724&lt;&gt;"",INDEX(DataOB[],FirstRow+ROW()-7,MATCH(Y$6,DataOB[#Headers],0)),"")</f>
        <v/>
      </c>
      <c r="Z724" s="67" t="str">
        <f>IF($B724&lt;&gt;"",INDEX(DataOB[],FirstRow+ROW()-7,MATCH(Z$6,DataOB[#Headers],0)),"")</f>
        <v/>
      </c>
      <c r="AA724" s="67" t="str">
        <f>IF($B724&lt;&gt;"",INDEX(DataOB[],FirstRow+ROW()-7,MATCH(AA$6,DataOB[#Headers],0)),"")</f>
        <v/>
      </c>
      <c r="AB724" s="67" t="str">
        <f>IF($B724&lt;&gt;"",INDEX(DataOB[],FirstRow+ROW()-7,MATCH(AB$6,DataOB[#Headers],0)),"")</f>
        <v/>
      </c>
      <c r="AC724" s="67" t="str">
        <f>IF($B724&lt;&gt;"",INDEX(DataOB[],FirstRow+ROW()-7,MATCH(AC$6,DataOB[#Headers],0)),"")</f>
        <v/>
      </c>
      <c r="AD724" s="67" t="str">
        <f>IF($B724&lt;&gt;"",INDEX(DataOB[],FirstRow+ROW()-7,MATCH(AD$6,DataOB[#Headers],0)),"")</f>
        <v/>
      </c>
      <c r="AE724" s="67" t="str">
        <f>IF($B724&lt;&gt;"",INDEX(DataOB[],FirstRow+ROW()-7,MATCH(AE$6,DataOB[#Headers],0)),"")</f>
        <v/>
      </c>
      <c r="AF724" s="26">
        <f t="shared" si="113"/>
        <v>0</v>
      </c>
      <c r="AG724" s="31">
        <f>SUM($T724:T724)</f>
        <v>0</v>
      </c>
      <c r="AH724" s="31">
        <f>SUM($T724:U724)</f>
        <v>0</v>
      </c>
      <c r="AI724" s="31">
        <f>SUM($T724:V724)</f>
        <v>0</v>
      </c>
      <c r="AJ724" s="31">
        <f>SUM($T724:W724)</f>
        <v>0</v>
      </c>
      <c r="AK724" s="31">
        <f>SUM($T724:X724)</f>
        <v>0</v>
      </c>
      <c r="AL724" s="31">
        <f>SUM($T724:Y724)</f>
        <v>0</v>
      </c>
      <c r="AM724" s="31">
        <f>SUM($T724:Z724)</f>
        <v>0</v>
      </c>
      <c r="AN724" s="31">
        <f>SUM($T724:AA724)</f>
        <v>0</v>
      </c>
      <c r="AO724" s="31">
        <f>SUM($T724:AB724)</f>
        <v>0</v>
      </c>
      <c r="AP724" s="31">
        <f>SUM($T724:AC724)</f>
        <v>0</v>
      </c>
      <c r="AQ724" s="31">
        <f>SUM($T724:AD724)</f>
        <v>0</v>
      </c>
      <c r="AR724" s="31">
        <f>SUM($T724:AE724)</f>
        <v>0</v>
      </c>
      <c r="AS724" s="27">
        <f t="shared" si="114"/>
        <v>0</v>
      </c>
    </row>
    <row r="725" spans="2:45">
      <c r="B725" s="102" t="str">
        <f>IF(ROW()-6&gt;NumCostCenter,"",IF(CostCenter&lt;&gt;"ALL",CostCenter,DATA_LF2!B723))</f>
        <v/>
      </c>
      <c r="C725" s="153" t="str">
        <f>IF($B725&lt;&gt;"",INDEX(DataOB[],FirstRow+ROW()-7,2),"")</f>
        <v/>
      </c>
      <c r="D725" s="66" t="str">
        <f>IF($B725&lt;&gt;"",INDEX(DataOB[],FirstRow+ROW()-7,3),"")</f>
        <v/>
      </c>
      <c r="E725" s="103" t="str">
        <f>IF($B725&lt;&gt;"",INDEX(DataOB[],FirstRow+ROW()-7,6),"")</f>
        <v/>
      </c>
      <c r="F725" s="103" t="str">
        <f>IF($B725&lt;&gt;"",INDEX(DataOB[],FirstRow+ROW()-7,5),"")</f>
        <v/>
      </c>
      <c r="G725" s="58">
        <f>IF($B725&lt;&gt;"",SUMIFS(DataAct_tbl[AMOUNT],DataAct_tbl[BG CODE],Detail!$D725,DataAct_tbl[MONTH],LEFT(MonthName,3),DataAct_tbl[Dept code],$B725),0)</f>
        <v>0</v>
      </c>
      <c r="H725" s="31" t="str">
        <f t="shared" si="106"/>
        <v/>
      </c>
      <c r="I725" s="28" t="str">
        <f t="shared" si="107"/>
        <v/>
      </c>
      <c r="J725" s="32" t="str">
        <f t="shared" si="108"/>
        <v/>
      </c>
      <c r="K725" s="86"/>
      <c r="L725" s="62">
        <f>IF($B725&lt;&gt;"",SUMIFS(DataAct_tbl[AMOUNT],DataAct_tbl[BG CODE],Detail!$D725,DataAct_tbl[Check Range],"=true",DataAct_tbl[Dept code],$B725),0)</f>
        <v>0</v>
      </c>
      <c r="M725" s="63">
        <f>INDEX($AG$7:$AR$1005,ROW()-6,MATCH(MTD,$AG$6:$AR$6,0))</f>
        <v>0</v>
      </c>
      <c r="N725" s="34">
        <f t="shared" si="109"/>
        <v>0</v>
      </c>
      <c r="O725" s="64" t="str">
        <f t="shared" si="110"/>
        <v xml:space="preserve"> </v>
      </c>
      <c r="Q725" s="97">
        <f t="shared" si="111"/>
        <v>0</v>
      </c>
      <c r="R725" s="96">
        <f t="shared" si="112"/>
        <v>0</v>
      </c>
      <c r="T725" s="67" t="str">
        <f>IF($B725&lt;&gt;"",INDEX(DataOB[],FirstRow+ROW()-7,MATCH(T$6,DataOB[#Headers],0)),"")</f>
        <v/>
      </c>
      <c r="U725" s="67" t="str">
        <f>IF($B725&lt;&gt;"",INDEX(DataOB[],FirstRow+ROW()-7,MATCH(U$6,DataOB[#Headers],0)),"")</f>
        <v/>
      </c>
      <c r="V725" s="67" t="str">
        <f>IF($B725&lt;&gt;"",INDEX(DataOB[],FirstRow+ROW()-7,MATCH(V$6,DataOB[#Headers],0)),"")</f>
        <v/>
      </c>
      <c r="W725" s="67" t="str">
        <f>IF($B725&lt;&gt;"",INDEX(DataOB[],FirstRow+ROW()-7,MATCH(W$6,DataOB[#Headers],0)),"")</f>
        <v/>
      </c>
      <c r="X725" s="67" t="str">
        <f>IF($B725&lt;&gt;"",INDEX(DataOB[],FirstRow+ROW()-7,MATCH(X$6,DataOB[#Headers],0)),"")</f>
        <v/>
      </c>
      <c r="Y725" s="67" t="str">
        <f>IF($B725&lt;&gt;"",INDEX(DataOB[],FirstRow+ROW()-7,MATCH(Y$6,DataOB[#Headers],0)),"")</f>
        <v/>
      </c>
      <c r="Z725" s="67" t="str">
        <f>IF($B725&lt;&gt;"",INDEX(DataOB[],FirstRow+ROW()-7,MATCH(Z$6,DataOB[#Headers],0)),"")</f>
        <v/>
      </c>
      <c r="AA725" s="67" t="str">
        <f>IF($B725&lt;&gt;"",INDEX(DataOB[],FirstRow+ROW()-7,MATCH(AA$6,DataOB[#Headers],0)),"")</f>
        <v/>
      </c>
      <c r="AB725" s="67" t="str">
        <f>IF($B725&lt;&gt;"",INDEX(DataOB[],FirstRow+ROW()-7,MATCH(AB$6,DataOB[#Headers],0)),"")</f>
        <v/>
      </c>
      <c r="AC725" s="67" t="str">
        <f>IF($B725&lt;&gt;"",INDEX(DataOB[],FirstRow+ROW()-7,MATCH(AC$6,DataOB[#Headers],0)),"")</f>
        <v/>
      </c>
      <c r="AD725" s="67" t="str">
        <f>IF($B725&lt;&gt;"",INDEX(DataOB[],FirstRow+ROW()-7,MATCH(AD$6,DataOB[#Headers],0)),"")</f>
        <v/>
      </c>
      <c r="AE725" s="67" t="str">
        <f>IF($B725&lt;&gt;"",INDEX(DataOB[],FirstRow+ROW()-7,MATCH(AE$6,DataOB[#Headers],0)),"")</f>
        <v/>
      </c>
      <c r="AF725" s="26">
        <f t="shared" si="113"/>
        <v>0</v>
      </c>
      <c r="AG725" s="31">
        <f>SUM($T725:T725)</f>
        <v>0</v>
      </c>
      <c r="AH725" s="31">
        <f>SUM($T725:U725)</f>
        <v>0</v>
      </c>
      <c r="AI725" s="31">
        <f>SUM($T725:V725)</f>
        <v>0</v>
      </c>
      <c r="AJ725" s="31">
        <f>SUM($T725:W725)</f>
        <v>0</v>
      </c>
      <c r="AK725" s="31">
        <f>SUM($T725:X725)</f>
        <v>0</v>
      </c>
      <c r="AL725" s="31">
        <f>SUM($T725:Y725)</f>
        <v>0</v>
      </c>
      <c r="AM725" s="31">
        <f>SUM($T725:Z725)</f>
        <v>0</v>
      </c>
      <c r="AN725" s="31">
        <f>SUM($T725:AA725)</f>
        <v>0</v>
      </c>
      <c r="AO725" s="31">
        <f>SUM($T725:AB725)</f>
        <v>0</v>
      </c>
      <c r="AP725" s="31">
        <f>SUM($T725:AC725)</f>
        <v>0</v>
      </c>
      <c r="AQ725" s="31">
        <f>SUM($T725:AD725)</f>
        <v>0</v>
      </c>
      <c r="AR725" s="31">
        <f>SUM($T725:AE725)</f>
        <v>0</v>
      </c>
      <c r="AS725" s="27">
        <f t="shared" si="114"/>
        <v>0</v>
      </c>
    </row>
    <row r="726" spans="2:45">
      <c r="B726" s="102" t="str">
        <f>IF(ROW()-6&gt;NumCostCenter,"",IF(CostCenter&lt;&gt;"ALL",CostCenter,DATA_LF2!B724))</f>
        <v/>
      </c>
      <c r="C726" s="153" t="str">
        <f>IF($B726&lt;&gt;"",INDEX(DataOB[],FirstRow+ROW()-7,2),"")</f>
        <v/>
      </c>
      <c r="D726" s="66" t="str">
        <f>IF($B726&lt;&gt;"",INDEX(DataOB[],FirstRow+ROW()-7,3),"")</f>
        <v/>
      </c>
      <c r="E726" s="103" t="str">
        <f>IF($B726&lt;&gt;"",INDEX(DataOB[],FirstRow+ROW()-7,6),"")</f>
        <v/>
      </c>
      <c r="F726" s="103" t="str">
        <f>IF($B726&lt;&gt;"",INDEX(DataOB[],FirstRow+ROW()-7,5),"")</f>
        <v/>
      </c>
      <c r="G726" s="58">
        <f>IF($B726&lt;&gt;"",SUMIFS(DataAct_tbl[AMOUNT],DataAct_tbl[BG CODE],Detail!$D726,DataAct_tbl[MONTH],LEFT(MonthName,3),DataAct_tbl[Dept code],$B726),0)</f>
        <v>0</v>
      </c>
      <c r="H726" s="31" t="str">
        <f t="shared" si="106"/>
        <v/>
      </c>
      <c r="I726" s="28" t="str">
        <f t="shared" si="107"/>
        <v/>
      </c>
      <c r="J726" s="32" t="str">
        <f t="shared" si="108"/>
        <v/>
      </c>
      <c r="K726" s="86"/>
      <c r="L726" s="62">
        <f>IF($B726&lt;&gt;"",SUMIFS(DataAct_tbl[AMOUNT],DataAct_tbl[BG CODE],Detail!$D726,DataAct_tbl[Check Range],"=true",DataAct_tbl[Dept code],$B726),0)</f>
        <v>0</v>
      </c>
      <c r="M726" s="63">
        <f>INDEX($AG$7:$AR$1005,ROW()-6,MATCH(MTD,$AG$6:$AR$6,0))</f>
        <v>0</v>
      </c>
      <c r="N726" s="34">
        <f t="shared" si="109"/>
        <v>0</v>
      </c>
      <c r="O726" s="64" t="str">
        <f t="shared" si="110"/>
        <v xml:space="preserve"> </v>
      </c>
      <c r="Q726" s="97">
        <f t="shared" si="111"/>
        <v>0</v>
      </c>
      <c r="R726" s="96">
        <f t="shared" si="112"/>
        <v>0</v>
      </c>
      <c r="T726" s="67" t="str">
        <f>IF($B726&lt;&gt;"",INDEX(DataOB[],FirstRow+ROW()-7,MATCH(T$6,DataOB[#Headers],0)),"")</f>
        <v/>
      </c>
      <c r="U726" s="67" t="str">
        <f>IF($B726&lt;&gt;"",INDEX(DataOB[],FirstRow+ROW()-7,MATCH(U$6,DataOB[#Headers],0)),"")</f>
        <v/>
      </c>
      <c r="V726" s="67" t="str">
        <f>IF($B726&lt;&gt;"",INDEX(DataOB[],FirstRow+ROW()-7,MATCH(V$6,DataOB[#Headers],0)),"")</f>
        <v/>
      </c>
      <c r="W726" s="67" t="str">
        <f>IF($B726&lt;&gt;"",INDEX(DataOB[],FirstRow+ROW()-7,MATCH(W$6,DataOB[#Headers],0)),"")</f>
        <v/>
      </c>
      <c r="X726" s="67" t="str">
        <f>IF($B726&lt;&gt;"",INDEX(DataOB[],FirstRow+ROW()-7,MATCH(X$6,DataOB[#Headers],0)),"")</f>
        <v/>
      </c>
      <c r="Y726" s="67" t="str">
        <f>IF($B726&lt;&gt;"",INDEX(DataOB[],FirstRow+ROW()-7,MATCH(Y$6,DataOB[#Headers],0)),"")</f>
        <v/>
      </c>
      <c r="Z726" s="67" t="str">
        <f>IF($B726&lt;&gt;"",INDEX(DataOB[],FirstRow+ROW()-7,MATCH(Z$6,DataOB[#Headers],0)),"")</f>
        <v/>
      </c>
      <c r="AA726" s="67" t="str">
        <f>IF($B726&lt;&gt;"",INDEX(DataOB[],FirstRow+ROW()-7,MATCH(AA$6,DataOB[#Headers],0)),"")</f>
        <v/>
      </c>
      <c r="AB726" s="67" t="str">
        <f>IF($B726&lt;&gt;"",INDEX(DataOB[],FirstRow+ROW()-7,MATCH(AB$6,DataOB[#Headers],0)),"")</f>
        <v/>
      </c>
      <c r="AC726" s="67" t="str">
        <f>IF($B726&lt;&gt;"",INDEX(DataOB[],FirstRow+ROW()-7,MATCH(AC$6,DataOB[#Headers],0)),"")</f>
        <v/>
      </c>
      <c r="AD726" s="67" t="str">
        <f>IF($B726&lt;&gt;"",INDEX(DataOB[],FirstRow+ROW()-7,MATCH(AD$6,DataOB[#Headers],0)),"")</f>
        <v/>
      </c>
      <c r="AE726" s="67" t="str">
        <f>IF($B726&lt;&gt;"",INDEX(DataOB[],FirstRow+ROW()-7,MATCH(AE$6,DataOB[#Headers],0)),"")</f>
        <v/>
      </c>
      <c r="AF726" s="26">
        <f t="shared" si="113"/>
        <v>0</v>
      </c>
      <c r="AG726" s="31">
        <f>SUM($T726:T726)</f>
        <v>0</v>
      </c>
      <c r="AH726" s="31">
        <f>SUM($T726:U726)</f>
        <v>0</v>
      </c>
      <c r="AI726" s="31">
        <f>SUM($T726:V726)</f>
        <v>0</v>
      </c>
      <c r="AJ726" s="31">
        <f>SUM($T726:W726)</f>
        <v>0</v>
      </c>
      <c r="AK726" s="31">
        <f>SUM($T726:X726)</f>
        <v>0</v>
      </c>
      <c r="AL726" s="31">
        <f>SUM($T726:Y726)</f>
        <v>0</v>
      </c>
      <c r="AM726" s="31">
        <f>SUM($T726:Z726)</f>
        <v>0</v>
      </c>
      <c r="AN726" s="31">
        <f>SUM($T726:AA726)</f>
        <v>0</v>
      </c>
      <c r="AO726" s="31">
        <f>SUM($T726:AB726)</f>
        <v>0</v>
      </c>
      <c r="AP726" s="31">
        <f>SUM($T726:AC726)</f>
        <v>0</v>
      </c>
      <c r="AQ726" s="31">
        <f>SUM($T726:AD726)</f>
        <v>0</v>
      </c>
      <c r="AR726" s="31">
        <f>SUM($T726:AE726)</f>
        <v>0</v>
      </c>
      <c r="AS726" s="27">
        <f t="shared" si="114"/>
        <v>0</v>
      </c>
    </row>
    <row r="727" spans="2:45">
      <c r="B727" s="102" t="str">
        <f>IF(ROW()-6&gt;NumCostCenter,"",IF(CostCenter&lt;&gt;"ALL",CostCenter,DATA_LF2!B725))</f>
        <v/>
      </c>
      <c r="C727" s="153" t="str">
        <f>IF($B727&lt;&gt;"",INDEX(DataOB[],FirstRow+ROW()-7,2),"")</f>
        <v/>
      </c>
      <c r="D727" s="66" t="str">
        <f>IF($B727&lt;&gt;"",INDEX(DataOB[],FirstRow+ROW()-7,3),"")</f>
        <v/>
      </c>
      <c r="E727" s="103" t="str">
        <f>IF($B727&lt;&gt;"",INDEX(DataOB[],FirstRow+ROW()-7,6),"")</f>
        <v/>
      </c>
      <c r="F727" s="103" t="str">
        <f>IF($B727&lt;&gt;"",INDEX(DataOB[],FirstRow+ROW()-7,5),"")</f>
        <v/>
      </c>
      <c r="G727" s="58">
        <f>IF($B727&lt;&gt;"",SUMIFS(DataAct_tbl[AMOUNT],DataAct_tbl[BG CODE],Detail!$D727,DataAct_tbl[MONTH],LEFT(MonthName,3),DataAct_tbl[Dept code],$B727),0)</f>
        <v>0</v>
      </c>
      <c r="H727" s="31" t="str">
        <f t="shared" si="106"/>
        <v/>
      </c>
      <c r="I727" s="28" t="str">
        <f t="shared" si="107"/>
        <v/>
      </c>
      <c r="J727" s="32" t="str">
        <f t="shared" si="108"/>
        <v/>
      </c>
      <c r="K727" s="86"/>
      <c r="L727" s="62">
        <f>IF($B727&lt;&gt;"",SUMIFS(DataAct_tbl[AMOUNT],DataAct_tbl[BG CODE],Detail!$D727,DataAct_tbl[Check Range],"=true",DataAct_tbl[Dept code],$B727),0)</f>
        <v>0</v>
      </c>
      <c r="M727" s="63">
        <f>INDEX($AG$7:$AR$1005,ROW()-6,MATCH(MTD,$AG$6:$AR$6,0))</f>
        <v>0</v>
      </c>
      <c r="N727" s="34">
        <f t="shared" si="109"/>
        <v>0</v>
      </c>
      <c r="O727" s="64" t="str">
        <f t="shared" si="110"/>
        <v xml:space="preserve"> </v>
      </c>
      <c r="Q727" s="97">
        <f t="shared" si="111"/>
        <v>0</v>
      </c>
      <c r="R727" s="96">
        <f t="shared" si="112"/>
        <v>0</v>
      </c>
      <c r="T727" s="67" t="str">
        <f>IF($B727&lt;&gt;"",INDEX(DataOB[],FirstRow+ROW()-7,MATCH(T$6,DataOB[#Headers],0)),"")</f>
        <v/>
      </c>
      <c r="U727" s="67" t="str">
        <f>IF($B727&lt;&gt;"",INDEX(DataOB[],FirstRow+ROW()-7,MATCH(U$6,DataOB[#Headers],0)),"")</f>
        <v/>
      </c>
      <c r="V727" s="67" t="str">
        <f>IF($B727&lt;&gt;"",INDEX(DataOB[],FirstRow+ROW()-7,MATCH(V$6,DataOB[#Headers],0)),"")</f>
        <v/>
      </c>
      <c r="W727" s="67" t="str">
        <f>IF($B727&lt;&gt;"",INDEX(DataOB[],FirstRow+ROW()-7,MATCH(W$6,DataOB[#Headers],0)),"")</f>
        <v/>
      </c>
      <c r="X727" s="67" t="str">
        <f>IF($B727&lt;&gt;"",INDEX(DataOB[],FirstRow+ROW()-7,MATCH(X$6,DataOB[#Headers],0)),"")</f>
        <v/>
      </c>
      <c r="Y727" s="67" t="str">
        <f>IF($B727&lt;&gt;"",INDEX(DataOB[],FirstRow+ROW()-7,MATCH(Y$6,DataOB[#Headers],0)),"")</f>
        <v/>
      </c>
      <c r="Z727" s="67" t="str">
        <f>IF($B727&lt;&gt;"",INDEX(DataOB[],FirstRow+ROW()-7,MATCH(Z$6,DataOB[#Headers],0)),"")</f>
        <v/>
      </c>
      <c r="AA727" s="67" t="str">
        <f>IF($B727&lt;&gt;"",INDEX(DataOB[],FirstRow+ROW()-7,MATCH(AA$6,DataOB[#Headers],0)),"")</f>
        <v/>
      </c>
      <c r="AB727" s="67" t="str">
        <f>IF($B727&lt;&gt;"",INDEX(DataOB[],FirstRow+ROW()-7,MATCH(AB$6,DataOB[#Headers],0)),"")</f>
        <v/>
      </c>
      <c r="AC727" s="67" t="str">
        <f>IF($B727&lt;&gt;"",INDEX(DataOB[],FirstRow+ROW()-7,MATCH(AC$6,DataOB[#Headers],0)),"")</f>
        <v/>
      </c>
      <c r="AD727" s="67" t="str">
        <f>IF($B727&lt;&gt;"",INDEX(DataOB[],FirstRow+ROW()-7,MATCH(AD$6,DataOB[#Headers],0)),"")</f>
        <v/>
      </c>
      <c r="AE727" s="67" t="str">
        <f>IF($B727&lt;&gt;"",INDEX(DataOB[],FirstRow+ROW()-7,MATCH(AE$6,DataOB[#Headers],0)),"")</f>
        <v/>
      </c>
      <c r="AF727" s="26">
        <f t="shared" si="113"/>
        <v>0</v>
      </c>
      <c r="AG727" s="31">
        <f>SUM($T727:T727)</f>
        <v>0</v>
      </c>
      <c r="AH727" s="31">
        <f>SUM($T727:U727)</f>
        <v>0</v>
      </c>
      <c r="AI727" s="31">
        <f>SUM($T727:V727)</f>
        <v>0</v>
      </c>
      <c r="AJ727" s="31">
        <f>SUM($T727:W727)</f>
        <v>0</v>
      </c>
      <c r="AK727" s="31">
        <f>SUM($T727:X727)</f>
        <v>0</v>
      </c>
      <c r="AL727" s="31">
        <f>SUM($T727:Y727)</f>
        <v>0</v>
      </c>
      <c r="AM727" s="31">
        <f>SUM($T727:Z727)</f>
        <v>0</v>
      </c>
      <c r="AN727" s="31">
        <f>SUM($T727:AA727)</f>
        <v>0</v>
      </c>
      <c r="AO727" s="31">
        <f>SUM($T727:AB727)</f>
        <v>0</v>
      </c>
      <c r="AP727" s="31">
        <f>SUM($T727:AC727)</f>
        <v>0</v>
      </c>
      <c r="AQ727" s="31">
        <f>SUM($T727:AD727)</f>
        <v>0</v>
      </c>
      <c r="AR727" s="31">
        <f>SUM($T727:AE727)</f>
        <v>0</v>
      </c>
      <c r="AS727" s="27">
        <f t="shared" si="114"/>
        <v>0</v>
      </c>
    </row>
    <row r="728" spans="2:45">
      <c r="B728" s="102" t="str">
        <f>IF(ROW()-6&gt;NumCostCenter,"",IF(CostCenter&lt;&gt;"ALL",CostCenter,DATA_LF2!B726))</f>
        <v/>
      </c>
      <c r="C728" s="153" t="str">
        <f>IF($B728&lt;&gt;"",INDEX(DataOB[],FirstRow+ROW()-7,2),"")</f>
        <v/>
      </c>
      <c r="D728" s="66" t="str">
        <f>IF($B728&lt;&gt;"",INDEX(DataOB[],FirstRow+ROW()-7,3),"")</f>
        <v/>
      </c>
      <c r="E728" s="103" t="str">
        <f>IF($B728&lt;&gt;"",INDEX(DataOB[],FirstRow+ROW()-7,6),"")</f>
        <v/>
      </c>
      <c r="F728" s="103" t="str">
        <f>IF($B728&lt;&gt;"",INDEX(DataOB[],FirstRow+ROW()-7,5),"")</f>
        <v/>
      </c>
      <c r="G728" s="58">
        <f>IF($B728&lt;&gt;"",SUMIFS(DataAct_tbl[AMOUNT],DataAct_tbl[BG CODE],Detail!$D728,DataAct_tbl[MONTH],LEFT(MonthName,3),DataAct_tbl[Dept code],$B728),0)</f>
        <v>0</v>
      </c>
      <c r="H728" s="31" t="str">
        <f t="shared" si="106"/>
        <v/>
      </c>
      <c r="I728" s="28" t="str">
        <f t="shared" si="107"/>
        <v/>
      </c>
      <c r="J728" s="32" t="str">
        <f t="shared" si="108"/>
        <v/>
      </c>
      <c r="K728" s="86"/>
      <c r="L728" s="62">
        <f>IF($B728&lt;&gt;"",SUMIFS(DataAct_tbl[AMOUNT],DataAct_tbl[BG CODE],Detail!$D728,DataAct_tbl[Check Range],"=true",DataAct_tbl[Dept code],$B728),0)</f>
        <v>0</v>
      </c>
      <c r="M728" s="63">
        <f>INDEX($AG$7:$AR$1005,ROW()-6,MATCH(MTD,$AG$6:$AR$6,0))</f>
        <v>0</v>
      </c>
      <c r="N728" s="34">
        <f t="shared" si="109"/>
        <v>0</v>
      </c>
      <c r="O728" s="64" t="str">
        <f t="shared" si="110"/>
        <v xml:space="preserve"> </v>
      </c>
      <c r="Q728" s="97">
        <f t="shared" si="111"/>
        <v>0</v>
      </c>
      <c r="R728" s="96">
        <f t="shared" si="112"/>
        <v>0</v>
      </c>
      <c r="T728" s="67" t="str">
        <f>IF($B728&lt;&gt;"",INDEX(DataOB[],FirstRow+ROW()-7,MATCH(T$6,DataOB[#Headers],0)),"")</f>
        <v/>
      </c>
      <c r="U728" s="67" t="str">
        <f>IF($B728&lt;&gt;"",INDEX(DataOB[],FirstRow+ROW()-7,MATCH(U$6,DataOB[#Headers],0)),"")</f>
        <v/>
      </c>
      <c r="V728" s="67" t="str">
        <f>IF($B728&lt;&gt;"",INDEX(DataOB[],FirstRow+ROW()-7,MATCH(V$6,DataOB[#Headers],0)),"")</f>
        <v/>
      </c>
      <c r="W728" s="67" t="str">
        <f>IF($B728&lt;&gt;"",INDEX(DataOB[],FirstRow+ROW()-7,MATCH(W$6,DataOB[#Headers],0)),"")</f>
        <v/>
      </c>
      <c r="X728" s="67" t="str">
        <f>IF($B728&lt;&gt;"",INDEX(DataOB[],FirstRow+ROW()-7,MATCH(X$6,DataOB[#Headers],0)),"")</f>
        <v/>
      </c>
      <c r="Y728" s="67" t="str">
        <f>IF($B728&lt;&gt;"",INDEX(DataOB[],FirstRow+ROW()-7,MATCH(Y$6,DataOB[#Headers],0)),"")</f>
        <v/>
      </c>
      <c r="Z728" s="67" t="str">
        <f>IF($B728&lt;&gt;"",INDEX(DataOB[],FirstRow+ROW()-7,MATCH(Z$6,DataOB[#Headers],0)),"")</f>
        <v/>
      </c>
      <c r="AA728" s="67" t="str">
        <f>IF($B728&lt;&gt;"",INDEX(DataOB[],FirstRow+ROW()-7,MATCH(AA$6,DataOB[#Headers],0)),"")</f>
        <v/>
      </c>
      <c r="AB728" s="67" t="str">
        <f>IF($B728&lt;&gt;"",INDEX(DataOB[],FirstRow+ROW()-7,MATCH(AB$6,DataOB[#Headers],0)),"")</f>
        <v/>
      </c>
      <c r="AC728" s="67" t="str">
        <f>IF($B728&lt;&gt;"",INDEX(DataOB[],FirstRow+ROW()-7,MATCH(AC$6,DataOB[#Headers],0)),"")</f>
        <v/>
      </c>
      <c r="AD728" s="67" t="str">
        <f>IF($B728&lt;&gt;"",INDEX(DataOB[],FirstRow+ROW()-7,MATCH(AD$6,DataOB[#Headers],0)),"")</f>
        <v/>
      </c>
      <c r="AE728" s="67" t="str">
        <f>IF($B728&lt;&gt;"",INDEX(DataOB[],FirstRow+ROW()-7,MATCH(AE$6,DataOB[#Headers],0)),"")</f>
        <v/>
      </c>
      <c r="AF728" s="26">
        <f t="shared" si="113"/>
        <v>0</v>
      </c>
      <c r="AG728" s="31">
        <f>SUM($T728:T728)</f>
        <v>0</v>
      </c>
      <c r="AH728" s="31">
        <f>SUM($T728:U728)</f>
        <v>0</v>
      </c>
      <c r="AI728" s="31">
        <f>SUM($T728:V728)</f>
        <v>0</v>
      </c>
      <c r="AJ728" s="31">
        <f>SUM($T728:W728)</f>
        <v>0</v>
      </c>
      <c r="AK728" s="31">
        <f>SUM($T728:X728)</f>
        <v>0</v>
      </c>
      <c r="AL728" s="31">
        <f>SUM($T728:Y728)</f>
        <v>0</v>
      </c>
      <c r="AM728" s="31">
        <f>SUM($T728:Z728)</f>
        <v>0</v>
      </c>
      <c r="AN728" s="31">
        <f>SUM($T728:AA728)</f>
        <v>0</v>
      </c>
      <c r="AO728" s="31">
        <f>SUM($T728:AB728)</f>
        <v>0</v>
      </c>
      <c r="AP728" s="31">
        <f>SUM($T728:AC728)</f>
        <v>0</v>
      </c>
      <c r="AQ728" s="31">
        <f>SUM($T728:AD728)</f>
        <v>0</v>
      </c>
      <c r="AR728" s="31">
        <f>SUM($T728:AE728)</f>
        <v>0</v>
      </c>
      <c r="AS728" s="27">
        <f t="shared" si="114"/>
        <v>0</v>
      </c>
    </row>
    <row r="729" spans="2:45">
      <c r="B729" s="102" t="str">
        <f>IF(ROW()-6&gt;NumCostCenter,"",IF(CostCenter&lt;&gt;"ALL",CostCenter,DATA_LF2!B727))</f>
        <v/>
      </c>
      <c r="C729" s="153" t="str">
        <f>IF($B729&lt;&gt;"",INDEX(DataOB[],FirstRow+ROW()-7,2),"")</f>
        <v/>
      </c>
      <c r="D729" s="66" t="str">
        <f>IF($B729&lt;&gt;"",INDEX(DataOB[],FirstRow+ROW()-7,3),"")</f>
        <v/>
      </c>
      <c r="E729" s="103" t="str">
        <f>IF($B729&lt;&gt;"",INDEX(DataOB[],FirstRow+ROW()-7,6),"")</f>
        <v/>
      </c>
      <c r="F729" s="103" t="str">
        <f>IF($B729&lt;&gt;"",INDEX(DataOB[],FirstRow+ROW()-7,5),"")</f>
        <v/>
      </c>
      <c r="G729" s="58">
        <f>IF($B729&lt;&gt;"",SUMIFS(DataAct_tbl[AMOUNT],DataAct_tbl[BG CODE],Detail!$D729,DataAct_tbl[MONTH],LEFT(MonthName,3),DataAct_tbl[Dept code],$B729),0)</f>
        <v>0</v>
      </c>
      <c r="H729" s="31" t="str">
        <f t="shared" si="106"/>
        <v/>
      </c>
      <c r="I729" s="28" t="str">
        <f t="shared" si="107"/>
        <v/>
      </c>
      <c r="J729" s="32" t="str">
        <f t="shared" si="108"/>
        <v/>
      </c>
      <c r="K729" s="86"/>
      <c r="L729" s="62">
        <f>IF($B729&lt;&gt;"",SUMIFS(DataAct_tbl[AMOUNT],DataAct_tbl[BG CODE],Detail!$D729,DataAct_tbl[Check Range],"=true",DataAct_tbl[Dept code],$B729),0)</f>
        <v>0</v>
      </c>
      <c r="M729" s="63">
        <f>INDEX($AG$7:$AR$1005,ROW()-6,MATCH(MTD,$AG$6:$AR$6,0))</f>
        <v>0</v>
      </c>
      <c r="N729" s="34">
        <f t="shared" si="109"/>
        <v>0</v>
      </c>
      <c r="O729" s="64" t="str">
        <f t="shared" si="110"/>
        <v xml:space="preserve"> </v>
      </c>
      <c r="Q729" s="97">
        <f t="shared" si="111"/>
        <v>0</v>
      </c>
      <c r="R729" s="96">
        <f t="shared" si="112"/>
        <v>0</v>
      </c>
      <c r="T729" s="67" t="str">
        <f>IF($B729&lt;&gt;"",INDEX(DataOB[],FirstRow+ROW()-7,MATCH(T$6,DataOB[#Headers],0)),"")</f>
        <v/>
      </c>
      <c r="U729" s="67" t="str">
        <f>IF($B729&lt;&gt;"",INDEX(DataOB[],FirstRow+ROW()-7,MATCH(U$6,DataOB[#Headers],0)),"")</f>
        <v/>
      </c>
      <c r="V729" s="67" t="str">
        <f>IF($B729&lt;&gt;"",INDEX(DataOB[],FirstRow+ROW()-7,MATCH(V$6,DataOB[#Headers],0)),"")</f>
        <v/>
      </c>
      <c r="W729" s="67" t="str">
        <f>IF($B729&lt;&gt;"",INDEX(DataOB[],FirstRow+ROW()-7,MATCH(W$6,DataOB[#Headers],0)),"")</f>
        <v/>
      </c>
      <c r="X729" s="67" t="str">
        <f>IF($B729&lt;&gt;"",INDEX(DataOB[],FirstRow+ROW()-7,MATCH(X$6,DataOB[#Headers],0)),"")</f>
        <v/>
      </c>
      <c r="Y729" s="67" t="str">
        <f>IF($B729&lt;&gt;"",INDEX(DataOB[],FirstRow+ROW()-7,MATCH(Y$6,DataOB[#Headers],0)),"")</f>
        <v/>
      </c>
      <c r="Z729" s="67" t="str">
        <f>IF($B729&lt;&gt;"",INDEX(DataOB[],FirstRow+ROW()-7,MATCH(Z$6,DataOB[#Headers],0)),"")</f>
        <v/>
      </c>
      <c r="AA729" s="67" t="str">
        <f>IF($B729&lt;&gt;"",INDEX(DataOB[],FirstRow+ROW()-7,MATCH(AA$6,DataOB[#Headers],0)),"")</f>
        <v/>
      </c>
      <c r="AB729" s="67" t="str">
        <f>IF($B729&lt;&gt;"",INDEX(DataOB[],FirstRow+ROW()-7,MATCH(AB$6,DataOB[#Headers],0)),"")</f>
        <v/>
      </c>
      <c r="AC729" s="67" t="str">
        <f>IF($B729&lt;&gt;"",INDEX(DataOB[],FirstRow+ROW()-7,MATCH(AC$6,DataOB[#Headers],0)),"")</f>
        <v/>
      </c>
      <c r="AD729" s="67" t="str">
        <f>IF($B729&lt;&gt;"",INDEX(DataOB[],FirstRow+ROW()-7,MATCH(AD$6,DataOB[#Headers],0)),"")</f>
        <v/>
      </c>
      <c r="AE729" s="67" t="str">
        <f>IF($B729&lt;&gt;"",INDEX(DataOB[],FirstRow+ROW()-7,MATCH(AE$6,DataOB[#Headers],0)),"")</f>
        <v/>
      </c>
      <c r="AF729" s="26">
        <f t="shared" si="113"/>
        <v>0</v>
      </c>
      <c r="AG729" s="31">
        <f>SUM($T729:T729)</f>
        <v>0</v>
      </c>
      <c r="AH729" s="31">
        <f>SUM($T729:U729)</f>
        <v>0</v>
      </c>
      <c r="AI729" s="31">
        <f>SUM($T729:V729)</f>
        <v>0</v>
      </c>
      <c r="AJ729" s="31">
        <f>SUM($T729:W729)</f>
        <v>0</v>
      </c>
      <c r="AK729" s="31">
        <f>SUM($T729:X729)</f>
        <v>0</v>
      </c>
      <c r="AL729" s="31">
        <f>SUM($T729:Y729)</f>
        <v>0</v>
      </c>
      <c r="AM729" s="31">
        <f>SUM($T729:Z729)</f>
        <v>0</v>
      </c>
      <c r="AN729" s="31">
        <f>SUM($T729:AA729)</f>
        <v>0</v>
      </c>
      <c r="AO729" s="31">
        <f>SUM($T729:AB729)</f>
        <v>0</v>
      </c>
      <c r="AP729" s="31">
        <f>SUM($T729:AC729)</f>
        <v>0</v>
      </c>
      <c r="AQ729" s="31">
        <f>SUM($T729:AD729)</f>
        <v>0</v>
      </c>
      <c r="AR729" s="31">
        <f>SUM($T729:AE729)</f>
        <v>0</v>
      </c>
      <c r="AS729" s="27">
        <f t="shared" si="114"/>
        <v>0</v>
      </c>
    </row>
    <row r="730" spans="2:45">
      <c r="B730" s="102" t="str">
        <f>IF(ROW()-6&gt;NumCostCenter,"",IF(CostCenter&lt;&gt;"ALL",CostCenter,DATA_LF2!B728))</f>
        <v/>
      </c>
      <c r="C730" s="153" t="str">
        <f>IF($B730&lt;&gt;"",INDEX(DataOB[],FirstRow+ROW()-7,2),"")</f>
        <v/>
      </c>
      <c r="D730" s="66" t="str">
        <f>IF($B730&lt;&gt;"",INDEX(DataOB[],FirstRow+ROW()-7,3),"")</f>
        <v/>
      </c>
      <c r="E730" s="103" t="str">
        <f>IF($B730&lt;&gt;"",INDEX(DataOB[],FirstRow+ROW()-7,6),"")</f>
        <v/>
      </c>
      <c r="F730" s="103" t="str">
        <f>IF($B730&lt;&gt;"",INDEX(DataOB[],FirstRow+ROW()-7,5),"")</f>
        <v/>
      </c>
      <c r="G730" s="58">
        <f>IF($B730&lt;&gt;"",SUMIFS(DataAct_tbl[AMOUNT],DataAct_tbl[BG CODE],Detail!$D730,DataAct_tbl[MONTH],LEFT(MonthName,3),DataAct_tbl[Dept code],$B730),0)</f>
        <v>0</v>
      </c>
      <c r="H730" s="31" t="str">
        <f t="shared" si="106"/>
        <v/>
      </c>
      <c r="I730" s="28" t="str">
        <f t="shared" si="107"/>
        <v/>
      </c>
      <c r="J730" s="32" t="str">
        <f t="shared" si="108"/>
        <v/>
      </c>
      <c r="K730" s="86"/>
      <c r="L730" s="62">
        <f>IF($B730&lt;&gt;"",SUMIFS(DataAct_tbl[AMOUNT],DataAct_tbl[BG CODE],Detail!$D730,DataAct_tbl[Check Range],"=true",DataAct_tbl[Dept code],$B730),0)</f>
        <v>0</v>
      </c>
      <c r="M730" s="63">
        <f>INDEX($AG$7:$AR$1005,ROW()-6,MATCH(MTD,$AG$6:$AR$6,0))</f>
        <v>0</v>
      </c>
      <c r="N730" s="34">
        <f t="shared" si="109"/>
        <v>0</v>
      </c>
      <c r="O730" s="64" t="str">
        <f t="shared" si="110"/>
        <v xml:space="preserve"> </v>
      </c>
      <c r="Q730" s="97">
        <f t="shared" si="111"/>
        <v>0</v>
      </c>
      <c r="R730" s="96">
        <f t="shared" si="112"/>
        <v>0</v>
      </c>
      <c r="T730" s="67" t="str">
        <f>IF($B730&lt;&gt;"",INDEX(DataOB[],FirstRow+ROW()-7,MATCH(T$6,DataOB[#Headers],0)),"")</f>
        <v/>
      </c>
      <c r="U730" s="67" t="str">
        <f>IF($B730&lt;&gt;"",INDEX(DataOB[],FirstRow+ROW()-7,MATCH(U$6,DataOB[#Headers],0)),"")</f>
        <v/>
      </c>
      <c r="V730" s="67" t="str">
        <f>IF($B730&lt;&gt;"",INDEX(DataOB[],FirstRow+ROW()-7,MATCH(V$6,DataOB[#Headers],0)),"")</f>
        <v/>
      </c>
      <c r="W730" s="67" t="str">
        <f>IF($B730&lt;&gt;"",INDEX(DataOB[],FirstRow+ROW()-7,MATCH(W$6,DataOB[#Headers],0)),"")</f>
        <v/>
      </c>
      <c r="X730" s="67" t="str">
        <f>IF($B730&lt;&gt;"",INDEX(DataOB[],FirstRow+ROW()-7,MATCH(X$6,DataOB[#Headers],0)),"")</f>
        <v/>
      </c>
      <c r="Y730" s="67" t="str">
        <f>IF($B730&lt;&gt;"",INDEX(DataOB[],FirstRow+ROW()-7,MATCH(Y$6,DataOB[#Headers],0)),"")</f>
        <v/>
      </c>
      <c r="Z730" s="67" t="str">
        <f>IF($B730&lt;&gt;"",INDEX(DataOB[],FirstRow+ROW()-7,MATCH(Z$6,DataOB[#Headers],0)),"")</f>
        <v/>
      </c>
      <c r="AA730" s="67" t="str">
        <f>IF($B730&lt;&gt;"",INDEX(DataOB[],FirstRow+ROW()-7,MATCH(AA$6,DataOB[#Headers],0)),"")</f>
        <v/>
      </c>
      <c r="AB730" s="67" t="str">
        <f>IF($B730&lt;&gt;"",INDEX(DataOB[],FirstRow+ROW()-7,MATCH(AB$6,DataOB[#Headers],0)),"")</f>
        <v/>
      </c>
      <c r="AC730" s="67" t="str">
        <f>IF($B730&lt;&gt;"",INDEX(DataOB[],FirstRow+ROW()-7,MATCH(AC$6,DataOB[#Headers],0)),"")</f>
        <v/>
      </c>
      <c r="AD730" s="67" t="str">
        <f>IF($B730&lt;&gt;"",INDEX(DataOB[],FirstRow+ROW()-7,MATCH(AD$6,DataOB[#Headers],0)),"")</f>
        <v/>
      </c>
      <c r="AE730" s="67" t="str">
        <f>IF($B730&lt;&gt;"",INDEX(DataOB[],FirstRow+ROW()-7,MATCH(AE$6,DataOB[#Headers],0)),"")</f>
        <v/>
      </c>
      <c r="AF730" s="26">
        <f t="shared" si="113"/>
        <v>0</v>
      </c>
      <c r="AG730" s="31">
        <f>SUM($T730:T730)</f>
        <v>0</v>
      </c>
      <c r="AH730" s="31">
        <f>SUM($T730:U730)</f>
        <v>0</v>
      </c>
      <c r="AI730" s="31">
        <f>SUM($T730:V730)</f>
        <v>0</v>
      </c>
      <c r="AJ730" s="31">
        <f>SUM($T730:W730)</f>
        <v>0</v>
      </c>
      <c r="AK730" s="31">
        <f>SUM($T730:X730)</f>
        <v>0</v>
      </c>
      <c r="AL730" s="31">
        <f>SUM($T730:Y730)</f>
        <v>0</v>
      </c>
      <c r="AM730" s="31">
        <f>SUM($T730:Z730)</f>
        <v>0</v>
      </c>
      <c r="AN730" s="31">
        <f>SUM($T730:AA730)</f>
        <v>0</v>
      </c>
      <c r="AO730" s="31">
        <f>SUM($T730:AB730)</f>
        <v>0</v>
      </c>
      <c r="AP730" s="31">
        <f>SUM($T730:AC730)</f>
        <v>0</v>
      </c>
      <c r="AQ730" s="31">
        <f>SUM($T730:AD730)</f>
        <v>0</v>
      </c>
      <c r="AR730" s="31">
        <f>SUM($T730:AE730)</f>
        <v>0</v>
      </c>
      <c r="AS730" s="27">
        <f t="shared" si="114"/>
        <v>0</v>
      </c>
    </row>
    <row r="731" spans="2:45">
      <c r="B731" s="102" t="str">
        <f>IF(ROW()-6&gt;NumCostCenter,"",IF(CostCenter&lt;&gt;"ALL",CostCenter,DATA_LF2!B729))</f>
        <v/>
      </c>
      <c r="C731" s="153" t="str">
        <f>IF($B731&lt;&gt;"",INDEX(DataOB[],FirstRow+ROW()-7,2),"")</f>
        <v/>
      </c>
      <c r="D731" s="66" t="str">
        <f>IF($B731&lt;&gt;"",INDEX(DataOB[],FirstRow+ROW()-7,3),"")</f>
        <v/>
      </c>
      <c r="E731" s="103" t="str">
        <f>IF($B731&lt;&gt;"",INDEX(DataOB[],FirstRow+ROW()-7,6),"")</f>
        <v/>
      </c>
      <c r="F731" s="103" t="str">
        <f>IF($B731&lt;&gt;"",INDEX(DataOB[],FirstRow+ROW()-7,5),"")</f>
        <v/>
      </c>
      <c r="G731" s="58">
        <f>IF($B731&lt;&gt;"",SUMIFS(DataAct_tbl[AMOUNT],DataAct_tbl[BG CODE],Detail!$D731,DataAct_tbl[MONTH],LEFT(MonthName,3),DataAct_tbl[Dept code],$B731),0)</f>
        <v>0</v>
      </c>
      <c r="H731" s="31" t="str">
        <f t="shared" si="106"/>
        <v/>
      </c>
      <c r="I731" s="28" t="str">
        <f t="shared" si="107"/>
        <v/>
      </c>
      <c r="J731" s="32" t="str">
        <f t="shared" si="108"/>
        <v/>
      </c>
      <c r="K731" s="86"/>
      <c r="L731" s="62">
        <f>IF($B731&lt;&gt;"",SUMIFS(DataAct_tbl[AMOUNT],DataAct_tbl[BG CODE],Detail!$D731,DataAct_tbl[Check Range],"=true",DataAct_tbl[Dept code],$B731),0)</f>
        <v>0</v>
      </c>
      <c r="M731" s="63">
        <f>INDEX($AG$7:$AR$1005,ROW()-6,MATCH(MTD,$AG$6:$AR$6,0))</f>
        <v>0</v>
      </c>
      <c r="N731" s="34">
        <f t="shared" si="109"/>
        <v>0</v>
      </c>
      <c r="O731" s="64" t="str">
        <f t="shared" si="110"/>
        <v xml:space="preserve"> </v>
      </c>
      <c r="Q731" s="97">
        <f t="shared" si="111"/>
        <v>0</v>
      </c>
      <c r="R731" s="96">
        <f t="shared" si="112"/>
        <v>0</v>
      </c>
      <c r="T731" s="67" t="str">
        <f>IF($B731&lt;&gt;"",INDEX(DataOB[],FirstRow+ROW()-7,MATCH(T$6,DataOB[#Headers],0)),"")</f>
        <v/>
      </c>
      <c r="U731" s="67" t="str">
        <f>IF($B731&lt;&gt;"",INDEX(DataOB[],FirstRow+ROW()-7,MATCH(U$6,DataOB[#Headers],0)),"")</f>
        <v/>
      </c>
      <c r="V731" s="67" t="str">
        <f>IF($B731&lt;&gt;"",INDEX(DataOB[],FirstRow+ROW()-7,MATCH(V$6,DataOB[#Headers],0)),"")</f>
        <v/>
      </c>
      <c r="W731" s="67" t="str">
        <f>IF($B731&lt;&gt;"",INDEX(DataOB[],FirstRow+ROW()-7,MATCH(W$6,DataOB[#Headers],0)),"")</f>
        <v/>
      </c>
      <c r="X731" s="67" t="str">
        <f>IF($B731&lt;&gt;"",INDEX(DataOB[],FirstRow+ROW()-7,MATCH(X$6,DataOB[#Headers],0)),"")</f>
        <v/>
      </c>
      <c r="Y731" s="67" t="str">
        <f>IF($B731&lt;&gt;"",INDEX(DataOB[],FirstRow+ROW()-7,MATCH(Y$6,DataOB[#Headers],0)),"")</f>
        <v/>
      </c>
      <c r="Z731" s="67" t="str">
        <f>IF($B731&lt;&gt;"",INDEX(DataOB[],FirstRow+ROW()-7,MATCH(Z$6,DataOB[#Headers],0)),"")</f>
        <v/>
      </c>
      <c r="AA731" s="67" t="str">
        <f>IF($B731&lt;&gt;"",INDEX(DataOB[],FirstRow+ROW()-7,MATCH(AA$6,DataOB[#Headers],0)),"")</f>
        <v/>
      </c>
      <c r="AB731" s="67" t="str">
        <f>IF($B731&lt;&gt;"",INDEX(DataOB[],FirstRow+ROW()-7,MATCH(AB$6,DataOB[#Headers],0)),"")</f>
        <v/>
      </c>
      <c r="AC731" s="67" t="str">
        <f>IF($B731&lt;&gt;"",INDEX(DataOB[],FirstRow+ROW()-7,MATCH(AC$6,DataOB[#Headers],0)),"")</f>
        <v/>
      </c>
      <c r="AD731" s="67" t="str">
        <f>IF($B731&lt;&gt;"",INDEX(DataOB[],FirstRow+ROW()-7,MATCH(AD$6,DataOB[#Headers],0)),"")</f>
        <v/>
      </c>
      <c r="AE731" s="67" t="str">
        <f>IF($B731&lt;&gt;"",INDEX(DataOB[],FirstRow+ROW()-7,MATCH(AE$6,DataOB[#Headers],0)),"")</f>
        <v/>
      </c>
      <c r="AF731" s="26">
        <f t="shared" si="113"/>
        <v>0</v>
      </c>
      <c r="AG731" s="31">
        <f>SUM($T731:T731)</f>
        <v>0</v>
      </c>
      <c r="AH731" s="31">
        <f>SUM($T731:U731)</f>
        <v>0</v>
      </c>
      <c r="AI731" s="31">
        <f>SUM($T731:V731)</f>
        <v>0</v>
      </c>
      <c r="AJ731" s="31">
        <f>SUM($T731:W731)</f>
        <v>0</v>
      </c>
      <c r="AK731" s="31">
        <f>SUM($T731:X731)</f>
        <v>0</v>
      </c>
      <c r="AL731" s="31">
        <f>SUM($T731:Y731)</f>
        <v>0</v>
      </c>
      <c r="AM731" s="31">
        <f>SUM($T731:Z731)</f>
        <v>0</v>
      </c>
      <c r="AN731" s="31">
        <f>SUM($T731:AA731)</f>
        <v>0</v>
      </c>
      <c r="AO731" s="31">
        <f>SUM($T731:AB731)</f>
        <v>0</v>
      </c>
      <c r="AP731" s="31">
        <f>SUM($T731:AC731)</f>
        <v>0</v>
      </c>
      <c r="AQ731" s="31">
        <f>SUM($T731:AD731)</f>
        <v>0</v>
      </c>
      <c r="AR731" s="31">
        <f>SUM($T731:AE731)</f>
        <v>0</v>
      </c>
      <c r="AS731" s="27">
        <f t="shared" si="114"/>
        <v>0</v>
      </c>
    </row>
    <row r="732" spans="2:45">
      <c r="B732" s="102" t="str">
        <f>IF(ROW()-6&gt;NumCostCenter,"",IF(CostCenter&lt;&gt;"ALL",CostCenter,DATA_LF2!B730))</f>
        <v/>
      </c>
      <c r="C732" s="153" t="str">
        <f>IF($B732&lt;&gt;"",INDEX(DataOB[],FirstRow+ROW()-7,2),"")</f>
        <v/>
      </c>
      <c r="D732" s="66" t="str">
        <f>IF($B732&lt;&gt;"",INDEX(DataOB[],FirstRow+ROW()-7,3),"")</f>
        <v/>
      </c>
      <c r="E732" s="103" t="str">
        <f>IF($B732&lt;&gt;"",INDEX(DataOB[],FirstRow+ROW()-7,6),"")</f>
        <v/>
      </c>
      <c r="F732" s="103" t="str">
        <f>IF($B732&lt;&gt;"",INDEX(DataOB[],FirstRow+ROW()-7,5),"")</f>
        <v/>
      </c>
      <c r="G732" s="58">
        <f>IF($B732&lt;&gt;"",SUMIFS(DataAct_tbl[AMOUNT],DataAct_tbl[BG CODE],Detail!$D732,DataAct_tbl[MONTH],LEFT(MonthName,3),DataAct_tbl[Dept code],$B732),0)</f>
        <v>0</v>
      </c>
      <c r="H732" s="31" t="str">
        <f t="shared" si="106"/>
        <v/>
      </c>
      <c r="I732" s="28" t="str">
        <f t="shared" si="107"/>
        <v/>
      </c>
      <c r="J732" s="32" t="str">
        <f t="shared" si="108"/>
        <v/>
      </c>
      <c r="K732" s="86"/>
      <c r="L732" s="62">
        <f>IF($B732&lt;&gt;"",SUMIFS(DataAct_tbl[AMOUNT],DataAct_tbl[BG CODE],Detail!$D732,DataAct_tbl[Check Range],"=true",DataAct_tbl[Dept code],$B732),0)</f>
        <v>0</v>
      </c>
      <c r="M732" s="63">
        <f>INDEX($AG$7:$AR$1005,ROW()-6,MATCH(MTD,$AG$6:$AR$6,0))</f>
        <v>0</v>
      </c>
      <c r="N732" s="34">
        <f t="shared" si="109"/>
        <v>0</v>
      </c>
      <c r="O732" s="64" t="str">
        <f t="shared" si="110"/>
        <v xml:space="preserve"> </v>
      </c>
      <c r="Q732" s="97">
        <f t="shared" si="111"/>
        <v>0</v>
      </c>
      <c r="R732" s="96">
        <f t="shared" si="112"/>
        <v>0</v>
      </c>
      <c r="T732" s="67" t="str">
        <f>IF($B732&lt;&gt;"",INDEX(DataOB[],FirstRow+ROW()-7,MATCH(T$6,DataOB[#Headers],0)),"")</f>
        <v/>
      </c>
      <c r="U732" s="67" t="str">
        <f>IF($B732&lt;&gt;"",INDEX(DataOB[],FirstRow+ROW()-7,MATCH(U$6,DataOB[#Headers],0)),"")</f>
        <v/>
      </c>
      <c r="V732" s="67" t="str">
        <f>IF($B732&lt;&gt;"",INDEX(DataOB[],FirstRow+ROW()-7,MATCH(V$6,DataOB[#Headers],0)),"")</f>
        <v/>
      </c>
      <c r="W732" s="67" t="str">
        <f>IF($B732&lt;&gt;"",INDEX(DataOB[],FirstRow+ROW()-7,MATCH(W$6,DataOB[#Headers],0)),"")</f>
        <v/>
      </c>
      <c r="X732" s="67" t="str">
        <f>IF($B732&lt;&gt;"",INDEX(DataOB[],FirstRow+ROW()-7,MATCH(X$6,DataOB[#Headers],0)),"")</f>
        <v/>
      </c>
      <c r="Y732" s="67" t="str">
        <f>IF($B732&lt;&gt;"",INDEX(DataOB[],FirstRow+ROW()-7,MATCH(Y$6,DataOB[#Headers],0)),"")</f>
        <v/>
      </c>
      <c r="Z732" s="67" t="str">
        <f>IF($B732&lt;&gt;"",INDEX(DataOB[],FirstRow+ROW()-7,MATCH(Z$6,DataOB[#Headers],0)),"")</f>
        <v/>
      </c>
      <c r="AA732" s="67" t="str">
        <f>IF($B732&lt;&gt;"",INDEX(DataOB[],FirstRow+ROW()-7,MATCH(AA$6,DataOB[#Headers],0)),"")</f>
        <v/>
      </c>
      <c r="AB732" s="67" t="str">
        <f>IF($B732&lt;&gt;"",INDEX(DataOB[],FirstRow+ROW()-7,MATCH(AB$6,DataOB[#Headers],0)),"")</f>
        <v/>
      </c>
      <c r="AC732" s="67" t="str">
        <f>IF($B732&lt;&gt;"",INDEX(DataOB[],FirstRow+ROW()-7,MATCH(AC$6,DataOB[#Headers],0)),"")</f>
        <v/>
      </c>
      <c r="AD732" s="67" t="str">
        <f>IF($B732&lt;&gt;"",INDEX(DataOB[],FirstRow+ROW()-7,MATCH(AD$6,DataOB[#Headers],0)),"")</f>
        <v/>
      </c>
      <c r="AE732" s="67" t="str">
        <f>IF($B732&lt;&gt;"",INDEX(DataOB[],FirstRow+ROW()-7,MATCH(AE$6,DataOB[#Headers],0)),"")</f>
        <v/>
      </c>
      <c r="AF732" s="26">
        <f t="shared" si="113"/>
        <v>0</v>
      </c>
      <c r="AG732" s="31">
        <f>SUM($T732:T732)</f>
        <v>0</v>
      </c>
      <c r="AH732" s="31">
        <f>SUM($T732:U732)</f>
        <v>0</v>
      </c>
      <c r="AI732" s="31">
        <f>SUM($T732:V732)</f>
        <v>0</v>
      </c>
      <c r="AJ732" s="31">
        <f>SUM($T732:W732)</f>
        <v>0</v>
      </c>
      <c r="AK732" s="31">
        <f>SUM($T732:X732)</f>
        <v>0</v>
      </c>
      <c r="AL732" s="31">
        <f>SUM($T732:Y732)</f>
        <v>0</v>
      </c>
      <c r="AM732" s="31">
        <f>SUM($T732:Z732)</f>
        <v>0</v>
      </c>
      <c r="AN732" s="31">
        <f>SUM($T732:AA732)</f>
        <v>0</v>
      </c>
      <c r="AO732" s="31">
        <f>SUM($T732:AB732)</f>
        <v>0</v>
      </c>
      <c r="AP732" s="31">
        <f>SUM($T732:AC732)</f>
        <v>0</v>
      </c>
      <c r="AQ732" s="31">
        <f>SUM($T732:AD732)</f>
        <v>0</v>
      </c>
      <c r="AR732" s="31">
        <f>SUM($T732:AE732)</f>
        <v>0</v>
      </c>
      <c r="AS732" s="27">
        <f t="shared" si="114"/>
        <v>0</v>
      </c>
    </row>
    <row r="733" spans="2:45">
      <c r="B733" s="102" t="str">
        <f>IF(ROW()-6&gt;NumCostCenter,"",IF(CostCenter&lt;&gt;"ALL",CostCenter,DATA_LF2!B731))</f>
        <v/>
      </c>
      <c r="C733" s="153" t="str">
        <f>IF($B733&lt;&gt;"",INDEX(DataOB[],FirstRow+ROW()-7,2),"")</f>
        <v/>
      </c>
      <c r="D733" s="66" t="str">
        <f>IF($B733&lt;&gt;"",INDEX(DataOB[],FirstRow+ROW()-7,3),"")</f>
        <v/>
      </c>
      <c r="E733" s="103" t="str">
        <f>IF($B733&lt;&gt;"",INDEX(DataOB[],FirstRow+ROW()-7,6),"")</f>
        <v/>
      </c>
      <c r="F733" s="103" t="str">
        <f>IF($B733&lt;&gt;"",INDEX(DataOB[],FirstRow+ROW()-7,5),"")</f>
        <v/>
      </c>
      <c r="G733" s="58">
        <f>IF($B733&lt;&gt;"",SUMIFS(DataAct_tbl[AMOUNT],DataAct_tbl[BG CODE],Detail!$D733,DataAct_tbl[MONTH],LEFT(MonthName,3),DataAct_tbl[Dept code],$B733),0)</f>
        <v>0</v>
      </c>
      <c r="H733" s="31" t="str">
        <f t="shared" si="106"/>
        <v/>
      </c>
      <c r="I733" s="28" t="str">
        <f t="shared" si="107"/>
        <v/>
      </c>
      <c r="J733" s="32" t="str">
        <f t="shared" si="108"/>
        <v/>
      </c>
      <c r="K733" s="86"/>
      <c r="L733" s="62">
        <f>IF($B733&lt;&gt;"",SUMIFS(DataAct_tbl[AMOUNT],DataAct_tbl[BG CODE],Detail!$D733,DataAct_tbl[Check Range],"=true",DataAct_tbl[Dept code],$B733),0)</f>
        <v>0</v>
      </c>
      <c r="M733" s="63">
        <f>INDEX($AG$7:$AR$1005,ROW()-6,MATCH(MTD,$AG$6:$AR$6,0))</f>
        <v>0</v>
      </c>
      <c r="N733" s="34">
        <f t="shared" si="109"/>
        <v>0</v>
      </c>
      <c r="O733" s="64" t="str">
        <f t="shared" si="110"/>
        <v xml:space="preserve"> </v>
      </c>
      <c r="Q733" s="97">
        <f t="shared" si="111"/>
        <v>0</v>
      </c>
      <c r="R733" s="96">
        <f t="shared" si="112"/>
        <v>0</v>
      </c>
      <c r="T733" s="67" t="str">
        <f>IF($B733&lt;&gt;"",INDEX(DataOB[],FirstRow+ROW()-7,MATCH(T$6,DataOB[#Headers],0)),"")</f>
        <v/>
      </c>
      <c r="U733" s="67" t="str">
        <f>IF($B733&lt;&gt;"",INDEX(DataOB[],FirstRow+ROW()-7,MATCH(U$6,DataOB[#Headers],0)),"")</f>
        <v/>
      </c>
      <c r="V733" s="67" t="str">
        <f>IF($B733&lt;&gt;"",INDEX(DataOB[],FirstRow+ROW()-7,MATCH(V$6,DataOB[#Headers],0)),"")</f>
        <v/>
      </c>
      <c r="W733" s="67" t="str">
        <f>IF($B733&lt;&gt;"",INDEX(DataOB[],FirstRow+ROW()-7,MATCH(W$6,DataOB[#Headers],0)),"")</f>
        <v/>
      </c>
      <c r="X733" s="67" t="str">
        <f>IF($B733&lt;&gt;"",INDEX(DataOB[],FirstRow+ROW()-7,MATCH(X$6,DataOB[#Headers],0)),"")</f>
        <v/>
      </c>
      <c r="Y733" s="67" t="str">
        <f>IF($B733&lt;&gt;"",INDEX(DataOB[],FirstRow+ROW()-7,MATCH(Y$6,DataOB[#Headers],0)),"")</f>
        <v/>
      </c>
      <c r="Z733" s="67" t="str">
        <f>IF($B733&lt;&gt;"",INDEX(DataOB[],FirstRow+ROW()-7,MATCH(Z$6,DataOB[#Headers],0)),"")</f>
        <v/>
      </c>
      <c r="AA733" s="67" t="str">
        <f>IF($B733&lt;&gt;"",INDEX(DataOB[],FirstRow+ROW()-7,MATCH(AA$6,DataOB[#Headers],0)),"")</f>
        <v/>
      </c>
      <c r="AB733" s="67" t="str">
        <f>IF($B733&lt;&gt;"",INDEX(DataOB[],FirstRow+ROW()-7,MATCH(AB$6,DataOB[#Headers],0)),"")</f>
        <v/>
      </c>
      <c r="AC733" s="67" t="str">
        <f>IF($B733&lt;&gt;"",INDEX(DataOB[],FirstRow+ROW()-7,MATCH(AC$6,DataOB[#Headers],0)),"")</f>
        <v/>
      </c>
      <c r="AD733" s="67" t="str">
        <f>IF($B733&lt;&gt;"",INDEX(DataOB[],FirstRow+ROW()-7,MATCH(AD$6,DataOB[#Headers],0)),"")</f>
        <v/>
      </c>
      <c r="AE733" s="67" t="str">
        <f>IF($B733&lt;&gt;"",INDEX(DataOB[],FirstRow+ROW()-7,MATCH(AE$6,DataOB[#Headers],0)),"")</f>
        <v/>
      </c>
      <c r="AF733" s="26">
        <f t="shared" si="113"/>
        <v>0</v>
      </c>
      <c r="AG733" s="31">
        <f>SUM($T733:T733)</f>
        <v>0</v>
      </c>
      <c r="AH733" s="31">
        <f>SUM($T733:U733)</f>
        <v>0</v>
      </c>
      <c r="AI733" s="31">
        <f>SUM($T733:V733)</f>
        <v>0</v>
      </c>
      <c r="AJ733" s="31">
        <f>SUM($T733:W733)</f>
        <v>0</v>
      </c>
      <c r="AK733" s="31">
        <f>SUM($T733:X733)</f>
        <v>0</v>
      </c>
      <c r="AL733" s="31">
        <f>SUM($T733:Y733)</f>
        <v>0</v>
      </c>
      <c r="AM733" s="31">
        <f>SUM($T733:Z733)</f>
        <v>0</v>
      </c>
      <c r="AN733" s="31">
        <f>SUM($T733:AA733)</f>
        <v>0</v>
      </c>
      <c r="AO733" s="31">
        <f>SUM($T733:AB733)</f>
        <v>0</v>
      </c>
      <c r="AP733" s="31">
        <f>SUM($T733:AC733)</f>
        <v>0</v>
      </c>
      <c r="AQ733" s="31">
        <f>SUM($T733:AD733)</f>
        <v>0</v>
      </c>
      <c r="AR733" s="31">
        <f>SUM($T733:AE733)</f>
        <v>0</v>
      </c>
      <c r="AS733" s="27">
        <f t="shared" si="114"/>
        <v>0</v>
      </c>
    </row>
    <row r="734" spans="2:45">
      <c r="B734" s="102" t="str">
        <f>IF(ROW()-6&gt;NumCostCenter,"",IF(CostCenter&lt;&gt;"ALL",CostCenter,DATA_LF2!B732))</f>
        <v/>
      </c>
      <c r="C734" s="153" t="str">
        <f>IF($B734&lt;&gt;"",INDEX(DataOB[],FirstRow+ROW()-7,2),"")</f>
        <v/>
      </c>
      <c r="D734" s="66" t="str">
        <f>IF($B734&lt;&gt;"",INDEX(DataOB[],FirstRow+ROW()-7,3),"")</f>
        <v/>
      </c>
      <c r="E734" s="103" t="str">
        <f>IF($B734&lt;&gt;"",INDEX(DataOB[],FirstRow+ROW()-7,6),"")</f>
        <v/>
      </c>
      <c r="F734" s="103" t="str">
        <f>IF($B734&lt;&gt;"",INDEX(DataOB[],FirstRow+ROW()-7,5),"")</f>
        <v/>
      </c>
      <c r="G734" s="58">
        <f>IF($B734&lt;&gt;"",SUMIFS(DataAct_tbl[AMOUNT],DataAct_tbl[BG CODE],Detail!$D734,DataAct_tbl[MONTH],LEFT(MonthName,3),DataAct_tbl[Dept code],$B734),0)</f>
        <v>0</v>
      </c>
      <c r="H734" s="31" t="str">
        <f t="shared" si="106"/>
        <v/>
      </c>
      <c r="I734" s="28" t="str">
        <f t="shared" si="107"/>
        <v/>
      </c>
      <c r="J734" s="32" t="str">
        <f t="shared" si="108"/>
        <v/>
      </c>
      <c r="K734" s="86"/>
      <c r="L734" s="62">
        <f>IF($B734&lt;&gt;"",SUMIFS(DataAct_tbl[AMOUNT],DataAct_tbl[BG CODE],Detail!$D734,DataAct_tbl[Check Range],"=true",DataAct_tbl[Dept code],$B734),0)</f>
        <v>0</v>
      </c>
      <c r="M734" s="63">
        <f>INDEX($AG$7:$AR$1005,ROW()-6,MATCH(MTD,$AG$6:$AR$6,0))</f>
        <v>0</v>
      </c>
      <c r="N734" s="34">
        <f t="shared" si="109"/>
        <v>0</v>
      </c>
      <c r="O734" s="64" t="str">
        <f t="shared" si="110"/>
        <v xml:space="preserve"> </v>
      </c>
      <c r="Q734" s="97">
        <f t="shared" si="111"/>
        <v>0</v>
      </c>
      <c r="R734" s="96">
        <f t="shared" si="112"/>
        <v>0</v>
      </c>
      <c r="T734" s="67" t="str">
        <f>IF($B734&lt;&gt;"",INDEX(DataOB[],FirstRow+ROW()-7,MATCH(T$6,DataOB[#Headers],0)),"")</f>
        <v/>
      </c>
      <c r="U734" s="67" t="str">
        <f>IF($B734&lt;&gt;"",INDEX(DataOB[],FirstRow+ROW()-7,MATCH(U$6,DataOB[#Headers],0)),"")</f>
        <v/>
      </c>
      <c r="V734" s="67" t="str">
        <f>IF($B734&lt;&gt;"",INDEX(DataOB[],FirstRow+ROW()-7,MATCH(V$6,DataOB[#Headers],0)),"")</f>
        <v/>
      </c>
      <c r="W734" s="67" t="str">
        <f>IF($B734&lt;&gt;"",INDEX(DataOB[],FirstRow+ROW()-7,MATCH(W$6,DataOB[#Headers],0)),"")</f>
        <v/>
      </c>
      <c r="X734" s="67" t="str">
        <f>IF($B734&lt;&gt;"",INDEX(DataOB[],FirstRow+ROW()-7,MATCH(X$6,DataOB[#Headers],0)),"")</f>
        <v/>
      </c>
      <c r="Y734" s="67" t="str">
        <f>IF($B734&lt;&gt;"",INDEX(DataOB[],FirstRow+ROW()-7,MATCH(Y$6,DataOB[#Headers],0)),"")</f>
        <v/>
      </c>
      <c r="Z734" s="67" t="str">
        <f>IF($B734&lt;&gt;"",INDEX(DataOB[],FirstRow+ROW()-7,MATCH(Z$6,DataOB[#Headers],0)),"")</f>
        <v/>
      </c>
      <c r="AA734" s="67" t="str">
        <f>IF($B734&lt;&gt;"",INDEX(DataOB[],FirstRow+ROW()-7,MATCH(AA$6,DataOB[#Headers],0)),"")</f>
        <v/>
      </c>
      <c r="AB734" s="67" t="str">
        <f>IF($B734&lt;&gt;"",INDEX(DataOB[],FirstRow+ROW()-7,MATCH(AB$6,DataOB[#Headers],0)),"")</f>
        <v/>
      </c>
      <c r="AC734" s="67" t="str">
        <f>IF($B734&lt;&gt;"",INDEX(DataOB[],FirstRow+ROW()-7,MATCH(AC$6,DataOB[#Headers],0)),"")</f>
        <v/>
      </c>
      <c r="AD734" s="67" t="str">
        <f>IF($B734&lt;&gt;"",INDEX(DataOB[],FirstRow+ROW()-7,MATCH(AD$6,DataOB[#Headers],0)),"")</f>
        <v/>
      </c>
      <c r="AE734" s="67" t="str">
        <f>IF($B734&lt;&gt;"",INDEX(DataOB[],FirstRow+ROW()-7,MATCH(AE$6,DataOB[#Headers],0)),"")</f>
        <v/>
      </c>
      <c r="AF734" s="26">
        <f t="shared" si="113"/>
        <v>0</v>
      </c>
      <c r="AG734" s="31">
        <f>SUM($T734:T734)</f>
        <v>0</v>
      </c>
      <c r="AH734" s="31">
        <f>SUM($T734:U734)</f>
        <v>0</v>
      </c>
      <c r="AI734" s="31">
        <f>SUM($T734:V734)</f>
        <v>0</v>
      </c>
      <c r="AJ734" s="31">
        <f>SUM($T734:W734)</f>
        <v>0</v>
      </c>
      <c r="AK734" s="31">
        <f>SUM($T734:X734)</f>
        <v>0</v>
      </c>
      <c r="AL734" s="31">
        <f>SUM($T734:Y734)</f>
        <v>0</v>
      </c>
      <c r="AM734" s="31">
        <f>SUM($T734:Z734)</f>
        <v>0</v>
      </c>
      <c r="AN734" s="31">
        <f>SUM($T734:AA734)</f>
        <v>0</v>
      </c>
      <c r="AO734" s="31">
        <f>SUM($T734:AB734)</f>
        <v>0</v>
      </c>
      <c r="AP734" s="31">
        <f>SUM($T734:AC734)</f>
        <v>0</v>
      </c>
      <c r="AQ734" s="31">
        <f>SUM($T734:AD734)</f>
        <v>0</v>
      </c>
      <c r="AR734" s="31">
        <f>SUM($T734:AE734)</f>
        <v>0</v>
      </c>
      <c r="AS734" s="27">
        <f t="shared" si="114"/>
        <v>0</v>
      </c>
    </row>
    <row r="735" spans="2:45">
      <c r="B735" s="102" t="str">
        <f>IF(ROW()-6&gt;NumCostCenter,"",IF(CostCenter&lt;&gt;"ALL",CostCenter,DATA_LF2!B733))</f>
        <v/>
      </c>
      <c r="C735" s="153" t="str">
        <f>IF($B735&lt;&gt;"",INDEX(DataOB[],FirstRow+ROW()-7,2),"")</f>
        <v/>
      </c>
      <c r="D735" s="66" t="str">
        <f>IF($B735&lt;&gt;"",INDEX(DataOB[],FirstRow+ROW()-7,3),"")</f>
        <v/>
      </c>
      <c r="E735" s="103" t="str">
        <f>IF($B735&lt;&gt;"",INDEX(DataOB[],FirstRow+ROW()-7,6),"")</f>
        <v/>
      </c>
      <c r="F735" s="103" t="str">
        <f>IF($B735&lt;&gt;"",INDEX(DataOB[],FirstRow+ROW()-7,5),"")</f>
        <v/>
      </c>
      <c r="G735" s="58">
        <f>IF($B735&lt;&gt;"",SUMIFS(DataAct_tbl[AMOUNT],DataAct_tbl[BG CODE],Detail!$D735,DataAct_tbl[MONTH],LEFT(MonthName,3),DataAct_tbl[Dept code],$B735),0)</f>
        <v>0</v>
      </c>
      <c r="H735" s="31" t="str">
        <f t="shared" si="106"/>
        <v/>
      </c>
      <c r="I735" s="28" t="str">
        <f t="shared" si="107"/>
        <v/>
      </c>
      <c r="J735" s="32" t="str">
        <f t="shared" si="108"/>
        <v/>
      </c>
      <c r="K735" s="86"/>
      <c r="L735" s="62">
        <f>IF($B735&lt;&gt;"",SUMIFS(DataAct_tbl[AMOUNT],DataAct_tbl[BG CODE],Detail!$D735,DataAct_tbl[Check Range],"=true",DataAct_tbl[Dept code],$B735),0)</f>
        <v>0</v>
      </c>
      <c r="M735" s="63">
        <f>INDEX($AG$7:$AR$1005,ROW()-6,MATCH(MTD,$AG$6:$AR$6,0))</f>
        <v>0</v>
      </c>
      <c r="N735" s="34">
        <f t="shared" si="109"/>
        <v>0</v>
      </c>
      <c r="O735" s="64" t="str">
        <f t="shared" si="110"/>
        <v xml:space="preserve"> </v>
      </c>
      <c r="Q735" s="97">
        <f t="shared" si="111"/>
        <v>0</v>
      </c>
      <c r="R735" s="96">
        <f t="shared" si="112"/>
        <v>0</v>
      </c>
      <c r="T735" s="67" t="str">
        <f>IF($B735&lt;&gt;"",INDEX(DataOB[],FirstRow+ROW()-7,MATCH(T$6,DataOB[#Headers],0)),"")</f>
        <v/>
      </c>
      <c r="U735" s="67" t="str">
        <f>IF($B735&lt;&gt;"",INDEX(DataOB[],FirstRow+ROW()-7,MATCH(U$6,DataOB[#Headers],0)),"")</f>
        <v/>
      </c>
      <c r="V735" s="67" t="str">
        <f>IF($B735&lt;&gt;"",INDEX(DataOB[],FirstRow+ROW()-7,MATCH(V$6,DataOB[#Headers],0)),"")</f>
        <v/>
      </c>
      <c r="W735" s="67" t="str">
        <f>IF($B735&lt;&gt;"",INDEX(DataOB[],FirstRow+ROW()-7,MATCH(W$6,DataOB[#Headers],0)),"")</f>
        <v/>
      </c>
      <c r="X735" s="67" t="str">
        <f>IF($B735&lt;&gt;"",INDEX(DataOB[],FirstRow+ROW()-7,MATCH(X$6,DataOB[#Headers],0)),"")</f>
        <v/>
      </c>
      <c r="Y735" s="67" t="str">
        <f>IF($B735&lt;&gt;"",INDEX(DataOB[],FirstRow+ROW()-7,MATCH(Y$6,DataOB[#Headers],0)),"")</f>
        <v/>
      </c>
      <c r="Z735" s="67" t="str">
        <f>IF($B735&lt;&gt;"",INDEX(DataOB[],FirstRow+ROW()-7,MATCH(Z$6,DataOB[#Headers],0)),"")</f>
        <v/>
      </c>
      <c r="AA735" s="67" t="str">
        <f>IF($B735&lt;&gt;"",INDEX(DataOB[],FirstRow+ROW()-7,MATCH(AA$6,DataOB[#Headers],0)),"")</f>
        <v/>
      </c>
      <c r="AB735" s="67" t="str">
        <f>IF($B735&lt;&gt;"",INDEX(DataOB[],FirstRow+ROW()-7,MATCH(AB$6,DataOB[#Headers],0)),"")</f>
        <v/>
      </c>
      <c r="AC735" s="67" t="str">
        <f>IF($B735&lt;&gt;"",INDEX(DataOB[],FirstRow+ROW()-7,MATCH(AC$6,DataOB[#Headers],0)),"")</f>
        <v/>
      </c>
      <c r="AD735" s="67" t="str">
        <f>IF($B735&lt;&gt;"",INDEX(DataOB[],FirstRow+ROW()-7,MATCH(AD$6,DataOB[#Headers],0)),"")</f>
        <v/>
      </c>
      <c r="AE735" s="67" t="str">
        <f>IF($B735&lt;&gt;"",INDEX(DataOB[],FirstRow+ROW()-7,MATCH(AE$6,DataOB[#Headers],0)),"")</f>
        <v/>
      </c>
      <c r="AF735" s="26">
        <f t="shared" si="113"/>
        <v>0</v>
      </c>
      <c r="AG735" s="31">
        <f>SUM($T735:T735)</f>
        <v>0</v>
      </c>
      <c r="AH735" s="31">
        <f>SUM($T735:U735)</f>
        <v>0</v>
      </c>
      <c r="AI735" s="31">
        <f>SUM($T735:V735)</f>
        <v>0</v>
      </c>
      <c r="AJ735" s="31">
        <f>SUM($T735:W735)</f>
        <v>0</v>
      </c>
      <c r="AK735" s="31">
        <f>SUM($T735:X735)</f>
        <v>0</v>
      </c>
      <c r="AL735" s="31">
        <f>SUM($T735:Y735)</f>
        <v>0</v>
      </c>
      <c r="AM735" s="31">
        <f>SUM($T735:Z735)</f>
        <v>0</v>
      </c>
      <c r="AN735" s="31">
        <f>SUM($T735:AA735)</f>
        <v>0</v>
      </c>
      <c r="AO735" s="31">
        <f>SUM($T735:AB735)</f>
        <v>0</v>
      </c>
      <c r="AP735" s="31">
        <f>SUM($T735:AC735)</f>
        <v>0</v>
      </c>
      <c r="AQ735" s="31">
        <f>SUM($T735:AD735)</f>
        <v>0</v>
      </c>
      <c r="AR735" s="31">
        <f>SUM($T735:AE735)</f>
        <v>0</v>
      </c>
      <c r="AS735" s="27">
        <f t="shared" si="114"/>
        <v>0</v>
      </c>
    </row>
    <row r="736" spans="2:45">
      <c r="B736" s="102" t="str">
        <f>IF(ROW()-6&gt;NumCostCenter,"",IF(CostCenter&lt;&gt;"ALL",CostCenter,DATA_LF2!B734))</f>
        <v/>
      </c>
      <c r="C736" s="153" t="str">
        <f>IF($B736&lt;&gt;"",INDEX(DataOB[],FirstRow+ROW()-7,2),"")</f>
        <v/>
      </c>
      <c r="D736" s="66" t="str">
        <f>IF($B736&lt;&gt;"",INDEX(DataOB[],FirstRow+ROW()-7,3),"")</f>
        <v/>
      </c>
      <c r="E736" s="103" t="str">
        <f>IF($B736&lt;&gt;"",INDEX(DataOB[],FirstRow+ROW()-7,6),"")</f>
        <v/>
      </c>
      <c r="F736" s="103" t="str">
        <f>IF($B736&lt;&gt;"",INDEX(DataOB[],FirstRow+ROW()-7,5),"")</f>
        <v/>
      </c>
      <c r="G736" s="58">
        <f>IF($B736&lt;&gt;"",SUMIFS(DataAct_tbl[AMOUNT],DataAct_tbl[BG CODE],Detail!$D736,DataAct_tbl[MONTH],LEFT(MonthName,3),DataAct_tbl[Dept code],$B736),0)</f>
        <v>0</v>
      </c>
      <c r="H736" s="31" t="str">
        <f t="shared" si="106"/>
        <v/>
      </c>
      <c r="I736" s="28" t="str">
        <f t="shared" si="107"/>
        <v/>
      </c>
      <c r="J736" s="32" t="str">
        <f t="shared" si="108"/>
        <v/>
      </c>
      <c r="K736" s="86"/>
      <c r="L736" s="62">
        <f>IF($B736&lt;&gt;"",SUMIFS(DataAct_tbl[AMOUNT],DataAct_tbl[BG CODE],Detail!$D736,DataAct_tbl[Check Range],"=true",DataAct_tbl[Dept code],$B736),0)</f>
        <v>0</v>
      </c>
      <c r="M736" s="63">
        <f>INDEX($AG$7:$AR$1005,ROW()-6,MATCH(MTD,$AG$6:$AR$6,0))</f>
        <v>0</v>
      </c>
      <c r="N736" s="34">
        <f t="shared" si="109"/>
        <v>0</v>
      </c>
      <c r="O736" s="64" t="str">
        <f t="shared" si="110"/>
        <v xml:space="preserve"> </v>
      </c>
      <c r="Q736" s="97">
        <f t="shared" si="111"/>
        <v>0</v>
      </c>
      <c r="R736" s="96">
        <f t="shared" si="112"/>
        <v>0</v>
      </c>
      <c r="T736" s="67" t="str">
        <f>IF($B736&lt;&gt;"",INDEX(DataOB[],FirstRow+ROW()-7,MATCH(T$6,DataOB[#Headers],0)),"")</f>
        <v/>
      </c>
      <c r="U736" s="67" t="str">
        <f>IF($B736&lt;&gt;"",INDEX(DataOB[],FirstRow+ROW()-7,MATCH(U$6,DataOB[#Headers],0)),"")</f>
        <v/>
      </c>
      <c r="V736" s="67" t="str">
        <f>IF($B736&lt;&gt;"",INDEX(DataOB[],FirstRow+ROW()-7,MATCH(V$6,DataOB[#Headers],0)),"")</f>
        <v/>
      </c>
      <c r="W736" s="67" t="str">
        <f>IF($B736&lt;&gt;"",INDEX(DataOB[],FirstRow+ROW()-7,MATCH(W$6,DataOB[#Headers],0)),"")</f>
        <v/>
      </c>
      <c r="X736" s="67" t="str">
        <f>IF($B736&lt;&gt;"",INDEX(DataOB[],FirstRow+ROW()-7,MATCH(X$6,DataOB[#Headers],0)),"")</f>
        <v/>
      </c>
      <c r="Y736" s="67" t="str">
        <f>IF($B736&lt;&gt;"",INDEX(DataOB[],FirstRow+ROW()-7,MATCH(Y$6,DataOB[#Headers],0)),"")</f>
        <v/>
      </c>
      <c r="Z736" s="67" t="str">
        <f>IF($B736&lt;&gt;"",INDEX(DataOB[],FirstRow+ROW()-7,MATCH(Z$6,DataOB[#Headers],0)),"")</f>
        <v/>
      </c>
      <c r="AA736" s="67" t="str">
        <f>IF($B736&lt;&gt;"",INDEX(DataOB[],FirstRow+ROW()-7,MATCH(AA$6,DataOB[#Headers],0)),"")</f>
        <v/>
      </c>
      <c r="AB736" s="67" t="str">
        <f>IF($B736&lt;&gt;"",INDEX(DataOB[],FirstRow+ROW()-7,MATCH(AB$6,DataOB[#Headers],0)),"")</f>
        <v/>
      </c>
      <c r="AC736" s="67" t="str">
        <f>IF($B736&lt;&gt;"",INDEX(DataOB[],FirstRow+ROW()-7,MATCH(AC$6,DataOB[#Headers],0)),"")</f>
        <v/>
      </c>
      <c r="AD736" s="67" t="str">
        <f>IF($B736&lt;&gt;"",INDEX(DataOB[],FirstRow+ROW()-7,MATCH(AD$6,DataOB[#Headers],0)),"")</f>
        <v/>
      </c>
      <c r="AE736" s="67" t="str">
        <f>IF($B736&lt;&gt;"",INDEX(DataOB[],FirstRow+ROW()-7,MATCH(AE$6,DataOB[#Headers],0)),"")</f>
        <v/>
      </c>
      <c r="AF736" s="26">
        <f t="shared" si="113"/>
        <v>0</v>
      </c>
      <c r="AG736" s="31">
        <f>SUM($T736:T736)</f>
        <v>0</v>
      </c>
      <c r="AH736" s="31">
        <f>SUM($T736:U736)</f>
        <v>0</v>
      </c>
      <c r="AI736" s="31">
        <f>SUM($T736:V736)</f>
        <v>0</v>
      </c>
      <c r="AJ736" s="31">
        <f>SUM($T736:W736)</f>
        <v>0</v>
      </c>
      <c r="AK736" s="31">
        <f>SUM($T736:X736)</f>
        <v>0</v>
      </c>
      <c r="AL736" s="31">
        <f>SUM($T736:Y736)</f>
        <v>0</v>
      </c>
      <c r="AM736" s="31">
        <f>SUM($T736:Z736)</f>
        <v>0</v>
      </c>
      <c r="AN736" s="31">
        <f>SUM($T736:AA736)</f>
        <v>0</v>
      </c>
      <c r="AO736" s="31">
        <f>SUM($T736:AB736)</f>
        <v>0</v>
      </c>
      <c r="AP736" s="31">
        <f>SUM($T736:AC736)</f>
        <v>0</v>
      </c>
      <c r="AQ736" s="31">
        <f>SUM($T736:AD736)</f>
        <v>0</v>
      </c>
      <c r="AR736" s="31">
        <f>SUM($T736:AE736)</f>
        <v>0</v>
      </c>
      <c r="AS736" s="27">
        <f t="shared" si="114"/>
        <v>0</v>
      </c>
    </row>
    <row r="737" spans="2:45">
      <c r="B737" s="102" t="str">
        <f>IF(ROW()-6&gt;NumCostCenter,"",IF(CostCenter&lt;&gt;"ALL",CostCenter,DATA_LF2!B735))</f>
        <v/>
      </c>
      <c r="C737" s="153" t="str">
        <f>IF($B737&lt;&gt;"",INDEX(DataOB[],FirstRow+ROW()-7,2),"")</f>
        <v/>
      </c>
      <c r="D737" s="66" t="str">
        <f>IF($B737&lt;&gt;"",INDEX(DataOB[],FirstRow+ROW()-7,3),"")</f>
        <v/>
      </c>
      <c r="E737" s="103" t="str">
        <f>IF($B737&lt;&gt;"",INDEX(DataOB[],FirstRow+ROW()-7,6),"")</f>
        <v/>
      </c>
      <c r="F737" s="103" t="str">
        <f>IF($B737&lt;&gt;"",INDEX(DataOB[],FirstRow+ROW()-7,5),"")</f>
        <v/>
      </c>
      <c r="G737" s="58">
        <f>IF($B737&lt;&gt;"",SUMIFS(DataAct_tbl[AMOUNT],DataAct_tbl[BG CODE],Detail!$D737,DataAct_tbl[MONTH],LEFT(MonthName,3),DataAct_tbl[Dept code],$B737),0)</f>
        <v>0</v>
      </c>
      <c r="H737" s="31" t="str">
        <f t="shared" si="106"/>
        <v/>
      </c>
      <c r="I737" s="28" t="str">
        <f t="shared" si="107"/>
        <v/>
      </c>
      <c r="J737" s="32" t="str">
        <f t="shared" si="108"/>
        <v/>
      </c>
      <c r="K737" s="86"/>
      <c r="L737" s="62">
        <f>IF($B737&lt;&gt;"",SUMIFS(DataAct_tbl[AMOUNT],DataAct_tbl[BG CODE],Detail!$D737,DataAct_tbl[Check Range],"=true",DataAct_tbl[Dept code],$B737),0)</f>
        <v>0</v>
      </c>
      <c r="M737" s="63">
        <f>INDEX($AG$7:$AR$1005,ROW()-6,MATCH(MTD,$AG$6:$AR$6,0))</f>
        <v>0</v>
      </c>
      <c r="N737" s="34">
        <f t="shared" si="109"/>
        <v>0</v>
      </c>
      <c r="O737" s="64" t="str">
        <f t="shared" si="110"/>
        <v xml:space="preserve"> </v>
      </c>
      <c r="Q737" s="97">
        <f t="shared" si="111"/>
        <v>0</v>
      </c>
      <c r="R737" s="96">
        <f t="shared" si="112"/>
        <v>0</v>
      </c>
      <c r="T737" s="67" t="str">
        <f>IF($B737&lt;&gt;"",INDEX(DataOB[],FirstRow+ROW()-7,MATCH(T$6,DataOB[#Headers],0)),"")</f>
        <v/>
      </c>
      <c r="U737" s="67" t="str">
        <f>IF($B737&lt;&gt;"",INDEX(DataOB[],FirstRow+ROW()-7,MATCH(U$6,DataOB[#Headers],0)),"")</f>
        <v/>
      </c>
      <c r="V737" s="67" t="str">
        <f>IF($B737&lt;&gt;"",INDEX(DataOB[],FirstRow+ROW()-7,MATCH(V$6,DataOB[#Headers],0)),"")</f>
        <v/>
      </c>
      <c r="W737" s="67" t="str">
        <f>IF($B737&lt;&gt;"",INDEX(DataOB[],FirstRow+ROW()-7,MATCH(W$6,DataOB[#Headers],0)),"")</f>
        <v/>
      </c>
      <c r="X737" s="67" t="str">
        <f>IF($B737&lt;&gt;"",INDEX(DataOB[],FirstRow+ROW()-7,MATCH(X$6,DataOB[#Headers],0)),"")</f>
        <v/>
      </c>
      <c r="Y737" s="67" t="str">
        <f>IF($B737&lt;&gt;"",INDEX(DataOB[],FirstRow+ROW()-7,MATCH(Y$6,DataOB[#Headers],0)),"")</f>
        <v/>
      </c>
      <c r="Z737" s="67" t="str">
        <f>IF($B737&lt;&gt;"",INDEX(DataOB[],FirstRow+ROW()-7,MATCH(Z$6,DataOB[#Headers],0)),"")</f>
        <v/>
      </c>
      <c r="AA737" s="67" t="str">
        <f>IF($B737&lt;&gt;"",INDEX(DataOB[],FirstRow+ROW()-7,MATCH(AA$6,DataOB[#Headers],0)),"")</f>
        <v/>
      </c>
      <c r="AB737" s="67" t="str">
        <f>IF($B737&lt;&gt;"",INDEX(DataOB[],FirstRow+ROW()-7,MATCH(AB$6,DataOB[#Headers],0)),"")</f>
        <v/>
      </c>
      <c r="AC737" s="67" t="str">
        <f>IF($B737&lt;&gt;"",INDEX(DataOB[],FirstRow+ROW()-7,MATCH(AC$6,DataOB[#Headers],0)),"")</f>
        <v/>
      </c>
      <c r="AD737" s="67" t="str">
        <f>IF($B737&lt;&gt;"",INDEX(DataOB[],FirstRow+ROW()-7,MATCH(AD$6,DataOB[#Headers],0)),"")</f>
        <v/>
      </c>
      <c r="AE737" s="67" t="str">
        <f>IF($B737&lt;&gt;"",INDEX(DataOB[],FirstRow+ROW()-7,MATCH(AE$6,DataOB[#Headers],0)),"")</f>
        <v/>
      </c>
      <c r="AF737" s="26">
        <f t="shared" si="113"/>
        <v>0</v>
      </c>
      <c r="AG737" s="31">
        <f>SUM($T737:T737)</f>
        <v>0</v>
      </c>
      <c r="AH737" s="31">
        <f>SUM($T737:U737)</f>
        <v>0</v>
      </c>
      <c r="AI737" s="31">
        <f>SUM($T737:V737)</f>
        <v>0</v>
      </c>
      <c r="AJ737" s="31">
        <f>SUM($T737:W737)</f>
        <v>0</v>
      </c>
      <c r="AK737" s="31">
        <f>SUM($T737:X737)</f>
        <v>0</v>
      </c>
      <c r="AL737" s="31">
        <f>SUM($T737:Y737)</f>
        <v>0</v>
      </c>
      <c r="AM737" s="31">
        <f>SUM($T737:Z737)</f>
        <v>0</v>
      </c>
      <c r="AN737" s="31">
        <f>SUM($T737:AA737)</f>
        <v>0</v>
      </c>
      <c r="AO737" s="31">
        <f>SUM($T737:AB737)</f>
        <v>0</v>
      </c>
      <c r="AP737" s="31">
        <f>SUM($T737:AC737)</f>
        <v>0</v>
      </c>
      <c r="AQ737" s="31">
        <f>SUM($T737:AD737)</f>
        <v>0</v>
      </c>
      <c r="AR737" s="31">
        <f>SUM($T737:AE737)</f>
        <v>0</v>
      </c>
      <c r="AS737" s="27">
        <f t="shared" si="114"/>
        <v>0</v>
      </c>
    </row>
    <row r="738" spans="2:45">
      <c r="B738" s="102" t="str">
        <f>IF(ROW()-6&gt;NumCostCenter,"",IF(CostCenter&lt;&gt;"ALL",CostCenter,DATA_LF2!B736))</f>
        <v/>
      </c>
      <c r="C738" s="153" t="str">
        <f>IF($B738&lt;&gt;"",INDEX(DataOB[],FirstRow+ROW()-7,2),"")</f>
        <v/>
      </c>
      <c r="D738" s="66" t="str">
        <f>IF($B738&lt;&gt;"",INDEX(DataOB[],FirstRow+ROW()-7,3),"")</f>
        <v/>
      </c>
      <c r="E738" s="103" t="str">
        <f>IF($B738&lt;&gt;"",INDEX(DataOB[],FirstRow+ROW()-7,6),"")</f>
        <v/>
      </c>
      <c r="F738" s="103" t="str">
        <f>IF($B738&lt;&gt;"",INDEX(DataOB[],FirstRow+ROW()-7,5),"")</f>
        <v/>
      </c>
      <c r="G738" s="58">
        <f>IF($B738&lt;&gt;"",SUMIFS(DataAct_tbl[AMOUNT],DataAct_tbl[BG CODE],Detail!$D738,DataAct_tbl[MONTH],LEFT(MonthName,3),DataAct_tbl[Dept code],$B738),0)</f>
        <v>0</v>
      </c>
      <c r="H738" s="31" t="str">
        <f t="shared" si="106"/>
        <v/>
      </c>
      <c r="I738" s="28" t="str">
        <f t="shared" si="107"/>
        <v/>
      </c>
      <c r="J738" s="32" t="str">
        <f t="shared" si="108"/>
        <v/>
      </c>
      <c r="K738" s="86"/>
      <c r="L738" s="62">
        <f>IF($B738&lt;&gt;"",SUMIFS(DataAct_tbl[AMOUNT],DataAct_tbl[BG CODE],Detail!$D738,DataAct_tbl[Check Range],"=true",DataAct_tbl[Dept code],$B738),0)</f>
        <v>0</v>
      </c>
      <c r="M738" s="63">
        <f>INDEX($AG$7:$AR$1005,ROW()-6,MATCH(MTD,$AG$6:$AR$6,0))</f>
        <v>0</v>
      </c>
      <c r="N738" s="34">
        <f t="shared" si="109"/>
        <v>0</v>
      </c>
      <c r="O738" s="64" t="str">
        <f t="shared" si="110"/>
        <v xml:space="preserve"> </v>
      </c>
      <c r="Q738" s="97">
        <f t="shared" si="111"/>
        <v>0</v>
      </c>
      <c r="R738" s="96">
        <f t="shared" si="112"/>
        <v>0</v>
      </c>
      <c r="T738" s="67" t="str">
        <f>IF($B738&lt;&gt;"",INDEX(DataOB[],FirstRow+ROW()-7,MATCH(T$6,DataOB[#Headers],0)),"")</f>
        <v/>
      </c>
      <c r="U738" s="67" t="str">
        <f>IF($B738&lt;&gt;"",INDEX(DataOB[],FirstRow+ROW()-7,MATCH(U$6,DataOB[#Headers],0)),"")</f>
        <v/>
      </c>
      <c r="V738" s="67" t="str">
        <f>IF($B738&lt;&gt;"",INDEX(DataOB[],FirstRow+ROW()-7,MATCH(V$6,DataOB[#Headers],0)),"")</f>
        <v/>
      </c>
      <c r="W738" s="67" t="str">
        <f>IF($B738&lt;&gt;"",INDEX(DataOB[],FirstRow+ROW()-7,MATCH(W$6,DataOB[#Headers],0)),"")</f>
        <v/>
      </c>
      <c r="X738" s="67" t="str">
        <f>IF($B738&lt;&gt;"",INDEX(DataOB[],FirstRow+ROW()-7,MATCH(X$6,DataOB[#Headers],0)),"")</f>
        <v/>
      </c>
      <c r="Y738" s="67" t="str">
        <f>IF($B738&lt;&gt;"",INDEX(DataOB[],FirstRow+ROW()-7,MATCH(Y$6,DataOB[#Headers],0)),"")</f>
        <v/>
      </c>
      <c r="Z738" s="67" t="str">
        <f>IF($B738&lt;&gt;"",INDEX(DataOB[],FirstRow+ROW()-7,MATCH(Z$6,DataOB[#Headers],0)),"")</f>
        <v/>
      </c>
      <c r="AA738" s="67" t="str">
        <f>IF($B738&lt;&gt;"",INDEX(DataOB[],FirstRow+ROW()-7,MATCH(AA$6,DataOB[#Headers],0)),"")</f>
        <v/>
      </c>
      <c r="AB738" s="67" t="str">
        <f>IF($B738&lt;&gt;"",INDEX(DataOB[],FirstRow+ROW()-7,MATCH(AB$6,DataOB[#Headers],0)),"")</f>
        <v/>
      </c>
      <c r="AC738" s="67" t="str">
        <f>IF($B738&lt;&gt;"",INDEX(DataOB[],FirstRow+ROW()-7,MATCH(AC$6,DataOB[#Headers],0)),"")</f>
        <v/>
      </c>
      <c r="AD738" s="67" t="str">
        <f>IF($B738&lt;&gt;"",INDEX(DataOB[],FirstRow+ROW()-7,MATCH(AD$6,DataOB[#Headers],0)),"")</f>
        <v/>
      </c>
      <c r="AE738" s="67" t="str">
        <f>IF($B738&lt;&gt;"",INDEX(DataOB[],FirstRow+ROW()-7,MATCH(AE$6,DataOB[#Headers],0)),"")</f>
        <v/>
      </c>
      <c r="AF738" s="26">
        <f t="shared" si="113"/>
        <v>0</v>
      </c>
      <c r="AG738" s="31">
        <f>SUM($T738:T738)</f>
        <v>0</v>
      </c>
      <c r="AH738" s="31">
        <f>SUM($T738:U738)</f>
        <v>0</v>
      </c>
      <c r="AI738" s="31">
        <f>SUM($T738:V738)</f>
        <v>0</v>
      </c>
      <c r="AJ738" s="31">
        <f>SUM($T738:W738)</f>
        <v>0</v>
      </c>
      <c r="AK738" s="31">
        <f>SUM($T738:X738)</f>
        <v>0</v>
      </c>
      <c r="AL738" s="31">
        <f>SUM($T738:Y738)</f>
        <v>0</v>
      </c>
      <c r="AM738" s="31">
        <f>SUM($T738:Z738)</f>
        <v>0</v>
      </c>
      <c r="AN738" s="31">
        <f>SUM($T738:AA738)</f>
        <v>0</v>
      </c>
      <c r="AO738" s="31">
        <f>SUM($T738:AB738)</f>
        <v>0</v>
      </c>
      <c r="AP738" s="31">
        <f>SUM($T738:AC738)</f>
        <v>0</v>
      </c>
      <c r="AQ738" s="31">
        <f>SUM($T738:AD738)</f>
        <v>0</v>
      </c>
      <c r="AR738" s="31">
        <f>SUM($T738:AE738)</f>
        <v>0</v>
      </c>
      <c r="AS738" s="27">
        <f t="shared" si="114"/>
        <v>0</v>
      </c>
    </row>
    <row r="739" spans="2:45">
      <c r="B739" s="102" t="str">
        <f>IF(ROW()-6&gt;NumCostCenter,"",IF(CostCenter&lt;&gt;"ALL",CostCenter,DATA_LF2!B737))</f>
        <v/>
      </c>
      <c r="C739" s="153" t="str">
        <f>IF($B739&lt;&gt;"",INDEX(DataOB[],FirstRow+ROW()-7,2),"")</f>
        <v/>
      </c>
      <c r="D739" s="66" t="str">
        <f>IF($B739&lt;&gt;"",INDEX(DataOB[],FirstRow+ROW()-7,3),"")</f>
        <v/>
      </c>
      <c r="E739" s="103" t="str">
        <f>IF($B739&lt;&gt;"",INDEX(DataOB[],FirstRow+ROW()-7,6),"")</f>
        <v/>
      </c>
      <c r="F739" s="103" t="str">
        <f>IF($B739&lt;&gt;"",INDEX(DataOB[],FirstRow+ROW()-7,5),"")</f>
        <v/>
      </c>
      <c r="G739" s="58">
        <f>IF($B739&lt;&gt;"",SUMIFS(DataAct_tbl[AMOUNT],DataAct_tbl[BG CODE],Detail!$D739,DataAct_tbl[MONTH],LEFT(MonthName,3),DataAct_tbl[Dept code],$B739),0)</f>
        <v>0</v>
      </c>
      <c r="H739" s="31" t="str">
        <f t="shared" si="106"/>
        <v/>
      </c>
      <c r="I739" s="28" t="str">
        <f t="shared" si="107"/>
        <v/>
      </c>
      <c r="J739" s="32" t="str">
        <f t="shared" si="108"/>
        <v/>
      </c>
      <c r="K739" s="86"/>
      <c r="L739" s="62">
        <f>IF($B739&lt;&gt;"",SUMIFS(DataAct_tbl[AMOUNT],DataAct_tbl[BG CODE],Detail!$D739,DataAct_tbl[Check Range],"=true",DataAct_tbl[Dept code],$B739),0)</f>
        <v>0</v>
      </c>
      <c r="M739" s="63">
        <f>INDEX($AG$7:$AR$1005,ROW()-6,MATCH(MTD,$AG$6:$AR$6,0))</f>
        <v>0</v>
      </c>
      <c r="N739" s="34">
        <f t="shared" si="109"/>
        <v>0</v>
      </c>
      <c r="O739" s="64" t="str">
        <f t="shared" si="110"/>
        <v xml:space="preserve"> </v>
      </c>
      <c r="Q739" s="97">
        <f t="shared" si="111"/>
        <v>0</v>
      </c>
      <c r="R739" s="96">
        <f t="shared" si="112"/>
        <v>0</v>
      </c>
      <c r="T739" s="67" t="str">
        <f>IF($B739&lt;&gt;"",INDEX(DataOB[],FirstRow+ROW()-7,MATCH(T$6,DataOB[#Headers],0)),"")</f>
        <v/>
      </c>
      <c r="U739" s="67" t="str">
        <f>IF($B739&lt;&gt;"",INDEX(DataOB[],FirstRow+ROW()-7,MATCH(U$6,DataOB[#Headers],0)),"")</f>
        <v/>
      </c>
      <c r="V739" s="67" t="str">
        <f>IF($B739&lt;&gt;"",INDEX(DataOB[],FirstRow+ROW()-7,MATCH(V$6,DataOB[#Headers],0)),"")</f>
        <v/>
      </c>
      <c r="W739" s="67" t="str">
        <f>IF($B739&lt;&gt;"",INDEX(DataOB[],FirstRow+ROW()-7,MATCH(W$6,DataOB[#Headers],0)),"")</f>
        <v/>
      </c>
      <c r="X739" s="67" t="str">
        <f>IF($B739&lt;&gt;"",INDEX(DataOB[],FirstRow+ROW()-7,MATCH(X$6,DataOB[#Headers],0)),"")</f>
        <v/>
      </c>
      <c r="Y739" s="67" t="str">
        <f>IF($B739&lt;&gt;"",INDEX(DataOB[],FirstRow+ROW()-7,MATCH(Y$6,DataOB[#Headers],0)),"")</f>
        <v/>
      </c>
      <c r="Z739" s="67" t="str">
        <f>IF($B739&lt;&gt;"",INDEX(DataOB[],FirstRow+ROW()-7,MATCH(Z$6,DataOB[#Headers],0)),"")</f>
        <v/>
      </c>
      <c r="AA739" s="67" t="str">
        <f>IF($B739&lt;&gt;"",INDEX(DataOB[],FirstRow+ROW()-7,MATCH(AA$6,DataOB[#Headers],0)),"")</f>
        <v/>
      </c>
      <c r="AB739" s="67" t="str">
        <f>IF($B739&lt;&gt;"",INDEX(DataOB[],FirstRow+ROW()-7,MATCH(AB$6,DataOB[#Headers],0)),"")</f>
        <v/>
      </c>
      <c r="AC739" s="67" t="str">
        <f>IF($B739&lt;&gt;"",INDEX(DataOB[],FirstRow+ROW()-7,MATCH(AC$6,DataOB[#Headers],0)),"")</f>
        <v/>
      </c>
      <c r="AD739" s="67" t="str">
        <f>IF($B739&lt;&gt;"",INDEX(DataOB[],FirstRow+ROW()-7,MATCH(AD$6,DataOB[#Headers],0)),"")</f>
        <v/>
      </c>
      <c r="AE739" s="67" t="str">
        <f>IF($B739&lt;&gt;"",INDEX(DataOB[],FirstRow+ROW()-7,MATCH(AE$6,DataOB[#Headers],0)),"")</f>
        <v/>
      </c>
      <c r="AF739" s="26">
        <f t="shared" si="113"/>
        <v>0</v>
      </c>
      <c r="AG739" s="31">
        <f>SUM($T739:T739)</f>
        <v>0</v>
      </c>
      <c r="AH739" s="31">
        <f>SUM($T739:U739)</f>
        <v>0</v>
      </c>
      <c r="AI739" s="31">
        <f>SUM($T739:V739)</f>
        <v>0</v>
      </c>
      <c r="AJ739" s="31">
        <f>SUM($T739:W739)</f>
        <v>0</v>
      </c>
      <c r="AK739" s="31">
        <f>SUM($T739:X739)</f>
        <v>0</v>
      </c>
      <c r="AL739" s="31">
        <f>SUM($T739:Y739)</f>
        <v>0</v>
      </c>
      <c r="AM739" s="31">
        <f>SUM($T739:Z739)</f>
        <v>0</v>
      </c>
      <c r="AN739" s="31">
        <f>SUM($T739:AA739)</f>
        <v>0</v>
      </c>
      <c r="AO739" s="31">
        <f>SUM($T739:AB739)</f>
        <v>0</v>
      </c>
      <c r="AP739" s="31">
        <f>SUM($T739:AC739)</f>
        <v>0</v>
      </c>
      <c r="AQ739" s="31">
        <f>SUM($T739:AD739)</f>
        <v>0</v>
      </c>
      <c r="AR739" s="31">
        <f>SUM($T739:AE739)</f>
        <v>0</v>
      </c>
      <c r="AS739" s="27">
        <f t="shared" si="114"/>
        <v>0</v>
      </c>
    </row>
    <row r="740" spans="2:45">
      <c r="B740" s="102" t="str">
        <f>IF(ROW()-6&gt;NumCostCenter,"",IF(CostCenter&lt;&gt;"ALL",CostCenter,DATA_LF2!B738))</f>
        <v/>
      </c>
      <c r="C740" s="153" t="str">
        <f>IF($B740&lt;&gt;"",INDEX(DataOB[],FirstRow+ROW()-7,2),"")</f>
        <v/>
      </c>
      <c r="D740" s="66" t="str">
        <f>IF($B740&lt;&gt;"",INDEX(DataOB[],FirstRow+ROW()-7,3),"")</f>
        <v/>
      </c>
      <c r="E740" s="103" t="str">
        <f>IF($B740&lt;&gt;"",INDEX(DataOB[],FirstRow+ROW()-7,6),"")</f>
        <v/>
      </c>
      <c r="F740" s="103" t="str">
        <f>IF($B740&lt;&gt;"",INDEX(DataOB[],FirstRow+ROW()-7,5),"")</f>
        <v/>
      </c>
      <c r="G740" s="58">
        <f>IF($B740&lt;&gt;"",SUMIFS(DataAct_tbl[AMOUNT],DataAct_tbl[BG CODE],Detail!$D740,DataAct_tbl[MONTH],LEFT(MonthName,3),DataAct_tbl[Dept code],$B740),0)</f>
        <v>0</v>
      </c>
      <c r="H740" s="31" t="str">
        <f t="shared" si="106"/>
        <v/>
      </c>
      <c r="I740" s="28" t="str">
        <f t="shared" si="107"/>
        <v/>
      </c>
      <c r="J740" s="32" t="str">
        <f t="shared" si="108"/>
        <v/>
      </c>
      <c r="K740" s="86"/>
      <c r="L740" s="62">
        <f>IF($B740&lt;&gt;"",SUMIFS(DataAct_tbl[AMOUNT],DataAct_tbl[BG CODE],Detail!$D740,DataAct_tbl[Check Range],"=true",DataAct_tbl[Dept code],$B740),0)</f>
        <v>0</v>
      </c>
      <c r="M740" s="63">
        <f>INDEX($AG$7:$AR$1005,ROW()-6,MATCH(MTD,$AG$6:$AR$6,0))</f>
        <v>0</v>
      </c>
      <c r="N740" s="34">
        <f t="shared" si="109"/>
        <v>0</v>
      </c>
      <c r="O740" s="64" t="str">
        <f t="shared" si="110"/>
        <v xml:space="preserve"> </v>
      </c>
      <c r="Q740" s="97">
        <f t="shared" si="111"/>
        <v>0</v>
      </c>
      <c r="R740" s="96">
        <f t="shared" si="112"/>
        <v>0</v>
      </c>
      <c r="T740" s="67" t="str">
        <f>IF($B740&lt;&gt;"",INDEX(DataOB[],FirstRow+ROW()-7,MATCH(T$6,DataOB[#Headers],0)),"")</f>
        <v/>
      </c>
      <c r="U740" s="67" t="str">
        <f>IF($B740&lt;&gt;"",INDEX(DataOB[],FirstRow+ROW()-7,MATCH(U$6,DataOB[#Headers],0)),"")</f>
        <v/>
      </c>
      <c r="V740" s="67" t="str">
        <f>IF($B740&lt;&gt;"",INDEX(DataOB[],FirstRow+ROW()-7,MATCH(V$6,DataOB[#Headers],0)),"")</f>
        <v/>
      </c>
      <c r="W740" s="67" t="str">
        <f>IF($B740&lt;&gt;"",INDEX(DataOB[],FirstRow+ROW()-7,MATCH(W$6,DataOB[#Headers],0)),"")</f>
        <v/>
      </c>
      <c r="X740" s="67" t="str">
        <f>IF($B740&lt;&gt;"",INDEX(DataOB[],FirstRow+ROW()-7,MATCH(X$6,DataOB[#Headers],0)),"")</f>
        <v/>
      </c>
      <c r="Y740" s="67" t="str">
        <f>IF($B740&lt;&gt;"",INDEX(DataOB[],FirstRow+ROW()-7,MATCH(Y$6,DataOB[#Headers],0)),"")</f>
        <v/>
      </c>
      <c r="Z740" s="67" t="str">
        <f>IF($B740&lt;&gt;"",INDEX(DataOB[],FirstRow+ROW()-7,MATCH(Z$6,DataOB[#Headers],0)),"")</f>
        <v/>
      </c>
      <c r="AA740" s="67" t="str">
        <f>IF($B740&lt;&gt;"",INDEX(DataOB[],FirstRow+ROW()-7,MATCH(AA$6,DataOB[#Headers],0)),"")</f>
        <v/>
      </c>
      <c r="AB740" s="67" t="str">
        <f>IF($B740&lt;&gt;"",INDEX(DataOB[],FirstRow+ROW()-7,MATCH(AB$6,DataOB[#Headers],0)),"")</f>
        <v/>
      </c>
      <c r="AC740" s="67" t="str">
        <f>IF($B740&lt;&gt;"",INDEX(DataOB[],FirstRow+ROW()-7,MATCH(AC$6,DataOB[#Headers],0)),"")</f>
        <v/>
      </c>
      <c r="AD740" s="67" t="str">
        <f>IF($B740&lt;&gt;"",INDEX(DataOB[],FirstRow+ROW()-7,MATCH(AD$6,DataOB[#Headers],0)),"")</f>
        <v/>
      </c>
      <c r="AE740" s="67" t="str">
        <f>IF($B740&lt;&gt;"",INDEX(DataOB[],FirstRow+ROW()-7,MATCH(AE$6,DataOB[#Headers],0)),"")</f>
        <v/>
      </c>
      <c r="AF740" s="26">
        <f t="shared" si="113"/>
        <v>0</v>
      </c>
      <c r="AG740" s="31">
        <f>SUM($T740:T740)</f>
        <v>0</v>
      </c>
      <c r="AH740" s="31">
        <f>SUM($T740:U740)</f>
        <v>0</v>
      </c>
      <c r="AI740" s="31">
        <f>SUM($T740:V740)</f>
        <v>0</v>
      </c>
      <c r="AJ740" s="31">
        <f>SUM($T740:W740)</f>
        <v>0</v>
      </c>
      <c r="AK740" s="31">
        <f>SUM($T740:X740)</f>
        <v>0</v>
      </c>
      <c r="AL740" s="31">
        <f>SUM($T740:Y740)</f>
        <v>0</v>
      </c>
      <c r="AM740" s="31">
        <f>SUM($T740:Z740)</f>
        <v>0</v>
      </c>
      <c r="AN740" s="31">
        <f>SUM($T740:AA740)</f>
        <v>0</v>
      </c>
      <c r="AO740" s="31">
        <f>SUM($T740:AB740)</f>
        <v>0</v>
      </c>
      <c r="AP740" s="31">
        <f>SUM($T740:AC740)</f>
        <v>0</v>
      </c>
      <c r="AQ740" s="31">
        <f>SUM($T740:AD740)</f>
        <v>0</v>
      </c>
      <c r="AR740" s="31">
        <f>SUM($T740:AE740)</f>
        <v>0</v>
      </c>
      <c r="AS740" s="27">
        <f t="shared" si="114"/>
        <v>0</v>
      </c>
    </row>
    <row r="741" spans="2:45">
      <c r="B741" s="102" t="str">
        <f>IF(ROW()-6&gt;NumCostCenter,"",IF(CostCenter&lt;&gt;"ALL",CostCenter,DATA_LF2!B739))</f>
        <v/>
      </c>
      <c r="C741" s="153" t="str">
        <f>IF($B741&lt;&gt;"",INDEX(DataOB[],FirstRow+ROW()-7,2),"")</f>
        <v/>
      </c>
      <c r="D741" s="66" t="str">
        <f>IF($B741&lt;&gt;"",INDEX(DataOB[],FirstRow+ROW()-7,3),"")</f>
        <v/>
      </c>
      <c r="E741" s="103" t="str">
        <f>IF($B741&lt;&gt;"",INDEX(DataOB[],FirstRow+ROW()-7,6),"")</f>
        <v/>
      </c>
      <c r="F741" s="103" t="str">
        <f>IF($B741&lt;&gt;"",INDEX(DataOB[],FirstRow+ROW()-7,5),"")</f>
        <v/>
      </c>
      <c r="G741" s="58">
        <f>IF($B741&lt;&gt;"",SUMIFS(DataAct_tbl[AMOUNT],DataAct_tbl[BG CODE],Detail!$D741,DataAct_tbl[MONTH],LEFT(MonthName,3),DataAct_tbl[Dept code],$B741),0)</f>
        <v>0</v>
      </c>
      <c r="H741" s="31" t="str">
        <f t="shared" si="106"/>
        <v/>
      </c>
      <c r="I741" s="28" t="str">
        <f t="shared" si="107"/>
        <v/>
      </c>
      <c r="J741" s="32" t="str">
        <f t="shared" si="108"/>
        <v/>
      </c>
      <c r="K741" s="86"/>
      <c r="L741" s="62">
        <f>IF($B741&lt;&gt;"",SUMIFS(DataAct_tbl[AMOUNT],DataAct_tbl[BG CODE],Detail!$D741,DataAct_tbl[Check Range],"=true",DataAct_tbl[Dept code],$B741),0)</f>
        <v>0</v>
      </c>
      <c r="M741" s="63">
        <f>INDEX($AG$7:$AR$1005,ROW()-6,MATCH(MTD,$AG$6:$AR$6,0))</f>
        <v>0</v>
      </c>
      <c r="N741" s="34">
        <f t="shared" si="109"/>
        <v>0</v>
      </c>
      <c r="O741" s="64" t="str">
        <f t="shared" si="110"/>
        <v xml:space="preserve"> </v>
      </c>
      <c r="Q741" s="97">
        <f t="shared" si="111"/>
        <v>0</v>
      </c>
      <c r="R741" s="96">
        <f t="shared" si="112"/>
        <v>0</v>
      </c>
      <c r="T741" s="67" t="str">
        <f>IF($B741&lt;&gt;"",INDEX(DataOB[],FirstRow+ROW()-7,MATCH(T$6,DataOB[#Headers],0)),"")</f>
        <v/>
      </c>
      <c r="U741" s="67" t="str">
        <f>IF($B741&lt;&gt;"",INDEX(DataOB[],FirstRow+ROW()-7,MATCH(U$6,DataOB[#Headers],0)),"")</f>
        <v/>
      </c>
      <c r="V741" s="67" t="str">
        <f>IF($B741&lt;&gt;"",INDEX(DataOB[],FirstRow+ROW()-7,MATCH(V$6,DataOB[#Headers],0)),"")</f>
        <v/>
      </c>
      <c r="W741" s="67" t="str">
        <f>IF($B741&lt;&gt;"",INDEX(DataOB[],FirstRow+ROW()-7,MATCH(W$6,DataOB[#Headers],0)),"")</f>
        <v/>
      </c>
      <c r="X741" s="67" t="str">
        <f>IF($B741&lt;&gt;"",INDEX(DataOB[],FirstRow+ROW()-7,MATCH(X$6,DataOB[#Headers],0)),"")</f>
        <v/>
      </c>
      <c r="Y741" s="67" t="str">
        <f>IF($B741&lt;&gt;"",INDEX(DataOB[],FirstRow+ROW()-7,MATCH(Y$6,DataOB[#Headers],0)),"")</f>
        <v/>
      </c>
      <c r="Z741" s="67" t="str">
        <f>IF($B741&lt;&gt;"",INDEX(DataOB[],FirstRow+ROW()-7,MATCH(Z$6,DataOB[#Headers],0)),"")</f>
        <v/>
      </c>
      <c r="AA741" s="67" t="str">
        <f>IF($B741&lt;&gt;"",INDEX(DataOB[],FirstRow+ROW()-7,MATCH(AA$6,DataOB[#Headers],0)),"")</f>
        <v/>
      </c>
      <c r="AB741" s="67" t="str">
        <f>IF($B741&lt;&gt;"",INDEX(DataOB[],FirstRow+ROW()-7,MATCH(AB$6,DataOB[#Headers],0)),"")</f>
        <v/>
      </c>
      <c r="AC741" s="67" t="str">
        <f>IF($B741&lt;&gt;"",INDEX(DataOB[],FirstRow+ROW()-7,MATCH(AC$6,DataOB[#Headers],0)),"")</f>
        <v/>
      </c>
      <c r="AD741" s="67" t="str">
        <f>IF($B741&lt;&gt;"",INDEX(DataOB[],FirstRow+ROW()-7,MATCH(AD$6,DataOB[#Headers],0)),"")</f>
        <v/>
      </c>
      <c r="AE741" s="67" t="str">
        <f>IF($B741&lt;&gt;"",INDEX(DataOB[],FirstRow+ROW()-7,MATCH(AE$6,DataOB[#Headers],0)),"")</f>
        <v/>
      </c>
      <c r="AF741" s="26">
        <f t="shared" si="113"/>
        <v>0</v>
      </c>
      <c r="AG741" s="31">
        <f>SUM($T741:T741)</f>
        <v>0</v>
      </c>
      <c r="AH741" s="31">
        <f>SUM($T741:U741)</f>
        <v>0</v>
      </c>
      <c r="AI741" s="31">
        <f>SUM($T741:V741)</f>
        <v>0</v>
      </c>
      <c r="AJ741" s="31">
        <f>SUM($T741:W741)</f>
        <v>0</v>
      </c>
      <c r="AK741" s="31">
        <f>SUM($T741:X741)</f>
        <v>0</v>
      </c>
      <c r="AL741" s="31">
        <f>SUM($T741:Y741)</f>
        <v>0</v>
      </c>
      <c r="AM741" s="31">
        <f>SUM($T741:Z741)</f>
        <v>0</v>
      </c>
      <c r="AN741" s="31">
        <f>SUM($T741:AA741)</f>
        <v>0</v>
      </c>
      <c r="AO741" s="31">
        <f>SUM($T741:AB741)</f>
        <v>0</v>
      </c>
      <c r="AP741" s="31">
        <f>SUM($T741:AC741)</f>
        <v>0</v>
      </c>
      <c r="AQ741" s="31">
        <f>SUM($T741:AD741)</f>
        <v>0</v>
      </c>
      <c r="AR741" s="31">
        <f>SUM($T741:AE741)</f>
        <v>0</v>
      </c>
      <c r="AS741" s="27">
        <f t="shared" si="114"/>
        <v>0</v>
      </c>
    </row>
    <row r="742" spans="2:45">
      <c r="B742" s="102" t="str">
        <f>IF(ROW()-6&gt;NumCostCenter,"",IF(CostCenter&lt;&gt;"ALL",CostCenter,DATA_LF2!B740))</f>
        <v/>
      </c>
      <c r="C742" s="153" t="str">
        <f>IF($B742&lt;&gt;"",INDEX(DataOB[],FirstRow+ROW()-7,2),"")</f>
        <v/>
      </c>
      <c r="D742" s="66" t="str">
        <f>IF($B742&lt;&gt;"",INDEX(DataOB[],FirstRow+ROW()-7,3),"")</f>
        <v/>
      </c>
      <c r="E742" s="103" t="str">
        <f>IF($B742&lt;&gt;"",INDEX(DataOB[],FirstRow+ROW()-7,6),"")</f>
        <v/>
      </c>
      <c r="F742" s="103" t="str">
        <f>IF($B742&lt;&gt;"",INDEX(DataOB[],FirstRow+ROW()-7,5),"")</f>
        <v/>
      </c>
      <c r="G742" s="58">
        <f>IF($B742&lt;&gt;"",SUMIFS(DataAct_tbl[AMOUNT],DataAct_tbl[BG CODE],Detail!$D742,DataAct_tbl[MONTH],LEFT(MonthName,3),DataAct_tbl[Dept code],$B742),0)</f>
        <v>0</v>
      </c>
      <c r="H742" s="31" t="str">
        <f t="shared" si="106"/>
        <v/>
      </c>
      <c r="I742" s="28" t="str">
        <f t="shared" si="107"/>
        <v/>
      </c>
      <c r="J742" s="32" t="str">
        <f t="shared" si="108"/>
        <v/>
      </c>
      <c r="K742" s="86"/>
      <c r="L742" s="62">
        <f>IF($B742&lt;&gt;"",SUMIFS(DataAct_tbl[AMOUNT],DataAct_tbl[BG CODE],Detail!$D742,DataAct_tbl[Check Range],"=true",DataAct_tbl[Dept code],$B742),0)</f>
        <v>0</v>
      </c>
      <c r="M742" s="63">
        <f>INDEX($AG$7:$AR$1005,ROW()-6,MATCH(MTD,$AG$6:$AR$6,0))</f>
        <v>0</v>
      </c>
      <c r="N742" s="34">
        <f t="shared" si="109"/>
        <v>0</v>
      </c>
      <c r="O742" s="64" t="str">
        <f t="shared" si="110"/>
        <v xml:space="preserve"> </v>
      </c>
      <c r="Q742" s="97">
        <f t="shared" si="111"/>
        <v>0</v>
      </c>
      <c r="R742" s="96">
        <f t="shared" si="112"/>
        <v>0</v>
      </c>
      <c r="T742" s="67" t="str">
        <f>IF($B742&lt;&gt;"",INDEX(DataOB[],FirstRow+ROW()-7,MATCH(T$6,DataOB[#Headers],0)),"")</f>
        <v/>
      </c>
      <c r="U742" s="67" t="str">
        <f>IF($B742&lt;&gt;"",INDEX(DataOB[],FirstRow+ROW()-7,MATCH(U$6,DataOB[#Headers],0)),"")</f>
        <v/>
      </c>
      <c r="V742" s="67" t="str">
        <f>IF($B742&lt;&gt;"",INDEX(DataOB[],FirstRow+ROW()-7,MATCH(V$6,DataOB[#Headers],0)),"")</f>
        <v/>
      </c>
      <c r="W742" s="67" t="str">
        <f>IF($B742&lt;&gt;"",INDEX(DataOB[],FirstRow+ROW()-7,MATCH(W$6,DataOB[#Headers],0)),"")</f>
        <v/>
      </c>
      <c r="X742" s="67" t="str">
        <f>IF($B742&lt;&gt;"",INDEX(DataOB[],FirstRow+ROW()-7,MATCH(X$6,DataOB[#Headers],0)),"")</f>
        <v/>
      </c>
      <c r="Y742" s="67" t="str">
        <f>IF($B742&lt;&gt;"",INDEX(DataOB[],FirstRow+ROW()-7,MATCH(Y$6,DataOB[#Headers],0)),"")</f>
        <v/>
      </c>
      <c r="Z742" s="67" t="str">
        <f>IF($B742&lt;&gt;"",INDEX(DataOB[],FirstRow+ROW()-7,MATCH(Z$6,DataOB[#Headers],0)),"")</f>
        <v/>
      </c>
      <c r="AA742" s="67" t="str">
        <f>IF($B742&lt;&gt;"",INDEX(DataOB[],FirstRow+ROW()-7,MATCH(AA$6,DataOB[#Headers],0)),"")</f>
        <v/>
      </c>
      <c r="AB742" s="67" t="str">
        <f>IF($B742&lt;&gt;"",INDEX(DataOB[],FirstRow+ROW()-7,MATCH(AB$6,DataOB[#Headers],0)),"")</f>
        <v/>
      </c>
      <c r="AC742" s="67" t="str">
        <f>IF($B742&lt;&gt;"",INDEX(DataOB[],FirstRow+ROW()-7,MATCH(AC$6,DataOB[#Headers],0)),"")</f>
        <v/>
      </c>
      <c r="AD742" s="67" t="str">
        <f>IF($B742&lt;&gt;"",INDEX(DataOB[],FirstRow+ROW()-7,MATCH(AD$6,DataOB[#Headers],0)),"")</f>
        <v/>
      </c>
      <c r="AE742" s="67" t="str">
        <f>IF($B742&lt;&gt;"",INDEX(DataOB[],FirstRow+ROW()-7,MATCH(AE$6,DataOB[#Headers],0)),"")</f>
        <v/>
      </c>
      <c r="AF742" s="26">
        <f t="shared" si="113"/>
        <v>0</v>
      </c>
      <c r="AG742" s="31">
        <f>SUM($T742:T742)</f>
        <v>0</v>
      </c>
      <c r="AH742" s="31">
        <f>SUM($T742:U742)</f>
        <v>0</v>
      </c>
      <c r="AI742" s="31">
        <f>SUM($T742:V742)</f>
        <v>0</v>
      </c>
      <c r="AJ742" s="31">
        <f>SUM($T742:W742)</f>
        <v>0</v>
      </c>
      <c r="AK742" s="31">
        <f>SUM($T742:X742)</f>
        <v>0</v>
      </c>
      <c r="AL742" s="31">
        <f>SUM($T742:Y742)</f>
        <v>0</v>
      </c>
      <c r="AM742" s="31">
        <f>SUM($T742:Z742)</f>
        <v>0</v>
      </c>
      <c r="AN742" s="31">
        <f>SUM($T742:AA742)</f>
        <v>0</v>
      </c>
      <c r="AO742" s="31">
        <f>SUM($T742:AB742)</f>
        <v>0</v>
      </c>
      <c r="AP742" s="31">
        <f>SUM($T742:AC742)</f>
        <v>0</v>
      </c>
      <c r="AQ742" s="31">
        <f>SUM($T742:AD742)</f>
        <v>0</v>
      </c>
      <c r="AR742" s="31">
        <f>SUM($T742:AE742)</f>
        <v>0</v>
      </c>
      <c r="AS742" s="27">
        <f t="shared" si="114"/>
        <v>0</v>
      </c>
    </row>
    <row r="743" spans="2:45">
      <c r="B743" s="102" t="str">
        <f>IF(ROW()-6&gt;NumCostCenter,"",IF(CostCenter&lt;&gt;"ALL",CostCenter,DATA_LF2!B741))</f>
        <v/>
      </c>
      <c r="C743" s="153" t="str">
        <f>IF($B743&lt;&gt;"",INDEX(DataOB[],FirstRow+ROW()-7,2),"")</f>
        <v/>
      </c>
      <c r="D743" s="66" t="str">
        <f>IF($B743&lt;&gt;"",INDEX(DataOB[],FirstRow+ROW()-7,3),"")</f>
        <v/>
      </c>
      <c r="E743" s="103" t="str">
        <f>IF($B743&lt;&gt;"",INDEX(DataOB[],FirstRow+ROW()-7,6),"")</f>
        <v/>
      </c>
      <c r="F743" s="103" t="str">
        <f>IF($B743&lt;&gt;"",INDEX(DataOB[],FirstRow+ROW()-7,5),"")</f>
        <v/>
      </c>
      <c r="G743" s="58">
        <f>IF($B743&lt;&gt;"",SUMIFS(DataAct_tbl[AMOUNT],DataAct_tbl[BG CODE],Detail!$D743,DataAct_tbl[MONTH],LEFT(MonthName,3),DataAct_tbl[Dept code],$B743),0)</f>
        <v>0</v>
      </c>
      <c r="H743" s="31" t="str">
        <f t="shared" si="106"/>
        <v/>
      </c>
      <c r="I743" s="28" t="str">
        <f t="shared" si="107"/>
        <v/>
      </c>
      <c r="J743" s="32" t="str">
        <f t="shared" si="108"/>
        <v/>
      </c>
      <c r="K743" s="86"/>
      <c r="L743" s="62">
        <f>IF($B743&lt;&gt;"",SUMIFS(DataAct_tbl[AMOUNT],DataAct_tbl[BG CODE],Detail!$D743,DataAct_tbl[Check Range],"=true",DataAct_tbl[Dept code],$B743),0)</f>
        <v>0</v>
      </c>
      <c r="M743" s="63">
        <f>INDEX($AG$7:$AR$1005,ROW()-6,MATCH(MTD,$AG$6:$AR$6,0))</f>
        <v>0</v>
      </c>
      <c r="N743" s="34">
        <f t="shared" si="109"/>
        <v>0</v>
      </c>
      <c r="O743" s="64" t="str">
        <f t="shared" si="110"/>
        <v xml:space="preserve"> </v>
      </c>
      <c r="Q743" s="97">
        <f t="shared" si="111"/>
        <v>0</v>
      </c>
      <c r="R743" s="96">
        <f t="shared" si="112"/>
        <v>0</v>
      </c>
      <c r="T743" s="67" t="str">
        <f>IF($B743&lt;&gt;"",INDEX(DataOB[],FirstRow+ROW()-7,MATCH(T$6,DataOB[#Headers],0)),"")</f>
        <v/>
      </c>
      <c r="U743" s="67" t="str">
        <f>IF($B743&lt;&gt;"",INDEX(DataOB[],FirstRow+ROW()-7,MATCH(U$6,DataOB[#Headers],0)),"")</f>
        <v/>
      </c>
      <c r="V743" s="67" t="str">
        <f>IF($B743&lt;&gt;"",INDEX(DataOB[],FirstRow+ROW()-7,MATCH(V$6,DataOB[#Headers],0)),"")</f>
        <v/>
      </c>
      <c r="W743" s="67" t="str">
        <f>IF($B743&lt;&gt;"",INDEX(DataOB[],FirstRow+ROW()-7,MATCH(W$6,DataOB[#Headers],0)),"")</f>
        <v/>
      </c>
      <c r="X743" s="67" t="str">
        <f>IF($B743&lt;&gt;"",INDEX(DataOB[],FirstRow+ROW()-7,MATCH(X$6,DataOB[#Headers],0)),"")</f>
        <v/>
      </c>
      <c r="Y743" s="67" t="str">
        <f>IF($B743&lt;&gt;"",INDEX(DataOB[],FirstRow+ROW()-7,MATCH(Y$6,DataOB[#Headers],0)),"")</f>
        <v/>
      </c>
      <c r="Z743" s="67" t="str">
        <f>IF($B743&lt;&gt;"",INDEX(DataOB[],FirstRow+ROW()-7,MATCH(Z$6,DataOB[#Headers],0)),"")</f>
        <v/>
      </c>
      <c r="AA743" s="67" t="str">
        <f>IF($B743&lt;&gt;"",INDEX(DataOB[],FirstRow+ROW()-7,MATCH(AA$6,DataOB[#Headers],0)),"")</f>
        <v/>
      </c>
      <c r="AB743" s="67" t="str">
        <f>IF($B743&lt;&gt;"",INDEX(DataOB[],FirstRow+ROW()-7,MATCH(AB$6,DataOB[#Headers],0)),"")</f>
        <v/>
      </c>
      <c r="AC743" s="67" t="str">
        <f>IF($B743&lt;&gt;"",INDEX(DataOB[],FirstRow+ROW()-7,MATCH(AC$6,DataOB[#Headers],0)),"")</f>
        <v/>
      </c>
      <c r="AD743" s="67" t="str">
        <f>IF($B743&lt;&gt;"",INDEX(DataOB[],FirstRow+ROW()-7,MATCH(AD$6,DataOB[#Headers],0)),"")</f>
        <v/>
      </c>
      <c r="AE743" s="67" t="str">
        <f>IF($B743&lt;&gt;"",INDEX(DataOB[],FirstRow+ROW()-7,MATCH(AE$6,DataOB[#Headers],0)),"")</f>
        <v/>
      </c>
      <c r="AF743" s="26">
        <f t="shared" si="113"/>
        <v>0</v>
      </c>
      <c r="AG743" s="31">
        <f>SUM($T743:T743)</f>
        <v>0</v>
      </c>
      <c r="AH743" s="31">
        <f>SUM($T743:U743)</f>
        <v>0</v>
      </c>
      <c r="AI743" s="31">
        <f>SUM($T743:V743)</f>
        <v>0</v>
      </c>
      <c r="AJ743" s="31">
        <f>SUM($T743:W743)</f>
        <v>0</v>
      </c>
      <c r="AK743" s="31">
        <f>SUM($T743:X743)</f>
        <v>0</v>
      </c>
      <c r="AL743" s="31">
        <f>SUM($T743:Y743)</f>
        <v>0</v>
      </c>
      <c r="AM743" s="31">
        <f>SUM($T743:Z743)</f>
        <v>0</v>
      </c>
      <c r="AN743" s="31">
        <f>SUM($T743:AA743)</f>
        <v>0</v>
      </c>
      <c r="AO743" s="31">
        <f>SUM($T743:AB743)</f>
        <v>0</v>
      </c>
      <c r="AP743" s="31">
        <f>SUM($T743:AC743)</f>
        <v>0</v>
      </c>
      <c r="AQ743" s="31">
        <f>SUM($T743:AD743)</f>
        <v>0</v>
      </c>
      <c r="AR743" s="31">
        <f>SUM($T743:AE743)</f>
        <v>0</v>
      </c>
      <c r="AS743" s="27">
        <f t="shared" si="114"/>
        <v>0</v>
      </c>
    </row>
    <row r="744" spans="2:45">
      <c r="B744" s="102" t="str">
        <f>IF(ROW()-6&gt;NumCostCenter,"",IF(CostCenter&lt;&gt;"ALL",CostCenter,DATA_LF2!B742))</f>
        <v/>
      </c>
      <c r="C744" s="153" t="str">
        <f>IF($B744&lt;&gt;"",INDEX(DataOB[],FirstRow+ROW()-7,2),"")</f>
        <v/>
      </c>
      <c r="D744" s="66" t="str">
        <f>IF($B744&lt;&gt;"",INDEX(DataOB[],FirstRow+ROW()-7,3),"")</f>
        <v/>
      </c>
      <c r="E744" s="103" t="str">
        <f>IF($B744&lt;&gt;"",INDEX(DataOB[],FirstRow+ROW()-7,6),"")</f>
        <v/>
      </c>
      <c r="F744" s="103" t="str">
        <f>IF($B744&lt;&gt;"",INDEX(DataOB[],FirstRow+ROW()-7,5),"")</f>
        <v/>
      </c>
      <c r="G744" s="58">
        <f>IF($B744&lt;&gt;"",SUMIFS(DataAct_tbl[AMOUNT],DataAct_tbl[BG CODE],Detail!$D744,DataAct_tbl[MONTH],LEFT(MonthName,3),DataAct_tbl[Dept code],$B744),0)</f>
        <v>0</v>
      </c>
      <c r="H744" s="31" t="str">
        <f t="shared" si="106"/>
        <v/>
      </c>
      <c r="I744" s="28" t="str">
        <f t="shared" si="107"/>
        <v/>
      </c>
      <c r="J744" s="32" t="str">
        <f t="shared" si="108"/>
        <v/>
      </c>
      <c r="K744" s="86"/>
      <c r="L744" s="62">
        <f>IF($B744&lt;&gt;"",SUMIFS(DataAct_tbl[AMOUNT],DataAct_tbl[BG CODE],Detail!$D744,DataAct_tbl[Check Range],"=true",DataAct_tbl[Dept code],$B744),0)</f>
        <v>0</v>
      </c>
      <c r="M744" s="63">
        <f>INDEX($AG$7:$AR$1005,ROW()-6,MATCH(MTD,$AG$6:$AR$6,0))</f>
        <v>0</v>
      </c>
      <c r="N744" s="34">
        <f t="shared" si="109"/>
        <v>0</v>
      </c>
      <c r="O744" s="64" t="str">
        <f t="shared" si="110"/>
        <v xml:space="preserve"> </v>
      </c>
      <c r="Q744" s="97">
        <f t="shared" si="111"/>
        <v>0</v>
      </c>
      <c r="R744" s="96">
        <f t="shared" si="112"/>
        <v>0</v>
      </c>
      <c r="T744" s="67" t="str">
        <f>IF($B744&lt;&gt;"",INDEX(DataOB[],FirstRow+ROW()-7,MATCH(T$6,DataOB[#Headers],0)),"")</f>
        <v/>
      </c>
      <c r="U744" s="67" t="str">
        <f>IF($B744&lt;&gt;"",INDEX(DataOB[],FirstRow+ROW()-7,MATCH(U$6,DataOB[#Headers],0)),"")</f>
        <v/>
      </c>
      <c r="V744" s="67" t="str">
        <f>IF($B744&lt;&gt;"",INDEX(DataOB[],FirstRow+ROW()-7,MATCH(V$6,DataOB[#Headers],0)),"")</f>
        <v/>
      </c>
      <c r="W744" s="67" t="str">
        <f>IF($B744&lt;&gt;"",INDEX(DataOB[],FirstRow+ROW()-7,MATCH(W$6,DataOB[#Headers],0)),"")</f>
        <v/>
      </c>
      <c r="X744" s="67" t="str">
        <f>IF($B744&lt;&gt;"",INDEX(DataOB[],FirstRow+ROW()-7,MATCH(X$6,DataOB[#Headers],0)),"")</f>
        <v/>
      </c>
      <c r="Y744" s="67" t="str">
        <f>IF($B744&lt;&gt;"",INDEX(DataOB[],FirstRow+ROW()-7,MATCH(Y$6,DataOB[#Headers],0)),"")</f>
        <v/>
      </c>
      <c r="Z744" s="67" t="str">
        <f>IF($B744&lt;&gt;"",INDEX(DataOB[],FirstRow+ROW()-7,MATCH(Z$6,DataOB[#Headers],0)),"")</f>
        <v/>
      </c>
      <c r="AA744" s="67" t="str">
        <f>IF($B744&lt;&gt;"",INDEX(DataOB[],FirstRow+ROW()-7,MATCH(AA$6,DataOB[#Headers],0)),"")</f>
        <v/>
      </c>
      <c r="AB744" s="67" t="str">
        <f>IF($B744&lt;&gt;"",INDEX(DataOB[],FirstRow+ROW()-7,MATCH(AB$6,DataOB[#Headers],0)),"")</f>
        <v/>
      </c>
      <c r="AC744" s="67" t="str">
        <f>IF($B744&lt;&gt;"",INDEX(DataOB[],FirstRow+ROW()-7,MATCH(AC$6,DataOB[#Headers],0)),"")</f>
        <v/>
      </c>
      <c r="AD744" s="67" t="str">
        <f>IF($B744&lt;&gt;"",INDEX(DataOB[],FirstRow+ROW()-7,MATCH(AD$6,DataOB[#Headers],0)),"")</f>
        <v/>
      </c>
      <c r="AE744" s="67" t="str">
        <f>IF($B744&lt;&gt;"",INDEX(DataOB[],FirstRow+ROW()-7,MATCH(AE$6,DataOB[#Headers],0)),"")</f>
        <v/>
      </c>
      <c r="AF744" s="26">
        <f t="shared" si="113"/>
        <v>0</v>
      </c>
      <c r="AG744" s="31">
        <f>SUM($T744:T744)</f>
        <v>0</v>
      </c>
      <c r="AH744" s="31">
        <f>SUM($T744:U744)</f>
        <v>0</v>
      </c>
      <c r="AI744" s="31">
        <f>SUM($T744:V744)</f>
        <v>0</v>
      </c>
      <c r="AJ744" s="31">
        <f>SUM($T744:W744)</f>
        <v>0</v>
      </c>
      <c r="AK744" s="31">
        <f>SUM($T744:X744)</f>
        <v>0</v>
      </c>
      <c r="AL744" s="31">
        <f>SUM($T744:Y744)</f>
        <v>0</v>
      </c>
      <c r="AM744" s="31">
        <f>SUM($T744:Z744)</f>
        <v>0</v>
      </c>
      <c r="AN744" s="31">
        <f>SUM($T744:AA744)</f>
        <v>0</v>
      </c>
      <c r="AO744" s="31">
        <f>SUM($T744:AB744)</f>
        <v>0</v>
      </c>
      <c r="AP744" s="31">
        <f>SUM($T744:AC744)</f>
        <v>0</v>
      </c>
      <c r="AQ744" s="31">
        <f>SUM($T744:AD744)</f>
        <v>0</v>
      </c>
      <c r="AR744" s="31">
        <f>SUM($T744:AE744)</f>
        <v>0</v>
      </c>
      <c r="AS744" s="27">
        <f t="shared" si="114"/>
        <v>0</v>
      </c>
    </row>
    <row r="745" spans="2:45">
      <c r="B745" s="102" t="str">
        <f>IF(ROW()-6&gt;NumCostCenter,"",IF(CostCenter&lt;&gt;"ALL",CostCenter,DATA_LF2!B743))</f>
        <v/>
      </c>
      <c r="C745" s="153" t="str">
        <f>IF($B745&lt;&gt;"",INDEX(DataOB[],FirstRow+ROW()-7,2),"")</f>
        <v/>
      </c>
      <c r="D745" s="66" t="str">
        <f>IF($B745&lt;&gt;"",INDEX(DataOB[],FirstRow+ROW()-7,3),"")</f>
        <v/>
      </c>
      <c r="E745" s="103" t="str">
        <f>IF($B745&lt;&gt;"",INDEX(DataOB[],FirstRow+ROW()-7,6),"")</f>
        <v/>
      </c>
      <c r="F745" s="103" t="str">
        <f>IF($B745&lt;&gt;"",INDEX(DataOB[],FirstRow+ROW()-7,5),"")</f>
        <v/>
      </c>
      <c r="G745" s="58">
        <f>IF($B745&lt;&gt;"",SUMIFS(DataAct_tbl[AMOUNT],DataAct_tbl[BG CODE],Detail!$D745,DataAct_tbl[MONTH],LEFT(MonthName,3),DataAct_tbl[Dept code],$B745),0)</f>
        <v>0</v>
      </c>
      <c r="H745" s="31" t="str">
        <f t="shared" si="106"/>
        <v/>
      </c>
      <c r="I745" s="28" t="str">
        <f t="shared" si="107"/>
        <v/>
      </c>
      <c r="J745" s="32" t="str">
        <f t="shared" si="108"/>
        <v/>
      </c>
      <c r="K745" s="86"/>
      <c r="L745" s="62">
        <f>IF($B745&lt;&gt;"",SUMIFS(DataAct_tbl[AMOUNT],DataAct_tbl[BG CODE],Detail!$D745,DataAct_tbl[Check Range],"=true",DataAct_tbl[Dept code],$B745),0)</f>
        <v>0</v>
      </c>
      <c r="M745" s="63">
        <f>INDEX($AG$7:$AR$1005,ROW()-6,MATCH(MTD,$AG$6:$AR$6,0))</f>
        <v>0</v>
      </c>
      <c r="N745" s="34">
        <f t="shared" si="109"/>
        <v>0</v>
      </c>
      <c r="O745" s="64" t="str">
        <f t="shared" si="110"/>
        <v xml:space="preserve"> </v>
      </c>
      <c r="Q745" s="97">
        <f t="shared" si="111"/>
        <v>0</v>
      </c>
      <c r="R745" s="96">
        <f t="shared" si="112"/>
        <v>0</v>
      </c>
      <c r="T745" s="67" t="str">
        <f>IF($B745&lt;&gt;"",INDEX(DataOB[],FirstRow+ROW()-7,MATCH(T$6,DataOB[#Headers],0)),"")</f>
        <v/>
      </c>
      <c r="U745" s="67" t="str">
        <f>IF($B745&lt;&gt;"",INDEX(DataOB[],FirstRow+ROW()-7,MATCH(U$6,DataOB[#Headers],0)),"")</f>
        <v/>
      </c>
      <c r="V745" s="67" t="str">
        <f>IF($B745&lt;&gt;"",INDEX(DataOB[],FirstRow+ROW()-7,MATCH(V$6,DataOB[#Headers],0)),"")</f>
        <v/>
      </c>
      <c r="W745" s="67" t="str">
        <f>IF($B745&lt;&gt;"",INDEX(DataOB[],FirstRow+ROW()-7,MATCH(W$6,DataOB[#Headers],0)),"")</f>
        <v/>
      </c>
      <c r="X745" s="67" t="str">
        <f>IF($B745&lt;&gt;"",INDEX(DataOB[],FirstRow+ROW()-7,MATCH(X$6,DataOB[#Headers],0)),"")</f>
        <v/>
      </c>
      <c r="Y745" s="67" t="str">
        <f>IF($B745&lt;&gt;"",INDEX(DataOB[],FirstRow+ROW()-7,MATCH(Y$6,DataOB[#Headers],0)),"")</f>
        <v/>
      </c>
      <c r="Z745" s="67" t="str">
        <f>IF($B745&lt;&gt;"",INDEX(DataOB[],FirstRow+ROW()-7,MATCH(Z$6,DataOB[#Headers],0)),"")</f>
        <v/>
      </c>
      <c r="AA745" s="67" t="str">
        <f>IF($B745&lt;&gt;"",INDEX(DataOB[],FirstRow+ROW()-7,MATCH(AA$6,DataOB[#Headers],0)),"")</f>
        <v/>
      </c>
      <c r="AB745" s="67" t="str">
        <f>IF($B745&lt;&gt;"",INDEX(DataOB[],FirstRow+ROW()-7,MATCH(AB$6,DataOB[#Headers],0)),"")</f>
        <v/>
      </c>
      <c r="AC745" s="67" t="str">
        <f>IF($B745&lt;&gt;"",INDEX(DataOB[],FirstRow+ROW()-7,MATCH(AC$6,DataOB[#Headers],0)),"")</f>
        <v/>
      </c>
      <c r="AD745" s="67" t="str">
        <f>IF($B745&lt;&gt;"",INDEX(DataOB[],FirstRow+ROW()-7,MATCH(AD$6,DataOB[#Headers],0)),"")</f>
        <v/>
      </c>
      <c r="AE745" s="67" t="str">
        <f>IF($B745&lt;&gt;"",INDEX(DataOB[],FirstRow+ROW()-7,MATCH(AE$6,DataOB[#Headers],0)),"")</f>
        <v/>
      </c>
      <c r="AF745" s="26">
        <f t="shared" si="113"/>
        <v>0</v>
      </c>
      <c r="AG745" s="31">
        <f>SUM($T745:T745)</f>
        <v>0</v>
      </c>
      <c r="AH745" s="31">
        <f>SUM($T745:U745)</f>
        <v>0</v>
      </c>
      <c r="AI745" s="31">
        <f>SUM($T745:V745)</f>
        <v>0</v>
      </c>
      <c r="AJ745" s="31">
        <f>SUM($T745:W745)</f>
        <v>0</v>
      </c>
      <c r="AK745" s="31">
        <f>SUM($T745:X745)</f>
        <v>0</v>
      </c>
      <c r="AL745" s="31">
        <f>SUM($T745:Y745)</f>
        <v>0</v>
      </c>
      <c r="AM745" s="31">
        <f>SUM($T745:Z745)</f>
        <v>0</v>
      </c>
      <c r="AN745" s="31">
        <f>SUM($T745:AA745)</f>
        <v>0</v>
      </c>
      <c r="AO745" s="31">
        <f>SUM($T745:AB745)</f>
        <v>0</v>
      </c>
      <c r="AP745" s="31">
        <f>SUM($T745:AC745)</f>
        <v>0</v>
      </c>
      <c r="AQ745" s="31">
        <f>SUM($T745:AD745)</f>
        <v>0</v>
      </c>
      <c r="AR745" s="31">
        <f>SUM($T745:AE745)</f>
        <v>0</v>
      </c>
      <c r="AS745" s="27">
        <f t="shared" si="114"/>
        <v>0</v>
      </c>
    </row>
    <row r="746" spans="2:45">
      <c r="B746" s="102" t="str">
        <f>IF(ROW()-6&gt;NumCostCenter,"",IF(CostCenter&lt;&gt;"ALL",CostCenter,DATA_LF2!B744))</f>
        <v/>
      </c>
      <c r="C746" s="153" t="str">
        <f>IF($B746&lt;&gt;"",INDEX(DataOB[],FirstRow+ROW()-7,2),"")</f>
        <v/>
      </c>
      <c r="D746" s="66" t="str">
        <f>IF($B746&lt;&gt;"",INDEX(DataOB[],FirstRow+ROW()-7,3),"")</f>
        <v/>
      </c>
      <c r="E746" s="103" t="str">
        <f>IF($B746&lt;&gt;"",INDEX(DataOB[],FirstRow+ROW()-7,6),"")</f>
        <v/>
      </c>
      <c r="F746" s="103" t="str">
        <f>IF($B746&lt;&gt;"",INDEX(DataOB[],FirstRow+ROW()-7,5),"")</f>
        <v/>
      </c>
      <c r="G746" s="58">
        <f>IF($B746&lt;&gt;"",SUMIFS(DataAct_tbl[AMOUNT],DataAct_tbl[BG CODE],Detail!$D746,DataAct_tbl[MONTH],LEFT(MonthName,3),DataAct_tbl[Dept code],$B746),0)</f>
        <v>0</v>
      </c>
      <c r="H746" s="31" t="str">
        <f t="shared" si="106"/>
        <v/>
      </c>
      <c r="I746" s="28" t="str">
        <f t="shared" si="107"/>
        <v/>
      </c>
      <c r="J746" s="32" t="str">
        <f t="shared" si="108"/>
        <v/>
      </c>
      <c r="K746" s="86"/>
      <c r="L746" s="62">
        <f>IF($B746&lt;&gt;"",SUMIFS(DataAct_tbl[AMOUNT],DataAct_tbl[BG CODE],Detail!$D746,DataAct_tbl[Check Range],"=true",DataAct_tbl[Dept code],$B746),0)</f>
        <v>0</v>
      </c>
      <c r="M746" s="63">
        <f>INDEX($AG$7:$AR$1005,ROW()-6,MATCH(MTD,$AG$6:$AR$6,0))</f>
        <v>0</v>
      </c>
      <c r="N746" s="34">
        <f t="shared" si="109"/>
        <v>0</v>
      </c>
      <c r="O746" s="64" t="str">
        <f t="shared" si="110"/>
        <v xml:space="preserve"> </v>
      </c>
      <c r="Q746" s="97">
        <f t="shared" si="111"/>
        <v>0</v>
      </c>
      <c r="R746" s="96">
        <f t="shared" si="112"/>
        <v>0</v>
      </c>
      <c r="T746" s="67" t="str">
        <f>IF($B746&lt;&gt;"",INDEX(DataOB[],FirstRow+ROW()-7,MATCH(T$6,DataOB[#Headers],0)),"")</f>
        <v/>
      </c>
      <c r="U746" s="67" t="str">
        <f>IF($B746&lt;&gt;"",INDEX(DataOB[],FirstRow+ROW()-7,MATCH(U$6,DataOB[#Headers],0)),"")</f>
        <v/>
      </c>
      <c r="V746" s="67" t="str">
        <f>IF($B746&lt;&gt;"",INDEX(DataOB[],FirstRow+ROW()-7,MATCH(V$6,DataOB[#Headers],0)),"")</f>
        <v/>
      </c>
      <c r="W746" s="67" t="str">
        <f>IF($B746&lt;&gt;"",INDEX(DataOB[],FirstRow+ROW()-7,MATCH(W$6,DataOB[#Headers],0)),"")</f>
        <v/>
      </c>
      <c r="X746" s="67" t="str">
        <f>IF($B746&lt;&gt;"",INDEX(DataOB[],FirstRow+ROW()-7,MATCH(X$6,DataOB[#Headers],0)),"")</f>
        <v/>
      </c>
      <c r="Y746" s="67" t="str">
        <f>IF($B746&lt;&gt;"",INDEX(DataOB[],FirstRow+ROW()-7,MATCH(Y$6,DataOB[#Headers],0)),"")</f>
        <v/>
      </c>
      <c r="Z746" s="67" t="str">
        <f>IF($B746&lt;&gt;"",INDEX(DataOB[],FirstRow+ROW()-7,MATCH(Z$6,DataOB[#Headers],0)),"")</f>
        <v/>
      </c>
      <c r="AA746" s="67" t="str">
        <f>IF($B746&lt;&gt;"",INDEX(DataOB[],FirstRow+ROW()-7,MATCH(AA$6,DataOB[#Headers],0)),"")</f>
        <v/>
      </c>
      <c r="AB746" s="67" t="str">
        <f>IF($B746&lt;&gt;"",INDEX(DataOB[],FirstRow+ROW()-7,MATCH(AB$6,DataOB[#Headers],0)),"")</f>
        <v/>
      </c>
      <c r="AC746" s="67" t="str">
        <f>IF($B746&lt;&gt;"",INDEX(DataOB[],FirstRow+ROW()-7,MATCH(AC$6,DataOB[#Headers],0)),"")</f>
        <v/>
      </c>
      <c r="AD746" s="67" t="str">
        <f>IF($B746&lt;&gt;"",INDEX(DataOB[],FirstRow+ROW()-7,MATCH(AD$6,DataOB[#Headers],0)),"")</f>
        <v/>
      </c>
      <c r="AE746" s="67" t="str">
        <f>IF($B746&lt;&gt;"",INDEX(DataOB[],FirstRow+ROW()-7,MATCH(AE$6,DataOB[#Headers],0)),"")</f>
        <v/>
      </c>
      <c r="AF746" s="26">
        <f t="shared" si="113"/>
        <v>0</v>
      </c>
      <c r="AG746" s="31">
        <f>SUM($T746:T746)</f>
        <v>0</v>
      </c>
      <c r="AH746" s="31">
        <f>SUM($T746:U746)</f>
        <v>0</v>
      </c>
      <c r="AI746" s="31">
        <f>SUM($T746:V746)</f>
        <v>0</v>
      </c>
      <c r="AJ746" s="31">
        <f>SUM($T746:W746)</f>
        <v>0</v>
      </c>
      <c r="AK746" s="31">
        <f>SUM($T746:X746)</f>
        <v>0</v>
      </c>
      <c r="AL746" s="31">
        <f>SUM($T746:Y746)</f>
        <v>0</v>
      </c>
      <c r="AM746" s="31">
        <f>SUM($T746:Z746)</f>
        <v>0</v>
      </c>
      <c r="AN746" s="31">
        <f>SUM($T746:AA746)</f>
        <v>0</v>
      </c>
      <c r="AO746" s="31">
        <f>SUM($T746:AB746)</f>
        <v>0</v>
      </c>
      <c r="AP746" s="31">
        <f>SUM($T746:AC746)</f>
        <v>0</v>
      </c>
      <c r="AQ746" s="31">
        <f>SUM($T746:AD746)</f>
        <v>0</v>
      </c>
      <c r="AR746" s="31">
        <f>SUM($T746:AE746)</f>
        <v>0</v>
      </c>
      <c r="AS746" s="27">
        <f t="shared" si="114"/>
        <v>0</v>
      </c>
    </row>
    <row r="747" spans="2:45">
      <c r="B747" s="102" t="str">
        <f>IF(ROW()-6&gt;NumCostCenter,"",IF(CostCenter&lt;&gt;"ALL",CostCenter,DATA_LF2!B745))</f>
        <v/>
      </c>
      <c r="C747" s="153" t="str">
        <f>IF($B747&lt;&gt;"",INDEX(DataOB[],FirstRow+ROW()-7,2),"")</f>
        <v/>
      </c>
      <c r="D747" s="66" t="str">
        <f>IF($B747&lt;&gt;"",INDEX(DataOB[],FirstRow+ROW()-7,3),"")</f>
        <v/>
      </c>
      <c r="E747" s="103" t="str">
        <f>IF($B747&lt;&gt;"",INDEX(DataOB[],FirstRow+ROW()-7,6),"")</f>
        <v/>
      </c>
      <c r="F747" s="103" t="str">
        <f>IF($B747&lt;&gt;"",INDEX(DataOB[],FirstRow+ROW()-7,5),"")</f>
        <v/>
      </c>
      <c r="G747" s="58">
        <f>IF($B747&lt;&gt;"",SUMIFS(DataAct_tbl[AMOUNT],DataAct_tbl[BG CODE],Detail!$D747,DataAct_tbl[MONTH],LEFT(MonthName,3),DataAct_tbl[Dept code],$B747),0)</f>
        <v>0</v>
      </c>
      <c r="H747" s="31" t="str">
        <f t="shared" si="106"/>
        <v/>
      </c>
      <c r="I747" s="28" t="str">
        <f t="shared" si="107"/>
        <v/>
      </c>
      <c r="J747" s="32" t="str">
        <f t="shared" si="108"/>
        <v/>
      </c>
      <c r="K747" s="86"/>
      <c r="L747" s="62">
        <f>IF($B747&lt;&gt;"",SUMIFS(DataAct_tbl[AMOUNT],DataAct_tbl[BG CODE],Detail!$D747,DataAct_tbl[Check Range],"=true",DataAct_tbl[Dept code],$B747),0)</f>
        <v>0</v>
      </c>
      <c r="M747" s="63">
        <f>INDEX($AG$7:$AR$1005,ROW()-6,MATCH(MTD,$AG$6:$AR$6,0))</f>
        <v>0</v>
      </c>
      <c r="N747" s="34">
        <f t="shared" si="109"/>
        <v>0</v>
      </c>
      <c r="O747" s="64" t="str">
        <f t="shared" si="110"/>
        <v xml:space="preserve"> </v>
      </c>
      <c r="Q747" s="97">
        <f t="shared" si="111"/>
        <v>0</v>
      </c>
      <c r="R747" s="96">
        <f t="shared" si="112"/>
        <v>0</v>
      </c>
      <c r="T747" s="67" t="str">
        <f>IF($B747&lt;&gt;"",INDEX(DataOB[],FirstRow+ROW()-7,MATCH(T$6,DataOB[#Headers],0)),"")</f>
        <v/>
      </c>
      <c r="U747" s="67" t="str">
        <f>IF($B747&lt;&gt;"",INDEX(DataOB[],FirstRow+ROW()-7,MATCH(U$6,DataOB[#Headers],0)),"")</f>
        <v/>
      </c>
      <c r="V747" s="67" t="str">
        <f>IF($B747&lt;&gt;"",INDEX(DataOB[],FirstRow+ROW()-7,MATCH(V$6,DataOB[#Headers],0)),"")</f>
        <v/>
      </c>
      <c r="W747" s="67" t="str">
        <f>IF($B747&lt;&gt;"",INDEX(DataOB[],FirstRow+ROW()-7,MATCH(W$6,DataOB[#Headers],0)),"")</f>
        <v/>
      </c>
      <c r="X747" s="67" t="str">
        <f>IF($B747&lt;&gt;"",INDEX(DataOB[],FirstRow+ROW()-7,MATCH(X$6,DataOB[#Headers],0)),"")</f>
        <v/>
      </c>
      <c r="Y747" s="67" t="str">
        <f>IF($B747&lt;&gt;"",INDEX(DataOB[],FirstRow+ROW()-7,MATCH(Y$6,DataOB[#Headers],0)),"")</f>
        <v/>
      </c>
      <c r="Z747" s="67" t="str">
        <f>IF($B747&lt;&gt;"",INDEX(DataOB[],FirstRow+ROW()-7,MATCH(Z$6,DataOB[#Headers],0)),"")</f>
        <v/>
      </c>
      <c r="AA747" s="67" t="str">
        <f>IF($B747&lt;&gt;"",INDEX(DataOB[],FirstRow+ROW()-7,MATCH(AA$6,DataOB[#Headers],0)),"")</f>
        <v/>
      </c>
      <c r="AB747" s="67" t="str">
        <f>IF($B747&lt;&gt;"",INDEX(DataOB[],FirstRow+ROW()-7,MATCH(AB$6,DataOB[#Headers],0)),"")</f>
        <v/>
      </c>
      <c r="AC747" s="67" t="str">
        <f>IF($B747&lt;&gt;"",INDEX(DataOB[],FirstRow+ROW()-7,MATCH(AC$6,DataOB[#Headers],0)),"")</f>
        <v/>
      </c>
      <c r="AD747" s="67" t="str">
        <f>IF($B747&lt;&gt;"",INDEX(DataOB[],FirstRow+ROW()-7,MATCH(AD$6,DataOB[#Headers],0)),"")</f>
        <v/>
      </c>
      <c r="AE747" s="67" t="str">
        <f>IF($B747&lt;&gt;"",INDEX(DataOB[],FirstRow+ROW()-7,MATCH(AE$6,DataOB[#Headers],0)),"")</f>
        <v/>
      </c>
      <c r="AF747" s="26">
        <f t="shared" si="113"/>
        <v>0</v>
      </c>
      <c r="AG747" s="31">
        <f>SUM($T747:T747)</f>
        <v>0</v>
      </c>
      <c r="AH747" s="31">
        <f>SUM($T747:U747)</f>
        <v>0</v>
      </c>
      <c r="AI747" s="31">
        <f>SUM($T747:V747)</f>
        <v>0</v>
      </c>
      <c r="AJ747" s="31">
        <f>SUM($T747:W747)</f>
        <v>0</v>
      </c>
      <c r="AK747" s="31">
        <f>SUM($T747:X747)</f>
        <v>0</v>
      </c>
      <c r="AL747" s="31">
        <f>SUM($T747:Y747)</f>
        <v>0</v>
      </c>
      <c r="AM747" s="31">
        <f>SUM($T747:Z747)</f>
        <v>0</v>
      </c>
      <c r="AN747" s="31">
        <f>SUM($T747:AA747)</f>
        <v>0</v>
      </c>
      <c r="AO747" s="31">
        <f>SUM($T747:AB747)</f>
        <v>0</v>
      </c>
      <c r="AP747" s="31">
        <f>SUM($T747:AC747)</f>
        <v>0</v>
      </c>
      <c r="AQ747" s="31">
        <f>SUM($T747:AD747)</f>
        <v>0</v>
      </c>
      <c r="AR747" s="31">
        <f>SUM($T747:AE747)</f>
        <v>0</v>
      </c>
      <c r="AS747" s="27">
        <f t="shared" si="114"/>
        <v>0</v>
      </c>
    </row>
    <row r="748" spans="2:45">
      <c r="B748" s="102" t="str">
        <f>IF(ROW()-6&gt;NumCostCenter,"",IF(CostCenter&lt;&gt;"ALL",CostCenter,DATA_LF2!B746))</f>
        <v/>
      </c>
      <c r="C748" s="153" t="str">
        <f>IF($B748&lt;&gt;"",INDEX(DataOB[],FirstRow+ROW()-7,2),"")</f>
        <v/>
      </c>
      <c r="D748" s="66" t="str">
        <f>IF($B748&lt;&gt;"",INDEX(DataOB[],FirstRow+ROW()-7,3),"")</f>
        <v/>
      </c>
      <c r="E748" s="103" t="str">
        <f>IF($B748&lt;&gt;"",INDEX(DataOB[],FirstRow+ROW()-7,6),"")</f>
        <v/>
      </c>
      <c r="F748" s="103" t="str">
        <f>IF($B748&lt;&gt;"",INDEX(DataOB[],FirstRow+ROW()-7,5),"")</f>
        <v/>
      </c>
      <c r="G748" s="58">
        <f>IF($B748&lt;&gt;"",SUMIFS(DataAct_tbl[AMOUNT],DataAct_tbl[BG CODE],Detail!$D748,DataAct_tbl[MONTH],LEFT(MonthName,3),DataAct_tbl[Dept code],$B748),0)</f>
        <v>0</v>
      </c>
      <c r="H748" s="31" t="str">
        <f t="shared" si="106"/>
        <v/>
      </c>
      <c r="I748" s="28" t="str">
        <f t="shared" si="107"/>
        <v/>
      </c>
      <c r="J748" s="32" t="str">
        <f t="shared" si="108"/>
        <v/>
      </c>
      <c r="K748" s="86"/>
      <c r="L748" s="62">
        <f>IF($B748&lt;&gt;"",SUMIFS(DataAct_tbl[AMOUNT],DataAct_tbl[BG CODE],Detail!$D748,DataAct_tbl[Check Range],"=true",DataAct_tbl[Dept code],$B748),0)</f>
        <v>0</v>
      </c>
      <c r="M748" s="63">
        <f>INDEX($AG$7:$AR$1005,ROW()-6,MATCH(MTD,$AG$6:$AR$6,0))</f>
        <v>0</v>
      </c>
      <c r="N748" s="34">
        <f t="shared" si="109"/>
        <v>0</v>
      </c>
      <c r="O748" s="64" t="str">
        <f t="shared" si="110"/>
        <v xml:space="preserve"> </v>
      </c>
      <c r="Q748" s="97">
        <f t="shared" si="111"/>
        <v>0</v>
      </c>
      <c r="R748" s="96">
        <f t="shared" si="112"/>
        <v>0</v>
      </c>
      <c r="T748" s="67" t="str">
        <f>IF($B748&lt;&gt;"",INDEX(DataOB[],FirstRow+ROW()-7,MATCH(T$6,DataOB[#Headers],0)),"")</f>
        <v/>
      </c>
      <c r="U748" s="67" t="str">
        <f>IF($B748&lt;&gt;"",INDEX(DataOB[],FirstRow+ROW()-7,MATCH(U$6,DataOB[#Headers],0)),"")</f>
        <v/>
      </c>
      <c r="V748" s="67" t="str">
        <f>IF($B748&lt;&gt;"",INDEX(DataOB[],FirstRow+ROW()-7,MATCH(V$6,DataOB[#Headers],0)),"")</f>
        <v/>
      </c>
      <c r="W748" s="67" t="str">
        <f>IF($B748&lt;&gt;"",INDEX(DataOB[],FirstRow+ROW()-7,MATCH(W$6,DataOB[#Headers],0)),"")</f>
        <v/>
      </c>
      <c r="X748" s="67" t="str">
        <f>IF($B748&lt;&gt;"",INDEX(DataOB[],FirstRow+ROW()-7,MATCH(X$6,DataOB[#Headers],0)),"")</f>
        <v/>
      </c>
      <c r="Y748" s="67" t="str">
        <f>IF($B748&lt;&gt;"",INDEX(DataOB[],FirstRow+ROW()-7,MATCH(Y$6,DataOB[#Headers],0)),"")</f>
        <v/>
      </c>
      <c r="Z748" s="67" t="str">
        <f>IF($B748&lt;&gt;"",INDEX(DataOB[],FirstRow+ROW()-7,MATCH(Z$6,DataOB[#Headers],0)),"")</f>
        <v/>
      </c>
      <c r="AA748" s="67" t="str">
        <f>IF($B748&lt;&gt;"",INDEX(DataOB[],FirstRow+ROW()-7,MATCH(AA$6,DataOB[#Headers],0)),"")</f>
        <v/>
      </c>
      <c r="AB748" s="67" t="str">
        <f>IF($B748&lt;&gt;"",INDEX(DataOB[],FirstRow+ROW()-7,MATCH(AB$6,DataOB[#Headers],0)),"")</f>
        <v/>
      </c>
      <c r="AC748" s="67" t="str">
        <f>IF($B748&lt;&gt;"",INDEX(DataOB[],FirstRow+ROW()-7,MATCH(AC$6,DataOB[#Headers],0)),"")</f>
        <v/>
      </c>
      <c r="AD748" s="67" t="str">
        <f>IF($B748&lt;&gt;"",INDEX(DataOB[],FirstRow+ROW()-7,MATCH(AD$6,DataOB[#Headers],0)),"")</f>
        <v/>
      </c>
      <c r="AE748" s="67" t="str">
        <f>IF($B748&lt;&gt;"",INDEX(DataOB[],FirstRow+ROW()-7,MATCH(AE$6,DataOB[#Headers],0)),"")</f>
        <v/>
      </c>
      <c r="AF748" s="26">
        <f t="shared" si="113"/>
        <v>0</v>
      </c>
      <c r="AG748" s="31">
        <f>SUM($T748:T748)</f>
        <v>0</v>
      </c>
      <c r="AH748" s="31">
        <f>SUM($T748:U748)</f>
        <v>0</v>
      </c>
      <c r="AI748" s="31">
        <f>SUM($T748:V748)</f>
        <v>0</v>
      </c>
      <c r="AJ748" s="31">
        <f>SUM($T748:W748)</f>
        <v>0</v>
      </c>
      <c r="AK748" s="31">
        <f>SUM($T748:X748)</f>
        <v>0</v>
      </c>
      <c r="AL748" s="31">
        <f>SUM($T748:Y748)</f>
        <v>0</v>
      </c>
      <c r="AM748" s="31">
        <f>SUM($T748:Z748)</f>
        <v>0</v>
      </c>
      <c r="AN748" s="31">
        <f>SUM($T748:AA748)</f>
        <v>0</v>
      </c>
      <c r="AO748" s="31">
        <f>SUM($T748:AB748)</f>
        <v>0</v>
      </c>
      <c r="AP748" s="31">
        <f>SUM($T748:AC748)</f>
        <v>0</v>
      </c>
      <c r="AQ748" s="31">
        <f>SUM($T748:AD748)</f>
        <v>0</v>
      </c>
      <c r="AR748" s="31">
        <f>SUM($T748:AE748)</f>
        <v>0</v>
      </c>
      <c r="AS748" s="27">
        <f t="shared" si="114"/>
        <v>0</v>
      </c>
    </row>
    <row r="749" spans="2:45">
      <c r="B749" s="102" t="str">
        <f>IF(ROW()-6&gt;NumCostCenter,"",IF(CostCenter&lt;&gt;"ALL",CostCenter,DATA_LF2!B747))</f>
        <v/>
      </c>
      <c r="C749" s="153" t="str">
        <f>IF($B749&lt;&gt;"",INDEX(DataOB[],FirstRow+ROW()-7,2),"")</f>
        <v/>
      </c>
      <c r="D749" s="66" t="str">
        <f>IF($B749&lt;&gt;"",INDEX(DataOB[],FirstRow+ROW()-7,3),"")</f>
        <v/>
      </c>
      <c r="E749" s="103" t="str">
        <f>IF($B749&lt;&gt;"",INDEX(DataOB[],FirstRow+ROW()-7,6),"")</f>
        <v/>
      </c>
      <c r="F749" s="103" t="str">
        <f>IF($B749&lt;&gt;"",INDEX(DataOB[],FirstRow+ROW()-7,5),"")</f>
        <v/>
      </c>
      <c r="G749" s="58">
        <f>IF($B749&lt;&gt;"",SUMIFS(DataAct_tbl[AMOUNT],DataAct_tbl[BG CODE],Detail!$D749,DataAct_tbl[MONTH],LEFT(MonthName,3),DataAct_tbl[Dept code],$B749),0)</f>
        <v>0</v>
      </c>
      <c r="H749" s="31" t="str">
        <f t="shared" si="106"/>
        <v/>
      </c>
      <c r="I749" s="28" t="str">
        <f t="shared" si="107"/>
        <v/>
      </c>
      <c r="J749" s="32" t="str">
        <f t="shared" si="108"/>
        <v/>
      </c>
      <c r="K749" s="86"/>
      <c r="L749" s="62">
        <f>IF($B749&lt;&gt;"",SUMIFS(DataAct_tbl[AMOUNT],DataAct_tbl[BG CODE],Detail!$D749,DataAct_tbl[Check Range],"=true",DataAct_tbl[Dept code],$B749),0)</f>
        <v>0</v>
      </c>
      <c r="M749" s="63">
        <f>INDEX($AG$7:$AR$1005,ROW()-6,MATCH(MTD,$AG$6:$AR$6,0))</f>
        <v>0</v>
      </c>
      <c r="N749" s="34">
        <f t="shared" si="109"/>
        <v>0</v>
      </c>
      <c r="O749" s="64" t="str">
        <f t="shared" si="110"/>
        <v xml:space="preserve"> </v>
      </c>
      <c r="Q749" s="97">
        <f t="shared" si="111"/>
        <v>0</v>
      </c>
      <c r="R749" s="96">
        <f t="shared" si="112"/>
        <v>0</v>
      </c>
      <c r="T749" s="67" t="str">
        <f>IF($B749&lt;&gt;"",INDEX(DataOB[],FirstRow+ROW()-7,MATCH(T$6,DataOB[#Headers],0)),"")</f>
        <v/>
      </c>
      <c r="U749" s="67" t="str">
        <f>IF($B749&lt;&gt;"",INDEX(DataOB[],FirstRow+ROW()-7,MATCH(U$6,DataOB[#Headers],0)),"")</f>
        <v/>
      </c>
      <c r="V749" s="67" t="str">
        <f>IF($B749&lt;&gt;"",INDEX(DataOB[],FirstRow+ROW()-7,MATCH(V$6,DataOB[#Headers],0)),"")</f>
        <v/>
      </c>
      <c r="W749" s="67" t="str">
        <f>IF($B749&lt;&gt;"",INDEX(DataOB[],FirstRow+ROW()-7,MATCH(W$6,DataOB[#Headers],0)),"")</f>
        <v/>
      </c>
      <c r="X749" s="67" t="str">
        <f>IF($B749&lt;&gt;"",INDEX(DataOB[],FirstRow+ROW()-7,MATCH(X$6,DataOB[#Headers],0)),"")</f>
        <v/>
      </c>
      <c r="Y749" s="67" t="str">
        <f>IF($B749&lt;&gt;"",INDEX(DataOB[],FirstRow+ROW()-7,MATCH(Y$6,DataOB[#Headers],0)),"")</f>
        <v/>
      </c>
      <c r="Z749" s="67" t="str">
        <f>IF($B749&lt;&gt;"",INDEX(DataOB[],FirstRow+ROW()-7,MATCH(Z$6,DataOB[#Headers],0)),"")</f>
        <v/>
      </c>
      <c r="AA749" s="67" t="str">
        <f>IF($B749&lt;&gt;"",INDEX(DataOB[],FirstRow+ROW()-7,MATCH(AA$6,DataOB[#Headers],0)),"")</f>
        <v/>
      </c>
      <c r="AB749" s="67" t="str">
        <f>IF($B749&lt;&gt;"",INDEX(DataOB[],FirstRow+ROW()-7,MATCH(AB$6,DataOB[#Headers],0)),"")</f>
        <v/>
      </c>
      <c r="AC749" s="67" t="str">
        <f>IF($B749&lt;&gt;"",INDEX(DataOB[],FirstRow+ROW()-7,MATCH(AC$6,DataOB[#Headers],0)),"")</f>
        <v/>
      </c>
      <c r="AD749" s="67" t="str">
        <f>IF($B749&lt;&gt;"",INDEX(DataOB[],FirstRow+ROW()-7,MATCH(AD$6,DataOB[#Headers],0)),"")</f>
        <v/>
      </c>
      <c r="AE749" s="67" t="str">
        <f>IF($B749&lt;&gt;"",INDEX(DataOB[],FirstRow+ROW()-7,MATCH(AE$6,DataOB[#Headers],0)),"")</f>
        <v/>
      </c>
      <c r="AF749" s="26">
        <f t="shared" si="113"/>
        <v>0</v>
      </c>
      <c r="AG749" s="31">
        <f>SUM($T749:T749)</f>
        <v>0</v>
      </c>
      <c r="AH749" s="31">
        <f>SUM($T749:U749)</f>
        <v>0</v>
      </c>
      <c r="AI749" s="31">
        <f>SUM($T749:V749)</f>
        <v>0</v>
      </c>
      <c r="AJ749" s="31">
        <f>SUM($T749:W749)</f>
        <v>0</v>
      </c>
      <c r="AK749" s="31">
        <f>SUM($T749:X749)</f>
        <v>0</v>
      </c>
      <c r="AL749" s="31">
        <f>SUM($T749:Y749)</f>
        <v>0</v>
      </c>
      <c r="AM749" s="31">
        <f>SUM($T749:Z749)</f>
        <v>0</v>
      </c>
      <c r="AN749" s="31">
        <f>SUM($T749:AA749)</f>
        <v>0</v>
      </c>
      <c r="AO749" s="31">
        <f>SUM($T749:AB749)</f>
        <v>0</v>
      </c>
      <c r="AP749" s="31">
        <f>SUM($T749:AC749)</f>
        <v>0</v>
      </c>
      <c r="AQ749" s="31">
        <f>SUM($T749:AD749)</f>
        <v>0</v>
      </c>
      <c r="AR749" s="31">
        <f>SUM($T749:AE749)</f>
        <v>0</v>
      </c>
      <c r="AS749" s="27">
        <f t="shared" si="114"/>
        <v>0</v>
      </c>
    </row>
    <row r="750" spans="2:45">
      <c r="B750" s="102" t="str">
        <f>IF(ROW()-6&gt;NumCostCenter,"",IF(CostCenter&lt;&gt;"ALL",CostCenter,DATA_LF2!B748))</f>
        <v/>
      </c>
      <c r="C750" s="153" t="str">
        <f>IF($B750&lt;&gt;"",INDEX(DataOB[],FirstRow+ROW()-7,2),"")</f>
        <v/>
      </c>
      <c r="D750" s="66" t="str">
        <f>IF($B750&lt;&gt;"",INDEX(DataOB[],FirstRow+ROW()-7,3),"")</f>
        <v/>
      </c>
      <c r="E750" s="103" t="str">
        <f>IF($B750&lt;&gt;"",INDEX(DataOB[],FirstRow+ROW()-7,6),"")</f>
        <v/>
      </c>
      <c r="F750" s="103" t="str">
        <f>IF($B750&lt;&gt;"",INDEX(DataOB[],FirstRow+ROW()-7,5),"")</f>
        <v/>
      </c>
      <c r="G750" s="58">
        <f>IF($B750&lt;&gt;"",SUMIFS(DataAct_tbl[AMOUNT],DataAct_tbl[BG CODE],Detail!$D750,DataAct_tbl[MONTH],LEFT(MonthName,3),DataAct_tbl[Dept code],$B750),0)</f>
        <v>0</v>
      </c>
      <c r="H750" s="31" t="str">
        <f t="shared" si="106"/>
        <v/>
      </c>
      <c r="I750" s="28" t="str">
        <f t="shared" si="107"/>
        <v/>
      </c>
      <c r="J750" s="32" t="str">
        <f t="shared" si="108"/>
        <v/>
      </c>
      <c r="K750" s="86"/>
      <c r="L750" s="62">
        <f>IF($B750&lt;&gt;"",SUMIFS(DataAct_tbl[AMOUNT],DataAct_tbl[BG CODE],Detail!$D750,DataAct_tbl[Check Range],"=true",DataAct_tbl[Dept code],$B750),0)</f>
        <v>0</v>
      </c>
      <c r="M750" s="63">
        <f>INDEX($AG$7:$AR$1005,ROW()-6,MATCH(MTD,$AG$6:$AR$6,0))</f>
        <v>0</v>
      </c>
      <c r="N750" s="34">
        <f t="shared" si="109"/>
        <v>0</v>
      </c>
      <c r="O750" s="64" t="str">
        <f t="shared" si="110"/>
        <v xml:space="preserve"> </v>
      </c>
      <c r="Q750" s="97">
        <f t="shared" si="111"/>
        <v>0</v>
      </c>
      <c r="R750" s="96">
        <f t="shared" si="112"/>
        <v>0</v>
      </c>
      <c r="T750" s="67" t="str">
        <f>IF($B750&lt;&gt;"",INDEX(DataOB[],FirstRow+ROW()-7,MATCH(T$6,DataOB[#Headers],0)),"")</f>
        <v/>
      </c>
      <c r="U750" s="67" t="str">
        <f>IF($B750&lt;&gt;"",INDEX(DataOB[],FirstRow+ROW()-7,MATCH(U$6,DataOB[#Headers],0)),"")</f>
        <v/>
      </c>
      <c r="V750" s="67" t="str">
        <f>IF($B750&lt;&gt;"",INDEX(DataOB[],FirstRow+ROW()-7,MATCH(V$6,DataOB[#Headers],0)),"")</f>
        <v/>
      </c>
      <c r="W750" s="67" t="str">
        <f>IF($B750&lt;&gt;"",INDEX(DataOB[],FirstRow+ROW()-7,MATCH(W$6,DataOB[#Headers],0)),"")</f>
        <v/>
      </c>
      <c r="X750" s="67" t="str">
        <f>IF($B750&lt;&gt;"",INDEX(DataOB[],FirstRow+ROW()-7,MATCH(X$6,DataOB[#Headers],0)),"")</f>
        <v/>
      </c>
      <c r="Y750" s="67" t="str">
        <f>IF($B750&lt;&gt;"",INDEX(DataOB[],FirstRow+ROW()-7,MATCH(Y$6,DataOB[#Headers],0)),"")</f>
        <v/>
      </c>
      <c r="Z750" s="67" t="str">
        <f>IF($B750&lt;&gt;"",INDEX(DataOB[],FirstRow+ROW()-7,MATCH(Z$6,DataOB[#Headers],0)),"")</f>
        <v/>
      </c>
      <c r="AA750" s="67" t="str">
        <f>IF($B750&lt;&gt;"",INDEX(DataOB[],FirstRow+ROW()-7,MATCH(AA$6,DataOB[#Headers],0)),"")</f>
        <v/>
      </c>
      <c r="AB750" s="67" t="str">
        <f>IF($B750&lt;&gt;"",INDEX(DataOB[],FirstRow+ROW()-7,MATCH(AB$6,DataOB[#Headers],0)),"")</f>
        <v/>
      </c>
      <c r="AC750" s="67" t="str">
        <f>IF($B750&lt;&gt;"",INDEX(DataOB[],FirstRow+ROW()-7,MATCH(AC$6,DataOB[#Headers],0)),"")</f>
        <v/>
      </c>
      <c r="AD750" s="67" t="str">
        <f>IF($B750&lt;&gt;"",INDEX(DataOB[],FirstRow+ROW()-7,MATCH(AD$6,DataOB[#Headers],0)),"")</f>
        <v/>
      </c>
      <c r="AE750" s="67" t="str">
        <f>IF($B750&lt;&gt;"",INDEX(DataOB[],FirstRow+ROW()-7,MATCH(AE$6,DataOB[#Headers],0)),"")</f>
        <v/>
      </c>
      <c r="AF750" s="26">
        <f t="shared" si="113"/>
        <v>0</v>
      </c>
      <c r="AG750" s="31">
        <f>SUM($T750:T750)</f>
        <v>0</v>
      </c>
      <c r="AH750" s="31">
        <f>SUM($T750:U750)</f>
        <v>0</v>
      </c>
      <c r="AI750" s="31">
        <f>SUM($T750:V750)</f>
        <v>0</v>
      </c>
      <c r="AJ750" s="31">
        <f>SUM($T750:W750)</f>
        <v>0</v>
      </c>
      <c r="AK750" s="31">
        <f>SUM($T750:X750)</f>
        <v>0</v>
      </c>
      <c r="AL750" s="31">
        <f>SUM($T750:Y750)</f>
        <v>0</v>
      </c>
      <c r="AM750" s="31">
        <f>SUM($T750:Z750)</f>
        <v>0</v>
      </c>
      <c r="AN750" s="31">
        <f>SUM($T750:AA750)</f>
        <v>0</v>
      </c>
      <c r="AO750" s="31">
        <f>SUM($T750:AB750)</f>
        <v>0</v>
      </c>
      <c r="AP750" s="31">
        <f>SUM($T750:AC750)</f>
        <v>0</v>
      </c>
      <c r="AQ750" s="31">
        <f>SUM($T750:AD750)</f>
        <v>0</v>
      </c>
      <c r="AR750" s="31">
        <f>SUM($T750:AE750)</f>
        <v>0</v>
      </c>
      <c r="AS750" s="27">
        <f t="shared" si="114"/>
        <v>0</v>
      </c>
    </row>
    <row r="751" spans="2:45">
      <c r="B751" s="102" t="str">
        <f>IF(ROW()-6&gt;NumCostCenter,"",IF(CostCenter&lt;&gt;"ALL",CostCenter,DATA_LF2!B749))</f>
        <v/>
      </c>
      <c r="C751" s="153" t="str">
        <f>IF($B751&lt;&gt;"",INDEX(DataOB[],FirstRow+ROW()-7,2),"")</f>
        <v/>
      </c>
      <c r="D751" s="66" t="str">
        <f>IF($B751&lt;&gt;"",INDEX(DataOB[],FirstRow+ROW()-7,3),"")</f>
        <v/>
      </c>
      <c r="E751" s="103" t="str">
        <f>IF($B751&lt;&gt;"",INDEX(DataOB[],FirstRow+ROW()-7,6),"")</f>
        <v/>
      </c>
      <c r="F751" s="103" t="str">
        <f>IF($B751&lt;&gt;"",INDEX(DataOB[],FirstRow+ROW()-7,5),"")</f>
        <v/>
      </c>
      <c r="G751" s="58">
        <f>IF($B751&lt;&gt;"",SUMIFS(DataAct_tbl[AMOUNT],DataAct_tbl[BG CODE],Detail!$D751,DataAct_tbl[MONTH],LEFT(MonthName,3),DataAct_tbl[Dept code],$B751),0)</f>
        <v>0</v>
      </c>
      <c r="H751" s="31" t="str">
        <f t="shared" si="106"/>
        <v/>
      </c>
      <c r="I751" s="28" t="str">
        <f t="shared" si="107"/>
        <v/>
      </c>
      <c r="J751" s="32" t="str">
        <f t="shared" si="108"/>
        <v/>
      </c>
      <c r="K751" s="86"/>
      <c r="L751" s="62">
        <f>IF($B751&lt;&gt;"",SUMIFS(DataAct_tbl[AMOUNT],DataAct_tbl[BG CODE],Detail!$D751,DataAct_tbl[Check Range],"=true",DataAct_tbl[Dept code],$B751),0)</f>
        <v>0</v>
      </c>
      <c r="M751" s="63">
        <f>INDEX($AG$7:$AR$1005,ROW()-6,MATCH(MTD,$AG$6:$AR$6,0))</f>
        <v>0</v>
      </c>
      <c r="N751" s="34">
        <f t="shared" si="109"/>
        <v>0</v>
      </c>
      <c r="O751" s="64" t="str">
        <f t="shared" si="110"/>
        <v xml:space="preserve"> </v>
      </c>
      <c r="Q751" s="97">
        <f t="shared" si="111"/>
        <v>0</v>
      </c>
      <c r="R751" s="96">
        <f t="shared" si="112"/>
        <v>0</v>
      </c>
      <c r="T751" s="67" t="str">
        <f>IF($B751&lt;&gt;"",INDEX(DataOB[],FirstRow+ROW()-7,MATCH(T$6,DataOB[#Headers],0)),"")</f>
        <v/>
      </c>
      <c r="U751" s="67" t="str">
        <f>IF($B751&lt;&gt;"",INDEX(DataOB[],FirstRow+ROW()-7,MATCH(U$6,DataOB[#Headers],0)),"")</f>
        <v/>
      </c>
      <c r="V751" s="67" t="str">
        <f>IF($B751&lt;&gt;"",INDEX(DataOB[],FirstRow+ROW()-7,MATCH(V$6,DataOB[#Headers],0)),"")</f>
        <v/>
      </c>
      <c r="W751" s="67" t="str">
        <f>IF($B751&lt;&gt;"",INDEX(DataOB[],FirstRow+ROW()-7,MATCH(W$6,DataOB[#Headers],0)),"")</f>
        <v/>
      </c>
      <c r="X751" s="67" t="str">
        <f>IF($B751&lt;&gt;"",INDEX(DataOB[],FirstRow+ROW()-7,MATCH(X$6,DataOB[#Headers],0)),"")</f>
        <v/>
      </c>
      <c r="Y751" s="67" t="str">
        <f>IF($B751&lt;&gt;"",INDEX(DataOB[],FirstRow+ROW()-7,MATCH(Y$6,DataOB[#Headers],0)),"")</f>
        <v/>
      </c>
      <c r="Z751" s="67" t="str">
        <f>IF($B751&lt;&gt;"",INDEX(DataOB[],FirstRow+ROW()-7,MATCH(Z$6,DataOB[#Headers],0)),"")</f>
        <v/>
      </c>
      <c r="AA751" s="67" t="str">
        <f>IF($B751&lt;&gt;"",INDEX(DataOB[],FirstRow+ROW()-7,MATCH(AA$6,DataOB[#Headers],0)),"")</f>
        <v/>
      </c>
      <c r="AB751" s="67" t="str">
        <f>IF($B751&lt;&gt;"",INDEX(DataOB[],FirstRow+ROW()-7,MATCH(AB$6,DataOB[#Headers],0)),"")</f>
        <v/>
      </c>
      <c r="AC751" s="67" t="str">
        <f>IF($B751&lt;&gt;"",INDEX(DataOB[],FirstRow+ROW()-7,MATCH(AC$6,DataOB[#Headers],0)),"")</f>
        <v/>
      </c>
      <c r="AD751" s="67" t="str">
        <f>IF($B751&lt;&gt;"",INDEX(DataOB[],FirstRow+ROW()-7,MATCH(AD$6,DataOB[#Headers],0)),"")</f>
        <v/>
      </c>
      <c r="AE751" s="67" t="str">
        <f>IF($B751&lt;&gt;"",INDEX(DataOB[],FirstRow+ROW()-7,MATCH(AE$6,DataOB[#Headers],0)),"")</f>
        <v/>
      </c>
      <c r="AF751" s="26">
        <f t="shared" si="113"/>
        <v>0</v>
      </c>
      <c r="AG751" s="31">
        <f>SUM($T751:T751)</f>
        <v>0</v>
      </c>
      <c r="AH751" s="31">
        <f>SUM($T751:U751)</f>
        <v>0</v>
      </c>
      <c r="AI751" s="31">
        <f>SUM($T751:V751)</f>
        <v>0</v>
      </c>
      <c r="AJ751" s="31">
        <f>SUM($T751:W751)</f>
        <v>0</v>
      </c>
      <c r="AK751" s="31">
        <f>SUM($T751:X751)</f>
        <v>0</v>
      </c>
      <c r="AL751" s="31">
        <f>SUM($T751:Y751)</f>
        <v>0</v>
      </c>
      <c r="AM751" s="31">
        <f>SUM($T751:Z751)</f>
        <v>0</v>
      </c>
      <c r="AN751" s="31">
        <f>SUM($T751:AA751)</f>
        <v>0</v>
      </c>
      <c r="AO751" s="31">
        <f>SUM($T751:AB751)</f>
        <v>0</v>
      </c>
      <c r="AP751" s="31">
        <f>SUM($T751:AC751)</f>
        <v>0</v>
      </c>
      <c r="AQ751" s="31">
        <f>SUM($T751:AD751)</f>
        <v>0</v>
      </c>
      <c r="AR751" s="31">
        <f>SUM($T751:AE751)</f>
        <v>0</v>
      </c>
      <c r="AS751" s="27">
        <f t="shared" si="114"/>
        <v>0</v>
      </c>
    </row>
    <row r="752" spans="2:45">
      <c r="B752" s="102" t="str">
        <f>IF(ROW()-6&gt;NumCostCenter,"",IF(CostCenter&lt;&gt;"ALL",CostCenter,DATA_LF2!B750))</f>
        <v/>
      </c>
      <c r="C752" s="153" t="str">
        <f>IF($B752&lt;&gt;"",INDEX(DataOB[],FirstRow+ROW()-7,2),"")</f>
        <v/>
      </c>
      <c r="D752" s="66" t="str">
        <f>IF($B752&lt;&gt;"",INDEX(DataOB[],FirstRow+ROW()-7,3),"")</f>
        <v/>
      </c>
      <c r="E752" s="103" t="str">
        <f>IF($B752&lt;&gt;"",INDEX(DataOB[],FirstRow+ROW()-7,6),"")</f>
        <v/>
      </c>
      <c r="F752" s="103" t="str">
        <f>IF($B752&lt;&gt;"",INDEX(DataOB[],FirstRow+ROW()-7,5),"")</f>
        <v/>
      </c>
      <c r="G752" s="58">
        <f>IF($B752&lt;&gt;"",SUMIFS(DataAct_tbl[AMOUNT],DataAct_tbl[BG CODE],Detail!$D752,DataAct_tbl[MONTH],LEFT(MonthName,3),DataAct_tbl[Dept code],$B752),0)</f>
        <v>0</v>
      </c>
      <c r="H752" s="31" t="str">
        <f t="shared" si="106"/>
        <v/>
      </c>
      <c r="I752" s="28" t="str">
        <f t="shared" si="107"/>
        <v/>
      </c>
      <c r="J752" s="32" t="str">
        <f t="shared" si="108"/>
        <v/>
      </c>
      <c r="K752" s="86"/>
      <c r="L752" s="62">
        <f>IF($B752&lt;&gt;"",SUMIFS(DataAct_tbl[AMOUNT],DataAct_tbl[BG CODE],Detail!$D752,DataAct_tbl[Check Range],"=true",DataAct_tbl[Dept code],$B752),0)</f>
        <v>0</v>
      </c>
      <c r="M752" s="63">
        <f>INDEX($AG$7:$AR$1005,ROW()-6,MATCH(MTD,$AG$6:$AR$6,0))</f>
        <v>0</v>
      </c>
      <c r="N752" s="34">
        <f t="shared" si="109"/>
        <v>0</v>
      </c>
      <c r="O752" s="64" t="str">
        <f t="shared" si="110"/>
        <v xml:space="preserve"> </v>
      </c>
      <c r="Q752" s="97">
        <f t="shared" si="111"/>
        <v>0</v>
      </c>
      <c r="R752" s="96">
        <f t="shared" si="112"/>
        <v>0</v>
      </c>
      <c r="T752" s="67" t="str">
        <f>IF($B752&lt;&gt;"",INDEX(DataOB[],FirstRow+ROW()-7,MATCH(T$6,DataOB[#Headers],0)),"")</f>
        <v/>
      </c>
      <c r="U752" s="67" t="str">
        <f>IF($B752&lt;&gt;"",INDEX(DataOB[],FirstRow+ROW()-7,MATCH(U$6,DataOB[#Headers],0)),"")</f>
        <v/>
      </c>
      <c r="V752" s="67" t="str">
        <f>IF($B752&lt;&gt;"",INDEX(DataOB[],FirstRow+ROW()-7,MATCH(V$6,DataOB[#Headers],0)),"")</f>
        <v/>
      </c>
      <c r="W752" s="67" t="str">
        <f>IF($B752&lt;&gt;"",INDEX(DataOB[],FirstRow+ROW()-7,MATCH(W$6,DataOB[#Headers],0)),"")</f>
        <v/>
      </c>
      <c r="X752" s="67" t="str">
        <f>IF($B752&lt;&gt;"",INDEX(DataOB[],FirstRow+ROW()-7,MATCH(X$6,DataOB[#Headers],0)),"")</f>
        <v/>
      </c>
      <c r="Y752" s="67" t="str">
        <f>IF($B752&lt;&gt;"",INDEX(DataOB[],FirstRow+ROW()-7,MATCH(Y$6,DataOB[#Headers],0)),"")</f>
        <v/>
      </c>
      <c r="Z752" s="67" t="str">
        <f>IF($B752&lt;&gt;"",INDEX(DataOB[],FirstRow+ROW()-7,MATCH(Z$6,DataOB[#Headers],0)),"")</f>
        <v/>
      </c>
      <c r="AA752" s="67" t="str">
        <f>IF($B752&lt;&gt;"",INDEX(DataOB[],FirstRow+ROW()-7,MATCH(AA$6,DataOB[#Headers],0)),"")</f>
        <v/>
      </c>
      <c r="AB752" s="67" t="str">
        <f>IF($B752&lt;&gt;"",INDEX(DataOB[],FirstRow+ROW()-7,MATCH(AB$6,DataOB[#Headers],0)),"")</f>
        <v/>
      </c>
      <c r="AC752" s="67" t="str">
        <f>IF($B752&lt;&gt;"",INDEX(DataOB[],FirstRow+ROW()-7,MATCH(AC$6,DataOB[#Headers],0)),"")</f>
        <v/>
      </c>
      <c r="AD752" s="67" t="str">
        <f>IF($B752&lt;&gt;"",INDEX(DataOB[],FirstRow+ROW()-7,MATCH(AD$6,DataOB[#Headers],0)),"")</f>
        <v/>
      </c>
      <c r="AE752" s="67" t="str">
        <f>IF($B752&lt;&gt;"",INDEX(DataOB[],FirstRow+ROW()-7,MATCH(AE$6,DataOB[#Headers],0)),"")</f>
        <v/>
      </c>
      <c r="AF752" s="26">
        <f t="shared" si="113"/>
        <v>0</v>
      </c>
      <c r="AG752" s="31">
        <f>SUM($T752:T752)</f>
        <v>0</v>
      </c>
      <c r="AH752" s="31">
        <f>SUM($T752:U752)</f>
        <v>0</v>
      </c>
      <c r="AI752" s="31">
        <f>SUM($T752:V752)</f>
        <v>0</v>
      </c>
      <c r="AJ752" s="31">
        <f>SUM($T752:W752)</f>
        <v>0</v>
      </c>
      <c r="AK752" s="31">
        <f>SUM($T752:X752)</f>
        <v>0</v>
      </c>
      <c r="AL752" s="31">
        <f>SUM($T752:Y752)</f>
        <v>0</v>
      </c>
      <c r="AM752" s="31">
        <f>SUM($T752:Z752)</f>
        <v>0</v>
      </c>
      <c r="AN752" s="31">
        <f>SUM($T752:AA752)</f>
        <v>0</v>
      </c>
      <c r="AO752" s="31">
        <f>SUM($T752:AB752)</f>
        <v>0</v>
      </c>
      <c r="AP752" s="31">
        <f>SUM($T752:AC752)</f>
        <v>0</v>
      </c>
      <c r="AQ752" s="31">
        <f>SUM($T752:AD752)</f>
        <v>0</v>
      </c>
      <c r="AR752" s="31">
        <f>SUM($T752:AE752)</f>
        <v>0</v>
      </c>
      <c r="AS752" s="27">
        <f t="shared" si="114"/>
        <v>0</v>
      </c>
    </row>
    <row r="753" spans="2:45">
      <c r="B753" s="102" t="str">
        <f>IF(ROW()-6&gt;NumCostCenter,"",IF(CostCenter&lt;&gt;"ALL",CostCenter,DATA_LF2!B751))</f>
        <v/>
      </c>
      <c r="C753" s="153" t="str">
        <f>IF($B753&lt;&gt;"",INDEX(DataOB[],FirstRow+ROW()-7,2),"")</f>
        <v/>
      </c>
      <c r="D753" s="66" t="str">
        <f>IF($B753&lt;&gt;"",INDEX(DataOB[],FirstRow+ROW()-7,3),"")</f>
        <v/>
      </c>
      <c r="E753" s="103" t="str">
        <f>IF($B753&lt;&gt;"",INDEX(DataOB[],FirstRow+ROW()-7,6),"")</f>
        <v/>
      </c>
      <c r="F753" s="103" t="str">
        <f>IF($B753&lt;&gt;"",INDEX(DataOB[],FirstRow+ROW()-7,5),"")</f>
        <v/>
      </c>
      <c r="G753" s="58">
        <f>IF($B753&lt;&gt;"",SUMIFS(DataAct_tbl[AMOUNT],DataAct_tbl[BG CODE],Detail!$D753,DataAct_tbl[MONTH],LEFT(MonthName,3),DataAct_tbl[Dept code],$B753),0)</f>
        <v>0</v>
      </c>
      <c r="H753" s="31" t="str">
        <f t="shared" si="106"/>
        <v/>
      </c>
      <c r="I753" s="28" t="str">
        <f t="shared" si="107"/>
        <v/>
      </c>
      <c r="J753" s="32" t="str">
        <f t="shared" si="108"/>
        <v/>
      </c>
      <c r="K753" s="86"/>
      <c r="L753" s="62">
        <f>IF($B753&lt;&gt;"",SUMIFS(DataAct_tbl[AMOUNT],DataAct_tbl[BG CODE],Detail!$D753,DataAct_tbl[Check Range],"=true",DataAct_tbl[Dept code],$B753),0)</f>
        <v>0</v>
      </c>
      <c r="M753" s="63">
        <f>INDEX($AG$7:$AR$1005,ROW()-6,MATCH(MTD,$AG$6:$AR$6,0))</f>
        <v>0</v>
      </c>
      <c r="N753" s="34">
        <f t="shared" si="109"/>
        <v>0</v>
      </c>
      <c r="O753" s="64" t="str">
        <f t="shared" si="110"/>
        <v xml:space="preserve"> </v>
      </c>
      <c r="Q753" s="97">
        <f t="shared" si="111"/>
        <v>0</v>
      </c>
      <c r="R753" s="96">
        <f t="shared" si="112"/>
        <v>0</v>
      </c>
      <c r="T753" s="67" t="str">
        <f>IF($B753&lt;&gt;"",INDEX(DataOB[],FirstRow+ROW()-7,MATCH(T$6,DataOB[#Headers],0)),"")</f>
        <v/>
      </c>
      <c r="U753" s="67" t="str">
        <f>IF($B753&lt;&gt;"",INDEX(DataOB[],FirstRow+ROW()-7,MATCH(U$6,DataOB[#Headers],0)),"")</f>
        <v/>
      </c>
      <c r="V753" s="67" t="str">
        <f>IF($B753&lt;&gt;"",INDEX(DataOB[],FirstRow+ROW()-7,MATCH(V$6,DataOB[#Headers],0)),"")</f>
        <v/>
      </c>
      <c r="W753" s="67" t="str">
        <f>IF($B753&lt;&gt;"",INDEX(DataOB[],FirstRow+ROW()-7,MATCH(W$6,DataOB[#Headers],0)),"")</f>
        <v/>
      </c>
      <c r="X753" s="67" t="str">
        <f>IF($B753&lt;&gt;"",INDEX(DataOB[],FirstRow+ROW()-7,MATCH(X$6,DataOB[#Headers],0)),"")</f>
        <v/>
      </c>
      <c r="Y753" s="67" t="str">
        <f>IF($B753&lt;&gt;"",INDEX(DataOB[],FirstRow+ROW()-7,MATCH(Y$6,DataOB[#Headers],0)),"")</f>
        <v/>
      </c>
      <c r="Z753" s="67" t="str">
        <f>IF($B753&lt;&gt;"",INDEX(DataOB[],FirstRow+ROW()-7,MATCH(Z$6,DataOB[#Headers],0)),"")</f>
        <v/>
      </c>
      <c r="AA753" s="67" t="str">
        <f>IF($B753&lt;&gt;"",INDEX(DataOB[],FirstRow+ROW()-7,MATCH(AA$6,DataOB[#Headers],0)),"")</f>
        <v/>
      </c>
      <c r="AB753" s="67" t="str">
        <f>IF($B753&lt;&gt;"",INDEX(DataOB[],FirstRow+ROW()-7,MATCH(AB$6,DataOB[#Headers],0)),"")</f>
        <v/>
      </c>
      <c r="AC753" s="67" t="str">
        <f>IF($B753&lt;&gt;"",INDEX(DataOB[],FirstRow+ROW()-7,MATCH(AC$6,DataOB[#Headers],0)),"")</f>
        <v/>
      </c>
      <c r="AD753" s="67" t="str">
        <f>IF($B753&lt;&gt;"",INDEX(DataOB[],FirstRow+ROW()-7,MATCH(AD$6,DataOB[#Headers],0)),"")</f>
        <v/>
      </c>
      <c r="AE753" s="67" t="str">
        <f>IF($B753&lt;&gt;"",INDEX(DataOB[],FirstRow+ROW()-7,MATCH(AE$6,DataOB[#Headers],0)),"")</f>
        <v/>
      </c>
      <c r="AF753" s="26">
        <f t="shared" si="113"/>
        <v>0</v>
      </c>
      <c r="AG753" s="31">
        <f>SUM($T753:T753)</f>
        <v>0</v>
      </c>
      <c r="AH753" s="31">
        <f>SUM($T753:U753)</f>
        <v>0</v>
      </c>
      <c r="AI753" s="31">
        <f>SUM($T753:V753)</f>
        <v>0</v>
      </c>
      <c r="AJ753" s="31">
        <f>SUM($T753:W753)</f>
        <v>0</v>
      </c>
      <c r="AK753" s="31">
        <f>SUM($T753:X753)</f>
        <v>0</v>
      </c>
      <c r="AL753" s="31">
        <f>SUM($T753:Y753)</f>
        <v>0</v>
      </c>
      <c r="AM753" s="31">
        <f>SUM($T753:Z753)</f>
        <v>0</v>
      </c>
      <c r="AN753" s="31">
        <f>SUM($T753:AA753)</f>
        <v>0</v>
      </c>
      <c r="AO753" s="31">
        <f>SUM($T753:AB753)</f>
        <v>0</v>
      </c>
      <c r="AP753" s="31">
        <f>SUM($T753:AC753)</f>
        <v>0</v>
      </c>
      <c r="AQ753" s="31">
        <f>SUM($T753:AD753)</f>
        <v>0</v>
      </c>
      <c r="AR753" s="31">
        <f>SUM($T753:AE753)</f>
        <v>0</v>
      </c>
      <c r="AS753" s="27">
        <f t="shared" si="114"/>
        <v>0</v>
      </c>
    </row>
    <row r="754" spans="2:45">
      <c r="B754" s="102" t="str">
        <f>IF(ROW()-6&gt;NumCostCenter,"",IF(CostCenter&lt;&gt;"ALL",CostCenter,DATA_LF2!B752))</f>
        <v/>
      </c>
      <c r="C754" s="153" t="str">
        <f>IF($B754&lt;&gt;"",INDEX(DataOB[],FirstRow+ROW()-7,2),"")</f>
        <v/>
      </c>
      <c r="D754" s="66" t="str">
        <f>IF($B754&lt;&gt;"",INDEX(DataOB[],FirstRow+ROW()-7,3),"")</f>
        <v/>
      </c>
      <c r="E754" s="103" t="str">
        <f>IF($B754&lt;&gt;"",INDEX(DataOB[],FirstRow+ROW()-7,6),"")</f>
        <v/>
      </c>
      <c r="F754" s="103" t="str">
        <f>IF($B754&lt;&gt;"",INDEX(DataOB[],FirstRow+ROW()-7,5),"")</f>
        <v/>
      </c>
      <c r="G754" s="58">
        <f>IF($B754&lt;&gt;"",SUMIFS(DataAct_tbl[AMOUNT],DataAct_tbl[BG CODE],Detail!$D754,DataAct_tbl[MONTH],LEFT(MonthName,3),DataAct_tbl[Dept code],$B754),0)</f>
        <v>0</v>
      </c>
      <c r="H754" s="31" t="str">
        <f t="shared" si="106"/>
        <v/>
      </c>
      <c r="I754" s="28" t="str">
        <f t="shared" si="107"/>
        <v/>
      </c>
      <c r="J754" s="32" t="str">
        <f t="shared" si="108"/>
        <v/>
      </c>
      <c r="K754" s="86"/>
      <c r="L754" s="62">
        <f>IF($B754&lt;&gt;"",SUMIFS(DataAct_tbl[AMOUNT],DataAct_tbl[BG CODE],Detail!$D754,DataAct_tbl[Check Range],"=true",DataAct_tbl[Dept code],$B754),0)</f>
        <v>0</v>
      </c>
      <c r="M754" s="63">
        <f>INDEX($AG$7:$AR$1005,ROW()-6,MATCH(MTD,$AG$6:$AR$6,0))</f>
        <v>0</v>
      </c>
      <c r="N754" s="34">
        <f t="shared" si="109"/>
        <v>0</v>
      </c>
      <c r="O754" s="64" t="str">
        <f t="shared" si="110"/>
        <v xml:space="preserve"> </v>
      </c>
      <c r="Q754" s="97">
        <f t="shared" si="111"/>
        <v>0</v>
      </c>
      <c r="R754" s="96">
        <f t="shared" si="112"/>
        <v>0</v>
      </c>
      <c r="T754" s="67" t="str">
        <f>IF($B754&lt;&gt;"",INDEX(DataOB[],FirstRow+ROW()-7,MATCH(T$6,DataOB[#Headers],0)),"")</f>
        <v/>
      </c>
      <c r="U754" s="67" t="str">
        <f>IF($B754&lt;&gt;"",INDEX(DataOB[],FirstRow+ROW()-7,MATCH(U$6,DataOB[#Headers],0)),"")</f>
        <v/>
      </c>
      <c r="V754" s="67" t="str">
        <f>IF($B754&lt;&gt;"",INDEX(DataOB[],FirstRow+ROW()-7,MATCH(V$6,DataOB[#Headers],0)),"")</f>
        <v/>
      </c>
      <c r="W754" s="67" t="str">
        <f>IF($B754&lt;&gt;"",INDEX(DataOB[],FirstRow+ROW()-7,MATCH(W$6,DataOB[#Headers],0)),"")</f>
        <v/>
      </c>
      <c r="X754" s="67" t="str">
        <f>IF($B754&lt;&gt;"",INDEX(DataOB[],FirstRow+ROW()-7,MATCH(X$6,DataOB[#Headers],0)),"")</f>
        <v/>
      </c>
      <c r="Y754" s="67" t="str">
        <f>IF($B754&lt;&gt;"",INDEX(DataOB[],FirstRow+ROW()-7,MATCH(Y$6,DataOB[#Headers],0)),"")</f>
        <v/>
      </c>
      <c r="Z754" s="67" t="str">
        <f>IF($B754&lt;&gt;"",INDEX(DataOB[],FirstRow+ROW()-7,MATCH(Z$6,DataOB[#Headers],0)),"")</f>
        <v/>
      </c>
      <c r="AA754" s="67" t="str">
        <f>IF($B754&lt;&gt;"",INDEX(DataOB[],FirstRow+ROW()-7,MATCH(AA$6,DataOB[#Headers],0)),"")</f>
        <v/>
      </c>
      <c r="AB754" s="67" t="str">
        <f>IF($B754&lt;&gt;"",INDEX(DataOB[],FirstRow+ROW()-7,MATCH(AB$6,DataOB[#Headers],0)),"")</f>
        <v/>
      </c>
      <c r="AC754" s="67" t="str">
        <f>IF($B754&lt;&gt;"",INDEX(DataOB[],FirstRow+ROW()-7,MATCH(AC$6,DataOB[#Headers],0)),"")</f>
        <v/>
      </c>
      <c r="AD754" s="67" t="str">
        <f>IF($B754&lt;&gt;"",INDEX(DataOB[],FirstRow+ROW()-7,MATCH(AD$6,DataOB[#Headers],0)),"")</f>
        <v/>
      </c>
      <c r="AE754" s="67" t="str">
        <f>IF($B754&lt;&gt;"",INDEX(DataOB[],FirstRow+ROW()-7,MATCH(AE$6,DataOB[#Headers],0)),"")</f>
        <v/>
      </c>
      <c r="AF754" s="26">
        <f t="shared" si="113"/>
        <v>0</v>
      </c>
      <c r="AG754" s="31">
        <f>SUM($T754:T754)</f>
        <v>0</v>
      </c>
      <c r="AH754" s="31">
        <f>SUM($T754:U754)</f>
        <v>0</v>
      </c>
      <c r="AI754" s="31">
        <f>SUM($T754:V754)</f>
        <v>0</v>
      </c>
      <c r="AJ754" s="31">
        <f>SUM($T754:W754)</f>
        <v>0</v>
      </c>
      <c r="AK754" s="31">
        <f>SUM($T754:X754)</f>
        <v>0</v>
      </c>
      <c r="AL754" s="31">
        <f>SUM($T754:Y754)</f>
        <v>0</v>
      </c>
      <c r="AM754" s="31">
        <f>SUM($T754:Z754)</f>
        <v>0</v>
      </c>
      <c r="AN754" s="31">
        <f>SUM($T754:AA754)</f>
        <v>0</v>
      </c>
      <c r="AO754" s="31">
        <f>SUM($T754:AB754)</f>
        <v>0</v>
      </c>
      <c r="AP754" s="31">
        <f>SUM($T754:AC754)</f>
        <v>0</v>
      </c>
      <c r="AQ754" s="31">
        <f>SUM($T754:AD754)</f>
        <v>0</v>
      </c>
      <c r="AR754" s="31">
        <f>SUM($T754:AE754)</f>
        <v>0</v>
      </c>
      <c r="AS754" s="27">
        <f t="shared" si="114"/>
        <v>0</v>
      </c>
    </row>
    <row r="755" spans="2:45">
      <c r="B755" s="102" t="str">
        <f>IF(ROW()-6&gt;NumCostCenter,"",IF(CostCenter&lt;&gt;"ALL",CostCenter,DATA_LF2!B753))</f>
        <v/>
      </c>
      <c r="C755" s="153" t="str">
        <f>IF($B755&lt;&gt;"",INDEX(DataOB[],FirstRow+ROW()-7,2),"")</f>
        <v/>
      </c>
      <c r="D755" s="66" t="str">
        <f>IF($B755&lt;&gt;"",INDEX(DataOB[],FirstRow+ROW()-7,3),"")</f>
        <v/>
      </c>
      <c r="E755" s="103" t="str">
        <f>IF($B755&lt;&gt;"",INDEX(DataOB[],FirstRow+ROW()-7,6),"")</f>
        <v/>
      </c>
      <c r="F755" s="103" t="str">
        <f>IF($B755&lt;&gt;"",INDEX(DataOB[],FirstRow+ROW()-7,5),"")</f>
        <v/>
      </c>
      <c r="G755" s="58">
        <f>IF($B755&lt;&gt;"",SUMIFS(DataAct_tbl[AMOUNT],DataAct_tbl[BG CODE],Detail!$D755,DataAct_tbl[MONTH],LEFT(MonthName,3),DataAct_tbl[Dept code],$B755),0)</f>
        <v>0</v>
      </c>
      <c r="H755" s="31" t="str">
        <f t="shared" si="106"/>
        <v/>
      </c>
      <c r="I755" s="28" t="str">
        <f t="shared" si="107"/>
        <v/>
      </c>
      <c r="J755" s="32" t="str">
        <f t="shared" si="108"/>
        <v/>
      </c>
      <c r="K755" s="86"/>
      <c r="L755" s="62">
        <f>IF($B755&lt;&gt;"",SUMIFS(DataAct_tbl[AMOUNT],DataAct_tbl[BG CODE],Detail!$D755,DataAct_tbl[Check Range],"=true",DataAct_tbl[Dept code],$B755),0)</f>
        <v>0</v>
      </c>
      <c r="M755" s="63">
        <f>INDEX($AG$7:$AR$1005,ROW()-6,MATCH(MTD,$AG$6:$AR$6,0))</f>
        <v>0</v>
      </c>
      <c r="N755" s="34">
        <f t="shared" si="109"/>
        <v>0</v>
      </c>
      <c r="O755" s="64" t="str">
        <f t="shared" si="110"/>
        <v xml:space="preserve"> </v>
      </c>
      <c r="Q755" s="97">
        <f t="shared" si="111"/>
        <v>0</v>
      </c>
      <c r="R755" s="96">
        <f t="shared" si="112"/>
        <v>0</v>
      </c>
      <c r="T755" s="67" t="str">
        <f>IF($B755&lt;&gt;"",INDEX(DataOB[],FirstRow+ROW()-7,MATCH(T$6,DataOB[#Headers],0)),"")</f>
        <v/>
      </c>
      <c r="U755" s="67" t="str">
        <f>IF($B755&lt;&gt;"",INDEX(DataOB[],FirstRow+ROW()-7,MATCH(U$6,DataOB[#Headers],0)),"")</f>
        <v/>
      </c>
      <c r="V755" s="67" t="str">
        <f>IF($B755&lt;&gt;"",INDEX(DataOB[],FirstRow+ROW()-7,MATCH(V$6,DataOB[#Headers],0)),"")</f>
        <v/>
      </c>
      <c r="W755" s="67" t="str">
        <f>IF($B755&lt;&gt;"",INDEX(DataOB[],FirstRow+ROW()-7,MATCH(W$6,DataOB[#Headers],0)),"")</f>
        <v/>
      </c>
      <c r="X755" s="67" t="str">
        <f>IF($B755&lt;&gt;"",INDEX(DataOB[],FirstRow+ROW()-7,MATCH(X$6,DataOB[#Headers],0)),"")</f>
        <v/>
      </c>
      <c r="Y755" s="67" t="str">
        <f>IF($B755&lt;&gt;"",INDEX(DataOB[],FirstRow+ROW()-7,MATCH(Y$6,DataOB[#Headers],0)),"")</f>
        <v/>
      </c>
      <c r="Z755" s="67" t="str">
        <f>IF($B755&lt;&gt;"",INDEX(DataOB[],FirstRow+ROW()-7,MATCH(Z$6,DataOB[#Headers],0)),"")</f>
        <v/>
      </c>
      <c r="AA755" s="67" t="str">
        <f>IF($B755&lt;&gt;"",INDEX(DataOB[],FirstRow+ROW()-7,MATCH(AA$6,DataOB[#Headers],0)),"")</f>
        <v/>
      </c>
      <c r="AB755" s="67" t="str">
        <f>IF($B755&lt;&gt;"",INDEX(DataOB[],FirstRow+ROW()-7,MATCH(AB$6,DataOB[#Headers],0)),"")</f>
        <v/>
      </c>
      <c r="AC755" s="67" t="str">
        <f>IF($B755&lt;&gt;"",INDEX(DataOB[],FirstRow+ROW()-7,MATCH(AC$6,DataOB[#Headers],0)),"")</f>
        <v/>
      </c>
      <c r="AD755" s="67" t="str">
        <f>IF($B755&lt;&gt;"",INDEX(DataOB[],FirstRow+ROW()-7,MATCH(AD$6,DataOB[#Headers],0)),"")</f>
        <v/>
      </c>
      <c r="AE755" s="67" t="str">
        <f>IF($B755&lt;&gt;"",INDEX(DataOB[],FirstRow+ROW()-7,MATCH(AE$6,DataOB[#Headers],0)),"")</f>
        <v/>
      </c>
      <c r="AF755" s="26">
        <f t="shared" si="113"/>
        <v>0</v>
      </c>
      <c r="AG755" s="31">
        <f>SUM($T755:T755)</f>
        <v>0</v>
      </c>
      <c r="AH755" s="31">
        <f>SUM($T755:U755)</f>
        <v>0</v>
      </c>
      <c r="AI755" s="31">
        <f>SUM($T755:V755)</f>
        <v>0</v>
      </c>
      <c r="AJ755" s="31">
        <f>SUM($T755:W755)</f>
        <v>0</v>
      </c>
      <c r="AK755" s="31">
        <f>SUM($T755:X755)</f>
        <v>0</v>
      </c>
      <c r="AL755" s="31">
        <f>SUM($T755:Y755)</f>
        <v>0</v>
      </c>
      <c r="AM755" s="31">
        <f>SUM($T755:Z755)</f>
        <v>0</v>
      </c>
      <c r="AN755" s="31">
        <f>SUM($T755:AA755)</f>
        <v>0</v>
      </c>
      <c r="AO755" s="31">
        <f>SUM($T755:AB755)</f>
        <v>0</v>
      </c>
      <c r="AP755" s="31">
        <f>SUM($T755:AC755)</f>
        <v>0</v>
      </c>
      <c r="AQ755" s="31">
        <f>SUM($T755:AD755)</f>
        <v>0</v>
      </c>
      <c r="AR755" s="31">
        <f>SUM($T755:AE755)</f>
        <v>0</v>
      </c>
      <c r="AS755" s="27">
        <f t="shared" si="114"/>
        <v>0</v>
      </c>
    </row>
    <row r="756" spans="2:45">
      <c r="B756" s="102" t="str">
        <f>IF(ROW()-6&gt;NumCostCenter,"",IF(CostCenter&lt;&gt;"ALL",CostCenter,DATA_LF2!B754))</f>
        <v/>
      </c>
      <c r="C756" s="153" t="str">
        <f>IF($B756&lt;&gt;"",INDEX(DataOB[],FirstRow+ROW()-7,2),"")</f>
        <v/>
      </c>
      <c r="D756" s="66" t="str">
        <f>IF($B756&lt;&gt;"",INDEX(DataOB[],FirstRow+ROW()-7,3),"")</f>
        <v/>
      </c>
      <c r="E756" s="103" t="str">
        <f>IF($B756&lt;&gt;"",INDEX(DataOB[],FirstRow+ROW()-7,6),"")</f>
        <v/>
      </c>
      <c r="F756" s="103" t="str">
        <f>IF($B756&lt;&gt;"",INDEX(DataOB[],FirstRow+ROW()-7,5),"")</f>
        <v/>
      </c>
      <c r="G756" s="58">
        <f>IF($B756&lt;&gt;"",SUMIFS(DataAct_tbl[AMOUNT],DataAct_tbl[BG CODE],Detail!$D756,DataAct_tbl[MONTH],LEFT(MonthName,3),DataAct_tbl[Dept code],$B756),0)</f>
        <v>0</v>
      </c>
      <c r="H756" s="31" t="str">
        <f t="shared" si="106"/>
        <v/>
      </c>
      <c r="I756" s="28" t="str">
        <f t="shared" si="107"/>
        <v/>
      </c>
      <c r="J756" s="32" t="str">
        <f t="shared" si="108"/>
        <v/>
      </c>
      <c r="K756" s="86"/>
      <c r="L756" s="62">
        <f>IF($B756&lt;&gt;"",SUMIFS(DataAct_tbl[AMOUNT],DataAct_tbl[BG CODE],Detail!$D756,DataAct_tbl[Check Range],"=true",DataAct_tbl[Dept code],$B756),0)</f>
        <v>0</v>
      </c>
      <c r="M756" s="63">
        <f>INDEX($AG$7:$AR$1005,ROW()-6,MATCH(MTD,$AG$6:$AR$6,0))</f>
        <v>0</v>
      </c>
      <c r="N756" s="34">
        <f t="shared" si="109"/>
        <v>0</v>
      </c>
      <c r="O756" s="64" t="str">
        <f t="shared" si="110"/>
        <v xml:space="preserve"> </v>
      </c>
      <c r="Q756" s="97">
        <f t="shared" si="111"/>
        <v>0</v>
      </c>
      <c r="R756" s="96">
        <f t="shared" si="112"/>
        <v>0</v>
      </c>
      <c r="T756" s="67" t="str">
        <f>IF($B756&lt;&gt;"",INDEX(DataOB[],FirstRow+ROW()-7,MATCH(T$6,DataOB[#Headers],0)),"")</f>
        <v/>
      </c>
      <c r="U756" s="67" t="str">
        <f>IF($B756&lt;&gt;"",INDEX(DataOB[],FirstRow+ROW()-7,MATCH(U$6,DataOB[#Headers],0)),"")</f>
        <v/>
      </c>
      <c r="V756" s="67" t="str">
        <f>IF($B756&lt;&gt;"",INDEX(DataOB[],FirstRow+ROW()-7,MATCH(V$6,DataOB[#Headers],0)),"")</f>
        <v/>
      </c>
      <c r="W756" s="67" t="str">
        <f>IF($B756&lt;&gt;"",INDEX(DataOB[],FirstRow+ROW()-7,MATCH(W$6,DataOB[#Headers],0)),"")</f>
        <v/>
      </c>
      <c r="X756" s="67" t="str">
        <f>IF($B756&lt;&gt;"",INDEX(DataOB[],FirstRow+ROW()-7,MATCH(X$6,DataOB[#Headers],0)),"")</f>
        <v/>
      </c>
      <c r="Y756" s="67" t="str">
        <f>IF($B756&lt;&gt;"",INDEX(DataOB[],FirstRow+ROW()-7,MATCH(Y$6,DataOB[#Headers],0)),"")</f>
        <v/>
      </c>
      <c r="Z756" s="67" t="str">
        <f>IF($B756&lt;&gt;"",INDEX(DataOB[],FirstRow+ROW()-7,MATCH(Z$6,DataOB[#Headers],0)),"")</f>
        <v/>
      </c>
      <c r="AA756" s="67" t="str">
        <f>IF($B756&lt;&gt;"",INDEX(DataOB[],FirstRow+ROW()-7,MATCH(AA$6,DataOB[#Headers],0)),"")</f>
        <v/>
      </c>
      <c r="AB756" s="67" t="str">
        <f>IF($B756&lt;&gt;"",INDEX(DataOB[],FirstRow+ROW()-7,MATCH(AB$6,DataOB[#Headers],0)),"")</f>
        <v/>
      </c>
      <c r="AC756" s="67" t="str">
        <f>IF($B756&lt;&gt;"",INDEX(DataOB[],FirstRow+ROW()-7,MATCH(AC$6,DataOB[#Headers],0)),"")</f>
        <v/>
      </c>
      <c r="AD756" s="67" t="str">
        <f>IF($B756&lt;&gt;"",INDEX(DataOB[],FirstRow+ROW()-7,MATCH(AD$6,DataOB[#Headers],0)),"")</f>
        <v/>
      </c>
      <c r="AE756" s="67" t="str">
        <f>IF($B756&lt;&gt;"",INDEX(DataOB[],FirstRow+ROW()-7,MATCH(AE$6,DataOB[#Headers],0)),"")</f>
        <v/>
      </c>
      <c r="AF756" s="26">
        <f t="shared" si="113"/>
        <v>0</v>
      </c>
      <c r="AG756" s="31">
        <f>SUM($T756:T756)</f>
        <v>0</v>
      </c>
      <c r="AH756" s="31">
        <f>SUM($T756:U756)</f>
        <v>0</v>
      </c>
      <c r="AI756" s="31">
        <f>SUM($T756:V756)</f>
        <v>0</v>
      </c>
      <c r="AJ756" s="31">
        <f>SUM($T756:W756)</f>
        <v>0</v>
      </c>
      <c r="AK756" s="31">
        <f>SUM($T756:X756)</f>
        <v>0</v>
      </c>
      <c r="AL756" s="31">
        <f>SUM($T756:Y756)</f>
        <v>0</v>
      </c>
      <c r="AM756" s="31">
        <f>SUM($T756:Z756)</f>
        <v>0</v>
      </c>
      <c r="AN756" s="31">
        <f>SUM($T756:AA756)</f>
        <v>0</v>
      </c>
      <c r="AO756" s="31">
        <f>SUM($T756:AB756)</f>
        <v>0</v>
      </c>
      <c r="AP756" s="31">
        <f>SUM($T756:AC756)</f>
        <v>0</v>
      </c>
      <c r="AQ756" s="31">
        <f>SUM($T756:AD756)</f>
        <v>0</v>
      </c>
      <c r="AR756" s="31">
        <f>SUM($T756:AE756)</f>
        <v>0</v>
      </c>
      <c r="AS756" s="27">
        <f t="shared" si="114"/>
        <v>0</v>
      </c>
    </row>
    <row r="757" spans="2:45">
      <c r="B757" s="102" t="str">
        <f>IF(ROW()-6&gt;NumCostCenter,"",IF(CostCenter&lt;&gt;"ALL",CostCenter,DATA_LF2!B755))</f>
        <v/>
      </c>
      <c r="C757" s="153" t="str">
        <f>IF($B757&lt;&gt;"",INDEX(DataOB[],FirstRow+ROW()-7,2),"")</f>
        <v/>
      </c>
      <c r="D757" s="66" t="str">
        <f>IF($B757&lt;&gt;"",INDEX(DataOB[],FirstRow+ROW()-7,3),"")</f>
        <v/>
      </c>
      <c r="E757" s="103" t="str">
        <f>IF($B757&lt;&gt;"",INDEX(DataOB[],FirstRow+ROW()-7,6),"")</f>
        <v/>
      </c>
      <c r="F757" s="103" t="str">
        <f>IF($B757&lt;&gt;"",INDEX(DataOB[],FirstRow+ROW()-7,5),"")</f>
        <v/>
      </c>
      <c r="G757" s="58">
        <f>IF($B757&lt;&gt;"",SUMIFS(DataAct_tbl[AMOUNT],DataAct_tbl[BG CODE],Detail!$D757,DataAct_tbl[MONTH],LEFT(MonthName,3),DataAct_tbl[Dept code],$B757),0)</f>
        <v>0</v>
      </c>
      <c r="H757" s="31" t="str">
        <f t="shared" si="106"/>
        <v/>
      </c>
      <c r="I757" s="28" t="str">
        <f t="shared" si="107"/>
        <v/>
      </c>
      <c r="J757" s="32" t="str">
        <f t="shared" si="108"/>
        <v/>
      </c>
      <c r="K757" s="86"/>
      <c r="L757" s="62">
        <f>IF($B757&lt;&gt;"",SUMIFS(DataAct_tbl[AMOUNT],DataAct_tbl[BG CODE],Detail!$D757,DataAct_tbl[Check Range],"=true",DataAct_tbl[Dept code],$B757),0)</f>
        <v>0</v>
      </c>
      <c r="M757" s="63">
        <f>INDEX($AG$7:$AR$1005,ROW()-6,MATCH(MTD,$AG$6:$AR$6,0))</f>
        <v>0</v>
      </c>
      <c r="N757" s="34">
        <f t="shared" si="109"/>
        <v>0</v>
      </c>
      <c r="O757" s="64" t="str">
        <f t="shared" si="110"/>
        <v xml:space="preserve"> </v>
      </c>
      <c r="Q757" s="97">
        <f t="shared" si="111"/>
        <v>0</v>
      </c>
      <c r="R757" s="96">
        <f t="shared" si="112"/>
        <v>0</v>
      </c>
      <c r="T757" s="67" t="str">
        <f>IF($B757&lt;&gt;"",INDEX(DataOB[],FirstRow+ROW()-7,MATCH(T$6,DataOB[#Headers],0)),"")</f>
        <v/>
      </c>
      <c r="U757" s="67" t="str">
        <f>IF($B757&lt;&gt;"",INDEX(DataOB[],FirstRow+ROW()-7,MATCH(U$6,DataOB[#Headers],0)),"")</f>
        <v/>
      </c>
      <c r="V757" s="67" t="str">
        <f>IF($B757&lt;&gt;"",INDEX(DataOB[],FirstRow+ROW()-7,MATCH(V$6,DataOB[#Headers],0)),"")</f>
        <v/>
      </c>
      <c r="W757" s="67" t="str">
        <f>IF($B757&lt;&gt;"",INDEX(DataOB[],FirstRow+ROW()-7,MATCH(W$6,DataOB[#Headers],0)),"")</f>
        <v/>
      </c>
      <c r="X757" s="67" t="str">
        <f>IF($B757&lt;&gt;"",INDEX(DataOB[],FirstRow+ROW()-7,MATCH(X$6,DataOB[#Headers],0)),"")</f>
        <v/>
      </c>
      <c r="Y757" s="67" t="str">
        <f>IF($B757&lt;&gt;"",INDEX(DataOB[],FirstRow+ROW()-7,MATCH(Y$6,DataOB[#Headers],0)),"")</f>
        <v/>
      </c>
      <c r="Z757" s="67" t="str">
        <f>IF($B757&lt;&gt;"",INDEX(DataOB[],FirstRow+ROW()-7,MATCH(Z$6,DataOB[#Headers],0)),"")</f>
        <v/>
      </c>
      <c r="AA757" s="67" t="str">
        <f>IF($B757&lt;&gt;"",INDEX(DataOB[],FirstRow+ROW()-7,MATCH(AA$6,DataOB[#Headers],0)),"")</f>
        <v/>
      </c>
      <c r="AB757" s="67" t="str">
        <f>IF($B757&lt;&gt;"",INDEX(DataOB[],FirstRow+ROW()-7,MATCH(AB$6,DataOB[#Headers],0)),"")</f>
        <v/>
      </c>
      <c r="AC757" s="67" t="str">
        <f>IF($B757&lt;&gt;"",INDEX(DataOB[],FirstRow+ROW()-7,MATCH(AC$6,DataOB[#Headers],0)),"")</f>
        <v/>
      </c>
      <c r="AD757" s="67" t="str">
        <f>IF($B757&lt;&gt;"",INDEX(DataOB[],FirstRow+ROW()-7,MATCH(AD$6,DataOB[#Headers],0)),"")</f>
        <v/>
      </c>
      <c r="AE757" s="67" t="str">
        <f>IF($B757&lt;&gt;"",INDEX(DataOB[],FirstRow+ROW()-7,MATCH(AE$6,DataOB[#Headers],0)),"")</f>
        <v/>
      </c>
      <c r="AF757" s="26">
        <f t="shared" si="113"/>
        <v>0</v>
      </c>
      <c r="AG757" s="31">
        <f>SUM($T757:T757)</f>
        <v>0</v>
      </c>
      <c r="AH757" s="31">
        <f>SUM($T757:U757)</f>
        <v>0</v>
      </c>
      <c r="AI757" s="31">
        <f>SUM($T757:V757)</f>
        <v>0</v>
      </c>
      <c r="AJ757" s="31">
        <f>SUM($T757:W757)</f>
        <v>0</v>
      </c>
      <c r="AK757" s="31">
        <f>SUM($T757:X757)</f>
        <v>0</v>
      </c>
      <c r="AL757" s="31">
        <f>SUM($T757:Y757)</f>
        <v>0</v>
      </c>
      <c r="AM757" s="31">
        <f>SUM($T757:Z757)</f>
        <v>0</v>
      </c>
      <c r="AN757" s="31">
        <f>SUM($T757:AA757)</f>
        <v>0</v>
      </c>
      <c r="AO757" s="31">
        <f>SUM($T757:AB757)</f>
        <v>0</v>
      </c>
      <c r="AP757" s="31">
        <f>SUM($T757:AC757)</f>
        <v>0</v>
      </c>
      <c r="AQ757" s="31">
        <f>SUM($T757:AD757)</f>
        <v>0</v>
      </c>
      <c r="AR757" s="31">
        <f>SUM($T757:AE757)</f>
        <v>0</v>
      </c>
      <c r="AS757" s="27">
        <f t="shared" si="114"/>
        <v>0</v>
      </c>
    </row>
    <row r="758" spans="2:45">
      <c r="B758" s="102" t="str">
        <f>IF(ROW()-6&gt;NumCostCenter,"",IF(CostCenter&lt;&gt;"ALL",CostCenter,DATA_LF2!B756))</f>
        <v/>
      </c>
      <c r="C758" s="153" t="str">
        <f>IF($B758&lt;&gt;"",INDEX(DataOB[],FirstRow+ROW()-7,2),"")</f>
        <v/>
      </c>
      <c r="D758" s="66" t="str">
        <f>IF($B758&lt;&gt;"",INDEX(DataOB[],FirstRow+ROW()-7,3),"")</f>
        <v/>
      </c>
      <c r="E758" s="103" t="str">
        <f>IF($B758&lt;&gt;"",INDEX(DataOB[],FirstRow+ROW()-7,6),"")</f>
        <v/>
      </c>
      <c r="F758" s="103" t="str">
        <f>IF($B758&lt;&gt;"",INDEX(DataOB[],FirstRow+ROW()-7,5),"")</f>
        <v/>
      </c>
      <c r="G758" s="58">
        <f>IF($B758&lt;&gt;"",SUMIFS(DataAct_tbl[AMOUNT],DataAct_tbl[BG CODE],Detail!$D758,DataAct_tbl[MONTH],LEFT(MonthName,3),DataAct_tbl[Dept code],$B758),0)</f>
        <v>0</v>
      </c>
      <c r="H758" s="31" t="str">
        <f t="shared" si="106"/>
        <v/>
      </c>
      <c r="I758" s="28" t="str">
        <f t="shared" si="107"/>
        <v/>
      </c>
      <c r="J758" s="32" t="str">
        <f t="shared" si="108"/>
        <v/>
      </c>
      <c r="K758" s="86"/>
      <c r="L758" s="62">
        <f>IF($B758&lt;&gt;"",SUMIFS(DataAct_tbl[AMOUNT],DataAct_tbl[BG CODE],Detail!$D758,DataAct_tbl[Check Range],"=true",DataAct_tbl[Dept code],$B758),0)</f>
        <v>0</v>
      </c>
      <c r="M758" s="63">
        <f>INDEX($AG$7:$AR$1005,ROW()-6,MATCH(MTD,$AG$6:$AR$6,0))</f>
        <v>0</v>
      </c>
      <c r="N758" s="34">
        <f t="shared" si="109"/>
        <v>0</v>
      </c>
      <c r="O758" s="64" t="str">
        <f t="shared" si="110"/>
        <v xml:space="preserve"> </v>
      </c>
      <c r="Q758" s="97">
        <f t="shared" si="111"/>
        <v>0</v>
      </c>
      <c r="R758" s="96">
        <f t="shared" si="112"/>
        <v>0</v>
      </c>
      <c r="T758" s="67" t="str">
        <f>IF($B758&lt;&gt;"",INDEX(DataOB[],FirstRow+ROW()-7,MATCH(T$6,DataOB[#Headers],0)),"")</f>
        <v/>
      </c>
      <c r="U758" s="67" t="str">
        <f>IF($B758&lt;&gt;"",INDEX(DataOB[],FirstRow+ROW()-7,MATCH(U$6,DataOB[#Headers],0)),"")</f>
        <v/>
      </c>
      <c r="V758" s="67" t="str">
        <f>IF($B758&lt;&gt;"",INDEX(DataOB[],FirstRow+ROW()-7,MATCH(V$6,DataOB[#Headers],0)),"")</f>
        <v/>
      </c>
      <c r="W758" s="67" t="str">
        <f>IF($B758&lt;&gt;"",INDEX(DataOB[],FirstRow+ROW()-7,MATCH(W$6,DataOB[#Headers],0)),"")</f>
        <v/>
      </c>
      <c r="X758" s="67" t="str">
        <f>IF($B758&lt;&gt;"",INDEX(DataOB[],FirstRow+ROW()-7,MATCH(X$6,DataOB[#Headers],0)),"")</f>
        <v/>
      </c>
      <c r="Y758" s="67" t="str">
        <f>IF($B758&lt;&gt;"",INDEX(DataOB[],FirstRow+ROW()-7,MATCH(Y$6,DataOB[#Headers],0)),"")</f>
        <v/>
      </c>
      <c r="Z758" s="67" t="str">
        <f>IF($B758&lt;&gt;"",INDEX(DataOB[],FirstRow+ROW()-7,MATCH(Z$6,DataOB[#Headers],0)),"")</f>
        <v/>
      </c>
      <c r="AA758" s="67" t="str">
        <f>IF($B758&lt;&gt;"",INDEX(DataOB[],FirstRow+ROW()-7,MATCH(AA$6,DataOB[#Headers],0)),"")</f>
        <v/>
      </c>
      <c r="AB758" s="67" t="str">
        <f>IF($B758&lt;&gt;"",INDEX(DataOB[],FirstRow+ROW()-7,MATCH(AB$6,DataOB[#Headers],0)),"")</f>
        <v/>
      </c>
      <c r="AC758" s="67" t="str">
        <f>IF($B758&lt;&gt;"",INDEX(DataOB[],FirstRow+ROW()-7,MATCH(AC$6,DataOB[#Headers],0)),"")</f>
        <v/>
      </c>
      <c r="AD758" s="67" t="str">
        <f>IF($B758&lt;&gt;"",INDEX(DataOB[],FirstRow+ROW()-7,MATCH(AD$6,DataOB[#Headers],0)),"")</f>
        <v/>
      </c>
      <c r="AE758" s="67" t="str">
        <f>IF($B758&lt;&gt;"",INDEX(DataOB[],FirstRow+ROW()-7,MATCH(AE$6,DataOB[#Headers],0)),"")</f>
        <v/>
      </c>
      <c r="AF758" s="26">
        <f t="shared" si="113"/>
        <v>0</v>
      </c>
      <c r="AG758" s="31">
        <f>SUM($T758:T758)</f>
        <v>0</v>
      </c>
      <c r="AH758" s="31">
        <f>SUM($T758:U758)</f>
        <v>0</v>
      </c>
      <c r="AI758" s="31">
        <f>SUM($T758:V758)</f>
        <v>0</v>
      </c>
      <c r="AJ758" s="31">
        <f>SUM($T758:W758)</f>
        <v>0</v>
      </c>
      <c r="AK758" s="31">
        <f>SUM($T758:X758)</f>
        <v>0</v>
      </c>
      <c r="AL758" s="31">
        <f>SUM($T758:Y758)</f>
        <v>0</v>
      </c>
      <c r="AM758" s="31">
        <f>SUM($T758:Z758)</f>
        <v>0</v>
      </c>
      <c r="AN758" s="31">
        <f>SUM($T758:AA758)</f>
        <v>0</v>
      </c>
      <c r="AO758" s="31">
        <f>SUM($T758:AB758)</f>
        <v>0</v>
      </c>
      <c r="AP758" s="31">
        <f>SUM($T758:AC758)</f>
        <v>0</v>
      </c>
      <c r="AQ758" s="31">
        <f>SUM($T758:AD758)</f>
        <v>0</v>
      </c>
      <c r="AR758" s="31">
        <f>SUM($T758:AE758)</f>
        <v>0</v>
      </c>
      <c r="AS758" s="27">
        <f t="shared" si="114"/>
        <v>0</v>
      </c>
    </row>
    <row r="759" spans="2:45">
      <c r="B759" s="102" t="str">
        <f>IF(ROW()-6&gt;NumCostCenter,"",IF(CostCenter&lt;&gt;"ALL",CostCenter,DATA_LF2!B757))</f>
        <v/>
      </c>
      <c r="C759" s="153" t="str">
        <f>IF($B759&lt;&gt;"",INDEX(DataOB[],FirstRow+ROW()-7,2),"")</f>
        <v/>
      </c>
      <c r="D759" s="66" t="str">
        <f>IF($B759&lt;&gt;"",INDEX(DataOB[],FirstRow+ROW()-7,3),"")</f>
        <v/>
      </c>
      <c r="E759" s="103" t="str">
        <f>IF($B759&lt;&gt;"",INDEX(DataOB[],FirstRow+ROW()-7,6),"")</f>
        <v/>
      </c>
      <c r="F759" s="103" t="str">
        <f>IF($B759&lt;&gt;"",INDEX(DataOB[],FirstRow+ROW()-7,5),"")</f>
        <v/>
      </c>
      <c r="G759" s="58">
        <f>IF($B759&lt;&gt;"",SUMIFS(DataAct_tbl[AMOUNT],DataAct_tbl[BG CODE],Detail!$D759,DataAct_tbl[MONTH],LEFT(MonthName,3),DataAct_tbl[Dept code],$B759),0)</f>
        <v>0</v>
      </c>
      <c r="H759" s="31" t="str">
        <f t="shared" si="106"/>
        <v/>
      </c>
      <c r="I759" s="28" t="str">
        <f t="shared" si="107"/>
        <v/>
      </c>
      <c r="J759" s="32" t="str">
        <f t="shared" si="108"/>
        <v/>
      </c>
      <c r="K759" s="86"/>
      <c r="L759" s="62">
        <f>IF($B759&lt;&gt;"",SUMIFS(DataAct_tbl[AMOUNT],DataAct_tbl[BG CODE],Detail!$D759,DataAct_tbl[Check Range],"=true",DataAct_tbl[Dept code],$B759),0)</f>
        <v>0</v>
      </c>
      <c r="M759" s="63">
        <f>INDEX($AG$7:$AR$1005,ROW()-6,MATCH(MTD,$AG$6:$AR$6,0))</f>
        <v>0</v>
      </c>
      <c r="N759" s="34">
        <f t="shared" si="109"/>
        <v>0</v>
      </c>
      <c r="O759" s="64" t="str">
        <f t="shared" si="110"/>
        <v xml:space="preserve"> </v>
      </c>
      <c r="Q759" s="97">
        <f t="shared" si="111"/>
        <v>0</v>
      </c>
      <c r="R759" s="96">
        <f t="shared" si="112"/>
        <v>0</v>
      </c>
      <c r="T759" s="67" t="str">
        <f>IF($B759&lt;&gt;"",INDEX(DataOB[],FirstRow+ROW()-7,MATCH(T$6,DataOB[#Headers],0)),"")</f>
        <v/>
      </c>
      <c r="U759" s="67" t="str">
        <f>IF($B759&lt;&gt;"",INDEX(DataOB[],FirstRow+ROW()-7,MATCH(U$6,DataOB[#Headers],0)),"")</f>
        <v/>
      </c>
      <c r="V759" s="67" t="str">
        <f>IF($B759&lt;&gt;"",INDEX(DataOB[],FirstRow+ROW()-7,MATCH(V$6,DataOB[#Headers],0)),"")</f>
        <v/>
      </c>
      <c r="W759" s="67" t="str">
        <f>IF($B759&lt;&gt;"",INDEX(DataOB[],FirstRow+ROW()-7,MATCH(W$6,DataOB[#Headers],0)),"")</f>
        <v/>
      </c>
      <c r="X759" s="67" t="str">
        <f>IF($B759&lt;&gt;"",INDEX(DataOB[],FirstRow+ROW()-7,MATCH(X$6,DataOB[#Headers],0)),"")</f>
        <v/>
      </c>
      <c r="Y759" s="67" t="str">
        <f>IF($B759&lt;&gt;"",INDEX(DataOB[],FirstRow+ROW()-7,MATCH(Y$6,DataOB[#Headers],0)),"")</f>
        <v/>
      </c>
      <c r="Z759" s="67" t="str">
        <f>IF($B759&lt;&gt;"",INDEX(DataOB[],FirstRow+ROW()-7,MATCH(Z$6,DataOB[#Headers],0)),"")</f>
        <v/>
      </c>
      <c r="AA759" s="67" t="str">
        <f>IF($B759&lt;&gt;"",INDEX(DataOB[],FirstRow+ROW()-7,MATCH(AA$6,DataOB[#Headers],0)),"")</f>
        <v/>
      </c>
      <c r="AB759" s="67" t="str">
        <f>IF($B759&lt;&gt;"",INDEX(DataOB[],FirstRow+ROW()-7,MATCH(AB$6,DataOB[#Headers],0)),"")</f>
        <v/>
      </c>
      <c r="AC759" s="67" t="str">
        <f>IF($B759&lt;&gt;"",INDEX(DataOB[],FirstRow+ROW()-7,MATCH(AC$6,DataOB[#Headers],0)),"")</f>
        <v/>
      </c>
      <c r="AD759" s="67" t="str">
        <f>IF($B759&lt;&gt;"",INDEX(DataOB[],FirstRow+ROW()-7,MATCH(AD$6,DataOB[#Headers],0)),"")</f>
        <v/>
      </c>
      <c r="AE759" s="67" t="str">
        <f>IF($B759&lt;&gt;"",INDEX(DataOB[],FirstRow+ROW()-7,MATCH(AE$6,DataOB[#Headers],0)),"")</f>
        <v/>
      </c>
      <c r="AF759" s="26">
        <f t="shared" si="113"/>
        <v>0</v>
      </c>
      <c r="AG759" s="31">
        <f>SUM($T759:T759)</f>
        <v>0</v>
      </c>
      <c r="AH759" s="31">
        <f>SUM($T759:U759)</f>
        <v>0</v>
      </c>
      <c r="AI759" s="31">
        <f>SUM($T759:V759)</f>
        <v>0</v>
      </c>
      <c r="AJ759" s="31">
        <f>SUM($T759:W759)</f>
        <v>0</v>
      </c>
      <c r="AK759" s="31">
        <f>SUM($T759:X759)</f>
        <v>0</v>
      </c>
      <c r="AL759" s="31">
        <f>SUM($T759:Y759)</f>
        <v>0</v>
      </c>
      <c r="AM759" s="31">
        <f>SUM($T759:Z759)</f>
        <v>0</v>
      </c>
      <c r="AN759" s="31">
        <f>SUM($T759:AA759)</f>
        <v>0</v>
      </c>
      <c r="AO759" s="31">
        <f>SUM($T759:AB759)</f>
        <v>0</v>
      </c>
      <c r="AP759" s="31">
        <f>SUM($T759:AC759)</f>
        <v>0</v>
      </c>
      <c r="AQ759" s="31">
        <f>SUM($T759:AD759)</f>
        <v>0</v>
      </c>
      <c r="AR759" s="31">
        <f>SUM($T759:AE759)</f>
        <v>0</v>
      </c>
      <c r="AS759" s="27">
        <f t="shared" si="114"/>
        <v>0</v>
      </c>
    </row>
    <row r="760" spans="2:45">
      <c r="B760" s="102" t="str">
        <f>IF(ROW()-6&gt;NumCostCenter,"",IF(CostCenter&lt;&gt;"ALL",CostCenter,DATA_LF2!B758))</f>
        <v/>
      </c>
      <c r="C760" s="153" t="str">
        <f>IF($B760&lt;&gt;"",INDEX(DataOB[],FirstRow+ROW()-7,2),"")</f>
        <v/>
      </c>
      <c r="D760" s="66" t="str">
        <f>IF($B760&lt;&gt;"",INDEX(DataOB[],FirstRow+ROW()-7,3),"")</f>
        <v/>
      </c>
      <c r="E760" s="103" t="str">
        <f>IF($B760&lt;&gt;"",INDEX(DataOB[],FirstRow+ROW()-7,6),"")</f>
        <v/>
      </c>
      <c r="F760" s="103" t="str">
        <f>IF($B760&lt;&gt;"",INDEX(DataOB[],FirstRow+ROW()-7,5),"")</f>
        <v/>
      </c>
      <c r="G760" s="58">
        <f>IF($B760&lt;&gt;"",SUMIFS(DataAct_tbl[AMOUNT],DataAct_tbl[BG CODE],Detail!$D760,DataAct_tbl[MONTH],LEFT(MonthName,3),DataAct_tbl[Dept code],$B760),0)</f>
        <v>0</v>
      </c>
      <c r="H760" s="31" t="str">
        <f t="shared" si="106"/>
        <v/>
      </c>
      <c r="I760" s="28" t="str">
        <f t="shared" si="107"/>
        <v/>
      </c>
      <c r="J760" s="32" t="str">
        <f t="shared" si="108"/>
        <v/>
      </c>
      <c r="K760" s="86"/>
      <c r="L760" s="62">
        <f>IF($B760&lt;&gt;"",SUMIFS(DataAct_tbl[AMOUNT],DataAct_tbl[BG CODE],Detail!$D760,DataAct_tbl[Check Range],"=true",DataAct_tbl[Dept code],$B760),0)</f>
        <v>0</v>
      </c>
      <c r="M760" s="63">
        <f>INDEX($AG$7:$AR$1005,ROW()-6,MATCH(MTD,$AG$6:$AR$6,0))</f>
        <v>0</v>
      </c>
      <c r="N760" s="34">
        <f t="shared" si="109"/>
        <v>0</v>
      </c>
      <c r="O760" s="64" t="str">
        <f t="shared" si="110"/>
        <v xml:space="preserve"> </v>
      </c>
      <c r="Q760" s="97">
        <f t="shared" si="111"/>
        <v>0</v>
      </c>
      <c r="R760" s="96">
        <f t="shared" si="112"/>
        <v>0</v>
      </c>
      <c r="T760" s="67" t="str">
        <f>IF($B760&lt;&gt;"",INDEX(DataOB[],FirstRow+ROW()-7,MATCH(T$6,DataOB[#Headers],0)),"")</f>
        <v/>
      </c>
      <c r="U760" s="67" t="str">
        <f>IF($B760&lt;&gt;"",INDEX(DataOB[],FirstRow+ROW()-7,MATCH(U$6,DataOB[#Headers],0)),"")</f>
        <v/>
      </c>
      <c r="V760" s="67" t="str">
        <f>IF($B760&lt;&gt;"",INDEX(DataOB[],FirstRow+ROW()-7,MATCH(V$6,DataOB[#Headers],0)),"")</f>
        <v/>
      </c>
      <c r="W760" s="67" t="str">
        <f>IF($B760&lt;&gt;"",INDEX(DataOB[],FirstRow+ROW()-7,MATCH(W$6,DataOB[#Headers],0)),"")</f>
        <v/>
      </c>
      <c r="X760" s="67" t="str">
        <f>IF($B760&lt;&gt;"",INDEX(DataOB[],FirstRow+ROW()-7,MATCH(X$6,DataOB[#Headers],0)),"")</f>
        <v/>
      </c>
      <c r="Y760" s="67" t="str">
        <f>IF($B760&lt;&gt;"",INDEX(DataOB[],FirstRow+ROW()-7,MATCH(Y$6,DataOB[#Headers],0)),"")</f>
        <v/>
      </c>
      <c r="Z760" s="67" t="str">
        <f>IF($B760&lt;&gt;"",INDEX(DataOB[],FirstRow+ROW()-7,MATCH(Z$6,DataOB[#Headers],0)),"")</f>
        <v/>
      </c>
      <c r="AA760" s="67" t="str">
        <f>IF($B760&lt;&gt;"",INDEX(DataOB[],FirstRow+ROW()-7,MATCH(AA$6,DataOB[#Headers],0)),"")</f>
        <v/>
      </c>
      <c r="AB760" s="67" t="str">
        <f>IF($B760&lt;&gt;"",INDEX(DataOB[],FirstRow+ROW()-7,MATCH(AB$6,DataOB[#Headers],0)),"")</f>
        <v/>
      </c>
      <c r="AC760" s="67" t="str">
        <f>IF($B760&lt;&gt;"",INDEX(DataOB[],FirstRow+ROW()-7,MATCH(AC$6,DataOB[#Headers],0)),"")</f>
        <v/>
      </c>
      <c r="AD760" s="67" t="str">
        <f>IF($B760&lt;&gt;"",INDEX(DataOB[],FirstRow+ROW()-7,MATCH(AD$6,DataOB[#Headers],0)),"")</f>
        <v/>
      </c>
      <c r="AE760" s="67" t="str">
        <f>IF($B760&lt;&gt;"",INDEX(DataOB[],FirstRow+ROW()-7,MATCH(AE$6,DataOB[#Headers],0)),"")</f>
        <v/>
      </c>
      <c r="AF760" s="26">
        <f t="shared" si="113"/>
        <v>0</v>
      </c>
      <c r="AG760" s="31">
        <f>SUM($T760:T760)</f>
        <v>0</v>
      </c>
      <c r="AH760" s="31">
        <f>SUM($T760:U760)</f>
        <v>0</v>
      </c>
      <c r="AI760" s="31">
        <f>SUM($T760:V760)</f>
        <v>0</v>
      </c>
      <c r="AJ760" s="31">
        <f>SUM($T760:W760)</f>
        <v>0</v>
      </c>
      <c r="AK760" s="31">
        <f>SUM($T760:X760)</f>
        <v>0</v>
      </c>
      <c r="AL760" s="31">
        <f>SUM($T760:Y760)</f>
        <v>0</v>
      </c>
      <c r="AM760" s="31">
        <f>SUM($T760:Z760)</f>
        <v>0</v>
      </c>
      <c r="AN760" s="31">
        <f>SUM($T760:AA760)</f>
        <v>0</v>
      </c>
      <c r="AO760" s="31">
        <f>SUM($T760:AB760)</f>
        <v>0</v>
      </c>
      <c r="AP760" s="31">
        <f>SUM($T760:AC760)</f>
        <v>0</v>
      </c>
      <c r="AQ760" s="31">
        <f>SUM($T760:AD760)</f>
        <v>0</v>
      </c>
      <c r="AR760" s="31">
        <f>SUM($T760:AE760)</f>
        <v>0</v>
      </c>
      <c r="AS760" s="27">
        <f t="shared" si="114"/>
        <v>0</v>
      </c>
    </row>
    <row r="761" spans="2:45">
      <c r="B761" s="102" t="str">
        <f>IF(ROW()-6&gt;NumCostCenter,"",IF(CostCenter&lt;&gt;"ALL",CostCenter,DATA_LF2!B759))</f>
        <v/>
      </c>
      <c r="C761" s="153" t="str">
        <f>IF($B761&lt;&gt;"",INDEX(DataOB[],FirstRow+ROW()-7,2),"")</f>
        <v/>
      </c>
      <c r="D761" s="66" t="str">
        <f>IF($B761&lt;&gt;"",INDEX(DataOB[],FirstRow+ROW()-7,3),"")</f>
        <v/>
      </c>
      <c r="E761" s="103" t="str">
        <f>IF($B761&lt;&gt;"",INDEX(DataOB[],FirstRow+ROW()-7,6),"")</f>
        <v/>
      </c>
      <c r="F761" s="103" t="str">
        <f>IF($B761&lt;&gt;"",INDEX(DataOB[],FirstRow+ROW()-7,5),"")</f>
        <v/>
      </c>
      <c r="G761" s="58">
        <f>IF($B761&lt;&gt;"",SUMIFS(DataAct_tbl[AMOUNT],DataAct_tbl[BG CODE],Detail!$D761,DataAct_tbl[MONTH],LEFT(MonthName,3),DataAct_tbl[Dept code],$B761),0)</f>
        <v>0</v>
      </c>
      <c r="H761" s="31" t="str">
        <f t="shared" si="106"/>
        <v/>
      </c>
      <c r="I761" s="28" t="str">
        <f t="shared" si="107"/>
        <v/>
      </c>
      <c r="J761" s="32" t="str">
        <f t="shared" si="108"/>
        <v/>
      </c>
      <c r="K761" s="86"/>
      <c r="L761" s="62">
        <f>IF($B761&lt;&gt;"",SUMIFS(DataAct_tbl[AMOUNT],DataAct_tbl[BG CODE],Detail!$D761,DataAct_tbl[Check Range],"=true",DataAct_tbl[Dept code],$B761),0)</f>
        <v>0</v>
      </c>
      <c r="M761" s="63">
        <f>INDEX($AG$7:$AR$1005,ROW()-6,MATCH(MTD,$AG$6:$AR$6,0))</f>
        <v>0</v>
      </c>
      <c r="N761" s="34">
        <f t="shared" si="109"/>
        <v>0</v>
      </c>
      <c r="O761" s="64" t="str">
        <f t="shared" si="110"/>
        <v xml:space="preserve"> </v>
      </c>
      <c r="Q761" s="97">
        <f t="shared" si="111"/>
        <v>0</v>
      </c>
      <c r="R761" s="96">
        <f t="shared" si="112"/>
        <v>0</v>
      </c>
      <c r="T761" s="67" t="str">
        <f>IF($B761&lt;&gt;"",INDEX(DataOB[],FirstRow+ROW()-7,MATCH(T$6,DataOB[#Headers],0)),"")</f>
        <v/>
      </c>
      <c r="U761" s="67" t="str">
        <f>IF($B761&lt;&gt;"",INDEX(DataOB[],FirstRow+ROW()-7,MATCH(U$6,DataOB[#Headers],0)),"")</f>
        <v/>
      </c>
      <c r="V761" s="67" t="str">
        <f>IF($B761&lt;&gt;"",INDEX(DataOB[],FirstRow+ROW()-7,MATCH(V$6,DataOB[#Headers],0)),"")</f>
        <v/>
      </c>
      <c r="W761" s="67" t="str">
        <f>IF($B761&lt;&gt;"",INDEX(DataOB[],FirstRow+ROW()-7,MATCH(W$6,DataOB[#Headers],0)),"")</f>
        <v/>
      </c>
      <c r="X761" s="67" t="str">
        <f>IF($B761&lt;&gt;"",INDEX(DataOB[],FirstRow+ROW()-7,MATCH(X$6,DataOB[#Headers],0)),"")</f>
        <v/>
      </c>
      <c r="Y761" s="67" t="str">
        <f>IF($B761&lt;&gt;"",INDEX(DataOB[],FirstRow+ROW()-7,MATCH(Y$6,DataOB[#Headers],0)),"")</f>
        <v/>
      </c>
      <c r="Z761" s="67" t="str">
        <f>IF($B761&lt;&gt;"",INDEX(DataOB[],FirstRow+ROW()-7,MATCH(Z$6,DataOB[#Headers],0)),"")</f>
        <v/>
      </c>
      <c r="AA761" s="67" t="str">
        <f>IF($B761&lt;&gt;"",INDEX(DataOB[],FirstRow+ROW()-7,MATCH(AA$6,DataOB[#Headers],0)),"")</f>
        <v/>
      </c>
      <c r="AB761" s="67" t="str">
        <f>IF($B761&lt;&gt;"",INDEX(DataOB[],FirstRow+ROW()-7,MATCH(AB$6,DataOB[#Headers],0)),"")</f>
        <v/>
      </c>
      <c r="AC761" s="67" t="str">
        <f>IF($B761&lt;&gt;"",INDEX(DataOB[],FirstRow+ROW()-7,MATCH(AC$6,DataOB[#Headers],0)),"")</f>
        <v/>
      </c>
      <c r="AD761" s="67" t="str">
        <f>IF($B761&lt;&gt;"",INDEX(DataOB[],FirstRow+ROW()-7,MATCH(AD$6,DataOB[#Headers],0)),"")</f>
        <v/>
      </c>
      <c r="AE761" s="67" t="str">
        <f>IF($B761&lt;&gt;"",INDEX(DataOB[],FirstRow+ROW()-7,MATCH(AE$6,DataOB[#Headers],0)),"")</f>
        <v/>
      </c>
      <c r="AF761" s="26">
        <f t="shared" si="113"/>
        <v>0</v>
      </c>
      <c r="AG761" s="31">
        <f>SUM($T761:T761)</f>
        <v>0</v>
      </c>
      <c r="AH761" s="31">
        <f>SUM($T761:U761)</f>
        <v>0</v>
      </c>
      <c r="AI761" s="31">
        <f>SUM($T761:V761)</f>
        <v>0</v>
      </c>
      <c r="AJ761" s="31">
        <f>SUM($T761:W761)</f>
        <v>0</v>
      </c>
      <c r="AK761" s="31">
        <f>SUM($T761:X761)</f>
        <v>0</v>
      </c>
      <c r="AL761" s="31">
        <f>SUM($T761:Y761)</f>
        <v>0</v>
      </c>
      <c r="AM761" s="31">
        <f>SUM($T761:Z761)</f>
        <v>0</v>
      </c>
      <c r="AN761" s="31">
        <f>SUM($T761:AA761)</f>
        <v>0</v>
      </c>
      <c r="AO761" s="31">
        <f>SUM($T761:AB761)</f>
        <v>0</v>
      </c>
      <c r="AP761" s="31">
        <f>SUM($T761:AC761)</f>
        <v>0</v>
      </c>
      <c r="AQ761" s="31">
        <f>SUM($T761:AD761)</f>
        <v>0</v>
      </c>
      <c r="AR761" s="31">
        <f>SUM($T761:AE761)</f>
        <v>0</v>
      </c>
      <c r="AS761" s="27">
        <f t="shared" si="114"/>
        <v>0</v>
      </c>
    </row>
    <row r="762" spans="2:45">
      <c r="B762" s="102" t="str">
        <f>IF(ROW()-6&gt;NumCostCenter,"",IF(CostCenter&lt;&gt;"ALL",CostCenter,DATA_LF2!B760))</f>
        <v/>
      </c>
      <c r="C762" s="153" t="str">
        <f>IF($B762&lt;&gt;"",INDEX(DataOB[],FirstRow+ROW()-7,2),"")</f>
        <v/>
      </c>
      <c r="D762" s="66" t="str">
        <f>IF($B762&lt;&gt;"",INDEX(DataOB[],FirstRow+ROW()-7,3),"")</f>
        <v/>
      </c>
      <c r="E762" s="103" t="str">
        <f>IF($B762&lt;&gt;"",INDEX(DataOB[],FirstRow+ROW()-7,6),"")</f>
        <v/>
      </c>
      <c r="F762" s="103" t="str">
        <f>IF($B762&lt;&gt;"",INDEX(DataOB[],FirstRow+ROW()-7,5),"")</f>
        <v/>
      </c>
      <c r="G762" s="58">
        <f>IF($B762&lt;&gt;"",SUMIFS(DataAct_tbl[AMOUNT],DataAct_tbl[BG CODE],Detail!$D762,DataAct_tbl[MONTH],LEFT(MonthName,3),DataAct_tbl[Dept code],$B762),0)</f>
        <v>0</v>
      </c>
      <c r="H762" s="31" t="str">
        <f t="shared" si="106"/>
        <v/>
      </c>
      <c r="I762" s="28" t="str">
        <f t="shared" si="107"/>
        <v/>
      </c>
      <c r="J762" s="32" t="str">
        <f t="shared" si="108"/>
        <v/>
      </c>
      <c r="K762" s="86"/>
      <c r="L762" s="62">
        <f>IF($B762&lt;&gt;"",SUMIFS(DataAct_tbl[AMOUNT],DataAct_tbl[BG CODE],Detail!$D762,DataAct_tbl[Check Range],"=true",DataAct_tbl[Dept code],$B762),0)</f>
        <v>0</v>
      </c>
      <c r="M762" s="63">
        <f>INDEX($AG$7:$AR$1005,ROW()-6,MATCH(MTD,$AG$6:$AR$6,0))</f>
        <v>0</v>
      </c>
      <c r="N762" s="34">
        <f t="shared" si="109"/>
        <v>0</v>
      </c>
      <c r="O762" s="64" t="str">
        <f t="shared" si="110"/>
        <v xml:space="preserve"> </v>
      </c>
      <c r="Q762" s="97">
        <f t="shared" si="111"/>
        <v>0</v>
      </c>
      <c r="R762" s="96">
        <f t="shared" si="112"/>
        <v>0</v>
      </c>
      <c r="T762" s="67" t="str">
        <f>IF($B762&lt;&gt;"",INDEX(DataOB[],FirstRow+ROW()-7,MATCH(T$6,DataOB[#Headers],0)),"")</f>
        <v/>
      </c>
      <c r="U762" s="67" t="str">
        <f>IF($B762&lt;&gt;"",INDEX(DataOB[],FirstRow+ROW()-7,MATCH(U$6,DataOB[#Headers],0)),"")</f>
        <v/>
      </c>
      <c r="V762" s="67" t="str">
        <f>IF($B762&lt;&gt;"",INDEX(DataOB[],FirstRow+ROW()-7,MATCH(V$6,DataOB[#Headers],0)),"")</f>
        <v/>
      </c>
      <c r="W762" s="67" t="str">
        <f>IF($B762&lt;&gt;"",INDEX(DataOB[],FirstRow+ROW()-7,MATCH(W$6,DataOB[#Headers],0)),"")</f>
        <v/>
      </c>
      <c r="X762" s="67" t="str">
        <f>IF($B762&lt;&gt;"",INDEX(DataOB[],FirstRow+ROW()-7,MATCH(X$6,DataOB[#Headers],0)),"")</f>
        <v/>
      </c>
      <c r="Y762" s="67" t="str">
        <f>IF($B762&lt;&gt;"",INDEX(DataOB[],FirstRow+ROW()-7,MATCH(Y$6,DataOB[#Headers],0)),"")</f>
        <v/>
      </c>
      <c r="Z762" s="67" t="str">
        <f>IF($B762&lt;&gt;"",INDEX(DataOB[],FirstRow+ROW()-7,MATCH(Z$6,DataOB[#Headers],0)),"")</f>
        <v/>
      </c>
      <c r="AA762" s="67" t="str">
        <f>IF($B762&lt;&gt;"",INDEX(DataOB[],FirstRow+ROW()-7,MATCH(AA$6,DataOB[#Headers],0)),"")</f>
        <v/>
      </c>
      <c r="AB762" s="67" t="str">
        <f>IF($B762&lt;&gt;"",INDEX(DataOB[],FirstRow+ROW()-7,MATCH(AB$6,DataOB[#Headers],0)),"")</f>
        <v/>
      </c>
      <c r="AC762" s="67" t="str">
        <f>IF($B762&lt;&gt;"",INDEX(DataOB[],FirstRow+ROW()-7,MATCH(AC$6,DataOB[#Headers],0)),"")</f>
        <v/>
      </c>
      <c r="AD762" s="67" t="str">
        <f>IF($B762&lt;&gt;"",INDEX(DataOB[],FirstRow+ROW()-7,MATCH(AD$6,DataOB[#Headers],0)),"")</f>
        <v/>
      </c>
      <c r="AE762" s="67" t="str">
        <f>IF($B762&lt;&gt;"",INDEX(DataOB[],FirstRow+ROW()-7,MATCH(AE$6,DataOB[#Headers],0)),"")</f>
        <v/>
      </c>
      <c r="AF762" s="26">
        <f t="shared" si="113"/>
        <v>0</v>
      </c>
      <c r="AG762" s="31">
        <f>SUM($T762:T762)</f>
        <v>0</v>
      </c>
      <c r="AH762" s="31">
        <f>SUM($T762:U762)</f>
        <v>0</v>
      </c>
      <c r="AI762" s="31">
        <f>SUM($T762:V762)</f>
        <v>0</v>
      </c>
      <c r="AJ762" s="31">
        <f>SUM($T762:W762)</f>
        <v>0</v>
      </c>
      <c r="AK762" s="31">
        <f>SUM($T762:X762)</f>
        <v>0</v>
      </c>
      <c r="AL762" s="31">
        <f>SUM($T762:Y762)</f>
        <v>0</v>
      </c>
      <c r="AM762" s="31">
        <f>SUM($T762:Z762)</f>
        <v>0</v>
      </c>
      <c r="AN762" s="31">
        <f>SUM($T762:AA762)</f>
        <v>0</v>
      </c>
      <c r="AO762" s="31">
        <f>SUM($T762:AB762)</f>
        <v>0</v>
      </c>
      <c r="AP762" s="31">
        <f>SUM($T762:AC762)</f>
        <v>0</v>
      </c>
      <c r="AQ762" s="31">
        <f>SUM($T762:AD762)</f>
        <v>0</v>
      </c>
      <c r="AR762" s="31">
        <f>SUM($T762:AE762)</f>
        <v>0</v>
      </c>
      <c r="AS762" s="27">
        <f t="shared" si="114"/>
        <v>0</v>
      </c>
    </row>
    <row r="763" spans="2:45">
      <c r="B763" s="102" t="str">
        <f>IF(ROW()-6&gt;NumCostCenter,"",IF(CostCenter&lt;&gt;"ALL",CostCenter,DATA_LF2!B761))</f>
        <v/>
      </c>
      <c r="C763" s="153" t="str">
        <f>IF($B763&lt;&gt;"",INDEX(DataOB[],FirstRow+ROW()-7,2),"")</f>
        <v/>
      </c>
      <c r="D763" s="66" t="str">
        <f>IF($B763&lt;&gt;"",INDEX(DataOB[],FirstRow+ROW()-7,3),"")</f>
        <v/>
      </c>
      <c r="E763" s="103" t="str">
        <f>IF($B763&lt;&gt;"",INDEX(DataOB[],FirstRow+ROW()-7,6),"")</f>
        <v/>
      </c>
      <c r="F763" s="103" t="str">
        <f>IF($B763&lt;&gt;"",INDEX(DataOB[],FirstRow+ROW()-7,5),"")</f>
        <v/>
      </c>
      <c r="G763" s="58">
        <f>IF($B763&lt;&gt;"",SUMIFS(DataAct_tbl[AMOUNT],DataAct_tbl[BG CODE],Detail!$D763,DataAct_tbl[MONTH],LEFT(MonthName,3),DataAct_tbl[Dept code],$B763),0)</f>
        <v>0</v>
      </c>
      <c r="H763" s="31" t="str">
        <f t="shared" si="106"/>
        <v/>
      </c>
      <c r="I763" s="28" t="str">
        <f t="shared" si="107"/>
        <v/>
      </c>
      <c r="J763" s="32" t="str">
        <f t="shared" si="108"/>
        <v/>
      </c>
      <c r="K763" s="86"/>
      <c r="L763" s="62">
        <f>IF($B763&lt;&gt;"",SUMIFS(DataAct_tbl[AMOUNT],DataAct_tbl[BG CODE],Detail!$D763,DataAct_tbl[Check Range],"=true",DataAct_tbl[Dept code],$B763),0)</f>
        <v>0</v>
      </c>
      <c r="M763" s="63">
        <f>INDEX($AG$7:$AR$1005,ROW()-6,MATCH(MTD,$AG$6:$AR$6,0))</f>
        <v>0</v>
      </c>
      <c r="N763" s="34">
        <f t="shared" si="109"/>
        <v>0</v>
      </c>
      <c r="O763" s="64" t="str">
        <f t="shared" si="110"/>
        <v xml:space="preserve"> </v>
      </c>
      <c r="Q763" s="97">
        <f t="shared" si="111"/>
        <v>0</v>
      </c>
      <c r="R763" s="96">
        <f t="shared" si="112"/>
        <v>0</v>
      </c>
      <c r="T763" s="67" t="str">
        <f>IF($B763&lt;&gt;"",INDEX(DataOB[],FirstRow+ROW()-7,MATCH(T$6,DataOB[#Headers],0)),"")</f>
        <v/>
      </c>
      <c r="U763" s="67" t="str">
        <f>IF($B763&lt;&gt;"",INDEX(DataOB[],FirstRow+ROW()-7,MATCH(U$6,DataOB[#Headers],0)),"")</f>
        <v/>
      </c>
      <c r="V763" s="67" t="str">
        <f>IF($B763&lt;&gt;"",INDEX(DataOB[],FirstRow+ROW()-7,MATCH(V$6,DataOB[#Headers],0)),"")</f>
        <v/>
      </c>
      <c r="W763" s="67" t="str">
        <f>IF($B763&lt;&gt;"",INDEX(DataOB[],FirstRow+ROW()-7,MATCH(W$6,DataOB[#Headers],0)),"")</f>
        <v/>
      </c>
      <c r="X763" s="67" t="str">
        <f>IF($B763&lt;&gt;"",INDEX(DataOB[],FirstRow+ROW()-7,MATCH(X$6,DataOB[#Headers],0)),"")</f>
        <v/>
      </c>
      <c r="Y763" s="67" t="str">
        <f>IF($B763&lt;&gt;"",INDEX(DataOB[],FirstRow+ROW()-7,MATCH(Y$6,DataOB[#Headers],0)),"")</f>
        <v/>
      </c>
      <c r="Z763" s="67" t="str">
        <f>IF($B763&lt;&gt;"",INDEX(DataOB[],FirstRow+ROW()-7,MATCH(Z$6,DataOB[#Headers],0)),"")</f>
        <v/>
      </c>
      <c r="AA763" s="67" t="str">
        <f>IF($B763&lt;&gt;"",INDEX(DataOB[],FirstRow+ROW()-7,MATCH(AA$6,DataOB[#Headers],0)),"")</f>
        <v/>
      </c>
      <c r="AB763" s="67" t="str">
        <f>IF($B763&lt;&gt;"",INDEX(DataOB[],FirstRow+ROW()-7,MATCH(AB$6,DataOB[#Headers],0)),"")</f>
        <v/>
      </c>
      <c r="AC763" s="67" t="str">
        <f>IF($B763&lt;&gt;"",INDEX(DataOB[],FirstRow+ROW()-7,MATCH(AC$6,DataOB[#Headers],0)),"")</f>
        <v/>
      </c>
      <c r="AD763" s="67" t="str">
        <f>IF($B763&lt;&gt;"",INDEX(DataOB[],FirstRow+ROW()-7,MATCH(AD$6,DataOB[#Headers],0)),"")</f>
        <v/>
      </c>
      <c r="AE763" s="67" t="str">
        <f>IF($B763&lt;&gt;"",INDEX(DataOB[],FirstRow+ROW()-7,MATCH(AE$6,DataOB[#Headers],0)),"")</f>
        <v/>
      </c>
      <c r="AF763" s="26">
        <f t="shared" si="113"/>
        <v>0</v>
      </c>
      <c r="AG763" s="31">
        <f>SUM($T763:T763)</f>
        <v>0</v>
      </c>
      <c r="AH763" s="31">
        <f>SUM($T763:U763)</f>
        <v>0</v>
      </c>
      <c r="AI763" s="31">
        <f>SUM($T763:V763)</f>
        <v>0</v>
      </c>
      <c r="AJ763" s="31">
        <f>SUM($T763:W763)</f>
        <v>0</v>
      </c>
      <c r="AK763" s="31">
        <f>SUM($T763:X763)</f>
        <v>0</v>
      </c>
      <c r="AL763" s="31">
        <f>SUM($T763:Y763)</f>
        <v>0</v>
      </c>
      <c r="AM763" s="31">
        <f>SUM($T763:Z763)</f>
        <v>0</v>
      </c>
      <c r="AN763" s="31">
        <f>SUM($T763:AA763)</f>
        <v>0</v>
      </c>
      <c r="AO763" s="31">
        <f>SUM($T763:AB763)</f>
        <v>0</v>
      </c>
      <c r="AP763" s="31">
        <f>SUM($T763:AC763)</f>
        <v>0</v>
      </c>
      <c r="AQ763" s="31">
        <f>SUM($T763:AD763)</f>
        <v>0</v>
      </c>
      <c r="AR763" s="31">
        <f>SUM($T763:AE763)</f>
        <v>0</v>
      </c>
      <c r="AS763" s="27">
        <f t="shared" si="114"/>
        <v>0</v>
      </c>
    </row>
    <row r="764" spans="2:45">
      <c r="B764" s="102" t="str">
        <f>IF(ROW()-6&gt;NumCostCenter,"",IF(CostCenter&lt;&gt;"ALL",CostCenter,DATA_LF2!B762))</f>
        <v/>
      </c>
      <c r="C764" s="153" t="str">
        <f>IF($B764&lt;&gt;"",INDEX(DataOB[],FirstRow+ROW()-7,2),"")</f>
        <v/>
      </c>
      <c r="D764" s="66" t="str">
        <f>IF($B764&lt;&gt;"",INDEX(DataOB[],FirstRow+ROW()-7,3),"")</f>
        <v/>
      </c>
      <c r="E764" s="103" t="str">
        <f>IF($B764&lt;&gt;"",INDEX(DataOB[],FirstRow+ROW()-7,6),"")</f>
        <v/>
      </c>
      <c r="F764" s="103" t="str">
        <f>IF($B764&lt;&gt;"",INDEX(DataOB[],FirstRow+ROW()-7,5),"")</f>
        <v/>
      </c>
      <c r="G764" s="58">
        <f>IF($B764&lt;&gt;"",SUMIFS(DataAct_tbl[AMOUNT],DataAct_tbl[BG CODE],Detail!$D764,DataAct_tbl[MONTH],LEFT(MonthName,3),DataAct_tbl[Dept code],$B764),0)</f>
        <v>0</v>
      </c>
      <c r="H764" s="31" t="str">
        <f t="shared" si="106"/>
        <v/>
      </c>
      <c r="I764" s="28" t="str">
        <f t="shared" si="107"/>
        <v/>
      </c>
      <c r="J764" s="32" t="str">
        <f t="shared" si="108"/>
        <v/>
      </c>
      <c r="K764" s="86"/>
      <c r="L764" s="62">
        <f>IF($B764&lt;&gt;"",SUMIFS(DataAct_tbl[AMOUNT],DataAct_tbl[BG CODE],Detail!$D764,DataAct_tbl[Check Range],"=true",DataAct_tbl[Dept code],$B764),0)</f>
        <v>0</v>
      </c>
      <c r="M764" s="63">
        <f>INDEX($AG$7:$AR$1005,ROW()-6,MATCH(MTD,$AG$6:$AR$6,0))</f>
        <v>0</v>
      </c>
      <c r="N764" s="34">
        <f t="shared" si="109"/>
        <v>0</v>
      </c>
      <c r="O764" s="64" t="str">
        <f t="shared" si="110"/>
        <v xml:space="preserve"> </v>
      </c>
      <c r="Q764" s="97">
        <f t="shared" si="111"/>
        <v>0</v>
      </c>
      <c r="R764" s="96">
        <f t="shared" si="112"/>
        <v>0</v>
      </c>
      <c r="T764" s="67" t="str">
        <f>IF($B764&lt;&gt;"",INDEX(DataOB[],FirstRow+ROW()-7,MATCH(T$6,DataOB[#Headers],0)),"")</f>
        <v/>
      </c>
      <c r="U764" s="67" t="str">
        <f>IF($B764&lt;&gt;"",INDEX(DataOB[],FirstRow+ROW()-7,MATCH(U$6,DataOB[#Headers],0)),"")</f>
        <v/>
      </c>
      <c r="V764" s="67" t="str">
        <f>IF($B764&lt;&gt;"",INDEX(DataOB[],FirstRow+ROW()-7,MATCH(V$6,DataOB[#Headers],0)),"")</f>
        <v/>
      </c>
      <c r="W764" s="67" t="str">
        <f>IF($B764&lt;&gt;"",INDEX(DataOB[],FirstRow+ROW()-7,MATCH(W$6,DataOB[#Headers],0)),"")</f>
        <v/>
      </c>
      <c r="X764" s="67" t="str">
        <f>IF($B764&lt;&gt;"",INDEX(DataOB[],FirstRow+ROW()-7,MATCH(X$6,DataOB[#Headers],0)),"")</f>
        <v/>
      </c>
      <c r="Y764" s="67" t="str">
        <f>IF($B764&lt;&gt;"",INDEX(DataOB[],FirstRow+ROW()-7,MATCH(Y$6,DataOB[#Headers],0)),"")</f>
        <v/>
      </c>
      <c r="Z764" s="67" t="str">
        <f>IF($B764&lt;&gt;"",INDEX(DataOB[],FirstRow+ROW()-7,MATCH(Z$6,DataOB[#Headers],0)),"")</f>
        <v/>
      </c>
      <c r="AA764" s="67" t="str">
        <f>IF($B764&lt;&gt;"",INDEX(DataOB[],FirstRow+ROW()-7,MATCH(AA$6,DataOB[#Headers],0)),"")</f>
        <v/>
      </c>
      <c r="AB764" s="67" t="str">
        <f>IF($B764&lt;&gt;"",INDEX(DataOB[],FirstRow+ROW()-7,MATCH(AB$6,DataOB[#Headers],0)),"")</f>
        <v/>
      </c>
      <c r="AC764" s="67" t="str">
        <f>IF($B764&lt;&gt;"",INDEX(DataOB[],FirstRow+ROW()-7,MATCH(AC$6,DataOB[#Headers],0)),"")</f>
        <v/>
      </c>
      <c r="AD764" s="67" t="str">
        <f>IF($B764&lt;&gt;"",INDEX(DataOB[],FirstRow+ROW()-7,MATCH(AD$6,DataOB[#Headers],0)),"")</f>
        <v/>
      </c>
      <c r="AE764" s="67" t="str">
        <f>IF($B764&lt;&gt;"",INDEX(DataOB[],FirstRow+ROW()-7,MATCH(AE$6,DataOB[#Headers],0)),"")</f>
        <v/>
      </c>
      <c r="AF764" s="26">
        <f t="shared" si="113"/>
        <v>0</v>
      </c>
      <c r="AG764" s="31">
        <f>SUM($T764:T764)</f>
        <v>0</v>
      </c>
      <c r="AH764" s="31">
        <f>SUM($T764:U764)</f>
        <v>0</v>
      </c>
      <c r="AI764" s="31">
        <f>SUM($T764:V764)</f>
        <v>0</v>
      </c>
      <c r="AJ764" s="31">
        <f>SUM($T764:W764)</f>
        <v>0</v>
      </c>
      <c r="AK764" s="31">
        <f>SUM($T764:X764)</f>
        <v>0</v>
      </c>
      <c r="AL764" s="31">
        <f>SUM($T764:Y764)</f>
        <v>0</v>
      </c>
      <c r="AM764" s="31">
        <f>SUM($T764:Z764)</f>
        <v>0</v>
      </c>
      <c r="AN764" s="31">
        <f>SUM($T764:AA764)</f>
        <v>0</v>
      </c>
      <c r="AO764" s="31">
        <f>SUM($T764:AB764)</f>
        <v>0</v>
      </c>
      <c r="AP764" s="31">
        <f>SUM($T764:AC764)</f>
        <v>0</v>
      </c>
      <c r="AQ764" s="31">
        <f>SUM($T764:AD764)</f>
        <v>0</v>
      </c>
      <c r="AR764" s="31">
        <f>SUM($T764:AE764)</f>
        <v>0</v>
      </c>
      <c r="AS764" s="27">
        <f t="shared" si="114"/>
        <v>0</v>
      </c>
    </row>
    <row r="765" spans="2:45">
      <c r="B765" s="102" t="str">
        <f>IF(ROW()-6&gt;NumCostCenter,"",IF(CostCenter&lt;&gt;"ALL",CostCenter,DATA_LF2!B763))</f>
        <v/>
      </c>
      <c r="C765" s="153" t="str">
        <f>IF($B765&lt;&gt;"",INDEX(DataOB[],FirstRow+ROW()-7,2),"")</f>
        <v/>
      </c>
      <c r="D765" s="66" t="str">
        <f>IF($B765&lt;&gt;"",INDEX(DataOB[],FirstRow+ROW()-7,3),"")</f>
        <v/>
      </c>
      <c r="E765" s="103" t="str">
        <f>IF($B765&lt;&gt;"",INDEX(DataOB[],FirstRow+ROW()-7,6),"")</f>
        <v/>
      </c>
      <c r="F765" s="103" t="str">
        <f>IF($B765&lt;&gt;"",INDEX(DataOB[],FirstRow+ROW()-7,5),"")</f>
        <v/>
      </c>
      <c r="G765" s="58">
        <f>IF($B765&lt;&gt;"",SUMIFS(DataAct_tbl[AMOUNT],DataAct_tbl[BG CODE],Detail!$D765,DataAct_tbl[MONTH],LEFT(MonthName,3),DataAct_tbl[Dept code],$B765),0)</f>
        <v>0</v>
      </c>
      <c r="H765" s="31" t="str">
        <f t="shared" si="106"/>
        <v/>
      </c>
      <c r="I765" s="28" t="str">
        <f t="shared" si="107"/>
        <v/>
      </c>
      <c r="J765" s="32" t="str">
        <f t="shared" si="108"/>
        <v/>
      </c>
      <c r="K765" s="86"/>
      <c r="L765" s="62">
        <f>IF($B765&lt;&gt;"",SUMIFS(DataAct_tbl[AMOUNT],DataAct_tbl[BG CODE],Detail!$D765,DataAct_tbl[Check Range],"=true",DataAct_tbl[Dept code],$B765),0)</f>
        <v>0</v>
      </c>
      <c r="M765" s="63">
        <f>INDEX($AG$7:$AR$1005,ROW()-6,MATCH(MTD,$AG$6:$AR$6,0))</f>
        <v>0</v>
      </c>
      <c r="N765" s="34">
        <f t="shared" si="109"/>
        <v>0</v>
      </c>
      <c r="O765" s="64" t="str">
        <f t="shared" si="110"/>
        <v xml:space="preserve"> </v>
      </c>
      <c r="Q765" s="97">
        <f t="shared" si="111"/>
        <v>0</v>
      </c>
      <c r="R765" s="96">
        <f t="shared" si="112"/>
        <v>0</v>
      </c>
      <c r="T765" s="67" t="str">
        <f>IF($B765&lt;&gt;"",INDEX(DataOB[],FirstRow+ROW()-7,MATCH(T$6,DataOB[#Headers],0)),"")</f>
        <v/>
      </c>
      <c r="U765" s="67" t="str">
        <f>IF($B765&lt;&gt;"",INDEX(DataOB[],FirstRow+ROW()-7,MATCH(U$6,DataOB[#Headers],0)),"")</f>
        <v/>
      </c>
      <c r="V765" s="67" t="str">
        <f>IF($B765&lt;&gt;"",INDEX(DataOB[],FirstRow+ROW()-7,MATCH(V$6,DataOB[#Headers],0)),"")</f>
        <v/>
      </c>
      <c r="W765" s="67" t="str">
        <f>IF($B765&lt;&gt;"",INDEX(DataOB[],FirstRow+ROW()-7,MATCH(W$6,DataOB[#Headers],0)),"")</f>
        <v/>
      </c>
      <c r="X765" s="67" t="str">
        <f>IF($B765&lt;&gt;"",INDEX(DataOB[],FirstRow+ROW()-7,MATCH(X$6,DataOB[#Headers],0)),"")</f>
        <v/>
      </c>
      <c r="Y765" s="67" t="str">
        <f>IF($B765&lt;&gt;"",INDEX(DataOB[],FirstRow+ROW()-7,MATCH(Y$6,DataOB[#Headers],0)),"")</f>
        <v/>
      </c>
      <c r="Z765" s="67" t="str">
        <f>IF($B765&lt;&gt;"",INDEX(DataOB[],FirstRow+ROW()-7,MATCH(Z$6,DataOB[#Headers],0)),"")</f>
        <v/>
      </c>
      <c r="AA765" s="67" t="str">
        <f>IF($B765&lt;&gt;"",INDEX(DataOB[],FirstRow+ROW()-7,MATCH(AA$6,DataOB[#Headers],0)),"")</f>
        <v/>
      </c>
      <c r="AB765" s="67" t="str">
        <f>IF($B765&lt;&gt;"",INDEX(DataOB[],FirstRow+ROW()-7,MATCH(AB$6,DataOB[#Headers],0)),"")</f>
        <v/>
      </c>
      <c r="AC765" s="67" t="str">
        <f>IF($B765&lt;&gt;"",INDEX(DataOB[],FirstRow+ROW()-7,MATCH(AC$6,DataOB[#Headers],0)),"")</f>
        <v/>
      </c>
      <c r="AD765" s="67" t="str">
        <f>IF($B765&lt;&gt;"",INDEX(DataOB[],FirstRow+ROW()-7,MATCH(AD$6,DataOB[#Headers],0)),"")</f>
        <v/>
      </c>
      <c r="AE765" s="67" t="str">
        <f>IF($B765&lt;&gt;"",INDEX(DataOB[],FirstRow+ROW()-7,MATCH(AE$6,DataOB[#Headers],0)),"")</f>
        <v/>
      </c>
      <c r="AF765" s="26">
        <f t="shared" si="113"/>
        <v>0</v>
      </c>
      <c r="AG765" s="31">
        <f>SUM($T765:T765)</f>
        <v>0</v>
      </c>
      <c r="AH765" s="31">
        <f>SUM($T765:U765)</f>
        <v>0</v>
      </c>
      <c r="AI765" s="31">
        <f>SUM($T765:V765)</f>
        <v>0</v>
      </c>
      <c r="AJ765" s="31">
        <f>SUM($T765:W765)</f>
        <v>0</v>
      </c>
      <c r="AK765" s="31">
        <f>SUM($T765:X765)</f>
        <v>0</v>
      </c>
      <c r="AL765" s="31">
        <f>SUM($T765:Y765)</f>
        <v>0</v>
      </c>
      <c r="AM765" s="31">
        <f>SUM($T765:Z765)</f>
        <v>0</v>
      </c>
      <c r="AN765" s="31">
        <f>SUM($T765:AA765)</f>
        <v>0</v>
      </c>
      <c r="AO765" s="31">
        <f>SUM($T765:AB765)</f>
        <v>0</v>
      </c>
      <c r="AP765" s="31">
        <f>SUM($T765:AC765)</f>
        <v>0</v>
      </c>
      <c r="AQ765" s="31">
        <f>SUM($T765:AD765)</f>
        <v>0</v>
      </c>
      <c r="AR765" s="31">
        <f>SUM($T765:AE765)</f>
        <v>0</v>
      </c>
      <c r="AS765" s="27">
        <f t="shared" si="114"/>
        <v>0</v>
      </c>
    </row>
    <row r="766" spans="2:45">
      <c r="B766" s="102" t="str">
        <f>IF(ROW()-6&gt;NumCostCenter,"",IF(CostCenter&lt;&gt;"ALL",CostCenter,DATA_LF2!B764))</f>
        <v/>
      </c>
      <c r="C766" s="153" t="str">
        <f>IF($B766&lt;&gt;"",INDEX(DataOB[],FirstRow+ROW()-7,2),"")</f>
        <v/>
      </c>
      <c r="D766" s="66" t="str">
        <f>IF($B766&lt;&gt;"",INDEX(DataOB[],FirstRow+ROW()-7,3),"")</f>
        <v/>
      </c>
      <c r="E766" s="103" t="str">
        <f>IF($B766&lt;&gt;"",INDEX(DataOB[],FirstRow+ROW()-7,6),"")</f>
        <v/>
      </c>
      <c r="F766" s="103" t="str">
        <f>IF($B766&lt;&gt;"",INDEX(DataOB[],FirstRow+ROW()-7,5),"")</f>
        <v/>
      </c>
      <c r="G766" s="58">
        <f>IF($B766&lt;&gt;"",SUMIFS(DataAct_tbl[AMOUNT],DataAct_tbl[BG CODE],Detail!$D766,DataAct_tbl[MONTH],LEFT(MonthName,3),DataAct_tbl[Dept code],$B766),0)</f>
        <v>0</v>
      </c>
      <c r="H766" s="31" t="str">
        <f t="shared" si="106"/>
        <v/>
      </c>
      <c r="I766" s="28" t="str">
        <f t="shared" si="107"/>
        <v/>
      </c>
      <c r="J766" s="32" t="str">
        <f t="shared" si="108"/>
        <v/>
      </c>
      <c r="K766" s="86"/>
      <c r="L766" s="62">
        <f>IF($B766&lt;&gt;"",SUMIFS(DataAct_tbl[AMOUNT],DataAct_tbl[BG CODE],Detail!$D766,DataAct_tbl[Check Range],"=true",DataAct_tbl[Dept code],$B766),0)</f>
        <v>0</v>
      </c>
      <c r="M766" s="63">
        <f>INDEX($AG$7:$AR$1005,ROW()-6,MATCH(MTD,$AG$6:$AR$6,0))</f>
        <v>0</v>
      </c>
      <c r="N766" s="34">
        <f t="shared" si="109"/>
        <v>0</v>
      </c>
      <c r="O766" s="64" t="str">
        <f t="shared" si="110"/>
        <v xml:space="preserve"> </v>
      </c>
      <c r="Q766" s="97">
        <f t="shared" si="111"/>
        <v>0</v>
      </c>
      <c r="R766" s="96">
        <f t="shared" si="112"/>
        <v>0</v>
      </c>
      <c r="T766" s="67" t="str">
        <f>IF($B766&lt;&gt;"",INDEX(DataOB[],FirstRow+ROW()-7,MATCH(T$6,DataOB[#Headers],0)),"")</f>
        <v/>
      </c>
      <c r="U766" s="67" t="str">
        <f>IF($B766&lt;&gt;"",INDEX(DataOB[],FirstRow+ROW()-7,MATCH(U$6,DataOB[#Headers],0)),"")</f>
        <v/>
      </c>
      <c r="V766" s="67" t="str">
        <f>IF($B766&lt;&gt;"",INDEX(DataOB[],FirstRow+ROW()-7,MATCH(V$6,DataOB[#Headers],0)),"")</f>
        <v/>
      </c>
      <c r="W766" s="67" t="str">
        <f>IF($B766&lt;&gt;"",INDEX(DataOB[],FirstRow+ROW()-7,MATCH(W$6,DataOB[#Headers],0)),"")</f>
        <v/>
      </c>
      <c r="X766" s="67" t="str">
        <f>IF($B766&lt;&gt;"",INDEX(DataOB[],FirstRow+ROW()-7,MATCH(X$6,DataOB[#Headers],0)),"")</f>
        <v/>
      </c>
      <c r="Y766" s="67" t="str">
        <f>IF($B766&lt;&gt;"",INDEX(DataOB[],FirstRow+ROW()-7,MATCH(Y$6,DataOB[#Headers],0)),"")</f>
        <v/>
      </c>
      <c r="Z766" s="67" t="str">
        <f>IF($B766&lt;&gt;"",INDEX(DataOB[],FirstRow+ROW()-7,MATCH(Z$6,DataOB[#Headers],0)),"")</f>
        <v/>
      </c>
      <c r="AA766" s="67" t="str">
        <f>IF($B766&lt;&gt;"",INDEX(DataOB[],FirstRow+ROW()-7,MATCH(AA$6,DataOB[#Headers],0)),"")</f>
        <v/>
      </c>
      <c r="AB766" s="67" t="str">
        <f>IF($B766&lt;&gt;"",INDEX(DataOB[],FirstRow+ROW()-7,MATCH(AB$6,DataOB[#Headers],0)),"")</f>
        <v/>
      </c>
      <c r="AC766" s="67" t="str">
        <f>IF($B766&lt;&gt;"",INDEX(DataOB[],FirstRow+ROW()-7,MATCH(AC$6,DataOB[#Headers],0)),"")</f>
        <v/>
      </c>
      <c r="AD766" s="67" t="str">
        <f>IF($B766&lt;&gt;"",INDEX(DataOB[],FirstRow+ROW()-7,MATCH(AD$6,DataOB[#Headers],0)),"")</f>
        <v/>
      </c>
      <c r="AE766" s="67" t="str">
        <f>IF($B766&lt;&gt;"",INDEX(DataOB[],FirstRow+ROW()-7,MATCH(AE$6,DataOB[#Headers],0)),"")</f>
        <v/>
      </c>
      <c r="AF766" s="26">
        <f t="shared" si="113"/>
        <v>0</v>
      </c>
      <c r="AG766" s="31">
        <f>SUM($T766:T766)</f>
        <v>0</v>
      </c>
      <c r="AH766" s="31">
        <f>SUM($T766:U766)</f>
        <v>0</v>
      </c>
      <c r="AI766" s="31">
        <f>SUM($T766:V766)</f>
        <v>0</v>
      </c>
      <c r="AJ766" s="31">
        <f>SUM($T766:W766)</f>
        <v>0</v>
      </c>
      <c r="AK766" s="31">
        <f>SUM($T766:X766)</f>
        <v>0</v>
      </c>
      <c r="AL766" s="31">
        <f>SUM($T766:Y766)</f>
        <v>0</v>
      </c>
      <c r="AM766" s="31">
        <f>SUM($T766:Z766)</f>
        <v>0</v>
      </c>
      <c r="AN766" s="31">
        <f>SUM($T766:AA766)</f>
        <v>0</v>
      </c>
      <c r="AO766" s="31">
        <f>SUM($T766:AB766)</f>
        <v>0</v>
      </c>
      <c r="AP766" s="31">
        <f>SUM($T766:AC766)</f>
        <v>0</v>
      </c>
      <c r="AQ766" s="31">
        <f>SUM($T766:AD766)</f>
        <v>0</v>
      </c>
      <c r="AR766" s="31">
        <f>SUM($T766:AE766)</f>
        <v>0</v>
      </c>
      <c r="AS766" s="27">
        <f t="shared" si="114"/>
        <v>0</v>
      </c>
    </row>
    <row r="767" spans="2:45">
      <c r="B767" s="102" t="str">
        <f>IF(ROW()-6&gt;NumCostCenter,"",IF(CostCenter&lt;&gt;"ALL",CostCenter,DATA_LF2!B765))</f>
        <v/>
      </c>
      <c r="C767" s="153" t="str">
        <f>IF($B767&lt;&gt;"",INDEX(DataOB[],FirstRow+ROW()-7,2),"")</f>
        <v/>
      </c>
      <c r="D767" s="66" t="str">
        <f>IF($B767&lt;&gt;"",INDEX(DataOB[],FirstRow+ROW()-7,3),"")</f>
        <v/>
      </c>
      <c r="E767" s="103" t="str">
        <f>IF($B767&lt;&gt;"",INDEX(DataOB[],FirstRow+ROW()-7,6),"")</f>
        <v/>
      </c>
      <c r="F767" s="103" t="str">
        <f>IF($B767&lt;&gt;"",INDEX(DataOB[],FirstRow+ROW()-7,5),"")</f>
        <v/>
      </c>
      <c r="G767" s="58">
        <f>IF($B767&lt;&gt;"",SUMIFS(DataAct_tbl[AMOUNT],DataAct_tbl[BG CODE],Detail!$D767,DataAct_tbl[MONTH],LEFT(MonthName,3),DataAct_tbl[Dept code],$B767),0)</f>
        <v>0</v>
      </c>
      <c r="H767" s="31" t="str">
        <f t="shared" si="106"/>
        <v/>
      </c>
      <c r="I767" s="28" t="str">
        <f t="shared" si="107"/>
        <v/>
      </c>
      <c r="J767" s="32" t="str">
        <f t="shared" si="108"/>
        <v/>
      </c>
      <c r="K767" s="86"/>
      <c r="L767" s="62">
        <f>IF($B767&lt;&gt;"",SUMIFS(DataAct_tbl[AMOUNT],DataAct_tbl[BG CODE],Detail!$D767,DataAct_tbl[Check Range],"=true",DataAct_tbl[Dept code],$B767),0)</f>
        <v>0</v>
      </c>
      <c r="M767" s="63">
        <f>INDEX($AG$7:$AR$1005,ROW()-6,MATCH(MTD,$AG$6:$AR$6,0))</f>
        <v>0</v>
      </c>
      <c r="N767" s="34">
        <f t="shared" si="109"/>
        <v>0</v>
      </c>
      <c r="O767" s="64" t="str">
        <f t="shared" si="110"/>
        <v xml:space="preserve"> </v>
      </c>
      <c r="Q767" s="97">
        <f t="shared" si="111"/>
        <v>0</v>
      </c>
      <c r="R767" s="96">
        <f t="shared" si="112"/>
        <v>0</v>
      </c>
      <c r="T767" s="67" t="str">
        <f>IF($B767&lt;&gt;"",INDEX(DataOB[],FirstRow+ROW()-7,MATCH(T$6,DataOB[#Headers],0)),"")</f>
        <v/>
      </c>
      <c r="U767" s="67" t="str">
        <f>IF($B767&lt;&gt;"",INDEX(DataOB[],FirstRow+ROW()-7,MATCH(U$6,DataOB[#Headers],0)),"")</f>
        <v/>
      </c>
      <c r="V767" s="67" t="str">
        <f>IF($B767&lt;&gt;"",INDEX(DataOB[],FirstRow+ROW()-7,MATCH(V$6,DataOB[#Headers],0)),"")</f>
        <v/>
      </c>
      <c r="W767" s="67" t="str">
        <f>IF($B767&lt;&gt;"",INDEX(DataOB[],FirstRow+ROW()-7,MATCH(W$6,DataOB[#Headers],0)),"")</f>
        <v/>
      </c>
      <c r="X767" s="67" t="str">
        <f>IF($B767&lt;&gt;"",INDEX(DataOB[],FirstRow+ROW()-7,MATCH(X$6,DataOB[#Headers],0)),"")</f>
        <v/>
      </c>
      <c r="Y767" s="67" t="str">
        <f>IF($B767&lt;&gt;"",INDEX(DataOB[],FirstRow+ROW()-7,MATCH(Y$6,DataOB[#Headers],0)),"")</f>
        <v/>
      </c>
      <c r="Z767" s="67" t="str">
        <f>IF($B767&lt;&gt;"",INDEX(DataOB[],FirstRow+ROW()-7,MATCH(Z$6,DataOB[#Headers],0)),"")</f>
        <v/>
      </c>
      <c r="AA767" s="67" t="str">
        <f>IF($B767&lt;&gt;"",INDEX(DataOB[],FirstRow+ROW()-7,MATCH(AA$6,DataOB[#Headers],0)),"")</f>
        <v/>
      </c>
      <c r="AB767" s="67" t="str">
        <f>IF($B767&lt;&gt;"",INDEX(DataOB[],FirstRow+ROW()-7,MATCH(AB$6,DataOB[#Headers],0)),"")</f>
        <v/>
      </c>
      <c r="AC767" s="67" t="str">
        <f>IF($B767&lt;&gt;"",INDEX(DataOB[],FirstRow+ROW()-7,MATCH(AC$6,DataOB[#Headers],0)),"")</f>
        <v/>
      </c>
      <c r="AD767" s="67" t="str">
        <f>IF($B767&lt;&gt;"",INDEX(DataOB[],FirstRow+ROW()-7,MATCH(AD$6,DataOB[#Headers],0)),"")</f>
        <v/>
      </c>
      <c r="AE767" s="67" t="str">
        <f>IF($B767&lt;&gt;"",INDEX(DataOB[],FirstRow+ROW()-7,MATCH(AE$6,DataOB[#Headers],0)),"")</f>
        <v/>
      </c>
      <c r="AF767" s="26">
        <f t="shared" si="113"/>
        <v>0</v>
      </c>
      <c r="AG767" s="31">
        <f>SUM($T767:T767)</f>
        <v>0</v>
      </c>
      <c r="AH767" s="31">
        <f>SUM($T767:U767)</f>
        <v>0</v>
      </c>
      <c r="AI767" s="31">
        <f>SUM($T767:V767)</f>
        <v>0</v>
      </c>
      <c r="AJ767" s="31">
        <f>SUM($T767:W767)</f>
        <v>0</v>
      </c>
      <c r="AK767" s="31">
        <f>SUM($T767:X767)</f>
        <v>0</v>
      </c>
      <c r="AL767" s="31">
        <f>SUM($T767:Y767)</f>
        <v>0</v>
      </c>
      <c r="AM767" s="31">
        <f>SUM($T767:Z767)</f>
        <v>0</v>
      </c>
      <c r="AN767" s="31">
        <f>SUM($T767:AA767)</f>
        <v>0</v>
      </c>
      <c r="AO767" s="31">
        <f>SUM($T767:AB767)</f>
        <v>0</v>
      </c>
      <c r="AP767" s="31">
        <f>SUM($T767:AC767)</f>
        <v>0</v>
      </c>
      <c r="AQ767" s="31">
        <f>SUM($T767:AD767)</f>
        <v>0</v>
      </c>
      <c r="AR767" s="31">
        <f>SUM($T767:AE767)</f>
        <v>0</v>
      </c>
      <c r="AS767" s="27">
        <f t="shared" si="114"/>
        <v>0</v>
      </c>
    </row>
    <row r="768" spans="2:45">
      <c r="B768" s="102" t="str">
        <f>IF(ROW()-6&gt;NumCostCenter,"",IF(CostCenter&lt;&gt;"ALL",CostCenter,DATA_LF2!B766))</f>
        <v/>
      </c>
      <c r="C768" s="153" t="str">
        <f>IF($B768&lt;&gt;"",INDEX(DataOB[],FirstRow+ROW()-7,2),"")</f>
        <v/>
      </c>
      <c r="D768" s="66" t="str">
        <f>IF($B768&lt;&gt;"",INDEX(DataOB[],FirstRow+ROW()-7,3),"")</f>
        <v/>
      </c>
      <c r="E768" s="103" t="str">
        <f>IF($B768&lt;&gt;"",INDEX(DataOB[],FirstRow+ROW()-7,6),"")</f>
        <v/>
      </c>
      <c r="F768" s="103" t="str">
        <f>IF($B768&lt;&gt;"",INDEX(DataOB[],FirstRow+ROW()-7,5),"")</f>
        <v/>
      </c>
      <c r="G768" s="58">
        <f>IF($B768&lt;&gt;"",SUMIFS(DataAct_tbl[AMOUNT],DataAct_tbl[BG CODE],Detail!$D768,DataAct_tbl[MONTH],LEFT(MonthName,3),DataAct_tbl[Dept code],$B768),0)</f>
        <v>0</v>
      </c>
      <c r="H768" s="31" t="str">
        <f t="shared" si="106"/>
        <v/>
      </c>
      <c r="I768" s="28" t="str">
        <f t="shared" si="107"/>
        <v/>
      </c>
      <c r="J768" s="32" t="str">
        <f t="shared" si="108"/>
        <v/>
      </c>
      <c r="K768" s="86"/>
      <c r="L768" s="62">
        <f>IF($B768&lt;&gt;"",SUMIFS(DataAct_tbl[AMOUNT],DataAct_tbl[BG CODE],Detail!$D768,DataAct_tbl[Check Range],"=true",DataAct_tbl[Dept code],$B768),0)</f>
        <v>0</v>
      </c>
      <c r="M768" s="63">
        <f>INDEX($AG$7:$AR$1005,ROW()-6,MATCH(MTD,$AG$6:$AR$6,0))</f>
        <v>0</v>
      </c>
      <c r="N768" s="34">
        <f t="shared" si="109"/>
        <v>0</v>
      </c>
      <c r="O768" s="64" t="str">
        <f t="shared" si="110"/>
        <v xml:space="preserve"> </v>
      </c>
      <c r="Q768" s="97">
        <f t="shared" si="111"/>
        <v>0</v>
      </c>
      <c r="R768" s="96">
        <f t="shared" si="112"/>
        <v>0</v>
      </c>
      <c r="T768" s="67" t="str">
        <f>IF($B768&lt;&gt;"",INDEX(DataOB[],FirstRow+ROW()-7,MATCH(T$6,DataOB[#Headers],0)),"")</f>
        <v/>
      </c>
      <c r="U768" s="67" t="str">
        <f>IF($B768&lt;&gt;"",INDEX(DataOB[],FirstRow+ROW()-7,MATCH(U$6,DataOB[#Headers],0)),"")</f>
        <v/>
      </c>
      <c r="V768" s="67" t="str">
        <f>IF($B768&lt;&gt;"",INDEX(DataOB[],FirstRow+ROW()-7,MATCH(V$6,DataOB[#Headers],0)),"")</f>
        <v/>
      </c>
      <c r="W768" s="67" t="str">
        <f>IF($B768&lt;&gt;"",INDEX(DataOB[],FirstRow+ROW()-7,MATCH(W$6,DataOB[#Headers],0)),"")</f>
        <v/>
      </c>
      <c r="X768" s="67" t="str">
        <f>IF($B768&lt;&gt;"",INDEX(DataOB[],FirstRow+ROW()-7,MATCH(X$6,DataOB[#Headers],0)),"")</f>
        <v/>
      </c>
      <c r="Y768" s="67" t="str">
        <f>IF($B768&lt;&gt;"",INDEX(DataOB[],FirstRow+ROW()-7,MATCH(Y$6,DataOB[#Headers],0)),"")</f>
        <v/>
      </c>
      <c r="Z768" s="67" t="str">
        <f>IF($B768&lt;&gt;"",INDEX(DataOB[],FirstRow+ROW()-7,MATCH(Z$6,DataOB[#Headers],0)),"")</f>
        <v/>
      </c>
      <c r="AA768" s="67" t="str">
        <f>IF($B768&lt;&gt;"",INDEX(DataOB[],FirstRow+ROW()-7,MATCH(AA$6,DataOB[#Headers],0)),"")</f>
        <v/>
      </c>
      <c r="AB768" s="67" t="str">
        <f>IF($B768&lt;&gt;"",INDEX(DataOB[],FirstRow+ROW()-7,MATCH(AB$6,DataOB[#Headers],0)),"")</f>
        <v/>
      </c>
      <c r="AC768" s="67" t="str">
        <f>IF($B768&lt;&gt;"",INDEX(DataOB[],FirstRow+ROW()-7,MATCH(AC$6,DataOB[#Headers],0)),"")</f>
        <v/>
      </c>
      <c r="AD768" s="67" t="str">
        <f>IF($B768&lt;&gt;"",INDEX(DataOB[],FirstRow+ROW()-7,MATCH(AD$6,DataOB[#Headers],0)),"")</f>
        <v/>
      </c>
      <c r="AE768" s="67" t="str">
        <f>IF($B768&lt;&gt;"",INDEX(DataOB[],FirstRow+ROW()-7,MATCH(AE$6,DataOB[#Headers],0)),"")</f>
        <v/>
      </c>
      <c r="AF768" s="26">
        <f t="shared" si="113"/>
        <v>0</v>
      </c>
      <c r="AG768" s="31">
        <f>SUM($T768:T768)</f>
        <v>0</v>
      </c>
      <c r="AH768" s="31">
        <f>SUM($T768:U768)</f>
        <v>0</v>
      </c>
      <c r="AI768" s="31">
        <f>SUM($T768:V768)</f>
        <v>0</v>
      </c>
      <c r="AJ768" s="31">
        <f>SUM($T768:W768)</f>
        <v>0</v>
      </c>
      <c r="AK768" s="31">
        <f>SUM($T768:X768)</f>
        <v>0</v>
      </c>
      <c r="AL768" s="31">
        <f>SUM($T768:Y768)</f>
        <v>0</v>
      </c>
      <c r="AM768" s="31">
        <f>SUM($T768:Z768)</f>
        <v>0</v>
      </c>
      <c r="AN768" s="31">
        <f>SUM($T768:AA768)</f>
        <v>0</v>
      </c>
      <c r="AO768" s="31">
        <f>SUM($T768:AB768)</f>
        <v>0</v>
      </c>
      <c r="AP768" s="31">
        <f>SUM($T768:AC768)</f>
        <v>0</v>
      </c>
      <c r="AQ768" s="31">
        <f>SUM($T768:AD768)</f>
        <v>0</v>
      </c>
      <c r="AR768" s="31">
        <f>SUM($T768:AE768)</f>
        <v>0</v>
      </c>
      <c r="AS768" s="27">
        <f t="shared" si="114"/>
        <v>0</v>
      </c>
    </row>
    <row r="769" spans="2:45">
      <c r="B769" s="102" t="str">
        <f>IF(ROW()-6&gt;NumCostCenter,"",IF(CostCenter&lt;&gt;"ALL",CostCenter,DATA_LF2!B767))</f>
        <v/>
      </c>
      <c r="C769" s="153" t="str">
        <f>IF($B769&lt;&gt;"",INDEX(DataOB[],FirstRow+ROW()-7,2),"")</f>
        <v/>
      </c>
      <c r="D769" s="66" t="str">
        <f>IF($B769&lt;&gt;"",INDEX(DataOB[],FirstRow+ROW()-7,3),"")</f>
        <v/>
      </c>
      <c r="E769" s="103" t="str">
        <f>IF($B769&lt;&gt;"",INDEX(DataOB[],FirstRow+ROW()-7,6),"")</f>
        <v/>
      </c>
      <c r="F769" s="103" t="str">
        <f>IF($B769&lt;&gt;"",INDEX(DataOB[],FirstRow+ROW()-7,5),"")</f>
        <v/>
      </c>
      <c r="G769" s="58">
        <f>IF($B769&lt;&gt;"",SUMIFS(DataAct_tbl[AMOUNT],DataAct_tbl[BG CODE],Detail!$D769,DataAct_tbl[MONTH],LEFT(MonthName,3),DataAct_tbl[Dept code],$B769),0)</f>
        <v>0</v>
      </c>
      <c r="H769" s="31" t="str">
        <f t="shared" si="106"/>
        <v/>
      </c>
      <c r="I769" s="28" t="str">
        <f t="shared" si="107"/>
        <v/>
      </c>
      <c r="J769" s="32" t="str">
        <f t="shared" si="108"/>
        <v/>
      </c>
      <c r="K769" s="86"/>
      <c r="L769" s="62">
        <f>IF($B769&lt;&gt;"",SUMIFS(DataAct_tbl[AMOUNT],DataAct_tbl[BG CODE],Detail!$D769,DataAct_tbl[Check Range],"=true",DataAct_tbl[Dept code],$B769),0)</f>
        <v>0</v>
      </c>
      <c r="M769" s="63">
        <f>INDEX($AG$7:$AR$1005,ROW()-6,MATCH(MTD,$AG$6:$AR$6,0))</f>
        <v>0</v>
      </c>
      <c r="N769" s="34">
        <f t="shared" si="109"/>
        <v>0</v>
      </c>
      <c r="O769" s="64" t="str">
        <f t="shared" si="110"/>
        <v xml:space="preserve"> </v>
      </c>
      <c r="Q769" s="97">
        <f t="shared" si="111"/>
        <v>0</v>
      </c>
      <c r="R769" s="96">
        <f t="shared" si="112"/>
        <v>0</v>
      </c>
      <c r="T769" s="67" t="str">
        <f>IF($B769&lt;&gt;"",INDEX(DataOB[],FirstRow+ROW()-7,MATCH(T$6,DataOB[#Headers],0)),"")</f>
        <v/>
      </c>
      <c r="U769" s="67" t="str">
        <f>IF($B769&lt;&gt;"",INDEX(DataOB[],FirstRow+ROW()-7,MATCH(U$6,DataOB[#Headers],0)),"")</f>
        <v/>
      </c>
      <c r="V769" s="67" t="str">
        <f>IF($B769&lt;&gt;"",INDEX(DataOB[],FirstRow+ROW()-7,MATCH(V$6,DataOB[#Headers],0)),"")</f>
        <v/>
      </c>
      <c r="W769" s="67" t="str">
        <f>IF($B769&lt;&gt;"",INDEX(DataOB[],FirstRow+ROW()-7,MATCH(W$6,DataOB[#Headers],0)),"")</f>
        <v/>
      </c>
      <c r="X769" s="67" t="str">
        <f>IF($B769&lt;&gt;"",INDEX(DataOB[],FirstRow+ROW()-7,MATCH(X$6,DataOB[#Headers],0)),"")</f>
        <v/>
      </c>
      <c r="Y769" s="67" t="str">
        <f>IF($B769&lt;&gt;"",INDEX(DataOB[],FirstRow+ROW()-7,MATCH(Y$6,DataOB[#Headers],0)),"")</f>
        <v/>
      </c>
      <c r="Z769" s="67" t="str">
        <f>IF($B769&lt;&gt;"",INDEX(DataOB[],FirstRow+ROW()-7,MATCH(Z$6,DataOB[#Headers],0)),"")</f>
        <v/>
      </c>
      <c r="AA769" s="67" t="str">
        <f>IF($B769&lt;&gt;"",INDEX(DataOB[],FirstRow+ROW()-7,MATCH(AA$6,DataOB[#Headers],0)),"")</f>
        <v/>
      </c>
      <c r="AB769" s="67" t="str">
        <f>IF($B769&lt;&gt;"",INDEX(DataOB[],FirstRow+ROW()-7,MATCH(AB$6,DataOB[#Headers],0)),"")</f>
        <v/>
      </c>
      <c r="AC769" s="67" t="str">
        <f>IF($B769&lt;&gt;"",INDEX(DataOB[],FirstRow+ROW()-7,MATCH(AC$6,DataOB[#Headers],0)),"")</f>
        <v/>
      </c>
      <c r="AD769" s="67" t="str">
        <f>IF($B769&lt;&gt;"",INDEX(DataOB[],FirstRow+ROW()-7,MATCH(AD$6,DataOB[#Headers],0)),"")</f>
        <v/>
      </c>
      <c r="AE769" s="67" t="str">
        <f>IF($B769&lt;&gt;"",INDEX(DataOB[],FirstRow+ROW()-7,MATCH(AE$6,DataOB[#Headers],0)),"")</f>
        <v/>
      </c>
      <c r="AF769" s="26">
        <f t="shared" si="113"/>
        <v>0</v>
      </c>
      <c r="AG769" s="31">
        <f>SUM($T769:T769)</f>
        <v>0</v>
      </c>
      <c r="AH769" s="31">
        <f>SUM($T769:U769)</f>
        <v>0</v>
      </c>
      <c r="AI769" s="31">
        <f>SUM($T769:V769)</f>
        <v>0</v>
      </c>
      <c r="AJ769" s="31">
        <f>SUM($T769:W769)</f>
        <v>0</v>
      </c>
      <c r="AK769" s="31">
        <f>SUM($T769:X769)</f>
        <v>0</v>
      </c>
      <c r="AL769" s="31">
        <f>SUM($T769:Y769)</f>
        <v>0</v>
      </c>
      <c r="AM769" s="31">
        <f>SUM($T769:Z769)</f>
        <v>0</v>
      </c>
      <c r="AN769" s="31">
        <f>SUM($T769:AA769)</f>
        <v>0</v>
      </c>
      <c r="AO769" s="31">
        <f>SUM($T769:AB769)</f>
        <v>0</v>
      </c>
      <c r="AP769" s="31">
        <f>SUM($T769:AC769)</f>
        <v>0</v>
      </c>
      <c r="AQ769" s="31">
        <f>SUM($T769:AD769)</f>
        <v>0</v>
      </c>
      <c r="AR769" s="31">
        <f>SUM($T769:AE769)</f>
        <v>0</v>
      </c>
      <c r="AS769" s="27">
        <f t="shared" si="114"/>
        <v>0</v>
      </c>
    </row>
    <row r="770" spans="2:45">
      <c r="B770" s="102" t="str">
        <f>IF(ROW()-6&gt;NumCostCenter,"",IF(CostCenter&lt;&gt;"ALL",CostCenter,DATA_LF2!B768))</f>
        <v/>
      </c>
      <c r="C770" s="153" t="str">
        <f>IF($B770&lt;&gt;"",INDEX(DataOB[],FirstRow+ROW()-7,2),"")</f>
        <v/>
      </c>
      <c r="D770" s="66" t="str">
        <f>IF($B770&lt;&gt;"",INDEX(DataOB[],FirstRow+ROW()-7,3),"")</f>
        <v/>
      </c>
      <c r="E770" s="103" t="str">
        <f>IF($B770&lt;&gt;"",INDEX(DataOB[],FirstRow+ROW()-7,6),"")</f>
        <v/>
      </c>
      <c r="F770" s="103" t="str">
        <f>IF($B770&lt;&gt;"",INDEX(DataOB[],FirstRow+ROW()-7,5),"")</f>
        <v/>
      </c>
      <c r="G770" s="58">
        <f>IF($B770&lt;&gt;"",SUMIFS(DataAct_tbl[AMOUNT],DataAct_tbl[BG CODE],Detail!$D770,DataAct_tbl[MONTH],LEFT(MonthName,3),DataAct_tbl[Dept code],$B770),0)</f>
        <v>0</v>
      </c>
      <c r="H770" s="31" t="str">
        <f t="shared" si="106"/>
        <v/>
      </c>
      <c r="I770" s="28" t="str">
        <f t="shared" si="107"/>
        <v/>
      </c>
      <c r="J770" s="32" t="str">
        <f t="shared" si="108"/>
        <v/>
      </c>
      <c r="K770" s="86"/>
      <c r="L770" s="62">
        <f>IF($B770&lt;&gt;"",SUMIFS(DataAct_tbl[AMOUNT],DataAct_tbl[BG CODE],Detail!$D770,DataAct_tbl[Check Range],"=true",DataAct_tbl[Dept code],$B770),0)</f>
        <v>0</v>
      </c>
      <c r="M770" s="63">
        <f>INDEX($AG$7:$AR$1005,ROW()-6,MATCH(MTD,$AG$6:$AR$6,0))</f>
        <v>0</v>
      </c>
      <c r="N770" s="34">
        <f t="shared" si="109"/>
        <v>0</v>
      </c>
      <c r="O770" s="64" t="str">
        <f t="shared" si="110"/>
        <v xml:space="preserve"> </v>
      </c>
      <c r="Q770" s="97">
        <f t="shared" si="111"/>
        <v>0</v>
      </c>
      <c r="R770" s="96">
        <f t="shared" si="112"/>
        <v>0</v>
      </c>
      <c r="T770" s="67" t="str">
        <f>IF($B770&lt;&gt;"",INDEX(DataOB[],FirstRow+ROW()-7,MATCH(T$6,DataOB[#Headers],0)),"")</f>
        <v/>
      </c>
      <c r="U770" s="67" t="str">
        <f>IF($B770&lt;&gt;"",INDEX(DataOB[],FirstRow+ROW()-7,MATCH(U$6,DataOB[#Headers],0)),"")</f>
        <v/>
      </c>
      <c r="V770" s="67" t="str">
        <f>IF($B770&lt;&gt;"",INDEX(DataOB[],FirstRow+ROW()-7,MATCH(V$6,DataOB[#Headers],0)),"")</f>
        <v/>
      </c>
      <c r="W770" s="67" t="str">
        <f>IF($B770&lt;&gt;"",INDEX(DataOB[],FirstRow+ROW()-7,MATCH(W$6,DataOB[#Headers],0)),"")</f>
        <v/>
      </c>
      <c r="X770" s="67" t="str">
        <f>IF($B770&lt;&gt;"",INDEX(DataOB[],FirstRow+ROW()-7,MATCH(X$6,DataOB[#Headers],0)),"")</f>
        <v/>
      </c>
      <c r="Y770" s="67" t="str">
        <f>IF($B770&lt;&gt;"",INDEX(DataOB[],FirstRow+ROW()-7,MATCH(Y$6,DataOB[#Headers],0)),"")</f>
        <v/>
      </c>
      <c r="Z770" s="67" t="str">
        <f>IF($B770&lt;&gt;"",INDEX(DataOB[],FirstRow+ROW()-7,MATCH(Z$6,DataOB[#Headers],0)),"")</f>
        <v/>
      </c>
      <c r="AA770" s="67" t="str">
        <f>IF($B770&lt;&gt;"",INDEX(DataOB[],FirstRow+ROW()-7,MATCH(AA$6,DataOB[#Headers],0)),"")</f>
        <v/>
      </c>
      <c r="AB770" s="67" t="str">
        <f>IF($B770&lt;&gt;"",INDEX(DataOB[],FirstRow+ROW()-7,MATCH(AB$6,DataOB[#Headers],0)),"")</f>
        <v/>
      </c>
      <c r="AC770" s="67" t="str">
        <f>IF($B770&lt;&gt;"",INDEX(DataOB[],FirstRow+ROW()-7,MATCH(AC$6,DataOB[#Headers],0)),"")</f>
        <v/>
      </c>
      <c r="AD770" s="67" t="str">
        <f>IF($B770&lt;&gt;"",INDEX(DataOB[],FirstRow+ROW()-7,MATCH(AD$6,DataOB[#Headers],0)),"")</f>
        <v/>
      </c>
      <c r="AE770" s="67" t="str">
        <f>IF($B770&lt;&gt;"",INDEX(DataOB[],FirstRow+ROW()-7,MATCH(AE$6,DataOB[#Headers],0)),"")</f>
        <v/>
      </c>
      <c r="AF770" s="26">
        <f t="shared" si="113"/>
        <v>0</v>
      </c>
      <c r="AG770" s="31">
        <f>SUM($T770:T770)</f>
        <v>0</v>
      </c>
      <c r="AH770" s="31">
        <f>SUM($T770:U770)</f>
        <v>0</v>
      </c>
      <c r="AI770" s="31">
        <f>SUM($T770:V770)</f>
        <v>0</v>
      </c>
      <c r="AJ770" s="31">
        <f>SUM($T770:W770)</f>
        <v>0</v>
      </c>
      <c r="AK770" s="31">
        <f>SUM($T770:X770)</f>
        <v>0</v>
      </c>
      <c r="AL770" s="31">
        <f>SUM($T770:Y770)</f>
        <v>0</v>
      </c>
      <c r="AM770" s="31">
        <f>SUM($T770:Z770)</f>
        <v>0</v>
      </c>
      <c r="AN770" s="31">
        <f>SUM($T770:AA770)</f>
        <v>0</v>
      </c>
      <c r="AO770" s="31">
        <f>SUM($T770:AB770)</f>
        <v>0</v>
      </c>
      <c r="AP770" s="31">
        <f>SUM($T770:AC770)</f>
        <v>0</v>
      </c>
      <c r="AQ770" s="31">
        <f>SUM($T770:AD770)</f>
        <v>0</v>
      </c>
      <c r="AR770" s="31">
        <f>SUM($T770:AE770)</f>
        <v>0</v>
      </c>
      <c r="AS770" s="27">
        <f t="shared" si="114"/>
        <v>0</v>
      </c>
    </row>
    <row r="771" spans="2:45">
      <c r="B771" s="102" t="str">
        <f>IF(ROW()-6&gt;NumCostCenter,"",IF(CostCenter&lt;&gt;"ALL",CostCenter,DATA_LF2!B769))</f>
        <v/>
      </c>
      <c r="C771" s="153" t="str">
        <f>IF($B771&lt;&gt;"",INDEX(DataOB[],FirstRow+ROW()-7,2),"")</f>
        <v/>
      </c>
      <c r="D771" s="66" t="str">
        <f>IF($B771&lt;&gt;"",INDEX(DataOB[],FirstRow+ROW()-7,3),"")</f>
        <v/>
      </c>
      <c r="E771" s="103" t="str">
        <f>IF($B771&lt;&gt;"",INDEX(DataOB[],FirstRow+ROW()-7,6),"")</f>
        <v/>
      </c>
      <c r="F771" s="103" t="str">
        <f>IF($B771&lt;&gt;"",INDEX(DataOB[],FirstRow+ROW()-7,5),"")</f>
        <v/>
      </c>
      <c r="G771" s="58">
        <f>IF($B771&lt;&gt;"",SUMIFS(DataAct_tbl[AMOUNT],DataAct_tbl[BG CODE],Detail!$D771,DataAct_tbl[MONTH],LEFT(MonthName,3),DataAct_tbl[Dept code],$B771),0)</f>
        <v>0</v>
      </c>
      <c r="H771" s="31" t="str">
        <f t="shared" si="106"/>
        <v/>
      </c>
      <c r="I771" s="28" t="str">
        <f t="shared" si="107"/>
        <v/>
      </c>
      <c r="J771" s="32" t="str">
        <f t="shared" si="108"/>
        <v/>
      </c>
      <c r="K771" s="86"/>
      <c r="L771" s="62">
        <f>IF($B771&lt;&gt;"",SUMIFS(DataAct_tbl[AMOUNT],DataAct_tbl[BG CODE],Detail!$D771,DataAct_tbl[Check Range],"=true",DataAct_tbl[Dept code],$B771),0)</f>
        <v>0</v>
      </c>
      <c r="M771" s="63">
        <f>INDEX($AG$7:$AR$1005,ROW()-6,MATCH(MTD,$AG$6:$AR$6,0))</f>
        <v>0</v>
      </c>
      <c r="N771" s="34">
        <f t="shared" si="109"/>
        <v>0</v>
      </c>
      <c r="O771" s="64" t="str">
        <f t="shared" si="110"/>
        <v xml:space="preserve"> </v>
      </c>
      <c r="Q771" s="97">
        <f t="shared" si="111"/>
        <v>0</v>
      </c>
      <c r="R771" s="96">
        <f t="shared" si="112"/>
        <v>0</v>
      </c>
      <c r="T771" s="67" t="str">
        <f>IF($B771&lt;&gt;"",INDEX(DataOB[],FirstRow+ROW()-7,MATCH(T$6,DataOB[#Headers],0)),"")</f>
        <v/>
      </c>
      <c r="U771" s="67" t="str">
        <f>IF($B771&lt;&gt;"",INDEX(DataOB[],FirstRow+ROW()-7,MATCH(U$6,DataOB[#Headers],0)),"")</f>
        <v/>
      </c>
      <c r="V771" s="67" t="str">
        <f>IF($B771&lt;&gt;"",INDEX(DataOB[],FirstRow+ROW()-7,MATCH(V$6,DataOB[#Headers],0)),"")</f>
        <v/>
      </c>
      <c r="W771" s="67" t="str">
        <f>IF($B771&lt;&gt;"",INDEX(DataOB[],FirstRow+ROW()-7,MATCH(W$6,DataOB[#Headers],0)),"")</f>
        <v/>
      </c>
      <c r="X771" s="67" t="str">
        <f>IF($B771&lt;&gt;"",INDEX(DataOB[],FirstRow+ROW()-7,MATCH(X$6,DataOB[#Headers],0)),"")</f>
        <v/>
      </c>
      <c r="Y771" s="67" t="str">
        <f>IF($B771&lt;&gt;"",INDEX(DataOB[],FirstRow+ROW()-7,MATCH(Y$6,DataOB[#Headers],0)),"")</f>
        <v/>
      </c>
      <c r="Z771" s="67" t="str">
        <f>IF($B771&lt;&gt;"",INDEX(DataOB[],FirstRow+ROW()-7,MATCH(Z$6,DataOB[#Headers],0)),"")</f>
        <v/>
      </c>
      <c r="AA771" s="67" t="str">
        <f>IF($B771&lt;&gt;"",INDEX(DataOB[],FirstRow+ROW()-7,MATCH(AA$6,DataOB[#Headers],0)),"")</f>
        <v/>
      </c>
      <c r="AB771" s="67" t="str">
        <f>IF($B771&lt;&gt;"",INDEX(DataOB[],FirstRow+ROW()-7,MATCH(AB$6,DataOB[#Headers],0)),"")</f>
        <v/>
      </c>
      <c r="AC771" s="67" t="str">
        <f>IF($B771&lt;&gt;"",INDEX(DataOB[],FirstRow+ROW()-7,MATCH(AC$6,DataOB[#Headers],0)),"")</f>
        <v/>
      </c>
      <c r="AD771" s="67" t="str">
        <f>IF($B771&lt;&gt;"",INDEX(DataOB[],FirstRow+ROW()-7,MATCH(AD$6,DataOB[#Headers],0)),"")</f>
        <v/>
      </c>
      <c r="AE771" s="67" t="str">
        <f>IF($B771&lt;&gt;"",INDEX(DataOB[],FirstRow+ROW()-7,MATCH(AE$6,DataOB[#Headers],0)),"")</f>
        <v/>
      </c>
      <c r="AF771" s="26">
        <f t="shared" si="113"/>
        <v>0</v>
      </c>
      <c r="AG771" s="31">
        <f>SUM($T771:T771)</f>
        <v>0</v>
      </c>
      <c r="AH771" s="31">
        <f>SUM($T771:U771)</f>
        <v>0</v>
      </c>
      <c r="AI771" s="31">
        <f>SUM($T771:V771)</f>
        <v>0</v>
      </c>
      <c r="AJ771" s="31">
        <f>SUM($T771:W771)</f>
        <v>0</v>
      </c>
      <c r="AK771" s="31">
        <f>SUM($T771:X771)</f>
        <v>0</v>
      </c>
      <c r="AL771" s="31">
        <f>SUM($T771:Y771)</f>
        <v>0</v>
      </c>
      <c r="AM771" s="31">
        <f>SUM($T771:Z771)</f>
        <v>0</v>
      </c>
      <c r="AN771" s="31">
        <f>SUM($T771:AA771)</f>
        <v>0</v>
      </c>
      <c r="AO771" s="31">
        <f>SUM($T771:AB771)</f>
        <v>0</v>
      </c>
      <c r="AP771" s="31">
        <f>SUM($T771:AC771)</f>
        <v>0</v>
      </c>
      <c r="AQ771" s="31">
        <f>SUM($T771:AD771)</f>
        <v>0</v>
      </c>
      <c r="AR771" s="31">
        <f>SUM($T771:AE771)</f>
        <v>0</v>
      </c>
      <c r="AS771" s="27">
        <f t="shared" si="114"/>
        <v>0</v>
      </c>
    </row>
    <row r="772" spans="2:45">
      <c r="B772" s="102" t="str">
        <f>IF(ROW()-6&gt;NumCostCenter,"",IF(CostCenter&lt;&gt;"ALL",CostCenter,DATA_LF2!B770))</f>
        <v/>
      </c>
      <c r="C772" s="153" t="str">
        <f>IF($B772&lt;&gt;"",INDEX(DataOB[],FirstRow+ROW()-7,2),"")</f>
        <v/>
      </c>
      <c r="D772" s="66" t="str">
        <f>IF($B772&lt;&gt;"",INDEX(DataOB[],FirstRow+ROW()-7,3),"")</f>
        <v/>
      </c>
      <c r="E772" s="103" t="str">
        <f>IF($B772&lt;&gt;"",INDEX(DataOB[],FirstRow+ROW()-7,6),"")</f>
        <v/>
      </c>
      <c r="F772" s="103" t="str">
        <f>IF($B772&lt;&gt;"",INDEX(DataOB[],FirstRow+ROW()-7,5),"")</f>
        <v/>
      </c>
      <c r="G772" s="58">
        <f>IF($B772&lt;&gt;"",SUMIFS(DataAct_tbl[AMOUNT],DataAct_tbl[BG CODE],Detail!$D772,DataAct_tbl[MONTH],LEFT(MonthName,3),DataAct_tbl[Dept code],$B772),0)</f>
        <v>0</v>
      </c>
      <c r="H772" s="31" t="str">
        <f t="shared" si="106"/>
        <v/>
      </c>
      <c r="I772" s="28" t="str">
        <f t="shared" si="107"/>
        <v/>
      </c>
      <c r="J772" s="32" t="str">
        <f t="shared" si="108"/>
        <v/>
      </c>
      <c r="K772" s="86"/>
      <c r="L772" s="62">
        <f>IF($B772&lt;&gt;"",SUMIFS(DataAct_tbl[AMOUNT],DataAct_tbl[BG CODE],Detail!$D772,DataAct_tbl[Check Range],"=true",DataAct_tbl[Dept code],$B772),0)</f>
        <v>0</v>
      </c>
      <c r="M772" s="63">
        <f>INDEX($AG$7:$AR$1005,ROW()-6,MATCH(MTD,$AG$6:$AR$6,0))</f>
        <v>0</v>
      </c>
      <c r="N772" s="34">
        <f t="shared" si="109"/>
        <v>0</v>
      </c>
      <c r="O772" s="64" t="str">
        <f t="shared" si="110"/>
        <v xml:space="preserve"> </v>
      </c>
      <c r="Q772" s="97">
        <f t="shared" si="111"/>
        <v>0</v>
      </c>
      <c r="R772" s="96">
        <f t="shared" si="112"/>
        <v>0</v>
      </c>
      <c r="T772" s="67" t="str">
        <f>IF($B772&lt;&gt;"",INDEX(DataOB[],FirstRow+ROW()-7,MATCH(T$6,DataOB[#Headers],0)),"")</f>
        <v/>
      </c>
      <c r="U772" s="67" t="str">
        <f>IF($B772&lt;&gt;"",INDEX(DataOB[],FirstRow+ROW()-7,MATCH(U$6,DataOB[#Headers],0)),"")</f>
        <v/>
      </c>
      <c r="V772" s="67" t="str">
        <f>IF($B772&lt;&gt;"",INDEX(DataOB[],FirstRow+ROW()-7,MATCH(V$6,DataOB[#Headers],0)),"")</f>
        <v/>
      </c>
      <c r="W772" s="67" t="str">
        <f>IF($B772&lt;&gt;"",INDEX(DataOB[],FirstRow+ROW()-7,MATCH(W$6,DataOB[#Headers],0)),"")</f>
        <v/>
      </c>
      <c r="X772" s="67" t="str">
        <f>IF($B772&lt;&gt;"",INDEX(DataOB[],FirstRow+ROW()-7,MATCH(X$6,DataOB[#Headers],0)),"")</f>
        <v/>
      </c>
      <c r="Y772" s="67" t="str">
        <f>IF($B772&lt;&gt;"",INDEX(DataOB[],FirstRow+ROW()-7,MATCH(Y$6,DataOB[#Headers],0)),"")</f>
        <v/>
      </c>
      <c r="Z772" s="67" t="str">
        <f>IF($B772&lt;&gt;"",INDEX(DataOB[],FirstRow+ROW()-7,MATCH(Z$6,DataOB[#Headers],0)),"")</f>
        <v/>
      </c>
      <c r="AA772" s="67" t="str">
        <f>IF($B772&lt;&gt;"",INDEX(DataOB[],FirstRow+ROW()-7,MATCH(AA$6,DataOB[#Headers],0)),"")</f>
        <v/>
      </c>
      <c r="AB772" s="67" t="str">
        <f>IF($B772&lt;&gt;"",INDEX(DataOB[],FirstRow+ROW()-7,MATCH(AB$6,DataOB[#Headers],0)),"")</f>
        <v/>
      </c>
      <c r="AC772" s="67" t="str">
        <f>IF($B772&lt;&gt;"",INDEX(DataOB[],FirstRow+ROW()-7,MATCH(AC$6,DataOB[#Headers],0)),"")</f>
        <v/>
      </c>
      <c r="AD772" s="67" t="str">
        <f>IF($B772&lt;&gt;"",INDEX(DataOB[],FirstRow+ROW()-7,MATCH(AD$6,DataOB[#Headers],0)),"")</f>
        <v/>
      </c>
      <c r="AE772" s="67" t="str">
        <f>IF($B772&lt;&gt;"",INDEX(DataOB[],FirstRow+ROW()-7,MATCH(AE$6,DataOB[#Headers],0)),"")</f>
        <v/>
      </c>
      <c r="AF772" s="26">
        <f t="shared" si="113"/>
        <v>0</v>
      </c>
      <c r="AG772" s="31">
        <f>SUM($T772:T772)</f>
        <v>0</v>
      </c>
      <c r="AH772" s="31">
        <f>SUM($T772:U772)</f>
        <v>0</v>
      </c>
      <c r="AI772" s="31">
        <f>SUM($T772:V772)</f>
        <v>0</v>
      </c>
      <c r="AJ772" s="31">
        <f>SUM($T772:W772)</f>
        <v>0</v>
      </c>
      <c r="AK772" s="31">
        <f>SUM($T772:X772)</f>
        <v>0</v>
      </c>
      <c r="AL772" s="31">
        <f>SUM($T772:Y772)</f>
        <v>0</v>
      </c>
      <c r="AM772" s="31">
        <f>SUM($T772:Z772)</f>
        <v>0</v>
      </c>
      <c r="AN772" s="31">
        <f>SUM($T772:AA772)</f>
        <v>0</v>
      </c>
      <c r="AO772" s="31">
        <f>SUM($T772:AB772)</f>
        <v>0</v>
      </c>
      <c r="AP772" s="31">
        <f>SUM($T772:AC772)</f>
        <v>0</v>
      </c>
      <c r="AQ772" s="31">
        <f>SUM($T772:AD772)</f>
        <v>0</v>
      </c>
      <c r="AR772" s="31">
        <f>SUM($T772:AE772)</f>
        <v>0</v>
      </c>
      <c r="AS772" s="27">
        <f t="shared" si="114"/>
        <v>0</v>
      </c>
    </row>
    <row r="773" spans="2:45">
      <c r="B773" s="102" t="str">
        <f>IF(ROW()-6&gt;NumCostCenter,"",IF(CostCenter&lt;&gt;"ALL",CostCenter,DATA_LF2!B771))</f>
        <v/>
      </c>
      <c r="C773" s="153" t="str">
        <f>IF($B773&lt;&gt;"",INDEX(DataOB[],FirstRow+ROW()-7,2),"")</f>
        <v/>
      </c>
      <c r="D773" s="66" t="str">
        <f>IF($B773&lt;&gt;"",INDEX(DataOB[],FirstRow+ROW()-7,3),"")</f>
        <v/>
      </c>
      <c r="E773" s="103" t="str">
        <f>IF($B773&lt;&gt;"",INDEX(DataOB[],FirstRow+ROW()-7,6),"")</f>
        <v/>
      </c>
      <c r="F773" s="103" t="str">
        <f>IF($B773&lt;&gt;"",INDEX(DataOB[],FirstRow+ROW()-7,5),"")</f>
        <v/>
      </c>
      <c r="G773" s="58">
        <f>IF($B773&lt;&gt;"",SUMIFS(DataAct_tbl[AMOUNT],DataAct_tbl[BG CODE],Detail!$D773,DataAct_tbl[MONTH],LEFT(MonthName,3),DataAct_tbl[Dept code],$B773),0)</f>
        <v>0</v>
      </c>
      <c r="H773" s="31" t="str">
        <f t="shared" si="106"/>
        <v/>
      </c>
      <c r="I773" s="28" t="str">
        <f t="shared" si="107"/>
        <v/>
      </c>
      <c r="J773" s="32" t="str">
        <f t="shared" si="108"/>
        <v/>
      </c>
      <c r="K773" s="86"/>
      <c r="L773" s="62">
        <f>IF($B773&lt;&gt;"",SUMIFS(DataAct_tbl[AMOUNT],DataAct_tbl[BG CODE],Detail!$D773,DataAct_tbl[Check Range],"=true",DataAct_tbl[Dept code],$B773),0)</f>
        <v>0</v>
      </c>
      <c r="M773" s="63">
        <f>INDEX($AG$7:$AR$1005,ROW()-6,MATCH(MTD,$AG$6:$AR$6,0))</f>
        <v>0</v>
      </c>
      <c r="N773" s="34">
        <f t="shared" si="109"/>
        <v>0</v>
      </c>
      <c r="O773" s="64" t="str">
        <f t="shared" si="110"/>
        <v xml:space="preserve"> </v>
      </c>
      <c r="Q773" s="97">
        <f t="shared" si="111"/>
        <v>0</v>
      </c>
      <c r="R773" s="96">
        <f t="shared" si="112"/>
        <v>0</v>
      </c>
      <c r="T773" s="67" t="str">
        <f>IF($B773&lt;&gt;"",INDEX(DataOB[],FirstRow+ROW()-7,MATCH(T$6,DataOB[#Headers],0)),"")</f>
        <v/>
      </c>
      <c r="U773" s="67" t="str">
        <f>IF($B773&lt;&gt;"",INDEX(DataOB[],FirstRow+ROW()-7,MATCH(U$6,DataOB[#Headers],0)),"")</f>
        <v/>
      </c>
      <c r="V773" s="67" t="str">
        <f>IF($B773&lt;&gt;"",INDEX(DataOB[],FirstRow+ROW()-7,MATCH(V$6,DataOB[#Headers],0)),"")</f>
        <v/>
      </c>
      <c r="W773" s="67" t="str">
        <f>IF($B773&lt;&gt;"",INDEX(DataOB[],FirstRow+ROW()-7,MATCH(W$6,DataOB[#Headers],0)),"")</f>
        <v/>
      </c>
      <c r="X773" s="67" t="str">
        <f>IF($B773&lt;&gt;"",INDEX(DataOB[],FirstRow+ROW()-7,MATCH(X$6,DataOB[#Headers],0)),"")</f>
        <v/>
      </c>
      <c r="Y773" s="67" t="str">
        <f>IF($B773&lt;&gt;"",INDEX(DataOB[],FirstRow+ROW()-7,MATCH(Y$6,DataOB[#Headers],0)),"")</f>
        <v/>
      </c>
      <c r="Z773" s="67" t="str">
        <f>IF($B773&lt;&gt;"",INDEX(DataOB[],FirstRow+ROW()-7,MATCH(Z$6,DataOB[#Headers],0)),"")</f>
        <v/>
      </c>
      <c r="AA773" s="67" t="str">
        <f>IF($B773&lt;&gt;"",INDEX(DataOB[],FirstRow+ROW()-7,MATCH(AA$6,DataOB[#Headers],0)),"")</f>
        <v/>
      </c>
      <c r="AB773" s="67" t="str">
        <f>IF($B773&lt;&gt;"",INDEX(DataOB[],FirstRow+ROW()-7,MATCH(AB$6,DataOB[#Headers],0)),"")</f>
        <v/>
      </c>
      <c r="AC773" s="67" t="str">
        <f>IF($B773&lt;&gt;"",INDEX(DataOB[],FirstRow+ROW()-7,MATCH(AC$6,DataOB[#Headers],0)),"")</f>
        <v/>
      </c>
      <c r="AD773" s="67" t="str">
        <f>IF($B773&lt;&gt;"",INDEX(DataOB[],FirstRow+ROW()-7,MATCH(AD$6,DataOB[#Headers],0)),"")</f>
        <v/>
      </c>
      <c r="AE773" s="67" t="str">
        <f>IF($B773&lt;&gt;"",INDEX(DataOB[],FirstRow+ROW()-7,MATCH(AE$6,DataOB[#Headers],0)),"")</f>
        <v/>
      </c>
      <c r="AF773" s="26">
        <f t="shared" si="113"/>
        <v>0</v>
      </c>
      <c r="AG773" s="31">
        <f>SUM($T773:T773)</f>
        <v>0</v>
      </c>
      <c r="AH773" s="31">
        <f>SUM($T773:U773)</f>
        <v>0</v>
      </c>
      <c r="AI773" s="31">
        <f>SUM($T773:V773)</f>
        <v>0</v>
      </c>
      <c r="AJ773" s="31">
        <f>SUM($T773:W773)</f>
        <v>0</v>
      </c>
      <c r="AK773" s="31">
        <f>SUM($T773:X773)</f>
        <v>0</v>
      </c>
      <c r="AL773" s="31">
        <f>SUM($T773:Y773)</f>
        <v>0</v>
      </c>
      <c r="AM773" s="31">
        <f>SUM($T773:Z773)</f>
        <v>0</v>
      </c>
      <c r="AN773" s="31">
        <f>SUM($T773:AA773)</f>
        <v>0</v>
      </c>
      <c r="AO773" s="31">
        <f>SUM($T773:AB773)</f>
        <v>0</v>
      </c>
      <c r="AP773" s="31">
        <f>SUM($T773:AC773)</f>
        <v>0</v>
      </c>
      <c r="AQ773" s="31">
        <f>SUM($T773:AD773)</f>
        <v>0</v>
      </c>
      <c r="AR773" s="31">
        <f>SUM($T773:AE773)</f>
        <v>0</v>
      </c>
      <c r="AS773" s="27">
        <f t="shared" si="114"/>
        <v>0</v>
      </c>
    </row>
    <row r="774" spans="2:45">
      <c r="B774" s="102" t="str">
        <f>IF(ROW()-6&gt;NumCostCenter,"",IF(CostCenter&lt;&gt;"ALL",CostCenter,DATA_LF2!B772))</f>
        <v/>
      </c>
      <c r="C774" s="153" t="str">
        <f>IF($B774&lt;&gt;"",INDEX(DataOB[],FirstRow+ROW()-7,2),"")</f>
        <v/>
      </c>
      <c r="D774" s="66" t="str">
        <f>IF($B774&lt;&gt;"",INDEX(DataOB[],FirstRow+ROW()-7,3),"")</f>
        <v/>
      </c>
      <c r="E774" s="103" t="str">
        <f>IF($B774&lt;&gt;"",INDEX(DataOB[],FirstRow+ROW()-7,6),"")</f>
        <v/>
      </c>
      <c r="F774" s="103" t="str">
        <f>IF($B774&lt;&gt;"",INDEX(DataOB[],FirstRow+ROW()-7,5),"")</f>
        <v/>
      </c>
      <c r="G774" s="58">
        <f>IF($B774&lt;&gt;"",SUMIFS(DataAct_tbl[AMOUNT],DataAct_tbl[BG CODE],Detail!$D774,DataAct_tbl[MONTH],LEFT(MonthName,3),DataAct_tbl[Dept code],$B774),0)</f>
        <v>0</v>
      </c>
      <c r="H774" s="31" t="str">
        <f t="shared" si="106"/>
        <v/>
      </c>
      <c r="I774" s="28" t="str">
        <f t="shared" si="107"/>
        <v/>
      </c>
      <c r="J774" s="32" t="str">
        <f t="shared" si="108"/>
        <v/>
      </c>
      <c r="K774" s="86"/>
      <c r="L774" s="62">
        <f>IF($B774&lt;&gt;"",SUMIFS(DataAct_tbl[AMOUNT],DataAct_tbl[BG CODE],Detail!$D774,DataAct_tbl[Check Range],"=true",DataAct_tbl[Dept code],$B774),0)</f>
        <v>0</v>
      </c>
      <c r="M774" s="63">
        <f>INDEX($AG$7:$AR$1005,ROW()-6,MATCH(MTD,$AG$6:$AR$6,0))</f>
        <v>0</v>
      </c>
      <c r="N774" s="34">
        <f t="shared" si="109"/>
        <v>0</v>
      </c>
      <c r="O774" s="64" t="str">
        <f t="shared" si="110"/>
        <v xml:space="preserve"> </v>
      </c>
      <c r="Q774" s="97">
        <f t="shared" si="111"/>
        <v>0</v>
      </c>
      <c r="R774" s="96">
        <f t="shared" si="112"/>
        <v>0</v>
      </c>
      <c r="T774" s="67" t="str">
        <f>IF($B774&lt;&gt;"",INDEX(DataOB[],FirstRow+ROW()-7,MATCH(T$6,DataOB[#Headers],0)),"")</f>
        <v/>
      </c>
      <c r="U774" s="67" t="str">
        <f>IF($B774&lt;&gt;"",INDEX(DataOB[],FirstRow+ROW()-7,MATCH(U$6,DataOB[#Headers],0)),"")</f>
        <v/>
      </c>
      <c r="V774" s="67" t="str">
        <f>IF($B774&lt;&gt;"",INDEX(DataOB[],FirstRow+ROW()-7,MATCH(V$6,DataOB[#Headers],0)),"")</f>
        <v/>
      </c>
      <c r="W774" s="67" t="str">
        <f>IF($B774&lt;&gt;"",INDEX(DataOB[],FirstRow+ROW()-7,MATCH(W$6,DataOB[#Headers],0)),"")</f>
        <v/>
      </c>
      <c r="X774" s="67" t="str">
        <f>IF($B774&lt;&gt;"",INDEX(DataOB[],FirstRow+ROW()-7,MATCH(X$6,DataOB[#Headers],0)),"")</f>
        <v/>
      </c>
      <c r="Y774" s="67" t="str">
        <f>IF($B774&lt;&gt;"",INDEX(DataOB[],FirstRow+ROW()-7,MATCH(Y$6,DataOB[#Headers],0)),"")</f>
        <v/>
      </c>
      <c r="Z774" s="67" t="str">
        <f>IF($B774&lt;&gt;"",INDEX(DataOB[],FirstRow+ROW()-7,MATCH(Z$6,DataOB[#Headers],0)),"")</f>
        <v/>
      </c>
      <c r="AA774" s="67" t="str">
        <f>IF($B774&lt;&gt;"",INDEX(DataOB[],FirstRow+ROW()-7,MATCH(AA$6,DataOB[#Headers],0)),"")</f>
        <v/>
      </c>
      <c r="AB774" s="67" t="str">
        <f>IF($B774&lt;&gt;"",INDEX(DataOB[],FirstRow+ROW()-7,MATCH(AB$6,DataOB[#Headers],0)),"")</f>
        <v/>
      </c>
      <c r="AC774" s="67" t="str">
        <f>IF($B774&lt;&gt;"",INDEX(DataOB[],FirstRow+ROW()-7,MATCH(AC$6,DataOB[#Headers],0)),"")</f>
        <v/>
      </c>
      <c r="AD774" s="67" t="str">
        <f>IF($B774&lt;&gt;"",INDEX(DataOB[],FirstRow+ROW()-7,MATCH(AD$6,DataOB[#Headers],0)),"")</f>
        <v/>
      </c>
      <c r="AE774" s="67" t="str">
        <f>IF($B774&lt;&gt;"",INDEX(DataOB[],FirstRow+ROW()-7,MATCH(AE$6,DataOB[#Headers],0)),"")</f>
        <v/>
      </c>
      <c r="AF774" s="26">
        <f t="shared" si="113"/>
        <v>0</v>
      </c>
      <c r="AG774" s="31">
        <f>SUM($T774:T774)</f>
        <v>0</v>
      </c>
      <c r="AH774" s="31">
        <f>SUM($T774:U774)</f>
        <v>0</v>
      </c>
      <c r="AI774" s="31">
        <f>SUM($T774:V774)</f>
        <v>0</v>
      </c>
      <c r="AJ774" s="31">
        <f>SUM($T774:W774)</f>
        <v>0</v>
      </c>
      <c r="AK774" s="31">
        <f>SUM($T774:X774)</f>
        <v>0</v>
      </c>
      <c r="AL774" s="31">
        <f>SUM($T774:Y774)</f>
        <v>0</v>
      </c>
      <c r="AM774" s="31">
        <f>SUM($T774:Z774)</f>
        <v>0</v>
      </c>
      <c r="AN774" s="31">
        <f>SUM($T774:AA774)</f>
        <v>0</v>
      </c>
      <c r="AO774" s="31">
        <f>SUM($T774:AB774)</f>
        <v>0</v>
      </c>
      <c r="AP774" s="31">
        <f>SUM($T774:AC774)</f>
        <v>0</v>
      </c>
      <c r="AQ774" s="31">
        <f>SUM($T774:AD774)</f>
        <v>0</v>
      </c>
      <c r="AR774" s="31">
        <f>SUM($T774:AE774)</f>
        <v>0</v>
      </c>
      <c r="AS774" s="27">
        <f t="shared" si="114"/>
        <v>0</v>
      </c>
    </row>
    <row r="775" spans="2:45">
      <c r="B775" s="102" t="str">
        <f>IF(ROW()-6&gt;NumCostCenter,"",IF(CostCenter&lt;&gt;"ALL",CostCenter,DATA_LF2!B773))</f>
        <v/>
      </c>
      <c r="C775" s="153" t="str">
        <f>IF($B775&lt;&gt;"",INDEX(DataOB[],FirstRow+ROW()-7,2),"")</f>
        <v/>
      </c>
      <c r="D775" s="66" t="str">
        <f>IF($B775&lt;&gt;"",INDEX(DataOB[],FirstRow+ROW()-7,3),"")</f>
        <v/>
      </c>
      <c r="E775" s="103" t="str">
        <f>IF($B775&lt;&gt;"",INDEX(DataOB[],FirstRow+ROW()-7,6),"")</f>
        <v/>
      </c>
      <c r="F775" s="103" t="str">
        <f>IF($B775&lt;&gt;"",INDEX(DataOB[],FirstRow+ROW()-7,5),"")</f>
        <v/>
      </c>
      <c r="G775" s="58">
        <f>IF($B775&lt;&gt;"",SUMIFS(DataAct_tbl[AMOUNT],DataAct_tbl[BG CODE],Detail!$D775,DataAct_tbl[MONTH],LEFT(MonthName,3),DataAct_tbl[Dept code],$B775),0)</f>
        <v>0</v>
      </c>
      <c r="H775" s="31" t="str">
        <f t="shared" ref="H775:H838" si="115">INDEX($T$7:$AE$1005,ROW()-6,MATCH(MonthName,$T$6:$AE$6,0))</f>
        <v/>
      </c>
      <c r="I775" s="28" t="str">
        <f t="shared" si="107"/>
        <v/>
      </c>
      <c r="J775" s="32" t="str">
        <f t="shared" si="108"/>
        <v/>
      </c>
      <c r="K775" s="86"/>
      <c r="L775" s="62">
        <f>IF($B775&lt;&gt;"",SUMIFS(DataAct_tbl[AMOUNT],DataAct_tbl[BG CODE],Detail!$D775,DataAct_tbl[Check Range],"=true",DataAct_tbl[Dept code],$B775),0)</f>
        <v>0</v>
      </c>
      <c r="M775" s="63">
        <f>INDEX($AG$7:$AR$1005,ROW()-6,MATCH(MTD,$AG$6:$AR$6,0))</f>
        <v>0</v>
      </c>
      <c r="N775" s="34">
        <f t="shared" si="109"/>
        <v>0</v>
      </c>
      <c r="O775" s="64" t="str">
        <f t="shared" si="110"/>
        <v xml:space="preserve"> </v>
      </c>
      <c r="Q775" s="97">
        <f t="shared" si="111"/>
        <v>0</v>
      </c>
      <c r="R775" s="96">
        <f t="shared" si="112"/>
        <v>0</v>
      </c>
      <c r="T775" s="67" t="str">
        <f>IF($B775&lt;&gt;"",INDEX(DataOB[],FirstRow+ROW()-7,MATCH(T$6,DataOB[#Headers],0)),"")</f>
        <v/>
      </c>
      <c r="U775" s="67" t="str">
        <f>IF($B775&lt;&gt;"",INDEX(DataOB[],FirstRow+ROW()-7,MATCH(U$6,DataOB[#Headers],0)),"")</f>
        <v/>
      </c>
      <c r="V775" s="67" t="str">
        <f>IF($B775&lt;&gt;"",INDEX(DataOB[],FirstRow+ROW()-7,MATCH(V$6,DataOB[#Headers],0)),"")</f>
        <v/>
      </c>
      <c r="W775" s="67" t="str">
        <f>IF($B775&lt;&gt;"",INDEX(DataOB[],FirstRow+ROW()-7,MATCH(W$6,DataOB[#Headers],0)),"")</f>
        <v/>
      </c>
      <c r="X775" s="67" t="str">
        <f>IF($B775&lt;&gt;"",INDEX(DataOB[],FirstRow+ROW()-7,MATCH(X$6,DataOB[#Headers],0)),"")</f>
        <v/>
      </c>
      <c r="Y775" s="67" t="str">
        <f>IF($B775&lt;&gt;"",INDEX(DataOB[],FirstRow+ROW()-7,MATCH(Y$6,DataOB[#Headers],0)),"")</f>
        <v/>
      </c>
      <c r="Z775" s="67" t="str">
        <f>IF($B775&lt;&gt;"",INDEX(DataOB[],FirstRow+ROW()-7,MATCH(Z$6,DataOB[#Headers],0)),"")</f>
        <v/>
      </c>
      <c r="AA775" s="67" t="str">
        <f>IF($B775&lt;&gt;"",INDEX(DataOB[],FirstRow+ROW()-7,MATCH(AA$6,DataOB[#Headers],0)),"")</f>
        <v/>
      </c>
      <c r="AB775" s="67" t="str">
        <f>IF($B775&lt;&gt;"",INDEX(DataOB[],FirstRow+ROW()-7,MATCH(AB$6,DataOB[#Headers],0)),"")</f>
        <v/>
      </c>
      <c r="AC775" s="67" t="str">
        <f>IF($B775&lt;&gt;"",INDEX(DataOB[],FirstRow+ROW()-7,MATCH(AC$6,DataOB[#Headers],0)),"")</f>
        <v/>
      </c>
      <c r="AD775" s="67" t="str">
        <f>IF($B775&lt;&gt;"",INDEX(DataOB[],FirstRow+ROW()-7,MATCH(AD$6,DataOB[#Headers],0)),"")</f>
        <v/>
      </c>
      <c r="AE775" s="67" t="str">
        <f>IF($B775&lt;&gt;"",INDEX(DataOB[],FirstRow+ROW()-7,MATCH(AE$6,DataOB[#Headers],0)),"")</f>
        <v/>
      </c>
      <c r="AF775" s="26">
        <f t="shared" si="113"/>
        <v>0</v>
      </c>
      <c r="AG775" s="31">
        <f>SUM($T775:T775)</f>
        <v>0</v>
      </c>
      <c r="AH775" s="31">
        <f>SUM($T775:U775)</f>
        <v>0</v>
      </c>
      <c r="AI775" s="31">
        <f>SUM($T775:V775)</f>
        <v>0</v>
      </c>
      <c r="AJ775" s="31">
        <f>SUM($T775:W775)</f>
        <v>0</v>
      </c>
      <c r="AK775" s="31">
        <f>SUM($T775:X775)</f>
        <v>0</v>
      </c>
      <c r="AL775" s="31">
        <f>SUM($T775:Y775)</f>
        <v>0</v>
      </c>
      <c r="AM775" s="31">
        <f>SUM($T775:Z775)</f>
        <v>0</v>
      </c>
      <c r="AN775" s="31">
        <f>SUM($T775:AA775)</f>
        <v>0</v>
      </c>
      <c r="AO775" s="31">
        <f>SUM($T775:AB775)</f>
        <v>0</v>
      </c>
      <c r="AP775" s="31">
        <f>SUM($T775:AC775)</f>
        <v>0</v>
      </c>
      <c r="AQ775" s="31">
        <f>SUM($T775:AD775)</f>
        <v>0</v>
      </c>
      <c r="AR775" s="31">
        <f>SUM($T775:AE775)</f>
        <v>0</v>
      </c>
      <c r="AS775" s="27">
        <f t="shared" si="114"/>
        <v>0</v>
      </c>
    </row>
    <row r="776" spans="2:45">
      <c r="B776" s="102" t="str">
        <f>IF(ROW()-6&gt;NumCostCenter,"",IF(CostCenter&lt;&gt;"ALL",CostCenter,DATA_LF2!B774))</f>
        <v/>
      </c>
      <c r="C776" s="153" t="str">
        <f>IF($B776&lt;&gt;"",INDEX(DataOB[],FirstRow+ROW()-7,2),"")</f>
        <v/>
      </c>
      <c r="D776" s="66" t="str">
        <f>IF($B776&lt;&gt;"",INDEX(DataOB[],FirstRow+ROW()-7,3),"")</f>
        <v/>
      </c>
      <c r="E776" s="103" t="str">
        <f>IF($B776&lt;&gt;"",INDEX(DataOB[],FirstRow+ROW()-7,6),"")</f>
        <v/>
      </c>
      <c r="F776" s="103" t="str">
        <f>IF($B776&lt;&gt;"",INDEX(DataOB[],FirstRow+ROW()-7,5),"")</f>
        <v/>
      </c>
      <c r="G776" s="58">
        <f>IF($B776&lt;&gt;"",SUMIFS(DataAct_tbl[AMOUNT],DataAct_tbl[BG CODE],Detail!$D776,DataAct_tbl[MONTH],LEFT(MonthName,3),DataAct_tbl[Dept code],$B776),0)</f>
        <v>0</v>
      </c>
      <c r="H776" s="31" t="str">
        <f t="shared" si="115"/>
        <v/>
      </c>
      <c r="I776" s="28" t="str">
        <f t="shared" ref="I776:I839" si="116">IFERROR(+G776-H776,"")</f>
        <v/>
      </c>
      <c r="J776" s="32" t="str">
        <f t="shared" ref="J776:J839" si="117">IFERROR(+IF(H776&gt;0,G776/H776," "),"")</f>
        <v/>
      </c>
      <c r="K776" s="86"/>
      <c r="L776" s="62">
        <f>IF($B776&lt;&gt;"",SUMIFS(DataAct_tbl[AMOUNT],DataAct_tbl[BG CODE],Detail!$D776,DataAct_tbl[Check Range],"=true",DataAct_tbl[Dept code],$B776),0)</f>
        <v>0</v>
      </c>
      <c r="M776" s="63">
        <f>INDEX($AG$7:$AR$1005,ROW()-6,MATCH(MTD,$AG$6:$AR$6,0))</f>
        <v>0</v>
      </c>
      <c r="N776" s="34">
        <f t="shared" ref="N776:N839" si="118">IFERROR(+L776-M776,"")</f>
        <v>0</v>
      </c>
      <c r="O776" s="64" t="str">
        <f t="shared" ref="O776:O839" si="119">IFERROR(+IF(M776&gt;0,L776/M776," "),"")</f>
        <v xml:space="preserve"> </v>
      </c>
      <c r="Q776" s="97">
        <f t="shared" ref="Q776:Q839" si="120">AF776</f>
        <v>0</v>
      </c>
      <c r="R776" s="96">
        <f t="shared" ref="R776:R839" si="121">Q776-L776</f>
        <v>0</v>
      </c>
      <c r="T776" s="67" t="str">
        <f>IF($B776&lt;&gt;"",INDEX(DataOB[],FirstRow+ROW()-7,MATCH(T$6,DataOB[#Headers],0)),"")</f>
        <v/>
      </c>
      <c r="U776" s="67" t="str">
        <f>IF($B776&lt;&gt;"",INDEX(DataOB[],FirstRow+ROW()-7,MATCH(U$6,DataOB[#Headers],0)),"")</f>
        <v/>
      </c>
      <c r="V776" s="67" t="str">
        <f>IF($B776&lt;&gt;"",INDEX(DataOB[],FirstRow+ROW()-7,MATCH(V$6,DataOB[#Headers],0)),"")</f>
        <v/>
      </c>
      <c r="W776" s="67" t="str">
        <f>IF($B776&lt;&gt;"",INDEX(DataOB[],FirstRow+ROW()-7,MATCH(W$6,DataOB[#Headers],0)),"")</f>
        <v/>
      </c>
      <c r="X776" s="67" t="str">
        <f>IF($B776&lt;&gt;"",INDEX(DataOB[],FirstRow+ROW()-7,MATCH(X$6,DataOB[#Headers],0)),"")</f>
        <v/>
      </c>
      <c r="Y776" s="67" t="str">
        <f>IF($B776&lt;&gt;"",INDEX(DataOB[],FirstRow+ROW()-7,MATCH(Y$6,DataOB[#Headers],0)),"")</f>
        <v/>
      </c>
      <c r="Z776" s="67" t="str">
        <f>IF($B776&lt;&gt;"",INDEX(DataOB[],FirstRow+ROW()-7,MATCH(Z$6,DataOB[#Headers],0)),"")</f>
        <v/>
      </c>
      <c r="AA776" s="67" t="str">
        <f>IF($B776&lt;&gt;"",INDEX(DataOB[],FirstRow+ROW()-7,MATCH(AA$6,DataOB[#Headers],0)),"")</f>
        <v/>
      </c>
      <c r="AB776" s="67" t="str">
        <f>IF($B776&lt;&gt;"",INDEX(DataOB[],FirstRow+ROW()-7,MATCH(AB$6,DataOB[#Headers],0)),"")</f>
        <v/>
      </c>
      <c r="AC776" s="67" t="str">
        <f>IF($B776&lt;&gt;"",INDEX(DataOB[],FirstRow+ROW()-7,MATCH(AC$6,DataOB[#Headers],0)),"")</f>
        <v/>
      </c>
      <c r="AD776" s="67" t="str">
        <f>IF($B776&lt;&gt;"",INDEX(DataOB[],FirstRow+ROW()-7,MATCH(AD$6,DataOB[#Headers],0)),"")</f>
        <v/>
      </c>
      <c r="AE776" s="67" t="str">
        <f>IF($B776&lt;&gt;"",INDEX(DataOB[],FirstRow+ROW()-7,MATCH(AE$6,DataOB[#Headers],0)),"")</f>
        <v/>
      </c>
      <c r="AF776" s="26">
        <f t="shared" ref="AF776:AF839" si="122">+SUM(T776:AE776)</f>
        <v>0</v>
      </c>
      <c r="AG776" s="31">
        <f>SUM($T776:T776)</f>
        <v>0</v>
      </c>
      <c r="AH776" s="31">
        <f>SUM($T776:U776)</f>
        <v>0</v>
      </c>
      <c r="AI776" s="31">
        <f>SUM($T776:V776)</f>
        <v>0</v>
      </c>
      <c r="AJ776" s="31">
        <f>SUM($T776:W776)</f>
        <v>0</v>
      </c>
      <c r="AK776" s="31">
        <f>SUM($T776:X776)</f>
        <v>0</v>
      </c>
      <c r="AL776" s="31">
        <f>SUM($T776:Y776)</f>
        <v>0</v>
      </c>
      <c r="AM776" s="31">
        <f>SUM($T776:Z776)</f>
        <v>0</v>
      </c>
      <c r="AN776" s="31">
        <f>SUM($T776:AA776)</f>
        <v>0</v>
      </c>
      <c r="AO776" s="31">
        <f>SUM($T776:AB776)</f>
        <v>0</v>
      </c>
      <c r="AP776" s="31">
        <f>SUM($T776:AC776)</f>
        <v>0</v>
      </c>
      <c r="AQ776" s="31">
        <f>SUM($T776:AD776)</f>
        <v>0</v>
      </c>
      <c r="AR776" s="31">
        <f>SUM($T776:AE776)</f>
        <v>0</v>
      </c>
      <c r="AS776" s="27">
        <f t="shared" ref="AS776:AS839" si="123">AF776-AR776</f>
        <v>0</v>
      </c>
    </row>
    <row r="777" spans="2:45">
      <c r="B777" s="102" t="str">
        <f>IF(ROW()-6&gt;NumCostCenter,"",IF(CostCenter&lt;&gt;"ALL",CostCenter,DATA_LF2!B775))</f>
        <v/>
      </c>
      <c r="C777" s="153" t="str">
        <f>IF($B777&lt;&gt;"",INDEX(DataOB[],FirstRow+ROW()-7,2),"")</f>
        <v/>
      </c>
      <c r="D777" s="66" t="str">
        <f>IF($B777&lt;&gt;"",INDEX(DataOB[],FirstRow+ROW()-7,3),"")</f>
        <v/>
      </c>
      <c r="E777" s="103" t="str">
        <f>IF($B777&lt;&gt;"",INDEX(DataOB[],FirstRow+ROW()-7,6),"")</f>
        <v/>
      </c>
      <c r="F777" s="103" t="str">
        <f>IF($B777&lt;&gt;"",INDEX(DataOB[],FirstRow+ROW()-7,5),"")</f>
        <v/>
      </c>
      <c r="G777" s="58">
        <f>IF($B777&lt;&gt;"",SUMIFS(DataAct_tbl[AMOUNT],DataAct_tbl[BG CODE],Detail!$D777,DataAct_tbl[MONTH],LEFT(MonthName,3),DataAct_tbl[Dept code],$B777),0)</f>
        <v>0</v>
      </c>
      <c r="H777" s="31" t="str">
        <f t="shared" si="115"/>
        <v/>
      </c>
      <c r="I777" s="28" t="str">
        <f t="shared" si="116"/>
        <v/>
      </c>
      <c r="J777" s="32" t="str">
        <f t="shared" si="117"/>
        <v/>
      </c>
      <c r="K777" s="86"/>
      <c r="L777" s="62">
        <f>IF($B777&lt;&gt;"",SUMIFS(DataAct_tbl[AMOUNT],DataAct_tbl[BG CODE],Detail!$D777,DataAct_tbl[Check Range],"=true",DataAct_tbl[Dept code],$B777),0)</f>
        <v>0</v>
      </c>
      <c r="M777" s="63">
        <f>INDEX($AG$7:$AR$1005,ROW()-6,MATCH(MTD,$AG$6:$AR$6,0))</f>
        <v>0</v>
      </c>
      <c r="N777" s="34">
        <f t="shared" si="118"/>
        <v>0</v>
      </c>
      <c r="O777" s="64" t="str">
        <f t="shared" si="119"/>
        <v xml:space="preserve"> </v>
      </c>
      <c r="Q777" s="97">
        <f t="shared" si="120"/>
        <v>0</v>
      </c>
      <c r="R777" s="96">
        <f t="shared" si="121"/>
        <v>0</v>
      </c>
      <c r="T777" s="67" t="str">
        <f>IF($B777&lt;&gt;"",INDEX(DataOB[],FirstRow+ROW()-7,MATCH(T$6,DataOB[#Headers],0)),"")</f>
        <v/>
      </c>
      <c r="U777" s="67" t="str">
        <f>IF($B777&lt;&gt;"",INDEX(DataOB[],FirstRow+ROW()-7,MATCH(U$6,DataOB[#Headers],0)),"")</f>
        <v/>
      </c>
      <c r="V777" s="67" t="str">
        <f>IF($B777&lt;&gt;"",INDEX(DataOB[],FirstRow+ROW()-7,MATCH(V$6,DataOB[#Headers],0)),"")</f>
        <v/>
      </c>
      <c r="W777" s="67" t="str">
        <f>IF($B777&lt;&gt;"",INDEX(DataOB[],FirstRow+ROW()-7,MATCH(W$6,DataOB[#Headers],0)),"")</f>
        <v/>
      </c>
      <c r="X777" s="67" t="str">
        <f>IF($B777&lt;&gt;"",INDEX(DataOB[],FirstRow+ROW()-7,MATCH(X$6,DataOB[#Headers],0)),"")</f>
        <v/>
      </c>
      <c r="Y777" s="67" t="str">
        <f>IF($B777&lt;&gt;"",INDEX(DataOB[],FirstRow+ROW()-7,MATCH(Y$6,DataOB[#Headers],0)),"")</f>
        <v/>
      </c>
      <c r="Z777" s="67" t="str">
        <f>IF($B777&lt;&gt;"",INDEX(DataOB[],FirstRow+ROW()-7,MATCH(Z$6,DataOB[#Headers],0)),"")</f>
        <v/>
      </c>
      <c r="AA777" s="67" t="str">
        <f>IF($B777&lt;&gt;"",INDEX(DataOB[],FirstRow+ROW()-7,MATCH(AA$6,DataOB[#Headers],0)),"")</f>
        <v/>
      </c>
      <c r="AB777" s="67" t="str">
        <f>IF($B777&lt;&gt;"",INDEX(DataOB[],FirstRow+ROW()-7,MATCH(AB$6,DataOB[#Headers],0)),"")</f>
        <v/>
      </c>
      <c r="AC777" s="67" t="str">
        <f>IF($B777&lt;&gt;"",INDEX(DataOB[],FirstRow+ROW()-7,MATCH(AC$6,DataOB[#Headers],0)),"")</f>
        <v/>
      </c>
      <c r="AD777" s="67" t="str">
        <f>IF($B777&lt;&gt;"",INDEX(DataOB[],FirstRow+ROW()-7,MATCH(AD$6,DataOB[#Headers],0)),"")</f>
        <v/>
      </c>
      <c r="AE777" s="67" t="str">
        <f>IF($B777&lt;&gt;"",INDEX(DataOB[],FirstRow+ROW()-7,MATCH(AE$6,DataOB[#Headers],0)),"")</f>
        <v/>
      </c>
      <c r="AF777" s="26">
        <f t="shared" si="122"/>
        <v>0</v>
      </c>
      <c r="AG777" s="31">
        <f>SUM($T777:T777)</f>
        <v>0</v>
      </c>
      <c r="AH777" s="31">
        <f>SUM($T777:U777)</f>
        <v>0</v>
      </c>
      <c r="AI777" s="31">
        <f>SUM($T777:V777)</f>
        <v>0</v>
      </c>
      <c r="AJ777" s="31">
        <f>SUM($T777:W777)</f>
        <v>0</v>
      </c>
      <c r="AK777" s="31">
        <f>SUM($T777:X777)</f>
        <v>0</v>
      </c>
      <c r="AL777" s="31">
        <f>SUM($T777:Y777)</f>
        <v>0</v>
      </c>
      <c r="AM777" s="31">
        <f>SUM($T777:Z777)</f>
        <v>0</v>
      </c>
      <c r="AN777" s="31">
        <f>SUM($T777:AA777)</f>
        <v>0</v>
      </c>
      <c r="AO777" s="31">
        <f>SUM($T777:AB777)</f>
        <v>0</v>
      </c>
      <c r="AP777" s="31">
        <f>SUM($T777:AC777)</f>
        <v>0</v>
      </c>
      <c r="AQ777" s="31">
        <f>SUM($T777:AD777)</f>
        <v>0</v>
      </c>
      <c r="AR777" s="31">
        <f>SUM($T777:AE777)</f>
        <v>0</v>
      </c>
      <c r="AS777" s="27">
        <f t="shared" si="123"/>
        <v>0</v>
      </c>
    </row>
    <row r="778" spans="2:45">
      <c r="B778" s="102" t="str">
        <f>IF(ROW()-6&gt;NumCostCenter,"",IF(CostCenter&lt;&gt;"ALL",CostCenter,DATA_LF2!B776))</f>
        <v/>
      </c>
      <c r="C778" s="153" t="str">
        <f>IF($B778&lt;&gt;"",INDEX(DataOB[],FirstRow+ROW()-7,2),"")</f>
        <v/>
      </c>
      <c r="D778" s="66" t="str">
        <f>IF($B778&lt;&gt;"",INDEX(DataOB[],FirstRow+ROW()-7,3),"")</f>
        <v/>
      </c>
      <c r="E778" s="103" t="str">
        <f>IF($B778&lt;&gt;"",INDEX(DataOB[],FirstRow+ROW()-7,6),"")</f>
        <v/>
      </c>
      <c r="F778" s="103" t="str">
        <f>IF($B778&lt;&gt;"",INDEX(DataOB[],FirstRow+ROW()-7,5),"")</f>
        <v/>
      </c>
      <c r="G778" s="58">
        <f>IF($B778&lt;&gt;"",SUMIFS(DataAct_tbl[AMOUNT],DataAct_tbl[BG CODE],Detail!$D778,DataAct_tbl[MONTH],LEFT(MonthName,3),DataAct_tbl[Dept code],$B778),0)</f>
        <v>0</v>
      </c>
      <c r="H778" s="31" t="str">
        <f t="shared" si="115"/>
        <v/>
      </c>
      <c r="I778" s="28" t="str">
        <f t="shared" si="116"/>
        <v/>
      </c>
      <c r="J778" s="32" t="str">
        <f t="shared" si="117"/>
        <v/>
      </c>
      <c r="K778" s="86"/>
      <c r="L778" s="62">
        <f>IF($B778&lt;&gt;"",SUMIFS(DataAct_tbl[AMOUNT],DataAct_tbl[BG CODE],Detail!$D778,DataAct_tbl[Check Range],"=true",DataAct_tbl[Dept code],$B778),0)</f>
        <v>0</v>
      </c>
      <c r="M778" s="63">
        <f>INDEX($AG$7:$AR$1005,ROW()-6,MATCH(MTD,$AG$6:$AR$6,0))</f>
        <v>0</v>
      </c>
      <c r="N778" s="34">
        <f t="shared" si="118"/>
        <v>0</v>
      </c>
      <c r="O778" s="64" t="str">
        <f t="shared" si="119"/>
        <v xml:space="preserve"> </v>
      </c>
      <c r="Q778" s="97">
        <f t="shared" si="120"/>
        <v>0</v>
      </c>
      <c r="R778" s="96">
        <f t="shared" si="121"/>
        <v>0</v>
      </c>
      <c r="T778" s="67" t="str">
        <f>IF($B778&lt;&gt;"",INDEX(DataOB[],FirstRow+ROW()-7,MATCH(T$6,DataOB[#Headers],0)),"")</f>
        <v/>
      </c>
      <c r="U778" s="67" t="str">
        <f>IF($B778&lt;&gt;"",INDEX(DataOB[],FirstRow+ROW()-7,MATCH(U$6,DataOB[#Headers],0)),"")</f>
        <v/>
      </c>
      <c r="V778" s="67" t="str">
        <f>IF($B778&lt;&gt;"",INDEX(DataOB[],FirstRow+ROW()-7,MATCH(V$6,DataOB[#Headers],0)),"")</f>
        <v/>
      </c>
      <c r="W778" s="67" t="str">
        <f>IF($B778&lt;&gt;"",INDEX(DataOB[],FirstRow+ROW()-7,MATCH(W$6,DataOB[#Headers],0)),"")</f>
        <v/>
      </c>
      <c r="X778" s="67" t="str">
        <f>IF($B778&lt;&gt;"",INDEX(DataOB[],FirstRow+ROW()-7,MATCH(X$6,DataOB[#Headers],0)),"")</f>
        <v/>
      </c>
      <c r="Y778" s="67" t="str">
        <f>IF($B778&lt;&gt;"",INDEX(DataOB[],FirstRow+ROW()-7,MATCH(Y$6,DataOB[#Headers],0)),"")</f>
        <v/>
      </c>
      <c r="Z778" s="67" t="str">
        <f>IF($B778&lt;&gt;"",INDEX(DataOB[],FirstRow+ROW()-7,MATCH(Z$6,DataOB[#Headers],0)),"")</f>
        <v/>
      </c>
      <c r="AA778" s="67" t="str">
        <f>IF($B778&lt;&gt;"",INDEX(DataOB[],FirstRow+ROW()-7,MATCH(AA$6,DataOB[#Headers],0)),"")</f>
        <v/>
      </c>
      <c r="AB778" s="67" t="str">
        <f>IF($B778&lt;&gt;"",INDEX(DataOB[],FirstRow+ROW()-7,MATCH(AB$6,DataOB[#Headers],0)),"")</f>
        <v/>
      </c>
      <c r="AC778" s="67" t="str">
        <f>IF($B778&lt;&gt;"",INDEX(DataOB[],FirstRow+ROW()-7,MATCH(AC$6,DataOB[#Headers],0)),"")</f>
        <v/>
      </c>
      <c r="AD778" s="67" t="str">
        <f>IF($B778&lt;&gt;"",INDEX(DataOB[],FirstRow+ROW()-7,MATCH(AD$6,DataOB[#Headers],0)),"")</f>
        <v/>
      </c>
      <c r="AE778" s="67" t="str">
        <f>IF($B778&lt;&gt;"",INDEX(DataOB[],FirstRow+ROW()-7,MATCH(AE$6,DataOB[#Headers],0)),"")</f>
        <v/>
      </c>
      <c r="AF778" s="26">
        <f t="shared" si="122"/>
        <v>0</v>
      </c>
      <c r="AG778" s="31">
        <f>SUM($T778:T778)</f>
        <v>0</v>
      </c>
      <c r="AH778" s="31">
        <f>SUM($T778:U778)</f>
        <v>0</v>
      </c>
      <c r="AI778" s="31">
        <f>SUM($T778:V778)</f>
        <v>0</v>
      </c>
      <c r="AJ778" s="31">
        <f>SUM($T778:W778)</f>
        <v>0</v>
      </c>
      <c r="AK778" s="31">
        <f>SUM($T778:X778)</f>
        <v>0</v>
      </c>
      <c r="AL778" s="31">
        <f>SUM($T778:Y778)</f>
        <v>0</v>
      </c>
      <c r="AM778" s="31">
        <f>SUM($T778:Z778)</f>
        <v>0</v>
      </c>
      <c r="AN778" s="31">
        <f>SUM($T778:AA778)</f>
        <v>0</v>
      </c>
      <c r="AO778" s="31">
        <f>SUM($T778:AB778)</f>
        <v>0</v>
      </c>
      <c r="AP778" s="31">
        <f>SUM($T778:AC778)</f>
        <v>0</v>
      </c>
      <c r="AQ778" s="31">
        <f>SUM($T778:AD778)</f>
        <v>0</v>
      </c>
      <c r="AR778" s="31">
        <f>SUM($T778:AE778)</f>
        <v>0</v>
      </c>
      <c r="AS778" s="27">
        <f t="shared" si="123"/>
        <v>0</v>
      </c>
    </row>
    <row r="779" spans="2:45">
      <c r="B779" s="102" t="str">
        <f>IF(ROW()-6&gt;NumCostCenter,"",IF(CostCenter&lt;&gt;"ALL",CostCenter,DATA_LF2!B777))</f>
        <v/>
      </c>
      <c r="C779" s="153" t="str">
        <f>IF($B779&lt;&gt;"",INDEX(DataOB[],FirstRow+ROW()-7,2),"")</f>
        <v/>
      </c>
      <c r="D779" s="66" t="str">
        <f>IF($B779&lt;&gt;"",INDEX(DataOB[],FirstRow+ROW()-7,3),"")</f>
        <v/>
      </c>
      <c r="E779" s="103" t="str">
        <f>IF($B779&lt;&gt;"",INDEX(DataOB[],FirstRow+ROW()-7,6),"")</f>
        <v/>
      </c>
      <c r="F779" s="103" t="str">
        <f>IF($B779&lt;&gt;"",INDEX(DataOB[],FirstRow+ROW()-7,5),"")</f>
        <v/>
      </c>
      <c r="G779" s="58">
        <f>IF($B779&lt;&gt;"",SUMIFS(DataAct_tbl[AMOUNT],DataAct_tbl[BG CODE],Detail!$D779,DataAct_tbl[MONTH],LEFT(MonthName,3),DataAct_tbl[Dept code],$B779),0)</f>
        <v>0</v>
      </c>
      <c r="H779" s="31" t="str">
        <f t="shared" si="115"/>
        <v/>
      </c>
      <c r="I779" s="28" t="str">
        <f t="shared" si="116"/>
        <v/>
      </c>
      <c r="J779" s="32" t="str">
        <f t="shared" si="117"/>
        <v/>
      </c>
      <c r="K779" s="86"/>
      <c r="L779" s="62">
        <f>IF($B779&lt;&gt;"",SUMIFS(DataAct_tbl[AMOUNT],DataAct_tbl[BG CODE],Detail!$D779,DataAct_tbl[Check Range],"=true",DataAct_tbl[Dept code],$B779),0)</f>
        <v>0</v>
      </c>
      <c r="M779" s="63">
        <f>INDEX($AG$7:$AR$1005,ROW()-6,MATCH(MTD,$AG$6:$AR$6,0))</f>
        <v>0</v>
      </c>
      <c r="N779" s="34">
        <f t="shared" si="118"/>
        <v>0</v>
      </c>
      <c r="O779" s="64" t="str">
        <f t="shared" si="119"/>
        <v xml:space="preserve"> </v>
      </c>
      <c r="Q779" s="97">
        <f t="shared" si="120"/>
        <v>0</v>
      </c>
      <c r="R779" s="96">
        <f t="shared" si="121"/>
        <v>0</v>
      </c>
      <c r="T779" s="67" t="str">
        <f>IF($B779&lt;&gt;"",INDEX(DataOB[],FirstRow+ROW()-7,MATCH(T$6,DataOB[#Headers],0)),"")</f>
        <v/>
      </c>
      <c r="U779" s="67" t="str">
        <f>IF($B779&lt;&gt;"",INDEX(DataOB[],FirstRow+ROW()-7,MATCH(U$6,DataOB[#Headers],0)),"")</f>
        <v/>
      </c>
      <c r="V779" s="67" t="str">
        <f>IF($B779&lt;&gt;"",INDEX(DataOB[],FirstRow+ROW()-7,MATCH(V$6,DataOB[#Headers],0)),"")</f>
        <v/>
      </c>
      <c r="W779" s="67" t="str">
        <f>IF($B779&lt;&gt;"",INDEX(DataOB[],FirstRow+ROW()-7,MATCH(W$6,DataOB[#Headers],0)),"")</f>
        <v/>
      </c>
      <c r="X779" s="67" t="str">
        <f>IF($B779&lt;&gt;"",INDEX(DataOB[],FirstRow+ROW()-7,MATCH(X$6,DataOB[#Headers],0)),"")</f>
        <v/>
      </c>
      <c r="Y779" s="67" t="str">
        <f>IF($B779&lt;&gt;"",INDEX(DataOB[],FirstRow+ROW()-7,MATCH(Y$6,DataOB[#Headers],0)),"")</f>
        <v/>
      </c>
      <c r="Z779" s="67" t="str">
        <f>IF($B779&lt;&gt;"",INDEX(DataOB[],FirstRow+ROW()-7,MATCH(Z$6,DataOB[#Headers],0)),"")</f>
        <v/>
      </c>
      <c r="AA779" s="67" t="str">
        <f>IF($B779&lt;&gt;"",INDEX(DataOB[],FirstRow+ROW()-7,MATCH(AA$6,DataOB[#Headers],0)),"")</f>
        <v/>
      </c>
      <c r="AB779" s="67" t="str">
        <f>IF($B779&lt;&gt;"",INDEX(DataOB[],FirstRow+ROW()-7,MATCH(AB$6,DataOB[#Headers],0)),"")</f>
        <v/>
      </c>
      <c r="AC779" s="67" t="str">
        <f>IF($B779&lt;&gt;"",INDEX(DataOB[],FirstRow+ROW()-7,MATCH(AC$6,DataOB[#Headers],0)),"")</f>
        <v/>
      </c>
      <c r="AD779" s="67" t="str">
        <f>IF($B779&lt;&gt;"",INDEX(DataOB[],FirstRow+ROW()-7,MATCH(AD$6,DataOB[#Headers],0)),"")</f>
        <v/>
      </c>
      <c r="AE779" s="67" t="str">
        <f>IF($B779&lt;&gt;"",INDEX(DataOB[],FirstRow+ROW()-7,MATCH(AE$6,DataOB[#Headers],0)),"")</f>
        <v/>
      </c>
      <c r="AF779" s="26">
        <f t="shared" si="122"/>
        <v>0</v>
      </c>
      <c r="AG779" s="31">
        <f>SUM($T779:T779)</f>
        <v>0</v>
      </c>
      <c r="AH779" s="31">
        <f>SUM($T779:U779)</f>
        <v>0</v>
      </c>
      <c r="AI779" s="31">
        <f>SUM($T779:V779)</f>
        <v>0</v>
      </c>
      <c r="AJ779" s="31">
        <f>SUM($T779:W779)</f>
        <v>0</v>
      </c>
      <c r="AK779" s="31">
        <f>SUM($T779:X779)</f>
        <v>0</v>
      </c>
      <c r="AL779" s="31">
        <f>SUM($T779:Y779)</f>
        <v>0</v>
      </c>
      <c r="AM779" s="31">
        <f>SUM($T779:Z779)</f>
        <v>0</v>
      </c>
      <c r="AN779" s="31">
        <f>SUM($T779:AA779)</f>
        <v>0</v>
      </c>
      <c r="AO779" s="31">
        <f>SUM($T779:AB779)</f>
        <v>0</v>
      </c>
      <c r="AP779" s="31">
        <f>SUM($T779:AC779)</f>
        <v>0</v>
      </c>
      <c r="AQ779" s="31">
        <f>SUM($T779:AD779)</f>
        <v>0</v>
      </c>
      <c r="AR779" s="31">
        <f>SUM($T779:AE779)</f>
        <v>0</v>
      </c>
      <c r="AS779" s="27">
        <f t="shared" si="123"/>
        <v>0</v>
      </c>
    </row>
    <row r="780" spans="2:45">
      <c r="B780" s="102" t="str">
        <f>IF(ROW()-6&gt;NumCostCenter,"",IF(CostCenter&lt;&gt;"ALL",CostCenter,DATA_LF2!B778))</f>
        <v/>
      </c>
      <c r="C780" s="153" t="str">
        <f>IF($B780&lt;&gt;"",INDEX(DataOB[],FirstRow+ROW()-7,2),"")</f>
        <v/>
      </c>
      <c r="D780" s="66" t="str">
        <f>IF($B780&lt;&gt;"",INDEX(DataOB[],FirstRow+ROW()-7,3),"")</f>
        <v/>
      </c>
      <c r="E780" s="103" t="str">
        <f>IF($B780&lt;&gt;"",INDEX(DataOB[],FirstRow+ROW()-7,6),"")</f>
        <v/>
      </c>
      <c r="F780" s="103" t="str">
        <f>IF($B780&lt;&gt;"",INDEX(DataOB[],FirstRow+ROW()-7,5),"")</f>
        <v/>
      </c>
      <c r="G780" s="58">
        <f>IF($B780&lt;&gt;"",SUMIFS(DataAct_tbl[AMOUNT],DataAct_tbl[BG CODE],Detail!$D780,DataAct_tbl[MONTH],LEFT(MonthName,3),DataAct_tbl[Dept code],$B780),0)</f>
        <v>0</v>
      </c>
      <c r="H780" s="31" t="str">
        <f t="shared" si="115"/>
        <v/>
      </c>
      <c r="I780" s="28" t="str">
        <f t="shared" si="116"/>
        <v/>
      </c>
      <c r="J780" s="32" t="str">
        <f t="shared" si="117"/>
        <v/>
      </c>
      <c r="K780" s="86"/>
      <c r="L780" s="62">
        <f>IF($B780&lt;&gt;"",SUMIFS(DataAct_tbl[AMOUNT],DataAct_tbl[BG CODE],Detail!$D780,DataAct_tbl[Check Range],"=true",DataAct_tbl[Dept code],$B780),0)</f>
        <v>0</v>
      </c>
      <c r="M780" s="63">
        <f>INDEX($AG$7:$AR$1005,ROW()-6,MATCH(MTD,$AG$6:$AR$6,0))</f>
        <v>0</v>
      </c>
      <c r="N780" s="34">
        <f t="shared" si="118"/>
        <v>0</v>
      </c>
      <c r="O780" s="64" t="str">
        <f t="shared" si="119"/>
        <v xml:space="preserve"> </v>
      </c>
      <c r="Q780" s="97">
        <f t="shared" si="120"/>
        <v>0</v>
      </c>
      <c r="R780" s="96">
        <f t="shared" si="121"/>
        <v>0</v>
      </c>
      <c r="T780" s="67" t="str">
        <f>IF($B780&lt;&gt;"",INDEX(DataOB[],FirstRow+ROW()-7,MATCH(T$6,DataOB[#Headers],0)),"")</f>
        <v/>
      </c>
      <c r="U780" s="67" t="str">
        <f>IF($B780&lt;&gt;"",INDEX(DataOB[],FirstRow+ROW()-7,MATCH(U$6,DataOB[#Headers],0)),"")</f>
        <v/>
      </c>
      <c r="V780" s="67" t="str">
        <f>IF($B780&lt;&gt;"",INDEX(DataOB[],FirstRow+ROW()-7,MATCH(V$6,DataOB[#Headers],0)),"")</f>
        <v/>
      </c>
      <c r="W780" s="67" t="str">
        <f>IF($B780&lt;&gt;"",INDEX(DataOB[],FirstRow+ROW()-7,MATCH(W$6,DataOB[#Headers],0)),"")</f>
        <v/>
      </c>
      <c r="X780" s="67" t="str">
        <f>IF($B780&lt;&gt;"",INDEX(DataOB[],FirstRow+ROW()-7,MATCH(X$6,DataOB[#Headers],0)),"")</f>
        <v/>
      </c>
      <c r="Y780" s="67" t="str">
        <f>IF($B780&lt;&gt;"",INDEX(DataOB[],FirstRow+ROW()-7,MATCH(Y$6,DataOB[#Headers],0)),"")</f>
        <v/>
      </c>
      <c r="Z780" s="67" t="str">
        <f>IF($B780&lt;&gt;"",INDEX(DataOB[],FirstRow+ROW()-7,MATCH(Z$6,DataOB[#Headers],0)),"")</f>
        <v/>
      </c>
      <c r="AA780" s="67" t="str">
        <f>IF($B780&lt;&gt;"",INDEX(DataOB[],FirstRow+ROW()-7,MATCH(AA$6,DataOB[#Headers],0)),"")</f>
        <v/>
      </c>
      <c r="AB780" s="67" t="str">
        <f>IF($B780&lt;&gt;"",INDEX(DataOB[],FirstRow+ROW()-7,MATCH(AB$6,DataOB[#Headers],0)),"")</f>
        <v/>
      </c>
      <c r="AC780" s="67" t="str">
        <f>IF($B780&lt;&gt;"",INDEX(DataOB[],FirstRow+ROW()-7,MATCH(AC$6,DataOB[#Headers],0)),"")</f>
        <v/>
      </c>
      <c r="AD780" s="67" t="str">
        <f>IF($B780&lt;&gt;"",INDEX(DataOB[],FirstRow+ROW()-7,MATCH(AD$6,DataOB[#Headers],0)),"")</f>
        <v/>
      </c>
      <c r="AE780" s="67" t="str">
        <f>IF($B780&lt;&gt;"",INDEX(DataOB[],FirstRow+ROW()-7,MATCH(AE$6,DataOB[#Headers],0)),"")</f>
        <v/>
      </c>
      <c r="AF780" s="26">
        <f t="shared" si="122"/>
        <v>0</v>
      </c>
      <c r="AG780" s="31">
        <f>SUM($T780:T780)</f>
        <v>0</v>
      </c>
      <c r="AH780" s="31">
        <f>SUM($T780:U780)</f>
        <v>0</v>
      </c>
      <c r="AI780" s="31">
        <f>SUM($T780:V780)</f>
        <v>0</v>
      </c>
      <c r="AJ780" s="31">
        <f>SUM($T780:W780)</f>
        <v>0</v>
      </c>
      <c r="AK780" s="31">
        <f>SUM($T780:X780)</f>
        <v>0</v>
      </c>
      <c r="AL780" s="31">
        <f>SUM($T780:Y780)</f>
        <v>0</v>
      </c>
      <c r="AM780" s="31">
        <f>SUM($T780:Z780)</f>
        <v>0</v>
      </c>
      <c r="AN780" s="31">
        <f>SUM($T780:AA780)</f>
        <v>0</v>
      </c>
      <c r="AO780" s="31">
        <f>SUM($T780:AB780)</f>
        <v>0</v>
      </c>
      <c r="AP780" s="31">
        <f>SUM($T780:AC780)</f>
        <v>0</v>
      </c>
      <c r="AQ780" s="31">
        <f>SUM($T780:AD780)</f>
        <v>0</v>
      </c>
      <c r="AR780" s="31">
        <f>SUM($T780:AE780)</f>
        <v>0</v>
      </c>
      <c r="AS780" s="27">
        <f t="shared" si="123"/>
        <v>0</v>
      </c>
    </row>
    <row r="781" spans="2:45">
      <c r="B781" s="102" t="str">
        <f>IF(ROW()-6&gt;NumCostCenter,"",IF(CostCenter&lt;&gt;"ALL",CostCenter,DATA_LF2!B779))</f>
        <v/>
      </c>
      <c r="C781" s="153" t="str">
        <f>IF($B781&lt;&gt;"",INDEX(DataOB[],FirstRow+ROW()-7,2),"")</f>
        <v/>
      </c>
      <c r="D781" s="66" t="str">
        <f>IF($B781&lt;&gt;"",INDEX(DataOB[],FirstRow+ROW()-7,3),"")</f>
        <v/>
      </c>
      <c r="E781" s="103" t="str">
        <f>IF($B781&lt;&gt;"",INDEX(DataOB[],FirstRow+ROW()-7,6),"")</f>
        <v/>
      </c>
      <c r="F781" s="103" t="str">
        <f>IF($B781&lt;&gt;"",INDEX(DataOB[],FirstRow+ROW()-7,5),"")</f>
        <v/>
      </c>
      <c r="G781" s="58">
        <f>IF($B781&lt;&gt;"",SUMIFS(DataAct_tbl[AMOUNT],DataAct_tbl[BG CODE],Detail!$D781,DataAct_tbl[MONTH],LEFT(MonthName,3),DataAct_tbl[Dept code],$B781),0)</f>
        <v>0</v>
      </c>
      <c r="H781" s="31" t="str">
        <f t="shared" si="115"/>
        <v/>
      </c>
      <c r="I781" s="28" t="str">
        <f t="shared" si="116"/>
        <v/>
      </c>
      <c r="J781" s="32" t="str">
        <f t="shared" si="117"/>
        <v/>
      </c>
      <c r="K781" s="86"/>
      <c r="L781" s="62">
        <f>IF($B781&lt;&gt;"",SUMIFS(DataAct_tbl[AMOUNT],DataAct_tbl[BG CODE],Detail!$D781,DataAct_tbl[Check Range],"=true",DataAct_tbl[Dept code],$B781),0)</f>
        <v>0</v>
      </c>
      <c r="M781" s="63">
        <f>INDEX($AG$7:$AR$1005,ROW()-6,MATCH(MTD,$AG$6:$AR$6,0))</f>
        <v>0</v>
      </c>
      <c r="N781" s="34">
        <f t="shared" si="118"/>
        <v>0</v>
      </c>
      <c r="O781" s="64" t="str">
        <f t="shared" si="119"/>
        <v xml:space="preserve"> </v>
      </c>
      <c r="Q781" s="97">
        <f t="shared" si="120"/>
        <v>0</v>
      </c>
      <c r="R781" s="96">
        <f t="shared" si="121"/>
        <v>0</v>
      </c>
      <c r="T781" s="67" t="str">
        <f>IF($B781&lt;&gt;"",INDEX(DataOB[],FirstRow+ROW()-7,MATCH(T$6,DataOB[#Headers],0)),"")</f>
        <v/>
      </c>
      <c r="U781" s="67" t="str">
        <f>IF($B781&lt;&gt;"",INDEX(DataOB[],FirstRow+ROW()-7,MATCH(U$6,DataOB[#Headers],0)),"")</f>
        <v/>
      </c>
      <c r="V781" s="67" t="str">
        <f>IF($B781&lt;&gt;"",INDEX(DataOB[],FirstRow+ROW()-7,MATCH(V$6,DataOB[#Headers],0)),"")</f>
        <v/>
      </c>
      <c r="W781" s="67" t="str">
        <f>IF($B781&lt;&gt;"",INDEX(DataOB[],FirstRow+ROW()-7,MATCH(W$6,DataOB[#Headers],0)),"")</f>
        <v/>
      </c>
      <c r="X781" s="67" t="str">
        <f>IF($B781&lt;&gt;"",INDEX(DataOB[],FirstRow+ROW()-7,MATCH(X$6,DataOB[#Headers],0)),"")</f>
        <v/>
      </c>
      <c r="Y781" s="67" t="str">
        <f>IF($B781&lt;&gt;"",INDEX(DataOB[],FirstRow+ROW()-7,MATCH(Y$6,DataOB[#Headers],0)),"")</f>
        <v/>
      </c>
      <c r="Z781" s="67" t="str">
        <f>IF($B781&lt;&gt;"",INDEX(DataOB[],FirstRow+ROW()-7,MATCH(Z$6,DataOB[#Headers],0)),"")</f>
        <v/>
      </c>
      <c r="AA781" s="67" t="str">
        <f>IF($B781&lt;&gt;"",INDEX(DataOB[],FirstRow+ROW()-7,MATCH(AA$6,DataOB[#Headers],0)),"")</f>
        <v/>
      </c>
      <c r="AB781" s="67" t="str">
        <f>IF($B781&lt;&gt;"",INDEX(DataOB[],FirstRow+ROW()-7,MATCH(AB$6,DataOB[#Headers],0)),"")</f>
        <v/>
      </c>
      <c r="AC781" s="67" t="str">
        <f>IF($B781&lt;&gt;"",INDEX(DataOB[],FirstRow+ROW()-7,MATCH(AC$6,DataOB[#Headers],0)),"")</f>
        <v/>
      </c>
      <c r="AD781" s="67" t="str">
        <f>IF($B781&lt;&gt;"",INDEX(DataOB[],FirstRow+ROW()-7,MATCH(AD$6,DataOB[#Headers],0)),"")</f>
        <v/>
      </c>
      <c r="AE781" s="67" t="str">
        <f>IF($B781&lt;&gt;"",INDEX(DataOB[],FirstRow+ROW()-7,MATCH(AE$6,DataOB[#Headers],0)),"")</f>
        <v/>
      </c>
      <c r="AF781" s="26">
        <f t="shared" si="122"/>
        <v>0</v>
      </c>
      <c r="AG781" s="31">
        <f>SUM($T781:T781)</f>
        <v>0</v>
      </c>
      <c r="AH781" s="31">
        <f>SUM($T781:U781)</f>
        <v>0</v>
      </c>
      <c r="AI781" s="31">
        <f>SUM($T781:V781)</f>
        <v>0</v>
      </c>
      <c r="AJ781" s="31">
        <f>SUM($T781:W781)</f>
        <v>0</v>
      </c>
      <c r="AK781" s="31">
        <f>SUM($T781:X781)</f>
        <v>0</v>
      </c>
      <c r="AL781" s="31">
        <f>SUM($T781:Y781)</f>
        <v>0</v>
      </c>
      <c r="AM781" s="31">
        <f>SUM($T781:Z781)</f>
        <v>0</v>
      </c>
      <c r="AN781" s="31">
        <f>SUM($T781:AA781)</f>
        <v>0</v>
      </c>
      <c r="AO781" s="31">
        <f>SUM($T781:AB781)</f>
        <v>0</v>
      </c>
      <c r="AP781" s="31">
        <f>SUM($T781:AC781)</f>
        <v>0</v>
      </c>
      <c r="AQ781" s="31">
        <f>SUM($T781:AD781)</f>
        <v>0</v>
      </c>
      <c r="AR781" s="31">
        <f>SUM($T781:AE781)</f>
        <v>0</v>
      </c>
      <c r="AS781" s="27">
        <f t="shared" si="123"/>
        <v>0</v>
      </c>
    </row>
    <row r="782" spans="2:45">
      <c r="B782" s="102" t="str">
        <f>IF(ROW()-6&gt;NumCostCenter,"",IF(CostCenter&lt;&gt;"ALL",CostCenter,DATA_LF2!B780))</f>
        <v/>
      </c>
      <c r="C782" s="153" t="str">
        <f>IF($B782&lt;&gt;"",INDEX(DataOB[],FirstRow+ROW()-7,2),"")</f>
        <v/>
      </c>
      <c r="D782" s="66" t="str">
        <f>IF($B782&lt;&gt;"",INDEX(DataOB[],FirstRow+ROW()-7,3),"")</f>
        <v/>
      </c>
      <c r="E782" s="103" t="str">
        <f>IF($B782&lt;&gt;"",INDEX(DataOB[],FirstRow+ROW()-7,6),"")</f>
        <v/>
      </c>
      <c r="F782" s="103" t="str">
        <f>IF($B782&lt;&gt;"",INDEX(DataOB[],FirstRow+ROW()-7,5),"")</f>
        <v/>
      </c>
      <c r="G782" s="58">
        <f>IF($B782&lt;&gt;"",SUMIFS(DataAct_tbl[AMOUNT],DataAct_tbl[BG CODE],Detail!$D782,DataAct_tbl[MONTH],LEFT(MonthName,3),DataAct_tbl[Dept code],$B782),0)</f>
        <v>0</v>
      </c>
      <c r="H782" s="31" t="str">
        <f t="shared" si="115"/>
        <v/>
      </c>
      <c r="I782" s="28" t="str">
        <f t="shared" si="116"/>
        <v/>
      </c>
      <c r="J782" s="32" t="str">
        <f t="shared" si="117"/>
        <v/>
      </c>
      <c r="K782" s="86"/>
      <c r="L782" s="62">
        <f>IF($B782&lt;&gt;"",SUMIFS(DataAct_tbl[AMOUNT],DataAct_tbl[BG CODE],Detail!$D782,DataAct_tbl[Check Range],"=true",DataAct_tbl[Dept code],$B782),0)</f>
        <v>0</v>
      </c>
      <c r="M782" s="63">
        <f>INDEX($AG$7:$AR$1005,ROW()-6,MATCH(MTD,$AG$6:$AR$6,0))</f>
        <v>0</v>
      </c>
      <c r="N782" s="34">
        <f t="shared" si="118"/>
        <v>0</v>
      </c>
      <c r="O782" s="64" t="str">
        <f t="shared" si="119"/>
        <v xml:space="preserve"> </v>
      </c>
      <c r="Q782" s="97">
        <f t="shared" si="120"/>
        <v>0</v>
      </c>
      <c r="R782" s="96">
        <f t="shared" si="121"/>
        <v>0</v>
      </c>
      <c r="T782" s="67" t="str">
        <f>IF($B782&lt;&gt;"",INDEX(DataOB[],FirstRow+ROW()-7,MATCH(T$6,DataOB[#Headers],0)),"")</f>
        <v/>
      </c>
      <c r="U782" s="67" t="str">
        <f>IF($B782&lt;&gt;"",INDEX(DataOB[],FirstRow+ROW()-7,MATCH(U$6,DataOB[#Headers],0)),"")</f>
        <v/>
      </c>
      <c r="V782" s="67" t="str">
        <f>IF($B782&lt;&gt;"",INDEX(DataOB[],FirstRow+ROW()-7,MATCH(V$6,DataOB[#Headers],0)),"")</f>
        <v/>
      </c>
      <c r="W782" s="67" t="str">
        <f>IF($B782&lt;&gt;"",INDEX(DataOB[],FirstRow+ROW()-7,MATCH(W$6,DataOB[#Headers],0)),"")</f>
        <v/>
      </c>
      <c r="X782" s="67" t="str">
        <f>IF($B782&lt;&gt;"",INDEX(DataOB[],FirstRow+ROW()-7,MATCH(X$6,DataOB[#Headers],0)),"")</f>
        <v/>
      </c>
      <c r="Y782" s="67" t="str">
        <f>IF($B782&lt;&gt;"",INDEX(DataOB[],FirstRow+ROW()-7,MATCH(Y$6,DataOB[#Headers],0)),"")</f>
        <v/>
      </c>
      <c r="Z782" s="67" t="str">
        <f>IF($B782&lt;&gt;"",INDEX(DataOB[],FirstRow+ROW()-7,MATCH(Z$6,DataOB[#Headers],0)),"")</f>
        <v/>
      </c>
      <c r="AA782" s="67" t="str">
        <f>IF($B782&lt;&gt;"",INDEX(DataOB[],FirstRow+ROW()-7,MATCH(AA$6,DataOB[#Headers],0)),"")</f>
        <v/>
      </c>
      <c r="AB782" s="67" t="str">
        <f>IF($B782&lt;&gt;"",INDEX(DataOB[],FirstRow+ROW()-7,MATCH(AB$6,DataOB[#Headers],0)),"")</f>
        <v/>
      </c>
      <c r="AC782" s="67" t="str">
        <f>IF($B782&lt;&gt;"",INDEX(DataOB[],FirstRow+ROW()-7,MATCH(AC$6,DataOB[#Headers],0)),"")</f>
        <v/>
      </c>
      <c r="AD782" s="67" t="str">
        <f>IF($B782&lt;&gt;"",INDEX(DataOB[],FirstRow+ROW()-7,MATCH(AD$6,DataOB[#Headers],0)),"")</f>
        <v/>
      </c>
      <c r="AE782" s="67" t="str">
        <f>IF($B782&lt;&gt;"",INDEX(DataOB[],FirstRow+ROW()-7,MATCH(AE$6,DataOB[#Headers],0)),"")</f>
        <v/>
      </c>
      <c r="AF782" s="26">
        <f t="shared" si="122"/>
        <v>0</v>
      </c>
      <c r="AG782" s="31">
        <f>SUM($T782:T782)</f>
        <v>0</v>
      </c>
      <c r="AH782" s="31">
        <f>SUM($T782:U782)</f>
        <v>0</v>
      </c>
      <c r="AI782" s="31">
        <f>SUM($T782:V782)</f>
        <v>0</v>
      </c>
      <c r="AJ782" s="31">
        <f>SUM($T782:W782)</f>
        <v>0</v>
      </c>
      <c r="AK782" s="31">
        <f>SUM($T782:X782)</f>
        <v>0</v>
      </c>
      <c r="AL782" s="31">
        <f>SUM($T782:Y782)</f>
        <v>0</v>
      </c>
      <c r="AM782" s="31">
        <f>SUM($T782:Z782)</f>
        <v>0</v>
      </c>
      <c r="AN782" s="31">
        <f>SUM($T782:AA782)</f>
        <v>0</v>
      </c>
      <c r="AO782" s="31">
        <f>SUM($T782:AB782)</f>
        <v>0</v>
      </c>
      <c r="AP782" s="31">
        <f>SUM($T782:AC782)</f>
        <v>0</v>
      </c>
      <c r="AQ782" s="31">
        <f>SUM($T782:AD782)</f>
        <v>0</v>
      </c>
      <c r="AR782" s="31">
        <f>SUM($T782:AE782)</f>
        <v>0</v>
      </c>
      <c r="AS782" s="27">
        <f t="shared" si="123"/>
        <v>0</v>
      </c>
    </row>
    <row r="783" spans="2:45">
      <c r="B783" s="102" t="str">
        <f>IF(ROW()-6&gt;NumCostCenter,"",IF(CostCenter&lt;&gt;"ALL",CostCenter,DATA_LF2!B781))</f>
        <v/>
      </c>
      <c r="C783" s="153" t="str">
        <f>IF($B783&lt;&gt;"",INDEX(DataOB[],FirstRow+ROW()-7,2),"")</f>
        <v/>
      </c>
      <c r="D783" s="66" t="str">
        <f>IF($B783&lt;&gt;"",INDEX(DataOB[],FirstRow+ROW()-7,3),"")</f>
        <v/>
      </c>
      <c r="E783" s="103" t="str">
        <f>IF($B783&lt;&gt;"",INDEX(DataOB[],FirstRow+ROW()-7,6),"")</f>
        <v/>
      </c>
      <c r="F783" s="103" t="str">
        <f>IF($B783&lt;&gt;"",INDEX(DataOB[],FirstRow+ROW()-7,5),"")</f>
        <v/>
      </c>
      <c r="G783" s="58">
        <f>IF($B783&lt;&gt;"",SUMIFS(DataAct_tbl[AMOUNT],DataAct_tbl[BG CODE],Detail!$D783,DataAct_tbl[MONTH],LEFT(MonthName,3),DataAct_tbl[Dept code],$B783),0)</f>
        <v>0</v>
      </c>
      <c r="H783" s="31" t="str">
        <f t="shared" si="115"/>
        <v/>
      </c>
      <c r="I783" s="28" t="str">
        <f t="shared" si="116"/>
        <v/>
      </c>
      <c r="J783" s="32" t="str">
        <f t="shared" si="117"/>
        <v/>
      </c>
      <c r="K783" s="86"/>
      <c r="L783" s="62">
        <f>IF($B783&lt;&gt;"",SUMIFS(DataAct_tbl[AMOUNT],DataAct_tbl[BG CODE],Detail!$D783,DataAct_tbl[Check Range],"=true",DataAct_tbl[Dept code],$B783),0)</f>
        <v>0</v>
      </c>
      <c r="M783" s="63">
        <f>INDEX($AG$7:$AR$1005,ROW()-6,MATCH(MTD,$AG$6:$AR$6,0))</f>
        <v>0</v>
      </c>
      <c r="N783" s="34">
        <f t="shared" si="118"/>
        <v>0</v>
      </c>
      <c r="O783" s="64" t="str">
        <f t="shared" si="119"/>
        <v xml:space="preserve"> </v>
      </c>
      <c r="Q783" s="97">
        <f t="shared" si="120"/>
        <v>0</v>
      </c>
      <c r="R783" s="96">
        <f t="shared" si="121"/>
        <v>0</v>
      </c>
      <c r="T783" s="67" t="str">
        <f>IF($B783&lt;&gt;"",INDEX(DataOB[],FirstRow+ROW()-7,MATCH(T$6,DataOB[#Headers],0)),"")</f>
        <v/>
      </c>
      <c r="U783" s="67" t="str">
        <f>IF($B783&lt;&gt;"",INDEX(DataOB[],FirstRow+ROW()-7,MATCH(U$6,DataOB[#Headers],0)),"")</f>
        <v/>
      </c>
      <c r="V783" s="67" t="str">
        <f>IF($B783&lt;&gt;"",INDEX(DataOB[],FirstRow+ROW()-7,MATCH(V$6,DataOB[#Headers],0)),"")</f>
        <v/>
      </c>
      <c r="W783" s="67" t="str">
        <f>IF($B783&lt;&gt;"",INDEX(DataOB[],FirstRow+ROW()-7,MATCH(W$6,DataOB[#Headers],0)),"")</f>
        <v/>
      </c>
      <c r="X783" s="67" t="str">
        <f>IF($B783&lt;&gt;"",INDEX(DataOB[],FirstRow+ROW()-7,MATCH(X$6,DataOB[#Headers],0)),"")</f>
        <v/>
      </c>
      <c r="Y783" s="67" t="str">
        <f>IF($B783&lt;&gt;"",INDEX(DataOB[],FirstRow+ROW()-7,MATCH(Y$6,DataOB[#Headers],0)),"")</f>
        <v/>
      </c>
      <c r="Z783" s="67" t="str">
        <f>IF($B783&lt;&gt;"",INDEX(DataOB[],FirstRow+ROW()-7,MATCH(Z$6,DataOB[#Headers],0)),"")</f>
        <v/>
      </c>
      <c r="AA783" s="67" t="str">
        <f>IF($B783&lt;&gt;"",INDEX(DataOB[],FirstRow+ROW()-7,MATCH(AA$6,DataOB[#Headers],0)),"")</f>
        <v/>
      </c>
      <c r="AB783" s="67" t="str">
        <f>IF($B783&lt;&gt;"",INDEX(DataOB[],FirstRow+ROW()-7,MATCH(AB$6,DataOB[#Headers],0)),"")</f>
        <v/>
      </c>
      <c r="AC783" s="67" t="str">
        <f>IF($B783&lt;&gt;"",INDEX(DataOB[],FirstRow+ROW()-7,MATCH(AC$6,DataOB[#Headers],0)),"")</f>
        <v/>
      </c>
      <c r="AD783" s="67" t="str">
        <f>IF($B783&lt;&gt;"",INDEX(DataOB[],FirstRow+ROW()-7,MATCH(AD$6,DataOB[#Headers],0)),"")</f>
        <v/>
      </c>
      <c r="AE783" s="67" t="str">
        <f>IF($B783&lt;&gt;"",INDEX(DataOB[],FirstRow+ROW()-7,MATCH(AE$6,DataOB[#Headers],0)),"")</f>
        <v/>
      </c>
      <c r="AF783" s="26">
        <f t="shared" si="122"/>
        <v>0</v>
      </c>
      <c r="AG783" s="31">
        <f>SUM($T783:T783)</f>
        <v>0</v>
      </c>
      <c r="AH783" s="31">
        <f>SUM($T783:U783)</f>
        <v>0</v>
      </c>
      <c r="AI783" s="31">
        <f>SUM($T783:V783)</f>
        <v>0</v>
      </c>
      <c r="AJ783" s="31">
        <f>SUM($T783:W783)</f>
        <v>0</v>
      </c>
      <c r="AK783" s="31">
        <f>SUM($T783:X783)</f>
        <v>0</v>
      </c>
      <c r="AL783" s="31">
        <f>SUM($T783:Y783)</f>
        <v>0</v>
      </c>
      <c r="AM783" s="31">
        <f>SUM($T783:Z783)</f>
        <v>0</v>
      </c>
      <c r="AN783" s="31">
        <f>SUM($T783:AA783)</f>
        <v>0</v>
      </c>
      <c r="AO783" s="31">
        <f>SUM($T783:AB783)</f>
        <v>0</v>
      </c>
      <c r="AP783" s="31">
        <f>SUM($T783:AC783)</f>
        <v>0</v>
      </c>
      <c r="AQ783" s="31">
        <f>SUM($T783:AD783)</f>
        <v>0</v>
      </c>
      <c r="AR783" s="31">
        <f>SUM($T783:AE783)</f>
        <v>0</v>
      </c>
      <c r="AS783" s="27">
        <f t="shared" si="123"/>
        <v>0</v>
      </c>
    </row>
    <row r="784" spans="2:45">
      <c r="B784" s="102" t="str">
        <f>IF(ROW()-6&gt;NumCostCenter,"",IF(CostCenter&lt;&gt;"ALL",CostCenter,DATA_LF2!B782))</f>
        <v/>
      </c>
      <c r="C784" s="153" t="str">
        <f>IF($B784&lt;&gt;"",INDEX(DataOB[],FirstRow+ROW()-7,2),"")</f>
        <v/>
      </c>
      <c r="D784" s="66" t="str">
        <f>IF($B784&lt;&gt;"",INDEX(DataOB[],FirstRow+ROW()-7,3),"")</f>
        <v/>
      </c>
      <c r="E784" s="103" t="str">
        <f>IF($B784&lt;&gt;"",INDEX(DataOB[],FirstRow+ROW()-7,6),"")</f>
        <v/>
      </c>
      <c r="F784" s="103" t="str">
        <f>IF($B784&lt;&gt;"",INDEX(DataOB[],FirstRow+ROW()-7,5),"")</f>
        <v/>
      </c>
      <c r="G784" s="58">
        <f>IF($B784&lt;&gt;"",SUMIFS(DataAct_tbl[AMOUNT],DataAct_tbl[BG CODE],Detail!$D784,DataAct_tbl[MONTH],LEFT(MonthName,3),DataAct_tbl[Dept code],$B784),0)</f>
        <v>0</v>
      </c>
      <c r="H784" s="31" t="str">
        <f t="shared" si="115"/>
        <v/>
      </c>
      <c r="I784" s="28" t="str">
        <f t="shared" si="116"/>
        <v/>
      </c>
      <c r="J784" s="32" t="str">
        <f t="shared" si="117"/>
        <v/>
      </c>
      <c r="K784" s="86"/>
      <c r="L784" s="62">
        <f>IF($B784&lt;&gt;"",SUMIFS(DataAct_tbl[AMOUNT],DataAct_tbl[BG CODE],Detail!$D784,DataAct_tbl[Check Range],"=true",DataAct_tbl[Dept code],$B784),0)</f>
        <v>0</v>
      </c>
      <c r="M784" s="63">
        <f>INDEX($AG$7:$AR$1005,ROW()-6,MATCH(MTD,$AG$6:$AR$6,0))</f>
        <v>0</v>
      </c>
      <c r="N784" s="34">
        <f t="shared" si="118"/>
        <v>0</v>
      </c>
      <c r="O784" s="64" t="str">
        <f t="shared" si="119"/>
        <v xml:space="preserve"> </v>
      </c>
      <c r="Q784" s="97">
        <f t="shared" si="120"/>
        <v>0</v>
      </c>
      <c r="R784" s="96">
        <f t="shared" si="121"/>
        <v>0</v>
      </c>
      <c r="T784" s="67" t="str">
        <f>IF($B784&lt;&gt;"",INDEX(DataOB[],FirstRow+ROW()-7,MATCH(T$6,DataOB[#Headers],0)),"")</f>
        <v/>
      </c>
      <c r="U784" s="67" t="str">
        <f>IF($B784&lt;&gt;"",INDEX(DataOB[],FirstRow+ROW()-7,MATCH(U$6,DataOB[#Headers],0)),"")</f>
        <v/>
      </c>
      <c r="V784" s="67" t="str">
        <f>IF($B784&lt;&gt;"",INDEX(DataOB[],FirstRow+ROW()-7,MATCH(V$6,DataOB[#Headers],0)),"")</f>
        <v/>
      </c>
      <c r="W784" s="67" t="str">
        <f>IF($B784&lt;&gt;"",INDEX(DataOB[],FirstRow+ROW()-7,MATCH(W$6,DataOB[#Headers],0)),"")</f>
        <v/>
      </c>
      <c r="X784" s="67" t="str">
        <f>IF($B784&lt;&gt;"",INDEX(DataOB[],FirstRow+ROW()-7,MATCH(X$6,DataOB[#Headers],0)),"")</f>
        <v/>
      </c>
      <c r="Y784" s="67" t="str">
        <f>IF($B784&lt;&gt;"",INDEX(DataOB[],FirstRow+ROW()-7,MATCH(Y$6,DataOB[#Headers],0)),"")</f>
        <v/>
      </c>
      <c r="Z784" s="67" t="str">
        <f>IF($B784&lt;&gt;"",INDEX(DataOB[],FirstRow+ROW()-7,MATCH(Z$6,DataOB[#Headers],0)),"")</f>
        <v/>
      </c>
      <c r="AA784" s="67" t="str">
        <f>IF($B784&lt;&gt;"",INDEX(DataOB[],FirstRow+ROW()-7,MATCH(AA$6,DataOB[#Headers],0)),"")</f>
        <v/>
      </c>
      <c r="AB784" s="67" t="str">
        <f>IF($B784&lt;&gt;"",INDEX(DataOB[],FirstRow+ROW()-7,MATCH(AB$6,DataOB[#Headers],0)),"")</f>
        <v/>
      </c>
      <c r="AC784" s="67" t="str">
        <f>IF($B784&lt;&gt;"",INDEX(DataOB[],FirstRow+ROW()-7,MATCH(AC$6,DataOB[#Headers],0)),"")</f>
        <v/>
      </c>
      <c r="AD784" s="67" t="str">
        <f>IF($B784&lt;&gt;"",INDEX(DataOB[],FirstRow+ROW()-7,MATCH(AD$6,DataOB[#Headers],0)),"")</f>
        <v/>
      </c>
      <c r="AE784" s="67" t="str">
        <f>IF($B784&lt;&gt;"",INDEX(DataOB[],FirstRow+ROW()-7,MATCH(AE$6,DataOB[#Headers],0)),"")</f>
        <v/>
      </c>
      <c r="AF784" s="26">
        <f t="shared" si="122"/>
        <v>0</v>
      </c>
      <c r="AG784" s="31">
        <f>SUM($T784:T784)</f>
        <v>0</v>
      </c>
      <c r="AH784" s="31">
        <f>SUM($T784:U784)</f>
        <v>0</v>
      </c>
      <c r="AI784" s="31">
        <f>SUM($T784:V784)</f>
        <v>0</v>
      </c>
      <c r="AJ784" s="31">
        <f>SUM($T784:W784)</f>
        <v>0</v>
      </c>
      <c r="AK784" s="31">
        <f>SUM($T784:X784)</f>
        <v>0</v>
      </c>
      <c r="AL784" s="31">
        <f>SUM($T784:Y784)</f>
        <v>0</v>
      </c>
      <c r="AM784" s="31">
        <f>SUM($T784:Z784)</f>
        <v>0</v>
      </c>
      <c r="AN784" s="31">
        <f>SUM($T784:AA784)</f>
        <v>0</v>
      </c>
      <c r="AO784" s="31">
        <f>SUM($T784:AB784)</f>
        <v>0</v>
      </c>
      <c r="AP784" s="31">
        <f>SUM($T784:AC784)</f>
        <v>0</v>
      </c>
      <c r="AQ784" s="31">
        <f>SUM($T784:AD784)</f>
        <v>0</v>
      </c>
      <c r="AR784" s="31">
        <f>SUM($T784:AE784)</f>
        <v>0</v>
      </c>
      <c r="AS784" s="27">
        <f t="shared" si="123"/>
        <v>0</v>
      </c>
    </row>
    <row r="785" spans="2:45">
      <c r="B785" s="102" t="str">
        <f>IF(ROW()-6&gt;NumCostCenter,"",IF(CostCenter&lt;&gt;"ALL",CostCenter,DATA_LF2!B783))</f>
        <v/>
      </c>
      <c r="C785" s="153" t="str">
        <f>IF($B785&lt;&gt;"",INDEX(DataOB[],FirstRow+ROW()-7,2),"")</f>
        <v/>
      </c>
      <c r="D785" s="66" t="str">
        <f>IF($B785&lt;&gt;"",INDEX(DataOB[],FirstRow+ROW()-7,3),"")</f>
        <v/>
      </c>
      <c r="E785" s="103" t="str">
        <f>IF($B785&lt;&gt;"",INDEX(DataOB[],FirstRow+ROW()-7,6),"")</f>
        <v/>
      </c>
      <c r="F785" s="103" t="str">
        <f>IF($B785&lt;&gt;"",INDEX(DataOB[],FirstRow+ROW()-7,5),"")</f>
        <v/>
      </c>
      <c r="G785" s="58">
        <f>IF($B785&lt;&gt;"",SUMIFS(DataAct_tbl[AMOUNT],DataAct_tbl[BG CODE],Detail!$D785,DataAct_tbl[MONTH],LEFT(MonthName,3),DataAct_tbl[Dept code],$B785),0)</f>
        <v>0</v>
      </c>
      <c r="H785" s="31" t="str">
        <f t="shared" si="115"/>
        <v/>
      </c>
      <c r="I785" s="28" t="str">
        <f t="shared" si="116"/>
        <v/>
      </c>
      <c r="J785" s="32" t="str">
        <f t="shared" si="117"/>
        <v/>
      </c>
      <c r="K785" s="86"/>
      <c r="L785" s="62">
        <f>IF($B785&lt;&gt;"",SUMIFS(DataAct_tbl[AMOUNT],DataAct_tbl[BG CODE],Detail!$D785,DataAct_tbl[Check Range],"=true",DataAct_tbl[Dept code],$B785),0)</f>
        <v>0</v>
      </c>
      <c r="M785" s="63">
        <f>INDEX($AG$7:$AR$1005,ROW()-6,MATCH(MTD,$AG$6:$AR$6,0))</f>
        <v>0</v>
      </c>
      <c r="N785" s="34">
        <f t="shared" si="118"/>
        <v>0</v>
      </c>
      <c r="O785" s="64" t="str">
        <f t="shared" si="119"/>
        <v xml:space="preserve"> </v>
      </c>
      <c r="Q785" s="97">
        <f t="shared" si="120"/>
        <v>0</v>
      </c>
      <c r="R785" s="96">
        <f t="shared" si="121"/>
        <v>0</v>
      </c>
      <c r="T785" s="67" t="str">
        <f>IF($B785&lt;&gt;"",INDEX(DataOB[],FirstRow+ROW()-7,MATCH(T$6,DataOB[#Headers],0)),"")</f>
        <v/>
      </c>
      <c r="U785" s="67" t="str">
        <f>IF($B785&lt;&gt;"",INDEX(DataOB[],FirstRow+ROW()-7,MATCH(U$6,DataOB[#Headers],0)),"")</f>
        <v/>
      </c>
      <c r="V785" s="67" t="str">
        <f>IF($B785&lt;&gt;"",INDEX(DataOB[],FirstRow+ROW()-7,MATCH(V$6,DataOB[#Headers],0)),"")</f>
        <v/>
      </c>
      <c r="W785" s="67" t="str">
        <f>IF($B785&lt;&gt;"",INDEX(DataOB[],FirstRow+ROW()-7,MATCH(W$6,DataOB[#Headers],0)),"")</f>
        <v/>
      </c>
      <c r="X785" s="67" t="str">
        <f>IF($B785&lt;&gt;"",INDEX(DataOB[],FirstRow+ROW()-7,MATCH(X$6,DataOB[#Headers],0)),"")</f>
        <v/>
      </c>
      <c r="Y785" s="67" t="str">
        <f>IF($B785&lt;&gt;"",INDEX(DataOB[],FirstRow+ROW()-7,MATCH(Y$6,DataOB[#Headers],0)),"")</f>
        <v/>
      </c>
      <c r="Z785" s="67" t="str">
        <f>IF($B785&lt;&gt;"",INDEX(DataOB[],FirstRow+ROW()-7,MATCH(Z$6,DataOB[#Headers],0)),"")</f>
        <v/>
      </c>
      <c r="AA785" s="67" t="str">
        <f>IF($B785&lt;&gt;"",INDEX(DataOB[],FirstRow+ROW()-7,MATCH(AA$6,DataOB[#Headers],0)),"")</f>
        <v/>
      </c>
      <c r="AB785" s="67" t="str">
        <f>IF($B785&lt;&gt;"",INDEX(DataOB[],FirstRow+ROW()-7,MATCH(AB$6,DataOB[#Headers],0)),"")</f>
        <v/>
      </c>
      <c r="AC785" s="67" t="str">
        <f>IF($B785&lt;&gt;"",INDEX(DataOB[],FirstRow+ROW()-7,MATCH(AC$6,DataOB[#Headers],0)),"")</f>
        <v/>
      </c>
      <c r="AD785" s="67" t="str">
        <f>IF($B785&lt;&gt;"",INDEX(DataOB[],FirstRow+ROW()-7,MATCH(AD$6,DataOB[#Headers],0)),"")</f>
        <v/>
      </c>
      <c r="AE785" s="67" t="str">
        <f>IF($B785&lt;&gt;"",INDEX(DataOB[],FirstRow+ROW()-7,MATCH(AE$6,DataOB[#Headers],0)),"")</f>
        <v/>
      </c>
      <c r="AF785" s="26">
        <f t="shared" si="122"/>
        <v>0</v>
      </c>
      <c r="AG785" s="31">
        <f>SUM($T785:T785)</f>
        <v>0</v>
      </c>
      <c r="AH785" s="31">
        <f>SUM($T785:U785)</f>
        <v>0</v>
      </c>
      <c r="AI785" s="31">
        <f>SUM($T785:V785)</f>
        <v>0</v>
      </c>
      <c r="AJ785" s="31">
        <f>SUM($T785:W785)</f>
        <v>0</v>
      </c>
      <c r="AK785" s="31">
        <f>SUM($T785:X785)</f>
        <v>0</v>
      </c>
      <c r="AL785" s="31">
        <f>SUM($T785:Y785)</f>
        <v>0</v>
      </c>
      <c r="AM785" s="31">
        <f>SUM($T785:Z785)</f>
        <v>0</v>
      </c>
      <c r="AN785" s="31">
        <f>SUM($T785:AA785)</f>
        <v>0</v>
      </c>
      <c r="AO785" s="31">
        <f>SUM($T785:AB785)</f>
        <v>0</v>
      </c>
      <c r="AP785" s="31">
        <f>SUM($T785:AC785)</f>
        <v>0</v>
      </c>
      <c r="AQ785" s="31">
        <f>SUM($T785:AD785)</f>
        <v>0</v>
      </c>
      <c r="AR785" s="31">
        <f>SUM($T785:AE785)</f>
        <v>0</v>
      </c>
      <c r="AS785" s="27">
        <f t="shared" si="123"/>
        <v>0</v>
      </c>
    </row>
    <row r="786" spans="2:45">
      <c r="B786" s="102" t="str">
        <f>IF(ROW()-6&gt;NumCostCenter,"",IF(CostCenter&lt;&gt;"ALL",CostCenter,DATA_LF2!B784))</f>
        <v/>
      </c>
      <c r="C786" s="153" t="str">
        <f>IF($B786&lt;&gt;"",INDEX(DataOB[],FirstRow+ROW()-7,2),"")</f>
        <v/>
      </c>
      <c r="D786" s="66" t="str">
        <f>IF($B786&lt;&gt;"",INDEX(DataOB[],FirstRow+ROW()-7,3),"")</f>
        <v/>
      </c>
      <c r="E786" s="103" t="str">
        <f>IF($B786&lt;&gt;"",INDEX(DataOB[],FirstRow+ROW()-7,6),"")</f>
        <v/>
      </c>
      <c r="F786" s="103" t="str">
        <f>IF($B786&lt;&gt;"",INDEX(DataOB[],FirstRow+ROW()-7,5),"")</f>
        <v/>
      </c>
      <c r="G786" s="58">
        <f>IF($B786&lt;&gt;"",SUMIFS(DataAct_tbl[AMOUNT],DataAct_tbl[BG CODE],Detail!$D786,DataAct_tbl[MONTH],LEFT(MonthName,3),DataAct_tbl[Dept code],$B786),0)</f>
        <v>0</v>
      </c>
      <c r="H786" s="31" t="str">
        <f t="shared" si="115"/>
        <v/>
      </c>
      <c r="I786" s="28" t="str">
        <f t="shared" si="116"/>
        <v/>
      </c>
      <c r="J786" s="32" t="str">
        <f t="shared" si="117"/>
        <v/>
      </c>
      <c r="K786" s="86"/>
      <c r="L786" s="62">
        <f>IF($B786&lt;&gt;"",SUMIFS(DataAct_tbl[AMOUNT],DataAct_tbl[BG CODE],Detail!$D786,DataAct_tbl[Check Range],"=true",DataAct_tbl[Dept code],$B786),0)</f>
        <v>0</v>
      </c>
      <c r="M786" s="63">
        <f>INDEX($AG$7:$AR$1005,ROW()-6,MATCH(MTD,$AG$6:$AR$6,0))</f>
        <v>0</v>
      </c>
      <c r="N786" s="34">
        <f t="shared" si="118"/>
        <v>0</v>
      </c>
      <c r="O786" s="64" t="str">
        <f t="shared" si="119"/>
        <v xml:space="preserve"> </v>
      </c>
      <c r="Q786" s="97">
        <f t="shared" si="120"/>
        <v>0</v>
      </c>
      <c r="R786" s="96">
        <f t="shared" si="121"/>
        <v>0</v>
      </c>
      <c r="T786" s="67" t="str">
        <f>IF($B786&lt;&gt;"",INDEX(DataOB[],FirstRow+ROW()-7,MATCH(T$6,DataOB[#Headers],0)),"")</f>
        <v/>
      </c>
      <c r="U786" s="67" t="str">
        <f>IF($B786&lt;&gt;"",INDEX(DataOB[],FirstRow+ROW()-7,MATCH(U$6,DataOB[#Headers],0)),"")</f>
        <v/>
      </c>
      <c r="V786" s="67" t="str">
        <f>IF($B786&lt;&gt;"",INDEX(DataOB[],FirstRow+ROW()-7,MATCH(V$6,DataOB[#Headers],0)),"")</f>
        <v/>
      </c>
      <c r="W786" s="67" t="str">
        <f>IF($B786&lt;&gt;"",INDEX(DataOB[],FirstRow+ROW()-7,MATCH(W$6,DataOB[#Headers],0)),"")</f>
        <v/>
      </c>
      <c r="X786" s="67" t="str">
        <f>IF($B786&lt;&gt;"",INDEX(DataOB[],FirstRow+ROW()-7,MATCH(X$6,DataOB[#Headers],0)),"")</f>
        <v/>
      </c>
      <c r="Y786" s="67" t="str">
        <f>IF($B786&lt;&gt;"",INDEX(DataOB[],FirstRow+ROW()-7,MATCH(Y$6,DataOB[#Headers],0)),"")</f>
        <v/>
      </c>
      <c r="Z786" s="67" t="str">
        <f>IF($B786&lt;&gt;"",INDEX(DataOB[],FirstRow+ROW()-7,MATCH(Z$6,DataOB[#Headers],0)),"")</f>
        <v/>
      </c>
      <c r="AA786" s="67" t="str">
        <f>IF($B786&lt;&gt;"",INDEX(DataOB[],FirstRow+ROW()-7,MATCH(AA$6,DataOB[#Headers],0)),"")</f>
        <v/>
      </c>
      <c r="AB786" s="67" t="str">
        <f>IF($B786&lt;&gt;"",INDEX(DataOB[],FirstRow+ROW()-7,MATCH(AB$6,DataOB[#Headers],0)),"")</f>
        <v/>
      </c>
      <c r="AC786" s="67" t="str">
        <f>IF($B786&lt;&gt;"",INDEX(DataOB[],FirstRow+ROW()-7,MATCH(AC$6,DataOB[#Headers],0)),"")</f>
        <v/>
      </c>
      <c r="AD786" s="67" t="str">
        <f>IF($B786&lt;&gt;"",INDEX(DataOB[],FirstRow+ROW()-7,MATCH(AD$6,DataOB[#Headers],0)),"")</f>
        <v/>
      </c>
      <c r="AE786" s="67" t="str">
        <f>IF($B786&lt;&gt;"",INDEX(DataOB[],FirstRow+ROW()-7,MATCH(AE$6,DataOB[#Headers],0)),"")</f>
        <v/>
      </c>
      <c r="AF786" s="26">
        <f t="shared" si="122"/>
        <v>0</v>
      </c>
      <c r="AG786" s="31">
        <f>SUM($T786:T786)</f>
        <v>0</v>
      </c>
      <c r="AH786" s="31">
        <f>SUM($T786:U786)</f>
        <v>0</v>
      </c>
      <c r="AI786" s="31">
        <f>SUM($T786:V786)</f>
        <v>0</v>
      </c>
      <c r="AJ786" s="31">
        <f>SUM($T786:W786)</f>
        <v>0</v>
      </c>
      <c r="AK786" s="31">
        <f>SUM($T786:X786)</f>
        <v>0</v>
      </c>
      <c r="AL786" s="31">
        <f>SUM($T786:Y786)</f>
        <v>0</v>
      </c>
      <c r="AM786" s="31">
        <f>SUM($T786:Z786)</f>
        <v>0</v>
      </c>
      <c r="AN786" s="31">
        <f>SUM($T786:AA786)</f>
        <v>0</v>
      </c>
      <c r="AO786" s="31">
        <f>SUM($T786:AB786)</f>
        <v>0</v>
      </c>
      <c r="AP786" s="31">
        <f>SUM($T786:AC786)</f>
        <v>0</v>
      </c>
      <c r="AQ786" s="31">
        <f>SUM($T786:AD786)</f>
        <v>0</v>
      </c>
      <c r="AR786" s="31">
        <f>SUM($T786:AE786)</f>
        <v>0</v>
      </c>
      <c r="AS786" s="27">
        <f t="shared" si="123"/>
        <v>0</v>
      </c>
    </row>
    <row r="787" spans="2:45">
      <c r="B787" s="102" t="str">
        <f>IF(ROW()-6&gt;NumCostCenter,"",IF(CostCenter&lt;&gt;"ALL",CostCenter,DATA_LF2!B785))</f>
        <v/>
      </c>
      <c r="C787" s="153" t="str">
        <f>IF($B787&lt;&gt;"",INDEX(DataOB[],FirstRow+ROW()-7,2),"")</f>
        <v/>
      </c>
      <c r="D787" s="66" t="str">
        <f>IF($B787&lt;&gt;"",INDEX(DataOB[],FirstRow+ROW()-7,3),"")</f>
        <v/>
      </c>
      <c r="E787" s="103" t="str">
        <f>IF($B787&lt;&gt;"",INDEX(DataOB[],FirstRow+ROW()-7,6),"")</f>
        <v/>
      </c>
      <c r="F787" s="103" t="str">
        <f>IF($B787&lt;&gt;"",INDEX(DataOB[],FirstRow+ROW()-7,5),"")</f>
        <v/>
      </c>
      <c r="G787" s="58">
        <f>IF($B787&lt;&gt;"",SUMIFS(DataAct_tbl[AMOUNT],DataAct_tbl[BG CODE],Detail!$D787,DataAct_tbl[MONTH],LEFT(MonthName,3),DataAct_tbl[Dept code],$B787),0)</f>
        <v>0</v>
      </c>
      <c r="H787" s="31" t="str">
        <f t="shared" si="115"/>
        <v/>
      </c>
      <c r="I787" s="28" t="str">
        <f t="shared" si="116"/>
        <v/>
      </c>
      <c r="J787" s="32" t="str">
        <f t="shared" si="117"/>
        <v/>
      </c>
      <c r="K787" s="86"/>
      <c r="L787" s="62">
        <f>IF($B787&lt;&gt;"",SUMIFS(DataAct_tbl[AMOUNT],DataAct_tbl[BG CODE],Detail!$D787,DataAct_tbl[Check Range],"=true",DataAct_tbl[Dept code],$B787),0)</f>
        <v>0</v>
      </c>
      <c r="M787" s="63">
        <f>INDEX($AG$7:$AR$1005,ROW()-6,MATCH(MTD,$AG$6:$AR$6,0))</f>
        <v>0</v>
      </c>
      <c r="N787" s="34">
        <f t="shared" si="118"/>
        <v>0</v>
      </c>
      <c r="O787" s="64" t="str">
        <f t="shared" si="119"/>
        <v xml:space="preserve"> </v>
      </c>
      <c r="Q787" s="97">
        <f t="shared" si="120"/>
        <v>0</v>
      </c>
      <c r="R787" s="96">
        <f t="shared" si="121"/>
        <v>0</v>
      </c>
      <c r="T787" s="67" t="str">
        <f>IF($B787&lt;&gt;"",INDEX(DataOB[],FirstRow+ROW()-7,MATCH(T$6,DataOB[#Headers],0)),"")</f>
        <v/>
      </c>
      <c r="U787" s="67" t="str">
        <f>IF($B787&lt;&gt;"",INDEX(DataOB[],FirstRow+ROW()-7,MATCH(U$6,DataOB[#Headers],0)),"")</f>
        <v/>
      </c>
      <c r="V787" s="67" t="str">
        <f>IF($B787&lt;&gt;"",INDEX(DataOB[],FirstRow+ROW()-7,MATCH(V$6,DataOB[#Headers],0)),"")</f>
        <v/>
      </c>
      <c r="W787" s="67" t="str">
        <f>IF($B787&lt;&gt;"",INDEX(DataOB[],FirstRow+ROW()-7,MATCH(W$6,DataOB[#Headers],0)),"")</f>
        <v/>
      </c>
      <c r="X787" s="67" t="str">
        <f>IF($B787&lt;&gt;"",INDEX(DataOB[],FirstRow+ROW()-7,MATCH(X$6,DataOB[#Headers],0)),"")</f>
        <v/>
      </c>
      <c r="Y787" s="67" t="str">
        <f>IF($B787&lt;&gt;"",INDEX(DataOB[],FirstRow+ROW()-7,MATCH(Y$6,DataOB[#Headers],0)),"")</f>
        <v/>
      </c>
      <c r="Z787" s="67" t="str">
        <f>IF($B787&lt;&gt;"",INDEX(DataOB[],FirstRow+ROW()-7,MATCH(Z$6,DataOB[#Headers],0)),"")</f>
        <v/>
      </c>
      <c r="AA787" s="67" t="str">
        <f>IF($B787&lt;&gt;"",INDEX(DataOB[],FirstRow+ROW()-7,MATCH(AA$6,DataOB[#Headers],0)),"")</f>
        <v/>
      </c>
      <c r="AB787" s="67" t="str">
        <f>IF($B787&lt;&gt;"",INDEX(DataOB[],FirstRow+ROW()-7,MATCH(AB$6,DataOB[#Headers],0)),"")</f>
        <v/>
      </c>
      <c r="AC787" s="67" t="str">
        <f>IF($B787&lt;&gt;"",INDEX(DataOB[],FirstRow+ROW()-7,MATCH(AC$6,DataOB[#Headers],0)),"")</f>
        <v/>
      </c>
      <c r="AD787" s="67" t="str">
        <f>IF($B787&lt;&gt;"",INDEX(DataOB[],FirstRow+ROW()-7,MATCH(AD$6,DataOB[#Headers],0)),"")</f>
        <v/>
      </c>
      <c r="AE787" s="67" t="str">
        <f>IF($B787&lt;&gt;"",INDEX(DataOB[],FirstRow+ROW()-7,MATCH(AE$6,DataOB[#Headers],0)),"")</f>
        <v/>
      </c>
      <c r="AF787" s="26">
        <f t="shared" si="122"/>
        <v>0</v>
      </c>
      <c r="AG787" s="31">
        <f>SUM($T787:T787)</f>
        <v>0</v>
      </c>
      <c r="AH787" s="31">
        <f>SUM($T787:U787)</f>
        <v>0</v>
      </c>
      <c r="AI787" s="31">
        <f>SUM($T787:V787)</f>
        <v>0</v>
      </c>
      <c r="AJ787" s="31">
        <f>SUM($T787:W787)</f>
        <v>0</v>
      </c>
      <c r="AK787" s="31">
        <f>SUM($T787:X787)</f>
        <v>0</v>
      </c>
      <c r="AL787" s="31">
        <f>SUM($T787:Y787)</f>
        <v>0</v>
      </c>
      <c r="AM787" s="31">
        <f>SUM($T787:Z787)</f>
        <v>0</v>
      </c>
      <c r="AN787" s="31">
        <f>SUM($T787:AA787)</f>
        <v>0</v>
      </c>
      <c r="AO787" s="31">
        <f>SUM($T787:AB787)</f>
        <v>0</v>
      </c>
      <c r="AP787" s="31">
        <f>SUM($T787:AC787)</f>
        <v>0</v>
      </c>
      <c r="AQ787" s="31">
        <f>SUM($T787:AD787)</f>
        <v>0</v>
      </c>
      <c r="AR787" s="31">
        <f>SUM($T787:AE787)</f>
        <v>0</v>
      </c>
      <c r="AS787" s="27">
        <f t="shared" si="123"/>
        <v>0</v>
      </c>
    </row>
    <row r="788" spans="2:45">
      <c r="B788" s="102" t="str">
        <f>IF(ROW()-6&gt;NumCostCenter,"",IF(CostCenter&lt;&gt;"ALL",CostCenter,DATA_LF2!B786))</f>
        <v/>
      </c>
      <c r="C788" s="153" t="str">
        <f>IF($B788&lt;&gt;"",INDEX(DataOB[],FirstRow+ROW()-7,2),"")</f>
        <v/>
      </c>
      <c r="D788" s="66" t="str">
        <f>IF($B788&lt;&gt;"",INDEX(DataOB[],FirstRow+ROW()-7,3),"")</f>
        <v/>
      </c>
      <c r="E788" s="103" t="str">
        <f>IF($B788&lt;&gt;"",INDEX(DataOB[],FirstRow+ROW()-7,6),"")</f>
        <v/>
      </c>
      <c r="F788" s="103" t="str">
        <f>IF($B788&lt;&gt;"",INDEX(DataOB[],FirstRow+ROW()-7,5),"")</f>
        <v/>
      </c>
      <c r="G788" s="58">
        <f>IF($B788&lt;&gt;"",SUMIFS(DataAct_tbl[AMOUNT],DataAct_tbl[BG CODE],Detail!$D788,DataAct_tbl[MONTH],LEFT(MonthName,3),DataAct_tbl[Dept code],$B788),0)</f>
        <v>0</v>
      </c>
      <c r="H788" s="31" t="str">
        <f t="shared" si="115"/>
        <v/>
      </c>
      <c r="I788" s="28" t="str">
        <f t="shared" si="116"/>
        <v/>
      </c>
      <c r="J788" s="32" t="str">
        <f t="shared" si="117"/>
        <v/>
      </c>
      <c r="K788" s="86"/>
      <c r="L788" s="62">
        <f>IF($B788&lt;&gt;"",SUMIFS(DataAct_tbl[AMOUNT],DataAct_tbl[BG CODE],Detail!$D788,DataAct_tbl[Check Range],"=true",DataAct_tbl[Dept code],$B788),0)</f>
        <v>0</v>
      </c>
      <c r="M788" s="63">
        <f>INDEX($AG$7:$AR$1005,ROW()-6,MATCH(MTD,$AG$6:$AR$6,0))</f>
        <v>0</v>
      </c>
      <c r="N788" s="34">
        <f t="shared" si="118"/>
        <v>0</v>
      </c>
      <c r="O788" s="64" t="str">
        <f t="shared" si="119"/>
        <v xml:space="preserve"> </v>
      </c>
      <c r="Q788" s="97">
        <f t="shared" si="120"/>
        <v>0</v>
      </c>
      <c r="R788" s="96">
        <f t="shared" si="121"/>
        <v>0</v>
      </c>
      <c r="T788" s="67" t="str">
        <f>IF($B788&lt;&gt;"",INDEX(DataOB[],FirstRow+ROW()-7,MATCH(T$6,DataOB[#Headers],0)),"")</f>
        <v/>
      </c>
      <c r="U788" s="67" t="str">
        <f>IF($B788&lt;&gt;"",INDEX(DataOB[],FirstRow+ROW()-7,MATCH(U$6,DataOB[#Headers],0)),"")</f>
        <v/>
      </c>
      <c r="V788" s="67" t="str">
        <f>IF($B788&lt;&gt;"",INDEX(DataOB[],FirstRow+ROW()-7,MATCH(V$6,DataOB[#Headers],0)),"")</f>
        <v/>
      </c>
      <c r="W788" s="67" t="str">
        <f>IF($B788&lt;&gt;"",INDEX(DataOB[],FirstRow+ROW()-7,MATCH(W$6,DataOB[#Headers],0)),"")</f>
        <v/>
      </c>
      <c r="X788" s="67" t="str">
        <f>IF($B788&lt;&gt;"",INDEX(DataOB[],FirstRow+ROW()-7,MATCH(X$6,DataOB[#Headers],0)),"")</f>
        <v/>
      </c>
      <c r="Y788" s="67" t="str">
        <f>IF($B788&lt;&gt;"",INDEX(DataOB[],FirstRow+ROW()-7,MATCH(Y$6,DataOB[#Headers],0)),"")</f>
        <v/>
      </c>
      <c r="Z788" s="67" t="str">
        <f>IF($B788&lt;&gt;"",INDEX(DataOB[],FirstRow+ROW()-7,MATCH(Z$6,DataOB[#Headers],0)),"")</f>
        <v/>
      </c>
      <c r="AA788" s="67" t="str">
        <f>IF($B788&lt;&gt;"",INDEX(DataOB[],FirstRow+ROW()-7,MATCH(AA$6,DataOB[#Headers],0)),"")</f>
        <v/>
      </c>
      <c r="AB788" s="67" t="str">
        <f>IF($B788&lt;&gt;"",INDEX(DataOB[],FirstRow+ROW()-7,MATCH(AB$6,DataOB[#Headers],0)),"")</f>
        <v/>
      </c>
      <c r="AC788" s="67" t="str">
        <f>IF($B788&lt;&gt;"",INDEX(DataOB[],FirstRow+ROW()-7,MATCH(AC$6,DataOB[#Headers],0)),"")</f>
        <v/>
      </c>
      <c r="AD788" s="67" t="str">
        <f>IF($B788&lt;&gt;"",INDEX(DataOB[],FirstRow+ROW()-7,MATCH(AD$6,DataOB[#Headers],0)),"")</f>
        <v/>
      </c>
      <c r="AE788" s="67" t="str">
        <f>IF($B788&lt;&gt;"",INDEX(DataOB[],FirstRow+ROW()-7,MATCH(AE$6,DataOB[#Headers],0)),"")</f>
        <v/>
      </c>
      <c r="AF788" s="26">
        <f t="shared" si="122"/>
        <v>0</v>
      </c>
      <c r="AG788" s="31">
        <f>SUM($T788:T788)</f>
        <v>0</v>
      </c>
      <c r="AH788" s="31">
        <f>SUM($T788:U788)</f>
        <v>0</v>
      </c>
      <c r="AI788" s="31">
        <f>SUM($T788:V788)</f>
        <v>0</v>
      </c>
      <c r="AJ788" s="31">
        <f>SUM($T788:W788)</f>
        <v>0</v>
      </c>
      <c r="AK788" s="31">
        <f>SUM($T788:X788)</f>
        <v>0</v>
      </c>
      <c r="AL788" s="31">
        <f>SUM($T788:Y788)</f>
        <v>0</v>
      </c>
      <c r="AM788" s="31">
        <f>SUM($T788:Z788)</f>
        <v>0</v>
      </c>
      <c r="AN788" s="31">
        <f>SUM($T788:AA788)</f>
        <v>0</v>
      </c>
      <c r="AO788" s="31">
        <f>SUM($T788:AB788)</f>
        <v>0</v>
      </c>
      <c r="AP788" s="31">
        <f>SUM($T788:AC788)</f>
        <v>0</v>
      </c>
      <c r="AQ788" s="31">
        <f>SUM($T788:AD788)</f>
        <v>0</v>
      </c>
      <c r="AR788" s="31">
        <f>SUM($T788:AE788)</f>
        <v>0</v>
      </c>
      <c r="AS788" s="27">
        <f t="shared" si="123"/>
        <v>0</v>
      </c>
    </row>
    <row r="789" spans="2:45">
      <c r="B789" s="102" t="str">
        <f>IF(ROW()-6&gt;NumCostCenter,"",IF(CostCenter&lt;&gt;"ALL",CostCenter,DATA_LF2!B787))</f>
        <v/>
      </c>
      <c r="C789" s="153" t="str">
        <f>IF($B789&lt;&gt;"",INDEX(DataOB[],FirstRow+ROW()-7,2),"")</f>
        <v/>
      </c>
      <c r="D789" s="66" t="str">
        <f>IF($B789&lt;&gt;"",INDEX(DataOB[],FirstRow+ROW()-7,3),"")</f>
        <v/>
      </c>
      <c r="E789" s="103" t="str">
        <f>IF($B789&lt;&gt;"",INDEX(DataOB[],FirstRow+ROW()-7,6),"")</f>
        <v/>
      </c>
      <c r="F789" s="103" t="str">
        <f>IF($B789&lt;&gt;"",INDEX(DataOB[],FirstRow+ROW()-7,5),"")</f>
        <v/>
      </c>
      <c r="G789" s="58">
        <f>IF($B789&lt;&gt;"",SUMIFS(DataAct_tbl[AMOUNT],DataAct_tbl[BG CODE],Detail!$D789,DataAct_tbl[MONTH],LEFT(MonthName,3),DataAct_tbl[Dept code],$B789),0)</f>
        <v>0</v>
      </c>
      <c r="H789" s="31" t="str">
        <f t="shared" si="115"/>
        <v/>
      </c>
      <c r="I789" s="28" t="str">
        <f t="shared" si="116"/>
        <v/>
      </c>
      <c r="J789" s="32" t="str">
        <f t="shared" si="117"/>
        <v/>
      </c>
      <c r="K789" s="86"/>
      <c r="L789" s="62">
        <f>IF($B789&lt;&gt;"",SUMIFS(DataAct_tbl[AMOUNT],DataAct_tbl[BG CODE],Detail!$D789,DataAct_tbl[Check Range],"=true",DataAct_tbl[Dept code],$B789),0)</f>
        <v>0</v>
      </c>
      <c r="M789" s="63">
        <f>INDEX($AG$7:$AR$1005,ROW()-6,MATCH(MTD,$AG$6:$AR$6,0))</f>
        <v>0</v>
      </c>
      <c r="N789" s="34">
        <f t="shared" si="118"/>
        <v>0</v>
      </c>
      <c r="O789" s="64" t="str">
        <f t="shared" si="119"/>
        <v xml:space="preserve"> </v>
      </c>
      <c r="Q789" s="97">
        <f t="shared" si="120"/>
        <v>0</v>
      </c>
      <c r="R789" s="96">
        <f t="shared" si="121"/>
        <v>0</v>
      </c>
      <c r="T789" s="67" t="str">
        <f>IF($B789&lt;&gt;"",INDEX(DataOB[],FirstRow+ROW()-7,MATCH(T$6,DataOB[#Headers],0)),"")</f>
        <v/>
      </c>
      <c r="U789" s="67" t="str">
        <f>IF($B789&lt;&gt;"",INDEX(DataOB[],FirstRow+ROW()-7,MATCH(U$6,DataOB[#Headers],0)),"")</f>
        <v/>
      </c>
      <c r="V789" s="67" t="str">
        <f>IF($B789&lt;&gt;"",INDEX(DataOB[],FirstRow+ROW()-7,MATCH(V$6,DataOB[#Headers],0)),"")</f>
        <v/>
      </c>
      <c r="W789" s="67" t="str">
        <f>IF($B789&lt;&gt;"",INDEX(DataOB[],FirstRow+ROW()-7,MATCH(W$6,DataOB[#Headers],0)),"")</f>
        <v/>
      </c>
      <c r="X789" s="67" t="str">
        <f>IF($B789&lt;&gt;"",INDEX(DataOB[],FirstRow+ROW()-7,MATCH(X$6,DataOB[#Headers],0)),"")</f>
        <v/>
      </c>
      <c r="Y789" s="67" t="str">
        <f>IF($B789&lt;&gt;"",INDEX(DataOB[],FirstRow+ROW()-7,MATCH(Y$6,DataOB[#Headers],0)),"")</f>
        <v/>
      </c>
      <c r="Z789" s="67" t="str">
        <f>IF($B789&lt;&gt;"",INDEX(DataOB[],FirstRow+ROW()-7,MATCH(Z$6,DataOB[#Headers],0)),"")</f>
        <v/>
      </c>
      <c r="AA789" s="67" t="str">
        <f>IF($B789&lt;&gt;"",INDEX(DataOB[],FirstRow+ROW()-7,MATCH(AA$6,DataOB[#Headers],0)),"")</f>
        <v/>
      </c>
      <c r="AB789" s="67" t="str">
        <f>IF($B789&lt;&gt;"",INDEX(DataOB[],FirstRow+ROW()-7,MATCH(AB$6,DataOB[#Headers],0)),"")</f>
        <v/>
      </c>
      <c r="AC789" s="67" t="str">
        <f>IF($B789&lt;&gt;"",INDEX(DataOB[],FirstRow+ROW()-7,MATCH(AC$6,DataOB[#Headers],0)),"")</f>
        <v/>
      </c>
      <c r="AD789" s="67" t="str">
        <f>IF($B789&lt;&gt;"",INDEX(DataOB[],FirstRow+ROW()-7,MATCH(AD$6,DataOB[#Headers],0)),"")</f>
        <v/>
      </c>
      <c r="AE789" s="67" t="str">
        <f>IF($B789&lt;&gt;"",INDEX(DataOB[],FirstRow+ROW()-7,MATCH(AE$6,DataOB[#Headers],0)),"")</f>
        <v/>
      </c>
      <c r="AF789" s="26">
        <f t="shared" si="122"/>
        <v>0</v>
      </c>
      <c r="AG789" s="31">
        <f>SUM($T789:T789)</f>
        <v>0</v>
      </c>
      <c r="AH789" s="31">
        <f>SUM($T789:U789)</f>
        <v>0</v>
      </c>
      <c r="AI789" s="31">
        <f>SUM($T789:V789)</f>
        <v>0</v>
      </c>
      <c r="AJ789" s="31">
        <f>SUM($T789:W789)</f>
        <v>0</v>
      </c>
      <c r="AK789" s="31">
        <f>SUM($T789:X789)</f>
        <v>0</v>
      </c>
      <c r="AL789" s="31">
        <f>SUM($T789:Y789)</f>
        <v>0</v>
      </c>
      <c r="AM789" s="31">
        <f>SUM($T789:Z789)</f>
        <v>0</v>
      </c>
      <c r="AN789" s="31">
        <f>SUM($T789:AA789)</f>
        <v>0</v>
      </c>
      <c r="AO789" s="31">
        <f>SUM($T789:AB789)</f>
        <v>0</v>
      </c>
      <c r="AP789" s="31">
        <f>SUM($T789:AC789)</f>
        <v>0</v>
      </c>
      <c r="AQ789" s="31">
        <f>SUM($T789:AD789)</f>
        <v>0</v>
      </c>
      <c r="AR789" s="31">
        <f>SUM($T789:AE789)</f>
        <v>0</v>
      </c>
      <c r="AS789" s="27">
        <f t="shared" si="123"/>
        <v>0</v>
      </c>
    </row>
    <row r="790" spans="2:45">
      <c r="B790" s="102" t="str">
        <f>IF(ROW()-6&gt;NumCostCenter,"",IF(CostCenter&lt;&gt;"ALL",CostCenter,DATA_LF2!B788))</f>
        <v/>
      </c>
      <c r="C790" s="153" t="str">
        <f>IF($B790&lt;&gt;"",INDEX(DataOB[],FirstRow+ROW()-7,2),"")</f>
        <v/>
      </c>
      <c r="D790" s="66" t="str">
        <f>IF($B790&lt;&gt;"",INDEX(DataOB[],FirstRow+ROW()-7,3),"")</f>
        <v/>
      </c>
      <c r="E790" s="103" t="str">
        <f>IF($B790&lt;&gt;"",INDEX(DataOB[],FirstRow+ROW()-7,6),"")</f>
        <v/>
      </c>
      <c r="F790" s="103" t="str">
        <f>IF($B790&lt;&gt;"",INDEX(DataOB[],FirstRow+ROW()-7,5),"")</f>
        <v/>
      </c>
      <c r="G790" s="58">
        <f>IF($B790&lt;&gt;"",SUMIFS(DataAct_tbl[AMOUNT],DataAct_tbl[BG CODE],Detail!$D790,DataAct_tbl[MONTH],LEFT(MonthName,3),DataAct_tbl[Dept code],$B790),0)</f>
        <v>0</v>
      </c>
      <c r="H790" s="31" t="str">
        <f t="shared" si="115"/>
        <v/>
      </c>
      <c r="I790" s="28" t="str">
        <f t="shared" si="116"/>
        <v/>
      </c>
      <c r="J790" s="32" t="str">
        <f t="shared" si="117"/>
        <v/>
      </c>
      <c r="K790" s="86"/>
      <c r="L790" s="62">
        <f>IF($B790&lt;&gt;"",SUMIFS(DataAct_tbl[AMOUNT],DataAct_tbl[BG CODE],Detail!$D790,DataAct_tbl[Check Range],"=true",DataAct_tbl[Dept code],$B790),0)</f>
        <v>0</v>
      </c>
      <c r="M790" s="63">
        <f>INDEX($AG$7:$AR$1005,ROW()-6,MATCH(MTD,$AG$6:$AR$6,0))</f>
        <v>0</v>
      </c>
      <c r="N790" s="34">
        <f t="shared" si="118"/>
        <v>0</v>
      </c>
      <c r="O790" s="64" t="str">
        <f t="shared" si="119"/>
        <v xml:space="preserve"> </v>
      </c>
      <c r="Q790" s="97">
        <f t="shared" si="120"/>
        <v>0</v>
      </c>
      <c r="R790" s="96">
        <f t="shared" si="121"/>
        <v>0</v>
      </c>
      <c r="T790" s="67" t="str">
        <f>IF($B790&lt;&gt;"",INDEX(DataOB[],FirstRow+ROW()-7,MATCH(T$6,DataOB[#Headers],0)),"")</f>
        <v/>
      </c>
      <c r="U790" s="67" t="str">
        <f>IF($B790&lt;&gt;"",INDEX(DataOB[],FirstRow+ROW()-7,MATCH(U$6,DataOB[#Headers],0)),"")</f>
        <v/>
      </c>
      <c r="V790" s="67" t="str">
        <f>IF($B790&lt;&gt;"",INDEX(DataOB[],FirstRow+ROW()-7,MATCH(V$6,DataOB[#Headers],0)),"")</f>
        <v/>
      </c>
      <c r="W790" s="67" t="str">
        <f>IF($B790&lt;&gt;"",INDEX(DataOB[],FirstRow+ROW()-7,MATCH(W$6,DataOB[#Headers],0)),"")</f>
        <v/>
      </c>
      <c r="X790" s="67" t="str">
        <f>IF($B790&lt;&gt;"",INDEX(DataOB[],FirstRow+ROW()-7,MATCH(X$6,DataOB[#Headers],0)),"")</f>
        <v/>
      </c>
      <c r="Y790" s="67" t="str">
        <f>IF($B790&lt;&gt;"",INDEX(DataOB[],FirstRow+ROW()-7,MATCH(Y$6,DataOB[#Headers],0)),"")</f>
        <v/>
      </c>
      <c r="Z790" s="67" t="str">
        <f>IF($B790&lt;&gt;"",INDEX(DataOB[],FirstRow+ROW()-7,MATCH(Z$6,DataOB[#Headers],0)),"")</f>
        <v/>
      </c>
      <c r="AA790" s="67" t="str">
        <f>IF($B790&lt;&gt;"",INDEX(DataOB[],FirstRow+ROW()-7,MATCH(AA$6,DataOB[#Headers],0)),"")</f>
        <v/>
      </c>
      <c r="AB790" s="67" t="str">
        <f>IF($B790&lt;&gt;"",INDEX(DataOB[],FirstRow+ROW()-7,MATCH(AB$6,DataOB[#Headers],0)),"")</f>
        <v/>
      </c>
      <c r="AC790" s="67" t="str">
        <f>IF($B790&lt;&gt;"",INDEX(DataOB[],FirstRow+ROW()-7,MATCH(AC$6,DataOB[#Headers],0)),"")</f>
        <v/>
      </c>
      <c r="AD790" s="67" t="str">
        <f>IF($B790&lt;&gt;"",INDEX(DataOB[],FirstRow+ROW()-7,MATCH(AD$6,DataOB[#Headers],0)),"")</f>
        <v/>
      </c>
      <c r="AE790" s="67" t="str">
        <f>IF($B790&lt;&gt;"",INDEX(DataOB[],FirstRow+ROW()-7,MATCH(AE$6,DataOB[#Headers],0)),"")</f>
        <v/>
      </c>
      <c r="AF790" s="26">
        <f t="shared" si="122"/>
        <v>0</v>
      </c>
      <c r="AG790" s="31">
        <f>SUM($T790:T790)</f>
        <v>0</v>
      </c>
      <c r="AH790" s="31">
        <f>SUM($T790:U790)</f>
        <v>0</v>
      </c>
      <c r="AI790" s="31">
        <f>SUM($T790:V790)</f>
        <v>0</v>
      </c>
      <c r="AJ790" s="31">
        <f>SUM($T790:W790)</f>
        <v>0</v>
      </c>
      <c r="AK790" s="31">
        <f>SUM($T790:X790)</f>
        <v>0</v>
      </c>
      <c r="AL790" s="31">
        <f>SUM($T790:Y790)</f>
        <v>0</v>
      </c>
      <c r="AM790" s="31">
        <f>SUM($T790:Z790)</f>
        <v>0</v>
      </c>
      <c r="AN790" s="31">
        <f>SUM($T790:AA790)</f>
        <v>0</v>
      </c>
      <c r="AO790" s="31">
        <f>SUM($T790:AB790)</f>
        <v>0</v>
      </c>
      <c r="AP790" s="31">
        <f>SUM($T790:AC790)</f>
        <v>0</v>
      </c>
      <c r="AQ790" s="31">
        <f>SUM($T790:AD790)</f>
        <v>0</v>
      </c>
      <c r="AR790" s="31">
        <f>SUM($T790:AE790)</f>
        <v>0</v>
      </c>
      <c r="AS790" s="27">
        <f t="shared" si="123"/>
        <v>0</v>
      </c>
    </row>
    <row r="791" spans="2:45">
      <c r="B791" s="102" t="str">
        <f>IF(ROW()-6&gt;NumCostCenter,"",IF(CostCenter&lt;&gt;"ALL",CostCenter,DATA_LF2!B789))</f>
        <v/>
      </c>
      <c r="C791" s="153" t="str">
        <f>IF($B791&lt;&gt;"",INDEX(DataOB[],FirstRow+ROW()-7,2),"")</f>
        <v/>
      </c>
      <c r="D791" s="66" t="str">
        <f>IF($B791&lt;&gt;"",INDEX(DataOB[],FirstRow+ROW()-7,3),"")</f>
        <v/>
      </c>
      <c r="E791" s="103" t="str">
        <f>IF($B791&lt;&gt;"",INDEX(DataOB[],FirstRow+ROW()-7,6),"")</f>
        <v/>
      </c>
      <c r="F791" s="103" t="str">
        <f>IF($B791&lt;&gt;"",INDEX(DataOB[],FirstRow+ROW()-7,5),"")</f>
        <v/>
      </c>
      <c r="G791" s="58">
        <f>IF($B791&lt;&gt;"",SUMIFS(DataAct_tbl[AMOUNT],DataAct_tbl[BG CODE],Detail!$D791,DataAct_tbl[MONTH],LEFT(MonthName,3),DataAct_tbl[Dept code],$B791),0)</f>
        <v>0</v>
      </c>
      <c r="H791" s="31" t="str">
        <f t="shared" si="115"/>
        <v/>
      </c>
      <c r="I791" s="28" t="str">
        <f t="shared" si="116"/>
        <v/>
      </c>
      <c r="J791" s="32" t="str">
        <f t="shared" si="117"/>
        <v/>
      </c>
      <c r="K791" s="86"/>
      <c r="L791" s="62">
        <f>IF($B791&lt;&gt;"",SUMIFS(DataAct_tbl[AMOUNT],DataAct_tbl[BG CODE],Detail!$D791,DataAct_tbl[Check Range],"=true",DataAct_tbl[Dept code],$B791),0)</f>
        <v>0</v>
      </c>
      <c r="M791" s="63">
        <f>INDEX($AG$7:$AR$1005,ROW()-6,MATCH(MTD,$AG$6:$AR$6,0))</f>
        <v>0</v>
      </c>
      <c r="N791" s="34">
        <f t="shared" si="118"/>
        <v>0</v>
      </c>
      <c r="O791" s="64" t="str">
        <f t="shared" si="119"/>
        <v xml:space="preserve"> </v>
      </c>
      <c r="Q791" s="97">
        <f t="shared" si="120"/>
        <v>0</v>
      </c>
      <c r="R791" s="96">
        <f t="shared" si="121"/>
        <v>0</v>
      </c>
      <c r="T791" s="67" t="str">
        <f>IF($B791&lt;&gt;"",INDEX(DataOB[],FirstRow+ROW()-7,MATCH(T$6,DataOB[#Headers],0)),"")</f>
        <v/>
      </c>
      <c r="U791" s="67" t="str">
        <f>IF($B791&lt;&gt;"",INDEX(DataOB[],FirstRow+ROW()-7,MATCH(U$6,DataOB[#Headers],0)),"")</f>
        <v/>
      </c>
      <c r="V791" s="67" t="str">
        <f>IF($B791&lt;&gt;"",INDEX(DataOB[],FirstRow+ROW()-7,MATCH(V$6,DataOB[#Headers],0)),"")</f>
        <v/>
      </c>
      <c r="W791" s="67" t="str">
        <f>IF($B791&lt;&gt;"",INDEX(DataOB[],FirstRow+ROW()-7,MATCH(W$6,DataOB[#Headers],0)),"")</f>
        <v/>
      </c>
      <c r="X791" s="67" t="str">
        <f>IF($B791&lt;&gt;"",INDEX(DataOB[],FirstRow+ROW()-7,MATCH(X$6,DataOB[#Headers],0)),"")</f>
        <v/>
      </c>
      <c r="Y791" s="67" t="str">
        <f>IF($B791&lt;&gt;"",INDEX(DataOB[],FirstRow+ROW()-7,MATCH(Y$6,DataOB[#Headers],0)),"")</f>
        <v/>
      </c>
      <c r="Z791" s="67" t="str">
        <f>IF($B791&lt;&gt;"",INDEX(DataOB[],FirstRow+ROW()-7,MATCH(Z$6,DataOB[#Headers],0)),"")</f>
        <v/>
      </c>
      <c r="AA791" s="67" t="str">
        <f>IF($B791&lt;&gt;"",INDEX(DataOB[],FirstRow+ROW()-7,MATCH(AA$6,DataOB[#Headers],0)),"")</f>
        <v/>
      </c>
      <c r="AB791" s="67" t="str">
        <f>IF($B791&lt;&gt;"",INDEX(DataOB[],FirstRow+ROW()-7,MATCH(AB$6,DataOB[#Headers],0)),"")</f>
        <v/>
      </c>
      <c r="AC791" s="67" t="str">
        <f>IF($B791&lt;&gt;"",INDEX(DataOB[],FirstRow+ROW()-7,MATCH(AC$6,DataOB[#Headers],0)),"")</f>
        <v/>
      </c>
      <c r="AD791" s="67" t="str">
        <f>IF($B791&lt;&gt;"",INDEX(DataOB[],FirstRow+ROW()-7,MATCH(AD$6,DataOB[#Headers],0)),"")</f>
        <v/>
      </c>
      <c r="AE791" s="67" t="str">
        <f>IF($B791&lt;&gt;"",INDEX(DataOB[],FirstRow+ROW()-7,MATCH(AE$6,DataOB[#Headers],0)),"")</f>
        <v/>
      </c>
      <c r="AF791" s="26">
        <f t="shared" si="122"/>
        <v>0</v>
      </c>
      <c r="AG791" s="31">
        <f>SUM($T791:T791)</f>
        <v>0</v>
      </c>
      <c r="AH791" s="31">
        <f>SUM($T791:U791)</f>
        <v>0</v>
      </c>
      <c r="AI791" s="31">
        <f>SUM($T791:V791)</f>
        <v>0</v>
      </c>
      <c r="AJ791" s="31">
        <f>SUM($T791:W791)</f>
        <v>0</v>
      </c>
      <c r="AK791" s="31">
        <f>SUM($T791:X791)</f>
        <v>0</v>
      </c>
      <c r="AL791" s="31">
        <f>SUM($T791:Y791)</f>
        <v>0</v>
      </c>
      <c r="AM791" s="31">
        <f>SUM($T791:Z791)</f>
        <v>0</v>
      </c>
      <c r="AN791" s="31">
        <f>SUM($T791:AA791)</f>
        <v>0</v>
      </c>
      <c r="AO791" s="31">
        <f>SUM($T791:AB791)</f>
        <v>0</v>
      </c>
      <c r="AP791" s="31">
        <f>SUM($T791:AC791)</f>
        <v>0</v>
      </c>
      <c r="AQ791" s="31">
        <f>SUM($T791:AD791)</f>
        <v>0</v>
      </c>
      <c r="AR791" s="31">
        <f>SUM($T791:AE791)</f>
        <v>0</v>
      </c>
      <c r="AS791" s="27">
        <f t="shared" si="123"/>
        <v>0</v>
      </c>
    </row>
    <row r="792" spans="2:45">
      <c r="B792" s="102" t="str">
        <f>IF(ROW()-6&gt;NumCostCenter,"",IF(CostCenter&lt;&gt;"ALL",CostCenter,DATA_LF2!B790))</f>
        <v/>
      </c>
      <c r="C792" s="153" t="str">
        <f>IF($B792&lt;&gt;"",INDEX(DataOB[],FirstRow+ROW()-7,2),"")</f>
        <v/>
      </c>
      <c r="D792" s="66" t="str">
        <f>IF($B792&lt;&gt;"",INDEX(DataOB[],FirstRow+ROW()-7,3),"")</f>
        <v/>
      </c>
      <c r="E792" s="103" t="str">
        <f>IF($B792&lt;&gt;"",INDEX(DataOB[],FirstRow+ROW()-7,6),"")</f>
        <v/>
      </c>
      <c r="F792" s="103" t="str">
        <f>IF($B792&lt;&gt;"",INDEX(DataOB[],FirstRow+ROW()-7,5),"")</f>
        <v/>
      </c>
      <c r="G792" s="58">
        <f>IF($B792&lt;&gt;"",SUMIFS(DataAct_tbl[AMOUNT],DataAct_tbl[BG CODE],Detail!$D792,DataAct_tbl[MONTH],LEFT(MonthName,3),DataAct_tbl[Dept code],$B792),0)</f>
        <v>0</v>
      </c>
      <c r="H792" s="31" t="str">
        <f t="shared" si="115"/>
        <v/>
      </c>
      <c r="I792" s="28" t="str">
        <f t="shared" si="116"/>
        <v/>
      </c>
      <c r="J792" s="32" t="str">
        <f t="shared" si="117"/>
        <v/>
      </c>
      <c r="K792" s="86"/>
      <c r="L792" s="62">
        <f>IF($B792&lt;&gt;"",SUMIFS(DataAct_tbl[AMOUNT],DataAct_tbl[BG CODE],Detail!$D792,DataAct_tbl[Check Range],"=true",DataAct_tbl[Dept code],$B792),0)</f>
        <v>0</v>
      </c>
      <c r="M792" s="63">
        <f>INDEX($AG$7:$AR$1005,ROW()-6,MATCH(MTD,$AG$6:$AR$6,0))</f>
        <v>0</v>
      </c>
      <c r="N792" s="34">
        <f t="shared" si="118"/>
        <v>0</v>
      </c>
      <c r="O792" s="64" t="str">
        <f t="shared" si="119"/>
        <v xml:space="preserve"> </v>
      </c>
      <c r="Q792" s="97">
        <f t="shared" si="120"/>
        <v>0</v>
      </c>
      <c r="R792" s="96">
        <f t="shared" si="121"/>
        <v>0</v>
      </c>
      <c r="T792" s="67" t="str">
        <f>IF($B792&lt;&gt;"",INDEX(DataOB[],FirstRow+ROW()-7,MATCH(T$6,DataOB[#Headers],0)),"")</f>
        <v/>
      </c>
      <c r="U792" s="67" t="str">
        <f>IF($B792&lt;&gt;"",INDEX(DataOB[],FirstRow+ROW()-7,MATCH(U$6,DataOB[#Headers],0)),"")</f>
        <v/>
      </c>
      <c r="V792" s="67" t="str">
        <f>IF($B792&lt;&gt;"",INDEX(DataOB[],FirstRow+ROW()-7,MATCH(V$6,DataOB[#Headers],0)),"")</f>
        <v/>
      </c>
      <c r="W792" s="67" t="str">
        <f>IF($B792&lt;&gt;"",INDEX(DataOB[],FirstRow+ROW()-7,MATCH(W$6,DataOB[#Headers],0)),"")</f>
        <v/>
      </c>
      <c r="X792" s="67" t="str">
        <f>IF($B792&lt;&gt;"",INDEX(DataOB[],FirstRow+ROW()-7,MATCH(X$6,DataOB[#Headers],0)),"")</f>
        <v/>
      </c>
      <c r="Y792" s="67" t="str">
        <f>IF($B792&lt;&gt;"",INDEX(DataOB[],FirstRow+ROW()-7,MATCH(Y$6,DataOB[#Headers],0)),"")</f>
        <v/>
      </c>
      <c r="Z792" s="67" t="str">
        <f>IF($B792&lt;&gt;"",INDEX(DataOB[],FirstRow+ROW()-7,MATCH(Z$6,DataOB[#Headers],0)),"")</f>
        <v/>
      </c>
      <c r="AA792" s="67" t="str">
        <f>IF($B792&lt;&gt;"",INDEX(DataOB[],FirstRow+ROW()-7,MATCH(AA$6,DataOB[#Headers],0)),"")</f>
        <v/>
      </c>
      <c r="AB792" s="67" t="str">
        <f>IF($B792&lt;&gt;"",INDEX(DataOB[],FirstRow+ROW()-7,MATCH(AB$6,DataOB[#Headers],0)),"")</f>
        <v/>
      </c>
      <c r="AC792" s="67" t="str">
        <f>IF($B792&lt;&gt;"",INDEX(DataOB[],FirstRow+ROW()-7,MATCH(AC$6,DataOB[#Headers],0)),"")</f>
        <v/>
      </c>
      <c r="AD792" s="67" t="str">
        <f>IF($B792&lt;&gt;"",INDEX(DataOB[],FirstRow+ROW()-7,MATCH(AD$6,DataOB[#Headers],0)),"")</f>
        <v/>
      </c>
      <c r="AE792" s="67" t="str">
        <f>IF($B792&lt;&gt;"",INDEX(DataOB[],FirstRow+ROW()-7,MATCH(AE$6,DataOB[#Headers],0)),"")</f>
        <v/>
      </c>
      <c r="AF792" s="26">
        <f t="shared" si="122"/>
        <v>0</v>
      </c>
      <c r="AG792" s="31">
        <f>SUM($T792:T792)</f>
        <v>0</v>
      </c>
      <c r="AH792" s="31">
        <f>SUM($T792:U792)</f>
        <v>0</v>
      </c>
      <c r="AI792" s="31">
        <f>SUM($T792:V792)</f>
        <v>0</v>
      </c>
      <c r="AJ792" s="31">
        <f>SUM($T792:W792)</f>
        <v>0</v>
      </c>
      <c r="AK792" s="31">
        <f>SUM($T792:X792)</f>
        <v>0</v>
      </c>
      <c r="AL792" s="31">
        <f>SUM($T792:Y792)</f>
        <v>0</v>
      </c>
      <c r="AM792" s="31">
        <f>SUM($T792:Z792)</f>
        <v>0</v>
      </c>
      <c r="AN792" s="31">
        <f>SUM($T792:AA792)</f>
        <v>0</v>
      </c>
      <c r="AO792" s="31">
        <f>SUM($T792:AB792)</f>
        <v>0</v>
      </c>
      <c r="AP792" s="31">
        <f>SUM($T792:AC792)</f>
        <v>0</v>
      </c>
      <c r="AQ792" s="31">
        <f>SUM($T792:AD792)</f>
        <v>0</v>
      </c>
      <c r="AR792" s="31">
        <f>SUM($T792:AE792)</f>
        <v>0</v>
      </c>
      <c r="AS792" s="27">
        <f t="shared" si="123"/>
        <v>0</v>
      </c>
    </row>
    <row r="793" spans="2:45">
      <c r="B793" s="102" t="str">
        <f>IF(ROW()-6&gt;NumCostCenter,"",IF(CostCenter&lt;&gt;"ALL",CostCenter,DATA_LF2!B791))</f>
        <v/>
      </c>
      <c r="C793" s="153" t="str">
        <f>IF($B793&lt;&gt;"",INDEX(DataOB[],FirstRow+ROW()-7,2),"")</f>
        <v/>
      </c>
      <c r="D793" s="66" t="str">
        <f>IF($B793&lt;&gt;"",INDEX(DataOB[],FirstRow+ROW()-7,3),"")</f>
        <v/>
      </c>
      <c r="E793" s="103" t="str">
        <f>IF($B793&lt;&gt;"",INDEX(DataOB[],FirstRow+ROW()-7,6),"")</f>
        <v/>
      </c>
      <c r="F793" s="103" t="str">
        <f>IF($B793&lt;&gt;"",INDEX(DataOB[],FirstRow+ROW()-7,5),"")</f>
        <v/>
      </c>
      <c r="G793" s="58">
        <f>IF($B793&lt;&gt;"",SUMIFS(DataAct_tbl[AMOUNT],DataAct_tbl[BG CODE],Detail!$D793,DataAct_tbl[MONTH],LEFT(MonthName,3),DataAct_tbl[Dept code],$B793),0)</f>
        <v>0</v>
      </c>
      <c r="H793" s="31" t="str">
        <f t="shared" si="115"/>
        <v/>
      </c>
      <c r="I793" s="28" t="str">
        <f t="shared" si="116"/>
        <v/>
      </c>
      <c r="J793" s="32" t="str">
        <f t="shared" si="117"/>
        <v/>
      </c>
      <c r="K793" s="86"/>
      <c r="L793" s="62">
        <f>IF($B793&lt;&gt;"",SUMIFS(DataAct_tbl[AMOUNT],DataAct_tbl[BG CODE],Detail!$D793,DataAct_tbl[Check Range],"=true",DataAct_tbl[Dept code],$B793),0)</f>
        <v>0</v>
      </c>
      <c r="M793" s="63">
        <f>INDEX($AG$7:$AR$1005,ROW()-6,MATCH(MTD,$AG$6:$AR$6,0))</f>
        <v>0</v>
      </c>
      <c r="N793" s="34">
        <f t="shared" si="118"/>
        <v>0</v>
      </c>
      <c r="O793" s="64" t="str">
        <f t="shared" si="119"/>
        <v xml:space="preserve"> </v>
      </c>
      <c r="Q793" s="97">
        <f t="shared" si="120"/>
        <v>0</v>
      </c>
      <c r="R793" s="96">
        <f t="shared" si="121"/>
        <v>0</v>
      </c>
      <c r="T793" s="67" t="str">
        <f>IF($B793&lt;&gt;"",INDEX(DataOB[],FirstRow+ROW()-7,MATCH(T$6,DataOB[#Headers],0)),"")</f>
        <v/>
      </c>
      <c r="U793" s="67" t="str">
        <f>IF($B793&lt;&gt;"",INDEX(DataOB[],FirstRow+ROW()-7,MATCH(U$6,DataOB[#Headers],0)),"")</f>
        <v/>
      </c>
      <c r="V793" s="67" t="str">
        <f>IF($B793&lt;&gt;"",INDEX(DataOB[],FirstRow+ROW()-7,MATCH(V$6,DataOB[#Headers],0)),"")</f>
        <v/>
      </c>
      <c r="W793" s="67" t="str">
        <f>IF($B793&lt;&gt;"",INDEX(DataOB[],FirstRow+ROW()-7,MATCH(W$6,DataOB[#Headers],0)),"")</f>
        <v/>
      </c>
      <c r="X793" s="67" t="str">
        <f>IF($B793&lt;&gt;"",INDEX(DataOB[],FirstRow+ROW()-7,MATCH(X$6,DataOB[#Headers],0)),"")</f>
        <v/>
      </c>
      <c r="Y793" s="67" t="str">
        <f>IF($B793&lt;&gt;"",INDEX(DataOB[],FirstRow+ROW()-7,MATCH(Y$6,DataOB[#Headers],0)),"")</f>
        <v/>
      </c>
      <c r="Z793" s="67" t="str">
        <f>IF($B793&lt;&gt;"",INDEX(DataOB[],FirstRow+ROW()-7,MATCH(Z$6,DataOB[#Headers],0)),"")</f>
        <v/>
      </c>
      <c r="AA793" s="67" t="str">
        <f>IF($B793&lt;&gt;"",INDEX(DataOB[],FirstRow+ROW()-7,MATCH(AA$6,DataOB[#Headers],0)),"")</f>
        <v/>
      </c>
      <c r="AB793" s="67" t="str">
        <f>IF($B793&lt;&gt;"",INDEX(DataOB[],FirstRow+ROW()-7,MATCH(AB$6,DataOB[#Headers],0)),"")</f>
        <v/>
      </c>
      <c r="AC793" s="67" t="str">
        <f>IF($B793&lt;&gt;"",INDEX(DataOB[],FirstRow+ROW()-7,MATCH(AC$6,DataOB[#Headers],0)),"")</f>
        <v/>
      </c>
      <c r="AD793" s="67" t="str">
        <f>IF($B793&lt;&gt;"",INDEX(DataOB[],FirstRow+ROW()-7,MATCH(AD$6,DataOB[#Headers],0)),"")</f>
        <v/>
      </c>
      <c r="AE793" s="67" t="str">
        <f>IF($B793&lt;&gt;"",INDEX(DataOB[],FirstRow+ROW()-7,MATCH(AE$6,DataOB[#Headers],0)),"")</f>
        <v/>
      </c>
      <c r="AF793" s="26">
        <f t="shared" si="122"/>
        <v>0</v>
      </c>
      <c r="AG793" s="31">
        <f>SUM($T793:T793)</f>
        <v>0</v>
      </c>
      <c r="AH793" s="31">
        <f>SUM($T793:U793)</f>
        <v>0</v>
      </c>
      <c r="AI793" s="31">
        <f>SUM($T793:V793)</f>
        <v>0</v>
      </c>
      <c r="AJ793" s="31">
        <f>SUM($T793:W793)</f>
        <v>0</v>
      </c>
      <c r="AK793" s="31">
        <f>SUM($T793:X793)</f>
        <v>0</v>
      </c>
      <c r="AL793" s="31">
        <f>SUM($T793:Y793)</f>
        <v>0</v>
      </c>
      <c r="AM793" s="31">
        <f>SUM($T793:Z793)</f>
        <v>0</v>
      </c>
      <c r="AN793" s="31">
        <f>SUM($T793:AA793)</f>
        <v>0</v>
      </c>
      <c r="AO793" s="31">
        <f>SUM($T793:AB793)</f>
        <v>0</v>
      </c>
      <c r="AP793" s="31">
        <f>SUM($T793:AC793)</f>
        <v>0</v>
      </c>
      <c r="AQ793" s="31">
        <f>SUM($T793:AD793)</f>
        <v>0</v>
      </c>
      <c r="AR793" s="31">
        <f>SUM($T793:AE793)</f>
        <v>0</v>
      </c>
      <c r="AS793" s="27">
        <f t="shared" si="123"/>
        <v>0</v>
      </c>
    </row>
    <row r="794" spans="2:45">
      <c r="B794" s="102" t="str">
        <f>IF(ROW()-6&gt;NumCostCenter,"",IF(CostCenter&lt;&gt;"ALL",CostCenter,DATA_LF2!B792))</f>
        <v/>
      </c>
      <c r="C794" s="153" t="str">
        <f>IF($B794&lt;&gt;"",INDEX(DataOB[],FirstRow+ROW()-7,2),"")</f>
        <v/>
      </c>
      <c r="D794" s="66" t="str">
        <f>IF($B794&lt;&gt;"",INDEX(DataOB[],FirstRow+ROW()-7,3),"")</f>
        <v/>
      </c>
      <c r="E794" s="103" t="str">
        <f>IF($B794&lt;&gt;"",INDEX(DataOB[],FirstRow+ROW()-7,6),"")</f>
        <v/>
      </c>
      <c r="F794" s="103" t="str">
        <f>IF($B794&lt;&gt;"",INDEX(DataOB[],FirstRow+ROW()-7,5),"")</f>
        <v/>
      </c>
      <c r="G794" s="58">
        <f>IF($B794&lt;&gt;"",SUMIFS(DataAct_tbl[AMOUNT],DataAct_tbl[BG CODE],Detail!$D794,DataAct_tbl[MONTH],LEFT(MonthName,3),DataAct_tbl[Dept code],$B794),0)</f>
        <v>0</v>
      </c>
      <c r="H794" s="31" t="str">
        <f t="shared" si="115"/>
        <v/>
      </c>
      <c r="I794" s="28" t="str">
        <f t="shared" si="116"/>
        <v/>
      </c>
      <c r="J794" s="32" t="str">
        <f t="shared" si="117"/>
        <v/>
      </c>
      <c r="K794" s="86"/>
      <c r="L794" s="62">
        <f>IF($B794&lt;&gt;"",SUMIFS(DataAct_tbl[AMOUNT],DataAct_tbl[BG CODE],Detail!$D794,DataAct_tbl[Check Range],"=true",DataAct_tbl[Dept code],$B794),0)</f>
        <v>0</v>
      </c>
      <c r="M794" s="63">
        <f>INDEX($AG$7:$AR$1005,ROW()-6,MATCH(MTD,$AG$6:$AR$6,0))</f>
        <v>0</v>
      </c>
      <c r="N794" s="34">
        <f t="shared" si="118"/>
        <v>0</v>
      </c>
      <c r="O794" s="64" t="str">
        <f t="shared" si="119"/>
        <v xml:space="preserve"> </v>
      </c>
      <c r="Q794" s="97">
        <f t="shared" si="120"/>
        <v>0</v>
      </c>
      <c r="R794" s="96">
        <f t="shared" si="121"/>
        <v>0</v>
      </c>
      <c r="T794" s="67" t="str">
        <f>IF($B794&lt;&gt;"",INDEX(DataOB[],FirstRow+ROW()-7,MATCH(T$6,DataOB[#Headers],0)),"")</f>
        <v/>
      </c>
      <c r="U794" s="67" t="str">
        <f>IF($B794&lt;&gt;"",INDEX(DataOB[],FirstRow+ROW()-7,MATCH(U$6,DataOB[#Headers],0)),"")</f>
        <v/>
      </c>
      <c r="V794" s="67" t="str">
        <f>IF($B794&lt;&gt;"",INDEX(DataOB[],FirstRow+ROW()-7,MATCH(V$6,DataOB[#Headers],0)),"")</f>
        <v/>
      </c>
      <c r="W794" s="67" t="str">
        <f>IF($B794&lt;&gt;"",INDEX(DataOB[],FirstRow+ROW()-7,MATCH(W$6,DataOB[#Headers],0)),"")</f>
        <v/>
      </c>
      <c r="X794" s="67" t="str">
        <f>IF($B794&lt;&gt;"",INDEX(DataOB[],FirstRow+ROW()-7,MATCH(X$6,DataOB[#Headers],0)),"")</f>
        <v/>
      </c>
      <c r="Y794" s="67" t="str">
        <f>IF($B794&lt;&gt;"",INDEX(DataOB[],FirstRow+ROW()-7,MATCH(Y$6,DataOB[#Headers],0)),"")</f>
        <v/>
      </c>
      <c r="Z794" s="67" t="str">
        <f>IF($B794&lt;&gt;"",INDEX(DataOB[],FirstRow+ROW()-7,MATCH(Z$6,DataOB[#Headers],0)),"")</f>
        <v/>
      </c>
      <c r="AA794" s="67" t="str">
        <f>IF($B794&lt;&gt;"",INDEX(DataOB[],FirstRow+ROW()-7,MATCH(AA$6,DataOB[#Headers],0)),"")</f>
        <v/>
      </c>
      <c r="AB794" s="67" t="str">
        <f>IF($B794&lt;&gt;"",INDEX(DataOB[],FirstRow+ROW()-7,MATCH(AB$6,DataOB[#Headers],0)),"")</f>
        <v/>
      </c>
      <c r="AC794" s="67" t="str">
        <f>IF($B794&lt;&gt;"",INDEX(DataOB[],FirstRow+ROW()-7,MATCH(AC$6,DataOB[#Headers],0)),"")</f>
        <v/>
      </c>
      <c r="AD794" s="67" t="str">
        <f>IF($B794&lt;&gt;"",INDEX(DataOB[],FirstRow+ROW()-7,MATCH(AD$6,DataOB[#Headers],0)),"")</f>
        <v/>
      </c>
      <c r="AE794" s="67" t="str">
        <f>IF($B794&lt;&gt;"",INDEX(DataOB[],FirstRow+ROW()-7,MATCH(AE$6,DataOB[#Headers],0)),"")</f>
        <v/>
      </c>
      <c r="AF794" s="26">
        <f t="shared" si="122"/>
        <v>0</v>
      </c>
      <c r="AG794" s="31">
        <f>SUM($T794:T794)</f>
        <v>0</v>
      </c>
      <c r="AH794" s="31">
        <f>SUM($T794:U794)</f>
        <v>0</v>
      </c>
      <c r="AI794" s="31">
        <f>SUM($T794:V794)</f>
        <v>0</v>
      </c>
      <c r="AJ794" s="31">
        <f>SUM($T794:W794)</f>
        <v>0</v>
      </c>
      <c r="AK794" s="31">
        <f>SUM($T794:X794)</f>
        <v>0</v>
      </c>
      <c r="AL794" s="31">
        <f>SUM($T794:Y794)</f>
        <v>0</v>
      </c>
      <c r="AM794" s="31">
        <f>SUM($T794:Z794)</f>
        <v>0</v>
      </c>
      <c r="AN794" s="31">
        <f>SUM($T794:AA794)</f>
        <v>0</v>
      </c>
      <c r="AO794" s="31">
        <f>SUM($T794:AB794)</f>
        <v>0</v>
      </c>
      <c r="AP794" s="31">
        <f>SUM($T794:AC794)</f>
        <v>0</v>
      </c>
      <c r="AQ794" s="31">
        <f>SUM($T794:AD794)</f>
        <v>0</v>
      </c>
      <c r="AR794" s="31">
        <f>SUM($T794:AE794)</f>
        <v>0</v>
      </c>
      <c r="AS794" s="27">
        <f t="shared" si="123"/>
        <v>0</v>
      </c>
    </row>
    <row r="795" spans="2:45">
      <c r="B795" s="102" t="str">
        <f>IF(ROW()-6&gt;NumCostCenter,"",IF(CostCenter&lt;&gt;"ALL",CostCenter,DATA_LF2!B793))</f>
        <v/>
      </c>
      <c r="C795" s="153" t="str">
        <f>IF($B795&lt;&gt;"",INDEX(DataOB[],FirstRow+ROW()-7,2),"")</f>
        <v/>
      </c>
      <c r="D795" s="66" t="str">
        <f>IF($B795&lt;&gt;"",INDEX(DataOB[],FirstRow+ROW()-7,3),"")</f>
        <v/>
      </c>
      <c r="E795" s="103" t="str">
        <f>IF($B795&lt;&gt;"",INDEX(DataOB[],FirstRow+ROW()-7,6),"")</f>
        <v/>
      </c>
      <c r="F795" s="103" t="str">
        <f>IF($B795&lt;&gt;"",INDEX(DataOB[],FirstRow+ROW()-7,5),"")</f>
        <v/>
      </c>
      <c r="G795" s="58">
        <f>IF($B795&lt;&gt;"",SUMIFS(DataAct_tbl[AMOUNT],DataAct_tbl[BG CODE],Detail!$D795,DataAct_tbl[MONTH],LEFT(MonthName,3),DataAct_tbl[Dept code],$B795),0)</f>
        <v>0</v>
      </c>
      <c r="H795" s="31" t="str">
        <f t="shared" si="115"/>
        <v/>
      </c>
      <c r="I795" s="28" t="str">
        <f t="shared" si="116"/>
        <v/>
      </c>
      <c r="J795" s="32" t="str">
        <f t="shared" si="117"/>
        <v/>
      </c>
      <c r="K795" s="86"/>
      <c r="L795" s="62">
        <f>IF($B795&lt;&gt;"",SUMIFS(DataAct_tbl[AMOUNT],DataAct_tbl[BG CODE],Detail!$D795,DataAct_tbl[Check Range],"=true",DataAct_tbl[Dept code],$B795),0)</f>
        <v>0</v>
      </c>
      <c r="M795" s="63">
        <f>INDEX($AG$7:$AR$1005,ROW()-6,MATCH(MTD,$AG$6:$AR$6,0))</f>
        <v>0</v>
      </c>
      <c r="N795" s="34">
        <f t="shared" si="118"/>
        <v>0</v>
      </c>
      <c r="O795" s="64" t="str">
        <f t="shared" si="119"/>
        <v xml:space="preserve"> </v>
      </c>
      <c r="Q795" s="97">
        <f t="shared" si="120"/>
        <v>0</v>
      </c>
      <c r="R795" s="96">
        <f t="shared" si="121"/>
        <v>0</v>
      </c>
      <c r="T795" s="67" t="str">
        <f>IF($B795&lt;&gt;"",INDEX(DataOB[],FirstRow+ROW()-7,MATCH(T$6,DataOB[#Headers],0)),"")</f>
        <v/>
      </c>
      <c r="U795" s="67" t="str">
        <f>IF($B795&lt;&gt;"",INDEX(DataOB[],FirstRow+ROW()-7,MATCH(U$6,DataOB[#Headers],0)),"")</f>
        <v/>
      </c>
      <c r="V795" s="67" t="str">
        <f>IF($B795&lt;&gt;"",INDEX(DataOB[],FirstRow+ROW()-7,MATCH(V$6,DataOB[#Headers],0)),"")</f>
        <v/>
      </c>
      <c r="W795" s="67" t="str">
        <f>IF($B795&lt;&gt;"",INDEX(DataOB[],FirstRow+ROW()-7,MATCH(W$6,DataOB[#Headers],0)),"")</f>
        <v/>
      </c>
      <c r="X795" s="67" t="str">
        <f>IF($B795&lt;&gt;"",INDEX(DataOB[],FirstRow+ROW()-7,MATCH(X$6,DataOB[#Headers],0)),"")</f>
        <v/>
      </c>
      <c r="Y795" s="67" t="str">
        <f>IF($B795&lt;&gt;"",INDEX(DataOB[],FirstRow+ROW()-7,MATCH(Y$6,DataOB[#Headers],0)),"")</f>
        <v/>
      </c>
      <c r="Z795" s="67" t="str">
        <f>IF($B795&lt;&gt;"",INDEX(DataOB[],FirstRow+ROW()-7,MATCH(Z$6,DataOB[#Headers],0)),"")</f>
        <v/>
      </c>
      <c r="AA795" s="67" t="str">
        <f>IF($B795&lt;&gt;"",INDEX(DataOB[],FirstRow+ROW()-7,MATCH(AA$6,DataOB[#Headers],0)),"")</f>
        <v/>
      </c>
      <c r="AB795" s="67" t="str">
        <f>IF($B795&lt;&gt;"",INDEX(DataOB[],FirstRow+ROW()-7,MATCH(AB$6,DataOB[#Headers],0)),"")</f>
        <v/>
      </c>
      <c r="AC795" s="67" t="str">
        <f>IF($B795&lt;&gt;"",INDEX(DataOB[],FirstRow+ROW()-7,MATCH(AC$6,DataOB[#Headers],0)),"")</f>
        <v/>
      </c>
      <c r="AD795" s="67" t="str">
        <f>IF($B795&lt;&gt;"",INDEX(DataOB[],FirstRow+ROW()-7,MATCH(AD$6,DataOB[#Headers],0)),"")</f>
        <v/>
      </c>
      <c r="AE795" s="67" t="str">
        <f>IF($B795&lt;&gt;"",INDEX(DataOB[],FirstRow+ROW()-7,MATCH(AE$6,DataOB[#Headers],0)),"")</f>
        <v/>
      </c>
      <c r="AF795" s="26">
        <f t="shared" si="122"/>
        <v>0</v>
      </c>
      <c r="AG795" s="31">
        <f>SUM($T795:T795)</f>
        <v>0</v>
      </c>
      <c r="AH795" s="31">
        <f>SUM($T795:U795)</f>
        <v>0</v>
      </c>
      <c r="AI795" s="31">
        <f>SUM($T795:V795)</f>
        <v>0</v>
      </c>
      <c r="AJ795" s="31">
        <f>SUM($T795:W795)</f>
        <v>0</v>
      </c>
      <c r="AK795" s="31">
        <f>SUM($T795:X795)</f>
        <v>0</v>
      </c>
      <c r="AL795" s="31">
        <f>SUM($T795:Y795)</f>
        <v>0</v>
      </c>
      <c r="AM795" s="31">
        <f>SUM($T795:Z795)</f>
        <v>0</v>
      </c>
      <c r="AN795" s="31">
        <f>SUM($T795:AA795)</f>
        <v>0</v>
      </c>
      <c r="AO795" s="31">
        <f>SUM($T795:AB795)</f>
        <v>0</v>
      </c>
      <c r="AP795" s="31">
        <f>SUM($T795:AC795)</f>
        <v>0</v>
      </c>
      <c r="AQ795" s="31">
        <f>SUM($T795:AD795)</f>
        <v>0</v>
      </c>
      <c r="AR795" s="31">
        <f>SUM($T795:AE795)</f>
        <v>0</v>
      </c>
      <c r="AS795" s="27">
        <f t="shared" si="123"/>
        <v>0</v>
      </c>
    </row>
    <row r="796" spans="2:45">
      <c r="B796" s="102" t="str">
        <f>IF(ROW()-6&gt;NumCostCenter,"",IF(CostCenter&lt;&gt;"ALL",CostCenter,DATA_LF2!B794))</f>
        <v/>
      </c>
      <c r="C796" s="153" t="str">
        <f>IF($B796&lt;&gt;"",INDEX(DataOB[],FirstRow+ROW()-7,2),"")</f>
        <v/>
      </c>
      <c r="D796" s="66" t="str">
        <f>IF($B796&lt;&gt;"",INDEX(DataOB[],FirstRow+ROW()-7,3),"")</f>
        <v/>
      </c>
      <c r="E796" s="103" t="str">
        <f>IF($B796&lt;&gt;"",INDEX(DataOB[],FirstRow+ROW()-7,6),"")</f>
        <v/>
      </c>
      <c r="F796" s="103" t="str">
        <f>IF($B796&lt;&gt;"",INDEX(DataOB[],FirstRow+ROW()-7,5),"")</f>
        <v/>
      </c>
      <c r="G796" s="58">
        <f>IF($B796&lt;&gt;"",SUMIFS(DataAct_tbl[AMOUNT],DataAct_tbl[BG CODE],Detail!$D796,DataAct_tbl[MONTH],LEFT(MonthName,3),DataAct_tbl[Dept code],$B796),0)</f>
        <v>0</v>
      </c>
      <c r="H796" s="31" t="str">
        <f t="shared" si="115"/>
        <v/>
      </c>
      <c r="I796" s="28" t="str">
        <f t="shared" si="116"/>
        <v/>
      </c>
      <c r="J796" s="32" t="str">
        <f t="shared" si="117"/>
        <v/>
      </c>
      <c r="K796" s="86"/>
      <c r="L796" s="62">
        <f>IF($B796&lt;&gt;"",SUMIFS(DataAct_tbl[AMOUNT],DataAct_tbl[BG CODE],Detail!$D796,DataAct_tbl[Check Range],"=true",DataAct_tbl[Dept code],$B796),0)</f>
        <v>0</v>
      </c>
      <c r="M796" s="63">
        <f>INDEX($AG$7:$AR$1005,ROW()-6,MATCH(MTD,$AG$6:$AR$6,0))</f>
        <v>0</v>
      </c>
      <c r="N796" s="34">
        <f t="shared" si="118"/>
        <v>0</v>
      </c>
      <c r="O796" s="64" t="str">
        <f t="shared" si="119"/>
        <v xml:space="preserve"> </v>
      </c>
      <c r="Q796" s="97">
        <f t="shared" si="120"/>
        <v>0</v>
      </c>
      <c r="R796" s="96">
        <f t="shared" si="121"/>
        <v>0</v>
      </c>
      <c r="T796" s="67" t="str">
        <f>IF($B796&lt;&gt;"",INDEX(DataOB[],FirstRow+ROW()-7,MATCH(T$6,DataOB[#Headers],0)),"")</f>
        <v/>
      </c>
      <c r="U796" s="67" t="str">
        <f>IF($B796&lt;&gt;"",INDEX(DataOB[],FirstRow+ROW()-7,MATCH(U$6,DataOB[#Headers],0)),"")</f>
        <v/>
      </c>
      <c r="V796" s="67" t="str">
        <f>IF($B796&lt;&gt;"",INDEX(DataOB[],FirstRow+ROW()-7,MATCH(V$6,DataOB[#Headers],0)),"")</f>
        <v/>
      </c>
      <c r="W796" s="67" t="str">
        <f>IF($B796&lt;&gt;"",INDEX(DataOB[],FirstRow+ROW()-7,MATCH(W$6,DataOB[#Headers],0)),"")</f>
        <v/>
      </c>
      <c r="X796" s="67" t="str">
        <f>IF($B796&lt;&gt;"",INDEX(DataOB[],FirstRow+ROW()-7,MATCH(X$6,DataOB[#Headers],0)),"")</f>
        <v/>
      </c>
      <c r="Y796" s="67" t="str">
        <f>IF($B796&lt;&gt;"",INDEX(DataOB[],FirstRow+ROW()-7,MATCH(Y$6,DataOB[#Headers],0)),"")</f>
        <v/>
      </c>
      <c r="Z796" s="67" t="str">
        <f>IF($B796&lt;&gt;"",INDEX(DataOB[],FirstRow+ROW()-7,MATCH(Z$6,DataOB[#Headers],0)),"")</f>
        <v/>
      </c>
      <c r="AA796" s="67" t="str">
        <f>IF($B796&lt;&gt;"",INDEX(DataOB[],FirstRow+ROW()-7,MATCH(AA$6,DataOB[#Headers],0)),"")</f>
        <v/>
      </c>
      <c r="AB796" s="67" t="str">
        <f>IF($B796&lt;&gt;"",INDEX(DataOB[],FirstRow+ROW()-7,MATCH(AB$6,DataOB[#Headers],0)),"")</f>
        <v/>
      </c>
      <c r="AC796" s="67" t="str">
        <f>IF($B796&lt;&gt;"",INDEX(DataOB[],FirstRow+ROW()-7,MATCH(AC$6,DataOB[#Headers],0)),"")</f>
        <v/>
      </c>
      <c r="AD796" s="67" t="str">
        <f>IF($B796&lt;&gt;"",INDEX(DataOB[],FirstRow+ROW()-7,MATCH(AD$6,DataOB[#Headers],0)),"")</f>
        <v/>
      </c>
      <c r="AE796" s="67" t="str">
        <f>IF($B796&lt;&gt;"",INDEX(DataOB[],FirstRow+ROW()-7,MATCH(AE$6,DataOB[#Headers],0)),"")</f>
        <v/>
      </c>
      <c r="AF796" s="26">
        <f t="shared" si="122"/>
        <v>0</v>
      </c>
      <c r="AG796" s="31">
        <f>SUM($T796:T796)</f>
        <v>0</v>
      </c>
      <c r="AH796" s="31">
        <f>SUM($T796:U796)</f>
        <v>0</v>
      </c>
      <c r="AI796" s="31">
        <f>SUM($T796:V796)</f>
        <v>0</v>
      </c>
      <c r="AJ796" s="31">
        <f>SUM($T796:W796)</f>
        <v>0</v>
      </c>
      <c r="AK796" s="31">
        <f>SUM($T796:X796)</f>
        <v>0</v>
      </c>
      <c r="AL796" s="31">
        <f>SUM($T796:Y796)</f>
        <v>0</v>
      </c>
      <c r="AM796" s="31">
        <f>SUM($T796:Z796)</f>
        <v>0</v>
      </c>
      <c r="AN796" s="31">
        <f>SUM($T796:AA796)</f>
        <v>0</v>
      </c>
      <c r="AO796" s="31">
        <f>SUM($T796:AB796)</f>
        <v>0</v>
      </c>
      <c r="AP796" s="31">
        <f>SUM($T796:AC796)</f>
        <v>0</v>
      </c>
      <c r="AQ796" s="31">
        <f>SUM($T796:AD796)</f>
        <v>0</v>
      </c>
      <c r="AR796" s="31">
        <f>SUM($T796:AE796)</f>
        <v>0</v>
      </c>
      <c r="AS796" s="27">
        <f t="shared" si="123"/>
        <v>0</v>
      </c>
    </row>
    <row r="797" spans="2:45">
      <c r="B797" s="102" t="str">
        <f>IF(ROW()-6&gt;NumCostCenter,"",IF(CostCenter&lt;&gt;"ALL",CostCenter,DATA_LF2!B795))</f>
        <v/>
      </c>
      <c r="C797" s="153" t="str">
        <f>IF($B797&lt;&gt;"",INDEX(DataOB[],FirstRow+ROW()-7,2),"")</f>
        <v/>
      </c>
      <c r="D797" s="66" t="str">
        <f>IF($B797&lt;&gt;"",INDEX(DataOB[],FirstRow+ROW()-7,3),"")</f>
        <v/>
      </c>
      <c r="E797" s="103" t="str">
        <f>IF($B797&lt;&gt;"",INDEX(DataOB[],FirstRow+ROW()-7,6),"")</f>
        <v/>
      </c>
      <c r="F797" s="103" t="str">
        <f>IF($B797&lt;&gt;"",INDEX(DataOB[],FirstRow+ROW()-7,5),"")</f>
        <v/>
      </c>
      <c r="G797" s="58">
        <f>IF($B797&lt;&gt;"",SUMIFS(DataAct_tbl[AMOUNT],DataAct_tbl[BG CODE],Detail!$D797,DataAct_tbl[MONTH],LEFT(MonthName,3),DataAct_tbl[Dept code],$B797),0)</f>
        <v>0</v>
      </c>
      <c r="H797" s="31" t="str">
        <f t="shared" si="115"/>
        <v/>
      </c>
      <c r="I797" s="28" t="str">
        <f t="shared" si="116"/>
        <v/>
      </c>
      <c r="J797" s="32" t="str">
        <f t="shared" si="117"/>
        <v/>
      </c>
      <c r="K797" s="86"/>
      <c r="L797" s="62">
        <f>IF($B797&lt;&gt;"",SUMIFS(DataAct_tbl[AMOUNT],DataAct_tbl[BG CODE],Detail!$D797,DataAct_tbl[Check Range],"=true",DataAct_tbl[Dept code],$B797),0)</f>
        <v>0</v>
      </c>
      <c r="M797" s="63">
        <f>INDEX($AG$7:$AR$1005,ROW()-6,MATCH(MTD,$AG$6:$AR$6,0))</f>
        <v>0</v>
      </c>
      <c r="N797" s="34">
        <f t="shared" si="118"/>
        <v>0</v>
      </c>
      <c r="O797" s="64" t="str">
        <f t="shared" si="119"/>
        <v xml:space="preserve"> </v>
      </c>
      <c r="Q797" s="97">
        <f t="shared" si="120"/>
        <v>0</v>
      </c>
      <c r="R797" s="96">
        <f t="shared" si="121"/>
        <v>0</v>
      </c>
      <c r="T797" s="67" t="str">
        <f>IF($B797&lt;&gt;"",INDEX(DataOB[],FirstRow+ROW()-7,MATCH(T$6,DataOB[#Headers],0)),"")</f>
        <v/>
      </c>
      <c r="U797" s="67" t="str">
        <f>IF($B797&lt;&gt;"",INDEX(DataOB[],FirstRow+ROW()-7,MATCH(U$6,DataOB[#Headers],0)),"")</f>
        <v/>
      </c>
      <c r="V797" s="67" t="str">
        <f>IF($B797&lt;&gt;"",INDEX(DataOB[],FirstRow+ROW()-7,MATCH(V$6,DataOB[#Headers],0)),"")</f>
        <v/>
      </c>
      <c r="W797" s="67" t="str">
        <f>IF($B797&lt;&gt;"",INDEX(DataOB[],FirstRow+ROW()-7,MATCH(W$6,DataOB[#Headers],0)),"")</f>
        <v/>
      </c>
      <c r="X797" s="67" t="str">
        <f>IF($B797&lt;&gt;"",INDEX(DataOB[],FirstRow+ROW()-7,MATCH(X$6,DataOB[#Headers],0)),"")</f>
        <v/>
      </c>
      <c r="Y797" s="67" t="str">
        <f>IF($B797&lt;&gt;"",INDEX(DataOB[],FirstRow+ROW()-7,MATCH(Y$6,DataOB[#Headers],0)),"")</f>
        <v/>
      </c>
      <c r="Z797" s="67" t="str">
        <f>IF($B797&lt;&gt;"",INDEX(DataOB[],FirstRow+ROW()-7,MATCH(Z$6,DataOB[#Headers],0)),"")</f>
        <v/>
      </c>
      <c r="AA797" s="67" t="str">
        <f>IF($B797&lt;&gt;"",INDEX(DataOB[],FirstRow+ROW()-7,MATCH(AA$6,DataOB[#Headers],0)),"")</f>
        <v/>
      </c>
      <c r="AB797" s="67" t="str">
        <f>IF($B797&lt;&gt;"",INDEX(DataOB[],FirstRow+ROW()-7,MATCH(AB$6,DataOB[#Headers],0)),"")</f>
        <v/>
      </c>
      <c r="AC797" s="67" t="str">
        <f>IF($B797&lt;&gt;"",INDEX(DataOB[],FirstRow+ROW()-7,MATCH(AC$6,DataOB[#Headers],0)),"")</f>
        <v/>
      </c>
      <c r="AD797" s="67" t="str">
        <f>IF($B797&lt;&gt;"",INDEX(DataOB[],FirstRow+ROW()-7,MATCH(AD$6,DataOB[#Headers],0)),"")</f>
        <v/>
      </c>
      <c r="AE797" s="67" t="str">
        <f>IF($B797&lt;&gt;"",INDEX(DataOB[],FirstRow+ROW()-7,MATCH(AE$6,DataOB[#Headers],0)),"")</f>
        <v/>
      </c>
      <c r="AF797" s="26">
        <f t="shared" si="122"/>
        <v>0</v>
      </c>
      <c r="AG797" s="31">
        <f>SUM($T797:T797)</f>
        <v>0</v>
      </c>
      <c r="AH797" s="31">
        <f>SUM($T797:U797)</f>
        <v>0</v>
      </c>
      <c r="AI797" s="31">
        <f>SUM($T797:V797)</f>
        <v>0</v>
      </c>
      <c r="AJ797" s="31">
        <f>SUM($T797:W797)</f>
        <v>0</v>
      </c>
      <c r="AK797" s="31">
        <f>SUM($T797:X797)</f>
        <v>0</v>
      </c>
      <c r="AL797" s="31">
        <f>SUM($T797:Y797)</f>
        <v>0</v>
      </c>
      <c r="AM797" s="31">
        <f>SUM($T797:Z797)</f>
        <v>0</v>
      </c>
      <c r="AN797" s="31">
        <f>SUM($T797:AA797)</f>
        <v>0</v>
      </c>
      <c r="AO797" s="31">
        <f>SUM($T797:AB797)</f>
        <v>0</v>
      </c>
      <c r="AP797" s="31">
        <f>SUM($T797:AC797)</f>
        <v>0</v>
      </c>
      <c r="AQ797" s="31">
        <f>SUM($T797:AD797)</f>
        <v>0</v>
      </c>
      <c r="AR797" s="31">
        <f>SUM($T797:AE797)</f>
        <v>0</v>
      </c>
      <c r="AS797" s="27">
        <f t="shared" si="123"/>
        <v>0</v>
      </c>
    </row>
    <row r="798" spans="2:45">
      <c r="B798" s="102" t="str">
        <f>IF(ROW()-6&gt;NumCostCenter,"",IF(CostCenter&lt;&gt;"ALL",CostCenter,DATA_LF2!B796))</f>
        <v/>
      </c>
      <c r="C798" s="153" t="str">
        <f>IF($B798&lt;&gt;"",INDEX(DataOB[],FirstRow+ROW()-7,2),"")</f>
        <v/>
      </c>
      <c r="D798" s="66" t="str">
        <f>IF($B798&lt;&gt;"",INDEX(DataOB[],FirstRow+ROW()-7,3),"")</f>
        <v/>
      </c>
      <c r="E798" s="103" t="str">
        <f>IF($B798&lt;&gt;"",INDEX(DataOB[],FirstRow+ROW()-7,6),"")</f>
        <v/>
      </c>
      <c r="F798" s="103" t="str">
        <f>IF($B798&lt;&gt;"",INDEX(DataOB[],FirstRow+ROW()-7,5),"")</f>
        <v/>
      </c>
      <c r="G798" s="58">
        <f>IF($B798&lt;&gt;"",SUMIFS(DataAct_tbl[AMOUNT],DataAct_tbl[BG CODE],Detail!$D798,DataAct_tbl[MONTH],LEFT(MonthName,3),DataAct_tbl[Dept code],$B798),0)</f>
        <v>0</v>
      </c>
      <c r="H798" s="31" t="str">
        <f t="shared" si="115"/>
        <v/>
      </c>
      <c r="I798" s="28" t="str">
        <f t="shared" si="116"/>
        <v/>
      </c>
      <c r="J798" s="32" t="str">
        <f t="shared" si="117"/>
        <v/>
      </c>
      <c r="K798" s="86"/>
      <c r="L798" s="62">
        <f>IF($B798&lt;&gt;"",SUMIFS(DataAct_tbl[AMOUNT],DataAct_tbl[BG CODE],Detail!$D798,DataAct_tbl[Check Range],"=true",DataAct_tbl[Dept code],$B798),0)</f>
        <v>0</v>
      </c>
      <c r="M798" s="63">
        <f>INDEX($AG$7:$AR$1005,ROW()-6,MATCH(MTD,$AG$6:$AR$6,0))</f>
        <v>0</v>
      </c>
      <c r="N798" s="34">
        <f t="shared" si="118"/>
        <v>0</v>
      </c>
      <c r="O798" s="64" t="str">
        <f t="shared" si="119"/>
        <v xml:space="preserve"> </v>
      </c>
      <c r="Q798" s="97">
        <f t="shared" si="120"/>
        <v>0</v>
      </c>
      <c r="R798" s="96">
        <f t="shared" si="121"/>
        <v>0</v>
      </c>
      <c r="T798" s="67" t="str">
        <f>IF($B798&lt;&gt;"",INDEX(DataOB[],FirstRow+ROW()-7,MATCH(T$6,DataOB[#Headers],0)),"")</f>
        <v/>
      </c>
      <c r="U798" s="67" t="str">
        <f>IF($B798&lt;&gt;"",INDEX(DataOB[],FirstRow+ROW()-7,MATCH(U$6,DataOB[#Headers],0)),"")</f>
        <v/>
      </c>
      <c r="V798" s="67" t="str">
        <f>IF($B798&lt;&gt;"",INDEX(DataOB[],FirstRow+ROW()-7,MATCH(V$6,DataOB[#Headers],0)),"")</f>
        <v/>
      </c>
      <c r="W798" s="67" t="str">
        <f>IF($B798&lt;&gt;"",INDEX(DataOB[],FirstRow+ROW()-7,MATCH(W$6,DataOB[#Headers],0)),"")</f>
        <v/>
      </c>
      <c r="X798" s="67" t="str">
        <f>IF($B798&lt;&gt;"",INDEX(DataOB[],FirstRow+ROW()-7,MATCH(X$6,DataOB[#Headers],0)),"")</f>
        <v/>
      </c>
      <c r="Y798" s="67" t="str">
        <f>IF($B798&lt;&gt;"",INDEX(DataOB[],FirstRow+ROW()-7,MATCH(Y$6,DataOB[#Headers],0)),"")</f>
        <v/>
      </c>
      <c r="Z798" s="67" t="str">
        <f>IF($B798&lt;&gt;"",INDEX(DataOB[],FirstRow+ROW()-7,MATCH(Z$6,DataOB[#Headers],0)),"")</f>
        <v/>
      </c>
      <c r="AA798" s="67" t="str">
        <f>IF($B798&lt;&gt;"",INDEX(DataOB[],FirstRow+ROW()-7,MATCH(AA$6,DataOB[#Headers],0)),"")</f>
        <v/>
      </c>
      <c r="AB798" s="67" t="str">
        <f>IF($B798&lt;&gt;"",INDEX(DataOB[],FirstRow+ROW()-7,MATCH(AB$6,DataOB[#Headers],0)),"")</f>
        <v/>
      </c>
      <c r="AC798" s="67" t="str">
        <f>IF($B798&lt;&gt;"",INDEX(DataOB[],FirstRow+ROW()-7,MATCH(AC$6,DataOB[#Headers],0)),"")</f>
        <v/>
      </c>
      <c r="AD798" s="67" t="str">
        <f>IF($B798&lt;&gt;"",INDEX(DataOB[],FirstRow+ROW()-7,MATCH(AD$6,DataOB[#Headers],0)),"")</f>
        <v/>
      </c>
      <c r="AE798" s="67" t="str">
        <f>IF($B798&lt;&gt;"",INDEX(DataOB[],FirstRow+ROW()-7,MATCH(AE$6,DataOB[#Headers],0)),"")</f>
        <v/>
      </c>
      <c r="AF798" s="26">
        <f t="shared" si="122"/>
        <v>0</v>
      </c>
      <c r="AG798" s="31">
        <f>SUM($T798:T798)</f>
        <v>0</v>
      </c>
      <c r="AH798" s="31">
        <f>SUM($T798:U798)</f>
        <v>0</v>
      </c>
      <c r="AI798" s="31">
        <f>SUM($T798:V798)</f>
        <v>0</v>
      </c>
      <c r="AJ798" s="31">
        <f>SUM($T798:W798)</f>
        <v>0</v>
      </c>
      <c r="AK798" s="31">
        <f>SUM($T798:X798)</f>
        <v>0</v>
      </c>
      <c r="AL798" s="31">
        <f>SUM($T798:Y798)</f>
        <v>0</v>
      </c>
      <c r="AM798" s="31">
        <f>SUM($T798:Z798)</f>
        <v>0</v>
      </c>
      <c r="AN798" s="31">
        <f>SUM($T798:AA798)</f>
        <v>0</v>
      </c>
      <c r="AO798" s="31">
        <f>SUM($T798:AB798)</f>
        <v>0</v>
      </c>
      <c r="AP798" s="31">
        <f>SUM($T798:AC798)</f>
        <v>0</v>
      </c>
      <c r="AQ798" s="31">
        <f>SUM($T798:AD798)</f>
        <v>0</v>
      </c>
      <c r="AR798" s="31">
        <f>SUM($T798:AE798)</f>
        <v>0</v>
      </c>
      <c r="AS798" s="27">
        <f t="shared" si="123"/>
        <v>0</v>
      </c>
    </row>
    <row r="799" spans="2:45">
      <c r="B799" s="102" t="str">
        <f>IF(ROW()-6&gt;NumCostCenter,"",IF(CostCenter&lt;&gt;"ALL",CostCenter,DATA_LF2!B797))</f>
        <v/>
      </c>
      <c r="C799" s="153" t="str">
        <f>IF($B799&lt;&gt;"",INDEX(DataOB[],FirstRow+ROW()-7,2),"")</f>
        <v/>
      </c>
      <c r="D799" s="66" t="str">
        <f>IF($B799&lt;&gt;"",INDEX(DataOB[],FirstRow+ROW()-7,3),"")</f>
        <v/>
      </c>
      <c r="E799" s="103" t="str">
        <f>IF($B799&lt;&gt;"",INDEX(DataOB[],FirstRow+ROW()-7,6),"")</f>
        <v/>
      </c>
      <c r="F799" s="103" t="str">
        <f>IF($B799&lt;&gt;"",INDEX(DataOB[],FirstRow+ROW()-7,5),"")</f>
        <v/>
      </c>
      <c r="G799" s="58">
        <f>IF($B799&lt;&gt;"",SUMIFS(DataAct_tbl[AMOUNT],DataAct_tbl[BG CODE],Detail!$D799,DataAct_tbl[MONTH],LEFT(MonthName,3),DataAct_tbl[Dept code],$B799),0)</f>
        <v>0</v>
      </c>
      <c r="H799" s="31" t="str">
        <f t="shared" si="115"/>
        <v/>
      </c>
      <c r="I799" s="28" t="str">
        <f t="shared" si="116"/>
        <v/>
      </c>
      <c r="J799" s="32" t="str">
        <f t="shared" si="117"/>
        <v/>
      </c>
      <c r="K799" s="86"/>
      <c r="L799" s="62">
        <f>IF($B799&lt;&gt;"",SUMIFS(DataAct_tbl[AMOUNT],DataAct_tbl[BG CODE],Detail!$D799,DataAct_tbl[Check Range],"=true",DataAct_tbl[Dept code],$B799),0)</f>
        <v>0</v>
      </c>
      <c r="M799" s="63">
        <f>INDEX($AG$7:$AR$1005,ROW()-6,MATCH(MTD,$AG$6:$AR$6,0))</f>
        <v>0</v>
      </c>
      <c r="N799" s="34">
        <f t="shared" si="118"/>
        <v>0</v>
      </c>
      <c r="O799" s="64" t="str">
        <f t="shared" si="119"/>
        <v xml:space="preserve"> </v>
      </c>
      <c r="Q799" s="97">
        <f t="shared" si="120"/>
        <v>0</v>
      </c>
      <c r="R799" s="96">
        <f t="shared" si="121"/>
        <v>0</v>
      </c>
      <c r="T799" s="67" t="str">
        <f>IF($B799&lt;&gt;"",INDEX(DataOB[],FirstRow+ROW()-7,MATCH(T$6,DataOB[#Headers],0)),"")</f>
        <v/>
      </c>
      <c r="U799" s="67" t="str">
        <f>IF($B799&lt;&gt;"",INDEX(DataOB[],FirstRow+ROW()-7,MATCH(U$6,DataOB[#Headers],0)),"")</f>
        <v/>
      </c>
      <c r="V799" s="67" t="str">
        <f>IF($B799&lt;&gt;"",INDEX(DataOB[],FirstRow+ROW()-7,MATCH(V$6,DataOB[#Headers],0)),"")</f>
        <v/>
      </c>
      <c r="W799" s="67" t="str">
        <f>IF($B799&lt;&gt;"",INDEX(DataOB[],FirstRow+ROW()-7,MATCH(W$6,DataOB[#Headers],0)),"")</f>
        <v/>
      </c>
      <c r="X799" s="67" t="str">
        <f>IF($B799&lt;&gt;"",INDEX(DataOB[],FirstRow+ROW()-7,MATCH(X$6,DataOB[#Headers],0)),"")</f>
        <v/>
      </c>
      <c r="Y799" s="67" t="str">
        <f>IF($B799&lt;&gt;"",INDEX(DataOB[],FirstRow+ROW()-7,MATCH(Y$6,DataOB[#Headers],0)),"")</f>
        <v/>
      </c>
      <c r="Z799" s="67" t="str">
        <f>IF($B799&lt;&gt;"",INDEX(DataOB[],FirstRow+ROW()-7,MATCH(Z$6,DataOB[#Headers],0)),"")</f>
        <v/>
      </c>
      <c r="AA799" s="67" t="str">
        <f>IF($B799&lt;&gt;"",INDEX(DataOB[],FirstRow+ROW()-7,MATCH(AA$6,DataOB[#Headers],0)),"")</f>
        <v/>
      </c>
      <c r="AB799" s="67" t="str">
        <f>IF($B799&lt;&gt;"",INDEX(DataOB[],FirstRow+ROW()-7,MATCH(AB$6,DataOB[#Headers],0)),"")</f>
        <v/>
      </c>
      <c r="AC799" s="67" t="str">
        <f>IF($B799&lt;&gt;"",INDEX(DataOB[],FirstRow+ROW()-7,MATCH(AC$6,DataOB[#Headers],0)),"")</f>
        <v/>
      </c>
      <c r="AD799" s="67" t="str">
        <f>IF($B799&lt;&gt;"",INDEX(DataOB[],FirstRow+ROW()-7,MATCH(AD$6,DataOB[#Headers],0)),"")</f>
        <v/>
      </c>
      <c r="AE799" s="67" t="str">
        <f>IF($B799&lt;&gt;"",INDEX(DataOB[],FirstRow+ROW()-7,MATCH(AE$6,DataOB[#Headers],0)),"")</f>
        <v/>
      </c>
      <c r="AF799" s="26">
        <f t="shared" si="122"/>
        <v>0</v>
      </c>
      <c r="AG799" s="31">
        <f>SUM($T799:T799)</f>
        <v>0</v>
      </c>
      <c r="AH799" s="31">
        <f>SUM($T799:U799)</f>
        <v>0</v>
      </c>
      <c r="AI799" s="31">
        <f>SUM($T799:V799)</f>
        <v>0</v>
      </c>
      <c r="AJ799" s="31">
        <f>SUM($T799:W799)</f>
        <v>0</v>
      </c>
      <c r="AK799" s="31">
        <f>SUM($T799:X799)</f>
        <v>0</v>
      </c>
      <c r="AL799" s="31">
        <f>SUM($T799:Y799)</f>
        <v>0</v>
      </c>
      <c r="AM799" s="31">
        <f>SUM($T799:Z799)</f>
        <v>0</v>
      </c>
      <c r="AN799" s="31">
        <f>SUM($T799:AA799)</f>
        <v>0</v>
      </c>
      <c r="AO799" s="31">
        <f>SUM($T799:AB799)</f>
        <v>0</v>
      </c>
      <c r="AP799" s="31">
        <f>SUM($T799:AC799)</f>
        <v>0</v>
      </c>
      <c r="AQ799" s="31">
        <f>SUM($T799:AD799)</f>
        <v>0</v>
      </c>
      <c r="AR799" s="31">
        <f>SUM($T799:AE799)</f>
        <v>0</v>
      </c>
      <c r="AS799" s="27">
        <f t="shared" si="123"/>
        <v>0</v>
      </c>
    </row>
    <row r="800" spans="2:45">
      <c r="B800" s="102" t="str">
        <f>IF(ROW()-6&gt;NumCostCenter,"",IF(CostCenter&lt;&gt;"ALL",CostCenter,DATA_LF2!B798))</f>
        <v/>
      </c>
      <c r="C800" s="153" t="str">
        <f>IF($B800&lt;&gt;"",INDEX(DataOB[],FirstRow+ROW()-7,2),"")</f>
        <v/>
      </c>
      <c r="D800" s="66" t="str">
        <f>IF($B800&lt;&gt;"",INDEX(DataOB[],FirstRow+ROW()-7,3),"")</f>
        <v/>
      </c>
      <c r="E800" s="103" t="str">
        <f>IF($B800&lt;&gt;"",INDEX(DataOB[],FirstRow+ROW()-7,6),"")</f>
        <v/>
      </c>
      <c r="F800" s="103" t="str">
        <f>IF($B800&lt;&gt;"",INDEX(DataOB[],FirstRow+ROW()-7,5),"")</f>
        <v/>
      </c>
      <c r="G800" s="58">
        <f>IF($B800&lt;&gt;"",SUMIFS(DataAct_tbl[AMOUNT],DataAct_tbl[BG CODE],Detail!$D800,DataAct_tbl[MONTH],LEFT(MonthName,3),DataAct_tbl[Dept code],$B800),0)</f>
        <v>0</v>
      </c>
      <c r="H800" s="31" t="str">
        <f t="shared" si="115"/>
        <v/>
      </c>
      <c r="I800" s="28" t="str">
        <f t="shared" si="116"/>
        <v/>
      </c>
      <c r="J800" s="32" t="str">
        <f t="shared" si="117"/>
        <v/>
      </c>
      <c r="K800" s="86"/>
      <c r="L800" s="62">
        <f>IF($B800&lt;&gt;"",SUMIFS(DataAct_tbl[AMOUNT],DataAct_tbl[BG CODE],Detail!$D800,DataAct_tbl[Check Range],"=true",DataAct_tbl[Dept code],$B800),0)</f>
        <v>0</v>
      </c>
      <c r="M800" s="63">
        <f>INDEX($AG$7:$AR$1005,ROW()-6,MATCH(MTD,$AG$6:$AR$6,0))</f>
        <v>0</v>
      </c>
      <c r="N800" s="34">
        <f t="shared" si="118"/>
        <v>0</v>
      </c>
      <c r="O800" s="64" t="str">
        <f t="shared" si="119"/>
        <v xml:space="preserve"> </v>
      </c>
      <c r="Q800" s="97">
        <f t="shared" si="120"/>
        <v>0</v>
      </c>
      <c r="R800" s="96">
        <f t="shared" si="121"/>
        <v>0</v>
      </c>
      <c r="T800" s="67" t="str">
        <f>IF($B800&lt;&gt;"",INDEX(DataOB[],FirstRow+ROW()-7,MATCH(T$6,DataOB[#Headers],0)),"")</f>
        <v/>
      </c>
      <c r="U800" s="67" t="str">
        <f>IF($B800&lt;&gt;"",INDEX(DataOB[],FirstRow+ROW()-7,MATCH(U$6,DataOB[#Headers],0)),"")</f>
        <v/>
      </c>
      <c r="V800" s="67" t="str">
        <f>IF($B800&lt;&gt;"",INDEX(DataOB[],FirstRow+ROW()-7,MATCH(V$6,DataOB[#Headers],0)),"")</f>
        <v/>
      </c>
      <c r="W800" s="67" t="str">
        <f>IF($B800&lt;&gt;"",INDEX(DataOB[],FirstRow+ROW()-7,MATCH(W$6,DataOB[#Headers],0)),"")</f>
        <v/>
      </c>
      <c r="X800" s="67" t="str">
        <f>IF($B800&lt;&gt;"",INDEX(DataOB[],FirstRow+ROW()-7,MATCH(X$6,DataOB[#Headers],0)),"")</f>
        <v/>
      </c>
      <c r="Y800" s="67" t="str">
        <f>IF($B800&lt;&gt;"",INDEX(DataOB[],FirstRow+ROW()-7,MATCH(Y$6,DataOB[#Headers],0)),"")</f>
        <v/>
      </c>
      <c r="Z800" s="67" t="str">
        <f>IF($B800&lt;&gt;"",INDEX(DataOB[],FirstRow+ROW()-7,MATCH(Z$6,DataOB[#Headers],0)),"")</f>
        <v/>
      </c>
      <c r="AA800" s="67" t="str">
        <f>IF($B800&lt;&gt;"",INDEX(DataOB[],FirstRow+ROW()-7,MATCH(AA$6,DataOB[#Headers],0)),"")</f>
        <v/>
      </c>
      <c r="AB800" s="67" t="str">
        <f>IF($B800&lt;&gt;"",INDEX(DataOB[],FirstRow+ROW()-7,MATCH(AB$6,DataOB[#Headers],0)),"")</f>
        <v/>
      </c>
      <c r="AC800" s="67" t="str">
        <f>IF($B800&lt;&gt;"",INDEX(DataOB[],FirstRow+ROW()-7,MATCH(AC$6,DataOB[#Headers],0)),"")</f>
        <v/>
      </c>
      <c r="AD800" s="67" t="str">
        <f>IF($B800&lt;&gt;"",INDEX(DataOB[],FirstRow+ROW()-7,MATCH(AD$6,DataOB[#Headers],0)),"")</f>
        <v/>
      </c>
      <c r="AE800" s="67" t="str">
        <f>IF($B800&lt;&gt;"",INDEX(DataOB[],FirstRow+ROW()-7,MATCH(AE$6,DataOB[#Headers],0)),"")</f>
        <v/>
      </c>
      <c r="AF800" s="26">
        <f t="shared" si="122"/>
        <v>0</v>
      </c>
      <c r="AG800" s="31">
        <f>SUM($T800:T800)</f>
        <v>0</v>
      </c>
      <c r="AH800" s="31">
        <f>SUM($T800:U800)</f>
        <v>0</v>
      </c>
      <c r="AI800" s="31">
        <f>SUM($T800:V800)</f>
        <v>0</v>
      </c>
      <c r="AJ800" s="31">
        <f>SUM($T800:W800)</f>
        <v>0</v>
      </c>
      <c r="AK800" s="31">
        <f>SUM($T800:X800)</f>
        <v>0</v>
      </c>
      <c r="AL800" s="31">
        <f>SUM($T800:Y800)</f>
        <v>0</v>
      </c>
      <c r="AM800" s="31">
        <f>SUM($T800:Z800)</f>
        <v>0</v>
      </c>
      <c r="AN800" s="31">
        <f>SUM($T800:AA800)</f>
        <v>0</v>
      </c>
      <c r="AO800" s="31">
        <f>SUM($T800:AB800)</f>
        <v>0</v>
      </c>
      <c r="AP800" s="31">
        <f>SUM($T800:AC800)</f>
        <v>0</v>
      </c>
      <c r="AQ800" s="31">
        <f>SUM($T800:AD800)</f>
        <v>0</v>
      </c>
      <c r="AR800" s="31">
        <f>SUM($T800:AE800)</f>
        <v>0</v>
      </c>
      <c r="AS800" s="27">
        <f t="shared" si="123"/>
        <v>0</v>
      </c>
    </row>
    <row r="801" spans="2:45">
      <c r="B801" s="102" t="str">
        <f>IF(ROW()-6&gt;NumCostCenter,"",IF(CostCenter&lt;&gt;"ALL",CostCenter,DATA_LF2!B799))</f>
        <v/>
      </c>
      <c r="C801" s="153" t="str">
        <f>IF($B801&lt;&gt;"",INDEX(DataOB[],FirstRow+ROW()-7,2),"")</f>
        <v/>
      </c>
      <c r="D801" s="66" t="str">
        <f>IF($B801&lt;&gt;"",INDEX(DataOB[],FirstRow+ROW()-7,3),"")</f>
        <v/>
      </c>
      <c r="E801" s="103" t="str">
        <f>IF($B801&lt;&gt;"",INDEX(DataOB[],FirstRow+ROW()-7,6),"")</f>
        <v/>
      </c>
      <c r="F801" s="103" t="str">
        <f>IF($B801&lt;&gt;"",INDEX(DataOB[],FirstRow+ROW()-7,5),"")</f>
        <v/>
      </c>
      <c r="G801" s="58">
        <f>IF($B801&lt;&gt;"",SUMIFS(DataAct_tbl[AMOUNT],DataAct_tbl[BG CODE],Detail!$D801,DataAct_tbl[MONTH],LEFT(MonthName,3),DataAct_tbl[Dept code],$B801),0)</f>
        <v>0</v>
      </c>
      <c r="H801" s="31" t="str">
        <f t="shared" si="115"/>
        <v/>
      </c>
      <c r="I801" s="28" t="str">
        <f t="shared" si="116"/>
        <v/>
      </c>
      <c r="J801" s="32" t="str">
        <f t="shared" si="117"/>
        <v/>
      </c>
      <c r="K801" s="86"/>
      <c r="L801" s="62">
        <f>IF($B801&lt;&gt;"",SUMIFS(DataAct_tbl[AMOUNT],DataAct_tbl[BG CODE],Detail!$D801,DataAct_tbl[Check Range],"=true",DataAct_tbl[Dept code],$B801),0)</f>
        <v>0</v>
      </c>
      <c r="M801" s="63">
        <f>INDEX($AG$7:$AR$1005,ROW()-6,MATCH(MTD,$AG$6:$AR$6,0))</f>
        <v>0</v>
      </c>
      <c r="N801" s="34">
        <f t="shared" si="118"/>
        <v>0</v>
      </c>
      <c r="O801" s="64" t="str">
        <f t="shared" si="119"/>
        <v xml:space="preserve"> </v>
      </c>
      <c r="Q801" s="97">
        <f t="shared" si="120"/>
        <v>0</v>
      </c>
      <c r="R801" s="96">
        <f t="shared" si="121"/>
        <v>0</v>
      </c>
      <c r="T801" s="67" t="str">
        <f>IF($B801&lt;&gt;"",INDEX(DataOB[],FirstRow+ROW()-7,MATCH(T$6,DataOB[#Headers],0)),"")</f>
        <v/>
      </c>
      <c r="U801" s="67" t="str">
        <f>IF($B801&lt;&gt;"",INDEX(DataOB[],FirstRow+ROW()-7,MATCH(U$6,DataOB[#Headers],0)),"")</f>
        <v/>
      </c>
      <c r="V801" s="67" t="str">
        <f>IF($B801&lt;&gt;"",INDEX(DataOB[],FirstRow+ROW()-7,MATCH(V$6,DataOB[#Headers],0)),"")</f>
        <v/>
      </c>
      <c r="W801" s="67" t="str">
        <f>IF($B801&lt;&gt;"",INDEX(DataOB[],FirstRow+ROW()-7,MATCH(W$6,DataOB[#Headers],0)),"")</f>
        <v/>
      </c>
      <c r="X801" s="67" t="str">
        <f>IF($B801&lt;&gt;"",INDEX(DataOB[],FirstRow+ROW()-7,MATCH(X$6,DataOB[#Headers],0)),"")</f>
        <v/>
      </c>
      <c r="Y801" s="67" t="str">
        <f>IF($B801&lt;&gt;"",INDEX(DataOB[],FirstRow+ROW()-7,MATCH(Y$6,DataOB[#Headers],0)),"")</f>
        <v/>
      </c>
      <c r="Z801" s="67" t="str">
        <f>IF($B801&lt;&gt;"",INDEX(DataOB[],FirstRow+ROW()-7,MATCH(Z$6,DataOB[#Headers],0)),"")</f>
        <v/>
      </c>
      <c r="AA801" s="67" t="str">
        <f>IF($B801&lt;&gt;"",INDEX(DataOB[],FirstRow+ROW()-7,MATCH(AA$6,DataOB[#Headers],0)),"")</f>
        <v/>
      </c>
      <c r="AB801" s="67" t="str">
        <f>IF($B801&lt;&gt;"",INDEX(DataOB[],FirstRow+ROW()-7,MATCH(AB$6,DataOB[#Headers],0)),"")</f>
        <v/>
      </c>
      <c r="AC801" s="67" t="str">
        <f>IF($B801&lt;&gt;"",INDEX(DataOB[],FirstRow+ROW()-7,MATCH(AC$6,DataOB[#Headers],0)),"")</f>
        <v/>
      </c>
      <c r="AD801" s="67" t="str">
        <f>IF($B801&lt;&gt;"",INDEX(DataOB[],FirstRow+ROW()-7,MATCH(AD$6,DataOB[#Headers],0)),"")</f>
        <v/>
      </c>
      <c r="AE801" s="67" t="str">
        <f>IF($B801&lt;&gt;"",INDEX(DataOB[],FirstRow+ROW()-7,MATCH(AE$6,DataOB[#Headers],0)),"")</f>
        <v/>
      </c>
      <c r="AF801" s="26">
        <f t="shared" si="122"/>
        <v>0</v>
      </c>
      <c r="AG801" s="31">
        <f>SUM($T801:T801)</f>
        <v>0</v>
      </c>
      <c r="AH801" s="31">
        <f>SUM($T801:U801)</f>
        <v>0</v>
      </c>
      <c r="AI801" s="31">
        <f>SUM($T801:V801)</f>
        <v>0</v>
      </c>
      <c r="AJ801" s="31">
        <f>SUM($T801:W801)</f>
        <v>0</v>
      </c>
      <c r="AK801" s="31">
        <f>SUM($T801:X801)</f>
        <v>0</v>
      </c>
      <c r="AL801" s="31">
        <f>SUM($T801:Y801)</f>
        <v>0</v>
      </c>
      <c r="AM801" s="31">
        <f>SUM($T801:Z801)</f>
        <v>0</v>
      </c>
      <c r="AN801" s="31">
        <f>SUM($T801:AA801)</f>
        <v>0</v>
      </c>
      <c r="AO801" s="31">
        <f>SUM($T801:AB801)</f>
        <v>0</v>
      </c>
      <c r="AP801" s="31">
        <f>SUM($T801:AC801)</f>
        <v>0</v>
      </c>
      <c r="AQ801" s="31">
        <f>SUM($T801:AD801)</f>
        <v>0</v>
      </c>
      <c r="AR801" s="31">
        <f>SUM($T801:AE801)</f>
        <v>0</v>
      </c>
      <c r="AS801" s="27">
        <f t="shared" si="123"/>
        <v>0</v>
      </c>
    </row>
    <row r="802" spans="2:45">
      <c r="B802" s="102" t="str">
        <f>IF(ROW()-6&gt;NumCostCenter,"",IF(CostCenter&lt;&gt;"ALL",CostCenter,DATA_LF2!B800))</f>
        <v/>
      </c>
      <c r="C802" s="153" t="str">
        <f>IF($B802&lt;&gt;"",INDEX(DataOB[],FirstRow+ROW()-7,2),"")</f>
        <v/>
      </c>
      <c r="D802" s="66" t="str">
        <f>IF($B802&lt;&gt;"",INDEX(DataOB[],FirstRow+ROW()-7,3),"")</f>
        <v/>
      </c>
      <c r="E802" s="103" t="str">
        <f>IF($B802&lt;&gt;"",INDEX(DataOB[],FirstRow+ROW()-7,6),"")</f>
        <v/>
      </c>
      <c r="F802" s="103" t="str">
        <f>IF($B802&lt;&gt;"",INDEX(DataOB[],FirstRow+ROW()-7,5),"")</f>
        <v/>
      </c>
      <c r="G802" s="58">
        <f>IF($B802&lt;&gt;"",SUMIFS(DataAct_tbl[AMOUNT],DataAct_tbl[BG CODE],Detail!$D802,DataAct_tbl[MONTH],LEFT(MonthName,3),DataAct_tbl[Dept code],$B802),0)</f>
        <v>0</v>
      </c>
      <c r="H802" s="31" t="str">
        <f t="shared" si="115"/>
        <v/>
      </c>
      <c r="I802" s="28" t="str">
        <f t="shared" si="116"/>
        <v/>
      </c>
      <c r="J802" s="32" t="str">
        <f t="shared" si="117"/>
        <v/>
      </c>
      <c r="K802" s="86"/>
      <c r="L802" s="62">
        <f>IF($B802&lt;&gt;"",SUMIFS(DataAct_tbl[AMOUNT],DataAct_tbl[BG CODE],Detail!$D802,DataAct_tbl[Check Range],"=true",DataAct_tbl[Dept code],$B802),0)</f>
        <v>0</v>
      </c>
      <c r="M802" s="63">
        <f>INDEX($AG$7:$AR$1005,ROW()-6,MATCH(MTD,$AG$6:$AR$6,0))</f>
        <v>0</v>
      </c>
      <c r="N802" s="34">
        <f t="shared" si="118"/>
        <v>0</v>
      </c>
      <c r="O802" s="64" t="str">
        <f t="shared" si="119"/>
        <v xml:space="preserve"> </v>
      </c>
      <c r="Q802" s="97">
        <f t="shared" si="120"/>
        <v>0</v>
      </c>
      <c r="R802" s="96">
        <f t="shared" si="121"/>
        <v>0</v>
      </c>
      <c r="T802" s="67" t="str">
        <f>IF($B802&lt;&gt;"",INDEX(DataOB[],FirstRow+ROW()-7,MATCH(T$6,DataOB[#Headers],0)),"")</f>
        <v/>
      </c>
      <c r="U802" s="67" t="str">
        <f>IF($B802&lt;&gt;"",INDEX(DataOB[],FirstRow+ROW()-7,MATCH(U$6,DataOB[#Headers],0)),"")</f>
        <v/>
      </c>
      <c r="V802" s="67" t="str">
        <f>IF($B802&lt;&gt;"",INDEX(DataOB[],FirstRow+ROW()-7,MATCH(V$6,DataOB[#Headers],0)),"")</f>
        <v/>
      </c>
      <c r="W802" s="67" t="str">
        <f>IF($B802&lt;&gt;"",INDEX(DataOB[],FirstRow+ROW()-7,MATCH(W$6,DataOB[#Headers],0)),"")</f>
        <v/>
      </c>
      <c r="X802" s="67" t="str">
        <f>IF($B802&lt;&gt;"",INDEX(DataOB[],FirstRow+ROW()-7,MATCH(X$6,DataOB[#Headers],0)),"")</f>
        <v/>
      </c>
      <c r="Y802" s="67" t="str">
        <f>IF($B802&lt;&gt;"",INDEX(DataOB[],FirstRow+ROW()-7,MATCH(Y$6,DataOB[#Headers],0)),"")</f>
        <v/>
      </c>
      <c r="Z802" s="67" t="str">
        <f>IF($B802&lt;&gt;"",INDEX(DataOB[],FirstRow+ROW()-7,MATCH(Z$6,DataOB[#Headers],0)),"")</f>
        <v/>
      </c>
      <c r="AA802" s="67" t="str">
        <f>IF($B802&lt;&gt;"",INDEX(DataOB[],FirstRow+ROW()-7,MATCH(AA$6,DataOB[#Headers],0)),"")</f>
        <v/>
      </c>
      <c r="AB802" s="67" t="str">
        <f>IF($B802&lt;&gt;"",INDEX(DataOB[],FirstRow+ROW()-7,MATCH(AB$6,DataOB[#Headers],0)),"")</f>
        <v/>
      </c>
      <c r="AC802" s="67" t="str">
        <f>IF($B802&lt;&gt;"",INDEX(DataOB[],FirstRow+ROW()-7,MATCH(AC$6,DataOB[#Headers],0)),"")</f>
        <v/>
      </c>
      <c r="AD802" s="67" t="str">
        <f>IF($B802&lt;&gt;"",INDEX(DataOB[],FirstRow+ROW()-7,MATCH(AD$6,DataOB[#Headers],0)),"")</f>
        <v/>
      </c>
      <c r="AE802" s="67" t="str">
        <f>IF($B802&lt;&gt;"",INDEX(DataOB[],FirstRow+ROW()-7,MATCH(AE$6,DataOB[#Headers],0)),"")</f>
        <v/>
      </c>
      <c r="AF802" s="26">
        <f t="shared" si="122"/>
        <v>0</v>
      </c>
      <c r="AG802" s="31">
        <f>SUM($T802:T802)</f>
        <v>0</v>
      </c>
      <c r="AH802" s="31">
        <f>SUM($T802:U802)</f>
        <v>0</v>
      </c>
      <c r="AI802" s="31">
        <f>SUM($T802:V802)</f>
        <v>0</v>
      </c>
      <c r="AJ802" s="31">
        <f>SUM($T802:W802)</f>
        <v>0</v>
      </c>
      <c r="AK802" s="31">
        <f>SUM($T802:X802)</f>
        <v>0</v>
      </c>
      <c r="AL802" s="31">
        <f>SUM($T802:Y802)</f>
        <v>0</v>
      </c>
      <c r="AM802" s="31">
        <f>SUM($T802:Z802)</f>
        <v>0</v>
      </c>
      <c r="AN802" s="31">
        <f>SUM($T802:AA802)</f>
        <v>0</v>
      </c>
      <c r="AO802" s="31">
        <f>SUM($T802:AB802)</f>
        <v>0</v>
      </c>
      <c r="AP802" s="31">
        <f>SUM($T802:AC802)</f>
        <v>0</v>
      </c>
      <c r="AQ802" s="31">
        <f>SUM($T802:AD802)</f>
        <v>0</v>
      </c>
      <c r="AR802" s="31">
        <f>SUM($T802:AE802)</f>
        <v>0</v>
      </c>
      <c r="AS802" s="27">
        <f t="shared" si="123"/>
        <v>0</v>
      </c>
    </row>
    <row r="803" spans="2:45">
      <c r="B803" s="102" t="str">
        <f>IF(ROW()-6&gt;NumCostCenter,"",IF(CostCenter&lt;&gt;"ALL",CostCenter,DATA_LF2!B801))</f>
        <v/>
      </c>
      <c r="C803" s="153" t="str">
        <f>IF($B803&lt;&gt;"",INDEX(DataOB[],FirstRow+ROW()-7,2),"")</f>
        <v/>
      </c>
      <c r="D803" s="66" t="str">
        <f>IF($B803&lt;&gt;"",INDEX(DataOB[],FirstRow+ROW()-7,3),"")</f>
        <v/>
      </c>
      <c r="E803" s="103" t="str">
        <f>IF($B803&lt;&gt;"",INDEX(DataOB[],FirstRow+ROW()-7,6),"")</f>
        <v/>
      </c>
      <c r="F803" s="103" t="str">
        <f>IF($B803&lt;&gt;"",INDEX(DataOB[],FirstRow+ROW()-7,5),"")</f>
        <v/>
      </c>
      <c r="G803" s="58">
        <f>IF($B803&lt;&gt;"",SUMIFS(DataAct_tbl[AMOUNT],DataAct_tbl[BG CODE],Detail!$D803,DataAct_tbl[MONTH],LEFT(MonthName,3),DataAct_tbl[Dept code],$B803),0)</f>
        <v>0</v>
      </c>
      <c r="H803" s="31" t="str">
        <f t="shared" si="115"/>
        <v/>
      </c>
      <c r="I803" s="28" t="str">
        <f t="shared" si="116"/>
        <v/>
      </c>
      <c r="J803" s="32" t="str">
        <f t="shared" si="117"/>
        <v/>
      </c>
      <c r="K803" s="86"/>
      <c r="L803" s="62">
        <f>IF($B803&lt;&gt;"",SUMIFS(DataAct_tbl[AMOUNT],DataAct_tbl[BG CODE],Detail!$D803,DataAct_tbl[Check Range],"=true",DataAct_tbl[Dept code],$B803),0)</f>
        <v>0</v>
      </c>
      <c r="M803" s="63">
        <f>INDEX($AG$7:$AR$1005,ROW()-6,MATCH(MTD,$AG$6:$AR$6,0))</f>
        <v>0</v>
      </c>
      <c r="N803" s="34">
        <f t="shared" si="118"/>
        <v>0</v>
      </c>
      <c r="O803" s="64" t="str">
        <f t="shared" si="119"/>
        <v xml:space="preserve"> </v>
      </c>
      <c r="Q803" s="97">
        <f t="shared" si="120"/>
        <v>0</v>
      </c>
      <c r="R803" s="96">
        <f t="shared" si="121"/>
        <v>0</v>
      </c>
      <c r="T803" s="67" t="str">
        <f>IF($B803&lt;&gt;"",INDEX(DataOB[],FirstRow+ROW()-7,MATCH(T$6,DataOB[#Headers],0)),"")</f>
        <v/>
      </c>
      <c r="U803" s="67" t="str">
        <f>IF($B803&lt;&gt;"",INDEX(DataOB[],FirstRow+ROW()-7,MATCH(U$6,DataOB[#Headers],0)),"")</f>
        <v/>
      </c>
      <c r="V803" s="67" t="str">
        <f>IF($B803&lt;&gt;"",INDEX(DataOB[],FirstRow+ROW()-7,MATCH(V$6,DataOB[#Headers],0)),"")</f>
        <v/>
      </c>
      <c r="W803" s="67" t="str">
        <f>IF($B803&lt;&gt;"",INDEX(DataOB[],FirstRow+ROW()-7,MATCH(W$6,DataOB[#Headers],0)),"")</f>
        <v/>
      </c>
      <c r="X803" s="67" t="str">
        <f>IF($B803&lt;&gt;"",INDEX(DataOB[],FirstRow+ROW()-7,MATCH(X$6,DataOB[#Headers],0)),"")</f>
        <v/>
      </c>
      <c r="Y803" s="67" t="str">
        <f>IF($B803&lt;&gt;"",INDEX(DataOB[],FirstRow+ROW()-7,MATCH(Y$6,DataOB[#Headers],0)),"")</f>
        <v/>
      </c>
      <c r="Z803" s="67" t="str">
        <f>IF($B803&lt;&gt;"",INDEX(DataOB[],FirstRow+ROW()-7,MATCH(Z$6,DataOB[#Headers],0)),"")</f>
        <v/>
      </c>
      <c r="AA803" s="67" t="str">
        <f>IF($B803&lt;&gt;"",INDEX(DataOB[],FirstRow+ROW()-7,MATCH(AA$6,DataOB[#Headers],0)),"")</f>
        <v/>
      </c>
      <c r="AB803" s="67" t="str">
        <f>IF($B803&lt;&gt;"",INDEX(DataOB[],FirstRow+ROW()-7,MATCH(AB$6,DataOB[#Headers],0)),"")</f>
        <v/>
      </c>
      <c r="AC803" s="67" t="str">
        <f>IF($B803&lt;&gt;"",INDEX(DataOB[],FirstRow+ROW()-7,MATCH(AC$6,DataOB[#Headers],0)),"")</f>
        <v/>
      </c>
      <c r="AD803" s="67" t="str">
        <f>IF($B803&lt;&gt;"",INDEX(DataOB[],FirstRow+ROW()-7,MATCH(AD$6,DataOB[#Headers],0)),"")</f>
        <v/>
      </c>
      <c r="AE803" s="67" t="str">
        <f>IF($B803&lt;&gt;"",INDEX(DataOB[],FirstRow+ROW()-7,MATCH(AE$6,DataOB[#Headers],0)),"")</f>
        <v/>
      </c>
      <c r="AF803" s="26">
        <f t="shared" si="122"/>
        <v>0</v>
      </c>
      <c r="AG803" s="31">
        <f>SUM($T803:T803)</f>
        <v>0</v>
      </c>
      <c r="AH803" s="31">
        <f>SUM($T803:U803)</f>
        <v>0</v>
      </c>
      <c r="AI803" s="31">
        <f>SUM($T803:V803)</f>
        <v>0</v>
      </c>
      <c r="AJ803" s="31">
        <f>SUM($T803:W803)</f>
        <v>0</v>
      </c>
      <c r="AK803" s="31">
        <f>SUM($T803:X803)</f>
        <v>0</v>
      </c>
      <c r="AL803" s="31">
        <f>SUM($T803:Y803)</f>
        <v>0</v>
      </c>
      <c r="AM803" s="31">
        <f>SUM($T803:Z803)</f>
        <v>0</v>
      </c>
      <c r="AN803" s="31">
        <f>SUM($T803:AA803)</f>
        <v>0</v>
      </c>
      <c r="AO803" s="31">
        <f>SUM($T803:AB803)</f>
        <v>0</v>
      </c>
      <c r="AP803" s="31">
        <f>SUM($T803:AC803)</f>
        <v>0</v>
      </c>
      <c r="AQ803" s="31">
        <f>SUM($T803:AD803)</f>
        <v>0</v>
      </c>
      <c r="AR803" s="31">
        <f>SUM($T803:AE803)</f>
        <v>0</v>
      </c>
      <c r="AS803" s="27">
        <f t="shared" si="123"/>
        <v>0</v>
      </c>
    </row>
    <row r="804" spans="2:45">
      <c r="B804" s="102" t="str">
        <f>IF(ROW()-6&gt;NumCostCenter,"",IF(CostCenter&lt;&gt;"ALL",CostCenter,DATA_LF2!B802))</f>
        <v/>
      </c>
      <c r="C804" s="153" t="str">
        <f>IF($B804&lt;&gt;"",INDEX(DataOB[],FirstRow+ROW()-7,2),"")</f>
        <v/>
      </c>
      <c r="D804" s="66" t="str">
        <f>IF($B804&lt;&gt;"",INDEX(DataOB[],FirstRow+ROW()-7,3),"")</f>
        <v/>
      </c>
      <c r="E804" s="103" t="str">
        <f>IF($B804&lt;&gt;"",INDEX(DataOB[],FirstRow+ROW()-7,6),"")</f>
        <v/>
      </c>
      <c r="F804" s="103" t="str">
        <f>IF($B804&lt;&gt;"",INDEX(DataOB[],FirstRow+ROW()-7,5),"")</f>
        <v/>
      </c>
      <c r="G804" s="58">
        <f>IF($B804&lt;&gt;"",SUMIFS(DataAct_tbl[AMOUNT],DataAct_tbl[BG CODE],Detail!$D804,DataAct_tbl[MONTH],LEFT(MonthName,3),DataAct_tbl[Dept code],$B804),0)</f>
        <v>0</v>
      </c>
      <c r="H804" s="31" t="str">
        <f t="shared" si="115"/>
        <v/>
      </c>
      <c r="I804" s="28" t="str">
        <f t="shared" si="116"/>
        <v/>
      </c>
      <c r="J804" s="32" t="str">
        <f t="shared" si="117"/>
        <v/>
      </c>
      <c r="K804" s="86"/>
      <c r="L804" s="62">
        <f>IF($B804&lt;&gt;"",SUMIFS(DataAct_tbl[AMOUNT],DataAct_tbl[BG CODE],Detail!$D804,DataAct_tbl[Check Range],"=true",DataAct_tbl[Dept code],$B804),0)</f>
        <v>0</v>
      </c>
      <c r="M804" s="63">
        <f>INDEX($AG$7:$AR$1005,ROW()-6,MATCH(MTD,$AG$6:$AR$6,0))</f>
        <v>0</v>
      </c>
      <c r="N804" s="34">
        <f t="shared" si="118"/>
        <v>0</v>
      </c>
      <c r="O804" s="64" t="str">
        <f t="shared" si="119"/>
        <v xml:space="preserve"> </v>
      </c>
      <c r="Q804" s="97">
        <f t="shared" si="120"/>
        <v>0</v>
      </c>
      <c r="R804" s="96">
        <f t="shared" si="121"/>
        <v>0</v>
      </c>
      <c r="T804" s="67" t="str">
        <f>IF($B804&lt;&gt;"",INDEX(DataOB[],FirstRow+ROW()-7,MATCH(T$6,DataOB[#Headers],0)),"")</f>
        <v/>
      </c>
      <c r="U804" s="67" t="str">
        <f>IF($B804&lt;&gt;"",INDEX(DataOB[],FirstRow+ROW()-7,MATCH(U$6,DataOB[#Headers],0)),"")</f>
        <v/>
      </c>
      <c r="V804" s="67" t="str">
        <f>IF($B804&lt;&gt;"",INDEX(DataOB[],FirstRow+ROW()-7,MATCH(V$6,DataOB[#Headers],0)),"")</f>
        <v/>
      </c>
      <c r="W804" s="67" t="str">
        <f>IF($B804&lt;&gt;"",INDEX(DataOB[],FirstRow+ROW()-7,MATCH(W$6,DataOB[#Headers],0)),"")</f>
        <v/>
      </c>
      <c r="X804" s="67" t="str">
        <f>IF($B804&lt;&gt;"",INDEX(DataOB[],FirstRow+ROW()-7,MATCH(X$6,DataOB[#Headers],0)),"")</f>
        <v/>
      </c>
      <c r="Y804" s="67" t="str">
        <f>IF($B804&lt;&gt;"",INDEX(DataOB[],FirstRow+ROW()-7,MATCH(Y$6,DataOB[#Headers],0)),"")</f>
        <v/>
      </c>
      <c r="Z804" s="67" t="str">
        <f>IF($B804&lt;&gt;"",INDEX(DataOB[],FirstRow+ROW()-7,MATCH(Z$6,DataOB[#Headers],0)),"")</f>
        <v/>
      </c>
      <c r="AA804" s="67" t="str">
        <f>IF($B804&lt;&gt;"",INDEX(DataOB[],FirstRow+ROW()-7,MATCH(AA$6,DataOB[#Headers],0)),"")</f>
        <v/>
      </c>
      <c r="AB804" s="67" t="str">
        <f>IF($B804&lt;&gt;"",INDEX(DataOB[],FirstRow+ROW()-7,MATCH(AB$6,DataOB[#Headers],0)),"")</f>
        <v/>
      </c>
      <c r="AC804" s="67" t="str">
        <f>IF($B804&lt;&gt;"",INDEX(DataOB[],FirstRow+ROW()-7,MATCH(AC$6,DataOB[#Headers],0)),"")</f>
        <v/>
      </c>
      <c r="AD804" s="67" t="str">
        <f>IF($B804&lt;&gt;"",INDEX(DataOB[],FirstRow+ROW()-7,MATCH(AD$6,DataOB[#Headers],0)),"")</f>
        <v/>
      </c>
      <c r="AE804" s="67" t="str">
        <f>IF($B804&lt;&gt;"",INDEX(DataOB[],FirstRow+ROW()-7,MATCH(AE$6,DataOB[#Headers],0)),"")</f>
        <v/>
      </c>
      <c r="AF804" s="26">
        <f t="shared" si="122"/>
        <v>0</v>
      </c>
      <c r="AG804" s="31">
        <f>SUM($T804:T804)</f>
        <v>0</v>
      </c>
      <c r="AH804" s="31">
        <f>SUM($T804:U804)</f>
        <v>0</v>
      </c>
      <c r="AI804" s="31">
        <f>SUM($T804:V804)</f>
        <v>0</v>
      </c>
      <c r="AJ804" s="31">
        <f>SUM($T804:W804)</f>
        <v>0</v>
      </c>
      <c r="AK804" s="31">
        <f>SUM($T804:X804)</f>
        <v>0</v>
      </c>
      <c r="AL804" s="31">
        <f>SUM($T804:Y804)</f>
        <v>0</v>
      </c>
      <c r="AM804" s="31">
        <f>SUM($T804:Z804)</f>
        <v>0</v>
      </c>
      <c r="AN804" s="31">
        <f>SUM($T804:AA804)</f>
        <v>0</v>
      </c>
      <c r="AO804" s="31">
        <f>SUM($T804:AB804)</f>
        <v>0</v>
      </c>
      <c r="AP804" s="31">
        <f>SUM($T804:AC804)</f>
        <v>0</v>
      </c>
      <c r="AQ804" s="31">
        <f>SUM($T804:AD804)</f>
        <v>0</v>
      </c>
      <c r="AR804" s="31">
        <f>SUM($T804:AE804)</f>
        <v>0</v>
      </c>
      <c r="AS804" s="27">
        <f t="shared" si="123"/>
        <v>0</v>
      </c>
    </row>
    <row r="805" spans="2:45">
      <c r="B805" s="102" t="str">
        <f>IF(ROW()-6&gt;NumCostCenter,"",IF(CostCenter&lt;&gt;"ALL",CostCenter,DATA_LF2!B803))</f>
        <v/>
      </c>
      <c r="C805" s="153" t="str">
        <f>IF($B805&lt;&gt;"",INDEX(DataOB[],FirstRow+ROW()-7,2),"")</f>
        <v/>
      </c>
      <c r="D805" s="66" t="str">
        <f>IF($B805&lt;&gt;"",INDEX(DataOB[],FirstRow+ROW()-7,3),"")</f>
        <v/>
      </c>
      <c r="E805" s="103" t="str">
        <f>IF($B805&lt;&gt;"",INDEX(DataOB[],FirstRow+ROW()-7,6),"")</f>
        <v/>
      </c>
      <c r="F805" s="103" t="str">
        <f>IF($B805&lt;&gt;"",INDEX(DataOB[],FirstRow+ROW()-7,5),"")</f>
        <v/>
      </c>
      <c r="G805" s="58">
        <f>IF($B805&lt;&gt;"",SUMIFS(DataAct_tbl[AMOUNT],DataAct_tbl[BG CODE],Detail!$D805,DataAct_tbl[MONTH],LEFT(MonthName,3),DataAct_tbl[Dept code],$B805),0)</f>
        <v>0</v>
      </c>
      <c r="H805" s="31" t="str">
        <f t="shared" si="115"/>
        <v/>
      </c>
      <c r="I805" s="28" t="str">
        <f t="shared" si="116"/>
        <v/>
      </c>
      <c r="J805" s="32" t="str">
        <f t="shared" si="117"/>
        <v/>
      </c>
      <c r="K805" s="86"/>
      <c r="L805" s="62">
        <f>IF($B805&lt;&gt;"",SUMIFS(DataAct_tbl[AMOUNT],DataAct_tbl[BG CODE],Detail!$D805,DataAct_tbl[Check Range],"=true",DataAct_tbl[Dept code],$B805),0)</f>
        <v>0</v>
      </c>
      <c r="M805" s="63">
        <f>INDEX($AG$7:$AR$1005,ROW()-6,MATCH(MTD,$AG$6:$AR$6,0))</f>
        <v>0</v>
      </c>
      <c r="N805" s="34">
        <f t="shared" si="118"/>
        <v>0</v>
      </c>
      <c r="O805" s="64" t="str">
        <f t="shared" si="119"/>
        <v xml:space="preserve"> </v>
      </c>
      <c r="Q805" s="97">
        <f t="shared" si="120"/>
        <v>0</v>
      </c>
      <c r="R805" s="96">
        <f t="shared" si="121"/>
        <v>0</v>
      </c>
      <c r="T805" s="67" t="str">
        <f>IF($B805&lt;&gt;"",INDEX(DataOB[],FirstRow+ROW()-7,MATCH(T$6,DataOB[#Headers],0)),"")</f>
        <v/>
      </c>
      <c r="U805" s="67" t="str">
        <f>IF($B805&lt;&gt;"",INDEX(DataOB[],FirstRow+ROW()-7,MATCH(U$6,DataOB[#Headers],0)),"")</f>
        <v/>
      </c>
      <c r="V805" s="67" t="str">
        <f>IF($B805&lt;&gt;"",INDEX(DataOB[],FirstRow+ROW()-7,MATCH(V$6,DataOB[#Headers],0)),"")</f>
        <v/>
      </c>
      <c r="W805" s="67" t="str">
        <f>IF($B805&lt;&gt;"",INDEX(DataOB[],FirstRow+ROW()-7,MATCH(W$6,DataOB[#Headers],0)),"")</f>
        <v/>
      </c>
      <c r="X805" s="67" t="str">
        <f>IF($B805&lt;&gt;"",INDEX(DataOB[],FirstRow+ROW()-7,MATCH(X$6,DataOB[#Headers],0)),"")</f>
        <v/>
      </c>
      <c r="Y805" s="67" t="str">
        <f>IF($B805&lt;&gt;"",INDEX(DataOB[],FirstRow+ROW()-7,MATCH(Y$6,DataOB[#Headers],0)),"")</f>
        <v/>
      </c>
      <c r="Z805" s="67" t="str">
        <f>IF($B805&lt;&gt;"",INDEX(DataOB[],FirstRow+ROW()-7,MATCH(Z$6,DataOB[#Headers],0)),"")</f>
        <v/>
      </c>
      <c r="AA805" s="67" t="str">
        <f>IF($B805&lt;&gt;"",INDEX(DataOB[],FirstRow+ROW()-7,MATCH(AA$6,DataOB[#Headers],0)),"")</f>
        <v/>
      </c>
      <c r="AB805" s="67" t="str">
        <f>IF($B805&lt;&gt;"",INDEX(DataOB[],FirstRow+ROW()-7,MATCH(AB$6,DataOB[#Headers],0)),"")</f>
        <v/>
      </c>
      <c r="AC805" s="67" t="str">
        <f>IF($B805&lt;&gt;"",INDEX(DataOB[],FirstRow+ROW()-7,MATCH(AC$6,DataOB[#Headers],0)),"")</f>
        <v/>
      </c>
      <c r="AD805" s="67" t="str">
        <f>IF($B805&lt;&gt;"",INDEX(DataOB[],FirstRow+ROW()-7,MATCH(AD$6,DataOB[#Headers],0)),"")</f>
        <v/>
      </c>
      <c r="AE805" s="67" t="str">
        <f>IF($B805&lt;&gt;"",INDEX(DataOB[],FirstRow+ROW()-7,MATCH(AE$6,DataOB[#Headers],0)),"")</f>
        <v/>
      </c>
      <c r="AF805" s="26">
        <f t="shared" si="122"/>
        <v>0</v>
      </c>
      <c r="AG805" s="31">
        <f>SUM($T805:T805)</f>
        <v>0</v>
      </c>
      <c r="AH805" s="31">
        <f>SUM($T805:U805)</f>
        <v>0</v>
      </c>
      <c r="AI805" s="31">
        <f>SUM($T805:V805)</f>
        <v>0</v>
      </c>
      <c r="AJ805" s="31">
        <f>SUM($T805:W805)</f>
        <v>0</v>
      </c>
      <c r="AK805" s="31">
        <f>SUM($T805:X805)</f>
        <v>0</v>
      </c>
      <c r="AL805" s="31">
        <f>SUM($T805:Y805)</f>
        <v>0</v>
      </c>
      <c r="AM805" s="31">
        <f>SUM($T805:Z805)</f>
        <v>0</v>
      </c>
      <c r="AN805" s="31">
        <f>SUM($T805:AA805)</f>
        <v>0</v>
      </c>
      <c r="AO805" s="31">
        <f>SUM($T805:AB805)</f>
        <v>0</v>
      </c>
      <c r="AP805" s="31">
        <f>SUM($T805:AC805)</f>
        <v>0</v>
      </c>
      <c r="AQ805" s="31">
        <f>SUM($T805:AD805)</f>
        <v>0</v>
      </c>
      <c r="AR805" s="31">
        <f>SUM($T805:AE805)</f>
        <v>0</v>
      </c>
      <c r="AS805" s="27">
        <f t="shared" si="123"/>
        <v>0</v>
      </c>
    </row>
    <row r="806" spans="2:45">
      <c r="B806" s="102" t="str">
        <f>IF(ROW()-6&gt;NumCostCenter,"",IF(CostCenter&lt;&gt;"ALL",CostCenter,DATA_LF2!B804))</f>
        <v/>
      </c>
      <c r="C806" s="153" t="str">
        <f>IF($B806&lt;&gt;"",INDEX(DataOB[],FirstRow+ROW()-7,2),"")</f>
        <v/>
      </c>
      <c r="D806" s="66" t="str">
        <f>IF($B806&lt;&gt;"",INDEX(DataOB[],FirstRow+ROW()-7,3),"")</f>
        <v/>
      </c>
      <c r="E806" s="103" t="str">
        <f>IF($B806&lt;&gt;"",INDEX(DataOB[],FirstRow+ROW()-7,6),"")</f>
        <v/>
      </c>
      <c r="F806" s="103" t="str">
        <f>IF($B806&lt;&gt;"",INDEX(DataOB[],FirstRow+ROW()-7,5),"")</f>
        <v/>
      </c>
      <c r="G806" s="58">
        <f>IF($B806&lt;&gt;"",SUMIFS(DataAct_tbl[AMOUNT],DataAct_tbl[BG CODE],Detail!$D806,DataAct_tbl[MONTH],LEFT(MonthName,3),DataAct_tbl[Dept code],$B806),0)</f>
        <v>0</v>
      </c>
      <c r="H806" s="31" t="str">
        <f t="shared" si="115"/>
        <v/>
      </c>
      <c r="I806" s="28" t="str">
        <f t="shared" si="116"/>
        <v/>
      </c>
      <c r="J806" s="32" t="str">
        <f t="shared" si="117"/>
        <v/>
      </c>
      <c r="K806" s="86"/>
      <c r="L806" s="62">
        <f>IF($B806&lt;&gt;"",SUMIFS(DataAct_tbl[AMOUNT],DataAct_tbl[BG CODE],Detail!$D806,DataAct_tbl[Check Range],"=true",DataAct_tbl[Dept code],$B806),0)</f>
        <v>0</v>
      </c>
      <c r="M806" s="63">
        <f>INDEX($AG$7:$AR$1005,ROW()-6,MATCH(MTD,$AG$6:$AR$6,0))</f>
        <v>0</v>
      </c>
      <c r="N806" s="34">
        <f t="shared" si="118"/>
        <v>0</v>
      </c>
      <c r="O806" s="64" t="str">
        <f t="shared" si="119"/>
        <v xml:space="preserve"> </v>
      </c>
      <c r="Q806" s="97">
        <f t="shared" si="120"/>
        <v>0</v>
      </c>
      <c r="R806" s="96">
        <f t="shared" si="121"/>
        <v>0</v>
      </c>
      <c r="T806" s="67" t="str">
        <f>IF($B806&lt;&gt;"",INDEX(DataOB[],FirstRow+ROW()-7,MATCH(T$6,DataOB[#Headers],0)),"")</f>
        <v/>
      </c>
      <c r="U806" s="67" t="str">
        <f>IF($B806&lt;&gt;"",INDEX(DataOB[],FirstRow+ROW()-7,MATCH(U$6,DataOB[#Headers],0)),"")</f>
        <v/>
      </c>
      <c r="V806" s="67" t="str">
        <f>IF($B806&lt;&gt;"",INDEX(DataOB[],FirstRow+ROW()-7,MATCH(V$6,DataOB[#Headers],0)),"")</f>
        <v/>
      </c>
      <c r="W806" s="67" t="str">
        <f>IF($B806&lt;&gt;"",INDEX(DataOB[],FirstRow+ROW()-7,MATCH(W$6,DataOB[#Headers],0)),"")</f>
        <v/>
      </c>
      <c r="X806" s="67" t="str">
        <f>IF($B806&lt;&gt;"",INDEX(DataOB[],FirstRow+ROW()-7,MATCH(X$6,DataOB[#Headers],0)),"")</f>
        <v/>
      </c>
      <c r="Y806" s="67" t="str">
        <f>IF($B806&lt;&gt;"",INDEX(DataOB[],FirstRow+ROW()-7,MATCH(Y$6,DataOB[#Headers],0)),"")</f>
        <v/>
      </c>
      <c r="Z806" s="67" t="str">
        <f>IF($B806&lt;&gt;"",INDEX(DataOB[],FirstRow+ROW()-7,MATCH(Z$6,DataOB[#Headers],0)),"")</f>
        <v/>
      </c>
      <c r="AA806" s="67" t="str">
        <f>IF($B806&lt;&gt;"",INDEX(DataOB[],FirstRow+ROW()-7,MATCH(AA$6,DataOB[#Headers],0)),"")</f>
        <v/>
      </c>
      <c r="AB806" s="67" t="str">
        <f>IF($B806&lt;&gt;"",INDEX(DataOB[],FirstRow+ROW()-7,MATCH(AB$6,DataOB[#Headers],0)),"")</f>
        <v/>
      </c>
      <c r="AC806" s="67" t="str">
        <f>IF($B806&lt;&gt;"",INDEX(DataOB[],FirstRow+ROW()-7,MATCH(AC$6,DataOB[#Headers],0)),"")</f>
        <v/>
      </c>
      <c r="AD806" s="67" t="str">
        <f>IF($B806&lt;&gt;"",INDEX(DataOB[],FirstRow+ROW()-7,MATCH(AD$6,DataOB[#Headers],0)),"")</f>
        <v/>
      </c>
      <c r="AE806" s="67" t="str">
        <f>IF($B806&lt;&gt;"",INDEX(DataOB[],FirstRow+ROW()-7,MATCH(AE$6,DataOB[#Headers],0)),"")</f>
        <v/>
      </c>
      <c r="AF806" s="26">
        <f t="shared" si="122"/>
        <v>0</v>
      </c>
      <c r="AG806" s="31">
        <f>SUM($T806:T806)</f>
        <v>0</v>
      </c>
      <c r="AH806" s="31">
        <f>SUM($T806:U806)</f>
        <v>0</v>
      </c>
      <c r="AI806" s="31">
        <f>SUM($T806:V806)</f>
        <v>0</v>
      </c>
      <c r="AJ806" s="31">
        <f>SUM($T806:W806)</f>
        <v>0</v>
      </c>
      <c r="AK806" s="31">
        <f>SUM($T806:X806)</f>
        <v>0</v>
      </c>
      <c r="AL806" s="31">
        <f>SUM($T806:Y806)</f>
        <v>0</v>
      </c>
      <c r="AM806" s="31">
        <f>SUM($T806:Z806)</f>
        <v>0</v>
      </c>
      <c r="AN806" s="31">
        <f>SUM($T806:AA806)</f>
        <v>0</v>
      </c>
      <c r="AO806" s="31">
        <f>SUM($T806:AB806)</f>
        <v>0</v>
      </c>
      <c r="AP806" s="31">
        <f>SUM($T806:AC806)</f>
        <v>0</v>
      </c>
      <c r="AQ806" s="31">
        <f>SUM($T806:AD806)</f>
        <v>0</v>
      </c>
      <c r="AR806" s="31">
        <f>SUM($T806:AE806)</f>
        <v>0</v>
      </c>
      <c r="AS806" s="27">
        <f t="shared" si="123"/>
        <v>0</v>
      </c>
    </row>
    <row r="807" spans="2:45">
      <c r="B807" s="102" t="str">
        <f>IF(ROW()-6&gt;NumCostCenter,"",IF(CostCenter&lt;&gt;"ALL",CostCenter,DATA_LF2!B805))</f>
        <v/>
      </c>
      <c r="C807" s="153" t="str">
        <f>IF($B807&lt;&gt;"",INDEX(DataOB[],FirstRow+ROW()-7,2),"")</f>
        <v/>
      </c>
      <c r="D807" s="66" t="str">
        <f>IF($B807&lt;&gt;"",INDEX(DataOB[],FirstRow+ROW()-7,3),"")</f>
        <v/>
      </c>
      <c r="E807" s="103" t="str">
        <f>IF($B807&lt;&gt;"",INDEX(DataOB[],FirstRow+ROW()-7,6),"")</f>
        <v/>
      </c>
      <c r="F807" s="103" t="str">
        <f>IF($B807&lt;&gt;"",INDEX(DataOB[],FirstRow+ROW()-7,5),"")</f>
        <v/>
      </c>
      <c r="G807" s="58">
        <f>IF($B807&lt;&gt;"",SUMIFS(DataAct_tbl[AMOUNT],DataAct_tbl[BG CODE],Detail!$D807,DataAct_tbl[MONTH],LEFT(MonthName,3),DataAct_tbl[Dept code],$B807),0)</f>
        <v>0</v>
      </c>
      <c r="H807" s="31" t="str">
        <f t="shared" si="115"/>
        <v/>
      </c>
      <c r="I807" s="28" t="str">
        <f t="shared" si="116"/>
        <v/>
      </c>
      <c r="J807" s="32" t="str">
        <f t="shared" si="117"/>
        <v/>
      </c>
      <c r="K807" s="86"/>
      <c r="L807" s="62">
        <f>IF($B807&lt;&gt;"",SUMIFS(DataAct_tbl[AMOUNT],DataAct_tbl[BG CODE],Detail!$D807,DataAct_tbl[Check Range],"=true",DataAct_tbl[Dept code],$B807),0)</f>
        <v>0</v>
      </c>
      <c r="M807" s="63">
        <f>INDEX($AG$7:$AR$1005,ROW()-6,MATCH(MTD,$AG$6:$AR$6,0))</f>
        <v>0</v>
      </c>
      <c r="N807" s="34">
        <f t="shared" si="118"/>
        <v>0</v>
      </c>
      <c r="O807" s="64" t="str">
        <f t="shared" si="119"/>
        <v xml:space="preserve"> </v>
      </c>
      <c r="Q807" s="97">
        <f t="shared" si="120"/>
        <v>0</v>
      </c>
      <c r="R807" s="96">
        <f t="shared" si="121"/>
        <v>0</v>
      </c>
      <c r="T807" s="67" t="str">
        <f>IF($B807&lt;&gt;"",INDEX(DataOB[],FirstRow+ROW()-7,MATCH(T$6,DataOB[#Headers],0)),"")</f>
        <v/>
      </c>
      <c r="U807" s="67" t="str">
        <f>IF($B807&lt;&gt;"",INDEX(DataOB[],FirstRow+ROW()-7,MATCH(U$6,DataOB[#Headers],0)),"")</f>
        <v/>
      </c>
      <c r="V807" s="67" t="str">
        <f>IF($B807&lt;&gt;"",INDEX(DataOB[],FirstRow+ROW()-7,MATCH(V$6,DataOB[#Headers],0)),"")</f>
        <v/>
      </c>
      <c r="W807" s="67" t="str">
        <f>IF($B807&lt;&gt;"",INDEX(DataOB[],FirstRow+ROW()-7,MATCH(W$6,DataOB[#Headers],0)),"")</f>
        <v/>
      </c>
      <c r="X807" s="67" t="str">
        <f>IF($B807&lt;&gt;"",INDEX(DataOB[],FirstRow+ROW()-7,MATCH(X$6,DataOB[#Headers],0)),"")</f>
        <v/>
      </c>
      <c r="Y807" s="67" t="str">
        <f>IF($B807&lt;&gt;"",INDEX(DataOB[],FirstRow+ROW()-7,MATCH(Y$6,DataOB[#Headers],0)),"")</f>
        <v/>
      </c>
      <c r="Z807" s="67" t="str">
        <f>IF($B807&lt;&gt;"",INDEX(DataOB[],FirstRow+ROW()-7,MATCH(Z$6,DataOB[#Headers],0)),"")</f>
        <v/>
      </c>
      <c r="AA807" s="67" t="str">
        <f>IF($B807&lt;&gt;"",INDEX(DataOB[],FirstRow+ROW()-7,MATCH(AA$6,DataOB[#Headers],0)),"")</f>
        <v/>
      </c>
      <c r="AB807" s="67" t="str">
        <f>IF($B807&lt;&gt;"",INDEX(DataOB[],FirstRow+ROW()-7,MATCH(AB$6,DataOB[#Headers],0)),"")</f>
        <v/>
      </c>
      <c r="AC807" s="67" t="str">
        <f>IF($B807&lt;&gt;"",INDEX(DataOB[],FirstRow+ROW()-7,MATCH(AC$6,DataOB[#Headers],0)),"")</f>
        <v/>
      </c>
      <c r="AD807" s="67" t="str">
        <f>IF($B807&lt;&gt;"",INDEX(DataOB[],FirstRow+ROW()-7,MATCH(AD$6,DataOB[#Headers],0)),"")</f>
        <v/>
      </c>
      <c r="AE807" s="67" t="str">
        <f>IF($B807&lt;&gt;"",INDEX(DataOB[],FirstRow+ROW()-7,MATCH(AE$6,DataOB[#Headers],0)),"")</f>
        <v/>
      </c>
      <c r="AF807" s="26">
        <f t="shared" si="122"/>
        <v>0</v>
      </c>
      <c r="AG807" s="31">
        <f>SUM($T807:T807)</f>
        <v>0</v>
      </c>
      <c r="AH807" s="31">
        <f>SUM($T807:U807)</f>
        <v>0</v>
      </c>
      <c r="AI807" s="31">
        <f>SUM($T807:V807)</f>
        <v>0</v>
      </c>
      <c r="AJ807" s="31">
        <f>SUM($T807:W807)</f>
        <v>0</v>
      </c>
      <c r="AK807" s="31">
        <f>SUM($T807:X807)</f>
        <v>0</v>
      </c>
      <c r="AL807" s="31">
        <f>SUM($T807:Y807)</f>
        <v>0</v>
      </c>
      <c r="AM807" s="31">
        <f>SUM($T807:Z807)</f>
        <v>0</v>
      </c>
      <c r="AN807" s="31">
        <f>SUM($T807:AA807)</f>
        <v>0</v>
      </c>
      <c r="AO807" s="31">
        <f>SUM($T807:AB807)</f>
        <v>0</v>
      </c>
      <c r="AP807" s="31">
        <f>SUM($T807:AC807)</f>
        <v>0</v>
      </c>
      <c r="AQ807" s="31">
        <f>SUM($T807:AD807)</f>
        <v>0</v>
      </c>
      <c r="AR807" s="31">
        <f>SUM($T807:AE807)</f>
        <v>0</v>
      </c>
      <c r="AS807" s="27">
        <f t="shared" si="123"/>
        <v>0</v>
      </c>
    </row>
    <row r="808" spans="2:45">
      <c r="B808" s="102" t="str">
        <f>IF(ROW()-6&gt;NumCostCenter,"",IF(CostCenter&lt;&gt;"ALL",CostCenter,DATA_LF2!B806))</f>
        <v/>
      </c>
      <c r="C808" s="153" t="str">
        <f>IF($B808&lt;&gt;"",INDEX(DataOB[],FirstRow+ROW()-7,2),"")</f>
        <v/>
      </c>
      <c r="D808" s="66" t="str">
        <f>IF($B808&lt;&gt;"",INDEX(DataOB[],FirstRow+ROW()-7,3),"")</f>
        <v/>
      </c>
      <c r="E808" s="103" t="str">
        <f>IF($B808&lt;&gt;"",INDEX(DataOB[],FirstRow+ROW()-7,6),"")</f>
        <v/>
      </c>
      <c r="F808" s="103" t="str">
        <f>IF($B808&lt;&gt;"",INDEX(DataOB[],FirstRow+ROW()-7,5),"")</f>
        <v/>
      </c>
      <c r="G808" s="58">
        <f>IF($B808&lt;&gt;"",SUMIFS(DataAct_tbl[AMOUNT],DataAct_tbl[BG CODE],Detail!$D808,DataAct_tbl[MONTH],LEFT(MonthName,3),DataAct_tbl[Dept code],$B808),0)</f>
        <v>0</v>
      </c>
      <c r="H808" s="31" t="str">
        <f t="shared" si="115"/>
        <v/>
      </c>
      <c r="I808" s="28" t="str">
        <f t="shared" si="116"/>
        <v/>
      </c>
      <c r="J808" s="32" t="str">
        <f t="shared" si="117"/>
        <v/>
      </c>
      <c r="K808" s="86"/>
      <c r="L808" s="62">
        <f>IF($B808&lt;&gt;"",SUMIFS(DataAct_tbl[AMOUNT],DataAct_tbl[BG CODE],Detail!$D808,DataAct_tbl[Check Range],"=true",DataAct_tbl[Dept code],$B808),0)</f>
        <v>0</v>
      </c>
      <c r="M808" s="63">
        <f>INDEX($AG$7:$AR$1005,ROW()-6,MATCH(MTD,$AG$6:$AR$6,0))</f>
        <v>0</v>
      </c>
      <c r="N808" s="34">
        <f t="shared" si="118"/>
        <v>0</v>
      </c>
      <c r="O808" s="64" t="str">
        <f t="shared" si="119"/>
        <v xml:space="preserve"> </v>
      </c>
      <c r="Q808" s="97">
        <f t="shared" si="120"/>
        <v>0</v>
      </c>
      <c r="R808" s="96">
        <f t="shared" si="121"/>
        <v>0</v>
      </c>
      <c r="T808" s="67" t="str">
        <f>IF($B808&lt;&gt;"",INDEX(DataOB[],FirstRow+ROW()-7,MATCH(T$6,DataOB[#Headers],0)),"")</f>
        <v/>
      </c>
      <c r="U808" s="67" t="str">
        <f>IF($B808&lt;&gt;"",INDEX(DataOB[],FirstRow+ROW()-7,MATCH(U$6,DataOB[#Headers],0)),"")</f>
        <v/>
      </c>
      <c r="V808" s="67" t="str">
        <f>IF($B808&lt;&gt;"",INDEX(DataOB[],FirstRow+ROW()-7,MATCH(V$6,DataOB[#Headers],0)),"")</f>
        <v/>
      </c>
      <c r="W808" s="67" t="str">
        <f>IF($B808&lt;&gt;"",INDEX(DataOB[],FirstRow+ROW()-7,MATCH(W$6,DataOB[#Headers],0)),"")</f>
        <v/>
      </c>
      <c r="X808" s="67" t="str">
        <f>IF($B808&lt;&gt;"",INDEX(DataOB[],FirstRow+ROW()-7,MATCH(X$6,DataOB[#Headers],0)),"")</f>
        <v/>
      </c>
      <c r="Y808" s="67" t="str">
        <f>IF($B808&lt;&gt;"",INDEX(DataOB[],FirstRow+ROW()-7,MATCH(Y$6,DataOB[#Headers],0)),"")</f>
        <v/>
      </c>
      <c r="Z808" s="67" t="str">
        <f>IF($B808&lt;&gt;"",INDEX(DataOB[],FirstRow+ROW()-7,MATCH(Z$6,DataOB[#Headers],0)),"")</f>
        <v/>
      </c>
      <c r="AA808" s="67" t="str">
        <f>IF($B808&lt;&gt;"",INDEX(DataOB[],FirstRow+ROW()-7,MATCH(AA$6,DataOB[#Headers],0)),"")</f>
        <v/>
      </c>
      <c r="AB808" s="67" t="str">
        <f>IF($B808&lt;&gt;"",INDEX(DataOB[],FirstRow+ROW()-7,MATCH(AB$6,DataOB[#Headers],0)),"")</f>
        <v/>
      </c>
      <c r="AC808" s="67" t="str">
        <f>IF($B808&lt;&gt;"",INDEX(DataOB[],FirstRow+ROW()-7,MATCH(AC$6,DataOB[#Headers],0)),"")</f>
        <v/>
      </c>
      <c r="AD808" s="67" t="str">
        <f>IF($B808&lt;&gt;"",INDEX(DataOB[],FirstRow+ROW()-7,MATCH(AD$6,DataOB[#Headers],0)),"")</f>
        <v/>
      </c>
      <c r="AE808" s="67" t="str">
        <f>IF($B808&lt;&gt;"",INDEX(DataOB[],FirstRow+ROW()-7,MATCH(AE$6,DataOB[#Headers],0)),"")</f>
        <v/>
      </c>
      <c r="AF808" s="26">
        <f t="shared" si="122"/>
        <v>0</v>
      </c>
      <c r="AG808" s="31">
        <f>SUM($T808:T808)</f>
        <v>0</v>
      </c>
      <c r="AH808" s="31">
        <f>SUM($T808:U808)</f>
        <v>0</v>
      </c>
      <c r="AI808" s="31">
        <f>SUM($T808:V808)</f>
        <v>0</v>
      </c>
      <c r="AJ808" s="31">
        <f>SUM($T808:W808)</f>
        <v>0</v>
      </c>
      <c r="AK808" s="31">
        <f>SUM($T808:X808)</f>
        <v>0</v>
      </c>
      <c r="AL808" s="31">
        <f>SUM($T808:Y808)</f>
        <v>0</v>
      </c>
      <c r="AM808" s="31">
        <f>SUM($T808:Z808)</f>
        <v>0</v>
      </c>
      <c r="AN808" s="31">
        <f>SUM($T808:AA808)</f>
        <v>0</v>
      </c>
      <c r="AO808" s="31">
        <f>SUM($T808:AB808)</f>
        <v>0</v>
      </c>
      <c r="AP808" s="31">
        <f>SUM($T808:AC808)</f>
        <v>0</v>
      </c>
      <c r="AQ808" s="31">
        <f>SUM($T808:AD808)</f>
        <v>0</v>
      </c>
      <c r="AR808" s="31">
        <f>SUM($T808:AE808)</f>
        <v>0</v>
      </c>
      <c r="AS808" s="27">
        <f t="shared" si="123"/>
        <v>0</v>
      </c>
    </row>
    <row r="809" spans="2:45">
      <c r="B809" s="102" t="str">
        <f>IF(ROW()-6&gt;NumCostCenter,"",IF(CostCenter&lt;&gt;"ALL",CostCenter,DATA_LF2!B807))</f>
        <v/>
      </c>
      <c r="C809" s="153" t="str">
        <f>IF($B809&lt;&gt;"",INDEX(DataOB[],FirstRow+ROW()-7,2),"")</f>
        <v/>
      </c>
      <c r="D809" s="66" t="str">
        <f>IF($B809&lt;&gt;"",INDEX(DataOB[],FirstRow+ROW()-7,3),"")</f>
        <v/>
      </c>
      <c r="E809" s="103" t="str">
        <f>IF($B809&lt;&gt;"",INDEX(DataOB[],FirstRow+ROW()-7,6),"")</f>
        <v/>
      </c>
      <c r="F809" s="103" t="str">
        <f>IF($B809&lt;&gt;"",INDEX(DataOB[],FirstRow+ROW()-7,5),"")</f>
        <v/>
      </c>
      <c r="G809" s="58">
        <f>IF($B809&lt;&gt;"",SUMIFS(DataAct_tbl[AMOUNT],DataAct_tbl[BG CODE],Detail!$D809,DataAct_tbl[MONTH],LEFT(MonthName,3),DataAct_tbl[Dept code],$B809),0)</f>
        <v>0</v>
      </c>
      <c r="H809" s="31" t="str">
        <f t="shared" si="115"/>
        <v/>
      </c>
      <c r="I809" s="28" t="str">
        <f t="shared" si="116"/>
        <v/>
      </c>
      <c r="J809" s="32" t="str">
        <f t="shared" si="117"/>
        <v/>
      </c>
      <c r="K809" s="86"/>
      <c r="L809" s="62">
        <f>IF($B809&lt;&gt;"",SUMIFS(DataAct_tbl[AMOUNT],DataAct_tbl[BG CODE],Detail!$D809,DataAct_tbl[Check Range],"=true",DataAct_tbl[Dept code],$B809),0)</f>
        <v>0</v>
      </c>
      <c r="M809" s="63">
        <f>INDEX($AG$7:$AR$1005,ROW()-6,MATCH(MTD,$AG$6:$AR$6,0))</f>
        <v>0</v>
      </c>
      <c r="N809" s="34">
        <f t="shared" si="118"/>
        <v>0</v>
      </c>
      <c r="O809" s="64" t="str">
        <f t="shared" si="119"/>
        <v xml:space="preserve"> </v>
      </c>
      <c r="Q809" s="97">
        <f t="shared" si="120"/>
        <v>0</v>
      </c>
      <c r="R809" s="96">
        <f t="shared" si="121"/>
        <v>0</v>
      </c>
      <c r="T809" s="67" t="str">
        <f>IF($B809&lt;&gt;"",INDEX(DataOB[],FirstRow+ROW()-7,MATCH(T$6,DataOB[#Headers],0)),"")</f>
        <v/>
      </c>
      <c r="U809" s="67" t="str">
        <f>IF($B809&lt;&gt;"",INDEX(DataOB[],FirstRow+ROW()-7,MATCH(U$6,DataOB[#Headers],0)),"")</f>
        <v/>
      </c>
      <c r="V809" s="67" t="str">
        <f>IF($B809&lt;&gt;"",INDEX(DataOB[],FirstRow+ROW()-7,MATCH(V$6,DataOB[#Headers],0)),"")</f>
        <v/>
      </c>
      <c r="W809" s="67" t="str">
        <f>IF($B809&lt;&gt;"",INDEX(DataOB[],FirstRow+ROW()-7,MATCH(W$6,DataOB[#Headers],0)),"")</f>
        <v/>
      </c>
      <c r="X809" s="67" t="str">
        <f>IF($B809&lt;&gt;"",INDEX(DataOB[],FirstRow+ROW()-7,MATCH(X$6,DataOB[#Headers],0)),"")</f>
        <v/>
      </c>
      <c r="Y809" s="67" t="str">
        <f>IF($B809&lt;&gt;"",INDEX(DataOB[],FirstRow+ROW()-7,MATCH(Y$6,DataOB[#Headers],0)),"")</f>
        <v/>
      </c>
      <c r="Z809" s="67" t="str">
        <f>IF($B809&lt;&gt;"",INDEX(DataOB[],FirstRow+ROW()-7,MATCH(Z$6,DataOB[#Headers],0)),"")</f>
        <v/>
      </c>
      <c r="AA809" s="67" t="str">
        <f>IF($B809&lt;&gt;"",INDEX(DataOB[],FirstRow+ROW()-7,MATCH(AA$6,DataOB[#Headers],0)),"")</f>
        <v/>
      </c>
      <c r="AB809" s="67" t="str">
        <f>IF($B809&lt;&gt;"",INDEX(DataOB[],FirstRow+ROW()-7,MATCH(AB$6,DataOB[#Headers],0)),"")</f>
        <v/>
      </c>
      <c r="AC809" s="67" t="str">
        <f>IF($B809&lt;&gt;"",INDEX(DataOB[],FirstRow+ROW()-7,MATCH(AC$6,DataOB[#Headers],0)),"")</f>
        <v/>
      </c>
      <c r="AD809" s="67" t="str">
        <f>IF($B809&lt;&gt;"",INDEX(DataOB[],FirstRow+ROW()-7,MATCH(AD$6,DataOB[#Headers],0)),"")</f>
        <v/>
      </c>
      <c r="AE809" s="67" t="str">
        <f>IF($B809&lt;&gt;"",INDEX(DataOB[],FirstRow+ROW()-7,MATCH(AE$6,DataOB[#Headers],0)),"")</f>
        <v/>
      </c>
      <c r="AF809" s="26">
        <f t="shared" si="122"/>
        <v>0</v>
      </c>
      <c r="AG809" s="31">
        <f>SUM($T809:T809)</f>
        <v>0</v>
      </c>
      <c r="AH809" s="31">
        <f>SUM($T809:U809)</f>
        <v>0</v>
      </c>
      <c r="AI809" s="31">
        <f>SUM($T809:V809)</f>
        <v>0</v>
      </c>
      <c r="AJ809" s="31">
        <f>SUM($T809:W809)</f>
        <v>0</v>
      </c>
      <c r="AK809" s="31">
        <f>SUM($T809:X809)</f>
        <v>0</v>
      </c>
      <c r="AL809" s="31">
        <f>SUM($T809:Y809)</f>
        <v>0</v>
      </c>
      <c r="AM809" s="31">
        <f>SUM($T809:Z809)</f>
        <v>0</v>
      </c>
      <c r="AN809" s="31">
        <f>SUM($T809:AA809)</f>
        <v>0</v>
      </c>
      <c r="AO809" s="31">
        <f>SUM($T809:AB809)</f>
        <v>0</v>
      </c>
      <c r="AP809" s="31">
        <f>SUM($T809:AC809)</f>
        <v>0</v>
      </c>
      <c r="AQ809" s="31">
        <f>SUM($T809:AD809)</f>
        <v>0</v>
      </c>
      <c r="AR809" s="31">
        <f>SUM($T809:AE809)</f>
        <v>0</v>
      </c>
      <c r="AS809" s="27">
        <f t="shared" si="123"/>
        <v>0</v>
      </c>
    </row>
    <row r="810" spans="2:45">
      <c r="B810" s="102" t="str">
        <f>IF(ROW()-6&gt;NumCostCenter,"",IF(CostCenter&lt;&gt;"ALL",CostCenter,DATA_LF2!B808))</f>
        <v/>
      </c>
      <c r="C810" s="153" t="str">
        <f>IF($B810&lt;&gt;"",INDEX(DataOB[],FirstRow+ROW()-7,2),"")</f>
        <v/>
      </c>
      <c r="D810" s="66" t="str">
        <f>IF($B810&lt;&gt;"",INDEX(DataOB[],FirstRow+ROW()-7,3),"")</f>
        <v/>
      </c>
      <c r="E810" s="103" t="str">
        <f>IF($B810&lt;&gt;"",INDEX(DataOB[],FirstRow+ROW()-7,6),"")</f>
        <v/>
      </c>
      <c r="F810" s="103" t="str">
        <f>IF($B810&lt;&gt;"",INDEX(DataOB[],FirstRow+ROW()-7,5),"")</f>
        <v/>
      </c>
      <c r="G810" s="58">
        <f>IF($B810&lt;&gt;"",SUMIFS(DataAct_tbl[AMOUNT],DataAct_tbl[BG CODE],Detail!$D810,DataAct_tbl[MONTH],LEFT(MonthName,3),DataAct_tbl[Dept code],$B810),0)</f>
        <v>0</v>
      </c>
      <c r="H810" s="31" t="str">
        <f t="shared" si="115"/>
        <v/>
      </c>
      <c r="I810" s="28" t="str">
        <f t="shared" si="116"/>
        <v/>
      </c>
      <c r="J810" s="32" t="str">
        <f t="shared" si="117"/>
        <v/>
      </c>
      <c r="K810" s="86"/>
      <c r="L810" s="62">
        <f>IF($B810&lt;&gt;"",SUMIFS(DataAct_tbl[AMOUNT],DataAct_tbl[BG CODE],Detail!$D810,DataAct_tbl[Check Range],"=true",DataAct_tbl[Dept code],$B810),0)</f>
        <v>0</v>
      </c>
      <c r="M810" s="63">
        <f>INDEX($AG$7:$AR$1005,ROW()-6,MATCH(MTD,$AG$6:$AR$6,0))</f>
        <v>0</v>
      </c>
      <c r="N810" s="34">
        <f t="shared" si="118"/>
        <v>0</v>
      </c>
      <c r="O810" s="64" t="str">
        <f t="shared" si="119"/>
        <v xml:space="preserve"> </v>
      </c>
      <c r="Q810" s="97">
        <f t="shared" si="120"/>
        <v>0</v>
      </c>
      <c r="R810" s="96">
        <f t="shared" si="121"/>
        <v>0</v>
      </c>
      <c r="T810" s="67" t="str">
        <f>IF($B810&lt;&gt;"",INDEX(DataOB[],FirstRow+ROW()-7,MATCH(T$6,DataOB[#Headers],0)),"")</f>
        <v/>
      </c>
      <c r="U810" s="67" t="str">
        <f>IF($B810&lt;&gt;"",INDEX(DataOB[],FirstRow+ROW()-7,MATCH(U$6,DataOB[#Headers],0)),"")</f>
        <v/>
      </c>
      <c r="V810" s="67" t="str">
        <f>IF($B810&lt;&gt;"",INDEX(DataOB[],FirstRow+ROW()-7,MATCH(V$6,DataOB[#Headers],0)),"")</f>
        <v/>
      </c>
      <c r="W810" s="67" t="str">
        <f>IF($B810&lt;&gt;"",INDEX(DataOB[],FirstRow+ROW()-7,MATCH(W$6,DataOB[#Headers],0)),"")</f>
        <v/>
      </c>
      <c r="X810" s="67" t="str">
        <f>IF($B810&lt;&gt;"",INDEX(DataOB[],FirstRow+ROW()-7,MATCH(X$6,DataOB[#Headers],0)),"")</f>
        <v/>
      </c>
      <c r="Y810" s="67" t="str">
        <f>IF($B810&lt;&gt;"",INDEX(DataOB[],FirstRow+ROW()-7,MATCH(Y$6,DataOB[#Headers],0)),"")</f>
        <v/>
      </c>
      <c r="Z810" s="67" t="str">
        <f>IF($B810&lt;&gt;"",INDEX(DataOB[],FirstRow+ROW()-7,MATCH(Z$6,DataOB[#Headers],0)),"")</f>
        <v/>
      </c>
      <c r="AA810" s="67" t="str">
        <f>IF($B810&lt;&gt;"",INDEX(DataOB[],FirstRow+ROW()-7,MATCH(AA$6,DataOB[#Headers],0)),"")</f>
        <v/>
      </c>
      <c r="AB810" s="67" t="str">
        <f>IF($B810&lt;&gt;"",INDEX(DataOB[],FirstRow+ROW()-7,MATCH(AB$6,DataOB[#Headers],0)),"")</f>
        <v/>
      </c>
      <c r="AC810" s="67" t="str">
        <f>IF($B810&lt;&gt;"",INDEX(DataOB[],FirstRow+ROW()-7,MATCH(AC$6,DataOB[#Headers],0)),"")</f>
        <v/>
      </c>
      <c r="AD810" s="67" t="str">
        <f>IF($B810&lt;&gt;"",INDEX(DataOB[],FirstRow+ROW()-7,MATCH(AD$6,DataOB[#Headers],0)),"")</f>
        <v/>
      </c>
      <c r="AE810" s="67" t="str">
        <f>IF($B810&lt;&gt;"",INDEX(DataOB[],FirstRow+ROW()-7,MATCH(AE$6,DataOB[#Headers],0)),"")</f>
        <v/>
      </c>
      <c r="AF810" s="26">
        <f t="shared" si="122"/>
        <v>0</v>
      </c>
      <c r="AG810" s="31">
        <f>SUM($T810:T810)</f>
        <v>0</v>
      </c>
      <c r="AH810" s="31">
        <f>SUM($T810:U810)</f>
        <v>0</v>
      </c>
      <c r="AI810" s="31">
        <f>SUM($T810:V810)</f>
        <v>0</v>
      </c>
      <c r="AJ810" s="31">
        <f>SUM($T810:W810)</f>
        <v>0</v>
      </c>
      <c r="AK810" s="31">
        <f>SUM($T810:X810)</f>
        <v>0</v>
      </c>
      <c r="AL810" s="31">
        <f>SUM($T810:Y810)</f>
        <v>0</v>
      </c>
      <c r="AM810" s="31">
        <f>SUM($T810:Z810)</f>
        <v>0</v>
      </c>
      <c r="AN810" s="31">
        <f>SUM($T810:AA810)</f>
        <v>0</v>
      </c>
      <c r="AO810" s="31">
        <f>SUM($T810:AB810)</f>
        <v>0</v>
      </c>
      <c r="AP810" s="31">
        <f>SUM($T810:AC810)</f>
        <v>0</v>
      </c>
      <c r="AQ810" s="31">
        <f>SUM($T810:AD810)</f>
        <v>0</v>
      </c>
      <c r="AR810" s="31">
        <f>SUM($T810:AE810)</f>
        <v>0</v>
      </c>
      <c r="AS810" s="27">
        <f t="shared" si="123"/>
        <v>0</v>
      </c>
    </row>
    <row r="811" spans="2:45">
      <c r="B811" s="102" t="str">
        <f>IF(ROW()-6&gt;NumCostCenter,"",IF(CostCenter&lt;&gt;"ALL",CostCenter,DATA_LF2!B809))</f>
        <v/>
      </c>
      <c r="C811" s="153" t="str">
        <f>IF($B811&lt;&gt;"",INDEX(DataOB[],FirstRow+ROW()-7,2),"")</f>
        <v/>
      </c>
      <c r="D811" s="66" t="str">
        <f>IF($B811&lt;&gt;"",INDEX(DataOB[],FirstRow+ROW()-7,3),"")</f>
        <v/>
      </c>
      <c r="E811" s="103" t="str">
        <f>IF($B811&lt;&gt;"",INDEX(DataOB[],FirstRow+ROW()-7,6),"")</f>
        <v/>
      </c>
      <c r="F811" s="103" t="str">
        <f>IF($B811&lt;&gt;"",INDEX(DataOB[],FirstRow+ROW()-7,5),"")</f>
        <v/>
      </c>
      <c r="G811" s="58">
        <f>IF($B811&lt;&gt;"",SUMIFS(DataAct_tbl[AMOUNT],DataAct_tbl[BG CODE],Detail!$D811,DataAct_tbl[MONTH],LEFT(MonthName,3),DataAct_tbl[Dept code],$B811),0)</f>
        <v>0</v>
      </c>
      <c r="H811" s="31" t="str">
        <f t="shared" si="115"/>
        <v/>
      </c>
      <c r="I811" s="28" t="str">
        <f t="shared" si="116"/>
        <v/>
      </c>
      <c r="J811" s="32" t="str">
        <f t="shared" si="117"/>
        <v/>
      </c>
      <c r="K811" s="86"/>
      <c r="L811" s="62">
        <f>IF($B811&lt;&gt;"",SUMIFS(DataAct_tbl[AMOUNT],DataAct_tbl[BG CODE],Detail!$D811,DataAct_tbl[Check Range],"=true",DataAct_tbl[Dept code],$B811),0)</f>
        <v>0</v>
      </c>
      <c r="M811" s="63">
        <f>INDEX($AG$7:$AR$1005,ROW()-6,MATCH(MTD,$AG$6:$AR$6,0))</f>
        <v>0</v>
      </c>
      <c r="N811" s="34">
        <f t="shared" si="118"/>
        <v>0</v>
      </c>
      <c r="O811" s="64" t="str">
        <f t="shared" si="119"/>
        <v xml:space="preserve"> </v>
      </c>
      <c r="Q811" s="97">
        <f t="shared" si="120"/>
        <v>0</v>
      </c>
      <c r="R811" s="96">
        <f t="shared" si="121"/>
        <v>0</v>
      </c>
      <c r="T811" s="67" t="str">
        <f>IF($B811&lt;&gt;"",INDEX(DataOB[],FirstRow+ROW()-7,MATCH(T$6,DataOB[#Headers],0)),"")</f>
        <v/>
      </c>
      <c r="U811" s="67" t="str">
        <f>IF($B811&lt;&gt;"",INDEX(DataOB[],FirstRow+ROW()-7,MATCH(U$6,DataOB[#Headers],0)),"")</f>
        <v/>
      </c>
      <c r="V811" s="67" t="str">
        <f>IF($B811&lt;&gt;"",INDEX(DataOB[],FirstRow+ROW()-7,MATCH(V$6,DataOB[#Headers],0)),"")</f>
        <v/>
      </c>
      <c r="W811" s="67" t="str">
        <f>IF($B811&lt;&gt;"",INDEX(DataOB[],FirstRow+ROW()-7,MATCH(W$6,DataOB[#Headers],0)),"")</f>
        <v/>
      </c>
      <c r="X811" s="67" t="str">
        <f>IF($B811&lt;&gt;"",INDEX(DataOB[],FirstRow+ROW()-7,MATCH(X$6,DataOB[#Headers],0)),"")</f>
        <v/>
      </c>
      <c r="Y811" s="67" t="str">
        <f>IF($B811&lt;&gt;"",INDEX(DataOB[],FirstRow+ROW()-7,MATCH(Y$6,DataOB[#Headers],0)),"")</f>
        <v/>
      </c>
      <c r="Z811" s="67" t="str">
        <f>IF($B811&lt;&gt;"",INDEX(DataOB[],FirstRow+ROW()-7,MATCH(Z$6,DataOB[#Headers],0)),"")</f>
        <v/>
      </c>
      <c r="AA811" s="67" t="str">
        <f>IF($B811&lt;&gt;"",INDEX(DataOB[],FirstRow+ROW()-7,MATCH(AA$6,DataOB[#Headers],0)),"")</f>
        <v/>
      </c>
      <c r="AB811" s="67" t="str">
        <f>IF($B811&lt;&gt;"",INDEX(DataOB[],FirstRow+ROW()-7,MATCH(AB$6,DataOB[#Headers],0)),"")</f>
        <v/>
      </c>
      <c r="AC811" s="67" t="str">
        <f>IF($B811&lt;&gt;"",INDEX(DataOB[],FirstRow+ROW()-7,MATCH(AC$6,DataOB[#Headers],0)),"")</f>
        <v/>
      </c>
      <c r="AD811" s="67" t="str">
        <f>IF($B811&lt;&gt;"",INDEX(DataOB[],FirstRow+ROW()-7,MATCH(AD$6,DataOB[#Headers],0)),"")</f>
        <v/>
      </c>
      <c r="AE811" s="67" t="str">
        <f>IF($B811&lt;&gt;"",INDEX(DataOB[],FirstRow+ROW()-7,MATCH(AE$6,DataOB[#Headers],0)),"")</f>
        <v/>
      </c>
      <c r="AF811" s="26">
        <f t="shared" si="122"/>
        <v>0</v>
      </c>
      <c r="AG811" s="31">
        <f>SUM($T811:T811)</f>
        <v>0</v>
      </c>
      <c r="AH811" s="31">
        <f>SUM($T811:U811)</f>
        <v>0</v>
      </c>
      <c r="AI811" s="31">
        <f>SUM($T811:V811)</f>
        <v>0</v>
      </c>
      <c r="AJ811" s="31">
        <f>SUM($T811:W811)</f>
        <v>0</v>
      </c>
      <c r="AK811" s="31">
        <f>SUM($T811:X811)</f>
        <v>0</v>
      </c>
      <c r="AL811" s="31">
        <f>SUM($T811:Y811)</f>
        <v>0</v>
      </c>
      <c r="AM811" s="31">
        <f>SUM($T811:Z811)</f>
        <v>0</v>
      </c>
      <c r="AN811" s="31">
        <f>SUM($T811:AA811)</f>
        <v>0</v>
      </c>
      <c r="AO811" s="31">
        <f>SUM($T811:AB811)</f>
        <v>0</v>
      </c>
      <c r="AP811" s="31">
        <f>SUM($T811:AC811)</f>
        <v>0</v>
      </c>
      <c r="AQ811" s="31">
        <f>SUM($T811:AD811)</f>
        <v>0</v>
      </c>
      <c r="AR811" s="31">
        <f>SUM($T811:AE811)</f>
        <v>0</v>
      </c>
      <c r="AS811" s="27">
        <f t="shared" si="123"/>
        <v>0</v>
      </c>
    </row>
    <row r="812" spans="2:45">
      <c r="B812" s="102" t="str">
        <f>IF(ROW()-6&gt;NumCostCenter,"",IF(CostCenter&lt;&gt;"ALL",CostCenter,DATA_LF2!B810))</f>
        <v/>
      </c>
      <c r="C812" s="153" t="str">
        <f>IF($B812&lt;&gt;"",INDEX(DataOB[],FirstRow+ROW()-7,2),"")</f>
        <v/>
      </c>
      <c r="D812" s="66" t="str">
        <f>IF($B812&lt;&gt;"",INDEX(DataOB[],FirstRow+ROW()-7,3),"")</f>
        <v/>
      </c>
      <c r="E812" s="103" t="str">
        <f>IF($B812&lt;&gt;"",INDEX(DataOB[],FirstRow+ROW()-7,6),"")</f>
        <v/>
      </c>
      <c r="F812" s="103" t="str">
        <f>IF($B812&lt;&gt;"",INDEX(DataOB[],FirstRow+ROW()-7,5),"")</f>
        <v/>
      </c>
      <c r="G812" s="58">
        <f>IF($B812&lt;&gt;"",SUMIFS(DataAct_tbl[AMOUNT],DataAct_tbl[BG CODE],Detail!$D812,DataAct_tbl[MONTH],LEFT(MonthName,3),DataAct_tbl[Dept code],$B812),0)</f>
        <v>0</v>
      </c>
      <c r="H812" s="31" t="str">
        <f t="shared" si="115"/>
        <v/>
      </c>
      <c r="I812" s="28" t="str">
        <f t="shared" si="116"/>
        <v/>
      </c>
      <c r="J812" s="32" t="str">
        <f t="shared" si="117"/>
        <v/>
      </c>
      <c r="K812" s="86"/>
      <c r="L812" s="62">
        <f>IF($B812&lt;&gt;"",SUMIFS(DataAct_tbl[AMOUNT],DataAct_tbl[BG CODE],Detail!$D812,DataAct_tbl[Check Range],"=true",DataAct_tbl[Dept code],$B812),0)</f>
        <v>0</v>
      </c>
      <c r="M812" s="63">
        <f>INDEX($AG$7:$AR$1005,ROW()-6,MATCH(MTD,$AG$6:$AR$6,0))</f>
        <v>0</v>
      </c>
      <c r="N812" s="34">
        <f t="shared" si="118"/>
        <v>0</v>
      </c>
      <c r="O812" s="64" t="str">
        <f t="shared" si="119"/>
        <v xml:space="preserve"> </v>
      </c>
      <c r="Q812" s="97">
        <f t="shared" si="120"/>
        <v>0</v>
      </c>
      <c r="R812" s="96">
        <f t="shared" si="121"/>
        <v>0</v>
      </c>
      <c r="T812" s="67" t="str">
        <f>IF($B812&lt;&gt;"",INDEX(DataOB[],FirstRow+ROW()-7,MATCH(T$6,DataOB[#Headers],0)),"")</f>
        <v/>
      </c>
      <c r="U812" s="67" t="str">
        <f>IF($B812&lt;&gt;"",INDEX(DataOB[],FirstRow+ROW()-7,MATCH(U$6,DataOB[#Headers],0)),"")</f>
        <v/>
      </c>
      <c r="V812" s="67" t="str">
        <f>IF($B812&lt;&gt;"",INDEX(DataOB[],FirstRow+ROW()-7,MATCH(V$6,DataOB[#Headers],0)),"")</f>
        <v/>
      </c>
      <c r="W812" s="67" t="str">
        <f>IF($B812&lt;&gt;"",INDEX(DataOB[],FirstRow+ROW()-7,MATCH(W$6,DataOB[#Headers],0)),"")</f>
        <v/>
      </c>
      <c r="X812" s="67" t="str">
        <f>IF($B812&lt;&gt;"",INDEX(DataOB[],FirstRow+ROW()-7,MATCH(X$6,DataOB[#Headers],0)),"")</f>
        <v/>
      </c>
      <c r="Y812" s="67" t="str">
        <f>IF($B812&lt;&gt;"",INDEX(DataOB[],FirstRow+ROW()-7,MATCH(Y$6,DataOB[#Headers],0)),"")</f>
        <v/>
      </c>
      <c r="Z812" s="67" t="str">
        <f>IF($B812&lt;&gt;"",INDEX(DataOB[],FirstRow+ROW()-7,MATCH(Z$6,DataOB[#Headers],0)),"")</f>
        <v/>
      </c>
      <c r="AA812" s="67" t="str">
        <f>IF($B812&lt;&gt;"",INDEX(DataOB[],FirstRow+ROW()-7,MATCH(AA$6,DataOB[#Headers],0)),"")</f>
        <v/>
      </c>
      <c r="AB812" s="67" t="str">
        <f>IF($B812&lt;&gt;"",INDEX(DataOB[],FirstRow+ROW()-7,MATCH(AB$6,DataOB[#Headers],0)),"")</f>
        <v/>
      </c>
      <c r="AC812" s="67" t="str">
        <f>IF($B812&lt;&gt;"",INDEX(DataOB[],FirstRow+ROW()-7,MATCH(AC$6,DataOB[#Headers],0)),"")</f>
        <v/>
      </c>
      <c r="AD812" s="67" t="str">
        <f>IF($B812&lt;&gt;"",INDEX(DataOB[],FirstRow+ROW()-7,MATCH(AD$6,DataOB[#Headers],0)),"")</f>
        <v/>
      </c>
      <c r="AE812" s="67" t="str">
        <f>IF($B812&lt;&gt;"",INDEX(DataOB[],FirstRow+ROW()-7,MATCH(AE$6,DataOB[#Headers],0)),"")</f>
        <v/>
      </c>
      <c r="AF812" s="26">
        <f t="shared" si="122"/>
        <v>0</v>
      </c>
      <c r="AG812" s="31">
        <f>SUM($T812:T812)</f>
        <v>0</v>
      </c>
      <c r="AH812" s="31">
        <f>SUM($T812:U812)</f>
        <v>0</v>
      </c>
      <c r="AI812" s="31">
        <f>SUM($T812:V812)</f>
        <v>0</v>
      </c>
      <c r="AJ812" s="31">
        <f>SUM($T812:W812)</f>
        <v>0</v>
      </c>
      <c r="AK812" s="31">
        <f>SUM($T812:X812)</f>
        <v>0</v>
      </c>
      <c r="AL812" s="31">
        <f>SUM($T812:Y812)</f>
        <v>0</v>
      </c>
      <c r="AM812" s="31">
        <f>SUM($T812:Z812)</f>
        <v>0</v>
      </c>
      <c r="AN812" s="31">
        <f>SUM($T812:AA812)</f>
        <v>0</v>
      </c>
      <c r="AO812" s="31">
        <f>SUM($T812:AB812)</f>
        <v>0</v>
      </c>
      <c r="AP812" s="31">
        <f>SUM($T812:AC812)</f>
        <v>0</v>
      </c>
      <c r="AQ812" s="31">
        <f>SUM($T812:AD812)</f>
        <v>0</v>
      </c>
      <c r="AR812" s="31">
        <f>SUM($T812:AE812)</f>
        <v>0</v>
      </c>
      <c r="AS812" s="27">
        <f t="shared" si="123"/>
        <v>0</v>
      </c>
    </row>
    <row r="813" spans="2:45">
      <c r="B813" s="102" t="str">
        <f>IF(ROW()-6&gt;NumCostCenter,"",IF(CostCenter&lt;&gt;"ALL",CostCenter,DATA_LF2!B811))</f>
        <v/>
      </c>
      <c r="C813" s="153" t="str">
        <f>IF($B813&lt;&gt;"",INDEX(DataOB[],FirstRow+ROW()-7,2),"")</f>
        <v/>
      </c>
      <c r="D813" s="66" t="str">
        <f>IF($B813&lt;&gt;"",INDEX(DataOB[],FirstRow+ROW()-7,3),"")</f>
        <v/>
      </c>
      <c r="E813" s="103" t="str">
        <f>IF($B813&lt;&gt;"",INDEX(DataOB[],FirstRow+ROW()-7,6),"")</f>
        <v/>
      </c>
      <c r="F813" s="103" t="str">
        <f>IF($B813&lt;&gt;"",INDEX(DataOB[],FirstRow+ROW()-7,5),"")</f>
        <v/>
      </c>
      <c r="G813" s="58">
        <f>IF($B813&lt;&gt;"",SUMIFS(DataAct_tbl[AMOUNT],DataAct_tbl[BG CODE],Detail!$D813,DataAct_tbl[MONTH],LEFT(MonthName,3),DataAct_tbl[Dept code],$B813),0)</f>
        <v>0</v>
      </c>
      <c r="H813" s="31" t="str">
        <f t="shared" si="115"/>
        <v/>
      </c>
      <c r="I813" s="28" t="str">
        <f t="shared" si="116"/>
        <v/>
      </c>
      <c r="J813" s="32" t="str">
        <f t="shared" si="117"/>
        <v/>
      </c>
      <c r="K813" s="86"/>
      <c r="L813" s="62">
        <f>IF($B813&lt;&gt;"",SUMIFS(DataAct_tbl[AMOUNT],DataAct_tbl[BG CODE],Detail!$D813,DataAct_tbl[Check Range],"=true",DataAct_tbl[Dept code],$B813),0)</f>
        <v>0</v>
      </c>
      <c r="M813" s="63">
        <f>INDEX($AG$7:$AR$1005,ROW()-6,MATCH(MTD,$AG$6:$AR$6,0))</f>
        <v>0</v>
      </c>
      <c r="N813" s="34">
        <f t="shared" si="118"/>
        <v>0</v>
      </c>
      <c r="O813" s="64" t="str">
        <f t="shared" si="119"/>
        <v xml:space="preserve"> </v>
      </c>
      <c r="Q813" s="97">
        <f t="shared" si="120"/>
        <v>0</v>
      </c>
      <c r="R813" s="96">
        <f t="shared" si="121"/>
        <v>0</v>
      </c>
      <c r="T813" s="67" t="str">
        <f>IF($B813&lt;&gt;"",INDEX(DataOB[],FirstRow+ROW()-7,MATCH(T$6,DataOB[#Headers],0)),"")</f>
        <v/>
      </c>
      <c r="U813" s="67" t="str">
        <f>IF($B813&lt;&gt;"",INDEX(DataOB[],FirstRow+ROW()-7,MATCH(U$6,DataOB[#Headers],0)),"")</f>
        <v/>
      </c>
      <c r="V813" s="67" t="str">
        <f>IF($B813&lt;&gt;"",INDEX(DataOB[],FirstRow+ROW()-7,MATCH(V$6,DataOB[#Headers],0)),"")</f>
        <v/>
      </c>
      <c r="W813" s="67" t="str">
        <f>IF($B813&lt;&gt;"",INDEX(DataOB[],FirstRow+ROW()-7,MATCH(W$6,DataOB[#Headers],0)),"")</f>
        <v/>
      </c>
      <c r="X813" s="67" t="str">
        <f>IF($B813&lt;&gt;"",INDEX(DataOB[],FirstRow+ROW()-7,MATCH(X$6,DataOB[#Headers],0)),"")</f>
        <v/>
      </c>
      <c r="Y813" s="67" t="str">
        <f>IF($B813&lt;&gt;"",INDEX(DataOB[],FirstRow+ROW()-7,MATCH(Y$6,DataOB[#Headers],0)),"")</f>
        <v/>
      </c>
      <c r="Z813" s="67" t="str">
        <f>IF($B813&lt;&gt;"",INDEX(DataOB[],FirstRow+ROW()-7,MATCH(Z$6,DataOB[#Headers],0)),"")</f>
        <v/>
      </c>
      <c r="AA813" s="67" t="str">
        <f>IF($B813&lt;&gt;"",INDEX(DataOB[],FirstRow+ROW()-7,MATCH(AA$6,DataOB[#Headers],0)),"")</f>
        <v/>
      </c>
      <c r="AB813" s="67" t="str">
        <f>IF($B813&lt;&gt;"",INDEX(DataOB[],FirstRow+ROW()-7,MATCH(AB$6,DataOB[#Headers],0)),"")</f>
        <v/>
      </c>
      <c r="AC813" s="67" t="str">
        <f>IF($B813&lt;&gt;"",INDEX(DataOB[],FirstRow+ROW()-7,MATCH(AC$6,DataOB[#Headers],0)),"")</f>
        <v/>
      </c>
      <c r="AD813" s="67" t="str">
        <f>IF($B813&lt;&gt;"",INDEX(DataOB[],FirstRow+ROW()-7,MATCH(AD$6,DataOB[#Headers],0)),"")</f>
        <v/>
      </c>
      <c r="AE813" s="67" t="str">
        <f>IF($B813&lt;&gt;"",INDEX(DataOB[],FirstRow+ROW()-7,MATCH(AE$6,DataOB[#Headers],0)),"")</f>
        <v/>
      </c>
      <c r="AF813" s="26">
        <f t="shared" si="122"/>
        <v>0</v>
      </c>
      <c r="AG813" s="31">
        <f>SUM($T813:T813)</f>
        <v>0</v>
      </c>
      <c r="AH813" s="31">
        <f>SUM($T813:U813)</f>
        <v>0</v>
      </c>
      <c r="AI813" s="31">
        <f>SUM($T813:V813)</f>
        <v>0</v>
      </c>
      <c r="AJ813" s="31">
        <f>SUM($T813:W813)</f>
        <v>0</v>
      </c>
      <c r="AK813" s="31">
        <f>SUM($T813:X813)</f>
        <v>0</v>
      </c>
      <c r="AL813" s="31">
        <f>SUM($T813:Y813)</f>
        <v>0</v>
      </c>
      <c r="AM813" s="31">
        <f>SUM($T813:Z813)</f>
        <v>0</v>
      </c>
      <c r="AN813" s="31">
        <f>SUM($T813:AA813)</f>
        <v>0</v>
      </c>
      <c r="AO813" s="31">
        <f>SUM($T813:AB813)</f>
        <v>0</v>
      </c>
      <c r="AP813" s="31">
        <f>SUM($T813:AC813)</f>
        <v>0</v>
      </c>
      <c r="AQ813" s="31">
        <f>SUM($T813:AD813)</f>
        <v>0</v>
      </c>
      <c r="AR813" s="31">
        <f>SUM($T813:AE813)</f>
        <v>0</v>
      </c>
      <c r="AS813" s="27">
        <f t="shared" si="123"/>
        <v>0</v>
      </c>
    </row>
    <row r="814" spans="2:45">
      <c r="B814" s="102" t="str">
        <f>IF(ROW()-6&gt;NumCostCenter,"",IF(CostCenter&lt;&gt;"ALL",CostCenter,DATA_LF2!B812))</f>
        <v/>
      </c>
      <c r="C814" s="153" t="str">
        <f>IF($B814&lt;&gt;"",INDEX(DataOB[],FirstRow+ROW()-7,2),"")</f>
        <v/>
      </c>
      <c r="D814" s="66" t="str">
        <f>IF($B814&lt;&gt;"",INDEX(DataOB[],FirstRow+ROW()-7,3),"")</f>
        <v/>
      </c>
      <c r="E814" s="103" t="str">
        <f>IF($B814&lt;&gt;"",INDEX(DataOB[],FirstRow+ROW()-7,6),"")</f>
        <v/>
      </c>
      <c r="F814" s="103" t="str">
        <f>IF($B814&lt;&gt;"",INDEX(DataOB[],FirstRow+ROW()-7,5),"")</f>
        <v/>
      </c>
      <c r="G814" s="58">
        <f>IF($B814&lt;&gt;"",SUMIFS(DataAct_tbl[AMOUNT],DataAct_tbl[BG CODE],Detail!$D814,DataAct_tbl[MONTH],LEFT(MonthName,3),DataAct_tbl[Dept code],$B814),0)</f>
        <v>0</v>
      </c>
      <c r="H814" s="31" t="str">
        <f t="shared" si="115"/>
        <v/>
      </c>
      <c r="I814" s="28" t="str">
        <f t="shared" si="116"/>
        <v/>
      </c>
      <c r="J814" s="32" t="str">
        <f t="shared" si="117"/>
        <v/>
      </c>
      <c r="K814" s="86"/>
      <c r="L814" s="62">
        <f>IF($B814&lt;&gt;"",SUMIFS(DataAct_tbl[AMOUNT],DataAct_tbl[BG CODE],Detail!$D814,DataAct_tbl[Check Range],"=true",DataAct_tbl[Dept code],$B814),0)</f>
        <v>0</v>
      </c>
      <c r="M814" s="63">
        <f>INDEX($AG$7:$AR$1005,ROW()-6,MATCH(MTD,$AG$6:$AR$6,0))</f>
        <v>0</v>
      </c>
      <c r="N814" s="34">
        <f t="shared" si="118"/>
        <v>0</v>
      </c>
      <c r="O814" s="64" t="str">
        <f t="shared" si="119"/>
        <v xml:space="preserve"> </v>
      </c>
      <c r="Q814" s="97">
        <f t="shared" si="120"/>
        <v>0</v>
      </c>
      <c r="R814" s="96">
        <f t="shared" si="121"/>
        <v>0</v>
      </c>
      <c r="T814" s="67" t="str">
        <f>IF($B814&lt;&gt;"",INDEX(DataOB[],FirstRow+ROW()-7,MATCH(T$6,DataOB[#Headers],0)),"")</f>
        <v/>
      </c>
      <c r="U814" s="67" t="str">
        <f>IF($B814&lt;&gt;"",INDEX(DataOB[],FirstRow+ROW()-7,MATCH(U$6,DataOB[#Headers],0)),"")</f>
        <v/>
      </c>
      <c r="V814" s="67" t="str">
        <f>IF($B814&lt;&gt;"",INDEX(DataOB[],FirstRow+ROW()-7,MATCH(V$6,DataOB[#Headers],0)),"")</f>
        <v/>
      </c>
      <c r="W814" s="67" t="str">
        <f>IF($B814&lt;&gt;"",INDEX(DataOB[],FirstRow+ROW()-7,MATCH(W$6,DataOB[#Headers],0)),"")</f>
        <v/>
      </c>
      <c r="X814" s="67" t="str">
        <f>IF($B814&lt;&gt;"",INDEX(DataOB[],FirstRow+ROW()-7,MATCH(X$6,DataOB[#Headers],0)),"")</f>
        <v/>
      </c>
      <c r="Y814" s="67" t="str">
        <f>IF($B814&lt;&gt;"",INDEX(DataOB[],FirstRow+ROW()-7,MATCH(Y$6,DataOB[#Headers],0)),"")</f>
        <v/>
      </c>
      <c r="Z814" s="67" t="str">
        <f>IF($B814&lt;&gt;"",INDEX(DataOB[],FirstRow+ROW()-7,MATCH(Z$6,DataOB[#Headers],0)),"")</f>
        <v/>
      </c>
      <c r="AA814" s="67" t="str">
        <f>IF($B814&lt;&gt;"",INDEX(DataOB[],FirstRow+ROW()-7,MATCH(AA$6,DataOB[#Headers],0)),"")</f>
        <v/>
      </c>
      <c r="AB814" s="67" t="str">
        <f>IF($B814&lt;&gt;"",INDEX(DataOB[],FirstRow+ROW()-7,MATCH(AB$6,DataOB[#Headers],0)),"")</f>
        <v/>
      </c>
      <c r="AC814" s="67" t="str">
        <f>IF($B814&lt;&gt;"",INDEX(DataOB[],FirstRow+ROW()-7,MATCH(AC$6,DataOB[#Headers],0)),"")</f>
        <v/>
      </c>
      <c r="AD814" s="67" t="str">
        <f>IF($B814&lt;&gt;"",INDEX(DataOB[],FirstRow+ROW()-7,MATCH(AD$6,DataOB[#Headers],0)),"")</f>
        <v/>
      </c>
      <c r="AE814" s="67" t="str">
        <f>IF($B814&lt;&gt;"",INDEX(DataOB[],FirstRow+ROW()-7,MATCH(AE$6,DataOB[#Headers],0)),"")</f>
        <v/>
      </c>
      <c r="AF814" s="26">
        <f t="shared" si="122"/>
        <v>0</v>
      </c>
      <c r="AG814" s="31">
        <f>SUM($T814:T814)</f>
        <v>0</v>
      </c>
      <c r="AH814" s="31">
        <f>SUM($T814:U814)</f>
        <v>0</v>
      </c>
      <c r="AI814" s="31">
        <f>SUM($T814:V814)</f>
        <v>0</v>
      </c>
      <c r="AJ814" s="31">
        <f>SUM($T814:W814)</f>
        <v>0</v>
      </c>
      <c r="AK814" s="31">
        <f>SUM($T814:X814)</f>
        <v>0</v>
      </c>
      <c r="AL814" s="31">
        <f>SUM($T814:Y814)</f>
        <v>0</v>
      </c>
      <c r="AM814" s="31">
        <f>SUM($T814:Z814)</f>
        <v>0</v>
      </c>
      <c r="AN814" s="31">
        <f>SUM($T814:AA814)</f>
        <v>0</v>
      </c>
      <c r="AO814" s="31">
        <f>SUM($T814:AB814)</f>
        <v>0</v>
      </c>
      <c r="AP814" s="31">
        <f>SUM($T814:AC814)</f>
        <v>0</v>
      </c>
      <c r="AQ814" s="31">
        <f>SUM($T814:AD814)</f>
        <v>0</v>
      </c>
      <c r="AR814" s="31">
        <f>SUM($T814:AE814)</f>
        <v>0</v>
      </c>
      <c r="AS814" s="27">
        <f t="shared" si="123"/>
        <v>0</v>
      </c>
    </row>
    <row r="815" spans="2:45">
      <c r="B815" s="102" t="str">
        <f>IF(ROW()-6&gt;NumCostCenter,"",IF(CostCenter&lt;&gt;"ALL",CostCenter,DATA_LF2!B813))</f>
        <v/>
      </c>
      <c r="C815" s="153" t="str">
        <f>IF($B815&lt;&gt;"",INDEX(DataOB[],FirstRow+ROW()-7,2),"")</f>
        <v/>
      </c>
      <c r="D815" s="66" t="str">
        <f>IF($B815&lt;&gt;"",INDEX(DataOB[],FirstRow+ROW()-7,3),"")</f>
        <v/>
      </c>
      <c r="E815" s="103" t="str">
        <f>IF($B815&lt;&gt;"",INDEX(DataOB[],FirstRow+ROW()-7,6),"")</f>
        <v/>
      </c>
      <c r="F815" s="103" t="str">
        <f>IF($B815&lt;&gt;"",INDEX(DataOB[],FirstRow+ROW()-7,5),"")</f>
        <v/>
      </c>
      <c r="G815" s="58">
        <f>IF($B815&lt;&gt;"",SUMIFS(DataAct_tbl[AMOUNT],DataAct_tbl[BG CODE],Detail!$D815,DataAct_tbl[MONTH],LEFT(MonthName,3),DataAct_tbl[Dept code],$B815),0)</f>
        <v>0</v>
      </c>
      <c r="H815" s="31" t="str">
        <f t="shared" si="115"/>
        <v/>
      </c>
      <c r="I815" s="28" t="str">
        <f t="shared" si="116"/>
        <v/>
      </c>
      <c r="J815" s="32" t="str">
        <f t="shared" si="117"/>
        <v/>
      </c>
      <c r="K815" s="86"/>
      <c r="L815" s="62">
        <f>IF($B815&lt;&gt;"",SUMIFS(DataAct_tbl[AMOUNT],DataAct_tbl[BG CODE],Detail!$D815,DataAct_tbl[Check Range],"=true",DataAct_tbl[Dept code],$B815),0)</f>
        <v>0</v>
      </c>
      <c r="M815" s="63">
        <f>INDEX($AG$7:$AR$1005,ROW()-6,MATCH(MTD,$AG$6:$AR$6,0))</f>
        <v>0</v>
      </c>
      <c r="N815" s="34">
        <f t="shared" si="118"/>
        <v>0</v>
      </c>
      <c r="O815" s="64" t="str">
        <f t="shared" si="119"/>
        <v xml:space="preserve"> </v>
      </c>
      <c r="Q815" s="97">
        <f t="shared" si="120"/>
        <v>0</v>
      </c>
      <c r="R815" s="96">
        <f t="shared" si="121"/>
        <v>0</v>
      </c>
      <c r="T815" s="67" t="str">
        <f>IF($B815&lt;&gt;"",INDEX(DataOB[],FirstRow+ROW()-7,MATCH(T$6,DataOB[#Headers],0)),"")</f>
        <v/>
      </c>
      <c r="U815" s="67" t="str">
        <f>IF($B815&lt;&gt;"",INDEX(DataOB[],FirstRow+ROW()-7,MATCH(U$6,DataOB[#Headers],0)),"")</f>
        <v/>
      </c>
      <c r="V815" s="67" t="str">
        <f>IF($B815&lt;&gt;"",INDEX(DataOB[],FirstRow+ROW()-7,MATCH(V$6,DataOB[#Headers],0)),"")</f>
        <v/>
      </c>
      <c r="W815" s="67" t="str">
        <f>IF($B815&lt;&gt;"",INDEX(DataOB[],FirstRow+ROW()-7,MATCH(W$6,DataOB[#Headers],0)),"")</f>
        <v/>
      </c>
      <c r="X815" s="67" t="str">
        <f>IF($B815&lt;&gt;"",INDEX(DataOB[],FirstRow+ROW()-7,MATCH(X$6,DataOB[#Headers],0)),"")</f>
        <v/>
      </c>
      <c r="Y815" s="67" t="str">
        <f>IF($B815&lt;&gt;"",INDEX(DataOB[],FirstRow+ROW()-7,MATCH(Y$6,DataOB[#Headers],0)),"")</f>
        <v/>
      </c>
      <c r="Z815" s="67" t="str">
        <f>IF($B815&lt;&gt;"",INDEX(DataOB[],FirstRow+ROW()-7,MATCH(Z$6,DataOB[#Headers],0)),"")</f>
        <v/>
      </c>
      <c r="AA815" s="67" t="str">
        <f>IF($B815&lt;&gt;"",INDEX(DataOB[],FirstRow+ROW()-7,MATCH(AA$6,DataOB[#Headers],0)),"")</f>
        <v/>
      </c>
      <c r="AB815" s="67" t="str">
        <f>IF($B815&lt;&gt;"",INDEX(DataOB[],FirstRow+ROW()-7,MATCH(AB$6,DataOB[#Headers],0)),"")</f>
        <v/>
      </c>
      <c r="AC815" s="67" t="str">
        <f>IF($B815&lt;&gt;"",INDEX(DataOB[],FirstRow+ROW()-7,MATCH(AC$6,DataOB[#Headers],0)),"")</f>
        <v/>
      </c>
      <c r="AD815" s="67" t="str">
        <f>IF($B815&lt;&gt;"",INDEX(DataOB[],FirstRow+ROW()-7,MATCH(AD$6,DataOB[#Headers],0)),"")</f>
        <v/>
      </c>
      <c r="AE815" s="67" t="str">
        <f>IF($B815&lt;&gt;"",INDEX(DataOB[],FirstRow+ROW()-7,MATCH(AE$6,DataOB[#Headers],0)),"")</f>
        <v/>
      </c>
      <c r="AF815" s="26">
        <f t="shared" si="122"/>
        <v>0</v>
      </c>
      <c r="AG815" s="31">
        <f>SUM($T815:T815)</f>
        <v>0</v>
      </c>
      <c r="AH815" s="31">
        <f>SUM($T815:U815)</f>
        <v>0</v>
      </c>
      <c r="AI815" s="31">
        <f>SUM($T815:V815)</f>
        <v>0</v>
      </c>
      <c r="AJ815" s="31">
        <f>SUM($T815:W815)</f>
        <v>0</v>
      </c>
      <c r="AK815" s="31">
        <f>SUM($T815:X815)</f>
        <v>0</v>
      </c>
      <c r="AL815" s="31">
        <f>SUM($T815:Y815)</f>
        <v>0</v>
      </c>
      <c r="AM815" s="31">
        <f>SUM($T815:Z815)</f>
        <v>0</v>
      </c>
      <c r="AN815" s="31">
        <f>SUM($T815:AA815)</f>
        <v>0</v>
      </c>
      <c r="AO815" s="31">
        <f>SUM($T815:AB815)</f>
        <v>0</v>
      </c>
      <c r="AP815" s="31">
        <f>SUM($T815:AC815)</f>
        <v>0</v>
      </c>
      <c r="AQ815" s="31">
        <f>SUM($T815:AD815)</f>
        <v>0</v>
      </c>
      <c r="AR815" s="31">
        <f>SUM($T815:AE815)</f>
        <v>0</v>
      </c>
      <c r="AS815" s="27">
        <f t="shared" si="123"/>
        <v>0</v>
      </c>
    </row>
    <row r="816" spans="2:45">
      <c r="B816" s="102" t="str">
        <f>IF(ROW()-6&gt;NumCostCenter,"",IF(CostCenter&lt;&gt;"ALL",CostCenter,DATA_LF2!B814))</f>
        <v/>
      </c>
      <c r="C816" s="153" t="str">
        <f>IF($B816&lt;&gt;"",INDEX(DataOB[],FirstRow+ROW()-7,2),"")</f>
        <v/>
      </c>
      <c r="D816" s="66" t="str">
        <f>IF($B816&lt;&gt;"",INDEX(DataOB[],FirstRow+ROW()-7,3),"")</f>
        <v/>
      </c>
      <c r="E816" s="103" t="str">
        <f>IF($B816&lt;&gt;"",INDEX(DataOB[],FirstRow+ROW()-7,6),"")</f>
        <v/>
      </c>
      <c r="F816" s="103" t="str">
        <f>IF($B816&lt;&gt;"",INDEX(DataOB[],FirstRow+ROW()-7,5),"")</f>
        <v/>
      </c>
      <c r="G816" s="58">
        <f>IF($B816&lt;&gt;"",SUMIFS(DataAct_tbl[AMOUNT],DataAct_tbl[BG CODE],Detail!$D816,DataAct_tbl[MONTH],LEFT(MonthName,3),DataAct_tbl[Dept code],$B816),0)</f>
        <v>0</v>
      </c>
      <c r="H816" s="31" t="str">
        <f t="shared" si="115"/>
        <v/>
      </c>
      <c r="I816" s="28" t="str">
        <f t="shared" si="116"/>
        <v/>
      </c>
      <c r="J816" s="32" t="str">
        <f t="shared" si="117"/>
        <v/>
      </c>
      <c r="K816" s="86"/>
      <c r="L816" s="62">
        <f>IF($B816&lt;&gt;"",SUMIFS(DataAct_tbl[AMOUNT],DataAct_tbl[BG CODE],Detail!$D816,DataAct_tbl[Check Range],"=true",DataAct_tbl[Dept code],$B816),0)</f>
        <v>0</v>
      </c>
      <c r="M816" s="63">
        <f>INDEX($AG$7:$AR$1005,ROW()-6,MATCH(MTD,$AG$6:$AR$6,0))</f>
        <v>0</v>
      </c>
      <c r="N816" s="34">
        <f t="shared" si="118"/>
        <v>0</v>
      </c>
      <c r="O816" s="64" t="str">
        <f t="shared" si="119"/>
        <v xml:space="preserve"> </v>
      </c>
      <c r="Q816" s="97">
        <f t="shared" si="120"/>
        <v>0</v>
      </c>
      <c r="R816" s="96">
        <f t="shared" si="121"/>
        <v>0</v>
      </c>
      <c r="T816" s="67" t="str">
        <f>IF($B816&lt;&gt;"",INDEX(DataOB[],FirstRow+ROW()-7,MATCH(T$6,DataOB[#Headers],0)),"")</f>
        <v/>
      </c>
      <c r="U816" s="67" t="str">
        <f>IF($B816&lt;&gt;"",INDEX(DataOB[],FirstRow+ROW()-7,MATCH(U$6,DataOB[#Headers],0)),"")</f>
        <v/>
      </c>
      <c r="V816" s="67" t="str">
        <f>IF($B816&lt;&gt;"",INDEX(DataOB[],FirstRow+ROW()-7,MATCH(V$6,DataOB[#Headers],0)),"")</f>
        <v/>
      </c>
      <c r="W816" s="67" t="str">
        <f>IF($B816&lt;&gt;"",INDEX(DataOB[],FirstRow+ROW()-7,MATCH(W$6,DataOB[#Headers],0)),"")</f>
        <v/>
      </c>
      <c r="X816" s="67" t="str">
        <f>IF($B816&lt;&gt;"",INDEX(DataOB[],FirstRow+ROW()-7,MATCH(X$6,DataOB[#Headers],0)),"")</f>
        <v/>
      </c>
      <c r="Y816" s="67" t="str">
        <f>IF($B816&lt;&gt;"",INDEX(DataOB[],FirstRow+ROW()-7,MATCH(Y$6,DataOB[#Headers],0)),"")</f>
        <v/>
      </c>
      <c r="Z816" s="67" t="str">
        <f>IF($B816&lt;&gt;"",INDEX(DataOB[],FirstRow+ROW()-7,MATCH(Z$6,DataOB[#Headers],0)),"")</f>
        <v/>
      </c>
      <c r="AA816" s="67" t="str">
        <f>IF($B816&lt;&gt;"",INDEX(DataOB[],FirstRow+ROW()-7,MATCH(AA$6,DataOB[#Headers],0)),"")</f>
        <v/>
      </c>
      <c r="AB816" s="67" t="str">
        <f>IF($B816&lt;&gt;"",INDEX(DataOB[],FirstRow+ROW()-7,MATCH(AB$6,DataOB[#Headers],0)),"")</f>
        <v/>
      </c>
      <c r="AC816" s="67" t="str">
        <f>IF($B816&lt;&gt;"",INDEX(DataOB[],FirstRow+ROW()-7,MATCH(AC$6,DataOB[#Headers],0)),"")</f>
        <v/>
      </c>
      <c r="AD816" s="67" t="str">
        <f>IF($B816&lt;&gt;"",INDEX(DataOB[],FirstRow+ROW()-7,MATCH(AD$6,DataOB[#Headers],0)),"")</f>
        <v/>
      </c>
      <c r="AE816" s="67" t="str">
        <f>IF($B816&lt;&gt;"",INDEX(DataOB[],FirstRow+ROW()-7,MATCH(AE$6,DataOB[#Headers],0)),"")</f>
        <v/>
      </c>
      <c r="AF816" s="26">
        <f t="shared" si="122"/>
        <v>0</v>
      </c>
      <c r="AG816" s="31">
        <f>SUM($T816:T816)</f>
        <v>0</v>
      </c>
      <c r="AH816" s="31">
        <f>SUM($T816:U816)</f>
        <v>0</v>
      </c>
      <c r="AI816" s="31">
        <f>SUM($T816:V816)</f>
        <v>0</v>
      </c>
      <c r="AJ816" s="31">
        <f>SUM($T816:W816)</f>
        <v>0</v>
      </c>
      <c r="AK816" s="31">
        <f>SUM($T816:X816)</f>
        <v>0</v>
      </c>
      <c r="AL816" s="31">
        <f>SUM($T816:Y816)</f>
        <v>0</v>
      </c>
      <c r="AM816" s="31">
        <f>SUM($T816:Z816)</f>
        <v>0</v>
      </c>
      <c r="AN816" s="31">
        <f>SUM($T816:AA816)</f>
        <v>0</v>
      </c>
      <c r="AO816" s="31">
        <f>SUM($T816:AB816)</f>
        <v>0</v>
      </c>
      <c r="AP816" s="31">
        <f>SUM($T816:AC816)</f>
        <v>0</v>
      </c>
      <c r="AQ816" s="31">
        <f>SUM($T816:AD816)</f>
        <v>0</v>
      </c>
      <c r="AR816" s="31">
        <f>SUM($T816:AE816)</f>
        <v>0</v>
      </c>
      <c r="AS816" s="27">
        <f t="shared" si="123"/>
        <v>0</v>
      </c>
    </row>
    <row r="817" spans="2:45">
      <c r="B817" s="102" t="str">
        <f>IF(ROW()-6&gt;NumCostCenter,"",IF(CostCenter&lt;&gt;"ALL",CostCenter,DATA_LF2!B815))</f>
        <v/>
      </c>
      <c r="C817" s="153" t="str">
        <f>IF($B817&lt;&gt;"",INDEX(DataOB[],FirstRow+ROW()-7,2),"")</f>
        <v/>
      </c>
      <c r="D817" s="66" t="str">
        <f>IF($B817&lt;&gt;"",INDEX(DataOB[],FirstRow+ROW()-7,3),"")</f>
        <v/>
      </c>
      <c r="E817" s="103" t="str">
        <f>IF($B817&lt;&gt;"",INDEX(DataOB[],FirstRow+ROW()-7,6),"")</f>
        <v/>
      </c>
      <c r="F817" s="103" t="str">
        <f>IF($B817&lt;&gt;"",INDEX(DataOB[],FirstRow+ROW()-7,5),"")</f>
        <v/>
      </c>
      <c r="G817" s="58">
        <f>IF($B817&lt;&gt;"",SUMIFS(DataAct_tbl[AMOUNT],DataAct_tbl[BG CODE],Detail!$D817,DataAct_tbl[MONTH],LEFT(MonthName,3),DataAct_tbl[Dept code],$B817),0)</f>
        <v>0</v>
      </c>
      <c r="H817" s="31" t="str">
        <f t="shared" si="115"/>
        <v/>
      </c>
      <c r="I817" s="28" t="str">
        <f t="shared" si="116"/>
        <v/>
      </c>
      <c r="J817" s="32" t="str">
        <f t="shared" si="117"/>
        <v/>
      </c>
      <c r="K817" s="86"/>
      <c r="L817" s="62">
        <f>IF($B817&lt;&gt;"",SUMIFS(DataAct_tbl[AMOUNT],DataAct_tbl[BG CODE],Detail!$D817,DataAct_tbl[Check Range],"=true",DataAct_tbl[Dept code],$B817),0)</f>
        <v>0</v>
      </c>
      <c r="M817" s="63">
        <f>INDEX($AG$7:$AR$1005,ROW()-6,MATCH(MTD,$AG$6:$AR$6,0))</f>
        <v>0</v>
      </c>
      <c r="N817" s="34">
        <f t="shared" si="118"/>
        <v>0</v>
      </c>
      <c r="O817" s="64" t="str">
        <f t="shared" si="119"/>
        <v xml:space="preserve"> </v>
      </c>
      <c r="Q817" s="97">
        <f t="shared" si="120"/>
        <v>0</v>
      </c>
      <c r="R817" s="96">
        <f t="shared" si="121"/>
        <v>0</v>
      </c>
      <c r="T817" s="67" t="str">
        <f>IF($B817&lt;&gt;"",INDEX(DataOB[],FirstRow+ROW()-7,MATCH(T$6,DataOB[#Headers],0)),"")</f>
        <v/>
      </c>
      <c r="U817" s="67" t="str">
        <f>IF($B817&lt;&gt;"",INDEX(DataOB[],FirstRow+ROW()-7,MATCH(U$6,DataOB[#Headers],0)),"")</f>
        <v/>
      </c>
      <c r="V817" s="67" t="str">
        <f>IF($B817&lt;&gt;"",INDEX(DataOB[],FirstRow+ROW()-7,MATCH(V$6,DataOB[#Headers],0)),"")</f>
        <v/>
      </c>
      <c r="W817" s="67" t="str">
        <f>IF($B817&lt;&gt;"",INDEX(DataOB[],FirstRow+ROW()-7,MATCH(W$6,DataOB[#Headers],0)),"")</f>
        <v/>
      </c>
      <c r="X817" s="67" t="str">
        <f>IF($B817&lt;&gt;"",INDEX(DataOB[],FirstRow+ROW()-7,MATCH(X$6,DataOB[#Headers],0)),"")</f>
        <v/>
      </c>
      <c r="Y817" s="67" t="str">
        <f>IF($B817&lt;&gt;"",INDEX(DataOB[],FirstRow+ROW()-7,MATCH(Y$6,DataOB[#Headers],0)),"")</f>
        <v/>
      </c>
      <c r="Z817" s="67" t="str">
        <f>IF($B817&lt;&gt;"",INDEX(DataOB[],FirstRow+ROW()-7,MATCH(Z$6,DataOB[#Headers],0)),"")</f>
        <v/>
      </c>
      <c r="AA817" s="67" t="str">
        <f>IF($B817&lt;&gt;"",INDEX(DataOB[],FirstRow+ROW()-7,MATCH(AA$6,DataOB[#Headers],0)),"")</f>
        <v/>
      </c>
      <c r="AB817" s="67" t="str">
        <f>IF($B817&lt;&gt;"",INDEX(DataOB[],FirstRow+ROW()-7,MATCH(AB$6,DataOB[#Headers],0)),"")</f>
        <v/>
      </c>
      <c r="AC817" s="67" t="str">
        <f>IF($B817&lt;&gt;"",INDEX(DataOB[],FirstRow+ROW()-7,MATCH(AC$6,DataOB[#Headers],0)),"")</f>
        <v/>
      </c>
      <c r="AD817" s="67" t="str">
        <f>IF($B817&lt;&gt;"",INDEX(DataOB[],FirstRow+ROW()-7,MATCH(AD$6,DataOB[#Headers],0)),"")</f>
        <v/>
      </c>
      <c r="AE817" s="67" t="str">
        <f>IF($B817&lt;&gt;"",INDEX(DataOB[],FirstRow+ROW()-7,MATCH(AE$6,DataOB[#Headers],0)),"")</f>
        <v/>
      </c>
      <c r="AF817" s="26">
        <f t="shared" si="122"/>
        <v>0</v>
      </c>
      <c r="AG817" s="31">
        <f>SUM($T817:T817)</f>
        <v>0</v>
      </c>
      <c r="AH817" s="31">
        <f>SUM($T817:U817)</f>
        <v>0</v>
      </c>
      <c r="AI817" s="31">
        <f>SUM($T817:V817)</f>
        <v>0</v>
      </c>
      <c r="AJ817" s="31">
        <f>SUM($T817:W817)</f>
        <v>0</v>
      </c>
      <c r="AK817" s="31">
        <f>SUM($T817:X817)</f>
        <v>0</v>
      </c>
      <c r="AL817" s="31">
        <f>SUM($T817:Y817)</f>
        <v>0</v>
      </c>
      <c r="AM817" s="31">
        <f>SUM($T817:Z817)</f>
        <v>0</v>
      </c>
      <c r="AN817" s="31">
        <f>SUM($T817:AA817)</f>
        <v>0</v>
      </c>
      <c r="AO817" s="31">
        <f>SUM($T817:AB817)</f>
        <v>0</v>
      </c>
      <c r="AP817" s="31">
        <f>SUM($T817:AC817)</f>
        <v>0</v>
      </c>
      <c r="AQ817" s="31">
        <f>SUM($T817:AD817)</f>
        <v>0</v>
      </c>
      <c r="AR817" s="31">
        <f>SUM($T817:AE817)</f>
        <v>0</v>
      </c>
      <c r="AS817" s="27">
        <f t="shared" si="123"/>
        <v>0</v>
      </c>
    </row>
    <row r="818" spans="2:45">
      <c r="B818" s="102" t="str">
        <f>IF(ROW()-6&gt;NumCostCenter,"",IF(CostCenter&lt;&gt;"ALL",CostCenter,DATA_LF2!B816))</f>
        <v/>
      </c>
      <c r="C818" s="153" t="str">
        <f>IF($B818&lt;&gt;"",INDEX(DataOB[],FirstRow+ROW()-7,2),"")</f>
        <v/>
      </c>
      <c r="D818" s="66" t="str">
        <f>IF($B818&lt;&gt;"",INDEX(DataOB[],FirstRow+ROW()-7,3),"")</f>
        <v/>
      </c>
      <c r="E818" s="103" t="str">
        <f>IF($B818&lt;&gt;"",INDEX(DataOB[],FirstRow+ROW()-7,6),"")</f>
        <v/>
      </c>
      <c r="F818" s="103" t="str">
        <f>IF($B818&lt;&gt;"",INDEX(DataOB[],FirstRow+ROW()-7,5),"")</f>
        <v/>
      </c>
      <c r="G818" s="58">
        <f>IF($B818&lt;&gt;"",SUMIFS(DataAct_tbl[AMOUNT],DataAct_tbl[BG CODE],Detail!$D818,DataAct_tbl[MONTH],LEFT(MonthName,3),DataAct_tbl[Dept code],$B818),0)</f>
        <v>0</v>
      </c>
      <c r="H818" s="31" t="str">
        <f t="shared" si="115"/>
        <v/>
      </c>
      <c r="I818" s="28" t="str">
        <f t="shared" si="116"/>
        <v/>
      </c>
      <c r="J818" s="32" t="str">
        <f t="shared" si="117"/>
        <v/>
      </c>
      <c r="K818" s="86"/>
      <c r="L818" s="62">
        <f>IF($B818&lt;&gt;"",SUMIFS(DataAct_tbl[AMOUNT],DataAct_tbl[BG CODE],Detail!$D818,DataAct_tbl[Check Range],"=true",DataAct_tbl[Dept code],$B818),0)</f>
        <v>0</v>
      </c>
      <c r="M818" s="63">
        <f>INDEX($AG$7:$AR$1005,ROW()-6,MATCH(MTD,$AG$6:$AR$6,0))</f>
        <v>0</v>
      </c>
      <c r="N818" s="34">
        <f t="shared" si="118"/>
        <v>0</v>
      </c>
      <c r="O818" s="64" t="str">
        <f t="shared" si="119"/>
        <v xml:space="preserve"> </v>
      </c>
      <c r="Q818" s="97">
        <f t="shared" si="120"/>
        <v>0</v>
      </c>
      <c r="R818" s="96">
        <f t="shared" si="121"/>
        <v>0</v>
      </c>
      <c r="T818" s="67" t="str">
        <f>IF($B818&lt;&gt;"",INDEX(DataOB[],FirstRow+ROW()-7,MATCH(T$6,DataOB[#Headers],0)),"")</f>
        <v/>
      </c>
      <c r="U818" s="67" t="str">
        <f>IF($B818&lt;&gt;"",INDEX(DataOB[],FirstRow+ROW()-7,MATCH(U$6,DataOB[#Headers],0)),"")</f>
        <v/>
      </c>
      <c r="V818" s="67" t="str">
        <f>IF($B818&lt;&gt;"",INDEX(DataOB[],FirstRow+ROW()-7,MATCH(V$6,DataOB[#Headers],0)),"")</f>
        <v/>
      </c>
      <c r="W818" s="67" t="str">
        <f>IF($B818&lt;&gt;"",INDEX(DataOB[],FirstRow+ROW()-7,MATCH(W$6,DataOB[#Headers],0)),"")</f>
        <v/>
      </c>
      <c r="X818" s="67" t="str">
        <f>IF($B818&lt;&gt;"",INDEX(DataOB[],FirstRow+ROW()-7,MATCH(X$6,DataOB[#Headers],0)),"")</f>
        <v/>
      </c>
      <c r="Y818" s="67" t="str">
        <f>IF($B818&lt;&gt;"",INDEX(DataOB[],FirstRow+ROW()-7,MATCH(Y$6,DataOB[#Headers],0)),"")</f>
        <v/>
      </c>
      <c r="Z818" s="67" t="str">
        <f>IF($B818&lt;&gt;"",INDEX(DataOB[],FirstRow+ROW()-7,MATCH(Z$6,DataOB[#Headers],0)),"")</f>
        <v/>
      </c>
      <c r="AA818" s="67" t="str">
        <f>IF($B818&lt;&gt;"",INDEX(DataOB[],FirstRow+ROW()-7,MATCH(AA$6,DataOB[#Headers],0)),"")</f>
        <v/>
      </c>
      <c r="AB818" s="67" t="str">
        <f>IF($B818&lt;&gt;"",INDEX(DataOB[],FirstRow+ROW()-7,MATCH(AB$6,DataOB[#Headers],0)),"")</f>
        <v/>
      </c>
      <c r="AC818" s="67" t="str">
        <f>IF($B818&lt;&gt;"",INDEX(DataOB[],FirstRow+ROW()-7,MATCH(AC$6,DataOB[#Headers],0)),"")</f>
        <v/>
      </c>
      <c r="AD818" s="67" t="str">
        <f>IF($B818&lt;&gt;"",INDEX(DataOB[],FirstRow+ROW()-7,MATCH(AD$6,DataOB[#Headers],0)),"")</f>
        <v/>
      </c>
      <c r="AE818" s="67" t="str">
        <f>IF($B818&lt;&gt;"",INDEX(DataOB[],FirstRow+ROW()-7,MATCH(AE$6,DataOB[#Headers],0)),"")</f>
        <v/>
      </c>
      <c r="AF818" s="26">
        <f t="shared" si="122"/>
        <v>0</v>
      </c>
      <c r="AG818" s="31">
        <f>SUM($T818:T818)</f>
        <v>0</v>
      </c>
      <c r="AH818" s="31">
        <f>SUM($T818:U818)</f>
        <v>0</v>
      </c>
      <c r="AI818" s="31">
        <f>SUM($T818:V818)</f>
        <v>0</v>
      </c>
      <c r="AJ818" s="31">
        <f>SUM($T818:W818)</f>
        <v>0</v>
      </c>
      <c r="AK818" s="31">
        <f>SUM($T818:X818)</f>
        <v>0</v>
      </c>
      <c r="AL818" s="31">
        <f>SUM($T818:Y818)</f>
        <v>0</v>
      </c>
      <c r="AM818" s="31">
        <f>SUM($T818:Z818)</f>
        <v>0</v>
      </c>
      <c r="AN818" s="31">
        <f>SUM($T818:AA818)</f>
        <v>0</v>
      </c>
      <c r="AO818" s="31">
        <f>SUM($T818:AB818)</f>
        <v>0</v>
      </c>
      <c r="AP818" s="31">
        <f>SUM($T818:AC818)</f>
        <v>0</v>
      </c>
      <c r="AQ818" s="31">
        <f>SUM($T818:AD818)</f>
        <v>0</v>
      </c>
      <c r="AR818" s="31">
        <f>SUM($T818:AE818)</f>
        <v>0</v>
      </c>
      <c r="AS818" s="27">
        <f t="shared" si="123"/>
        <v>0</v>
      </c>
    </row>
    <row r="819" spans="2:45">
      <c r="B819" s="102" t="str">
        <f>IF(ROW()-6&gt;NumCostCenter,"",IF(CostCenter&lt;&gt;"ALL",CostCenter,DATA_LF2!B817))</f>
        <v/>
      </c>
      <c r="C819" s="153" t="str">
        <f>IF($B819&lt;&gt;"",INDEX(DataOB[],FirstRow+ROW()-7,2),"")</f>
        <v/>
      </c>
      <c r="D819" s="66" t="str">
        <f>IF($B819&lt;&gt;"",INDEX(DataOB[],FirstRow+ROW()-7,3),"")</f>
        <v/>
      </c>
      <c r="E819" s="103" t="str">
        <f>IF($B819&lt;&gt;"",INDEX(DataOB[],FirstRow+ROW()-7,6),"")</f>
        <v/>
      </c>
      <c r="F819" s="103" t="str">
        <f>IF($B819&lt;&gt;"",INDEX(DataOB[],FirstRow+ROW()-7,5),"")</f>
        <v/>
      </c>
      <c r="G819" s="58">
        <f>IF($B819&lt;&gt;"",SUMIFS(DataAct_tbl[AMOUNT],DataAct_tbl[BG CODE],Detail!$D819,DataAct_tbl[MONTH],LEFT(MonthName,3),DataAct_tbl[Dept code],$B819),0)</f>
        <v>0</v>
      </c>
      <c r="H819" s="31" t="str">
        <f t="shared" si="115"/>
        <v/>
      </c>
      <c r="I819" s="28" t="str">
        <f t="shared" si="116"/>
        <v/>
      </c>
      <c r="J819" s="32" t="str">
        <f t="shared" si="117"/>
        <v/>
      </c>
      <c r="K819" s="86"/>
      <c r="L819" s="62">
        <f>IF($B819&lt;&gt;"",SUMIFS(DataAct_tbl[AMOUNT],DataAct_tbl[BG CODE],Detail!$D819,DataAct_tbl[Check Range],"=true",DataAct_tbl[Dept code],$B819),0)</f>
        <v>0</v>
      </c>
      <c r="M819" s="63">
        <f>INDEX($AG$7:$AR$1005,ROW()-6,MATCH(MTD,$AG$6:$AR$6,0))</f>
        <v>0</v>
      </c>
      <c r="N819" s="34">
        <f t="shared" si="118"/>
        <v>0</v>
      </c>
      <c r="O819" s="64" t="str">
        <f t="shared" si="119"/>
        <v xml:space="preserve"> </v>
      </c>
      <c r="Q819" s="97">
        <f t="shared" si="120"/>
        <v>0</v>
      </c>
      <c r="R819" s="96">
        <f t="shared" si="121"/>
        <v>0</v>
      </c>
      <c r="T819" s="67" t="str">
        <f>IF($B819&lt;&gt;"",INDEX(DataOB[],FirstRow+ROW()-7,MATCH(T$6,DataOB[#Headers],0)),"")</f>
        <v/>
      </c>
      <c r="U819" s="67" t="str">
        <f>IF($B819&lt;&gt;"",INDEX(DataOB[],FirstRow+ROW()-7,MATCH(U$6,DataOB[#Headers],0)),"")</f>
        <v/>
      </c>
      <c r="V819" s="67" t="str">
        <f>IF($B819&lt;&gt;"",INDEX(DataOB[],FirstRow+ROW()-7,MATCH(V$6,DataOB[#Headers],0)),"")</f>
        <v/>
      </c>
      <c r="W819" s="67" t="str">
        <f>IF($B819&lt;&gt;"",INDEX(DataOB[],FirstRow+ROW()-7,MATCH(W$6,DataOB[#Headers],0)),"")</f>
        <v/>
      </c>
      <c r="X819" s="67" t="str">
        <f>IF($B819&lt;&gt;"",INDEX(DataOB[],FirstRow+ROW()-7,MATCH(X$6,DataOB[#Headers],0)),"")</f>
        <v/>
      </c>
      <c r="Y819" s="67" t="str">
        <f>IF($B819&lt;&gt;"",INDEX(DataOB[],FirstRow+ROW()-7,MATCH(Y$6,DataOB[#Headers],0)),"")</f>
        <v/>
      </c>
      <c r="Z819" s="67" t="str">
        <f>IF($B819&lt;&gt;"",INDEX(DataOB[],FirstRow+ROW()-7,MATCH(Z$6,DataOB[#Headers],0)),"")</f>
        <v/>
      </c>
      <c r="AA819" s="67" t="str">
        <f>IF($B819&lt;&gt;"",INDEX(DataOB[],FirstRow+ROW()-7,MATCH(AA$6,DataOB[#Headers],0)),"")</f>
        <v/>
      </c>
      <c r="AB819" s="67" t="str">
        <f>IF($B819&lt;&gt;"",INDEX(DataOB[],FirstRow+ROW()-7,MATCH(AB$6,DataOB[#Headers],0)),"")</f>
        <v/>
      </c>
      <c r="AC819" s="67" t="str">
        <f>IF($B819&lt;&gt;"",INDEX(DataOB[],FirstRow+ROW()-7,MATCH(AC$6,DataOB[#Headers],0)),"")</f>
        <v/>
      </c>
      <c r="AD819" s="67" t="str">
        <f>IF($B819&lt;&gt;"",INDEX(DataOB[],FirstRow+ROW()-7,MATCH(AD$6,DataOB[#Headers],0)),"")</f>
        <v/>
      </c>
      <c r="AE819" s="67" t="str">
        <f>IF($B819&lt;&gt;"",INDEX(DataOB[],FirstRow+ROW()-7,MATCH(AE$6,DataOB[#Headers],0)),"")</f>
        <v/>
      </c>
      <c r="AF819" s="26">
        <f t="shared" si="122"/>
        <v>0</v>
      </c>
      <c r="AG819" s="31">
        <f>SUM($T819:T819)</f>
        <v>0</v>
      </c>
      <c r="AH819" s="31">
        <f>SUM($T819:U819)</f>
        <v>0</v>
      </c>
      <c r="AI819" s="31">
        <f>SUM($T819:V819)</f>
        <v>0</v>
      </c>
      <c r="AJ819" s="31">
        <f>SUM($T819:W819)</f>
        <v>0</v>
      </c>
      <c r="AK819" s="31">
        <f>SUM($T819:X819)</f>
        <v>0</v>
      </c>
      <c r="AL819" s="31">
        <f>SUM($T819:Y819)</f>
        <v>0</v>
      </c>
      <c r="AM819" s="31">
        <f>SUM($T819:Z819)</f>
        <v>0</v>
      </c>
      <c r="AN819" s="31">
        <f>SUM($T819:AA819)</f>
        <v>0</v>
      </c>
      <c r="AO819" s="31">
        <f>SUM($T819:AB819)</f>
        <v>0</v>
      </c>
      <c r="AP819" s="31">
        <f>SUM($T819:AC819)</f>
        <v>0</v>
      </c>
      <c r="AQ819" s="31">
        <f>SUM($T819:AD819)</f>
        <v>0</v>
      </c>
      <c r="AR819" s="31">
        <f>SUM($T819:AE819)</f>
        <v>0</v>
      </c>
      <c r="AS819" s="27">
        <f t="shared" si="123"/>
        <v>0</v>
      </c>
    </row>
    <row r="820" spans="2:45">
      <c r="B820" s="102" t="str">
        <f>IF(ROW()-6&gt;NumCostCenter,"",IF(CostCenter&lt;&gt;"ALL",CostCenter,DATA_LF2!B818))</f>
        <v/>
      </c>
      <c r="C820" s="153" t="str">
        <f>IF($B820&lt;&gt;"",INDEX(DataOB[],FirstRow+ROW()-7,2),"")</f>
        <v/>
      </c>
      <c r="D820" s="66" t="str">
        <f>IF($B820&lt;&gt;"",INDEX(DataOB[],FirstRow+ROW()-7,3),"")</f>
        <v/>
      </c>
      <c r="E820" s="103" t="str">
        <f>IF($B820&lt;&gt;"",INDEX(DataOB[],FirstRow+ROW()-7,6),"")</f>
        <v/>
      </c>
      <c r="F820" s="103" t="str">
        <f>IF($B820&lt;&gt;"",INDEX(DataOB[],FirstRow+ROW()-7,5),"")</f>
        <v/>
      </c>
      <c r="G820" s="58">
        <f>IF($B820&lt;&gt;"",SUMIFS(DataAct_tbl[AMOUNT],DataAct_tbl[BG CODE],Detail!$D820,DataAct_tbl[MONTH],LEFT(MonthName,3),DataAct_tbl[Dept code],$B820),0)</f>
        <v>0</v>
      </c>
      <c r="H820" s="31" t="str">
        <f t="shared" si="115"/>
        <v/>
      </c>
      <c r="I820" s="28" t="str">
        <f t="shared" si="116"/>
        <v/>
      </c>
      <c r="J820" s="32" t="str">
        <f t="shared" si="117"/>
        <v/>
      </c>
      <c r="K820" s="86"/>
      <c r="L820" s="62">
        <f>IF($B820&lt;&gt;"",SUMIFS(DataAct_tbl[AMOUNT],DataAct_tbl[BG CODE],Detail!$D820,DataAct_tbl[Check Range],"=true",DataAct_tbl[Dept code],$B820),0)</f>
        <v>0</v>
      </c>
      <c r="M820" s="63">
        <f>INDEX($AG$7:$AR$1005,ROW()-6,MATCH(MTD,$AG$6:$AR$6,0))</f>
        <v>0</v>
      </c>
      <c r="N820" s="34">
        <f t="shared" si="118"/>
        <v>0</v>
      </c>
      <c r="O820" s="64" t="str">
        <f t="shared" si="119"/>
        <v xml:space="preserve"> </v>
      </c>
      <c r="Q820" s="97">
        <f t="shared" si="120"/>
        <v>0</v>
      </c>
      <c r="R820" s="96">
        <f t="shared" si="121"/>
        <v>0</v>
      </c>
      <c r="T820" s="67" t="str">
        <f>IF($B820&lt;&gt;"",INDEX(DataOB[],FirstRow+ROW()-7,MATCH(T$6,DataOB[#Headers],0)),"")</f>
        <v/>
      </c>
      <c r="U820" s="67" t="str">
        <f>IF($B820&lt;&gt;"",INDEX(DataOB[],FirstRow+ROW()-7,MATCH(U$6,DataOB[#Headers],0)),"")</f>
        <v/>
      </c>
      <c r="V820" s="67" t="str">
        <f>IF($B820&lt;&gt;"",INDEX(DataOB[],FirstRow+ROW()-7,MATCH(V$6,DataOB[#Headers],0)),"")</f>
        <v/>
      </c>
      <c r="W820" s="67" t="str">
        <f>IF($B820&lt;&gt;"",INDEX(DataOB[],FirstRow+ROW()-7,MATCH(W$6,DataOB[#Headers],0)),"")</f>
        <v/>
      </c>
      <c r="X820" s="67" t="str">
        <f>IF($B820&lt;&gt;"",INDEX(DataOB[],FirstRow+ROW()-7,MATCH(X$6,DataOB[#Headers],0)),"")</f>
        <v/>
      </c>
      <c r="Y820" s="67" t="str">
        <f>IF($B820&lt;&gt;"",INDEX(DataOB[],FirstRow+ROW()-7,MATCH(Y$6,DataOB[#Headers],0)),"")</f>
        <v/>
      </c>
      <c r="Z820" s="67" t="str">
        <f>IF($B820&lt;&gt;"",INDEX(DataOB[],FirstRow+ROW()-7,MATCH(Z$6,DataOB[#Headers],0)),"")</f>
        <v/>
      </c>
      <c r="AA820" s="67" t="str">
        <f>IF($B820&lt;&gt;"",INDEX(DataOB[],FirstRow+ROW()-7,MATCH(AA$6,DataOB[#Headers],0)),"")</f>
        <v/>
      </c>
      <c r="AB820" s="67" t="str">
        <f>IF($B820&lt;&gt;"",INDEX(DataOB[],FirstRow+ROW()-7,MATCH(AB$6,DataOB[#Headers],0)),"")</f>
        <v/>
      </c>
      <c r="AC820" s="67" t="str">
        <f>IF($B820&lt;&gt;"",INDEX(DataOB[],FirstRow+ROW()-7,MATCH(AC$6,DataOB[#Headers],0)),"")</f>
        <v/>
      </c>
      <c r="AD820" s="67" t="str">
        <f>IF($B820&lt;&gt;"",INDEX(DataOB[],FirstRow+ROW()-7,MATCH(AD$6,DataOB[#Headers],0)),"")</f>
        <v/>
      </c>
      <c r="AE820" s="67" t="str">
        <f>IF($B820&lt;&gt;"",INDEX(DataOB[],FirstRow+ROW()-7,MATCH(AE$6,DataOB[#Headers],0)),"")</f>
        <v/>
      </c>
      <c r="AF820" s="26">
        <f t="shared" si="122"/>
        <v>0</v>
      </c>
      <c r="AG820" s="31">
        <f>SUM($T820:T820)</f>
        <v>0</v>
      </c>
      <c r="AH820" s="31">
        <f>SUM($T820:U820)</f>
        <v>0</v>
      </c>
      <c r="AI820" s="31">
        <f>SUM($T820:V820)</f>
        <v>0</v>
      </c>
      <c r="AJ820" s="31">
        <f>SUM($T820:W820)</f>
        <v>0</v>
      </c>
      <c r="AK820" s="31">
        <f>SUM($T820:X820)</f>
        <v>0</v>
      </c>
      <c r="AL820" s="31">
        <f>SUM($T820:Y820)</f>
        <v>0</v>
      </c>
      <c r="AM820" s="31">
        <f>SUM($T820:Z820)</f>
        <v>0</v>
      </c>
      <c r="AN820" s="31">
        <f>SUM($T820:AA820)</f>
        <v>0</v>
      </c>
      <c r="AO820" s="31">
        <f>SUM($T820:AB820)</f>
        <v>0</v>
      </c>
      <c r="AP820" s="31">
        <f>SUM($T820:AC820)</f>
        <v>0</v>
      </c>
      <c r="AQ820" s="31">
        <f>SUM($T820:AD820)</f>
        <v>0</v>
      </c>
      <c r="AR820" s="31">
        <f>SUM($T820:AE820)</f>
        <v>0</v>
      </c>
      <c r="AS820" s="27">
        <f t="shared" si="123"/>
        <v>0</v>
      </c>
    </row>
    <row r="821" spans="2:45">
      <c r="B821" s="102" t="str">
        <f>IF(ROW()-6&gt;NumCostCenter,"",IF(CostCenter&lt;&gt;"ALL",CostCenter,DATA_LF2!B819))</f>
        <v/>
      </c>
      <c r="C821" s="153" t="str">
        <f>IF($B821&lt;&gt;"",INDEX(DataOB[],FirstRow+ROW()-7,2),"")</f>
        <v/>
      </c>
      <c r="D821" s="66" t="str">
        <f>IF($B821&lt;&gt;"",INDEX(DataOB[],FirstRow+ROW()-7,3),"")</f>
        <v/>
      </c>
      <c r="E821" s="103" t="str">
        <f>IF($B821&lt;&gt;"",INDEX(DataOB[],FirstRow+ROW()-7,6),"")</f>
        <v/>
      </c>
      <c r="F821" s="103" t="str">
        <f>IF($B821&lt;&gt;"",INDEX(DataOB[],FirstRow+ROW()-7,5),"")</f>
        <v/>
      </c>
      <c r="G821" s="58">
        <f>IF($B821&lt;&gt;"",SUMIFS(DataAct_tbl[AMOUNT],DataAct_tbl[BG CODE],Detail!$D821,DataAct_tbl[MONTH],LEFT(MonthName,3),DataAct_tbl[Dept code],$B821),0)</f>
        <v>0</v>
      </c>
      <c r="H821" s="31" t="str">
        <f t="shared" si="115"/>
        <v/>
      </c>
      <c r="I821" s="28" t="str">
        <f t="shared" si="116"/>
        <v/>
      </c>
      <c r="J821" s="32" t="str">
        <f t="shared" si="117"/>
        <v/>
      </c>
      <c r="K821" s="86"/>
      <c r="L821" s="62">
        <f>IF($B821&lt;&gt;"",SUMIFS(DataAct_tbl[AMOUNT],DataAct_tbl[BG CODE],Detail!$D821,DataAct_tbl[Check Range],"=true",DataAct_tbl[Dept code],$B821),0)</f>
        <v>0</v>
      </c>
      <c r="M821" s="63">
        <f>INDEX($AG$7:$AR$1005,ROW()-6,MATCH(MTD,$AG$6:$AR$6,0))</f>
        <v>0</v>
      </c>
      <c r="N821" s="34">
        <f t="shared" si="118"/>
        <v>0</v>
      </c>
      <c r="O821" s="64" t="str">
        <f t="shared" si="119"/>
        <v xml:space="preserve"> </v>
      </c>
      <c r="Q821" s="97">
        <f t="shared" si="120"/>
        <v>0</v>
      </c>
      <c r="R821" s="96">
        <f t="shared" si="121"/>
        <v>0</v>
      </c>
      <c r="T821" s="67" t="str">
        <f>IF($B821&lt;&gt;"",INDEX(DataOB[],FirstRow+ROW()-7,MATCH(T$6,DataOB[#Headers],0)),"")</f>
        <v/>
      </c>
      <c r="U821" s="67" t="str">
        <f>IF($B821&lt;&gt;"",INDEX(DataOB[],FirstRow+ROW()-7,MATCH(U$6,DataOB[#Headers],0)),"")</f>
        <v/>
      </c>
      <c r="V821" s="67" t="str">
        <f>IF($B821&lt;&gt;"",INDEX(DataOB[],FirstRow+ROW()-7,MATCH(V$6,DataOB[#Headers],0)),"")</f>
        <v/>
      </c>
      <c r="W821" s="67" t="str">
        <f>IF($B821&lt;&gt;"",INDEX(DataOB[],FirstRow+ROW()-7,MATCH(W$6,DataOB[#Headers],0)),"")</f>
        <v/>
      </c>
      <c r="X821" s="67" t="str">
        <f>IF($B821&lt;&gt;"",INDEX(DataOB[],FirstRow+ROW()-7,MATCH(X$6,DataOB[#Headers],0)),"")</f>
        <v/>
      </c>
      <c r="Y821" s="67" t="str">
        <f>IF($B821&lt;&gt;"",INDEX(DataOB[],FirstRow+ROW()-7,MATCH(Y$6,DataOB[#Headers],0)),"")</f>
        <v/>
      </c>
      <c r="Z821" s="67" t="str">
        <f>IF($B821&lt;&gt;"",INDEX(DataOB[],FirstRow+ROW()-7,MATCH(Z$6,DataOB[#Headers],0)),"")</f>
        <v/>
      </c>
      <c r="AA821" s="67" t="str">
        <f>IF($B821&lt;&gt;"",INDEX(DataOB[],FirstRow+ROW()-7,MATCH(AA$6,DataOB[#Headers],0)),"")</f>
        <v/>
      </c>
      <c r="AB821" s="67" t="str">
        <f>IF($B821&lt;&gt;"",INDEX(DataOB[],FirstRow+ROW()-7,MATCH(AB$6,DataOB[#Headers],0)),"")</f>
        <v/>
      </c>
      <c r="AC821" s="67" t="str">
        <f>IF($B821&lt;&gt;"",INDEX(DataOB[],FirstRow+ROW()-7,MATCH(AC$6,DataOB[#Headers],0)),"")</f>
        <v/>
      </c>
      <c r="AD821" s="67" t="str">
        <f>IF($B821&lt;&gt;"",INDEX(DataOB[],FirstRow+ROW()-7,MATCH(AD$6,DataOB[#Headers],0)),"")</f>
        <v/>
      </c>
      <c r="AE821" s="67" t="str">
        <f>IF($B821&lt;&gt;"",INDEX(DataOB[],FirstRow+ROW()-7,MATCH(AE$6,DataOB[#Headers],0)),"")</f>
        <v/>
      </c>
      <c r="AF821" s="26">
        <f t="shared" si="122"/>
        <v>0</v>
      </c>
      <c r="AG821" s="31">
        <f>SUM($T821:T821)</f>
        <v>0</v>
      </c>
      <c r="AH821" s="31">
        <f>SUM($T821:U821)</f>
        <v>0</v>
      </c>
      <c r="AI821" s="31">
        <f>SUM($T821:V821)</f>
        <v>0</v>
      </c>
      <c r="AJ821" s="31">
        <f>SUM($T821:W821)</f>
        <v>0</v>
      </c>
      <c r="AK821" s="31">
        <f>SUM($T821:X821)</f>
        <v>0</v>
      </c>
      <c r="AL821" s="31">
        <f>SUM($T821:Y821)</f>
        <v>0</v>
      </c>
      <c r="AM821" s="31">
        <f>SUM($T821:Z821)</f>
        <v>0</v>
      </c>
      <c r="AN821" s="31">
        <f>SUM($T821:AA821)</f>
        <v>0</v>
      </c>
      <c r="AO821" s="31">
        <f>SUM($T821:AB821)</f>
        <v>0</v>
      </c>
      <c r="AP821" s="31">
        <f>SUM($T821:AC821)</f>
        <v>0</v>
      </c>
      <c r="AQ821" s="31">
        <f>SUM($T821:AD821)</f>
        <v>0</v>
      </c>
      <c r="AR821" s="31">
        <f>SUM($T821:AE821)</f>
        <v>0</v>
      </c>
      <c r="AS821" s="27">
        <f t="shared" si="123"/>
        <v>0</v>
      </c>
    </row>
    <row r="822" spans="2:45">
      <c r="B822" s="102" t="str">
        <f>IF(ROW()-6&gt;NumCostCenter,"",IF(CostCenter&lt;&gt;"ALL",CostCenter,DATA_LF2!B820))</f>
        <v/>
      </c>
      <c r="C822" s="153" t="str">
        <f>IF($B822&lt;&gt;"",INDEX(DataOB[],FirstRow+ROW()-7,2),"")</f>
        <v/>
      </c>
      <c r="D822" s="66" t="str">
        <f>IF($B822&lt;&gt;"",INDEX(DataOB[],FirstRow+ROW()-7,3),"")</f>
        <v/>
      </c>
      <c r="E822" s="103" t="str">
        <f>IF($B822&lt;&gt;"",INDEX(DataOB[],FirstRow+ROW()-7,6),"")</f>
        <v/>
      </c>
      <c r="F822" s="103" t="str">
        <f>IF($B822&lt;&gt;"",INDEX(DataOB[],FirstRow+ROW()-7,5),"")</f>
        <v/>
      </c>
      <c r="G822" s="58">
        <f>IF($B822&lt;&gt;"",SUMIFS(DataAct_tbl[AMOUNT],DataAct_tbl[BG CODE],Detail!$D822,DataAct_tbl[MONTH],LEFT(MonthName,3),DataAct_tbl[Dept code],$B822),0)</f>
        <v>0</v>
      </c>
      <c r="H822" s="31" t="str">
        <f t="shared" si="115"/>
        <v/>
      </c>
      <c r="I822" s="28" t="str">
        <f t="shared" si="116"/>
        <v/>
      </c>
      <c r="J822" s="32" t="str">
        <f t="shared" si="117"/>
        <v/>
      </c>
      <c r="K822" s="86"/>
      <c r="L822" s="62">
        <f>IF($B822&lt;&gt;"",SUMIFS(DataAct_tbl[AMOUNT],DataAct_tbl[BG CODE],Detail!$D822,DataAct_tbl[Check Range],"=true",DataAct_tbl[Dept code],$B822),0)</f>
        <v>0</v>
      </c>
      <c r="M822" s="63">
        <f>INDEX($AG$7:$AR$1005,ROW()-6,MATCH(MTD,$AG$6:$AR$6,0))</f>
        <v>0</v>
      </c>
      <c r="N822" s="34">
        <f t="shared" si="118"/>
        <v>0</v>
      </c>
      <c r="O822" s="64" t="str">
        <f t="shared" si="119"/>
        <v xml:space="preserve"> </v>
      </c>
      <c r="Q822" s="97">
        <f t="shared" si="120"/>
        <v>0</v>
      </c>
      <c r="R822" s="96">
        <f t="shared" si="121"/>
        <v>0</v>
      </c>
      <c r="T822" s="67" t="str">
        <f>IF($B822&lt;&gt;"",INDEX(DataOB[],FirstRow+ROW()-7,MATCH(T$6,DataOB[#Headers],0)),"")</f>
        <v/>
      </c>
      <c r="U822" s="67" t="str">
        <f>IF($B822&lt;&gt;"",INDEX(DataOB[],FirstRow+ROW()-7,MATCH(U$6,DataOB[#Headers],0)),"")</f>
        <v/>
      </c>
      <c r="V822" s="67" t="str">
        <f>IF($B822&lt;&gt;"",INDEX(DataOB[],FirstRow+ROW()-7,MATCH(V$6,DataOB[#Headers],0)),"")</f>
        <v/>
      </c>
      <c r="W822" s="67" t="str">
        <f>IF($B822&lt;&gt;"",INDEX(DataOB[],FirstRow+ROW()-7,MATCH(W$6,DataOB[#Headers],0)),"")</f>
        <v/>
      </c>
      <c r="X822" s="67" t="str">
        <f>IF($B822&lt;&gt;"",INDEX(DataOB[],FirstRow+ROW()-7,MATCH(X$6,DataOB[#Headers],0)),"")</f>
        <v/>
      </c>
      <c r="Y822" s="67" t="str">
        <f>IF($B822&lt;&gt;"",INDEX(DataOB[],FirstRow+ROW()-7,MATCH(Y$6,DataOB[#Headers],0)),"")</f>
        <v/>
      </c>
      <c r="Z822" s="67" t="str">
        <f>IF($B822&lt;&gt;"",INDEX(DataOB[],FirstRow+ROW()-7,MATCH(Z$6,DataOB[#Headers],0)),"")</f>
        <v/>
      </c>
      <c r="AA822" s="67" t="str">
        <f>IF($B822&lt;&gt;"",INDEX(DataOB[],FirstRow+ROW()-7,MATCH(AA$6,DataOB[#Headers],0)),"")</f>
        <v/>
      </c>
      <c r="AB822" s="67" t="str">
        <f>IF($B822&lt;&gt;"",INDEX(DataOB[],FirstRow+ROW()-7,MATCH(AB$6,DataOB[#Headers],0)),"")</f>
        <v/>
      </c>
      <c r="AC822" s="67" t="str">
        <f>IF($B822&lt;&gt;"",INDEX(DataOB[],FirstRow+ROW()-7,MATCH(AC$6,DataOB[#Headers],0)),"")</f>
        <v/>
      </c>
      <c r="AD822" s="67" t="str">
        <f>IF($B822&lt;&gt;"",INDEX(DataOB[],FirstRow+ROW()-7,MATCH(AD$6,DataOB[#Headers],0)),"")</f>
        <v/>
      </c>
      <c r="AE822" s="67" t="str">
        <f>IF($B822&lt;&gt;"",INDEX(DataOB[],FirstRow+ROW()-7,MATCH(AE$6,DataOB[#Headers],0)),"")</f>
        <v/>
      </c>
      <c r="AF822" s="26">
        <f t="shared" si="122"/>
        <v>0</v>
      </c>
      <c r="AG822" s="31">
        <f>SUM($T822:T822)</f>
        <v>0</v>
      </c>
      <c r="AH822" s="31">
        <f>SUM($T822:U822)</f>
        <v>0</v>
      </c>
      <c r="AI822" s="31">
        <f>SUM($T822:V822)</f>
        <v>0</v>
      </c>
      <c r="AJ822" s="31">
        <f>SUM($T822:W822)</f>
        <v>0</v>
      </c>
      <c r="AK822" s="31">
        <f>SUM($T822:X822)</f>
        <v>0</v>
      </c>
      <c r="AL822" s="31">
        <f>SUM($T822:Y822)</f>
        <v>0</v>
      </c>
      <c r="AM822" s="31">
        <f>SUM($T822:Z822)</f>
        <v>0</v>
      </c>
      <c r="AN822" s="31">
        <f>SUM($T822:AA822)</f>
        <v>0</v>
      </c>
      <c r="AO822" s="31">
        <f>SUM($T822:AB822)</f>
        <v>0</v>
      </c>
      <c r="AP822" s="31">
        <f>SUM($T822:AC822)</f>
        <v>0</v>
      </c>
      <c r="AQ822" s="31">
        <f>SUM($T822:AD822)</f>
        <v>0</v>
      </c>
      <c r="AR822" s="31">
        <f>SUM($T822:AE822)</f>
        <v>0</v>
      </c>
      <c r="AS822" s="27">
        <f t="shared" si="123"/>
        <v>0</v>
      </c>
    </row>
    <row r="823" spans="2:45">
      <c r="B823" s="102" t="str">
        <f>IF(ROW()-6&gt;NumCostCenter,"",IF(CostCenter&lt;&gt;"ALL",CostCenter,DATA_LF2!B821))</f>
        <v/>
      </c>
      <c r="C823" s="153" t="str">
        <f>IF($B823&lt;&gt;"",INDEX(DataOB[],FirstRow+ROW()-7,2),"")</f>
        <v/>
      </c>
      <c r="D823" s="66" t="str">
        <f>IF($B823&lt;&gt;"",INDEX(DataOB[],FirstRow+ROW()-7,3),"")</f>
        <v/>
      </c>
      <c r="E823" s="103" t="str">
        <f>IF($B823&lt;&gt;"",INDEX(DataOB[],FirstRow+ROW()-7,6),"")</f>
        <v/>
      </c>
      <c r="F823" s="103" t="str">
        <f>IF($B823&lt;&gt;"",INDEX(DataOB[],FirstRow+ROW()-7,5),"")</f>
        <v/>
      </c>
      <c r="G823" s="58">
        <f>IF($B823&lt;&gt;"",SUMIFS(DataAct_tbl[AMOUNT],DataAct_tbl[BG CODE],Detail!$D823,DataAct_tbl[MONTH],LEFT(MonthName,3),DataAct_tbl[Dept code],$B823),0)</f>
        <v>0</v>
      </c>
      <c r="H823" s="31" t="str">
        <f t="shared" si="115"/>
        <v/>
      </c>
      <c r="I823" s="28" t="str">
        <f t="shared" si="116"/>
        <v/>
      </c>
      <c r="J823" s="32" t="str">
        <f t="shared" si="117"/>
        <v/>
      </c>
      <c r="K823" s="86"/>
      <c r="L823" s="62">
        <f>IF($B823&lt;&gt;"",SUMIFS(DataAct_tbl[AMOUNT],DataAct_tbl[BG CODE],Detail!$D823,DataAct_tbl[Check Range],"=true",DataAct_tbl[Dept code],$B823),0)</f>
        <v>0</v>
      </c>
      <c r="M823" s="63">
        <f>INDEX($AG$7:$AR$1005,ROW()-6,MATCH(MTD,$AG$6:$AR$6,0))</f>
        <v>0</v>
      </c>
      <c r="N823" s="34">
        <f t="shared" si="118"/>
        <v>0</v>
      </c>
      <c r="O823" s="64" t="str">
        <f t="shared" si="119"/>
        <v xml:space="preserve"> </v>
      </c>
      <c r="Q823" s="97">
        <f t="shared" si="120"/>
        <v>0</v>
      </c>
      <c r="R823" s="96">
        <f t="shared" si="121"/>
        <v>0</v>
      </c>
      <c r="T823" s="67" t="str">
        <f>IF($B823&lt;&gt;"",INDEX(DataOB[],FirstRow+ROW()-7,MATCH(T$6,DataOB[#Headers],0)),"")</f>
        <v/>
      </c>
      <c r="U823" s="67" t="str">
        <f>IF($B823&lt;&gt;"",INDEX(DataOB[],FirstRow+ROW()-7,MATCH(U$6,DataOB[#Headers],0)),"")</f>
        <v/>
      </c>
      <c r="V823" s="67" t="str">
        <f>IF($B823&lt;&gt;"",INDEX(DataOB[],FirstRow+ROW()-7,MATCH(V$6,DataOB[#Headers],0)),"")</f>
        <v/>
      </c>
      <c r="W823" s="67" t="str">
        <f>IF($B823&lt;&gt;"",INDEX(DataOB[],FirstRow+ROW()-7,MATCH(W$6,DataOB[#Headers],0)),"")</f>
        <v/>
      </c>
      <c r="X823" s="67" t="str">
        <f>IF($B823&lt;&gt;"",INDEX(DataOB[],FirstRow+ROW()-7,MATCH(X$6,DataOB[#Headers],0)),"")</f>
        <v/>
      </c>
      <c r="Y823" s="67" t="str">
        <f>IF($B823&lt;&gt;"",INDEX(DataOB[],FirstRow+ROW()-7,MATCH(Y$6,DataOB[#Headers],0)),"")</f>
        <v/>
      </c>
      <c r="Z823" s="67" t="str">
        <f>IF($B823&lt;&gt;"",INDEX(DataOB[],FirstRow+ROW()-7,MATCH(Z$6,DataOB[#Headers],0)),"")</f>
        <v/>
      </c>
      <c r="AA823" s="67" t="str">
        <f>IF($B823&lt;&gt;"",INDEX(DataOB[],FirstRow+ROW()-7,MATCH(AA$6,DataOB[#Headers],0)),"")</f>
        <v/>
      </c>
      <c r="AB823" s="67" t="str">
        <f>IF($B823&lt;&gt;"",INDEX(DataOB[],FirstRow+ROW()-7,MATCH(AB$6,DataOB[#Headers],0)),"")</f>
        <v/>
      </c>
      <c r="AC823" s="67" t="str">
        <f>IF($B823&lt;&gt;"",INDEX(DataOB[],FirstRow+ROW()-7,MATCH(AC$6,DataOB[#Headers],0)),"")</f>
        <v/>
      </c>
      <c r="AD823" s="67" t="str">
        <f>IF($B823&lt;&gt;"",INDEX(DataOB[],FirstRow+ROW()-7,MATCH(AD$6,DataOB[#Headers],0)),"")</f>
        <v/>
      </c>
      <c r="AE823" s="67" t="str">
        <f>IF($B823&lt;&gt;"",INDEX(DataOB[],FirstRow+ROW()-7,MATCH(AE$6,DataOB[#Headers],0)),"")</f>
        <v/>
      </c>
      <c r="AF823" s="26">
        <f t="shared" si="122"/>
        <v>0</v>
      </c>
      <c r="AG823" s="31">
        <f>SUM($T823:T823)</f>
        <v>0</v>
      </c>
      <c r="AH823" s="31">
        <f>SUM($T823:U823)</f>
        <v>0</v>
      </c>
      <c r="AI823" s="31">
        <f>SUM($T823:V823)</f>
        <v>0</v>
      </c>
      <c r="AJ823" s="31">
        <f>SUM($T823:W823)</f>
        <v>0</v>
      </c>
      <c r="AK823" s="31">
        <f>SUM($T823:X823)</f>
        <v>0</v>
      </c>
      <c r="AL823" s="31">
        <f>SUM($T823:Y823)</f>
        <v>0</v>
      </c>
      <c r="AM823" s="31">
        <f>SUM($T823:Z823)</f>
        <v>0</v>
      </c>
      <c r="AN823" s="31">
        <f>SUM($T823:AA823)</f>
        <v>0</v>
      </c>
      <c r="AO823" s="31">
        <f>SUM($T823:AB823)</f>
        <v>0</v>
      </c>
      <c r="AP823" s="31">
        <f>SUM($T823:AC823)</f>
        <v>0</v>
      </c>
      <c r="AQ823" s="31">
        <f>SUM($T823:AD823)</f>
        <v>0</v>
      </c>
      <c r="AR823" s="31">
        <f>SUM($T823:AE823)</f>
        <v>0</v>
      </c>
      <c r="AS823" s="27">
        <f t="shared" si="123"/>
        <v>0</v>
      </c>
    </row>
    <row r="824" spans="2:45">
      <c r="B824" s="102" t="str">
        <f>IF(ROW()-6&gt;NumCostCenter,"",IF(CostCenter&lt;&gt;"ALL",CostCenter,DATA_LF2!B822))</f>
        <v/>
      </c>
      <c r="C824" s="153" t="str">
        <f>IF($B824&lt;&gt;"",INDEX(DataOB[],FirstRow+ROW()-7,2),"")</f>
        <v/>
      </c>
      <c r="D824" s="66" t="str">
        <f>IF($B824&lt;&gt;"",INDEX(DataOB[],FirstRow+ROW()-7,3),"")</f>
        <v/>
      </c>
      <c r="E824" s="103" t="str">
        <f>IF($B824&lt;&gt;"",INDEX(DataOB[],FirstRow+ROW()-7,6),"")</f>
        <v/>
      </c>
      <c r="F824" s="103" t="str">
        <f>IF($B824&lt;&gt;"",INDEX(DataOB[],FirstRow+ROW()-7,5),"")</f>
        <v/>
      </c>
      <c r="G824" s="58">
        <f>IF($B824&lt;&gt;"",SUMIFS(DataAct_tbl[AMOUNT],DataAct_tbl[BG CODE],Detail!$D824,DataAct_tbl[MONTH],LEFT(MonthName,3),DataAct_tbl[Dept code],$B824),0)</f>
        <v>0</v>
      </c>
      <c r="H824" s="31" t="str">
        <f t="shared" si="115"/>
        <v/>
      </c>
      <c r="I824" s="28" t="str">
        <f t="shared" si="116"/>
        <v/>
      </c>
      <c r="J824" s="32" t="str">
        <f t="shared" si="117"/>
        <v/>
      </c>
      <c r="K824" s="86"/>
      <c r="L824" s="62">
        <f>IF($B824&lt;&gt;"",SUMIFS(DataAct_tbl[AMOUNT],DataAct_tbl[BG CODE],Detail!$D824,DataAct_tbl[Check Range],"=true",DataAct_tbl[Dept code],$B824),0)</f>
        <v>0</v>
      </c>
      <c r="M824" s="63">
        <f>INDEX($AG$7:$AR$1005,ROW()-6,MATCH(MTD,$AG$6:$AR$6,0))</f>
        <v>0</v>
      </c>
      <c r="N824" s="34">
        <f t="shared" si="118"/>
        <v>0</v>
      </c>
      <c r="O824" s="64" t="str">
        <f t="shared" si="119"/>
        <v xml:space="preserve"> </v>
      </c>
      <c r="Q824" s="97">
        <f t="shared" si="120"/>
        <v>0</v>
      </c>
      <c r="R824" s="96">
        <f t="shared" si="121"/>
        <v>0</v>
      </c>
      <c r="T824" s="67" t="str">
        <f>IF($B824&lt;&gt;"",INDEX(DataOB[],FirstRow+ROW()-7,MATCH(T$6,DataOB[#Headers],0)),"")</f>
        <v/>
      </c>
      <c r="U824" s="67" t="str">
        <f>IF($B824&lt;&gt;"",INDEX(DataOB[],FirstRow+ROW()-7,MATCH(U$6,DataOB[#Headers],0)),"")</f>
        <v/>
      </c>
      <c r="V824" s="67" t="str">
        <f>IF($B824&lt;&gt;"",INDEX(DataOB[],FirstRow+ROW()-7,MATCH(V$6,DataOB[#Headers],0)),"")</f>
        <v/>
      </c>
      <c r="W824" s="67" t="str">
        <f>IF($B824&lt;&gt;"",INDEX(DataOB[],FirstRow+ROW()-7,MATCH(W$6,DataOB[#Headers],0)),"")</f>
        <v/>
      </c>
      <c r="X824" s="67" t="str">
        <f>IF($B824&lt;&gt;"",INDEX(DataOB[],FirstRow+ROW()-7,MATCH(X$6,DataOB[#Headers],0)),"")</f>
        <v/>
      </c>
      <c r="Y824" s="67" t="str">
        <f>IF($B824&lt;&gt;"",INDEX(DataOB[],FirstRow+ROW()-7,MATCH(Y$6,DataOB[#Headers],0)),"")</f>
        <v/>
      </c>
      <c r="Z824" s="67" t="str">
        <f>IF($B824&lt;&gt;"",INDEX(DataOB[],FirstRow+ROW()-7,MATCH(Z$6,DataOB[#Headers],0)),"")</f>
        <v/>
      </c>
      <c r="AA824" s="67" t="str">
        <f>IF($B824&lt;&gt;"",INDEX(DataOB[],FirstRow+ROW()-7,MATCH(AA$6,DataOB[#Headers],0)),"")</f>
        <v/>
      </c>
      <c r="AB824" s="67" t="str">
        <f>IF($B824&lt;&gt;"",INDEX(DataOB[],FirstRow+ROW()-7,MATCH(AB$6,DataOB[#Headers],0)),"")</f>
        <v/>
      </c>
      <c r="AC824" s="67" t="str">
        <f>IF($B824&lt;&gt;"",INDEX(DataOB[],FirstRow+ROW()-7,MATCH(AC$6,DataOB[#Headers],0)),"")</f>
        <v/>
      </c>
      <c r="AD824" s="67" t="str">
        <f>IF($B824&lt;&gt;"",INDEX(DataOB[],FirstRow+ROW()-7,MATCH(AD$6,DataOB[#Headers],0)),"")</f>
        <v/>
      </c>
      <c r="AE824" s="67" t="str">
        <f>IF($B824&lt;&gt;"",INDEX(DataOB[],FirstRow+ROW()-7,MATCH(AE$6,DataOB[#Headers],0)),"")</f>
        <v/>
      </c>
      <c r="AF824" s="26">
        <f t="shared" si="122"/>
        <v>0</v>
      </c>
      <c r="AG824" s="31">
        <f>SUM($T824:T824)</f>
        <v>0</v>
      </c>
      <c r="AH824" s="31">
        <f>SUM($T824:U824)</f>
        <v>0</v>
      </c>
      <c r="AI824" s="31">
        <f>SUM($T824:V824)</f>
        <v>0</v>
      </c>
      <c r="AJ824" s="31">
        <f>SUM($T824:W824)</f>
        <v>0</v>
      </c>
      <c r="AK824" s="31">
        <f>SUM($T824:X824)</f>
        <v>0</v>
      </c>
      <c r="AL824" s="31">
        <f>SUM($T824:Y824)</f>
        <v>0</v>
      </c>
      <c r="AM824" s="31">
        <f>SUM($T824:Z824)</f>
        <v>0</v>
      </c>
      <c r="AN824" s="31">
        <f>SUM($T824:AA824)</f>
        <v>0</v>
      </c>
      <c r="AO824" s="31">
        <f>SUM($T824:AB824)</f>
        <v>0</v>
      </c>
      <c r="AP824" s="31">
        <f>SUM($T824:AC824)</f>
        <v>0</v>
      </c>
      <c r="AQ824" s="31">
        <f>SUM($T824:AD824)</f>
        <v>0</v>
      </c>
      <c r="AR824" s="31">
        <f>SUM($T824:AE824)</f>
        <v>0</v>
      </c>
      <c r="AS824" s="27">
        <f t="shared" si="123"/>
        <v>0</v>
      </c>
    </row>
    <row r="825" spans="2:45">
      <c r="B825" s="102" t="str">
        <f>IF(ROW()-6&gt;NumCostCenter,"",IF(CostCenter&lt;&gt;"ALL",CostCenter,DATA_LF2!B823))</f>
        <v/>
      </c>
      <c r="C825" s="153" t="str">
        <f>IF($B825&lt;&gt;"",INDEX(DataOB[],FirstRow+ROW()-7,2),"")</f>
        <v/>
      </c>
      <c r="D825" s="66" t="str">
        <f>IF($B825&lt;&gt;"",INDEX(DataOB[],FirstRow+ROW()-7,3),"")</f>
        <v/>
      </c>
      <c r="E825" s="103" t="str">
        <f>IF($B825&lt;&gt;"",INDEX(DataOB[],FirstRow+ROW()-7,6),"")</f>
        <v/>
      </c>
      <c r="F825" s="103" t="str">
        <f>IF($B825&lt;&gt;"",INDEX(DataOB[],FirstRow+ROW()-7,5),"")</f>
        <v/>
      </c>
      <c r="G825" s="58">
        <f>IF($B825&lt;&gt;"",SUMIFS(DataAct_tbl[AMOUNT],DataAct_tbl[BG CODE],Detail!$D825,DataAct_tbl[MONTH],LEFT(MonthName,3),DataAct_tbl[Dept code],$B825),0)</f>
        <v>0</v>
      </c>
      <c r="H825" s="31" t="str">
        <f t="shared" si="115"/>
        <v/>
      </c>
      <c r="I825" s="28" t="str">
        <f t="shared" si="116"/>
        <v/>
      </c>
      <c r="J825" s="32" t="str">
        <f t="shared" si="117"/>
        <v/>
      </c>
      <c r="K825" s="86"/>
      <c r="L825" s="62">
        <f>IF($B825&lt;&gt;"",SUMIFS(DataAct_tbl[AMOUNT],DataAct_tbl[BG CODE],Detail!$D825,DataAct_tbl[Check Range],"=true",DataAct_tbl[Dept code],$B825),0)</f>
        <v>0</v>
      </c>
      <c r="M825" s="63">
        <f>INDEX($AG$7:$AR$1005,ROW()-6,MATCH(MTD,$AG$6:$AR$6,0))</f>
        <v>0</v>
      </c>
      <c r="N825" s="34">
        <f t="shared" si="118"/>
        <v>0</v>
      </c>
      <c r="O825" s="64" t="str">
        <f t="shared" si="119"/>
        <v xml:space="preserve"> </v>
      </c>
      <c r="Q825" s="97">
        <f t="shared" si="120"/>
        <v>0</v>
      </c>
      <c r="R825" s="96">
        <f t="shared" si="121"/>
        <v>0</v>
      </c>
      <c r="T825" s="67" t="str">
        <f>IF($B825&lt;&gt;"",INDEX(DataOB[],FirstRow+ROW()-7,MATCH(T$6,DataOB[#Headers],0)),"")</f>
        <v/>
      </c>
      <c r="U825" s="67" t="str">
        <f>IF($B825&lt;&gt;"",INDEX(DataOB[],FirstRow+ROW()-7,MATCH(U$6,DataOB[#Headers],0)),"")</f>
        <v/>
      </c>
      <c r="V825" s="67" t="str">
        <f>IF($B825&lt;&gt;"",INDEX(DataOB[],FirstRow+ROW()-7,MATCH(V$6,DataOB[#Headers],0)),"")</f>
        <v/>
      </c>
      <c r="W825" s="67" t="str">
        <f>IF($B825&lt;&gt;"",INDEX(DataOB[],FirstRow+ROW()-7,MATCH(W$6,DataOB[#Headers],0)),"")</f>
        <v/>
      </c>
      <c r="X825" s="67" t="str">
        <f>IF($B825&lt;&gt;"",INDEX(DataOB[],FirstRow+ROW()-7,MATCH(X$6,DataOB[#Headers],0)),"")</f>
        <v/>
      </c>
      <c r="Y825" s="67" t="str">
        <f>IF($B825&lt;&gt;"",INDEX(DataOB[],FirstRow+ROW()-7,MATCH(Y$6,DataOB[#Headers],0)),"")</f>
        <v/>
      </c>
      <c r="Z825" s="67" t="str">
        <f>IF($B825&lt;&gt;"",INDEX(DataOB[],FirstRow+ROW()-7,MATCH(Z$6,DataOB[#Headers],0)),"")</f>
        <v/>
      </c>
      <c r="AA825" s="67" t="str">
        <f>IF($B825&lt;&gt;"",INDEX(DataOB[],FirstRow+ROW()-7,MATCH(AA$6,DataOB[#Headers],0)),"")</f>
        <v/>
      </c>
      <c r="AB825" s="67" t="str">
        <f>IF($B825&lt;&gt;"",INDEX(DataOB[],FirstRow+ROW()-7,MATCH(AB$6,DataOB[#Headers],0)),"")</f>
        <v/>
      </c>
      <c r="AC825" s="67" t="str">
        <f>IF($B825&lt;&gt;"",INDEX(DataOB[],FirstRow+ROW()-7,MATCH(AC$6,DataOB[#Headers],0)),"")</f>
        <v/>
      </c>
      <c r="AD825" s="67" t="str">
        <f>IF($B825&lt;&gt;"",INDEX(DataOB[],FirstRow+ROW()-7,MATCH(AD$6,DataOB[#Headers],0)),"")</f>
        <v/>
      </c>
      <c r="AE825" s="67" t="str">
        <f>IF($B825&lt;&gt;"",INDEX(DataOB[],FirstRow+ROW()-7,MATCH(AE$6,DataOB[#Headers],0)),"")</f>
        <v/>
      </c>
      <c r="AF825" s="26">
        <f t="shared" si="122"/>
        <v>0</v>
      </c>
      <c r="AG825" s="31">
        <f>SUM($T825:T825)</f>
        <v>0</v>
      </c>
      <c r="AH825" s="31">
        <f>SUM($T825:U825)</f>
        <v>0</v>
      </c>
      <c r="AI825" s="31">
        <f>SUM($T825:V825)</f>
        <v>0</v>
      </c>
      <c r="AJ825" s="31">
        <f>SUM($T825:W825)</f>
        <v>0</v>
      </c>
      <c r="AK825" s="31">
        <f>SUM($T825:X825)</f>
        <v>0</v>
      </c>
      <c r="AL825" s="31">
        <f>SUM($T825:Y825)</f>
        <v>0</v>
      </c>
      <c r="AM825" s="31">
        <f>SUM($T825:Z825)</f>
        <v>0</v>
      </c>
      <c r="AN825" s="31">
        <f>SUM($T825:AA825)</f>
        <v>0</v>
      </c>
      <c r="AO825" s="31">
        <f>SUM($T825:AB825)</f>
        <v>0</v>
      </c>
      <c r="AP825" s="31">
        <f>SUM($T825:AC825)</f>
        <v>0</v>
      </c>
      <c r="AQ825" s="31">
        <f>SUM($T825:AD825)</f>
        <v>0</v>
      </c>
      <c r="AR825" s="31">
        <f>SUM($T825:AE825)</f>
        <v>0</v>
      </c>
      <c r="AS825" s="27">
        <f t="shared" si="123"/>
        <v>0</v>
      </c>
    </row>
    <row r="826" spans="2:45">
      <c r="B826" s="102" t="str">
        <f>IF(ROW()-6&gt;NumCostCenter,"",IF(CostCenter&lt;&gt;"ALL",CostCenter,DATA_LF2!B824))</f>
        <v/>
      </c>
      <c r="C826" s="153" t="str">
        <f>IF($B826&lt;&gt;"",INDEX(DataOB[],FirstRow+ROW()-7,2),"")</f>
        <v/>
      </c>
      <c r="D826" s="66" t="str">
        <f>IF($B826&lt;&gt;"",INDEX(DataOB[],FirstRow+ROW()-7,3),"")</f>
        <v/>
      </c>
      <c r="E826" s="103" t="str">
        <f>IF($B826&lt;&gt;"",INDEX(DataOB[],FirstRow+ROW()-7,6),"")</f>
        <v/>
      </c>
      <c r="F826" s="103" t="str">
        <f>IF($B826&lt;&gt;"",INDEX(DataOB[],FirstRow+ROW()-7,5),"")</f>
        <v/>
      </c>
      <c r="G826" s="58">
        <f>IF($B826&lt;&gt;"",SUMIFS(DataAct_tbl[AMOUNT],DataAct_tbl[BG CODE],Detail!$D826,DataAct_tbl[MONTH],LEFT(MonthName,3),DataAct_tbl[Dept code],$B826),0)</f>
        <v>0</v>
      </c>
      <c r="H826" s="31" t="str">
        <f t="shared" si="115"/>
        <v/>
      </c>
      <c r="I826" s="28" t="str">
        <f t="shared" si="116"/>
        <v/>
      </c>
      <c r="J826" s="32" t="str">
        <f t="shared" si="117"/>
        <v/>
      </c>
      <c r="K826" s="86"/>
      <c r="L826" s="62">
        <f>IF($B826&lt;&gt;"",SUMIFS(DataAct_tbl[AMOUNT],DataAct_tbl[BG CODE],Detail!$D826,DataAct_tbl[Check Range],"=true",DataAct_tbl[Dept code],$B826),0)</f>
        <v>0</v>
      </c>
      <c r="M826" s="63">
        <f>INDEX($AG$7:$AR$1005,ROW()-6,MATCH(MTD,$AG$6:$AR$6,0))</f>
        <v>0</v>
      </c>
      <c r="N826" s="34">
        <f t="shared" si="118"/>
        <v>0</v>
      </c>
      <c r="O826" s="64" t="str">
        <f t="shared" si="119"/>
        <v xml:space="preserve"> </v>
      </c>
      <c r="Q826" s="97">
        <f t="shared" si="120"/>
        <v>0</v>
      </c>
      <c r="R826" s="96">
        <f t="shared" si="121"/>
        <v>0</v>
      </c>
      <c r="T826" s="67" t="str">
        <f>IF($B826&lt;&gt;"",INDEX(DataOB[],FirstRow+ROW()-7,MATCH(T$6,DataOB[#Headers],0)),"")</f>
        <v/>
      </c>
      <c r="U826" s="67" t="str">
        <f>IF($B826&lt;&gt;"",INDEX(DataOB[],FirstRow+ROW()-7,MATCH(U$6,DataOB[#Headers],0)),"")</f>
        <v/>
      </c>
      <c r="V826" s="67" t="str">
        <f>IF($B826&lt;&gt;"",INDEX(DataOB[],FirstRow+ROW()-7,MATCH(V$6,DataOB[#Headers],0)),"")</f>
        <v/>
      </c>
      <c r="W826" s="67" t="str">
        <f>IF($B826&lt;&gt;"",INDEX(DataOB[],FirstRow+ROW()-7,MATCH(W$6,DataOB[#Headers],0)),"")</f>
        <v/>
      </c>
      <c r="X826" s="67" t="str">
        <f>IF($B826&lt;&gt;"",INDEX(DataOB[],FirstRow+ROW()-7,MATCH(X$6,DataOB[#Headers],0)),"")</f>
        <v/>
      </c>
      <c r="Y826" s="67" t="str">
        <f>IF($B826&lt;&gt;"",INDEX(DataOB[],FirstRow+ROW()-7,MATCH(Y$6,DataOB[#Headers],0)),"")</f>
        <v/>
      </c>
      <c r="Z826" s="67" t="str">
        <f>IF($B826&lt;&gt;"",INDEX(DataOB[],FirstRow+ROW()-7,MATCH(Z$6,DataOB[#Headers],0)),"")</f>
        <v/>
      </c>
      <c r="AA826" s="67" t="str">
        <f>IF($B826&lt;&gt;"",INDEX(DataOB[],FirstRow+ROW()-7,MATCH(AA$6,DataOB[#Headers],0)),"")</f>
        <v/>
      </c>
      <c r="AB826" s="67" t="str">
        <f>IF($B826&lt;&gt;"",INDEX(DataOB[],FirstRow+ROW()-7,MATCH(AB$6,DataOB[#Headers],0)),"")</f>
        <v/>
      </c>
      <c r="AC826" s="67" t="str">
        <f>IF($B826&lt;&gt;"",INDEX(DataOB[],FirstRow+ROW()-7,MATCH(AC$6,DataOB[#Headers],0)),"")</f>
        <v/>
      </c>
      <c r="AD826" s="67" t="str">
        <f>IF($B826&lt;&gt;"",INDEX(DataOB[],FirstRow+ROW()-7,MATCH(AD$6,DataOB[#Headers],0)),"")</f>
        <v/>
      </c>
      <c r="AE826" s="67" t="str">
        <f>IF($B826&lt;&gt;"",INDEX(DataOB[],FirstRow+ROW()-7,MATCH(AE$6,DataOB[#Headers],0)),"")</f>
        <v/>
      </c>
      <c r="AF826" s="26">
        <f t="shared" si="122"/>
        <v>0</v>
      </c>
      <c r="AG826" s="31">
        <f>SUM($T826:T826)</f>
        <v>0</v>
      </c>
      <c r="AH826" s="31">
        <f>SUM($T826:U826)</f>
        <v>0</v>
      </c>
      <c r="AI826" s="31">
        <f>SUM($T826:V826)</f>
        <v>0</v>
      </c>
      <c r="AJ826" s="31">
        <f>SUM($T826:W826)</f>
        <v>0</v>
      </c>
      <c r="AK826" s="31">
        <f>SUM($T826:X826)</f>
        <v>0</v>
      </c>
      <c r="AL826" s="31">
        <f>SUM($T826:Y826)</f>
        <v>0</v>
      </c>
      <c r="AM826" s="31">
        <f>SUM($T826:Z826)</f>
        <v>0</v>
      </c>
      <c r="AN826" s="31">
        <f>SUM($T826:AA826)</f>
        <v>0</v>
      </c>
      <c r="AO826" s="31">
        <f>SUM($T826:AB826)</f>
        <v>0</v>
      </c>
      <c r="AP826" s="31">
        <f>SUM($T826:AC826)</f>
        <v>0</v>
      </c>
      <c r="AQ826" s="31">
        <f>SUM($T826:AD826)</f>
        <v>0</v>
      </c>
      <c r="AR826" s="31">
        <f>SUM($T826:AE826)</f>
        <v>0</v>
      </c>
      <c r="AS826" s="27">
        <f t="shared" si="123"/>
        <v>0</v>
      </c>
    </row>
    <row r="827" spans="2:45">
      <c r="B827" s="102" t="str">
        <f>IF(ROW()-6&gt;NumCostCenter,"",IF(CostCenter&lt;&gt;"ALL",CostCenter,DATA_LF2!B825))</f>
        <v/>
      </c>
      <c r="C827" s="153" t="str">
        <f>IF($B827&lt;&gt;"",INDEX(DataOB[],FirstRow+ROW()-7,2),"")</f>
        <v/>
      </c>
      <c r="D827" s="66" t="str">
        <f>IF($B827&lt;&gt;"",INDEX(DataOB[],FirstRow+ROW()-7,3),"")</f>
        <v/>
      </c>
      <c r="E827" s="103" t="str">
        <f>IF($B827&lt;&gt;"",INDEX(DataOB[],FirstRow+ROW()-7,6),"")</f>
        <v/>
      </c>
      <c r="F827" s="103" t="str">
        <f>IF($B827&lt;&gt;"",INDEX(DataOB[],FirstRow+ROW()-7,5),"")</f>
        <v/>
      </c>
      <c r="G827" s="58">
        <f>IF($B827&lt;&gt;"",SUMIFS(DataAct_tbl[AMOUNT],DataAct_tbl[BG CODE],Detail!$D827,DataAct_tbl[MONTH],LEFT(MonthName,3),DataAct_tbl[Dept code],$B827),0)</f>
        <v>0</v>
      </c>
      <c r="H827" s="31" t="str">
        <f t="shared" si="115"/>
        <v/>
      </c>
      <c r="I827" s="28" t="str">
        <f t="shared" si="116"/>
        <v/>
      </c>
      <c r="J827" s="32" t="str">
        <f t="shared" si="117"/>
        <v/>
      </c>
      <c r="K827" s="86"/>
      <c r="L827" s="62">
        <f>IF($B827&lt;&gt;"",SUMIFS(DataAct_tbl[AMOUNT],DataAct_tbl[BG CODE],Detail!$D827,DataAct_tbl[Check Range],"=true",DataAct_tbl[Dept code],$B827),0)</f>
        <v>0</v>
      </c>
      <c r="M827" s="63">
        <f>INDEX($AG$7:$AR$1005,ROW()-6,MATCH(MTD,$AG$6:$AR$6,0))</f>
        <v>0</v>
      </c>
      <c r="N827" s="34">
        <f t="shared" si="118"/>
        <v>0</v>
      </c>
      <c r="O827" s="64" t="str">
        <f t="shared" si="119"/>
        <v xml:space="preserve"> </v>
      </c>
      <c r="Q827" s="97">
        <f t="shared" si="120"/>
        <v>0</v>
      </c>
      <c r="R827" s="96">
        <f t="shared" si="121"/>
        <v>0</v>
      </c>
      <c r="T827" s="67" t="str">
        <f>IF($B827&lt;&gt;"",INDEX(DataOB[],FirstRow+ROW()-7,MATCH(T$6,DataOB[#Headers],0)),"")</f>
        <v/>
      </c>
      <c r="U827" s="67" t="str">
        <f>IF($B827&lt;&gt;"",INDEX(DataOB[],FirstRow+ROW()-7,MATCH(U$6,DataOB[#Headers],0)),"")</f>
        <v/>
      </c>
      <c r="V827" s="67" t="str">
        <f>IF($B827&lt;&gt;"",INDEX(DataOB[],FirstRow+ROW()-7,MATCH(V$6,DataOB[#Headers],0)),"")</f>
        <v/>
      </c>
      <c r="W827" s="67" t="str">
        <f>IF($B827&lt;&gt;"",INDEX(DataOB[],FirstRow+ROW()-7,MATCH(W$6,DataOB[#Headers],0)),"")</f>
        <v/>
      </c>
      <c r="X827" s="67" t="str">
        <f>IF($B827&lt;&gt;"",INDEX(DataOB[],FirstRow+ROW()-7,MATCH(X$6,DataOB[#Headers],0)),"")</f>
        <v/>
      </c>
      <c r="Y827" s="67" t="str">
        <f>IF($B827&lt;&gt;"",INDEX(DataOB[],FirstRow+ROW()-7,MATCH(Y$6,DataOB[#Headers],0)),"")</f>
        <v/>
      </c>
      <c r="Z827" s="67" t="str">
        <f>IF($B827&lt;&gt;"",INDEX(DataOB[],FirstRow+ROW()-7,MATCH(Z$6,DataOB[#Headers],0)),"")</f>
        <v/>
      </c>
      <c r="AA827" s="67" t="str">
        <f>IF($B827&lt;&gt;"",INDEX(DataOB[],FirstRow+ROW()-7,MATCH(AA$6,DataOB[#Headers],0)),"")</f>
        <v/>
      </c>
      <c r="AB827" s="67" t="str">
        <f>IF($B827&lt;&gt;"",INDEX(DataOB[],FirstRow+ROW()-7,MATCH(AB$6,DataOB[#Headers],0)),"")</f>
        <v/>
      </c>
      <c r="AC827" s="67" t="str">
        <f>IF($B827&lt;&gt;"",INDEX(DataOB[],FirstRow+ROW()-7,MATCH(AC$6,DataOB[#Headers],0)),"")</f>
        <v/>
      </c>
      <c r="AD827" s="67" t="str">
        <f>IF($B827&lt;&gt;"",INDEX(DataOB[],FirstRow+ROW()-7,MATCH(AD$6,DataOB[#Headers],0)),"")</f>
        <v/>
      </c>
      <c r="AE827" s="67" t="str">
        <f>IF($B827&lt;&gt;"",INDEX(DataOB[],FirstRow+ROW()-7,MATCH(AE$6,DataOB[#Headers],0)),"")</f>
        <v/>
      </c>
      <c r="AF827" s="26">
        <f t="shared" si="122"/>
        <v>0</v>
      </c>
      <c r="AG827" s="31">
        <f>SUM($T827:T827)</f>
        <v>0</v>
      </c>
      <c r="AH827" s="31">
        <f>SUM($T827:U827)</f>
        <v>0</v>
      </c>
      <c r="AI827" s="31">
        <f>SUM($T827:V827)</f>
        <v>0</v>
      </c>
      <c r="AJ827" s="31">
        <f>SUM($T827:W827)</f>
        <v>0</v>
      </c>
      <c r="AK827" s="31">
        <f>SUM($T827:X827)</f>
        <v>0</v>
      </c>
      <c r="AL827" s="31">
        <f>SUM($T827:Y827)</f>
        <v>0</v>
      </c>
      <c r="AM827" s="31">
        <f>SUM($T827:Z827)</f>
        <v>0</v>
      </c>
      <c r="AN827" s="31">
        <f>SUM($T827:AA827)</f>
        <v>0</v>
      </c>
      <c r="AO827" s="31">
        <f>SUM($T827:AB827)</f>
        <v>0</v>
      </c>
      <c r="AP827" s="31">
        <f>SUM($T827:AC827)</f>
        <v>0</v>
      </c>
      <c r="AQ827" s="31">
        <f>SUM($T827:AD827)</f>
        <v>0</v>
      </c>
      <c r="AR827" s="31">
        <f>SUM($T827:AE827)</f>
        <v>0</v>
      </c>
      <c r="AS827" s="27">
        <f t="shared" si="123"/>
        <v>0</v>
      </c>
    </row>
    <row r="828" spans="2:45">
      <c r="B828" s="102" t="str">
        <f>IF(ROW()-6&gt;NumCostCenter,"",IF(CostCenter&lt;&gt;"ALL",CostCenter,DATA_LF2!B826))</f>
        <v/>
      </c>
      <c r="C828" s="153" t="str">
        <f>IF($B828&lt;&gt;"",INDEX(DataOB[],FirstRow+ROW()-7,2),"")</f>
        <v/>
      </c>
      <c r="D828" s="66" t="str">
        <f>IF($B828&lt;&gt;"",INDEX(DataOB[],FirstRow+ROW()-7,3),"")</f>
        <v/>
      </c>
      <c r="E828" s="103" t="str">
        <f>IF($B828&lt;&gt;"",INDEX(DataOB[],FirstRow+ROW()-7,6),"")</f>
        <v/>
      </c>
      <c r="F828" s="103" t="str">
        <f>IF($B828&lt;&gt;"",INDEX(DataOB[],FirstRow+ROW()-7,5),"")</f>
        <v/>
      </c>
      <c r="G828" s="58">
        <f>IF($B828&lt;&gt;"",SUMIFS(DataAct_tbl[AMOUNT],DataAct_tbl[BG CODE],Detail!$D828,DataAct_tbl[MONTH],LEFT(MonthName,3),DataAct_tbl[Dept code],$B828),0)</f>
        <v>0</v>
      </c>
      <c r="H828" s="31" t="str">
        <f t="shared" si="115"/>
        <v/>
      </c>
      <c r="I828" s="28" t="str">
        <f t="shared" si="116"/>
        <v/>
      </c>
      <c r="J828" s="32" t="str">
        <f t="shared" si="117"/>
        <v/>
      </c>
      <c r="K828" s="86"/>
      <c r="L828" s="62">
        <f>IF($B828&lt;&gt;"",SUMIFS(DataAct_tbl[AMOUNT],DataAct_tbl[BG CODE],Detail!$D828,DataAct_tbl[Check Range],"=true",DataAct_tbl[Dept code],$B828),0)</f>
        <v>0</v>
      </c>
      <c r="M828" s="63">
        <f>INDEX($AG$7:$AR$1005,ROW()-6,MATCH(MTD,$AG$6:$AR$6,0))</f>
        <v>0</v>
      </c>
      <c r="N828" s="34">
        <f t="shared" si="118"/>
        <v>0</v>
      </c>
      <c r="O828" s="64" t="str">
        <f t="shared" si="119"/>
        <v xml:space="preserve"> </v>
      </c>
      <c r="Q828" s="97">
        <f t="shared" si="120"/>
        <v>0</v>
      </c>
      <c r="R828" s="96">
        <f t="shared" si="121"/>
        <v>0</v>
      </c>
      <c r="T828" s="67" t="str">
        <f>IF($B828&lt;&gt;"",INDEX(DataOB[],FirstRow+ROW()-7,MATCH(T$6,DataOB[#Headers],0)),"")</f>
        <v/>
      </c>
      <c r="U828" s="67" t="str">
        <f>IF($B828&lt;&gt;"",INDEX(DataOB[],FirstRow+ROW()-7,MATCH(U$6,DataOB[#Headers],0)),"")</f>
        <v/>
      </c>
      <c r="V828" s="67" t="str">
        <f>IF($B828&lt;&gt;"",INDEX(DataOB[],FirstRow+ROW()-7,MATCH(V$6,DataOB[#Headers],0)),"")</f>
        <v/>
      </c>
      <c r="W828" s="67" t="str">
        <f>IF($B828&lt;&gt;"",INDEX(DataOB[],FirstRow+ROW()-7,MATCH(W$6,DataOB[#Headers],0)),"")</f>
        <v/>
      </c>
      <c r="X828" s="67" t="str">
        <f>IF($B828&lt;&gt;"",INDEX(DataOB[],FirstRow+ROW()-7,MATCH(X$6,DataOB[#Headers],0)),"")</f>
        <v/>
      </c>
      <c r="Y828" s="67" t="str">
        <f>IF($B828&lt;&gt;"",INDEX(DataOB[],FirstRow+ROW()-7,MATCH(Y$6,DataOB[#Headers],0)),"")</f>
        <v/>
      </c>
      <c r="Z828" s="67" t="str">
        <f>IF($B828&lt;&gt;"",INDEX(DataOB[],FirstRow+ROW()-7,MATCH(Z$6,DataOB[#Headers],0)),"")</f>
        <v/>
      </c>
      <c r="AA828" s="67" t="str">
        <f>IF($B828&lt;&gt;"",INDEX(DataOB[],FirstRow+ROW()-7,MATCH(AA$6,DataOB[#Headers],0)),"")</f>
        <v/>
      </c>
      <c r="AB828" s="67" t="str">
        <f>IF($B828&lt;&gt;"",INDEX(DataOB[],FirstRow+ROW()-7,MATCH(AB$6,DataOB[#Headers],0)),"")</f>
        <v/>
      </c>
      <c r="AC828" s="67" t="str">
        <f>IF($B828&lt;&gt;"",INDEX(DataOB[],FirstRow+ROW()-7,MATCH(AC$6,DataOB[#Headers],0)),"")</f>
        <v/>
      </c>
      <c r="AD828" s="67" t="str">
        <f>IF($B828&lt;&gt;"",INDEX(DataOB[],FirstRow+ROW()-7,MATCH(AD$6,DataOB[#Headers],0)),"")</f>
        <v/>
      </c>
      <c r="AE828" s="67" t="str">
        <f>IF($B828&lt;&gt;"",INDEX(DataOB[],FirstRow+ROW()-7,MATCH(AE$6,DataOB[#Headers],0)),"")</f>
        <v/>
      </c>
      <c r="AF828" s="26">
        <f t="shared" si="122"/>
        <v>0</v>
      </c>
      <c r="AG828" s="31">
        <f>SUM($T828:T828)</f>
        <v>0</v>
      </c>
      <c r="AH828" s="31">
        <f>SUM($T828:U828)</f>
        <v>0</v>
      </c>
      <c r="AI828" s="31">
        <f>SUM($T828:V828)</f>
        <v>0</v>
      </c>
      <c r="AJ828" s="31">
        <f>SUM($T828:W828)</f>
        <v>0</v>
      </c>
      <c r="AK828" s="31">
        <f>SUM($T828:X828)</f>
        <v>0</v>
      </c>
      <c r="AL828" s="31">
        <f>SUM($T828:Y828)</f>
        <v>0</v>
      </c>
      <c r="AM828" s="31">
        <f>SUM($T828:Z828)</f>
        <v>0</v>
      </c>
      <c r="AN828" s="31">
        <f>SUM($T828:AA828)</f>
        <v>0</v>
      </c>
      <c r="AO828" s="31">
        <f>SUM($T828:AB828)</f>
        <v>0</v>
      </c>
      <c r="AP828" s="31">
        <f>SUM($T828:AC828)</f>
        <v>0</v>
      </c>
      <c r="AQ828" s="31">
        <f>SUM($T828:AD828)</f>
        <v>0</v>
      </c>
      <c r="AR828" s="31">
        <f>SUM($T828:AE828)</f>
        <v>0</v>
      </c>
      <c r="AS828" s="27">
        <f t="shared" si="123"/>
        <v>0</v>
      </c>
    </row>
    <row r="829" spans="2:45">
      <c r="B829" s="102" t="str">
        <f>IF(ROW()-6&gt;NumCostCenter,"",IF(CostCenter&lt;&gt;"ALL",CostCenter,DATA_LF2!B827))</f>
        <v/>
      </c>
      <c r="C829" s="153" t="str">
        <f>IF($B829&lt;&gt;"",INDEX(DataOB[],FirstRow+ROW()-7,2),"")</f>
        <v/>
      </c>
      <c r="D829" s="66" t="str">
        <f>IF($B829&lt;&gt;"",INDEX(DataOB[],FirstRow+ROW()-7,3),"")</f>
        <v/>
      </c>
      <c r="E829" s="103" t="str">
        <f>IF($B829&lt;&gt;"",INDEX(DataOB[],FirstRow+ROW()-7,6),"")</f>
        <v/>
      </c>
      <c r="F829" s="103" t="str">
        <f>IF($B829&lt;&gt;"",INDEX(DataOB[],FirstRow+ROW()-7,5),"")</f>
        <v/>
      </c>
      <c r="G829" s="58">
        <f>IF($B829&lt;&gt;"",SUMIFS(DataAct_tbl[AMOUNT],DataAct_tbl[BG CODE],Detail!$D829,DataAct_tbl[MONTH],LEFT(MonthName,3),DataAct_tbl[Dept code],$B829),0)</f>
        <v>0</v>
      </c>
      <c r="H829" s="31" t="str">
        <f t="shared" si="115"/>
        <v/>
      </c>
      <c r="I829" s="28" t="str">
        <f t="shared" si="116"/>
        <v/>
      </c>
      <c r="J829" s="32" t="str">
        <f t="shared" si="117"/>
        <v/>
      </c>
      <c r="K829" s="86"/>
      <c r="L829" s="62">
        <f>IF($B829&lt;&gt;"",SUMIFS(DataAct_tbl[AMOUNT],DataAct_tbl[BG CODE],Detail!$D829,DataAct_tbl[Check Range],"=true",DataAct_tbl[Dept code],$B829),0)</f>
        <v>0</v>
      </c>
      <c r="M829" s="63">
        <f>INDEX($AG$7:$AR$1005,ROW()-6,MATCH(MTD,$AG$6:$AR$6,0))</f>
        <v>0</v>
      </c>
      <c r="N829" s="34">
        <f t="shared" si="118"/>
        <v>0</v>
      </c>
      <c r="O829" s="64" t="str">
        <f t="shared" si="119"/>
        <v xml:space="preserve"> </v>
      </c>
      <c r="Q829" s="97">
        <f t="shared" si="120"/>
        <v>0</v>
      </c>
      <c r="R829" s="96">
        <f t="shared" si="121"/>
        <v>0</v>
      </c>
      <c r="T829" s="67" t="str">
        <f>IF($B829&lt;&gt;"",INDEX(DataOB[],FirstRow+ROW()-7,MATCH(T$6,DataOB[#Headers],0)),"")</f>
        <v/>
      </c>
      <c r="U829" s="67" t="str">
        <f>IF($B829&lt;&gt;"",INDEX(DataOB[],FirstRow+ROW()-7,MATCH(U$6,DataOB[#Headers],0)),"")</f>
        <v/>
      </c>
      <c r="V829" s="67" t="str">
        <f>IF($B829&lt;&gt;"",INDEX(DataOB[],FirstRow+ROW()-7,MATCH(V$6,DataOB[#Headers],0)),"")</f>
        <v/>
      </c>
      <c r="W829" s="67" t="str">
        <f>IF($B829&lt;&gt;"",INDEX(DataOB[],FirstRow+ROW()-7,MATCH(W$6,DataOB[#Headers],0)),"")</f>
        <v/>
      </c>
      <c r="X829" s="67" t="str">
        <f>IF($B829&lt;&gt;"",INDEX(DataOB[],FirstRow+ROW()-7,MATCH(X$6,DataOB[#Headers],0)),"")</f>
        <v/>
      </c>
      <c r="Y829" s="67" t="str">
        <f>IF($B829&lt;&gt;"",INDEX(DataOB[],FirstRow+ROW()-7,MATCH(Y$6,DataOB[#Headers],0)),"")</f>
        <v/>
      </c>
      <c r="Z829" s="67" t="str">
        <f>IF($B829&lt;&gt;"",INDEX(DataOB[],FirstRow+ROW()-7,MATCH(Z$6,DataOB[#Headers],0)),"")</f>
        <v/>
      </c>
      <c r="AA829" s="67" t="str">
        <f>IF($B829&lt;&gt;"",INDEX(DataOB[],FirstRow+ROW()-7,MATCH(AA$6,DataOB[#Headers],0)),"")</f>
        <v/>
      </c>
      <c r="AB829" s="67" t="str">
        <f>IF($B829&lt;&gt;"",INDEX(DataOB[],FirstRow+ROW()-7,MATCH(AB$6,DataOB[#Headers],0)),"")</f>
        <v/>
      </c>
      <c r="AC829" s="67" t="str">
        <f>IF($B829&lt;&gt;"",INDEX(DataOB[],FirstRow+ROW()-7,MATCH(AC$6,DataOB[#Headers],0)),"")</f>
        <v/>
      </c>
      <c r="AD829" s="67" t="str">
        <f>IF($B829&lt;&gt;"",INDEX(DataOB[],FirstRow+ROW()-7,MATCH(AD$6,DataOB[#Headers],0)),"")</f>
        <v/>
      </c>
      <c r="AE829" s="67" t="str">
        <f>IF($B829&lt;&gt;"",INDEX(DataOB[],FirstRow+ROW()-7,MATCH(AE$6,DataOB[#Headers],0)),"")</f>
        <v/>
      </c>
      <c r="AF829" s="26">
        <f t="shared" si="122"/>
        <v>0</v>
      </c>
      <c r="AG829" s="31">
        <f>SUM($T829:T829)</f>
        <v>0</v>
      </c>
      <c r="AH829" s="31">
        <f>SUM($T829:U829)</f>
        <v>0</v>
      </c>
      <c r="AI829" s="31">
        <f>SUM($T829:V829)</f>
        <v>0</v>
      </c>
      <c r="AJ829" s="31">
        <f>SUM($T829:W829)</f>
        <v>0</v>
      </c>
      <c r="AK829" s="31">
        <f>SUM($T829:X829)</f>
        <v>0</v>
      </c>
      <c r="AL829" s="31">
        <f>SUM($T829:Y829)</f>
        <v>0</v>
      </c>
      <c r="AM829" s="31">
        <f>SUM($T829:Z829)</f>
        <v>0</v>
      </c>
      <c r="AN829" s="31">
        <f>SUM($T829:AA829)</f>
        <v>0</v>
      </c>
      <c r="AO829" s="31">
        <f>SUM($T829:AB829)</f>
        <v>0</v>
      </c>
      <c r="AP829" s="31">
        <f>SUM($T829:AC829)</f>
        <v>0</v>
      </c>
      <c r="AQ829" s="31">
        <f>SUM($T829:AD829)</f>
        <v>0</v>
      </c>
      <c r="AR829" s="31">
        <f>SUM($T829:AE829)</f>
        <v>0</v>
      </c>
      <c r="AS829" s="27">
        <f t="shared" si="123"/>
        <v>0</v>
      </c>
    </row>
    <row r="830" spans="2:45">
      <c r="B830" s="102" t="str">
        <f>IF(ROW()-6&gt;NumCostCenter,"",IF(CostCenter&lt;&gt;"ALL",CostCenter,DATA_LF2!B828))</f>
        <v/>
      </c>
      <c r="C830" s="153" t="str">
        <f>IF($B830&lt;&gt;"",INDEX(DataOB[],FirstRow+ROW()-7,2),"")</f>
        <v/>
      </c>
      <c r="D830" s="66" t="str">
        <f>IF($B830&lt;&gt;"",INDEX(DataOB[],FirstRow+ROW()-7,3),"")</f>
        <v/>
      </c>
      <c r="E830" s="103" t="str">
        <f>IF($B830&lt;&gt;"",INDEX(DataOB[],FirstRow+ROW()-7,6),"")</f>
        <v/>
      </c>
      <c r="F830" s="103" t="str">
        <f>IF($B830&lt;&gt;"",INDEX(DataOB[],FirstRow+ROW()-7,5),"")</f>
        <v/>
      </c>
      <c r="G830" s="58">
        <f>IF($B830&lt;&gt;"",SUMIFS(DataAct_tbl[AMOUNT],DataAct_tbl[BG CODE],Detail!$D830,DataAct_tbl[MONTH],LEFT(MonthName,3),DataAct_tbl[Dept code],$B830),0)</f>
        <v>0</v>
      </c>
      <c r="H830" s="31" t="str">
        <f t="shared" si="115"/>
        <v/>
      </c>
      <c r="I830" s="28" t="str">
        <f t="shared" si="116"/>
        <v/>
      </c>
      <c r="J830" s="32" t="str">
        <f t="shared" si="117"/>
        <v/>
      </c>
      <c r="K830" s="86"/>
      <c r="L830" s="62">
        <f>IF($B830&lt;&gt;"",SUMIFS(DataAct_tbl[AMOUNT],DataAct_tbl[BG CODE],Detail!$D830,DataAct_tbl[Check Range],"=true",DataAct_tbl[Dept code],$B830),0)</f>
        <v>0</v>
      </c>
      <c r="M830" s="63">
        <f>INDEX($AG$7:$AR$1005,ROW()-6,MATCH(MTD,$AG$6:$AR$6,0))</f>
        <v>0</v>
      </c>
      <c r="N830" s="34">
        <f t="shared" si="118"/>
        <v>0</v>
      </c>
      <c r="O830" s="64" t="str">
        <f t="shared" si="119"/>
        <v xml:space="preserve"> </v>
      </c>
      <c r="Q830" s="97">
        <f t="shared" si="120"/>
        <v>0</v>
      </c>
      <c r="R830" s="96">
        <f t="shared" si="121"/>
        <v>0</v>
      </c>
      <c r="T830" s="67" t="str">
        <f>IF($B830&lt;&gt;"",INDEX(DataOB[],FirstRow+ROW()-7,MATCH(T$6,DataOB[#Headers],0)),"")</f>
        <v/>
      </c>
      <c r="U830" s="67" t="str">
        <f>IF($B830&lt;&gt;"",INDEX(DataOB[],FirstRow+ROW()-7,MATCH(U$6,DataOB[#Headers],0)),"")</f>
        <v/>
      </c>
      <c r="V830" s="67" t="str">
        <f>IF($B830&lt;&gt;"",INDEX(DataOB[],FirstRow+ROW()-7,MATCH(V$6,DataOB[#Headers],0)),"")</f>
        <v/>
      </c>
      <c r="W830" s="67" t="str">
        <f>IF($B830&lt;&gt;"",INDEX(DataOB[],FirstRow+ROW()-7,MATCH(W$6,DataOB[#Headers],0)),"")</f>
        <v/>
      </c>
      <c r="X830" s="67" t="str">
        <f>IF($B830&lt;&gt;"",INDEX(DataOB[],FirstRow+ROW()-7,MATCH(X$6,DataOB[#Headers],0)),"")</f>
        <v/>
      </c>
      <c r="Y830" s="67" t="str">
        <f>IF($B830&lt;&gt;"",INDEX(DataOB[],FirstRow+ROW()-7,MATCH(Y$6,DataOB[#Headers],0)),"")</f>
        <v/>
      </c>
      <c r="Z830" s="67" t="str">
        <f>IF($B830&lt;&gt;"",INDEX(DataOB[],FirstRow+ROW()-7,MATCH(Z$6,DataOB[#Headers],0)),"")</f>
        <v/>
      </c>
      <c r="AA830" s="67" t="str">
        <f>IF($B830&lt;&gt;"",INDEX(DataOB[],FirstRow+ROW()-7,MATCH(AA$6,DataOB[#Headers],0)),"")</f>
        <v/>
      </c>
      <c r="AB830" s="67" t="str">
        <f>IF($B830&lt;&gt;"",INDEX(DataOB[],FirstRow+ROW()-7,MATCH(AB$6,DataOB[#Headers],0)),"")</f>
        <v/>
      </c>
      <c r="AC830" s="67" t="str">
        <f>IF($B830&lt;&gt;"",INDEX(DataOB[],FirstRow+ROW()-7,MATCH(AC$6,DataOB[#Headers],0)),"")</f>
        <v/>
      </c>
      <c r="AD830" s="67" t="str">
        <f>IF($B830&lt;&gt;"",INDEX(DataOB[],FirstRow+ROW()-7,MATCH(AD$6,DataOB[#Headers],0)),"")</f>
        <v/>
      </c>
      <c r="AE830" s="67" t="str">
        <f>IF($B830&lt;&gt;"",INDEX(DataOB[],FirstRow+ROW()-7,MATCH(AE$6,DataOB[#Headers],0)),"")</f>
        <v/>
      </c>
      <c r="AF830" s="26">
        <f t="shared" si="122"/>
        <v>0</v>
      </c>
      <c r="AG830" s="31">
        <f>SUM($T830:T830)</f>
        <v>0</v>
      </c>
      <c r="AH830" s="31">
        <f>SUM($T830:U830)</f>
        <v>0</v>
      </c>
      <c r="AI830" s="31">
        <f>SUM($T830:V830)</f>
        <v>0</v>
      </c>
      <c r="AJ830" s="31">
        <f>SUM($T830:W830)</f>
        <v>0</v>
      </c>
      <c r="AK830" s="31">
        <f>SUM($T830:X830)</f>
        <v>0</v>
      </c>
      <c r="AL830" s="31">
        <f>SUM($T830:Y830)</f>
        <v>0</v>
      </c>
      <c r="AM830" s="31">
        <f>SUM($T830:Z830)</f>
        <v>0</v>
      </c>
      <c r="AN830" s="31">
        <f>SUM($T830:AA830)</f>
        <v>0</v>
      </c>
      <c r="AO830" s="31">
        <f>SUM($T830:AB830)</f>
        <v>0</v>
      </c>
      <c r="AP830" s="31">
        <f>SUM($T830:AC830)</f>
        <v>0</v>
      </c>
      <c r="AQ830" s="31">
        <f>SUM($T830:AD830)</f>
        <v>0</v>
      </c>
      <c r="AR830" s="31">
        <f>SUM($T830:AE830)</f>
        <v>0</v>
      </c>
      <c r="AS830" s="27">
        <f t="shared" si="123"/>
        <v>0</v>
      </c>
    </row>
    <row r="831" spans="2:45">
      <c r="B831" s="102" t="str">
        <f>IF(ROW()-6&gt;NumCostCenter,"",IF(CostCenter&lt;&gt;"ALL",CostCenter,DATA_LF2!B829))</f>
        <v/>
      </c>
      <c r="C831" s="153" t="str">
        <f>IF($B831&lt;&gt;"",INDEX(DataOB[],FirstRow+ROW()-7,2),"")</f>
        <v/>
      </c>
      <c r="D831" s="66" t="str">
        <f>IF($B831&lt;&gt;"",INDEX(DataOB[],FirstRow+ROW()-7,3),"")</f>
        <v/>
      </c>
      <c r="E831" s="103" t="str">
        <f>IF($B831&lt;&gt;"",INDEX(DataOB[],FirstRow+ROW()-7,6),"")</f>
        <v/>
      </c>
      <c r="F831" s="103" t="str">
        <f>IF($B831&lt;&gt;"",INDEX(DataOB[],FirstRow+ROW()-7,5),"")</f>
        <v/>
      </c>
      <c r="G831" s="58">
        <f>IF($B831&lt;&gt;"",SUMIFS(DataAct_tbl[AMOUNT],DataAct_tbl[BG CODE],Detail!$D831,DataAct_tbl[MONTH],LEFT(MonthName,3),DataAct_tbl[Dept code],$B831),0)</f>
        <v>0</v>
      </c>
      <c r="H831" s="31" t="str">
        <f t="shared" si="115"/>
        <v/>
      </c>
      <c r="I831" s="28" t="str">
        <f t="shared" si="116"/>
        <v/>
      </c>
      <c r="J831" s="32" t="str">
        <f t="shared" si="117"/>
        <v/>
      </c>
      <c r="K831" s="86"/>
      <c r="L831" s="62">
        <f>IF($B831&lt;&gt;"",SUMIFS(DataAct_tbl[AMOUNT],DataAct_tbl[BG CODE],Detail!$D831,DataAct_tbl[Check Range],"=true",DataAct_tbl[Dept code],$B831),0)</f>
        <v>0</v>
      </c>
      <c r="M831" s="63">
        <f>INDEX($AG$7:$AR$1005,ROW()-6,MATCH(MTD,$AG$6:$AR$6,0))</f>
        <v>0</v>
      </c>
      <c r="N831" s="34">
        <f t="shared" si="118"/>
        <v>0</v>
      </c>
      <c r="O831" s="64" t="str">
        <f t="shared" si="119"/>
        <v xml:space="preserve"> </v>
      </c>
      <c r="Q831" s="97">
        <f t="shared" si="120"/>
        <v>0</v>
      </c>
      <c r="R831" s="96">
        <f t="shared" si="121"/>
        <v>0</v>
      </c>
      <c r="T831" s="67" t="str">
        <f>IF($B831&lt;&gt;"",INDEX(DataOB[],FirstRow+ROW()-7,MATCH(T$6,DataOB[#Headers],0)),"")</f>
        <v/>
      </c>
      <c r="U831" s="67" t="str">
        <f>IF($B831&lt;&gt;"",INDEX(DataOB[],FirstRow+ROW()-7,MATCH(U$6,DataOB[#Headers],0)),"")</f>
        <v/>
      </c>
      <c r="V831" s="67" t="str">
        <f>IF($B831&lt;&gt;"",INDEX(DataOB[],FirstRow+ROW()-7,MATCH(V$6,DataOB[#Headers],0)),"")</f>
        <v/>
      </c>
      <c r="W831" s="67" t="str">
        <f>IF($B831&lt;&gt;"",INDEX(DataOB[],FirstRow+ROW()-7,MATCH(W$6,DataOB[#Headers],0)),"")</f>
        <v/>
      </c>
      <c r="X831" s="67" t="str">
        <f>IF($B831&lt;&gt;"",INDEX(DataOB[],FirstRow+ROW()-7,MATCH(X$6,DataOB[#Headers],0)),"")</f>
        <v/>
      </c>
      <c r="Y831" s="67" t="str">
        <f>IF($B831&lt;&gt;"",INDEX(DataOB[],FirstRow+ROW()-7,MATCH(Y$6,DataOB[#Headers],0)),"")</f>
        <v/>
      </c>
      <c r="Z831" s="67" t="str">
        <f>IF($B831&lt;&gt;"",INDEX(DataOB[],FirstRow+ROW()-7,MATCH(Z$6,DataOB[#Headers],0)),"")</f>
        <v/>
      </c>
      <c r="AA831" s="67" t="str">
        <f>IF($B831&lt;&gt;"",INDEX(DataOB[],FirstRow+ROW()-7,MATCH(AA$6,DataOB[#Headers],0)),"")</f>
        <v/>
      </c>
      <c r="AB831" s="67" t="str">
        <f>IF($B831&lt;&gt;"",INDEX(DataOB[],FirstRow+ROW()-7,MATCH(AB$6,DataOB[#Headers],0)),"")</f>
        <v/>
      </c>
      <c r="AC831" s="67" t="str">
        <f>IF($B831&lt;&gt;"",INDEX(DataOB[],FirstRow+ROW()-7,MATCH(AC$6,DataOB[#Headers],0)),"")</f>
        <v/>
      </c>
      <c r="AD831" s="67" t="str">
        <f>IF($B831&lt;&gt;"",INDEX(DataOB[],FirstRow+ROW()-7,MATCH(AD$6,DataOB[#Headers],0)),"")</f>
        <v/>
      </c>
      <c r="AE831" s="67" t="str">
        <f>IF($B831&lt;&gt;"",INDEX(DataOB[],FirstRow+ROW()-7,MATCH(AE$6,DataOB[#Headers],0)),"")</f>
        <v/>
      </c>
      <c r="AF831" s="26">
        <f t="shared" si="122"/>
        <v>0</v>
      </c>
      <c r="AG831" s="31">
        <f>SUM($T831:T831)</f>
        <v>0</v>
      </c>
      <c r="AH831" s="31">
        <f>SUM($T831:U831)</f>
        <v>0</v>
      </c>
      <c r="AI831" s="31">
        <f>SUM($T831:V831)</f>
        <v>0</v>
      </c>
      <c r="AJ831" s="31">
        <f>SUM($T831:W831)</f>
        <v>0</v>
      </c>
      <c r="AK831" s="31">
        <f>SUM($T831:X831)</f>
        <v>0</v>
      </c>
      <c r="AL831" s="31">
        <f>SUM($T831:Y831)</f>
        <v>0</v>
      </c>
      <c r="AM831" s="31">
        <f>SUM($T831:Z831)</f>
        <v>0</v>
      </c>
      <c r="AN831" s="31">
        <f>SUM($T831:AA831)</f>
        <v>0</v>
      </c>
      <c r="AO831" s="31">
        <f>SUM($T831:AB831)</f>
        <v>0</v>
      </c>
      <c r="AP831" s="31">
        <f>SUM($T831:AC831)</f>
        <v>0</v>
      </c>
      <c r="AQ831" s="31">
        <f>SUM($T831:AD831)</f>
        <v>0</v>
      </c>
      <c r="AR831" s="31">
        <f>SUM($T831:AE831)</f>
        <v>0</v>
      </c>
      <c r="AS831" s="27">
        <f t="shared" si="123"/>
        <v>0</v>
      </c>
    </row>
    <row r="832" spans="2:45">
      <c r="B832" s="102" t="str">
        <f>IF(ROW()-6&gt;NumCostCenter,"",IF(CostCenter&lt;&gt;"ALL",CostCenter,DATA_LF2!B830))</f>
        <v/>
      </c>
      <c r="C832" s="153" t="str">
        <f>IF($B832&lt;&gt;"",INDEX(DataOB[],FirstRow+ROW()-7,2),"")</f>
        <v/>
      </c>
      <c r="D832" s="66" t="str">
        <f>IF($B832&lt;&gt;"",INDEX(DataOB[],FirstRow+ROW()-7,3),"")</f>
        <v/>
      </c>
      <c r="E832" s="103" t="str">
        <f>IF($B832&lt;&gt;"",INDEX(DataOB[],FirstRow+ROW()-7,6),"")</f>
        <v/>
      </c>
      <c r="F832" s="103" t="str">
        <f>IF($B832&lt;&gt;"",INDEX(DataOB[],FirstRow+ROW()-7,5),"")</f>
        <v/>
      </c>
      <c r="G832" s="58">
        <f>IF($B832&lt;&gt;"",SUMIFS(DataAct_tbl[AMOUNT],DataAct_tbl[BG CODE],Detail!$D832,DataAct_tbl[MONTH],LEFT(MonthName,3),DataAct_tbl[Dept code],$B832),0)</f>
        <v>0</v>
      </c>
      <c r="H832" s="31" t="str">
        <f t="shared" si="115"/>
        <v/>
      </c>
      <c r="I832" s="28" t="str">
        <f t="shared" si="116"/>
        <v/>
      </c>
      <c r="J832" s="32" t="str">
        <f t="shared" si="117"/>
        <v/>
      </c>
      <c r="K832" s="86"/>
      <c r="L832" s="62">
        <f>IF($B832&lt;&gt;"",SUMIFS(DataAct_tbl[AMOUNT],DataAct_tbl[BG CODE],Detail!$D832,DataAct_tbl[Check Range],"=true",DataAct_tbl[Dept code],$B832),0)</f>
        <v>0</v>
      </c>
      <c r="M832" s="63">
        <f>INDEX($AG$7:$AR$1005,ROW()-6,MATCH(MTD,$AG$6:$AR$6,0))</f>
        <v>0</v>
      </c>
      <c r="N832" s="34">
        <f t="shared" si="118"/>
        <v>0</v>
      </c>
      <c r="O832" s="64" t="str">
        <f t="shared" si="119"/>
        <v xml:space="preserve"> </v>
      </c>
      <c r="Q832" s="97">
        <f t="shared" si="120"/>
        <v>0</v>
      </c>
      <c r="R832" s="96">
        <f t="shared" si="121"/>
        <v>0</v>
      </c>
      <c r="T832" s="67" t="str">
        <f>IF($B832&lt;&gt;"",INDEX(DataOB[],FirstRow+ROW()-7,MATCH(T$6,DataOB[#Headers],0)),"")</f>
        <v/>
      </c>
      <c r="U832" s="67" t="str">
        <f>IF($B832&lt;&gt;"",INDEX(DataOB[],FirstRow+ROW()-7,MATCH(U$6,DataOB[#Headers],0)),"")</f>
        <v/>
      </c>
      <c r="V832" s="67" t="str">
        <f>IF($B832&lt;&gt;"",INDEX(DataOB[],FirstRow+ROW()-7,MATCH(V$6,DataOB[#Headers],0)),"")</f>
        <v/>
      </c>
      <c r="W832" s="67" t="str">
        <f>IF($B832&lt;&gt;"",INDEX(DataOB[],FirstRow+ROW()-7,MATCH(W$6,DataOB[#Headers],0)),"")</f>
        <v/>
      </c>
      <c r="X832" s="67" t="str">
        <f>IF($B832&lt;&gt;"",INDEX(DataOB[],FirstRow+ROW()-7,MATCH(X$6,DataOB[#Headers],0)),"")</f>
        <v/>
      </c>
      <c r="Y832" s="67" t="str">
        <f>IF($B832&lt;&gt;"",INDEX(DataOB[],FirstRow+ROW()-7,MATCH(Y$6,DataOB[#Headers],0)),"")</f>
        <v/>
      </c>
      <c r="Z832" s="67" t="str">
        <f>IF($B832&lt;&gt;"",INDEX(DataOB[],FirstRow+ROW()-7,MATCH(Z$6,DataOB[#Headers],0)),"")</f>
        <v/>
      </c>
      <c r="AA832" s="67" t="str">
        <f>IF($B832&lt;&gt;"",INDEX(DataOB[],FirstRow+ROW()-7,MATCH(AA$6,DataOB[#Headers],0)),"")</f>
        <v/>
      </c>
      <c r="AB832" s="67" t="str">
        <f>IF($B832&lt;&gt;"",INDEX(DataOB[],FirstRow+ROW()-7,MATCH(AB$6,DataOB[#Headers],0)),"")</f>
        <v/>
      </c>
      <c r="AC832" s="67" t="str">
        <f>IF($B832&lt;&gt;"",INDEX(DataOB[],FirstRow+ROW()-7,MATCH(AC$6,DataOB[#Headers],0)),"")</f>
        <v/>
      </c>
      <c r="AD832" s="67" t="str">
        <f>IF($B832&lt;&gt;"",INDEX(DataOB[],FirstRow+ROW()-7,MATCH(AD$6,DataOB[#Headers],0)),"")</f>
        <v/>
      </c>
      <c r="AE832" s="67" t="str">
        <f>IF($B832&lt;&gt;"",INDEX(DataOB[],FirstRow+ROW()-7,MATCH(AE$6,DataOB[#Headers],0)),"")</f>
        <v/>
      </c>
      <c r="AF832" s="26">
        <f t="shared" si="122"/>
        <v>0</v>
      </c>
      <c r="AG832" s="31">
        <f>SUM($T832:T832)</f>
        <v>0</v>
      </c>
      <c r="AH832" s="31">
        <f>SUM($T832:U832)</f>
        <v>0</v>
      </c>
      <c r="AI832" s="31">
        <f>SUM($T832:V832)</f>
        <v>0</v>
      </c>
      <c r="AJ832" s="31">
        <f>SUM($T832:W832)</f>
        <v>0</v>
      </c>
      <c r="AK832" s="31">
        <f>SUM($T832:X832)</f>
        <v>0</v>
      </c>
      <c r="AL832" s="31">
        <f>SUM($T832:Y832)</f>
        <v>0</v>
      </c>
      <c r="AM832" s="31">
        <f>SUM($T832:Z832)</f>
        <v>0</v>
      </c>
      <c r="AN832" s="31">
        <f>SUM($T832:AA832)</f>
        <v>0</v>
      </c>
      <c r="AO832" s="31">
        <f>SUM($T832:AB832)</f>
        <v>0</v>
      </c>
      <c r="AP832" s="31">
        <f>SUM($T832:AC832)</f>
        <v>0</v>
      </c>
      <c r="AQ832" s="31">
        <f>SUM($T832:AD832)</f>
        <v>0</v>
      </c>
      <c r="AR832" s="31">
        <f>SUM($T832:AE832)</f>
        <v>0</v>
      </c>
      <c r="AS832" s="27">
        <f t="shared" si="123"/>
        <v>0</v>
      </c>
    </row>
    <row r="833" spans="2:45">
      <c r="B833" s="102" t="str">
        <f>IF(ROW()-6&gt;NumCostCenter,"",IF(CostCenter&lt;&gt;"ALL",CostCenter,DATA_LF2!B831))</f>
        <v/>
      </c>
      <c r="C833" s="153" t="str">
        <f>IF($B833&lt;&gt;"",INDEX(DataOB[],FirstRow+ROW()-7,2),"")</f>
        <v/>
      </c>
      <c r="D833" s="66" t="str">
        <f>IF($B833&lt;&gt;"",INDEX(DataOB[],FirstRow+ROW()-7,3),"")</f>
        <v/>
      </c>
      <c r="E833" s="103" t="str">
        <f>IF($B833&lt;&gt;"",INDEX(DataOB[],FirstRow+ROW()-7,6),"")</f>
        <v/>
      </c>
      <c r="F833" s="103" t="str">
        <f>IF($B833&lt;&gt;"",INDEX(DataOB[],FirstRow+ROW()-7,5),"")</f>
        <v/>
      </c>
      <c r="G833" s="58">
        <f>IF($B833&lt;&gt;"",SUMIFS(DataAct_tbl[AMOUNT],DataAct_tbl[BG CODE],Detail!$D833,DataAct_tbl[MONTH],LEFT(MonthName,3),DataAct_tbl[Dept code],$B833),0)</f>
        <v>0</v>
      </c>
      <c r="H833" s="31" t="str">
        <f t="shared" si="115"/>
        <v/>
      </c>
      <c r="I833" s="28" t="str">
        <f t="shared" si="116"/>
        <v/>
      </c>
      <c r="J833" s="32" t="str">
        <f t="shared" si="117"/>
        <v/>
      </c>
      <c r="K833" s="86"/>
      <c r="L833" s="62">
        <f>IF($B833&lt;&gt;"",SUMIFS(DataAct_tbl[AMOUNT],DataAct_tbl[BG CODE],Detail!$D833,DataAct_tbl[Check Range],"=true",DataAct_tbl[Dept code],$B833),0)</f>
        <v>0</v>
      </c>
      <c r="M833" s="63">
        <f>INDEX($AG$7:$AR$1005,ROW()-6,MATCH(MTD,$AG$6:$AR$6,0))</f>
        <v>0</v>
      </c>
      <c r="N833" s="34">
        <f t="shared" si="118"/>
        <v>0</v>
      </c>
      <c r="O833" s="64" t="str">
        <f t="shared" si="119"/>
        <v xml:space="preserve"> </v>
      </c>
      <c r="Q833" s="97">
        <f t="shared" si="120"/>
        <v>0</v>
      </c>
      <c r="R833" s="96">
        <f t="shared" si="121"/>
        <v>0</v>
      </c>
      <c r="T833" s="67" t="str">
        <f>IF($B833&lt;&gt;"",INDEX(DataOB[],FirstRow+ROW()-7,MATCH(T$6,DataOB[#Headers],0)),"")</f>
        <v/>
      </c>
      <c r="U833" s="67" t="str">
        <f>IF($B833&lt;&gt;"",INDEX(DataOB[],FirstRow+ROW()-7,MATCH(U$6,DataOB[#Headers],0)),"")</f>
        <v/>
      </c>
      <c r="V833" s="67" t="str">
        <f>IF($B833&lt;&gt;"",INDEX(DataOB[],FirstRow+ROW()-7,MATCH(V$6,DataOB[#Headers],0)),"")</f>
        <v/>
      </c>
      <c r="W833" s="67" t="str">
        <f>IF($B833&lt;&gt;"",INDEX(DataOB[],FirstRow+ROW()-7,MATCH(W$6,DataOB[#Headers],0)),"")</f>
        <v/>
      </c>
      <c r="X833" s="67" t="str">
        <f>IF($B833&lt;&gt;"",INDEX(DataOB[],FirstRow+ROW()-7,MATCH(X$6,DataOB[#Headers],0)),"")</f>
        <v/>
      </c>
      <c r="Y833" s="67" t="str">
        <f>IF($B833&lt;&gt;"",INDEX(DataOB[],FirstRow+ROW()-7,MATCH(Y$6,DataOB[#Headers],0)),"")</f>
        <v/>
      </c>
      <c r="Z833" s="67" t="str">
        <f>IF($B833&lt;&gt;"",INDEX(DataOB[],FirstRow+ROW()-7,MATCH(Z$6,DataOB[#Headers],0)),"")</f>
        <v/>
      </c>
      <c r="AA833" s="67" t="str">
        <f>IF($B833&lt;&gt;"",INDEX(DataOB[],FirstRow+ROW()-7,MATCH(AA$6,DataOB[#Headers],0)),"")</f>
        <v/>
      </c>
      <c r="AB833" s="67" t="str">
        <f>IF($B833&lt;&gt;"",INDEX(DataOB[],FirstRow+ROW()-7,MATCH(AB$6,DataOB[#Headers],0)),"")</f>
        <v/>
      </c>
      <c r="AC833" s="67" t="str">
        <f>IF($B833&lt;&gt;"",INDEX(DataOB[],FirstRow+ROW()-7,MATCH(AC$6,DataOB[#Headers],0)),"")</f>
        <v/>
      </c>
      <c r="AD833" s="67" t="str">
        <f>IF($B833&lt;&gt;"",INDEX(DataOB[],FirstRow+ROW()-7,MATCH(AD$6,DataOB[#Headers],0)),"")</f>
        <v/>
      </c>
      <c r="AE833" s="67" t="str">
        <f>IF($B833&lt;&gt;"",INDEX(DataOB[],FirstRow+ROW()-7,MATCH(AE$6,DataOB[#Headers],0)),"")</f>
        <v/>
      </c>
      <c r="AF833" s="26">
        <f t="shared" si="122"/>
        <v>0</v>
      </c>
      <c r="AG833" s="31">
        <f>SUM($T833:T833)</f>
        <v>0</v>
      </c>
      <c r="AH833" s="31">
        <f>SUM($T833:U833)</f>
        <v>0</v>
      </c>
      <c r="AI833" s="31">
        <f>SUM($T833:V833)</f>
        <v>0</v>
      </c>
      <c r="AJ833" s="31">
        <f>SUM($T833:W833)</f>
        <v>0</v>
      </c>
      <c r="AK833" s="31">
        <f>SUM($T833:X833)</f>
        <v>0</v>
      </c>
      <c r="AL833" s="31">
        <f>SUM($T833:Y833)</f>
        <v>0</v>
      </c>
      <c r="AM833" s="31">
        <f>SUM($T833:Z833)</f>
        <v>0</v>
      </c>
      <c r="AN833" s="31">
        <f>SUM($T833:AA833)</f>
        <v>0</v>
      </c>
      <c r="AO833" s="31">
        <f>SUM($T833:AB833)</f>
        <v>0</v>
      </c>
      <c r="AP833" s="31">
        <f>SUM($T833:AC833)</f>
        <v>0</v>
      </c>
      <c r="AQ833" s="31">
        <f>SUM($T833:AD833)</f>
        <v>0</v>
      </c>
      <c r="AR833" s="31">
        <f>SUM($T833:AE833)</f>
        <v>0</v>
      </c>
      <c r="AS833" s="27">
        <f t="shared" si="123"/>
        <v>0</v>
      </c>
    </row>
    <row r="834" spans="2:45">
      <c r="B834" s="102" t="str">
        <f>IF(ROW()-6&gt;NumCostCenter,"",IF(CostCenter&lt;&gt;"ALL",CostCenter,DATA_LF2!B832))</f>
        <v/>
      </c>
      <c r="C834" s="153" t="str">
        <f>IF($B834&lt;&gt;"",INDEX(DataOB[],FirstRow+ROW()-7,2),"")</f>
        <v/>
      </c>
      <c r="D834" s="66" t="str">
        <f>IF($B834&lt;&gt;"",INDEX(DataOB[],FirstRow+ROW()-7,3),"")</f>
        <v/>
      </c>
      <c r="E834" s="103" t="str">
        <f>IF($B834&lt;&gt;"",INDEX(DataOB[],FirstRow+ROW()-7,6),"")</f>
        <v/>
      </c>
      <c r="F834" s="103" t="str">
        <f>IF($B834&lt;&gt;"",INDEX(DataOB[],FirstRow+ROW()-7,5),"")</f>
        <v/>
      </c>
      <c r="G834" s="58">
        <f>IF($B834&lt;&gt;"",SUMIFS(DataAct_tbl[AMOUNT],DataAct_tbl[BG CODE],Detail!$D834,DataAct_tbl[MONTH],LEFT(MonthName,3),DataAct_tbl[Dept code],$B834),0)</f>
        <v>0</v>
      </c>
      <c r="H834" s="31" t="str">
        <f t="shared" si="115"/>
        <v/>
      </c>
      <c r="I834" s="28" t="str">
        <f t="shared" si="116"/>
        <v/>
      </c>
      <c r="J834" s="32" t="str">
        <f t="shared" si="117"/>
        <v/>
      </c>
      <c r="K834" s="86"/>
      <c r="L834" s="62">
        <f>IF($B834&lt;&gt;"",SUMIFS(DataAct_tbl[AMOUNT],DataAct_tbl[BG CODE],Detail!$D834,DataAct_tbl[Check Range],"=true",DataAct_tbl[Dept code],$B834),0)</f>
        <v>0</v>
      </c>
      <c r="M834" s="63">
        <f>INDEX($AG$7:$AR$1005,ROW()-6,MATCH(MTD,$AG$6:$AR$6,0))</f>
        <v>0</v>
      </c>
      <c r="N834" s="34">
        <f t="shared" si="118"/>
        <v>0</v>
      </c>
      <c r="O834" s="64" t="str">
        <f t="shared" si="119"/>
        <v xml:space="preserve"> </v>
      </c>
      <c r="Q834" s="97">
        <f t="shared" si="120"/>
        <v>0</v>
      </c>
      <c r="R834" s="96">
        <f t="shared" si="121"/>
        <v>0</v>
      </c>
      <c r="T834" s="67" t="str">
        <f>IF($B834&lt;&gt;"",INDEX(DataOB[],FirstRow+ROW()-7,MATCH(T$6,DataOB[#Headers],0)),"")</f>
        <v/>
      </c>
      <c r="U834" s="67" t="str">
        <f>IF($B834&lt;&gt;"",INDEX(DataOB[],FirstRow+ROW()-7,MATCH(U$6,DataOB[#Headers],0)),"")</f>
        <v/>
      </c>
      <c r="V834" s="67" t="str">
        <f>IF($B834&lt;&gt;"",INDEX(DataOB[],FirstRow+ROW()-7,MATCH(V$6,DataOB[#Headers],0)),"")</f>
        <v/>
      </c>
      <c r="W834" s="67" t="str">
        <f>IF($B834&lt;&gt;"",INDEX(DataOB[],FirstRow+ROW()-7,MATCH(W$6,DataOB[#Headers],0)),"")</f>
        <v/>
      </c>
      <c r="X834" s="67" t="str">
        <f>IF($B834&lt;&gt;"",INDEX(DataOB[],FirstRow+ROW()-7,MATCH(X$6,DataOB[#Headers],0)),"")</f>
        <v/>
      </c>
      <c r="Y834" s="67" t="str">
        <f>IF($B834&lt;&gt;"",INDEX(DataOB[],FirstRow+ROW()-7,MATCH(Y$6,DataOB[#Headers],0)),"")</f>
        <v/>
      </c>
      <c r="Z834" s="67" t="str">
        <f>IF($B834&lt;&gt;"",INDEX(DataOB[],FirstRow+ROW()-7,MATCH(Z$6,DataOB[#Headers],0)),"")</f>
        <v/>
      </c>
      <c r="AA834" s="67" t="str">
        <f>IF($B834&lt;&gt;"",INDEX(DataOB[],FirstRow+ROW()-7,MATCH(AA$6,DataOB[#Headers],0)),"")</f>
        <v/>
      </c>
      <c r="AB834" s="67" t="str">
        <f>IF($B834&lt;&gt;"",INDEX(DataOB[],FirstRow+ROW()-7,MATCH(AB$6,DataOB[#Headers],0)),"")</f>
        <v/>
      </c>
      <c r="AC834" s="67" t="str">
        <f>IF($B834&lt;&gt;"",INDEX(DataOB[],FirstRow+ROW()-7,MATCH(AC$6,DataOB[#Headers],0)),"")</f>
        <v/>
      </c>
      <c r="AD834" s="67" t="str">
        <f>IF($B834&lt;&gt;"",INDEX(DataOB[],FirstRow+ROW()-7,MATCH(AD$6,DataOB[#Headers],0)),"")</f>
        <v/>
      </c>
      <c r="AE834" s="67" t="str">
        <f>IF($B834&lt;&gt;"",INDEX(DataOB[],FirstRow+ROW()-7,MATCH(AE$6,DataOB[#Headers],0)),"")</f>
        <v/>
      </c>
      <c r="AF834" s="26">
        <f t="shared" si="122"/>
        <v>0</v>
      </c>
      <c r="AG834" s="31">
        <f>SUM($T834:T834)</f>
        <v>0</v>
      </c>
      <c r="AH834" s="31">
        <f>SUM($T834:U834)</f>
        <v>0</v>
      </c>
      <c r="AI834" s="31">
        <f>SUM($T834:V834)</f>
        <v>0</v>
      </c>
      <c r="AJ834" s="31">
        <f>SUM($T834:W834)</f>
        <v>0</v>
      </c>
      <c r="AK834" s="31">
        <f>SUM($T834:X834)</f>
        <v>0</v>
      </c>
      <c r="AL834" s="31">
        <f>SUM($T834:Y834)</f>
        <v>0</v>
      </c>
      <c r="AM834" s="31">
        <f>SUM($T834:Z834)</f>
        <v>0</v>
      </c>
      <c r="AN834" s="31">
        <f>SUM($T834:AA834)</f>
        <v>0</v>
      </c>
      <c r="AO834" s="31">
        <f>SUM($T834:AB834)</f>
        <v>0</v>
      </c>
      <c r="AP834" s="31">
        <f>SUM($T834:AC834)</f>
        <v>0</v>
      </c>
      <c r="AQ834" s="31">
        <f>SUM($T834:AD834)</f>
        <v>0</v>
      </c>
      <c r="AR834" s="31">
        <f>SUM($T834:AE834)</f>
        <v>0</v>
      </c>
      <c r="AS834" s="27">
        <f t="shared" si="123"/>
        <v>0</v>
      </c>
    </row>
    <row r="835" spans="2:45">
      <c r="B835" s="102" t="str">
        <f>IF(ROW()-6&gt;NumCostCenter,"",IF(CostCenter&lt;&gt;"ALL",CostCenter,DATA_LF2!B833))</f>
        <v/>
      </c>
      <c r="C835" s="153" t="str">
        <f>IF($B835&lt;&gt;"",INDEX(DataOB[],FirstRow+ROW()-7,2),"")</f>
        <v/>
      </c>
      <c r="D835" s="66" t="str">
        <f>IF($B835&lt;&gt;"",INDEX(DataOB[],FirstRow+ROW()-7,3),"")</f>
        <v/>
      </c>
      <c r="E835" s="103" t="str">
        <f>IF($B835&lt;&gt;"",INDEX(DataOB[],FirstRow+ROW()-7,6),"")</f>
        <v/>
      </c>
      <c r="F835" s="103" t="str">
        <f>IF($B835&lt;&gt;"",INDEX(DataOB[],FirstRow+ROW()-7,5),"")</f>
        <v/>
      </c>
      <c r="G835" s="58">
        <f>IF($B835&lt;&gt;"",SUMIFS(DataAct_tbl[AMOUNT],DataAct_tbl[BG CODE],Detail!$D835,DataAct_tbl[MONTH],LEFT(MonthName,3),DataAct_tbl[Dept code],$B835),0)</f>
        <v>0</v>
      </c>
      <c r="H835" s="31" t="str">
        <f t="shared" si="115"/>
        <v/>
      </c>
      <c r="I835" s="28" t="str">
        <f t="shared" si="116"/>
        <v/>
      </c>
      <c r="J835" s="32" t="str">
        <f t="shared" si="117"/>
        <v/>
      </c>
      <c r="K835" s="86"/>
      <c r="L835" s="62">
        <f>IF($B835&lt;&gt;"",SUMIFS(DataAct_tbl[AMOUNT],DataAct_tbl[BG CODE],Detail!$D835,DataAct_tbl[Check Range],"=true",DataAct_tbl[Dept code],$B835),0)</f>
        <v>0</v>
      </c>
      <c r="M835" s="63">
        <f>INDEX($AG$7:$AR$1005,ROW()-6,MATCH(MTD,$AG$6:$AR$6,0))</f>
        <v>0</v>
      </c>
      <c r="N835" s="34">
        <f t="shared" si="118"/>
        <v>0</v>
      </c>
      <c r="O835" s="64" t="str">
        <f t="shared" si="119"/>
        <v xml:space="preserve"> </v>
      </c>
      <c r="Q835" s="97">
        <f t="shared" si="120"/>
        <v>0</v>
      </c>
      <c r="R835" s="96">
        <f t="shared" si="121"/>
        <v>0</v>
      </c>
      <c r="T835" s="67" t="str">
        <f>IF($B835&lt;&gt;"",INDEX(DataOB[],FirstRow+ROW()-7,MATCH(T$6,DataOB[#Headers],0)),"")</f>
        <v/>
      </c>
      <c r="U835" s="67" t="str">
        <f>IF($B835&lt;&gt;"",INDEX(DataOB[],FirstRow+ROW()-7,MATCH(U$6,DataOB[#Headers],0)),"")</f>
        <v/>
      </c>
      <c r="V835" s="67" t="str">
        <f>IF($B835&lt;&gt;"",INDEX(DataOB[],FirstRow+ROW()-7,MATCH(V$6,DataOB[#Headers],0)),"")</f>
        <v/>
      </c>
      <c r="W835" s="67" t="str">
        <f>IF($B835&lt;&gt;"",INDEX(DataOB[],FirstRow+ROW()-7,MATCH(W$6,DataOB[#Headers],0)),"")</f>
        <v/>
      </c>
      <c r="X835" s="67" t="str">
        <f>IF($B835&lt;&gt;"",INDEX(DataOB[],FirstRow+ROW()-7,MATCH(X$6,DataOB[#Headers],0)),"")</f>
        <v/>
      </c>
      <c r="Y835" s="67" t="str">
        <f>IF($B835&lt;&gt;"",INDEX(DataOB[],FirstRow+ROW()-7,MATCH(Y$6,DataOB[#Headers],0)),"")</f>
        <v/>
      </c>
      <c r="Z835" s="67" t="str">
        <f>IF($B835&lt;&gt;"",INDEX(DataOB[],FirstRow+ROW()-7,MATCH(Z$6,DataOB[#Headers],0)),"")</f>
        <v/>
      </c>
      <c r="AA835" s="67" t="str">
        <f>IF($B835&lt;&gt;"",INDEX(DataOB[],FirstRow+ROW()-7,MATCH(AA$6,DataOB[#Headers],0)),"")</f>
        <v/>
      </c>
      <c r="AB835" s="67" t="str">
        <f>IF($B835&lt;&gt;"",INDEX(DataOB[],FirstRow+ROW()-7,MATCH(AB$6,DataOB[#Headers],0)),"")</f>
        <v/>
      </c>
      <c r="AC835" s="67" t="str">
        <f>IF($B835&lt;&gt;"",INDEX(DataOB[],FirstRow+ROW()-7,MATCH(AC$6,DataOB[#Headers],0)),"")</f>
        <v/>
      </c>
      <c r="AD835" s="67" t="str">
        <f>IF($B835&lt;&gt;"",INDEX(DataOB[],FirstRow+ROW()-7,MATCH(AD$6,DataOB[#Headers],0)),"")</f>
        <v/>
      </c>
      <c r="AE835" s="67" t="str">
        <f>IF($B835&lt;&gt;"",INDEX(DataOB[],FirstRow+ROW()-7,MATCH(AE$6,DataOB[#Headers],0)),"")</f>
        <v/>
      </c>
      <c r="AF835" s="26">
        <f t="shared" si="122"/>
        <v>0</v>
      </c>
      <c r="AG835" s="31">
        <f>SUM($T835:T835)</f>
        <v>0</v>
      </c>
      <c r="AH835" s="31">
        <f>SUM($T835:U835)</f>
        <v>0</v>
      </c>
      <c r="AI835" s="31">
        <f>SUM($T835:V835)</f>
        <v>0</v>
      </c>
      <c r="AJ835" s="31">
        <f>SUM($T835:W835)</f>
        <v>0</v>
      </c>
      <c r="AK835" s="31">
        <f>SUM($T835:X835)</f>
        <v>0</v>
      </c>
      <c r="AL835" s="31">
        <f>SUM($T835:Y835)</f>
        <v>0</v>
      </c>
      <c r="AM835" s="31">
        <f>SUM($T835:Z835)</f>
        <v>0</v>
      </c>
      <c r="AN835" s="31">
        <f>SUM($T835:AA835)</f>
        <v>0</v>
      </c>
      <c r="AO835" s="31">
        <f>SUM($T835:AB835)</f>
        <v>0</v>
      </c>
      <c r="AP835" s="31">
        <f>SUM($T835:AC835)</f>
        <v>0</v>
      </c>
      <c r="AQ835" s="31">
        <f>SUM($T835:AD835)</f>
        <v>0</v>
      </c>
      <c r="AR835" s="31">
        <f>SUM($T835:AE835)</f>
        <v>0</v>
      </c>
      <c r="AS835" s="27">
        <f t="shared" si="123"/>
        <v>0</v>
      </c>
    </row>
    <row r="836" spans="2:45">
      <c r="B836" s="102" t="str">
        <f>IF(ROW()-6&gt;NumCostCenter,"",IF(CostCenter&lt;&gt;"ALL",CostCenter,DATA_LF2!B834))</f>
        <v/>
      </c>
      <c r="C836" s="153" t="str">
        <f>IF($B836&lt;&gt;"",INDEX(DataOB[],FirstRow+ROW()-7,2),"")</f>
        <v/>
      </c>
      <c r="D836" s="66" t="str">
        <f>IF($B836&lt;&gt;"",INDEX(DataOB[],FirstRow+ROW()-7,3),"")</f>
        <v/>
      </c>
      <c r="E836" s="103" t="str">
        <f>IF($B836&lt;&gt;"",INDEX(DataOB[],FirstRow+ROW()-7,6),"")</f>
        <v/>
      </c>
      <c r="F836" s="103" t="str">
        <f>IF($B836&lt;&gt;"",INDEX(DataOB[],FirstRow+ROW()-7,5),"")</f>
        <v/>
      </c>
      <c r="G836" s="58">
        <f>IF($B836&lt;&gt;"",SUMIFS(DataAct_tbl[AMOUNT],DataAct_tbl[BG CODE],Detail!$D836,DataAct_tbl[MONTH],LEFT(MonthName,3),DataAct_tbl[Dept code],$B836),0)</f>
        <v>0</v>
      </c>
      <c r="H836" s="31" t="str">
        <f t="shared" si="115"/>
        <v/>
      </c>
      <c r="I836" s="28" t="str">
        <f t="shared" si="116"/>
        <v/>
      </c>
      <c r="J836" s="32" t="str">
        <f t="shared" si="117"/>
        <v/>
      </c>
      <c r="K836" s="86"/>
      <c r="L836" s="62">
        <f>IF($B836&lt;&gt;"",SUMIFS(DataAct_tbl[AMOUNT],DataAct_tbl[BG CODE],Detail!$D836,DataAct_tbl[Check Range],"=true",DataAct_tbl[Dept code],$B836),0)</f>
        <v>0</v>
      </c>
      <c r="M836" s="63">
        <f>INDEX($AG$7:$AR$1005,ROW()-6,MATCH(MTD,$AG$6:$AR$6,0))</f>
        <v>0</v>
      </c>
      <c r="N836" s="34">
        <f t="shared" si="118"/>
        <v>0</v>
      </c>
      <c r="O836" s="64" t="str">
        <f t="shared" si="119"/>
        <v xml:space="preserve"> </v>
      </c>
      <c r="Q836" s="97">
        <f t="shared" si="120"/>
        <v>0</v>
      </c>
      <c r="R836" s="96">
        <f t="shared" si="121"/>
        <v>0</v>
      </c>
      <c r="T836" s="67" t="str">
        <f>IF($B836&lt;&gt;"",INDEX(DataOB[],FirstRow+ROW()-7,MATCH(T$6,DataOB[#Headers],0)),"")</f>
        <v/>
      </c>
      <c r="U836" s="67" t="str">
        <f>IF($B836&lt;&gt;"",INDEX(DataOB[],FirstRow+ROW()-7,MATCH(U$6,DataOB[#Headers],0)),"")</f>
        <v/>
      </c>
      <c r="V836" s="67" t="str">
        <f>IF($B836&lt;&gt;"",INDEX(DataOB[],FirstRow+ROW()-7,MATCH(V$6,DataOB[#Headers],0)),"")</f>
        <v/>
      </c>
      <c r="W836" s="67" t="str">
        <f>IF($B836&lt;&gt;"",INDEX(DataOB[],FirstRow+ROW()-7,MATCH(W$6,DataOB[#Headers],0)),"")</f>
        <v/>
      </c>
      <c r="X836" s="67" t="str">
        <f>IF($B836&lt;&gt;"",INDEX(DataOB[],FirstRow+ROW()-7,MATCH(X$6,DataOB[#Headers],0)),"")</f>
        <v/>
      </c>
      <c r="Y836" s="67" t="str">
        <f>IF($B836&lt;&gt;"",INDEX(DataOB[],FirstRow+ROW()-7,MATCH(Y$6,DataOB[#Headers],0)),"")</f>
        <v/>
      </c>
      <c r="Z836" s="67" t="str">
        <f>IF($B836&lt;&gt;"",INDEX(DataOB[],FirstRow+ROW()-7,MATCH(Z$6,DataOB[#Headers],0)),"")</f>
        <v/>
      </c>
      <c r="AA836" s="67" t="str">
        <f>IF($B836&lt;&gt;"",INDEX(DataOB[],FirstRow+ROW()-7,MATCH(AA$6,DataOB[#Headers],0)),"")</f>
        <v/>
      </c>
      <c r="AB836" s="67" t="str">
        <f>IF($B836&lt;&gt;"",INDEX(DataOB[],FirstRow+ROW()-7,MATCH(AB$6,DataOB[#Headers],0)),"")</f>
        <v/>
      </c>
      <c r="AC836" s="67" t="str">
        <f>IF($B836&lt;&gt;"",INDEX(DataOB[],FirstRow+ROW()-7,MATCH(AC$6,DataOB[#Headers],0)),"")</f>
        <v/>
      </c>
      <c r="AD836" s="67" t="str">
        <f>IF($B836&lt;&gt;"",INDEX(DataOB[],FirstRow+ROW()-7,MATCH(AD$6,DataOB[#Headers],0)),"")</f>
        <v/>
      </c>
      <c r="AE836" s="67" t="str">
        <f>IF($B836&lt;&gt;"",INDEX(DataOB[],FirstRow+ROW()-7,MATCH(AE$6,DataOB[#Headers],0)),"")</f>
        <v/>
      </c>
      <c r="AF836" s="26">
        <f t="shared" si="122"/>
        <v>0</v>
      </c>
      <c r="AG836" s="31">
        <f>SUM($T836:T836)</f>
        <v>0</v>
      </c>
      <c r="AH836" s="31">
        <f>SUM($T836:U836)</f>
        <v>0</v>
      </c>
      <c r="AI836" s="31">
        <f>SUM($T836:V836)</f>
        <v>0</v>
      </c>
      <c r="AJ836" s="31">
        <f>SUM($T836:W836)</f>
        <v>0</v>
      </c>
      <c r="AK836" s="31">
        <f>SUM($T836:X836)</f>
        <v>0</v>
      </c>
      <c r="AL836" s="31">
        <f>SUM($T836:Y836)</f>
        <v>0</v>
      </c>
      <c r="AM836" s="31">
        <f>SUM($T836:Z836)</f>
        <v>0</v>
      </c>
      <c r="AN836" s="31">
        <f>SUM($T836:AA836)</f>
        <v>0</v>
      </c>
      <c r="AO836" s="31">
        <f>SUM($T836:AB836)</f>
        <v>0</v>
      </c>
      <c r="AP836" s="31">
        <f>SUM($T836:AC836)</f>
        <v>0</v>
      </c>
      <c r="AQ836" s="31">
        <f>SUM($T836:AD836)</f>
        <v>0</v>
      </c>
      <c r="AR836" s="31">
        <f>SUM($T836:AE836)</f>
        <v>0</v>
      </c>
      <c r="AS836" s="27">
        <f t="shared" si="123"/>
        <v>0</v>
      </c>
    </row>
    <row r="837" spans="2:45">
      <c r="B837" s="102" t="str">
        <f>IF(ROW()-6&gt;NumCostCenter,"",IF(CostCenter&lt;&gt;"ALL",CostCenter,DATA_LF2!B835))</f>
        <v/>
      </c>
      <c r="C837" s="153" t="str">
        <f>IF($B837&lt;&gt;"",INDEX(DataOB[],FirstRow+ROW()-7,2),"")</f>
        <v/>
      </c>
      <c r="D837" s="66" t="str">
        <f>IF($B837&lt;&gt;"",INDEX(DataOB[],FirstRow+ROW()-7,3),"")</f>
        <v/>
      </c>
      <c r="E837" s="103" t="str">
        <f>IF($B837&lt;&gt;"",INDEX(DataOB[],FirstRow+ROW()-7,6),"")</f>
        <v/>
      </c>
      <c r="F837" s="103" t="str">
        <f>IF($B837&lt;&gt;"",INDEX(DataOB[],FirstRow+ROW()-7,5),"")</f>
        <v/>
      </c>
      <c r="G837" s="58">
        <f>IF($B837&lt;&gt;"",SUMIFS(DataAct_tbl[AMOUNT],DataAct_tbl[BG CODE],Detail!$D837,DataAct_tbl[MONTH],LEFT(MonthName,3),DataAct_tbl[Dept code],$B837),0)</f>
        <v>0</v>
      </c>
      <c r="H837" s="31" t="str">
        <f t="shared" si="115"/>
        <v/>
      </c>
      <c r="I837" s="28" t="str">
        <f t="shared" si="116"/>
        <v/>
      </c>
      <c r="J837" s="32" t="str">
        <f t="shared" si="117"/>
        <v/>
      </c>
      <c r="K837" s="86"/>
      <c r="L837" s="62">
        <f>IF($B837&lt;&gt;"",SUMIFS(DataAct_tbl[AMOUNT],DataAct_tbl[BG CODE],Detail!$D837,DataAct_tbl[Check Range],"=true",DataAct_tbl[Dept code],$B837),0)</f>
        <v>0</v>
      </c>
      <c r="M837" s="63">
        <f>INDEX($AG$7:$AR$1005,ROW()-6,MATCH(MTD,$AG$6:$AR$6,0))</f>
        <v>0</v>
      </c>
      <c r="N837" s="34">
        <f t="shared" si="118"/>
        <v>0</v>
      </c>
      <c r="O837" s="64" t="str">
        <f t="shared" si="119"/>
        <v xml:space="preserve"> </v>
      </c>
      <c r="Q837" s="97">
        <f t="shared" si="120"/>
        <v>0</v>
      </c>
      <c r="R837" s="96">
        <f t="shared" si="121"/>
        <v>0</v>
      </c>
      <c r="T837" s="67" t="str">
        <f>IF($B837&lt;&gt;"",INDEX(DataOB[],FirstRow+ROW()-7,MATCH(T$6,DataOB[#Headers],0)),"")</f>
        <v/>
      </c>
      <c r="U837" s="67" t="str">
        <f>IF($B837&lt;&gt;"",INDEX(DataOB[],FirstRow+ROW()-7,MATCH(U$6,DataOB[#Headers],0)),"")</f>
        <v/>
      </c>
      <c r="V837" s="67" t="str">
        <f>IF($B837&lt;&gt;"",INDEX(DataOB[],FirstRow+ROW()-7,MATCH(V$6,DataOB[#Headers],0)),"")</f>
        <v/>
      </c>
      <c r="W837" s="67" t="str">
        <f>IF($B837&lt;&gt;"",INDEX(DataOB[],FirstRow+ROW()-7,MATCH(W$6,DataOB[#Headers],0)),"")</f>
        <v/>
      </c>
      <c r="X837" s="67" t="str">
        <f>IF($B837&lt;&gt;"",INDEX(DataOB[],FirstRow+ROW()-7,MATCH(X$6,DataOB[#Headers],0)),"")</f>
        <v/>
      </c>
      <c r="Y837" s="67" t="str">
        <f>IF($B837&lt;&gt;"",INDEX(DataOB[],FirstRow+ROW()-7,MATCH(Y$6,DataOB[#Headers],0)),"")</f>
        <v/>
      </c>
      <c r="Z837" s="67" t="str">
        <f>IF($B837&lt;&gt;"",INDEX(DataOB[],FirstRow+ROW()-7,MATCH(Z$6,DataOB[#Headers],0)),"")</f>
        <v/>
      </c>
      <c r="AA837" s="67" t="str">
        <f>IF($B837&lt;&gt;"",INDEX(DataOB[],FirstRow+ROW()-7,MATCH(AA$6,DataOB[#Headers],0)),"")</f>
        <v/>
      </c>
      <c r="AB837" s="67" t="str">
        <f>IF($B837&lt;&gt;"",INDEX(DataOB[],FirstRow+ROW()-7,MATCH(AB$6,DataOB[#Headers],0)),"")</f>
        <v/>
      </c>
      <c r="AC837" s="67" t="str">
        <f>IF($B837&lt;&gt;"",INDEX(DataOB[],FirstRow+ROW()-7,MATCH(AC$6,DataOB[#Headers],0)),"")</f>
        <v/>
      </c>
      <c r="AD837" s="67" t="str">
        <f>IF($B837&lt;&gt;"",INDEX(DataOB[],FirstRow+ROW()-7,MATCH(AD$6,DataOB[#Headers],0)),"")</f>
        <v/>
      </c>
      <c r="AE837" s="67" t="str">
        <f>IF($B837&lt;&gt;"",INDEX(DataOB[],FirstRow+ROW()-7,MATCH(AE$6,DataOB[#Headers],0)),"")</f>
        <v/>
      </c>
      <c r="AF837" s="26">
        <f t="shared" si="122"/>
        <v>0</v>
      </c>
      <c r="AG837" s="31">
        <f>SUM($T837:T837)</f>
        <v>0</v>
      </c>
      <c r="AH837" s="31">
        <f>SUM($T837:U837)</f>
        <v>0</v>
      </c>
      <c r="AI837" s="31">
        <f>SUM($T837:V837)</f>
        <v>0</v>
      </c>
      <c r="AJ837" s="31">
        <f>SUM($T837:W837)</f>
        <v>0</v>
      </c>
      <c r="AK837" s="31">
        <f>SUM($T837:X837)</f>
        <v>0</v>
      </c>
      <c r="AL837" s="31">
        <f>SUM($T837:Y837)</f>
        <v>0</v>
      </c>
      <c r="AM837" s="31">
        <f>SUM($T837:Z837)</f>
        <v>0</v>
      </c>
      <c r="AN837" s="31">
        <f>SUM($T837:AA837)</f>
        <v>0</v>
      </c>
      <c r="AO837" s="31">
        <f>SUM($T837:AB837)</f>
        <v>0</v>
      </c>
      <c r="AP837" s="31">
        <f>SUM($T837:AC837)</f>
        <v>0</v>
      </c>
      <c r="AQ837" s="31">
        <f>SUM($T837:AD837)</f>
        <v>0</v>
      </c>
      <c r="AR837" s="31">
        <f>SUM($T837:AE837)</f>
        <v>0</v>
      </c>
      <c r="AS837" s="27">
        <f t="shared" si="123"/>
        <v>0</v>
      </c>
    </row>
    <row r="838" spans="2:45">
      <c r="B838" s="102" t="str">
        <f>IF(ROW()-6&gt;NumCostCenter,"",IF(CostCenter&lt;&gt;"ALL",CostCenter,DATA_LF2!B836))</f>
        <v/>
      </c>
      <c r="C838" s="153" t="str">
        <f>IF($B838&lt;&gt;"",INDEX(DataOB[],FirstRow+ROW()-7,2),"")</f>
        <v/>
      </c>
      <c r="D838" s="66" t="str">
        <f>IF($B838&lt;&gt;"",INDEX(DataOB[],FirstRow+ROW()-7,3),"")</f>
        <v/>
      </c>
      <c r="E838" s="103" t="str">
        <f>IF($B838&lt;&gt;"",INDEX(DataOB[],FirstRow+ROW()-7,6),"")</f>
        <v/>
      </c>
      <c r="F838" s="103" t="str">
        <f>IF($B838&lt;&gt;"",INDEX(DataOB[],FirstRow+ROW()-7,5),"")</f>
        <v/>
      </c>
      <c r="G838" s="58">
        <f>IF($B838&lt;&gt;"",SUMIFS(DataAct_tbl[AMOUNT],DataAct_tbl[BG CODE],Detail!$D838,DataAct_tbl[MONTH],LEFT(MonthName,3),DataAct_tbl[Dept code],$B838),0)</f>
        <v>0</v>
      </c>
      <c r="H838" s="31" t="str">
        <f t="shared" si="115"/>
        <v/>
      </c>
      <c r="I838" s="28" t="str">
        <f t="shared" si="116"/>
        <v/>
      </c>
      <c r="J838" s="32" t="str">
        <f t="shared" si="117"/>
        <v/>
      </c>
      <c r="K838" s="86"/>
      <c r="L838" s="62">
        <f>IF($B838&lt;&gt;"",SUMIFS(DataAct_tbl[AMOUNT],DataAct_tbl[BG CODE],Detail!$D838,DataAct_tbl[Check Range],"=true",DataAct_tbl[Dept code],$B838),0)</f>
        <v>0</v>
      </c>
      <c r="M838" s="63">
        <f>INDEX($AG$7:$AR$1005,ROW()-6,MATCH(MTD,$AG$6:$AR$6,0))</f>
        <v>0</v>
      </c>
      <c r="N838" s="34">
        <f t="shared" si="118"/>
        <v>0</v>
      </c>
      <c r="O838" s="64" t="str">
        <f t="shared" si="119"/>
        <v xml:space="preserve"> </v>
      </c>
      <c r="Q838" s="97">
        <f t="shared" si="120"/>
        <v>0</v>
      </c>
      <c r="R838" s="96">
        <f t="shared" si="121"/>
        <v>0</v>
      </c>
      <c r="T838" s="67" t="str">
        <f>IF($B838&lt;&gt;"",INDEX(DataOB[],FirstRow+ROW()-7,MATCH(T$6,DataOB[#Headers],0)),"")</f>
        <v/>
      </c>
      <c r="U838" s="67" t="str">
        <f>IF($B838&lt;&gt;"",INDEX(DataOB[],FirstRow+ROW()-7,MATCH(U$6,DataOB[#Headers],0)),"")</f>
        <v/>
      </c>
      <c r="V838" s="67" t="str">
        <f>IF($B838&lt;&gt;"",INDEX(DataOB[],FirstRow+ROW()-7,MATCH(V$6,DataOB[#Headers],0)),"")</f>
        <v/>
      </c>
      <c r="W838" s="67" t="str">
        <f>IF($B838&lt;&gt;"",INDEX(DataOB[],FirstRow+ROW()-7,MATCH(W$6,DataOB[#Headers],0)),"")</f>
        <v/>
      </c>
      <c r="X838" s="67" t="str">
        <f>IF($B838&lt;&gt;"",INDEX(DataOB[],FirstRow+ROW()-7,MATCH(X$6,DataOB[#Headers],0)),"")</f>
        <v/>
      </c>
      <c r="Y838" s="67" t="str">
        <f>IF($B838&lt;&gt;"",INDEX(DataOB[],FirstRow+ROW()-7,MATCH(Y$6,DataOB[#Headers],0)),"")</f>
        <v/>
      </c>
      <c r="Z838" s="67" t="str">
        <f>IF($B838&lt;&gt;"",INDEX(DataOB[],FirstRow+ROW()-7,MATCH(Z$6,DataOB[#Headers],0)),"")</f>
        <v/>
      </c>
      <c r="AA838" s="67" t="str">
        <f>IF($B838&lt;&gt;"",INDEX(DataOB[],FirstRow+ROW()-7,MATCH(AA$6,DataOB[#Headers],0)),"")</f>
        <v/>
      </c>
      <c r="AB838" s="67" t="str">
        <f>IF($B838&lt;&gt;"",INDEX(DataOB[],FirstRow+ROW()-7,MATCH(AB$6,DataOB[#Headers],0)),"")</f>
        <v/>
      </c>
      <c r="AC838" s="67" t="str">
        <f>IF($B838&lt;&gt;"",INDEX(DataOB[],FirstRow+ROW()-7,MATCH(AC$6,DataOB[#Headers],0)),"")</f>
        <v/>
      </c>
      <c r="AD838" s="67" t="str">
        <f>IF($B838&lt;&gt;"",INDEX(DataOB[],FirstRow+ROW()-7,MATCH(AD$6,DataOB[#Headers],0)),"")</f>
        <v/>
      </c>
      <c r="AE838" s="67" t="str">
        <f>IF($B838&lt;&gt;"",INDEX(DataOB[],FirstRow+ROW()-7,MATCH(AE$6,DataOB[#Headers],0)),"")</f>
        <v/>
      </c>
      <c r="AF838" s="26">
        <f t="shared" si="122"/>
        <v>0</v>
      </c>
      <c r="AG838" s="31">
        <f>SUM($T838:T838)</f>
        <v>0</v>
      </c>
      <c r="AH838" s="31">
        <f>SUM($T838:U838)</f>
        <v>0</v>
      </c>
      <c r="AI838" s="31">
        <f>SUM($T838:V838)</f>
        <v>0</v>
      </c>
      <c r="AJ838" s="31">
        <f>SUM($T838:W838)</f>
        <v>0</v>
      </c>
      <c r="AK838" s="31">
        <f>SUM($T838:X838)</f>
        <v>0</v>
      </c>
      <c r="AL838" s="31">
        <f>SUM($T838:Y838)</f>
        <v>0</v>
      </c>
      <c r="AM838" s="31">
        <f>SUM($T838:Z838)</f>
        <v>0</v>
      </c>
      <c r="AN838" s="31">
        <f>SUM($T838:AA838)</f>
        <v>0</v>
      </c>
      <c r="AO838" s="31">
        <f>SUM($T838:AB838)</f>
        <v>0</v>
      </c>
      <c r="AP838" s="31">
        <f>SUM($T838:AC838)</f>
        <v>0</v>
      </c>
      <c r="AQ838" s="31">
        <f>SUM($T838:AD838)</f>
        <v>0</v>
      </c>
      <c r="AR838" s="31">
        <f>SUM($T838:AE838)</f>
        <v>0</v>
      </c>
      <c r="AS838" s="27">
        <f t="shared" si="123"/>
        <v>0</v>
      </c>
    </row>
    <row r="839" spans="2:45">
      <c r="B839" s="102" t="str">
        <f>IF(ROW()-6&gt;NumCostCenter,"",IF(CostCenter&lt;&gt;"ALL",CostCenter,DATA_LF2!B837))</f>
        <v/>
      </c>
      <c r="C839" s="153" t="str">
        <f>IF($B839&lt;&gt;"",INDEX(DataOB[],FirstRow+ROW()-7,2),"")</f>
        <v/>
      </c>
      <c r="D839" s="66" t="str">
        <f>IF($B839&lt;&gt;"",INDEX(DataOB[],FirstRow+ROW()-7,3),"")</f>
        <v/>
      </c>
      <c r="E839" s="103" t="str">
        <f>IF($B839&lt;&gt;"",INDEX(DataOB[],FirstRow+ROW()-7,6),"")</f>
        <v/>
      </c>
      <c r="F839" s="103" t="str">
        <f>IF($B839&lt;&gt;"",INDEX(DataOB[],FirstRow+ROW()-7,5),"")</f>
        <v/>
      </c>
      <c r="G839" s="58">
        <f>IF($B839&lt;&gt;"",SUMIFS(DataAct_tbl[AMOUNT],DataAct_tbl[BG CODE],Detail!$D839,DataAct_tbl[MONTH],LEFT(MonthName,3),DataAct_tbl[Dept code],$B839),0)</f>
        <v>0</v>
      </c>
      <c r="H839" s="31" t="str">
        <f t="shared" ref="H839:H902" si="124">INDEX($T$7:$AE$1005,ROW()-6,MATCH(MonthName,$T$6:$AE$6,0))</f>
        <v/>
      </c>
      <c r="I839" s="28" t="str">
        <f t="shared" si="116"/>
        <v/>
      </c>
      <c r="J839" s="32" t="str">
        <f t="shared" si="117"/>
        <v/>
      </c>
      <c r="K839" s="86"/>
      <c r="L839" s="62">
        <f>IF($B839&lt;&gt;"",SUMIFS(DataAct_tbl[AMOUNT],DataAct_tbl[BG CODE],Detail!$D839,DataAct_tbl[Check Range],"=true",DataAct_tbl[Dept code],$B839),0)</f>
        <v>0</v>
      </c>
      <c r="M839" s="63">
        <f>INDEX($AG$7:$AR$1005,ROW()-6,MATCH(MTD,$AG$6:$AR$6,0))</f>
        <v>0</v>
      </c>
      <c r="N839" s="34">
        <f t="shared" si="118"/>
        <v>0</v>
      </c>
      <c r="O839" s="64" t="str">
        <f t="shared" si="119"/>
        <v xml:space="preserve"> </v>
      </c>
      <c r="Q839" s="97">
        <f t="shared" si="120"/>
        <v>0</v>
      </c>
      <c r="R839" s="96">
        <f t="shared" si="121"/>
        <v>0</v>
      </c>
      <c r="T839" s="67" t="str">
        <f>IF($B839&lt;&gt;"",INDEX(DataOB[],FirstRow+ROW()-7,MATCH(T$6,DataOB[#Headers],0)),"")</f>
        <v/>
      </c>
      <c r="U839" s="67" t="str">
        <f>IF($B839&lt;&gt;"",INDEX(DataOB[],FirstRow+ROW()-7,MATCH(U$6,DataOB[#Headers],0)),"")</f>
        <v/>
      </c>
      <c r="V839" s="67" t="str">
        <f>IF($B839&lt;&gt;"",INDEX(DataOB[],FirstRow+ROW()-7,MATCH(V$6,DataOB[#Headers],0)),"")</f>
        <v/>
      </c>
      <c r="W839" s="67" t="str">
        <f>IF($B839&lt;&gt;"",INDEX(DataOB[],FirstRow+ROW()-7,MATCH(W$6,DataOB[#Headers],0)),"")</f>
        <v/>
      </c>
      <c r="X839" s="67" t="str">
        <f>IF($B839&lt;&gt;"",INDEX(DataOB[],FirstRow+ROW()-7,MATCH(X$6,DataOB[#Headers],0)),"")</f>
        <v/>
      </c>
      <c r="Y839" s="67" t="str">
        <f>IF($B839&lt;&gt;"",INDEX(DataOB[],FirstRow+ROW()-7,MATCH(Y$6,DataOB[#Headers],0)),"")</f>
        <v/>
      </c>
      <c r="Z839" s="67" t="str">
        <f>IF($B839&lt;&gt;"",INDEX(DataOB[],FirstRow+ROW()-7,MATCH(Z$6,DataOB[#Headers],0)),"")</f>
        <v/>
      </c>
      <c r="AA839" s="67" t="str">
        <f>IF($B839&lt;&gt;"",INDEX(DataOB[],FirstRow+ROW()-7,MATCH(AA$6,DataOB[#Headers],0)),"")</f>
        <v/>
      </c>
      <c r="AB839" s="67" t="str">
        <f>IF($B839&lt;&gt;"",INDEX(DataOB[],FirstRow+ROW()-7,MATCH(AB$6,DataOB[#Headers],0)),"")</f>
        <v/>
      </c>
      <c r="AC839" s="67" t="str">
        <f>IF($B839&lt;&gt;"",INDEX(DataOB[],FirstRow+ROW()-7,MATCH(AC$6,DataOB[#Headers],0)),"")</f>
        <v/>
      </c>
      <c r="AD839" s="67" t="str">
        <f>IF($B839&lt;&gt;"",INDEX(DataOB[],FirstRow+ROW()-7,MATCH(AD$6,DataOB[#Headers],0)),"")</f>
        <v/>
      </c>
      <c r="AE839" s="67" t="str">
        <f>IF($B839&lt;&gt;"",INDEX(DataOB[],FirstRow+ROW()-7,MATCH(AE$6,DataOB[#Headers],0)),"")</f>
        <v/>
      </c>
      <c r="AF839" s="26">
        <f t="shared" si="122"/>
        <v>0</v>
      </c>
      <c r="AG839" s="31">
        <f>SUM($T839:T839)</f>
        <v>0</v>
      </c>
      <c r="AH839" s="31">
        <f>SUM($T839:U839)</f>
        <v>0</v>
      </c>
      <c r="AI839" s="31">
        <f>SUM($T839:V839)</f>
        <v>0</v>
      </c>
      <c r="AJ839" s="31">
        <f>SUM($T839:W839)</f>
        <v>0</v>
      </c>
      <c r="AK839" s="31">
        <f>SUM($T839:X839)</f>
        <v>0</v>
      </c>
      <c r="AL839" s="31">
        <f>SUM($T839:Y839)</f>
        <v>0</v>
      </c>
      <c r="AM839" s="31">
        <f>SUM($T839:Z839)</f>
        <v>0</v>
      </c>
      <c r="AN839" s="31">
        <f>SUM($T839:AA839)</f>
        <v>0</v>
      </c>
      <c r="AO839" s="31">
        <f>SUM($T839:AB839)</f>
        <v>0</v>
      </c>
      <c r="AP839" s="31">
        <f>SUM($T839:AC839)</f>
        <v>0</v>
      </c>
      <c r="AQ839" s="31">
        <f>SUM($T839:AD839)</f>
        <v>0</v>
      </c>
      <c r="AR839" s="31">
        <f>SUM($T839:AE839)</f>
        <v>0</v>
      </c>
      <c r="AS839" s="27">
        <f t="shared" si="123"/>
        <v>0</v>
      </c>
    </row>
    <row r="840" spans="2:45">
      <c r="B840" s="102" t="str">
        <f>IF(ROW()-6&gt;NumCostCenter,"",IF(CostCenter&lt;&gt;"ALL",CostCenter,DATA_LF2!B838))</f>
        <v/>
      </c>
      <c r="C840" s="153" t="str">
        <f>IF($B840&lt;&gt;"",INDEX(DataOB[],FirstRow+ROW()-7,2),"")</f>
        <v/>
      </c>
      <c r="D840" s="66" t="str">
        <f>IF($B840&lt;&gt;"",INDEX(DataOB[],FirstRow+ROW()-7,3),"")</f>
        <v/>
      </c>
      <c r="E840" s="103" t="str">
        <f>IF($B840&lt;&gt;"",INDEX(DataOB[],FirstRow+ROW()-7,6),"")</f>
        <v/>
      </c>
      <c r="F840" s="103" t="str">
        <f>IF($B840&lt;&gt;"",INDEX(DataOB[],FirstRow+ROW()-7,5),"")</f>
        <v/>
      </c>
      <c r="G840" s="58">
        <f>IF($B840&lt;&gt;"",SUMIFS(DataAct_tbl[AMOUNT],DataAct_tbl[BG CODE],Detail!$D840,DataAct_tbl[MONTH],LEFT(MonthName,3),DataAct_tbl[Dept code],$B840),0)</f>
        <v>0</v>
      </c>
      <c r="H840" s="31" t="str">
        <f t="shared" si="124"/>
        <v/>
      </c>
      <c r="I840" s="28" t="str">
        <f t="shared" ref="I840:I903" si="125">IFERROR(+G840-H840,"")</f>
        <v/>
      </c>
      <c r="J840" s="32" t="str">
        <f t="shared" ref="J840:J903" si="126">IFERROR(+IF(H840&gt;0,G840/H840," "),"")</f>
        <v/>
      </c>
      <c r="K840" s="86"/>
      <c r="L840" s="62">
        <f>IF($B840&lt;&gt;"",SUMIFS(DataAct_tbl[AMOUNT],DataAct_tbl[BG CODE],Detail!$D840,DataAct_tbl[Check Range],"=true",DataAct_tbl[Dept code],$B840),0)</f>
        <v>0</v>
      </c>
      <c r="M840" s="63">
        <f>INDEX($AG$7:$AR$1005,ROW()-6,MATCH(MTD,$AG$6:$AR$6,0))</f>
        <v>0</v>
      </c>
      <c r="N840" s="34">
        <f t="shared" ref="N840:N903" si="127">IFERROR(+L840-M840,"")</f>
        <v>0</v>
      </c>
      <c r="O840" s="64" t="str">
        <f t="shared" ref="O840:O903" si="128">IFERROR(+IF(M840&gt;0,L840/M840," "),"")</f>
        <v xml:space="preserve"> </v>
      </c>
      <c r="Q840" s="97">
        <f t="shared" ref="Q840:Q903" si="129">AF840</f>
        <v>0</v>
      </c>
      <c r="R840" s="96">
        <f t="shared" ref="R840:R903" si="130">Q840-L840</f>
        <v>0</v>
      </c>
      <c r="T840" s="67" t="str">
        <f>IF($B840&lt;&gt;"",INDEX(DataOB[],FirstRow+ROW()-7,MATCH(T$6,DataOB[#Headers],0)),"")</f>
        <v/>
      </c>
      <c r="U840" s="67" t="str">
        <f>IF($B840&lt;&gt;"",INDEX(DataOB[],FirstRow+ROW()-7,MATCH(U$6,DataOB[#Headers],0)),"")</f>
        <v/>
      </c>
      <c r="V840" s="67" t="str">
        <f>IF($B840&lt;&gt;"",INDEX(DataOB[],FirstRow+ROW()-7,MATCH(V$6,DataOB[#Headers],0)),"")</f>
        <v/>
      </c>
      <c r="W840" s="67" t="str">
        <f>IF($B840&lt;&gt;"",INDEX(DataOB[],FirstRow+ROW()-7,MATCH(W$6,DataOB[#Headers],0)),"")</f>
        <v/>
      </c>
      <c r="X840" s="67" t="str">
        <f>IF($B840&lt;&gt;"",INDEX(DataOB[],FirstRow+ROW()-7,MATCH(X$6,DataOB[#Headers],0)),"")</f>
        <v/>
      </c>
      <c r="Y840" s="67" t="str">
        <f>IF($B840&lt;&gt;"",INDEX(DataOB[],FirstRow+ROW()-7,MATCH(Y$6,DataOB[#Headers],0)),"")</f>
        <v/>
      </c>
      <c r="Z840" s="67" t="str">
        <f>IF($B840&lt;&gt;"",INDEX(DataOB[],FirstRow+ROW()-7,MATCH(Z$6,DataOB[#Headers],0)),"")</f>
        <v/>
      </c>
      <c r="AA840" s="67" t="str">
        <f>IF($B840&lt;&gt;"",INDEX(DataOB[],FirstRow+ROW()-7,MATCH(AA$6,DataOB[#Headers],0)),"")</f>
        <v/>
      </c>
      <c r="AB840" s="67" t="str">
        <f>IF($B840&lt;&gt;"",INDEX(DataOB[],FirstRow+ROW()-7,MATCH(AB$6,DataOB[#Headers],0)),"")</f>
        <v/>
      </c>
      <c r="AC840" s="67" t="str">
        <f>IF($B840&lt;&gt;"",INDEX(DataOB[],FirstRow+ROW()-7,MATCH(AC$6,DataOB[#Headers],0)),"")</f>
        <v/>
      </c>
      <c r="AD840" s="67" t="str">
        <f>IF($B840&lt;&gt;"",INDEX(DataOB[],FirstRow+ROW()-7,MATCH(AD$6,DataOB[#Headers],0)),"")</f>
        <v/>
      </c>
      <c r="AE840" s="67" t="str">
        <f>IF($B840&lt;&gt;"",INDEX(DataOB[],FirstRow+ROW()-7,MATCH(AE$6,DataOB[#Headers],0)),"")</f>
        <v/>
      </c>
      <c r="AF840" s="26">
        <f t="shared" ref="AF840:AF903" si="131">+SUM(T840:AE840)</f>
        <v>0</v>
      </c>
      <c r="AG840" s="31">
        <f>SUM($T840:T840)</f>
        <v>0</v>
      </c>
      <c r="AH840" s="31">
        <f>SUM($T840:U840)</f>
        <v>0</v>
      </c>
      <c r="AI840" s="31">
        <f>SUM($T840:V840)</f>
        <v>0</v>
      </c>
      <c r="AJ840" s="31">
        <f>SUM($T840:W840)</f>
        <v>0</v>
      </c>
      <c r="AK840" s="31">
        <f>SUM($T840:X840)</f>
        <v>0</v>
      </c>
      <c r="AL840" s="31">
        <f>SUM($T840:Y840)</f>
        <v>0</v>
      </c>
      <c r="AM840" s="31">
        <f>SUM($T840:Z840)</f>
        <v>0</v>
      </c>
      <c r="AN840" s="31">
        <f>SUM($T840:AA840)</f>
        <v>0</v>
      </c>
      <c r="AO840" s="31">
        <f>SUM($T840:AB840)</f>
        <v>0</v>
      </c>
      <c r="AP840" s="31">
        <f>SUM($T840:AC840)</f>
        <v>0</v>
      </c>
      <c r="AQ840" s="31">
        <f>SUM($T840:AD840)</f>
        <v>0</v>
      </c>
      <c r="AR840" s="31">
        <f>SUM($T840:AE840)</f>
        <v>0</v>
      </c>
      <c r="AS840" s="27">
        <f t="shared" ref="AS840:AS903" si="132">AF840-AR840</f>
        <v>0</v>
      </c>
    </row>
    <row r="841" spans="2:45">
      <c r="B841" s="102" t="str">
        <f>IF(ROW()-6&gt;NumCostCenter,"",IF(CostCenter&lt;&gt;"ALL",CostCenter,DATA_LF2!B839))</f>
        <v/>
      </c>
      <c r="C841" s="153" t="str">
        <f>IF($B841&lt;&gt;"",INDEX(DataOB[],FirstRow+ROW()-7,2),"")</f>
        <v/>
      </c>
      <c r="D841" s="66" t="str">
        <f>IF($B841&lt;&gt;"",INDEX(DataOB[],FirstRow+ROW()-7,3),"")</f>
        <v/>
      </c>
      <c r="E841" s="103" t="str">
        <f>IF($B841&lt;&gt;"",INDEX(DataOB[],FirstRow+ROW()-7,6),"")</f>
        <v/>
      </c>
      <c r="F841" s="103" t="str">
        <f>IF($B841&lt;&gt;"",INDEX(DataOB[],FirstRow+ROW()-7,5),"")</f>
        <v/>
      </c>
      <c r="G841" s="58">
        <f>IF($B841&lt;&gt;"",SUMIFS(DataAct_tbl[AMOUNT],DataAct_tbl[BG CODE],Detail!$D841,DataAct_tbl[MONTH],LEFT(MonthName,3),DataAct_tbl[Dept code],$B841),0)</f>
        <v>0</v>
      </c>
      <c r="H841" s="31" t="str">
        <f t="shared" si="124"/>
        <v/>
      </c>
      <c r="I841" s="28" t="str">
        <f t="shared" si="125"/>
        <v/>
      </c>
      <c r="J841" s="32" t="str">
        <f t="shared" si="126"/>
        <v/>
      </c>
      <c r="K841" s="86"/>
      <c r="L841" s="62">
        <f>IF($B841&lt;&gt;"",SUMIFS(DataAct_tbl[AMOUNT],DataAct_tbl[BG CODE],Detail!$D841,DataAct_tbl[Check Range],"=true",DataAct_tbl[Dept code],$B841),0)</f>
        <v>0</v>
      </c>
      <c r="M841" s="63">
        <f>INDEX($AG$7:$AR$1005,ROW()-6,MATCH(MTD,$AG$6:$AR$6,0))</f>
        <v>0</v>
      </c>
      <c r="N841" s="34">
        <f t="shared" si="127"/>
        <v>0</v>
      </c>
      <c r="O841" s="64" t="str">
        <f t="shared" si="128"/>
        <v xml:space="preserve"> </v>
      </c>
      <c r="Q841" s="97">
        <f t="shared" si="129"/>
        <v>0</v>
      </c>
      <c r="R841" s="96">
        <f t="shared" si="130"/>
        <v>0</v>
      </c>
      <c r="T841" s="67" t="str">
        <f>IF($B841&lt;&gt;"",INDEX(DataOB[],FirstRow+ROW()-7,MATCH(T$6,DataOB[#Headers],0)),"")</f>
        <v/>
      </c>
      <c r="U841" s="67" t="str">
        <f>IF($B841&lt;&gt;"",INDEX(DataOB[],FirstRow+ROW()-7,MATCH(U$6,DataOB[#Headers],0)),"")</f>
        <v/>
      </c>
      <c r="V841" s="67" t="str">
        <f>IF($B841&lt;&gt;"",INDEX(DataOB[],FirstRow+ROW()-7,MATCH(V$6,DataOB[#Headers],0)),"")</f>
        <v/>
      </c>
      <c r="W841" s="67" t="str">
        <f>IF($B841&lt;&gt;"",INDEX(DataOB[],FirstRow+ROW()-7,MATCH(W$6,DataOB[#Headers],0)),"")</f>
        <v/>
      </c>
      <c r="X841" s="67" t="str">
        <f>IF($B841&lt;&gt;"",INDEX(DataOB[],FirstRow+ROW()-7,MATCH(X$6,DataOB[#Headers],0)),"")</f>
        <v/>
      </c>
      <c r="Y841" s="67" t="str">
        <f>IF($B841&lt;&gt;"",INDEX(DataOB[],FirstRow+ROW()-7,MATCH(Y$6,DataOB[#Headers],0)),"")</f>
        <v/>
      </c>
      <c r="Z841" s="67" t="str">
        <f>IF($B841&lt;&gt;"",INDEX(DataOB[],FirstRow+ROW()-7,MATCH(Z$6,DataOB[#Headers],0)),"")</f>
        <v/>
      </c>
      <c r="AA841" s="67" t="str">
        <f>IF($B841&lt;&gt;"",INDEX(DataOB[],FirstRow+ROW()-7,MATCH(AA$6,DataOB[#Headers],0)),"")</f>
        <v/>
      </c>
      <c r="AB841" s="67" t="str">
        <f>IF($B841&lt;&gt;"",INDEX(DataOB[],FirstRow+ROW()-7,MATCH(AB$6,DataOB[#Headers],0)),"")</f>
        <v/>
      </c>
      <c r="AC841" s="67" t="str">
        <f>IF($B841&lt;&gt;"",INDEX(DataOB[],FirstRow+ROW()-7,MATCH(AC$6,DataOB[#Headers],0)),"")</f>
        <v/>
      </c>
      <c r="AD841" s="67" t="str">
        <f>IF($B841&lt;&gt;"",INDEX(DataOB[],FirstRow+ROW()-7,MATCH(AD$6,DataOB[#Headers],0)),"")</f>
        <v/>
      </c>
      <c r="AE841" s="67" t="str">
        <f>IF($B841&lt;&gt;"",INDEX(DataOB[],FirstRow+ROW()-7,MATCH(AE$6,DataOB[#Headers],0)),"")</f>
        <v/>
      </c>
      <c r="AF841" s="26">
        <f t="shared" si="131"/>
        <v>0</v>
      </c>
      <c r="AG841" s="31">
        <f>SUM($T841:T841)</f>
        <v>0</v>
      </c>
      <c r="AH841" s="31">
        <f>SUM($T841:U841)</f>
        <v>0</v>
      </c>
      <c r="AI841" s="31">
        <f>SUM($T841:V841)</f>
        <v>0</v>
      </c>
      <c r="AJ841" s="31">
        <f>SUM($T841:W841)</f>
        <v>0</v>
      </c>
      <c r="AK841" s="31">
        <f>SUM($T841:X841)</f>
        <v>0</v>
      </c>
      <c r="AL841" s="31">
        <f>SUM($T841:Y841)</f>
        <v>0</v>
      </c>
      <c r="AM841" s="31">
        <f>SUM($T841:Z841)</f>
        <v>0</v>
      </c>
      <c r="AN841" s="31">
        <f>SUM($T841:AA841)</f>
        <v>0</v>
      </c>
      <c r="AO841" s="31">
        <f>SUM($T841:AB841)</f>
        <v>0</v>
      </c>
      <c r="AP841" s="31">
        <f>SUM($T841:AC841)</f>
        <v>0</v>
      </c>
      <c r="AQ841" s="31">
        <f>SUM($T841:AD841)</f>
        <v>0</v>
      </c>
      <c r="AR841" s="31">
        <f>SUM($T841:AE841)</f>
        <v>0</v>
      </c>
      <c r="AS841" s="27">
        <f t="shared" si="132"/>
        <v>0</v>
      </c>
    </row>
    <row r="842" spans="2:45">
      <c r="B842" s="102" t="str">
        <f>IF(ROW()-6&gt;NumCostCenter,"",IF(CostCenter&lt;&gt;"ALL",CostCenter,DATA_LF2!B840))</f>
        <v/>
      </c>
      <c r="C842" s="153" t="str">
        <f>IF($B842&lt;&gt;"",INDEX(DataOB[],FirstRow+ROW()-7,2),"")</f>
        <v/>
      </c>
      <c r="D842" s="66" t="str">
        <f>IF($B842&lt;&gt;"",INDEX(DataOB[],FirstRow+ROW()-7,3),"")</f>
        <v/>
      </c>
      <c r="E842" s="103" t="str">
        <f>IF($B842&lt;&gt;"",INDEX(DataOB[],FirstRow+ROW()-7,6),"")</f>
        <v/>
      </c>
      <c r="F842" s="103" t="str">
        <f>IF($B842&lt;&gt;"",INDEX(DataOB[],FirstRow+ROW()-7,5),"")</f>
        <v/>
      </c>
      <c r="G842" s="58">
        <f>IF($B842&lt;&gt;"",SUMIFS(DataAct_tbl[AMOUNT],DataAct_tbl[BG CODE],Detail!$D842,DataAct_tbl[MONTH],LEFT(MonthName,3),DataAct_tbl[Dept code],$B842),0)</f>
        <v>0</v>
      </c>
      <c r="H842" s="31" t="str">
        <f t="shared" si="124"/>
        <v/>
      </c>
      <c r="I842" s="28" t="str">
        <f t="shared" si="125"/>
        <v/>
      </c>
      <c r="J842" s="32" t="str">
        <f t="shared" si="126"/>
        <v/>
      </c>
      <c r="K842" s="86"/>
      <c r="L842" s="62">
        <f>IF($B842&lt;&gt;"",SUMIFS(DataAct_tbl[AMOUNT],DataAct_tbl[BG CODE],Detail!$D842,DataAct_tbl[Check Range],"=true",DataAct_tbl[Dept code],$B842),0)</f>
        <v>0</v>
      </c>
      <c r="M842" s="63">
        <f>INDEX($AG$7:$AR$1005,ROW()-6,MATCH(MTD,$AG$6:$AR$6,0))</f>
        <v>0</v>
      </c>
      <c r="N842" s="34">
        <f t="shared" si="127"/>
        <v>0</v>
      </c>
      <c r="O842" s="64" t="str">
        <f t="shared" si="128"/>
        <v xml:space="preserve"> </v>
      </c>
      <c r="Q842" s="97">
        <f t="shared" si="129"/>
        <v>0</v>
      </c>
      <c r="R842" s="96">
        <f t="shared" si="130"/>
        <v>0</v>
      </c>
      <c r="T842" s="67" t="str">
        <f>IF($B842&lt;&gt;"",INDEX(DataOB[],FirstRow+ROW()-7,MATCH(T$6,DataOB[#Headers],0)),"")</f>
        <v/>
      </c>
      <c r="U842" s="67" t="str">
        <f>IF($B842&lt;&gt;"",INDEX(DataOB[],FirstRow+ROW()-7,MATCH(U$6,DataOB[#Headers],0)),"")</f>
        <v/>
      </c>
      <c r="V842" s="67" t="str">
        <f>IF($B842&lt;&gt;"",INDEX(DataOB[],FirstRow+ROW()-7,MATCH(V$6,DataOB[#Headers],0)),"")</f>
        <v/>
      </c>
      <c r="W842" s="67" t="str">
        <f>IF($B842&lt;&gt;"",INDEX(DataOB[],FirstRow+ROW()-7,MATCH(W$6,DataOB[#Headers],0)),"")</f>
        <v/>
      </c>
      <c r="X842" s="67" t="str">
        <f>IF($B842&lt;&gt;"",INDEX(DataOB[],FirstRow+ROW()-7,MATCH(X$6,DataOB[#Headers],0)),"")</f>
        <v/>
      </c>
      <c r="Y842" s="67" t="str">
        <f>IF($B842&lt;&gt;"",INDEX(DataOB[],FirstRow+ROW()-7,MATCH(Y$6,DataOB[#Headers],0)),"")</f>
        <v/>
      </c>
      <c r="Z842" s="67" t="str">
        <f>IF($B842&lt;&gt;"",INDEX(DataOB[],FirstRow+ROW()-7,MATCH(Z$6,DataOB[#Headers],0)),"")</f>
        <v/>
      </c>
      <c r="AA842" s="67" t="str">
        <f>IF($B842&lt;&gt;"",INDEX(DataOB[],FirstRow+ROW()-7,MATCH(AA$6,DataOB[#Headers],0)),"")</f>
        <v/>
      </c>
      <c r="AB842" s="67" t="str">
        <f>IF($B842&lt;&gt;"",INDEX(DataOB[],FirstRow+ROW()-7,MATCH(AB$6,DataOB[#Headers],0)),"")</f>
        <v/>
      </c>
      <c r="AC842" s="67" t="str">
        <f>IF($B842&lt;&gt;"",INDEX(DataOB[],FirstRow+ROW()-7,MATCH(AC$6,DataOB[#Headers],0)),"")</f>
        <v/>
      </c>
      <c r="AD842" s="67" t="str">
        <f>IF($B842&lt;&gt;"",INDEX(DataOB[],FirstRow+ROW()-7,MATCH(AD$6,DataOB[#Headers],0)),"")</f>
        <v/>
      </c>
      <c r="AE842" s="67" t="str">
        <f>IF($B842&lt;&gt;"",INDEX(DataOB[],FirstRow+ROW()-7,MATCH(AE$6,DataOB[#Headers],0)),"")</f>
        <v/>
      </c>
      <c r="AF842" s="26">
        <f t="shared" si="131"/>
        <v>0</v>
      </c>
      <c r="AG842" s="31">
        <f>SUM($T842:T842)</f>
        <v>0</v>
      </c>
      <c r="AH842" s="31">
        <f>SUM($T842:U842)</f>
        <v>0</v>
      </c>
      <c r="AI842" s="31">
        <f>SUM($T842:V842)</f>
        <v>0</v>
      </c>
      <c r="AJ842" s="31">
        <f>SUM($T842:W842)</f>
        <v>0</v>
      </c>
      <c r="AK842" s="31">
        <f>SUM($T842:X842)</f>
        <v>0</v>
      </c>
      <c r="AL842" s="31">
        <f>SUM($T842:Y842)</f>
        <v>0</v>
      </c>
      <c r="AM842" s="31">
        <f>SUM($T842:Z842)</f>
        <v>0</v>
      </c>
      <c r="AN842" s="31">
        <f>SUM($T842:AA842)</f>
        <v>0</v>
      </c>
      <c r="AO842" s="31">
        <f>SUM($T842:AB842)</f>
        <v>0</v>
      </c>
      <c r="AP842" s="31">
        <f>SUM($T842:AC842)</f>
        <v>0</v>
      </c>
      <c r="AQ842" s="31">
        <f>SUM($T842:AD842)</f>
        <v>0</v>
      </c>
      <c r="AR842" s="31">
        <f>SUM($T842:AE842)</f>
        <v>0</v>
      </c>
      <c r="AS842" s="27">
        <f t="shared" si="132"/>
        <v>0</v>
      </c>
    </row>
    <row r="843" spans="2:45">
      <c r="B843" s="102" t="str">
        <f>IF(ROW()-6&gt;NumCostCenter,"",IF(CostCenter&lt;&gt;"ALL",CostCenter,DATA_LF2!B841))</f>
        <v/>
      </c>
      <c r="C843" s="153" t="str">
        <f>IF($B843&lt;&gt;"",INDEX(DataOB[],FirstRow+ROW()-7,2),"")</f>
        <v/>
      </c>
      <c r="D843" s="66" t="str">
        <f>IF($B843&lt;&gt;"",INDEX(DataOB[],FirstRow+ROW()-7,3),"")</f>
        <v/>
      </c>
      <c r="E843" s="103" t="str">
        <f>IF($B843&lt;&gt;"",INDEX(DataOB[],FirstRow+ROW()-7,6),"")</f>
        <v/>
      </c>
      <c r="F843" s="103" t="str">
        <f>IF($B843&lt;&gt;"",INDEX(DataOB[],FirstRow+ROW()-7,5),"")</f>
        <v/>
      </c>
      <c r="G843" s="58">
        <f>IF($B843&lt;&gt;"",SUMIFS(DataAct_tbl[AMOUNT],DataAct_tbl[BG CODE],Detail!$D843,DataAct_tbl[MONTH],LEFT(MonthName,3),DataAct_tbl[Dept code],$B843),0)</f>
        <v>0</v>
      </c>
      <c r="H843" s="31" t="str">
        <f t="shared" si="124"/>
        <v/>
      </c>
      <c r="I843" s="28" t="str">
        <f t="shared" si="125"/>
        <v/>
      </c>
      <c r="J843" s="32" t="str">
        <f t="shared" si="126"/>
        <v/>
      </c>
      <c r="K843" s="86"/>
      <c r="L843" s="62">
        <f>IF($B843&lt;&gt;"",SUMIFS(DataAct_tbl[AMOUNT],DataAct_tbl[BG CODE],Detail!$D843,DataAct_tbl[Check Range],"=true",DataAct_tbl[Dept code],$B843),0)</f>
        <v>0</v>
      </c>
      <c r="M843" s="63">
        <f>INDEX($AG$7:$AR$1005,ROW()-6,MATCH(MTD,$AG$6:$AR$6,0))</f>
        <v>0</v>
      </c>
      <c r="N843" s="34">
        <f t="shared" si="127"/>
        <v>0</v>
      </c>
      <c r="O843" s="64" t="str">
        <f t="shared" si="128"/>
        <v xml:space="preserve"> </v>
      </c>
      <c r="Q843" s="97">
        <f t="shared" si="129"/>
        <v>0</v>
      </c>
      <c r="R843" s="96">
        <f t="shared" si="130"/>
        <v>0</v>
      </c>
      <c r="T843" s="67" t="str">
        <f>IF($B843&lt;&gt;"",INDEX(DataOB[],FirstRow+ROW()-7,MATCH(T$6,DataOB[#Headers],0)),"")</f>
        <v/>
      </c>
      <c r="U843" s="67" t="str">
        <f>IF($B843&lt;&gt;"",INDEX(DataOB[],FirstRow+ROW()-7,MATCH(U$6,DataOB[#Headers],0)),"")</f>
        <v/>
      </c>
      <c r="V843" s="67" t="str">
        <f>IF($B843&lt;&gt;"",INDEX(DataOB[],FirstRow+ROW()-7,MATCH(V$6,DataOB[#Headers],0)),"")</f>
        <v/>
      </c>
      <c r="W843" s="67" t="str">
        <f>IF($B843&lt;&gt;"",INDEX(DataOB[],FirstRow+ROW()-7,MATCH(W$6,DataOB[#Headers],0)),"")</f>
        <v/>
      </c>
      <c r="X843" s="67" t="str">
        <f>IF($B843&lt;&gt;"",INDEX(DataOB[],FirstRow+ROW()-7,MATCH(X$6,DataOB[#Headers],0)),"")</f>
        <v/>
      </c>
      <c r="Y843" s="67" t="str">
        <f>IF($B843&lt;&gt;"",INDEX(DataOB[],FirstRow+ROW()-7,MATCH(Y$6,DataOB[#Headers],0)),"")</f>
        <v/>
      </c>
      <c r="Z843" s="67" t="str">
        <f>IF($B843&lt;&gt;"",INDEX(DataOB[],FirstRow+ROW()-7,MATCH(Z$6,DataOB[#Headers],0)),"")</f>
        <v/>
      </c>
      <c r="AA843" s="67" t="str">
        <f>IF($B843&lt;&gt;"",INDEX(DataOB[],FirstRow+ROW()-7,MATCH(AA$6,DataOB[#Headers],0)),"")</f>
        <v/>
      </c>
      <c r="AB843" s="67" t="str">
        <f>IF($B843&lt;&gt;"",INDEX(DataOB[],FirstRow+ROW()-7,MATCH(AB$6,DataOB[#Headers],0)),"")</f>
        <v/>
      </c>
      <c r="AC843" s="67" t="str">
        <f>IF($B843&lt;&gt;"",INDEX(DataOB[],FirstRow+ROW()-7,MATCH(AC$6,DataOB[#Headers],0)),"")</f>
        <v/>
      </c>
      <c r="AD843" s="67" t="str">
        <f>IF($B843&lt;&gt;"",INDEX(DataOB[],FirstRow+ROW()-7,MATCH(AD$6,DataOB[#Headers],0)),"")</f>
        <v/>
      </c>
      <c r="AE843" s="67" t="str">
        <f>IF($B843&lt;&gt;"",INDEX(DataOB[],FirstRow+ROW()-7,MATCH(AE$6,DataOB[#Headers],0)),"")</f>
        <v/>
      </c>
      <c r="AF843" s="26">
        <f t="shared" si="131"/>
        <v>0</v>
      </c>
      <c r="AG843" s="31">
        <f>SUM($T843:T843)</f>
        <v>0</v>
      </c>
      <c r="AH843" s="31">
        <f>SUM($T843:U843)</f>
        <v>0</v>
      </c>
      <c r="AI843" s="31">
        <f>SUM($T843:V843)</f>
        <v>0</v>
      </c>
      <c r="AJ843" s="31">
        <f>SUM($T843:W843)</f>
        <v>0</v>
      </c>
      <c r="AK843" s="31">
        <f>SUM($T843:X843)</f>
        <v>0</v>
      </c>
      <c r="AL843" s="31">
        <f>SUM($T843:Y843)</f>
        <v>0</v>
      </c>
      <c r="AM843" s="31">
        <f>SUM($T843:Z843)</f>
        <v>0</v>
      </c>
      <c r="AN843" s="31">
        <f>SUM($T843:AA843)</f>
        <v>0</v>
      </c>
      <c r="AO843" s="31">
        <f>SUM($T843:AB843)</f>
        <v>0</v>
      </c>
      <c r="AP843" s="31">
        <f>SUM($T843:AC843)</f>
        <v>0</v>
      </c>
      <c r="AQ843" s="31">
        <f>SUM($T843:AD843)</f>
        <v>0</v>
      </c>
      <c r="AR843" s="31">
        <f>SUM($T843:AE843)</f>
        <v>0</v>
      </c>
      <c r="AS843" s="27">
        <f t="shared" si="132"/>
        <v>0</v>
      </c>
    </row>
    <row r="844" spans="2:45">
      <c r="B844" s="102" t="str">
        <f>IF(ROW()-6&gt;NumCostCenter,"",IF(CostCenter&lt;&gt;"ALL",CostCenter,DATA_LF2!B842))</f>
        <v/>
      </c>
      <c r="C844" s="153" t="str">
        <f>IF($B844&lt;&gt;"",INDEX(DataOB[],FirstRow+ROW()-7,2),"")</f>
        <v/>
      </c>
      <c r="D844" s="66" t="str">
        <f>IF($B844&lt;&gt;"",INDEX(DataOB[],FirstRow+ROW()-7,3),"")</f>
        <v/>
      </c>
      <c r="E844" s="103" t="str">
        <f>IF($B844&lt;&gt;"",INDEX(DataOB[],FirstRow+ROW()-7,6),"")</f>
        <v/>
      </c>
      <c r="F844" s="103" t="str">
        <f>IF($B844&lt;&gt;"",INDEX(DataOB[],FirstRow+ROW()-7,5),"")</f>
        <v/>
      </c>
      <c r="G844" s="58">
        <f>IF($B844&lt;&gt;"",SUMIFS(DataAct_tbl[AMOUNT],DataAct_tbl[BG CODE],Detail!$D844,DataAct_tbl[MONTH],LEFT(MonthName,3),DataAct_tbl[Dept code],$B844),0)</f>
        <v>0</v>
      </c>
      <c r="H844" s="31" t="str">
        <f t="shared" si="124"/>
        <v/>
      </c>
      <c r="I844" s="28" t="str">
        <f t="shared" si="125"/>
        <v/>
      </c>
      <c r="J844" s="32" t="str">
        <f t="shared" si="126"/>
        <v/>
      </c>
      <c r="K844" s="86"/>
      <c r="L844" s="62">
        <f>IF($B844&lt;&gt;"",SUMIFS(DataAct_tbl[AMOUNT],DataAct_tbl[BG CODE],Detail!$D844,DataAct_tbl[Check Range],"=true",DataAct_tbl[Dept code],$B844),0)</f>
        <v>0</v>
      </c>
      <c r="M844" s="63">
        <f>INDEX($AG$7:$AR$1005,ROW()-6,MATCH(MTD,$AG$6:$AR$6,0))</f>
        <v>0</v>
      </c>
      <c r="N844" s="34">
        <f t="shared" si="127"/>
        <v>0</v>
      </c>
      <c r="O844" s="64" t="str">
        <f t="shared" si="128"/>
        <v xml:space="preserve"> </v>
      </c>
      <c r="Q844" s="97">
        <f t="shared" si="129"/>
        <v>0</v>
      </c>
      <c r="R844" s="96">
        <f t="shared" si="130"/>
        <v>0</v>
      </c>
      <c r="T844" s="67" t="str">
        <f>IF($B844&lt;&gt;"",INDEX(DataOB[],FirstRow+ROW()-7,MATCH(T$6,DataOB[#Headers],0)),"")</f>
        <v/>
      </c>
      <c r="U844" s="67" t="str">
        <f>IF($B844&lt;&gt;"",INDEX(DataOB[],FirstRow+ROW()-7,MATCH(U$6,DataOB[#Headers],0)),"")</f>
        <v/>
      </c>
      <c r="V844" s="67" t="str">
        <f>IF($B844&lt;&gt;"",INDEX(DataOB[],FirstRow+ROW()-7,MATCH(V$6,DataOB[#Headers],0)),"")</f>
        <v/>
      </c>
      <c r="W844" s="67" t="str">
        <f>IF($B844&lt;&gt;"",INDEX(DataOB[],FirstRow+ROW()-7,MATCH(W$6,DataOB[#Headers],0)),"")</f>
        <v/>
      </c>
      <c r="X844" s="67" t="str">
        <f>IF($B844&lt;&gt;"",INDEX(DataOB[],FirstRow+ROW()-7,MATCH(X$6,DataOB[#Headers],0)),"")</f>
        <v/>
      </c>
      <c r="Y844" s="67" t="str">
        <f>IF($B844&lt;&gt;"",INDEX(DataOB[],FirstRow+ROW()-7,MATCH(Y$6,DataOB[#Headers],0)),"")</f>
        <v/>
      </c>
      <c r="Z844" s="67" t="str">
        <f>IF($B844&lt;&gt;"",INDEX(DataOB[],FirstRow+ROW()-7,MATCH(Z$6,DataOB[#Headers],0)),"")</f>
        <v/>
      </c>
      <c r="AA844" s="67" t="str">
        <f>IF($B844&lt;&gt;"",INDEX(DataOB[],FirstRow+ROW()-7,MATCH(AA$6,DataOB[#Headers],0)),"")</f>
        <v/>
      </c>
      <c r="AB844" s="67" t="str">
        <f>IF($B844&lt;&gt;"",INDEX(DataOB[],FirstRow+ROW()-7,MATCH(AB$6,DataOB[#Headers],0)),"")</f>
        <v/>
      </c>
      <c r="AC844" s="67" t="str">
        <f>IF($B844&lt;&gt;"",INDEX(DataOB[],FirstRow+ROW()-7,MATCH(AC$6,DataOB[#Headers],0)),"")</f>
        <v/>
      </c>
      <c r="AD844" s="67" t="str">
        <f>IF($B844&lt;&gt;"",INDEX(DataOB[],FirstRow+ROW()-7,MATCH(AD$6,DataOB[#Headers],0)),"")</f>
        <v/>
      </c>
      <c r="AE844" s="67" t="str">
        <f>IF($B844&lt;&gt;"",INDEX(DataOB[],FirstRow+ROW()-7,MATCH(AE$6,DataOB[#Headers],0)),"")</f>
        <v/>
      </c>
      <c r="AF844" s="26">
        <f t="shared" si="131"/>
        <v>0</v>
      </c>
      <c r="AG844" s="31">
        <f>SUM($T844:T844)</f>
        <v>0</v>
      </c>
      <c r="AH844" s="31">
        <f>SUM($T844:U844)</f>
        <v>0</v>
      </c>
      <c r="AI844" s="31">
        <f>SUM($T844:V844)</f>
        <v>0</v>
      </c>
      <c r="AJ844" s="31">
        <f>SUM($T844:W844)</f>
        <v>0</v>
      </c>
      <c r="AK844" s="31">
        <f>SUM($T844:X844)</f>
        <v>0</v>
      </c>
      <c r="AL844" s="31">
        <f>SUM($T844:Y844)</f>
        <v>0</v>
      </c>
      <c r="AM844" s="31">
        <f>SUM($T844:Z844)</f>
        <v>0</v>
      </c>
      <c r="AN844" s="31">
        <f>SUM($T844:AA844)</f>
        <v>0</v>
      </c>
      <c r="AO844" s="31">
        <f>SUM($T844:AB844)</f>
        <v>0</v>
      </c>
      <c r="AP844" s="31">
        <f>SUM($T844:AC844)</f>
        <v>0</v>
      </c>
      <c r="AQ844" s="31">
        <f>SUM($T844:AD844)</f>
        <v>0</v>
      </c>
      <c r="AR844" s="31">
        <f>SUM($T844:AE844)</f>
        <v>0</v>
      </c>
      <c r="AS844" s="27">
        <f t="shared" si="132"/>
        <v>0</v>
      </c>
    </row>
    <row r="845" spans="2:45">
      <c r="B845" s="102" t="str">
        <f>IF(ROW()-6&gt;NumCostCenter,"",IF(CostCenter&lt;&gt;"ALL",CostCenter,DATA_LF2!B843))</f>
        <v/>
      </c>
      <c r="C845" s="153" t="str">
        <f>IF($B845&lt;&gt;"",INDEX(DataOB[],FirstRow+ROW()-7,2),"")</f>
        <v/>
      </c>
      <c r="D845" s="66" t="str">
        <f>IF($B845&lt;&gt;"",INDEX(DataOB[],FirstRow+ROW()-7,3),"")</f>
        <v/>
      </c>
      <c r="E845" s="103" t="str">
        <f>IF($B845&lt;&gt;"",INDEX(DataOB[],FirstRow+ROW()-7,6),"")</f>
        <v/>
      </c>
      <c r="F845" s="103" t="str">
        <f>IF($B845&lt;&gt;"",INDEX(DataOB[],FirstRow+ROW()-7,5),"")</f>
        <v/>
      </c>
      <c r="G845" s="58">
        <f>IF($B845&lt;&gt;"",SUMIFS(DataAct_tbl[AMOUNT],DataAct_tbl[BG CODE],Detail!$D845,DataAct_tbl[MONTH],LEFT(MonthName,3),DataAct_tbl[Dept code],$B845),0)</f>
        <v>0</v>
      </c>
      <c r="H845" s="31" t="str">
        <f t="shared" si="124"/>
        <v/>
      </c>
      <c r="I845" s="28" t="str">
        <f t="shared" si="125"/>
        <v/>
      </c>
      <c r="J845" s="32" t="str">
        <f t="shared" si="126"/>
        <v/>
      </c>
      <c r="K845" s="86"/>
      <c r="L845" s="62">
        <f>IF($B845&lt;&gt;"",SUMIFS(DataAct_tbl[AMOUNT],DataAct_tbl[BG CODE],Detail!$D845,DataAct_tbl[Check Range],"=true",DataAct_tbl[Dept code],$B845),0)</f>
        <v>0</v>
      </c>
      <c r="M845" s="63">
        <f>INDEX($AG$7:$AR$1005,ROW()-6,MATCH(MTD,$AG$6:$AR$6,0))</f>
        <v>0</v>
      </c>
      <c r="N845" s="34">
        <f t="shared" si="127"/>
        <v>0</v>
      </c>
      <c r="O845" s="64" t="str">
        <f t="shared" si="128"/>
        <v xml:space="preserve"> </v>
      </c>
      <c r="Q845" s="97">
        <f t="shared" si="129"/>
        <v>0</v>
      </c>
      <c r="R845" s="96">
        <f t="shared" si="130"/>
        <v>0</v>
      </c>
      <c r="T845" s="67" t="str">
        <f>IF($B845&lt;&gt;"",INDEX(DataOB[],FirstRow+ROW()-7,MATCH(T$6,DataOB[#Headers],0)),"")</f>
        <v/>
      </c>
      <c r="U845" s="67" t="str">
        <f>IF($B845&lt;&gt;"",INDEX(DataOB[],FirstRow+ROW()-7,MATCH(U$6,DataOB[#Headers],0)),"")</f>
        <v/>
      </c>
      <c r="V845" s="67" t="str">
        <f>IF($B845&lt;&gt;"",INDEX(DataOB[],FirstRow+ROW()-7,MATCH(V$6,DataOB[#Headers],0)),"")</f>
        <v/>
      </c>
      <c r="W845" s="67" t="str">
        <f>IF($B845&lt;&gt;"",INDEX(DataOB[],FirstRow+ROW()-7,MATCH(W$6,DataOB[#Headers],0)),"")</f>
        <v/>
      </c>
      <c r="X845" s="67" t="str">
        <f>IF($B845&lt;&gt;"",INDEX(DataOB[],FirstRow+ROW()-7,MATCH(X$6,DataOB[#Headers],0)),"")</f>
        <v/>
      </c>
      <c r="Y845" s="67" t="str">
        <f>IF($B845&lt;&gt;"",INDEX(DataOB[],FirstRow+ROW()-7,MATCH(Y$6,DataOB[#Headers],0)),"")</f>
        <v/>
      </c>
      <c r="Z845" s="67" t="str">
        <f>IF($B845&lt;&gt;"",INDEX(DataOB[],FirstRow+ROW()-7,MATCH(Z$6,DataOB[#Headers],0)),"")</f>
        <v/>
      </c>
      <c r="AA845" s="67" t="str">
        <f>IF($B845&lt;&gt;"",INDEX(DataOB[],FirstRow+ROW()-7,MATCH(AA$6,DataOB[#Headers],0)),"")</f>
        <v/>
      </c>
      <c r="AB845" s="67" t="str">
        <f>IF($B845&lt;&gt;"",INDEX(DataOB[],FirstRow+ROW()-7,MATCH(AB$6,DataOB[#Headers],0)),"")</f>
        <v/>
      </c>
      <c r="AC845" s="67" t="str">
        <f>IF($B845&lt;&gt;"",INDEX(DataOB[],FirstRow+ROW()-7,MATCH(AC$6,DataOB[#Headers],0)),"")</f>
        <v/>
      </c>
      <c r="AD845" s="67" t="str">
        <f>IF($B845&lt;&gt;"",INDEX(DataOB[],FirstRow+ROW()-7,MATCH(AD$6,DataOB[#Headers],0)),"")</f>
        <v/>
      </c>
      <c r="AE845" s="67" t="str">
        <f>IF($B845&lt;&gt;"",INDEX(DataOB[],FirstRow+ROW()-7,MATCH(AE$6,DataOB[#Headers],0)),"")</f>
        <v/>
      </c>
      <c r="AF845" s="26">
        <f t="shared" si="131"/>
        <v>0</v>
      </c>
      <c r="AG845" s="31">
        <f>SUM($T845:T845)</f>
        <v>0</v>
      </c>
      <c r="AH845" s="31">
        <f>SUM($T845:U845)</f>
        <v>0</v>
      </c>
      <c r="AI845" s="31">
        <f>SUM($T845:V845)</f>
        <v>0</v>
      </c>
      <c r="AJ845" s="31">
        <f>SUM($T845:W845)</f>
        <v>0</v>
      </c>
      <c r="AK845" s="31">
        <f>SUM($T845:X845)</f>
        <v>0</v>
      </c>
      <c r="AL845" s="31">
        <f>SUM($T845:Y845)</f>
        <v>0</v>
      </c>
      <c r="AM845" s="31">
        <f>SUM($T845:Z845)</f>
        <v>0</v>
      </c>
      <c r="AN845" s="31">
        <f>SUM($T845:AA845)</f>
        <v>0</v>
      </c>
      <c r="AO845" s="31">
        <f>SUM($T845:AB845)</f>
        <v>0</v>
      </c>
      <c r="AP845" s="31">
        <f>SUM($T845:AC845)</f>
        <v>0</v>
      </c>
      <c r="AQ845" s="31">
        <f>SUM($T845:AD845)</f>
        <v>0</v>
      </c>
      <c r="AR845" s="31">
        <f>SUM($T845:AE845)</f>
        <v>0</v>
      </c>
      <c r="AS845" s="27">
        <f t="shared" si="132"/>
        <v>0</v>
      </c>
    </row>
    <row r="846" spans="2:45">
      <c r="B846" s="102" t="str">
        <f>IF(ROW()-6&gt;NumCostCenter,"",IF(CostCenter&lt;&gt;"ALL",CostCenter,DATA_LF2!B844))</f>
        <v/>
      </c>
      <c r="C846" s="153" t="str">
        <f>IF($B846&lt;&gt;"",INDEX(DataOB[],FirstRow+ROW()-7,2),"")</f>
        <v/>
      </c>
      <c r="D846" s="66" t="str">
        <f>IF($B846&lt;&gt;"",INDEX(DataOB[],FirstRow+ROW()-7,3),"")</f>
        <v/>
      </c>
      <c r="E846" s="103" t="str">
        <f>IF($B846&lt;&gt;"",INDEX(DataOB[],FirstRow+ROW()-7,6),"")</f>
        <v/>
      </c>
      <c r="F846" s="103" t="str">
        <f>IF($B846&lt;&gt;"",INDEX(DataOB[],FirstRow+ROW()-7,5),"")</f>
        <v/>
      </c>
      <c r="G846" s="58">
        <f>IF($B846&lt;&gt;"",SUMIFS(DataAct_tbl[AMOUNT],DataAct_tbl[BG CODE],Detail!$D846,DataAct_tbl[MONTH],LEFT(MonthName,3),DataAct_tbl[Dept code],$B846),0)</f>
        <v>0</v>
      </c>
      <c r="H846" s="31" t="str">
        <f t="shared" si="124"/>
        <v/>
      </c>
      <c r="I846" s="28" t="str">
        <f t="shared" si="125"/>
        <v/>
      </c>
      <c r="J846" s="32" t="str">
        <f t="shared" si="126"/>
        <v/>
      </c>
      <c r="K846" s="86"/>
      <c r="L846" s="62">
        <f>IF($B846&lt;&gt;"",SUMIFS(DataAct_tbl[AMOUNT],DataAct_tbl[BG CODE],Detail!$D846,DataAct_tbl[Check Range],"=true",DataAct_tbl[Dept code],$B846),0)</f>
        <v>0</v>
      </c>
      <c r="M846" s="63">
        <f>INDEX($AG$7:$AR$1005,ROW()-6,MATCH(MTD,$AG$6:$AR$6,0))</f>
        <v>0</v>
      </c>
      <c r="N846" s="34">
        <f t="shared" si="127"/>
        <v>0</v>
      </c>
      <c r="O846" s="64" t="str">
        <f t="shared" si="128"/>
        <v xml:space="preserve"> </v>
      </c>
      <c r="Q846" s="97">
        <f t="shared" si="129"/>
        <v>0</v>
      </c>
      <c r="R846" s="96">
        <f t="shared" si="130"/>
        <v>0</v>
      </c>
      <c r="T846" s="67" t="str">
        <f>IF($B846&lt;&gt;"",INDEX(DataOB[],FirstRow+ROW()-7,MATCH(T$6,DataOB[#Headers],0)),"")</f>
        <v/>
      </c>
      <c r="U846" s="67" t="str">
        <f>IF($B846&lt;&gt;"",INDEX(DataOB[],FirstRow+ROW()-7,MATCH(U$6,DataOB[#Headers],0)),"")</f>
        <v/>
      </c>
      <c r="V846" s="67" t="str">
        <f>IF($B846&lt;&gt;"",INDEX(DataOB[],FirstRow+ROW()-7,MATCH(V$6,DataOB[#Headers],0)),"")</f>
        <v/>
      </c>
      <c r="W846" s="67" t="str">
        <f>IF($B846&lt;&gt;"",INDEX(DataOB[],FirstRow+ROW()-7,MATCH(W$6,DataOB[#Headers],0)),"")</f>
        <v/>
      </c>
      <c r="X846" s="67" t="str">
        <f>IF($B846&lt;&gt;"",INDEX(DataOB[],FirstRow+ROW()-7,MATCH(X$6,DataOB[#Headers],0)),"")</f>
        <v/>
      </c>
      <c r="Y846" s="67" t="str">
        <f>IF($B846&lt;&gt;"",INDEX(DataOB[],FirstRow+ROW()-7,MATCH(Y$6,DataOB[#Headers],0)),"")</f>
        <v/>
      </c>
      <c r="Z846" s="67" t="str">
        <f>IF($B846&lt;&gt;"",INDEX(DataOB[],FirstRow+ROW()-7,MATCH(Z$6,DataOB[#Headers],0)),"")</f>
        <v/>
      </c>
      <c r="AA846" s="67" t="str">
        <f>IF($B846&lt;&gt;"",INDEX(DataOB[],FirstRow+ROW()-7,MATCH(AA$6,DataOB[#Headers],0)),"")</f>
        <v/>
      </c>
      <c r="AB846" s="67" t="str">
        <f>IF($B846&lt;&gt;"",INDEX(DataOB[],FirstRow+ROW()-7,MATCH(AB$6,DataOB[#Headers],0)),"")</f>
        <v/>
      </c>
      <c r="AC846" s="67" t="str">
        <f>IF($B846&lt;&gt;"",INDEX(DataOB[],FirstRow+ROW()-7,MATCH(AC$6,DataOB[#Headers],0)),"")</f>
        <v/>
      </c>
      <c r="AD846" s="67" t="str">
        <f>IF($B846&lt;&gt;"",INDEX(DataOB[],FirstRow+ROW()-7,MATCH(AD$6,DataOB[#Headers],0)),"")</f>
        <v/>
      </c>
      <c r="AE846" s="67" t="str">
        <f>IF($B846&lt;&gt;"",INDEX(DataOB[],FirstRow+ROW()-7,MATCH(AE$6,DataOB[#Headers],0)),"")</f>
        <v/>
      </c>
      <c r="AF846" s="26">
        <f t="shared" si="131"/>
        <v>0</v>
      </c>
      <c r="AG846" s="31">
        <f>SUM($T846:T846)</f>
        <v>0</v>
      </c>
      <c r="AH846" s="31">
        <f>SUM($T846:U846)</f>
        <v>0</v>
      </c>
      <c r="AI846" s="31">
        <f>SUM($T846:V846)</f>
        <v>0</v>
      </c>
      <c r="AJ846" s="31">
        <f>SUM($T846:W846)</f>
        <v>0</v>
      </c>
      <c r="AK846" s="31">
        <f>SUM($T846:X846)</f>
        <v>0</v>
      </c>
      <c r="AL846" s="31">
        <f>SUM($T846:Y846)</f>
        <v>0</v>
      </c>
      <c r="AM846" s="31">
        <f>SUM($T846:Z846)</f>
        <v>0</v>
      </c>
      <c r="AN846" s="31">
        <f>SUM($T846:AA846)</f>
        <v>0</v>
      </c>
      <c r="AO846" s="31">
        <f>SUM($T846:AB846)</f>
        <v>0</v>
      </c>
      <c r="AP846" s="31">
        <f>SUM($T846:AC846)</f>
        <v>0</v>
      </c>
      <c r="AQ846" s="31">
        <f>SUM($T846:AD846)</f>
        <v>0</v>
      </c>
      <c r="AR846" s="31">
        <f>SUM($T846:AE846)</f>
        <v>0</v>
      </c>
      <c r="AS846" s="27">
        <f t="shared" si="132"/>
        <v>0</v>
      </c>
    </row>
    <row r="847" spans="2:45">
      <c r="B847" s="102" t="str">
        <f>IF(ROW()-6&gt;NumCostCenter,"",IF(CostCenter&lt;&gt;"ALL",CostCenter,DATA_LF2!B845))</f>
        <v/>
      </c>
      <c r="C847" s="153" t="str">
        <f>IF($B847&lt;&gt;"",INDEX(DataOB[],FirstRow+ROW()-7,2),"")</f>
        <v/>
      </c>
      <c r="D847" s="66" t="str">
        <f>IF($B847&lt;&gt;"",INDEX(DataOB[],FirstRow+ROW()-7,3),"")</f>
        <v/>
      </c>
      <c r="E847" s="103" t="str">
        <f>IF($B847&lt;&gt;"",INDEX(DataOB[],FirstRow+ROW()-7,6),"")</f>
        <v/>
      </c>
      <c r="F847" s="103" t="str">
        <f>IF($B847&lt;&gt;"",INDEX(DataOB[],FirstRow+ROW()-7,5),"")</f>
        <v/>
      </c>
      <c r="G847" s="58">
        <f>IF($B847&lt;&gt;"",SUMIFS(DataAct_tbl[AMOUNT],DataAct_tbl[BG CODE],Detail!$D847,DataAct_tbl[MONTH],LEFT(MonthName,3),DataAct_tbl[Dept code],$B847),0)</f>
        <v>0</v>
      </c>
      <c r="H847" s="31" t="str">
        <f t="shared" si="124"/>
        <v/>
      </c>
      <c r="I847" s="28" t="str">
        <f t="shared" si="125"/>
        <v/>
      </c>
      <c r="J847" s="32" t="str">
        <f t="shared" si="126"/>
        <v/>
      </c>
      <c r="K847" s="86"/>
      <c r="L847" s="62">
        <f>IF($B847&lt;&gt;"",SUMIFS(DataAct_tbl[AMOUNT],DataAct_tbl[BG CODE],Detail!$D847,DataAct_tbl[Check Range],"=true",DataAct_tbl[Dept code],$B847),0)</f>
        <v>0</v>
      </c>
      <c r="M847" s="63">
        <f>INDEX($AG$7:$AR$1005,ROW()-6,MATCH(MTD,$AG$6:$AR$6,0))</f>
        <v>0</v>
      </c>
      <c r="N847" s="34">
        <f t="shared" si="127"/>
        <v>0</v>
      </c>
      <c r="O847" s="64" t="str">
        <f t="shared" si="128"/>
        <v xml:space="preserve"> </v>
      </c>
      <c r="Q847" s="97">
        <f t="shared" si="129"/>
        <v>0</v>
      </c>
      <c r="R847" s="96">
        <f t="shared" si="130"/>
        <v>0</v>
      </c>
      <c r="T847" s="67" t="str">
        <f>IF($B847&lt;&gt;"",INDEX(DataOB[],FirstRow+ROW()-7,MATCH(T$6,DataOB[#Headers],0)),"")</f>
        <v/>
      </c>
      <c r="U847" s="67" t="str">
        <f>IF($B847&lt;&gt;"",INDEX(DataOB[],FirstRow+ROW()-7,MATCH(U$6,DataOB[#Headers],0)),"")</f>
        <v/>
      </c>
      <c r="V847" s="67" t="str">
        <f>IF($B847&lt;&gt;"",INDEX(DataOB[],FirstRow+ROW()-7,MATCH(V$6,DataOB[#Headers],0)),"")</f>
        <v/>
      </c>
      <c r="W847" s="67" t="str">
        <f>IF($B847&lt;&gt;"",INDEX(DataOB[],FirstRow+ROW()-7,MATCH(W$6,DataOB[#Headers],0)),"")</f>
        <v/>
      </c>
      <c r="X847" s="67" t="str">
        <f>IF($B847&lt;&gt;"",INDEX(DataOB[],FirstRow+ROW()-7,MATCH(X$6,DataOB[#Headers],0)),"")</f>
        <v/>
      </c>
      <c r="Y847" s="67" t="str">
        <f>IF($B847&lt;&gt;"",INDEX(DataOB[],FirstRow+ROW()-7,MATCH(Y$6,DataOB[#Headers],0)),"")</f>
        <v/>
      </c>
      <c r="Z847" s="67" t="str">
        <f>IF($B847&lt;&gt;"",INDEX(DataOB[],FirstRow+ROW()-7,MATCH(Z$6,DataOB[#Headers],0)),"")</f>
        <v/>
      </c>
      <c r="AA847" s="67" t="str">
        <f>IF($B847&lt;&gt;"",INDEX(DataOB[],FirstRow+ROW()-7,MATCH(AA$6,DataOB[#Headers],0)),"")</f>
        <v/>
      </c>
      <c r="AB847" s="67" t="str">
        <f>IF($B847&lt;&gt;"",INDEX(DataOB[],FirstRow+ROW()-7,MATCH(AB$6,DataOB[#Headers],0)),"")</f>
        <v/>
      </c>
      <c r="AC847" s="67" t="str">
        <f>IF($B847&lt;&gt;"",INDEX(DataOB[],FirstRow+ROW()-7,MATCH(AC$6,DataOB[#Headers],0)),"")</f>
        <v/>
      </c>
      <c r="AD847" s="67" t="str">
        <f>IF($B847&lt;&gt;"",INDEX(DataOB[],FirstRow+ROW()-7,MATCH(AD$6,DataOB[#Headers],0)),"")</f>
        <v/>
      </c>
      <c r="AE847" s="67" t="str">
        <f>IF($B847&lt;&gt;"",INDEX(DataOB[],FirstRow+ROW()-7,MATCH(AE$6,DataOB[#Headers],0)),"")</f>
        <v/>
      </c>
      <c r="AF847" s="26">
        <f t="shared" si="131"/>
        <v>0</v>
      </c>
      <c r="AG847" s="31">
        <f>SUM($T847:T847)</f>
        <v>0</v>
      </c>
      <c r="AH847" s="31">
        <f>SUM($T847:U847)</f>
        <v>0</v>
      </c>
      <c r="AI847" s="31">
        <f>SUM($T847:V847)</f>
        <v>0</v>
      </c>
      <c r="AJ847" s="31">
        <f>SUM($T847:W847)</f>
        <v>0</v>
      </c>
      <c r="AK847" s="31">
        <f>SUM($T847:X847)</f>
        <v>0</v>
      </c>
      <c r="AL847" s="31">
        <f>SUM($T847:Y847)</f>
        <v>0</v>
      </c>
      <c r="AM847" s="31">
        <f>SUM($T847:Z847)</f>
        <v>0</v>
      </c>
      <c r="AN847" s="31">
        <f>SUM($T847:AA847)</f>
        <v>0</v>
      </c>
      <c r="AO847" s="31">
        <f>SUM($T847:AB847)</f>
        <v>0</v>
      </c>
      <c r="AP847" s="31">
        <f>SUM($T847:AC847)</f>
        <v>0</v>
      </c>
      <c r="AQ847" s="31">
        <f>SUM($T847:AD847)</f>
        <v>0</v>
      </c>
      <c r="AR847" s="31">
        <f>SUM($T847:AE847)</f>
        <v>0</v>
      </c>
      <c r="AS847" s="27">
        <f t="shared" si="132"/>
        <v>0</v>
      </c>
    </row>
    <row r="848" spans="2:45">
      <c r="B848" s="102" t="str">
        <f>IF(ROW()-6&gt;NumCostCenter,"",IF(CostCenter&lt;&gt;"ALL",CostCenter,DATA_LF2!B846))</f>
        <v/>
      </c>
      <c r="C848" s="153" t="str">
        <f>IF($B848&lt;&gt;"",INDEX(DataOB[],FirstRow+ROW()-7,2),"")</f>
        <v/>
      </c>
      <c r="D848" s="66" t="str">
        <f>IF($B848&lt;&gt;"",INDEX(DataOB[],FirstRow+ROW()-7,3),"")</f>
        <v/>
      </c>
      <c r="E848" s="103" t="str">
        <f>IF($B848&lt;&gt;"",INDEX(DataOB[],FirstRow+ROW()-7,6),"")</f>
        <v/>
      </c>
      <c r="F848" s="103" t="str">
        <f>IF($B848&lt;&gt;"",INDEX(DataOB[],FirstRow+ROW()-7,5),"")</f>
        <v/>
      </c>
      <c r="G848" s="58">
        <f>IF($B848&lt;&gt;"",SUMIFS(DataAct_tbl[AMOUNT],DataAct_tbl[BG CODE],Detail!$D848,DataAct_tbl[MONTH],LEFT(MonthName,3),DataAct_tbl[Dept code],$B848),0)</f>
        <v>0</v>
      </c>
      <c r="H848" s="31" t="str">
        <f t="shared" si="124"/>
        <v/>
      </c>
      <c r="I848" s="28" t="str">
        <f t="shared" si="125"/>
        <v/>
      </c>
      <c r="J848" s="32" t="str">
        <f t="shared" si="126"/>
        <v/>
      </c>
      <c r="K848" s="86"/>
      <c r="L848" s="62">
        <f>IF($B848&lt;&gt;"",SUMIFS(DataAct_tbl[AMOUNT],DataAct_tbl[BG CODE],Detail!$D848,DataAct_tbl[Check Range],"=true",DataAct_tbl[Dept code],$B848),0)</f>
        <v>0</v>
      </c>
      <c r="M848" s="63">
        <f>INDEX($AG$7:$AR$1005,ROW()-6,MATCH(MTD,$AG$6:$AR$6,0))</f>
        <v>0</v>
      </c>
      <c r="N848" s="34">
        <f t="shared" si="127"/>
        <v>0</v>
      </c>
      <c r="O848" s="64" t="str">
        <f t="shared" si="128"/>
        <v xml:space="preserve"> </v>
      </c>
      <c r="Q848" s="97">
        <f t="shared" si="129"/>
        <v>0</v>
      </c>
      <c r="R848" s="96">
        <f t="shared" si="130"/>
        <v>0</v>
      </c>
      <c r="T848" s="67" t="str">
        <f>IF($B848&lt;&gt;"",INDEX(DataOB[],FirstRow+ROW()-7,MATCH(T$6,DataOB[#Headers],0)),"")</f>
        <v/>
      </c>
      <c r="U848" s="67" t="str">
        <f>IF($B848&lt;&gt;"",INDEX(DataOB[],FirstRow+ROW()-7,MATCH(U$6,DataOB[#Headers],0)),"")</f>
        <v/>
      </c>
      <c r="V848" s="67" t="str">
        <f>IF($B848&lt;&gt;"",INDEX(DataOB[],FirstRow+ROW()-7,MATCH(V$6,DataOB[#Headers],0)),"")</f>
        <v/>
      </c>
      <c r="W848" s="67" t="str">
        <f>IF($B848&lt;&gt;"",INDEX(DataOB[],FirstRow+ROW()-7,MATCH(W$6,DataOB[#Headers],0)),"")</f>
        <v/>
      </c>
      <c r="X848" s="67" t="str">
        <f>IF($B848&lt;&gt;"",INDEX(DataOB[],FirstRow+ROW()-7,MATCH(X$6,DataOB[#Headers],0)),"")</f>
        <v/>
      </c>
      <c r="Y848" s="67" t="str">
        <f>IF($B848&lt;&gt;"",INDEX(DataOB[],FirstRow+ROW()-7,MATCH(Y$6,DataOB[#Headers],0)),"")</f>
        <v/>
      </c>
      <c r="Z848" s="67" t="str">
        <f>IF($B848&lt;&gt;"",INDEX(DataOB[],FirstRow+ROW()-7,MATCH(Z$6,DataOB[#Headers],0)),"")</f>
        <v/>
      </c>
      <c r="AA848" s="67" t="str">
        <f>IF($B848&lt;&gt;"",INDEX(DataOB[],FirstRow+ROW()-7,MATCH(AA$6,DataOB[#Headers],0)),"")</f>
        <v/>
      </c>
      <c r="AB848" s="67" t="str">
        <f>IF($B848&lt;&gt;"",INDEX(DataOB[],FirstRow+ROW()-7,MATCH(AB$6,DataOB[#Headers],0)),"")</f>
        <v/>
      </c>
      <c r="AC848" s="67" t="str">
        <f>IF($B848&lt;&gt;"",INDEX(DataOB[],FirstRow+ROW()-7,MATCH(AC$6,DataOB[#Headers],0)),"")</f>
        <v/>
      </c>
      <c r="AD848" s="67" t="str">
        <f>IF($B848&lt;&gt;"",INDEX(DataOB[],FirstRow+ROW()-7,MATCH(AD$6,DataOB[#Headers],0)),"")</f>
        <v/>
      </c>
      <c r="AE848" s="67" t="str">
        <f>IF($B848&lt;&gt;"",INDEX(DataOB[],FirstRow+ROW()-7,MATCH(AE$6,DataOB[#Headers],0)),"")</f>
        <v/>
      </c>
      <c r="AF848" s="26">
        <f t="shared" si="131"/>
        <v>0</v>
      </c>
      <c r="AG848" s="31">
        <f>SUM($T848:T848)</f>
        <v>0</v>
      </c>
      <c r="AH848" s="31">
        <f>SUM($T848:U848)</f>
        <v>0</v>
      </c>
      <c r="AI848" s="31">
        <f>SUM($T848:V848)</f>
        <v>0</v>
      </c>
      <c r="AJ848" s="31">
        <f>SUM($T848:W848)</f>
        <v>0</v>
      </c>
      <c r="AK848" s="31">
        <f>SUM($T848:X848)</f>
        <v>0</v>
      </c>
      <c r="AL848" s="31">
        <f>SUM($T848:Y848)</f>
        <v>0</v>
      </c>
      <c r="AM848" s="31">
        <f>SUM($T848:Z848)</f>
        <v>0</v>
      </c>
      <c r="AN848" s="31">
        <f>SUM($T848:AA848)</f>
        <v>0</v>
      </c>
      <c r="AO848" s="31">
        <f>SUM($T848:AB848)</f>
        <v>0</v>
      </c>
      <c r="AP848" s="31">
        <f>SUM($T848:AC848)</f>
        <v>0</v>
      </c>
      <c r="AQ848" s="31">
        <f>SUM($T848:AD848)</f>
        <v>0</v>
      </c>
      <c r="AR848" s="31">
        <f>SUM($T848:AE848)</f>
        <v>0</v>
      </c>
      <c r="AS848" s="27">
        <f t="shared" si="132"/>
        <v>0</v>
      </c>
    </row>
    <row r="849" spans="2:45">
      <c r="B849" s="102" t="str">
        <f>IF(ROW()-6&gt;NumCostCenter,"",IF(CostCenter&lt;&gt;"ALL",CostCenter,DATA_LF2!B847))</f>
        <v/>
      </c>
      <c r="C849" s="153" t="str">
        <f>IF($B849&lt;&gt;"",INDEX(DataOB[],FirstRow+ROW()-7,2),"")</f>
        <v/>
      </c>
      <c r="D849" s="66" t="str">
        <f>IF($B849&lt;&gt;"",INDEX(DataOB[],FirstRow+ROW()-7,3),"")</f>
        <v/>
      </c>
      <c r="E849" s="103" t="str">
        <f>IF($B849&lt;&gt;"",INDEX(DataOB[],FirstRow+ROW()-7,6),"")</f>
        <v/>
      </c>
      <c r="F849" s="103" t="str">
        <f>IF($B849&lt;&gt;"",INDEX(DataOB[],FirstRow+ROW()-7,5),"")</f>
        <v/>
      </c>
      <c r="G849" s="58">
        <f>IF($B849&lt;&gt;"",SUMIFS(DataAct_tbl[AMOUNT],DataAct_tbl[BG CODE],Detail!$D849,DataAct_tbl[MONTH],LEFT(MonthName,3),DataAct_tbl[Dept code],$B849),0)</f>
        <v>0</v>
      </c>
      <c r="H849" s="31" t="str">
        <f t="shared" si="124"/>
        <v/>
      </c>
      <c r="I849" s="28" t="str">
        <f t="shared" si="125"/>
        <v/>
      </c>
      <c r="J849" s="32" t="str">
        <f t="shared" si="126"/>
        <v/>
      </c>
      <c r="K849" s="86"/>
      <c r="L849" s="62">
        <f>IF($B849&lt;&gt;"",SUMIFS(DataAct_tbl[AMOUNT],DataAct_tbl[BG CODE],Detail!$D849,DataAct_tbl[Check Range],"=true",DataAct_tbl[Dept code],$B849),0)</f>
        <v>0</v>
      </c>
      <c r="M849" s="63">
        <f>INDEX($AG$7:$AR$1005,ROW()-6,MATCH(MTD,$AG$6:$AR$6,0))</f>
        <v>0</v>
      </c>
      <c r="N849" s="34">
        <f t="shared" si="127"/>
        <v>0</v>
      </c>
      <c r="O849" s="64" t="str">
        <f t="shared" si="128"/>
        <v xml:space="preserve"> </v>
      </c>
      <c r="Q849" s="97">
        <f t="shared" si="129"/>
        <v>0</v>
      </c>
      <c r="R849" s="96">
        <f t="shared" si="130"/>
        <v>0</v>
      </c>
      <c r="T849" s="67" t="str">
        <f>IF($B849&lt;&gt;"",INDEX(DataOB[],FirstRow+ROW()-7,MATCH(T$6,DataOB[#Headers],0)),"")</f>
        <v/>
      </c>
      <c r="U849" s="67" t="str">
        <f>IF($B849&lt;&gt;"",INDEX(DataOB[],FirstRow+ROW()-7,MATCH(U$6,DataOB[#Headers],0)),"")</f>
        <v/>
      </c>
      <c r="V849" s="67" t="str">
        <f>IF($B849&lt;&gt;"",INDEX(DataOB[],FirstRow+ROW()-7,MATCH(V$6,DataOB[#Headers],0)),"")</f>
        <v/>
      </c>
      <c r="W849" s="67" t="str">
        <f>IF($B849&lt;&gt;"",INDEX(DataOB[],FirstRow+ROW()-7,MATCH(W$6,DataOB[#Headers],0)),"")</f>
        <v/>
      </c>
      <c r="X849" s="67" t="str">
        <f>IF($B849&lt;&gt;"",INDEX(DataOB[],FirstRow+ROW()-7,MATCH(X$6,DataOB[#Headers],0)),"")</f>
        <v/>
      </c>
      <c r="Y849" s="67" t="str">
        <f>IF($B849&lt;&gt;"",INDEX(DataOB[],FirstRow+ROW()-7,MATCH(Y$6,DataOB[#Headers],0)),"")</f>
        <v/>
      </c>
      <c r="Z849" s="67" t="str">
        <f>IF($B849&lt;&gt;"",INDEX(DataOB[],FirstRow+ROW()-7,MATCH(Z$6,DataOB[#Headers],0)),"")</f>
        <v/>
      </c>
      <c r="AA849" s="67" t="str">
        <f>IF($B849&lt;&gt;"",INDEX(DataOB[],FirstRow+ROW()-7,MATCH(AA$6,DataOB[#Headers],0)),"")</f>
        <v/>
      </c>
      <c r="AB849" s="67" t="str">
        <f>IF($B849&lt;&gt;"",INDEX(DataOB[],FirstRow+ROW()-7,MATCH(AB$6,DataOB[#Headers],0)),"")</f>
        <v/>
      </c>
      <c r="AC849" s="67" t="str">
        <f>IF($B849&lt;&gt;"",INDEX(DataOB[],FirstRow+ROW()-7,MATCH(AC$6,DataOB[#Headers],0)),"")</f>
        <v/>
      </c>
      <c r="AD849" s="67" t="str">
        <f>IF($B849&lt;&gt;"",INDEX(DataOB[],FirstRow+ROW()-7,MATCH(AD$6,DataOB[#Headers],0)),"")</f>
        <v/>
      </c>
      <c r="AE849" s="67" t="str">
        <f>IF($B849&lt;&gt;"",INDEX(DataOB[],FirstRow+ROW()-7,MATCH(AE$6,DataOB[#Headers],0)),"")</f>
        <v/>
      </c>
      <c r="AF849" s="26">
        <f t="shared" si="131"/>
        <v>0</v>
      </c>
      <c r="AG849" s="31">
        <f>SUM($T849:T849)</f>
        <v>0</v>
      </c>
      <c r="AH849" s="31">
        <f>SUM($T849:U849)</f>
        <v>0</v>
      </c>
      <c r="AI849" s="31">
        <f>SUM($T849:V849)</f>
        <v>0</v>
      </c>
      <c r="AJ849" s="31">
        <f>SUM($T849:W849)</f>
        <v>0</v>
      </c>
      <c r="AK849" s="31">
        <f>SUM($T849:X849)</f>
        <v>0</v>
      </c>
      <c r="AL849" s="31">
        <f>SUM($T849:Y849)</f>
        <v>0</v>
      </c>
      <c r="AM849" s="31">
        <f>SUM($T849:Z849)</f>
        <v>0</v>
      </c>
      <c r="AN849" s="31">
        <f>SUM($T849:AA849)</f>
        <v>0</v>
      </c>
      <c r="AO849" s="31">
        <f>SUM($T849:AB849)</f>
        <v>0</v>
      </c>
      <c r="AP849" s="31">
        <f>SUM($T849:AC849)</f>
        <v>0</v>
      </c>
      <c r="AQ849" s="31">
        <f>SUM($T849:AD849)</f>
        <v>0</v>
      </c>
      <c r="AR849" s="31">
        <f>SUM($T849:AE849)</f>
        <v>0</v>
      </c>
      <c r="AS849" s="27">
        <f t="shared" si="132"/>
        <v>0</v>
      </c>
    </row>
    <row r="850" spans="2:45">
      <c r="B850" s="102" t="str">
        <f>IF(ROW()-6&gt;NumCostCenter,"",IF(CostCenter&lt;&gt;"ALL",CostCenter,DATA_LF2!B848))</f>
        <v/>
      </c>
      <c r="C850" s="153" t="str">
        <f>IF($B850&lt;&gt;"",INDEX(DataOB[],FirstRow+ROW()-7,2),"")</f>
        <v/>
      </c>
      <c r="D850" s="66" t="str">
        <f>IF($B850&lt;&gt;"",INDEX(DataOB[],FirstRow+ROW()-7,3),"")</f>
        <v/>
      </c>
      <c r="E850" s="103" t="str">
        <f>IF($B850&lt;&gt;"",INDEX(DataOB[],FirstRow+ROW()-7,6),"")</f>
        <v/>
      </c>
      <c r="F850" s="103" t="str">
        <f>IF($B850&lt;&gt;"",INDEX(DataOB[],FirstRow+ROW()-7,5),"")</f>
        <v/>
      </c>
      <c r="G850" s="58">
        <f>IF($B850&lt;&gt;"",SUMIFS(DataAct_tbl[AMOUNT],DataAct_tbl[BG CODE],Detail!$D850,DataAct_tbl[MONTH],LEFT(MonthName,3),DataAct_tbl[Dept code],$B850),0)</f>
        <v>0</v>
      </c>
      <c r="H850" s="31" t="str">
        <f t="shared" si="124"/>
        <v/>
      </c>
      <c r="I850" s="28" t="str">
        <f t="shared" si="125"/>
        <v/>
      </c>
      <c r="J850" s="32" t="str">
        <f t="shared" si="126"/>
        <v/>
      </c>
      <c r="K850" s="86"/>
      <c r="L850" s="62">
        <f>IF($B850&lt;&gt;"",SUMIFS(DataAct_tbl[AMOUNT],DataAct_tbl[BG CODE],Detail!$D850,DataAct_tbl[Check Range],"=true",DataAct_tbl[Dept code],$B850),0)</f>
        <v>0</v>
      </c>
      <c r="M850" s="63">
        <f>INDEX($AG$7:$AR$1005,ROW()-6,MATCH(MTD,$AG$6:$AR$6,0))</f>
        <v>0</v>
      </c>
      <c r="N850" s="34">
        <f t="shared" si="127"/>
        <v>0</v>
      </c>
      <c r="O850" s="64" t="str">
        <f t="shared" si="128"/>
        <v xml:space="preserve"> </v>
      </c>
      <c r="Q850" s="97">
        <f t="shared" si="129"/>
        <v>0</v>
      </c>
      <c r="R850" s="96">
        <f t="shared" si="130"/>
        <v>0</v>
      </c>
      <c r="T850" s="67" t="str">
        <f>IF($B850&lt;&gt;"",INDEX(DataOB[],FirstRow+ROW()-7,MATCH(T$6,DataOB[#Headers],0)),"")</f>
        <v/>
      </c>
      <c r="U850" s="67" t="str">
        <f>IF($B850&lt;&gt;"",INDEX(DataOB[],FirstRow+ROW()-7,MATCH(U$6,DataOB[#Headers],0)),"")</f>
        <v/>
      </c>
      <c r="V850" s="67" t="str">
        <f>IF($B850&lt;&gt;"",INDEX(DataOB[],FirstRow+ROW()-7,MATCH(V$6,DataOB[#Headers],0)),"")</f>
        <v/>
      </c>
      <c r="W850" s="67" t="str">
        <f>IF($B850&lt;&gt;"",INDEX(DataOB[],FirstRow+ROW()-7,MATCH(W$6,DataOB[#Headers],0)),"")</f>
        <v/>
      </c>
      <c r="X850" s="67" t="str">
        <f>IF($B850&lt;&gt;"",INDEX(DataOB[],FirstRow+ROW()-7,MATCH(X$6,DataOB[#Headers],0)),"")</f>
        <v/>
      </c>
      <c r="Y850" s="67" t="str">
        <f>IF($B850&lt;&gt;"",INDEX(DataOB[],FirstRow+ROW()-7,MATCH(Y$6,DataOB[#Headers],0)),"")</f>
        <v/>
      </c>
      <c r="Z850" s="67" t="str">
        <f>IF($B850&lt;&gt;"",INDEX(DataOB[],FirstRow+ROW()-7,MATCH(Z$6,DataOB[#Headers],0)),"")</f>
        <v/>
      </c>
      <c r="AA850" s="67" t="str">
        <f>IF($B850&lt;&gt;"",INDEX(DataOB[],FirstRow+ROW()-7,MATCH(AA$6,DataOB[#Headers],0)),"")</f>
        <v/>
      </c>
      <c r="AB850" s="67" t="str">
        <f>IF($B850&lt;&gt;"",INDEX(DataOB[],FirstRow+ROW()-7,MATCH(AB$6,DataOB[#Headers],0)),"")</f>
        <v/>
      </c>
      <c r="AC850" s="67" t="str">
        <f>IF($B850&lt;&gt;"",INDEX(DataOB[],FirstRow+ROW()-7,MATCH(AC$6,DataOB[#Headers],0)),"")</f>
        <v/>
      </c>
      <c r="AD850" s="67" t="str">
        <f>IF($B850&lt;&gt;"",INDEX(DataOB[],FirstRow+ROW()-7,MATCH(AD$6,DataOB[#Headers],0)),"")</f>
        <v/>
      </c>
      <c r="AE850" s="67" t="str">
        <f>IF($B850&lt;&gt;"",INDEX(DataOB[],FirstRow+ROW()-7,MATCH(AE$6,DataOB[#Headers],0)),"")</f>
        <v/>
      </c>
      <c r="AF850" s="26">
        <f t="shared" si="131"/>
        <v>0</v>
      </c>
      <c r="AG850" s="31">
        <f>SUM($T850:T850)</f>
        <v>0</v>
      </c>
      <c r="AH850" s="31">
        <f>SUM($T850:U850)</f>
        <v>0</v>
      </c>
      <c r="AI850" s="31">
        <f>SUM($T850:V850)</f>
        <v>0</v>
      </c>
      <c r="AJ850" s="31">
        <f>SUM($T850:W850)</f>
        <v>0</v>
      </c>
      <c r="AK850" s="31">
        <f>SUM($T850:X850)</f>
        <v>0</v>
      </c>
      <c r="AL850" s="31">
        <f>SUM($T850:Y850)</f>
        <v>0</v>
      </c>
      <c r="AM850" s="31">
        <f>SUM($T850:Z850)</f>
        <v>0</v>
      </c>
      <c r="AN850" s="31">
        <f>SUM($T850:AA850)</f>
        <v>0</v>
      </c>
      <c r="AO850" s="31">
        <f>SUM($T850:AB850)</f>
        <v>0</v>
      </c>
      <c r="AP850" s="31">
        <f>SUM($T850:AC850)</f>
        <v>0</v>
      </c>
      <c r="AQ850" s="31">
        <f>SUM($T850:AD850)</f>
        <v>0</v>
      </c>
      <c r="AR850" s="31">
        <f>SUM($T850:AE850)</f>
        <v>0</v>
      </c>
      <c r="AS850" s="27">
        <f t="shared" si="132"/>
        <v>0</v>
      </c>
    </row>
    <row r="851" spans="2:45">
      <c r="B851" s="102" t="str">
        <f>IF(ROW()-6&gt;NumCostCenter,"",IF(CostCenter&lt;&gt;"ALL",CostCenter,DATA_LF2!B849))</f>
        <v/>
      </c>
      <c r="C851" s="153" t="str">
        <f>IF($B851&lt;&gt;"",INDEX(DataOB[],FirstRow+ROW()-7,2),"")</f>
        <v/>
      </c>
      <c r="D851" s="66" t="str">
        <f>IF($B851&lt;&gt;"",INDEX(DataOB[],FirstRow+ROW()-7,3),"")</f>
        <v/>
      </c>
      <c r="E851" s="103" t="str">
        <f>IF($B851&lt;&gt;"",INDEX(DataOB[],FirstRow+ROW()-7,6),"")</f>
        <v/>
      </c>
      <c r="F851" s="103" t="str">
        <f>IF($B851&lt;&gt;"",INDEX(DataOB[],FirstRow+ROW()-7,5),"")</f>
        <v/>
      </c>
      <c r="G851" s="58">
        <f>IF($B851&lt;&gt;"",SUMIFS(DataAct_tbl[AMOUNT],DataAct_tbl[BG CODE],Detail!$D851,DataAct_tbl[MONTH],LEFT(MonthName,3),DataAct_tbl[Dept code],$B851),0)</f>
        <v>0</v>
      </c>
      <c r="H851" s="31" t="str">
        <f t="shared" si="124"/>
        <v/>
      </c>
      <c r="I851" s="28" t="str">
        <f t="shared" si="125"/>
        <v/>
      </c>
      <c r="J851" s="32" t="str">
        <f t="shared" si="126"/>
        <v/>
      </c>
      <c r="K851" s="86"/>
      <c r="L851" s="62">
        <f>IF($B851&lt;&gt;"",SUMIFS(DataAct_tbl[AMOUNT],DataAct_tbl[BG CODE],Detail!$D851,DataAct_tbl[Check Range],"=true",DataAct_tbl[Dept code],$B851),0)</f>
        <v>0</v>
      </c>
      <c r="M851" s="63">
        <f>INDEX($AG$7:$AR$1005,ROW()-6,MATCH(MTD,$AG$6:$AR$6,0))</f>
        <v>0</v>
      </c>
      <c r="N851" s="34">
        <f t="shared" si="127"/>
        <v>0</v>
      </c>
      <c r="O851" s="64" t="str">
        <f t="shared" si="128"/>
        <v xml:space="preserve"> </v>
      </c>
      <c r="Q851" s="97">
        <f t="shared" si="129"/>
        <v>0</v>
      </c>
      <c r="R851" s="96">
        <f t="shared" si="130"/>
        <v>0</v>
      </c>
      <c r="T851" s="67" t="str">
        <f>IF($B851&lt;&gt;"",INDEX(DataOB[],FirstRow+ROW()-7,MATCH(T$6,DataOB[#Headers],0)),"")</f>
        <v/>
      </c>
      <c r="U851" s="67" t="str">
        <f>IF($B851&lt;&gt;"",INDEX(DataOB[],FirstRow+ROW()-7,MATCH(U$6,DataOB[#Headers],0)),"")</f>
        <v/>
      </c>
      <c r="V851" s="67" t="str">
        <f>IF($B851&lt;&gt;"",INDEX(DataOB[],FirstRow+ROW()-7,MATCH(V$6,DataOB[#Headers],0)),"")</f>
        <v/>
      </c>
      <c r="W851" s="67" t="str">
        <f>IF($B851&lt;&gt;"",INDEX(DataOB[],FirstRow+ROW()-7,MATCH(W$6,DataOB[#Headers],0)),"")</f>
        <v/>
      </c>
      <c r="X851" s="67" t="str">
        <f>IF($B851&lt;&gt;"",INDEX(DataOB[],FirstRow+ROW()-7,MATCH(X$6,DataOB[#Headers],0)),"")</f>
        <v/>
      </c>
      <c r="Y851" s="67" t="str">
        <f>IF($B851&lt;&gt;"",INDEX(DataOB[],FirstRow+ROW()-7,MATCH(Y$6,DataOB[#Headers],0)),"")</f>
        <v/>
      </c>
      <c r="Z851" s="67" t="str">
        <f>IF($B851&lt;&gt;"",INDEX(DataOB[],FirstRow+ROW()-7,MATCH(Z$6,DataOB[#Headers],0)),"")</f>
        <v/>
      </c>
      <c r="AA851" s="67" t="str">
        <f>IF($B851&lt;&gt;"",INDEX(DataOB[],FirstRow+ROW()-7,MATCH(AA$6,DataOB[#Headers],0)),"")</f>
        <v/>
      </c>
      <c r="AB851" s="67" t="str">
        <f>IF($B851&lt;&gt;"",INDEX(DataOB[],FirstRow+ROW()-7,MATCH(AB$6,DataOB[#Headers],0)),"")</f>
        <v/>
      </c>
      <c r="AC851" s="67" t="str">
        <f>IF($B851&lt;&gt;"",INDEX(DataOB[],FirstRow+ROW()-7,MATCH(AC$6,DataOB[#Headers],0)),"")</f>
        <v/>
      </c>
      <c r="AD851" s="67" t="str">
        <f>IF($B851&lt;&gt;"",INDEX(DataOB[],FirstRow+ROW()-7,MATCH(AD$6,DataOB[#Headers],0)),"")</f>
        <v/>
      </c>
      <c r="AE851" s="67" t="str">
        <f>IF($B851&lt;&gt;"",INDEX(DataOB[],FirstRow+ROW()-7,MATCH(AE$6,DataOB[#Headers],0)),"")</f>
        <v/>
      </c>
      <c r="AF851" s="26">
        <f t="shared" si="131"/>
        <v>0</v>
      </c>
      <c r="AG851" s="31">
        <f>SUM($T851:T851)</f>
        <v>0</v>
      </c>
      <c r="AH851" s="31">
        <f>SUM($T851:U851)</f>
        <v>0</v>
      </c>
      <c r="AI851" s="31">
        <f>SUM($T851:V851)</f>
        <v>0</v>
      </c>
      <c r="AJ851" s="31">
        <f>SUM($T851:W851)</f>
        <v>0</v>
      </c>
      <c r="AK851" s="31">
        <f>SUM($T851:X851)</f>
        <v>0</v>
      </c>
      <c r="AL851" s="31">
        <f>SUM($T851:Y851)</f>
        <v>0</v>
      </c>
      <c r="AM851" s="31">
        <f>SUM($T851:Z851)</f>
        <v>0</v>
      </c>
      <c r="AN851" s="31">
        <f>SUM($T851:AA851)</f>
        <v>0</v>
      </c>
      <c r="AO851" s="31">
        <f>SUM($T851:AB851)</f>
        <v>0</v>
      </c>
      <c r="AP851" s="31">
        <f>SUM($T851:AC851)</f>
        <v>0</v>
      </c>
      <c r="AQ851" s="31">
        <f>SUM($T851:AD851)</f>
        <v>0</v>
      </c>
      <c r="AR851" s="31">
        <f>SUM($T851:AE851)</f>
        <v>0</v>
      </c>
      <c r="AS851" s="27">
        <f t="shared" si="132"/>
        <v>0</v>
      </c>
    </row>
    <row r="852" spans="2:45">
      <c r="B852" s="102" t="str">
        <f>IF(ROW()-6&gt;NumCostCenter,"",IF(CostCenter&lt;&gt;"ALL",CostCenter,DATA_LF2!B850))</f>
        <v/>
      </c>
      <c r="C852" s="153" t="str">
        <f>IF($B852&lt;&gt;"",INDEX(DataOB[],FirstRow+ROW()-7,2),"")</f>
        <v/>
      </c>
      <c r="D852" s="66" t="str">
        <f>IF($B852&lt;&gt;"",INDEX(DataOB[],FirstRow+ROW()-7,3),"")</f>
        <v/>
      </c>
      <c r="E852" s="103" t="str">
        <f>IF($B852&lt;&gt;"",INDEX(DataOB[],FirstRow+ROW()-7,6),"")</f>
        <v/>
      </c>
      <c r="F852" s="103" t="str">
        <f>IF($B852&lt;&gt;"",INDEX(DataOB[],FirstRow+ROW()-7,5),"")</f>
        <v/>
      </c>
      <c r="G852" s="58">
        <f>IF($B852&lt;&gt;"",SUMIFS(DataAct_tbl[AMOUNT],DataAct_tbl[BG CODE],Detail!$D852,DataAct_tbl[MONTH],LEFT(MonthName,3),DataAct_tbl[Dept code],$B852),0)</f>
        <v>0</v>
      </c>
      <c r="H852" s="31" t="str">
        <f t="shared" si="124"/>
        <v/>
      </c>
      <c r="I852" s="28" t="str">
        <f t="shared" si="125"/>
        <v/>
      </c>
      <c r="J852" s="32" t="str">
        <f t="shared" si="126"/>
        <v/>
      </c>
      <c r="K852" s="86"/>
      <c r="L852" s="62">
        <f>IF($B852&lt;&gt;"",SUMIFS(DataAct_tbl[AMOUNT],DataAct_tbl[BG CODE],Detail!$D852,DataAct_tbl[Check Range],"=true",DataAct_tbl[Dept code],$B852),0)</f>
        <v>0</v>
      </c>
      <c r="M852" s="63">
        <f>INDEX($AG$7:$AR$1005,ROW()-6,MATCH(MTD,$AG$6:$AR$6,0))</f>
        <v>0</v>
      </c>
      <c r="N852" s="34">
        <f t="shared" si="127"/>
        <v>0</v>
      </c>
      <c r="O852" s="64" t="str">
        <f t="shared" si="128"/>
        <v xml:space="preserve"> </v>
      </c>
      <c r="Q852" s="97">
        <f t="shared" si="129"/>
        <v>0</v>
      </c>
      <c r="R852" s="96">
        <f t="shared" si="130"/>
        <v>0</v>
      </c>
      <c r="T852" s="67" t="str">
        <f>IF($B852&lt;&gt;"",INDEX(DataOB[],FirstRow+ROW()-7,MATCH(T$6,DataOB[#Headers],0)),"")</f>
        <v/>
      </c>
      <c r="U852" s="67" t="str">
        <f>IF($B852&lt;&gt;"",INDEX(DataOB[],FirstRow+ROW()-7,MATCH(U$6,DataOB[#Headers],0)),"")</f>
        <v/>
      </c>
      <c r="V852" s="67" t="str">
        <f>IF($B852&lt;&gt;"",INDEX(DataOB[],FirstRow+ROW()-7,MATCH(V$6,DataOB[#Headers],0)),"")</f>
        <v/>
      </c>
      <c r="W852" s="67" t="str">
        <f>IF($B852&lt;&gt;"",INDEX(DataOB[],FirstRow+ROW()-7,MATCH(W$6,DataOB[#Headers],0)),"")</f>
        <v/>
      </c>
      <c r="X852" s="67" t="str">
        <f>IF($B852&lt;&gt;"",INDEX(DataOB[],FirstRow+ROW()-7,MATCH(X$6,DataOB[#Headers],0)),"")</f>
        <v/>
      </c>
      <c r="Y852" s="67" t="str">
        <f>IF($B852&lt;&gt;"",INDEX(DataOB[],FirstRow+ROW()-7,MATCH(Y$6,DataOB[#Headers],0)),"")</f>
        <v/>
      </c>
      <c r="Z852" s="67" t="str">
        <f>IF($B852&lt;&gt;"",INDEX(DataOB[],FirstRow+ROW()-7,MATCH(Z$6,DataOB[#Headers],0)),"")</f>
        <v/>
      </c>
      <c r="AA852" s="67" t="str">
        <f>IF($B852&lt;&gt;"",INDEX(DataOB[],FirstRow+ROW()-7,MATCH(AA$6,DataOB[#Headers],0)),"")</f>
        <v/>
      </c>
      <c r="AB852" s="67" t="str">
        <f>IF($B852&lt;&gt;"",INDEX(DataOB[],FirstRow+ROW()-7,MATCH(AB$6,DataOB[#Headers],0)),"")</f>
        <v/>
      </c>
      <c r="AC852" s="67" t="str">
        <f>IF($B852&lt;&gt;"",INDEX(DataOB[],FirstRow+ROW()-7,MATCH(AC$6,DataOB[#Headers],0)),"")</f>
        <v/>
      </c>
      <c r="AD852" s="67" t="str">
        <f>IF($B852&lt;&gt;"",INDEX(DataOB[],FirstRow+ROW()-7,MATCH(AD$6,DataOB[#Headers],0)),"")</f>
        <v/>
      </c>
      <c r="AE852" s="67" t="str">
        <f>IF($B852&lt;&gt;"",INDEX(DataOB[],FirstRow+ROW()-7,MATCH(AE$6,DataOB[#Headers],0)),"")</f>
        <v/>
      </c>
      <c r="AF852" s="26">
        <f t="shared" si="131"/>
        <v>0</v>
      </c>
      <c r="AG852" s="31">
        <f>SUM($T852:T852)</f>
        <v>0</v>
      </c>
      <c r="AH852" s="31">
        <f>SUM($T852:U852)</f>
        <v>0</v>
      </c>
      <c r="AI852" s="31">
        <f>SUM($T852:V852)</f>
        <v>0</v>
      </c>
      <c r="AJ852" s="31">
        <f>SUM($T852:W852)</f>
        <v>0</v>
      </c>
      <c r="AK852" s="31">
        <f>SUM($T852:X852)</f>
        <v>0</v>
      </c>
      <c r="AL852" s="31">
        <f>SUM($T852:Y852)</f>
        <v>0</v>
      </c>
      <c r="AM852" s="31">
        <f>SUM($T852:Z852)</f>
        <v>0</v>
      </c>
      <c r="AN852" s="31">
        <f>SUM($T852:AA852)</f>
        <v>0</v>
      </c>
      <c r="AO852" s="31">
        <f>SUM($T852:AB852)</f>
        <v>0</v>
      </c>
      <c r="AP852" s="31">
        <f>SUM($T852:AC852)</f>
        <v>0</v>
      </c>
      <c r="AQ852" s="31">
        <f>SUM($T852:AD852)</f>
        <v>0</v>
      </c>
      <c r="AR852" s="31">
        <f>SUM($T852:AE852)</f>
        <v>0</v>
      </c>
      <c r="AS852" s="27">
        <f t="shared" si="132"/>
        <v>0</v>
      </c>
    </row>
    <row r="853" spans="2:45">
      <c r="B853" s="102" t="str">
        <f>IF(ROW()-6&gt;NumCostCenter,"",IF(CostCenter&lt;&gt;"ALL",CostCenter,DATA_LF2!B851))</f>
        <v/>
      </c>
      <c r="C853" s="153" t="str">
        <f>IF($B853&lt;&gt;"",INDEX(DataOB[],FirstRow+ROW()-7,2),"")</f>
        <v/>
      </c>
      <c r="D853" s="66" t="str">
        <f>IF($B853&lt;&gt;"",INDEX(DataOB[],FirstRow+ROW()-7,3),"")</f>
        <v/>
      </c>
      <c r="E853" s="103" t="str">
        <f>IF($B853&lt;&gt;"",INDEX(DataOB[],FirstRow+ROW()-7,6),"")</f>
        <v/>
      </c>
      <c r="F853" s="103" t="str">
        <f>IF($B853&lt;&gt;"",INDEX(DataOB[],FirstRow+ROW()-7,5),"")</f>
        <v/>
      </c>
      <c r="G853" s="58">
        <f>IF($B853&lt;&gt;"",SUMIFS(DataAct_tbl[AMOUNT],DataAct_tbl[BG CODE],Detail!$D853,DataAct_tbl[MONTH],LEFT(MonthName,3),DataAct_tbl[Dept code],$B853),0)</f>
        <v>0</v>
      </c>
      <c r="H853" s="31" t="str">
        <f t="shared" si="124"/>
        <v/>
      </c>
      <c r="I853" s="28" t="str">
        <f t="shared" si="125"/>
        <v/>
      </c>
      <c r="J853" s="32" t="str">
        <f t="shared" si="126"/>
        <v/>
      </c>
      <c r="K853" s="86"/>
      <c r="L853" s="62">
        <f>IF($B853&lt;&gt;"",SUMIFS(DataAct_tbl[AMOUNT],DataAct_tbl[BG CODE],Detail!$D853,DataAct_tbl[Check Range],"=true",DataAct_tbl[Dept code],$B853),0)</f>
        <v>0</v>
      </c>
      <c r="M853" s="63">
        <f>INDEX($AG$7:$AR$1005,ROW()-6,MATCH(MTD,$AG$6:$AR$6,0))</f>
        <v>0</v>
      </c>
      <c r="N853" s="34">
        <f t="shared" si="127"/>
        <v>0</v>
      </c>
      <c r="O853" s="64" t="str">
        <f t="shared" si="128"/>
        <v xml:space="preserve"> </v>
      </c>
      <c r="Q853" s="97">
        <f t="shared" si="129"/>
        <v>0</v>
      </c>
      <c r="R853" s="96">
        <f t="shared" si="130"/>
        <v>0</v>
      </c>
      <c r="T853" s="67" t="str">
        <f>IF($B853&lt;&gt;"",INDEX(DataOB[],FirstRow+ROW()-7,MATCH(T$6,DataOB[#Headers],0)),"")</f>
        <v/>
      </c>
      <c r="U853" s="67" t="str">
        <f>IF($B853&lt;&gt;"",INDEX(DataOB[],FirstRow+ROW()-7,MATCH(U$6,DataOB[#Headers],0)),"")</f>
        <v/>
      </c>
      <c r="V853" s="67" t="str">
        <f>IF($B853&lt;&gt;"",INDEX(DataOB[],FirstRow+ROW()-7,MATCH(V$6,DataOB[#Headers],0)),"")</f>
        <v/>
      </c>
      <c r="W853" s="67" t="str">
        <f>IF($B853&lt;&gt;"",INDEX(DataOB[],FirstRow+ROW()-7,MATCH(W$6,DataOB[#Headers],0)),"")</f>
        <v/>
      </c>
      <c r="X853" s="67" t="str">
        <f>IF($B853&lt;&gt;"",INDEX(DataOB[],FirstRow+ROW()-7,MATCH(X$6,DataOB[#Headers],0)),"")</f>
        <v/>
      </c>
      <c r="Y853" s="67" t="str">
        <f>IF($B853&lt;&gt;"",INDEX(DataOB[],FirstRow+ROW()-7,MATCH(Y$6,DataOB[#Headers],0)),"")</f>
        <v/>
      </c>
      <c r="Z853" s="67" t="str">
        <f>IF($B853&lt;&gt;"",INDEX(DataOB[],FirstRow+ROW()-7,MATCH(Z$6,DataOB[#Headers],0)),"")</f>
        <v/>
      </c>
      <c r="AA853" s="67" t="str">
        <f>IF($B853&lt;&gt;"",INDEX(DataOB[],FirstRow+ROW()-7,MATCH(AA$6,DataOB[#Headers],0)),"")</f>
        <v/>
      </c>
      <c r="AB853" s="67" t="str">
        <f>IF($B853&lt;&gt;"",INDEX(DataOB[],FirstRow+ROW()-7,MATCH(AB$6,DataOB[#Headers],0)),"")</f>
        <v/>
      </c>
      <c r="AC853" s="67" t="str">
        <f>IF($B853&lt;&gt;"",INDEX(DataOB[],FirstRow+ROW()-7,MATCH(AC$6,DataOB[#Headers],0)),"")</f>
        <v/>
      </c>
      <c r="AD853" s="67" t="str">
        <f>IF($B853&lt;&gt;"",INDEX(DataOB[],FirstRow+ROW()-7,MATCH(AD$6,DataOB[#Headers],0)),"")</f>
        <v/>
      </c>
      <c r="AE853" s="67" t="str">
        <f>IF($B853&lt;&gt;"",INDEX(DataOB[],FirstRow+ROW()-7,MATCH(AE$6,DataOB[#Headers],0)),"")</f>
        <v/>
      </c>
      <c r="AF853" s="26">
        <f t="shared" si="131"/>
        <v>0</v>
      </c>
      <c r="AG853" s="31">
        <f>SUM($T853:T853)</f>
        <v>0</v>
      </c>
      <c r="AH853" s="31">
        <f>SUM($T853:U853)</f>
        <v>0</v>
      </c>
      <c r="AI853" s="31">
        <f>SUM($T853:V853)</f>
        <v>0</v>
      </c>
      <c r="AJ853" s="31">
        <f>SUM($T853:W853)</f>
        <v>0</v>
      </c>
      <c r="AK853" s="31">
        <f>SUM($T853:X853)</f>
        <v>0</v>
      </c>
      <c r="AL853" s="31">
        <f>SUM($T853:Y853)</f>
        <v>0</v>
      </c>
      <c r="AM853" s="31">
        <f>SUM($T853:Z853)</f>
        <v>0</v>
      </c>
      <c r="AN853" s="31">
        <f>SUM($T853:AA853)</f>
        <v>0</v>
      </c>
      <c r="AO853" s="31">
        <f>SUM($T853:AB853)</f>
        <v>0</v>
      </c>
      <c r="AP853" s="31">
        <f>SUM($T853:AC853)</f>
        <v>0</v>
      </c>
      <c r="AQ853" s="31">
        <f>SUM($T853:AD853)</f>
        <v>0</v>
      </c>
      <c r="AR853" s="31">
        <f>SUM($T853:AE853)</f>
        <v>0</v>
      </c>
      <c r="AS853" s="27">
        <f t="shared" si="132"/>
        <v>0</v>
      </c>
    </row>
    <row r="854" spans="2:45">
      <c r="B854" s="102" t="str">
        <f>IF(ROW()-6&gt;NumCostCenter,"",IF(CostCenter&lt;&gt;"ALL",CostCenter,DATA_LF2!B852))</f>
        <v/>
      </c>
      <c r="C854" s="153" t="str">
        <f>IF($B854&lt;&gt;"",INDEX(DataOB[],FirstRow+ROW()-7,2),"")</f>
        <v/>
      </c>
      <c r="D854" s="66" t="str">
        <f>IF($B854&lt;&gt;"",INDEX(DataOB[],FirstRow+ROW()-7,3),"")</f>
        <v/>
      </c>
      <c r="E854" s="103" t="str">
        <f>IF($B854&lt;&gt;"",INDEX(DataOB[],FirstRow+ROW()-7,6),"")</f>
        <v/>
      </c>
      <c r="F854" s="103" t="str">
        <f>IF($B854&lt;&gt;"",INDEX(DataOB[],FirstRow+ROW()-7,5),"")</f>
        <v/>
      </c>
      <c r="G854" s="58">
        <f>IF($B854&lt;&gt;"",SUMIFS(DataAct_tbl[AMOUNT],DataAct_tbl[BG CODE],Detail!$D854,DataAct_tbl[MONTH],LEFT(MonthName,3),DataAct_tbl[Dept code],$B854),0)</f>
        <v>0</v>
      </c>
      <c r="H854" s="31" t="str">
        <f t="shared" si="124"/>
        <v/>
      </c>
      <c r="I854" s="28" t="str">
        <f t="shared" si="125"/>
        <v/>
      </c>
      <c r="J854" s="32" t="str">
        <f t="shared" si="126"/>
        <v/>
      </c>
      <c r="K854" s="86"/>
      <c r="L854" s="62">
        <f>IF($B854&lt;&gt;"",SUMIFS(DataAct_tbl[AMOUNT],DataAct_tbl[BG CODE],Detail!$D854,DataAct_tbl[Check Range],"=true",DataAct_tbl[Dept code],$B854),0)</f>
        <v>0</v>
      </c>
      <c r="M854" s="63">
        <f>INDEX($AG$7:$AR$1005,ROW()-6,MATCH(MTD,$AG$6:$AR$6,0))</f>
        <v>0</v>
      </c>
      <c r="N854" s="34">
        <f t="shared" si="127"/>
        <v>0</v>
      </c>
      <c r="O854" s="64" t="str">
        <f t="shared" si="128"/>
        <v xml:space="preserve"> </v>
      </c>
      <c r="Q854" s="97">
        <f t="shared" si="129"/>
        <v>0</v>
      </c>
      <c r="R854" s="96">
        <f t="shared" si="130"/>
        <v>0</v>
      </c>
      <c r="T854" s="67" t="str">
        <f>IF($B854&lt;&gt;"",INDEX(DataOB[],FirstRow+ROW()-7,MATCH(T$6,DataOB[#Headers],0)),"")</f>
        <v/>
      </c>
      <c r="U854" s="67" t="str">
        <f>IF($B854&lt;&gt;"",INDEX(DataOB[],FirstRow+ROW()-7,MATCH(U$6,DataOB[#Headers],0)),"")</f>
        <v/>
      </c>
      <c r="V854" s="67" t="str">
        <f>IF($B854&lt;&gt;"",INDEX(DataOB[],FirstRow+ROW()-7,MATCH(V$6,DataOB[#Headers],0)),"")</f>
        <v/>
      </c>
      <c r="W854" s="67" t="str">
        <f>IF($B854&lt;&gt;"",INDEX(DataOB[],FirstRow+ROW()-7,MATCH(W$6,DataOB[#Headers],0)),"")</f>
        <v/>
      </c>
      <c r="X854" s="67" t="str">
        <f>IF($B854&lt;&gt;"",INDEX(DataOB[],FirstRow+ROW()-7,MATCH(X$6,DataOB[#Headers],0)),"")</f>
        <v/>
      </c>
      <c r="Y854" s="67" t="str">
        <f>IF($B854&lt;&gt;"",INDEX(DataOB[],FirstRow+ROW()-7,MATCH(Y$6,DataOB[#Headers],0)),"")</f>
        <v/>
      </c>
      <c r="Z854" s="67" t="str">
        <f>IF($B854&lt;&gt;"",INDEX(DataOB[],FirstRow+ROW()-7,MATCH(Z$6,DataOB[#Headers],0)),"")</f>
        <v/>
      </c>
      <c r="AA854" s="67" t="str">
        <f>IF($B854&lt;&gt;"",INDEX(DataOB[],FirstRow+ROW()-7,MATCH(AA$6,DataOB[#Headers],0)),"")</f>
        <v/>
      </c>
      <c r="AB854" s="67" t="str">
        <f>IF($B854&lt;&gt;"",INDEX(DataOB[],FirstRow+ROW()-7,MATCH(AB$6,DataOB[#Headers],0)),"")</f>
        <v/>
      </c>
      <c r="AC854" s="67" t="str">
        <f>IF($B854&lt;&gt;"",INDEX(DataOB[],FirstRow+ROW()-7,MATCH(AC$6,DataOB[#Headers],0)),"")</f>
        <v/>
      </c>
      <c r="AD854" s="67" t="str">
        <f>IF($B854&lt;&gt;"",INDEX(DataOB[],FirstRow+ROW()-7,MATCH(AD$6,DataOB[#Headers],0)),"")</f>
        <v/>
      </c>
      <c r="AE854" s="67" t="str">
        <f>IF($B854&lt;&gt;"",INDEX(DataOB[],FirstRow+ROW()-7,MATCH(AE$6,DataOB[#Headers],0)),"")</f>
        <v/>
      </c>
      <c r="AF854" s="26">
        <f t="shared" si="131"/>
        <v>0</v>
      </c>
      <c r="AG854" s="31">
        <f>SUM($T854:T854)</f>
        <v>0</v>
      </c>
      <c r="AH854" s="31">
        <f>SUM($T854:U854)</f>
        <v>0</v>
      </c>
      <c r="AI854" s="31">
        <f>SUM($T854:V854)</f>
        <v>0</v>
      </c>
      <c r="AJ854" s="31">
        <f>SUM($T854:W854)</f>
        <v>0</v>
      </c>
      <c r="AK854" s="31">
        <f>SUM($T854:X854)</f>
        <v>0</v>
      </c>
      <c r="AL854" s="31">
        <f>SUM($T854:Y854)</f>
        <v>0</v>
      </c>
      <c r="AM854" s="31">
        <f>SUM($T854:Z854)</f>
        <v>0</v>
      </c>
      <c r="AN854" s="31">
        <f>SUM($T854:AA854)</f>
        <v>0</v>
      </c>
      <c r="AO854" s="31">
        <f>SUM($T854:AB854)</f>
        <v>0</v>
      </c>
      <c r="AP854" s="31">
        <f>SUM($T854:AC854)</f>
        <v>0</v>
      </c>
      <c r="AQ854" s="31">
        <f>SUM($T854:AD854)</f>
        <v>0</v>
      </c>
      <c r="AR854" s="31">
        <f>SUM($T854:AE854)</f>
        <v>0</v>
      </c>
      <c r="AS854" s="27">
        <f t="shared" si="132"/>
        <v>0</v>
      </c>
    </row>
    <row r="855" spans="2:45">
      <c r="B855" s="102" t="str">
        <f>IF(ROW()-6&gt;NumCostCenter,"",IF(CostCenter&lt;&gt;"ALL",CostCenter,DATA_LF2!B853))</f>
        <v/>
      </c>
      <c r="C855" s="153" t="str">
        <f>IF($B855&lt;&gt;"",INDEX(DataOB[],FirstRow+ROW()-7,2),"")</f>
        <v/>
      </c>
      <c r="D855" s="66" t="str">
        <f>IF($B855&lt;&gt;"",INDEX(DataOB[],FirstRow+ROW()-7,3),"")</f>
        <v/>
      </c>
      <c r="E855" s="103" t="str">
        <f>IF($B855&lt;&gt;"",INDEX(DataOB[],FirstRow+ROW()-7,6),"")</f>
        <v/>
      </c>
      <c r="F855" s="103" t="str">
        <f>IF($B855&lt;&gt;"",INDEX(DataOB[],FirstRow+ROW()-7,5),"")</f>
        <v/>
      </c>
      <c r="G855" s="58">
        <f>IF($B855&lt;&gt;"",SUMIFS(DataAct_tbl[AMOUNT],DataAct_tbl[BG CODE],Detail!$D855,DataAct_tbl[MONTH],LEFT(MonthName,3),DataAct_tbl[Dept code],$B855),0)</f>
        <v>0</v>
      </c>
      <c r="H855" s="31" t="str">
        <f t="shared" si="124"/>
        <v/>
      </c>
      <c r="I855" s="28" t="str">
        <f t="shared" si="125"/>
        <v/>
      </c>
      <c r="J855" s="32" t="str">
        <f t="shared" si="126"/>
        <v/>
      </c>
      <c r="K855" s="86"/>
      <c r="L855" s="62">
        <f>IF($B855&lt;&gt;"",SUMIFS(DataAct_tbl[AMOUNT],DataAct_tbl[BG CODE],Detail!$D855,DataAct_tbl[Check Range],"=true",DataAct_tbl[Dept code],$B855),0)</f>
        <v>0</v>
      </c>
      <c r="M855" s="63">
        <f>INDEX($AG$7:$AR$1005,ROW()-6,MATCH(MTD,$AG$6:$AR$6,0))</f>
        <v>0</v>
      </c>
      <c r="N855" s="34">
        <f t="shared" si="127"/>
        <v>0</v>
      </c>
      <c r="O855" s="64" t="str">
        <f t="shared" si="128"/>
        <v xml:space="preserve"> </v>
      </c>
      <c r="Q855" s="97">
        <f t="shared" si="129"/>
        <v>0</v>
      </c>
      <c r="R855" s="96">
        <f t="shared" si="130"/>
        <v>0</v>
      </c>
      <c r="T855" s="67" t="str">
        <f>IF($B855&lt;&gt;"",INDEX(DataOB[],FirstRow+ROW()-7,MATCH(T$6,DataOB[#Headers],0)),"")</f>
        <v/>
      </c>
      <c r="U855" s="67" t="str">
        <f>IF($B855&lt;&gt;"",INDEX(DataOB[],FirstRow+ROW()-7,MATCH(U$6,DataOB[#Headers],0)),"")</f>
        <v/>
      </c>
      <c r="V855" s="67" t="str">
        <f>IF($B855&lt;&gt;"",INDEX(DataOB[],FirstRow+ROW()-7,MATCH(V$6,DataOB[#Headers],0)),"")</f>
        <v/>
      </c>
      <c r="W855" s="67" t="str">
        <f>IF($B855&lt;&gt;"",INDEX(DataOB[],FirstRow+ROW()-7,MATCH(W$6,DataOB[#Headers],0)),"")</f>
        <v/>
      </c>
      <c r="X855" s="67" t="str">
        <f>IF($B855&lt;&gt;"",INDEX(DataOB[],FirstRow+ROW()-7,MATCH(X$6,DataOB[#Headers],0)),"")</f>
        <v/>
      </c>
      <c r="Y855" s="67" t="str">
        <f>IF($B855&lt;&gt;"",INDEX(DataOB[],FirstRow+ROW()-7,MATCH(Y$6,DataOB[#Headers],0)),"")</f>
        <v/>
      </c>
      <c r="Z855" s="67" t="str">
        <f>IF($B855&lt;&gt;"",INDEX(DataOB[],FirstRow+ROW()-7,MATCH(Z$6,DataOB[#Headers],0)),"")</f>
        <v/>
      </c>
      <c r="AA855" s="67" t="str">
        <f>IF($B855&lt;&gt;"",INDEX(DataOB[],FirstRow+ROW()-7,MATCH(AA$6,DataOB[#Headers],0)),"")</f>
        <v/>
      </c>
      <c r="AB855" s="67" t="str">
        <f>IF($B855&lt;&gt;"",INDEX(DataOB[],FirstRow+ROW()-7,MATCH(AB$6,DataOB[#Headers],0)),"")</f>
        <v/>
      </c>
      <c r="AC855" s="67" t="str">
        <f>IF($B855&lt;&gt;"",INDEX(DataOB[],FirstRow+ROW()-7,MATCH(AC$6,DataOB[#Headers],0)),"")</f>
        <v/>
      </c>
      <c r="AD855" s="67" t="str">
        <f>IF($B855&lt;&gt;"",INDEX(DataOB[],FirstRow+ROW()-7,MATCH(AD$6,DataOB[#Headers],0)),"")</f>
        <v/>
      </c>
      <c r="AE855" s="67" t="str">
        <f>IF($B855&lt;&gt;"",INDEX(DataOB[],FirstRow+ROW()-7,MATCH(AE$6,DataOB[#Headers],0)),"")</f>
        <v/>
      </c>
      <c r="AF855" s="26">
        <f t="shared" si="131"/>
        <v>0</v>
      </c>
      <c r="AG855" s="31">
        <f>SUM($T855:T855)</f>
        <v>0</v>
      </c>
      <c r="AH855" s="31">
        <f>SUM($T855:U855)</f>
        <v>0</v>
      </c>
      <c r="AI855" s="31">
        <f>SUM($T855:V855)</f>
        <v>0</v>
      </c>
      <c r="AJ855" s="31">
        <f>SUM($T855:W855)</f>
        <v>0</v>
      </c>
      <c r="AK855" s="31">
        <f>SUM($T855:X855)</f>
        <v>0</v>
      </c>
      <c r="AL855" s="31">
        <f>SUM($T855:Y855)</f>
        <v>0</v>
      </c>
      <c r="AM855" s="31">
        <f>SUM($T855:Z855)</f>
        <v>0</v>
      </c>
      <c r="AN855" s="31">
        <f>SUM($T855:AA855)</f>
        <v>0</v>
      </c>
      <c r="AO855" s="31">
        <f>SUM($T855:AB855)</f>
        <v>0</v>
      </c>
      <c r="AP855" s="31">
        <f>SUM($T855:AC855)</f>
        <v>0</v>
      </c>
      <c r="AQ855" s="31">
        <f>SUM($T855:AD855)</f>
        <v>0</v>
      </c>
      <c r="AR855" s="31">
        <f>SUM($T855:AE855)</f>
        <v>0</v>
      </c>
      <c r="AS855" s="27">
        <f t="shared" si="132"/>
        <v>0</v>
      </c>
    </row>
    <row r="856" spans="2:45">
      <c r="B856" s="102" t="str">
        <f>IF(ROW()-6&gt;NumCostCenter,"",IF(CostCenter&lt;&gt;"ALL",CostCenter,DATA_LF2!B854))</f>
        <v/>
      </c>
      <c r="C856" s="153" t="str">
        <f>IF($B856&lt;&gt;"",INDEX(DataOB[],FirstRow+ROW()-7,2),"")</f>
        <v/>
      </c>
      <c r="D856" s="66" t="str">
        <f>IF($B856&lt;&gt;"",INDEX(DataOB[],FirstRow+ROW()-7,3),"")</f>
        <v/>
      </c>
      <c r="E856" s="103" t="str">
        <f>IF($B856&lt;&gt;"",INDEX(DataOB[],FirstRow+ROW()-7,6),"")</f>
        <v/>
      </c>
      <c r="F856" s="103" t="str">
        <f>IF($B856&lt;&gt;"",INDEX(DataOB[],FirstRow+ROW()-7,5),"")</f>
        <v/>
      </c>
      <c r="G856" s="58">
        <f>IF($B856&lt;&gt;"",SUMIFS(DataAct_tbl[AMOUNT],DataAct_tbl[BG CODE],Detail!$D856,DataAct_tbl[MONTH],LEFT(MonthName,3),DataAct_tbl[Dept code],$B856),0)</f>
        <v>0</v>
      </c>
      <c r="H856" s="31" t="str">
        <f t="shared" si="124"/>
        <v/>
      </c>
      <c r="I856" s="28" t="str">
        <f t="shared" si="125"/>
        <v/>
      </c>
      <c r="J856" s="32" t="str">
        <f t="shared" si="126"/>
        <v/>
      </c>
      <c r="K856" s="86"/>
      <c r="L856" s="62">
        <f>IF($B856&lt;&gt;"",SUMIFS(DataAct_tbl[AMOUNT],DataAct_tbl[BG CODE],Detail!$D856,DataAct_tbl[Check Range],"=true",DataAct_tbl[Dept code],$B856),0)</f>
        <v>0</v>
      </c>
      <c r="M856" s="63">
        <f>INDEX($AG$7:$AR$1005,ROW()-6,MATCH(MTD,$AG$6:$AR$6,0))</f>
        <v>0</v>
      </c>
      <c r="N856" s="34">
        <f t="shared" si="127"/>
        <v>0</v>
      </c>
      <c r="O856" s="64" t="str">
        <f t="shared" si="128"/>
        <v xml:space="preserve"> </v>
      </c>
      <c r="Q856" s="97">
        <f t="shared" si="129"/>
        <v>0</v>
      </c>
      <c r="R856" s="96">
        <f t="shared" si="130"/>
        <v>0</v>
      </c>
      <c r="T856" s="67" t="str">
        <f>IF($B856&lt;&gt;"",INDEX(DataOB[],FirstRow+ROW()-7,MATCH(T$6,DataOB[#Headers],0)),"")</f>
        <v/>
      </c>
      <c r="U856" s="67" t="str">
        <f>IF($B856&lt;&gt;"",INDEX(DataOB[],FirstRow+ROW()-7,MATCH(U$6,DataOB[#Headers],0)),"")</f>
        <v/>
      </c>
      <c r="V856" s="67" t="str">
        <f>IF($B856&lt;&gt;"",INDEX(DataOB[],FirstRow+ROW()-7,MATCH(V$6,DataOB[#Headers],0)),"")</f>
        <v/>
      </c>
      <c r="W856" s="67" t="str">
        <f>IF($B856&lt;&gt;"",INDEX(DataOB[],FirstRow+ROW()-7,MATCH(W$6,DataOB[#Headers],0)),"")</f>
        <v/>
      </c>
      <c r="X856" s="67" t="str">
        <f>IF($B856&lt;&gt;"",INDEX(DataOB[],FirstRow+ROW()-7,MATCH(X$6,DataOB[#Headers],0)),"")</f>
        <v/>
      </c>
      <c r="Y856" s="67" t="str">
        <f>IF($B856&lt;&gt;"",INDEX(DataOB[],FirstRow+ROW()-7,MATCH(Y$6,DataOB[#Headers],0)),"")</f>
        <v/>
      </c>
      <c r="Z856" s="67" t="str">
        <f>IF($B856&lt;&gt;"",INDEX(DataOB[],FirstRow+ROW()-7,MATCH(Z$6,DataOB[#Headers],0)),"")</f>
        <v/>
      </c>
      <c r="AA856" s="67" t="str">
        <f>IF($B856&lt;&gt;"",INDEX(DataOB[],FirstRow+ROW()-7,MATCH(AA$6,DataOB[#Headers],0)),"")</f>
        <v/>
      </c>
      <c r="AB856" s="67" t="str">
        <f>IF($B856&lt;&gt;"",INDEX(DataOB[],FirstRow+ROW()-7,MATCH(AB$6,DataOB[#Headers],0)),"")</f>
        <v/>
      </c>
      <c r="AC856" s="67" t="str">
        <f>IF($B856&lt;&gt;"",INDEX(DataOB[],FirstRow+ROW()-7,MATCH(AC$6,DataOB[#Headers],0)),"")</f>
        <v/>
      </c>
      <c r="AD856" s="67" t="str">
        <f>IF($B856&lt;&gt;"",INDEX(DataOB[],FirstRow+ROW()-7,MATCH(AD$6,DataOB[#Headers],0)),"")</f>
        <v/>
      </c>
      <c r="AE856" s="67" t="str">
        <f>IF($B856&lt;&gt;"",INDEX(DataOB[],FirstRow+ROW()-7,MATCH(AE$6,DataOB[#Headers],0)),"")</f>
        <v/>
      </c>
      <c r="AF856" s="26">
        <f t="shared" si="131"/>
        <v>0</v>
      </c>
      <c r="AG856" s="31">
        <f>SUM($T856:T856)</f>
        <v>0</v>
      </c>
      <c r="AH856" s="31">
        <f>SUM($T856:U856)</f>
        <v>0</v>
      </c>
      <c r="AI856" s="31">
        <f>SUM($T856:V856)</f>
        <v>0</v>
      </c>
      <c r="AJ856" s="31">
        <f>SUM($T856:W856)</f>
        <v>0</v>
      </c>
      <c r="AK856" s="31">
        <f>SUM($T856:X856)</f>
        <v>0</v>
      </c>
      <c r="AL856" s="31">
        <f>SUM($T856:Y856)</f>
        <v>0</v>
      </c>
      <c r="AM856" s="31">
        <f>SUM($T856:Z856)</f>
        <v>0</v>
      </c>
      <c r="AN856" s="31">
        <f>SUM($T856:AA856)</f>
        <v>0</v>
      </c>
      <c r="AO856" s="31">
        <f>SUM($T856:AB856)</f>
        <v>0</v>
      </c>
      <c r="AP856" s="31">
        <f>SUM($T856:AC856)</f>
        <v>0</v>
      </c>
      <c r="AQ856" s="31">
        <f>SUM($T856:AD856)</f>
        <v>0</v>
      </c>
      <c r="AR856" s="31">
        <f>SUM($T856:AE856)</f>
        <v>0</v>
      </c>
      <c r="AS856" s="27">
        <f t="shared" si="132"/>
        <v>0</v>
      </c>
    </row>
    <row r="857" spans="2:45">
      <c r="B857" s="102" t="str">
        <f>IF(ROW()-6&gt;NumCostCenter,"",IF(CostCenter&lt;&gt;"ALL",CostCenter,DATA_LF2!B855))</f>
        <v/>
      </c>
      <c r="C857" s="153" t="str">
        <f>IF($B857&lt;&gt;"",INDEX(DataOB[],FirstRow+ROW()-7,2),"")</f>
        <v/>
      </c>
      <c r="D857" s="66" t="str">
        <f>IF($B857&lt;&gt;"",INDEX(DataOB[],FirstRow+ROW()-7,3),"")</f>
        <v/>
      </c>
      <c r="E857" s="103" t="str">
        <f>IF($B857&lt;&gt;"",INDEX(DataOB[],FirstRow+ROW()-7,6),"")</f>
        <v/>
      </c>
      <c r="F857" s="103" t="str">
        <f>IF($B857&lt;&gt;"",INDEX(DataOB[],FirstRow+ROW()-7,5),"")</f>
        <v/>
      </c>
      <c r="G857" s="58">
        <f>IF($B857&lt;&gt;"",SUMIFS(DataAct_tbl[AMOUNT],DataAct_tbl[BG CODE],Detail!$D857,DataAct_tbl[MONTH],LEFT(MonthName,3),DataAct_tbl[Dept code],$B857),0)</f>
        <v>0</v>
      </c>
      <c r="H857" s="31" t="str">
        <f t="shared" si="124"/>
        <v/>
      </c>
      <c r="I857" s="28" t="str">
        <f t="shared" si="125"/>
        <v/>
      </c>
      <c r="J857" s="32" t="str">
        <f t="shared" si="126"/>
        <v/>
      </c>
      <c r="K857" s="86"/>
      <c r="L857" s="62">
        <f>IF($B857&lt;&gt;"",SUMIFS(DataAct_tbl[AMOUNT],DataAct_tbl[BG CODE],Detail!$D857,DataAct_tbl[Check Range],"=true",DataAct_tbl[Dept code],$B857),0)</f>
        <v>0</v>
      </c>
      <c r="M857" s="63">
        <f>INDEX($AG$7:$AR$1005,ROW()-6,MATCH(MTD,$AG$6:$AR$6,0))</f>
        <v>0</v>
      </c>
      <c r="N857" s="34">
        <f t="shared" si="127"/>
        <v>0</v>
      </c>
      <c r="O857" s="64" t="str">
        <f t="shared" si="128"/>
        <v xml:space="preserve"> </v>
      </c>
      <c r="Q857" s="97">
        <f t="shared" si="129"/>
        <v>0</v>
      </c>
      <c r="R857" s="96">
        <f t="shared" si="130"/>
        <v>0</v>
      </c>
      <c r="T857" s="67" t="str">
        <f>IF($B857&lt;&gt;"",INDEX(DataOB[],FirstRow+ROW()-7,MATCH(T$6,DataOB[#Headers],0)),"")</f>
        <v/>
      </c>
      <c r="U857" s="67" t="str">
        <f>IF($B857&lt;&gt;"",INDEX(DataOB[],FirstRow+ROW()-7,MATCH(U$6,DataOB[#Headers],0)),"")</f>
        <v/>
      </c>
      <c r="V857" s="67" t="str">
        <f>IF($B857&lt;&gt;"",INDEX(DataOB[],FirstRow+ROW()-7,MATCH(V$6,DataOB[#Headers],0)),"")</f>
        <v/>
      </c>
      <c r="W857" s="67" t="str">
        <f>IF($B857&lt;&gt;"",INDEX(DataOB[],FirstRow+ROW()-7,MATCH(W$6,DataOB[#Headers],0)),"")</f>
        <v/>
      </c>
      <c r="X857" s="67" t="str">
        <f>IF($B857&lt;&gt;"",INDEX(DataOB[],FirstRow+ROW()-7,MATCH(X$6,DataOB[#Headers],0)),"")</f>
        <v/>
      </c>
      <c r="Y857" s="67" t="str">
        <f>IF($B857&lt;&gt;"",INDEX(DataOB[],FirstRow+ROW()-7,MATCH(Y$6,DataOB[#Headers],0)),"")</f>
        <v/>
      </c>
      <c r="Z857" s="67" t="str">
        <f>IF($B857&lt;&gt;"",INDEX(DataOB[],FirstRow+ROW()-7,MATCH(Z$6,DataOB[#Headers],0)),"")</f>
        <v/>
      </c>
      <c r="AA857" s="67" t="str">
        <f>IF($B857&lt;&gt;"",INDEX(DataOB[],FirstRow+ROW()-7,MATCH(AA$6,DataOB[#Headers],0)),"")</f>
        <v/>
      </c>
      <c r="AB857" s="67" t="str">
        <f>IF($B857&lt;&gt;"",INDEX(DataOB[],FirstRow+ROW()-7,MATCH(AB$6,DataOB[#Headers],0)),"")</f>
        <v/>
      </c>
      <c r="AC857" s="67" t="str">
        <f>IF($B857&lt;&gt;"",INDEX(DataOB[],FirstRow+ROW()-7,MATCH(AC$6,DataOB[#Headers],0)),"")</f>
        <v/>
      </c>
      <c r="AD857" s="67" t="str">
        <f>IF($B857&lt;&gt;"",INDEX(DataOB[],FirstRow+ROW()-7,MATCH(AD$6,DataOB[#Headers],0)),"")</f>
        <v/>
      </c>
      <c r="AE857" s="67" t="str">
        <f>IF($B857&lt;&gt;"",INDEX(DataOB[],FirstRow+ROW()-7,MATCH(AE$6,DataOB[#Headers],0)),"")</f>
        <v/>
      </c>
      <c r="AF857" s="26">
        <f t="shared" si="131"/>
        <v>0</v>
      </c>
      <c r="AG857" s="31">
        <f>SUM($T857:T857)</f>
        <v>0</v>
      </c>
      <c r="AH857" s="31">
        <f>SUM($T857:U857)</f>
        <v>0</v>
      </c>
      <c r="AI857" s="31">
        <f>SUM($T857:V857)</f>
        <v>0</v>
      </c>
      <c r="AJ857" s="31">
        <f>SUM($T857:W857)</f>
        <v>0</v>
      </c>
      <c r="AK857" s="31">
        <f>SUM($T857:X857)</f>
        <v>0</v>
      </c>
      <c r="AL857" s="31">
        <f>SUM($T857:Y857)</f>
        <v>0</v>
      </c>
      <c r="AM857" s="31">
        <f>SUM($T857:Z857)</f>
        <v>0</v>
      </c>
      <c r="AN857" s="31">
        <f>SUM($T857:AA857)</f>
        <v>0</v>
      </c>
      <c r="AO857" s="31">
        <f>SUM($T857:AB857)</f>
        <v>0</v>
      </c>
      <c r="AP857" s="31">
        <f>SUM($T857:AC857)</f>
        <v>0</v>
      </c>
      <c r="AQ857" s="31">
        <f>SUM($T857:AD857)</f>
        <v>0</v>
      </c>
      <c r="AR857" s="31">
        <f>SUM($T857:AE857)</f>
        <v>0</v>
      </c>
      <c r="AS857" s="27">
        <f t="shared" si="132"/>
        <v>0</v>
      </c>
    </row>
    <row r="858" spans="2:45">
      <c r="B858" s="102" t="str">
        <f>IF(ROW()-6&gt;NumCostCenter,"",IF(CostCenter&lt;&gt;"ALL",CostCenter,DATA_LF2!B856))</f>
        <v/>
      </c>
      <c r="C858" s="153" t="str">
        <f>IF($B858&lt;&gt;"",INDEX(DataOB[],FirstRow+ROW()-7,2),"")</f>
        <v/>
      </c>
      <c r="D858" s="66" t="str">
        <f>IF($B858&lt;&gt;"",INDEX(DataOB[],FirstRow+ROW()-7,3),"")</f>
        <v/>
      </c>
      <c r="E858" s="103" t="str">
        <f>IF($B858&lt;&gt;"",INDEX(DataOB[],FirstRow+ROW()-7,6),"")</f>
        <v/>
      </c>
      <c r="F858" s="103" t="str">
        <f>IF($B858&lt;&gt;"",INDEX(DataOB[],FirstRow+ROW()-7,5),"")</f>
        <v/>
      </c>
      <c r="G858" s="58">
        <f>IF($B858&lt;&gt;"",SUMIFS(DataAct_tbl[AMOUNT],DataAct_tbl[BG CODE],Detail!$D858,DataAct_tbl[MONTH],LEFT(MonthName,3),DataAct_tbl[Dept code],$B858),0)</f>
        <v>0</v>
      </c>
      <c r="H858" s="31" t="str">
        <f t="shared" si="124"/>
        <v/>
      </c>
      <c r="I858" s="28" t="str">
        <f t="shared" si="125"/>
        <v/>
      </c>
      <c r="J858" s="32" t="str">
        <f t="shared" si="126"/>
        <v/>
      </c>
      <c r="K858" s="86"/>
      <c r="L858" s="62">
        <f>IF($B858&lt;&gt;"",SUMIFS(DataAct_tbl[AMOUNT],DataAct_tbl[BG CODE],Detail!$D858,DataAct_tbl[Check Range],"=true",DataAct_tbl[Dept code],$B858),0)</f>
        <v>0</v>
      </c>
      <c r="M858" s="63">
        <f>INDEX($AG$7:$AR$1005,ROW()-6,MATCH(MTD,$AG$6:$AR$6,0))</f>
        <v>0</v>
      </c>
      <c r="N858" s="34">
        <f t="shared" si="127"/>
        <v>0</v>
      </c>
      <c r="O858" s="64" t="str">
        <f t="shared" si="128"/>
        <v xml:space="preserve"> </v>
      </c>
      <c r="Q858" s="97">
        <f t="shared" si="129"/>
        <v>0</v>
      </c>
      <c r="R858" s="96">
        <f t="shared" si="130"/>
        <v>0</v>
      </c>
      <c r="T858" s="67" t="str">
        <f>IF($B858&lt;&gt;"",INDEX(DataOB[],FirstRow+ROW()-7,MATCH(T$6,DataOB[#Headers],0)),"")</f>
        <v/>
      </c>
      <c r="U858" s="67" t="str">
        <f>IF($B858&lt;&gt;"",INDEX(DataOB[],FirstRow+ROW()-7,MATCH(U$6,DataOB[#Headers],0)),"")</f>
        <v/>
      </c>
      <c r="V858" s="67" t="str">
        <f>IF($B858&lt;&gt;"",INDEX(DataOB[],FirstRow+ROW()-7,MATCH(V$6,DataOB[#Headers],0)),"")</f>
        <v/>
      </c>
      <c r="W858" s="67" t="str">
        <f>IF($B858&lt;&gt;"",INDEX(DataOB[],FirstRow+ROW()-7,MATCH(W$6,DataOB[#Headers],0)),"")</f>
        <v/>
      </c>
      <c r="X858" s="67" t="str">
        <f>IF($B858&lt;&gt;"",INDEX(DataOB[],FirstRow+ROW()-7,MATCH(X$6,DataOB[#Headers],0)),"")</f>
        <v/>
      </c>
      <c r="Y858" s="67" t="str">
        <f>IF($B858&lt;&gt;"",INDEX(DataOB[],FirstRow+ROW()-7,MATCH(Y$6,DataOB[#Headers],0)),"")</f>
        <v/>
      </c>
      <c r="Z858" s="67" t="str">
        <f>IF($B858&lt;&gt;"",INDEX(DataOB[],FirstRow+ROW()-7,MATCH(Z$6,DataOB[#Headers],0)),"")</f>
        <v/>
      </c>
      <c r="AA858" s="67" t="str">
        <f>IF($B858&lt;&gt;"",INDEX(DataOB[],FirstRow+ROW()-7,MATCH(AA$6,DataOB[#Headers],0)),"")</f>
        <v/>
      </c>
      <c r="AB858" s="67" t="str">
        <f>IF($B858&lt;&gt;"",INDEX(DataOB[],FirstRow+ROW()-7,MATCH(AB$6,DataOB[#Headers],0)),"")</f>
        <v/>
      </c>
      <c r="AC858" s="67" t="str">
        <f>IF($B858&lt;&gt;"",INDEX(DataOB[],FirstRow+ROW()-7,MATCH(AC$6,DataOB[#Headers],0)),"")</f>
        <v/>
      </c>
      <c r="AD858" s="67" t="str">
        <f>IF($B858&lt;&gt;"",INDEX(DataOB[],FirstRow+ROW()-7,MATCH(AD$6,DataOB[#Headers],0)),"")</f>
        <v/>
      </c>
      <c r="AE858" s="67" t="str">
        <f>IF($B858&lt;&gt;"",INDEX(DataOB[],FirstRow+ROW()-7,MATCH(AE$6,DataOB[#Headers],0)),"")</f>
        <v/>
      </c>
      <c r="AF858" s="26">
        <f t="shared" si="131"/>
        <v>0</v>
      </c>
      <c r="AG858" s="31">
        <f>SUM($T858:T858)</f>
        <v>0</v>
      </c>
      <c r="AH858" s="31">
        <f>SUM($T858:U858)</f>
        <v>0</v>
      </c>
      <c r="AI858" s="31">
        <f>SUM($T858:V858)</f>
        <v>0</v>
      </c>
      <c r="AJ858" s="31">
        <f>SUM($T858:W858)</f>
        <v>0</v>
      </c>
      <c r="AK858" s="31">
        <f>SUM($T858:X858)</f>
        <v>0</v>
      </c>
      <c r="AL858" s="31">
        <f>SUM($T858:Y858)</f>
        <v>0</v>
      </c>
      <c r="AM858" s="31">
        <f>SUM($T858:Z858)</f>
        <v>0</v>
      </c>
      <c r="AN858" s="31">
        <f>SUM($T858:AA858)</f>
        <v>0</v>
      </c>
      <c r="AO858" s="31">
        <f>SUM($T858:AB858)</f>
        <v>0</v>
      </c>
      <c r="AP858" s="31">
        <f>SUM($T858:AC858)</f>
        <v>0</v>
      </c>
      <c r="AQ858" s="31">
        <f>SUM($T858:AD858)</f>
        <v>0</v>
      </c>
      <c r="AR858" s="31">
        <f>SUM($T858:AE858)</f>
        <v>0</v>
      </c>
      <c r="AS858" s="27">
        <f t="shared" si="132"/>
        <v>0</v>
      </c>
    </row>
    <row r="859" spans="2:45">
      <c r="B859" s="102" t="str">
        <f>IF(ROW()-6&gt;NumCostCenter,"",IF(CostCenter&lt;&gt;"ALL",CostCenter,DATA_LF2!B857))</f>
        <v/>
      </c>
      <c r="C859" s="153" t="str">
        <f>IF($B859&lt;&gt;"",INDEX(DataOB[],FirstRow+ROW()-7,2),"")</f>
        <v/>
      </c>
      <c r="D859" s="66" t="str">
        <f>IF($B859&lt;&gt;"",INDEX(DataOB[],FirstRow+ROW()-7,3),"")</f>
        <v/>
      </c>
      <c r="E859" s="103" t="str">
        <f>IF($B859&lt;&gt;"",INDEX(DataOB[],FirstRow+ROW()-7,6),"")</f>
        <v/>
      </c>
      <c r="F859" s="103" t="str">
        <f>IF($B859&lt;&gt;"",INDEX(DataOB[],FirstRow+ROW()-7,5),"")</f>
        <v/>
      </c>
      <c r="G859" s="58">
        <f>IF($B859&lt;&gt;"",SUMIFS(DataAct_tbl[AMOUNT],DataAct_tbl[BG CODE],Detail!$D859,DataAct_tbl[MONTH],LEFT(MonthName,3),DataAct_tbl[Dept code],$B859),0)</f>
        <v>0</v>
      </c>
      <c r="H859" s="31" t="str">
        <f t="shared" si="124"/>
        <v/>
      </c>
      <c r="I859" s="28" t="str">
        <f t="shared" si="125"/>
        <v/>
      </c>
      <c r="J859" s="32" t="str">
        <f t="shared" si="126"/>
        <v/>
      </c>
      <c r="K859" s="86"/>
      <c r="L859" s="62">
        <f>IF($B859&lt;&gt;"",SUMIFS(DataAct_tbl[AMOUNT],DataAct_tbl[BG CODE],Detail!$D859,DataAct_tbl[Check Range],"=true",DataAct_tbl[Dept code],$B859),0)</f>
        <v>0</v>
      </c>
      <c r="M859" s="63">
        <f>INDEX($AG$7:$AR$1005,ROW()-6,MATCH(MTD,$AG$6:$AR$6,0))</f>
        <v>0</v>
      </c>
      <c r="N859" s="34">
        <f t="shared" si="127"/>
        <v>0</v>
      </c>
      <c r="O859" s="64" t="str">
        <f t="shared" si="128"/>
        <v xml:space="preserve"> </v>
      </c>
      <c r="Q859" s="97">
        <f t="shared" si="129"/>
        <v>0</v>
      </c>
      <c r="R859" s="96">
        <f t="shared" si="130"/>
        <v>0</v>
      </c>
      <c r="T859" s="67" t="str">
        <f>IF($B859&lt;&gt;"",INDEX(DataOB[],FirstRow+ROW()-7,MATCH(T$6,DataOB[#Headers],0)),"")</f>
        <v/>
      </c>
      <c r="U859" s="67" t="str">
        <f>IF($B859&lt;&gt;"",INDEX(DataOB[],FirstRow+ROW()-7,MATCH(U$6,DataOB[#Headers],0)),"")</f>
        <v/>
      </c>
      <c r="V859" s="67" t="str">
        <f>IF($B859&lt;&gt;"",INDEX(DataOB[],FirstRow+ROW()-7,MATCH(V$6,DataOB[#Headers],0)),"")</f>
        <v/>
      </c>
      <c r="W859" s="67" t="str">
        <f>IF($B859&lt;&gt;"",INDEX(DataOB[],FirstRow+ROW()-7,MATCH(W$6,DataOB[#Headers],0)),"")</f>
        <v/>
      </c>
      <c r="X859" s="67" t="str">
        <f>IF($B859&lt;&gt;"",INDEX(DataOB[],FirstRow+ROW()-7,MATCH(X$6,DataOB[#Headers],0)),"")</f>
        <v/>
      </c>
      <c r="Y859" s="67" t="str">
        <f>IF($B859&lt;&gt;"",INDEX(DataOB[],FirstRow+ROW()-7,MATCH(Y$6,DataOB[#Headers],0)),"")</f>
        <v/>
      </c>
      <c r="Z859" s="67" t="str">
        <f>IF($B859&lt;&gt;"",INDEX(DataOB[],FirstRow+ROW()-7,MATCH(Z$6,DataOB[#Headers],0)),"")</f>
        <v/>
      </c>
      <c r="AA859" s="67" t="str">
        <f>IF($B859&lt;&gt;"",INDEX(DataOB[],FirstRow+ROW()-7,MATCH(AA$6,DataOB[#Headers],0)),"")</f>
        <v/>
      </c>
      <c r="AB859" s="67" t="str">
        <f>IF($B859&lt;&gt;"",INDEX(DataOB[],FirstRow+ROW()-7,MATCH(AB$6,DataOB[#Headers],0)),"")</f>
        <v/>
      </c>
      <c r="AC859" s="67" t="str">
        <f>IF($B859&lt;&gt;"",INDEX(DataOB[],FirstRow+ROW()-7,MATCH(AC$6,DataOB[#Headers],0)),"")</f>
        <v/>
      </c>
      <c r="AD859" s="67" t="str">
        <f>IF($B859&lt;&gt;"",INDEX(DataOB[],FirstRow+ROW()-7,MATCH(AD$6,DataOB[#Headers],0)),"")</f>
        <v/>
      </c>
      <c r="AE859" s="67" t="str">
        <f>IF($B859&lt;&gt;"",INDEX(DataOB[],FirstRow+ROW()-7,MATCH(AE$6,DataOB[#Headers],0)),"")</f>
        <v/>
      </c>
      <c r="AF859" s="26">
        <f t="shared" si="131"/>
        <v>0</v>
      </c>
      <c r="AG859" s="31">
        <f>SUM($T859:T859)</f>
        <v>0</v>
      </c>
      <c r="AH859" s="31">
        <f>SUM($T859:U859)</f>
        <v>0</v>
      </c>
      <c r="AI859" s="31">
        <f>SUM($T859:V859)</f>
        <v>0</v>
      </c>
      <c r="AJ859" s="31">
        <f>SUM($T859:W859)</f>
        <v>0</v>
      </c>
      <c r="AK859" s="31">
        <f>SUM($T859:X859)</f>
        <v>0</v>
      </c>
      <c r="AL859" s="31">
        <f>SUM($T859:Y859)</f>
        <v>0</v>
      </c>
      <c r="AM859" s="31">
        <f>SUM($T859:Z859)</f>
        <v>0</v>
      </c>
      <c r="AN859" s="31">
        <f>SUM($T859:AA859)</f>
        <v>0</v>
      </c>
      <c r="AO859" s="31">
        <f>SUM($T859:AB859)</f>
        <v>0</v>
      </c>
      <c r="AP859" s="31">
        <f>SUM($T859:AC859)</f>
        <v>0</v>
      </c>
      <c r="AQ859" s="31">
        <f>SUM($T859:AD859)</f>
        <v>0</v>
      </c>
      <c r="AR859" s="31">
        <f>SUM($T859:AE859)</f>
        <v>0</v>
      </c>
      <c r="AS859" s="27">
        <f t="shared" si="132"/>
        <v>0</v>
      </c>
    </row>
    <row r="860" spans="2:45">
      <c r="B860" s="102" t="str">
        <f>IF(ROW()-6&gt;NumCostCenter,"",IF(CostCenter&lt;&gt;"ALL",CostCenter,DATA_LF2!B858))</f>
        <v/>
      </c>
      <c r="C860" s="153" t="str">
        <f>IF($B860&lt;&gt;"",INDEX(DataOB[],FirstRow+ROW()-7,2),"")</f>
        <v/>
      </c>
      <c r="D860" s="66" t="str">
        <f>IF($B860&lt;&gt;"",INDEX(DataOB[],FirstRow+ROW()-7,3),"")</f>
        <v/>
      </c>
      <c r="E860" s="103" t="str">
        <f>IF($B860&lt;&gt;"",INDEX(DataOB[],FirstRow+ROW()-7,6),"")</f>
        <v/>
      </c>
      <c r="F860" s="103" t="str">
        <f>IF($B860&lt;&gt;"",INDEX(DataOB[],FirstRow+ROW()-7,5),"")</f>
        <v/>
      </c>
      <c r="G860" s="58">
        <f>IF($B860&lt;&gt;"",SUMIFS(DataAct_tbl[AMOUNT],DataAct_tbl[BG CODE],Detail!$D860,DataAct_tbl[MONTH],LEFT(MonthName,3),DataAct_tbl[Dept code],$B860),0)</f>
        <v>0</v>
      </c>
      <c r="H860" s="31" t="str">
        <f t="shared" si="124"/>
        <v/>
      </c>
      <c r="I860" s="28" t="str">
        <f t="shared" si="125"/>
        <v/>
      </c>
      <c r="J860" s="32" t="str">
        <f t="shared" si="126"/>
        <v/>
      </c>
      <c r="K860" s="86"/>
      <c r="L860" s="62">
        <f>IF($B860&lt;&gt;"",SUMIFS(DataAct_tbl[AMOUNT],DataAct_tbl[BG CODE],Detail!$D860,DataAct_tbl[Check Range],"=true",DataAct_tbl[Dept code],$B860),0)</f>
        <v>0</v>
      </c>
      <c r="M860" s="63">
        <f>INDEX($AG$7:$AR$1005,ROW()-6,MATCH(MTD,$AG$6:$AR$6,0))</f>
        <v>0</v>
      </c>
      <c r="N860" s="34">
        <f t="shared" si="127"/>
        <v>0</v>
      </c>
      <c r="O860" s="64" t="str">
        <f t="shared" si="128"/>
        <v xml:space="preserve"> </v>
      </c>
      <c r="Q860" s="97">
        <f t="shared" si="129"/>
        <v>0</v>
      </c>
      <c r="R860" s="96">
        <f t="shared" si="130"/>
        <v>0</v>
      </c>
      <c r="T860" s="67" t="str">
        <f>IF($B860&lt;&gt;"",INDEX(DataOB[],FirstRow+ROW()-7,MATCH(T$6,DataOB[#Headers],0)),"")</f>
        <v/>
      </c>
      <c r="U860" s="67" t="str">
        <f>IF($B860&lt;&gt;"",INDEX(DataOB[],FirstRow+ROW()-7,MATCH(U$6,DataOB[#Headers],0)),"")</f>
        <v/>
      </c>
      <c r="V860" s="67" t="str">
        <f>IF($B860&lt;&gt;"",INDEX(DataOB[],FirstRow+ROW()-7,MATCH(V$6,DataOB[#Headers],0)),"")</f>
        <v/>
      </c>
      <c r="W860" s="67" t="str">
        <f>IF($B860&lt;&gt;"",INDEX(DataOB[],FirstRow+ROW()-7,MATCH(W$6,DataOB[#Headers],0)),"")</f>
        <v/>
      </c>
      <c r="X860" s="67" t="str">
        <f>IF($B860&lt;&gt;"",INDEX(DataOB[],FirstRow+ROW()-7,MATCH(X$6,DataOB[#Headers],0)),"")</f>
        <v/>
      </c>
      <c r="Y860" s="67" t="str">
        <f>IF($B860&lt;&gt;"",INDEX(DataOB[],FirstRow+ROW()-7,MATCH(Y$6,DataOB[#Headers],0)),"")</f>
        <v/>
      </c>
      <c r="Z860" s="67" t="str">
        <f>IF($B860&lt;&gt;"",INDEX(DataOB[],FirstRow+ROW()-7,MATCH(Z$6,DataOB[#Headers],0)),"")</f>
        <v/>
      </c>
      <c r="AA860" s="67" t="str">
        <f>IF($B860&lt;&gt;"",INDEX(DataOB[],FirstRow+ROW()-7,MATCH(AA$6,DataOB[#Headers],0)),"")</f>
        <v/>
      </c>
      <c r="AB860" s="67" t="str">
        <f>IF($B860&lt;&gt;"",INDEX(DataOB[],FirstRow+ROW()-7,MATCH(AB$6,DataOB[#Headers],0)),"")</f>
        <v/>
      </c>
      <c r="AC860" s="67" t="str">
        <f>IF($B860&lt;&gt;"",INDEX(DataOB[],FirstRow+ROW()-7,MATCH(AC$6,DataOB[#Headers],0)),"")</f>
        <v/>
      </c>
      <c r="AD860" s="67" t="str">
        <f>IF($B860&lt;&gt;"",INDEX(DataOB[],FirstRow+ROW()-7,MATCH(AD$6,DataOB[#Headers],0)),"")</f>
        <v/>
      </c>
      <c r="AE860" s="67" t="str">
        <f>IF($B860&lt;&gt;"",INDEX(DataOB[],FirstRow+ROW()-7,MATCH(AE$6,DataOB[#Headers],0)),"")</f>
        <v/>
      </c>
      <c r="AF860" s="26">
        <f t="shared" si="131"/>
        <v>0</v>
      </c>
      <c r="AG860" s="31">
        <f>SUM($T860:T860)</f>
        <v>0</v>
      </c>
      <c r="AH860" s="31">
        <f>SUM($T860:U860)</f>
        <v>0</v>
      </c>
      <c r="AI860" s="31">
        <f>SUM($T860:V860)</f>
        <v>0</v>
      </c>
      <c r="AJ860" s="31">
        <f>SUM($T860:W860)</f>
        <v>0</v>
      </c>
      <c r="AK860" s="31">
        <f>SUM($T860:X860)</f>
        <v>0</v>
      </c>
      <c r="AL860" s="31">
        <f>SUM($T860:Y860)</f>
        <v>0</v>
      </c>
      <c r="AM860" s="31">
        <f>SUM($T860:Z860)</f>
        <v>0</v>
      </c>
      <c r="AN860" s="31">
        <f>SUM($T860:AA860)</f>
        <v>0</v>
      </c>
      <c r="AO860" s="31">
        <f>SUM($T860:AB860)</f>
        <v>0</v>
      </c>
      <c r="AP860" s="31">
        <f>SUM($T860:AC860)</f>
        <v>0</v>
      </c>
      <c r="AQ860" s="31">
        <f>SUM($T860:AD860)</f>
        <v>0</v>
      </c>
      <c r="AR860" s="31">
        <f>SUM($T860:AE860)</f>
        <v>0</v>
      </c>
      <c r="AS860" s="27">
        <f t="shared" si="132"/>
        <v>0</v>
      </c>
    </row>
    <row r="861" spans="2:45">
      <c r="B861" s="102" t="str">
        <f>IF(ROW()-6&gt;NumCostCenter,"",IF(CostCenter&lt;&gt;"ALL",CostCenter,DATA_LF2!B859))</f>
        <v/>
      </c>
      <c r="C861" s="153" t="str">
        <f>IF($B861&lt;&gt;"",INDEX(DataOB[],FirstRow+ROW()-7,2),"")</f>
        <v/>
      </c>
      <c r="D861" s="66" t="str">
        <f>IF($B861&lt;&gt;"",INDEX(DataOB[],FirstRow+ROW()-7,3),"")</f>
        <v/>
      </c>
      <c r="E861" s="103" t="str">
        <f>IF($B861&lt;&gt;"",INDEX(DataOB[],FirstRow+ROW()-7,6),"")</f>
        <v/>
      </c>
      <c r="F861" s="103" t="str">
        <f>IF($B861&lt;&gt;"",INDEX(DataOB[],FirstRow+ROW()-7,5),"")</f>
        <v/>
      </c>
      <c r="G861" s="58">
        <f>IF($B861&lt;&gt;"",SUMIFS(DataAct_tbl[AMOUNT],DataAct_tbl[BG CODE],Detail!$D861,DataAct_tbl[MONTH],LEFT(MonthName,3),DataAct_tbl[Dept code],$B861),0)</f>
        <v>0</v>
      </c>
      <c r="H861" s="31" t="str">
        <f t="shared" si="124"/>
        <v/>
      </c>
      <c r="I861" s="28" t="str">
        <f t="shared" si="125"/>
        <v/>
      </c>
      <c r="J861" s="32" t="str">
        <f t="shared" si="126"/>
        <v/>
      </c>
      <c r="K861" s="86"/>
      <c r="L861" s="62">
        <f>IF($B861&lt;&gt;"",SUMIFS(DataAct_tbl[AMOUNT],DataAct_tbl[BG CODE],Detail!$D861,DataAct_tbl[Check Range],"=true",DataAct_tbl[Dept code],$B861),0)</f>
        <v>0</v>
      </c>
      <c r="M861" s="63">
        <f>INDEX($AG$7:$AR$1005,ROW()-6,MATCH(MTD,$AG$6:$AR$6,0))</f>
        <v>0</v>
      </c>
      <c r="N861" s="34">
        <f t="shared" si="127"/>
        <v>0</v>
      </c>
      <c r="O861" s="64" t="str">
        <f t="shared" si="128"/>
        <v xml:space="preserve"> </v>
      </c>
      <c r="Q861" s="97">
        <f t="shared" si="129"/>
        <v>0</v>
      </c>
      <c r="R861" s="96">
        <f t="shared" si="130"/>
        <v>0</v>
      </c>
      <c r="T861" s="67" t="str">
        <f>IF($B861&lt;&gt;"",INDEX(DataOB[],FirstRow+ROW()-7,MATCH(T$6,DataOB[#Headers],0)),"")</f>
        <v/>
      </c>
      <c r="U861" s="67" t="str">
        <f>IF($B861&lt;&gt;"",INDEX(DataOB[],FirstRow+ROW()-7,MATCH(U$6,DataOB[#Headers],0)),"")</f>
        <v/>
      </c>
      <c r="V861" s="67" t="str">
        <f>IF($B861&lt;&gt;"",INDEX(DataOB[],FirstRow+ROW()-7,MATCH(V$6,DataOB[#Headers],0)),"")</f>
        <v/>
      </c>
      <c r="W861" s="67" t="str">
        <f>IF($B861&lt;&gt;"",INDEX(DataOB[],FirstRow+ROW()-7,MATCH(W$6,DataOB[#Headers],0)),"")</f>
        <v/>
      </c>
      <c r="X861" s="67" t="str">
        <f>IF($B861&lt;&gt;"",INDEX(DataOB[],FirstRow+ROW()-7,MATCH(X$6,DataOB[#Headers],0)),"")</f>
        <v/>
      </c>
      <c r="Y861" s="67" t="str">
        <f>IF($B861&lt;&gt;"",INDEX(DataOB[],FirstRow+ROW()-7,MATCH(Y$6,DataOB[#Headers],0)),"")</f>
        <v/>
      </c>
      <c r="Z861" s="67" t="str">
        <f>IF($B861&lt;&gt;"",INDEX(DataOB[],FirstRow+ROW()-7,MATCH(Z$6,DataOB[#Headers],0)),"")</f>
        <v/>
      </c>
      <c r="AA861" s="67" t="str">
        <f>IF($B861&lt;&gt;"",INDEX(DataOB[],FirstRow+ROW()-7,MATCH(AA$6,DataOB[#Headers],0)),"")</f>
        <v/>
      </c>
      <c r="AB861" s="67" t="str">
        <f>IF($B861&lt;&gt;"",INDEX(DataOB[],FirstRow+ROW()-7,MATCH(AB$6,DataOB[#Headers],0)),"")</f>
        <v/>
      </c>
      <c r="AC861" s="67" t="str">
        <f>IF($B861&lt;&gt;"",INDEX(DataOB[],FirstRow+ROW()-7,MATCH(AC$6,DataOB[#Headers],0)),"")</f>
        <v/>
      </c>
      <c r="AD861" s="67" t="str">
        <f>IF($B861&lt;&gt;"",INDEX(DataOB[],FirstRow+ROW()-7,MATCH(AD$6,DataOB[#Headers],0)),"")</f>
        <v/>
      </c>
      <c r="AE861" s="67" t="str">
        <f>IF($B861&lt;&gt;"",INDEX(DataOB[],FirstRow+ROW()-7,MATCH(AE$6,DataOB[#Headers],0)),"")</f>
        <v/>
      </c>
      <c r="AF861" s="26">
        <f t="shared" si="131"/>
        <v>0</v>
      </c>
      <c r="AG861" s="31">
        <f>SUM($T861:T861)</f>
        <v>0</v>
      </c>
      <c r="AH861" s="31">
        <f>SUM($T861:U861)</f>
        <v>0</v>
      </c>
      <c r="AI861" s="31">
        <f>SUM($T861:V861)</f>
        <v>0</v>
      </c>
      <c r="AJ861" s="31">
        <f>SUM($T861:W861)</f>
        <v>0</v>
      </c>
      <c r="AK861" s="31">
        <f>SUM($T861:X861)</f>
        <v>0</v>
      </c>
      <c r="AL861" s="31">
        <f>SUM($T861:Y861)</f>
        <v>0</v>
      </c>
      <c r="AM861" s="31">
        <f>SUM($T861:Z861)</f>
        <v>0</v>
      </c>
      <c r="AN861" s="31">
        <f>SUM($T861:AA861)</f>
        <v>0</v>
      </c>
      <c r="AO861" s="31">
        <f>SUM($T861:AB861)</f>
        <v>0</v>
      </c>
      <c r="AP861" s="31">
        <f>SUM($T861:AC861)</f>
        <v>0</v>
      </c>
      <c r="AQ861" s="31">
        <f>SUM($T861:AD861)</f>
        <v>0</v>
      </c>
      <c r="AR861" s="31">
        <f>SUM($T861:AE861)</f>
        <v>0</v>
      </c>
      <c r="AS861" s="27">
        <f t="shared" si="132"/>
        <v>0</v>
      </c>
    </row>
    <row r="862" spans="2:45">
      <c r="B862" s="102" t="str">
        <f>IF(ROW()-6&gt;NumCostCenter,"",IF(CostCenter&lt;&gt;"ALL",CostCenter,DATA_LF2!B860))</f>
        <v/>
      </c>
      <c r="C862" s="153" t="str">
        <f>IF($B862&lt;&gt;"",INDEX(DataOB[],FirstRow+ROW()-7,2),"")</f>
        <v/>
      </c>
      <c r="D862" s="66" t="str">
        <f>IF($B862&lt;&gt;"",INDEX(DataOB[],FirstRow+ROW()-7,3),"")</f>
        <v/>
      </c>
      <c r="E862" s="103" t="str">
        <f>IF($B862&lt;&gt;"",INDEX(DataOB[],FirstRow+ROW()-7,6),"")</f>
        <v/>
      </c>
      <c r="F862" s="103" t="str">
        <f>IF($B862&lt;&gt;"",INDEX(DataOB[],FirstRow+ROW()-7,5),"")</f>
        <v/>
      </c>
      <c r="G862" s="58">
        <f>IF($B862&lt;&gt;"",SUMIFS(DataAct_tbl[AMOUNT],DataAct_tbl[BG CODE],Detail!$D862,DataAct_tbl[MONTH],LEFT(MonthName,3),DataAct_tbl[Dept code],$B862),0)</f>
        <v>0</v>
      </c>
      <c r="H862" s="31" t="str">
        <f t="shared" si="124"/>
        <v/>
      </c>
      <c r="I862" s="28" t="str">
        <f t="shared" si="125"/>
        <v/>
      </c>
      <c r="J862" s="32" t="str">
        <f t="shared" si="126"/>
        <v/>
      </c>
      <c r="K862" s="86"/>
      <c r="L862" s="62">
        <f>IF($B862&lt;&gt;"",SUMIFS(DataAct_tbl[AMOUNT],DataAct_tbl[BG CODE],Detail!$D862,DataAct_tbl[Check Range],"=true",DataAct_tbl[Dept code],$B862),0)</f>
        <v>0</v>
      </c>
      <c r="M862" s="63">
        <f>INDEX($AG$7:$AR$1005,ROW()-6,MATCH(MTD,$AG$6:$AR$6,0))</f>
        <v>0</v>
      </c>
      <c r="N862" s="34">
        <f t="shared" si="127"/>
        <v>0</v>
      </c>
      <c r="O862" s="64" t="str">
        <f t="shared" si="128"/>
        <v xml:space="preserve"> </v>
      </c>
      <c r="Q862" s="97">
        <f t="shared" si="129"/>
        <v>0</v>
      </c>
      <c r="R862" s="96">
        <f t="shared" si="130"/>
        <v>0</v>
      </c>
      <c r="T862" s="67" t="str">
        <f>IF($B862&lt;&gt;"",INDEX(DataOB[],FirstRow+ROW()-7,MATCH(T$6,DataOB[#Headers],0)),"")</f>
        <v/>
      </c>
      <c r="U862" s="67" t="str">
        <f>IF($B862&lt;&gt;"",INDEX(DataOB[],FirstRow+ROW()-7,MATCH(U$6,DataOB[#Headers],0)),"")</f>
        <v/>
      </c>
      <c r="V862" s="67" t="str">
        <f>IF($B862&lt;&gt;"",INDEX(DataOB[],FirstRow+ROW()-7,MATCH(V$6,DataOB[#Headers],0)),"")</f>
        <v/>
      </c>
      <c r="W862" s="67" t="str">
        <f>IF($B862&lt;&gt;"",INDEX(DataOB[],FirstRow+ROW()-7,MATCH(W$6,DataOB[#Headers],0)),"")</f>
        <v/>
      </c>
      <c r="X862" s="67" t="str">
        <f>IF($B862&lt;&gt;"",INDEX(DataOB[],FirstRow+ROW()-7,MATCH(X$6,DataOB[#Headers],0)),"")</f>
        <v/>
      </c>
      <c r="Y862" s="67" t="str">
        <f>IF($B862&lt;&gt;"",INDEX(DataOB[],FirstRow+ROW()-7,MATCH(Y$6,DataOB[#Headers],0)),"")</f>
        <v/>
      </c>
      <c r="Z862" s="67" t="str">
        <f>IF($B862&lt;&gt;"",INDEX(DataOB[],FirstRow+ROW()-7,MATCH(Z$6,DataOB[#Headers],0)),"")</f>
        <v/>
      </c>
      <c r="AA862" s="67" t="str">
        <f>IF($B862&lt;&gt;"",INDEX(DataOB[],FirstRow+ROW()-7,MATCH(AA$6,DataOB[#Headers],0)),"")</f>
        <v/>
      </c>
      <c r="AB862" s="67" t="str">
        <f>IF($B862&lt;&gt;"",INDEX(DataOB[],FirstRow+ROW()-7,MATCH(AB$6,DataOB[#Headers],0)),"")</f>
        <v/>
      </c>
      <c r="AC862" s="67" t="str">
        <f>IF($B862&lt;&gt;"",INDEX(DataOB[],FirstRow+ROW()-7,MATCH(AC$6,DataOB[#Headers],0)),"")</f>
        <v/>
      </c>
      <c r="AD862" s="67" t="str">
        <f>IF($B862&lt;&gt;"",INDEX(DataOB[],FirstRow+ROW()-7,MATCH(AD$6,DataOB[#Headers],0)),"")</f>
        <v/>
      </c>
      <c r="AE862" s="67" t="str">
        <f>IF($B862&lt;&gt;"",INDEX(DataOB[],FirstRow+ROW()-7,MATCH(AE$6,DataOB[#Headers],0)),"")</f>
        <v/>
      </c>
      <c r="AF862" s="26">
        <f t="shared" si="131"/>
        <v>0</v>
      </c>
      <c r="AG862" s="31">
        <f>SUM($T862:T862)</f>
        <v>0</v>
      </c>
      <c r="AH862" s="31">
        <f>SUM($T862:U862)</f>
        <v>0</v>
      </c>
      <c r="AI862" s="31">
        <f>SUM($T862:V862)</f>
        <v>0</v>
      </c>
      <c r="AJ862" s="31">
        <f>SUM($T862:W862)</f>
        <v>0</v>
      </c>
      <c r="AK862" s="31">
        <f>SUM($T862:X862)</f>
        <v>0</v>
      </c>
      <c r="AL862" s="31">
        <f>SUM($T862:Y862)</f>
        <v>0</v>
      </c>
      <c r="AM862" s="31">
        <f>SUM($T862:Z862)</f>
        <v>0</v>
      </c>
      <c r="AN862" s="31">
        <f>SUM($T862:AA862)</f>
        <v>0</v>
      </c>
      <c r="AO862" s="31">
        <f>SUM($T862:AB862)</f>
        <v>0</v>
      </c>
      <c r="AP862" s="31">
        <f>SUM($T862:AC862)</f>
        <v>0</v>
      </c>
      <c r="AQ862" s="31">
        <f>SUM($T862:AD862)</f>
        <v>0</v>
      </c>
      <c r="AR862" s="31">
        <f>SUM($T862:AE862)</f>
        <v>0</v>
      </c>
      <c r="AS862" s="27">
        <f t="shared" si="132"/>
        <v>0</v>
      </c>
    </row>
    <row r="863" spans="2:45">
      <c r="B863" s="102" t="str">
        <f>IF(ROW()-6&gt;NumCostCenter,"",IF(CostCenter&lt;&gt;"ALL",CostCenter,DATA_LF2!B861))</f>
        <v/>
      </c>
      <c r="C863" s="153" t="str">
        <f>IF($B863&lt;&gt;"",INDEX(DataOB[],FirstRow+ROW()-7,2),"")</f>
        <v/>
      </c>
      <c r="D863" s="66" t="str">
        <f>IF($B863&lt;&gt;"",INDEX(DataOB[],FirstRow+ROW()-7,3),"")</f>
        <v/>
      </c>
      <c r="E863" s="103" t="str">
        <f>IF($B863&lt;&gt;"",INDEX(DataOB[],FirstRow+ROW()-7,6),"")</f>
        <v/>
      </c>
      <c r="F863" s="103" t="str">
        <f>IF($B863&lt;&gt;"",INDEX(DataOB[],FirstRow+ROW()-7,5),"")</f>
        <v/>
      </c>
      <c r="G863" s="58">
        <f>IF($B863&lt;&gt;"",SUMIFS(DataAct_tbl[AMOUNT],DataAct_tbl[BG CODE],Detail!$D863,DataAct_tbl[MONTH],LEFT(MonthName,3),DataAct_tbl[Dept code],$B863),0)</f>
        <v>0</v>
      </c>
      <c r="H863" s="31" t="str">
        <f t="shared" si="124"/>
        <v/>
      </c>
      <c r="I863" s="28" t="str">
        <f t="shared" si="125"/>
        <v/>
      </c>
      <c r="J863" s="32" t="str">
        <f t="shared" si="126"/>
        <v/>
      </c>
      <c r="K863" s="86"/>
      <c r="L863" s="62">
        <f>IF($B863&lt;&gt;"",SUMIFS(DataAct_tbl[AMOUNT],DataAct_tbl[BG CODE],Detail!$D863,DataAct_tbl[Check Range],"=true",DataAct_tbl[Dept code],$B863),0)</f>
        <v>0</v>
      </c>
      <c r="M863" s="63">
        <f>INDEX($AG$7:$AR$1005,ROW()-6,MATCH(MTD,$AG$6:$AR$6,0))</f>
        <v>0</v>
      </c>
      <c r="N863" s="34">
        <f t="shared" si="127"/>
        <v>0</v>
      </c>
      <c r="O863" s="64" t="str">
        <f t="shared" si="128"/>
        <v xml:space="preserve"> </v>
      </c>
      <c r="Q863" s="97">
        <f t="shared" si="129"/>
        <v>0</v>
      </c>
      <c r="R863" s="96">
        <f t="shared" si="130"/>
        <v>0</v>
      </c>
      <c r="T863" s="67" t="str">
        <f>IF($B863&lt;&gt;"",INDEX(DataOB[],FirstRow+ROW()-7,MATCH(T$6,DataOB[#Headers],0)),"")</f>
        <v/>
      </c>
      <c r="U863" s="67" t="str">
        <f>IF($B863&lt;&gt;"",INDEX(DataOB[],FirstRow+ROW()-7,MATCH(U$6,DataOB[#Headers],0)),"")</f>
        <v/>
      </c>
      <c r="V863" s="67" t="str">
        <f>IF($B863&lt;&gt;"",INDEX(DataOB[],FirstRow+ROW()-7,MATCH(V$6,DataOB[#Headers],0)),"")</f>
        <v/>
      </c>
      <c r="W863" s="67" t="str">
        <f>IF($B863&lt;&gt;"",INDEX(DataOB[],FirstRow+ROW()-7,MATCH(W$6,DataOB[#Headers],0)),"")</f>
        <v/>
      </c>
      <c r="X863" s="67" t="str">
        <f>IF($B863&lt;&gt;"",INDEX(DataOB[],FirstRow+ROW()-7,MATCH(X$6,DataOB[#Headers],0)),"")</f>
        <v/>
      </c>
      <c r="Y863" s="67" t="str">
        <f>IF($B863&lt;&gt;"",INDEX(DataOB[],FirstRow+ROW()-7,MATCH(Y$6,DataOB[#Headers],0)),"")</f>
        <v/>
      </c>
      <c r="Z863" s="67" t="str">
        <f>IF($B863&lt;&gt;"",INDEX(DataOB[],FirstRow+ROW()-7,MATCH(Z$6,DataOB[#Headers],0)),"")</f>
        <v/>
      </c>
      <c r="AA863" s="67" t="str">
        <f>IF($B863&lt;&gt;"",INDEX(DataOB[],FirstRow+ROW()-7,MATCH(AA$6,DataOB[#Headers],0)),"")</f>
        <v/>
      </c>
      <c r="AB863" s="67" t="str">
        <f>IF($B863&lt;&gt;"",INDEX(DataOB[],FirstRow+ROW()-7,MATCH(AB$6,DataOB[#Headers],0)),"")</f>
        <v/>
      </c>
      <c r="AC863" s="67" t="str">
        <f>IF($B863&lt;&gt;"",INDEX(DataOB[],FirstRow+ROW()-7,MATCH(AC$6,DataOB[#Headers],0)),"")</f>
        <v/>
      </c>
      <c r="AD863" s="67" t="str">
        <f>IF($B863&lt;&gt;"",INDEX(DataOB[],FirstRow+ROW()-7,MATCH(AD$6,DataOB[#Headers],0)),"")</f>
        <v/>
      </c>
      <c r="AE863" s="67" t="str">
        <f>IF($B863&lt;&gt;"",INDEX(DataOB[],FirstRow+ROW()-7,MATCH(AE$6,DataOB[#Headers],0)),"")</f>
        <v/>
      </c>
      <c r="AF863" s="26">
        <f t="shared" si="131"/>
        <v>0</v>
      </c>
      <c r="AG863" s="31">
        <f>SUM($T863:T863)</f>
        <v>0</v>
      </c>
      <c r="AH863" s="31">
        <f>SUM($T863:U863)</f>
        <v>0</v>
      </c>
      <c r="AI863" s="31">
        <f>SUM($T863:V863)</f>
        <v>0</v>
      </c>
      <c r="AJ863" s="31">
        <f>SUM($T863:W863)</f>
        <v>0</v>
      </c>
      <c r="AK863" s="31">
        <f>SUM($T863:X863)</f>
        <v>0</v>
      </c>
      <c r="AL863" s="31">
        <f>SUM($T863:Y863)</f>
        <v>0</v>
      </c>
      <c r="AM863" s="31">
        <f>SUM($T863:Z863)</f>
        <v>0</v>
      </c>
      <c r="AN863" s="31">
        <f>SUM($T863:AA863)</f>
        <v>0</v>
      </c>
      <c r="AO863" s="31">
        <f>SUM($T863:AB863)</f>
        <v>0</v>
      </c>
      <c r="AP863" s="31">
        <f>SUM($T863:AC863)</f>
        <v>0</v>
      </c>
      <c r="AQ863" s="31">
        <f>SUM($T863:AD863)</f>
        <v>0</v>
      </c>
      <c r="AR863" s="31">
        <f>SUM($T863:AE863)</f>
        <v>0</v>
      </c>
      <c r="AS863" s="27">
        <f t="shared" si="132"/>
        <v>0</v>
      </c>
    </row>
    <row r="864" spans="2:45">
      <c r="B864" s="102" t="str">
        <f>IF(ROW()-6&gt;NumCostCenter,"",IF(CostCenter&lt;&gt;"ALL",CostCenter,DATA_LF2!B862))</f>
        <v/>
      </c>
      <c r="C864" s="153" t="str">
        <f>IF($B864&lt;&gt;"",INDEX(DataOB[],FirstRow+ROW()-7,2),"")</f>
        <v/>
      </c>
      <c r="D864" s="66" t="str">
        <f>IF($B864&lt;&gt;"",INDEX(DataOB[],FirstRow+ROW()-7,3),"")</f>
        <v/>
      </c>
      <c r="E864" s="103" t="str">
        <f>IF($B864&lt;&gt;"",INDEX(DataOB[],FirstRow+ROW()-7,6),"")</f>
        <v/>
      </c>
      <c r="F864" s="103" t="str">
        <f>IF($B864&lt;&gt;"",INDEX(DataOB[],FirstRow+ROW()-7,5),"")</f>
        <v/>
      </c>
      <c r="G864" s="58">
        <f>IF($B864&lt;&gt;"",SUMIFS(DataAct_tbl[AMOUNT],DataAct_tbl[BG CODE],Detail!$D864,DataAct_tbl[MONTH],LEFT(MonthName,3),DataAct_tbl[Dept code],$B864),0)</f>
        <v>0</v>
      </c>
      <c r="H864" s="31" t="str">
        <f t="shared" si="124"/>
        <v/>
      </c>
      <c r="I864" s="28" t="str">
        <f t="shared" si="125"/>
        <v/>
      </c>
      <c r="J864" s="32" t="str">
        <f t="shared" si="126"/>
        <v/>
      </c>
      <c r="K864" s="86"/>
      <c r="L864" s="62">
        <f>IF($B864&lt;&gt;"",SUMIFS(DataAct_tbl[AMOUNT],DataAct_tbl[BG CODE],Detail!$D864,DataAct_tbl[Check Range],"=true",DataAct_tbl[Dept code],$B864),0)</f>
        <v>0</v>
      </c>
      <c r="M864" s="63">
        <f>INDEX($AG$7:$AR$1005,ROW()-6,MATCH(MTD,$AG$6:$AR$6,0))</f>
        <v>0</v>
      </c>
      <c r="N864" s="34">
        <f t="shared" si="127"/>
        <v>0</v>
      </c>
      <c r="O864" s="64" t="str">
        <f t="shared" si="128"/>
        <v xml:space="preserve"> </v>
      </c>
      <c r="Q864" s="97">
        <f t="shared" si="129"/>
        <v>0</v>
      </c>
      <c r="R864" s="96">
        <f t="shared" si="130"/>
        <v>0</v>
      </c>
      <c r="T864" s="67" t="str">
        <f>IF($B864&lt;&gt;"",INDEX(DataOB[],FirstRow+ROW()-7,MATCH(T$6,DataOB[#Headers],0)),"")</f>
        <v/>
      </c>
      <c r="U864" s="67" t="str">
        <f>IF($B864&lt;&gt;"",INDEX(DataOB[],FirstRow+ROW()-7,MATCH(U$6,DataOB[#Headers],0)),"")</f>
        <v/>
      </c>
      <c r="V864" s="67" t="str">
        <f>IF($B864&lt;&gt;"",INDEX(DataOB[],FirstRow+ROW()-7,MATCH(V$6,DataOB[#Headers],0)),"")</f>
        <v/>
      </c>
      <c r="W864" s="67" t="str">
        <f>IF($B864&lt;&gt;"",INDEX(DataOB[],FirstRow+ROW()-7,MATCH(W$6,DataOB[#Headers],0)),"")</f>
        <v/>
      </c>
      <c r="X864" s="67" t="str">
        <f>IF($B864&lt;&gt;"",INDEX(DataOB[],FirstRow+ROW()-7,MATCH(X$6,DataOB[#Headers],0)),"")</f>
        <v/>
      </c>
      <c r="Y864" s="67" t="str">
        <f>IF($B864&lt;&gt;"",INDEX(DataOB[],FirstRow+ROW()-7,MATCH(Y$6,DataOB[#Headers],0)),"")</f>
        <v/>
      </c>
      <c r="Z864" s="67" t="str">
        <f>IF($B864&lt;&gt;"",INDEX(DataOB[],FirstRow+ROW()-7,MATCH(Z$6,DataOB[#Headers],0)),"")</f>
        <v/>
      </c>
      <c r="AA864" s="67" t="str">
        <f>IF($B864&lt;&gt;"",INDEX(DataOB[],FirstRow+ROW()-7,MATCH(AA$6,DataOB[#Headers],0)),"")</f>
        <v/>
      </c>
      <c r="AB864" s="67" t="str">
        <f>IF($B864&lt;&gt;"",INDEX(DataOB[],FirstRow+ROW()-7,MATCH(AB$6,DataOB[#Headers],0)),"")</f>
        <v/>
      </c>
      <c r="AC864" s="67" t="str">
        <f>IF($B864&lt;&gt;"",INDEX(DataOB[],FirstRow+ROW()-7,MATCH(AC$6,DataOB[#Headers],0)),"")</f>
        <v/>
      </c>
      <c r="AD864" s="67" t="str">
        <f>IF($B864&lt;&gt;"",INDEX(DataOB[],FirstRow+ROW()-7,MATCH(AD$6,DataOB[#Headers],0)),"")</f>
        <v/>
      </c>
      <c r="AE864" s="67" t="str">
        <f>IF($B864&lt;&gt;"",INDEX(DataOB[],FirstRow+ROW()-7,MATCH(AE$6,DataOB[#Headers],0)),"")</f>
        <v/>
      </c>
      <c r="AF864" s="26">
        <f t="shared" si="131"/>
        <v>0</v>
      </c>
      <c r="AG864" s="31">
        <f>SUM($T864:T864)</f>
        <v>0</v>
      </c>
      <c r="AH864" s="31">
        <f>SUM($T864:U864)</f>
        <v>0</v>
      </c>
      <c r="AI864" s="31">
        <f>SUM($T864:V864)</f>
        <v>0</v>
      </c>
      <c r="AJ864" s="31">
        <f>SUM($T864:W864)</f>
        <v>0</v>
      </c>
      <c r="AK864" s="31">
        <f>SUM($T864:X864)</f>
        <v>0</v>
      </c>
      <c r="AL864" s="31">
        <f>SUM($T864:Y864)</f>
        <v>0</v>
      </c>
      <c r="AM864" s="31">
        <f>SUM($T864:Z864)</f>
        <v>0</v>
      </c>
      <c r="AN864" s="31">
        <f>SUM($T864:AA864)</f>
        <v>0</v>
      </c>
      <c r="AO864" s="31">
        <f>SUM($T864:AB864)</f>
        <v>0</v>
      </c>
      <c r="AP864" s="31">
        <f>SUM($T864:AC864)</f>
        <v>0</v>
      </c>
      <c r="AQ864" s="31">
        <f>SUM($T864:AD864)</f>
        <v>0</v>
      </c>
      <c r="AR864" s="31">
        <f>SUM($T864:AE864)</f>
        <v>0</v>
      </c>
      <c r="AS864" s="27">
        <f t="shared" si="132"/>
        <v>0</v>
      </c>
    </row>
    <row r="865" spans="2:45">
      <c r="B865" s="102" t="str">
        <f>IF(ROW()-6&gt;NumCostCenter,"",IF(CostCenter&lt;&gt;"ALL",CostCenter,DATA_LF2!B863))</f>
        <v/>
      </c>
      <c r="C865" s="153" t="str">
        <f>IF($B865&lt;&gt;"",INDEX(DataOB[],FirstRow+ROW()-7,2),"")</f>
        <v/>
      </c>
      <c r="D865" s="66" t="str">
        <f>IF($B865&lt;&gt;"",INDEX(DataOB[],FirstRow+ROW()-7,3),"")</f>
        <v/>
      </c>
      <c r="E865" s="103" t="str">
        <f>IF($B865&lt;&gt;"",INDEX(DataOB[],FirstRow+ROW()-7,6),"")</f>
        <v/>
      </c>
      <c r="F865" s="103" t="str">
        <f>IF($B865&lt;&gt;"",INDEX(DataOB[],FirstRow+ROW()-7,5),"")</f>
        <v/>
      </c>
      <c r="G865" s="58">
        <f>IF($B865&lt;&gt;"",SUMIFS(DataAct_tbl[AMOUNT],DataAct_tbl[BG CODE],Detail!$D865,DataAct_tbl[MONTH],LEFT(MonthName,3),DataAct_tbl[Dept code],$B865),0)</f>
        <v>0</v>
      </c>
      <c r="H865" s="31" t="str">
        <f t="shared" si="124"/>
        <v/>
      </c>
      <c r="I865" s="28" t="str">
        <f t="shared" si="125"/>
        <v/>
      </c>
      <c r="J865" s="32" t="str">
        <f t="shared" si="126"/>
        <v/>
      </c>
      <c r="K865" s="86"/>
      <c r="L865" s="62">
        <f>IF($B865&lt;&gt;"",SUMIFS(DataAct_tbl[AMOUNT],DataAct_tbl[BG CODE],Detail!$D865,DataAct_tbl[Check Range],"=true",DataAct_tbl[Dept code],$B865),0)</f>
        <v>0</v>
      </c>
      <c r="M865" s="63">
        <f>INDEX($AG$7:$AR$1005,ROW()-6,MATCH(MTD,$AG$6:$AR$6,0))</f>
        <v>0</v>
      </c>
      <c r="N865" s="34">
        <f t="shared" si="127"/>
        <v>0</v>
      </c>
      <c r="O865" s="64" t="str">
        <f t="shared" si="128"/>
        <v xml:space="preserve"> </v>
      </c>
      <c r="Q865" s="97">
        <f t="shared" si="129"/>
        <v>0</v>
      </c>
      <c r="R865" s="96">
        <f t="shared" si="130"/>
        <v>0</v>
      </c>
      <c r="T865" s="67" t="str">
        <f>IF($B865&lt;&gt;"",INDEX(DataOB[],FirstRow+ROW()-7,MATCH(T$6,DataOB[#Headers],0)),"")</f>
        <v/>
      </c>
      <c r="U865" s="67" t="str">
        <f>IF($B865&lt;&gt;"",INDEX(DataOB[],FirstRow+ROW()-7,MATCH(U$6,DataOB[#Headers],0)),"")</f>
        <v/>
      </c>
      <c r="V865" s="67" t="str">
        <f>IF($B865&lt;&gt;"",INDEX(DataOB[],FirstRow+ROW()-7,MATCH(V$6,DataOB[#Headers],0)),"")</f>
        <v/>
      </c>
      <c r="W865" s="67" t="str">
        <f>IF($B865&lt;&gt;"",INDEX(DataOB[],FirstRow+ROW()-7,MATCH(W$6,DataOB[#Headers],0)),"")</f>
        <v/>
      </c>
      <c r="X865" s="67" t="str">
        <f>IF($B865&lt;&gt;"",INDEX(DataOB[],FirstRow+ROW()-7,MATCH(X$6,DataOB[#Headers],0)),"")</f>
        <v/>
      </c>
      <c r="Y865" s="67" t="str">
        <f>IF($B865&lt;&gt;"",INDEX(DataOB[],FirstRow+ROW()-7,MATCH(Y$6,DataOB[#Headers],0)),"")</f>
        <v/>
      </c>
      <c r="Z865" s="67" t="str">
        <f>IF($B865&lt;&gt;"",INDEX(DataOB[],FirstRow+ROW()-7,MATCH(Z$6,DataOB[#Headers],0)),"")</f>
        <v/>
      </c>
      <c r="AA865" s="67" t="str">
        <f>IF($B865&lt;&gt;"",INDEX(DataOB[],FirstRow+ROW()-7,MATCH(AA$6,DataOB[#Headers],0)),"")</f>
        <v/>
      </c>
      <c r="AB865" s="67" t="str">
        <f>IF($B865&lt;&gt;"",INDEX(DataOB[],FirstRow+ROW()-7,MATCH(AB$6,DataOB[#Headers],0)),"")</f>
        <v/>
      </c>
      <c r="AC865" s="67" t="str">
        <f>IF($B865&lt;&gt;"",INDEX(DataOB[],FirstRow+ROW()-7,MATCH(AC$6,DataOB[#Headers],0)),"")</f>
        <v/>
      </c>
      <c r="AD865" s="67" t="str">
        <f>IF($B865&lt;&gt;"",INDEX(DataOB[],FirstRow+ROW()-7,MATCH(AD$6,DataOB[#Headers],0)),"")</f>
        <v/>
      </c>
      <c r="AE865" s="67" t="str">
        <f>IF($B865&lt;&gt;"",INDEX(DataOB[],FirstRow+ROW()-7,MATCH(AE$6,DataOB[#Headers],0)),"")</f>
        <v/>
      </c>
      <c r="AF865" s="26">
        <f t="shared" si="131"/>
        <v>0</v>
      </c>
      <c r="AG865" s="31">
        <f>SUM($T865:T865)</f>
        <v>0</v>
      </c>
      <c r="AH865" s="31">
        <f>SUM($T865:U865)</f>
        <v>0</v>
      </c>
      <c r="AI865" s="31">
        <f>SUM($T865:V865)</f>
        <v>0</v>
      </c>
      <c r="AJ865" s="31">
        <f>SUM($T865:W865)</f>
        <v>0</v>
      </c>
      <c r="AK865" s="31">
        <f>SUM($T865:X865)</f>
        <v>0</v>
      </c>
      <c r="AL865" s="31">
        <f>SUM($T865:Y865)</f>
        <v>0</v>
      </c>
      <c r="AM865" s="31">
        <f>SUM($T865:Z865)</f>
        <v>0</v>
      </c>
      <c r="AN865" s="31">
        <f>SUM($T865:AA865)</f>
        <v>0</v>
      </c>
      <c r="AO865" s="31">
        <f>SUM($T865:AB865)</f>
        <v>0</v>
      </c>
      <c r="AP865" s="31">
        <f>SUM($T865:AC865)</f>
        <v>0</v>
      </c>
      <c r="AQ865" s="31">
        <f>SUM($T865:AD865)</f>
        <v>0</v>
      </c>
      <c r="AR865" s="31">
        <f>SUM($T865:AE865)</f>
        <v>0</v>
      </c>
      <c r="AS865" s="27">
        <f t="shared" si="132"/>
        <v>0</v>
      </c>
    </row>
    <row r="866" spans="2:45">
      <c r="B866" s="102" t="str">
        <f>IF(ROW()-6&gt;NumCostCenter,"",IF(CostCenter&lt;&gt;"ALL",CostCenter,DATA_LF2!B864))</f>
        <v/>
      </c>
      <c r="C866" s="153" t="str">
        <f>IF($B866&lt;&gt;"",INDEX(DataOB[],FirstRow+ROW()-7,2),"")</f>
        <v/>
      </c>
      <c r="D866" s="66" t="str">
        <f>IF($B866&lt;&gt;"",INDEX(DataOB[],FirstRow+ROW()-7,3),"")</f>
        <v/>
      </c>
      <c r="E866" s="103" t="str">
        <f>IF($B866&lt;&gt;"",INDEX(DataOB[],FirstRow+ROW()-7,6),"")</f>
        <v/>
      </c>
      <c r="F866" s="103" t="str">
        <f>IF($B866&lt;&gt;"",INDEX(DataOB[],FirstRow+ROW()-7,5),"")</f>
        <v/>
      </c>
      <c r="G866" s="58">
        <f>IF($B866&lt;&gt;"",SUMIFS(DataAct_tbl[AMOUNT],DataAct_tbl[BG CODE],Detail!$D866,DataAct_tbl[MONTH],LEFT(MonthName,3),DataAct_tbl[Dept code],$B866),0)</f>
        <v>0</v>
      </c>
      <c r="H866" s="31" t="str">
        <f t="shared" si="124"/>
        <v/>
      </c>
      <c r="I866" s="28" t="str">
        <f t="shared" si="125"/>
        <v/>
      </c>
      <c r="J866" s="32" t="str">
        <f t="shared" si="126"/>
        <v/>
      </c>
      <c r="K866" s="86"/>
      <c r="L866" s="62">
        <f>IF($B866&lt;&gt;"",SUMIFS(DataAct_tbl[AMOUNT],DataAct_tbl[BG CODE],Detail!$D866,DataAct_tbl[Check Range],"=true",DataAct_tbl[Dept code],$B866),0)</f>
        <v>0</v>
      </c>
      <c r="M866" s="63">
        <f>INDEX($AG$7:$AR$1005,ROW()-6,MATCH(MTD,$AG$6:$AR$6,0))</f>
        <v>0</v>
      </c>
      <c r="N866" s="34">
        <f t="shared" si="127"/>
        <v>0</v>
      </c>
      <c r="O866" s="64" t="str">
        <f t="shared" si="128"/>
        <v xml:space="preserve"> </v>
      </c>
      <c r="Q866" s="97">
        <f t="shared" si="129"/>
        <v>0</v>
      </c>
      <c r="R866" s="96">
        <f t="shared" si="130"/>
        <v>0</v>
      </c>
      <c r="T866" s="67" t="str">
        <f>IF($B866&lt;&gt;"",INDEX(DataOB[],FirstRow+ROW()-7,MATCH(T$6,DataOB[#Headers],0)),"")</f>
        <v/>
      </c>
      <c r="U866" s="67" t="str">
        <f>IF($B866&lt;&gt;"",INDEX(DataOB[],FirstRow+ROW()-7,MATCH(U$6,DataOB[#Headers],0)),"")</f>
        <v/>
      </c>
      <c r="V866" s="67" t="str">
        <f>IF($B866&lt;&gt;"",INDEX(DataOB[],FirstRow+ROW()-7,MATCH(V$6,DataOB[#Headers],0)),"")</f>
        <v/>
      </c>
      <c r="W866" s="67" t="str">
        <f>IF($B866&lt;&gt;"",INDEX(DataOB[],FirstRow+ROW()-7,MATCH(W$6,DataOB[#Headers],0)),"")</f>
        <v/>
      </c>
      <c r="X866" s="67" t="str">
        <f>IF($B866&lt;&gt;"",INDEX(DataOB[],FirstRow+ROW()-7,MATCH(X$6,DataOB[#Headers],0)),"")</f>
        <v/>
      </c>
      <c r="Y866" s="67" t="str">
        <f>IF($B866&lt;&gt;"",INDEX(DataOB[],FirstRow+ROW()-7,MATCH(Y$6,DataOB[#Headers],0)),"")</f>
        <v/>
      </c>
      <c r="Z866" s="67" t="str">
        <f>IF($B866&lt;&gt;"",INDEX(DataOB[],FirstRow+ROW()-7,MATCH(Z$6,DataOB[#Headers],0)),"")</f>
        <v/>
      </c>
      <c r="AA866" s="67" t="str">
        <f>IF($B866&lt;&gt;"",INDEX(DataOB[],FirstRow+ROW()-7,MATCH(AA$6,DataOB[#Headers],0)),"")</f>
        <v/>
      </c>
      <c r="AB866" s="67" t="str">
        <f>IF($B866&lt;&gt;"",INDEX(DataOB[],FirstRow+ROW()-7,MATCH(AB$6,DataOB[#Headers],0)),"")</f>
        <v/>
      </c>
      <c r="AC866" s="67" t="str">
        <f>IF($B866&lt;&gt;"",INDEX(DataOB[],FirstRow+ROW()-7,MATCH(AC$6,DataOB[#Headers],0)),"")</f>
        <v/>
      </c>
      <c r="AD866" s="67" t="str">
        <f>IF($B866&lt;&gt;"",INDEX(DataOB[],FirstRow+ROW()-7,MATCH(AD$6,DataOB[#Headers],0)),"")</f>
        <v/>
      </c>
      <c r="AE866" s="67" t="str">
        <f>IF($B866&lt;&gt;"",INDEX(DataOB[],FirstRow+ROW()-7,MATCH(AE$6,DataOB[#Headers],0)),"")</f>
        <v/>
      </c>
      <c r="AF866" s="26">
        <f t="shared" si="131"/>
        <v>0</v>
      </c>
      <c r="AG866" s="31">
        <f>SUM($T866:T866)</f>
        <v>0</v>
      </c>
      <c r="AH866" s="31">
        <f>SUM($T866:U866)</f>
        <v>0</v>
      </c>
      <c r="AI866" s="31">
        <f>SUM($T866:V866)</f>
        <v>0</v>
      </c>
      <c r="AJ866" s="31">
        <f>SUM($T866:W866)</f>
        <v>0</v>
      </c>
      <c r="AK866" s="31">
        <f>SUM($T866:X866)</f>
        <v>0</v>
      </c>
      <c r="AL866" s="31">
        <f>SUM($T866:Y866)</f>
        <v>0</v>
      </c>
      <c r="AM866" s="31">
        <f>SUM($T866:Z866)</f>
        <v>0</v>
      </c>
      <c r="AN866" s="31">
        <f>SUM($T866:AA866)</f>
        <v>0</v>
      </c>
      <c r="AO866" s="31">
        <f>SUM($T866:AB866)</f>
        <v>0</v>
      </c>
      <c r="AP866" s="31">
        <f>SUM($T866:AC866)</f>
        <v>0</v>
      </c>
      <c r="AQ866" s="31">
        <f>SUM($T866:AD866)</f>
        <v>0</v>
      </c>
      <c r="AR866" s="31">
        <f>SUM($T866:AE866)</f>
        <v>0</v>
      </c>
      <c r="AS866" s="27">
        <f t="shared" si="132"/>
        <v>0</v>
      </c>
    </row>
    <row r="867" spans="2:45">
      <c r="B867" s="102" t="str">
        <f>IF(ROW()-6&gt;NumCostCenter,"",IF(CostCenter&lt;&gt;"ALL",CostCenter,DATA_LF2!B865))</f>
        <v/>
      </c>
      <c r="C867" s="153" t="str">
        <f>IF($B867&lt;&gt;"",INDEX(DataOB[],FirstRow+ROW()-7,2),"")</f>
        <v/>
      </c>
      <c r="D867" s="66" t="str">
        <f>IF($B867&lt;&gt;"",INDEX(DataOB[],FirstRow+ROW()-7,3),"")</f>
        <v/>
      </c>
      <c r="E867" s="103" t="str">
        <f>IF($B867&lt;&gt;"",INDEX(DataOB[],FirstRow+ROW()-7,6),"")</f>
        <v/>
      </c>
      <c r="F867" s="103" t="str">
        <f>IF($B867&lt;&gt;"",INDEX(DataOB[],FirstRow+ROW()-7,5),"")</f>
        <v/>
      </c>
      <c r="G867" s="58">
        <f>IF($B867&lt;&gt;"",SUMIFS(DataAct_tbl[AMOUNT],DataAct_tbl[BG CODE],Detail!$D867,DataAct_tbl[MONTH],LEFT(MonthName,3),DataAct_tbl[Dept code],$B867),0)</f>
        <v>0</v>
      </c>
      <c r="H867" s="31" t="str">
        <f t="shared" si="124"/>
        <v/>
      </c>
      <c r="I867" s="28" t="str">
        <f t="shared" si="125"/>
        <v/>
      </c>
      <c r="J867" s="32" t="str">
        <f t="shared" si="126"/>
        <v/>
      </c>
      <c r="K867" s="86"/>
      <c r="L867" s="62">
        <f>IF($B867&lt;&gt;"",SUMIFS(DataAct_tbl[AMOUNT],DataAct_tbl[BG CODE],Detail!$D867,DataAct_tbl[Check Range],"=true",DataAct_tbl[Dept code],$B867),0)</f>
        <v>0</v>
      </c>
      <c r="M867" s="63">
        <f>INDEX($AG$7:$AR$1005,ROW()-6,MATCH(MTD,$AG$6:$AR$6,0))</f>
        <v>0</v>
      </c>
      <c r="N867" s="34">
        <f t="shared" si="127"/>
        <v>0</v>
      </c>
      <c r="O867" s="64" t="str">
        <f t="shared" si="128"/>
        <v xml:space="preserve"> </v>
      </c>
      <c r="Q867" s="97">
        <f t="shared" si="129"/>
        <v>0</v>
      </c>
      <c r="R867" s="96">
        <f t="shared" si="130"/>
        <v>0</v>
      </c>
      <c r="T867" s="67" t="str">
        <f>IF($B867&lt;&gt;"",INDEX(DataOB[],FirstRow+ROW()-7,MATCH(T$6,DataOB[#Headers],0)),"")</f>
        <v/>
      </c>
      <c r="U867" s="67" t="str">
        <f>IF($B867&lt;&gt;"",INDEX(DataOB[],FirstRow+ROW()-7,MATCH(U$6,DataOB[#Headers],0)),"")</f>
        <v/>
      </c>
      <c r="V867" s="67" t="str">
        <f>IF($B867&lt;&gt;"",INDEX(DataOB[],FirstRow+ROW()-7,MATCH(V$6,DataOB[#Headers],0)),"")</f>
        <v/>
      </c>
      <c r="W867" s="67" t="str">
        <f>IF($B867&lt;&gt;"",INDEX(DataOB[],FirstRow+ROW()-7,MATCH(W$6,DataOB[#Headers],0)),"")</f>
        <v/>
      </c>
      <c r="X867" s="67" t="str">
        <f>IF($B867&lt;&gt;"",INDEX(DataOB[],FirstRow+ROW()-7,MATCH(X$6,DataOB[#Headers],0)),"")</f>
        <v/>
      </c>
      <c r="Y867" s="67" t="str">
        <f>IF($B867&lt;&gt;"",INDEX(DataOB[],FirstRow+ROW()-7,MATCH(Y$6,DataOB[#Headers],0)),"")</f>
        <v/>
      </c>
      <c r="Z867" s="67" t="str">
        <f>IF($B867&lt;&gt;"",INDEX(DataOB[],FirstRow+ROW()-7,MATCH(Z$6,DataOB[#Headers],0)),"")</f>
        <v/>
      </c>
      <c r="AA867" s="67" t="str">
        <f>IF($B867&lt;&gt;"",INDEX(DataOB[],FirstRow+ROW()-7,MATCH(AA$6,DataOB[#Headers],0)),"")</f>
        <v/>
      </c>
      <c r="AB867" s="67" t="str">
        <f>IF($B867&lt;&gt;"",INDEX(DataOB[],FirstRow+ROW()-7,MATCH(AB$6,DataOB[#Headers],0)),"")</f>
        <v/>
      </c>
      <c r="AC867" s="67" t="str">
        <f>IF($B867&lt;&gt;"",INDEX(DataOB[],FirstRow+ROW()-7,MATCH(AC$6,DataOB[#Headers],0)),"")</f>
        <v/>
      </c>
      <c r="AD867" s="67" t="str">
        <f>IF($B867&lt;&gt;"",INDEX(DataOB[],FirstRow+ROW()-7,MATCH(AD$6,DataOB[#Headers],0)),"")</f>
        <v/>
      </c>
      <c r="AE867" s="67" t="str">
        <f>IF($B867&lt;&gt;"",INDEX(DataOB[],FirstRow+ROW()-7,MATCH(AE$6,DataOB[#Headers],0)),"")</f>
        <v/>
      </c>
      <c r="AF867" s="26">
        <f t="shared" si="131"/>
        <v>0</v>
      </c>
      <c r="AG867" s="31">
        <f>SUM($T867:T867)</f>
        <v>0</v>
      </c>
      <c r="AH867" s="31">
        <f>SUM($T867:U867)</f>
        <v>0</v>
      </c>
      <c r="AI867" s="31">
        <f>SUM($T867:V867)</f>
        <v>0</v>
      </c>
      <c r="AJ867" s="31">
        <f>SUM($T867:W867)</f>
        <v>0</v>
      </c>
      <c r="AK867" s="31">
        <f>SUM($T867:X867)</f>
        <v>0</v>
      </c>
      <c r="AL867" s="31">
        <f>SUM($T867:Y867)</f>
        <v>0</v>
      </c>
      <c r="AM867" s="31">
        <f>SUM($T867:Z867)</f>
        <v>0</v>
      </c>
      <c r="AN867" s="31">
        <f>SUM($T867:AA867)</f>
        <v>0</v>
      </c>
      <c r="AO867" s="31">
        <f>SUM($T867:AB867)</f>
        <v>0</v>
      </c>
      <c r="AP867" s="31">
        <f>SUM($T867:AC867)</f>
        <v>0</v>
      </c>
      <c r="AQ867" s="31">
        <f>SUM($T867:AD867)</f>
        <v>0</v>
      </c>
      <c r="AR867" s="31">
        <f>SUM($T867:AE867)</f>
        <v>0</v>
      </c>
      <c r="AS867" s="27">
        <f t="shared" si="132"/>
        <v>0</v>
      </c>
    </row>
    <row r="868" spans="2:45">
      <c r="B868" s="102" t="str">
        <f>IF(ROW()-6&gt;NumCostCenter,"",IF(CostCenter&lt;&gt;"ALL",CostCenter,DATA_LF2!B866))</f>
        <v/>
      </c>
      <c r="C868" s="153" t="str">
        <f>IF($B868&lt;&gt;"",INDEX(DataOB[],FirstRow+ROW()-7,2),"")</f>
        <v/>
      </c>
      <c r="D868" s="66" t="str">
        <f>IF($B868&lt;&gt;"",INDEX(DataOB[],FirstRow+ROW()-7,3),"")</f>
        <v/>
      </c>
      <c r="E868" s="103" t="str">
        <f>IF($B868&lt;&gt;"",INDEX(DataOB[],FirstRow+ROW()-7,6),"")</f>
        <v/>
      </c>
      <c r="F868" s="103" t="str">
        <f>IF($B868&lt;&gt;"",INDEX(DataOB[],FirstRow+ROW()-7,5),"")</f>
        <v/>
      </c>
      <c r="G868" s="58">
        <f>IF($B868&lt;&gt;"",SUMIFS(DataAct_tbl[AMOUNT],DataAct_tbl[BG CODE],Detail!$D868,DataAct_tbl[MONTH],LEFT(MonthName,3),DataAct_tbl[Dept code],$B868),0)</f>
        <v>0</v>
      </c>
      <c r="H868" s="31" t="str">
        <f t="shared" si="124"/>
        <v/>
      </c>
      <c r="I868" s="28" t="str">
        <f t="shared" si="125"/>
        <v/>
      </c>
      <c r="J868" s="32" t="str">
        <f t="shared" si="126"/>
        <v/>
      </c>
      <c r="K868" s="86"/>
      <c r="L868" s="62">
        <f>IF($B868&lt;&gt;"",SUMIFS(DataAct_tbl[AMOUNT],DataAct_tbl[BG CODE],Detail!$D868,DataAct_tbl[Check Range],"=true",DataAct_tbl[Dept code],$B868),0)</f>
        <v>0</v>
      </c>
      <c r="M868" s="63">
        <f>INDEX($AG$7:$AR$1005,ROW()-6,MATCH(MTD,$AG$6:$AR$6,0))</f>
        <v>0</v>
      </c>
      <c r="N868" s="34">
        <f t="shared" si="127"/>
        <v>0</v>
      </c>
      <c r="O868" s="64" t="str">
        <f t="shared" si="128"/>
        <v xml:space="preserve"> </v>
      </c>
      <c r="Q868" s="97">
        <f t="shared" si="129"/>
        <v>0</v>
      </c>
      <c r="R868" s="96">
        <f t="shared" si="130"/>
        <v>0</v>
      </c>
      <c r="T868" s="67" t="str">
        <f>IF($B868&lt;&gt;"",INDEX(DataOB[],FirstRow+ROW()-7,MATCH(T$6,DataOB[#Headers],0)),"")</f>
        <v/>
      </c>
      <c r="U868" s="67" t="str">
        <f>IF($B868&lt;&gt;"",INDEX(DataOB[],FirstRow+ROW()-7,MATCH(U$6,DataOB[#Headers],0)),"")</f>
        <v/>
      </c>
      <c r="V868" s="67" t="str">
        <f>IF($B868&lt;&gt;"",INDEX(DataOB[],FirstRow+ROW()-7,MATCH(V$6,DataOB[#Headers],0)),"")</f>
        <v/>
      </c>
      <c r="W868" s="67" t="str">
        <f>IF($B868&lt;&gt;"",INDEX(DataOB[],FirstRow+ROW()-7,MATCH(W$6,DataOB[#Headers],0)),"")</f>
        <v/>
      </c>
      <c r="X868" s="67" t="str">
        <f>IF($B868&lt;&gt;"",INDEX(DataOB[],FirstRow+ROW()-7,MATCH(X$6,DataOB[#Headers],0)),"")</f>
        <v/>
      </c>
      <c r="Y868" s="67" t="str">
        <f>IF($B868&lt;&gt;"",INDEX(DataOB[],FirstRow+ROW()-7,MATCH(Y$6,DataOB[#Headers],0)),"")</f>
        <v/>
      </c>
      <c r="Z868" s="67" t="str">
        <f>IF($B868&lt;&gt;"",INDEX(DataOB[],FirstRow+ROW()-7,MATCH(Z$6,DataOB[#Headers],0)),"")</f>
        <v/>
      </c>
      <c r="AA868" s="67" t="str">
        <f>IF($B868&lt;&gt;"",INDEX(DataOB[],FirstRow+ROW()-7,MATCH(AA$6,DataOB[#Headers],0)),"")</f>
        <v/>
      </c>
      <c r="AB868" s="67" t="str">
        <f>IF($B868&lt;&gt;"",INDEX(DataOB[],FirstRow+ROW()-7,MATCH(AB$6,DataOB[#Headers],0)),"")</f>
        <v/>
      </c>
      <c r="AC868" s="67" t="str">
        <f>IF($B868&lt;&gt;"",INDEX(DataOB[],FirstRow+ROW()-7,MATCH(AC$6,DataOB[#Headers],0)),"")</f>
        <v/>
      </c>
      <c r="AD868" s="67" t="str">
        <f>IF($B868&lt;&gt;"",INDEX(DataOB[],FirstRow+ROW()-7,MATCH(AD$6,DataOB[#Headers],0)),"")</f>
        <v/>
      </c>
      <c r="AE868" s="67" t="str">
        <f>IF($B868&lt;&gt;"",INDEX(DataOB[],FirstRow+ROW()-7,MATCH(AE$6,DataOB[#Headers],0)),"")</f>
        <v/>
      </c>
      <c r="AF868" s="26">
        <f t="shared" si="131"/>
        <v>0</v>
      </c>
      <c r="AG868" s="31">
        <f>SUM($T868:T868)</f>
        <v>0</v>
      </c>
      <c r="AH868" s="31">
        <f>SUM($T868:U868)</f>
        <v>0</v>
      </c>
      <c r="AI868" s="31">
        <f>SUM($T868:V868)</f>
        <v>0</v>
      </c>
      <c r="AJ868" s="31">
        <f>SUM($T868:W868)</f>
        <v>0</v>
      </c>
      <c r="AK868" s="31">
        <f>SUM($T868:X868)</f>
        <v>0</v>
      </c>
      <c r="AL868" s="31">
        <f>SUM($T868:Y868)</f>
        <v>0</v>
      </c>
      <c r="AM868" s="31">
        <f>SUM($T868:Z868)</f>
        <v>0</v>
      </c>
      <c r="AN868" s="31">
        <f>SUM($T868:AA868)</f>
        <v>0</v>
      </c>
      <c r="AO868" s="31">
        <f>SUM($T868:AB868)</f>
        <v>0</v>
      </c>
      <c r="AP868" s="31">
        <f>SUM($T868:AC868)</f>
        <v>0</v>
      </c>
      <c r="AQ868" s="31">
        <f>SUM($T868:AD868)</f>
        <v>0</v>
      </c>
      <c r="AR868" s="31">
        <f>SUM($T868:AE868)</f>
        <v>0</v>
      </c>
      <c r="AS868" s="27">
        <f t="shared" si="132"/>
        <v>0</v>
      </c>
    </row>
    <row r="869" spans="2:45">
      <c r="B869" s="102" t="str">
        <f>IF(ROW()-6&gt;NumCostCenter,"",IF(CostCenter&lt;&gt;"ALL",CostCenter,DATA_LF2!B867))</f>
        <v/>
      </c>
      <c r="C869" s="153" t="str">
        <f>IF($B869&lt;&gt;"",INDEX(DataOB[],FirstRow+ROW()-7,2),"")</f>
        <v/>
      </c>
      <c r="D869" s="66" t="str">
        <f>IF($B869&lt;&gt;"",INDEX(DataOB[],FirstRow+ROW()-7,3),"")</f>
        <v/>
      </c>
      <c r="E869" s="103" t="str">
        <f>IF($B869&lt;&gt;"",INDEX(DataOB[],FirstRow+ROW()-7,6),"")</f>
        <v/>
      </c>
      <c r="F869" s="103" t="str">
        <f>IF($B869&lt;&gt;"",INDEX(DataOB[],FirstRow+ROW()-7,5),"")</f>
        <v/>
      </c>
      <c r="G869" s="58">
        <f>IF($B869&lt;&gt;"",SUMIFS(DataAct_tbl[AMOUNT],DataAct_tbl[BG CODE],Detail!$D869,DataAct_tbl[MONTH],LEFT(MonthName,3),DataAct_tbl[Dept code],$B869),0)</f>
        <v>0</v>
      </c>
      <c r="H869" s="31" t="str">
        <f t="shared" si="124"/>
        <v/>
      </c>
      <c r="I869" s="28" t="str">
        <f t="shared" si="125"/>
        <v/>
      </c>
      <c r="J869" s="32" t="str">
        <f t="shared" si="126"/>
        <v/>
      </c>
      <c r="K869" s="86"/>
      <c r="L869" s="62">
        <f>IF($B869&lt;&gt;"",SUMIFS(DataAct_tbl[AMOUNT],DataAct_tbl[BG CODE],Detail!$D869,DataAct_tbl[Check Range],"=true",DataAct_tbl[Dept code],$B869),0)</f>
        <v>0</v>
      </c>
      <c r="M869" s="63">
        <f>INDEX($AG$7:$AR$1005,ROW()-6,MATCH(MTD,$AG$6:$AR$6,0))</f>
        <v>0</v>
      </c>
      <c r="N869" s="34">
        <f t="shared" si="127"/>
        <v>0</v>
      </c>
      <c r="O869" s="64" t="str">
        <f t="shared" si="128"/>
        <v xml:space="preserve"> </v>
      </c>
      <c r="Q869" s="97">
        <f t="shared" si="129"/>
        <v>0</v>
      </c>
      <c r="R869" s="96">
        <f t="shared" si="130"/>
        <v>0</v>
      </c>
      <c r="T869" s="67" t="str">
        <f>IF($B869&lt;&gt;"",INDEX(DataOB[],FirstRow+ROW()-7,MATCH(T$6,DataOB[#Headers],0)),"")</f>
        <v/>
      </c>
      <c r="U869" s="67" t="str">
        <f>IF($B869&lt;&gt;"",INDEX(DataOB[],FirstRow+ROW()-7,MATCH(U$6,DataOB[#Headers],0)),"")</f>
        <v/>
      </c>
      <c r="V869" s="67" t="str">
        <f>IF($B869&lt;&gt;"",INDEX(DataOB[],FirstRow+ROW()-7,MATCH(V$6,DataOB[#Headers],0)),"")</f>
        <v/>
      </c>
      <c r="W869" s="67" t="str">
        <f>IF($B869&lt;&gt;"",INDEX(DataOB[],FirstRow+ROW()-7,MATCH(W$6,DataOB[#Headers],0)),"")</f>
        <v/>
      </c>
      <c r="X869" s="67" t="str">
        <f>IF($B869&lt;&gt;"",INDEX(DataOB[],FirstRow+ROW()-7,MATCH(X$6,DataOB[#Headers],0)),"")</f>
        <v/>
      </c>
      <c r="Y869" s="67" t="str">
        <f>IF($B869&lt;&gt;"",INDEX(DataOB[],FirstRow+ROW()-7,MATCH(Y$6,DataOB[#Headers],0)),"")</f>
        <v/>
      </c>
      <c r="Z869" s="67" t="str">
        <f>IF($B869&lt;&gt;"",INDEX(DataOB[],FirstRow+ROW()-7,MATCH(Z$6,DataOB[#Headers],0)),"")</f>
        <v/>
      </c>
      <c r="AA869" s="67" t="str">
        <f>IF($B869&lt;&gt;"",INDEX(DataOB[],FirstRow+ROW()-7,MATCH(AA$6,DataOB[#Headers],0)),"")</f>
        <v/>
      </c>
      <c r="AB869" s="67" t="str">
        <f>IF($B869&lt;&gt;"",INDEX(DataOB[],FirstRow+ROW()-7,MATCH(AB$6,DataOB[#Headers],0)),"")</f>
        <v/>
      </c>
      <c r="AC869" s="67" t="str">
        <f>IF($B869&lt;&gt;"",INDEX(DataOB[],FirstRow+ROW()-7,MATCH(AC$6,DataOB[#Headers],0)),"")</f>
        <v/>
      </c>
      <c r="AD869" s="67" t="str">
        <f>IF($B869&lt;&gt;"",INDEX(DataOB[],FirstRow+ROW()-7,MATCH(AD$6,DataOB[#Headers],0)),"")</f>
        <v/>
      </c>
      <c r="AE869" s="67" t="str">
        <f>IF($B869&lt;&gt;"",INDEX(DataOB[],FirstRow+ROW()-7,MATCH(AE$6,DataOB[#Headers],0)),"")</f>
        <v/>
      </c>
      <c r="AF869" s="26">
        <f t="shared" si="131"/>
        <v>0</v>
      </c>
      <c r="AG869" s="31">
        <f>SUM($T869:T869)</f>
        <v>0</v>
      </c>
      <c r="AH869" s="31">
        <f>SUM($T869:U869)</f>
        <v>0</v>
      </c>
      <c r="AI869" s="31">
        <f>SUM($T869:V869)</f>
        <v>0</v>
      </c>
      <c r="AJ869" s="31">
        <f>SUM($T869:W869)</f>
        <v>0</v>
      </c>
      <c r="AK869" s="31">
        <f>SUM($T869:X869)</f>
        <v>0</v>
      </c>
      <c r="AL869" s="31">
        <f>SUM($T869:Y869)</f>
        <v>0</v>
      </c>
      <c r="AM869" s="31">
        <f>SUM($T869:Z869)</f>
        <v>0</v>
      </c>
      <c r="AN869" s="31">
        <f>SUM($T869:AA869)</f>
        <v>0</v>
      </c>
      <c r="AO869" s="31">
        <f>SUM($T869:AB869)</f>
        <v>0</v>
      </c>
      <c r="AP869" s="31">
        <f>SUM($T869:AC869)</f>
        <v>0</v>
      </c>
      <c r="AQ869" s="31">
        <f>SUM($T869:AD869)</f>
        <v>0</v>
      </c>
      <c r="AR869" s="31">
        <f>SUM($T869:AE869)</f>
        <v>0</v>
      </c>
      <c r="AS869" s="27">
        <f t="shared" si="132"/>
        <v>0</v>
      </c>
    </row>
    <row r="870" spans="2:45">
      <c r="B870" s="102" t="str">
        <f>IF(ROW()-6&gt;NumCostCenter,"",IF(CostCenter&lt;&gt;"ALL",CostCenter,DATA_LF2!B868))</f>
        <v/>
      </c>
      <c r="C870" s="153" t="str">
        <f>IF($B870&lt;&gt;"",INDEX(DataOB[],FirstRow+ROW()-7,2),"")</f>
        <v/>
      </c>
      <c r="D870" s="66" t="str">
        <f>IF($B870&lt;&gt;"",INDEX(DataOB[],FirstRow+ROW()-7,3),"")</f>
        <v/>
      </c>
      <c r="E870" s="103" t="str">
        <f>IF($B870&lt;&gt;"",INDEX(DataOB[],FirstRow+ROW()-7,6),"")</f>
        <v/>
      </c>
      <c r="F870" s="103" t="str">
        <f>IF($B870&lt;&gt;"",INDEX(DataOB[],FirstRow+ROW()-7,5),"")</f>
        <v/>
      </c>
      <c r="G870" s="58">
        <f>IF($B870&lt;&gt;"",SUMIFS(DataAct_tbl[AMOUNT],DataAct_tbl[BG CODE],Detail!$D870,DataAct_tbl[MONTH],LEFT(MonthName,3),DataAct_tbl[Dept code],$B870),0)</f>
        <v>0</v>
      </c>
      <c r="H870" s="31" t="str">
        <f t="shared" si="124"/>
        <v/>
      </c>
      <c r="I870" s="28" t="str">
        <f t="shared" si="125"/>
        <v/>
      </c>
      <c r="J870" s="32" t="str">
        <f t="shared" si="126"/>
        <v/>
      </c>
      <c r="K870" s="86"/>
      <c r="L870" s="62">
        <f>IF($B870&lt;&gt;"",SUMIFS(DataAct_tbl[AMOUNT],DataAct_tbl[BG CODE],Detail!$D870,DataAct_tbl[Check Range],"=true",DataAct_tbl[Dept code],$B870),0)</f>
        <v>0</v>
      </c>
      <c r="M870" s="63">
        <f>INDEX($AG$7:$AR$1005,ROW()-6,MATCH(MTD,$AG$6:$AR$6,0))</f>
        <v>0</v>
      </c>
      <c r="N870" s="34">
        <f t="shared" si="127"/>
        <v>0</v>
      </c>
      <c r="O870" s="64" t="str">
        <f t="shared" si="128"/>
        <v xml:space="preserve"> </v>
      </c>
      <c r="Q870" s="97">
        <f t="shared" si="129"/>
        <v>0</v>
      </c>
      <c r="R870" s="96">
        <f t="shared" si="130"/>
        <v>0</v>
      </c>
      <c r="T870" s="67" t="str">
        <f>IF($B870&lt;&gt;"",INDEX(DataOB[],FirstRow+ROW()-7,MATCH(T$6,DataOB[#Headers],0)),"")</f>
        <v/>
      </c>
      <c r="U870" s="67" t="str">
        <f>IF($B870&lt;&gt;"",INDEX(DataOB[],FirstRow+ROW()-7,MATCH(U$6,DataOB[#Headers],0)),"")</f>
        <v/>
      </c>
      <c r="V870" s="67" t="str">
        <f>IF($B870&lt;&gt;"",INDEX(DataOB[],FirstRow+ROW()-7,MATCH(V$6,DataOB[#Headers],0)),"")</f>
        <v/>
      </c>
      <c r="W870" s="67" t="str">
        <f>IF($B870&lt;&gt;"",INDEX(DataOB[],FirstRow+ROW()-7,MATCH(W$6,DataOB[#Headers],0)),"")</f>
        <v/>
      </c>
      <c r="X870" s="67" t="str">
        <f>IF($B870&lt;&gt;"",INDEX(DataOB[],FirstRow+ROW()-7,MATCH(X$6,DataOB[#Headers],0)),"")</f>
        <v/>
      </c>
      <c r="Y870" s="67" t="str">
        <f>IF($B870&lt;&gt;"",INDEX(DataOB[],FirstRow+ROW()-7,MATCH(Y$6,DataOB[#Headers],0)),"")</f>
        <v/>
      </c>
      <c r="Z870" s="67" t="str">
        <f>IF($B870&lt;&gt;"",INDEX(DataOB[],FirstRow+ROW()-7,MATCH(Z$6,DataOB[#Headers],0)),"")</f>
        <v/>
      </c>
      <c r="AA870" s="67" t="str">
        <f>IF($B870&lt;&gt;"",INDEX(DataOB[],FirstRow+ROW()-7,MATCH(AA$6,DataOB[#Headers],0)),"")</f>
        <v/>
      </c>
      <c r="AB870" s="67" t="str">
        <f>IF($B870&lt;&gt;"",INDEX(DataOB[],FirstRow+ROW()-7,MATCH(AB$6,DataOB[#Headers],0)),"")</f>
        <v/>
      </c>
      <c r="AC870" s="67" t="str">
        <f>IF($B870&lt;&gt;"",INDEX(DataOB[],FirstRow+ROW()-7,MATCH(AC$6,DataOB[#Headers],0)),"")</f>
        <v/>
      </c>
      <c r="AD870" s="67" t="str">
        <f>IF($B870&lt;&gt;"",INDEX(DataOB[],FirstRow+ROW()-7,MATCH(AD$6,DataOB[#Headers],0)),"")</f>
        <v/>
      </c>
      <c r="AE870" s="67" t="str">
        <f>IF($B870&lt;&gt;"",INDEX(DataOB[],FirstRow+ROW()-7,MATCH(AE$6,DataOB[#Headers],0)),"")</f>
        <v/>
      </c>
      <c r="AF870" s="26">
        <f t="shared" si="131"/>
        <v>0</v>
      </c>
      <c r="AG870" s="31">
        <f>SUM($T870:T870)</f>
        <v>0</v>
      </c>
      <c r="AH870" s="31">
        <f>SUM($T870:U870)</f>
        <v>0</v>
      </c>
      <c r="AI870" s="31">
        <f>SUM($T870:V870)</f>
        <v>0</v>
      </c>
      <c r="AJ870" s="31">
        <f>SUM($T870:W870)</f>
        <v>0</v>
      </c>
      <c r="AK870" s="31">
        <f>SUM($T870:X870)</f>
        <v>0</v>
      </c>
      <c r="AL870" s="31">
        <f>SUM($T870:Y870)</f>
        <v>0</v>
      </c>
      <c r="AM870" s="31">
        <f>SUM($T870:Z870)</f>
        <v>0</v>
      </c>
      <c r="AN870" s="31">
        <f>SUM($T870:AA870)</f>
        <v>0</v>
      </c>
      <c r="AO870" s="31">
        <f>SUM($T870:AB870)</f>
        <v>0</v>
      </c>
      <c r="AP870" s="31">
        <f>SUM($T870:AC870)</f>
        <v>0</v>
      </c>
      <c r="AQ870" s="31">
        <f>SUM($T870:AD870)</f>
        <v>0</v>
      </c>
      <c r="AR870" s="31">
        <f>SUM($T870:AE870)</f>
        <v>0</v>
      </c>
      <c r="AS870" s="27">
        <f t="shared" si="132"/>
        <v>0</v>
      </c>
    </row>
    <row r="871" spans="2:45">
      <c r="B871" s="102" t="str">
        <f>IF(ROW()-6&gt;NumCostCenter,"",IF(CostCenter&lt;&gt;"ALL",CostCenter,DATA_LF2!B869))</f>
        <v/>
      </c>
      <c r="C871" s="153" t="str">
        <f>IF($B871&lt;&gt;"",INDEX(DataOB[],FirstRow+ROW()-7,2),"")</f>
        <v/>
      </c>
      <c r="D871" s="66" t="str">
        <f>IF($B871&lt;&gt;"",INDEX(DataOB[],FirstRow+ROW()-7,3),"")</f>
        <v/>
      </c>
      <c r="E871" s="103" t="str">
        <f>IF($B871&lt;&gt;"",INDEX(DataOB[],FirstRow+ROW()-7,6),"")</f>
        <v/>
      </c>
      <c r="F871" s="103" t="str">
        <f>IF($B871&lt;&gt;"",INDEX(DataOB[],FirstRow+ROW()-7,5),"")</f>
        <v/>
      </c>
      <c r="G871" s="58">
        <f>IF($B871&lt;&gt;"",SUMIFS(DataAct_tbl[AMOUNT],DataAct_tbl[BG CODE],Detail!$D871,DataAct_tbl[MONTH],LEFT(MonthName,3),DataAct_tbl[Dept code],$B871),0)</f>
        <v>0</v>
      </c>
      <c r="H871" s="31" t="str">
        <f t="shared" si="124"/>
        <v/>
      </c>
      <c r="I871" s="28" t="str">
        <f t="shared" si="125"/>
        <v/>
      </c>
      <c r="J871" s="32" t="str">
        <f t="shared" si="126"/>
        <v/>
      </c>
      <c r="K871" s="86"/>
      <c r="L871" s="62">
        <f>IF($B871&lt;&gt;"",SUMIFS(DataAct_tbl[AMOUNT],DataAct_tbl[BG CODE],Detail!$D871,DataAct_tbl[Check Range],"=true",DataAct_tbl[Dept code],$B871),0)</f>
        <v>0</v>
      </c>
      <c r="M871" s="63">
        <f>INDEX($AG$7:$AR$1005,ROW()-6,MATCH(MTD,$AG$6:$AR$6,0))</f>
        <v>0</v>
      </c>
      <c r="N871" s="34">
        <f t="shared" si="127"/>
        <v>0</v>
      </c>
      <c r="O871" s="64" t="str">
        <f t="shared" si="128"/>
        <v xml:space="preserve"> </v>
      </c>
      <c r="Q871" s="97">
        <f t="shared" si="129"/>
        <v>0</v>
      </c>
      <c r="R871" s="96">
        <f t="shared" si="130"/>
        <v>0</v>
      </c>
      <c r="T871" s="67" t="str">
        <f>IF($B871&lt;&gt;"",INDEX(DataOB[],FirstRow+ROW()-7,MATCH(T$6,DataOB[#Headers],0)),"")</f>
        <v/>
      </c>
      <c r="U871" s="67" t="str">
        <f>IF($B871&lt;&gt;"",INDEX(DataOB[],FirstRow+ROW()-7,MATCH(U$6,DataOB[#Headers],0)),"")</f>
        <v/>
      </c>
      <c r="V871" s="67" t="str">
        <f>IF($B871&lt;&gt;"",INDEX(DataOB[],FirstRow+ROW()-7,MATCH(V$6,DataOB[#Headers],0)),"")</f>
        <v/>
      </c>
      <c r="W871" s="67" t="str">
        <f>IF($B871&lt;&gt;"",INDEX(DataOB[],FirstRow+ROW()-7,MATCH(W$6,DataOB[#Headers],0)),"")</f>
        <v/>
      </c>
      <c r="X871" s="67" t="str">
        <f>IF($B871&lt;&gt;"",INDEX(DataOB[],FirstRow+ROW()-7,MATCH(X$6,DataOB[#Headers],0)),"")</f>
        <v/>
      </c>
      <c r="Y871" s="67" t="str">
        <f>IF($B871&lt;&gt;"",INDEX(DataOB[],FirstRow+ROW()-7,MATCH(Y$6,DataOB[#Headers],0)),"")</f>
        <v/>
      </c>
      <c r="Z871" s="67" t="str">
        <f>IF($B871&lt;&gt;"",INDEX(DataOB[],FirstRow+ROW()-7,MATCH(Z$6,DataOB[#Headers],0)),"")</f>
        <v/>
      </c>
      <c r="AA871" s="67" t="str">
        <f>IF($B871&lt;&gt;"",INDEX(DataOB[],FirstRow+ROW()-7,MATCH(AA$6,DataOB[#Headers],0)),"")</f>
        <v/>
      </c>
      <c r="AB871" s="67" t="str">
        <f>IF($B871&lt;&gt;"",INDEX(DataOB[],FirstRow+ROW()-7,MATCH(AB$6,DataOB[#Headers],0)),"")</f>
        <v/>
      </c>
      <c r="AC871" s="67" t="str">
        <f>IF($B871&lt;&gt;"",INDEX(DataOB[],FirstRow+ROW()-7,MATCH(AC$6,DataOB[#Headers],0)),"")</f>
        <v/>
      </c>
      <c r="AD871" s="67" t="str">
        <f>IF($B871&lt;&gt;"",INDEX(DataOB[],FirstRow+ROW()-7,MATCH(AD$6,DataOB[#Headers],0)),"")</f>
        <v/>
      </c>
      <c r="AE871" s="67" t="str">
        <f>IF($B871&lt;&gt;"",INDEX(DataOB[],FirstRow+ROW()-7,MATCH(AE$6,DataOB[#Headers],0)),"")</f>
        <v/>
      </c>
      <c r="AF871" s="26">
        <f t="shared" si="131"/>
        <v>0</v>
      </c>
      <c r="AG871" s="31">
        <f>SUM($T871:T871)</f>
        <v>0</v>
      </c>
      <c r="AH871" s="31">
        <f>SUM($T871:U871)</f>
        <v>0</v>
      </c>
      <c r="AI871" s="31">
        <f>SUM($T871:V871)</f>
        <v>0</v>
      </c>
      <c r="AJ871" s="31">
        <f>SUM($T871:W871)</f>
        <v>0</v>
      </c>
      <c r="AK871" s="31">
        <f>SUM($T871:X871)</f>
        <v>0</v>
      </c>
      <c r="AL871" s="31">
        <f>SUM($T871:Y871)</f>
        <v>0</v>
      </c>
      <c r="AM871" s="31">
        <f>SUM($T871:Z871)</f>
        <v>0</v>
      </c>
      <c r="AN871" s="31">
        <f>SUM($T871:AA871)</f>
        <v>0</v>
      </c>
      <c r="AO871" s="31">
        <f>SUM($T871:AB871)</f>
        <v>0</v>
      </c>
      <c r="AP871" s="31">
        <f>SUM($T871:AC871)</f>
        <v>0</v>
      </c>
      <c r="AQ871" s="31">
        <f>SUM($T871:AD871)</f>
        <v>0</v>
      </c>
      <c r="AR871" s="31">
        <f>SUM($T871:AE871)</f>
        <v>0</v>
      </c>
      <c r="AS871" s="27">
        <f t="shared" si="132"/>
        <v>0</v>
      </c>
    </row>
    <row r="872" spans="2:45">
      <c r="B872" s="102" t="str">
        <f>IF(ROW()-6&gt;NumCostCenter,"",IF(CostCenter&lt;&gt;"ALL",CostCenter,DATA_LF2!B870))</f>
        <v/>
      </c>
      <c r="C872" s="153" t="str">
        <f>IF($B872&lt;&gt;"",INDEX(DataOB[],FirstRow+ROW()-7,2),"")</f>
        <v/>
      </c>
      <c r="D872" s="66" t="str">
        <f>IF($B872&lt;&gt;"",INDEX(DataOB[],FirstRow+ROW()-7,3),"")</f>
        <v/>
      </c>
      <c r="E872" s="103" t="str">
        <f>IF($B872&lt;&gt;"",INDEX(DataOB[],FirstRow+ROW()-7,6),"")</f>
        <v/>
      </c>
      <c r="F872" s="103" t="str">
        <f>IF($B872&lt;&gt;"",INDEX(DataOB[],FirstRow+ROW()-7,5),"")</f>
        <v/>
      </c>
      <c r="G872" s="58">
        <f>IF($B872&lt;&gt;"",SUMIFS(DataAct_tbl[AMOUNT],DataAct_tbl[BG CODE],Detail!$D872,DataAct_tbl[MONTH],LEFT(MonthName,3),DataAct_tbl[Dept code],$B872),0)</f>
        <v>0</v>
      </c>
      <c r="H872" s="31" t="str">
        <f t="shared" si="124"/>
        <v/>
      </c>
      <c r="I872" s="28" t="str">
        <f t="shared" si="125"/>
        <v/>
      </c>
      <c r="J872" s="32" t="str">
        <f t="shared" si="126"/>
        <v/>
      </c>
      <c r="K872" s="86"/>
      <c r="L872" s="62">
        <f>IF($B872&lt;&gt;"",SUMIFS(DataAct_tbl[AMOUNT],DataAct_tbl[BG CODE],Detail!$D872,DataAct_tbl[Check Range],"=true",DataAct_tbl[Dept code],$B872),0)</f>
        <v>0</v>
      </c>
      <c r="M872" s="63">
        <f>INDEX($AG$7:$AR$1005,ROW()-6,MATCH(MTD,$AG$6:$AR$6,0))</f>
        <v>0</v>
      </c>
      <c r="N872" s="34">
        <f t="shared" si="127"/>
        <v>0</v>
      </c>
      <c r="O872" s="64" t="str">
        <f t="shared" si="128"/>
        <v xml:space="preserve"> </v>
      </c>
      <c r="Q872" s="97">
        <f t="shared" si="129"/>
        <v>0</v>
      </c>
      <c r="R872" s="96">
        <f t="shared" si="130"/>
        <v>0</v>
      </c>
      <c r="T872" s="67" t="str">
        <f>IF($B872&lt;&gt;"",INDEX(DataOB[],FirstRow+ROW()-7,MATCH(T$6,DataOB[#Headers],0)),"")</f>
        <v/>
      </c>
      <c r="U872" s="67" t="str">
        <f>IF($B872&lt;&gt;"",INDEX(DataOB[],FirstRow+ROW()-7,MATCH(U$6,DataOB[#Headers],0)),"")</f>
        <v/>
      </c>
      <c r="V872" s="67" t="str">
        <f>IF($B872&lt;&gt;"",INDEX(DataOB[],FirstRow+ROW()-7,MATCH(V$6,DataOB[#Headers],0)),"")</f>
        <v/>
      </c>
      <c r="W872" s="67" t="str">
        <f>IF($B872&lt;&gt;"",INDEX(DataOB[],FirstRow+ROW()-7,MATCH(W$6,DataOB[#Headers],0)),"")</f>
        <v/>
      </c>
      <c r="X872" s="67" t="str">
        <f>IF($B872&lt;&gt;"",INDEX(DataOB[],FirstRow+ROW()-7,MATCH(X$6,DataOB[#Headers],0)),"")</f>
        <v/>
      </c>
      <c r="Y872" s="67" t="str">
        <f>IF($B872&lt;&gt;"",INDEX(DataOB[],FirstRow+ROW()-7,MATCH(Y$6,DataOB[#Headers],0)),"")</f>
        <v/>
      </c>
      <c r="Z872" s="67" t="str">
        <f>IF($B872&lt;&gt;"",INDEX(DataOB[],FirstRow+ROW()-7,MATCH(Z$6,DataOB[#Headers],0)),"")</f>
        <v/>
      </c>
      <c r="AA872" s="67" t="str">
        <f>IF($B872&lt;&gt;"",INDEX(DataOB[],FirstRow+ROW()-7,MATCH(AA$6,DataOB[#Headers],0)),"")</f>
        <v/>
      </c>
      <c r="AB872" s="67" t="str">
        <f>IF($B872&lt;&gt;"",INDEX(DataOB[],FirstRow+ROW()-7,MATCH(AB$6,DataOB[#Headers],0)),"")</f>
        <v/>
      </c>
      <c r="AC872" s="67" t="str">
        <f>IF($B872&lt;&gt;"",INDEX(DataOB[],FirstRow+ROW()-7,MATCH(AC$6,DataOB[#Headers],0)),"")</f>
        <v/>
      </c>
      <c r="AD872" s="67" t="str">
        <f>IF($B872&lt;&gt;"",INDEX(DataOB[],FirstRow+ROW()-7,MATCH(AD$6,DataOB[#Headers],0)),"")</f>
        <v/>
      </c>
      <c r="AE872" s="67" t="str">
        <f>IF($B872&lt;&gt;"",INDEX(DataOB[],FirstRow+ROW()-7,MATCH(AE$6,DataOB[#Headers],0)),"")</f>
        <v/>
      </c>
      <c r="AF872" s="26">
        <f t="shared" si="131"/>
        <v>0</v>
      </c>
      <c r="AG872" s="31">
        <f>SUM($T872:T872)</f>
        <v>0</v>
      </c>
      <c r="AH872" s="31">
        <f>SUM($T872:U872)</f>
        <v>0</v>
      </c>
      <c r="AI872" s="31">
        <f>SUM($T872:V872)</f>
        <v>0</v>
      </c>
      <c r="AJ872" s="31">
        <f>SUM($T872:W872)</f>
        <v>0</v>
      </c>
      <c r="AK872" s="31">
        <f>SUM($T872:X872)</f>
        <v>0</v>
      </c>
      <c r="AL872" s="31">
        <f>SUM($T872:Y872)</f>
        <v>0</v>
      </c>
      <c r="AM872" s="31">
        <f>SUM($T872:Z872)</f>
        <v>0</v>
      </c>
      <c r="AN872" s="31">
        <f>SUM($T872:AA872)</f>
        <v>0</v>
      </c>
      <c r="AO872" s="31">
        <f>SUM($T872:AB872)</f>
        <v>0</v>
      </c>
      <c r="AP872" s="31">
        <f>SUM($T872:AC872)</f>
        <v>0</v>
      </c>
      <c r="AQ872" s="31">
        <f>SUM($T872:AD872)</f>
        <v>0</v>
      </c>
      <c r="AR872" s="31">
        <f>SUM($T872:AE872)</f>
        <v>0</v>
      </c>
      <c r="AS872" s="27">
        <f t="shared" si="132"/>
        <v>0</v>
      </c>
    </row>
    <row r="873" spans="2:45">
      <c r="B873" s="102" t="str">
        <f>IF(ROW()-6&gt;NumCostCenter,"",IF(CostCenter&lt;&gt;"ALL",CostCenter,DATA_LF2!B871))</f>
        <v/>
      </c>
      <c r="C873" s="153" t="str">
        <f>IF($B873&lt;&gt;"",INDEX(DataOB[],FirstRow+ROW()-7,2),"")</f>
        <v/>
      </c>
      <c r="D873" s="66" t="str">
        <f>IF($B873&lt;&gt;"",INDEX(DataOB[],FirstRow+ROW()-7,3),"")</f>
        <v/>
      </c>
      <c r="E873" s="103" t="str">
        <f>IF($B873&lt;&gt;"",INDEX(DataOB[],FirstRow+ROW()-7,6),"")</f>
        <v/>
      </c>
      <c r="F873" s="103" t="str">
        <f>IF($B873&lt;&gt;"",INDEX(DataOB[],FirstRow+ROW()-7,5),"")</f>
        <v/>
      </c>
      <c r="G873" s="58">
        <f>IF($B873&lt;&gt;"",SUMIFS(DataAct_tbl[AMOUNT],DataAct_tbl[BG CODE],Detail!$D873,DataAct_tbl[MONTH],LEFT(MonthName,3),DataAct_tbl[Dept code],$B873),0)</f>
        <v>0</v>
      </c>
      <c r="H873" s="31" t="str">
        <f t="shared" si="124"/>
        <v/>
      </c>
      <c r="I873" s="28" t="str">
        <f t="shared" si="125"/>
        <v/>
      </c>
      <c r="J873" s="32" t="str">
        <f t="shared" si="126"/>
        <v/>
      </c>
      <c r="K873" s="86"/>
      <c r="L873" s="62">
        <f>IF($B873&lt;&gt;"",SUMIFS(DataAct_tbl[AMOUNT],DataAct_tbl[BG CODE],Detail!$D873,DataAct_tbl[Check Range],"=true",DataAct_tbl[Dept code],$B873),0)</f>
        <v>0</v>
      </c>
      <c r="M873" s="63">
        <f>INDEX($AG$7:$AR$1005,ROW()-6,MATCH(MTD,$AG$6:$AR$6,0))</f>
        <v>0</v>
      </c>
      <c r="N873" s="34">
        <f t="shared" si="127"/>
        <v>0</v>
      </c>
      <c r="O873" s="64" t="str">
        <f t="shared" si="128"/>
        <v xml:space="preserve"> </v>
      </c>
      <c r="Q873" s="97">
        <f t="shared" si="129"/>
        <v>0</v>
      </c>
      <c r="R873" s="96">
        <f t="shared" si="130"/>
        <v>0</v>
      </c>
      <c r="T873" s="67" t="str">
        <f>IF($B873&lt;&gt;"",INDEX(DataOB[],FirstRow+ROW()-7,MATCH(T$6,DataOB[#Headers],0)),"")</f>
        <v/>
      </c>
      <c r="U873" s="67" t="str">
        <f>IF($B873&lt;&gt;"",INDEX(DataOB[],FirstRow+ROW()-7,MATCH(U$6,DataOB[#Headers],0)),"")</f>
        <v/>
      </c>
      <c r="V873" s="67" t="str">
        <f>IF($B873&lt;&gt;"",INDEX(DataOB[],FirstRow+ROW()-7,MATCH(V$6,DataOB[#Headers],0)),"")</f>
        <v/>
      </c>
      <c r="W873" s="67" t="str">
        <f>IF($B873&lt;&gt;"",INDEX(DataOB[],FirstRow+ROW()-7,MATCH(W$6,DataOB[#Headers],0)),"")</f>
        <v/>
      </c>
      <c r="X873" s="67" t="str">
        <f>IF($B873&lt;&gt;"",INDEX(DataOB[],FirstRow+ROW()-7,MATCH(X$6,DataOB[#Headers],0)),"")</f>
        <v/>
      </c>
      <c r="Y873" s="67" t="str">
        <f>IF($B873&lt;&gt;"",INDEX(DataOB[],FirstRow+ROW()-7,MATCH(Y$6,DataOB[#Headers],0)),"")</f>
        <v/>
      </c>
      <c r="Z873" s="67" t="str">
        <f>IF($B873&lt;&gt;"",INDEX(DataOB[],FirstRow+ROW()-7,MATCH(Z$6,DataOB[#Headers],0)),"")</f>
        <v/>
      </c>
      <c r="AA873" s="67" t="str">
        <f>IF($B873&lt;&gt;"",INDEX(DataOB[],FirstRow+ROW()-7,MATCH(AA$6,DataOB[#Headers],0)),"")</f>
        <v/>
      </c>
      <c r="AB873" s="67" t="str">
        <f>IF($B873&lt;&gt;"",INDEX(DataOB[],FirstRow+ROW()-7,MATCH(AB$6,DataOB[#Headers],0)),"")</f>
        <v/>
      </c>
      <c r="AC873" s="67" t="str">
        <f>IF($B873&lt;&gt;"",INDEX(DataOB[],FirstRow+ROW()-7,MATCH(AC$6,DataOB[#Headers],0)),"")</f>
        <v/>
      </c>
      <c r="AD873" s="67" t="str">
        <f>IF($B873&lt;&gt;"",INDEX(DataOB[],FirstRow+ROW()-7,MATCH(AD$6,DataOB[#Headers],0)),"")</f>
        <v/>
      </c>
      <c r="AE873" s="67" t="str">
        <f>IF($B873&lt;&gt;"",INDEX(DataOB[],FirstRow+ROW()-7,MATCH(AE$6,DataOB[#Headers],0)),"")</f>
        <v/>
      </c>
      <c r="AF873" s="26">
        <f t="shared" si="131"/>
        <v>0</v>
      </c>
      <c r="AG873" s="31">
        <f>SUM($T873:T873)</f>
        <v>0</v>
      </c>
      <c r="AH873" s="31">
        <f>SUM($T873:U873)</f>
        <v>0</v>
      </c>
      <c r="AI873" s="31">
        <f>SUM($T873:V873)</f>
        <v>0</v>
      </c>
      <c r="AJ873" s="31">
        <f>SUM($T873:W873)</f>
        <v>0</v>
      </c>
      <c r="AK873" s="31">
        <f>SUM($T873:X873)</f>
        <v>0</v>
      </c>
      <c r="AL873" s="31">
        <f>SUM($T873:Y873)</f>
        <v>0</v>
      </c>
      <c r="AM873" s="31">
        <f>SUM($T873:Z873)</f>
        <v>0</v>
      </c>
      <c r="AN873" s="31">
        <f>SUM($T873:AA873)</f>
        <v>0</v>
      </c>
      <c r="AO873" s="31">
        <f>SUM($T873:AB873)</f>
        <v>0</v>
      </c>
      <c r="AP873" s="31">
        <f>SUM($T873:AC873)</f>
        <v>0</v>
      </c>
      <c r="AQ873" s="31">
        <f>SUM($T873:AD873)</f>
        <v>0</v>
      </c>
      <c r="AR873" s="31">
        <f>SUM($T873:AE873)</f>
        <v>0</v>
      </c>
      <c r="AS873" s="27">
        <f t="shared" si="132"/>
        <v>0</v>
      </c>
    </row>
    <row r="874" spans="2:45">
      <c r="B874" s="102" t="str">
        <f>IF(ROW()-6&gt;NumCostCenter,"",IF(CostCenter&lt;&gt;"ALL",CostCenter,DATA_LF2!B872))</f>
        <v/>
      </c>
      <c r="C874" s="153" t="str">
        <f>IF($B874&lt;&gt;"",INDEX(DataOB[],FirstRow+ROW()-7,2),"")</f>
        <v/>
      </c>
      <c r="D874" s="66" t="str">
        <f>IF($B874&lt;&gt;"",INDEX(DataOB[],FirstRow+ROW()-7,3),"")</f>
        <v/>
      </c>
      <c r="E874" s="103" t="str">
        <f>IF($B874&lt;&gt;"",INDEX(DataOB[],FirstRow+ROW()-7,6),"")</f>
        <v/>
      </c>
      <c r="F874" s="103" t="str">
        <f>IF($B874&lt;&gt;"",INDEX(DataOB[],FirstRow+ROW()-7,5),"")</f>
        <v/>
      </c>
      <c r="G874" s="58">
        <f>IF($B874&lt;&gt;"",SUMIFS(DataAct_tbl[AMOUNT],DataAct_tbl[BG CODE],Detail!$D874,DataAct_tbl[MONTH],LEFT(MonthName,3),DataAct_tbl[Dept code],$B874),0)</f>
        <v>0</v>
      </c>
      <c r="H874" s="31" t="str">
        <f t="shared" si="124"/>
        <v/>
      </c>
      <c r="I874" s="28" t="str">
        <f t="shared" si="125"/>
        <v/>
      </c>
      <c r="J874" s="32" t="str">
        <f t="shared" si="126"/>
        <v/>
      </c>
      <c r="K874" s="86"/>
      <c r="L874" s="62">
        <f>IF($B874&lt;&gt;"",SUMIFS(DataAct_tbl[AMOUNT],DataAct_tbl[BG CODE],Detail!$D874,DataAct_tbl[Check Range],"=true",DataAct_tbl[Dept code],$B874),0)</f>
        <v>0</v>
      </c>
      <c r="M874" s="63">
        <f>INDEX($AG$7:$AR$1005,ROW()-6,MATCH(MTD,$AG$6:$AR$6,0))</f>
        <v>0</v>
      </c>
      <c r="N874" s="34">
        <f t="shared" si="127"/>
        <v>0</v>
      </c>
      <c r="O874" s="64" t="str">
        <f t="shared" si="128"/>
        <v xml:space="preserve"> </v>
      </c>
      <c r="Q874" s="97">
        <f t="shared" si="129"/>
        <v>0</v>
      </c>
      <c r="R874" s="96">
        <f t="shared" si="130"/>
        <v>0</v>
      </c>
      <c r="T874" s="67" t="str">
        <f>IF($B874&lt;&gt;"",INDEX(DataOB[],FirstRow+ROW()-7,MATCH(T$6,DataOB[#Headers],0)),"")</f>
        <v/>
      </c>
      <c r="U874" s="67" t="str">
        <f>IF($B874&lt;&gt;"",INDEX(DataOB[],FirstRow+ROW()-7,MATCH(U$6,DataOB[#Headers],0)),"")</f>
        <v/>
      </c>
      <c r="V874" s="67" t="str">
        <f>IF($B874&lt;&gt;"",INDEX(DataOB[],FirstRow+ROW()-7,MATCH(V$6,DataOB[#Headers],0)),"")</f>
        <v/>
      </c>
      <c r="W874" s="67" t="str">
        <f>IF($B874&lt;&gt;"",INDEX(DataOB[],FirstRow+ROW()-7,MATCH(W$6,DataOB[#Headers],0)),"")</f>
        <v/>
      </c>
      <c r="X874" s="67" t="str">
        <f>IF($B874&lt;&gt;"",INDEX(DataOB[],FirstRow+ROW()-7,MATCH(X$6,DataOB[#Headers],0)),"")</f>
        <v/>
      </c>
      <c r="Y874" s="67" t="str">
        <f>IF($B874&lt;&gt;"",INDEX(DataOB[],FirstRow+ROW()-7,MATCH(Y$6,DataOB[#Headers],0)),"")</f>
        <v/>
      </c>
      <c r="Z874" s="67" t="str">
        <f>IF($B874&lt;&gt;"",INDEX(DataOB[],FirstRow+ROW()-7,MATCH(Z$6,DataOB[#Headers],0)),"")</f>
        <v/>
      </c>
      <c r="AA874" s="67" t="str">
        <f>IF($B874&lt;&gt;"",INDEX(DataOB[],FirstRow+ROW()-7,MATCH(AA$6,DataOB[#Headers],0)),"")</f>
        <v/>
      </c>
      <c r="AB874" s="67" t="str">
        <f>IF($B874&lt;&gt;"",INDEX(DataOB[],FirstRow+ROW()-7,MATCH(AB$6,DataOB[#Headers],0)),"")</f>
        <v/>
      </c>
      <c r="AC874" s="67" t="str">
        <f>IF($B874&lt;&gt;"",INDEX(DataOB[],FirstRow+ROW()-7,MATCH(AC$6,DataOB[#Headers],0)),"")</f>
        <v/>
      </c>
      <c r="AD874" s="67" t="str">
        <f>IF($B874&lt;&gt;"",INDEX(DataOB[],FirstRow+ROW()-7,MATCH(AD$6,DataOB[#Headers],0)),"")</f>
        <v/>
      </c>
      <c r="AE874" s="67" t="str">
        <f>IF($B874&lt;&gt;"",INDEX(DataOB[],FirstRow+ROW()-7,MATCH(AE$6,DataOB[#Headers],0)),"")</f>
        <v/>
      </c>
      <c r="AF874" s="26">
        <f t="shared" si="131"/>
        <v>0</v>
      </c>
      <c r="AG874" s="31">
        <f>SUM($T874:T874)</f>
        <v>0</v>
      </c>
      <c r="AH874" s="31">
        <f>SUM($T874:U874)</f>
        <v>0</v>
      </c>
      <c r="AI874" s="31">
        <f>SUM($T874:V874)</f>
        <v>0</v>
      </c>
      <c r="AJ874" s="31">
        <f>SUM($T874:W874)</f>
        <v>0</v>
      </c>
      <c r="AK874" s="31">
        <f>SUM($T874:X874)</f>
        <v>0</v>
      </c>
      <c r="AL874" s="31">
        <f>SUM($T874:Y874)</f>
        <v>0</v>
      </c>
      <c r="AM874" s="31">
        <f>SUM($T874:Z874)</f>
        <v>0</v>
      </c>
      <c r="AN874" s="31">
        <f>SUM($T874:AA874)</f>
        <v>0</v>
      </c>
      <c r="AO874" s="31">
        <f>SUM($T874:AB874)</f>
        <v>0</v>
      </c>
      <c r="AP874" s="31">
        <f>SUM($T874:AC874)</f>
        <v>0</v>
      </c>
      <c r="AQ874" s="31">
        <f>SUM($T874:AD874)</f>
        <v>0</v>
      </c>
      <c r="AR874" s="31">
        <f>SUM($T874:AE874)</f>
        <v>0</v>
      </c>
      <c r="AS874" s="27">
        <f t="shared" si="132"/>
        <v>0</v>
      </c>
    </row>
    <row r="875" spans="2:45">
      <c r="B875" s="102" t="str">
        <f>IF(ROW()-6&gt;NumCostCenter,"",IF(CostCenter&lt;&gt;"ALL",CostCenter,DATA_LF2!B873))</f>
        <v/>
      </c>
      <c r="C875" s="153" t="str">
        <f>IF($B875&lt;&gt;"",INDEX(DataOB[],FirstRow+ROW()-7,2),"")</f>
        <v/>
      </c>
      <c r="D875" s="66" t="str">
        <f>IF($B875&lt;&gt;"",INDEX(DataOB[],FirstRow+ROW()-7,3),"")</f>
        <v/>
      </c>
      <c r="E875" s="103" t="str">
        <f>IF($B875&lt;&gt;"",INDEX(DataOB[],FirstRow+ROW()-7,6),"")</f>
        <v/>
      </c>
      <c r="F875" s="103" t="str">
        <f>IF($B875&lt;&gt;"",INDEX(DataOB[],FirstRow+ROW()-7,5),"")</f>
        <v/>
      </c>
      <c r="G875" s="58">
        <f>IF($B875&lt;&gt;"",SUMIFS(DataAct_tbl[AMOUNT],DataAct_tbl[BG CODE],Detail!$D875,DataAct_tbl[MONTH],LEFT(MonthName,3),DataAct_tbl[Dept code],$B875),0)</f>
        <v>0</v>
      </c>
      <c r="H875" s="31" t="str">
        <f t="shared" si="124"/>
        <v/>
      </c>
      <c r="I875" s="28" t="str">
        <f t="shared" si="125"/>
        <v/>
      </c>
      <c r="J875" s="32" t="str">
        <f t="shared" si="126"/>
        <v/>
      </c>
      <c r="K875" s="86"/>
      <c r="L875" s="62">
        <f>IF($B875&lt;&gt;"",SUMIFS(DataAct_tbl[AMOUNT],DataAct_tbl[BG CODE],Detail!$D875,DataAct_tbl[Check Range],"=true",DataAct_tbl[Dept code],$B875),0)</f>
        <v>0</v>
      </c>
      <c r="M875" s="63">
        <f>INDEX($AG$7:$AR$1005,ROW()-6,MATCH(MTD,$AG$6:$AR$6,0))</f>
        <v>0</v>
      </c>
      <c r="N875" s="34">
        <f t="shared" si="127"/>
        <v>0</v>
      </c>
      <c r="O875" s="64" t="str">
        <f t="shared" si="128"/>
        <v xml:space="preserve"> </v>
      </c>
      <c r="Q875" s="97">
        <f t="shared" si="129"/>
        <v>0</v>
      </c>
      <c r="R875" s="96">
        <f t="shared" si="130"/>
        <v>0</v>
      </c>
      <c r="T875" s="67" t="str">
        <f>IF($B875&lt;&gt;"",INDEX(DataOB[],FirstRow+ROW()-7,MATCH(T$6,DataOB[#Headers],0)),"")</f>
        <v/>
      </c>
      <c r="U875" s="67" t="str">
        <f>IF($B875&lt;&gt;"",INDEX(DataOB[],FirstRow+ROW()-7,MATCH(U$6,DataOB[#Headers],0)),"")</f>
        <v/>
      </c>
      <c r="V875" s="67" t="str">
        <f>IF($B875&lt;&gt;"",INDEX(DataOB[],FirstRow+ROW()-7,MATCH(V$6,DataOB[#Headers],0)),"")</f>
        <v/>
      </c>
      <c r="W875" s="67" t="str">
        <f>IF($B875&lt;&gt;"",INDEX(DataOB[],FirstRow+ROW()-7,MATCH(W$6,DataOB[#Headers],0)),"")</f>
        <v/>
      </c>
      <c r="X875" s="67" t="str">
        <f>IF($B875&lt;&gt;"",INDEX(DataOB[],FirstRow+ROW()-7,MATCH(X$6,DataOB[#Headers],0)),"")</f>
        <v/>
      </c>
      <c r="Y875" s="67" t="str">
        <f>IF($B875&lt;&gt;"",INDEX(DataOB[],FirstRow+ROW()-7,MATCH(Y$6,DataOB[#Headers],0)),"")</f>
        <v/>
      </c>
      <c r="Z875" s="67" t="str">
        <f>IF($B875&lt;&gt;"",INDEX(DataOB[],FirstRow+ROW()-7,MATCH(Z$6,DataOB[#Headers],0)),"")</f>
        <v/>
      </c>
      <c r="AA875" s="67" t="str">
        <f>IF($B875&lt;&gt;"",INDEX(DataOB[],FirstRow+ROW()-7,MATCH(AA$6,DataOB[#Headers],0)),"")</f>
        <v/>
      </c>
      <c r="AB875" s="67" t="str">
        <f>IF($B875&lt;&gt;"",INDEX(DataOB[],FirstRow+ROW()-7,MATCH(AB$6,DataOB[#Headers],0)),"")</f>
        <v/>
      </c>
      <c r="AC875" s="67" t="str">
        <f>IF($B875&lt;&gt;"",INDEX(DataOB[],FirstRow+ROW()-7,MATCH(AC$6,DataOB[#Headers],0)),"")</f>
        <v/>
      </c>
      <c r="AD875" s="67" t="str">
        <f>IF($B875&lt;&gt;"",INDEX(DataOB[],FirstRow+ROW()-7,MATCH(AD$6,DataOB[#Headers],0)),"")</f>
        <v/>
      </c>
      <c r="AE875" s="67" t="str">
        <f>IF($B875&lt;&gt;"",INDEX(DataOB[],FirstRow+ROW()-7,MATCH(AE$6,DataOB[#Headers],0)),"")</f>
        <v/>
      </c>
      <c r="AF875" s="26">
        <f t="shared" si="131"/>
        <v>0</v>
      </c>
      <c r="AG875" s="31">
        <f>SUM($T875:T875)</f>
        <v>0</v>
      </c>
      <c r="AH875" s="31">
        <f>SUM($T875:U875)</f>
        <v>0</v>
      </c>
      <c r="AI875" s="31">
        <f>SUM($T875:V875)</f>
        <v>0</v>
      </c>
      <c r="AJ875" s="31">
        <f>SUM($T875:W875)</f>
        <v>0</v>
      </c>
      <c r="AK875" s="31">
        <f>SUM($T875:X875)</f>
        <v>0</v>
      </c>
      <c r="AL875" s="31">
        <f>SUM($T875:Y875)</f>
        <v>0</v>
      </c>
      <c r="AM875" s="31">
        <f>SUM($T875:Z875)</f>
        <v>0</v>
      </c>
      <c r="AN875" s="31">
        <f>SUM($T875:AA875)</f>
        <v>0</v>
      </c>
      <c r="AO875" s="31">
        <f>SUM($T875:AB875)</f>
        <v>0</v>
      </c>
      <c r="AP875" s="31">
        <f>SUM($T875:AC875)</f>
        <v>0</v>
      </c>
      <c r="AQ875" s="31">
        <f>SUM($T875:AD875)</f>
        <v>0</v>
      </c>
      <c r="AR875" s="31">
        <f>SUM($T875:AE875)</f>
        <v>0</v>
      </c>
      <c r="AS875" s="27">
        <f t="shared" si="132"/>
        <v>0</v>
      </c>
    </row>
    <row r="876" spans="2:45">
      <c r="B876" s="102" t="str">
        <f>IF(ROW()-6&gt;NumCostCenter,"",IF(CostCenter&lt;&gt;"ALL",CostCenter,DATA_LF2!B874))</f>
        <v/>
      </c>
      <c r="C876" s="153" t="str">
        <f>IF($B876&lt;&gt;"",INDEX(DataOB[],FirstRow+ROW()-7,2),"")</f>
        <v/>
      </c>
      <c r="D876" s="66" t="str">
        <f>IF($B876&lt;&gt;"",INDEX(DataOB[],FirstRow+ROW()-7,3),"")</f>
        <v/>
      </c>
      <c r="E876" s="103" t="str">
        <f>IF($B876&lt;&gt;"",INDEX(DataOB[],FirstRow+ROW()-7,6),"")</f>
        <v/>
      </c>
      <c r="F876" s="103" t="str">
        <f>IF($B876&lt;&gt;"",INDEX(DataOB[],FirstRow+ROW()-7,5),"")</f>
        <v/>
      </c>
      <c r="G876" s="58">
        <f>IF($B876&lt;&gt;"",SUMIFS(DataAct_tbl[AMOUNT],DataAct_tbl[BG CODE],Detail!$D876,DataAct_tbl[MONTH],LEFT(MonthName,3),DataAct_tbl[Dept code],$B876),0)</f>
        <v>0</v>
      </c>
      <c r="H876" s="31" t="str">
        <f t="shared" si="124"/>
        <v/>
      </c>
      <c r="I876" s="28" t="str">
        <f t="shared" si="125"/>
        <v/>
      </c>
      <c r="J876" s="32" t="str">
        <f t="shared" si="126"/>
        <v/>
      </c>
      <c r="K876" s="86"/>
      <c r="L876" s="62">
        <f>IF($B876&lt;&gt;"",SUMIFS(DataAct_tbl[AMOUNT],DataAct_tbl[BG CODE],Detail!$D876,DataAct_tbl[Check Range],"=true",DataAct_tbl[Dept code],$B876),0)</f>
        <v>0</v>
      </c>
      <c r="M876" s="63">
        <f>INDEX($AG$7:$AR$1005,ROW()-6,MATCH(MTD,$AG$6:$AR$6,0))</f>
        <v>0</v>
      </c>
      <c r="N876" s="34">
        <f t="shared" si="127"/>
        <v>0</v>
      </c>
      <c r="O876" s="64" t="str">
        <f t="shared" si="128"/>
        <v xml:space="preserve"> </v>
      </c>
      <c r="Q876" s="97">
        <f t="shared" si="129"/>
        <v>0</v>
      </c>
      <c r="R876" s="96">
        <f t="shared" si="130"/>
        <v>0</v>
      </c>
      <c r="T876" s="67" t="str">
        <f>IF($B876&lt;&gt;"",INDEX(DataOB[],FirstRow+ROW()-7,MATCH(T$6,DataOB[#Headers],0)),"")</f>
        <v/>
      </c>
      <c r="U876" s="67" t="str">
        <f>IF($B876&lt;&gt;"",INDEX(DataOB[],FirstRow+ROW()-7,MATCH(U$6,DataOB[#Headers],0)),"")</f>
        <v/>
      </c>
      <c r="V876" s="67" t="str">
        <f>IF($B876&lt;&gt;"",INDEX(DataOB[],FirstRow+ROW()-7,MATCH(V$6,DataOB[#Headers],0)),"")</f>
        <v/>
      </c>
      <c r="W876" s="67" t="str">
        <f>IF($B876&lt;&gt;"",INDEX(DataOB[],FirstRow+ROW()-7,MATCH(W$6,DataOB[#Headers],0)),"")</f>
        <v/>
      </c>
      <c r="X876" s="67" t="str">
        <f>IF($B876&lt;&gt;"",INDEX(DataOB[],FirstRow+ROW()-7,MATCH(X$6,DataOB[#Headers],0)),"")</f>
        <v/>
      </c>
      <c r="Y876" s="67" t="str">
        <f>IF($B876&lt;&gt;"",INDEX(DataOB[],FirstRow+ROW()-7,MATCH(Y$6,DataOB[#Headers],0)),"")</f>
        <v/>
      </c>
      <c r="Z876" s="67" t="str">
        <f>IF($B876&lt;&gt;"",INDEX(DataOB[],FirstRow+ROW()-7,MATCH(Z$6,DataOB[#Headers],0)),"")</f>
        <v/>
      </c>
      <c r="AA876" s="67" t="str">
        <f>IF($B876&lt;&gt;"",INDEX(DataOB[],FirstRow+ROW()-7,MATCH(AA$6,DataOB[#Headers],0)),"")</f>
        <v/>
      </c>
      <c r="AB876" s="67" t="str">
        <f>IF($B876&lt;&gt;"",INDEX(DataOB[],FirstRow+ROW()-7,MATCH(AB$6,DataOB[#Headers],0)),"")</f>
        <v/>
      </c>
      <c r="AC876" s="67" t="str">
        <f>IF($B876&lt;&gt;"",INDEX(DataOB[],FirstRow+ROW()-7,MATCH(AC$6,DataOB[#Headers],0)),"")</f>
        <v/>
      </c>
      <c r="AD876" s="67" t="str">
        <f>IF($B876&lt;&gt;"",INDEX(DataOB[],FirstRow+ROW()-7,MATCH(AD$6,DataOB[#Headers],0)),"")</f>
        <v/>
      </c>
      <c r="AE876" s="67" t="str">
        <f>IF($B876&lt;&gt;"",INDEX(DataOB[],FirstRow+ROW()-7,MATCH(AE$6,DataOB[#Headers],0)),"")</f>
        <v/>
      </c>
      <c r="AF876" s="26">
        <f t="shared" si="131"/>
        <v>0</v>
      </c>
      <c r="AG876" s="31">
        <f>SUM($T876:T876)</f>
        <v>0</v>
      </c>
      <c r="AH876" s="31">
        <f>SUM($T876:U876)</f>
        <v>0</v>
      </c>
      <c r="AI876" s="31">
        <f>SUM($T876:V876)</f>
        <v>0</v>
      </c>
      <c r="AJ876" s="31">
        <f>SUM($T876:W876)</f>
        <v>0</v>
      </c>
      <c r="AK876" s="31">
        <f>SUM($T876:X876)</f>
        <v>0</v>
      </c>
      <c r="AL876" s="31">
        <f>SUM($T876:Y876)</f>
        <v>0</v>
      </c>
      <c r="AM876" s="31">
        <f>SUM($T876:Z876)</f>
        <v>0</v>
      </c>
      <c r="AN876" s="31">
        <f>SUM($T876:AA876)</f>
        <v>0</v>
      </c>
      <c r="AO876" s="31">
        <f>SUM($T876:AB876)</f>
        <v>0</v>
      </c>
      <c r="AP876" s="31">
        <f>SUM($T876:AC876)</f>
        <v>0</v>
      </c>
      <c r="AQ876" s="31">
        <f>SUM($T876:AD876)</f>
        <v>0</v>
      </c>
      <c r="AR876" s="31">
        <f>SUM($T876:AE876)</f>
        <v>0</v>
      </c>
      <c r="AS876" s="27">
        <f t="shared" si="132"/>
        <v>0</v>
      </c>
    </row>
    <row r="877" spans="2:45">
      <c r="B877" s="102" t="str">
        <f>IF(ROW()-6&gt;NumCostCenter,"",IF(CostCenter&lt;&gt;"ALL",CostCenter,DATA_LF2!B875))</f>
        <v/>
      </c>
      <c r="C877" s="153" t="str">
        <f>IF($B877&lt;&gt;"",INDEX(DataOB[],FirstRow+ROW()-7,2),"")</f>
        <v/>
      </c>
      <c r="D877" s="66" t="str">
        <f>IF($B877&lt;&gt;"",INDEX(DataOB[],FirstRow+ROW()-7,3),"")</f>
        <v/>
      </c>
      <c r="E877" s="103" t="str">
        <f>IF($B877&lt;&gt;"",INDEX(DataOB[],FirstRow+ROW()-7,6),"")</f>
        <v/>
      </c>
      <c r="F877" s="103" t="str">
        <f>IF($B877&lt;&gt;"",INDEX(DataOB[],FirstRow+ROW()-7,5),"")</f>
        <v/>
      </c>
      <c r="G877" s="58">
        <f>IF($B877&lt;&gt;"",SUMIFS(DataAct_tbl[AMOUNT],DataAct_tbl[BG CODE],Detail!$D877,DataAct_tbl[MONTH],LEFT(MonthName,3),DataAct_tbl[Dept code],$B877),0)</f>
        <v>0</v>
      </c>
      <c r="H877" s="31" t="str">
        <f t="shared" si="124"/>
        <v/>
      </c>
      <c r="I877" s="28" t="str">
        <f t="shared" si="125"/>
        <v/>
      </c>
      <c r="J877" s="32" t="str">
        <f t="shared" si="126"/>
        <v/>
      </c>
      <c r="K877" s="86"/>
      <c r="L877" s="62">
        <f>IF($B877&lt;&gt;"",SUMIFS(DataAct_tbl[AMOUNT],DataAct_tbl[BG CODE],Detail!$D877,DataAct_tbl[Check Range],"=true",DataAct_tbl[Dept code],$B877),0)</f>
        <v>0</v>
      </c>
      <c r="M877" s="63">
        <f>INDEX($AG$7:$AR$1005,ROW()-6,MATCH(MTD,$AG$6:$AR$6,0))</f>
        <v>0</v>
      </c>
      <c r="N877" s="34">
        <f t="shared" si="127"/>
        <v>0</v>
      </c>
      <c r="O877" s="64" t="str">
        <f t="shared" si="128"/>
        <v xml:space="preserve"> </v>
      </c>
      <c r="Q877" s="97">
        <f t="shared" si="129"/>
        <v>0</v>
      </c>
      <c r="R877" s="96">
        <f t="shared" si="130"/>
        <v>0</v>
      </c>
      <c r="T877" s="67" t="str">
        <f>IF($B877&lt;&gt;"",INDEX(DataOB[],FirstRow+ROW()-7,MATCH(T$6,DataOB[#Headers],0)),"")</f>
        <v/>
      </c>
      <c r="U877" s="67" t="str">
        <f>IF($B877&lt;&gt;"",INDEX(DataOB[],FirstRow+ROW()-7,MATCH(U$6,DataOB[#Headers],0)),"")</f>
        <v/>
      </c>
      <c r="V877" s="67" t="str">
        <f>IF($B877&lt;&gt;"",INDEX(DataOB[],FirstRow+ROW()-7,MATCH(V$6,DataOB[#Headers],0)),"")</f>
        <v/>
      </c>
      <c r="W877" s="67" t="str">
        <f>IF($B877&lt;&gt;"",INDEX(DataOB[],FirstRow+ROW()-7,MATCH(W$6,DataOB[#Headers],0)),"")</f>
        <v/>
      </c>
      <c r="X877" s="67" t="str">
        <f>IF($B877&lt;&gt;"",INDEX(DataOB[],FirstRow+ROW()-7,MATCH(X$6,DataOB[#Headers],0)),"")</f>
        <v/>
      </c>
      <c r="Y877" s="67" t="str">
        <f>IF($B877&lt;&gt;"",INDEX(DataOB[],FirstRow+ROW()-7,MATCH(Y$6,DataOB[#Headers],0)),"")</f>
        <v/>
      </c>
      <c r="Z877" s="67" t="str">
        <f>IF($B877&lt;&gt;"",INDEX(DataOB[],FirstRow+ROW()-7,MATCH(Z$6,DataOB[#Headers],0)),"")</f>
        <v/>
      </c>
      <c r="AA877" s="67" t="str">
        <f>IF($B877&lt;&gt;"",INDEX(DataOB[],FirstRow+ROW()-7,MATCH(AA$6,DataOB[#Headers],0)),"")</f>
        <v/>
      </c>
      <c r="AB877" s="67" t="str">
        <f>IF($B877&lt;&gt;"",INDEX(DataOB[],FirstRow+ROW()-7,MATCH(AB$6,DataOB[#Headers],0)),"")</f>
        <v/>
      </c>
      <c r="AC877" s="67" t="str">
        <f>IF($B877&lt;&gt;"",INDEX(DataOB[],FirstRow+ROW()-7,MATCH(AC$6,DataOB[#Headers],0)),"")</f>
        <v/>
      </c>
      <c r="AD877" s="67" t="str">
        <f>IF($B877&lt;&gt;"",INDEX(DataOB[],FirstRow+ROW()-7,MATCH(AD$6,DataOB[#Headers],0)),"")</f>
        <v/>
      </c>
      <c r="AE877" s="67" t="str">
        <f>IF($B877&lt;&gt;"",INDEX(DataOB[],FirstRow+ROW()-7,MATCH(AE$6,DataOB[#Headers],0)),"")</f>
        <v/>
      </c>
      <c r="AF877" s="26">
        <f t="shared" si="131"/>
        <v>0</v>
      </c>
      <c r="AG877" s="31">
        <f>SUM($T877:T877)</f>
        <v>0</v>
      </c>
      <c r="AH877" s="31">
        <f>SUM($T877:U877)</f>
        <v>0</v>
      </c>
      <c r="AI877" s="31">
        <f>SUM($T877:V877)</f>
        <v>0</v>
      </c>
      <c r="AJ877" s="31">
        <f>SUM($T877:W877)</f>
        <v>0</v>
      </c>
      <c r="AK877" s="31">
        <f>SUM($T877:X877)</f>
        <v>0</v>
      </c>
      <c r="AL877" s="31">
        <f>SUM($T877:Y877)</f>
        <v>0</v>
      </c>
      <c r="AM877" s="31">
        <f>SUM($T877:Z877)</f>
        <v>0</v>
      </c>
      <c r="AN877" s="31">
        <f>SUM($T877:AA877)</f>
        <v>0</v>
      </c>
      <c r="AO877" s="31">
        <f>SUM($T877:AB877)</f>
        <v>0</v>
      </c>
      <c r="AP877" s="31">
        <f>SUM($T877:AC877)</f>
        <v>0</v>
      </c>
      <c r="AQ877" s="31">
        <f>SUM($T877:AD877)</f>
        <v>0</v>
      </c>
      <c r="AR877" s="31">
        <f>SUM($T877:AE877)</f>
        <v>0</v>
      </c>
      <c r="AS877" s="27">
        <f t="shared" si="132"/>
        <v>0</v>
      </c>
    </row>
    <row r="878" spans="2:45">
      <c r="B878" s="102" t="str">
        <f>IF(ROW()-6&gt;NumCostCenter,"",IF(CostCenter&lt;&gt;"ALL",CostCenter,DATA_LF2!B876))</f>
        <v/>
      </c>
      <c r="C878" s="153" t="str">
        <f>IF($B878&lt;&gt;"",INDEX(DataOB[],FirstRow+ROW()-7,2),"")</f>
        <v/>
      </c>
      <c r="D878" s="66" t="str">
        <f>IF($B878&lt;&gt;"",INDEX(DataOB[],FirstRow+ROW()-7,3),"")</f>
        <v/>
      </c>
      <c r="E878" s="103" t="str">
        <f>IF($B878&lt;&gt;"",INDEX(DataOB[],FirstRow+ROW()-7,6),"")</f>
        <v/>
      </c>
      <c r="F878" s="103" t="str">
        <f>IF($B878&lt;&gt;"",INDEX(DataOB[],FirstRow+ROW()-7,5),"")</f>
        <v/>
      </c>
      <c r="G878" s="58">
        <f>IF($B878&lt;&gt;"",SUMIFS(DataAct_tbl[AMOUNT],DataAct_tbl[BG CODE],Detail!$D878,DataAct_tbl[MONTH],LEFT(MonthName,3),DataAct_tbl[Dept code],$B878),0)</f>
        <v>0</v>
      </c>
      <c r="H878" s="31" t="str">
        <f t="shared" si="124"/>
        <v/>
      </c>
      <c r="I878" s="28" t="str">
        <f t="shared" si="125"/>
        <v/>
      </c>
      <c r="J878" s="32" t="str">
        <f t="shared" si="126"/>
        <v/>
      </c>
      <c r="K878" s="86"/>
      <c r="L878" s="62">
        <f>IF($B878&lt;&gt;"",SUMIFS(DataAct_tbl[AMOUNT],DataAct_tbl[BG CODE],Detail!$D878,DataAct_tbl[Check Range],"=true",DataAct_tbl[Dept code],$B878),0)</f>
        <v>0</v>
      </c>
      <c r="M878" s="63">
        <f>INDEX($AG$7:$AR$1005,ROW()-6,MATCH(MTD,$AG$6:$AR$6,0))</f>
        <v>0</v>
      </c>
      <c r="N878" s="34">
        <f t="shared" si="127"/>
        <v>0</v>
      </c>
      <c r="O878" s="64" t="str">
        <f t="shared" si="128"/>
        <v xml:space="preserve"> </v>
      </c>
      <c r="Q878" s="97">
        <f t="shared" si="129"/>
        <v>0</v>
      </c>
      <c r="R878" s="96">
        <f t="shared" si="130"/>
        <v>0</v>
      </c>
      <c r="T878" s="67" t="str">
        <f>IF($B878&lt;&gt;"",INDEX(DataOB[],FirstRow+ROW()-7,MATCH(T$6,DataOB[#Headers],0)),"")</f>
        <v/>
      </c>
      <c r="U878" s="67" t="str">
        <f>IF($B878&lt;&gt;"",INDEX(DataOB[],FirstRow+ROW()-7,MATCH(U$6,DataOB[#Headers],0)),"")</f>
        <v/>
      </c>
      <c r="V878" s="67" t="str">
        <f>IF($B878&lt;&gt;"",INDEX(DataOB[],FirstRow+ROW()-7,MATCH(V$6,DataOB[#Headers],0)),"")</f>
        <v/>
      </c>
      <c r="W878" s="67" t="str">
        <f>IF($B878&lt;&gt;"",INDEX(DataOB[],FirstRow+ROW()-7,MATCH(W$6,DataOB[#Headers],0)),"")</f>
        <v/>
      </c>
      <c r="X878" s="67" t="str">
        <f>IF($B878&lt;&gt;"",INDEX(DataOB[],FirstRow+ROW()-7,MATCH(X$6,DataOB[#Headers],0)),"")</f>
        <v/>
      </c>
      <c r="Y878" s="67" t="str">
        <f>IF($B878&lt;&gt;"",INDEX(DataOB[],FirstRow+ROW()-7,MATCH(Y$6,DataOB[#Headers],0)),"")</f>
        <v/>
      </c>
      <c r="Z878" s="67" t="str">
        <f>IF($B878&lt;&gt;"",INDEX(DataOB[],FirstRow+ROW()-7,MATCH(Z$6,DataOB[#Headers],0)),"")</f>
        <v/>
      </c>
      <c r="AA878" s="67" t="str">
        <f>IF($B878&lt;&gt;"",INDEX(DataOB[],FirstRow+ROW()-7,MATCH(AA$6,DataOB[#Headers],0)),"")</f>
        <v/>
      </c>
      <c r="AB878" s="67" t="str">
        <f>IF($B878&lt;&gt;"",INDEX(DataOB[],FirstRow+ROW()-7,MATCH(AB$6,DataOB[#Headers],0)),"")</f>
        <v/>
      </c>
      <c r="AC878" s="67" t="str">
        <f>IF($B878&lt;&gt;"",INDEX(DataOB[],FirstRow+ROW()-7,MATCH(AC$6,DataOB[#Headers],0)),"")</f>
        <v/>
      </c>
      <c r="AD878" s="67" t="str">
        <f>IF($B878&lt;&gt;"",INDEX(DataOB[],FirstRow+ROW()-7,MATCH(AD$6,DataOB[#Headers],0)),"")</f>
        <v/>
      </c>
      <c r="AE878" s="67" t="str">
        <f>IF($B878&lt;&gt;"",INDEX(DataOB[],FirstRow+ROW()-7,MATCH(AE$6,DataOB[#Headers],0)),"")</f>
        <v/>
      </c>
      <c r="AF878" s="26">
        <f t="shared" si="131"/>
        <v>0</v>
      </c>
      <c r="AG878" s="31">
        <f>SUM($T878:T878)</f>
        <v>0</v>
      </c>
      <c r="AH878" s="31">
        <f>SUM($T878:U878)</f>
        <v>0</v>
      </c>
      <c r="AI878" s="31">
        <f>SUM($T878:V878)</f>
        <v>0</v>
      </c>
      <c r="AJ878" s="31">
        <f>SUM($T878:W878)</f>
        <v>0</v>
      </c>
      <c r="AK878" s="31">
        <f>SUM($T878:X878)</f>
        <v>0</v>
      </c>
      <c r="AL878" s="31">
        <f>SUM($T878:Y878)</f>
        <v>0</v>
      </c>
      <c r="AM878" s="31">
        <f>SUM($T878:Z878)</f>
        <v>0</v>
      </c>
      <c r="AN878" s="31">
        <f>SUM($T878:AA878)</f>
        <v>0</v>
      </c>
      <c r="AO878" s="31">
        <f>SUM($T878:AB878)</f>
        <v>0</v>
      </c>
      <c r="AP878" s="31">
        <f>SUM($T878:AC878)</f>
        <v>0</v>
      </c>
      <c r="AQ878" s="31">
        <f>SUM($T878:AD878)</f>
        <v>0</v>
      </c>
      <c r="AR878" s="31">
        <f>SUM($T878:AE878)</f>
        <v>0</v>
      </c>
      <c r="AS878" s="27">
        <f t="shared" si="132"/>
        <v>0</v>
      </c>
    </row>
    <row r="879" spans="2:45">
      <c r="B879" s="102" t="str">
        <f>IF(ROW()-6&gt;NumCostCenter,"",IF(CostCenter&lt;&gt;"ALL",CostCenter,DATA_LF2!B877))</f>
        <v/>
      </c>
      <c r="C879" s="153" t="str">
        <f>IF($B879&lt;&gt;"",INDEX(DataOB[],FirstRow+ROW()-7,2),"")</f>
        <v/>
      </c>
      <c r="D879" s="66" t="str">
        <f>IF($B879&lt;&gt;"",INDEX(DataOB[],FirstRow+ROW()-7,3),"")</f>
        <v/>
      </c>
      <c r="E879" s="103" t="str">
        <f>IF($B879&lt;&gt;"",INDEX(DataOB[],FirstRow+ROW()-7,6),"")</f>
        <v/>
      </c>
      <c r="F879" s="103" t="str">
        <f>IF($B879&lt;&gt;"",INDEX(DataOB[],FirstRow+ROW()-7,5),"")</f>
        <v/>
      </c>
      <c r="G879" s="58">
        <f>IF($B879&lt;&gt;"",SUMIFS(DataAct_tbl[AMOUNT],DataAct_tbl[BG CODE],Detail!$D879,DataAct_tbl[MONTH],LEFT(MonthName,3),DataAct_tbl[Dept code],$B879),0)</f>
        <v>0</v>
      </c>
      <c r="H879" s="31" t="str">
        <f t="shared" si="124"/>
        <v/>
      </c>
      <c r="I879" s="28" t="str">
        <f t="shared" si="125"/>
        <v/>
      </c>
      <c r="J879" s="32" t="str">
        <f t="shared" si="126"/>
        <v/>
      </c>
      <c r="K879" s="86"/>
      <c r="L879" s="62">
        <f>IF($B879&lt;&gt;"",SUMIFS(DataAct_tbl[AMOUNT],DataAct_tbl[BG CODE],Detail!$D879,DataAct_tbl[Check Range],"=true",DataAct_tbl[Dept code],$B879),0)</f>
        <v>0</v>
      </c>
      <c r="M879" s="63">
        <f>INDEX($AG$7:$AR$1005,ROW()-6,MATCH(MTD,$AG$6:$AR$6,0))</f>
        <v>0</v>
      </c>
      <c r="N879" s="34">
        <f t="shared" si="127"/>
        <v>0</v>
      </c>
      <c r="O879" s="64" t="str">
        <f t="shared" si="128"/>
        <v xml:space="preserve"> </v>
      </c>
      <c r="Q879" s="97">
        <f t="shared" si="129"/>
        <v>0</v>
      </c>
      <c r="R879" s="96">
        <f t="shared" si="130"/>
        <v>0</v>
      </c>
      <c r="T879" s="67" t="str">
        <f>IF($B879&lt;&gt;"",INDEX(DataOB[],FirstRow+ROW()-7,MATCH(T$6,DataOB[#Headers],0)),"")</f>
        <v/>
      </c>
      <c r="U879" s="67" t="str">
        <f>IF($B879&lt;&gt;"",INDEX(DataOB[],FirstRow+ROW()-7,MATCH(U$6,DataOB[#Headers],0)),"")</f>
        <v/>
      </c>
      <c r="V879" s="67" t="str">
        <f>IF($B879&lt;&gt;"",INDEX(DataOB[],FirstRow+ROW()-7,MATCH(V$6,DataOB[#Headers],0)),"")</f>
        <v/>
      </c>
      <c r="W879" s="67" t="str">
        <f>IF($B879&lt;&gt;"",INDEX(DataOB[],FirstRow+ROW()-7,MATCH(W$6,DataOB[#Headers],0)),"")</f>
        <v/>
      </c>
      <c r="X879" s="67" t="str">
        <f>IF($B879&lt;&gt;"",INDEX(DataOB[],FirstRow+ROW()-7,MATCH(X$6,DataOB[#Headers],0)),"")</f>
        <v/>
      </c>
      <c r="Y879" s="67" t="str">
        <f>IF($B879&lt;&gt;"",INDEX(DataOB[],FirstRow+ROW()-7,MATCH(Y$6,DataOB[#Headers],0)),"")</f>
        <v/>
      </c>
      <c r="Z879" s="67" t="str">
        <f>IF($B879&lt;&gt;"",INDEX(DataOB[],FirstRow+ROW()-7,MATCH(Z$6,DataOB[#Headers],0)),"")</f>
        <v/>
      </c>
      <c r="AA879" s="67" t="str">
        <f>IF($B879&lt;&gt;"",INDEX(DataOB[],FirstRow+ROW()-7,MATCH(AA$6,DataOB[#Headers],0)),"")</f>
        <v/>
      </c>
      <c r="AB879" s="67" t="str">
        <f>IF($B879&lt;&gt;"",INDEX(DataOB[],FirstRow+ROW()-7,MATCH(AB$6,DataOB[#Headers],0)),"")</f>
        <v/>
      </c>
      <c r="AC879" s="67" t="str">
        <f>IF($B879&lt;&gt;"",INDEX(DataOB[],FirstRow+ROW()-7,MATCH(AC$6,DataOB[#Headers],0)),"")</f>
        <v/>
      </c>
      <c r="AD879" s="67" t="str">
        <f>IF($B879&lt;&gt;"",INDEX(DataOB[],FirstRow+ROW()-7,MATCH(AD$6,DataOB[#Headers],0)),"")</f>
        <v/>
      </c>
      <c r="AE879" s="67" t="str">
        <f>IF($B879&lt;&gt;"",INDEX(DataOB[],FirstRow+ROW()-7,MATCH(AE$6,DataOB[#Headers],0)),"")</f>
        <v/>
      </c>
      <c r="AF879" s="26">
        <f t="shared" si="131"/>
        <v>0</v>
      </c>
      <c r="AG879" s="31">
        <f>SUM($T879:T879)</f>
        <v>0</v>
      </c>
      <c r="AH879" s="31">
        <f>SUM($T879:U879)</f>
        <v>0</v>
      </c>
      <c r="AI879" s="31">
        <f>SUM($T879:V879)</f>
        <v>0</v>
      </c>
      <c r="AJ879" s="31">
        <f>SUM($T879:W879)</f>
        <v>0</v>
      </c>
      <c r="AK879" s="31">
        <f>SUM($T879:X879)</f>
        <v>0</v>
      </c>
      <c r="AL879" s="31">
        <f>SUM($T879:Y879)</f>
        <v>0</v>
      </c>
      <c r="AM879" s="31">
        <f>SUM($T879:Z879)</f>
        <v>0</v>
      </c>
      <c r="AN879" s="31">
        <f>SUM($T879:AA879)</f>
        <v>0</v>
      </c>
      <c r="AO879" s="31">
        <f>SUM($T879:AB879)</f>
        <v>0</v>
      </c>
      <c r="AP879" s="31">
        <f>SUM($T879:AC879)</f>
        <v>0</v>
      </c>
      <c r="AQ879" s="31">
        <f>SUM($T879:AD879)</f>
        <v>0</v>
      </c>
      <c r="AR879" s="31">
        <f>SUM($T879:AE879)</f>
        <v>0</v>
      </c>
      <c r="AS879" s="27">
        <f t="shared" si="132"/>
        <v>0</v>
      </c>
    </row>
    <row r="880" spans="2:45">
      <c r="B880" s="102" t="str">
        <f>IF(ROW()-6&gt;NumCostCenter,"",IF(CostCenter&lt;&gt;"ALL",CostCenter,DATA_LF2!B878))</f>
        <v/>
      </c>
      <c r="C880" s="153" t="str">
        <f>IF($B880&lt;&gt;"",INDEX(DataOB[],FirstRow+ROW()-7,2),"")</f>
        <v/>
      </c>
      <c r="D880" s="66" t="str">
        <f>IF($B880&lt;&gt;"",INDEX(DataOB[],FirstRow+ROW()-7,3),"")</f>
        <v/>
      </c>
      <c r="E880" s="103" t="str">
        <f>IF($B880&lt;&gt;"",INDEX(DataOB[],FirstRow+ROW()-7,6),"")</f>
        <v/>
      </c>
      <c r="F880" s="103" t="str">
        <f>IF($B880&lt;&gt;"",INDEX(DataOB[],FirstRow+ROW()-7,5),"")</f>
        <v/>
      </c>
      <c r="G880" s="58">
        <f>IF($B880&lt;&gt;"",SUMIFS(DataAct_tbl[AMOUNT],DataAct_tbl[BG CODE],Detail!$D880,DataAct_tbl[MONTH],LEFT(MonthName,3),DataAct_tbl[Dept code],$B880),0)</f>
        <v>0</v>
      </c>
      <c r="H880" s="31" t="str">
        <f t="shared" si="124"/>
        <v/>
      </c>
      <c r="I880" s="28" t="str">
        <f t="shared" si="125"/>
        <v/>
      </c>
      <c r="J880" s="32" t="str">
        <f t="shared" si="126"/>
        <v/>
      </c>
      <c r="K880" s="86"/>
      <c r="L880" s="62">
        <f>IF($B880&lt;&gt;"",SUMIFS(DataAct_tbl[AMOUNT],DataAct_tbl[BG CODE],Detail!$D880,DataAct_tbl[Check Range],"=true",DataAct_tbl[Dept code],$B880),0)</f>
        <v>0</v>
      </c>
      <c r="M880" s="63">
        <f>INDEX($AG$7:$AR$1005,ROW()-6,MATCH(MTD,$AG$6:$AR$6,0))</f>
        <v>0</v>
      </c>
      <c r="N880" s="34">
        <f t="shared" si="127"/>
        <v>0</v>
      </c>
      <c r="O880" s="64" t="str">
        <f t="shared" si="128"/>
        <v xml:space="preserve"> </v>
      </c>
      <c r="Q880" s="97">
        <f t="shared" si="129"/>
        <v>0</v>
      </c>
      <c r="R880" s="96">
        <f t="shared" si="130"/>
        <v>0</v>
      </c>
      <c r="T880" s="67" t="str">
        <f>IF($B880&lt;&gt;"",INDEX(DataOB[],FirstRow+ROW()-7,MATCH(T$6,DataOB[#Headers],0)),"")</f>
        <v/>
      </c>
      <c r="U880" s="67" t="str">
        <f>IF($B880&lt;&gt;"",INDEX(DataOB[],FirstRow+ROW()-7,MATCH(U$6,DataOB[#Headers],0)),"")</f>
        <v/>
      </c>
      <c r="V880" s="67" t="str">
        <f>IF($B880&lt;&gt;"",INDEX(DataOB[],FirstRow+ROW()-7,MATCH(V$6,DataOB[#Headers],0)),"")</f>
        <v/>
      </c>
      <c r="W880" s="67" t="str">
        <f>IF($B880&lt;&gt;"",INDEX(DataOB[],FirstRow+ROW()-7,MATCH(W$6,DataOB[#Headers],0)),"")</f>
        <v/>
      </c>
      <c r="X880" s="67" t="str">
        <f>IF($B880&lt;&gt;"",INDEX(DataOB[],FirstRow+ROW()-7,MATCH(X$6,DataOB[#Headers],0)),"")</f>
        <v/>
      </c>
      <c r="Y880" s="67" t="str">
        <f>IF($B880&lt;&gt;"",INDEX(DataOB[],FirstRow+ROW()-7,MATCH(Y$6,DataOB[#Headers],0)),"")</f>
        <v/>
      </c>
      <c r="Z880" s="67" t="str">
        <f>IF($B880&lt;&gt;"",INDEX(DataOB[],FirstRow+ROW()-7,MATCH(Z$6,DataOB[#Headers],0)),"")</f>
        <v/>
      </c>
      <c r="AA880" s="67" t="str">
        <f>IF($B880&lt;&gt;"",INDEX(DataOB[],FirstRow+ROW()-7,MATCH(AA$6,DataOB[#Headers],0)),"")</f>
        <v/>
      </c>
      <c r="AB880" s="67" t="str">
        <f>IF($B880&lt;&gt;"",INDEX(DataOB[],FirstRow+ROW()-7,MATCH(AB$6,DataOB[#Headers],0)),"")</f>
        <v/>
      </c>
      <c r="AC880" s="67" t="str">
        <f>IF($B880&lt;&gt;"",INDEX(DataOB[],FirstRow+ROW()-7,MATCH(AC$6,DataOB[#Headers],0)),"")</f>
        <v/>
      </c>
      <c r="AD880" s="67" t="str">
        <f>IF($B880&lt;&gt;"",INDEX(DataOB[],FirstRow+ROW()-7,MATCH(AD$6,DataOB[#Headers],0)),"")</f>
        <v/>
      </c>
      <c r="AE880" s="67" t="str">
        <f>IF($B880&lt;&gt;"",INDEX(DataOB[],FirstRow+ROW()-7,MATCH(AE$6,DataOB[#Headers],0)),"")</f>
        <v/>
      </c>
      <c r="AF880" s="26">
        <f t="shared" si="131"/>
        <v>0</v>
      </c>
      <c r="AG880" s="31">
        <f>SUM($T880:T880)</f>
        <v>0</v>
      </c>
      <c r="AH880" s="31">
        <f>SUM($T880:U880)</f>
        <v>0</v>
      </c>
      <c r="AI880" s="31">
        <f>SUM($T880:V880)</f>
        <v>0</v>
      </c>
      <c r="AJ880" s="31">
        <f>SUM($T880:W880)</f>
        <v>0</v>
      </c>
      <c r="AK880" s="31">
        <f>SUM($T880:X880)</f>
        <v>0</v>
      </c>
      <c r="AL880" s="31">
        <f>SUM($T880:Y880)</f>
        <v>0</v>
      </c>
      <c r="AM880" s="31">
        <f>SUM($T880:Z880)</f>
        <v>0</v>
      </c>
      <c r="AN880" s="31">
        <f>SUM($T880:AA880)</f>
        <v>0</v>
      </c>
      <c r="AO880" s="31">
        <f>SUM($T880:AB880)</f>
        <v>0</v>
      </c>
      <c r="AP880" s="31">
        <f>SUM($T880:AC880)</f>
        <v>0</v>
      </c>
      <c r="AQ880" s="31">
        <f>SUM($T880:AD880)</f>
        <v>0</v>
      </c>
      <c r="AR880" s="31">
        <f>SUM($T880:AE880)</f>
        <v>0</v>
      </c>
      <c r="AS880" s="27">
        <f t="shared" si="132"/>
        <v>0</v>
      </c>
    </row>
    <row r="881" spans="2:45">
      <c r="B881" s="102" t="str">
        <f>IF(ROW()-6&gt;NumCostCenter,"",IF(CostCenter&lt;&gt;"ALL",CostCenter,DATA_LF2!B879))</f>
        <v/>
      </c>
      <c r="C881" s="153" t="str">
        <f>IF($B881&lt;&gt;"",INDEX(DataOB[],FirstRow+ROW()-7,2),"")</f>
        <v/>
      </c>
      <c r="D881" s="66" t="str">
        <f>IF($B881&lt;&gt;"",INDEX(DataOB[],FirstRow+ROW()-7,3),"")</f>
        <v/>
      </c>
      <c r="E881" s="103" t="str">
        <f>IF($B881&lt;&gt;"",INDEX(DataOB[],FirstRow+ROW()-7,6),"")</f>
        <v/>
      </c>
      <c r="F881" s="103" t="str">
        <f>IF($B881&lt;&gt;"",INDEX(DataOB[],FirstRow+ROW()-7,5),"")</f>
        <v/>
      </c>
      <c r="G881" s="58">
        <f>IF($B881&lt;&gt;"",SUMIFS(DataAct_tbl[AMOUNT],DataAct_tbl[BG CODE],Detail!$D881,DataAct_tbl[MONTH],LEFT(MonthName,3),DataAct_tbl[Dept code],$B881),0)</f>
        <v>0</v>
      </c>
      <c r="H881" s="31" t="str">
        <f t="shared" si="124"/>
        <v/>
      </c>
      <c r="I881" s="28" t="str">
        <f t="shared" si="125"/>
        <v/>
      </c>
      <c r="J881" s="32" t="str">
        <f t="shared" si="126"/>
        <v/>
      </c>
      <c r="K881" s="86"/>
      <c r="L881" s="62">
        <f>IF($B881&lt;&gt;"",SUMIFS(DataAct_tbl[AMOUNT],DataAct_tbl[BG CODE],Detail!$D881,DataAct_tbl[Check Range],"=true",DataAct_tbl[Dept code],$B881),0)</f>
        <v>0</v>
      </c>
      <c r="M881" s="63">
        <f>INDEX($AG$7:$AR$1005,ROW()-6,MATCH(MTD,$AG$6:$AR$6,0))</f>
        <v>0</v>
      </c>
      <c r="N881" s="34">
        <f t="shared" si="127"/>
        <v>0</v>
      </c>
      <c r="O881" s="64" t="str">
        <f t="shared" si="128"/>
        <v xml:space="preserve"> </v>
      </c>
      <c r="Q881" s="97">
        <f t="shared" si="129"/>
        <v>0</v>
      </c>
      <c r="R881" s="96">
        <f t="shared" si="130"/>
        <v>0</v>
      </c>
      <c r="T881" s="67" t="str">
        <f>IF($B881&lt;&gt;"",INDEX(DataOB[],FirstRow+ROW()-7,MATCH(T$6,DataOB[#Headers],0)),"")</f>
        <v/>
      </c>
      <c r="U881" s="67" t="str">
        <f>IF($B881&lt;&gt;"",INDEX(DataOB[],FirstRow+ROW()-7,MATCH(U$6,DataOB[#Headers],0)),"")</f>
        <v/>
      </c>
      <c r="V881" s="67" t="str">
        <f>IF($B881&lt;&gt;"",INDEX(DataOB[],FirstRow+ROW()-7,MATCH(V$6,DataOB[#Headers],0)),"")</f>
        <v/>
      </c>
      <c r="W881" s="67" t="str">
        <f>IF($B881&lt;&gt;"",INDEX(DataOB[],FirstRow+ROW()-7,MATCH(W$6,DataOB[#Headers],0)),"")</f>
        <v/>
      </c>
      <c r="X881" s="67" t="str">
        <f>IF($B881&lt;&gt;"",INDEX(DataOB[],FirstRow+ROW()-7,MATCH(X$6,DataOB[#Headers],0)),"")</f>
        <v/>
      </c>
      <c r="Y881" s="67" t="str">
        <f>IF($B881&lt;&gt;"",INDEX(DataOB[],FirstRow+ROW()-7,MATCH(Y$6,DataOB[#Headers],0)),"")</f>
        <v/>
      </c>
      <c r="Z881" s="67" t="str">
        <f>IF($B881&lt;&gt;"",INDEX(DataOB[],FirstRow+ROW()-7,MATCH(Z$6,DataOB[#Headers],0)),"")</f>
        <v/>
      </c>
      <c r="AA881" s="67" t="str">
        <f>IF($B881&lt;&gt;"",INDEX(DataOB[],FirstRow+ROW()-7,MATCH(AA$6,DataOB[#Headers],0)),"")</f>
        <v/>
      </c>
      <c r="AB881" s="67" t="str">
        <f>IF($B881&lt;&gt;"",INDEX(DataOB[],FirstRow+ROW()-7,MATCH(AB$6,DataOB[#Headers],0)),"")</f>
        <v/>
      </c>
      <c r="AC881" s="67" t="str">
        <f>IF($B881&lt;&gt;"",INDEX(DataOB[],FirstRow+ROW()-7,MATCH(AC$6,DataOB[#Headers],0)),"")</f>
        <v/>
      </c>
      <c r="AD881" s="67" t="str">
        <f>IF($B881&lt;&gt;"",INDEX(DataOB[],FirstRow+ROW()-7,MATCH(AD$6,DataOB[#Headers],0)),"")</f>
        <v/>
      </c>
      <c r="AE881" s="67" t="str">
        <f>IF($B881&lt;&gt;"",INDEX(DataOB[],FirstRow+ROW()-7,MATCH(AE$6,DataOB[#Headers],0)),"")</f>
        <v/>
      </c>
      <c r="AF881" s="26">
        <f t="shared" si="131"/>
        <v>0</v>
      </c>
      <c r="AG881" s="31">
        <f>SUM($T881:T881)</f>
        <v>0</v>
      </c>
      <c r="AH881" s="31">
        <f>SUM($T881:U881)</f>
        <v>0</v>
      </c>
      <c r="AI881" s="31">
        <f>SUM($T881:V881)</f>
        <v>0</v>
      </c>
      <c r="AJ881" s="31">
        <f>SUM($T881:W881)</f>
        <v>0</v>
      </c>
      <c r="AK881" s="31">
        <f>SUM($T881:X881)</f>
        <v>0</v>
      </c>
      <c r="AL881" s="31">
        <f>SUM($T881:Y881)</f>
        <v>0</v>
      </c>
      <c r="AM881" s="31">
        <f>SUM($T881:Z881)</f>
        <v>0</v>
      </c>
      <c r="AN881" s="31">
        <f>SUM($T881:AA881)</f>
        <v>0</v>
      </c>
      <c r="AO881" s="31">
        <f>SUM($T881:AB881)</f>
        <v>0</v>
      </c>
      <c r="AP881" s="31">
        <f>SUM($T881:AC881)</f>
        <v>0</v>
      </c>
      <c r="AQ881" s="31">
        <f>SUM($T881:AD881)</f>
        <v>0</v>
      </c>
      <c r="AR881" s="31">
        <f>SUM($T881:AE881)</f>
        <v>0</v>
      </c>
      <c r="AS881" s="27">
        <f t="shared" si="132"/>
        <v>0</v>
      </c>
    </row>
    <row r="882" spans="2:45">
      <c r="B882" s="102" t="str">
        <f>IF(ROW()-6&gt;NumCostCenter,"",IF(CostCenter&lt;&gt;"ALL",CostCenter,DATA_LF2!B880))</f>
        <v/>
      </c>
      <c r="C882" s="153" t="str">
        <f>IF($B882&lt;&gt;"",INDEX(DataOB[],FirstRow+ROW()-7,2),"")</f>
        <v/>
      </c>
      <c r="D882" s="66" t="str">
        <f>IF($B882&lt;&gt;"",INDEX(DataOB[],FirstRow+ROW()-7,3),"")</f>
        <v/>
      </c>
      <c r="E882" s="103" t="str">
        <f>IF($B882&lt;&gt;"",INDEX(DataOB[],FirstRow+ROW()-7,6),"")</f>
        <v/>
      </c>
      <c r="F882" s="103" t="str">
        <f>IF($B882&lt;&gt;"",INDEX(DataOB[],FirstRow+ROW()-7,5),"")</f>
        <v/>
      </c>
      <c r="G882" s="58">
        <f>IF($B882&lt;&gt;"",SUMIFS(DataAct_tbl[AMOUNT],DataAct_tbl[BG CODE],Detail!$D882,DataAct_tbl[MONTH],LEFT(MonthName,3),DataAct_tbl[Dept code],$B882),0)</f>
        <v>0</v>
      </c>
      <c r="H882" s="31" t="str">
        <f t="shared" si="124"/>
        <v/>
      </c>
      <c r="I882" s="28" t="str">
        <f t="shared" si="125"/>
        <v/>
      </c>
      <c r="J882" s="32" t="str">
        <f t="shared" si="126"/>
        <v/>
      </c>
      <c r="K882" s="86"/>
      <c r="L882" s="62">
        <f>IF($B882&lt;&gt;"",SUMIFS(DataAct_tbl[AMOUNT],DataAct_tbl[BG CODE],Detail!$D882,DataAct_tbl[Check Range],"=true",DataAct_tbl[Dept code],$B882),0)</f>
        <v>0</v>
      </c>
      <c r="M882" s="63">
        <f>INDEX($AG$7:$AR$1005,ROW()-6,MATCH(MTD,$AG$6:$AR$6,0))</f>
        <v>0</v>
      </c>
      <c r="N882" s="34">
        <f t="shared" si="127"/>
        <v>0</v>
      </c>
      <c r="O882" s="64" t="str">
        <f t="shared" si="128"/>
        <v xml:space="preserve"> </v>
      </c>
      <c r="Q882" s="97">
        <f t="shared" si="129"/>
        <v>0</v>
      </c>
      <c r="R882" s="96">
        <f t="shared" si="130"/>
        <v>0</v>
      </c>
      <c r="T882" s="67" t="str">
        <f>IF($B882&lt;&gt;"",INDEX(DataOB[],FirstRow+ROW()-7,MATCH(T$6,DataOB[#Headers],0)),"")</f>
        <v/>
      </c>
      <c r="U882" s="67" t="str">
        <f>IF($B882&lt;&gt;"",INDEX(DataOB[],FirstRow+ROW()-7,MATCH(U$6,DataOB[#Headers],0)),"")</f>
        <v/>
      </c>
      <c r="V882" s="67" t="str">
        <f>IF($B882&lt;&gt;"",INDEX(DataOB[],FirstRow+ROW()-7,MATCH(V$6,DataOB[#Headers],0)),"")</f>
        <v/>
      </c>
      <c r="W882" s="67" t="str">
        <f>IF($B882&lt;&gt;"",INDEX(DataOB[],FirstRow+ROW()-7,MATCH(W$6,DataOB[#Headers],0)),"")</f>
        <v/>
      </c>
      <c r="X882" s="67" t="str">
        <f>IF($B882&lt;&gt;"",INDEX(DataOB[],FirstRow+ROW()-7,MATCH(X$6,DataOB[#Headers],0)),"")</f>
        <v/>
      </c>
      <c r="Y882" s="67" t="str">
        <f>IF($B882&lt;&gt;"",INDEX(DataOB[],FirstRow+ROW()-7,MATCH(Y$6,DataOB[#Headers],0)),"")</f>
        <v/>
      </c>
      <c r="Z882" s="67" t="str">
        <f>IF($B882&lt;&gt;"",INDEX(DataOB[],FirstRow+ROW()-7,MATCH(Z$6,DataOB[#Headers],0)),"")</f>
        <v/>
      </c>
      <c r="AA882" s="67" t="str">
        <f>IF($B882&lt;&gt;"",INDEX(DataOB[],FirstRow+ROW()-7,MATCH(AA$6,DataOB[#Headers],0)),"")</f>
        <v/>
      </c>
      <c r="AB882" s="67" t="str">
        <f>IF($B882&lt;&gt;"",INDEX(DataOB[],FirstRow+ROW()-7,MATCH(AB$6,DataOB[#Headers],0)),"")</f>
        <v/>
      </c>
      <c r="AC882" s="67" t="str">
        <f>IF($B882&lt;&gt;"",INDEX(DataOB[],FirstRow+ROW()-7,MATCH(AC$6,DataOB[#Headers],0)),"")</f>
        <v/>
      </c>
      <c r="AD882" s="67" t="str">
        <f>IF($B882&lt;&gt;"",INDEX(DataOB[],FirstRow+ROW()-7,MATCH(AD$6,DataOB[#Headers],0)),"")</f>
        <v/>
      </c>
      <c r="AE882" s="67" t="str">
        <f>IF($B882&lt;&gt;"",INDEX(DataOB[],FirstRow+ROW()-7,MATCH(AE$6,DataOB[#Headers],0)),"")</f>
        <v/>
      </c>
      <c r="AF882" s="26">
        <f t="shared" si="131"/>
        <v>0</v>
      </c>
      <c r="AG882" s="31">
        <f>SUM($T882:T882)</f>
        <v>0</v>
      </c>
      <c r="AH882" s="31">
        <f>SUM($T882:U882)</f>
        <v>0</v>
      </c>
      <c r="AI882" s="31">
        <f>SUM($T882:V882)</f>
        <v>0</v>
      </c>
      <c r="AJ882" s="31">
        <f>SUM($T882:W882)</f>
        <v>0</v>
      </c>
      <c r="AK882" s="31">
        <f>SUM($T882:X882)</f>
        <v>0</v>
      </c>
      <c r="AL882" s="31">
        <f>SUM($T882:Y882)</f>
        <v>0</v>
      </c>
      <c r="AM882" s="31">
        <f>SUM($T882:Z882)</f>
        <v>0</v>
      </c>
      <c r="AN882" s="31">
        <f>SUM($T882:AA882)</f>
        <v>0</v>
      </c>
      <c r="AO882" s="31">
        <f>SUM($T882:AB882)</f>
        <v>0</v>
      </c>
      <c r="AP882" s="31">
        <f>SUM($T882:AC882)</f>
        <v>0</v>
      </c>
      <c r="AQ882" s="31">
        <f>SUM($T882:AD882)</f>
        <v>0</v>
      </c>
      <c r="AR882" s="31">
        <f>SUM($T882:AE882)</f>
        <v>0</v>
      </c>
      <c r="AS882" s="27">
        <f t="shared" si="132"/>
        <v>0</v>
      </c>
    </row>
    <row r="883" spans="2:45">
      <c r="B883" s="102" t="str">
        <f>IF(ROW()-6&gt;NumCostCenter,"",IF(CostCenter&lt;&gt;"ALL",CostCenter,DATA_LF2!B881))</f>
        <v/>
      </c>
      <c r="C883" s="153" t="str">
        <f>IF($B883&lt;&gt;"",INDEX(DataOB[],FirstRow+ROW()-7,2),"")</f>
        <v/>
      </c>
      <c r="D883" s="66" t="str">
        <f>IF($B883&lt;&gt;"",INDEX(DataOB[],FirstRow+ROW()-7,3),"")</f>
        <v/>
      </c>
      <c r="E883" s="103" t="str">
        <f>IF($B883&lt;&gt;"",INDEX(DataOB[],FirstRow+ROW()-7,6),"")</f>
        <v/>
      </c>
      <c r="F883" s="103" t="str">
        <f>IF($B883&lt;&gt;"",INDEX(DataOB[],FirstRow+ROW()-7,5),"")</f>
        <v/>
      </c>
      <c r="G883" s="58">
        <f>IF($B883&lt;&gt;"",SUMIFS(DataAct_tbl[AMOUNT],DataAct_tbl[BG CODE],Detail!$D883,DataAct_tbl[MONTH],LEFT(MonthName,3),DataAct_tbl[Dept code],$B883),0)</f>
        <v>0</v>
      </c>
      <c r="H883" s="31" t="str">
        <f t="shared" si="124"/>
        <v/>
      </c>
      <c r="I883" s="28" t="str">
        <f t="shared" si="125"/>
        <v/>
      </c>
      <c r="J883" s="32" t="str">
        <f t="shared" si="126"/>
        <v/>
      </c>
      <c r="K883" s="86"/>
      <c r="L883" s="62">
        <f>IF($B883&lt;&gt;"",SUMIFS(DataAct_tbl[AMOUNT],DataAct_tbl[BG CODE],Detail!$D883,DataAct_tbl[Check Range],"=true",DataAct_tbl[Dept code],$B883),0)</f>
        <v>0</v>
      </c>
      <c r="M883" s="63">
        <f>INDEX($AG$7:$AR$1005,ROW()-6,MATCH(MTD,$AG$6:$AR$6,0))</f>
        <v>0</v>
      </c>
      <c r="N883" s="34">
        <f t="shared" si="127"/>
        <v>0</v>
      </c>
      <c r="O883" s="64" t="str">
        <f t="shared" si="128"/>
        <v xml:space="preserve"> </v>
      </c>
      <c r="Q883" s="97">
        <f t="shared" si="129"/>
        <v>0</v>
      </c>
      <c r="R883" s="96">
        <f t="shared" si="130"/>
        <v>0</v>
      </c>
      <c r="T883" s="67" t="str">
        <f>IF($B883&lt;&gt;"",INDEX(DataOB[],FirstRow+ROW()-7,MATCH(T$6,DataOB[#Headers],0)),"")</f>
        <v/>
      </c>
      <c r="U883" s="67" t="str">
        <f>IF($B883&lt;&gt;"",INDEX(DataOB[],FirstRow+ROW()-7,MATCH(U$6,DataOB[#Headers],0)),"")</f>
        <v/>
      </c>
      <c r="V883" s="67" t="str">
        <f>IF($B883&lt;&gt;"",INDEX(DataOB[],FirstRow+ROW()-7,MATCH(V$6,DataOB[#Headers],0)),"")</f>
        <v/>
      </c>
      <c r="W883" s="67" t="str">
        <f>IF($B883&lt;&gt;"",INDEX(DataOB[],FirstRow+ROW()-7,MATCH(W$6,DataOB[#Headers],0)),"")</f>
        <v/>
      </c>
      <c r="X883" s="67" t="str">
        <f>IF($B883&lt;&gt;"",INDEX(DataOB[],FirstRow+ROW()-7,MATCH(X$6,DataOB[#Headers],0)),"")</f>
        <v/>
      </c>
      <c r="Y883" s="67" t="str">
        <f>IF($B883&lt;&gt;"",INDEX(DataOB[],FirstRow+ROW()-7,MATCH(Y$6,DataOB[#Headers],0)),"")</f>
        <v/>
      </c>
      <c r="Z883" s="67" t="str">
        <f>IF($B883&lt;&gt;"",INDEX(DataOB[],FirstRow+ROW()-7,MATCH(Z$6,DataOB[#Headers],0)),"")</f>
        <v/>
      </c>
      <c r="AA883" s="67" t="str">
        <f>IF($B883&lt;&gt;"",INDEX(DataOB[],FirstRow+ROW()-7,MATCH(AA$6,DataOB[#Headers],0)),"")</f>
        <v/>
      </c>
      <c r="AB883" s="67" t="str">
        <f>IF($B883&lt;&gt;"",INDEX(DataOB[],FirstRow+ROW()-7,MATCH(AB$6,DataOB[#Headers],0)),"")</f>
        <v/>
      </c>
      <c r="AC883" s="67" t="str">
        <f>IF($B883&lt;&gt;"",INDEX(DataOB[],FirstRow+ROW()-7,MATCH(AC$6,DataOB[#Headers],0)),"")</f>
        <v/>
      </c>
      <c r="AD883" s="67" t="str">
        <f>IF($B883&lt;&gt;"",INDEX(DataOB[],FirstRow+ROW()-7,MATCH(AD$6,DataOB[#Headers],0)),"")</f>
        <v/>
      </c>
      <c r="AE883" s="67" t="str">
        <f>IF($B883&lt;&gt;"",INDEX(DataOB[],FirstRow+ROW()-7,MATCH(AE$6,DataOB[#Headers],0)),"")</f>
        <v/>
      </c>
      <c r="AF883" s="26">
        <f t="shared" si="131"/>
        <v>0</v>
      </c>
      <c r="AG883" s="31">
        <f>SUM($T883:T883)</f>
        <v>0</v>
      </c>
      <c r="AH883" s="31">
        <f>SUM($T883:U883)</f>
        <v>0</v>
      </c>
      <c r="AI883" s="31">
        <f>SUM($T883:V883)</f>
        <v>0</v>
      </c>
      <c r="AJ883" s="31">
        <f>SUM($T883:W883)</f>
        <v>0</v>
      </c>
      <c r="AK883" s="31">
        <f>SUM($T883:X883)</f>
        <v>0</v>
      </c>
      <c r="AL883" s="31">
        <f>SUM($T883:Y883)</f>
        <v>0</v>
      </c>
      <c r="AM883" s="31">
        <f>SUM($T883:Z883)</f>
        <v>0</v>
      </c>
      <c r="AN883" s="31">
        <f>SUM($T883:AA883)</f>
        <v>0</v>
      </c>
      <c r="AO883" s="31">
        <f>SUM($T883:AB883)</f>
        <v>0</v>
      </c>
      <c r="AP883" s="31">
        <f>SUM($T883:AC883)</f>
        <v>0</v>
      </c>
      <c r="AQ883" s="31">
        <f>SUM($T883:AD883)</f>
        <v>0</v>
      </c>
      <c r="AR883" s="31">
        <f>SUM($T883:AE883)</f>
        <v>0</v>
      </c>
      <c r="AS883" s="27">
        <f t="shared" si="132"/>
        <v>0</v>
      </c>
    </row>
    <row r="884" spans="2:45">
      <c r="B884" s="102" t="str">
        <f>IF(ROW()-6&gt;NumCostCenter,"",IF(CostCenter&lt;&gt;"ALL",CostCenter,DATA_LF2!B882))</f>
        <v/>
      </c>
      <c r="C884" s="153" t="str">
        <f>IF($B884&lt;&gt;"",INDEX(DataOB[],FirstRow+ROW()-7,2),"")</f>
        <v/>
      </c>
      <c r="D884" s="66" t="str">
        <f>IF($B884&lt;&gt;"",INDEX(DataOB[],FirstRow+ROW()-7,3),"")</f>
        <v/>
      </c>
      <c r="E884" s="103" t="str">
        <f>IF($B884&lt;&gt;"",INDEX(DataOB[],FirstRow+ROW()-7,6),"")</f>
        <v/>
      </c>
      <c r="F884" s="103" t="str">
        <f>IF($B884&lt;&gt;"",INDEX(DataOB[],FirstRow+ROW()-7,5),"")</f>
        <v/>
      </c>
      <c r="G884" s="58">
        <f>IF($B884&lt;&gt;"",SUMIFS(DataAct_tbl[AMOUNT],DataAct_tbl[BG CODE],Detail!$D884,DataAct_tbl[MONTH],LEFT(MonthName,3),DataAct_tbl[Dept code],$B884),0)</f>
        <v>0</v>
      </c>
      <c r="H884" s="31" t="str">
        <f t="shared" si="124"/>
        <v/>
      </c>
      <c r="I884" s="28" t="str">
        <f t="shared" si="125"/>
        <v/>
      </c>
      <c r="J884" s="32" t="str">
        <f t="shared" si="126"/>
        <v/>
      </c>
      <c r="K884" s="86"/>
      <c r="L884" s="62">
        <f>IF($B884&lt;&gt;"",SUMIFS(DataAct_tbl[AMOUNT],DataAct_tbl[BG CODE],Detail!$D884,DataAct_tbl[Check Range],"=true",DataAct_tbl[Dept code],$B884),0)</f>
        <v>0</v>
      </c>
      <c r="M884" s="63">
        <f>INDEX($AG$7:$AR$1005,ROW()-6,MATCH(MTD,$AG$6:$AR$6,0))</f>
        <v>0</v>
      </c>
      <c r="N884" s="34">
        <f t="shared" si="127"/>
        <v>0</v>
      </c>
      <c r="O884" s="64" t="str">
        <f t="shared" si="128"/>
        <v xml:space="preserve"> </v>
      </c>
      <c r="Q884" s="97">
        <f t="shared" si="129"/>
        <v>0</v>
      </c>
      <c r="R884" s="96">
        <f t="shared" si="130"/>
        <v>0</v>
      </c>
      <c r="T884" s="67" t="str">
        <f>IF($B884&lt;&gt;"",INDEX(DataOB[],FirstRow+ROW()-7,MATCH(T$6,DataOB[#Headers],0)),"")</f>
        <v/>
      </c>
      <c r="U884" s="67" t="str">
        <f>IF($B884&lt;&gt;"",INDEX(DataOB[],FirstRow+ROW()-7,MATCH(U$6,DataOB[#Headers],0)),"")</f>
        <v/>
      </c>
      <c r="V884" s="67" t="str">
        <f>IF($B884&lt;&gt;"",INDEX(DataOB[],FirstRow+ROW()-7,MATCH(V$6,DataOB[#Headers],0)),"")</f>
        <v/>
      </c>
      <c r="W884" s="67" t="str">
        <f>IF($B884&lt;&gt;"",INDEX(DataOB[],FirstRow+ROW()-7,MATCH(W$6,DataOB[#Headers],0)),"")</f>
        <v/>
      </c>
      <c r="X884" s="67" t="str">
        <f>IF($B884&lt;&gt;"",INDEX(DataOB[],FirstRow+ROW()-7,MATCH(X$6,DataOB[#Headers],0)),"")</f>
        <v/>
      </c>
      <c r="Y884" s="67" t="str">
        <f>IF($B884&lt;&gt;"",INDEX(DataOB[],FirstRow+ROW()-7,MATCH(Y$6,DataOB[#Headers],0)),"")</f>
        <v/>
      </c>
      <c r="Z884" s="67" t="str">
        <f>IF($B884&lt;&gt;"",INDEX(DataOB[],FirstRow+ROW()-7,MATCH(Z$6,DataOB[#Headers],0)),"")</f>
        <v/>
      </c>
      <c r="AA884" s="67" t="str">
        <f>IF($B884&lt;&gt;"",INDEX(DataOB[],FirstRow+ROW()-7,MATCH(AA$6,DataOB[#Headers],0)),"")</f>
        <v/>
      </c>
      <c r="AB884" s="67" t="str">
        <f>IF($B884&lt;&gt;"",INDEX(DataOB[],FirstRow+ROW()-7,MATCH(AB$6,DataOB[#Headers],0)),"")</f>
        <v/>
      </c>
      <c r="AC884" s="67" t="str">
        <f>IF($B884&lt;&gt;"",INDEX(DataOB[],FirstRow+ROW()-7,MATCH(AC$6,DataOB[#Headers],0)),"")</f>
        <v/>
      </c>
      <c r="AD884" s="67" t="str">
        <f>IF($B884&lt;&gt;"",INDEX(DataOB[],FirstRow+ROW()-7,MATCH(AD$6,DataOB[#Headers],0)),"")</f>
        <v/>
      </c>
      <c r="AE884" s="67" t="str">
        <f>IF($B884&lt;&gt;"",INDEX(DataOB[],FirstRow+ROW()-7,MATCH(AE$6,DataOB[#Headers],0)),"")</f>
        <v/>
      </c>
      <c r="AF884" s="26">
        <f t="shared" si="131"/>
        <v>0</v>
      </c>
      <c r="AG884" s="31">
        <f>SUM($T884:T884)</f>
        <v>0</v>
      </c>
      <c r="AH884" s="31">
        <f>SUM($T884:U884)</f>
        <v>0</v>
      </c>
      <c r="AI884" s="31">
        <f>SUM($T884:V884)</f>
        <v>0</v>
      </c>
      <c r="AJ884" s="31">
        <f>SUM($T884:W884)</f>
        <v>0</v>
      </c>
      <c r="AK884" s="31">
        <f>SUM($T884:X884)</f>
        <v>0</v>
      </c>
      <c r="AL884" s="31">
        <f>SUM($T884:Y884)</f>
        <v>0</v>
      </c>
      <c r="AM884" s="31">
        <f>SUM($T884:Z884)</f>
        <v>0</v>
      </c>
      <c r="AN884" s="31">
        <f>SUM($T884:AA884)</f>
        <v>0</v>
      </c>
      <c r="AO884" s="31">
        <f>SUM($T884:AB884)</f>
        <v>0</v>
      </c>
      <c r="AP884" s="31">
        <f>SUM($T884:AC884)</f>
        <v>0</v>
      </c>
      <c r="AQ884" s="31">
        <f>SUM($T884:AD884)</f>
        <v>0</v>
      </c>
      <c r="AR884" s="31">
        <f>SUM($T884:AE884)</f>
        <v>0</v>
      </c>
      <c r="AS884" s="27">
        <f t="shared" si="132"/>
        <v>0</v>
      </c>
    </row>
    <row r="885" spans="2:45">
      <c r="B885" s="102" t="str">
        <f>IF(ROW()-6&gt;NumCostCenter,"",IF(CostCenter&lt;&gt;"ALL",CostCenter,DATA_LF2!B883))</f>
        <v/>
      </c>
      <c r="C885" s="153" t="str">
        <f>IF($B885&lt;&gt;"",INDEX(DataOB[],FirstRow+ROW()-7,2),"")</f>
        <v/>
      </c>
      <c r="D885" s="66" t="str">
        <f>IF($B885&lt;&gt;"",INDEX(DataOB[],FirstRow+ROW()-7,3),"")</f>
        <v/>
      </c>
      <c r="E885" s="103" t="str">
        <f>IF($B885&lt;&gt;"",INDEX(DataOB[],FirstRow+ROW()-7,6),"")</f>
        <v/>
      </c>
      <c r="F885" s="103" t="str">
        <f>IF($B885&lt;&gt;"",INDEX(DataOB[],FirstRow+ROW()-7,5),"")</f>
        <v/>
      </c>
      <c r="G885" s="58">
        <f>IF($B885&lt;&gt;"",SUMIFS(DataAct_tbl[AMOUNT],DataAct_tbl[BG CODE],Detail!$D885,DataAct_tbl[MONTH],LEFT(MonthName,3),DataAct_tbl[Dept code],$B885),0)</f>
        <v>0</v>
      </c>
      <c r="H885" s="31" t="str">
        <f t="shared" si="124"/>
        <v/>
      </c>
      <c r="I885" s="28" t="str">
        <f t="shared" si="125"/>
        <v/>
      </c>
      <c r="J885" s="32" t="str">
        <f t="shared" si="126"/>
        <v/>
      </c>
      <c r="K885" s="86"/>
      <c r="L885" s="62">
        <f>IF($B885&lt;&gt;"",SUMIFS(DataAct_tbl[AMOUNT],DataAct_tbl[BG CODE],Detail!$D885,DataAct_tbl[Check Range],"=true",DataAct_tbl[Dept code],$B885),0)</f>
        <v>0</v>
      </c>
      <c r="M885" s="63">
        <f>INDEX($AG$7:$AR$1005,ROW()-6,MATCH(MTD,$AG$6:$AR$6,0))</f>
        <v>0</v>
      </c>
      <c r="N885" s="34">
        <f t="shared" si="127"/>
        <v>0</v>
      </c>
      <c r="O885" s="64" t="str">
        <f t="shared" si="128"/>
        <v xml:space="preserve"> </v>
      </c>
      <c r="Q885" s="97">
        <f t="shared" si="129"/>
        <v>0</v>
      </c>
      <c r="R885" s="96">
        <f t="shared" si="130"/>
        <v>0</v>
      </c>
      <c r="T885" s="67" t="str">
        <f>IF($B885&lt;&gt;"",INDEX(DataOB[],FirstRow+ROW()-7,MATCH(T$6,DataOB[#Headers],0)),"")</f>
        <v/>
      </c>
      <c r="U885" s="67" t="str">
        <f>IF($B885&lt;&gt;"",INDEX(DataOB[],FirstRow+ROW()-7,MATCH(U$6,DataOB[#Headers],0)),"")</f>
        <v/>
      </c>
      <c r="V885" s="67" t="str">
        <f>IF($B885&lt;&gt;"",INDEX(DataOB[],FirstRow+ROW()-7,MATCH(V$6,DataOB[#Headers],0)),"")</f>
        <v/>
      </c>
      <c r="W885" s="67" t="str">
        <f>IF($B885&lt;&gt;"",INDEX(DataOB[],FirstRow+ROW()-7,MATCH(W$6,DataOB[#Headers],0)),"")</f>
        <v/>
      </c>
      <c r="X885" s="67" t="str">
        <f>IF($B885&lt;&gt;"",INDEX(DataOB[],FirstRow+ROW()-7,MATCH(X$6,DataOB[#Headers],0)),"")</f>
        <v/>
      </c>
      <c r="Y885" s="67" t="str">
        <f>IF($B885&lt;&gt;"",INDEX(DataOB[],FirstRow+ROW()-7,MATCH(Y$6,DataOB[#Headers],0)),"")</f>
        <v/>
      </c>
      <c r="Z885" s="67" t="str">
        <f>IF($B885&lt;&gt;"",INDEX(DataOB[],FirstRow+ROW()-7,MATCH(Z$6,DataOB[#Headers],0)),"")</f>
        <v/>
      </c>
      <c r="AA885" s="67" t="str">
        <f>IF($B885&lt;&gt;"",INDEX(DataOB[],FirstRow+ROW()-7,MATCH(AA$6,DataOB[#Headers],0)),"")</f>
        <v/>
      </c>
      <c r="AB885" s="67" t="str">
        <f>IF($B885&lt;&gt;"",INDEX(DataOB[],FirstRow+ROW()-7,MATCH(AB$6,DataOB[#Headers],0)),"")</f>
        <v/>
      </c>
      <c r="AC885" s="67" t="str">
        <f>IF($B885&lt;&gt;"",INDEX(DataOB[],FirstRow+ROW()-7,MATCH(AC$6,DataOB[#Headers],0)),"")</f>
        <v/>
      </c>
      <c r="AD885" s="67" t="str">
        <f>IF($B885&lt;&gt;"",INDEX(DataOB[],FirstRow+ROW()-7,MATCH(AD$6,DataOB[#Headers],0)),"")</f>
        <v/>
      </c>
      <c r="AE885" s="67" t="str">
        <f>IF($B885&lt;&gt;"",INDEX(DataOB[],FirstRow+ROW()-7,MATCH(AE$6,DataOB[#Headers],0)),"")</f>
        <v/>
      </c>
      <c r="AF885" s="26">
        <f t="shared" si="131"/>
        <v>0</v>
      </c>
      <c r="AG885" s="31">
        <f>SUM($T885:T885)</f>
        <v>0</v>
      </c>
      <c r="AH885" s="31">
        <f>SUM($T885:U885)</f>
        <v>0</v>
      </c>
      <c r="AI885" s="31">
        <f>SUM($T885:V885)</f>
        <v>0</v>
      </c>
      <c r="AJ885" s="31">
        <f>SUM($T885:W885)</f>
        <v>0</v>
      </c>
      <c r="AK885" s="31">
        <f>SUM($T885:X885)</f>
        <v>0</v>
      </c>
      <c r="AL885" s="31">
        <f>SUM($T885:Y885)</f>
        <v>0</v>
      </c>
      <c r="AM885" s="31">
        <f>SUM($T885:Z885)</f>
        <v>0</v>
      </c>
      <c r="AN885" s="31">
        <f>SUM($T885:AA885)</f>
        <v>0</v>
      </c>
      <c r="AO885" s="31">
        <f>SUM($T885:AB885)</f>
        <v>0</v>
      </c>
      <c r="AP885" s="31">
        <f>SUM($T885:AC885)</f>
        <v>0</v>
      </c>
      <c r="AQ885" s="31">
        <f>SUM($T885:AD885)</f>
        <v>0</v>
      </c>
      <c r="AR885" s="31">
        <f>SUM($T885:AE885)</f>
        <v>0</v>
      </c>
      <c r="AS885" s="27">
        <f t="shared" si="132"/>
        <v>0</v>
      </c>
    </row>
    <row r="886" spans="2:45">
      <c r="B886" s="102" t="str">
        <f>IF(ROW()-6&gt;NumCostCenter,"",IF(CostCenter&lt;&gt;"ALL",CostCenter,DATA_LF2!B884))</f>
        <v/>
      </c>
      <c r="C886" s="153" t="str">
        <f>IF($B886&lt;&gt;"",INDEX(DataOB[],FirstRow+ROW()-7,2),"")</f>
        <v/>
      </c>
      <c r="D886" s="66" t="str">
        <f>IF($B886&lt;&gt;"",INDEX(DataOB[],FirstRow+ROW()-7,3),"")</f>
        <v/>
      </c>
      <c r="E886" s="103" t="str">
        <f>IF($B886&lt;&gt;"",INDEX(DataOB[],FirstRow+ROW()-7,6),"")</f>
        <v/>
      </c>
      <c r="F886" s="103" t="str">
        <f>IF($B886&lt;&gt;"",INDEX(DataOB[],FirstRow+ROW()-7,5),"")</f>
        <v/>
      </c>
      <c r="G886" s="58">
        <f>IF($B886&lt;&gt;"",SUMIFS(DataAct_tbl[AMOUNT],DataAct_tbl[BG CODE],Detail!$D886,DataAct_tbl[MONTH],LEFT(MonthName,3),DataAct_tbl[Dept code],$B886),0)</f>
        <v>0</v>
      </c>
      <c r="H886" s="31" t="str">
        <f t="shared" si="124"/>
        <v/>
      </c>
      <c r="I886" s="28" t="str">
        <f t="shared" si="125"/>
        <v/>
      </c>
      <c r="J886" s="32" t="str">
        <f t="shared" si="126"/>
        <v/>
      </c>
      <c r="K886" s="86"/>
      <c r="L886" s="62">
        <f>IF($B886&lt;&gt;"",SUMIFS(DataAct_tbl[AMOUNT],DataAct_tbl[BG CODE],Detail!$D886,DataAct_tbl[Check Range],"=true",DataAct_tbl[Dept code],$B886),0)</f>
        <v>0</v>
      </c>
      <c r="M886" s="63">
        <f>INDEX($AG$7:$AR$1005,ROW()-6,MATCH(MTD,$AG$6:$AR$6,0))</f>
        <v>0</v>
      </c>
      <c r="N886" s="34">
        <f t="shared" si="127"/>
        <v>0</v>
      </c>
      <c r="O886" s="64" t="str">
        <f t="shared" si="128"/>
        <v xml:space="preserve"> </v>
      </c>
      <c r="Q886" s="97">
        <f t="shared" si="129"/>
        <v>0</v>
      </c>
      <c r="R886" s="96">
        <f t="shared" si="130"/>
        <v>0</v>
      </c>
      <c r="T886" s="67" t="str">
        <f>IF($B886&lt;&gt;"",INDEX(DataOB[],FirstRow+ROW()-7,MATCH(T$6,DataOB[#Headers],0)),"")</f>
        <v/>
      </c>
      <c r="U886" s="67" t="str">
        <f>IF($B886&lt;&gt;"",INDEX(DataOB[],FirstRow+ROW()-7,MATCH(U$6,DataOB[#Headers],0)),"")</f>
        <v/>
      </c>
      <c r="V886" s="67" t="str">
        <f>IF($B886&lt;&gt;"",INDEX(DataOB[],FirstRow+ROW()-7,MATCH(V$6,DataOB[#Headers],0)),"")</f>
        <v/>
      </c>
      <c r="W886" s="67" t="str">
        <f>IF($B886&lt;&gt;"",INDEX(DataOB[],FirstRow+ROW()-7,MATCH(W$6,DataOB[#Headers],0)),"")</f>
        <v/>
      </c>
      <c r="X886" s="67" t="str">
        <f>IF($B886&lt;&gt;"",INDEX(DataOB[],FirstRow+ROW()-7,MATCH(X$6,DataOB[#Headers],0)),"")</f>
        <v/>
      </c>
      <c r="Y886" s="67" t="str">
        <f>IF($B886&lt;&gt;"",INDEX(DataOB[],FirstRow+ROW()-7,MATCH(Y$6,DataOB[#Headers],0)),"")</f>
        <v/>
      </c>
      <c r="Z886" s="67" t="str">
        <f>IF($B886&lt;&gt;"",INDEX(DataOB[],FirstRow+ROW()-7,MATCH(Z$6,DataOB[#Headers],0)),"")</f>
        <v/>
      </c>
      <c r="AA886" s="67" t="str">
        <f>IF($B886&lt;&gt;"",INDEX(DataOB[],FirstRow+ROW()-7,MATCH(AA$6,DataOB[#Headers],0)),"")</f>
        <v/>
      </c>
      <c r="AB886" s="67" t="str">
        <f>IF($B886&lt;&gt;"",INDEX(DataOB[],FirstRow+ROW()-7,MATCH(AB$6,DataOB[#Headers],0)),"")</f>
        <v/>
      </c>
      <c r="AC886" s="67" t="str">
        <f>IF($B886&lt;&gt;"",INDEX(DataOB[],FirstRow+ROW()-7,MATCH(AC$6,DataOB[#Headers],0)),"")</f>
        <v/>
      </c>
      <c r="AD886" s="67" t="str">
        <f>IF($B886&lt;&gt;"",INDEX(DataOB[],FirstRow+ROW()-7,MATCH(AD$6,DataOB[#Headers],0)),"")</f>
        <v/>
      </c>
      <c r="AE886" s="67" t="str">
        <f>IF($B886&lt;&gt;"",INDEX(DataOB[],FirstRow+ROW()-7,MATCH(AE$6,DataOB[#Headers],0)),"")</f>
        <v/>
      </c>
      <c r="AF886" s="26">
        <f t="shared" si="131"/>
        <v>0</v>
      </c>
      <c r="AG886" s="31">
        <f>SUM($T886:T886)</f>
        <v>0</v>
      </c>
      <c r="AH886" s="31">
        <f>SUM($T886:U886)</f>
        <v>0</v>
      </c>
      <c r="AI886" s="31">
        <f>SUM($T886:V886)</f>
        <v>0</v>
      </c>
      <c r="AJ886" s="31">
        <f>SUM($T886:W886)</f>
        <v>0</v>
      </c>
      <c r="AK886" s="31">
        <f>SUM($T886:X886)</f>
        <v>0</v>
      </c>
      <c r="AL886" s="31">
        <f>SUM($T886:Y886)</f>
        <v>0</v>
      </c>
      <c r="AM886" s="31">
        <f>SUM($T886:Z886)</f>
        <v>0</v>
      </c>
      <c r="AN886" s="31">
        <f>SUM($T886:AA886)</f>
        <v>0</v>
      </c>
      <c r="AO886" s="31">
        <f>SUM($T886:AB886)</f>
        <v>0</v>
      </c>
      <c r="AP886" s="31">
        <f>SUM($T886:AC886)</f>
        <v>0</v>
      </c>
      <c r="AQ886" s="31">
        <f>SUM($T886:AD886)</f>
        <v>0</v>
      </c>
      <c r="AR886" s="31">
        <f>SUM($T886:AE886)</f>
        <v>0</v>
      </c>
      <c r="AS886" s="27">
        <f t="shared" si="132"/>
        <v>0</v>
      </c>
    </row>
    <row r="887" spans="2:45">
      <c r="B887" s="102" t="str">
        <f>IF(ROW()-6&gt;NumCostCenter,"",IF(CostCenter&lt;&gt;"ALL",CostCenter,DATA_LF2!B885))</f>
        <v/>
      </c>
      <c r="C887" s="153" t="str">
        <f>IF($B887&lt;&gt;"",INDEX(DataOB[],FirstRow+ROW()-7,2),"")</f>
        <v/>
      </c>
      <c r="D887" s="66" t="str">
        <f>IF($B887&lt;&gt;"",INDEX(DataOB[],FirstRow+ROW()-7,3),"")</f>
        <v/>
      </c>
      <c r="E887" s="103" t="str">
        <f>IF($B887&lt;&gt;"",INDEX(DataOB[],FirstRow+ROW()-7,6),"")</f>
        <v/>
      </c>
      <c r="F887" s="103" t="str">
        <f>IF($B887&lt;&gt;"",INDEX(DataOB[],FirstRow+ROW()-7,5),"")</f>
        <v/>
      </c>
      <c r="G887" s="58">
        <f>IF($B887&lt;&gt;"",SUMIFS(DataAct_tbl[AMOUNT],DataAct_tbl[BG CODE],Detail!$D887,DataAct_tbl[MONTH],LEFT(MonthName,3),DataAct_tbl[Dept code],$B887),0)</f>
        <v>0</v>
      </c>
      <c r="H887" s="31" t="str">
        <f t="shared" si="124"/>
        <v/>
      </c>
      <c r="I887" s="28" t="str">
        <f t="shared" si="125"/>
        <v/>
      </c>
      <c r="J887" s="32" t="str">
        <f t="shared" si="126"/>
        <v/>
      </c>
      <c r="K887" s="86"/>
      <c r="L887" s="62">
        <f>IF($B887&lt;&gt;"",SUMIFS(DataAct_tbl[AMOUNT],DataAct_tbl[BG CODE],Detail!$D887,DataAct_tbl[Check Range],"=true",DataAct_tbl[Dept code],$B887),0)</f>
        <v>0</v>
      </c>
      <c r="M887" s="63">
        <f>INDEX($AG$7:$AR$1005,ROW()-6,MATCH(MTD,$AG$6:$AR$6,0))</f>
        <v>0</v>
      </c>
      <c r="N887" s="34">
        <f t="shared" si="127"/>
        <v>0</v>
      </c>
      <c r="O887" s="64" t="str">
        <f t="shared" si="128"/>
        <v xml:space="preserve"> </v>
      </c>
      <c r="Q887" s="97">
        <f t="shared" si="129"/>
        <v>0</v>
      </c>
      <c r="R887" s="96">
        <f t="shared" si="130"/>
        <v>0</v>
      </c>
      <c r="T887" s="67" t="str">
        <f>IF($B887&lt;&gt;"",INDEX(DataOB[],FirstRow+ROW()-7,MATCH(T$6,DataOB[#Headers],0)),"")</f>
        <v/>
      </c>
      <c r="U887" s="67" t="str">
        <f>IF($B887&lt;&gt;"",INDEX(DataOB[],FirstRow+ROW()-7,MATCH(U$6,DataOB[#Headers],0)),"")</f>
        <v/>
      </c>
      <c r="V887" s="67" t="str">
        <f>IF($B887&lt;&gt;"",INDEX(DataOB[],FirstRow+ROW()-7,MATCH(V$6,DataOB[#Headers],0)),"")</f>
        <v/>
      </c>
      <c r="W887" s="67" t="str">
        <f>IF($B887&lt;&gt;"",INDEX(DataOB[],FirstRow+ROW()-7,MATCH(W$6,DataOB[#Headers],0)),"")</f>
        <v/>
      </c>
      <c r="X887" s="67" t="str">
        <f>IF($B887&lt;&gt;"",INDEX(DataOB[],FirstRow+ROW()-7,MATCH(X$6,DataOB[#Headers],0)),"")</f>
        <v/>
      </c>
      <c r="Y887" s="67" t="str">
        <f>IF($B887&lt;&gt;"",INDEX(DataOB[],FirstRow+ROW()-7,MATCH(Y$6,DataOB[#Headers],0)),"")</f>
        <v/>
      </c>
      <c r="Z887" s="67" t="str">
        <f>IF($B887&lt;&gt;"",INDEX(DataOB[],FirstRow+ROW()-7,MATCH(Z$6,DataOB[#Headers],0)),"")</f>
        <v/>
      </c>
      <c r="AA887" s="67" t="str">
        <f>IF($B887&lt;&gt;"",INDEX(DataOB[],FirstRow+ROW()-7,MATCH(AA$6,DataOB[#Headers],0)),"")</f>
        <v/>
      </c>
      <c r="AB887" s="67" t="str">
        <f>IF($B887&lt;&gt;"",INDEX(DataOB[],FirstRow+ROW()-7,MATCH(AB$6,DataOB[#Headers],0)),"")</f>
        <v/>
      </c>
      <c r="AC887" s="67" t="str">
        <f>IF($B887&lt;&gt;"",INDEX(DataOB[],FirstRow+ROW()-7,MATCH(AC$6,DataOB[#Headers],0)),"")</f>
        <v/>
      </c>
      <c r="AD887" s="67" t="str">
        <f>IF($B887&lt;&gt;"",INDEX(DataOB[],FirstRow+ROW()-7,MATCH(AD$6,DataOB[#Headers],0)),"")</f>
        <v/>
      </c>
      <c r="AE887" s="67" t="str">
        <f>IF($B887&lt;&gt;"",INDEX(DataOB[],FirstRow+ROW()-7,MATCH(AE$6,DataOB[#Headers],0)),"")</f>
        <v/>
      </c>
      <c r="AF887" s="26">
        <f t="shared" si="131"/>
        <v>0</v>
      </c>
      <c r="AG887" s="31">
        <f>SUM($T887:T887)</f>
        <v>0</v>
      </c>
      <c r="AH887" s="31">
        <f>SUM($T887:U887)</f>
        <v>0</v>
      </c>
      <c r="AI887" s="31">
        <f>SUM($T887:V887)</f>
        <v>0</v>
      </c>
      <c r="AJ887" s="31">
        <f>SUM($T887:W887)</f>
        <v>0</v>
      </c>
      <c r="AK887" s="31">
        <f>SUM($T887:X887)</f>
        <v>0</v>
      </c>
      <c r="AL887" s="31">
        <f>SUM($T887:Y887)</f>
        <v>0</v>
      </c>
      <c r="AM887" s="31">
        <f>SUM($T887:Z887)</f>
        <v>0</v>
      </c>
      <c r="AN887" s="31">
        <f>SUM($T887:AA887)</f>
        <v>0</v>
      </c>
      <c r="AO887" s="31">
        <f>SUM($T887:AB887)</f>
        <v>0</v>
      </c>
      <c r="AP887" s="31">
        <f>SUM($T887:AC887)</f>
        <v>0</v>
      </c>
      <c r="AQ887" s="31">
        <f>SUM($T887:AD887)</f>
        <v>0</v>
      </c>
      <c r="AR887" s="31">
        <f>SUM($T887:AE887)</f>
        <v>0</v>
      </c>
      <c r="AS887" s="27">
        <f t="shared" si="132"/>
        <v>0</v>
      </c>
    </row>
    <row r="888" spans="2:45">
      <c r="B888" s="102" t="str">
        <f>IF(ROW()-6&gt;NumCostCenter,"",IF(CostCenter&lt;&gt;"ALL",CostCenter,DATA_LF2!B886))</f>
        <v/>
      </c>
      <c r="C888" s="153" t="str">
        <f>IF($B888&lt;&gt;"",INDEX(DataOB[],FirstRow+ROW()-7,2),"")</f>
        <v/>
      </c>
      <c r="D888" s="66" t="str">
        <f>IF($B888&lt;&gt;"",INDEX(DataOB[],FirstRow+ROW()-7,3),"")</f>
        <v/>
      </c>
      <c r="E888" s="103" t="str">
        <f>IF($B888&lt;&gt;"",INDEX(DataOB[],FirstRow+ROW()-7,6),"")</f>
        <v/>
      </c>
      <c r="F888" s="103" t="str">
        <f>IF($B888&lt;&gt;"",INDEX(DataOB[],FirstRow+ROW()-7,5),"")</f>
        <v/>
      </c>
      <c r="G888" s="58">
        <f>IF($B888&lt;&gt;"",SUMIFS(DataAct_tbl[AMOUNT],DataAct_tbl[BG CODE],Detail!$D888,DataAct_tbl[MONTH],LEFT(MonthName,3),DataAct_tbl[Dept code],$B888),0)</f>
        <v>0</v>
      </c>
      <c r="H888" s="31" t="str">
        <f t="shared" si="124"/>
        <v/>
      </c>
      <c r="I888" s="28" t="str">
        <f t="shared" si="125"/>
        <v/>
      </c>
      <c r="J888" s="32" t="str">
        <f t="shared" si="126"/>
        <v/>
      </c>
      <c r="K888" s="86"/>
      <c r="L888" s="62">
        <f>IF($B888&lt;&gt;"",SUMIFS(DataAct_tbl[AMOUNT],DataAct_tbl[BG CODE],Detail!$D888,DataAct_tbl[Check Range],"=true",DataAct_tbl[Dept code],$B888),0)</f>
        <v>0</v>
      </c>
      <c r="M888" s="63">
        <f>INDEX($AG$7:$AR$1005,ROW()-6,MATCH(MTD,$AG$6:$AR$6,0))</f>
        <v>0</v>
      </c>
      <c r="N888" s="34">
        <f t="shared" si="127"/>
        <v>0</v>
      </c>
      <c r="O888" s="64" t="str">
        <f t="shared" si="128"/>
        <v xml:space="preserve"> </v>
      </c>
      <c r="Q888" s="97">
        <f t="shared" si="129"/>
        <v>0</v>
      </c>
      <c r="R888" s="96">
        <f t="shared" si="130"/>
        <v>0</v>
      </c>
      <c r="T888" s="67" t="str">
        <f>IF($B888&lt;&gt;"",INDEX(DataOB[],FirstRow+ROW()-7,MATCH(T$6,DataOB[#Headers],0)),"")</f>
        <v/>
      </c>
      <c r="U888" s="67" t="str">
        <f>IF($B888&lt;&gt;"",INDEX(DataOB[],FirstRow+ROW()-7,MATCH(U$6,DataOB[#Headers],0)),"")</f>
        <v/>
      </c>
      <c r="V888" s="67" t="str">
        <f>IF($B888&lt;&gt;"",INDEX(DataOB[],FirstRow+ROW()-7,MATCH(V$6,DataOB[#Headers],0)),"")</f>
        <v/>
      </c>
      <c r="W888" s="67" t="str">
        <f>IF($B888&lt;&gt;"",INDEX(DataOB[],FirstRow+ROW()-7,MATCH(W$6,DataOB[#Headers],0)),"")</f>
        <v/>
      </c>
      <c r="X888" s="67" t="str">
        <f>IF($B888&lt;&gt;"",INDEX(DataOB[],FirstRow+ROW()-7,MATCH(X$6,DataOB[#Headers],0)),"")</f>
        <v/>
      </c>
      <c r="Y888" s="67" t="str">
        <f>IF($B888&lt;&gt;"",INDEX(DataOB[],FirstRow+ROW()-7,MATCH(Y$6,DataOB[#Headers],0)),"")</f>
        <v/>
      </c>
      <c r="Z888" s="67" t="str">
        <f>IF($B888&lt;&gt;"",INDEX(DataOB[],FirstRow+ROW()-7,MATCH(Z$6,DataOB[#Headers],0)),"")</f>
        <v/>
      </c>
      <c r="AA888" s="67" t="str">
        <f>IF($B888&lt;&gt;"",INDEX(DataOB[],FirstRow+ROW()-7,MATCH(AA$6,DataOB[#Headers],0)),"")</f>
        <v/>
      </c>
      <c r="AB888" s="67" t="str">
        <f>IF($B888&lt;&gt;"",INDEX(DataOB[],FirstRow+ROW()-7,MATCH(AB$6,DataOB[#Headers],0)),"")</f>
        <v/>
      </c>
      <c r="AC888" s="67" t="str">
        <f>IF($B888&lt;&gt;"",INDEX(DataOB[],FirstRow+ROW()-7,MATCH(AC$6,DataOB[#Headers],0)),"")</f>
        <v/>
      </c>
      <c r="AD888" s="67" t="str">
        <f>IF($B888&lt;&gt;"",INDEX(DataOB[],FirstRow+ROW()-7,MATCH(AD$6,DataOB[#Headers],0)),"")</f>
        <v/>
      </c>
      <c r="AE888" s="67" t="str">
        <f>IF($B888&lt;&gt;"",INDEX(DataOB[],FirstRow+ROW()-7,MATCH(AE$6,DataOB[#Headers],0)),"")</f>
        <v/>
      </c>
      <c r="AF888" s="26">
        <f t="shared" si="131"/>
        <v>0</v>
      </c>
      <c r="AG888" s="31">
        <f>SUM($T888:T888)</f>
        <v>0</v>
      </c>
      <c r="AH888" s="31">
        <f>SUM($T888:U888)</f>
        <v>0</v>
      </c>
      <c r="AI888" s="31">
        <f>SUM($T888:V888)</f>
        <v>0</v>
      </c>
      <c r="AJ888" s="31">
        <f>SUM($T888:W888)</f>
        <v>0</v>
      </c>
      <c r="AK888" s="31">
        <f>SUM($T888:X888)</f>
        <v>0</v>
      </c>
      <c r="AL888" s="31">
        <f>SUM($T888:Y888)</f>
        <v>0</v>
      </c>
      <c r="AM888" s="31">
        <f>SUM($T888:Z888)</f>
        <v>0</v>
      </c>
      <c r="AN888" s="31">
        <f>SUM($T888:AA888)</f>
        <v>0</v>
      </c>
      <c r="AO888" s="31">
        <f>SUM($T888:AB888)</f>
        <v>0</v>
      </c>
      <c r="AP888" s="31">
        <f>SUM($T888:AC888)</f>
        <v>0</v>
      </c>
      <c r="AQ888" s="31">
        <f>SUM($T888:AD888)</f>
        <v>0</v>
      </c>
      <c r="AR888" s="31">
        <f>SUM($T888:AE888)</f>
        <v>0</v>
      </c>
      <c r="AS888" s="27">
        <f t="shared" si="132"/>
        <v>0</v>
      </c>
    </row>
    <row r="889" spans="2:45">
      <c r="B889" s="102" t="str">
        <f>IF(ROW()-6&gt;NumCostCenter,"",IF(CostCenter&lt;&gt;"ALL",CostCenter,DATA_LF2!B887))</f>
        <v/>
      </c>
      <c r="C889" s="153" t="str">
        <f>IF($B889&lt;&gt;"",INDEX(DataOB[],FirstRow+ROW()-7,2),"")</f>
        <v/>
      </c>
      <c r="D889" s="66" t="str">
        <f>IF($B889&lt;&gt;"",INDEX(DataOB[],FirstRow+ROW()-7,3),"")</f>
        <v/>
      </c>
      <c r="E889" s="103" t="str">
        <f>IF($B889&lt;&gt;"",INDEX(DataOB[],FirstRow+ROW()-7,6),"")</f>
        <v/>
      </c>
      <c r="F889" s="103" t="str">
        <f>IF($B889&lt;&gt;"",INDEX(DataOB[],FirstRow+ROW()-7,5),"")</f>
        <v/>
      </c>
      <c r="G889" s="58">
        <f>IF($B889&lt;&gt;"",SUMIFS(DataAct_tbl[AMOUNT],DataAct_tbl[BG CODE],Detail!$D889,DataAct_tbl[MONTH],LEFT(MonthName,3),DataAct_tbl[Dept code],$B889),0)</f>
        <v>0</v>
      </c>
      <c r="H889" s="31" t="str">
        <f t="shared" si="124"/>
        <v/>
      </c>
      <c r="I889" s="28" t="str">
        <f t="shared" si="125"/>
        <v/>
      </c>
      <c r="J889" s="32" t="str">
        <f t="shared" si="126"/>
        <v/>
      </c>
      <c r="K889" s="86"/>
      <c r="L889" s="62">
        <f>IF($B889&lt;&gt;"",SUMIFS(DataAct_tbl[AMOUNT],DataAct_tbl[BG CODE],Detail!$D889,DataAct_tbl[Check Range],"=true",DataAct_tbl[Dept code],$B889),0)</f>
        <v>0</v>
      </c>
      <c r="M889" s="63">
        <f>INDEX($AG$7:$AR$1005,ROW()-6,MATCH(MTD,$AG$6:$AR$6,0))</f>
        <v>0</v>
      </c>
      <c r="N889" s="34">
        <f t="shared" si="127"/>
        <v>0</v>
      </c>
      <c r="O889" s="64" t="str">
        <f t="shared" si="128"/>
        <v xml:space="preserve"> </v>
      </c>
      <c r="Q889" s="97">
        <f t="shared" si="129"/>
        <v>0</v>
      </c>
      <c r="R889" s="96">
        <f t="shared" si="130"/>
        <v>0</v>
      </c>
      <c r="T889" s="67" t="str">
        <f>IF($B889&lt;&gt;"",INDEX(DataOB[],FirstRow+ROW()-7,MATCH(T$6,DataOB[#Headers],0)),"")</f>
        <v/>
      </c>
      <c r="U889" s="67" t="str">
        <f>IF($B889&lt;&gt;"",INDEX(DataOB[],FirstRow+ROW()-7,MATCH(U$6,DataOB[#Headers],0)),"")</f>
        <v/>
      </c>
      <c r="V889" s="67" t="str">
        <f>IF($B889&lt;&gt;"",INDEX(DataOB[],FirstRow+ROW()-7,MATCH(V$6,DataOB[#Headers],0)),"")</f>
        <v/>
      </c>
      <c r="W889" s="67" t="str">
        <f>IF($B889&lt;&gt;"",INDEX(DataOB[],FirstRow+ROW()-7,MATCH(W$6,DataOB[#Headers],0)),"")</f>
        <v/>
      </c>
      <c r="X889" s="67" t="str">
        <f>IF($B889&lt;&gt;"",INDEX(DataOB[],FirstRow+ROW()-7,MATCH(X$6,DataOB[#Headers],0)),"")</f>
        <v/>
      </c>
      <c r="Y889" s="67" t="str">
        <f>IF($B889&lt;&gt;"",INDEX(DataOB[],FirstRow+ROW()-7,MATCH(Y$6,DataOB[#Headers],0)),"")</f>
        <v/>
      </c>
      <c r="Z889" s="67" t="str">
        <f>IF($B889&lt;&gt;"",INDEX(DataOB[],FirstRow+ROW()-7,MATCH(Z$6,DataOB[#Headers],0)),"")</f>
        <v/>
      </c>
      <c r="AA889" s="67" t="str">
        <f>IF($B889&lt;&gt;"",INDEX(DataOB[],FirstRow+ROW()-7,MATCH(AA$6,DataOB[#Headers],0)),"")</f>
        <v/>
      </c>
      <c r="AB889" s="67" t="str">
        <f>IF($B889&lt;&gt;"",INDEX(DataOB[],FirstRow+ROW()-7,MATCH(AB$6,DataOB[#Headers],0)),"")</f>
        <v/>
      </c>
      <c r="AC889" s="67" t="str">
        <f>IF($B889&lt;&gt;"",INDEX(DataOB[],FirstRow+ROW()-7,MATCH(AC$6,DataOB[#Headers],0)),"")</f>
        <v/>
      </c>
      <c r="AD889" s="67" t="str">
        <f>IF($B889&lt;&gt;"",INDEX(DataOB[],FirstRow+ROW()-7,MATCH(AD$6,DataOB[#Headers],0)),"")</f>
        <v/>
      </c>
      <c r="AE889" s="67" t="str">
        <f>IF($B889&lt;&gt;"",INDEX(DataOB[],FirstRow+ROW()-7,MATCH(AE$6,DataOB[#Headers],0)),"")</f>
        <v/>
      </c>
      <c r="AF889" s="26">
        <f t="shared" si="131"/>
        <v>0</v>
      </c>
      <c r="AG889" s="31">
        <f>SUM($T889:T889)</f>
        <v>0</v>
      </c>
      <c r="AH889" s="31">
        <f>SUM($T889:U889)</f>
        <v>0</v>
      </c>
      <c r="AI889" s="31">
        <f>SUM($T889:V889)</f>
        <v>0</v>
      </c>
      <c r="AJ889" s="31">
        <f>SUM($T889:W889)</f>
        <v>0</v>
      </c>
      <c r="AK889" s="31">
        <f>SUM($T889:X889)</f>
        <v>0</v>
      </c>
      <c r="AL889" s="31">
        <f>SUM($T889:Y889)</f>
        <v>0</v>
      </c>
      <c r="AM889" s="31">
        <f>SUM($T889:Z889)</f>
        <v>0</v>
      </c>
      <c r="AN889" s="31">
        <f>SUM($T889:AA889)</f>
        <v>0</v>
      </c>
      <c r="AO889" s="31">
        <f>SUM($T889:AB889)</f>
        <v>0</v>
      </c>
      <c r="AP889" s="31">
        <f>SUM($T889:AC889)</f>
        <v>0</v>
      </c>
      <c r="AQ889" s="31">
        <f>SUM($T889:AD889)</f>
        <v>0</v>
      </c>
      <c r="AR889" s="31">
        <f>SUM($T889:AE889)</f>
        <v>0</v>
      </c>
      <c r="AS889" s="27">
        <f t="shared" si="132"/>
        <v>0</v>
      </c>
    </row>
    <row r="890" spans="2:45">
      <c r="B890" s="102" t="str">
        <f>IF(ROW()-6&gt;NumCostCenter,"",IF(CostCenter&lt;&gt;"ALL",CostCenter,DATA_LF2!B888))</f>
        <v/>
      </c>
      <c r="C890" s="153" t="str">
        <f>IF($B890&lt;&gt;"",INDEX(DataOB[],FirstRow+ROW()-7,2),"")</f>
        <v/>
      </c>
      <c r="D890" s="66" t="str">
        <f>IF($B890&lt;&gt;"",INDEX(DataOB[],FirstRow+ROW()-7,3),"")</f>
        <v/>
      </c>
      <c r="E890" s="103" t="str">
        <f>IF($B890&lt;&gt;"",INDEX(DataOB[],FirstRow+ROW()-7,6),"")</f>
        <v/>
      </c>
      <c r="F890" s="103" t="str">
        <f>IF($B890&lt;&gt;"",INDEX(DataOB[],FirstRow+ROW()-7,5),"")</f>
        <v/>
      </c>
      <c r="G890" s="58">
        <f>IF($B890&lt;&gt;"",SUMIFS(DataAct_tbl[AMOUNT],DataAct_tbl[BG CODE],Detail!$D890,DataAct_tbl[MONTH],LEFT(MonthName,3),DataAct_tbl[Dept code],$B890),0)</f>
        <v>0</v>
      </c>
      <c r="H890" s="31" t="str">
        <f t="shared" si="124"/>
        <v/>
      </c>
      <c r="I890" s="28" t="str">
        <f t="shared" si="125"/>
        <v/>
      </c>
      <c r="J890" s="32" t="str">
        <f t="shared" si="126"/>
        <v/>
      </c>
      <c r="K890" s="86"/>
      <c r="L890" s="62">
        <f>IF($B890&lt;&gt;"",SUMIFS(DataAct_tbl[AMOUNT],DataAct_tbl[BG CODE],Detail!$D890,DataAct_tbl[Check Range],"=true",DataAct_tbl[Dept code],$B890),0)</f>
        <v>0</v>
      </c>
      <c r="M890" s="63">
        <f>INDEX($AG$7:$AR$1005,ROW()-6,MATCH(MTD,$AG$6:$AR$6,0))</f>
        <v>0</v>
      </c>
      <c r="N890" s="34">
        <f t="shared" si="127"/>
        <v>0</v>
      </c>
      <c r="O890" s="64" t="str">
        <f t="shared" si="128"/>
        <v xml:space="preserve"> </v>
      </c>
      <c r="Q890" s="97">
        <f t="shared" si="129"/>
        <v>0</v>
      </c>
      <c r="R890" s="96">
        <f t="shared" si="130"/>
        <v>0</v>
      </c>
      <c r="T890" s="67" t="str">
        <f>IF($B890&lt;&gt;"",INDEX(DataOB[],FirstRow+ROW()-7,MATCH(T$6,DataOB[#Headers],0)),"")</f>
        <v/>
      </c>
      <c r="U890" s="67" t="str">
        <f>IF($B890&lt;&gt;"",INDEX(DataOB[],FirstRow+ROW()-7,MATCH(U$6,DataOB[#Headers],0)),"")</f>
        <v/>
      </c>
      <c r="V890" s="67" t="str">
        <f>IF($B890&lt;&gt;"",INDEX(DataOB[],FirstRow+ROW()-7,MATCH(V$6,DataOB[#Headers],0)),"")</f>
        <v/>
      </c>
      <c r="W890" s="67" t="str">
        <f>IF($B890&lt;&gt;"",INDEX(DataOB[],FirstRow+ROW()-7,MATCH(W$6,DataOB[#Headers],0)),"")</f>
        <v/>
      </c>
      <c r="X890" s="67" t="str">
        <f>IF($B890&lt;&gt;"",INDEX(DataOB[],FirstRow+ROW()-7,MATCH(X$6,DataOB[#Headers],0)),"")</f>
        <v/>
      </c>
      <c r="Y890" s="67" t="str">
        <f>IF($B890&lt;&gt;"",INDEX(DataOB[],FirstRow+ROW()-7,MATCH(Y$6,DataOB[#Headers],0)),"")</f>
        <v/>
      </c>
      <c r="Z890" s="67" t="str">
        <f>IF($B890&lt;&gt;"",INDEX(DataOB[],FirstRow+ROW()-7,MATCH(Z$6,DataOB[#Headers],0)),"")</f>
        <v/>
      </c>
      <c r="AA890" s="67" t="str">
        <f>IF($B890&lt;&gt;"",INDEX(DataOB[],FirstRow+ROW()-7,MATCH(AA$6,DataOB[#Headers],0)),"")</f>
        <v/>
      </c>
      <c r="AB890" s="67" t="str">
        <f>IF($B890&lt;&gt;"",INDEX(DataOB[],FirstRow+ROW()-7,MATCH(AB$6,DataOB[#Headers],0)),"")</f>
        <v/>
      </c>
      <c r="AC890" s="67" t="str">
        <f>IF($B890&lt;&gt;"",INDEX(DataOB[],FirstRow+ROW()-7,MATCH(AC$6,DataOB[#Headers],0)),"")</f>
        <v/>
      </c>
      <c r="AD890" s="67" t="str">
        <f>IF($B890&lt;&gt;"",INDEX(DataOB[],FirstRow+ROW()-7,MATCH(AD$6,DataOB[#Headers],0)),"")</f>
        <v/>
      </c>
      <c r="AE890" s="67" t="str">
        <f>IF($B890&lt;&gt;"",INDEX(DataOB[],FirstRow+ROW()-7,MATCH(AE$6,DataOB[#Headers],0)),"")</f>
        <v/>
      </c>
      <c r="AF890" s="26">
        <f t="shared" si="131"/>
        <v>0</v>
      </c>
      <c r="AG890" s="31">
        <f>SUM($T890:T890)</f>
        <v>0</v>
      </c>
      <c r="AH890" s="31">
        <f>SUM($T890:U890)</f>
        <v>0</v>
      </c>
      <c r="AI890" s="31">
        <f>SUM($T890:V890)</f>
        <v>0</v>
      </c>
      <c r="AJ890" s="31">
        <f>SUM($T890:W890)</f>
        <v>0</v>
      </c>
      <c r="AK890" s="31">
        <f>SUM($T890:X890)</f>
        <v>0</v>
      </c>
      <c r="AL890" s="31">
        <f>SUM($T890:Y890)</f>
        <v>0</v>
      </c>
      <c r="AM890" s="31">
        <f>SUM($T890:Z890)</f>
        <v>0</v>
      </c>
      <c r="AN890" s="31">
        <f>SUM($T890:AA890)</f>
        <v>0</v>
      </c>
      <c r="AO890" s="31">
        <f>SUM($T890:AB890)</f>
        <v>0</v>
      </c>
      <c r="AP890" s="31">
        <f>SUM($T890:AC890)</f>
        <v>0</v>
      </c>
      <c r="AQ890" s="31">
        <f>SUM($T890:AD890)</f>
        <v>0</v>
      </c>
      <c r="AR890" s="31">
        <f>SUM($T890:AE890)</f>
        <v>0</v>
      </c>
      <c r="AS890" s="27">
        <f t="shared" si="132"/>
        <v>0</v>
      </c>
    </row>
    <row r="891" spans="2:45">
      <c r="B891" s="102" t="str">
        <f>IF(ROW()-6&gt;NumCostCenter,"",IF(CostCenter&lt;&gt;"ALL",CostCenter,DATA_LF2!B889))</f>
        <v/>
      </c>
      <c r="C891" s="153" t="str">
        <f>IF($B891&lt;&gt;"",INDEX(DataOB[],FirstRow+ROW()-7,2),"")</f>
        <v/>
      </c>
      <c r="D891" s="66" t="str">
        <f>IF($B891&lt;&gt;"",INDEX(DataOB[],FirstRow+ROW()-7,3),"")</f>
        <v/>
      </c>
      <c r="E891" s="103" t="str">
        <f>IF($B891&lt;&gt;"",INDEX(DataOB[],FirstRow+ROW()-7,6),"")</f>
        <v/>
      </c>
      <c r="F891" s="103" t="str">
        <f>IF($B891&lt;&gt;"",INDEX(DataOB[],FirstRow+ROW()-7,5),"")</f>
        <v/>
      </c>
      <c r="G891" s="58">
        <f>IF($B891&lt;&gt;"",SUMIFS(DataAct_tbl[AMOUNT],DataAct_tbl[BG CODE],Detail!$D891,DataAct_tbl[MONTH],LEFT(MonthName,3),DataAct_tbl[Dept code],$B891),0)</f>
        <v>0</v>
      </c>
      <c r="H891" s="31" t="str">
        <f t="shared" si="124"/>
        <v/>
      </c>
      <c r="I891" s="28" t="str">
        <f t="shared" si="125"/>
        <v/>
      </c>
      <c r="J891" s="32" t="str">
        <f t="shared" si="126"/>
        <v/>
      </c>
      <c r="K891" s="86"/>
      <c r="L891" s="62">
        <f>IF($B891&lt;&gt;"",SUMIFS(DataAct_tbl[AMOUNT],DataAct_tbl[BG CODE],Detail!$D891,DataAct_tbl[Check Range],"=true",DataAct_tbl[Dept code],$B891),0)</f>
        <v>0</v>
      </c>
      <c r="M891" s="63">
        <f>INDEX($AG$7:$AR$1005,ROW()-6,MATCH(MTD,$AG$6:$AR$6,0))</f>
        <v>0</v>
      </c>
      <c r="N891" s="34">
        <f t="shared" si="127"/>
        <v>0</v>
      </c>
      <c r="O891" s="64" t="str">
        <f t="shared" si="128"/>
        <v xml:space="preserve"> </v>
      </c>
      <c r="Q891" s="97">
        <f t="shared" si="129"/>
        <v>0</v>
      </c>
      <c r="R891" s="96">
        <f t="shared" si="130"/>
        <v>0</v>
      </c>
      <c r="T891" s="67" t="str">
        <f>IF($B891&lt;&gt;"",INDEX(DataOB[],FirstRow+ROW()-7,MATCH(T$6,DataOB[#Headers],0)),"")</f>
        <v/>
      </c>
      <c r="U891" s="67" t="str">
        <f>IF($B891&lt;&gt;"",INDEX(DataOB[],FirstRow+ROW()-7,MATCH(U$6,DataOB[#Headers],0)),"")</f>
        <v/>
      </c>
      <c r="V891" s="67" t="str">
        <f>IF($B891&lt;&gt;"",INDEX(DataOB[],FirstRow+ROW()-7,MATCH(V$6,DataOB[#Headers],0)),"")</f>
        <v/>
      </c>
      <c r="W891" s="67" t="str">
        <f>IF($B891&lt;&gt;"",INDEX(DataOB[],FirstRow+ROW()-7,MATCH(W$6,DataOB[#Headers],0)),"")</f>
        <v/>
      </c>
      <c r="X891" s="67" t="str">
        <f>IF($B891&lt;&gt;"",INDEX(DataOB[],FirstRow+ROW()-7,MATCH(X$6,DataOB[#Headers],0)),"")</f>
        <v/>
      </c>
      <c r="Y891" s="67" t="str">
        <f>IF($B891&lt;&gt;"",INDEX(DataOB[],FirstRow+ROW()-7,MATCH(Y$6,DataOB[#Headers],0)),"")</f>
        <v/>
      </c>
      <c r="Z891" s="67" t="str">
        <f>IF($B891&lt;&gt;"",INDEX(DataOB[],FirstRow+ROW()-7,MATCH(Z$6,DataOB[#Headers],0)),"")</f>
        <v/>
      </c>
      <c r="AA891" s="67" t="str">
        <f>IF($B891&lt;&gt;"",INDEX(DataOB[],FirstRow+ROW()-7,MATCH(AA$6,DataOB[#Headers],0)),"")</f>
        <v/>
      </c>
      <c r="AB891" s="67" t="str">
        <f>IF($B891&lt;&gt;"",INDEX(DataOB[],FirstRow+ROW()-7,MATCH(AB$6,DataOB[#Headers],0)),"")</f>
        <v/>
      </c>
      <c r="AC891" s="67" t="str">
        <f>IF($B891&lt;&gt;"",INDEX(DataOB[],FirstRow+ROW()-7,MATCH(AC$6,DataOB[#Headers],0)),"")</f>
        <v/>
      </c>
      <c r="AD891" s="67" t="str">
        <f>IF($B891&lt;&gt;"",INDEX(DataOB[],FirstRow+ROW()-7,MATCH(AD$6,DataOB[#Headers],0)),"")</f>
        <v/>
      </c>
      <c r="AE891" s="67" t="str">
        <f>IF($B891&lt;&gt;"",INDEX(DataOB[],FirstRow+ROW()-7,MATCH(AE$6,DataOB[#Headers],0)),"")</f>
        <v/>
      </c>
      <c r="AF891" s="26">
        <f t="shared" si="131"/>
        <v>0</v>
      </c>
      <c r="AG891" s="31">
        <f>SUM($T891:T891)</f>
        <v>0</v>
      </c>
      <c r="AH891" s="31">
        <f>SUM($T891:U891)</f>
        <v>0</v>
      </c>
      <c r="AI891" s="31">
        <f>SUM($T891:V891)</f>
        <v>0</v>
      </c>
      <c r="AJ891" s="31">
        <f>SUM($T891:W891)</f>
        <v>0</v>
      </c>
      <c r="AK891" s="31">
        <f>SUM($T891:X891)</f>
        <v>0</v>
      </c>
      <c r="AL891" s="31">
        <f>SUM($T891:Y891)</f>
        <v>0</v>
      </c>
      <c r="AM891" s="31">
        <f>SUM($T891:Z891)</f>
        <v>0</v>
      </c>
      <c r="AN891" s="31">
        <f>SUM($T891:AA891)</f>
        <v>0</v>
      </c>
      <c r="AO891" s="31">
        <f>SUM($T891:AB891)</f>
        <v>0</v>
      </c>
      <c r="AP891" s="31">
        <f>SUM($T891:AC891)</f>
        <v>0</v>
      </c>
      <c r="AQ891" s="31">
        <f>SUM($T891:AD891)</f>
        <v>0</v>
      </c>
      <c r="AR891" s="31">
        <f>SUM($T891:AE891)</f>
        <v>0</v>
      </c>
      <c r="AS891" s="27">
        <f t="shared" si="132"/>
        <v>0</v>
      </c>
    </row>
    <row r="892" spans="2:45">
      <c r="B892" s="102" t="str">
        <f>IF(ROW()-6&gt;NumCostCenter,"",IF(CostCenter&lt;&gt;"ALL",CostCenter,DATA_LF2!B890))</f>
        <v/>
      </c>
      <c r="C892" s="153" t="str">
        <f>IF($B892&lt;&gt;"",INDEX(DataOB[],FirstRow+ROW()-7,2),"")</f>
        <v/>
      </c>
      <c r="D892" s="66" t="str">
        <f>IF($B892&lt;&gt;"",INDEX(DataOB[],FirstRow+ROW()-7,3),"")</f>
        <v/>
      </c>
      <c r="E892" s="103" t="str">
        <f>IF($B892&lt;&gt;"",INDEX(DataOB[],FirstRow+ROW()-7,6),"")</f>
        <v/>
      </c>
      <c r="F892" s="103" t="str">
        <f>IF($B892&lt;&gt;"",INDEX(DataOB[],FirstRow+ROW()-7,5),"")</f>
        <v/>
      </c>
      <c r="G892" s="58">
        <f>IF($B892&lt;&gt;"",SUMIFS(DataAct_tbl[AMOUNT],DataAct_tbl[BG CODE],Detail!$D892,DataAct_tbl[MONTH],LEFT(MonthName,3),DataAct_tbl[Dept code],$B892),0)</f>
        <v>0</v>
      </c>
      <c r="H892" s="31" t="str">
        <f t="shared" si="124"/>
        <v/>
      </c>
      <c r="I892" s="28" t="str">
        <f t="shared" si="125"/>
        <v/>
      </c>
      <c r="J892" s="32" t="str">
        <f t="shared" si="126"/>
        <v/>
      </c>
      <c r="K892" s="86"/>
      <c r="L892" s="62">
        <f>IF($B892&lt;&gt;"",SUMIFS(DataAct_tbl[AMOUNT],DataAct_tbl[BG CODE],Detail!$D892,DataAct_tbl[Check Range],"=true",DataAct_tbl[Dept code],$B892),0)</f>
        <v>0</v>
      </c>
      <c r="M892" s="63">
        <f>INDEX($AG$7:$AR$1005,ROW()-6,MATCH(MTD,$AG$6:$AR$6,0))</f>
        <v>0</v>
      </c>
      <c r="N892" s="34">
        <f t="shared" si="127"/>
        <v>0</v>
      </c>
      <c r="O892" s="64" t="str">
        <f t="shared" si="128"/>
        <v xml:space="preserve"> </v>
      </c>
      <c r="Q892" s="97">
        <f t="shared" si="129"/>
        <v>0</v>
      </c>
      <c r="R892" s="96">
        <f t="shared" si="130"/>
        <v>0</v>
      </c>
      <c r="T892" s="67" t="str">
        <f>IF($B892&lt;&gt;"",INDEX(DataOB[],FirstRow+ROW()-7,MATCH(T$6,DataOB[#Headers],0)),"")</f>
        <v/>
      </c>
      <c r="U892" s="67" t="str">
        <f>IF($B892&lt;&gt;"",INDEX(DataOB[],FirstRow+ROW()-7,MATCH(U$6,DataOB[#Headers],0)),"")</f>
        <v/>
      </c>
      <c r="V892" s="67" t="str">
        <f>IF($B892&lt;&gt;"",INDEX(DataOB[],FirstRow+ROW()-7,MATCH(V$6,DataOB[#Headers],0)),"")</f>
        <v/>
      </c>
      <c r="W892" s="67" t="str">
        <f>IF($B892&lt;&gt;"",INDEX(DataOB[],FirstRow+ROW()-7,MATCH(W$6,DataOB[#Headers],0)),"")</f>
        <v/>
      </c>
      <c r="X892" s="67" t="str">
        <f>IF($B892&lt;&gt;"",INDEX(DataOB[],FirstRow+ROW()-7,MATCH(X$6,DataOB[#Headers],0)),"")</f>
        <v/>
      </c>
      <c r="Y892" s="67" t="str">
        <f>IF($B892&lt;&gt;"",INDEX(DataOB[],FirstRow+ROW()-7,MATCH(Y$6,DataOB[#Headers],0)),"")</f>
        <v/>
      </c>
      <c r="Z892" s="67" t="str">
        <f>IF($B892&lt;&gt;"",INDEX(DataOB[],FirstRow+ROW()-7,MATCH(Z$6,DataOB[#Headers],0)),"")</f>
        <v/>
      </c>
      <c r="AA892" s="67" t="str">
        <f>IF($B892&lt;&gt;"",INDEX(DataOB[],FirstRow+ROW()-7,MATCH(AA$6,DataOB[#Headers],0)),"")</f>
        <v/>
      </c>
      <c r="AB892" s="67" t="str">
        <f>IF($B892&lt;&gt;"",INDEX(DataOB[],FirstRow+ROW()-7,MATCH(AB$6,DataOB[#Headers],0)),"")</f>
        <v/>
      </c>
      <c r="AC892" s="67" t="str">
        <f>IF($B892&lt;&gt;"",INDEX(DataOB[],FirstRow+ROW()-7,MATCH(AC$6,DataOB[#Headers],0)),"")</f>
        <v/>
      </c>
      <c r="AD892" s="67" t="str">
        <f>IF($B892&lt;&gt;"",INDEX(DataOB[],FirstRow+ROW()-7,MATCH(AD$6,DataOB[#Headers],0)),"")</f>
        <v/>
      </c>
      <c r="AE892" s="67" t="str">
        <f>IF($B892&lt;&gt;"",INDEX(DataOB[],FirstRow+ROW()-7,MATCH(AE$6,DataOB[#Headers],0)),"")</f>
        <v/>
      </c>
      <c r="AF892" s="26">
        <f t="shared" si="131"/>
        <v>0</v>
      </c>
      <c r="AG892" s="31">
        <f>SUM($T892:T892)</f>
        <v>0</v>
      </c>
      <c r="AH892" s="31">
        <f>SUM($T892:U892)</f>
        <v>0</v>
      </c>
      <c r="AI892" s="31">
        <f>SUM($T892:V892)</f>
        <v>0</v>
      </c>
      <c r="AJ892" s="31">
        <f>SUM($T892:W892)</f>
        <v>0</v>
      </c>
      <c r="AK892" s="31">
        <f>SUM($T892:X892)</f>
        <v>0</v>
      </c>
      <c r="AL892" s="31">
        <f>SUM($T892:Y892)</f>
        <v>0</v>
      </c>
      <c r="AM892" s="31">
        <f>SUM($T892:Z892)</f>
        <v>0</v>
      </c>
      <c r="AN892" s="31">
        <f>SUM($T892:AA892)</f>
        <v>0</v>
      </c>
      <c r="AO892" s="31">
        <f>SUM($T892:AB892)</f>
        <v>0</v>
      </c>
      <c r="AP892" s="31">
        <f>SUM($T892:AC892)</f>
        <v>0</v>
      </c>
      <c r="AQ892" s="31">
        <f>SUM($T892:AD892)</f>
        <v>0</v>
      </c>
      <c r="AR892" s="31">
        <f>SUM($T892:AE892)</f>
        <v>0</v>
      </c>
      <c r="AS892" s="27">
        <f t="shared" si="132"/>
        <v>0</v>
      </c>
    </row>
    <row r="893" spans="2:45">
      <c r="B893" s="102" t="str">
        <f>IF(ROW()-6&gt;NumCostCenter,"",IF(CostCenter&lt;&gt;"ALL",CostCenter,DATA_LF2!B891))</f>
        <v/>
      </c>
      <c r="C893" s="153" t="str">
        <f>IF($B893&lt;&gt;"",INDEX(DataOB[],FirstRow+ROW()-7,2),"")</f>
        <v/>
      </c>
      <c r="D893" s="66" t="str">
        <f>IF($B893&lt;&gt;"",INDEX(DataOB[],FirstRow+ROW()-7,3),"")</f>
        <v/>
      </c>
      <c r="E893" s="103" t="str">
        <f>IF($B893&lt;&gt;"",INDEX(DataOB[],FirstRow+ROW()-7,6),"")</f>
        <v/>
      </c>
      <c r="F893" s="103" t="str">
        <f>IF($B893&lt;&gt;"",INDEX(DataOB[],FirstRow+ROW()-7,5),"")</f>
        <v/>
      </c>
      <c r="G893" s="58">
        <f>IF($B893&lt;&gt;"",SUMIFS(DataAct_tbl[AMOUNT],DataAct_tbl[BG CODE],Detail!$D893,DataAct_tbl[MONTH],LEFT(MonthName,3),DataAct_tbl[Dept code],$B893),0)</f>
        <v>0</v>
      </c>
      <c r="H893" s="31" t="str">
        <f t="shared" si="124"/>
        <v/>
      </c>
      <c r="I893" s="28" t="str">
        <f t="shared" si="125"/>
        <v/>
      </c>
      <c r="J893" s="32" t="str">
        <f t="shared" si="126"/>
        <v/>
      </c>
      <c r="K893" s="86"/>
      <c r="L893" s="62">
        <f>IF($B893&lt;&gt;"",SUMIFS(DataAct_tbl[AMOUNT],DataAct_tbl[BG CODE],Detail!$D893,DataAct_tbl[Check Range],"=true",DataAct_tbl[Dept code],$B893),0)</f>
        <v>0</v>
      </c>
      <c r="M893" s="63">
        <f>INDEX($AG$7:$AR$1005,ROW()-6,MATCH(MTD,$AG$6:$AR$6,0))</f>
        <v>0</v>
      </c>
      <c r="N893" s="34">
        <f t="shared" si="127"/>
        <v>0</v>
      </c>
      <c r="O893" s="64" t="str">
        <f t="shared" si="128"/>
        <v xml:space="preserve"> </v>
      </c>
      <c r="Q893" s="97">
        <f t="shared" si="129"/>
        <v>0</v>
      </c>
      <c r="R893" s="96">
        <f t="shared" si="130"/>
        <v>0</v>
      </c>
      <c r="T893" s="67" t="str">
        <f>IF($B893&lt;&gt;"",INDEX(DataOB[],FirstRow+ROW()-7,MATCH(T$6,DataOB[#Headers],0)),"")</f>
        <v/>
      </c>
      <c r="U893" s="67" t="str">
        <f>IF($B893&lt;&gt;"",INDEX(DataOB[],FirstRow+ROW()-7,MATCH(U$6,DataOB[#Headers],0)),"")</f>
        <v/>
      </c>
      <c r="V893" s="67" t="str">
        <f>IF($B893&lt;&gt;"",INDEX(DataOB[],FirstRow+ROW()-7,MATCH(V$6,DataOB[#Headers],0)),"")</f>
        <v/>
      </c>
      <c r="W893" s="67" t="str">
        <f>IF($B893&lt;&gt;"",INDEX(DataOB[],FirstRow+ROW()-7,MATCH(W$6,DataOB[#Headers],0)),"")</f>
        <v/>
      </c>
      <c r="X893" s="67" t="str">
        <f>IF($B893&lt;&gt;"",INDEX(DataOB[],FirstRow+ROW()-7,MATCH(X$6,DataOB[#Headers],0)),"")</f>
        <v/>
      </c>
      <c r="Y893" s="67" t="str">
        <f>IF($B893&lt;&gt;"",INDEX(DataOB[],FirstRow+ROW()-7,MATCH(Y$6,DataOB[#Headers],0)),"")</f>
        <v/>
      </c>
      <c r="Z893" s="67" t="str">
        <f>IF($B893&lt;&gt;"",INDEX(DataOB[],FirstRow+ROW()-7,MATCH(Z$6,DataOB[#Headers],0)),"")</f>
        <v/>
      </c>
      <c r="AA893" s="67" t="str">
        <f>IF($B893&lt;&gt;"",INDEX(DataOB[],FirstRow+ROW()-7,MATCH(AA$6,DataOB[#Headers],0)),"")</f>
        <v/>
      </c>
      <c r="AB893" s="67" t="str">
        <f>IF($B893&lt;&gt;"",INDEX(DataOB[],FirstRow+ROW()-7,MATCH(AB$6,DataOB[#Headers],0)),"")</f>
        <v/>
      </c>
      <c r="AC893" s="67" t="str">
        <f>IF($B893&lt;&gt;"",INDEX(DataOB[],FirstRow+ROW()-7,MATCH(AC$6,DataOB[#Headers],0)),"")</f>
        <v/>
      </c>
      <c r="AD893" s="67" t="str">
        <f>IF($B893&lt;&gt;"",INDEX(DataOB[],FirstRow+ROW()-7,MATCH(AD$6,DataOB[#Headers],0)),"")</f>
        <v/>
      </c>
      <c r="AE893" s="67" t="str">
        <f>IF($B893&lt;&gt;"",INDEX(DataOB[],FirstRow+ROW()-7,MATCH(AE$6,DataOB[#Headers],0)),"")</f>
        <v/>
      </c>
      <c r="AF893" s="26">
        <f t="shared" si="131"/>
        <v>0</v>
      </c>
      <c r="AG893" s="31">
        <f>SUM($T893:T893)</f>
        <v>0</v>
      </c>
      <c r="AH893" s="31">
        <f>SUM($T893:U893)</f>
        <v>0</v>
      </c>
      <c r="AI893" s="31">
        <f>SUM($T893:V893)</f>
        <v>0</v>
      </c>
      <c r="AJ893" s="31">
        <f>SUM($T893:W893)</f>
        <v>0</v>
      </c>
      <c r="AK893" s="31">
        <f>SUM($T893:X893)</f>
        <v>0</v>
      </c>
      <c r="AL893" s="31">
        <f>SUM($T893:Y893)</f>
        <v>0</v>
      </c>
      <c r="AM893" s="31">
        <f>SUM($T893:Z893)</f>
        <v>0</v>
      </c>
      <c r="AN893" s="31">
        <f>SUM($T893:AA893)</f>
        <v>0</v>
      </c>
      <c r="AO893" s="31">
        <f>SUM($T893:AB893)</f>
        <v>0</v>
      </c>
      <c r="AP893" s="31">
        <f>SUM($T893:AC893)</f>
        <v>0</v>
      </c>
      <c r="AQ893" s="31">
        <f>SUM($T893:AD893)</f>
        <v>0</v>
      </c>
      <c r="AR893" s="31">
        <f>SUM($T893:AE893)</f>
        <v>0</v>
      </c>
      <c r="AS893" s="27">
        <f t="shared" si="132"/>
        <v>0</v>
      </c>
    </row>
    <row r="894" spans="2:45">
      <c r="B894" s="102" t="str">
        <f>IF(ROW()-6&gt;NumCostCenter,"",IF(CostCenter&lt;&gt;"ALL",CostCenter,DATA_LF2!B892))</f>
        <v/>
      </c>
      <c r="C894" s="153" t="str">
        <f>IF($B894&lt;&gt;"",INDEX(DataOB[],FirstRow+ROW()-7,2),"")</f>
        <v/>
      </c>
      <c r="D894" s="66" t="str">
        <f>IF($B894&lt;&gt;"",INDEX(DataOB[],FirstRow+ROW()-7,3),"")</f>
        <v/>
      </c>
      <c r="E894" s="103" t="str">
        <f>IF($B894&lt;&gt;"",INDEX(DataOB[],FirstRow+ROW()-7,6),"")</f>
        <v/>
      </c>
      <c r="F894" s="103" t="str">
        <f>IF($B894&lt;&gt;"",INDEX(DataOB[],FirstRow+ROW()-7,5),"")</f>
        <v/>
      </c>
      <c r="G894" s="58">
        <f>IF($B894&lt;&gt;"",SUMIFS(DataAct_tbl[AMOUNT],DataAct_tbl[BG CODE],Detail!$D894,DataAct_tbl[MONTH],LEFT(MonthName,3),DataAct_tbl[Dept code],$B894),0)</f>
        <v>0</v>
      </c>
      <c r="H894" s="31" t="str">
        <f t="shared" si="124"/>
        <v/>
      </c>
      <c r="I894" s="28" t="str">
        <f t="shared" si="125"/>
        <v/>
      </c>
      <c r="J894" s="32" t="str">
        <f t="shared" si="126"/>
        <v/>
      </c>
      <c r="K894" s="86"/>
      <c r="L894" s="62">
        <f>IF($B894&lt;&gt;"",SUMIFS(DataAct_tbl[AMOUNT],DataAct_tbl[BG CODE],Detail!$D894,DataAct_tbl[Check Range],"=true",DataAct_tbl[Dept code],$B894),0)</f>
        <v>0</v>
      </c>
      <c r="M894" s="63">
        <f>INDEX($AG$7:$AR$1005,ROW()-6,MATCH(MTD,$AG$6:$AR$6,0))</f>
        <v>0</v>
      </c>
      <c r="N894" s="34">
        <f t="shared" si="127"/>
        <v>0</v>
      </c>
      <c r="O894" s="64" t="str">
        <f t="shared" si="128"/>
        <v xml:space="preserve"> </v>
      </c>
      <c r="Q894" s="97">
        <f t="shared" si="129"/>
        <v>0</v>
      </c>
      <c r="R894" s="96">
        <f t="shared" si="130"/>
        <v>0</v>
      </c>
      <c r="T894" s="67" t="str">
        <f>IF($B894&lt;&gt;"",INDEX(DataOB[],FirstRow+ROW()-7,MATCH(T$6,DataOB[#Headers],0)),"")</f>
        <v/>
      </c>
      <c r="U894" s="67" t="str">
        <f>IF($B894&lt;&gt;"",INDEX(DataOB[],FirstRow+ROW()-7,MATCH(U$6,DataOB[#Headers],0)),"")</f>
        <v/>
      </c>
      <c r="V894" s="67" t="str">
        <f>IF($B894&lt;&gt;"",INDEX(DataOB[],FirstRow+ROW()-7,MATCH(V$6,DataOB[#Headers],0)),"")</f>
        <v/>
      </c>
      <c r="W894" s="67" t="str">
        <f>IF($B894&lt;&gt;"",INDEX(DataOB[],FirstRow+ROW()-7,MATCH(W$6,DataOB[#Headers],0)),"")</f>
        <v/>
      </c>
      <c r="X894" s="67" t="str">
        <f>IF($B894&lt;&gt;"",INDEX(DataOB[],FirstRow+ROW()-7,MATCH(X$6,DataOB[#Headers],0)),"")</f>
        <v/>
      </c>
      <c r="Y894" s="67" t="str">
        <f>IF($B894&lt;&gt;"",INDEX(DataOB[],FirstRow+ROW()-7,MATCH(Y$6,DataOB[#Headers],0)),"")</f>
        <v/>
      </c>
      <c r="Z894" s="67" t="str">
        <f>IF($B894&lt;&gt;"",INDEX(DataOB[],FirstRow+ROW()-7,MATCH(Z$6,DataOB[#Headers],0)),"")</f>
        <v/>
      </c>
      <c r="AA894" s="67" t="str">
        <f>IF($B894&lt;&gt;"",INDEX(DataOB[],FirstRow+ROW()-7,MATCH(AA$6,DataOB[#Headers],0)),"")</f>
        <v/>
      </c>
      <c r="AB894" s="67" t="str">
        <f>IF($B894&lt;&gt;"",INDEX(DataOB[],FirstRow+ROW()-7,MATCH(AB$6,DataOB[#Headers],0)),"")</f>
        <v/>
      </c>
      <c r="AC894" s="67" t="str">
        <f>IF($B894&lt;&gt;"",INDEX(DataOB[],FirstRow+ROW()-7,MATCH(AC$6,DataOB[#Headers],0)),"")</f>
        <v/>
      </c>
      <c r="AD894" s="67" t="str">
        <f>IF($B894&lt;&gt;"",INDEX(DataOB[],FirstRow+ROW()-7,MATCH(AD$6,DataOB[#Headers],0)),"")</f>
        <v/>
      </c>
      <c r="AE894" s="67" t="str">
        <f>IF($B894&lt;&gt;"",INDEX(DataOB[],FirstRow+ROW()-7,MATCH(AE$6,DataOB[#Headers],0)),"")</f>
        <v/>
      </c>
      <c r="AF894" s="26">
        <f t="shared" si="131"/>
        <v>0</v>
      </c>
      <c r="AG894" s="31">
        <f>SUM($T894:T894)</f>
        <v>0</v>
      </c>
      <c r="AH894" s="31">
        <f>SUM($T894:U894)</f>
        <v>0</v>
      </c>
      <c r="AI894" s="31">
        <f>SUM($T894:V894)</f>
        <v>0</v>
      </c>
      <c r="AJ894" s="31">
        <f>SUM($T894:W894)</f>
        <v>0</v>
      </c>
      <c r="AK894" s="31">
        <f>SUM($T894:X894)</f>
        <v>0</v>
      </c>
      <c r="AL894" s="31">
        <f>SUM($T894:Y894)</f>
        <v>0</v>
      </c>
      <c r="AM894" s="31">
        <f>SUM($T894:Z894)</f>
        <v>0</v>
      </c>
      <c r="AN894" s="31">
        <f>SUM($T894:AA894)</f>
        <v>0</v>
      </c>
      <c r="AO894" s="31">
        <f>SUM($T894:AB894)</f>
        <v>0</v>
      </c>
      <c r="AP894" s="31">
        <f>SUM($T894:AC894)</f>
        <v>0</v>
      </c>
      <c r="AQ894" s="31">
        <f>SUM($T894:AD894)</f>
        <v>0</v>
      </c>
      <c r="AR894" s="31">
        <f>SUM($T894:AE894)</f>
        <v>0</v>
      </c>
      <c r="AS894" s="27">
        <f t="shared" si="132"/>
        <v>0</v>
      </c>
    </row>
    <row r="895" spans="2:45">
      <c r="B895" s="102" t="str">
        <f>IF(ROW()-6&gt;NumCostCenter,"",IF(CostCenter&lt;&gt;"ALL",CostCenter,DATA_LF2!B893))</f>
        <v/>
      </c>
      <c r="C895" s="153" t="str">
        <f>IF($B895&lt;&gt;"",INDEX(DataOB[],FirstRow+ROW()-7,2),"")</f>
        <v/>
      </c>
      <c r="D895" s="66" t="str">
        <f>IF($B895&lt;&gt;"",INDEX(DataOB[],FirstRow+ROW()-7,3),"")</f>
        <v/>
      </c>
      <c r="E895" s="103" t="str">
        <f>IF($B895&lt;&gt;"",INDEX(DataOB[],FirstRow+ROW()-7,6),"")</f>
        <v/>
      </c>
      <c r="F895" s="103" t="str">
        <f>IF($B895&lt;&gt;"",INDEX(DataOB[],FirstRow+ROW()-7,5),"")</f>
        <v/>
      </c>
      <c r="G895" s="58">
        <f>IF($B895&lt;&gt;"",SUMIFS(DataAct_tbl[AMOUNT],DataAct_tbl[BG CODE],Detail!$D895,DataAct_tbl[MONTH],LEFT(MonthName,3),DataAct_tbl[Dept code],$B895),0)</f>
        <v>0</v>
      </c>
      <c r="H895" s="31" t="str">
        <f t="shared" si="124"/>
        <v/>
      </c>
      <c r="I895" s="28" t="str">
        <f t="shared" si="125"/>
        <v/>
      </c>
      <c r="J895" s="32" t="str">
        <f t="shared" si="126"/>
        <v/>
      </c>
      <c r="K895" s="86"/>
      <c r="L895" s="62">
        <f>IF($B895&lt;&gt;"",SUMIFS(DataAct_tbl[AMOUNT],DataAct_tbl[BG CODE],Detail!$D895,DataAct_tbl[Check Range],"=true",DataAct_tbl[Dept code],$B895),0)</f>
        <v>0</v>
      </c>
      <c r="M895" s="63">
        <f>INDEX($AG$7:$AR$1005,ROW()-6,MATCH(MTD,$AG$6:$AR$6,0))</f>
        <v>0</v>
      </c>
      <c r="N895" s="34">
        <f t="shared" si="127"/>
        <v>0</v>
      </c>
      <c r="O895" s="64" t="str">
        <f t="shared" si="128"/>
        <v xml:space="preserve"> </v>
      </c>
      <c r="Q895" s="97">
        <f t="shared" si="129"/>
        <v>0</v>
      </c>
      <c r="R895" s="96">
        <f t="shared" si="130"/>
        <v>0</v>
      </c>
      <c r="T895" s="67" t="str">
        <f>IF($B895&lt;&gt;"",INDEX(DataOB[],FirstRow+ROW()-7,MATCH(T$6,DataOB[#Headers],0)),"")</f>
        <v/>
      </c>
      <c r="U895" s="67" t="str">
        <f>IF($B895&lt;&gt;"",INDEX(DataOB[],FirstRow+ROW()-7,MATCH(U$6,DataOB[#Headers],0)),"")</f>
        <v/>
      </c>
      <c r="V895" s="67" t="str">
        <f>IF($B895&lt;&gt;"",INDEX(DataOB[],FirstRow+ROW()-7,MATCH(V$6,DataOB[#Headers],0)),"")</f>
        <v/>
      </c>
      <c r="W895" s="67" t="str">
        <f>IF($B895&lt;&gt;"",INDEX(DataOB[],FirstRow+ROW()-7,MATCH(W$6,DataOB[#Headers],0)),"")</f>
        <v/>
      </c>
      <c r="X895" s="67" t="str">
        <f>IF($B895&lt;&gt;"",INDEX(DataOB[],FirstRow+ROW()-7,MATCH(X$6,DataOB[#Headers],0)),"")</f>
        <v/>
      </c>
      <c r="Y895" s="67" t="str">
        <f>IF($B895&lt;&gt;"",INDEX(DataOB[],FirstRow+ROW()-7,MATCH(Y$6,DataOB[#Headers],0)),"")</f>
        <v/>
      </c>
      <c r="Z895" s="67" t="str">
        <f>IF($B895&lt;&gt;"",INDEX(DataOB[],FirstRow+ROW()-7,MATCH(Z$6,DataOB[#Headers],0)),"")</f>
        <v/>
      </c>
      <c r="AA895" s="67" t="str">
        <f>IF($B895&lt;&gt;"",INDEX(DataOB[],FirstRow+ROW()-7,MATCH(AA$6,DataOB[#Headers],0)),"")</f>
        <v/>
      </c>
      <c r="AB895" s="67" t="str">
        <f>IF($B895&lt;&gt;"",INDEX(DataOB[],FirstRow+ROW()-7,MATCH(AB$6,DataOB[#Headers],0)),"")</f>
        <v/>
      </c>
      <c r="AC895" s="67" t="str">
        <f>IF($B895&lt;&gt;"",INDEX(DataOB[],FirstRow+ROW()-7,MATCH(AC$6,DataOB[#Headers],0)),"")</f>
        <v/>
      </c>
      <c r="AD895" s="67" t="str">
        <f>IF($B895&lt;&gt;"",INDEX(DataOB[],FirstRow+ROW()-7,MATCH(AD$6,DataOB[#Headers],0)),"")</f>
        <v/>
      </c>
      <c r="AE895" s="67" t="str">
        <f>IF($B895&lt;&gt;"",INDEX(DataOB[],FirstRow+ROW()-7,MATCH(AE$6,DataOB[#Headers],0)),"")</f>
        <v/>
      </c>
      <c r="AF895" s="26">
        <f t="shared" si="131"/>
        <v>0</v>
      </c>
      <c r="AG895" s="31">
        <f>SUM($T895:T895)</f>
        <v>0</v>
      </c>
      <c r="AH895" s="31">
        <f>SUM($T895:U895)</f>
        <v>0</v>
      </c>
      <c r="AI895" s="31">
        <f>SUM($T895:V895)</f>
        <v>0</v>
      </c>
      <c r="AJ895" s="31">
        <f>SUM($T895:W895)</f>
        <v>0</v>
      </c>
      <c r="AK895" s="31">
        <f>SUM($T895:X895)</f>
        <v>0</v>
      </c>
      <c r="AL895" s="31">
        <f>SUM($T895:Y895)</f>
        <v>0</v>
      </c>
      <c r="AM895" s="31">
        <f>SUM($T895:Z895)</f>
        <v>0</v>
      </c>
      <c r="AN895" s="31">
        <f>SUM($T895:AA895)</f>
        <v>0</v>
      </c>
      <c r="AO895" s="31">
        <f>SUM($T895:AB895)</f>
        <v>0</v>
      </c>
      <c r="AP895" s="31">
        <f>SUM($T895:AC895)</f>
        <v>0</v>
      </c>
      <c r="AQ895" s="31">
        <f>SUM($T895:AD895)</f>
        <v>0</v>
      </c>
      <c r="AR895" s="31">
        <f>SUM($T895:AE895)</f>
        <v>0</v>
      </c>
      <c r="AS895" s="27">
        <f t="shared" si="132"/>
        <v>0</v>
      </c>
    </row>
    <row r="896" spans="2:45">
      <c r="B896" s="102" t="str">
        <f>IF(ROW()-6&gt;NumCostCenter,"",IF(CostCenter&lt;&gt;"ALL",CostCenter,DATA_LF2!B894))</f>
        <v/>
      </c>
      <c r="C896" s="153" t="str">
        <f>IF($B896&lt;&gt;"",INDEX(DataOB[],FirstRow+ROW()-7,2),"")</f>
        <v/>
      </c>
      <c r="D896" s="66" t="str">
        <f>IF($B896&lt;&gt;"",INDEX(DataOB[],FirstRow+ROW()-7,3),"")</f>
        <v/>
      </c>
      <c r="E896" s="103" t="str">
        <f>IF($B896&lt;&gt;"",INDEX(DataOB[],FirstRow+ROW()-7,6),"")</f>
        <v/>
      </c>
      <c r="F896" s="103" t="str">
        <f>IF($B896&lt;&gt;"",INDEX(DataOB[],FirstRow+ROW()-7,5),"")</f>
        <v/>
      </c>
      <c r="G896" s="58">
        <f>IF($B896&lt;&gt;"",SUMIFS(DataAct_tbl[AMOUNT],DataAct_tbl[BG CODE],Detail!$D896,DataAct_tbl[MONTH],LEFT(MonthName,3),DataAct_tbl[Dept code],$B896),0)</f>
        <v>0</v>
      </c>
      <c r="H896" s="31" t="str">
        <f t="shared" si="124"/>
        <v/>
      </c>
      <c r="I896" s="28" t="str">
        <f t="shared" si="125"/>
        <v/>
      </c>
      <c r="J896" s="32" t="str">
        <f t="shared" si="126"/>
        <v/>
      </c>
      <c r="K896" s="86"/>
      <c r="L896" s="62">
        <f>IF($B896&lt;&gt;"",SUMIFS(DataAct_tbl[AMOUNT],DataAct_tbl[BG CODE],Detail!$D896,DataAct_tbl[Check Range],"=true",DataAct_tbl[Dept code],$B896),0)</f>
        <v>0</v>
      </c>
      <c r="M896" s="63">
        <f>INDEX($AG$7:$AR$1005,ROW()-6,MATCH(MTD,$AG$6:$AR$6,0))</f>
        <v>0</v>
      </c>
      <c r="N896" s="34">
        <f t="shared" si="127"/>
        <v>0</v>
      </c>
      <c r="O896" s="64" t="str">
        <f t="shared" si="128"/>
        <v xml:space="preserve"> </v>
      </c>
      <c r="Q896" s="97">
        <f t="shared" si="129"/>
        <v>0</v>
      </c>
      <c r="R896" s="96">
        <f t="shared" si="130"/>
        <v>0</v>
      </c>
      <c r="T896" s="67" t="str">
        <f>IF($B896&lt;&gt;"",INDEX(DataOB[],FirstRow+ROW()-7,MATCH(T$6,DataOB[#Headers],0)),"")</f>
        <v/>
      </c>
      <c r="U896" s="67" t="str">
        <f>IF($B896&lt;&gt;"",INDEX(DataOB[],FirstRow+ROW()-7,MATCH(U$6,DataOB[#Headers],0)),"")</f>
        <v/>
      </c>
      <c r="V896" s="67" t="str">
        <f>IF($B896&lt;&gt;"",INDEX(DataOB[],FirstRow+ROW()-7,MATCH(V$6,DataOB[#Headers],0)),"")</f>
        <v/>
      </c>
      <c r="W896" s="67" t="str">
        <f>IF($B896&lt;&gt;"",INDEX(DataOB[],FirstRow+ROW()-7,MATCH(W$6,DataOB[#Headers],0)),"")</f>
        <v/>
      </c>
      <c r="X896" s="67" t="str">
        <f>IF($B896&lt;&gt;"",INDEX(DataOB[],FirstRow+ROW()-7,MATCH(X$6,DataOB[#Headers],0)),"")</f>
        <v/>
      </c>
      <c r="Y896" s="67" t="str">
        <f>IF($B896&lt;&gt;"",INDEX(DataOB[],FirstRow+ROW()-7,MATCH(Y$6,DataOB[#Headers],0)),"")</f>
        <v/>
      </c>
      <c r="Z896" s="67" t="str">
        <f>IF($B896&lt;&gt;"",INDEX(DataOB[],FirstRow+ROW()-7,MATCH(Z$6,DataOB[#Headers],0)),"")</f>
        <v/>
      </c>
      <c r="AA896" s="67" t="str">
        <f>IF($B896&lt;&gt;"",INDEX(DataOB[],FirstRow+ROW()-7,MATCH(AA$6,DataOB[#Headers],0)),"")</f>
        <v/>
      </c>
      <c r="AB896" s="67" t="str">
        <f>IF($B896&lt;&gt;"",INDEX(DataOB[],FirstRow+ROW()-7,MATCH(AB$6,DataOB[#Headers],0)),"")</f>
        <v/>
      </c>
      <c r="AC896" s="67" t="str">
        <f>IF($B896&lt;&gt;"",INDEX(DataOB[],FirstRow+ROW()-7,MATCH(AC$6,DataOB[#Headers],0)),"")</f>
        <v/>
      </c>
      <c r="AD896" s="67" t="str">
        <f>IF($B896&lt;&gt;"",INDEX(DataOB[],FirstRow+ROW()-7,MATCH(AD$6,DataOB[#Headers],0)),"")</f>
        <v/>
      </c>
      <c r="AE896" s="67" t="str">
        <f>IF($B896&lt;&gt;"",INDEX(DataOB[],FirstRow+ROW()-7,MATCH(AE$6,DataOB[#Headers],0)),"")</f>
        <v/>
      </c>
      <c r="AF896" s="26">
        <f t="shared" si="131"/>
        <v>0</v>
      </c>
      <c r="AG896" s="31">
        <f>SUM($T896:T896)</f>
        <v>0</v>
      </c>
      <c r="AH896" s="31">
        <f>SUM($T896:U896)</f>
        <v>0</v>
      </c>
      <c r="AI896" s="31">
        <f>SUM($T896:V896)</f>
        <v>0</v>
      </c>
      <c r="AJ896" s="31">
        <f>SUM($T896:W896)</f>
        <v>0</v>
      </c>
      <c r="AK896" s="31">
        <f>SUM($T896:X896)</f>
        <v>0</v>
      </c>
      <c r="AL896" s="31">
        <f>SUM($T896:Y896)</f>
        <v>0</v>
      </c>
      <c r="AM896" s="31">
        <f>SUM($T896:Z896)</f>
        <v>0</v>
      </c>
      <c r="AN896" s="31">
        <f>SUM($T896:AA896)</f>
        <v>0</v>
      </c>
      <c r="AO896" s="31">
        <f>SUM($T896:AB896)</f>
        <v>0</v>
      </c>
      <c r="AP896" s="31">
        <f>SUM($T896:AC896)</f>
        <v>0</v>
      </c>
      <c r="AQ896" s="31">
        <f>SUM($T896:AD896)</f>
        <v>0</v>
      </c>
      <c r="AR896" s="31">
        <f>SUM($T896:AE896)</f>
        <v>0</v>
      </c>
      <c r="AS896" s="27">
        <f t="shared" si="132"/>
        <v>0</v>
      </c>
    </row>
    <row r="897" spans="2:45">
      <c r="B897" s="102" t="str">
        <f>IF(ROW()-6&gt;NumCostCenter,"",IF(CostCenter&lt;&gt;"ALL",CostCenter,DATA_LF2!B895))</f>
        <v/>
      </c>
      <c r="C897" s="153" t="str">
        <f>IF($B897&lt;&gt;"",INDEX(DataOB[],FirstRow+ROW()-7,2),"")</f>
        <v/>
      </c>
      <c r="D897" s="66" t="str">
        <f>IF($B897&lt;&gt;"",INDEX(DataOB[],FirstRow+ROW()-7,3),"")</f>
        <v/>
      </c>
      <c r="E897" s="103" t="str">
        <f>IF($B897&lt;&gt;"",INDEX(DataOB[],FirstRow+ROW()-7,6),"")</f>
        <v/>
      </c>
      <c r="F897" s="103" t="str">
        <f>IF($B897&lt;&gt;"",INDEX(DataOB[],FirstRow+ROW()-7,5),"")</f>
        <v/>
      </c>
      <c r="G897" s="58">
        <f>IF($B897&lt;&gt;"",SUMIFS(DataAct_tbl[AMOUNT],DataAct_tbl[BG CODE],Detail!$D897,DataAct_tbl[MONTH],LEFT(MonthName,3),DataAct_tbl[Dept code],$B897),0)</f>
        <v>0</v>
      </c>
      <c r="H897" s="31" t="str">
        <f t="shared" si="124"/>
        <v/>
      </c>
      <c r="I897" s="28" t="str">
        <f t="shared" si="125"/>
        <v/>
      </c>
      <c r="J897" s="32" t="str">
        <f t="shared" si="126"/>
        <v/>
      </c>
      <c r="K897" s="86"/>
      <c r="L897" s="62">
        <f>IF($B897&lt;&gt;"",SUMIFS(DataAct_tbl[AMOUNT],DataAct_tbl[BG CODE],Detail!$D897,DataAct_tbl[Check Range],"=true",DataAct_tbl[Dept code],$B897),0)</f>
        <v>0</v>
      </c>
      <c r="M897" s="63">
        <f>INDEX($AG$7:$AR$1005,ROW()-6,MATCH(MTD,$AG$6:$AR$6,0))</f>
        <v>0</v>
      </c>
      <c r="N897" s="34">
        <f t="shared" si="127"/>
        <v>0</v>
      </c>
      <c r="O897" s="64" t="str">
        <f t="shared" si="128"/>
        <v xml:space="preserve"> </v>
      </c>
      <c r="Q897" s="97">
        <f t="shared" si="129"/>
        <v>0</v>
      </c>
      <c r="R897" s="96">
        <f t="shared" si="130"/>
        <v>0</v>
      </c>
      <c r="T897" s="67" t="str">
        <f>IF($B897&lt;&gt;"",INDEX(DataOB[],FirstRow+ROW()-7,MATCH(T$6,DataOB[#Headers],0)),"")</f>
        <v/>
      </c>
      <c r="U897" s="67" t="str">
        <f>IF($B897&lt;&gt;"",INDEX(DataOB[],FirstRow+ROW()-7,MATCH(U$6,DataOB[#Headers],0)),"")</f>
        <v/>
      </c>
      <c r="V897" s="67" t="str">
        <f>IF($B897&lt;&gt;"",INDEX(DataOB[],FirstRow+ROW()-7,MATCH(V$6,DataOB[#Headers],0)),"")</f>
        <v/>
      </c>
      <c r="W897" s="67" t="str">
        <f>IF($B897&lt;&gt;"",INDEX(DataOB[],FirstRow+ROW()-7,MATCH(W$6,DataOB[#Headers],0)),"")</f>
        <v/>
      </c>
      <c r="X897" s="67" t="str">
        <f>IF($B897&lt;&gt;"",INDEX(DataOB[],FirstRow+ROW()-7,MATCH(X$6,DataOB[#Headers],0)),"")</f>
        <v/>
      </c>
      <c r="Y897" s="67" t="str">
        <f>IF($B897&lt;&gt;"",INDEX(DataOB[],FirstRow+ROW()-7,MATCH(Y$6,DataOB[#Headers],0)),"")</f>
        <v/>
      </c>
      <c r="Z897" s="67" t="str">
        <f>IF($B897&lt;&gt;"",INDEX(DataOB[],FirstRow+ROW()-7,MATCH(Z$6,DataOB[#Headers],0)),"")</f>
        <v/>
      </c>
      <c r="AA897" s="67" t="str">
        <f>IF($B897&lt;&gt;"",INDEX(DataOB[],FirstRow+ROW()-7,MATCH(AA$6,DataOB[#Headers],0)),"")</f>
        <v/>
      </c>
      <c r="AB897" s="67" t="str">
        <f>IF($B897&lt;&gt;"",INDEX(DataOB[],FirstRow+ROW()-7,MATCH(AB$6,DataOB[#Headers],0)),"")</f>
        <v/>
      </c>
      <c r="AC897" s="67" t="str">
        <f>IF($B897&lt;&gt;"",INDEX(DataOB[],FirstRow+ROW()-7,MATCH(AC$6,DataOB[#Headers],0)),"")</f>
        <v/>
      </c>
      <c r="AD897" s="67" t="str">
        <f>IF($B897&lt;&gt;"",INDEX(DataOB[],FirstRow+ROW()-7,MATCH(AD$6,DataOB[#Headers],0)),"")</f>
        <v/>
      </c>
      <c r="AE897" s="67" t="str">
        <f>IF($B897&lt;&gt;"",INDEX(DataOB[],FirstRow+ROW()-7,MATCH(AE$6,DataOB[#Headers],0)),"")</f>
        <v/>
      </c>
      <c r="AF897" s="26">
        <f t="shared" si="131"/>
        <v>0</v>
      </c>
      <c r="AG897" s="31">
        <f>SUM($T897:T897)</f>
        <v>0</v>
      </c>
      <c r="AH897" s="31">
        <f>SUM($T897:U897)</f>
        <v>0</v>
      </c>
      <c r="AI897" s="31">
        <f>SUM($T897:V897)</f>
        <v>0</v>
      </c>
      <c r="AJ897" s="31">
        <f>SUM($T897:W897)</f>
        <v>0</v>
      </c>
      <c r="AK897" s="31">
        <f>SUM($T897:X897)</f>
        <v>0</v>
      </c>
      <c r="AL897" s="31">
        <f>SUM($T897:Y897)</f>
        <v>0</v>
      </c>
      <c r="AM897" s="31">
        <f>SUM($T897:Z897)</f>
        <v>0</v>
      </c>
      <c r="AN897" s="31">
        <f>SUM($T897:AA897)</f>
        <v>0</v>
      </c>
      <c r="AO897" s="31">
        <f>SUM($T897:AB897)</f>
        <v>0</v>
      </c>
      <c r="AP897" s="31">
        <f>SUM($T897:AC897)</f>
        <v>0</v>
      </c>
      <c r="AQ897" s="31">
        <f>SUM($T897:AD897)</f>
        <v>0</v>
      </c>
      <c r="AR897" s="31">
        <f>SUM($T897:AE897)</f>
        <v>0</v>
      </c>
      <c r="AS897" s="27">
        <f t="shared" si="132"/>
        <v>0</v>
      </c>
    </row>
    <row r="898" spans="2:45">
      <c r="B898" s="102" t="str">
        <f>IF(ROW()-6&gt;NumCostCenter,"",IF(CostCenter&lt;&gt;"ALL",CostCenter,DATA_LF2!B896))</f>
        <v/>
      </c>
      <c r="C898" s="153" t="str">
        <f>IF($B898&lt;&gt;"",INDEX(DataOB[],FirstRow+ROW()-7,2),"")</f>
        <v/>
      </c>
      <c r="D898" s="66" t="str">
        <f>IF($B898&lt;&gt;"",INDEX(DataOB[],FirstRow+ROW()-7,3),"")</f>
        <v/>
      </c>
      <c r="E898" s="103" t="str">
        <f>IF($B898&lt;&gt;"",INDEX(DataOB[],FirstRow+ROW()-7,6),"")</f>
        <v/>
      </c>
      <c r="F898" s="103" t="str">
        <f>IF($B898&lt;&gt;"",INDEX(DataOB[],FirstRow+ROW()-7,5),"")</f>
        <v/>
      </c>
      <c r="G898" s="58">
        <f>IF($B898&lt;&gt;"",SUMIFS(DataAct_tbl[AMOUNT],DataAct_tbl[BG CODE],Detail!$D898,DataAct_tbl[MONTH],LEFT(MonthName,3),DataAct_tbl[Dept code],$B898),0)</f>
        <v>0</v>
      </c>
      <c r="H898" s="31" t="str">
        <f t="shared" si="124"/>
        <v/>
      </c>
      <c r="I898" s="28" t="str">
        <f t="shared" si="125"/>
        <v/>
      </c>
      <c r="J898" s="32" t="str">
        <f t="shared" si="126"/>
        <v/>
      </c>
      <c r="K898" s="86"/>
      <c r="L898" s="62">
        <f>IF($B898&lt;&gt;"",SUMIFS(DataAct_tbl[AMOUNT],DataAct_tbl[BG CODE],Detail!$D898,DataAct_tbl[Check Range],"=true",DataAct_tbl[Dept code],$B898),0)</f>
        <v>0</v>
      </c>
      <c r="M898" s="63">
        <f>INDEX($AG$7:$AR$1005,ROW()-6,MATCH(MTD,$AG$6:$AR$6,0))</f>
        <v>0</v>
      </c>
      <c r="N898" s="34">
        <f t="shared" si="127"/>
        <v>0</v>
      </c>
      <c r="O898" s="64" t="str">
        <f t="shared" si="128"/>
        <v xml:space="preserve"> </v>
      </c>
      <c r="Q898" s="97">
        <f t="shared" si="129"/>
        <v>0</v>
      </c>
      <c r="R898" s="96">
        <f t="shared" si="130"/>
        <v>0</v>
      </c>
      <c r="T898" s="67" t="str">
        <f>IF($B898&lt;&gt;"",INDEX(DataOB[],FirstRow+ROW()-7,MATCH(T$6,DataOB[#Headers],0)),"")</f>
        <v/>
      </c>
      <c r="U898" s="67" t="str">
        <f>IF($B898&lt;&gt;"",INDEX(DataOB[],FirstRow+ROW()-7,MATCH(U$6,DataOB[#Headers],0)),"")</f>
        <v/>
      </c>
      <c r="V898" s="67" t="str">
        <f>IF($B898&lt;&gt;"",INDEX(DataOB[],FirstRow+ROW()-7,MATCH(V$6,DataOB[#Headers],0)),"")</f>
        <v/>
      </c>
      <c r="W898" s="67" t="str">
        <f>IF($B898&lt;&gt;"",INDEX(DataOB[],FirstRow+ROW()-7,MATCH(W$6,DataOB[#Headers],0)),"")</f>
        <v/>
      </c>
      <c r="X898" s="67" t="str">
        <f>IF($B898&lt;&gt;"",INDEX(DataOB[],FirstRow+ROW()-7,MATCH(X$6,DataOB[#Headers],0)),"")</f>
        <v/>
      </c>
      <c r="Y898" s="67" t="str">
        <f>IF($B898&lt;&gt;"",INDEX(DataOB[],FirstRow+ROW()-7,MATCH(Y$6,DataOB[#Headers],0)),"")</f>
        <v/>
      </c>
      <c r="Z898" s="67" t="str">
        <f>IF($B898&lt;&gt;"",INDEX(DataOB[],FirstRow+ROW()-7,MATCH(Z$6,DataOB[#Headers],0)),"")</f>
        <v/>
      </c>
      <c r="AA898" s="67" t="str">
        <f>IF($B898&lt;&gt;"",INDEX(DataOB[],FirstRow+ROW()-7,MATCH(AA$6,DataOB[#Headers],0)),"")</f>
        <v/>
      </c>
      <c r="AB898" s="67" t="str">
        <f>IF($B898&lt;&gt;"",INDEX(DataOB[],FirstRow+ROW()-7,MATCH(AB$6,DataOB[#Headers],0)),"")</f>
        <v/>
      </c>
      <c r="AC898" s="67" t="str">
        <f>IF($B898&lt;&gt;"",INDEX(DataOB[],FirstRow+ROW()-7,MATCH(AC$6,DataOB[#Headers],0)),"")</f>
        <v/>
      </c>
      <c r="AD898" s="67" t="str">
        <f>IF($B898&lt;&gt;"",INDEX(DataOB[],FirstRow+ROW()-7,MATCH(AD$6,DataOB[#Headers],0)),"")</f>
        <v/>
      </c>
      <c r="AE898" s="67" t="str">
        <f>IF($B898&lt;&gt;"",INDEX(DataOB[],FirstRow+ROW()-7,MATCH(AE$6,DataOB[#Headers],0)),"")</f>
        <v/>
      </c>
      <c r="AF898" s="26">
        <f t="shared" si="131"/>
        <v>0</v>
      </c>
      <c r="AG898" s="31">
        <f>SUM($T898:T898)</f>
        <v>0</v>
      </c>
      <c r="AH898" s="31">
        <f>SUM($T898:U898)</f>
        <v>0</v>
      </c>
      <c r="AI898" s="31">
        <f>SUM($T898:V898)</f>
        <v>0</v>
      </c>
      <c r="AJ898" s="31">
        <f>SUM($T898:W898)</f>
        <v>0</v>
      </c>
      <c r="AK898" s="31">
        <f>SUM($T898:X898)</f>
        <v>0</v>
      </c>
      <c r="AL898" s="31">
        <f>SUM($T898:Y898)</f>
        <v>0</v>
      </c>
      <c r="AM898" s="31">
        <f>SUM($T898:Z898)</f>
        <v>0</v>
      </c>
      <c r="AN898" s="31">
        <f>SUM($T898:AA898)</f>
        <v>0</v>
      </c>
      <c r="AO898" s="31">
        <f>SUM($T898:AB898)</f>
        <v>0</v>
      </c>
      <c r="AP898" s="31">
        <f>SUM($T898:AC898)</f>
        <v>0</v>
      </c>
      <c r="AQ898" s="31">
        <f>SUM($T898:AD898)</f>
        <v>0</v>
      </c>
      <c r="AR898" s="31">
        <f>SUM($T898:AE898)</f>
        <v>0</v>
      </c>
      <c r="AS898" s="27">
        <f t="shared" si="132"/>
        <v>0</v>
      </c>
    </row>
    <row r="899" spans="2:45">
      <c r="B899" s="102" t="str">
        <f>IF(ROW()-6&gt;NumCostCenter,"",IF(CostCenter&lt;&gt;"ALL",CostCenter,DATA_LF2!B897))</f>
        <v/>
      </c>
      <c r="C899" s="153" t="str">
        <f>IF($B899&lt;&gt;"",INDEX(DataOB[],FirstRow+ROW()-7,2),"")</f>
        <v/>
      </c>
      <c r="D899" s="66" t="str">
        <f>IF($B899&lt;&gt;"",INDEX(DataOB[],FirstRow+ROW()-7,3),"")</f>
        <v/>
      </c>
      <c r="E899" s="103" t="str">
        <f>IF($B899&lt;&gt;"",INDEX(DataOB[],FirstRow+ROW()-7,6),"")</f>
        <v/>
      </c>
      <c r="F899" s="103" t="str">
        <f>IF($B899&lt;&gt;"",INDEX(DataOB[],FirstRow+ROW()-7,5),"")</f>
        <v/>
      </c>
      <c r="G899" s="58">
        <f>IF($B899&lt;&gt;"",SUMIFS(DataAct_tbl[AMOUNT],DataAct_tbl[BG CODE],Detail!$D899,DataAct_tbl[MONTH],LEFT(MonthName,3),DataAct_tbl[Dept code],$B899),0)</f>
        <v>0</v>
      </c>
      <c r="H899" s="31" t="str">
        <f t="shared" si="124"/>
        <v/>
      </c>
      <c r="I899" s="28" t="str">
        <f t="shared" si="125"/>
        <v/>
      </c>
      <c r="J899" s="32" t="str">
        <f t="shared" si="126"/>
        <v/>
      </c>
      <c r="K899" s="86"/>
      <c r="L899" s="62">
        <f>IF($B899&lt;&gt;"",SUMIFS(DataAct_tbl[AMOUNT],DataAct_tbl[BG CODE],Detail!$D899,DataAct_tbl[Check Range],"=true",DataAct_tbl[Dept code],$B899),0)</f>
        <v>0</v>
      </c>
      <c r="M899" s="63">
        <f>INDEX($AG$7:$AR$1005,ROW()-6,MATCH(MTD,$AG$6:$AR$6,0))</f>
        <v>0</v>
      </c>
      <c r="N899" s="34">
        <f t="shared" si="127"/>
        <v>0</v>
      </c>
      <c r="O899" s="64" t="str">
        <f t="shared" si="128"/>
        <v xml:space="preserve"> </v>
      </c>
      <c r="Q899" s="97">
        <f t="shared" si="129"/>
        <v>0</v>
      </c>
      <c r="R899" s="96">
        <f t="shared" si="130"/>
        <v>0</v>
      </c>
      <c r="T899" s="67" t="str">
        <f>IF($B899&lt;&gt;"",INDEX(DataOB[],FirstRow+ROW()-7,MATCH(T$6,DataOB[#Headers],0)),"")</f>
        <v/>
      </c>
      <c r="U899" s="67" t="str">
        <f>IF($B899&lt;&gt;"",INDEX(DataOB[],FirstRow+ROW()-7,MATCH(U$6,DataOB[#Headers],0)),"")</f>
        <v/>
      </c>
      <c r="V899" s="67" t="str">
        <f>IF($B899&lt;&gt;"",INDEX(DataOB[],FirstRow+ROW()-7,MATCH(V$6,DataOB[#Headers],0)),"")</f>
        <v/>
      </c>
      <c r="W899" s="67" t="str">
        <f>IF($B899&lt;&gt;"",INDEX(DataOB[],FirstRow+ROW()-7,MATCH(W$6,DataOB[#Headers],0)),"")</f>
        <v/>
      </c>
      <c r="X899" s="67" t="str">
        <f>IF($B899&lt;&gt;"",INDEX(DataOB[],FirstRow+ROW()-7,MATCH(X$6,DataOB[#Headers],0)),"")</f>
        <v/>
      </c>
      <c r="Y899" s="67" t="str">
        <f>IF($B899&lt;&gt;"",INDEX(DataOB[],FirstRow+ROW()-7,MATCH(Y$6,DataOB[#Headers],0)),"")</f>
        <v/>
      </c>
      <c r="Z899" s="67" t="str">
        <f>IF($B899&lt;&gt;"",INDEX(DataOB[],FirstRow+ROW()-7,MATCH(Z$6,DataOB[#Headers],0)),"")</f>
        <v/>
      </c>
      <c r="AA899" s="67" t="str">
        <f>IF($B899&lt;&gt;"",INDEX(DataOB[],FirstRow+ROW()-7,MATCH(AA$6,DataOB[#Headers],0)),"")</f>
        <v/>
      </c>
      <c r="AB899" s="67" t="str">
        <f>IF($B899&lt;&gt;"",INDEX(DataOB[],FirstRow+ROW()-7,MATCH(AB$6,DataOB[#Headers],0)),"")</f>
        <v/>
      </c>
      <c r="AC899" s="67" t="str">
        <f>IF($B899&lt;&gt;"",INDEX(DataOB[],FirstRow+ROW()-7,MATCH(AC$6,DataOB[#Headers],0)),"")</f>
        <v/>
      </c>
      <c r="AD899" s="67" t="str">
        <f>IF($B899&lt;&gt;"",INDEX(DataOB[],FirstRow+ROW()-7,MATCH(AD$6,DataOB[#Headers],0)),"")</f>
        <v/>
      </c>
      <c r="AE899" s="67" t="str">
        <f>IF($B899&lt;&gt;"",INDEX(DataOB[],FirstRow+ROW()-7,MATCH(AE$6,DataOB[#Headers],0)),"")</f>
        <v/>
      </c>
      <c r="AF899" s="26">
        <f t="shared" si="131"/>
        <v>0</v>
      </c>
      <c r="AG899" s="31">
        <f>SUM($T899:T899)</f>
        <v>0</v>
      </c>
      <c r="AH899" s="31">
        <f>SUM($T899:U899)</f>
        <v>0</v>
      </c>
      <c r="AI899" s="31">
        <f>SUM($T899:V899)</f>
        <v>0</v>
      </c>
      <c r="AJ899" s="31">
        <f>SUM($T899:W899)</f>
        <v>0</v>
      </c>
      <c r="AK899" s="31">
        <f>SUM($T899:X899)</f>
        <v>0</v>
      </c>
      <c r="AL899" s="31">
        <f>SUM($T899:Y899)</f>
        <v>0</v>
      </c>
      <c r="AM899" s="31">
        <f>SUM($T899:Z899)</f>
        <v>0</v>
      </c>
      <c r="AN899" s="31">
        <f>SUM($T899:AA899)</f>
        <v>0</v>
      </c>
      <c r="AO899" s="31">
        <f>SUM($T899:AB899)</f>
        <v>0</v>
      </c>
      <c r="AP899" s="31">
        <f>SUM($T899:AC899)</f>
        <v>0</v>
      </c>
      <c r="AQ899" s="31">
        <f>SUM($T899:AD899)</f>
        <v>0</v>
      </c>
      <c r="AR899" s="31">
        <f>SUM($T899:AE899)</f>
        <v>0</v>
      </c>
      <c r="AS899" s="27">
        <f t="shared" si="132"/>
        <v>0</v>
      </c>
    </row>
    <row r="900" spans="2:45">
      <c r="B900" s="102" t="str">
        <f>IF(ROW()-6&gt;NumCostCenter,"",IF(CostCenter&lt;&gt;"ALL",CostCenter,DATA_LF2!B898))</f>
        <v/>
      </c>
      <c r="C900" s="153" t="str">
        <f>IF($B900&lt;&gt;"",INDEX(DataOB[],FirstRow+ROW()-7,2),"")</f>
        <v/>
      </c>
      <c r="D900" s="66" t="str">
        <f>IF($B900&lt;&gt;"",INDEX(DataOB[],FirstRow+ROW()-7,3),"")</f>
        <v/>
      </c>
      <c r="E900" s="103" t="str">
        <f>IF($B900&lt;&gt;"",INDEX(DataOB[],FirstRow+ROW()-7,6),"")</f>
        <v/>
      </c>
      <c r="F900" s="103" t="str">
        <f>IF($B900&lt;&gt;"",INDEX(DataOB[],FirstRow+ROW()-7,5),"")</f>
        <v/>
      </c>
      <c r="G900" s="58">
        <f>IF($B900&lt;&gt;"",SUMIFS(DataAct_tbl[AMOUNT],DataAct_tbl[BG CODE],Detail!$D900,DataAct_tbl[MONTH],LEFT(MonthName,3),DataAct_tbl[Dept code],$B900),0)</f>
        <v>0</v>
      </c>
      <c r="H900" s="31" t="str">
        <f t="shared" si="124"/>
        <v/>
      </c>
      <c r="I900" s="28" t="str">
        <f t="shared" si="125"/>
        <v/>
      </c>
      <c r="J900" s="32" t="str">
        <f t="shared" si="126"/>
        <v/>
      </c>
      <c r="K900" s="86"/>
      <c r="L900" s="62">
        <f>IF($B900&lt;&gt;"",SUMIFS(DataAct_tbl[AMOUNT],DataAct_tbl[BG CODE],Detail!$D900,DataAct_tbl[Check Range],"=true",DataAct_tbl[Dept code],$B900),0)</f>
        <v>0</v>
      </c>
      <c r="M900" s="63">
        <f>INDEX($AG$7:$AR$1005,ROW()-6,MATCH(MTD,$AG$6:$AR$6,0))</f>
        <v>0</v>
      </c>
      <c r="N900" s="34">
        <f t="shared" si="127"/>
        <v>0</v>
      </c>
      <c r="O900" s="64" t="str">
        <f t="shared" si="128"/>
        <v xml:space="preserve"> </v>
      </c>
      <c r="Q900" s="97">
        <f t="shared" si="129"/>
        <v>0</v>
      </c>
      <c r="R900" s="96">
        <f t="shared" si="130"/>
        <v>0</v>
      </c>
      <c r="T900" s="67" t="str">
        <f>IF($B900&lt;&gt;"",INDEX(DataOB[],FirstRow+ROW()-7,MATCH(T$6,DataOB[#Headers],0)),"")</f>
        <v/>
      </c>
      <c r="U900" s="67" t="str">
        <f>IF($B900&lt;&gt;"",INDEX(DataOB[],FirstRow+ROW()-7,MATCH(U$6,DataOB[#Headers],0)),"")</f>
        <v/>
      </c>
      <c r="V900" s="67" t="str">
        <f>IF($B900&lt;&gt;"",INDEX(DataOB[],FirstRow+ROW()-7,MATCH(V$6,DataOB[#Headers],0)),"")</f>
        <v/>
      </c>
      <c r="W900" s="67" t="str">
        <f>IF($B900&lt;&gt;"",INDEX(DataOB[],FirstRow+ROW()-7,MATCH(W$6,DataOB[#Headers],0)),"")</f>
        <v/>
      </c>
      <c r="X900" s="67" t="str">
        <f>IF($B900&lt;&gt;"",INDEX(DataOB[],FirstRow+ROW()-7,MATCH(X$6,DataOB[#Headers],0)),"")</f>
        <v/>
      </c>
      <c r="Y900" s="67" t="str">
        <f>IF($B900&lt;&gt;"",INDEX(DataOB[],FirstRow+ROW()-7,MATCH(Y$6,DataOB[#Headers],0)),"")</f>
        <v/>
      </c>
      <c r="Z900" s="67" t="str">
        <f>IF($B900&lt;&gt;"",INDEX(DataOB[],FirstRow+ROW()-7,MATCH(Z$6,DataOB[#Headers],0)),"")</f>
        <v/>
      </c>
      <c r="AA900" s="67" t="str">
        <f>IF($B900&lt;&gt;"",INDEX(DataOB[],FirstRow+ROW()-7,MATCH(AA$6,DataOB[#Headers],0)),"")</f>
        <v/>
      </c>
      <c r="AB900" s="67" t="str">
        <f>IF($B900&lt;&gt;"",INDEX(DataOB[],FirstRow+ROW()-7,MATCH(AB$6,DataOB[#Headers],0)),"")</f>
        <v/>
      </c>
      <c r="AC900" s="67" t="str">
        <f>IF($B900&lt;&gt;"",INDEX(DataOB[],FirstRow+ROW()-7,MATCH(AC$6,DataOB[#Headers],0)),"")</f>
        <v/>
      </c>
      <c r="AD900" s="67" t="str">
        <f>IF($B900&lt;&gt;"",INDEX(DataOB[],FirstRow+ROW()-7,MATCH(AD$6,DataOB[#Headers],0)),"")</f>
        <v/>
      </c>
      <c r="AE900" s="67" t="str">
        <f>IF($B900&lt;&gt;"",INDEX(DataOB[],FirstRow+ROW()-7,MATCH(AE$6,DataOB[#Headers],0)),"")</f>
        <v/>
      </c>
      <c r="AF900" s="26">
        <f t="shared" si="131"/>
        <v>0</v>
      </c>
      <c r="AG900" s="31">
        <f>SUM($T900:T900)</f>
        <v>0</v>
      </c>
      <c r="AH900" s="31">
        <f>SUM($T900:U900)</f>
        <v>0</v>
      </c>
      <c r="AI900" s="31">
        <f>SUM($T900:V900)</f>
        <v>0</v>
      </c>
      <c r="AJ900" s="31">
        <f>SUM($T900:W900)</f>
        <v>0</v>
      </c>
      <c r="AK900" s="31">
        <f>SUM($T900:X900)</f>
        <v>0</v>
      </c>
      <c r="AL900" s="31">
        <f>SUM($T900:Y900)</f>
        <v>0</v>
      </c>
      <c r="AM900" s="31">
        <f>SUM($T900:Z900)</f>
        <v>0</v>
      </c>
      <c r="AN900" s="31">
        <f>SUM($T900:AA900)</f>
        <v>0</v>
      </c>
      <c r="AO900" s="31">
        <f>SUM($T900:AB900)</f>
        <v>0</v>
      </c>
      <c r="AP900" s="31">
        <f>SUM($T900:AC900)</f>
        <v>0</v>
      </c>
      <c r="AQ900" s="31">
        <f>SUM($T900:AD900)</f>
        <v>0</v>
      </c>
      <c r="AR900" s="31">
        <f>SUM($T900:AE900)</f>
        <v>0</v>
      </c>
      <c r="AS900" s="27">
        <f t="shared" si="132"/>
        <v>0</v>
      </c>
    </row>
    <row r="901" spans="2:45">
      <c r="B901" s="102" t="str">
        <f>IF(ROW()-6&gt;NumCostCenter,"",IF(CostCenter&lt;&gt;"ALL",CostCenter,DATA_LF2!B899))</f>
        <v/>
      </c>
      <c r="C901" s="153" t="str">
        <f>IF($B901&lt;&gt;"",INDEX(DataOB[],FirstRow+ROW()-7,2),"")</f>
        <v/>
      </c>
      <c r="D901" s="66" t="str">
        <f>IF($B901&lt;&gt;"",INDEX(DataOB[],FirstRow+ROW()-7,3),"")</f>
        <v/>
      </c>
      <c r="E901" s="103" t="str">
        <f>IF($B901&lt;&gt;"",INDEX(DataOB[],FirstRow+ROW()-7,6),"")</f>
        <v/>
      </c>
      <c r="F901" s="103" t="str">
        <f>IF($B901&lt;&gt;"",INDEX(DataOB[],FirstRow+ROW()-7,5),"")</f>
        <v/>
      </c>
      <c r="G901" s="58">
        <f>IF($B901&lt;&gt;"",SUMIFS(DataAct_tbl[AMOUNT],DataAct_tbl[BG CODE],Detail!$D901,DataAct_tbl[MONTH],LEFT(MonthName,3),DataAct_tbl[Dept code],$B901),0)</f>
        <v>0</v>
      </c>
      <c r="H901" s="31" t="str">
        <f t="shared" si="124"/>
        <v/>
      </c>
      <c r="I901" s="28" t="str">
        <f t="shared" si="125"/>
        <v/>
      </c>
      <c r="J901" s="32" t="str">
        <f t="shared" si="126"/>
        <v/>
      </c>
      <c r="K901" s="86"/>
      <c r="L901" s="62">
        <f>IF($B901&lt;&gt;"",SUMIFS(DataAct_tbl[AMOUNT],DataAct_tbl[BG CODE],Detail!$D901,DataAct_tbl[Check Range],"=true",DataAct_tbl[Dept code],$B901),0)</f>
        <v>0</v>
      </c>
      <c r="M901" s="63">
        <f>INDEX($AG$7:$AR$1005,ROW()-6,MATCH(MTD,$AG$6:$AR$6,0))</f>
        <v>0</v>
      </c>
      <c r="N901" s="34">
        <f t="shared" si="127"/>
        <v>0</v>
      </c>
      <c r="O901" s="64" t="str">
        <f t="shared" si="128"/>
        <v xml:space="preserve"> </v>
      </c>
      <c r="Q901" s="97">
        <f t="shared" si="129"/>
        <v>0</v>
      </c>
      <c r="R901" s="96">
        <f t="shared" si="130"/>
        <v>0</v>
      </c>
      <c r="T901" s="67" t="str">
        <f>IF($B901&lt;&gt;"",INDEX(DataOB[],FirstRow+ROW()-7,MATCH(T$6,DataOB[#Headers],0)),"")</f>
        <v/>
      </c>
      <c r="U901" s="67" t="str">
        <f>IF($B901&lt;&gt;"",INDEX(DataOB[],FirstRow+ROW()-7,MATCH(U$6,DataOB[#Headers],0)),"")</f>
        <v/>
      </c>
      <c r="V901" s="67" t="str">
        <f>IF($B901&lt;&gt;"",INDEX(DataOB[],FirstRow+ROW()-7,MATCH(V$6,DataOB[#Headers],0)),"")</f>
        <v/>
      </c>
      <c r="W901" s="67" t="str">
        <f>IF($B901&lt;&gt;"",INDEX(DataOB[],FirstRow+ROW()-7,MATCH(W$6,DataOB[#Headers],0)),"")</f>
        <v/>
      </c>
      <c r="X901" s="67" t="str">
        <f>IF($B901&lt;&gt;"",INDEX(DataOB[],FirstRow+ROW()-7,MATCH(X$6,DataOB[#Headers],0)),"")</f>
        <v/>
      </c>
      <c r="Y901" s="67" t="str">
        <f>IF($B901&lt;&gt;"",INDEX(DataOB[],FirstRow+ROW()-7,MATCH(Y$6,DataOB[#Headers],0)),"")</f>
        <v/>
      </c>
      <c r="Z901" s="67" t="str">
        <f>IF($B901&lt;&gt;"",INDEX(DataOB[],FirstRow+ROW()-7,MATCH(Z$6,DataOB[#Headers],0)),"")</f>
        <v/>
      </c>
      <c r="AA901" s="67" t="str">
        <f>IF($B901&lt;&gt;"",INDEX(DataOB[],FirstRow+ROW()-7,MATCH(AA$6,DataOB[#Headers],0)),"")</f>
        <v/>
      </c>
      <c r="AB901" s="67" t="str">
        <f>IF($B901&lt;&gt;"",INDEX(DataOB[],FirstRow+ROW()-7,MATCH(AB$6,DataOB[#Headers],0)),"")</f>
        <v/>
      </c>
      <c r="AC901" s="67" t="str">
        <f>IF($B901&lt;&gt;"",INDEX(DataOB[],FirstRow+ROW()-7,MATCH(AC$6,DataOB[#Headers],0)),"")</f>
        <v/>
      </c>
      <c r="AD901" s="67" t="str">
        <f>IF($B901&lt;&gt;"",INDEX(DataOB[],FirstRow+ROW()-7,MATCH(AD$6,DataOB[#Headers],0)),"")</f>
        <v/>
      </c>
      <c r="AE901" s="67" t="str">
        <f>IF($B901&lt;&gt;"",INDEX(DataOB[],FirstRow+ROW()-7,MATCH(AE$6,DataOB[#Headers],0)),"")</f>
        <v/>
      </c>
      <c r="AF901" s="26">
        <f t="shared" si="131"/>
        <v>0</v>
      </c>
      <c r="AG901" s="31">
        <f>SUM($T901:T901)</f>
        <v>0</v>
      </c>
      <c r="AH901" s="31">
        <f>SUM($T901:U901)</f>
        <v>0</v>
      </c>
      <c r="AI901" s="31">
        <f>SUM($T901:V901)</f>
        <v>0</v>
      </c>
      <c r="AJ901" s="31">
        <f>SUM($T901:W901)</f>
        <v>0</v>
      </c>
      <c r="AK901" s="31">
        <f>SUM($T901:X901)</f>
        <v>0</v>
      </c>
      <c r="AL901" s="31">
        <f>SUM($T901:Y901)</f>
        <v>0</v>
      </c>
      <c r="AM901" s="31">
        <f>SUM($T901:Z901)</f>
        <v>0</v>
      </c>
      <c r="AN901" s="31">
        <f>SUM($T901:AA901)</f>
        <v>0</v>
      </c>
      <c r="AO901" s="31">
        <f>SUM($T901:AB901)</f>
        <v>0</v>
      </c>
      <c r="AP901" s="31">
        <f>SUM($T901:AC901)</f>
        <v>0</v>
      </c>
      <c r="AQ901" s="31">
        <f>SUM($T901:AD901)</f>
        <v>0</v>
      </c>
      <c r="AR901" s="31">
        <f>SUM($T901:AE901)</f>
        <v>0</v>
      </c>
      <c r="AS901" s="27">
        <f t="shared" si="132"/>
        <v>0</v>
      </c>
    </row>
    <row r="902" spans="2:45">
      <c r="B902" s="102" t="str">
        <f>IF(ROW()-6&gt;NumCostCenter,"",IF(CostCenter&lt;&gt;"ALL",CostCenter,DATA_LF2!B900))</f>
        <v/>
      </c>
      <c r="C902" s="153" t="str">
        <f>IF($B902&lt;&gt;"",INDEX(DataOB[],FirstRow+ROW()-7,2),"")</f>
        <v/>
      </c>
      <c r="D902" s="66" t="str">
        <f>IF($B902&lt;&gt;"",INDEX(DataOB[],FirstRow+ROW()-7,3),"")</f>
        <v/>
      </c>
      <c r="E902" s="103" t="str">
        <f>IF($B902&lt;&gt;"",INDEX(DataOB[],FirstRow+ROW()-7,6),"")</f>
        <v/>
      </c>
      <c r="F902" s="103" t="str">
        <f>IF($B902&lt;&gt;"",INDEX(DataOB[],FirstRow+ROW()-7,5),"")</f>
        <v/>
      </c>
      <c r="G902" s="58">
        <f>IF($B902&lt;&gt;"",SUMIFS(DataAct_tbl[AMOUNT],DataAct_tbl[BG CODE],Detail!$D902,DataAct_tbl[MONTH],LEFT(MonthName,3),DataAct_tbl[Dept code],$B902),0)</f>
        <v>0</v>
      </c>
      <c r="H902" s="31" t="str">
        <f t="shared" si="124"/>
        <v/>
      </c>
      <c r="I902" s="28" t="str">
        <f t="shared" si="125"/>
        <v/>
      </c>
      <c r="J902" s="32" t="str">
        <f t="shared" si="126"/>
        <v/>
      </c>
      <c r="K902" s="86"/>
      <c r="L902" s="62">
        <f>IF($B902&lt;&gt;"",SUMIFS(DataAct_tbl[AMOUNT],DataAct_tbl[BG CODE],Detail!$D902,DataAct_tbl[Check Range],"=true",DataAct_tbl[Dept code],$B902),0)</f>
        <v>0</v>
      </c>
      <c r="M902" s="63">
        <f>INDEX($AG$7:$AR$1005,ROW()-6,MATCH(MTD,$AG$6:$AR$6,0))</f>
        <v>0</v>
      </c>
      <c r="N902" s="34">
        <f t="shared" si="127"/>
        <v>0</v>
      </c>
      <c r="O902" s="64" t="str">
        <f t="shared" si="128"/>
        <v xml:space="preserve"> </v>
      </c>
      <c r="Q902" s="97">
        <f t="shared" si="129"/>
        <v>0</v>
      </c>
      <c r="R902" s="96">
        <f t="shared" si="130"/>
        <v>0</v>
      </c>
      <c r="T902" s="67" t="str">
        <f>IF($B902&lt;&gt;"",INDEX(DataOB[],FirstRow+ROW()-7,MATCH(T$6,DataOB[#Headers],0)),"")</f>
        <v/>
      </c>
      <c r="U902" s="67" t="str">
        <f>IF($B902&lt;&gt;"",INDEX(DataOB[],FirstRow+ROW()-7,MATCH(U$6,DataOB[#Headers],0)),"")</f>
        <v/>
      </c>
      <c r="V902" s="67" t="str">
        <f>IF($B902&lt;&gt;"",INDEX(DataOB[],FirstRow+ROW()-7,MATCH(V$6,DataOB[#Headers],0)),"")</f>
        <v/>
      </c>
      <c r="W902" s="67" t="str">
        <f>IF($B902&lt;&gt;"",INDEX(DataOB[],FirstRow+ROW()-7,MATCH(W$6,DataOB[#Headers],0)),"")</f>
        <v/>
      </c>
      <c r="X902" s="67" t="str">
        <f>IF($B902&lt;&gt;"",INDEX(DataOB[],FirstRow+ROW()-7,MATCH(X$6,DataOB[#Headers],0)),"")</f>
        <v/>
      </c>
      <c r="Y902" s="67" t="str">
        <f>IF($B902&lt;&gt;"",INDEX(DataOB[],FirstRow+ROW()-7,MATCH(Y$6,DataOB[#Headers],0)),"")</f>
        <v/>
      </c>
      <c r="Z902" s="67" t="str">
        <f>IF($B902&lt;&gt;"",INDEX(DataOB[],FirstRow+ROW()-7,MATCH(Z$6,DataOB[#Headers],0)),"")</f>
        <v/>
      </c>
      <c r="AA902" s="67" t="str">
        <f>IF($B902&lt;&gt;"",INDEX(DataOB[],FirstRow+ROW()-7,MATCH(AA$6,DataOB[#Headers],0)),"")</f>
        <v/>
      </c>
      <c r="AB902" s="67" t="str">
        <f>IF($B902&lt;&gt;"",INDEX(DataOB[],FirstRow+ROW()-7,MATCH(AB$6,DataOB[#Headers],0)),"")</f>
        <v/>
      </c>
      <c r="AC902" s="67" t="str">
        <f>IF($B902&lt;&gt;"",INDEX(DataOB[],FirstRow+ROW()-7,MATCH(AC$6,DataOB[#Headers],0)),"")</f>
        <v/>
      </c>
      <c r="AD902" s="67" t="str">
        <f>IF($B902&lt;&gt;"",INDEX(DataOB[],FirstRow+ROW()-7,MATCH(AD$6,DataOB[#Headers],0)),"")</f>
        <v/>
      </c>
      <c r="AE902" s="67" t="str">
        <f>IF($B902&lt;&gt;"",INDEX(DataOB[],FirstRow+ROW()-7,MATCH(AE$6,DataOB[#Headers],0)),"")</f>
        <v/>
      </c>
      <c r="AF902" s="26">
        <f t="shared" si="131"/>
        <v>0</v>
      </c>
      <c r="AG902" s="31">
        <f>SUM($T902:T902)</f>
        <v>0</v>
      </c>
      <c r="AH902" s="31">
        <f>SUM($T902:U902)</f>
        <v>0</v>
      </c>
      <c r="AI902" s="31">
        <f>SUM($T902:V902)</f>
        <v>0</v>
      </c>
      <c r="AJ902" s="31">
        <f>SUM($T902:W902)</f>
        <v>0</v>
      </c>
      <c r="AK902" s="31">
        <f>SUM($T902:X902)</f>
        <v>0</v>
      </c>
      <c r="AL902" s="31">
        <f>SUM($T902:Y902)</f>
        <v>0</v>
      </c>
      <c r="AM902" s="31">
        <f>SUM($T902:Z902)</f>
        <v>0</v>
      </c>
      <c r="AN902" s="31">
        <f>SUM($T902:AA902)</f>
        <v>0</v>
      </c>
      <c r="AO902" s="31">
        <f>SUM($T902:AB902)</f>
        <v>0</v>
      </c>
      <c r="AP902" s="31">
        <f>SUM($T902:AC902)</f>
        <v>0</v>
      </c>
      <c r="AQ902" s="31">
        <f>SUM($T902:AD902)</f>
        <v>0</v>
      </c>
      <c r="AR902" s="31">
        <f>SUM($T902:AE902)</f>
        <v>0</v>
      </c>
      <c r="AS902" s="27">
        <f t="shared" si="132"/>
        <v>0</v>
      </c>
    </row>
    <row r="903" spans="2:45">
      <c r="B903" s="102" t="str">
        <f>IF(ROW()-6&gt;NumCostCenter,"",IF(CostCenter&lt;&gt;"ALL",CostCenter,DATA_LF2!B901))</f>
        <v/>
      </c>
      <c r="C903" s="153" t="str">
        <f>IF($B903&lt;&gt;"",INDEX(DataOB[],FirstRow+ROW()-7,2),"")</f>
        <v/>
      </c>
      <c r="D903" s="66" t="str">
        <f>IF($B903&lt;&gt;"",INDEX(DataOB[],FirstRow+ROW()-7,3),"")</f>
        <v/>
      </c>
      <c r="E903" s="103" t="str">
        <f>IF($B903&lt;&gt;"",INDEX(DataOB[],FirstRow+ROW()-7,6),"")</f>
        <v/>
      </c>
      <c r="F903" s="103" t="str">
        <f>IF($B903&lt;&gt;"",INDEX(DataOB[],FirstRow+ROW()-7,5),"")</f>
        <v/>
      </c>
      <c r="G903" s="58">
        <f>IF($B903&lt;&gt;"",SUMIFS(DataAct_tbl[AMOUNT],DataAct_tbl[BG CODE],Detail!$D903,DataAct_tbl[MONTH],LEFT(MonthName,3),DataAct_tbl[Dept code],$B903),0)</f>
        <v>0</v>
      </c>
      <c r="H903" s="31" t="str">
        <f t="shared" ref="H903:H966" si="133">INDEX($T$7:$AE$1005,ROW()-6,MATCH(MonthName,$T$6:$AE$6,0))</f>
        <v/>
      </c>
      <c r="I903" s="28" t="str">
        <f t="shared" si="125"/>
        <v/>
      </c>
      <c r="J903" s="32" t="str">
        <f t="shared" si="126"/>
        <v/>
      </c>
      <c r="K903" s="86"/>
      <c r="L903" s="62">
        <f>IF($B903&lt;&gt;"",SUMIFS(DataAct_tbl[AMOUNT],DataAct_tbl[BG CODE],Detail!$D903,DataAct_tbl[Check Range],"=true",DataAct_tbl[Dept code],$B903),0)</f>
        <v>0</v>
      </c>
      <c r="M903" s="63">
        <f>INDEX($AG$7:$AR$1005,ROW()-6,MATCH(MTD,$AG$6:$AR$6,0))</f>
        <v>0</v>
      </c>
      <c r="N903" s="34">
        <f t="shared" si="127"/>
        <v>0</v>
      </c>
      <c r="O903" s="64" t="str">
        <f t="shared" si="128"/>
        <v xml:space="preserve"> </v>
      </c>
      <c r="Q903" s="97">
        <f t="shared" si="129"/>
        <v>0</v>
      </c>
      <c r="R903" s="96">
        <f t="shared" si="130"/>
        <v>0</v>
      </c>
      <c r="T903" s="67" t="str">
        <f>IF($B903&lt;&gt;"",INDEX(DataOB[],FirstRow+ROW()-7,MATCH(T$6,DataOB[#Headers],0)),"")</f>
        <v/>
      </c>
      <c r="U903" s="67" t="str">
        <f>IF($B903&lt;&gt;"",INDEX(DataOB[],FirstRow+ROW()-7,MATCH(U$6,DataOB[#Headers],0)),"")</f>
        <v/>
      </c>
      <c r="V903" s="67" t="str">
        <f>IF($B903&lt;&gt;"",INDEX(DataOB[],FirstRow+ROW()-7,MATCH(V$6,DataOB[#Headers],0)),"")</f>
        <v/>
      </c>
      <c r="W903" s="67" t="str">
        <f>IF($B903&lt;&gt;"",INDEX(DataOB[],FirstRow+ROW()-7,MATCH(W$6,DataOB[#Headers],0)),"")</f>
        <v/>
      </c>
      <c r="X903" s="67" t="str">
        <f>IF($B903&lt;&gt;"",INDEX(DataOB[],FirstRow+ROW()-7,MATCH(X$6,DataOB[#Headers],0)),"")</f>
        <v/>
      </c>
      <c r="Y903" s="67" t="str">
        <f>IF($B903&lt;&gt;"",INDEX(DataOB[],FirstRow+ROW()-7,MATCH(Y$6,DataOB[#Headers],0)),"")</f>
        <v/>
      </c>
      <c r="Z903" s="67" t="str">
        <f>IF($B903&lt;&gt;"",INDEX(DataOB[],FirstRow+ROW()-7,MATCH(Z$6,DataOB[#Headers],0)),"")</f>
        <v/>
      </c>
      <c r="AA903" s="67" t="str">
        <f>IF($B903&lt;&gt;"",INDEX(DataOB[],FirstRow+ROW()-7,MATCH(AA$6,DataOB[#Headers],0)),"")</f>
        <v/>
      </c>
      <c r="AB903" s="67" t="str">
        <f>IF($B903&lt;&gt;"",INDEX(DataOB[],FirstRow+ROW()-7,MATCH(AB$6,DataOB[#Headers],0)),"")</f>
        <v/>
      </c>
      <c r="AC903" s="67" t="str">
        <f>IF($B903&lt;&gt;"",INDEX(DataOB[],FirstRow+ROW()-7,MATCH(AC$6,DataOB[#Headers],0)),"")</f>
        <v/>
      </c>
      <c r="AD903" s="67" t="str">
        <f>IF($B903&lt;&gt;"",INDEX(DataOB[],FirstRow+ROW()-7,MATCH(AD$6,DataOB[#Headers],0)),"")</f>
        <v/>
      </c>
      <c r="AE903" s="67" t="str">
        <f>IF($B903&lt;&gt;"",INDEX(DataOB[],FirstRow+ROW()-7,MATCH(AE$6,DataOB[#Headers],0)),"")</f>
        <v/>
      </c>
      <c r="AF903" s="26">
        <f t="shared" si="131"/>
        <v>0</v>
      </c>
      <c r="AG903" s="31">
        <f>SUM($T903:T903)</f>
        <v>0</v>
      </c>
      <c r="AH903" s="31">
        <f>SUM($T903:U903)</f>
        <v>0</v>
      </c>
      <c r="AI903" s="31">
        <f>SUM($T903:V903)</f>
        <v>0</v>
      </c>
      <c r="AJ903" s="31">
        <f>SUM($T903:W903)</f>
        <v>0</v>
      </c>
      <c r="AK903" s="31">
        <f>SUM($T903:X903)</f>
        <v>0</v>
      </c>
      <c r="AL903" s="31">
        <f>SUM($T903:Y903)</f>
        <v>0</v>
      </c>
      <c r="AM903" s="31">
        <f>SUM($T903:Z903)</f>
        <v>0</v>
      </c>
      <c r="AN903" s="31">
        <f>SUM($T903:AA903)</f>
        <v>0</v>
      </c>
      <c r="AO903" s="31">
        <f>SUM($T903:AB903)</f>
        <v>0</v>
      </c>
      <c r="AP903" s="31">
        <f>SUM($T903:AC903)</f>
        <v>0</v>
      </c>
      <c r="AQ903" s="31">
        <f>SUM($T903:AD903)</f>
        <v>0</v>
      </c>
      <c r="AR903" s="31">
        <f>SUM($T903:AE903)</f>
        <v>0</v>
      </c>
      <c r="AS903" s="27">
        <f t="shared" si="132"/>
        <v>0</v>
      </c>
    </row>
    <row r="904" spans="2:45">
      <c r="B904" s="102" t="str">
        <f>IF(ROW()-6&gt;NumCostCenter,"",IF(CostCenter&lt;&gt;"ALL",CostCenter,DATA_LF2!B902))</f>
        <v/>
      </c>
      <c r="C904" s="153" t="str">
        <f>IF($B904&lt;&gt;"",INDEX(DataOB[],FirstRow+ROW()-7,2),"")</f>
        <v/>
      </c>
      <c r="D904" s="66" t="str">
        <f>IF($B904&lt;&gt;"",INDEX(DataOB[],FirstRow+ROW()-7,3),"")</f>
        <v/>
      </c>
      <c r="E904" s="103" t="str">
        <f>IF($B904&lt;&gt;"",INDEX(DataOB[],FirstRow+ROW()-7,6),"")</f>
        <v/>
      </c>
      <c r="F904" s="103" t="str">
        <f>IF($B904&lt;&gt;"",INDEX(DataOB[],FirstRow+ROW()-7,5),"")</f>
        <v/>
      </c>
      <c r="G904" s="58">
        <f>IF($B904&lt;&gt;"",SUMIFS(DataAct_tbl[AMOUNT],DataAct_tbl[BG CODE],Detail!$D904,DataAct_tbl[MONTH],LEFT(MonthName,3),DataAct_tbl[Dept code],$B904),0)</f>
        <v>0</v>
      </c>
      <c r="H904" s="31" t="str">
        <f t="shared" si="133"/>
        <v/>
      </c>
      <c r="I904" s="28" t="str">
        <f t="shared" ref="I904:I967" si="134">IFERROR(+G904-H904,"")</f>
        <v/>
      </c>
      <c r="J904" s="32" t="str">
        <f t="shared" ref="J904:J967" si="135">IFERROR(+IF(H904&gt;0,G904/H904," "),"")</f>
        <v/>
      </c>
      <c r="K904" s="86"/>
      <c r="L904" s="62">
        <f>IF($B904&lt;&gt;"",SUMIFS(DataAct_tbl[AMOUNT],DataAct_tbl[BG CODE],Detail!$D904,DataAct_tbl[Check Range],"=true",DataAct_tbl[Dept code],$B904),0)</f>
        <v>0</v>
      </c>
      <c r="M904" s="63">
        <f>INDEX($AG$7:$AR$1005,ROW()-6,MATCH(MTD,$AG$6:$AR$6,0))</f>
        <v>0</v>
      </c>
      <c r="N904" s="34">
        <f t="shared" ref="N904:N967" si="136">IFERROR(+L904-M904,"")</f>
        <v>0</v>
      </c>
      <c r="O904" s="64" t="str">
        <f t="shared" ref="O904:O967" si="137">IFERROR(+IF(M904&gt;0,L904/M904," "),"")</f>
        <v xml:space="preserve"> </v>
      </c>
      <c r="Q904" s="97">
        <f t="shared" ref="Q904:Q967" si="138">AF904</f>
        <v>0</v>
      </c>
      <c r="R904" s="96">
        <f t="shared" ref="R904:R967" si="139">Q904-L904</f>
        <v>0</v>
      </c>
      <c r="T904" s="67" t="str">
        <f>IF($B904&lt;&gt;"",INDEX(DataOB[],FirstRow+ROW()-7,MATCH(T$6,DataOB[#Headers],0)),"")</f>
        <v/>
      </c>
      <c r="U904" s="67" t="str">
        <f>IF($B904&lt;&gt;"",INDEX(DataOB[],FirstRow+ROW()-7,MATCH(U$6,DataOB[#Headers],0)),"")</f>
        <v/>
      </c>
      <c r="V904" s="67" t="str">
        <f>IF($B904&lt;&gt;"",INDEX(DataOB[],FirstRow+ROW()-7,MATCH(V$6,DataOB[#Headers],0)),"")</f>
        <v/>
      </c>
      <c r="W904" s="67" t="str">
        <f>IF($B904&lt;&gt;"",INDEX(DataOB[],FirstRow+ROW()-7,MATCH(W$6,DataOB[#Headers],0)),"")</f>
        <v/>
      </c>
      <c r="X904" s="67" t="str">
        <f>IF($B904&lt;&gt;"",INDEX(DataOB[],FirstRow+ROW()-7,MATCH(X$6,DataOB[#Headers],0)),"")</f>
        <v/>
      </c>
      <c r="Y904" s="67" t="str">
        <f>IF($B904&lt;&gt;"",INDEX(DataOB[],FirstRow+ROW()-7,MATCH(Y$6,DataOB[#Headers],0)),"")</f>
        <v/>
      </c>
      <c r="Z904" s="67" t="str">
        <f>IF($B904&lt;&gt;"",INDEX(DataOB[],FirstRow+ROW()-7,MATCH(Z$6,DataOB[#Headers],0)),"")</f>
        <v/>
      </c>
      <c r="AA904" s="67" t="str">
        <f>IF($B904&lt;&gt;"",INDEX(DataOB[],FirstRow+ROW()-7,MATCH(AA$6,DataOB[#Headers],0)),"")</f>
        <v/>
      </c>
      <c r="AB904" s="67" t="str">
        <f>IF($B904&lt;&gt;"",INDEX(DataOB[],FirstRow+ROW()-7,MATCH(AB$6,DataOB[#Headers],0)),"")</f>
        <v/>
      </c>
      <c r="AC904" s="67" t="str">
        <f>IF($B904&lt;&gt;"",INDEX(DataOB[],FirstRow+ROW()-7,MATCH(AC$6,DataOB[#Headers],0)),"")</f>
        <v/>
      </c>
      <c r="AD904" s="67" t="str">
        <f>IF($B904&lt;&gt;"",INDEX(DataOB[],FirstRow+ROW()-7,MATCH(AD$6,DataOB[#Headers],0)),"")</f>
        <v/>
      </c>
      <c r="AE904" s="67" t="str">
        <f>IF($B904&lt;&gt;"",INDEX(DataOB[],FirstRow+ROW()-7,MATCH(AE$6,DataOB[#Headers],0)),"")</f>
        <v/>
      </c>
      <c r="AF904" s="26">
        <f t="shared" ref="AF904:AF967" si="140">+SUM(T904:AE904)</f>
        <v>0</v>
      </c>
      <c r="AG904" s="31">
        <f>SUM($T904:T904)</f>
        <v>0</v>
      </c>
      <c r="AH904" s="31">
        <f>SUM($T904:U904)</f>
        <v>0</v>
      </c>
      <c r="AI904" s="31">
        <f>SUM($T904:V904)</f>
        <v>0</v>
      </c>
      <c r="AJ904" s="31">
        <f>SUM($T904:W904)</f>
        <v>0</v>
      </c>
      <c r="AK904" s="31">
        <f>SUM($T904:X904)</f>
        <v>0</v>
      </c>
      <c r="AL904" s="31">
        <f>SUM($T904:Y904)</f>
        <v>0</v>
      </c>
      <c r="AM904" s="31">
        <f>SUM($T904:Z904)</f>
        <v>0</v>
      </c>
      <c r="AN904" s="31">
        <f>SUM($T904:AA904)</f>
        <v>0</v>
      </c>
      <c r="AO904" s="31">
        <f>SUM($T904:AB904)</f>
        <v>0</v>
      </c>
      <c r="AP904" s="31">
        <f>SUM($T904:AC904)</f>
        <v>0</v>
      </c>
      <c r="AQ904" s="31">
        <f>SUM($T904:AD904)</f>
        <v>0</v>
      </c>
      <c r="AR904" s="31">
        <f>SUM($T904:AE904)</f>
        <v>0</v>
      </c>
      <c r="AS904" s="27">
        <f t="shared" ref="AS904:AS967" si="141">AF904-AR904</f>
        <v>0</v>
      </c>
    </row>
    <row r="905" spans="2:45">
      <c r="B905" s="102" t="str">
        <f>IF(ROW()-6&gt;NumCostCenter,"",IF(CostCenter&lt;&gt;"ALL",CostCenter,DATA_LF2!B903))</f>
        <v/>
      </c>
      <c r="C905" s="153" t="str">
        <f>IF($B905&lt;&gt;"",INDEX(DataOB[],FirstRow+ROW()-7,2),"")</f>
        <v/>
      </c>
      <c r="D905" s="66" t="str">
        <f>IF($B905&lt;&gt;"",INDEX(DataOB[],FirstRow+ROW()-7,3),"")</f>
        <v/>
      </c>
      <c r="E905" s="103" t="str">
        <f>IF($B905&lt;&gt;"",INDEX(DataOB[],FirstRow+ROW()-7,6),"")</f>
        <v/>
      </c>
      <c r="F905" s="103" t="str">
        <f>IF($B905&lt;&gt;"",INDEX(DataOB[],FirstRow+ROW()-7,5),"")</f>
        <v/>
      </c>
      <c r="G905" s="58">
        <f>IF($B905&lt;&gt;"",SUMIFS(DataAct_tbl[AMOUNT],DataAct_tbl[BG CODE],Detail!$D905,DataAct_tbl[MONTH],LEFT(MonthName,3),DataAct_tbl[Dept code],$B905),0)</f>
        <v>0</v>
      </c>
      <c r="H905" s="31" t="str">
        <f t="shared" si="133"/>
        <v/>
      </c>
      <c r="I905" s="28" t="str">
        <f t="shared" si="134"/>
        <v/>
      </c>
      <c r="J905" s="32" t="str">
        <f t="shared" si="135"/>
        <v/>
      </c>
      <c r="K905" s="86"/>
      <c r="L905" s="62">
        <f>IF($B905&lt;&gt;"",SUMIFS(DataAct_tbl[AMOUNT],DataAct_tbl[BG CODE],Detail!$D905,DataAct_tbl[Check Range],"=true",DataAct_tbl[Dept code],$B905),0)</f>
        <v>0</v>
      </c>
      <c r="M905" s="63">
        <f>INDEX($AG$7:$AR$1005,ROW()-6,MATCH(MTD,$AG$6:$AR$6,0))</f>
        <v>0</v>
      </c>
      <c r="N905" s="34">
        <f t="shared" si="136"/>
        <v>0</v>
      </c>
      <c r="O905" s="64" t="str">
        <f t="shared" si="137"/>
        <v xml:space="preserve"> </v>
      </c>
      <c r="Q905" s="97">
        <f t="shared" si="138"/>
        <v>0</v>
      </c>
      <c r="R905" s="96">
        <f t="shared" si="139"/>
        <v>0</v>
      </c>
      <c r="T905" s="67" t="str">
        <f>IF($B905&lt;&gt;"",INDEX(DataOB[],FirstRow+ROW()-7,MATCH(T$6,DataOB[#Headers],0)),"")</f>
        <v/>
      </c>
      <c r="U905" s="67" t="str">
        <f>IF($B905&lt;&gt;"",INDEX(DataOB[],FirstRow+ROW()-7,MATCH(U$6,DataOB[#Headers],0)),"")</f>
        <v/>
      </c>
      <c r="V905" s="67" t="str">
        <f>IF($B905&lt;&gt;"",INDEX(DataOB[],FirstRow+ROW()-7,MATCH(V$6,DataOB[#Headers],0)),"")</f>
        <v/>
      </c>
      <c r="W905" s="67" t="str">
        <f>IF($B905&lt;&gt;"",INDEX(DataOB[],FirstRow+ROW()-7,MATCH(W$6,DataOB[#Headers],0)),"")</f>
        <v/>
      </c>
      <c r="X905" s="67" t="str">
        <f>IF($B905&lt;&gt;"",INDEX(DataOB[],FirstRow+ROW()-7,MATCH(X$6,DataOB[#Headers],0)),"")</f>
        <v/>
      </c>
      <c r="Y905" s="67" t="str">
        <f>IF($B905&lt;&gt;"",INDEX(DataOB[],FirstRow+ROW()-7,MATCH(Y$6,DataOB[#Headers],0)),"")</f>
        <v/>
      </c>
      <c r="Z905" s="67" t="str">
        <f>IF($B905&lt;&gt;"",INDEX(DataOB[],FirstRow+ROW()-7,MATCH(Z$6,DataOB[#Headers],0)),"")</f>
        <v/>
      </c>
      <c r="AA905" s="67" t="str">
        <f>IF($B905&lt;&gt;"",INDEX(DataOB[],FirstRow+ROW()-7,MATCH(AA$6,DataOB[#Headers],0)),"")</f>
        <v/>
      </c>
      <c r="AB905" s="67" t="str">
        <f>IF($B905&lt;&gt;"",INDEX(DataOB[],FirstRow+ROW()-7,MATCH(AB$6,DataOB[#Headers],0)),"")</f>
        <v/>
      </c>
      <c r="AC905" s="67" t="str">
        <f>IF($B905&lt;&gt;"",INDEX(DataOB[],FirstRow+ROW()-7,MATCH(AC$6,DataOB[#Headers],0)),"")</f>
        <v/>
      </c>
      <c r="AD905" s="67" t="str">
        <f>IF($B905&lt;&gt;"",INDEX(DataOB[],FirstRow+ROW()-7,MATCH(AD$6,DataOB[#Headers],0)),"")</f>
        <v/>
      </c>
      <c r="AE905" s="67" t="str">
        <f>IF($B905&lt;&gt;"",INDEX(DataOB[],FirstRow+ROW()-7,MATCH(AE$6,DataOB[#Headers],0)),"")</f>
        <v/>
      </c>
      <c r="AF905" s="26">
        <f t="shared" si="140"/>
        <v>0</v>
      </c>
      <c r="AG905" s="31">
        <f>SUM($T905:T905)</f>
        <v>0</v>
      </c>
      <c r="AH905" s="31">
        <f>SUM($T905:U905)</f>
        <v>0</v>
      </c>
      <c r="AI905" s="31">
        <f>SUM($T905:V905)</f>
        <v>0</v>
      </c>
      <c r="AJ905" s="31">
        <f>SUM($T905:W905)</f>
        <v>0</v>
      </c>
      <c r="AK905" s="31">
        <f>SUM($T905:X905)</f>
        <v>0</v>
      </c>
      <c r="AL905" s="31">
        <f>SUM($T905:Y905)</f>
        <v>0</v>
      </c>
      <c r="AM905" s="31">
        <f>SUM($T905:Z905)</f>
        <v>0</v>
      </c>
      <c r="AN905" s="31">
        <f>SUM($T905:AA905)</f>
        <v>0</v>
      </c>
      <c r="AO905" s="31">
        <f>SUM($T905:AB905)</f>
        <v>0</v>
      </c>
      <c r="AP905" s="31">
        <f>SUM($T905:AC905)</f>
        <v>0</v>
      </c>
      <c r="AQ905" s="31">
        <f>SUM($T905:AD905)</f>
        <v>0</v>
      </c>
      <c r="AR905" s="31">
        <f>SUM($T905:AE905)</f>
        <v>0</v>
      </c>
      <c r="AS905" s="27">
        <f t="shared" si="141"/>
        <v>0</v>
      </c>
    </row>
    <row r="906" spans="2:45">
      <c r="B906" s="102" t="str">
        <f>IF(ROW()-6&gt;NumCostCenter,"",IF(CostCenter&lt;&gt;"ALL",CostCenter,DATA_LF2!B904))</f>
        <v/>
      </c>
      <c r="C906" s="153" t="str">
        <f>IF($B906&lt;&gt;"",INDEX(DataOB[],FirstRow+ROW()-7,2),"")</f>
        <v/>
      </c>
      <c r="D906" s="66" t="str">
        <f>IF($B906&lt;&gt;"",INDEX(DataOB[],FirstRow+ROW()-7,3),"")</f>
        <v/>
      </c>
      <c r="E906" s="103" t="str">
        <f>IF($B906&lt;&gt;"",INDEX(DataOB[],FirstRow+ROW()-7,6),"")</f>
        <v/>
      </c>
      <c r="F906" s="103" t="str">
        <f>IF($B906&lt;&gt;"",INDEX(DataOB[],FirstRow+ROW()-7,5),"")</f>
        <v/>
      </c>
      <c r="G906" s="58">
        <f>IF($B906&lt;&gt;"",SUMIFS(DataAct_tbl[AMOUNT],DataAct_tbl[BG CODE],Detail!$D906,DataAct_tbl[MONTH],LEFT(MonthName,3),DataAct_tbl[Dept code],$B906),0)</f>
        <v>0</v>
      </c>
      <c r="H906" s="31" t="str">
        <f t="shared" si="133"/>
        <v/>
      </c>
      <c r="I906" s="28" t="str">
        <f t="shared" si="134"/>
        <v/>
      </c>
      <c r="J906" s="32" t="str">
        <f t="shared" si="135"/>
        <v/>
      </c>
      <c r="K906" s="86"/>
      <c r="L906" s="62">
        <f>IF($B906&lt;&gt;"",SUMIFS(DataAct_tbl[AMOUNT],DataAct_tbl[BG CODE],Detail!$D906,DataAct_tbl[Check Range],"=true",DataAct_tbl[Dept code],$B906),0)</f>
        <v>0</v>
      </c>
      <c r="M906" s="63">
        <f>INDEX($AG$7:$AR$1005,ROW()-6,MATCH(MTD,$AG$6:$AR$6,0))</f>
        <v>0</v>
      </c>
      <c r="N906" s="34">
        <f t="shared" si="136"/>
        <v>0</v>
      </c>
      <c r="O906" s="64" t="str">
        <f t="shared" si="137"/>
        <v xml:space="preserve"> </v>
      </c>
      <c r="Q906" s="97">
        <f t="shared" si="138"/>
        <v>0</v>
      </c>
      <c r="R906" s="96">
        <f t="shared" si="139"/>
        <v>0</v>
      </c>
      <c r="T906" s="67" t="str">
        <f>IF($B906&lt;&gt;"",INDEX(DataOB[],FirstRow+ROW()-7,MATCH(T$6,DataOB[#Headers],0)),"")</f>
        <v/>
      </c>
      <c r="U906" s="67" t="str">
        <f>IF($B906&lt;&gt;"",INDEX(DataOB[],FirstRow+ROW()-7,MATCH(U$6,DataOB[#Headers],0)),"")</f>
        <v/>
      </c>
      <c r="V906" s="67" t="str">
        <f>IF($B906&lt;&gt;"",INDEX(DataOB[],FirstRow+ROW()-7,MATCH(V$6,DataOB[#Headers],0)),"")</f>
        <v/>
      </c>
      <c r="W906" s="67" t="str">
        <f>IF($B906&lt;&gt;"",INDEX(DataOB[],FirstRow+ROW()-7,MATCH(W$6,DataOB[#Headers],0)),"")</f>
        <v/>
      </c>
      <c r="X906" s="67" t="str">
        <f>IF($B906&lt;&gt;"",INDEX(DataOB[],FirstRow+ROW()-7,MATCH(X$6,DataOB[#Headers],0)),"")</f>
        <v/>
      </c>
      <c r="Y906" s="67" t="str">
        <f>IF($B906&lt;&gt;"",INDEX(DataOB[],FirstRow+ROW()-7,MATCH(Y$6,DataOB[#Headers],0)),"")</f>
        <v/>
      </c>
      <c r="Z906" s="67" t="str">
        <f>IF($B906&lt;&gt;"",INDEX(DataOB[],FirstRow+ROW()-7,MATCH(Z$6,DataOB[#Headers],0)),"")</f>
        <v/>
      </c>
      <c r="AA906" s="67" t="str">
        <f>IF($B906&lt;&gt;"",INDEX(DataOB[],FirstRow+ROW()-7,MATCH(AA$6,DataOB[#Headers],0)),"")</f>
        <v/>
      </c>
      <c r="AB906" s="67" t="str">
        <f>IF($B906&lt;&gt;"",INDEX(DataOB[],FirstRow+ROW()-7,MATCH(AB$6,DataOB[#Headers],0)),"")</f>
        <v/>
      </c>
      <c r="AC906" s="67" t="str">
        <f>IF($B906&lt;&gt;"",INDEX(DataOB[],FirstRow+ROW()-7,MATCH(AC$6,DataOB[#Headers],0)),"")</f>
        <v/>
      </c>
      <c r="AD906" s="67" t="str">
        <f>IF($B906&lt;&gt;"",INDEX(DataOB[],FirstRow+ROW()-7,MATCH(AD$6,DataOB[#Headers],0)),"")</f>
        <v/>
      </c>
      <c r="AE906" s="67" t="str">
        <f>IF($B906&lt;&gt;"",INDEX(DataOB[],FirstRow+ROW()-7,MATCH(AE$6,DataOB[#Headers],0)),"")</f>
        <v/>
      </c>
      <c r="AF906" s="26">
        <f t="shared" si="140"/>
        <v>0</v>
      </c>
      <c r="AG906" s="31">
        <f>SUM($T906:T906)</f>
        <v>0</v>
      </c>
      <c r="AH906" s="31">
        <f>SUM($T906:U906)</f>
        <v>0</v>
      </c>
      <c r="AI906" s="31">
        <f>SUM($T906:V906)</f>
        <v>0</v>
      </c>
      <c r="AJ906" s="31">
        <f>SUM($T906:W906)</f>
        <v>0</v>
      </c>
      <c r="AK906" s="31">
        <f>SUM($T906:X906)</f>
        <v>0</v>
      </c>
      <c r="AL906" s="31">
        <f>SUM($T906:Y906)</f>
        <v>0</v>
      </c>
      <c r="AM906" s="31">
        <f>SUM($T906:Z906)</f>
        <v>0</v>
      </c>
      <c r="AN906" s="31">
        <f>SUM($T906:AA906)</f>
        <v>0</v>
      </c>
      <c r="AO906" s="31">
        <f>SUM($T906:AB906)</f>
        <v>0</v>
      </c>
      <c r="AP906" s="31">
        <f>SUM($T906:AC906)</f>
        <v>0</v>
      </c>
      <c r="AQ906" s="31">
        <f>SUM($T906:AD906)</f>
        <v>0</v>
      </c>
      <c r="AR906" s="31">
        <f>SUM($T906:AE906)</f>
        <v>0</v>
      </c>
      <c r="AS906" s="27">
        <f t="shared" si="141"/>
        <v>0</v>
      </c>
    </row>
    <row r="907" spans="2:45">
      <c r="B907" s="102" t="str">
        <f>IF(ROW()-6&gt;NumCostCenter,"",IF(CostCenter&lt;&gt;"ALL",CostCenter,DATA_LF2!B905))</f>
        <v/>
      </c>
      <c r="C907" s="153" t="str">
        <f>IF($B907&lt;&gt;"",INDEX(DataOB[],FirstRow+ROW()-7,2),"")</f>
        <v/>
      </c>
      <c r="D907" s="66" t="str">
        <f>IF($B907&lt;&gt;"",INDEX(DataOB[],FirstRow+ROW()-7,3),"")</f>
        <v/>
      </c>
      <c r="E907" s="103" t="str">
        <f>IF($B907&lt;&gt;"",INDEX(DataOB[],FirstRow+ROW()-7,6),"")</f>
        <v/>
      </c>
      <c r="F907" s="103" t="str">
        <f>IF($B907&lt;&gt;"",INDEX(DataOB[],FirstRow+ROW()-7,5),"")</f>
        <v/>
      </c>
      <c r="G907" s="58">
        <f>IF($B907&lt;&gt;"",SUMIFS(DataAct_tbl[AMOUNT],DataAct_tbl[BG CODE],Detail!$D907,DataAct_tbl[MONTH],LEFT(MonthName,3),DataAct_tbl[Dept code],$B907),0)</f>
        <v>0</v>
      </c>
      <c r="H907" s="31" t="str">
        <f t="shared" si="133"/>
        <v/>
      </c>
      <c r="I907" s="28" t="str">
        <f t="shared" si="134"/>
        <v/>
      </c>
      <c r="J907" s="32" t="str">
        <f t="shared" si="135"/>
        <v/>
      </c>
      <c r="K907" s="86"/>
      <c r="L907" s="62">
        <f>IF($B907&lt;&gt;"",SUMIFS(DataAct_tbl[AMOUNT],DataAct_tbl[BG CODE],Detail!$D907,DataAct_tbl[Check Range],"=true",DataAct_tbl[Dept code],$B907),0)</f>
        <v>0</v>
      </c>
      <c r="M907" s="63">
        <f>INDEX($AG$7:$AR$1005,ROW()-6,MATCH(MTD,$AG$6:$AR$6,0))</f>
        <v>0</v>
      </c>
      <c r="N907" s="34">
        <f t="shared" si="136"/>
        <v>0</v>
      </c>
      <c r="O907" s="64" t="str">
        <f t="shared" si="137"/>
        <v xml:space="preserve"> </v>
      </c>
      <c r="Q907" s="97">
        <f t="shared" si="138"/>
        <v>0</v>
      </c>
      <c r="R907" s="96">
        <f t="shared" si="139"/>
        <v>0</v>
      </c>
      <c r="T907" s="67" t="str">
        <f>IF($B907&lt;&gt;"",INDEX(DataOB[],FirstRow+ROW()-7,MATCH(T$6,DataOB[#Headers],0)),"")</f>
        <v/>
      </c>
      <c r="U907" s="67" t="str">
        <f>IF($B907&lt;&gt;"",INDEX(DataOB[],FirstRow+ROW()-7,MATCH(U$6,DataOB[#Headers],0)),"")</f>
        <v/>
      </c>
      <c r="V907" s="67" t="str">
        <f>IF($B907&lt;&gt;"",INDEX(DataOB[],FirstRow+ROW()-7,MATCH(V$6,DataOB[#Headers],0)),"")</f>
        <v/>
      </c>
      <c r="W907" s="67" t="str">
        <f>IF($B907&lt;&gt;"",INDEX(DataOB[],FirstRow+ROW()-7,MATCH(W$6,DataOB[#Headers],0)),"")</f>
        <v/>
      </c>
      <c r="X907" s="67" t="str">
        <f>IF($B907&lt;&gt;"",INDEX(DataOB[],FirstRow+ROW()-7,MATCH(X$6,DataOB[#Headers],0)),"")</f>
        <v/>
      </c>
      <c r="Y907" s="67" t="str">
        <f>IF($B907&lt;&gt;"",INDEX(DataOB[],FirstRow+ROW()-7,MATCH(Y$6,DataOB[#Headers],0)),"")</f>
        <v/>
      </c>
      <c r="Z907" s="67" t="str">
        <f>IF($B907&lt;&gt;"",INDEX(DataOB[],FirstRow+ROW()-7,MATCH(Z$6,DataOB[#Headers],0)),"")</f>
        <v/>
      </c>
      <c r="AA907" s="67" t="str">
        <f>IF($B907&lt;&gt;"",INDEX(DataOB[],FirstRow+ROW()-7,MATCH(AA$6,DataOB[#Headers],0)),"")</f>
        <v/>
      </c>
      <c r="AB907" s="67" t="str">
        <f>IF($B907&lt;&gt;"",INDEX(DataOB[],FirstRow+ROW()-7,MATCH(AB$6,DataOB[#Headers],0)),"")</f>
        <v/>
      </c>
      <c r="AC907" s="67" t="str">
        <f>IF($B907&lt;&gt;"",INDEX(DataOB[],FirstRow+ROW()-7,MATCH(AC$6,DataOB[#Headers],0)),"")</f>
        <v/>
      </c>
      <c r="AD907" s="67" t="str">
        <f>IF($B907&lt;&gt;"",INDEX(DataOB[],FirstRow+ROW()-7,MATCH(AD$6,DataOB[#Headers],0)),"")</f>
        <v/>
      </c>
      <c r="AE907" s="67" t="str">
        <f>IF($B907&lt;&gt;"",INDEX(DataOB[],FirstRow+ROW()-7,MATCH(AE$6,DataOB[#Headers],0)),"")</f>
        <v/>
      </c>
      <c r="AF907" s="26">
        <f t="shared" si="140"/>
        <v>0</v>
      </c>
      <c r="AG907" s="31">
        <f>SUM($T907:T907)</f>
        <v>0</v>
      </c>
      <c r="AH907" s="31">
        <f>SUM($T907:U907)</f>
        <v>0</v>
      </c>
      <c r="AI907" s="31">
        <f>SUM($T907:V907)</f>
        <v>0</v>
      </c>
      <c r="AJ907" s="31">
        <f>SUM($T907:W907)</f>
        <v>0</v>
      </c>
      <c r="AK907" s="31">
        <f>SUM($T907:X907)</f>
        <v>0</v>
      </c>
      <c r="AL907" s="31">
        <f>SUM($T907:Y907)</f>
        <v>0</v>
      </c>
      <c r="AM907" s="31">
        <f>SUM($T907:Z907)</f>
        <v>0</v>
      </c>
      <c r="AN907" s="31">
        <f>SUM($T907:AA907)</f>
        <v>0</v>
      </c>
      <c r="AO907" s="31">
        <f>SUM($T907:AB907)</f>
        <v>0</v>
      </c>
      <c r="AP907" s="31">
        <f>SUM($T907:AC907)</f>
        <v>0</v>
      </c>
      <c r="AQ907" s="31">
        <f>SUM($T907:AD907)</f>
        <v>0</v>
      </c>
      <c r="AR907" s="31">
        <f>SUM($T907:AE907)</f>
        <v>0</v>
      </c>
      <c r="AS907" s="27">
        <f t="shared" si="141"/>
        <v>0</v>
      </c>
    </row>
    <row r="908" spans="2:45">
      <c r="B908" s="102" t="str">
        <f>IF(ROW()-6&gt;NumCostCenter,"",IF(CostCenter&lt;&gt;"ALL",CostCenter,DATA_LF2!B906))</f>
        <v/>
      </c>
      <c r="C908" s="153" t="str">
        <f>IF($B908&lt;&gt;"",INDEX(DataOB[],FirstRow+ROW()-7,2),"")</f>
        <v/>
      </c>
      <c r="D908" s="66" t="str">
        <f>IF($B908&lt;&gt;"",INDEX(DataOB[],FirstRow+ROW()-7,3),"")</f>
        <v/>
      </c>
      <c r="E908" s="103" t="str">
        <f>IF($B908&lt;&gt;"",INDEX(DataOB[],FirstRow+ROW()-7,6),"")</f>
        <v/>
      </c>
      <c r="F908" s="103" t="str">
        <f>IF($B908&lt;&gt;"",INDEX(DataOB[],FirstRow+ROW()-7,5),"")</f>
        <v/>
      </c>
      <c r="G908" s="58">
        <f>IF($B908&lt;&gt;"",SUMIFS(DataAct_tbl[AMOUNT],DataAct_tbl[BG CODE],Detail!$D908,DataAct_tbl[MONTH],LEFT(MonthName,3),DataAct_tbl[Dept code],$B908),0)</f>
        <v>0</v>
      </c>
      <c r="H908" s="31" t="str">
        <f t="shared" si="133"/>
        <v/>
      </c>
      <c r="I908" s="28" t="str">
        <f t="shared" si="134"/>
        <v/>
      </c>
      <c r="J908" s="32" t="str">
        <f t="shared" si="135"/>
        <v/>
      </c>
      <c r="K908" s="86"/>
      <c r="L908" s="62">
        <f>IF($B908&lt;&gt;"",SUMIFS(DataAct_tbl[AMOUNT],DataAct_tbl[BG CODE],Detail!$D908,DataAct_tbl[Check Range],"=true",DataAct_tbl[Dept code],$B908),0)</f>
        <v>0</v>
      </c>
      <c r="M908" s="63">
        <f>INDEX($AG$7:$AR$1005,ROW()-6,MATCH(MTD,$AG$6:$AR$6,0))</f>
        <v>0</v>
      </c>
      <c r="N908" s="34">
        <f t="shared" si="136"/>
        <v>0</v>
      </c>
      <c r="O908" s="64" t="str">
        <f t="shared" si="137"/>
        <v xml:space="preserve"> </v>
      </c>
      <c r="Q908" s="97">
        <f t="shared" si="138"/>
        <v>0</v>
      </c>
      <c r="R908" s="96">
        <f t="shared" si="139"/>
        <v>0</v>
      </c>
      <c r="T908" s="67" t="str">
        <f>IF($B908&lt;&gt;"",INDEX(DataOB[],FirstRow+ROW()-7,MATCH(T$6,DataOB[#Headers],0)),"")</f>
        <v/>
      </c>
      <c r="U908" s="67" t="str">
        <f>IF($B908&lt;&gt;"",INDEX(DataOB[],FirstRow+ROW()-7,MATCH(U$6,DataOB[#Headers],0)),"")</f>
        <v/>
      </c>
      <c r="V908" s="67" t="str">
        <f>IF($B908&lt;&gt;"",INDEX(DataOB[],FirstRow+ROW()-7,MATCH(V$6,DataOB[#Headers],0)),"")</f>
        <v/>
      </c>
      <c r="W908" s="67" t="str">
        <f>IF($B908&lt;&gt;"",INDEX(DataOB[],FirstRow+ROW()-7,MATCH(W$6,DataOB[#Headers],0)),"")</f>
        <v/>
      </c>
      <c r="X908" s="67" t="str">
        <f>IF($B908&lt;&gt;"",INDEX(DataOB[],FirstRow+ROW()-7,MATCH(X$6,DataOB[#Headers],0)),"")</f>
        <v/>
      </c>
      <c r="Y908" s="67" t="str">
        <f>IF($B908&lt;&gt;"",INDEX(DataOB[],FirstRow+ROW()-7,MATCH(Y$6,DataOB[#Headers],0)),"")</f>
        <v/>
      </c>
      <c r="Z908" s="67" t="str">
        <f>IF($B908&lt;&gt;"",INDEX(DataOB[],FirstRow+ROW()-7,MATCH(Z$6,DataOB[#Headers],0)),"")</f>
        <v/>
      </c>
      <c r="AA908" s="67" t="str">
        <f>IF($B908&lt;&gt;"",INDEX(DataOB[],FirstRow+ROW()-7,MATCH(AA$6,DataOB[#Headers],0)),"")</f>
        <v/>
      </c>
      <c r="AB908" s="67" t="str">
        <f>IF($B908&lt;&gt;"",INDEX(DataOB[],FirstRow+ROW()-7,MATCH(AB$6,DataOB[#Headers],0)),"")</f>
        <v/>
      </c>
      <c r="AC908" s="67" t="str">
        <f>IF($B908&lt;&gt;"",INDEX(DataOB[],FirstRow+ROW()-7,MATCH(AC$6,DataOB[#Headers],0)),"")</f>
        <v/>
      </c>
      <c r="AD908" s="67" t="str">
        <f>IF($B908&lt;&gt;"",INDEX(DataOB[],FirstRow+ROW()-7,MATCH(AD$6,DataOB[#Headers],0)),"")</f>
        <v/>
      </c>
      <c r="AE908" s="67" t="str">
        <f>IF($B908&lt;&gt;"",INDEX(DataOB[],FirstRow+ROW()-7,MATCH(AE$6,DataOB[#Headers],0)),"")</f>
        <v/>
      </c>
      <c r="AF908" s="26">
        <f t="shared" si="140"/>
        <v>0</v>
      </c>
      <c r="AG908" s="31">
        <f>SUM($T908:T908)</f>
        <v>0</v>
      </c>
      <c r="AH908" s="31">
        <f>SUM($T908:U908)</f>
        <v>0</v>
      </c>
      <c r="AI908" s="31">
        <f>SUM($T908:V908)</f>
        <v>0</v>
      </c>
      <c r="AJ908" s="31">
        <f>SUM($T908:W908)</f>
        <v>0</v>
      </c>
      <c r="AK908" s="31">
        <f>SUM($T908:X908)</f>
        <v>0</v>
      </c>
      <c r="AL908" s="31">
        <f>SUM($T908:Y908)</f>
        <v>0</v>
      </c>
      <c r="AM908" s="31">
        <f>SUM($T908:Z908)</f>
        <v>0</v>
      </c>
      <c r="AN908" s="31">
        <f>SUM($T908:AA908)</f>
        <v>0</v>
      </c>
      <c r="AO908" s="31">
        <f>SUM($T908:AB908)</f>
        <v>0</v>
      </c>
      <c r="AP908" s="31">
        <f>SUM($T908:AC908)</f>
        <v>0</v>
      </c>
      <c r="AQ908" s="31">
        <f>SUM($T908:AD908)</f>
        <v>0</v>
      </c>
      <c r="AR908" s="31">
        <f>SUM($T908:AE908)</f>
        <v>0</v>
      </c>
      <c r="AS908" s="27">
        <f t="shared" si="141"/>
        <v>0</v>
      </c>
    </row>
    <row r="909" spans="2:45">
      <c r="B909" s="102" t="str">
        <f>IF(ROW()-6&gt;NumCostCenter,"",IF(CostCenter&lt;&gt;"ALL",CostCenter,DATA_LF2!B907))</f>
        <v/>
      </c>
      <c r="C909" s="153" t="str">
        <f>IF($B909&lt;&gt;"",INDEX(DataOB[],FirstRow+ROW()-7,2),"")</f>
        <v/>
      </c>
      <c r="D909" s="66" t="str">
        <f>IF($B909&lt;&gt;"",INDEX(DataOB[],FirstRow+ROW()-7,3),"")</f>
        <v/>
      </c>
      <c r="E909" s="103" t="str">
        <f>IF($B909&lt;&gt;"",INDEX(DataOB[],FirstRow+ROW()-7,6),"")</f>
        <v/>
      </c>
      <c r="F909" s="103" t="str">
        <f>IF($B909&lt;&gt;"",INDEX(DataOB[],FirstRow+ROW()-7,5),"")</f>
        <v/>
      </c>
      <c r="G909" s="58">
        <f>IF($B909&lt;&gt;"",SUMIFS(DataAct_tbl[AMOUNT],DataAct_tbl[BG CODE],Detail!$D909,DataAct_tbl[MONTH],LEFT(MonthName,3),DataAct_tbl[Dept code],$B909),0)</f>
        <v>0</v>
      </c>
      <c r="H909" s="31" t="str">
        <f t="shared" si="133"/>
        <v/>
      </c>
      <c r="I909" s="28" t="str">
        <f t="shared" si="134"/>
        <v/>
      </c>
      <c r="J909" s="32" t="str">
        <f t="shared" si="135"/>
        <v/>
      </c>
      <c r="K909" s="86"/>
      <c r="L909" s="62">
        <f>IF($B909&lt;&gt;"",SUMIFS(DataAct_tbl[AMOUNT],DataAct_tbl[BG CODE],Detail!$D909,DataAct_tbl[Check Range],"=true",DataAct_tbl[Dept code],$B909),0)</f>
        <v>0</v>
      </c>
      <c r="M909" s="63">
        <f>INDEX($AG$7:$AR$1005,ROW()-6,MATCH(MTD,$AG$6:$AR$6,0))</f>
        <v>0</v>
      </c>
      <c r="N909" s="34">
        <f t="shared" si="136"/>
        <v>0</v>
      </c>
      <c r="O909" s="64" t="str">
        <f t="shared" si="137"/>
        <v xml:space="preserve"> </v>
      </c>
      <c r="Q909" s="97">
        <f t="shared" si="138"/>
        <v>0</v>
      </c>
      <c r="R909" s="96">
        <f t="shared" si="139"/>
        <v>0</v>
      </c>
      <c r="T909" s="67" t="str">
        <f>IF($B909&lt;&gt;"",INDEX(DataOB[],FirstRow+ROW()-7,MATCH(T$6,DataOB[#Headers],0)),"")</f>
        <v/>
      </c>
      <c r="U909" s="67" t="str">
        <f>IF($B909&lt;&gt;"",INDEX(DataOB[],FirstRow+ROW()-7,MATCH(U$6,DataOB[#Headers],0)),"")</f>
        <v/>
      </c>
      <c r="V909" s="67" t="str">
        <f>IF($B909&lt;&gt;"",INDEX(DataOB[],FirstRow+ROW()-7,MATCH(V$6,DataOB[#Headers],0)),"")</f>
        <v/>
      </c>
      <c r="W909" s="67" t="str">
        <f>IF($B909&lt;&gt;"",INDEX(DataOB[],FirstRow+ROW()-7,MATCH(W$6,DataOB[#Headers],0)),"")</f>
        <v/>
      </c>
      <c r="X909" s="67" t="str">
        <f>IF($B909&lt;&gt;"",INDEX(DataOB[],FirstRow+ROW()-7,MATCH(X$6,DataOB[#Headers],0)),"")</f>
        <v/>
      </c>
      <c r="Y909" s="67" t="str">
        <f>IF($B909&lt;&gt;"",INDEX(DataOB[],FirstRow+ROW()-7,MATCH(Y$6,DataOB[#Headers],0)),"")</f>
        <v/>
      </c>
      <c r="Z909" s="67" t="str">
        <f>IF($B909&lt;&gt;"",INDEX(DataOB[],FirstRow+ROW()-7,MATCH(Z$6,DataOB[#Headers],0)),"")</f>
        <v/>
      </c>
      <c r="AA909" s="67" t="str">
        <f>IF($B909&lt;&gt;"",INDEX(DataOB[],FirstRow+ROW()-7,MATCH(AA$6,DataOB[#Headers],0)),"")</f>
        <v/>
      </c>
      <c r="AB909" s="67" t="str">
        <f>IF($B909&lt;&gt;"",INDEX(DataOB[],FirstRow+ROW()-7,MATCH(AB$6,DataOB[#Headers],0)),"")</f>
        <v/>
      </c>
      <c r="AC909" s="67" t="str">
        <f>IF($B909&lt;&gt;"",INDEX(DataOB[],FirstRow+ROW()-7,MATCH(AC$6,DataOB[#Headers],0)),"")</f>
        <v/>
      </c>
      <c r="AD909" s="67" t="str">
        <f>IF($B909&lt;&gt;"",INDEX(DataOB[],FirstRow+ROW()-7,MATCH(AD$6,DataOB[#Headers],0)),"")</f>
        <v/>
      </c>
      <c r="AE909" s="67" t="str">
        <f>IF($B909&lt;&gt;"",INDEX(DataOB[],FirstRow+ROW()-7,MATCH(AE$6,DataOB[#Headers],0)),"")</f>
        <v/>
      </c>
      <c r="AF909" s="26">
        <f t="shared" si="140"/>
        <v>0</v>
      </c>
      <c r="AG909" s="31">
        <f>SUM($T909:T909)</f>
        <v>0</v>
      </c>
      <c r="AH909" s="31">
        <f>SUM($T909:U909)</f>
        <v>0</v>
      </c>
      <c r="AI909" s="31">
        <f>SUM($T909:V909)</f>
        <v>0</v>
      </c>
      <c r="AJ909" s="31">
        <f>SUM($T909:W909)</f>
        <v>0</v>
      </c>
      <c r="AK909" s="31">
        <f>SUM($T909:X909)</f>
        <v>0</v>
      </c>
      <c r="AL909" s="31">
        <f>SUM($T909:Y909)</f>
        <v>0</v>
      </c>
      <c r="AM909" s="31">
        <f>SUM($T909:Z909)</f>
        <v>0</v>
      </c>
      <c r="AN909" s="31">
        <f>SUM($T909:AA909)</f>
        <v>0</v>
      </c>
      <c r="AO909" s="31">
        <f>SUM($T909:AB909)</f>
        <v>0</v>
      </c>
      <c r="AP909" s="31">
        <f>SUM($T909:AC909)</f>
        <v>0</v>
      </c>
      <c r="AQ909" s="31">
        <f>SUM($T909:AD909)</f>
        <v>0</v>
      </c>
      <c r="AR909" s="31">
        <f>SUM($T909:AE909)</f>
        <v>0</v>
      </c>
      <c r="AS909" s="27">
        <f t="shared" si="141"/>
        <v>0</v>
      </c>
    </row>
    <row r="910" spans="2:45">
      <c r="B910" s="102" t="str">
        <f>IF(ROW()-6&gt;NumCostCenter,"",IF(CostCenter&lt;&gt;"ALL",CostCenter,DATA_LF2!B908))</f>
        <v/>
      </c>
      <c r="C910" s="153" t="str">
        <f>IF($B910&lt;&gt;"",INDEX(DataOB[],FirstRow+ROW()-7,2),"")</f>
        <v/>
      </c>
      <c r="D910" s="66" t="str">
        <f>IF($B910&lt;&gt;"",INDEX(DataOB[],FirstRow+ROW()-7,3),"")</f>
        <v/>
      </c>
      <c r="E910" s="103" t="str">
        <f>IF($B910&lt;&gt;"",INDEX(DataOB[],FirstRow+ROW()-7,6),"")</f>
        <v/>
      </c>
      <c r="F910" s="103" t="str">
        <f>IF($B910&lt;&gt;"",INDEX(DataOB[],FirstRow+ROW()-7,5),"")</f>
        <v/>
      </c>
      <c r="G910" s="58">
        <f>IF($B910&lt;&gt;"",SUMIFS(DataAct_tbl[AMOUNT],DataAct_tbl[BG CODE],Detail!$D910,DataAct_tbl[MONTH],LEFT(MonthName,3),DataAct_tbl[Dept code],$B910),0)</f>
        <v>0</v>
      </c>
      <c r="H910" s="31" t="str">
        <f t="shared" si="133"/>
        <v/>
      </c>
      <c r="I910" s="28" t="str">
        <f t="shared" si="134"/>
        <v/>
      </c>
      <c r="J910" s="32" t="str">
        <f t="shared" si="135"/>
        <v/>
      </c>
      <c r="K910" s="86"/>
      <c r="L910" s="62">
        <f>IF($B910&lt;&gt;"",SUMIFS(DataAct_tbl[AMOUNT],DataAct_tbl[BG CODE],Detail!$D910,DataAct_tbl[Check Range],"=true",DataAct_tbl[Dept code],$B910),0)</f>
        <v>0</v>
      </c>
      <c r="M910" s="63">
        <f>INDEX($AG$7:$AR$1005,ROW()-6,MATCH(MTD,$AG$6:$AR$6,0))</f>
        <v>0</v>
      </c>
      <c r="N910" s="34">
        <f t="shared" si="136"/>
        <v>0</v>
      </c>
      <c r="O910" s="64" t="str">
        <f t="shared" si="137"/>
        <v xml:space="preserve"> </v>
      </c>
      <c r="Q910" s="97">
        <f t="shared" si="138"/>
        <v>0</v>
      </c>
      <c r="R910" s="96">
        <f t="shared" si="139"/>
        <v>0</v>
      </c>
      <c r="T910" s="67" t="str">
        <f>IF($B910&lt;&gt;"",INDEX(DataOB[],FirstRow+ROW()-7,MATCH(T$6,DataOB[#Headers],0)),"")</f>
        <v/>
      </c>
      <c r="U910" s="67" t="str">
        <f>IF($B910&lt;&gt;"",INDEX(DataOB[],FirstRow+ROW()-7,MATCH(U$6,DataOB[#Headers],0)),"")</f>
        <v/>
      </c>
      <c r="V910" s="67" t="str">
        <f>IF($B910&lt;&gt;"",INDEX(DataOB[],FirstRow+ROW()-7,MATCH(V$6,DataOB[#Headers],0)),"")</f>
        <v/>
      </c>
      <c r="W910" s="67" t="str">
        <f>IF($B910&lt;&gt;"",INDEX(DataOB[],FirstRow+ROW()-7,MATCH(W$6,DataOB[#Headers],0)),"")</f>
        <v/>
      </c>
      <c r="X910" s="67" t="str">
        <f>IF($B910&lt;&gt;"",INDEX(DataOB[],FirstRow+ROW()-7,MATCH(X$6,DataOB[#Headers],0)),"")</f>
        <v/>
      </c>
      <c r="Y910" s="67" t="str">
        <f>IF($B910&lt;&gt;"",INDEX(DataOB[],FirstRow+ROW()-7,MATCH(Y$6,DataOB[#Headers],0)),"")</f>
        <v/>
      </c>
      <c r="Z910" s="67" t="str">
        <f>IF($B910&lt;&gt;"",INDEX(DataOB[],FirstRow+ROW()-7,MATCH(Z$6,DataOB[#Headers],0)),"")</f>
        <v/>
      </c>
      <c r="AA910" s="67" t="str">
        <f>IF($B910&lt;&gt;"",INDEX(DataOB[],FirstRow+ROW()-7,MATCH(AA$6,DataOB[#Headers],0)),"")</f>
        <v/>
      </c>
      <c r="AB910" s="67" t="str">
        <f>IF($B910&lt;&gt;"",INDEX(DataOB[],FirstRow+ROW()-7,MATCH(AB$6,DataOB[#Headers],0)),"")</f>
        <v/>
      </c>
      <c r="AC910" s="67" t="str">
        <f>IF($B910&lt;&gt;"",INDEX(DataOB[],FirstRow+ROW()-7,MATCH(AC$6,DataOB[#Headers],0)),"")</f>
        <v/>
      </c>
      <c r="AD910" s="67" t="str">
        <f>IF($B910&lt;&gt;"",INDEX(DataOB[],FirstRow+ROW()-7,MATCH(AD$6,DataOB[#Headers],0)),"")</f>
        <v/>
      </c>
      <c r="AE910" s="67" t="str">
        <f>IF($B910&lt;&gt;"",INDEX(DataOB[],FirstRow+ROW()-7,MATCH(AE$6,DataOB[#Headers],0)),"")</f>
        <v/>
      </c>
      <c r="AF910" s="26">
        <f t="shared" si="140"/>
        <v>0</v>
      </c>
      <c r="AG910" s="31">
        <f>SUM($T910:T910)</f>
        <v>0</v>
      </c>
      <c r="AH910" s="31">
        <f>SUM($T910:U910)</f>
        <v>0</v>
      </c>
      <c r="AI910" s="31">
        <f>SUM($T910:V910)</f>
        <v>0</v>
      </c>
      <c r="AJ910" s="31">
        <f>SUM($T910:W910)</f>
        <v>0</v>
      </c>
      <c r="AK910" s="31">
        <f>SUM($T910:X910)</f>
        <v>0</v>
      </c>
      <c r="AL910" s="31">
        <f>SUM($T910:Y910)</f>
        <v>0</v>
      </c>
      <c r="AM910" s="31">
        <f>SUM($T910:Z910)</f>
        <v>0</v>
      </c>
      <c r="AN910" s="31">
        <f>SUM($T910:AA910)</f>
        <v>0</v>
      </c>
      <c r="AO910" s="31">
        <f>SUM($T910:AB910)</f>
        <v>0</v>
      </c>
      <c r="AP910" s="31">
        <f>SUM($T910:AC910)</f>
        <v>0</v>
      </c>
      <c r="AQ910" s="31">
        <f>SUM($T910:AD910)</f>
        <v>0</v>
      </c>
      <c r="AR910" s="31">
        <f>SUM($T910:AE910)</f>
        <v>0</v>
      </c>
      <c r="AS910" s="27">
        <f t="shared" si="141"/>
        <v>0</v>
      </c>
    </row>
    <row r="911" spans="2:45">
      <c r="B911" s="102" t="str">
        <f>IF(ROW()-6&gt;NumCostCenter,"",IF(CostCenter&lt;&gt;"ALL",CostCenter,DATA_LF2!B909))</f>
        <v/>
      </c>
      <c r="C911" s="153" t="str">
        <f>IF($B911&lt;&gt;"",INDEX(DataOB[],FirstRow+ROW()-7,2),"")</f>
        <v/>
      </c>
      <c r="D911" s="66" t="str">
        <f>IF($B911&lt;&gt;"",INDEX(DataOB[],FirstRow+ROW()-7,3),"")</f>
        <v/>
      </c>
      <c r="E911" s="103" t="str">
        <f>IF($B911&lt;&gt;"",INDEX(DataOB[],FirstRow+ROW()-7,6),"")</f>
        <v/>
      </c>
      <c r="F911" s="103" t="str">
        <f>IF($B911&lt;&gt;"",INDEX(DataOB[],FirstRow+ROW()-7,5),"")</f>
        <v/>
      </c>
      <c r="G911" s="58">
        <f>IF($B911&lt;&gt;"",SUMIFS(DataAct_tbl[AMOUNT],DataAct_tbl[BG CODE],Detail!$D911,DataAct_tbl[MONTH],LEFT(MonthName,3),DataAct_tbl[Dept code],$B911),0)</f>
        <v>0</v>
      </c>
      <c r="H911" s="31" t="str">
        <f t="shared" si="133"/>
        <v/>
      </c>
      <c r="I911" s="28" t="str">
        <f t="shared" si="134"/>
        <v/>
      </c>
      <c r="J911" s="32" t="str">
        <f t="shared" si="135"/>
        <v/>
      </c>
      <c r="K911" s="86"/>
      <c r="L911" s="62">
        <f>IF($B911&lt;&gt;"",SUMIFS(DataAct_tbl[AMOUNT],DataAct_tbl[BG CODE],Detail!$D911,DataAct_tbl[Check Range],"=true",DataAct_tbl[Dept code],$B911),0)</f>
        <v>0</v>
      </c>
      <c r="M911" s="63">
        <f>INDEX($AG$7:$AR$1005,ROW()-6,MATCH(MTD,$AG$6:$AR$6,0))</f>
        <v>0</v>
      </c>
      <c r="N911" s="34">
        <f t="shared" si="136"/>
        <v>0</v>
      </c>
      <c r="O911" s="64" t="str">
        <f t="shared" si="137"/>
        <v xml:space="preserve"> </v>
      </c>
      <c r="Q911" s="97">
        <f t="shared" si="138"/>
        <v>0</v>
      </c>
      <c r="R911" s="96">
        <f t="shared" si="139"/>
        <v>0</v>
      </c>
      <c r="T911" s="67" t="str">
        <f>IF($B911&lt;&gt;"",INDEX(DataOB[],FirstRow+ROW()-7,MATCH(T$6,DataOB[#Headers],0)),"")</f>
        <v/>
      </c>
      <c r="U911" s="67" t="str">
        <f>IF($B911&lt;&gt;"",INDEX(DataOB[],FirstRow+ROW()-7,MATCH(U$6,DataOB[#Headers],0)),"")</f>
        <v/>
      </c>
      <c r="V911" s="67" t="str">
        <f>IF($B911&lt;&gt;"",INDEX(DataOB[],FirstRow+ROW()-7,MATCH(V$6,DataOB[#Headers],0)),"")</f>
        <v/>
      </c>
      <c r="W911" s="67" t="str">
        <f>IF($B911&lt;&gt;"",INDEX(DataOB[],FirstRow+ROW()-7,MATCH(W$6,DataOB[#Headers],0)),"")</f>
        <v/>
      </c>
      <c r="X911" s="67" t="str">
        <f>IF($B911&lt;&gt;"",INDEX(DataOB[],FirstRow+ROW()-7,MATCH(X$6,DataOB[#Headers],0)),"")</f>
        <v/>
      </c>
      <c r="Y911" s="67" t="str">
        <f>IF($B911&lt;&gt;"",INDEX(DataOB[],FirstRow+ROW()-7,MATCH(Y$6,DataOB[#Headers],0)),"")</f>
        <v/>
      </c>
      <c r="Z911" s="67" t="str">
        <f>IF($B911&lt;&gt;"",INDEX(DataOB[],FirstRow+ROW()-7,MATCH(Z$6,DataOB[#Headers],0)),"")</f>
        <v/>
      </c>
      <c r="AA911" s="67" t="str">
        <f>IF($B911&lt;&gt;"",INDEX(DataOB[],FirstRow+ROW()-7,MATCH(AA$6,DataOB[#Headers],0)),"")</f>
        <v/>
      </c>
      <c r="AB911" s="67" t="str">
        <f>IF($B911&lt;&gt;"",INDEX(DataOB[],FirstRow+ROW()-7,MATCH(AB$6,DataOB[#Headers],0)),"")</f>
        <v/>
      </c>
      <c r="AC911" s="67" t="str">
        <f>IF($B911&lt;&gt;"",INDEX(DataOB[],FirstRow+ROW()-7,MATCH(AC$6,DataOB[#Headers],0)),"")</f>
        <v/>
      </c>
      <c r="AD911" s="67" t="str">
        <f>IF($B911&lt;&gt;"",INDEX(DataOB[],FirstRow+ROW()-7,MATCH(AD$6,DataOB[#Headers],0)),"")</f>
        <v/>
      </c>
      <c r="AE911" s="67" t="str">
        <f>IF($B911&lt;&gt;"",INDEX(DataOB[],FirstRow+ROW()-7,MATCH(AE$6,DataOB[#Headers],0)),"")</f>
        <v/>
      </c>
      <c r="AF911" s="26">
        <f t="shared" si="140"/>
        <v>0</v>
      </c>
      <c r="AG911" s="31">
        <f>SUM($T911:T911)</f>
        <v>0</v>
      </c>
      <c r="AH911" s="31">
        <f>SUM($T911:U911)</f>
        <v>0</v>
      </c>
      <c r="AI911" s="31">
        <f>SUM($T911:V911)</f>
        <v>0</v>
      </c>
      <c r="AJ911" s="31">
        <f>SUM($T911:W911)</f>
        <v>0</v>
      </c>
      <c r="AK911" s="31">
        <f>SUM($T911:X911)</f>
        <v>0</v>
      </c>
      <c r="AL911" s="31">
        <f>SUM($T911:Y911)</f>
        <v>0</v>
      </c>
      <c r="AM911" s="31">
        <f>SUM($T911:Z911)</f>
        <v>0</v>
      </c>
      <c r="AN911" s="31">
        <f>SUM($T911:AA911)</f>
        <v>0</v>
      </c>
      <c r="AO911" s="31">
        <f>SUM($T911:AB911)</f>
        <v>0</v>
      </c>
      <c r="AP911" s="31">
        <f>SUM($T911:AC911)</f>
        <v>0</v>
      </c>
      <c r="AQ911" s="31">
        <f>SUM($T911:AD911)</f>
        <v>0</v>
      </c>
      <c r="AR911" s="31">
        <f>SUM($T911:AE911)</f>
        <v>0</v>
      </c>
      <c r="AS911" s="27">
        <f t="shared" si="141"/>
        <v>0</v>
      </c>
    </row>
    <row r="912" spans="2:45">
      <c r="B912" s="102" t="str">
        <f>IF(ROW()-6&gt;NumCostCenter,"",IF(CostCenter&lt;&gt;"ALL",CostCenter,DATA_LF2!B910))</f>
        <v/>
      </c>
      <c r="C912" s="153" t="str">
        <f>IF($B912&lt;&gt;"",INDEX(DataOB[],FirstRow+ROW()-7,2),"")</f>
        <v/>
      </c>
      <c r="D912" s="66" t="str">
        <f>IF($B912&lt;&gt;"",INDEX(DataOB[],FirstRow+ROW()-7,3),"")</f>
        <v/>
      </c>
      <c r="E912" s="103" t="str">
        <f>IF($B912&lt;&gt;"",INDEX(DataOB[],FirstRow+ROW()-7,6),"")</f>
        <v/>
      </c>
      <c r="F912" s="103" t="str">
        <f>IF($B912&lt;&gt;"",INDEX(DataOB[],FirstRow+ROW()-7,5),"")</f>
        <v/>
      </c>
      <c r="G912" s="58">
        <f>IF($B912&lt;&gt;"",SUMIFS(DataAct_tbl[AMOUNT],DataAct_tbl[BG CODE],Detail!$D912,DataAct_tbl[MONTH],LEFT(MonthName,3),DataAct_tbl[Dept code],$B912),0)</f>
        <v>0</v>
      </c>
      <c r="H912" s="31" t="str">
        <f t="shared" si="133"/>
        <v/>
      </c>
      <c r="I912" s="28" t="str">
        <f t="shared" si="134"/>
        <v/>
      </c>
      <c r="J912" s="32" t="str">
        <f t="shared" si="135"/>
        <v/>
      </c>
      <c r="K912" s="86"/>
      <c r="L912" s="62">
        <f>IF($B912&lt;&gt;"",SUMIFS(DataAct_tbl[AMOUNT],DataAct_tbl[BG CODE],Detail!$D912,DataAct_tbl[Check Range],"=true",DataAct_tbl[Dept code],$B912),0)</f>
        <v>0</v>
      </c>
      <c r="M912" s="63">
        <f>INDEX($AG$7:$AR$1005,ROW()-6,MATCH(MTD,$AG$6:$AR$6,0))</f>
        <v>0</v>
      </c>
      <c r="N912" s="34">
        <f t="shared" si="136"/>
        <v>0</v>
      </c>
      <c r="O912" s="64" t="str">
        <f t="shared" si="137"/>
        <v xml:space="preserve"> </v>
      </c>
      <c r="Q912" s="97">
        <f t="shared" si="138"/>
        <v>0</v>
      </c>
      <c r="R912" s="96">
        <f t="shared" si="139"/>
        <v>0</v>
      </c>
      <c r="T912" s="67" t="str">
        <f>IF($B912&lt;&gt;"",INDEX(DataOB[],FirstRow+ROW()-7,MATCH(T$6,DataOB[#Headers],0)),"")</f>
        <v/>
      </c>
      <c r="U912" s="67" t="str">
        <f>IF($B912&lt;&gt;"",INDEX(DataOB[],FirstRow+ROW()-7,MATCH(U$6,DataOB[#Headers],0)),"")</f>
        <v/>
      </c>
      <c r="V912" s="67" t="str">
        <f>IF($B912&lt;&gt;"",INDEX(DataOB[],FirstRow+ROW()-7,MATCH(V$6,DataOB[#Headers],0)),"")</f>
        <v/>
      </c>
      <c r="W912" s="67" t="str">
        <f>IF($B912&lt;&gt;"",INDEX(DataOB[],FirstRow+ROW()-7,MATCH(W$6,DataOB[#Headers],0)),"")</f>
        <v/>
      </c>
      <c r="X912" s="67" t="str">
        <f>IF($B912&lt;&gt;"",INDEX(DataOB[],FirstRow+ROW()-7,MATCH(X$6,DataOB[#Headers],0)),"")</f>
        <v/>
      </c>
      <c r="Y912" s="67" t="str">
        <f>IF($B912&lt;&gt;"",INDEX(DataOB[],FirstRow+ROW()-7,MATCH(Y$6,DataOB[#Headers],0)),"")</f>
        <v/>
      </c>
      <c r="Z912" s="67" t="str">
        <f>IF($B912&lt;&gt;"",INDEX(DataOB[],FirstRow+ROW()-7,MATCH(Z$6,DataOB[#Headers],0)),"")</f>
        <v/>
      </c>
      <c r="AA912" s="67" t="str">
        <f>IF($B912&lt;&gt;"",INDEX(DataOB[],FirstRow+ROW()-7,MATCH(AA$6,DataOB[#Headers],0)),"")</f>
        <v/>
      </c>
      <c r="AB912" s="67" t="str">
        <f>IF($B912&lt;&gt;"",INDEX(DataOB[],FirstRow+ROW()-7,MATCH(AB$6,DataOB[#Headers],0)),"")</f>
        <v/>
      </c>
      <c r="AC912" s="67" t="str">
        <f>IF($B912&lt;&gt;"",INDEX(DataOB[],FirstRow+ROW()-7,MATCH(AC$6,DataOB[#Headers],0)),"")</f>
        <v/>
      </c>
      <c r="AD912" s="67" t="str">
        <f>IF($B912&lt;&gt;"",INDEX(DataOB[],FirstRow+ROW()-7,MATCH(AD$6,DataOB[#Headers],0)),"")</f>
        <v/>
      </c>
      <c r="AE912" s="67" t="str">
        <f>IF($B912&lt;&gt;"",INDEX(DataOB[],FirstRow+ROW()-7,MATCH(AE$6,DataOB[#Headers],0)),"")</f>
        <v/>
      </c>
      <c r="AF912" s="26">
        <f t="shared" si="140"/>
        <v>0</v>
      </c>
      <c r="AG912" s="31">
        <f>SUM($T912:T912)</f>
        <v>0</v>
      </c>
      <c r="AH912" s="31">
        <f>SUM($T912:U912)</f>
        <v>0</v>
      </c>
      <c r="AI912" s="31">
        <f>SUM($T912:V912)</f>
        <v>0</v>
      </c>
      <c r="AJ912" s="31">
        <f>SUM($T912:W912)</f>
        <v>0</v>
      </c>
      <c r="AK912" s="31">
        <f>SUM($T912:X912)</f>
        <v>0</v>
      </c>
      <c r="AL912" s="31">
        <f>SUM($T912:Y912)</f>
        <v>0</v>
      </c>
      <c r="AM912" s="31">
        <f>SUM($T912:Z912)</f>
        <v>0</v>
      </c>
      <c r="AN912" s="31">
        <f>SUM($T912:AA912)</f>
        <v>0</v>
      </c>
      <c r="AO912" s="31">
        <f>SUM($T912:AB912)</f>
        <v>0</v>
      </c>
      <c r="AP912" s="31">
        <f>SUM($T912:AC912)</f>
        <v>0</v>
      </c>
      <c r="AQ912" s="31">
        <f>SUM($T912:AD912)</f>
        <v>0</v>
      </c>
      <c r="AR912" s="31">
        <f>SUM($T912:AE912)</f>
        <v>0</v>
      </c>
      <c r="AS912" s="27">
        <f t="shared" si="141"/>
        <v>0</v>
      </c>
    </row>
    <row r="913" spans="2:45">
      <c r="B913" s="102" t="str">
        <f>IF(ROW()-6&gt;NumCostCenter,"",IF(CostCenter&lt;&gt;"ALL",CostCenter,DATA_LF2!B911))</f>
        <v/>
      </c>
      <c r="C913" s="153" t="str">
        <f>IF($B913&lt;&gt;"",INDEX(DataOB[],FirstRow+ROW()-7,2),"")</f>
        <v/>
      </c>
      <c r="D913" s="66" t="str">
        <f>IF($B913&lt;&gt;"",INDEX(DataOB[],FirstRow+ROW()-7,3),"")</f>
        <v/>
      </c>
      <c r="E913" s="103" t="str">
        <f>IF($B913&lt;&gt;"",INDEX(DataOB[],FirstRow+ROW()-7,6),"")</f>
        <v/>
      </c>
      <c r="F913" s="103" t="str">
        <f>IF($B913&lt;&gt;"",INDEX(DataOB[],FirstRow+ROW()-7,5),"")</f>
        <v/>
      </c>
      <c r="G913" s="58">
        <f>IF($B913&lt;&gt;"",SUMIFS(DataAct_tbl[AMOUNT],DataAct_tbl[BG CODE],Detail!$D913,DataAct_tbl[MONTH],LEFT(MonthName,3),DataAct_tbl[Dept code],$B913),0)</f>
        <v>0</v>
      </c>
      <c r="H913" s="31" t="str">
        <f t="shared" si="133"/>
        <v/>
      </c>
      <c r="I913" s="28" t="str">
        <f t="shared" si="134"/>
        <v/>
      </c>
      <c r="J913" s="32" t="str">
        <f t="shared" si="135"/>
        <v/>
      </c>
      <c r="K913" s="86"/>
      <c r="L913" s="62">
        <f>IF($B913&lt;&gt;"",SUMIFS(DataAct_tbl[AMOUNT],DataAct_tbl[BG CODE],Detail!$D913,DataAct_tbl[Check Range],"=true",DataAct_tbl[Dept code],$B913),0)</f>
        <v>0</v>
      </c>
      <c r="M913" s="63">
        <f>INDEX($AG$7:$AR$1005,ROW()-6,MATCH(MTD,$AG$6:$AR$6,0))</f>
        <v>0</v>
      </c>
      <c r="N913" s="34">
        <f t="shared" si="136"/>
        <v>0</v>
      </c>
      <c r="O913" s="64" t="str">
        <f t="shared" si="137"/>
        <v xml:space="preserve"> </v>
      </c>
      <c r="Q913" s="97">
        <f t="shared" si="138"/>
        <v>0</v>
      </c>
      <c r="R913" s="96">
        <f t="shared" si="139"/>
        <v>0</v>
      </c>
      <c r="T913" s="67" t="str">
        <f>IF($B913&lt;&gt;"",INDEX(DataOB[],FirstRow+ROW()-7,MATCH(T$6,DataOB[#Headers],0)),"")</f>
        <v/>
      </c>
      <c r="U913" s="67" t="str">
        <f>IF($B913&lt;&gt;"",INDEX(DataOB[],FirstRow+ROW()-7,MATCH(U$6,DataOB[#Headers],0)),"")</f>
        <v/>
      </c>
      <c r="V913" s="67" t="str">
        <f>IF($B913&lt;&gt;"",INDEX(DataOB[],FirstRow+ROW()-7,MATCH(V$6,DataOB[#Headers],0)),"")</f>
        <v/>
      </c>
      <c r="W913" s="67" t="str">
        <f>IF($B913&lt;&gt;"",INDEX(DataOB[],FirstRow+ROW()-7,MATCH(W$6,DataOB[#Headers],0)),"")</f>
        <v/>
      </c>
      <c r="X913" s="67" t="str">
        <f>IF($B913&lt;&gt;"",INDEX(DataOB[],FirstRow+ROW()-7,MATCH(X$6,DataOB[#Headers],0)),"")</f>
        <v/>
      </c>
      <c r="Y913" s="67" t="str">
        <f>IF($B913&lt;&gt;"",INDEX(DataOB[],FirstRow+ROW()-7,MATCH(Y$6,DataOB[#Headers],0)),"")</f>
        <v/>
      </c>
      <c r="Z913" s="67" t="str">
        <f>IF($B913&lt;&gt;"",INDEX(DataOB[],FirstRow+ROW()-7,MATCH(Z$6,DataOB[#Headers],0)),"")</f>
        <v/>
      </c>
      <c r="AA913" s="67" t="str">
        <f>IF($B913&lt;&gt;"",INDEX(DataOB[],FirstRow+ROW()-7,MATCH(AA$6,DataOB[#Headers],0)),"")</f>
        <v/>
      </c>
      <c r="AB913" s="67" t="str">
        <f>IF($B913&lt;&gt;"",INDEX(DataOB[],FirstRow+ROW()-7,MATCH(AB$6,DataOB[#Headers],0)),"")</f>
        <v/>
      </c>
      <c r="AC913" s="67" t="str">
        <f>IF($B913&lt;&gt;"",INDEX(DataOB[],FirstRow+ROW()-7,MATCH(AC$6,DataOB[#Headers],0)),"")</f>
        <v/>
      </c>
      <c r="AD913" s="67" t="str">
        <f>IF($B913&lt;&gt;"",INDEX(DataOB[],FirstRow+ROW()-7,MATCH(AD$6,DataOB[#Headers],0)),"")</f>
        <v/>
      </c>
      <c r="AE913" s="67" t="str">
        <f>IF($B913&lt;&gt;"",INDEX(DataOB[],FirstRow+ROW()-7,MATCH(AE$6,DataOB[#Headers],0)),"")</f>
        <v/>
      </c>
      <c r="AF913" s="26">
        <f t="shared" si="140"/>
        <v>0</v>
      </c>
      <c r="AG913" s="31">
        <f>SUM($T913:T913)</f>
        <v>0</v>
      </c>
      <c r="AH913" s="31">
        <f>SUM($T913:U913)</f>
        <v>0</v>
      </c>
      <c r="AI913" s="31">
        <f>SUM($T913:V913)</f>
        <v>0</v>
      </c>
      <c r="AJ913" s="31">
        <f>SUM($T913:W913)</f>
        <v>0</v>
      </c>
      <c r="AK913" s="31">
        <f>SUM($T913:X913)</f>
        <v>0</v>
      </c>
      <c r="AL913" s="31">
        <f>SUM($T913:Y913)</f>
        <v>0</v>
      </c>
      <c r="AM913" s="31">
        <f>SUM($T913:Z913)</f>
        <v>0</v>
      </c>
      <c r="AN913" s="31">
        <f>SUM($T913:AA913)</f>
        <v>0</v>
      </c>
      <c r="AO913" s="31">
        <f>SUM($T913:AB913)</f>
        <v>0</v>
      </c>
      <c r="AP913" s="31">
        <f>SUM($T913:AC913)</f>
        <v>0</v>
      </c>
      <c r="AQ913" s="31">
        <f>SUM($T913:AD913)</f>
        <v>0</v>
      </c>
      <c r="AR913" s="31">
        <f>SUM($T913:AE913)</f>
        <v>0</v>
      </c>
      <c r="AS913" s="27">
        <f t="shared" si="141"/>
        <v>0</v>
      </c>
    </row>
    <row r="914" spans="2:45">
      <c r="B914" s="102" t="str">
        <f>IF(ROW()-6&gt;NumCostCenter,"",IF(CostCenter&lt;&gt;"ALL",CostCenter,DATA_LF2!B912))</f>
        <v/>
      </c>
      <c r="C914" s="153" t="str">
        <f>IF($B914&lt;&gt;"",INDEX(DataOB[],FirstRow+ROW()-7,2),"")</f>
        <v/>
      </c>
      <c r="D914" s="66" t="str">
        <f>IF($B914&lt;&gt;"",INDEX(DataOB[],FirstRow+ROW()-7,3),"")</f>
        <v/>
      </c>
      <c r="E914" s="103" t="str">
        <f>IF($B914&lt;&gt;"",INDEX(DataOB[],FirstRow+ROW()-7,6),"")</f>
        <v/>
      </c>
      <c r="F914" s="103" t="str">
        <f>IF($B914&lt;&gt;"",INDEX(DataOB[],FirstRow+ROW()-7,5),"")</f>
        <v/>
      </c>
      <c r="G914" s="58">
        <f>IF($B914&lt;&gt;"",SUMIFS(DataAct_tbl[AMOUNT],DataAct_tbl[BG CODE],Detail!$D914,DataAct_tbl[MONTH],LEFT(MonthName,3),DataAct_tbl[Dept code],$B914),0)</f>
        <v>0</v>
      </c>
      <c r="H914" s="31" t="str">
        <f t="shared" si="133"/>
        <v/>
      </c>
      <c r="I914" s="28" t="str">
        <f t="shared" si="134"/>
        <v/>
      </c>
      <c r="J914" s="32" t="str">
        <f t="shared" si="135"/>
        <v/>
      </c>
      <c r="K914" s="86"/>
      <c r="L914" s="62">
        <f>IF($B914&lt;&gt;"",SUMIFS(DataAct_tbl[AMOUNT],DataAct_tbl[BG CODE],Detail!$D914,DataAct_tbl[Check Range],"=true",DataAct_tbl[Dept code],$B914),0)</f>
        <v>0</v>
      </c>
      <c r="M914" s="63">
        <f>INDEX($AG$7:$AR$1005,ROW()-6,MATCH(MTD,$AG$6:$AR$6,0))</f>
        <v>0</v>
      </c>
      <c r="N914" s="34">
        <f t="shared" si="136"/>
        <v>0</v>
      </c>
      <c r="O914" s="64" t="str">
        <f t="shared" si="137"/>
        <v xml:space="preserve"> </v>
      </c>
      <c r="Q914" s="97">
        <f t="shared" si="138"/>
        <v>0</v>
      </c>
      <c r="R914" s="96">
        <f t="shared" si="139"/>
        <v>0</v>
      </c>
      <c r="T914" s="67" t="str">
        <f>IF($B914&lt;&gt;"",INDEX(DataOB[],FirstRow+ROW()-7,MATCH(T$6,DataOB[#Headers],0)),"")</f>
        <v/>
      </c>
      <c r="U914" s="67" t="str">
        <f>IF($B914&lt;&gt;"",INDEX(DataOB[],FirstRow+ROW()-7,MATCH(U$6,DataOB[#Headers],0)),"")</f>
        <v/>
      </c>
      <c r="V914" s="67" t="str">
        <f>IF($B914&lt;&gt;"",INDEX(DataOB[],FirstRow+ROW()-7,MATCH(V$6,DataOB[#Headers],0)),"")</f>
        <v/>
      </c>
      <c r="W914" s="67" t="str">
        <f>IF($B914&lt;&gt;"",INDEX(DataOB[],FirstRow+ROW()-7,MATCH(W$6,DataOB[#Headers],0)),"")</f>
        <v/>
      </c>
      <c r="X914" s="67" t="str">
        <f>IF($B914&lt;&gt;"",INDEX(DataOB[],FirstRow+ROW()-7,MATCH(X$6,DataOB[#Headers],0)),"")</f>
        <v/>
      </c>
      <c r="Y914" s="67" t="str">
        <f>IF($B914&lt;&gt;"",INDEX(DataOB[],FirstRow+ROW()-7,MATCH(Y$6,DataOB[#Headers],0)),"")</f>
        <v/>
      </c>
      <c r="Z914" s="67" t="str">
        <f>IF($B914&lt;&gt;"",INDEX(DataOB[],FirstRow+ROW()-7,MATCH(Z$6,DataOB[#Headers],0)),"")</f>
        <v/>
      </c>
      <c r="AA914" s="67" t="str">
        <f>IF($B914&lt;&gt;"",INDEX(DataOB[],FirstRow+ROW()-7,MATCH(AA$6,DataOB[#Headers],0)),"")</f>
        <v/>
      </c>
      <c r="AB914" s="67" t="str">
        <f>IF($B914&lt;&gt;"",INDEX(DataOB[],FirstRow+ROW()-7,MATCH(AB$6,DataOB[#Headers],0)),"")</f>
        <v/>
      </c>
      <c r="AC914" s="67" t="str">
        <f>IF($B914&lt;&gt;"",INDEX(DataOB[],FirstRow+ROW()-7,MATCH(AC$6,DataOB[#Headers],0)),"")</f>
        <v/>
      </c>
      <c r="AD914" s="67" t="str">
        <f>IF($B914&lt;&gt;"",INDEX(DataOB[],FirstRow+ROW()-7,MATCH(AD$6,DataOB[#Headers],0)),"")</f>
        <v/>
      </c>
      <c r="AE914" s="67" t="str">
        <f>IF($B914&lt;&gt;"",INDEX(DataOB[],FirstRow+ROW()-7,MATCH(AE$6,DataOB[#Headers],0)),"")</f>
        <v/>
      </c>
      <c r="AF914" s="26">
        <f t="shared" si="140"/>
        <v>0</v>
      </c>
      <c r="AG914" s="31">
        <f>SUM($T914:T914)</f>
        <v>0</v>
      </c>
      <c r="AH914" s="31">
        <f>SUM($T914:U914)</f>
        <v>0</v>
      </c>
      <c r="AI914" s="31">
        <f>SUM($T914:V914)</f>
        <v>0</v>
      </c>
      <c r="AJ914" s="31">
        <f>SUM($T914:W914)</f>
        <v>0</v>
      </c>
      <c r="AK914" s="31">
        <f>SUM($T914:X914)</f>
        <v>0</v>
      </c>
      <c r="AL914" s="31">
        <f>SUM($T914:Y914)</f>
        <v>0</v>
      </c>
      <c r="AM914" s="31">
        <f>SUM($T914:Z914)</f>
        <v>0</v>
      </c>
      <c r="AN914" s="31">
        <f>SUM($T914:AA914)</f>
        <v>0</v>
      </c>
      <c r="AO914" s="31">
        <f>SUM($T914:AB914)</f>
        <v>0</v>
      </c>
      <c r="AP914" s="31">
        <f>SUM($T914:AC914)</f>
        <v>0</v>
      </c>
      <c r="AQ914" s="31">
        <f>SUM($T914:AD914)</f>
        <v>0</v>
      </c>
      <c r="AR914" s="31">
        <f>SUM($T914:AE914)</f>
        <v>0</v>
      </c>
      <c r="AS914" s="27">
        <f t="shared" si="141"/>
        <v>0</v>
      </c>
    </row>
    <row r="915" spans="2:45">
      <c r="B915" s="102" t="str">
        <f>IF(ROW()-6&gt;NumCostCenter,"",IF(CostCenter&lt;&gt;"ALL",CostCenter,DATA_LF2!B913))</f>
        <v/>
      </c>
      <c r="C915" s="153" t="str">
        <f>IF($B915&lt;&gt;"",INDEX(DataOB[],FirstRow+ROW()-7,2),"")</f>
        <v/>
      </c>
      <c r="D915" s="66" t="str">
        <f>IF($B915&lt;&gt;"",INDEX(DataOB[],FirstRow+ROW()-7,3),"")</f>
        <v/>
      </c>
      <c r="E915" s="103" t="str">
        <f>IF($B915&lt;&gt;"",INDEX(DataOB[],FirstRow+ROW()-7,6),"")</f>
        <v/>
      </c>
      <c r="F915" s="103" t="str">
        <f>IF($B915&lt;&gt;"",INDEX(DataOB[],FirstRow+ROW()-7,5),"")</f>
        <v/>
      </c>
      <c r="G915" s="58">
        <f>IF($B915&lt;&gt;"",SUMIFS(DataAct_tbl[AMOUNT],DataAct_tbl[BG CODE],Detail!$D915,DataAct_tbl[MONTH],LEFT(MonthName,3),DataAct_tbl[Dept code],$B915),0)</f>
        <v>0</v>
      </c>
      <c r="H915" s="31" t="str">
        <f t="shared" si="133"/>
        <v/>
      </c>
      <c r="I915" s="28" t="str">
        <f t="shared" si="134"/>
        <v/>
      </c>
      <c r="J915" s="32" t="str">
        <f t="shared" si="135"/>
        <v/>
      </c>
      <c r="K915" s="86"/>
      <c r="L915" s="62">
        <f>IF($B915&lt;&gt;"",SUMIFS(DataAct_tbl[AMOUNT],DataAct_tbl[BG CODE],Detail!$D915,DataAct_tbl[Check Range],"=true",DataAct_tbl[Dept code],$B915),0)</f>
        <v>0</v>
      </c>
      <c r="M915" s="63">
        <f>INDEX($AG$7:$AR$1005,ROW()-6,MATCH(MTD,$AG$6:$AR$6,0))</f>
        <v>0</v>
      </c>
      <c r="N915" s="34">
        <f t="shared" si="136"/>
        <v>0</v>
      </c>
      <c r="O915" s="64" t="str">
        <f t="shared" si="137"/>
        <v xml:space="preserve"> </v>
      </c>
      <c r="Q915" s="97">
        <f t="shared" si="138"/>
        <v>0</v>
      </c>
      <c r="R915" s="96">
        <f t="shared" si="139"/>
        <v>0</v>
      </c>
      <c r="T915" s="67" t="str">
        <f>IF($B915&lt;&gt;"",INDEX(DataOB[],FirstRow+ROW()-7,MATCH(T$6,DataOB[#Headers],0)),"")</f>
        <v/>
      </c>
      <c r="U915" s="67" t="str">
        <f>IF($B915&lt;&gt;"",INDEX(DataOB[],FirstRow+ROW()-7,MATCH(U$6,DataOB[#Headers],0)),"")</f>
        <v/>
      </c>
      <c r="V915" s="67" t="str">
        <f>IF($B915&lt;&gt;"",INDEX(DataOB[],FirstRow+ROW()-7,MATCH(V$6,DataOB[#Headers],0)),"")</f>
        <v/>
      </c>
      <c r="W915" s="67" t="str">
        <f>IF($B915&lt;&gt;"",INDEX(DataOB[],FirstRow+ROW()-7,MATCH(W$6,DataOB[#Headers],0)),"")</f>
        <v/>
      </c>
      <c r="X915" s="67" t="str">
        <f>IF($B915&lt;&gt;"",INDEX(DataOB[],FirstRow+ROW()-7,MATCH(X$6,DataOB[#Headers],0)),"")</f>
        <v/>
      </c>
      <c r="Y915" s="67" t="str">
        <f>IF($B915&lt;&gt;"",INDEX(DataOB[],FirstRow+ROW()-7,MATCH(Y$6,DataOB[#Headers],0)),"")</f>
        <v/>
      </c>
      <c r="Z915" s="67" t="str">
        <f>IF($B915&lt;&gt;"",INDEX(DataOB[],FirstRow+ROW()-7,MATCH(Z$6,DataOB[#Headers],0)),"")</f>
        <v/>
      </c>
      <c r="AA915" s="67" t="str">
        <f>IF($B915&lt;&gt;"",INDEX(DataOB[],FirstRow+ROW()-7,MATCH(AA$6,DataOB[#Headers],0)),"")</f>
        <v/>
      </c>
      <c r="AB915" s="67" t="str">
        <f>IF($B915&lt;&gt;"",INDEX(DataOB[],FirstRow+ROW()-7,MATCH(AB$6,DataOB[#Headers],0)),"")</f>
        <v/>
      </c>
      <c r="AC915" s="67" t="str">
        <f>IF($B915&lt;&gt;"",INDEX(DataOB[],FirstRow+ROW()-7,MATCH(AC$6,DataOB[#Headers],0)),"")</f>
        <v/>
      </c>
      <c r="AD915" s="67" t="str">
        <f>IF($B915&lt;&gt;"",INDEX(DataOB[],FirstRow+ROW()-7,MATCH(AD$6,DataOB[#Headers],0)),"")</f>
        <v/>
      </c>
      <c r="AE915" s="67" t="str">
        <f>IF($B915&lt;&gt;"",INDEX(DataOB[],FirstRow+ROW()-7,MATCH(AE$6,DataOB[#Headers],0)),"")</f>
        <v/>
      </c>
      <c r="AF915" s="26">
        <f t="shared" si="140"/>
        <v>0</v>
      </c>
      <c r="AG915" s="31">
        <f>SUM($T915:T915)</f>
        <v>0</v>
      </c>
      <c r="AH915" s="31">
        <f>SUM($T915:U915)</f>
        <v>0</v>
      </c>
      <c r="AI915" s="31">
        <f>SUM($T915:V915)</f>
        <v>0</v>
      </c>
      <c r="AJ915" s="31">
        <f>SUM($T915:W915)</f>
        <v>0</v>
      </c>
      <c r="AK915" s="31">
        <f>SUM($T915:X915)</f>
        <v>0</v>
      </c>
      <c r="AL915" s="31">
        <f>SUM($T915:Y915)</f>
        <v>0</v>
      </c>
      <c r="AM915" s="31">
        <f>SUM($T915:Z915)</f>
        <v>0</v>
      </c>
      <c r="AN915" s="31">
        <f>SUM($T915:AA915)</f>
        <v>0</v>
      </c>
      <c r="AO915" s="31">
        <f>SUM($T915:AB915)</f>
        <v>0</v>
      </c>
      <c r="AP915" s="31">
        <f>SUM($T915:AC915)</f>
        <v>0</v>
      </c>
      <c r="AQ915" s="31">
        <f>SUM($T915:AD915)</f>
        <v>0</v>
      </c>
      <c r="AR915" s="31">
        <f>SUM($T915:AE915)</f>
        <v>0</v>
      </c>
      <c r="AS915" s="27">
        <f t="shared" si="141"/>
        <v>0</v>
      </c>
    </row>
    <row r="916" spans="2:45">
      <c r="B916" s="102" t="str">
        <f>IF(ROW()-6&gt;NumCostCenter,"",IF(CostCenter&lt;&gt;"ALL",CostCenter,DATA_LF2!B914))</f>
        <v/>
      </c>
      <c r="C916" s="153" t="str">
        <f>IF($B916&lt;&gt;"",INDEX(DataOB[],FirstRow+ROW()-7,2),"")</f>
        <v/>
      </c>
      <c r="D916" s="66" t="str">
        <f>IF($B916&lt;&gt;"",INDEX(DataOB[],FirstRow+ROW()-7,3),"")</f>
        <v/>
      </c>
      <c r="E916" s="103" t="str">
        <f>IF($B916&lt;&gt;"",INDEX(DataOB[],FirstRow+ROW()-7,6),"")</f>
        <v/>
      </c>
      <c r="F916" s="103" t="str">
        <f>IF($B916&lt;&gt;"",INDEX(DataOB[],FirstRow+ROW()-7,5),"")</f>
        <v/>
      </c>
      <c r="G916" s="58">
        <f>IF($B916&lt;&gt;"",SUMIFS(DataAct_tbl[AMOUNT],DataAct_tbl[BG CODE],Detail!$D916,DataAct_tbl[MONTH],LEFT(MonthName,3),DataAct_tbl[Dept code],$B916),0)</f>
        <v>0</v>
      </c>
      <c r="H916" s="31" t="str">
        <f t="shared" si="133"/>
        <v/>
      </c>
      <c r="I916" s="28" t="str">
        <f t="shared" si="134"/>
        <v/>
      </c>
      <c r="J916" s="32" t="str">
        <f t="shared" si="135"/>
        <v/>
      </c>
      <c r="K916" s="86"/>
      <c r="L916" s="62">
        <f>IF($B916&lt;&gt;"",SUMIFS(DataAct_tbl[AMOUNT],DataAct_tbl[BG CODE],Detail!$D916,DataAct_tbl[Check Range],"=true",DataAct_tbl[Dept code],$B916),0)</f>
        <v>0</v>
      </c>
      <c r="M916" s="63">
        <f>INDEX($AG$7:$AR$1005,ROW()-6,MATCH(MTD,$AG$6:$AR$6,0))</f>
        <v>0</v>
      </c>
      <c r="N916" s="34">
        <f t="shared" si="136"/>
        <v>0</v>
      </c>
      <c r="O916" s="64" t="str">
        <f t="shared" si="137"/>
        <v xml:space="preserve"> </v>
      </c>
      <c r="Q916" s="97">
        <f t="shared" si="138"/>
        <v>0</v>
      </c>
      <c r="R916" s="96">
        <f t="shared" si="139"/>
        <v>0</v>
      </c>
      <c r="T916" s="67" t="str">
        <f>IF($B916&lt;&gt;"",INDEX(DataOB[],FirstRow+ROW()-7,MATCH(T$6,DataOB[#Headers],0)),"")</f>
        <v/>
      </c>
      <c r="U916" s="67" t="str">
        <f>IF($B916&lt;&gt;"",INDEX(DataOB[],FirstRow+ROW()-7,MATCH(U$6,DataOB[#Headers],0)),"")</f>
        <v/>
      </c>
      <c r="V916" s="67" t="str">
        <f>IF($B916&lt;&gt;"",INDEX(DataOB[],FirstRow+ROW()-7,MATCH(V$6,DataOB[#Headers],0)),"")</f>
        <v/>
      </c>
      <c r="W916" s="67" t="str">
        <f>IF($B916&lt;&gt;"",INDEX(DataOB[],FirstRow+ROW()-7,MATCH(W$6,DataOB[#Headers],0)),"")</f>
        <v/>
      </c>
      <c r="X916" s="67" t="str">
        <f>IF($B916&lt;&gt;"",INDEX(DataOB[],FirstRow+ROW()-7,MATCH(X$6,DataOB[#Headers],0)),"")</f>
        <v/>
      </c>
      <c r="Y916" s="67" t="str">
        <f>IF($B916&lt;&gt;"",INDEX(DataOB[],FirstRow+ROW()-7,MATCH(Y$6,DataOB[#Headers],0)),"")</f>
        <v/>
      </c>
      <c r="Z916" s="67" t="str">
        <f>IF($B916&lt;&gt;"",INDEX(DataOB[],FirstRow+ROW()-7,MATCH(Z$6,DataOB[#Headers],0)),"")</f>
        <v/>
      </c>
      <c r="AA916" s="67" t="str">
        <f>IF($B916&lt;&gt;"",INDEX(DataOB[],FirstRow+ROW()-7,MATCH(AA$6,DataOB[#Headers],0)),"")</f>
        <v/>
      </c>
      <c r="AB916" s="67" t="str">
        <f>IF($B916&lt;&gt;"",INDEX(DataOB[],FirstRow+ROW()-7,MATCH(AB$6,DataOB[#Headers],0)),"")</f>
        <v/>
      </c>
      <c r="AC916" s="67" t="str">
        <f>IF($B916&lt;&gt;"",INDEX(DataOB[],FirstRow+ROW()-7,MATCH(AC$6,DataOB[#Headers],0)),"")</f>
        <v/>
      </c>
      <c r="AD916" s="67" t="str">
        <f>IF($B916&lt;&gt;"",INDEX(DataOB[],FirstRow+ROW()-7,MATCH(AD$6,DataOB[#Headers],0)),"")</f>
        <v/>
      </c>
      <c r="AE916" s="67" t="str">
        <f>IF($B916&lt;&gt;"",INDEX(DataOB[],FirstRow+ROW()-7,MATCH(AE$6,DataOB[#Headers],0)),"")</f>
        <v/>
      </c>
      <c r="AF916" s="26">
        <f t="shared" si="140"/>
        <v>0</v>
      </c>
      <c r="AG916" s="31">
        <f>SUM($T916:T916)</f>
        <v>0</v>
      </c>
      <c r="AH916" s="31">
        <f>SUM($T916:U916)</f>
        <v>0</v>
      </c>
      <c r="AI916" s="31">
        <f>SUM($T916:V916)</f>
        <v>0</v>
      </c>
      <c r="AJ916" s="31">
        <f>SUM($T916:W916)</f>
        <v>0</v>
      </c>
      <c r="AK916" s="31">
        <f>SUM($T916:X916)</f>
        <v>0</v>
      </c>
      <c r="AL916" s="31">
        <f>SUM($T916:Y916)</f>
        <v>0</v>
      </c>
      <c r="AM916" s="31">
        <f>SUM($T916:Z916)</f>
        <v>0</v>
      </c>
      <c r="AN916" s="31">
        <f>SUM($T916:AA916)</f>
        <v>0</v>
      </c>
      <c r="AO916" s="31">
        <f>SUM($T916:AB916)</f>
        <v>0</v>
      </c>
      <c r="AP916" s="31">
        <f>SUM($T916:AC916)</f>
        <v>0</v>
      </c>
      <c r="AQ916" s="31">
        <f>SUM($T916:AD916)</f>
        <v>0</v>
      </c>
      <c r="AR916" s="31">
        <f>SUM($T916:AE916)</f>
        <v>0</v>
      </c>
      <c r="AS916" s="27">
        <f t="shared" si="141"/>
        <v>0</v>
      </c>
    </row>
    <row r="917" spans="2:45">
      <c r="B917" s="102" t="str">
        <f>IF(ROW()-6&gt;NumCostCenter,"",IF(CostCenter&lt;&gt;"ALL",CostCenter,DATA_LF2!B915))</f>
        <v/>
      </c>
      <c r="C917" s="153" t="str">
        <f>IF($B917&lt;&gt;"",INDEX(DataOB[],FirstRow+ROW()-7,2),"")</f>
        <v/>
      </c>
      <c r="D917" s="66" t="str">
        <f>IF($B917&lt;&gt;"",INDEX(DataOB[],FirstRow+ROW()-7,3),"")</f>
        <v/>
      </c>
      <c r="E917" s="103" t="str">
        <f>IF($B917&lt;&gt;"",INDEX(DataOB[],FirstRow+ROW()-7,6),"")</f>
        <v/>
      </c>
      <c r="F917" s="103" t="str">
        <f>IF($B917&lt;&gt;"",INDEX(DataOB[],FirstRow+ROW()-7,5),"")</f>
        <v/>
      </c>
      <c r="G917" s="58">
        <f>IF($B917&lt;&gt;"",SUMIFS(DataAct_tbl[AMOUNT],DataAct_tbl[BG CODE],Detail!$D917,DataAct_tbl[MONTH],LEFT(MonthName,3),DataAct_tbl[Dept code],$B917),0)</f>
        <v>0</v>
      </c>
      <c r="H917" s="31" t="str">
        <f t="shared" si="133"/>
        <v/>
      </c>
      <c r="I917" s="28" t="str">
        <f t="shared" si="134"/>
        <v/>
      </c>
      <c r="J917" s="32" t="str">
        <f t="shared" si="135"/>
        <v/>
      </c>
      <c r="K917" s="86"/>
      <c r="L917" s="62">
        <f>IF($B917&lt;&gt;"",SUMIFS(DataAct_tbl[AMOUNT],DataAct_tbl[BG CODE],Detail!$D917,DataAct_tbl[Check Range],"=true",DataAct_tbl[Dept code],$B917),0)</f>
        <v>0</v>
      </c>
      <c r="M917" s="63">
        <f>INDEX($AG$7:$AR$1005,ROW()-6,MATCH(MTD,$AG$6:$AR$6,0))</f>
        <v>0</v>
      </c>
      <c r="N917" s="34">
        <f t="shared" si="136"/>
        <v>0</v>
      </c>
      <c r="O917" s="64" t="str">
        <f t="shared" si="137"/>
        <v xml:space="preserve"> </v>
      </c>
      <c r="Q917" s="97">
        <f t="shared" si="138"/>
        <v>0</v>
      </c>
      <c r="R917" s="96">
        <f t="shared" si="139"/>
        <v>0</v>
      </c>
      <c r="T917" s="67" t="str">
        <f>IF($B917&lt;&gt;"",INDEX(DataOB[],FirstRow+ROW()-7,MATCH(T$6,DataOB[#Headers],0)),"")</f>
        <v/>
      </c>
      <c r="U917" s="67" t="str">
        <f>IF($B917&lt;&gt;"",INDEX(DataOB[],FirstRow+ROW()-7,MATCH(U$6,DataOB[#Headers],0)),"")</f>
        <v/>
      </c>
      <c r="V917" s="67" t="str">
        <f>IF($B917&lt;&gt;"",INDEX(DataOB[],FirstRow+ROW()-7,MATCH(V$6,DataOB[#Headers],0)),"")</f>
        <v/>
      </c>
      <c r="W917" s="67" t="str">
        <f>IF($B917&lt;&gt;"",INDEX(DataOB[],FirstRow+ROW()-7,MATCH(W$6,DataOB[#Headers],0)),"")</f>
        <v/>
      </c>
      <c r="X917" s="67" t="str">
        <f>IF($B917&lt;&gt;"",INDEX(DataOB[],FirstRow+ROW()-7,MATCH(X$6,DataOB[#Headers],0)),"")</f>
        <v/>
      </c>
      <c r="Y917" s="67" t="str">
        <f>IF($B917&lt;&gt;"",INDEX(DataOB[],FirstRow+ROW()-7,MATCH(Y$6,DataOB[#Headers],0)),"")</f>
        <v/>
      </c>
      <c r="Z917" s="67" t="str">
        <f>IF($B917&lt;&gt;"",INDEX(DataOB[],FirstRow+ROW()-7,MATCH(Z$6,DataOB[#Headers],0)),"")</f>
        <v/>
      </c>
      <c r="AA917" s="67" t="str">
        <f>IF($B917&lt;&gt;"",INDEX(DataOB[],FirstRow+ROW()-7,MATCH(AA$6,DataOB[#Headers],0)),"")</f>
        <v/>
      </c>
      <c r="AB917" s="67" t="str">
        <f>IF($B917&lt;&gt;"",INDEX(DataOB[],FirstRow+ROW()-7,MATCH(AB$6,DataOB[#Headers],0)),"")</f>
        <v/>
      </c>
      <c r="AC917" s="67" t="str">
        <f>IF($B917&lt;&gt;"",INDEX(DataOB[],FirstRow+ROW()-7,MATCH(AC$6,DataOB[#Headers],0)),"")</f>
        <v/>
      </c>
      <c r="AD917" s="67" t="str">
        <f>IF($B917&lt;&gt;"",INDEX(DataOB[],FirstRow+ROW()-7,MATCH(AD$6,DataOB[#Headers],0)),"")</f>
        <v/>
      </c>
      <c r="AE917" s="67" t="str">
        <f>IF($B917&lt;&gt;"",INDEX(DataOB[],FirstRow+ROW()-7,MATCH(AE$6,DataOB[#Headers],0)),"")</f>
        <v/>
      </c>
      <c r="AF917" s="26">
        <f t="shared" si="140"/>
        <v>0</v>
      </c>
      <c r="AG917" s="31">
        <f>SUM($T917:T917)</f>
        <v>0</v>
      </c>
      <c r="AH917" s="31">
        <f>SUM($T917:U917)</f>
        <v>0</v>
      </c>
      <c r="AI917" s="31">
        <f>SUM($T917:V917)</f>
        <v>0</v>
      </c>
      <c r="AJ917" s="31">
        <f>SUM($T917:W917)</f>
        <v>0</v>
      </c>
      <c r="AK917" s="31">
        <f>SUM($T917:X917)</f>
        <v>0</v>
      </c>
      <c r="AL917" s="31">
        <f>SUM($T917:Y917)</f>
        <v>0</v>
      </c>
      <c r="AM917" s="31">
        <f>SUM($T917:Z917)</f>
        <v>0</v>
      </c>
      <c r="AN917" s="31">
        <f>SUM($T917:AA917)</f>
        <v>0</v>
      </c>
      <c r="AO917" s="31">
        <f>SUM($T917:AB917)</f>
        <v>0</v>
      </c>
      <c r="AP917" s="31">
        <f>SUM($T917:AC917)</f>
        <v>0</v>
      </c>
      <c r="AQ917" s="31">
        <f>SUM($T917:AD917)</f>
        <v>0</v>
      </c>
      <c r="AR917" s="31">
        <f>SUM($T917:AE917)</f>
        <v>0</v>
      </c>
      <c r="AS917" s="27">
        <f t="shared" si="141"/>
        <v>0</v>
      </c>
    </row>
    <row r="918" spans="2:45">
      <c r="B918" s="102" t="str">
        <f>IF(ROW()-6&gt;NumCostCenter,"",IF(CostCenter&lt;&gt;"ALL",CostCenter,DATA_LF2!B916))</f>
        <v/>
      </c>
      <c r="C918" s="153" t="str">
        <f>IF($B918&lt;&gt;"",INDEX(DataOB[],FirstRow+ROW()-7,2),"")</f>
        <v/>
      </c>
      <c r="D918" s="66" t="str">
        <f>IF($B918&lt;&gt;"",INDEX(DataOB[],FirstRow+ROW()-7,3),"")</f>
        <v/>
      </c>
      <c r="E918" s="103" t="str">
        <f>IF($B918&lt;&gt;"",INDEX(DataOB[],FirstRow+ROW()-7,6),"")</f>
        <v/>
      </c>
      <c r="F918" s="103" t="str">
        <f>IF($B918&lt;&gt;"",INDEX(DataOB[],FirstRow+ROW()-7,5),"")</f>
        <v/>
      </c>
      <c r="G918" s="58">
        <f>IF($B918&lt;&gt;"",SUMIFS(DataAct_tbl[AMOUNT],DataAct_tbl[BG CODE],Detail!$D918,DataAct_tbl[MONTH],LEFT(MonthName,3),DataAct_tbl[Dept code],$B918),0)</f>
        <v>0</v>
      </c>
      <c r="H918" s="31" t="str">
        <f t="shared" si="133"/>
        <v/>
      </c>
      <c r="I918" s="28" t="str">
        <f t="shared" si="134"/>
        <v/>
      </c>
      <c r="J918" s="32" t="str">
        <f t="shared" si="135"/>
        <v/>
      </c>
      <c r="K918" s="86"/>
      <c r="L918" s="62">
        <f>IF($B918&lt;&gt;"",SUMIFS(DataAct_tbl[AMOUNT],DataAct_tbl[BG CODE],Detail!$D918,DataAct_tbl[Check Range],"=true",DataAct_tbl[Dept code],$B918),0)</f>
        <v>0</v>
      </c>
      <c r="M918" s="63">
        <f>INDEX($AG$7:$AR$1005,ROW()-6,MATCH(MTD,$AG$6:$AR$6,0))</f>
        <v>0</v>
      </c>
      <c r="N918" s="34">
        <f t="shared" si="136"/>
        <v>0</v>
      </c>
      <c r="O918" s="64" t="str">
        <f t="shared" si="137"/>
        <v xml:space="preserve"> </v>
      </c>
      <c r="Q918" s="97">
        <f t="shared" si="138"/>
        <v>0</v>
      </c>
      <c r="R918" s="96">
        <f t="shared" si="139"/>
        <v>0</v>
      </c>
      <c r="T918" s="67" t="str">
        <f>IF($B918&lt;&gt;"",INDEX(DataOB[],FirstRow+ROW()-7,MATCH(T$6,DataOB[#Headers],0)),"")</f>
        <v/>
      </c>
      <c r="U918" s="67" t="str">
        <f>IF($B918&lt;&gt;"",INDEX(DataOB[],FirstRow+ROW()-7,MATCH(U$6,DataOB[#Headers],0)),"")</f>
        <v/>
      </c>
      <c r="V918" s="67" t="str">
        <f>IF($B918&lt;&gt;"",INDEX(DataOB[],FirstRow+ROW()-7,MATCH(V$6,DataOB[#Headers],0)),"")</f>
        <v/>
      </c>
      <c r="W918" s="67" t="str">
        <f>IF($B918&lt;&gt;"",INDEX(DataOB[],FirstRow+ROW()-7,MATCH(W$6,DataOB[#Headers],0)),"")</f>
        <v/>
      </c>
      <c r="X918" s="67" t="str">
        <f>IF($B918&lt;&gt;"",INDEX(DataOB[],FirstRow+ROW()-7,MATCH(X$6,DataOB[#Headers],0)),"")</f>
        <v/>
      </c>
      <c r="Y918" s="67" t="str">
        <f>IF($B918&lt;&gt;"",INDEX(DataOB[],FirstRow+ROW()-7,MATCH(Y$6,DataOB[#Headers],0)),"")</f>
        <v/>
      </c>
      <c r="Z918" s="67" t="str">
        <f>IF($B918&lt;&gt;"",INDEX(DataOB[],FirstRow+ROW()-7,MATCH(Z$6,DataOB[#Headers],0)),"")</f>
        <v/>
      </c>
      <c r="AA918" s="67" t="str">
        <f>IF($B918&lt;&gt;"",INDEX(DataOB[],FirstRow+ROW()-7,MATCH(AA$6,DataOB[#Headers],0)),"")</f>
        <v/>
      </c>
      <c r="AB918" s="67" t="str">
        <f>IF($B918&lt;&gt;"",INDEX(DataOB[],FirstRow+ROW()-7,MATCH(AB$6,DataOB[#Headers],0)),"")</f>
        <v/>
      </c>
      <c r="AC918" s="67" t="str">
        <f>IF($B918&lt;&gt;"",INDEX(DataOB[],FirstRow+ROW()-7,MATCH(AC$6,DataOB[#Headers],0)),"")</f>
        <v/>
      </c>
      <c r="AD918" s="67" t="str">
        <f>IF($B918&lt;&gt;"",INDEX(DataOB[],FirstRow+ROW()-7,MATCH(AD$6,DataOB[#Headers],0)),"")</f>
        <v/>
      </c>
      <c r="AE918" s="67" t="str">
        <f>IF($B918&lt;&gt;"",INDEX(DataOB[],FirstRow+ROW()-7,MATCH(AE$6,DataOB[#Headers],0)),"")</f>
        <v/>
      </c>
      <c r="AF918" s="26">
        <f t="shared" si="140"/>
        <v>0</v>
      </c>
      <c r="AG918" s="31">
        <f>SUM($T918:T918)</f>
        <v>0</v>
      </c>
      <c r="AH918" s="31">
        <f>SUM($T918:U918)</f>
        <v>0</v>
      </c>
      <c r="AI918" s="31">
        <f>SUM($T918:V918)</f>
        <v>0</v>
      </c>
      <c r="AJ918" s="31">
        <f>SUM($T918:W918)</f>
        <v>0</v>
      </c>
      <c r="AK918" s="31">
        <f>SUM($T918:X918)</f>
        <v>0</v>
      </c>
      <c r="AL918" s="31">
        <f>SUM($T918:Y918)</f>
        <v>0</v>
      </c>
      <c r="AM918" s="31">
        <f>SUM($T918:Z918)</f>
        <v>0</v>
      </c>
      <c r="AN918" s="31">
        <f>SUM($T918:AA918)</f>
        <v>0</v>
      </c>
      <c r="AO918" s="31">
        <f>SUM($T918:AB918)</f>
        <v>0</v>
      </c>
      <c r="AP918" s="31">
        <f>SUM($T918:AC918)</f>
        <v>0</v>
      </c>
      <c r="AQ918" s="31">
        <f>SUM($T918:AD918)</f>
        <v>0</v>
      </c>
      <c r="AR918" s="31">
        <f>SUM($T918:AE918)</f>
        <v>0</v>
      </c>
      <c r="AS918" s="27">
        <f t="shared" si="141"/>
        <v>0</v>
      </c>
    </row>
    <row r="919" spans="2:45">
      <c r="B919" s="102" t="str">
        <f>IF(ROW()-6&gt;NumCostCenter,"",IF(CostCenter&lt;&gt;"ALL",CostCenter,DATA_LF2!B917))</f>
        <v/>
      </c>
      <c r="C919" s="153" t="str">
        <f>IF($B919&lt;&gt;"",INDEX(DataOB[],FirstRow+ROW()-7,2),"")</f>
        <v/>
      </c>
      <c r="D919" s="66" t="str">
        <f>IF($B919&lt;&gt;"",INDEX(DataOB[],FirstRow+ROW()-7,3),"")</f>
        <v/>
      </c>
      <c r="E919" s="103" t="str">
        <f>IF($B919&lt;&gt;"",INDEX(DataOB[],FirstRow+ROW()-7,6),"")</f>
        <v/>
      </c>
      <c r="F919" s="103" t="str">
        <f>IF($B919&lt;&gt;"",INDEX(DataOB[],FirstRow+ROW()-7,5),"")</f>
        <v/>
      </c>
      <c r="G919" s="58">
        <f>IF($B919&lt;&gt;"",SUMIFS(DataAct_tbl[AMOUNT],DataAct_tbl[BG CODE],Detail!$D919,DataAct_tbl[MONTH],LEFT(MonthName,3),DataAct_tbl[Dept code],$B919),0)</f>
        <v>0</v>
      </c>
      <c r="H919" s="31" t="str">
        <f t="shared" si="133"/>
        <v/>
      </c>
      <c r="I919" s="28" t="str">
        <f t="shared" si="134"/>
        <v/>
      </c>
      <c r="J919" s="32" t="str">
        <f t="shared" si="135"/>
        <v/>
      </c>
      <c r="K919" s="86"/>
      <c r="L919" s="62">
        <f>IF($B919&lt;&gt;"",SUMIFS(DataAct_tbl[AMOUNT],DataAct_tbl[BG CODE],Detail!$D919,DataAct_tbl[Check Range],"=true",DataAct_tbl[Dept code],$B919),0)</f>
        <v>0</v>
      </c>
      <c r="M919" s="63">
        <f>INDEX($AG$7:$AR$1005,ROW()-6,MATCH(MTD,$AG$6:$AR$6,0))</f>
        <v>0</v>
      </c>
      <c r="N919" s="34">
        <f t="shared" si="136"/>
        <v>0</v>
      </c>
      <c r="O919" s="64" t="str">
        <f t="shared" si="137"/>
        <v xml:space="preserve"> </v>
      </c>
      <c r="Q919" s="97">
        <f t="shared" si="138"/>
        <v>0</v>
      </c>
      <c r="R919" s="96">
        <f t="shared" si="139"/>
        <v>0</v>
      </c>
      <c r="T919" s="67" t="str">
        <f>IF($B919&lt;&gt;"",INDEX(DataOB[],FirstRow+ROW()-7,MATCH(T$6,DataOB[#Headers],0)),"")</f>
        <v/>
      </c>
      <c r="U919" s="67" t="str">
        <f>IF($B919&lt;&gt;"",INDEX(DataOB[],FirstRow+ROW()-7,MATCH(U$6,DataOB[#Headers],0)),"")</f>
        <v/>
      </c>
      <c r="V919" s="67" t="str">
        <f>IF($B919&lt;&gt;"",INDEX(DataOB[],FirstRow+ROW()-7,MATCH(V$6,DataOB[#Headers],0)),"")</f>
        <v/>
      </c>
      <c r="W919" s="67" t="str">
        <f>IF($B919&lt;&gt;"",INDEX(DataOB[],FirstRow+ROW()-7,MATCH(W$6,DataOB[#Headers],0)),"")</f>
        <v/>
      </c>
      <c r="X919" s="67" t="str">
        <f>IF($B919&lt;&gt;"",INDEX(DataOB[],FirstRow+ROW()-7,MATCH(X$6,DataOB[#Headers],0)),"")</f>
        <v/>
      </c>
      <c r="Y919" s="67" t="str">
        <f>IF($B919&lt;&gt;"",INDEX(DataOB[],FirstRow+ROW()-7,MATCH(Y$6,DataOB[#Headers],0)),"")</f>
        <v/>
      </c>
      <c r="Z919" s="67" t="str">
        <f>IF($B919&lt;&gt;"",INDEX(DataOB[],FirstRow+ROW()-7,MATCH(Z$6,DataOB[#Headers],0)),"")</f>
        <v/>
      </c>
      <c r="AA919" s="67" t="str">
        <f>IF($B919&lt;&gt;"",INDEX(DataOB[],FirstRow+ROW()-7,MATCH(AA$6,DataOB[#Headers],0)),"")</f>
        <v/>
      </c>
      <c r="AB919" s="67" t="str">
        <f>IF($B919&lt;&gt;"",INDEX(DataOB[],FirstRow+ROW()-7,MATCH(AB$6,DataOB[#Headers],0)),"")</f>
        <v/>
      </c>
      <c r="AC919" s="67" t="str">
        <f>IF($B919&lt;&gt;"",INDEX(DataOB[],FirstRow+ROW()-7,MATCH(AC$6,DataOB[#Headers],0)),"")</f>
        <v/>
      </c>
      <c r="AD919" s="67" t="str">
        <f>IF($B919&lt;&gt;"",INDEX(DataOB[],FirstRow+ROW()-7,MATCH(AD$6,DataOB[#Headers],0)),"")</f>
        <v/>
      </c>
      <c r="AE919" s="67" t="str">
        <f>IF($B919&lt;&gt;"",INDEX(DataOB[],FirstRow+ROW()-7,MATCH(AE$6,DataOB[#Headers],0)),"")</f>
        <v/>
      </c>
      <c r="AF919" s="26">
        <f t="shared" si="140"/>
        <v>0</v>
      </c>
      <c r="AG919" s="31">
        <f>SUM($T919:T919)</f>
        <v>0</v>
      </c>
      <c r="AH919" s="31">
        <f>SUM($T919:U919)</f>
        <v>0</v>
      </c>
      <c r="AI919" s="31">
        <f>SUM($T919:V919)</f>
        <v>0</v>
      </c>
      <c r="AJ919" s="31">
        <f>SUM($T919:W919)</f>
        <v>0</v>
      </c>
      <c r="AK919" s="31">
        <f>SUM($T919:X919)</f>
        <v>0</v>
      </c>
      <c r="AL919" s="31">
        <f>SUM($T919:Y919)</f>
        <v>0</v>
      </c>
      <c r="AM919" s="31">
        <f>SUM($T919:Z919)</f>
        <v>0</v>
      </c>
      <c r="AN919" s="31">
        <f>SUM($T919:AA919)</f>
        <v>0</v>
      </c>
      <c r="AO919" s="31">
        <f>SUM($T919:AB919)</f>
        <v>0</v>
      </c>
      <c r="AP919" s="31">
        <f>SUM($T919:AC919)</f>
        <v>0</v>
      </c>
      <c r="AQ919" s="31">
        <f>SUM($T919:AD919)</f>
        <v>0</v>
      </c>
      <c r="AR919" s="31">
        <f>SUM($T919:AE919)</f>
        <v>0</v>
      </c>
      <c r="AS919" s="27">
        <f t="shared" si="141"/>
        <v>0</v>
      </c>
    </row>
    <row r="920" spans="2:45">
      <c r="B920" s="102" t="str">
        <f>IF(ROW()-6&gt;NumCostCenter,"",IF(CostCenter&lt;&gt;"ALL",CostCenter,DATA_LF2!B918))</f>
        <v/>
      </c>
      <c r="C920" s="153" t="str">
        <f>IF($B920&lt;&gt;"",INDEX(DataOB[],FirstRow+ROW()-7,2),"")</f>
        <v/>
      </c>
      <c r="D920" s="66" t="str">
        <f>IF($B920&lt;&gt;"",INDEX(DataOB[],FirstRow+ROW()-7,3),"")</f>
        <v/>
      </c>
      <c r="E920" s="103" t="str">
        <f>IF($B920&lt;&gt;"",INDEX(DataOB[],FirstRow+ROW()-7,6),"")</f>
        <v/>
      </c>
      <c r="F920" s="103" t="str">
        <f>IF($B920&lt;&gt;"",INDEX(DataOB[],FirstRow+ROW()-7,5),"")</f>
        <v/>
      </c>
      <c r="G920" s="58">
        <f>IF($B920&lt;&gt;"",SUMIFS(DataAct_tbl[AMOUNT],DataAct_tbl[BG CODE],Detail!$D920,DataAct_tbl[MONTH],LEFT(MonthName,3),DataAct_tbl[Dept code],$B920),0)</f>
        <v>0</v>
      </c>
      <c r="H920" s="31" t="str">
        <f t="shared" si="133"/>
        <v/>
      </c>
      <c r="I920" s="28" t="str">
        <f t="shared" si="134"/>
        <v/>
      </c>
      <c r="J920" s="32" t="str">
        <f t="shared" si="135"/>
        <v/>
      </c>
      <c r="K920" s="86"/>
      <c r="L920" s="62">
        <f>IF($B920&lt;&gt;"",SUMIFS(DataAct_tbl[AMOUNT],DataAct_tbl[BG CODE],Detail!$D920,DataAct_tbl[Check Range],"=true",DataAct_tbl[Dept code],$B920),0)</f>
        <v>0</v>
      </c>
      <c r="M920" s="63">
        <f>INDEX($AG$7:$AR$1005,ROW()-6,MATCH(MTD,$AG$6:$AR$6,0))</f>
        <v>0</v>
      </c>
      <c r="N920" s="34">
        <f t="shared" si="136"/>
        <v>0</v>
      </c>
      <c r="O920" s="64" t="str">
        <f t="shared" si="137"/>
        <v xml:space="preserve"> </v>
      </c>
      <c r="Q920" s="97">
        <f t="shared" si="138"/>
        <v>0</v>
      </c>
      <c r="R920" s="96">
        <f t="shared" si="139"/>
        <v>0</v>
      </c>
      <c r="T920" s="67" t="str">
        <f>IF($B920&lt;&gt;"",INDEX(DataOB[],FirstRow+ROW()-7,MATCH(T$6,DataOB[#Headers],0)),"")</f>
        <v/>
      </c>
      <c r="U920" s="67" t="str">
        <f>IF($B920&lt;&gt;"",INDEX(DataOB[],FirstRow+ROW()-7,MATCH(U$6,DataOB[#Headers],0)),"")</f>
        <v/>
      </c>
      <c r="V920" s="67" t="str">
        <f>IF($B920&lt;&gt;"",INDEX(DataOB[],FirstRow+ROW()-7,MATCH(V$6,DataOB[#Headers],0)),"")</f>
        <v/>
      </c>
      <c r="W920" s="67" t="str">
        <f>IF($B920&lt;&gt;"",INDEX(DataOB[],FirstRow+ROW()-7,MATCH(W$6,DataOB[#Headers],0)),"")</f>
        <v/>
      </c>
      <c r="X920" s="67" t="str">
        <f>IF($B920&lt;&gt;"",INDEX(DataOB[],FirstRow+ROW()-7,MATCH(X$6,DataOB[#Headers],0)),"")</f>
        <v/>
      </c>
      <c r="Y920" s="67" t="str">
        <f>IF($B920&lt;&gt;"",INDEX(DataOB[],FirstRow+ROW()-7,MATCH(Y$6,DataOB[#Headers],0)),"")</f>
        <v/>
      </c>
      <c r="Z920" s="67" t="str">
        <f>IF($B920&lt;&gt;"",INDEX(DataOB[],FirstRow+ROW()-7,MATCH(Z$6,DataOB[#Headers],0)),"")</f>
        <v/>
      </c>
      <c r="AA920" s="67" t="str">
        <f>IF($B920&lt;&gt;"",INDEX(DataOB[],FirstRow+ROW()-7,MATCH(AA$6,DataOB[#Headers],0)),"")</f>
        <v/>
      </c>
      <c r="AB920" s="67" t="str">
        <f>IF($B920&lt;&gt;"",INDEX(DataOB[],FirstRow+ROW()-7,MATCH(AB$6,DataOB[#Headers],0)),"")</f>
        <v/>
      </c>
      <c r="AC920" s="67" t="str">
        <f>IF($B920&lt;&gt;"",INDEX(DataOB[],FirstRow+ROW()-7,MATCH(AC$6,DataOB[#Headers],0)),"")</f>
        <v/>
      </c>
      <c r="AD920" s="67" t="str">
        <f>IF($B920&lt;&gt;"",INDEX(DataOB[],FirstRow+ROW()-7,MATCH(AD$6,DataOB[#Headers],0)),"")</f>
        <v/>
      </c>
      <c r="AE920" s="67" t="str">
        <f>IF($B920&lt;&gt;"",INDEX(DataOB[],FirstRow+ROW()-7,MATCH(AE$6,DataOB[#Headers],0)),"")</f>
        <v/>
      </c>
      <c r="AF920" s="26">
        <f t="shared" si="140"/>
        <v>0</v>
      </c>
      <c r="AG920" s="31">
        <f>SUM($T920:T920)</f>
        <v>0</v>
      </c>
      <c r="AH920" s="31">
        <f>SUM($T920:U920)</f>
        <v>0</v>
      </c>
      <c r="AI920" s="31">
        <f>SUM($T920:V920)</f>
        <v>0</v>
      </c>
      <c r="AJ920" s="31">
        <f>SUM($T920:W920)</f>
        <v>0</v>
      </c>
      <c r="AK920" s="31">
        <f>SUM($T920:X920)</f>
        <v>0</v>
      </c>
      <c r="AL920" s="31">
        <f>SUM($T920:Y920)</f>
        <v>0</v>
      </c>
      <c r="AM920" s="31">
        <f>SUM($T920:Z920)</f>
        <v>0</v>
      </c>
      <c r="AN920" s="31">
        <f>SUM($T920:AA920)</f>
        <v>0</v>
      </c>
      <c r="AO920" s="31">
        <f>SUM($T920:AB920)</f>
        <v>0</v>
      </c>
      <c r="AP920" s="31">
        <f>SUM($T920:AC920)</f>
        <v>0</v>
      </c>
      <c r="AQ920" s="31">
        <f>SUM($T920:AD920)</f>
        <v>0</v>
      </c>
      <c r="AR920" s="31">
        <f>SUM($T920:AE920)</f>
        <v>0</v>
      </c>
      <c r="AS920" s="27">
        <f t="shared" si="141"/>
        <v>0</v>
      </c>
    </row>
    <row r="921" spans="2:45">
      <c r="B921" s="102" t="str">
        <f>IF(ROW()-6&gt;NumCostCenter,"",IF(CostCenter&lt;&gt;"ALL",CostCenter,DATA_LF2!B919))</f>
        <v/>
      </c>
      <c r="C921" s="153" t="str">
        <f>IF($B921&lt;&gt;"",INDEX(DataOB[],FirstRow+ROW()-7,2),"")</f>
        <v/>
      </c>
      <c r="D921" s="66" t="str">
        <f>IF($B921&lt;&gt;"",INDEX(DataOB[],FirstRow+ROW()-7,3),"")</f>
        <v/>
      </c>
      <c r="E921" s="103" t="str">
        <f>IF($B921&lt;&gt;"",INDEX(DataOB[],FirstRow+ROW()-7,6),"")</f>
        <v/>
      </c>
      <c r="F921" s="103" t="str">
        <f>IF($B921&lt;&gt;"",INDEX(DataOB[],FirstRow+ROW()-7,5),"")</f>
        <v/>
      </c>
      <c r="G921" s="58">
        <f>IF($B921&lt;&gt;"",SUMIFS(DataAct_tbl[AMOUNT],DataAct_tbl[BG CODE],Detail!$D921,DataAct_tbl[MONTH],LEFT(MonthName,3),DataAct_tbl[Dept code],$B921),0)</f>
        <v>0</v>
      </c>
      <c r="H921" s="31" t="str">
        <f t="shared" si="133"/>
        <v/>
      </c>
      <c r="I921" s="28" t="str">
        <f t="shared" si="134"/>
        <v/>
      </c>
      <c r="J921" s="32" t="str">
        <f t="shared" si="135"/>
        <v/>
      </c>
      <c r="K921" s="86"/>
      <c r="L921" s="62">
        <f>IF($B921&lt;&gt;"",SUMIFS(DataAct_tbl[AMOUNT],DataAct_tbl[BG CODE],Detail!$D921,DataAct_tbl[Check Range],"=true",DataAct_tbl[Dept code],$B921),0)</f>
        <v>0</v>
      </c>
      <c r="M921" s="63">
        <f>INDEX($AG$7:$AR$1005,ROW()-6,MATCH(MTD,$AG$6:$AR$6,0))</f>
        <v>0</v>
      </c>
      <c r="N921" s="34">
        <f t="shared" si="136"/>
        <v>0</v>
      </c>
      <c r="O921" s="64" t="str">
        <f t="shared" si="137"/>
        <v xml:space="preserve"> </v>
      </c>
      <c r="Q921" s="97">
        <f t="shared" si="138"/>
        <v>0</v>
      </c>
      <c r="R921" s="96">
        <f t="shared" si="139"/>
        <v>0</v>
      </c>
      <c r="T921" s="67" t="str">
        <f>IF($B921&lt;&gt;"",INDEX(DataOB[],FirstRow+ROW()-7,MATCH(T$6,DataOB[#Headers],0)),"")</f>
        <v/>
      </c>
      <c r="U921" s="67" t="str">
        <f>IF($B921&lt;&gt;"",INDEX(DataOB[],FirstRow+ROW()-7,MATCH(U$6,DataOB[#Headers],0)),"")</f>
        <v/>
      </c>
      <c r="V921" s="67" t="str">
        <f>IF($B921&lt;&gt;"",INDEX(DataOB[],FirstRow+ROW()-7,MATCH(V$6,DataOB[#Headers],0)),"")</f>
        <v/>
      </c>
      <c r="W921" s="67" t="str">
        <f>IF($B921&lt;&gt;"",INDEX(DataOB[],FirstRow+ROW()-7,MATCH(W$6,DataOB[#Headers],0)),"")</f>
        <v/>
      </c>
      <c r="X921" s="67" t="str">
        <f>IF($B921&lt;&gt;"",INDEX(DataOB[],FirstRow+ROW()-7,MATCH(X$6,DataOB[#Headers],0)),"")</f>
        <v/>
      </c>
      <c r="Y921" s="67" t="str">
        <f>IF($B921&lt;&gt;"",INDEX(DataOB[],FirstRow+ROW()-7,MATCH(Y$6,DataOB[#Headers],0)),"")</f>
        <v/>
      </c>
      <c r="Z921" s="67" t="str">
        <f>IF($B921&lt;&gt;"",INDEX(DataOB[],FirstRow+ROW()-7,MATCH(Z$6,DataOB[#Headers],0)),"")</f>
        <v/>
      </c>
      <c r="AA921" s="67" t="str">
        <f>IF($B921&lt;&gt;"",INDEX(DataOB[],FirstRow+ROW()-7,MATCH(AA$6,DataOB[#Headers],0)),"")</f>
        <v/>
      </c>
      <c r="AB921" s="67" t="str">
        <f>IF($B921&lt;&gt;"",INDEX(DataOB[],FirstRow+ROW()-7,MATCH(AB$6,DataOB[#Headers],0)),"")</f>
        <v/>
      </c>
      <c r="AC921" s="67" t="str">
        <f>IF($B921&lt;&gt;"",INDEX(DataOB[],FirstRow+ROW()-7,MATCH(AC$6,DataOB[#Headers],0)),"")</f>
        <v/>
      </c>
      <c r="AD921" s="67" t="str">
        <f>IF($B921&lt;&gt;"",INDEX(DataOB[],FirstRow+ROW()-7,MATCH(AD$6,DataOB[#Headers],0)),"")</f>
        <v/>
      </c>
      <c r="AE921" s="67" t="str">
        <f>IF($B921&lt;&gt;"",INDEX(DataOB[],FirstRow+ROW()-7,MATCH(AE$6,DataOB[#Headers],0)),"")</f>
        <v/>
      </c>
      <c r="AF921" s="26">
        <f t="shared" si="140"/>
        <v>0</v>
      </c>
      <c r="AG921" s="31">
        <f>SUM($T921:T921)</f>
        <v>0</v>
      </c>
      <c r="AH921" s="31">
        <f>SUM($T921:U921)</f>
        <v>0</v>
      </c>
      <c r="AI921" s="31">
        <f>SUM($T921:V921)</f>
        <v>0</v>
      </c>
      <c r="AJ921" s="31">
        <f>SUM($T921:W921)</f>
        <v>0</v>
      </c>
      <c r="AK921" s="31">
        <f>SUM($T921:X921)</f>
        <v>0</v>
      </c>
      <c r="AL921" s="31">
        <f>SUM($T921:Y921)</f>
        <v>0</v>
      </c>
      <c r="AM921" s="31">
        <f>SUM($T921:Z921)</f>
        <v>0</v>
      </c>
      <c r="AN921" s="31">
        <f>SUM($T921:AA921)</f>
        <v>0</v>
      </c>
      <c r="AO921" s="31">
        <f>SUM($T921:AB921)</f>
        <v>0</v>
      </c>
      <c r="AP921" s="31">
        <f>SUM($T921:AC921)</f>
        <v>0</v>
      </c>
      <c r="AQ921" s="31">
        <f>SUM($T921:AD921)</f>
        <v>0</v>
      </c>
      <c r="AR921" s="31">
        <f>SUM($T921:AE921)</f>
        <v>0</v>
      </c>
      <c r="AS921" s="27">
        <f t="shared" si="141"/>
        <v>0</v>
      </c>
    </row>
    <row r="922" spans="2:45">
      <c r="B922" s="102" t="str">
        <f>IF(ROW()-6&gt;NumCostCenter,"",IF(CostCenter&lt;&gt;"ALL",CostCenter,DATA_LF2!B920))</f>
        <v/>
      </c>
      <c r="C922" s="153" t="str">
        <f>IF($B922&lt;&gt;"",INDEX(DataOB[],FirstRow+ROW()-7,2),"")</f>
        <v/>
      </c>
      <c r="D922" s="66" t="str">
        <f>IF($B922&lt;&gt;"",INDEX(DataOB[],FirstRow+ROW()-7,3),"")</f>
        <v/>
      </c>
      <c r="E922" s="103" t="str">
        <f>IF($B922&lt;&gt;"",INDEX(DataOB[],FirstRow+ROW()-7,6),"")</f>
        <v/>
      </c>
      <c r="F922" s="103" t="str">
        <f>IF($B922&lt;&gt;"",INDEX(DataOB[],FirstRow+ROW()-7,5),"")</f>
        <v/>
      </c>
      <c r="G922" s="58">
        <f>IF($B922&lt;&gt;"",SUMIFS(DataAct_tbl[AMOUNT],DataAct_tbl[BG CODE],Detail!$D922,DataAct_tbl[MONTH],LEFT(MonthName,3),DataAct_tbl[Dept code],$B922),0)</f>
        <v>0</v>
      </c>
      <c r="H922" s="31" t="str">
        <f t="shared" si="133"/>
        <v/>
      </c>
      <c r="I922" s="28" t="str">
        <f t="shared" si="134"/>
        <v/>
      </c>
      <c r="J922" s="32" t="str">
        <f t="shared" si="135"/>
        <v/>
      </c>
      <c r="K922" s="86"/>
      <c r="L922" s="62">
        <f>IF($B922&lt;&gt;"",SUMIFS(DataAct_tbl[AMOUNT],DataAct_tbl[BG CODE],Detail!$D922,DataAct_tbl[Check Range],"=true",DataAct_tbl[Dept code],$B922),0)</f>
        <v>0</v>
      </c>
      <c r="M922" s="63">
        <f>INDEX($AG$7:$AR$1005,ROW()-6,MATCH(MTD,$AG$6:$AR$6,0))</f>
        <v>0</v>
      </c>
      <c r="N922" s="34">
        <f t="shared" si="136"/>
        <v>0</v>
      </c>
      <c r="O922" s="64" t="str">
        <f t="shared" si="137"/>
        <v xml:space="preserve"> </v>
      </c>
      <c r="Q922" s="97">
        <f t="shared" si="138"/>
        <v>0</v>
      </c>
      <c r="R922" s="96">
        <f t="shared" si="139"/>
        <v>0</v>
      </c>
      <c r="T922" s="67" t="str">
        <f>IF($B922&lt;&gt;"",INDEX(DataOB[],FirstRow+ROW()-7,MATCH(T$6,DataOB[#Headers],0)),"")</f>
        <v/>
      </c>
      <c r="U922" s="67" t="str">
        <f>IF($B922&lt;&gt;"",INDEX(DataOB[],FirstRow+ROW()-7,MATCH(U$6,DataOB[#Headers],0)),"")</f>
        <v/>
      </c>
      <c r="V922" s="67" t="str">
        <f>IF($B922&lt;&gt;"",INDEX(DataOB[],FirstRow+ROW()-7,MATCH(V$6,DataOB[#Headers],0)),"")</f>
        <v/>
      </c>
      <c r="W922" s="67" t="str">
        <f>IF($B922&lt;&gt;"",INDEX(DataOB[],FirstRow+ROW()-7,MATCH(W$6,DataOB[#Headers],0)),"")</f>
        <v/>
      </c>
      <c r="X922" s="67" t="str">
        <f>IF($B922&lt;&gt;"",INDEX(DataOB[],FirstRow+ROW()-7,MATCH(X$6,DataOB[#Headers],0)),"")</f>
        <v/>
      </c>
      <c r="Y922" s="67" t="str">
        <f>IF($B922&lt;&gt;"",INDEX(DataOB[],FirstRow+ROW()-7,MATCH(Y$6,DataOB[#Headers],0)),"")</f>
        <v/>
      </c>
      <c r="Z922" s="67" t="str">
        <f>IF($B922&lt;&gt;"",INDEX(DataOB[],FirstRow+ROW()-7,MATCH(Z$6,DataOB[#Headers],0)),"")</f>
        <v/>
      </c>
      <c r="AA922" s="67" t="str">
        <f>IF($B922&lt;&gt;"",INDEX(DataOB[],FirstRow+ROW()-7,MATCH(AA$6,DataOB[#Headers],0)),"")</f>
        <v/>
      </c>
      <c r="AB922" s="67" t="str">
        <f>IF($B922&lt;&gt;"",INDEX(DataOB[],FirstRow+ROW()-7,MATCH(AB$6,DataOB[#Headers],0)),"")</f>
        <v/>
      </c>
      <c r="AC922" s="67" t="str">
        <f>IF($B922&lt;&gt;"",INDEX(DataOB[],FirstRow+ROW()-7,MATCH(AC$6,DataOB[#Headers],0)),"")</f>
        <v/>
      </c>
      <c r="AD922" s="67" t="str">
        <f>IF($B922&lt;&gt;"",INDEX(DataOB[],FirstRow+ROW()-7,MATCH(AD$6,DataOB[#Headers],0)),"")</f>
        <v/>
      </c>
      <c r="AE922" s="67" t="str">
        <f>IF($B922&lt;&gt;"",INDEX(DataOB[],FirstRow+ROW()-7,MATCH(AE$6,DataOB[#Headers],0)),"")</f>
        <v/>
      </c>
      <c r="AF922" s="26">
        <f t="shared" si="140"/>
        <v>0</v>
      </c>
      <c r="AG922" s="31">
        <f>SUM($T922:T922)</f>
        <v>0</v>
      </c>
      <c r="AH922" s="31">
        <f>SUM($T922:U922)</f>
        <v>0</v>
      </c>
      <c r="AI922" s="31">
        <f>SUM($T922:V922)</f>
        <v>0</v>
      </c>
      <c r="AJ922" s="31">
        <f>SUM($T922:W922)</f>
        <v>0</v>
      </c>
      <c r="AK922" s="31">
        <f>SUM($T922:X922)</f>
        <v>0</v>
      </c>
      <c r="AL922" s="31">
        <f>SUM($T922:Y922)</f>
        <v>0</v>
      </c>
      <c r="AM922" s="31">
        <f>SUM($T922:Z922)</f>
        <v>0</v>
      </c>
      <c r="AN922" s="31">
        <f>SUM($T922:AA922)</f>
        <v>0</v>
      </c>
      <c r="AO922" s="31">
        <f>SUM($T922:AB922)</f>
        <v>0</v>
      </c>
      <c r="AP922" s="31">
        <f>SUM($T922:AC922)</f>
        <v>0</v>
      </c>
      <c r="AQ922" s="31">
        <f>SUM($T922:AD922)</f>
        <v>0</v>
      </c>
      <c r="AR922" s="31">
        <f>SUM($T922:AE922)</f>
        <v>0</v>
      </c>
      <c r="AS922" s="27">
        <f t="shared" si="141"/>
        <v>0</v>
      </c>
    </row>
    <row r="923" spans="2:45">
      <c r="B923" s="102" t="str">
        <f>IF(ROW()-6&gt;NumCostCenter,"",IF(CostCenter&lt;&gt;"ALL",CostCenter,DATA_LF2!B921))</f>
        <v/>
      </c>
      <c r="C923" s="153" t="str">
        <f>IF($B923&lt;&gt;"",INDEX(DataOB[],FirstRow+ROW()-7,2),"")</f>
        <v/>
      </c>
      <c r="D923" s="66" t="str">
        <f>IF($B923&lt;&gt;"",INDEX(DataOB[],FirstRow+ROW()-7,3),"")</f>
        <v/>
      </c>
      <c r="E923" s="103" t="str">
        <f>IF($B923&lt;&gt;"",INDEX(DataOB[],FirstRow+ROW()-7,6),"")</f>
        <v/>
      </c>
      <c r="F923" s="103" t="str">
        <f>IF($B923&lt;&gt;"",INDEX(DataOB[],FirstRow+ROW()-7,5),"")</f>
        <v/>
      </c>
      <c r="G923" s="58">
        <f>IF($B923&lt;&gt;"",SUMIFS(DataAct_tbl[AMOUNT],DataAct_tbl[BG CODE],Detail!$D923,DataAct_tbl[MONTH],LEFT(MonthName,3),DataAct_tbl[Dept code],$B923),0)</f>
        <v>0</v>
      </c>
      <c r="H923" s="31" t="str">
        <f t="shared" si="133"/>
        <v/>
      </c>
      <c r="I923" s="28" t="str">
        <f t="shared" si="134"/>
        <v/>
      </c>
      <c r="J923" s="32" t="str">
        <f t="shared" si="135"/>
        <v/>
      </c>
      <c r="K923" s="86"/>
      <c r="L923" s="62">
        <f>IF($B923&lt;&gt;"",SUMIFS(DataAct_tbl[AMOUNT],DataAct_tbl[BG CODE],Detail!$D923,DataAct_tbl[Check Range],"=true",DataAct_tbl[Dept code],$B923),0)</f>
        <v>0</v>
      </c>
      <c r="M923" s="63">
        <f>INDEX($AG$7:$AR$1005,ROW()-6,MATCH(MTD,$AG$6:$AR$6,0))</f>
        <v>0</v>
      </c>
      <c r="N923" s="34">
        <f t="shared" si="136"/>
        <v>0</v>
      </c>
      <c r="O923" s="64" t="str">
        <f t="shared" si="137"/>
        <v xml:space="preserve"> </v>
      </c>
      <c r="Q923" s="97">
        <f t="shared" si="138"/>
        <v>0</v>
      </c>
      <c r="R923" s="96">
        <f t="shared" si="139"/>
        <v>0</v>
      </c>
      <c r="T923" s="67" t="str">
        <f>IF($B923&lt;&gt;"",INDEX(DataOB[],FirstRow+ROW()-7,MATCH(T$6,DataOB[#Headers],0)),"")</f>
        <v/>
      </c>
      <c r="U923" s="67" t="str">
        <f>IF($B923&lt;&gt;"",INDEX(DataOB[],FirstRow+ROW()-7,MATCH(U$6,DataOB[#Headers],0)),"")</f>
        <v/>
      </c>
      <c r="V923" s="67" t="str">
        <f>IF($B923&lt;&gt;"",INDEX(DataOB[],FirstRow+ROW()-7,MATCH(V$6,DataOB[#Headers],0)),"")</f>
        <v/>
      </c>
      <c r="W923" s="67" t="str">
        <f>IF($B923&lt;&gt;"",INDEX(DataOB[],FirstRow+ROW()-7,MATCH(W$6,DataOB[#Headers],0)),"")</f>
        <v/>
      </c>
      <c r="X923" s="67" t="str">
        <f>IF($B923&lt;&gt;"",INDEX(DataOB[],FirstRow+ROW()-7,MATCH(X$6,DataOB[#Headers],0)),"")</f>
        <v/>
      </c>
      <c r="Y923" s="67" t="str">
        <f>IF($B923&lt;&gt;"",INDEX(DataOB[],FirstRow+ROW()-7,MATCH(Y$6,DataOB[#Headers],0)),"")</f>
        <v/>
      </c>
      <c r="Z923" s="67" t="str">
        <f>IF($B923&lt;&gt;"",INDEX(DataOB[],FirstRow+ROW()-7,MATCH(Z$6,DataOB[#Headers],0)),"")</f>
        <v/>
      </c>
      <c r="AA923" s="67" t="str">
        <f>IF($B923&lt;&gt;"",INDEX(DataOB[],FirstRow+ROW()-7,MATCH(AA$6,DataOB[#Headers],0)),"")</f>
        <v/>
      </c>
      <c r="AB923" s="67" t="str">
        <f>IF($B923&lt;&gt;"",INDEX(DataOB[],FirstRow+ROW()-7,MATCH(AB$6,DataOB[#Headers],0)),"")</f>
        <v/>
      </c>
      <c r="AC923" s="67" t="str">
        <f>IF($B923&lt;&gt;"",INDEX(DataOB[],FirstRow+ROW()-7,MATCH(AC$6,DataOB[#Headers],0)),"")</f>
        <v/>
      </c>
      <c r="AD923" s="67" t="str">
        <f>IF($B923&lt;&gt;"",INDEX(DataOB[],FirstRow+ROW()-7,MATCH(AD$6,DataOB[#Headers],0)),"")</f>
        <v/>
      </c>
      <c r="AE923" s="67" t="str">
        <f>IF($B923&lt;&gt;"",INDEX(DataOB[],FirstRow+ROW()-7,MATCH(AE$6,DataOB[#Headers],0)),"")</f>
        <v/>
      </c>
      <c r="AF923" s="26">
        <f t="shared" si="140"/>
        <v>0</v>
      </c>
      <c r="AG923" s="31">
        <f>SUM($T923:T923)</f>
        <v>0</v>
      </c>
      <c r="AH923" s="31">
        <f>SUM($T923:U923)</f>
        <v>0</v>
      </c>
      <c r="AI923" s="31">
        <f>SUM($T923:V923)</f>
        <v>0</v>
      </c>
      <c r="AJ923" s="31">
        <f>SUM($T923:W923)</f>
        <v>0</v>
      </c>
      <c r="AK923" s="31">
        <f>SUM($T923:X923)</f>
        <v>0</v>
      </c>
      <c r="AL923" s="31">
        <f>SUM($T923:Y923)</f>
        <v>0</v>
      </c>
      <c r="AM923" s="31">
        <f>SUM($T923:Z923)</f>
        <v>0</v>
      </c>
      <c r="AN923" s="31">
        <f>SUM($T923:AA923)</f>
        <v>0</v>
      </c>
      <c r="AO923" s="31">
        <f>SUM($T923:AB923)</f>
        <v>0</v>
      </c>
      <c r="AP923" s="31">
        <f>SUM($T923:AC923)</f>
        <v>0</v>
      </c>
      <c r="AQ923" s="31">
        <f>SUM($T923:AD923)</f>
        <v>0</v>
      </c>
      <c r="AR923" s="31">
        <f>SUM($T923:AE923)</f>
        <v>0</v>
      </c>
      <c r="AS923" s="27">
        <f t="shared" si="141"/>
        <v>0</v>
      </c>
    </row>
    <row r="924" spans="2:45">
      <c r="B924" s="102" t="str">
        <f>IF(ROW()-6&gt;NumCostCenter,"",IF(CostCenter&lt;&gt;"ALL",CostCenter,DATA_LF2!B922))</f>
        <v/>
      </c>
      <c r="C924" s="153" t="str">
        <f>IF($B924&lt;&gt;"",INDEX(DataOB[],FirstRow+ROW()-7,2),"")</f>
        <v/>
      </c>
      <c r="D924" s="66" t="str">
        <f>IF($B924&lt;&gt;"",INDEX(DataOB[],FirstRow+ROW()-7,3),"")</f>
        <v/>
      </c>
      <c r="E924" s="103" t="str">
        <f>IF($B924&lt;&gt;"",INDEX(DataOB[],FirstRow+ROW()-7,6),"")</f>
        <v/>
      </c>
      <c r="F924" s="103" t="str">
        <f>IF($B924&lt;&gt;"",INDEX(DataOB[],FirstRow+ROW()-7,5),"")</f>
        <v/>
      </c>
      <c r="G924" s="58">
        <f>IF($B924&lt;&gt;"",SUMIFS(DataAct_tbl[AMOUNT],DataAct_tbl[BG CODE],Detail!$D924,DataAct_tbl[MONTH],LEFT(MonthName,3),DataAct_tbl[Dept code],$B924),0)</f>
        <v>0</v>
      </c>
      <c r="H924" s="31" t="str">
        <f t="shared" si="133"/>
        <v/>
      </c>
      <c r="I924" s="28" t="str">
        <f t="shared" si="134"/>
        <v/>
      </c>
      <c r="J924" s="32" t="str">
        <f t="shared" si="135"/>
        <v/>
      </c>
      <c r="K924" s="86"/>
      <c r="L924" s="62">
        <f>IF($B924&lt;&gt;"",SUMIFS(DataAct_tbl[AMOUNT],DataAct_tbl[BG CODE],Detail!$D924,DataAct_tbl[Check Range],"=true",DataAct_tbl[Dept code],$B924),0)</f>
        <v>0</v>
      </c>
      <c r="M924" s="63">
        <f>INDEX($AG$7:$AR$1005,ROW()-6,MATCH(MTD,$AG$6:$AR$6,0))</f>
        <v>0</v>
      </c>
      <c r="N924" s="34">
        <f t="shared" si="136"/>
        <v>0</v>
      </c>
      <c r="O924" s="64" t="str">
        <f t="shared" si="137"/>
        <v xml:space="preserve"> </v>
      </c>
      <c r="Q924" s="97">
        <f t="shared" si="138"/>
        <v>0</v>
      </c>
      <c r="R924" s="96">
        <f t="shared" si="139"/>
        <v>0</v>
      </c>
      <c r="T924" s="67" t="str">
        <f>IF($B924&lt;&gt;"",INDEX(DataOB[],FirstRow+ROW()-7,MATCH(T$6,DataOB[#Headers],0)),"")</f>
        <v/>
      </c>
      <c r="U924" s="67" t="str">
        <f>IF($B924&lt;&gt;"",INDEX(DataOB[],FirstRow+ROW()-7,MATCH(U$6,DataOB[#Headers],0)),"")</f>
        <v/>
      </c>
      <c r="V924" s="67" t="str">
        <f>IF($B924&lt;&gt;"",INDEX(DataOB[],FirstRow+ROW()-7,MATCH(V$6,DataOB[#Headers],0)),"")</f>
        <v/>
      </c>
      <c r="W924" s="67" t="str">
        <f>IF($B924&lt;&gt;"",INDEX(DataOB[],FirstRow+ROW()-7,MATCH(W$6,DataOB[#Headers],0)),"")</f>
        <v/>
      </c>
      <c r="X924" s="67" t="str">
        <f>IF($B924&lt;&gt;"",INDEX(DataOB[],FirstRow+ROW()-7,MATCH(X$6,DataOB[#Headers],0)),"")</f>
        <v/>
      </c>
      <c r="Y924" s="67" t="str">
        <f>IF($B924&lt;&gt;"",INDEX(DataOB[],FirstRow+ROW()-7,MATCH(Y$6,DataOB[#Headers],0)),"")</f>
        <v/>
      </c>
      <c r="Z924" s="67" t="str">
        <f>IF($B924&lt;&gt;"",INDEX(DataOB[],FirstRow+ROW()-7,MATCH(Z$6,DataOB[#Headers],0)),"")</f>
        <v/>
      </c>
      <c r="AA924" s="67" t="str">
        <f>IF($B924&lt;&gt;"",INDEX(DataOB[],FirstRow+ROW()-7,MATCH(AA$6,DataOB[#Headers],0)),"")</f>
        <v/>
      </c>
      <c r="AB924" s="67" t="str">
        <f>IF($B924&lt;&gt;"",INDEX(DataOB[],FirstRow+ROW()-7,MATCH(AB$6,DataOB[#Headers],0)),"")</f>
        <v/>
      </c>
      <c r="AC924" s="67" t="str">
        <f>IF($B924&lt;&gt;"",INDEX(DataOB[],FirstRow+ROW()-7,MATCH(AC$6,DataOB[#Headers],0)),"")</f>
        <v/>
      </c>
      <c r="AD924" s="67" t="str">
        <f>IF($B924&lt;&gt;"",INDEX(DataOB[],FirstRow+ROW()-7,MATCH(AD$6,DataOB[#Headers],0)),"")</f>
        <v/>
      </c>
      <c r="AE924" s="67" t="str">
        <f>IF($B924&lt;&gt;"",INDEX(DataOB[],FirstRow+ROW()-7,MATCH(AE$6,DataOB[#Headers],0)),"")</f>
        <v/>
      </c>
      <c r="AF924" s="26">
        <f t="shared" si="140"/>
        <v>0</v>
      </c>
      <c r="AG924" s="31">
        <f>SUM($T924:T924)</f>
        <v>0</v>
      </c>
      <c r="AH924" s="31">
        <f>SUM($T924:U924)</f>
        <v>0</v>
      </c>
      <c r="AI924" s="31">
        <f>SUM($T924:V924)</f>
        <v>0</v>
      </c>
      <c r="AJ924" s="31">
        <f>SUM($T924:W924)</f>
        <v>0</v>
      </c>
      <c r="AK924" s="31">
        <f>SUM($T924:X924)</f>
        <v>0</v>
      </c>
      <c r="AL924" s="31">
        <f>SUM($T924:Y924)</f>
        <v>0</v>
      </c>
      <c r="AM924" s="31">
        <f>SUM($T924:Z924)</f>
        <v>0</v>
      </c>
      <c r="AN924" s="31">
        <f>SUM($T924:AA924)</f>
        <v>0</v>
      </c>
      <c r="AO924" s="31">
        <f>SUM($T924:AB924)</f>
        <v>0</v>
      </c>
      <c r="AP924" s="31">
        <f>SUM($T924:AC924)</f>
        <v>0</v>
      </c>
      <c r="AQ924" s="31">
        <f>SUM($T924:AD924)</f>
        <v>0</v>
      </c>
      <c r="AR924" s="31">
        <f>SUM($T924:AE924)</f>
        <v>0</v>
      </c>
      <c r="AS924" s="27">
        <f t="shared" si="141"/>
        <v>0</v>
      </c>
    </row>
    <row r="925" spans="2:45">
      <c r="B925" s="102" t="str">
        <f>IF(ROW()-6&gt;NumCostCenter,"",IF(CostCenter&lt;&gt;"ALL",CostCenter,DATA_LF2!B923))</f>
        <v/>
      </c>
      <c r="C925" s="153" t="str">
        <f>IF($B925&lt;&gt;"",INDEX(DataOB[],FirstRow+ROW()-7,2),"")</f>
        <v/>
      </c>
      <c r="D925" s="66" t="str">
        <f>IF($B925&lt;&gt;"",INDEX(DataOB[],FirstRow+ROW()-7,3),"")</f>
        <v/>
      </c>
      <c r="E925" s="103" t="str">
        <f>IF($B925&lt;&gt;"",INDEX(DataOB[],FirstRow+ROW()-7,6),"")</f>
        <v/>
      </c>
      <c r="F925" s="103" t="str">
        <f>IF($B925&lt;&gt;"",INDEX(DataOB[],FirstRow+ROW()-7,5),"")</f>
        <v/>
      </c>
      <c r="G925" s="58">
        <f>IF($B925&lt;&gt;"",SUMIFS(DataAct_tbl[AMOUNT],DataAct_tbl[BG CODE],Detail!$D925,DataAct_tbl[MONTH],LEFT(MonthName,3),DataAct_tbl[Dept code],$B925),0)</f>
        <v>0</v>
      </c>
      <c r="H925" s="31" t="str">
        <f t="shared" si="133"/>
        <v/>
      </c>
      <c r="I925" s="28" t="str">
        <f t="shared" si="134"/>
        <v/>
      </c>
      <c r="J925" s="32" t="str">
        <f t="shared" si="135"/>
        <v/>
      </c>
      <c r="K925" s="86"/>
      <c r="L925" s="62">
        <f>IF($B925&lt;&gt;"",SUMIFS(DataAct_tbl[AMOUNT],DataAct_tbl[BG CODE],Detail!$D925,DataAct_tbl[Check Range],"=true",DataAct_tbl[Dept code],$B925),0)</f>
        <v>0</v>
      </c>
      <c r="M925" s="63">
        <f>INDEX($AG$7:$AR$1005,ROW()-6,MATCH(MTD,$AG$6:$AR$6,0))</f>
        <v>0</v>
      </c>
      <c r="N925" s="34">
        <f t="shared" si="136"/>
        <v>0</v>
      </c>
      <c r="O925" s="64" t="str">
        <f t="shared" si="137"/>
        <v xml:space="preserve"> </v>
      </c>
      <c r="Q925" s="97">
        <f t="shared" si="138"/>
        <v>0</v>
      </c>
      <c r="R925" s="96">
        <f t="shared" si="139"/>
        <v>0</v>
      </c>
      <c r="T925" s="67" t="str">
        <f>IF($B925&lt;&gt;"",INDEX(DataOB[],FirstRow+ROW()-7,MATCH(T$6,DataOB[#Headers],0)),"")</f>
        <v/>
      </c>
      <c r="U925" s="67" t="str">
        <f>IF($B925&lt;&gt;"",INDEX(DataOB[],FirstRow+ROW()-7,MATCH(U$6,DataOB[#Headers],0)),"")</f>
        <v/>
      </c>
      <c r="V925" s="67" t="str">
        <f>IF($B925&lt;&gt;"",INDEX(DataOB[],FirstRow+ROW()-7,MATCH(V$6,DataOB[#Headers],0)),"")</f>
        <v/>
      </c>
      <c r="W925" s="67" t="str">
        <f>IF($B925&lt;&gt;"",INDEX(DataOB[],FirstRow+ROW()-7,MATCH(W$6,DataOB[#Headers],0)),"")</f>
        <v/>
      </c>
      <c r="X925" s="67" t="str">
        <f>IF($B925&lt;&gt;"",INDEX(DataOB[],FirstRow+ROW()-7,MATCH(X$6,DataOB[#Headers],0)),"")</f>
        <v/>
      </c>
      <c r="Y925" s="67" t="str">
        <f>IF($B925&lt;&gt;"",INDEX(DataOB[],FirstRow+ROW()-7,MATCH(Y$6,DataOB[#Headers],0)),"")</f>
        <v/>
      </c>
      <c r="Z925" s="67" t="str">
        <f>IF($B925&lt;&gt;"",INDEX(DataOB[],FirstRow+ROW()-7,MATCH(Z$6,DataOB[#Headers],0)),"")</f>
        <v/>
      </c>
      <c r="AA925" s="67" t="str">
        <f>IF($B925&lt;&gt;"",INDEX(DataOB[],FirstRow+ROW()-7,MATCH(AA$6,DataOB[#Headers],0)),"")</f>
        <v/>
      </c>
      <c r="AB925" s="67" t="str">
        <f>IF($B925&lt;&gt;"",INDEX(DataOB[],FirstRow+ROW()-7,MATCH(AB$6,DataOB[#Headers],0)),"")</f>
        <v/>
      </c>
      <c r="AC925" s="67" t="str">
        <f>IF($B925&lt;&gt;"",INDEX(DataOB[],FirstRow+ROW()-7,MATCH(AC$6,DataOB[#Headers],0)),"")</f>
        <v/>
      </c>
      <c r="AD925" s="67" t="str">
        <f>IF($B925&lt;&gt;"",INDEX(DataOB[],FirstRow+ROW()-7,MATCH(AD$6,DataOB[#Headers],0)),"")</f>
        <v/>
      </c>
      <c r="AE925" s="67" t="str">
        <f>IF($B925&lt;&gt;"",INDEX(DataOB[],FirstRow+ROW()-7,MATCH(AE$6,DataOB[#Headers],0)),"")</f>
        <v/>
      </c>
      <c r="AF925" s="26">
        <f t="shared" si="140"/>
        <v>0</v>
      </c>
      <c r="AG925" s="31">
        <f>SUM($T925:T925)</f>
        <v>0</v>
      </c>
      <c r="AH925" s="31">
        <f>SUM($T925:U925)</f>
        <v>0</v>
      </c>
      <c r="AI925" s="31">
        <f>SUM($T925:V925)</f>
        <v>0</v>
      </c>
      <c r="AJ925" s="31">
        <f>SUM($T925:W925)</f>
        <v>0</v>
      </c>
      <c r="AK925" s="31">
        <f>SUM($T925:X925)</f>
        <v>0</v>
      </c>
      <c r="AL925" s="31">
        <f>SUM($T925:Y925)</f>
        <v>0</v>
      </c>
      <c r="AM925" s="31">
        <f>SUM($T925:Z925)</f>
        <v>0</v>
      </c>
      <c r="AN925" s="31">
        <f>SUM($T925:AA925)</f>
        <v>0</v>
      </c>
      <c r="AO925" s="31">
        <f>SUM($T925:AB925)</f>
        <v>0</v>
      </c>
      <c r="AP925" s="31">
        <f>SUM($T925:AC925)</f>
        <v>0</v>
      </c>
      <c r="AQ925" s="31">
        <f>SUM($T925:AD925)</f>
        <v>0</v>
      </c>
      <c r="AR925" s="31">
        <f>SUM($T925:AE925)</f>
        <v>0</v>
      </c>
      <c r="AS925" s="27">
        <f t="shared" si="141"/>
        <v>0</v>
      </c>
    </row>
    <row r="926" spans="2:45">
      <c r="B926" s="102" t="str">
        <f>IF(ROW()-6&gt;NumCostCenter,"",IF(CostCenter&lt;&gt;"ALL",CostCenter,DATA_LF2!B924))</f>
        <v/>
      </c>
      <c r="C926" s="153" t="str">
        <f>IF($B926&lt;&gt;"",INDEX(DataOB[],FirstRow+ROW()-7,2),"")</f>
        <v/>
      </c>
      <c r="D926" s="66" t="str">
        <f>IF($B926&lt;&gt;"",INDEX(DataOB[],FirstRow+ROW()-7,3),"")</f>
        <v/>
      </c>
      <c r="E926" s="103" t="str">
        <f>IF($B926&lt;&gt;"",INDEX(DataOB[],FirstRow+ROW()-7,6),"")</f>
        <v/>
      </c>
      <c r="F926" s="103" t="str">
        <f>IF($B926&lt;&gt;"",INDEX(DataOB[],FirstRow+ROW()-7,5),"")</f>
        <v/>
      </c>
      <c r="G926" s="58">
        <f>IF($B926&lt;&gt;"",SUMIFS(DataAct_tbl[AMOUNT],DataAct_tbl[BG CODE],Detail!$D926,DataAct_tbl[MONTH],LEFT(MonthName,3),DataAct_tbl[Dept code],$B926),0)</f>
        <v>0</v>
      </c>
      <c r="H926" s="31" t="str">
        <f t="shared" si="133"/>
        <v/>
      </c>
      <c r="I926" s="28" t="str">
        <f t="shared" si="134"/>
        <v/>
      </c>
      <c r="J926" s="32" t="str">
        <f t="shared" si="135"/>
        <v/>
      </c>
      <c r="K926" s="86"/>
      <c r="L926" s="62">
        <f>IF($B926&lt;&gt;"",SUMIFS(DataAct_tbl[AMOUNT],DataAct_tbl[BG CODE],Detail!$D926,DataAct_tbl[Check Range],"=true",DataAct_tbl[Dept code],$B926),0)</f>
        <v>0</v>
      </c>
      <c r="M926" s="63">
        <f>INDEX($AG$7:$AR$1005,ROW()-6,MATCH(MTD,$AG$6:$AR$6,0))</f>
        <v>0</v>
      </c>
      <c r="N926" s="34">
        <f t="shared" si="136"/>
        <v>0</v>
      </c>
      <c r="O926" s="64" t="str">
        <f t="shared" si="137"/>
        <v xml:space="preserve"> </v>
      </c>
      <c r="Q926" s="97">
        <f t="shared" si="138"/>
        <v>0</v>
      </c>
      <c r="R926" s="96">
        <f t="shared" si="139"/>
        <v>0</v>
      </c>
      <c r="T926" s="67" t="str">
        <f>IF($B926&lt;&gt;"",INDEX(DataOB[],FirstRow+ROW()-7,MATCH(T$6,DataOB[#Headers],0)),"")</f>
        <v/>
      </c>
      <c r="U926" s="67" t="str">
        <f>IF($B926&lt;&gt;"",INDEX(DataOB[],FirstRow+ROW()-7,MATCH(U$6,DataOB[#Headers],0)),"")</f>
        <v/>
      </c>
      <c r="V926" s="67" t="str">
        <f>IF($B926&lt;&gt;"",INDEX(DataOB[],FirstRow+ROW()-7,MATCH(V$6,DataOB[#Headers],0)),"")</f>
        <v/>
      </c>
      <c r="W926" s="67" t="str">
        <f>IF($B926&lt;&gt;"",INDEX(DataOB[],FirstRow+ROW()-7,MATCH(W$6,DataOB[#Headers],0)),"")</f>
        <v/>
      </c>
      <c r="X926" s="67" t="str">
        <f>IF($B926&lt;&gt;"",INDEX(DataOB[],FirstRow+ROW()-7,MATCH(X$6,DataOB[#Headers],0)),"")</f>
        <v/>
      </c>
      <c r="Y926" s="67" t="str">
        <f>IF($B926&lt;&gt;"",INDEX(DataOB[],FirstRow+ROW()-7,MATCH(Y$6,DataOB[#Headers],0)),"")</f>
        <v/>
      </c>
      <c r="Z926" s="67" t="str">
        <f>IF($B926&lt;&gt;"",INDEX(DataOB[],FirstRow+ROW()-7,MATCH(Z$6,DataOB[#Headers],0)),"")</f>
        <v/>
      </c>
      <c r="AA926" s="67" t="str">
        <f>IF($B926&lt;&gt;"",INDEX(DataOB[],FirstRow+ROW()-7,MATCH(AA$6,DataOB[#Headers],0)),"")</f>
        <v/>
      </c>
      <c r="AB926" s="67" t="str">
        <f>IF($B926&lt;&gt;"",INDEX(DataOB[],FirstRow+ROW()-7,MATCH(AB$6,DataOB[#Headers],0)),"")</f>
        <v/>
      </c>
      <c r="AC926" s="67" t="str">
        <f>IF($B926&lt;&gt;"",INDEX(DataOB[],FirstRow+ROW()-7,MATCH(AC$6,DataOB[#Headers],0)),"")</f>
        <v/>
      </c>
      <c r="AD926" s="67" t="str">
        <f>IF($B926&lt;&gt;"",INDEX(DataOB[],FirstRow+ROW()-7,MATCH(AD$6,DataOB[#Headers],0)),"")</f>
        <v/>
      </c>
      <c r="AE926" s="67" t="str">
        <f>IF($B926&lt;&gt;"",INDEX(DataOB[],FirstRow+ROW()-7,MATCH(AE$6,DataOB[#Headers],0)),"")</f>
        <v/>
      </c>
      <c r="AF926" s="26">
        <f t="shared" si="140"/>
        <v>0</v>
      </c>
      <c r="AG926" s="31">
        <f>SUM($T926:T926)</f>
        <v>0</v>
      </c>
      <c r="AH926" s="31">
        <f>SUM($T926:U926)</f>
        <v>0</v>
      </c>
      <c r="AI926" s="31">
        <f>SUM($T926:V926)</f>
        <v>0</v>
      </c>
      <c r="AJ926" s="31">
        <f>SUM($T926:W926)</f>
        <v>0</v>
      </c>
      <c r="AK926" s="31">
        <f>SUM($T926:X926)</f>
        <v>0</v>
      </c>
      <c r="AL926" s="31">
        <f>SUM($T926:Y926)</f>
        <v>0</v>
      </c>
      <c r="AM926" s="31">
        <f>SUM($T926:Z926)</f>
        <v>0</v>
      </c>
      <c r="AN926" s="31">
        <f>SUM($T926:AA926)</f>
        <v>0</v>
      </c>
      <c r="AO926" s="31">
        <f>SUM($T926:AB926)</f>
        <v>0</v>
      </c>
      <c r="AP926" s="31">
        <f>SUM($T926:AC926)</f>
        <v>0</v>
      </c>
      <c r="AQ926" s="31">
        <f>SUM($T926:AD926)</f>
        <v>0</v>
      </c>
      <c r="AR926" s="31">
        <f>SUM($T926:AE926)</f>
        <v>0</v>
      </c>
      <c r="AS926" s="27">
        <f t="shared" si="141"/>
        <v>0</v>
      </c>
    </row>
    <row r="927" spans="2:45">
      <c r="B927" s="102" t="str">
        <f>IF(ROW()-6&gt;NumCostCenter,"",IF(CostCenter&lt;&gt;"ALL",CostCenter,DATA_LF2!B925))</f>
        <v/>
      </c>
      <c r="C927" s="153" t="str">
        <f>IF($B927&lt;&gt;"",INDEX(DataOB[],FirstRow+ROW()-7,2),"")</f>
        <v/>
      </c>
      <c r="D927" s="66" t="str">
        <f>IF($B927&lt;&gt;"",INDEX(DataOB[],FirstRow+ROW()-7,3),"")</f>
        <v/>
      </c>
      <c r="E927" s="103" t="str">
        <f>IF($B927&lt;&gt;"",INDEX(DataOB[],FirstRow+ROW()-7,6),"")</f>
        <v/>
      </c>
      <c r="F927" s="103" t="str">
        <f>IF($B927&lt;&gt;"",INDEX(DataOB[],FirstRow+ROW()-7,5),"")</f>
        <v/>
      </c>
      <c r="G927" s="58">
        <f>IF($B927&lt;&gt;"",SUMIFS(DataAct_tbl[AMOUNT],DataAct_tbl[BG CODE],Detail!$D927,DataAct_tbl[MONTH],LEFT(MonthName,3),DataAct_tbl[Dept code],$B927),0)</f>
        <v>0</v>
      </c>
      <c r="H927" s="31" t="str">
        <f t="shared" si="133"/>
        <v/>
      </c>
      <c r="I927" s="28" t="str">
        <f t="shared" si="134"/>
        <v/>
      </c>
      <c r="J927" s="32" t="str">
        <f t="shared" si="135"/>
        <v/>
      </c>
      <c r="K927" s="86"/>
      <c r="L927" s="62">
        <f>IF($B927&lt;&gt;"",SUMIFS(DataAct_tbl[AMOUNT],DataAct_tbl[BG CODE],Detail!$D927,DataAct_tbl[Check Range],"=true",DataAct_tbl[Dept code],$B927),0)</f>
        <v>0</v>
      </c>
      <c r="M927" s="63">
        <f>INDEX($AG$7:$AR$1005,ROW()-6,MATCH(MTD,$AG$6:$AR$6,0))</f>
        <v>0</v>
      </c>
      <c r="N927" s="34">
        <f t="shared" si="136"/>
        <v>0</v>
      </c>
      <c r="O927" s="64" t="str">
        <f t="shared" si="137"/>
        <v xml:space="preserve"> </v>
      </c>
      <c r="Q927" s="97">
        <f t="shared" si="138"/>
        <v>0</v>
      </c>
      <c r="R927" s="96">
        <f t="shared" si="139"/>
        <v>0</v>
      </c>
      <c r="T927" s="67" t="str">
        <f>IF($B927&lt;&gt;"",INDEX(DataOB[],FirstRow+ROW()-7,MATCH(T$6,DataOB[#Headers],0)),"")</f>
        <v/>
      </c>
      <c r="U927" s="67" t="str">
        <f>IF($B927&lt;&gt;"",INDEX(DataOB[],FirstRow+ROW()-7,MATCH(U$6,DataOB[#Headers],0)),"")</f>
        <v/>
      </c>
      <c r="V927" s="67" t="str">
        <f>IF($B927&lt;&gt;"",INDEX(DataOB[],FirstRow+ROW()-7,MATCH(V$6,DataOB[#Headers],0)),"")</f>
        <v/>
      </c>
      <c r="W927" s="67" t="str">
        <f>IF($B927&lt;&gt;"",INDEX(DataOB[],FirstRow+ROW()-7,MATCH(W$6,DataOB[#Headers],0)),"")</f>
        <v/>
      </c>
      <c r="X927" s="67" t="str">
        <f>IF($B927&lt;&gt;"",INDEX(DataOB[],FirstRow+ROW()-7,MATCH(X$6,DataOB[#Headers],0)),"")</f>
        <v/>
      </c>
      <c r="Y927" s="67" t="str">
        <f>IF($B927&lt;&gt;"",INDEX(DataOB[],FirstRow+ROW()-7,MATCH(Y$6,DataOB[#Headers],0)),"")</f>
        <v/>
      </c>
      <c r="Z927" s="67" t="str">
        <f>IF($B927&lt;&gt;"",INDEX(DataOB[],FirstRow+ROW()-7,MATCH(Z$6,DataOB[#Headers],0)),"")</f>
        <v/>
      </c>
      <c r="AA927" s="67" t="str">
        <f>IF($B927&lt;&gt;"",INDEX(DataOB[],FirstRow+ROW()-7,MATCH(AA$6,DataOB[#Headers],0)),"")</f>
        <v/>
      </c>
      <c r="AB927" s="67" t="str">
        <f>IF($B927&lt;&gt;"",INDEX(DataOB[],FirstRow+ROW()-7,MATCH(AB$6,DataOB[#Headers],0)),"")</f>
        <v/>
      </c>
      <c r="AC927" s="67" t="str">
        <f>IF($B927&lt;&gt;"",INDEX(DataOB[],FirstRow+ROW()-7,MATCH(AC$6,DataOB[#Headers],0)),"")</f>
        <v/>
      </c>
      <c r="AD927" s="67" t="str">
        <f>IF($B927&lt;&gt;"",INDEX(DataOB[],FirstRow+ROW()-7,MATCH(AD$6,DataOB[#Headers],0)),"")</f>
        <v/>
      </c>
      <c r="AE927" s="67" t="str">
        <f>IF($B927&lt;&gt;"",INDEX(DataOB[],FirstRow+ROW()-7,MATCH(AE$6,DataOB[#Headers],0)),"")</f>
        <v/>
      </c>
      <c r="AF927" s="26">
        <f t="shared" si="140"/>
        <v>0</v>
      </c>
      <c r="AG927" s="31">
        <f>SUM($T927:T927)</f>
        <v>0</v>
      </c>
      <c r="AH927" s="31">
        <f>SUM($T927:U927)</f>
        <v>0</v>
      </c>
      <c r="AI927" s="31">
        <f>SUM($T927:V927)</f>
        <v>0</v>
      </c>
      <c r="AJ927" s="31">
        <f>SUM($T927:W927)</f>
        <v>0</v>
      </c>
      <c r="AK927" s="31">
        <f>SUM($T927:X927)</f>
        <v>0</v>
      </c>
      <c r="AL927" s="31">
        <f>SUM($T927:Y927)</f>
        <v>0</v>
      </c>
      <c r="AM927" s="31">
        <f>SUM($T927:Z927)</f>
        <v>0</v>
      </c>
      <c r="AN927" s="31">
        <f>SUM($T927:AA927)</f>
        <v>0</v>
      </c>
      <c r="AO927" s="31">
        <f>SUM($T927:AB927)</f>
        <v>0</v>
      </c>
      <c r="AP927" s="31">
        <f>SUM($T927:AC927)</f>
        <v>0</v>
      </c>
      <c r="AQ927" s="31">
        <f>SUM($T927:AD927)</f>
        <v>0</v>
      </c>
      <c r="AR927" s="31">
        <f>SUM($T927:AE927)</f>
        <v>0</v>
      </c>
      <c r="AS927" s="27">
        <f t="shared" si="141"/>
        <v>0</v>
      </c>
    </row>
    <row r="928" spans="2:45">
      <c r="B928" s="102" t="str">
        <f>IF(ROW()-6&gt;NumCostCenter,"",IF(CostCenter&lt;&gt;"ALL",CostCenter,DATA_LF2!B926))</f>
        <v/>
      </c>
      <c r="C928" s="153" t="str">
        <f>IF($B928&lt;&gt;"",INDEX(DataOB[],FirstRow+ROW()-7,2),"")</f>
        <v/>
      </c>
      <c r="D928" s="66" t="str">
        <f>IF($B928&lt;&gt;"",INDEX(DataOB[],FirstRow+ROW()-7,3),"")</f>
        <v/>
      </c>
      <c r="E928" s="103" t="str">
        <f>IF($B928&lt;&gt;"",INDEX(DataOB[],FirstRow+ROW()-7,6),"")</f>
        <v/>
      </c>
      <c r="F928" s="103" t="str">
        <f>IF($B928&lt;&gt;"",INDEX(DataOB[],FirstRow+ROW()-7,5),"")</f>
        <v/>
      </c>
      <c r="G928" s="58">
        <f>IF($B928&lt;&gt;"",SUMIFS(DataAct_tbl[AMOUNT],DataAct_tbl[BG CODE],Detail!$D928,DataAct_tbl[MONTH],LEFT(MonthName,3),DataAct_tbl[Dept code],$B928),0)</f>
        <v>0</v>
      </c>
      <c r="H928" s="31" t="str">
        <f t="shared" si="133"/>
        <v/>
      </c>
      <c r="I928" s="28" t="str">
        <f t="shared" si="134"/>
        <v/>
      </c>
      <c r="J928" s="32" t="str">
        <f t="shared" si="135"/>
        <v/>
      </c>
      <c r="K928" s="86"/>
      <c r="L928" s="62">
        <f>IF($B928&lt;&gt;"",SUMIFS(DataAct_tbl[AMOUNT],DataAct_tbl[BG CODE],Detail!$D928,DataAct_tbl[Check Range],"=true",DataAct_tbl[Dept code],$B928),0)</f>
        <v>0</v>
      </c>
      <c r="M928" s="63">
        <f>INDEX($AG$7:$AR$1005,ROW()-6,MATCH(MTD,$AG$6:$AR$6,0))</f>
        <v>0</v>
      </c>
      <c r="N928" s="34">
        <f t="shared" si="136"/>
        <v>0</v>
      </c>
      <c r="O928" s="64" t="str">
        <f t="shared" si="137"/>
        <v xml:space="preserve"> </v>
      </c>
      <c r="Q928" s="97">
        <f t="shared" si="138"/>
        <v>0</v>
      </c>
      <c r="R928" s="96">
        <f t="shared" si="139"/>
        <v>0</v>
      </c>
      <c r="T928" s="67" t="str">
        <f>IF($B928&lt;&gt;"",INDEX(DataOB[],FirstRow+ROW()-7,MATCH(T$6,DataOB[#Headers],0)),"")</f>
        <v/>
      </c>
      <c r="U928" s="67" t="str">
        <f>IF($B928&lt;&gt;"",INDEX(DataOB[],FirstRow+ROW()-7,MATCH(U$6,DataOB[#Headers],0)),"")</f>
        <v/>
      </c>
      <c r="V928" s="67" t="str">
        <f>IF($B928&lt;&gt;"",INDEX(DataOB[],FirstRow+ROW()-7,MATCH(V$6,DataOB[#Headers],0)),"")</f>
        <v/>
      </c>
      <c r="W928" s="67" t="str">
        <f>IF($B928&lt;&gt;"",INDEX(DataOB[],FirstRow+ROW()-7,MATCH(W$6,DataOB[#Headers],0)),"")</f>
        <v/>
      </c>
      <c r="X928" s="67" t="str">
        <f>IF($B928&lt;&gt;"",INDEX(DataOB[],FirstRow+ROW()-7,MATCH(X$6,DataOB[#Headers],0)),"")</f>
        <v/>
      </c>
      <c r="Y928" s="67" t="str">
        <f>IF($B928&lt;&gt;"",INDEX(DataOB[],FirstRow+ROW()-7,MATCH(Y$6,DataOB[#Headers],0)),"")</f>
        <v/>
      </c>
      <c r="Z928" s="67" t="str">
        <f>IF($B928&lt;&gt;"",INDEX(DataOB[],FirstRow+ROW()-7,MATCH(Z$6,DataOB[#Headers],0)),"")</f>
        <v/>
      </c>
      <c r="AA928" s="67" t="str">
        <f>IF($B928&lt;&gt;"",INDEX(DataOB[],FirstRow+ROW()-7,MATCH(AA$6,DataOB[#Headers],0)),"")</f>
        <v/>
      </c>
      <c r="AB928" s="67" t="str">
        <f>IF($B928&lt;&gt;"",INDEX(DataOB[],FirstRow+ROW()-7,MATCH(AB$6,DataOB[#Headers],0)),"")</f>
        <v/>
      </c>
      <c r="AC928" s="67" t="str">
        <f>IF($B928&lt;&gt;"",INDEX(DataOB[],FirstRow+ROW()-7,MATCH(AC$6,DataOB[#Headers],0)),"")</f>
        <v/>
      </c>
      <c r="AD928" s="67" t="str">
        <f>IF($B928&lt;&gt;"",INDEX(DataOB[],FirstRow+ROW()-7,MATCH(AD$6,DataOB[#Headers],0)),"")</f>
        <v/>
      </c>
      <c r="AE928" s="67" t="str">
        <f>IF($B928&lt;&gt;"",INDEX(DataOB[],FirstRow+ROW()-7,MATCH(AE$6,DataOB[#Headers],0)),"")</f>
        <v/>
      </c>
      <c r="AF928" s="26">
        <f t="shared" si="140"/>
        <v>0</v>
      </c>
      <c r="AG928" s="31">
        <f>SUM($T928:T928)</f>
        <v>0</v>
      </c>
      <c r="AH928" s="31">
        <f>SUM($T928:U928)</f>
        <v>0</v>
      </c>
      <c r="AI928" s="31">
        <f>SUM($T928:V928)</f>
        <v>0</v>
      </c>
      <c r="AJ928" s="31">
        <f>SUM($T928:W928)</f>
        <v>0</v>
      </c>
      <c r="AK928" s="31">
        <f>SUM($T928:X928)</f>
        <v>0</v>
      </c>
      <c r="AL928" s="31">
        <f>SUM($T928:Y928)</f>
        <v>0</v>
      </c>
      <c r="AM928" s="31">
        <f>SUM($T928:Z928)</f>
        <v>0</v>
      </c>
      <c r="AN928" s="31">
        <f>SUM($T928:AA928)</f>
        <v>0</v>
      </c>
      <c r="AO928" s="31">
        <f>SUM($T928:AB928)</f>
        <v>0</v>
      </c>
      <c r="AP928" s="31">
        <f>SUM($T928:AC928)</f>
        <v>0</v>
      </c>
      <c r="AQ928" s="31">
        <f>SUM($T928:AD928)</f>
        <v>0</v>
      </c>
      <c r="AR928" s="31">
        <f>SUM($T928:AE928)</f>
        <v>0</v>
      </c>
      <c r="AS928" s="27">
        <f t="shared" si="141"/>
        <v>0</v>
      </c>
    </row>
    <row r="929" spans="2:45">
      <c r="B929" s="102" t="str">
        <f>IF(ROW()-6&gt;NumCostCenter,"",IF(CostCenter&lt;&gt;"ALL",CostCenter,DATA_LF2!B927))</f>
        <v/>
      </c>
      <c r="C929" s="153" t="str">
        <f>IF($B929&lt;&gt;"",INDEX(DataOB[],FirstRow+ROW()-7,2),"")</f>
        <v/>
      </c>
      <c r="D929" s="66" t="str">
        <f>IF($B929&lt;&gt;"",INDEX(DataOB[],FirstRow+ROW()-7,3),"")</f>
        <v/>
      </c>
      <c r="E929" s="103" t="str">
        <f>IF($B929&lt;&gt;"",INDEX(DataOB[],FirstRow+ROW()-7,6),"")</f>
        <v/>
      </c>
      <c r="F929" s="103" t="str">
        <f>IF($B929&lt;&gt;"",INDEX(DataOB[],FirstRow+ROW()-7,5),"")</f>
        <v/>
      </c>
      <c r="G929" s="58">
        <f>IF($B929&lt;&gt;"",SUMIFS(DataAct_tbl[AMOUNT],DataAct_tbl[BG CODE],Detail!$D929,DataAct_tbl[MONTH],LEFT(MonthName,3),DataAct_tbl[Dept code],$B929),0)</f>
        <v>0</v>
      </c>
      <c r="H929" s="31" t="str">
        <f t="shared" si="133"/>
        <v/>
      </c>
      <c r="I929" s="28" t="str">
        <f t="shared" si="134"/>
        <v/>
      </c>
      <c r="J929" s="32" t="str">
        <f t="shared" si="135"/>
        <v/>
      </c>
      <c r="K929" s="86"/>
      <c r="L929" s="62">
        <f>IF($B929&lt;&gt;"",SUMIFS(DataAct_tbl[AMOUNT],DataAct_tbl[BG CODE],Detail!$D929,DataAct_tbl[Check Range],"=true",DataAct_tbl[Dept code],$B929),0)</f>
        <v>0</v>
      </c>
      <c r="M929" s="63">
        <f>INDEX($AG$7:$AR$1005,ROW()-6,MATCH(MTD,$AG$6:$AR$6,0))</f>
        <v>0</v>
      </c>
      <c r="N929" s="34">
        <f t="shared" si="136"/>
        <v>0</v>
      </c>
      <c r="O929" s="64" t="str">
        <f t="shared" si="137"/>
        <v xml:space="preserve"> </v>
      </c>
      <c r="Q929" s="97">
        <f t="shared" si="138"/>
        <v>0</v>
      </c>
      <c r="R929" s="96">
        <f t="shared" si="139"/>
        <v>0</v>
      </c>
      <c r="T929" s="67" t="str">
        <f>IF($B929&lt;&gt;"",INDEX(DataOB[],FirstRow+ROW()-7,MATCH(T$6,DataOB[#Headers],0)),"")</f>
        <v/>
      </c>
      <c r="U929" s="67" t="str">
        <f>IF($B929&lt;&gt;"",INDEX(DataOB[],FirstRow+ROW()-7,MATCH(U$6,DataOB[#Headers],0)),"")</f>
        <v/>
      </c>
      <c r="V929" s="67" t="str">
        <f>IF($B929&lt;&gt;"",INDEX(DataOB[],FirstRow+ROW()-7,MATCH(V$6,DataOB[#Headers],0)),"")</f>
        <v/>
      </c>
      <c r="W929" s="67" t="str">
        <f>IF($B929&lt;&gt;"",INDEX(DataOB[],FirstRow+ROW()-7,MATCH(W$6,DataOB[#Headers],0)),"")</f>
        <v/>
      </c>
      <c r="X929" s="67" t="str">
        <f>IF($B929&lt;&gt;"",INDEX(DataOB[],FirstRow+ROW()-7,MATCH(X$6,DataOB[#Headers],0)),"")</f>
        <v/>
      </c>
      <c r="Y929" s="67" t="str">
        <f>IF($B929&lt;&gt;"",INDEX(DataOB[],FirstRow+ROW()-7,MATCH(Y$6,DataOB[#Headers],0)),"")</f>
        <v/>
      </c>
      <c r="Z929" s="67" t="str">
        <f>IF($B929&lt;&gt;"",INDEX(DataOB[],FirstRow+ROW()-7,MATCH(Z$6,DataOB[#Headers],0)),"")</f>
        <v/>
      </c>
      <c r="AA929" s="67" t="str">
        <f>IF($B929&lt;&gt;"",INDEX(DataOB[],FirstRow+ROW()-7,MATCH(AA$6,DataOB[#Headers],0)),"")</f>
        <v/>
      </c>
      <c r="AB929" s="67" t="str">
        <f>IF($B929&lt;&gt;"",INDEX(DataOB[],FirstRow+ROW()-7,MATCH(AB$6,DataOB[#Headers],0)),"")</f>
        <v/>
      </c>
      <c r="AC929" s="67" t="str">
        <f>IF($B929&lt;&gt;"",INDEX(DataOB[],FirstRow+ROW()-7,MATCH(AC$6,DataOB[#Headers],0)),"")</f>
        <v/>
      </c>
      <c r="AD929" s="67" t="str">
        <f>IF($B929&lt;&gt;"",INDEX(DataOB[],FirstRow+ROW()-7,MATCH(AD$6,DataOB[#Headers],0)),"")</f>
        <v/>
      </c>
      <c r="AE929" s="67" t="str">
        <f>IF($B929&lt;&gt;"",INDEX(DataOB[],FirstRow+ROW()-7,MATCH(AE$6,DataOB[#Headers],0)),"")</f>
        <v/>
      </c>
      <c r="AF929" s="26">
        <f t="shared" si="140"/>
        <v>0</v>
      </c>
      <c r="AG929" s="31">
        <f>SUM($T929:T929)</f>
        <v>0</v>
      </c>
      <c r="AH929" s="31">
        <f>SUM($T929:U929)</f>
        <v>0</v>
      </c>
      <c r="AI929" s="31">
        <f>SUM($T929:V929)</f>
        <v>0</v>
      </c>
      <c r="AJ929" s="31">
        <f>SUM($T929:W929)</f>
        <v>0</v>
      </c>
      <c r="AK929" s="31">
        <f>SUM($T929:X929)</f>
        <v>0</v>
      </c>
      <c r="AL929" s="31">
        <f>SUM($T929:Y929)</f>
        <v>0</v>
      </c>
      <c r="AM929" s="31">
        <f>SUM($T929:Z929)</f>
        <v>0</v>
      </c>
      <c r="AN929" s="31">
        <f>SUM($T929:AA929)</f>
        <v>0</v>
      </c>
      <c r="AO929" s="31">
        <f>SUM($T929:AB929)</f>
        <v>0</v>
      </c>
      <c r="AP929" s="31">
        <f>SUM($T929:AC929)</f>
        <v>0</v>
      </c>
      <c r="AQ929" s="31">
        <f>SUM($T929:AD929)</f>
        <v>0</v>
      </c>
      <c r="AR929" s="31">
        <f>SUM($T929:AE929)</f>
        <v>0</v>
      </c>
      <c r="AS929" s="27">
        <f t="shared" si="141"/>
        <v>0</v>
      </c>
    </row>
    <row r="930" spans="2:45">
      <c r="B930" s="102" t="str">
        <f>IF(ROW()-6&gt;NumCostCenter,"",IF(CostCenter&lt;&gt;"ALL",CostCenter,DATA_LF2!B928))</f>
        <v/>
      </c>
      <c r="C930" s="153" t="str">
        <f>IF($B930&lt;&gt;"",INDEX(DataOB[],FirstRow+ROW()-7,2),"")</f>
        <v/>
      </c>
      <c r="D930" s="66" t="str">
        <f>IF($B930&lt;&gt;"",INDEX(DataOB[],FirstRow+ROW()-7,3),"")</f>
        <v/>
      </c>
      <c r="E930" s="103" t="str">
        <f>IF($B930&lt;&gt;"",INDEX(DataOB[],FirstRow+ROW()-7,6),"")</f>
        <v/>
      </c>
      <c r="F930" s="103" t="str">
        <f>IF($B930&lt;&gt;"",INDEX(DataOB[],FirstRow+ROW()-7,5),"")</f>
        <v/>
      </c>
      <c r="G930" s="58">
        <f>IF($B930&lt;&gt;"",SUMIFS(DataAct_tbl[AMOUNT],DataAct_tbl[BG CODE],Detail!$D930,DataAct_tbl[MONTH],LEFT(MonthName,3),DataAct_tbl[Dept code],$B930),0)</f>
        <v>0</v>
      </c>
      <c r="H930" s="31" t="str">
        <f t="shared" si="133"/>
        <v/>
      </c>
      <c r="I930" s="28" t="str">
        <f t="shared" si="134"/>
        <v/>
      </c>
      <c r="J930" s="32" t="str">
        <f t="shared" si="135"/>
        <v/>
      </c>
      <c r="K930" s="86"/>
      <c r="L930" s="62">
        <f>IF($B930&lt;&gt;"",SUMIFS(DataAct_tbl[AMOUNT],DataAct_tbl[BG CODE],Detail!$D930,DataAct_tbl[Check Range],"=true",DataAct_tbl[Dept code],$B930),0)</f>
        <v>0</v>
      </c>
      <c r="M930" s="63">
        <f>INDEX($AG$7:$AR$1005,ROW()-6,MATCH(MTD,$AG$6:$AR$6,0))</f>
        <v>0</v>
      </c>
      <c r="N930" s="34">
        <f t="shared" si="136"/>
        <v>0</v>
      </c>
      <c r="O930" s="64" t="str">
        <f t="shared" si="137"/>
        <v xml:space="preserve"> </v>
      </c>
      <c r="Q930" s="97">
        <f t="shared" si="138"/>
        <v>0</v>
      </c>
      <c r="R930" s="96">
        <f t="shared" si="139"/>
        <v>0</v>
      </c>
      <c r="T930" s="67" t="str">
        <f>IF($B930&lt;&gt;"",INDEX(DataOB[],FirstRow+ROW()-7,MATCH(T$6,DataOB[#Headers],0)),"")</f>
        <v/>
      </c>
      <c r="U930" s="67" t="str">
        <f>IF($B930&lt;&gt;"",INDEX(DataOB[],FirstRow+ROW()-7,MATCH(U$6,DataOB[#Headers],0)),"")</f>
        <v/>
      </c>
      <c r="V930" s="67" t="str">
        <f>IF($B930&lt;&gt;"",INDEX(DataOB[],FirstRow+ROW()-7,MATCH(V$6,DataOB[#Headers],0)),"")</f>
        <v/>
      </c>
      <c r="W930" s="67" t="str">
        <f>IF($B930&lt;&gt;"",INDEX(DataOB[],FirstRow+ROW()-7,MATCH(W$6,DataOB[#Headers],0)),"")</f>
        <v/>
      </c>
      <c r="X930" s="67" t="str">
        <f>IF($B930&lt;&gt;"",INDEX(DataOB[],FirstRow+ROW()-7,MATCH(X$6,DataOB[#Headers],0)),"")</f>
        <v/>
      </c>
      <c r="Y930" s="67" t="str">
        <f>IF($B930&lt;&gt;"",INDEX(DataOB[],FirstRow+ROW()-7,MATCH(Y$6,DataOB[#Headers],0)),"")</f>
        <v/>
      </c>
      <c r="Z930" s="67" t="str">
        <f>IF($B930&lt;&gt;"",INDEX(DataOB[],FirstRow+ROW()-7,MATCH(Z$6,DataOB[#Headers],0)),"")</f>
        <v/>
      </c>
      <c r="AA930" s="67" t="str">
        <f>IF($B930&lt;&gt;"",INDEX(DataOB[],FirstRow+ROW()-7,MATCH(AA$6,DataOB[#Headers],0)),"")</f>
        <v/>
      </c>
      <c r="AB930" s="67" t="str">
        <f>IF($B930&lt;&gt;"",INDEX(DataOB[],FirstRow+ROW()-7,MATCH(AB$6,DataOB[#Headers],0)),"")</f>
        <v/>
      </c>
      <c r="AC930" s="67" t="str">
        <f>IF($B930&lt;&gt;"",INDEX(DataOB[],FirstRow+ROW()-7,MATCH(AC$6,DataOB[#Headers],0)),"")</f>
        <v/>
      </c>
      <c r="AD930" s="67" t="str">
        <f>IF($B930&lt;&gt;"",INDEX(DataOB[],FirstRow+ROW()-7,MATCH(AD$6,DataOB[#Headers],0)),"")</f>
        <v/>
      </c>
      <c r="AE930" s="67" t="str">
        <f>IF($B930&lt;&gt;"",INDEX(DataOB[],FirstRow+ROW()-7,MATCH(AE$6,DataOB[#Headers],0)),"")</f>
        <v/>
      </c>
      <c r="AF930" s="26">
        <f t="shared" si="140"/>
        <v>0</v>
      </c>
      <c r="AG930" s="31">
        <f>SUM($T930:T930)</f>
        <v>0</v>
      </c>
      <c r="AH930" s="31">
        <f>SUM($T930:U930)</f>
        <v>0</v>
      </c>
      <c r="AI930" s="31">
        <f>SUM($T930:V930)</f>
        <v>0</v>
      </c>
      <c r="AJ930" s="31">
        <f>SUM($T930:W930)</f>
        <v>0</v>
      </c>
      <c r="AK930" s="31">
        <f>SUM($T930:X930)</f>
        <v>0</v>
      </c>
      <c r="AL930" s="31">
        <f>SUM($T930:Y930)</f>
        <v>0</v>
      </c>
      <c r="AM930" s="31">
        <f>SUM($T930:Z930)</f>
        <v>0</v>
      </c>
      <c r="AN930" s="31">
        <f>SUM($T930:AA930)</f>
        <v>0</v>
      </c>
      <c r="AO930" s="31">
        <f>SUM($T930:AB930)</f>
        <v>0</v>
      </c>
      <c r="AP930" s="31">
        <f>SUM($T930:AC930)</f>
        <v>0</v>
      </c>
      <c r="AQ930" s="31">
        <f>SUM($T930:AD930)</f>
        <v>0</v>
      </c>
      <c r="AR930" s="31">
        <f>SUM($T930:AE930)</f>
        <v>0</v>
      </c>
      <c r="AS930" s="27">
        <f t="shared" si="141"/>
        <v>0</v>
      </c>
    </row>
    <row r="931" spans="2:45">
      <c r="B931" s="102" t="str">
        <f>IF(ROW()-6&gt;NumCostCenter,"",IF(CostCenter&lt;&gt;"ALL",CostCenter,DATA_LF2!B929))</f>
        <v/>
      </c>
      <c r="C931" s="153" t="str">
        <f>IF($B931&lt;&gt;"",INDEX(DataOB[],FirstRow+ROW()-7,2),"")</f>
        <v/>
      </c>
      <c r="D931" s="66" t="str">
        <f>IF($B931&lt;&gt;"",INDEX(DataOB[],FirstRow+ROW()-7,3),"")</f>
        <v/>
      </c>
      <c r="E931" s="103" t="str">
        <f>IF($B931&lt;&gt;"",INDEX(DataOB[],FirstRow+ROW()-7,6),"")</f>
        <v/>
      </c>
      <c r="F931" s="103" t="str">
        <f>IF($B931&lt;&gt;"",INDEX(DataOB[],FirstRow+ROW()-7,5),"")</f>
        <v/>
      </c>
      <c r="G931" s="58">
        <f>IF($B931&lt;&gt;"",SUMIFS(DataAct_tbl[AMOUNT],DataAct_tbl[BG CODE],Detail!$D931,DataAct_tbl[MONTH],LEFT(MonthName,3),DataAct_tbl[Dept code],$B931),0)</f>
        <v>0</v>
      </c>
      <c r="H931" s="31" t="str">
        <f t="shared" si="133"/>
        <v/>
      </c>
      <c r="I931" s="28" t="str">
        <f t="shared" si="134"/>
        <v/>
      </c>
      <c r="J931" s="32" t="str">
        <f t="shared" si="135"/>
        <v/>
      </c>
      <c r="K931" s="86"/>
      <c r="L931" s="62">
        <f>IF($B931&lt;&gt;"",SUMIFS(DataAct_tbl[AMOUNT],DataAct_tbl[BG CODE],Detail!$D931,DataAct_tbl[Check Range],"=true",DataAct_tbl[Dept code],$B931),0)</f>
        <v>0</v>
      </c>
      <c r="M931" s="63">
        <f>INDEX($AG$7:$AR$1005,ROW()-6,MATCH(MTD,$AG$6:$AR$6,0))</f>
        <v>0</v>
      </c>
      <c r="N931" s="34">
        <f t="shared" si="136"/>
        <v>0</v>
      </c>
      <c r="O931" s="64" t="str">
        <f t="shared" si="137"/>
        <v xml:space="preserve"> </v>
      </c>
      <c r="Q931" s="97">
        <f t="shared" si="138"/>
        <v>0</v>
      </c>
      <c r="R931" s="96">
        <f t="shared" si="139"/>
        <v>0</v>
      </c>
      <c r="T931" s="67" t="str">
        <f>IF($B931&lt;&gt;"",INDEX(DataOB[],FirstRow+ROW()-7,MATCH(T$6,DataOB[#Headers],0)),"")</f>
        <v/>
      </c>
      <c r="U931" s="67" t="str">
        <f>IF($B931&lt;&gt;"",INDEX(DataOB[],FirstRow+ROW()-7,MATCH(U$6,DataOB[#Headers],0)),"")</f>
        <v/>
      </c>
      <c r="V931" s="67" t="str">
        <f>IF($B931&lt;&gt;"",INDEX(DataOB[],FirstRow+ROW()-7,MATCH(V$6,DataOB[#Headers],0)),"")</f>
        <v/>
      </c>
      <c r="W931" s="67" t="str">
        <f>IF($B931&lt;&gt;"",INDEX(DataOB[],FirstRow+ROW()-7,MATCH(W$6,DataOB[#Headers],0)),"")</f>
        <v/>
      </c>
      <c r="X931" s="67" t="str">
        <f>IF($B931&lt;&gt;"",INDEX(DataOB[],FirstRow+ROW()-7,MATCH(X$6,DataOB[#Headers],0)),"")</f>
        <v/>
      </c>
      <c r="Y931" s="67" t="str">
        <f>IF($B931&lt;&gt;"",INDEX(DataOB[],FirstRow+ROW()-7,MATCH(Y$6,DataOB[#Headers],0)),"")</f>
        <v/>
      </c>
      <c r="Z931" s="67" t="str">
        <f>IF($B931&lt;&gt;"",INDEX(DataOB[],FirstRow+ROW()-7,MATCH(Z$6,DataOB[#Headers],0)),"")</f>
        <v/>
      </c>
      <c r="AA931" s="67" t="str">
        <f>IF($B931&lt;&gt;"",INDEX(DataOB[],FirstRow+ROW()-7,MATCH(AA$6,DataOB[#Headers],0)),"")</f>
        <v/>
      </c>
      <c r="AB931" s="67" t="str">
        <f>IF($B931&lt;&gt;"",INDEX(DataOB[],FirstRow+ROW()-7,MATCH(AB$6,DataOB[#Headers],0)),"")</f>
        <v/>
      </c>
      <c r="AC931" s="67" t="str">
        <f>IF($B931&lt;&gt;"",INDEX(DataOB[],FirstRow+ROW()-7,MATCH(AC$6,DataOB[#Headers],0)),"")</f>
        <v/>
      </c>
      <c r="AD931" s="67" t="str">
        <f>IF($B931&lt;&gt;"",INDEX(DataOB[],FirstRow+ROW()-7,MATCH(AD$6,DataOB[#Headers],0)),"")</f>
        <v/>
      </c>
      <c r="AE931" s="67" t="str">
        <f>IF($B931&lt;&gt;"",INDEX(DataOB[],FirstRow+ROW()-7,MATCH(AE$6,DataOB[#Headers],0)),"")</f>
        <v/>
      </c>
      <c r="AF931" s="26">
        <f t="shared" si="140"/>
        <v>0</v>
      </c>
      <c r="AG931" s="31">
        <f>SUM($T931:T931)</f>
        <v>0</v>
      </c>
      <c r="AH931" s="31">
        <f>SUM($T931:U931)</f>
        <v>0</v>
      </c>
      <c r="AI931" s="31">
        <f>SUM($T931:V931)</f>
        <v>0</v>
      </c>
      <c r="AJ931" s="31">
        <f>SUM($T931:W931)</f>
        <v>0</v>
      </c>
      <c r="AK931" s="31">
        <f>SUM($T931:X931)</f>
        <v>0</v>
      </c>
      <c r="AL931" s="31">
        <f>SUM($T931:Y931)</f>
        <v>0</v>
      </c>
      <c r="AM931" s="31">
        <f>SUM($T931:Z931)</f>
        <v>0</v>
      </c>
      <c r="AN931" s="31">
        <f>SUM($T931:AA931)</f>
        <v>0</v>
      </c>
      <c r="AO931" s="31">
        <f>SUM($T931:AB931)</f>
        <v>0</v>
      </c>
      <c r="AP931" s="31">
        <f>SUM($T931:AC931)</f>
        <v>0</v>
      </c>
      <c r="AQ931" s="31">
        <f>SUM($T931:AD931)</f>
        <v>0</v>
      </c>
      <c r="AR931" s="31">
        <f>SUM($T931:AE931)</f>
        <v>0</v>
      </c>
      <c r="AS931" s="27">
        <f t="shared" si="141"/>
        <v>0</v>
      </c>
    </row>
    <row r="932" spans="2:45">
      <c r="B932" s="102" t="str">
        <f>IF(ROW()-6&gt;NumCostCenter,"",IF(CostCenter&lt;&gt;"ALL",CostCenter,DATA_LF2!B930))</f>
        <v/>
      </c>
      <c r="C932" s="153" t="str">
        <f>IF($B932&lt;&gt;"",INDEX(DataOB[],FirstRow+ROW()-7,2),"")</f>
        <v/>
      </c>
      <c r="D932" s="66" t="str">
        <f>IF($B932&lt;&gt;"",INDEX(DataOB[],FirstRow+ROW()-7,3),"")</f>
        <v/>
      </c>
      <c r="E932" s="103" t="str">
        <f>IF($B932&lt;&gt;"",INDEX(DataOB[],FirstRow+ROW()-7,6),"")</f>
        <v/>
      </c>
      <c r="F932" s="103" t="str">
        <f>IF($B932&lt;&gt;"",INDEX(DataOB[],FirstRow+ROW()-7,5),"")</f>
        <v/>
      </c>
      <c r="G932" s="58">
        <f>IF($B932&lt;&gt;"",SUMIFS(DataAct_tbl[AMOUNT],DataAct_tbl[BG CODE],Detail!$D932,DataAct_tbl[MONTH],LEFT(MonthName,3),DataAct_tbl[Dept code],$B932),0)</f>
        <v>0</v>
      </c>
      <c r="H932" s="31" t="str">
        <f t="shared" si="133"/>
        <v/>
      </c>
      <c r="I932" s="28" t="str">
        <f t="shared" si="134"/>
        <v/>
      </c>
      <c r="J932" s="32" t="str">
        <f t="shared" si="135"/>
        <v/>
      </c>
      <c r="K932" s="86"/>
      <c r="L932" s="62">
        <f>IF($B932&lt;&gt;"",SUMIFS(DataAct_tbl[AMOUNT],DataAct_tbl[BG CODE],Detail!$D932,DataAct_tbl[Check Range],"=true",DataAct_tbl[Dept code],$B932),0)</f>
        <v>0</v>
      </c>
      <c r="M932" s="63">
        <f>INDEX($AG$7:$AR$1005,ROW()-6,MATCH(MTD,$AG$6:$AR$6,0))</f>
        <v>0</v>
      </c>
      <c r="N932" s="34">
        <f t="shared" si="136"/>
        <v>0</v>
      </c>
      <c r="O932" s="64" t="str">
        <f t="shared" si="137"/>
        <v xml:space="preserve"> </v>
      </c>
      <c r="Q932" s="97">
        <f t="shared" si="138"/>
        <v>0</v>
      </c>
      <c r="R932" s="96">
        <f t="shared" si="139"/>
        <v>0</v>
      </c>
      <c r="T932" s="67" t="str">
        <f>IF($B932&lt;&gt;"",INDEX(DataOB[],FirstRow+ROW()-7,MATCH(T$6,DataOB[#Headers],0)),"")</f>
        <v/>
      </c>
      <c r="U932" s="67" t="str">
        <f>IF($B932&lt;&gt;"",INDEX(DataOB[],FirstRow+ROW()-7,MATCH(U$6,DataOB[#Headers],0)),"")</f>
        <v/>
      </c>
      <c r="V932" s="67" t="str">
        <f>IF($B932&lt;&gt;"",INDEX(DataOB[],FirstRow+ROW()-7,MATCH(V$6,DataOB[#Headers],0)),"")</f>
        <v/>
      </c>
      <c r="W932" s="67" t="str">
        <f>IF($B932&lt;&gt;"",INDEX(DataOB[],FirstRow+ROW()-7,MATCH(W$6,DataOB[#Headers],0)),"")</f>
        <v/>
      </c>
      <c r="X932" s="67" t="str">
        <f>IF($B932&lt;&gt;"",INDEX(DataOB[],FirstRow+ROW()-7,MATCH(X$6,DataOB[#Headers],0)),"")</f>
        <v/>
      </c>
      <c r="Y932" s="67" t="str">
        <f>IF($B932&lt;&gt;"",INDEX(DataOB[],FirstRow+ROW()-7,MATCH(Y$6,DataOB[#Headers],0)),"")</f>
        <v/>
      </c>
      <c r="Z932" s="67" t="str">
        <f>IF($B932&lt;&gt;"",INDEX(DataOB[],FirstRow+ROW()-7,MATCH(Z$6,DataOB[#Headers],0)),"")</f>
        <v/>
      </c>
      <c r="AA932" s="67" t="str">
        <f>IF($B932&lt;&gt;"",INDEX(DataOB[],FirstRow+ROW()-7,MATCH(AA$6,DataOB[#Headers],0)),"")</f>
        <v/>
      </c>
      <c r="AB932" s="67" t="str">
        <f>IF($B932&lt;&gt;"",INDEX(DataOB[],FirstRow+ROW()-7,MATCH(AB$6,DataOB[#Headers],0)),"")</f>
        <v/>
      </c>
      <c r="AC932" s="67" t="str">
        <f>IF($B932&lt;&gt;"",INDEX(DataOB[],FirstRow+ROW()-7,MATCH(AC$6,DataOB[#Headers],0)),"")</f>
        <v/>
      </c>
      <c r="AD932" s="67" t="str">
        <f>IF($B932&lt;&gt;"",INDEX(DataOB[],FirstRow+ROW()-7,MATCH(AD$6,DataOB[#Headers],0)),"")</f>
        <v/>
      </c>
      <c r="AE932" s="67" t="str">
        <f>IF($B932&lt;&gt;"",INDEX(DataOB[],FirstRow+ROW()-7,MATCH(AE$6,DataOB[#Headers],0)),"")</f>
        <v/>
      </c>
      <c r="AF932" s="26">
        <f t="shared" si="140"/>
        <v>0</v>
      </c>
      <c r="AG932" s="31">
        <f>SUM($T932:T932)</f>
        <v>0</v>
      </c>
      <c r="AH932" s="31">
        <f>SUM($T932:U932)</f>
        <v>0</v>
      </c>
      <c r="AI932" s="31">
        <f>SUM($T932:V932)</f>
        <v>0</v>
      </c>
      <c r="AJ932" s="31">
        <f>SUM($T932:W932)</f>
        <v>0</v>
      </c>
      <c r="AK932" s="31">
        <f>SUM($T932:X932)</f>
        <v>0</v>
      </c>
      <c r="AL932" s="31">
        <f>SUM($T932:Y932)</f>
        <v>0</v>
      </c>
      <c r="AM932" s="31">
        <f>SUM($T932:Z932)</f>
        <v>0</v>
      </c>
      <c r="AN932" s="31">
        <f>SUM($T932:AA932)</f>
        <v>0</v>
      </c>
      <c r="AO932" s="31">
        <f>SUM($T932:AB932)</f>
        <v>0</v>
      </c>
      <c r="AP932" s="31">
        <f>SUM($T932:AC932)</f>
        <v>0</v>
      </c>
      <c r="AQ932" s="31">
        <f>SUM($T932:AD932)</f>
        <v>0</v>
      </c>
      <c r="AR932" s="31">
        <f>SUM($T932:AE932)</f>
        <v>0</v>
      </c>
      <c r="AS932" s="27">
        <f t="shared" si="141"/>
        <v>0</v>
      </c>
    </row>
    <row r="933" spans="2:45">
      <c r="B933" s="102" t="str">
        <f>IF(ROW()-6&gt;NumCostCenter,"",IF(CostCenter&lt;&gt;"ALL",CostCenter,DATA_LF2!B931))</f>
        <v/>
      </c>
      <c r="C933" s="153" t="str">
        <f>IF($B933&lt;&gt;"",INDEX(DataOB[],FirstRow+ROW()-7,2),"")</f>
        <v/>
      </c>
      <c r="D933" s="66" t="str">
        <f>IF($B933&lt;&gt;"",INDEX(DataOB[],FirstRow+ROW()-7,3),"")</f>
        <v/>
      </c>
      <c r="E933" s="103" t="str">
        <f>IF($B933&lt;&gt;"",INDEX(DataOB[],FirstRow+ROW()-7,6),"")</f>
        <v/>
      </c>
      <c r="F933" s="103" t="str">
        <f>IF($B933&lt;&gt;"",INDEX(DataOB[],FirstRow+ROW()-7,5),"")</f>
        <v/>
      </c>
      <c r="G933" s="58">
        <f>IF($B933&lt;&gt;"",SUMIFS(DataAct_tbl[AMOUNT],DataAct_tbl[BG CODE],Detail!$D933,DataAct_tbl[MONTH],LEFT(MonthName,3),DataAct_tbl[Dept code],$B933),0)</f>
        <v>0</v>
      </c>
      <c r="H933" s="31" t="str">
        <f t="shared" si="133"/>
        <v/>
      </c>
      <c r="I933" s="28" t="str">
        <f t="shared" si="134"/>
        <v/>
      </c>
      <c r="J933" s="32" t="str">
        <f t="shared" si="135"/>
        <v/>
      </c>
      <c r="K933" s="86"/>
      <c r="L933" s="62">
        <f>IF($B933&lt;&gt;"",SUMIFS(DataAct_tbl[AMOUNT],DataAct_tbl[BG CODE],Detail!$D933,DataAct_tbl[Check Range],"=true",DataAct_tbl[Dept code],$B933),0)</f>
        <v>0</v>
      </c>
      <c r="M933" s="63">
        <f>INDEX($AG$7:$AR$1005,ROW()-6,MATCH(MTD,$AG$6:$AR$6,0))</f>
        <v>0</v>
      </c>
      <c r="N933" s="34">
        <f t="shared" si="136"/>
        <v>0</v>
      </c>
      <c r="O933" s="64" t="str">
        <f t="shared" si="137"/>
        <v xml:space="preserve"> </v>
      </c>
      <c r="Q933" s="97">
        <f t="shared" si="138"/>
        <v>0</v>
      </c>
      <c r="R933" s="96">
        <f t="shared" si="139"/>
        <v>0</v>
      </c>
      <c r="T933" s="67" t="str">
        <f>IF($B933&lt;&gt;"",INDEX(DataOB[],FirstRow+ROW()-7,MATCH(T$6,DataOB[#Headers],0)),"")</f>
        <v/>
      </c>
      <c r="U933" s="67" t="str">
        <f>IF($B933&lt;&gt;"",INDEX(DataOB[],FirstRow+ROW()-7,MATCH(U$6,DataOB[#Headers],0)),"")</f>
        <v/>
      </c>
      <c r="V933" s="67" t="str">
        <f>IF($B933&lt;&gt;"",INDEX(DataOB[],FirstRow+ROW()-7,MATCH(V$6,DataOB[#Headers],0)),"")</f>
        <v/>
      </c>
      <c r="W933" s="67" t="str">
        <f>IF($B933&lt;&gt;"",INDEX(DataOB[],FirstRow+ROW()-7,MATCH(W$6,DataOB[#Headers],0)),"")</f>
        <v/>
      </c>
      <c r="X933" s="67" t="str">
        <f>IF($B933&lt;&gt;"",INDEX(DataOB[],FirstRow+ROW()-7,MATCH(X$6,DataOB[#Headers],0)),"")</f>
        <v/>
      </c>
      <c r="Y933" s="67" t="str">
        <f>IF($B933&lt;&gt;"",INDEX(DataOB[],FirstRow+ROW()-7,MATCH(Y$6,DataOB[#Headers],0)),"")</f>
        <v/>
      </c>
      <c r="Z933" s="67" t="str">
        <f>IF($B933&lt;&gt;"",INDEX(DataOB[],FirstRow+ROW()-7,MATCH(Z$6,DataOB[#Headers],0)),"")</f>
        <v/>
      </c>
      <c r="AA933" s="67" t="str">
        <f>IF($B933&lt;&gt;"",INDEX(DataOB[],FirstRow+ROW()-7,MATCH(AA$6,DataOB[#Headers],0)),"")</f>
        <v/>
      </c>
      <c r="AB933" s="67" t="str">
        <f>IF($B933&lt;&gt;"",INDEX(DataOB[],FirstRow+ROW()-7,MATCH(AB$6,DataOB[#Headers],0)),"")</f>
        <v/>
      </c>
      <c r="AC933" s="67" t="str">
        <f>IF($B933&lt;&gt;"",INDEX(DataOB[],FirstRow+ROW()-7,MATCH(AC$6,DataOB[#Headers],0)),"")</f>
        <v/>
      </c>
      <c r="AD933" s="67" t="str">
        <f>IF($B933&lt;&gt;"",INDEX(DataOB[],FirstRow+ROW()-7,MATCH(AD$6,DataOB[#Headers],0)),"")</f>
        <v/>
      </c>
      <c r="AE933" s="67" t="str">
        <f>IF($B933&lt;&gt;"",INDEX(DataOB[],FirstRow+ROW()-7,MATCH(AE$6,DataOB[#Headers],0)),"")</f>
        <v/>
      </c>
      <c r="AF933" s="26">
        <f t="shared" si="140"/>
        <v>0</v>
      </c>
      <c r="AG933" s="31">
        <f>SUM($T933:T933)</f>
        <v>0</v>
      </c>
      <c r="AH933" s="31">
        <f>SUM($T933:U933)</f>
        <v>0</v>
      </c>
      <c r="AI933" s="31">
        <f>SUM($T933:V933)</f>
        <v>0</v>
      </c>
      <c r="AJ933" s="31">
        <f>SUM($T933:W933)</f>
        <v>0</v>
      </c>
      <c r="AK933" s="31">
        <f>SUM($T933:X933)</f>
        <v>0</v>
      </c>
      <c r="AL933" s="31">
        <f>SUM($T933:Y933)</f>
        <v>0</v>
      </c>
      <c r="AM933" s="31">
        <f>SUM($T933:Z933)</f>
        <v>0</v>
      </c>
      <c r="AN933" s="31">
        <f>SUM($T933:AA933)</f>
        <v>0</v>
      </c>
      <c r="AO933" s="31">
        <f>SUM($T933:AB933)</f>
        <v>0</v>
      </c>
      <c r="AP933" s="31">
        <f>SUM($T933:AC933)</f>
        <v>0</v>
      </c>
      <c r="AQ933" s="31">
        <f>SUM($T933:AD933)</f>
        <v>0</v>
      </c>
      <c r="AR933" s="31">
        <f>SUM($T933:AE933)</f>
        <v>0</v>
      </c>
      <c r="AS933" s="27">
        <f t="shared" si="141"/>
        <v>0</v>
      </c>
    </row>
    <row r="934" spans="2:45">
      <c r="B934" s="102" t="str">
        <f>IF(ROW()-6&gt;NumCostCenter,"",IF(CostCenter&lt;&gt;"ALL",CostCenter,DATA_LF2!B932))</f>
        <v/>
      </c>
      <c r="C934" s="153" t="str">
        <f>IF($B934&lt;&gt;"",INDEX(DataOB[],FirstRow+ROW()-7,2),"")</f>
        <v/>
      </c>
      <c r="D934" s="66" t="str">
        <f>IF($B934&lt;&gt;"",INDEX(DataOB[],FirstRow+ROW()-7,3),"")</f>
        <v/>
      </c>
      <c r="E934" s="103" t="str">
        <f>IF($B934&lt;&gt;"",INDEX(DataOB[],FirstRow+ROW()-7,6),"")</f>
        <v/>
      </c>
      <c r="F934" s="103" t="str">
        <f>IF($B934&lt;&gt;"",INDEX(DataOB[],FirstRow+ROW()-7,5),"")</f>
        <v/>
      </c>
      <c r="G934" s="58">
        <f>IF($B934&lt;&gt;"",SUMIFS(DataAct_tbl[AMOUNT],DataAct_tbl[BG CODE],Detail!$D934,DataAct_tbl[MONTH],LEFT(MonthName,3),DataAct_tbl[Dept code],$B934),0)</f>
        <v>0</v>
      </c>
      <c r="H934" s="31" t="str">
        <f t="shared" si="133"/>
        <v/>
      </c>
      <c r="I934" s="28" t="str">
        <f t="shared" si="134"/>
        <v/>
      </c>
      <c r="J934" s="32" t="str">
        <f t="shared" si="135"/>
        <v/>
      </c>
      <c r="K934" s="86"/>
      <c r="L934" s="62">
        <f>IF($B934&lt;&gt;"",SUMIFS(DataAct_tbl[AMOUNT],DataAct_tbl[BG CODE],Detail!$D934,DataAct_tbl[Check Range],"=true",DataAct_tbl[Dept code],$B934),0)</f>
        <v>0</v>
      </c>
      <c r="M934" s="63">
        <f>INDEX($AG$7:$AR$1005,ROW()-6,MATCH(MTD,$AG$6:$AR$6,0))</f>
        <v>0</v>
      </c>
      <c r="N934" s="34">
        <f t="shared" si="136"/>
        <v>0</v>
      </c>
      <c r="O934" s="64" t="str">
        <f t="shared" si="137"/>
        <v xml:space="preserve"> </v>
      </c>
      <c r="Q934" s="97">
        <f t="shared" si="138"/>
        <v>0</v>
      </c>
      <c r="R934" s="96">
        <f t="shared" si="139"/>
        <v>0</v>
      </c>
      <c r="T934" s="67" t="str">
        <f>IF($B934&lt;&gt;"",INDEX(DataOB[],FirstRow+ROW()-7,MATCH(T$6,DataOB[#Headers],0)),"")</f>
        <v/>
      </c>
      <c r="U934" s="67" t="str">
        <f>IF($B934&lt;&gt;"",INDEX(DataOB[],FirstRow+ROW()-7,MATCH(U$6,DataOB[#Headers],0)),"")</f>
        <v/>
      </c>
      <c r="V934" s="67" t="str">
        <f>IF($B934&lt;&gt;"",INDEX(DataOB[],FirstRow+ROW()-7,MATCH(V$6,DataOB[#Headers],0)),"")</f>
        <v/>
      </c>
      <c r="W934" s="67" t="str">
        <f>IF($B934&lt;&gt;"",INDEX(DataOB[],FirstRow+ROW()-7,MATCH(W$6,DataOB[#Headers],0)),"")</f>
        <v/>
      </c>
      <c r="X934" s="67" t="str">
        <f>IF($B934&lt;&gt;"",INDEX(DataOB[],FirstRow+ROW()-7,MATCH(X$6,DataOB[#Headers],0)),"")</f>
        <v/>
      </c>
      <c r="Y934" s="67" t="str">
        <f>IF($B934&lt;&gt;"",INDEX(DataOB[],FirstRow+ROW()-7,MATCH(Y$6,DataOB[#Headers],0)),"")</f>
        <v/>
      </c>
      <c r="Z934" s="67" t="str">
        <f>IF($B934&lt;&gt;"",INDEX(DataOB[],FirstRow+ROW()-7,MATCH(Z$6,DataOB[#Headers],0)),"")</f>
        <v/>
      </c>
      <c r="AA934" s="67" t="str">
        <f>IF($B934&lt;&gt;"",INDEX(DataOB[],FirstRow+ROW()-7,MATCH(AA$6,DataOB[#Headers],0)),"")</f>
        <v/>
      </c>
      <c r="AB934" s="67" t="str">
        <f>IF($B934&lt;&gt;"",INDEX(DataOB[],FirstRow+ROW()-7,MATCH(AB$6,DataOB[#Headers],0)),"")</f>
        <v/>
      </c>
      <c r="AC934" s="67" t="str">
        <f>IF($B934&lt;&gt;"",INDEX(DataOB[],FirstRow+ROW()-7,MATCH(AC$6,DataOB[#Headers],0)),"")</f>
        <v/>
      </c>
      <c r="AD934" s="67" t="str">
        <f>IF($B934&lt;&gt;"",INDEX(DataOB[],FirstRow+ROW()-7,MATCH(AD$6,DataOB[#Headers],0)),"")</f>
        <v/>
      </c>
      <c r="AE934" s="67" t="str">
        <f>IF($B934&lt;&gt;"",INDEX(DataOB[],FirstRow+ROW()-7,MATCH(AE$6,DataOB[#Headers],0)),"")</f>
        <v/>
      </c>
      <c r="AF934" s="26">
        <f t="shared" si="140"/>
        <v>0</v>
      </c>
      <c r="AG934" s="31">
        <f>SUM($T934:T934)</f>
        <v>0</v>
      </c>
      <c r="AH934" s="31">
        <f>SUM($T934:U934)</f>
        <v>0</v>
      </c>
      <c r="AI934" s="31">
        <f>SUM($T934:V934)</f>
        <v>0</v>
      </c>
      <c r="AJ934" s="31">
        <f>SUM($T934:W934)</f>
        <v>0</v>
      </c>
      <c r="AK934" s="31">
        <f>SUM($T934:X934)</f>
        <v>0</v>
      </c>
      <c r="AL934" s="31">
        <f>SUM($T934:Y934)</f>
        <v>0</v>
      </c>
      <c r="AM934" s="31">
        <f>SUM($T934:Z934)</f>
        <v>0</v>
      </c>
      <c r="AN934" s="31">
        <f>SUM($T934:AA934)</f>
        <v>0</v>
      </c>
      <c r="AO934" s="31">
        <f>SUM($T934:AB934)</f>
        <v>0</v>
      </c>
      <c r="AP934" s="31">
        <f>SUM($T934:AC934)</f>
        <v>0</v>
      </c>
      <c r="AQ934" s="31">
        <f>SUM($T934:AD934)</f>
        <v>0</v>
      </c>
      <c r="AR934" s="31">
        <f>SUM($T934:AE934)</f>
        <v>0</v>
      </c>
      <c r="AS934" s="27">
        <f t="shared" si="141"/>
        <v>0</v>
      </c>
    </row>
    <row r="935" spans="2:45">
      <c r="B935" s="102" t="str">
        <f>IF(ROW()-6&gt;NumCostCenter,"",IF(CostCenter&lt;&gt;"ALL",CostCenter,DATA_LF2!B933))</f>
        <v/>
      </c>
      <c r="C935" s="153" t="str">
        <f>IF($B935&lt;&gt;"",INDEX(DataOB[],FirstRow+ROW()-7,2),"")</f>
        <v/>
      </c>
      <c r="D935" s="66" t="str">
        <f>IF($B935&lt;&gt;"",INDEX(DataOB[],FirstRow+ROW()-7,3),"")</f>
        <v/>
      </c>
      <c r="E935" s="103" t="str">
        <f>IF($B935&lt;&gt;"",INDEX(DataOB[],FirstRow+ROW()-7,6),"")</f>
        <v/>
      </c>
      <c r="F935" s="103" t="str">
        <f>IF($B935&lt;&gt;"",INDEX(DataOB[],FirstRow+ROW()-7,5),"")</f>
        <v/>
      </c>
      <c r="G935" s="58">
        <f>IF($B935&lt;&gt;"",SUMIFS(DataAct_tbl[AMOUNT],DataAct_tbl[BG CODE],Detail!$D935,DataAct_tbl[MONTH],LEFT(MonthName,3),DataAct_tbl[Dept code],$B935),0)</f>
        <v>0</v>
      </c>
      <c r="H935" s="31" t="str">
        <f t="shared" si="133"/>
        <v/>
      </c>
      <c r="I935" s="28" t="str">
        <f t="shared" si="134"/>
        <v/>
      </c>
      <c r="J935" s="32" t="str">
        <f t="shared" si="135"/>
        <v/>
      </c>
      <c r="K935" s="86"/>
      <c r="L935" s="62">
        <f>IF($B935&lt;&gt;"",SUMIFS(DataAct_tbl[AMOUNT],DataAct_tbl[BG CODE],Detail!$D935,DataAct_tbl[Check Range],"=true",DataAct_tbl[Dept code],$B935),0)</f>
        <v>0</v>
      </c>
      <c r="M935" s="63">
        <f>INDEX($AG$7:$AR$1005,ROW()-6,MATCH(MTD,$AG$6:$AR$6,0))</f>
        <v>0</v>
      </c>
      <c r="N935" s="34">
        <f t="shared" si="136"/>
        <v>0</v>
      </c>
      <c r="O935" s="64" t="str">
        <f t="shared" si="137"/>
        <v xml:space="preserve"> </v>
      </c>
      <c r="Q935" s="97">
        <f t="shared" si="138"/>
        <v>0</v>
      </c>
      <c r="R935" s="96">
        <f t="shared" si="139"/>
        <v>0</v>
      </c>
      <c r="T935" s="67" t="str">
        <f>IF($B935&lt;&gt;"",INDEX(DataOB[],FirstRow+ROW()-7,MATCH(T$6,DataOB[#Headers],0)),"")</f>
        <v/>
      </c>
      <c r="U935" s="67" t="str">
        <f>IF($B935&lt;&gt;"",INDEX(DataOB[],FirstRow+ROW()-7,MATCH(U$6,DataOB[#Headers],0)),"")</f>
        <v/>
      </c>
      <c r="V935" s="67" t="str">
        <f>IF($B935&lt;&gt;"",INDEX(DataOB[],FirstRow+ROW()-7,MATCH(V$6,DataOB[#Headers],0)),"")</f>
        <v/>
      </c>
      <c r="W935" s="67" t="str">
        <f>IF($B935&lt;&gt;"",INDEX(DataOB[],FirstRow+ROW()-7,MATCH(W$6,DataOB[#Headers],0)),"")</f>
        <v/>
      </c>
      <c r="X935" s="67" t="str">
        <f>IF($B935&lt;&gt;"",INDEX(DataOB[],FirstRow+ROW()-7,MATCH(X$6,DataOB[#Headers],0)),"")</f>
        <v/>
      </c>
      <c r="Y935" s="67" t="str">
        <f>IF($B935&lt;&gt;"",INDEX(DataOB[],FirstRow+ROW()-7,MATCH(Y$6,DataOB[#Headers],0)),"")</f>
        <v/>
      </c>
      <c r="Z935" s="67" t="str">
        <f>IF($B935&lt;&gt;"",INDEX(DataOB[],FirstRow+ROW()-7,MATCH(Z$6,DataOB[#Headers],0)),"")</f>
        <v/>
      </c>
      <c r="AA935" s="67" t="str">
        <f>IF($B935&lt;&gt;"",INDEX(DataOB[],FirstRow+ROW()-7,MATCH(AA$6,DataOB[#Headers],0)),"")</f>
        <v/>
      </c>
      <c r="AB935" s="67" t="str">
        <f>IF($B935&lt;&gt;"",INDEX(DataOB[],FirstRow+ROW()-7,MATCH(AB$6,DataOB[#Headers],0)),"")</f>
        <v/>
      </c>
      <c r="AC935" s="67" t="str">
        <f>IF($B935&lt;&gt;"",INDEX(DataOB[],FirstRow+ROW()-7,MATCH(AC$6,DataOB[#Headers],0)),"")</f>
        <v/>
      </c>
      <c r="AD935" s="67" t="str">
        <f>IF($B935&lt;&gt;"",INDEX(DataOB[],FirstRow+ROW()-7,MATCH(AD$6,DataOB[#Headers],0)),"")</f>
        <v/>
      </c>
      <c r="AE935" s="67" t="str">
        <f>IF($B935&lt;&gt;"",INDEX(DataOB[],FirstRow+ROW()-7,MATCH(AE$6,DataOB[#Headers],0)),"")</f>
        <v/>
      </c>
      <c r="AF935" s="26">
        <f t="shared" si="140"/>
        <v>0</v>
      </c>
      <c r="AG935" s="31">
        <f>SUM($T935:T935)</f>
        <v>0</v>
      </c>
      <c r="AH935" s="31">
        <f>SUM($T935:U935)</f>
        <v>0</v>
      </c>
      <c r="AI935" s="31">
        <f>SUM($T935:V935)</f>
        <v>0</v>
      </c>
      <c r="AJ935" s="31">
        <f>SUM($T935:W935)</f>
        <v>0</v>
      </c>
      <c r="AK935" s="31">
        <f>SUM($T935:X935)</f>
        <v>0</v>
      </c>
      <c r="AL935" s="31">
        <f>SUM($T935:Y935)</f>
        <v>0</v>
      </c>
      <c r="AM935" s="31">
        <f>SUM($T935:Z935)</f>
        <v>0</v>
      </c>
      <c r="AN935" s="31">
        <f>SUM($T935:AA935)</f>
        <v>0</v>
      </c>
      <c r="AO935" s="31">
        <f>SUM($T935:AB935)</f>
        <v>0</v>
      </c>
      <c r="AP935" s="31">
        <f>SUM($T935:AC935)</f>
        <v>0</v>
      </c>
      <c r="AQ935" s="31">
        <f>SUM($T935:AD935)</f>
        <v>0</v>
      </c>
      <c r="AR935" s="31">
        <f>SUM($T935:AE935)</f>
        <v>0</v>
      </c>
      <c r="AS935" s="27">
        <f t="shared" si="141"/>
        <v>0</v>
      </c>
    </row>
    <row r="936" spans="2:45">
      <c r="B936" s="102" t="str">
        <f>IF(ROW()-6&gt;NumCostCenter,"",IF(CostCenter&lt;&gt;"ALL",CostCenter,DATA_LF2!B934))</f>
        <v/>
      </c>
      <c r="C936" s="153" t="str">
        <f>IF($B936&lt;&gt;"",INDEX(DataOB[],FirstRow+ROW()-7,2),"")</f>
        <v/>
      </c>
      <c r="D936" s="66" t="str">
        <f>IF($B936&lt;&gt;"",INDEX(DataOB[],FirstRow+ROW()-7,3),"")</f>
        <v/>
      </c>
      <c r="E936" s="103" t="str">
        <f>IF($B936&lt;&gt;"",INDEX(DataOB[],FirstRow+ROW()-7,6),"")</f>
        <v/>
      </c>
      <c r="F936" s="103" t="str">
        <f>IF($B936&lt;&gt;"",INDEX(DataOB[],FirstRow+ROW()-7,5),"")</f>
        <v/>
      </c>
      <c r="G936" s="58">
        <f>IF($B936&lt;&gt;"",SUMIFS(DataAct_tbl[AMOUNT],DataAct_tbl[BG CODE],Detail!$D936,DataAct_tbl[MONTH],LEFT(MonthName,3),DataAct_tbl[Dept code],$B936),0)</f>
        <v>0</v>
      </c>
      <c r="H936" s="31" t="str">
        <f t="shared" si="133"/>
        <v/>
      </c>
      <c r="I936" s="28" t="str">
        <f t="shared" si="134"/>
        <v/>
      </c>
      <c r="J936" s="32" t="str">
        <f t="shared" si="135"/>
        <v/>
      </c>
      <c r="K936" s="86"/>
      <c r="L936" s="62">
        <f>IF($B936&lt;&gt;"",SUMIFS(DataAct_tbl[AMOUNT],DataAct_tbl[BG CODE],Detail!$D936,DataAct_tbl[Check Range],"=true",DataAct_tbl[Dept code],$B936),0)</f>
        <v>0</v>
      </c>
      <c r="M936" s="63">
        <f>INDEX($AG$7:$AR$1005,ROW()-6,MATCH(MTD,$AG$6:$AR$6,0))</f>
        <v>0</v>
      </c>
      <c r="N936" s="34">
        <f t="shared" si="136"/>
        <v>0</v>
      </c>
      <c r="O936" s="64" t="str">
        <f t="shared" si="137"/>
        <v xml:space="preserve"> </v>
      </c>
      <c r="Q936" s="97">
        <f t="shared" si="138"/>
        <v>0</v>
      </c>
      <c r="R936" s="96">
        <f t="shared" si="139"/>
        <v>0</v>
      </c>
      <c r="T936" s="67" t="str">
        <f>IF($B936&lt;&gt;"",INDEX(DataOB[],FirstRow+ROW()-7,MATCH(T$6,DataOB[#Headers],0)),"")</f>
        <v/>
      </c>
      <c r="U936" s="67" t="str">
        <f>IF($B936&lt;&gt;"",INDEX(DataOB[],FirstRow+ROW()-7,MATCH(U$6,DataOB[#Headers],0)),"")</f>
        <v/>
      </c>
      <c r="V936" s="67" t="str">
        <f>IF($B936&lt;&gt;"",INDEX(DataOB[],FirstRow+ROW()-7,MATCH(V$6,DataOB[#Headers],0)),"")</f>
        <v/>
      </c>
      <c r="W936" s="67" t="str">
        <f>IF($B936&lt;&gt;"",INDEX(DataOB[],FirstRow+ROW()-7,MATCH(W$6,DataOB[#Headers],0)),"")</f>
        <v/>
      </c>
      <c r="X936" s="67" t="str">
        <f>IF($B936&lt;&gt;"",INDEX(DataOB[],FirstRow+ROW()-7,MATCH(X$6,DataOB[#Headers],0)),"")</f>
        <v/>
      </c>
      <c r="Y936" s="67" t="str">
        <f>IF($B936&lt;&gt;"",INDEX(DataOB[],FirstRow+ROW()-7,MATCH(Y$6,DataOB[#Headers],0)),"")</f>
        <v/>
      </c>
      <c r="Z936" s="67" t="str">
        <f>IF($B936&lt;&gt;"",INDEX(DataOB[],FirstRow+ROW()-7,MATCH(Z$6,DataOB[#Headers],0)),"")</f>
        <v/>
      </c>
      <c r="AA936" s="67" t="str">
        <f>IF($B936&lt;&gt;"",INDEX(DataOB[],FirstRow+ROW()-7,MATCH(AA$6,DataOB[#Headers],0)),"")</f>
        <v/>
      </c>
      <c r="AB936" s="67" t="str">
        <f>IF($B936&lt;&gt;"",INDEX(DataOB[],FirstRow+ROW()-7,MATCH(AB$6,DataOB[#Headers],0)),"")</f>
        <v/>
      </c>
      <c r="AC936" s="67" t="str">
        <f>IF($B936&lt;&gt;"",INDEX(DataOB[],FirstRow+ROW()-7,MATCH(AC$6,DataOB[#Headers],0)),"")</f>
        <v/>
      </c>
      <c r="AD936" s="67" t="str">
        <f>IF($B936&lt;&gt;"",INDEX(DataOB[],FirstRow+ROW()-7,MATCH(AD$6,DataOB[#Headers],0)),"")</f>
        <v/>
      </c>
      <c r="AE936" s="67" t="str">
        <f>IF($B936&lt;&gt;"",INDEX(DataOB[],FirstRow+ROW()-7,MATCH(AE$6,DataOB[#Headers],0)),"")</f>
        <v/>
      </c>
      <c r="AF936" s="26">
        <f t="shared" si="140"/>
        <v>0</v>
      </c>
      <c r="AG936" s="31">
        <f>SUM($T936:T936)</f>
        <v>0</v>
      </c>
      <c r="AH936" s="31">
        <f>SUM($T936:U936)</f>
        <v>0</v>
      </c>
      <c r="AI936" s="31">
        <f>SUM($T936:V936)</f>
        <v>0</v>
      </c>
      <c r="AJ936" s="31">
        <f>SUM($T936:W936)</f>
        <v>0</v>
      </c>
      <c r="AK936" s="31">
        <f>SUM($T936:X936)</f>
        <v>0</v>
      </c>
      <c r="AL936" s="31">
        <f>SUM($T936:Y936)</f>
        <v>0</v>
      </c>
      <c r="AM936" s="31">
        <f>SUM($T936:Z936)</f>
        <v>0</v>
      </c>
      <c r="AN936" s="31">
        <f>SUM($T936:AA936)</f>
        <v>0</v>
      </c>
      <c r="AO936" s="31">
        <f>SUM($T936:AB936)</f>
        <v>0</v>
      </c>
      <c r="AP936" s="31">
        <f>SUM($T936:AC936)</f>
        <v>0</v>
      </c>
      <c r="AQ936" s="31">
        <f>SUM($T936:AD936)</f>
        <v>0</v>
      </c>
      <c r="AR936" s="31">
        <f>SUM($T936:AE936)</f>
        <v>0</v>
      </c>
      <c r="AS936" s="27">
        <f t="shared" si="141"/>
        <v>0</v>
      </c>
    </row>
    <row r="937" spans="2:45">
      <c r="B937" s="102" t="str">
        <f>IF(ROW()-6&gt;NumCostCenter,"",IF(CostCenter&lt;&gt;"ALL",CostCenter,DATA_LF2!B935))</f>
        <v/>
      </c>
      <c r="C937" s="153" t="str">
        <f>IF($B937&lt;&gt;"",INDEX(DataOB[],FirstRow+ROW()-7,2),"")</f>
        <v/>
      </c>
      <c r="D937" s="66" t="str">
        <f>IF($B937&lt;&gt;"",INDEX(DataOB[],FirstRow+ROW()-7,3),"")</f>
        <v/>
      </c>
      <c r="E937" s="103" t="str">
        <f>IF($B937&lt;&gt;"",INDEX(DataOB[],FirstRow+ROW()-7,6),"")</f>
        <v/>
      </c>
      <c r="F937" s="103" t="str">
        <f>IF($B937&lt;&gt;"",INDEX(DataOB[],FirstRow+ROW()-7,5),"")</f>
        <v/>
      </c>
      <c r="G937" s="58">
        <f>IF($B937&lt;&gt;"",SUMIFS(DataAct_tbl[AMOUNT],DataAct_tbl[BG CODE],Detail!$D937,DataAct_tbl[MONTH],LEFT(MonthName,3),DataAct_tbl[Dept code],$B937),0)</f>
        <v>0</v>
      </c>
      <c r="H937" s="31" t="str">
        <f t="shared" si="133"/>
        <v/>
      </c>
      <c r="I937" s="28" t="str">
        <f t="shared" si="134"/>
        <v/>
      </c>
      <c r="J937" s="32" t="str">
        <f t="shared" si="135"/>
        <v/>
      </c>
      <c r="K937" s="86"/>
      <c r="L937" s="62">
        <f>IF($B937&lt;&gt;"",SUMIFS(DataAct_tbl[AMOUNT],DataAct_tbl[BG CODE],Detail!$D937,DataAct_tbl[Check Range],"=true",DataAct_tbl[Dept code],$B937),0)</f>
        <v>0</v>
      </c>
      <c r="M937" s="63">
        <f>INDEX($AG$7:$AR$1005,ROW()-6,MATCH(MTD,$AG$6:$AR$6,0))</f>
        <v>0</v>
      </c>
      <c r="N937" s="34">
        <f t="shared" si="136"/>
        <v>0</v>
      </c>
      <c r="O937" s="64" t="str">
        <f t="shared" si="137"/>
        <v xml:space="preserve"> </v>
      </c>
      <c r="Q937" s="97">
        <f t="shared" si="138"/>
        <v>0</v>
      </c>
      <c r="R937" s="96">
        <f t="shared" si="139"/>
        <v>0</v>
      </c>
      <c r="T937" s="67" t="str">
        <f>IF($B937&lt;&gt;"",INDEX(DataOB[],FirstRow+ROW()-7,MATCH(T$6,DataOB[#Headers],0)),"")</f>
        <v/>
      </c>
      <c r="U937" s="67" t="str">
        <f>IF($B937&lt;&gt;"",INDEX(DataOB[],FirstRow+ROW()-7,MATCH(U$6,DataOB[#Headers],0)),"")</f>
        <v/>
      </c>
      <c r="V937" s="67" t="str">
        <f>IF($B937&lt;&gt;"",INDEX(DataOB[],FirstRow+ROW()-7,MATCH(V$6,DataOB[#Headers],0)),"")</f>
        <v/>
      </c>
      <c r="W937" s="67" t="str">
        <f>IF($B937&lt;&gt;"",INDEX(DataOB[],FirstRow+ROW()-7,MATCH(W$6,DataOB[#Headers],0)),"")</f>
        <v/>
      </c>
      <c r="X937" s="67" t="str">
        <f>IF($B937&lt;&gt;"",INDEX(DataOB[],FirstRow+ROW()-7,MATCH(X$6,DataOB[#Headers],0)),"")</f>
        <v/>
      </c>
      <c r="Y937" s="67" t="str">
        <f>IF($B937&lt;&gt;"",INDEX(DataOB[],FirstRow+ROW()-7,MATCH(Y$6,DataOB[#Headers],0)),"")</f>
        <v/>
      </c>
      <c r="Z937" s="67" t="str">
        <f>IF($B937&lt;&gt;"",INDEX(DataOB[],FirstRow+ROW()-7,MATCH(Z$6,DataOB[#Headers],0)),"")</f>
        <v/>
      </c>
      <c r="AA937" s="67" t="str">
        <f>IF($B937&lt;&gt;"",INDEX(DataOB[],FirstRow+ROW()-7,MATCH(AA$6,DataOB[#Headers],0)),"")</f>
        <v/>
      </c>
      <c r="AB937" s="67" t="str">
        <f>IF($B937&lt;&gt;"",INDEX(DataOB[],FirstRow+ROW()-7,MATCH(AB$6,DataOB[#Headers],0)),"")</f>
        <v/>
      </c>
      <c r="AC937" s="67" t="str">
        <f>IF($B937&lt;&gt;"",INDEX(DataOB[],FirstRow+ROW()-7,MATCH(AC$6,DataOB[#Headers],0)),"")</f>
        <v/>
      </c>
      <c r="AD937" s="67" t="str">
        <f>IF($B937&lt;&gt;"",INDEX(DataOB[],FirstRow+ROW()-7,MATCH(AD$6,DataOB[#Headers],0)),"")</f>
        <v/>
      </c>
      <c r="AE937" s="67" t="str">
        <f>IF($B937&lt;&gt;"",INDEX(DataOB[],FirstRow+ROW()-7,MATCH(AE$6,DataOB[#Headers],0)),"")</f>
        <v/>
      </c>
      <c r="AF937" s="26">
        <f t="shared" si="140"/>
        <v>0</v>
      </c>
      <c r="AG937" s="31">
        <f>SUM($T937:T937)</f>
        <v>0</v>
      </c>
      <c r="AH937" s="31">
        <f>SUM($T937:U937)</f>
        <v>0</v>
      </c>
      <c r="AI937" s="31">
        <f>SUM($T937:V937)</f>
        <v>0</v>
      </c>
      <c r="AJ937" s="31">
        <f>SUM($T937:W937)</f>
        <v>0</v>
      </c>
      <c r="AK937" s="31">
        <f>SUM($T937:X937)</f>
        <v>0</v>
      </c>
      <c r="AL937" s="31">
        <f>SUM($T937:Y937)</f>
        <v>0</v>
      </c>
      <c r="AM937" s="31">
        <f>SUM($T937:Z937)</f>
        <v>0</v>
      </c>
      <c r="AN937" s="31">
        <f>SUM($T937:AA937)</f>
        <v>0</v>
      </c>
      <c r="AO937" s="31">
        <f>SUM($T937:AB937)</f>
        <v>0</v>
      </c>
      <c r="AP937" s="31">
        <f>SUM($T937:AC937)</f>
        <v>0</v>
      </c>
      <c r="AQ937" s="31">
        <f>SUM($T937:AD937)</f>
        <v>0</v>
      </c>
      <c r="AR937" s="31">
        <f>SUM($T937:AE937)</f>
        <v>0</v>
      </c>
      <c r="AS937" s="27">
        <f t="shared" si="141"/>
        <v>0</v>
      </c>
    </row>
    <row r="938" spans="2:45">
      <c r="B938" s="102" t="str">
        <f>IF(ROW()-6&gt;NumCostCenter,"",IF(CostCenter&lt;&gt;"ALL",CostCenter,DATA_LF2!B936))</f>
        <v/>
      </c>
      <c r="C938" s="153" t="str">
        <f>IF($B938&lt;&gt;"",INDEX(DataOB[],FirstRow+ROW()-7,2),"")</f>
        <v/>
      </c>
      <c r="D938" s="66" t="str">
        <f>IF($B938&lt;&gt;"",INDEX(DataOB[],FirstRow+ROW()-7,3),"")</f>
        <v/>
      </c>
      <c r="E938" s="103" t="str">
        <f>IF($B938&lt;&gt;"",INDEX(DataOB[],FirstRow+ROW()-7,6),"")</f>
        <v/>
      </c>
      <c r="F938" s="103" t="str">
        <f>IF($B938&lt;&gt;"",INDEX(DataOB[],FirstRow+ROW()-7,5),"")</f>
        <v/>
      </c>
      <c r="G938" s="58">
        <f>IF($B938&lt;&gt;"",SUMIFS(DataAct_tbl[AMOUNT],DataAct_tbl[BG CODE],Detail!$D938,DataAct_tbl[MONTH],LEFT(MonthName,3),DataAct_tbl[Dept code],$B938),0)</f>
        <v>0</v>
      </c>
      <c r="H938" s="31" t="str">
        <f t="shared" si="133"/>
        <v/>
      </c>
      <c r="I938" s="28" t="str">
        <f t="shared" si="134"/>
        <v/>
      </c>
      <c r="J938" s="32" t="str">
        <f t="shared" si="135"/>
        <v/>
      </c>
      <c r="K938" s="86"/>
      <c r="L938" s="62">
        <f>IF($B938&lt;&gt;"",SUMIFS(DataAct_tbl[AMOUNT],DataAct_tbl[BG CODE],Detail!$D938,DataAct_tbl[Check Range],"=true",DataAct_tbl[Dept code],$B938),0)</f>
        <v>0</v>
      </c>
      <c r="M938" s="63">
        <f>INDEX($AG$7:$AR$1005,ROW()-6,MATCH(MTD,$AG$6:$AR$6,0))</f>
        <v>0</v>
      </c>
      <c r="N938" s="34">
        <f t="shared" si="136"/>
        <v>0</v>
      </c>
      <c r="O938" s="64" t="str">
        <f t="shared" si="137"/>
        <v xml:space="preserve"> </v>
      </c>
      <c r="Q938" s="97">
        <f t="shared" si="138"/>
        <v>0</v>
      </c>
      <c r="R938" s="96">
        <f t="shared" si="139"/>
        <v>0</v>
      </c>
      <c r="T938" s="67" t="str">
        <f>IF($B938&lt;&gt;"",INDEX(DataOB[],FirstRow+ROW()-7,MATCH(T$6,DataOB[#Headers],0)),"")</f>
        <v/>
      </c>
      <c r="U938" s="67" t="str">
        <f>IF($B938&lt;&gt;"",INDEX(DataOB[],FirstRow+ROW()-7,MATCH(U$6,DataOB[#Headers],0)),"")</f>
        <v/>
      </c>
      <c r="V938" s="67" t="str">
        <f>IF($B938&lt;&gt;"",INDEX(DataOB[],FirstRow+ROW()-7,MATCH(V$6,DataOB[#Headers],0)),"")</f>
        <v/>
      </c>
      <c r="W938" s="67" t="str">
        <f>IF($B938&lt;&gt;"",INDEX(DataOB[],FirstRow+ROW()-7,MATCH(W$6,DataOB[#Headers],0)),"")</f>
        <v/>
      </c>
      <c r="X938" s="67" t="str">
        <f>IF($B938&lt;&gt;"",INDEX(DataOB[],FirstRow+ROW()-7,MATCH(X$6,DataOB[#Headers],0)),"")</f>
        <v/>
      </c>
      <c r="Y938" s="67" t="str">
        <f>IF($B938&lt;&gt;"",INDEX(DataOB[],FirstRow+ROW()-7,MATCH(Y$6,DataOB[#Headers],0)),"")</f>
        <v/>
      </c>
      <c r="Z938" s="67" t="str">
        <f>IF($B938&lt;&gt;"",INDEX(DataOB[],FirstRow+ROW()-7,MATCH(Z$6,DataOB[#Headers],0)),"")</f>
        <v/>
      </c>
      <c r="AA938" s="67" t="str">
        <f>IF($B938&lt;&gt;"",INDEX(DataOB[],FirstRow+ROW()-7,MATCH(AA$6,DataOB[#Headers],0)),"")</f>
        <v/>
      </c>
      <c r="AB938" s="67" t="str">
        <f>IF($B938&lt;&gt;"",INDEX(DataOB[],FirstRow+ROW()-7,MATCH(AB$6,DataOB[#Headers],0)),"")</f>
        <v/>
      </c>
      <c r="AC938" s="67" t="str">
        <f>IF($B938&lt;&gt;"",INDEX(DataOB[],FirstRow+ROW()-7,MATCH(AC$6,DataOB[#Headers],0)),"")</f>
        <v/>
      </c>
      <c r="AD938" s="67" t="str">
        <f>IF($B938&lt;&gt;"",INDEX(DataOB[],FirstRow+ROW()-7,MATCH(AD$6,DataOB[#Headers],0)),"")</f>
        <v/>
      </c>
      <c r="AE938" s="67" t="str">
        <f>IF($B938&lt;&gt;"",INDEX(DataOB[],FirstRow+ROW()-7,MATCH(AE$6,DataOB[#Headers],0)),"")</f>
        <v/>
      </c>
      <c r="AF938" s="26">
        <f t="shared" si="140"/>
        <v>0</v>
      </c>
      <c r="AG938" s="31">
        <f>SUM($T938:T938)</f>
        <v>0</v>
      </c>
      <c r="AH938" s="31">
        <f>SUM($T938:U938)</f>
        <v>0</v>
      </c>
      <c r="AI938" s="31">
        <f>SUM($T938:V938)</f>
        <v>0</v>
      </c>
      <c r="AJ938" s="31">
        <f>SUM($T938:W938)</f>
        <v>0</v>
      </c>
      <c r="AK938" s="31">
        <f>SUM($T938:X938)</f>
        <v>0</v>
      </c>
      <c r="AL938" s="31">
        <f>SUM($T938:Y938)</f>
        <v>0</v>
      </c>
      <c r="AM938" s="31">
        <f>SUM($T938:Z938)</f>
        <v>0</v>
      </c>
      <c r="AN938" s="31">
        <f>SUM($T938:AA938)</f>
        <v>0</v>
      </c>
      <c r="AO938" s="31">
        <f>SUM($T938:AB938)</f>
        <v>0</v>
      </c>
      <c r="AP938" s="31">
        <f>SUM($T938:AC938)</f>
        <v>0</v>
      </c>
      <c r="AQ938" s="31">
        <f>SUM($T938:AD938)</f>
        <v>0</v>
      </c>
      <c r="AR938" s="31">
        <f>SUM($T938:AE938)</f>
        <v>0</v>
      </c>
      <c r="AS938" s="27">
        <f t="shared" si="141"/>
        <v>0</v>
      </c>
    </row>
    <row r="939" spans="2:45">
      <c r="B939" s="102" t="str">
        <f>IF(ROW()-6&gt;NumCostCenter,"",IF(CostCenter&lt;&gt;"ALL",CostCenter,DATA_LF2!B937))</f>
        <v/>
      </c>
      <c r="C939" s="153" t="str">
        <f>IF($B939&lt;&gt;"",INDEX(DataOB[],FirstRow+ROW()-7,2),"")</f>
        <v/>
      </c>
      <c r="D939" s="66" t="str">
        <f>IF($B939&lt;&gt;"",INDEX(DataOB[],FirstRow+ROW()-7,3),"")</f>
        <v/>
      </c>
      <c r="E939" s="103" t="str">
        <f>IF($B939&lt;&gt;"",INDEX(DataOB[],FirstRow+ROW()-7,6),"")</f>
        <v/>
      </c>
      <c r="F939" s="103" t="str">
        <f>IF($B939&lt;&gt;"",INDEX(DataOB[],FirstRow+ROW()-7,5),"")</f>
        <v/>
      </c>
      <c r="G939" s="58">
        <f>IF($B939&lt;&gt;"",SUMIFS(DataAct_tbl[AMOUNT],DataAct_tbl[BG CODE],Detail!$D939,DataAct_tbl[MONTH],LEFT(MonthName,3),DataAct_tbl[Dept code],$B939),0)</f>
        <v>0</v>
      </c>
      <c r="H939" s="31" t="str">
        <f t="shared" si="133"/>
        <v/>
      </c>
      <c r="I939" s="28" t="str">
        <f t="shared" si="134"/>
        <v/>
      </c>
      <c r="J939" s="32" t="str">
        <f t="shared" si="135"/>
        <v/>
      </c>
      <c r="K939" s="86"/>
      <c r="L939" s="62">
        <f>IF($B939&lt;&gt;"",SUMIFS(DataAct_tbl[AMOUNT],DataAct_tbl[BG CODE],Detail!$D939,DataAct_tbl[Check Range],"=true",DataAct_tbl[Dept code],$B939),0)</f>
        <v>0</v>
      </c>
      <c r="M939" s="63">
        <f>INDEX($AG$7:$AR$1005,ROW()-6,MATCH(MTD,$AG$6:$AR$6,0))</f>
        <v>0</v>
      </c>
      <c r="N939" s="34">
        <f t="shared" si="136"/>
        <v>0</v>
      </c>
      <c r="O939" s="64" t="str">
        <f t="shared" si="137"/>
        <v xml:space="preserve"> </v>
      </c>
      <c r="Q939" s="97">
        <f t="shared" si="138"/>
        <v>0</v>
      </c>
      <c r="R939" s="96">
        <f t="shared" si="139"/>
        <v>0</v>
      </c>
      <c r="T939" s="67" t="str">
        <f>IF($B939&lt;&gt;"",INDEX(DataOB[],FirstRow+ROW()-7,MATCH(T$6,DataOB[#Headers],0)),"")</f>
        <v/>
      </c>
      <c r="U939" s="67" t="str">
        <f>IF($B939&lt;&gt;"",INDEX(DataOB[],FirstRow+ROW()-7,MATCH(U$6,DataOB[#Headers],0)),"")</f>
        <v/>
      </c>
      <c r="V939" s="67" t="str">
        <f>IF($B939&lt;&gt;"",INDEX(DataOB[],FirstRow+ROW()-7,MATCH(V$6,DataOB[#Headers],0)),"")</f>
        <v/>
      </c>
      <c r="W939" s="67" t="str">
        <f>IF($B939&lt;&gt;"",INDEX(DataOB[],FirstRow+ROW()-7,MATCH(W$6,DataOB[#Headers],0)),"")</f>
        <v/>
      </c>
      <c r="X939" s="67" t="str">
        <f>IF($B939&lt;&gt;"",INDEX(DataOB[],FirstRow+ROW()-7,MATCH(X$6,DataOB[#Headers],0)),"")</f>
        <v/>
      </c>
      <c r="Y939" s="67" t="str">
        <f>IF($B939&lt;&gt;"",INDEX(DataOB[],FirstRow+ROW()-7,MATCH(Y$6,DataOB[#Headers],0)),"")</f>
        <v/>
      </c>
      <c r="Z939" s="67" t="str">
        <f>IF($B939&lt;&gt;"",INDEX(DataOB[],FirstRow+ROW()-7,MATCH(Z$6,DataOB[#Headers],0)),"")</f>
        <v/>
      </c>
      <c r="AA939" s="67" t="str">
        <f>IF($B939&lt;&gt;"",INDEX(DataOB[],FirstRow+ROW()-7,MATCH(AA$6,DataOB[#Headers],0)),"")</f>
        <v/>
      </c>
      <c r="AB939" s="67" t="str">
        <f>IF($B939&lt;&gt;"",INDEX(DataOB[],FirstRow+ROW()-7,MATCH(AB$6,DataOB[#Headers],0)),"")</f>
        <v/>
      </c>
      <c r="AC939" s="67" t="str">
        <f>IF($B939&lt;&gt;"",INDEX(DataOB[],FirstRow+ROW()-7,MATCH(AC$6,DataOB[#Headers],0)),"")</f>
        <v/>
      </c>
      <c r="AD939" s="67" t="str">
        <f>IF($B939&lt;&gt;"",INDEX(DataOB[],FirstRow+ROW()-7,MATCH(AD$6,DataOB[#Headers],0)),"")</f>
        <v/>
      </c>
      <c r="AE939" s="67" t="str">
        <f>IF($B939&lt;&gt;"",INDEX(DataOB[],FirstRow+ROW()-7,MATCH(AE$6,DataOB[#Headers],0)),"")</f>
        <v/>
      </c>
      <c r="AF939" s="26">
        <f t="shared" si="140"/>
        <v>0</v>
      </c>
      <c r="AG939" s="31">
        <f>SUM($T939:T939)</f>
        <v>0</v>
      </c>
      <c r="AH939" s="31">
        <f>SUM($T939:U939)</f>
        <v>0</v>
      </c>
      <c r="AI939" s="31">
        <f>SUM($T939:V939)</f>
        <v>0</v>
      </c>
      <c r="AJ939" s="31">
        <f>SUM($T939:W939)</f>
        <v>0</v>
      </c>
      <c r="AK939" s="31">
        <f>SUM($T939:X939)</f>
        <v>0</v>
      </c>
      <c r="AL939" s="31">
        <f>SUM($T939:Y939)</f>
        <v>0</v>
      </c>
      <c r="AM939" s="31">
        <f>SUM($T939:Z939)</f>
        <v>0</v>
      </c>
      <c r="AN939" s="31">
        <f>SUM($T939:AA939)</f>
        <v>0</v>
      </c>
      <c r="AO939" s="31">
        <f>SUM($T939:AB939)</f>
        <v>0</v>
      </c>
      <c r="AP939" s="31">
        <f>SUM($T939:AC939)</f>
        <v>0</v>
      </c>
      <c r="AQ939" s="31">
        <f>SUM($T939:AD939)</f>
        <v>0</v>
      </c>
      <c r="AR939" s="31">
        <f>SUM($T939:AE939)</f>
        <v>0</v>
      </c>
      <c r="AS939" s="27">
        <f t="shared" si="141"/>
        <v>0</v>
      </c>
    </row>
    <row r="940" spans="2:45">
      <c r="B940" s="102" t="str">
        <f>IF(ROW()-6&gt;NumCostCenter,"",IF(CostCenter&lt;&gt;"ALL",CostCenter,DATA_LF2!B938))</f>
        <v/>
      </c>
      <c r="C940" s="153" t="str">
        <f>IF($B940&lt;&gt;"",INDEX(DataOB[],FirstRow+ROW()-7,2),"")</f>
        <v/>
      </c>
      <c r="D940" s="66" t="str">
        <f>IF($B940&lt;&gt;"",INDEX(DataOB[],FirstRow+ROW()-7,3),"")</f>
        <v/>
      </c>
      <c r="E940" s="103" t="str">
        <f>IF($B940&lt;&gt;"",INDEX(DataOB[],FirstRow+ROW()-7,6),"")</f>
        <v/>
      </c>
      <c r="F940" s="103" t="str">
        <f>IF($B940&lt;&gt;"",INDEX(DataOB[],FirstRow+ROW()-7,5),"")</f>
        <v/>
      </c>
      <c r="G940" s="58">
        <f>IF($B940&lt;&gt;"",SUMIFS(DataAct_tbl[AMOUNT],DataAct_tbl[BG CODE],Detail!$D940,DataAct_tbl[MONTH],LEFT(MonthName,3),DataAct_tbl[Dept code],$B940),0)</f>
        <v>0</v>
      </c>
      <c r="H940" s="31" t="str">
        <f t="shared" si="133"/>
        <v/>
      </c>
      <c r="I940" s="28" t="str">
        <f t="shared" si="134"/>
        <v/>
      </c>
      <c r="J940" s="32" t="str">
        <f t="shared" si="135"/>
        <v/>
      </c>
      <c r="K940" s="86"/>
      <c r="L940" s="62">
        <f>IF($B940&lt;&gt;"",SUMIFS(DataAct_tbl[AMOUNT],DataAct_tbl[BG CODE],Detail!$D940,DataAct_tbl[Check Range],"=true",DataAct_tbl[Dept code],$B940),0)</f>
        <v>0</v>
      </c>
      <c r="M940" s="63">
        <f>INDEX($AG$7:$AR$1005,ROW()-6,MATCH(MTD,$AG$6:$AR$6,0))</f>
        <v>0</v>
      </c>
      <c r="N940" s="34">
        <f t="shared" si="136"/>
        <v>0</v>
      </c>
      <c r="O940" s="64" t="str">
        <f t="shared" si="137"/>
        <v xml:space="preserve"> </v>
      </c>
      <c r="Q940" s="97">
        <f t="shared" si="138"/>
        <v>0</v>
      </c>
      <c r="R940" s="96">
        <f t="shared" si="139"/>
        <v>0</v>
      </c>
      <c r="T940" s="67" t="str">
        <f>IF($B940&lt;&gt;"",INDEX(DataOB[],FirstRow+ROW()-7,MATCH(T$6,DataOB[#Headers],0)),"")</f>
        <v/>
      </c>
      <c r="U940" s="67" t="str">
        <f>IF($B940&lt;&gt;"",INDEX(DataOB[],FirstRow+ROW()-7,MATCH(U$6,DataOB[#Headers],0)),"")</f>
        <v/>
      </c>
      <c r="V940" s="67" t="str">
        <f>IF($B940&lt;&gt;"",INDEX(DataOB[],FirstRow+ROW()-7,MATCH(V$6,DataOB[#Headers],0)),"")</f>
        <v/>
      </c>
      <c r="W940" s="67" t="str">
        <f>IF($B940&lt;&gt;"",INDEX(DataOB[],FirstRow+ROW()-7,MATCH(W$6,DataOB[#Headers],0)),"")</f>
        <v/>
      </c>
      <c r="X940" s="67" t="str">
        <f>IF($B940&lt;&gt;"",INDEX(DataOB[],FirstRow+ROW()-7,MATCH(X$6,DataOB[#Headers],0)),"")</f>
        <v/>
      </c>
      <c r="Y940" s="67" t="str">
        <f>IF($B940&lt;&gt;"",INDEX(DataOB[],FirstRow+ROW()-7,MATCH(Y$6,DataOB[#Headers],0)),"")</f>
        <v/>
      </c>
      <c r="Z940" s="67" t="str">
        <f>IF($B940&lt;&gt;"",INDEX(DataOB[],FirstRow+ROW()-7,MATCH(Z$6,DataOB[#Headers],0)),"")</f>
        <v/>
      </c>
      <c r="AA940" s="67" t="str">
        <f>IF($B940&lt;&gt;"",INDEX(DataOB[],FirstRow+ROW()-7,MATCH(AA$6,DataOB[#Headers],0)),"")</f>
        <v/>
      </c>
      <c r="AB940" s="67" t="str">
        <f>IF($B940&lt;&gt;"",INDEX(DataOB[],FirstRow+ROW()-7,MATCH(AB$6,DataOB[#Headers],0)),"")</f>
        <v/>
      </c>
      <c r="AC940" s="67" t="str">
        <f>IF($B940&lt;&gt;"",INDEX(DataOB[],FirstRow+ROW()-7,MATCH(AC$6,DataOB[#Headers],0)),"")</f>
        <v/>
      </c>
      <c r="AD940" s="67" t="str">
        <f>IF($B940&lt;&gt;"",INDEX(DataOB[],FirstRow+ROW()-7,MATCH(AD$6,DataOB[#Headers],0)),"")</f>
        <v/>
      </c>
      <c r="AE940" s="67" t="str">
        <f>IF($B940&lt;&gt;"",INDEX(DataOB[],FirstRow+ROW()-7,MATCH(AE$6,DataOB[#Headers],0)),"")</f>
        <v/>
      </c>
      <c r="AF940" s="26">
        <f t="shared" si="140"/>
        <v>0</v>
      </c>
      <c r="AG940" s="31">
        <f>SUM($T940:T940)</f>
        <v>0</v>
      </c>
      <c r="AH940" s="31">
        <f>SUM($T940:U940)</f>
        <v>0</v>
      </c>
      <c r="AI940" s="31">
        <f>SUM($T940:V940)</f>
        <v>0</v>
      </c>
      <c r="AJ940" s="31">
        <f>SUM($T940:W940)</f>
        <v>0</v>
      </c>
      <c r="AK940" s="31">
        <f>SUM($T940:X940)</f>
        <v>0</v>
      </c>
      <c r="AL940" s="31">
        <f>SUM($T940:Y940)</f>
        <v>0</v>
      </c>
      <c r="AM940" s="31">
        <f>SUM($T940:Z940)</f>
        <v>0</v>
      </c>
      <c r="AN940" s="31">
        <f>SUM($T940:AA940)</f>
        <v>0</v>
      </c>
      <c r="AO940" s="31">
        <f>SUM($T940:AB940)</f>
        <v>0</v>
      </c>
      <c r="AP940" s="31">
        <f>SUM($T940:AC940)</f>
        <v>0</v>
      </c>
      <c r="AQ940" s="31">
        <f>SUM($T940:AD940)</f>
        <v>0</v>
      </c>
      <c r="AR940" s="31">
        <f>SUM($T940:AE940)</f>
        <v>0</v>
      </c>
      <c r="AS940" s="27">
        <f t="shared" si="141"/>
        <v>0</v>
      </c>
    </row>
    <row r="941" spans="2:45">
      <c r="B941" s="102" t="str">
        <f>IF(ROW()-6&gt;NumCostCenter,"",IF(CostCenter&lt;&gt;"ALL",CostCenter,DATA_LF2!B939))</f>
        <v/>
      </c>
      <c r="C941" s="153" t="str">
        <f>IF($B941&lt;&gt;"",INDEX(DataOB[],FirstRow+ROW()-7,2),"")</f>
        <v/>
      </c>
      <c r="D941" s="66" t="str">
        <f>IF($B941&lt;&gt;"",INDEX(DataOB[],FirstRow+ROW()-7,3),"")</f>
        <v/>
      </c>
      <c r="E941" s="103" t="str">
        <f>IF($B941&lt;&gt;"",INDEX(DataOB[],FirstRow+ROW()-7,6),"")</f>
        <v/>
      </c>
      <c r="F941" s="103" t="str">
        <f>IF($B941&lt;&gt;"",INDEX(DataOB[],FirstRow+ROW()-7,5),"")</f>
        <v/>
      </c>
      <c r="G941" s="58">
        <f>IF($B941&lt;&gt;"",SUMIFS(DataAct_tbl[AMOUNT],DataAct_tbl[BG CODE],Detail!$D941,DataAct_tbl[MONTH],LEFT(MonthName,3),DataAct_tbl[Dept code],$B941),0)</f>
        <v>0</v>
      </c>
      <c r="H941" s="31" t="str">
        <f t="shared" si="133"/>
        <v/>
      </c>
      <c r="I941" s="28" t="str">
        <f t="shared" si="134"/>
        <v/>
      </c>
      <c r="J941" s="32" t="str">
        <f t="shared" si="135"/>
        <v/>
      </c>
      <c r="K941" s="86"/>
      <c r="L941" s="62">
        <f>IF($B941&lt;&gt;"",SUMIFS(DataAct_tbl[AMOUNT],DataAct_tbl[BG CODE],Detail!$D941,DataAct_tbl[Check Range],"=true",DataAct_tbl[Dept code],$B941),0)</f>
        <v>0</v>
      </c>
      <c r="M941" s="63">
        <f>INDEX($AG$7:$AR$1005,ROW()-6,MATCH(MTD,$AG$6:$AR$6,0))</f>
        <v>0</v>
      </c>
      <c r="N941" s="34">
        <f t="shared" si="136"/>
        <v>0</v>
      </c>
      <c r="O941" s="64" t="str">
        <f t="shared" si="137"/>
        <v xml:space="preserve"> </v>
      </c>
      <c r="Q941" s="97">
        <f t="shared" si="138"/>
        <v>0</v>
      </c>
      <c r="R941" s="96">
        <f t="shared" si="139"/>
        <v>0</v>
      </c>
      <c r="T941" s="67" t="str">
        <f>IF($B941&lt;&gt;"",INDEX(DataOB[],FirstRow+ROW()-7,MATCH(T$6,DataOB[#Headers],0)),"")</f>
        <v/>
      </c>
      <c r="U941" s="67" t="str">
        <f>IF($B941&lt;&gt;"",INDEX(DataOB[],FirstRow+ROW()-7,MATCH(U$6,DataOB[#Headers],0)),"")</f>
        <v/>
      </c>
      <c r="V941" s="67" t="str">
        <f>IF($B941&lt;&gt;"",INDEX(DataOB[],FirstRow+ROW()-7,MATCH(V$6,DataOB[#Headers],0)),"")</f>
        <v/>
      </c>
      <c r="W941" s="67" t="str">
        <f>IF($B941&lt;&gt;"",INDEX(DataOB[],FirstRow+ROW()-7,MATCH(W$6,DataOB[#Headers],0)),"")</f>
        <v/>
      </c>
      <c r="X941" s="67" t="str">
        <f>IF($B941&lt;&gt;"",INDEX(DataOB[],FirstRow+ROW()-7,MATCH(X$6,DataOB[#Headers],0)),"")</f>
        <v/>
      </c>
      <c r="Y941" s="67" t="str">
        <f>IF($B941&lt;&gt;"",INDEX(DataOB[],FirstRow+ROW()-7,MATCH(Y$6,DataOB[#Headers],0)),"")</f>
        <v/>
      </c>
      <c r="Z941" s="67" t="str">
        <f>IF($B941&lt;&gt;"",INDEX(DataOB[],FirstRow+ROW()-7,MATCH(Z$6,DataOB[#Headers],0)),"")</f>
        <v/>
      </c>
      <c r="AA941" s="67" t="str">
        <f>IF($B941&lt;&gt;"",INDEX(DataOB[],FirstRow+ROW()-7,MATCH(AA$6,DataOB[#Headers],0)),"")</f>
        <v/>
      </c>
      <c r="AB941" s="67" t="str">
        <f>IF($B941&lt;&gt;"",INDEX(DataOB[],FirstRow+ROW()-7,MATCH(AB$6,DataOB[#Headers],0)),"")</f>
        <v/>
      </c>
      <c r="AC941" s="67" t="str">
        <f>IF($B941&lt;&gt;"",INDEX(DataOB[],FirstRow+ROW()-7,MATCH(AC$6,DataOB[#Headers],0)),"")</f>
        <v/>
      </c>
      <c r="AD941" s="67" t="str">
        <f>IF($B941&lt;&gt;"",INDEX(DataOB[],FirstRow+ROW()-7,MATCH(AD$6,DataOB[#Headers],0)),"")</f>
        <v/>
      </c>
      <c r="AE941" s="67" t="str">
        <f>IF($B941&lt;&gt;"",INDEX(DataOB[],FirstRow+ROW()-7,MATCH(AE$6,DataOB[#Headers],0)),"")</f>
        <v/>
      </c>
      <c r="AF941" s="26">
        <f t="shared" si="140"/>
        <v>0</v>
      </c>
      <c r="AG941" s="31">
        <f>SUM($T941:T941)</f>
        <v>0</v>
      </c>
      <c r="AH941" s="31">
        <f>SUM($T941:U941)</f>
        <v>0</v>
      </c>
      <c r="AI941" s="31">
        <f>SUM($T941:V941)</f>
        <v>0</v>
      </c>
      <c r="AJ941" s="31">
        <f>SUM($T941:W941)</f>
        <v>0</v>
      </c>
      <c r="AK941" s="31">
        <f>SUM($T941:X941)</f>
        <v>0</v>
      </c>
      <c r="AL941" s="31">
        <f>SUM($T941:Y941)</f>
        <v>0</v>
      </c>
      <c r="AM941" s="31">
        <f>SUM($T941:Z941)</f>
        <v>0</v>
      </c>
      <c r="AN941" s="31">
        <f>SUM($T941:AA941)</f>
        <v>0</v>
      </c>
      <c r="AO941" s="31">
        <f>SUM($T941:AB941)</f>
        <v>0</v>
      </c>
      <c r="AP941" s="31">
        <f>SUM($T941:AC941)</f>
        <v>0</v>
      </c>
      <c r="AQ941" s="31">
        <f>SUM($T941:AD941)</f>
        <v>0</v>
      </c>
      <c r="AR941" s="31">
        <f>SUM($T941:AE941)</f>
        <v>0</v>
      </c>
      <c r="AS941" s="27">
        <f t="shared" si="141"/>
        <v>0</v>
      </c>
    </row>
    <row r="942" spans="2:45">
      <c r="B942" s="102" t="str">
        <f>IF(ROW()-6&gt;NumCostCenter,"",IF(CostCenter&lt;&gt;"ALL",CostCenter,DATA_LF2!B940))</f>
        <v/>
      </c>
      <c r="C942" s="153" t="str">
        <f>IF($B942&lt;&gt;"",INDEX(DataOB[],FirstRow+ROW()-7,2),"")</f>
        <v/>
      </c>
      <c r="D942" s="66" t="str">
        <f>IF($B942&lt;&gt;"",INDEX(DataOB[],FirstRow+ROW()-7,3),"")</f>
        <v/>
      </c>
      <c r="E942" s="103" t="str">
        <f>IF($B942&lt;&gt;"",INDEX(DataOB[],FirstRow+ROW()-7,6),"")</f>
        <v/>
      </c>
      <c r="F942" s="103" t="str">
        <f>IF($B942&lt;&gt;"",INDEX(DataOB[],FirstRow+ROW()-7,5),"")</f>
        <v/>
      </c>
      <c r="G942" s="58">
        <f>IF($B942&lt;&gt;"",SUMIFS(DataAct_tbl[AMOUNT],DataAct_tbl[BG CODE],Detail!$D942,DataAct_tbl[MONTH],LEFT(MonthName,3),DataAct_tbl[Dept code],$B942),0)</f>
        <v>0</v>
      </c>
      <c r="H942" s="31" t="str">
        <f t="shared" si="133"/>
        <v/>
      </c>
      <c r="I942" s="28" t="str">
        <f t="shared" si="134"/>
        <v/>
      </c>
      <c r="J942" s="32" t="str">
        <f t="shared" si="135"/>
        <v/>
      </c>
      <c r="K942" s="86"/>
      <c r="L942" s="62">
        <f>IF($B942&lt;&gt;"",SUMIFS(DataAct_tbl[AMOUNT],DataAct_tbl[BG CODE],Detail!$D942,DataAct_tbl[Check Range],"=true",DataAct_tbl[Dept code],$B942),0)</f>
        <v>0</v>
      </c>
      <c r="M942" s="63">
        <f>INDEX($AG$7:$AR$1005,ROW()-6,MATCH(MTD,$AG$6:$AR$6,0))</f>
        <v>0</v>
      </c>
      <c r="N942" s="34">
        <f t="shared" si="136"/>
        <v>0</v>
      </c>
      <c r="O942" s="64" t="str">
        <f t="shared" si="137"/>
        <v xml:space="preserve"> </v>
      </c>
      <c r="Q942" s="97">
        <f t="shared" si="138"/>
        <v>0</v>
      </c>
      <c r="R942" s="96">
        <f t="shared" si="139"/>
        <v>0</v>
      </c>
      <c r="T942" s="67" t="str">
        <f>IF($B942&lt;&gt;"",INDEX(DataOB[],FirstRow+ROW()-7,MATCH(T$6,DataOB[#Headers],0)),"")</f>
        <v/>
      </c>
      <c r="U942" s="67" t="str">
        <f>IF($B942&lt;&gt;"",INDEX(DataOB[],FirstRow+ROW()-7,MATCH(U$6,DataOB[#Headers],0)),"")</f>
        <v/>
      </c>
      <c r="V942" s="67" t="str">
        <f>IF($B942&lt;&gt;"",INDEX(DataOB[],FirstRow+ROW()-7,MATCH(V$6,DataOB[#Headers],0)),"")</f>
        <v/>
      </c>
      <c r="W942" s="67" t="str">
        <f>IF($B942&lt;&gt;"",INDEX(DataOB[],FirstRow+ROW()-7,MATCH(W$6,DataOB[#Headers],0)),"")</f>
        <v/>
      </c>
      <c r="X942" s="67" t="str">
        <f>IF($B942&lt;&gt;"",INDEX(DataOB[],FirstRow+ROW()-7,MATCH(X$6,DataOB[#Headers],0)),"")</f>
        <v/>
      </c>
      <c r="Y942" s="67" t="str">
        <f>IF($B942&lt;&gt;"",INDEX(DataOB[],FirstRow+ROW()-7,MATCH(Y$6,DataOB[#Headers],0)),"")</f>
        <v/>
      </c>
      <c r="Z942" s="67" t="str">
        <f>IF($B942&lt;&gt;"",INDEX(DataOB[],FirstRow+ROW()-7,MATCH(Z$6,DataOB[#Headers],0)),"")</f>
        <v/>
      </c>
      <c r="AA942" s="67" t="str">
        <f>IF($B942&lt;&gt;"",INDEX(DataOB[],FirstRow+ROW()-7,MATCH(AA$6,DataOB[#Headers],0)),"")</f>
        <v/>
      </c>
      <c r="AB942" s="67" t="str">
        <f>IF($B942&lt;&gt;"",INDEX(DataOB[],FirstRow+ROW()-7,MATCH(AB$6,DataOB[#Headers],0)),"")</f>
        <v/>
      </c>
      <c r="AC942" s="67" t="str">
        <f>IF($B942&lt;&gt;"",INDEX(DataOB[],FirstRow+ROW()-7,MATCH(AC$6,DataOB[#Headers],0)),"")</f>
        <v/>
      </c>
      <c r="AD942" s="67" t="str">
        <f>IF($B942&lt;&gt;"",INDEX(DataOB[],FirstRow+ROW()-7,MATCH(AD$6,DataOB[#Headers],0)),"")</f>
        <v/>
      </c>
      <c r="AE942" s="67" t="str">
        <f>IF($B942&lt;&gt;"",INDEX(DataOB[],FirstRow+ROW()-7,MATCH(AE$6,DataOB[#Headers],0)),"")</f>
        <v/>
      </c>
      <c r="AF942" s="26">
        <f t="shared" si="140"/>
        <v>0</v>
      </c>
      <c r="AG942" s="31">
        <f>SUM($T942:T942)</f>
        <v>0</v>
      </c>
      <c r="AH942" s="31">
        <f>SUM($T942:U942)</f>
        <v>0</v>
      </c>
      <c r="AI942" s="31">
        <f>SUM($T942:V942)</f>
        <v>0</v>
      </c>
      <c r="AJ942" s="31">
        <f>SUM($T942:W942)</f>
        <v>0</v>
      </c>
      <c r="AK942" s="31">
        <f>SUM($T942:X942)</f>
        <v>0</v>
      </c>
      <c r="AL942" s="31">
        <f>SUM($T942:Y942)</f>
        <v>0</v>
      </c>
      <c r="AM942" s="31">
        <f>SUM($T942:Z942)</f>
        <v>0</v>
      </c>
      <c r="AN942" s="31">
        <f>SUM($T942:AA942)</f>
        <v>0</v>
      </c>
      <c r="AO942" s="31">
        <f>SUM($T942:AB942)</f>
        <v>0</v>
      </c>
      <c r="AP942" s="31">
        <f>SUM($T942:AC942)</f>
        <v>0</v>
      </c>
      <c r="AQ942" s="31">
        <f>SUM($T942:AD942)</f>
        <v>0</v>
      </c>
      <c r="AR942" s="31">
        <f>SUM($T942:AE942)</f>
        <v>0</v>
      </c>
      <c r="AS942" s="27">
        <f t="shared" si="141"/>
        <v>0</v>
      </c>
    </row>
    <row r="943" spans="2:45">
      <c r="B943" s="102" t="str">
        <f>IF(ROW()-6&gt;NumCostCenter,"",IF(CostCenter&lt;&gt;"ALL",CostCenter,DATA_LF2!B941))</f>
        <v/>
      </c>
      <c r="C943" s="153" t="str">
        <f>IF($B943&lt;&gt;"",INDEX(DataOB[],FirstRow+ROW()-7,2),"")</f>
        <v/>
      </c>
      <c r="D943" s="66" t="str">
        <f>IF($B943&lt;&gt;"",INDEX(DataOB[],FirstRow+ROW()-7,3),"")</f>
        <v/>
      </c>
      <c r="E943" s="103" t="str">
        <f>IF($B943&lt;&gt;"",INDEX(DataOB[],FirstRow+ROW()-7,6),"")</f>
        <v/>
      </c>
      <c r="F943" s="103" t="str">
        <f>IF($B943&lt;&gt;"",INDEX(DataOB[],FirstRow+ROW()-7,5),"")</f>
        <v/>
      </c>
      <c r="G943" s="58">
        <f>IF($B943&lt;&gt;"",SUMIFS(DataAct_tbl[AMOUNT],DataAct_tbl[BG CODE],Detail!$D943,DataAct_tbl[MONTH],LEFT(MonthName,3),DataAct_tbl[Dept code],$B943),0)</f>
        <v>0</v>
      </c>
      <c r="H943" s="31" t="str">
        <f t="shared" si="133"/>
        <v/>
      </c>
      <c r="I943" s="28" t="str">
        <f t="shared" si="134"/>
        <v/>
      </c>
      <c r="J943" s="32" t="str">
        <f t="shared" si="135"/>
        <v/>
      </c>
      <c r="K943" s="86"/>
      <c r="L943" s="62">
        <f>IF($B943&lt;&gt;"",SUMIFS(DataAct_tbl[AMOUNT],DataAct_tbl[BG CODE],Detail!$D943,DataAct_tbl[Check Range],"=true",DataAct_tbl[Dept code],$B943),0)</f>
        <v>0</v>
      </c>
      <c r="M943" s="63">
        <f>INDEX($AG$7:$AR$1005,ROW()-6,MATCH(MTD,$AG$6:$AR$6,0))</f>
        <v>0</v>
      </c>
      <c r="N943" s="34">
        <f t="shared" si="136"/>
        <v>0</v>
      </c>
      <c r="O943" s="64" t="str">
        <f t="shared" si="137"/>
        <v xml:space="preserve"> </v>
      </c>
      <c r="Q943" s="97">
        <f t="shared" si="138"/>
        <v>0</v>
      </c>
      <c r="R943" s="96">
        <f t="shared" si="139"/>
        <v>0</v>
      </c>
      <c r="T943" s="67" t="str">
        <f>IF($B943&lt;&gt;"",INDEX(DataOB[],FirstRow+ROW()-7,MATCH(T$6,DataOB[#Headers],0)),"")</f>
        <v/>
      </c>
      <c r="U943" s="67" t="str">
        <f>IF($B943&lt;&gt;"",INDEX(DataOB[],FirstRow+ROW()-7,MATCH(U$6,DataOB[#Headers],0)),"")</f>
        <v/>
      </c>
      <c r="V943" s="67" t="str">
        <f>IF($B943&lt;&gt;"",INDEX(DataOB[],FirstRow+ROW()-7,MATCH(V$6,DataOB[#Headers],0)),"")</f>
        <v/>
      </c>
      <c r="W943" s="67" t="str">
        <f>IF($B943&lt;&gt;"",INDEX(DataOB[],FirstRow+ROW()-7,MATCH(W$6,DataOB[#Headers],0)),"")</f>
        <v/>
      </c>
      <c r="X943" s="67" t="str">
        <f>IF($B943&lt;&gt;"",INDEX(DataOB[],FirstRow+ROW()-7,MATCH(X$6,DataOB[#Headers],0)),"")</f>
        <v/>
      </c>
      <c r="Y943" s="67" t="str">
        <f>IF($B943&lt;&gt;"",INDEX(DataOB[],FirstRow+ROW()-7,MATCH(Y$6,DataOB[#Headers],0)),"")</f>
        <v/>
      </c>
      <c r="Z943" s="67" t="str">
        <f>IF($B943&lt;&gt;"",INDEX(DataOB[],FirstRow+ROW()-7,MATCH(Z$6,DataOB[#Headers],0)),"")</f>
        <v/>
      </c>
      <c r="AA943" s="67" t="str">
        <f>IF($B943&lt;&gt;"",INDEX(DataOB[],FirstRow+ROW()-7,MATCH(AA$6,DataOB[#Headers],0)),"")</f>
        <v/>
      </c>
      <c r="AB943" s="67" t="str">
        <f>IF($B943&lt;&gt;"",INDEX(DataOB[],FirstRow+ROW()-7,MATCH(AB$6,DataOB[#Headers],0)),"")</f>
        <v/>
      </c>
      <c r="AC943" s="67" t="str">
        <f>IF($B943&lt;&gt;"",INDEX(DataOB[],FirstRow+ROW()-7,MATCH(AC$6,DataOB[#Headers],0)),"")</f>
        <v/>
      </c>
      <c r="AD943" s="67" t="str">
        <f>IF($B943&lt;&gt;"",INDEX(DataOB[],FirstRow+ROW()-7,MATCH(AD$6,DataOB[#Headers],0)),"")</f>
        <v/>
      </c>
      <c r="AE943" s="67" t="str">
        <f>IF($B943&lt;&gt;"",INDEX(DataOB[],FirstRow+ROW()-7,MATCH(AE$6,DataOB[#Headers],0)),"")</f>
        <v/>
      </c>
      <c r="AF943" s="26">
        <f t="shared" si="140"/>
        <v>0</v>
      </c>
      <c r="AG943" s="31">
        <f>SUM($T943:T943)</f>
        <v>0</v>
      </c>
      <c r="AH943" s="31">
        <f>SUM($T943:U943)</f>
        <v>0</v>
      </c>
      <c r="AI943" s="31">
        <f>SUM($T943:V943)</f>
        <v>0</v>
      </c>
      <c r="AJ943" s="31">
        <f>SUM($T943:W943)</f>
        <v>0</v>
      </c>
      <c r="AK943" s="31">
        <f>SUM($T943:X943)</f>
        <v>0</v>
      </c>
      <c r="AL943" s="31">
        <f>SUM($T943:Y943)</f>
        <v>0</v>
      </c>
      <c r="AM943" s="31">
        <f>SUM($T943:Z943)</f>
        <v>0</v>
      </c>
      <c r="AN943" s="31">
        <f>SUM($T943:AA943)</f>
        <v>0</v>
      </c>
      <c r="AO943" s="31">
        <f>SUM($T943:AB943)</f>
        <v>0</v>
      </c>
      <c r="AP943" s="31">
        <f>SUM($T943:AC943)</f>
        <v>0</v>
      </c>
      <c r="AQ943" s="31">
        <f>SUM($T943:AD943)</f>
        <v>0</v>
      </c>
      <c r="AR943" s="31">
        <f>SUM($T943:AE943)</f>
        <v>0</v>
      </c>
      <c r="AS943" s="27">
        <f t="shared" si="141"/>
        <v>0</v>
      </c>
    </row>
    <row r="944" spans="2:45">
      <c r="B944" s="102" t="str">
        <f>IF(ROW()-6&gt;NumCostCenter,"",IF(CostCenter&lt;&gt;"ALL",CostCenter,DATA_LF2!B942))</f>
        <v/>
      </c>
      <c r="C944" s="153" t="str">
        <f>IF($B944&lt;&gt;"",INDEX(DataOB[],FirstRow+ROW()-7,2),"")</f>
        <v/>
      </c>
      <c r="D944" s="66" t="str">
        <f>IF($B944&lt;&gt;"",INDEX(DataOB[],FirstRow+ROW()-7,3),"")</f>
        <v/>
      </c>
      <c r="E944" s="103" t="str">
        <f>IF($B944&lt;&gt;"",INDEX(DataOB[],FirstRow+ROW()-7,6),"")</f>
        <v/>
      </c>
      <c r="F944" s="103" t="str">
        <f>IF($B944&lt;&gt;"",INDEX(DataOB[],FirstRow+ROW()-7,5),"")</f>
        <v/>
      </c>
      <c r="G944" s="58">
        <f>IF($B944&lt;&gt;"",SUMIFS(DataAct_tbl[AMOUNT],DataAct_tbl[BG CODE],Detail!$D944,DataAct_tbl[MONTH],LEFT(MonthName,3),DataAct_tbl[Dept code],$B944),0)</f>
        <v>0</v>
      </c>
      <c r="H944" s="31" t="str">
        <f t="shared" si="133"/>
        <v/>
      </c>
      <c r="I944" s="28" t="str">
        <f t="shared" si="134"/>
        <v/>
      </c>
      <c r="J944" s="32" t="str">
        <f t="shared" si="135"/>
        <v/>
      </c>
      <c r="K944" s="86"/>
      <c r="L944" s="62">
        <f>IF($B944&lt;&gt;"",SUMIFS(DataAct_tbl[AMOUNT],DataAct_tbl[BG CODE],Detail!$D944,DataAct_tbl[Check Range],"=true",DataAct_tbl[Dept code],$B944),0)</f>
        <v>0</v>
      </c>
      <c r="M944" s="63">
        <f>INDEX($AG$7:$AR$1005,ROW()-6,MATCH(MTD,$AG$6:$AR$6,0))</f>
        <v>0</v>
      </c>
      <c r="N944" s="34">
        <f t="shared" si="136"/>
        <v>0</v>
      </c>
      <c r="O944" s="64" t="str">
        <f t="shared" si="137"/>
        <v xml:space="preserve"> </v>
      </c>
      <c r="Q944" s="97">
        <f t="shared" si="138"/>
        <v>0</v>
      </c>
      <c r="R944" s="96">
        <f t="shared" si="139"/>
        <v>0</v>
      </c>
      <c r="T944" s="67" t="str">
        <f>IF($B944&lt;&gt;"",INDEX(DataOB[],FirstRow+ROW()-7,MATCH(T$6,DataOB[#Headers],0)),"")</f>
        <v/>
      </c>
      <c r="U944" s="67" t="str">
        <f>IF($B944&lt;&gt;"",INDEX(DataOB[],FirstRow+ROW()-7,MATCH(U$6,DataOB[#Headers],0)),"")</f>
        <v/>
      </c>
      <c r="V944" s="67" t="str">
        <f>IF($B944&lt;&gt;"",INDEX(DataOB[],FirstRow+ROW()-7,MATCH(V$6,DataOB[#Headers],0)),"")</f>
        <v/>
      </c>
      <c r="W944" s="67" t="str">
        <f>IF($B944&lt;&gt;"",INDEX(DataOB[],FirstRow+ROW()-7,MATCH(W$6,DataOB[#Headers],0)),"")</f>
        <v/>
      </c>
      <c r="X944" s="67" t="str">
        <f>IF($B944&lt;&gt;"",INDEX(DataOB[],FirstRow+ROW()-7,MATCH(X$6,DataOB[#Headers],0)),"")</f>
        <v/>
      </c>
      <c r="Y944" s="67" t="str">
        <f>IF($B944&lt;&gt;"",INDEX(DataOB[],FirstRow+ROW()-7,MATCH(Y$6,DataOB[#Headers],0)),"")</f>
        <v/>
      </c>
      <c r="Z944" s="67" t="str">
        <f>IF($B944&lt;&gt;"",INDEX(DataOB[],FirstRow+ROW()-7,MATCH(Z$6,DataOB[#Headers],0)),"")</f>
        <v/>
      </c>
      <c r="AA944" s="67" t="str">
        <f>IF($B944&lt;&gt;"",INDEX(DataOB[],FirstRow+ROW()-7,MATCH(AA$6,DataOB[#Headers],0)),"")</f>
        <v/>
      </c>
      <c r="AB944" s="67" t="str">
        <f>IF($B944&lt;&gt;"",INDEX(DataOB[],FirstRow+ROW()-7,MATCH(AB$6,DataOB[#Headers],0)),"")</f>
        <v/>
      </c>
      <c r="AC944" s="67" t="str">
        <f>IF($B944&lt;&gt;"",INDEX(DataOB[],FirstRow+ROW()-7,MATCH(AC$6,DataOB[#Headers],0)),"")</f>
        <v/>
      </c>
      <c r="AD944" s="67" t="str">
        <f>IF($B944&lt;&gt;"",INDEX(DataOB[],FirstRow+ROW()-7,MATCH(AD$6,DataOB[#Headers],0)),"")</f>
        <v/>
      </c>
      <c r="AE944" s="67" t="str">
        <f>IF($B944&lt;&gt;"",INDEX(DataOB[],FirstRow+ROW()-7,MATCH(AE$6,DataOB[#Headers],0)),"")</f>
        <v/>
      </c>
      <c r="AF944" s="26">
        <f t="shared" si="140"/>
        <v>0</v>
      </c>
      <c r="AG944" s="31">
        <f>SUM($T944:T944)</f>
        <v>0</v>
      </c>
      <c r="AH944" s="31">
        <f>SUM($T944:U944)</f>
        <v>0</v>
      </c>
      <c r="AI944" s="31">
        <f>SUM($T944:V944)</f>
        <v>0</v>
      </c>
      <c r="AJ944" s="31">
        <f>SUM($T944:W944)</f>
        <v>0</v>
      </c>
      <c r="AK944" s="31">
        <f>SUM($T944:X944)</f>
        <v>0</v>
      </c>
      <c r="AL944" s="31">
        <f>SUM($T944:Y944)</f>
        <v>0</v>
      </c>
      <c r="AM944" s="31">
        <f>SUM($T944:Z944)</f>
        <v>0</v>
      </c>
      <c r="AN944" s="31">
        <f>SUM($T944:AA944)</f>
        <v>0</v>
      </c>
      <c r="AO944" s="31">
        <f>SUM($T944:AB944)</f>
        <v>0</v>
      </c>
      <c r="AP944" s="31">
        <f>SUM($T944:AC944)</f>
        <v>0</v>
      </c>
      <c r="AQ944" s="31">
        <f>SUM($T944:AD944)</f>
        <v>0</v>
      </c>
      <c r="AR944" s="31">
        <f>SUM($T944:AE944)</f>
        <v>0</v>
      </c>
      <c r="AS944" s="27">
        <f t="shared" si="141"/>
        <v>0</v>
      </c>
    </row>
    <row r="945" spans="2:45">
      <c r="B945" s="102" t="str">
        <f>IF(ROW()-6&gt;NumCostCenter,"",IF(CostCenter&lt;&gt;"ALL",CostCenter,DATA_LF2!B943))</f>
        <v/>
      </c>
      <c r="C945" s="153" t="str">
        <f>IF($B945&lt;&gt;"",INDEX(DataOB[],FirstRow+ROW()-7,2),"")</f>
        <v/>
      </c>
      <c r="D945" s="66" t="str">
        <f>IF($B945&lt;&gt;"",INDEX(DataOB[],FirstRow+ROW()-7,3),"")</f>
        <v/>
      </c>
      <c r="E945" s="103" t="str">
        <f>IF($B945&lt;&gt;"",INDEX(DataOB[],FirstRow+ROW()-7,6),"")</f>
        <v/>
      </c>
      <c r="F945" s="103" t="str">
        <f>IF($B945&lt;&gt;"",INDEX(DataOB[],FirstRow+ROW()-7,5),"")</f>
        <v/>
      </c>
      <c r="G945" s="58">
        <f>IF($B945&lt;&gt;"",SUMIFS(DataAct_tbl[AMOUNT],DataAct_tbl[BG CODE],Detail!$D945,DataAct_tbl[MONTH],LEFT(MonthName,3),DataAct_tbl[Dept code],$B945),0)</f>
        <v>0</v>
      </c>
      <c r="H945" s="31" t="str">
        <f t="shared" si="133"/>
        <v/>
      </c>
      <c r="I945" s="28" t="str">
        <f t="shared" si="134"/>
        <v/>
      </c>
      <c r="J945" s="32" t="str">
        <f t="shared" si="135"/>
        <v/>
      </c>
      <c r="K945" s="86"/>
      <c r="L945" s="62">
        <f>IF($B945&lt;&gt;"",SUMIFS(DataAct_tbl[AMOUNT],DataAct_tbl[BG CODE],Detail!$D945,DataAct_tbl[Check Range],"=true",DataAct_tbl[Dept code],$B945),0)</f>
        <v>0</v>
      </c>
      <c r="M945" s="63">
        <f>INDEX($AG$7:$AR$1005,ROW()-6,MATCH(MTD,$AG$6:$AR$6,0))</f>
        <v>0</v>
      </c>
      <c r="N945" s="34">
        <f t="shared" si="136"/>
        <v>0</v>
      </c>
      <c r="O945" s="64" t="str">
        <f t="shared" si="137"/>
        <v xml:space="preserve"> </v>
      </c>
      <c r="Q945" s="97">
        <f t="shared" si="138"/>
        <v>0</v>
      </c>
      <c r="R945" s="96">
        <f t="shared" si="139"/>
        <v>0</v>
      </c>
      <c r="T945" s="67" t="str">
        <f>IF($B945&lt;&gt;"",INDEX(DataOB[],FirstRow+ROW()-7,MATCH(T$6,DataOB[#Headers],0)),"")</f>
        <v/>
      </c>
      <c r="U945" s="67" t="str">
        <f>IF($B945&lt;&gt;"",INDEX(DataOB[],FirstRow+ROW()-7,MATCH(U$6,DataOB[#Headers],0)),"")</f>
        <v/>
      </c>
      <c r="V945" s="67" t="str">
        <f>IF($B945&lt;&gt;"",INDEX(DataOB[],FirstRow+ROW()-7,MATCH(V$6,DataOB[#Headers],0)),"")</f>
        <v/>
      </c>
      <c r="W945" s="67" t="str">
        <f>IF($B945&lt;&gt;"",INDEX(DataOB[],FirstRow+ROW()-7,MATCH(W$6,DataOB[#Headers],0)),"")</f>
        <v/>
      </c>
      <c r="X945" s="67" t="str">
        <f>IF($B945&lt;&gt;"",INDEX(DataOB[],FirstRow+ROW()-7,MATCH(X$6,DataOB[#Headers],0)),"")</f>
        <v/>
      </c>
      <c r="Y945" s="67" t="str">
        <f>IF($B945&lt;&gt;"",INDEX(DataOB[],FirstRow+ROW()-7,MATCH(Y$6,DataOB[#Headers],0)),"")</f>
        <v/>
      </c>
      <c r="Z945" s="67" t="str">
        <f>IF($B945&lt;&gt;"",INDEX(DataOB[],FirstRow+ROW()-7,MATCH(Z$6,DataOB[#Headers],0)),"")</f>
        <v/>
      </c>
      <c r="AA945" s="67" t="str">
        <f>IF($B945&lt;&gt;"",INDEX(DataOB[],FirstRow+ROW()-7,MATCH(AA$6,DataOB[#Headers],0)),"")</f>
        <v/>
      </c>
      <c r="AB945" s="67" t="str">
        <f>IF($B945&lt;&gt;"",INDEX(DataOB[],FirstRow+ROW()-7,MATCH(AB$6,DataOB[#Headers],0)),"")</f>
        <v/>
      </c>
      <c r="AC945" s="67" t="str">
        <f>IF($B945&lt;&gt;"",INDEX(DataOB[],FirstRow+ROW()-7,MATCH(AC$6,DataOB[#Headers],0)),"")</f>
        <v/>
      </c>
      <c r="AD945" s="67" t="str">
        <f>IF($B945&lt;&gt;"",INDEX(DataOB[],FirstRow+ROW()-7,MATCH(AD$6,DataOB[#Headers],0)),"")</f>
        <v/>
      </c>
      <c r="AE945" s="67" t="str">
        <f>IF($B945&lt;&gt;"",INDEX(DataOB[],FirstRow+ROW()-7,MATCH(AE$6,DataOB[#Headers],0)),"")</f>
        <v/>
      </c>
      <c r="AF945" s="26">
        <f t="shared" si="140"/>
        <v>0</v>
      </c>
      <c r="AG945" s="31">
        <f>SUM($T945:T945)</f>
        <v>0</v>
      </c>
      <c r="AH945" s="31">
        <f>SUM($T945:U945)</f>
        <v>0</v>
      </c>
      <c r="AI945" s="31">
        <f>SUM($T945:V945)</f>
        <v>0</v>
      </c>
      <c r="AJ945" s="31">
        <f>SUM($T945:W945)</f>
        <v>0</v>
      </c>
      <c r="AK945" s="31">
        <f>SUM($T945:X945)</f>
        <v>0</v>
      </c>
      <c r="AL945" s="31">
        <f>SUM($T945:Y945)</f>
        <v>0</v>
      </c>
      <c r="AM945" s="31">
        <f>SUM($T945:Z945)</f>
        <v>0</v>
      </c>
      <c r="AN945" s="31">
        <f>SUM($T945:AA945)</f>
        <v>0</v>
      </c>
      <c r="AO945" s="31">
        <f>SUM($T945:AB945)</f>
        <v>0</v>
      </c>
      <c r="AP945" s="31">
        <f>SUM($T945:AC945)</f>
        <v>0</v>
      </c>
      <c r="AQ945" s="31">
        <f>SUM($T945:AD945)</f>
        <v>0</v>
      </c>
      <c r="AR945" s="31">
        <f>SUM($T945:AE945)</f>
        <v>0</v>
      </c>
      <c r="AS945" s="27">
        <f t="shared" si="141"/>
        <v>0</v>
      </c>
    </row>
    <row r="946" spans="2:45">
      <c r="B946" s="102" t="str">
        <f>IF(ROW()-6&gt;NumCostCenter,"",IF(CostCenter&lt;&gt;"ALL",CostCenter,DATA_LF2!B944))</f>
        <v/>
      </c>
      <c r="C946" s="153" t="str">
        <f>IF($B946&lt;&gt;"",INDEX(DataOB[],FirstRow+ROW()-7,2),"")</f>
        <v/>
      </c>
      <c r="D946" s="66" t="str">
        <f>IF($B946&lt;&gt;"",INDEX(DataOB[],FirstRow+ROW()-7,3),"")</f>
        <v/>
      </c>
      <c r="E946" s="103" t="str">
        <f>IF($B946&lt;&gt;"",INDEX(DataOB[],FirstRow+ROW()-7,6),"")</f>
        <v/>
      </c>
      <c r="F946" s="103" t="str">
        <f>IF($B946&lt;&gt;"",INDEX(DataOB[],FirstRow+ROW()-7,5),"")</f>
        <v/>
      </c>
      <c r="G946" s="58">
        <f>IF($B946&lt;&gt;"",SUMIFS(DataAct_tbl[AMOUNT],DataAct_tbl[BG CODE],Detail!$D946,DataAct_tbl[MONTH],LEFT(MonthName,3),DataAct_tbl[Dept code],$B946),0)</f>
        <v>0</v>
      </c>
      <c r="H946" s="31" t="str">
        <f t="shared" si="133"/>
        <v/>
      </c>
      <c r="I946" s="28" t="str">
        <f t="shared" si="134"/>
        <v/>
      </c>
      <c r="J946" s="32" t="str">
        <f t="shared" si="135"/>
        <v/>
      </c>
      <c r="K946" s="86"/>
      <c r="L946" s="62">
        <f>IF($B946&lt;&gt;"",SUMIFS(DataAct_tbl[AMOUNT],DataAct_tbl[BG CODE],Detail!$D946,DataAct_tbl[Check Range],"=true",DataAct_tbl[Dept code],$B946),0)</f>
        <v>0</v>
      </c>
      <c r="M946" s="63">
        <f>INDEX($AG$7:$AR$1005,ROW()-6,MATCH(MTD,$AG$6:$AR$6,0))</f>
        <v>0</v>
      </c>
      <c r="N946" s="34">
        <f t="shared" si="136"/>
        <v>0</v>
      </c>
      <c r="O946" s="64" t="str">
        <f t="shared" si="137"/>
        <v xml:space="preserve"> </v>
      </c>
      <c r="Q946" s="97">
        <f t="shared" si="138"/>
        <v>0</v>
      </c>
      <c r="R946" s="96">
        <f t="shared" si="139"/>
        <v>0</v>
      </c>
      <c r="T946" s="67" t="str">
        <f>IF($B946&lt;&gt;"",INDEX(DataOB[],FirstRow+ROW()-7,MATCH(T$6,DataOB[#Headers],0)),"")</f>
        <v/>
      </c>
      <c r="U946" s="67" t="str">
        <f>IF($B946&lt;&gt;"",INDEX(DataOB[],FirstRow+ROW()-7,MATCH(U$6,DataOB[#Headers],0)),"")</f>
        <v/>
      </c>
      <c r="V946" s="67" t="str">
        <f>IF($B946&lt;&gt;"",INDEX(DataOB[],FirstRow+ROW()-7,MATCH(V$6,DataOB[#Headers],0)),"")</f>
        <v/>
      </c>
      <c r="W946" s="67" t="str">
        <f>IF($B946&lt;&gt;"",INDEX(DataOB[],FirstRow+ROW()-7,MATCH(W$6,DataOB[#Headers],0)),"")</f>
        <v/>
      </c>
      <c r="X946" s="67" t="str">
        <f>IF($B946&lt;&gt;"",INDEX(DataOB[],FirstRow+ROW()-7,MATCH(X$6,DataOB[#Headers],0)),"")</f>
        <v/>
      </c>
      <c r="Y946" s="67" t="str">
        <f>IF($B946&lt;&gt;"",INDEX(DataOB[],FirstRow+ROW()-7,MATCH(Y$6,DataOB[#Headers],0)),"")</f>
        <v/>
      </c>
      <c r="Z946" s="67" t="str">
        <f>IF($B946&lt;&gt;"",INDEX(DataOB[],FirstRow+ROW()-7,MATCH(Z$6,DataOB[#Headers],0)),"")</f>
        <v/>
      </c>
      <c r="AA946" s="67" t="str">
        <f>IF($B946&lt;&gt;"",INDEX(DataOB[],FirstRow+ROW()-7,MATCH(AA$6,DataOB[#Headers],0)),"")</f>
        <v/>
      </c>
      <c r="AB946" s="67" t="str">
        <f>IF($B946&lt;&gt;"",INDEX(DataOB[],FirstRow+ROW()-7,MATCH(AB$6,DataOB[#Headers],0)),"")</f>
        <v/>
      </c>
      <c r="AC946" s="67" t="str">
        <f>IF($B946&lt;&gt;"",INDEX(DataOB[],FirstRow+ROW()-7,MATCH(AC$6,DataOB[#Headers],0)),"")</f>
        <v/>
      </c>
      <c r="AD946" s="67" t="str">
        <f>IF($B946&lt;&gt;"",INDEX(DataOB[],FirstRow+ROW()-7,MATCH(AD$6,DataOB[#Headers],0)),"")</f>
        <v/>
      </c>
      <c r="AE946" s="67" t="str">
        <f>IF($B946&lt;&gt;"",INDEX(DataOB[],FirstRow+ROW()-7,MATCH(AE$6,DataOB[#Headers],0)),"")</f>
        <v/>
      </c>
      <c r="AF946" s="26">
        <f t="shared" si="140"/>
        <v>0</v>
      </c>
      <c r="AG946" s="31">
        <f>SUM($T946:T946)</f>
        <v>0</v>
      </c>
      <c r="AH946" s="31">
        <f>SUM($T946:U946)</f>
        <v>0</v>
      </c>
      <c r="AI946" s="31">
        <f>SUM($T946:V946)</f>
        <v>0</v>
      </c>
      <c r="AJ946" s="31">
        <f>SUM($T946:W946)</f>
        <v>0</v>
      </c>
      <c r="AK946" s="31">
        <f>SUM($T946:X946)</f>
        <v>0</v>
      </c>
      <c r="AL946" s="31">
        <f>SUM($T946:Y946)</f>
        <v>0</v>
      </c>
      <c r="AM946" s="31">
        <f>SUM($T946:Z946)</f>
        <v>0</v>
      </c>
      <c r="AN946" s="31">
        <f>SUM($T946:AA946)</f>
        <v>0</v>
      </c>
      <c r="AO946" s="31">
        <f>SUM($T946:AB946)</f>
        <v>0</v>
      </c>
      <c r="AP946" s="31">
        <f>SUM($T946:AC946)</f>
        <v>0</v>
      </c>
      <c r="AQ946" s="31">
        <f>SUM($T946:AD946)</f>
        <v>0</v>
      </c>
      <c r="AR946" s="31">
        <f>SUM($T946:AE946)</f>
        <v>0</v>
      </c>
      <c r="AS946" s="27">
        <f t="shared" si="141"/>
        <v>0</v>
      </c>
    </row>
    <row r="947" spans="2:45">
      <c r="B947" s="102" t="str">
        <f>IF(ROW()-6&gt;NumCostCenter,"",IF(CostCenter&lt;&gt;"ALL",CostCenter,DATA_LF2!B945))</f>
        <v/>
      </c>
      <c r="C947" s="153" t="str">
        <f>IF($B947&lt;&gt;"",INDEX(DataOB[],FirstRow+ROW()-7,2),"")</f>
        <v/>
      </c>
      <c r="D947" s="66" t="str">
        <f>IF($B947&lt;&gt;"",INDEX(DataOB[],FirstRow+ROW()-7,3),"")</f>
        <v/>
      </c>
      <c r="E947" s="103" t="str">
        <f>IF($B947&lt;&gt;"",INDEX(DataOB[],FirstRow+ROW()-7,6),"")</f>
        <v/>
      </c>
      <c r="F947" s="103" t="str">
        <f>IF($B947&lt;&gt;"",INDEX(DataOB[],FirstRow+ROW()-7,5),"")</f>
        <v/>
      </c>
      <c r="G947" s="58">
        <f>IF($B947&lt;&gt;"",SUMIFS(DataAct_tbl[AMOUNT],DataAct_tbl[BG CODE],Detail!$D947,DataAct_tbl[MONTH],LEFT(MonthName,3),DataAct_tbl[Dept code],$B947),0)</f>
        <v>0</v>
      </c>
      <c r="H947" s="31" t="str">
        <f t="shared" si="133"/>
        <v/>
      </c>
      <c r="I947" s="28" t="str">
        <f t="shared" si="134"/>
        <v/>
      </c>
      <c r="J947" s="32" t="str">
        <f t="shared" si="135"/>
        <v/>
      </c>
      <c r="K947" s="86"/>
      <c r="L947" s="62">
        <f>IF($B947&lt;&gt;"",SUMIFS(DataAct_tbl[AMOUNT],DataAct_tbl[BG CODE],Detail!$D947,DataAct_tbl[Check Range],"=true",DataAct_tbl[Dept code],$B947),0)</f>
        <v>0</v>
      </c>
      <c r="M947" s="63">
        <f>INDEX($AG$7:$AR$1005,ROW()-6,MATCH(MTD,$AG$6:$AR$6,0))</f>
        <v>0</v>
      </c>
      <c r="N947" s="34">
        <f t="shared" si="136"/>
        <v>0</v>
      </c>
      <c r="O947" s="64" t="str">
        <f t="shared" si="137"/>
        <v xml:space="preserve"> </v>
      </c>
      <c r="Q947" s="97">
        <f t="shared" si="138"/>
        <v>0</v>
      </c>
      <c r="R947" s="96">
        <f t="shared" si="139"/>
        <v>0</v>
      </c>
      <c r="T947" s="67" t="str">
        <f>IF($B947&lt;&gt;"",INDEX(DataOB[],FirstRow+ROW()-7,MATCH(T$6,DataOB[#Headers],0)),"")</f>
        <v/>
      </c>
      <c r="U947" s="67" t="str">
        <f>IF($B947&lt;&gt;"",INDEX(DataOB[],FirstRow+ROW()-7,MATCH(U$6,DataOB[#Headers],0)),"")</f>
        <v/>
      </c>
      <c r="V947" s="67" t="str">
        <f>IF($B947&lt;&gt;"",INDEX(DataOB[],FirstRow+ROW()-7,MATCH(V$6,DataOB[#Headers],0)),"")</f>
        <v/>
      </c>
      <c r="W947" s="67" t="str">
        <f>IF($B947&lt;&gt;"",INDEX(DataOB[],FirstRow+ROW()-7,MATCH(W$6,DataOB[#Headers],0)),"")</f>
        <v/>
      </c>
      <c r="X947" s="67" t="str">
        <f>IF($B947&lt;&gt;"",INDEX(DataOB[],FirstRow+ROW()-7,MATCH(X$6,DataOB[#Headers],0)),"")</f>
        <v/>
      </c>
      <c r="Y947" s="67" t="str">
        <f>IF($B947&lt;&gt;"",INDEX(DataOB[],FirstRow+ROW()-7,MATCH(Y$6,DataOB[#Headers],0)),"")</f>
        <v/>
      </c>
      <c r="Z947" s="67" t="str">
        <f>IF($B947&lt;&gt;"",INDEX(DataOB[],FirstRow+ROW()-7,MATCH(Z$6,DataOB[#Headers],0)),"")</f>
        <v/>
      </c>
      <c r="AA947" s="67" t="str">
        <f>IF($B947&lt;&gt;"",INDEX(DataOB[],FirstRow+ROW()-7,MATCH(AA$6,DataOB[#Headers],0)),"")</f>
        <v/>
      </c>
      <c r="AB947" s="67" t="str">
        <f>IF($B947&lt;&gt;"",INDEX(DataOB[],FirstRow+ROW()-7,MATCH(AB$6,DataOB[#Headers],0)),"")</f>
        <v/>
      </c>
      <c r="AC947" s="67" t="str">
        <f>IF($B947&lt;&gt;"",INDEX(DataOB[],FirstRow+ROW()-7,MATCH(AC$6,DataOB[#Headers],0)),"")</f>
        <v/>
      </c>
      <c r="AD947" s="67" t="str">
        <f>IF($B947&lt;&gt;"",INDEX(DataOB[],FirstRow+ROW()-7,MATCH(AD$6,DataOB[#Headers],0)),"")</f>
        <v/>
      </c>
      <c r="AE947" s="67" t="str">
        <f>IF($B947&lt;&gt;"",INDEX(DataOB[],FirstRow+ROW()-7,MATCH(AE$6,DataOB[#Headers],0)),"")</f>
        <v/>
      </c>
      <c r="AF947" s="26">
        <f t="shared" si="140"/>
        <v>0</v>
      </c>
      <c r="AG947" s="31">
        <f>SUM($T947:T947)</f>
        <v>0</v>
      </c>
      <c r="AH947" s="31">
        <f>SUM($T947:U947)</f>
        <v>0</v>
      </c>
      <c r="AI947" s="31">
        <f>SUM($T947:V947)</f>
        <v>0</v>
      </c>
      <c r="AJ947" s="31">
        <f>SUM($T947:W947)</f>
        <v>0</v>
      </c>
      <c r="AK947" s="31">
        <f>SUM($T947:X947)</f>
        <v>0</v>
      </c>
      <c r="AL947" s="31">
        <f>SUM($T947:Y947)</f>
        <v>0</v>
      </c>
      <c r="AM947" s="31">
        <f>SUM($T947:Z947)</f>
        <v>0</v>
      </c>
      <c r="AN947" s="31">
        <f>SUM($T947:AA947)</f>
        <v>0</v>
      </c>
      <c r="AO947" s="31">
        <f>SUM($T947:AB947)</f>
        <v>0</v>
      </c>
      <c r="AP947" s="31">
        <f>SUM($T947:AC947)</f>
        <v>0</v>
      </c>
      <c r="AQ947" s="31">
        <f>SUM($T947:AD947)</f>
        <v>0</v>
      </c>
      <c r="AR947" s="31">
        <f>SUM($T947:AE947)</f>
        <v>0</v>
      </c>
      <c r="AS947" s="27">
        <f t="shared" si="141"/>
        <v>0</v>
      </c>
    </row>
    <row r="948" spans="2:45">
      <c r="B948" s="102" t="str">
        <f>IF(ROW()-6&gt;NumCostCenter,"",IF(CostCenter&lt;&gt;"ALL",CostCenter,DATA_LF2!B946))</f>
        <v/>
      </c>
      <c r="C948" s="153" t="str">
        <f>IF($B948&lt;&gt;"",INDEX(DataOB[],FirstRow+ROW()-7,2),"")</f>
        <v/>
      </c>
      <c r="D948" s="66" t="str">
        <f>IF($B948&lt;&gt;"",INDEX(DataOB[],FirstRow+ROW()-7,3),"")</f>
        <v/>
      </c>
      <c r="E948" s="103" t="str">
        <f>IF($B948&lt;&gt;"",INDEX(DataOB[],FirstRow+ROW()-7,6),"")</f>
        <v/>
      </c>
      <c r="F948" s="103" t="str">
        <f>IF($B948&lt;&gt;"",INDEX(DataOB[],FirstRow+ROW()-7,5),"")</f>
        <v/>
      </c>
      <c r="G948" s="58">
        <f>IF($B948&lt;&gt;"",SUMIFS(DataAct_tbl[AMOUNT],DataAct_tbl[BG CODE],Detail!$D948,DataAct_tbl[MONTH],LEFT(MonthName,3),DataAct_tbl[Dept code],$B948),0)</f>
        <v>0</v>
      </c>
      <c r="H948" s="31" t="str">
        <f t="shared" si="133"/>
        <v/>
      </c>
      <c r="I948" s="28" t="str">
        <f t="shared" si="134"/>
        <v/>
      </c>
      <c r="J948" s="32" t="str">
        <f t="shared" si="135"/>
        <v/>
      </c>
      <c r="K948" s="86"/>
      <c r="L948" s="62">
        <f>IF($B948&lt;&gt;"",SUMIFS(DataAct_tbl[AMOUNT],DataAct_tbl[BG CODE],Detail!$D948,DataAct_tbl[Check Range],"=true",DataAct_tbl[Dept code],$B948),0)</f>
        <v>0</v>
      </c>
      <c r="M948" s="63">
        <f>INDEX($AG$7:$AR$1005,ROW()-6,MATCH(MTD,$AG$6:$AR$6,0))</f>
        <v>0</v>
      </c>
      <c r="N948" s="34">
        <f t="shared" si="136"/>
        <v>0</v>
      </c>
      <c r="O948" s="64" t="str">
        <f t="shared" si="137"/>
        <v xml:space="preserve"> </v>
      </c>
      <c r="Q948" s="97">
        <f t="shared" si="138"/>
        <v>0</v>
      </c>
      <c r="R948" s="96">
        <f t="shared" si="139"/>
        <v>0</v>
      </c>
      <c r="T948" s="67" t="str">
        <f>IF($B948&lt;&gt;"",INDEX(DataOB[],FirstRow+ROW()-7,MATCH(T$6,DataOB[#Headers],0)),"")</f>
        <v/>
      </c>
      <c r="U948" s="67" t="str">
        <f>IF($B948&lt;&gt;"",INDEX(DataOB[],FirstRow+ROW()-7,MATCH(U$6,DataOB[#Headers],0)),"")</f>
        <v/>
      </c>
      <c r="V948" s="67" t="str">
        <f>IF($B948&lt;&gt;"",INDEX(DataOB[],FirstRow+ROW()-7,MATCH(V$6,DataOB[#Headers],0)),"")</f>
        <v/>
      </c>
      <c r="W948" s="67" t="str">
        <f>IF($B948&lt;&gt;"",INDEX(DataOB[],FirstRow+ROW()-7,MATCH(W$6,DataOB[#Headers],0)),"")</f>
        <v/>
      </c>
      <c r="X948" s="67" t="str">
        <f>IF($B948&lt;&gt;"",INDEX(DataOB[],FirstRow+ROW()-7,MATCH(X$6,DataOB[#Headers],0)),"")</f>
        <v/>
      </c>
      <c r="Y948" s="67" t="str">
        <f>IF($B948&lt;&gt;"",INDEX(DataOB[],FirstRow+ROW()-7,MATCH(Y$6,DataOB[#Headers],0)),"")</f>
        <v/>
      </c>
      <c r="Z948" s="67" t="str">
        <f>IF($B948&lt;&gt;"",INDEX(DataOB[],FirstRow+ROW()-7,MATCH(Z$6,DataOB[#Headers],0)),"")</f>
        <v/>
      </c>
      <c r="AA948" s="67" t="str">
        <f>IF($B948&lt;&gt;"",INDEX(DataOB[],FirstRow+ROW()-7,MATCH(AA$6,DataOB[#Headers],0)),"")</f>
        <v/>
      </c>
      <c r="AB948" s="67" t="str">
        <f>IF($B948&lt;&gt;"",INDEX(DataOB[],FirstRow+ROW()-7,MATCH(AB$6,DataOB[#Headers],0)),"")</f>
        <v/>
      </c>
      <c r="AC948" s="67" t="str">
        <f>IF($B948&lt;&gt;"",INDEX(DataOB[],FirstRow+ROW()-7,MATCH(AC$6,DataOB[#Headers],0)),"")</f>
        <v/>
      </c>
      <c r="AD948" s="67" t="str">
        <f>IF($B948&lt;&gt;"",INDEX(DataOB[],FirstRow+ROW()-7,MATCH(AD$6,DataOB[#Headers],0)),"")</f>
        <v/>
      </c>
      <c r="AE948" s="67" t="str">
        <f>IF($B948&lt;&gt;"",INDEX(DataOB[],FirstRow+ROW()-7,MATCH(AE$6,DataOB[#Headers],0)),"")</f>
        <v/>
      </c>
      <c r="AF948" s="26">
        <f t="shared" si="140"/>
        <v>0</v>
      </c>
      <c r="AG948" s="31">
        <f>SUM($T948:T948)</f>
        <v>0</v>
      </c>
      <c r="AH948" s="31">
        <f>SUM($T948:U948)</f>
        <v>0</v>
      </c>
      <c r="AI948" s="31">
        <f>SUM($T948:V948)</f>
        <v>0</v>
      </c>
      <c r="AJ948" s="31">
        <f>SUM($T948:W948)</f>
        <v>0</v>
      </c>
      <c r="AK948" s="31">
        <f>SUM($T948:X948)</f>
        <v>0</v>
      </c>
      <c r="AL948" s="31">
        <f>SUM($T948:Y948)</f>
        <v>0</v>
      </c>
      <c r="AM948" s="31">
        <f>SUM($T948:Z948)</f>
        <v>0</v>
      </c>
      <c r="AN948" s="31">
        <f>SUM($T948:AA948)</f>
        <v>0</v>
      </c>
      <c r="AO948" s="31">
        <f>SUM($T948:AB948)</f>
        <v>0</v>
      </c>
      <c r="AP948" s="31">
        <f>SUM($T948:AC948)</f>
        <v>0</v>
      </c>
      <c r="AQ948" s="31">
        <f>SUM($T948:AD948)</f>
        <v>0</v>
      </c>
      <c r="AR948" s="31">
        <f>SUM($T948:AE948)</f>
        <v>0</v>
      </c>
      <c r="AS948" s="27">
        <f t="shared" si="141"/>
        <v>0</v>
      </c>
    </row>
    <row r="949" spans="2:45">
      <c r="B949" s="102" t="str">
        <f>IF(ROW()-6&gt;NumCostCenter,"",IF(CostCenter&lt;&gt;"ALL",CostCenter,DATA_LF2!B947))</f>
        <v/>
      </c>
      <c r="C949" s="153" t="str">
        <f>IF($B949&lt;&gt;"",INDEX(DataOB[],FirstRow+ROW()-7,2),"")</f>
        <v/>
      </c>
      <c r="D949" s="66" t="str">
        <f>IF($B949&lt;&gt;"",INDEX(DataOB[],FirstRow+ROW()-7,3),"")</f>
        <v/>
      </c>
      <c r="E949" s="103" t="str">
        <f>IF($B949&lt;&gt;"",INDEX(DataOB[],FirstRow+ROW()-7,6),"")</f>
        <v/>
      </c>
      <c r="F949" s="103" t="str">
        <f>IF($B949&lt;&gt;"",INDEX(DataOB[],FirstRow+ROW()-7,5),"")</f>
        <v/>
      </c>
      <c r="G949" s="58">
        <f>IF($B949&lt;&gt;"",SUMIFS(DataAct_tbl[AMOUNT],DataAct_tbl[BG CODE],Detail!$D949,DataAct_tbl[MONTH],LEFT(MonthName,3),DataAct_tbl[Dept code],$B949),0)</f>
        <v>0</v>
      </c>
      <c r="H949" s="31" t="str">
        <f t="shared" si="133"/>
        <v/>
      </c>
      <c r="I949" s="28" t="str">
        <f t="shared" si="134"/>
        <v/>
      </c>
      <c r="J949" s="32" t="str">
        <f t="shared" si="135"/>
        <v/>
      </c>
      <c r="K949" s="86"/>
      <c r="L949" s="62">
        <f>IF($B949&lt;&gt;"",SUMIFS(DataAct_tbl[AMOUNT],DataAct_tbl[BG CODE],Detail!$D949,DataAct_tbl[Check Range],"=true",DataAct_tbl[Dept code],$B949),0)</f>
        <v>0</v>
      </c>
      <c r="M949" s="63">
        <f>INDEX($AG$7:$AR$1005,ROW()-6,MATCH(MTD,$AG$6:$AR$6,0))</f>
        <v>0</v>
      </c>
      <c r="N949" s="34">
        <f t="shared" si="136"/>
        <v>0</v>
      </c>
      <c r="O949" s="64" t="str">
        <f t="shared" si="137"/>
        <v xml:space="preserve"> </v>
      </c>
      <c r="Q949" s="97">
        <f t="shared" si="138"/>
        <v>0</v>
      </c>
      <c r="R949" s="96">
        <f t="shared" si="139"/>
        <v>0</v>
      </c>
      <c r="T949" s="67" t="str">
        <f>IF($B949&lt;&gt;"",INDEX(DataOB[],FirstRow+ROW()-7,MATCH(T$6,DataOB[#Headers],0)),"")</f>
        <v/>
      </c>
      <c r="U949" s="67" t="str">
        <f>IF($B949&lt;&gt;"",INDEX(DataOB[],FirstRow+ROW()-7,MATCH(U$6,DataOB[#Headers],0)),"")</f>
        <v/>
      </c>
      <c r="V949" s="67" t="str">
        <f>IF($B949&lt;&gt;"",INDEX(DataOB[],FirstRow+ROW()-7,MATCH(V$6,DataOB[#Headers],0)),"")</f>
        <v/>
      </c>
      <c r="W949" s="67" t="str">
        <f>IF($B949&lt;&gt;"",INDEX(DataOB[],FirstRow+ROW()-7,MATCH(W$6,DataOB[#Headers],0)),"")</f>
        <v/>
      </c>
      <c r="X949" s="67" t="str">
        <f>IF($B949&lt;&gt;"",INDEX(DataOB[],FirstRow+ROW()-7,MATCH(X$6,DataOB[#Headers],0)),"")</f>
        <v/>
      </c>
      <c r="Y949" s="67" t="str">
        <f>IF($B949&lt;&gt;"",INDEX(DataOB[],FirstRow+ROW()-7,MATCH(Y$6,DataOB[#Headers],0)),"")</f>
        <v/>
      </c>
      <c r="Z949" s="67" t="str">
        <f>IF($B949&lt;&gt;"",INDEX(DataOB[],FirstRow+ROW()-7,MATCH(Z$6,DataOB[#Headers],0)),"")</f>
        <v/>
      </c>
      <c r="AA949" s="67" t="str">
        <f>IF($B949&lt;&gt;"",INDEX(DataOB[],FirstRow+ROW()-7,MATCH(AA$6,DataOB[#Headers],0)),"")</f>
        <v/>
      </c>
      <c r="AB949" s="67" t="str">
        <f>IF($B949&lt;&gt;"",INDEX(DataOB[],FirstRow+ROW()-7,MATCH(AB$6,DataOB[#Headers],0)),"")</f>
        <v/>
      </c>
      <c r="AC949" s="67" t="str">
        <f>IF($B949&lt;&gt;"",INDEX(DataOB[],FirstRow+ROW()-7,MATCH(AC$6,DataOB[#Headers],0)),"")</f>
        <v/>
      </c>
      <c r="AD949" s="67" t="str">
        <f>IF($B949&lt;&gt;"",INDEX(DataOB[],FirstRow+ROW()-7,MATCH(AD$6,DataOB[#Headers],0)),"")</f>
        <v/>
      </c>
      <c r="AE949" s="67" t="str">
        <f>IF($B949&lt;&gt;"",INDEX(DataOB[],FirstRow+ROW()-7,MATCH(AE$6,DataOB[#Headers],0)),"")</f>
        <v/>
      </c>
      <c r="AF949" s="26">
        <f t="shared" si="140"/>
        <v>0</v>
      </c>
      <c r="AG949" s="31">
        <f>SUM($T949:T949)</f>
        <v>0</v>
      </c>
      <c r="AH949" s="31">
        <f>SUM($T949:U949)</f>
        <v>0</v>
      </c>
      <c r="AI949" s="31">
        <f>SUM($T949:V949)</f>
        <v>0</v>
      </c>
      <c r="AJ949" s="31">
        <f>SUM($T949:W949)</f>
        <v>0</v>
      </c>
      <c r="AK949" s="31">
        <f>SUM($T949:X949)</f>
        <v>0</v>
      </c>
      <c r="AL949" s="31">
        <f>SUM($T949:Y949)</f>
        <v>0</v>
      </c>
      <c r="AM949" s="31">
        <f>SUM($T949:Z949)</f>
        <v>0</v>
      </c>
      <c r="AN949" s="31">
        <f>SUM($T949:AA949)</f>
        <v>0</v>
      </c>
      <c r="AO949" s="31">
        <f>SUM($T949:AB949)</f>
        <v>0</v>
      </c>
      <c r="AP949" s="31">
        <f>SUM($T949:AC949)</f>
        <v>0</v>
      </c>
      <c r="AQ949" s="31">
        <f>SUM($T949:AD949)</f>
        <v>0</v>
      </c>
      <c r="AR949" s="31">
        <f>SUM($T949:AE949)</f>
        <v>0</v>
      </c>
      <c r="AS949" s="27">
        <f t="shared" si="141"/>
        <v>0</v>
      </c>
    </row>
    <row r="950" spans="2:45">
      <c r="B950" s="102" t="str">
        <f>IF(ROW()-6&gt;NumCostCenter,"",IF(CostCenter&lt;&gt;"ALL",CostCenter,DATA_LF2!B948))</f>
        <v/>
      </c>
      <c r="C950" s="153" t="str">
        <f>IF($B950&lt;&gt;"",INDEX(DataOB[],FirstRow+ROW()-7,2),"")</f>
        <v/>
      </c>
      <c r="D950" s="66" t="str">
        <f>IF($B950&lt;&gt;"",INDEX(DataOB[],FirstRow+ROW()-7,3),"")</f>
        <v/>
      </c>
      <c r="E950" s="103" t="str">
        <f>IF($B950&lt;&gt;"",INDEX(DataOB[],FirstRow+ROW()-7,6),"")</f>
        <v/>
      </c>
      <c r="F950" s="103" t="str">
        <f>IF($B950&lt;&gt;"",INDEX(DataOB[],FirstRow+ROW()-7,5),"")</f>
        <v/>
      </c>
      <c r="G950" s="58">
        <f>IF($B950&lt;&gt;"",SUMIFS(DataAct_tbl[AMOUNT],DataAct_tbl[BG CODE],Detail!$D950,DataAct_tbl[MONTH],LEFT(MonthName,3),DataAct_tbl[Dept code],$B950),0)</f>
        <v>0</v>
      </c>
      <c r="H950" s="31" t="str">
        <f t="shared" si="133"/>
        <v/>
      </c>
      <c r="I950" s="28" t="str">
        <f t="shared" si="134"/>
        <v/>
      </c>
      <c r="J950" s="32" t="str">
        <f t="shared" si="135"/>
        <v/>
      </c>
      <c r="K950" s="86"/>
      <c r="L950" s="62">
        <f>IF($B950&lt;&gt;"",SUMIFS(DataAct_tbl[AMOUNT],DataAct_tbl[BG CODE],Detail!$D950,DataAct_tbl[Check Range],"=true",DataAct_tbl[Dept code],$B950),0)</f>
        <v>0</v>
      </c>
      <c r="M950" s="63">
        <f>INDEX($AG$7:$AR$1005,ROW()-6,MATCH(MTD,$AG$6:$AR$6,0))</f>
        <v>0</v>
      </c>
      <c r="N950" s="34">
        <f t="shared" si="136"/>
        <v>0</v>
      </c>
      <c r="O950" s="64" t="str">
        <f t="shared" si="137"/>
        <v xml:space="preserve"> </v>
      </c>
      <c r="Q950" s="97">
        <f t="shared" si="138"/>
        <v>0</v>
      </c>
      <c r="R950" s="96">
        <f t="shared" si="139"/>
        <v>0</v>
      </c>
      <c r="T950" s="67" t="str">
        <f>IF($B950&lt;&gt;"",INDEX(DataOB[],FirstRow+ROW()-7,MATCH(T$6,DataOB[#Headers],0)),"")</f>
        <v/>
      </c>
      <c r="U950" s="67" t="str">
        <f>IF($B950&lt;&gt;"",INDEX(DataOB[],FirstRow+ROW()-7,MATCH(U$6,DataOB[#Headers],0)),"")</f>
        <v/>
      </c>
      <c r="V950" s="67" t="str">
        <f>IF($B950&lt;&gt;"",INDEX(DataOB[],FirstRow+ROW()-7,MATCH(V$6,DataOB[#Headers],0)),"")</f>
        <v/>
      </c>
      <c r="W950" s="67" t="str">
        <f>IF($B950&lt;&gt;"",INDEX(DataOB[],FirstRow+ROW()-7,MATCH(W$6,DataOB[#Headers],0)),"")</f>
        <v/>
      </c>
      <c r="X950" s="67" t="str">
        <f>IF($B950&lt;&gt;"",INDEX(DataOB[],FirstRow+ROW()-7,MATCH(X$6,DataOB[#Headers],0)),"")</f>
        <v/>
      </c>
      <c r="Y950" s="67" t="str">
        <f>IF($B950&lt;&gt;"",INDEX(DataOB[],FirstRow+ROW()-7,MATCH(Y$6,DataOB[#Headers],0)),"")</f>
        <v/>
      </c>
      <c r="Z950" s="67" t="str">
        <f>IF($B950&lt;&gt;"",INDEX(DataOB[],FirstRow+ROW()-7,MATCH(Z$6,DataOB[#Headers],0)),"")</f>
        <v/>
      </c>
      <c r="AA950" s="67" t="str">
        <f>IF($B950&lt;&gt;"",INDEX(DataOB[],FirstRow+ROW()-7,MATCH(AA$6,DataOB[#Headers],0)),"")</f>
        <v/>
      </c>
      <c r="AB950" s="67" t="str">
        <f>IF($B950&lt;&gt;"",INDEX(DataOB[],FirstRow+ROW()-7,MATCH(AB$6,DataOB[#Headers],0)),"")</f>
        <v/>
      </c>
      <c r="AC950" s="67" t="str">
        <f>IF($B950&lt;&gt;"",INDEX(DataOB[],FirstRow+ROW()-7,MATCH(AC$6,DataOB[#Headers],0)),"")</f>
        <v/>
      </c>
      <c r="AD950" s="67" t="str">
        <f>IF($B950&lt;&gt;"",INDEX(DataOB[],FirstRow+ROW()-7,MATCH(AD$6,DataOB[#Headers],0)),"")</f>
        <v/>
      </c>
      <c r="AE950" s="67" t="str">
        <f>IF($B950&lt;&gt;"",INDEX(DataOB[],FirstRow+ROW()-7,MATCH(AE$6,DataOB[#Headers],0)),"")</f>
        <v/>
      </c>
      <c r="AF950" s="26">
        <f t="shared" si="140"/>
        <v>0</v>
      </c>
      <c r="AG950" s="31">
        <f>SUM($T950:T950)</f>
        <v>0</v>
      </c>
      <c r="AH950" s="31">
        <f>SUM($T950:U950)</f>
        <v>0</v>
      </c>
      <c r="AI950" s="31">
        <f>SUM($T950:V950)</f>
        <v>0</v>
      </c>
      <c r="AJ950" s="31">
        <f>SUM($T950:W950)</f>
        <v>0</v>
      </c>
      <c r="AK950" s="31">
        <f>SUM($T950:X950)</f>
        <v>0</v>
      </c>
      <c r="AL950" s="31">
        <f>SUM($T950:Y950)</f>
        <v>0</v>
      </c>
      <c r="AM950" s="31">
        <f>SUM($T950:Z950)</f>
        <v>0</v>
      </c>
      <c r="AN950" s="31">
        <f>SUM($T950:AA950)</f>
        <v>0</v>
      </c>
      <c r="AO950" s="31">
        <f>SUM($T950:AB950)</f>
        <v>0</v>
      </c>
      <c r="AP950" s="31">
        <f>SUM($T950:AC950)</f>
        <v>0</v>
      </c>
      <c r="AQ950" s="31">
        <f>SUM($T950:AD950)</f>
        <v>0</v>
      </c>
      <c r="AR950" s="31">
        <f>SUM($T950:AE950)</f>
        <v>0</v>
      </c>
      <c r="AS950" s="27">
        <f t="shared" si="141"/>
        <v>0</v>
      </c>
    </row>
    <row r="951" spans="2:45">
      <c r="B951" s="102" t="str">
        <f>IF(ROW()-6&gt;NumCostCenter,"",IF(CostCenter&lt;&gt;"ALL",CostCenter,DATA_LF2!B949))</f>
        <v/>
      </c>
      <c r="C951" s="153" t="str">
        <f>IF($B951&lt;&gt;"",INDEX(DataOB[],FirstRow+ROW()-7,2),"")</f>
        <v/>
      </c>
      <c r="D951" s="66" t="str">
        <f>IF($B951&lt;&gt;"",INDEX(DataOB[],FirstRow+ROW()-7,3),"")</f>
        <v/>
      </c>
      <c r="E951" s="103" t="str">
        <f>IF($B951&lt;&gt;"",INDEX(DataOB[],FirstRow+ROW()-7,6),"")</f>
        <v/>
      </c>
      <c r="F951" s="103" t="str">
        <f>IF($B951&lt;&gt;"",INDEX(DataOB[],FirstRow+ROW()-7,5),"")</f>
        <v/>
      </c>
      <c r="G951" s="58">
        <f>IF($B951&lt;&gt;"",SUMIFS(DataAct_tbl[AMOUNT],DataAct_tbl[BG CODE],Detail!$D951,DataAct_tbl[MONTH],LEFT(MonthName,3),DataAct_tbl[Dept code],$B951),0)</f>
        <v>0</v>
      </c>
      <c r="H951" s="31" t="str">
        <f t="shared" si="133"/>
        <v/>
      </c>
      <c r="I951" s="28" t="str">
        <f t="shared" si="134"/>
        <v/>
      </c>
      <c r="J951" s="32" t="str">
        <f t="shared" si="135"/>
        <v/>
      </c>
      <c r="K951" s="86"/>
      <c r="L951" s="62">
        <f>IF($B951&lt;&gt;"",SUMIFS(DataAct_tbl[AMOUNT],DataAct_tbl[BG CODE],Detail!$D951,DataAct_tbl[Check Range],"=true",DataAct_tbl[Dept code],$B951),0)</f>
        <v>0</v>
      </c>
      <c r="M951" s="63">
        <f>INDEX($AG$7:$AR$1005,ROW()-6,MATCH(MTD,$AG$6:$AR$6,0))</f>
        <v>0</v>
      </c>
      <c r="N951" s="34">
        <f t="shared" si="136"/>
        <v>0</v>
      </c>
      <c r="O951" s="64" t="str">
        <f t="shared" si="137"/>
        <v xml:space="preserve"> </v>
      </c>
      <c r="Q951" s="97">
        <f t="shared" si="138"/>
        <v>0</v>
      </c>
      <c r="R951" s="96">
        <f t="shared" si="139"/>
        <v>0</v>
      </c>
      <c r="T951" s="67" t="str">
        <f>IF($B951&lt;&gt;"",INDEX(DataOB[],FirstRow+ROW()-7,MATCH(T$6,DataOB[#Headers],0)),"")</f>
        <v/>
      </c>
      <c r="U951" s="67" t="str">
        <f>IF($B951&lt;&gt;"",INDEX(DataOB[],FirstRow+ROW()-7,MATCH(U$6,DataOB[#Headers],0)),"")</f>
        <v/>
      </c>
      <c r="V951" s="67" t="str">
        <f>IF($B951&lt;&gt;"",INDEX(DataOB[],FirstRow+ROW()-7,MATCH(V$6,DataOB[#Headers],0)),"")</f>
        <v/>
      </c>
      <c r="W951" s="67" t="str">
        <f>IF($B951&lt;&gt;"",INDEX(DataOB[],FirstRow+ROW()-7,MATCH(W$6,DataOB[#Headers],0)),"")</f>
        <v/>
      </c>
      <c r="X951" s="67" t="str">
        <f>IF($B951&lt;&gt;"",INDEX(DataOB[],FirstRow+ROW()-7,MATCH(X$6,DataOB[#Headers],0)),"")</f>
        <v/>
      </c>
      <c r="Y951" s="67" t="str">
        <f>IF($B951&lt;&gt;"",INDEX(DataOB[],FirstRow+ROW()-7,MATCH(Y$6,DataOB[#Headers],0)),"")</f>
        <v/>
      </c>
      <c r="Z951" s="67" t="str">
        <f>IF($B951&lt;&gt;"",INDEX(DataOB[],FirstRow+ROW()-7,MATCH(Z$6,DataOB[#Headers],0)),"")</f>
        <v/>
      </c>
      <c r="AA951" s="67" t="str">
        <f>IF($B951&lt;&gt;"",INDEX(DataOB[],FirstRow+ROW()-7,MATCH(AA$6,DataOB[#Headers],0)),"")</f>
        <v/>
      </c>
      <c r="AB951" s="67" t="str">
        <f>IF($B951&lt;&gt;"",INDEX(DataOB[],FirstRow+ROW()-7,MATCH(AB$6,DataOB[#Headers],0)),"")</f>
        <v/>
      </c>
      <c r="AC951" s="67" t="str">
        <f>IF($B951&lt;&gt;"",INDEX(DataOB[],FirstRow+ROW()-7,MATCH(AC$6,DataOB[#Headers],0)),"")</f>
        <v/>
      </c>
      <c r="AD951" s="67" t="str">
        <f>IF($B951&lt;&gt;"",INDEX(DataOB[],FirstRow+ROW()-7,MATCH(AD$6,DataOB[#Headers],0)),"")</f>
        <v/>
      </c>
      <c r="AE951" s="67" t="str">
        <f>IF($B951&lt;&gt;"",INDEX(DataOB[],FirstRow+ROW()-7,MATCH(AE$6,DataOB[#Headers],0)),"")</f>
        <v/>
      </c>
      <c r="AF951" s="26">
        <f t="shared" si="140"/>
        <v>0</v>
      </c>
      <c r="AG951" s="31">
        <f>SUM($T951:T951)</f>
        <v>0</v>
      </c>
      <c r="AH951" s="31">
        <f>SUM($T951:U951)</f>
        <v>0</v>
      </c>
      <c r="AI951" s="31">
        <f>SUM($T951:V951)</f>
        <v>0</v>
      </c>
      <c r="AJ951" s="31">
        <f>SUM($T951:W951)</f>
        <v>0</v>
      </c>
      <c r="AK951" s="31">
        <f>SUM($T951:X951)</f>
        <v>0</v>
      </c>
      <c r="AL951" s="31">
        <f>SUM($T951:Y951)</f>
        <v>0</v>
      </c>
      <c r="AM951" s="31">
        <f>SUM($T951:Z951)</f>
        <v>0</v>
      </c>
      <c r="AN951" s="31">
        <f>SUM($T951:AA951)</f>
        <v>0</v>
      </c>
      <c r="AO951" s="31">
        <f>SUM($T951:AB951)</f>
        <v>0</v>
      </c>
      <c r="AP951" s="31">
        <f>SUM($T951:AC951)</f>
        <v>0</v>
      </c>
      <c r="AQ951" s="31">
        <f>SUM($T951:AD951)</f>
        <v>0</v>
      </c>
      <c r="AR951" s="31">
        <f>SUM($T951:AE951)</f>
        <v>0</v>
      </c>
      <c r="AS951" s="27">
        <f t="shared" si="141"/>
        <v>0</v>
      </c>
    </row>
    <row r="952" spans="2:45">
      <c r="B952" s="102" t="str">
        <f>IF(ROW()-6&gt;NumCostCenter,"",IF(CostCenter&lt;&gt;"ALL",CostCenter,DATA_LF2!B950))</f>
        <v/>
      </c>
      <c r="C952" s="153" t="str">
        <f>IF($B952&lt;&gt;"",INDEX(DataOB[],FirstRow+ROW()-7,2),"")</f>
        <v/>
      </c>
      <c r="D952" s="66" t="str">
        <f>IF($B952&lt;&gt;"",INDEX(DataOB[],FirstRow+ROW()-7,3),"")</f>
        <v/>
      </c>
      <c r="E952" s="103" t="str">
        <f>IF($B952&lt;&gt;"",INDEX(DataOB[],FirstRow+ROW()-7,6),"")</f>
        <v/>
      </c>
      <c r="F952" s="103" t="str">
        <f>IF($B952&lt;&gt;"",INDEX(DataOB[],FirstRow+ROW()-7,5),"")</f>
        <v/>
      </c>
      <c r="G952" s="58">
        <f>IF($B952&lt;&gt;"",SUMIFS(DataAct_tbl[AMOUNT],DataAct_tbl[BG CODE],Detail!$D952,DataAct_tbl[MONTH],LEFT(MonthName,3),DataAct_tbl[Dept code],$B952),0)</f>
        <v>0</v>
      </c>
      <c r="H952" s="31" t="str">
        <f t="shared" si="133"/>
        <v/>
      </c>
      <c r="I952" s="28" t="str">
        <f t="shared" si="134"/>
        <v/>
      </c>
      <c r="J952" s="32" t="str">
        <f t="shared" si="135"/>
        <v/>
      </c>
      <c r="K952" s="86"/>
      <c r="L952" s="62">
        <f>IF($B952&lt;&gt;"",SUMIFS(DataAct_tbl[AMOUNT],DataAct_tbl[BG CODE],Detail!$D952,DataAct_tbl[Check Range],"=true",DataAct_tbl[Dept code],$B952),0)</f>
        <v>0</v>
      </c>
      <c r="M952" s="63">
        <f>INDEX($AG$7:$AR$1005,ROW()-6,MATCH(MTD,$AG$6:$AR$6,0))</f>
        <v>0</v>
      </c>
      <c r="N952" s="34">
        <f t="shared" si="136"/>
        <v>0</v>
      </c>
      <c r="O952" s="64" t="str">
        <f t="shared" si="137"/>
        <v xml:space="preserve"> </v>
      </c>
      <c r="Q952" s="97">
        <f t="shared" si="138"/>
        <v>0</v>
      </c>
      <c r="R952" s="96">
        <f t="shared" si="139"/>
        <v>0</v>
      </c>
      <c r="T952" s="67" t="str">
        <f>IF($B952&lt;&gt;"",INDEX(DataOB[],FirstRow+ROW()-7,MATCH(T$6,DataOB[#Headers],0)),"")</f>
        <v/>
      </c>
      <c r="U952" s="67" t="str">
        <f>IF($B952&lt;&gt;"",INDEX(DataOB[],FirstRow+ROW()-7,MATCH(U$6,DataOB[#Headers],0)),"")</f>
        <v/>
      </c>
      <c r="V952" s="67" t="str">
        <f>IF($B952&lt;&gt;"",INDEX(DataOB[],FirstRow+ROW()-7,MATCH(V$6,DataOB[#Headers],0)),"")</f>
        <v/>
      </c>
      <c r="W952" s="67" t="str">
        <f>IF($B952&lt;&gt;"",INDEX(DataOB[],FirstRow+ROW()-7,MATCH(W$6,DataOB[#Headers],0)),"")</f>
        <v/>
      </c>
      <c r="X952" s="67" t="str">
        <f>IF($B952&lt;&gt;"",INDEX(DataOB[],FirstRow+ROW()-7,MATCH(X$6,DataOB[#Headers],0)),"")</f>
        <v/>
      </c>
      <c r="Y952" s="67" t="str">
        <f>IF($B952&lt;&gt;"",INDEX(DataOB[],FirstRow+ROW()-7,MATCH(Y$6,DataOB[#Headers],0)),"")</f>
        <v/>
      </c>
      <c r="Z952" s="67" t="str">
        <f>IF($B952&lt;&gt;"",INDEX(DataOB[],FirstRow+ROW()-7,MATCH(Z$6,DataOB[#Headers],0)),"")</f>
        <v/>
      </c>
      <c r="AA952" s="67" t="str">
        <f>IF($B952&lt;&gt;"",INDEX(DataOB[],FirstRow+ROW()-7,MATCH(AA$6,DataOB[#Headers],0)),"")</f>
        <v/>
      </c>
      <c r="AB952" s="67" t="str">
        <f>IF($B952&lt;&gt;"",INDEX(DataOB[],FirstRow+ROW()-7,MATCH(AB$6,DataOB[#Headers],0)),"")</f>
        <v/>
      </c>
      <c r="AC952" s="67" t="str">
        <f>IF($B952&lt;&gt;"",INDEX(DataOB[],FirstRow+ROW()-7,MATCH(AC$6,DataOB[#Headers],0)),"")</f>
        <v/>
      </c>
      <c r="AD952" s="67" t="str">
        <f>IF($B952&lt;&gt;"",INDEX(DataOB[],FirstRow+ROW()-7,MATCH(AD$6,DataOB[#Headers],0)),"")</f>
        <v/>
      </c>
      <c r="AE952" s="67" t="str">
        <f>IF($B952&lt;&gt;"",INDEX(DataOB[],FirstRow+ROW()-7,MATCH(AE$6,DataOB[#Headers],0)),"")</f>
        <v/>
      </c>
      <c r="AF952" s="26">
        <f t="shared" si="140"/>
        <v>0</v>
      </c>
      <c r="AG952" s="31">
        <f>SUM($T952:T952)</f>
        <v>0</v>
      </c>
      <c r="AH952" s="31">
        <f>SUM($T952:U952)</f>
        <v>0</v>
      </c>
      <c r="AI952" s="31">
        <f>SUM($T952:V952)</f>
        <v>0</v>
      </c>
      <c r="AJ952" s="31">
        <f>SUM($T952:W952)</f>
        <v>0</v>
      </c>
      <c r="AK952" s="31">
        <f>SUM($T952:X952)</f>
        <v>0</v>
      </c>
      <c r="AL952" s="31">
        <f>SUM($T952:Y952)</f>
        <v>0</v>
      </c>
      <c r="AM952" s="31">
        <f>SUM($T952:Z952)</f>
        <v>0</v>
      </c>
      <c r="AN952" s="31">
        <f>SUM($T952:AA952)</f>
        <v>0</v>
      </c>
      <c r="AO952" s="31">
        <f>SUM($T952:AB952)</f>
        <v>0</v>
      </c>
      <c r="AP952" s="31">
        <f>SUM($T952:AC952)</f>
        <v>0</v>
      </c>
      <c r="AQ952" s="31">
        <f>SUM($T952:AD952)</f>
        <v>0</v>
      </c>
      <c r="AR952" s="31">
        <f>SUM($T952:AE952)</f>
        <v>0</v>
      </c>
      <c r="AS952" s="27">
        <f t="shared" si="141"/>
        <v>0</v>
      </c>
    </row>
    <row r="953" spans="2:45">
      <c r="B953" s="102" t="str">
        <f>IF(ROW()-6&gt;NumCostCenter,"",IF(CostCenter&lt;&gt;"ALL",CostCenter,DATA_LF2!B951))</f>
        <v/>
      </c>
      <c r="C953" s="153" t="str">
        <f>IF($B953&lt;&gt;"",INDEX(DataOB[],FirstRow+ROW()-7,2),"")</f>
        <v/>
      </c>
      <c r="D953" s="66" t="str">
        <f>IF($B953&lt;&gt;"",INDEX(DataOB[],FirstRow+ROW()-7,3),"")</f>
        <v/>
      </c>
      <c r="E953" s="103" t="str">
        <f>IF($B953&lt;&gt;"",INDEX(DataOB[],FirstRow+ROW()-7,6),"")</f>
        <v/>
      </c>
      <c r="F953" s="103" t="str">
        <f>IF($B953&lt;&gt;"",INDEX(DataOB[],FirstRow+ROW()-7,5),"")</f>
        <v/>
      </c>
      <c r="G953" s="58">
        <f>IF($B953&lt;&gt;"",SUMIFS(DataAct_tbl[AMOUNT],DataAct_tbl[BG CODE],Detail!$D953,DataAct_tbl[MONTH],LEFT(MonthName,3),DataAct_tbl[Dept code],$B953),0)</f>
        <v>0</v>
      </c>
      <c r="H953" s="31" t="str">
        <f t="shared" si="133"/>
        <v/>
      </c>
      <c r="I953" s="28" t="str">
        <f t="shared" si="134"/>
        <v/>
      </c>
      <c r="J953" s="32" t="str">
        <f t="shared" si="135"/>
        <v/>
      </c>
      <c r="K953" s="86"/>
      <c r="L953" s="62">
        <f>IF($B953&lt;&gt;"",SUMIFS(DataAct_tbl[AMOUNT],DataAct_tbl[BG CODE],Detail!$D953,DataAct_tbl[Check Range],"=true",DataAct_tbl[Dept code],$B953),0)</f>
        <v>0</v>
      </c>
      <c r="M953" s="63">
        <f>INDEX($AG$7:$AR$1005,ROW()-6,MATCH(MTD,$AG$6:$AR$6,0))</f>
        <v>0</v>
      </c>
      <c r="N953" s="34">
        <f t="shared" si="136"/>
        <v>0</v>
      </c>
      <c r="O953" s="64" t="str">
        <f t="shared" si="137"/>
        <v xml:space="preserve"> </v>
      </c>
      <c r="Q953" s="97">
        <f t="shared" si="138"/>
        <v>0</v>
      </c>
      <c r="R953" s="96">
        <f t="shared" si="139"/>
        <v>0</v>
      </c>
      <c r="T953" s="67" t="str">
        <f>IF($B953&lt;&gt;"",INDEX(DataOB[],FirstRow+ROW()-7,MATCH(T$6,DataOB[#Headers],0)),"")</f>
        <v/>
      </c>
      <c r="U953" s="67" t="str">
        <f>IF($B953&lt;&gt;"",INDEX(DataOB[],FirstRow+ROW()-7,MATCH(U$6,DataOB[#Headers],0)),"")</f>
        <v/>
      </c>
      <c r="V953" s="67" t="str">
        <f>IF($B953&lt;&gt;"",INDEX(DataOB[],FirstRow+ROW()-7,MATCH(V$6,DataOB[#Headers],0)),"")</f>
        <v/>
      </c>
      <c r="W953" s="67" t="str">
        <f>IF($B953&lt;&gt;"",INDEX(DataOB[],FirstRow+ROW()-7,MATCH(W$6,DataOB[#Headers],0)),"")</f>
        <v/>
      </c>
      <c r="X953" s="67" t="str">
        <f>IF($B953&lt;&gt;"",INDEX(DataOB[],FirstRow+ROW()-7,MATCH(X$6,DataOB[#Headers],0)),"")</f>
        <v/>
      </c>
      <c r="Y953" s="67" t="str">
        <f>IF($B953&lt;&gt;"",INDEX(DataOB[],FirstRow+ROW()-7,MATCH(Y$6,DataOB[#Headers],0)),"")</f>
        <v/>
      </c>
      <c r="Z953" s="67" t="str">
        <f>IF($B953&lt;&gt;"",INDEX(DataOB[],FirstRow+ROW()-7,MATCH(Z$6,DataOB[#Headers],0)),"")</f>
        <v/>
      </c>
      <c r="AA953" s="67" t="str">
        <f>IF($B953&lt;&gt;"",INDEX(DataOB[],FirstRow+ROW()-7,MATCH(AA$6,DataOB[#Headers],0)),"")</f>
        <v/>
      </c>
      <c r="AB953" s="67" t="str">
        <f>IF($B953&lt;&gt;"",INDEX(DataOB[],FirstRow+ROW()-7,MATCH(AB$6,DataOB[#Headers],0)),"")</f>
        <v/>
      </c>
      <c r="AC953" s="67" t="str">
        <f>IF($B953&lt;&gt;"",INDEX(DataOB[],FirstRow+ROW()-7,MATCH(AC$6,DataOB[#Headers],0)),"")</f>
        <v/>
      </c>
      <c r="AD953" s="67" t="str">
        <f>IF($B953&lt;&gt;"",INDEX(DataOB[],FirstRow+ROW()-7,MATCH(AD$6,DataOB[#Headers],0)),"")</f>
        <v/>
      </c>
      <c r="AE953" s="67" t="str">
        <f>IF($B953&lt;&gt;"",INDEX(DataOB[],FirstRow+ROW()-7,MATCH(AE$6,DataOB[#Headers],0)),"")</f>
        <v/>
      </c>
      <c r="AF953" s="26">
        <f t="shared" si="140"/>
        <v>0</v>
      </c>
      <c r="AG953" s="31">
        <f>SUM($T953:T953)</f>
        <v>0</v>
      </c>
      <c r="AH953" s="31">
        <f>SUM($T953:U953)</f>
        <v>0</v>
      </c>
      <c r="AI953" s="31">
        <f>SUM($T953:V953)</f>
        <v>0</v>
      </c>
      <c r="AJ953" s="31">
        <f>SUM($T953:W953)</f>
        <v>0</v>
      </c>
      <c r="AK953" s="31">
        <f>SUM($T953:X953)</f>
        <v>0</v>
      </c>
      <c r="AL953" s="31">
        <f>SUM($T953:Y953)</f>
        <v>0</v>
      </c>
      <c r="AM953" s="31">
        <f>SUM($T953:Z953)</f>
        <v>0</v>
      </c>
      <c r="AN953" s="31">
        <f>SUM($T953:AA953)</f>
        <v>0</v>
      </c>
      <c r="AO953" s="31">
        <f>SUM($T953:AB953)</f>
        <v>0</v>
      </c>
      <c r="AP953" s="31">
        <f>SUM($T953:AC953)</f>
        <v>0</v>
      </c>
      <c r="AQ953" s="31">
        <f>SUM($T953:AD953)</f>
        <v>0</v>
      </c>
      <c r="AR953" s="31">
        <f>SUM($T953:AE953)</f>
        <v>0</v>
      </c>
      <c r="AS953" s="27">
        <f t="shared" si="141"/>
        <v>0</v>
      </c>
    </row>
    <row r="954" spans="2:45">
      <c r="B954" s="102" t="str">
        <f>IF(ROW()-6&gt;NumCostCenter,"",IF(CostCenter&lt;&gt;"ALL",CostCenter,DATA_LF2!B952))</f>
        <v/>
      </c>
      <c r="C954" s="153" t="str">
        <f>IF($B954&lt;&gt;"",INDEX(DataOB[],FirstRow+ROW()-7,2),"")</f>
        <v/>
      </c>
      <c r="D954" s="66" t="str">
        <f>IF($B954&lt;&gt;"",INDEX(DataOB[],FirstRow+ROW()-7,3),"")</f>
        <v/>
      </c>
      <c r="E954" s="103" t="str">
        <f>IF($B954&lt;&gt;"",INDEX(DataOB[],FirstRow+ROW()-7,6),"")</f>
        <v/>
      </c>
      <c r="F954" s="103" t="str">
        <f>IF($B954&lt;&gt;"",INDEX(DataOB[],FirstRow+ROW()-7,5),"")</f>
        <v/>
      </c>
      <c r="G954" s="58">
        <f>IF($B954&lt;&gt;"",SUMIFS(DataAct_tbl[AMOUNT],DataAct_tbl[BG CODE],Detail!$D954,DataAct_tbl[MONTH],LEFT(MonthName,3),DataAct_tbl[Dept code],$B954),0)</f>
        <v>0</v>
      </c>
      <c r="H954" s="31" t="str">
        <f t="shared" si="133"/>
        <v/>
      </c>
      <c r="I954" s="28" t="str">
        <f t="shared" si="134"/>
        <v/>
      </c>
      <c r="J954" s="32" t="str">
        <f t="shared" si="135"/>
        <v/>
      </c>
      <c r="K954" s="86"/>
      <c r="L954" s="62">
        <f>IF($B954&lt;&gt;"",SUMIFS(DataAct_tbl[AMOUNT],DataAct_tbl[BG CODE],Detail!$D954,DataAct_tbl[Check Range],"=true",DataAct_tbl[Dept code],$B954),0)</f>
        <v>0</v>
      </c>
      <c r="M954" s="63">
        <f>INDEX($AG$7:$AR$1005,ROW()-6,MATCH(MTD,$AG$6:$AR$6,0))</f>
        <v>0</v>
      </c>
      <c r="N954" s="34">
        <f t="shared" si="136"/>
        <v>0</v>
      </c>
      <c r="O954" s="64" t="str">
        <f t="shared" si="137"/>
        <v xml:space="preserve"> </v>
      </c>
      <c r="Q954" s="97">
        <f t="shared" si="138"/>
        <v>0</v>
      </c>
      <c r="R954" s="96">
        <f t="shared" si="139"/>
        <v>0</v>
      </c>
      <c r="T954" s="67" t="str">
        <f>IF($B954&lt;&gt;"",INDEX(DataOB[],FirstRow+ROW()-7,MATCH(T$6,DataOB[#Headers],0)),"")</f>
        <v/>
      </c>
      <c r="U954" s="67" t="str">
        <f>IF($B954&lt;&gt;"",INDEX(DataOB[],FirstRow+ROW()-7,MATCH(U$6,DataOB[#Headers],0)),"")</f>
        <v/>
      </c>
      <c r="V954" s="67" t="str">
        <f>IF($B954&lt;&gt;"",INDEX(DataOB[],FirstRow+ROW()-7,MATCH(V$6,DataOB[#Headers],0)),"")</f>
        <v/>
      </c>
      <c r="W954" s="67" t="str">
        <f>IF($B954&lt;&gt;"",INDEX(DataOB[],FirstRow+ROW()-7,MATCH(W$6,DataOB[#Headers],0)),"")</f>
        <v/>
      </c>
      <c r="X954" s="67" t="str">
        <f>IF($B954&lt;&gt;"",INDEX(DataOB[],FirstRow+ROW()-7,MATCH(X$6,DataOB[#Headers],0)),"")</f>
        <v/>
      </c>
      <c r="Y954" s="67" t="str">
        <f>IF($B954&lt;&gt;"",INDEX(DataOB[],FirstRow+ROW()-7,MATCH(Y$6,DataOB[#Headers],0)),"")</f>
        <v/>
      </c>
      <c r="Z954" s="67" t="str">
        <f>IF($B954&lt;&gt;"",INDEX(DataOB[],FirstRow+ROW()-7,MATCH(Z$6,DataOB[#Headers],0)),"")</f>
        <v/>
      </c>
      <c r="AA954" s="67" t="str">
        <f>IF($B954&lt;&gt;"",INDEX(DataOB[],FirstRow+ROW()-7,MATCH(AA$6,DataOB[#Headers],0)),"")</f>
        <v/>
      </c>
      <c r="AB954" s="67" t="str">
        <f>IF($B954&lt;&gt;"",INDEX(DataOB[],FirstRow+ROW()-7,MATCH(AB$6,DataOB[#Headers],0)),"")</f>
        <v/>
      </c>
      <c r="AC954" s="67" t="str">
        <f>IF($B954&lt;&gt;"",INDEX(DataOB[],FirstRow+ROW()-7,MATCH(AC$6,DataOB[#Headers],0)),"")</f>
        <v/>
      </c>
      <c r="AD954" s="67" t="str">
        <f>IF($B954&lt;&gt;"",INDEX(DataOB[],FirstRow+ROW()-7,MATCH(AD$6,DataOB[#Headers],0)),"")</f>
        <v/>
      </c>
      <c r="AE954" s="67" t="str">
        <f>IF($B954&lt;&gt;"",INDEX(DataOB[],FirstRow+ROW()-7,MATCH(AE$6,DataOB[#Headers],0)),"")</f>
        <v/>
      </c>
      <c r="AF954" s="26">
        <f t="shared" si="140"/>
        <v>0</v>
      </c>
      <c r="AG954" s="31">
        <f>SUM($T954:T954)</f>
        <v>0</v>
      </c>
      <c r="AH954" s="31">
        <f>SUM($T954:U954)</f>
        <v>0</v>
      </c>
      <c r="AI954" s="31">
        <f>SUM($T954:V954)</f>
        <v>0</v>
      </c>
      <c r="AJ954" s="31">
        <f>SUM($T954:W954)</f>
        <v>0</v>
      </c>
      <c r="AK954" s="31">
        <f>SUM($T954:X954)</f>
        <v>0</v>
      </c>
      <c r="AL954" s="31">
        <f>SUM($T954:Y954)</f>
        <v>0</v>
      </c>
      <c r="AM954" s="31">
        <f>SUM($T954:Z954)</f>
        <v>0</v>
      </c>
      <c r="AN954" s="31">
        <f>SUM($T954:AA954)</f>
        <v>0</v>
      </c>
      <c r="AO954" s="31">
        <f>SUM($T954:AB954)</f>
        <v>0</v>
      </c>
      <c r="AP954" s="31">
        <f>SUM($T954:AC954)</f>
        <v>0</v>
      </c>
      <c r="AQ954" s="31">
        <f>SUM($T954:AD954)</f>
        <v>0</v>
      </c>
      <c r="AR954" s="31">
        <f>SUM($T954:AE954)</f>
        <v>0</v>
      </c>
      <c r="AS954" s="27">
        <f t="shared" si="141"/>
        <v>0</v>
      </c>
    </row>
    <row r="955" spans="2:45">
      <c r="B955" s="102" t="str">
        <f>IF(ROW()-6&gt;NumCostCenter,"",IF(CostCenter&lt;&gt;"ALL",CostCenter,DATA_LF2!B953))</f>
        <v/>
      </c>
      <c r="C955" s="153" t="str">
        <f>IF($B955&lt;&gt;"",INDEX(DataOB[],FirstRow+ROW()-7,2),"")</f>
        <v/>
      </c>
      <c r="D955" s="66" t="str">
        <f>IF($B955&lt;&gt;"",INDEX(DataOB[],FirstRow+ROW()-7,3),"")</f>
        <v/>
      </c>
      <c r="E955" s="103" t="str">
        <f>IF($B955&lt;&gt;"",INDEX(DataOB[],FirstRow+ROW()-7,6),"")</f>
        <v/>
      </c>
      <c r="F955" s="103" t="str">
        <f>IF($B955&lt;&gt;"",INDEX(DataOB[],FirstRow+ROW()-7,5),"")</f>
        <v/>
      </c>
      <c r="G955" s="58">
        <f>IF($B955&lt;&gt;"",SUMIFS(DataAct_tbl[AMOUNT],DataAct_tbl[BG CODE],Detail!$D955,DataAct_tbl[MONTH],LEFT(MonthName,3),DataAct_tbl[Dept code],$B955),0)</f>
        <v>0</v>
      </c>
      <c r="H955" s="31" t="str">
        <f t="shared" si="133"/>
        <v/>
      </c>
      <c r="I955" s="28" t="str">
        <f t="shared" si="134"/>
        <v/>
      </c>
      <c r="J955" s="32" t="str">
        <f t="shared" si="135"/>
        <v/>
      </c>
      <c r="K955" s="86"/>
      <c r="L955" s="62">
        <f>IF($B955&lt;&gt;"",SUMIFS(DataAct_tbl[AMOUNT],DataAct_tbl[BG CODE],Detail!$D955,DataAct_tbl[Check Range],"=true",DataAct_tbl[Dept code],$B955),0)</f>
        <v>0</v>
      </c>
      <c r="M955" s="63">
        <f>INDEX($AG$7:$AR$1005,ROW()-6,MATCH(MTD,$AG$6:$AR$6,0))</f>
        <v>0</v>
      </c>
      <c r="N955" s="34">
        <f t="shared" si="136"/>
        <v>0</v>
      </c>
      <c r="O955" s="64" t="str">
        <f t="shared" si="137"/>
        <v xml:space="preserve"> </v>
      </c>
      <c r="Q955" s="97">
        <f t="shared" si="138"/>
        <v>0</v>
      </c>
      <c r="R955" s="96">
        <f t="shared" si="139"/>
        <v>0</v>
      </c>
      <c r="T955" s="67" t="str">
        <f>IF($B955&lt;&gt;"",INDEX(DataOB[],FirstRow+ROW()-7,MATCH(T$6,DataOB[#Headers],0)),"")</f>
        <v/>
      </c>
      <c r="U955" s="67" t="str">
        <f>IF($B955&lt;&gt;"",INDEX(DataOB[],FirstRow+ROW()-7,MATCH(U$6,DataOB[#Headers],0)),"")</f>
        <v/>
      </c>
      <c r="V955" s="67" t="str">
        <f>IF($B955&lt;&gt;"",INDEX(DataOB[],FirstRow+ROW()-7,MATCH(V$6,DataOB[#Headers],0)),"")</f>
        <v/>
      </c>
      <c r="W955" s="67" t="str">
        <f>IF($B955&lt;&gt;"",INDEX(DataOB[],FirstRow+ROW()-7,MATCH(W$6,DataOB[#Headers],0)),"")</f>
        <v/>
      </c>
      <c r="X955" s="67" t="str">
        <f>IF($B955&lt;&gt;"",INDEX(DataOB[],FirstRow+ROW()-7,MATCH(X$6,DataOB[#Headers],0)),"")</f>
        <v/>
      </c>
      <c r="Y955" s="67" t="str">
        <f>IF($B955&lt;&gt;"",INDEX(DataOB[],FirstRow+ROW()-7,MATCH(Y$6,DataOB[#Headers],0)),"")</f>
        <v/>
      </c>
      <c r="Z955" s="67" t="str">
        <f>IF($B955&lt;&gt;"",INDEX(DataOB[],FirstRow+ROW()-7,MATCH(Z$6,DataOB[#Headers],0)),"")</f>
        <v/>
      </c>
      <c r="AA955" s="67" t="str">
        <f>IF($B955&lt;&gt;"",INDEX(DataOB[],FirstRow+ROW()-7,MATCH(AA$6,DataOB[#Headers],0)),"")</f>
        <v/>
      </c>
      <c r="AB955" s="67" t="str">
        <f>IF($B955&lt;&gt;"",INDEX(DataOB[],FirstRow+ROW()-7,MATCH(AB$6,DataOB[#Headers],0)),"")</f>
        <v/>
      </c>
      <c r="AC955" s="67" t="str">
        <f>IF($B955&lt;&gt;"",INDEX(DataOB[],FirstRow+ROW()-7,MATCH(AC$6,DataOB[#Headers],0)),"")</f>
        <v/>
      </c>
      <c r="AD955" s="67" t="str">
        <f>IF($B955&lt;&gt;"",INDEX(DataOB[],FirstRow+ROW()-7,MATCH(AD$6,DataOB[#Headers],0)),"")</f>
        <v/>
      </c>
      <c r="AE955" s="67" t="str">
        <f>IF($B955&lt;&gt;"",INDEX(DataOB[],FirstRow+ROW()-7,MATCH(AE$6,DataOB[#Headers],0)),"")</f>
        <v/>
      </c>
      <c r="AF955" s="26">
        <f t="shared" si="140"/>
        <v>0</v>
      </c>
      <c r="AG955" s="31">
        <f>SUM($T955:T955)</f>
        <v>0</v>
      </c>
      <c r="AH955" s="31">
        <f>SUM($T955:U955)</f>
        <v>0</v>
      </c>
      <c r="AI955" s="31">
        <f>SUM($T955:V955)</f>
        <v>0</v>
      </c>
      <c r="AJ955" s="31">
        <f>SUM($T955:W955)</f>
        <v>0</v>
      </c>
      <c r="AK955" s="31">
        <f>SUM($T955:X955)</f>
        <v>0</v>
      </c>
      <c r="AL955" s="31">
        <f>SUM($T955:Y955)</f>
        <v>0</v>
      </c>
      <c r="AM955" s="31">
        <f>SUM($T955:Z955)</f>
        <v>0</v>
      </c>
      <c r="AN955" s="31">
        <f>SUM($T955:AA955)</f>
        <v>0</v>
      </c>
      <c r="AO955" s="31">
        <f>SUM($T955:AB955)</f>
        <v>0</v>
      </c>
      <c r="AP955" s="31">
        <f>SUM($T955:AC955)</f>
        <v>0</v>
      </c>
      <c r="AQ955" s="31">
        <f>SUM($T955:AD955)</f>
        <v>0</v>
      </c>
      <c r="AR955" s="31">
        <f>SUM($T955:AE955)</f>
        <v>0</v>
      </c>
      <c r="AS955" s="27">
        <f t="shared" si="141"/>
        <v>0</v>
      </c>
    </row>
    <row r="956" spans="2:45">
      <c r="B956" s="102" t="str">
        <f>IF(ROW()-6&gt;NumCostCenter,"",IF(CostCenter&lt;&gt;"ALL",CostCenter,DATA_LF2!B954))</f>
        <v/>
      </c>
      <c r="C956" s="153" t="str">
        <f>IF($B956&lt;&gt;"",INDEX(DataOB[],FirstRow+ROW()-7,2),"")</f>
        <v/>
      </c>
      <c r="D956" s="66" t="str">
        <f>IF($B956&lt;&gt;"",INDEX(DataOB[],FirstRow+ROW()-7,3),"")</f>
        <v/>
      </c>
      <c r="E956" s="103" t="str">
        <f>IF($B956&lt;&gt;"",INDEX(DataOB[],FirstRow+ROW()-7,6),"")</f>
        <v/>
      </c>
      <c r="F956" s="103" t="str">
        <f>IF($B956&lt;&gt;"",INDEX(DataOB[],FirstRow+ROW()-7,5),"")</f>
        <v/>
      </c>
      <c r="G956" s="58">
        <f>IF($B956&lt;&gt;"",SUMIFS(DataAct_tbl[AMOUNT],DataAct_tbl[BG CODE],Detail!$D956,DataAct_tbl[MONTH],LEFT(MonthName,3),DataAct_tbl[Dept code],$B956),0)</f>
        <v>0</v>
      </c>
      <c r="H956" s="31" t="str">
        <f t="shared" si="133"/>
        <v/>
      </c>
      <c r="I956" s="28" t="str">
        <f t="shared" si="134"/>
        <v/>
      </c>
      <c r="J956" s="32" t="str">
        <f t="shared" si="135"/>
        <v/>
      </c>
      <c r="K956" s="86"/>
      <c r="L956" s="62">
        <f>IF($B956&lt;&gt;"",SUMIFS(DataAct_tbl[AMOUNT],DataAct_tbl[BG CODE],Detail!$D956,DataAct_tbl[Check Range],"=true",DataAct_tbl[Dept code],$B956),0)</f>
        <v>0</v>
      </c>
      <c r="M956" s="63">
        <f>INDEX($AG$7:$AR$1005,ROW()-6,MATCH(MTD,$AG$6:$AR$6,0))</f>
        <v>0</v>
      </c>
      <c r="N956" s="34">
        <f t="shared" si="136"/>
        <v>0</v>
      </c>
      <c r="O956" s="64" t="str">
        <f t="shared" si="137"/>
        <v xml:space="preserve"> </v>
      </c>
      <c r="Q956" s="97">
        <f t="shared" si="138"/>
        <v>0</v>
      </c>
      <c r="R956" s="96">
        <f t="shared" si="139"/>
        <v>0</v>
      </c>
      <c r="T956" s="67" t="str">
        <f>IF($B956&lt;&gt;"",INDEX(DataOB[],FirstRow+ROW()-7,MATCH(T$6,DataOB[#Headers],0)),"")</f>
        <v/>
      </c>
      <c r="U956" s="67" t="str">
        <f>IF($B956&lt;&gt;"",INDEX(DataOB[],FirstRow+ROW()-7,MATCH(U$6,DataOB[#Headers],0)),"")</f>
        <v/>
      </c>
      <c r="V956" s="67" t="str">
        <f>IF($B956&lt;&gt;"",INDEX(DataOB[],FirstRow+ROW()-7,MATCH(V$6,DataOB[#Headers],0)),"")</f>
        <v/>
      </c>
      <c r="W956" s="67" t="str">
        <f>IF($B956&lt;&gt;"",INDEX(DataOB[],FirstRow+ROW()-7,MATCH(W$6,DataOB[#Headers],0)),"")</f>
        <v/>
      </c>
      <c r="X956" s="67" t="str">
        <f>IF($B956&lt;&gt;"",INDEX(DataOB[],FirstRow+ROW()-7,MATCH(X$6,DataOB[#Headers],0)),"")</f>
        <v/>
      </c>
      <c r="Y956" s="67" t="str">
        <f>IF($B956&lt;&gt;"",INDEX(DataOB[],FirstRow+ROW()-7,MATCH(Y$6,DataOB[#Headers],0)),"")</f>
        <v/>
      </c>
      <c r="Z956" s="67" t="str">
        <f>IF($B956&lt;&gt;"",INDEX(DataOB[],FirstRow+ROW()-7,MATCH(Z$6,DataOB[#Headers],0)),"")</f>
        <v/>
      </c>
      <c r="AA956" s="67" t="str">
        <f>IF($B956&lt;&gt;"",INDEX(DataOB[],FirstRow+ROW()-7,MATCH(AA$6,DataOB[#Headers],0)),"")</f>
        <v/>
      </c>
      <c r="AB956" s="67" t="str">
        <f>IF($B956&lt;&gt;"",INDEX(DataOB[],FirstRow+ROW()-7,MATCH(AB$6,DataOB[#Headers],0)),"")</f>
        <v/>
      </c>
      <c r="AC956" s="67" t="str">
        <f>IF($B956&lt;&gt;"",INDEX(DataOB[],FirstRow+ROW()-7,MATCH(AC$6,DataOB[#Headers],0)),"")</f>
        <v/>
      </c>
      <c r="AD956" s="67" t="str">
        <f>IF($B956&lt;&gt;"",INDEX(DataOB[],FirstRow+ROW()-7,MATCH(AD$6,DataOB[#Headers],0)),"")</f>
        <v/>
      </c>
      <c r="AE956" s="67" t="str">
        <f>IF($B956&lt;&gt;"",INDEX(DataOB[],FirstRow+ROW()-7,MATCH(AE$6,DataOB[#Headers],0)),"")</f>
        <v/>
      </c>
      <c r="AF956" s="26">
        <f t="shared" si="140"/>
        <v>0</v>
      </c>
      <c r="AG956" s="31">
        <f>SUM($T956:T956)</f>
        <v>0</v>
      </c>
      <c r="AH956" s="31">
        <f>SUM($T956:U956)</f>
        <v>0</v>
      </c>
      <c r="AI956" s="31">
        <f>SUM($T956:V956)</f>
        <v>0</v>
      </c>
      <c r="AJ956" s="31">
        <f>SUM($T956:W956)</f>
        <v>0</v>
      </c>
      <c r="AK956" s="31">
        <f>SUM($T956:X956)</f>
        <v>0</v>
      </c>
      <c r="AL956" s="31">
        <f>SUM($T956:Y956)</f>
        <v>0</v>
      </c>
      <c r="AM956" s="31">
        <f>SUM($T956:Z956)</f>
        <v>0</v>
      </c>
      <c r="AN956" s="31">
        <f>SUM($T956:AA956)</f>
        <v>0</v>
      </c>
      <c r="AO956" s="31">
        <f>SUM($T956:AB956)</f>
        <v>0</v>
      </c>
      <c r="AP956" s="31">
        <f>SUM($T956:AC956)</f>
        <v>0</v>
      </c>
      <c r="AQ956" s="31">
        <f>SUM($T956:AD956)</f>
        <v>0</v>
      </c>
      <c r="AR956" s="31">
        <f>SUM($T956:AE956)</f>
        <v>0</v>
      </c>
      <c r="AS956" s="27">
        <f t="shared" si="141"/>
        <v>0</v>
      </c>
    </row>
    <row r="957" spans="2:45">
      <c r="B957" s="102" t="str">
        <f>IF(ROW()-6&gt;NumCostCenter,"",IF(CostCenter&lt;&gt;"ALL",CostCenter,DATA_LF2!B955))</f>
        <v/>
      </c>
      <c r="C957" s="153" t="str">
        <f>IF($B957&lt;&gt;"",INDEX(DataOB[],FirstRow+ROW()-7,2),"")</f>
        <v/>
      </c>
      <c r="D957" s="66" t="str">
        <f>IF($B957&lt;&gt;"",INDEX(DataOB[],FirstRow+ROW()-7,3),"")</f>
        <v/>
      </c>
      <c r="E957" s="103" t="str">
        <f>IF($B957&lt;&gt;"",INDEX(DataOB[],FirstRow+ROW()-7,6),"")</f>
        <v/>
      </c>
      <c r="F957" s="103" t="str">
        <f>IF($B957&lt;&gt;"",INDEX(DataOB[],FirstRow+ROW()-7,5),"")</f>
        <v/>
      </c>
      <c r="G957" s="58">
        <f>IF($B957&lt;&gt;"",SUMIFS(DataAct_tbl[AMOUNT],DataAct_tbl[BG CODE],Detail!$D957,DataAct_tbl[MONTH],LEFT(MonthName,3),DataAct_tbl[Dept code],$B957),0)</f>
        <v>0</v>
      </c>
      <c r="H957" s="31" t="str">
        <f t="shared" si="133"/>
        <v/>
      </c>
      <c r="I957" s="28" t="str">
        <f t="shared" si="134"/>
        <v/>
      </c>
      <c r="J957" s="32" t="str">
        <f t="shared" si="135"/>
        <v/>
      </c>
      <c r="K957" s="86"/>
      <c r="L957" s="62">
        <f>IF($B957&lt;&gt;"",SUMIFS(DataAct_tbl[AMOUNT],DataAct_tbl[BG CODE],Detail!$D957,DataAct_tbl[Check Range],"=true",DataAct_tbl[Dept code],$B957),0)</f>
        <v>0</v>
      </c>
      <c r="M957" s="63">
        <f>INDEX($AG$7:$AR$1005,ROW()-6,MATCH(MTD,$AG$6:$AR$6,0))</f>
        <v>0</v>
      </c>
      <c r="N957" s="34">
        <f t="shared" si="136"/>
        <v>0</v>
      </c>
      <c r="O957" s="64" t="str">
        <f t="shared" si="137"/>
        <v xml:space="preserve"> </v>
      </c>
      <c r="Q957" s="97">
        <f t="shared" si="138"/>
        <v>0</v>
      </c>
      <c r="R957" s="96">
        <f t="shared" si="139"/>
        <v>0</v>
      </c>
      <c r="T957" s="67" t="str">
        <f>IF($B957&lt;&gt;"",INDEX(DataOB[],FirstRow+ROW()-7,MATCH(T$6,DataOB[#Headers],0)),"")</f>
        <v/>
      </c>
      <c r="U957" s="67" t="str">
        <f>IF($B957&lt;&gt;"",INDEX(DataOB[],FirstRow+ROW()-7,MATCH(U$6,DataOB[#Headers],0)),"")</f>
        <v/>
      </c>
      <c r="V957" s="67" t="str">
        <f>IF($B957&lt;&gt;"",INDEX(DataOB[],FirstRow+ROW()-7,MATCH(V$6,DataOB[#Headers],0)),"")</f>
        <v/>
      </c>
      <c r="W957" s="67" t="str">
        <f>IF($B957&lt;&gt;"",INDEX(DataOB[],FirstRow+ROW()-7,MATCH(W$6,DataOB[#Headers],0)),"")</f>
        <v/>
      </c>
      <c r="X957" s="67" t="str">
        <f>IF($B957&lt;&gt;"",INDEX(DataOB[],FirstRow+ROW()-7,MATCH(X$6,DataOB[#Headers],0)),"")</f>
        <v/>
      </c>
      <c r="Y957" s="67" t="str">
        <f>IF($B957&lt;&gt;"",INDEX(DataOB[],FirstRow+ROW()-7,MATCH(Y$6,DataOB[#Headers],0)),"")</f>
        <v/>
      </c>
      <c r="Z957" s="67" t="str">
        <f>IF($B957&lt;&gt;"",INDEX(DataOB[],FirstRow+ROW()-7,MATCH(Z$6,DataOB[#Headers],0)),"")</f>
        <v/>
      </c>
      <c r="AA957" s="67" t="str">
        <f>IF($B957&lt;&gt;"",INDEX(DataOB[],FirstRow+ROW()-7,MATCH(AA$6,DataOB[#Headers],0)),"")</f>
        <v/>
      </c>
      <c r="AB957" s="67" t="str">
        <f>IF($B957&lt;&gt;"",INDEX(DataOB[],FirstRow+ROW()-7,MATCH(AB$6,DataOB[#Headers],0)),"")</f>
        <v/>
      </c>
      <c r="AC957" s="67" t="str">
        <f>IF($B957&lt;&gt;"",INDEX(DataOB[],FirstRow+ROW()-7,MATCH(AC$6,DataOB[#Headers],0)),"")</f>
        <v/>
      </c>
      <c r="AD957" s="67" t="str">
        <f>IF($B957&lt;&gt;"",INDEX(DataOB[],FirstRow+ROW()-7,MATCH(AD$6,DataOB[#Headers],0)),"")</f>
        <v/>
      </c>
      <c r="AE957" s="67" t="str">
        <f>IF($B957&lt;&gt;"",INDEX(DataOB[],FirstRow+ROW()-7,MATCH(AE$6,DataOB[#Headers],0)),"")</f>
        <v/>
      </c>
      <c r="AF957" s="26">
        <f t="shared" si="140"/>
        <v>0</v>
      </c>
      <c r="AG957" s="31">
        <f>SUM($T957:T957)</f>
        <v>0</v>
      </c>
      <c r="AH957" s="31">
        <f>SUM($T957:U957)</f>
        <v>0</v>
      </c>
      <c r="AI957" s="31">
        <f>SUM($T957:V957)</f>
        <v>0</v>
      </c>
      <c r="AJ957" s="31">
        <f>SUM($T957:W957)</f>
        <v>0</v>
      </c>
      <c r="AK957" s="31">
        <f>SUM($T957:X957)</f>
        <v>0</v>
      </c>
      <c r="AL957" s="31">
        <f>SUM($T957:Y957)</f>
        <v>0</v>
      </c>
      <c r="AM957" s="31">
        <f>SUM($T957:Z957)</f>
        <v>0</v>
      </c>
      <c r="AN957" s="31">
        <f>SUM($T957:AA957)</f>
        <v>0</v>
      </c>
      <c r="AO957" s="31">
        <f>SUM($T957:AB957)</f>
        <v>0</v>
      </c>
      <c r="AP957" s="31">
        <f>SUM($T957:AC957)</f>
        <v>0</v>
      </c>
      <c r="AQ957" s="31">
        <f>SUM($T957:AD957)</f>
        <v>0</v>
      </c>
      <c r="AR957" s="31">
        <f>SUM($T957:AE957)</f>
        <v>0</v>
      </c>
      <c r="AS957" s="27">
        <f t="shared" si="141"/>
        <v>0</v>
      </c>
    </row>
    <row r="958" spans="2:45">
      <c r="B958" s="102" t="str">
        <f>IF(ROW()-6&gt;NumCostCenter,"",IF(CostCenter&lt;&gt;"ALL",CostCenter,DATA_LF2!B956))</f>
        <v/>
      </c>
      <c r="C958" s="153" t="str">
        <f>IF($B958&lt;&gt;"",INDEX(DataOB[],FirstRow+ROW()-7,2),"")</f>
        <v/>
      </c>
      <c r="D958" s="66" t="str">
        <f>IF($B958&lt;&gt;"",INDEX(DataOB[],FirstRow+ROW()-7,3),"")</f>
        <v/>
      </c>
      <c r="E958" s="103" t="str">
        <f>IF($B958&lt;&gt;"",INDEX(DataOB[],FirstRow+ROW()-7,6),"")</f>
        <v/>
      </c>
      <c r="F958" s="103" t="str">
        <f>IF($B958&lt;&gt;"",INDEX(DataOB[],FirstRow+ROW()-7,5),"")</f>
        <v/>
      </c>
      <c r="G958" s="58">
        <f>IF($B958&lt;&gt;"",SUMIFS(DataAct_tbl[AMOUNT],DataAct_tbl[BG CODE],Detail!$D958,DataAct_tbl[MONTH],LEFT(MonthName,3),DataAct_tbl[Dept code],$B958),0)</f>
        <v>0</v>
      </c>
      <c r="H958" s="31" t="str">
        <f t="shared" si="133"/>
        <v/>
      </c>
      <c r="I958" s="28" t="str">
        <f t="shared" si="134"/>
        <v/>
      </c>
      <c r="J958" s="32" t="str">
        <f t="shared" si="135"/>
        <v/>
      </c>
      <c r="K958" s="86"/>
      <c r="L958" s="62">
        <f>IF($B958&lt;&gt;"",SUMIFS(DataAct_tbl[AMOUNT],DataAct_tbl[BG CODE],Detail!$D958,DataAct_tbl[Check Range],"=true",DataAct_tbl[Dept code],$B958),0)</f>
        <v>0</v>
      </c>
      <c r="M958" s="63">
        <f>INDEX($AG$7:$AR$1005,ROW()-6,MATCH(MTD,$AG$6:$AR$6,0))</f>
        <v>0</v>
      </c>
      <c r="N958" s="34">
        <f t="shared" si="136"/>
        <v>0</v>
      </c>
      <c r="O958" s="64" t="str">
        <f t="shared" si="137"/>
        <v xml:space="preserve"> </v>
      </c>
      <c r="Q958" s="97">
        <f t="shared" si="138"/>
        <v>0</v>
      </c>
      <c r="R958" s="96">
        <f t="shared" si="139"/>
        <v>0</v>
      </c>
      <c r="T958" s="67" t="str">
        <f>IF($B958&lt;&gt;"",INDEX(DataOB[],FirstRow+ROW()-7,MATCH(T$6,DataOB[#Headers],0)),"")</f>
        <v/>
      </c>
      <c r="U958" s="67" t="str">
        <f>IF($B958&lt;&gt;"",INDEX(DataOB[],FirstRow+ROW()-7,MATCH(U$6,DataOB[#Headers],0)),"")</f>
        <v/>
      </c>
      <c r="V958" s="67" t="str">
        <f>IF($B958&lt;&gt;"",INDEX(DataOB[],FirstRow+ROW()-7,MATCH(V$6,DataOB[#Headers],0)),"")</f>
        <v/>
      </c>
      <c r="W958" s="67" t="str">
        <f>IF($B958&lt;&gt;"",INDEX(DataOB[],FirstRow+ROW()-7,MATCH(W$6,DataOB[#Headers],0)),"")</f>
        <v/>
      </c>
      <c r="X958" s="67" t="str">
        <f>IF($B958&lt;&gt;"",INDEX(DataOB[],FirstRow+ROW()-7,MATCH(X$6,DataOB[#Headers],0)),"")</f>
        <v/>
      </c>
      <c r="Y958" s="67" t="str">
        <f>IF($B958&lt;&gt;"",INDEX(DataOB[],FirstRow+ROW()-7,MATCH(Y$6,DataOB[#Headers],0)),"")</f>
        <v/>
      </c>
      <c r="Z958" s="67" t="str">
        <f>IF($B958&lt;&gt;"",INDEX(DataOB[],FirstRow+ROW()-7,MATCH(Z$6,DataOB[#Headers],0)),"")</f>
        <v/>
      </c>
      <c r="AA958" s="67" t="str">
        <f>IF($B958&lt;&gt;"",INDEX(DataOB[],FirstRow+ROW()-7,MATCH(AA$6,DataOB[#Headers],0)),"")</f>
        <v/>
      </c>
      <c r="AB958" s="67" t="str">
        <f>IF($B958&lt;&gt;"",INDEX(DataOB[],FirstRow+ROW()-7,MATCH(AB$6,DataOB[#Headers],0)),"")</f>
        <v/>
      </c>
      <c r="AC958" s="67" t="str">
        <f>IF($B958&lt;&gt;"",INDEX(DataOB[],FirstRow+ROW()-7,MATCH(AC$6,DataOB[#Headers],0)),"")</f>
        <v/>
      </c>
      <c r="AD958" s="67" t="str">
        <f>IF($B958&lt;&gt;"",INDEX(DataOB[],FirstRow+ROW()-7,MATCH(AD$6,DataOB[#Headers],0)),"")</f>
        <v/>
      </c>
      <c r="AE958" s="67" t="str">
        <f>IF($B958&lt;&gt;"",INDEX(DataOB[],FirstRow+ROW()-7,MATCH(AE$6,DataOB[#Headers],0)),"")</f>
        <v/>
      </c>
      <c r="AF958" s="26">
        <f t="shared" si="140"/>
        <v>0</v>
      </c>
      <c r="AG958" s="31">
        <f>SUM($T958:T958)</f>
        <v>0</v>
      </c>
      <c r="AH958" s="31">
        <f>SUM($T958:U958)</f>
        <v>0</v>
      </c>
      <c r="AI958" s="31">
        <f>SUM($T958:V958)</f>
        <v>0</v>
      </c>
      <c r="AJ958" s="31">
        <f>SUM($T958:W958)</f>
        <v>0</v>
      </c>
      <c r="AK958" s="31">
        <f>SUM($T958:X958)</f>
        <v>0</v>
      </c>
      <c r="AL958" s="31">
        <f>SUM($T958:Y958)</f>
        <v>0</v>
      </c>
      <c r="AM958" s="31">
        <f>SUM($T958:Z958)</f>
        <v>0</v>
      </c>
      <c r="AN958" s="31">
        <f>SUM($T958:AA958)</f>
        <v>0</v>
      </c>
      <c r="AO958" s="31">
        <f>SUM($T958:AB958)</f>
        <v>0</v>
      </c>
      <c r="AP958" s="31">
        <f>SUM($T958:AC958)</f>
        <v>0</v>
      </c>
      <c r="AQ958" s="31">
        <f>SUM($T958:AD958)</f>
        <v>0</v>
      </c>
      <c r="AR958" s="31">
        <f>SUM($T958:AE958)</f>
        <v>0</v>
      </c>
      <c r="AS958" s="27">
        <f t="shared" si="141"/>
        <v>0</v>
      </c>
    </row>
    <row r="959" spans="2:45">
      <c r="B959" s="102" t="str">
        <f>IF(ROW()-6&gt;NumCostCenter,"",IF(CostCenter&lt;&gt;"ALL",CostCenter,DATA_LF2!B957))</f>
        <v/>
      </c>
      <c r="C959" s="153" t="str">
        <f>IF($B959&lt;&gt;"",INDEX(DataOB[],FirstRow+ROW()-7,2),"")</f>
        <v/>
      </c>
      <c r="D959" s="66" t="str">
        <f>IF($B959&lt;&gt;"",INDEX(DataOB[],FirstRow+ROW()-7,3),"")</f>
        <v/>
      </c>
      <c r="E959" s="103" t="str">
        <f>IF($B959&lt;&gt;"",INDEX(DataOB[],FirstRow+ROW()-7,6),"")</f>
        <v/>
      </c>
      <c r="F959" s="103" t="str">
        <f>IF($B959&lt;&gt;"",INDEX(DataOB[],FirstRow+ROW()-7,5),"")</f>
        <v/>
      </c>
      <c r="G959" s="58">
        <f>IF($B959&lt;&gt;"",SUMIFS(DataAct_tbl[AMOUNT],DataAct_tbl[BG CODE],Detail!$D959,DataAct_tbl[MONTH],LEFT(MonthName,3),DataAct_tbl[Dept code],$B959),0)</f>
        <v>0</v>
      </c>
      <c r="H959" s="31" t="str">
        <f t="shared" si="133"/>
        <v/>
      </c>
      <c r="I959" s="28" t="str">
        <f t="shared" si="134"/>
        <v/>
      </c>
      <c r="J959" s="32" t="str">
        <f t="shared" si="135"/>
        <v/>
      </c>
      <c r="K959" s="86"/>
      <c r="L959" s="62">
        <f>IF($B959&lt;&gt;"",SUMIFS(DataAct_tbl[AMOUNT],DataAct_tbl[BG CODE],Detail!$D959,DataAct_tbl[Check Range],"=true",DataAct_tbl[Dept code],$B959),0)</f>
        <v>0</v>
      </c>
      <c r="M959" s="63">
        <f>INDEX($AG$7:$AR$1005,ROW()-6,MATCH(MTD,$AG$6:$AR$6,0))</f>
        <v>0</v>
      </c>
      <c r="N959" s="34">
        <f t="shared" si="136"/>
        <v>0</v>
      </c>
      <c r="O959" s="64" t="str">
        <f t="shared" si="137"/>
        <v xml:space="preserve"> </v>
      </c>
      <c r="Q959" s="97">
        <f t="shared" si="138"/>
        <v>0</v>
      </c>
      <c r="R959" s="96">
        <f t="shared" si="139"/>
        <v>0</v>
      </c>
      <c r="T959" s="67" t="str">
        <f>IF($B959&lt;&gt;"",INDEX(DataOB[],FirstRow+ROW()-7,MATCH(T$6,DataOB[#Headers],0)),"")</f>
        <v/>
      </c>
      <c r="U959" s="67" t="str">
        <f>IF($B959&lt;&gt;"",INDEX(DataOB[],FirstRow+ROW()-7,MATCH(U$6,DataOB[#Headers],0)),"")</f>
        <v/>
      </c>
      <c r="V959" s="67" t="str">
        <f>IF($B959&lt;&gt;"",INDEX(DataOB[],FirstRow+ROW()-7,MATCH(V$6,DataOB[#Headers],0)),"")</f>
        <v/>
      </c>
      <c r="W959" s="67" t="str">
        <f>IF($B959&lt;&gt;"",INDEX(DataOB[],FirstRow+ROW()-7,MATCH(W$6,DataOB[#Headers],0)),"")</f>
        <v/>
      </c>
      <c r="X959" s="67" t="str">
        <f>IF($B959&lt;&gt;"",INDEX(DataOB[],FirstRow+ROW()-7,MATCH(X$6,DataOB[#Headers],0)),"")</f>
        <v/>
      </c>
      <c r="Y959" s="67" t="str">
        <f>IF($B959&lt;&gt;"",INDEX(DataOB[],FirstRow+ROW()-7,MATCH(Y$6,DataOB[#Headers],0)),"")</f>
        <v/>
      </c>
      <c r="Z959" s="67" t="str">
        <f>IF($B959&lt;&gt;"",INDEX(DataOB[],FirstRow+ROW()-7,MATCH(Z$6,DataOB[#Headers],0)),"")</f>
        <v/>
      </c>
      <c r="AA959" s="67" t="str">
        <f>IF($B959&lt;&gt;"",INDEX(DataOB[],FirstRow+ROW()-7,MATCH(AA$6,DataOB[#Headers],0)),"")</f>
        <v/>
      </c>
      <c r="AB959" s="67" t="str">
        <f>IF($B959&lt;&gt;"",INDEX(DataOB[],FirstRow+ROW()-7,MATCH(AB$6,DataOB[#Headers],0)),"")</f>
        <v/>
      </c>
      <c r="AC959" s="67" t="str">
        <f>IF($B959&lt;&gt;"",INDEX(DataOB[],FirstRow+ROW()-7,MATCH(AC$6,DataOB[#Headers],0)),"")</f>
        <v/>
      </c>
      <c r="AD959" s="67" t="str">
        <f>IF($B959&lt;&gt;"",INDEX(DataOB[],FirstRow+ROW()-7,MATCH(AD$6,DataOB[#Headers],0)),"")</f>
        <v/>
      </c>
      <c r="AE959" s="67" t="str">
        <f>IF($B959&lt;&gt;"",INDEX(DataOB[],FirstRow+ROW()-7,MATCH(AE$6,DataOB[#Headers],0)),"")</f>
        <v/>
      </c>
      <c r="AF959" s="26">
        <f t="shared" si="140"/>
        <v>0</v>
      </c>
      <c r="AG959" s="31">
        <f>SUM($T959:T959)</f>
        <v>0</v>
      </c>
      <c r="AH959" s="31">
        <f>SUM($T959:U959)</f>
        <v>0</v>
      </c>
      <c r="AI959" s="31">
        <f>SUM($T959:V959)</f>
        <v>0</v>
      </c>
      <c r="AJ959" s="31">
        <f>SUM($T959:W959)</f>
        <v>0</v>
      </c>
      <c r="AK959" s="31">
        <f>SUM($T959:X959)</f>
        <v>0</v>
      </c>
      <c r="AL959" s="31">
        <f>SUM($T959:Y959)</f>
        <v>0</v>
      </c>
      <c r="AM959" s="31">
        <f>SUM($T959:Z959)</f>
        <v>0</v>
      </c>
      <c r="AN959" s="31">
        <f>SUM($T959:AA959)</f>
        <v>0</v>
      </c>
      <c r="AO959" s="31">
        <f>SUM($T959:AB959)</f>
        <v>0</v>
      </c>
      <c r="AP959" s="31">
        <f>SUM($T959:AC959)</f>
        <v>0</v>
      </c>
      <c r="AQ959" s="31">
        <f>SUM($T959:AD959)</f>
        <v>0</v>
      </c>
      <c r="AR959" s="31">
        <f>SUM($T959:AE959)</f>
        <v>0</v>
      </c>
      <c r="AS959" s="27">
        <f t="shared" si="141"/>
        <v>0</v>
      </c>
    </row>
    <row r="960" spans="2:45">
      <c r="B960" s="102" t="str">
        <f>IF(ROW()-6&gt;NumCostCenter,"",IF(CostCenter&lt;&gt;"ALL",CostCenter,DATA_LF2!B958))</f>
        <v/>
      </c>
      <c r="C960" s="153" t="str">
        <f>IF($B960&lt;&gt;"",INDEX(DataOB[],FirstRow+ROW()-7,2),"")</f>
        <v/>
      </c>
      <c r="D960" s="66" t="str">
        <f>IF($B960&lt;&gt;"",INDEX(DataOB[],FirstRow+ROW()-7,3),"")</f>
        <v/>
      </c>
      <c r="E960" s="103" t="str">
        <f>IF($B960&lt;&gt;"",INDEX(DataOB[],FirstRow+ROW()-7,6),"")</f>
        <v/>
      </c>
      <c r="F960" s="103" t="str">
        <f>IF($B960&lt;&gt;"",INDEX(DataOB[],FirstRow+ROW()-7,5),"")</f>
        <v/>
      </c>
      <c r="G960" s="58">
        <f>IF($B960&lt;&gt;"",SUMIFS(DataAct_tbl[AMOUNT],DataAct_tbl[BG CODE],Detail!$D960,DataAct_tbl[MONTH],LEFT(MonthName,3),DataAct_tbl[Dept code],$B960),0)</f>
        <v>0</v>
      </c>
      <c r="H960" s="31" t="str">
        <f t="shared" si="133"/>
        <v/>
      </c>
      <c r="I960" s="28" t="str">
        <f t="shared" si="134"/>
        <v/>
      </c>
      <c r="J960" s="32" t="str">
        <f t="shared" si="135"/>
        <v/>
      </c>
      <c r="K960" s="86"/>
      <c r="L960" s="62">
        <f>IF($B960&lt;&gt;"",SUMIFS(DataAct_tbl[AMOUNT],DataAct_tbl[BG CODE],Detail!$D960,DataAct_tbl[Check Range],"=true",DataAct_tbl[Dept code],$B960),0)</f>
        <v>0</v>
      </c>
      <c r="M960" s="63">
        <f>INDEX($AG$7:$AR$1005,ROW()-6,MATCH(MTD,$AG$6:$AR$6,0))</f>
        <v>0</v>
      </c>
      <c r="N960" s="34">
        <f t="shared" si="136"/>
        <v>0</v>
      </c>
      <c r="O960" s="64" t="str">
        <f t="shared" si="137"/>
        <v xml:space="preserve"> </v>
      </c>
      <c r="Q960" s="97">
        <f t="shared" si="138"/>
        <v>0</v>
      </c>
      <c r="R960" s="96">
        <f t="shared" si="139"/>
        <v>0</v>
      </c>
      <c r="T960" s="67" t="str">
        <f>IF($B960&lt;&gt;"",INDEX(DataOB[],FirstRow+ROW()-7,MATCH(T$6,DataOB[#Headers],0)),"")</f>
        <v/>
      </c>
      <c r="U960" s="67" t="str">
        <f>IF($B960&lt;&gt;"",INDEX(DataOB[],FirstRow+ROW()-7,MATCH(U$6,DataOB[#Headers],0)),"")</f>
        <v/>
      </c>
      <c r="V960" s="67" t="str">
        <f>IF($B960&lt;&gt;"",INDEX(DataOB[],FirstRow+ROW()-7,MATCH(V$6,DataOB[#Headers],0)),"")</f>
        <v/>
      </c>
      <c r="W960" s="67" t="str">
        <f>IF($B960&lt;&gt;"",INDEX(DataOB[],FirstRow+ROW()-7,MATCH(W$6,DataOB[#Headers],0)),"")</f>
        <v/>
      </c>
      <c r="X960" s="67" t="str">
        <f>IF($B960&lt;&gt;"",INDEX(DataOB[],FirstRow+ROW()-7,MATCH(X$6,DataOB[#Headers],0)),"")</f>
        <v/>
      </c>
      <c r="Y960" s="67" t="str">
        <f>IF($B960&lt;&gt;"",INDEX(DataOB[],FirstRow+ROW()-7,MATCH(Y$6,DataOB[#Headers],0)),"")</f>
        <v/>
      </c>
      <c r="Z960" s="67" t="str">
        <f>IF($B960&lt;&gt;"",INDEX(DataOB[],FirstRow+ROW()-7,MATCH(Z$6,DataOB[#Headers],0)),"")</f>
        <v/>
      </c>
      <c r="AA960" s="67" t="str">
        <f>IF($B960&lt;&gt;"",INDEX(DataOB[],FirstRow+ROW()-7,MATCH(AA$6,DataOB[#Headers],0)),"")</f>
        <v/>
      </c>
      <c r="AB960" s="67" t="str">
        <f>IF($B960&lt;&gt;"",INDEX(DataOB[],FirstRow+ROW()-7,MATCH(AB$6,DataOB[#Headers],0)),"")</f>
        <v/>
      </c>
      <c r="AC960" s="67" t="str">
        <f>IF($B960&lt;&gt;"",INDEX(DataOB[],FirstRow+ROW()-7,MATCH(AC$6,DataOB[#Headers],0)),"")</f>
        <v/>
      </c>
      <c r="AD960" s="67" t="str">
        <f>IF($B960&lt;&gt;"",INDEX(DataOB[],FirstRow+ROW()-7,MATCH(AD$6,DataOB[#Headers],0)),"")</f>
        <v/>
      </c>
      <c r="AE960" s="67" t="str">
        <f>IF($B960&lt;&gt;"",INDEX(DataOB[],FirstRow+ROW()-7,MATCH(AE$6,DataOB[#Headers],0)),"")</f>
        <v/>
      </c>
      <c r="AF960" s="26">
        <f t="shared" si="140"/>
        <v>0</v>
      </c>
      <c r="AG960" s="31">
        <f>SUM($T960:T960)</f>
        <v>0</v>
      </c>
      <c r="AH960" s="31">
        <f>SUM($T960:U960)</f>
        <v>0</v>
      </c>
      <c r="AI960" s="31">
        <f>SUM($T960:V960)</f>
        <v>0</v>
      </c>
      <c r="AJ960" s="31">
        <f>SUM($T960:W960)</f>
        <v>0</v>
      </c>
      <c r="AK960" s="31">
        <f>SUM($T960:X960)</f>
        <v>0</v>
      </c>
      <c r="AL960" s="31">
        <f>SUM($T960:Y960)</f>
        <v>0</v>
      </c>
      <c r="AM960" s="31">
        <f>SUM($T960:Z960)</f>
        <v>0</v>
      </c>
      <c r="AN960" s="31">
        <f>SUM($T960:AA960)</f>
        <v>0</v>
      </c>
      <c r="AO960" s="31">
        <f>SUM($T960:AB960)</f>
        <v>0</v>
      </c>
      <c r="AP960" s="31">
        <f>SUM($T960:AC960)</f>
        <v>0</v>
      </c>
      <c r="AQ960" s="31">
        <f>SUM($T960:AD960)</f>
        <v>0</v>
      </c>
      <c r="AR960" s="31">
        <f>SUM($T960:AE960)</f>
        <v>0</v>
      </c>
      <c r="AS960" s="27">
        <f t="shared" si="141"/>
        <v>0</v>
      </c>
    </row>
    <row r="961" spans="2:45">
      <c r="B961" s="102" t="str">
        <f>IF(ROW()-6&gt;NumCostCenter,"",IF(CostCenter&lt;&gt;"ALL",CostCenter,DATA_LF2!B959))</f>
        <v/>
      </c>
      <c r="C961" s="153" t="str">
        <f>IF($B961&lt;&gt;"",INDEX(DataOB[],FirstRow+ROW()-7,2),"")</f>
        <v/>
      </c>
      <c r="D961" s="66" t="str">
        <f>IF($B961&lt;&gt;"",INDEX(DataOB[],FirstRow+ROW()-7,3),"")</f>
        <v/>
      </c>
      <c r="E961" s="103" t="str">
        <f>IF($B961&lt;&gt;"",INDEX(DataOB[],FirstRow+ROW()-7,6),"")</f>
        <v/>
      </c>
      <c r="F961" s="103" t="str">
        <f>IF($B961&lt;&gt;"",INDEX(DataOB[],FirstRow+ROW()-7,5),"")</f>
        <v/>
      </c>
      <c r="G961" s="58">
        <f>IF($B961&lt;&gt;"",SUMIFS(DataAct_tbl[AMOUNT],DataAct_tbl[BG CODE],Detail!$D961,DataAct_tbl[MONTH],LEFT(MonthName,3),DataAct_tbl[Dept code],$B961),0)</f>
        <v>0</v>
      </c>
      <c r="H961" s="31" t="str">
        <f t="shared" si="133"/>
        <v/>
      </c>
      <c r="I961" s="28" t="str">
        <f t="shared" si="134"/>
        <v/>
      </c>
      <c r="J961" s="32" t="str">
        <f t="shared" si="135"/>
        <v/>
      </c>
      <c r="K961" s="86"/>
      <c r="L961" s="62">
        <f>IF($B961&lt;&gt;"",SUMIFS(DataAct_tbl[AMOUNT],DataAct_tbl[BG CODE],Detail!$D961,DataAct_tbl[Check Range],"=true",DataAct_tbl[Dept code],$B961),0)</f>
        <v>0</v>
      </c>
      <c r="M961" s="63">
        <f>INDEX($AG$7:$AR$1005,ROW()-6,MATCH(MTD,$AG$6:$AR$6,0))</f>
        <v>0</v>
      </c>
      <c r="N961" s="34">
        <f t="shared" si="136"/>
        <v>0</v>
      </c>
      <c r="O961" s="64" t="str">
        <f t="shared" si="137"/>
        <v xml:space="preserve"> </v>
      </c>
      <c r="Q961" s="97">
        <f t="shared" si="138"/>
        <v>0</v>
      </c>
      <c r="R961" s="96">
        <f t="shared" si="139"/>
        <v>0</v>
      </c>
      <c r="T961" s="67" t="str">
        <f>IF($B961&lt;&gt;"",INDEX(DataOB[],FirstRow+ROW()-7,MATCH(T$6,DataOB[#Headers],0)),"")</f>
        <v/>
      </c>
      <c r="U961" s="67" t="str">
        <f>IF($B961&lt;&gt;"",INDEX(DataOB[],FirstRow+ROW()-7,MATCH(U$6,DataOB[#Headers],0)),"")</f>
        <v/>
      </c>
      <c r="V961" s="67" t="str">
        <f>IF($B961&lt;&gt;"",INDEX(DataOB[],FirstRow+ROW()-7,MATCH(V$6,DataOB[#Headers],0)),"")</f>
        <v/>
      </c>
      <c r="W961" s="67" t="str">
        <f>IF($B961&lt;&gt;"",INDEX(DataOB[],FirstRow+ROW()-7,MATCH(W$6,DataOB[#Headers],0)),"")</f>
        <v/>
      </c>
      <c r="X961" s="67" t="str">
        <f>IF($B961&lt;&gt;"",INDEX(DataOB[],FirstRow+ROW()-7,MATCH(X$6,DataOB[#Headers],0)),"")</f>
        <v/>
      </c>
      <c r="Y961" s="67" t="str">
        <f>IF($B961&lt;&gt;"",INDEX(DataOB[],FirstRow+ROW()-7,MATCH(Y$6,DataOB[#Headers],0)),"")</f>
        <v/>
      </c>
      <c r="Z961" s="67" t="str">
        <f>IF($B961&lt;&gt;"",INDEX(DataOB[],FirstRow+ROW()-7,MATCH(Z$6,DataOB[#Headers],0)),"")</f>
        <v/>
      </c>
      <c r="AA961" s="67" t="str">
        <f>IF($B961&lt;&gt;"",INDEX(DataOB[],FirstRow+ROW()-7,MATCH(AA$6,DataOB[#Headers],0)),"")</f>
        <v/>
      </c>
      <c r="AB961" s="67" t="str">
        <f>IF($B961&lt;&gt;"",INDEX(DataOB[],FirstRow+ROW()-7,MATCH(AB$6,DataOB[#Headers],0)),"")</f>
        <v/>
      </c>
      <c r="AC961" s="67" t="str">
        <f>IF($B961&lt;&gt;"",INDEX(DataOB[],FirstRow+ROW()-7,MATCH(AC$6,DataOB[#Headers],0)),"")</f>
        <v/>
      </c>
      <c r="AD961" s="67" t="str">
        <f>IF($B961&lt;&gt;"",INDEX(DataOB[],FirstRow+ROW()-7,MATCH(AD$6,DataOB[#Headers],0)),"")</f>
        <v/>
      </c>
      <c r="AE961" s="67" t="str">
        <f>IF($B961&lt;&gt;"",INDEX(DataOB[],FirstRow+ROW()-7,MATCH(AE$6,DataOB[#Headers],0)),"")</f>
        <v/>
      </c>
      <c r="AF961" s="26">
        <f t="shared" si="140"/>
        <v>0</v>
      </c>
      <c r="AG961" s="31">
        <f>SUM($T961:T961)</f>
        <v>0</v>
      </c>
      <c r="AH961" s="31">
        <f>SUM($T961:U961)</f>
        <v>0</v>
      </c>
      <c r="AI961" s="31">
        <f>SUM($T961:V961)</f>
        <v>0</v>
      </c>
      <c r="AJ961" s="31">
        <f>SUM($T961:W961)</f>
        <v>0</v>
      </c>
      <c r="AK961" s="31">
        <f>SUM($T961:X961)</f>
        <v>0</v>
      </c>
      <c r="AL961" s="31">
        <f>SUM($T961:Y961)</f>
        <v>0</v>
      </c>
      <c r="AM961" s="31">
        <f>SUM($T961:Z961)</f>
        <v>0</v>
      </c>
      <c r="AN961" s="31">
        <f>SUM($T961:AA961)</f>
        <v>0</v>
      </c>
      <c r="AO961" s="31">
        <f>SUM($T961:AB961)</f>
        <v>0</v>
      </c>
      <c r="AP961" s="31">
        <f>SUM($T961:AC961)</f>
        <v>0</v>
      </c>
      <c r="AQ961" s="31">
        <f>SUM($T961:AD961)</f>
        <v>0</v>
      </c>
      <c r="AR961" s="31">
        <f>SUM($T961:AE961)</f>
        <v>0</v>
      </c>
      <c r="AS961" s="27">
        <f t="shared" si="141"/>
        <v>0</v>
      </c>
    </row>
    <row r="962" spans="2:45">
      <c r="B962" s="102" t="str">
        <f>IF(ROW()-6&gt;NumCostCenter,"",IF(CostCenter&lt;&gt;"ALL",CostCenter,DATA_LF2!B960))</f>
        <v/>
      </c>
      <c r="C962" s="153" t="str">
        <f>IF($B962&lt;&gt;"",INDEX(DataOB[],FirstRow+ROW()-7,2),"")</f>
        <v/>
      </c>
      <c r="D962" s="66" t="str">
        <f>IF($B962&lt;&gt;"",INDEX(DataOB[],FirstRow+ROW()-7,3),"")</f>
        <v/>
      </c>
      <c r="E962" s="103" t="str">
        <f>IF($B962&lt;&gt;"",INDEX(DataOB[],FirstRow+ROW()-7,6),"")</f>
        <v/>
      </c>
      <c r="F962" s="103" t="str">
        <f>IF($B962&lt;&gt;"",INDEX(DataOB[],FirstRow+ROW()-7,5),"")</f>
        <v/>
      </c>
      <c r="G962" s="58">
        <f>IF($B962&lt;&gt;"",SUMIFS(DataAct_tbl[AMOUNT],DataAct_tbl[BG CODE],Detail!$D962,DataAct_tbl[MONTH],LEFT(MonthName,3),DataAct_tbl[Dept code],$B962),0)</f>
        <v>0</v>
      </c>
      <c r="H962" s="31" t="str">
        <f t="shared" si="133"/>
        <v/>
      </c>
      <c r="I962" s="28" t="str">
        <f t="shared" si="134"/>
        <v/>
      </c>
      <c r="J962" s="32" t="str">
        <f t="shared" si="135"/>
        <v/>
      </c>
      <c r="K962" s="86"/>
      <c r="L962" s="62">
        <f>IF($B962&lt;&gt;"",SUMIFS(DataAct_tbl[AMOUNT],DataAct_tbl[BG CODE],Detail!$D962,DataAct_tbl[Check Range],"=true",DataAct_tbl[Dept code],$B962),0)</f>
        <v>0</v>
      </c>
      <c r="M962" s="63">
        <f>INDEX($AG$7:$AR$1005,ROW()-6,MATCH(MTD,$AG$6:$AR$6,0))</f>
        <v>0</v>
      </c>
      <c r="N962" s="34">
        <f t="shared" si="136"/>
        <v>0</v>
      </c>
      <c r="O962" s="64" t="str">
        <f t="shared" si="137"/>
        <v xml:space="preserve"> </v>
      </c>
      <c r="Q962" s="97">
        <f t="shared" si="138"/>
        <v>0</v>
      </c>
      <c r="R962" s="96">
        <f t="shared" si="139"/>
        <v>0</v>
      </c>
      <c r="T962" s="67" t="str">
        <f>IF($B962&lt;&gt;"",INDEX(DataOB[],FirstRow+ROW()-7,MATCH(T$6,DataOB[#Headers],0)),"")</f>
        <v/>
      </c>
      <c r="U962" s="67" t="str">
        <f>IF($B962&lt;&gt;"",INDEX(DataOB[],FirstRow+ROW()-7,MATCH(U$6,DataOB[#Headers],0)),"")</f>
        <v/>
      </c>
      <c r="V962" s="67" t="str">
        <f>IF($B962&lt;&gt;"",INDEX(DataOB[],FirstRow+ROW()-7,MATCH(V$6,DataOB[#Headers],0)),"")</f>
        <v/>
      </c>
      <c r="W962" s="67" t="str">
        <f>IF($B962&lt;&gt;"",INDEX(DataOB[],FirstRow+ROW()-7,MATCH(W$6,DataOB[#Headers],0)),"")</f>
        <v/>
      </c>
      <c r="X962" s="67" t="str">
        <f>IF($B962&lt;&gt;"",INDEX(DataOB[],FirstRow+ROW()-7,MATCH(X$6,DataOB[#Headers],0)),"")</f>
        <v/>
      </c>
      <c r="Y962" s="67" t="str">
        <f>IF($B962&lt;&gt;"",INDEX(DataOB[],FirstRow+ROW()-7,MATCH(Y$6,DataOB[#Headers],0)),"")</f>
        <v/>
      </c>
      <c r="Z962" s="67" t="str">
        <f>IF($B962&lt;&gt;"",INDEX(DataOB[],FirstRow+ROW()-7,MATCH(Z$6,DataOB[#Headers],0)),"")</f>
        <v/>
      </c>
      <c r="AA962" s="67" t="str">
        <f>IF($B962&lt;&gt;"",INDEX(DataOB[],FirstRow+ROW()-7,MATCH(AA$6,DataOB[#Headers],0)),"")</f>
        <v/>
      </c>
      <c r="AB962" s="67" t="str">
        <f>IF($B962&lt;&gt;"",INDEX(DataOB[],FirstRow+ROW()-7,MATCH(AB$6,DataOB[#Headers],0)),"")</f>
        <v/>
      </c>
      <c r="AC962" s="67" t="str">
        <f>IF($B962&lt;&gt;"",INDEX(DataOB[],FirstRow+ROW()-7,MATCH(AC$6,DataOB[#Headers],0)),"")</f>
        <v/>
      </c>
      <c r="AD962" s="67" t="str">
        <f>IF($B962&lt;&gt;"",INDEX(DataOB[],FirstRow+ROW()-7,MATCH(AD$6,DataOB[#Headers],0)),"")</f>
        <v/>
      </c>
      <c r="AE962" s="67" t="str">
        <f>IF($B962&lt;&gt;"",INDEX(DataOB[],FirstRow+ROW()-7,MATCH(AE$6,DataOB[#Headers],0)),"")</f>
        <v/>
      </c>
      <c r="AF962" s="26">
        <f t="shared" si="140"/>
        <v>0</v>
      </c>
      <c r="AG962" s="31">
        <f>SUM($T962:T962)</f>
        <v>0</v>
      </c>
      <c r="AH962" s="31">
        <f>SUM($T962:U962)</f>
        <v>0</v>
      </c>
      <c r="AI962" s="31">
        <f>SUM($T962:V962)</f>
        <v>0</v>
      </c>
      <c r="AJ962" s="31">
        <f>SUM($T962:W962)</f>
        <v>0</v>
      </c>
      <c r="AK962" s="31">
        <f>SUM($T962:X962)</f>
        <v>0</v>
      </c>
      <c r="AL962" s="31">
        <f>SUM($T962:Y962)</f>
        <v>0</v>
      </c>
      <c r="AM962" s="31">
        <f>SUM($T962:Z962)</f>
        <v>0</v>
      </c>
      <c r="AN962" s="31">
        <f>SUM($T962:AA962)</f>
        <v>0</v>
      </c>
      <c r="AO962" s="31">
        <f>SUM($T962:AB962)</f>
        <v>0</v>
      </c>
      <c r="AP962" s="31">
        <f>SUM($T962:AC962)</f>
        <v>0</v>
      </c>
      <c r="AQ962" s="31">
        <f>SUM($T962:AD962)</f>
        <v>0</v>
      </c>
      <c r="AR962" s="31">
        <f>SUM($T962:AE962)</f>
        <v>0</v>
      </c>
      <c r="AS962" s="27">
        <f t="shared" si="141"/>
        <v>0</v>
      </c>
    </row>
    <row r="963" spans="2:45">
      <c r="B963" s="102" t="str">
        <f>IF(ROW()-6&gt;NumCostCenter,"",IF(CostCenter&lt;&gt;"ALL",CostCenter,DATA_LF2!B961))</f>
        <v/>
      </c>
      <c r="C963" s="153" t="str">
        <f>IF($B963&lt;&gt;"",INDEX(DataOB[],FirstRow+ROW()-7,2),"")</f>
        <v/>
      </c>
      <c r="D963" s="66" t="str">
        <f>IF($B963&lt;&gt;"",INDEX(DataOB[],FirstRow+ROW()-7,3),"")</f>
        <v/>
      </c>
      <c r="E963" s="103" t="str">
        <f>IF($B963&lt;&gt;"",INDEX(DataOB[],FirstRow+ROW()-7,6),"")</f>
        <v/>
      </c>
      <c r="F963" s="103" t="str">
        <f>IF($B963&lt;&gt;"",INDEX(DataOB[],FirstRow+ROW()-7,5),"")</f>
        <v/>
      </c>
      <c r="G963" s="58">
        <f>IF($B963&lt;&gt;"",SUMIFS(DataAct_tbl[AMOUNT],DataAct_tbl[BG CODE],Detail!$D963,DataAct_tbl[MONTH],LEFT(MonthName,3),DataAct_tbl[Dept code],$B963),0)</f>
        <v>0</v>
      </c>
      <c r="H963" s="31" t="str">
        <f t="shared" si="133"/>
        <v/>
      </c>
      <c r="I963" s="28" t="str">
        <f t="shared" si="134"/>
        <v/>
      </c>
      <c r="J963" s="32" t="str">
        <f t="shared" si="135"/>
        <v/>
      </c>
      <c r="K963" s="86"/>
      <c r="L963" s="62">
        <f>IF($B963&lt;&gt;"",SUMIFS(DataAct_tbl[AMOUNT],DataAct_tbl[BG CODE],Detail!$D963,DataAct_tbl[Check Range],"=true",DataAct_tbl[Dept code],$B963),0)</f>
        <v>0</v>
      </c>
      <c r="M963" s="63">
        <f>INDEX($AG$7:$AR$1005,ROW()-6,MATCH(MTD,$AG$6:$AR$6,0))</f>
        <v>0</v>
      </c>
      <c r="N963" s="34">
        <f t="shared" si="136"/>
        <v>0</v>
      </c>
      <c r="O963" s="64" t="str">
        <f t="shared" si="137"/>
        <v xml:space="preserve"> </v>
      </c>
      <c r="Q963" s="97">
        <f t="shared" si="138"/>
        <v>0</v>
      </c>
      <c r="R963" s="96">
        <f t="shared" si="139"/>
        <v>0</v>
      </c>
      <c r="T963" s="67" t="str">
        <f>IF($B963&lt;&gt;"",INDEX(DataOB[],FirstRow+ROW()-7,MATCH(T$6,DataOB[#Headers],0)),"")</f>
        <v/>
      </c>
      <c r="U963" s="67" t="str">
        <f>IF($B963&lt;&gt;"",INDEX(DataOB[],FirstRow+ROW()-7,MATCH(U$6,DataOB[#Headers],0)),"")</f>
        <v/>
      </c>
      <c r="V963" s="67" t="str">
        <f>IF($B963&lt;&gt;"",INDEX(DataOB[],FirstRow+ROW()-7,MATCH(V$6,DataOB[#Headers],0)),"")</f>
        <v/>
      </c>
      <c r="W963" s="67" t="str">
        <f>IF($B963&lt;&gt;"",INDEX(DataOB[],FirstRow+ROW()-7,MATCH(W$6,DataOB[#Headers],0)),"")</f>
        <v/>
      </c>
      <c r="X963" s="67" t="str">
        <f>IF($B963&lt;&gt;"",INDEX(DataOB[],FirstRow+ROW()-7,MATCH(X$6,DataOB[#Headers],0)),"")</f>
        <v/>
      </c>
      <c r="Y963" s="67" t="str">
        <f>IF($B963&lt;&gt;"",INDEX(DataOB[],FirstRow+ROW()-7,MATCH(Y$6,DataOB[#Headers],0)),"")</f>
        <v/>
      </c>
      <c r="Z963" s="67" t="str">
        <f>IF($B963&lt;&gt;"",INDEX(DataOB[],FirstRow+ROW()-7,MATCH(Z$6,DataOB[#Headers],0)),"")</f>
        <v/>
      </c>
      <c r="AA963" s="67" t="str">
        <f>IF($B963&lt;&gt;"",INDEX(DataOB[],FirstRow+ROW()-7,MATCH(AA$6,DataOB[#Headers],0)),"")</f>
        <v/>
      </c>
      <c r="AB963" s="67" t="str">
        <f>IF($B963&lt;&gt;"",INDEX(DataOB[],FirstRow+ROW()-7,MATCH(AB$6,DataOB[#Headers],0)),"")</f>
        <v/>
      </c>
      <c r="AC963" s="67" t="str">
        <f>IF($B963&lt;&gt;"",INDEX(DataOB[],FirstRow+ROW()-7,MATCH(AC$6,DataOB[#Headers],0)),"")</f>
        <v/>
      </c>
      <c r="AD963" s="67" t="str">
        <f>IF($B963&lt;&gt;"",INDEX(DataOB[],FirstRow+ROW()-7,MATCH(AD$6,DataOB[#Headers],0)),"")</f>
        <v/>
      </c>
      <c r="AE963" s="67" t="str">
        <f>IF($B963&lt;&gt;"",INDEX(DataOB[],FirstRow+ROW()-7,MATCH(AE$6,DataOB[#Headers],0)),"")</f>
        <v/>
      </c>
      <c r="AF963" s="26">
        <f t="shared" si="140"/>
        <v>0</v>
      </c>
      <c r="AG963" s="31">
        <f>SUM($T963:T963)</f>
        <v>0</v>
      </c>
      <c r="AH963" s="31">
        <f>SUM($T963:U963)</f>
        <v>0</v>
      </c>
      <c r="AI963" s="31">
        <f>SUM($T963:V963)</f>
        <v>0</v>
      </c>
      <c r="AJ963" s="31">
        <f>SUM($T963:W963)</f>
        <v>0</v>
      </c>
      <c r="AK963" s="31">
        <f>SUM($T963:X963)</f>
        <v>0</v>
      </c>
      <c r="AL963" s="31">
        <f>SUM($T963:Y963)</f>
        <v>0</v>
      </c>
      <c r="AM963" s="31">
        <f>SUM($T963:Z963)</f>
        <v>0</v>
      </c>
      <c r="AN963" s="31">
        <f>SUM($T963:AA963)</f>
        <v>0</v>
      </c>
      <c r="AO963" s="31">
        <f>SUM($T963:AB963)</f>
        <v>0</v>
      </c>
      <c r="AP963" s="31">
        <f>SUM($T963:AC963)</f>
        <v>0</v>
      </c>
      <c r="AQ963" s="31">
        <f>SUM($T963:AD963)</f>
        <v>0</v>
      </c>
      <c r="AR963" s="31">
        <f>SUM($T963:AE963)</f>
        <v>0</v>
      </c>
      <c r="AS963" s="27">
        <f t="shared" si="141"/>
        <v>0</v>
      </c>
    </row>
    <row r="964" spans="2:45">
      <c r="B964" s="102" t="str">
        <f>IF(ROW()-6&gt;NumCostCenter,"",IF(CostCenter&lt;&gt;"ALL",CostCenter,DATA_LF2!B962))</f>
        <v/>
      </c>
      <c r="C964" s="153" t="str">
        <f>IF($B964&lt;&gt;"",INDEX(DataOB[],FirstRow+ROW()-7,2),"")</f>
        <v/>
      </c>
      <c r="D964" s="66" t="str">
        <f>IF($B964&lt;&gt;"",INDEX(DataOB[],FirstRow+ROW()-7,3),"")</f>
        <v/>
      </c>
      <c r="E964" s="103" t="str">
        <f>IF($B964&lt;&gt;"",INDEX(DataOB[],FirstRow+ROW()-7,6),"")</f>
        <v/>
      </c>
      <c r="F964" s="103" t="str">
        <f>IF($B964&lt;&gt;"",INDEX(DataOB[],FirstRow+ROW()-7,5),"")</f>
        <v/>
      </c>
      <c r="G964" s="58">
        <f>IF($B964&lt;&gt;"",SUMIFS(DataAct_tbl[AMOUNT],DataAct_tbl[BG CODE],Detail!$D964,DataAct_tbl[MONTH],LEFT(MonthName,3),DataAct_tbl[Dept code],$B964),0)</f>
        <v>0</v>
      </c>
      <c r="H964" s="31" t="str">
        <f t="shared" si="133"/>
        <v/>
      </c>
      <c r="I964" s="28" t="str">
        <f t="shared" si="134"/>
        <v/>
      </c>
      <c r="J964" s="32" t="str">
        <f t="shared" si="135"/>
        <v/>
      </c>
      <c r="K964" s="86"/>
      <c r="L964" s="62">
        <f>IF($B964&lt;&gt;"",SUMIFS(DataAct_tbl[AMOUNT],DataAct_tbl[BG CODE],Detail!$D964,DataAct_tbl[Check Range],"=true",DataAct_tbl[Dept code],$B964),0)</f>
        <v>0</v>
      </c>
      <c r="M964" s="63">
        <f>INDEX($AG$7:$AR$1005,ROW()-6,MATCH(MTD,$AG$6:$AR$6,0))</f>
        <v>0</v>
      </c>
      <c r="N964" s="34">
        <f t="shared" si="136"/>
        <v>0</v>
      </c>
      <c r="O964" s="64" t="str">
        <f t="shared" si="137"/>
        <v xml:space="preserve"> </v>
      </c>
      <c r="Q964" s="97">
        <f t="shared" si="138"/>
        <v>0</v>
      </c>
      <c r="R964" s="96">
        <f t="shared" si="139"/>
        <v>0</v>
      </c>
      <c r="T964" s="67" t="str">
        <f>IF($B964&lt;&gt;"",INDEX(DataOB[],FirstRow+ROW()-7,MATCH(T$6,DataOB[#Headers],0)),"")</f>
        <v/>
      </c>
      <c r="U964" s="67" t="str">
        <f>IF($B964&lt;&gt;"",INDEX(DataOB[],FirstRow+ROW()-7,MATCH(U$6,DataOB[#Headers],0)),"")</f>
        <v/>
      </c>
      <c r="V964" s="67" t="str">
        <f>IF($B964&lt;&gt;"",INDEX(DataOB[],FirstRow+ROW()-7,MATCH(V$6,DataOB[#Headers],0)),"")</f>
        <v/>
      </c>
      <c r="W964" s="67" t="str">
        <f>IF($B964&lt;&gt;"",INDEX(DataOB[],FirstRow+ROW()-7,MATCH(W$6,DataOB[#Headers],0)),"")</f>
        <v/>
      </c>
      <c r="X964" s="67" t="str">
        <f>IF($B964&lt;&gt;"",INDEX(DataOB[],FirstRow+ROW()-7,MATCH(X$6,DataOB[#Headers],0)),"")</f>
        <v/>
      </c>
      <c r="Y964" s="67" t="str">
        <f>IF($B964&lt;&gt;"",INDEX(DataOB[],FirstRow+ROW()-7,MATCH(Y$6,DataOB[#Headers],0)),"")</f>
        <v/>
      </c>
      <c r="Z964" s="67" t="str">
        <f>IF($B964&lt;&gt;"",INDEX(DataOB[],FirstRow+ROW()-7,MATCH(Z$6,DataOB[#Headers],0)),"")</f>
        <v/>
      </c>
      <c r="AA964" s="67" t="str">
        <f>IF($B964&lt;&gt;"",INDEX(DataOB[],FirstRow+ROW()-7,MATCH(AA$6,DataOB[#Headers],0)),"")</f>
        <v/>
      </c>
      <c r="AB964" s="67" t="str">
        <f>IF($B964&lt;&gt;"",INDEX(DataOB[],FirstRow+ROW()-7,MATCH(AB$6,DataOB[#Headers],0)),"")</f>
        <v/>
      </c>
      <c r="AC964" s="67" t="str">
        <f>IF($B964&lt;&gt;"",INDEX(DataOB[],FirstRow+ROW()-7,MATCH(AC$6,DataOB[#Headers],0)),"")</f>
        <v/>
      </c>
      <c r="AD964" s="67" t="str">
        <f>IF($B964&lt;&gt;"",INDEX(DataOB[],FirstRow+ROW()-7,MATCH(AD$6,DataOB[#Headers],0)),"")</f>
        <v/>
      </c>
      <c r="AE964" s="67" t="str">
        <f>IF($B964&lt;&gt;"",INDEX(DataOB[],FirstRow+ROW()-7,MATCH(AE$6,DataOB[#Headers],0)),"")</f>
        <v/>
      </c>
      <c r="AF964" s="26">
        <f t="shared" si="140"/>
        <v>0</v>
      </c>
      <c r="AG964" s="31">
        <f>SUM($T964:T964)</f>
        <v>0</v>
      </c>
      <c r="AH964" s="31">
        <f>SUM($T964:U964)</f>
        <v>0</v>
      </c>
      <c r="AI964" s="31">
        <f>SUM($T964:V964)</f>
        <v>0</v>
      </c>
      <c r="AJ964" s="31">
        <f>SUM($T964:W964)</f>
        <v>0</v>
      </c>
      <c r="AK964" s="31">
        <f>SUM($T964:X964)</f>
        <v>0</v>
      </c>
      <c r="AL964" s="31">
        <f>SUM($T964:Y964)</f>
        <v>0</v>
      </c>
      <c r="AM964" s="31">
        <f>SUM($T964:Z964)</f>
        <v>0</v>
      </c>
      <c r="AN964" s="31">
        <f>SUM($T964:AA964)</f>
        <v>0</v>
      </c>
      <c r="AO964" s="31">
        <f>SUM($T964:AB964)</f>
        <v>0</v>
      </c>
      <c r="AP964" s="31">
        <f>SUM($T964:AC964)</f>
        <v>0</v>
      </c>
      <c r="AQ964" s="31">
        <f>SUM($T964:AD964)</f>
        <v>0</v>
      </c>
      <c r="AR964" s="31">
        <f>SUM($T964:AE964)</f>
        <v>0</v>
      </c>
      <c r="AS964" s="27">
        <f t="shared" si="141"/>
        <v>0</v>
      </c>
    </row>
    <row r="965" spans="2:45">
      <c r="B965" s="102" t="str">
        <f>IF(ROW()-6&gt;NumCostCenter,"",IF(CostCenter&lt;&gt;"ALL",CostCenter,DATA_LF2!B963))</f>
        <v/>
      </c>
      <c r="C965" s="153" t="str">
        <f>IF($B965&lt;&gt;"",INDEX(DataOB[],FirstRow+ROW()-7,2),"")</f>
        <v/>
      </c>
      <c r="D965" s="66" t="str">
        <f>IF($B965&lt;&gt;"",INDEX(DataOB[],FirstRow+ROW()-7,3),"")</f>
        <v/>
      </c>
      <c r="E965" s="103" t="str">
        <f>IF($B965&lt;&gt;"",INDEX(DataOB[],FirstRow+ROW()-7,6),"")</f>
        <v/>
      </c>
      <c r="F965" s="103" t="str">
        <f>IF($B965&lt;&gt;"",INDEX(DataOB[],FirstRow+ROW()-7,5),"")</f>
        <v/>
      </c>
      <c r="G965" s="58">
        <f>IF($B965&lt;&gt;"",SUMIFS(DataAct_tbl[AMOUNT],DataAct_tbl[BG CODE],Detail!$D965,DataAct_tbl[MONTH],LEFT(MonthName,3),DataAct_tbl[Dept code],$B965),0)</f>
        <v>0</v>
      </c>
      <c r="H965" s="31" t="str">
        <f t="shared" si="133"/>
        <v/>
      </c>
      <c r="I965" s="28" t="str">
        <f t="shared" si="134"/>
        <v/>
      </c>
      <c r="J965" s="32" t="str">
        <f t="shared" si="135"/>
        <v/>
      </c>
      <c r="K965" s="86"/>
      <c r="L965" s="62">
        <f>IF($B965&lt;&gt;"",SUMIFS(DataAct_tbl[AMOUNT],DataAct_tbl[BG CODE],Detail!$D965,DataAct_tbl[Check Range],"=true",DataAct_tbl[Dept code],$B965),0)</f>
        <v>0</v>
      </c>
      <c r="M965" s="63">
        <f>INDEX($AG$7:$AR$1005,ROW()-6,MATCH(MTD,$AG$6:$AR$6,0))</f>
        <v>0</v>
      </c>
      <c r="N965" s="34">
        <f t="shared" si="136"/>
        <v>0</v>
      </c>
      <c r="O965" s="64" t="str">
        <f t="shared" si="137"/>
        <v xml:space="preserve"> </v>
      </c>
      <c r="Q965" s="97">
        <f t="shared" si="138"/>
        <v>0</v>
      </c>
      <c r="R965" s="96">
        <f t="shared" si="139"/>
        <v>0</v>
      </c>
      <c r="T965" s="67" t="str">
        <f>IF($B965&lt;&gt;"",INDEX(DataOB[],FirstRow+ROW()-7,MATCH(T$6,DataOB[#Headers],0)),"")</f>
        <v/>
      </c>
      <c r="U965" s="67" t="str">
        <f>IF($B965&lt;&gt;"",INDEX(DataOB[],FirstRow+ROW()-7,MATCH(U$6,DataOB[#Headers],0)),"")</f>
        <v/>
      </c>
      <c r="V965" s="67" t="str">
        <f>IF($B965&lt;&gt;"",INDEX(DataOB[],FirstRow+ROW()-7,MATCH(V$6,DataOB[#Headers],0)),"")</f>
        <v/>
      </c>
      <c r="W965" s="67" t="str">
        <f>IF($B965&lt;&gt;"",INDEX(DataOB[],FirstRow+ROW()-7,MATCH(W$6,DataOB[#Headers],0)),"")</f>
        <v/>
      </c>
      <c r="X965" s="67" t="str">
        <f>IF($B965&lt;&gt;"",INDEX(DataOB[],FirstRow+ROW()-7,MATCH(X$6,DataOB[#Headers],0)),"")</f>
        <v/>
      </c>
      <c r="Y965" s="67" t="str">
        <f>IF($B965&lt;&gt;"",INDEX(DataOB[],FirstRow+ROW()-7,MATCH(Y$6,DataOB[#Headers],0)),"")</f>
        <v/>
      </c>
      <c r="Z965" s="67" t="str">
        <f>IF($B965&lt;&gt;"",INDEX(DataOB[],FirstRow+ROW()-7,MATCH(Z$6,DataOB[#Headers],0)),"")</f>
        <v/>
      </c>
      <c r="AA965" s="67" t="str">
        <f>IF($B965&lt;&gt;"",INDEX(DataOB[],FirstRow+ROW()-7,MATCH(AA$6,DataOB[#Headers],0)),"")</f>
        <v/>
      </c>
      <c r="AB965" s="67" t="str">
        <f>IF($B965&lt;&gt;"",INDEX(DataOB[],FirstRow+ROW()-7,MATCH(AB$6,DataOB[#Headers],0)),"")</f>
        <v/>
      </c>
      <c r="AC965" s="67" t="str">
        <f>IF($B965&lt;&gt;"",INDEX(DataOB[],FirstRow+ROW()-7,MATCH(AC$6,DataOB[#Headers],0)),"")</f>
        <v/>
      </c>
      <c r="AD965" s="67" t="str">
        <f>IF($B965&lt;&gt;"",INDEX(DataOB[],FirstRow+ROW()-7,MATCH(AD$6,DataOB[#Headers],0)),"")</f>
        <v/>
      </c>
      <c r="AE965" s="67" t="str">
        <f>IF($B965&lt;&gt;"",INDEX(DataOB[],FirstRow+ROW()-7,MATCH(AE$6,DataOB[#Headers],0)),"")</f>
        <v/>
      </c>
      <c r="AF965" s="26">
        <f t="shared" si="140"/>
        <v>0</v>
      </c>
      <c r="AG965" s="31">
        <f>SUM($T965:T965)</f>
        <v>0</v>
      </c>
      <c r="AH965" s="31">
        <f>SUM($T965:U965)</f>
        <v>0</v>
      </c>
      <c r="AI965" s="31">
        <f>SUM($T965:V965)</f>
        <v>0</v>
      </c>
      <c r="AJ965" s="31">
        <f>SUM($T965:W965)</f>
        <v>0</v>
      </c>
      <c r="AK965" s="31">
        <f>SUM($T965:X965)</f>
        <v>0</v>
      </c>
      <c r="AL965" s="31">
        <f>SUM($T965:Y965)</f>
        <v>0</v>
      </c>
      <c r="AM965" s="31">
        <f>SUM($T965:Z965)</f>
        <v>0</v>
      </c>
      <c r="AN965" s="31">
        <f>SUM($T965:AA965)</f>
        <v>0</v>
      </c>
      <c r="AO965" s="31">
        <f>SUM($T965:AB965)</f>
        <v>0</v>
      </c>
      <c r="AP965" s="31">
        <f>SUM($T965:AC965)</f>
        <v>0</v>
      </c>
      <c r="AQ965" s="31">
        <f>SUM($T965:AD965)</f>
        <v>0</v>
      </c>
      <c r="AR965" s="31">
        <f>SUM($T965:AE965)</f>
        <v>0</v>
      </c>
      <c r="AS965" s="27">
        <f t="shared" si="141"/>
        <v>0</v>
      </c>
    </row>
    <row r="966" spans="2:45">
      <c r="B966" s="102" t="str">
        <f>IF(ROW()-6&gt;NumCostCenter,"",IF(CostCenter&lt;&gt;"ALL",CostCenter,DATA_LF2!B964))</f>
        <v/>
      </c>
      <c r="C966" s="153" t="str">
        <f>IF($B966&lt;&gt;"",INDEX(DataOB[],FirstRow+ROW()-7,2),"")</f>
        <v/>
      </c>
      <c r="D966" s="66" t="str">
        <f>IF($B966&lt;&gt;"",INDEX(DataOB[],FirstRow+ROW()-7,3),"")</f>
        <v/>
      </c>
      <c r="E966" s="103" t="str">
        <f>IF($B966&lt;&gt;"",INDEX(DataOB[],FirstRow+ROW()-7,6),"")</f>
        <v/>
      </c>
      <c r="F966" s="103" t="str">
        <f>IF($B966&lt;&gt;"",INDEX(DataOB[],FirstRow+ROW()-7,5),"")</f>
        <v/>
      </c>
      <c r="G966" s="58">
        <f>IF($B966&lt;&gt;"",SUMIFS(DataAct_tbl[AMOUNT],DataAct_tbl[BG CODE],Detail!$D966,DataAct_tbl[MONTH],LEFT(MonthName,3),DataAct_tbl[Dept code],$B966),0)</f>
        <v>0</v>
      </c>
      <c r="H966" s="31" t="str">
        <f t="shared" si="133"/>
        <v/>
      </c>
      <c r="I966" s="28" t="str">
        <f t="shared" si="134"/>
        <v/>
      </c>
      <c r="J966" s="32" t="str">
        <f t="shared" si="135"/>
        <v/>
      </c>
      <c r="K966" s="86"/>
      <c r="L966" s="62">
        <f>IF($B966&lt;&gt;"",SUMIFS(DataAct_tbl[AMOUNT],DataAct_tbl[BG CODE],Detail!$D966,DataAct_tbl[Check Range],"=true",DataAct_tbl[Dept code],$B966),0)</f>
        <v>0</v>
      </c>
      <c r="M966" s="63">
        <f>INDEX($AG$7:$AR$1005,ROW()-6,MATCH(MTD,$AG$6:$AR$6,0))</f>
        <v>0</v>
      </c>
      <c r="N966" s="34">
        <f t="shared" si="136"/>
        <v>0</v>
      </c>
      <c r="O966" s="64" t="str">
        <f t="shared" si="137"/>
        <v xml:space="preserve"> </v>
      </c>
      <c r="Q966" s="97">
        <f t="shared" si="138"/>
        <v>0</v>
      </c>
      <c r="R966" s="96">
        <f t="shared" si="139"/>
        <v>0</v>
      </c>
      <c r="T966" s="67" t="str">
        <f>IF($B966&lt;&gt;"",INDEX(DataOB[],FirstRow+ROW()-7,MATCH(T$6,DataOB[#Headers],0)),"")</f>
        <v/>
      </c>
      <c r="U966" s="67" t="str">
        <f>IF($B966&lt;&gt;"",INDEX(DataOB[],FirstRow+ROW()-7,MATCH(U$6,DataOB[#Headers],0)),"")</f>
        <v/>
      </c>
      <c r="V966" s="67" t="str">
        <f>IF($B966&lt;&gt;"",INDEX(DataOB[],FirstRow+ROW()-7,MATCH(V$6,DataOB[#Headers],0)),"")</f>
        <v/>
      </c>
      <c r="W966" s="67" t="str">
        <f>IF($B966&lt;&gt;"",INDEX(DataOB[],FirstRow+ROW()-7,MATCH(W$6,DataOB[#Headers],0)),"")</f>
        <v/>
      </c>
      <c r="X966" s="67" t="str">
        <f>IF($B966&lt;&gt;"",INDEX(DataOB[],FirstRow+ROW()-7,MATCH(X$6,DataOB[#Headers],0)),"")</f>
        <v/>
      </c>
      <c r="Y966" s="67" t="str">
        <f>IF($B966&lt;&gt;"",INDEX(DataOB[],FirstRow+ROW()-7,MATCH(Y$6,DataOB[#Headers],0)),"")</f>
        <v/>
      </c>
      <c r="Z966" s="67" t="str">
        <f>IF($B966&lt;&gt;"",INDEX(DataOB[],FirstRow+ROW()-7,MATCH(Z$6,DataOB[#Headers],0)),"")</f>
        <v/>
      </c>
      <c r="AA966" s="67" t="str">
        <f>IF($B966&lt;&gt;"",INDEX(DataOB[],FirstRow+ROW()-7,MATCH(AA$6,DataOB[#Headers],0)),"")</f>
        <v/>
      </c>
      <c r="AB966" s="67" t="str">
        <f>IF($B966&lt;&gt;"",INDEX(DataOB[],FirstRow+ROW()-7,MATCH(AB$6,DataOB[#Headers],0)),"")</f>
        <v/>
      </c>
      <c r="AC966" s="67" t="str">
        <f>IF($B966&lt;&gt;"",INDEX(DataOB[],FirstRow+ROW()-7,MATCH(AC$6,DataOB[#Headers],0)),"")</f>
        <v/>
      </c>
      <c r="AD966" s="67" t="str">
        <f>IF($B966&lt;&gt;"",INDEX(DataOB[],FirstRow+ROW()-7,MATCH(AD$6,DataOB[#Headers],0)),"")</f>
        <v/>
      </c>
      <c r="AE966" s="67" t="str">
        <f>IF($B966&lt;&gt;"",INDEX(DataOB[],FirstRow+ROW()-7,MATCH(AE$6,DataOB[#Headers],0)),"")</f>
        <v/>
      </c>
      <c r="AF966" s="26">
        <f t="shared" si="140"/>
        <v>0</v>
      </c>
      <c r="AG966" s="31">
        <f>SUM($T966:T966)</f>
        <v>0</v>
      </c>
      <c r="AH966" s="31">
        <f>SUM($T966:U966)</f>
        <v>0</v>
      </c>
      <c r="AI966" s="31">
        <f>SUM($T966:V966)</f>
        <v>0</v>
      </c>
      <c r="AJ966" s="31">
        <f>SUM($T966:W966)</f>
        <v>0</v>
      </c>
      <c r="AK966" s="31">
        <f>SUM($T966:X966)</f>
        <v>0</v>
      </c>
      <c r="AL966" s="31">
        <f>SUM($T966:Y966)</f>
        <v>0</v>
      </c>
      <c r="AM966" s="31">
        <f>SUM($T966:Z966)</f>
        <v>0</v>
      </c>
      <c r="AN966" s="31">
        <f>SUM($T966:AA966)</f>
        <v>0</v>
      </c>
      <c r="AO966" s="31">
        <f>SUM($T966:AB966)</f>
        <v>0</v>
      </c>
      <c r="AP966" s="31">
        <f>SUM($T966:AC966)</f>
        <v>0</v>
      </c>
      <c r="AQ966" s="31">
        <f>SUM($T966:AD966)</f>
        <v>0</v>
      </c>
      <c r="AR966" s="31">
        <f>SUM($T966:AE966)</f>
        <v>0</v>
      </c>
      <c r="AS966" s="27">
        <f t="shared" si="141"/>
        <v>0</v>
      </c>
    </row>
    <row r="967" spans="2:45">
      <c r="B967" s="102" t="str">
        <f>IF(ROW()-6&gt;NumCostCenter,"",IF(CostCenter&lt;&gt;"ALL",CostCenter,DATA_LF2!B965))</f>
        <v/>
      </c>
      <c r="C967" s="153" t="str">
        <f>IF($B967&lt;&gt;"",INDEX(DataOB[],FirstRow+ROW()-7,2),"")</f>
        <v/>
      </c>
      <c r="D967" s="66" t="str">
        <f>IF($B967&lt;&gt;"",INDEX(DataOB[],FirstRow+ROW()-7,3),"")</f>
        <v/>
      </c>
      <c r="E967" s="103" t="str">
        <f>IF($B967&lt;&gt;"",INDEX(DataOB[],FirstRow+ROW()-7,6),"")</f>
        <v/>
      </c>
      <c r="F967" s="103" t="str">
        <f>IF($B967&lt;&gt;"",INDEX(DataOB[],FirstRow+ROW()-7,5),"")</f>
        <v/>
      </c>
      <c r="G967" s="58">
        <f>IF($B967&lt;&gt;"",SUMIFS(DataAct_tbl[AMOUNT],DataAct_tbl[BG CODE],Detail!$D967,DataAct_tbl[MONTH],LEFT(MonthName,3),DataAct_tbl[Dept code],$B967),0)</f>
        <v>0</v>
      </c>
      <c r="H967" s="31" t="str">
        <f t="shared" ref="H967:H1005" si="142">INDEX($T$7:$AE$1005,ROW()-6,MATCH(MonthName,$T$6:$AE$6,0))</f>
        <v/>
      </c>
      <c r="I967" s="28" t="str">
        <f t="shared" si="134"/>
        <v/>
      </c>
      <c r="J967" s="32" t="str">
        <f t="shared" si="135"/>
        <v/>
      </c>
      <c r="K967" s="86"/>
      <c r="L967" s="62">
        <f>IF($B967&lt;&gt;"",SUMIFS(DataAct_tbl[AMOUNT],DataAct_tbl[BG CODE],Detail!$D967,DataAct_tbl[Check Range],"=true",DataAct_tbl[Dept code],$B967),0)</f>
        <v>0</v>
      </c>
      <c r="M967" s="63">
        <f>INDEX($AG$7:$AR$1005,ROW()-6,MATCH(MTD,$AG$6:$AR$6,0))</f>
        <v>0</v>
      </c>
      <c r="N967" s="34">
        <f t="shared" si="136"/>
        <v>0</v>
      </c>
      <c r="O967" s="64" t="str">
        <f t="shared" si="137"/>
        <v xml:space="preserve"> </v>
      </c>
      <c r="Q967" s="97">
        <f t="shared" si="138"/>
        <v>0</v>
      </c>
      <c r="R967" s="96">
        <f t="shared" si="139"/>
        <v>0</v>
      </c>
      <c r="T967" s="67" t="str">
        <f>IF($B967&lt;&gt;"",INDEX(DataOB[],FirstRow+ROW()-7,MATCH(T$6,DataOB[#Headers],0)),"")</f>
        <v/>
      </c>
      <c r="U967" s="67" t="str">
        <f>IF($B967&lt;&gt;"",INDEX(DataOB[],FirstRow+ROW()-7,MATCH(U$6,DataOB[#Headers],0)),"")</f>
        <v/>
      </c>
      <c r="V967" s="67" t="str">
        <f>IF($B967&lt;&gt;"",INDEX(DataOB[],FirstRow+ROW()-7,MATCH(V$6,DataOB[#Headers],0)),"")</f>
        <v/>
      </c>
      <c r="W967" s="67" t="str">
        <f>IF($B967&lt;&gt;"",INDEX(DataOB[],FirstRow+ROW()-7,MATCH(W$6,DataOB[#Headers],0)),"")</f>
        <v/>
      </c>
      <c r="X967" s="67" t="str">
        <f>IF($B967&lt;&gt;"",INDEX(DataOB[],FirstRow+ROW()-7,MATCH(X$6,DataOB[#Headers],0)),"")</f>
        <v/>
      </c>
      <c r="Y967" s="67" t="str">
        <f>IF($B967&lt;&gt;"",INDEX(DataOB[],FirstRow+ROW()-7,MATCH(Y$6,DataOB[#Headers],0)),"")</f>
        <v/>
      </c>
      <c r="Z967" s="67" t="str">
        <f>IF($B967&lt;&gt;"",INDEX(DataOB[],FirstRow+ROW()-7,MATCH(Z$6,DataOB[#Headers],0)),"")</f>
        <v/>
      </c>
      <c r="AA967" s="67" t="str">
        <f>IF($B967&lt;&gt;"",INDEX(DataOB[],FirstRow+ROW()-7,MATCH(AA$6,DataOB[#Headers],0)),"")</f>
        <v/>
      </c>
      <c r="AB967" s="67" t="str">
        <f>IF($B967&lt;&gt;"",INDEX(DataOB[],FirstRow+ROW()-7,MATCH(AB$6,DataOB[#Headers],0)),"")</f>
        <v/>
      </c>
      <c r="AC967" s="67" t="str">
        <f>IF($B967&lt;&gt;"",INDEX(DataOB[],FirstRow+ROW()-7,MATCH(AC$6,DataOB[#Headers],0)),"")</f>
        <v/>
      </c>
      <c r="AD967" s="67" t="str">
        <f>IF($B967&lt;&gt;"",INDEX(DataOB[],FirstRow+ROW()-7,MATCH(AD$6,DataOB[#Headers],0)),"")</f>
        <v/>
      </c>
      <c r="AE967" s="67" t="str">
        <f>IF($B967&lt;&gt;"",INDEX(DataOB[],FirstRow+ROW()-7,MATCH(AE$6,DataOB[#Headers],0)),"")</f>
        <v/>
      </c>
      <c r="AF967" s="26">
        <f t="shared" si="140"/>
        <v>0</v>
      </c>
      <c r="AG967" s="31">
        <f>SUM($T967:T967)</f>
        <v>0</v>
      </c>
      <c r="AH967" s="31">
        <f>SUM($T967:U967)</f>
        <v>0</v>
      </c>
      <c r="AI967" s="31">
        <f>SUM($T967:V967)</f>
        <v>0</v>
      </c>
      <c r="AJ967" s="31">
        <f>SUM($T967:W967)</f>
        <v>0</v>
      </c>
      <c r="AK967" s="31">
        <f>SUM($T967:X967)</f>
        <v>0</v>
      </c>
      <c r="AL967" s="31">
        <f>SUM($T967:Y967)</f>
        <v>0</v>
      </c>
      <c r="AM967" s="31">
        <f>SUM($T967:Z967)</f>
        <v>0</v>
      </c>
      <c r="AN967" s="31">
        <f>SUM($T967:AA967)</f>
        <v>0</v>
      </c>
      <c r="AO967" s="31">
        <f>SUM($T967:AB967)</f>
        <v>0</v>
      </c>
      <c r="AP967" s="31">
        <f>SUM($T967:AC967)</f>
        <v>0</v>
      </c>
      <c r="AQ967" s="31">
        <f>SUM($T967:AD967)</f>
        <v>0</v>
      </c>
      <c r="AR967" s="31">
        <f>SUM($T967:AE967)</f>
        <v>0</v>
      </c>
      <c r="AS967" s="27">
        <f t="shared" si="141"/>
        <v>0</v>
      </c>
    </row>
    <row r="968" spans="2:45">
      <c r="B968" s="102" t="str">
        <f>IF(ROW()-6&gt;NumCostCenter,"",IF(CostCenter&lt;&gt;"ALL",CostCenter,DATA_LF2!B966))</f>
        <v/>
      </c>
      <c r="C968" s="153" t="str">
        <f>IF($B968&lt;&gt;"",INDEX(DataOB[],FirstRow+ROW()-7,2),"")</f>
        <v/>
      </c>
      <c r="D968" s="66" t="str">
        <f>IF($B968&lt;&gt;"",INDEX(DataOB[],FirstRow+ROW()-7,3),"")</f>
        <v/>
      </c>
      <c r="E968" s="103" t="str">
        <f>IF($B968&lt;&gt;"",INDEX(DataOB[],FirstRow+ROW()-7,6),"")</f>
        <v/>
      </c>
      <c r="F968" s="103" t="str">
        <f>IF($B968&lt;&gt;"",INDEX(DataOB[],FirstRow+ROW()-7,5),"")</f>
        <v/>
      </c>
      <c r="G968" s="58">
        <f>IF($B968&lt;&gt;"",SUMIFS(DataAct_tbl[AMOUNT],DataAct_tbl[BG CODE],Detail!$D968,DataAct_tbl[MONTH],LEFT(MonthName,3),DataAct_tbl[Dept code],$B968),0)</f>
        <v>0</v>
      </c>
      <c r="H968" s="31" t="str">
        <f t="shared" si="142"/>
        <v/>
      </c>
      <c r="I968" s="28" t="str">
        <f t="shared" ref="I968:I1005" si="143">IFERROR(+G968-H968,"")</f>
        <v/>
      </c>
      <c r="J968" s="32" t="str">
        <f t="shared" ref="J968:J1005" si="144">IFERROR(+IF(H968&gt;0,G968/H968," "),"")</f>
        <v/>
      </c>
      <c r="K968" s="86"/>
      <c r="L968" s="62">
        <f>IF($B968&lt;&gt;"",SUMIFS(DataAct_tbl[AMOUNT],DataAct_tbl[BG CODE],Detail!$D968,DataAct_tbl[Check Range],"=true",DataAct_tbl[Dept code],$B968),0)</f>
        <v>0</v>
      </c>
      <c r="M968" s="63">
        <f>INDEX($AG$7:$AR$1005,ROW()-6,MATCH(MTD,$AG$6:$AR$6,0))</f>
        <v>0</v>
      </c>
      <c r="N968" s="34">
        <f t="shared" ref="N968:N1005" si="145">IFERROR(+L968-M968,"")</f>
        <v>0</v>
      </c>
      <c r="O968" s="64" t="str">
        <f t="shared" ref="O968:O1005" si="146">IFERROR(+IF(M968&gt;0,L968/M968," "),"")</f>
        <v xml:space="preserve"> </v>
      </c>
      <c r="Q968" s="97">
        <f t="shared" ref="Q968:Q1005" si="147">AF968</f>
        <v>0</v>
      </c>
      <c r="R968" s="96">
        <f t="shared" ref="R968:R1005" si="148">Q968-L968</f>
        <v>0</v>
      </c>
      <c r="T968" s="67" t="str">
        <f>IF($B968&lt;&gt;"",INDEX(DataOB[],FirstRow+ROW()-7,MATCH(T$6,DataOB[#Headers],0)),"")</f>
        <v/>
      </c>
      <c r="U968" s="67" t="str">
        <f>IF($B968&lt;&gt;"",INDEX(DataOB[],FirstRow+ROW()-7,MATCH(U$6,DataOB[#Headers],0)),"")</f>
        <v/>
      </c>
      <c r="V968" s="67" t="str">
        <f>IF($B968&lt;&gt;"",INDEX(DataOB[],FirstRow+ROW()-7,MATCH(V$6,DataOB[#Headers],0)),"")</f>
        <v/>
      </c>
      <c r="W968" s="67" t="str">
        <f>IF($B968&lt;&gt;"",INDEX(DataOB[],FirstRow+ROW()-7,MATCH(W$6,DataOB[#Headers],0)),"")</f>
        <v/>
      </c>
      <c r="X968" s="67" t="str">
        <f>IF($B968&lt;&gt;"",INDEX(DataOB[],FirstRow+ROW()-7,MATCH(X$6,DataOB[#Headers],0)),"")</f>
        <v/>
      </c>
      <c r="Y968" s="67" t="str">
        <f>IF($B968&lt;&gt;"",INDEX(DataOB[],FirstRow+ROW()-7,MATCH(Y$6,DataOB[#Headers],0)),"")</f>
        <v/>
      </c>
      <c r="Z968" s="67" t="str">
        <f>IF($B968&lt;&gt;"",INDEX(DataOB[],FirstRow+ROW()-7,MATCH(Z$6,DataOB[#Headers],0)),"")</f>
        <v/>
      </c>
      <c r="AA968" s="67" t="str">
        <f>IF($B968&lt;&gt;"",INDEX(DataOB[],FirstRow+ROW()-7,MATCH(AA$6,DataOB[#Headers],0)),"")</f>
        <v/>
      </c>
      <c r="AB968" s="67" t="str">
        <f>IF($B968&lt;&gt;"",INDEX(DataOB[],FirstRow+ROW()-7,MATCH(AB$6,DataOB[#Headers],0)),"")</f>
        <v/>
      </c>
      <c r="AC968" s="67" t="str">
        <f>IF($B968&lt;&gt;"",INDEX(DataOB[],FirstRow+ROW()-7,MATCH(AC$6,DataOB[#Headers],0)),"")</f>
        <v/>
      </c>
      <c r="AD968" s="67" t="str">
        <f>IF($B968&lt;&gt;"",INDEX(DataOB[],FirstRow+ROW()-7,MATCH(AD$6,DataOB[#Headers],0)),"")</f>
        <v/>
      </c>
      <c r="AE968" s="67" t="str">
        <f>IF($B968&lt;&gt;"",INDEX(DataOB[],FirstRow+ROW()-7,MATCH(AE$6,DataOB[#Headers],0)),"")</f>
        <v/>
      </c>
      <c r="AF968" s="26">
        <f t="shared" ref="AF968:AF1005" si="149">+SUM(T968:AE968)</f>
        <v>0</v>
      </c>
      <c r="AG968" s="31">
        <f>SUM($T968:T968)</f>
        <v>0</v>
      </c>
      <c r="AH968" s="31">
        <f>SUM($T968:U968)</f>
        <v>0</v>
      </c>
      <c r="AI968" s="31">
        <f>SUM($T968:V968)</f>
        <v>0</v>
      </c>
      <c r="AJ968" s="31">
        <f>SUM($T968:W968)</f>
        <v>0</v>
      </c>
      <c r="AK968" s="31">
        <f>SUM($T968:X968)</f>
        <v>0</v>
      </c>
      <c r="AL968" s="31">
        <f>SUM($T968:Y968)</f>
        <v>0</v>
      </c>
      <c r="AM968" s="31">
        <f>SUM($T968:Z968)</f>
        <v>0</v>
      </c>
      <c r="AN968" s="31">
        <f>SUM($T968:AA968)</f>
        <v>0</v>
      </c>
      <c r="AO968" s="31">
        <f>SUM($T968:AB968)</f>
        <v>0</v>
      </c>
      <c r="AP968" s="31">
        <f>SUM($T968:AC968)</f>
        <v>0</v>
      </c>
      <c r="AQ968" s="31">
        <f>SUM($T968:AD968)</f>
        <v>0</v>
      </c>
      <c r="AR968" s="31">
        <f>SUM($T968:AE968)</f>
        <v>0</v>
      </c>
      <c r="AS968" s="27">
        <f t="shared" ref="AS968:AS1005" si="150">AF968-AR968</f>
        <v>0</v>
      </c>
    </row>
    <row r="969" spans="2:45">
      <c r="B969" s="102" t="str">
        <f>IF(ROW()-6&gt;NumCostCenter,"",IF(CostCenter&lt;&gt;"ALL",CostCenter,DATA_LF2!B967))</f>
        <v/>
      </c>
      <c r="C969" s="153" t="str">
        <f>IF($B969&lt;&gt;"",INDEX(DataOB[],FirstRow+ROW()-7,2),"")</f>
        <v/>
      </c>
      <c r="D969" s="66" t="str">
        <f>IF($B969&lt;&gt;"",INDEX(DataOB[],FirstRow+ROW()-7,3),"")</f>
        <v/>
      </c>
      <c r="E969" s="103" t="str">
        <f>IF($B969&lt;&gt;"",INDEX(DataOB[],FirstRow+ROW()-7,6),"")</f>
        <v/>
      </c>
      <c r="F969" s="103" t="str">
        <f>IF($B969&lt;&gt;"",INDEX(DataOB[],FirstRow+ROW()-7,5),"")</f>
        <v/>
      </c>
      <c r="G969" s="58">
        <f>IF($B969&lt;&gt;"",SUMIFS(DataAct_tbl[AMOUNT],DataAct_tbl[BG CODE],Detail!$D969,DataAct_tbl[MONTH],LEFT(MonthName,3),DataAct_tbl[Dept code],$B969),0)</f>
        <v>0</v>
      </c>
      <c r="H969" s="31" t="str">
        <f t="shared" si="142"/>
        <v/>
      </c>
      <c r="I969" s="28" t="str">
        <f t="shared" si="143"/>
        <v/>
      </c>
      <c r="J969" s="32" t="str">
        <f t="shared" si="144"/>
        <v/>
      </c>
      <c r="K969" s="86"/>
      <c r="L969" s="62">
        <f>IF($B969&lt;&gt;"",SUMIFS(DataAct_tbl[AMOUNT],DataAct_tbl[BG CODE],Detail!$D969,DataAct_tbl[Check Range],"=true",DataAct_tbl[Dept code],$B969),0)</f>
        <v>0</v>
      </c>
      <c r="M969" s="63">
        <f>INDEX($AG$7:$AR$1005,ROW()-6,MATCH(MTD,$AG$6:$AR$6,0))</f>
        <v>0</v>
      </c>
      <c r="N969" s="34">
        <f t="shared" si="145"/>
        <v>0</v>
      </c>
      <c r="O969" s="64" t="str">
        <f t="shared" si="146"/>
        <v xml:space="preserve"> </v>
      </c>
      <c r="Q969" s="97">
        <f t="shared" si="147"/>
        <v>0</v>
      </c>
      <c r="R969" s="96">
        <f t="shared" si="148"/>
        <v>0</v>
      </c>
      <c r="T969" s="67" t="str">
        <f>IF($B969&lt;&gt;"",INDEX(DataOB[],FirstRow+ROW()-7,MATCH(T$6,DataOB[#Headers],0)),"")</f>
        <v/>
      </c>
      <c r="U969" s="67" t="str">
        <f>IF($B969&lt;&gt;"",INDEX(DataOB[],FirstRow+ROW()-7,MATCH(U$6,DataOB[#Headers],0)),"")</f>
        <v/>
      </c>
      <c r="V969" s="67" t="str">
        <f>IF($B969&lt;&gt;"",INDEX(DataOB[],FirstRow+ROW()-7,MATCH(V$6,DataOB[#Headers],0)),"")</f>
        <v/>
      </c>
      <c r="W969" s="67" t="str">
        <f>IF($B969&lt;&gt;"",INDEX(DataOB[],FirstRow+ROW()-7,MATCH(W$6,DataOB[#Headers],0)),"")</f>
        <v/>
      </c>
      <c r="X969" s="67" t="str">
        <f>IF($B969&lt;&gt;"",INDEX(DataOB[],FirstRow+ROW()-7,MATCH(X$6,DataOB[#Headers],0)),"")</f>
        <v/>
      </c>
      <c r="Y969" s="67" t="str">
        <f>IF($B969&lt;&gt;"",INDEX(DataOB[],FirstRow+ROW()-7,MATCH(Y$6,DataOB[#Headers],0)),"")</f>
        <v/>
      </c>
      <c r="Z969" s="67" t="str">
        <f>IF($B969&lt;&gt;"",INDEX(DataOB[],FirstRow+ROW()-7,MATCH(Z$6,DataOB[#Headers],0)),"")</f>
        <v/>
      </c>
      <c r="AA969" s="67" t="str">
        <f>IF($B969&lt;&gt;"",INDEX(DataOB[],FirstRow+ROW()-7,MATCH(AA$6,DataOB[#Headers],0)),"")</f>
        <v/>
      </c>
      <c r="AB969" s="67" t="str">
        <f>IF($B969&lt;&gt;"",INDEX(DataOB[],FirstRow+ROW()-7,MATCH(AB$6,DataOB[#Headers],0)),"")</f>
        <v/>
      </c>
      <c r="AC969" s="67" t="str">
        <f>IF($B969&lt;&gt;"",INDEX(DataOB[],FirstRow+ROW()-7,MATCH(AC$6,DataOB[#Headers],0)),"")</f>
        <v/>
      </c>
      <c r="AD969" s="67" t="str">
        <f>IF($B969&lt;&gt;"",INDEX(DataOB[],FirstRow+ROW()-7,MATCH(AD$6,DataOB[#Headers],0)),"")</f>
        <v/>
      </c>
      <c r="AE969" s="67" t="str">
        <f>IF($B969&lt;&gt;"",INDEX(DataOB[],FirstRow+ROW()-7,MATCH(AE$6,DataOB[#Headers],0)),"")</f>
        <v/>
      </c>
      <c r="AF969" s="26">
        <f t="shared" si="149"/>
        <v>0</v>
      </c>
      <c r="AG969" s="31">
        <f>SUM($T969:T969)</f>
        <v>0</v>
      </c>
      <c r="AH969" s="31">
        <f>SUM($T969:U969)</f>
        <v>0</v>
      </c>
      <c r="AI969" s="31">
        <f>SUM($T969:V969)</f>
        <v>0</v>
      </c>
      <c r="AJ969" s="31">
        <f>SUM($T969:W969)</f>
        <v>0</v>
      </c>
      <c r="AK969" s="31">
        <f>SUM($T969:X969)</f>
        <v>0</v>
      </c>
      <c r="AL969" s="31">
        <f>SUM($T969:Y969)</f>
        <v>0</v>
      </c>
      <c r="AM969" s="31">
        <f>SUM($T969:Z969)</f>
        <v>0</v>
      </c>
      <c r="AN969" s="31">
        <f>SUM($T969:AA969)</f>
        <v>0</v>
      </c>
      <c r="AO969" s="31">
        <f>SUM($T969:AB969)</f>
        <v>0</v>
      </c>
      <c r="AP969" s="31">
        <f>SUM($T969:AC969)</f>
        <v>0</v>
      </c>
      <c r="AQ969" s="31">
        <f>SUM($T969:AD969)</f>
        <v>0</v>
      </c>
      <c r="AR969" s="31">
        <f>SUM($T969:AE969)</f>
        <v>0</v>
      </c>
      <c r="AS969" s="27">
        <f t="shared" si="150"/>
        <v>0</v>
      </c>
    </row>
    <row r="970" spans="2:45">
      <c r="B970" s="102" t="str">
        <f>IF(ROW()-6&gt;NumCostCenter,"",IF(CostCenter&lt;&gt;"ALL",CostCenter,DATA_LF2!B968))</f>
        <v/>
      </c>
      <c r="C970" s="153" t="str">
        <f>IF($B970&lt;&gt;"",INDEX(DataOB[],FirstRow+ROW()-7,2),"")</f>
        <v/>
      </c>
      <c r="D970" s="66" t="str">
        <f>IF($B970&lt;&gt;"",INDEX(DataOB[],FirstRow+ROW()-7,3),"")</f>
        <v/>
      </c>
      <c r="E970" s="103" t="str">
        <f>IF($B970&lt;&gt;"",INDEX(DataOB[],FirstRow+ROW()-7,6),"")</f>
        <v/>
      </c>
      <c r="F970" s="103" t="str">
        <f>IF($B970&lt;&gt;"",INDEX(DataOB[],FirstRow+ROW()-7,5),"")</f>
        <v/>
      </c>
      <c r="G970" s="58">
        <f>IF($B970&lt;&gt;"",SUMIFS(DataAct_tbl[AMOUNT],DataAct_tbl[BG CODE],Detail!$D970,DataAct_tbl[MONTH],LEFT(MonthName,3),DataAct_tbl[Dept code],$B970),0)</f>
        <v>0</v>
      </c>
      <c r="H970" s="31" t="str">
        <f t="shared" si="142"/>
        <v/>
      </c>
      <c r="I970" s="28" t="str">
        <f t="shared" si="143"/>
        <v/>
      </c>
      <c r="J970" s="32" t="str">
        <f t="shared" si="144"/>
        <v/>
      </c>
      <c r="K970" s="86"/>
      <c r="L970" s="62">
        <f>IF($B970&lt;&gt;"",SUMIFS(DataAct_tbl[AMOUNT],DataAct_tbl[BG CODE],Detail!$D970,DataAct_tbl[Check Range],"=true",DataAct_tbl[Dept code],$B970),0)</f>
        <v>0</v>
      </c>
      <c r="M970" s="63">
        <f>INDEX($AG$7:$AR$1005,ROW()-6,MATCH(MTD,$AG$6:$AR$6,0))</f>
        <v>0</v>
      </c>
      <c r="N970" s="34">
        <f t="shared" si="145"/>
        <v>0</v>
      </c>
      <c r="O970" s="64" t="str">
        <f t="shared" si="146"/>
        <v xml:space="preserve"> </v>
      </c>
      <c r="Q970" s="97">
        <f t="shared" si="147"/>
        <v>0</v>
      </c>
      <c r="R970" s="96">
        <f t="shared" si="148"/>
        <v>0</v>
      </c>
      <c r="T970" s="67" t="str">
        <f>IF($B970&lt;&gt;"",INDEX(DataOB[],FirstRow+ROW()-7,MATCH(T$6,DataOB[#Headers],0)),"")</f>
        <v/>
      </c>
      <c r="U970" s="67" t="str">
        <f>IF($B970&lt;&gt;"",INDEX(DataOB[],FirstRow+ROW()-7,MATCH(U$6,DataOB[#Headers],0)),"")</f>
        <v/>
      </c>
      <c r="V970" s="67" t="str">
        <f>IF($B970&lt;&gt;"",INDEX(DataOB[],FirstRow+ROW()-7,MATCH(V$6,DataOB[#Headers],0)),"")</f>
        <v/>
      </c>
      <c r="W970" s="67" t="str">
        <f>IF($B970&lt;&gt;"",INDEX(DataOB[],FirstRow+ROW()-7,MATCH(W$6,DataOB[#Headers],0)),"")</f>
        <v/>
      </c>
      <c r="X970" s="67" t="str">
        <f>IF($B970&lt;&gt;"",INDEX(DataOB[],FirstRow+ROW()-7,MATCH(X$6,DataOB[#Headers],0)),"")</f>
        <v/>
      </c>
      <c r="Y970" s="67" t="str">
        <f>IF($B970&lt;&gt;"",INDEX(DataOB[],FirstRow+ROW()-7,MATCH(Y$6,DataOB[#Headers],0)),"")</f>
        <v/>
      </c>
      <c r="Z970" s="67" t="str">
        <f>IF($B970&lt;&gt;"",INDEX(DataOB[],FirstRow+ROW()-7,MATCH(Z$6,DataOB[#Headers],0)),"")</f>
        <v/>
      </c>
      <c r="AA970" s="67" t="str">
        <f>IF($B970&lt;&gt;"",INDEX(DataOB[],FirstRow+ROW()-7,MATCH(AA$6,DataOB[#Headers],0)),"")</f>
        <v/>
      </c>
      <c r="AB970" s="67" t="str">
        <f>IF($B970&lt;&gt;"",INDEX(DataOB[],FirstRow+ROW()-7,MATCH(AB$6,DataOB[#Headers],0)),"")</f>
        <v/>
      </c>
      <c r="AC970" s="67" t="str">
        <f>IF($B970&lt;&gt;"",INDEX(DataOB[],FirstRow+ROW()-7,MATCH(AC$6,DataOB[#Headers],0)),"")</f>
        <v/>
      </c>
      <c r="AD970" s="67" t="str">
        <f>IF($B970&lt;&gt;"",INDEX(DataOB[],FirstRow+ROW()-7,MATCH(AD$6,DataOB[#Headers],0)),"")</f>
        <v/>
      </c>
      <c r="AE970" s="67" t="str">
        <f>IF($B970&lt;&gt;"",INDEX(DataOB[],FirstRow+ROW()-7,MATCH(AE$6,DataOB[#Headers],0)),"")</f>
        <v/>
      </c>
      <c r="AF970" s="26">
        <f t="shared" si="149"/>
        <v>0</v>
      </c>
      <c r="AG970" s="31">
        <f>SUM($T970:T970)</f>
        <v>0</v>
      </c>
      <c r="AH970" s="31">
        <f>SUM($T970:U970)</f>
        <v>0</v>
      </c>
      <c r="AI970" s="31">
        <f>SUM($T970:V970)</f>
        <v>0</v>
      </c>
      <c r="AJ970" s="31">
        <f>SUM($T970:W970)</f>
        <v>0</v>
      </c>
      <c r="AK970" s="31">
        <f>SUM($T970:X970)</f>
        <v>0</v>
      </c>
      <c r="AL970" s="31">
        <f>SUM($T970:Y970)</f>
        <v>0</v>
      </c>
      <c r="AM970" s="31">
        <f>SUM($T970:Z970)</f>
        <v>0</v>
      </c>
      <c r="AN970" s="31">
        <f>SUM($T970:AA970)</f>
        <v>0</v>
      </c>
      <c r="AO970" s="31">
        <f>SUM($T970:AB970)</f>
        <v>0</v>
      </c>
      <c r="AP970" s="31">
        <f>SUM($T970:AC970)</f>
        <v>0</v>
      </c>
      <c r="AQ970" s="31">
        <f>SUM($T970:AD970)</f>
        <v>0</v>
      </c>
      <c r="AR970" s="31">
        <f>SUM($T970:AE970)</f>
        <v>0</v>
      </c>
      <c r="AS970" s="27">
        <f t="shared" si="150"/>
        <v>0</v>
      </c>
    </row>
    <row r="971" spans="2:45">
      <c r="B971" s="102" t="str">
        <f>IF(ROW()-6&gt;NumCostCenter,"",IF(CostCenter&lt;&gt;"ALL",CostCenter,DATA_LF2!B969))</f>
        <v/>
      </c>
      <c r="C971" s="153" t="str">
        <f>IF($B971&lt;&gt;"",INDEX(DataOB[],FirstRow+ROW()-7,2),"")</f>
        <v/>
      </c>
      <c r="D971" s="66" t="str">
        <f>IF($B971&lt;&gt;"",INDEX(DataOB[],FirstRow+ROW()-7,3),"")</f>
        <v/>
      </c>
      <c r="E971" s="103" t="str">
        <f>IF($B971&lt;&gt;"",INDEX(DataOB[],FirstRow+ROW()-7,6),"")</f>
        <v/>
      </c>
      <c r="F971" s="103" t="str">
        <f>IF($B971&lt;&gt;"",INDEX(DataOB[],FirstRow+ROW()-7,5),"")</f>
        <v/>
      </c>
      <c r="G971" s="58">
        <f>IF($B971&lt;&gt;"",SUMIFS(DataAct_tbl[AMOUNT],DataAct_tbl[BG CODE],Detail!$D971,DataAct_tbl[MONTH],LEFT(MonthName,3),DataAct_tbl[Dept code],$B971),0)</f>
        <v>0</v>
      </c>
      <c r="H971" s="31" t="str">
        <f t="shared" si="142"/>
        <v/>
      </c>
      <c r="I971" s="28" t="str">
        <f t="shared" si="143"/>
        <v/>
      </c>
      <c r="J971" s="32" t="str">
        <f t="shared" si="144"/>
        <v/>
      </c>
      <c r="K971" s="86"/>
      <c r="L971" s="62">
        <f>IF($B971&lt;&gt;"",SUMIFS(DataAct_tbl[AMOUNT],DataAct_tbl[BG CODE],Detail!$D971,DataAct_tbl[Check Range],"=true",DataAct_tbl[Dept code],$B971),0)</f>
        <v>0</v>
      </c>
      <c r="M971" s="63">
        <f>INDEX($AG$7:$AR$1005,ROW()-6,MATCH(MTD,$AG$6:$AR$6,0))</f>
        <v>0</v>
      </c>
      <c r="N971" s="34">
        <f t="shared" si="145"/>
        <v>0</v>
      </c>
      <c r="O971" s="64" t="str">
        <f t="shared" si="146"/>
        <v xml:space="preserve"> </v>
      </c>
      <c r="Q971" s="97">
        <f t="shared" si="147"/>
        <v>0</v>
      </c>
      <c r="R971" s="96">
        <f t="shared" si="148"/>
        <v>0</v>
      </c>
      <c r="T971" s="67" t="str">
        <f>IF($B971&lt;&gt;"",INDEX(DataOB[],FirstRow+ROW()-7,MATCH(T$6,DataOB[#Headers],0)),"")</f>
        <v/>
      </c>
      <c r="U971" s="67" t="str">
        <f>IF($B971&lt;&gt;"",INDEX(DataOB[],FirstRow+ROW()-7,MATCH(U$6,DataOB[#Headers],0)),"")</f>
        <v/>
      </c>
      <c r="V971" s="67" t="str">
        <f>IF($B971&lt;&gt;"",INDEX(DataOB[],FirstRow+ROW()-7,MATCH(V$6,DataOB[#Headers],0)),"")</f>
        <v/>
      </c>
      <c r="W971" s="67" t="str">
        <f>IF($B971&lt;&gt;"",INDEX(DataOB[],FirstRow+ROW()-7,MATCH(W$6,DataOB[#Headers],0)),"")</f>
        <v/>
      </c>
      <c r="X971" s="67" t="str">
        <f>IF($B971&lt;&gt;"",INDEX(DataOB[],FirstRow+ROW()-7,MATCH(X$6,DataOB[#Headers],0)),"")</f>
        <v/>
      </c>
      <c r="Y971" s="67" t="str">
        <f>IF($B971&lt;&gt;"",INDEX(DataOB[],FirstRow+ROW()-7,MATCH(Y$6,DataOB[#Headers],0)),"")</f>
        <v/>
      </c>
      <c r="Z971" s="67" t="str">
        <f>IF($B971&lt;&gt;"",INDEX(DataOB[],FirstRow+ROW()-7,MATCH(Z$6,DataOB[#Headers],0)),"")</f>
        <v/>
      </c>
      <c r="AA971" s="67" t="str">
        <f>IF($B971&lt;&gt;"",INDEX(DataOB[],FirstRow+ROW()-7,MATCH(AA$6,DataOB[#Headers],0)),"")</f>
        <v/>
      </c>
      <c r="AB971" s="67" t="str">
        <f>IF($B971&lt;&gt;"",INDEX(DataOB[],FirstRow+ROW()-7,MATCH(AB$6,DataOB[#Headers],0)),"")</f>
        <v/>
      </c>
      <c r="AC971" s="67" t="str">
        <f>IF($B971&lt;&gt;"",INDEX(DataOB[],FirstRow+ROW()-7,MATCH(AC$6,DataOB[#Headers],0)),"")</f>
        <v/>
      </c>
      <c r="AD971" s="67" t="str">
        <f>IF($B971&lt;&gt;"",INDEX(DataOB[],FirstRow+ROW()-7,MATCH(AD$6,DataOB[#Headers],0)),"")</f>
        <v/>
      </c>
      <c r="AE971" s="67" t="str">
        <f>IF($B971&lt;&gt;"",INDEX(DataOB[],FirstRow+ROW()-7,MATCH(AE$6,DataOB[#Headers],0)),"")</f>
        <v/>
      </c>
      <c r="AF971" s="26">
        <f t="shared" si="149"/>
        <v>0</v>
      </c>
      <c r="AG971" s="31">
        <f>SUM($T971:T971)</f>
        <v>0</v>
      </c>
      <c r="AH971" s="31">
        <f>SUM($T971:U971)</f>
        <v>0</v>
      </c>
      <c r="AI971" s="31">
        <f>SUM($T971:V971)</f>
        <v>0</v>
      </c>
      <c r="AJ971" s="31">
        <f>SUM($T971:W971)</f>
        <v>0</v>
      </c>
      <c r="AK971" s="31">
        <f>SUM($T971:X971)</f>
        <v>0</v>
      </c>
      <c r="AL971" s="31">
        <f>SUM($T971:Y971)</f>
        <v>0</v>
      </c>
      <c r="AM971" s="31">
        <f>SUM($T971:Z971)</f>
        <v>0</v>
      </c>
      <c r="AN971" s="31">
        <f>SUM($T971:AA971)</f>
        <v>0</v>
      </c>
      <c r="AO971" s="31">
        <f>SUM($T971:AB971)</f>
        <v>0</v>
      </c>
      <c r="AP971" s="31">
        <f>SUM($T971:AC971)</f>
        <v>0</v>
      </c>
      <c r="AQ971" s="31">
        <f>SUM($T971:AD971)</f>
        <v>0</v>
      </c>
      <c r="AR971" s="31">
        <f>SUM($T971:AE971)</f>
        <v>0</v>
      </c>
      <c r="AS971" s="27">
        <f t="shared" si="150"/>
        <v>0</v>
      </c>
    </row>
    <row r="972" spans="2:45">
      <c r="B972" s="102" t="str">
        <f>IF(ROW()-6&gt;NumCostCenter,"",IF(CostCenter&lt;&gt;"ALL",CostCenter,DATA_LF2!B970))</f>
        <v/>
      </c>
      <c r="C972" s="153" t="str">
        <f>IF($B972&lt;&gt;"",INDEX(DataOB[],FirstRow+ROW()-7,2),"")</f>
        <v/>
      </c>
      <c r="D972" s="66" t="str">
        <f>IF($B972&lt;&gt;"",INDEX(DataOB[],FirstRow+ROW()-7,3),"")</f>
        <v/>
      </c>
      <c r="E972" s="103" t="str">
        <f>IF($B972&lt;&gt;"",INDEX(DataOB[],FirstRow+ROW()-7,6),"")</f>
        <v/>
      </c>
      <c r="F972" s="103" t="str">
        <f>IF($B972&lt;&gt;"",INDEX(DataOB[],FirstRow+ROW()-7,5),"")</f>
        <v/>
      </c>
      <c r="G972" s="58">
        <f>IF($B972&lt;&gt;"",SUMIFS(DataAct_tbl[AMOUNT],DataAct_tbl[BG CODE],Detail!$D972,DataAct_tbl[MONTH],LEFT(MonthName,3),DataAct_tbl[Dept code],$B972),0)</f>
        <v>0</v>
      </c>
      <c r="H972" s="31" t="str">
        <f t="shared" si="142"/>
        <v/>
      </c>
      <c r="I972" s="28" t="str">
        <f t="shared" si="143"/>
        <v/>
      </c>
      <c r="J972" s="32" t="str">
        <f t="shared" si="144"/>
        <v/>
      </c>
      <c r="K972" s="86"/>
      <c r="L972" s="62">
        <f>IF($B972&lt;&gt;"",SUMIFS(DataAct_tbl[AMOUNT],DataAct_tbl[BG CODE],Detail!$D972,DataAct_tbl[Check Range],"=true",DataAct_tbl[Dept code],$B972),0)</f>
        <v>0</v>
      </c>
      <c r="M972" s="63">
        <f>INDEX($AG$7:$AR$1005,ROW()-6,MATCH(MTD,$AG$6:$AR$6,0))</f>
        <v>0</v>
      </c>
      <c r="N972" s="34">
        <f t="shared" si="145"/>
        <v>0</v>
      </c>
      <c r="O972" s="64" t="str">
        <f t="shared" si="146"/>
        <v xml:space="preserve"> </v>
      </c>
      <c r="Q972" s="97">
        <f t="shared" si="147"/>
        <v>0</v>
      </c>
      <c r="R972" s="96">
        <f t="shared" si="148"/>
        <v>0</v>
      </c>
      <c r="T972" s="67" t="str">
        <f>IF($B972&lt;&gt;"",INDEX(DataOB[],FirstRow+ROW()-7,MATCH(T$6,DataOB[#Headers],0)),"")</f>
        <v/>
      </c>
      <c r="U972" s="67" t="str">
        <f>IF($B972&lt;&gt;"",INDEX(DataOB[],FirstRow+ROW()-7,MATCH(U$6,DataOB[#Headers],0)),"")</f>
        <v/>
      </c>
      <c r="V972" s="67" t="str">
        <f>IF($B972&lt;&gt;"",INDEX(DataOB[],FirstRow+ROW()-7,MATCH(V$6,DataOB[#Headers],0)),"")</f>
        <v/>
      </c>
      <c r="W972" s="67" t="str">
        <f>IF($B972&lt;&gt;"",INDEX(DataOB[],FirstRow+ROW()-7,MATCH(W$6,DataOB[#Headers],0)),"")</f>
        <v/>
      </c>
      <c r="X972" s="67" t="str">
        <f>IF($B972&lt;&gt;"",INDEX(DataOB[],FirstRow+ROW()-7,MATCH(X$6,DataOB[#Headers],0)),"")</f>
        <v/>
      </c>
      <c r="Y972" s="67" t="str">
        <f>IF($B972&lt;&gt;"",INDEX(DataOB[],FirstRow+ROW()-7,MATCH(Y$6,DataOB[#Headers],0)),"")</f>
        <v/>
      </c>
      <c r="Z972" s="67" t="str">
        <f>IF($B972&lt;&gt;"",INDEX(DataOB[],FirstRow+ROW()-7,MATCH(Z$6,DataOB[#Headers],0)),"")</f>
        <v/>
      </c>
      <c r="AA972" s="67" t="str">
        <f>IF($B972&lt;&gt;"",INDEX(DataOB[],FirstRow+ROW()-7,MATCH(AA$6,DataOB[#Headers],0)),"")</f>
        <v/>
      </c>
      <c r="AB972" s="67" t="str">
        <f>IF($B972&lt;&gt;"",INDEX(DataOB[],FirstRow+ROW()-7,MATCH(AB$6,DataOB[#Headers],0)),"")</f>
        <v/>
      </c>
      <c r="AC972" s="67" t="str">
        <f>IF($B972&lt;&gt;"",INDEX(DataOB[],FirstRow+ROW()-7,MATCH(AC$6,DataOB[#Headers],0)),"")</f>
        <v/>
      </c>
      <c r="AD972" s="67" t="str">
        <f>IF($B972&lt;&gt;"",INDEX(DataOB[],FirstRow+ROW()-7,MATCH(AD$6,DataOB[#Headers],0)),"")</f>
        <v/>
      </c>
      <c r="AE972" s="67" t="str">
        <f>IF($B972&lt;&gt;"",INDEX(DataOB[],FirstRow+ROW()-7,MATCH(AE$6,DataOB[#Headers],0)),"")</f>
        <v/>
      </c>
      <c r="AF972" s="26">
        <f t="shared" si="149"/>
        <v>0</v>
      </c>
      <c r="AG972" s="31">
        <f>SUM($T972:T972)</f>
        <v>0</v>
      </c>
      <c r="AH972" s="31">
        <f>SUM($T972:U972)</f>
        <v>0</v>
      </c>
      <c r="AI972" s="31">
        <f>SUM($T972:V972)</f>
        <v>0</v>
      </c>
      <c r="AJ972" s="31">
        <f>SUM($T972:W972)</f>
        <v>0</v>
      </c>
      <c r="AK972" s="31">
        <f>SUM($T972:X972)</f>
        <v>0</v>
      </c>
      <c r="AL972" s="31">
        <f>SUM($T972:Y972)</f>
        <v>0</v>
      </c>
      <c r="AM972" s="31">
        <f>SUM($T972:Z972)</f>
        <v>0</v>
      </c>
      <c r="AN972" s="31">
        <f>SUM($T972:AA972)</f>
        <v>0</v>
      </c>
      <c r="AO972" s="31">
        <f>SUM($T972:AB972)</f>
        <v>0</v>
      </c>
      <c r="AP972" s="31">
        <f>SUM($T972:AC972)</f>
        <v>0</v>
      </c>
      <c r="AQ972" s="31">
        <f>SUM($T972:AD972)</f>
        <v>0</v>
      </c>
      <c r="AR972" s="31">
        <f>SUM($T972:AE972)</f>
        <v>0</v>
      </c>
      <c r="AS972" s="27">
        <f t="shared" si="150"/>
        <v>0</v>
      </c>
    </row>
    <row r="973" spans="2:45">
      <c r="B973" s="102" t="str">
        <f>IF(ROW()-6&gt;NumCostCenter,"",IF(CostCenter&lt;&gt;"ALL",CostCenter,DATA_LF2!B971))</f>
        <v/>
      </c>
      <c r="C973" s="153" t="str">
        <f>IF($B973&lt;&gt;"",INDEX(DataOB[],FirstRow+ROW()-7,2),"")</f>
        <v/>
      </c>
      <c r="D973" s="66" t="str">
        <f>IF($B973&lt;&gt;"",INDEX(DataOB[],FirstRow+ROW()-7,3),"")</f>
        <v/>
      </c>
      <c r="E973" s="103" t="str">
        <f>IF($B973&lt;&gt;"",INDEX(DataOB[],FirstRow+ROW()-7,6),"")</f>
        <v/>
      </c>
      <c r="F973" s="103" t="str">
        <f>IF($B973&lt;&gt;"",INDEX(DataOB[],FirstRow+ROW()-7,5),"")</f>
        <v/>
      </c>
      <c r="G973" s="58">
        <f>IF($B973&lt;&gt;"",SUMIFS(DataAct_tbl[AMOUNT],DataAct_tbl[BG CODE],Detail!$D973,DataAct_tbl[MONTH],LEFT(MonthName,3),DataAct_tbl[Dept code],$B973),0)</f>
        <v>0</v>
      </c>
      <c r="H973" s="31" t="str">
        <f t="shared" si="142"/>
        <v/>
      </c>
      <c r="I973" s="28" t="str">
        <f t="shared" si="143"/>
        <v/>
      </c>
      <c r="J973" s="32" t="str">
        <f t="shared" si="144"/>
        <v/>
      </c>
      <c r="K973" s="86"/>
      <c r="L973" s="62">
        <f>IF($B973&lt;&gt;"",SUMIFS(DataAct_tbl[AMOUNT],DataAct_tbl[BG CODE],Detail!$D973,DataAct_tbl[Check Range],"=true",DataAct_tbl[Dept code],$B973),0)</f>
        <v>0</v>
      </c>
      <c r="M973" s="63">
        <f>INDEX($AG$7:$AR$1005,ROW()-6,MATCH(MTD,$AG$6:$AR$6,0))</f>
        <v>0</v>
      </c>
      <c r="N973" s="34">
        <f t="shared" si="145"/>
        <v>0</v>
      </c>
      <c r="O973" s="64" t="str">
        <f t="shared" si="146"/>
        <v xml:space="preserve"> </v>
      </c>
      <c r="Q973" s="97">
        <f t="shared" si="147"/>
        <v>0</v>
      </c>
      <c r="R973" s="96">
        <f t="shared" si="148"/>
        <v>0</v>
      </c>
      <c r="T973" s="67" t="str">
        <f>IF($B973&lt;&gt;"",INDEX(DataOB[],FirstRow+ROW()-7,MATCH(T$6,DataOB[#Headers],0)),"")</f>
        <v/>
      </c>
      <c r="U973" s="67" t="str">
        <f>IF($B973&lt;&gt;"",INDEX(DataOB[],FirstRow+ROW()-7,MATCH(U$6,DataOB[#Headers],0)),"")</f>
        <v/>
      </c>
      <c r="V973" s="67" t="str">
        <f>IF($B973&lt;&gt;"",INDEX(DataOB[],FirstRow+ROW()-7,MATCH(V$6,DataOB[#Headers],0)),"")</f>
        <v/>
      </c>
      <c r="W973" s="67" t="str">
        <f>IF($B973&lt;&gt;"",INDEX(DataOB[],FirstRow+ROW()-7,MATCH(W$6,DataOB[#Headers],0)),"")</f>
        <v/>
      </c>
      <c r="X973" s="67" t="str">
        <f>IF($B973&lt;&gt;"",INDEX(DataOB[],FirstRow+ROW()-7,MATCH(X$6,DataOB[#Headers],0)),"")</f>
        <v/>
      </c>
      <c r="Y973" s="67" t="str">
        <f>IF($B973&lt;&gt;"",INDEX(DataOB[],FirstRow+ROW()-7,MATCH(Y$6,DataOB[#Headers],0)),"")</f>
        <v/>
      </c>
      <c r="Z973" s="67" t="str">
        <f>IF($B973&lt;&gt;"",INDEX(DataOB[],FirstRow+ROW()-7,MATCH(Z$6,DataOB[#Headers],0)),"")</f>
        <v/>
      </c>
      <c r="AA973" s="67" t="str">
        <f>IF($B973&lt;&gt;"",INDEX(DataOB[],FirstRow+ROW()-7,MATCH(AA$6,DataOB[#Headers],0)),"")</f>
        <v/>
      </c>
      <c r="AB973" s="67" t="str">
        <f>IF($B973&lt;&gt;"",INDEX(DataOB[],FirstRow+ROW()-7,MATCH(AB$6,DataOB[#Headers],0)),"")</f>
        <v/>
      </c>
      <c r="AC973" s="67" t="str">
        <f>IF($B973&lt;&gt;"",INDEX(DataOB[],FirstRow+ROW()-7,MATCH(AC$6,DataOB[#Headers],0)),"")</f>
        <v/>
      </c>
      <c r="AD973" s="67" t="str">
        <f>IF($B973&lt;&gt;"",INDEX(DataOB[],FirstRow+ROW()-7,MATCH(AD$6,DataOB[#Headers],0)),"")</f>
        <v/>
      </c>
      <c r="AE973" s="67" t="str">
        <f>IF($B973&lt;&gt;"",INDEX(DataOB[],FirstRow+ROW()-7,MATCH(AE$6,DataOB[#Headers],0)),"")</f>
        <v/>
      </c>
      <c r="AF973" s="26">
        <f t="shared" si="149"/>
        <v>0</v>
      </c>
      <c r="AG973" s="31">
        <f>SUM($T973:T973)</f>
        <v>0</v>
      </c>
      <c r="AH973" s="31">
        <f>SUM($T973:U973)</f>
        <v>0</v>
      </c>
      <c r="AI973" s="31">
        <f>SUM($T973:V973)</f>
        <v>0</v>
      </c>
      <c r="AJ973" s="31">
        <f>SUM($T973:W973)</f>
        <v>0</v>
      </c>
      <c r="AK973" s="31">
        <f>SUM($T973:X973)</f>
        <v>0</v>
      </c>
      <c r="AL973" s="31">
        <f>SUM($T973:Y973)</f>
        <v>0</v>
      </c>
      <c r="AM973" s="31">
        <f>SUM($T973:Z973)</f>
        <v>0</v>
      </c>
      <c r="AN973" s="31">
        <f>SUM($T973:AA973)</f>
        <v>0</v>
      </c>
      <c r="AO973" s="31">
        <f>SUM($T973:AB973)</f>
        <v>0</v>
      </c>
      <c r="AP973" s="31">
        <f>SUM($T973:AC973)</f>
        <v>0</v>
      </c>
      <c r="AQ973" s="31">
        <f>SUM($T973:AD973)</f>
        <v>0</v>
      </c>
      <c r="AR973" s="31">
        <f>SUM($T973:AE973)</f>
        <v>0</v>
      </c>
      <c r="AS973" s="27">
        <f t="shared" si="150"/>
        <v>0</v>
      </c>
    </row>
    <row r="974" spans="2:45">
      <c r="B974" s="102" t="str">
        <f>IF(ROW()-6&gt;NumCostCenter,"",IF(CostCenter&lt;&gt;"ALL",CostCenter,DATA_LF2!B972))</f>
        <v/>
      </c>
      <c r="C974" s="153" t="str">
        <f>IF($B974&lt;&gt;"",INDEX(DataOB[],FirstRow+ROW()-7,2),"")</f>
        <v/>
      </c>
      <c r="D974" s="66" t="str">
        <f>IF($B974&lt;&gt;"",INDEX(DataOB[],FirstRow+ROW()-7,3),"")</f>
        <v/>
      </c>
      <c r="E974" s="103" t="str">
        <f>IF($B974&lt;&gt;"",INDEX(DataOB[],FirstRow+ROW()-7,6),"")</f>
        <v/>
      </c>
      <c r="F974" s="103" t="str">
        <f>IF($B974&lt;&gt;"",INDEX(DataOB[],FirstRow+ROW()-7,5),"")</f>
        <v/>
      </c>
      <c r="G974" s="58">
        <f>IF($B974&lt;&gt;"",SUMIFS(DataAct_tbl[AMOUNT],DataAct_tbl[BG CODE],Detail!$D974,DataAct_tbl[MONTH],LEFT(MonthName,3),DataAct_tbl[Dept code],$B974),0)</f>
        <v>0</v>
      </c>
      <c r="H974" s="31" t="str">
        <f t="shared" si="142"/>
        <v/>
      </c>
      <c r="I974" s="28" t="str">
        <f t="shared" si="143"/>
        <v/>
      </c>
      <c r="J974" s="32" t="str">
        <f t="shared" si="144"/>
        <v/>
      </c>
      <c r="K974" s="86"/>
      <c r="L974" s="62">
        <f>IF($B974&lt;&gt;"",SUMIFS(DataAct_tbl[AMOUNT],DataAct_tbl[BG CODE],Detail!$D974,DataAct_tbl[Check Range],"=true",DataAct_tbl[Dept code],$B974),0)</f>
        <v>0</v>
      </c>
      <c r="M974" s="63">
        <f>INDEX($AG$7:$AR$1005,ROW()-6,MATCH(MTD,$AG$6:$AR$6,0))</f>
        <v>0</v>
      </c>
      <c r="N974" s="34">
        <f t="shared" si="145"/>
        <v>0</v>
      </c>
      <c r="O974" s="64" t="str">
        <f t="shared" si="146"/>
        <v xml:space="preserve"> </v>
      </c>
      <c r="Q974" s="97">
        <f t="shared" si="147"/>
        <v>0</v>
      </c>
      <c r="R974" s="96">
        <f t="shared" si="148"/>
        <v>0</v>
      </c>
      <c r="T974" s="67" t="str">
        <f>IF($B974&lt;&gt;"",INDEX(DataOB[],FirstRow+ROW()-7,MATCH(T$6,DataOB[#Headers],0)),"")</f>
        <v/>
      </c>
      <c r="U974" s="67" t="str">
        <f>IF($B974&lt;&gt;"",INDEX(DataOB[],FirstRow+ROW()-7,MATCH(U$6,DataOB[#Headers],0)),"")</f>
        <v/>
      </c>
      <c r="V974" s="67" t="str">
        <f>IF($B974&lt;&gt;"",INDEX(DataOB[],FirstRow+ROW()-7,MATCH(V$6,DataOB[#Headers],0)),"")</f>
        <v/>
      </c>
      <c r="W974" s="67" t="str">
        <f>IF($B974&lt;&gt;"",INDEX(DataOB[],FirstRow+ROW()-7,MATCH(W$6,DataOB[#Headers],0)),"")</f>
        <v/>
      </c>
      <c r="X974" s="67" t="str">
        <f>IF($B974&lt;&gt;"",INDEX(DataOB[],FirstRow+ROW()-7,MATCH(X$6,DataOB[#Headers],0)),"")</f>
        <v/>
      </c>
      <c r="Y974" s="67" t="str">
        <f>IF($B974&lt;&gt;"",INDEX(DataOB[],FirstRow+ROW()-7,MATCH(Y$6,DataOB[#Headers],0)),"")</f>
        <v/>
      </c>
      <c r="Z974" s="67" t="str">
        <f>IF($B974&lt;&gt;"",INDEX(DataOB[],FirstRow+ROW()-7,MATCH(Z$6,DataOB[#Headers],0)),"")</f>
        <v/>
      </c>
      <c r="AA974" s="67" t="str">
        <f>IF($B974&lt;&gt;"",INDEX(DataOB[],FirstRow+ROW()-7,MATCH(AA$6,DataOB[#Headers],0)),"")</f>
        <v/>
      </c>
      <c r="AB974" s="67" t="str">
        <f>IF($B974&lt;&gt;"",INDEX(DataOB[],FirstRow+ROW()-7,MATCH(AB$6,DataOB[#Headers],0)),"")</f>
        <v/>
      </c>
      <c r="AC974" s="67" t="str">
        <f>IF($B974&lt;&gt;"",INDEX(DataOB[],FirstRow+ROW()-7,MATCH(AC$6,DataOB[#Headers],0)),"")</f>
        <v/>
      </c>
      <c r="AD974" s="67" t="str">
        <f>IF($B974&lt;&gt;"",INDEX(DataOB[],FirstRow+ROW()-7,MATCH(AD$6,DataOB[#Headers],0)),"")</f>
        <v/>
      </c>
      <c r="AE974" s="67" t="str">
        <f>IF($B974&lt;&gt;"",INDEX(DataOB[],FirstRow+ROW()-7,MATCH(AE$6,DataOB[#Headers],0)),"")</f>
        <v/>
      </c>
      <c r="AF974" s="26">
        <f t="shared" si="149"/>
        <v>0</v>
      </c>
      <c r="AG974" s="31">
        <f>SUM($T974:T974)</f>
        <v>0</v>
      </c>
      <c r="AH974" s="31">
        <f>SUM($T974:U974)</f>
        <v>0</v>
      </c>
      <c r="AI974" s="31">
        <f>SUM($T974:V974)</f>
        <v>0</v>
      </c>
      <c r="AJ974" s="31">
        <f>SUM($T974:W974)</f>
        <v>0</v>
      </c>
      <c r="AK974" s="31">
        <f>SUM($T974:X974)</f>
        <v>0</v>
      </c>
      <c r="AL974" s="31">
        <f>SUM($T974:Y974)</f>
        <v>0</v>
      </c>
      <c r="AM974" s="31">
        <f>SUM($T974:Z974)</f>
        <v>0</v>
      </c>
      <c r="AN974" s="31">
        <f>SUM($T974:AA974)</f>
        <v>0</v>
      </c>
      <c r="AO974" s="31">
        <f>SUM($T974:AB974)</f>
        <v>0</v>
      </c>
      <c r="AP974" s="31">
        <f>SUM($T974:AC974)</f>
        <v>0</v>
      </c>
      <c r="AQ974" s="31">
        <f>SUM($T974:AD974)</f>
        <v>0</v>
      </c>
      <c r="AR974" s="31">
        <f>SUM($T974:AE974)</f>
        <v>0</v>
      </c>
      <c r="AS974" s="27">
        <f t="shared" si="150"/>
        <v>0</v>
      </c>
    </row>
    <row r="975" spans="2:45">
      <c r="B975" s="102" t="str">
        <f>IF(ROW()-6&gt;NumCostCenter,"",IF(CostCenter&lt;&gt;"ALL",CostCenter,DATA_LF2!B973))</f>
        <v/>
      </c>
      <c r="C975" s="153" t="str">
        <f>IF($B975&lt;&gt;"",INDEX(DataOB[],FirstRow+ROW()-7,2),"")</f>
        <v/>
      </c>
      <c r="D975" s="66" t="str">
        <f>IF($B975&lt;&gt;"",INDEX(DataOB[],FirstRow+ROW()-7,3),"")</f>
        <v/>
      </c>
      <c r="E975" s="103" t="str">
        <f>IF($B975&lt;&gt;"",INDEX(DataOB[],FirstRow+ROW()-7,6),"")</f>
        <v/>
      </c>
      <c r="F975" s="103" t="str">
        <f>IF($B975&lt;&gt;"",INDEX(DataOB[],FirstRow+ROW()-7,5),"")</f>
        <v/>
      </c>
      <c r="G975" s="58">
        <f>IF($B975&lt;&gt;"",SUMIFS(DataAct_tbl[AMOUNT],DataAct_tbl[BG CODE],Detail!$D975,DataAct_tbl[MONTH],LEFT(MonthName,3),DataAct_tbl[Dept code],$B975),0)</f>
        <v>0</v>
      </c>
      <c r="H975" s="31" t="str">
        <f t="shared" si="142"/>
        <v/>
      </c>
      <c r="I975" s="28" t="str">
        <f t="shared" si="143"/>
        <v/>
      </c>
      <c r="J975" s="32" t="str">
        <f t="shared" si="144"/>
        <v/>
      </c>
      <c r="K975" s="86"/>
      <c r="L975" s="62">
        <f>IF($B975&lt;&gt;"",SUMIFS(DataAct_tbl[AMOUNT],DataAct_tbl[BG CODE],Detail!$D975,DataAct_tbl[Check Range],"=true",DataAct_tbl[Dept code],$B975),0)</f>
        <v>0</v>
      </c>
      <c r="M975" s="63">
        <f>INDEX($AG$7:$AR$1005,ROW()-6,MATCH(MTD,$AG$6:$AR$6,0))</f>
        <v>0</v>
      </c>
      <c r="N975" s="34">
        <f t="shared" si="145"/>
        <v>0</v>
      </c>
      <c r="O975" s="64" t="str">
        <f t="shared" si="146"/>
        <v xml:space="preserve"> </v>
      </c>
      <c r="Q975" s="97">
        <f t="shared" si="147"/>
        <v>0</v>
      </c>
      <c r="R975" s="96">
        <f t="shared" si="148"/>
        <v>0</v>
      </c>
      <c r="T975" s="67" t="str">
        <f>IF($B975&lt;&gt;"",INDEX(DataOB[],FirstRow+ROW()-7,MATCH(T$6,DataOB[#Headers],0)),"")</f>
        <v/>
      </c>
      <c r="U975" s="67" t="str">
        <f>IF($B975&lt;&gt;"",INDEX(DataOB[],FirstRow+ROW()-7,MATCH(U$6,DataOB[#Headers],0)),"")</f>
        <v/>
      </c>
      <c r="V975" s="67" t="str">
        <f>IF($B975&lt;&gt;"",INDEX(DataOB[],FirstRow+ROW()-7,MATCH(V$6,DataOB[#Headers],0)),"")</f>
        <v/>
      </c>
      <c r="W975" s="67" t="str">
        <f>IF($B975&lt;&gt;"",INDEX(DataOB[],FirstRow+ROW()-7,MATCH(W$6,DataOB[#Headers],0)),"")</f>
        <v/>
      </c>
      <c r="X975" s="67" t="str">
        <f>IF($B975&lt;&gt;"",INDEX(DataOB[],FirstRow+ROW()-7,MATCH(X$6,DataOB[#Headers],0)),"")</f>
        <v/>
      </c>
      <c r="Y975" s="67" t="str">
        <f>IF($B975&lt;&gt;"",INDEX(DataOB[],FirstRow+ROW()-7,MATCH(Y$6,DataOB[#Headers],0)),"")</f>
        <v/>
      </c>
      <c r="Z975" s="67" t="str">
        <f>IF($B975&lt;&gt;"",INDEX(DataOB[],FirstRow+ROW()-7,MATCH(Z$6,DataOB[#Headers],0)),"")</f>
        <v/>
      </c>
      <c r="AA975" s="67" t="str">
        <f>IF($B975&lt;&gt;"",INDEX(DataOB[],FirstRow+ROW()-7,MATCH(AA$6,DataOB[#Headers],0)),"")</f>
        <v/>
      </c>
      <c r="AB975" s="67" t="str">
        <f>IF($B975&lt;&gt;"",INDEX(DataOB[],FirstRow+ROW()-7,MATCH(AB$6,DataOB[#Headers],0)),"")</f>
        <v/>
      </c>
      <c r="AC975" s="67" t="str">
        <f>IF($B975&lt;&gt;"",INDEX(DataOB[],FirstRow+ROW()-7,MATCH(AC$6,DataOB[#Headers],0)),"")</f>
        <v/>
      </c>
      <c r="AD975" s="67" t="str">
        <f>IF($B975&lt;&gt;"",INDEX(DataOB[],FirstRow+ROW()-7,MATCH(AD$6,DataOB[#Headers],0)),"")</f>
        <v/>
      </c>
      <c r="AE975" s="67" t="str">
        <f>IF($B975&lt;&gt;"",INDEX(DataOB[],FirstRow+ROW()-7,MATCH(AE$6,DataOB[#Headers],0)),"")</f>
        <v/>
      </c>
      <c r="AF975" s="26">
        <f t="shared" si="149"/>
        <v>0</v>
      </c>
      <c r="AG975" s="31">
        <f>SUM($T975:T975)</f>
        <v>0</v>
      </c>
      <c r="AH975" s="31">
        <f>SUM($T975:U975)</f>
        <v>0</v>
      </c>
      <c r="AI975" s="31">
        <f>SUM($T975:V975)</f>
        <v>0</v>
      </c>
      <c r="AJ975" s="31">
        <f>SUM($T975:W975)</f>
        <v>0</v>
      </c>
      <c r="AK975" s="31">
        <f>SUM($T975:X975)</f>
        <v>0</v>
      </c>
      <c r="AL975" s="31">
        <f>SUM($T975:Y975)</f>
        <v>0</v>
      </c>
      <c r="AM975" s="31">
        <f>SUM($T975:Z975)</f>
        <v>0</v>
      </c>
      <c r="AN975" s="31">
        <f>SUM($T975:AA975)</f>
        <v>0</v>
      </c>
      <c r="AO975" s="31">
        <f>SUM($T975:AB975)</f>
        <v>0</v>
      </c>
      <c r="AP975" s="31">
        <f>SUM($T975:AC975)</f>
        <v>0</v>
      </c>
      <c r="AQ975" s="31">
        <f>SUM($T975:AD975)</f>
        <v>0</v>
      </c>
      <c r="AR975" s="31">
        <f>SUM($T975:AE975)</f>
        <v>0</v>
      </c>
      <c r="AS975" s="27">
        <f t="shared" si="150"/>
        <v>0</v>
      </c>
    </row>
    <row r="976" spans="2:45">
      <c r="B976" s="102" t="str">
        <f>IF(ROW()-6&gt;NumCostCenter,"",IF(CostCenter&lt;&gt;"ALL",CostCenter,DATA_LF2!B974))</f>
        <v/>
      </c>
      <c r="C976" s="153" t="str">
        <f>IF($B976&lt;&gt;"",INDEX(DataOB[],FirstRow+ROW()-7,2),"")</f>
        <v/>
      </c>
      <c r="D976" s="66" t="str">
        <f>IF($B976&lt;&gt;"",INDEX(DataOB[],FirstRow+ROW()-7,3),"")</f>
        <v/>
      </c>
      <c r="E976" s="103" t="str">
        <f>IF($B976&lt;&gt;"",INDEX(DataOB[],FirstRow+ROW()-7,6),"")</f>
        <v/>
      </c>
      <c r="F976" s="103" t="str">
        <f>IF($B976&lt;&gt;"",INDEX(DataOB[],FirstRow+ROW()-7,5),"")</f>
        <v/>
      </c>
      <c r="G976" s="58">
        <f>IF($B976&lt;&gt;"",SUMIFS(DataAct_tbl[AMOUNT],DataAct_tbl[BG CODE],Detail!$D976,DataAct_tbl[MONTH],LEFT(MonthName,3),DataAct_tbl[Dept code],$B976),0)</f>
        <v>0</v>
      </c>
      <c r="H976" s="31" t="str">
        <f t="shared" si="142"/>
        <v/>
      </c>
      <c r="I976" s="28" t="str">
        <f t="shared" si="143"/>
        <v/>
      </c>
      <c r="J976" s="32" t="str">
        <f t="shared" si="144"/>
        <v/>
      </c>
      <c r="K976" s="86"/>
      <c r="L976" s="62">
        <f>IF($B976&lt;&gt;"",SUMIFS(DataAct_tbl[AMOUNT],DataAct_tbl[BG CODE],Detail!$D976,DataAct_tbl[Check Range],"=true",DataAct_tbl[Dept code],$B976),0)</f>
        <v>0</v>
      </c>
      <c r="M976" s="63">
        <f>INDEX($AG$7:$AR$1005,ROW()-6,MATCH(MTD,$AG$6:$AR$6,0))</f>
        <v>0</v>
      </c>
      <c r="N976" s="34">
        <f t="shared" si="145"/>
        <v>0</v>
      </c>
      <c r="O976" s="64" t="str">
        <f t="shared" si="146"/>
        <v xml:space="preserve"> </v>
      </c>
      <c r="Q976" s="97">
        <f t="shared" si="147"/>
        <v>0</v>
      </c>
      <c r="R976" s="96">
        <f t="shared" si="148"/>
        <v>0</v>
      </c>
      <c r="T976" s="67" t="str">
        <f>IF($B976&lt;&gt;"",INDEX(DataOB[],FirstRow+ROW()-7,MATCH(T$6,DataOB[#Headers],0)),"")</f>
        <v/>
      </c>
      <c r="U976" s="67" t="str">
        <f>IF($B976&lt;&gt;"",INDEX(DataOB[],FirstRow+ROW()-7,MATCH(U$6,DataOB[#Headers],0)),"")</f>
        <v/>
      </c>
      <c r="V976" s="67" t="str">
        <f>IF($B976&lt;&gt;"",INDEX(DataOB[],FirstRow+ROW()-7,MATCH(V$6,DataOB[#Headers],0)),"")</f>
        <v/>
      </c>
      <c r="W976" s="67" t="str">
        <f>IF($B976&lt;&gt;"",INDEX(DataOB[],FirstRow+ROW()-7,MATCH(W$6,DataOB[#Headers],0)),"")</f>
        <v/>
      </c>
      <c r="X976" s="67" t="str">
        <f>IF($B976&lt;&gt;"",INDEX(DataOB[],FirstRow+ROW()-7,MATCH(X$6,DataOB[#Headers],0)),"")</f>
        <v/>
      </c>
      <c r="Y976" s="67" t="str">
        <f>IF($B976&lt;&gt;"",INDEX(DataOB[],FirstRow+ROW()-7,MATCH(Y$6,DataOB[#Headers],0)),"")</f>
        <v/>
      </c>
      <c r="Z976" s="67" t="str">
        <f>IF($B976&lt;&gt;"",INDEX(DataOB[],FirstRow+ROW()-7,MATCH(Z$6,DataOB[#Headers],0)),"")</f>
        <v/>
      </c>
      <c r="AA976" s="67" t="str">
        <f>IF($B976&lt;&gt;"",INDEX(DataOB[],FirstRow+ROW()-7,MATCH(AA$6,DataOB[#Headers],0)),"")</f>
        <v/>
      </c>
      <c r="AB976" s="67" t="str">
        <f>IF($B976&lt;&gt;"",INDEX(DataOB[],FirstRow+ROW()-7,MATCH(AB$6,DataOB[#Headers],0)),"")</f>
        <v/>
      </c>
      <c r="AC976" s="67" t="str">
        <f>IF($B976&lt;&gt;"",INDEX(DataOB[],FirstRow+ROW()-7,MATCH(AC$6,DataOB[#Headers],0)),"")</f>
        <v/>
      </c>
      <c r="AD976" s="67" t="str">
        <f>IF($B976&lt;&gt;"",INDEX(DataOB[],FirstRow+ROW()-7,MATCH(AD$6,DataOB[#Headers],0)),"")</f>
        <v/>
      </c>
      <c r="AE976" s="67" t="str">
        <f>IF($B976&lt;&gt;"",INDEX(DataOB[],FirstRow+ROW()-7,MATCH(AE$6,DataOB[#Headers],0)),"")</f>
        <v/>
      </c>
      <c r="AF976" s="26">
        <f t="shared" si="149"/>
        <v>0</v>
      </c>
      <c r="AG976" s="31">
        <f>SUM($T976:T976)</f>
        <v>0</v>
      </c>
      <c r="AH976" s="31">
        <f>SUM($T976:U976)</f>
        <v>0</v>
      </c>
      <c r="AI976" s="31">
        <f>SUM($T976:V976)</f>
        <v>0</v>
      </c>
      <c r="AJ976" s="31">
        <f>SUM($T976:W976)</f>
        <v>0</v>
      </c>
      <c r="AK976" s="31">
        <f>SUM($T976:X976)</f>
        <v>0</v>
      </c>
      <c r="AL976" s="31">
        <f>SUM($T976:Y976)</f>
        <v>0</v>
      </c>
      <c r="AM976" s="31">
        <f>SUM($T976:Z976)</f>
        <v>0</v>
      </c>
      <c r="AN976" s="31">
        <f>SUM($T976:AA976)</f>
        <v>0</v>
      </c>
      <c r="AO976" s="31">
        <f>SUM($T976:AB976)</f>
        <v>0</v>
      </c>
      <c r="AP976" s="31">
        <f>SUM($T976:AC976)</f>
        <v>0</v>
      </c>
      <c r="AQ976" s="31">
        <f>SUM($T976:AD976)</f>
        <v>0</v>
      </c>
      <c r="AR976" s="31">
        <f>SUM($T976:AE976)</f>
        <v>0</v>
      </c>
      <c r="AS976" s="27">
        <f t="shared" si="150"/>
        <v>0</v>
      </c>
    </row>
    <row r="977" spans="2:45">
      <c r="B977" s="102" t="str">
        <f>IF(ROW()-6&gt;NumCostCenter,"",IF(CostCenter&lt;&gt;"ALL",CostCenter,DATA_LF2!B975))</f>
        <v/>
      </c>
      <c r="C977" s="153" t="str">
        <f>IF($B977&lt;&gt;"",INDEX(DataOB[],FirstRow+ROW()-7,2),"")</f>
        <v/>
      </c>
      <c r="D977" s="66" t="str">
        <f>IF($B977&lt;&gt;"",INDEX(DataOB[],FirstRow+ROW()-7,3),"")</f>
        <v/>
      </c>
      <c r="E977" s="103" t="str">
        <f>IF($B977&lt;&gt;"",INDEX(DataOB[],FirstRow+ROW()-7,6),"")</f>
        <v/>
      </c>
      <c r="F977" s="103" t="str">
        <f>IF($B977&lt;&gt;"",INDEX(DataOB[],FirstRow+ROW()-7,5),"")</f>
        <v/>
      </c>
      <c r="G977" s="58">
        <f>IF($B977&lt;&gt;"",SUMIFS(DataAct_tbl[AMOUNT],DataAct_tbl[BG CODE],Detail!$D977,DataAct_tbl[MONTH],LEFT(MonthName,3),DataAct_tbl[Dept code],$B977),0)</f>
        <v>0</v>
      </c>
      <c r="H977" s="31" t="str">
        <f t="shared" si="142"/>
        <v/>
      </c>
      <c r="I977" s="28" t="str">
        <f t="shared" si="143"/>
        <v/>
      </c>
      <c r="J977" s="32" t="str">
        <f t="shared" si="144"/>
        <v/>
      </c>
      <c r="K977" s="86"/>
      <c r="L977" s="62">
        <f>IF($B977&lt;&gt;"",SUMIFS(DataAct_tbl[AMOUNT],DataAct_tbl[BG CODE],Detail!$D977,DataAct_tbl[Check Range],"=true",DataAct_tbl[Dept code],$B977),0)</f>
        <v>0</v>
      </c>
      <c r="M977" s="63">
        <f>INDEX($AG$7:$AR$1005,ROW()-6,MATCH(MTD,$AG$6:$AR$6,0))</f>
        <v>0</v>
      </c>
      <c r="N977" s="34">
        <f t="shared" si="145"/>
        <v>0</v>
      </c>
      <c r="O977" s="64" t="str">
        <f t="shared" si="146"/>
        <v xml:space="preserve"> </v>
      </c>
      <c r="Q977" s="97">
        <f t="shared" si="147"/>
        <v>0</v>
      </c>
      <c r="R977" s="96">
        <f t="shared" si="148"/>
        <v>0</v>
      </c>
      <c r="T977" s="67" t="str">
        <f>IF($B977&lt;&gt;"",INDEX(DataOB[],FirstRow+ROW()-7,MATCH(T$6,DataOB[#Headers],0)),"")</f>
        <v/>
      </c>
      <c r="U977" s="67" t="str">
        <f>IF($B977&lt;&gt;"",INDEX(DataOB[],FirstRow+ROW()-7,MATCH(U$6,DataOB[#Headers],0)),"")</f>
        <v/>
      </c>
      <c r="V977" s="67" t="str">
        <f>IF($B977&lt;&gt;"",INDEX(DataOB[],FirstRow+ROW()-7,MATCH(V$6,DataOB[#Headers],0)),"")</f>
        <v/>
      </c>
      <c r="W977" s="67" t="str">
        <f>IF($B977&lt;&gt;"",INDEX(DataOB[],FirstRow+ROW()-7,MATCH(W$6,DataOB[#Headers],0)),"")</f>
        <v/>
      </c>
      <c r="X977" s="67" t="str">
        <f>IF($B977&lt;&gt;"",INDEX(DataOB[],FirstRow+ROW()-7,MATCH(X$6,DataOB[#Headers],0)),"")</f>
        <v/>
      </c>
      <c r="Y977" s="67" t="str">
        <f>IF($B977&lt;&gt;"",INDEX(DataOB[],FirstRow+ROW()-7,MATCH(Y$6,DataOB[#Headers],0)),"")</f>
        <v/>
      </c>
      <c r="Z977" s="67" t="str">
        <f>IF($B977&lt;&gt;"",INDEX(DataOB[],FirstRow+ROW()-7,MATCH(Z$6,DataOB[#Headers],0)),"")</f>
        <v/>
      </c>
      <c r="AA977" s="67" t="str">
        <f>IF($B977&lt;&gt;"",INDEX(DataOB[],FirstRow+ROW()-7,MATCH(AA$6,DataOB[#Headers],0)),"")</f>
        <v/>
      </c>
      <c r="AB977" s="67" t="str">
        <f>IF($B977&lt;&gt;"",INDEX(DataOB[],FirstRow+ROW()-7,MATCH(AB$6,DataOB[#Headers],0)),"")</f>
        <v/>
      </c>
      <c r="AC977" s="67" t="str">
        <f>IF($B977&lt;&gt;"",INDEX(DataOB[],FirstRow+ROW()-7,MATCH(AC$6,DataOB[#Headers],0)),"")</f>
        <v/>
      </c>
      <c r="AD977" s="67" t="str">
        <f>IF($B977&lt;&gt;"",INDEX(DataOB[],FirstRow+ROW()-7,MATCH(AD$6,DataOB[#Headers],0)),"")</f>
        <v/>
      </c>
      <c r="AE977" s="67" t="str">
        <f>IF($B977&lt;&gt;"",INDEX(DataOB[],FirstRow+ROW()-7,MATCH(AE$6,DataOB[#Headers],0)),"")</f>
        <v/>
      </c>
      <c r="AF977" s="26">
        <f t="shared" si="149"/>
        <v>0</v>
      </c>
      <c r="AG977" s="31">
        <f>SUM($T977:T977)</f>
        <v>0</v>
      </c>
      <c r="AH977" s="31">
        <f>SUM($T977:U977)</f>
        <v>0</v>
      </c>
      <c r="AI977" s="31">
        <f>SUM($T977:V977)</f>
        <v>0</v>
      </c>
      <c r="AJ977" s="31">
        <f>SUM($T977:W977)</f>
        <v>0</v>
      </c>
      <c r="AK977" s="31">
        <f>SUM($T977:X977)</f>
        <v>0</v>
      </c>
      <c r="AL977" s="31">
        <f>SUM($T977:Y977)</f>
        <v>0</v>
      </c>
      <c r="AM977" s="31">
        <f>SUM($T977:Z977)</f>
        <v>0</v>
      </c>
      <c r="AN977" s="31">
        <f>SUM($T977:AA977)</f>
        <v>0</v>
      </c>
      <c r="AO977" s="31">
        <f>SUM($T977:AB977)</f>
        <v>0</v>
      </c>
      <c r="AP977" s="31">
        <f>SUM($T977:AC977)</f>
        <v>0</v>
      </c>
      <c r="AQ977" s="31">
        <f>SUM($T977:AD977)</f>
        <v>0</v>
      </c>
      <c r="AR977" s="31">
        <f>SUM($T977:AE977)</f>
        <v>0</v>
      </c>
      <c r="AS977" s="27">
        <f t="shared" si="150"/>
        <v>0</v>
      </c>
    </row>
    <row r="978" spans="2:45">
      <c r="B978" s="102" t="str">
        <f>IF(ROW()-6&gt;NumCostCenter,"",IF(CostCenter&lt;&gt;"ALL",CostCenter,DATA_LF2!B976))</f>
        <v/>
      </c>
      <c r="C978" s="153" t="str">
        <f>IF($B978&lt;&gt;"",INDEX(DataOB[],FirstRow+ROW()-7,2),"")</f>
        <v/>
      </c>
      <c r="D978" s="66" t="str">
        <f>IF($B978&lt;&gt;"",INDEX(DataOB[],FirstRow+ROW()-7,3),"")</f>
        <v/>
      </c>
      <c r="E978" s="103" t="str">
        <f>IF($B978&lt;&gt;"",INDEX(DataOB[],FirstRow+ROW()-7,6),"")</f>
        <v/>
      </c>
      <c r="F978" s="103" t="str">
        <f>IF($B978&lt;&gt;"",INDEX(DataOB[],FirstRow+ROW()-7,5),"")</f>
        <v/>
      </c>
      <c r="G978" s="58">
        <f>IF($B978&lt;&gt;"",SUMIFS(DataAct_tbl[AMOUNT],DataAct_tbl[BG CODE],Detail!$D978,DataAct_tbl[MONTH],LEFT(MonthName,3),DataAct_tbl[Dept code],$B978),0)</f>
        <v>0</v>
      </c>
      <c r="H978" s="31" t="str">
        <f t="shared" si="142"/>
        <v/>
      </c>
      <c r="I978" s="28" t="str">
        <f t="shared" si="143"/>
        <v/>
      </c>
      <c r="J978" s="32" t="str">
        <f t="shared" si="144"/>
        <v/>
      </c>
      <c r="K978" s="86"/>
      <c r="L978" s="62">
        <f>IF($B978&lt;&gt;"",SUMIFS(DataAct_tbl[AMOUNT],DataAct_tbl[BG CODE],Detail!$D978,DataAct_tbl[Check Range],"=true",DataAct_tbl[Dept code],$B978),0)</f>
        <v>0</v>
      </c>
      <c r="M978" s="63">
        <f>INDEX($AG$7:$AR$1005,ROW()-6,MATCH(MTD,$AG$6:$AR$6,0))</f>
        <v>0</v>
      </c>
      <c r="N978" s="34">
        <f t="shared" si="145"/>
        <v>0</v>
      </c>
      <c r="O978" s="64" t="str">
        <f t="shared" si="146"/>
        <v xml:space="preserve"> </v>
      </c>
      <c r="Q978" s="97">
        <f t="shared" si="147"/>
        <v>0</v>
      </c>
      <c r="R978" s="96">
        <f t="shared" si="148"/>
        <v>0</v>
      </c>
      <c r="T978" s="67" t="str">
        <f>IF($B978&lt;&gt;"",INDEX(DataOB[],FirstRow+ROW()-7,MATCH(T$6,DataOB[#Headers],0)),"")</f>
        <v/>
      </c>
      <c r="U978" s="67" t="str">
        <f>IF($B978&lt;&gt;"",INDEX(DataOB[],FirstRow+ROW()-7,MATCH(U$6,DataOB[#Headers],0)),"")</f>
        <v/>
      </c>
      <c r="V978" s="67" t="str">
        <f>IF($B978&lt;&gt;"",INDEX(DataOB[],FirstRow+ROW()-7,MATCH(V$6,DataOB[#Headers],0)),"")</f>
        <v/>
      </c>
      <c r="W978" s="67" t="str">
        <f>IF($B978&lt;&gt;"",INDEX(DataOB[],FirstRow+ROW()-7,MATCH(W$6,DataOB[#Headers],0)),"")</f>
        <v/>
      </c>
      <c r="X978" s="67" t="str">
        <f>IF($B978&lt;&gt;"",INDEX(DataOB[],FirstRow+ROW()-7,MATCH(X$6,DataOB[#Headers],0)),"")</f>
        <v/>
      </c>
      <c r="Y978" s="67" t="str">
        <f>IF($B978&lt;&gt;"",INDEX(DataOB[],FirstRow+ROW()-7,MATCH(Y$6,DataOB[#Headers],0)),"")</f>
        <v/>
      </c>
      <c r="Z978" s="67" t="str">
        <f>IF($B978&lt;&gt;"",INDEX(DataOB[],FirstRow+ROW()-7,MATCH(Z$6,DataOB[#Headers],0)),"")</f>
        <v/>
      </c>
      <c r="AA978" s="67" t="str">
        <f>IF($B978&lt;&gt;"",INDEX(DataOB[],FirstRow+ROW()-7,MATCH(AA$6,DataOB[#Headers],0)),"")</f>
        <v/>
      </c>
      <c r="AB978" s="67" t="str">
        <f>IF($B978&lt;&gt;"",INDEX(DataOB[],FirstRow+ROW()-7,MATCH(AB$6,DataOB[#Headers],0)),"")</f>
        <v/>
      </c>
      <c r="AC978" s="67" t="str">
        <f>IF($B978&lt;&gt;"",INDEX(DataOB[],FirstRow+ROW()-7,MATCH(AC$6,DataOB[#Headers],0)),"")</f>
        <v/>
      </c>
      <c r="AD978" s="67" t="str">
        <f>IF($B978&lt;&gt;"",INDEX(DataOB[],FirstRow+ROW()-7,MATCH(AD$6,DataOB[#Headers],0)),"")</f>
        <v/>
      </c>
      <c r="AE978" s="67" t="str">
        <f>IF($B978&lt;&gt;"",INDEX(DataOB[],FirstRow+ROW()-7,MATCH(AE$6,DataOB[#Headers],0)),"")</f>
        <v/>
      </c>
      <c r="AF978" s="26">
        <f t="shared" si="149"/>
        <v>0</v>
      </c>
      <c r="AG978" s="31">
        <f>SUM($T978:T978)</f>
        <v>0</v>
      </c>
      <c r="AH978" s="31">
        <f>SUM($T978:U978)</f>
        <v>0</v>
      </c>
      <c r="AI978" s="31">
        <f>SUM($T978:V978)</f>
        <v>0</v>
      </c>
      <c r="AJ978" s="31">
        <f>SUM($T978:W978)</f>
        <v>0</v>
      </c>
      <c r="AK978" s="31">
        <f>SUM($T978:X978)</f>
        <v>0</v>
      </c>
      <c r="AL978" s="31">
        <f>SUM($T978:Y978)</f>
        <v>0</v>
      </c>
      <c r="AM978" s="31">
        <f>SUM($T978:Z978)</f>
        <v>0</v>
      </c>
      <c r="AN978" s="31">
        <f>SUM($T978:AA978)</f>
        <v>0</v>
      </c>
      <c r="AO978" s="31">
        <f>SUM($T978:AB978)</f>
        <v>0</v>
      </c>
      <c r="AP978" s="31">
        <f>SUM($T978:AC978)</f>
        <v>0</v>
      </c>
      <c r="AQ978" s="31">
        <f>SUM($T978:AD978)</f>
        <v>0</v>
      </c>
      <c r="AR978" s="31">
        <f>SUM($T978:AE978)</f>
        <v>0</v>
      </c>
      <c r="AS978" s="27">
        <f t="shared" si="150"/>
        <v>0</v>
      </c>
    </row>
    <row r="979" spans="2:45">
      <c r="B979" s="102" t="str">
        <f>IF(ROW()-6&gt;NumCostCenter,"",IF(CostCenter&lt;&gt;"ALL",CostCenter,DATA_LF2!B977))</f>
        <v/>
      </c>
      <c r="C979" s="153" t="str">
        <f>IF($B979&lt;&gt;"",INDEX(DataOB[],FirstRow+ROW()-7,2),"")</f>
        <v/>
      </c>
      <c r="D979" s="66" t="str">
        <f>IF($B979&lt;&gt;"",INDEX(DataOB[],FirstRow+ROW()-7,3),"")</f>
        <v/>
      </c>
      <c r="E979" s="103" t="str">
        <f>IF($B979&lt;&gt;"",INDEX(DataOB[],FirstRow+ROW()-7,6),"")</f>
        <v/>
      </c>
      <c r="F979" s="103" t="str">
        <f>IF($B979&lt;&gt;"",INDEX(DataOB[],FirstRow+ROW()-7,5),"")</f>
        <v/>
      </c>
      <c r="G979" s="58">
        <f>IF($B979&lt;&gt;"",SUMIFS(DataAct_tbl[AMOUNT],DataAct_tbl[BG CODE],Detail!$D979,DataAct_tbl[MONTH],LEFT(MonthName,3),DataAct_tbl[Dept code],$B979),0)</f>
        <v>0</v>
      </c>
      <c r="H979" s="31" t="str">
        <f t="shared" si="142"/>
        <v/>
      </c>
      <c r="I979" s="28" t="str">
        <f t="shared" si="143"/>
        <v/>
      </c>
      <c r="J979" s="32" t="str">
        <f t="shared" si="144"/>
        <v/>
      </c>
      <c r="K979" s="86"/>
      <c r="L979" s="62">
        <f>IF($B979&lt;&gt;"",SUMIFS(DataAct_tbl[AMOUNT],DataAct_tbl[BG CODE],Detail!$D979,DataAct_tbl[Check Range],"=true",DataAct_tbl[Dept code],$B979),0)</f>
        <v>0</v>
      </c>
      <c r="M979" s="63">
        <f>INDEX($AG$7:$AR$1005,ROW()-6,MATCH(MTD,$AG$6:$AR$6,0))</f>
        <v>0</v>
      </c>
      <c r="N979" s="34">
        <f t="shared" si="145"/>
        <v>0</v>
      </c>
      <c r="O979" s="64" t="str">
        <f t="shared" si="146"/>
        <v xml:space="preserve"> </v>
      </c>
      <c r="Q979" s="97">
        <f t="shared" si="147"/>
        <v>0</v>
      </c>
      <c r="R979" s="96">
        <f t="shared" si="148"/>
        <v>0</v>
      </c>
      <c r="T979" s="67" t="str">
        <f>IF($B979&lt;&gt;"",INDEX(DataOB[],FirstRow+ROW()-7,MATCH(T$6,DataOB[#Headers],0)),"")</f>
        <v/>
      </c>
      <c r="U979" s="67" t="str">
        <f>IF($B979&lt;&gt;"",INDEX(DataOB[],FirstRow+ROW()-7,MATCH(U$6,DataOB[#Headers],0)),"")</f>
        <v/>
      </c>
      <c r="V979" s="67" t="str">
        <f>IF($B979&lt;&gt;"",INDEX(DataOB[],FirstRow+ROW()-7,MATCH(V$6,DataOB[#Headers],0)),"")</f>
        <v/>
      </c>
      <c r="W979" s="67" t="str">
        <f>IF($B979&lt;&gt;"",INDEX(DataOB[],FirstRow+ROW()-7,MATCH(W$6,DataOB[#Headers],0)),"")</f>
        <v/>
      </c>
      <c r="X979" s="67" t="str">
        <f>IF($B979&lt;&gt;"",INDEX(DataOB[],FirstRow+ROW()-7,MATCH(X$6,DataOB[#Headers],0)),"")</f>
        <v/>
      </c>
      <c r="Y979" s="67" t="str">
        <f>IF($B979&lt;&gt;"",INDEX(DataOB[],FirstRow+ROW()-7,MATCH(Y$6,DataOB[#Headers],0)),"")</f>
        <v/>
      </c>
      <c r="Z979" s="67" t="str">
        <f>IF($B979&lt;&gt;"",INDEX(DataOB[],FirstRow+ROW()-7,MATCH(Z$6,DataOB[#Headers],0)),"")</f>
        <v/>
      </c>
      <c r="AA979" s="67" t="str">
        <f>IF($B979&lt;&gt;"",INDEX(DataOB[],FirstRow+ROW()-7,MATCH(AA$6,DataOB[#Headers],0)),"")</f>
        <v/>
      </c>
      <c r="AB979" s="67" t="str">
        <f>IF($B979&lt;&gt;"",INDEX(DataOB[],FirstRow+ROW()-7,MATCH(AB$6,DataOB[#Headers],0)),"")</f>
        <v/>
      </c>
      <c r="AC979" s="67" t="str">
        <f>IF($B979&lt;&gt;"",INDEX(DataOB[],FirstRow+ROW()-7,MATCH(AC$6,DataOB[#Headers],0)),"")</f>
        <v/>
      </c>
      <c r="AD979" s="67" t="str">
        <f>IF($B979&lt;&gt;"",INDEX(DataOB[],FirstRow+ROW()-7,MATCH(AD$6,DataOB[#Headers],0)),"")</f>
        <v/>
      </c>
      <c r="AE979" s="67" t="str">
        <f>IF($B979&lt;&gt;"",INDEX(DataOB[],FirstRow+ROW()-7,MATCH(AE$6,DataOB[#Headers],0)),"")</f>
        <v/>
      </c>
      <c r="AF979" s="26">
        <f t="shared" si="149"/>
        <v>0</v>
      </c>
      <c r="AG979" s="31">
        <f>SUM($T979:T979)</f>
        <v>0</v>
      </c>
      <c r="AH979" s="31">
        <f>SUM($T979:U979)</f>
        <v>0</v>
      </c>
      <c r="AI979" s="31">
        <f>SUM($T979:V979)</f>
        <v>0</v>
      </c>
      <c r="AJ979" s="31">
        <f>SUM($T979:W979)</f>
        <v>0</v>
      </c>
      <c r="AK979" s="31">
        <f>SUM($T979:X979)</f>
        <v>0</v>
      </c>
      <c r="AL979" s="31">
        <f>SUM($T979:Y979)</f>
        <v>0</v>
      </c>
      <c r="AM979" s="31">
        <f>SUM($T979:Z979)</f>
        <v>0</v>
      </c>
      <c r="AN979" s="31">
        <f>SUM($T979:AA979)</f>
        <v>0</v>
      </c>
      <c r="AO979" s="31">
        <f>SUM($T979:AB979)</f>
        <v>0</v>
      </c>
      <c r="AP979" s="31">
        <f>SUM($T979:AC979)</f>
        <v>0</v>
      </c>
      <c r="AQ979" s="31">
        <f>SUM($T979:AD979)</f>
        <v>0</v>
      </c>
      <c r="AR979" s="31">
        <f>SUM($T979:AE979)</f>
        <v>0</v>
      </c>
      <c r="AS979" s="27">
        <f t="shared" si="150"/>
        <v>0</v>
      </c>
    </row>
    <row r="980" spans="2:45">
      <c r="B980" s="102" t="str">
        <f>IF(ROW()-6&gt;NumCostCenter,"",IF(CostCenter&lt;&gt;"ALL",CostCenter,DATA_LF2!B978))</f>
        <v/>
      </c>
      <c r="C980" s="153" t="str">
        <f>IF($B980&lt;&gt;"",INDEX(DataOB[],FirstRow+ROW()-7,2),"")</f>
        <v/>
      </c>
      <c r="D980" s="66" t="str">
        <f>IF($B980&lt;&gt;"",INDEX(DataOB[],FirstRow+ROW()-7,3),"")</f>
        <v/>
      </c>
      <c r="E980" s="103" t="str">
        <f>IF($B980&lt;&gt;"",INDEX(DataOB[],FirstRow+ROW()-7,6),"")</f>
        <v/>
      </c>
      <c r="F980" s="103" t="str">
        <f>IF($B980&lt;&gt;"",INDEX(DataOB[],FirstRow+ROW()-7,5),"")</f>
        <v/>
      </c>
      <c r="G980" s="58">
        <f>IF($B980&lt;&gt;"",SUMIFS(DataAct_tbl[AMOUNT],DataAct_tbl[BG CODE],Detail!$D980,DataAct_tbl[MONTH],LEFT(MonthName,3),DataAct_tbl[Dept code],$B980),0)</f>
        <v>0</v>
      </c>
      <c r="H980" s="31" t="str">
        <f t="shared" si="142"/>
        <v/>
      </c>
      <c r="I980" s="28" t="str">
        <f t="shared" si="143"/>
        <v/>
      </c>
      <c r="J980" s="32" t="str">
        <f t="shared" si="144"/>
        <v/>
      </c>
      <c r="K980" s="86"/>
      <c r="L980" s="62">
        <f>IF($B980&lt;&gt;"",SUMIFS(DataAct_tbl[AMOUNT],DataAct_tbl[BG CODE],Detail!$D980,DataAct_tbl[Check Range],"=true",DataAct_tbl[Dept code],$B980),0)</f>
        <v>0</v>
      </c>
      <c r="M980" s="63">
        <f>INDEX($AG$7:$AR$1005,ROW()-6,MATCH(MTD,$AG$6:$AR$6,0))</f>
        <v>0</v>
      </c>
      <c r="N980" s="34">
        <f t="shared" si="145"/>
        <v>0</v>
      </c>
      <c r="O980" s="64" t="str">
        <f t="shared" si="146"/>
        <v xml:space="preserve"> </v>
      </c>
      <c r="Q980" s="97">
        <f t="shared" si="147"/>
        <v>0</v>
      </c>
      <c r="R980" s="96">
        <f t="shared" si="148"/>
        <v>0</v>
      </c>
      <c r="T980" s="67" t="str">
        <f>IF($B980&lt;&gt;"",INDEX(DataOB[],FirstRow+ROW()-7,MATCH(T$6,DataOB[#Headers],0)),"")</f>
        <v/>
      </c>
      <c r="U980" s="67" t="str">
        <f>IF($B980&lt;&gt;"",INDEX(DataOB[],FirstRow+ROW()-7,MATCH(U$6,DataOB[#Headers],0)),"")</f>
        <v/>
      </c>
      <c r="V980" s="67" t="str">
        <f>IF($B980&lt;&gt;"",INDEX(DataOB[],FirstRow+ROW()-7,MATCH(V$6,DataOB[#Headers],0)),"")</f>
        <v/>
      </c>
      <c r="W980" s="67" t="str">
        <f>IF($B980&lt;&gt;"",INDEX(DataOB[],FirstRow+ROW()-7,MATCH(W$6,DataOB[#Headers],0)),"")</f>
        <v/>
      </c>
      <c r="X980" s="67" t="str">
        <f>IF($B980&lt;&gt;"",INDEX(DataOB[],FirstRow+ROW()-7,MATCH(X$6,DataOB[#Headers],0)),"")</f>
        <v/>
      </c>
      <c r="Y980" s="67" t="str">
        <f>IF($B980&lt;&gt;"",INDEX(DataOB[],FirstRow+ROW()-7,MATCH(Y$6,DataOB[#Headers],0)),"")</f>
        <v/>
      </c>
      <c r="Z980" s="67" t="str">
        <f>IF($B980&lt;&gt;"",INDEX(DataOB[],FirstRow+ROW()-7,MATCH(Z$6,DataOB[#Headers],0)),"")</f>
        <v/>
      </c>
      <c r="AA980" s="67" t="str">
        <f>IF($B980&lt;&gt;"",INDEX(DataOB[],FirstRow+ROW()-7,MATCH(AA$6,DataOB[#Headers],0)),"")</f>
        <v/>
      </c>
      <c r="AB980" s="67" t="str">
        <f>IF($B980&lt;&gt;"",INDEX(DataOB[],FirstRow+ROW()-7,MATCH(AB$6,DataOB[#Headers],0)),"")</f>
        <v/>
      </c>
      <c r="AC980" s="67" t="str">
        <f>IF($B980&lt;&gt;"",INDEX(DataOB[],FirstRow+ROW()-7,MATCH(AC$6,DataOB[#Headers],0)),"")</f>
        <v/>
      </c>
      <c r="AD980" s="67" t="str">
        <f>IF($B980&lt;&gt;"",INDEX(DataOB[],FirstRow+ROW()-7,MATCH(AD$6,DataOB[#Headers],0)),"")</f>
        <v/>
      </c>
      <c r="AE980" s="67" t="str">
        <f>IF($B980&lt;&gt;"",INDEX(DataOB[],FirstRow+ROW()-7,MATCH(AE$6,DataOB[#Headers],0)),"")</f>
        <v/>
      </c>
      <c r="AF980" s="26">
        <f t="shared" si="149"/>
        <v>0</v>
      </c>
      <c r="AG980" s="31">
        <f>SUM($T980:T980)</f>
        <v>0</v>
      </c>
      <c r="AH980" s="31">
        <f>SUM($T980:U980)</f>
        <v>0</v>
      </c>
      <c r="AI980" s="31">
        <f>SUM($T980:V980)</f>
        <v>0</v>
      </c>
      <c r="AJ980" s="31">
        <f>SUM($T980:W980)</f>
        <v>0</v>
      </c>
      <c r="AK980" s="31">
        <f>SUM($T980:X980)</f>
        <v>0</v>
      </c>
      <c r="AL980" s="31">
        <f>SUM($T980:Y980)</f>
        <v>0</v>
      </c>
      <c r="AM980" s="31">
        <f>SUM($T980:Z980)</f>
        <v>0</v>
      </c>
      <c r="AN980" s="31">
        <f>SUM($T980:AA980)</f>
        <v>0</v>
      </c>
      <c r="AO980" s="31">
        <f>SUM($T980:AB980)</f>
        <v>0</v>
      </c>
      <c r="AP980" s="31">
        <f>SUM($T980:AC980)</f>
        <v>0</v>
      </c>
      <c r="AQ980" s="31">
        <f>SUM($T980:AD980)</f>
        <v>0</v>
      </c>
      <c r="AR980" s="31">
        <f>SUM($T980:AE980)</f>
        <v>0</v>
      </c>
      <c r="AS980" s="27">
        <f t="shared" si="150"/>
        <v>0</v>
      </c>
    </row>
    <row r="981" spans="2:45">
      <c r="B981" s="102" t="str">
        <f>IF(ROW()-6&gt;NumCostCenter,"",IF(CostCenter&lt;&gt;"ALL",CostCenter,DATA_LF2!B979))</f>
        <v/>
      </c>
      <c r="C981" s="153" t="str">
        <f>IF($B981&lt;&gt;"",INDEX(DataOB[],FirstRow+ROW()-7,2),"")</f>
        <v/>
      </c>
      <c r="D981" s="66" t="str">
        <f>IF($B981&lt;&gt;"",INDEX(DataOB[],FirstRow+ROW()-7,3),"")</f>
        <v/>
      </c>
      <c r="E981" s="103" t="str">
        <f>IF($B981&lt;&gt;"",INDEX(DataOB[],FirstRow+ROW()-7,6),"")</f>
        <v/>
      </c>
      <c r="F981" s="103" t="str">
        <f>IF($B981&lt;&gt;"",INDEX(DataOB[],FirstRow+ROW()-7,5),"")</f>
        <v/>
      </c>
      <c r="G981" s="58">
        <f>IF($B981&lt;&gt;"",SUMIFS(DataAct_tbl[AMOUNT],DataAct_tbl[BG CODE],Detail!$D981,DataAct_tbl[MONTH],LEFT(MonthName,3),DataAct_tbl[Dept code],$B981),0)</f>
        <v>0</v>
      </c>
      <c r="H981" s="31" t="str">
        <f t="shared" si="142"/>
        <v/>
      </c>
      <c r="I981" s="28" t="str">
        <f t="shared" si="143"/>
        <v/>
      </c>
      <c r="J981" s="32" t="str">
        <f t="shared" si="144"/>
        <v/>
      </c>
      <c r="K981" s="86"/>
      <c r="L981" s="62">
        <f>IF($B981&lt;&gt;"",SUMIFS(DataAct_tbl[AMOUNT],DataAct_tbl[BG CODE],Detail!$D981,DataAct_tbl[Check Range],"=true",DataAct_tbl[Dept code],$B981),0)</f>
        <v>0</v>
      </c>
      <c r="M981" s="63">
        <f>INDEX($AG$7:$AR$1005,ROW()-6,MATCH(MTD,$AG$6:$AR$6,0))</f>
        <v>0</v>
      </c>
      <c r="N981" s="34">
        <f t="shared" si="145"/>
        <v>0</v>
      </c>
      <c r="O981" s="64" t="str">
        <f t="shared" si="146"/>
        <v xml:space="preserve"> </v>
      </c>
      <c r="Q981" s="97">
        <f t="shared" si="147"/>
        <v>0</v>
      </c>
      <c r="R981" s="96">
        <f t="shared" si="148"/>
        <v>0</v>
      </c>
      <c r="T981" s="67" t="str">
        <f>IF($B981&lt;&gt;"",INDEX(DataOB[],FirstRow+ROW()-7,MATCH(T$6,DataOB[#Headers],0)),"")</f>
        <v/>
      </c>
      <c r="U981" s="67" t="str">
        <f>IF($B981&lt;&gt;"",INDEX(DataOB[],FirstRow+ROW()-7,MATCH(U$6,DataOB[#Headers],0)),"")</f>
        <v/>
      </c>
      <c r="V981" s="67" t="str">
        <f>IF($B981&lt;&gt;"",INDEX(DataOB[],FirstRow+ROW()-7,MATCH(V$6,DataOB[#Headers],0)),"")</f>
        <v/>
      </c>
      <c r="W981" s="67" t="str">
        <f>IF($B981&lt;&gt;"",INDEX(DataOB[],FirstRow+ROW()-7,MATCH(W$6,DataOB[#Headers],0)),"")</f>
        <v/>
      </c>
      <c r="X981" s="67" t="str">
        <f>IF($B981&lt;&gt;"",INDEX(DataOB[],FirstRow+ROW()-7,MATCH(X$6,DataOB[#Headers],0)),"")</f>
        <v/>
      </c>
      <c r="Y981" s="67" t="str">
        <f>IF($B981&lt;&gt;"",INDEX(DataOB[],FirstRow+ROW()-7,MATCH(Y$6,DataOB[#Headers],0)),"")</f>
        <v/>
      </c>
      <c r="Z981" s="67" t="str">
        <f>IF($B981&lt;&gt;"",INDEX(DataOB[],FirstRow+ROW()-7,MATCH(Z$6,DataOB[#Headers],0)),"")</f>
        <v/>
      </c>
      <c r="AA981" s="67" t="str">
        <f>IF($B981&lt;&gt;"",INDEX(DataOB[],FirstRow+ROW()-7,MATCH(AA$6,DataOB[#Headers],0)),"")</f>
        <v/>
      </c>
      <c r="AB981" s="67" t="str">
        <f>IF($B981&lt;&gt;"",INDEX(DataOB[],FirstRow+ROW()-7,MATCH(AB$6,DataOB[#Headers],0)),"")</f>
        <v/>
      </c>
      <c r="AC981" s="67" t="str">
        <f>IF($B981&lt;&gt;"",INDEX(DataOB[],FirstRow+ROW()-7,MATCH(AC$6,DataOB[#Headers],0)),"")</f>
        <v/>
      </c>
      <c r="AD981" s="67" t="str">
        <f>IF($B981&lt;&gt;"",INDEX(DataOB[],FirstRow+ROW()-7,MATCH(AD$6,DataOB[#Headers],0)),"")</f>
        <v/>
      </c>
      <c r="AE981" s="67" t="str">
        <f>IF($B981&lt;&gt;"",INDEX(DataOB[],FirstRow+ROW()-7,MATCH(AE$6,DataOB[#Headers],0)),"")</f>
        <v/>
      </c>
      <c r="AF981" s="26">
        <f t="shared" si="149"/>
        <v>0</v>
      </c>
      <c r="AG981" s="31">
        <f>SUM($T981:T981)</f>
        <v>0</v>
      </c>
      <c r="AH981" s="31">
        <f>SUM($T981:U981)</f>
        <v>0</v>
      </c>
      <c r="AI981" s="31">
        <f>SUM($T981:V981)</f>
        <v>0</v>
      </c>
      <c r="AJ981" s="31">
        <f>SUM($T981:W981)</f>
        <v>0</v>
      </c>
      <c r="AK981" s="31">
        <f>SUM($T981:X981)</f>
        <v>0</v>
      </c>
      <c r="AL981" s="31">
        <f>SUM($T981:Y981)</f>
        <v>0</v>
      </c>
      <c r="AM981" s="31">
        <f>SUM($T981:Z981)</f>
        <v>0</v>
      </c>
      <c r="AN981" s="31">
        <f>SUM($T981:AA981)</f>
        <v>0</v>
      </c>
      <c r="AO981" s="31">
        <f>SUM($T981:AB981)</f>
        <v>0</v>
      </c>
      <c r="AP981" s="31">
        <f>SUM($T981:AC981)</f>
        <v>0</v>
      </c>
      <c r="AQ981" s="31">
        <f>SUM($T981:AD981)</f>
        <v>0</v>
      </c>
      <c r="AR981" s="31">
        <f>SUM($T981:AE981)</f>
        <v>0</v>
      </c>
      <c r="AS981" s="27">
        <f t="shared" si="150"/>
        <v>0</v>
      </c>
    </row>
    <row r="982" spans="2:45">
      <c r="B982" s="102" t="str">
        <f>IF(ROW()-6&gt;NumCostCenter,"",IF(CostCenter&lt;&gt;"ALL",CostCenter,DATA_LF2!B980))</f>
        <v/>
      </c>
      <c r="C982" s="153" t="str">
        <f>IF($B982&lt;&gt;"",INDEX(DataOB[],FirstRow+ROW()-7,2),"")</f>
        <v/>
      </c>
      <c r="D982" s="66" t="str">
        <f>IF($B982&lt;&gt;"",INDEX(DataOB[],FirstRow+ROW()-7,3),"")</f>
        <v/>
      </c>
      <c r="E982" s="103" t="str">
        <f>IF($B982&lt;&gt;"",INDEX(DataOB[],FirstRow+ROW()-7,6),"")</f>
        <v/>
      </c>
      <c r="F982" s="103" t="str">
        <f>IF($B982&lt;&gt;"",INDEX(DataOB[],FirstRow+ROW()-7,5),"")</f>
        <v/>
      </c>
      <c r="G982" s="58">
        <f>IF($B982&lt;&gt;"",SUMIFS(DataAct_tbl[AMOUNT],DataAct_tbl[BG CODE],Detail!$D982,DataAct_tbl[MONTH],LEFT(MonthName,3),DataAct_tbl[Dept code],$B982),0)</f>
        <v>0</v>
      </c>
      <c r="H982" s="31" t="str">
        <f t="shared" si="142"/>
        <v/>
      </c>
      <c r="I982" s="28" t="str">
        <f t="shared" si="143"/>
        <v/>
      </c>
      <c r="J982" s="32" t="str">
        <f t="shared" si="144"/>
        <v/>
      </c>
      <c r="K982" s="86"/>
      <c r="L982" s="62">
        <f>IF($B982&lt;&gt;"",SUMIFS(DataAct_tbl[AMOUNT],DataAct_tbl[BG CODE],Detail!$D982,DataAct_tbl[Check Range],"=true",DataAct_tbl[Dept code],$B982),0)</f>
        <v>0</v>
      </c>
      <c r="M982" s="63">
        <f>INDEX($AG$7:$AR$1005,ROW()-6,MATCH(MTD,$AG$6:$AR$6,0))</f>
        <v>0</v>
      </c>
      <c r="N982" s="34">
        <f t="shared" si="145"/>
        <v>0</v>
      </c>
      <c r="O982" s="64" t="str">
        <f t="shared" si="146"/>
        <v xml:space="preserve"> </v>
      </c>
      <c r="Q982" s="97">
        <f t="shared" si="147"/>
        <v>0</v>
      </c>
      <c r="R982" s="96">
        <f t="shared" si="148"/>
        <v>0</v>
      </c>
      <c r="T982" s="67" t="str">
        <f>IF($B982&lt;&gt;"",INDEX(DataOB[],FirstRow+ROW()-7,MATCH(T$6,DataOB[#Headers],0)),"")</f>
        <v/>
      </c>
      <c r="U982" s="67" t="str">
        <f>IF($B982&lt;&gt;"",INDEX(DataOB[],FirstRow+ROW()-7,MATCH(U$6,DataOB[#Headers],0)),"")</f>
        <v/>
      </c>
      <c r="V982" s="67" t="str">
        <f>IF($B982&lt;&gt;"",INDEX(DataOB[],FirstRow+ROW()-7,MATCH(V$6,DataOB[#Headers],0)),"")</f>
        <v/>
      </c>
      <c r="W982" s="67" t="str">
        <f>IF($B982&lt;&gt;"",INDEX(DataOB[],FirstRow+ROW()-7,MATCH(W$6,DataOB[#Headers],0)),"")</f>
        <v/>
      </c>
      <c r="X982" s="67" t="str">
        <f>IF($B982&lt;&gt;"",INDEX(DataOB[],FirstRow+ROW()-7,MATCH(X$6,DataOB[#Headers],0)),"")</f>
        <v/>
      </c>
      <c r="Y982" s="67" t="str">
        <f>IF($B982&lt;&gt;"",INDEX(DataOB[],FirstRow+ROW()-7,MATCH(Y$6,DataOB[#Headers],0)),"")</f>
        <v/>
      </c>
      <c r="Z982" s="67" t="str">
        <f>IF($B982&lt;&gt;"",INDEX(DataOB[],FirstRow+ROW()-7,MATCH(Z$6,DataOB[#Headers],0)),"")</f>
        <v/>
      </c>
      <c r="AA982" s="67" t="str">
        <f>IF($B982&lt;&gt;"",INDEX(DataOB[],FirstRow+ROW()-7,MATCH(AA$6,DataOB[#Headers],0)),"")</f>
        <v/>
      </c>
      <c r="AB982" s="67" t="str">
        <f>IF($B982&lt;&gt;"",INDEX(DataOB[],FirstRow+ROW()-7,MATCH(AB$6,DataOB[#Headers],0)),"")</f>
        <v/>
      </c>
      <c r="AC982" s="67" t="str">
        <f>IF($B982&lt;&gt;"",INDEX(DataOB[],FirstRow+ROW()-7,MATCH(AC$6,DataOB[#Headers],0)),"")</f>
        <v/>
      </c>
      <c r="AD982" s="67" t="str">
        <f>IF($B982&lt;&gt;"",INDEX(DataOB[],FirstRow+ROW()-7,MATCH(AD$6,DataOB[#Headers],0)),"")</f>
        <v/>
      </c>
      <c r="AE982" s="67" t="str">
        <f>IF($B982&lt;&gt;"",INDEX(DataOB[],FirstRow+ROW()-7,MATCH(AE$6,DataOB[#Headers],0)),"")</f>
        <v/>
      </c>
      <c r="AF982" s="26">
        <f t="shared" si="149"/>
        <v>0</v>
      </c>
      <c r="AG982" s="31">
        <f>SUM($T982:T982)</f>
        <v>0</v>
      </c>
      <c r="AH982" s="31">
        <f>SUM($T982:U982)</f>
        <v>0</v>
      </c>
      <c r="AI982" s="31">
        <f>SUM($T982:V982)</f>
        <v>0</v>
      </c>
      <c r="AJ982" s="31">
        <f>SUM($T982:W982)</f>
        <v>0</v>
      </c>
      <c r="AK982" s="31">
        <f>SUM($T982:X982)</f>
        <v>0</v>
      </c>
      <c r="AL982" s="31">
        <f>SUM($T982:Y982)</f>
        <v>0</v>
      </c>
      <c r="AM982" s="31">
        <f>SUM($T982:Z982)</f>
        <v>0</v>
      </c>
      <c r="AN982" s="31">
        <f>SUM($T982:AA982)</f>
        <v>0</v>
      </c>
      <c r="AO982" s="31">
        <f>SUM($T982:AB982)</f>
        <v>0</v>
      </c>
      <c r="AP982" s="31">
        <f>SUM($T982:AC982)</f>
        <v>0</v>
      </c>
      <c r="AQ982" s="31">
        <f>SUM($T982:AD982)</f>
        <v>0</v>
      </c>
      <c r="AR982" s="31">
        <f>SUM($T982:AE982)</f>
        <v>0</v>
      </c>
      <c r="AS982" s="27">
        <f t="shared" si="150"/>
        <v>0</v>
      </c>
    </row>
    <row r="983" spans="2:45">
      <c r="B983" s="102" t="str">
        <f>IF(ROW()-6&gt;NumCostCenter,"",IF(CostCenter&lt;&gt;"ALL",CostCenter,DATA_LF2!B981))</f>
        <v/>
      </c>
      <c r="C983" s="153" t="str">
        <f>IF($B983&lt;&gt;"",INDEX(DataOB[],FirstRow+ROW()-7,2),"")</f>
        <v/>
      </c>
      <c r="D983" s="66" t="str">
        <f>IF($B983&lt;&gt;"",INDEX(DataOB[],FirstRow+ROW()-7,3),"")</f>
        <v/>
      </c>
      <c r="E983" s="103" t="str">
        <f>IF($B983&lt;&gt;"",INDEX(DataOB[],FirstRow+ROW()-7,6),"")</f>
        <v/>
      </c>
      <c r="F983" s="103" t="str">
        <f>IF($B983&lt;&gt;"",INDEX(DataOB[],FirstRow+ROW()-7,5),"")</f>
        <v/>
      </c>
      <c r="G983" s="58">
        <f>IF($B983&lt;&gt;"",SUMIFS(DataAct_tbl[AMOUNT],DataAct_tbl[BG CODE],Detail!$D983,DataAct_tbl[MONTH],LEFT(MonthName,3),DataAct_tbl[Dept code],$B983),0)</f>
        <v>0</v>
      </c>
      <c r="H983" s="31" t="str">
        <f t="shared" si="142"/>
        <v/>
      </c>
      <c r="I983" s="28" t="str">
        <f t="shared" si="143"/>
        <v/>
      </c>
      <c r="J983" s="32" t="str">
        <f t="shared" si="144"/>
        <v/>
      </c>
      <c r="K983" s="86"/>
      <c r="L983" s="62">
        <f>IF($B983&lt;&gt;"",SUMIFS(DataAct_tbl[AMOUNT],DataAct_tbl[BG CODE],Detail!$D983,DataAct_tbl[Check Range],"=true",DataAct_tbl[Dept code],$B983),0)</f>
        <v>0</v>
      </c>
      <c r="M983" s="63">
        <f>INDEX($AG$7:$AR$1005,ROW()-6,MATCH(MTD,$AG$6:$AR$6,0))</f>
        <v>0</v>
      </c>
      <c r="N983" s="34">
        <f t="shared" si="145"/>
        <v>0</v>
      </c>
      <c r="O983" s="64" t="str">
        <f t="shared" si="146"/>
        <v xml:space="preserve"> </v>
      </c>
      <c r="Q983" s="97">
        <f t="shared" si="147"/>
        <v>0</v>
      </c>
      <c r="R983" s="96">
        <f t="shared" si="148"/>
        <v>0</v>
      </c>
      <c r="T983" s="67" t="str">
        <f>IF($B983&lt;&gt;"",INDEX(DataOB[],FirstRow+ROW()-7,MATCH(T$6,DataOB[#Headers],0)),"")</f>
        <v/>
      </c>
      <c r="U983" s="67" t="str">
        <f>IF($B983&lt;&gt;"",INDEX(DataOB[],FirstRow+ROW()-7,MATCH(U$6,DataOB[#Headers],0)),"")</f>
        <v/>
      </c>
      <c r="V983" s="67" t="str">
        <f>IF($B983&lt;&gt;"",INDEX(DataOB[],FirstRow+ROW()-7,MATCH(V$6,DataOB[#Headers],0)),"")</f>
        <v/>
      </c>
      <c r="W983" s="67" t="str">
        <f>IF($B983&lt;&gt;"",INDEX(DataOB[],FirstRow+ROW()-7,MATCH(W$6,DataOB[#Headers],0)),"")</f>
        <v/>
      </c>
      <c r="X983" s="67" t="str">
        <f>IF($B983&lt;&gt;"",INDEX(DataOB[],FirstRow+ROW()-7,MATCH(X$6,DataOB[#Headers],0)),"")</f>
        <v/>
      </c>
      <c r="Y983" s="67" t="str">
        <f>IF($B983&lt;&gt;"",INDEX(DataOB[],FirstRow+ROW()-7,MATCH(Y$6,DataOB[#Headers],0)),"")</f>
        <v/>
      </c>
      <c r="Z983" s="67" t="str">
        <f>IF($B983&lt;&gt;"",INDEX(DataOB[],FirstRow+ROW()-7,MATCH(Z$6,DataOB[#Headers],0)),"")</f>
        <v/>
      </c>
      <c r="AA983" s="67" t="str">
        <f>IF($B983&lt;&gt;"",INDEX(DataOB[],FirstRow+ROW()-7,MATCH(AA$6,DataOB[#Headers],0)),"")</f>
        <v/>
      </c>
      <c r="AB983" s="67" t="str">
        <f>IF($B983&lt;&gt;"",INDEX(DataOB[],FirstRow+ROW()-7,MATCH(AB$6,DataOB[#Headers],0)),"")</f>
        <v/>
      </c>
      <c r="AC983" s="67" t="str">
        <f>IF($B983&lt;&gt;"",INDEX(DataOB[],FirstRow+ROW()-7,MATCH(AC$6,DataOB[#Headers],0)),"")</f>
        <v/>
      </c>
      <c r="AD983" s="67" t="str">
        <f>IF($B983&lt;&gt;"",INDEX(DataOB[],FirstRow+ROW()-7,MATCH(AD$6,DataOB[#Headers],0)),"")</f>
        <v/>
      </c>
      <c r="AE983" s="67" t="str">
        <f>IF($B983&lt;&gt;"",INDEX(DataOB[],FirstRow+ROW()-7,MATCH(AE$6,DataOB[#Headers],0)),"")</f>
        <v/>
      </c>
      <c r="AF983" s="26">
        <f t="shared" si="149"/>
        <v>0</v>
      </c>
      <c r="AG983" s="31">
        <f>SUM($T983:T983)</f>
        <v>0</v>
      </c>
      <c r="AH983" s="31">
        <f>SUM($T983:U983)</f>
        <v>0</v>
      </c>
      <c r="AI983" s="31">
        <f>SUM($T983:V983)</f>
        <v>0</v>
      </c>
      <c r="AJ983" s="31">
        <f>SUM($T983:W983)</f>
        <v>0</v>
      </c>
      <c r="AK983" s="31">
        <f>SUM($T983:X983)</f>
        <v>0</v>
      </c>
      <c r="AL983" s="31">
        <f>SUM($T983:Y983)</f>
        <v>0</v>
      </c>
      <c r="AM983" s="31">
        <f>SUM($T983:Z983)</f>
        <v>0</v>
      </c>
      <c r="AN983" s="31">
        <f>SUM($T983:AA983)</f>
        <v>0</v>
      </c>
      <c r="AO983" s="31">
        <f>SUM($T983:AB983)</f>
        <v>0</v>
      </c>
      <c r="AP983" s="31">
        <f>SUM($T983:AC983)</f>
        <v>0</v>
      </c>
      <c r="AQ983" s="31">
        <f>SUM($T983:AD983)</f>
        <v>0</v>
      </c>
      <c r="AR983" s="31">
        <f>SUM($T983:AE983)</f>
        <v>0</v>
      </c>
      <c r="AS983" s="27">
        <f t="shared" si="150"/>
        <v>0</v>
      </c>
    </row>
    <row r="984" spans="2:45">
      <c r="B984" s="102" t="str">
        <f>IF(ROW()-6&gt;NumCostCenter,"",IF(CostCenter&lt;&gt;"ALL",CostCenter,DATA_LF2!B982))</f>
        <v/>
      </c>
      <c r="C984" s="153" t="str">
        <f>IF($B984&lt;&gt;"",INDEX(DataOB[],FirstRow+ROW()-7,2),"")</f>
        <v/>
      </c>
      <c r="D984" s="66" t="str">
        <f>IF($B984&lt;&gt;"",INDEX(DataOB[],FirstRow+ROW()-7,3),"")</f>
        <v/>
      </c>
      <c r="E984" s="103" t="str">
        <f>IF($B984&lt;&gt;"",INDEX(DataOB[],FirstRow+ROW()-7,6),"")</f>
        <v/>
      </c>
      <c r="F984" s="103" t="str">
        <f>IF($B984&lt;&gt;"",INDEX(DataOB[],FirstRow+ROW()-7,5),"")</f>
        <v/>
      </c>
      <c r="G984" s="58">
        <f>IF($B984&lt;&gt;"",SUMIFS(DataAct_tbl[AMOUNT],DataAct_tbl[BG CODE],Detail!$D984,DataAct_tbl[MONTH],LEFT(MonthName,3),DataAct_tbl[Dept code],$B984),0)</f>
        <v>0</v>
      </c>
      <c r="H984" s="31" t="str">
        <f t="shared" si="142"/>
        <v/>
      </c>
      <c r="I984" s="28" t="str">
        <f t="shared" si="143"/>
        <v/>
      </c>
      <c r="J984" s="32" t="str">
        <f t="shared" si="144"/>
        <v/>
      </c>
      <c r="K984" s="86"/>
      <c r="L984" s="62">
        <f>IF($B984&lt;&gt;"",SUMIFS(DataAct_tbl[AMOUNT],DataAct_tbl[BG CODE],Detail!$D984,DataAct_tbl[Check Range],"=true",DataAct_tbl[Dept code],$B984),0)</f>
        <v>0</v>
      </c>
      <c r="M984" s="63">
        <f>INDEX($AG$7:$AR$1005,ROW()-6,MATCH(MTD,$AG$6:$AR$6,0))</f>
        <v>0</v>
      </c>
      <c r="N984" s="34">
        <f t="shared" si="145"/>
        <v>0</v>
      </c>
      <c r="O984" s="64" t="str">
        <f t="shared" si="146"/>
        <v xml:space="preserve"> </v>
      </c>
      <c r="Q984" s="97">
        <f t="shared" si="147"/>
        <v>0</v>
      </c>
      <c r="R984" s="96">
        <f t="shared" si="148"/>
        <v>0</v>
      </c>
      <c r="T984" s="67" t="str">
        <f>IF($B984&lt;&gt;"",INDEX(DataOB[],FirstRow+ROW()-7,MATCH(T$6,DataOB[#Headers],0)),"")</f>
        <v/>
      </c>
      <c r="U984" s="67" t="str">
        <f>IF($B984&lt;&gt;"",INDEX(DataOB[],FirstRow+ROW()-7,MATCH(U$6,DataOB[#Headers],0)),"")</f>
        <v/>
      </c>
      <c r="V984" s="67" t="str">
        <f>IF($B984&lt;&gt;"",INDEX(DataOB[],FirstRow+ROW()-7,MATCH(V$6,DataOB[#Headers],0)),"")</f>
        <v/>
      </c>
      <c r="W984" s="67" t="str">
        <f>IF($B984&lt;&gt;"",INDEX(DataOB[],FirstRow+ROW()-7,MATCH(W$6,DataOB[#Headers],0)),"")</f>
        <v/>
      </c>
      <c r="X984" s="67" t="str">
        <f>IF($B984&lt;&gt;"",INDEX(DataOB[],FirstRow+ROW()-7,MATCH(X$6,DataOB[#Headers],0)),"")</f>
        <v/>
      </c>
      <c r="Y984" s="67" t="str">
        <f>IF($B984&lt;&gt;"",INDEX(DataOB[],FirstRow+ROW()-7,MATCH(Y$6,DataOB[#Headers],0)),"")</f>
        <v/>
      </c>
      <c r="Z984" s="67" t="str">
        <f>IF($B984&lt;&gt;"",INDEX(DataOB[],FirstRow+ROW()-7,MATCH(Z$6,DataOB[#Headers],0)),"")</f>
        <v/>
      </c>
      <c r="AA984" s="67" t="str">
        <f>IF($B984&lt;&gt;"",INDEX(DataOB[],FirstRow+ROW()-7,MATCH(AA$6,DataOB[#Headers],0)),"")</f>
        <v/>
      </c>
      <c r="AB984" s="67" t="str">
        <f>IF($B984&lt;&gt;"",INDEX(DataOB[],FirstRow+ROW()-7,MATCH(AB$6,DataOB[#Headers],0)),"")</f>
        <v/>
      </c>
      <c r="AC984" s="67" t="str">
        <f>IF($B984&lt;&gt;"",INDEX(DataOB[],FirstRow+ROW()-7,MATCH(AC$6,DataOB[#Headers],0)),"")</f>
        <v/>
      </c>
      <c r="AD984" s="67" t="str">
        <f>IF($B984&lt;&gt;"",INDEX(DataOB[],FirstRow+ROW()-7,MATCH(AD$6,DataOB[#Headers],0)),"")</f>
        <v/>
      </c>
      <c r="AE984" s="67" t="str">
        <f>IF($B984&lt;&gt;"",INDEX(DataOB[],FirstRow+ROW()-7,MATCH(AE$6,DataOB[#Headers],0)),"")</f>
        <v/>
      </c>
      <c r="AF984" s="26">
        <f t="shared" si="149"/>
        <v>0</v>
      </c>
      <c r="AG984" s="31">
        <f>SUM($T984:T984)</f>
        <v>0</v>
      </c>
      <c r="AH984" s="31">
        <f>SUM($T984:U984)</f>
        <v>0</v>
      </c>
      <c r="AI984" s="31">
        <f>SUM($T984:V984)</f>
        <v>0</v>
      </c>
      <c r="AJ984" s="31">
        <f>SUM($T984:W984)</f>
        <v>0</v>
      </c>
      <c r="AK984" s="31">
        <f>SUM($T984:X984)</f>
        <v>0</v>
      </c>
      <c r="AL984" s="31">
        <f>SUM($T984:Y984)</f>
        <v>0</v>
      </c>
      <c r="AM984" s="31">
        <f>SUM($T984:Z984)</f>
        <v>0</v>
      </c>
      <c r="AN984" s="31">
        <f>SUM($T984:AA984)</f>
        <v>0</v>
      </c>
      <c r="AO984" s="31">
        <f>SUM($T984:AB984)</f>
        <v>0</v>
      </c>
      <c r="AP984" s="31">
        <f>SUM($T984:AC984)</f>
        <v>0</v>
      </c>
      <c r="AQ984" s="31">
        <f>SUM($T984:AD984)</f>
        <v>0</v>
      </c>
      <c r="AR984" s="31">
        <f>SUM($T984:AE984)</f>
        <v>0</v>
      </c>
      <c r="AS984" s="27">
        <f t="shared" si="150"/>
        <v>0</v>
      </c>
    </row>
    <row r="985" spans="2:45">
      <c r="B985" s="102" t="str">
        <f>IF(ROW()-6&gt;NumCostCenter,"",IF(CostCenter&lt;&gt;"ALL",CostCenter,DATA_LF2!B983))</f>
        <v/>
      </c>
      <c r="C985" s="153" t="str">
        <f>IF($B985&lt;&gt;"",INDEX(DataOB[],FirstRow+ROW()-7,2),"")</f>
        <v/>
      </c>
      <c r="D985" s="66" t="str">
        <f>IF($B985&lt;&gt;"",INDEX(DataOB[],FirstRow+ROW()-7,3),"")</f>
        <v/>
      </c>
      <c r="E985" s="103" t="str">
        <f>IF($B985&lt;&gt;"",INDEX(DataOB[],FirstRow+ROW()-7,6),"")</f>
        <v/>
      </c>
      <c r="F985" s="103" t="str">
        <f>IF($B985&lt;&gt;"",INDEX(DataOB[],FirstRow+ROW()-7,5),"")</f>
        <v/>
      </c>
      <c r="G985" s="58">
        <f>IF($B985&lt;&gt;"",SUMIFS(DataAct_tbl[AMOUNT],DataAct_tbl[BG CODE],Detail!$D985,DataAct_tbl[MONTH],LEFT(MonthName,3),DataAct_tbl[Dept code],$B985),0)</f>
        <v>0</v>
      </c>
      <c r="H985" s="31" t="str">
        <f t="shared" si="142"/>
        <v/>
      </c>
      <c r="I985" s="28" t="str">
        <f t="shared" si="143"/>
        <v/>
      </c>
      <c r="J985" s="32" t="str">
        <f t="shared" si="144"/>
        <v/>
      </c>
      <c r="K985" s="86"/>
      <c r="L985" s="62">
        <f>IF($B985&lt;&gt;"",SUMIFS(DataAct_tbl[AMOUNT],DataAct_tbl[BG CODE],Detail!$D985,DataAct_tbl[Check Range],"=true",DataAct_tbl[Dept code],$B985),0)</f>
        <v>0</v>
      </c>
      <c r="M985" s="63">
        <f>INDEX($AG$7:$AR$1005,ROW()-6,MATCH(MTD,$AG$6:$AR$6,0))</f>
        <v>0</v>
      </c>
      <c r="N985" s="34">
        <f t="shared" si="145"/>
        <v>0</v>
      </c>
      <c r="O985" s="64" t="str">
        <f t="shared" si="146"/>
        <v xml:space="preserve"> </v>
      </c>
      <c r="Q985" s="97">
        <f t="shared" si="147"/>
        <v>0</v>
      </c>
      <c r="R985" s="96">
        <f t="shared" si="148"/>
        <v>0</v>
      </c>
      <c r="T985" s="67" t="str">
        <f>IF($B985&lt;&gt;"",INDEX(DataOB[],FirstRow+ROW()-7,MATCH(T$6,DataOB[#Headers],0)),"")</f>
        <v/>
      </c>
      <c r="U985" s="67" t="str">
        <f>IF($B985&lt;&gt;"",INDEX(DataOB[],FirstRow+ROW()-7,MATCH(U$6,DataOB[#Headers],0)),"")</f>
        <v/>
      </c>
      <c r="V985" s="67" t="str">
        <f>IF($B985&lt;&gt;"",INDEX(DataOB[],FirstRow+ROW()-7,MATCH(V$6,DataOB[#Headers],0)),"")</f>
        <v/>
      </c>
      <c r="W985" s="67" t="str">
        <f>IF($B985&lt;&gt;"",INDEX(DataOB[],FirstRow+ROW()-7,MATCH(W$6,DataOB[#Headers],0)),"")</f>
        <v/>
      </c>
      <c r="X985" s="67" t="str">
        <f>IF($B985&lt;&gt;"",INDEX(DataOB[],FirstRow+ROW()-7,MATCH(X$6,DataOB[#Headers],0)),"")</f>
        <v/>
      </c>
      <c r="Y985" s="67" t="str">
        <f>IF($B985&lt;&gt;"",INDEX(DataOB[],FirstRow+ROW()-7,MATCH(Y$6,DataOB[#Headers],0)),"")</f>
        <v/>
      </c>
      <c r="Z985" s="67" t="str">
        <f>IF($B985&lt;&gt;"",INDEX(DataOB[],FirstRow+ROW()-7,MATCH(Z$6,DataOB[#Headers],0)),"")</f>
        <v/>
      </c>
      <c r="AA985" s="67" t="str">
        <f>IF($B985&lt;&gt;"",INDEX(DataOB[],FirstRow+ROW()-7,MATCH(AA$6,DataOB[#Headers],0)),"")</f>
        <v/>
      </c>
      <c r="AB985" s="67" t="str">
        <f>IF($B985&lt;&gt;"",INDEX(DataOB[],FirstRow+ROW()-7,MATCH(AB$6,DataOB[#Headers],0)),"")</f>
        <v/>
      </c>
      <c r="AC985" s="67" t="str">
        <f>IF($B985&lt;&gt;"",INDEX(DataOB[],FirstRow+ROW()-7,MATCH(AC$6,DataOB[#Headers],0)),"")</f>
        <v/>
      </c>
      <c r="AD985" s="67" t="str">
        <f>IF($B985&lt;&gt;"",INDEX(DataOB[],FirstRow+ROW()-7,MATCH(AD$6,DataOB[#Headers],0)),"")</f>
        <v/>
      </c>
      <c r="AE985" s="67" t="str">
        <f>IF($B985&lt;&gt;"",INDEX(DataOB[],FirstRow+ROW()-7,MATCH(AE$6,DataOB[#Headers],0)),"")</f>
        <v/>
      </c>
      <c r="AF985" s="26">
        <f t="shared" si="149"/>
        <v>0</v>
      </c>
      <c r="AG985" s="31">
        <f>SUM($T985:T985)</f>
        <v>0</v>
      </c>
      <c r="AH985" s="31">
        <f>SUM($T985:U985)</f>
        <v>0</v>
      </c>
      <c r="AI985" s="31">
        <f>SUM($T985:V985)</f>
        <v>0</v>
      </c>
      <c r="AJ985" s="31">
        <f>SUM($T985:W985)</f>
        <v>0</v>
      </c>
      <c r="AK985" s="31">
        <f>SUM($T985:X985)</f>
        <v>0</v>
      </c>
      <c r="AL985" s="31">
        <f>SUM($T985:Y985)</f>
        <v>0</v>
      </c>
      <c r="AM985" s="31">
        <f>SUM($T985:Z985)</f>
        <v>0</v>
      </c>
      <c r="AN985" s="31">
        <f>SUM($T985:AA985)</f>
        <v>0</v>
      </c>
      <c r="AO985" s="31">
        <f>SUM($T985:AB985)</f>
        <v>0</v>
      </c>
      <c r="AP985" s="31">
        <f>SUM($T985:AC985)</f>
        <v>0</v>
      </c>
      <c r="AQ985" s="31">
        <f>SUM($T985:AD985)</f>
        <v>0</v>
      </c>
      <c r="AR985" s="31">
        <f>SUM($T985:AE985)</f>
        <v>0</v>
      </c>
      <c r="AS985" s="27">
        <f t="shared" si="150"/>
        <v>0</v>
      </c>
    </row>
    <row r="986" spans="2:45">
      <c r="B986" s="102" t="str">
        <f>IF(ROW()-6&gt;NumCostCenter,"",IF(CostCenter&lt;&gt;"ALL",CostCenter,DATA_LF2!B984))</f>
        <v/>
      </c>
      <c r="C986" s="153" t="str">
        <f>IF($B986&lt;&gt;"",INDEX(DataOB[],FirstRow+ROW()-7,2),"")</f>
        <v/>
      </c>
      <c r="D986" s="66" t="str">
        <f>IF($B986&lt;&gt;"",INDEX(DataOB[],FirstRow+ROW()-7,3),"")</f>
        <v/>
      </c>
      <c r="E986" s="103" t="str">
        <f>IF($B986&lt;&gt;"",INDEX(DataOB[],FirstRow+ROW()-7,6),"")</f>
        <v/>
      </c>
      <c r="F986" s="103" t="str">
        <f>IF($B986&lt;&gt;"",INDEX(DataOB[],FirstRow+ROW()-7,5),"")</f>
        <v/>
      </c>
      <c r="G986" s="58">
        <f>IF($B986&lt;&gt;"",SUMIFS(DataAct_tbl[AMOUNT],DataAct_tbl[BG CODE],Detail!$D986,DataAct_tbl[MONTH],LEFT(MonthName,3),DataAct_tbl[Dept code],$B986),0)</f>
        <v>0</v>
      </c>
      <c r="H986" s="31" t="str">
        <f t="shared" si="142"/>
        <v/>
      </c>
      <c r="I986" s="28" t="str">
        <f t="shared" si="143"/>
        <v/>
      </c>
      <c r="J986" s="32" t="str">
        <f t="shared" si="144"/>
        <v/>
      </c>
      <c r="K986" s="86"/>
      <c r="L986" s="62">
        <f>IF($B986&lt;&gt;"",SUMIFS(DataAct_tbl[AMOUNT],DataAct_tbl[BG CODE],Detail!$D986,DataAct_tbl[Check Range],"=true",DataAct_tbl[Dept code],$B986),0)</f>
        <v>0</v>
      </c>
      <c r="M986" s="63">
        <f>INDEX($AG$7:$AR$1005,ROW()-6,MATCH(MTD,$AG$6:$AR$6,0))</f>
        <v>0</v>
      </c>
      <c r="N986" s="34">
        <f t="shared" si="145"/>
        <v>0</v>
      </c>
      <c r="O986" s="64" t="str">
        <f t="shared" si="146"/>
        <v xml:space="preserve"> </v>
      </c>
      <c r="Q986" s="97">
        <f t="shared" si="147"/>
        <v>0</v>
      </c>
      <c r="R986" s="96">
        <f t="shared" si="148"/>
        <v>0</v>
      </c>
      <c r="T986" s="67" t="str">
        <f>IF($B986&lt;&gt;"",INDEX(DataOB[],FirstRow+ROW()-7,MATCH(T$6,DataOB[#Headers],0)),"")</f>
        <v/>
      </c>
      <c r="U986" s="67" t="str">
        <f>IF($B986&lt;&gt;"",INDEX(DataOB[],FirstRow+ROW()-7,MATCH(U$6,DataOB[#Headers],0)),"")</f>
        <v/>
      </c>
      <c r="V986" s="67" t="str">
        <f>IF($B986&lt;&gt;"",INDEX(DataOB[],FirstRow+ROW()-7,MATCH(V$6,DataOB[#Headers],0)),"")</f>
        <v/>
      </c>
      <c r="W986" s="67" t="str">
        <f>IF($B986&lt;&gt;"",INDEX(DataOB[],FirstRow+ROW()-7,MATCH(W$6,DataOB[#Headers],0)),"")</f>
        <v/>
      </c>
      <c r="X986" s="67" t="str">
        <f>IF($B986&lt;&gt;"",INDEX(DataOB[],FirstRow+ROW()-7,MATCH(X$6,DataOB[#Headers],0)),"")</f>
        <v/>
      </c>
      <c r="Y986" s="67" t="str">
        <f>IF($B986&lt;&gt;"",INDEX(DataOB[],FirstRow+ROW()-7,MATCH(Y$6,DataOB[#Headers],0)),"")</f>
        <v/>
      </c>
      <c r="Z986" s="67" t="str">
        <f>IF($B986&lt;&gt;"",INDEX(DataOB[],FirstRow+ROW()-7,MATCH(Z$6,DataOB[#Headers],0)),"")</f>
        <v/>
      </c>
      <c r="AA986" s="67" t="str">
        <f>IF($B986&lt;&gt;"",INDEX(DataOB[],FirstRow+ROW()-7,MATCH(AA$6,DataOB[#Headers],0)),"")</f>
        <v/>
      </c>
      <c r="AB986" s="67" t="str">
        <f>IF($B986&lt;&gt;"",INDEX(DataOB[],FirstRow+ROW()-7,MATCH(AB$6,DataOB[#Headers],0)),"")</f>
        <v/>
      </c>
      <c r="AC986" s="67" t="str">
        <f>IF($B986&lt;&gt;"",INDEX(DataOB[],FirstRow+ROW()-7,MATCH(AC$6,DataOB[#Headers],0)),"")</f>
        <v/>
      </c>
      <c r="AD986" s="67" t="str">
        <f>IF($B986&lt;&gt;"",INDEX(DataOB[],FirstRow+ROW()-7,MATCH(AD$6,DataOB[#Headers],0)),"")</f>
        <v/>
      </c>
      <c r="AE986" s="67" t="str">
        <f>IF($B986&lt;&gt;"",INDEX(DataOB[],FirstRow+ROW()-7,MATCH(AE$6,DataOB[#Headers],0)),"")</f>
        <v/>
      </c>
      <c r="AF986" s="26">
        <f t="shared" si="149"/>
        <v>0</v>
      </c>
      <c r="AG986" s="31">
        <f>SUM($T986:T986)</f>
        <v>0</v>
      </c>
      <c r="AH986" s="31">
        <f>SUM($T986:U986)</f>
        <v>0</v>
      </c>
      <c r="AI986" s="31">
        <f>SUM($T986:V986)</f>
        <v>0</v>
      </c>
      <c r="AJ986" s="31">
        <f>SUM($T986:W986)</f>
        <v>0</v>
      </c>
      <c r="AK986" s="31">
        <f>SUM($T986:X986)</f>
        <v>0</v>
      </c>
      <c r="AL986" s="31">
        <f>SUM($T986:Y986)</f>
        <v>0</v>
      </c>
      <c r="AM986" s="31">
        <f>SUM($T986:Z986)</f>
        <v>0</v>
      </c>
      <c r="AN986" s="31">
        <f>SUM($T986:AA986)</f>
        <v>0</v>
      </c>
      <c r="AO986" s="31">
        <f>SUM($T986:AB986)</f>
        <v>0</v>
      </c>
      <c r="AP986" s="31">
        <f>SUM($T986:AC986)</f>
        <v>0</v>
      </c>
      <c r="AQ986" s="31">
        <f>SUM($T986:AD986)</f>
        <v>0</v>
      </c>
      <c r="AR986" s="31">
        <f>SUM($T986:AE986)</f>
        <v>0</v>
      </c>
      <c r="AS986" s="27">
        <f t="shared" si="150"/>
        <v>0</v>
      </c>
    </row>
    <row r="987" spans="2:45">
      <c r="B987" s="102" t="str">
        <f>IF(ROW()-6&gt;NumCostCenter,"",IF(CostCenter&lt;&gt;"ALL",CostCenter,DATA_LF2!B985))</f>
        <v/>
      </c>
      <c r="C987" s="153" t="str">
        <f>IF($B987&lt;&gt;"",INDEX(DataOB[],FirstRow+ROW()-7,2),"")</f>
        <v/>
      </c>
      <c r="D987" s="66" t="str">
        <f>IF($B987&lt;&gt;"",INDEX(DataOB[],FirstRow+ROW()-7,3),"")</f>
        <v/>
      </c>
      <c r="E987" s="103" t="str">
        <f>IF($B987&lt;&gt;"",INDEX(DataOB[],FirstRow+ROW()-7,6),"")</f>
        <v/>
      </c>
      <c r="F987" s="103" t="str">
        <f>IF($B987&lt;&gt;"",INDEX(DataOB[],FirstRow+ROW()-7,5),"")</f>
        <v/>
      </c>
      <c r="G987" s="58">
        <f>IF($B987&lt;&gt;"",SUMIFS(DataAct_tbl[AMOUNT],DataAct_tbl[BG CODE],Detail!$D987,DataAct_tbl[MONTH],LEFT(MonthName,3),DataAct_tbl[Dept code],$B987),0)</f>
        <v>0</v>
      </c>
      <c r="H987" s="31" t="str">
        <f t="shared" si="142"/>
        <v/>
      </c>
      <c r="I987" s="28" t="str">
        <f t="shared" si="143"/>
        <v/>
      </c>
      <c r="J987" s="32" t="str">
        <f t="shared" si="144"/>
        <v/>
      </c>
      <c r="K987" s="86"/>
      <c r="L987" s="62">
        <f>IF($B987&lt;&gt;"",SUMIFS(DataAct_tbl[AMOUNT],DataAct_tbl[BG CODE],Detail!$D987,DataAct_tbl[Check Range],"=true",DataAct_tbl[Dept code],$B987),0)</f>
        <v>0</v>
      </c>
      <c r="M987" s="63">
        <f>INDEX($AG$7:$AR$1005,ROW()-6,MATCH(MTD,$AG$6:$AR$6,0))</f>
        <v>0</v>
      </c>
      <c r="N987" s="34">
        <f t="shared" si="145"/>
        <v>0</v>
      </c>
      <c r="O987" s="64" t="str">
        <f t="shared" si="146"/>
        <v xml:space="preserve"> </v>
      </c>
      <c r="Q987" s="97">
        <f t="shared" si="147"/>
        <v>0</v>
      </c>
      <c r="R987" s="96">
        <f t="shared" si="148"/>
        <v>0</v>
      </c>
      <c r="T987" s="67" t="str">
        <f>IF($B987&lt;&gt;"",INDEX(DataOB[],FirstRow+ROW()-7,MATCH(T$6,DataOB[#Headers],0)),"")</f>
        <v/>
      </c>
      <c r="U987" s="67" t="str">
        <f>IF($B987&lt;&gt;"",INDEX(DataOB[],FirstRow+ROW()-7,MATCH(U$6,DataOB[#Headers],0)),"")</f>
        <v/>
      </c>
      <c r="V987" s="67" t="str">
        <f>IF($B987&lt;&gt;"",INDEX(DataOB[],FirstRow+ROW()-7,MATCH(V$6,DataOB[#Headers],0)),"")</f>
        <v/>
      </c>
      <c r="W987" s="67" t="str">
        <f>IF($B987&lt;&gt;"",INDEX(DataOB[],FirstRow+ROW()-7,MATCH(W$6,DataOB[#Headers],0)),"")</f>
        <v/>
      </c>
      <c r="X987" s="67" t="str">
        <f>IF($B987&lt;&gt;"",INDEX(DataOB[],FirstRow+ROW()-7,MATCH(X$6,DataOB[#Headers],0)),"")</f>
        <v/>
      </c>
      <c r="Y987" s="67" t="str">
        <f>IF($B987&lt;&gt;"",INDEX(DataOB[],FirstRow+ROW()-7,MATCH(Y$6,DataOB[#Headers],0)),"")</f>
        <v/>
      </c>
      <c r="Z987" s="67" t="str">
        <f>IF($B987&lt;&gt;"",INDEX(DataOB[],FirstRow+ROW()-7,MATCH(Z$6,DataOB[#Headers],0)),"")</f>
        <v/>
      </c>
      <c r="AA987" s="67" t="str">
        <f>IF($B987&lt;&gt;"",INDEX(DataOB[],FirstRow+ROW()-7,MATCH(AA$6,DataOB[#Headers],0)),"")</f>
        <v/>
      </c>
      <c r="AB987" s="67" t="str">
        <f>IF($B987&lt;&gt;"",INDEX(DataOB[],FirstRow+ROW()-7,MATCH(AB$6,DataOB[#Headers],0)),"")</f>
        <v/>
      </c>
      <c r="AC987" s="67" t="str">
        <f>IF($B987&lt;&gt;"",INDEX(DataOB[],FirstRow+ROW()-7,MATCH(AC$6,DataOB[#Headers],0)),"")</f>
        <v/>
      </c>
      <c r="AD987" s="67" t="str">
        <f>IF($B987&lt;&gt;"",INDEX(DataOB[],FirstRow+ROW()-7,MATCH(AD$6,DataOB[#Headers],0)),"")</f>
        <v/>
      </c>
      <c r="AE987" s="67" t="str">
        <f>IF($B987&lt;&gt;"",INDEX(DataOB[],FirstRow+ROW()-7,MATCH(AE$6,DataOB[#Headers],0)),"")</f>
        <v/>
      </c>
      <c r="AF987" s="26">
        <f t="shared" si="149"/>
        <v>0</v>
      </c>
      <c r="AG987" s="31">
        <f>SUM($T987:T987)</f>
        <v>0</v>
      </c>
      <c r="AH987" s="31">
        <f>SUM($T987:U987)</f>
        <v>0</v>
      </c>
      <c r="AI987" s="31">
        <f>SUM($T987:V987)</f>
        <v>0</v>
      </c>
      <c r="AJ987" s="31">
        <f>SUM($T987:W987)</f>
        <v>0</v>
      </c>
      <c r="AK987" s="31">
        <f>SUM($T987:X987)</f>
        <v>0</v>
      </c>
      <c r="AL987" s="31">
        <f>SUM($T987:Y987)</f>
        <v>0</v>
      </c>
      <c r="AM987" s="31">
        <f>SUM($T987:Z987)</f>
        <v>0</v>
      </c>
      <c r="AN987" s="31">
        <f>SUM($T987:AA987)</f>
        <v>0</v>
      </c>
      <c r="AO987" s="31">
        <f>SUM($T987:AB987)</f>
        <v>0</v>
      </c>
      <c r="AP987" s="31">
        <f>SUM($T987:AC987)</f>
        <v>0</v>
      </c>
      <c r="AQ987" s="31">
        <f>SUM($T987:AD987)</f>
        <v>0</v>
      </c>
      <c r="AR987" s="31">
        <f>SUM($T987:AE987)</f>
        <v>0</v>
      </c>
      <c r="AS987" s="27">
        <f t="shared" si="150"/>
        <v>0</v>
      </c>
    </row>
    <row r="988" spans="2:45">
      <c r="B988" s="102" t="str">
        <f>IF(ROW()-6&gt;NumCostCenter,"",IF(CostCenter&lt;&gt;"ALL",CostCenter,DATA_LF2!B986))</f>
        <v/>
      </c>
      <c r="C988" s="153" t="str">
        <f>IF($B988&lt;&gt;"",INDEX(DataOB[],FirstRow+ROW()-7,2),"")</f>
        <v/>
      </c>
      <c r="D988" s="66" t="str">
        <f>IF($B988&lt;&gt;"",INDEX(DataOB[],FirstRow+ROW()-7,3),"")</f>
        <v/>
      </c>
      <c r="E988" s="103" t="str">
        <f>IF($B988&lt;&gt;"",INDEX(DataOB[],FirstRow+ROW()-7,6),"")</f>
        <v/>
      </c>
      <c r="F988" s="103" t="str">
        <f>IF($B988&lt;&gt;"",INDEX(DataOB[],FirstRow+ROW()-7,5),"")</f>
        <v/>
      </c>
      <c r="G988" s="58">
        <f>IF($B988&lt;&gt;"",SUMIFS(DataAct_tbl[AMOUNT],DataAct_tbl[BG CODE],Detail!$D988,DataAct_tbl[MONTH],LEFT(MonthName,3),DataAct_tbl[Dept code],$B988),0)</f>
        <v>0</v>
      </c>
      <c r="H988" s="31" t="str">
        <f t="shared" si="142"/>
        <v/>
      </c>
      <c r="I988" s="28" t="str">
        <f t="shared" si="143"/>
        <v/>
      </c>
      <c r="J988" s="32" t="str">
        <f t="shared" si="144"/>
        <v/>
      </c>
      <c r="K988" s="86"/>
      <c r="L988" s="62">
        <f>IF($B988&lt;&gt;"",SUMIFS(DataAct_tbl[AMOUNT],DataAct_tbl[BG CODE],Detail!$D988,DataAct_tbl[Check Range],"=true",DataAct_tbl[Dept code],$B988),0)</f>
        <v>0</v>
      </c>
      <c r="M988" s="63">
        <f>INDEX($AG$7:$AR$1005,ROW()-6,MATCH(MTD,$AG$6:$AR$6,0))</f>
        <v>0</v>
      </c>
      <c r="N988" s="34">
        <f t="shared" si="145"/>
        <v>0</v>
      </c>
      <c r="O988" s="64" t="str">
        <f t="shared" si="146"/>
        <v xml:space="preserve"> </v>
      </c>
      <c r="Q988" s="97">
        <f t="shared" si="147"/>
        <v>0</v>
      </c>
      <c r="R988" s="96">
        <f t="shared" si="148"/>
        <v>0</v>
      </c>
      <c r="T988" s="67" t="str">
        <f>IF($B988&lt;&gt;"",INDEX(DataOB[],FirstRow+ROW()-7,MATCH(T$6,DataOB[#Headers],0)),"")</f>
        <v/>
      </c>
      <c r="U988" s="67" t="str">
        <f>IF($B988&lt;&gt;"",INDEX(DataOB[],FirstRow+ROW()-7,MATCH(U$6,DataOB[#Headers],0)),"")</f>
        <v/>
      </c>
      <c r="V988" s="67" t="str">
        <f>IF($B988&lt;&gt;"",INDEX(DataOB[],FirstRow+ROW()-7,MATCH(V$6,DataOB[#Headers],0)),"")</f>
        <v/>
      </c>
      <c r="W988" s="67" t="str">
        <f>IF($B988&lt;&gt;"",INDEX(DataOB[],FirstRow+ROW()-7,MATCH(W$6,DataOB[#Headers],0)),"")</f>
        <v/>
      </c>
      <c r="X988" s="67" t="str">
        <f>IF($B988&lt;&gt;"",INDEX(DataOB[],FirstRow+ROW()-7,MATCH(X$6,DataOB[#Headers],0)),"")</f>
        <v/>
      </c>
      <c r="Y988" s="67" t="str">
        <f>IF($B988&lt;&gt;"",INDEX(DataOB[],FirstRow+ROW()-7,MATCH(Y$6,DataOB[#Headers],0)),"")</f>
        <v/>
      </c>
      <c r="Z988" s="67" t="str">
        <f>IF($B988&lt;&gt;"",INDEX(DataOB[],FirstRow+ROW()-7,MATCH(Z$6,DataOB[#Headers],0)),"")</f>
        <v/>
      </c>
      <c r="AA988" s="67" t="str">
        <f>IF($B988&lt;&gt;"",INDEX(DataOB[],FirstRow+ROW()-7,MATCH(AA$6,DataOB[#Headers],0)),"")</f>
        <v/>
      </c>
      <c r="AB988" s="67" t="str">
        <f>IF($B988&lt;&gt;"",INDEX(DataOB[],FirstRow+ROW()-7,MATCH(AB$6,DataOB[#Headers],0)),"")</f>
        <v/>
      </c>
      <c r="AC988" s="67" t="str">
        <f>IF($B988&lt;&gt;"",INDEX(DataOB[],FirstRow+ROW()-7,MATCH(AC$6,DataOB[#Headers],0)),"")</f>
        <v/>
      </c>
      <c r="AD988" s="67" t="str">
        <f>IF($B988&lt;&gt;"",INDEX(DataOB[],FirstRow+ROW()-7,MATCH(AD$6,DataOB[#Headers],0)),"")</f>
        <v/>
      </c>
      <c r="AE988" s="67" t="str">
        <f>IF($B988&lt;&gt;"",INDEX(DataOB[],FirstRow+ROW()-7,MATCH(AE$6,DataOB[#Headers],0)),"")</f>
        <v/>
      </c>
      <c r="AF988" s="26">
        <f t="shared" si="149"/>
        <v>0</v>
      </c>
      <c r="AG988" s="31">
        <f>SUM($T988:T988)</f>
        <v>0</v>
      </c>
      <c r="AH988" s="31">
        <f>SUM($T988:U988)</f>
        <v>0</v>
      </c>
      <c r="AI988" s="31">
        <f>SUM($T988:V988)</f>
        <v>0</v>
      </c>
      <c r="AJ988" s="31">
        <f>SUM($T988:W988)</f>
        <v>0</v>
      </c>
      <c r="AK988" s="31">
        <f>SUM($T988:X988)</f>
        <v>0</v>
      </c>
      <c r="AL988" s="31">
        <f>SUM($T988:Y988)</f>
        <v>0</v>
      </c>
      <c r="AM988" s="31">
        <f>SUM($T988:Z988)</f>
        <v>0</v>
      </c>
      <c r="AN988" s="31">
        <f>SUM($T988:AA988)</f>
        <v>0</v>
      </c>
      <c r="AO988" s="31">
        <f>SUM($T988:AB988)</f>
        <v>0</v>
      </c>
      <c r="AP988" s="31">
        <f>SUM($T988:AC988)</f>
        <v>0</v>
      </c>
      <c r="AQ988" s="31">
        <f>SUM($T988:AD988)</f>
        <v>0</v>
      </c>
      <c r="AR988" s="31">
        <f>SUM($T988:AE988)</f>
        <v>0</v>
      </c>
      <c r="AS988" s="27">
        <f t="shared" si="150"/>
        <v>0</v>
      </c>
    </row>
    <row r="989" spans="2:45">
      <c r="B989" s="102" t="str">
        <f>IF(ROW()-6&gt;NumCostCenter,"",IF(CostCenter&lt;&gt;"ALL",CostCenter,DATA_LF2!B987))</f>
        <v/>
      </c>
      <c r="C989" s="153" t="str">
        <f>IF($B989&lt;&gt;"",INDEX(DataOB[],FirstRow+ROW()-7,2),"")</f>
        <v/>
      </c>
      <c r="D989" s="66" t="str">
        <f>IF($B989&lt;&gt;"",INDEX(DataOB[],FirstRow+ROW()-7,3),"")</f>
        <v/>
      </c>
      <c r="E989" s="103" t="str">
        <f>IF($B989&lt;&gt;"",INDEX(DataOB[],FirstRow+ROW()-7,6),"")</f>
        <v/>
      </c>
      <c r="F989" s="103" t="str">
        <f>IF($B989&lt;&gt;"",INDEX(DataOB[],FirstRow+ROW()-7,5),"")</f>
        <v/>
      </c>
      <c r="G989" s="58">
        <f>IF($B989&lt;&gt;"",SUMIFS(DataAct_tbl[AMOUNT],DataAct_tbl[BG CODE],Detail!$D989,DataAct_tbl[MONTH],LEFT(MonthName,3),DataAct_tbl[Dept code],$B989),0)</f>
        <v>0</v>
      </c>
      <c r="H989" s="31" t="str">
        <f t="shared" si="142"/>
        <v/>
      </c>
      <c r="I989" s="28" t="str">
        <f t="shared" si="143"/>
        <v/>
      </c>
      <c r="J989" s="32" t="str">
        <f t="shared" si="144"/>
        <v/>
      </c>
      <c r="K989" s="86"/>
      <c r="L989" s="62">
        <f>IF($B989&lt;&gt;"",SUMIFS(DataAct_tbl[AMOUNT],DataAct_tbl[BG CODE],Detail!$D989,DataAct_tbl[Check Range],"=true",DataAct_tbl[Dept code],$B989),0)</f>
        <v>0</v>
      </c>
      <c r="M989" s="63">
        <f>INDEX($AG$7:$AR$1005,ROW()-6,MATCH(MTD,$AG$6:$AR$6,0))</f>
        <v>0</v>
      </c>
      <c r="N989" s="34">
        <f t="shared" si="145"/>
        <v>0</v>
      </c>
      <c r="O989" s="64" t="str">
        <f t="shared" si="146"/>
        <v xml:space="preserve"> </v>
      </c>
      <c r="Q989" s="97">
        <f t="shared" si="147"/>
        <v>0</v>
      </c>
      <c r="R989" s="96">
        <f t="shared" si="148"/>
        <v>0</v>
      </c>
      <c r="T989" s="67" t="str">
        <f>IF($B989&lt;&gt;"",INDEX(DataOB[],FirstRow+ROW()-7,MATCH(T$6,DataOB[#Headers],0)),"")</f>
        <v/>
      </c>
      <c r="U989" s="67" t="str">
        <f>IF($B989&lt;&gt;"",INDEX(DataOB[],FirstRow+ROW()-7,MATCH(U$6,DataOB[#Headers],0)),"")</f>
        <v/>
      </c>
      <c r="V989" s="67" t="str">
        <f>IF($B989&lt;&gt;"",INDEX(DataOB[],FirstRow+ROW()-7,MATCH(V$6,DataOB[#Headers],0)),"")</f>
        <v/>
      </c>
      <c r="W989" s="67" t="str">
        <f>IF($B989&lt;&gt;"",INDEX(DataOB[],FirstRow+ROW()-7,MATCH(W$6,DataOB[#Headers],0)),"")</f>
        <v/>
      </c>
      <c r="X989" s="67" t="str">
        <f>IF($B989&lt;&gt;"",INDEX(DataOB[],FirstRow+ROW()-7,MATCH(X$6,DataOB[#Headers],0)),"")</f>
        <v/>
      </c>
      <c r="Y989" s="67" t="str">
        <f>IF($B989&lt;&gt;"",INDEX(DataOB[],FirstRow+ROW()-7,MATCH(Y$6,DataOB[#Headers],0)),"")</f>
        <v/>
      </c>
      <c r="Z989" s="67" t="str">
        <f>IF($B989&lt;&gt;"",INDEX(DataOB[],FirstRow+ROW()-7,MATCH(Z$6,DataOB[#Headers],0)),"")</f>
        <v/>
      </c>
      <c r="AA989" s="67" t="str">
        <f>IF($B989&lt;&gt;"",INDEX(DataOB[],FirstRow+ROW()-7,MATCH(AA$6,DataOB[#Headers],0)),"")</f>
        <v/>
      </c>
      <c r="AB989" s="67" t="str">
        <f>IF($B989&lt;&gt;"",INDEX(DataOB[],FirstRow+ROW()-7,MATCH(AB$6,DataOB[#Headers],0)),"")</f>
        <v/>
      </c>
      <c r="AC989" s="67" t="str">
        <f>IF($B989&lt;&gt;"",INDEX(DataOB[],FirstRow+ROW()-7,MATCH(AC$6,DataOB[#Headers],0)),"")</f>
        <v/>
      </c>
      <c r="AD989" s="67" t="str">
        <f>IF($B989&lt;&gt;"",INDEX(DataOB[],FirstRow+ROW()-7,MATCH(AD$6,DataOB[#Headers],0)),"")</f>
        <v/>
      </c>
      <c r="AE989" s="67" t="str">
        <f>IF($B989&lt;&gt;"",INDEX(DataOB[],FirstRow+ROW()-7,MATCH(AE$6,DataOB[#Headers],0)),"")</f>
        <v/>
      </c>
      <c r="AF989" s="26">
        <f t="shared" si="149"/>
        <v>0</v>
      </c>
      <c r="AG989" s="31">
        <f>SUM($T989:T989)</f>
        <v>0</v>
      </c>
      <c r="AH989" s="31">
        <f>SUM($T989:U989)</f>
        <v>0</v>
      </c>
      <c r="AI989" s="31">
        <f>SUM($T989:V989)</f>
        <v>0</v>
      </c>
      <c r="AJ989" s="31">
        <f>SUM($T989:W989)</f>
        <v>0</v>
      </c>
      <c r="AK989" s="31">
        <f>SUM($T989:X989)</f>
        <v>0</v>
      </c>
      <c r="AL989" s="31">
        <f>SUM($T989:Y989)</f>
        <v>0</v>
      </c>
      <c r="AM989" s="31">
        <f>SUM($T989:Z989)</f>
        <v>0</v>
      </c>
      <c r="AN989" s="31">
        <f>SUM($T989:AA989)</f>
        <v>0</v>
      </c>
      <c r="AO989" s="31">
        <f>SUM($T989:AB989)</f>
        <v>0</v>
      </c>
      <c r="AP989" s="31">
        <f>SUM($T989:AC989)</f>
        <v>0</v>
      </c>
      <c r="AQ989" s="31">
        <f>SUM($T989:AD989)</f>
        <v>0</v>
      </c>
      <c r="AR989" s="31">
        <f>SUM($T989:AE989)</f>
        <v>0</v>
      </c>
      <c r="AS989" s="27">
        <f t="shared" si="150"/>
        <v>0</v>
      </c>
    </row>
    <row r="990" spans="2:45">
      <c r="B990" s="102" t="str">
        <f>IF(ROW()-6&gt;NumCostCenter,"",IF(CostCenter&lt;&gt;"ALL",CostCenter,DATA_LF2!B988))</f>
        <v/>
      </c>
      <c r="C990" s="153" t="str">
        <f>IF($B990&lt;&gt;"",INDEX(DataOB[],FirstRow+ROW()-7,2),"")</f>
        <v/>
      </c>
      <c r="D990" s="66" t="str">
        <f>IF($B990&lt;&gt;"",INDEX(DataOB[],FirstRow+ROW()-7,3),"")</f>
        <v/>
      </c>
      <c r="E990" s="103" t="str">
        <f>IF($B990&lt;&gt;"",INDEX(DataOB[],FirstRow+ROW()-7,6),"")</f>
        <v/>
      </c>
      <c r="F990" s="103" t="str">
        <f>IF($B990&lt;&gt;"",INDEX(DataOB[],FirstRow+ROW()-7,5),"")</f>
        <v/>
      </c>
      <c r="G990" s="58">
        <f>IF($B990&lt;&gt;"",SUMIFS(DataAct_tbl[AMOUNT],DataAct_tbl[BG CODE],Detail!$D990,DataAct_tbl[MONTH],LEFT(MonthName,3),DataAct_tbl[Dept code],$B990),0)</f>
        <v>0</v>
      </c>
      <c r="H990" s="31" t="str">
        <f t="shared" si="142"/>
        <v/>
      </c>
      <c r="I990" s="28" t="str">
        <f t="shared" si="143"/>
        <v/>
      </c>
      <c r="J990" s="32" t="str">
        <f t="shared" si="144"/>
        <v/>
      </c>
      <c r="K990" s="86"/>
      <c r="L990" s="62">
        <f>IF($B990&lt;&gt;"",SUMIFS(DataAct_tbl[AMOUNT],DataAct_tbl[BG CODE],Detail!$D990,DataAct_tbl[Check Range],"=true",DataAct_tbl[Dept code],$B990),0)</f>
        <v>0</v>
      </c>
      <c r="M990" s="63">
        <f>INDEX($AG$7:$AR$1005,ROW()-6,MATCH(MTD,$AG$6:$AR$6,0))</f>
        <v>0</v>
      </c>
      <c r="N990" s="34">
        <f t="shared" si="145"/>
        <v>0</v>
      </c>
      <c r="O990" s="64" t="str">
        <f t="shared" si="146"/>
        <v xml:space="preserve"> </v>
      </c>
      <c r="Q990" s="97">
        <f t="shared" si="147"/>
        <v>0</v>
      </c>
      <c r="R990" s="96">
        <f t="shared" si="148"/>
        <v>0</v>
      </c>
      <c r="T990" s="67" t="str">
        <f>IF($B990&lt;&gt;"",INDEX(DataOB[],FirstRow+ROW()-7,MATCH(T$6,DataOB[#Headers],0)),"")</f>
        <v/>
      </c>
      <c r="U990" s="67" t="str">
        <f>IF($B990&lt;&gt;"",INDEX(DataOB[],FirstRow+ROW()-7,MATCH(U$6,DataOB[#Headers],0)),"")</f>
        <v/>
      </c>
      <c r="V990" s="67" t="str">
        <f>IF($B990&lt;&gt;"",INDEX(DataOB[],FirstRow+ROW()-7,MATCH(V$6,DataOB[#Headers],0)),"")</f>
        <v/>
      </c>
      <c r="W990" s="67" t="str">
        <f>IF($B990&lt;&gt;"",INDEX(DataOB[],FirstRow+ROW()-7,MATCH(W$6,DataOB[#Headers],0)),"")</f>
        <v/>
      </c>
      <c r="X990" s="67" t="str">
        <f>IF($B990&lt;&gt;"",INDEX(DataOB[],FirstRow+ROW()-7,MATCH(X$6,DataOB[#Headers],0)),"")</f>
        <v/>
      </c>
      <c r="Y990" s="67" t="str">
        <f>IF($B990&lt;&gt;"",INDEX(DataOB[],FirstRow+ROW()-7,MATCH(Y$6,DataOB[#Headers],0)),"")</f>
        <v/>
      </c>
      <c r="Z990" s="67" t="str">
        <f>IF($B990&lt;&gt;"",INDEX(DataOB[],FirstRow+ROW()-7,MATCH(Z$6,DataOB[#Headers],0)),"")</f>
        <v/>
      </c>
      <c r="AA990" s="67" t="str">
        <f>IF($B990&lt;&gt;"",INDEX(DataOB[],FirstRow+ROW()-7,MATCH(AA$6,DataOB[#Headers],0)),"")</f>
        <v/>
      </c>
      <c r="AB990" s="67" t="str">
        <f>IF($B990&lt;&gt;"",INDEX(DataOB[],FirstRow+ROW()-7,MATCH(AB$6,DataOB[#Headers],0)),"")</f>
        <v/>
      </c>
      <c r="AC990" s="67" t="str">
        <f>IF($B990&lt;&gt;"",INDEX(DataOB[],FirstRow+ROW()-7,MATCH(AC$6,DataOB[#Headers],0)),"")</f>
        <v/>
      </c>
      <c r="AD990" s="67" t="str">
        <f>IF($B990&lt;&gt;"",INDEX(DataOB[],FirstRow+ROW()-7,MATCH(AD$6,DataOB[#Headers],0)),"")</f>
        <v/>
      </c>
      <c r="AE990" s="67" t="str">
        <f>IF($B990&lt;&gt;"",INDEX(DataOB[],FirstRow+ROW()-7,MATCH(AE$6,DataOB[#Headers],0)),"")</f>
        <v/>
      </c>
      <c r="AF990" s="26">
        <f t="shared" si="149"/>
        <v>0</v>
      </c>
      <c r="AG990" s="31">
        <f>SUM($T990:T990)</f>
        <v>0</v>
      </c>
      <c r="AH990" s="31">
        <f>SUM($T990:U990)</f>
        <v>0</v>
      </c>
      <c r="AI990" s="31">
        <f>SUM($T990:V990)</f>
        <v>0</v>
      </c>
      <c r="AJ990" s="31">
        <f>SUM($T990:W990)</f>
        <v>0</v>
      </c>
      <c r="AK990" s="31">
        <f>SUM($T990:X990)</f>
        <v>0</v>
      </c>
      <c r="AL990" s="31">
        <f>SUM($T990:Y990)</f>
        <v>0</v>
      </c>
      <c r="AM990" s="31">
        <f>SUM($T990:Z990)</f>
        <v>0</v>
      </c>
      <c r="AN990" s="31">
        <f>SUM($T990:AA990)</f>
        <v>0</v>
      </c>
      <c r="AO990" s="31">
        <f>SUM($T990:AB990)</f>
        <v>0</v>
      </c>
      <c r="AP990" s="31">
        <f>SUM($T990:AC990)</f>
        <v>0</v>
      </c>
      <c r="AQ990" s="31">
        <f>SUM($T990:AD990)</f>
        <v>0</v>
      </c>
      <c r="AR990" s="31">
        <f>SUM($T990:AE990)</f>
        <v>0</v>
      </c>
      <c r="AS990" s="27">
        <f t="shared" si="150"/>
        <v>0</v>
      </c>
    </row>
    <row r="991" spans="2:45">
      <c r="B991" s="102" t="str">
        <f>IF(ROW()-6&gt;NumCostCenter,"",IF(CostCenter&lt;&gt;"ALL",CostCenter,DATA_LF2!B989))</f>
        <v/>
      </c>
      <c r="C991" s="153" t="str">
        <f>IF($B991&lt;&gt;"",INDEX(DataOB[],FirstRow+ROW()-7,2),"")</f>
        <v/>
      </c>
      <c r="D991" s="66" t="str">
        <f>IF($B991&lt;&gt;"",INDEX(DataOB[],FirstRow+ROW()-7,3),"")</f>
        <v/>
      </c>
      <c r="E991" s="103" t="str">
        <f>IF($B991&lt;&gt;"",INDEX(DataOB[],FirstRow+ROW()-7,6),"")</f>
        <v/>
      </c>
      <c r="F991" s="103" t="str">
        <f>IF($B991&lt;&gt;"",INDEX(DataOB[],FirstRow+ROW()-7,5),"")</f>
        <v/>
      </c>
      <c r="G991" s="58">
        <f>IF($B991&lt;&gt;"",SUMIFS(DataAct_tbl[AMOUNT],DataAct_tbl[BG CODE],Detail!$D991,DataAct_tbl[MONTH],LEFT(MonthName,3),DataAct_tbl[Dept code],$B991),0)</f>
        <v>0</v>
      </c>
      <c r="H991" s="31" t="str">
        <f t="shared" si="142"/>
        <v/>
      </c>
      <c r="I991" s="28" t="str">
        <f t="shared" si="143"/>
        <v/>
      </c>
      <c r="J991" s="32" t="str">
        <f t="shared" si="144"/>
        <v/>
      </c>
      <c r="K991" s="86"/>
      <c r="L991" s="62">
        <f>IF($B991&lt;&gt;"",SUMIFS(DataAct_tbl[AMOUNT],DataAct_tbl[BG CODE],Detail!$D991,DataAct_tbl[Check Range],"=true",DataAct_tbl[Dept code],$B991),0)</f>
        <v>0</v>
      </c>
      <c r="M991" s="63">
        <f>INDEX($AG$7:$AR$1005,ROW()-6,MATCH(MTD,$AG$6:$AR$6,0))</f>
        <v>0</v>
      </c>
      <c r="N991" s="34">
        <f t="shared" si="145"/>
        <v>0</v>
      </c>
      <c r="O991" s="64" t="str">
        <f t="shared" si="146"/>
        <v xml:space="preserve"> </v>
      </c>
      <c r="Q991" s="97">
        <f t="shared" si="147"/>
        <v>0</v>
      </c>
      <c r="R991" s="96">
        <f t="shared" si="148"/>
        <v>0</v>
      </c>
      <c r="T991" s="67" t="str">
        <f>IF($B991&lt;&gt;"",INDEX(DataOB[],FirstRow+ROW()-7,MATCH(T$6,DataOB[#Headers],0)),"")</f>
        <v/>
      </c>
      <c r="U991" s="67" t="str">
        <f>IF($B991&lt;&gt;"",INDEX(DataOB[],FirstRow+ROW()-7,MATCH(U$6,DataOB[#Headers],0)),"")</f>
        <v/>
      </c>
      <c r="V991" s="67" t="str">
        <f>IF($B991&lt;&gt;"",INDEX(DataOB[],FirstRow+ROW()-7,MATCH(V$6,DataOB[#Headers],0)),"")</f>
        <v/>
      </c>
      <c r="W991" s="67" t="str">
        <f>IF($B991&lt;&gt;"",INDEX(DataOB[],FirstRow+ROW()-7,MATCH(W$6,DataOB[#Headers],0)),"")</f>
        <v/>
      </c>
      <c r="X991" s="67" t="str">
        <f>IF($B991&lt;&gt;"",INDEX(DataOB[],FirstRow+ROW()-7,MATCH(X$6,DataOB[#Headers],0)),"")</f>
        <v/>
      </c>
      <c r="Y991" s="67" t="str">
        <f>IF($B991&lt;&gt;"",INDEX(DataOB[],FirstRow+ROW()-7,MATCH(Y$6,DataOB[#Headers],0)),"")</f>
        <v/>
      </c>
      <c r="Z991" s="67" t="str">
        <f>IF($B991&lt;&gt;"",INDEX(DataOB[],FirstRow+ROW()-7,MATCH(Z$6,DataOB[#Headers],0)),"")</f>
        <v/>
      </c>
      <c r="AA991" s="67" t="str">
        <f>IF($B991&lt;&gt;"",INDEX(DataOB[],FirstRow+ROW()-7,MATCH(AA$6,DataOB[#Headers],0)),"")</f>
        <v/>
      </c>
      <c r="AB991" s="67" t="str">
        <f>IF($B991&lt;&gt;"",INDEX(DataOB[],FirstRow+ROW()-7,MATCH(AB$6,DataOB[#Headers],0)),"")</f>
        <v/>
      </c>
      <c r="AC991" s="67" t="str">
        <f>IF($B991&lt;&gt;"",INDEX(DataOB[],FirstRow+ROW()-7,MATCH(AC$6,DataOB[#Headers],0)),"")</f>
        <v/>
      </c>
      <c r="AD991" s="67" t="str">
        <f>IF($B991&lt;&gt;"",INDEX(DataOB[],FirstRow+ROW()-7,MATCH(AD$6,DataOB[#Headers],0)),"")</f>
        <v/>
      </c>
      <c r="AE991" s="67" t="str">
        <f>IF($B991&lt;&gt;"",INDEX(DataOB[],FirstRow+ROW()-7,MATCH(AE$6,DataOB[#Headers],0)),"")</f>
        <v/>
      </c>
      <c r="AF991" s="26">
        <f t="shared" si="149"/>
        <v>0</v>
      </c>
      <c r="AG991" s="31">
        <f>SUM($T991:T991)</f>
        <v>0</v>
      </c>
      <c r="AH991" s="31">
        <f>SUM($T991:U991)</f>
        <v>0</v>
      </c>
      <c r="AI991" s="31">
        <f>SUM($T991:V991)</f>
        <v>0</v>
      </c>
      <c r="AJ991" s="31">
        <f>SUM($T991:W991)</f>
        <v>0</v>
      </c>
      <c r="AK991" s="31">
        <f>SUM($T991:X991)</f>
        <v>0</v>
      </c>
      <c r="AL991" s="31">
        <f>SUM($T991:Y991)</f>
        <v>0</v>
      </c>
      <c r="AM991" s="31">
        <f>SUM($T991:Z991)</f>
        <v>0</v>
      </c>
      <c r="AN991" s="31">
        <f>SUM($T991:AA991)</f>
        <v>0</v>
      </c>
      <c r="AO991" s="31">
        <f>SUM($T991:AB991)</f>
        <v>0</v>
      </c>
      <c r="AP991" s="31">
        <f>SUM($T991:AC991)</f>
        <v>0</v>
      </c>
      <c r="AQ991" s="31">
        <f>SUM($T991:AD991)</f>
        <v>0</v>
      </c>
      <c r="AR991" s="31">
        <f>SUM($T991:AE991)</f>
        <v>0</v>
      </c>
      <c r="AS991" s="27">
        <f t="shared" si="150"/>
        <v>0</v>
      </c>
    </row>
    <row r="992" spans="2:45">
      <c r="B992" s="102" t="str">
        <f>IF(ROW()-6&gt;NumCostCenter,"",IF(CostCenter&lt;&gt;"ALL",CostCenter,DATA_LF2!B990))</f>
        <v/>
      </c>
      <c r="C992" s="153" t="str">
        <f>IF($B992&lt;&gt;"",INDEX(DataOB[],FirstRow+ROW()-7,2),"")</f>
        <v/>
      </c>
      <c r="D992" s="66" t="str">
        <f>IF($B992&lt;&gt;"",INDEX(DataOB[],FirstRow+ROW()-7,3),"")</f>
        <v/>
      </c>
      <c r="E992" s="103" t="str">
        <f>IF($B992&lt;&gt;"",INDEX(DataOB[],FirstRow+ROW()-7,6),"")</f>
        <v/>
      </c>
      <c r="F992" s="103" t="str">
        <f>IF($B992&lt;&gt;"",INDEX(DataOB[],FirstRow+ROW()-7,5),"")</f>
        <v/>
      </c>
      <c r="G992" s="58">
        <f>IF($B992&lt;&gt;"",SUMIFS(DataAct_tbl[AMOUNT],DataAct_tbl[BG CODE],Detail!$D992,DataAct_tbl[MONTH],LEFT(MonthName,3),DataAct_tbl[Dept code],$B992),0)</f>
        <v>0</v>
      </c>
      <c r="H992" s="31" t="str">
        <f t="shared" si="142"/>
        <v/>
      </c>
      <c r="I992" s="28" t="str">
        <f t="shared" si="143"/>
        <v/>
      </c>
      <c r="J992" s="32" t="str">
        <f t="shared" si="144"/>
        <v/>
      </c>
      <c r="K992" s="86"/>
      <c r="L992" s="62">
        <f>IF($B992&lt;&gt;"",SUMIFS(DataAct_tbl[AMOUNT],DataAct_tbl[BG CODE],Detail!$D992,DataAct_tbl[Check Range],"=true",DataAct_tbl[Dept code],$B992),0)</f>
        <v>0</v>
      </c>
      <c r="M992" s="63">
        <f>INDEX($AG$7:$AR$1005,ROW()-6,MATCH(MTD,$AG$6:$AR$6,0))</f>
        <v>0</v>
      </c>
      <c r="N992" s="34">
        <f t="shared" si="145"/>
        <v>0</v>
      </c>
      <c r="O992" s="64" t="str">
        <f t="shared" si="146"/>
        <v xml:space="preserve"> </v>
      </c>
      <c r="Q992" s="97">
        <f t="shared" si="147"/>
        <v>0</v>
      </c>
      <c r="R992" s="96">
        <f t="shared" si="148"/>
        <v>0</v>
      </c>
      <c r="T992" s="67" t="str">
        <f>IF($B992&lt;&gt;"",INDEX(DataOB[],FirstRow+ROW()-7,MATCH(T$6,DataOB[#Headers],0)),"")</f>
        <v/>
      </c>
      <c r="U992" s="67" t="str">
        <f>IF($B992&lt;&gt;"",INDEX(DataOB[],FirstRow+ROW()-7,MATCH(U$6,DataOB[#Headers],0)),"")</f>
        <v/>
      </c>
      <c r="V992" s="67" t="str">
        <f>IF($B992&lt;&gt;"",INDEX(DataOB[],FirstRow+ROW()-7,MATCH(V$6,DataOB[#Headers],0)),"")</f>
        <v/>
      </c>
      <c r="W992" s="67" t="str">
        <f>IF($B992&lt;&gt;"",INDEX(DataOB[],FirstRow+ROW()-7,MATCH(W$6,DataOB[#Headers],0)),"")</f>
        <v/>
      </c>
      <c r="X992" s="67" t="str">
        <f>IF($B992&lt;&gt;"",INDEX(DataOB[],FirstRow+ROW()-7,MATCH(X$6,DataOB[#Headers],0)),"")</f>
        <v/>
      </c>
      <c r="Y992" s="67" t="str">
        <f>IF($B992&lt;&gt;"",INDEX(DataOB[],FirstRow+ROW()-7,MATCH(Y$6,DataOB[#Headers],0)),"")</f>
        <v/>
      </c>
      <c r="Z992" s="67" t="str">
        <f>IF($B992&lt;&gt;"",INDEX(DataOB[],FirstRow+ROW()-7,MATCH(Z$6,DataOB[#Headers],0)),"")</f>
        <v/>
      </c>
      <c r="AA992" s="67" t="str">
        <f>IF($B992&lt;&gt;"",INDEX(DataOB[],FirstRow+ROW()-7,MATCH(AA$6,DataOB[#Headers],0)),"")</f>
        <v/>
      </c>
      <c r="AB992" s="67" t="str">
        <f>IF($B992&lt;&gt;"",INDEX(DataOB[],FirstRow+ROW()-7,MATCH(AB$6,DataOB[#Headers],0)),"")</f>
        <v/>
      </c>
      <c r="AC992" s="67" t="str">
        <f>IF($B992&lt;&gt;"",INDEX(DataOB[],FirstRow+ROW()-7,MATCH(AC$6,DataOB[#Headers],0)),"")</f>
        <v/>
      </c>
      <c r="AD992" s="67" t="str">
        <f>IF($B992&lt;&gt;"",INDEX(DataOB[],FirstRow+ROW()-7,MATCH(AD$6,DataOB[#Headers],0)),"")</f>
        <v/>
      </c>
      <c r="AE992" s="67" t="str">
        <f>IF($B992&lt;&gt;"",INDEX(DataOB[],FirstRow+ROW()-7,MATCH(AE$6,DataOB[#Headers],0)),"")</f>
        <v/>
      </c>
      <c r="AF992" s="26">
        <f t="shared" si="149"/>
        <v>0</v>
      </c>
      <c r="AG992" s="31">
        <f>SUM($T992:T992)</f>
        <v>0</v>
      </c>
      <c r="AH992" s="31">
        <f>SUM($T992:U992)</f>
        <v>0</v>
      </c>
      <c r="AI992" s="31">
        <f>SUM($T992:V992)</f>
        <v>0</v>
      </c>
      <c r="AJ992" s="31">
        <f>SUM($T992:W992)</f>
        <v>0</v>
      </c>
      <c r="AK992" s="31">
        <f>SUM($T992:X992)</f>
        <v>0</v>
      </c>
      <c r="AL992" s="31">
        <f>SUM($T992:Y992)</f>
        <v>0</v>
      </c>
      <c r="AM992" s="31">
        <f>SUM($T992:Z992)</f>
        <v>0</v>
      </c>
      <c r="AN992" s="31">
        <f>SUM($T992:AA992)</f>
        <v>0</v>
      </c>
      <c r="AO992" s="31">
        <f>SUM($T992:AB992)</f>
        <v>0</v>
      </c>
      <c r="AP992" s="31">
        <f>SUM($T992:AC992)</f>
        <v>0</v>
      </c>
      <c r="AQ992" s="31">
        <f>SUM($T992:AD992)</f>
        <v>0</v>
      </c>
      <c r="AR992" s="31">
        <f>SUM($T992:AE992)</f>
        <v>0</v>
      </c>
      <c r="AS992" s="27">
        <f t="shared" si="150"/>
        <v>0</v>
      </c>
    </row>
    <row r="993" spans="1:45">
      <c r="B993" s="102" t="str">
        <f>IF(ROW()-6&gt;NumCostCenter,"",IF(CostCenter&lt;&gt;"ALL",CostCenter,DATA_LF2!B991))</f>
        <v/>
      </c>
      <c r="C993" s="153" t="str">
        <f>IF($B993&lt;&gt;"",INDEX(DataOB[],FirstRow+ROW()-7,2),"")</f>
        <v/>
      </c>
      <c r="D993" s="66" t="str">
        <f>IF($B993&lt;&gt;"",INDEX(DataOB[],FirstRow+ROW()-7,3),"")</f>
        <v/>
      </c>
      <c r="E993" s="103" t="str">
        <f>IF($B993&lt;&gt;"",INDEX(DataOB[],FirstRow+ROW()-7,6),"")</f>
        <v/>
      </c>
      <c r="F993" s="103" t="str">
        <f>IF($B993&lt;&gt;"",INDEX(DataOB[],FirstRow+ROW()-7,5),"")</f>
        <v/>
      </c>
      <c r="G993" s="58">
        <f>IF($B993&lt;&gt;"",SUMIFS(DataAct_tbl[AMOUNT],DataAct_tbl[BG CODE],Detail!$D993,DataAct_tbl[MONTH],LEFT(MonthName,3),DataAct_tbl[Dept code],$B993),0)</f>
        <v>0</v>
      </c>
      <c r="H993" s="31" t="str">
        <f t="shared" si="142"/>
        <v/>
      </c>
      <c r="I993" s="28" t="str">
        <f t="shared" si="143"/>
        <v/>
      </c>
      <c r="J993" s="32" t="str">
        <f t="shared" si="144"/>
        <v/>
      </c>
      <c r="K993" s="86"/>
      <c r="L993" s="62">
        <f>IF($B993&lt;&gt;"",SUMIFS(DataAct_tbl[AMOUNT],DataAct_tbl[BG CODE],Detail!$D993,DataAct_tbl[Check Range],"=true",DataAct_tbl[Dept code],$B993),0)</f>
        <v>0</v>
      </c>
      <c r="M993" s="63">
        <f>INDEX($AG$7:$AR$1005,ROW()-6,MATCH(MTD,$AG$6:$AR$6,0))</f>
        <v>0</v>
      </c>
      <c r="N993" s="34">
        <f t="shared" si="145"/>
        <v>0</v>
      </c>
      <c r="O993" s="64" t="str">
        <f t="shared" si="146"/>
        <v xml:space="preserve"> </v>
      </c>
      <c r="Q993" s="97">
        <f t="shared" si="147"/>
        <v>0</v>
      </c>
      <c r="R993" s="96">
        <f t="shared" si="148"/>
        <v>0</v>
      </c>
      <c r="T993" s="67" t="str">
        <f>IF($B993&lt;&gt;"",INDEX(DataOB[],FirstRow+ROW()-7,MATCH(T$6,DataOB[#Headers],0)),"")</f>
        <v/>
      </c>
      <c r="U993" s="67" t="str">
        <f>IF($B993&lt;&gt;"",INDEX(DataOB[],FirstRow+ROW()-7,MATCH(U$6,DataOB[#Headers],0)),"")</f>
        <v/>
      </c>
      <c r="V993" s="67" t="str">
        <f>IF($B993&lt;&gt;"",INDEX(DataOB[],FirstRow+ROW()-7,MATCH(V$6,DataOB[#Headers],0)),"")</f>
        <v/>
      </c>
      <c r="W993" s="67" t="str">
        <f>IF($B993&lt;&gt;"",INDEX(DataOB[],FirstRow+ROW()-7,MATCH(W$6,DataOB[#Headers],0)),"")</f>
        <v/>
      </c>
      <c r="X993" s="67" t="str">
        <f>IF($B993&lt;&gt;"",INDEX(DataOB[],FirstRow+ROW()-7,MATCH(X$6,DataOB[#Headers],0)),"")</f>
        <v/>
      </c>
      <c r="Y993" s="67" t="str">
        <f>IF($B993&lt;&gt;"",INDEX(DataOB[],FirstRow+ROW()-7,MATCH(Y$6,DataOB[#Headers],0)),"")</f>
        <v/>
      </c>
      <c r="Z993" s="67" t="str">
        <f>IF($B993&lt;&gt;"",INDEX(DataOB[],FirstRow+ROW()-7,MATCH(Z$6,DataOB[#Headers],0)),"")</f>
        <v/>
      </c>
      <c r="AA993" s="67" t="str">
        <f>IF($B993&lt;&gt;"",INDEX(DataOB[],FirstRow+ROW()-7,MATCH(AA$6,DataOB[#Headers],0)),"")</f>
        <v/>
      </c>
      <c r="AB993" s="67" t="str">
        <f>IF($B993&lt;&gt;"",INDEX(DataOB[],FirstRow+ROW()-7,MATCH(AB$6,DataOB[#Headers],0)),"")</f>
        <v/>
      </c>
      <c r="AC993" s="67" t="str">
        <f>IF($B993&lt;&gt;"",INDEX(DataOB[],FirstRow+ROW()-7,MATCH(AC$6,DataOB[#Headers],0)),"")</f>
        <v/>
      </c>
      <c r="AD993" s="67" t="str">
        <f>IF($B993&lt;&gt;"",INDEX(DataOB[],FirstRow+ROW()-7,MATCH(AD$6,DataOB[#Headers],0)),"")</f>
        <v/>
      </c>
      <c r="AE993" s="67" t="str">
        <f>IF($B993&lt;&gt;"",INDEX(DataOB[],FirstRow+ROW()-7,MATCH(AE$6,DataOB[#Headers],0)),"")</f>
        <v/>
      </c>
      <c r="AF993" s="26">
        <f t="shared" si="149"/>
        <v>0</v>
      </c>
      <c r="AG993" s="31">
        <f>SUM($T993:T993)</f>
        <v>0</v>
      </c>
      <c r="AH993" s="31">
        <f>SUM($T993:U993)</f>
        <v>0</v>
      </c>
      <c r="AI993" s="31">
        <f>SUM($T993:V993)</f>
        <v>0</v>
      </c>
      <c r="AJ993" s="31">
        <f>SUM($T993:W993)</f>
        <v>0</v>
      </c>
      <c r="AK993" s="31">
        <f>SUM($T993:X993)</f>
        <v>0</v>
      </c>
      <c r="AL993" s="31">
        <f>SUM($T993:Y993)</f>
        <v>0</v>
      </c>
      <c r="AM993" s="31">
        <f>SUM($T993:Z993)</f>
        <v>0</v>
      </c>
      <c r="AN993" s="31">
        <f>SUM($T993:AA993)</f>
        <v>0</v>
      </c>
      <c r="AO993" s="31">
        <f>SUM($T993:AB993)</f>
        <v>0</v>
      </c>
      <c r="AP993" s="31">
        <f>SUM($T993:AC993)</f>
        <v>0</v>
      </c>
      <c r="AQ993" s="31">
        <f>SUM($T993:AD993)</f>
        <v>0</v>
      </c>
      <c r="AR993" s="31">
        <f>SUM($T993:AE993)</f>
        <v>0</v>
      </c>
      <c r="AS993" s="27">
        <f t="shared" si="150"/>
        <v>0</v>
      </c>
    </row>
    <row r="994" spans="1:45">
      <c r="B994" s="102" t="str">
        <f>IF(ROW()-6&gt;NumCostCenter,"",IF(CostCenter&lt;&gt;"ALL",CostCenter,DATA_LF2!B992))</f>
        <v/>
      </c>
      <c r="C994" s="153" t="str">
        <f>IF($B994&lt;&gt;"",INDEX(DataOB[],FirstRow+ROW()-7,2),"")</f>
        <v/>
      </c>
      <c r="D994" s="66" t="str">
        <f>IF($B994&lt;&gt;"",INDEX(DataOB[],FirstRow+ROW()-7,3),"")</f>
        <v/>
      </c>
      <c r="E994" s="103" t="str">
        <f>IF($B994&lt;&gt;"",INDEX(DataOB[],FirstRow+ROW()-7,6),"")</f>
        <v/>
      </c>
      <c r="F994" s="103" t="str">
        <f>IF($B994&lt;&gt;"",INDEX(DataOB[],FirstRow+ROW()-7,5),"")</f>
        <v/>
      </c>
      <c r="G994" s="58">
        <f>IF($B994&lt;&gt;"",SUMIFS(DataAct_tbl[AMOUNT],DataAct_tbl[BG CODE],Detail!$D994,DataAct_tbl[MONTH],LEFT(MonthName,3),DataAct_tbl[Dept code],$B994),0)</f>
        <v>0</v>
      </c>
      <c r="H994" s="31" t="str">
        <f t="shared" si="142"/>
        <v/>
      </c>
      <c r="I994" s="28" t="str">
        <f t="shared" si="143"/>
        <v/>
      </c>
      <c r="J994" s="32" t="str">
        <f t="shared" si="144"/>
        <v/>
      </c>
      <c r="K994" s="86"/>
      <c r="L994" s="62">
        <f>IF($B994&lt;&gt;"",SUMIFS(DataAct_tbl[AMOUNT],DataAct_tbl[BG CODE],Detail!$D994,DataAct_tbl[Check Range],"=true",DataAct_tbl[Dept code],$B994),0)</f>
        <v>0</v>
      </c>
      <c r="M994" s="63">
        <f>INDEX($AG$7:$AR$1005,ROW()-6,MATCH(MTD,$AG$6:$AR$6,0))</f>
        <v>0</v>
      </c>
      <c r="N994" s="34">
        <f t="shared" si="145"/>
        <v>0</v>
      </c>
      <c r="O994" s="64" t="str">
        <f t="shared" si="146"/>
        <v xml:space="preserve"> </v>
      </c>
      <c r="Q994" s="97">
        <f t="shared" si="147"/>
        <v>0</v>
      </c>
      <c r="R994" s="96">
        <f t="shared" si="148"/>
        <v>0</v>
      </c>
      <c r="T994" s="67" t="str">
        <f>IF($B994&lt;&gt;"",INDEX(DataOB[],FirstRow+ROW()-7,MATCH(T$6,DataOB[#Headers],0)),"")</f>
        <v/>
      </c>
      <c r="U994" s="67" t="str">
        <f>IF($B994&lt;&gt;"",INDEX(DataOB[],FirstRow+ROW()-7,MATCH(U$6,DataOB[#Headers],0)),"")</f>
        <v/>
      </c>
      <c r="V994" s="67" t="str">
        <f>IF($B994&lt;&gt;"",INDEX(DataOB[],FirstRow+ROW()-7,MATCH(V$6,DataOB[#Headers],0)),"")</f>
        <v/>
      </c>
      <c r="W994" s="67" t="str">
        <f>IF($B994&lt;&gt;"",INDEX(DataOB[],FirstRow+ROW()-7,MATCH(W$6,DataOB[#Headers],0)),"")</f>
        <v/>
      </c>
      <c r="X994" s="67" t="str">
        <f>IF($B994&lt;&gt;"",INDEX(DataOB[],FirstRow+ROW()-7,MATCH(X$6,DataOB[#Headers],0)),"")</f>
        <v/>
      </c>
      <c r="Y994" s="67" t="str">
        <f>IF($B994&lt;&gt;"",INDEX(DataOB[],FirstRow+ROW()-7,MATCH(Y$6,DataOB[#Headers],0)),"")</f>
        <v/>
      </c>
      <c r="Z994" s="67" t="str">
        <f>IF($B994&lt;&gt;"",INDEX(DataOB[],FirstRow+ROW()-7,MATCH(Z$6,DataOB[#Headers],0)),"")</f>
        <v/>
      </c>
      <c r="AA994" s="67" t="str">
        <f>IF($B994&lt;&gt;"",INDEX(DataOB[],FirstRow+ROW()-7,MATCH(AA$6,DataOB[#Headers],0)),"")</f>
        <v/>
      </c>
      <c r="AB994" s="67" t="str">
        <f>IF($B994&lt;&gt;"",INDEX(DataOB[],FirstRow+ROW()-7,MATCH(AB$6,DataOB[#Headers],0)),"")</f>
        <v/>
      </c>
      <c r="AC994" s="67" t="str">
        <f>IF($B994&lt;&gt;"",INDEX(DataOB[],FirstRow+ROW()-7,MATCH(AC$6,DataOB[#Headers],0)),"")</f>
        <v/>
      </c>
      <c r="AD994" s="67" t="str">
        <f>IF($B994&lt;&gt;"",INDEX(DataOB[],FirstRow+ROW()-7,MATCH(AD$6,DataOB[#Headers],0)),"")</f>
        <v/>
      </c>
      <c r="AE994" s="67" t="str">
        <f>IF($B994&lt;&gt;"",INDEX(DataOB[],FirstRow+ROW()-7,MATCH(AE$6,DataOB[#Headers],0)),"")</f>
        <v/>
      </c>
      <c r="AF994" s="26">
        <f t="shared" si="149"/>
        <v>0</v>
      </c>
      <c r="AG994" s="31">
        <f>SUM($T994:T994)</f>
        <v>0</v>
      </c>
      <c r="AH994" s="31">
        <f>SUM($T994:U994)</f>
        <v>0</v>
      </c>
      <c r="AI994" s="31">
        <f>SUM($T994:V994)</f>
        <v>0</v>
      </c>
      <c r="AJ994" s="31">
        <f>SUM($T994:W994)</f>
        <v>0</v>
      </c>
      <c r="AK994" s="31">
        <f>SUM($T994:X994)</f>
        <v>0</v>
      </c>
      <c r="AL994" s="31">
        <f>SUM($T994:Y994)</f>
        <v>0</v>
      </c>
      <c r="AM994" s="31">
        <f>SUM($T994:Z994)</f>
        <v>0</v>
      </c>
      <c r="AN994" s="31">
        <f>SUM($T994:AA994)</f>
        <v>0</v>
      </c>
      <c r="AO994" s="31">
        <f>SUM($T994:AB994)</f>
        <v>0</v>
      </c>
      <c r="AP994" s="31">
        <f>SUM($T994:AC994)</f>
        <v>0</v>
      </c>
      <c r="AQ994" s="31">
        <f>SUM($T994:AD994)</f>
        <v>0</v>
      </c>
      <c r="AR994" s="31">
        <f>SUM($T994:AE994)</f>
        <v>0</v>
      </c>
      <c r="AS994" s="27">
        <f t="shared" si="150"/>
        <v>0</v>
      </c>
    </row>
    <row r="995" spans="1:45">
      <c r="B995" s="102" t="str">
        <f>IF(ROW()-6&gt;NumCostCenter,"",IF(CostCenter&lt;&gt;"ALL",CostCenter,DATA_LF2!B993))</f>
        <v/>
      </c>
      <c r="C995" s="153" t="str">
        <f>IF($B995&lt;&gt;"",INDEX(DataOB[],FirstRow+ROW()-7,2),"")</f>
        <v/>
      </c>
      <c r="D995" s="66" t="str">
        <f>IF($B995&lt;&gt;"",INDEX(DataOB[],FirstRow+ROW()-7,3),"")</f>
        <v/>
      </c>
      <c r="E995" s="103" t="str">
        <f>IF($B995&lt;&gt;"",INDEX(DataOB[],FirstRow+ROW()-7,6),"")</f>
        <v/>
      </c>
      <c r="F995" s="103" t="str">
        <f>IF($B995&lt;&gt;"",INDEX(DataOB[],FirstRow+ROW()-7,5),"")</f>
        <v/>
      </c>
      <c r="G995" s="58">
        <f>IF($B995&lt;&gt;"",SUMIFS(DataAct_tbl[AMOUNT],DataAct_tbl[BG CODE],Detail!$D995,DataAct_tbl[MONTH],LEFT(MonthName,3),DataAct_tbl[Dept code],$B995),0)</f>
        <v>0</v>
      </c>
      <c r="H995" s="31" t="str">
        <f t="shared" si="142"/>
        <v/>
      </c>
      <c r="I995" s="28" t="str">
        <f t="shared" si="143"/>
        <v/>
      </c>
      <c r="J995" s="32" t="str">
        <f t="shared" si="144"/>
        <v/>
      </c>
      <c r="K995" s="86"/>
      <c r="L995" s="62">
        <f>IF($B995&lt;&gt;"",SUMIFS(DataAct_tbl[AMOUNT],DataAct_tbl[BG CODE],Detail!$D995,DataAct_tbl[Check Range],"=true",DataAct_tbl[Dept code],$B995),0)</f>
        <v>0</v>
      </c>
      <c r="M995" s="63">
        <f>INDEX($AG$7:$AR$1005,ROW()-6,MATCH(MTD,$AG$6:$AR$6,0))</f>
        <v>0</v>
      </c>
      <c r="N995" s="34">
        <f t="shared" si="145"/>
        <v>0</v>
      </c>
      <c r="O995" s="64" t="str">
        <f t="shared" si="146"/>
        <v xml:space="preserve"> </v>
      </c>
      <c r="Q995" s="97">
        <f t="shared" si="147"/>
        <v>0</v>
      </c>
      <c r="R995" s="96">
        <f t="shared" si="148"/>
        <v>0</v>
      </c>
      <c r="T995" s="67" t="str">
        <f>IF($B995&lt;&gt;"",INDEX(DataOB[],FirstRow+ROW()-7,MATCH(T$6,DataOB[#Headers],0)),"")</f>
        <v/>
      </c>
      <c r="U995" s="67" t="str">
        <f>IF($B995&lt;&gt;"",INDEX(DataOB[],FirstRow+ROW()-7,MATCH(U$6,DataOB[#Headers],0)),"")</f>
        <v/>
      </c>
      <c r="V995" s="67" t="str">
        <f>IF($B995&lt;&gt;"",INDEX(DataOB[],FirstRow+ROW()-7,MATCH(V$6,DataOB[#Headers],0)),"")</f>
        <v/>
      </c>
      <c r="W995" s="67" t="str">
        <f>IF($B995&lt;&gt;"",INDEX(DataOB[],FirstRow+ROW()-7,MATCH(W$6,DataOB[#Headers],0)),"")</f>
        <v/>
      </c>
      <c r="X995" s="67" t="str">
        <f>IF($B995&lt;&gt;"",INDEX(DataOB[],FirstRow+ROW()-7,MATCH(X$6,DataOB[#Headers],0)),"")</f>
        <v/>
      </c>
      <c r="Y995" s="67" t="str">
        <f>IF($B995&lt;&gt;"",INDEX(DataOB[],FirstRow+ROW()-7,MATCH(Y$6,DataOB[#Headers],0)),"")</f>
        <v/>
      </c>
      <c r="Z995" s="67" t="str">
        <f>IF($B995&lt;&gt;"",INDEX(DataOB[],FirstRow+ROW()-7,MATCH(Z$6,DataOB[#Headers],0)),"")</f>
        <v/>
      </c>
      <c r="AA995" s="67" t="str">
        <f>IF($B995&lt;&gt;"",INDEX(DataOB[],FirstRow+ROW()-7,MATCH(AA$6,DataOB[#Headers],0)),"")</f>
        <v/>
      </c>
      <c r="AB995" s="67" t="str">
        <f>IF($B995&lt;&gt;"",INDEX(DataOB[],FirstRow+ROW()-7,MATCH(AB$6,DataOB[#Headers],0)),"")</f>
        <v/>
      </c>
      <c r="AC995" s="67" t="str">
        <f>IF($B995&lt;&gt;"",INDEX(DataOB[],FirstRow+ROW()-7,MATCH(AC$6,DataOB[#Headers],0)),"")</f>
        <v/>
      </c>
      <c r="AD995" s="67" t="str">
        <f>IF($B995&lt;&gt;"",INDEX(DataOB[],FirstRow+ROW()-7,MATCH(AD$6,DataOB[#Headers],0)),"")</f>
        <v/>
      </c>
      <c r="AE995" s="67" t="str">
        <f>IF($B995&lt;&gt;"",INDEX(DataOB[],FirstRow+ROW()-7,MATCH(AE$6,DataOB[#Headers],0)),"")</f>
        <v/>
      </c>
      <c r="AF995" s="26">
        <f t="shared" si="149"/>
        <v>0</v>
      </c>
      <c r="AG995" s="31">
        <f>SUM($T995:T995)</f>
        <v>0</v>
      </c>
      <c r="AH995" s="31">
        <f>SUM($T995:U995)</f>
        <v>0</v>
      </c>
      <c r="AI995" s="31">
        <f>SUM($T995:V995)</f>
        <v>0</v>
      </c>
      <c r="AJ995" s="31">
        <f>SUM($T995:W995)</f>
        <v>0</v>
      </c>
      <c r="AK995" s="31">
        <f>SUM($T995:X995)</f>
        <v>0</v>
      </c>
      <c r="AL995" s="31">
        <f>SUM($T995:Y995)</f>
        <v>0</v>
      </c>
      <c r="AM995" s="31">
        <f>SUM($T995:Z995)</f>
        <v>0</v>
      </c>
      <c r="AN995" s="31">
        <f>SUM($T995:AA995)</f>
        <v>0</v>
      </c>
      <c r="AO995" s="31">
        <f>SUM($T995:AB995)</f>
        <v>0</v>
      </c>
      <c r="AP995" s="31">
        <f>SUM($T995:AC995)</f>
        <v>0</v>
      </c>
      <c r="AQ995" s="31">
        <f>SUM($T995:AD995)</f>
        <v>0</v>
      </c>
      <c r="AR995" s="31">
        <f>SUM($T995:AE995)</f>
        <v>0</v>
      </c>
      <c r="AS995" s="27">
        <f t="shared" si="150"/>
        <v>0</v>
      </c>
    </row>
    <row r="996" spans="1:45">
      <c r="B996" s="102" t="str">
        <f>IF(ROW()-6&gt;NumCostCenter,"",IF(CostCenter&lt;&gt;"ALL",CostCenter,DATA_LF2!B994))</f>
        <v/>
      </c>
      <c r="C996" s="153" t="str">
        <f>IF($B996&lt;&gt;"",INDEX(DataOB[],FirstRow+ROW()-7,2),"")</f>
        <v/>
      </c>
      <c r="D996" s="66" t="str">
        <f>IF($B996&lt;&gt;"",INDEX(DataOB[],FirstRow+ROW()-7,3),"")</f>
        <v/>
      </c>
      <c r="E996" s="103" t="str">
        <f>IF($B996&lt;&gt;"",INDEX(DataOB[],FirstRow+ROW()-7,6),"")</f>
        <v/>
      </c>
      <c r="F996" s="103" t="str">
        <f>IF($B996&lt;&gt;"",INDEX(DataOB[],FirstRow+ROW()-7,5),"")</f>
        <v/>
      </c>
      <c r="G996" s="58">
        <f>IF($B996&lt;&gt;"",SUMIFS(DataAct_tbl[AMOUNT],DataAct_tbl[BG CODE],Detail!$D996,DataAct_tbl[MONTH],LEFT(MonthName,3),DataAct_tbl[Dept code],$B996),0)</f>
        <v>0</v>
      </c>
      <c r="H996" s="31" t="str">
        <f t="shared" si="142"/>
        <v/>
      </c>
      <c r="I996" s="28" t="str">
        <f t="shared" si="143"/>
        <v/>
      </c>
      <c r="J996" s="32" t="str">
        <f t="shared" si="144"/>
        <v/>
      </c>
      <c r="K996" s="86"/>
      <c r="L996" s="62">
        <f>IF($B996&lt;&gt;"",SUMIFS(DataAct_tbl[AMOUNT],DataAct_tbl[BG CODE],Detail!$D996,DataAct_tbl[Check Range],"=true",DataAct_tbl[Dept code],$B996),0)</f>
        <v>0</v>
      </c>
      <c r="M996" s="63">
        <f>INDEX($AG$7:$AR$1005,ROW()-6,MATCH(MTD,$AG$6:$AR$6,0))</f>
        <v>0</v>
      </c>
      <c r="N996" s="34">
        <f t="shared" si="145"/>
        <v>0</v>
      </c>
      <c r="O996" s="64" t="str">
        <f t="shared" si="146"/>
        <v xml:space="preserve"> </v>
      </c>
      <c r="Q996" s="97">
        <f t="shared" si="147"/>
        <v>0</v>
      </c>
      <c r="R996" s="96">
        <f t="shared" si="148"/>
        <v>0</v>
      </c>
      <c r="T996" s="67" t="str">
        <f>IF($B996&lt;&gt;"",INDEX(DataOB[],FirstRow+ROW()-7,MATCH(T$6,DataOB[#Headers],0)),"")</f>
        <v/>
      </c>
      <c r="U996" s="67" t="str">
        <f>IF($B996&lt;&gt;"",INDEX(DataOB[],FirstRow+ROW()-7,MATCH(U$6,DataOB[#Headers],0)),"")</f>
        <v/>
      </c>
      <c r="V996" s="67" t="str">
        <f>IF($B996&lt;&gt;"",INDEX(DataOB[],FirstRow+ROW()-7,MATCH(V$6,DataOB[#Headers],0)),"")</f>
        <v/>
      </c>
      <c r="W996" s="67" t="str">
        <f>IF($B996&lt;&gt;"",INDEX(DataOB[],FirstRow+ROW()-7,MATCH(W$6,DataOB[#Headers],0)),"")</f>
        <v/>
      </c>
      <c r="X996" s="67" t="str">
        <f>IF($B996&lt;&gt;"",INDEX(DataOB[],FirstRow+ROW()-7,MATCH(X$6,DataOB[#Headers],0)),"")</f>
        <v/>
      </c>
      <c r="Y996" s="67" t="str">
        <f>IF($B996&lt;&gt;"",INDEX(DataOB[],FirstRow+ROW()-7,MATCH(Y$6,DataOB[#Headers],0)),"")</f>
        <v/>
      </c>
      <c r="Z996" s="67" t="str">
        <f>IF($B996&lt;&gt;"",INDEX(DataOB[],FirstRow+ROW()-7,MATCH(Z$6,DataOB[#Headers],0)),"")</f>
        <v/>
      </c>
      <c r="AA996" s="67" t="str">
        <f>IF($B996&lt;&gt;"",INDEX(DataOB[],FirstRow+ROW()-7,MATCH(AA$6,DataOB[#Headers],0)),"")</f>
        <v/>
      </c>
      <c r="AB996" s="67" t="str">
        <f>IF($B996&lt;&gt;"",INDEX(DataOB[],FirstRow+ROW()-7,MATCH(AB$6,DataOB[#Headers],0)),"")</f>
        <v/>
      </c>
      <c r="AC996" s="67" t="str">
        <f>IF($B996&lt;&gt;"",INDEX(DataOB[],FirstRow+ROW()-7,MATCH(AC$6,DataOB[#Headers],0)),"")</f>
        <v/>
      </c>
      <c r="AD996" s="67" t="str">
        <f>IF($B996&lt;&gt;"",INDEX(DataOB[],FirstRow+ROW()-7,MATCH(AD$6,DataOB[#Headers],0)),"")</f>
        <v/>
      </c>
      <c r="AE996" s="67" t="str">
        <f>IF($B996&lt;&gt;"",INDEX(DataOB[],FirstRow+ROW()-7,MATCH(AE$6,DataOB[#Headers],0)),"")</f>
        <v/>
      </c>
      <c r="AF996" s="26">
        <f t="shared" si="149"/>
        <v>0</v>
      </c>
      <c r="AG996" s="31">
        <f>SUM($T996:T996)</f>
        <v>0</v>
      </c>
      <c r="AH996" s="31">
        <f>SUM($T996:U996)</f>
        <v>0</v>
      </c>
      <c r="AI996" s="31">
        <f>SUM($T996:V996)</f>
        <v>0</v>
      </c>
      <c r="AJ996" s="31">
        <f>SUM($T996:W996)</f>
        <v>0</v>
      </c>
      <c r="AK996" s="31">
        <f>SUM($T996:X996)</f>
        <v>0</v>
      </c>
      <c r="AL996" s="31">
        <f>SUM($T996:Y996)</f>
        <v>0</v>
      </c>
      <c r="AM996" s="31">
        <f>SUM($T996:Z996)</f>
        <v>0</v>
      </c>
      <c r="AN996" s="31">
        <f>SUM($T996:AA996)</f>
        <v>0</v>
      </c>
      <c r="AO996" s="31">
        <f>SUM($T996:AB996)</f>
        <v>0</v>
      </c>
      <c r="AP996" s="31">
        <f>SUM($T996:AC996)</f>
        <v>0</v>
      </c>
      <c r="AQ996" s="31">
        <f>SUM($T996:AD996)</f>
        <v>0</v>
      </c>
      <c r="AR996" s="31">
        <f>SUM($T996:AE996)</f>
        <v>0</v>
      </c>
      <c r="AS996" s="27">
        <f t="shared" si="150"/>
        <v>0</v>
      </c>
    </row>
    <row r="997" spans="1:45">
      <c r="B997" s="102" t="str">
        <f>IF(ROW()-6&gt;NumCostCenter,"",IF(CostCenter&lt;&gt;"ALL",CostCenter,DATA_LF2!B995))</f>
        <v/>
      </c>
      <c r="C997" s="153" t="str">
        <f>IF($B997&lt;&gt;"",INDEX(DataOB[],FirstRow+ROW()-7,2),"")</f>
        <v/>
      </c>
      <c r="D997" s="66" t="str">
        <f>IF($B997&lt;&gt;"",INDEX(DataOB[],FirstRow+ROW()-7,3),"")</f>
        <v/>
      </c>
      <c r="E997" s="103" t="str">
        <f>IF($B997&lt;&gt;"",INDEX(DataOB[],FirstRow+ROW()-7,6),"")</f>
        <v/>
      </c>
      <c r="F997" s="103" t="str">
        <f>IF($B997&lt;&gt;"",INDEX(DataOB[],FirstRow+ROW()-7,5),"")</f>
        <v/>
      </c>
      <c r="G997" s="58">
        <f>IF($B997&lt;&gt;"",SUMIFS(DataAct_tbl[AMOUNT],DataAct_tbl[BG CODE],Detail!$D997,DataAct_tbl[MONTH],LEFT(MonthName,3),DataAct_tbl[Dept code],$B997),0)</f>
        <v>0</v>
      </c>
      <c r="H997" s="31" t="str">
        <f t="shared" si="142"/>
        <v/>
      </c>
      <c r="I997" s="28" t="str">
        <f t="shared" si="143"/>
        <v/>
      </c>
      <c r="J997" s="32" t="str">
        <f t="shared" si="144"/>
        <v/>
      </c>
      <c r="K997" s="86"/>
      <c r="L997" s="62">
        <f>IF($B997&lt;&gt;"",SUMIFS(DataAct_tbl[AMOUNT],DataAct_tbl[BG CODE],Detail!$D997,DataAct_tbl[Check Range],"=true",DataAct_tbl[Dept code],$B997),0)</f>
        <v>0</v>
      </c>
      <c r="M997" s="63">
        <f>INDEX($AG$7:$AR$1005,ROW()-6,MATCH(MTD,$AG$6:$AR$6,0))</f>
        <v>0</v>
      </c>
      <c r="N997" s="34">
        <f t="shared" si="145"/>
        <v>0</v>
      </c>
      <c r="O997" s="64" t="str">
        <f t="shared" si="146"/>
        <v xml:space="preserve"> </v>
      </c>
      <c r="Q997" s="97">
        <f t="shared" si="147"/>
        <v>0</v>
      </c>
      <c r="R997" s="96">
        <f t="shared" si="148"/>
        <v>0</v>
      </c>
      <c r="T997" s="67" t="str">
        <f>IF($B997&lt;&gt;"",INDEX(DataOB[],FirstRow+ROW()-7,MATCH(T$6,DataOB[#Headers],0)),"")</f>
        <v/>
      </c>
      <c r="U997" s="67" t="str">
        <f>IF($B997&lt;&gt;"",INDEX(DataOB[],FirstRow+ROW()-7,MATCH(U$6,DataOB[#Headers],0)),"")</f>
        <v/>
      </c>
      <c r="V997" s="67" t="str">
        <f>IF($B997&lt;&gt;"",INDEX(DataOB[],FirstRow+ROW()-7,MATCH(V$6,DataOB[#Headers],0)),"")</f>
        <v/>
      </c>
      <c r="W997" s="67" t="str">
        <f>IF($B997&lt;&gt;"",INDEX(DataOB[],FirstRow+ROW()-7,MATCH(W$6,DataOB[#Headers],0)),"")</f>
        <v/>
      </c>
      <c r="X997" s="67" t="str">
        <f>IF($B997&lt;&gt;"",INDEX(DataOB[],FirstRow+ROW()-7,MATCH(X$6,DataOB[#Headers],0)),"")</f>
        <v/>
      </c>
      <c r="Y997" s="67" t="str">
        <f>IF($B997&lt;&gt;"",INDEX(DataOB[],FirstRow+ROW()-7,MATCH(Y$6,DataOB[#Headers],0)),"")</f>
        <v/>
      </c>
      <c r="Z997" s="67" t="str">
        <f>IF($B997&lt;&gt;"",INDEX(DataOB[],FirstRow+ROW()-7,MATCH(Z$6,DataOB[#Headers],0)),"")</f>
        <v/>
      </c>
      <c r="AA997" s="67" t="str">
        <f>IF($B997&lt;&gt;"",INDEX(DataOB[],FirstRow+ROW()-7,MATCH(AA$6,DataOB[#Headers],0)),"")</f>
        <v/>
      </c>
      <c r="AB997" s="67" t="str">
        <f>IF($B997&lt;&gt;"",INDEX(DataOB[],FirstRow+ROW()-7,MATCH(AB$6,DataOB[#Headers],0)),"")</f>
        <v/>
      </c>
      <c r="AC997" s="67" t="str">
        <f>IF($B997&lt;&gt;"",INDEX(DataOB[],FirstRow+ROW()-7,MATCH(AC$6,DataOB[#Headers],0)),"")</f>
        <v/>
      </c>
      <c r="AD997" s="67" t="str">
        <f>IF($B997&lt;&gt;"",INDEX(DataOB[],FirstRow+ROW()-7,MATCH(AD$6,DataOB[#Headers],0)),"")</f>
        <v/>
      </c>
      <c r="AE997" s="67" t="str">
        <f>IF($B997&lt;&gt;"",INDEX(DataOB[],FirstRow+ROW()-7,MATCH(AE$6,DataOB[#Headers],0)),"")</f>
        <v/>
      </c>
      <c r="AF997" s="26">
        <f t="shared" si="149"/>
        <v>0</v>
      </c>
      <c r="AG997" s="31">
        <f>SUM($T997:T997)</f>
        <v>0</v>
      </c>
      <c r="AH997" s="31">
        <f>SUM($T997:U997)</f>
        <v>0</v>
      </c>
      <c r="AI997" s="31">
        <f>SUM($T997:V997)</f>
        <v>0</v>
      </c>
      <c r="AJ997" s="31">
        <f>SUM($T997:W997)</f>
        <v>0</v>
      </c>
      <c r="AK997" s="31">
        <f>SUM($T997:X997)</f>
        <v>0</v>
      </c>
      <c r="AL997" s="31">
        <f>SUM($T997:Y997)</f>
        <v>0</v>
      </c>
      <c r="AM997" s="31">
        <f>SUM($T997:Z997)</f>
        <v>0</v>
      </c>
      <c r="AN997" s="31">
        <f>SUM($T997:AA997)</f>
        <v>0</v>
      </c>
      <c r="AO997" s="31">
        <f>SUM($T997:AB997)</f>
        <v>0</v>
      </c>
      <c r="AP997" s="31">
        <f>SUM($T997:AC997)</f>
        <v>0</v>
      </c>
      <c r="AQ997" s="31">
        <f>SUM($T997:AD997)</f>
        <v>0</v>
      </c>
      <c r="AR997" s="31">
        <f>SUM($T997:AE997)</f>
        <v>0</v>
      </c>
      <c r="AS997" s="27">
        <f t="shared" si="150"/>
        <v>0</v>
      </c>
    </row>
    <row r="998" spans="1:45">
      <c r="B998" s="102" t="str">
        <f>IF(ROW()-6&gt;NumCostCenter,"",IF(CostCenter&lt;&gt;"ALL",CostCenter,DATA_LF2!B996))</f>
        <v/>
      </c>
      <c r="C998" s="153" t="str">
        <f>IF($B998&lt;&gt;"",INDEX(DataOB[],FirstRow+ROW()-7,2),"")</f>
        <v/>
      </c>
      <c r="D998" s="66" t="str">
        <f>IF($B998&lt;&gt;"",INDEX(DataOB[],FirstRow+ROW()-7,3),"")</f>
        <v/>
      </c>
      <c r="E998" s="103" t="str">
        <f>IF($B998&lt;&gt;"",INDEX(DataOB[],FirstRow+ROW()-7,6),"")</f>
        <v/>
      </c>
      <c r="F998" s="103" t="str">
        <f>IF($B998&lt;&gt;"",INDEX(DataOB[],FirstRow+ROW()-7,5),"")</f>
        <v/>
      </c>
      <c r="G998" s="58">
        <f>IF($B998&lt;&gt;"",SUMIFS(DataAct_tbl[AMOUNT],DataAct_tbl[BG CODE],Detail!$D998,DataAct_tbl[MONTH],LEFT(MonthName,3),DataAct_tbl[Dept code],$B998),0)</f>
        <v>0</v>
      </c>
      <c r="H998" s="31" t="str">
        <f t="shared" si="142"/>
        <v/>
      </c>
      <c r="I998" s="28" t="str">
        <f t="shared" si="143"/>
        <v/>
      </c>
      <c r="J998" s="32" t="str">
        <f t="shared" si="144"/>
        <v/>
      </c>
      <c r="K998" s="86"/>
      <c r="L998" s="62">
        <f>IF($B998&lt;&gt;"",SUMIFS(DataAct_tbl[AMOUNT],DataAct_tbl[BG CODE],Detail!$D998,DataAct_tbl[Check Range],"=true",DataAct_tbl[Dept code],$B998),0)</f>
        <v>0</v>
      </c>
      <c r="M998" s="63">
        <f>INDEX($AG$7:$AR$1005,ROW()-6,MATCH(MTD,$AG$6:$AR$6,0))</f>
        <v>0</v>
      </c>
      <c r="N998" s="34">
        <f t="shared" si="145"/>
        <v>0</v>
      </c>
      <c r="O998" s="64" t="str">
        <f t="shared" si="146"/>
        <v xml:space="preserve"> </v>
      </c>
      <c r="Q998" s="97">
        <f t="shared" si="147"/>
        <v>0</v>
      </c>
      <c r="R998" s="96">
        <f t="shared" si="148"/>
        <v>0</v>
      </c>
      <c r="T998" s="67" t="str">
        <f>IF($B998&lt;&gt;"",INDEX(DataOB[],FirstRow+ROW()-7,MATCH(T$6,DataOB[#Headers],0)),"")</f>
        <v/>
      </c>
      <c r="U998" s="67" t="str">
        <f>IF($B998&lt;&gt;"",INDEX(DataOB[],FirstRow+ROW()-7,MATCH(U$6,DataOB[#Headers],0)),"")</f>
        <v/>
      </c>
      <c r="V998" s="67" t="str">
        <f>IF($B998&lt;&gt;"",INDEX(DataOB[],FirstRow+ROW()-7,MATCH(V$6,DataOB[#Headers],0)),"")</f>
        <v/>
      </c>
      <c r="W998" s="67" t="str">
        <f>IF($B998&lt;&gt;"",INDEX(DataOB[],FirstRow+ROW()-7,MATCH(W$6,DataOB[#Headers],0)),"")</f>
        <v/>
      </c>
      <c r="X998" s="67" t="str">
        <f>IF($B998&lt;&gt;"",INDEX(DataOB[],FirstRow+ROW()-7,MATCH(X$6,DataOB[#Headers],0)),"")</f>
        <v/>
      </c>
      <c r="Y998" s="67" t="str">
        <f>IF($B998&lt;&gt;"",INDEX(DataOB[],FirstRow+ROW()-7,MATCH(Y$6,DataOB[#Headers],0)),"")</f>
        <v/>
      </c>
      <c r="Z998" s="67" t="str">
        <f>IF($B998&lt;&gt;"",INDEX(DataOB[],FirstRow+ROW()-7,MATCH(Z$6,DataOB[#Headers],0)),"")</f>
        <v/>
      </c>
      <c r="AA998" s="67" t="str">
        <f>IF($B998&lt;&gt;"",INDEX(DataOB[],FirstRow+ROW()-7,MATCH(AA$6,DataOB[#Headers],0)),"")</f>
        <v/>
      </c>
      <c r="AB998" s="67" t="str">
        <f>IF($B998&lt;&gt;"",INDEX(DataOB[],FirstRow+ROW()-7,MATCH(AB$6,DataOB[#Headers],0)),"")</f>
        <v/>
      </c>
      <c r="AC998" s="67" t="str">
        <f>IF($B998&lt;&gt;"",INDEX(DataOB[],FirstRow+ROW()-7,MATCH(AC$6,DataOB[#Headers],0)),"")</f>
        <v/>
      </c>
      <c r="AD998" s="67" t="str">
        <f>IF($B998&lt;&gt;"",INDEX(DataOB[],FirstRow+ROW()-7,MATCH(AD$6,DataOB[#Headers],0)),"")</f>
        <v/>
      </c>
      <c r="AE998" s="67" t="str">
        <f>IF($B998&lt;&gt;"",INDEX(DataOB[],FirstRow+ROW()-7,MATCH(AE$6,DataOB[#Headers],0)),"")</f>
        <v/>
      </c>
      <c r="AF998" s="26">
        <f t="shared" si="149"/>
        <v>0</v>
      </c>
      <c r="AG998" s="31">
        <f>SUM($T998:T998)</f>
        <v>0</v>
      </c>
      <c r="AH998" s="31">
        <f>SUM($T998:U998)</f>
        <v>0</v>
      </c>
      <c r="AI998" s="31">
        <f>SUM($T998:V998)</f>
        <v>0</v>
      </c>
      <c r="AJ998" s="31">
        <f>SUM($T998:W998)</f>
        <v>0</v>
      </c>
      <c r="AK998" s="31">
        <f>SUM($T998:X998)</f>
        <v>0</v>
      </c>
      <c r="AL998" s="31">
        <f>SUM($T998:Y998)</f>
        <v>0</v>
      </c>
      <c r="AM998" s="31">
        <f>SUM($T998:Z998)</f>
        <v>0</v>
      </c>
      <c r="AN998" s="31">
        <f>SUM($T998:AA998)</f>
        <v>0</v>
      </c>
      <c r="AO998" s="31">
        <f>SUM($T998:AB998)</f>
        <v>0</v>
      </c>
      <c r="AP998" s="31">
        <f>SUM($T998:AC998)</f>
        <v>0</v>
      </c>
      <c r="AQ998" s="31">
        <f>SUM($T998:AD998)</f>
        <v>0</v>
      </c>
      <c r="AR998" s="31">
        <f>SUM($T998:AE998)</f>
        <v>0</v>
      </c>
      <c r="AS998" s="27">
        <f t="shared" si="150"/>
        <v>0</v>
      </c>
    </row>
    <row r="999" spans="1:45">
      <c r="B999" s="102" t="str">
        <f>IF(ROW()-6&gt;NumCostCenter,"",IF(CostCenter&lt;&gt;"ALL",CostCenter,DATA_LF2!B997))</f>
        <v/>
      </c>
      <c r="C999" s="153" t="str">
        <f>IF($B999&lt;&gt;"",INDEX(DataOB[],FirstRow+ROW()-7,2),"")</f>
        <v/>
      </c>
      <c r="D999" s="66" t="str">
        <f>IF($B999&lt;&gt;"",INDEX(DataOB[],FirstRow+ROW()-7,3),"")</f>
        <v/>
      </c>
      <c r="E999" s="103" t="str">
        <f>IF($B999&lt;&gt;"",INDEX(DataOB[],FirstRow+ROW()-7,6),"")</f>
        <v/>
      </c>
      <c r="F999" s="103" t="str">
        <f>IF($B999&lt;&gt;"",INDEX(DataOB[],FirstRow+ROW()-7,5),"")</f>
        <v/>
      </c>
      <c r="G999" s="58">
        <f>IF($B999&lt;&gt;"",SUMIFS(DataAct_tbl[AMOUNT],DataAct_tbl[BG CODE],Detail!$D999,DataAct_tbl[MONTH],LEFT(MonthName,3),DataAct_tbl[Dept code],$B999),0)</f>
        <v>0</v>
      </c>
      <c r="H999" s="31" t="str">
        <f t="shared" si="142"/>
        <v/>
      </c>
      <c r="I999" s="28" t="str">
        <f t="shared" si="143"/>
        <v/>
      </c>
      <c r="J999" s="32" t="str">
        <f t="shared" si="144"/>
        <v/>
      </c>
      <c r="K999" s="86"/>
      <c r="L999" s="62">
        <f>IF($B999&lt;&gt;"",SUMIFS(DataAct_tbl[AMOUNT],DataAct_tbl[BG CODE],Detail!$D999,DataAct_tbl[Check Range],"=true",DataAct_tbl[Dept code],$B999),0)</f>
        <v>0</v>
      </c>
      <c r="M999" s="63">
        <f>INDEX($AG$7:$AR$1005,ROW()-6,MATCH(MTD,$AG$6:$AR$6,0))</f>
        <v>0</v>
      </c>
      <c r="N999" s="34">
        <f t="shared" si="145"/>
        <v>0</v>
      </c>
      <c r="O999" s="64" t="str">
        <f t="shared" si="146"/>
        <v xml:space="preserve"> </v>
      </c>
      <c r="Q999" s="97">
        <f t="shared" si="147"/>
        <v>0</v>
      </c>
      <c r="R999" s="96">
        <f t="shared" si="148"/>
        <v>0</v>
      </c>
      <c r="T999" s="67" t="str">
        <f>IF($B999&lt;&gt;"",INDEX(DataOB[],FirstRow+ROW()-7,MATCH(T$6,DataOB[#Headers],0)),"")</f>
        <v/>
      </c>
      <c r="U999" s="67" t="str">
        <f>IF($B999&lt;&gt;"",INDEX(DataOB[],FirstRow+ROW()-7,MATCH(U$6,DataOB[#Headers],0)),"")</f>
        <v/>
      </c>
      <c r="V999" s="67" t="str">
        <f>IF($B999&lt;&gt;"",INDEX(DataOB[],FirstRow+ROW()-7,MATCH(V$6,DataOB[#Headers],0)),"")</f>
        <v/>
      </c>
      <c r="W999" s="67" t="str">
        <f>IF($B999&lt;&gt;"",INDEX(DataOB[],FirstRow+ROW()-7,MATCH(W$6,DataOB[#Headers],0)),"")</f>
        <v/>
      </c>
      <c r="X999" s="67" t="str">
        <f>IF($B999&lt;&gt;"",INDEX(DataOB[],FirstRow+ROW()-7,MATCH(X$6,DataOB[#Headers],0)),"")</f>
        <v/>
      </c>
      <c r="Y999" s="67" t="str">
        <f>IF($B999&lt;&gt;"",INDEX(DataOB[],FirstRow+ROW()-7,MATCH(Y$6,DataOB[#Headers],0)),"")</f>
        <v/>
      </c>
      <c r="Z999" s="67" t="str">
        <f>IF($B999&lt;&gt;"",INDEX(DataOB[],FirstRow+ROW()-7,MATCH(Z$6,DataOB[#Headers],0)),"")</f>
        <v/>
      </c>
      <c r="AA999" s="67" t="str">
        <f>IF($B999&lt;&gt;"",INDEX(DataOB[],FirstRow+ROW()-7,MATCH(AA$6,DataOB[#Headers],0)),"")</f>
        <v/>
      </c>
      <c r="AB999" s="67" t="str">
        <f>IF($B999&lt;&gt;"",INDEX(DataOB[],FirstRow+ROW()-7,MATCH(AB$6,DataOB[#Headers],0)),"")</f>
        <v/>
      </c>
      <c r="AC999" s="67" t="str">
        <f>IF($B999&lt;&gt;"",INDEX(DataOB[],FirstRow+ROW()-7,MATCH(AC$6,DataOB[#Headers],0)),"")</f>
        <v/>
      </c>
      <c r="AD999" s="67" t="str">
        <f>IF($B999&lt;&gt;"",INDEX(DataOB[],FirstRow+ROW()-7,MATCH(AD$6,DataOB[#Headers],0)),"")</f>
        <v/>
      </c>
      <c r="AE999" s="67" t="str">
        <f>IF($B999&lt;&gt;"",INDEX(DataOB[],FirstRow+ROW()-7,MATCH(AE$6,DataOB[#Headers],0)),"")</f>
        <v/>
      </c>
      <c r="AF999" s="26">
        <f t="shared" si="149"/>
        <v>0</v>
      </c>
      <c r="AG999" s="31">
        <f>SUM($T999:T999)</f>
        <v>0</v>
      </c>
      <c r="AH999" s="31">
        <f>SUM($T999:U999)</f>
        <v>0</v>
      </c>
      <c r="AI999" s="31">
        <f>SUM($T999:V999)</f>
        <v>0</v>
      </c>
      <c r="AJ999" s="31">
        <f>SUM($T999:W999)</f>
        <v>0</v>
      </c>
      <c r="AK999" s="31">
        <f>SUM($T999:X999)</f>
        <v>0</v>
      </c>
      <c r="AL999" s="31">
        <f>SUM($T999:Y999)</f>
        <v>0</v>
      </c>
      <c r="AM999" s="31">
        <f>SUM($T999:Z999)</f>
        <v>0</v>
      </c>
      <c r="AN999" s="31">
        <f>SUM($T999:AA999)</f>
        <v>0</v>
      </c>
      <c r="AO999" s="31">
        <f>SUM($T999:AB999)</f>
        <v>0</v>
      </c>
      <c r="AP999" s="31">
        <f>SUM($T999:AC999)</f>
        <v>0</v>
      </c>
      <c r="AQ999" s="31">
        <f>SUM($T999:AD999)</f>
        <v>0</v>
      </c>
      <c r="AR999" s="31">
        <f>SUM($T999:AE999)</f>
        <v>0</v>
      </c>
      <c r="AS999" s="27">
        <f t="shared" si="150"/>
        <v>0</v>
      </c>
    </row>
    <row r="1000" spans="1:45">
      <c r="B1000" s="102" t="str">
        <f>IF(ROW()-6&gt;NumCostCenter,"",IF(CostCenter&lt;&gt;"ALL",CostCenter,DATA_LF2!B998))</f>
        <v/>
      </c>
      <c r="C1000" s="153" t="str">
        <f>IF($B1000&lt;&gt;"",INDEX(DataOB[],FirstRow+ROW()-7,2),"")</f>
        <v/>
      </c>
      <c r="D1000" s="66" t="str">
        <f>IF($B1000&lt;&gt;"",INDEX(DataOB[],FirstRow+ROW()-7,3),"")</f>
        <v/>
      </c>
      <c r="E1000" s="103" t="str">
        <f>IF($B1000&lt;&gt;"",INDEX(DataOB[],FirstRow+ROW()-7,6),"")</f>
        <v/>
      </c>
      <c r="F1000" s="103" t="str">
        <f>IF($B1000&lt;&gt;"",INDEX(DataOB[],FirstRow+ROW()-7,5),"")</f>
        <v/>
      </c>
      <c r="G1000" s="58">
        <f>IF($B1000&lt;&gt;"",SUMIFS(DataAct_tbl[AMOUNT],DataAct_tbl[BG CODE],Detail!$D1000,DataAct_tbl[MONTH],LEFT(MonthName,3),DataAct_tbl[Dept code],$B1000),0)</f>
        <v>0</v>
      </c>
      <c r="H1000" s="31" t="str">
        <f t="shared" si="142"/>
        <v/>
      </c>
      <c r="I1000" s="28" t="str">
        <f t="shared" si="143"/>
        <v/>
      </c>
      <c r="J1000" s="32" t="str">
        <f t="shared" si="144"/>
        <v/>
      </c>
      <c r="K1000" s="86"/>
      <c r="L1000" s="62">
        <f>IF($B1000&lt;&gt;"",SUMIFS(DataAct_tbl[AMOUNT],DataAct_tbl[BG CODE],Detail!$D1000,DataAct_tbl[Check Range],"=true",DataAct_tbl[Dept code],$B1000),0)</f>
        <v>0</v>
      </c>
      <c r="M1000" s="63">
        <f>INDEX($AG$7:$AR$1005,ROW()-6,MATCH(MTD,$AG$6:$AR$6,0))</f>
        <v>0</v>
      </c>
      <c r="N1000" s="34">
        <f t="shared" si="145"/>
        <v>0</v>
      </c>
      <c r="O1000" s="64" t="str">
        <f t="shared" si="146"/>
        <v xml:space="preserve"> </v>
      </c>
      <c r="Q1000" s="97">
        <f t="shared" si="147"/>
        <v>0</v>
      </c>
      <c r="R1000" s="96">
        <f t="shared" si="148"/>
        <v>0</v>
      </c>
      <c r="T1000" s="67" t="str">
        <f>IF($B1000&lt;&gt;"",INDEX(DataOB[],FirstRow+ROW()-7,MATCH(T$6,DataOB[#Headers],0)),"")</f>
        <v/>
      </c>
      <c r="U1000" s="67" t="str">
        <f>IF($B1000&lt;&gt;"",INDEX(DataOB[],FirstRow+ROW()-7,MATCH(U$6,DataOB[#Headers],0)),"")</f>
        <v/>
      </c>
      <c r="V1000" s="67" t="str">
        <f>IF($B1000&lt;&gt;"",INDEX(DataOB[],FirstRow+ROW()-7,MATCH(V$6,DataOB[#Headers],0)),"")</f>
        <v/>
      </c>
      <c r="W1000" s="67" t="str">
        <f>IF($B1000&lt;&gt;"",INDEX(DataOB[],FirstRow+ROW()-7,MATCH(W$6,DataOB[#Headers],0)),"")</f>
        <v/>
      </c>
      <c r="X1000" s="67" t="str">
        <f>IF($B1000&lt;&gt;"",INDEX(DataOB[],FirstRow+ROW()-7,MATCH(X$6,DataOB[#Headers],0)),"")</f>
        <v/>
      </c>
      <c r="Y1000" s="67" t="str">
        <f>IF($B1000&lt;&gt;"",INDEX(DataOB[],FirstRow+ROW()-7,MATCH(Y$6,DataOB[#Headers],0)),"")</f>
        <v/>
      </c>
      <c r="Z1000" s="67" t="str">
        <f>IF($B1000&lt;&gt;"",INDEX(DataOB[],FirstRow+ROW()-7,MATCH(Z$6,DataOB[#Headers],0)),"")</f>
        <v/>
      </c>
      <c r="AA1000" s="67" t="str">
        <f>IF($B1000&lt;&gt;"",INDEX(DataOB[],FirstRow+ROW()-7,MATCH(AA$6,DataOB[#Headers],0)),"")</f>
        <v/>
      </c>
      <c r="AB1000" s="67" t="str">
        <f>IF($B1000&lt;&gt;"",INDEX(DataOB[],FirstRow+ROW()-7,MATCH(AB$6,DataOB[#Headers],0)),"")</f>
        <v/>
      </c>
      <c r="AC1000" s="67" t="str">
        <f>IF($B1000&lt;&gt;"",INDEX(DataOB[],FirstRow+ROW()-7,MATCH(AC$6,DataOB[#Headers],0)),"")</f>
        <v/>
      </c>
      <c r="AD1000" s="67" t="str">
        <f>IF($B1000&lt;&gt;"",INDEX(DataOB[],FirstRow+ROW()-7,MATCH(AD$6,DataOB[#Headers],0)),"")</f>
        <v/>
      </c>
      <c r="AE1000" s="67" t="str">
        <f>IF($B1000&lt;&gt;"",INDEX(DataOB[],FirstRow+ROW()-7,MATCH(AE$6,DataOB[#Headers],0)),"")</f>
        <v/>
      </c>
      <c r="AF1000" s="26">
        <f t="shared" si="149"/>
        <v>0</v>
      </c>
      <c r="AG1000" s="31">
        <f>SUM($T1000:T1000)</f>
        <v>0</v>
      </c>
      <c r="AH1000" s="31">
        <f>SUM($T1000:U1000)</f>
        <v>0</v>
      </c>
      <c r="AI1000" s="31">
        <f>SUM($T1000:V1000)</f>
        <v>0</v>
      </c>
      <c r="AJ1000" s="31">
        <f>SUM($T1000:W1000)</f>
        <v>0</v>
      </c>
      <c r="AK1000" s="31">
        <f>SUM($T1000:X1000)</f>
        <v>0</v>
      </c>
      <c r="AL1000" s="31">
        <f>SUM($T1000:Y1000)</f>
        <v>0</v>
      </c>
      <c r="AM1000" s="31">
        <f>SUM($T1000:Z1000)</f>
        <v>0</v>
      </c>
      <c r="AN1000" s="31">
        <f>SUM($T1000:AA1000)</f>
        <v>0</v>
      </c>
      <c r="AO1000" s="31">
        <f>SUM($T1000:AB1000)</f>
        <v>0</v>
      </c>
      <c r="AP1000" s="31">
        <f>SUM($T1000:AC1000)</f>
        <v>0</v>
      </c>
      <c r="AQ1000" s="31">
        <f>SUM($T1000:AD1000)</f>
        <v>0</v>
      </c>
      <c r="AR1000" s="31">
        <f>SUM($T1000:AE1000)</f>
        <v>0</v>
      </c>
      <c r="AS1000" s="27">
        <f t="shared" si="150"/>
        <v>0</v>
      </c>
    </row>
    <row r="1001" spans="1:45">
      <c r="B1001" s="102" t="str">
        <f>IF(ROW()-6&gt;NumCostCenter,"",IF(CostCenter&lt;&gt;"ALL",CostCenter,DATA_LF2!B999))</f>
        <v/>
      </c>
      <c r="C1001" s="153" t="str">
        <f>IF($B1001&lt;&gt;"",INDEX(DataOB[],FirstRow+ROW()-7,2),"")</f>
        <v/>
      </c>
      <c r="D1001" s="66" t="str">
        <f>IF($B1001&lt;&gt;"",INDEX(DataOB[],FirstRow+ROW()-7,3),"")</f>
        <v/>
      </c>
      <c r="E1001" s="103" t="str">
        <f>IF($B1001&lt;&gt;"",INDEX(DataOB[],FirstRow+ROW()-7,6),"")</f>
        <v/>
      </c>
      <c r="F1001" s="103" t="str">
        <f>IF($B1001&lt;&gt;"",INDEX(DataOB[],FirstRow+ROW()-7,5),"")</f>
        <v/>
      </c>
      <c r="G1001" s="58">
        <f>IF($B1001&lt;&gt;"",SUMIFS(DataAct_tbl[AMOUNT],DataAct_tbl[BG CODE],Detail!$D1001,DataAct_tbl[MONTH],LEFT(MonthName,3),DataAct_tbl[Dept code],$B1001),0)</f>
        <v>0</v>
      </c>
      <c r="H1001" s="31" t="str">
        <f t="shared" si="142"/>
        <v/>
      </c>
      <c r="I1001" s="28" t="str">
        <f t="shared" si="143"/>
        <v/>
      </c>
      <c r="J1001" s="32" t="str">
        <f t="shared" si="144"/>
        <v/>
      </c>
      <c r="K1001" s="86"/>
      <c r="L1001" s="62">
        <f>IF($B1001&lt;&gt;"",SUMIFS(DataAct_tbl[AMOUNT],DataAct_tbl[BG CODE],Detail!$D1001,DataAct_tbl[Check Range],"=true",DataAct_tbl[Dept code],$B1001),0)</f>
        <v>0</v>
      </c>
      <c r="M1001" s="63">
        <f>INDEX($AG$7:$AR$1005,ROW()-6,MATCH(MTD,$AG$6:$AR$6,0))</f>
        <v>0</v>
      </c>
      <c r="N1001" s="34">
        <f t="shared" si="145"/>
        <v>0</v>
      </c>
      <c r="O1001" s="64" t="str">
        <f t="shared" si="146"/>
        <v xml:space="preserve"> </v>
      </c>
      <c r="Q1001" s="97">
        <f t="shared" si="147"/>
        <v>0</v>
      </c>
      <c r="R1001" s="96">
        <f t="shared" si="148"/>
        <v>0</v>
      </c>
      <c r="T1001" s="67" t="str">
        <f>IF($B1001&lt;&gt;"",INDEX(DataOB[],FirstRow+ROW()-7,MATCH(T$6,DataOB[#Headers],0)),"")</f>
        <v/>
      </c>
      <c r="U1001" s="67" t="str">
        <f>IF($B1001&lt;&gt;"",INDEX(DataOB[],FirstRow+ROW()-7,MATCH(U$6,DataOB[#Headers],0)),"")</f>
        <v/>
      </c>
      <c r="V1001" s="67" t="str">
        <f>IF($B1001&lt;&gt;"",INDEX(DataOB[],FirstRow+ROW()-7,MATCH(V$6,DataOB[#Headers],0)),"")</f>
        <v/>
      </c>
      <c r="W1001" s="67" t="str">
        <f>IF($B1001&lt;&gt;"",INDEX(DataOB[],FirstRow+ROW()-7,MATCH(W$6,DataOB[#Headers],0)),"")</f>
        <v/>
      </c>
      <c r="X1001" s="67" t="str">
        <f>IF($B1001&lt;&gt;"",INDEX(DataOB[],FirstRow+ROW()-7,MATCH(X$6,DataOB[#Headers],0)),"")</f>
        <v/>
      </c>
      <c r="Y1001" s="67" t="str">
        <f>IF($B1001&lt;&gt;"",INDEX(DataOB[],FirstRow+ROW()-7,MATCH(Y$6,DataOB[#Headers],0)),"")</f>
        <v/>
      </c>
      <c r="Z1001" s="67" t="str">
        <f>IF($B1001&lt;&gt;"",INDEX(DataOB[],FirstRow+ROW()-7,MATCH(Z$6,DataOB[#Headers],0)),"")</f>
        <v/>
      </c>
      <c r="AA1001" s="67" t="str">
        <f>IF($B1001&lt;&gt;"",INDEX(DataOB[],FirstRow+ROW()-7,MATCH(AA$6,DataOB[#Headers],0)),"")</f>
        <v/>
      </c>
      <c r="AB1001" s="67" t="str">
        <f>IF($B1001&lt;&gt;"",INDEX(DataOB[],FirstRow+ROW()-7,MATCH(AB$6,DataOB[#Headers],0)),"")</f>
        <v/>
      </c>
      <c r="AC1001" s="67" t="str">
        <f>IF($B1001&lt;&gt;"",INDEX(DataOB[],FirstRow+ROW()-7,MATCH(AC$6,DataOB[#Headers],0)),"")</f>
        <v/>
      </c>
      <c r="AD1001" s="67" t="str">
        <f>IF($B1001&lt;&gt;"",INDEX(DataOB[],FirstRow+ROW()-7,MATCH(AD$6,DataOB[#Headers],0)),"")</f>
        <v/>
      </c>
      <c r="AE1001" s="67" t="str">
        <f>IF($B1001&lt;&gt;"",INDEX(DataOB[],FirstRow+ROW()-7,MATCH(AE$6,DataOB[#Headers],0)),"")</f>
        <v/>
      </c>
      <c r="AF1001" s="26">
        <f t="shared" si="149"/>
        <v>0</v>
      </c>
      <c r="AG1001" s="31">
        <f>SUM($T1001:T1001)</f>
        <v>0</v>
      </c>
      <c r="AH1001" s="31">
        <f>SUM($T1001:U1001)</f>
        <v>0</v>
      </c>
      <c r="AI1001" s="31">
        <f>SUM($T1001:V1001)</f>
        <v>0</v>
      </c>
      <c r="AJ1001" s="31">
        <f>SUM($T1001:W1001)</f>
        <v>0</v>
      </c>
      <c r="AK1001" s="31">
        <f>SUM($T1001:X1001)</f>
        <v>0</v>
      </c>
      <c r="AL1001" s="31">
        <f>SUM($T1001:Y1001)</f>
        <v>0</v>
      </c>
      <c r="AM1001" s="31">
        <f>SUM($T1001:Z1001)</f>
        <v>0</v>
      </c>
      <c r="AN1001" s="31">
        <f>SUM($T1001:AA1001)</f>
        <v>0</v>
      </c>
      <c r="AO1001" s="31">
        <f>SUM($T1001:AB1001)</f>
        <v>0</v>
      </c>
      <c r="AP1001" s="31">
        <f>SUM($T1001:AC1001)</f>
        <v>0</v>
      </c>
      <c r="AQ1001" s="31">
        <f>SUM($T1001:AD1001)</f>
        <v>0</v>
      </c>
      <c r="AR1001" s="31">
        <f>SUM($T1001:AE1001)</f>
        <v>0</v>
      </c>
      <c r="AS1001" s="27">
        <f t="shared" si="150"/>
        <v>0</v>
      </c>
    </row>
    <row r="1002" spans="1:45">
      <c r="B1002" s="102" t="str">
        <f>IF(ROW()-6&gt;NumCostCenter,"",IF(CostCenter&lt;&gt;"ALL",CostCenter,DATA_LF2!B1000))</f>
        <v/>
      </c>
      <c r="C1002" s="153" t="str">
        <f>IF($B1002&lt;&gt;"",INDEX(DataOB[],FirstRow+ROW()-7,2),"")</f>
        <v/>
      </c>
      <c r="D1002" s="66" t="str">
        <f>IF($B1002&lt;&gt;"",INDEX(DataOB[],FirstRow+ROW()-7,3),"")</f>
        <v/>
      </c>
      <c r="E1002" s="103" t="str">
        <f>IF($B1002&lt;&gt;"",INDEX(DataOB[],FirstRow+ROW()-7,6),"")</f>
        <v/>
      </c>
      <c r="F1002" s="103" t="str">
        <f>IF($B1002&lt;&gt;"",INDEX(DataOB[],FirstRow+ROW()-7,5),"")</f>
        <v/>
      </c>
      <c r="G1002" s="58">
        <f>IF($B1002&lt;&gt;"",SUMIFS(DataAct_tbl[AMOUNT],DataAct_tbl[BG CODE],Detail!$D1002,DataAct_tbl[MONTH],LEFT(MonthName,3),DataAct_tbl[Dept code],$B1002),0)</f>
        <v>0</v>
      </c>
      <c r="H1002" s="31" t="str">
        <f t="shared" si="142"/>
        <v/>
      </c>
      <c r="I1002" s="28" t="str">
        <f t="shared" si="143"/>
        <v/>
      </c>
      <c r="J1002" s="32" t="str">
        <f t="shared" si="144"/>
        <v/>
      </c>
      <c r="K1002" s="86"/>
      <c r="L1002" s="62">
        <f>IF($B1002&lt;&gt;"",SUMIFS(DataAct_tbl[AMOUNT],DataAct_tbl[BG CODE],Detail!$D1002,DataAct_tbl[Check Range],"=true",DataAct_tbl[Dept code],$B1002),0)</f>
        <v>0</v>
      </c>
      <c r="M1002" s="63">
        <f>INDEX($AG$7:$AR$1005,ROW()-6,MATCH(MTD,$AG$6:$AR$6,0))</f>
        <v>0</v>
      </c>
      <c r="N1002" s="34">
        <f t="shared" si="145"/>
        <v>0</v>
      </c>
      <c r="O1002" s="64" t="str">
        <f t="shared" si="146"/>
        <v xml:space="preserve"> </v>
      </c>
      <c r="Q1002" s="97">
        <f t="shared" si="147"/>
        <v>0</v>
      </c>
      <c r="R1002" s="96">
        <f t="shared" si="148"/>
        <v>0</v>
      </c>
      <c r="T1002" s="67" t="str">
        <f>IF($B1002&lt;&gt;"",INDEX(DataOB[],FirstRow+ROW()-7,MATCH(T$6,DataOB[#Headers],0)),"")</f>
        <v/>
      </c>
      <c r="U1002" s="67" t="str">
        <f>IF($B1002&lt;&gt;"",INDEX(DataOB[],FirstRow+ROW()-7,MATCH(U$6,DataOB[#Headers],0)),"")</f>
        <v/>
      </c>
      <c r="V1002" s="67" t="str">
        <f>IF($B1002&lt;&gt;"",INDEX(DataOB[],FirstRow+ROW()-7,MATCH(V$6,DataOB[#Headers],0)),"")</f>
        <v/>
      </c>
      <c r="W1002" s="67" t="str">
        <f>IF($B1002&lt;&gt;"",INDEX(DataOB[],FirstRow+ROW()-7,MATCH(W$6,DataOB[#Headers],0)),"")</f>
        <v/>
      </c>
      <c r="X1002" s="67" t="str">
        <f>IF($B1002&lt;&gt;"",INDEX(DataOB[],FirstRow+ROW()-7,MATCH(X$6,DataOB[#Headers],0)),"")</f>
        <v/>
      </c>
      <c r="Y1002" s="67" t="str">
        <f>IF($B1002&lt;&gt;"",INDEX(DataOB[],FirstRow+ROW()-7,MATCH(Y$6,DataOB[#Headers],0)),"")</f>
        <v/>
      </c>
      <c r="Z1002" s="67" t="str">
        <f>IF($B1002&lt;&gt;"",INDEX(DataOB[],FirstRow+ROW()-7,MATCH(Z$6,DataOB[#Headers],0)),"")</f>
        <v/>
      </c>
      <c r="AA1002" s="67" t="str">
        <f>IF($B1002&lt;&gt;"",INDEX(DataOB[],FirstRow+ROW()-7,MATCH(AA$6,DataOB[#Headers],0)),"")</f>
        <v/>
      </c>
      <c r="AB1002" s="67" t="str">
        <f>IF($B1002&lt;&gt;"",INDEX(DataOB[],FirstRow+ROW()-7,MATCH(AB$6,DataOB[#Headers],0)),"")</f>
        <v/>
      </c>
      <c r="AC1002" s="67" t="str">
        <f>IF($B1002&lt;&gt;"",INDEX(DataOB[],FirstRow+ROW()-7,MATCH(AC$6,DataOB[#Headers],0)),"")</f>
        <v/>
      </c>
      <c r="AD1002" s="67" t="str">
        <f>IF($B1002&lt;&gt;"",INDEX(DataOB[],FirstRow+ROW()-7,MATCH(AD$6,DataOB[#Headers],0)),"")</f>
        <v/>
      </c>
      <c r="AE1002" s="67" t="str">
        <f>IF($B1002&lt;&gt;"",INDEX(DataOB[],FirstRow+ROW()-7,MATCH(AE$6,DataOB[#Headers],0)),"")</f>
        <v/>
      </c>
      <c r="AF1002" s="26">
        <f t="shared" si="149"/>
        <v>0</v>
      </c>
      <c r="AG1002" s="31">
        <f>SUM($T1002:T1002)</f>
        <v>0</v>
      </c>
      <c r="AH1002" s="31">
        <f>SUM($T1002:U1002)</f>
        <v>0</v>
      </c>
      <c r="AI1002" s="31">
        <f>SUM($T1002:V1002)</f>
        <v>0</v>
      </c>
      <c r="AJ1002" s="31">
        <f>SUM($T1002:W1002)</f>
        <v>0</v>
      </c>
      <c r="AK1002" s="31">
        <f>SUM($T1002:X1002)</f>
        <v>0</v>
      </c>
      <c r="AL1002" s="31">
        <f>SUM($T1002:Y1002)</f>
        <v>0</v>
      </c>
      <c r="AM1002" s="31">
        <f>SUM($T1002:Z1002)</f>
        <v>0</v>
      </c>
      <c r="AN1002" s="31">
        <f>SUM($T1002:AA1002)</f>
        <v>0</v>
      </c>
      <c r="AO1002" s="31">
        <f>SUM($T1002:AB1002)</f>
        <v>0</v>
      </c>
      <c r="AP1002" s="31">
        <f>SUM($T1002:AC1002)</f>
        <v>0</v>
      </c>
      <c r="AQ1002" s="31">
        <f>SUM($T1002:AD1002)</f>
        <v>0</v>
      </c>
      <c r="AR1002" s="31">
        <f>SUM($T1002:AE1002)</f>
        <v>0</v>
      </c>
      <c r="AS1002" s="27">
        <f t="shared" si="150"/>
        <v>0</v>
      </c>
    </row>
    <row r="1003" spans="1:45">
      <c r="B1003" s="102" t="str">
        <f>IF(ROW()-6&gt;NumCostCenter,"",IF(CostCenter&lt;&gt;"ALL",CostCenter,DATA_LF2!B1001))</f>
        <v/>
      </c>
      <c r="C1003" s="153" t="str">
        <f>IF($B1003&lt;&gt;"",INDEX(DataOB[],FirstRow+ROW()-7,2),"")</f>
        <v/>
      </c>
      <c r="D1003" s="66" t="str">
        <f>IF($B1003&lt;&gt;"",INDEX(DataOB[],FirstRow+ROW()-7,3),"")</f>
        <v/>
      </c>
      <c r="E1003" s="103" t="str">
        <f>IF($B1003&lt;&gt;"",INDEX(DataOB[],FirstRow+ROW()-7,6),"")</f>
        <v/>
      </c>
      <c r="F1003" s="103" t="str">
        <f>IF($B1003&lt;&gt;"",INDEX(DataOB[],FirstRow+ROW()-7,5),"")</f>
        <v/>
      </c>
      <c r="G1003" s="58">
        <f>IF($B1003&lt;&gt;"",SUMIFS(DataAct_tbl[AMOUNT],DataAct_tbl[BG CODE],Detail!$D1003,DataAct_tbl[MONTH],LEFT(MonthName,3),DataAct_tbl[Dept code],$B1003),0)</f>
        <v>0</v>
      </c>
      <c r="H1003" s="31" t="str">
        <f t="shared" si="142"/>
        <v/>
      </c>
      <c r="I1003" s="28" t="str">
        <f t="shared" si="143"/>
        <v/>
      </c>
      <c r="J1003" s="32" t="str">
        <f t="shared" si="144"/>
        <v/>
      </c>
      <c r="K1003" s="86"/>
      <c r="L1003" s="62">
        <f>IF($B1003&lt;&gt;"",SUMIFS(DataAct_tbl[AMOUNT],DataAct_tbl[BG CODE],Detail!$D1003,DataAct_tbl[Check Range],"=true",DataAct_tbl[Dept code],$B1003),0)</f>
        <v>0</v>
      </c>
      <c r="M1003" s="63">
        <f>INDEX($AG$7:$AR$1005,ROW()-6,MATCH(MTD,$AG$6:$AR$6,0))</f>
        <v>0</v>
      </c>
      <c r="N1003" s="34">
        <f t="shared" si="145"/>
        <v>0</v>
      </c>
      <c r="O1003" s="64" t="str">
        <f t="shared" si="146"/>
        <v xml:space="preserve"> </v>
      </c>
      <c r="Q1003" s="97">
        <f t="shared" si="147"/>
        <v>0</v>
      </c>
      <c r="R1003" s="96">
        <f t="shared" si="148"/>
        <v>0</v>
      </c>
      <c r="T1003" s="67" t="str">
        <f>IF($B1003&lt;&gt;"",INDEX(DataOB[],FirstRow+ROW()-7,MATCH(T$6,DataOB[#Headers],0)),"")</f>
        <v/>
      </c>
      <c r="U1003" s="67" t="str">
        <f>IF($B1003&lt;&gt;"",INDEX(DataOB[],FirstRow+ROW()-7,MATCH(U$6,DataOB[#Headers],0)),"")</f>
        <v/>
      </c>
      <c r="V1003" s="67" t="str">
        <f>IF($B1003&lt;&gt;"",INDEX(DataOB[],FirstRow+ROW()-7,MATCH(V$6,DataOB[#Headers],0)),"")</f>
        <v/>
      </c>
      <c r="W1003" s="67" t="str">
        <f>IF($B1003&lt;&gt;"",INDEX(DataOB[],FirstRow+ROW()-7,MATCH(W$6,DataOB[#Headers],0)),"")</f>
        <v/>
      </c>
      <c r="X1003" s="67" t="str">
        <f>IF($B1003&lt;&gt;"",INDEX(DataOB[],FirstRow+ROW()-7,MATCH(X$6,DataOB[#Headers],0)),"")</f>
        <v/>
      </c>
      <c r="Y1003" s="67" t="str">
        <f>IF($B1003&lt;&gt;"",INDEX(DataOB[],FirstRow+ROW()-7,MATCH(Y$6,DataOB[#Headers],0)),"")</f>
        <v/>
      </c>
      <c r="Z1003" s="67" t="str">
        <f>IF($B1003&lt;&gt;"",INDEX(DataOB[],FirstRow+ROW()-7,MATCH(Z$6,DataOB[#Headers],0)),"")</f>
        <v/>
      </c>
      <c r="AA1003" s="67" t="str">
        <f>IF($B1003&lt;&gt;"",INDEX(DataOB[],FirstRow+ROW()-7,MATCH(AA$6,DataOB[#Headers],0)),"")</f>
        <v/>
      </c>
      <c r="AB1003" s="67" t="str">
        <f>IF($B1003&lt;&gt;"",INDEX(DataOB[],FirstRow+ROW()-7,MATCH(AB$6,DataOB[#Headers],0)),"")</f>
        <v/>
      </c>
      <c r="AC1003" s="67" t="str">
        <f>IF($B1003&lt;&gt;"",INDEX(DataOB[],FirstRow+ROW()-7,MATCH(AC$6,DataOB[#Headers],0)),"")</f>
        <v/>
      </c>
      <c r="AD1003" s="67" t="str">
        <f>IF($B1003&lt;&gt;"",INDEX(DataOB[],FirstRow+ROW()-7,MATCH(AD$6,DataOB[#Headers],0)),"")</f>
        <v/>
      </c>
      <c r="AE1003" s="67" t="str">
        <f>IF($B1003&lt;&gt;"",INDEX(DataOB[],FirstRow+ROW()-7,MATCH(AE$6,DataOB[#Headers],0)),"")</f>
        <v/>
      </c>
      <c r="AF1003" s="26">
        <f t="shared" si="149"/>
        <v>0</v>
      </c>
      <c r="AG1003" s="31">
        <f>SUM($T1003:T1003)</f>
        <v>0</v>
      </c>
      <c r="AH1003" s="31">
        <f>SUM($T1003:U1003)</f>
        <v>0</v>
      </c>
      <c r="AI1003" s="31">
        <f>SUM($T1003:V1003)</f>
        <v>0</v>
      </c>
      <c r="AJ1003" s="31">
        <f>SUM($T1003:W1003)</f>
        <v>0</v>
      </c>
      <c r="AK1003" s="31">
        <f>SUM($T1003:X1003)</f>
        <v>0</v>
      </c>
      <c r="AL1003" s="31">
        <f>SUM($T1003:Y1003)</f>
        <v>0</v>
      </c>
      <c r="AM1003" s="31">
        <f>SUM($T1003:Z1003)</f>
        <v>0</v>
      </c>
      <c r="AN1003" s="31">
        <f>SUM($T1003:AA1003)</f>
        <v>0</v>
      </c>
      <c r="AO1003" s="31">
        <f>SUM($T1003:AB1003)</f>
        <v>0</v>
      </c>
      <c r="AP1003" s="31">
        <f>SUM($T1003:AC1003)</f>
        <v>0</v>
      </c>
      <c r="AQ1003" s="31">
        <f>SUM($T1003:AD1003)</f>
        <v>0</v>
      </c>
      <c r="AR1003" s="31">
        <f>SUM($T1003:AE1003)</f>
        <v>0</v>
      </c>
      <c r="AS1003" s="27">
        <f t="shared" si="150"/>
        <v>0</v>
      </c>
    </row>
    <row r="1004" spans="1:45">
      <c r="B1004" s="102" t="str">
        <f>IF(ROW()-6&gt;NumCostCenter,"",IF(CostCenter&lt;&gt;"ALL",CostCenter,DATA_LF2!B1002))</f>
        <v/>
      </c>
      <c r="C1004" s="153" t="str">
        <f>IF($B1004&lt;&gt;"",INDEX(DataOB[],FirstRow+ROW()-7,2),"")</f>
        <v/>
      </c>
      <c r="D1004" s="66" t="str">
        <f>IF($B1004&lt;&gt;"",INDEX(DataOB[],FirstRow+ROW()-7,3),"")</f>
        <v/>
      </c>
      <c r="E1004" s="103" t="str">
        <f>IF($B1004&lt;&gt;"",INDEX(DataOB[],FirstRow+ROW()-7,6),"")</f>
        <v/>
      </c>
      <c r="F1004" s="103" t="str">
        <f>IF($B1004&lt;&gt;"",INDEX(DataOB[],FirstRow+ROW()-7,5),"")</f>
        <v/>
      </c>
      <c r="G1004" s="58">
        <f>IF($B1004&lt;&gt;"",SUMIFS(DataAct_tbl[AMOUNT],DataAct_tbl[BG CODE],Detail!$D1004,DataAct_tbl[MONTH],LEFT(MonthName,3),DataAct_tbl[Dept code],$B1004),0)</f>
        <v>0</v>
      </c>
      <c r="H1004" s="31" t="str">
        <f t="shared" si="142"/>
        <v/>
      </c>
      <c r="I1004" s="28" t="str">
        <f t="shared" si="143"/>
        <v/>
      </c>
      <c r="J1004" s="32" t="str">
        <f t="shared" si="144"/>
        <v/>
      </c>
      <c r="K1004" s="86"/>
      <c r="L1004" s="62">
        <f>IF($B1004&lt;&gt;"",SUMIFS(DataAct_tbl[AMOUNT],DataAct_tbl[BG CODE],Detail!$D1004,DataAct_tbl[Check Range],"=true",DataAct_tbl[Dept code],$B1004),0)</f>
        <v>0</v>
      </c>
      <c r="M1004" s="63">
        <f>INDEX($AG$7:$AR$1005,ROW()-6,MATCH(MTD,$AG$6:$AR$6,0))</f>
        <v>0</v>
      </c>
      <c r="N1004" s="34">
        <f t="shared" si="145"/>
        <v>0</v>
      </c>
      <c r="O1004" s="64" t="str">
        <f t="shared" si="146"/>
        <v xml:space="preserve"> </v>
      </c>
      <c r="Q1004" s="97">
        <f t="shared" si="147"/>
        <v>0</v>
      </c>
      <c r="R1004" s="96">
        <f t="shared" si="148"/>
        <v>0</v>
      </c>
      <c r="T1004" s="67" t="str">
        <f>IF($B1004&lt;&gt;"",INDEX(DataOB[],FirstRow+ROW()-7,MATCH(T$6,DataOB[#Headers],0)),"")</f>
        <v/>
      </c>
      <c r="U1004" s="67" t="str">
        <f>IF($B1004&lt;&gt;"",INDEX(DataOB[],FirstRow+ROW()-7,MATCH(U$6,DataOB[#Headers],0)),"")</f>
        <v/>
      </c>
      <c r="V1004" s="67" t="str">
        <f>IF($B1004&lt;&gt;"",INDEX(DataOB[],FirstRow+ROW()-7,MATCH(V$6,DataOB[#Headers],0)),"")</f>
        <v/>
      </c>
      <c r="W1004" s="67" t="str">
        <f>IF($B1004&lt;&gt;"",INDEX(DataOB[],FirstRow+ROW()-7,MATCH(W$6,DataOB[#Headers],0)),"")</f>
        <v/>
      </c>
      <c r="X1004" s="67" t="str">
        <f>IF($B1004&lt;&gt;"",INDEX(DataOB[],FirstRow+ROW()-7,MATCH(X$6,DataOB[#Headers],0)),"")</f>
        <v/>
      </c>
      <c r="Y1004" s="67" t="str">
        <f>IF($B1004&lt;&gt;"",INDEX(DataOB[],FirstRow+ROW()-7,MATCH(Y$6,DataOB[#Headers],0)),"")</f>
        <v/>
      </c>
      <c r="Z1004" s="67" t="str">
        <f>IF($B1004&lt;&gt;"",INDEX(DataOB[],FirstRow+ROW()-7,MATCH(Z$6,DataOB[#Headers],0)),"")</f>
        <v/>
      </c>
      <c r="AA1004" s="67" t="str">
        <f>IF($B1004&lt;&gt;"",INDEX(DataOB[],FirstRow+ROW()-7,MATCH(AA$6,DataOB[#Headers],0)),"")</f>
        <v/>
      </c>
      <c r="AB1004" s="67" t="str">
        <f>IF($B1004&lt;&gt;"",INDEX(DataOB[],FirstRow+ROW()-7,MATCH(AB$6,DataOB[#Headers],0)),"")</f>
        <v/>
      </c>
      <c r="AC1004" s="67" t="str">
        <f>IF($B1004&lt;&gt;"",INDEX(DataOB[],FirstRow+ROW()-7,MATCH(AC$6,DataOB[#Headers],0)),"")</f>
        <v/>
      </c>
      <c r="AD1004" s="67" t="str">
        <f>IF($B1004&lt;&gt;"",INDEX(DataOB[],FirstRow+ROW()-7,MATCH(AD$6,DataOB[#Headers],0)),"")</f>
        <v/>
      </c>
      <c r="AE1004" s="67" t="str">
        <f>IF($B1004&lt;&gt;"",INDEX(DataOB[],FirstRow+ROW()-7,MATCH(AE$6,DataOB[#Headers],0)),"")</f>
        <v/>
      </c>
      <c r="AF1004" s="26">
        <f t="shared" si="149"/>
        <v>0</v>
      </c>
      <c r="AG1004" s="31">
        <f>SUM($T1004:T1004)</f>
        <v>0</v>
      </c>
      <c r="AH1004" s="31">
        <f>SUM($T1004:U1004)</f>
        <v>0</v>
      </c>
      <c r="AI1004" s="31">
        <f>SUM($T1004:V1004)</f>
        <v>0</v>
      </c>
      <c r="AJ1004" s="31">
        <f>SUM($T1004:W1004)</f>
        <v>0</v>
      </c>
      <c r="AK1004" s="31">
        <f>SUM($T1004:X1004)</f>
        <v>0</v>
      </c>
      <c r="AL1004" s="31">
        <f>SUM($T1004:Y1004)</f>
        <v>0</v>
      </c>
      <c r="AM1004" s="31">
        <f>SUM($T1004:Z1004)</f>
        <v>0</v>
      </c>
      <c r="AN1004" s="31">
        <f>SUM($T1004:AA1004)</f>
        <v>0</v>
      </c>
      <c r="AO1004" s="31">
        <f>SUM($T1004:AB1004)</f>
        <v>0</v>
      </c>
      <c r="AP1004" s="31">
        <f>SUM($T1004:AC1004)</f>
        <v>0</v>
      </c>
      <c r="AQ1004" s="31">
        <f>SUM($T1004:AD1004)</f>
        <v>0</v>
      </c>
      <c r="AR1004" s="31">
        <f>SUM($T1004:AE1004)</f>
        <v>0</v>
      </c>
      <c r="AS1004" s="27">
        <f t="shared" si="150"/>
        <v>0</v>
      </c>
    </row>
    <row r="1005" spans="1:45">
      <c r="B1005" s="102" t="str">
        <f>IF(ROW()-6&gt;NumCostCenter,"",IF(CostCenter&lt;&gt;"ALL",CostCenter,DATA_LF2!B1003))</f>
        <v/>
      </c>
      <c r="C1005" s="153" t="str">
        <f>IF($B1005&lt;&gt;"",INDEX(DataOB[],FirstRow+ROW()-7,2),"")</f>
        <v/>
      </c>
      <c r="D1005" s="104" t="str">
        <f>IF($B1005&lt;&gt;"",INDEX(DataOB[],FirstRow+ROW()-7,3),"")</f>
        <v/>
      </c>
      <c r="E1005" s="105" t="str">
        <f>IF($B1005&lt;&gt;"",INDEX(DataOB[],FirstRow+ROW()-7,6),"")</f>
        <v/>
      </c>
      <c r="F1005" s="105" t="str">
        <f>IF($B1005&lt;&gt;"",INDEX(DataOB[],FirstRow+ROW()-7,5),"")</f>
        <v/>
      </c>
      <c r="G1005" s="58">
        <f>IF($B1005&lt;&gt;"",SUMIFS(DataAct_tbl[AMOUNT],DataAct_tbl[BG CODE],Detail!$D1005,DataAct_tbl[MONTH],LEFT(MonthName,3),DataAct_tbl[Dept code],$B1005),0)</f>
        <v>0</v>
      </c>
      <c r="H1005" s="31" t="str">
        <f t="shared" si="142"/>
        <v/>
      </c>
      <c r="I1005" s="28" t="str">
        <f t="shared" si="143"/>
        <v/>
      </c>
      <c r="J1005" s="32" t="str">
        <f t="shared" si="144"/>
        <v/>
      </c>
      <c r="K1005" s="86"/>
      <c r="L1005" s="110">
        <f>IF($B1005&lt;&gt;"",SUMIFS(DataAct_tbl[AMOUNT],DataAct_tbl[BG CODE],Detail!$D1005,DataAct_tbl[Check Range],"=true",DataAct_tbl[Dept code],$B1005),0)</f>
        <v>0</v>
      </c>
      <c r="M1005" s="111">
        <f>INDEX($AG$7:$AR$1005,ROW()-6,MATCH(MTD,$AG$6:$AR$6,0))</f>
        <v>0</v>
      </c>
      <c r="N1005" s="112">
        <f t="shared" si="145"/>
        <v>0</v>
      </c>
      <c r="O1005" s="113" t="str">
        <f t="shared" si="146"/>
        <v xml:space="preserve"> </v>
      </c>
      <c r="Q1005" s="97">
        <f t="shared" si="147"/>
        <v>0</v>
      </c>
      <c r="R1005" s="96">
        <f t="shared" si="148"/>
        <v>0</v>
      </c>
      <c r="T1005" s="115" t="str">
        <f>IF($B1005&lt;&gt;"",INDEX(DataOB[],FirstRow+ROW()-7,MATCH(T$6,DataOB[#Headers],0)),"")</f>
        <v/>
      </c>
      <c r="U1005" s="115" t="str">
        <f>IF($B1005&lt;&gt;"",INDEX(DataOB[],FirstRow+ROW()-7,MATCH(U$6,DataOB[#Headers],0)),"")</f>
        <v/>
      </c>
      <c r="V1005" s="115" t="str">
        <f>IF($B1005&lt;&gt;"",INDEX(DataOB[],FirstRow+ROW()-7,MATCH(V$6,DataOB[#Headers],0)),"")</f>
        <v/>
      </c>
      <c r="W1005" s="115" t="str">
        <f>IF($B1005&lt;&gt;"",INDEX(DataOB[],FirstRow+ROW()-7,MATCH(W$6,DataOB[#Headers],0)),"")</f>
        <v/>
      </c>
      <c r="X1005" s="115" t="str">
        <f>IF($B1005&lt;&gt;"",INDEX(DataOB[],FirstRow+ROW()-7,MATCH(X$6,DataOB[#Headers],0)),"")</f>
        <v/>
      </c>
      <c r="Y1005" s="115" t="str">
        <f>IF($B1005&lt;&gt;"",INDEX(DataOB[],FirstRow+ROW()-7,MATCH(Y$6,DataOB[#Headers],0)),"")</f>
        <v/>
      </c>
      <c r="Z1005" s="115" t="str">
        <f>IF($B1005&lt;&gt;"",INDEX(DataOB[],FirstRow+ROW()-7,MATCH(Z$6,DataOB[#Headers],0)),"")</f>
        <v/>
      </c>
      <c r="AA1005" s="115" t="str">
        <f>IF($B1005&lt;&gt;"",INDEX(DataOB[],FirstRow+ROW()-7,MATCH(AA$6,DataOB[#Headers],0)),"")</f>
        <v/>
      </c>
      <c r="AB1005" s="115" t="str">
        <f>IF($B1005&lt;&gt;"",INDEX(DataOB[],FirstRow+ROW()-7,MATCH(AB$6,DataOB[#Headers],0)),"")</f>
        <v/>
      </c>
      <c r="AC1005" s="115" t="str">
        <f>IF($B1005&lt;&gt;"",INDEX(DataOB[],FirstRow+ROW()-7,MATCH(AC$6,DataOB[#Headers],0)),"")</f>
        <v/>
      </c>
      <c r="AD1005" s="115" t="str">
        <f>IF($B1005&lt;&gt;"",INDEX(DataOB[],FirstRow+ROW()-7,MATCH(AD$6,DataOB[#Headers],0)),"")</f>
        <v/>
      </c>
      <c r="AE1005" s="115" t="str">
        <f>IF($B1005&lt;&gt;"",INDEX(DataOB[],FirstRow+ROW()-7,MATCH(AE$6,DataOB[#Headers],0)),"")</f>
        <v/>
      </c>
      <c r="AF1005" s="26">
        <f t="shared" si="149"/>
        <v>0</v>
      </c>
      <c r="AG1005" s="31">
        <f>SUM($T1005:T1005)</f>
        <v>0</v>
      </c>
      <c r="AH1005" s="31">
        <f>SUM($T1005:U1005)</f>
        <v>0</v>
      </c>
      <c r="AI1005" s="31">
        <f>SUM($T1005:V1005)</f>
        <v>0</v>
      </c>
      <c r="AJ1005" s="31">
        <f>SUM($T1005:W1005)</f>
        <v>0</v>
      </c>
      <c r="AK1005" s="31">
        <f>SUM($T1005:X1005)</f>
        <v>0</v>
      </c>
      <c r="AL1005" s="31">
        <f>SUM($T1005:Y1005)</f>
        <v>0</v>
      </c>
      <c r="AM1005" s="31">
        <f>SUM($T1005:Z1005)</f>
        <v>0</v>
      </c>
      <c r="AN1005" s="31">
        <f>SUM($T1005:AA1005)</f>
        <v>0</v>
      </c>
      <c r="AO1005" s="31">
        <f>SUM($T1005:AB1005)</f>
        <v>0</v>
      </c>
      <c r="AP1005" s="31">
        <f>SUM($T1005:AC1005)</f>
        <v>0</v>
      </c>
      <c r="AQ1005" s="31">
        <f>SUM($T1005:AD1005)</f>
        <v>0</v>
      </c>
      <c r="AR1005" s="31">
        <f>SUM($T1005:AE1005)</f>
        <v>0</v>
      </c>
      <c r="AS1005" s="27">
        <f t="shared" si="150"/>
        <v>0</v>
      </c>
    </row>
    <row r="1006" spans="1:45" s="21" customFormat="1" ht="13.5" customHeight="1">
      <c r="A1006" s="4"/>
      <c r="B1006" s="124"/>
      <c r="C1006" s="100"/>
      <c r="D1006" s="100"/>
      <c r="E1006" s="100"/>
      <c r="F1006" s="101"/>
      <c r="G1006" s="24">
        <f>+SUBTOTAL(9,G7:G1005)</f>
        <v>3163.6522000000004</v>
      </c>
      <c r="H1006" s="24">
        <f>+SUBTOTAL(9,H7:H1005)</f>
        <v>3435.8683400000004</v>
      </c>
      <c r="I1006" s="24">
        <f>+SUBTOTAL(9,I7:I1005)</f>
        <v>-272.21614000000011</v>
      </c>
      <c r="J1006" s="43">
        <f t="shared" ref="J1006" si="151">+IF(H1006&gt;0,G1006/H1006," ")</f>
        <v>0.92077224356041532</v>
      </c>
      <c r="K1006" s="87"/>
      <c r="L1006" s="29">
        <f>+SUBTOTAL(9,L7:L1005)</f>
        <v>6869.2892400000001</v>
      </c>
      <c r="M1006" s="24">
        <f>+SUBTOTAL(9,M7:M1005)</f>
        <v>7141.5056000000004</v>
      </c>
      <c r="N1006" s="29">
        <f>+SUBTOTAL(9,N7:N1005)</f>
        <v>-272.21636000000007</v>
      </c>
      <c r="O1006" s="43">
        <f t="shared" ref="O1006" si="152">+IF(M1006&gt;0,L1006/M1006," ")</f>
        <v>0.96188249715858232</v>
      </c>
      <c r="P1006" s="20"/>
      <c r="Q1006" s="24">
        <f>+SUBTOTAL(9,Q7:Q1005)</f>
        <v>15962.106068172536</v>
      </c>
      <c r="R1006" s="24">
        <f>+SUBTOTAL(9,R7:R1005)</f>
        <v>9092.8168281725375</v>
      </c>
      <c r="S1006" s="20"/>
      <c r="T1006" s="45">
        <f t="shared" ref="T1006:AE1006" si="153">+SUBTOTAL(9,T7:T1005)</f>
        <v>164.93190000000001</v>
      </c>
      <c r="U1006" s="45">
        <f t="shared" si="153"/>
        <v>754.33484999999996</v>
      </c>
      <c r="V1006" s="45">
        <f t="shared" si="153"/>
        <v>-26.078699999999998</v>
      </c>
      <c r="W1006" s="45">
        <f t="shared" si="153"/>
        <v>1058.8250399999999</v>
      </c>
      <c r="X1006" s="45">
        <f t="shared" si="153"/>
        <v>1637.3506999999997</v>
      </c>
      <c r="Y1006" s="45">
        <f t="shared" si="153"/>
        <v>116.27346999999999</v>
      </c>
      <c r="Z1006" s="45">
        <f t="shared" si="153"/>
        <v>3435.8683400000004</v>
      </c>
      <c r="AA1006" s="45">
        <f t="shared" si="153"/>
        <v>418.906206</v>
      </c>
      <c r="AB1006" s="45">
        <f t="shared" si="153"/>
        <v>798.08989000000008</v>
      </c>
      <c r="AC1006" s="45">
        <f t="shared" si="153"/>
        <v>1865.5398899999998</v>
      </c>
      <c r="AD1006" s="45">
        <f t="shared" si="153"/>
        <v>1980.7398900000001</v>
      </c>
      <c r="AE1006" s="45">
        <f t="shared" si="153"/>
        <v>3757.3245921725365</v>
      </c>
      <c r="AF1006" s="24">
        <f>+SUM(T1006:AE1006)</f>
        <v>15962.106068172536</v>
      </c>
      <c r="AG1006" s="24">
        <f t="shared" ref="AG1006:AR1006" si="154">+SUBTOTAL(9,AG7:AG1005)</f>
        <v>164.93190000000001</v>
      </c>
      <c r="AH1006" s="24">
        <f t="shared" si="154"/>
        <v>919.26674999999989</v>
      </c>
      <c r="AI1006" s="24">
        <f t="shared" si="154"/>
        <v>893.18804999999986</v>
      </c>
      <c r="AJ1006" s="24">
        <f t="shared" si="154"/>
        <v>1952.0130900000004</v>
      </c>
      <c r="AK1006" s="24">
        <f t="shared" si="154"/>
        <v>3589.3637900000003</v>
      </c>
      <c r="AL1006" s="24">
        <f t="shared" si="154"/>
        <v>3705.63726</v>
      </c>
      <c r="AM1006" s="24">
        <f t="shared" si="154"/>
        <v>7141.5056000000004</v>
      </c>
      <c r="AN1006" s="24">
        <f t="shared" si="154"/>
        <v>7560.4118060000001</v>
      </c>
      <c r="AO1006" s="24">
        <f t="shared" si="154"/>
        <v>8358.5016960000012</v>
      </c>
      <c r="AP1006" s="24">
        <f t="shared" si="154"/>
        <v>10224.041585999998</v>
      </c>
      <c r="AQ1006" s="24">
        <f t="shared" si="154"/>
        <v>12204.781475999998</v>
      </c>
      <c r="AR1006" s="24">
        <f t="shared" si="154"/>
        <v>15962.106068172536</v>
      </c>
      <c r="AS1006" s="27">
        <f t="shared" ref="AS1006" si="155">AF1006-AR1006</f>
        <v>0</v>
      </c>
    </row>
    <row r="1009" spans="3:44">
      <c r="D1009" s="4" t="s">
        <v>11</v>
      </c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</row>
    <row r="1010" spans="3:44" ht="13.8" thickBot="1"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</row>
    <row r="1011" spans="3:44" ht="13.8">
      <c r="C1011" s="57"/>
      <c r="D1011" s="47" t="s">
        <v>9</v>
      </c>
      <c r="E1011" s="48"/>
      <c r="F1011" s="49"/>
      <c r="G1011" s="47" t="s">
        <v>10</v>
      </c>
      <c r="H1011" s="50"/>
      <c r="I1011" s="50"/>
      <c r="J1011" s="49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</row>
    <row r="1012" spans="3:44">
      <c r="C1012" s="57"/>
      <c r="D1012" s="51"/>
      <c r="E1012" s="51"/>
      <c r="F1012" s="52"/>
      <c r="G1012" s="53"/>
      <c r="H1012" s="53"/>
      <c r="I1012" s="53"/>
      <c r="J1012" s="52"/>
      <c r="K1012" s="4"/>
      <c r="L1012" s="4"/>
      <c r="M1012" s="160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</row>
    <row r="1013" spans="3:44">
      <c r="C1013" s="57"/>
      <c r="D1013" s="51"/>
      <c r="E1013" s="51"/>
      <c r="F1013" s="52"/>
      <c r="G1013" s="53"/>
      <c r="H1013" s="53"/>
      <c r="I1013" s="53"/>
      <c r="J1013" s="52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</row>
    <row r="1014" spans="3:44">
      <c r="C1014" s="57"/>
      <c r="D1014" s="51"/>
      <c r="E1014" s="51"/>
      <c r="F1014" s="52"/>
      <c r="G1014" s="53"/>
      <c r="H1014" s="53"/>
      <c r="I1014" s="53"/>
      <c r="J1014" s="52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</row>
    <row r="1015" spans="3:44">
      <c r="C1015" s="57"/>
      <c r="D1015" s="51"/>
      <c r="E1015" s="51"/>
      <c r="F1015" s="52"/>
      <c r="G1015" s="53"/>
      <c r="H1015" s="53"/>
      <c r="I1015" s="53"/>
      <c r="J1015" s="52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</row>
    <row r="1016" spans="3:44">
      <c r="C1016" s="57"/>
      <c r="D1016" s="51"/>
      <c r="E1016" s="51"/>
      <c r="F1016" s="52"/>
      <c r="G1016" s="53"/>
      <c r="H1016" s="53"/>
      <c r="I1016" s="53"/>
      <c r="J1016" s="52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</row>
    <row r="1017" spans="3:44">
      <c r="C1017" s="57"/>
      <c r="D1017" s="51"/>
      <c r="E1017" s="51"/>
      <c r="F1017" s="52"/>
      <c r="G1017" s="53"/>
      <c r="H1017" s="53"/>
      <c r="I1017" s="53"/>
      <c r="J1017" s="52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</row>
    <row r="1018" spans="3:44">
      <c r="C1018" s="57"/>
      <c r="D1018" s="51"/>
      <c r="E1018" s="51"/>
      <c r="F1018" s="52"/>
      <c r="G1018" s="53"/>
      <c r="H1018" s="53"/>
      <c r="I1018" s="53"/>
      <c r="J1018" s="52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</row>
    <row r="1019" spans="3:44">
      <c r="C1019" s="57"/>
      <c r="D1019" s="51"/>
      <c r="E1019" s="51"/>
      <c r="F1019" s="52"/>
      <c r="G1019" s="53"/>
      <c r="H1019" s="53"/>
      <c r="I1019" s="53"/>
      <c r="J1019" s="52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</row>
    <row r="1020" spans="3:44" ht="13.8" thickBot="1">
      <c r="C1020" s="57"/>
      <c r="D1020" s="54"/>
      <c r="E1020" s="54"/>
      <c r="F1020" s="55"/>
      <c r="G1020" s="56"/>
      <c r="H1020" s="56"/>
      <c r="I1020" s="56"/>
      <c r="J1020" s="55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</row>
  </sheetData>
  <autoFilter ref="A6:AS1006" xr:uid="{00000000-0009-0000-0000-000001000000}"/>
  <mergeCells count="12">
    <mergeCell ref="AG5:AR5"/>
    <mergeCell ref="G2:G3"/>
    <mergeCell ref="B5:C5"/>
    <mergeCell ref="D5:F5"/>
    <mergeCell ref="D2:F3"/>
    <mergeCell ref="T5:AF5"/>
    <mergeCell ref="Q5:Q6"/>
    <mergeCell ref="G5:H5"/>
    <mergeCell ref="I5:J5"/>
    <mergeCell ref="L5:M5"/>
    <mergeCell ref="N5:O5"/>
    <mergeCell ref="R5:R6"/>
  </mergeCells>
  <dataValidations count="3">
    <dataValidation type="list" allowBlank="1" showInputMessage="1" showErrorMessage="1" sqref="C2" xr:uid="{00000000-0002-0000-0100-000000000000}">
      <formula1>$T$6:$AE$6</formula1>
    </dataValidation>
    <dataValidation type="list" allowBlank="1" showInputMessage="1" showErrorMessage="1" sqref="C3" xr:uid="{00000000-0002-0000-0100-000001000000}">
      <formula1>$AG$6:$AR$6</formula1>
    </dataValidation>
    <dataValidation type="list" allowBlank="1" showInputMessage="1" showErrorMessage="1" sqref="G2:G3" xr:uid="{00000000-0002-0000-0100-000002000000}">
      <formula1>LISTCC</formula1>
    </dataValidation>
  </dataValidations>
  <pageMargins left="0.7" right="0.7" top="0.75" bottom="0.75" header="0.3" footer="0.3"/>
  <pageSetup paperSize="9" scale="5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paratefile.Separatefile">
                <anchor moveWithCells="1">
                  <from>
                    <xdr:col>8</xdr:col>
                    <xdr:colOff>106680</xdr:colOff>
                    <xdr:row>1</xdr:row>
                    <xdr:rowOff>266700</xdr:rowOff>
                  </from>
                  <to>
                    <xdr:col>9</xdr:col>
                    <xdr:colOff>175260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reateFile.Createfile">
                <anchor moveWithCells="1">
                  <from>
                    <xdr:col>8</xdr:col>
                    <xdr:colOff>121920</xdr:colOff>
                    <xdr:row>0</xdr:row>
                    <xdr:rowOff>7620</xdr:rowOff>
                  </from>
                  <to>
                    <xdr:col>9</xdr:col>
                    <xdr:colOff>175260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000"/>
  </sheetPr>
  <dimension ref="A1:AL3117"/>
  <sheetViews>
    <sheetView showGridLines="0" zoomScaleNormal="100" workbookViewId="0">
      <pane xSplit="6" ySplit="4" topLeftCell="G195" activePane="bottomRight" state="frozen"/>
      <selection activeCell="J59" sqref="J59"/>
      <selection pane="topRight" activeCell="J59" sqref="J59"/>
      <selection pane="bottomLeft" activeCell="J59" sqref="J59"/>
      <selection pane="bottomRight" activeCell="B159" sqref="B159"/>
    </sheetView>
  </sheetViews>
  <sheetFormatPr defaultColWidth="6.109375" defaultRowHeight="13.8"/>
  <cols>
    <col min="1" max="1" width="9.109375" style="68" customWidth="1"/>
    <col min="2" max="2" width="10" style="72" customWidth="1"/>
    <col min="3" max="3" width="10.109375" style="68" customWidth="1"/>
    <col min="4" max="5" width="13.5546875" style="68" customWidth="1"/>
    <col min="6" max="6" width="52.88671875" style="68" customWidth="1"/>
    <col min="7" max="7" width="11.44140625" style="68" customWidth="1"/>
    <col min="8" max="8" width="12.33203125" style="68" customWidth="1"/>
    <col min="9" max="9" width="12.109375" style="68" customWidth="1"/>
    <col min="10" max="13" width="9.44140625" style="68" customWidth="1"/>
    <col min="14" max="14" width="9" style="68" customWidth="1"/>
    <col min="15" max="15" width="12.109375" style="68" customWidth="1"/>
    <col min="16" max="19" width="9.44140625" style="68" customWidth="1"/>
    <col min="20" max="20" width="9.33203125" style="68" customWidth="1"/>
    <col min="21" max="22" width="9.109375" style="68" customWidth="1"/>
    <col min="23" max="23" width="12" style="68" customWidth="1"/>
    <col min="24" max="27" width="6.109375" style="68"/>
    <col min="28" max="28" width="9.6640625" style="68" customWidth="1"/>
    <col min="29" max="29" width="13.44140625" style="68" customWidth="1"/>
    <col min="30" max="30" width="10.5546875" style="68" customWidth="1"/>
    <col min="31" max="16384" width="6.109375" style="68"/>
  </cols>
  <sheetData>
    <row r="1" spans="1:34" ht="14.4"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Z1" s="189" t="s">
        <v>44</v>
      </c>
      <c r="AA1" s="189"/>
      <c r="AB1" s="189"/>
      <c r="AC1" s="189"/>
      <c r="AD1" s="189"/>
      <c r="AE1" s="189"/>
      <c r="AF1" s="189"/>
    </row>
    <row r="2" spans="1:34">
      <c r="D2" s="68" t="s">
        <v>101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</row>
    <row r="3" spans="1:34">
      <c r="B3" s="69">
        <v>1</v>
      </c>
      <c r="C3" s="70">
        <v>2</v>
      </c>
      <c r="D3" s="69">
        <v>3</v>
      </c>
      <c r="E3" s="70">
        <v>4</v>
      </c>
      <c r="F3" s="69">
        <v>5</v>
      </c>
      <c r="G3" s="70">
        <v>6</v>
      </c>
      <c r="H3" s="69">
        <v>7</v>
      </c>
      <c r="I3" s="70">
        <v>8</v>
      </c>
      <c r="J3" s="69">
        <v>9</v>
      </c>
      <c r="K3" s="70">
        <v>10</v>
      </c>
      <c r="L3" s="69">
        <v>11</v>
      </c>
      <c r="M3" s="70">
        <v>12</v>
      </c>
      <c r="N3" s="69">
        <v>13</v>
      </c>
      <c r="O3" s="70">
        <v>14</v>
      </c>
      <c r="P3" s="69">
        <v>15</v>
      </c>
      <c r="Q3" s="70">
        <v>16</v>
      </c>
      <c r="R3" s="69">
        <v>17</v>
      </c>
      <c r="S3" s="70">
        <v>18</v>
      </c>
      <c r="T3" s="69">
        <v>19</v>
      </c>
    </row>
    <row r="4" spans="1:34" s="149" customFormat="1" ht="24" customHeight="1">
      <c r="A4" s="141" t="s">
        <v>60</v>
      </c>
      <c r="B4" s="142" t="s">
        <v>1</v>
      </c>
      <c r="C4" s="143" t="s">
        <v>2</v>
      </c>
      <c r="D4" s="144" t="s">
        <v>3</v>
      </c>
      <c r="E4" s="143" t="s">
        <v>18</v>
      </c>
      <c r="F4" s="145" t="s">
        <v>4</v>
      </c>
      <c r="G4" s="146" t="s">
        <v>45</v>
      </c>
      <c r="H4" s="144" t="s">
        <v>19</v>
      </c>
      <c r="I4" s="147" t="s">
        <v>117</v>
      </c>
      <c r="J4" s="148" t="s">
        <v>118</v>
      </c>
      <c r="K4" s="147" t="s">
        <v>119</v>
      </c>
      <c r="L4" s="148" t="s">
        <v>120</v>
      </c>
      <c r="M4" s="147" t="s">
        <v>121</v>
      </c>
      <c r="N4" s="148" t="s">
        <v>122</v>
      </c>
      <c r="O4" s="147" t="s">
        <v>123</v>
      </c>
      <c r="P4" s="148" t="s">
        <v>124</v>
      </c>
      <c r="Q4" s="147" t="s">
        <v>125</v>
      </c>
      <c r="R4" s="148" t="s">
        <v>126</v>
      </c>
      <c r="S4" s="147" t="s">
        <v>127</v>
      </c>
      <c r="T4" s="148" t="s">
        <v>128</v>
      </c>
      <c r="Z4" s="142" t="s">
        <v>1</v>
      </c>
      <c r="AB4" s="80" t="s">
        <v>41</v>
      </c>
      <c r="AC4" s="80" t="s">
        <v>39</v>
      </c>
      <c r="AD4" s="80" t="s">
        <v>40</v>
      </c>
    </row>
    <row r="5" spans="1:34" ht="12.9" customHeight="1">
      <c r="B5" s="75">
        <v>1213</v>
      </c>
      <c r="C5" s="75">
        <v>1213</v>
      </c>
      <c r="D5" s="75" t="s">
        <v>57</v>
      </c>
      <c r="E5" s="75"/>
      <c r="F5" s="73" t="s">
        <v>174</v>
      </c>
      <c r="G5" s="73"/>
      <c r="H5" s="74"/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O5" s="121">
        <v>0</v>
      </c>
      <c r="P5" s="121">
        <v>0</v>
      </c>
      <c r="Q5" s="121">
        <v>0</v>
      </c>
      <c r="R5" s="121">
        <v>2</v>
      </c>
      <c r="S5" s="121">
        <v>0</v>
      </c>
      <c r="T5" s="121">
        <v>0</v>
      </c>
      <c r="Z5" s="91">
        <v>3211</v>
      </c>
      <c r="AB5" s="68" t="s">
        <v>38</v>
      </c>
      <c r="AC5" s="81">
        <v>45292</v>
      </c>
      <c r="AD5" s="81">
        <v>45322</v>
      </c>
    </row>
    <row r="6" spans="1:34" ht="12.9" customHeight="1">
      <c r="B6" s="75">
        <v>1213</v>
      </c>
      <c r="C6" s="75">
        <v>1213</v>
      </c>
      <c r="D6" s="75" t="s">
        <v>57</v>
      </c>
      <c r="E6" s="75"/>
      <c r="F6" s="117" t="s">
        <v>64</v>
      </c>
      <c r="G6" s="73"/>
      <c r="H6" s="74"/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O6" s="121">
        <v>0</v>
      </c>
      <c r="P6" s="121">
        <v>0</v>
      </c>
      <c r="Q6" s="121">
        <v>0</v>
      </c>
      <c r="R6" s="121">
        <v>0</v>
      </c>
      <c r="S6" s="121">
        <v>0</v>
      </c>
      <c r="T6" s="121">
        <v>350</v>
      </c>
      <c r="Z6" s="91">
        <v>3311</v>
      </c>
      <c r="AB6" s="68" t="s">
        <v>33</v>
      </c>
      <c r="AC6" s="81">
        <v>45292</v>
      </c>
      <c r="AD6" s="81">
        <v>45351</v>
      </c>
    </row>
    <row r="7" spans="1:34" ht="12.9" customHeight="1">
      <c r="B7" s="75">
        <v>1213</v>
      </c>
      <c r="C7" s="75">
        <v>1213</v>
      </c>
      <c r="D7" s="75" t="s">
        <v>57</v>
      </c>
      <c r="E7" s="75"/>
      <c r="F7" s="73" t="s">
        <v>65</v>
      </c>
      <c r="G7" s="73"/>
      <c r="H7" s="74"/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150</v>
      </c>
      <c r="T7" s="121">
        <v>0</v>
      </c>
      <c r="Z7" s="68">
        <v>3312</v>
      </c>
      <c r="AB7" s="68" t="s">
        <v>34</v>
      </c>
      <c r="AC7" s="81">
        <v>45292</v>
      </c>
      <c r="AD7" s="81">
        <v>45382</v>
      </c>
    </row>
    <row r="8" spans="1:34" ht="12.9" customHeight="1">
      <c r="B8" s="75">
        <v>1213</v>
      </c>
      <c r="C8" s="75">
        <v>1213</v>
      </c>
      <c r="D8" s="75" t="s">
        <v>57</v>
      </c>
      <c r="E8" s="75"/>
      <c r="F8" s="73" t="s">
        <v>66</v>
      </c>
      <c r="G8" s="73"/>
      <c r="H8" s="74"/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O8" s="121">
        <v>13</v>
      </c>
      <c r="P8" s="121">
        <v>0</v>
      </c>
      <c r="Q8" s="121">
        <v>0</v>
      </c>
      <c r="R8" s="121">
        <v>0</v>
      </c>
      <c r="S8" s="121">
        <v>0</v>
      </c>
      <c r="T8" s="121">
        <v>0</v>
      </c>
      <c r="Z8" s="91">
        <v>8111</v>
      </c>
      <c r="AB8" s="68" t="s">
        <v>35</v>
      </c>
      <c r="AC8" s="81">
        <v>45292</v>
      </c>
      <c r="AD8" s="81">
        <v>45412</v>
      </c>
    </row>
    <row r="9" spans="1:34" ht="12.9" customHeight="1">
      <c r="B9" s="75">
        <v>1213</v>
      </c>
      <c r="C9" s="75">
        <v>1213</v>
      </c>
      <c r="D9" s="75" t="s">
        <v>173</v>
      </c>
      <c r="E9" s="75"/>
      <c r="F9" s="73" t="s">
        <v>67</v>
      </c>
      <c r="G9" s="73"/>
      <c r="H9" s="74"/>
      <c r="I9" s="121">
        <v>2.6799300000000001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O9" s="121">
        <v>0</v>
      </c>
      <c r="P9" s="121">
        <v>0</v>
      </c>
      <c r="Q9" s="121">
        <v>0</v>
      </c>
      <c r="R9" s="121">
        <v>0</v>
      </c>
      <c r="S9" s="121">
        <v>0</v>
      </c>
      <c r="T9" s="121">
        <v>0</v>
      </c>
      <c r="Z9" s="91">
        <v>8311</v>
      </c>
      <c r="AB9" s="68" t="s">
        <v>36</v>
      </c>
      <c r="AC9" s="81">
        <v>45292</v>
      </c>
      <c r="AD9" s="81">
        <v>45443</v>
      </c>
    </row>
    <row r="10" spans="1:34" ht="12.9" customHeight="1">
      <c r="B10" s="75">
        <v>1213</v>
      </c>
      <c r="C10" s="75">
        <v>1213</v>
      </c>
      <c r="D10" s="75" t="s">
        <v>57</v>
      </c>
      <c r="E10" s="75"/>
      <c r="F10" s="73" t="s">
        <v>175</v>
      </c>
      <c r="G10" s="73"/>
      <c r="H10" s="74"/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O10" s="121">
        <v>0</v>
      </c>
      <c r="P10" s="121">
        <v>10</v>
      </c>
      <c r="Q10" s="121">
        <v>0</v>
      </c>
      <c r="R10" s="121">
        <v>10</v>
      </c>
      <c r="S10" s="121">
        <v>0</v>
      </c>
      <c r="T10" s="121">
        <v>0</v>
      </c>
      <c r="Z10" s="91">
        <v>8411</v>
      </c>
      <c r="AB10" s="68" t="s">
        <v>37</v>
      </c>
      <c r="AC10" s="81">
        <v>45292</v>
      </c>
      <c r="AD10" s="81">
        <v>45473</v>
      </c>
    </row>
    <row r="11" spans="1:34" ht="12.9" customHeight="1">
      <c r="B11" s="75">
        <v>1213</v>
      </c>
      <c r="C11" s="75">
        <v>1213</v>
      </c>
      <c r="D11" s="75" t="s">
        <v>57</v>
      </c>
      <c r="E11" s="75"/>
      <c r="F11" s="117" t="s">
        <v>176</v>
      </c>
      <c r="G11" s="73"/>
      <c r="H11" s="74"/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O11" s="121">
        <v>0</v>
      </c>
      <c r="P11" s="121">
        <v>0</v>
      </c>
      <c r="Q11" s="121">
        <v>0</v>
      </c>
      <c r="R11" s="121">
        <v>80</v>
      </c>
      <c r="S11" s="121">
        <v>0</v>
      </c>
      <c r="T11" s="121">
        <v>0</v>
      </c>
      <c r="Z11" s="91">
        <v>1211</v>
      </c>
      <c r="AB11" s="68" t="s">
        <v>56</v>
      </c>
      <c r="AC11" s="81">
        <v>45292</v>
      </c>
      <c r="AD11" s="81">
        <v>45504</v>
      </c>
    </row>
    <row r="12" spans="1:34" ht="12.9" customHeight="1">
      <c r="B12" s="75">
        <v>1213</v>
      </c>
      <c r="C12" s="75">
        <v>1213</v>
      </c>
      <c r="D12" s="75" t="s">
        <v>113</v>
      </c>
      <c r="E12" s="75"/>
      <c r="F12" s="73" t="s">
        <v>177</v>
      </c>
      <c r="G12" s="73"/>
      <c r="H12" s="74"/>
      <c r="I12" s="121">
        <v>10.851290000000001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O12" s="121">
        <v>0</v>
      </c>
      <c r="P12" s="121">
        <v>0</v>
      </c>
      <c r="Q12" s="121">
        <v>0</v>
      </c>
      <c r="R12" s="121">
        <v>0</v>
      </c>
      <c r="S12" s="121">
        <v>80</v>
      </c>
      <c r="T12" s="121">
        <v>0</v>
      </c>
      <c r="Z12" s="91">
        <v>1212</v>
      </c>
      <c r="AB12" s="68" t="s">
        <v>51</v>
      </c>
      <c r="AC12" s="81">
        <v>45292</v>
      </c>
      <c r="AD12" s="81">
        <v>45535</v>
      </c>
    </row>
    <row r="13" spans="1:34" ht="12.9" customHeight="1">
      <c r="B13" s="75">
        <v>1213</v>
      </c>
      <c r="C13" s="75">
        <v>1213</v>
      </c>
      <c r="D13" s="75" t="s">
        <v>614</v>
      </c>
      <c r="E13" s="75"/>
      <c r="F13" s="73" t="s">
        <v>178</v>
      </c>
      <c r="G13" s="73"/>
      <c r="H13" s="74"/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O13" s="121">
        <v>0</v>
      </c>
      <c r="P13" s="121">
        <v>0</v>
      </c>
      <c r="Q13" s="121">
        <v>0</v>
      </c>
      <c r="R13" s="121">
        <v>0</v>
      </c>
      <c r="S13" s="121">
        <v>0</v>
      </c>
      <c r="T13" s="121">
        <v>33</v>
      </c>
      <c r="Z13" s="91">
        <v>1213</v>
      </c>
      <c r="AB13" s="68" t="s">
        <v>52</v>
      </c>
      <c r="AC13" s="81">
        <v>45292</v>
      </c>
      <c r="AD13" s="81">
        <v>45565</v>
      </c>
    </row>
    <row r="14" spans="1:34" ht="12.9" customHeight="1">
      <c r="B14" s="75">
        <v>1213</v>
      </c>
      <c r="C14" s="75">
        <v>1213</v>
      </c>
      <c r="D14" s="75" t="s">
        <v>57</v>
      </c>
      <c r="E14" s="75"/>
      <c r="F14" s="73" t="s">
        <v>391</v>
      </c>
      <c r="G14" s="73"/>
      <c r="H14" s="74"/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O14" s="121">
        <v>0</v>
      </c>
      <c r="P14" s="121">
        <v>0</v>
      </c>
      <c r="Q14" s="121">
        <v>0</v>
      </c>
      <c r="R14" s="121">
        <v>0</v>
      </c>
      <c r="S14" s="121">
        <v>10</v>
      </c>
      <c r="T14" s="121">
        <v>0</v>
      </c>
      <c r="Z14" s="91">
        <v>1611</v>
      </c>
      <c r="AB14" s="68" t="s">
        <v>53</v>
      </c>
      <c r="AC14" s="81">
        <v>45292</v>
      </c>
      <c r="AD14" s="81">
        <v>45596</v>
      </c>
    </row>
    <row r="15" spans="1:34" ht="12.9" customHeight="1">
      <c r="B15" s="75">
        <v>1213</v>
      </c>
      <c r="C15" s="75">
        <v>1213</v>
      </c>
      <c r="D15" s="75" t="s">
        <v>57</v>
      </c>
      <c r="E15" s="75"/>
      <c r="F15" s="117" t="s">
        <v>392</v>
      </c>
      <c r="G15" s="73"/>
      <c r="H15" s="74"/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O15" s="121">
        <v>0</v>
      </c>
      <c r="P15" s="121">
        <v>0</v>
      </c>
      <c r="Q15" s="121">
        <v>0</v>
      </c>
      <c r="R15" s="121">
        <v>5</v>
      </c>
      <c r="S15" s="121">
        <v>0</v>
      </c>
      <c r="T15" s="121">
        <v>0</v>
      </c>
      <c r="Z15" s="91">
        <v>3221</v>
      </c>
      <c r="AB15" s="68" t="s">
        <v>54</v>
      </c>
      <c r="AC15" s="81">
        <v>45292</v>
      </c>
      <c r="AD15" s="81">
        <v>45626</v>
      </c>
      <c r="AH15"/>
    </row>
    <row r="16" spans="1:34" ht="12.9" customHeight="1">
      <c r="B16" s="75">
        <v>1213</v>
      </c>
      <c r="C16" s="75">
        <v>1213</v>
      </c>
      <c r="D16" s="75" t="s">
        <v>57</v>
      </c>
      <c r="E16" s="75"/>
      <c r="F16" s="73" t="s">
        <v>393</v>
      </c>
      <c r="G16" s="73"/>
      <c r="H16" s="74"/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O16" s="121">
        <v>0</v>
      </c>
      <c r="P16" s="121">
        <v>0</v>
      </c>
      <c r="Q16" s="121">
        <v>7.5</v>
      </c>
      <c r="R16" s="121">
        <v>0</v>
      </c>
      <c r="S16" s="121">
        <v>0</v>
      </c>
      <c r="T16" s="121">
        <v>0</v>
      </c>
      <c r="Z16" s="91">
        <v>8511</v>
      </c>
      <c r="AB16" s="68" t="s">
        <v>55</v>
      </c>
      <c r="AC16" s="81">
        <v>45292</v>
      </c>
      <c r="AD16" s="81">
        <v>45657</v>
      </c>
      <c r="AH16"/>
    </row>
    <row r="17" spans="2:38" ht="12.9" customHeight="1">
      <c r="B17" s="75">
        <v>1511</v>
      </c>
      <c r="C17" s="75">
        <v>1511</v>
      </c>
      <c r="D17" s="75" t="s">
        <v>57</v>
      </c>
      <c r="E17" s="75"/>
      <c r="F17" s="73" t="s">
        <v>179</v>
      </c>
      <c r="G17" s="73"/>
      <c r="H17" s="74"/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O17" s="121">
        <v>0</v>
      </c>
      <c r="P17" s="121">
        <v>0</v>
      </c>
      <c r="Q17" s="121">
        <v>4</v>
      </c>
      <c r="R17" s="121">
        <v>0</v>
      </c>
      <c r="S17" s="121">
        <v>0</v>
      </c>
      <c r="T17" s="121">
        <v>136.69999999999999</v>
      </c>
      <c r="Z17" s="91">
        <v>8512</v>
      </c>
      <c r="AC17" s="81"/>
      <c r="AD17" s="81"/>
      <c r="AH17"/>
    </row>
    <row r="18" spans="2:38" ht="12.9" customHeight="1">
      <c r="B18" s="75">
        <v>1511</v>
      </c>
      <c r="C18" s="75">
        <v>1511</v>
      </c>
      <c r="D18" s="75" t="s">
        <v>57</v>
      </c>
      <c r="E18" s="75"/>
      <c r="F18" s="73" t="s">
        <v>180</v>
      </c>
      <c r="G18" s="73"/>
      <c r="H18" s="74"/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  <c r="R18" s="121">
        <v>0</v>
      </c>
      <c r="S18" s="121">
        <v>20</v>
      </c>
      <c r="T18" s="121">
        <v>70</v>
      </c>
      <c r="Z18" s="91" t="s">
        <v>48</v>
      </c>
      <c r="AC18" s="81"/>
      <c r="AD18" s="81"/>
      <c r="AH18"/>
    </row>
    <row r="19" spans="2:38" ht="12.9" customHeight="1">
      <c r="B19" s="75">
        <v>1511</v>
      </c>
      <c r="C19" s="75">
        <v>1511</v>
      </c>
      <c r="D19" s="75" t="s">
        <v>57</v>
      </c>
      <c r="E19" s="75"/>
      <c r="F19" s="73" t="s">
        <v>181</v>
      </c>
      <c r="G19" s="73"/>
      <c r="H19" s="74"/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O19" s="121">
        <v>7.2</v>
      </c>
      <c r="P19" s="121">
        <v>0</v>
      </c>
      <c r="Q19" s="121">
        <v>0</v>
      </c>
      <c r="R19" s="121">
        <v>0</v>
      </c>
      <c r="S19" s="121">
        <v>0</v>
      </c>
      <c r="T19" s="121">
        <v>0</v>
      </c>
      <c r="Z19" s="68">
        <v>8514</v>
      </c>
      <c r="AH19"/>
    </row>
    <row r="20" spans="2:38" ht="12.9" customHeight="1">
      <c r="B20" s="75">
        <v>1511</v>
      </c>
      <c r="C20" s="75">
        <v>1511</v>
      </c>
      <c r="D20" s="75" t="s">
        <v>57</v>
      </c>
      <c r="E20" s="75"/>
      <c r="F20" s="73" t="s">
        <v>182</v>
      </c>
      <c r="G20" s="73"/>
      <c r="H20" s="74"/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O20" s="121">
        <v>0</v>
      </c>
      <c r="P20" s="121">
        <v>0</v>
      </c>
      <c r="Q20" s="121">
        <v>6</v>
      </c>
      <c r="R20" s="121">
        <v>0</v>
      </c>
      <c r="S20" s="121">
        <v>0</v>
      </c>
      <c r="T20" s="121">
        <v>0</v>
      </c>
      <c r="Z20" s="68">
        <v>1511</v>
      </c>
      <c r="AH20"/>
    </row>
    <row r="21" spans="2:38" ht="12.9" customHeight="1">
      <c r="B21" s="75">
        <v>1511</v>
      </c>
      <c r="C21" s="75">
        <v>1511</v>
      </c>
      <c r="D21" s="75" t="s">
        <v>57</v>
      </c>
      <c r="E21" s="75"/>
      <c r="F21" s="73" t="s">
        <v>183</v>
      </c>
      <c r="G21" s="73"/>
      <c r="H21" s="74"/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O21" s="121">
        <v>0</v>
      </c>
      <c r="P21" s="121">
        <v>0</v>
      </c>
      <c r="Q21" s="121">
        <v>0</v>
      </c>
      <c r="R21" s="121">
        <v>0</v>
      </c>
      <c r="S21" s="121">
        <v>0</v>
      </c>
      <c r="T21" s="121">
        <v>20.100000000000001</v>
      </c>
      <c r="Z21" s="91">
        <v>9111</v>
      </c>
      <c r="AC21"/>
      <c r="AH21"/>
    </row>
    <row r="22" spans="2:38" ht="12.9" customHeight="1">
      <c r="B22" s="75">
        <v>1511</v>
      </c>
      <c r="C22" s="75">
        <v>1511</v>
      </c>
      <c r="D22" s="75" t="s">
        <v>57</v>
      </c>
      <c r="E22" s="75"/>
      <c r="F22" s="73" t="s">
        <v>184</v>
      </c>
      <c r="G22" s="73"/>
      <c r="H22" s="74"/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O22" s="121">
        <v>0</v>
      </c>
      <c r="P22" s="121">
        <v>0</v>
      </c>
      <c r="Q22" s="121">
        <v>0</v>
      </c>
      <c r="R22" s="121">
        <v>0</v>
      </c>
      <c r="S22" s="121">
        <v>0</v>
      </c>
      <c r="T22" s="121">
        <v>88</v>
      </c>
      <c r="Z22" s="68">
        <v>1311</v>
      </c>
      <c r="AC22"/>
      <c r="AH22"/>
      <c r="AL22" s="72"/>
    </row>
    <row r="23" spans="2:38" ht="12.9" customHeight="1">
      <c r="B23" s="75">
        <v>1511</v>
      </c>
      <c r="C23" s="75">
        <v>1511</v>
      </c>
      <c r="D23" s="75" t="s">
        <v>57</v>
      </c>
      <c r="E23" s="75"/>
      <c r="F23" s="73" t="s">
        <v>185</v>
      </c>
      <c r="G23" s="73"/>
      <c r="H23" s="74"/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O23" s="121">
        <v>0</v>
      </c>
      <c r="P23" s="121">
        <v>0</v>
      </c>
      <c r="Q23" s="121">
        <v>0</v>
      </c>
      <c r="R23" s="121">
        <v>0</v>
      </c>
      <c r="S23" s="121">
        <v>0</v>
      </c>
      <c r="T23" s="121">
        <v>0</v>
      </c>
      <c r="Z23" s="68" t="s">
        <v>47</v>
      </c>
      <c r="AC23"/>
      <c r="AH23"/>
      <c r="AL23" s="72"/>
    </row>
    <row r="24" spans="2:38" ht="12.9" customHeight="1">
      <c r="B24" s="75">
        <v>1511</v>
      </c>
      <c r="C24" s="75">
        <v>1511</v>
      </c>
      <c r="D24" s="75" t="s">
        <v>57</v>
      </c>
      <c r="E24" s="75"/>
      <c r="F24" s="73" t="s">
        <v>186</v>
      </c>
      <c r="G24" s="73"/>
      <c r="H24" s="74"/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O24" s="121">
        <v>0</v>
      </c>
      <c r="P24" s="121">
        <v>0</v>
      </c>
      <c r="Q24" s="121">
        <v>0</v>
      </c>
      <c r="R24" s="121">
        <v>0</v>
      </c>
      <c r="S24" s="121">
        <v>0</v>
      </c>
      <c r="T24" s="121">
        <v>0</v>
      </c>
      <c r="Z24" s="91"/>
      <c r="AC24"/>
      <c r="AH24"/>
      <c r="AL24" s="72"/>
    </row>
    <row r="25" spans="2:38" ht="12.9" customHeight="1">
      <c r="B25" s="75">
        <v>1511</v>
      </c>
      <c r="C25" s="75">
        <v>1511</v>
      </c>
      <c r="D25" s="75" t="s">
        <v>57</v>
      </c>
      <c r="E25" s="75"/>
      <c r="F25" s="73" t="s">
        <v>187</v>
      </c>
      <c r="G25" s="73"/>
      <c r="H25" s="74"/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O25" s="121">
        <v>0</v>
      </c>
      <c r="P25" s="121">
        <v>5.5</v>
      </c>
      <c r="Q25" s="121">
        <v>0</v>
      </c>
      <c r="R25" s="121">
        <v>0</v>
      </c>
      <c r="S25" s="121">
        <v>0</v>
      </c>
      <c r="T25" s="121">
        <v>0</v>
      </c>
      <c r="Z25"/>
      <c r="AC25"/>
      <c r="AH25"/>
      <c r="AL25" s="72"/>
    </row>
    <row r="26" spans="2:38" ht="12.9" customHeight="1">
      <c r="B26" s="75">
        <v>1511</v>
      </c>
      <c r="C26" s="75">
        <v>1511</v>
      </c>
      <c r="D26" s="75" t="s">
        <v>670</v>
      </c>
      <c r="E26" s="75"/>
      <c r="F26" s="73" t="s">
        <v>188</v>
      </c>
      <c r="G26" s="73"/>
      <c r="H26" s="74"/>
      <c r="I26" s="121">
        <v>0</v>
      </c>
      <c r="J26" s="121">
        <v>0</v>
      </c>
      <c r="K26" s="121">
        <v>0</v>
      </c>
      <c r="L26" s="121">
        <v>0</v>
      </c>
      <c r="M26" s="121">
        <v>0</v>
      </c>
      <c r="N26" s="121">
        <v>0</v>
      </c>
      <c r="O26" s="121">
        <v>0</v>
      </c>
      <c r="P26" s="121">
        <v>7</v>
      </c>
      <c r="Q26" s="121">
        <v>0</v>
      </c>
      <c r="R26" s="121">
        <v>0</v>
      </c>
      <c r="S26" s="121">
        <v>0</v>
      </c>
      <c r="T26" s="121">
        <v>0</v>
      </c>
      <c r="Z26"/>
      <c r="AC26"/>
      <c r="AH26"/>
      <c r="AL26" s="72"/>
    </row>
    <row r="27" spans="2:38" ht="12.9" customHeight="1">
      <c r="B27" s="75">
        <v>1511</v>
      </c>
      <c r="C27" s="75">
        <v>1511</v>
      </c>
      <c r="D27" s="75" t="s">
        <v>57</v>
      </c>
      <c r="E27" s="75"/>
      <c r="F27" s="73" t="s">
        <v>189</v>
      </c>
      <c r="G27" s="73"/>
      <c r="H27" s="74"/>
      <c r="I27" s="121">
        <v>0</v>
      </c>
      <c r="J27" s="121">
        <v>0</v>
      </c>
      <c r="K27" s="121">
        <v>0</v>
      </c>
      <c r="L27" s="121">
        <v>0</v>
      </c>
      <c r="M27" s="121">
        <v>0</v>
      </c>
      <c r="N27" s="121">
        <v>0</v>
      </c>
      <c r="O27" s="121">
        <v>0</v>
      </c>
      <c r="P27" s="121">
        <v>0</v>
      </c>
      <c r="Q27" s="121">
        <v>30</v>
      </c>
      <c r="R27" s="121">
        <v>0</v>
      </c>
      <c r="S27" s="121">
        <v>0</v>
      </c>
      <c r="T27" s="121">
        <v>0</v>
      </c>
      <c r="Z27"/>
      <c r="AC27"/>
      <c r="AH27"/>
      <c r="AL27" s="72"/>
    </row>
    <row r="28" spans="2:38" ht="12.9" customHeight="1">
      <c r="B28" s="75">
        <v>1511</v>
      </c>
      <c r="C28" s="75">
        <v>1511</v>
      </c>
      <c r="D28" s="75" t="s">
        <v>57</v>
      </c>
      <c r="E28" s="75"/>
      <c r="F28" s="73" t="s">
        <v>190</v>
      </c>
      <c r="G28" s="73"/>
      <c r="H28" s="74"/>
      <c r="I28" s="121">
        <v>0</v>
      </c>
      <c r="J28" s="121">
        <v>0</v>
      </c>
      <c r="K28" s="121">
        <v>0</v>
      </c>
      <c r="L28" s="121">
        <v>0</v>
      </c>
      <c r="M28" s="121">
        <v>0</v>
      </c>
      <c r="N28" s="121">
        <v>0</v>
      </c>
      <c r="O28" s="121">
        <v>0</v>
      </c>
      <c r="P28" s="121">
        <v>0</v>
      </c>
      <c r="Q28" s="121">
        <v>0</v>
      </c>
      <c r="R28" s="121">
        <v>0</v>
      </c>
      <c r="S28" s="121">
        <v>0</v>
      </c>
      <c r="T28" s="121">
        <v>150</v>
      </c>
      <c r="Z28"/>
      <c r="AC28"/>
      <c r="AH28"/>
      <c r="AL28" s="72"/>
    </row>
    <row r="29" spans="2:38" ht="12.9" customHeight="1">
      <c r="B29" s="75">
        <v>1511</v>
      </c>
      <c r="C29" s="75">
        <v>1511</v>
      </c>
      <c r="D29" s="75" t="s">
        <v>57</v>
      </c>
      <c r="E29" s="75"/>
      <c r="F29" s="73" t="s">
        <v>191</v>
      </c>
      <c r="G29" s="73"/>
      <c r="H29" s="74"/>
      <c r="I29" s="121">
        <v>0</v>
      </c>
      <c r="J29" s="121">
        <v>0</v>
      </c>
      <c r="K29" s="121">
        <v>0</v>
      </c>
      <c r="L29" s="121">
        <v>0</v>
      </c>
      <c r="M29" s="121">
        <v>0</v>
      </c>
      <c r="N29" s="121">
        <v>0</v>
      </c>
      <c r="O29" s="121">
        <v>0</v>
      </c>
      <c r="P29" s="121">
        <v>0</v>
      </c>
      <c r="Q29" s="121">
        <v>0</v>
      </c>
      <c r="R29" s="121">
        <v>0</v>
      </c>
      <c r="S29" s="121">
        <v>0</v>
      </c>
      <c r="T29" s="121">
        <v>0</v>
      </c>
      <c r="Z29"/>
      <c r="AC29"/>
      <c r="AH29"/>
      <c r="AL29" s="72"/>
    </row>
    <row r="30" spans="2:38" ht="12.9" customHeight="1">
      <c r="B30" s="75">
        <v>1511</v>
      </c>
      <c r="C30" s="75">
        <v>1511</v>
      </c>
      <c r="D30" s="75" t="s">
        <v>57</v>
      </c>
      <c r="E30" s="75"/>
      <c r="F30" s="73" t="s">
        <v>192</v>
      </c>
      <c r="G30" s="73"/>
      <c r="H30" s="74"/>
      <c r="I30" s="121">
        <v>0</v>
      </c>
      <c r="J30" s="121">
        <v>0</v>
      </c>
      <c r="K30" s="121">
        <v>0</v>
      </c>
      <c r="L30" s="121">
        <v>0</v>
      </c>
      <c r="M30" s="121">
        <v>0</v>
      </c>
      <c r="N30" s="121">
        <v>0</v>
      </c>
      <c r="O30" s="121">
        <v>0</v>
      </c>
      <c r="P30" s="121">
        <v>0</v>
      </c>
      <c r="Q30" s="121">
        <v>0</v>
      </c>
      <c r="R30" s="121">
        <v>0</v>
      </c>
      <c r="S30" s="121">
        <v>0</v>
      </c>
      <c r="T30" s="121">
        <v>0</v>
      </c>
      <c r="Z30"/>
      <c r="AC30"/>
      <c r="AH30"/>
      <c r="AL30" s="72"/>
    </row>
    <row r="31" spans="2:38" ht="12.9" customHeight="1">
      <c r="B31" s="75">
        <v>1511</v>
      </c>
      <c r="C31" s="75">
        <v>1511</v>
      </c>
      <c r="D31" s="75" t="s">
        <v>57</v>
      </c>
      <c r="E31" s="75"/>
      <c r="F31" s="73" t="s">
        <v>193</v>
      </c>
      <c r="G31" s="73"/>
      <c r="H31" s="74"/>
      <c r="I31" s="121">
        <v>0</v>
      </c>
      <c r="J31" s="121">
        <v>0</v>
      </c>
      <c r="K31" s="121">
        <v>0</v>
      </c>
      <c r="L31" s="121">
        <v>0</v>
      </c>
      <c r="M31" s="121">
        <v>0</v>
      </c>
      <c r="N31" s="121">
        <v>0</v>
      </c>
      <c r="O31" s="121">
        <v>0</v>
      </c>
      <c r="P31" s="121">
        <v>0</v>
      </c>
      <c r="Q31" s="121">
        <v>0</v>
      </c>
      <c r="R31" s="121">
        <v>0</v>
      </c>
      <c r="S31" s="121">
        <v>0</v>
      </c>
      <c r="T31" s="121">
        <v>105.5</v>
      </c>
      <c r="Z31"/>
      <c r="AC31"/>
      <c r="AH31"/>
      <c r="AL31" s="72"/>
    </row>
    <row r="32" spans="2:38" ht="12.9" customHeight="1">
      <c r="B32" s="75">
        <v>1511</v>
      </c>
      <c r="C32" s="75">
        <v>1511</v>
      </c>
      <c r="D32" s="75" t="s">
        <v>57</v>
      </c>
      <c r="E32" s="75"/>
      <c r="F32" s="73" t="s">
        <v>194</v>
      </c>
      <c r="G32" s="73"/>
      <c r="H32" s="74"/>
      <c r="I32" s="121">
        <v>0</v>
      </c>
      <c r="J32" s="121">
        <v>0</v>
      </c>
      <c r="K32" s="121">
        <v>0</v>
      </c>
      <c r="L32" s="121">
        <v>0</v>
      </c>
      <c r="M32" s="121">
        <v>0</v>
      </c>
      <c r="N32" s="121">
        <v>0</v>
      </c>
      <c r="O32" s="121">
        <v>0</v>
      </c>
      <c r="P32" s="121">
        <v>0</v>
      </c>
      <c r="Q32" s="121">
        <v>0</v>
      </c>
      <c r="R32" s="121">
        <v>0</v>
      </c>
      <c r="S32" s="121">
        <v>50</v>
      </c>
      <c r="T32" s="121">
        <v>0</v>
      </c>
      <c r="Z32"/>
      <c r="AC32"/>
      <c r="AH32"/>
      <c r="AL32" s="72"/>
    </row>
    <row r="33" spans="2:38" ht="12.9" customHeight="1">
      <c r="B33" s="75">
        <v>1511</v>
      </c>
      <c r="C33" s="75">
        <v>1511</v>
      </c>
      <c r="D33" s="75" t="s">
        <v>57</v>
      </c>
      <c r="E33" s="75"/>
      <c r="F33" s="73" t="s">
        <v>195</v>
      </c>
      <c r="G33" s="73"/>
      <c r="H33" s="74"/>
      <c r="I33" s="121">
        <v>0</v>
      </c>
      <c r="J33" s="121">
        <v>0</v>
      </c>
      <c r="K33" s="121">
        <v>0</v>
      </c>
      <c r="L33" s="121">
        <v>0</v>
      </c>
      <c r="M33" s="121">
        <v>0</v>
      </c>
      <c r="N33" s="121">
        <v>0</v>
      </c>
      <c r="O33" s="121">
        <v>0</v>
      </c>
      <c r="P33" s="121">
        <v>0</v>
      </c>
      <c r="Q33" s="121">
        <v>0</v>
      </c>
      <c r="R33" s="121">
        <v>0</v>
      </c>
      <c r="S33" s="121">
        <v>0</v>
      </c>
      <c r="T33" s="121">
        <v>0</v>
      </c>
      <c r="Z33"/>
      <c r="AC33"/>
      <c r="AH33"/>
      <c r="AL33" s="72"/>
    </row>
    <row r="34" spans="2:38" ht="12.9" customHeight="1">
      <c r="B34" s="75">
        <v>1511</v>
      </c>
      <c r="C34" s="75">
        <v>1511</v>
      </c>
      <c r="D34" s="75" t="s">
        <v>57</v>
      </c>
      <c r="E34" s="75"/>
      <c r="F34" s="117" t="s">
        <v>196</v>
      </c>
      <c r="G34" s="73"/>
      <c r="H34" s="74"/>
      <c r="I34" s="121">
        <v>0</v>
      </c>
      <c r="J34" s="121">
        <v>0</v>
      </c>
      <c r="K34" s="121">
        <v>0</v>
      </c>
      <c r="L34" s="121">
        <v>0</v>
      </c>
      <c r="M34" s="121">
        <v>0</v>
      </c>
      <c r="N34" s="121">
        <v>0</v>
      </c>
      <c r="O34" s="121">
        <v>0</v>
      </c>
      <c r="P34" s="121">
        <v>0</v>
      </c>
      <c r="Q34" s="121">
        <v>0</v>
      </c>
      <c r="R34" s="121">
        <v>0</v>
      </c>
      <c r="S34" s="121">
        <v>0</v>
      </c>
      <c r="T34" s="121">
        <v>0</v>
      </c>
      <c r="Z34"/>
      <c r="AC34"/>
      <c r="AH34"/>
      <c r="AL34" s="72"/>
    </row>
    <row r="35" spans="2:38" ht="12.9" customHeight="1">
      <c r="B35" s="75">
        <v>1511</v>
      </c>
      <c r="C35" s="75">
        <v>1511</v>
      </c>
      <c r="D35" s="75" t="s">
        <v>57</v>
      </c>
      <c r="E35" s="75"/>
      <c r="F35" s="117" t="s">
        <v>197</v>
      </c>
      <c r="G35" s="73"/>
      <c r="H35" s="74"/>
      <c r="I35" s="121">
        <v>0</v>
      </c>
      <c r="J35" s="121">
        <v>0</v>
      </c>
      <c r="K35" s="121">
        <v>0</v>
      </c>
      <c r="L35" s="121">
        <v>0</v>
      </c>
      <c r="M35" s="121">
        <v>0</v>
      </c>
      <c r="N35" s="121">
        <v>0</v>
      </c>
      <c r="O35" s="121">
        <v>0</v>
      </c>
      <c r="P35" s="121">
        <v>15</v>
      </c>
      <c r="Q35" s="121">
        <v>0</v>
      </c>
      <c r="R35" s="121">
        <v>0</v>
      </c>
      <c r="S35" s="121">
        <v>0</v>
      </c>
      <c r="T35" s="121">
        <v>0</v>
      </c>
      <c r="Z35"/>
      <c r="AC35"/>
      <c r="AH35"/>
      <c r="AL35" s="72"/>
    </row>
    <row r="36" spans="2:38" ht="12.9" customHeight="1">
      <c r="B36" s="75">
        <v>1611</v>
      </c>
      <c r="C36" s="75">
        <v>1611</v>
      </c>
      <c r="D36" s="75" t="s">
        <v>114</v>
      </c>
      <c r="E36" s="75"/>
      <c r="F36" s="73" t="s">
        <v>198</v>
      </c>
      <c r="G36" s="73"/>
      <c r="H36" s="74"/>
      <c r="I36" s="121">
        <v>0.24</v>
      </c>
      <c r="J36" s="121">
        <v>0.24</v>
      </c>
      <c r="K36" s="121">
        <v>0.23988999999999999</v>
      </c>
      <c r="L36" s="121">
        <v>0.23988999999999999</v>
      </c>
      <c r="M36" s="121">
        <v>0.23988999999999999</v>
      </c>
      <c r="N36" s="121">
        <v>0.23988999999999999</v>
      </c>
      <c r="O36" s="121">
        <v>0.23988999999999999</v>
      </c>
      <c r="P36" s="121">
        <v>0.23988999999999999</v>
      </c>
      <c r="Q36" s="121">
        <v>0.23988999999999999</v>
      </c>
      <c r="R36" s="121">
        <v>0.23988999999999999</v>
      </c>
      <c r="S36" s="121">
        <v>0.23988999999999999</v>
      </c>
      <c r="T36" s="121">
        <v>0.23988999999999999</v>
      </c>
      <c r="Z36"/>
      <c r="AC36"/>
      <c r="AH36"/>
      <c r="AL36" s="72"/>
    </row>
    <row r="37" spans="2:38" ht="12.9" customHeight="1">
      <c r="B37" s="75">
        <v>3211</v>
      </c>
      <c r="C37" s="75">
        <v>3211</v>
      </c>
      <c r="D37" s="75" t="s">
        <v>57</v>
      </c>
      <c r="E37" s="75"/>
      <c r="F37" s="73" t="s">
        <v>68</v>
      </c>
      <c r="G37" s="73"/>
      <c r="H37" s="74"/>
      <c r="I37" s="121">
        <v>0</v>
      </c>
      <c r="J37" s="121">
        <v>0</v>
      </c>
      <c r="K37" s="121">
        <v>0</v>
      </c>
      <c r="L37" s="121">
        <v>0</v>
      </c>
      <c r="M37" s="121">
        <v>0</v>
      </c>
      <c r="N37" s="121">
        <v>0</v>
      </c>
      <c r="O37" s="121">
        <v>0</v>
      </c>
      <c r="P37" s="121">
        <v>0</v>
      </c>
      <c r="Q37" s="121">
        <v>0</v>
      </c>
      <c r="R37" s="121">
        <v>0</v>
      </c>
      <c r="S37" s="121">
        <v>0</v>
      </c>
      <c r="T37" s="121">
        <v>25</v>
      </c>
      <c r="Z37"/>
      <c r="AC37"/>
      <c r="AH37"/>
      <c r="AL37" s="72"/>
    </row>
    <row r="38" spans="2:38" ht="12.9" customHeight="1">
      <c r="B38" s="75">
        <v>3211</v>
      </c>
      <c r="C38" s="75">
        <v>3211</v>
      </c>
      <c r="D38" s="75" t="s">
        <v>57</v>
      </c>
      <c r="E38" s="75"/>
      <c r="F38" s="73" t="s">
        <v>199</v>
      </c>
      <c r="G38" s="73"/>
      <c r="H38" s="74"/>
      <c r="I38" s="121">
        <v>0</v>
      </c>
      <c r="J38" s="121">
        <v>0</v>
      </c>
      <c r="K38" s="121">
        <v>0</v>
      </c>
      <c r="L38" s="121">
        <v>0</v>
      </c>
      <c r="M38" s="121">
        <v>0</v>
      </c>
      <c r="N38" s="121">
        <v>0</v>
      </c>
      <c r="O38" s="121">
        <v>0</v>
      </c>
      <c r="P38" s="121">
        <v>0</v>
      </c>
      <c r="Q38" s="121">
        <v>0</v>
      </c>
      <c r="R38" s="121">
        <v>25</v>
      </c>
      <c r="S38" s="121">
        <v>0</v>
      </c>
      <c r="T38" s="121">
        <v>0</v>
      </c>
      <c r="Z38"/>
      <c r="AC38"/>
      <c r="AH38"/>
    </row>
    <row r="39" spans="2:38" ht="12.9" customHeight="1">
      <c r="B39" s="75">
        <v>3211</v>
      </c>
      <c r="C39" s="75">
        <v>3211</v>
      </c>
      <c r="D39" s="75" t="s">
        <v>57</v>
      </c>
      <c r="E39" s="75"/>
      <c r="F39" s="73" t="s">
        <v>69</v>
      </c>
      <c r="G39" s="73"/>
      <c r="H39" s="74"/>
      <c r="I39" s="121">
        <v>0</v>
      </c>
      <c r="J39" s="121">
        <v>0</v>
      </c>
      <c r="K39" s="121">
        <v>0</v>
      </c>
      <c r="L39" s="121">
        <v>0</v>
      </c>
      <c r="M39" s="121">
        <v>0</v>
      </c>
      <c r="N39" s="121">
        <v>0</v>
      </c>
      <c r="O39" s="121">
        <v>0</v>
      </c>
      <c r="P39" s="121">
        <v>0</v>
      </c>
      <c r="Q39" s="121">
        <v>0</v>
      </c>
      <c r="R39" s="121">
        <v>0</v>
      </c>
      <c r="S39" s="121">
        <v>0</v>
      </c>
      <c r="T39" s="121">
        <v>60.44</v>
      </c>
      <c r="Z39"/>
      <c r="AC39"/>
      <c r="AH39"/>
    </row>
    <row r="40" spans="2:38" ht="12.9" customHeight="1">
      <c r="B40" s="75">
        <v>3211</v>
      </c>
      <c r="C40" s="75">
        <v>3211</v>
      </c>
      <c r="D40" s="75" t="s">
        <v>57</v>
      </c>
      <c r="E40" s="75"/>
      <c r="F40" s="73" t="s">
        <v>200</v>
      </c>
      <c r="G40" s="73"/>
      <c r="H40" s="74"/>
      <c r="I40" s="121">
        <v>0</v>
      </c>
      <c r="J40" s="121">
        <v>0</v>
      </c>
      <c r="K40" s="121">
        <v>0</v>
      </c>
      <c r="L40" s="121">
        <v>0</v>
      </c>
      <c r="M40" s="121">
        <v>0</v>
      </c>
      <c r="N40" s="121">
        <v>0</v>
      </c>
      <c r="O40" s="121">
        <v>0</v>
      </c>
      <c r="P40" s="121">
        <v>0</v>
      </c>
      <c r="Q40" s="121">
        <v>0</v>
      </c>
      <c r="R40" s="121">
        <v>0</v>
      </c>
      <c r="S40" s="121">
        <v>0</v>
      </c>
      <c r="T40" s="121">
        <v>0</v>
      </c>
      <c r="Z40"/>
      <c r="AC40"/>
      <c r="AH40"/>
    </row>
    <row r="41" spans="2:38" ht="12.9" customHeight="1">
      <c r="B41" s="75">
        <v>3211</v>
      </c>
      <c r="C41" s="75">
        <v>3211</v>
      </c>
      <c r="D41" s="75" t="s">
        <v>57</v>
      </c>
      <c r="E41" s="75"/>
      <c r="F41" s="73" t="s">
        <v>70</v>
      </c>
      <c r="G41" s="73"/>
      <c r="H41" s="74"/>
      <c r="I41" s="121">
        <v>0</v>
      </c>
      <c r="J41" s="121">
        <v>0</v>
      </c>
      <c r="K41" s="121">
        <v>0</v>
      </c>
      <c r="L41" s="121">
        <v>0</v>
      </c>
      <c r="M41" s="121">
        <v>0</v>
      </c>
      <c r="N41" s="121">
        <v>0</v>
      </c>
      <c r="O41" s="121">
        <v>0</v>
      </c>
      <c r="P41" s="121">
        <v>0</v>
      </c>
      <c r="Q41" s="121">
        <v>0</v>
      </c>
      <c r="R41" s="121">
        <v>0</v>
      </c>
      <c r="S41" s="121">
        <v>0</v>
      </c>
      <c r="T41" s="121">
        <v>15</v>
      </c>
      <c r="Z41"/>
      <c r="AC41"/>
      <c r="AH41"/>
      <c r="AL41" s="72"/>
    </row>
    <row r="42" spans="2:38" ht="12.9" customHeight="1">
      <c r="B42" s="75">
        <v>3211</v>
      </c>
      <c r="C42" s="75">
        <v>3211</v>
      </c>
      <c r="D42" s="75" t="s">
        <v>57</v>
      </c>
      <c r="E42" s="75"/>
      <c r="F42" s="73" t="s">
        <v>201</v>
      </c>
      <c r="G42" s="73"/>
      <c r="H42" s="74"/>
      <c r="I42" s="121">
        <v>0</v>
      </c>
      <c r="J42" s="121">
        <v>0</v>
      </c>
      <c r="K42" s="121">
        <v>0</v>
      </c>
      <c r="L42" s="121">
        <v>0</v>
      </c>
      <c r="M42" s="121">
        <v>0</v>
      </c>
      <c r="N42" s="121">
        <v>0</v>
      </c>
      <c r="O42" s="121">
        <v>0</v>
      </c>
      <c r="P42" s="121">
        <v>0</v>
      </c>
      <c r="Q42" s="121">
        <v>0</v>
      </c>
      <c r="R42" s="121">
        <v>0</v>
      </c>
      <c r="S42" s="121">
        <v>0</v>
      </c>
      <c r="T42" s="121">
        <v>2</v>
      </c>
      <c r="Z42"/>
      <c r="AC42"/>
      <c r="AH42"/>
      <c r="AL42" s="72"/>
    </row>
    <row r="43" spans="2:38" ht="12.9" customHeight="1">
      <c r="B43" s="75">
        <v>3211</v>
      </c>
      <c r="C43" s="75">
        <v>3211</v>
      </c>
      <c r="D43" s="75" t="s">
        <v>591</v>
      </c>
      <c r="E43" s="75"/>
      <c r="F43" s="73" t="s">
        <v>71</v>
      </c>
      <c r="G43" s="73"/>
      <c r="H43" s="74"/>
      <c r="I43" s="121">
        <v>0</v>
      </c>
      <c r="J43" s="121">
        <v>0</v>
      </c>
      <c r="K43" s="121">
        <v>0</v>
      </c>
      <c r="L43" s="121">
        <v>0</v>
      </c>
      <c r="M43" s="121">
        <v>0</v>
      </c>
      <c r="N43" s="121">
        <v>0</v>
      </c>
      <c r="O43" s="121">
        <v>3</v>
      </c>
      <c r="P43" s="121">
        <v>0</v>
      </c>
      <c r="Q43" s="121">
        <v>0</v>
      </c>
      <c r="R43" s="121">
        <v>0</v>
      </c>
      <c r="S43" s="121">
        <v>0</v>
      </c>
      <c r="T43" s="121">
        <v>0</v>
      </c>
      <c r="Z43"/>
      <c r="AC43"/>
      <c r="AH43"/>
    </row>
    <row r="44" spans="2:38" ht="12.9" customHeight="1">
      <c r="B44" s="75">
        <v>3211</v>
      </c>
      <c r="C44" s="75">
        <v>3211</v>
      </c>
      <c r="D44" s="72" t="s">
        <v>593</v>
      </c>
      <c r="E44" s="75"/>
      <c r="F44" s="73" t="s">
        <v>72</v>
      </c>
      <c r="G44" s="73"/>
      <c r="H44" s="74"/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5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Z44"/>
      <c r="AC44"/>
      <c r="AH44"/>
      <c r="AL44" s="72"/>
    </row>
    <row r="45" spans="2:38" ht="12.9" customHeight="1">
      <c r="B45" s="75">
        <v>3211</v>
      </c>
      <c r="C45" s="75">
        <v>3211</v>
      </c>
      <c r="D45" s="75" t="s">
        <v>57</v>
      </c>
      <c r="E45" s="75"/>
      <c r="F45" s="73" t="s">
        <v>202</v>
      </c>
      <c r="G45" s="73"/>
      <c r="H45" s="74"/>
      <c r="I45" s="121">
        <v>0</v>
      </c>
      <c r="J45" s="121">
        <v>0</v>
      </c>
      <c r="K45" s="121">
        <v>0</v>
      </c>
      <c r="L45" s="121">
        <v>0</v>
      </c>
      <c r="M45" s="121">
        <v>0</v>
      </c>
      <c r="N45" s="121">
        <v>0</v>
      </c>
      <c r="O45" s="121">
        <v>0</v>
      </c>
      <c r="P45" s="121">
        <v>0</v>
      </c>
      <c r="Q45" s="121">
        <v>0</v>
      </c>
      <c r="R45" s="121">
        <v>0</v>
      </c>
      <c r="S45" s="121">
        <v>0</v>
      </c>
      <c r="T45" s="121">
        <v>2.5</v>
      </c>
      <c r="Z45"/>
      <c r="AC45"/>
      <c r="AH45"/>
      <c r="AL45" s="72"/>
    </row>
    <row r="46" spans="2:38" ht="12.9" customHeight="1">
      <c r="B46" s="75">
        <v>3211</v>
      </c>
      <c r="C46" s="75">
        <v>3211</v>
      </c>
      <c r="D46" s="75" t="s">
        <v>57</v>
      </c>
      <c r="E46" s="75"/>
      <c r="F46" s="73" t="s">
        <v>203</v>
      </c>
      <c r="G46" s="73"/>
      <c r="H46" s="74"/>
      <c r="I46" s="121">
        <v>0</v>
      </c>
      <c r="J46" s="121">
        <v>0</v>
      </c>
      <c r="K46" s="121">
        <v>0</v>
      </c>
      <c r="L46" s="121">
        <v>0</v>
      </c>
      <c r="M46" s="121">
        <v>0</v>
      </c>
      <c r="N46" s="121">
        <v>0</v>
      </c>
      <c r="O46" s="121">
        <v>0</v>
      </c>
      <c r="P46" s="121">
        <v>0</v>
      </c>
      <c r="Q46" s="121">
        <v>0</v>
      </c>
      <c r="R46" s="121">
        <v>0</v>
      </c>
      <c r="S46" s="121">
        <v>0</v>
      </c>
      <c r="T46" s="121">
        <v>2.5</v>
      </c>
      <c r="Z46"/>
      <c r="AC46"/>
      <c r="AH46"/>
      <c r="AL46" s="72"/>
    </row>
    <row r="47" spans="2:38" ht="12.9" customHeight="1">
      <c r="B47" s="75">
        <v>3211</v>
      </c>
      <c r="C47" s="75">
        <v>3211</v>
      </c>
      <c r="D47" s="75" t="s">
        <v>603</v>
      </c>
      <c r="E47" s="75"/>
      <c r="F47" s="73" t="s">
        <v>204</v>
      </c>
      <c r="G47" s="73"/>
      <c r="H47" s="74"/>
      <c r="I47" s="121">
        <v>0</v>
      </c>
      <c r="J47" s="121">
        <v>0</v>
      </c>
      <c r="K47" s="121">
        <v>0</v>
      </c>
      <c r="L47" s="121">
        <v>0</v>
      </c>
      <c r="M47" s="121">
        <v>0</v>
      </c>
      <c r="N47" s="121">
        <v>0</v>
      </c>
      <c r="O47" s="121">
        <v>2.5</v>
      </c>
      <c r="P47" s="121">
        <v>0</v>
      </c>
      <c r="Q47" s="121">
        <v>0</v>
      </c>
      <c r="R47" s="121">
        <v>0</v>
      </c>
      <c r="S47" s="121">
        <v>0</v>
      </c>
      <c r="T47" s="121">
        <v>0</v>
      </c>
      <c r="Z47"/>
      <c r="AC47"/>
      <c r="AH47"/>
      <c r="AL47" s="72"/>
    </row>
    <row r="48" spans="2:38" ht="12.9" customHeight="1">
      <c r="B48" s="75">
        <v>3211</v>
      </c>
      <c r="C48" s="75">
        <v>3211</v>
      </c>
      <c r="D48" s="75" t="s">
        <v>57</v>
      </c>
      <c r="E48" s="75"/>
      <c r="F48" s="73" t="s">
        <v>73</v>
      </c>
      <c r="G48" s="73"/>
      <c r="H48" s="74"/>
      <c r="I48" s="121">
        <v>0</v>
      </c>
      <c r="J48" s="121">
        <v>0</v>
      </c>
      <c r="K48" s="121">
        <v>0</v>
      </c>
      <c r="L48" s="121">
        <v>0</v>
      </c>
      <c r="M48" s="121">
        <v>0</v>
      </c>
      <c r="N48" s="121">
        <v>0</v>
      </c>
      <c r="O48" s="121">
        <v>0</v>
      </c>
      <c r="P48" s="121">
        <v>0</v>
      </c>
      <c r="Q48" s="121">
        <v>0</v>
      </c>
      <c r="R48" s="121">
        <v>0</v>
      </c>
      <c r="S48" s="121">
        <v>0</v>
      </c>
      <c r="T48" s="121">
        <v>4</v>
      </c>
      <c r="Z48"/>
      <c r="AC48"/>
      <c r="AH48"/>
      <c r="AL48" s="72"/>
    </row>
    <row r="49" spans="2:38" ht="12.9" customHeight="1">
      <c r="B49" s="75">
        <v>3211</v>
      </c>
      <c r="C49" s="75">
        <v>3211</v>
      </c>
      <c r="D49" s="75" t="s">
        <v>57</v>
      </c>
      <c r="E49" s="75"/>
      <c r="F49" s="117" t="s">
        <v>74</v>
      </c>
      <c r="G49" s="73"/>
      <c r="H49" s="74"/>
      <c r="I49" s="121">
        <v>0</v>
      </c>
      <c r="J49" s="121">
        <v>0</v>
      </c>
      <c r="K49" s="121">
        <v>0</v>
      </c>
      <c r="L49" s="121">
        <v>0</v>
      </c>
      <c r="M49" s="121">
        <v>0</v>
      </c>
      <c r="N49" s="121">
        <v>0</v>
      </c>
      <c r="O49" s="121">
        <v>0</v>
      </c>
      <c r="P49" s="121">
        <v>0</v>
      </c>
      <c r="Q49" s="121">
        <v>0</v>
      </c>
      <c r="R49" s="121">
        <v>0</v>
      </c>
      <c r="S49" s="121">
        <v>0</v>
      </c>
      <c r="T49" s="121">
        <v>8</v>
      </c>
      <c r="Z49"/>
      <c r="AC49"/>
      <c r="AH49"/>
      <c r="AL49" s="72"/>
    </row>
    <row r="50" spans="2:38" ht="12.9" customHeight="1">
      <c r="B50" s="75">
        <v>3211</v>
      </c>
      <c r="C50" s="75">
        <v>3211</v>
      </c>
      <c r="D50" s="75" t="s">
        <v>57</v>
      </c>
      <c r="E50" s="75"/>
      <c r="F50" s="73" t="s">
        <v>75</v>
      </c>
      <c r="G50" s="73"/>
      <c r="H50" s="74"/>
      <c r="I50" s="121">
        <v>0</v>
      </c>
      <c r="J50" s="121">
        <v>0</v>
      </c>
      <c r="K50" s="121">
        <v>0</v>
      </c>
      <c r="L50" s="121">
        <v>0</v>
      </c>
      <c r="M50" s="121">
        <v>0</v>
      </c>
      <c r="N50" s="121">
        <v>0</v>
      </c>
      <c r="O50" s="121">
        <v>0</v>
      </c>
      <c r="P50" s="121">
        <v>0</v>
      </c>
      <c r="Q50" s="121">
        <v>0</v>
      </c>
      <c r="R50" s="121">
        <v>0</v>
      </c>
      <c r="S50" s="121">
        <v>0</v>
      </c>
      <c r="T50" s="121">
        <v>3.5</v>
      </c>
      <c r="Z50"/>
      <c r="AC50"/>
      <c r="AH50"/>
      <c r="AL50" s="72"/>
    </row>
    <row r="51" spans="2:38" ht="12.9" customHeight="1">
      <c r="B51" s="75">
        <v>3211</v>
      </c>
      <c r="C51" s="75">
        <v>3211</v>
      </c>
      <c r="D51" s="75" t="s">
        <v>57</v>
      </c>
      <c r="E51" s="75"/>
      <c r="F51" s="73" t="s">
        <v>76</v>
      </c>
      <c r="G51" s="73"/>
      <c r="H51" s="74"/>
      <c r="I51" s="121">
        <v>0</v>
      </c>
      <c r="J51" s="121">
        <v>0</v>
      </c>
      <c r="K51" s="121">
        <v>0</v>
      </c>
      <c r="L51" s="121">
        <v>0</v>
      </c>
      <c r="M51" s="121">
        <v>0</v>
      </c>
      <c r="N51" s="121">
        <v>0</v>
      </c>
      <c r="O51" s="121">
        <v>0</v>
      </c>
      <c r="P51" s="121">
        <v>0</v>
      </c>
      <c r="Q51" s="121">
        <v>0</v>
      </c>
      <c r="R51" s="121">
        <v>0</v>
      </c>
      <c r="S51" s="121">
        <v>0</v>
      </c>
      <c r="T51" s="121">
        <v>7</v>
      </c>
      <c r="Z51"/>
      <c r="AC51"/>
      <c r="AH51"/>
      <c r="AL51" s="72"/>
    </row>
    <row r="52" spans="2:38" ht="12.9" customHeight="1">
      <c r="B52" s="75">
        <v>3211</v>
      </c>
      <c r="C52" s="75">
        <v>3211</v>
      </c>
      <c r="D52" s="75" t="s">
        <v>595</v>
      </c>
      <c r="E52" s="75"/>
      <c r="F52" s="73" t="s">
        <v>205</v>
      </c>
      <c r="G52" s="73"/>
      <c r="H52" s="74"/>
      <c r="I52" s="121">
        <v>0</v>
      </c>
      <c r="J52" s="121">
        <v>0</v>
      </c>
      <c r="K52" s="121">
        <v>0</v>
      </c>
      <c r="L52" s="121">
        <v>0</v>
      </c>
      <c r="M52" s="121">
        <v>0</v>
      </c>
      <c r="N52" s="121">
        <v>0</v>
      </c>
      <c r="O52" s="121">
        <v>3.5</v>
      </c>
      <c r="P52" s="121">
        <v>0</v>
      </c>
      <c r="Q52" s="121">
        <v>0</v>
      </c>
      <c r="R52" s="121">
        <v>0</v>
      </c>
      <c r="S52" s="121">
        <v>0</v>
      </c>
      <c r="T52" s="121">
        <v>0</v>
      </c>
      <c r="Z52"/>
      <c r="AC52"/>
      <c r="AH52"/>
      <c r="AL52" s="72"/>
    </row>
    <row r="53" spans="2:38" ht="12.9" customHeight="1">
      <c r="B53" s="75">
        <v>3211</v>
      </c>
      <c r="C53" s="75">
        <v>3211</v>
      </c>
      <c r="D53" s="75" t="s">
        <v>597</v>
      </c>
      <c r="E53" s="75"/>
      <c r="F53" s="73" t="s">
        <v>206</v>
      </c>
      <c r="G53" s="73"/>
      <c r="H53" s="74"/>
      <c r="I53" s="121">
        <v>0</v>
      </c>
      <c r="J53" s="121">
        <v>0</v>
      </c>
      <c r="K53" s="121">
        <v>0</v>
      </c>
      <c r="L53" s="121">
        <v>0</v>
      </c>
      <c r="M53" s="121">
        <v>0</v>
      </c>
      <c r="N53" s="121">
        <v>0</v>
      </c>
      <c r="O53" s="121">
        <v>7</v>
      </c>
      <c r="P53" s="121">
        <v>0</v>
      </c>
      <c r="Q53" s="121">
        <v>0</v>
      </c>
      <c r="R53" s="121">
        <v>0</v>
      </c>
      <c r="S53" s="121">
        <v>0</v>
      </c>
      <c r="T53" s="121">
        <v>0</v>
      </c>
      <c r="Z53"/>
      <c r="AC53"/>
      <c r="AH53"/>
      <c r="AL53" s="72"/>
    </row>
    <row r="54" spans="2:38" ht="12.9" customHeight="1">
      <c r="B54" s="75">
        <v>3211</v>
      </c>
      <c r="C54" s="75">
        <v>3211</v>
      </c>
      <c r="D54" s="75" t="s">
        <v>601</v>
      </c>
      <c r="E54" s="75"/>
      <c r="F54" s="73" t="s">
        <v>207</v>
      </c>
      <c r="G54" s="73"/>
      <c r="H54" s="74"/>
      <c r="I54" s="121">
        <v>0</v>
      </c>
      <c r="J54" s="121">
        <v>0</v>
      </c>
      <c r="K54" s="121">
        <v>0</v>
      </c>
      <c r="L54" s="121">
        <v>0</v>
      </c>
      <c r="M54" s="121">
        <v>0</v>
      </c>
      <c r="N54" s="121">
        <v>0</v>
      </c>
      <c r="O54" s="121">
        <v>3.5</v>
      </c>
      <c r="P54" s="121">
        <v>0</v>
      </c>
      <c r="Q54" s="121">
        <v>0</v>
      </c>
      <c r="R54" s="121">
        <v>0</v>
      </c>
      <c r="S54" s="121">
        <v>0</v>
      </c>
      <c r="T54" s="121">
        <v>0</v>
      </c>
      <c r="Z54"/>
      <c r="AC54"/>
      <c r="AH54"/>
      <c r="AL54" s="72"/>
    </row>
    <row r="55" spans="2:38" ht="12.9" customHeight="1">
      <c r="B55" s="75">
        <v>3211</v>
      </c>
      <c r="C55" s="75">
        <v>3211</v>
      </c>
      <c r="D55" s="75" t="s">
        <v>599</v>
      </c>
      <c r="E55" s="75"/>
      <c r="F55" s="117" t="s">
        <v>208</v>
      </c>
      <c r="G55" s="73"/>
      <c r="H55" s="74"/>
      <c r="I55" s="121">
        <v>0</v>
      </c>
      <c r="J55" s="121">
        <v>0</v>
      </c>
      <c r="K55" s="121">
        <v>0</v>
      </c>
      <c r="L55" s="121">
        <v>0</v>
      </c>
      <c r="M55" s="121">
        <v>0</v>
      </c>
      <c r="N55" s="121">
        <v>0</v>
      </c>
      <c r="O55" s="121">
        <v>7</v>
      </c>
      <c r="P55" s="121">
        <v>0</v>
      </c>
      <c r="Q55" s="121">
        <v>0</v>
      </c>
      <c r="R55" s="121">
        <v>0</v>
      </c>
      <c r="S55" s="121">
        <v>0</v>
      </c>
      <c r="T55" s="121">
        <v>0</v>
      </c>
      <c r="Z55"/>
      <c r="AC55"/>
      <c r="AH55"/>
      <c r="AL55" s="72"/>
    </row>
    <row r="56" spans="2:38" ht="12.9" customHeight="1">
      <c r="B56" s="75">
        <v>3211</v>
      </c>
      <c r="C56" s="75">
        <v>3211</v>
      </c>
      <c r="D56" s="75" t="s">
        <v>57</v>
      </c>
      <c r="E56" s="75"/>
      <c r="F56" s="117" t="s">
        <v>209</v>
      </c>
      <c r="G56" s="73"/>
      <c r="H56" s="74"/>
      <c r="I56" s="121">
        <v>0</v>
      </c>
      <c r="J56" s="121">
        <v>0</v>
      </c>
      <c r="K56" s="121">
        <v>0</v>
      </c>
      <c r="L56" s="121">
        <v>0</v>
      </c>
      <c r="M56" s="121">
        <v>0</v>
      </c>
      <c r="N56" s="121">
        <v>0</v>
      </c>
      <c r="O56" s="121">
        <v>0</v>
      </c>
      <c r="P56" s="121">
        <v>0</v>
      </c>
      <c r="Q56" s="121">
        <v>0</v>
      </c>
      <c r="R56" s="121">
        <v>0</v>
      </c>
      <c r="S56" s="121">
        <v>0</v>
      </c>
      <c r="T56" s="121">
        <v>3.5</v>
      </c>
      <c r="Z56"/>
      <c r="AC56"/>
      <c r="AH56"/>
      <c r="AL56" s="72"/>
    </row>
    <row r="57" spans="2:38" ht="12.9" customHeight="1">
      <c r="B57" s="75">
        <v>3211</v>
      </c>
      <c r="C57" s="75">
        <v>3211</v>
      </c>
      <c r="D57" s="75" t="s">
        <v>57</v>
      </c>
      <c r="E57" s="75"/>
      <c r="F57" s="73" t="s">
        <v>210</v>
      </c>
      <c r="G57" s="73"/>
      <c r="H57" s="74"/>
      <c r="I57" s="121">
        <v>0</v>
      </c>
      <c r="J57" s="121">
        <v>0</v>
      </c>
      <c r="K57" s="121">
        <v>0</v>
      </c>
      <c r="L57" s="121">
        <v>0</v>
      </c>
      <c r="M57" s="121">
        <v>0</v>
      </c>
      <c r="N57" s="121">
        <v>0</v>
      </c>
      <c r="O57" s="121">
        <v>0</v>
      </c>
      <c r="P57" s="121">
        <v>0</v>
      </c>
      <c r="Q57" s="121">
        <v>0</v>
      </c>
      <c r="R57" s="121">
        <v>0</v>
      </c>
      <c r="S57" s="121">
        <v>0</v>
      </c>
      <c r="T57" s="121">
        <v>7</v>
      </c>
      <c r="Z57"/>
      <c r="AC57"/>
      <c r="AH57"/>
      <c r="AL57" s="72"/>
    </row>
    <row r="58" spans="2:38" ht="12.9" customHeight="1">
      <c r="B58" s="75">
        <v>3211</v>
      </c>
      <c r="C58" s="75">
        <v>3211</v>
      </c>
      <c r="D58" s="75" t="s">
        <v>57</v>
      </c>
      <c r="E58" s="75"/>
      <c r="F58" s="73" t="s">
        <v>211</v>
      </c>
      <c r="G58" s="73"/>
      <c r="H58" s="74"/>
      <c r="I58" s="121">
        <v>0</v>
      </c>
      <c r="J58" s="121">
        <v>0</v>
      </c>
      <c r="K58" s="121">
        <v>0</v>
      </c>
      <c r="L58" s="121">
        <v>0</v>
      </c>
      <c r="M58" s="121">
        <v>0</v>
      </c>
      <c r="N58" s="121">
        <v>0</v>
      </c>
      <c r="O58" s="121">
        <v>0</v>
      </c>
      <c r="P58" s="121">
        <v>0</v>
      </c>
      <c r="Q58" s="121">
        <v>0</v>
      </c>
      <c r="R58" s="121">
        <v>0</v>
      </c>
      <c r="S58" s="121">
        <v>0</v>
      </c>
      <c r="T58" s="121">
        <v>3.5</v>
      </c>
      <c r="Z58"/>
      <c r="AC58"/>
      <c r="AH58"/>
      <c r="AL58" s="72"/>
    </row>
    <row r="59" spans="2:38" ht="12.9" customHeight="1">
      <c r="B59" s="75">
        <v>3211</v>
      </c>
      <c r="C59" s="75">
        <v>3211</v>
      </c>
      <c r="D59" s="75" t="s">
        <v>57</v>
      </c>
      <c r="E59" s="75"/>
      <c r="F59" s="73" t="s">
        <v>212</v>
      </c>
      <c r="G59" s="73"/>
      <c r="H59" s="74"/>
      <c r="I59" s="121">
        <v>0</v>
      </c>
      <c r="J59" s="121">
        <v>0</v>
      </c>
      <c r="K59" s="121">
        <v>0</v>
      </c>
      <c r="L59" s="121">
        <v>0</v>
      </c>
      <c r="M59" s="121">
        <v>0</v>
      </c>
      <c r="N59" s="121">
        <v>0</v>
      </c>
      <c r="O59" s="121">
        <v>0</v>
      </c>
      <c r="P59" s="121">
        <v>0</v>
      </c>
      <c r="Q59" s="121">
        <v>0</v>
      </c>
      <c r="R59" s="121">
        <v>0</v>
      </c>
      <c r="S59" s="121">
        <v>0</v>
      </c>
      <c r="T59" s="121">
        <v>7</v>
      </c>
      <c r="Z59"/>
      <c r="AC59"/>
      <c r="AH59"/>
      <c r="AL59" s="72"/>
    </row>
    <row r="60" spans="2:38" ht="12.9" customHeight="1">
      <c r="B60" s="75">
        <v>3211</v>
      </c>
      <c r="C60" s="75">
        <v>3211</v>
      </c>
      <c r="D60" s="75" t="s">
        <v>57</v>
      </c>
      <c r="E60" s="75"/>
      <c r="F60" s="73" t="s">
        <v>77</v>
      </c>
      <c r="G60" s="73"/>
      <c r="H60" s="74"/>
      <c r="I60" s="121">
        <v>0</v>
      </c>
      <c r="J60" s="121">
        <v>0</v>
      </c>
      <c r="K60" s="121">
        <v>0</v>
      </c>
      <c r="L60" s="121">
        <v>0</v>
      </c>
      <c r="M60" s="121">
        <v>0</v>
      </c>
      <c r="N60" s="121">
        <v>0</v>
      </c>
      <c r="O60" s="121">
        <v>0</v>
      </c>
      <c r="P60" s="121">
        <v>0</v>
      </c>
      <c r="Q60" s="121">
        <v>0</v>
      </c>
      <c r="R60" s="121">
        <v>0</v>
      </c>
      <c r="S60" s="121">
        <v>0</v>
      </c>
      <c r="T60" s="121">
        <v>6</v>
      </c>
      <c r="Z60"/>
      <c r="AC60"/>
      <c r="AH60"/>
      <c r="AL60" s="72"/>
    </row>
    <row r="61" spans="2:38" ht="12.9" customHeight="1">
      <c r="B61" s="75">
        <v>3211</v>
      </c>
      <c r="C61" s="75">
        <v>3211</v>
      </c>
      <c r="D61" s="75" t="s">
        <v>57</v>
      </c>
      <c r="E61" s="75"/>
      <c r="F61" s="73" t="s">
        <v>78</v>
      </c>
      <c r="G61" s="73"/>
      <c r="H61" s="74"/>
      <c r="I61" s="121">
        <v>0</v>
      </c>
      <c r="J61" s="121">
        <v>0</v>
      </c>
      <c r="K61" s="121">
        <v>0</v>
      </c>
      <c r="L61" s="121">
        <v>0</v>
      </c>
      <c r="M61" s="121">
        <v>0</v>
      </c>
      <c r="N61" s="121">
        <v>0</v>
      </c>
      <c r="O61" s="121">
        <v>0</v>
      </c>
      <c r="P61" s="121">
        <v>0</v>
      </c>
      <c r="Q61" s="121">
        <v>0</v>
      </c>
      <c r="R61" s="121">
        <v>0</v>
      </c>
      <c r="S61" s="121">
        <v>0</v>
      </c>
      <c r="T61" s="121">
        <v>7</v>
      </c>
      <c r="Z61"/>
      <c r="AC61"/>
      <c r="AH61"/>
      <c r="AL61" s="72"/>
    </row>
    <row r="62" spans="2:38" ht="12.9" customHeight="1">
      <c r="B62" s="75">
        <v>3211</v>
      </c>
      <c r="C62" s="75">
        <v>3211</v>
      </c>
      <c r="D62" s="75" t="s">
        <v>57</v>
      </c>
      <c r="E62" s="75"/>
      <c r="F62" s="73" t="s">
        <v>79</v>
      </c>
      <c r="G62" s="73"/>
      <c r="H62" s="74"/>
      <c r="I62" s="121">
        <v>0</v>
      </c>
      <c r="J62" s="121">
        <v>0</v>
      </c>
      <c r="K62" s="121">
        <v>0</v>
      </c>
      <c r="L62" s="121">
        <v>0</v>
      </c>
      <c r="M62" s="121">
        <v>0</v>
      </c>
      <c r="N62" s="121">
        <v>0</v>
      </c>
      <c r="O62" s="121">
        <v>0</v>
      </c>
      <c r="P62" s="121">
        <v>0</v>
      </c>
      <c r="Q62" s="121">
        <v>0</v>
      </c>
      <c r="R62" s="121">
        <v>0</v>
      </c>
      <c r="S62" s="121">
        <v>0</v>
      </c>
      <c r="T62" s="121">
        <v>5</v>
      </c>
      <c r="Z62"/>
      <c r="AC62"/>
      <c r="AH62"/>
      <c r="AL62" s="72"/>
    </row>
    <row r="63" spans="2:38" ht="12.9" customHeight="1">
      <c r="B63" s="75">
        <v>3211</v>
      </c>
      <c r="C63" s="75">
        <v>3211</v>
      </c>
      <c r="D63" s="75" t="s">
        <v>57</v>
      </c>
      <c r="E63" s="75"/>
      <c r="F63" s="73" t="s">
        <v>80</v>
      </c>
      <c r="G63" s="73"/>
      <c r="H63" s="74"/>
      <c r="I63" s="121">
        <v>0</v>
      </c>
      <c r="J63" s="121">
        <v>0</v>
      </c>
      <c r="K63" s="121">
        <v>0</v>
      </c>
      <c r="L63" s="121">
        <v>0</v>
      </c>
      <c r="M63" s="121">
        <v>0</v>
      </c>
      <c r="N63" s="121">
        <v>0</v>
      </c>
      <c r="O63" s="121">
        <v>0</v>
      </c>
      <c r="P63" s="121">
        <v>0</v>
      </c>
      <c r="Q63" s="121">
        <v>0</v>
      </c>
      <c r="R63" s="121">
        <v>0</v>
      </c>
      <c r="S63" s="121">
        <v>0</v>
      </c>
      <c r="T63" s="121">
        <v>7</v>
      </c>
      <c r="Z63"/>
      <c r="AC63"/>
      <c r="AH63"/>
      <c r="AL63" s="72"/>
    </row>
    <row r="64" spans="2:38" ht="12.9" customHeight="1">
      <c r="B64" s="75">
        <v>3211</v>
      </c>
      <c r="C64" s="75">
        <v>3211</v>
      </c>
      <c r="D64" s="75" t="s">
        <v>57</v>
      </c>
      <c r="E64" s="75"/>
      <c r="F64" s="117" t="s">
        <v>81</v>
      </c>
      <c r="G64" s="73"/>
      <c r="H64" s="74"/>
      <c r="I64" s="121">
        <v>0</v>
      </c>
      <c r="J64" s="121">
        <v>0</v>
      </c>
      <c r="K64" s="121">
        <v>0</v>
      </c>
      <c r="L64" s="121">
        <v>0</v>
      </c>
      <c r="M64" s="121">
        <v>0</v>
      </c>
      <c r="N64" s="121">
        <v>0</v>
      </c>
      <c r="O64" s="121">
        <v>0</v>
      </c>
      <c r="P64" s="121">
        <v>0</v>
      </c>
      <c r="Q64" s="121">
        <v>0</v>
      </c>
      <c r="R64" s="121">
        <v>0</v>
      </c>
      <c r="S64" s="121">
        <v>0</v>
      </c>
      <c r="T64" s="121">
        <v>3.5</v>
      </c>
      <c r="Z64"/>
      <c r="AC64"/>
      <c r="AH64"/>
      <c r="AL64" s="72"/>
    </row>
    <row r="65" spans="2:38" ht="12.9" customHeight="1">
      <c r="B65" s="75">
        <v>3211</v>
      </c>
      <c r="C65" s="75">
        <v>3211</v>
      </c>
      <c r="D65" s="75" t="s">
        <v>57</v>
      </c>
      <c r="E65" s="75"/>
      <c r="F65" s="73" t="s">
        <v>82</v>
      </c>
      <c r="G65" s="73"/>
      <c r="H65" s="74"/>
      <c r="I65" s="121">
        <v>0</v>
      </c>
      <c r="J65" s="121">
        <v>0</v>
      </c>
      <c r="K65" s="121">
        <v>0</v>
      </c>
      <c r="L65" s="121">
        <v>0</v>
      </c>
      <c r="M65" s="121">
        <v>0</v>
      </c>
      <c r="N65" s="121">
        <v>0</v>
      </c>
      <c r="O65" s="121">
        <v>0</v>
      </c>
      <c r="P65" s="121">
        <v>0</v>
      </c>
      <c r="Q65" s="121">
        <v>0</v>
      </c>
      <c r="R65" s="121">
        <v>0</v>
      </c>
      <c r="S65" s="121">
        <v>0</v>
      </c>
      <c r="T65" s="121">
        <v>7</v>
      </c>
      <c r="Z65"/>
      <c r="AC65"/>
      <c r="AH65"/>
      <c r="AL65" s="72"/>
    </row>
    <row r="66" spans="2:38" ht="12.9" customHeight="1">
      <c r="B66" s="75">
        <v>3211</v>
      </c>
      <c r="C66" s="75">
        <v>3211</v>
      </c>
      <c r="D66" s="75" t="s">
        <v>57</v>
      </c>
      <c r="E66" s="75"/>
      <c r="F66" s="73" t="s">
        <v>83</v>
      </c>
      <c r="G66" s="73"/>
      <c r="H66" s="74"/>
      <c r="I66" s="121">
        <v>0</v>
      </c>
      <c r="J66" s="121">
        <v>0</v>
      </c>
      <c r="K66" s="121">
        <v>0</v>
      </c>
      <c r="L66" s="121">
        <v>0</v>
      </c>
      <c r="M66" s="121">
        <v>0</v>
      </c>
      <c r="N66" s="121">
        <v>0</v>
      </c>
      <c r="O66" s="121">
        <v>0</v>
      </c>
      <c r="P66" s="121">
        <v>0</v>
      </c>
      <c r="Q66" s="121">
        <v>0</v>
      </c>
      <c r="R66" s="121">
        <v>0</v>
      </c>
      <c r="S66" s="121">
        <v>0</v>
      </c>
      <c r="T66" s="121">
        <v>3.5</v>
      </c>
      <c r="Z66"/>
      <c r="AC66"/>
      <c r="AH66"/>
      <c r="AL66" s="72"/>
    </row>
    <row r="67" spans="2:38" ht="12.9" customHeight="1">
      <c r="B67" s="75">
        <v>3211</v>
      </c>
      <c r="C67" s="75">
        <v>3211</v>
      </c>
      <c r="D67" s="75" t="s">
        <v>57</v>
      </c>
      <c r="E67" s="75"/>
      <c r="F67" s="73" t="s">
        <v>84</v>
      </c>
      <c r="G67" s="73"/>
      <c r="H67" s="74"/>
      <c r="I67" s="121">
        <v>0</v>
      </c>
      <c r="J67" s="121">
        <v>0</v>
      </c>
      <c r="K67" s="121">
        <v>0</v>
      </c>
      <c r="L67" s="121">
        <v>0</v>
      </c>
      <c r="M67" s="121">
        <v>0</v>
      </c>
      <c r="N67" s="121">
        <v>0</v>
      </c>
      <c r="O67" s="121">
        <v>0</v>
      </c>
      <c r="P67" s="121">
        <v>0</v>
      </c>
      <c r="Q67" s="121">
        <v>0</v>
      </c>
      <c r="R67" s="121">
        <v>0</v>
      </c>
      <c r="S67" s="121">
        <v>0</v>
      </c>
      <c r="T67" s="121">
        <v>7</v>
      </c>
      <c r="Z67"/>
      <c r="AC67"/>
      <c r="AH67"/>
      <c r="AL67" s="72"/>
    </row>
    <row r="68" spans="2:38" ht="12.9" customHeight="1">
      <c r="B68" s="75">
        <v>3211</v>
      </c>
      <c r="C68" s="75">
        <v>3211</v>
      </c>
      <c r="D68" s="75" t="s">
        <v>57</v>
      </c>
      <c r="E68" s="75"/>
      <c r="F68" s="73" t="s">
        <v>85</v>
      </c>
      <c r="G68" s="73"/>
      <c r="H68" s="74"/>
      <c r="I68" s="121">
        <v>0</v>
      </c>
      <c r="J68" s="121">
        <v>0</v>
      </c>
      <c r="K68" s="121">
        <v>0</v>
      </c>
      <c r="L68" s="121">
        <v>0</v>
      </c>
      <c r="M68" s="121">
        <v>0</v>
      </c>
      <c r="N68" s="121">
        <v>0</v>
      </c>
      <c r="O68" s="121">
        <v>0</v>
      </c>
      <c r="P68" s="121">
        <v>0</v>
      </c>
      <c r="Q68" s="121">
        <v>0</v>
      </c>
      <c r="R68" s="121">
        <v>0</v>
      </c>
      <c r="S68" s="121">
        <v>0</v>
      </c>
      <c r="T68" s="121">
        <v>3.5</v>
      </c>
      <c r="Z68"/>
      <c r="AC68"/>
      <c r="AH68"/>
      <c r="AL68" s="72"/>
    </row>
    <row r="69" spans="2:38" ht="12.9" customHeight="1">
      <c r="B69" s="75">
        <v>3211</v>
      </c>
      <c r="C69" s="75">
        <v>3211</v>
      </c>
      <c r="D69" s="75" t="s">
        <v>57</v>
      </c>
      <c r="E69" s="75"/>
      <c r="F69" s="73" t="s">
        <v>86</v>
      </c>
      <c r="G69" s="73"/>
      <c r="H69" s="74"/>
      <c r="I69" s="121">
        <v>0</v>
      </c>
      <c r="J69" s="121">
        <v>0</v>
      </c>
      <c r="K69" s="121">
        <v>0</v>
      </c>
      <c r="L69" s="121">
        <v>0</v>
      </c>
      <c r="M69" s="121">
        <v>0</v>
      </c>
      <c r="N69" s="121">
        <v>0</v>
      </c>
      <c r="O69" s="121">
        <v>0</v>
      </c>
      <c r="P69" s="121">
        <v>0</v>
      </c>
      <c r="Q69" s="121">
        <v>0</v>
      </c>
      <c r="R69" s="121">
        <v>0</v>
      </c>
      <c r="S69" s="121">
        <v>0</v>
      </c>
      <c r="T69" s="121">
        <v>7</v>
      </c>
      <c r="Z69"/>
      <c r="AC69"/>
      <c r="AH69"/>
      <c r="AL69" s="72"/>
    </row>
    <row r="70" spans="2:38" ht="12.9" customHeight="1">
      <c r="B70" s="75">
        <v>3211</v>
      </c>
      <c r="C70" s="75">
        <v>3211</v>
      </c>
      <c r="D70" s="75" t="s">
        <v>57</v>
      </c>
      <c r="E70" s="75"/>
      <c r="F70" s="73" t="s">
        <v>87</v>
      </c>
      <c r="G70" s="73"/>
      <c r="H70" s="74"/>
      <c r="I70" s="121">
        <v>0</v>
      </c>
      <c r="J70" s="121">
        <v>0</v>
      </c>
      <c r="K70" s="121">
        <v>0</v>
      </c>
      <c r="L70" s="121">
        <v>0</v>
      </c>
      <c r="M70" s="121">
        <v>0</v>
      </c>
      <c r="N70" s="121">
        <v>0</v>
      </c>
      <c r="O70" s="121">
        <v>0</v>
      </c>
      <c r="P70" s="121">
        <v>0</v>
      </c>
      <c r="Q70" s="121">
        <v>0</v>
      </c>
      <c r="R70" s="121">
        <v>0</v>
      </c>
      <c r="S70" s="121">
        <v>0</v>
      </c>
      <c r="T70" s="121">
        <v>4</v>
      </c>
      <c r="Z70"/>
      <c r="AC70"/>
      <c r="AH70"/>
      <c r="AL70" s="72"/>
    </row>
    <row r="71" spans="2:38" ht="12.9" customHeight="1">
      <c r="B71" s="75">
        <v>3211</v>
      </c>
      <c r="C71" s="75">
        <v>3211</v>
      </c>
      <c r="D71" s="75" t="s">
        <v>57</v>
      </c>
      <c r="E71" s="75"/>
      <c r="F71" s="73" t="s">
        <v>88</v>
      </c>
      <c r="G71" s="73"/>
      <c r="H71" s="74"/>
      <c r="I71" s="121">
        <v>0</v>
      </c>
      <c r="J71" s="121">
        <v>0</v>
      </c>
      <c r="K71" s="121">
        <v>0</v>
      </c>
      <c r="L71" s="121">
        <v>0</v>
      </c>
      <c r="M71" s="121">
        <v>0</v>
      </c>
      <c r="N71" s="121">
        <v>0</v>
      </c>
      <c r="O71" s="121">
        <v>0</v>
      </c>
      <c r="P71" s="121">
        <v>0</v>
      </c>
      <c r="Q71" s="121">
        <v>0</v>
      </c>
      <c r="R71" s="121">
        <v>0</v>
      </c>
      <c r="S71" s="121">
        <v>0</v>
      </c>
      <c r="T71" s="121">
        <v>8</v>
      </c>
      <c r="Z71"/>
      <c r="AC71"/>
      <c r="AH71"/>
      <c r="AL71" s="72"/>
    </row>
    <row r="72" spans="2:38" ht="12.9" customHeight="1">
      <c r="B72" s="75">
        <v>3211</v>
      </c>
      <c r="C72" s="75">
        <v>3211</v>
      </c>
      <c r="D72" s="75" t="s">
        <v>57</v>
      </c>
      <c r="E72" s="75"/>
      <c r="F72" s="73" t="s">
        <v>89</v>
      </c>
      <c r="G72" s="73"/>
      <c r="H72" s="74"/>
      <c r="I72" s="121">
        <v>0</v>
      </c>
      <c r="J72" s="121">
        <v>0</v>
      </c>
      <c r="K72" s="121">
        <v>0</v>
      </c>
      <c r="L72" s="121">
        <v>0</v>
      </c>
      <c r="M72" s="121">
        <v>0</v>
      </c>
      <c r="N72" s="121">
        <v>0</v>
      </c>
      <c r="O72" s="121">
        <v>0</v>
      </c>
      <c r="P72" s="121">
        <v>0</v>
      </c>
      <c r="Q72" s="121">
        <v>0</v>
      </c>
      <c r="R72" s="121">
        <v>0</v>
      </c>
      <c r="S72" s="121">
        <v>0</v>
      </c>
      <c r="T72" s="121">
        <v>4</v>
      </c>
      <c r="Z72"/>
      <c r="AC72"/>
      <c r="AH72"/>
      <c r="AL72" s="72"/>
    </row>
    <row r="73" spans="2:38" ht="12.9" customHeight="1">
      <c r="B73" s="75">
        <v>3211</v>
      </c>
      <c r="C73" s="75">
        <v>3211</v>
      </c>
      <c r="D73" s="75" t="s">
        <v>587</v>
      </c>
      <c r="E73" s="75"/>
      <c r="F73" s="73" t="s">
        <v>213</v>
      </c>
      <c r="G73" s="73"/>
      <c r="H73" s="74"/>
      <c r="I73" s="121">
        <v>0</v>
      </c>
      <c r="J73" s="121">
        <v>0</v>
      </c>
      <c r="K73" s="121">
        <v>0</v>
      </c>
      <c r="L73" s="121">
        <v>0</v>
      </c>
      <c r="M73" s="121">
        <v>0</v>
      </c>
      <c r="N73" s="121">
        <v>0</v>
      </c>
      <c r="O73" s="121">
        <v>3</v>
      </c>
      <c r="P73" s="121">
        <v>0</v>
      </c>
      <c r="Q73" s="121">
        <v>0</v>
      </c>
      <c r="R73" s="121">
        <v>0</v>
      </c>
      <c r="S73" s="121">
        <v>0</v>
      </c>
      <c r="T73" s="121">
        <v>0</v>
      </c>
      <c r="Z73"/>
      <c r="AC73"/>
      <c r="AH73"/>
      <c r="AL73" s="72"/>
    </row>
    <row r="74" spans="2:38" ht="12.9" customHeight="1">
      <c r="B74" s="75">
        <v>3211</v>
      </c>
      <c r="C74" s="75">
        <v>3211</v>
      </c>
      <c r="D74" s="75" t="s">
        <v>589</v>
      </c>
      <c r="E74" s="75"/>
      <c r="F74" s="117" t="s">
        <v>214</v>
      </c>
      <c r="G74" s="73"/>
      <c r="H74" s="74"/>
      <c r="I74" s="121">
        <v>0</v>
      </c>
      <c r="J74" s="121">
        <v>0</v>
      </c>
      <c r="K74" s="121">
        <v>0</v>
      </c>
      <c r="L74" s="121">
        <v>0</v>
      </c>
      <c r="M74" s="121">
        <v>0</v>
      </c>
      <c r="N74" s="121">
        <v>0</v>
      </c>
      <c r="O74" s="121">
        <v>1.5</v>
      </c>
      <c r="P74" s="121">
        <v>0</v>
      </c>
      <c r="Q74" s="121">
        <v>0</v>
      </c>
      <c r="R74" s="121">
        <v>0</v>
      </c>
      <c r="S74" s="121">
        <v>0</v>
      </c>
      <c r="T74" s="121">
        <v>0</v>
      </c>
      <c r="Z74"/>
      <c r="AC74"/>
      <c r="AH74"/>
      <c r="AL74" s="72"/>
    </row>
    <row r="75" spans="2:38" ht="12.9" customHeight="1">
      <c r="B75" s="75">
        <v>3211</v>
      </c>
      <c r="C75" s="75">
        <v>3211</v>
      </c>
      <c r="D75" s="75" t="s">
        <v>57</v>
      </c>
      <c r="E75" s="75"/>
      <c r="F75" s="73" t="s">
        <v>90</v>
      </c>
      <c r="G75" s="73"/>
      <c r="H75" s="74"/>
      <c r="I75" s="121">
        <v>0</v>
      </c>
      <c r="J75" s="121">
        <v>0</v>
      </c>
      <c r="K75" s="121">
        <v>0</v>
      </c>
      <c r="L75" s="121">
        <v>0</v>
      </c>
      <c r="M75" s="121">
        <v>0</v>
      </c>
      <c r="N75" s="121">
        <v>0</v>
      </c>
      <c r="O75" s="121">
        <v>0</v>
      </c>
      <c r="P75" s="121">
        <v>0</v>
      </c>
      <c r="Q75" s="121">
        <v>0</v>
      </c>
      <c r="R75" s="121">
        <v>0</v>
      </c>
      <c r="S75" s="121">
        <v>0</v>
      </c>
      <c r="T75" s="121">
        <v>8</v>
      </c>
      <c r="Z75"/>
      <c r="AC75"/>
      <c r="AH75"/>
      <c r="AL75" s="72"/>
    </row>
    <row r="76" spans="2:38" ht="12.9" customHeight="1">
      <c r="B76" s="75">
        <v>3211</v>
      </c>
      <c r="C76" s="75">
        <v>3211</v>
      </c>
      <c r="D76" s="75" t="s">
        <v>57</v>
      </c>
      <c r="E76" s="75"/>
      <c r="F76" s="73" t="s">
        <v>215</v>
      </c>
      <c r="G76" s="73"/>
      <c r="H76" s="74"/>
      <c r="I76" s="121">
        <v>0</v>
      </c>
      <c r="J76" s="121">
        <v>0</v>
      </c>
      <c r="K76" s="121">
        <v>0</v>
      </c>
      <c r="L76" s="121">
        <v>0</v>
      </c>
      <c r="M76" s="121">
        <v>0</v>
      </c>
      <c r="N76" s="121">
        <v>0</v>
      </c>
      <c r="O76" s="121">
        <v>4</v>
      </c>
      <c r="P76" s="121">
        <v>0</v>
      </c>
      <c r="Q76" s="121">
        <v>0</v>
      </c>
      <c r="R76" s="121">
        <v>0</v>
      </c>
      <c r="S76" s="121">
        <v>0</v>
      </c>
      <c r="T76" s="121">
        <v>0</v>
      </c>
      <c r="Z76"/>
      <c r="AC76"/>
      <c r="AH76"/>
      <c r="AL76" s="72"/>
    </row>
    <row r="77" spans="2:38" ht="12.9" customHeight="1">
      <c r="B77" s="75">
        <v>3211</v>
      </c>
      <c r="C77" s="75">
        <v>3211</v>
      </c>
      <c r="D77" s="75" t="s">
        <v>57</v>
      </c>
      <c r="E77" s="75"/>
      <c r="F77" s="73" t="s">
        <v>216</v>
      </c>
      <c r="G77" s="73"/>
      <c r="H77" s="74"/>
      <c r="I77" s="121">
        <v>0</v>
      </c>
      <c r="J77" s="121">
        <v>0</v>
      </c>
      <c r="K77" s="121">
        <v>0</v>
      </c>
      <c r="L77" s="121">
        <v>0</v>
      </c>
      <c r="M77" s="121">
        <v>0</v>
      </c>
      <c r="N77" s="121">
        <v>0</v>
      </c>
      <c r="O77" s="121">
        <v>4</v>
      </c>
      <c r="P77" s="121">
        <v>0</v>
      </c>
      <c r="Q77" s="121">
        <v>0</v>
      </c>
      <c r="R77" s="121">
        <v>0</v>
      </c>
      <c r="S77" s="121">
        <v>0</v>
      </c>
      <c r="T77" s="121">
        <v>0</v>
      </c>
      <c r="Z77"/>
      <c r="AC77"/>
      <c r="AH77"/>
      <c r="AL77" s="72"/>
    </row>
    <row r="78" spans="2:38" ht="12.9" customHeight="1">
      <c r="B78" s="75">
        <v>3211</v>
      </c>
      <c r="C78" s="75">
        <v>3211</v>
      </c>
      <c r="D78" s="75" t="s">
        <v>57</v>
      </c>
      <c r="E78" s="75"/>
      <c r="F78" s="73" t="s">
        <v>217</v>
      </c>
      <c r="G78" s="73"/>
      <c r="H78" s="74"/>
      <c r="I78" s="121">
        <v>0</v>
      </c>
      <c r="J78" s="121">
        <v>0</v>
      </c>
      <c r="K78" s="121">
        <v>0</v>
      </c>
      <c r="L78" s="121">
        <v>0</v>
      </c>
      <c r="M78" s="121">
        <v>0</v>
      </c>
      <c r="N78" s="121">
        <v>0</v>
      </c>
      <c r="O78" s="121">
        <v>0</v>
      </c>
      <c r="P78" s="121">
        <v>0</v>
      </c>
      <c r="Q78" s="121">
        <v>0</v>
      </c>
      <c r="R78" s="121">
        <v>0</v>
      </c>
      <c r="S78" s="121">
        <v>14</v>
      </c>
      <c r="T78" s="121">
        <v>0</v>
      </c>
      <c r="Z78"/>
      <c r="AC78"/>
      <c r="AH78"/>
      <c r="AL78" s="72"/>
    </row>
    <row r="79" spans="2:38" ht="12.9" customHeight="1">
      <c r="B79" s="75">
        <v>3211</v>
      </c>
      <c r="C79" s="75">
        <v>3211</v>
      </c>
      <c r="D79" s="75" t="s">
        <v>57</v>
      </c>
      <c r="E79" s="75"/>
      <c r="F79" s="73" t="s">
        <v>218</v>
      </c>
      <c r="G79" s="73"/>
      <c r="H79" s="74"/>
      <c r="I79" s="121">
        <v>0</v>
      </c>
      <c r="J79" s="121">
        <v>0</v>
      </c>
      <c r="K79" s="121">
        <v>0</v>
      </c>
      <c r="L79" s="121">
        <v>0</v>
      </c>
      <c r="M79" s="121">
        <v>0</v>
      </c>
      <c r="N79" s="121">
        <v>0</v>
      </c>
      <c r="O79" s="121">
        <v>0</v>
      </c>
      <c r="P79" s="121">
        <v>0</v>
      </c>
      <c r="Q79" s="121">
        <v>22.5</v>
      </c>
      <c r="R79" s="121">
        <v>0</v>
      </c>
      <c r="S79" s="121">
        <v>0</v>
      </c>
      <c r="T79" s="121">
        <v>0</v>
      </c>
      <c r="Z79"/>
      <c r="AC79"/>
      <c r="AH79"/>
      <c r="AL79" s="72"/>
    </row>
    <row r="80" spans="2:38" ht="12.9" customHeight="1">
      <c r="B80" s="75">
        <v>3211</v>
      </c>
      <c r="C80" s="75">
        <v>3211</v>
      </c>
      <c r="D80" s="75" t="s">
        <v>647</v>
      </c>
      <c r="E80" s="75"/>
      <c r="F80" s="73" t="s">
        <v>219</v>
      </c>
      <c r="G80" s="73"/>
      <c r="H80" s="74"/>
      <c r="I80" s="121">
        <v>0</v>
      </c>
      <c r="J80" s="121">
        <v>0</v>
      </c>
      <c r="K80" s="121">
        <v>0</v>
      </c>
      <c r="L80" s="121">
        <v>0</v>
      </c>
      <c r="M80" s="121">
        <v>0</v>
      </c>
      <c r="N80" s="121">
        <v>0</v>
      </c>
      <c r="O80" s="121">
        <v>0</v>
      </c>
      <c r="P80" s="121">
        <v>36</v>
      </c>
      <c r="Q80" s="121">
        <v>0</v>
      </c>
      <c r="R80" s="121">
        <v>0</v>
      </c>
      <c r="S80" s="121">
        <v>0</v>
      </c>
      <c r="T80" s="121">
        <v>0</v>
      </c>
      <c r="Z80"/>
      <c r="AC80"/>
      <c r="AH80"/>
      <c r="AL80" s="72"/>
    </row>
    <row r="81" spans="2:38" ht="12.9" customHeight="1">
      <c r="B81" s="75">
        <v>3211</v>
      </c>
      <c r="C81" s="75">
        <v>3211</v>
      </c>
      <c r="D81" s="75" t="s">
        <v>57</v>
      </c>
      <c r="E81" s="75"/>
      <c r="F81" s="73" t="s">
        <v>220</v>
      </c>
      <c r="G81" s="73"/>
      <c r="H81" s="74"/>
      <c r="I81" s="121">
        <v>0</v>
      </c>
      <c r="J81" s="121">
        <v>0</v>
      </c>
      <c r="K81" s="121">
        <v>0</v>
      </c>
      <c r="L81" s="121">
        <v>0</v>
      </c>
      <c r="M81" s="121">
        <v>0</v>
      </c>
      <c r="N81" s="121">
        <v>0</v>
      </c>
      <c r="O81" s="121">
        <v>0</v>
      </c>
      <c r="P81" s="121">
        <v>0</v>
      </c>
      <c r="Q81" s="121">
        <v>0</v>
      </c>
      <c r="R81" s="121">
        <v>0</v>
      </c>
      <c r="S81" s="121">
        <v>0</v>
      </c>
      <c r="T81" s="121">
        <v>54</v>
      </c>
      <c r="Z81"/>
      <c r="AC81"/>
      <c r="AH81"/>
      <c r="AL81" s="72"/>
    </row>
    <row r="82" spans="2:38" ht="12.9" customHeight="1">
      <c r="B82" s="75">
        <v>3211</v>
      </c>
      <c r="C82" s="75">
        <v>3211</v>
      </c>
      <c r="D82" s="75" t="s">
        <v>57</v>
      </c>
      <c r="E82" s="75"/>
      <c r="F82" s="73" t="s">
        <v>221</v>
      </c>
      <c r="G82" s="73"/>
      <c r="H82" s="74"/>
      <c r="I82" s="121">
        <v>0</v>
      </c>
      <c r="J82" s="121">
        <v>0</v>
      </c>
      <c r="K82" s="121">
        <v>0</v>
      </c>
      <c r="L82" s="121">
        <v>0</v>
      </c>
      <c r="M82" s="121">
        <v>0</v>
      </c>
      <c r="N82" s="121">
        <v>0</v>
      </c>
      <c r="O82" s="121">
        <v>0</v>
      </c>
      <c r="P82" s="121">
        <v>0</v>
      </c>
      <c r="Q82" s="121">
        <v>0</v>
      </c>
      <c r="R82" s="121">
        <v>0</v>
      </c>
      <c r="S82" s="121">
        <v>0</v>
      </c>
      <c r="T82" s="121">
        <v>0</v>
      </c>
      <c r="Z82"/>
      <c r="AC82"/>
      <c r="AH82"/>
      <c r="AL82" s="72"/>
    </row>
    <row r="83" spans="2:38" ht="12.9" customHeight="1">
      <c r="B83" s="75">
        <v>3211</v>
      </c>
      <c r="C83" s="75">
        <v>3211</v>
      </c>
      <c r="D83" s="75" t="s">
        <v>57</v>
      </c>
      <c r="E83" s="75"/>
      <c r="F83" s="73" t="s">
        <v>394</v>
      </c>
      <c r="G83" s="73"/>
      <c r="H83" s="74"/>
      <c r="I83" s="121">
        <v>0</v>
      </c>
      <c r="J83" s="121">
        <v>0</v>
      </c>
      <c r="K83" s="121">
        <v>0</v>
      </c>
      <c r="L83" s="121">
        <v>0</v>
      </c>
      <c r="M83" s="121">
        <v>0</v>
      </c>
      <c r="N83" s="121">
        <v>0</v>
      </c>
      <c r="O83" s="121">
        <v>0</v>
      </c>
      <c r="P83" s="121">
        <v>0</v>
      </c>
      <c r="Q83" s="121">
        <v>0</v>
      </c>
      <c r="R83" s="121">
        <v>0</v>
      </c>
      <c r="S83" s="121">
        <v>20</v>
      </c>
      <c r="T83" s="121">
        <v>0</v>
      </c>
      <c r="Z83"/>
      <c r="AC83"/>
      <c r="AH83"/>
      <c r="AL83" s="72"/>
    </row>
    <row r="84" spans="2:38" ht="12.9" customHeight="1">
      <c r="B84" s="75">
        <v>3211</v>
      </c>
      <c r="C84" s="75">
        <v>3211</v>
      </c>
      <c r="D84" s="75" t="s">
        <v>57</v>
      </c>
      <c r="E84" s="75"/>
      <c r="F84" s="117" t="s">
        <v>91</v>
      </c>
      <c r="G84" s="73"/>
      <c r="H84" s="74"/>
      <c r="I84" s="121">
        <v>0</v>
      </c>
      <c r="J84" s="121">
        <v>0</v>
      </c>
      <c r="K84" s="121">
        <v>0</v>
      </c>
      <c r="L84" s="121">
        <v>0</v>
      </c>
      <c r="M84" s="121">
        <v>0</v>
      </c>
      <c r="N84" s="121">
        <v>0</v>
      </c>
      <c r="O84" s="121">
        <v>0</v>
      </c>
      <c r="P84" s="121">
        <v>0</v>
      </c>
      <c r="Q84" s="121">
        <v>0</v>
      </c>
      <c r="R84" s="121">
        <v>54</v>
      </c>
      <c r="S84" s="121">
        <v>0</v>
      </c>
      <c r="T84" s="121">
        <v>0</v>
      </c>
      <c r="Z84"/>
      <c r="AC84"/>
      <c r="AH84"/>
      <c r="AL84" s="72"/>
    </row>
    <row r="85" spans="2:38" ht="12.9" customHeight="1">
      <c r="B85" s="75">
        <v>3211</v>
      </c>
      <c r="C85" s="75">
        <v>3211</v>
      </c>
      <c r="D85" s="75" t="s">
        <v>57</v>
      </c>
      <c r="E85" s="75"/>
      <c r="F85" s="117" t="s">
        <v>717</v>
      </c>
      <c r="G85" s="73"/>
      <c r="H85" s="74"/>
      <c r="I85" s="121">
        <v>0</v>
      </c>
      <c r="J85" s="121">
        <v>0</v>
      </c>
      <c r="K85" s="121">
        <v>0</v>
      </c>
      <c r="L85" s="121">
        <v>0</v>
      </c>
      <c r="M85" s="121">
        <v>0</v>
      </c>
      <c r="N85" s="121">
        <v>0</v>
      </c>
      <c r="O85" s="121">
        <v>0</v>
      </c>
      <c r="P85" s="121">
        <v>0</v>
      </c>
      <c r="Q85" s="121">
        <v>0</v>
      </c>
      <c r="R85" s="121">
        <v>0</v>
      </c>
      <c r="S85" s="121">
        <v>0</v>
      </c>
      <c r="T85" s="121">
        <v>50</v>
      </c>
      <c r="Z85"/>
      <c r="AC85"/>
      <c r="AH85"/>
      <c r="AL85" s="72"/>
    </row>
    <row r="86" spans="2:38" ht="12.9" customHeight="1">
      <c r="B86" s="75">
        <v>3212</v>
      </c>
      <c r="C86" s="75">
        <v>3212</v>
      </c>
      <c r="D86" s="75" t="s">
        <v>57</v>
      </c>
      <c r="E86" s="75"/>
      <c r="F86" s="73" t="s">
        <v>223</v>
      </c>
      <c r="G86" s="73"/>
      <c r="H86" s="74"/>
      <c r="I86" s="121">
        <v>0</v>
      </c>
      <c r="J86" s="121">
        <v>0</v>
      </c>
      <c r="K86" s="121">
        <v>0</v>
      </c>
      <c r="L86" s="121">
        <v>0</v>
      </c>
      <c r="M86" s="121">
        <v>0</v>
      </c>
      <c r="N86" s="121">
        <v>0</v>
      </c>
      <c r="O86" s="121">
        <v>0</v>
      </c>
      <c r="P86" s="121">
        <v>0</v>
      </c>
      <c r="Q86" s="121">
        <v>0</v>
      </c>
      <c r="R86" s="121">
        <v>0</v>
      </c>
      <c r="S86" s="121">
        <v>10</v>
      </c>
      <c r="T86" s="121">
        <v>0</v>
      </c>
      <c r="Z86"/>
      <c r="AC86"/>
      <c r="AH86"/>
      <c r="AL86" s="72"/>
    </row>
    <row r="87" spans="2:38" ht="12.9" customHeight="1">
      <c r="B87" s="75">
        <v>3221</v>
      </c>
      <c r="C87" s="75">
        <v>3221</v>
      </c>
      <c r="D87" s="75" t="s">
        <v>57</v>
      </c>
      <c r="E87" s="75"/>
      <c r="F87" s="73" t="s">
        <v>92</v>
      </c>
      <c r="G87" s="73"/>
      <c r="H87" s="74"/>
      <c r="I87" s="121">
        <v>0</v>
      </c>
      <c r="J87" s="121">
        <v>0</v>
      </c>
      <c r="K87" s="121">
        <v>0</v>
      </c>
      <c r="L87" s="121">
        <v>0</v>
      </c>
      <c r="M87" s="121">
        <v>0</v>
      </c>
      <c r="N87" s="121">
        <v>0</v>
      </c>
      <c r="O87" s="121">
        <v>0</v>
      </c>
      <c r="P87" s="121">
        <v>0</v>
      </c>
      <c r="Q87" s="121">
        <v>0</v>
      </c>
      <c r="R87" s="121">
        <v>45</v>
      </c>
      <c r="S87" s="121">
        <v>0</v>
      </c>
      <c r="T87" s="121">
        <v>0</v>
      </c>
      <c r="Z87"/>
      <c r="AC87"/>
      <c r="AH87"/>
      <c r="AL87" s="72"/>
    </row>
    <row r="88" spans="2:38" ht="12.9" customHeight="1">
      <c r="B88" s="75">
        <v>3221</v>
      </c>
      <c r="C88" s="75">
        <v>3221</v>
      </c>
      <c r="D88" s="75" t="s">
        <v>57</v>
      </c>
      <c r="E88" s="75"/>
      <c r="F88" s="73" t="s">
        <v>224</v>
      </c>
      <c r="G88" s="73"/>
      <c r="H88" s="74"/>
      <c r="I88" s="121">
        <v>0</v>
      </c>
      <c r="J88" s="121">
        <v>0</v>
      </c>
      <c r="K88" s="121">
        <v>0</v>
      </c>
      <c r="L88" s="121">
        <v>0</v>
      </c>
      <c r="M88" s="121">
        <v>0</v>
      </c>
      <c r="N88" s="121">
        <v>0</v>
      </c>
      <c r="O88" s="121">
        <v>0</v>
      </c>
      <c r="P88" s="121">
        <v>0</v>
      </c>
      <c r="Q88" s="121">
        <v>0</v>
      </c>
      <c r="R88" s="121">
        <v>0</v>
      </c>
      <c r="S88" s="121">
        <v>0</v>
      </c>
      <c r="T88" s="121">
        <v>0</v>
      </c>
      <c r="Z88"/>
      <c r="AC88"/>
      <c r="AH88"/>
      <c r="AL88" s="72"/>
    </row>
    <row r="89" spans="2:38" ht="12.9" customHeight="1">
      <c r="B89" s="75">
        <v>3221</v>
      </c>
      <c r="C89" s="75">
        <v>3221</v>
      </c>
      <c r="D89" s="75" t="s">
        <v>57</v>
      </c>
      <c r="E89" s="75"/>
      <c r="F89" s="73" t="s">
        <v>225</v>
      </c>
      <c r="G89" s="73"/>
      <c r="H89" s="74"/>
      <c r="I89" s="121">
        <v>0</v>
      </c>
      <c r="J89" s="121">
        <v>0</v>
      </c>
      <c r="K89" s="121">
        <v>0</v>
      </c>
      <c r="L89" s="121">
        <v>0</v>
      </c>
      <c r="M89" s="121">
        <v>0</v>
      </c>
      <c r="N89" s="121">
        <v>0</v>
      </c>
      <c r="O89" s="121">
        <v>0</v>
      </c>
      <c r="P89" s="121">
        <v>0</v>
      </c>
      <c r="Q89" s="121">
        <v>0</v>
      </c>
      <c r="R89" s="121">
        <v>0</v>
      </c>
      <c r="S89" s="121">
        <v>0</v>
      </c>
      <c r="T89" s="121">
        <v>0</v>
      </c>
      <c r="Z89"/>
      <c r="AC89"/>
      <c r="AH89"/>
      <c r="AL89" s="72"/>
    </row>
    <row r="90" spans="2:38" ht="12.9" customHeight="1">
      <c r="B90" s="75">
        <v>3221</v>
      </c>
      <c r="C90" s="75">
        <v>3221</v>
      </c>
      <c r="D90" s="75" t="s">
        <v>57</v>
      </c>
      <c r="E90" s="75"/>
      <c r="F90" s="73" t="s">
        <v>226</v>
      </c>
      <c r="G90" s="73"/>
      <c r="H90" s="74"/>
      <c r="I90" s="121">
        <v>0</v>
      </c>
      <c r="J90" s="121">
        <v>0</v>
      </c>
      <c r="K90" s="121">
        <v>0</v>
      </c>
      <c r="L90" s="121">
        <v>0</v>
      </c>
      <c r="M90" s="121">
        <v>0</v>
      </c>
      <c r="N90" s="121">
        <v>0</v>
      </c>
      <c r="O90" s="121">
        <v>0</v>
      </c>
      <c r="P90" s="121">
        <v>0</v>
      </c>
      <c r="Q90" s="121">
        <v>0</v>
      </c>
      <c r="R90" s="121">
        <v>0</v>
      </c>
      <c r="S90" s="121">
        <v>10</v>
      </c>
      <c r="T90" s="121">
        <v>0</v>
      </c>
      <c r="Z90"/>
      <c r="AC90"/>
      <c r="AH90"/>
      <c r="AL90" s="72"/>
    </row>
    <row r="91" spans="2:38" ht="12.9" customHeight="1">
      <c r="B91" s="75">
        <v>3221</v>
      </c>
      <c r="C91" s="75">
        <v>3221</v>
      </c>
      <c r="D91" s="75" t="s">
        <v>57</v>
      </c>
      <c r="E91" s="75"/>
      <c r="F91" s="73" t="s">
        <v>227</v>
      </c>
      <c r="G91" s="73"/>
      <c r="H91" s="74"/>
      <c r="I91" s="121">
        <v>0</v>
      </c>
      <c r="J91" s="121">
        <v>0</v>
      </c>
      <c r="K91" s="121">
        <v>0</v>
      </c>
      <c r="L91" s="121">
        <v>0</v>
      </c>
      <c r="M91" s="121">
        <v>0</v>
      </c>
      <c r="N91" s="121">
        <v>0</v>
      </c>
      <c r="O91" s="121">
        <v>0</v>
      </c>
      <c r="P91" s="121">
        <v>0</v>
      </c>
      <c r="Q91" s="121">
        <v>0</v>
      </c>
      <c r="R91" s="121">
        <v>0</v>
      </c>
      <c r="S91" s="121">
        <v>0</v>
      </c>
      <c r="T91" s="121">
        <v>0</v>
      </c>
      <c r="Z91"/>
      <c r="AC91"/>
      <c r="AH91"/>
      <c r="AL91" s="72"/>
    </row>
    <row r="92" spans="2:38" ht="12.9" customHeight="1">
      <c r="B92" s="75">
        <v>3221</v>
      </c>
      <c r="C92" s="75">
        <v>3221</v>
      </c>
      <c r="D92" s="75" t="s">
        <v>57</v>
      </c>
      <c r="E92" s="75"/>
      <c r="F92" s="73" t="s">
        <v>228</v>
      </c>
      <c r="G92" s="73"/>
      <c r="H92" s="74"/>
      <c r="I92" s="121">
        <v>0</v>
      </c>
      <c r="J92" s="121">
        <v>0</v>
      </c>
      <c r="K92" s="121">
        <v>0</v>
      </c>
      <c r="L92" s="121">
        <v>0</v>
      </c>
      <c r="M92" s="121">
        <v>0</v>
      </c>
      <c r="N92" s="121">
        <v>0</v>
      </c>
      <c r="O92" s="121">
        <v>0</v>
      </c>
      <c r="P92" s="121">
        <v>0</v>
      </c>
      <c r="Q92" s="121">
        <v>0</v>
      </c>
      <c r="R92" s="121">
        <v>0</v>
      </c>
      <c r="S92" s="121">
        <v>0</v>
      </c>
      <c r="T92" s="121">
        <v>25</v>
      </c>
      <c r="Z92"/>
      <c r="AC92"/>
      <c r="AH92"/>
      <c r="AL92" s="72"/>
    </row>
    <row r="93" spans="2:38" ht="12.9" customHeight="1">
      <c r="B93" s="75">
        <v>3221</v>
      </c>
      <c r="C93" s="75">
        <v>3221</v>
      </c>
      <c r="D93" s="75" t="s">
        <v>57</v>
      </c>
      <c r="E93" s="75"/>
      <c r="F93" s="73" t="s">
        <v>229</v>
      </c>
      <c r="G93" s="73"/>
      <c r="H93" s="74"/>
      <c r="I93" s="121">
        <v>0</v>
      </c>
      <c r="J93" s="121">
        <v>0</v>
      </c>
      <c r="K93" s="121">
        <v>0</v>
      </c>
      <c r="L93" s="121">
        <v>0</v>
      </c>
      <c r="M93" s="121">
        <v>0</v>
      </c>
      <c r="N93" s="121">
        <v>0</v>
      </c>
      <c r="O93" s="121">
        <v>0</v>
      </c>
      <c r="P93" s="121">
        <v>0</v>
      </c>
      <c r="Q93" s="121">
        <v>0</v>
      </c>
      <c r="R93" s="121">
        <v>0</v>
      </c>
      <c r="S93" s="121">
        <v>20</v>
      </c>
      <c r="T93" s="121">
        <v>15</v>
      </c>
      <c r="Z93"/>
      <c r="AC93"/>
      <c r="AH93"/>
      <c r="AL93" s="72"/>
    </row>
    <row r="94" spans="2:38" ht="12.9" customHeight="1">
      <c r="B94" s="75">
        <v>3221</v>
      </c>
      <c r="C94" s="75">
        <v>3221</v>
      </c>
      <c r="D94" s="75" t="s">
        <v>57</v>
      </c>
      <c r="E94" s="75"/>
      <c r="F94" s="73" t="s">
        <v>230</v>
      </c>
      <c r="G94" s="73"/>
      <c r="H94" s="74"/>
      <c r="I94" s="121">
        <v>0</v>
      </c>
      <c r="J94" s="121">
        <v>0</v>
      </c>
      <c r="K94" s="121">
        <v>0</v>
      </c>
      <c r="L94" s="121">
        <v>0</v>
      </c>
      <c r="M94" s="121">
        <v>0</v>
      </c>
      <c r="N94" s="121">
        <v>0</v>
      </c>
      <c r="O94" s="121">
        <v>0</v>
      </c>
      <c r="P94" s="121">
        <v>0</v>
      </c>
      <c r="Q94" s="121">
        <v>0</v>
      </c>
      <c r="R94" s="121">
        <v>0</v>
      </c>
      <c r="S94" s="121">
        <v>0</v>
      </c>
      <c r="T94" s="121">
        <v>0</v>
      </c>
      <c r="Z94"/>
      <c r="AC94"/>
      <c r="AH94"/>
      <c r="AL94" s="72"/>
    </row>
    <row r="95" spans="2:38" ht="12.9" customHeight="1">
      <c r="B95" s="75">
        <v>3221</v>
      </c>
      <c r="C95" s="75">
        <v>3221</v>
      </c>
      <c r="D95" s="75" t="s">
        <v>57</v>
      </c>
      <c r="E95" s="75"/>
      <c r="F95" s="73" t="s">
        <v>231</v>
      </c>
      <c r="G95" s="73"/>
      <c r="H95" s="74"/>
      <c r="I95" s="121">
        <v>0</v>
      </c>
      <c r="J95" s="121">
        <v>0</v>
      </c>
      <c r="K95" s="121">
        <v>0</v>
      </c>
      <c r="L95" s="121">
        <v>0</v>
      </c>
      <c r="M95" s="121">
        <v>0</v>
      </c>
      <c r="N95" s="121">
        <v>0</v>
      </c>
      <c r="O95" s="121">
        <v>0</v>
      </c>
      <c r="P95" s="121">
        <v>0</v>
      </c>
      <c r="Q95" s="121">
        <v>0</v>
      </c>
      <c r="R95" s="121">
        <v>0</v>
      </c>
      <c r="S95" s="121">
        <v>0</v>
      </c>
      <c r="T95" s="121">
        <v>50</v>
      </c>
      <c r="Z95"/>
      <c r="AC95"/>
      <c r="AH95"/>
      <c r="AL95" s="72"/>
    </row>
    <row r="96" spans="2:38" ht="12.9" customHeight="1">
      <c r="B96" s="75">
        <v>3221</v>
      </c>
      <c r="C96" s="75">
        <v>3221</v>
      </c>
      <c r="D96" s="75" t="s">
        <v>57</v>
      </c>
      <c r="E96" s="75"/>
      <c r="F96" s="73" t="s">
        <v>93</v>
      </c>
      <c r="G96" s="73"/>
      <c r="H96" s="74"/>
      <c r="I96" s="121">
        <v>0</v>
      </c>
      <c r="J96" s="121">
        <v>0</v>
      </c>
      <c r="K96" s="121">
        <v>0</v>
      </c>
      <c r="L96" s="121">
        <v>0</v>
      </c>
      <c r="M96" s="121">
        <v>0</v>
      </c>
      <c r="N96" s="121">
        <v>0</v>
      </c>
      <c r="O96" s="121">
        <v>0</v>
      </c>
      <c r="P96" s="121">
        <v>0</v>
      </c>
      <c r="Q96" s="121">
        <v>0</v>
      </c>
      <c r="R96" s="121">
        <v>0</v>
      </c>
      <c r="S96" s="121">
        <v>15</v>
      </c>
      <c r="T96" s="121">
        <v>0</v>
      </c>
      <c r="Z96"/>
      <c r="AC96"/>
      <c r="AH96"/>
      <c r="AL96" s="72"/>
    </row>
    <row r="97" spans="2:38" ht="12.75" customHeight="1">
      <c r="B97" s="75">
        <v>3221</v>
      </c>
      <c r="C97" s="75">
        <v>3221</v>
      </c>
      <c r="D97" s="75" t="s">
        <v>57</v>
      </c>
      <c r="E97" s="75"/>
      <c r="F97" s="117" t="s">
        <v>232</v>
      </c>
      <c r="G97" s="73"/>
      <c r="H97" s="74"/>
      <c r="I97" s="121">
        <v>0</v>
      </c>
      <c r="J97" s="121">
        <v>0</v>
      </c>
      <c r="K97" s="121">
        <v>0</v>
      </c>
      <c r="L97" s="121">
        <v>0</v>
      </c>
      <c r="M97" s="121">
        <v>0</v>
      </c>
      <c r="N97" s="121">
        <v>0</v>
      </c>
      <c r="O97" s="121">
        <v>0</v>
      </c>
      <c r="P97" s="121">
        <v>0</v>
      </c>
      <c r="Q97" s="121">
        <v>0</v>
      </c>
      <c r="R97" s="121">
        <v>0</v>
      </c>
      <c r="S97" s="121">
        <v>0</v>
      </c>
      <c r="T97" s="121">
        <v>30</v>
      </c>
      <c r="Z97"/>
      <c r="AC97"/>
      <c r="AH97"/>
      <c r="AL97" s="72"/>
    </row>
    <row r="98" spans="2:38" ht="12.9" customHeight="1">
      <c r="B98" s="75">
        <v>3221</v>
      </c>
      <c r="C98" s="75">
        <v>3221</v>
      </c>
      <c r="D98" s="75" t="s">
        <v>57</v>
      </c>
      <c r="E98" s="75"/>
      <c r="F98" s="73" t="s">
        <v>718</v>
      </c>
      <c r="G98" s="73"/>
      <c r="H98" s="74"/>
      <c r="I98" s="121">
        <v>0</v>
      </c>
      <c r="J98" s="121">
        <v>0</v>
      </c>
      <c r="K98" s="121">
        <v>0</v>
      </c>
      <c r="L98" s="121">
        <v>0</v>
      </c>
      <c r="M98" s="121">
        <v>0</v>
      </c>
      <c r="N98" s="121">
        <v>0</v>
      </c>
      <c r="O98" s="121">
        <v>0</v>
      </c>
      <c r="P98" s="121">
        <v>0</v>
      </c>
      <c r="Q98" s="121">
        <v>0</v>
      </c>
      <c r="R98" s="121">
        <v>0</v>
      </c>
      <c r="S98" s="121">
        <v>0</v>
      </c>
      <c r="T98" s="121">
        <v>16</v>
      </c>
      <c r="Z98"/>
      <c r="AC98"/>
      <c r="AH98"/>
      <c r="AL98" s="72"/>
    </row>
    <row r="99" spans="2:38" ht="12.9" customHeight="1">
      <c r="B99" s="75">
        <v>3221</v>
      </c>
      <c r="C99" s="75">
        <v>3221</v>
      </c>
      <c r="D99" s="75" t="s">
        <v>57</v>
      </c>
      <c r="E99" s="75"/>
      <c r="F99" s="73" t="s">
        <v>233</v>
      </c>
      <c r="G99" s="73"/>
      <c r="H99" s="74"/>
      <c r="I99" s="121">
        <v>0</v>
      </c>
      <c r="J99" s="121">
        <v>0</v>
      </c>
      <c r="K99" s="121">
        <v>0</v>
      </c>
      <c r="L99" s="121">
        <v>0</v>
      </c>
      <c r="M99" s="121">
        <v>0</v>
      </c>
      <c r="N99" s="121">
        <v>0</v>
      </c>
      <c r="O99" s="121">
        <v>0</v>
      </c>
      <c r="P99" s="121">
        <v>0</v>
      </c>
      <c r="Q99" s="121">
        <v>0</v>
      </c>
      <c r="R99" s="121">
        <v>0</v>
      </c>
      <c r="S99" s="121">
        <v>25</v>
      </c>
      <c r="T99" s="121">
        <v>0</v>
      </c>
      <c r="Z99"/>
      <c r="AC99"/>
      <c r="AH99"/>
      <c r="AL99" s="72"/>
    </row>
    <row r="100" spans="2:38" ht="12.9" customHeight="1">
      <c r="B100" s="75">
        <v>3221</v>
      </c>
      <c r="C100" s="75">
        <v>3221</v>
      </c>
      <c r="D100" s="75" t="s">
        <v>57</v>
      </c>
      <c r="E100" s="75"/>
      <c r="F100" s="73" t="s">
        <v>234</v>
      </c>
      <c r="G100" s="73"/>
      <c r="H100" s="74"/>
      <c r="I100" s="121">
        <v>0</v>
      </c>
      <c r="J100" s="121">
        <v>0</v>
      </c>
      <c r="K100" s="121">
        <v>0</v>
      </c>
      <c r="L100" s="121">
        <v>0</v>
      </c>
      <c r="M100" s="121">
        <v>0</v>
      </c>
      <c r="N100" s="121">
        <v>0</v>
      </c>
      <c r="O100" s="121">
        <v>0</v>
      </c>
      <c r="P100" s="121">
        <v>0</v>
      </c>
      <c r="Q100" s="121">
        <v>0</v>
      </c>
      <c r="R100" s="121">
        <v>0</v>
      </c>
      <c r="S100" s="121">
        <v>0</v>
      </c>
      <c r="T100" s="121">
        <v>0</v>
      </c>
      <c r="Z100"/>
      <c r="AC100"/>
      <c r="AH100"/>
      <c r="AL100" s="72"/>
    </row>
    <row r="101" spans="2:38" ht="12.9" customHeight="1">
      <c r="B101" s="75">
        <v>3221</v>
      </c>
      <c r="C101" s="75">
        <v>3221</v>
      </c>
      <c r="D101" s="75" t="s">
        <v>57</v>
      </c>
      <c r="E101" s="75"/>
      <c r="F101" s="73" t="s">
        <v>719</v>
      </c>
      <c r="G101" s="73"/>
      <c r="H101" s="74"/>
      <c r="I101" s="121">
        <v>0</v>
      </c>
      <c r="J101" s="121">
        <v>0</v>
      </c>
      <c r="K101" s="121">
        <v>0</v>
      </c>
      <c r="L101" s="121">
        <v>0</v>
      </c>
      <c r="M101" s="121">
        <v>0</v>
      </c>
      <c r="N101" s="121">
        <v>0</v>
      </c>
      <c r="O101" s="121">
        <v>0</v>
      </c>
      <c r="P101" s="121">
        <v>0</v>
      </c>
      <c r="Q101" s="121">
        <v>0</v>
      </c>
      <c r="R101" s="121">
        <v>9.17</v>
      </c>
      <c r="S101" s="121">
        <v>0</v>
      </c>
      <c r="T101" s="121">
        <v>0</v>
      </c>
      <c r="Z101"/>
      <c r="AC101"/>
      <c r="AH101"/>
      <c r="AL101" s="72"/>
    </row>
    <row r="102" spans="2:38" ht="12.9" customHeight="1">
      <c r="B102" s="75">
        <v>3311</v>
      </c>
      <c r="C102" s="75">
        <v>3311</v>
      </c>
      <c r="D102" s="75" t="s">
        <v>682</v>
      </c>
      <c r="E102" s="75"/>
      <c r="F102" s="117" t="s">
        <v>58</v>
      </c>
      <c r="G102" s="73"/>
      <c r="H102" s="74"/>
      <c r="I102" s="121">
        <v>0</v>
      </c>
      <c r="J102" s="121">
        <v>0</v>
      </c>
      <c r="K102" s="121">
        <v>0</v>
      </c>
      <c r="L102" s="121">
        <v>0</v>
      </c>
      <c r="M102" s="121">
        <v>0</v>
      </c>
      <c r="N102" s="121">
        <v>0</v>
      </c>
      <c r="O102" s="121">
        <v>0</v>
      </c>
      <c r="P102" s="121">
        <v>0</v>
      </c>
      <c r="Q102" s="121">
        <v>0</v>
      </c>
      <c r="R102" s="121">
        <v>0</v>
      </c>
      <c r="S102" s="121">
        <v>0</v>
      </c>
      <c r="T102" s="121">
        <v>62.248470172536592</v>
      </c>
      <c r="Z102"/>
      <c r="AC102"/>
      <c r="AH102"/>
      <c r="AL102" s="72"/>
    </row>
    <row r="103" spans="2:38" ht="12.9" customHeight="1">
      <c r="B103" s="75">
        <v>3311</v>
      </c>
      <c r="C103" s="75">
        <v>3311</v>
      </c>
      <c r="D103" s="75" t="s">
        <v>57</v>
      </c>
      <c r="E103" s="75"/>
      <c r="F103" s="73" t="s">
        <v>235</v>
      </c>
      <c r="G103" s="73"/>
      <c r="H103" s="74"/>
      <c r="I103" s="121">
        <v>0</v>
      </c>
      <c r="J103" s="121">
        <v>0</v>
      </c>
      <c r="K103" s="121">
        <v>0</v>
      </c>
      <c r="L103" s="121">
        <v>0</v>
      </c>
      <c r="M103" s="121">
        <v>0</v>
      </c>
      <c r="N103" s="121">
        <v>0</v>
      </c>
      <c r="O103" s="121">
        <v>0</v>
      </c>
      <c r="P103" s="121">
        <v>0</v>
      </c>
      <c r="Q103" s="121">
        <v>0</v>
      </c>
      <c r="R103" s="121">
        <v>0</v>
      </c>
      <c r="S103" s="121">
        <v>0</v>
      </c>
      <c r="T103" s="121">
        <v>200</v>
      </c>
      <c r="Z103"/>
      <c r="AC103"/>
      <c r="AH103"/>
      <c r="AL103" s="72"/>
    </row>
    <row r="104" spans="2:38" ht="12.9" customHeight="1">
      <c r="B104" s="75">
        <v>3312</v>
      </c>
      <c r="C104" s="75">
        <v>3312</v>
      </c>
      <c r="D104" s="75" t="s">
        <v>57</v>
      </c>
      <c r="E104" s="75"/>
      <c r="F104" s="73" t="s">
        <v>236</v>
      </c>
      <c r="G104" s="73"/>
      <c r="H104" s="74"/>
      <c r="I104" s="121">
        <v>0</v>
      </c>
      <c r="J104" s="121">
        <v>0</v>
      </c>
      <c r="K104" s="121">
        <v>0</v>
      </c>
      <c r="L104" s="121">
        <v>0</v>
      </c>
      <c r="M104" s="121">
        <v>0</v>
      </c>
      <c r="N104" s="121">
        <v>0</v>
      </c>
      <c r="O104" s="121">
        <v>0</v>
      </c>
      <c r="P104" s="121">
        <v>0</v>
      </c>
      <c r="Q104" s="121">
        <v>0</v>
      </c>
      <c r="R104" s="121">
        <v>0</v>
      </c>
      <c r="S104" s="121">
        <v>0</v>
      </c>
      <c r="T104" s="121">
        <v>0</v>
      </c>
      <c r="Z104"/>
      <c r="AC104"/>
      <c r="AH104"/>
      <c r="AL104" s="72"/>
    </row>
    <row r="105" spans="2:38" ht="12.9" customHeight="1">
      <c r="B105" s="75">
        <v>3312</v>
      </c>
      <c r="C105" s="75">
        <v>3312</v>
      </c>
      <c r="D105" s="75" t="s">
        <v>57</v>
      </c>
      <c r="E105" s="75"/>
      <c r="F105" s="73" t="s">
        <v>237</v>
      </c>
      <c r="G105" s="73"/>
      <c r="H105" s="74"/>
      <c r="I105" s="121">
        <v>0</v>
      </c>
      <c r="J105" s="121">
        <v>0</v>
      </c>
      <c r="K105" s="121">
        <v>0</v>
      </c>
      <c r="L105" s="121">
        <v>0</v>
      </c>
      <c r="M105" s="121">
        <v>0</v>
      </c>
      <c r="N105" s="121">
        <v>0</v>
      </c>
      <c r="O105" s="121">
        <v>0</v>
      </c>
      <c r="P105" s="121">
        <v>0</v>
      </c>
      <c r="Q105" s="121">
        <v>0</v>
      </c>
      <c r="R105" s="121">
        <v>0</v>
      </c>
      <c r="S105" s="121">
        <v>0</v>
      </c>
      <c r="T105" s="121">
        <v>0</v>
      </c>
      <c r="Z105"/>
      <c r="AC105"/>
      <c r="AH105"/>
      <c r="AL105" s="72"/>
    </row>
    <row r="106" spans="2:38" ht="12.9" customHeight="1">
      <c r="B106" s="75">
        <v>3312</v>
      </c>
      <c r="C106" s="75">
        <v>3312</v>
      </c>
      <c r="D106" s="75" t="s">
        <v>57</v>
      </c>
      <c r="E106" s="75"/>
      <c r="F106" s="73" t="s">
        <v>238</v>
      </c>
      <c r="G106" s="73"/>
      <c r="H106" s="74"/>
      <c r="I106" s="121">
        <v>0</v>
      </c>
      <c r="J106" s="121">
        <v>0</v>
      </c>
      <c r="K106" s="121">
        <v>0</v>
      </c>
      <c r="L106" s="121">
        <v>0</v>
      </c>
      <c r="M106" s="121">
        <v>0</v>
      </c>
      <c r="N106" s="121">
        <v>0</v>
      </c>
      <c r="O106" s="121">
        <v>0</v>
      </c>
      <c r="P106" s="121">
        <v>0</v>
      </c>
      <c r="Q106" s="121">
        <v>0</v>
      </c>
      <c r="R106" s="121">
        <v>0</v>
      </c>
      <c r="S106" s="121">
        <v>0</v>
      </c>
      <c r="T106" s="121">
        <v>0</v>
      </c>
      <c r="Z106"/>
      <c r="AC106"/>
      <c r="AH106"/>
      <c r="AL106" s="72"/>
    </row>
    <row r="107" spans="2:38" ht="12.9" customHeight="1">
      <c r="B107" s="75">
        <v>8111</v>
      </c>
      <c r="C107" s="75">
        <v>8111</v>
      </c>
      <c r="D107" s="75" t="s">
        <v>100</v>
      </c>
      <c r="E107" s="75"/>
      <c r="F107" s="73" t="s">
        <v>239</v>
      </c>
      <c r="G107" s="73"/>
      <c r="H107" s="74"/>
      <c r="I107" s="121">
        <v>79.305360000000007</v>
      </c>
      <c r="J107" s="121">
        <v>54.239240000000002</v>
      </c>
      <c r="K107" s="121">
        <v>23.327949999999998</v>
      </c>
      <c r="L107" s="121">
        <v>0</v>
      </c>
      <c r="M107" s="121">
        <v>100.38991999999996</v>
      </c>
      <c r="N107" s="121">
        <v>0</v>
      </c>
      <c r="O107" s="121">
        <v>25</v>
      </c>
      <c r="P107" s="121">
        <v>0</v>
      </c>
      <c r="Q107" s="121">
        <v>87.5</v>
      </c>
      <c r="R107" s="121">
        <v>257.5</v>
      </c>
      <c r="S107" s="121">
        <v>247.5</v>
      </c>
      <c r="T107" s="121">
        <v>170</v>
      </c>
      <c r="Z107"/>
      <c r="AC107"/>
      <c r="AH107"/>
      <c r="AL107" s="72"/>
    </row>
    <row r="108" spans="2:38" ht="12.9" customHeight="1">
      <c r="B108" s="75">
        <v>8111</v>
      </c>
      <c r="C108" s="75">
        <v>8111</v>
      </c>
      <c r="D108" s="75" t="s">
        <v>57</v>
      </c>
      <c r="E108" s="75"/>
      <c r="F108" s="117" t="s">
        <v>395</v>
      </c>
      <c r="G108" s="73"/>
      <c r="H108" s="74"/>
      <c r="I108" s="121">
        <v>0</v>
      </c>
      <c r="J108" s="121">
        <v>0</v>
      </c>
      <c r="K108" s="121">
        <v>0</v>
      </c>
      <c r="L108" s="121">
        <v>0</v>
      </c>
      <c r="M108" s="121">
        <v>0</v>
      </c>
      <c r="N108" s="121">
        <v>0</v>
      </c>
      <c r="O108" s="121">
        <v>72.33</v>
      </c>
      <c r="P108" s="121">
        <v>0</v>
      </c>
      <c r="Q108" s="121">
        <v>0</v>
      </c>
      <c r="R108" s="121">
        <v>0</v>
      </c>
      <c r="S108" s="121">
        <v>15</v>
      </c>
      <c r="T108" s="121">
        <v>0</v>
      </c>
      <c r="Z108"/>
      <c r="AC108"/>
      <c r="AH108"/>
      <c r="AL108" s="72"/>
    </row>
    <row r="109" spans="2:38" ht="12.9" customHeight="1">
      <c r="B109" s="75">
        <v>8111</v>
      </c>
      <c r="C109" s="75">
        <v>8111</v>
      </c>
      <c r="D109" s="75" t="s">
        <v>57</v>
      </c>
      <c r="E109" s="75"/>
      <c r="F109" s="73" t="s">
        <v>240</v>
      </c>
      <c r="G109" s="73"/>
      <c r="H109" s="74"/>
      <c r="I109" s="121">
        <v>0</v>
      </c>
      <c r="J109" s="121">
        <v>0</v>
      </c>
      <c r="K109" s="121">
        <v>0</v>
      </c>
      <c r="L109" s="121">
        <v>0</v>
      </c>
      <c r="M109" s="121">
        <v>0</v>
      </c>
      <c r="N109" s="121">
        <v>0</v>
      </c>
      <c r="O109" s="121">
        <v>0</v>
      </c>
      <c r="P109" s="121">
        <v>0</v>
      </c>
      <c r="Q109" s="121">
        <v>0</v>
      </c>
      <c r="R109" s="121">
        <v>0</v>
      </c>
      <c r="S109" s="121">
        <v>144</v>
      </c>
      <c r="T109" s="121">
        <v>0</v>
      </c>
      <c r="Z109"/>
      <c r="AC109"/>
      <c r="AH109"/>
      <c r="AL109" s="72"/>
    </row>
    <row r="110" spans="2:38" ht="12.9" customHeight="1">
      <c r="B110" s="75">
        <v>8111</v>
      </c>
      <c r="C110" s="75">
        <v>8111</v>
      </c>
      <c r="D110" s="75" t="s">
        <v>57</v>
      </c>
      <c r="E110" s="75"/>
      <c r="F110" s="73" t="s">
        <v>241</v>
      </c>
      <c r="G110" s="73"/>
      <c r="H110" s="74"/>
      <c r="I110" s="121">
        <v>0</v>
      </c>
      <c r="J110" s="121">
        <v>0</v>
      </c>
      <c r="K110" s="121">
        <v>0</v>
      </c>
      <c r="L110" s="121">
        <v>0</v>
      </c>
      <c r="M110" s="121">
        <v>0</v>
      </c>
      <c r="N110" s="121">
        <v>0</v>
      </c>
      <c r="O110" s="121">
        <v>0</v>
      </c>
      <c r="P110" s="121">
        <v>0</v>
      </c>
      <c r="Q110" s="121">
        <v>0</v>
      </c>
      <c r="R110" s="121">
        <v>0</v>
      </c>
      <c r="S110" s="121">
        <v>0</v>
      </c>
      <c r="T110" s="121">
        <v>194</v>
      </c>
      <c r="Z110"/>
      <c r="AC110"/>
      <c r="AH110"/>
      <c r="AL110" s="72"/>
    </row>
    <row r="111" spans="2:38" ht="12.9" customHeight="1">
      <c r="B111" s="75">
        <v>8111</v>
      </c>
      <c r="C111" s="75">
        <v>8111</v>
      </c>
      <c r="D111" s="75" t="s">
        <v>57</v>
      </c>
      <c r="E111" s="75"/>
      <c r="F111" s="117" t="s">
        <v>242</v>
      </c>
      <c r="G111" s="73"/>
      <c r="H111" s="74"/>
      <c r="I111" s="121">
        <v>0</v>
      </c>
      <c r="J111" s="121">
        <v>0</v>
      </c>
      <c r="K111" s="121">
        <v>0</v>
      </c>
      <c r="L111" s="121">
        <v>0</v>
      </c>
      <c r="M111" s="121">
        <v>0</v>
      </c>
      <c r="N111" s="121">
        <v>0</v>
      </c>
      <c r="O111" s="121">
        <v>0</v>
      </c>
      <c r="P111" s="121">
        <v>0</v>
      </c>
      <c r="Q111" s="121">
        <v>0</v>
      </c>
      <c r="R111" s="121">
        <v>40</v>
      </c>
      <c r="S111" s="121">
        <v>0</v>
      </c>
      <c r="T111" s="121">
        <v>0</v>
      </c>
      <c r="Z111"/>
      <c r="AC111"/>
      <c r="AH111"/>
      <c r="AL111" s="72"/>
    </row>
    <row r="112" spans="2:38" ht="12.9" customHeight="1">
      <c r="B112" s="75">
        <v>8111</v>
      </c>
      <c r="C112" s="75">
        <v>8111</v>
      </c>
      <c r="D112" s="75" t="s">
        <v>57</v>
      </c>
      <c r="E112" s="75"/>
      <c r="F112" s="117" t="s">
        <v>396</v>
      </c>
      <c r="G112" s="73"/>
      <c r="H112" s="74"/>
      <c r="I112" s="121">
        <v>0</v>
      </c>
      <c r="J112" s="121">
        <v>0</v>
      </c>
      <c r="K112" s="121">
        <v>0</v>
      </c>
      <c r="L112" s="121">
        <v>0</v>
      </c>
      <c r="M112" s="121">
        <v>0</v>
      </c>
      <c r="N112" s="121">
        <v>0</v>
      </c>
      <c r="O112" s="121">
        <v>0</v>
      </c>
      <c r="P112" s="121">
        <v>0</v>
      </c>
      <c r="Q112" s="121">
        <v>0</v>
      </c>
      <c r="R112" s="121">
        <v>0</v>
      </c>
      <c r="S112" s="121">
        <v>10</v>
      </c>
      <c r="T112" s="121">
        <v>0</v>
      </c>
      <c r="Z112"/>
      <c r="AC112"/>
      <c r="AH112"/>
      <c r="AL112" s="72"/>
    </row>
    <row r="113" spans="2:38" ht="12.9" customHeight="1">
      <c r="B113" s="75">
        <v>8111</v>
      </c>
      <c r="C113" s="75">
        <v>8111</v>
      </c>
      <c r="D113" s="75" t="s">
        <v>57</v>
      </c>
      <c r="E113" s="75"/>
      <c r="F113" s="73" t="s">
        <v>397</v>
      </c>
      <c r="G113" s="73"/>
      <c r="H113" s="74"/>
      <c r="I113" s="121">
        <v>0</v>
      </c>
      <c r="J113" s="121">
        <v>0</v>
      </c>
      <c r="K113" s="121">
        <v>0</v>
      </c>
      <c r="L113" s="121">
        <v>0</v>
      </c>
      <c r="M113" s="121">
        <v>0</v>
      </c>
      <c r="N113" s="121">
        <v>0</v>
      </c>
      <c r="O113" s="121">
        <v>0</v>
      </c>
      <c r="P113" s="121">
        <v>0</v>
      </c>
      <c r="Q113" s="121">
        <v>0</v>
      </c>
      <c r="R113" s="121">
        <v>0</v>
      </c>
      <c r="S113" s="121">
        <v>12</v>
      </c>
      <c r="T113" s="121">
        <v>0</v>
      </c>
      <c r="Z113"/>
      <c r="AC113"/>
      <c r="AH113"/>
      <c r="AL113" s="72"/>
    </row>
    <row r="114" spans="2:38" ht="12.9" customHeight="1">
      <c r="B114" s="75">
        <v>8111</v>
      </c>
      <c r="C114" s="75">
        <v>8111</v>
      </c>
      <c r="D114" s="75" t="s">
        <v>346</v>
      </c>
      <c r="E114" s="75"/>
      <c r="F114" s="73" t="s">
        <v>353</v>
      </c>
      <c r="G114" s="73"/>
      <c r="H114" s="74"/>
      <c r="I114" s="121">
        <v>0</v>
      </c>
      <c r="J114" s="121">
        <v>117.50012000000001</v>
      </c>
      <c r="K114" s="121">
        <v>0.15776000000000001</v>
      </c>
      <c r="L114" s="121">
        <v>0</v>
      </c>
      <c r="M114" s="121">
        <v>0</v>
      </c>
      <c r="N114" s="121">
        <v>0</v>
      </c>
      <c r="O114" s="121">
        <v>0</v>
      </c>
      <c r="P114" s="121">
        <v>0</v>
      </c>
      <c r="Q114" s="121">
        <v>0</v>
      </c>
      <c r="R114" s="121">
        <v>0</v>
      </c>
      <c r="S114" s="121">
        <v>0</v>
      </c>
      <c r="T114" s="121">
        <v>0</v>
      </c>
      <c r="Z114"/>
      <c r="AC114"/>
      <c r="AH114"/>
      <c r="AL114" s="72"/>
    </row>
    <row r="115" spans="2:38" ht="12.9" customHeight="1">
      <c r="B115" s="75">
        <v>8111</v>
      </c>
      <c r="C115" s="75">
        <v>8111</v>
      </c>
      <c r="D115" s="75" t="s">
        <v>347</v>
      </c>
      <c r="E115" s="75"/>
      <c r="F115" s="117" t="s">
        <v>354</v>
      </c>
      <c r="G115" s="73"/>
      <c r="H115" s="74"/>
      <c r="I115" s="121">
        <v>0</v>
      </c>
      <c r="J115" s="121">
        <v>125.57582000000001</v>
      </c>
      <c r="K115" s="121">
        <v>0.2263</v>
      </c>
      <c r="L115" s="121">
        <v>0</v>
      </c>
      <c r="M115" s="121">
        <v>0</v>
      </c>
      <c r="N115" s="121">
        <v>0</v>
      </c>
      <c r="O115" s="121">
        <v>0</v>
      </c>
      <c r="P115" s="121">
        <v>0</v>
      </c>
      <c r="Q115" s="121">
        <v>0</v>
      </c>
      <c r="R115" s="121">
        <v>0</v>
      </c>
      <c r="S115" s="121">
        <v>0</v>
      </c>
      <c r="T115" s="121">
        <v>0</v>
      </c>
      <c r="Z115"/>
      <c r="AC115"/>
      <c r="AH115"/>
      <c r="AL115" s="72"/>
    </row>
    <row r="116" spans="2:38" ht="12.9" customHeight="1">
      <c r="B116" s="75">
        <v>8111</v>
      </c>
      <c r="C116" s="75">
        <v>8111</v>
      </c>
      <c r="D116" s="75" t="s">
        <v>348</v>
      </c>
      <c r="E116" s="75"/>
      <c r="F116" s="117" t="s">
        <v>355</v>
      </c>
      <c r="G116" s="73"/>
      <c r="H116" s="74"/>
      <c r="I116" s="121">
        <v>0</v>
      </c>
      <c r="J116" s="121">
        <v>155.63929999999999</v>
      </c>
      <c r="K116" s="121">
        <v>-80.681129999999996</v>
      </c>
      <c r="L116" s="121">
        <v>0</v>
      </c>
      <c r="M116" s="121">
        <v>0</v>
      </c>
      <c r="N116" s="121">
        <v>0</v>
      </c>
      <c r="O116" s="121">
        <v>0</v>
      </c>
      <c r="P116" s="121">
        <v>0</v>
      </c>
      <c r="Q116" s="121">
        <v>0</v>
      </c>
      <c r="R116" s="121">
        <v>0</v>
      </c>
      <c r="S116" s="121">
        <v>0</v>
      </c>
      <c r="T116" s="121">
        <v>0</v>
      </c>
      <c r="Z116"/>
      <c r="AC116"/>
      <c r="AH116"/>
      <c r="AL116" s="72"/>
    </row>
    <row r="117" spans="2:38" ht="12.9" customHeight="1">
      <c r="B117" s="75">
        <v>8111</v>
      </c>
      <c r="C117" s="75">
        <v>8111</v>
      </c>
      <c r="D117" s="75" t="s">
        <v>57</v>
      </c>
      <c r="E117" s="75"/>
      <c r="F117" s="117" t="s">
        <v>243</v>
      </c>
      <c r="G117" s="73"/>
      <c r="H117" s="74"/>
      <c r="I117" s="121">
        <v>0</v>
      </c>
      <c r="J117" s="121">
        <v>0</v>
      </c>
      <c r="K117" s="121">
        <v>0</v>
      </c>
      <c r="L117" s="121">
        <v>0</v>
      </c>
      <c r="M117" s="121">
        <v>0</v>
      </c>
      <c r="N117" s="121">
        <v>0</v>
      </c>
      <c r="O117" s="121">
        <v>0</v>
      </c>
      <c r="P117" s="121">
        <v>0</v>
      </c>
      <c r="Q117" s="121">
        <v>0</v>
      </c>
      <c r="R117" s="121">
        <v>0</v>
      </c>
      <c r="S117" s="121">
        <v>425</v>
      </c>
      <c r="T117" s="121">
        <v>0</v>
      </c>
      <c r="Z117"/>
      <c r="AC117"/>
      <c r="AH117"/>
      <c r="AL117" s="72"/>
    </row>
    <row r="118" spans="2:38" ht="12.9" customHeight="1">
      <c r="B118" s="75">
        <v>8111</v>
      </c>
      <c r="C118" s="75">
        <v>8111</v>
      </c>
      <c r="D118" s="75" t="s">
        <v>57</v>
      </c>
      <c r="E118" s="73"/>
      <c r="F118" s="73" t="s">
        <v>244</v>
      </c>
      <c r="G118" s="73"/>
      <c r="H118" s="74"/>
      <c r="I118" s="121">
        <v>0</v>
      </c>
      <c r="J118" s="121">
        <v>0</v>
      </c>
      <c r="K118" s="121">
        <v>0</v>
      </c>
      <c r="L118" s="121">
        <v>0</v>
      </c>
      <c r="M118" s="121">
        <v>0</v>
      </c>
      <c r="N118" s="121">
        <v>0</v>
      </c>
      <c r="O118" s="121">
        <v>0</v>
      </c>
      <c r="P118" s="121">
        <v>0</v>
      </c>
      <c r="Q118" s="121">
        <v>0</v>
      </c>
      <c r="R118" s="121">
        <v>0</v>
      </c>
      <c r="S118" s="121">
        <v>0</v>
      </c>
      <c r="T118" s="121">
        <v>0</v>
      </c>
      <c r="Z118"/>
      <c r="AC118"/>
      <c r="AH118"/>
      <c r="AL118" s="72"/>
    </row>
    <row r="119" spans="2:38" ht="12.9" customHeight="1">
      <c r="B119" s="75">
        <v>8111</v>
      </c>
      <c r="C119" s="75">
        <v>8111</v>
      </c>
      <c r="D119" s="75" t="s">
        <v>99</v>
      </c>
      <c r="E119" s="75"/>
      <c r="F119" s="73" t="s">
        <v>245</v>
      </c>
      <c r="G119" s="73"/>
      <c r="H119" s="74"/>
      <c r="I119" s="121">
        <v>7.37113</v>
      </c>
      <c r="J119" s="121">
        <v>7.3495700000000017</v>
      </c>
      <c r="K119" s="121">
        <v>2.7630000000000002E-2</v>
      </c>
      <c r="L119" s="121">
        <v>8.7020700000000009</v>
      </c>
      <c r="M119" s="121">
        <v>0</v>
      </c>
      <c r="N119" s="121">
        <v>0</v>
      </c>
      <c r="O119" s="121">
        <v>9.8999999999999986</v>
      </c>
      <c r="P119" s="121">
        <v>4.9499999999999993</v>
      </c>
      <c r="Q119" s="121">
        <v>0</v>
      </c>
      <c r="R119" s="121">
        <v>0</v>
      </c>
      <c r="S119" s="121">
        <v>0</v>
      </c>
      <c r="T119" s="121">
        <v>0</v>
      </c>
      <c r="Z119"/>
      <c r="AC119"/>
      <c r="AH119"/>
      <c r="AL119" s="72"/>
    </row>
    <row r="120" spans="2:38" ht="12.9" customHeight="1">
      <c r="B120" s="75">
        <v>8111</v>
      </c>
      <c r="C120" s="75">
        <v>8111</v>
      </c>
      <c r="D120" s="75" t="s">
        <v>57</v>
      </c>
      <c r="E120" s="75"/>
      <c r="F120" s="73" t="s">
        <v>720</v>
      </c>
      <c r="G120" s="73"/>
      <c r="H120" s="74"/>
      <c r="I120" s="121">
        <v>0</v>
      </c>
      <c r="J120" s="121">
        <v>0</v>
      </c>
      <c r="K120" s="121">
        <v>0</v>
      </c>
      <c r="L120" s="121">
        <v>0</v>
      </c>
      <c r="M120" s="121">
        <v>0</v>
      </c>
      <c r="N120" s="121">
        <v>0</v>
      </c>
      <c r="O120" s="121">
        <v>0</v>
      </c>
      <c r="P120" s="121">
        <v>0</v>
      </c>
      <c r="Q120" s="121">
        <v>40</v>
      </c>
      <c r="R120" s="121">
        <v>40</v>
      </c>
      <c r="S120" s="121">
        <v>60</v>
      </c>
      <c r="T120" s="121">
        <v>60</v>
      </c>
      <c r="Z120"/>
      <c r="AC120"/>
      <c r="AH120"/>
      <c r="AL120" s="72"/>
    </row>
    <row r="121" spans="2:38" ht="12.9" customHeight="1">
      <c r="B121" s="75">
        <v>8111</v>
      </c>
      <c r="C121" s="75">
        <v>8111</v>
      </c>
      <c r="D121" s="75" t="s">
        <v>57</v>
      </c>
      <c r="E121" s="75"/>
      <c r="F121" s="73" t="s">
        <v>721</v>
      </c>
      <c r="G121" s="73"/>
      <c r="H121" s="74"/>
      <c r="I121" s="121">
        <v>0</v>
      </c>
      <c r="J121" s="121">
        <v>0</v>
      </c>
      <c r="K121" s="121">
        <v>0</v>
      </c>
      <c r="L121" s="121">
        <v>0</v>
      </c>
      <c r="M121" s="121">
        <v>0</v>
      </c>
      <c r="N121" s="121">
        <v>0</v>
      </c>
      <c r="O121" s="121">
        <v>80.680000000000007</v>
      </c>
      <c r="P121" s="121">
        <v>0</v>
      </c>
      <c r="Q121" s="121">
        <v>0</v>
      </c>
      <c r="R121" s="121">
        <v>0</v>
      </c>
      <c r="S121" s="121">
        <v>0</v>
      </c>
      <c r="T121" s="121">
        <v>0</v>
      </c>
      <c r="Z121"/>
      <c r="AC121"/>
      <c r="AH121"/>
      <c r="AL121" s="72"/>
    </row>
    <row r="122" spans="2:38" ht="12.9" customHeight="1">
      <c r="B122" s="75">
        <v>8311</v>
      </c>
      <c r="C122" s="75">
        <v>8311</v>
      </c>
      <c r="D122" s="75" t="s">
        <v>352</v>
      </c>
      <c r="E122" s="75"/>
      <c r="F122" s="73" t="s">
        <v>398</v>
      </c>
      <c r="G122" s="73"/>
      <c r="H122" s="74"/>
      <c r="I122" s="121">
        <v>0</v>
      </c>
      <c r="J122" s="121">
        <v>5.5157300000000005</v>
      </c>
      <c r="K122" s="121">
        <v>0</v>
      </c>
      <c r="L122" s="121">
        <v>0</v>
      </c>
      <c r="M122" s="121">
        <v>0</v>
      </c>
      <c r="N122" s="121">
        <v>0</v>
      </c>
      <c r="O122" s="121">
        <v>0</v>
      </c>
      <c r="P122" s="121">
        <v>0</v>
      </c>
      <c r="Q122" s="121">
        <v>0</v>
      </c>
      <c r="R122" s="121">
        <v>0</v>
      </c>
      <c r="S122" s="121">
        <v>0</v>
      </c>
      <c r="T122" s="121">
        <v>0</v>
      </c>
      <c r="Z122"/>
      <c r="AC122"/>
      <c r="AH122"/>
      <c r="AL122" s="72"/>
    </row>
    <row r="123" spans="2:38" ht="12.9" customHeight="1">
      <c r="B123" s="75">
        <v>8311</v>
      </c>
      <c r="C123" s="75">
        <v>8311</v>
      </c>
      <c r="D123" s="75" t="s">
        <v>57</v>
      </c>
      <c r="E123" s="75"/>
      <c r="F123" s="73" t="s">
        <v>399</v>
      </c>
      <c r="G123" s="73"/>
      <c r="H123" s="74"/>
      <c r="I123" s="121">
        <v>0</v>
      </c>
      <c r="J123" s="121">
        <v>0</v>
      </c>
      <c r="K123" s="121">
        <v>0</v>
      </c>
      <c r="L123" s="121">
        <v>0</v>
      </c>
      <c r="M123" s="121">
        <v>0</v>
      </c>
      <c r="N123" s="121">
        <v>0</v>
      </c>
      <c r="O123" s="121">
        <v>0</v>
      </c>
      <c r="P123" s="121">
        <v>0</v>
      </c>
      <c r="Q123" s="121">
        <v>0</v>
      </c>
      <c r="R123" s="121">
        <v>10.8</v>
      </c>
      <c r="S123" s="121">
        <v>0</v>
      </c>
      <c r="T123" s="121">
        <v>0</v>
      </c>
      <c r="Z123"/>
      <c r="AC123"/>
      <c r="AH123"/>
      <c r="AL123" s="72"/>
    </row>
    <row r="124" spans="2:38" ht="12.9" customHeight="1">
      <c r="B124" s="75">
        <v>8311</v>
      </c>
      <c r="C124" s="75">
        <v>8311</v>
      </c>
      <c r="D124" s="75" t="s">
        <v>624</v>
      </c>
      <c r="E124" s="75"/>
      <c r="F124" s="73" t="s">
        <v>94</v>
      </c>
      <c r="G124" s="73"/>
      <c r="H124" s="74"/>
      <c r="I124" s="121">
        <v>0</v>
      </c>
      <c r="J124" s="121">
        <v>0</v>
      </c>
      <c r="K124" s="121">
        <v>0</v>
      </c>
      <c r="L124" s="121">
        <v>0</v>
      </c>
      <c r="M124" s="121">
        <v>0</v>
      </c>
      <c r="N124" s="121">
        <v>0</v>
      </c>
      <c r="O124" s="121">
        <v>30</v>
      </c>
      <c r="P124" s="121">
        <v>60</v>
      </c>
      <c r="Q124" s="121">
        <v>0</v>
      </c>
      <c r="R124" s="121">
        <v>0</v>
      </c>
      <c r="S124" s="121">
        <v>0</v>
      </c>
      <c r="T124" s="121">
        <v>20</v>
      </c>
      <c r="Z124"/>
      <c r="AC124"/>
      <c r="AH124"/>
      <c r="AL124" s="72"/>
    </row>
    <row r="125" spans="2:38" ht="12.9" customHeight="1">
      <c r="B125" s="75">
        <v>8311</v>
      </c>
      <c r="C125" s="75">
        <v>8311</v>
      </c>
      <c r="D125" s="75" t="s">
        <v>57</v>
      </c>
      <c r="E125" s="75"/>
      <c r="F125" s="73" t="s">
        <v>246</v>
      </c>
      <c r="G125" s="73"/>
      <c r="H125" s="74"/>
      <c r="I125" s="121">
        <v>0</v>
      </c>
      <c r="J125" s="121">
        <v>0</v>
      </c>
      <c r="K125" s="121">
        <v>0</v>
      </c>
      <c r="L125" s="121">
        <v>0</v>
      </c>
      <c r="M125" s="121">
        <v>0</v>
      </c>
      <c r="N125" s="121">
        <v>0</v>
      </c>
      <c r="O125" s="121">
        <v>0</v>
      </c>
      <c r="P125" s="121">
        <v>0</v>
      </c>
      <c r="Q125" s="121">
        <v>10</v>
      </c>
      <c r="R125" s="121">
        <v>0</v>
      </c>
      <c r="S125" s="121">
        <v>0</v>
      </c>
      <c r="T125" s="121">
        <v>0</v>
      </c>
      <c r="Z125"/>
      <c r="AC125"/>
      <c r="AH125"/>
      <c r="AL125" s="72"/>
    </row>
    <row r="126" spans="2:38" ht="12.9" customHeight="1">
      <c r="B126" s="75">
        <v>8311</v>
      </c>
      <c r="C126" s="75">
        <v>8311</v>
      </c>
      <c r="D126" s="75" t="s">
        <v>518</v>
      </c>
      <c r="E126" s="75"/>
      <c r="F126" s="73" t="s">
        <v>247</v>
      </c>
      <c r="G126" s="73"/>
      <c r="H126" s="74"/>
      <c r="I126" s="121">
        <v>0</v>
      </c>
      <c r="J126" s="121">
        <v>0</v>
      </c>
      <c r="K126" s="121">
        <v>0</v>
      </c>
      <c r="L126" s="121">
        <v>0</v>
      </c>
      <c r="M126" s="121">
        <v>106.74778000000001</v>
      </c>
      <c r="N126" s="121">
        <v>0</v>
      </c>
      <c r="O126" s="121">
        <v>0</v>
      </c>
      <c r="P126" s="121">
        <v>0</v>
      </c>
      <c r="Q126" s="121">
        <v>20</v>
      </c>
      <c r="R126" s="121">
        <v>0</v>
      </c>
      <c r="S126" s="121">
        <v>0</v>
      </c>
      <c r="T126" s="121">
        <v>0</v>
      </c>
      <c r="Z126"/>
      <c r="AC126"/>
      <c r="AH126"/>
      <c r="AL126" s="72"/>
    </row>
    <row r="127" spans="2:38" ht="12.9" customHeight="1">
      <c r="B127" s="75">
        <v>8311</v>
      </c>
      <c r="C127" s="75">
        <v>8311</v>
      </c>
      <c r="D127" s="75" t="s">
        <v>57</v>
      </c>
      <c r="E127" s="75"/>
      <c r="F127" s="73" t="s">
        <v>248</v>
      </c>
      <c r="G127" s="73"/>
      <c r="H127" s="74"/>
      <c r="I127" s="121">
        <v>0</v>
      </c>
      <c r="J127" s="121">
        <v>0</v>
      </c>
      <c r="K127" s="121">
        <v>0</v>
      </c>
      <c r="L127" s="121">
        <v>0</v>
      </c>
      <c r="M127" s="121">
        <v>0</v>
      </c>
      <c r="N127" s="121">
        <v>0</v>
      </c>
      <c r="O127" s="121">
        <v>0</v>
      </c>
      <c r="P127" s="121">
        <v>0</v>
      </c>
      <c r="Q127" s="121">
        <v>0</v>
      </c>
      <c r="R127" s="121">
        <v>200</v>
      </c>
      <c r="S127" s="121">
        <v>0</v>
      </c>
      <c r="T127" s="121">
        <v>0</v>
      </c>
      <c r="Z127"/>
      <c r="AC127"/>
      <c r="AH127"/>
      <c r="AL127" s="72"/>
    </row>
    <row r="128" spans="2:38" ht="12.9" customHeight="1">
      <c r="B128" s="75">
        <v>8311</v>
      </c>
      <c r="C128" s="75">
        <v>8311</v>
      </c>
      <c r="D128" s="75" t="s">
        <v>111</v>
      </c>
      <c r="E128" s="75"/>
      <c r="F128" s="74" t="s">
        <v>116</v>
      </c>
      <c r="G128" s="73"/>
      <c r="H128" s="74"/>
      <c r="I128" s="121">
        <v>0.22668000000000002</v>
      </c>
      <c r="J128" s="121">
        <v>0</v>
      </c>
      <c r="K128" s="121">
        <v>0</v>
      </c>
      <c r="L128" s="121">
        <v>0</v>
      </c>
      <c r="M128" s="121">
        <v>0</v>
      </c>
      <c r="N128" s="121">
        <v>0</v>
      </c>
      <c r="O128" s="121">
        <v>0</v>
      </c>
      <c r="P128" s="121">
        <v>0</v>
      </c>
      <c r="Q128" s="121">
        <v>0</v>
      </c>
      <c r="R128" s="121">
        <v>0</v>
      </c>
      <c r="S128" s="121">
        <v>0</v>
      </c>
      <c r="T128" s="121">
        <v>0</v>
      </c>
      <c r="Z128"/>
      <c r="AC128"/>
      <c r="AH128"/>
      <c r="AL128" s="72"/>
    </row>
    <row r="129" spans="2:38" ht="12.9" customHeight="1">
      <c r="B129" s="75">
        <v>8311</v>
      </c>
      <c r="C129" s="75">
        <v>8311</v>
      </c>
      <c r="D129" s="75" t="s">
        <v>488</v>
      </c>
      <c r="E129" s="75"/>
      <c r="F129" s="73" t="s">
        <v>249</v>
      </c>
      <c r="G129" s="73"/>
      <c r="H129" s="74"/>
      <c r="I129" s="121">
        <v>0</v>
      </c>
      <c r="J129" s="121">
        <v>0</v>
      </c>
      <c r="K129" s="121">
        <v>0</v>
      </c>
      <c r="L129" s="121">
        <v>991.94398000000001</v>
      </c>
      <c r="M129" s="121">
        <v>80.650549999999981</v>
      </c>
      <c r="N129" s="121">
        <v>0</v>
      </c>
      <c r="O129" s="121">
        <v>0</v>
      </c>
      <c r="P129" s="121">
        <v>0</v>
      </c>
      <c r="Q129" s="121">
        <v>383</v>
      </c>
      <c r="R129" s="121">
        <v>0</v>
      </c>
      <c r="S129" s="121">
        <v>0</v>
      </c>
      <c r="T129" s="121">
        <v>0</v>
      </c>
      <c r="Z129"/>
      <c r="AC129"/>
      <c r="AH129"/>
      <c r="AL129" s="72"/>
    </row>
    <row r="130" spans="2:38" ht="12.9" customHeight="1">
      <c r="B130" s="75">
        <v>8311</v>
      </c>
      <c r="C130" s="75">
        <v>8311</v>
      </c>
      <c r="D130" s="75" t="s">
        <v>538</v>
      </c>
      <c r="E130" s="75"/>
      <c r="F130" s="117" t="s">
        <v>107</v>
      </c>
      <c r="G130" s="73"/>
      <c r="H130" s="74"/>
      <c r="I130" s="121">
        <v>0</v>
      </c>
      <c r="J130" s="121">
        <v>0</v>
      </c>
      <c r="K130" s="121">
        <v>0</v>
      </c>
      <c r="L130" s="121">
        <v>0</v>
      </c>
      <c r="M130" s="121">
        <v>945.20014000000003</v>
      </c>
      <c r="N130" s="121">
        <v>62.551879999999997</v>
      </c>
      <c r="O130" s="121">
        <v>0</v>
      </c>
      <c r="P130" s="121">
        <v>0</v>
      </c>
      <c r="Q130" s="121">
        <v>0</v>
      </c>
      <c r="R130" s="121">
        <v>0</v>
      </c>
      <c r="S130" s="121">
        <v>0</v>
      </c>
      <c r="T130" s="121">
        <v>0</v>
      </c>
      <c r="Z130"/>
      <c r="AC130"/>
      <c r="AH130"/>
      <c r="AL130" s="72"/>
    </row>
    <row r="131" spans="2:38" ht="12.9" customHeight="1">
      <c r="B131" s="75">
        <v>8311</v>
      </c>
      <c r="C131" s="75">
        <v>8311</v>
      </c>
      <c r="D131" s="75" t="s">
        <v>629</v>
      </c>
      <c r="E131" s="75"/>
      <c r="F131" s="117" t="s">
        <v>250</v>
      </c>
      <c r="G131" s="73"/>
      <c r="H131" s="74"/>
      <c r="I131" s="121">
        <v>0</v>
      </c>
      <c r="J131" s="121">
        <v>0</v>
      </c>
      <c r="K131" s="121">
        <v>0</v>
      </c>
      <c r="L131" s="121">
        <v>0</v>
      </c>
      <c r="M131" s="121">
        <v>0</v>
      </c>
      <c r="N131" s="121">
        <v>0</v>
      </c>
      <c r="O131" s="121">
        <v>950</v>
      </c>
      <c r="P131" s="121">
        <v>60</v>
      </c>
      <c r="Q131" s="121">
        <v>0</v>
      </c>
      <c r="R131" s="121">
        <v>0</v>
      </c>
      <c r="S131" s="121">
        <v>0</v>
      </c>
      <c r="T131" s="121">
        <v>0</v>
      </c>
      <c r="Z131"/>
      <c r="AC131"/>
      <c r="AH131"/>
      <c r="AL131" s="72"/>
    </row>
    <row r="132" spans="2:38" ht="12.9" customHeight="1">
      <c r="B132" s="75">
        <v>8311</v>
      </c>
      <c r="C132" s="75">
        <v>8311</v>
      </c>
      <c r="D132" s="75" t="s">
        <v>57</v>
      </c>
      <c r="E132" s="75"/>
      <c r="F132" s="117" t="s">
        <v>251</v>
      </c>
      <c r="G132" s="73"/>
      <c r="H132" s="74"/>
      <c r="I132" s="121">
        <v>0</v>
      </c>
      <c r="J132" s="121">
        <v>0</v>
      </c>
      <c r="K132" s="121">
        <v>0</v>
      </c>
      <c r="L132" s="121">
        <v>0</v>
      </c>
      <c r="M132" s="121">
        <v>0</v>
      </c>
      <c r="N132" s="121">
        <v>0</v>
      </c>
      <c r="O132" s="121">
        <v>0</v>
      </c>
      <c r="P132" s="121">
        <v>0</v>
      </c>
      <c r="Q132" s="121">
        <v>0</v>
      </c>
      <c r="R132" s="121">
        <v>0</v>
      </c>
      <c r="S132" s="121">
        <v>257</v>
      </c>
      <c r="T132" s="121">
        <v>0</v>
      </c>
      <c r="Z132"/>
      <c r="AC132"/>
      <c r="AH132"/>
      <c r="AL132" s="72"/>
    </row>
    <row r="133" spans="2:38" ht="12.9" customHeight="1">
      <c r="B133" s="75">
        <v>8311</v>
      </c>
      <c r="C133" s="75">
        <v>8311</v>
      </c>
      <c r="D133" s="75" t="s">
        <v>349</v>
      </c>
      <c r="E133" s="75"/>
      <c r="F133" s="73" t="s">
        <v>95</v>
      </c>
      <c r="G133" s="73"/>
      <c r="H133" s="74"/>
      <c r="I133" s="121">
        <v>0</v>
      </c>
      <c r="J133" s="121">
        <v>58.4452</v>
      </c>
      <c r="K133" s="121">
        <v>0</v>
      </c>
      <c r="L133" s="121">
        <v>0</v>
      </c>
      <c r="M133" s="121">
        <v>59.430900000000001</v>
      </c>
      <c r="N133" s="121">
        <v>0</v>
      </c>
      <c r="O133" s="121">
        <v>0</v>
      </c>
      <c r="P133" s="121">
        <v>30</v>
      </c>
      <c r="Q133" s="121">
        <v>0</v>
      </c>
      <c r="R133" s="121">
        <v>0</v>
      </c>
      <c r="S133" s="121">
        <v>0</v>
      </c>
      <c r="T133" s="121">
        <v>0</v>
      </c>
      <c r="Z133"/>
      <c r="AC133"/>
      <c r="AH133"/>
      <c r="AL133" s="72"/>
    </row>
    <row r="134" spans="2:38" ht="12.9" customHeight="1">
      <c r="B134" s="75">
        <v>8311</v>
      </c>
      <c r="C134" s="75">
        <v>8311</v>
      </c>
      <c r="D134" s="75" t="s">
        <v>632</v>
      </c>
      <c r="E134" s="75"/>
      <c r="F134" s="117" t="s">
        <v>96</v>
      </c>
      <c r="G134" s="73"/>
      <c r="H134" s="74"/>
      <c r="I134" s="121">
        <v>0</v>
      </c>
      <c r="J134" s="121">
        <v>0</v>
      </c>
      <c r="K134" s="121">
        <v>0</v>
      </c>
      <c r="L134" s="121">
        <v>0</v>
      </c>
      <c r="M134" s="121">
        <v>0</v>
      </c>
      <c r="N134" s="121">
        <v>0</v>
      </c>
      <c r="O134" s="121">
        <v>325</v>
      </c>
      <c r="P134" s="121">
        <v>0</v>
      </c>
      <c r="Q134" s="121">
        <v>0</v>
      </c>
      <c r="R134" s="121">
        <v>0</v>
      </c>
      <c r="S134" s="121">
        <v>0</v>
      </c>
      <c r="T134" s="121">
        <v>0</v>
      </c>
      <c r="Z134"/>
      <c r="AC134"/>
      <c r="AH134"/>
      <c r="AL134" s="72"/>
    </row>
    <row r="135" spans="2:38" ht="12.9" customHeight="1">
      <c r="B135" s="75">
        <v>8311</v>
      </c>
      <c r="C135" s="75">
        <v>8311</v>
      </c>
      <c r="D135" s="75" t="s">
        <v>633</v>
      </c>
      <c r="E135" s="75"/>
      <c r="F135" s="73" t="s">
        <v>97</v>
      </c>
      <c r="G135" s="73"/>
      <c r="H135" s="74"/>
      <c r="I135" s="121">
        <v>0</v>
      </c>
      <c r="J135" s="121">
        <v>0</v>
      </c>
      <c r="K135" s="121">
        <v>0</v>
      </c>
      <c r="L135" s="121">
        <v>0</v>
      </c>
      <c r="M135" s="121">
        <v>0</v>
      </c>
      <c r="N135" s="121">
        <v>0</v>
      </c>
      <c r="O135" s="121">
        <v>325</v>
      </c>
      <c r="P135" s="121">
        <v>0</v>
      </c>
      <c r="Q135" s="121">
        <v>0</v>
      </c>
      <c r="R135" s="121">
        <v>0</v>
      </c>
      <c r="S135" s="121">
        <v>0</v>
      </c>
      <c r="T135" s="121">
        <v>0</v>
      </c>
      <c r="Z135"/>
      <c r="AC135"/>
      <c r="AH135"/>
      <c r="AL135" s="72"/>
    </row>
    <row r="136" spans="2:38" ht="12.9" customHeight="1">
      <c r="B136" s="75">
        <v>8311</v>
      </c>
      <c r="C136" s="75">
        <v>8311</v>
      </c>
      <c r="D136" s="75" t="s">
        <v>634</v>
      </c>
      <c r="E136" s="75"/>
      <c r="F136" s="73" t="s">
        <v>103</v>
      </c>
      <c r="G136" s="73"/>
      <c r="H136" s="74"/>
      <c r="I136" s="121">
        <v>0</v>
      </c>
      <c r="J136" s="121">
        <v>0</v>
      </c>
      <c r="K136" s="121">
        <v>0</v>
      </c>
      <c r="L136" s="121">
        <v>0</v>
      </c>
      <c r="M136" s="121">
        <v>0</v>
      </c>
      <c r="N136" s="121">
        <v>0</v>
      </c>
      <c r="O136" s="121">
        <v>350</v>
      </c>
      <c r="P136" s="121">
        <v>0</v>
      </c>
      <c r="Q136" s="121">
        <v>0</v>
      </c>
      <c r="R136" s="121">
        <v>0</v>
      </c>
      <c r="S136" s="121">
        <v>0</v>
      </c>
      <c r="T136" s="121">
        <v>0</v>
      </c>
      <c r="Z136"/>
      <c r="AC136"/>
      <c r="AH136"/>
      <c r="AL136" s="72"/>
    </row>
    <row r="137" spans="2:38" ht="12.9" customHeight="1">
      <c r="B137" s="75">
        <v>8311</v>
      </c>
      <c r="C137" s="75">
        <v>8311</v>
      </c>
      <c r="D137" s="75" t="s">
        <v>635</v>
      </c>
      <c r="E137" s="75"/>
      <c r="F137" s="73" t="s">
        <v>104</v>
      </c>
      <c r="G137" s="73"/>
      <c r="H137" s="74"/>
      <c r="I137" s="121">
        <v>0</v>
      </c>
      <c r="J137" s="121">
        <v>0</v>
      </c>
      <c r="K137" s="121">
        <v>0</v>
      </c>
      <c r="L137" s="121">
        <v>0</v>
      </c>
      <c r="M137" s="121">
        <v>0</v>
      </c>
      <c r="N137" s="121">
        <v>0</v>
      </c>
      <c r="O137" s="121">
        <v>350</v>
      </c>
      <c r="P137" s="121">
        <v>0</v>
      </c>
      <c r="Q137" s="121">
        <v>0</v>
      </c>
      <c r="R137" s="121">
        <v>0</v>
      </c>
      <c r="S137" s="121">
        <v>0</v>
      </c>
      <c r="T137" s="121">
        <v>0</v>
      </c>
      <c r="Z137"/>
      <c r="AC137"/>
      <c r="AH137"/>
      <c r="AL137" s="72"/>
    </row>
    <row r="138" spans="2:38" ht="12.9" customHeight="1">
      <c r="B138" s="75">
        <v>8311</v>
      </c>
      <c r="C138" s="75">
        <v>8311</v>
      </c>
      <c r="D138" s="75" t="s">
        <v>636</v>
      </c>
      <c r="E138" s="75"/>
      <c r="F138" s="73" t="s">
        <v>105</v>
      </c>
      <c r="G138" s="73"/>
      <c r="H138" s="74"/>
      <c r="I138" s="121">
        <v>0</v>
      </c>
      <c r="J138" s="121">
        <v>0</v>
      </c>
      <c r="K138" s="121">
        <v>0</v>
      </c>
      <c r="L138" s="121">
        <v>0</v>
      </c>
      <c r="M138" s="121">
        <v>0</v>
      </c>
      <c r="N138" s="121">
        <v>0</v>
      </c>
      <c r="O138" s="121">
        <v>350</v>
      </c>
      <c r="P138" s="121">
        <v>0</v>
      </c>
      <c r="Q138" s="121">
        <v>0</v>
      </c>
      <c r="R138" s="121">
        <v>0</v>
      </c>
      <c r="S138" s="121">
        <v>0</v>
      </c>
      <c r="T138" s="121">
        <v>0</v>
      </c>
      <c r="Z138" s="91">
        <v>8411</v>
      </c>
      <c r="AB138" s="68" t="s">
        <v>37</v>
      </c>
      <c r="AC138" s="81">
        <v>44562</v>
      </c>
      <c r="AD138" s="81">
        <v>44742</v>
      </c>
    </row>
    <row r="139" spans="2:38" ht="12.9" customHeight="1">
      <c r="B139" s="75">
        <v>8311</v>
      </c>
      <c r="C139" s="75">
        <v>8311</v>
      </c>
      <c r="D139" s="75" t="s">
        <v>110</v>
      </c>
      <c r="E139" s="75"/>
      <c r="F139" s="73" t="s">
        <v>115</v>
      </c>
      <c r="G139" s="73"/>
      <c r="H139" s="74"/>
      <c r="I139" s="121">
        <v>44.576440000000005</v>
      </c>
      <c r="J139" s="121">
        <v>219.19192000000001</v>
      </c>
      <c r="K139" s="121">
        <v>0.59362000000000004</v>
      </c>
      <c r="L139" s="121">
        <v>0</v>
      </c>
      <c r="M139" s="121">
        <v>220.53767999999991</v>
      </c>
      <c r="N139" s="121">
        <v>30.433759999999999</v>
      </c>
      <c r="O139" s="121">
        <v>99.566239999999993</v>
      </c>
      <c r="P139" s="121">
        <v>50</v>
      </c>
      <c r="Q139" s="121">
        <v>0</v>
      </c>
      <c r="R139" s="121">
        <v>13.23</v>
      </c>
      <c r="S139" s="121">
        <v>0</v>
      </c>
      <c r="T139" s="121">
        <v>3</v>
      </c>
      <c r="Z139" s="91">
        <v>1611</v>
      </c>
      <c r="AB139" s="68" t="s">
        <v>53</v>
      </c>
      <c r="AC139" s="81">
        <v>44562</v>
      </c>
      <c r="AD139" s="81">
        <v>44865</v>
      </c>
    </row>
    <row r="140" spans="2:38" ht="12.9" customHeight="1">
      <c r="B140" s="75">
        <v>8311</v>
      </c>
      <c r="C140" s="75">
        <v>8311</v>
      </c>
      <c r="D140" s="75" t="s">
        <v>57</v>
      </c>
      <c r="E140" s="75"/>
      <c r="F140" s="73" t="s">
        <v>252</v>
      </c>
      <c r="G140" s="73"/>
      <c r="H140" s="74"/>
      <c r="I140" s="121">
        <v>0</v>
      </c>
      <c r="J140" s="121">
        <v>0</v>
      </c>
      <c r="K140" s="121">
        <v>0</v>
      </c>
      <c r="L140" s="121">
        <v>0</v>
      </c>
      <c r="M140" s="121">
        <v>0</v>
      </c>
      <c r="N140" s="121">
        <v>0</v>
      </c>
      <c r="O140" s="121">
        <v>0</v>
      </c>
      <c r="P140" s="121">
        <v>0</v>
      </c>
      <c r="Q140" s="121">
        <v>0</v>
      </c>
      <c r="R140" s="121">
        <v>0</v>
      </c>
      <c r="S140" s="121">
        <v>0</v>
      </c>
      <c r="T140" s="121">
        <v>0</v>
      </c>
      <c r="Z140" s="91">
        <v>1611</v>
      </c>
      <c r="AB140" s="68" t="s">
        <v>53</v>
      </c>
      <c r="AC140" s="81">
        <v>44562</v>
      </c>
      <c r="AD140" s="81">
        <v>44865</v>
      </c>
    </row>
    <row r="141" spans="2:38" ht="12.9" customHeight="1">
      <c r="B141" s="75">
        <v>8311</v>
      </c>
      <c r="C141" s="75">
        <v>8311</v>
      </c>
      <c r="D141" s="75" t="s">
        <v>57</v>
      </c>
      <c r="E141" s="75"/>
      <c r="F141" s="73" t="s">
        <v>253</v>
      </c>
      <c r="G141" s="73"/>
      <c r="H141" s="74"/>
      <c r="I141" s="121">
        <v>0</v>
      </c>
      <c r="J141" s="121">
        <v>0</v>
      </c>
      <c r="K141" s="121">
        <v>0</v>
      </c>
      <c r="L141" s="121">
        <v>0</v>
      </c>
      <c r="M141" s="121">
        <v>0</v>
      </c>
      <c r="N141" s="121">
        <v>0</v>
      </c>
      <c r="O141" s="121">
        <v>0</v>
      </c>
      <c r="P141" s="121">
        <v>0</v>
      </c>
      <c r="Q141" s="121">
        <v>0</v>
      </c>
      <c r="R141" s="121">
        <v>64.8</v>
      </c>
      <c r="S141" s="121">
        <v>0</v>
      </c>
      <c r="T141" s="121">
        <v>0</v>
      </c>
      <c r="Z141"/>
      <c r="AC141"/>
      <c r="AH141"/>
      <c r="AL141" s="72"/>
    </row>
    <row r="142" spans="2:38" ht="12.9" customHeight="1">
      <c r="B142" s="75">
        <v>8311</v>
      </c>
      <c r="C142" s="75">
        <v>8311</v>
      </c>
      <c r="D142" s="75" t="s">
        <v>608</v>
      </c>
      <c r="E142" s="75"/>
      <c r="F142" s="73" t="s">
        <v>254</v>
      </c>
      <c r="G142" s="73"/>
      <c r="H142" s="74"/>
      <c r="I142" s="121">
        <v>0</v>
      </c>
      <c r="J142" s="121">
        <v>0</v>
      </c>
      <c r="K142" s="121">
        <v>0</v>
      </c>
      <c r="L142" s="121">
        <v>0</v>
      </c>
      <c r="M142" s="121">
        <v>0</v>
      </c>
      <c r="N142" s="121">
        <v>0</v>
      </c>
      <c r="O142" s="121">
        <v>0</v>
      </c>
      <c r="P142" s="121">
        <v>0</v>
      </c>
      <c r="Q142" s="121">
        <v>0</v>
      </c>
      <c r="R142" s="121">
        <v>70</v>
      </c>
      <c r="S142" s="121">
        <v>0</v>
      </c>
      <c r="T142" s="121">
        <v>0</v>
      </c>
      <c r="Z142"/>
      <c r="AC142"/>
      <c r="AH142"/>
      <c r="AL142" s="72"/>
    </row>
    <row r="143" spans="2:38" ht="12.9" customHeight="1">
      <c r="B143" s="75">
        <v>8311</v>
      </c>
      <c r="C143" s="75">
        <v>8311</v>
      </c>
      <c r="D143" s="75" t="s">
        <v>57</v>
      </c>
      <c r="E143" s="75"/>
      <c r="F143" s="73" t="s">
        <v>255</v>
      </c>
      <c r="G143" s="73"/>
      <c r="H143" s="74"/>
      <c r="I143" s="121">
        <v>0</v>
      </c>
      <c r="J143" s="121">
        <v>0</v>
      </c>
      <c r="K143" s="121">
        <v>0</v>
      </c>
      <c r="L143" s="121">
        <v>0</v>
      </c>
      <c r="M143" s="121">
        <v>0</v>
      </c>
      <c r="N143" s="121">
        <v>0</v>
      </c>
      <c r="O143" s="121">
        <v>0</v>
      </c>
      <c r="P143" s="121">
        <v>0</v>
      </c>
      <c r="Q143" s="121">
        <v>0</v>
      </c>
      <c r="R143" s="121">
        <v>0</v>
      </c>
      <c r="S143" s="121">
        <v>0</v>
      </c>
      <c r="T143" s="121">
        <v>25</v>
      </c>
      <c r="Z143"/>
      <c r="AC143"/>
      <c r="AH143"/>
      <c r="AL143" s="72"/>
    </row>
    <row r="144" spans="2:38" ht="12.9" customHeight="1">
      <c r="B144" s="75">
        <v>8311</v>
      </c>
      <c r="C144" s="75">
        <v>8311</v>
      </c>
      <c r="D144" s="75" t="s">
        <v>112</v>
      </c>
      <c r="E144" s="139"/>
      <c r="F144" s="117" t="s">
        <v>98</v>
      </c>
      <c r="G144" s="73"/>
      <c r="H144" s="74"/>
      <c r="I144" s="121">
        <v>19.539580000000001</v>
      </c>
      <c r="J144" s="121">
        <v>0</v>
      </c>
      <c r="K144" s="121">
        <v>0</v>
      </c>
      <c r="L144" s="121">
        <v>0</v>
      </c>
      <c r="M144" s="121">
        <v>81.383570000000006</v>
      </c>
      <c r="N144" s="121">
        <v>0.79447999999999996</v>
      </c>
      <c r="O144" s="121">
        <v>0</v>
      </c>
      <c r="P144" s="121">
        <v>42.216315999999999</v>
      </c>
      <c r="Q144" s="121">
        <v>0</v>
      </c>
      <c r="R144" s="121">
        <v>0</v>
      </c>
      <c r="S144" s="121">
        <v>0</v>
      </c>
      <c r="T144" s="121">
        <v>63.648111999999998</v>
      </c>
      <c r="Z144"/>
      <c r="AC144"/>
      <c r="AH144"/>
      <c r="AL144" s="72"/>
    </row>
    <row r="145" spans="2:38" ht="12.9" customHeight="1">
      <c r="B145" s="75">
        <v>8311</v>
      </c>
      <c r="C145" s="75">
        <v>8311</v>
      </c>
      <c r="D145" s="75" t="s">
        <v>57</v>
      </c>
      <c r="E145" s="75"/>
      <c r="F145" s="73" t="s">
        <v>256</v>
      </c>
      <c r="G145" s="73"/>
      <c r="H145" s="74"/>
      <c r="I145" s="121">
        <v>0</v>
      </c>
      <c r="J145" s="121">
        <v>0</v>
      </c>
      <c r="K145" s="121">
        <v>0</v>
      </c>
      <c r="L145" s="121">
        <v>0</v>
      </c>
      <c r="M145" s="121">
        <v>0</v>
      </c>
      <c r="N145" s="121">
        <v>0</v>
      </c>
      <c r="O145" s="121">
        <v>0</v>
      </c>
      <c r="P145" s="121">
        <v>0</v>
      </c>
      <c r="Q145" s="121">
        <v>0</v>
      </c>
      <c r="R145" s="121">
        <v>0</v>
      </c>
      <c r="S145" s="121">
        <v>0</v>
      </c>
      <c r="T145" s="121">
        <v>140</v>
      </c>
      <c r="Z145"/>
      <c r="AC145"/>
      <c r="AH145"/>
      <c r="AL145" s="72"/>
    </row>
    <row r="146" spans="2:38" ht="12.9" customHeight="1">
      <c r="B146" s="75">
        <v>8311</v>
      </c>
      <c r="C146" s="75">
        <v>8311</v>
      </c>
      <c r="D146" s="75" t="s">
        <v>57</v>
      </c>
      <c r="E146" s="75"/>
      <c r="F146" s="73" t="s">
        <v>257</v>
      </c>
      <c r="G146" s="73"/>
      <c r="H146" s="74"/>
      <c r="I146" s="121">
        <v>0</v>
      </c>
      <c r="J146" s="121">
        <v>0</v>
      </c>
      <c r="K146" s="121">
        <v>0</v>
      </c>
      <c r="L146" s="121">
        <v>0</v>
      </c>
      <c r="M146" s="121">
        <v>0</v>
      </c>
      <c r="N146" s="121">
        <v>0</v>
      </c>
      <c r="O146" s="121">
        <v>0</v>
      </c>
      <c r="P146" s="121">
        <v>0</v>
      </c>
      <c r="Q146" s="121">
        <v>15.75</v>
      </c>
      <c r="R146" s="121">
        <v>0</v>
      </c>
      <c r="S146" s="121">
        <v>0</v>
      </c>
      <c r="T146" s="121">
        <v>0</v>
      </c>
      <c r="Z146"/>
      <c r="AC146"/>
      <c r="AH146"/>
      <c r="AL146" s="72"/>
    </row>
    <row r="147" spans="2:38" ht="12.9" customHeight="1">
      <c r="B147" s="75">
        <v>8311</v>
      </c>
      <c r="C147" s="75">
        <v>8311</v>
      </c>
      <c r="D147" s="75" t="s">
        <v>57</v>
      </c>
      <c r="E147" s="73"/>
      <c r="F147" s="73" t="s">
        <v>258</v>
      </c>
      <c r="G147" s="73"/>
      <c r="H147" s="74"/>
      <c r="I147" s="121">
        <v>0</v>
      </c>
      <c r="J147" s="121">
        <v>0</v>
      </c>
      <c r="K147" s="121">
        <v>0</v>
      </c>
      <c r="L147" s="121">
        <v>0</v>
      </c>
      <c r="M147" s="121">
        <v>0</v>
      </c>
      <c r="N147" s="121">
        <v>0</v>
      </c>
      <c r="O147" s="121">
        <v>0</v>
      </c>
      <c r="P147" s="121">
        <v>0</v>
      </c>
      <c r="Q147" s="121">
        <v>21.6</v>
      </c>
      <c r="R147" s="121">
        <v>0</v>
      </c>
      <c r="S147" s="121">
        <v>0</v>
      </c>
      <c r="T147" s="121">
        <v>0</v>
      </c>
      <c r="Z147"/>
      <c r="AC147"/>
      <c r="AH147"/>
      <c r="AL147" s="72"/>
    </row>
    <row r="148" spans="2:38" ht="12.9" customHeight="1">
      <c r="B148" s="75">
        <v>8311</v>
      </c>
      <c r="C148" s="75">
        <v>8311</v>
      </c>
      <c r="D148" s="75" t="s">
        <v>57</v>
      </c>
      <c r="E148" s="75"/>
      <c r="F148" s="73" t="s">
        <v>259</v>
      </c>
      <c r="G148" s="73"/>
      <c r="H148" s="74"/>
      <c r="I148" s="121">
        <v>0</v>
      </c>
      <c r="J148" s="121">
        <v>0</v>
      </c>
      <c r="K148" s="121">
        <v>0</v>
      </c>
      <c r="L148" s="121">
        <v>0</v>
      </c>
      <c r="M148" s="121">
        <v>0</v>
      </c>
      <c r="N148" s="121">
        <v>0</v>
      </c>
      <c r="O148" s="121">
        <v>0</v>
      </c>
      <c r="P148" s="121">
        <v>0</v>
      </c>
      <c r="Q148" s="121">
        <v>0</v>
      </c>
      <c r="R148" s="121">
        <v>0</v>
      </c>
      <c r="S148" s="121">
        <v>0</v>
      </c>
      <c r="T148" s="121">
        <v>0</v>
      </c>
      <c r="Z148"/>
      <c r="AC148"/>
      <c r="AH148"/>
      <c r="AL148" s="72"/>
    </row>
    <row r="149" spans="2:38" ht="12.9" customHeight="1">
      <c r="B149" s="75">
        <v>8311</v>
      </c>
      <c r="C149" s="75">
        <v>8311</v>
      </c>
      <c r="D149" s="75" t="s">
        <v>57</v>
      </c>
      <c r="E149" s="73"/>
      <c r="F149" s="73" t="s">
        <v>260</v>
      </c>
      <c r="G149" s="73"/>
      <c r="H149" s="74"/>
      <c r="I149" s="121">
        <v>0</v>
      </c>
      <c r="J149" s="121">
        <v>0</v>
      </c>
      <c r="K149" s="121">
        <v>0</v>
      </c>
      <c r="L149" s="121">
        <v>0</v>
      </c>
      <c r="M149" s="121">
        <v>0</v>
      </c>
      <c r="N149" s="121">
        <v>0</v>
      </c>
      <c r="O149" s="121">
        <v>0</v>
      </c>
      <c r="P149" s="121">
        <v>0</v>
      </c>
      <c r="Q149" s="121">
        <v>0</v>
      </c>
      <c r="R149" s="121">
        <v>40</v>
      </c>
      <c r="S149" s="121">
        <v>0</v>
      </c>
      <c r="T149" s="121">
        <v>0</v>
      </c>
      <c r="Z149"/>
      <c r="AC149"/>
      <c r="AH149"/>
      <c r="AL149" s="72"/>
    </row>
    <row r="150" spans="2:38" ht="12.9" customHeight="1">
      <c r="B150" s="75">
        <v>8311</v>
      </c>
      <c r="C150" s="75">
        <v>8311</v>
      </c>
      <c r="D150" s="75" t="s">
        <v>533</v>
      </c>
      <c r="E150" s="139"/>
      <c r="F150" s="117" t="s">
        <v>261</v>
      </c>
      <c r="G150" s="73"/>
      <c r="H150" s="74"/>
      <c r="I150" s="121">
        <v>0</v>
      </c>
      <c r="J150" s="121">
        <v>0</v>
      </c>
      <c r="K150" s="121">
        <v>0</v>
      </c>
      <c r="L150" s="121">
        <v>0</v>
      </c>
      <c r="M150" s="121">
        <v>22.851240000000001</v>
      </c>
      <c r="N150" s="121">
        <v>22.25346</v>
      </c>
      <c r="O150" s="121">
        <v>14.895300000000002</v>
      </c>
      <c r="P150" s="121">
        <v>0</v>
      </c>
      <c r="Q150" s="121">
        <v>0</v>
      </c>
      <c r="R150" s="121">
        <v>0</v>
      </c>
      <c r="S150" s="121">
        <v>0</v>
      </c>
      <c r="T150" s="121">
        <v>0</v>
      </c>
      <c r="Z150"/>
      <c r="AC150"/>
      <c r="AH150"/>
      <c r="AL150" s="72"/>
    </row>
    <row r="151" spans="2:38" ht="12.9" customHeight="1">
      <c r="B151" s="75">
        <v>8311</v>
      </c>
      <c r="C151" s="75">
        <v>8311</v>
      </c>
      <c r="D151" s="75" t="s">
        <v>57</v>
      </c>
      <c r="E151" s="75"/>
      <c r="F151" s="117" t="s">
        <v>262</v>
      </c>
      <c r="G151" s="73"/>
      <c r="H151" s="74"/>
      <c r="I151" s="121">
        <v>0</v>
      </c>
      <c r="J151" s="121">
        <v>0</v>
      </c>
      <c r="K151" s="121">
        <v>0</v>
      </c>
      <c r="L151" s="121">
        <v>0</v>
      </c>
      <c r="M151" s="121">
        <v>0</v>
      </c>
      <c r="N151" s="121">
        <v>0</v>
      </c>
      <c r="O151" s="121">
        <v>0</v>
      </c>
      <c r="P151" s="121">
        <v>0</v>
      </c>
      <c r="Q151" s="121">
        <v>0</v>
      </c>
      <c r="R151" s="121">
        <v>0</v>
      </c>
      <c r="S151" s="121">
        <v>95</v>
      </c>
      <c r="T151" s="121">
        <v>0</v>
      </c>
      <c r="Z151"/>
      <c r="AC151"/>
      <c r="AH151"/>
      <c r="AL151" s="72"/>
    </row>
    <row r="152" spans="2:38" ht="12.9" customHeight="1">
      <c r="B152" s="75">
        <v>8311</v>
      </c>
      <c r="C152" s="75">
        <v>8311</v>
      </c>
      <c r="D152" s="75" t="s">
        <v>57</v>
      </c>
      <c r="E152" s="75"/>
      <c r="F152" s="73" t="s">
        <v>263</v>
      </c>
      <c r="G152" s="73"/>
      <c r="H152" s="74"/>
      <c r="I152" s="121">
        <v>0</v>
      </c>
      <c r="J152" s="121">
        <v>0</v>
      </c>
      <c r="K152" s="121">
        <v>0</v>
      </c>
      <c r="L152" s="121">
        <v>0</v>
      </c>
      <c r="M152" s="121">
        <v>0</v>
      </c>
      <c r="N152" s="121">
        <v>0</v>
      </c>
      <c r="O152" s="121">
        <v>0</v>
      </c>
      <c r="P152" s="121">
        <v>0</v>
      </c>
      <c r="Q152" s="121">
        <v>0</v>
      </c>
      <c r="R152" s="121">
        <v>20</v>
      </c>
      <c r="S152" s="121">
        <v>0</v>
      </c>
      <c r="T152" s="121">
        <v>0</v>
      </c>
      <c r="Z152"/>
      <c r="AC152"/>
      <c r="AH152"/>
      <c r="AL152" s="72"/>
    </row>
    <row r="153" spans="2:38" ht="12.9" customHeight="1">
      <c r="B153" s="75">
        <v>8311</v>
      </c>
      <c r="C153" s="75">
        <v>8311</v>
      </c>
      <c r="D153" s="75" t="s">
        <v>57</v>
      </c>
      <c r="E153" s="75"/>
      <c r="F153" s="73" t="s">
        <v>264</v>
      </c>
      <c r="G153" s="73"/>
      <c r="H153" s="74"/>
      <c r="I153" s="121">
        <v>0</v>
      </c>
      <c r="J153" s="121">
        <v>0</v>
      </c>
      <c r="K153" s="121">
        <v>0</v>
      </c>
      <c r="L153" s="121">
        <v>0</v>
      </c>
      <c r="M153" s="121">
        <v>0</v>
      </c>
      <c r="N153" s="121">
        <v>0</v>
      </c>
      <c r="O153" s="121">
        <v>0</v>
      </c>
      <c r="P153" s="121">
        <v>0</v>
      </c>
      <c r="Q153" s="121">
        <v>0</v>
      </c>
      <c r="R153" s="121">
        <v>0</v>
      </c>
      <c r="S153" s="121">
        <v>0</v>
      </c>
      <c r="T153" s="121">
        <v>165</v>
      </c>
      <c r="Z153"/>
      <c r="AC153"/>
      <c r="AH153"/>
      <c r="AL153" s="72"/>
    </row>
    <row r="154" spans="2:38" ht="12.9" customHeight="1">
      <c r="B154" s="75">
        <v>8311</v>
      </c>
      <c r="C154" s="75">
        <v>8311</v>
      </c>
      <c r="D154" s="75" t="s">
        <v>57</v>
      </c>
      <c r="E154" s="75"/>
      <c r="F154" s="73" t="s">
        <v>265</v>
      </c>
      <c r="G154" s="73"/>
      <c r="H154" s="74"/>
      <c r="I154" s="121">
        <v>0</v>
      </c>
      <c r="J154" s="121">
        <v>0</v>
      </c>
      <c r="K154" s="121">
        <v>0</v>
      </c>
      <c r="L154" s="121">
        <v>0</v>
      </c>
      <c r="M154" s="121">
        <v>0</v>
      </c>
      <c r="N154" s="121">
        <v>0</v>
      </c>
      <c r="O154" s="121">
        <v>0</v>
      </c>
      <c r="P154" s="121">
        <v>0</v>
      </c>
      <c r="Q154" s="121">
        <v>0</v>
      </c>
      <c r="R154" s="121">
        <v>0</v>
      </c>
      <c r="S154" s="121">
        <v>0</v>
      </c>
      <c r="T154" s="121">
        <v>0</v>
      </c>
      <c r="Z154"/>
      <c r="AC154"/>
      <c r="AH154"/>
      <c r="AL154" s="72"/>
    </row>
    <row r="155" spans="2:38" ht="12.9" customHeight="1">
      <c r="B155" s="75">
        <v>8311</v>
      </c>
      <c r="C155" s="75">
        <v>8311</v>
      </c>
      <c r="D155" s="75" t="s">
        <v>489</v>
      </c>
      <c r="E155" s="73"/>
      <c r="F155" s="73" t="s">
        <v>266</v>
      </c>
      <c r="G155" s="73"/>
      <c r="H155" s="74"/>
      <c r="I155" s="121">
        <v>0</v>
      </c>
      <c r="J155" s="121">
        <v>0</v>
      </c>
      <c r="K155" s="121">
        <v>0</v>
      </c>
      <c r="L155" s="121">
        <v>26.577209999999969</v>
      </c>
      <c r="M155" s="121">
        <v>10.450779999999998</v>
      </c>
      <c r="N155" s="121">
        <v>0</v>
      </c>
      <c r="O155" s="121">
        <v>0</v>
      </c>
      <c r="P155" s="121">
        <v>0</v>
      </c>
      <c r="Q155" s="121">
        <v>0</v>
      </c>
      <c r="R155" s="121">
        <v>0</v>
      </c>
      <c r="S155" s="121">
        <v>0</v>
      </c>
      <c r="T155" s="121">
        <v>0</v>
      </c>
      <c r="Z155"/>
      <c r="AC155"/>
      <c r="AH155"/>
      <c r="AL155" s="72"/>
    </row>
    <row r="156" spans="2:38" ht="12.9" customHeight="1">
      <c r="B156" s="75">
        <v>8311</v>
      </c>
      <c r="C156" s="75">
        <v>8311</v>
      </c>
      <c r="D156" s="75" t="s">
        <v>57</v>
      </c>
      <c r="E156" s="73"/>
      <c r="F156" s="73" t="s">
        <v>267</v>
      </c>
      <c r="G156" s="73"/>
      <c r="H156" s="74"/>
      <c r="I156" s="121">
        <v>0</v>
      </c>
      <c r="J156" s="121">
        <v>0</v>
      </c>
      <c r="K156" s="121">
        <v>0</v>
      </c>
      <c r="L156" s="121">
        <v>0</v>
      </c>
      <c r="M156" s="121">
        <v>0</v>
      </c>
      <c r="N156" s="121">
        <v>0</v>
      </c>
      <c r="O156" s="121">
        <v>0</v>
      </c>
      <c r="P156" s="121">
        <v>0</v>
      </c>
      <c r="Q156" s="121">
        <v>0</v>
      </c>
      <c r="R156" s="121">
        <v>0</v>
      </c>
      <c r="S156" s="121">
        <v>60</v>
      </c>
      <c r="T156" s="121">
        <v>0</v>
      </c>
      <c r="Z156"/>
      <c r="AC156"/>
      <c r="AH156"/>
      <c r="AL156" s="72"/>
    </row>
    <row r="157" spans="2:38" ht="12.9" customHeight="1">
      <c r="B157" s="75">
        <v>8311</v>
      </c>
      <c r="C157" s="75">
        <v>8311</v>
      </c>
      <c r="D157" s="75" t="s">
        <v>57</v>
      </c>
      <c r="E157" s="75"/>
      <c r="F157" s="73" t="s">
        <v>268</v>
      </c>
      <c r="G157" s="73"/>
      <c r="H157" s="74"/>
      <c r="I157" s="121">
        <v>0</v>
      </c>
      <c r="J157" s="121">
        <v>0</v>
      </c>
      <c r="K157" s="121">
        <v>0</v>
      </c>
      <c r="L157" s="121">
        <v>0</v>
      </c>
      <c r="M157" s="121">
        <v>0</v>
      </c>
      <c r="N157" s="121">
        <v>0</v>
      </c>
      <c r="O157" s="121">
        <v>0</v>
      </c>
      <c r="P157" s="121">
        <v>0</v>
      </c>
      <c r="Q157" s="121">
        <v>0</v>
      </c>
      <c r="R157" s="121">
        <v>36</v>
      </c>
      <c r="S157" s="121">
        <v>0</v>
      </c>
      <c r="T157" s="121">
        <v>0</v>
      </c>
      <c r="Z157"/>
      <c r="AC157"/>
      <c r="AH157"/>
      <c r="AL157" s="72"/>
    </row>
    <row r="158" spans="2:38" ht="12.9" customHeight="1">
      <c r="B158" s="75">
        <v>8311</v>
      </c>
      <c r="C158" s="75">
        <v>8311</v>
      </c>
      <c r="D158" s="75" t="s">
        <v>57</v>
      </c>
      <c r="E158" s="75"/>
      <c r="F158" s="73" t="s">
        <v>269</v>
      </c>
      <c r="G158" s="73"/>
      <c r="H158" s="74"/>
      <c r="I158" s="121">
        <v>0</v>
      </c>
      <c r="J158" s="121">
        <v>0</v>
      </c>
      <c r="K158" s="121">
        <v>0</v>
      </c>
      <c r="L158" s="121">
        <v>0</v>
      </c>
      <c r="M158" s="121">
        <v>0</v>
      </c>
      <c r="N158" s="121">
        <v>0</v>
      </c>
      <c r="O158" s="121">
        <v>0</v>
      </c>
      <c r="P158" s="121">
        <v>0</v>
      </c>
      <c r="Q158" s="121">
        <v>0</v>
      </c>
      <c r="R158" s="121">
        <v>0</v>
      </c>
      <c r="S158" s="121">
        <v>0</v>
      </c>
      <c r="T158" s="121">
        <v>792.44812000000002</v>
      </c>
      <c r="Z158"/>
      <c r="AC158"/>
      <c r="AH158"/>
      <c r="AL158" s="72"/>
    </row>
    <row r="159" spans="2:38" ht="12.9" customHeight="1">
      <c r="B159" s="75">
        <v>8311</v>
      </c>
      <c r="C159" s="75">
        <v>8311</v>
      </c>
      <c r="D159" s="75" t="s">
        <v>106</v>
      </c>
      <c r="E159" s="75"/>
      <c r="F159" s="73" t="s">
        <v>407</v>
      </c>
      <c r="G159" s="73"/>
      <c r="H159" s="74"/>
      <c r="I159" s="121">
        <v>0.14149</v>
      </c>
      <c r="J159" s="121">
        <v>0</v>
      </c>
      <c r="K159" s="121">
        <v>0</v>
      </c>
      <c r="L159" s="121">
        <v>0</v>
      </c>
      <c r="M159" s="121">
        <v>0</v>
      </c>
      <c r="N159" s="121">
        <v>0</v>
      </c>
      <c r="O159" s="121">
        <v>0</v>
      </c>
      <c r="P159" s="121">
        <v>0</v>
      </c>
      <c r="Q159" s="121">
        <v>0</v>
      </c>
      <c r="R159" s="121">
        <v>0</v>
      </c>
      <c r="S159" s="121">
        <v>0</v>
      </c>
      <c r="T159" s="121">
        <v>0</v>
      </c>
      <c r="Z159"/>
      <c r="AC159"/>
      <c r="AH159"/>
      <c r="AL159" s="72"/>
    </row>
    <row r="160" spans="2:38" ht="12.9" customHeight="1">
      <c r="B160" s="75">
        <v>8311</v>
      </c>
      <c r="C160" s="75">
        <v>8311</v>
      </c>
      <c r="D160" s="75" t="s">
        <v>350</v>
      </c>
      <c r="E160" s="75"/>
      <c r="F160" s="73" t="s">
        <v>400</v>
      </c>
      <c r="G160" s="73"/>
      <c r="H160" s="74"/>
      <c r="I160" s="121">
        <v>0</v>
      </c>
      <c r="J160" s="121">
        <v>10.331380000000001</v>
      </c>
      <c r="K160" s="121">
        <v>0</v>
      </c>
      <c r="L160" s="121">
        <v>0</v>
      </c>
      <c r="M160" s="121">
        <v>0</v>
      </c>
      <c r="N160" s="121">
        <v>0</v>
      </c>
      <c r="O160" s="121">
        <v>0</v>
      </c>
      <c r="P160" s="121">
        <v>0</v>
      </c>
      <c r="Q160" s="121">
        <v>0</v>
      </c>
      <c r="R160" s="121">
        <v>0</v>
      </c>
      <c r="S160" s="121">
        <v>0</v>
      </c>
      <c r="T160" s="121">
        <v>0</v>
      </c>
      <c r="Z160"/>
      <c r="AC160"/>
      <c r="AH160"/>
      <c r="AL160" s="72"/>
    </row>
    <row r="161" spans="2:38" ht="12.9" customHeight="1">
      <c r="B161" s="75">
        <v>8311</v>
      </c>
      <c r="C161" s="75">
        <v>8311</v>
      </c>
      <c r="D161" s="75" t="s">
        <v>487</v>
      </c>
      <c r="E161" s="75"/>
      <c r="F161" s="73" t="s">
        <v>490</v>
      </c>
      <c r="G161" s="73"/>
      <c r="H161" s="74"/>
      <c r="I161" s="121">
        <v>0</v>
      </c>
      <c r="J161" s="121">
        <v>0</v>
      </c>
      <c r="K161" s="121">
        <v>0</v>
      </c>
      <c r="L161" s="121">
        <v>11.17553</v>
      </c>
      <c r="M161" s="121">
        <v>0</v>
      </c>
      <c r="N161" s="121">
        <v>0</v>
      </c>
      <c r="O161" s="121">
        <v>0</v>
      </c>
      <c r="P161" s="121">
        <v>0</v>
      </c>
      <c r="Q161" s="121">
        <v>0</v>
      </c>
      <c r="R161" s="121">
        <v>0</v>
      </c>
      <c r="S161" s="121">
        <v>0</v>
      </c>
      <c r="T161" s="121">
        <v>0</v>
      </c>
      <c r="Z161"/>
      <c r="AC161"/>
      <c r="AH161"/>
      <c r="AL161" s="72"/>
    </row>
    <row r="162" spans="2:38" ht="12.9" customHeight="1">
      <c r="B162" s="75">
        <v>8311</v>
      </c>
      <c r="C162" s="75">
        <v>8311</v>
      </c>
      <c r="D162" s="72" t="s">
        <v>57</v>
      </c>
      <c r="E162" s="75"/>
      <c r="F162" s="73" t="s">
        <v>722</v>
      </c>
      <c r="G162" s="73"/>
      <c r="H162" s="74"/>
      <c r="I162" s="121">
        <v>0</v>
      </c>
      <c r="J162" s="121">
        <v>0</v>
      </c>
      <c r="K162" s="121">
        <v>0</v>
      </c>
      <c r="L162" s="121">
        <v>0</v>
      </c>
      <c r="M162" s="121">
        <v>0</v>
      </c>
      <c r="N162" s="121">
        <v>0</v>
      </c>
      <c r="O162" s="121">
        <v>0</v>
      </c>
      <c r="P162" s="121">
        <v>0</v>
      </c>
      <c r="Q162" s="121">
        <v>0</v>
      </c>
      <c r="R162" s="121">
        <v>450</v>
      </c>
      <c r="S162" s="121">
        <v>0</v>
      </c>
      <c r="T162" s="121">
        <v>0</v>
      </c>
      <c r="Z162"/>
      <c r="AC162"/>
      <c r="AH162"/>
      <c r="AL162" s="72"/>
    </row>
    <row r="163" spans="2:38" ht="12.9" customHeight="1">
      <c r="B163" s="75">
        <v>8311</v>
      </c>
      <c r="C163" s="75">
        <v>8311</v>
      </c>
      <c r="D163" s="75" t="s">
        <v>57</v>
      </c>
      <c r="E163" s="75"/>
      <c r="F163" s="73" t="s">
        <v>723</v>
      </c>
      <c r="G163" s="73"/>
      <c r="H163" s="74"/>
      <c r="I163" s="121">
        <v>0</v>
      </c>
      <c r="J163" s="121">
        <v>0</v>
      </c>
      <c r="K163" s="121">
        <v>0</v>
      </c>
      <c r="L163" s="121">
        <v>0</v>
      </c>
      <c r="M163" s="121">
        <v>0</v>
      </c>
      <c r="N163" s="121">
        <v>0</v>
      </c>
      <c r="O163" s="121">
        <v>0</v>
      </c>
      <c r="P163" s="121">
        <v>0</v>
      </c>
      <c r="Q163" s="121">
        <v>0</v>
      </c>
      <c r="R163" s="121">
        <v>0</v>
      </c>
      <c r="S163" s="121">
        <v>130</v>
      </c>
      <c r="T163" s="121">
        <v>0</v>
      </c>
      <c r="Z163"/>
      <c r="AC163"/>
      <c r="AH163"/>
      <c r="AL163" s="72"/>
    </row>
    <row r="164" spans="2:38" ht="12.75" customHeight="1">
      <c r="B164" s="75">
        <v>8311</v>
      </c>
      <c r="C164" s="75">
        <v>8311</v>
      </c>
      <c r="D164" s="75" t="s">
        <v>57</v>
      </c>
      <c r="E164" s="75"/>
      <c r="F164" s="73" t="s">
        <v>724</v>
      </c>
      <c r="G164" s="73"/>
      <c r="H164" s="74"/>
      <c r="I164" s="121">
        <v>0</v>
      </c>
      <c r="J164" s="121">
        <v>0</v>
      </c>
      <c r="K164" s="121">
        <v>0</v>
      </c>
      <c r="L164" s="121">
        <v>0</v>
      </c>
      <c r="M164" s="121">
        <v>0</v>
      </c>
      <c r="N164" s="121">
        <v>0</v>
      </c>
      <c r="O164" s="121">
        <v>0</v>
      </c>
      <c r="P164" s="121">
        <v>0</v>
      </c>
      <c r="Q164" s="121">
        <v>0</v>
      </c>
      <c r="R164" s="121">
        <v>0</v>
      </c>
      <c r="S164" s="121">
        <v>30</v>
      </c>
      <c r="T164" s="121">
        <v>0</v>
      </c>
      <c r="Z164"/>
      <c r="AC164"/>
      <c r="AH164"/>
      <c r="AL164" s="72"/>
    </row>
    <row r="165" spans="2:38" ht="12.75" customHeight="1">
      <c r="B165" s="75">
        <v>8311</v>
      </c>
      <c r="C165" s="75">
        <v>8311</v>
      </c>
      <c r="D165" s="75" t="s">
        <v>57</v>
      </c>
      <c r="E165" s="75"/>
      <c r="F165" s="73" t="s">
        <v>725</v>
      </c>
      <c r="G165" s="73"/>
      <c r="H165" s="74"/>
      <c r="I165" s="121">
        <v>0</v>
      </c>
      <c r="J165" s="121">
        <v>0</v>
      </c>
      <c r="K165" s="121">
        <v>0</v>
      </c>
      <c r="L165" s="121">
        <v>0</v>
      </c>
      <c r="M165" s="121">
        <v>0</v>
      </c>
      <c r="N165" s="121">
        <v>0</v>
      </c>
      <c r="O165" s="121">
        <v>0</v>
      </c>
      <c r="P165" s="121">
        <v>0</v>
      </c>
      <c r="Q165" s="121">
        <v>0</v>
      </c>
      <c r="R165" s="121">
        <v>0</v>
      </c>
      <c r="S165" s="121">
        <v>15</v>
      </c>
      <c r="T165" s="121">
        <v>0</v>
      </c>
      <c r="Z165"/>
      <c r="AC165"/>
      <c r="AH165"/>
      <c r="AL165" s="72"/>
    </row>
    <row r="166" spans="2:38" ht="12.75" customHeight="1">
      <c r="B166" s="75">
        <v>8411</v>
      </c>
      <c r="C166" s="75">
        <v>8411</v>
      </c>
      <c r="D166" s="75" t="s">
        <v>530</v>
      </c>
      <c r="E166" s="75"/>
      <c r="F166" s="73" t="s">
        <v>270</v>
      </c>
      <c r="G166" s="73"/>
      <c r="H166" s="74"/>
      <c r="I166" s="121">
        <v>0</v>
      </c>
      <c r="J166" s="121">
        <v>0</v>
      </c>
      <c r="K166" s="121">
        <v>0</v>
      </c>
      <c r="L166" s="121">
        <v>0</v>
      </c>
      <c r="M166" s="121">
        <v>4.4338100000000003</v>
      </c>
      <c r="N166" s="121">
        <v>0</v>
      </c>
      <c r="O166" s="121">
        <v>0.7161900000000001</v>
      </c>
      <c r="P166" s="121">
        <v>0</v>
      </c>
      <c r="Q166" s="121">
        <v>0</v>
      </c>
      <c r="R166" s="121">
        <v>0</v>
      </c>
      <c r="S166" s="121">
        <v>0</v>
      </c>
      <c r="T166" s="121">
        <v>0</v>
      </c>
      <c r="Z166"/>
      <c r="AC166"/>
      <c r="AH166"/>
      <c r="AL166" s="72"/>
    </row>
    <row r="167" spans="2:38" ht="12.75" customHeight="1">
      <c r="B167" s="75">
        <v>8411</v>
      </c>
      <c r="C167" s="75">
        <v>8411</v>
      </c>
      <c r="D167" s="75" t="s">
        <v>642</v>
      </c>
      <c r="E167" s="75"/>
      <c r="F167" s="73" t="s">
        <v>271</v>
      </c>
      <c r="G167" s="73"/>
      <c r="H167" s="74"/>
      <c r="I167" s="121">
        <v>0</v>
      </c>
      <c r="J167" s="121">
        <v>0</v>
      </c>
      <c r="K167" s="121">
        <v>0</v>
      </c>
      <c r="L167" s="121">
        <v>0</v>
      </c>
      <c r="M167" s="121">
        <v>0</v>
      </c>
      <c r="N167" s="121">
        <v>0</v>
      </c>
      <c r="O167" s="121">
        <v>0</v>
      </c>
      <c r="P167" s="121">
        <v>0</v>
      </c>
      <c r="Q167" s="121">
        <v>0</v>
      </c>
      <c r="R167" s="121">
        <v>9.8000000000000007</v>
      </c>
      <c r="S167" s="121">
        <v>0</v>
      </c>
      <c r="T167" s="121">
        <v>0</v>
      </c>
      <c r="Z167"/>
      <c r="AC167"/>
      <c r="AH167"/>
      <c r="AL167" s="72"/>
    </row>
    <row r="168" spans="2:38" ht="12.9" customHeight="1">
      <c r="B168" s="75">
        <v>8411</v>
      </c>
      <c r="C168" s="75">
        <v>8411</v>
      </c>
      <c r="D168" s="75" t="s">
        <v>57</v>
      </c>
      <c r="E168" s="75"/>
      <c r="F168" s="73" t="s">
        <v>272</v>
      </c>
      <c r="G168" s="73"/>
      <c r="H168" s="74"/>
      <c r="I168" s="121">
        <v>0</v>
      </c>
      <c r="J168" s="121">
        <v>0</v>
      </c>
      <c r="K168" s="121">
        <v>0</v>
      </c>
      <c r="L168" s="121">
        <v>0</v>
      </c>
      <c r="M168" s="121">
        <v>0</v>
      </c>
      <c r="N168" s="121">
        <v>0</v>
      </c>
      <c r="O168" s="121">
        <v>0</v>
      </c>
      <c r="P168" s="121">
        <v>0</v>
      </c>
      <c r="Q168" s="121">
        <v>0</v>
      </c>
      <c r="R168" s="121">
        <v>0</v>
      </c>
      <c r="S168" s="121">
        <v>0</v>
      </c>
      <c r="T168" s="121">
        <v>0</v>
      </c>
      <c r="Z168"/>
      <c r="AC168"/>
      <c r="AH168"/>
      <c r="AL168" s="72"/>
    </row>
    <row r="169" spans="2:38" ht="12.9" customHeight="1">
      <c r="B169" s="75">
        <v>8411</v>
      </c>
      <c r="C169" s="75">
        <v>8411</v>
      </c>
      <c r="D169" s="75" t="s">
        <v>57</v>
      </c>
      <c r="E169" s="75"/>
      <c r="F169" s="73" t="s">
        <v>273</v>
      </c>
      <c r="G169" s="73"/>
      <c r="H169" s="74"/>
      <c r="I169" s="121">
        <v>0</v>
      </c>
      <c r="J169" s="121">
        <v>0</v>
      </c>
      <c r="K169" s="121">
        <v>0</v>
      </c>
      <c r="L169" s="121">
        <v>0</v>
      </c>
      <c r="M169" s="121">
        <v>0</v>
      </c>
      <c r="N169" s="121">
        <v>0</v>
      </c>
      <c r="O169" s="121">
        <v>0</v>
      </c>
      <c r="P169" s="121">
        <v>0</v>
      </c>
      <c r="Q169" s="121">
        <v>0</v>
      </c>
      <c r="R169" s="121">
        <v>0</v>
      </c>
      <c r="S169" s="121">
        <v>0</v>
      </c>
      <c r="T169" s="121">
        <v>10</v>
      </c>
      <c r="Z169"/>
      <c r="AC169"/>
      <c r="AH169"/>
      <c r="AL169" s="72"/>
    </row>
    <row r="170" spans="2:38" ht="12.75" customHeight="1">
      <c r="B170" s="75">
        <v>8411</v>
      </c>
      <c r="C170" s="75">
        <v>8411</v>
      </c>
      <c r="D170" s="75" t="s">
        <v>351</v>
      </c>
      <c r="E170" s="75"/>
      <c r="F170" s="73" t="s">
        <v>274</v>
      </c>
      <c r="G170" s="73"/>
      <c r="H170" s="74"/>
      <c r="I170" s="121">
        <v>0</v>
      </c>
      <c r="J170" s="121">
        <v>0.30657000000000001</v>
      </c>
      <c r="K170" s="121">
        <v>0</v>
      </c>
      <c r="L170" s="121">
        <v>11.349279999999997</v>
      </c>
      <c r="M170" s="121">
        <v>0</v>
      </c>
      <c r="N170" s="121">
        <v>0</v>
      </c>
      <c r="O170" s="121">
        <v>13.340720000000005</v>
      </c>
      <c r="P170" s="121">
        <v>0</v>
      </c>
      <c r="Q170" s="121">
        <v>0</v>
      </c>
      <c r="R170" s="121">
        <v>0</v>
      </c>
      <c r="S170" s="121">
        <v>0</v>
      </c>
      <c r="T170" s="121">
        <v>0</v>
      </c>
      <c r="Z170"/>
      <c r="AC170"/>
      <c r="AH170"/>
      <c r="AL170" s="72"/>
    </row>
    <row r="171" spans="2:38" ht="12.75" customHeight="1">
      <c r="B171" s="75">
        <v>8411</v>
      </c>
      <c r="C171" s="75">
        <v>8411</v>
      </c>
      <c r="D171" s="75" t="s">
        <v>57</v>
      </c>
      <c r="E171" s="75"/>
      <c r="F171" s="73" t="s">
        <v>275</v>
      </c>
      <c r="G171" s="73"/>
      <c r="H171" s="74"/>
      <c r="I171" s="121">
        <v>0</v>
      </c>
      <c r="J171" s="121">
        <v>0</v>
      </c>
      <c r="K171" s="121">
        <v>0</v>
      </c>
      <c r="L171" s="121">
        <v>0</v>
      </c>
      <c r="M171" s="121">
        <v>0</v>
      </c>
      <c r="N171" s="121">
        <v>0</v>
      </c>
      <c r="O171" s="121">
        <v>0</v>
      </c>
      <c r="P171" s="121">
        <v>12</v>
      </c>
      <c r="Q171" s="121">
        <v>0</v>
      </c>
      <c r="R171" s="121">
        <v>0</v>
      </c>
      <c r="S171" s="121">
        <v>0</v>
      </c>
      <c r="T171" s="121">
        <v>0</v>
      </c>
      <c r="Z171"/>
      <c r="AC171"/>
      <c r="AH171"/>
      <c r="AL171" s="72"/>
    </row>
    <row r="172" spans="2:38" ht="12.75" customHeight="1">
      <c r="B172" s="75">
        <v>8411</v>
      </c>
      <c r="C172" s="75">
        <v>8411</v>
      </c>
      <c r="D172" s="75" t="s">
        <v>57</v>
      </c>
      <c r="E172" s="75"/>
      <c r="F172" s="73" t="s">
        <v>276</v>
      </c>
      <c r="G172" s="73"/>
      <c r="H172" s="74"/>
      <c r="I172" s="121">
        <v>0</v>
      </c>
      <c r="J172" s="121">
        <v>0</v>
      </c>
      <c r="K172" s="121">
        <v>0</v>
      </c>
      <c r="L172" s="121">
        <v>0</v>
      </c>
      <c r="M172" s="121">
        <v>0</v>
      </c>
      <c r="N172" s="121">
        <v>0</v>
      </c>
      <c r="O172" s="121">
        <v>0</v>
      </c>
      <c r="P172" s="121">
        <v>0</v>
      </c>
      <c r="Q172" s="121">
        <v>0</v>
      </c>
      <c r="R172" s="121">
        <v>0</v>
      </c>
      <c r="S172" s="121">
        <v>0</v>
      </c>
      <c r="T172" s="121">
        <v>0</v>
      </c>
      <c r="Z172"/>
      <c r="AC172"/>
      <c r="AH172"/>
      <c r="AL172" s="72"/>
    </row>
    <row r="173" spans="2:38" ht="12.75" customHeight="1">
      <c r="B173" s="75">
        <v>8411</v>
      </c>
      <c r="C173" s="75">
        <v>8411</v>
      </c>
      <c r="D173" s="75" t="s">
        <v>57</v>
      </c>
      <c r="E173" s="75"/>
      <c r="F173" s="73" t="s">
        <v>277</v>
      </c>
      <c r="G173" s="73"/>
      <c r="H173" s="74"/>
      <c r="I173" s="121">
        <v>0</v>
      </c>
      <c r="J173" s="121">
        <v>0</v>
      </c>
      <c r="K173" s="121">
        <v>0</v>
      </c>
      <c r="L173" s="121">
        <v>0</v>
      </c>
      <c r="M173" s="121">
        <v>0</v>
      </c>
      <c r="N173" s="121">
        <v>0</v>
      </c>
      <c r="O173" s="121">
        <v>0</v>
      </c>
      <c r="P173" s="121">
        <v>0</v>
      </c>
      <c r="Q173" s="121">
        <v>0</v>
      </c>
      <c r="R173" s="121">
        <v>0</v>
      </c>
      <c r="S173" s="121">
        <v>22.5</v>
      </c>
      <c r="T173" s="121">
        <v>0</v>
      </c>
      <c r="Z173"/>
      <c r="AC173"/>
      <c r="AH173"/>
      <c r="AL173" s="72"/>
    </row>
    <row r="174" spans="2:38" ht="12.75" customHeight="1">
      <c r="B174" s="75">
        <v>8411</v>
      </c>
      <c r="C174" s="75">
        <v>8411</v>
      </c>
      <c r="D174" s="75" t="s">
        <v>57</v>
      </c>
      <c r="E174" s="75"/>
      <c r="F174" s="73" t="s">
        <v>726</v>
      </c>
      <c r="G174" s="73"/>
      <c r="H174" s="74"/>
      <c r="I174" s="121">
        <v>0</v>
      </c>
      <c r="J174" s="121">
        <v>0</v>
      </c>
      <c r="K174" s="121">
        <v>0</v>
      </c>
      <c r="L174" s="121">
        <v>0</v>
      </c>
      <c r="M174" s="121">
        <v>0</v>
      </c>
      <c r="N174" s="121">
        <v>0</v>
      </c>
      <c r="O174" s="121">
        <v>0</v>
      </c>
      <c r="P174" s="121">
        <v>0</v>
      </c>
      <c r="Q174" s="121">
        <v>0</v>
      </c>
      <c r="R174" s="121">
        <v>0</v>
      </c>
      <c r="S174" s="121">
        <v>0</v>
      </c>
      <c r="T174" s="121">
        <v>250</v>
      </c>
      <c r="Z174"/>
      <c r="AC174"/>
      <c r="AH174"/>
      <c r="AL174" s="72"/>
    </row>
    <row r="175" spans="2:38" ht="12.75" customHeight="1">
      <c r="B175" s="75">
        <v>8411</v>
      </c>
      <c r="C175" s="75">
        <v>8411</v>
      </c>
      <c r="D175" s="75" t="s">
        <v>57</v>
      </c>
      <c r="E175" s="75"/>
      <c r="F175" s="118" t="s">
        <v>727</v>
      </c>
      <c r="G175" s="73"/>
      <c r="H175" s="74"/>
      <c r="I175" s="121">
        <v>0</v>
      </c>
      <c r="J175" s="121">
        <v>0</v>
      </c>
      <c r="K175" s="121">
        <v>0</v>
      </c>
      <c r="L175" s="121">
        <v>0</v>
      </c>
      <c r="M175" s="121">
        <v>0</v>
      </c>
      <c r="N175" s="121">
        <v>0</v>
      </c>
      <c r="O175" s="121">
        <v>0</v>
      </c>
      <c r="P175" s="121">
        <v>0</v>
      </c>
      <c r="Q175" s="121">
        <v>0</v>
      </c>
      <c r="R175" s="121">
        <v>0</v>
      </c>
      <c r="S175" s="121">
        <v>0</v>
      </c>
      <c r="T175" s="121">
        <v>122</v>
      </c>
      <c r="Z175"/>
      <c r="AC175"/>
      <c r="AH175"/>
      <c r="AL175" s="72"/>
    </row>
    <row r="176" spans="2:38" ht="12.75" customHeight="1">
      <c r="B176" s="75">
        <v>8411</v>
      </c>
      <c r="C176" s="75">
        <v>8411</v>
      </c>
      <c r="D176" s="75" t="s">
        <v>57</v>
      </c>
      <c r="E176" s="75"/>
      <c r="F176" s="118" t="s">
        <v>728</v>
      </c>
      <c r="G176" s="73"/>
      <c r="H176" s="74"/>
      <c r="I176" s="121">
        <v>0</v>
      </c>
      <c r="J176" s="121">
        <v>0</v>
      </c>
      <c r="K176" s="121">
        <v>0</v>
      </c>
      <c r="L176" s="121">
        <v>0</v>
      </c>
      <c r="M176" s="121">
        <v>0</v>
      </c>
      <c r="N176" s="121">
        <v>0</v>
      </c>
      <c r="O176" s="121">
        <v>0</v>
      </c>
      <c r="P176" s="121">
        <v>0</v>
      </c>
      <c r="Q176" s="121">
        <v>0</v>
      </c>
      <c r="R176" s="121">
        <v>0</v>
      </c>
      <c r="S176" s="121">
        <v>0</v>
      </c>
      <c r="T176" s="121">
        <v>55</v>
      </c>
      <c r="Z176"/>
      <c r="AC176"/>
      <c r="AH176"/>
      <c r="AL176" s="72"/>
    </row>
    <row r="177" spans="2:38" ht="12.9" customHeight="1">
      <c r="B177" s="75">
        <v>8511</v>
      </c>
      <c r="C177" s="75">
        <v>8511</v>
      </c>
      <c r="D177" s="75" t="s">
        <v>57</v>
      </c>
      <c r="E177" s="75"/>
      <c r="F177" s="73" t="s">
        <v>278</v>
      </c>
      <c r="G177" s="73"/>
      <c r="H177" s="74"/>
      <c r="I177" s="121">
        <v>0</v>
      </c>
      <c r="J177" s="121">
        <v>0</v>
      </c>
      <c r="K177" s="121">
        <v>0</v>
      </c>
      <c r="L177" s="121">
        <v>0</v>
      </c>
      <c r="M177" s="121">
        <v>0</v>
      </c>
      <c r="N177" s="121">
        <v>0</v>
      </c>
      <c r="O177" s="121">
        <v>0</v>
      </c>
      <c r="P177" s="121">
        <v>0</v>
      </c>
      <c r="Q177" s="121">
        <v>150</v>
      </c>
      <c r="R177" s="121">
        <v>0</v>
      </c>
      <c r="S177" s="121">
        <v>0</v>
      </c>
      <c r="T177" s="121">
        <v>0</v>
      </c>
      <c r="Z177"/>
      <c r="AC177"/>
      <c r="AH177"/>
      <c r="AL177" s="72"/>
    </row>
    <row r="178" spans="2:38" ht="12.9" customHeight="1">
      <c r="B178" s="75">
        <v>8511</v>
      </c>
      <c r="C178" s="75">
        <v>8511</v>
      </c>
      <c r="D178" s="75" t="s">
        <v>57</v>
      </c>
      <c r="E178" s="75"/>
      <c r="F178" s="73" t="s">
        <v>279</v>
      </c>
      <c r="G178" s="73"/>
      <c r="H178" s="74"/>
      <c r="I178" s="121">
        <v>0</v>
      </c>
      <c r="J178" s="121">
        <v>0</v>
      </c>
      <c r="K178" s="121">
        <v>0</v>
      </c>
      <c r="L178" s="121">
        <v>0</v>
      </c>
      <c r="M178" s="121">
        <v>0</v>
      </c>
      <c r="N178" s="121">
        <v>0</v>
      </c>
      <c r="O178" s="121">
        <v>0</v>
      </c>
      <c r="P178" s="121">
        <v>0</v>
      </c>
      <c r="Q178" s="121">
        <v>0</v>
      </c>
      <c r="R178" s="121">
        <v>120</v>
      </c>
      <c r="S178" s="121">
        <v>0</v>
      </c>
      <c r="T178" s="121">
        <v>0</v>
      </c>
      <c r="Z178"/>
      <c r="AC178"/>
      <c r="AH178"/>
      <c r="AL178" s="72"/>
    </row>
    <row r="179" spans="2:38" ht="12.9" customHeight="1">
      <c r="B179" s="75">
        <v>8511</v>
      </c>
      <c r="C179" s="75">
        <v>8511</v>
      </c>
      <c r="D179" s="75" t="s">
        <v>57</v>
      </c>
      <c r="E179" s="75"/>
      <c r="F179" s="73" t="s">
        <v>280</v>
      </c>
      <c r="G179" s="73"/>
      <c r="H179" s="74"/>
      <c r="I179" s="121">
        <v>0</v>
      </c>
      <c r="J179" s="121">
        <v>0</v>
      </c>
      <c r="K179" s="121">
        <v>0</v>
      </c>
      <c r="L179" s="121">
        <v>0</v>
      </c>
      <c r="M179" s="121">
        <v>0</v>
      </c>
      <c r="N179" s="121">
        <v>0</v>
      </c>
      <c r="O179" s="121">
        <v>0</v>
      </c>
      <c r="P179" s="121">
        <v>50</v>
      </c>
      <c r="Q179" s="121">
        <v>0</v>
      </c>
      <c r="R179" s="121">
        <v>0</v>
      </c>
      <c r="S179" s="121">
        <v>0</v>
      </c>
      <c r="T179" s="121">
        <v>0</v>
      </c>
      <c r="Z179"/>
      <c r="AC179"/>
      <c r="AH179"/>
      <c r="AL179" s="72"/>
    </row>
    <row r="180" spans="2:38" ht="12.9" customHeight="1">
      <c r="B180" s="75">
        <v>8512</v>
      </c>
      <c r="C180" s="75">
        <v>8512</v>
      </c>
      <c r="D180" s="75" t="s">
        <v>664</v>
      </c>
      <c r="E180" s="75"/>
      <c r="F180" s="73" t="s">
        <v>281</v>
      </c>
      <c r="G180" s="73"/>
      <c r="H180" s="74"/>
      <c r="I180" s="121">
        <v>0</v>
      </c>
      <c r="J180" s="121">
        <v>0</v>
      </c>
      <c r="K180" s="121">
        <v>0</v>
      </c>
      <c r="L180" s="121">
        <v>0</v>
      </c>
      <c r="M180" s="121">
        <v>0</v>
      </c>
      <c r="N180" s="121">
        <v>0</v>
      </c>
      <c r="O180" s="121">
        <v>195</v>
      </c>
      <c r="P180" s="121">
        <v>0</v>
      </c>
      <c r="Q180" s="121">
        <v>0</v>
      </c>
      <c r="R180" s="121">
        <v>0</v>
      </c>
      <c r="S180" s="121">
        <v>0</v>
      </c>
      <c r="T180" s="121">
        <v>0</v>
      </c>
      <c r="Z180"/>
      <c r="AC180"/>
      <c r="AH180"/>
      <c r="AL180" s="72"/>
    </row>
    <row r="181" spans="2:38" ht="12.9" customHeight="1">
      <c r="B181" s="75">
        <v>8512</v>
      </c>
      <c r="C181" s="75">
        <v>8512</v>
      </c>
      <c r="D181" s="75" t="s">
        <v>57</v>
      </c>
      <c r="E181" s="75"/>
      <c r="F181" s="73" t="s">
        <v>282</v>
      </c>
      <c r="G181" s="73"/>
      <c r="H181" s="74"/>
      <c r="I181" s="121">
        <v>0</v>
      </c>
      <c r="J181" s="121">
        <v>0</v>
      </c>
      <c r="K181" s="121">
        <v>0</v>
      </c>
      <c r="L181" s="121">
        <v>0</v>
      </c>
      <c r="M181" s="121">
        <v>0</v>
      </c>
      <c r="N181" s="121">
        <v>0</v>
      </c>
      <c r="O181" s="121">
        <v>0</v>
      </c>
      <c r="P181" s="121">
        <v>0</v>
      </c>
      <c r="Q181" s="121">
        <v>0</v>
      </c>
      <c r="R181" s="121">
        <v>0</v>
      </c>
      <c r="S181" s="121">
        <v>25</v>
      </c>
      <c r="T181" s="121">
        <v>0</v>
      </c>
      <c r="Z181"/>
      <c r="AC181"/>
      <c r="AH181"/>
      <c r="AL181" s="72"/>
    </row>
    <row r="182" spans="2:38" ht="12.9" customHeight="1">
      <c r="B182" s="75">
        <v>8512</v>
      </c>
      <c r="C182" s="75">
        <v>8512</v>
      </c>
      <c r="D182" s="75" t="s">
        <v>57</v>
      </c>
      <c r="E182" s="75"/>
      <c r="F182" s="73" t="s">
        <v>283</v>
      </c>
      <c r="G182" s="73"/>
      <c r="H182" s="74"/>
      <c r="I182" s="121">
        <v>0</v>
      </c>
      <c r="J182" s="121">
        <v>0</v>
      </c>
      <c r="K182" s="121">
        <v>0</v>
      </c>
      <c r="L182" s="121">
        <v>0</v>
      </c>
      <c r="M182" s="121">
        <v>0</v>
      </c>
      <c r="N182" s="121">
        <v>0</v>
      </c>
      <c r="O182" s="121">
        <v>0</v>
      </c>
      <c r="P182" s="121">
        <v>0</v>
      </c>
      <c r="Q182" s="121" t="s">
        <v>405</v>
      </c>
      <c r="R182" s="121">
        <v>20</v>
      </c>
      <c r="S182" s="121">
        <v>0</v>
      </c>
      <c r="T182" s="121">
        <v>0</v>
      </c>
      <c r="Z182"/>
      <c r="AC182"/>
      <c r="AH182"/>
      <c r="AL182" s="72"/>
    </row>
    <row r="183" spans="2:38" ht="12.9" customHeight="1">
      <c r="B183" s="75">
        <v>8514</v>
      </c>
      <c r="C183" s="75">
        <v>8514</v>
      </c>
      <c r="D183" s="75" t="s">
        <v>523</v>
      </c>
      <c r="E183" s="75"/>
      <c r="F183" s="73" t="s">
        <v>284</v>
      </c>
      <c r="G183" s="73"/>
      <c r="H183" s="74"/>
      <c r="I183" s="121">
        <v>0</v>
      </c>
      <c r="J183" s="121">
        <v>0</v>
      </c>
      <c r="K183" s="121">
        <v>0</v>
      </c>
      <c r="L183" s="121">
        <v>0</v>
      </c>
      <c r="M183" s="121">
        <v>5.0344399999999991</v>
      </c>
      <c r="N183" s="122">
        <v>0</v>
      </c>
      <c r="O183" s="122">
        <v>0</v>
      </c>
      <c r="P183" s="122">
        <v>0</v>
      </c>
      <c r="Q183" s="122">
        <v>0</v>
      </c>
      <c r="R183" s="122">
        <v>0</v>
      </c>
      <c r="S183" s="122">
        <v>0</v>
      </c>
      <c r="T183" s="122">
        <v>0</v>
      </c>
      <c r="Z183"/>
      <c r="AC183"/>
      <c r="AH183"/>
      <c r="AL183" s="72"/>
    </row>
    <row r="184" spans="2:38" ht="12.9" customHeight="1">
      <c r="B184" s="75">
        <v>8514</v>
      </c>
      <c r="C184" s="75">
        <v>8514</v>
      </c>
      <c r="D184" s="75" t="s">
        <v>389</v>
      </c>
      <c r="E184" s="75"/>
      <c r="F184" s="73" t="s">
        <v>390</v>
      </c>
      <c r="G184" s="73"/>
      <c r="H184" s="74"/>
      <c r="I184" s="121">
        <v>0</v>
      </c>
      <c r="J184" s="121">
        <v>0</v>
      </c>
      <c r="K184" s="121">
        <v>30.02928</v>
      </c>
      <c r="L184" s="121">
        <v>8.8370800000000003</v>
      </c>
      <c r="M184" s="121">
        <v>0</v>
      </c>
      <c r="N184" s="122">
        <v>0</v>
      </c>
      <c r="O184" s="122">
        <v>0</v>
      </c>
      <c r="P184" s="122">
        <v>0</v>
      </c>
      <c r="Q184" s="122">
        <v>0</v>
      </c>
      <c r="R184" s="122">
        <v>0</v>
      </c>
      <c r="S184" s="122">
        <v>0</v>
      </c>
      <c r="T184" s="122">
        <v>0</v>
      </c>
      <c r="Z184"/>
      <c r="AC184"/>
      <c r="AH184"/>
      <c r="AL184" s="72"/>
    </row>
    <row r="185" spans="2:38" ht="12.9" customHeight="1">
      <c r="B185" s="75">
        <v>8514</v>
      </c>
      <c r="C185" s="75">
        <v>8514</v>
      </c>
      <c r="D185" s="75" t="s">
        <v>619</v>
      </c>
      <c r="E185" s="75"/>
      <c r="F185" s="73" t="s">
        <v>401</v>
      </c>
      <c r="G185" s="73"/>
      <c r="H185" s="74"/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180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Z185"/>
      <c r="AC185"/>
      <c r="AH185"/>
      <c r="AL185" s="72"/>
    </row>
    <row r="186" spans="2:38" ht="12.9" customHeight="1">
      <c r="B186" s="75">
        <v>8514</v>
      </c>
      <c r="C186" s="75">
        <v>8514</v>
      </c>
      <c r="D186" s="75" t="s">
        <v>57</v>
      </c>
      <c r="E186" s="75"/>
      <c r="F186" s="73" t="s">
        <v>402</v>
      </c>
      <c r="G186" s="73"/>
      <c r="H186" s="74"/>
      <c r="I186" s="121">
        <v>0</v>
      </c>
      <c r="J186" s="121">
        <v>0</v>
      </c>
      <c r="K186" s="121">
        <v>0</v>
      </c>
      <c r="L186" s="121">
        <v>0</v>
      </c>
      <c r="M186" s="121">
        <v>0</v>
      </c>
      <c r="N186" s="121">
        <v>0</v>
      </c>
      <c r="O186" s="121">
        <v>0</v>
      </c>
      <c r="P186" s="121">
        <v>0</v>
      </c>
      <c r="Q186" s="121">
        <v>0</v>
      </c>
      <c r="R186" s="121">
        <v>120</v>
      </c>
      <c r="S186" s="121">
        <v>0</v>
      </c>
      <c r="T186" s="121">
        <v>0</v>
      </c>
      <c r="Z186"/>
      <c r="AC186"/>
      <c r="AH186"/>
      <c r="AL186" s="72"/>
    </row>
    <row r="187" spans="2:38" ht="12.9" customHeight="1">
      <c r="B187" s="75">
        <v>8514</v>
      </c>
      <c r="C187" s="75">
        <v>8514</v>
      </c>
      <c r="D187" s="75" t="s">
        <v>57</v>
      </c>
      <c r="E187" s="75"/>
      <c r="F187" s="73" t="s">
        <v>403</v>
      </c>
      <c r="G187" s="73"/>
      <c r="H187" s="74"/>
      <c r="I187" s="121">
        <v>0</v>
      </c>
      <c r="J187" s="121">
        <v>0</v>
      </c>
      <c r="K187" s="121">
        <v>0</v>
      </c>
      <c r="L187" s="121">
        <v>0</v>
      </c>
      <c r="M187" s="121">
        <v>0</v>
      </c>
      <c r="N187" s="99">
        <v>0</v>
      </c>
      <c r="O187" s="99">
        <v>0</v>
      </c>
      <c r="P187" s="99">
        <v>0</v>
      </c>
      <c r="Q187" s="99">
        <v>0</v>
      </c>
      <c r="R187" s="99">
        <v>0</v>
      </c>
      <c r="S187" s="99">
        <v>8.5</v>
      </c>
      <c r="T187" s="99">
        <v>0</v>
      </c>
      <c r="Z187"/>
      <c r="AC187"/>
      <c r="AH187"/>
      <c r="AL187" s="72"/>
    </row>
    <row r="188" spans="2:38" ht="12.9" customHeight="1">
      <c r="B188" s="75">
        <v>8514</v>
      </c>
      <c r="C188" s="75">
        <v>8514</v>
      </c>
      <c r="D188" s="75" t="s">
        <v>57</v>
      </c>
      <c r="E188" s="75"/>
      <c r="F188" s="73" t="s">
        <v>404</v>
      </c>
      <c r="G188" s="73"/>
      <c r="H188" s="74"/>
      <c r="I188" s="121">
        <v>0</v>
      </c>
      <c r="J188" s="121">
        <v>0</v>
      </c>
      <c r="K188" s="121">
        <v>0</v>
      </c>
      <c r="L188" s="121">
        <v>0</v>
      </c>
      <c r="M188" s="121">
        <v>0</v>
      </c>
      <c r="N188" s="121">
        <v>0</v>
      </c>
      <c r="O188" s="121">
        <v>0</v>
      </c>
      <c r="P188" s="121">
        <v>0</v>
      </c>
      <c r="Q188" s="121">
        <v>0</v>
      </c>
      <c r="R188" s="121">
        <v>0</v>
      </c>
      <c r="S188" s="121">
        <v>0</v>
      </c>
      <c r="T188" s="121">
        <v>0</v>
      </c>
      <c r="Z188"/>
      <c r="AC188"/>
      <c r="AH188"/>
      <c r="AL188" s="72"/>
    </row>
    <row r="189" spans="2:38" ht="12.9" customHeight="1">
      <c r="B189" s="75">
        <v>8514</v>
      </c>
      <c r="C189" s="75">
        <v>8514</v>
      </c>
      <c r="D189" s="75" t="s">
        <v>57</v>
      </c>
      <c r="E189" s="75"/>
      <c r="F189" s="73" t="s">
        <v>729</v>
      </c>
      <c r="G189" s="73"/>
      <c r="H189" s="74"/>
      <c r="I189" s="121">
        <v>0</v>
      </c>
      <c r="J189" s="121">
        <v>0</v>
      </c>
      <c r="K189" s="121">
        <v>0</v>
      </c>
      <c r="L189" s="121">
        <v>0</v>
      </c>
      <c r="M189" s="121">
        <v>0</v>
      </c>
      <c r="N189" s="121">
        <v>0</v>
      </c>
      <c r="O189" s="121">
        <v>0</v>
      </c>
      <c r="P189" s="121">
        <v>36</v>
      </c>
      <c r="Q189" s="121">
        <v>0</v>
      </c>
      <c r="R189" s="121">
        <v>0</v>
      </c>
      <c r="S189" s="121">
        <v>0</v>
      </c>
      <c r="T189" s="121">
        <v>0</v>
      </c>
      <c r="Z189"/>
      <c r="AC189"/>
      <c r="AH189"/>
      <c r="AL189" s="72"/>
    </row>
    <row r="190" spans="2:38" ht="12.9" customHeight="1">
      <c r="B190" s="75">
        <v>8514</v>
      </c>
      <c r="C190" s="75">
        <v>8514</v>
      </c>
      <c r="D190" s="75" t="s">
        <v>57</v>
      </c>
      <c r="E190" s="75"/>
      <c r="F190" s="73" t="s">
        <v>730</v>
      </c>
      <c r="G190" s="73"/>
      <c r="H190" s="74"/>
      <c r="I190" s="121">
        <v>0</v>
      </c>
      <c r="J190" s="121">
        <v>0</v>
      </c>
      <c r="K190" s="121">
        <v>0</v>
      </c>
      <c r="L190" s="121">
        <v>0</v>
      </c>
      <c r="M190" s="121">
        <v>0</v>
      </c>
      <c r="N190" s="121">
        <v>0</v>
      </c>
      <c r="O190" s="121">
        <v>0</v>
      </c>
      <c r="P190" s="121">
        <v>0</v>
      </c>
      <c r="Q190" s="121">
        <v>0</v>
      </c>
      <c r="R190" s="121">
        <v>123</v>
      </c>
      <c r="S190" s="121">
        <v>0</v>
      </c>
      <c r="T190" s="121">
        <v>0</v>
      </c>
      <c r="Z190"/>
      <c r="AC190"/>
      <c r="AH190"/>
      <c r="AL190" s="72"/>
    </row>
    <row r="191" spans="2:38" ht="12.9" customHeight="1">
      <c r="B191" s="75">
        <v>9111</v>
      </c>
      <c r="C191" s="75">
        <v>9111</v>
      </c>
      <c r="D191" s="75" t="s">
        <v>57</v>
      </c>
      <c r="E191" s="75"/>
      <c r="F191" s="73" t="s">
        <v>222</v>
      </c>
      <c r="G191" s="73"/>
      <c r="H191" s="74"/>
      <c r="I191" s="121">
        <v>0</v>
      </c>
      <c r="J191" s="121">
        <v>0</v>
      </c>
      <c r="K191" s="121">
        <v>0</v>
      </c>
      <c r="L191" s="121">
        <v>0</v>
      </c>
      <c r="M191" s="121">
        <v>0</v>
      </c>
      <c r="N191" s="121">
        <v>0</v>
      </c>
      <c r="O191" s="121">
        <v>0</v>
      </c>
      <c r="P191" s="121">
        <v>0</v>
      </c>
      <c r="Q191" s="121">
        <v>0</v>
      </c>
      <c r="R191" s="121">
        <v>0</v>
      </c>
      <c r="S191" s="121">
        <v>0</v>
      </c>
      <c r="T191" s="121">
        <v>0</v>
      </c>
      <c r="Z191"/>
      <c r="AC191"/>
      <c r="AH191"/>
      <c r="AL191" s="72"/>
    </row>
    <row r="192" spans="2:38" ht="12.9" customHeight="1">
      <c r="B192" s="75"/>
      <c r="C192" s="75"/>
      <c r="D192" s="75"/>
      <c r="E192" s="75"/>
      <c r="F192" s="73"/>
      <c r="G192" s="73"/>
      <c r="H192" s="74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Z192"/>
      <c r="AC192"/>
      <c r="AH192"/>
      <c r="AL192" s="72"/>
    </row>
    <row r="193" spans="2:38" ht="12.9" customHeight="1">
      <c r="B193" s="75"/>
      <c r="C193" s="75"/>
      <c r="D193" s="75"/>
      <c r="E193" s="75"/>
      <c r="F193" s="73"/>
      <c r="G193" s="73"/>
      <c r="H193" s="74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Z193"/>
      <c r="AC193"/>
      <c r="AH193"/>
      <c r="AL193" s="72"/>
    </row>
    <row r="194" spans="2:38" ht="12.9" customHeight="1">
      <c r="B194" s="75"/>
      <c r="C194" s="75"/>
      <c r="D194" s="75"/>
      <c r="E194" s="75"/>
      <c r="F194" s="73"/>
      <c r="G194" s="73"/>
      <c r="H194" s="74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Z194"/>
      <c r="AC194"/>
      <c r="AH194"/>
      <c r="AL194" s="72"/>
    </row>
    <row r="195" spans="2:38" ht="12.9" customHeight="1">
      <c r="B195" s="75"/>
      <c r="C195" s="75"/>
      <c r="D195" s="75"/>
      <c r="E195" s="75"/>
      <c r="F195" s="73"/>
      <c r="G195" s="73"/>
      <c r="H195" s="74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Z195"/>
      <c r="AC195"/>
      <c r="AH195"/>
      <c r="AL195" s="72"/>
    </row>
    <row r="196" spans="2:38" ht="12.9" customHeight="1">
      <c r="B196" s="75"/>
      <c r="C196" s="75"/>
      <c r="D196" s="75"/>
      <c r="E196" s="75"/>
      <c r="F196" s="73"/>
      <c r="G196" s="73"/>
      <c r="H196" s="74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Z196"/>
      <c r="AC196"/>
      <c r="AH196"/>
      <c r="AL196" s="72"/>
    </row>
    <row r="197" spans="2:38" ht="12.9" customHeight="1">
      <c r="B197" s="75"/>
      <c r="C197" s="75"/>
      <c r="D197" s="75"/>
      <c r="E197" s="75"/>
      <c r="F197" s="73"/>
      <c r="G197" s="73"/>
      <c r="H197" s="74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Z197"/>
      <c r="AC197"/>
      <c r="AH197"/>
      <c r="AL197" s="72"/>
    </row>
    <row r="198" spans="2:38" ht="12.9" customHeight="1">
      <c r="B198" s="75"/>
      <c r="C198" s="75"/>
      <c r="D198" s="75"/>
      <c r="E198" s="75"/>
      <c r="F198" s="73"/>
      <c r="G198" s="73"/>
      <c r="H198" s="74"/>
      <c r="I198" s="121"/>
      <c r="J198" s="121"/>
      <c r="K198" s="121"/>
      <c r="L198" s="121"/>
      <c r="M198" s="121"/>
      <c r="N198" s="122"/>
      <c r="O198" s="122"/>
      <c r="P198" s="122"/>
      <c r="Q198" s="122"/>
      <c r="R198" s="122"/>
      <c r="S198" s="122"/>
      <c r="T198" s="122"/>
      <c r="Z198"/>
      <c r="AC198"/>
      <c r="AH198"/>
      <c r="AL198" s="72"/>
    </row>
    <row r="199" spans="2:38" ht="12.9" customHeight="1">
      <c r="B199" s="75"/>
      <c r="C199" s="75"/>
      <c r="D199" s="75"/>
      <c r="E199" s="75"/>
      <c r="F199" s="73"/>
      <c r="G199" s="73"/>
      <c r="H199" s="74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Z199"/>
      <c r="AC199"/>
      <c r="AH199"/>
      <c r="AL199" s="72"/>
    </row>
    <row r="200" spans="2:38" ht="12.9" customHeight="1">
      <c r="B200" s="75"/>
      <c r="C200" s="75"/>
      <c r="D200" s="75"/>
      <c r="E200" s="75"/>
      <c r="F200" s="73"/>
      <c r="G200" s="73"/>
      <c r="H200" s="74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Z200"/>
      <c r="AC200"/>
      <c r="AH200"/>
      <c r="AL200" s="72"/>
    </row>
    <row r="201" spans="2:38" ht="12.9" customHeight="1">
      <c r="B201" s="75"/>
      <c r="C201" s="75"/>
      <c r="D201" s="75"/>
      <c r="E201" s="75"/>
      <c r="F201" s="73"/>
      <c r="G201" s="73"/>
      <c r="H201" s="74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Z201"/>
      <c r="AC201"/>
      <c r="AH201"/>
      <c r="AL201" s="72"/>
    </row>
    <row r="202" spans="2:38" ht="12.9" customHeight="1">
      <c r="B202" s="75"/>
      <c r="C202" s="75"/>
      <c r="D202" s="75"/>
      <c r="E202" s="75"/>
      <c r="F202" s="73"/>
      <c r="G202" s="73"/>
      <c r="H202" s="74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Z202"/>
      <c r="AC202"/>
      <c r="AH202"/>
      <c r="AL202" s="72"/>
    </row>
    <row r="203" spans="2:38" ht="12.9" customHeight="1">
      <c r="B203" s="75"/>
      <c r="C203" s="75"/>
      <c r="D203" s="75"/>
      <c r="E203" s="75"/>
      <c r="F203" s="117"/>
      <c r="G203" s="73"/>
      <c r="H203" s="74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Z203"/>
      <c r="AC203"/>
      <c r="AH203"/>
      <c r="AL203" s="72"/>
    </row>
    <row r="204" spans="2:38" ht="12.9" customHeight="1">
      <c r="B204" s="75"/>
      <c r="C204" s="75"/>
      <c r="D204" s="75"/>
      <c r="E204" s="75"/>
      <c r="F204" s="117"/>
      <c r="G204" s="73"/>
      <c r="H204" s="74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Z204"/>
      <c r="AC204"/>
      <c r="AH204"/>
      <c r="AL204" s="72"/>
    </row>
    <row r="205" spans="2:38" ht="12.9" customHeight="1">
      <c r="B205" s="75"/>
      <c r="C205" s="75"/>
      <c r="D205" s="75"/>
      <c r="E205" s="75"/>
      <c r="F205" s="73"/>
      <c r="G205" s="73"/>
      <c r="H205" s="74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Z205"/>
      <c r="AC205"/>
      <c r="AH205"/>
      <c r="AL205" s="72"/>
    </row>
    <row r="206" spans="2:38" ht="12.9" customHeight="1">
      <c r="B206" s="75"/>
      <c r="C206" s="72"/>
      <c r="D206" s="75"/>
      <c r="E206" s="75"/>
      <c r="F206" s="118"/>
      <c r="G206" s="73"/>
      <c r="H206" s="74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Z206"/>
      <c r="AC206"/>
      <c r="AH206"/>
      <c r="AL206" s="72"/>
    </row>
    <row r="207" spans="2:38" ht="12.9" customHeight="1">
      <c r="B207" s="75"/>
      <c r="C207" s="75"/>
      <c r="D207" s="75"/>
      <c r="E207" s="75"/>
      <c r="F207" s="73"/>
      <c r="G207" s="73"/>
      <c r="H207" s="74"/>
      <c r="I207" s="121"/>
      <c r="J207" s="121"/>
      <c r="K207" s="121"/>
      <c r="L207" s="121"/>
      <c r="M207" s="121"/>
      <c r="N207" s="122"/>
      <c r="O207" s="122"/>
      <c r="P207" s="122"/>
      <c r="Q207" s="122"/>
      <c r="R207" s="122"/>
      <c r="S207" s="122"/>
      <c r="T207" s="122"/>
      <c r="Z207"/>
      <c r="AC207"/>
      <c r="AH207"/>
      <c r="AL207" s="72"/>
    </row>
    <row r="208" spans="2:38" ht="12.9" customHeight="1">
      <c r="B208" s="75"/>
      <c r="C208" s="75"/>
      <c r="D208" s="75"/>
      <c r="E208" s="75"/>
      <c r="F208" s="73"/>
      <c r="G208" s="73"/>
      <c r="H208" s="74"/>
      <c r="I208" s="121"/>
      <c r="J208" s="121"/>
      <c r="K208" s="121"/>
      <c r="L208" s="121"/>
      <c r="M208" s="121"/>
      <c r="N208" s="122"/>
      <c r="O208" s="122"/>
      <c r="P208" s="122"/>
      <c r="Q208" s="122"/>
      <c r="R208" s="122"/>
      <c r="S208" s="122"/>
      <c r="T208" s="122"/>
      <c r="Z208"/>
      <c r="AC208"/>
      <c r="AH208"/>
      <c r="AL208" s="72"/>
    </row>
    <row r="209" spans="2:38" ht="12.9" customHeight="1">
      <c r="B209" s="75"/>
      <c r="C209" s="75"/>
      <c r="D209" s="75"/>
      <c r="E209" s="75"/>
      <c r="F209" s="73"/>
      <c r="G209" s="73"/>
      <c r="H209" s="74"/>
      <c r="I209" s="121"/>
      <c r="J209" s="121"/>
      <c r="K209" s="121"/>
      <c r="L209" s="121"/>
      <c r="M209" s="121"/>
      <c r="N209" s="122"/>
      <c r="O209" s="122"/>
      <c r="P209" s="122"/>
      <c r="Q209" s="122"/>
      <c r="R209" s="122"/>
      <c r="S209" s="122"/>
      <c r="T209" s="122"/>
      <c r="Z209"/>
      <c r="AC209"/>
      <c r="AH209"/>
      <c r="AL209" s="72"/>
    </row>
    <row r="210" spans="2:38" ht="12.9" customHeight="1">
      <c r="B210" s="75"/>
      <c r="C210" s="75"/>
      <c r="D210" s="75"/>
      <c r="E210" s="75"/>
      <c r="F210" s="73"/>
      <c r="G210" s="73"/>
      <c r="H210" s="74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Z210"/>
      <c r="AC210"/>
      <c r="AH210"/>
      <c r="AL210" s="72"/>
    </row>
    <row r="211" spans="2:38" ht="12.9" customHeight="1">
      <c r="B211" s="75"/>
      <c r="C211" s="75"/>
      <c r="D211" s="75"/>
      <c r="E211" s="75"/>
      <c r="F211" s="73"/>
      <c r="G211" s="73"/>
      <c r="H211" s="74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Z211"/>
      <c r="AC211"/>
      <c r="AH211"/>
      <c r="AL211" s="72"/>
    </row>
    <row r="212" spans="2:38" ht="12.9" customHeight="1">
      <c r="B212" s="75"/>
      <c r="C212" s="75"/>
      <c r="D212" s="75"/>
      <c r="E212" s="75"/>
      <c r="F212" s="73"/>
      <c r="G212" s="73"/>
      <c r="H212" s="74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Z212"/>
      <c r="AC212"/>
      <c r="AH212"/>
      <c r="AL212" s="72"/>
    </row>
    <row r="213" spans="2:38" ht="12.9" customHeight="1">
      <c r="B213" s="75"/>
      <c r="C213" s="75"/>
      <c r="D213" s="75"/>
      <c r="E213" s="75"/>
      <c r="F213" s="73"/>
      <c r="G213" s="73"/>
      <c r="H213" s="74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Z213"/>
      <c r="AC213"/>
      <c r="AH213"/>
      <c r="AL213" s="72"/>
    </row>
    <row r="214" spans="2:38" ht="12.9" customHeight="1">
      <c r="B214" s="75"/>
      <c r="C214" s="75"/>
      <c r="D214" s="75"/>
      <c r="E214" s="75"/>
      <c r="F214" s="73"/>
      <c r="G214" s="73"/>
      <c r="H214" s="74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Z214"/>
      <c r="AC214"/>
      <c r="AH214"/>
      <c r="AL214" s="72"/>
    </row>
    <row r="215" spans="2:38" ht="12.9" customHeight="1">
      <c r="B215" s="75"/>
      <c r="C215" s="75"/>
      <c r="D215" s="75"/>
      <c r="E215" s="75"/>
      <c r="F215" s="73"/>
      <c r="G215" s="73"/>
      <c r="H215" s="74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Z215"/>
      <c r="AC215"/>
      <c r="AH215"/>
      <c r="AL215" s="72"/>
    </row>
    <row r="216" spans="2:38" ht="12.9" customHeight="1">
      <c r="B216" s="75"/>
      <c r="C216" s="75"/>
      <c r="D216" s="75"/>
      <c r="E216" s="75"/>
      <c r="F216" s="73"/>
      <c r="G216" s="73"/>
      <c r="H216" s="74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Z216"/>
      <c r="AC216"/>
      <c r="AH216"/>
      <c r="AL216" s="72"/>
    </row>
    <row r="217" spans="2:38" ht="12.9" customHeight="1">
      <c r="B217" s="75"/>
      <c r="C217" s="75"/>
      <c r="D217" s="75"/>
      <c r="E217" s="75"/>
      <c r="F217" s="73"/>
      <c r="G217" s="73"/>
      <c r="H217" s="74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Z217"/>
      <c r="AC217"/>
      <c r="AH217"/>
      <c r="AL217" s="72"/>
    </row>
    <row r="218" spans="2:38" ht="12.9" customHeight="1">
      <c r="B218" s="75"/>
      <c r="C218" s="75"/>
      <c r="D218" s="75"/>
      <c r="E218" s="75"/>
      <c r="F218" s="73"/>
      <c r="G218" s="73"/>
      <c r="H218" s="74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Z218"/>
      <c r="AC218"/>
      <c r="AH218"/>
      <c r="AL218" s="72"/>
    </row>
    <row r="219" spans="2:38" ht="12.9" customHeight="1">
      <c r="B219" s="75"/>
      <c r="C219" s="75"/>
      <c r="D219" s="75"/>
      <c r="E219" s="75"/>
      <c r="F219" s="73"/>
      <c r="G219" s="73"/>
      <c r="H219" s="74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Z219"/>
      <c r="AC219"/>
      <c r="AH219"/>
      <c r="AL219" s="72"/>
    </row>
    <row r="220" spans="2:38" ht="12.9" customHeight="1">
      <c r="B220" s="75"/>
      <c r="C220" s="75"/>
      <c r="D220" s="75"/>
      <c r="E220" s="75"/>
      <c r="F220" s="73"/>
      <c r="G220" s="73"/>
      <c r="H220" s="74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Z220"/>
      <c r="AC220"/>
      <c r="AH220"/>
      <c r="AL220" s="72"/>
    </row>
    <row r="221" spans="2:38" ht="12.9" customHeight="1">
      <c r="B221" s="75"/>
      <c r="C221" s="75"/>
      <c r="D221" s="75"/>
      <c r="E221" s="75"/>
      <c r="F221" s="73"/>
      <c r="G221" s="73"/>
      <c r="H221" s="74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Z221"/>
      <c r="AC221"/>
      <c r="AH221"/>
      <c r="AL221" s="72"/>
    </row>
    <row r="222" spans="2:38" ht="12.9" customHeight="1">
      <c r="B222" s="75"/>
      <c r="C222" s="75"/>
      <c r="D222" s="75"/>
      <c r="E222" s="75"/>
      <c r="F222" s="73"/>
      <c r="G222" s="73"/>
      <c r="H222" s="74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Z222"/>
      <c r="AC222"/>
      <c r="AH222"/>
      <c r="AL222" s="72"/>
    </row>
    <row r="223" spans="2:38" ht="12.9" customHeight="1">
      <c r="B223" s="75"/>
      <c r="C223" s="75"/>
      <c r="D223" s="75"/>
      <c r="E223" s="75"/>
      <c r="F223" s="73"/>
      <c r="G223" s="73"/>
      <c r="H223" s="74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Z223"/>
      <c r="AC223"/>
      <c r="AH223"/>
      <c r="AL223" s="72"/>
    </row>
    <row r="224" spans="2:38" ht="12.9" customHeight="1">
      <c r="B224" s="75"/>
      <c r="C224" s="75"/>
      <c r="D224" s="75"/>
      <c r="E224" s="75"/>
      <c r="F224" s="73"/>
      <c r="G224" s="73"/>
      <c r="H224" s="74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Z224"/>
      <c r="AC224"/>
      <c r="AH224"/>
      <c r="AL224" s="72"/>
    </row>
    <row r="225" spans="2:38" ht="12.9" customHeight="1">
      <c r="B225" s="75"/>
      <c r="C225" s="75"/>
      <c r="D225" s="75"/>
      <c r="E225" s="75"/>
      <c r="F225" s="73"/>
      <c r="G225" s="73"/>
      <c r="H225" s="74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Z225"/>
      <c r="AC225"/>
      <c r="AH225"/>
      <c r="AL225" s="72"/>
    </row>
    <row r="226" spans="2:38" ht="12.9" customHeight="1">
      <c r="B226" s="75"/>
      <c r="C226" s="75"/>
      <c r="D226" s="75"/>
      <c r="E226" s="75"/>
      <c r="F226" s="118"/>
      <c r="G226" s="73"/>
      <c r="H226" s="74"/>
      <c r="I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Z226"/>
      <c r="AC226"/>
      <c r="AH226"/>
      <c r="AL226" s="72"/>
    </row>
    <row r="227" spans="2:38" ht="12.9" customHeight="1">
      <c r="B227" s="75"/>
      <c r="C227" s="75"/>
      <c r="D227" s="75"/>
      <c r="E227" s="75"/>
      <c r="F227" s="73"/>
      <c r="G227" s="73"/>
      <c r="H227" s="74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Z227"/>
      <c r="AC227"/>
      <c r="AH227"/>
      <c r="AL227" s="72"/>
    </row>
    <row r="228" spans="2:38" ht="12.9" customHeight="1">
      <c r="B228" s="75"/>
      <c r="C228" s="75"/>
      <c r="D228" s="75"/>
      <c r="E228" s="75"/>
      <c r="F228" s="73"/>
      <c r="G228" s="73"/>
      <c r="H228" s="74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Z228"/>
      <c r="AC228"/>
      <c r="AH228"/>
      <c r="AL228" s="72"/>
    </row>
    <row r="229" spans="2:38" ht="12.9" customHeight="1">
      <c r="B229" s="75"/>
      <c r="C229" s="75"/>
      <c r="D229" s="75"/>
      <c r="E229" s="75"/>
      <c r="F229" s="73"/>
      <c r="G229" s="73"/>
      <c r="H229" s="74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Z229"/>
      <c r="AC229"/>
      <c r="AH229"/>
      <c r="AL229" s="72"/>
    </row>
    <row r="230" spans="2:38" ht="12.9" customHeight="1">
      <c r="B230" s="75"/>
      <c r="C230" s="75"/>
      <c r="D230" s="75"/>
      <c r="E230" s="75"/>
      <c r="F230" s="73"/>
      <c r="G230" s="73"/>
      <c r="H230" s="74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Z230"/>
      <c r="AC230"/>
      <c r="AH230"/>
      <c r="AL230" s="72"/>
    </row>
    <row r="231" spans="2:38" ht="12.9" customHeight="1">
      <c r="B231" s="75"/>
      <c r="C231" s="75"/>
      <c r="D231" s="75"/>
      <c r="E231" s="75"/>
      <c r="F231" s="73"/>
      <c r="G231" s="73"/>
      <c r="H231" s="74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Z231"/>
      <c r="AC231"/>
      <c r="AH231"/>
      <c r="AL231" s="72"/>
    </row>
    <row r="232" spans="2:38" ht="12.9" customHeight="1">
      <c r="B232" s="75"/>
      <c r="C232" s="75"/>
      <c r="D232" s="75"/>
      <c r="E232" s="75"/>
      <c r="F232" s="73"/>
      <c r="G232" s="73"/>
      <c r="H232" s="74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Z232"/>
      <c r="AC232"/>
      <c r="AH232"/>
      <c r="AL232" s="72"/>
    </row>
    <row r="233" spans="2:38" ht="12.9" customHeight="1">
      <c r="B233" s="75"/>
      <c r="C233" s="75"/>
      <c r="D233" s="75"/>
      <c r="E233" s="75"/>
      <c r="F233" s="73"/>
      <c r="G233" s="73"/>
      <c r="H233" s="74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Z233"/>
      <c r="AC233"/>
      <c r="AH233"/>
      <c r="AL233" s="72"/>
    </row>
    <row r="234" spans="2:38" ht="12.9" customHeight="1">
      <c r="B234" s="75"/>
      <c r="C234" s="75"/>
      <c r="D234" s="75"/>
      <c r="E234" s="75"/>
      <c r="F234" s="73"/>
      <c r="G234" s="73"/>
      <c r="H234" s="74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Z234"/>
      <c r="AC234"/>
      <c r="AH234"/>
      <c r="AL234" s="72"/>
    </row>
    <row r="235" spans="2:38" ht="12.9" customHeight="1">
      <c r="B235" s="75"/>
      <c r="C235" s="75"/>
      <c r="D235" s="75"/>
      <c r="E235" s="75"/>
      <c r="F235" s="73"/>
      <c r="G235" s="73"/>
      <c r="H235" s="74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Z235"/>
      <c r="AC235"/>
      <c r="AH235"/>
      <c r="AL235" s="72"/>
    </row>
    <row r="236" spans="2:38" ht="12.9" customHeight="1">
      <c r="B236" s="75"/>
      <c r="C236" s="75"/>
      <c r="D236" s="75"/>
      <c r="E236" s="75"/>
      <c r="F236" s="73"/>
      <c r="G236" s="73"/>
      <c r="H236" s="74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Z236"/>
      <c r="AC236"/>
      <c r="AH236"/>
      <c r="AL236" s="72"/>
    </row>
    <row r="237" spans="2:38" ht="12.9" customHeight="1">
      <c r="B237" s="75"/>
      <c r="C237" s="75"/>
      <c r="D237" s="75"/>
      <c r="E237" s="75"/>
      <c r="F237" s="73"/>
      <c r="G237" s="73"/>
      <c r="H237" s="74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Z237"/>
      <c r="AC237"/>
      <c r="AH237"/>
      <c r="AL237" s="72"/>
    </row>
    <row r="238" spans="2:38" ht="12.9" customHeight="1">
      <c r="B238" s="75"/>
      <c r="C238" s="75"/>
      <c r="D238" s="75"/>
      <c r="E238" s="75"/>
      <c r="F238" s="73"/>
      <c r="G238" s="73"/>
      <c r="H238" s="74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Z238"/>
      <c r="AC238"/>
      <c r="AH238"/>
      <c r="AL238" s="72"/>
    </row>
    <row r="239" spans="2:38" ht="12.9" customHeight="1">
      <c r="B239" s="75"/>
      <c r="C239" s="75"/>
      <c r="D239" s="75"/>
      <c r="E239" s="75"/>
      <c r="F239" s="73"/>
      <c r="G239" s="73"/>
      <c r="H239" s="74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Z239"/>
      <c r="AC239"/>
      <c r="AH239"/>
      <c r="AL239" s="72"/>
    </row>
    <row r="240" spans="2:38" ht="12.9" customHeight="1">
      <c r="B240" s="75"/>
      <c r="C240" s="75"/>
      <c r="D240" s="75"/>
      <c r="E240" s="75"/>
      <c r="F240" s="73"/>
      <c r="G240" s="73"/>
      <c r="H240" s="74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Z240"/>
      <c r="AC240"/>
      <c r="AH240"/>
      <c r="AL240" s="72"/>
    </row>
    <row r="241" spans="2:38" ht="12.9" customHeight="1">
      <c r="B241" s="75"/>
      <c r="C241" s="75"/>
      <c r="D241" s="75"/>
      <c r="E241" s="75"/>
      <c r="F241" s="73"/>
      <c r="G241" s="73"/>
      <c r="H241" s="74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Z241"/>
      <c r="AC241"/>
      <c r="AH241"/>
      <c r="AL241" s="72"/>
    </row>
    <row r="242" spans="2:38" ht="12.9" customHeight="1">
      <c r="B242" s="75"/>
      <c r="C242" s="75"/>
      <c r="D242" s="75"/>
      <c r="E242" s="75"/>
      <c r="F242" s="73"/>
      <c r="G242" s="73"/>
      <c r="H242" s="74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Z242"/>
      <c r="AC242"/>
      <c r="AH242"/>
      <c r="AL242" s="72"/>
    </row>
    <row r="243" spans="2:38" ht="12.9" customHeight="1">
      <c r="B243" s="75"/>
      <c r="C243" s="75"/>
      <c r="D243" s="75"/>
      <c r="E243" s="75"/>
      <c r="F243" s="73"/>
      <c r="G243" s="73"/>
      <c r="H243" s="74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Z243"/>
      <c r="AC243"/>
      <c r="AH243"/>
      <c r="AL243" s="72"/>
    </row>
    <row r="244" spans="2:38" ht="12.9" customHeight="1">
      <c r="B244" s="75"/>
      <c r="C244" s="75"/>
      <c r="D244" s="75"/>
      <c r="E244" s="75"/>
      <c r="F244" s="73"/>
      <c r="G244" s="73"/>
      <c r="H244" s="74"/>
      <c r="I244" s="121"/>
      <c r="J244" s="121"/>
      <c r="K244" s="121"/>
      <c r="L244" s="121"/>
      <c r="M244" s="121"/>
      <c r="N244" s="122"/>
      <c r="O244" s="122"/>
      <c r="P244" s="122"/>
      <c r="Q244" s="122"/>
      <c r="R244" s="122"/>
      <c r="S244" s="122"/>
      <c r="T244" s="122"/>
      <c r="Z244"/>
      <c r="AC244"/>
      <c r="AH244"/>
      <c r="AL244" s="72"/>
    </row>
    <row r="245" spans="2:38" ht="12.9" customHeight="1">
      <c r="B245" s="75"/>
      <c r="C245" s="75"/>
      <c r="D245" s="75"/>
      <c r="E245" s="75"/>
      <c r="F245" s="73"/>
      <c r="G245" s="73"/>
      <c r="H245" s="74"/>
      <c r="I245" s="121"/>
      <c r="J245" s="121"/>
      <c r="K245" s="121"/>
      <c r="L245" s="121"/>
      <c r="M245" s="121"/>
      <c r="N245" s="122"/>
      <c r="O245" s="122"/>
      <c r="P245" s="122"/>
      <c r="Q245" s="122"/>
      <c r="R245" s="122"/>
      <c r="S245" s="122"/>
      <c r="T245" s="122"/>
      <c r="Z245"/>
      <c r="AC245"/>
      <c r="AH245"/>
      <c r="AL245" s="72"/>
    </row>
    <row r="246" spans="2:38" ht="12.9" customHeight="1">
      <c r="B246" s="75"/>
      <c r="C246" s="75"/>
      <c r="D246" s="75"/>
      <c r="E246" s="75"/>
      <c r="F246" s="73"/>
      <c r="G246" s="73"/>
      <c r="H246" s="74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Z246"/>
      <c r="AC246"/>
      <c r="AH246"/>
      <c r="AL246" s="72"/>
    </row>
    <row r="247" spans="2:38" ht="12.9" customHeight="1">
      <c r="B247" s="75"/>
      <c r="C247" s="75"/>
      <c r="D247" s="75"/>
      <c r="E247" s="75"/>
      <c r="F247" s="73"/>
      <c r="G247" s="73"/>
      <c r="H247" s="74"/>
      <c r="I247" s="121"/>
      <c r="J247" s="121"/>
      <c r="K247" s="121"/>
      <c r="L247" s="121"/>
      <c r="M247" s="121"/>
      <c r="N247" s="122"/>
      <c r="O247" s="122"/>
      <c r="P247" s="122"/>
      <c r="Q247" s="122"/>
      <c r="R247" s="122"/>
      <c r="S247" s="122"/>
      <c r="T247" s="122"/>
      <c r="Z247"/>
      <c r="AC247"/>
      <c r="AH247"/>
      <c r="AL247" s="72"/>
    </row>
    <row r="248" spans="2:38" ht="12.9" customHeight="1">
      <c r="B248" s="75"/>
      <c r="C248" s="75"/>
      <c r="D248" s="75"/>
      <c r="E248" s="75"/>
      <c r="F248" s="73"/>
      <c r="G248" s="73"/>
      <c r="H248" s="74"/>
      <c r="I248" s="121"/>
      <c r="J248" s="121"/>
      <c r="K248" s="121"/>
      <c r="L248" s="121"/>
      <c r="M248" s="121"/>
      <c r="N248" s="122"/>
      <c r="O248" s="122"/>
      <c r="P248" s="122"/>
      <c r="Q248" s="122"/>
      <c r="R248" s="122"/>
      <c r="S248" s="122"/>
      <c r="T248" s="122"/>
      <c r="Z248"/>
      <c r="AC248"/>
      <c r="AH248"/>
      <c r="AL248" s="72"/>
    </row>
    <row r="249" spans="2:38" ht="12.9" customHeight="1">
      <c r="B249" s="75"/>
      <c r="C249" s="75"/>
      <c r="D249" s="75"/>
      <c r="E249" s="75"/>
      <c r="F249" s="73"/>
      <c r="G249" s="73"/>
      <c r="H249" s="74"/>
      <c r="I249" s="121"/>
      <c r="J249" s="121"/>
      <c r="K249" s="121"/>
      <c r="L249" s="121"/>
      <c r="M249" s="121"/>
      <c r="N249" s="122"/>
      <c r="O249" s="122"/>
      <c r="P249" s="122"/>
      <c r="Q249" s="122"/>
      <c r="R249" s="122"/>
      <c r="S249" s="122"/>
      <c r="T249" s="122"/>
      <c r="Z249"/>
      <c r="AC249"/>
      <c r="AH249"/>
      <c r="AL249" s="72"/>
    </row>
    <row r="250" spans="2:38" ht="12.9" customHeight="1">
      <c r="B250" s="75"/>
      <c r="C250" s="75"/>
      <c r="D250" s="75"/>
      <c r="E250" s="75"/>
      <c r="F250" s="73"/>
      <c r="G250" s="73"/>
      <c r="H250" s="74"/>
      <c r="I250" s="121"/>
      <c r="J250" s="121"/>
      <c r="K250" s="121"/>
      <c r="L250" s="121"/>
      <c r="M250" s="121"/>
      <c r="N250" s="122"/>
      <c r="O250" s="122"/>
      <c r="P250" s="122"/>
      <c r="Q250" s="122"/>
      <c r="R250" s="122"/>
      <c r="S250" s="122"/>
      <c r="T250" s="122"/>
      <c r="Z250"/>
      <c r="AC250"/>
      <c r="AH250"/>
      <c r="AL250" s="72"/>
    </row>
    <row r="251" spans="2:38" ht="12.9" customHeight="1">
      <c r="B251" s="75"/>
      <c r="C251" s="75"/>
      <c r="D251" s="75"/>
      <c r="E251" s="75"/>
      <c r="F251" s="73"/>
      <c r="G251" s="73"/>
      <c r="H251" s="74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Z251"/>
      <c r="AC251"/>
      <c r="AH251"/>
      <c r="AL251" s="72"/>
    </row>
    <row r="252" spans="2:38" ht="12.9" customHeight="1">
      <c r="B252" s="75"/>
      <c r="C252" s="75"/>
      <c r="D252" s="75"/>
      <c r="E252" s="75"/>
      <c r="F252" s="73"/>
      <c r="G252" s="73"/>
      <c r="H252" s="74"/>
      <c r="I252" s="121"/>
      <c r="J252" s="121"/>
      <c r="K252" s="121"/>
      <c r="L252" s="121"/>
      <c r="M252" s="121"/>
      <c r="N252" s="122"/>
      <c r="O252" s="122"/>
      <c r="P252" s="122"/>
      <c r="Q252" s="122"/>
      <c r="R252" s="122"/>
      <c r="S252" s="122"/>
      <c r="T252" s="122"/>
      <c r="Z252"/>
      <c r="AC252"/>
      <c r="AH252"/>
      <c r="AL252" s="72"/>
    </row>
    <row r="253" spans="2:38" ht="12.9" customHeight="1">
      <c r="B253" s="75"/>
      <c r="C253" s="75"/>
      <c r="D253" s="75"/>
      <c r="E253" s="75"/>
      <c r="F253" s="73"/>
      <c r="G253" s="73"/>
      <c r="H253" s="74"/>
      <c r="I253" s="121"/>
      <c r="J253" s="121"/>
      <c r="K253" s="121"/>
      <c r="L253" s="121"/>
      <c r="M253" s="121"/>
      <c r="N253" s="122"/>
      <c r="O253" s="122"/>
      <c r="P253" s="122"/>
      <c r="Q253" s="122"/>
      <c r="R253" s="122"/>
      <c r="S253" s="122"/>
      <c r="T253" s="122"/>
      <c r="Z253"/>
      <c r="AC253"/>
      <c r="AH253"/>
      <c r="AL253" s="72"/>
    </row>
    <row r="254" spans="2:38" ht="12.9" customHeight="1">
      <c r="B254" s="75"/>
      <c r="C254" s="75"/>
      <c r="D254" s="75"/>
      <c r="E254" s="75"/>
      <c r="F254" s="73"/>
      <c r="G254" s="73"/>
      <c r="H254" s="74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Z254"/>
      <c r="AC254"/>
      <c r="AH254"/>
      <c r="AL254" s="72"/>
    </row>
    <row r="255" spans="2:38" ht="12.9" customHeight="1">
      <c r="B255" s="75"/>
      <c r="C255" s="75"/>
      <c r="D255" s="75"/>
      <c r="E255" s="75"/>
      <c r="F255" s="73"/>
      <c r="G255" s="73"/>
      <c r="H255" s="74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Z255"/>
      <c r="AC255"/>
      <c r="AH255"/>
      <c r="AL255" s="72"/>
    </row>
    <row r="256" spans="2:38" ht="12.9" customHeight="1">
      <c r="B256" s="75"/>
      <c r="C256" s="75"/>
      <c r="D256" s="75"/>
      <c r="E256" s="75"/>
      <c r="F256" s="73"/>
      <c r="G256" s="73"/>
      <c r="H256" s="74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Z256"/>
      <c r="AC256"/>
      <c r="AH256"/>
      <c r="AL256" s="72"/>
    </row>
    <row r="257" spans="2:38" ht="12.9" customHeight="1">
      <c r="B257" s="75"/>
      <c r="C257" s="75"/>
      <c r="D257" s="75"/>
      <c r="E257" s="75"/>
      <c r="F257" s="73"/>
      <c r="G257" s="73"/>
      <c r="H257" s="74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Z257"/>
      <c r="AC257"/>
      <c r="AH257"/>
      <c r="AL257" s="72"/>
    </row>
    <row r="258" spans="2:38" ht="12.9" customHeight="1">
      <c r="B258" s="75"/>
      <c r="C258" s="75"/>
      <c r="D258" s="75"/>
      <c r="E258" s="75"/>
      <c r="F258" s="73"/>
      <c r="G258" s="73"/>
      <c r="H258" s="74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Z258"/>
      <c r="AC258"/>
      <c r="AH258"/>
      <c r="AL258" s="72"/>
    </row>
    <row r="259" spans="2:38" ht="12.9" customHeight="1">
      <c r="B259" s="75"/>
      <c r="C259" s="75"/>
      <c r="D259" s="75"/>
      <c r="E259" s="75"/>
      <c r="F259" s="73"/>
      <c r="G259" s="73"/>
      <c r="H259" s="74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Z259"/>
      <c r="AC259"/>
      <c r="AH259"/>
      <c r="AL259" s="72"/>
    </row>
    <row r="260" spans="2:38" ht="12.9" customHeight="1">
      <c r="B260" s="75"/>
      <c r="C260" s="75"/>
      <c r="D260" s="75"/>
      <c r="E260" s="75"/>
      <c r="F260" s="73"/>
      <c r="G260" s="73"/>
      <c r="H260" s="74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Z260"/>
      <c r="AC260"/>
      <c r="AH260"/>
      <c r="AL260" s="72"/>
    </row>
    <row r="261" spans="2:38" ht="12.9" customHeight="1">
      <c r="B261" s="75"/>
      <c r="C261" s="75"/>
      <c r="D261" s="75"/>
      <c r="E261" s="75"/>
      <c r="F261" s="73"/>
      <c r="G261" s="73"/>
      <c r="H261" s="74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Z261"/>
      <c r="AC261"/>
      <c r="AH261"/>
      <c r="AL261" s="72"/>
    </row>
    <row r="262" spans="2:38" ht="12.9" customHeight="1">
      <c r="B262" s="75"/>
      <c r="C262" s="75"/>
      <c r="D262" s="75"/>
      <c r="E262" s="75"/>
      <c r="F262" s="73"/>
      <c r="G262" s="73"/>
      <c r="H262" s="74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Z262"/>
      <c r="AC262"/>
      <c r="AH262"/>
      <c r="AL262" s="72"/>
    </row>
    <row r="263" spans="2:38" ht="12.9" customHeight="1">
      <c r="B263" s="75"/>
      <c r="C263" s="75"/>
      <c r="D263" s="75"/>
      <c r="E263" s="75"/>
      <c r="F263" s="73"/>
      <c r="G263" s="73"/>
      <c r="H263" s="74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Z263"/>
      <c r="AC263"/>
      <c r="AH263"/>
      <c r="AL263" s="72"/>
    </row>
    <row r="264" spans="2:38" ht="12.9" customHeight="1">
      <c r="B264" s="75"/>
      <c r="C264" s="75"/>
      <c r="D264" s="75"/>
      <c r="E264" s="75"/>
      <c r="F264" s="73"/>
      <c r="G264" s="73"/>
      <c r="H264" s="74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Z264"/>
      <c r="AC264"/>
      <c r="AH264"/>
      <c r="AL264" s="72"/>
    </row>
    <row r="265" spans="2:38" ht="12.9" customHeight="1">
      <c r="B265" s="75"/>
      <c r="C265" s="75"/>
      <c r="D265" s="75"/>
      <c r="E265" s="75"/>
      <c r="F265" s="73"/>
      <c r="G265" s="73"/>
      <c r="H265" s="74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Z265"/>
      <c r="AC265"/>
      <c r="AH265"/>
      <c r="AL265" s="72"/>
    </row>
    <row r="266" spans="2:38" ht="12.9" customHeight="1">
      <c r="B266" s="75"/>
      <c r="C266" s="75"/>
      <c r="D266" s="75"/>
      <c r="E266" s="75"/>
      <c r="F266" s="73"/>
      <c r="G266" s="73"/>
      <c r="H266" s="74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Z266"/>
      <c r="AC266"/>
      <c r="AH266"/>
      <c r="AL266" s="72"/>
    </row>
    <row r="267" spans="2:38" ht="12.9" customHeight="1">
      <c r="B267" s="75"/>
      <c r="C267" s="75"/>
      <c r="D267" s="75"/>
      <c r="E267" s="75"/>
      <c r="F267" s="73"/>
      <c r="G267" s="73"/>
      <c r="H267" s="74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Z267"/>
      <c r="AC267"/>
      <c r="AH267"/>
      <c r="AL267" s="72"/>
    </row>
    <row r="268" spans="2:38" ht="12.9" customHeight="1">
      <c r="B268" s="75"/>
      <c r="C268" s="75"/>
      <c r="D268" s="75"/>
      <c r="E268" s="75"/>
      <c r="F268" s="73"/>
      <c r="G268" s="73"/>
      <c r="H268" s="74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Z268"/>
      <c r="AC268"/>
      <c r="AH268"/>
      <c r="AL268" s="72"/>
    </row>
    <row r="269" spans="2:38" ht="12.9" customHeight="1">
      <c r="B269" s="75"/>
      <c r="C269" s="75"/>
      <c r="D269" s="75"/>
      <c r="E269" s="75"/>
      <c r="F269" s="73"/>
      <c r="G269" s="73"/>
      <c r="H269" s="73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Z269"/>
      <c r="AC269"/>
      <c r="AH269"/>
      <c r="AL269" s="72"/>
    </row>
    <row r="270" spans="2:38" ht="12.9" customHeight="1">
      <c r="B270" s="75"/>
      <c r="C270" s="75"/>
      <c r="D270" s="75"/>
      <c r="E270" s="75"/>
      <c r="F270" s="73"/>
      <c r="G270" s="73"/>
      <c r="H270" s="74"/>
      <c r="I270" s="121"/>
      <c r="J270" s="121"/>
      <c r="K270" s="121"/>
      <c r="L270" s="121"/>
      <c r="M270" s="121"/>
      <c r="N270" s="122"/>
      <c r="O270" s="122"/>
      <c r="P270" s="122"/>
      <c r="Q270" s="122"/>
      <c r="R270" s="122"/>
      <c r="S270" s="122"/>
      <c r="T270" s="122"/>
      <c r="Z270"/>
      <c r="AC270"/>
      <c r="AH270"/>
      <c r="AL270" s="72"/>
    </row>
    <row r="271" spans="2:38" ht="12.9" customHeight="1">
      <c r="B271" s="75"/>
      <c r="C271" s="75"/>
      <c r="D271" s="75"/>
      <c r="E271" s="75"/>
      <c r="F271" s="73"/>
      <c r="G271" s="73"/>
      <c r="H271" s="74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Z271"/>
      <c r="AC271"/>
      <c r="AH271"/>
      <c r="AL271" s="72"/>
    </row>
    <row r="272" spans="2:38" ht="12.9" customHeight="1">
      <c r="B272" s="75"/>
      <c r="C272" s="75"/>
      <c r="D272" s="75"/>
      <c r="E272" s="75"/>
      <c r="F272" s="73"/>
      <c r="G272" s="73"/>
      <c r="H272" s="74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Z272"/>
      <c r="AC272"/>
      <c r="AH272"/>
      <c r="AL272" s="72"/>
    </row>
    <row r="273" spans="2:38" ht="12.9" customHeight="1">
      <c r="B273" s="75"/>
      <c r="C273" s="75"/>
      <c r="D273" s="75"/>
      <c r="E273" s="75"/>
      <c r="F273" s="73"/>
      <c r="G273" s="73"/>
      <c r="H273" s="74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Z273"/>
      <c r="AC273"/>
      <c r="AH273"/>
      <c r="AL273" s="72"/>
    </row>
    <row r="274" spans="2:38" ht="12.9" customHeight="1">
      <c r="B274" s="75"/>
      <c r="C274" s="75"/>
      <c r="D274" s="75"/>
      <c r="E274" s="75"/>
      <c r="F274" s="73"/>
      <c r="G274" s="73"/>
      <c r="H274" s="74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Z274"/>
      <c r="AC274"/>
      <c r="AH274"/>
      <c r="AL274" s="72"/>
    </row>
    <row r="275" spans="2:38" ht="12.9" customHeight="1">
      <c r="B275" s="75"/>
      <c r="C275" s="75"/>
      <c r="D275" s="75"/>
      <c r="E275" s="75"/>
      <c r="F275" s="73"/>
      <c r="G275" s="73"/>
      <c r="H275" s="74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Z275"/>
      <c r="AC275"/>
      <c r="AH275"/>
      <c r="AL275" s="72"/>
    </row>
    <row r="276" spans="2:38" ht="12.9" customHeight="1">
      <c r="B276" s="75"/>
      <c r="C276" s="75"/>
      <c r="D276" s="75"/>
      <c r="E276" s="75"/>
      <c r="F276" s="73"/>
      <c r="G276" s="73"/>
      <c r="H276" s="74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Z276"/>
      <c r="AC276"/>
      <c r="AH276"/>
      <c r="AL276" s="72"/>
    </row>
    <row r="277" spans="2:38" ht="12.9" customHeight="1">
      <c r="B277" s="75"/>
      <c r="C277" s="75"/>
      <c r="D277" s="75"/>
      <c r="E277" s="75"/>
      <c r="F277" s="73"/>
      <c r="G277" s="73"/>
      <c r="H277" s="74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Z277"/>
      <c r="AC277"/>
      <c r="AH277"/>
      <c r="AL277" s="72"/>
    </row>
    <row r="278" spans="2:38" ht="12.9" customHeight="1">
      <c r="B278" s="75"/>
      <c r="C278" s="75"/>
      <c r="D278" s="75"/>
      <c r="E278" s="75"/>
      <c r="F278" s="73"/>
      <c r="G278" s="73"/>
      <c r="H278" s="74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Z278"/>
      <c r="AC278"/>
      <c r="AH278"/>
      <c r="AL278" s="72"/>
    </row>
    <row r="279" spans="2:38" ht="12.9" customHeight="1">
      <c r="B279" s="75"/>
      <c r="C279" s="75"/>
      <c r="D279" s="75"/>
      <c r="E279" s="75"/>
      <c r="F279" s="73"/>
      <c r="G279" s="73"/>
      <c r="H279" s="74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Z279"/>
      <c r="AC279"/>
      <c r="AH279"/>
      <c r="AL279" s="72"/>
    </row>
    <row r="280" spans="2:38" ht="12.9" customHeight="1">
      <c r="B280" s="75"/>
      <c r="C280" s="75"/>
      <c r="D280" s="75"/>
      <c r="E280" s="75"/>
      <c r="F280" s="73"/>
      <c r="G280" s="73"/>
      <c r="H280" s="74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Z280"/>
      <c r="AC280"/>
      <c r="AH280"/>
      <c r="AL280" s="72"/>
    </row>
    <row r="281" spans="2:38" ht="12.9" customHeight="1">
      <c r="B281" s="75"/>
      <c r="C281" s="75"/>
      <c r="D281" s="75"/>
      <c r="E281" s="75"/>
      <c r="F281" s="73"/>
      <c r="G281" s="73"/>
      <c r="H281" s="74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Z281"/>
      <c r="AC281"/>
      <c r="AH281"/>
      <c r="AL281" s="72"/>
    </row>
    <row r="282" spans="2:38" ht="12.9" customHeight="1">
      <c r="B282" s="75"/>
      <c r="C282" s="75"/>
      <c r="D282" s="75"/>
      <c r="E282" s="75"/>
      <c r="F282" s="73"/>
      <c r="G282" s="73"/>
      <c r="H282" s="74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Z282"/>
      <c r="AC282"/>
      <c r="AH282"/>
      <c r="AL282" s="72"/>
    </row>
    <row r="283" spans="2:38" ht="12.9" customHeight="1">
      <c r="B283" s="75"/>
      <c r="C283" s="75"/>
      <c r="D283" s="75"/>
      <c r="E283" s="75"/>
      <c r="F283" s="73"/>
      <c r="G283" s="73"/>
      <c r="H283" s="74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Z283"/>
      <c r="AC283"/>
      <c r="AH283"/>
      <c r="AL283" s="72"/>
    </row>
    <row r="284" spans="2:38" ht="12.9" customHeight="1">
      <c r="B284" s="75"/>
      <c r="C284" s="75"/>
      <c r="D284" s="75"/>
      <c r="E284" s="75"/>
      <c r="F284" s="73"/>
      <c r="G284" s="73"/>
      <c r="H284" s="74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Z284"/>
      <c r="AC284"/>
      <c r="AH284"/>
      <c r="AL284" s="72"/>
    </row>
    <row r="285" spans="2:38" ht="12.9" customHeight="1">
      <c r="B285" s="75"/>
      <c r="C285" s="75"/>
      <c r="D285" s="75"/>
      <c r="E285" s="75"/>
      <c r="F285" s="73"/>
      <c r="G285" s="73"/>
      <c r="H285" s="74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Z285"/>
      <c r="AC285"/>
      <c r="AH285"/>
      <c r="AL285" s="72"/>
    </row>
    <row r="286" spans="2:38" ht="12.9" customHeight="1">
      <c r="B286" s="75"/>
      <c r="C286" s="75"/>
      <c r="D286" s="75"/>
      <c r="E286" s="75"/>
      <c r="F286" s="73"/>
      <c r="G286" s="73"/>
      <c r="H286" s="74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Z286"/>
      <c r="AC286"/>
      <c r="AH286"/>
      <c r="AL286" s="72"/>
    </row>
    <row r="287" spans="2:38" ht="12.9" customHeight="1">
      <c r="B287" s="75"/>
      <c r="C287" s="75"/>
      <c r="D287" s="75"/>
      <c r="E287" s="75"/>
      <c r="F287" s="73"/>
      <c r="G287" s="73"/>
      <c r="H287" s="74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Z287"/>
      <c r="AC287"/>
      <c r="AH287"/>
      <c r="AL287" s="72"/>
    </row>
    <row r="288" spans="2:38" ht="12.9" customHeight="1">
      <c r="B288" s="75"/>
      <c r="C288" s="75"/>
      <c r="D288" s="75"/>
      <c r="E288" s="75"/>
      <c r="F288" s="73"/>
      <c r="G288" s="73"/>
      <c r="H288" s="74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Z288"/>
      <c r="AC288"/>
      <c r="AH288"/>
      <c r="AL288" s="72"/>
    </row>
    <row r="289" spans="2:38" ht="12.9" customHeight="1">
      <c r="B289" s="75"/>
      <c r="C289" s="75"/>
      <c r="D289" s="75"/>
      <c r="E289" s="75"/>
      <c r="F289" s="73"/>
      <c r="G289" s="73"/>
      <c r="H289" s="74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Z289"/>
      <c r="AC289"/>
      <c r="AH289"/>
      <c r="AL289" s="72"/>
    </row>
    <row r="290" spans="2:38" ht="12.9" customHeight="1">
      <c r="B290" s="75"/>
      <c r="C290" s="75"/>
      <c r="D290" s="75"/>
      <c r="E290" s="75"/>
      <c r="F290" s="73"/>
      <c r="G290" s="73"/>
      <c r="H290" s="74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Z290"/>
      <c r="AC290"/>
      <c r="AH290"/>
      <c r="AL290" s="72"/>
    </row>
    <row r="291" spans="2:38" ht="12.9" customHeight="1">
      <c r="B291" s="75"/>
      <c r="C291" s="75"/>
      <c r="D291" s="75"/>
      <c r="E291" s="75"/>
      <c r="F291" s="73"/>
      <c r="G291" s="73"/>
      <c r="H291" s="74"/>
      <c r="I291" s="121"/>
      <c r="J291" s="121"/>
      <c r="K291" s="121"/>
      <c r="L291" s="121"/>
      <c r="M291" s="121"/>
      <c r="N291" s="122"/>
      <c r="O291" s="122"/>
      <c r="P291" s="122"/>
      <c r="Q291" s="122"/>
      <c r="R291" s="122"/>
      <c r="S291" s="122"/>
      <c r="T291" s="122"/>
      <c r="Z291"/>
      <c r="AC291"/>
      <c r="AH291"/>
      <c r="AL291" s="72"/>
    </row>
    <row r="292" spans="2:38" ht="12.9" customHeight="1">
      <c r="B292" s="75"/>
      <c r="C292" s="75"/>
      <c r="D292" s="75"/>
      <c r="E292" s="75"/>
      <c r="F292" s="73"/>
      <c r="G292" s="73"/>
      <c r="H292" s="74"/>
      <c r="I292" s="121"/>
      <c r="J292" s="121"/>
      <c r="K292" s="121"/>
      <c r="L292" s="121"/>
      <c r="M292" s="121"/>
      <c r="N292" s="122"/>
      <c r="O292" s="122"/>
      <c r="P292" s="122"/>
      <c r="Q292" s="122"/>
      <c r="R292" s="122"/>
      <c r="S292" s="122"/>
      <c r="T292" s="122"/>
      <c r="Z292"/>
      <c r="AC292"/>
      <c r="AH292"/>
      <c r="AL292" s="72"/>
    </row>
    <row r="293" spans="2:38" ht="12.9" customHeight="1">
      <c r="B293" s="75"/>
      <c r="C293" s="75"/>
      <c r="D293" s="75"/>
      <c r="E293" s="75"/>
      <c r="F293" s="73"/>
      <c r="G293" s="73"/>
      <c r="H293" s="74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Z293"/>
      <c r="AC293"/>
      <c r="AH293"/>
      <c r="AL293" s="72"/>
    </row>
    <row r="294" spans="2:38" ht="12.9" customHeight="1">
      <c r="B294" s="75"/>
      <c r="C294" s="75"/>
      <c r="D294" s="75"/>
      <c r="E294" s="75"/>
      <c r="F294" s="73"/>
      <c r="G294" s="73"/>
      <c r="H294" s="74"/>
      <c r="I294" s="121"/>
      <c r="J294" s="121"/>
      <c r="K294" s="121"/>
      <c r="L294" s="121"/>
      <c r="M294" s="121"/>
      <c r="N294" s="122"/>
      <c r="O294" s="122"/>
      <c r="P294" s="122"/>
      <c r="Q294" s="122"/>
      <c r="R294" s="122"/>
      <c r="S294" s="122"/>
      <c r="T294" s="122"/>
      <c r="Z294"/>
      <c r="AC294"/>
      <c r="AH294"/>
      <c r="AL294" s="72"/>
    </row>
    <row r="295" spans="2:38" ht="12.9" customHeight="1">
      <c r="B295" s="75"/>
      <c r="C295" s="75"/>
      <c r="D295" s="75"/>
      <c r="E295" s="75"/>
      <c r="F295" s="73"/>
      <c r="G295" s="73"/>
      <c r="H295" s="74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Z295"/>
      <c r="AC295"/>
      <c r="AH295"/>
      <c r="AL295" s="72"/>
    </row>
    <row r="296" spans="2:38" ht="12.9" customHeight="1">
      <c r="B296" s="75"/>
      <c r="C296" s="75"/>
      <c r="D296" s="75"/>
      <c r="E296" s="75"/>
      <c r="F296" s="73"/>
      <c r="G296" s="73"/>
      <c r="H296" s="74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Z296"/>
      <c r="AC296"/>
      <c r="AH296"/>
      <c r="AL296" s="72"/>
    </row>
    <row r="297" spans="2:38" ht="12.9" customHeight="1">
      <c r="B297" s="75"/>
      <c r="C297" s="75"/>
      <c r="D297" s="75"/>
      <c r="E297" s="75"/>
      <c r="F297" s="73"/>
      <c r="G297" s="73"/>
      <c r="H297" s="74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Z297"/>
      <c r="AC297"/>
      <c r="AH297"/>
      <c r="AL297" s="72"/>
    </row>
    <row r="298" spans="2:38" ht="12.9" customHeight="1">
      <c r="B298" s="75"/>
      <c r="C298" s="75"/>
      <c r="D298" s="75"/>
      <c r="E298" s="75"/>
      <c r="F298" s="73"/>
      <c r="G298" s="73"/>
      <c r="H298" s="74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Z298"/>
      <c r="AC298"/>
      <c r="AH298"/>
      <c r="AL298" s="72"/>
    </row>
    <row r="299" spans="2:38" ht="12.9" customHeight="1">
      <c r="B299" s="75"/>
      <c r="C299" s="75"/>
      <c r="D299" s="75"/>
      <c r="E299" s="75"/>
      <c r="F299" s="73"/>
      <c r="G299" s="73"/>
      <c r="H299" s="74"/>
      <c r="I299" s="121"/>
      <c r="J299" s="121"/>
      <c r="K299" s="121"/>
      <c r="L299" s="121"/>
      <c r="M299" s="121"/>
      <c r="N299" s="98"/>
      <c r="O299" s="98"/>
      <c r="P299" s="98"/>
      <c r="Q299" s="98"/>
      <c r="R299" s="98"/>
      <c r="S299" s="98"/>
      <c r="T299" s="98"/>
      <c r="Z299"/>
      <c r="AC299"/>
      <c r="AH299"/>
      <c r="AL299" s="72"/>
    </row>
    <row r="300" spans="2:38" ht="12.9" customHeight="1">
      <c r="B300" s="75"/>
      <c r="C300" s="75"/>
      <c r="D300" s="75"/>
      <c r="E300" s="75"/>
      <c r="F300" s="73"/>
      <c r="G300" s="73"/>
      <c r="H300" s="74"/>
      <c r="I300" s="121"/>
      <c r="J300" s="121"/>
      <c r="K300" s="121"/>
      <c r="L300" s="121"/>
      <c r="M300" s="121"/>
      <c r="N300" s="98"/>
      <c r="O300" s="98"/>
      <c r="P300" s="98"/>
      <c r="Q300" s="98"/>
      <c r="R300" s="98"/>
      <c r="S300" s="98"/>
      <c r="T300" s="98"/>
      <c r="Z300"/>
      <c r="AC300"/>
      <c r="AH300"/>
      <c r="AL300" s="72"/>
    </row>
    <row r="301" spans="2:38" ht="12.9" customHeight="1">
      <c r="B301" s="75"/>
      <c r="C301" s="75"/>
      <c r="D301" s="75"/>
      <c r="E301" s="75"/>
      <c r="F301" s="73"/>
      <c r="G301" s="73"/>
      <c r="H301" s="74"/>
      <c r="I301" s="121"/>
      <c r="J301" s="121"/>
      <c r="K301" s="121"/>
      <c r="L301" s="121"/>
      <c r="M301" s="121"/>
      <c r="N301" s="98"/>
      <c r="O301" s="98"/>
      <c r="P301" s="98"/>
      <c r="Q301" s="98"/>
      <c r="R301" s="98"/>
      <c r="S301" s="98"/>
      <c r="T301" s="98"/>
      <c r="Z301"/>
      <c r="AC301"/>
      <c r="AH301"/>
      <c r="AL301" s="72"/>
    </row>
    <row r="302" spans="2:38" ht="12.9" customHeight="1">
      <c r="B302" s="75"/>
      <c r="C302" s="75"/>
      <c r="D302" s="75"/>
      <c r="E302" s="75"/>
      <c r="F302" s="73"/>
      <c r="G302" s="73"/>
      <c r="H302" s="74"/>
      <c r="I302" s="121"/>
      <c r="J302" s="121"/>
      <c r="K302" s="121"/>
      <c r="L302" s="121"/>
      <c r="M302" s="121"/>
      <c r="N302" s="99"/>
      <c r="O302" s="99"/>
      <c r="P302" s="99"/>
      <c r="Q302" s="99"/>
      <c r="R302" s="99"/>
      <c r="S302" s="99"/>
      <c r="T302" s="99"/>
      <c r="Z302"/>
      <c r="AC302"/>
      <c r="AH302"/>
      <c r="AL302" s="72"/>
    </row>
    <row r="303" spans="2:38" ht="12.9" customHeight="1">
      <c r="B303" s="75"/>
      <c r="C303" s="75"/>
      <c r="D303" s="75"/>
      <c r="E303" s="75"/>
      <c r="F303" s="73"/>
      <c r="G303" s="73"/>
      <c r="H303" s="74"/>
      <c r="I303" s="121"/>
      <c r="J303" s="121"/>
      <c r="K303" s="121"/>
      <c r="L303" s="121"/>
      <c r="M303" s="121"/>
      <c r="N303" s="98"/>
      <c r="O303" s="98"/>
      <c r="P303" s="98"/>
      <c r="Q303" s="98"/>
      <c r="R303" s="98"/>
      <c r="S303" s="98"/>
      <c r="T303" s="98"/>
      <c r="Z303"/>
      <c r="AC303"/>
      <c r="AH303"/>
      <c r="AL303" s="72"/>
    </row>
    <row r="304" spans="2:38" ht="12.9" customHeight="1">
      <c r="B304" s="75"/>
      <c r="C304" s="75"/>
      <c r="D304" s="75"/>
      <c r="E304" s="75"/>
      <c r="F304" s="73"/>
      <c r="G304" s="73"/>
      <c r="H304" s="74"/>
      <c r="I304" s="121"/>
      <c r="J304" s="121"/>
      <c r="K304" s="121"/>
      <c r="L304" s="121"/>
      <c r="M304" s="121"/>
      <c r="N304" s="98"/>
      <c r="O304" s="98"/>
      <c r="P304" s="98"/>
      <c r="Q304" s="98"/>
      <c r="R304" s="98"/>
      <c r="S304" s="98"/>
      <c r="T304" s="98"/>
      <c r="Z304"/>
      <c r="AC304"/>
      <c r="AH304"/>
      <c r="AL304" s="72"/>
    </row>
    <row r="305" spans="2:38" ht="12.9" customHeight="1">
      <c r="B305" s="75"/>
      <c r="C305" s="75"/>
      <c r="D305" s="75"/>
      <c r="E305" s="75"/>
      <c r="F305" s="73"/>
      <c r="G305" s="73"/>
      <c r="H305" s="74"/>
      <c r="I305" s="121"/>
      <c r="J305" s="121"/>
      <c r="K305" s="121"/>
      <c r="L305" s="121"/>
      <c r="M305" s="121"/>
      <c r="N305" s="98"/>
      <c r="O305" s="98"/>
      <c r="P305" s="98"/>
      <c r="Q305" s="98"/>
      <c r="R305" s="98"/>
      <c r="S305" s="98"/>
      <c r="T305" s="98"/>
      <c r="Z305"/>
      <c r="AC305"/>
      <c r="AH305"/>
      <c r="AL305" s="72"/>
    </row>
    <row r="306" spans="2:38" ht="12.9" customHeight="1">
      <c r="B306" s="75"/>
      <c r="C306" s="75"/>
      <c r="D306" s="75"/>
      <c r="E306" s="75"/>
      <c r="F306" s="73"/>
      <c r="G306" s="73"/>
      <c r="H306" s="74"/>
      <c r="I306" s="121"/>
      <c r="J306" s="121"/>
      <c r="K306" s="121"/>
      <c r="L306" s="121"/>
      <c r="M306" s="121"/>
      <c r="N306" s="98"/>
      <c r="O306" s="98"/>
      <c r="P306" s="98"/>
      <c r="Q306" s="98"/>
      <c r="R306" s="98"/>
      <c r="S306" s="98"/>
      <c r="T306" s="98"/>
      <c r="Z306"/>
      <c r="AC306"/>
      <c r="AH306"/>
      <c r="AL306" s="72"/>
    </row>
    <row r="307" spans="2:38" ht="12.9" customHeight="1">
      <c r="B307" s="75"/>
      <c r="C307" s="75"/>
      <c r="D307" s="75"/>
      <c r="E307" s="75"/>
      <c r="F307" s="73"/>
      <c r="G307" s="73"/>
      <c r="H307" s="74"/>
      <c r="I307" s="121"/>
      <c r="J307" s="121"/>
      <c r="K307" s="121"/>
      <c r="L307" s="121"/>
      <c r="M307" s="121"/>
      <c r="N307" s="98"/>
      <c r="O307" s="98"/>
      <c r="P307" s="98"/>
      <c r="Q307" s="98"/>
      <c r="R307" s="98"/>
      <c r="S307" s="98"/>
      <c r="T307" s="98"/>
      <c r="Z307"/>
      <c r="AC307"/>
      <c r="AH307"/>
      <c r="AL307" s="72"/>
    </row>
    <row r="308" spans="2:38" ht="12.9" customHeight="1">
      <c r="B308" s="75"/>
      <c r="C308" s="75"/>
      <c r="D308" s="75"/>
      <c r="E308" s="75"/>
      <c r="F308" s="73"/>
      <c r="G308" s="73"/>
      <c r="H308" s="74"/>
      <c r="I308" s="121"/>
      <c r="J308" s="121"/>
      <c r="K308" s="121"/>
      <c r="L308" s="121"/>
      <c r="M308" s="121"/>
      <c r="N308" s="98"/>
      <c r="O308" s="98"/>
      <c r="P308" s="98"/>
      <c r="Q308" s="98"/>
      <c r="R308" s="98"/>
      <c r="S308" s="98"/>
      <c r="T308" s="98"/>
      <c r="Z308"/>
      <c r="AC308"/>
      <c r="AH308"/>
      <c r="AL308" s="72"/>
    </row>
    <row r="309" spans="2:38" ht="12.9" customHeight="1">
      <c r="B309" s="75"/>
      <c r="C309" s="75"/>
      <c r="D309" s="75"/>
      <c r="E309" s="75"/>
      <c r="F309" s="73"/>
      <c r="G309" s="73"/>
      <c r="H309" s="74"/>
      <c r="I309" s="121"/>
      <c r="J309" s="121"/>
      <c r="K309" s="121"/>
      <c r="L309" s="121"/>
      <c r="M309" s="121"/>
      <c r="N309" s="98"/>
      <c r="O309" s="98"/>
      <c r="P309" s="98"/>
      <c r="Q309" s="98"/>
      <c r="R309" s="98"/>
      <c r="S309" s="98"/>
      <c r="T309" s="98"/>
      <c r="Z309"/>
      <c r="AC309"/>
      <c r="AH309"/>
      <c r="AL309" s="72"/>
    </row>
    <row r="310" spans="2:38" ht="12.9" customHeight="1">
      <c r="B310" s="75"/>
      <c r="C310" s="75"/>
      <c r="D310" s="75"/>
      <c r="E310" s="75"/>
      <c r="F310" s="73"/>
      <c r="G310" s="73"/>
      <c r="H310" s="74"/>
      <c r="I310" s="121"/>
      <c r="J310" s="121"/>
      <c r="K310" s="121"/>
      <c r="L310" s="121"/>
      <c r="M310" s="121"/>
      <c r="N310" s="98"/>
      <c r="O310" s="98"/>
      <c r="P310" s="98"/>
      <c r="Q310" s="98"/>
      <c r="R310" s="98"/>
      <c r="S310" s="98"/>
      <c r="T310" s="98"/>
      <c r="Z310"/>
      <c r="AC310"/>
      <c r="AH310"/>
      <c r="AL310" s="72"/>
    </row>
    <row r="311" spans="2:38" ht="12.9" customHeight="1">
      <c r="B311" s="75"/>
      <c r="C311" s="75"/>
      <c r="D311" s="75"/>
      <c r="E311" s="75"/>
      <c r="F311" s="73"/>
      <c r="G311" s="73"/>
      <c r="H311" s="74"/>
      <c r="I311" s="121"/>
      <c r="J311" s="121"/>
      <c r="K311" s="121"/>
      <c r="L311" s="121"/>
      <c r="M311" s="121"/>
      <c r="N311" s="98"/>
      <c r="O311" s="98"/>
      <c r="P311" s="98"/>
      <c r="Q311" s="98"/>
      <c r="R311" s="98"/>
      <c r="S311" s="98"/>
      <c r="T311" s="98"/>
      <c r="Z311"/>
      <c r="AC311"/>
      <c r="AH311"/>
      <c r="AL311" s="72"/>
    </row>
    <row r="312" spans="2:38" ht="12.9" customHeight="1">
      <c r="B312" s="75"/>
      <c r="C312" s="75"/>
      <c r="D312" s="75"/>
      <c r="E312" s="75"/>
      <c r="F312" s="73"/>
      <c r="G312" s="73"/>
      <c r="H312" s="74"/>
      <c r="I312" s="121"/>
      <c r="J312" s="121"/>
      <c r="K312" s="121"/>
      <c r="L312" s="121"/>
      <c r="M312" s="121"/>
      <c r="N312" s="98"/>
      <c r="O312" s="98"/>
      <c r="P312" s="98"/>
      <c r="Q312" s="98"/>
      <c r="R312" s="98"/>
      <c r="S312" s="98"/>
      <c r="T312" s="98"/>
      <c r="Z312"/>
      <c r="AC312"/>
      <c r="AH312"/>
      <c r="AL312" s="72"/>
    </row>
    <row r="313" spans="2:38" ht="12.9" customHeight="1">
      <c r="B313" s="75"/>
      <c r="C313" s="75"/>
      <c r="D313" s="75"/>
      <c r="E313" s="75"/>
      <c r="F313" s="73"/>
      <c r="G313" s="73"/>
      <c r="H313" s="74"/>
      <c r="I313" s="121"/>
      <c r="J313" s="121"/>
      <c r="K313" s="121"/>
      <c r="L313" s="121"/>
      <c r="M313" s="121"/>
      <c r="N313" s="98"/>
      <c r="O313" s="98"/>
      <c r="P313" s="98"/>
      <c r="Q313" s="98"/>
      <c r="R313" s="98"/>
      <c r="S313" s="98"/>
      <c r="T313" s="98"/>
      <c r="Z313"/>
      <c r="AC313"/>
      <c r="AH313"/>
      <c r="AL313" s="72"/>
    </row>
    <row r="314" spans="2:38" ht="12.9" customHeight="1">
      <c r="B314" s="75"/>
      <c r="C314" s="75"/>
      <c r="D314" s="75"/>
      <c r="E314" s="75"/>
      <c r="F314" s="73"/>
      <c r="G314" s="73"/>
      <c r="H314" s="74"/>
      <c r="I314" s="121"/>
      <c r="J314" s="121"/>
      <c r="K314" s="121"/>
      <c r="L314" s="121"/>
      <c r="M314" s="121"/>
      <c r="N314" s="98"/>
      <c r="O314" s="98"/>
      <c r="P314" s="98"/>
      <c r="Q314" s="98"/>
      <c r="R314" s="98"/>
      <c r="S314" s="98"/>
      <c r="T314" s="98"/>
      <c r="Z314"/>
      <c r="AC314"/>
      <c r="AH314"/>
      <c r="AL314" s="72"/>
    </row>
    <row r="315" spans="2:38" ht="12.9" customHeight="1">
      <c r="B315" s="75"/>
      <c r="C315" s="75"/>
      <c r="D315" s="75"/>
      <c r="E315" s="75"/>
      <c r="F315" s="73"/>
      <c r="G315" s="73"/>
      <c r="H315" s="74"/>
      <c r="I315" s="121"/>
      <c r="J315" s="121"/>
      <c r="K315" s="121"/>
      <c r="L315" s="121"/>
      <c r="M315" s="121"/>
      <c r="N315" s="98"/>
      <c r="O315" s="98"/>
      <c r="P315" s="98"/>
      <c r="Q315" s="98"/>
      <c r="R315" s="98"/>
      <c r="S315" s="98"/>
      <c r="T315" s="98"/>
      <c r="Z315"/>
      <c r="AC315"/>
      <c r="AH315"/>
      <c r="AL315" s="72"/>
    </row>
    <row r="316" spans="2:38" ht="12.9" customHeight="1">
      <c r="B316" s="75"/>
      <c r="C316" s="75"/>
      <c r="D316" s="75"/>
      <c r="E316" s="75"/>
      <c r="F316" s="73"/>
      <c r="G316" s="73"/>
      <c r="H316" s="74"/>
      <c r="I316" s="121"/>
      <c r="J316" s="121"/>
      <c r="K316" s="121"/>
      <c r="L316" s="121"/>
      <c r="M316" s="121"/>
      <c r="N316" s="98"/>
      <c r="O316" s="98"/>
      <c r="P316" s="98"/>
      <c r="Q316" s="98"/>
      <c r="R316" s="98"/>
      <c r="S316" s="98"/>
      <c r="T316" s="98"/>
      <c r="Z316"/>
      <c r="AC316"/>
      <c r="AH316"/>
      <c r="AL316" s="72"/>
    </row>
    <row r="317" spans="2:38" ht="12.9" customHeight="1">
      <c r="B317" s="75"/>
      <c r="C317" s="75"/>
      <c r="D317" s="75"/>
      <c r="E317" s="75"/>
      <c r="F317" s="73"/>
      <c r="G317" s="73"/>
      <c r="H317" s="74"/>
      <c r="I317" s="121"/>
      <c r="J317" s="121"/>
      <c r="K317" s="121"/>
      <c r="L317" s="121"/>
      <c r="M317" s="121"/>
      <c r="N317" s="98"/>
      <c r="O317" s="98"/>
      <c r="P317" s="98"/>
      <c r="Q317" s="98"/>
      <c r="R317" s="98"/>
      <c r="S317" s="98"/>
      <c r="T317" s="98"/>
      <c r="Z317"/>
      <c r="AC317"/>
      <c r="AH317"/>
      <c r="AL317" s="72"/>
    </row>
    <row r="318" spans="2:38" ht="12.9" customHeight="1">
      <c r="B318" s="75"/>
      <c r="C318" s="75"/>
      <c r="D318" s="75"/>
      <c r="E318" s="75"/>
      <c r="F318" s="73"/>
      <c r="G318" s="73"/>
      <c r="H318" s="74"/>
      <c r="I318" s="121"/>
      <c r="J318" s="121"/>
      <c r="K318" s="121"/>
      <c r="L318" s="121"/>
      <c r="M318" s="121"/>
      <c r="N318" s="98"/>
      <c r="O318" s="98"/>
      <c r="P318" s="98"/>
      <c r="Q318" s="98"/>
      <c r="R318" s="98"/>
      <c r="S318" s="98"/>
      <c r="T318" s="98"/>
      <c r="Z318"/>
      <c r="AC318"/>
      <c r="AH318"/>
      <c r="AL318" s="72"/>
    </row>
    <row r="319" spans="2:38" ht="12.9" customHeight="1">
      <c r="B319" s="75"/>
      <c r="C319" s="75"/>
      <c r="D319" s="75"/>
      <c r="E319" s="75"/>
      <c r="F319" s="73"/>
      <c r="G319" s="73"/>
      <c r="H319" s="74"/>
      <c r="I319" s="121"/>
      <c r="J319" s="121"/>
      <c r="K319" s="121"/>
      <c r="L319" s="121"/>
      <c r="M319" s="121"/>
      <c r="N319" s="98"/>
      <c r="O319" s="98"/>
      <c r="P319" s="98"/>
      <c r="Q319" s="98"/>
      <c r="R319" s="98"/>
      <c r="S319" s="98"/>
      <c r="T319" s="98"/>
      <c r="Z319"/>
      <c r="AC319"/>
      <c r="AH319"/>
      <c r="AL319" s="72"/>
    </row>
    <row r="320" spans="2:38" ht="12.9" customHeight="1">
      <c r="B320" s="75"/>
      <c r="C320" s="75"/>
      <c r="D320" s="75"/>
      <c r="E320" s="75"/>
      <c r="F320" s="73"/>
      <c r="G320" s="73"/>
      <c r="H320" s="74"/>
      <c r="I320" s="121"/>
      <c r="J320" s="121"/>
      <c r="K320" s="121"/>
      <c r="L320" s="121"/>
      <c r="M320" s="121"/>
      <c r="N320" s="98"/>
      <c r="O320" s="98"/>
      <c r="P320" s="98"/>
      <c r="Q320" s="98"/>
      <c r="R320" s="98"/>
      <c r="S320" s="98"/>
      <c r="T320" s="98"/>
      <c r="Z320"/>
      <c r="AC320"/>
      <c r="AH320"/>
      <c r="AL320" s="72"/>
    </row>
    <row r="321" spans="2:38" ht="12.9" customHeight="1">
      <c r="B321" s="75"/>
      <c r="C321" s="75"/>
      <c r="D321" s="75"/>
      <c r="E321" s="75"/>
      <c r="F321" s="73"/>
      <c r="G321" s="73"/>
      <c r="H321" s="74"/>
      <c r="I321" s="121"/>
      <c r="J321" s="121"/>
      <c r="K321" s="121"/>
      <c r="L321" s="121"/>
      <c r="M321" s="121"/>
      <c r="N321" s="98"/>
      <c r="O321" s="98"/>
      <c r="P321" s="98"/>
      <c r="Q321" s="98"/>
      <c r="R321" s="98"/>
      <c r="S321" s="98"/>
      <c r="T321" s="98"/>
      <c r="Z321"/>
      <c r="AC321"/>
      <c r="AH321"/>
      <c r="AL321" s="72"/>
    </row>
    <row r="322" spans="2:38" ht="12.9" customHeight="1">
      <c r="B322" s="75"/>
      <c r="C322" s="75"/>
      <c r="D322" s="75"/>
      <c r="E322" s="75"/>
      <c r="F322" s="73"/>
      <c r="G322" s="73"/>
      <c r="H322" s="74"/>
      <c r="I322" s="121"/>
      <c r="J322" s="121"/>
      <c r="K322" s="121"/>
      <c r="L322" s="121"/>
      <c r="M322" s="121"/>
      <c r="N322" s="98"/>
      <c r="O322" s="98"/>
      <c r="P322" s="98"/>
      <c r="Q322" s="98"/>
      <c r="R322" s="98"/>
      <c r="S322" s="98"/>
      <c r="T322" s="98"/>
      <c r="Z322"/>
      <c r="AC322"/>
      <c r="AH322"/>
      <c r="AL322" s="72"/>
    </row>
    <row r="323" spans="2:38" ht="12.9" customHeight="1">
      <c r="B323" s="75"/>
      <c r="C323" s="75"/>
      <c r="D323" s="75"/>
      <c r="E323" s="75"/>
      <c r="F323" s="73"/>
      <c r="G323" s="73"/>
      <c r="H323" s="74"/>
      <c r="I323" s="121"/>
      <c r="J323" s="121"/>
      <c r="K323" s="121"/>
      <c r="L323" s="121"/>
      <c r="M323" s="121"/>
      <c r="N323" s="98"/>
      <c r="O323" s="98"/>
      <c r="P323" s="98"/>
      <c r="Q323" s="98"/>
      <c r="R323" s="98"/>
      <c r="S323" s="98"/>
      <c r="T323" s="98"/>
      <c r="Z323"/>
      <c r="AC323"/>
      <c r="AH323"/>
      <c r="AL323" s="72"/>
    </row>
    <row r="324" spans="2:38" ht="12.9" customHeight="1">
      <c r="B324" s="75"/>
      <c r="C324" s="75"/>
      <c r="D324" s="75"/>
      <c r="E324" s="75"/>
      <c r="F324" s="73"/>
      <c r="G324" s="73"/>
      <c r="H324" s="74"/>
      <c r="I324" s="121"/>
      <c r="J324" s="121"/>
      <c r="K324" s="121"/>
      <c r="L324" s="121"/>
      <c r="M324" s="121"/>
      <c r="N324" s="98"/>
      <c r="O324" s="98"/>
      <c r="P324" s="98"/>
      <c r="Q324" s="98"/>
      <c r="R324" s="98"/>
      <c r="S324" s="98"/>
      <c r="T324" s="98"/>
      <c r="Z324"/>
      <c r="AC324"/>
      <c r="AH324"/>
      <c r="AL324" s="72"/>
    </row>
    <row r="325" spans="2:38" ht="12.9" customHeight="1">
      <c r="B325" s="75"/>
      <c r="C325" s="75"/>
      <c r="D325" s="75"/>
      <c r="E325" s="75"/>
      <c r="F325" s="73"/>
      <c r="G325" s="73"/>
      <c r="H325" s="74"/>
      <c r="I325" s="121"/>
      <c r="J325" s="121"/>
      <c r="K325" s="121"/>
      <c r="L325" s="121"/>
      <c r="M325" s="121"/>
      <c r="N325" s="98"/>
      <c r="O325" s="98"/>
      <c r="P325" s="98"/>
      <c r="Q325" s="98"/>
      <c r="R325" s="98"/>
      <c r="S325" s="98"/>
      <c r="T325" s="98"/>
      <c r="Z325"/>
      <c r="AC325"/>
      <c r="AH325"/>
      <c r="AL325" s="72"/>
    </row>
    <row r="326" spans="2:38" ht="12.9" customHeight="1">
      <c r="B326" s="75"/>
      <c r="C326" s="75"/>
      <c r="D326" s="75"/>
      <c r="E326" s="75"/>
      <c r="F326" s="73"/>
      <c r="G326" s="73"/>
      <c r="H326" s="74"/>
      <c r="I326" s="121"/>
      <c r="J326" s="121"/>
      <c r="K326" s="121"/>
      <c r="L326" s="121"/>
      <c r="M326" s="121"/>
      <c r="N326" s="98"/>
      <c r="O326" s="98"/>
      <c r="P326" s="98"/>
      <c r="Q326" s="98"/>
      <c r="R326" s="98"/>
      <c r="S326" s="98"/>
      <c r="T326" s="98"/>
      <c r="Z326"/>
      <c r="AC326"/>
      <c r="AH326"/>
      <c r="AL326" s="72"/>
    </row>
    <row r="327" spans="2:38" ht="12.9" customHeight="1">
      <c r="B327" s="75"/>
      <c r="C327" s="75"/>
      <c r="D327" s="75"/>
      <c r="E327" s="75"/>
      <c r="F327" s="73"/>
      <c r="G327" s="73"/>
      <c r="H327" s="74"/>
      <c r="I327" s="121"/>
      <c r="J327" s="121"/>
      <c r="K327" s="121"/>
      <c r="L327" s="121"/>
      <c r="M327" s="121"/>
      <c r="N327" s="98"/>
      <c r="O327" s="98"/>
      <c r="P327" s="98"/>
      <c r="Q327" s="98"/>
      <c r="R327" s="98"/>
      <c r="S327" s="98"/>
      <c r="T327" s="98"/>
      <c r="Z327"/>
      <c r="AC327"/>
      <c r="AH327"/>
      <c r="AL327" s="72"/>
    </row>
    <row r="328" spans="2:38" ht="12.9" customHeight="1">
      <c r="B328" s="75"/>
      <c r="C328" s="75"/>
      <c r="D328" s="75"/>
      <c r="E328" s="75"/>
      <c r="F328" s="73"/>
      <c r="G328" s="73"/>
      <c r="H328" s="74"/>
      <c r="I328" s="121"/>
      <c r="J328" s="121"/>
      <c r="K328" s="121"/>
      <c r="L328" s="121"/>
      <c r="M328" s="121"/>
      <c r="N328" s="98"/>
      <c r="O328" s="98"/>
      <c r="P328" s="98"/>
      <c r="Q328" s="98"/>
      <c r="R328" s="98"/>
      <c r="S328" s="98"/>
      <c r="T328" s="98"/>
      <c r="Z328"/>
      <c r="AC328"/>
      <c r="AH328"/>
      <c r="AL328" s="72"/>
    </row>
    <row r="329" spans="2:38" ht="12.9" customHeight="1">
      <c r="B329" s="75"/>
      <c r="C329" s="75"/>
      <c r="D329" s="75"/>
      <c r="E329" s="75"/>
      <c r="F329" s="73"/>
      <c r="G329" s="73"/>
      <c r="H329" s="74"/>
      <c r="I329" s="121"/>
      <c r="J329" s="121"/>
      <c r="K329" s="121"/>
      <c r="L329" s="121"/>
      <c r="M329" s="121"/>
      <c r="N329" s="98"/>
      <c r="O329" s="98"/>
      <c r="P329" s="98"/>
      <c r="Q329" s="98"/>
      <c r="R329" s="98"/>
      <c r="S329" s="98"/>
      <c r="T329" s="98"/>
      <c r="Z329"/>
      <c r="AC329"/>
      <c r="AH329"/>
      <c r="AL329" s="72"/>
    </row>
    <row r="330" spans="2:38" ht="12.9" customHeight="1">
      <c r="B330" s="75"/>
      <c r="C330" s="75"/>
      <c r="D330" s="75"/>
      <c r="E330" s="75"/>
      <c r="F330" s="73"/>
      <c r="G330" s="73"/>
      <c r="H330" s="74"/>
      <c r="I330" s="121"/>
      <c r="J330" s="121"/>
      <c r="K330" s="121"/>
      <c r="L330" s="121"/>
      <c r="M330" s="121"/>
      <c r="N330" s="98"/>
      <c r="O330" s="98"/>
      <c r="P330" s="98"/>
      <c r="Q330" s="98"/>
      <c r="R330" s="98"/>
      <c r="S330" s="98"/>
      <c r="T330" s="98"/>
      <c r="Z330"/>
      <c r="AC330"/>
      <c r="AH330"/>
      <c r="AL330" s="72"/>
    </row>
    <row r="331" spans="2:38" ht="12.9" customHeight="1">
      <c r="B331" s="75"/>
      <c r="C331" s="75"/>
      <c r="D331" s="75"/>
      <c r="E331" s="75"/>
      <c r="F331" s="73"/>
      <c r="G331" s="73"/>
      <c r="H331" s="74"/>
      <c r="I331" s="121"/>
      <c r="J331" s="121"/>
      <c r="K331" s="121"/>
      <c r="L331" s="121"/>
      <c r="M331" s="121"/>
      <c r="N331" s="98"/>
      <c r="O331" s="98"/>
      <c r="P331" s="98"/>
      <c r="Q331" s="98"/>
      <c r="R331" s="98"/>
      <c r="S331" s="98"/>
      <c r="T331" s="98"/>
      <c r="Z331"/>
      <c r="AC331"/>
      <c r="AH331"/>
      <c r="AL331" s="72"/>
    </row>
    <row r="332" spans="2:38" ht="12.9" customHeight="1">
      <c r="B332" s="75"/>
      <c r="C332" s="75"/>
      <c r="D332" s="75"/>
      <c r="E332" s="75"/>
      <c r="F332" s="73"/>
      <c r="G332" s="73"/>
      <c r="H332" s="74"/>
      <c r="I332" s="121"/>
      <c r="J332" s="121"/>
      <c r="K332" s="121"/>
      <c r="L332" s="121"/>
      <c r="M332" s="121"/>
      <c r="N332" s="98"/>
      <c r="O332" s="98"/>
      <c r="P332" s="98"/>
      <c r="Q332" s="98"/>
      <c r="R332" s="98"/>
      <c r="S332" s="98"/>
      <c r="T332" s="98"/>
      <c r="Z332"/>
      <c r="AC332"/>
      <c r="AH332"/>
      <c r="AL332" s="72"/>
    </row>
    <row r="333" spans="2:38" ht="12.9" customHeight="1">
      <c r="B333" s="75"/>
      <c r="C333" s="75"/>
      <c r="D333" s="75"/>
      <c r="E333" s="75"/>
      <c r="F333" s="73"/>
      <c r="G333" s="73"/>
      <c r="H333" s="74"/>
      <c r="I333" s="121"/>
      <c r="J333" s="121"/>
      <c r="K333" s="121"/>
      <c r="L333" s="121"/>
      <c r="M333" s="121"/>
      <c r="N333" s="98"/>
      <c r="O333" s="98"/>
      <c r="P333" s="98"/>
      <c r="Q333" s="98"/>
      <c r="R333" s="98"/>
      <c r="S333" s="98"/>
      <c r="T333" s="98"/>
      <c r="Z333"/>
      <c r="AC333"/>
      <c r="AH333"/>
      <c r="AL333" s="72"/>
    </row>
    <row r="334" spans="2:38" ht="12.9" customHeight="1">
      <c r="B334" s="75"/>
      <c r="C334" s="75"/>
      <c r="D334" s="75"/>
      <c r="E334" s="75"/>
      <c r="F334" s="73"/>
      <c r="G334" s="73"/>
      <c r="H334" s="74"/>
      <c r="I334" s="121"/>
      <c r="J334" s="121"/>
      <c r="K334" s="121"/>
      <c r="L334" s="121"/>
      <c r="M334" s="121"/>
      <c r="N334" s="98"/>
      <c r="O334" s="98"/>
      <c r="P334" s="98"/>
      <c r="Q334" s="98"/>
      <c r="R334" s="98"/>
      <c r="S334" s="98"/>
      <c r="T334" s="98"/>
      <c r="Z334"/>
      <c r="AC334"/>
      <c r="AH334"/>
      <c r="AL334" s="72"/>
    </row>
    <row r="335" spans="2:38" ht="12.9" customHeight="1">
      <c r="B335" s="75"/>
      <c r="C335" s="75"/>
      <c r="D335" s="75"/>
      <c r="E335" s="75"/>
      <c r="F335" s="73"/>
      <c r="G335" s="73"/>
      <c r="H335" s="74"/>
      <c r="I335" s="121"/>
      <c r="J335" s="121"/>
      <c r="K335" s="121"/>
      <c r="L335" s="121"/>
      <c r="M335" s="121"/>
      <c r="N335" s="98"/>
      <c r="O335" s="98"/>
      <c r="P335" s="98"/>
      <c r="Q335" s="98"/>
      <c r="R335" s="98"/>
      <c r="S335" s="98"/>
      <c r="T335" s="98"/>
      <c r="Z335"/>
      <c r="AC335"/>
      <c r="AH335"/>
      <c r="AL335" s="72"/>
    </row>
    <row r="336" spans="2:38" ht="12.9" customHeight="1">
      <c r="B336" s="75"/>
      <c r="C336" s="75"/>
      <c r="D336" s="75"/>
      <c r="E336" s="75"/>
      <c r="F336" s="73"/>
      <c r="G336" s="73"/>
      <c r="H336" s="74"/>
      <c r="I336" s="121"/>
      <c r="J336" s="121"/>
      <c r="K336" s="121"/>
      <c r="L336" s="121"/>
      <c r="M336" s="121"/>
      <c r="N336" s="98"/>
      <c r="O336" s="98"/>
      <c r="P336" s="98"/>
      <c r="Q336" s="98"/>
      <c r="R336" s="98"/>
      <c r="S336" s="98"/>
      <c r="T336" s="98"/>
      <c r="Z336"/>
      <c r="AC336"/>
      <c r="AH336"/>
      <c r="AL336" s="72"/>
    </row>
    <row r="337" spans="2:38" ht="12.9" customHeight="1">
      <c r="B337" s="75"/>
      <c r="C337" s="75"/>
      <c r="D337" s="75"/>
      <c r="E337" s="75"/>
      <c r="F337" s="73"/>
      <c r="G337" s="73"/>
      <c r="H337" s="74"/>
      <c r="I337" s="121"/>
      <c r="J337" s="121"/>
      <c r="K337" s="121"/>
      <c r="L337" s="121"/>
      <c r="M337" s="121"/>
      <c r="N337" s="98"/>
      <c r="O337" s="98"/>
      <c r="P337" s="98"/>
      <c r="Q337" s="98"/>
      <c r="R337" s="98"/>
      <c r="S337" s="98"/>
      <c r="T337" s="98"/>
      <c r="Z337"/>
      <c r="AC337"/>
      <c r="AH337"/>
      <c r="AL337" s="72"/>
    </row>
    <row r="338" spans="2:38" ht="12.9" customHeight="1">
      <c r="B338" s="75"/>
      <c r="C338" s="75"/>
      <c r="D338" s="75"/>
      <c r="E338" s="75"/>
      <c r="F338" s="73"/>
      <c r="G338" s="73"/>
      <c r="H338" s="74"/>
      <c r="I338" s="121"/>
      <c r="J338" s="121"/>
      <c r="K338" s="121"/>
      <c r="L338" s="121"/>
      <c r="M338" s="121"/>
      <c r="N338" s="98"/>
      <c r="O338" s="98"/>
      <c r="P338" s="98"/>
      <c r="Q338" s="98"/>
      <c r="R338" s="98"/>
      <c r="S338" s="98"/>
      <c r="T338" s="98"/>
      <c r="Z338"/>
      <c r="AC338"/>
      <c r="AH338"/>
      <c r="AL338" s="72"/>
    </row>
    <row r="339" spans="2:38" ht="12.9" customHeight="1">
      <c r="B339" s="75"/>
      <c r="C339" s="75"/>
      <c r="D339" s="75"/>
      <c r="E339" s="75"/>
      <c r="F339" s="73"/>
      <c r="G339" s="73"/>
      <c r="H339" s="74"/>
      <c r="I339" s="121"/>
      <c r="J339" s="121"/>
      <c r="K339" s="121"/>
      <c r="L339" s="121"/>
      <c r="M339" s="121"/>
      <c r="N339" s="98"/>
      <c r="O339" s="98"/>
      <c r="P339" s="98"/>
      <c r="Q339" s="98"/>
      <c r="R339" s="98"/>
      <c r="S339" s="98"/>
      <c r="T339" s="98"/>
      <c r="Z339"/>
      <c r="AC339"/>
      <c r="AH339"/>
      <c r="AL339" s="72"/>
    </row>
    <row r="340" spans="2:38" ht="12.9" customHeight="1">
      <c r="B340" s="75"/>
      <c r="C340" s="75"/>
      <c r="D340" s="75"/>
      <c r="E340" s="75"/>
      <c r="F340" s="73"/>
      <c r="G340" s="73"/>
      <c r="H340" s="74"/>
      <c r="I340" s="121"/>
      <c r="J340" s="121"/>
      <c r="K340" s="121"/>
      <c r="L340" s="121"/>
      <c r="M340" s="121"/>
      <c r="N340" s="98"/>
      <c r="O340" s="98"/>
      <c r="P340" s="98"/>
      <c r="Q340" s="98"/>
      <c r="R340" s="98"/>
      <c r="S340" s="98"/>
      <c r="T340" s="98"/>
      <c r="Z340"/>
      <c r="AC340"/>
      <c r="AH340"/>
    </row>
    <row r="341" spans="2:38" ht="12.9" customHeight="1">
      <c r="B341" s="75"/>
      <c r="C341" s="75"/>
      <c r="D341" s="75"/>
      <c r="E341" s="75"/>
      <c r="F341" s="73"/>
      <c r="G341" s="73"/>
      <c r="H341" s="74"/>
      <c r="I341" s="121"/>
      <c r="J341" s="121"/>
      <c r="K341" s="121"/>
      <c r="L341" s="121"/>
      <c r="M341" s="121"/>
      <c r="N341" s="98"/>
      <c r="O341" s="98"/>
      <c r="P341" s="98"/>
      <c r="Q341" s="98"/>
      <c r="R341" s="98"/>
      <c r="S341" s="98"/>
      <c r="T341" s="98"/>
      <c r="Z341"/>
      <c r="AC341"/>
      <c r="AH341"/>
      <c r="AL341" s="72"/>
    </row>
    <row r="342" spans="2:38" ht="12.9" customHeight="1">
      <c r="B342" s="75"/>
      <c r="C342" s="75"/>
      <c r="D342" s="75"/>
      <c r="E342" s="75"/>
      <c r="F342" s="73"/>
      <c r="G342" s="73"/>
      <c r="H342" s="74"/>
      <c r="I342" s="121"/>
      <c r="J342" s="121"/>
      <c r="K342" s="121"/>
      <c r="L342" s="121"/>
      <c r="M342" s="121"/>
      <c r="N342" s="98"/>
      <c r="O342" s="98"/>
      <c r="P342" s="98"/>
      <c r="Q342" s="98"/>
      <c r="R342" s="98"/>
      <c r="S342" s="98"/>
      <c r="T342" s="98"/>
      <c r="Z342"/>
      <c r="AC342"/>
      <c r="AH342"/>
      <c r="AL342" s="72"/>
    </row>
    <row r="343" spans="2:38" ht="12.9" customHeight="1">
      <c r="B343" s="75"/>
      <c r="C343" s="75"/>
      <c r="D343" s="75"/>
      <c r="E343" s="75"/>
      <c r="F343" s="73"/>
      <c r="G343" s="73"/>
      <c r="H343" s="74"/>
      <c r="I343" s="121"/>
      <c r="J343" s="121"/>
      <c r="K343" s="121"/>
      <c r="L343" s="121"/>
      <c r="M343" s="121"/>
      <c r="N343" s="98"/>
      <c r="O343" s="98"/>
      <c r="P343" s="98"/>
      <c r="Q343" s="98"/>
      <c r="R343" s="98"/>
      <c r="S343" s="98"/>
      <c r="T343" s="98"/>
      <c r="Z343"/>
      <c r="AC343"/>
      <c r="AH343"/>
      <c r="AL343" s="72"/>
    </row>
    <row r="344" spans="2:38" ht="12.9" customHeight="1">
      <c r="B344" s="75"/>
      <c r="C344" s="75"/>
      <c r="D344" s="75"/>
      <c r="E344" s="75"/>
      <c r="F344" s="73"/>
      <c r="G344" s="73"/>
      <c r="H344" s="74"/>
      <c r="I344" s="121"/>
      <c r="J344" s="121"/>
      <c r="K344" s="121"/>
      <c r="L344" s="121"/>
      <c r="M344" s="121"/>
      <c r="N344" s="98"/>
      <c r="O344" s="98"/>
      <c r="P344" s="98"/>
      <c r="Q344" s="98"/>
      <c r="R344" s="98"/>
      <c r="S344" s="98"/>
      <c r="T344" s="98"/>
      <c r="Z344"/>
      <c r="AC344"/>
      <c r="AH344"/>
      <c r="AL344" s="72"/>
    </row>
    <row r="345" spans="2:38" ht="12.9" customHeight="1">
      <c r="B345" s="75"/>
      <c r="C345" s="75"/>
      <c r="D345" s="75"/>
      <c r="E345" s="75"/>
      <c r="F345" s="73"/>
      <c r="G345" s="73"/>
      <c r="H345" s="74"/>
      <c r="I345" s="121"/>
      <c r="J345" s="121"/>
      <c r="K345" s="121"/>
      <c r="L345" s="121"/>
      <c r="M345" s="121"/>
      <c r="N345" s="98"/>
      <c r="O345" s="98"/>
      <c r="P345" s="98"/>
      <c r="Q345" s="98"/>
      <c r="R345" s="98"/>
      <c r="S345" s="98"/>
      <c r="T345" s="98"/>
      <c r="Z345"/>
      <c r="AC345"/>
      <c r="AH345"/>
      <c r="AL345" s="72"/>
    </row>
    <row r="346" spans="2:38" ht="12.9" customHeight="1">
      <c r="B346" s="75"/>
      <c r="C346" s="75"/>
      <c r="D346" s="75"/>
      <c r="E346" s="75"/>
      <c r="F346" s="73"/>
      <c r="G346" s="73"/>
      <c r="H346" s="74"/>
      <c r="I346" s="121"/>
      <c r="J346" s="121"/>
      <c r="K346" s="121"/>
      <c r="L346" s="121"/>
      <c r="M346" s="121"/>
      <c r="N346" s="98"/>
      <c r="O346" s="98"/>
      <c r="P346" s="98"/>
      <c r="Q346" s="98"/>
      <c r="R346" s="98"/>
      <c r="S346" s="98"/>
      <c r="T346" s="98"/>
      <c r="Z346"/>
      <c r="AC346"/>
      <c r="AH346"/>
      <c r="AL346" s="72"/>
    </row>
    <row r="347" spans="2:38" ht="12.9" customHeight="1">
      <c r="B347" s="75"/>
      <c r="C347" s="75"/>
      <c r="D347" s="75"/>
      <c r="E347" s="75"/>
      <c r="F347" s="73"/>
      <c r="G347" s="73"/>
      <c r="H347" s="74"/>
      <c r="I347" s="121"/>
      <c r="J347" s="121"/>
      <c r="K347" s="121"/>
      <c r="L347" s="121"/>
      <c r="M347" s="121"/>
      <c r="N347" s="98"/>
      <c r="O347" s="98"/>
      <c r="P347" s="98"/>
      <c r="Q347" s="98"/>
      <c r="R347" s="98"/>
      <c r="S347" s="98"/>
      <c r="T347" s="98"/>
      <c r="Z347"/>
      <c r="AC347"/>
      <c r="AH347"/>
      <c r="AL347" s="72"/>
    </row>
    <row r="348" spans="2:38" ht="12.9" customHeight="1">
      <c r="B348" s="75"/>
      <c r="C348" s="75"/>
      <c r="D348" s="75"/>
      <c r="E348" s="75"/>
      <c r="F348" s="73"/>
      <c r="G348" s="73"/>
      <c r="H348" s="74"/>
      <c r="I348" s="121"/>
      <c r="J348" s="121"/>
      <c r="K348" s="121"/>
      <c r="L348" s="121"/>
      <c r="M348" s="121"/>
      <c r="N348" s="98"/>
      <c r="O348" s="98"/>
      <c r="P348" s="98"/>
      <c r="Q348" s="98"/>
      <c r="R348" s="98"/>
      <c r="S348" s="98"/>
      <c r="T348" s="98"/>
      <c r="Z348"/>
      <c r="AC348"/>
      <c r="AH348"/>
      <c r="AL348" s="72"/>
    </row>
    <row r="349" spans="2:38" ht="12.9" customHeight="1">
      <c r="B349" s="75"/>
      <c r="C349" s="75"/>
      <c r="D349" s="75"/>
      <c r="E349" s="75"/>
      <c r="F349" s="73"/>
      <c r="G349" s="73"/>
      <c r="H349" s="74"/>
      <c r="I349" s="121"/>
      <c r="J349" s="121"/>
      <c r="K349" s="121"/>
      <c r="L349" s="121"/>
      <c r="M349" s="121"/>
      <c r="N349" s="98"/>
      <c r="O349" s="98"/>
      <c r="P349" s="98"/>
      <c r="Q349" s="98"/>
      <c r="R349" s="98"/>
      <c r="S349" s="98"/>
      <c r="T349" s="98"/>
      <c r="Z349"/>
      <c r="AC349"/>
      <c r="AH349"/>
      <c r="AL349" s="72"/>
    </row>
    <row r="350" spans="2:38" ht="12.9" customHeight="1">
      <c r="B350" s="75"/>
      <c r="C350" s="75"/>
      <c r="D350" s="75"/>
      <c r="E350" s="75"/>
      <c r="F350" s="73"/>
      <c r="G350" s="73"/>
      <c r="H350" s="74"/>
      <c r="I350" s="121"/>
      <c r="J350" s="121"/>
      <c r="K350" s="121"/>
      <c r="L350" s="121"/>
      <c r="M350" s="121"/>
      <c r="N350" s="98"/>
      <c r="O350" s="98"/>
      <c r="P350" s="98"/>
      <c r="Q350" s="98"/>
      <c r="R350" s="98"/>
      <c r="S350" s="98"/>
      <c r="T350" s="98"/>
      <c r="Z350"/>
      <c r="AC350"/>
      <c r="AH350"/>
      <c r="AL350" s="72"/>
    </row>
    <row r="351" spans="2:38" ht="12.9" customHeight="1">
      <c r="B351" s="75"/>
      <c r="C351" s="75"/>
      <c r="D351" s="75"/>
      <c r="E351" s="75"/>
      <c r="F351" s="73"/>
      <c r="G351" s="73"/>
      <c r="H351" s="74"/>
      <c r="I351" s="121"/>
      <c r="J351" s="121"/>
      <c r="K351" s="121"/>
      <c r="L351" s="121"/>
      <c r="M351" s="121"/>
      <c r="N351" s="98"/>
      <c r="O351" s="98"/>
      <c r="P351" s="98"/>
      <c r="Q351" s="98"/>
      <c r="R351" s="98"/>
      <c r="S351" s="98"/>
      <c r="T351" s="98"/>
      <c r="Z351"/>
      <c r="AC351"/>
      <c r="AH351"/>
      <c r="AL351" s="72"/>
    </row>
    <row r="352" spans="2:38" ht="12.9" customHeight="1">
      <c r="B352" s="75"/>
      <c r="C352" s="75"/>
      <c r="D352" s="75"/>
      <c r="E352" s="75"/>
      <c r="F352" s="73"/>
      <c r="G352" s="73"/>
      <c r="H352" s="74"/>
      <c r="I352" s="121"/>
      <c r="J352" s="121"/>
      <c r="K352" s="121"/>
      <c r="L352" s="121"/>
      <c r="M352" s="121"/>
      <c r="N352" s="98"/>
      <c r="O352" s="98"/>
      <c r="P352" s="98"/>
      <c r="Q352" s="98"/>
      <c r="R352" s="98"/>
      <c r="S352" s="98"/>
      <c r="T352" s="98"/>
      <c r="Z352"/>
      <c r="AC352"/>
      <c r="AH352"/>
    </row>
    <row r="353" spans="2:38" ht="12.9" customHeight="1">
      <c r="B353" s="75"/>
      <c r="C353" s="75"/>
      <c r="D353" s="75"/>
      <c r="E353" s="75"/>
      <c r="F353" s="73"/>
      <c r="G353" s="73"/>
      <c r="H353" s="74"/>
      <c r="I353" s="121"/>
      <c r="J353" s="121"/>
      <c r="K353" s="121"/>
      <c r="L353" s="121"/>
      <c r="M353" s="121"/>
      <c r="N353" s="98"/>
      <c r="O353" s="98"/>
      <c r="P353" s="98"/>
      <c r="Q353" s="98"/>
      <c r="R353" s="98"/>
      <c r="S353" s="98"/>
      <c r="T353" s="98"/>
      <c r="Z353"/>
      <c r="AC353"/>
      <c r="AH353"/>
    </row>
    <row r="354" spans="2:38" ht="12.9" customHeight="1">
      <c r="B354" s="75"/>
      <c r="C354" s="75"/>
      <c r="D354" s="75"/>
      <c r="E354" s="75"/>
      <c r="F354" s="73"/>
      <c r="G354" s="73"/>
      <c r="H354" s="74"/>
      <c r="I354" s="121"/>
      <c r="J354" s="121"/>
      <c r="K354" s="121"/>
      <c r="L354" s="121"/>
      <c r="M354" s="121"/>
      <c r="N354" s="98"/>
      <c r="O354" s="98"/>
      <c r="P354" s="98"/>
      <c r="Q354" s="98"/>
      <c r="R354" s="98"/>
      <c r="S354" s="98"/>
      <c r="T354" s="98"/>
      <c r="Z354"/>
      <c r="AC354"/>
      <c r="AH354"/>
      <c r="AL354" s="72"/>
    </row>
    <row r="355" spans="2:38" ht="12.9" customHeight="1">
      <c r="B355" s="75"/>
      <c r="C355" s="75"/>
      <c r="D355" s="75"/>
      <c r="E355" s="75"/>
      <c r="F355" s="73"/>
      <c r="G355" s="73"/>
      <c r="H355" s="74"/>
      <c r="I355" s="121"/>
      <c r="J355" s="121"/>
      <c r="K355" s="121"/>
      <c r="L355" s="121"/>
      <c r="M355" s="121"/>
      <c r="N355" s="98"/>
      <c r="O355" s="98"/>
      <c r="P355" s="98"/>
      <c r="Q355" s="98"/>
      <c r="R355" s="98"/>
      <c r="S355" s="98"/>
      <c r="T355" s="98"/>
      <c r="Z355"/>
      <c r="AC355"/>
      <c r="AH355"/>
      <c r="AL355" s="72"/>
    </row>
    <row r="356" spans="2:38" ht="12.9" customHeight="1">
      <c r="B356" s="75"/>
      <c r="C356" s="75"/>
      <c r="D356" s="75"/>
      <c r="E356" s="75"/>
      <c r="F356" s="73"/>
      <c r="G356" s="73"/>
      <c r="H356" s="74"/>
      <c r="I356" s="121"/>
      <c r="J356" s="121"/>
      <c r="K356" s="121"/>
      <c r="L356" s="121"/>
      <c r="M356" s="121"/>
      <c r="N356" s="98"/>
      <c r="O356" s="98"/>
      <c r="P356" s="98"/>
      <c r="Q356" s="98"/>
      <c r="R356" s="98"/>
      <c r="S356" s="98"/>
      <c r="T356" s="98"/>
      <c r="Z356"/>
      <c r="AC356"/>
      <c r="AH356"/>
      <c r="AL356" s="72"/>
    </row>
    <row r="357" spans="2:38" ht="12.9" customHeight="1">
      <c r="B357" s="75"/>
      <c r="C357" s="75"/>
      <c r="D357" s="75"/>
      <c r="E357" s="75"/>
      <c r="F357" s="73"/>
      <c r="G357" s="73"/>
      <c r="H357" s="74"/>
      <c r="I357" s="121"/>
      <c r="J357" s="121"/>
      <c r="K357" s="121"/>
      <c r="L357" s="121"/>
      <c r="M357" s="121"/>
      <c r="N357" s="98"/>
      <c r="O357" s="98"/>
      <c r="P357" s="98"/>
      <c r="Q357" s="98"/>
      <c r="R357" s="98"/>
      <c r="S357" s="98"/>
      <c r="T357" s="98"/>
      <c r="Z357"/>
      <c r="AC357"/>
      <c r="AH357"/>
      <c r="AL357" s="72"/>
    </row>
    <row r="358" spans="2:38" ht="12.9" customHeight="1">
      <c r="B358" s="75"/>
      <c r="C358" s="75"/>
      <c r="D358" s="75"/>
      <c r="E358" s="75"/>
      <c r="F358" s="73"/>
      <c r="G358" s="73"/>
      <c r="H358" s="74"/>
      <c r="I358" s="121"/>
      <c r="J358" s="121"/>
      <c r="K358" s="121"/>
      <c r="L358" s="121"/>
      <c r="M358" s="121"/>
      <c r="N358" s="98"/>
      <c r="O358" s="98"/>
      <c r="P358" s="98"/>
      <c r="Q358" s="98"/>
      <c r="R358" s="98"/>
      <c r="S358" s="98"/>
      <c r="T358" s="98"/>
      <c r="Z358"/>
      <c r="AC358"/>
      <c r="AH358"/>
      <c r="AL358" s="72"/>
    </row>
    <row r="359" spans="2:38" ht="12.9" customHeight="1">
      <c r="B359" s="75"/>
      <c r="C359" s="75"/>
      <c r="D359" s="75"/>
      <c r="E359" s="75"/>
      <c r="F359" s="73"/>
      <c r="G359" s="73"/>
      <c r="H359" s="74"/>
      <c r="I359" s="121"/>
      <c r="J359" s="121"/>
      <c r="K359" s="121"/>
      <c r="L359" s="121"/>
      <c r="M359" s="121"/>
      <c r="N359" s="99"/>
      <c r="O359" s="99"/>
      <c r="P359" s="99"/>
      <c r="Q359" s="99"/>
      <c r="R359" s="99"/>
      <c r="S359" s="99"/>
      <c r="T359" s="99"/>
      <c r="Z359"/>
      <c r="AC359"/>
      <c r="AH359"/>
      <c r="AL359" s="72"/>
    </row>
    <row r="360" spans="2:38" ht="12.9" customHeight="1">
      <c r="B360" s="75"/>
      <c r="C360" s="75"/>
      <c r="D360" s="75"/>
      <c r="E360" s="75"/>
      <c r="F360" s="73"/>
      <c r="G360" s="73"/>
      <c r="H360" s="74"/>
      <c r="I360" s="121"/>
      <c r="J360" s="121"/>
      <c r="K360" s="121"/>
      <c r="L360" s="121"/>
      <c r="M360" s="121"/>
      <c r="N360" s="99"/>
      <c r="O360" s="99"/>
      <c r="P360" s="99"/>
      <c r="Q360" s="99"/>
      <c r="R360" s="99"/>
      <c r="S360" s="99"/>
      <c r="T360" s="99"/>
      <c r="Z360"/>
      <c r="AC360"/>
      <c r="AH360"/>
      <c r="AL360" s="72"/>
    </row>
    <row r="361" spans="2:38" ht="12.9" customHeight="1">
      <c r="B361" s="75"/>
      <c r="C361" s="75"/>
      <c r="D361" s="75"/>
      <c r="E361" s="75"/>
      <c r="F361" s="73"/>
      <c r="G361" s="73"/>
      <c r="H361" s="74"/>
      <c r="I361" s="121"/>
      <c r="J361" s="121"/>
      <c r="K361" s="121"/>
      <c r="L361" s="121"/>
      <c r="M361" s="121"/>
      <c r="N361" s="98"/>
      <c r="O361" s="98"/>
      <c r="P361" s="98"/>
      <c r="Q361" s="98"/>
      <c r="R361" s="98"/>
      <c r="S361" s="98"/>
      <c r="T361" s="98"/>
      <c r="Z361"/>
      <c r="AC361"/>
      <c r="AH361"/>
      <c r="AL361" s="72"/>
    </row>
    <row r="362" spans="2:38" ht="12.9" customHeight="1">
      <c r="B362" s="75"/>
      <c r="C362" s="75"/>
      <c r="D362" s="75"/>
      <c r="E362" s="75"/>
      <c r="F362" s="73"/>
      <c r="G362" s="73"/>
      <c r="H362" s="74"/>
      <c r="I362" s="121"/>
      <c r="J362" s="121"/>
      <c r="K362" s="121"/>
      <c r="L362" s="121"/>
      <c r="M362" s="121"/>
      <c r="N362" s="98"/>
      <c r="O362" s="98"/>
      <c r="P362" s="98"/>
      <c r="Q362" s="98"/>
      <c r="R362" s="98"/>
      <c r="S362" s="98"/>
      <c r="T362" s="98"/>
      <c r="Z362"/>
      <c r="AC362"/>
      <c r="AH362"/>
      <c r="AL362" s="72"/>
    </row>
    <row r="363" spans="2:38" ht="12.9" customHeight="1">
      <c r="B363" s="75"/>
      <c r="C363" s="75"/>
      <c r="D363" s="75"/>
      <c r="E363" s="75"/>
      <c r="F363" s="73"/>
      <c r="G363" s="73"/>
      <c r="H363" s="74"/>
      <c r="I363" s="121"/>
      <c r="J363" s="121"/>
      <c r="K363" s="121"/>
      <c r="L363" s="121"/>
      <c r="M363" s="121"/>
      <c r="N363" s="98"/>
      <c r="O363" s="98"/>
      <c r="P363" s="98"/>
      <c r="Q363" s="98"/>
      <c r="R363" s="98"/>
      <c r="S363" s="98"/>
      <c r="T363" s="98"/>
      <c r="Z363"/>
      <c r="AC363"/>
      <c r="AH363"/>
      <c r="AL363" s="72"/>
    </row>
    <row r="364" spans="2:38" ht="12.9" customHeight="1">
      <c r="B364" s="75"/>
      <c r="C364" s="75"/>
      <c r="D364" s="75"/>
      <c r="E364" s="75"/>
      <c r="F364" s="73"/>
      <c r="G364" s="73"/>
      <c r="H364" s="74"/>
      <c r="I364" s="121"/>
      <c r="J364" s="121"/>
      <c r="K364" s="121"/>
      <c r="L364" s="121"/>
      <c r="M364" s="121"/>
      <c r="N364" s="99"/>
      <c r="O364" s="99"/>
      <c r="P364" s="99"/>
      <c r="Q364" s="99"/>
      <c r="R364" s="99"/>
      <c r="S364" s="99"/>
      <c r="T364" s="99"/>
      <c r="Z364"/>
      <c r="AC364"/>
      <c r="AH364"/>
      <c r="AL364" s="72"/>
    </row>
    <row r="365" spans="2:38" ht="12.9" customHeight="1">
      <c r="B365" s="75"/>
      <c r="C365" s="75"/>
      <c r="D365" s="75"/>
      <c r="E365" s="75"/>
      <c r="F365" s="73"/>
      <c r="G365" s="73"/>
      <c r="H365" s="74"/>
      <c r="I365" s="121"/>
      <c r="J365" s="121"/>
      <c r="K365" s="121"/>
      <c r="L365" s="121"/>
      <c r="M365" s="121"/>
      <c r="N365" s="99"/>
      <c r="O365" s="99"/>
      <c r="P365" s="99"/>
      <c r="Q365" s="99"/>
      <c r="R365" s="99"/>
      <c r="S365" s="99"/>
      <c r="T365" s="99"/>
      <c r="Z365"/>
      <c r="AC365"/>
      <c r="AH365"/>
      <c r="AL365" s="72"/>
    </row>
    <row r="366" spans="2:38" ht="12.9" customHeight="1">
      <c r="B366" s="75"/>
      <c r="C366" s="75"/>
      <c r="D366" s="75"/>
      <c r="E366" s="75"/>
      <c r="F366" s="73"/>
      <c r="G366" s="73"/>
      <c r="H366" s="74"/>
      <c r="I366" s="121"/>
      <c r="J366" s="121"/>
      <c r="K366" s="121"/>
      <c r="L366" s="121"/>
      <c r="M366" s="121"/>
      <c r="N366" s="98"/>
      <c r="O366" s="98"/>
      <c r="P366" s="98"/>
      <c r="Q366" s="98"/>
      <c r="R366" s="98"/>
      <c r="S366" s="98"/>
      <c r="T366" s="98"/>
      <c r="Z366"/>
      <c r="AC366"/>
      <c r="AH366"/>
      <c r="AL366" s="72"/>
    </row>
    <row r="367" spans="2:38" ht="12.9" customHeight="1">
      <c r="B367" s="75"/>
      <c r="C367" s="75"/>
      <c r="D367" s="75"/>
      <c r="E367" s="75"/>
      <c r="F367" s="73"/>
      <c r="G367" s="73"/>
      <c r="H367" s="74"/>
      <c r="I367" s="121"/>
      <c r="J367" s="121"/>
      <c r="K367" s="121"/>
      <c r="L367" s="121"/>
      <c r="M367" s="121"/>
      <c r="N367" s="98"/>
      <c r="O367" s="98"/>
      <c r="P367" s="98"/>
      <c r="Q367" s="98"/>
      <c r="R367" s="98"/>
      <c r="S367" s="98"/>
      <c r="T367" s="98"/>
      <c r="Z367"/>
      <c r="AC367"/>
      <c r="AH367"/>
      <c r="AL367" s="72"/>
    </row>
    <row r="368" spans="2:38" ht="12.9" customHeight="1">
      <c r="B368" s="75"/>
      <c r="C368" s="75"/>
      <c r="D368" s="75"/>
      <c r="E368" s="75"/>
      <c r="F368" s="73"/>
      <c r="G368" s="73"/>
      <c r="H368" s="74"/>
      <c r="I368" s="121"/>
      <c r="J368" s="121"/>
      <c r="K368" s="121"/>
      <c r="L368" s="121"/>
      <c r="M368" s="121"/>
      <c r="N368" s="98"/>
      <c r="O368" s="98"/>
      <c r="P368" s="98"/>
      <c r="Q368" s="98"/>
      <c r="R368" s="98"/>
      <c r="S368" s="98"/>
      <c r="T368" s="98"/>
      <c r="Z368"/>
      <c r="AC368"/>
      <c r="AH368"/>
      <c r="AL368" s="72"/>
    </row>
    <row r="369" spans="2:38" ht="12.9" customHeight="1">
      <c r="B369" s="75"/>
      <c r="C369" s="75"/>
      <c r="D369" s="75"/>
      <c r="E369" s="75"/>
      <c r="F369" s="73"/>
      <c r="G369" s="73"/>
      <c r="H369" s="74"/>
      <c r="I369" s="121"/>
      <c r="J369" s="121"/>
      <c r="K369" s="121"/>
      <c r="L369" s="121"/>
      <c r="M369" s="121"/>
      <c r="N369" s="98"/>
      <c r="O369" s="98"/>
      <c r="P369" s="98"/>
      <c r="Q369" s="98"/>
      <c r="R369" s="98"/>
      <c r="S369" s="98"/>
      <c r="T369" s="98"/>
      <c r="Z369"/>
      <c r="AC369"/>
      <c r="AH369"/>
      <c r="AL369" s="72"/>
    </row>
    <row r="370" spans="2:38" ht="12.9" customHeight="1">
      <c r="B370" s="75"/>
      <c r="C370" s="75"/>
      <c r="D370" s="75"/>
      <c r="E370" s="75"/>
      <c r="F370" s="73"/>
      <c r="G370" s="73"/>
      <c r="H370" s="74"/>
      <c r="I370" s="121"/>
      <c r="J370" s="121"/>
      <c r="K370" s="121"/>
      <c r="L370" s="121"/>
      <c r="M370" s="121"/>
      <c r="N370" s="98"/>
      <c r="O370" s="98"/>
      <c r="P370" s="98"/>
      <c r="Q370" s="98"/>
      <c r="R370" s="98"/>
      <c r="S370" s="98"/>
      <c r="T370" s="98"/>
      <c r="Z370"/>
      <c r="AC370"/>
      <c r="AH370"/>
      <c r="AL370" s="72"/>
    </row>
    <row r="371" spans="2:38" ht="12.9" customHeight="1">
      <c r="B371" s="75"/>
      <c r="C371" s="75"/>
      <c r="D371" s="75"/>
      <c r="E371" s="75"/>
      <c r="F371" s="73"/>
      <c r="G371" s="73"/>
      <c r="H371" s="74"/>
      <c r="I371" s="121"/>
      <c r="J371" s="121"/>
      <c r="K371" s="121"/>
      <c r="L371" s="121"/>
      <c r="M371" s="121"/>
      <c r="N371" s="98"/>
      <c r="O371" s="98"/>
      <c r="P371" s="98"/>
      <c r="Q371" s="98"/>
      <c r="R371" s="98"/>
      <c r="S371" s="98"/>
      <c r="T371" s="98"/>
      <c r="Z371"/>
      <c r="AC371"/>
      <c r="AH371"/>
      <c r="AL371" s="72"/>
    </row>
    <row r="372" spans="2:38" ht="12.9" customHeight="1">
      <c r="B372" s="75"/>
      <c r="C372" s="75"/>
      <c r="D372" s="75"/>
      <c r="E372" s="75"/>
      <c r="F372" s="73"/>
      <c r="G372" s="73"/>
      <c r="H372" s="74"/>
      <c r="I372" s="121"/>
      <c r="J372" s="121"/>
      <c r="K372" s="121"/>
      <c r="L372" s="121"/>
      <c r="M372" s="121"/>
      <c r="N372" s="98"/>
      <c r="O372" s="98"/>
      <c r="P372" s="98"/>
      <c r="Q372" s="98"/>
      <c r="R372" s="98"/>
      <c r="S372" s="98"/>
      <c r="T372" s="98"/>
      <c r="Z372"/>
      <c r="AC372"/>
      <c r="AH372"/>
      <c r="AL372" s="72"/>
    </row>
    <row r="373" spans="2:38" ht="12.9" customHeight="1">
      <c r="B373" s="75"/>
      <c r="C373" s="75"/>
      <c r="D373" s="75"/>
      <c r="E373" s="75"/>
      <c r="F373" s="73"/>
      <c r="G373" s="73"/>
      <c r="H373" s="74"/>
      <c r="I373" s="121"/>
      <c r="J373" s="121"/>
      <c r="K373" s="121"/>
      <c r="L373" s="121"/>
      <c r="M373" s="121"/>
      <c r="N373" s="98"/>
      <c r="O373" s="98"/>
      <c r="P373" s="98"/>
      <c r="Q373" s="98"/>
      <c r="R373" s="98"/>
      <c r="S373" s="98"/>
      <c r="T373" s="98"/>
      <c r="Z373"/>
      <c r="AC373"/>
      <c r="AH373"/>
      <c r="AL373" s="72"/>
    </row>
    <row r="374" spans="2:38" ht="12.9" customHeight="1">
      <c r="B374" s="75"/>
      <c r="C374" s="75"/>
      <c r="D374" s="75"/>
      <c r="E374" s="75"/>
      <c r="F374" s="73"/>
      <c r="G374" s="73"/>
      <c r="H374" s="74"/>
      <c r="I374" s="121"/>
      <c r="J374" s="121"/>
      <c r="K374" s="121"/>
      <c r="L374" s="121"/>
      <c r="M374" s="121"/>
      <c r="N374" s="98"/>
      <c r="O374" s="98"/>
      <c r="P374" s="98"/>
      <c r="Q374" s="98"/>
      <c r="R374" s="98"/>
      <c r="S374" s="98"/>
      <c r="T374" s="98"/>
      <c r="Z374"/>
      <c r="AC374"/>
      <c r="AH374"/>
      <c r="AL374" s="72"/>
    </row>
    <row r="375" spans="2:38" ht="12.9" customHeight="1">
      <c r="B375" s="75"/>
      <c r="C375" s="75"/>
      <c r="D375" s="75"/>
      <c r="E375" s="75"/>
      <c r="F375" s="73"/>
      <c r="G375" s="73"/>
      <c r="H375" s="74"/>
      <c r="I375" s="121"/>
      <c r="J375" s="121"/>
      <c r="K375" s="121"/>
      <c r="L375" s="121"/>
      <c r="M375" s="121"/>
      <c r="N375" s="98"/>
      <c r="O375" s="98"/>
      <c r="P375" s="98"/>
      <c r="Q375" s="98"/>
      <c r="R375" s="98"/>
      <c r="S375" s="98"/>
      <c r="T375" s="98"/>
      <c r="Z375"/>
      <c r="AC375"/>
      <c r="AH375"/>
      <c r="AL375" s="72"/>
    </row>
    <row r="376" spans="2:38" ht="12.9" customHeight="1">
      <c r="B376" s="75"/>
      <c r="C376" s="75"/>
      <c r="D376" s="75"/>
      <c r="E376" s="75"/>
      <c r="F376" s="73"/>
      <c r="G376" s="73"/>
      <c r="H376" s="74"/>
      <c r="I376" s="121"/>
      <c r="J376" s="121"/>
      <c r="K376" s="121"/>
      <c r="L376" s="121"/>
      <c r="M376" s="121"/>
      <c r="N376" s="98"/>
      <c r="O376" s="98"/>
      <c r="P376" s="98"/>
      <c r="Q376" s="98"/>
      <c r="R376" s="98"/>
      <c r="S376" s="98"/>
      <c r="T376" s="98"/>
      <c r="Z376"/>
      <c r="AC376"/>
      <c r="AH376"/>
      <c r="AL376" s="72"/>
    </row>
    <row r="377" spans="2:38" ht="12.9" customHeight="1">
      <c r="B377" s="75"/>
      <c r="C377" s="75"/>
      <c r="D377" s="75"/>
      <c r="E377" s="75"/>
      <c r="F377" s="73"/>
      <c r="G377" s="73"/>
      <c r="H377" s="74"/>
      <c r="I377" s="121"/>
      <c r="J377" s="121"/>
      <c r="K377" s="121"/>
      <c r="L377" s="121"/>
      <c r="M377" s="121"/>
      <c r="N377" s="98"/>
      <c r="O377" s="98"/>
      <c r="P377" s="98"/>
      <c r="Q377" s="98"/>
      <c r="R377" s="98"/>
      <c r="S377" s="98"/>
      <c r="T377" s="98"/>
      <c r="Z377"/>
      <c r="AC377"/>
      <c r="AH377"/>
      <c r="AL377" s="72"/>
    </row>
    <row r="378" spans="2:38" ht="12.9" customHeight="1">
      <c r="B378" s="75"/>
      <c r="C378" s="75"/>
      <c r="D378" s="75"/>
      <c r="E378" s="75"/>
      <c r="F378" s="73"/>
      <c r="G378" s="73"/>
      <c r="H378" s="74"/>
      <c r="I378" s="121"/>
      <c r="J378" s="121"/>
      <c r="K378" s="121"/>
      <c r="L378" s="121"/>
      <c r="M378" s="121"/>
      <c r="N378" s="98"/>
      <c r="O378" s="98"/>
      <c r="P378" s="98"/>
      <c r="Q378" s="98"/>
      <c r="R378" s="98"/>
      <c r="S378" s="98"/>
      <c r="T378" s="98"/>
      <c r="Z378"/>
      <c r="AC378"/>
      <c r="AH378"/>
      <c r="AL378" s="72"/>
    </row>
    <row r="379" spans="2:38" ht="12.9" customHeight="1">
      <c r="B379" s="75"/>
      <c r="C379" s="75"/>
      <c r="D379" s="75"/>
      <c r="E379" s="75"/>
      <c r="F379" s="73"/>
      <c r="G379" s="73"/>
      <c r="H379" s="74"/>
      <c r="I379" s="121"/>
      <c r="J379" s="121"/>
      <c r="K379" s="121"/>
      <c r="L379" s="121"/>
      <c r="M379" s="121"/>
      <c r="N379" s="98"/>
      <c r="O379" s="98"/>
      <c r="P379" s="98"/>
      <c r="Q379" s="98"/>
      <c r="R379" s="98"/>
      <c r="S379" s="98"/>
      <c r="T379" s="98"/>
      <c r="Z379"/>
      <c r="AC379"/>
      <c r="AH379"/>
      <c r="AL379" s="72"/>
    </row>
    <row r="380" spans="2:38" ht="12.9" customHeight="1">
      <c r="B380" s="75"/>
      <c r="C380" s="75"/>
      <c r="D380" s="75"/>
      <c r="E380" s="75"/>
      <c r="F380" s="73"/>
      <c r="G380" s="73"/>
      <c r="H380" s="74"/>
      <c r="I380" s="121"/>
      <c r="J380" s="121"/>
      <c r="K380" s="121"/>
      <c r="L380" s="121"/>
      <c r="M380" s="121"/>
      <c r="N380" s="98"/>
      <c r="O380" s="98"/>
      <c r="P380" s="98"/>
      <c r="Q380" s="98"/>
      <c r="R380" s="98"/>
      <c r="S380" s="98"/>
      <c r="T380" s="98"/>
      <c r="Z380"/>
      <c r="AC380"/>
      <c r="AH380"/>
      <c r="AL380" s="72"/>
    </row>
    <row r="381" spans="2:38" ht="12.9" customHeight="1">
      <c r="B381" s="75"/>
      <c r="C381" s="75"/>
      <c r="D381" s="75"/>
      <c r="E381" s="75"/>
      <c r="F381" s="73"/>
      <c r="G381" s="73"/>
      <c r="H381" s="74"/>
      <c r="I381" s="121"/>
      <c r="J381" s="121"/>
      <c r="K381" s="121"/>
      <c r="L381" s="121"/>
      <c r="M381" s="121"/>
      <c r="N381" s="98"/>
      <c r="O381" s="98"/>
      <c r="P381" s="98"/>
      <c r="Q381" s="98"/>
      <c r="R381" s="98"/>
      <c r="S381" s="98"/>
      <c r="T381" s="98"/>
      <c r="Z381"/>
      <c r="AC381"/>
      <c r="AH381"/>
      <c r="AL381" s="72"/>
    </row>
    <row r="382" spans="2:38" ht="12.75" customHeight="1">
      <c r="B382" s="75"/>
      <c r="C382" s="75"/>
      <c r="D382" s="75"/>
      <c r="E382" s="75"/>
      <c r="F382" s="73"/>
      <c r="G382" s="73"/>
      <c r="H382" s="74"/>
      <c r="I382" s="121"/>
      <c r="J382" s="121"/>
      <c r="K382" s="121"/>
      <c r="L382" s="121"/>
      <c r="M382" s="121"/>
      <c r="N382" s="98"/>
      <c r="O382" s="98"/>
      <c r="P382" s="98"/>
      <c r="Q382" s="98"/>
      <c r="R382" s="98"/>
      <c r="S382" s="98"/>
      <c r="T382" s="98"/>
      <c r="Z382"/>
      <c r="AC382"/>
      <c r="AH382"/>
      <c r="AL382" s="72"/>
    </row>
    <row r="383" spans="2:38" ht="12.9" customHeight="1">
      <c r="B383" s="75"/>
      <c r="C383" s="75"/>
      <c r="D383" s="75"/>
      <c r="E383" s="75"/>
      <c r="F383" s="73"/>
      <c r="G383" s="73"/>
      <c r="H383" s="74"/>
      <c r="I383" s="121"/>
      <c r="J383" s="121"/>
      <c r="K383" s="121"/>
      <c r="L383" s="121"/>
      <c r="M383" s="121"/>
      <c r="N383" s="98"/>
      <c r="O383" s="98"/>
      <c r="P383" s="98"/>
      <c r="Q383" s="98"/>
      <c r="R383" s="98"/>
      <c r="S383" s="98"/>
      <c r="T383" s="98"/>
      <c r="Z383"/>
      <c r="AC383"/>
      <c r="AH383"/>
      <c r="AL383" s="72"/>
    </row>
    <row r="384" spans="2:38" ht="12.9" customHeight="1">
      <c r="B384" s="75"/>
      <c r="C384" s="75"/>
      <c r="D384" s="75"/>
      <c r="E384" s="75"/>
      <c r="F384" s="73"/>
      <c r="G384" s="73"/>
      <c r="H384" s="74"/>
      <c r="I384" s="121"/>
      <c r="J384" s="121"/>
      <c r="K384" s="121"/>
      <c r="L384" s="121"/>
      <c r="M384" s="121"/>
      <c r="N384" s="98"/>
      <c r="O384" s="98"/>
      <c r="P384" s="98"/>
      <c r="Q384" s="98"/>
      <c r="R384" s="98"/>
      <c r="S384" s="98"/>
      <c r="T384" s="98"/>
      <c r="Z384"/>
      <c r="AC384"/>
      <c r="AH384"/>
      <c r="AL384" s="72"/>
    </row>
    <row r="385" spans="2:38" ht="12.9" customHeight="1">
      <c r="B385" s="75"/>
      <c r="C385" s="75"/>
      <c r="D385" s="75"/>
      <c r="E385" s="75"/>
      <c r="F385" s="73"/>
      <c r="G385" s="73"/>
      <c r="H385" s="74"/>
      <c r="I385" s="121"/>
      <c r="J385" s="121"/>
      <c r="K385" s="121"/>
      <c r="L385" s="121"/>
      <c r="M385" s="121"/>
      <c r="N385" s="98"/>
      <c r="O385" s="98"/>
      <c r="P385" s="98"/>
      <c r="Q385" s="98"/>
      <c r="R385" s="98"/>
      <c r="S385" s="98"/>
      <c r="T385" s="98"/>
      <c r="Z385"/>
      <c r="AC385"/>
      <c r="AH385"/>
      <c r="AL385" s="72"/>
    </row>
    <row r="386" spans="2:38" ht="12.9" customHeight="1">
      <c r="B386" s="75"/>
      <c r="C386" s="75"/>
      <c r="D386" s="75"/>
      <c r="E386" s="75"/>
      <c r="F386" s="73"/>
      <c r="G386" s="73"/>
      <c r="H386" s="74"/>
      <c r="I386" s="121"/>
      <c r="J386" s="121"/>
      <c r="K386" s="121"/>
      <c r="L386" s="121"/>
      <c r="M386" s="121"/>
      <c r="N386" s="98"/>
      <c r="O386" s="98"/>
      <c r="P386" s="98"/>
      <c r="Q386" s="98"/>
      <c r="R386" s="98"/>
      <c r="S386" s="98"/>
      <c r="T386" s="98"/>
      <c r="Z386"/>
      <c r="AC386"/>
      <c r="AH386"/>
      <c r="AL386" s="72"/>
    </row>
    <row r="387" spans="2:38" ht="12.9" customHeight="1">
      <c r="B387" s="75"/>
      <c r="C387" s="75"/>
      <c r="D387" s="75"/>
      <c r="E387" s="75"/>
      <c r="F387" s="73"/>
      <c r="G387" s="73"/>
      <c r="H387" s="74"/>
      <c r="I387" s="121"/>
      <c r="J387" s="121"/>
      <c r="K387" s="121"/>
      <c r="L387" s="121"/>
      <c r="M387" s="121"/>
      <c r="N387" s="98"/>
      <c r="O387" s="98"/>
      <c r="P387" s="98"/>
      <c r="Q387" s="98"/>
      <c r="R387" s="98"/>
      <c r="S387" s="98"/>
      <c r="T387" s="98"/>
      <c r="Z387"/>
      <c r="AC387"/>
      <c r="AH387"/>
      <c r="AL387" s="72"/>
    </row>
    <row r="388" spans="2:38" ht="12.9" customHeight="1">
      <c r="B388" s="75"/>
      <c r="C388" s="75"/>
      <c r="D388" s="75"/>
      <c r="E388" s="75"/>
      <c r="F388" s="73"/>
      <c r="G388" s="73"/>
      <c r="H388" s="74"/>
      <c r="I388" s="121"/>
      <c r="J388" s="121"/>
      <c r="K388" s="121"/>
      <c r="L388" s="121"/>
      <c r="M388" s="121"/>
      <c r="N388" s="98"/>
      <c r="O388" s="98"/>
      <c r="P388" s="98"/>
      <c r="Q388" s="98"/>
      <c r="R388" s="98"/>
      <c r="S388" s="98"/>
      <c r="T388" s="98"/>
      <c r="Z388"/>
      <c r="AC388"/>
      <c r="AH388"/>
      <c r="AL388" s="72"/>
    </row>
    <row r="389" spans="2:38" ht="12.9" customHeight="1">
      <c r="B389" s="75"/>
      <c r="C389" s="75"/>
      <c r="D389" s="75"/>
      <c r="E389" s="75"/>
      <c r="F389" s="73"/>
      <c r="G389" s="73"/>
      <c r="H389" s="74"/>
      <c r="I389" s="121"/>
      <c r="J389" s="121"/>
      <c r="K389" s="121"/>
      <c r="L389" s="121"/>
      <c r="M389" s="121"/>
      <c r="N389" s="98"/>
      <c r="O389" s="98"/>
      <c r="P389" s="98"/>
      <c r="Q389" s="98"/>
      <c r="R389" s="98"/>
      <c r="S389" s="98"/>
      <c r="T389" s="98"/>
      <c r="Z389"/>
      <c r="AC389"/>
      <c r="AH389"/>
      <c r="AL389" s="72"/>
    </row>
    <row r="390" spans="2:38" ht="12.9" customHeight="1">
      <c r="B390" s="75"/>
      <c r="C390" s="75"/>
      <c r="D390" s="75"/>
      <c r="E390" s="75"/>
      <c r="F390" s="73"/>
      <c r="G390" s="73"/>
      <c r="H390" s="74"/>
      <c r="I390" s="121"/>
      <c r="J390" s="121"/>
      <c r="K390" s="121"/>
      <c r="L390" s="121"/>
      <c r="M390" s="121"/>
      <c r="N390" s="98"/>
      <c r="O390" s="98"/>
      <c r="P390" s="98"/>
      <c r="Q390" s="98"/>
      <c r="R390" s="98"/>
      <c r="S390" s="98"/>
      <c r="T390" s="98"/>
      <c r="Z390"/>
      <c r="AC390"/>
      <c r="AH390"/>
      <c r="AL390" s="72"/>
    </row>
    <row r="391" spans="2:38" ht="12.9" customHeight="1">
      <c r="B391" s="75"/>
      <c r="C391" s="75"/>
      <c r="D391" s="75"/>
      <c r="E391" s="75"/>
      <c r="F391" s="73"/>
      <c r="G391" s="73"/>
      <c r="H391" s="74"/>
      <c r="I391" s="121"/>
      <c r="J391" s="121"/>
      <c r="K391" s="121"/>
      <c r="L391" s="121"/>
      <c r="M391" s="121"/>
      <c r="N391" s="98"/>
      <c r="O391" s="98"/>
      <c r="P391" s="98"/>
      <c r="Q391" s="98"/>
      <c r="R391" s="98"/>
      <c r="S391" s="98"/>
      <c r="T391" s="98"/>
      <c r="Z391"/>
      <c r="AC391"/>
      <c r="AH391"/>
      <c r="AL391" s="72"/>
    </row>
    <row r="392" spans="2:38" ht="12.9" customHeight="1">
      <c r="B392" s="75"/>
      <c r="C392" s="75"/>
      <c r="D392" s="75"/>
      <c r="E392" s="75"/>
      <c r="F392" s="73"/>
      <c r="G392" s="73"/>
      <c r="H392" s="74"/>
      <c r="I392" s="121"/>
      <c r="J392" s="121"/>
      <c r="K392" s="121"/>
      <c r="L392" s="121"/>
      <c r="M392" s="121"/>
      <c r="N392" s="98"/>
      <c r="O392" s="98"/>
      <c r="P392" s="98"/>
      <c r="Q392" s="98"/>
      <c r="R392" s="98"/>
      <c r="S392" s="98"/>
      <c r="T392" s="98"/>
      <c r="Z392"/>
      <c r="AC392"/>
      <c r="AH392"/>
      <c r="AL392" s="72"/>
    </row>
    <row r="393" spans="2:38" ht="12.9" customHeight="1">
      <c r="B393" s="75"/>
      <c r="C393" s="75"/>
      <c r="D393" s="75"/>
      <c r="E393" s="75"/>
      <c r="F393" s="73"/>
      <c r="G393" s="73"/>
      <c r="H393" s="74"/>
      <c r="I393" s="121"/>
      <c r="J393" s="121"/>
      <c r="K393" s="121"/>
      <c r="L393" s="121"/>
      <c r="M393" s="121"/>
      <c r="N393" s="98"/>
      <c r="O393" s="98"/>
      <c r="P393" s="98"/>
      <c r="Q393" s="98"/>
      <c r="R393" s="98"/>
      <c r="S393" s="98"/>
      <c r="T393" s="98"/>
      <c r="Z393"/>
      <c r="AC393"/>
      <c r="AH393"/>
      <c r="AL393" s="72"/>
    </row>
    <row r="394" spans="2:38" ht="12.9" customHeight="1">
      <c r="B394" s="75"/>
      <c r="C394" s="75"/>
      <c r="D394" s="75"/>
      <c r="E394" s="75"/>
      <c r="F394" s="73"/>
      <c r="G394" s="73"/>
      <c r="H394" s="74"/>
      <c r="I394" s="121"/>
      <c r="J394" s="121"/>
      <c r="K394" s="121"/>
      <c r="L394" s="121"/>
      <c r="M394" s="121"/>
      <c r="N394" s="98"/>
      <c r="O394" s="98"/>
      <c r="P394" s="98"/>
      <c r="Q394" s="98"/>
      <c r="R394" s="98"/>
      <c r="S394" s="98"/>
      <c r="T394" s="98"/>
      <c r="Z394"/>
      <c r="AC394"/>
      <c r="AH394"/>
      <c r="AL394" s="72"/>
    </row>
    <row r="395" spans="2:38" ht="12.9" customHeight="1">
      <c r="B395" s="75"/>
      <c r="C395" s="75"/>
      <c r="D395" s="75"/>
      <c r="E395" s="75"/>
      <c r="F395" s="73"/>
      <c r="G395" s="73"/>
      <c r="H395" s="74"/>
      <c r="I395" s="121"/>
      <c r="J395" s="121"/>
      <c r="K395" s="121"/>
      <c r="L395" s="121"/>
      <c r="M395" s="121"/>
      <c r="N395" s="98"/>
      <c r="O395" s="98"/>
      <c r="P395" s="98"/>
      <c r="Q395" s="98"/>
      <c r="R395" s="98"/>
      <c r="S395" s="98"/>
      <c r="T395" s="98"/>
      <c r="Z395"/>
      <c r="AC395"/>
      <c r="AH395"/>
      <c r="AL395" s="72"/>
    </row>
    <row r="396" spans="2:38" ht="12.9" customHeight="1">
      <c r="B396" s="75"/>
      <c r="C396" s="75"/>
      <c r="D396" s="75"/>
      <c r="E396" s="75"/>
      <c r="F396" s="73"/>
      <c r="G396" s="73"/>
      <c r="H396" s="74"/>
      <c r="I396" s="121"/>
      <c r="J396" s="121"/>
      <c r="K396" s="121"/>
      <c r="L396" s="121"/>
      <c r="M396" s="121"/>
      <c r="N396" s="98"/>
      <c r="O396" s="98"/>
      <c r="P396" s="98"/>
      <c r="Q396" s="98"/>
      <c r="R396" s="98"/>
      <c r="S396" s="98"/>
      <c r="T396" s="98"/>
      <c r="Z396"/>
      <c r="AC396"/>
      <c r="AH396"/>
      <c r="AL396" s="72"/>
    </row>
    <row r="397" spans="2:38" ht="12.9" customHeight="1">
      <c r="B397" s="75"/>
      <c r="C397" s="75"/>
      <c r="D397" s="75"/>
      <c r="E397" s="75"/>
      <c r="F397" s="73"/>
      <c r="G397" s="73"/>
      <c r="H397" s="74"/>
      <c r="I397" s="121"/>
      <c r="J397" s="121"/>
      <c r="K397" s="121"/>
      <c r="L397" s="121"/>
      <c r="M397" s="121"/>
      <c r="N397" s="98"/>
      <c r="O397" s="98"/>
      <c r="P397" s="98"/>
      <c r="Q397" s="98"/>
      <c r="R397" s="98"/>
      <c r="S397" s="98"/>
      <c r="T397" s="98"/>
      <c r="Z397"/>
      <c r="AC397"/>
      <c r="AH397"/>
      <c r="AL397" s="72"/>
    </row>
    <row r="398" spans="2:38" ht="12.9" customHeight="1">
      <c r="B398" s="75"/>
      <c r="C398" s="75"/>
      <c r="D398" s="75"/>
      <c r="E398" s="75"/>
      <c r="F398" s="73"/>
      <c r="G398" s="73"/>
      <c r="H398" s="74"/>
      <c r="I398" s="121"/>
      <c r="J398" s="121"/>
      <c r="K398" s="121"/>
      <c r="L398" s="121"/>
      <c r="M398" s="121"/>
      <c r="N398" s="98"/>
      <c r="O398" s="98"/>
      <c r="P398" s="98"/>
      <c r="Q398" s="98"/>
      <c r="R398" s="98"/>
      <c r="S398" s="98"/>
      <c r="T398" s="98"/>
      <c r="Z398"/>
      <c r="AC398"/>
      <c r="AH398"/>
      <c r="AL398" s="72"/>
    </row>
    <row r="399" spans="2:38" ht="12.9" customHeight="1">
      <c r="B399" s="75"/>
      <c r="C399" s="75"/>
      <c r="D399" s="75"/>
      <c r="E399" s="75"/>
      <c r="F399" s="73"/>
      <c r="G399" s="73"/>
      <c r="H399" s="74"/>
      <c r="I399" s="121"/>
      <c r="J399" s="121"/>
      <c r="K399" s="121"/>
      <c r="L399" s="121"/>
      <c r="M399" s="121"/>
      <c r="N399" s="98"/>
      <c r="O399" s="98"/>
      <c r="P399" s="98"/>
      <c r="Q399" s="98"/>
      <c r="R399" s="98"/>
      <c r="S399" s="98"/>
      <c r="T399" s="98"/>
      <c r="Z399"/>
      <c r="AC399"/>
      <c r="AH399"/>
      <c r="AL399" s="72"/>
    </row>
    <row r="400" spans="2:38" ht="12.9" customHeight="1">
      <c r="B400" s="75"/>
      <c r="C400" s="75"/>
      <c r="D400" s="75"/>
      <c r="E400" s="75"/>
      <c r="F400" s="73"/>
      <c r="G400" s="73"/>
      <c r="H400" s="74"/>
      <c r="I400" s="121"/>
      <c r="J400" s="121"/>
      <c r="K400" s="121"/>
      <c r="L400" s="121"/>
      <c r="M400" s="121"/>
      <c r="N400" s="98"/>
      <c r="O400" s="98"/>
      <c r="P400" s="98"/>
      <c r="Q400" s="98"/>
      <c r="R400" s="98"/>
      <c r="S400" s="98"/>
      <c r="T400" s="98"/>
      <c r="Z400"/>
      <c r="AC400"/>
      <c r="AH400"/>
      <c r="AL400" s="72"/>
    </row>
    <row r="401" spans="2:38" ht="12.9" customHeight="1">
      <c r="B401" s="75"/>
      <c r="C401" s="75"/>
      <c r="D401" s="75"/>
      <c r="E401" s="75"/>
      <c r="F401" s="73"/>
      <c r="G401" s="73"/>
      <c r="H401" s="74"/>
      <c r="I401" s="121"/>
      <c r="J401" s="121"/>
      <c r="K401" s="121"/>
      <c r="L401" s="121"/>
      <c r="M401" s="121"/>
      <c r="N401" s="98"/>
      <c r="O401" s="98"/>
      <c r="P401" s="98"/>
      <c r="Q401" s="98"/>
      <c r="R401" s="98"/>
      <c r="S401" s="98"/>
      <c r="T401" s="98"/>
      <c r="Z401"/>
      <c r="AC401"/>
      <c r="AH401"/>
      <c r="AL401" s="72"/>
    </row>
    <row r="402" spans="2:38" ht="12.9" customHeight="1">
      <c r="B402" s="75"/>
      <c r="C402" s="75"/>
      <c r="D402" s="75"/>
      <c r="E402" s="75"/>
      <c r="F402" s="73"/>
      <c r="G402" s="73"/>
      <c r="H402" s="74"/>
      <c r="I402" s="121"/>
      <c r="J402" s="121"/>
      <c r="K402" s="121"/>
      <c r="L402" s="121"/>
      <c r="M402" s="121"/>
      <c r="N402" s="98"/>
      <c r="O402" s="98"/>
      <c r="P402" s="98"/>
      <c r="Q402" s="98"/>
      <c r="R402" s="98"/>
      <c r="S402" s="98"/>
      <c r="T402" s="98"/>
      <c r="Z402"/>
      <c r="AC402"/>
      <c r="AH402"/>
      <c r="AL402" s="72"/>
    </row>
    <row r="403" spans="2:38" ht="12.9" customHeight="1">
      <c r="B403" s="75"/>
      <c r="C403" s="75"/>
      <c r="D403" s="75"/>
      <c r="E403" s="75"/>
      <c r="F403" s="73"/>
      <c r="G403" s="73"/>
      <c r="H403" s="74"/>
      <c r="I403" s="121"/>
      <c r="J403" s="121"/>
      <c r="K403" s="121"/>
      <c r="L403" s="121"/>
      <c r="M403" s="121"/>
      <c r="N403" s="98"/>
      <c r="O403" s="98"/>
      <c r="P403" s="98"/>
      <c r="Q403" s="98"/>
      <c r="R403" s="98"/>
      <c r="S403" s="98"/>
      <c r="T403" s="98"/>
      <c r="Z403"/>
      <c r="AC403"/>
      <c r="AH403"/>
      <c r="AL403" s="72"/>
    </row>
    <row r="404" spans="2:38" ht="12.9" customHeight="1">
      <c r="B404" s="75"/>
      <c r="C404" s="75"/>
      <c r="D404" s="75"/>
      <c r="E404" s="75"/>
      <c r="F404" s="73"/>
      <c r="G404" s="73"/>
      <c r="H404" s="74"/>
      <c r="I404" s="121"/>
      <c r="J404" s="121"/>
      <c r="K404" s="121"/>
      <c r="L404" s="121"/>
      <c r="M404" s="121"/>
      <c r="N404" s="98"/>
      <c r="O404" s="98"/>
      <c r="P404" s="98"/>
      <c r="Q404" s="98"/>
      <c r="R404" s="98"/>
      <c r="S404" s="98"/>
      <c r="T404" s="98"/>
      <c r="Z404"/>
      <c r="AC404"/>
      <c r="AH404"/>
      <c r="AL404" s="72"/>
    </row>
    <row r="405" spans="2:38" ht="12.9" customHeight="1">
      <c r="B405" s="75"/>
      <c r="C405" s="75"/>
      <c r="D405" s="75"/>
      <c r="E405" s="75"/>
      <c r="F405" s="73"/>
      <c r="G405" s="73"/>
      <c r="H405" s="74"/>
      <c r="I405" s="121"/>
      <c r="J405" s="121"/>
      <c r="K405" s="121"/>
      <c r="L405" s="121"/>
      <c r="M405" s="121"/>
      <c r="N405" s="98"/>
      <c r="O405" s="98"/>
      <c r="P405" s="98"/>
      <c r="Q405" s="98"/>
      <c r="R405" s="98"/>
      <c r="S405" s="98"/>
      <c r="T405" s="98"/>
      <c r="Z405"/>
      <c r="AC405"/>
      <c r="AH405"/>
      <c r="AL405" s="72"/>
    </row>
    <row r="406" spans="2:38" ht="12.9" customHeight="1">
      <c r="B406" s="75"/>
      <c r="C406" s="75"/>
      <c r="D406" s="75"/>
      <c r="E406" s="75"/>
      <c r="F406" s="73"/>
      <c r="G406" s="73"/>
      <c r="H406" s="74"/>
      <c r="I406" s="121"/>
      <c r="J406" s="121"/>
      <c r="K406" s="121"/>
      <c r="L406" s="121"/>
      <c r="M406" s="121"/>
      <c r="N406" s="98"/>
      <c r="O406" s="98"/>
      <c r="P406" s="98"/>
      <c r="Q406" s="98"/>
      <c r="R406" s="98"/>
      <c r="S406" s="98"/>
      <c r="T406" s="98"/>
      <c r="Z406"/>
      <c r="AC406"/>
      <c r="AH406"/>
      <c r="AL406" s="72"/>
    </row>
    <row r="407" spans="2:38" ht="12.9" customHeight="1">
      <c r="B407" s="75"/>
      <c r="C407" s="75"/>
      <c r="D407" s="75"/>
      <c r="E407" s="75"/>
      <c r="F407" s="73"/>
      <c r="G407" s="73"/>
      <c r="H407" s="74"/>
      <c r="I407" s="121"/>
      <c r="J407" s="121"/>
      <c r="K407" s="121"/>
      <c r="L407" s="121"/>
      <c r="M407" s="121"/>
      <c r="N407" s="98"/>
      <c r="O407" s="98"/>
      <c r="P407" s="98"/>
      <c r="Q407" s="98"/>
      <c r="R407" s="98"/>
      <c r="S407" s="98"/>
      <c r="T407" s="98"/>
      <c r="Z407"/>
      <c r="AC407"/>
      <c r="AH407"/>
      <c r="AL407" s="72"/>
    </row>
    <row r="408" spans="2:38" ht="12.9" customHeight="1">
      <c r="B408" s="75"/>
      <c r="C408" s="75"/>
      <c r="D408" s="75"/>
      <c r="E408" s="75"/>
      <c r="F408" s="73"/>
      <c r="G408" s="73"/>
      <c r="H408" s="74"/>
      <c r="I408" s="121"/>
      <c r="J408" s="121"/>
      <c r="K408" s="121"/>
      <c r="L408" s="121"/>
      <c r="M408" s="121"/>
      <c r="N408" s="98"/>
      <c r="O408" s="98"/>
      <c r="P408" s="98"/>
      <c r="Q408" s="98"/>
      <c r="R408" s="98"/>
      <c r="S408" s="98"/>
      <c r="T408" s="98"/>
      <c r="Z408"/>
      <c r="AC408"/>
      <c r="AH408"/>
      <c r="AL408" s="72"/>
    </row>
    <row r="409" spans="2:38" ht="12.9" customHeight="1">
      <c r="B409" s="75"/>
      <c r="C409" s="75"/>
      <c r="D409" s="75"/>
      <c r="E409" s="75"/>
      <c r="F409" s="73"/>
      <c r="G409" s="73"/>
      <c r="H409" s="74"/>
      <c r="I409" s="121"/>
      <c r="J409" s="121"/>
      <c r="K409" s="121"/>
      <c r="L409" s="121"/>
      <c r="M409" s="121"/>
      <c r="N409" s="98"/>
      <c r="O409" s="98"/>
      <c r="P409" s="98"/>
      <c r="Q409" s="98"/>
      <c r="R409" s="98"/>
      <c r="S409" s="98"/>
      <c r="T409" s="98"/>
      <c r="Z409"/>
      <c r="AC409"/>
      <c r="AH409"/>
      <c r="AL409" s="72"/>
    </row>
    <row r="410" spans="2:38" ht="12.9" customHeight="1">
      <c r="B410" s="75"/>
      <c r="C410" s="75"/>
      <c r="D410" s="75"/>
      <c r="E410" s="75"/>
      <c r="F410" s="73"/>
      <c r="G410" s="73"/>
      <c r="H410" s="74"/>
      <c r="I410" s="121"/>
      <c r="J410" s="121"/>
      <c r="K410" s="121"/>
      <c r="L410" s="121"/>
      <c r="M410" s="121"/>
      <c r="N410" s="98"/>
      <c r="O410" s="98"/>
      <c r="P410" s="98"/>
      <c r="Q410" s="98"/>
      <c r="R410" s="98"/>
      <c r="S410" s="98"/>
      <c r="T410" s="98"/>
      <c r="Z410"/>
      <c r="AC410"/>
      <c r="AH410"/>
      <c r="AL410" s="72"/>
    </row>
    <row r="411" spans="2:38" ht="12.9" customHeight="1">
      <c r="B411" s="75"/>
      <c r="C411" s="75"/>
      <c r="D411" s="75"/>
      <c r="E411" s="75"/>
      <c r="F411" s="73"/>
      <c r="G411" s="73"/>
      <c r="H411" s="74"/>
      <c r="I411" s="121"/>
      <c r="J411" s="121"/>
      <c r="K411" s="121"/>
      <c r="L411" s="121"/>
      <c r="M411" s="121"/>
      <c r="N411" s="98"/>
      <c r="O411" s="98"/>
      <c r="P411" s="98"/>
      <c r="Q411" s="98"/>
      <c r="R411" s="98"/>
      <c r="S411" s="98"/>
      <c r="T411" s="98"/>
      <c r="Z411"/>
      <c r="AC411"/>
      <c r="AH411"/>
      <c r="AL411" s="72"/>
    </row>
    <row r="412" spans="2:38" ht="12.9" customHeight="1">
      <c r="B412" s="75"/>
      <c r="C412" s="75"/>
      <c r="D412" s="75"/>
      <c r="E412" s="75"/>
      <c r="F412" s="73"/>
      <c r="G412" s="73"/>
      <c r="H412" s="74"/>
      <c r="I412" s="121"/>
      <c r="J412" s="121"/>
      <c r="K412" s="121"/>
      <c r="L412" s="121"/>
      <c r="M412" s="121"/>
      <c r="N412" s="98"/>
      <c r="O412" s="98"/>
      <c r="P412" s="98"/>
      <c r="Q412" s="98"/>
      <c r="R412" s="98"/>
      <c r="S412" s="98"/>
      <c r="T412" s="98"/>
      <c r="Z412"/>
      <c r="AC412"/>
      <c r="AH412"/>
      <c r="AL412" s="72"/>
    </row>
    <row r="413" spans="2:38" ht="12.9" customHeight="1">
      <c r="B413" s="75"/>
      <c r="C413" s="75"/>
      <c r="D413" s="75"/>
      <c r="E413" s="75"/>
      <c r="F413" s="73"/>
      <c r="G413" s="73"/>
      <c r="H413" s="74"/>
      <c r="I413" s="121"/>
      <c r="J413" s="121"/>
      <c r="K413" s="121"/>
      <c r="L413" s="121"/>
      <c r="M413" s="121"/>
      <c r="N413" s="98"/>
      <c r="O413" s="98"/>
      <c r="P413" s="98"/>
      <c r="Q413" s="98"/>
      <c r="R413" s="98"/>
      <c r="S413" s="98"/>
      <c r="T413" s="98"/>
      <c r="Z413"/>
      <c r="AC413"/>
      <c r="AH413"/>
      <c r="AL413" s="72"/>
    </row>
    <row r="414" spans="2:38" ht="12.9" customHeight="1">
      <c r="B414" s="75"/>
      <c r="C414" s="75"/>
      <c r="D414" s="75"/>
      <c r="E414" s="75"/>
      <c r="F414" s="73"/>
      <c r="G414" s="73"/>
      <c r="H414" s="74"/>
      <c r="I414" s="121"/>
      <c r="J414" s="121"/>
      <c r="K414" s="121"/>
      <c r="L414" s="121"/>
      <c r="M414" s="121"/>
      <c r="N414" s="98"/>
      <c r="O414" s="98"/>
      <c r="P414" s="98"/>
      <c r="Q414" s="98"/>
      <c r="R414" s="98"/>
      <c r="S414" s="98"/>
      <c r="T414" s="98"/>
      <c r="Z414"/>
      <c r="AC414"/>
      <c r="AH414"/>
      <c r="AL414" s="72"/>
    </row>
    <row r="415" spans="2:38" ht="12.9" customHeight="1">
      <c r="B415" s="75"/>
      <c r="C415" s="75"/>
      <c r="D415" s="75"/>
      <c r="E415" s="75"/>
      <c r="F415" s="73"/>
      <c r="G415" s="73"/>
      <c r="H415" s="74"/>
      <c r="I415" s="121"/>
      <c r="J415" s="121"/>
      <c r="K415" s="121"/>
      <c r="L415" s="121"/>
      <c r="M415" s="121"/>
      <c r="N415" s="98"/>
      <c r="O415" s="98"/>
      <c r="P415" s="98"/>
      <c r="Q415" s="98"/>
      <c r="R415" s="98"/>
      <c r="S415" s="98"/>
      <c r="T415" s="98"/>
      <c r="Z415"/>
      <c r="AC415"/>
      <c r="AH415"/>
      <c r="AL415" s="72"/>
    </row>
    <row r="416" spans="2:38" ht="12.9" customHeight="1">
      <c r="B416" s="75"/>
      <c r="C416" s="75"/>
      <c r="D416" s="75"/>
      <c r="E416" s="75"/>
      <c r="F416" s="73"/>
      <c r="G416" s="73"/>
      <c r="H416" s="74"/>
      <c r="I416" s="121"/>
      <c r="J416" s="121"/>
      <c r="K416" s="121"/>
      <c r="L416" s="121"/>
      <c r="M416" s="121"/>
      <c r="N416" s="98"/>
      <c r="O416" s="98"/>
      <c r="P416" s="98"/>
      <c r="Q416" s="98"/>
      <c r="R416" s="98"/>
      <c r="S416" s="98"/>
      <c r="T416" s="98"/>
      <c r="Z416"/>
      <c r="AC416"/>
      <c r="AH416"/>
      <c r="AL416" s="72"/>
    </row>
    <row r="417" spans="2:38" ht="12.9" customHeight="1">
      <c r="B417" s="75"/>
      <c r="C417" s="75"/>
      <c r="D417" s="75"/>
      <c r="E417" s="75"/>
      <c r="F417" s="73"/>
      <c r="G417" s="73"/>
      <c r="H417" s="74"/>
      <c r="I417" s="121"/>
      <c r="J417" s="121"/>
      <c r="K417" s="121"/>
      <c r="L417" s="121"/>
      <c r="M417" s="121"/>
      <c r="N417" s="98"/>
      <c r="O417" s="98"/>
      <c r="P417" s="98"/>
      <c r="Q417" s="98"/>
      <c r="R417" s="98"/>
      <c r="S417" s="98"/>
      <c r="T417" s="98"/>
      <c r="Z417"/>
      <c r="AC417"/>
      <c r="AH417"/>
      <c r="AL417" s="72"/>
    </row>
    <row r="418" spans="2:38" ht="12.9" customHeight="1">
      <c r="B418" s="75"/>
      <c r="C418" s="75"/>
      <c r="D418" s="75"/>
      <c r="E418" s="75"/>
      <c r="F418" s="73"/>
      <c r="G418" s="73"/>
      <c r="H418" s="74"/>
      <c r="I418" s="121"/>
      <c r="J418" s="121"/>
      <c r="K418" s="121"/>
      <c r="L418" s="121"/>
      <c r="M418" s="121"/>
      <c r="N418" s="98"/>
      <c r="O418" s="98"/>
      <c r="P418" s="98"/>
      <c r="Q418" s="98"/>
      <c r="R418" s="98"/>
      <c r="S418" s="98"/>
      <c r="T418" s="98"/>
      <c r="Z418"/>
      <c r="AC418"/>
      <c r="AH418"/>
    </row>
    <row r="419" spans="2:38" ht="12.9" customHeight="1">
      <c r="B419" s="75"/>
      <c r="C419" s="75"/>
      <c r="D419" s="75"/>
      <c r="E419" s="75"/>
      <c r="F419" s="73"/>
      <c r="G419" s="73"/>
      <c r="H419" s="74"/>
      <c r="I419" s="121"/>
      <c r="J419" s="121"/>
      <c r="K419" s="121"/>
      <c r="L419" s="121"/>
      <c r="M419" s="121"/>
      <c r="N419" s="98"/>
      <c r="O419" s="98"/>
      <c r="P419" s="98"/>
      <c r="Q419" s="98"/>
      <c r="R419" s="98"/>
      <c r="S419" s="98"/>
      <c r="T419" s="98"/>
      <c r="Z419"/>
      <c r="AC419"/>
      <c r="AH419"/>
    </row>
    <row r="420" spans="2:38" ht="12.9" customHeight="1">
      <c r="B420" s="75"/>
      <c r="C420" s="75"/>
      <c r="D420" s="75"/>
      <c r="E420" s="75"/>
      <c r="F420" s="73"/>
      <c r="G420" s="73"/>
      <c r="H420" s="74"/>
      <c r="I420" s="121"/>
      <c r="J420" s="121"/>
      <c r="K420" s="121"/>
      <c r="L420" s="121"/>
      <c r="M420" s="121"/>
      <c r="N420" s="98"/>
      <c r="O420" s="98"/>
      <c r="P420" s="98"/>
      <c r="Q420" s="98"/>
      <c r="R420" s="98"/>
      <c r="S420" s="98"/>
      <c r="T420" s="98"/>
      <c r="Z420"/>
      <c r="AC420"/>
      <c r="AH420"/>
    </row>
    <row r="421" spans="2:38" ht="12.9" customHeight="1">
      <c r="B421" s="75"/>
      <c r="C421" s="75"/>
      <c r="D421" s="75"/>
      <c r="E421" s="75"/>
      <c r="F421" s="73"/>
      <c r="G421" s="73"/>
      <c r="H421" s="74"/>
      <c r="I421" s="121"/>
      <c r="J421" s="121"/>
      <c r="K421" s="121"/>
      <c r="L421" s="121"/>
      <c r="M421" s="121"/>
      <c r="N421" s="98"/>
      <c r="O421" s="98"/>
      <c r="P421" s="98"/>
      <c r="Q421" s="98"/>
      <c r="R421" s="98"/>
      <c r="S421" s="98"/>
      <c r="T421" s="98"/>
      <c r="Z421"/>
      <c r="AC421"/>
      <c r="AH421"/>
    </row>
    <row r="422" spans="2:38" ht="12.9" customHeight="1">
      <c r="B422" s="75"/>
      <c r="C422" s="75"/>
      <c r="D422" s="75"/>
      <c r="E422" s="75"/>
      <c r="F422" s="73"/>
      <c r="G422" s="73"/>
      <c r="H422" s="74"/>
      <c r="I422" s="121"/>
      <c r="J422" s="121"/>
      <c r="K422" s="121"/>
      <c r="L422" s="121"/>
      <c r="M422" s="121"/>
      <c r="N422" s="98"/>
      <c r="O422" s="98"/>
      <c r="P422" s="98"/>
      <c r="Q422" s="98"/>
      <c r="R422" s="98"/>
      <c r="S422" s="98"/>
      <c r="T422" s="98"/>
      <c r="Z422"/>
      <c r="AC422"/>
      <c r="AH422"/>
    </row>
    <row r="423" spans="2:38" ht="12.9" customHeight="1">
      <c r="B423" s="75"/>
      <c r="C423" s="75"/>
      <c r="D423" s="75"/>
      <c r="E423" s="75"/>
      <c r="F423" s="73"/>
      <c r="G423" s="73"/>
      <c r="H423" s="74"/>
      <c r="I423" s="121"/>
      <c r="J423" s="121"/>
      <c r="K423" s="121"/>
      <c r="L423" s="121"/>
      <c r="M423" s="121"/>
      <c r="N423" s="98"/>
      <c r="O423" s="98"/>
      <c r="P423" s="98"/>
      <c r="Q423" s="98"/>
      <c r="R423" s="98"/>
      <c r="S423" s="98"/>
      <c r="T423" s="98"/>
      <c r="Z423"/>
      <c r="AC423"/>
      <c r="AH423"/>
    </row>
    <row r="424" spans="2:38" ht="12.9" customHeight="1">
      <c r="B424" s="75"/>
      <c r="C424" s="75"/>
      <c r="D424" s="75"/>
      <c r="E424" s="75"/>
      <c r="F424" s="73"/>
      <c r="G424" s="73"/>
      <c r="H424" s="74"/>
      <c r="I424" s="121"/>
      <c r="J424" s="121"/>
      <c r="K424" s="121"/>
      <c r="L424" s="121"/>
      <c r="M424" s="121"/>
      <c r="N424" s="98"/>
      <c r="O424" s="98"/>
      <c r="P424" s="98"/>
      <c r="Q424" s="98"/>
      <c r="R424" s="98"/>
      <c r="S424" s="98"/>
      <c r="T424" s="98"/>
      <c r="Z424"/>
      <c r="AC424"/>
      <c r="AH424"/>
      <c r="AL424" s="72"/>
    </row>
    <row r="425" spans="2:38" ht="12.9" customHeight="1">
      <c r="B425" s="75"/>
      <c r="C425" s="75"/>
      <c r="D425" s="75"/>
      <c r="E425" s="75"/>
      <c r="F425" s="73"/>
      <c r="G425" s="73"/>
      <c r="H425" s="74"/>
      <c r="I425" s="121"/>
      <c r="J425" s="121"/>
      <c r="K425" s="121"/>
      <c r="L425" s="121"/>
      <c r="M425" s="121"/>
      <c r="N425" s="98"/>
      <c r="O425" s="98"/>
      <c r="P425" s="98"/>
      <c r="Q425" s="98"/>
      <c r="R425" s="98"/>
      <c r="S425" s="98"/>
      <c r="T425" s="98"/>
      <c r="Z425"/>
      <c r="AC425"/>
      <c r="AH425"/>
      <c r="AL425" s="72"/>
    </row>
    <row r="426" spans="2:38" ht="12.9" customHeight="1">
      <c r="B426" s="75"/>
      <c r="C426" s="75"/>
      <c r="D426" s="75"/>
      <c r="E426" s="75"/>
      <c r="F426" s="73"/>
      <c r="G426" s="73"/>
      <c r="H426" s="74"/>
      <c r="I426" s="121"/>
      <c r="J426" s="121"/>
      <c r="K426" s="121"/>
      <c r="L426" s="121"/>
      <c r="M426" s="121"/>
      <c r="N426" s="98"/>
      <c r="O426" s="98"/>
      <c r="P426" s="98"/>
      <c r="Q426" s="98"/>
      <c r="R426" s="98"/>
      <c r="S426" s="98"/>
      <c r="T426" s="98"/>
      <c r="Z426"/>
      <c r="AC426"/>
      <c r="AH426"/>
      <c r="AL426" s="72"/>
    </row>
    <row r="427" spans="2:38" ht="12.9" customHeight="1">
      <c r="B427" s="75"/>
      <c r="C427" s="75"/>
      <c r="D427" s="75"/>
      <c r="E427" s="75"/>
      <c r="F427" s="73"/>
      <c r="G427" s="73"/>
      <c r="H427" s="74"/>
      <c r="I427" s="121"/>
      <c r="J427" s="121"/>
      <c r="K427" s="121"/>
      <c r="L427" s="121"/>
      <c r="M427" s="121"/>
      <c r="N427" s="98"/>
      <c r="O427" s="98"/>
      <c r="P427" s="98"/>
      <c r="Q427" s="98"/>
      <c r="R427" s="98"/>
      <c r="S427" s="98"/>
      <c r="T427" s="98"/>
      <c r="Z427"/>
      <c r="AC427"/>
      <c r="AH427"/>
      <c r="AL427" s="72"/>
    </row>
    <row r="428" spans="2:38" ht="12.9" customHeight="1">
      <c r="B428" s="75"/>
      <c r="C428" s="75"/>
      <c r="D428" s="75"/>
      <c r="E428" s="75"/>
      <c r="F428" s="73"/>
      <c r="G428" s="73"/>
      <c r="H428" s="74"/>
      <c r="I428" s="121"/>
      <c r="J428" s="121"/>
      <c r="K428" s="121"/>
      <c r="L428" s="121"/>
      <c r="M428" s="121"/>
      <c r="N428" s="98"/>
      <c r="O428" s="98"/>
      <c r="P428" s="98"/>
      <c r="Q428" s="98"/>
      <c r="R428" s="98"/>
      <c r="S428" s="98"/>
      <c r="T428" s="98"/>
      <c r="Z428"/>
      <c r="AC428"/>
      <c r="AH428"/>
      <c r="AL428" s="72"/>
    </row>
    <row r="429" spans="2:38" ht="12.9" customHeight="1">
      <c r="B429" s="75"/>
      <c r="C429" s="75"/>
      <c r="D429" s="75"/>
      <c r="E429" s="75"/>
      <c r="F429" s="73"/>
      <c r="G429" s="73"/>
      <c r="H429" s="74"/>
      <c r="I429" s="121"/>
      <c r="J429" s="121"/>
      <c r="K429" s="121"/>
      <c r="L429" s="121"/>
      <c r="M429" s="121"/>
      <c r="N429" s="98"/>
      <c r="O429" s="98"/>
      <c r="P429" s="98"/>
      <c r="Q429" s="98"/>
      <c r="R429" s="98"/>
      <c r="S429" s="98"/>
      <c r="T429" s="98"/>
      <c r="Z429"/>
      <c r="AC429"/>
      <c r="AH429"/>
      <c r="AL429" s="72"/>
    </row>
    <row r="430" spans="2:38" ht="12.9" customHeight="1">
      <c r="B430" s="75"/>
      <c r="C430" s="75"/>
      <c r="D430" s="75"/>
      <c r="E430" s="75"/>
      <c r="F430" s="73"/>
      <c r="G430" s="73"/>
      <c r="H430" s="74"/>
      <c r="I430" s="121"/>
      <c r="J430" s="121"/>
      <c r="K430" s="121"/>
      <c r="L430" s="121"/>
      <c r="M430" s="121"/>
      <c r="N430" s="98"/>
      <c r="O430" s="98"/>
      <c r="P430" s="98"/>
      <c r="Q430" s="98"/>
      <c r="R430" s="98"/>
      <c r="S430" s="98"/>
      <c r="T430" s="98"/>
      <c r="Z430"/>
      <c r="AC430"/>
      <c r="AH430"/>
      <c r="AL430" s="72"/>
    </row>
    <row r="431" spans="2:38" ht="12.9" customHeight="1">
      <c r="B431" s="75"/>
      <c r="C431" s="75"/>
      <c r="D431" s="75"/>
      <c r="E431" s="75"/>
      <c r="F431" s="73"/>
      <c r="G431" s="73"/>
      <c r="H431" s="74"/>
      <c r="I431" s="121"/>
      <c r="J431" s="121"/>
      <c r="K431" s="121"/>
      <c r="L431" s="121"/>
      <c r="M431" s="121"/>
      <c r="N431" s="98"/>
      <c r="O431" s="98"/>
      <c r="P431" s="98"/>
      <c r="Q431" s="98"/>
      <c r="R431" s="98"/>
      <c r="S431" s="98"/>
      <c r="T431" s="98"/>
      <c r="Z431"/>
      <c r="AC431"/>
      <c r="AH431"/>
      <c r="AL431" s="72"/>
    </row>
    <row r="432" spans="2:38" ht="12.9" customHeight="1">
      <c r="B432" s="75"/>
      <c r="C432" s="75"/>
      <c r="D432" s="75"/>
      <c r="E432" s="75"/>
      <c r="F432" s="73"/>
      <c r="G432" s="73"/>
      <c r="H432" s="74"/>
      <c r="I432" s="121"/>
      <c r="J432" s="121"/>
      <c r="K432" s="121"/>
      <c r="L432" s="121"/>
      <c r="M432" s="121"/>
      <c r="N432" s="98"/>
      <c r="O432" s="98"/>
      <c r="P432" s="98"/>
      <c r="Q432" s="98"/>
      <c r="R432" s="98"/>
      <c r="S432" s="98"/>
      <c r="T432" s="98"/>
      <c r="Z432"/>
      <c r="AC432"/>
      <c r="AH432"/>
      <c r="AL432" s="72"/>
    </row>
    <row r="433" spans="2:38" ht="12.9" customHeight="1">
      <c r="B433" s="75"/>
      <c r="C433" s="75"/>
      <c r="D433" s="75"/>
      <c r="E433" s="75"/>
      <c r="F433" s="73"/>
      <c r="G433" s="73"/>
      <c r="H433" s="74"/>
      <c r="I433" s="121"/>
      <c r="J433" s="121"/>
      <c r="K433" s="121"/>
      <c r="L433" s="121"/>
      <c r="M433" s="121"/>
      <c r="N433" s="98"/>
      <c r="O433" s="98"/>
      <c r="P433" s="98"/>
      <c r="Q433" s="98"/>
      <c r="R433" s="98"/>
      <c r="S433" s="98"/>
      <c r="T433" s="98"/>
      <c r="Z433"/>
      <c r="AC433"/>
      <c r="AH433"/>
      <c r="AL433" s="72"/>
    </row>
    <row r="434" spans="2:38" ht="12.9" customHeight="1">
      <c r="B434" s="75"/>
      <c r="C434" s="75"/>
      <c r="D434" s="75"/>
      <c r="E434" s="75"/>
      <c r="F434" s="73"/>
      <c r="G434" s="73"/>
      <c r="H434" s="74"/>
      <c r="I434" s="121"/>
      <c r="J434" s="121"/>
      <c r="K434" s="121"/>
      <c r="L434" s="121"/>
      <c r="M434" s="121"/>
      <c r="N434" s="98"/>
      <c r="O434" s="98"/>
      <c r="P434" s="98"/>
      <c r="Q434" s="98"/>
      <c r="R434" s="98"/>
      <c r="S434" s="98"/>
      <c r="T434" s="98"/>
      <c r="Z434"/>
      <c r="AC434"/>
      <c r="AH434"/>
      <c r="AL434" s="72"/>
    </row>
    <row r="435" spans="2:38" ht="12.9" customHeight="1">
      <c r="B435" s="75"/>
      <c r="C435" s="75"/>
      <c r="D435" s="75"/>
      <c r="E435" s="75"/>
      <c r="F435" s="73"/>
      <c r="G435" s="73"/>
      <c r="H435" s="74"/>
      <c r="I435" s="121"/>
      <c r="J435" s="121"/>
      <c r="K435" s="121"/>
      <c r="L435" s="121"/>
      <c r="M435" s="121"/>
      <c r="N435" s="98"/>
      <c r="O435" s="98"/>
      <c r="P435" s="98"/>
      <c r="Q435" s="98"/>
      <c r="R435" s="98"/>
      <c r="S435" s="98"/>
      <c r="T435" s="98"/>
      <c r="Z435"/>
      <c r="AC435"/>
      <c r="AH435"/>
      <c r="AL435" s="72"/>
    </row>
    <row r="436" spans="2:38" ht="12.9" customHeight="1">
      <c r="B436" s="75"/>
      <c r="C436" s="75"/>
      <c r="D436" s="75"/>
      <c r="E436" s="75"/>
      <c r="F436" s="73"/>
      <c r="G436" s="73"/>
      <c r="H436" s="74"/>
      <c r="I436" s="121"/>
      <c r="J436" s="121"/>
      <c r="K436" s="121"/>
      <c r="L436" s="121"/>
      <c r="M436" s="121"/>
      <c r="N436" s="98"/>
      <c r="O436" s="98"/>
      <c r="P436" s="98"/>
      <c r="Q436" s="98"/>
      <c r="R436" s="98"/>
      <c r="S436" s="98"/>
      <c r="T436" s="98"/>
      <c r="Z436"/>
      <c r="AC436"/>
      <c r="AH436"/>
      <c r="AL436" s="72"/>
    </row>
    <row r="437" spans="2:38" ht="12.9" customHeight="1">
      <c r="B437" s="75"/>
      <c r="C437" s="75"/>
      <c r="D437" s="75"/>
      <c r="E437" s="75"/>
      <c r="F437" s="73"/>
      <c r="G437" s="73"/>
      <c r="H437" s="74"/>
      <c r="I437" s="121"/>
      <c r="J437" s="121"/>
      <c r="K437" s="121"/>
      <c r="L437" s="121"/>
      <c r="M437" s="121"/>
      <c r="N437" s="98"/>
      <c r="O437" s="98"/>
      <c r="P437" s="98"/>
      <c r="Q437" s="98"/>
      <c r="R437" s="98"/>
      <c r="S437" s="98"/>
      <c r="T437" s="98"/>
      <c r="Z437"/>
      <c r="AC437"/>
      <c r="AH437"/>
      <c r="AL437" s="72"/>
    </row>
    <row r="438" spans="2:38" ht="12.9" customHeight="1">
      <c r="B438" s="75"/>
      <c r="C438" s="75"/>
      <c r="D438" s="75"/>
      <c r="E438" s="75"/>
      <c r="F438" s="73"/>
      <c r="G438" s="73"/>
      <c r="H438" s="74"/>
      <c r="I438" s="121"/>
      <c r="J438" s="121"/>
      <c r="K438" s="121"/>
      <c r="L438" s="121"/>
      <c r="M438" s="121"/>
      <c r="N438" s="98"/>
      <c r="O438" s="98"/>
      <c r="P438" s="98"/>
      <c r="Q438" s="98"/>
      <c r="R438" s="98"/>
      <c r="S438" s="98"/>
      <c r="T438" s="98"/>
      <c r="Z438"/>
      <c r="AC438"/>
      <c r="AH438"/>
      <c r="AL438" s="72"/>
    </row>
    <row r="439" spans="2:38" ht="12.9" customHeight="1">
      <c r="B439" s="75"/>
      <c r="C439" s="75"/>
      <c r="D439" s="75"/>
      <c r="E439" s="75"/>
      <c r="F439" s="73"/>
      <c r="G439" s="73"/>
      <c r="H439" s="74"/>
      <c r="I439" s="121"/>
      <c r="J439" s="121"/>
      <c r="K439" s="121"/>
      <c r="L439" s="121"/>
      <c r="M439" s="121"/>
      <c r="N439" s="98"/>
      <c r="O439" s="98"/>
      <c r="P439" s="98"/>
      <c r="Q439" s="98"/>
      <c r="R439" s="98"/>
      <c r="S439" s="98"/>
      <c r="T439" s="98"/>
      <c r="Z439"/>
      <c r="AC439"/>
      <c r="AH439"/>
      <c r="AL439" s="72"/>
    </row>
    <row r="440" spans="2:38" ht="12.9" customHeight="1">
      <c r="B440" s="75"/>
      <c r="C440" s="75"/>
      <c r="D440" s="75"/>
      <c r="E440" s="75"/>
      <c r="F440" s="73"/>
      <c r="G440" s="73"/>
      <c r="H440" s="74"/>
      <c r="I440" s="121"/>
      <c r="J440" s="121"/>
      <c r="K440" s="121"/>
      <c r="L440" s="121"/>
      <c r="M440" s="121"/>
      <c r="N440" s="98"/>
      <c r="O440" s="98"/>
      <c r="P440" s="98"/>
      <c r="Q440" s="98"/>
      <c r="R440" s="98"/>
      <c r="S440" s="98"/>
      <c r="T440" s="98"/>
      <c r="Z440"/>
      <c r="AC440"/>
      <c r="AH440"/>
      <c r="AL440" s="72"/>
    </row>
    <row r="441" spans="2:38" ht="12.9" customHeight="1">
      <c r="B441" s="75"/>
      <c r="C441" s="75"/>
      <c r="D441" s="75"/>
      <c r="E441" s="75"/>
      <c r="F441" s="73"/>
      <c r="G441" s="73"/>
      <c r="H441" s="74"/>
      <c r="I441" s="121"/>
      <c r="J441" s="121"/>
      <c r="K441" s="121"/>
      <c r="L441" s="121"/>
      <c r="M441" s="121"/>
      <c r="N441" s="98"/>
      <c r="O441" s="98"/>
      <c r="P441" s="98"/>
      <c r="Q441" s="98"/>
      <c r="R441" s="98"/>
      <c r="S441" s="98"/>
      <c r="T441" s="98"/>
      <c r="Z441"/>
      <c r="AC441"/>
      <c r="AH441"/>
      <c r="AL441" s="72"/>
    </row>
    <row r="442" spans="2:38" ht="12.9" customHeight="1">
      <c r="B442" s="75"/>
      <c r="C442" s="75"/>
      <c r="D442" s="75"/>
      <c r="E442" s="75"/>
      <c r="F442" s="73"/>
      <c r="G442" s="73"/>
      <c r="H442" s="74"/>
      <c r="I442" s="121"/>
      <c r="J442" s="121"/>
      <c r="K442" s="121"/>
      <c r="L442" s="121"/>
      <c r="M442" s="121"/>
      <c r="N442" s="98"/>
      <c r="O442" s="98"/>
      <c r="P442" s="98"/>
      <c r="Q442" s="98"/>
      <c r="R442" s="98"/>
      <c r="S442" s="98"/>
      <c r="T442" s="98"/>
      <c r="Z442"/>
      <c r="AC442"/>
      <c r="AH442"/>
      <c r="AL442" s="72"/>
    </row>
    <row r="443" spans="2:38" ht="12.9" customHeight="1">
      <c r="B443" s="75"/>
      <c r="C443" s="75"/>
      <c r="D443" s="75"/>
      <c r="E443" s="75"/>
      <c r="F443" s="73"/>
      <c r="G443" s="73"/>
      <c r="H443" s="74"/>
      <c r="I443" s="121"/>
      <c r="J443" s="121"/>
      <c r="K443" s="121"/>
      <c r="L443" s="121"/>
      <c r="M443" s="121"/>
      <c r="N443" s="98"/>
      <c r="O443" s="98"/>
      <c r="P443" s="98"/>
      <c r="Q443" s="98"/>
      <c r="R443" s="98"/>
      <c r="S443" s="98"/>
      <c r="T443" s="98"/>
      <c r="Z443"/>
      <c r="AC443"/>
      <c r="AH443"/>
      <c r="AL443" s="72"/>
    </row>
    <row r="444" spans="2:38" ht="12.9" customHeight="1">
      <c r="B444" s="75"/>
      <c r="C444" s="75"/>
      <c r="D444" s="75"/>
      <c r="E444" s="75"/>
      <c r="F444" s="73"/>
      <c r="G444" s="73"/>
      <c r="H444" s="74"/>
      <c r="I444" s="121"/>
      <c r="J444" s="121"/>
      <c r="K444" s="121"/>
      <c r="L444" s="121"/>
      <c r="M444" s="121"/>
      <c r="N444" s="98"/>
      <c r="O444" s="98"/>
      <c r="P444" s="98"/>
      <c r="Q444" s="98"/>
      <c r="R444" s="98"/>
      <c r="S444" s="98"/>
      <c r="T444" s="98"/>
      <c r="Z444"/>
      <c r="AC444"/>
      <c r="AH444"/>
      <c r="AL444" s="72"/>
    </row>
    <row r="445" spans="2:38" ht="12.9" customHeight="1">
      <c r="B445" s="75"/>
      <c r="C445" s="75"/>
      <c r="D445" s="75"/>
      <c r="E445" s="75"/>
      <c r="F445" s="73"/>
      <c r="G445" s="73"/>
      <c r="H445" s="74"/>
      <c r="I445" s="121"/>
      <c r="J445" s="121"/>
      <c r="K445" s="121"/>
      <c r="L445" s="121"/>
      <c r="M445" s="121"/>
      <c r="N445" s="98"/>
      <c r="O445" s="98"/>
      <c r="P445" s="98"/>
      <c r="Q445" s="98"/>
      <c r="R445" s="98"/>
      <c r="S445" s="98"/>
      <c r="T445" s="98"/>
      <c r="Z445"/>
      <c r="AC445"/>
      <c r="AH445"/>
      <c r="AL445" s="72"/>
    </row>
    <row r="446" spans="2:38" ht="12.9" customHeight="1">
      <c r="B446" s="75"/>
      <c r="C446" s="75"/>
      <c r="D446" s="75"/>
      <c r="E446" s="75"/>
      <c r="F446" s="73"/>
      <c r="G446" s="73"/>
      <c r="H446" s="74"/>
      <c r="I446" s="121"/>
      <c r="J446" s="121"/>
      <c r="K446" s="121"/>
      <c r="L446" s="121"/>
      <c r="M446" s="121"/>
      <c r="N446" s="98"/>
      <c r="O446" s="98"/>
      <c r="P446" s="98"/>
      <c r="Q446" s="98"/>
      <c r="R446" s="98"/>
      <c r="S446" s="98"/>
      <c r="T446" s="98"/>
      <c r="Z446"/>
      <c r="AC446"/>
      <c r="AH446"/>
      <c r="AL446" s="72"/>
    </row>
    <row r="447" spans="2:38" ht="12.9" customHeight="1">
      <c r="B447" s="75"/>
      <c r="C447" s="75"/>
      <c r="D447" s="75"/>
      <c r="E447" s="75"/>
      <c r="F447" s="73"/>
      <c r="G447" s="73"/>
      <c r="H447" s="74"/>
      <c r="I447" s="121"/>
      <c r="J447" s="121"/>
      <c r="K447" s="121"/>
      <c r="L447" s="121"/>
      <c r="M447" s="121"/>
      <c r="N447" s="98"/>
      <c r="O447" s="98"/>
      <c r="P447" s="98"/>
      <c r="Q447" s="98"/>
      <c r="R447" s="98"/>
      <c r="S447" s="98"/>
      <c r="T447" s="98"/>
      <c r="Z447"/>
      <c r="AC447"/>
      <c r="AH447"/>
      <c r="AL447" s="72"/>
    </row>
    <row r="448" spans="2:38" ht="12.9" customHeight="1">
      <c r="B448" s="75"/>
      <c r="C448" s="75"/>
      <c r="D448" s="75"/>
      <c r="E448" s="75"/>
      <c r="F448" s="73"/>
      <c r="G448" s="73"/>
      <c r="H448" s="74"/>
      <c r="I448" s="121"/>
      <c r="J448" s="121"/>
      <c r="K448" s="121"/>
      <c r="L448" s="121"/>
      <c r="M448" s="121"/>
      <c r="N448" s="98"/>
      <c r="O448" s="98"/>
      <c r="P448" s="98"/>
      <c r="Q448" s="98"/>
      <c r="R448" s="98"/>
      <c r="S448" s="98"/>
      <c r="T448" s="98"/>
      <c r="Z448"/>
      <c r="AC448"/>
      <c r="AH448"/>
      <c r="AL448" s="72"/>
    </row>
    <row r="449" spans="2:38" ht="12.9" customHeight="1">
      <c r="B449" s="75"/>
      <c r="C449" s="75"/>
      <c r="D449" s="75"/>
      <c r="E449" s="75"/>
      <c r="F449" s="73"/>
      <c r="G449" s="73"/>
      <c r="H449" s="74"/>
      <c r="I449" s="121"/>
      <c r="J449" s="121"/>
      <c r="K449" s="121"/>
      <c r="L449" s="121"/>
      <c r="M449" s="121"/>
      <c r="N449" s="98"/>
      <c r="O449" s="98"/>
      <c r="P449" s="98"/>
      <c r="Q449" s="98"/>
      <c r="R449" s="98"/>
      <c r="S449" s="98"/>
      <c r="T449" s="98"/>
      <c r="Z449"/>
      <c r="AC449"/>
      <c r="AH449"/>
      <c r="AL449" s="72"/>
    </row>
    <row r="450" spans="2:38" ht="12.9" customHeight="1">
      <c r="B450" s="75"/>
      <c r="C450" s="75"/>
      <c r="D450" s="75"/>
      <c r="E450" s="75"/>
      <c r="F450" s="73"/>
      <c r="G450" s="73"/>
      <c r="H450" s="74"/>
      <c r="I450" s="121"/>
      <c r="J450" s="121"/>
      <c r="K450" s="121"/>
      <c r="L450" s="121"/>
      <c r="M450" s="121"/>
      <c r="N450" s="98"/>
      <c r="O450" s="98"/>
      <c r="P450" s="98"/>
      <c r="Q450" s="98"/>
      <c r="R450" s="98"/>
      <c r="S450" s="98"/>
      <c r="T450" s="98"/>
      <c r="Z450"/>
      <c r="AC450"/>
      <c r="AH450"/>
      <c r="AL450" s="72"/>
    </row>
    <row r="451" spans="2:38" ht="12.9" customHeight="1">
      <c r="B451" s="75"/>
      <c r="C451" s="75"/>
      <c r="D451" s="75"/>
      <c r="E451" s="75"/>
      <c r="F451" s="73"/>
      <c r="G451" s="73"/>
      <c r="H451" s="74"/>
      <c r="I451" s="121"/>
      <c r="J451" s="121"/>
      <c r="K451" s="121"/>
      <c r="L451" s="121"/>
      <c r="M451" s="121"/>
      <c r="N451" s="98"/>
      <c r="O451" s="98"/>
      <c r="P451" s="98"/>
      <c r="Q451" s="98"/>
      <c r="R451" s="98"/>
      <c r="S451" s="98"/>
      <c r="T451" s="98"/>
      <c r="Z451"/>
      <c r="AC451"/>
      <c r="AH451"/>
      <c r="AL451" s="72"/>
    </row>
    <row r="452" spans="2:38" ht="12.9" customHeight="1">
      <c r="B452" s="75"/>
      <c r="C452" s="75"/>
      <c r="D452" s="75"/>
      <c r="E452" s="75"/>
      <c r="F452" s="73"/>
      <c r="G452" s="73"/>
      <c r="H452" s="74"/>
      <c r="I452" s="121"/>
      <c r="J452" s="121"/>
      <c r="K452" s="121"/>
      <c r="L452" s="121"/>
      <c r="M452" s="121"/>
      <c r="N452" s="98"/>
      <c r="O452" s="98"/>
      <c r="P452" s="98"/>
      <c r="Q452" s="98"/>
      <c r="R452" s="98"/>
      <c r="S452" s="98"/>
      <c r="T452" s="98"/>
      <c r="Z452"/>
      <c r="AC452"/>
      <c r="AH452"/>
      <c r="AL452" s="72"/>
    </row>
    <row r="453" spans="2:38" ht="12.9" customHeight="1">
      <c r="B453" s="75"/>
      <c r="C453" s="75"/>
      <c r="D453" s="75"/>
      <c r="E453" s="75"/>
      <c r="F453" s="73"/>
      <c r="G453" s="73"/>
      <c r="H453" s="74"/>
      <c r="I453" s="121"/>
      <c r="J453" s="121"/>
      <c r="K453" s="121"/>
      <c r="L453" s="121"/>
      <c r="M453" s="121"/>
      <c r="N453" s="98"/>
      <c r="O453" s="98"/>
      <c r="P453" s="98"/>
      <c r="Q453" s="98"/>
      <c r="R453" s="98"/>
      <c r="S453" s="98"/>
      <c r="T453" s="98"/>
      <c r="Z453"/>
      <c r="AC453"/>
      <c r="AH453"/>
      <c r="AL453" s="72"/>
    </row>
    <row r="454" spans="2:38" ht="12.9" customHeight="1">
      <c r="B454" s="75"/>
      <c r="C454" s="75"/>
      <c r="D454" s="75"/>
      <c r="E454" s="75"/>
      <c r="F454" s="73"/>
      <c r="G454" s="73"/>
      <c r="H454" s="74"/>
      <c r="I454" s="121"/>
      <c r="J454" s="121"/>
      <c r="K454" s="121"/>
      <c r="L454" s="121"/>
      <c r="M454" s="121"/>
      <c r="N454" s="98"/>
      <c r="O454" s="98"/>
      <c r="P454" s="98"/>
      <c r="Q454" s="98"/>
      <c r="R454" s="98"/>
      <c r="S454" s="98"/>
      <c r="T454" s="98"/>
      <c r="Z454"/>
      <c r="AC454"/>
      <c r="AH454"/>
      <c r="AL454" s="72"/>
    </row>
    <row r="455" spans="2:38" ht="12.9" customHeight="1">
      <c r="B455" s="75"/>
      <c r="C455" s="75"/>
      <c r="D455" s="75"/>
      <c r="E455" s="75"/>
      <c r="F455" s="73"/>
      <c r="G455" s="73"/>
      <c r="H455" s="74"/>
      <c r="I455" s="121"/>
      <c r="J455" s="121"/>
      <c r="K455" s="121"/>
      <c r="L455" s="121"/>
      <c r="M455" s="121"/>
      <c r="N455" s="98"/>
      <c r="O455" s="98"/>
      <c r="P455" s="98"/>
      <c r="Q455" s="98"/>
      <c r="R455" s="98"/>
      <c r="S455" s="98"/>
      <c r="T455" s="98"/>
      <c r="Z455"/>
      <c r="AC455"/>
      <c r="AH455"/>
      <c r="AL455" s="72"/>
    </row>
    <row r="456" spans="2:38" ht="12.9" customHeight="1">
      <c r="B456" s="75"/>
      <c r="C456" s="75"/>
      <c r="D456" s="75"/>
      <c r="E456" s="75"/>
      <c r="F456" s="73"/>
      <c r="G456" s="73"/>
      <c r="H456" s="74"/>
      <c r="I456" s="121"/>
      <c r="J456" s="121"/>
      <c r="K456" s="121"/>
      <c r="L456" s="121"/>
      <c r="M456" s="121"/>
      <c r="N456" s="98"/>
      <c r="O456" s="98"/>
      <c r="P456" s="98"/>
      <c r="Q456" s="98"/>
      <c r="R456" s="98"/>
      <c r="S456" s="98"/>
      <c r="T456" s="98"/>
      <c r="Z456"/>
      <c r="AC456"/>
      <c r="AH456"/>
      <c r="AL456" s="72"/>
    </row>
    <row r="457" spans="2:38" ht="12.9" customHeight="1">
      <c r="B457" s="75"/>
      <c r="C457" s="75"/>
      <c r="D457" s="75"/>
      <c r="E457" s="75"/>
      <c r="F457" s="73"/>
      <c r="G457" s="73"/>
      <c r="H457" s="74"/>
      <c r="I457" s="121"/>
      <c r="J457" s="121"/>
      <c r="K457" s="121"/>
      <c r="L457" s="121"/>
      <c r="M457" s="121"/>
      <c r="N457" s="98"/>
      <c r="O457" s="98"/>
      <c r="P457" s="98"/>
      <c r="Q457" s="98"/>
      <c r="R457" s="98"/>
      <c r="S457" s="98"/>
      <c r="T457" s="98"/>
      <c r="Z457"/>
      <c r="AC457"/>
      <c r="AH457"/>
      <c r="AL457" s="72"/>
    </row>
    <row r="458" spans="2:38" ht="12.9" customHeight="1">
      <c r="B458" s="75"/>
      <c r="C458" s="75"/>
      <c r="D458" s="75"/>
      <c r="E458" s="75"/>
      <c r="F458" s="73"/>
      <c r="G458" s="73"/>
      <c r="H458" s="74"/>
      <c r="I458" s="121"/>
      <c r="J458" s="121"/>
      <c r="K458" s="121"/>
      <c r="L458" s="121"/>
      <c r="M458" s="121"/>
      <c r="N458" s="98"/>
      <c r="O458" s="98"/>
      <c r="P458" s="98"/>
      <c r="Q458" s="98"/>
      <c r="R458" s="98"/>
      <c r="S458" s="98"/>
      <c r="T458" s="98"/>
      <c r="Z458"/>
      <c r="AC458"/>
      <c r="AH458"/>
      <c r="AL458" s="72"/>
    </row>
    <row r="459" spans="2:38" ht="12.9" customHeight="1">
      <c r="B459" s="75"/>
      <c r="C459" s="75"/>
      <c r="D459" s="75"/>
      <c r="E459" s="75"/>
      <c r="F459" s="73"/>
      <c r="G459" s="73"/>
      <c r="H459" s="74"/>
      <c r="I459" s="121"/>
      <c r="J459" s="121"/>
      <c r="K459" s="121"/>
      <c r="L459" s="121"/>
      <c r="M459" s="121"/>
      <c r="N459" s="98"/>
      <c r="O459" s="98"/>
      <c r="P459" s="98"/>
      <c r="Q459" s="98"/>
      <c r="R459" s="98"/>
      <c r="S459" s="98"/>
      <c r="T459" s="98"/>
      <c r="Z459"/>
      <c r="AC459"/>
      <c r="AH459"/>
      <c r="AL459" s="72"/>
    </row>
    <row r="460" spans="2:38" ht="12.9" customHeight="1">
      <c r="B460" s="75"/>
      <c r="C460" s="75"/>
      <c r="D460" s="75"/>
      <c r="E460" s="75"/>
      <c r="F460" s="73"/>
      <c r="G460" s="73"/>
      <c r="H460" s="74"/>
      <c r="I460" s="121"/>
      <c r="J460" s="121"/>
      <c r="K460" s="121"/>
      <c r="L460" s="121"/>
      <c r="M460" s="121"/>
      <c r="N460" s="98"/>
      <c r="O460" s="98"/>
      <c r="P460" s="98"/>
      <c r="Q460" s="98"/>
      <c r="R460" s="98"/>
      <c r="S460" s="98"/>
      <c r="T460" s="98"/>
      <c r="Z460"/>
      <c r="AC460"/>
      <c r="AH460"/>
      <c r="AL460" s="72"/>
    </row>
    <row r="461" spans="2:38" ht="12.9" customHeight="1">
      <c r="B461" s="75"/>
      <c r="C461" s="75"/>
      <c r="D461" s="75"/>
      <c r="E461" s="75"/>
      <c r="F461" s="73"/>
      <c r="G461" s="73"/>
      <c r="H461" s="74"/>
      <c r="I461" s="121"/>
      <c r="J461" s="121"/>
      <c r="K461" s="121"/>
      <c r="L461" s="121"/>
      <c r="M461" s="121"/>
      <c r="N461" s="98"/>
      <c r="O461" s="98"/>
      <c r="P461" s="98"/>
      <c r="Q461" s="98"/>
      <c r="R461" s="98"/>
      <c r="S461" s="98"/>
      <c r="T461" s="98"/>
      <c r="Z461"/>
      <c r="AC461"/>
      <c r="AH461"/>
      <c r="AL461" s="72"/>
    </row>
    <row r="462" spans="2:38" ht="12.9" customHeight="1">
      <c r="B462" s="75"/>
      <c r="C462" s="75"/>
      <c r="D462" s="75"/>
      <c r="E462" s="75"/>
      <c r="F462" s="73"/>
      <c r="G462" s="73"/>
      <c r="H462" s="74"/>
      <c r="I462" s="121"/>
      <c r="J462" s="121"/>
      <c r="K462" s="121"/>
      <c r="L462" s="121"/>
      <c r="M462" s="121"/>
      <c r="N462" s="98"/>
      <c r="O462" s="98"/>
      <c r="P462" s="98"/>
      <c r="Q462" s="98"/>
      <c r="R462" s="98"/>
      <c r="S462" s="98"/>
      <c r="T462" s="98"/>
      <c r="Z462"/>
      <c r="AC462"/>
      <c r="AH462"/>
      <c r="AL462" s="72"/>
    </row>
    <row r="463" spans="2:38" ht="12.9" customHeight="1">
      <c r="B463" s="75"/>
      <c r="C463" s="75"/>
      <c r="D463" s="75"/>
      <c r="E463" s="75"/>
      <c r="F463" s="73"/>
      <c r="G463" s="73"/>
      <c r="H463" s="74"/>
      <c r="I463" s="121"/>
      <c r="J463" s="121"/>
      <c r="K463" s="121"/>
      <c r="L463" s="121"/>
      <c r="M463" s="121"/>
      <c r="N463" s="98"/>
      <c r="O463" s="98"/>
      <c r="P463" s="98"/>
      <c r="Q463" s="98"/>
      <c r="R463" s="98"/>
      <c r="S463" s="98"/>
      <c r="T463" s="98"/>
      <c r="Z463"/>
      <c r="AC463"/>
      <c r="AH463"/>
      <c r="AL463" s="72"/>
    </row>
    <row r="464" spans="2:38" ht="12.9" customHeight="1">
      <c r="B464" s="75"/>
      <c r="C464" s="75"/>
      <c r="D464" s="75"/>
      <c r="E464" s="75"/>
      <c r="F464" s="73"/>
      <c r="G464" s="73"/>
      <c r="H464" s="74"/>
      <c r="I464" s="121"/>
      <c r="J464" s="121"/>
      <c r="K464" s="121"/>
      <c r="L464" s="121"/>
      <c r="M464" s="121"/>
      <c r="N464" s="98"/>
      <c r="O464" s="98"/>
      <c r="P464" s="98"/>
      <c r="Q464" s="98"/>
      <c r="R464" s="98"/>
      <c r="S464" s="98"/>
      <c r="T464" s="98"/>
      <c r="Z464"/>
      <c r="AC464"/>
      <c r="AH464"/>
      <c r="AL464" s="72"/>
    </row>
    <row r="465" spans="2:38" ht="12.9" customHeight="1">
      <c r="B465" s="75"/>
      <c r="C465" s="75"/>
      <c r="D465" s="75"/>
      <c r="E465" s="75"/>
      <c r="F465" s="73"/>
      <c r="G465" s="73"/>
      <c r="H465" s="74"/>
      <c r="I465" s="121"/>
      <c r="J465" s="121"/>
      <c r="K465" s="121"/>
      <c r="L465" s="121"/>
      <c r="M465" s="121"/>
      <c r="N465" s="98"/>
      <c r="O465" s="98"/>
      <c r="P465" s="98"/>
      <c r="Q465" s="98"/>
      <c r="R465" s="98"/>
      <c r="S465" s="98"/>
      <c r="T465" s="98"/>
      <c r="Z465"/>
      <c r="AC465"/>
      <c r="AH465"/>
      <c r="AL465" s="72"/>
    </row>
    <row r="466" spans="2:38" ht="12.9" customHeight="1">
      <c r="B466" s="75"/>
      <c r="C466" s="75"/>
      <c r="D466" s="75"/>
      <c r="E466" s="75"/>
      <c r="F466" s="73"/>
      <c r="G466" s="73"/>
      <c r="H466" s="74"/>
      <c r="I466" s="121"/>
      <c r="J466" s="121"/>
      <c r="K466" s="121"/>
      <c r="L466" s="121"/>
      <c r="M466" s="121"/>
      <c r="N466" s="98"/>
      <c r="O466" s="98"/>
      <c r="P466" s="98"/>
      <c r="Q466" s="98"/>
      <c r="R466" s="98"/>
      <c r="S466" s="98"/>
      <c r="T466" s="98"/>
      <c r="Z466"/>
      <c r="AC466"/>
      <c r="AH466"/>
      <c r="AL466" s="72"/>
    </row>
    <row r="467" spans="2:38" ht="12.9" customHeight="1">
      <c r="B467" s="75"/>
      <c r="C467" s="75"/>
      <c r="D467" s="75"/>
      <c r="E467" s="75"/>
      <c r="F467" s="73"/>
      <c r="G467" s="73"/>
      <c r="H467" s="74"/>
      <c r="I467" s="121"/>
      <c r="J467" s="121"/>
      <c r="K467" s="121"/>
      <c r="L467" s="121"/>
      <c r="M467" s="121"/>
      <c r="N467" s="98"/>
      <c r="O467" s="98"/>
      <c r="P467" s="98"/>
      <c r="Q467" s="98"/>
      <c r="R467" s="98"/>
      <c r="S467" s="98"/>
      <c r="T467" s="98"/>
      <c r="Z467"/>
      <c r="AC467"/>
      <c r="AH467"/>
      <c r="AL467" s="72"/>
    </row>
    <row r="468" spans="2:38" ht="12.9" customHeight="1">
      <c r="B468" s="75"/>
      <c r="C468" s="75"/>
      <c r="D468" s="75"/>
      <c r="E468" s="75"/>
      <c r="F468" s="73"/>
      <c r="G468" s="73"/>
      <c r="H468" s="74"/>
      <c r="I468" s="121"/>
      <c r="J468" s="121"/>
      <c r="K468" s="121"/>
      <c r="L468" s="121"/>
      <c r="M468" s="121"/>
      <c r="N468" s="98"/>
      <c r="O468" s="98"/>
      <c r="P468" s="98"/>
      <c r="Q468" s="98"/>
      <c r="R468" s="98"/>
      <c r="S468" s="98"/>
      <c r="T468" s="98"/>
      <c r="Z468"/>
      <c r="AC468"/>
      <c r="AH468"/>
      <c r="AL468" s="72"/>
    </row>
    <row r="469" spans="2:38" ht="12.9" customHeight="1">
      <c r="B469" s="75"/>
      <c r="C469" s="75"/>
      <c r="D469" s="75"/>
      <c r="E469" s="75"/>
      <c r="F469" s="73"/>
      <c r="G469" s="73"/>
      <c r="H469" s="74"/>
      <c r="I469" s="121"/>
      <c r="J469" s="121"/>
      <c r="K469" s="121"/>
      <c r="L469" s="121"/>
      <c r="M469" s="121"/>
      <c r="N469" s="98"/>
      <c r="O469" s="98"/>
      <c r="P469" s="98"/>
      <c r="Q469" s="98"/>
      <c r="R469" s="98"/>
      <c r="S469" s="98"/>
      <c r="T469" s="98"/>
      <c r="Z469"/>
      <c r="AC469"/>
      <c r="AH469"/>
      <c r="AL469" s="72"/>
    </row>
    <row r="470" spans="2:38" ht="12.9" customHeight="1">
      <c r="B470" s="75"/>
      <c r="C470" s="75"/>
      <c r="D470" s="75"/>
      <c r="E470" s="75"/>
      <c r="F470" s="73"/>
      <c r="G470" s="73"/>
      <c r="H470" s="74"/>
      <c r="I470" s="121"/>
      <c r="J470" s="121"/>
      <c r="K470" s="121"/>
      <c r="L470" s="121"/>
      <c r="M470" s="121"/>
      <c r="N470" s="98"/>
      <c r="O470" s="98"/>
      <c r="P470" s="98"/>
      <c r="Q470" s="98"/>
      <c r="R470" s="98"/>
      <c r="S470" s="98"/>
      <c r="T470" s="98"/>
      <c r="Z470"/>
      <c r="AC470"/>
      <c r="AH470"/>
      <c r="AL470" s="72"/>
    </row>
    <row r="471" spans="2:38" ht="12.9" customHeight="1">
      <c r="B471" s="75"/>
      <c r="C471" s="75"/>
      <c r="D471" s="75"/>
      <c r="E471" s="75"/>
      <c r="F471" s="73"/>
      <c r="G471" s="73"/>
      <c r="H471" s="74"/>
      <c r="I471" s="121"/>
      <c r="J471" s="121"/>
      <c r="K471" s="121"/>
      <c r="L471" s="121"/>
      <c r="M471" s="121"/>
      <c r="N471" s="98"/>
      <c r="O471" s="98"/>
      <c r="P471" s="98"/>
      <c r="Q471" s="98"/>
      <c r="R471" s="98"/>
      <c r="S471" s="98"/>
      <c r="T471" s="98"/>
      <c r="Z471"/>
      <c r="AC471"/>
      <c r="AH471"/>
      <c r="AL471" s="72"/>
    </row>
    <row r="472" spans="2:38" ht="12.9" customHeight="1">
      <c r="B472" s="75"/>
      <c r="C472" s="75"/>
      <c r="D472" s="75"/>
      <c r="E472" s="75"/>
      <c r="F472" s="73"/>
      <c r="G472" s="73"/>
      <c r="H472" s="74"/>
      <c r="I472" s="121"/>
      <c r="J472" s="121"/>
      <c r="K472" s="121"/>
      <c r="L472" s="121"/>
      <c r="M472" s="121"/>
      <c r="N472" s="98"/>
      <c r="O472" s="98"/>
      <c r="P472" s="98"/>
      <c r="Q472" s="98"/>
      <c r="R472" s="98"/>
      <c r="S472" s="98"/>
      <c r="T472" s="98"/>
      <c r="Z472"/>
      <c r="AC472"/>
      <c r="AH472"/>
      <c r="AL472" s="72"/>
    </row>
    <row r="473" spans="2:38" ht="12.9" customHeight="1">
      <c r="B473" s="75"/>
      <c r="C473" s="75"/>
      <c r="D473" s="75"/>
      <c r="E473" s="75"/>
      <c r="F473" s="73"/>
      <c r="G473" s="73"/>
      <c r="H473" s="74"/>
      <c r="I473" s="121"/>
      <c r="J473" s="121"/>
      <c r="K473" s="121"/>
      <c r="L473" s="121"/>
      <c r="M473" s="121"/>
      <c r="N473" s="98"/>
      <c r="O473" s="98"/>
      <c r="P473" s="98"/>
      <c r="Q473" s="98"/>
      <c r="R473" s="98"/>
      <c r="S473" s="98"/>
      <c r="T473" s="98"/>
      <c r="Z473"/>
      <c r="AC473"/>
      <c r="AH473"/>
      <c r="AL473" s="72"/>
    </row>
    <row r="474" spans="2:38" ht="12.9" customHeight="1">
      <c r="B474" s="75"/>
      <c r="C474" s="75"/>
      <c r="D474" s="75"/>
      <c r="E474" s="75"/>
      <c r="F474" s="73"/>
      <c r="G474" s="73"/>
      <c r="H474" s="74"/>
      <c r="I474" s="121"/>
      <c r="J474" s="121"/>
      <c r="K474" s="121"/>
      <c r="L474" s="121"/>
      <c r="M474" s="121"/>
      <c r="N474" s="99"/>
      <c r="O474" s="99"/>
      <c r="P474" s="99"/>
      <c r="Q474" s="99"/>
      <c r="R474" s="99"/>
      <c r="S474" s="99"/>
      <c r="T474" s="99"/>
      <c r="Z474"/>
      <c r="AC474"/>
      <c r="AH474"/>
      <c r="AL474" s="72"/>
    </row>
    <row r="475" spans="2:38" ht="12.9" customHeight="1">
      <c r="B475" s="75"/>
      <c r="C475" s="75"/>
      <c r="D475" s="75"/>
      <c r="E475" s="75"/>
      <c r="F475" s="73"/>
      <c r="G475" s="73"/>
      <c r="H475" s="74"/>
      <c r="I475" s="121"/>
      <c r="J475" s="121"/>
      <c r="K475" s="121"/>
      <c r="L475" s="121"/>
      <c r="M475" s="121"/>
      <c r="N475" s="98"/>
      <c r="O475" s="98"/>
      <c r="P475" s="98"/>
      <c r="Q475" s="98"/>
      <c r="R475" s="98"/>
      <c r="S475" s="98"/>
      <c r="T475" s="98"/>
      <c r="Z475"/>
      <c r="AC475"/>
      <c r="AH475"/>
      <c r="AL475" s="72"/>
    </row>
    <row r="476" spans="2:38" ht="12.9" customHeight="1">
      <c r="B476" s="75"/>
      <c r="C476" s="75"/>
      <c r="D476" s="75"/>
      <c r="E476" s="75"/>
      <c r="F476" s="73"/>
      <c r="G476" s="73"/>
      <c r="H476" s="74"/>
      <c r="I476" s="121"/>
      <c r="J476" s="121"/>
      <c r="K476" s="121"/>
      <c r="L476" s="121"/>
      <c r="M476" s="121"/>
      <c r="N476" s="98"/>
      <c r="O476" s="98"/>
      <c r="P476" s="98"/>
      <c r="Q476" s="98"/>
      <c r="R476" s="98"/>
      <c r="S476" s="98"/>
      <c r="T476" s="98"/>
      <c r="Z476"/>
      <c r="AC476"/>
      <c r="AH476"/>
      <c r="AL476" s="72"/>
    </row>
    <row r="477" spans="2:38" ht="12.9" customHeight="1">
      <c r="B477" s="75"/>
      <c r="C477" s="75"/>
      <c r="D477" s="75"/>
      <c r="E477" s="75"/>
      <c r="F477" s="73"/>
      <c r="G477" s="73"/>
      <c r="H477" s="74"/>
      <c r="I477" s="121"/>
      <c r="J477" s="121"/>
      <c r="K477" s="121"/>
      <c r="L477" s="121"/>
      <c r="M477" s="121"/>
      <c r="N477" s="98"/>
      <c r="O477" s="98"/>
      <c r="P477" s="98"/>
      <c r="Q477" s="98"/>
      <c r="R477" s="98"/>
      <c r="S477" s="98"/>
      <c r="T477" s="98"/>
      <c r="Z477"/>
      <c r="AC477"/>
      <c r="AH477"/>
      <c r="AL477" s="72"/>
    </row>
    <row r="478" spans="2:38" ht="12.9" customHeight="1">
      <c r="B478" s="75"/>
      <c r="C478" s="75"/>
      <c r="D478" s="75"/>
      <c r="E478" s="75"/>
      <c r="F478" s="73"/>
      <c r="G478" s="73"/>
      <c r="H478" s="74"/>
      <c r="I478" s="121"/>
      <c r="J478" s="121"/>
      <c r="K478" s="121"/>
      <c r="L478" s="121"/>
      <c r="M478" s="121"/>
      <c r="N478" s="99"/>
      <c r="O478" s="99"/>
      <c r="P478" s="99"/>
      <c r="Q478" s="99"/>
      <c r="R478" s="99"/>
      <c r="S478" s="99"/>
      <c r="T478" s="99"/>
      <c r="Z478"/>
      <c r="AC478"/>
      <c r="AH478"/>
      <c r="AL478" s="72"/>
    </row>
    <row r="479" spans="2:38" ht="12.9" customHeight="1">
      <c r="B479" s="75"/>
      <c r="C479" s="75"/>
      <c r="D479" s="75"/>
      <c r="E479" s="75"/>
      <c r="F479" s="73"/>
      <c r="G479" s="73"/>
      <c r="H479" s="74"/>
      <c r="I479" s="121"/>
      <c r="J479" s="121"/>
      <c r="K479" s="121"/>
      <c r="L479" s="121"/>
      <c r="M479" s="121"/>
      <c r="N479" s="98"/>
      <c r="O479" s="98"/>
      <c r="P479" s="98"/>
      <c r="Q479" s="98"/>
      <c r="R479" s="98"/>
      <c r="S479" s="98"/>
      <c r="T479" s="98"/>
      <c r="Z479"/>
      <c r="AC479"/>
      <c r="AH479"/>
      <c r="AL479" s="72"/>
    </row>
    <row r="480" spans="2:38" ht="12.9" customHeight="1">
      <c r="B480" s="75"/>
      <c r="C480" s="75"/>
      <c r="D480" s="75"/>
      <c r="E480" s="75"/>
      <c r="F480" s="73"/>
      <c r="G480" s="73"/>
      <c r="H480" s="74"/>
      <c r="I480" s="121"/>
      <c r="J480" s="121"/>
      <c r="K480" s="121"/>
      <c r="L480" s="121"/>
      <c r="M480" s="121"/>
      <c r="N480" s="98"/>
      <c r="O480" s="98"/>
      <c r="P480" s="98"/>
      <c r="Q480" s="98"/>
      <c r="R480" s="98"/>
      <c r="S480" s="98"/>
      <c r="T480" s="98"/>
      <c r="Z480"/>
      <c r="AC480"/>
      <c r="AH480"/>
      <c r="AL480" s="72"/>
    </row>
    <row r="481" spans="2:38" ht="12.9" customHeight="1">
      <c r="B481" s="75"/>
      <c r="C481" s="75"/>
      <c r="D481" s="75"/>
      <c r="E481" s="75"/>
      <c r="F481" s="73"/>
      <c r="G481" s="73"/>
      <c r="H481" s="74"/>
      <c r="I481" s="121"/>
      <c r="J481" s="121"/>
      <c r="K481" s="121"/>
      <c r="L481" s="121"/>
      <c r="M481" s="121"/>
      <c r="N481" s="98"/>
      <c r="O481" s="98"/>
      <c r="P481" s="98"/>
      <c r="Q481" s="98"/>
      <c r="R481" s="98"/>
      <c r="S481" s="98"/>
      <c r="T481" s="98"/>
      <c r="Z481"/>
      <c r="AC481"/>
      <c r="AH481"/>
      <c r="AL481" s="72"/>
    </row>
    <row r="482" spans="2:38" ht="12.9" customHeight="1">
      <c r="B482" s="75"/>
      <c r="C482" s="75"/>
      <c r="D482" s="75"/>
      <c r="E482" s="75"/>
      <c r="F482" s="73"/>
      <c r="G482" s="73"/>
      <c r="H482" s="74"/>
      <c r="I482" s="121"/>
      <c r="J482" s="121"/>
      <c r="K482" s="121"/>
      <c r="L482" s="121"/>
      <c r="M482" s="121"/>
      <c r="N482" s="98"/>
      <c r="O482" s="98"/>
      <c r="P482" s="98"/>
      <c r="Q482" s="98"/>
      <c r="R482" s="98"/>
      <c r="S482" s="98"/>
      <c r="T482" s="98"/>
      <c r="Z482"/>
      <c r="AC482"/>
      <c r="AH482"/>
      <c r="AL482" s="72"/>
    </row>
    <row r="483" spans="2:38" ht="12.9" customHeight="1">
      <c r="B483" s="75"/>
      <c r="C483" s="75"/>
      <c r="D483" s="75"/>
      <c r="E483" s="75"/>
      <c r="F483" s="73"/>
      <c r="G483" s="73"/>
      <c r="H483" s="74"/>
      <c r="I483" s="121"/>
      <c r="J483" s="121"/>
      <c r="K483" s="121"/>
      <c r="L483" s="121"/>
      <c r="M483" s="121"/>
      <c r="N483" s="98"/>
      <c r="O483" s="98"/>
      <c r="P483" s="98"/>
      <c r="Q483" s="98"/>
      <c r="R483" s="98"/>
      <c r="S483" s="98"/>
      <c r="T483" s="98"/>
      <c r="Z483"/>
      <c r="AC483"/>
      <c r="AH483"/>
      <c r="AL483" s="72"/>
    </row>
    <row r="484" spans="2:38" ht="12.9" customHeight="1">
      <c r="B484" s="75"/>
      <c r="C484" s="75"/>
      <c r="D484" s="75"/>
      <c r="E484" s="75"/>
      <c r="F484" s="73"/>
      <c r="G484" s="73"/>
      <c r="H484" s="74"/>
      <c r="I484" s="121"/>
      <c r="J484" s="121"/>
      <c r="K484" s="121"/>
      <c r="L484" s="121"/>
      <c r="M484" s="121"/>
      <c r="N484" s="98"/>
      <c r="O484" s="98"/>
      <c r="P484" s="98"/>
      <c r="Q484" s="98"/>
      <c r="R484" s="98"/>
      <c r="S484" s="98"/>
      <c r="T484" s="98"/>
      <c r="Z484"/>
      <c r="AC484"/>
      <c r="AH484"/>
      <c r="AL484" s="72"/>
    </row>
    <row r="485" spans="2:38" ht="12.9" customHeight="1">
      <c r="B485" s="75"/>
      <c r="C485" s="75"/>
      <c r="D485" s="75"/>
      <c r="E485" s="75"/>
      <c r="F485" s="73"/>
      <c r="G485" s="73"/>
      <c r="H485" s="74"/>
      <c r="I485" s="121"/>
      <c r="J485" s="121"/>
      <c r="K485" s="121"/>
      <c r="L485" s="121"/>
      <c r="M485" s="121"/>
      <c r="N485" s="99"/>
      <c r="O485" s="99"/>
      <c r="P485" s="99"/>
      <c r="Q485" s="99"/>
      <c r="R485" s="99"/>
      <c r="S485" s="99"/>
      <c r="T485" s="99"/>
      <c r="Z485"/>
      <c r="AC485"/>
      <c r="AH485"/>
      <c r="AL485" s="72"/>
    </row>
    <row r="486" spans="2:38" ht="12.9" customHeight="1">
      <c r="B486" s="75"/>
      <c r="C486" s="75"/>
      <c r="D486" s="75"/>
      <c r="E486" s="75"/>
      <c r="F486" s="73"/>
      <c r="G486" s="73"/>
      <c r="H486" s="74"/>
      <c r="I486" s="121"/>
      <c r="J486" s="121"/>
      <c r="K486" s="121"/>
      <c r="L486" s="121"/>
      <c r="M486" s="121"/>
      <c r="N486" s="98"/>
      <c r="O486" s="98"/>
      <c r="P486" s="98"/>
      <c r="Q486" s="98"/>
      <c r="R486" s="98"/>
      <c r="S486" s="98"/>
      <c r="T486" s="98"/>
      <c r="Z486"/>
      <c r="AC486"/>
      <c r="AH486"/>
      <c r="AL486" s="72"/>
    </row>
    <row r="487" spans="2:38" ht="12.9" customHeight="1">
      <c r="B487" s="75"/>
      <c r="C487" s="75"/>
      <c r="D487" s="75"/>
      <c r="E487" s="75"/>
      <c r="F487" s="73"/>
      <c r="G487" s="73"/>
      <c r="H487" s="74"/>
      <c r="I487" s="121"/>
      <c r="J487" s="121"/>
      <c r="K487" s="121"/>
      <c r="L487" s="121"/>
      <c r="M487" s="121"/>
      <c r="N487" s="98"/>
      <c r="O487" s="98"/>
      <c r="P487" s="98"/>
      <c r="Q487" s="98"/>
      <c r="R487" s="98"/>
      <c r="S487" s="98"/>
      <c r="T487" s="98"/>
      <c r="Z487"/>
      <c r="AC487"/>
      <c r="AH487"/>
      <c r="AL487" s="72"/>
    </row>
    <row r="488" spans="2:38" ht="12.9" customHeight="1">
      <c r="B488" s="75"/>
      <c r="C488" s="75"/>
      <c r="D488" s="75"/>
      <c r="E488" s="75"/>
      <c r="F488" s="73"/>
      <c r="G488" s="73"/>
      <c r="H488" s="74"/>
      <c r="I488" s="121"/>
      <c r="J488" s="121"/>
      <c r="K488" s="121"/>
      <c r="L488" s="121"/>
      <c r="M488" s="121"/>
      <c r="N488" s="98"/>
      <c r="O488" s="98"/>
      <c r="P488" s="98"/>
      <c r="Q488" s="98"/>
      <c r="R488" s="98"/>
      <c r="S488" s="98"/>
      <c r="T488" s="98"/>
      <c r="Z488"/>
      <c r="AC488"/>
      <c r="AH488"/>
      <c r="AL488" s="72"/>
    </row>
    <row r="489" spans="2:38" ht="12.9" customHeight="1">
      <c r="B489" s="75"/>
      <c r="C489" s="75"/>
      <c r="D489" s="75"/>
      <c r="E489" s="75"/>
      <c r="F489" s="73"/>
      <c r="G489" s="73"/>
      <c r="H489" s="74"/>
      <c r="I489" s="121"/>
      <c r="J489" s="121"/>
      <c r="K489" s="121"/>
      <c r="L489" s="121"/>
      <c r="M489" s="121"/>
      <c r="N489" s="98"/>
      <c r="O489" s="98"/>
      <c r="P489" s="98"/>
      <c r="Q489" s="98"/>
      <c r="R489" s="98"/>
      <c r="S489" s="98"/>
      <c r="T489" s="98"/>
      <c r="Z489"/>
      <c r="AC489"/>
      <c r="AH489"/>
      <c r="AL489" s="72"/>
    </row>
    <row r="490" spans="2:38" ht="12.9" customHeight="1">
      <c r="B490" s="75"/>
      <c r="C490" s="75"/>
      <c r="D490" s="75"/>
      <c r="E490" s="75"/>
      <c r="F490" s="73"/>
      <c r="G490" s="73"/>
      <c r="H490" s="74"/>
      <c r="I490" s="121"/>
      <c r="J490" s="121"/>
      <c r="K490" s="121"/>
      <c r="L490" s="121"/>
      <c r="M490" s="121"/>
      <c r="N490" s="98"/>
      <c r="O490" s="98"/>
      <c r="P490" s="98"/>
      <c r="Q490" s="98"/>
      <c r="R490" s="98"/>
      <c r="S490" s="98"/>
      <c r="T490" s="98"/>
      <c r="Z490"/>
      <c r="AC490"/>
      <c r="AH490"/>
      <c r="AL490" s="72"/>
    </row>
    <row r="491" spans="2:38" ht="12.9" customHeight="1">
      <c r="B491" s="75"/>
      <c r="C491" s="75"/>
      <c r="D491" s="75"/>
      <c r="E491" s="75"/>
      <c r="F491" s="73"/>
      <c r="G491" s="73"/>
      <c r="H491" s="74"/>
      <c r="I491" s="121"/>
      <c r="J491" s="121"/>
      <c r="K491" s="121"/>
      <c r="L491" s="121"/>
      <c r="M491" s="121"/>
      <c r="N491" s="98"/>
      <c r="O491" s="98"/>
      <c r="P491" s="98"/>
      <c r="Q491" s="98"/>
      <c r="R491" s="98"/>
      <c r="S491" s="98"/>
      <c r="T491" s="98"/>
      <c r="Z491"/>
      <c r="AC491"/>
      <c r="AH491"/>
      <c r="AL491" s="72"/>
    </row>
    <row r="492" spans="2:38" ht="12.9" customHeight="1">
      <c r="B492" s="75"/>
      <c r="C492" s="75"/>
      <c r="D492" s="75"/>
      <c r="E492" s="75"/>
      <c r="F492" s="73"/>
      <c r="G492" s="73"/>
      <c r="H492" s="74"/>
      <c r="I492" s="121"/>
      <c r="J492" s="121"/>
      <c r="K492" s="121"/>
      <c r="L492" s="121"/>
      <c r="M492" s="121"/>
      <c r="N492" s="98"/>
      <c r="O492" s="98"/>
      <c r="P492" s="98"/>
      <c r="Q492" s="98"/>
      <c r="R492" s="98"/>
      <c r="S492" s="98"/>
      <c r="T492" s="98"/>
      <c r="Z492"/>
      <c r="AC492"/>
      <c r="AH492"/>
      <c r="AL492" s="72"/>
    </row>
    <row r="493" spans="2:38" ht="12.9" customHeight="1">
      <c r="B493" s="75"/>
      <c r="C493" s="75"/>
      <c r="D493" s="75"/>
      <c r="E493" s="75"/>
      <c r="F493" s="73"/>
      <c r="G493" s="73"/>
      <c r="H493" s="74"/>
      <c r="I493" s="121"/>
      <c r="J493" s="121"/>
      <c r="K493" s="121"/>
      <c r="L493" s="121"/>
      <c r="M493" s="121"/>
      <c r="N493" s="98"/>
      <c r="O493" s="98"/>
      <c r="P493" s="98"/>
      <c r="Q493" s="98"/>
      <c r="R493" s="98"/>
      <c r="S493" s="98"/>
      <c r="T493" s="98"/>
      <c r="Z493"/>
      <c r="AC493"/>
      <c r="AH493"/>
      <c r="AL493" s="72"/>
    </row>
    <row r="494" spans="2:38" ht="12.9" customHeight="1">
      <c r="B494" s="75"/>
      <c r="C494" s="75"/>
      <c r="D494" s="75"/>
      <c r="E494" s="75"/>
      <c r="F494" s="73"/>
      <c r="G494" s="73"/>
      <c r="H494" s="74"/>
      <c r="I494" s="121"/>
      <c r="J494" s="121"/>
      <c r="K494" s="121"/>
      <c r="L494" s="121"/>
      <c r="M494" s="121"/>
      <c r="N494" s="98"/>
      <c r="O494" s="98"/>
      <c r="P494" s="98"/>
      <c r="Q494" s="98"/>
      <c r="R494" s="98"/>
      <c r="S494" s="98"/>
      <c r="T494" s="98"/>
      <c r="Z494"/>
      <c r="AC494"/>
      <c r="AH494"/>
      <c r="AL494" s="72"/>
    </row>
    <row r="495" spans="2:38" ht="12.9" customHeight="1">
      <c r="B495" s="75"/>
      <c r="C495" s="75"/>
      <c r="D495" s="75"/>
      <c r="E495" s="75"/>
      <c r="F495" s="73"/>
      <c r="G495" s="73"/>
      <c r="H495" s="74"/>
      <c r="I495" s="121"/>
      <c r="J495" s="121"/>
      <c r="K495" s="121"/>
      <c r="L495" s="121"/>
      <c r="M495" s="121"/>
      <c r="N495" s="98"/>
      <c r="O495" s="98"/>
      <c r="P495" s="98"/>
      <c r="Q495" s="98"/>
      <c r="R495" s="98"/>
      <c r="S495" s="98"/>
      <c r="T495" s="98"/>
      <c r="Z495"/>
      <c r="AC495"/>
      <c r="AH495"/>
      <c r="AL495" s="72"/>
    </row>
    <row r="496" spans="2:38" ht="12.9" customHeight="1">
      <c r="B496" s="75"/>
      <c r="C496" s="75"/>
      <c r="D496" s="75"/>
      <c r="E496" s="75"/>
      <c r="F496" s="73"/>
      <c r="G496" s="73"/>
      <c r="H496" s="74"/>
      <c r="I496" s="121"/>
      <c r="J496" s="121"/>
      <c r="K496" s="121"/>
      <c r="L496" s="121"/>
      <c r="M496" s="121"/>
      <c r="N496" s="98"/>
      <c r="O496" s="98"/>
      <c r="P496" s="98"/>
      <c r="Q496" s="98"/>
      <c r="R496" s="98"/>
      <c r="S496" s="98"/>
      <c r="T496" s="98"/>
      <c r="Z496"/>
      <c r="AC496"/>
      <c r="AH496"/>
      <c r="AL496" s="72"/>
    </row>
    <row r="497" spans="2:38" ht="12.9" customHeight="1">
      <c r="B497" s="75"/>
      <c r="C497" s="75"/>
      <c r="D497" s="75"/>
      <c r="E497" s="75"/>
      <c r="F497" s="73"/>
      <c r="G497" s="73"/>
      <c r="H497" s="74"/>
      <c r="I497" s="121"/>
      <c r="J497" s="121"/>
      <c r="K497" s="121"/>
      <c r="L497" s="121"/>
      <c r="M497" s="121"/>
      <c r="N497" s="98"/>
      <c r="O497" s="98"/>
      <c r="P497" s="98"/>
      <c r="Q497" s="98"/>
      <c r="R497" s="98"/>
      <c r="S497" s="98"/>
      <c r="T497" s="98"/>
      <c r="Z497"/>
      <c r="AC497"/>
      <c r="AH497"/>
      <c r="AL497" s="72"/>
    </row>
    <row r="498" spans="2:38" ht="12.9" customHeight="1">
      <c r="B498" s="75"/>
      <c r="C498" s="75"/>
      <c r="D498" s="75"/>
      <c r="E498" s="75"/>
      <c r="F498" s="73"/>
      <c r="G498" s="73"/>
      <c r="H498" s="74"/>
      <c r="I498" s="121"/>
      <c r="J498" s="121"/>
      <c r="K498" s="121"/>
      <c r="L498" s="121"/>
      <c r="M498" s="121"/>
      <c r="N498" s="98"/>
      <c r="O498" s="98"/>
      <c r="P498" s="98"/>
      <c r="Q498" s="98"/>
      <c r="R498" s="98"/>
      <c r="S498" s="98"/>
      <c r="T498" s="98"/>
      <c r="Z498"/>
      <c r="AC498"/>
      <c r="AH498"/>
      <c r="AL498" s="72"/>
    </row>
    <row r="499" spans="2:38" ht="12.9" customHeight="1">
      <c r="B499" s="75"/>
      <c r="C499" s="75"/>
      <c r="D499" s="75"/>
      <c r="E499" s="75"/>
      <c r="F499" s="73"/>
      <c r="G499" s="73"/>
      <c r="H499" s="74"/>
      <c r="I499" s="121"/>
      <c r="J499" s="121"/>
      <c r="K499" s="121"/>
      <c r="L499" s="121"/>
      <c r="M499" s="121"/>
      <c r="N499" s="98"/>
      <c r="O499" s="98"/>
      <c r="P499" s="98"/>
      <c r="Q499" s="98"/>
      <c r="R499" s="98"/>
      <c r="S499" s="98"/>
      <c r="T499" s="98"/>
      <c r="Z499"/>
      <c r="AC499"/>
      <c r="AH499"/>
      <c r="AL499" s="72"/>
    </row>
    <row r="500" spans="2:38" ht="12.9" customHeight="1">
      <c r="B500" s="75"/>
      <c r="C500" s="75"/>
      <c r="D500" s="75"/>
      <c r="E500" s="75"/>
      <c r="F500" s="73"/>
      <c r="G500" s="73"/>
      <c r="H500" s="74"/>
      <c r="I500" s="121"/>
      <c r="J500" s="121"/>
      <c r="K500" s="121"/>
      <c r="L500" s="121"/>
      <c r="M500" s="121"/>
      <c r="N500" s="98"/>
      <c r="O500" s="98"/>
      <c r="P500" s="98"/>
      <c r="Q500" s="98"/>
      <c r="R500" s="98"/>
      <c r="S500" s="98"/>
      <c r="T500" s="98"/>
      <c r="Z500"/>
      <c r="AC500"/>
      <c r="AH500"/>
      <c r="AL500" s="72"/>
    </row>
    <row r="501" spans="2:38" ht="12.9" customHeight="1">
      <c r="B501" s="75"/>
      <c r="C501" s="75"/>
      <c r="D501" s="75"/>
      <c r="E501" s="75"/>
      <c r="F501" s="73"/>
      <c r="G501" s="73"/>
      <c r="H501" s="74"/>
      <c r="I501" s="121"/>
      <c r="J501" s="121"/>
      <c r="K501" s="121"/>
      <c r="L501" s="121"/>
      <c r="M501" s="121"/>
      <c r="N501" s="98"/>
      <c r="O501" s="98"/>
      <c r="P501" s="98"/>
      <c r="Q501" s="98"/>
      <c r="R501" s="98"/>
      <c r="S501" s="98"/>
      <c r="T501" s="98"/>
      <c r="Z501"/>
      <c r="AC501"/>
      <c r="AH501"/>
      <c r="AL501" s="72"/>
    </row>
    <row r="502" spans="2:38" ht="12.9" customHeight="1">
      <c r="B502" s="75"/>
      <c r="C502" s="75"/>
      <c r="D502" s="75"/>
      <c r="E502" s="75"/>
      <c r="F502" s="73"/>
      <c r="G502" s="73"/>
      <c r="H502" s="74"/>
      <c r="I502" s="121"/>
      <c r="J502" s="121"/>
      <c r="K502" s="121"/>
      <c r="L502" s="121"/>
      <c r="M502" s="121"/>
      <c r="N502" s="98"/>
      <c r="O502" s="98"/>
      <c r="P502" s="98"/>
      <c r="Q502" s="98"/>
      <c r="R502" s="98"/>
      <c r="S502" s="98"/>
      <c r="T502" s="98"/>
      <c r="Z502"/>
      <c r="AC502"/>
      <c r="AH502"/>
      <c r="AL502" s="72"/>
    </row>
    <row r="503" spans="2:38" ht="12.9" customHeight="1">
      <c r="B503" s="75"/>
      <c r="C503" s="75"/>
      <c r="D503" s="75"/>
      <c r="E503" s="75"/>
      <c r="F503" s="73"/>
      <c r="G503" s="73"/>
      <c r="H503" s="74"/>
      <c r="I503" s="121"/>
      <c r="J503" s="121"/>
      <c r="K503" s="121"/>
      <c r="L503" s="121"/>
      <c r="M503" s="121"/>
      <c r="N503" s="98"/>
      <c r="O503" s="98"/>
      <c r="P503" s="98"/>
      <c r="Q503" s="98"/>
      <c r="R503" s="98"/>
      <c r="S503" s="98"/>
      <c r="T503" s="98"/>
      <c r="Z503"/>
      <c r="AC503"/>
      <c r="AH503"/>
      <c r="AL503" s="72"/>
    </row>
    <row r="504" spans="2:38" ht="12.9" customHeight="1">
      <c r="B504" s="75"/>
      <c r="C504" s="75"/>
      <c r="D504" s="75"/>
      <c r="E504" s="75"/>
      <c r="F504" s="73"/>
      <c r="G504" s="73"/>
      <c r="H504" s="74"/>
      <c r="I504" s="121"/>
      <c r="J504" s="121"/>
      <c r="K504" s="121"/>
      <c r="L504" s="121"/>
      <c r="M504" s="121"/>
      <c r="N504" s="98"/>
      <c r="O504" s="98"/>
      <c r="P504" s="98"/>
      <c r="Q504" s="98"/>
      <c r="R504" s="98"/>
      <c r="S504" s="98"/>
      <c r="T504" s="98"/>
      <c r="Z504"/>
      <c r="AC504"/>
      <c r="AH504"/>
      <c r="AL504" s="72"/>
    </row>
    <row r="505" spans="2:38" ht="12.9" customHeight="1">
      <c r="B505" s="75"/>
      <c r="C505" s="75"/>
      <c r="D505" s="75"/>
      <c r="E505" s="75"/>
      <c r="F505" s="73"/>
      <c r="G505" s="73"/>
      <c r="H505" s="74"/>
      <c r="I505" s="121"/>
      <c r="J505" s="121"/>
      <c r="K505" s="121"/>
      <c r="L505" s="121"/>
      <c r="M505" s="121"/>
      <c r="N505" s="98"/>
      <c r="O505" s="98"/>
      <c r="P505" s="98"/>
      <c r="Q505" s="98"/>
      <c r="R505" s="98"/>
      <c r="S505" s="98"/>
      <c r="T505" s="98"/>
      <c r="Z505"/>
      <c r="AC505"/>
      <c r="AH505"/>
      <c r="AL505" s="72"/>
    </row>
    <row r="506" spans="2:38" ht="12.9" customHeight="1">
      <c r="B506" s="75"/>
      <c r="C506" s="75"/>
      <c r="D506" s="75"/>
      <c r="E506" s="75"/>
      <c r="F506" s="73"/>
      <c r="G506" s="73"/>
      <c r="H506" s="74"/>
      <c r="I506" s="121"/>
      <c r="J506" s="121"/>
      <c r="K506" s="121"/>
      <c r="L506" s="121"/>
      <c r="M506" s="121"/>
      <c r="N506" s="98"/>
      <c r="O506" s="98"/>
      <c r="P506" s="98"/>
      <c r="Q506" s="98"/>
      <c r="R506" s="98"/>
      <c r="S506" s="98"/>
      <c r="T506" s="98"/>
      <c r="Z506"/>
      <c r="AC506"/>
      <c r="AH506"/>
      <c r="AL506" s="72"/>
    </row>
    <row r="507" spans="2:38" ht="12.9" customHeight="1">
      <c r="B507" s="75"/>
      <c r="C507" s="75"/>
      <c r="D507" s="75"/>
      <c r="E507" s="75"/>
      <c r="F507" s="73"/>
      <c r="G507" s="73"/>
      <c r="H507" s="74"/>
      <c r="I507" s="121"/>
      <c r="J507" s="121"/>
      <c r="K507" s="121"/>
      <c r="L507" s="121"/>
      <c r="M507" s="121"/>
      <c r="N507" s="98"/>
      <c r="O507" s="98"/>
      <c r="P507" s="98"/>
      <c r="Q507" s="98"/>
      <c r="R507" s="98"/>
      <c r="S507" s="98"/>
      <c r="T507" s="98"/>
      <c r="Z507"/>
      <c r="AC507"/>
      <c r="AH507"/>
      <c r="AL507" s="72"/>
    </row>
    <row r="508" spans="2:38" ht="12.9" customHeight="1">
      <c r="B508" s="75"/>
      <c r="C508" s="75"/>
      <c r="D508" s="75"/>
      <c r="E508" s="75"/>
      <c r="F508" s="73"/>
      <c r="G508" s="73"/>
      <c r="H508" s="74"/>
      <c r="I508" s="121"/>
      <c r="J508" s="121"/>
      <c r="K508" s="121"/>
      <c r="L508" s="121"/>
      <c r="M508" s="121"/>
      <c r="N508" s="98"/>
      <c r="O508" s="98"/>
      <c r="P508" s="98"/>
      <c r="Q508" s="98"/>
      <c r="R508" s="98"/>
      <c r="S508" s="98"/>
      <c r="T508" s="98"/>
      <c r="Z508"/>
      <c r="AC508"/>
      <c r="AH508"/>
      <c r="AL508" s="72"/>
    </row>
    <row r="509" spans="2:38" ht="12.9" customHeight="1">
      <c r="B509" s="75"/>
      <c r="C509" s="75"/>
      <c r="D509" s="75"/>
      <c r="E509" s="75"/>
      <c r="F509" s="73"/>
      <c r="G509" s="73"/>
      <c r="H509" s="74"/>
      <c r="I509" s="121"/>
      <c r="J509" s="121"/>
      <c r="K509" s="121"/>
      <c r="L509" s="121"/>
      <c r="M509" s="121"/>
      <c r="N509" s="98"/>
      <c r="O509" s="98"/>
      <c r="P509" s="98"/>
      <c r="Q509" s="98"/>
      <c r="R509" s="98"/>
      <c r="S509" s="98"/>
      <c r="T509" s="98"/>
      <c r="Z509"/>
      <c r="AC509"/>
      <c r="AH509"/>
      <c r="AL509" s="72"/>
    </row>
    <row r="510" spans="2:38" ht="12.9" customHeight="1">
      <c r="B510" s="75"/>
      <c r="C510" s="75"/>
      <c r="D510" s="75"/>
      <c r="E510" s="75"/>
      <c r="F510" s="73"/>
      <c r="G510" s="73"/>
      <c r="H510" s="74"/>
      <c r="I510" s="121"/>
      <c r="J510" s="121"/>
      <c r="K510" s="121"/>
      <c r="L510" s="121"/>
      <c r="M510" s="121"/>
      <c r="N510" s="99"/>
      <c r="O510" s="99"/>
      <c r="P510" s="99"/>
      <c r="Q510" s="99"/>
      <c r="R510" s="99"/>
      <c r="S510" s="99"/>
      <c r="T510" s="99"/>
      <c r="Z510"/>
      <c r="AC510"/>
      <c r="AH510"/>
      <c r="AL510" s="72"/>
    </row>
    <row r="511" spans="2:38" ht="12.9" customHeight="1">
      <c r="B511" s="75"/>
      <c r="C511" s="75"/>
      <c r="D511" s="75"/>
      <c r="E511" s="75"/>
      <c r="F511" s="73"/>
      <c r="G511" s="73"/>
      <c r="H511" s="74"/>
      <c r="I511" s="121"/>
      <c r="J511" s="121"/>
      <c r="K511" s="121"/>
      <c r="L511" s="121"/>
      <c r="M511" s="121"/>
      <c r="N511" s="98"/>
      <c r="O511" s="98"/>
      <c r="P511" s="98"/>
      <c r="Q511" s="98"/>
      <c r="R511" s="98"/>
      <c r="S511" s="98"/>
      <c r="T511" s="98"/>
      <c r="Z511"/>
      <c r="AC511"/>
      <c r="AH511"/>
      <c r="AL511" s="72"/>
    </row>
    <row r="512" spans="2:38" ht="12.9" customHeight="1">
      <c r="B512" s="75"/>
      <c r="C512" s="75"/>
      <c r="D512" s="75"/>
      <c r="E512" s="75"/>
      <c r="F512" s="73"/>
      <c r="G512" s="73"/>
      <c r="H512" s="74"/>
      <c r="I512" s="121"/>
      <c r="J512" s="121"/>
      <c r="K512" s="121"/>
      <c r="L512" s="121"/>
      <c r="M512" s="121"/>
      <c r="N512" s="98"/>
      <c r="O512" s="98"/>
      <c r="P512" s="98"/>
      <c r="Q512" s="98"/>
      <c r="R512" s="98"/>
      <c r="S512" s="98"/>
      <c r="T512" s="98"/>
      <c r="Z512"/>
      <c r="AC512"/>
      <c r="AH512"/>
      <c r="AL512" s="72"/>
    </row>
    <row r="513" spans="2:38" ht="12.9" customHeight="1">
      <c r="B513" s="75"/>
      <c r="C513" s="75"/>
      <c r="D513" s="75"/>
      <c r="E513" s="75"/>
      <c r="F513" s="73"/>
      <c r="G513" s="73"/>
      <c r="H513" s="74"/>
      <c r="I513" s="121"/>
      <c r="J513" s="121"/>
      <c r="K513" s="121"/>
      <c r="L513" s="121"/>
      <c r="M513" s="121"/>
      <c r="N513" s="98"/>
      <c r="O513" s="98"/>
      <c r="P513" s="98"/>
      <c r="Q513" s="98"/>
      <c r="R513" s="98"/>
      <c r="S513" s="98"/>
      <c r="T513" s="98"/>
      <c r="Z513"/>
      <c r="AC513"/>
      <c r="AH513"/>
      <c r="AL513" s="72"/>
    </row>
    <row r="514" spans="2:38" ht="12.9" customHeight="1">
      <c r="B514" s="75"/>
      <c r="C514" s="75"/>
      <c r="D514" s="75"/>
      <c r="E514" s="75"/>
      <c r="F514" s="73"/>
      <c r="G514" s="73"/>
      <c r="H514" s="74"/>
      <c r="I514" s="121"/>
      <c r="J514" s="121"/>
      <c r="K514" s="121"/>
      <c r="L514" s="121"/>
      <c r="M514" s="121"/>
      <c r="N514" s="98"/>
      <c r="O514" s="98"/>
      <c r="P514" s="98"/>
      <c r="Q514" s="98"/>
      <c r="R514" s="98"/>
      <c r="S514" s="98"/>
      <c r="T514" s="98"/>
      <c r="Z514"/>
      <c r="AC514"/>
      <c r="AH514"/>
      <c r="AL514" s="72"/>
    </row>
    <row r="515" spans="2:38" ht="12.9" customHeight="1">
      <c r="B515" s="75"/>
      <c r="C515" s="75"/>
      <c r="D515" s="75"/>
      <c r="E515" s="75"/>
      <c r="F515" s="73"/>
      <c r="G515" s="73"/>
      <c r="H515" s="74"/>
      <c r="I515" s="121"/>
      <c r="J515" s="121"/>
      <c r="K515" s="121"/>
      <c r="L515" s="121"/>
      <c r="M515" s="121"/>
      <c r="N515" s="98"/>
      <c r="O515" s="98"/>
      <c r="P515" s="98"/>
      <c r="Q515" s="98"/>
      <c r="R515" s="98"/>
      <c r="S515" s="98"/>
      <c r="T515" s="98"/>
      <c r="Z515"/>
      <c r="AC515"/>
      <c r="AH515"/>
      <c r="AL515" s="72"/>
    </row>
    <row r="516" spans="2:38" ht="12.9" customHeight="1">
      <c r="B516" s="75"/>
      <c r="C516" s="75"/>
      <c r="D516" s="75"/>
      <c r="E516" s="75"/>
      <c r="F516" s="73"/>
      <c r="G516" s="73"/>
      <c r="H516" s="74"/>
      <c r="I516" s="121"/>
      <c r="J516" s="121"/>
      <c r="K516" s="121"/>
      <c r="L516" s="121"/>
      <c r="M516" s="121"/>
      <c r="N516" s="98"/>
      <c r="O516" s="98"/>
      <c r="P516" s="98"/>
      <c r="Q516" s="98"/>
      <c r="R516" s="98"/>
      <c r="S516" s="98"/>
      <c r="T516" s="98"/>
      <c r="Z516"/>
      <c r="AC516"/>
      <c r="AH516"/>
      <c r="AL516" s="72"/>
    </row>
    <row r="517" spans="2:38" ht="12.9" customHeight="1">
      <c r="B517" s="75"/>
      <c r="C517" s="75"/>
      <c r="D517" s="75"/>
      <c r="E517" s="75"/>
      <c r="F517" s="73"/>
      <c r="G517" s="73"/>
      <c r="H517" s="74"/>
      <c r="I517" s="121"/>
      <c r="J517" s="121"/>
      <c r="K517" s="121"/>
      <c r="L517" s="121"/>
      <c r="M517" s="121"/>
      <c r="N517" s="98"/>
      <c r="O517" s="98"/>
      <c r="P517" s="98"/>
      <c r="Q517" s="98"/>
      <c r="R517" s="98"/>
      <c r="S517" s="98"/>
      <c r="T517" s="98"/>
      <c r="Z517"/>
      <c r="AC517"/>
      <c r="AH517"/>
      <c r="AL517" s="72"/>
    </row>
    <row r="518" spans="2:38" ht="12.9" customHeight="1">
      <c r="B518" s="75"/>
      <c r="C518" s="75"/>
      <c r="D518" s="75"/>
      <c r="E518" s="75"/>
      <c r="F518" s="73"/>
      <c r="G518" s="73"/>
      <c r="H518" s="74"/>
      <c r="I518" s="121"/>
      <c r="J518" s="121"/>
      <c r="K518" s="121"/>
      <c r="L518" s="121"/>
      <c r="M518" s="121"/>
      <c r="N518" s="98"/>
      <c r="O518" s="98"/>
      <c r="P518" s="98"/>
      <c r="Q518" s="98"/>
      <c r="R518" s="98"/>
      <c r="S518" s="98"/>
      <c r="T518" s="98"/>
      <c r="Z518"/>
      <c r="AC518"/>
      <c r="AH518"/>
      <c r="AL518" s="72"/>
    </row>
    <row r="519" spans="2:38" ht="12.9" customHeight="1">
      <c r="B519" s="75"/>
      <c r="C519" s="75"/>
      <c r="D519" s="75"/>
      <c r="E519" s="75"/>
      <c r="F519" s="73"/>
      <c r="G519" s="73"/>
      <c r="H519" s="74"/>
      <c r="I519" s="121"/>
      <c r="J519" s="121"/>
      <c r="K519" s="121"/>
      <c r="L519" s="121"/>
      <c r="M519" s="121"/>
      <c r="N519" s="98"/>
      <c r="O519" s="98"/>
      <c r="P519" s="98"/>
      <c r="Q519" s="98"/>
      <c r="R519" s="98"/>
      <c r="S519" s="98"/>
      <c r="T519" s="98"/>
      <c r="Z519"/>
      <c r="AC519"/>
      <c r="AH519"/>
      <c r="AL519" s="72"/>
    </row>
    <row r="520" spans="2:38" ht="12.9" customHeight="1">
      <c r="B520" s="75"/>
      <c r="C520" s="75"/>
      <c r="D520" s="75"/>
      <c r="E520" s="75"/>
      <c r="F520" s="73"/>
      <c r="G520" s="73"/>
      <c r="H520" s="74"/>
      <c r="I520" s="121"/>
      <c r="J520" s="121"/>
      <c r="K520" s="121"/>
      <c r="L520" s="121"/>
      <c r="M520" s="121"/>
      <c r="N520" s="98"/>
      <c r="O520" s="98"/>
      <c r="P520" s="98"/>
      <c r="Q520" s="98"/>
      <c r="R520" s="98"/>
      <c r="S520" s="98"/>
      <c r="T520" s="98"/>
      <c r="Z520"/>
      <c r="AC520"/>
      <c r="AH520"/>
      <c r="AL520" s="72"/>
    </row>
    <row r="521" spans="2:38" ht="12.9" customHeight="1">
      <c r="B521" s="75"/>
      <c r="C521" s="75"/>
      <c r="D521" s="75"/>
      <c r="E521" s="75"/>
      <c r="F521" s="73"/>
      <c r="G521" s="73"/>
      <c r="H521" s="74"/>
      <c r="I521" s="121"/>
      <c r="J521" s="121"/>
      <c r="K521" s="121"/>
      <c r="L521" s="121"/>
      <c r="M521" s="121"/>
      <c r="N521" s="98"/>
      <c r="O521" s="98"/>
      <c r="P521" s="98"/>
      <c r="Q521" s="98"/>
      <c r="R521" s="98"/>
      <c r="S521" s="98"/>
      <c r="T521" s="98"/>
      <c r="Z521"/>
      <c r="AC521"/>
      <c r="AH521"/>
      <c r="AL521" s="72"/>
    </row>
    <row r="522" spans="2:38" ht="12.9" customHeight="1">
      <c r="B522" s="75"/>
      <c r="C522" s="75"/>
      <c r="D522" s="75"/>
      <c r="E522" s="75"/>
      <c r="F522" s="73"/>
      <c r="G522" s="73"/>
      <c r="H522" s="74"/>
      <c r="I522" s="121"/>
      <c r="J522" s="121"/>
      <c r="K522" s="121"/>
      <c r="L522" s="121"/>
      <c r="M522" s="121"/>
      <c r="N522" s="98"/>
      <c r="O522" s="98"/>
      <c r="P522" s="98"/>
      <c r="Q522" s="98"/>
      <c r="R522" s="98"/>
      <c r="S522" s="98"/>
      <c r="T522" s="98"/>
      <c r="Z522"/>
      <c r="AC522"/>
      <c r="AH522"/>
      <c r="AL522" s="72"/>
    </row>
    <row r="523" spans="2:38" ht="12.9" customHeight="1">
      <c r="B523" s="75"/>
      <c r="C523" s="75"/>
      <c r="D523" s="75"/>
      <c r="E523" s="75"/>
      <c r="F523" s="73"/>
      <c r="G523" s="73"/>
      <c r="H523" s="74"/>
      <c r="I523" s="121"/>
      <c r="J523" s="121"/>
      <c r="K523" s="121"/>
      <c r="L523" s="121"/>
      <c r="M523" s="121"/>
      <c r="N523" s="98"/>
      <c r="O523" s="98"/>
      <c r="P523" s="98"/>
      <c r="Q523" s="98"/>
      <c r="R523" s="98"/>
      <c r="S523" s="98"/>
      <c r="T523" s="98"/>
      <c r="Z523"/>
      <c r="AC523"/>
      <c r="AH523"/>
      <c r="AL523" s="72"/>
    </row>
    <row r="524" spans="2:38" ht="12.9" customHeight="1">
      <c r="B524" s="75"/>
      <c r="C524" s="75"/>
      <c r="D524" s="75"/>
      <c r="E524" s="75"/>
      <c r="F524" s="73"/>
      <c r="G524" s="73"/>
      <c r="H524" s="74"/>
      <c r="I524" s="121"/>
      <c r="J524" s="121"/>
      <c r="K524" s="121"/>
      <c r="L524" s="121"/>
      <c r="M524" s="121"/>
      <c r="N524" s="98"/>
      <c r="O524" s="98"/>
      <c r="P524" s="98"/>
      <c r="Q524" s="98"/>
      <c r="R524" s="98"/>
      <c r="S524" s="98"/>
      <c r="T524" s="98"/>
      <c r="Z524"/>
      <c r="AC524"/>
      <c r="AH524"/>
      <c r="AL524" s="72"/>
    </row>
    <row r="525" spans="2:38" ht="12.9" customHeight="1">
      <c r="B525" s="75"/>
      <c r="C525" s="75"/>
      <c r="D525" s="75"/>
      <c r="E525" s="75"/>
      <c r="F525" s="73"/>
      <c r="G525" s="73"/>
      <c r="H525" s="74"/>
      <c r="I525" s="121"/>
      <c r="J525" s="121"/>
      <c r="K525" s="121"/>
      <c r="L525" s="121"/>
      <c r="M525" s="121"/>
      <c r="N525" s="98"/>
      <c r="O525" s="98"/>
      <c r="P525" s="98"/>
      <c r="Q525" s="98"/>
      <c r="R525" s="98"/>
      <c r="S525" s="98"/>
      <c r="T525" s="98"/>
      <c r="Z525"/>
      <c r="AC525"/>
      <c r="AH525"/>
      <c r="AL525" s="72"/>
    </row>
    <row r="526" spans="2:38" ht="12.9" customHeight="1">
      <c r="B526" s="75"/>
      <c r="C526" s="75"/>
      <c r="D526" s="75"/>
      <c r="E526" s="75"/>
      <c r="F526" s="73"/>
      <c r="G526" s="73"/>
      <c r="H526" s="74"/>
      <c r="I526" s="121"/>
      <c r="J526" s="121"/>
      <c r="K526" s="121"/>
      <c r="L526" s="121"/>
      <c r="M526" s="121"/>
      <c r="N526" s="98"/>
      <c r="O526" s="98"/>
      <c r="P526" s="98"/>
      <c r="Q526" s="98"/>
      <c r="R526" s="98"/>
      <c r="S526" s="98"/>
      <c r="T526" s="98"/>
      <c r="Z526"/>
      <c r="AC526"/>
      <c r="AH526"/>
      <c r="AL526" s="72"/>
    </row>
    <row r="527" spans="2:38" ht="12.9" customHeight="1">
      <c r="B527" s="75"/>
      <c r="C527" s="75"/>
      <c r="D527" s="75"/>
      <c r="E527" s="75"/>
      <c r="F527" s="73"/>
      <c r="G527" s="73"/>
      <c r="H527" s="74"/>
      <c r="I527" s="121"/>
      <c r="J527" s="121"/>
      <c r="K527" s="121"/>
      <c r="L527" s="121"/>
      <c r="M527" s="121"/>
      <c r="N527" s="98"/>
      <c r="O527" s="98"/>
      <c r="P527" s="98"/>
      <c r="Q527" s="98"/>
      <c r="R527" s="98"/>
      <c r="S527" s="98"/>
      <c r="T527" s="98"/>
      <c r="Z527"/>
      <c r="AC527"/>
      <c r="AH527"/>
      <c r="AL527" s="72"/>
    </row>
    <row r="528" spans="2:38" ht="12.9" customHeight="1">
      <c r="B528" s="75"/>
      <c r="C528" s="75"/>
      <c r="D528" s="75"/>
      <c r="E528" s="75"/>
      <c r="F528" s="73"/>
      <c r="G528" s="73"/>
      <c r="H528" s="74"/>
      <c r="I528" s="121"/>
      <c r="J528" s="121"/>
      <c r="K528" s="121"/>
      <c r="L528" s="121"/>
      <c r="M528" s="121"/>
      <c r="N528" s="99"/>
      <c r="O528" s="99"/>
      <c r="P528" s="99"/>
      <c r="Q528" s="99"/>
      <c r="R528" s="99"/>
      <c r="S528" s="99"/>
      <c r="T528" s="99"/>
      <c r="Z528"/>
      <c r="AC528"/>
      <c r="AH528"/>
      <c r="AL528" s="72"/>
    </row>
    <row r="529" spans="2:38" ht="12.9" customHeight="1">
      <c r="B529" s="75"/>
      <c r="C529" s="75"/>
      <c r="D529" s="75"/>
      <c r="E529" s="75"/>
      <c r="F529" s="73"/>
      <c r="G529" s="73"/>
      <c r="H529" s="74"/>
      <c r="I529" s="121"/>
      <c r="J529" s="121"/>
      <c r="K529" s="121"/>
      <c r="L529" s="121"/>
      <c r="M529" s="121"/>
      <c r="N529" s="99"/>
      <c r="O529" s="99"/>
      <c r="P529" s="99"/>
      <c r="Q529" s="99"/>
      <c r="R529" s="99"/>
      <c r="S529" s="99"/>
      <c r="T529" s="99"/>
      <c r="Z529"/>
      <c r="AC529"/>
      <c r="AH529"/>
      <c r="AL529" s="72"/>
    </row>
    <row r="530" spans="2:38" ht="12.9" customHeight="1">
      <c r="B530" s="75"/>
      <c r="C530" s="75"/>
      <c r="D530" s="75"/>
      <c r="E530" s="75"/>
      <c r="F530" s="73"/>
      <c r="G530" s="73"/>
      <c r="H530" s="74"/>
      <c r="I530" s="121"/>
      <c r="J530" s="121"/>
      <c r="K530" s="121"/>
      <c r="L530" s="121"/>
      <c r="M530" s="121"/>
      <c r="N530" s="99"/>
      <c r="O530" s="99"/>
      <c r="P530" s="99"/>
      <c r="Q530" s="99"/>
      <c r="R530" s="99"/>
      <c r="S530" s="99"/>
      <c r="T530" s="99"/>
      <c r="Z530"/>
      <c r="AC530"/>
      <c r="AH530"/>
      <c r="AL530" s="72"/>
    </row>
    <row r="531" spans="2:38" ht="12.9" customHeight="1">
      <c r="B531" s="75"/>
      <c r="C531" s="75"/>
      <c r="D531" s="75"/>
      <c r="E531" s="75"/>
      <c r="F531" s="73"/>
      <c r="G531" s="73"/>
      <c r="H531" s="74"/>
      <c r="I531" s="121"/>
      <c r="J531" s="121"/>
      <c r="K531" s="121"/>
      <c r="L531" s="121"/>
      <c r="M531" s="121"/>
      <c r="N531" s="98"/>
      <c r="O531" s="98"/>
      <c r="P531" s="98"/>
      <c r="Q531" s="98"/>
      <c r="R531" s="98"/>
      <c r="S531" s="98"/>
      <c r="T531" s="98"/>
      <c r="Z531"/>
      <c r="AC531"/>
      <c r="AH531"/>
      <c r="AL531" s="72"/>
    </row>
    <row r="532" spans="2:38" ht="12.9" customHeight="1">
      <c r="B532" s="75"/>
      <c r="C532" s="75"/>
      <c r="D532" s="75"/>
      <c r="E532" s="75"/>
      <c r="F532" s="73"/>
      <c r="G532" s="73"/>
      <c r="H532" s="74"/>
      <c r="I532" s="121"/>
      <c r="J532" s="121"/>
      <c r="K532" s="121"/>
      <c r="L532" s="121"/>
      <c r="M532" s="121"/>
      <c r="N532" s="99"/>
      <c r="O532" s="99"/>
      <c r="P532" s="99"/>
      <c r="Q532" s="99"/>
      <c r="R532" s="99"/>
      <c r="S532" s="99"/>
      <c r="T532" s="99"/>
      <c r="Z532"/>
      <c r="AC532"/>
      <c r="AH532"/>
      <c r="AL532" s="72"/>
    </row>
    <row r="533" spans="2:38" ht="12.9" customHeight="1">
      <c r="B533" s="75"/>
      <c r="C533" s="75"/>
      <c r="D533" s="75"/>
      <c r="E533" s="75"/>
      <c r="F533" s="73"/>
      <c r="G533" s="73"/>
      <c r="H533" s="74"/>
      <c r="I533" s="121"/>
      <c r="J533" s="121"/>
      <c r="K533" s="121"/>
      <c r="L533" s="121"/>
      <c r="M533" s="121"/>
      <c r="N533" s="98"/>
      <c r="O533" s="98"/>
      <c r="P533" s="98"/>
      <c r="Q533" s="98"/>
      <c r="R533" s="98"/>
      <c r="S533" s="98"/>
      <c r="T533" s="98"/>
      <c r="Z533"/>
      <c r="AC533"/>
      <c r="AH533"/>
      <c r="AL533" s="72"/>
    </row>
    <row r="534" spans="2:38" ht="12.9" customHeight="1">
      <c r="B534" s="75"/>
      <c r="C534" s="75"/>
      <c r="D534" s="75"/>
      <c r="E534" s="75"/>
      <c r="F534" s="73"/>
      <c r="G534" s="73"/>
      <c r="H534" s="74"/>
      <c r="I534" s="121"/>
      <c r="J534" s="121"/>
      <c r="K534" s="121"/>
      <c r="L534" s="121"/>
      <c r="M534" s="121"/>
      <c r="N534" s="98"/>
      <c r="O534" s="98"/>
      <c r="P534" s="98"/>
      <c r="Q534" s="98"/>
      <c r="R534" s="98"/>
      <c r="S534" s="98"/>
      <c r="T534" s="98"/>
      <c r="Z534"/>
      <c r="AC534"/>
      <c r="AH534"/>
      <c r="AL534" s="72"/>
    </row>
    <row r="535" spans="2:38" ht="12.9" customHeight="1">
      <c r="B535" s="75"/>
      <c r="C535" s="75"/>
      <c r="D535" s="75"/>
      <c r="E535" s="75"/>
      <c r="F535" s="73"/>
      <c r="G535" s="73"/>
      <c r="H535" s="74"/>
      <c r="I535" s="121"/>
      <c r="J535" s="121"/>
      <c r="K535" s="121"/>
      <c r="L535" s="121"/>
      <c r="M535" s="121"/>
      <c r="N535" s="98"/>
      <c r="O535" s="98"/>
      <c r="P535" s="98"/>
      <c r="Q535" s="98"/>
      <c r="R535" s="98"/>
      <c r="S535" s="98"/>
      <c r="T535" s="98"/>
      <c r="Z535"/>
      <c r="AC535"/>
      <c r="AH535"/>
      <c r="AL535" s="72"/>
    </row>
    <row r="536" spans="2:38" ht="12.9" customHeight="1">
      <c r="B536" s="75"/>
      <c r="C536" s="75"/>
      <c r="D536" s="75"/>
      <c r="E536" s="75"/>
      <c r="F536" s="73"/>
      <c r="G536" s="73"/>
      <c r="H536" s="74"/>
      <c r="I536" s="121"/>
      <c r="J536" s="121"/>
      <c r="K536" s="121"/>
      <c r="L536" s="121"/>
      <c r="M536" s="121"/>
      <c r="N536" s="98"/>
      <c r="O536" s="98"/>
      <c r="P536" s="98"/>
      <c r="Q536" s="98"/>
      <c r="R536" s="98"/>
      <c r="S536" s="98"/>
      <c r="T536" s="98"/>
      <c r="Z536"/>
      <c r="AC536"/>
      <c r="AH536"/>
      <c r="AL536" s="72"/>
    </row>
    <row r="537" spans="2:38" ht="12.9" customHeight="1">
      <c r="B537" s="75"/>
      <c r="C537" s="75"/>
      <c r="D537" s="75"/>
      <c r="E537" s="75"/>
      <c r="F537" s="73"/>
      <c r="G537" s="73"/>
      <c r="H537" s="74"/>
      <c r="I537" s="121"/>
      <c r="J537" s="121"/>
      <c r="K537" s="121"/>
      <c r="L537" s="121"/>
      <c r="M537" s="121"/>
      <c r="N537" s="98"/>
      <c r="O537" s="98"/>
      <c r="P537" s="98"/>
      <c r="Q537" s="98"/>
      <c r="R537" s="98"/>
      <c r="S537" s="98"/>
      <c r="T537" s="98"/>
      <c r="Z537"/>
      <c r="AC537"/>
      <c r="AH537"/>
      <c r="AL537" s="72"/>
    </row>
    <row r="538" spans="2:38" ht="12.9" customHeight="1">
      <c r="B538" s="75"/>
      <c r="C538" s="75"/>
      <c r="D538" s="75"/>
      <c r="E538" s="75"/>
      <c r="F538" s="73"/>
      <c r="G538" s="73"/>
      <c r="H538" s="74"/>
      <c r="I538" s="121"/>
      <c r="J538" s="121"/>
      <c r="K538" s="121"/>
      <c r="L538" s="121"/>
      <c r="M538" s="121"/>
      <c r="N538" s="98"/>
      <c r="O538" s="98"/>
      <c r="P538" s="98"/>
      <c r="Q538" s="98"/>
      <c r="R538" s="98"/>
      <c r="S538" s="98"/>
      <c r="T538" s="98"/>
      <c r="Z538"/>
      <c r="AC538"/>
      <c r="AH538"/>
      <c r="AL538" s="72"/>
    </row>
    <row r="539" spans="2:38" ht="12.9" customHeight="1">
      <c r="B539" s="75"/>
      <c r="C539" s="75"/>
      <c r="D539" s="75"/>
      <c r="E539" s="75"/>
      <c r="F539" s="73"/>
      <c r="G539" s="73"/>
      <c r="H539" s="74"/>
      <c r="I539" s="121"/>
      <c r="J539" s="121"/>
      <c r="K539" s="121"/>
      <c r="L539" s="121"/>
      <c r="M539" s="121"/>
      <c r="N539" s="98"/>
      <c r="O539" s="98"/>
      <c r="P539" s="98"/>
      <c r="Q539" s="98"/>
      <c r="R539" s="98"/>
      <c r="S539" s="98"/>
      <c r="T539" s="98"/>
      <c r="Z539"/>
      <c r="AC539"/>
      <c r="AH539"/>
      <c r="AL539" s="72"/>
    </row>
    <row r="540" spans="2:38" ht="12.9" customHeight="1">
      <c r="B540" s="75"/>
      <c r="C540" s="75"/>
      <c r="D540" s="75"/>
      <c r="E540" s="75"/>
      <c r="F540" s="73"/>
      <c r="G540" s="73"/>
      <c r="H540" s="74"/>
      <c r="I540" s="121"/>
      <c r="J540" s="121"/>
      <c r="K540" s="121"/>
      <c r="L540" s="121"/>
      <c r="M540" s="121"/>
      <c r="N540" s="98"/>
      <c r="O540" s="98"/>
      <c r="P540" s="98"/>
      <c r="Q540" s="98"/>
      <c r="R540" s="98"/>
      <c r="S540" s="98"/>
      <c r="T540" s="98"/>
      <c r="Z540"/>
      <c r="AC540"/>
      <c r="AH540"/>
      <c r="AL540" s="72"/>
    </row>
    <row r="541" spans="2:38" ht="12.9" customHeight="1">
      <c r="B541" s="75"/>
      <c r="C541" s="75"/>
      <c r="D541" s="75"/>
      <c r="E541" s="75"/>
      <c r="F541" s="73"/>
      <c r="G541" s="73"/>
      <c r="H541" s="74"/>
      <c r="I541" s="121"/>
      <c r="J541" s="121"/>
      <c r="K541" s="121"/>
      <c r="L541" s="121"/>
      <c r="M541" s="121"/>
      <c r="N541" s="98"/>
      <c r="O541" s="98"/>
      <c r="P541" s="98"/>
      <c r="Q541" s="98"/>
      <c r="R541" s="98"/>
      <c r="S541" s="98"/>
      <c r="T541" s="98"/>
      <c r="Z541"/>
      <c r="AC541"/>
      <c r="AH541"/>
      <c r="AL541" s="72"/>
    </row>
    <row r="542" spans="2:38" ht="12.9" customHeight="1">
      <c r="B542" s="75"/>
      <c r="C542" s="75"/>
      <c r="D542" s="75"/>
      <c r="E542" s="75"/>
      <c r="F542" s="73"/>
      <c r="G542" s="73"/>
      <c r="H542" s="74"/>
      <c r="I542" s="121"/>
      <c r="J542" s="121"/>
      <c r="K542" s="121"/>
      <c r="L542" s="121"/>
      <c r="M542" s="121"/>
      <c r="N542" s="98"/>
      <c r="O542" s="98"/>
      <c r="P542" s="98"/>
      <c r="Q542" s="98"/>
      <c r="R542" s="98"/>
      <c r="S542" s="98"/>
      <c r="T542" s="98"/>
      <c r="Z542"/>
      <c r="AC542"/>
      <c r="AH542"/>
      <c r="AL542" s="72"/>
    </row>
    <row r="543" spans="2:38" ht="12.9" customHeight="1">
      <c r="B543" s="75"/>
      <c r="C543" s="75"/>
      <c r="D543" s="75"/>
      <c r="E543" s="75"/>
      <c r="F543" s="73"/>
      <c r="G543" s="73"/>
      <c r="H543" s="74"/>
      <c r="I543" s="121"/>
      <c r="J543" s="121"/>
      <c r="K543" s="121"/>
      <c r="L543" s="121"/>
      <c r="M543" s="121"/>
      <c r="N543" s="98"/>
      <c r="O543" s="98"/>
      <c r="P543" s="98"/>
      <c r="Q543" s="98"/>
      <c r="R543" s="98"/>
      <c r="S543" s="98"/>
      <c r="T543" s="98"/>
      <c r="Z543"/>
      <c r="AC543"/>
      <c r="AH543"/>
      <c r="AL543" s="72"/>
    </row>
    <row r="544" spans="2:38" ht="12.9" customHeight="1">
      <c r="B544" s="75"/>
      <c r="C544" s="75"/>
      <c r="D544" s="75"/>
      <c r="E544" s="75"/>
      <c r="F544" s="73"/>
      <c r="G544" s="73"/>
      <c r="H544" s="74"/>
      <c r="I544" s="121"/>
      <c r="J544" s="121"/>
      <c r="K544" s="121"/>
      <c r="L544" s="121"/>
      <c r="M544" s="121"/>
      <c r="N544" s="98"/>
      <c r="O544" s="98"/>
      <c r="P544" s="98"/>
      <c r="Q544" s="98"/>
      <c r="R544" s="98"/>
      <c r="S544" s="98"/>
      <c r="T544" s="98"/>
      <c r="Z544"/>
      <c r="AC544"/>
      <c r="AH544"/>
      <c r="AL544" s="72"/>
    </row>
    <row r="545" spans="2:38" ht="12.9" customHeight="1">
      <c r="B545" s="75"/>
      <c r="C545" s="75"/>
      <c r="D545" s="75"/>
      <c r="E545" s="75"/>
      <c r="F545" s="73"/>
      <c r="G545" s="73"/>
      <c r="H545" s="74"/>
      <c r="I545" s="121"/>
      <c r="J545" s="121"/>
      <c r="K545" s="121"/>
      <c r="L545" s="121"/>
      <c r="M545" s="121"/>
      <c r="N545" s="98"/>
      <c r="O545" s="98"/>
      <c r="P545" s="98"/>
      <c r="Q545" s="98"/>
      <c r="R545" s="98"/>
      <c r="S545" s="98"/>
      <c r="T545" s="98"/>
      <c r="Z545"/>
      <c r="AC545"/>
      <c r="AH545"/>
    </row>
    <row r="546" spans="2:38" ht="12.9" customHeight="1">
      <c r="B546" s="75"/>
      <c r="C546" s="75"/>
      <c r="D546" s="75"/>
      <c r="E546" s="75"/>
      <c r="F546" s="73"/>
      <c r="G546" s="73"/>
      <c r="H546" s="74"/>
      <c r="I546" s="121"/>
      <c r="J546" s="121"/>
      <c r="K546" s="121"/>
      <c r="L546" s="121"/>
      <c r="M546" s="121"/>
      <c r="N546" s="98"/>
      <c r="O546" s="98"/>
      <c r="P546" s="98"/>
      <c r="Q546" s="98"/>
      <c r="R546" s="98"/>
      <c r="S546" s="98"/>
      <c r="T546" s="98"/>
      <c r="Z546"/>
      <c r="AC546"/>
      <c r="AH546"/>
    </row>
    <row r="547" spans="2:38" ht="12.9" customHeight="1">
      <c r="B547" s="75"/>
      <c r="C547" s="75"/>
      <c r="D547" s="75"/>
      <c r="E547" s="75"/>
      <c r="F547" s="73"/>
      <c r="G547" s="73"/>
      <c r="H547" s="74"/>
      <c r="I547" s="121"/>
      <c r="J547" s="121"/>
      <c r="K547" s="121"/>
      <c r="L547" s="121"/>
      <c r="M547" s="121"/>
      <c r="N547" s="121"/>
      <c r="O547" s="121"/>
      <c r="P547" s="121"/>
      <c r="Q547" s="121"/>
      <c r="R547" s="121"/>
      <c r="S547" s="121"/>
      <c r="T547" s="121"/>
      <c r="Z547"/>
      <c r="AC547"/>
      <c r="AH547"/>
    </row>
    <row r="548" spans="2:38" ht="12.9" customHeight="1">
      <c r="B548" s="75"/>
      <c r="C548" s="75"/>
      <c r="D548" s="75"/>
      <c r="E548" s="75"/>
      <c r="F548" s="73"/>
      <c r="G548" s="73"/>
      <c r="H548" s="74"/>
      <c r="I548" s="121"/>
      <c r="J548" s="121"/>
      <c r="K548" s="121"/>
      <c r="L548" s="121"/>
      <c r="M548" s="121"/>
      <c r="N548" s="98"/>
      <c r="O548" s="98"/>
      <c r="P548" s="98"/>
      <c r="Q548" s="98"/>
      <c r="R548" s="98"/>
      <c r="S548" s="98"/>
      <c r="T548" s="98"/>
      <c r="Z548"/>
      <c r="AC548"/>
      <c r="AH548"/>
    </row>
    <row r="549" spans="2:38" ht="12.9" customHeight="1">
      <c r="B549" s="75"/>
      <c r="C549" s="75"/>
      <c r="D549" s="75"/>
      <c r="E549" s="75"/>
      <c r="F549" s="73"/>
      <c r="G549" s="73"/>
      <c r="H549" s="74"/>
      <c r="I549" s="121"/>
      <c r="J549" s="121"/>
      <c r="K549" s="121"/>
      <c r="L549" s="121"/>
      <c r="M549" s="121"/>
      <c r="N549" s="98"/>
      <c r="O549" s="98"/>
      <c r="P549" s="98"/>
      <c r="Q549" s="98"/>
      <c r="R549" s="98"/>
      <c r="S549" s="98"/>
      <c r="T549" s="98"/>
      <c r="Z549"/>
      <c r="AC549"/>
      <c r="AH549"/>
    </row>
    <row r="550" spans="2:38" ht="12.9" customHeight="1">
      <c r="B550" s="75"/>
      <c r="C550" s="75"/>
      <c r="D550" s="75"/>
      <c r="E550" s="75"/>
      <c r="F550" s="73"/>
      <c r="G550" s="73"/>
      <c r="H550" s="74"/>
      <c r="I550" s="121"/>
      <c r="J550" s="121"/>
      <c r="K550" s="121"/>
      <c r="L550" s="121"/>
      <c r="M550" s="121"/>
      <c r="N550" s="99"/>
      <c r="O550" s="99"/>
      <c r="P550" s="99"/>
      <c r="Q550" s="99"/>
      <c r="R550" s="99"/>
      <c r="S550" s="99"/>
      <c r="T550" s="99"/>
      <c r="Z550"/>
      <c r="AC550"/>
      <c r="AH550"/>
      <c r="AL550" s="72"/>
    </row>
    <row r="551" spans="2:38" ht="12.9" customHeight="1">
      <c r="B551" s="75"/>
      <c r="C551" s="75"/>
      <c r="D551" s="75"/>
      <c r="E551" s="75"/>
      <c r="F551" s="73"/>
      <c r="G551" s="73"/>
      <c r="H551" s="74"/>
      <c r="I551" s="121"/>
      <c r="J551" s="121"/>
      <c r="K551" s="121"/>
      <c r="L551" s="121"/>
      <c r="M551" s="121"/>
      <c r="N551" s="99"/>
      <c r="O551" s="99"/>
      <c r="P551" s="99"/>
      <c r="Q551" s="99"/>
      <c r="R551" s="99"/>
      <c r="S551" s="99"/>
      <c r="T551" s="99"/>
      <c r="Z551"/>
      <c r="AC551"/>
      <c r="AH551"/>
      <c r="AL551" s="72"/>
    </row>
    <row r="552" spans="2:38" ht="12.9" customHeight="1">
      <c r="B552" s="75"/>
      <c r="C552" s="75"/>
      <c r="D552" s="75"/>
      <c r="E552" s="75"/>
      <c r="F552" s="73"/>
      <c r="G552" s="73"/>
      <c r="H552" s="74"/>
      <c r="I552" s="121"/>
      <c r="J552" s="121"/>
      <c r="K552" s="121"/>
      <c r="L552" s="121"/>
      <c r="M552" s="121"/>
      <c r="N552" s="99"/>
      <c r="O552" s="99"/>
      <c r="P552" s="99"/>
      <c r="Q552" s="99"/>
      <c r="R552" s="99"/>
      <c r="S552" s="99"/>
      <c r="T552" s="99"/>
      <c r="Z552"/>
      <c r="AC552"/>
      <c r="AH552"/>
      <c r="AL552" s="72"/>
    </row>
    <row r="553" spans="2:38" ht="12.9" customHeight="1">
      <c r="B553" s="75"/>
      <c r="C553" s="75"/>
      <c r="D553" s="75"/>
      <c r="E553" s="75"/>
      <c r="F553" s="73"/>
      <c r="G553" s="73"/>
      <c r="H553" s="74"/>
      <c r="I553" s="121"/>
      <c r="J553" s="121"/>
      <c r="K553" s="121"/>
      <c r="L553" s="121"/>
      <c r="M553" s="121"/>
      <c r="N553" s="99"/>
      <c r="O553" s="99"/>
      <c r="P553" s="99"/>
      <c r="Q553" s="99"/>
      <c r="R553" s="99"/>
      <c r="S553" s="99"/>
      <c r="T553" s="99"/>
      <c r="Z553"/>
      <c r="AC553"/>
      <c r="AH553"/>
      <c r="AL553" s="72"/>
    </row>
    <row r="554" spans="2:38" ht="12.9" customHeight="1">
      <c r="B554" s="75"/>
      <c r="C554" s="75"/>
      <c r="D554" s="75"/>
      <c r="E554" s="75"/>
      <c r="F554" s="73"/>
      <c r="G554" s="73"/>
      <c r="H554" s="74"/>
      <c r="I554" s="121"/>
      <c r="J554" s="121"/>
      <c r="K554" s="121"/>
      <c r="L554" s="121"/>
      <c r="M554" s="121"/>
      <c r="N554" s="99"/>
      <c r="O554" s="99"/>
      <c r="P554" s="99"/>
      <c r="Q554" s="99"/>
      <c r="R554" s="99"/>
      <c r="S554" s="99"/>
      <c r="T554" s="99"/>
      <c r="Z554"/>
      <c r="AC554"/>
      <c r="AH554"/>
      <c r="AL554" s="72"/>
    </row>
    <row r="555" spans="2:38" ht="12.9" customHeight="1">
      <c r="B555" s="75"/>
      <c r="C555" s="75"/>
      <c r="D555" s="75"/>
      <c r="E555" s="75"/>
      <c r="F555" s="73"/>
      <c r="G555" s="73"/>
      <c r="H555" s="74"/>
      <c r="I555" s="121"/>
      <c r="J555" s="121"/>
      <c r="K555" s="121"/>
      <c r="L555" s="121"/>
      <c r="M555" s="121"/>
      <c r="N555" s="98"/>
      <c r="O555" s="98"/>
      <c r="P555" s="98"/>
      <c r="Q555" s="98"/>
      <c r="R555" s="98"/>
      <c r="S555" s="98"/>
      <c r="T555" s="98"/>
      <c r="Z555"/>
      <c r="AC555"/>
      <c r="AH555"/>
      <c r="AL555" s="72"/>
    </row>
    <row r="556" spans="2:38" ht="12.9" customHeight="1">
      <c r="B556" s="75"/>
      <c r="C556" s="75"/>
      <c r="D556" s="75"/>
      <c r="E556" s="75"/>
      <c r="F556" s="73"/>
      <c r="G556" s="73"/>
      <c r="H556" s="74"/>
      <c r="I556" s="121"/>
      <c r="J556" s="121"/>
      <c r="K556" s="121"/>
      <c r="L556" s="121"/>
      <c r="M556" s="121"/>
      <c r="N556" s="98"/>
      <c r="O556" s="98"/>
      <c r="P556" s="98"/>
      <c r="Q556" s="98"/>
      <c r="R556" s="98"/>
      <c r="S556" s="98"/>
      <c r="T556" s="98"/>
      <c r="Z556"/>
      <c r="AC556"/>
      <c r="AH556"/>
      <c r="AL556" s="72"/>
    </row>
    <row r="557" spans="2:38" ht="12.9" customHeight="1">
      <c r="B557" s="75"/>
      <c r="C557" s="75"/>
      <c r="D557" s="75"/>
      <c r="E557" s="75"/>
      <c r="F557" s="73"/>
      <c r="G557" s="73"/>
      <c r="H557" s="74"/>
      <c r="I557" s="121"/>
      <c r="J557" s="121"/>
      <c r="K557" s="121"/>
      <c r="L557" s="121"/>
      <c r="M557" s="121"/>
      <c r="N557" s="98"/>
      <c r="O557" s="98"/>
      <c r="P557" s="98"/>
      <c r="Q557" s="98"/>
      <c r="R557" s="98"/>
      <c r="S557" s="98"/>
      <c r="T557" s="98"/>
      <c r="Z557"/>
      <c r="AC557"/>
      <c r="AH557"/>
      <c r="AL557" s="72"/>
    </row>
    <row r="558" spans="2:38" ht="12.9" customHeight="1">
      <c r="B558" s="75"/>
      <c r="C558" s="75"/>
      <c r="D558" s="75"/>
      <c r="E558" s="75"/>
      <c r="F558" s="73"/>
      <c r="G558" s="73"/>
      <c r="H558" s="74"/>
      <c r="I558" s="121"/>
      <c r="J558" s="121"/>
      <c r="K558" s="121"/>
      <c r="L558" s="121"/>
      <c r="M558" s="121"/>
      <c r="N558" s="98"/>
      <c r="O558" s="98"/>
      <c r="P558" s="98"/>
      <c r="Q558" s="98"/>
      <c r="R558" s="98"/>
      <c r="S558" s="98"/>
      <c r="T558" s="98"/>
      <c r="Z558"/>
      <c r="AC558"/>
      <c r="AH558"/>
      <c r="AL558" s="72"/>
    </row>
    <row r="559" spans="2:38" ht="12.9" customHeight="1">
      <c r="B559" s="75"/>
      <c r="C559" s="75"/>
      <c r="D559" s="75"/>
      <c r="E559" s="75"/>
      <c r="F559" s="73"/>
      <c r="G559" s="73"/>
      <c r="H559" s="74"/>
      <c r="I559" s="121"/>
      <c r="J559" s="121"/>
      <c r="K559" s="121"/>
      <c r="L559" s="121"/>
      <c r="M559" s="121"/>
      <c r="N559" s="98"/>
      <c r="O559" s="98"/>
      <c r="P559" s="98"/>
      <c r="Q559" s="98"/>
      <c r="R559" s="98"/>
      <c r="S559" s="98"/>
      <c r="T559" s="98"/>
      <c r="Z559"/>
      <c r="AC559"/>
      <c r="AH559"/>
      <c r="AL559" s="72"/>
    </row>
    <row r="560" spans="2:38" ht="12.9" customHeight="1">
      <c r="B560" s="75"/>
      <c r="C560" s="75"/>
      <c r="D560" s="75"/>
      <c r="E560" s="75"/>
      <c r="F560" s="73"/>
      <c r="G560" s="73"/>
      <c r="H560" s="74"/>
      <c r="I560" s="121"/>
      <c r="J560" s="121"/>
      <c r="K560" s="121"/>
      <c r="L560" s="121"/>
      <c r="M560" s="121"/>
      <c r="N560" s="98"/>
      <c r="O560" s="98"/>
      <c r="P560" s="98"/>
      <c r="Q560" s="98"/>
      <c r="R560" s="98"/>
      <c r="S560" s="98"/>
      <c r="T560" s="98"/>
      <c r="Z560"/>
      <c r="AC560"/>
      <c r="AH560"/>
      <c r="AL560" s="72"/>
    </row>
    <row r="561" spans="2:38" ht="12.9" customHeight="1">
      <c r="B561" s="75"/>
      <c r="C561" s="75"/>
      <c r="D561" s="75"/>
      <c r="E561" s="75"/>
      <c r="F561" s="73"/>
      <c r="G561" s="73"/>
      <c r="H561" s="74"/>
      <c r="I561" s="121"/>
      <c r="J561" s="121"/>
      <c r="K561" s="121"/>
      <c r="L561" s="121"/>
      <c r="M561" s="121"/>
      <c r="N561" s="98"/>
      <c r="O561" s="98"/>
      <c r="P561" s="98"/>
      <c r="Q561" s="98"/>
      <c r="R561" s="98"/>
      <c r="S561" s="98"/>
      <c r="T561" s="98"/>
      <c r="Z561"/>
      <c r="AC561"/>
      <c r="AH561"/>
      <c r="AL561" s="72"/>
    </row>
    <row r="562" spans="2:38" ht="12.9" customHeight="1">
      <c r="B562" s="75"/>
      <c r="C562" s="75"/>
      <c r="D562" s="75"/>
      <c r="E562" s="75"/>
      <c r="F562" s="73"/>
      <c r="G562" s="73"/>
      <c r="H562" s="74"/>
      <c r="I562" s="121"/>
      <c r="J562" s="121"/>
      <c r="K562" s="121"/>
      <c r="L562" s="121"/>
      <c r="M562" s="121"/>
      <c r="N562" s="98"/>
      <c r="O562" s="98"/>
      <c r="P562" s="98"/>
      <c r="Q562" s="98"/>
      <c r="R562" s="98"/>
      <c r="S562" s="98"/>
      <c r="T562" s="98"/>
      <c r="Z562"/>
      <c r="AC562"/>
      <c r="AH562"/>
      <c r="AL562" s="72"/>
    </row>
    <row r="563" spans="2:38" ht="12.9" customHeight="1">
      <c r="B563" s="75"/>
      <c r="C563" s="75"/>
      <c r="D563" s="75"/>
      <c r="E563" s="75"/>
      <c r="F563" s="73"/>
      <c r="G563" s="73"/>
      <c r="H563" s="74"/>
      <c r="I563" s="121"/>
      <c r="J563" s="121"/>
      <c r="K563" s="121"/>
      <c r="L563" s="121"/>
      <c r="M563" s="121"/>
      <c r="N563" s="98"/>
      <c r="O563" s="98"/>
      <c r="P563" s="98"/>
      <c r="Q563" s="98"/>
      <c r="R563" s="98"/>
      <c r="S563" s="98"/>
      <c r="T563" s="98"/>
      <c r="Z563"/>
      <c r="AC563"/>
      <c r="AH563"/>
      <c r="AL563" s="72"/>
    </row>
    <row r="564" spans="2:38" ht="12.9" customHeight="1">
      <c r="B564" s="75"/>
      <c r="C564" s="75"/>
      <c r="D564" s="75"/>
      <c r="E564" s="75"/>
      <c r="F564" s="73"/>
      <c r="G564" s="73"/>
      <c r="H564" s="74"/>
      <c r="I564" s="121"/>
      <c r="J564" s="121"/>
      <c r="K564" s="121"/>
      <c r="L564" s="121"/>
      <c r="M564" s="121"/>
      <c r="N564" s="98"/>
      <c r="O564" s="98"/>
      <c r="P564" s="98"/>
      <c r="Q564" s="98"/>
      <c r="R564" s="98"/>
      <c r="S564" s="98"/>
      <c r="T564" s="98"/>
      <c r="Z564"/>
      <c r="AC564"/>
      <c r="AH564"/>
      <c r="AL564" s="72"/>
    </row>
    <row r="565" spans="2:38" ht="12.9" customHeight="1">
      <c r="B565" s="75"/>
      <c r="C565" s="75"/>
      <c r="D565" s="75"/>
      <c r="E565" s="75"/>
      <c r="F565" s="73"/>
      <c r="G565" s="73"/>
      <c r="H565" s="74"/>
      <c r="I565" s="121"/>
      <c r="J565" s="121"/>
      <c r="K565" s="121"/>
      <c r="L565" s="121"/>
      <c r="M565" s="121"/>
      <c r="N565" s="99"/>
      <c r="O565" s="99"/>
      <c r="P565" s="99"/>
      <c r="Q565" s="99"/>
      <c r="R565" s="99"/>
      <c r="S565" s="99"/>
      <c r="T565" s="99"/>
      <c r="Z565"/>
      <c r="AC565"/>
      <c r="AH565"/>
      <c r="AL565" s="72"/>
    </row>
    <row r="566" spans="2:38" ht="12.9" customHeight="1">
      <c r="B566" s="75"/>
      <c r="C566" s="75"/>
      <c r="D566" s="75"/>
      <c r="E566" s="75"/>
      <c r="F566" s="73"/>
      <c r="G566" s="73"/>
      <c r="H566" s="74"/>
      <c r="I566" s="121"/>
      <c r="J566" s="121"/>
      <c r="K566" s="121"/>
      <c r="L566" s="121"/>
      <c r="M566" s="121"/>
      <c r="N566" s="98"/>
      <c r="O566" s="98"/>
      <c r="P566" s="98"/>
      <c r="Q566" s="98"/>
      <c r="R566" s="98"/>
      <c r="S566" s="98"/>
      <c r="T566" s="98"/>
      <c r="Z566"/>
      <c r="AC566"/>
      <c r="AH566"/>
      <c r="AL566" s="72"/>
    </row>
    <row r="567" spans="2:38" ht="12.9" customHeight="1">
      <c r="B567" s="75"/>
      <c r="C567" s="75"/>
      <c r="D567" s="75"/>
      <c r="E567" s="75"/>
      <c r="F567" s="73"/>
      <c r="G567" s="73"/>
      <c r="H567" s="74"/>
      <c r="I567" s="121"/>
      <c r="J567" s="121"/>
      <c r="K567" s="121"/>
      <c r="L567" s="121"/>
      <c r="M567" s="121"/>
      <c r="N567" s="98"/>
      <c r="O567" s="98"/>
      <c r="P567" s="98"/>
      <c r="Q567" s="98"/>
      <c r="R567" s="98"/>
      <c r="S567" s="98"/>
      <c r="T567" s="98"/>
      <c r="Z567"/>
      <c r="AC567"/>
      <c r="AH567"/>
      <c r="AL567" s="72"/>
    </row>
    <row r="568" spans="2:38" ht="12.9" customHeight="1">
      <c r="B568" s="75"/>
      <c r="C568" s="75"/>
      <c r="D568" s="75"/>
      <c r="E568" s="75"/>
      <c r="F568" s="73"/>
      <c r="G568" s="73"/>
      <c r="H568" s="74"/>
      <c r="I568" s="121"/>
      <c r="J568" s="121"/>
      <c r="K568" s="121"/>
      <c r="L568" s="121"/>
      <c r="M568" s="121"/>
      <c r="N568" s="98"/>
      <c r="O568" s="98"/>
      <c r="P568" s="98"/>
      <c r="Q568" s="98"/>
      <c r="R568" s="98"/>
      <c r="S568" s="98"/>
      <c r="T568" s="98"/>
      <c r="Z568"/>
      <c r="AC568"/>
      <c r="AH568"/>
      <c r="AL568" s="72"/>
    </row>
    <row r="569" spans="2:38" ht="12.9" customHeight="1">
      <c r="B569" s="75"/>
      <c r="C569" s="75"/>
      <c r="D569" s="75"/>
      <c r="E569" s="75"/>
      <c r="F569" s="73"/>
      <c r="G569" s="73"/>
      <c r="H569" s="74"/>
      <c r="I569" s="121"/>
      <c r="J569" s="121"/>
      <c r="K569" s="121"/>
      <c r="L569" s="121"/>
      <c r="M569" s="121"/>
      <c r="N569" s="98"/>
      <c r="O569" s="98"/>
      <c r="P569" s="98"/>
      <c r="Q569" s="98"/>
      <c r="R569" s="98"/>
      <c r="S569" s="98"/>
      <c r="T569" s="98"/>
      <c r="Z569"/>
      <c r="AC569"/>
      <c r="AH569"/>
      <c r="AL569" s="72"/>
    </row>
    <row r="570" spans="2:38" ht="12.9" customHeight="1">
      <c r="B570" s="75"/>
      <c r="C570" s="75"/>
      <c r="D570" s="75"/>
      <c r="E570" s="75"/>
      <c r="F570" s="73"/>
      <c r="G570" s="73"/>
      <c r="H570" s="74"/>
      <c r="I570" s="121"/>
      <c r="J570" s="121"/>
      <c r="K570" s="121"/>
      <c r="L570" s="121"/>
      <c r="M570" s="121"/>
      <c r="N570" s="98"/>
      <c r="O570" s="98"/>
      <c r="P570" s="98"/>
      <c r="Q570" s="98"/>
      <c r="R570" s="98"/>
      <c r="S570" s="98"/>
      <c r="T570" s="98"/>
      <c r="Z570"/>
      <c r="AC570"/>
      <c r="AH570"/>
      <c r="AL570" s="72"/>
    </row>
    <row r="571" spans="2:38" ht="12.9" customHeight="1">
      <c r="B571" s="75"/>
      <c r="C571" s="75"/>
      <c r="D571" s="75"/>
      <c r="E571" s="75"/>
      <c r="F571" s="73"/>
      <c r="G571" s="73"/>
      <c r="H571" s="74"/>
      <c r="I571" s="121"/>
      <c r="J571" s="121"/>
      <c r="K571" s="121"/>
      <c r="L571" s="121"/>
      <c r="M571" s="121"/>
      <c r="N571" s="98"/>
      <c r="O571" s="98"/>
      <c r="P571" s="98"/>
      <c r="Q571" s="98"/>
      <c r="R571" s="98"/>
      <c r="S571" s="98"/>
      <c r="T571" s="98"/>
      <c r="Z571"/>
      <c r="AC571"/>
      <c r="AH571"/>
      <c r="AL571" s="72"/>
    </row>
    <row r="572" spans="2:38" ht="12.9" customHeight="1">
      <c r="B572" s="75"/>
      <c r="C572" s="75"/>
      <c r="D572" s="75"/>
      <c r="E572" s="75"/>
      <c r="F572" s="73"/>
      <c r="G572" s="73"/>
      <c r="H572" s="74"/>
      <c r="I572" s="121"/>
      <c r="J572" s="121"/>
      <c r="K572" s="121"/>
      <c r="L572" s="121"/>
      <c r="M572" s="121"/>
      <c r="N572" s="98"/>
      <c r="O572" s="98"/>
      <c r="P572" s="98"/>
      <c r="Q572" s="98"/>
      <c r="R572" s="98"/>
      <c r="S572" s="98"/>
      <c r="T572" s="98"/>
      <c r="Z572"/>
      <c r="AC572"/>
      <c r="AH572"/>
      <c r="AL572" s="72"/>
    </row>
    <row r="573" spans="2:38" ht="12.9" customHeight="1">
      <c r="B573" s="75"/>
      <c r="C573" s="75"/>
      <c r="D573" s="75"/>
      <c r="E573" s="75"/>
      <c r="F573" s="117"/>
      <c r="G573" s="73"/>
      <c r="H573" s="74"/>
      <c r="I573" s="121"/>
      <c r="J573" s="121"/>
      <c r="K573" s="121"/>
      <c r="L573" s="121"/>
      <c r="M573" s="121"/>
      <c r="N573" s="98"/>
      <c r="O573" s="98"/>
      <c r="P573" s="98"/>
      <c r="Q573" s="98"/>
      <c r="R573" s="98"/>
      <c r="S573" s="98"/>
      <c r="T573" s="98"/>
      <c r="Z573"/>
      <c r="AC573"/>
      <c r="AH573"/>
      <c r="AL573" s="72"/>
    </row>
    <row r="574" spans="2:38" ht="12.9" customHeight="1">
      <c r="B574" s="75"/>
      <c r="C574" s="75"/>
      <c r="D574" s="75"/>
      <c r="E574" s="75"/>
      <c r="F574" s="117"/>
      <c r="G574" s="73"/>
      <c r="H574" s="74"/>
      <c r="I574" s="121"/>
      <c r="J574" s="121"/>
      <c r="K574" s="121"/>
      <c r="L574" s="121"/>
      <c r="M574" s="121"/>
      <c r="N574" s="98"/>
      <c r="O574" s="98"/>
      <c r="P574" s="98"/>
      <c r="Q574" s="98"/>
      <c r="R574" s="98"/>
      <c r="S574" s="98"/>
      <c r="T574" s="98"/>
      <c r="Z574"/>
      <c r="AC574"/>
      <c r="AH574"/>
      <c r="AL574" s="72"/>
    </row>
    <row r="575" spans="2:38" ht="12.9" customHeight="1">
      <c r="B575" s="75"/>
      <c r="C575" s="75"/>
      <c r="D575" s="75"/>
      <c r="E575" s="75"/>
      <c r="F575" s="73"/>
      <c r="G575" s="73"/>
      <c r="H575" s="74"/>
      <c r="I575" s="121"/>
      <c r="J575" s="121"/>
      <c r="K575" s="121"/>
      <c r="L575" s="121"/>
      <c r="M575" s="121"/>
      <c r="N575" s="98"/>
      <c r="O575" s="98"/>
      <c r="P575" s="98"/>
      <c r="Q575" s="98"/>
      <c r="R575" s="98"/>
      <c r="S575" s="98"/>
      <c r="T575" s="98"/>
      <c r="Z575"/>
      <c r="AC575"/>
      <c r="AH575"/>
      <c r="AL575" s="72"/>
    </row>
    <row r="576" spans="2:38" ht="12.9" customHeight="1">
      <c r="B576" s="75"/>
      <c r="C576" s="75"/>
      <c r="D576" s="75"/>
      <c r="E576" s="75"/>
      <c r="F576" s="73"/>
      <c r="G576" s="73"/>
      <c r="H576" s="74"/>
      <c r="I576" s="121"/>
      <c r="J576" s="121"/>
      <c r="K576" s="121"/>
      <c r="L576" s="121"/>
      <c r="M576" s="121"/>
      <c r="N576" s="98"/>
      <c r="O576" s="98"/>
      <c r="P576" s="98"/>
      <c r="Q576" s="98"/>
      <c r="R576" s="98"/>
      <c r="S576" s="98"/>
      <c r="T576" s="98"/>
      <c r="Z576"/>
      <c r="AC576"/>
      <c r="AH576"/>
      <c r="AL576" s="72"/>
    </row>
    <row r="577" spans="2:38" ht="12.9" customHeight="1">
      <c r="B577" s="75"/>
      <c r="C577" s="75"/>
      <c r="D577" s="75"/>
      <c r="E577" s="75"/>
      <c r="F577" s="73"/>
      <c r="G577" s="73"/>
      <c r="H577" s="74"/>
      <c r="I577" s="121"/>
      <c r="J577" s="121"/>
      <c r="K577" s="121"/>
      <c r="L577" s="121"/>
      <c r="M577" s="121"/>
      <c r="N577" s="98"/>
      <c r="O577" s="98"/>
      <c r="P577" s="98"/>
      <c r="Q577" s="98"/>
      <c r="R577" s="98"/>
      <c r="S577" s="98"/>
      <c r="T577" s="98"/>
      <c r="Z577"/>
      <c r="AC577"/>
      <c r="AH577"/>
      <c r="AL577" s="72"/>
    </row>
    <row r="578" spans="2:38" ht="12.9" customHeight="1">
      <c r="B578" s="75"/>
      <c r="C578" s="75"/>
      <c r="D578" s="75"/>
      <c r="E578" s="75"/>
      <c r="F578" s="73"/>
      <c r="G578" s="73"/>
      <c r="H578" s="74"/>
      <c r="I578" s="121"/>
      <c r="J578" s="121"/>
      <c r="K578" s="121"/>
      <c r="L578" s="121"/>
      <c r="M578" s="121"/>
      <c r="N578" s="98"/>
      <c r="O578" s="98"/>
      <c r="P578" s="98"/>
      <c r="Q578" s="98"/>
      <c r="R578" s="98"/>
      <c r="S578" s="98"/>
      <c r="T578" s="98"/>
      <c r="Z578"/>
      <c r="AC578"/>
      <c r="AH578"/>
      <c r="AL578" s="72"/>
    </row>
    <row r="579" spans="2:38" ht="12.9" customHeight="1">
      <c r="B579" s="75"/>
      <c r="C579" s="75"/>
      <c r="D579" s="75"/>
      <c r="E579" s="75"/>
      <c r="F579" s="73"/>
      <c r="G579" s="73"/>
      <c r="H579" s="74"/>
      <c r="I579" s="121"/>
      <c r="J579" s="121"/>
      <c r="K579" s="121"/>
      <c r="L579" s="121"/>
      <c r="M579" s="121"/>
      <c r="N579" s="98"/>
      <c r="O579" s="98"/>
      <c r="P579" s="98"/>
      <c r="Q579" s="98"/>
      <c r="R579" s="98"/>
      <c r="S579" s="98"/>
      <c r="T579" s="98"/>
      <c r="Z579"/>
      <c r="AC579"/>
      <c r="AH579"/>
      <c r="AL579" s="72"/>
    </row>
    <row r="580" spans="2:38" ht="12.9" customHeight="1">
      <c r="B580" s="75"/>
      <c r="C580" s="75"/>
      <c r="D580" s="75"/>
      <c r="E580" s="75"/>
      <c r="F580" s="117"/>
      <c r="G580" s="73"/>
      <c r="H580" s="74"/>
      <c r="I580" s="121"/>
      <c r="J580" s="121"/>
      <c r="K580" s="121"/>
      <c r="L580" s="121"/>
      <c r="M580" s="121"/>
      <c r="N580" s="98"/>
      <c r="O580" s="98"/>
      <c r="P580" s="98"/>
      <c r="Q580" s="98"/>
      <c r="R580" s="98"/>
      <c r="S580" s="98"/>
      <c r="T580" s="98"/>
      <c r="Z580"/>
      <c r="AC580"/>
      <c r="AH580"/>
      <c r="AL580" s="72"/>
    </row>
    <row r="581" spans="2:38" ht="12.9" customHeight="1">
      <c r="B581" s="75"/>
      <c r="C581" s="75"/>
      <c r="D581" s="75"/>
      <c r="E581" s="75"/>
      <c r="F581" s="73"/>
      <c r="G581" s="73"/>
      <c r="H581" s="74"/>
      <c r="I581" s="121"/>
      <c r="J581" s="121"/>
      <c r="K581" s="121"/>
      <c r="L581" s="121"/>
      <c r="M581" s="121"/>
      <c r="N581" s="98"/>
      <c r="O581" s="98"/>
      <c r="P581" s="98"/>
      <c r="Q581" s="98"/>
      <c r="R581" s="98"/>
      <c r="S581" s="98"/>
      <c r="T581" s="98"/>
      <c r="Z581"/>
      <c r="AC581"/>
      <c r="AH581"/>
      <c r="AL581" s="72"/>
    </row>
    <row r="582" spans="2:38" ht="12.9" customHeight="1">
      <c r="B582" s="75"/>
      <c r="C582" s="75"/>
      <c r="D582" s="75"/>
      <c r="E582" s="75"/>
      <c r="F582" s="73"/>
      <c r="G582" s="73"/>
      <c r="H582" s="74"/>
      <c r="I582" s="121"/>
      <c r="J582" s="121"/>
      <c r="K582" s="121"/>
      <c r="L582" s="121"/>
      <c r="M582" s="121"/>
      <c r="N582" s="98"/>
      <c r="O582" s="98"/>
      <c r="P582" s="98"/>
      <c r="Q582" s="98"/>
      <c r="R582" s="98"/>
      <c r="S582" s="98"/>
      <c r="T582" s="98"/>
      <c r="Z582"/>
      <c r="AC582"/>
      <c r="AH582"/>
      <c r="AL582" s="72"/>
    </row>
    <row r="583" spans="2:38" ht="12.9" customHeight="1">
      <c r="B583" s="75"/>
      <c r="C583" s="75"/>
      <c r="D583" s="75"/>
      <c r="E583" s="75"/>
      <c r="F583" s="73"/>
      <c r="G583" s="73"/>
      <c r="H583" s="74"/>
      <c r="I583" s="121"/>
      <c r="J583" s="121"/>
      <c r="K583" s="121"/>
      <c r="L583" s="121"/>
      <c r="M583" s="121"/>
      <c r="N583" s="98"/>
      <c r="O583" s="98"/>
      <c r="P583" s="98"/>
      <c r="Q583" s="98"/>
      <c r="R583" s="98"/>
      <c r="S583" s="98"/>
      <c r="T583" s="98"/>
      <c r="Z583"/>
      <c r="AC583"/>
      <c r="AH583"/>
      <c r="AL583" s="72"/>
    </row>
    <row r="584" spans="2:38" ht="12.9" customHeight="1">
      <c r="B584" s="75"/>
      <c r="C584" s="75"/>
      <c r="D584" s="75"/>
      <c r="E584" s="75"/>
      <c r="F584" s="73"/>
      <c r="G584" s="73"/>
      <c r="H584" s="74"/>
      <c r="I584" s="121"/>
      <c r="J584" s="121"/>
      <c r="K584" s="121"/>
      <c r="L584" s="121"/>
      <c r="M584" s="121"/>
      <c r="N584" s="98"/>
      <c r="O584" s="98"/>
      <c r="P584" s="98"/>
      <c r="Q584" s="98"/>
      <c r="R584" s="98"/>
      <c r="S584" s="98"/>
      <c r="T584" s="98"/>
      <c r="Z584"/>
      <c r="AC584"/>
      <c r="AH584"/>
      <c r="AL584" s="72"/>
    </row>
    <row r="585" spans="2:38" ht="12.9" customHeight="1">
      <c r="B585" s="75"/>
      <c r="C585" s="75"/>
      <c r="D585" s="75"/>
      <c r="E585" s="75"/>
      <c r="F585" s="73"/>
      <c r="G585" s="73"/>
      <c r="H585" s="74"/>
      <c r="I585" s="121"/>
      <c r="J585" s="121"/>
      <c r="K585" s="121"/>
      <c r="L585" s="121"/>
      <c r="M585" s="121"/>
      <c r="N585" s="98"/>
      <c r="O585" s="98"/>
      <c r="P585" s="98"/>
      <c r="Q585" s="98"/>
      <c r="R585" s="98"/>
      <c r="S585" s="98"/>
      <c r="T585" s="98"/>
      <c r="Z585"/>
      <c r="AC585"/>
      <c r="AH585"/>
      <c r="AL585" s="72"/>
    </row>
    <row r="586" spans="2:38" ht="12.9" customHeight="1">
      <c r="B586" s="75"/>
      <c r="C586" s="75"/>
      <c r="D586" s="75"/>
      <c r="E586" s="75"/>
      <c r="F586" s="73"/>
      <c r="G586" s="73"/>
      <c r="H586" s="74"/>
      <c r="I586" s="121"/>
      <c r="J586" s="121"/>
      <c r="K586" s="121"/>
      <c r="L586" s="121"/>
      <c r="M586" s="121"/>
      <c r="N586" s="98"/>
      <c r="O586" s="98"/>
      <c r="P586" s="98"/>
      <c r="Q586" s="98"/>
      <c r="R586" s="98"/>
      <c r="S586" s="98"/>
      <c r="T586" s="98"/>
      <c r="Z586"/>
      <c r="AC586"/>
      <c r="AH586"/>
      <c r="AL586" s="72"/>
    </row>
    <row r="587" spans="2:38" ht="12.9" customHeight="1">
      <c r="B587" s="75"/>
      <c r="C587" s="75"/>
      <c r="D587" s="75"/>
      <c r="E587" s="75"/>
      <c r="F587" s="73"/>
      <c r="G587" s="73"/>
      <c r="H587" s="74"/>
      <c r="I587" s="121"/>
      <c r="J587" s="121"/>
      <c r="K587" s="121"/>
      <c r="L587" s="121"/>
      <c r="M587" s="121"/>
      <c r="N587" s="98"/>
      <c r="O587" s="98"/>
      <c r="P587" s="98"/>
      <c r="Q587" s="98"/>
      <c r="R587" s="98"/>
      <c r="S587" s="98"/>
      <c r="T587" s="98"/>
      <c r="Z587"/>
      <c r="AC587"/>
      <c r="AH587"/>
      <c r="AL587" s="72"/>
    </row>
    <row r="588" spans="2:38" ht="12.9" customHeight="1">
      <c r="B588" s="75"/>
      <c r="C588" s="75"/>
      <c r="D588" s="75"/>
      <c r="E588" s="75"/>
      <c r="F588" s="73"/>
      <c r="G588" s="73"/>
      <c r="H588" s="74"/>
      <c r="I588" s="121"/>
      <c r="J588" s="121"/>
      <c r="K588" s="121"/>
      <c r="L588" s="121"/>
      <c r="M588" s="121"/>
      <c r="N588" s="99"/>
      <c r="O588" s="99"/>
      <c r="P588" s="99"/>
      <c r="Q588" s="99"/>
      <c r="R588" s="99"/>
      <c r="S588" s="99"/>
      <c r="T588" s="99"/>
      <c r="Z588"/>
      <c r="AC588"/>
      <c r="AH588"/>
      <c r="AL588" s="72"/>
    </row>
    <row r="589" spans="2:38" ht="12.9" customHeight="1">
      <c r="B589" s="75"/>
      <c r="C589" s="75"/>
      <c r="D589" s="75"/>
      <c r="E589" s="75"/>
      <c r="F589" s="73"/>
      <c r="G589" s="73"/>
      <c r="H589" s="74"/>
      <c r="I589" s="121"/>
      <c r="J589" s="121"/>
      <c r="K589" s="121"/>
      <c r="L589" s="121"/>
      <c r="M589" s="121"/>
      <c r="N589" s="98"/>
      <c r="O589" s="98"/>
      <c r="P589" s="98"/>
      <c r="Q589" s="98"/>
      <c r="R589" s="98"/>
      <c r="S589" s="98"/>
      <c r="T589" s="98"/>
      <c r="Z589"/>
      <c r="AC589"/>
      <c r="AH589"/>
      <c r="AL589" s="72"/>
    </row>
    <row r="590" spans="2:38" ht="12.9" customHeight="1">
      <c r="B590" s="75"/>
      <c r="C590" s="75"/>
      <c r="D590" s="75"/>
      <c r="E590" s="75"/>
      <c r="F590" s="73"/>
      <c r="G590" s="73"/>
      <c r="H590" s="74"/>
      <c r="I590" s="121"/>
      <c r="J590" s="121"/>
      <c r="K590" s="121"/>
      <c r="L590" s="121"/>
      <c r="M590" s="121"/>
      <c r="N590" s="98"/>
      <c r="O590" s="98"/>
      <c r="P590" s="98"/>
      <c r="Q590" s="98"/>
      <c r="R590" s="98"/>
      <c r="S590" s="98"/>
      <c r="T590" s="98"/>
      <c r="Z590"/>
      <c r="AC590"/>
      <c r="AH590"/>
      <c r="AL590" s="72"/>
    </row>
    <row r="591" spans="2:38" ht="12.9" customHeight="1">
      <c r="B591" s="75"/>
      <c r="C591" s="75"/>
      <c r="D591" s="75"/>
      <c r="E591" s="75"/>
      <c r="F591" s="73"/>
      <c r="G591" s="73"/>
      <c r="H591" s="74"/>
      <c r="I591" s="121"/>
      <c r="J591" s="121"/>
      <c r="K591" s="121"/>
      <c r="L591" s="121"/>
      <c r="M591" s="121"/>
      <c r="N591" s="98"/>
      <c r="O591" s="98"/>
      <c r="P591" s="98"/>
      <c r="Q591" s="98"/>
      <c r="R591" s="98"/>
      <c r="S591" s="98"/>
      <c r="T591" s="98"/>
      <c r="Z591"/>
      <c r="AC591"/>
      <c r="AH591"/>
      <c r="AL591" s="72"/>
    </row>
    <row r="592" spans="2:38" ht="12.9" customHeight="1">
      <c r="B592" s="75"/>
      <c r="C592" s="75"/>
      <c r="D592" s="75"/>
      <c r="E592" s="75"/>
      <c r="F592" s="73"/>
      <c r="G592" s="73"/>
      <c r="H592" s="74"/>
      <c r="I592" s="121"/>
      <c r="J592" s="121"/>
      <c r="K592" s="121"/>
      <c r="L592" s="121"/>
      <c r="M592" s="121"/>
      <c r="N592" s="98"/>
      <c r="O592" s="98"/>
      <c r="P592" s="98"/>
      <c r="Q592" s="98"/>
      <c r="R592" s="98"/>
      <c r="S592" s="98"/>
      <c r="T592" s="98"/>
      <c r="Z592"/>
      <c r="AC592"/>
      <c r="AH592"/>
      <c r="AL592" s="72"/>
    </row>
    <row r="593" spans="2:38" ht="12.9" customHeight="1">
      <c r="B593" s="75"/>
      <c r="C593" s="75"/>
      <c r="D593" s="75"/>
      <c r="E593" s="75"/>
      <c r="F593" s="73"/>
      <c r="G593" s="73"/>
      <c r="H593" s="74"/>
      <c r="I593" s="121"/>
      <c r="J593" s="121"/>
      <c r="K593" s="121"/>
      <c r="L593" s="121"/>
      <c r="M593" s="121"/>
      <c r="N593" s="98"/>
      <c r="O593" s="98"/>
      <c r="P593" s="98"/>
      <c r="Q593" s="98"/>
      <c r="R593" s="98"/>
      <c r="S593" s="98"/>
      <c r="T593" s="98"/>
      <c r="Z593"/>
      <c r="AC593"/>
      <c r="AH593"/>
      <c r="AL593" s="72"/>
    </row>
    <row r="594" spans="2:38" ht="12.9" customHeight="1">
      <c r="B594" s="75"/>
      <c r="C594" s="75"/>
      <c r="D594" s="75"/>
      <c r="E594" s="75"/>
      <c r="F594" s="73"/>
      <c r="G594" s="73"/>
      <c r="H594" s="74"/>
      <c r="I594" s="121"/>
      <c r="J594" s="121"/>
      <c r="K594" s="121"/>
      <c r="L594" s="121"/>
      <c r="M594" s="121"/>
      <c r="N594" s="98"/>
      <c r="O594" s="98"/>
      <c r="P594" s="98"/>
      <c r="Q594" s="98"/>
      <c r="R594" s="98"/>
      <c r="S594" s="98"/>
      <c r="T594" s="98"/>
      <c r="Z594"/>
      <c r="AC594"/>
      <c r="AH594"/>
      <c r="AL594" s="72"/>
    </row>
    <row r="595" spans="2:38" ht="12.9" customHeight="1">
      <c r="B595" s="75"/>
      <c r="C595" s="75"/>
      <c r="D595" s="75"/>
      <c r="E595" s="75"/>
      <c r="F595" s="73"/>
      <c r="G595" s="73"/>
      <c r="H595" s="74"/>
      <c r="I595" s="121"/>
      <c r="J595" s="121"/>
      <c r="K595" s="121"/>
      <c r="L595" s="121"/>
      <c r="M595" s="121"/>
      <c r="N595" s="98"/>
      <c r="O595" s="98"/>
      <c r="P595" s="98"/>
      <c r="Q595" s="98"/>
      <c r="R595" s="98"/>
      <c r="S595" s="98"/>
      <c r="T595" s="98"/>
      <c r="Z595"/>
      <c r="AC595"/>
      <c r="AH595"/>
      <c r="AL595" s="72"/>
    </row>
    <row r="596" spans="2:38" ht="12.9" customHeight="1">
      <c r="B596" s="75"/>
      <c r="C596" s="75"/>
      <c r="D596" s="75"/>
      <c r="E596" s="75"/>
      <c r="F596" s="73"/>
      <c r="G596" s="73"/>
      <c r="H596" s="74"/>
      <c r="I596" s="121"/>
      <c r="J596" s="121"/>
      <c r="K596" s="121"/>
      <c r="L596" s="121"/>
      <c r="M596" s="121"/>
      <c r="N596" s="98"/>
      <c r="O596" s="98"/>
      <c r="P596" s="98"/>
      <c r="Q596" s="98"/>
      <c r="R596" s="98"/>
      <c r="S596" s="98"/>
      <c r="T596" s="98"/>
      <c r="Z596"/>
      <c r="AC596"/>
      <c r="AH596"/>
      <c r="AL596" s="72"/>
    </row>
    <row r="597" spans="2:38" ht="12.9" customHeight="1">
      <c r="B597" s="75"/>
      <c r="C597" s="75"/>
      <c r="D597" s="75"/>
      <c r="E597" s="75"/>
      <c r="F597" s="73"/>
      <c r="G597" s="73"/>
      <c r="H597" s="74"/>
      <c r="I597" s="121"/>
      <c r="J597" s="121"/>
      <c r="K597" s="121"/>
      <c r="L597" s="121"/>
      <c r="M597" s="121"/>
      <c r="N597" s="98"/>
      <c r="O597" s="98"/>
      <c r="P597" s="98"/>
      <c r="Q597" s="98"/>
      <c r="R597" s="98"/>
      <c r="S597" s="98"/>
      <c r="T597" s="98"/>
      <c r="Z597"/>
      <c r="AC597"/>
      <c r="AH597"/>
      <c r="AL597" s="72"/>
    </row>
    <row r="598" spans="2:38" ht="12.9" customHeight="1">
      <c r="B598" s="75"/>
      <c r="C598" s="75"/>
      <c r="D598" s="75"/>
      <c r="E598" s="75"/>
      <c r="F598" s="73"/>
      <c r="G598" s="73"/>
      <c r="H598" s="74"/>
      <c r="I598" s="121"/>
      <c r="J598" s="121"/>
      <c r="K598" s="121"/>
      <c r="L598" s="121"/>
      <c r="M598" s="121"/>
      <c r="N598" s="98"/>
      <c r="O598" s="98"/>
      <c r="P598" s="98"/>
      <c r="Q598" s="98"/>
      <c r="R598" s="98"/>
      <c r="S598" s="98"/>
      <c r="T598" s="98"/>
      <c r="Z598"/>
      <c r="AC598"/>
      <c r="AH598"/>
      <c r="AL598" s="72"/>
    </row>
    <row r="599" spans="2:38" ht="12.9" customHeight="1">
      <c r="B599" s="75"/>
      <c r="C599" s="75"/>
      <c r="D599" s="75"/>
      <c r="E599" s="75"/>
      <c r="F599" s="73"/>
      <c r="G599" s="73"/>
      <c r="H599" s="74"/>
      <c r="I599" s="121"/>
      <c r="J599" s="121"/>
      <c r="K599" s="121"/>
      <c r="L599" s="121"/>
      <c r="M599" s="121"/>
      <c r="N599" s="98"/>
      <c r="O599" s="98"/>
      <c r="P599" s="98"/>
      <c r="Q599" s="98"/>
      <c r="R599" s="98"/>
      <c r="S599" s="98"/>
      <c r="T599" s="98"/>
      <c r="Z599"/>
      <c r="AC599"/>
      <c r="AH599"/>
      <c r="AL599" s="72"/>
    </row>
    <row r="600" spans="2:38" ht="12.9" customHeight="1">
      <c r="B600" s="75"/>
      <c r="C600" s="75"/>
      <c r="D600" s="75"/>
      <c r="E600" s="75"/>
      <c r="F600" s="73"/>
      <c r="G600" s="73"/>
      <c r="H600" s="74"/>
      <c r="I600" s="121"/>
      <c r="J600" s="121"/>
      <c r="K600" s="121"/>
      <c r="L600" s="121"/>
      <c r="M600" s="121"/>
      <c r="N600" s="98"/>
      <c r="O600" s="98"/>
      <c r="P600" s="98"/>
      <c r="Q600" s="98"/>
      <c r="R600" s="98"/>
      <c r="S600" s="98"/>
      <c r="T600" s="98"/>
      <c r="Z600"/>
      <c r="AC600"/>
      <c r="AH600"/>
      <c r="AL600" s="72"/>
    </row>
    <row r="601" spans="2:38" ht="12.9" customHeight="1">
      <c r="B601" s="75"/>
      <c r="C601" s="75"/>
      <c r="D601" s="75"/>
      <c r="E601" s="75"/>
      <c r="F601" s="73"/>
      <c r="G601" s="73"/>
      <c r="H601" s="74"/>
      <c r="I601" s="121"/>
      <c r="J601" s="121"/>
      <c r="K601" s="121"/>
      <c r="L601" s="121"/>
      <c r="M601" s="121"/>
      <c r="N601" s="98"/>
      <c r="O601" s="98"/>
      <c r="P601" s="98"/>
      <c r="Q601" s="98"/>
      <c r="R601" s="98"/>
      <c r="S601" s="98"/>
      <c r="T601" s="98"/>
      <c r="Z601"/>
      <c r="AC601"/>
      <c r="AH601"/>
      <c r="AL601" s="72"/>
    </row>
    <row r="602" spans="2:38" ht="12.9" customHeight="1">
      <c r="B602" s="75"/>
      <c r="C602" s="75"/>
      <c r="D602" s="75"/>
      <c r="E602" s="75"/>
      <c r="F602" s="73"/>
      <c r="G602" s="73"/>
      <c r="H602" s="74"/>
      <c r="I602" s="121"/>
      <c r="J602" s="121"/>
      <c r="K602" s="121"/>
      <c r="L602" s="121"/>
      <c r="M602" s="121"/>
      <c r="N602" s="98"/>
      <c r="O602" s="98"/>
      <c r="P602" s="98"/>
      <c r="Q602" s="98"/>
      <c r="R602" s="98"/>
      <c r="S602" s="98"/>
      <c r="T602" s="98"/>
      <c r="Z602"/>
      <c r="AC602"/>
      <c r="AH602"/>
      <c r="AL602" s="72"/>
    </row>
    <row r="603" spans="2:38" ht="12.9" customHeight="1">
      <c r="B603" s="75"/>
      <c r="C603" s="75"/>
      <c r="D603" s="75"/>
      <c r="E603" s="75"/>
      <c r="F603" s="73"/>
      <c r="G603" s="73"/>
      <c r="H603" s="74"/>
      <c r="I603" s="121"/>
      <c r="J603" s="121"/>
      <c r="K603" s="121"/>
      <c r="L603" s="121"/>
      <c r="M603" s="121"/>
      <c r="N603" s="98"/>
      <c r="O603" s="98"/>
      <c r="P603" s="98"/>
      <c r="Q603" s="98"/>
      <c r="R603" s="98"/>
      <c r="S603" s="98"/>
      <c r="T603" s="98"/>
      <c r="Z603"/>
      <c r="AC603"/>
      <c r="AH603"/>
      <c r="AL603" s="72"/>
    </row>
    <row r="604" spans="2:38" ht="12.9" customHeight="1">
      <c r="B604" s="75"/>
      <c r="C604" s="75"/>
      <c r="D604" s="75"/>
      <c r="E604" s="75"/>
      <c r="F604" s="73"/>
      <c r="G604" s="73"/>
      <c r="H604" s="74"/>
      <c r="I604" s="121"/>
      <c r="J604" s="121"/>
      <c r="K604" s="121"/>
      <c r="L604" s="121"/>
      <c r="M604" s="121"/>
      <c r="N604" s="98"/>
      <c r="O604" s="98"/>
      <c r="P604" s="98"/>
      <c r="Q604" s="98"/>
      <c r="R604" s="98"/>
      <c r="S604" s="98"/>
      <c r="T604" s="98"/>
      <c r="Z604"/>
      <c r="AC604"/>
      <c r="AH604"/>
      <c r="AL604" s="72"/>
    </row>
    <row r="605" spans="2:38" ht="12.9" customHeight="1">
      <c r="B605" s="75"/>
      <c r="C605" s="75"/>
      <c r="D605" s="75"/>
      <c r="E605" s="75"/>
      <c r="F605" s="73"/>
      <c r="G605" s="73"/>
      <c r="H605" s="74"/>
      <c r="I605" s="121"/>
      <c r="J605" s="121"/>
      <c r="K605" s="121"/>
      <c r="L605" s="121"/>
      <c r="M605" s="121"/>
      <c r="N605" s="98"/>
      <c r="O605" s="98"/>
      <c r="P605" s="98"/>
      <c r="Q605" s="98"/>
      <c r="R605" s="98"/>
      <c r="S605" s="98"/>
      <c r="T605" s="98"/>
      <c r="Z605"/>
      <c r="AC605"/>
      <c r="AH605"/>
      <c r="AL605" s="72"/>
    </row>
    <row r="606" spans="2:38" ht="12.9" customHeight="1">
      <c r="B606" s="75"/>
      <c r="C606" s="75"/>
      <c r="D606" s="75"/>
      <c r="E606" s="75"/>
      <c r="F606" s="73"/>
      <c r="G606" s="73"/>
      <c r="H606" s="74"/>
      <c r="I606" s="121"/>
      <c r="J606" s="121"/>
      <c r="K606" s="121"/>
      <c r="L606" s="121"/>
      <c r="M606" s="121"/>
      <c r="N606" s="98"/>
      <c r="O606" s="98"/>
      <c r="P606" s="98"/>
      <c r="Q606" s="98"/>
      <c r="R606" s="98"/>
      <c r="S606" s="98"/>
      <c r="T606" s="98"/>
      <c r="Z606"/>
      <c r="AC606"/>
      <c r="AH606"/>
      <c r="AL606" s="72"/>
    </row>
    <row r="607" spans="2:38" ht="12.9" customHeight="1">
      <c r="B607" s="75"/>
      <c r="C607" s="75"/>
      <c r="D607" s="75"/>
      <c r="E607" s="75"/>
      <c r="F607" s="73"/>
      <c r="G607" s="73"/>
      <c r="H607" s="74"/>
      <c r="I607" s="121"/>
      <c r="J607" s="121"/>
      <c r="K607" s="121"/>
      <c r="L607" s="121"/>
      <c r="M607" s="121"/>
      <c r="N607" s="98"/>
      <c r="O607" s="98"/>
      <c r="P607" s="98"/>
      <c r="Q607" s="98"/>
      <c r="R607" s="98"/>
      <c r="S607" s="98"/>
      <c r="T607" s="98"/>
      <c r="Z607"/>
      <c r="AC607"/>
      <c r="AH607"/>
      <c r="AL607" s="72"/>
    </row>
    <row r="608" spans="2:38" ht="12.9" customHeight="1">
      <c r="B608" s="75"/>
      <c r="C608" s="75"/>
      <c r="D608" s="75"/>
      <c r="E608" s="75"/>
      <c r="F608" s="73"/>
      <c r="G608" s="73"/>
      <c r="H608" s="74"/>
      <c r="I608" s="121"/>
      <c r="J608" s="121"/>
      <c r="K608" s="121"/>
      <c r="L608" s="121"/>
      <c r="M608" s="121"/>
      <c r="N608" s="98"/>
      <c r="O608" s="98"/>
      <c r="P608" s="98"/>
      <c r="Q608" s="98"/>
      <c r="R608" s="98"/>
      <c r="S608" s="98"/>
      <c r="T608" s="98"/>
      <c r="Z608"/>
      <c r="AC608"/>
      <c r="AH608"/>
      <c r="AL608" s="72"/>
    </row>
    <row r="609" spans="2:38" ht="12.9" customHeight="1">
      <c r="B609" s="75"/>
      <c r="C609" s="75"/>
      <c r="D609" s="75"/>
      <c r="E609" s="75"/>
      <c r="F609" s="73"/>
      <c r="G609" s="73"/>
      <c r="H609" s="74"/>
      <c r="I609" s="121"/>
      <c r="J609" s="121"/>
      <c r="K609" s="121"/>
      <c r="L609" s="121"/>
      <c r="M609" s="121"/>
      <c r="N609" s="98"/>
      <c r="O609" s="98"/>
      <c r="P609" s="98"/>
      <c r="Q609" s="98"/>
      <c r="R609" s="98"/>
      <c r="S609" s="98"/>
      <c r="T609" s="98"/>
      <c r="Z609"/>
      <c r="AC609"/>
      <c r="AH609"/>
      <c r="AL609" s="72"/>
    </row>
    <row r="610" spans="2:38" ht="12.9" customHeight="1">
      <c r="B610" s="75"/>
      <c r="C610" s="75"/>
      <c r="D610" s="75"/>
      <c r="E610" s="75"/>
      <c r="F610" s="73"/>
      <c r="G610" s="73"/>
      <c r="H610" s="74"/>
      <c r="I610" s="121"/>
      <c r="J610" s="121"/>
      <c r="K610" s="121"/>
      <c r="L610" s="121"/>
      <c r="M610" s="121"/>
      <c r="N610" s="98"/>
      <c r="O610" s="98"/>
      <c r="P610" s="98"/>
      <c r="Q610" s="98"/>
      <c r="R610" s="98"/>
      <c r="S610" s="98"/>
      <c r="T610" s="98"/>
      <c r="Z610"/>
      <c r="AC610"/>
      <c r="AH610"/>
      <c r="AL610" s="72"/>
    </row>
    <row r="611" spans="2:38" ht="12.9" customHeight="1">
      <c r="B611" s="75"/>
      <c r="C611" s="75"/>
      <c r="D611" s="75"/>
      <c r="E611" s="75"/>
      <c r="F611" s="73"/>
      <c r="G611" s="73"/>
      <c r="H611" s="74"/>
      <c r="I611" s="121"/>
      <c r="J611" s="121"/>
      <c r="K611" s="121"/>
      <c r="L611" s="121"/>
      <c r="M611" s="121"/>
      <c r="N611" s="98"/>
      <c r="O611" s="98"/>
      <c r="P611" s="98"/>
      <c r="Q611" s="98"/>
      <c r="R611" s="98"/>
      <c r="S611" s="98"/>
      <c r="T611" s="98"/>
      <c r="Z611"/>
      <c r="AC611"/>
      <c r="AH611"/>
      <c r="AL611" s="72"/>
    </row>
    <row r="612" spans="2:38" ht="12.9" customHeight="1">
      <c r="B612" s="75"/>
      <c r="C612" s="75"/>
      <c r="D612" s="75"/>
      <c r="E612" s="75"/>
      <c r="F612" s="73"/>
      <c r="G612" s="73"/>
      <c r="H612" s="74"/>
      <c r="I612" s="121"/>
      <c r="J612" s="121"/>
      <c r="K612" s="121"/>
      <c r="L612" s="121"/>
      <c r="M612" s="121"/>
      <c r="N612" s="98"/>
      <c r="O612" s="98"/>
      <c r="P612" s="98"/>
      <c r="Q612" s="98"/>
      <c r="R612" s="98"/>
      <c r="S612" s="98"/>
      <c r="T612" s="98"/>
      <c r="Z612"/>
      <c r="AC612"/>
      <c r="AH612"/>
      <c r="AL612" s="72"/>
    </row>
    <row r="613" spans="2:38" ht="12.9" customHeight="1">
      <c r="B613" s="75"/>
      <c r="C613" s="75"/>
      <c r="D613" s="75"/>
      <c r="E613" s="75"/>
      <c r="F613" s="73"/>
      <c r="G613" s="73"/>
      <c r="H613" s="74"/>
      <c r="I613" s="121"/>
      <c r="J613" s="121"/>
      <c r="K613" s="121"/>
      <c r="L613" s="121"/>
      <c r="M613" s="121"/>
      <c r="N613" s="98"/>
      <c r="O613" s="98"/>
      <c r="P613" s="98"/>
      <c r="Q613" s="98"/>
      <c r="R613" s="98"/>
      <c r="S613" s="98"/>
      <c r="T613" s="98"/>
      <c r="Z613"/>
      <c r="AC613"/>
      <c r="AH613"/>
      <c r="AL613" s="72"/>
    </row>
    <row r="614" spans="2:38" ht="12.9" customHeight="1">
      <c r="B614" s="75"/>
      <c r="C614" s="75"/>
      <c r="D614" s="75"/>
      <c r="E614" s="75"/>
      <c r="F614" s="73"/>
      <c r="G614" s="73"/>
      <c r="H614" s="74"/>
      <c r="I614" s="121"/>
      <c r="J614" s="121"/>
      <c r="K614" s="121"/>
      <c r="L614" s="121"/>
      <c r="M614" s="121"/>
      <c r="N614" s="98"/>
      <c r="O614" s="98"/>
      <c r="P614" s="98"/>
      <c r="Q614" s="98"/>
      <c r="R614" s="98"/>
      <c r="S614" s="98"/>
      <c r="T614" s="98"/>
      <c r="Z614"/>
      <c r="AC614"/>
      <c r="AH614"/>
      <c r="AL614" s="72"/>
    </row>
    <row r="615" spans="2:38" ht="12.9" customHeight="1">
      <c r="B615" s="75"/>
      <c r="C615" s="75"/>
      <c r="D615" s="75"/>
      <c r="E615" s="75"/>
      <c r="F615" s="73"/>
      <c r="G615" s="73"/>
      <c r="H615" s="74"/>
      <c r="I615" s="121"/>
      <c r="J615" s="121"/>
      <c r="K615" s="121"/>
      <c r="L615" s="121"/>
      <c r="M615" s="121"/>
      <c r="N615" s="98"/>
      <c r="O615" s="98"/>
      <c r="P615" s="98"/>
      <c r="Q615" s="98"/>
      <c r="R615" s="98"/>
      <c r="S615" s="98"/>
      <c r="T615" s="98"/>
      <c r="Z615"/>
      <c r="AC615"/>
      <c r="AH615"/>
      <c r="AL615" s="72"/>
    </row>
    <row r="616" spans="2:38" ht="12.9" customHeight="1">
      <c r="B616" s="75"/>
      <c r="C616" s="75"/>
      <c r="D616" s="75"/>
      <c r="E616" s="75"/>
      <c r="F616" s="73"/>
      <c r="G616" s="73"/>
      <c r="H616" s="74"/>
      <c r="I616" s="121"/>
      <c r="J616" s="121"/>
      <c r="K616" s="121"/>
      <c r="L616" s="121"/>
      <c r="M616" s="121"/>
      <c r="N616" s="98"/>
      <c r="O616" s="98"/>
      <c r="P616" s="98"/>
      <c r="Q616" s="98"/>
      <c r="R616" s="98"/>
      <c r="S616" s="98"/>
      <c r="T616" s="98"/>
      <c r="Z616"/>
      <c r="AC616"/>
      <c r="AH616"/>
      <c r="AL616" s="72"/>
    </row>
    <row r="617" spans="2:38" ht="12.9" customHeight="1">
      <c r="B617" s="75"/>
      <c r="C617" s="75"/>
      <c r="D617" s="75"/>
      <c r="E617" s="75"/>
      <c r="F617" s="73"/>
      <c r="G617" s="73"/>
      <c r="H617" s="74"/>
      <c r="I617" s="121"/>
      <c r="J617" s="121"/>
      <c r="K617" s="121"/>
      <c r="L617" s="121"/>
      <c r="M617" s="121"/>
      <c r="N617" s="98"/>
      <c r="O617" s="98"/>
      <c r="P617" s="98"/>
      <c r="Q617" s="98"/>
      <c r="R617" s="98"/>
      <c r="S617" s="98"/>
      <c r="T617" s="98"/>
      <c r="Z617"/>
      <c r="AC617"/>
      <c r="AH617"/>
      <c r="AL617" s="72"/>
    </row>
    <row r="618" spans="2:38" ht="12.9" customHeight="1">
      <c r="B618" s="75"/>
      <c r="C618" s="75"/>
      <c r="D618" s="75"/>
      <c r="E618" s="75"/>
      <c r="F618" s="73"/>
      <c r="G618" s="73"/>
      <c r="H618" s="74"/>
      <c r="I618" s="121"/>
      <c r="J618" s="121"/>
      <c r="K618" s="121"/>
      <c r="L618" s="121"/>
      <c r="M618" s="121"/>
      <c r="N618" s="98"/>
      <c r="O618" s="98"/>
      <c r="P618" s="98"/>
      <c r="Q618" s="98"/>
      <c r="R618" s="98"/>
      <c r="S618" s="98"/>
      <c r="T618" s="98"/>
      <c r="Z618"/>
      <c r="AC618"/>
      <c r="AH618"/>
      <c r="AL618" s="72"/>
    </row>
    <row r="619" spans="2:38" ht="12.9" customHeight="1">
      <c r="B619" s="75"/>
      <c r="C619" s="75"/>
      <c r="D619" s="75"/>
      <c r="E619" s="75"/>
      <c r="F619" s="73"/>
      <c r="G619" s="73"/>
      <c r="H619" s="74"/>
      <c r="I619" s="121"/>
      <c r="J619" s="121"/>
      <c r="K619" s="121"/>
      <c r="L619" s="121"/>
      <c r="M619" s="121"/>
      <c r="N619" s="98"/>
      <c r="O619" s="98"/>
      <c r="P619" s="98"/>
      <c r="Q619" s="98"/>
      <c r="R619" s="98"/>
      <c r="S619" s="98"/>
      <c r="T619" s="98"/>
      <c r="Z619"/>
      <c r="AC619"/>
      <c r="AH619"/>
      <c r="AL619" s="72"/>
    </row>
    <row r="620" spans="2:38" ht="12.9" customHeight="1">
      <c r="B620" s="75"/>
      <c r="C620" s="75"/>
      <c r="D620" s="75"/>
      <c r="E620" s="75"/>
      <c r="F620" s="73"/>
      <c r="G620" s="73"/>
      <c r="H620" s="74"/>
      <c r="I620" s="121"/>
      <c r="J620" s="121"/>
      <c r="K620" s="121"/>
      <c r="L620" s="121"/>
      <c r="M620" s="121"/>
      <c r="N620" s="98"/>
      <c r="O620" s="98"/>
      <c r="P620" s="98"/>
      <c r="Q620" s="98"/>
      <c r="R620" s="98"/>
      <c r="S620" s="98"/>
      <c r="T620" s="98"/>
      <c r="Z620"/>
      <c r="AC620"/>
      <c r="AH620"/>
      <c r="AL620" s="72"/>
    </row>
    <row r="621" spans="2:38" ht="12.9" customHeight="1">
      <c r="B621" s="75"/>
      <c r="C621" s="75"/>
      <c r="D621" s="75"/>
      <c r="E621" s="75"/>
      <c r="F621" s="73"/>
      <c r="G621" s="73"/>
      <c r="H621" s="74"/>
      <c r="I621" s="121"/>
      <c r="J621" s="121"/>
      <c r="K621" s="121"/>
      <c r="L621" s="121"/>
      <c r="M621" s="121"/>
      <c r="N621" s="98"/>
      <c r="O621" s="98"/>
      <c r="P621" s="98"/>
      <c r="Q621" s="98"/>
      <c r="R621" s="98"/>
      <c r="S621" s="98"/>
      <c r="T621" s="98"/>
      <c r="Z621"/>
      <c r="AC621"/>
      <c r="AH621"/>
      <c r="AL621" s="72"/>
    </row>
    <row r="622" spans="2:38" ht="12.9" customHeight="1">
      <c r="B622" s="75"/>
      <c r="C622" s="75"/>
      <c r="D622" s="75"/>
      <c r="E622" s="75"/>
      <c r="F622" s="73"/>
      <c r="G622" s="73"/>
      <c r="H622" s="74"/>
      <c r="I622" s="121"/>
      <c r="J622" s="121"/>
      <c r="K622" s="121"/>
      <c r="L622" s="121"/>
      <c r="M622" s="121"/>
      <c r="N622" s="98"/>
      <c r="O622" s="98"/>
      <c r="P622" s="98"/>
      <c r="Q622" s="98"/>
      <c r="R622" s="98"/>
      <c r="S622" s="98"/>
      <c r="T622" s="98"/>
      <c r="Z622"/>
      <c r="AC622"/>
      <c r="AH622"/>
      <c r="AL622" s="72"/>
    </row>
    <row r="623" spans="2:38" ht="12.9" customHeight="1">
      <c r="B623" s="75"/>
      <c r="C623" s="75"/>
      <c r="D623" s="75"/>
      <c r="E623" s="75"/>
      <c r="F623" s="73"/>
      <c r="G623" s="73"/>
      <c r="H623" s="74"/>
      <c r="I623" s="121"/>
      <c r="J623" s="121"/>
      <c r="K623" s="121"/>
      <c r="L623" s="121"/>
      <c r="M623" s="121"/>
      <c r="N623" s="98"/>
      <c r="O623" s="98"/>
      <c r="P623" s="98"/>
      <c r="Q623" s="98"/>
      <c r="R623" s="98"/>
      <c r="S623" s="98"/>
      <c r="T623" s="98"/>
      <c r="Z623"/>
      <c r="AC623"/>
      <c r="AH623"/>
      <c r="AL623" s="72"/>
    </row>
    <row r="624" spans="2:38" ht="12.9" customHeight="1">
      <c r="B624" s="75"/>
      <c r="C624" s="75"/>
      <c r="D624" s="75"/>
      <c r="E624" s="75"/>
      <c r="F624" s="73"/>
      <c r="G624" s="73"/>
      <c r="H624" s="74"/>
      <c r="I624" s="121"/>
      <c r="J624" s="121"/>
      <c r="K624" s="121"/>
      <c r="L624" s="121"/>
      <c r="M624" s="121"/>
      <c r="N624" s="98"/>
      <c r="O624" s="98"/>
      <c r="P624" s="98"/>
      <c r="Q624" s="98"/>
      <c r="R624" s="98"/>
      <c r="S624" s="98"/>
      <c r="T624" s="98"/>
      <c r="Z624"/>
      <c r="AC624"/>
      <c r="AH624"/>
      <c r="AL624" s="72"/>
    </row>
    <row r="625" spans="2:38" ht="12.9" customHeight="1">
      <c r="B625" s="75"/>
      <c r="C625" s="75"/>
      <c r="D625" s="75"/>
      <c r="E625" s="75"/>
      <c r="F625" s="73"/>
      <c r="G625" s="73"/>
      <c r="H625" s="74"/>
      <c r="I625" s="121"/>
      <c r="J625" s="121"/>
      <c r="K625" s="121"/>
      <c r="L625" s="121"/>
      <c r="M625" s="121"/>
      <c r="N625" s="98"/>
      <c r="O625" s="98"/>
      <c r="P625" s="98"/>
      <c r="Q625" s="98"/>
      <c r="R625" s="98"/>
      <c r="S625" s="98"/>
      <c r="T625" s="98"/>
      <c r="Z625"/>
      <c r="AC625"/>
      <c r="AH625"/>
      <c r="AL625" s="72"/>
    </row>
    <row r="626" spans="2:38" ht="12.9" customHeight="1">
      <c r="B626" s="75"/>
      <c r="C626" s="75"/>
      <c r="D626" s="75"/>
      <c r="E626" s="75"/>
      <c r="F626" s="73"/>
      <c r="G626" s="73"/>
      <c r="H626" s="74"/>
      <c r="I626" s="121"/>
      <c r="J626" s="121"/>
      <c r="K626" s="121"/>
      <c r="L626" s="121"/>
      <c r="M626" s="121"/>
      <c r="N626" s="98"/>
      <c r="O626" s="98"/>
      <c r="P626" s="98"/>
      <c r="Q626" s="98"/>
      <c r="R626" s="98"/>
      <c r="S626" s="98"/>
      <c r="T626" s="98"/>
      <c r="Z626"/>
      <c r="AC626"/>
      <c r="AH626"/>
      <c r="AL626" s="72"/>
    </row>
    <row r="627" spans="2:38" ht="12.9" customHeight="1">
      <c r="B627" s="75"/>
      <c r="C627" s="75"/>
      <c r="D627" s="75"/>
      <c r="E627" s="75"/>
      <c r="F627" s="73"/>
      <c r="G627" s="73"/>
      <c r="H627" s="74"/>
      <c r="I627" s="121"/>
      <c r="J627" s="121"/>
      <c r="K627" s="121"/>
      <c r="L627" s="121"/>
      <c r="M627" s="121"/>
      <c r="N627" s="98"/>
      <c r="O627" s="98"/>
      <c r="P627" s="98"/>
      <c r="Q627" s="98"/>
      <c r="R627" s="98"/>
      <c r="S627" s="98"/>
      <c r="T627" s="98"/>
      <c r="Z627"/>
      <c r="AC627"/>
      <c r="AH627"/>
      <c r="AL627" s="72"/>
    </row>
    <row r="628" spans="2:38" ht="12.9" customHeight="1">
      <c r="B628" s="75"/>
      <c r="C628" s="75"/>
      <c r="D628" s="75"/>
      <c r="E628" s="75"/>
      <c r="F628" s="73"/>
      <c r="G628" s="73"/>
      <c r="H628" s="74"/>
      <c r="I628" s="121"/>
      <c r="J628" s="121"/>
      <c r="K628" s="121"/>
      <c r="L628" s="121"/>
      <c r="M628" s="121"/>
      <c r="N628" s="98"/>
      <c r="O628" s="98"/>
      <c r="P628" s="98"/>
      <c r="Q628" s="98"/>
      <c r="R628" s="98"/>
      <c r="S628" s="98"/>
      <c r="T628" s="98"/>
      <c r="Z628"/>
      <c r="AC628"/>
      <c r="AH628"/>
      <c r="AL628" s="72"/>
    </row>
    <row r="629" spans="2:38" ht="12.9" customHeight="1">
      <c r="B629" s="75"/>
      <c r="C629" s="75"/>
      <c r="D629" s="75"/>
      <c r="E629" s="75"/>
      <c r="F629" s="73"/>
      <c r="G629" s="73"/>
      <c r="H629" s="74"/>
      <c r="I629" s="121"/>
      <c r="J629" s="121"/>
      <c r="K629" s="121"/>
      <c r="L629" s="121"/>
      <c r="M629" s="121"/>
      <c r="N629" s="98"/>
      <c r="O629" s="98"/>
      <c r="P629" s="98"/>
      <c r="Q629" s="98"/>
      <c r="R629" s="98"/>
      <c r="S629" s="98"/>
      <c r="T629" s="98"/>
      <c r="Z629"/>
      <c r="AC629"/>
      <c r="AH629"/>
      <c r="AL629" s="72"/>
    </row>
    <row r="630" spans="2:38" ht="12.9" customHeight="1">
      <c r="B630" s="75"/>
      <c r="C630" s="75"/>
      <c r="D630" s="75"/>
      <c r="E630" s="75"/>
      <c r="F630" s="73"/>
      <c r="G630" s="73"/>
      <c r="H630" s="74"/>
      <c r="I630" s="121"/>
      <c r="J630" s="121"/>
      <c r="K630" s="121"/>
      <c r="L630" s="121"/>
      <c r="M630" s="121"/>
      <c r="N630" s="98"/>
      <c r="O630" s="98"/>
      <c r="P630" s="98"/>
      <c r="Q630" s="98"/>
      <c r="R630" s="98"/>
      <c r="S630" s="98"/>
      <c r="T630" s="98"/>
      <c r="Z630"/>
      <c r="AC630"/>
      <c r="AH630"/>
      <c r="AL630" s="72"/>
    </row>
    <row r="631" spans="2:38" ht="12.9" customHeight="1">
      <c r="B631" s="75"/>
      <c r="C631" s="75"/>
      <c r="D631" s="75"/>
      <c r="E631" s="75"/>
      <c r="F631" s="73"/>
      <c r="G631" s="73"/>
      <c r="H631" s="74"/>
      <c r="I631" s="121"/>
      <c r="J631" s="121"/>
      <c r="K631" s="121"/>
      <c r="L631" s="121"/>
      <c r="M631" s="121"/>
      <c r="N631" s="98"/>
      <c r="O631" s="98"/>
      <c r="P631" s="98"/>
      <c r="Q631" s="98"/>
      <c r="R631" s="98"/>
      <c r="S631" s="98"/>
      <c r="T631" s="98"/>
      <c r="Z631"/>
      <c r="AC631"/>
      <c r="AH631"/>
      <c r="AL631" s="72"/>
    </row>
    <row r="632" spans="2:38" ht="12.9" customHeight="1">
      <c r="B632" s="75"/>
      <c r="C632" s="75"/>
      <c r="D632" s="75"/>
      <c r="E632" s="75"/>
      <c r="F632" s="73"/>
      <c r="G632" s="73"/>
      <c r="H632" s="74"/>
      <c r="I632" s="121"/>
      <c r="J632" s="121"/>
      <c r="K632" s="121"/>
      <c r="L632" s="121"/>
      <c r="M632" s="121"/>
      <c r="N632" s="98"/>
      <c r="O632" s="98"/>
      <c r="P632" s="98"/>
      <c r="Q632" s="98"/>
      <c r="R632" s="98"/>
      <c r="S632" s="98"/>
      <c r="T632" s="98"/>
      <c r="Z632"/>
      <c r="AC632"/>
      <c r="AH632"/>
      <c r="AL632" s="72"/>
    </row>
    <row r="633" spans="2:38" ht="12.9" customHeight="1">
      <c r="B633" s="75"/>
      <c r="C633" s="75"/>
      <c r="D633" s="75"/>
      <c r="E633" s="75"/>
      <c r="F633" s="73"/>
      <c r="G633" s="73"/>
      <c r="H633" s="74"/>
      <c r="I633" s="121"/>
      <c r="J633" s="121"/>
      <c r="K633" s="121"/>
      <c r="L633" s="121"/>
      <c r="M633" s="121"/>
      <c r="N633" s="98"/>
      <c r="O633" s="98"/>
      <c r="P633" s="98"/>
      <c r="Q633" s="98"/>
      <c r="R633" s="98"/>
      <c r="S633" s="98"/>
      <c r="T633" s="98"/>
      <c r="Z633"/>
      <c r="AC633"/>
      <c r="AH633"/>
      <c r="AL633" s="72"/>
    </row>
    <row r="634" spans="2:38" ht="12.9" customHeight="1">
      <c r="B634" s="75"/>
      <c r="C634" s="75"/>
      <c r="D634" s="75"/>
      <c r="E634" s="75"/>
      <c r="F634" s="73"/>
      <c r="G634" s="73"/>
      <c r="H634" s="74"/>
      <c r="I634" s="121"/>
      <c r="J634" s="121"/>
      <c r="K634" s="121"/>
      <c r="L634" s="121"/>
      <c r="M634" s="121"/>
      <c r="N634" s="98"/>
      <c r="O634" s="98"/>
      <c r="P634" s="98"/>
      <c r="Q634" s="98"/>
      <c r="R634" s="98"/>
      <c r="S634" s="98"/>
      <c r="T634" s="98"/>
      <c r="Z634"/>
      <c r="AC634"/>
      <c r="AH634"/>
      <c r="AL634" s="72"/>
    </row>
    <row r="635" spans="2:38" ht="12.9" customHeight="1">
      <c r="B635" s="75"/>
      <c r="C635" s="75"/>
      <c r="D635" s="75"/>
      <c r="E635" s="75"/>
      <c r="F635" s="73"/>
      <c r="G635" s="73"/>
      <c r="H635" s="74"/>
      <c r="I635" s="121"/>
      <c r="J635" s="121"/>
      <c r="K635" s="121"/>
      <c r="L635" s="121"/>
      <c r="M635" s="121"/>
      <c r="N635" s="98"/>
      <c r="O635" s="98"/>
      <c r="P635" s="98"/>
      <c r="Q635" s="98"/>
      <c r="R635" s="98"/>
      <c r="S635" s="98"/>
      <c r="T635" s="98"/>
      <c r="Z635"/>
      <c r="AC635"/>
      <c r="AH635"/>
      <c r="AL635" s="72"/>
    </row>
    <row r="636" spans="2:38" ht="12.9" customHeight="1">
      <c r="B636" s="75"/>
      <c r="C636" s="75"/>
      <c r="D636" s="75"/>
      <c r="E636" s="75"/>
      <c r="F636" s="73"/>
      <c r="G636" s="73"/>
      <c r="H636" s="74"/>
      <c r="I636" s="121"/>
      <c r="J636" s="121"/>
      <c r="K636" s="121"/>
      <c r="L636" s="121"/>
      <c r="M636" s="121"/>
      <c r="N636" s="98"/>
      <c r="O636" s="98"/>
      <c r="P636" s="98"/>
      <c r="Q636" s="98"/>
      <c r="R636" s="98"/>
      <c r="S636" s="98"/>
      <c r="T636" s="98"/>
      <c r="Z636"/>
      <c r="AC636"/>
      <c r="AH636"/>
      <c r="AL636" s="72"/>
    </row>
    <row r="637" spans="2:38" ht="12.9" customHeight="1">
      <c r="B637" s="75"/>
      <c r="C637" s="75"/>
      <c r="D637" s="75"/>
      <c r="E637" s="75"/>
      <c r="F637" s="73"/>
      <c r="G637" s="73"/>
      <c r="H637" s="74"/>
      <c r="I637" s="121"/>
      <c r="J637" s="121"/>
      <c r="K637" s="121"/>
      <c r="L637" s="121"/>
      <c r="M637" s="121"/>
      <c r="N637" s="98"/>
      <c r="O637" s="98"/>
      <c r="P637" s="98"/>
      <c r="Q637" s="98"/>
      <c r="R637" s="98"/>
      <c r="S637" s="98"/>
      <c r="T637" s="98"/>
      <c r="Z637"/>
      <c r="AC637"/>
      <c r="AH637"/>
      <c r="AL637" s="72"/>
    </row>
    <row r="638" spans="2:38" ht="12.9" customHeight="1">
      <c r="B638" s="75"/>
      <c r="C638" s="75"/>
      <c r="D638" s="75"/>
      <c r="E638" s="75"/>
      <c r="F638" s="73"/>
      <c r="G638" s="73"/>
      <c r="H638" s="74"/>
      <c r="I638" s="121"/>
      <c r="J638" s="121"/>
      <c r="K638" s="121"/>
      <c r="L638" s="121"/>
      <c r="M638" s="121"/>
      <c r="N638" s="98"/>
      <c r="O638" s="98"/>
      <c r="P638" s="98"/>
      <c r="Q638" s="98"/>
      <c r="R638" s="98"/>
      <c r="S638" s="98"/>
      <c r="T638" s="98"/>
      <c r="Z638"/>
      <c r="AC638"/>
      <c r="AH638"/>
      <c r="AL638" s="72"/>
    </row>
    <row r="639" spans="2:38" ht="12.9" customHeight="1">
      <c r="B639" s="75"/>
      <c r="C639" s="75"/>
      <c r="D639" s="75"/>
      <c r="E639" s="75"/>
      <c r="F639" s="73"/>
      <c r="G639" s="73"/>
      <c r="H639" s="74"/>
      <c r="I639" s="121"/>
      <c r="J639" s="121"/>
      <c r="K639" s="121"/>
      <c r="L639" s="121"/>
      <c r="M639" s="121"/>
      <c r="N639" s="98"/>
      <c r="O639" s="98"/>
      <c r="P639" s="98"/>
      <c r="Q639" s="98"/>
      <c r="R639" s="98"/>
      <c r="S639" s="98"/>
      <c r="T639" s="98"/>
      <c r="Z639"/>
      <c r="AC639"/>
      <c r="AH639"/>
      <c r="AL639" s="72"/>
    </row>
    <row r="640" spans="2:38" ht="12.9" customHeight="1">
      <c r="B640" s="75"/>
      <c r="C640" s="75"/>
      <c r="D640" s="75"/>
      <c r="E640" s="75"/>
      <c r="F640" s="73"/>
      <c r="G640" s="73"/>
      <c r="H640" s="74"/>
      <c r="I640" s="121"/>
      <c r="J640" s="121"/>
      <c r="K640" s="121"/>
      <c r="L640" s="121"/>
      <c r="M640" s="121"/>
      <c r="N640" s="98"/>
      <c r="O640" s="98"/>
      <c r="P640" s="98"/>
      <c r="Q640" s="98"/>
      <c r="R640" s="98"/>
      <c r="S640" s="98"/>
      <c r="T640" s="98"/>
      <c r="Z640"/>
      <c r="AC640"/>
      <c r="AH640"/>
      <c r="AL640" s="72"/>
    </row>
    <row r="641" spans="2:38" ht="12.9" customHeight="1">
      <c r="B641" s="75"/>
      <c r="C641" s="75"/>
      <c r="D641" s="75"/>
      <c r="E641" s="75"/>
      <c r="F641" s="73"/>
      <c r="G641" s="73"/>
      <c r="H641" s="74"/>
      <c r="I641" s="121"/>
      <c r="J641" s="121"/>
      <c r="K641" s="121"/>
      <c r="L641" s="121"/>
      <c r="M641" s="121"/>
      <c r="N641" s="98"/>
      <c r="O641" s="98"/>
      <c r="P641" s="98"/>
      <c r="Q641" s="98"/>
      <c r="R641" s="98"/>
      <c r="S641" s="98"/>
      <c r="T641" s="98"/>
      <c r="Z641"/>
      <c r="AC641"/>
      <c r="AH641"/>
      <c r="AL641" s="72"/>
    </row>
    <row r="642" spans="2:38" ht="12.9" customHeight="1">
      <c r="B642" s="75"/>
      <c r="C642" s="75"/>
      <c r="D642" s="75"/>
      <c r="E642" s="75"/>
      <c r="F642" s="73"/>
      <c r="G642" s="73"/>
      <c r="H642" s="74"/>
      <c r="I642" s="121"/>
      <c r="J642" s="121"/>
      <c r="K642" s="121"/>
      <c r="L642" s="121"/>
      <c r="M642" s="121"/>
      <c r="N642" s="98"/>
      <c r="O642" s="98"/>
      <c r="P642" s="98"/>
      <c r="Q642" s="98"/>
      <c r="R642" s="98"/>
      <c r="S642" s="98"/>
      <c r="T642" s="98"/>
      <c r="Z642"/>
      <c r="AC642"/>
      <c r="AH642"/>
      <c r="AL642" s="72"/>
    </row>
    <row r="643" spans="2:38" ht="12.9" customHeight="1">
      <c r="B643" s="75"/>
      <c r="C643" s="75"/>
      <c r="D643" s="75"/>
      <c r="E643" s="75"/>
      <c r="F643" s="73"/>
      <c r="G643" s="73"/>
      <c r="H643" s="74"/>
      <c r="I643" s="121"/>
      <c r="J643" s="121"/>
      <c r="K643" s="121"/>
      <c r="L643" s="121"/>
      <c r="M643" s="121"/>
      <c r="N643" s="99"/>
      <c r="O643" s="99"/>
      <c r="P643" s="99"/>
      <c r="Q643" s="99"/>
      <c r="R643" s="99"/>
      <c r="S643" s="99"/>
      <c r="T643" s="99"/>
      <c r="Z643"/>
      <c r="AC643"/>
      <c r="AH643"/>
      <c r="AL643" s="72"/>
    </row>
    <row r="644" spans="2:38" ht="12.9" customHeight="1">
      <c r="B644" s="75"/>
      <c r="C644" s="75"/>
      <c r="D644" s="75"/>
      <c r="E644" s="75"/>
      <c r="F644" s="73"/>
      <c r="G644" s="73"/>
      <c r="H644" s="74"/>
      <c r="I644" s="121"/>
      <c r="J644" s="121"/>
      <c r="K644" s="121"/>
      <c r="L644" s="121"/>
      <c r="M644" s="121"/>
      <c r="N644" s="98"/>
      <c r="O644" s="98"/>
      <c r="P644" s="98"/>
      <c r="Q644" s="98"/>
      <c r="R644" s="98"/>
      <c r="S644" s="98"/>
      <c r="T644" s="98"/>
      <c r="Z644"/>
      <c r="AC644"/>
      <c r="AH644"/>
      <c r="AL644" s="72"/>
    </row>
    <row r="645" spans="2:38" ht="12.9" customHeight="1">
      <c r="B645" s="75"/>
      <c r="C645" s="75"/>
      <c r="D645" s="75"/>
      <c r="E645" s="75"/>
      <c r="F645" s="73"/>
      <c r="G645" s="73"/>
      <c r="H645" s="74"/>
      <c r="I645" s="121"/>
      <c r="J645" s="121"/>
      <c r="K645" s="121"/>
      <c r="L645" s="121"/>
      <c r="M645" s="121"/>
      <c r="N645" s="98"/>
      <c r="O645" s="98"/>
      <c r="P645" s="98"/>
      <c r="Q645" s="98"/>
      <c r="R645" s="98"/>
      <c r="S645" s="98"/>
      <c r="T645" s="98"/>
      <c r="Z645"/>
      <c r="AC645"/>
      <c r="AH645"/>
      <c r="AL645" s="72"/>
    </row>
    <row r="646" spans="2:38" ht="12.9" customHeight="1">
      <c r="B646" s="75"/>
      <c r="C646" s="75"/>
      <c r="D646" s="75"/>
      <c r="E646" s="75"/>
      <c r="F646" s="73"/>
      <c r="G646" s="73"/>
      <c r="H646" s="74"/>
      <c r="I646" s="121"/>
      <c r="J646" s="121"/>
      <c r="K646" s="121"/>
      <c r="L646" s="121"/>
      <c r="M646" s="121"/>
      <c r="N646" s="98"/>
      <c r="O646" s="98"/>
      <c r="P646" s="98"/>
      <c r="Q646" s="98"/>
      <c r="R646" s="98"/>
      <c r="S646" s="98"/>
      <c r="T646" s="98"/>
      <c r="Z646"/>
      <c r="AC646"/>
      <c r="AH646"/>
      <c r="AL646" s="72"/>
    </row>
    <row r="647" spans="2:38" ht="12.9" customHeight="1">
      <c r="B647" s="75"/>
      <c r="C647" s="75"/>
      <c r="D647" s="75"/>
      <c r="E647" s="75"/>
      <c r="F647" s="73"/>
      <c r="G647" s="73"/>
      <c r="H647" s="74"/>
      <c r="I647" s="121"/>
      <c r="J647" s="121"/>
      <c r="K647" s="121"/>
      <c r="L647" s="121"/>
      <c r="M647" s="121"/>
      <c r="N647" s="99"/>
      <c r="O647" s="99"/>
      <c r="P647" s="99"/>
      <c r="Q647" s="99"/>
      <c r="R647" s="99"/>
      <c r="S647" s="99"/>
      <c r="T647" s="99"/>
      <c r="Z647"/>
      <c r="AC647"/>
      <c r="AH647"/>
      <c r="AL647" s="72"/>
    </row>
    <row r="648" spans="2:38" ht="12.9" customHeight="1">
      <c r="B648" s="75"/>
      <c r="C648" s="75"/>
      <c r="D648" s="75"/>
      <c r="E648" s="75"/>
      <c r="F648" s="73"/>
      <c r="G648" s="73"/>
      <c r="H648" s="74"/>
      <c r="I648" s="121"/>
      <c r="J648" s="121"/>
      <c r="K648" s="121"/>
      <c r="L648" s="121"/>
      <c r="M648" s="121"/>
      <c r="N648" s="99"/>
      <c r="O648" s="99"/>
      <c r="P648" s="99"/>
      <c r="Q648" s="99"/>
      <c r="R648" s="99"/>
      <c r="S648" s="99"/>
      <c r="T648" s="99"/>
      <c r="Z648"/>
      <c r="AC648"/>
      <c r="AH648"/>
      <c r="AL648" s="76"/>
    </row>
    <row r="649" spans="2:38" ht="12.9" customHeight="1">
      <c r="B649" s="75"/>
      <c r="C649" s="75"/>
      <c r="D649" s="75"/>
      <c r="E649" s="75"/>
      <c r="F649" s="73"/>
      <c r="G649" s="73"/>
      <c r="H649" s="74"/>
      <c r="I649" s="121"/>
      <c r="J649" s="121"/>
      <c r="K649" s="121"/>
      <c r="L649" s="121"/>
      <c r="M649" s="121"/>
      <c r="N649" s="98"/>
      <c r="O649" s="98"/>
      <c r="P649" s="98"/>
      <c r="Q649" s="98"/>
      <c r="R649" s="98"/>
      <c r="S649" s="98"/>
      <c r="T649" s="98"/>
      <c r="Z649"/>
      <c r="AC649"/>
      <c r="AH649"/>
      <c r="AL649" s="72"/>
    </row>
    <row r="650" spans="2:38" ht="12.9" customHeight="1">
      <c r="B650" s="75"/>
      <c r="C650" s="75"/>
      <c r="D650" s="75"/>
      <c r="E650" s="75"/>
      <c r="F650" s="73"/>
      <c r="G650" s="73"/>
      <c r="H650" s="74"/>
      <c r="I650" s="121"/>
      <c r="J650" s="121"/>
      <c r="K650" s="121"/>
      <c r="L650" s="121"/>
      <c r="M650" s="121"/>
      <c r="N650" s="98"/>
      <c r="O650" s="98"/>
      <c r="P650" s="98"/>
      <c r="Q650" s="98"/>
      <c r="R650" s="98"/>
      <c r="S650" s="98"/>
      <c r="T650" s="98"/>
      <c r="Z650"/>
      <c r="AC650"/>
      <c r="AH650"/>
      <c r="AL650" s="76"/>
    </row>
    <row r="651" spans="2:38" ht="12.9" customHeight="1">
      <c r="B651" s="75"/>
      <c r="C651" s="75"/>
      <c r="D651" s="75"/>
      <c r="E651" s="75"/>
      <c r="F651" s="73"/>
      <c r="G651" s="73"/>
      <c r="H651" s="74"/>
      <c r="I651" s="121"/>
      <c r="J651" s="121"/>
      <c r="K651" s="121"/>
      <c r="L651" s="121"/>
      <c r="M651" s="121"/>
      <c r="N651" s="98"/>
      <c r="O651" s="98"/>
      <c r="P651" s="98"/>
      <c r="Q651" s="98"/>
      <c r="R651" s="98"/>
      <c r="S651" s="98"/>
      <c r="T651" s="98"/>
      <c r="Z651"/>
      <c r="AC651"/>
      <c r="AH651"/>
      <c r="AL651" s="72"/>
    </row>
    <row r="652" spans="2:38" ht="12.9" customHeight="1">
      <c r="B652" s="75"/>
      <c r="C652" s="75"/>
      <c r="D652" s="75"/>
      <c r="E652" s="75"/>
      <c r="F652" s="73"/>
      <c r="G652" s="73"/>
      <c r="H652" s="74"/>
      <c r="I652" s="121"/>
      <c r="J652" s="121"/>
      <c r="K652" s="121"/>
      <c r="L652" s="121"/>
      <c r="M652" s="121"/>
      <c r="N652" s="98"/>
      <c r="O652" s="98"/>
      <c r="P652" s="98"/>
      <c r="Q652" s="98"/>
      <c r="R652" s="98"/>
      <c r="S652" s="98"/>
      <c r="T652" s="98"/>
      <c r="Z652"/>
      <c r="AC652"/>
      <c r="AH652"/>
      <c r="AL652" s="72"/>
    </row>
    <row r="653" spans="2:38" ht="12.9" customHeight="1">
      <c r="B653" s="75"/>
      <c r="C653" s="75"/>
      <c r="D653" s="75"/>
      <c r="E653" s="75"/>
      <c r="F653" s="73"/>
      <c r="G653" s="73"/>
      <c r="H653" s="74"/>
      <c r="I653" s="121"/>
      <c r="J653" s="121"/>
      <c r="K653" s="121"/>
      <c r="L653" s="121"/>
      <c r="M653" s="121"/>
      <c r="N653" s="99"/>
      <c r="O653" s="99"/>
      <c r="P653" s="99"/>
      <c r="Q653" s="99"/>
      <c r="R653" s="99"/>
      <c r="S653" s="99"/>
      <c r="T653" s="99"/>
      <c r="Z653"/>
      <c r="AC653"/>
      <c r="AH653"/>
      <c r="AL653" s="72"/>
    </row>
    <row r="654" spans="2:38" ht="12.9" customHeight="1">
      <c r="B654" s="75"/>
      <c r="C654" s="75"/>
      <c r="D654" s="75"/>
      <c r="E654" s="75"/>
      <c r="F654" s="73"/>
      <c r="G654" s="73"/>
      <c r="H654" s="74"/>
      <c r="I654" s="121"/>
      <c r="J654" s="121"/>
      <c r="K654" s="121"/>
      <c r="L654" s="121"/>
      <c r="M654" s="121"/>
      <c r="N654" s="98"/>
      <c r="O654" s="98"/>
      <c r="P654" s="98"/>
      <c r="Q654" s="98"/>
      <c r="R654" s="98"/>
      <c r="S654" s="98"/>
      <c r="T654" s="98"/>
      <c r="Z654"/>
      <c r="AC654"/>
      <c r="AH654"/>
      <c r="AL654" s="72"/>
    </row>
    <row r="655" spans="2:38" ht="12.9" customHeight="1">
      <c r="B655" s="75"/>
      <c r="C655" s="75"/>
      <c r="D655" s="75"/>
      <c r="E655" s="75"/>
      <c r="F655" s="73"/>
      <c r="G655" s="73"/>
      <c r="H655" s="74"/>
      <c r="I655" s="121"/>
      <c r="J655" s="121"/>
      <c r="K655" s="121"/>
      <c r="L655" s="121"/>
      <c r="M655" s="121"/>
      <c r="N655" s="98"/>
      <c r="O655" s="98"/>
      <c r="P655" s="98"/>
      <c r="Q655" s="98"/>
      <c r="R655" s="98"/>
      <c r="S655" s="98"/>
      <c r="T655" s="98"/>
      <c r="Z655"/>
      <c r="AC655"/>
      <c r="AH655"/>
      <c r="AL655" s="72"/>
    </row>
    <row r="656" spans="2:38" ht="12.9" customHeight="1">
      <c r="B656" s="75"/>
      <c r="C656" s="75"/>
      <c r="D656" s="75"/>
      <c r="E656" s="75"/>
      <c r="F656" s="73"/>
      <c r="G656" s="73"/>
      <c r="H656" s="74"/>
      <c r="I656" s="121"/>
      <c r="J656" s="121"/>
      <c r="K656" s="121"/>
      <c r="L656" s="121"/>
      <c r="M656" s="121"/>
      <c r="N656" s="98"/>
      <c r="O656" s="98"/>
      <c r="P656" s="98"/>
      <c r="Q656" s="98"/>
      <c r="R656" s="98"/>
      <c r="S656" s="98"/>
      <c r="T656" s="98"/>
      <c r="Z656"/>
      <c r="AC656"/>
      <c r="AH656"/>
      <c r="AL656" s="72"/>
    </row>
    <row r="657" spans="2:38" ht="12.9" customHeight="1">
      <c r="B657" s="75"/>
      <c r="C657" s="75"/>
      <c r="D657" s="75"/>
      <c r="E657" s="75"/>
      <c r="F657" s="73"/>
      <c r="G657" s="73"/>
      <c r="H657" s="74"/>
      <c r="I657" s="121"/>
      <c r="J657" s="121"/>
      <c r="K657" s="121"/>
      <c r="L657" s="121"/>
      <c r="M657" s="121"/>
      <c r="N657" s="98"/>
      <c r="O657" s="98"/>
      <c r="P657" s="98"/>
      <c r="Q657" s="98"/>
      <c r="R657" s="98"/>
      <c r="S657" s="98"/>
      <c r="T657" s="98"/>
      <c r="Z657"/>
      <c r="AC657"/>
      <c r="AH657"/>
      <c r="AL657" s="72"/>
    </row>
    <row r="658" spans="2:38" ht="12.9" customHeight="1">
      <c r="B658" s="75"/>
      <c r="C658" s="75"/>
      <c r="D658" s="75"/>
      <c r="E658" s="75"/>
      <c r="F658" s="73"/>
      <c r="G658" s="73"/>
      <c r="H658" s="74"/>
      <c r="I658" s="121"/>
      <c r="J658" s="121"/>
      <c r="K658" s="121"/>
      <c r="L658" s="121"/>
      <c r="M658" s="121"/>
      <c r="N658" s="99"/>
      <c r="O658" s="99"/>
      <c r="P658" s="99"/>
      <c r="Q658" s="99"/>
      <c r="R658" s="99"/>
      <c r="S658" s="99"/>
      <c r="T658" s="99"/>
      <c r="Z658"/>
      <c r="AC658"/>
      <c r="AH658"/>
      <c r="AL658" s="72"/>
    </row>
    <row r="659" spans="2:38" ht="12.9" customHeight="1">
      <c r="B659" s="75"/>
      <c r="C659" s="75"/>
      <c r="D659" s="75"/>
      <c r="E659" s="75"/>
      <c r="F659" s="73"/>
      <c r="G659" s="73"/>
      <c r="H659" s="74"/>
      <c r="I659" s="121"/>
      <c r="J659" s="121"/>
      <c r="K659" s="121"/>
      <c r="L659" s="121"/>
      <c r="M659" s="121"/>
      <c r="N659" s="99"/>
      <c r="O659" s="99"/>
      <c r="P659" s="99"/>
      <c r="Q659" s="99"/>
      <c r="R659" s="99"/>
      <c r="S659" s="99"/>
      <c r="T659" s="99"/>
      <c r="Z659"/>
      <c r="AC659"/>
      <c r="AH659"/>
      <c r="AL659" s="72"/>
    </row>
    <row r="660" spans="2:38" ht="12.9" customHeight="1">
      <c r="B660" s="75"/>
      <c r="C660" s="75"/>
      <c r="D660" s="75"/>
      <c r="E660" s="75"/>
      <c r="F660" s="73"/>
      <c r="G660" s="73"/>
      <c r="H660" s="74"/>
      <c r="I660" s="121"/>
      <c r="J660" s="121"/>
      <c r="K660" s="121"/>
      <c r="L660" s="121"/>
      <c r="M660" s="121"/>
      <c r="N660" s="98"/>
      <c r="O660" s="98"/>
      <c r="P660" s="98"/>
      <c r="Q660" s="98"/>
      <c r="R660" s="98"/>
      <c r="S660" s="98"/>
      <c r="T660" s="98"/>
      <c r="Z660"/>
      <c r="AC660"/>
      <c r="AH660"/>
      <c r="AL660" s="72"/>
    </row>
    <row r="661" spans="2:38" ht="12.9" customHeight="1">
      <c r="B661" s="75"/>
      <c r="C661" s="75"/>
      <c r="D661" s="75"/>
      <c r="E661" s="75"/>
      <c r="F661" s="73"/>
      <c r="G661" s="73"/>
      <c r="H661" s="74"/>
      <c r="I661" s="121"/>
      <c r="J661" s="121"/>
      <c r="K661" s="121"/>
      <c r="L661" s="121"/>
      <c r="M661" s="121"/>
      <c r="N661" s="98"/>
      <c r="O661" s="98"/>
      <c r="P661" s="98"/>
      <c r="Q661" s="98"/>
      <c r="R661" s="98"/>
      <c r="S661" s="98"/>
      <c r="T661" s="98"/>
      <c r="Z661"/>
      <c r="AC661"/>
      <c r="AH661"/>
      <c r="AL661" s="72"/>
    </row>
    <row r="662" spans="2:38" ht="12.9" customHeight="1">
      <c r="B662" s="75"/>
      <c r="C662" s="75"/>
      <c r="D662" s="75"/>
      <c r="E662" s="75"/>
      <c r="F662" s="73"/>
      <c r="G662" s="73"/>
      <c r="H662" s="74"/>
      <c r="I662" s="121"/>
      <c r="J662" s="121"/>
      <c r="K662" s="121"/>
      <c r="L662" s="121"/>
      <c r="M662" s="121"/>
      <c r="N662" s="98"/>
      <c r="O662" s="98"/>
      <c r="P662" s="98"/>
      <c r="Q662" s="98"/>
      <c r="R662" s="98"/>
      <c r="S662" s="98"/>
      <c r="T662" s="98"/>
      <c r="Z662"/>
      <c r="AC662"/>
      <c r="AH662"/>
      <c r="AL662" s="72"/>
    </row>
    <row r="663" spans="2:38" ht="12.9" customHeight="1">
      <c r="B663" s="75"/>
      <c r="C663" s="75"/>
      <c r="D663" s="75"/>
      <c r="E663" s="75"/>
      <c r="F663" s="73"/>
      <c r="G663" s="73"/>
      <c r="H663" s="74"/>
      <c r="I663" s="121"/>
      <c r="J663" s="121"/>
      <c r="K663" s="121"/>
      <c r="L663" s="121"/>
      <c r="M663" s="121"/>
      <c r="N663" s="98"/>
      <c r="O663" s="98"/>
      <c r="P663" s="98"/>
      <c r="Q663" s="98"/>
      <c r="R663" s="98"/>
      <c r="S663" s="98"/>
      <c r="T663" s="98"/>
      <c r="Z663"/>
      <c r="AC663"/>
      <c r="AH663"/>
      <c r="AL663" s="72"/>
    </row>
    <row r="664" spans="2:38" ht="12.9" customHeight="1">
      <c r="B664" s="75"/>
      <c r="C664" s="75"/>
      <c r="D664" s="75"/>
      <c r="E664" s="75"/>
      <c r="F664" s="73"/>
      <c r="G664" s="73"/>
      <c r="H664" s="74"/>
      <c r="I664" s="121"/>
      <c r="J664" s="121"/>
      <c r="K664" s="121"/>
      <c r="L664" s="121"/>
      <c r="M664" s="121"/>
      <c r="N664" s="98"/>
      <c r="O664" s="98"/>
      <c r="P664" s="98"/>
      <c r="Q664" s="98"/>
      <c r="R664" s="98"/>
      <c r="S664" s="98"/>
      <c r="T664" s="98"/>
      <c r="Z664"/>
      <c r="AC664"/>
      <c r="AH664"/>
      <c r="AL664" s="72"/>
    </row>
    <row r="665" spans="2:38" ht="12.9" customHeight="1">
      <c r="B665" s="75"/>
      <c r="C665" s="75"/>
      <c r="D665" s="75"/>
      <c r="E665" s="75"/>
      <c r="F665" s="73"/>
      <c r="G665" s="73"/>
      <c r="H665" s="74"/>
      <c r="I665" s="121"/>
      <c r="J665" s="121"/>
      <c r="K665" s="121"/>
      <c r="L665" s="121"/>
      <c r="M665" s="121"/>
      <c r="N665" s="98"/>
      <c r="O665" s="98"/>
      <c r="P665" s="98"/>
      <c r="Q665" s="98"/>
      <c r="R665" s="98"/>
      <c r="S665" s="98"/>
      <c r="T665" s="98"/>
      <c r="Z665"/>
      <c r="AC665"/>
      <c r="AH665"/>
      <c r="AL665" s="72"/>
    </row>
    <row r="666" spans="2:38" ht="12.9" customHeight="1">
      <c r="B666" s="75"/>
      <c r="C666" s="75"/>
      <c r="D666" s="75"/>
      <c r="E666" s="75"/>
      <c r="F666" s="73"/>
      <c r="G666" s="73"/>
      <c r="H666" s="74"/>
      <c r="I666" s="121"/>
      <c r="J666" s="121"/>
      <c r="K666" s="121"/>
      <c r="L666" s="121"/>
      <c r="M666" s="121"/>
      <c r="N666" s="98"/>
      <c r="O666" s="98"/>
      <c r="P666" s="98"/>
      <c r="Q666" s="98"/>
      <c r="R666" s="98"/>
      <c r="S666" s="98"/>
      <c r="T666" s="98"/>
      <c r="Z666"/>
      <c r="AC666"/>
      <c r="AH666"/>
      <c r="AL666" s="72"/>
    </row>
    <row r="667" spans="2:38" ht="12.9" customHeight="1">
      <c r="B667" s="75"/>
      <c r="C667" s="75"/>
      <c r="D667" s="75"/>
      <c r="E667" s="75"/>
      <c r="F667" s="73"/>
      <c r="G667" s="73"/>
      <c r="H667" s="74"/>
      <c r="I667" s="121"/>
      <c r="J667" s="121"/>
      <c r="K667" s="121"/>
      <c r="L667" s="121"/>
      <c r="M667" s="121"/>
      <c r="N667" s="98"/>
      <c r="O667" s="98"/>
      <c r="P667" s="98"/>
      <c r="Q667" s="98"/>
      <c r="R667" s="98"/>
      <c r="S667" s="98"/>
      <c r="T667" s="98"/>
      <c r="Z667"/>
      <c r="AC667"/>
      <c r="AH667"/>
      <c r="AL667" s="72"/>
    </row>
    <row r="668" spans="2:38" ht="12.9" customHeight="1">
      <c r="B668" s="75"/>
      <c r="C668" s="75"/>
      <c r="D668" s="75"/>
      <c r="E668" s="75"/>
      <c r="F668" s="73"/>
      <c r="G668" s="73"/>
      <c r="H668" s="74"/>
      <c r="I668" s="121"/>
      <c r="J668" s="121"/>
      <c r="K668" s="121"/>
      <c r="L668" s="121"/>
      <c r="M668" s="121"/>
      <c r="N668" s="98"/>
      <c r="O668" s="98"/>
      <c r="P668" s="98"/>
      <c r="Q668" s="98"/>
      <c r="R668" s="98"/>
      <c r="S668" s="98"/>
      <c r="T668" s="98"/>
      <c r="Z668"/>
      <c r="AC668"/>
      <c r="AH668"/>
      <c r="AL668" s="72"/>
    </row>
    <row r="669" spans="2:38" ht="12.9" customHeight="1">
      <c r="B669" s="75"/>
      <c r="C669" s="75"/>
      <c r="D669" s="75"/>
      <c r="E669" s="75"/>
      <c r="F669" s="73"/>
      <c r="G669" s="73"/>
      <c r="H669" s="74"/>
      <c r="I669" s="121"/>
      <c r="J669" s="121"/>
      <c r="K669" s="121"/>
      <c r="L669" s="121"/>
      <c r="M669" s="121"/>
      <c r="N669" s="98"/>
      <c r="O669" s="98"/>
      <c r="P669" s="98"/>
      <c r="Q669" s="98"/>
      <c r="R669" s="98"/>
      <c r="S669" s="98"/>
      <c r="T669" s="98"/>
      <c r="Z669"/>
      <c r="AC669"/>
      <c r="AH669"/>
      <c r="AL669" s="72"/>
    </row>
    <row r="670" spans="2:38" ht="12.9" customHeight="1">
      <c r="B670" s="75"/>
      <c r="C670" s="75"/>
      <c r="D670" s="75"/>
      <c r="E670" s="75"/>
      <c r="F670" s="73"/>
      <c r="G670" s="73"/>
      <c r="H670" s="74"/>
      <c r="I670" s="121"/>
      <c r="J670" s="121"/>
      <c r="K670" s="121"/>
      <c r="L670" s="121"/>
      <c r="M670" s="121"/>
      <c r="N670" s="98"/>
      <c r="O670" s="98"/>
      <c r="P670" s="98"/>
      <c r="Q670" s="98"/>
      <c r="R670" s="98"/>
      <c r="S670" s="98"/>
      <c r="T670" s="98"/>
      <c r="Z670"/>
      <c r="AC670"/>
      <c r="AH670"/>
      <c r="AL670" s="72"/>
    </row>
    <row r="671" spans="2:38" ht="12.9" customHeight="1">
      <c r="B671" s="75"/>
      <c r="C671" s="75"/>
      <c r="D671" s="75"/>
      <c r="E671" s="75"/>
      <c r="F671" s="73"/>
      <c r="G671" s="73"/>
      <c r="H671" s="74"/>
      <c r="I671" s="121"/>
      <c r="J671" s="121"/>
      <c r="K671" s="121"/>
      <c r="L671" s="121"/>
      <c r="M671" s="121"/>
      <c r="N671" s="98"/>
      <c r="O671" s="98"/>
      <c r="P671" s="98"/>
      <c r="Q671" s="98"/>
      <c r="R671" s="98"/>
      <c r="S671" s="98"/>
      <c r="T671" s="98"/>
      <c r="Z671"/>
      <c r="AC671"/>
      <c r="AH671"/>
      <c r="AL671" s="72"/>
    </row>
    <row r="672" spans="2:38" ht="12.9" customHeight="1">
      <c r="B672" s="75"/>
      <c r="C672" s="75"/>
      <c r="D672" s="75"/>
      <c r="E672" s="75"/>
      <c r="F672" s="73"/>
      <c r="G672" s="73"/>
      <c r="H672" s="74"/>
      <c r="I672" s="121"/>
      <c r="J672" s="121"/>
      <c r="K672" s="121"/>
      <c r="L672" s="121"/>
      <c r="M672" s="121"/>
      <c r="N672" s="98"/>
      <c r="O672" s="98"/>
      <c r="P672" s="98"/>
      <c r="Q672" s="98"/>
      <c r="R672" s="98"/>
      <c r="S672" s="98"/>
      <c r="T672" s="98"/>
      <c r="Z672"/>
      <c r="AC672"/>
      <c r="AH672"/>
      <c r="AL672" s="72"/>
    </row>
    <row r="673" spans="2:38" ht="12.9" customHeight="1">
      <c r="B673" s="75"/>
      <c r="C673" s="75"/>
      <c r="D673" s="75"/>
      <c r="E673" s="75"/>
      <c r="F673" s="73"/>
      <c r="G673" s="73"/>
      <c r="H673" s="74"/>
      <c r="I673" s="121"/>
      <c r="J673" s="121"/>
      <c r="K673" s="121"/>
      <c r="L673" s="121"/>
      <c r="M673" s="121"/>
      <c r="N673" s="98"/>
      <c r="O673" s="98"/>
      <c r="P673" s="98"/>
      <c r="Q673" s="98"/>
      <c r="R673" s="98"/>
      <c r="S673" s="98"/>
      <c r="T673" s="98"/>
      <c r="Z673"/>
      <c r="AC673"/>
      <c r="AH673"/>
      <c r="AL673" s="72"/>
    </row>
    <row r="674" spans="2:38" ht="12.9" customHeight="1">
      <c r="B674" s="75"/>
      <c r="C674" s="75"/>
      <c r="D674" s="75"/>
      <c r="E674" s="75"/>
      <c r="F674" s="73"/>
      <c r="G674" s="73"/>
      <c r="H674" s="74"/>
      <c r="I674" s="121"/>
      <c r="J674" s="121"/>
      <c r="K674" s="121"/>
      <c r="L674" s="121"/>
      <c r="M674" s="121"/>
      <c r="N674" s="98"/>
      <c r="O674" s="98"/>
      <c r="P674" s="98"/>
      <c r="Q674" s="98"/>
      <c r="R674" s="98"/>
      <c r="S674" s="98"/>
      <c r="T674" s="98"/>
      <c r="Z674"/>
      <c r="AC674"/>
      <c r="AH674"/>
      <c r="AL674" s="72"/>
    </row>
    <row r="675" spans="2:38" ht="12.9" customHeight="1">
      <c r="B675" s="75"/>
      <c r="C675" s="75"/>
      <c r="D675" s="75"/>
      <c r="E675" s="75"/>
      <c r="F675" s="73"/>
      <c r="G675" s="73"/>
      <c r="H675" s="74"/>
      <c r="I675" s="121"/>
      <c r="J675" s="121"/>
      <c r="K675" s="121"/>
      <c r="L675" s="121"/>
      <c r="M675" s="121"/>
      <c r="N675" s="98"/>
      <c r="O675" s="98"/>
      <c r="P675" s="98"/>
      <c r="Q675" s="98"/>
      <c r="R675" s="98"/>
      <c r="S675" s="98"/>
      <c r="T675" s="98"/>
      <c r="Z675"/>
      <c r="AC675"/>
      <c r="AH675"/>
      <c r="AL675" s="72"/>
    </row>
    <row r="676" spans="2:38" ht="12.9" customHeight="1">
      <c r="B676" s="75"/>
      <c r="C676" s="75"/>
      <c r="D676" s="75"/>
      <c r="E676" s="75"/>
      <c r="F676" s="73"/>
      <c r="G676" s="73"/>
      <c r="H676" s="74"/>
      <c r="I676" s="121"/>
      <c r="J676" s="121"/>
      <c r="K676" s="121"/>
      <c r="L676" s="121"/>
      <c r="M676" s="121"/>
      <c r="N676" s="98"/>
      <c r="O676" s="98"/>
      <c r="P676" s="98"/>
      <c r="Q676" s="98"/>
      <c r="R676" s="98"/>
      <c r="S676" s="98"/>
      <c r="T676" s="98"/>
      <c r="Z676"/>
      <c r="AC676"/>
      <c r="AH676"/>
      <c r="AL676" s="72"/>
    </row>
    <row r="677" spans="2:38" ht="12.9" customHeight="1">
      <c r="B677" s="75"/>
      <c r="C677" s="75"/>
      <c r="D677" s="75"/>
      <c r="E677" s="75"/>
      <c r="F677" s="73"/>
      <c r="G677" s="73"/>
      <c r="H677" s="74"/>
      <c r="I677" s="121"/>
      <c r="J677" s="121"/>
      <c r="K677" s="121"/>
      <c r="L677" s="121"/>
      <c r="M677" s="121"/>
      <c r="N677" s="98"/>
      <c r="O677" s="98"/>
      <c r="P677" s="98"/>
      <c r="Q677" s="98"/>
      <c r="R677" s="98"/>
      <c r="S677" s="98"/>
      <c r="T677" s="98"/>
      <c r="Z677"/>
      <c r="AC677"/>
      <c r="AH677"/>
      <c r="AL677" s="72"/>
    </row>
    <row r="678" spans="2:38" ht="12.9" customHeight="1">
      <c r="B678" s="75"/>
      <c r="C678" s="75"/>
      <c r="D678" s="75"/>
      <c r="E678" s="75"/>
      <c r="F678" s="73"/>
      <c r="G678" s="73"/>
      <c r="H678" s="74"/>
      <c r="I678" s="121"/>
      <c r="J678" s="121"/>
      <c r="K678" s="121"/>
      <c r="L678" s="121"/>
      <c r="M678" s="121"/>
      <c r="N678" s="98"/>
      <c r="O678" s="98"/>
      <c r="P678" s="98"/>
      <c r="Q678" s="98"/>
      <c r="R678" s="98"/>
      <c r="S678" s="98"/>
      <c r="T678" s="98"/>
      <c r="Z678"/>
      <c r="AC678"/>
      <c r="AH678"/>
      <c r="AL678" s="72"/>
    </row>
    <row r="679" spans="2:38" ht="12.9" customHeight="1">
      <c r="B679" s="75"/>
      <c r="C679" s="75"/>
      <c r="D679" s="75"/>
      <c r="E679" s="75"/>
      <c r="F679" s="73"/>
      <c r="G679" s="73"/>
      <c r="H679" s="74"/>
      <c r="I679" s="121"/>
      <c r="J679" s="121"/>
      <c r="K679" s="121"/>
      <c r="L679" s="121"/>
      <c r="M679" s="121"/>
      <c r="N679" s="98"/>
      <c r="O679" s="98"/>
      <c r="P679" s="98"/>
      <c r="Q679" s="98"/>
      <c r="R679" s="98"/>
      <c r="S679" s="98"/>
      <c r="T679" s="98"/>
      <c r="Z679"/>
      <c r="AC679"/>
      <c r="AH679"/>
      <c r="AL679" s="72"/>
    </row>
    <row r="680" spans="2:38" ht="12.9" customHeight="1">
      <c r="B680" s="75"/>
      <c r="C680" s="75"/>
      <c r="D680" s="75"/>
      <c r="E680" s="75"/>
      <c r="F680" s="73"/>
      <c r="G680" s="73"/>
      <c r="H680" s="74"/>
      <c r="I680" s="121"/>
      <c r="J680" s="121"/>
      <c r="K680" s="121"/>
      <c r="L680" s="121"/>
      <c r="M680" s="121"/>
      <c r="N680" s="98"/>
      <c r="O680" s="98"/>
      <c r="P680" s="98"/>
      <c r="Q680" s="98"/>
      <c r="R680" s="98"/>
      <c r="S680" s="98"/>
      <c r="T680" s="98"/>
      <c r="Z680"/>
      <c r="AC680"/>
      <c r="AH680"/>
      <c r="AL680" s="72"/>
    </row>
    <row r="681" spans="2:38" ht="12.9" customHeight="1">
      <c r="B681" s="75"/>
      <c r="C681" s="75"/>
      <c r="D681" s="75"/>
      <c r="E681" s="75"/>
      <c r="F681" s="73"/>
      <c r="G681" s="73"/>
      <c r="H681" s="74"/>
      <c r="I681" s="121"/>
      <c r="J681" s="121"/>
      <c r="K681" s="121"/>
      <c r="L681" s="121"/>
      <c r="M681" s="121"/>
      <c r="N681" s="98"/>
      <c r="O681" s="98"/>
      <c r="P681" s="98"/>
      <c r="Q681" s="98"/>
      <c r="R681" s="98"/>
      <c r="S681" s="98"/>
      <c r="T681" s="98"/>
      <c r="Z681"/>
      <c r="AC681"/>
      <c r="AH681"/>
      <c r="AL681" s="72"/>
    </row>
    <row r="682" spans="2:38" ht="12.9" customHeight="1">
      <c r="B682" s="75"/>
      <c r="C682" s="75"/>
      <c r="D682" s="75"/>
      <c r="E682" s="75"/>
      <c r="F682" s="73"/>
      <c r="G682" s="73"/>
      <c r="H682" s="74"/>
      <c r="I682" s="121"/>
      <c r="J682" s="121"/>
      <c r="K682" s="121"/>
      <c r="L682" s="121"/>
      <c r="M682" s="121"/>
      <c r="N682" s="98"/>
      <c r="O682" s="98"/>
      <c r="P682" s="98"/>
      <c r="Q682" s="98"/>
      <c r="R682" s="98"/>
      <c r="S682" s="98"/>
      <c r="T682" s="98"/>
      <c r="Z682"/>
      <c r="AC682"/>
      <c r="AH682"/>
      <c r="AL682" s="72"/>
    </row>
    <row r="683" spans="2:38" ht="12.9" customHeight="1">
      <c r="B683" s="75"/>
      <c r="C683" s="75"/>
      <c r="D683" s="75"/>
      <c r="E683" s="75"/>
      <c r="F683" s="73"/>
      <c r="G683" s="73"/>
      <c r="H683" s="74"/>
      <c r="I683" s="121"/>
      <c r="J683" s="121"/>
      <c r="K683" s="121"/>
      <c r="L683" s="121"/>
      <c r="M683" s="121"/>
      <c r="N683" s="98"/>
      <c r="O683" s="98"/>
      <c r="P683" s="98"/>
      <c r="Q683" s="98"/>
      <c r="R683" s="98"/>
      <c r="S683" s="98"/>
      <c r="T683" s="98"/>
      <c r="Z683"/>
      <c r="AC683"/>
      <c r="AH683"/>
      <c r="AL683" s="72"/>
    </row>
    <row r="684" spans="2:38" ht="12.9" customHeight="1">
      <c r="B684" s="75"/>
      <c r="C684" s="75"/>
      <c r="D684" s="75"/>
      <c r="E684" s="75"/>
      <c r="F684" s="73"/>
      <c r="G684" s="73"/>
      <c r="H684" s="74"/>
      <c r="I684" s="121"/>
      <c r="J684" s="121"/>
      <c r="K684" s="121"/>
      <c r="L684" s="121"/>
      <c r="M684" s="121"/>
      <c r="N684" s="98"/>
      <c r="O684" s="98"/>
      <c r="P684" s="98"/>
      <c r="Q684" s="98"/>
      <c r="R684" s="98"/>
      <c r="S684" s="98"/>
      <c r="T684" s="98"/>
      <c r="Z684"/>
      <c r="AC684"/>
      <c r="AH684"/>
      <c r="AL684" s="72"/>
    </row>
    <row r="685" spans="2:38" ht="12.9" customHeight="1">
      <c r="B685" s="75"/>
      <c r="C685" s="75"/>
      <c r="D685" s="75"/>
      <c r="E685" s="75"/>
      <c r="F685" s="73"/>
      <c r="G685" s="73"/>
      <c r="H685" s="74"/>
      <c r="I685" s="121"/>
      <c r="J685" s="121"/>
      <c r="K685" s="121"/>
      <c r="L685" s="121"/>
      <c r="M685" s="121"/>
      <c r="N685" s="98"/>
      <c r="O685" s="98"/>
      <c r="P685" s="98"/>
      <c r="Q685" s="98"/>
      <c r="R685" s="98"/>
      <c r="S685" s="98"/>
      <c r="T685" s="98"/>
      <c r="Z685"/>
      <c r="AC685"/>
      <c r="AH685"/>
      <c r="AL685" s="72"/>
    </row>
    <row r="686" spans="2:38" ht="12.9" customHeight="1">
      <c r="B686" s="75"/>
      <c r="C686" s="75"/>
      <c r="D686" s="75"/>
      <c r="E686" s="75"/>
      <c r="F686" s="73"/>
      <c r="G686" s="73"/>
      <c r="H686" s="74"/>
      <c r="I686" s="121"/>
      <c r="J686" s="121"/>
      <c r="K686" s="121"/>
      <c r="L686" s="121"/>
      <c r="M686" s="121"/>
      <c r="N686" s="99"/>
      <c r="O686" s="99"/>
      <c r="P686" s="99"/>
      <c r="Q686" s="99"/>
      <c r="R686" s="99"/>
      <c r="S686" s="99"/>
      <c r="T686" s="99"/>
      <c r="Z686"/>
      <c r="AC686"/>
      <c r="AH686"/>
      <c r="AL686" s="72"/>
    </row>
    <row r="687" spans="2:38" ht="12.9" customHeight="1">
      <c r="B687" s="75"/>
      <c r="C687" s="75"/>
      <c r="D687" s="75"/>
      <c r="E687" s="75"/>
      <c r="F687" s="73"/>
      <c r="G687" s="73"/>
      <c r="H687" s="74"/>
      <c r="I687" s="121"/>
      <c r="J687" s="121"/>
      <c r="K687" s="121"/>
      <c r="L687" s="121"/>
      <c r="M687" s="121"/>
      <c r="N687" s="98"/>
      <c r="O687" s="98"/>
      <c r="P687" s="98"/>
      <c r="Q687" s="98"/>
      <c r="R687" s="98"/>
      <c r="S687" s="98"/>
      <c r="T687" s="98"/>
      <c r="Z687"/>
      <c r="AC687"/>
      <c r="AH687"/>
      <c r="AL687" s="72"/>
    </row>
    <row r="688" spans="2:38" ht="12.9" customHeight="1">
      <c r="B688" s="75"/>
      <c r="C688" s="75"/>
      <c r="D688" s="75"/>
      <c r="E688" s="75"/>
      <c r="F688" s="73"/>
      <c r="G688" s="73"/>
      <c r="H688" s="74"/>
      <c r="I688" s="121"/>
      <c r="J688" s="121"/>
      <c r="K688" s="121"/>
      <c r="L688" s="121"/>
      <c r="M688" s="121"/>
      <c r="N688" s="98"/>
      <c r="O688" s="98"/>
      <c r="P688" s="98"/>
      <c r="Q688" s="98"/>
      <c r="R688" s="98"/>
      <c r="S688" s="98"/>
      <c r="T688" s="98"/>
      <c r="Z688"/>
      <c r="AC688"/>
      <c r="AH688"/>
      <c r="AL688" s="72"/>
    </row>
    <row r="689" spans="2:38" ht="12.9" customHeight="1">
      <c r="B689" s="75"/>
      <c r="C689" s="75"/>
      <c r="D689" s="75"/>
      <c r="E689" s="75"/>
      <c r="F689" s="73"/>
      <c r="G689" s="73"/>
      <c r="H689" s="74"/>
      <c r="I689" s="121"/>
      <c r="J689" s="121"/>
      <c r="K689" s="121"/>
      <c r="L689" s="121"/>
      <c r="M689" s="121"/>
      <c r="N689" s="98"/>
      <c r="O689" s="98"/>
      <c r="P689" s="98"/>
      <c r="Q689" s="98"/>
      <c r="R689" s="98"/>
      <c r="S689" s="98"/>
      <c r="T689" s="98"/>
      <c r="Z689"/>
      <c r="AC689"/>
      <c r="AH689"/>
      <c r="AL689" s="72"/>
    </row>
    <row r="690" spans="2:38" ht="12.9" customHeight="1">
      <c r="B690" s="75"/>
      <c r="C690" s="75"/>
      <c r="D690" s="75"/>
      <c r="E690" s="75"/>
      <c r="F690" s="73"/>
      <c r="G690" s="73"/>
      <c r="H690" s="74"/>
      <c r="I690" s="121"/>
      <c r="J690" s="121"/>
      <c r="K690" s="121"/>
      <c r="L690" s="121"/>
      <c r="M690" s="121"/>
      <c r="N690" s="98"/>
      <c r="O690" s="98"/>
      <c r="P690" s="98"/>
      <c r="Q690" s="98"/>
      <c r="R690" s="98"/>
      <c r="S690" s="98"/>
      <c r="T690" s="98"/>
      <c r="Z690"/>
      <c r="AC690"/>
      <c r="AH690"/>
      <c r="AL690" s="72"/>
    </row>
    <row r="691" spans="2:38" ht="12.9" customHeight="1">
      <c r="B691" s="75"/>
      <c r="C691" s="75"/>
      <c r="D691" s="75"/>
      <c r="E691" s="75"/>
      <c r="F691" s="73"/>
      <c r="G691" s="73"/>
      <c r="H691" s="74"/>
      <c r="I691" s="121"/>
      <c r="J691" s="121"/>
      <c r="K691" s="121"/>
      <c r="L691" s="121"/>
      <c r="M691" s="121"/>
      <c r="N691" s="98"/>
      <c r="O691" s="98"/>
      <c r="P691" s="98"/>
      <c r="Q691" s="98"/>
      <c r="R691" s="98"/>
      <c r="S691" s="98"/>
      <c r="T691" s="98"/>
      <c r="Z691"/>
      <c r="AC691"/>
      <c r="AH691"/>
      <c r="AL691" s="72"/>
    </row>
    <row r="692" spans="2:38" ht="12.9" customHeight="1">
      <c r="B692" s="75"/>
      <c r="C692" s="75"/>
      <c r="D692" s="75"/>
      <c r="E692" s="75"/>
      <c r="F692" s="73"/>
      <c r="G692" s="73"/>
      <c r="H692" s="74"/>
      <c r="I692" s="121"/>
      <c r="J692" s="121"/>
      <c r="K692" s="121"/>
      <c r="L692" s="121"/>
      <c r="M692" s="121"/>
      <c r="N692" s="98"/>
      <c r="O692" s="98"/>
      <c r="P692" s="98"/>
      <c r="Q692" s="98"/>
      <c r="R692" s="98"/>
      <c r="S692" s="98"/>
      <c r="T692" s="98"/>
      <c r="Z692"/>
      <c r="AC692"/>
      <c r="AH692"/>
      <c r="AL692" s="72"/>
    </row>
    <row r="693" spans="2:38" ht="12.9" customHeight="1">
      <c r="B693" s="75"/>
      <c r="C693" s="75"/>
      <c r="D693" s="75"/>
      <c r="E693" s="75"/>
      <c r="F693" s="73"/>
      <c r="G693" s="73"/>
      <c r="H693" s="74"/>
      <c r="I693" s="121"/>
      <c r="J693" s="121"/>
      <c r="K693" s="121"/>
      <c r="L693" s="121"/>
      <c r="M693" s="121"/>
      <c r="N693" s="98"/>
      <c r="O693" s="98"/>
      <c r="P693" s="98"/>
      <c r="Q693" s="98"/>
      <c r="R693" s="98"/>
      <c r="S693" s="98"/>
      <c r="T693" s="98"/>
      <c r="Z693"/>
      <c r="AC693"/>
      <c r="AH693"/>
      <c r="AL693" s="72"/>
    </row>
    <row r="694" spans="2:38" ht="12.9" customHeight="1">
      <c r="B694" s="75"/>
      <c r="C694" s="75"/>
      <c r="D694" s="75"/>
      <c r="E694" s="75"/>
      <c r="F694" s="73"/>
      <c r="G694" s="73"/>
      <c r="H694" s="74"/>
      <c r="I694" s="121"/>
      <c r="J694" s="121"/>
      <c r="K694" s="121"/>
      <c r="L694" s="121"/>
      <c r="M694" s="121"/>
      <c r="N694" s="98"/>
      <c r="O694" s="98"/>
      <c r="P694" s="98"/>
      <c r="Q694" s="98"/>
      <c r="R694" s="98"/>
      <c r="S694" s="98"/>
      <c r="T694" s="98"/>
      <c r="Z694"/>
      <c r="AC694"/>
      <c r="AH694"/>
      <c r="AL694" s="72"/>
    </row>
    <row r="695" spans="2:38" ht="12.9" customHeight="1">
      <c r="B695" s="75"/>
      <c r="C695" s="75"/>
      <c r="D695" s="75"/>
      <c r="E695" s="75"/>
      <c r="F695" s="73"/>
      <c r="G695" s="73"/>
      <c r="H695" s="74"/>
      <c r="I695" s="121"/>
      <c r="J695" s="121"/>
      <c r="K695" s="121"/>
      <c r="L695" s="121"/>
      <c r="M695" s="121"/>
      <c r="N695" s="99"/>
      <c r="O695" s="99"/>
      <c r="P695" s="99"/>
      <c r="Q695" s="99"/>
      <c r="R695" s="99"/>
      <c r="S695" s="99"/>
      <c r="T695" s="99"/>
      <c r="Z695"/>
      <c r="AC695"/>
      <c r="AH695"/>
      <c r="AL695" s="72"/>
    </row>
    <row r="696" spans="2:38" ht="12.9" customHeight="1">
      <c r="B696" s="75"/>
      <c r="C696" s="75"/>
      <c r="D696" s="75"/>
      <c r="E696" s="75"/>
      <c r="F696" s="73"/>
      <c r="G696" s="73"/>
      <c r="H696" s="74"/>
      <c r="I696" s="121"/>
      <c r="J696" s="121"/>
      <c r="K696" s="121"/>
      <c r="L696" s="121"/>
      <c r="M696" s="121"/>
      <c r="N696" s="99"/>
      <c r="O696" s="99"/>
      <c r="P696" s="99"/>
      <c r="Q696" s="99"/>
      <c r="R696" s="99"/>
      <c r="S696" s="99"/>
      <c r="T696" s="99"/>
      <c r="Z696"/>
      <c r="AC696"/>
      <c r="AH696"/>
      <c r="AL696" s="72"/>
    </row>
    <row r="697" spans="2:38" ht="12.9" customHeight="1">
      <c r="B697" s="75"/>
      <c r="C697" s="75"/>
      <c r="D697" s="75"/>
      <c r="E697" s="75"/>
      <c r="F697" s="73"/>
      <c r="G697" s="73"/>
      <c r="H697" s="74"/>
      <c r="I697" s="121"/>
      <c r="J697" s="121"/>
      <c r="K697" s="121"/>
      <c r="L697" s="121"/>
      <c r="M697" s="121"/>
      <c r="N697" s="99"/>
      <c r="O697" s="99"/>
      <c r="P697" s="99"/>
      <c r="Q697" s="99"/>
      <c r="R697" s="99"/>
      <c r="S697" s="99"/>
      <c r="T697" s="99"/>
      <c r="Z697"/>
      <c r="AC697"/>
      <c r="AH697"/>
      <c r="AL697" s="72"/>
    </row>
    <row r="698" spans="2:38" ht="12.9" customHeight="1">
      <c r="B698" s="75"/>
      <c r="C698" s="75"/>
      <c r="D698" s="75"/>
      <c r="E698" s="75"/>
      <c r="F698" s="73"/>
      <c r="G698" s="73"/>
      <c r="H698" s="74"/>
      <c r="I698" s="121"/>
      <c r="J698" s="121"/>
      <c r="K698" s="121"/>
      <c r="L698" s="121"/>
      <c r="M698" s="121"/>
      <c r="N698" s="99"/>
      <c r="O698" s="99"/>
      <c r="P698" s="99"/>
      <c r="Q698" s="99"/>
      <c r="R698" s="99"/>
      <c r="S698" s="99"/>
      <c r="T698" s="99"/>
      <c r="Z698"/>
      <c r="AC698"/>
      <c r="AH698"/>
      <c r="AL698" s="72"/>
    </row>
    <row r="699" spans="2:38" ht="12.9" customHeight="1">
      <c r="B699" s="75"/>
      <c r="C699" s="75"/>
      <c r="D699" s="75"/>
      <c r="E699" s="75"/>
      <c r="F699" s="73"/>
      <c r="G699" s="73"/>
      <c r="H699" s="74"/>
      <c r="I699" s="121"/>
      <c r="J699" s="121"/>
      <c r="K699" s="121"/>
      <c r="L699" s="121"/>
      <c r="M699" s="121"/>
      <c r="N699" s="99"/>
      <c r="O699" s="99"/>
      <c r="P699" s="99"/>
      <c r="Q699" s="99"/>
      <c r="R699" s="99"/>
      <c r="S699" s="99"/>
      <c r="T699" s="99"/>
      <c r="Z699"/>
      <c r="AC699"/>
      <c r="AH699"/>
      <c r="AL699" s="72"/>
    </row>
    <row r="700" spans="2:38" ht="12.9" customHeight="1">
      <c r="B700" s="75"/>
      <c r="C700" s="75"/>
      <c r="D700" s="75"/>
      <c r="E700" s="75"/>
      <c r="F700" s="73"/>
      <c r="G700" s="73"/>
      <c r="H700" s="74"/>
      <c r="I700" s="121"/>
      <c r="J700" s="121"/>
      <c r="K700" s="121"/>
      <c r="L700" s="121"/>
      <c r="M700" s="121"/>
      <c r="N700" s="99"/>
      <c r="O700" s="99"/>
      <c r="P700" s="99"/>
      <c r="Q700" s="99"/>
      <c r="R700" s="99"/>
      <c r="S700" s="99"/>
      <c r="T700" s="99"/>
      <c r="Z700"/>
      <c r="AC700"/>
      <c r="AH700"/>
      <c r="AL700" s="72"/>
    </row>
    <row r="701" spans="2:38" ht="12.9" customHeight="1">
      <c r="B701" s="75"/>
      <c r="C701" s="75"/>
      <c r="D701" s="75"/>
      <c r="E701" s="75"/>
      <c r="F701" s="73"/>
      <c r="G701" s="73"/>
      <c r="H701" s="74"/>
      <c r="I701" s="121"/>
      <c r="J701" s="121"/>
      <c r="K701" s="121"/>
      <c r="L701" s="121"/>
      <c r="M701" s="121"/>
      <c r="N701" s="99"/>
      <c r="O701" s="99"/>
      <c r="P701" s="99"/>
      <c r="Q701" s="99"/>
      <c r="R701" s="99"/>
      <c r="S701" s="99"/>
      <c r="T701" s="99"/>
      <c r="Z701"/>
      <c r="AC701"/>
      <c r="AH701"/>
      <c r="AL701" s="72"/>
    </row>
    <row r="702" spans="2:38" ht="12.9" customHeight="1">
      <c r="B702" s="75"/>
      <c r="C702" s="75"/>
      <c r="D702" s="75"/>
      <c r="E702" s="75"/>
      <c r="F702" s="73"/>
      <c r="G702" s="73"/>
      <c r="H702" s="74"/>
      <c r="I702" s="121"/>
      <c r="J702" s="121"/>
      <c r="K702" s="121"/>
      <c r="L702" s="121"/>
      <c r="M702" s="121"/>
      <c r="N702" s="98"/>
      <c r="O702" s="98"/>
      <c r="P702" s="98"/>
      <c r="Q702" s="98"/>
      <c r="R702" s="98"/>
      <c r="S702" s="98"/>
      <c r="T702" s="98"/>
      <c r="Z702"/>
      <c r="AC702"/>
      <c r="AH702"/>
      <c r="AL702" s="72"/>
    </row>
    <row r="703" spans="2:38" ht="12.9" customHeight="1">
      <c r="B703" s="75"/>
      <c r="C703" s="75"/>
      <c r="D703" s="75"/>
      <c r="E703" s="75"/>
      <c r="F703" s="73"/>
      <c r="G703" s="73"/>
      <c r="H703" s="74"/>
      <c r="I703" s="121"/>
      <c r="J703" s="121"/>
      <c r="K703" s="121"/>
      <c r="L703" s="121"/>
      <c r="M703" s="121"/>
      <c r="N703" s="98"/>
      <c r="O703" s="98"/>
      <c r="P703" s="98"/>
      <c r="Q703" s="98"/>
      <c r="R703" s="98"/>
      <c r="S703" s="98"/>
      <c r="T703" s="98"/>
      <c r="Z703"/>
      <c r="AC703"/>
      <c r="AH703"/>
      <c r="AL703" s="72"/>
    </row>
    <row r="704" spans="2:38" ht="12.9" customHeight="1">
      <c r="B704" s="75"/>
      <c r="C704" s="75"/>
      <c r="D704" s="75"/>
      <c r="E704" s="75"/>
      <c r="F704" s="73"/>
      <c r="G704" s="73"/>
      <c r="H704" s="74"/>
      <c r="I704" s="121"/>
      <c r="J704" s="121"/>
      <c r="K704" s="121"/>
      <c r="L704" s="121"/>
      <c r="M704" s="121"/>
      <c r="N704" s="98"/>
      <c r="O704" s="98"/>
      <c r="P704" s="98"/>
      <c r="Q704" s="98"/>
      <c r="R704" s="98"/>
      <c r="S704" s="98"/>
      <c r="T704" s="98"/>
      <c r="Z704"/>
      <c r="AC704"/>
      <c r="AH704"/>
      <c r="AL704" s="72"/>
    </row>
    <row r="705" spans="2:38" ht="12.9" customHeight="1">
      <c r="B705" s="75"/>
      <c r="C705" s="75"/>
      <c r="D705" s="75"/>
      <c r="E705" s="75"/>
      <c r="F705" s="73"/>
      <c r="G705" s="73"/>
      <c r="H705" s="74"/>
      <c r="I705" s="121"/>
      <c r="J705" s="121"/>
      <c r="K705" s="121"/>
      <c r="L705" s="121"/>
      <c r="M705" s="121"/>
      <c r="N705" s="98"/>
      <c r="O705" s="98"/>
      <c r="P705" s="98"/>
      <c r="Q705" s="98"/>
      <c r="R705" s="98"/>
      <c r="S705" s="98"/>
      <c r="T705" s="98"/>
      <c r="Z705"/>
      <c r="AC705"/>
      <c r="AH705"/>
      <c r="AL705" s="72"/>
    </row>
    <row r="706" spans="2:38" ht="12.9" customHeight="1">
      <c r="B706" s="75"/>
      <c r="C706" s="75"/>
      <c r="D706" s="75"/>
      <c r="E706" s="75"/>
      <c r="F706" s="73"/>
      <c r="G706" s="73"/>
      <c r="H706" s="74"/>
      <c r="I706" s="121"/>
      <c r="J706" s="121"/>
      <c r="K706" s="121"/>
      <c r="L706" s="121"/>
      <c r="M706" s="121"/>
      <c r="N706" s="98"/>
      <c r="O706" s="98"/>
      <c r="P706" s="98"/>
      <c r="Q706" s="98"/>
      <c r="R706" s="98"/>
      <c r="S706" s="98"/>
      <c r="T706" s="98"/>
      <c r="Z706"/>
      <c r="AC706"/>
      <c r="AH706"/>
      <c r="AL706" s="72"/>
    </row>
    <row r="707" spans="2:38" ht="12.9" customHeight="1">
      <c r="B707" s="75"/>
      <c r="C707" s="75"/>
      <c r="D707" s="75"/>
      <c r="E707" s="75"/>
      <c r="F707" s="73"/>
      <c r="G707" s="73"/>
      <c r="H707" s="74"/>
      <c r="I707" s="121"/>
      <c r="J707" s="121"/>
      <c r="K707" s="121"/>
      <c r="L707" s="121"/>
      <c r="M707" s="121"/>
      <c r="N707" s="98"/>
      <c r="O707" s="98"/>
      <c r="P707" s="98"/>
      <c r="Q707" s="98"/>
      <c r="R707" s="98"/>
      <c r="S707" s="98"/>
      <c r="T707" s="98"/>
      <c r="Z707"/>
      <c r="AC707"/>
      <c r="AH707"/>
      <c r="AL707" s="72"/>
    </row>
    <row r="708" spans="2:38" ht="12.9" customHeight="1">
      <c r="B708" s="75"/>
      <c r="C708" s="75"/>
      <c r="D708" s="75"/>
      <c r="E708" s="75"/>
      <c r="F708" s="73"/>
      <c r="G708" s="73"/>
      <c r="H708" s="74"/>
      <c r="I708" s="121"/>
      <c r="J708" s="121"/>
      <c r="K708" s="121"/>
      <c r="L708" s="121"/>
      <c r="M708" s="121"/>
      <c r="N708" s="98"/>
      <c r="O708" s="98"/>
      <c r="P708" s="98"/>
      <c r="Q708" s="98"/>
      <c r="R708" s="98"/>
      <c r="S708" s="98"/>
      <c r="T708" s="98"/>
      <c r="Z708"/>
      <c r="AC708"/>
      <c r="AH708"/>
      <c r="AL708" s="72"/>
    </row>
    <row r="709" spans="2:38" ht="12.9" customHeight="1">
      <c r="B709" s="75"/>
      <c r="C709" s="75"/>
      <c r="D709" s="75"/>
      <c r="E709" s="75"/>
      <c r="F709" s="73"/>
      <c r="G709" s="73"/>
      <c r="H709" s="74"/>
      <c r="I709" s="121"/>
      <c r="J709" s="121"/>
      <c r="K709" s="121"/>
      <c r="L709" s="121"/>
      <c r="M709" s="121"/>
      <c r="N709" s="98"/>
      <c r="O709" s="98"/>
      <c r="P709" s="98"/>
      <c r="Q709" s="98"/>
      <c r="R709" s="98"/>
      <c r="S709" s="98"/>
      <c r="T709" s="98"/>
      <c r="Z709"/>
      <c r="AC709"/>
      <c r="AH709"/>
      <c r="AL709" s="72"/>
    </row>
    <row r="710" spans="2:38" ht="12.9" customHeight="1">
      <c r="B710" s="75"/>
      <c r="C710" s="75"/>
      <c r="D710" s="75"/>
      <c r="E710" s="75"/>
      <c r="F710" s="73"/>
      <c r="G710" s="73"/>
      <c r="H710" s="74"/>
      <c r="I710" s="121"/>
      <c r="J710" s="121"/>
      <c r="K710" s="121"/>
      <c r="L710" s="121"/>
      <c r="M710" s="121"/>
      <c r="N710" s="98"/>
      <c r="O710" s="98"/>
      <c r="P710" s="98"/>
      <c r="Q710" s="98"/>
      <c r="R710" s="98"/>
      <c r="S710" s="98"/>
      <c r="T710" s="98"/>
      <c r="Z710"/>
      <c r="AC710"/>
      <c r="AH710"/>
      <c r="AL710" s="72"/>
    </row>
    <row r="711" spans="2:38" ht="12.9" customHeight="1">
      <c r="B711" s="75"/>
      <c r="C711" s="75"/>
      <c r="D711" s="75"/>
      <c r="E711" s="75"/>
      <c r="F711" s="73"/>
      <c r="G711" s="73"/>
      <c r="H711" s="74"/>
      <c r="I711" s="121"/>
      <c r="J711" s="121"/>
      <c r="K711" s="121"/>
      <c r="L711" s="121"/>
      <c r="M711" s="121"/>
      <c r="N711" s="98"/>
      <c r="O711" s="98"/>
      <c r="P711" s="98"/>
      <c r="Q711" s="98"/>
      <c r="R711" s="98"/>
      <c r="S711" s="98"/>
      <c r="T711" s="98"/>
      <c r="Z711"/>
      <c r="AC711"/>
      <c r="AH711"/>
      <c r="AL711" s="72"/>
    </row>
    <row r="712" spans="2:38" ht="12.9" customHeight="1">
      <c r="B712" s="75"/>
      <c r="C712" s="75"/>
      <c r="D712" s="75"/>
      <c r="E712" s="75"/>
      <c r="F712" s="73"/>
      <c r="G712" s="73"/>
      <c r="H712" s="74"/>
      <c r="I712" s="121"/>
      <c r="J712" s="121"/>
      <c r="K712" s="121"/>
      <c r="L712" s="121"/>
      <c r="M712" s="121"/>
      <c r="N712" s="98"/>
      <c r="O712" s="98"/>
      <c r="P712" s="98"/>
      <c r="Q712" s="98"/>
      <c r="R712" s="98"/>
      <c r="S712" s="98"/>
      <c r="T712" s="98"/>
      <c r="Z712"/>
      <c r="AC712"/>
      <c r="AH712"/>
      <c r="AL712" s="72"/>
    </row>
    <row r="713" spans="2:38" ht="12.9" customHeight="1">
      <c r="B713" s="75"/>
      <c r="C713" s="75"/>
      <c r="D713" s="75"/>
      <c r="E713" s="75"/>
      <c r="F713" s="73"/>
      <c r="G713" s="73"/>
      <c r="H713" s="74"/>
      <c r="I713" s="121"/>
      <c r="J713" s="121"/>
      <c r="K713" s="121"/>
      <c r="L713" s="121"/>
      <c r="M713" s="121"/>
      <c r="N713" s="98"/>
      <c r="O713" s="98"/>
      <c r="P713" s="98"/>
      <c r="Q713" s="98"/>
      <c r="R713" s="98"/>
      <c r="S713" s="98"/>
      <c r="T713" s="98"/>
      <c r="Z713"/>
      <c r="AC713"/>
      <c r="AH713"/>
      <c r="AL713" s="72"/>
    </row>
    <row r="714" spans="2:38" ht="12.9" customHeight="1">
      <c r="B714" s="75"/>
      <c r="C714" s="75"/>
      <c r="D714" s="75"/>
      <c r="E714" s="75"/>
      <c r="F714" s="73"/>
      <c r="G714" s="73"/>
      <c r="H714" s="74"/>
      <c r="I714" s="121"/>
      <c r="J714" s="121"/>
      <c r="K714" s="121"/>
      <c r="L714" s="121"/>
      <c r="M714" s="121"/>
      <c r="N714" s="98"/>
      <c r="O714" s="98"/>
      <c r="P714" s="98"/>
      <c r="Q714" s="98"/>
      <c r="R714" s="98"/>
      <c r="S714" s="98"/>
      <c r="T714" s="98"/>
      <c r="Z714"/>
      <c r="AC714"/>
      <c r="AH714"/>
      <c r="AL714" s="72"/>
    </row>
    <row r="715" spans="2:38" ht="12.9" customHeight="1">
      <c r="B715" s="75"/>
      <c r="C715" s="75"/>
      <c r="D715" s="75"/>
      <c r="E715" s="75"/>
      <c r="F715" s="73"/>
      <c r="G715" s="73"/>
      <c r="H715" s="74"/>
      <c r="I715" s="121"/>
      <c r="J715" s="121"/>
      <c r="K715" s="121"/>
      <c r="L715" s="121"/>
      <c r="M715" s="121"/>
      <c r="N715" s="98"/>
      <c r="O715" s="98"/>
      <c r="P715" s="98"/>
      <c r="Q715" s="98"/>
      <c r="R715" s="98"/>
      <c r="S715" s="98"/>
      <c r="T715" s="98"/>
      <c r="Z715"/>
      <c r="AC715"/>
      <c r="AH715"/>
      <c r="AL715" s="72"/>
    </row>
    <row r="716" spans="2:38" ht="12.9" customHeight="1">
      <c r="B716" s="75"/>
      <c r="C716" s="75"/>
      <c r="D716" s="75"/>
      <c r="E716" s="75"/>
      <c r="F716" s="73"/>
      <c r="G716" s="73"/>
      <c r="H716" s="74"/>
      <c r="I716" s="121"/>
      <c r="J716" s="121"/>
      <c r="K716" s="121"/>
      <c r="L716" s="121"/>
      <c r="M716" s="121"/>
      <c r="N716" s="98"/>
      <c r="O716" s="98"/>
      <c r="P716" s="98"/>
      <c r="Q716" s="98"/>
      <c r="R716" s="98"/>
      <c r="S716" s="98"/>
      <c r="T716" s="98"/>
      <c r="Z716"/>
      <c r="AC716"/>
      <c r="AH716"/>
      <c r="AL716" s="72"/>
    </row>
    <row r="717" spans="2:38" ht="12.9" customHeight="1">
      <c r="B717" s="75"/>
      <c r="C717" s="75"/>
      <c r="D717" s="75"/>
      <c r="E717" s="75"/>
      <c r="F717" s="73"/>
      <c r="G717" s="73"/>
      <c r="H717" s="74"/>
      <c r="I717" s="121"/>
      <c r="J717" s="121"/>
      <c r="K717" s="121"/>
      <c r="L717" s="121"/>
      <c r="M717" s="121"/>
      <c r="N717" s="98"/>
      <c r="O717" s="98"/>
      <c r="P717" s="98"/>
      <c r="Q717" s="98"/>
      <c r="R717" s="98"/>
      <c r="S717" s="98"/>
      <c r="T717" s="98"/>
      <c r="Z717"/>
      <c r="AC717"/>
      <c r="AH717"/>
      <c r="AL717" s="72"/>
    </row>
    <row r="718" spans="2:38" ht="12.9" customHeight="1">
      <c r="B718" s="75"/>
      <c r="C718" s="75"/>
      <c r="D718" s="75"/>
      <c r="E718" s="75"/>
      <c r="F718" s="73"/>
      <c r="G718" s="73"/>
      <c r="H718" s="74"/>
      <c r="I718" s="121"/>
      <c r="J718" s="121"/>
      <c r="K718" s="121"/>
      <c r="L718" s="121"/>
      <c r="M718" s="121"/>
      <c r="N718" s="98"/>
      <c r="O718" s="98"/>
      <c r="P718" s="98"/>
      <c r="Q718" s="98"/>
      <c r="R718" s="98"/>
      <c r="S718" s="98"/>
      <c r="T718" s="98"/>
      <c r="Z718"/>
      <c r="AC718"/>
      <c r="AH718"/>
      <c r="AL718" s="72"/>
    </row>
    <row r="719" spans="2:38" ht="12.9" customHeight="1">
      <c r="B719" s="75"/>
      <c r="C719" s="75"/>
      <c r="D719" s="75"/>
      <c r="E719" s="75"/>
      <c r="F719" s="73"/>
      <c r="G719" s="73"/>
      <c r="H719" s="74"/>
      <c r="I719" s="121"/>
      <c r="J719" s="121"/>
      <c r="K719" s="121"/>
      <c r="L719" s="121"/>
      <c r="M719" s="121"/>
      <c r="N719" s="98"/>
      <c r="O719" s="98"/>
      <c r="P719" s="98"/>
      <c r="Q719" s="98"/>
      <c r="R719" s="98"/>
      <c r="S719" s="98"/>
      <c r="T719" s="98"/>
      <c r="Z719"/>
      <c r="AC719"/>
      <c r="AH719"/>
      <c r="AL719" s="72"/>
    </row>
    <row r="720" spans="2:38" ht="12.9" customHeight="1">
      <c r="B720" s="75"/>
      <c r="C720" s="75"/>
      <c r="D720" s="75"/>
      <c r="E720" s="75"/>
      <c r="F720" s="73"/>
      <c r="G720" s="73"/>
      <c r="H720" s="74"/>
      <c r="I720" s="121"/>
      <c r="J720" s="121"/>
      <c r="K720" s="121"/>
      <c r="L720" s="121"/>
      <c r="M720" s="121"/>
      <c r="N720" s="98"/>
      <c r="O720" s="98"/>
      <c r="P720" s="98"/>
      <c r="Q720" s="98"/>
      <c r="R720" s="98"/>
      <c r="S720" s="98"/>
      <c r="T720" s="98"/>
      <c r="Z720"/>
      <c r="AC720"/>
      <c r="AH720"/>
      <c r="AL720" s="72"/>
    </row>
    <row r="721" spans="2:38" ht="12.9" customHeight="1">
      <c r="B721" s="75"/>
      <c r="C721" s="75"/>
      <c r="D721" s="75"/>
      <c r="E721" s="75"/>
      <c r="F721" s="73"/>
      <c r="G721" s="73"/>
      <c r="H721" s="74"/>
      <c r="I721" s="121"/>
      <c r="J721" s="121"/>
      <c r="K721" s="121"/>
      <c r="L721" s="121"/>
      <c r="M721" s="121"/>
      <c r="N721" s="98"/>
      <c r="O721" s="98"/>
      <c r="P721" s="98"/>
      <c r="Q721" s="98"/>
      <c r="R721" s="98"/>
      <c r="S721" s="98"/>
      <c r="T721" s="98"/>
      <c r="Z721"/>
      <c r="AC721"/>
      <c r="AH721"/>
      <c r="AL721" s="72"/>
    </row>
    <row r="722" spans="2:38" ht="12.9" customHeight="1">
      <c r="B722" s="75"/>
      <c r="C722" s="75"/>
      <c r="D722" s="75"/>
      <c r="E722" s="75"/>
      <c r="F722" s="73"/>
      <c r="G722" s="73"/>
      <c r="H722" s="74"/>
      <c r="I722" s="121"/>
      <c r="J722" s="121"/>
      <c r="K722" s="121"/>
      <c r="L722" s="121"/>
      <c r="M722" s="121"/>
      <c r="N722" s="98"/>
      <c r="O722" s="98"/>
      <c r="P722" s="98"/>
      <c r="Q722" s="98"/>
      <c r="R722" s="98"/>
      <c r="S722" s="98"/>
      <c r="T722" s="98"/>
      <c r="Z722"/>
      <c r="AC722"/>
      <c r="AH722"/>
      <c r="AL722" s="72"/>
    </row>
    <row r="723" spans="2:38" ht="12.9" customHeight="1">
      <c r="B723" s="75"/>
      <c r="C723" s="75"/>
      <c r="D723" s="75"/>
      <c r="E723" s="75"/>
      <c r="F723" s="73"/>
      <c r="G723" s="73"/>
      <c r="H723" s="74"/>
      <c r="I723" s="121"/>
      <c r="J723" s="121"/>
      <c r="K723" s="121"/>
      <c r="L723" s="121"/>
      <c r="M723" s="121"/>
      <c r="N723" s="98"/>
      <c r="O723" s="98"/>
      <c r="P723" s="98"/>
      <c r="Q723" s="98"/>
      <c r="R723" s="98"/>
      <c r="S723" s="98"/>
      <c r="T723" s="98"/>
      <c r="Z723"/>
      <c r="AC723"/>
      <c r="AH723"/>
      <c r="AL723" s="72"/>
    </row>
    <row r="724" spans="2:38" ht="12.9" customHeight="1">
      <c r="B724" s="75"/>
      <c r="C724" s="75"/>
      <c r="D724" s="75"/>
      <c r="E724" s="75"/>
      <c r="F724" s="73"/>
      <c r="G724" s="73"/>
      <c r="H724" s="74"/>
      <c r="I724" s="121"/>
      <c r="J724" s="121"/>
      <c r="K724" s="121"/>
      <c r="L724" s="121"/>
      <c r="M724" s="121"/>
      <c r="N724" s="98"/>
      <c r="O724" s="98"/>
      <c r="P724" s="98"/>
      <c r="Q724" s="98"/>
      <c r="R724" s="98"/>
      <c r="S724" s="98"/>
      <c r="T724" s="98"/>
      <c r="Z724"/>
      <c r="AC724"/>
      <c r="AH724"/>
      <c r="AL724" s="72"/>
    </row>
    <row r="725" spans="2:38" ht="12.9" customHeight="1">
      <c r="B725" s="75"/>
      <c r="C725" s="75"/>
      <c r="D725" s="75"/>
      <c r="E725" s="75"/>
      <c r="F725" s="73"/>
      <c r="G725" s="73"/>
      <c r="H725" s="74"/>
      <c r="I725" s="121"/>
      <c r="J725" s="121"/>
      <c r="K725" s="121"/>
      <c r="L725" s="121"/>
      <c r="M725" s="121"/>
      <c r="N725" s="98"/>
      <c r="O725" s="98"/>
      <c r="P725" s="98"/>
      <c r="Q725" s="98"/>
      <c r="R725" s="98"/>
      <c r="S725" s="98"/>
      <c r="T725" s="98"/>
      <c r="Z725"/>
      <c r="AC725"/>
      <c r="AH725"/>
      <c r="AL725" s="72"/>
    </row>
    <row r="726" spans="2:38" ht="12.9" customHeight="1">
      <c r="B726" s="75"/>
      <c r="C726" s="75"/>
      <c r="D726" s="75"/>
      <c r="E726" s="75"/>
      <c r="F726" s="73"/>
      <c r="G726" s="73"/>
      <c r="H726" s="74"/>
      <c r="I726" s="121"/>
      <c r="J726" s="121"/>
      <c r="K726" s="121"/>
      <c r="L726" s="121"/>
      <c r="M726" s="121"/>
      <c r="N726" s="98"/>
      <c r="O726" s="98"/>
      <c r="P726" s="98"/>
      <c r="Q726" s="98"/>
      <c r="R726" s="98"/>
      <c r="S726" s="98"/>
      <c r="T726" s="98"/>
      <c r="Z726"/>
      <c r="AC726"/>
      <c r="AH726"/>
      <c r="AL726" s="72"/>
    </row>
    <row r="727" spans="2:38" ht="12.9" customHeight="1">
      <c r="B727" s="75"/>
      <c r="C727" s="75"/>
      <c r="D727" s="75"/>
      <c r="E727" s="75"/>
      <c r="F727" s="73"/>
      <c r="G727" s="73"/>
      <c r="H727" s="74"/>
      <c r="I727" s="121"/>
      <c r="J727" s="121"/>
      <c r="K727" s="121"/>
      <c r="L727" s="121"/>
      <c r="M727" s="121"/>
      <c r="N727" s="98"/>
      <c r="O727" s="98"/>
      <c r="P727" s="98"/>
      <c r="Q727" s="98"/>
      <c r="R727" s="98"/>
      <c r="S727" s="98"/>
      <c r="T727" s="98"/>
      <c r="Z727"/>
      <c r="AC727"/>
      <c r="AH727"/>
      <c r="AL727" s="72"/>
    </row>
    <row r="728" spans="2:38" ht="12.9" customHeight="1">
      <c r="B728" s="75"/>
      <c r="C728" s="75"/>
      <c r="D728" s="75"/>
      <c r="E728" s="75"/>
      <c r="F728" s="73"/>
      <c r="G728" s="73"/>
      <c r="H728" s="74"/>
      <c r="I728" s="121"/>
      <c r="J728" s="121"/>
      <c r="K728" s="121"/>
      <c r="L728" s="121"/>
      <c r="M728" s="121"/>
      <c r="N728" s="98"/>
      <c r="O728" s="98"/>
      <c r="P728" s="98"/>
      <c r="Q728" s="98"/>
      <c r="R728" s="98"/>
      <c r="S728" s="98"/>
      <c r="T728" s="98"/>
      <c r="Z728"/>
      <c r="AC728"/>
      <c r="AH728"/>
      <c r="AL728" s="72"/>
    </row>
    <row r="729" spans="2:38" ht="12.9" customHeight="1">
      <c r="B729" s="75"/>
      <c r="C729" s="75"/>
      <c r="D729" s="75"/>
      <c r="E729" s="75"/>
      <c r="F729" s="73"/>
      <c r="G729" s="73"/>
      <c r="H729" s="74"/>
      <c r="I729" s="121"/>
      <c r="J729" s="121"/>
      <c r="K729" s="121"/>
      <c r="L729" s="121"/>
      <c r="M729" s="121"/>
      <c r="N729" s="98"/>
      <c r="O729" s="98"/>
      <c r="P729" s="98"/>
      <c r="Q729" s="98"/>
      <c r="R729" s="98"/>
      <c r="S729" s="98"/>
      <c r="T729" s="98"/>
      <c r="Z729"/>
      <c r="AC729"/>
      <c r="AH729"/>
      <c r="AL729" s="72"/>
    </row>
    <row r="730" spans="2:38" ht="12.9" customHeight="1">
      <c r="B730" s="75"/>
      <c r="C730" s="75"/>
      <c r="D730" s="75"/>
      <c r="E730" s="75"/>
      <c r="F730" s="73"/>
      <c r="G730" s="73"/>
      <c r="H730" s="74"/>
      <c r="I730" s="121"/>
      <c r="J730" s="121"/>
      <c r="K730" s="121"/>
      <c r="L730" s="121"/>
      <c r="M730" s="121"/>
      <c r="N730" s="98"/>
      <c r="O730" s="98"/>
      <c r="P730" s="98"/>
      <c r="Q730" s="98"/>
      <c r="R730" s="98"/>
      <c r="S730" s="98"/>
      <c r="T730" s="98"/>
      <c r="Z730"/>
      <c r="AC730"/>
      <c r="AH730"/>
      <c r="AL730" s="72"/>
    </row>
    <row r="731" spans="2:38" ht="12.9" customHeight="1">
      <c r="B731" s="75"/>
      <c r="C731" s="75"/>
      <c r="D731" s="75"/>
      <c r="E731" s="75"/>
      <c r="F731" s="73"/>
      <c r="G731" s="73"/>
      <c r="H731" s="74"/>
      <c r="I731" s="121"/>
      <c r="J731" s="121"/>
      <c r="K731" s="121"/>
      <c r="L731" s="121"/>
      <c r="M731" s="121"/>
      <c r="N731" s="98"/>
      <c r="O731" s="98"/>
      <c r="P731" s="98"/>
      <c r="Q731" s="98"/>
      <c r="R731" s="98"/>
      <c r="S731" s="98"/>
      <c r="T731" s="98"/>
      <c r="Z731"/>
      <c r="AC731"/>
      <c r="AH731"/>
      <c r="AL731" s="72"/>
    </row>
    <row r="732" spans="2:38" ht="12.9" customHeight="1">
      <c r="B732" s="75"/>
      <c r="C732" s="75"/>
      <c r="D732" s="75"/>
      <c r="E732" s="75"/>
      <c r="F732" s="73"/>
      <c r="G732" s="73"/>
      <c r="H732" s="74"/>
      <c r="I732" s="121"/>
      <c r="J732" s="121"/>
      <c r="K732" s="121"/>
      <c r="L732" s="121"/>
      <c r="M732" s="121"/>
      <c r="N732" s="98"/>
      <c r="O732" s="98"/>
      <c r="P732" s="98"/>
      <c r="Q732" s="98"/>
      <c r="R732" s="98"/>
      <c r="S732" s="98"/>
      <c r="T732" s="98"/>
      <c r="Z732"/>
      <c r="AC732"/>
      <c r="AH732"/>
      <c r="AL732" s="72"/>
    </row>
    <row r="733" spans="2:38" ht="12.9" customHeight="1">
      <c r="B733" s="75"/>
      <c r="C733" s="75"/>
      <c r="D733" s="75"/>
      <c r="E733" s="75"/>
      <c r="F733" s="73"/>
      <c r="G733" s="73"/>
      <c r="H733" s="74"/>
      <c r="I733" s="121"/>
      <c r="J733" s="121"/>
      <c r="K733" s="121"/>
      <c r="L733" s="121"/>
      <c r="M733" s="121"/>
      <c r="N733" s="98"/>
      <c r="O733" s="98"/>
      <c r="P733" s="98"/>
      <c r="Q733" s="98"/>
      <c r="R733" s="98"/>
      <c r="S733" s="98"/>
      <c r="T733" s="98"/>
      <c r="Z733"/>
      <c r="AC733"/>
      <c r="AH733"/>
      <c r="AL733" s="72"/>
    </row>
    <row r="734" spans="2:38" ht="12.9" customHeight="1">
      <c r="B734" s="75"/>
      <c r="C734" s="75"/>
      <c r="D734" s="75"/>
      <c r="E734" s="75"/>
      <c r="F734" s="73"/>
      <c r="G734" s="73"/>
      <c r="H734" s="74"/>
      <c r="I734" s="121"/>
      <c r="J734" s="121"/>
      <c r="K734" s="121"/>
      <c r="L734" s="121"/>
      <c r="M734" s="121"/>
      <c r="N734" s="98"/>
      <c r="O734" s="98"/>
      <c r="P734" s="98"/>
      <c r="Q734" s="98"/>
      <c r="R734" s="98"/>
      <c r="S734" s="98"/>
      <c r="T734" s="98"/>
      <c r="Z734"/>
      <c r="AC734"/>
      <c r="AH734"/>
      <c r="AL734" s="72"/>
    </row>
    <row r="735" spans="2:38" ht="12.9" customHeight="1">
      <c r="B735" s="75"/>
      <c r="C735" s="75"/>
      <c r="D735" s="75"/>
      <c r="E735" s="75"/>
      <c r="F735" s="73"/>
      <c r="G735" s="73"/>
      <c r="H735" s="74"/>
      <c r="I735" s="121"/>
      <c r="J735" s="121"/>
      <c r="K735" s="121"/>
      <c r="L735" s="121"/>
      <c r="M735" s="121"/>
      <c r="N735" s="98"/>
      <c r="O735" s="98"/>
      <c r="P735" s="98"/>
      <c r="Q735" s="98"/>
      <c r="R735" s="98"/>
      <c r="S735" s="98"/>
      <c r="T735" s="98"/>
      <c r="Z735"/>
      <c r="AC735"/>
      <c r="AH735"/>
      <c r="AL735" s="72"/>
    </row>
    <row r="736" spans="2:38" ht="12.9" customHeight="1">
      <c r="B736" s="75"/>
      <c r="C736" s="75"/>
      <c r="D736" s="75"/>
      <c r="E736" s="75"/>
      <c r="F736" s="73"/>
      <c r="G736" s="73"/>
      <c r="H736" s="74"/>
      <c r="I736" s="121"/>
      <c r="J736" s="121"/>
      <c r="K736" s="121"/>
      <c r="L736" s="121"/>
      <c r="M736" s="121"/>
      <c r="N736" s="98"/>
      <c r="O736" s="98"/>
      <c r="P736" s="98"/>
      <c r="Q736" s="98"/>
      <c r="R736" s="98"/>
      <c r="S736" s="98"/>
      <c r="T736" s="98"/>
      <c r="Z736"/>
      <c r="AC736"/>
      <c r="AH736"/>
      <c r="AL736" s="72"/>
    </row>
    <row r="737" spans="2:38" ht="12.9" customHeight="1">
      <c r="B737" s="75"/>
      <c r="C737" s="75"/>
      <c r="D737" s="75"/>
      <c r="E737" s="75"/>
      <c r="F737" s="73"/>
      <c r="G737" s="73"/>
      <c r="H737" s="74"/>
      <c r="I737" s="121"/>
      <c r="J737" s="121"/>
      <c r="K737" s="121"/>
      <c r="L737" s="121"/>
      <c r="M737" s="121"/>
      <c r="N737" s="98"/>
      <c r="O737" s="98"/>
      <c r="P737" s="98"/>
      <c r="Q737" s="98"/>
      <c r="R737" s="98"/>
      <c r="S737" s="98"/>
      <c r="T737" s="98"/>
      <c r="Z737"/>
      <c r="AC737"/>
      <c r="AH737"/>
      <c r="AL737" s="72"/>
    </row>
    <row r="738" spans="2:38" ht="12.9" customHeight="1">
      <c r="B738" s="75"/>
      <c r="C738" s="75"/>
      <c r="D738" s="75"/>
      <c r="E738" s="75"/>
      <c r="F738" s="73"/>
      <c r="G738" s="73"/>
      <c r="H738" s="74"/>
      <c r="I738" s="121"/>
      <c r="J738" s="121"/>
      <c r="K738" s="121"/>
      <c r="L738" s="121"/>
      <c r="M738" s="121"/>
      <c r="N738" s="98"/>
      <c r="O738" s="98"/>
      <c r="P738" s="98"/>
      <c r="Q738" s="98"/>
      <c r="R738" s="98"/>
      <c r="S738" s="98"/>
      <c r="T738" s="98"/>
      <c r="Z738"/>
      <c r="AC738"/>
      <c r="AH738"/>
      <c r="AL738" s="72"/>
    </row>
    <row r="739" spans="2:38" ht="12.9" customHeight="1">
      <c r="B739" s="75"/>
      <c r="C739" s="75"/>
      <c r="D739" s="75"/>
      <c r="E739" s="75"/>
      <c r="F739" s="73"/>
      <c r="G739" s="73"/>
      <c r="H739" s="74"/>
      <c r="I739" s="121"/>
      <c r="J739" s="121"/>
      <c r="K739" s="121"/>
      <c r="L739" s="121"/>
      <c r="M739" s="121"/>
      <c r="N739" s="98"/>
      <c r="O739" s="98"/>
      <c r="P739" s="98"/>
      <c r="Q739" s="98"/>
      <c r="R739" s="98"/>
      <c r="S739" s="98"/>
      <c r="T739" s="98"/>
      <c r="Z739"/>
      <c r="AC739"/>
      <c r="AH739"/>
      <c r="AL739" s="72"/>
    </row>
    <row r="740" spans="2:38" ht="12.9" customHeight="1">
      <c r="B740" s="75"/>
      <c r="C740" s="75"/>
      <c r="D740" s="75"/>
      <c r="E740" s="75"/>
      <c r="F740" s="73"/>
      <c r="G740" s="73"/>
      <c r="H740" s="74"/>
      <c r="I740" s="121"/>
      <c r="J740" s="121"/>
      <c r="K740" s="121"/>
      <c r="L740" s="121"/>
      <c r="M740" s="121"/>
      <c r="N740" s="98"/>
      <c r="O740" s="98"/>
      <c r="P740" s="98"/>
      <c r="Q740" s="98"/>
      <c r="R740" s="98"/>
      <c r="S740" s="98"/>
      <c r="T740" s="98"/>
      <c r="Z740"/>
      <c r="AC740"/>
      <c r="AH740"/>
      <c r="AL740" s="72"/>
    </row>
    <row r="741" spans="2:38" ht="12.9" customHeight="1">
      <c r="B741" s="75"/>
      <c r="C741" s="75"/>
      <c r="D741" s="75"/>
      <c r="E741" s="75"/>
      <c r="F741" s="73"/>
      <c r="G741" s="73"/>
      <c r="H741" s="74"/>
      <c r="I741" s="121"/>
      <c r="J741" s="121"/>
      <c r="K741" s="121"/>
      <c r="L741" s="121"/>
      <c r="M741" s="121"/>
      <c r="N741" s="98"/>
      <c r="O741" s="98"/>
      <c r="P741" s="98"/>
      <c r="Q741" s="98"/>
      <c r="R741" s="98"/>
      <c r="S741" s="98"/>
      <c r="T741" s="98"/>
      <c r="Z741"/>
      <c r="AC741"/>
      <c r="AH741"/>
      <c r="AL741" s="72"/>
    </row>
    <row r="742" spans="2:38" ht="12.9" customHeight="1">
      <c r="B742" s="75"/>
      <c r="C742" s="75"/>
      <c r="D742" s="75"/>
      <c r="E742" s="75"/>
      <c r="F742" s="73"/>
      <c r="G742" s="73"/>
      <c r="H742" s="74"/>
      <c r="I742" s="121"/>
      <c r="J742" s="121"/>
      <c r="K742" s="121"/>
      <c r="L742" s="121"/>
      <c r="M742" s="121"/>
      <c r="N742" s="98"/>
      <c r="O742" s="98"/>
      <c r="P742" s="98"/>
      <c r="Q742" s="98"/>
      <c r="R742" s="98"/>
      <c r="S742" s="98"/>
      <c r="T742" s="98"/>
      <c r="Z742"/>
      <c r="AC742"/>
      <c r="AH742"/>
      <c r="AL742" s="72"/>
    </row>
    <row r="743" spans="2:38" ht="12.9" customHeight="1">
      <c r="B743" s="75"/>
      <c r="C743" s="75"/>
      <c r="D743" s="75"/>
      <c r="E743" s="75"/>
      <c r="F743" s="73"/>
      <c r="G743" s="73"/>
      <c r="H743" s="74"/>
      <c r="I743" s="121"/>
      <c r="J743" s="121"/>
      <c r="K743" s="121"/>
      <c r="L743" s="121"/>
      <c r="M743" s="121"/>
      <c r="N743" s="98"/>
      <c r="O743" s="98"/>
      <c r="P743" s="98"/>
      <c r="Q743" s="98"/>
      <c r="R743" s="98"/>
      <c r="S743" s="98"/>
      <c r="T743" s="98"/>
      <c r="Z743"/>
      <c r="AC743"/>
      <c r="AH743"/>
      <c r="AL743" s="72"/>
    </row>
    <row r="744" spans="2:38" ht="12.9" customHeight="1">
      <c r="B744" s="75"/>
      <c r="C744" s="75"/>
      <c r="D744" s="75"/>
      <c r="E744" s="75"/>
      <c r="F744" s="73"/>
      <c r="G744" s="73"/>
      <c r="H744" s="74"/>
      <c r="I744" s="121"/>
      <c r="J744" s="121"/>
      <c r="K744" s="121"/>
      <c r="L744" s="121"/>
      <c r="M744" s="121"/>
      <c r="N744" s="98"/>
      <c r="O744" s="98"/>
      <c r="P744" s="98"/>
      <c r="Q744" s="98"/>
      <c r="R744" s="98"/>
      <c r="S744" s="98"/>
      <c r="T744" s="98"/>
      <c r="Z744"/>
      <c r="AC744"/>
      <c r="AH744"/>
      <c r="AL744" s="72"/>
    </row>
    <row r="745" spans="2:38" ht="12.9" customHeight="1">
      <c r="B745" s="75"/>
      <c r="C745" s="75"/>
      <c r="D745" s="75"/>
      <c r="E745" s="75"/>
      <c r="F745" s="73"/>
      <c r="G745" s="73"/>
      <c r="H745" s="74"/>
      <c r="I745" s="121"/>
      <c r="J745" s="121"/>
      <c r="K745" s="121"/>
      <c r="L745" s="121"/>
      <c r="M745" s="121"/>
      <c r="N745" s="98"/>
      <c r="O745" s="98"/>
      <c r="P745" s="98"/>
      <c r="Q745" s="98"/>
      <c r="R745" s="98"/>
      <c r="S745" s="98"/>
      <c r="T745" s="98"/>
      <c r="Z745"/>
      <c r="AC745"/>
      <c r="AH745"/>
      <c r="AL745" s="72"/>
    </row>
    <row r="746" spans="2:38" ht="12.9" customHeight="1">
      <c r="B746" s="75"/>
      <c r="C746" s="75"/>
      <c r="D746" s="75"/>
      <c r="E746" s="75"/>
      <c r="F746" s="73"/>
      <c r="G746" s="73"/>
      <c r="H746" s="74"/>
      <c r="I746" s="121"/>
      <c r="J746" s="121"/>
      <c r="K746" s="121"/>
      <c r="L746" s="121"/>
      <c r="M746" s="121"/>
      <c r="N746" s="98"/>
      <c r="O746" s="98"/>
      <c r="P746" s="98"/>
      <c r="Q746" s="98"/>
      <c r="R746" s="98"/>
      <c r="S746" s="98"/>
      <c r="T746" s="98"/>
      <c r="Z746"/>
      <c r="AC746"/>
      <c r="AH746"/>
      <c r="AL746" s="72"/>
    </row>
    <row r="747" spans="2:38" ht="12.9" customHeight="1">
      <c r="B747" s="75"/>
      <c r="C747" s="75"/>
      <c r="D747" s="75"/>
      <c r="E747" s="75"/>
      <c r="F747" s="73"/>
      <c r="G747" s="73"/>
      <c r="H747" s="74"/>
      <c r="I747" s="121"/>
      <c r="J747" s="121"/>
      <c r="K747" s="121"/>
      <c r="L747" s="121"/>
      <c r="M747" s="121"/>
      <c r="N747" s="98"/>
      <c r="O747" s="98"/>
      <c r="P747" s="98"/>
      <c r="Q747" s="98"/>
      <c r="R747" s="98"/>
      <c r="S747" s="98"/>
      <c r="T747" s="98"/>
      <c r="Z747"/>
      <c r="AC747"/>
      <c r="AH747"/>
      <c r="AL747" s="72"/>
    </row>
    <row r="748" spans="2:38" ht="12.9" customHeight="1">
      <c r="B748" s="75"/>
      <c r="C748" s="75"/>
      <c r="D748" s="75"/>
      <c r="E748" s="75"/>
      <c r="F748" s="73"/>
      <c r="G748" s="73"/>
      <c r="H748" s="74"/>
      <c r="I748" s="121"/>
      <c r="J748" s="121"/>
      <c r="K748" s="121"/>
      <c r="L748" s="121"/>
      <c r="M748" s="121"/>
      <c r="N748" s="98"/>
      <c r="O748" s="98"/>
      <c r="P748" s="98"/>
      <c r="Q748" s="98"/>
      <c r="R748" s="98"/>
      <c r="S748" s="98"/>
      <c r="T748" s="98"/>
      <c r="Z748"/>
      <c r="AC748"/>
      <c r="AH748"/>
      <c r="AL748" s="72"/>
    </row>
    <row r="749" spans="2:38" ht="12.9" customHeight="1">
      <c r="B749" s="75"/>
      <c r="C749" s="75"/>
      <c r="D749" s="75"/>
      <c r="E749" s="75"/>
      <c r="F749" s="73"/>
      <c r="G749" s="73"/>
      <c r="H749" s="74"/>
      <c r="I749" s="121"/>
      <c r="J749" s="121"/>
      <c r="K749" s="121"/>
      <c r="L749" s="121"/>
      <c r="M749" s="121"/>
      <c r="N749" s="98"/>
      <c r="O749" s="98"/>
      <c r="P749" s="98"/>
      <c r="Q749" s="98"/>
      <c r="R749" s="98"/>
      <c r="S749" s="98"/>
      <c r="T749" s="98"/>
      <c r="Z749"/>
      <c r="AC749"/>
      <c r="AH749"/>
      <c r="AL749" s="72"/>
    </row>
    <row r="750" spans="2:38" ht="12.9" customHeight="1">
      <c r="B750" s="75"/>
      <c r="C750" s="75"/>
      <c r="D750" s="75"/>
      <c r="E750" s="75"/>
      <c r="F750" s="73"/>
      <c r="G750" s="73"/>
      <c r="H750" s="74"/>
      <c r="I750" s="121"/>
      <c r="J750" s="121"/>
      <c r="K750" s="121"/>
      <c r="L750" s="121"/>
      <c r="M750" s="121"/>
      <c r="N750" s="98"/>
      <c r="O750" s="98"/>
      <c r="P750" s="98"/>
      <c r="Q750" s="98"/>
      <c r="R750" s="98"/>
      <c r="S750" s="98"/>
      <c r="T750" s="98"/>
      <c r="Z750"/>
      <c r="AC750"/>
      <c r="AH750"/>
      <c r="AL750" s="72"/>
    </row>
    <row r="751" spans="2:38" ht="12.9" customHeight="1">
      <c r="B751" s="75"/>
      <c r="C751" s="75"/>
      <c r="D751" s="75"/>
      <c r="E751" s="75"/>
      <c r="F751" s="73"/>
      <c r="G751" s="73"/>
      <c r="H751" s="74"/>
      <c r="I751" s="121"/>
      <c r="J751" s="121"/>
      <c r="K751" s="121"/>
      <c r="L751" s="121"/>
      <c r="M751" s="121"/>
      <c r="N751" s="99"/>
      <c r="O751" s="99"/>
      <c r="P751" s="99"/>
      <c r="Q751" s="99"/>
      <c r="R751" s="99"/>
      <c r="S751" s="99"/>
      <c r="T751" s="99"/>
      <c r="Z751"/>
      <c r="AC751"/>
      <c r="AH751"/>
      <c r="AL751" s="72"/>
    </row>
    <row r="752" spans="2:38" ht="12.9" customHeight="1">
      <c r="B752" s="75"/>
      <c r="C752" s="75"/>
      <c r="D752" s="75"/>
      <c r="E752" s="75"/>
      <c r="F752" s="73"/>
      <c r="G752" s="73"/>
      <c r="H752" s="74"/>
      <c r="I752" s="121"/>
      <c r="J752" s="121"/>
      <c r="K752" s="121"/>
      <c r="L752" s="121"/>
      <c r="M752" s="121"/>
      <c r="N752" s="99"/>
      <c r="O752" s="99"/>
      <c r="P752" s="99"/>
      <c r="Q752" s="99"/>
      <c r="R752" s="99"/>
      <c r="S752" s="99"/>
      <c r="T752" s="99"/>
      <c r="Z752"/>
      <c r="AC752"/>
      <c r="AH752"/>
      <c r="AL752" s="72"/>
    </row>
    <row r="753" spans="2:38" ht="12.9" customHeight="1">
      <c r="B753" s="75"/>
      <c r="C753" s="75"/>
      <c r="D753" s="75"/>
      <c r="E753" s="75"/>
      <c r="F753" s="73"/>
      <c r="G753" s="73"/>
      <c r="H753" s="74"/>
      <c r="I753" s="121"/>
      <c r="J753" s="121"/>
      <c r="K753" s="121"/>
      <c r="L753" s="121"/>
      <c r="M753" s="121"/>
      <c r="N753" s="99"/>
      <c r="O753" s="99"/>
      <c r="P753" s="99"/>
      <c r="Q753" s="99"/>
      <c r="R753" s="99"/>
      <c r="S753" s="99"/>
      <c r="T753" s="99"/>
      <c r="Z753"/>
      <c r="AC753"/>
      <c r="AH753"/>
      <c r="AL753" s="72"/>
    </row>
    <row r="754" spans="2:38" ht="12.9" customHeight="1">
      <c r="B754" s="75"/>
      <c r="C754" s="75"/>
      <c r="D754" s="75"/>
      <c r="E754" s="75"/>
      <c r="F754" s="73"/>
      <c r="G754" s="73"/>
      <c r="H754" s="74"/>
      <c r="I754" s="121"/>
      <c r="J754" s="121"/>
      <c r="K754" s="121"/>
      <c r="L754" s="121"/>
      <c r="M754" s="121"/>
      <c r="N754" s="99"/>
      <c r="O754" s="99"/>
      <c r="P754" s="99"/>
      <c r="Q754" s="99"/>
      <c r="R754" s="99"/>
      <c r="S754" s="99"/>
      <c r="T754" s="99"/>
      <c r="Z754"/>
      <c r="AC754"/>
      <c r="AH754"/>
      <c r="AL754" s="72"/>
    </row>
    <row r="755" spans="2:38" ht="12.9" customHeight="1">
      <c r="B755" s="75"/>
      <c r="C755" s="75"/>
      <c r="D755" s="75"/>
      <c r="E755" s="75"/>
      <c r="F755" s="73"/>
      <c r="G755" s="73"/>
      <c r="H755" s="74"/>
      <c r="I755" s="121"/>
      <c r="J755" s="121"/>
      <c r="K755" s="121"/>
      <c r="L755" s="121"/>
      <c r="M755" s="121"/>
      <c r="N755" s="99"/>
      <c r="O755" s="99"/>
      <c r="P755" s="99"/>
      <c r="Q755" s="99"/>
      <c r="R755" s="99"/>
      <c r="S755" s="99"/>
      <c r="T755" s="99"/>
      <c r="Z755"/>
      <c r="AC755"/>
      <c r="AH755"/>
      <c r="AL755" s="72"/>
    </row>
    <row r="756" spans="2:38" ht="12.9" customHeight="1">
      <c r="B756" s="75"/>
      <c r="C756" s="75"/>
      <c r="D756" s="75"/>
      <c r="E756" s="75"/>
      <c r="F756" s="73"/>
      <c r="G756" s="73"/>
      <c r="H756" s="74"/>
      <c r="I756" s="121"/>
      <c r="J756" s="121"/>
      <c r="K756" s="121"/>
      <c r="L756" s="121"/>
      <c r="M756" s="121"/>
      <c r="N756" s="99"/>
      <c r="O756" s="99"/>
      <c r="P756" s="99"/>
      <c r="Q756" s="99"/>
      <c r="R756" s="99"/>
      <c r="S756" s="99"/>
      <c r="T756" s="99"/>
      <c r="Z756"/>
      <c r="AC756"/>
      <c r="AH756"/>
      <c r="AL756" s="72"/>
    </row>
    <row r="757" spans="2:38" ht="12.9" customHeight="1">
      <c r="B757" s="75"/>
      <c r="C757" s="75"/>
      <c r="D757" s="75"/>
      <c r="E757" s="75"/>
      <c r="F757" s="73"/>
      <c r="G757" s="73"/>
      <c r="H757" s="74"/>
      <c r="I757" s="121"/>
      <c r="J757" s="121"/>
      <c r="K757" s="121"/>
      <c r="L757" s="121"/>
      <c r="M757" s="121"/>
      <c r="N757" s="98"/>
      <c r="O757" s="98"/>
      <c r="P757" s="98"/>
      <c r="Q757" s="98"/>
      <c r="R757" s="98"/>
      <c r="S757" s="98"/>
      <c r="T757" s="98"/>
      <c r="Z757"/>
      <c r="AC757"/>
      <c r="AH757"/>
    </row>
    <row r="758" spans="2:38" ht="12.9" customHeight="1">
      <c r="B758" s="75"/>
      <c r="C758" s="75"/>
      <c r="D758" s="75"/>
      <c r="E758" s="75"/>
      <c r="F758" s="73"/>
      <c r="G758" s="73"/>
      <c r="H758" s="74"/>
      <c r="I758" s="121"/>
      <c r="J758" s="121"/>
      <c r="K758" s="121"/>
      <c r="L758" s="121"/>
      <c r="M758" s="121"/>
      <c r="N758" s="98"/>
      <c r="O758" s="98"/>
      <c r="P758" s="98"/>
      <c r="Q758" s="98"/>
      <c r="R758" s="98"/>
      <c r="S758" s="98"/>
      <c r="T758" s="98"/>
      <c r="Z758"/>
      <c r="AC758"/>
      <c r="AH758"/>
    </row>
    <row r="759" spans="2:38" ht="12.9" customHeight="1">
      <c r="B759" s="75"/>
      <c r="C759" s="75"/>
      <c r="D759" s="75"/>
      <c r="E759" s="75"/>
      <c r="F759" s="73"/>
      <c r="G759" s="73"/>
      <c r="H759" s="74"/>
      <c r="I759" s="121"/>
      <c r="J759" s="121"/>
      <c r="K759" s="121"/>
      <c r="L759" s="121"/>
      <c r="M759" s="121"/>
      <c r="N759" s="98"/>
      <c r="O759" s="98"/>
      <c r="P759" s="98"/>
      <c r="Q759" s="98"/>
      <c r="R759" s="98"/>
      <c r="S759" s="98"/>
      <c r="T759" s="98"/>
      <c r="Z759"/>
      <c r="AC759"/>
      <c r="AH759"/>
    </row>
    <row r="760" spans="2:38" ht="12.9" customHeight="1">
      <c r="B760" s="75"/>
      <c r="C760" s="75"/>
      <c r="D760" s="75"/>
      <c r="E760" s="75"/>
      <c r="F760" s="73"/>
      <c r="G760" s="73"/>
      <c r="H760" s="74"/>
      <c r="I760" s="121"/>
      <c r="J760" s="121"/>
      <c r="K760" s="121"/>
      <c r="L760" s="121"/>
      <c r="M760" s="121"/>
      <c r="N760" s="98"/>
      <c r="O760" s="98"/>
      <c r="P760" s="98"/>
      <c r="Q760" s="98"/>
      <c r="R760" s="98"/>
      <c r="S760" s="98"/>
      <c r="T760" s="98"/>
      <c r="Z760"/>
      <c r="AC760"/>
      <c r="AH760"/>
    </row>
    <row r="761" spans="2:38" ht="12.9" customHeight="1">
      <c r="B761" s="75"/>
      <c r="C761" s="75"/>
      <c r="D761" s="75"/>
      <c r="E761" s="75"/>
      <c r="F761" s="73"/>
      <c r="G761" s="73"/>
      <c r="H761" s="74"/>
      <c r="I761" s="121"/>
      <c r="J761" s="121"/>
      <c r="K761" s="121"/>
      <c r="L761" s="121"/>
      <c r="M761" s="121"/>
      <c r="N761" s="98"/>
      <c r="O761" s="98"/>
      <c r="P761" s="98"/>
      <c r="Q761" s="98"/>
      <c r="R761" s="98"/>
      <c r="S761" s="98"/>
      <c r="T761" s="98"/>
      <c r="Z761"/>
      <c r="AC761"/>
      <c r="AH761"/>
    </row>
    <row r="762" spans="2:38" ht="12.9" customHeight="1">
      <c r="B762" s="75"/>
      <c r="C762" s="75"/>
      <c r="D762" s="75"/>
      <c r="E762" s="75"/>
      <c r="F762" s="73"/>
      <c r="G762" s="73"/>
      <c r="H762" s="74"/>
      <c r="I762" s="121"/>
      <c r="J762" s="121"/>
      <c r="K762" s="121"/>
      <c r="L762" s="121"/>
      <c r="M762" s="121"/>
      <c r="N762" s="98"/>
      <c r="O762" s="98"/>
      <c r="P762" s="98"/>
      <c r="Q762" s="98"/>
      <c r="R762" s="98"/>
      <c r="S762" s="98"/>
      <c r="T762" s="98"/>
      <c r="Z762"/>
      <c r="AC762"/>
      <c r="AH762"/>
    </row>
    <row r="763" spans="2:38" ht="12.9" customHeight="1">
      <c r="B763" s="75"/>
      <c r="C763" s="75"/>
      <c r="D763" s="75"/>
      <c r="E763" s="75"/>
      <c r="F763" s="73"/>
      <c r="G763" s="73"/>
      <c r="H763" s="74"/>
      <c r="I763" s="121"/>
      <c r="J763" s="121"/>
      <c r="K763" s="121"/>
      <c r="L763" s="121"/>
      <c r="M763" s="121"/>
      <c r="N763" s="98"/>
      <c r="O763" s="98"/>
      <c r="P763" s="98"/>
      <c r="Q763" s="98"/>
      <c r="R763" s="98"/>
      <c r="S763" s="98"/>
      <c r="T763" s="98"/>
      <c r="Z763"/>
      <c r="AC763"/>
      <c r="AH763"/>
      <c r="AL763" s="72"/>
    </row>
    <row r="764" spans="2:38" ht="12.9" customHeight="1">
      <c r="B764" s="75"/>
      <c r="C764" s="75"/>
      <c r="D764" s="75"/>
      <c r="E764" s="75"/>
      <c r="F764" s="73"/>
      <c r="G764" s="73"/>
      <c r="H764" s="74"/>
      <c r="I764" s="121"/>
      <c r="J764" s="121"/>
      <c r="K764" s="121"/>
      <c r="L764" s="121"/>
      <c r="M764" s="121"/>
      <c r="N764" s="98"/>
      <c r="O764" s="98"/>
      <c r="P764" s="98"/>
      <c r="Q764" s="98"/>
      <c r="R764" s="98"/>
      <c r="S764" s="98"/>
      <c r="T764" s="98"/>
      <c r="Z764"/>
      <c r="AC764"/>
      <c r="AH764"/>
      <c r="AL764" s="72"/>
    </row>
    <row r="765" spans="2:38" ht="12.9" customHeight="1">
      <c r="B765" s="75"/>
      <c r="C765" s="75"/>
      <c r="D765" s="75"/>
      <c r="E765" s="75"/>
      <c r="F765" s="73"/>
      <c r="G765" s="73"/>
      <c r="H765" s="74"/>
      <c r="I765" s="121"/>
      <c r="J765" s="121"/>
      <c r="K765" s="121"/>
      <c r="L765" s="121"/>
      <c r="M765" s="121"/>
      <c r="N765" s="98"/>
      <c r="O765" s="98"/>
      <c r="P765" s="98"/>
      <c r="Q765" s="98"/>
      <c r="R765" s="98"/>
      <c r="S765" s="98"/>
      <c r="T765" s="98"/>
      <c r="Z765"/>
      <c r="AC765"/>
      <c r="AH765"/>
      <c r="AL765" s="72"/>
    </row>
    <row r="766" spans="2:38" ht="12.9" customHeight="1">
      <c r="B766" s="75"/>
      <c r="C766" s="75"/>
      <c r="D766" s="75"/>
      <c r="E766" s="75"/>
      <c r="F766" s="73"/>
      <c r="G766" s="73"/>
      <c r="H766" s="74"/>
      <c r="I766" s="121"/>
      <c r="J766" s="121"/>
      <c r="K766" s="121"/>
      <c r="L766" s="121"/>
      <c r="M766" s="121"/>
      <c r="N766" s="98"/>
      <c r="O766" s="98"/>
      <c r="P766" s="98"/>
      <c r="Q766" s="98"/>
      <c r="R766" s="98"/>
      <c r="S766" s="98"/>
      <c r="T766" s="98"/>
      <c r="Z766"/>
      <c r="AC766"/>
      <c r="AH766"/>
      <c r="AL766" s="72"/>
    </row>
    <row r="767" spans="2:38" ht="12.9" customHeight="1">
      <c r="B767" s="75"/>
      <c r="C767" s="75"/>
      <c r="D767" s="75"/>
      <c r="E767" s="75"/>
      <c r="F767" s="73"/>
      <c r="G767" s="73"/>
      <c r="H767" s="74"/>
      <c r="I767" s="121"/>
      <c r="J767" s="121"/>
      <c r="K767" s="121"/>
      <c r="L767" s="121"/>
      <c r="M767" s="121"/>
      <c r="N767" s="98"/>
      <c r="O767" s="98"/>
      <c r="P767" s="98"/>
      <c r="Q767" s="98"/>
      <c r="R767" s="98"/>
      <c r="S767" s="98"/>
      <c r="T767" s="98"/>
      <c r="Z767"/>
      <c r="AC767"/>
      <c r="AH767"/>
      <c r="AL767" s="72"/>
    </row>
    <row r="768" spans="2:38" ht="12.9" customHeight="1">
      <c r="B768" s="75"/>
      <c r="C768" s="75"/>
      <c r="D768" s="75"/>
      <c r="E768" s="75"/>
      <c r="F768" s="73"/>
      <c r="G768" s="73"/>
      <c r="H768" s="74"/>
      <c r="I768" s="121"/>
      <c r="J768" s="121"/>
      <c r="K768" s="121"/>
      <c r="L768" s="121"/>
      <c r="M768" s="121"/>
      <c r="N768" s="98"/>
      <c r="O768" s="98"/>
      <c r="P768" s="98"/>
      <c r="Q768" s="98"/>
      <c r="R768" s="98"/>
      <c r="S768" s="98"/>
      <c r="T768" s="98"/>
      <c r="Z768"/>
      <c r="AC768"/>
      <c r="AH768"/>
      <c r="AL768" s="72"/>
    </row>
    <row r="769" spans="2:38" ht="12.9" customHeight="1">
      <c r="B769" s="75"/>
      <c r="C769" s="75"/>
      <c r="D769" s="75"/>
      <c r="E769" s="75"/>
      <c r="F769" s="73"/>
      <c r="G769" s="73"/>
      <c r="H769" s="74"/>
      <c r="I769" s="121"/>
      <c r="J769" s="121"/>
      <c r="K769" s="121"/>
      <c r="L769" s="121"/>
      <c r="M769" s="121"/>
      <c r="N769" s="98"/>
      <c r="O769" s="98"/>
      <c r="P769" s="98"/>
      <c r="Q769" s="98"/>
      <c r="R769" s="98"/>
      <c r="S769" s="98"/>
      <c r="T769" s="98"/>
      <c r="Z769"/>
      <c r="AC769"/>
      <c r="AH769"/>
      <c r="AL769" s="72"/>
    </row>
    <row r="770" spans="2:38" ht="12.9" customHeight="1">
      <c r="B770" s="75"/>
      <c r="C770" s="75"/>
      <c r="D770" s="75"/>
      <c r="E770" s="75"/>
      <c r="F770" s="73"/>
      <c r="G770" s="73"/>
      <c r="H770" s="74"/>
      <c r="I770" s="121"/>
      <c r="J770" s="121"/>
      <c r="K770" s="121"/>
      <c r="L770" s="121"/>
      <c r="M770" s="121"/>
      <c r="N770" s="98"/>
      <c r="O770" s="98"/>
      <c r="P770" s="98"/>
      <c r="Q770" s="98"/>
      <c r="R770" s="98"/>
      <c r="S770" s="98"/>
      <c r="T770" s="98"/>
      <c r="Z770"/>
      <c r="AC770"/>
      <c r="AH770"/>
      <c r="AL770" s="72"/>
    </row>
    <row r="771" spans="2:38" ht="12.9" customHeight="1">
      <c r="B771" s="75"/>
      <c r="C771" s="75"/>
      <c r="D771" s="75"/>
      <c r="E771" s="75"/>
      <c r="F771" s="73"/>
      <c r="G771" s="73"/>
      <c r="H771" s="74"/>
      <c r="I771" s="121"/>
      <c r="J771" s="121"/>
      <c r="K771" s="121"/>
      <c r="L771" s="121"/>
      <c r="M771" s="121"/>
      <c r="N771" s="98"/>
      <c r="O771" s="98"/>
      <c r="P771" s="98"/>
      <c r="Q771" s="98"/>
      <c r="R771" s="98"/>
      <c r="S771" s="98"/>
      <c r="T771" s="98"/>
      <c r="Z771"/>
      <c r="AC771"/>
      <c r="AH771"/>
      <c r="AL771" s="72"/>
    </row>
    <row r="772" spans="2:38" ht="12.9" customHeight="1">
      <c r="B772" s="75"/>
      <c r="C772" s="75"/>
      <c r="D772" s="75"/>
      <c r="E772" s="75"/>
      <c r="F772" s="73"/>
      <c r="G772" s="73"/>
      <c r="H772" s="74"/>
      <c r="I772" s="121"/>
      <c r="J772" s="121"/>
      <c r="K772" s="121"/>
      <c r="L772" s="121"/>
      <c r="M772" s="121"/>
      <c r="N772" s="98"/>
      <c r="O772" s="98"/>
      <c r="P772" s="98"/>
      <c r="Q772" s="98"/>
      <c r="R772" s="98"/>
      <c r="S772" s="98"/>
      <c r="T772" s="98"/>
      <c r="Z772"/>
      <c r="AC772"/>
      <c r="AH772"/>
      <c r="AL772" s="72"/>
    </row>
    <row r="773" spans="2:38" ht="12.9" customHeight="1">
      <c r="B773" s="75"/>
      <c r="C773" s="75"/>
      <c r="D773" s="75"/>
      <c r="E773" s="75"/>
      <c r="F773" s="73"/>
      <c r="G773" s="73"/>
      <c r="H773" s="74"/>
      <c r="I773" s="121"/>
      <c r="J773" s="121"/>
      <c r="K773" s="121"/>
      <c r="L773" s="121"/>
      <c r="M773" s="121"/>
      <c r="N773" s="98"/>
      <c r="O773" s="98"/>
      <c r="P773" s="98"/>
      <c r="Q773" s="98"/>
      <c r="R773" s="98"/>
      <c r="S773" s="98"/>
      <c r="T773" s="98"/>
      <c r="Z773"/>
      <c r="AC773"/>
      <c r="AH773"/>
      <c r="AL773" s="72"/>
    </row>
    <row r="774" spans="2:38" ht="12.9" customHeight="1">
      <c r="B774" s="75"/>
      <c r="C774" s="75"/>
      <c r="D774" s="75"/>
      <c r="E774" s="75"/>
      <c r="F774" s="73"/>
      <c r="G774" s="73"/>
      <c r="H774" s="74"/>
      <c r="I774" s="121"/>
      <c r="J774" s="121"/>
      <c r="K774" s="121"/>
      <c r="L774" s="121"/>
      <c r="M774" s="121"/>
      <c r="N774" s="99"/>
      <c r="O774" s="99"/>
      <c r="P774" s="99"/>
      <c r="Q774" s="99"/>
      <c r="R774" s="99"/>
      <c r="S774" s="99"/>
      <c r="T774" s="99"/>
      <c r="Z774"/>
      <c r="AC774"/>
      <c r="AH774"/>
      <c r="AL774" s="72"/>
    </row>
    <row r="775" spans="2:38" ht="12.9" customHeight="1">
      <c r="B775" s="75"/>
      <c r="C775" s="75"/>
      <c r="D775" s="75"/>
      <c r="E775" s="75"/>
      <c r="F775" s="73"/>
      <c r="G775" s="73"/>
      <c r="H775" s="74"/>
      <c r="I775" s="121"/>
      <c r="J775" s="121"/>
      <c r="K775" s="121"/>
      <c r="L775" s="121"/>
      <c r="M775" s="121"/>
      <c r="N775" s="98"/>
      <c r="O775" s="98"/>
      <c r="P775" s="98"/>
      <c r="Q775" s="98"/>
      <c r="R775" s="98"/>
      <c r="S775" s="98"/>
      <c r="T775" s="98"/>
      <c r="Z775"/>
      <c r="AC775"/>
      <c r="AH775"/>
      <c r="AL775" s="72"/>
    </row>
    <row r="776" spans="2:38" ht="12.9" customHeight="1">
      <c r="B776" s="75"/>
      <c r="C776" s="75"/>
      <c r="D776" s="75"/>
      <c r="E776" s="75"/>
      <c r="F776" s="73"/>
      <c r="G776" s="73"/>
      <c r="H776" s="74"/>
      <c r="I776" s="121"/>
      <c r="J776" s="121"/>
      <c r="K776" s="121"/>
      <c r="L776" s="121"/>
      <c r="M776" s="121"/>
      <c r="N776" s="98"/>
      <c r="O776" s="98"/>
      <c r="P776" s="98"/>
      <c r="Q776" s="98"/>
      <c r="R776" s="98"/>
      <c r="S776" s="98"/>
      <c r="T776" s="98"/>
      <c r="Z776"/>
      <c r="AC776"/>
      <c r="AH776"/>
      <c r="AL776" s="72"/>
    </row>
    <row r="777" spans="2:38" ht="12.9" customHeight="1">
      <c r="B777" s="75"/>
      <c r="C777" s="75"/>
      <c r="D777" s="75"/>
      <c r="E777" s="75"/>
      <c r="F777" s="73"/>
      <c r="G777" s="73"/>
      <c r="H777" s="74"/>
      <c r="I777" s="121"/>
      <c r="J777" s="121"/>
      <c r="K777" s="121"/>
      <c r="L777" s="121"/>
      <c r="M777" s="121"/>
      <c r="N777" s="98"/>
      <c r="O777" s="98"/>
      <c r="P777" s="98"/>
      <c r="Q777" s="98"/>
      <c r="R777" s="98"/>
      <c r="S777" s="98"/>
      <c r="T777" s="98"/>
    </row>
    <row r="778" spans="2:38" ht="12.9" customHeight="1">
      <c r="B778" s="75"/>
      <c r="C778" s="75"/>
      <c r="D778" s="75"/>
      <c r="E778" s="75"/>
      <c r="F778" s="73"/>
      <c r="G778" s="73"/>
      <c r="H778" s="74"/>
      <c r="I778" s="121"/>
      <c r="J778" s="121"/>
      <c r="K778" s="121"/>
      <c r="L778" s="121"/>
      <c r="M778" s="121"/>
      <c r="N778" s="98"/>
      <c r="O778" s="98"/>
      <c r="P778" s="98"/>
      <c r="Q778" s="98"/>
      <c r="R778" s="98"/>
      <c r="S778" s="98"/>
      <c r="T778" s="98"/>
    </row>
    <row r="779" spans="2:38" ht="12.9" customHeight="1">
      <c r="B779" s="75"/>
      <c r="C779" s="75"/>
      <c r="D779" s="75"/>
      <c r="E779" s="75"/>
      <c r="F779" s="73"/>
      <c r="G779" s="73"/>
      <c r="H779" s="74"/>
      <c r="I779" s="121"/>
      <c r="J779" s="121"/>
      <c r="K779" s="121"/>
      <c r="L779" s="121"/>
      <c r="M779" s="121"/>
      <c r="N779" s="98"/>
      <c r="O779" s="98"/>
      <c r="P779" s="98"/>
      <c r="Q779" s="98"/>
      <c r="R779" s="98"/>
      <c r="S779" s="98"/>
      <c r="T779" s="98"/>
    </row>
    <row r="780" spans="2:38" ht="12.9" customHeight="1">
      <c r="B780" s="75"/>
      <c r="C780" s="75"/>
      <c r="D780" s="75"/>
      <c r="E780" s="75"/>
      <c r="F780" s="73"/>
      <c r="G780" s="73"/>
      <c r="H780" s="74"/>
      <c r="I780" s="121"/>
      <c r="J780" s="121"/>
      <c r="K780" s="121"/>
      <c r="L780" s="121"/>
      <c r="M780" s="121"/>
      <c r="N780" s="98"/>
      <c r="O780" s="98"/>
      <c r="P780" s="98"/>
      <c r="Q780" s="98"/>
      <c r="R780" s="98"/>
      <c r="S780" s="98"/>
      <c r="T780" s="98"/>
    </row>
    <row r="781" spans="2:38" ht="12.9" customHeight="1">
      <c r="B781" s="75"/>
      <c r="C781" s="75"/>
      <c r="D781" s="75"/>
      <c r="E781" s="75"/>
      <c r="F781" s="73"/>
      <c r="G781" s="73"/>
      <c r="H781" s="74"/>
      <c r="I781" s="121"/>
      <c r="J781" s="121"/>
      <c r="K781" s="121"/>
      <c r="L781" s="121"/>
      <c r="M781" s="121"/>
      <c r="N781" s="98"/>
      <c r="O781" s="98"/>
      <c r="P781" s="98"/>
      <c r="Q781" s="98"/>
      <c r="R781" s="98"/>
      <c r="S781" s="98"/>
      <c r="T781" s="98"/>
    </row>
    <row r="782" spans="2:38" ht="12.9" customHeight="1">
      <c r="B782" s="75"/>
      <c r="C782" s="75"/>
      <c r="D782" s="75"/>
      <c r="E782" s="75"/>
      <c r="F782" s="73"/>
      <c r="G782" s="73"/>
      <c r="H782" s="74"/>
      <c r="I782" s="121"/>
      <c r="J782" s="121"/>
      <c r="K782" s="121"/>
      <c r="L782" s="121"/>
      <c r="M782" s="121"/>
      <c r="N782" s="98"/>
      <c r="O782" s="98"/>
      <c r="P782" s="98"/>
      <c r="Q782" s="98"/>
      <c r="R782" s="98"/>
      <c r="S782" s="98"/>
      <c r="T782" s="98"/>
    </row>
    <row r="783" spans="2:38" ht="12.9" customHeight="1">
      <c r="B783" s="75"/>
      <c r="C783" s="75"/>
      <c r="D783" s="75"/>
      <c r="E783" s="75"/>
      <c r="F783" s="73"/>
      <c r="G783" s="73"/>
      <c r="H783" s="74"/>
      <c r="I783" s="121"/>
      <c r="J783" s="121"/>
      <c r="K783" s="121"/>
      <c r="L783" s="121"/>
      <c r="M783" s="121"/>
      <c r="N783" s="98"/>
      <c r="O783" s="98"/>
      <c r="P783" s="98"/>
      <c r="Q783" s="98"/>
      <c r="R783" s="98"/>
      <c r="S783" s="98"/>
      <c r="T783" s="98"/>
    </row>
    <row r="784" spans="2:38" ht="12.9" customHeight="1">
      <c r="B784" s="75"/>
      <c r="C784" s="75"/>
      <c r="D784" s="75"/>
      <c r="E784" s="75"/>
      <c r="F784" s="73"/>
      <c r="G784" s="73"/>
      <c r="H784" s="74"/>
      <c r="I784" s="121"/>
      <c r="J784" s="121"/>
      <c r="K784" s="121"/>
      <c r="L784" s="121"/>
      <c r="M784" s="121"/>
      <c r="N784" s="98"/>
      <c r="O784" s="98"/>
      <c r="P784" s="98"/>
      <c r="Q784" s="98"/>
      <c r="R784" s="98"/>
      <c r="S784" s="98"/>
      <c r="T784" s="98"/>
    </row>
    <row r="785" spans="2:20" ht="12.9" customHeight="1">
      <c r="B785" s="75"/>
      <c r="C785" s="75"/>
      <c r="D785" s="75"/>
      <c r="E785" s="75"/>
      <c r="F785" s="73"/>
      <c r="G785" s="73"/>
      <c r="H785" s="74"/>
      <c r="I785" s="121"/>
      <c r="J785" s="121"/>
      <c r="K785" s="121"/>
      <c r="L785" s="121"/>
      <c r="M785" s="121"/>
      <c r="N785" s="98"/>
      <c r="O785" s="98"/>
      <c r="P785" s="98"/>
      <c r="Q785" s="98"/>
      <c r="R785" s="98"/>
      <c r="S785" s="98"/>
      <c r="T785" s="98"/>
    </row>
    <row r="786" spans="2:20" ht="12.9" customHeight="1">
      <c r="B786" s="75"/>
      <c r="C786" s="75"/>
      <c r="D786" s="75"/>
      <c r="E786" s="75"/>
      <c r="F786" s="73"/>
      <c r="G786" s="73"/>
      <c r="H786" s="74"/>
      <c r="I786" s="121"/>
      <c r="J786" s="121"/>
      <c r="K786" s="121"/>
      <c r="L786" s="121"/>
      <c r="M786" s="121"/>
      <c r="N786" s="98"/>
      <c r="O786" s="98"/>
      <c r="P786" s="98"/>
      <c r="Q786" s="98"/>
      <c r="R786" s="98"/>
      <c r="S786" s="98"/>
      <c r="T786" s="98"/>
    </row>
    <row r="787" spans="2:20" ht="12.9" customHeight="1">
      <c r="B787" s="75"/>
      <c r="C787" s="75"/>
      <c r="D787" s="75"/>
      <c r="E787" s="75"/>
      <c r="F787" s="73"/>
      <c r="G787" s="73"/>
      <c r="H787" s="74"/>
      <c r="I787" s="121"/>
      <c r="J787" s="121"/>
      <c r="K787" s="121"/>
      <c r="L787" s="121"/>
      <c r="M787" s="121"/>
      <c r="N787" s="98"/>
      <c r="O787" s="98"/>
      <c r="P787" s="98"/>
      <c r="Q787" s="98"/>
      <c r="R787" s="98"/>
      <c r="S787" s="98"/>
      <c r="T787" s="98"/>
    </row>
    <row r="788" spans="2:20" ht="12.9" customHeight="1">
      <c r="B788" s="75"/>
      <c r="C788" s="75"/>
      <c r="D788" s="75"/>
      <c r="E788" s="75"/>
      <c r="F788" s="73"/>
      <c r="G788" s="73"/>
      <c r="H788" s="74"/>
      <c r="I788" s="121"/>
      <c r="J788" s="121"/>
      <c r="K788" s="121"/>
      <c r="L788" s="121"/>
      <c r="M788" s="121"/>
      <c r="N788" s="98"/>
      <c r="O788" s="98"/>
      <c r="P788" s="98"/>
      <c r="Q788" s="98"/>
      <c r="R788" s="98"/>
      <c r="S788" s="98"/>
      <c r="T788" s="98"/>
    </row>
    <row r="789" spans="2:20" ht="12.9" customHeight="1">
      <c r="B789" s="75"/>
      <c r="C789" s="75"/>
      <c r="D789" s="75"/>
      <c r="E789" s="75"/>
      <c r="F789" s="73"/>
      <c r="G789" s="73"/>
      <c r="H789" s="74"/>
      <c r="I789" s="121"/>
      <c r="J789" s="121"/>
      <c r="K789" s="121"/>
      <c r="L789" s="121"/>
      <c r="M789" s="121"/>
      <c r="N789" s="98"/>
      <c r="O789" s="98"/>
      <c r="P789" s="98"/>
      <c r="Q789" s="98"/>
      <c r="R789" s="98"/>
      <c r="S789" s="98"/>
      <c r="T789" s="98"/>
    </row>
    <row r="790" spans="2:20" ht="12.9" customHeight="1">
      <c r="B790" s="75"/>
      <c r="C790" s="75"/>
      <c r="D790" s="75"/>
      <c r="E790" s="75"/>
      <c r="F790" s="73"/>
      <c r="G790" s="73"/>
      <c r="H790" s="74"/>
      <c r="I790" s="121"/>
      <c r="J790" s="121"/>
      <c r="K790" s="121"/>
      <c r="L790" s="121"/>
      <c r="M790" s="121"/>
      <c r="N790" s="99"/>
      <c r="O790" s="99"/>
      <c r="P790" s="99"/>
      <c r="Q790" s="99"/>
      <c r="R790" s="99"/>
      <c r="S790" s="99"/>
      <c r="T790" s="99"/>
    </row>
    <row r="791" spans="2:20" ht="12.9" customHeight="1">
      <c r="B791" s="75"/>
      <c r="C791" s="75"/>
      <c r="D791" s="75"/>
      <c r="E791" s="75"/>
      <c r="F791" s="73"/>
      <c r="G791" s="73"/>
      <c r="H791" s="74"/>
      <c r="I791" s="121"/>
      <c r="J791" s="121"/>
      <c r="K791" s="121"/>
      <c r="L791" s="121"/>
      <c r="M791" s="121"/>
      <c r="N791" s="98"/>
      <c r="O791" s="98"/>
      <c r="P791" s="98"/>
      <c r="Q791" s="98"/>
      <c r="R791" s="98"/>
      <c r="S791" s="98"/>
      <c r="T791" s="98"/>
    </row>
    <row r="792" spans="2:20" ht="12.9" customHeight="1">
      <c r="B792" s="75"/>
      <c r="C792" s="75"/>
      <c r="D792" s="75"/>
      <c r="E792" s="75"/>
      <c r="F792" s="73"/>
      <c r="G792" s="73"/>
      <c r="H792" s="74"/>
      <c r="I792" s="121"/>
      <c r="J792" s="121"/>
      <c r="K792" s="121"/>
      <c r="L792" s="121"/>
      <c r="M792" s="121"/>
      <c r="N792" s="98"/>
      <c r="O792" s="98"/>
      <c r="P792" s="98"/>
      <c r="Q792" s="98"/>
      <c r="R792" s="98"/>
      <c r="S792" s="98"/>
      <c r="T792" s="98"/>
    </row>
    <row r="793" spans="2:20" ht="12.9" customHeight="1">
      <c r="B793" s="75"/>
      <c r="C793" s="75"/>
      <c r="D793" s="75"/>
      <c r="E793" s="75"/>
      <c r="F793" s="73"/>
      <c r="G793" s="73"/>
      <c r="H793" s="74"/>
      <c r="I793" s="121"/>
      <c r="J793" s="121"/>
      <c r="K793" s="121"/>
      <c r="L793" s="121"/>
      <c r="M793" s="121"/>
      <c r="N793" s="98"/>
      <c r="O793" s="98"/>
      <c r="P793" s="98"/>
      <c r="Q793" s="98"/>
      <c r="R793" s="98"/>
      <c r="S793" s="98"/>
      <c r="T793" s="98"/>
    </row>
    <row r="794" spans="2:20" ht="12.9" customHeight="1">
      <c r="B794" s="75"/>
      <c r="C794" s="75"/>
      <c r="D794" s="75"/>
      <c r="E794" s="75"/>
      <c r="F794" s="73"/>
      <c r="G794" s="73"/>
      <c r="H794" s="74"/>
      <c r="I794" s="121"/>
      <c r="J794" s="121"/>
      <c r="K794" s="121"/>
      <c r="L794" s="121"/>
      <c r="M794" s="121"/>
      <c r="N794" s="98"/>
      <c r="O794" s="98"/>
      <c r="P794" s="98"/>
      <c r="Q794" s="98"/>
      <c r="R794" s="98"/>
      <c r="S794" s="98"/>
      <c r="T794" s="98"/>
    </row>
    <row r="795" spans="2:20" ht="12.9" customHeight="1">
      <c r="B795" s="75"/>
      <c r="C795" s="75"/>
      <c r="D795" s="75"/>
      <c r="E795" s="75"/>
      <c r="F795" s="73"/>
      <c r="G795" s="73"/>
      <c r="H795" s="74"/>
      <c r="I795" s="121"/>
      <c r="J795" s="121"/>
      <c r="K795" s="121"/>
      <c r="L795" s="121"/>
      <c r="M795" s="121"/>
      <c r="N795" s="98"/>
      <c r="O795" s="98"/>
      <c r="P795" s="98"/>
      <c r="Q795" s="98"/>
      <c r="R795" s="98"/>
      <c r="S795" s="98"/>
      <c r="T795" s="98"/>
    </row>
    <row r="796" spans="2:20" ht="12.9" customHeight="1">
      <c r="B796" s="75"/>
      <c r="C796" s="75"/>
      <c r="D796" s="75"/>
      <c r="E796" s="75"/>
      <c r="F796" s="73"/>
      <c r="G796" s="73"/>
      <c r="H796" s="74"/>
      <c r="I796" s="121"/>
      <c r="J796" s="121"/>
      <c r="K796" s="121"/>
      <c r="L796" s="121"/>
      <c r="M796" s="121"/>
      <c r="N796" s="98"/>
      <c r="O796" s="98"/>
      <c r="P796" s="98"/>
      <c r="Q796" s="98"/>
      <c r="R796" s="98"/>
      <c r="S796" s="98"/>
      <c r="T796" s="98"/>
    </row>
    <row r="797" spans="2:20" ht="12.9" customHeight="1">
      <c r="B797" s="75"/>
      <c r="C797" s="75"/>
      <c r="D797" s="75"/>
      <c r="E797" s="75"/>
      <c r="F797" s="73"/>
      <c r="G797" s="73"/>
      <c r="H797" s="74"/>
      <c r="I797" s="121"/>
      <c r="J797" s="121"/>
      <c r="K797" s="121"/>
      <c r="L797" s="121"/>
      <c r="M797" s="121"/>
      <c r="N797" s="98"/>
      <c r="O797" s="98"/>
      <c r="P797" s="98"/>
      <c r="Q797" s="98"/>
      <c r="R797" s="98"/>
      <c r="S797" s="98"/>
      <c r="T797" s="98"/>
    </row>
    <row r="798" spans="2:20" ht="12.9" customHeight="1">
      <c r="B798" s="75"/>
      <c r="C798" s="75"/>
      <c r="D798" s="75"/>
      <c r="E798" s="75"/>
      <c r="F798" s="73"/>
      <c r="G798" s="73"/>
      <c r="H798" s="74"/>
      <c r="I798" s="121"/>
      <c r="J798" s="121"/>
      <c r="K798" s="121"/>
      <c r="L798" s="121"/>
      <c r="M798" s="121"/>
      <c r="N798" s="98"/>
      <c r="O798" s="98"/>
      <c r="P798" s="98"/>
      <c r="Q798" s="98"/>
      <c r="R798" s="98"/>
      <c r="S798" s="98"/>
      <c r="T798" s="98"/>
    </row>
    <row r="799" spans="2:20" ht="12.9" customHeight="1">
      <c r="B799" s="75"/>
      <c r="C799" s="75"/>
      <c r="D799" s="75"/>
      <c r="E799" s="75"/>
      <c r="F799" s="73"/>
      <c r="G799" s="73"/>
      <c r="H799" s="74"/>
      <c r="I799" s="121"/>
      <c r="J799" s="121"/>
      <c r="K799" s="121"/>
      <c r="L799" s="121"/>
      <c r="M799" s="121"/>
      <c r="N799" s="98"/>
      <c r="O799" s="98"/>
      <c r="P799" s="98"/>
      <c r="Q799" s="98"/>
      <c r="R799" s="98"/>
      <c r="S799" s="98"/>
      <c r="T799" s="98"/>
    </row>
    <row r="800" spans="2:20" ht="12.9" customHeight="1">
      <c r="B800" s="75"/>
      <c r="C800" s="75"/>
      <c r="D800" s="75"/>
      <c r="E800" s="75"/>
      <c r="F800" s="73"/>
      <c r="G800" s="73"/>
      <c r="H800" s="74"/>
      <c r="I800" s="121"/>
      <c r="J800" s="121"/>
      <c r="K800" s="121"/>
      <c r="L800" s="121"/>
      <c r="M800" s="121"/>
      <c r="N800" s="98"/>
      <c r="O800" s="98"/>
      <c r="P800" s="98"/>
      <c r="Q800" s="98"/>
      <c r="R800" s="98"/>
      <c r="S800" s="98"/>
      <c r="T800" s="98"/>
    </row>
    <row r="801" spans="2:20" ht="12.9" customHeight="1">
      <c r="B801" s="75"/>
      <c r="C801" s="75"/>
      <c r="D801" s="75"/>
      <c r="E801" s="75"/>
      <c r="F801" s="73"/>
      <c r="G801" s="73"/>
      <c r="H801" s="74"/>
      <c r="I801" s="121"/>
      <c r="J801" s="121"/>
      <c r="K801" s="121"/>
      <c r="L801" s="121"/>
      <c r="M801" s="121"/>
      <c r="N801" s="98"/>
      <c r="O801" s="98"/>
      <c r="P801" s="98"/>
      <c r="Q801" s="98"/>
      <c r="R801" s="98"/>
      <c r="S801" s="98"/>
      <c r="T801" s="98"/>
    </row>
    <row r="802" spans="2:20" ht="12.9" customHeight="1">
      <c r="B802" s="75"/>
      <c r="C802" s="75"/>
      <c r="D802" s="75"/>
      <c r="E802" s="75"/>
      <c r="F802" s="73"/>
      <c r="G802" s="73"/>
      <c r="H802" s="74"/>
      <c r="I802" s="121"/>
      <c r="J802" s="121"/>
      <c r="K802" s="121"/>
      <c r="L802" s="121"/>
      <c r="M802" s="121"/>
      <c r="N802" s="98"/>
      <c r="O802" s="98"/>
      <c r="P802" s="98"/>
      <c r="Q802" s="98"/>
      <c r="R802" s="98"/>
      <c r="S802" s="98"/>
      <c r="T802" s="98"/>
    </row>
    <row r="803" spans="2:20" ht="12.9" customHeight="1">
      <c r="B803" s="75"/>
      <c r="C803" s="75"/>
      <c r="D803" s="75"/>
      <c r="E803" s="75"/>
      <c r="F803" s="73"/>
      <c r="G803" s="73"/>
      <c r="H803" s="74"/>
      <c r="I803" s="121"/>
      <c r="J803" s="121"/>
      <c r="K803" s="121"/>
      <c r="L803" s="121"/>
      <c r="M803" s="121"/>
      <c r="N803" s="98"/>
      <c r="O803" s="98"/>
      <c r="P803" s="98"/>
      <c r="Q803" s="98"/>
      <c r="R803" s="98"/>
      <c r="S803" s="98"/>
      <c r="T803" s="98"/>
    </row>
    <row r="804" spans="2:20" ht="12.9" customHeight="1">
      <c r="B804" s="75"/>
      <c r="C804" s="75"/>
      <c r="D804" s="75"/>
      <c r="E804" s="75"/>
      <c r="F804" s="73"/>
      <c r="G804" s="73"/>
      <c r="H804" s="74"/>
      <c r="I804" s="121"/>
      <c r="J804" s="121"/>
      <c r="K804" s="121"/>
      <c r="L804" s="121"/>
      <c r="M804" s="121"/>
      <c r="N804" s="98"/>
      <c r="O804" s="98"/>
      <c r="P804" s="98"/>
      <c r="Q804" s="98"/>
      <c r="R804" s="98"/>
      <c r="S804" s="98"/>
      <c r="T804" s="98"/>
    </row>
    <row r="805" spans="2:20" ht="12.9" customHeight="1">
      <c r="B805" s="75"/>
      <c r="C805" s="75"/>
      <c r="D805" s="75"/>
      <c r="E805" s="75"/>
      <c r="F805" s="73"/>
      <c r="G805" s="73"/>
      <c r="H805" s="74"/>
      <c r="I805" s="121"/>
      <c r="J805" s="121"/>
      <c r="K805" s="121"/>
      <c r="L805" s="121"/>
      <c r="M805" s="121"/>
      <c r="N805" s="98"/>
      <c r="O805" s="98"/>
      <c r="P805" s="98"/>
      <c r="Q805" s="98"/>
      <c r="R805" s="98"/>
      <c r="S805" s="98"/>
      <c r="T805" s="98"/>
    </row>
    <row r="806" spans="2:20" ht="12.9" customHeight="1">
      <c r="B806" s="75"/>
      <c r="C806" s="75"/>
      <c r="D806" s="75"/>
      <c r="E806" s="75"/>
      <c r="F806" s="73"/>
      <c r="G806" s="73"/>
      <c r="H806" s="74"/>
      <c r="I806" s="121"/>
      <c r="J806" s="121"/>
      <c r="K806" s="121"/>
      <c r="L806" s="121"/>
      <c r="M806" s="121"/>
      <c r="N806" s="98"/>
      <c r="O806" s="98"/>
      <c r="P806" s="98"/>
      <c r="Q806" s="98"/>
      <c r="R806" s="98"/>
      <c r="S806" s="98"/>
      <c r="T806" s="98"/>
    </row>
    <row r="807" spans="2:20" ht="12.9" customHeight="1">
      <c r="B807" s="75"/>
      <c r="C807" s="75"/>
      <c r="D807" s="75"/>
      <c r="E807" s="75"/>
      <c r="F807" s="73"/>
      <c r="G807" s="73"/>
      <c r="H807" s="74"/>
      <c r="I807" s="121"/>
      <c r="J807" s="121"/>
      <c r="K807" s="121"/>
      <c r="L807" s="121"/>
      <c r="M807" s="121"/>
      <c r="N807" s="98"/>
      <c r="O807" s="98"/>
      <c r="P807" s="98"/>
      <c r="Q807" s="98"/>
      <c r="R807" s="98"/>
      <c r="S807" s="98"/>
      <c r="T807" s="98"/>
    </row>
    <row r="808" spans="2:20" ht="12.9" customHeight="1">
      <c r="B808" s="75"/>
      <c r="C808" s="75"/>
      <c r="D808" s="75"/>
      <c r="E808" s="75"/>
      <c r="F808" s="73"/>
      <c r="G808" s="73"/>
      <c r="H808" s="74"/>
      <c r="I808" s="121"/>
      <c r="J808" s="121"/>
      <c r="K808" s="121"/>
      <c r="L808" s="121"/>
      <c r="M808" s="121"/>
      <c r="N808" s="98"/>
      <c r="O808" s="98"/>
      <c r="P808" s="98"/>
      <c r="Q808" s="98"/>
      <c r="R808" s="98"/>
      <c r="S808" s="98"/>
      <c r="T808" s="98"/>
    </row>
    <row r="809" spans="2:20" ht="12.9" customHeight="1">
      <c r="B809" s="75"/>
      <c r="C809" s="75"/>
      <c r="D809" s="75"/>
      <c r="E809" s="75"/>
      <c r="F809" s="73"/>
      <c r="G809" s="73"/>
      <c r="H809" s="74"/>
      <c r="I809" s="121"/>
      <c r="J809" s="121"/>
      <c r="K809" s="121"/>
      <c r="L809" s="121"/>
      <c r="M809" s="121"/>
      <c r="N809" s="98"/>
      <c r="O809" s="98"/>
      <c r="P809" s="98"/>
      <c r="Q809" s="98"/>
      <c r="R809" s="98"/>
      <c r="S809" s="98"/>
      <c r="T809" s="98"/>
    </row>
    <row r="810" spans="2:20" ht="12.9" customHeight="1">
      <c r="B810" s="75"/>
      <c r="C810" s="75"/>
      <c r="D810" s="75"/>
      <c r="E810" s="75"/>
      <c r="F810" s="73"/>
      <c r="G810" s="73"/>
      <c r="H810" s="74"/>
      <c r="I810" s="121"/>
      <c r="J810" s="121"/>
      <c r="K810" s="121"/>
      <c r="L810" s="121"/>
      <c r="M810" s="121"/>
      <c r="N810" s="98"/>
      <c r="O810" s="98"/>
      <c r="P810" s="98"/>
      <c r="Q810" s="98"/>
      <c r="R810" s="98"/>
      <c r="S810" s="98"/>
      <c r="T810" s="98"/>
    </row>
    <row r="811" spans="2:20" ht="12.9" customHeight="1">
      <c r="B811" s="75"/>
      <c r="C811" s="75"/>
      <c r="D811" s="75"/>
      <c r="E811" s="75"/>
      <c r="F811" s="73"/>
      <c r="G811" s="73"/>
      <c r="H811" s="74"/>
      <c r="I811" s="121"/>
      <c r="J811" s="121"/>
      <c r="K811" s="121"/>
      <c r="L811" s="121"/>
      <c r="M811" s="121"/>
      <c r="N811" s="98"/>
      <c r="O811" s="98"/>
      <c r="P811" s="98"/>
      <c r="Q811" s="98"/>
      <c r="R811" s="98"/>
      <c r="S811" s="98"/>
      <c r="T811" s="98"/>
    </row>
    <row r="812" spans="2:20" ht="12.9" customHeight="1">
      <c r="B812" s="75"/>
      <c r="C812" s="75"/>
      <c r="D812" s="75"/>
      <c r="E812" s="75"/>
      <c r="F812" s="73"/>
      <c r="G812" s="73"/>
      <c r="H812" s="74"/>
      <c r="I812" s="121"/>
      <c r="J812" s="121"/>
      <c r="K812" s="121"/>
      <c r="L812" s="121"/>
      <c r="M812" s="121"/>
      <c r="N812" s="99"/>
      <c r="O812" s="99"/>
      <c r="P812" s="99"/>
      <c r="Q812" s="99"/>
      <c r="R812" s="99"/>
      <c r="S812" s="99"/>
      <c r="T812" s="99"/>
    </row>
    <row r="813" spans="2:20" ht="12.9" customHeight="1">
      <c r="B813" s="75"/>
      <c r="C813" s="75"/>
      <c r="D813" s="75"/>
      <c r="E813" s="75"/>
      <c r="F813" s="73"/>
      <c r="G813" s="73"/>
      <c r="H813" s="74"/>
      <c r="I813" s="121"/>
      <c r="J813" s="121"/>
      <c r="K813" s="121"/>
      <c r="L813" s="121"/>
      <c r="M813" s="121"/>
      <c r="N813" s="99"/>
      <c r="O813" s="99"/>
      <c r="P813" s="99"/>
      <c r="Q813" s="99"/>
      <c r="R813" s="99"/>
      <c r="S813" s="99"/>
      <c r="T813" s="99"/>
    </row>
    <row r="814" spans="2:20" ht="12.9" customHeight="1">
      <c r="B814" s="75"/>
      <c r="C814" s="75"/>
      <c r="D814" s="75"/>
      <c r="E814" s="75"/>
      <c r="F814" s="73"/>
      <c r="G814" s="73"/>
      <c r="H814" s="74"/>
      <c r="I814" s="121"/>
      <c r="J814" s="121"/>
      <c r="K814" s="121"/>
      <c r="L814" s="121"/>
      <c r="M814" s="121"/>
      <c r="N814" s="98"/>
      <c r="O814" s="98"/>
      <c r="P814" s="98"/>
      <c r="Q814" s="98"/>
      <c r="R814" s="98"/>
      <c r="S814" s="98"/>
      <c r="T814" s="98"/>
    </row>
    <row r="815" spans="2:20" ht="12.9" customHeight="1">
      <c r="B815" s="75"/>
      <c r="C815" s="75"/>
      <c r="D815" s="75"/>
      <c r="E815" s="75"/>
      <c r="F815" s="73"/>
      <c r="G815" s="73"/>
      <c r="H815" s="74"/>
      <c r="I815" s="121"/>
      <c r="J815" s="121"/>
      <c r="K815" s="121"/>
      <c r="L815" s="121"/>
      <c r="M815" s="121"/>
      <c r="N815" s="98"/>
      <c r="O815" s="98"/>
      <c r="P815" s="98"/>
      <c r="Q815" s="98"/>
      <c r="R815" s="98"/>
      <c r="S815" s="98"/>
      <c r="T815" s="98"/>
    </row>
    <row r="816" spans="2:20" ht="12.9" customHeight="1">
      <c r="B816" s="75"/>
      <c r="C816" s="75"/>
      <c r="D816" s="75"/>
      <c r="E816" s="75"/>
      <c r="F816" s="73"/>
      <c r="G816" s="73"/>
      <c r="H816" s="74"/>
      <c r="I816" s="121"/>
      <c r="J816" s="121"/>
      <c r="K816" s="121"/>
      <c r="L816" s="121"/>
      <c r="M816" s="121"/>
      <c r="N816" s="98"/>
      <c r="O816" s="98"/>
      <c r="P816" s="98"/>
      <c r="Q816" s="98"/>
      <c r="R816" s="98"/>
      <c r="S816" s="98"/>
      <c r="T816" s="98"/>
    </row>
    <row r="817" spans="2:20" ht="12.9" customHeight="1">
      <c r="B817" s="75"/>
      <c r="C817" s="75"/>
      <c r="D817" s="75"/>
      <c r="E817" s="75"/>
      <c r="F817" s="73"/>
      <c r="G817" s="73"/>
      <c r="H817" s="74"/>
      <c r="I817" s="121"/>
      <c r="J817" s="121"/>
      <c r="K817" s="121"/>
      <c r="L817" s="121"/>
      <c r="M817" s="121"/>
      <c r="N817" s="99"/>
      <c r="O817" s="99"/>
      <c r="P817" s="99"/>
      <c r="Q817" s="99"/>
      <c r="R817" s="99"/>
      <c r="S817" s="99"/>
      <c r="T817" s="99"/>
    </row>
    <row r="818" spans="2:20" ht="12.9" customHeight="1">
      <c r="B818" s="75"/>
      <c r="C818" s="75"/>
      <c r="D818" s="75"/>
      <c r="E818" s="75"/>
      <c r="F818" s="73"/>
      <c r="G818" s="73"/>
      <c r="H818" s="74"/>
      <c r="I818" s="121"/>
      <c r="J818" s="121"/>
      <c r="K818" s="121"/>
      <c r="L818" s="121"/>
      <c r="M818" s="121"/>
      <c r="N818" s="99"/>
      <c r="O818" s="99"/>
      <c r="P818" s="99"/>
      <c r="Q818" s="99"/>
      <c r="R818" s="99"/>
      <c r="S818" s="99"/>
      <c r="T818" s="99"/>
    </row>
    <row r="819" spans="2:20" ht="12.9" customHeight="1">
      <c r="B819" s="75"/>
      <c r="C819" s="75"/>
      <c r="D819" s="75"/>
      <c r="E819" s="75"/>
      <c r="F819" s="73"/>
      <c r="G819" s="73"/>
      <c r="H819" s="74"/>
      <c r="I819" s="121"/>
      <c r="J819" s="121"/>
      <c r="K819" s="121"/>
      <c r="L819" s="121"/>
      <c r="M819" s="121"/>
      <c r="N819" s="99"/>
      <c r="O819" s="99"/>
      <c r="P819" s="99"/>
      <c r="Q819" s="99"/>
      <c r="R819" s="99"/>
      <c r="S819" s="99"/>
      <c r="T819" s="99"/>
    </row>
    <row r="820" spans="2:20" ht="12.9" customHeight="1">
      <c r="B820" s="75"/>
      <c r="C820" s="75"/>
      <c r="D820" s="75"/>
      <c r="E820" s="75"/>
      <c r="F820" s="73"/>
      <c r="G820" s="73"/>
      <c r="H820" s="74"/>
      <c r="I820" s="121"/>
      <c r="J820" s="121"/>
      <c r="K820" s="121"/>
      <c r="L820" s="121"/>
      <c r="M820" s="121"/>
      <c r="N820" s="99"/>
      <c r="O820" s="99"/>
      <c r="P820" s="99"/>
      <c r="Q820" s="99"/>
      <c r="R820" s="99"/>
      <c r="S820" s="99"/>
      <c r="T820" s="99"/>
    </row>
    <row r="821" spans="2:20" ht="12.9" customHeight="1">
      <c r="B821" s="75"/>
      <c r="C821" s="75"/>
      <c r="D821" s="75"/>
      <c r="E821" s="75"/>
      <c r="F821" s="73"/>
      <c r="G821" s="73"/>
      <c r="H821" s="74"/>
      <c r="I821" s="121"/>
      <c r="J821" s="121"/>
      <c r="K821" s="121"/>
      <c r="L821" s="121"/>
      <c r="M821" s="121"/>
      <c r="N821" s="98"/>
      <c r="O821" s="98"/>
      <c r="P821" s="98"/>
      <c r="Q821" s="98"/>
      <c r="R821" s="98"/>
      <c r="S821" s="98"/>
      <c r="T821" s="98"/>
    </row>
    <row r="822" spans="2:20" ht="12.9" customHeight="1">
      <c r="B822" s="75"/>
      <c r="C822" s="75"/>
      <c r="D822" s="75"/>
      <c r="E822" s="75"/>
      <c r="F822" s="73"/>
      <c r="G822" s="73"/>
      <c r="H822" s="74"/>
      <c r="I822" s="121"/>
      <c r="J822" s="121"/>
      <c r="K822" s="121"/>
      <c r="L822" s="121"/>
      <c r="M822" s="121"/>
      <c r="N822" s="98"/>
      <c r="O822" s="98"/>
      <c r="P822" s="98"/>
      <c r="Q822" s="98"/>
      <c r="R822" s="98"/>
      <c r="S822" s="98"/>
      <c r="T822" s="98"/>
    </row>
    <row r="823" spans="2:20" ht="12.9" customHeight="1">
      <c r="B823" s="75"/>
      <c r="C823" s="75"/>
      <c r="D823" s="75"/>
      <c r="E823" s="75"/>
      <c r="F823" s="73"/>
      <c r="G823" s="73"/>
      <c r="H823" s="74"/>
      <c r="I823" s="121"/>
      <c r="J823" s="121"/>
      <c r="K823" s="121"/>
      <c r="L823" s="121"/>
      <c r="M823" s="121"/>
      <c r="N823" s="98"/>
      <c r="O823" s="98"/>
      <c r="P823" s="98"/>
      <c r="Q823" s="98"/>
      <c r="R823" s="98"/>
      <c r="S823" s="98"/>
      <c r="T823" s="98"/>
    </row>
    <row r="824" spans="2:20" ht="12.9" customHeight="1">
      <c r="B824" s="75"/>
      <c r="C824" s="75"/>
      <c r="D824" s="75"/>
      <c r="E824" s="75"/>
      <c r="F824" s="73"/>
      <c r="G824" s="73"/>
      <c r="H824" s="74"/>
      <c r="I824" s="121"/>
      <c r="J824" s="121"/>
      <c r="K824" s="121"/>
      <c r="L824" s="121"/>
      <c r="M824" s="121"/>
      <c r="N824" s="98"/>
      <c r="O824" s="98"/>
      <c r="P824" s="98"/>
      <c r="Q824" s="98"/>
      <c r="R824" s="98"/>
      <c r="S824" s="98"/>
      <c r="T824" s="98"/>
    </row>
    <row r="825" spans="2:20" ht="12.9" customHeight="1">
      <c r="B825" s="75"/>
      <c r="C825" s="75"/>
      <c r="D825" s="75"/>
      <c r="E825" s="75"/>
      <c r="F825" s="73"/>
      <c r="G825" s="73"/>
      <c r="H825" s="74"/>
      <c r="I825" s="121"/>
      <c r="J825" s="121"/>
      <c r="K825" s="121"/>
      <c r="L825" s="121"/>
      <c r="M825" s="121"/>
      <c r="N825" s="98"/>
      <c r="O825" s="98"/>
      <c r="P825" s="98"/>
      <c r="Q825" s="98"/>
      <c r="R825" s="98"/>
      <c r="S825" s="98"/>
      <c r="T825" s="98"/>
    </row>
    <row r="826" spans="2:20" ht="12.9" customHeight="1">
      <c r="B826" s="75"/>
      <c r="C826" s="75"/>
      <c r="D826" s="75"/>
      <c r="E826" s="75"/>
      <c r="F826" s="73"/>
      <c r="G826" s="73"/>
      <c r="H826" s="74"/>
      <c r="I826" s="121"/>
      <c r="J826" s="121"/>
      <c r="K826" s="121"/>
      <c r="L826" s="121"/>
      <c r="M826" s="121"/>
      <c r="N826" s="98"/>
      <c r="O826" s="98"/>
      <c r="P826" s="98"/>
      <c r="Q826" s="98"/>
      <c r="R826" s="98"/>
      <c r="S826" s="98"/>
      <c r="T826" s="98"/>
    </row>
    <row r="827" spans="2:20" ht="12.9" customHeight="1">
      <c r="B827" s="75"/>
      <c r="C827" s="75"/>
      <c r="D827" s="75"/>
      <c r="E827" s="75"/>
      <c r="F827" s="73"/>
      <c r="G827" s="73"/>
      <c r="H827" s="74"/>
      <c r="I827" s="121"/>
      <c r="J827" s="121"/>
      <c r="K827" s="121"/>
      <c r="L827" s="121"/>
      <c r="M827" s="121"/>
      <c r="N827" s="98"/>
      <c r="O827" s="98"/>
      <c r="P827" s="98"/>
      <c r="Q827" s="98"/>
      <c r="R827" s="98"/>
      <c r="S827" s="98"/>
      <c r="T827" s="98"/>
    </row>
    <row r="828" spans="2:20" ht="12.9" customHeight="1">
      <c r="B828" s="75"/>
      <c r="C828" s="75"/>
      <c r="D828" s="75"/>
      <c r="E828" s="75"/>
      <c r="F828" s="73"/>
      <c r="G828" s="73"/>
      <c r="H828" s="74"/>
      <c r="I828" s="121"/>
      <c r="J828" s="121"/>
      <c r="K828" s="121"/>
      <c r="L828" s="121"/>
      <c r="M828" s="121"/>
      <c r="N828" s="98"/>
      <c r="O828" s="98"/>
      <c r="P828" s="98"/>
      <c r="Q828" s="98"/>
      <c r="R828" s="98"/>
      <c r="S828" s="98"/>
      <c r="T828" s="98"/>
    </row>
    <row r="829" spans="2:20" ht="12.9" customHeight="1">
      <c r="B829" s="75"/>
      <c r="C829" s="75"/>
      <c r="D829" s="75"/>
      <c r="E829" s="75"/>
      <c r="F829" s="73"/>
      <c r="G829" s="73"/>
      <c r="H829" s="74"/>
      <c r="I829" s="121"/>
      <c r="J829" s="121"/>
      <c r="K829" s="121"/>
      <c r="L829" s="121"/>
      <c r="M829" s="121"/>
      <c r="N829" s="98"/>
      <c r="O829" s="98"/>
      <c r="P829" s="98"/>
      <c r="Q829" s="98"/>
      <c r="R829" s="98"/>
      <c r="S829" s="98"/>
      <c r="T829" s="98"/>
    </row>
    <row r="830" spans="2:20" ht="12.9" customHeight="1">
      <c r="B830" s="75"/>
      <c r="C830" s="75"/>
      <c r="D830" s="75"/>
      <c r="E830" s="75"/>
      <c r="F830" s="73"/>
      <c r="G830" s="73"/>
      <c r="H830" s="74"/>
      <c r="I830" s="121"/>
      <c r="J830" s="121"/>
      <c r="K830" s="121"/>
      <c r="L830" s="121"/>
      <c r="M830" s="121"/>
      <c r="N830" s="98"/>
      <c r="O830" s="98"/>
      <c r="P830" s="98"/>
      <c r="Q830" s="98"/>
      <c r="R830" s="98"/>
      <c r="S830" s="98"/>
      <c r="T830" s="98"/>
    </row>
    <row r="831" spans="2:20" ht="12.9" customHeight="1">
      <c r="B831" s="75"/>
      <c r="C831" s="75"/>
      <c r="D831" s="75"/>
      <c r="E831" s="75"/>
      <c r="F831" s="73"/>
      <c r="G831" s="73"/>
      <c r="H831" s="74"/>
      <c r="I831" s="121"/>
      <c r="J831" s="121"/>
      <c r="K831" s="121"/>
      <c r="L831" s="121"/>
      <c r="M831" s="121"/>
      <c r="N831" s="98"/>
      <c r="O831" s="98"/>
      <c r="P831" s="98"/>
      <c r="Q831" s="98"/>
      <c r="R831" s="98"/>
      <c r="S831" s="98"/>
      <c r="T831" s="98"/>
    </row>
    <row r="832" spans="2:20" ht="12.9" customHeight="1">
      <c r="B832" s="75"/>
      <c r="C832" s="75"/>
      <c r="D832" s="75"/>
      <c r="E832" s="75"/>
      <c r="F832" s="73"/>
      <c r="G832" s="73"/>
      <c r="H832" s="74"/>
      <c r="I832" s="121"/>
      <c r="J832" s="121"/>
      <c r="K832" s="121"/>
      <c r="L832" s="121"/>
      <c r="M832" s="121"/>
      <c r="N832" s="98"/>
      <c r="O832" s="98"/>
      <c r="P832" s="98"/>
      <c r="Q832" s="98"/>
      <c r="R832" s="98"/>
      <c r="S832" s="98"/>
      <c r="T832" s="98"/>
    </row>
    <row r="833" spans="2:20" ht="12.9" customHeight="1">
      <c r="B833" s="75"/>
      <c r="C833" s="75"/>
      <c r="D833" s="75"/>
      <c r="E833" s="75"/>
      <c r="F833" s="73"/>
      <c r="G833" s="73"/>
      <c r="H833" s="74"/>
      <c r="I833" s="121"/>
      <c r="J833" s="121"/>
      <c r="K833" s="121"/>
      <c r="L833" s="121"/>
      <c r="M833" s="121"/>
      <c r="N833" s="98"/>
      <c r="O833" s="98"/>
      <c r="P833" s="98"/>
      <c r="Q833" s="98"/>
      <c r="R833" s="98"/>
      <c r="S833" s="98"/>
      <c r="T833" s="98"/>
    </row>
    <row r="834" spans="2:20" ht="12.9" customHeight="1">
      <c r="B834" s="75"/>
      <c r="C834" s="75"/>
      <c r="D834" s="75"/>
      <c r="E834" s="75"/>
      <c r="F834" s="73"/>
      <c r="G834" s="73"/>
      <c r="H834" s="74"/>
      <c r="I834" s="121"/>
      <c r="J834" s="121"/>
      <c r="K834" s="121"/>
      <c r="L834" s="121"/>
      <c r="M834" s="121"/>
      <c r="N834" s="98"/>
      <c r="O834" s="98"/>
      <c r="P834" s="98"/>
      <c r="Q834" s="98"/>
      <c r="R834" s="98"/>
      <c r="S834" s="98"/>
      <c r="T834" s="98"/>
    </row>
    <row r="835" spans="2:20" ht="12.9" customHeight="1">
      <c r="B835" s="75"/>
      <c r="C835" s="75"/>
      <c r="D835" s="75"/>
      <c r="E835" s="75"/>
      <c r="F835" s="73"/>
      <c r="G835" s="73"/>
      <c r="H835" s="74"/>
      <c r="I835" s="121"/>
      <c r="J835" s="121"/>
      <c r="K835" s="121"/>
      <c r="L835" s="121"/>
      <c r="M835" s="121"/>
      <c r="N835" s="98"/>
      <c r="O835" s="98"/>
      <c r="P835" s="98"/>
      <c r="Q835" s="98"/>
      <c r="R835" s="98"/>
      <c r="S835" s="98"/>
      <c r="T835" s="98"/>
    </row>
    <row r="836" spans="2:20" ht="12.9" customHeight="1">
      <c r="B836" s="75"/>
      <c r="C836" s="75"/>
      <c r="D836" s="75"/>
      <c r="E836" s="75"/>
      <c r="F836" s="73"/>
      <c r="G836" s="73"/>
      <c r="H836" s="74"/>
      <c r="I836" s="121"/>
      <c r="J836" s="121"/>
      <c r="K836" s="121"/>
      <c r="L836" s="121"/>
      <c r="M836" s="121"/>
      <c r="N836" s="98"/>
      <c r="O836" s="98"/>
      <c r="P836" s="98"/>
      <c r="Q836" s="98"/>
      <c r="R836" s="98"/>
      <c r="S836" s="98"/>
      <c r="T836" s="98"/>
    </row>
    <row r="837" spans="2:20" ht="12.9" customHeight="1">
      <c r="B837" s="75"/>
      <c r="C837" s="75"/>
      <c r="D837" s="75"/>
      <c r="E837" s="75"/>
      <c r="F837" s="73"/>
      <c r="G837" s="73"/>
      <c r="H837" s="74"/>
      <c r="I837" s="121"/>
      <c r="J837" s="121"/>
      <c r="K837" s="121"/>
      <c r="L837" s="121"/>
      <c r="M837" s="121"/>
      <c r="N837" s="98"/>
      <c r="O837" s="98"/>
      <c r="P837" s="98"/>
      <c r="Q837" s="98"/>
      <c r="R837" s="98"/>
      <c r="S837" s="98"/>
      <c r="T837" s="98"/>
    </row>
    <row r="838" spans="2:20" ht="12.9" customHeight="1">
      <c r="B838" s="75"/>
      <c r="C838" s="75"/>
      <c r="D838" s="75"/>
      <c r="E838" s="75"/>
      <c r="F838" s="73"/>
      <c r="G838" s="73"/>
      <c r="H838" s="74"/>
      <c r="I838" s="121"/>
      <c r="J838" s="121"/>
      <c r="K838" s="121"/>
      <c r="L838" s="121"/>
      <c r="M838" s="121"/>
      <c r="N838" s="98"/>
      <c r="O838" s="98"/>
      <c r="P838" s="98"/>
      <c r="Q838" s="98"/>
      <c r="R838" s="98"/>
      <c r="S838" s="98"/>
      <c r="T838" s="98"/>
    </row>
    <row r="839" spans="2:20" ht="12.9" customHeight="1">
      <c r="B839" s="75"/>
      <c r="C839" s="75"/>
      <c r="D839" s="75"/>
      <c r="E839" s="75"/>
      <c r="F839" s="73"/>
      <c r="G839" s="73"/>
      <c r="H839" s="74"/>
      <c r="I839" s="121"/>
      <c r="J839" s="121"/>
      <c r="K839" s="121"/>
      <c r="L839" s="121"/>
      <c r="M839" s="121"/>
      <c r="N839" s="98"/>
      <c r="O839" s="98"/>
      <c r="P839" s="98"/>
      <c r="Q839" s="98"/>
      <c r="R839" s="98"/>
      <c r="S839" s="98"/>
      <c r="T839" s="98"/>
    </row>
    <row r="840" spans="2:20" ht="12.9" customHeight="1">
      <c r="B840" s="75"/>
      <c r="C840" s="75"/>
      <c r="D840" s="75"/>
      <c r="E840" s="75"/>
      <c r="F840" s="73"/>
      <c r="G840" s="73"/>
      <c r="H840" s="74"/>
      <c r="I840" s="121"/>
      <c r="J840" s="121"/>
      <c r="K840" s="121"/>
      <c r="L840" s="121"/>
      <c r="M840" s="121"/>
      <c r="N840" s="98"/>
      <c r="O840" s="98"/>
      <c r="P840" s="98"/>
      <c r="Q840" s="98"/>
      <c r="R840" s="98"/>
      <c r="S840" s="98"/>
      <c r="T840" s="98"/>
    </row>
    <row r="841" spans="2:20" ht="12.9" customHeight="1">
      <c r="B841" s="75"/>
      <c r="C841" s="75"/>
      <c r="D841" s="75"/>
      <c r="E841" s="75"/>
      <c r="F841" s="73"/>
      <c r="G841" s="73"/>
      <c r="H841" s="74"/>
      <c r="I841" s="121"/>
      <c r="J841" s="121"/>
      <c r="K841" s="121"/>
      <c r="L841" s="121"/>
      <c r="M841" s="121"/>
      <c r="N841" s="98"/>
      <c r="O841" s="98"/>
      <c r="P841" s="98"/>
      <c r="Q841" s="98"/>
      <c r="R841" s="98"/>
      <c r="S841" s="98"/>
      <c r="T841" s="98"/>
    </row>
    <row r="842" spans="2:20" ht="12.9" customHeight="1">
      <c r="B842" s="75"/>
      <c r="C842" s="75"/>
      <c r="D842" s="75"/>
      <c r="E842" s="75"/>
      <c r="F842" s="73"/>
      <c r="G842" s="73"/>
      <c r="H842" s="74"/>
      <c r="I842" s="121"/>
      <c r="J842" s="121"/>
      <c r="K842" s="121"/>
      <c r="L842" s="121"/>
      <c r="M842" s="121"/>
      <c r="N842" s="99"/>
      <c r="O842" s="99"/>
      <c r="P842" s="99"/>
      <c r="Q842" s="99"/>
      <c r="R842" s="99"/>
      <c r="S842" s="99"/>
      <c r="T842" s="99"/>
    </row>
    <row r="843" spans="2:20" ht="12.9" customHeight="1">
      <c r="B843" s="75"/>
      <c r="C843" s="75"/>
      <c r="D843" s="75"/>
      <c r="E843" s="75"/>
      <c r="F843" s="73"/>
      <c r="G843" s="73"/>
      <c r="H843" s="74"/>
      <c r="I843" s="121"/>
      <c r="J843" s="121"/>
      <c r="K843" s="121"/>
      <c r="L843" s="121"/>
      <c r="M843" s="121"/>
      <c r="N843" s="99"/>
      <c r="O843" s="99"/>
      <c r="P843" s="99"/>
      <c r="Q843" s="99"/>
      <c r="R843" s="99"/>
      <c r="S843" s="99"/>
      <c r="T843" s="99"/>
    </row>
    <row r="844" spans="2:20" ht="12.9" customHeight="1">
      <c r="B844" s="75"/>
      <c r="C844" s="75"/>
      <c r="D844" s="75"/>
      <c r="E844" s="75"/>
      <c r="F844" s="73"/>
      <c r="G844" s="73"/>
      <c r="H844" s="74"/>
      <c r="I844" s="121"/>
      <c r="J844" s="121"/>
      <c r="K844" s="121"/>
      <c r="L844" s="121"/>
      <c r="M844" s="121"/>
      <c r="N844" s="98"/>
      <c r="O844" s="98"/>
      <c r="P844" s="98"/>
      <c r="Q844" s="98"/>
      <c r="R844" s="98"/>
      <c r="S844" s="98"/>
      <c r="T844" s="98"/>
    </row>
    <row r="845" spans="2:20" ht="12.9" customHeight="1">
      <c r="B845" s="75"/>
      <c r="C845" s="75"/>
      <c r="D845" s="75"/>
      <c r="E845" s="75"/>
      <c r="F845" s="73"/>
      <c r="G845" s="73"/>
      <c r="H845" s="74"/>
      <c r="I845" s="121"/>
      <c r="J845" s="121"/>
      <c r="K845" s="121"/>
      <c r="L845" s="121"/>
      <c r="M845" s="121"/>
      <c r="N845" s="98"/>
      <c r="O845" s="98"/>
      <c r="P845" s="98"/>
      <c r="Q845" s="98"/>
      <c r="R845" s="98"/>
      <c r="S845" s="98"/>
      <c r="T845" s="98"/>
    </row>
    <row r="846" spans="2:20" ht="12.9" customHeight="1">
      <c r="B846" s="75"/>
      <c r="C846" s="75"/>
      <c r="D846" s="75"/>
      <c r="E846" s="75"/>
      <c r="F846" s="73"/>
      <c r="G846" s="73"/>
      <c r="H846" s="74"/>
      <c r="I846" s="121"/>
      <c r="J846" s="121"/>
      <c r="K846" s="121"/>
      <c r="L846" s="121"/>
      <c r="M846" s="121"/>
      <c r="N846" s="98"/>
      <c r="O846" s="98"/>
      <c r="P846" s="98"/>
      <c r="Q846" s="98"/>
      <c r="R846" s="98"/>
      <c r="S846" s="98"/>
      <c r="T846" s="98"/>
    </row>
    <row r="847" spans="2:20" ht="12.9" customHeight="1">
      <c r="B847" s="75"/>
      <c r="C847" s="75"/>
      <c r="D847" s="75"/>
      <c r="E847" s="75"/>
      <c r="F847" s="73"/>
      <c r="G847" s="73"/>
      <c r="H847" s="74"/>
      <c r="I847" s="121"/>
      <c r="J847" s="121"/>
      <c r="K847" s="121"/>
      <c r="L847" s="121"/>
      <c r="M847" s="121"/>
      <c r="N847" s="98"/>
      <c r="O847" s="98"/>
      <c r="P847" s="98"/>
      <c r="Q847" s="98"/>
      <c r="R847" s="98"/>
      <c r="S847" s="98"/>
      <c r="T847" s="98"/>
    </row>
    <row r="848" spans="2:20" ht="12.9" customHeight="1">
      <c r="B848" s="75"/>
      <c r="C848" s="75"/>
      <c r="D848" s="75"/>
      <c r="E848" s="75"/>
      <c r="F848" s="73"/>
      <c r="G848" s="73"/>
      <c r="H848" s="74"/>
      <c r="I848" s="121"/>
      <c r="J848" s="121"/>
      <c r="K848" s="121"/>
      <c r="L848" s="121"/>
      <c r="M848" s="121"/>
      <c r="N848" s="98"/>
      <c r="O848" s="98"/>
      <c r="P848" s="98"/>
      <c r="Q848" s="98"/>
      <c r="R848" s="98"/>
      <c r="S848" s="98"/>
      <c r="T848" s="98"/>
    </row>
    <row r="849" spans="2:20" ht="12.9" customHeight="1">
      <c r="B849" s="75"/>
      <c r="C849" s="75"/>
      <c r="D849" s="75"/>
      <c r="E849" s="75"/>
      <c r="F849" s="73"/>
      <c r="G849" s="73"/>
      <c r="H849" s="74"/>
      <c r="I849" s="121"/>
      <c r="J849" s="121"/>
      <c r="K849" s="121"/>
      <c r="L849" s="121"/>
      <c r="M849" s="121"/>
      <c r="N849" s="98"/>
      <c r="O849" s="98"/>
      <c r="P849" s="98"/>
      <c r="Q849" s="98"/>
      <c r="R849" s="98"/>
      <c r="S849" s="98"/>
      <c r="T849" s="98"/>
    </row>
    <row r="850" spans="2:20" ht="12.9" customHeight="1">
      <c r="B850" s="75"/>
      <c r="C850" s="75"/>
      <c r="D850" s="75"/>
      <c r="E850" s="75"/>
      <c r="F850" s="73"/>
      <c r="G850" s="73"/>
      <c r="H850" s="74"/>
      <c r="I850" s="121"/>
      <c r="J850" s="121"/>
      <c r="K850" s="121"/>
      <c r="L850" s="121"/>
      <c r="M850" s="121"/>
      <c r="N850" s="98"/>
      <c r="O850" s="98"/>
      <c r="P850" s="98"/>
      <c r="Q850" s="98"/>
      <c r="R850" s="98"/>
      <c r="S850" s="98"/>
      <c r="T850" s="98"/>
    </row>
    <row r="851" spans="2:20" ht="12.9" customHeight="1">
      <c r="B851" s="75"/>
      <c r="C851" s="75"/>
      <c r="D851" s="75"/>
      <c r="E851" s="75"/>
      <c r="F851" s="73"/>
      <c r="G851" s="73"/>
      <c r="H851" s="74"/>
      <c r="I851" s="121"/>
      <c r="J851" s="121"/>
      <c r="K851" s="121"/>
      <c r="L851" s="121"/>
      <c r="M851" s="121"/>
      <c r="N851" s="98"/>
      <c r="O851" s="98"/>
      <c r="P851" s="98"/>
      <c r="Q851" s="98"/>
      <c r="R851" s="98"/>
      <c r="S851" s="98"/>
      <c r="T851" s="98"/>
    </row>
    <row r="852" spans="2:20" ht="12.9" customHeight="1">
      <c r="B852" s="75"/>
      <c r="C852" s="75"/>
      <c r="D852" s="75"/>
      <c r="E852" s="75"/>
      <c r="F852" s="73"/>
      <c r="G852" s="73"/>
      <c r="H852" s="74"/>
      <c r="I852" s="121"/>
      <c r="J852" s="121"/>
      <c r="K852" s="121"/>
      <c r="L852" s="121"/>
      <c r="M852" s="121"/>
      <c r="N852" s="98"/>
      <c r="O852" s="98"/>
      <c r="P852" s="98"/>
      <c r="Q852" s="98"/>
      <c r="R852" s="98"/>
      <c r="S852" s="98"/>
      <c r="T852" s="98"/>
    </row>
    <row r="853" spans="2:20" ht="12.9" customHeight="1">
      <c r="B853" s="75"/>
      <c r="C853" s="75"/>
      <c r="D853" s="75"/>
      <c r="E853" s="75"/>
      <c r="F853" s="73"/>
      <c r="G853" s="73"/>
      <c r="H853" s="74"/>
      <c r="I853" s="121"/>
      <c r="J853" s="121"/>
      <c r="K853" s="121"/>
      <c r="L853" s="121"/>
      <c r="M853" s="121"/>
      <c r="N853" s="98"/>
      <c r="O853" s="98"/>
      <c r="P853" s="98"/>
      <c r="Q853" s="98"/>
      <c r="R853" s="98"/>
      <c r="S853" s="98"/>
      <c r="T853" s="98"/>
    </row>
    <row r="854" spans="2:20" ht="12.9" customHeight="1">
      <c r="B854" s="75"/>
      <c r="C854" s="75"/>
      <c r="D854" s="75"/>
      <c r="E854" s="75"/>
      <c r="F854" s="73"/>
      <c r="G854" s="73"/>
      <c r="H854" s="74"/>
      <c r="I854" s="121"/>
      <c r="J854" s="121"/>
      <c r="K854" s="121"/>
      <c r="L854" s="121"/>
      <c r="M854" s="121"/>
      <c r="N854" s="98"/>
      <c r="O854" s="98"/>
      <c r="P854" s="98"/>
      <c r="Q854" s="98"/>
      <c r="R854" s="98"/>
      <c r="S854" s="98"/>
      <c r="T854" s="98"/>
    </row>
    <row r="855" spans="2:20" ht="12.9" customHeight="1">
      <c r="B855" s="75"/>
      <c r="C855" s="75"/>
      <c r="D855" s="75"/>
      <c r="E855" s="75"/>
      <c r="F855" s="73"/>
      <c r="G855" s="73"/>
      <c r="H855" s="74"/>
      <c r="I855" s="121"/>
      <c r="J855" s="121"/>
      <c r="K855" s="121"/>
      <c r="L855" s="121"/>
      <c r="M855" s="121"/>
      <c r="N855" s="98"/>
      <c r="O855" s="98"/>
      <c r="P855" s="98"/>
      <c r="Q855" s="98"/>
      <c r="R855" s="98"/>
      <c r="S855" s="98"/>
      <c r="T855" s="98"/>
    </row>
    <row r="856" spans="2:20" ht="12.9" customHeight="1">
      <c r="B856" s="75"/>
      <c r="C856" s="75"/>
      <c r="D856" s="75"/>
      <c r="E856" s="75"/>
      <c r="F856" s="73"/>
      <c r="G856" s="73"/>
      <c r="H856" s="74"/>
      <c r="I856" s="121"/>
      <c r="J856" s="121"/>
      <c r="K856" s="121"/>
      <c r="L856" s="121"/>
      <c r="M856" s="121"/>
      <c r="N856" s="98"/>
      <c r="O856" s="98"/>
      <c r="P856" s="98"/>
      <c r="Q856" s="98"/>
      <c r="R856" s="98"/>
      <c r="S856" s="98"/>
      <c r="T856" s="98"/>
    </row>
    <row r="857" spans="2:20" ht="12.9" customHeight="1">
      <c r="B857" s="75"/>
      <c r="C857" s="75"/>
      <c r="D857" s="75"/>
      <c r="E857" s="75"/>
      <c r="F857" s="117"/>
      <c r="G857" s="73"/>
      <c r="H857" s="74"/>
      <c r="I857" s="121"/>
      <c r="J857" s="121"/>
      <c r="K857" s="121"/>
      <c r="L857" s="121"/>
      <c r="M857" s="121"/>
      <c r="N857" s="98"/>
      <c r="O857" s="98"/>
      <c r="P857" s="98"/>
      <c r="Q857" s="98"/>
      <c r="R857" s="98"/>
      <c r="S857" s="98"/>
      <c r="T857" s="98"/>
    </row>
    <row r="858" spans="2:20" ht="12.9" customHeight="1">
      <c r="B858" s="75"/>
      <c r="C858" s="75"/>
      <c r="D858" s="75"/>
      <c r="E858" s="75"/>
      <c r="F858" s="117"/>
      <c r="G858" s="73"/>
      <c r="H858" s="74"/>
      <c r="I858" s="121"/>
      <c r="J858" s="121"/>
      <c r="K858" s="121"/>
      <c r="L858" s="121"/>
      <c r="M858" s="121"/>
      <c r="N858" s="98"/>
      <c r="O858" s="98"/>
      <c r="P858" s="98"/>
      <c r="Q858" s="98"/>
      <c r="R858" s="98"/>
      <c r="S858" s="98"/>
      <c r="T858" s="98"/>
    </row>
    <row r="859" spans="2:20" ht="12.9" customHeight="1">
      <c r="B859" s="75"/>
      <c r="C859" s="75"/>
      <c r="D859" s="75"/>
      <c r="E859" s="75"/>
      <c r="F859" s="73"/>
      <c r="G859" s="73"/>
      <c r="H859" s="74"/>
      <c r="I859" s="121"/>
      <c r="J859" s="121"/>
      <c r="K859" s="121"/>
      <c r="L859" s="121"/>
      <c r="M859" s="121"/>
      <c r="N859" s="98"/>
      <c r="O859" s="98"/>
      <c r="P859" s="98"/>
      <c r="Q859" s="98"/>
      <c r="R859" s="98"/>
      <c r="S859" s="98"/>
      <c r="T859" s="98"/>
    </row>
    <row r="860" spans="2:20" ht="12.9" customHeight="1">
      <c r="B860" s="75"/>
      <c r="C860" s="75"/>
      <c r="D860" s="75"/>
      <c r="E860" s="75"/>
      <c r="F860" s="73"/>
      <c r="G860" s="73"/>
      <c r="H860" s="74"/>
      <c r="I860" s="121"/>
      <c r="J860" s="121"/>
      <c r="K860" s="121"/>
      <c r="L860" s="121"/>
      <c r="M860" s="121"/>
      <c r="N860" s="98"/>
      <c r="O860" s="98"/>
      <c r="P860" s="98"/>
      <c r="Q860" s="98"/>
      <c r="R860" s="98"/>
      <c r="S860" s="98"/>
      <c r="T860" s="98"/>
    </row>
    <row r="861" spans="2:20" ht="12.9" customHeight="1">
      <c r="B861" s="75"/>
      <c r="C861" s="75"/>
      <c r="D861" s="75"/>
      <c r="E861" s="75"/>
      <c r="F861" s="73"/>
      <c r="G861" s="73"/>
      <c r="H861" s="74"/>
      <c r="I861" s="121"/>
      <c r="J861" s="121"/>
      <c r="K861" s="121"/>
      <c r="L861" s="121"/>
      <c r="M861" s="121"/>
      <c r="N861" s="98"/>
      <c r="O861" s="98"/>
      <c r="P861" s="98"/>
      <c r="Q861" s="98"/>
      <c r="R861" s="98"/>
      <c r="S861" s="98"/>
      <c r="T861" s="98"/>
    </row>
    <row r="862" spans="2:20" ht="12.9" customHeight="1">
      <c r="B862" s="75"/>
      <c r="C862" s="75"/>
      <c r="D862" s="75"/>
      <c r="E862" s="75"/>
      <c r="F862" s="73"/>
      <c r="G862" s="73"/>
      <c r="H862" s="74"/>
      <c r="I862" s="121"/>
      <c r="J862" s="121"/>
      <c r="K862" s="121"/>
      <c r="L862" s="121"/>
      <c r="M862" s="121"/>
      <c r="N862" s="98"/>
      <c r="O862" s="98"/>
      <c r="P862" s="98"/>
      <c r="Q862" s="98"/>
      <c r="R862" s="98"/>
      <c r="S862" s="98"/>
      <c r="T862" s="98"/>
    </row>
    <row r="863" spans="2:20" ht="12.9" customHeight="1">
      <c r="B863" s="75"/>
      <c r="C863" s="75"/>
      <c r="D863" s="75"/>
      <c r="E863" s="75"/>
      <c r="F863" s="73"/>
      <c r="G863" s="73"/>
      <c r="H863" s="74"/>
      <c r="I863" s="121"/>
      <c r="J863" s="121"/>
      <c r="K863" s="121"/>
      <c r="L863" s="121"/>
      <c r="M863" s="121"/>
      <c r="N863" s="98"/>
      <c r="O863" s="98"/>
      <c r="P863" s="98"/>
      <c r="Q863" s="98"/>
      <c r="R863" s="98"/>
      <c r="S863" s="98"/>
      <c r="T863" s="98"/>
    </row>
    <row r="864" spans="2:20" ht="12.9" customHeight="1">
      <c r="B864" s="75"/>
      <c r="C864" s="75"/>
      <c r="D864" s="75"/>
      <c r="E864" s="75"/>
      <c r="F864" s="73"/>
      <c r="G864" s="73"/>
      <c r="H864" s="74"/>
      <c r="I864" s="121"/>
      <c r="J864" s="121"/>
      <c r="K864" s="121"/>
      <c r="L864" s="121"/>
      <c r="M864" s="121"/>
      <c r="N864" s="98"/>
      <c r="O864" s="98"/>
      <c r="P864" s="98"/>
      <c r="Q864" s="98"/>
      <c r="R864" s="98"/>
      <c r="S864" s="98"/>
      <c r="T864" s="98"/>
    </row>
    <row r="865" spans="2:20" ht="12.9" customHeight="1">
      <c r="B865" s="75"/>
      <c r="C865" s="75"/>
      <c r="D865" s="75"/>
      <c r="E865" s="75"/>
      <c r="F865" s="73"/>
      <c r="G865" s="73"/>
      <c r="H865" s="74"/>
      <c r="I865" s="121"/>
      <c r="J865" s="121"/>
      <c r="K865" s="121"/>
      <c r="L865" s="121"/>
      <c r="M865" s="121"/>
      <c r="N865" s="98"/>
      <c r="O865" s="98"/>
      <c r="P865" s="98"/>
      <c r="Q865" s="98"/>
      <c r="R865" s="98"/>
      <c r="S865" s="98"/>
      <c r="T865" s="98"/>
    </row>
    <row r="866" spans="2:20" ht="12.9" customHeight="1">
      <c r="B866" s="75"/>
      <c r="C866" s="75"/>
      <c r="D866" s="75"/>
      <c r="E866" s="75"/>
      <c r="F866" s="73"/>
      <c r="G866" s="73"/>
      <c r="H866" s="74"/>
      <c r="I866" s="121"/>
      <c r="J866" s="121"/>
      <c r="K866" s="121"/>
      <c r="L866" s="121"/>
      <c r="M866" s="121"/>
      <c r="N866" s="98"/>
      <c r="O866" s="98"/>
      <c r="P866" s="98"/>
      <c r="Q866" s="98"/>
      <c r="R866" s="98"/>
      <c r="S866" s="98"/>
      <c r="T866" s="98"/>
    </row>
    <row r="867" spans="2:20" ht="12.9" customHeight="1">
      <c r="B867" s="75"/>
      <c r="C867" s="75"/>
      <c r="D867" s="75"/>
      <c r="E867" s="75"/>
      <c r="F867" s="73"/>
      <c r="G867" s="73"/>
      <c r="H867" s="74"/>
      <c r="I867" s="121"/>
      <c r="J867" s="121"/>
      <c r="K867" s="121"/>
      <c r="L867" s="121"/>
      <c r="M867" s="121"/>
      <c r="N867" s="98"/>
      <c r="O867" s="98"/>
      <c r="P867" s="98"/>
      <c r="Q867" s="98"/>
      <c r="R867" s="98"/>
      <c r="S867" s="98"/>
      <c r="T867" s="98"/>
    </row>
    <row r="868" spans="2:20" ht="12.9" customHeight="1">
      <c r="B868" s="75"/>
      <c r="C868" s="75"/>
      <c r="D868" s="75"/>
      <c r="E868" s="75"/>
      <c r="F868" s="73"/>
      <c r="G868" s="73"/>
      <c r="H868" s="74"/>
      <c r="I868" s="121"/>
      <c r="J868" s="121"/>
      <c r="K868" s="121"/>
      <c r="L868" s="121"/>
      <c r="M868" s="121"/>
      <c r="N868" s="98"/>
      <c r="O868" s="98"/>
      <c r="P868" s="98"/>
      <c r="Q868" s="98"/>
      <c r="R868" s="98"/>
      <c r="S868" s="98"/>
      <c r="T868" s="98"/>
    </row>
    <row r="869" spans="2:20" ht="12.9" customHeight="1">
      <c r="B869" s="75"/>
      <c r="C869" s="75"/>
      <c r="D869" s="75"/>
      <c r="E869" s="75"/>
      <c r="F869" s="73"/>
      <c r="G869" s="73"/>
      <c r="H869" s="74"/>
      <c r="I869" s="121"/>
      <c r="J869" s="121"/>
      <c r="K869" s="121"/>
      <c r="L869" s="121"/>
      <c r="M869" s="121"/>
      <c r="N869" s="98"/>
      <c r="O869" s="98"/>
      <c r="P869" s="98"/>
      <c r="Q869" s="98"/>
      <c r="R869" s="98"/>
      <c r="S869" s="98"/>
      <c r="T869" s="98"/>
    </row>
    <row r="870" spans="2:20" ht="12.9" customHeight="1">
      <c r="B870" s="75"/>
      <c r="C870" s="75"/>
      <c r="D870" s="75"/>
      <c r="E870" s="75"/>
      <c r="F870" s="73"/>
      <c r="G870" s="73"/>
      <c r="H870" s="74"/>
      <c r="I870" s="121"/>
      <c r="J870" s="121"/>
      <c r="K870" s="121"/>
      <c r="L870" s="121"/>
      <c r="M870" s="121"/>
      <c r="N870" s="98"/>
      <c r="O870" s="98"/>
      <c r="P870" s="98"/>
      <c r="Q870" s="98"/>
      <c r="R870" s="98"/>
      <c r="S870" s="98"/>
      <c r="T870" s="98"/>
    </row>
    <row r="871" spans="2:20" ht="12.9" customHeight="1">
      <c r="B871" s="75"/>
      <c r="C871" s="75"/>
      <c r="D871" s="75"/>
      <c r="E871" s="75"/>
      <c r="F871" s="73"/>
      <c r="G871" s="73"/>
      <c r="H871" s="74"/>
      <c r="I871" s="121"/>
      <c r="J871" s="121"/>
      <c r="K871" s="121"/>
      <c r="L871" s="121"/>
      <c r="M871" s="121"/>
      <c r="N871" s="98"/>
      <c r="O871" s="98"/>
      <c r="P871" s="98"/>
      <c r="Q871" s="98"/>
      <c r="R871" s="98"/>
      <c r="S871" s="98"/>
      <c r="T871" s="98"/>
    </row>
    <row r="872" spans="2:20" ht="12.9" customHeight="1">
      <c r="B872" s="75"/>
      <c r="C872" s="75"/>
      <c r="D872" s="75"/>
      <c r="E872" s="75"/>
      <c r="F872" s="73"/>
      <c r="G872" s="73"/>
      <c r="H872" s="74"/>
      <c r="I872" s="121"/>
      <c r="J872" s="121"/>
      <c r="K872" s="121"/>
      <c r="L872" s="121"/>
      <c r="M872" s="121"/>
      <c r="N872" s="98"/>
      <c r="O872" s="98"/>
      <c r="P872" s="98"/>
      <c r="Q872" s="98"/>
      <c r="R872" s="98"/>
      <c r="S872" s="98"/>
      <c r="T872" s="98"/>
    </row>
    <row r="873" spans="2:20" ht="12.9" customHeight="1">
      <c r="B873" s="75"/>
      <c r="C873" s="75"/>
      <c r="D873" s="75"/>
      <c r="E873" s="75"/>
      <c r="F873" s="73"/>
      <c r="G873" s="73"/>
      <c r="H873" s="74"/>
      <c r="I873" s="121"/>
      <c r="J873" s="121"/>
      <c r="K873" s="121"/>
      <c r="L873" s="121"/>
      <c r="M873" s="121"/>
      <c r="N873" s="98"/>
      <c r="O873" s="98"/>
      <c r="P873" s="98"/>
      <c r="Q873" s="98"/>
      <c r="R873" s="98"/>
      <c r="S873" s="98"/>
      <c r="T873" s="98"/>
    </row>
    <row r="874" spans="2:20" ht="12.9" customHeight="1">
      <c r="B874" s="75"/>
      <c r="C874" s="75"/>
      <c r="D874" s="75"/>
      <c r="E874" s="75"/>
      <c r="F874" s="73"/>
      <c r="G874" s="73"/>
      <c r="H874" s="74"/>
      <c r="I874" s="121"/>
      <c r="J874" s="121"/>
      <c r="K874" s="121"/>
      <c r="L874" s="121"/>
      <c r="M874" s="121"/>
      <c r="N874" s="98"/>
      <c r="O874" s="98"/>
      <c r="P874" s="98"/>
      <c r="Q874" s="98"/>
      <c r="R874" s="98"/>
      <c r="S874" s="98"/>
      <c r="T874" s="98"/>
    </row>
    <row r="875" spans="2:20" ht="12.9" customHeight="1">
      <c r="B875" s="75"/>
      <c r="C875" s="75"/>
      <c r="D875" s="75"/>
      <c r="E875" s="75"/>
      <c r="F875" s="73"/>
      <c r="G875" s="73"/>
      <c r="H875" s="74"/>
      <c r="I875" s="121"/>
      <c r="J875" s="121"/>
      <c r="K875" s="121"/>
      <c r="L875" s="121"/>
      <c r="M875" s="121"/>
      <c r="N875" s="98"/>
      <c r="O875" s="98"/>
      <c r="P875" s="98"/>
      <c r="Q875" s="98"/>
      <c r="R875" s="98"/>
      <c r="S875" s="98"/>
      <c r="T875" s="98"/>
    </row>
    <row r="876" spans="2:20">
      <c r="B876" s="75"/>
      <c r="C876" s="75"/>
      <c r="D876" s="75"/>
      <c r="E876" s="75"/>
      <c r="F876" s="73"/>
      <c r="G876" s="73"/>
      <c r="H876" s="74"/>
      <c r="I876" s="121"/>
      <c r="J876" s="121"/>
      <c r="K876" s="121"/>
      <c r="L876" s="121"/>
      <c r="M876" s="121"/>
      <c r="N876" s="98"/>
      <c r="O876" s="98"/>
      <c r="P876" s="98"/>
      <c r="Q876" s="98"/>
      <c r="R876" s="98"/>
      <c r="S876" s="98"/>
      <c r="T876" s="98"/>
    </row>
    <row r="877" spans="2:20">
      <c r="B877" s="75"/>
      <c r="C877" s="75"/>
      <c r="D877" s="75"/>
      <c r="E877" s="75"/>
      <c r="F877" s="73"/>
      <c r="G877" s="73"/>
      <c r="H877" s="74"/>
      <c r="I877" s="121"/>
      <c r="J877" s="121"/>
      <c r="K877" s="121"/>
      <c r="L877" s="121"/>
      <c r="M877" s="121"/>
      <c r="N877" s="98"/>
      <c r="O877" s="98"/>
      <c r="P877" s="98"/>
      <c r="Q877" s="98"/>
      <c r="R877" s="98"/>
      <c r="S877" s="98"/>
      <c r="T877" s="98"/>
    </row>
    <row r="878" spans="2:20">
      <c r="B878" s="75"/>
      <c r="C878" s="75"/>
      <c r="D878" s="75"/>
      <c r="E878" s="75"/>
      <c r="F878" s="73"/>
      <c r="G878" s="73"/>
      <c r="H878" s="74"/>
      <c r="I878" s="121"/>
      <c r="J878" s="121"/>
      <c r="K878" s="121"/>
      <c r="L878" s="121"/>
      <c r="M878" s="121"/>
      <c r="N878" s="98"/>
      <c r="O878" s="98"/>
      <c r="P878" s="98"/>
      <c r="Q878" s="98"/>
      <c r="R878" s="98"/>
      <c r="S878" s="98"/>
      <c r="T878" s="98"/>
    </row>
    <row r="879" spans="2:20">
      <c r="B879" s="75"/>
      <c r="C879" s="75"/>
      <c r="D879" s="75"/>
      <c r="E879" s="75"/>
      <c r="F879" s="73"/>
      <c r="G879" s="73"/>
      <c r="H879" s="74"/>
      <c r="I879" s="121"/>
      <c r="J879" s="121"/>
      <c r="K879" s="121"/>
      <c r="L879" s="121"/>
      <c r="M879" s="121"/>
      <c r="N879" s="98"/>
      <c r="O879" s="98"/>
      <c r="P879" s="98"/>
      <c r="Q879" s="98"/>
      <c r="R879" s="98"/>
      <c r="S879" s="98"/>
      <c r="T879" s="98"/>
    </row>
    <row r="880" spans="2:20">
      <c r="B880" s="75"/>
      <c r="C880" s="75"/>
      <c r="D880" s="75"/>
      <c r="E880" s="75"/>
      <c r="F880" s="73"/>
      <c r="G880" s="73"/>
      <c r="H880" s="74"/>
      <c r="I880" s="121"/>
      <c r="J880" s="121"/>
      <c r="K880" s="121"/>
      <c r="L880" s="121"/>
      <c r="M880" s="121"/>
      <c r="N880" s="98"/>
      <c r="O880" s="98"/>
      <c r="P880" s="98"/>
      <c r="Q880" s="98"/>
      <c r="R880" s="98"/>
      <c r="S880" s="98"/>
      <c r="T880" s="98"/>
    </row>
    <row r="881" spans="2:20">
      <c r="B881" s="75"/>
      <c r="C881" s="75"/>
      <c r="D881" s="75"/>
      <c r="E881" s="75"/>
      <c r="F881" s="73"/>
      <c r="G881" s="73"/>
      <c r="H881" s="74"/>
      <c r="I881" s="121"/>
      <c r="J881" s="121"/>
      <c r="K881" s="121"/>
      <c r="L881" s="121"/>
      <c r="M881" s="121"/>
      <c r="N881" s="99"/>
      <c r="O881" s="99"/>
      <c r="P881" s="99"/>
      <c r="Q881" s="99"/>
      <c r="R881" s="99"/>
      <c r="S881" s="99"/>
      <c r="T881" s="99"/>
    </row>
    <row r="882" spans="2:20" ht="12.75" customHeight="1">
      <c r="B882" s="75"/>
      <c r="C882" s="75"/>
      <c r="D882" s="75"/>
      <c r="E882" s="75"/>
      <c r="F882" s="73"/>
      <c r="G882" s="73"/>
      <c r="H882" s="74"/>
      <c r="I882" s="121"/>
      <c r="J882" s="121"/>
      <c r="K882" s="121"/>
      <c r="L882" s="121"/>
      <c r="M882" s="121"/>
      <c r="N882" s="98"/>
      <c r="O882" s="98"/>
      <c r="P882" s="98"/>
      <c r="Q882" s="98"/>
      <c r="R882" s="98"/>
      <c r="S882" s="98"/>
      <c r="T882" s="98"/>
    </row>
    <row r="883" spans="2:20">
      <c r="B883" s="75"/>
      <c r="C883" s="75"/>
      <c r="D883" s="75"/>
      <c r="E883" s="75"/>
      <c r="F883" s="73"/>
      <c r="G883" s="73"/>
      <c r="H883" s="74"/>
      <c r="I883" s="121"/>
      <c r="J883" s="121"/>
      <c r="K883" s="121"/>
      <c r="L883" s="121"/>
      <c r="M883" s="121"/>
      <c r="N883" s="98"/>
      <c r="O883" s="98"/>
      <c r="P883" s="98"/>
      <c r="Q883" s="98"/>
      <c r="R883" s="98"/>
      <c r="S883" s="98"/>
      <c r="T883" s="98"/>
    </row>
    <row r="884" spans="2:20">
      <c r="B884" s="75"/>
      <c r="C884" s="75"/>
      <c r="D884" s="75"/>
      <c r="E884" s="75"/>
      <c r="F884" s="73"/>
      <c r="G884" s="73"/>
      <c r="H884" s="74"/>
      <c r="I884" s="121"/>
      <c r="J884" s="121"/>
      <c r="K884" s="121"/>
      <c r="L884" s="121"/>
      <c r="M884" s="121"/>
      <c r="N884" s="98"/>
      <c r="O884" s="98"/>
      <c r="P884" s="98"/>
      <c r="Q884" s="98"/>
      <c r="R884" s="98"/>
      <c r="S884" s="98"/>
      <c r="T884" s="98"/>
    </row>
    <row r="885" spans="2:20">
      <c r="B885" s="75"/>
      <c r="C885" s="75"/>
      <c r="D885" s="75"/>
      <c r="E885" s="75"/>
      <c r="F885" s="73"/>
      <c r="G885" s="73"/>
      <c r="H885" s="74"/>
      <c r="I885" s="121"/>
      <c r="J885" s="121"/>
      <c r="K885" s="121"/>
      <c r="L885" s="121"/>
      <c r="M885" s="121"/>
      <c r="N885" s="98"/>
      <c r="O885" s="98"/>
      <c r="P885" s="98"/>
      <c r="Q885" s="98"/>
      <c r="R885" s="98"/>
      <c r="S885" s="98"/>
      <c r="T885" s="98"/>
    </row>
    <row r="886" spans="2:20">
      <c r="B886" s="75"/>
      <c r="C886" s="75"/>
      <c r="D886" s="75"/>
      <c r="E886" s="75"/>
      <c r="F886" s="73"/>
      <c r="G886" s="73"/>
      <c r="H886" s="74"/>
      <c r="I886" s="121"/>
      <c r="J886" s="121"/>
      <c r="K886" s="121"/>
      <c r="L886" s="121"/>
      <c r="M886" s="121"/>
      <c r="N886" s="98"/>
      <c r="O886" s="98"/>
      <c r="P886" s="98"/>
      <c r="Q886" s="98"/>
      <c r="R886" s="98"/>
      <c r="S886" s="98"/>
      <c r="T886" s="98"/>
    </row>
    <row r="887" spans="2:20" ht="12.75" customHeight="1">
      <c r="B887" s="75"/>
      <c r="C887" s="75"/>
      <c r="D887" s="75"/>
      <c r="E887" s="75"/>
      <c r="F887" s="73"/>
      <c r="G887" s="73"/>
      <c r="H887" s="74"/>
      <c r="I887" s="121"/>
      <c r="J887" s="121"/>
      <c r="K887" s="121"/>
      <c r="L887" s="121"/>
      <c r="M887" s="121"/>
      <c r="N887" s="98"/>
      <c r="O887" s="98"/>
      <c r="P887" s="98"/>
      <c r="Q887" s="98"/>
      <c r="R887" s="98"/>
      <c r="S887" s="98"/>
      <c r="T887" s="98"/>
    </row>
    <row r="888" spans="2:20" ht="15.75" customHeight="1">
      <c r="B888" s="75"/>
      <c r="C888" s="75"/>
      <c r="D888" s="75"/>
      <c r="E888" s="75"/>
      <c r="F888" s="73"/>
      <c r="G888" s="73"/>
      <c r="H888" s="74"/>
      <c r="I888" s="121"/>
      <c r="J888" s="121"/>
      <c r="K888" s="121"/>
      <c r="L888" s="121"/>
      <c r="M888" s="121"/>
      <c r="N888" s="98"/>
      <c r="O888" s="98"/>
      <c r="P888" s="98"/>
      <c r="Q888" s="98"/>
      <c r="R888" s="98"/>
      <c r="S888" s="98"/>
      <c r="T888" s="98"/>
    </row>
    <row r="889" spans="2:20">
      <c r="B889" s="75"/>
      <c r="C889" s="75"/>
      <c r="D889" s="75"/>
      <c r="E889" s="75"/>
      <c r="F889" s="73"/>
      <c r="G889" s="73"/>
      <c r="H889" s="74"/>
      <c r="I889" s="121"/>
      <c r="J889" s="121"/>
      <c r="K889" s="121"/>
      <c r="L889" s="121"/>
      <c r="M889" s="121"/>
      <c r="N889" s="98"/>
      <c r="O889" s="98"/>
      <c r="P889" s="98"/>
      <c r="Q889" s="98"/>
      <c r="R889" s="98"/>
      <c r="S889" s="98"/>
      <c r="T889" s="98"/>
    </row>
    <row r="890" spans="2:20">
      <c r="B890" s="75"/>
      <c r="C890" s="75"/>
      <c r="D890" s="75"/>
      <c r="E890" s="75"/>
      <c r="F890" s="73"/>
      <c r="G890" s="73"/>
      <c r="H890" s="74"/>
      <c r="I890" s="121"/>
      <c r="J890" s="121"/>
      <c r="K890" s="121"/>
      <c r="L890" s="121"/>
      <c r="M890" s="121"/>
      <c r="N890" s="99"/>
      <c r="O890" s="99"/>
      <c r="P890" s="99"/>
      <c r="Q890" s="99"/>
      <c r="R890" s="99"/>
      <c r="S890" s="99"/>
      <c r="T890" s="99"/>
    </row>
    <row r="891" spans="2:20" ht="16.5" customHeight="1">
      <c r="B891" s="75"/>
      <c r="C891" s="75"/>
      <c r="D891" s="75"/>
      <c r="E891" s="75"/>
      <c r="F891" s="73"/>
      <c r="G891" s="73"/>
      <c r="H891" s="74"/>
      <c r="I891" s="121"/>
      <c r="J891" s="121"/>
      <c r="K891" s="121"/>
      <c r="L891" s="121"/>
      <c r="M891" s="121"/>
      <c r="N891" s="98"/>
      <c r="O891" s="98"/>
      <c r="P891" s="98"/>
      <c r="Q891" s="98"/>
      <c r="R891" s="98"/>
      <c r="S891" s="98"/>
      <c r="T891" s="98"/>
    </row>
    <row r="892" spans="2:20">
      <c r="B892" s="75"/>
      <c r="C892" s="75"/>
      <c r="D892" s="75"/>
      <c r="E892" s="75"/>
      <c r="F892" s="73"/>
      <c r="G892" s="73"/>
      <c r="H892" s="74"/>
      <c r="I892" s="121"/>
      <c r="J892" s="121"/>
      <c r="K892" s="121"/>
      <c r="L892" s="121"/>
      <c r="M892" s="121"/>
      <c r="N892" s="98"/>
      <c r="O892" s="98"/>
      <c r="P892" s="98"/>
      <c r="Q892" s="98"/>
      <c r="R892" s="98"/>
      <c r="S892" s="98"/>
      <c r="T892" s="98"/>
    </row>
    <row r="893" spans="2:20">
      <c r="B893" s="75"/>
      <c r="C893" s="75"/>
      <c r="D893" s="75"/>
      <c r="E893" s="75"/>
      <c r="F893" s="73"/>
      <c r="G893" s="73"/>
      <c r="H893" s="74"/>
      <c r="I893" s="121"/>
      <c r="J893" s="121"/>
      <c r="K893" s="121"/>
      <c r="L893" s="121"/>
      <c r="M893" s="121"/>
      <c r="N893" s="98"/>
      <c r="O893" s="98"/>
      <c r="P893" s="98"/>
      <c r="Q893" s="98"/>
      <c r="R893" s="98"/>
      <c r="S893" s="98"/>
      <c r="T893" s="98"/>
    </row>
    <row r="894" spans="2:20">
      <c r="B894" s="75"/>
      <c r="C894" s="75"/>
      <c r="D894" s="75"/>
      <c r="E894" s="75"/>
      <c r="F894" s="73"/>
      <c r="G894" s="73"/>
      <c r="H894" s="74"/>
      <c r="I894" s="121"/>
      <c r="J894" s="121"/>
      <c r="K894" s="121"/>
      <c r="L894" s="121"/>
      <c r="M894" s="121"/>
      <c r="N894" s="98"/>
      <c r="O894" s="98"/>
      <c r="P894" s="98"/>
      <c r="Q894" s="98"/>
      <c r="R894" s="98"/>
      <c r="S894" s="98"/>
      <c r="T894" s="98"/>
    </row>
    <row r="895" spans="2:20">
      <c r="B895" s="75"/>
      <c r="C895" s="75"/>
      <c r="D895" s="75"/>
      <c r="E895" s="75"/>
      <c r="F895" s="73"/>
      <c r="G895" s="73"/>
      <c r="H895" s="74"/>
      <c r="I895" s="121"/>
      <c r="J895" s="121"/>
      <c r="K895" s="121"/>
      <c r="L895" s="121"/>
      <c r="M895" s="121"/>
      <c r="N895" s="98"/>
      <c r="O895" s="98"/>
      <c r="P895" s="98"/>
      <c r="Q895" s="98"/>
      <c r="R895" s="98"/>
      <c r="S895" s="98"/>
      <c r="T895" s="98"/>
    </row>
    <row r="896" spans="2:20">
      <c r="B896" s="75"/>
      <c r="C896" s="75"/>
      <c r="D896" s="75"/>
      <c r="E896" s="75"/>
      <c r="F896" s="73"/>
      <c r="G896" s="73"/>
      <c r="H896" s="74"/>
      <c r="I896" s="121"/>
      <c r="J896" s="121"/>
      <c r="K896" s="121"/>
      <c r="L896" s="121"/>
      <c r="M896" s="121"/>
      <c r="N896" s="99"/>
      <c r="O896" s="99"/>
      <c r="P896" s="99"/>
      <c r="Q896" s="99"/>
      <c r="R896" s="99"/>
      <c r="S896" s="99"/>
      <c r="T896" s="99"/>
    </row>
    <row r="897" spans="2:20">
      <c r="B897" s="75"/>
      <c r="C897" s="75"/>
      <c r="D897" s="75"/>
      <c r="E897" s="75"/>
      <c r="F897" s="73"/>
      <c r="G897" s="73"/>
      <c r="H897" s="74"/>
      <c r="I897" s="121"/>
      <c r="J897" s="121"/>
      <c r="K897" s="121"/>
      <c r="L897" s="121"/>
      <c r="M897" s="121"/>
      <c r="N897" s="99"/>
      <c r="O897" s="99"/>
      <c r="P897" s="99"/>
      <c r="Q897" s="99"/>
      <c r="R897" s="99"/>
      <c r="S897" s="99"/>
      <c r="T897" s="99"/>
    </row>
    <row r="898" spans="2:20">
      <c r="B898" s="75"/>
      <c r="C898" s="75"/>
      <c r="D898" s="75"/>
      <c r="E898" s="75"/>
      <c r="F898" s="73"/>
      <c r="G898" s="73"/>
      <c r="H898" s="74"/>
      <c r="I898" s="121"/>
      <c r="J898" s="121"/>
      <c r="K898" s="121"/>
      <c r="L898" s="121"/>
      <c r="M898" s="121"/>
      <c r="N898" s="99"/>
      <c r="O898" s="99"/>
      <c r="P898" s="99"/>
      <c r="Q898" s="99"/>
      <c r="R898" s="99"/>
      <c r="S898" s="99"/>
      <c r="T898" s="99"/>
    </row>
    <row r="899" spans="2:20">
      <c r="B899" s="75"/>
      <c r="C899" s="75"/>
      <c r="D899" s="75"/>
      <c r="E899" s="75"/>
      <c r="F899" s="73"/>
      <c r="G899" s="73"/>
      <c r="H899" s="74"/>
      <c r="I899" s="121"/>
      <c r="J899" s="121"/>
      <c r="K899" s="121"/>
      <c r="L899" s="121"/>
      <c r="M899" s="121"/>
      <c r="N899" s="99"/>
      <c r="O899" s="99"/>
      <c r="P899" s="99"/>
      <c r="Q899" s="99"/>
      <c r="R899" s="99"/>
      <c r="S899" s="99"/>
      <c r="T899" s="99"/>
    </row>
    <row r="900" spans="2:20">
      <c r="B900" s="75"/>
      <c r="C900" s="75"/>
      <c r="D900" s="75"/>
      <c r="E900" s="75"/>
      <c r="F900" s="73"/>
      <c r="G900" s="73"/>
      <c r="H900" s="74"/>
      <c r="I900" s="121"/>
      <c r="J900" s="121"/>
      <c r="K900" s="121"/>
      <c r="L900" s="121"/>
      <c r="M900" s="121"/>
      <c r="N900" s="99"/>
      <c r="O900" s="99"/>
      <c r="P900" s="99"/>
      <c r="Q900" s="99"/>
      <c r="R900" s="99"/>
      <c r="S900" s="99"/>
      <c r="T900" s="99"/>
    </row>
    <row r="901" spans="2:20">
      <c r="B901" s="75"/>
      <c r="C901" s="75"/>
      <c r="D901" s="75"/>
      <c r="E901" s="75"/>
      <c r="F901" s="73"/>
      <c r="G901" s="73"/>
      <c r="H901" s="74"/>
      <c r="I901" s="121"/>
      <c r="J901" s="121"/>
      <c r="K901" s="121"/>
      <c r="L901" s="121"/>
      <c r="M901" s="121"/>
      <c r="N901" s="98"/>
      <c r="O901" s="98"/>
      <c r="P901" s="98"/>
      <c r="Q901" s="98"/>
      <c r="R901" s="98"/>
      <c r="S901" s="98"/>
      <c r="T901" s="98"/>
    </row>
    <row r="902" spans="2:20">
      <c r="B902" s="75"/>
      <c r="C902" s="75"/>
      <c r="D902" s="75"/>
      <c r="E902" s="75"/>
      <c r="F902" s="73"/>
      <c r="G902" s="73"/>
      <c r="H902" s="74"/>
      <c r="I902" s="121"/>
      <c r="J902" s="121"/>
      <c r="K902" s="121"/>
      <c r="L902" s="121"/>
      <c r="M902" s="121"/>
      <c r="N902" s="98"/>
      <c r="O902" s="98"/>
      <c r="P902" s="98"/>
      <c r="Q902" s="98"/>
      <c r="R902" s="98"/>
      <c r="S902" s="98"/>
      <c r="T902" s="98"/>
    </row>
    <row r="903" spans="2:20">
      <c r="B903" s="75"/>
      <c r="C903" s="75"/>
      <c r="D903" s="75"/>
      <c r="E903" s="75"/>
      <c r="F903" s="73"/>
      <c r="G903" s="73"/>
      <c r="H903" s="74"/>
      <c r="I903" s="121"/>
      <c r="J903" s="121"/>
      <c r="K903" s="121"/>
      <c r="L903" s="121"/>
      <c r="M903" s="121"/>
      <c r="N903" s="98"/>
      <c r="O903" s="98"/>
      <c r="P903" s="98"/>
      <c r="Q903" s="98"/>
      <c r="R903" s="98"/>
      <c r="S903" s="98"/>
      <c r="T903" s="98"/>
    </row>
    <row r="904" spans="2:20">
      <c r="B904" s="75"/>
      <c r="C904" s="75"/>
      <c r="D904" s="75"/>
      <c r="E904" s="75"/>
      <c r="F904" s="73"/>
      <c r="G904" s="73"/>
      <c r="H904" s="74"/>
      <c r="I904" s="121"/>
      <c r="J904" s="121"/>
      <c r="K904" s="121"/>
      <c r="L904" s="121"/>
      <c r="M904" s="121"/>
      <c r="N904" s="98"/>
      <c r="O904" s="98"/>
      <c r="P904" s="98"/>
      <c r="Q904" s="98"/>
      <c r="R904" s="98"/>
      <c r="S904" s="98"/>
      <c r="T904" s="98"/>
    </row>
    <row r="905" spans="2:20">
      <c r="B905" s="75"/>
      <c r="C905" s="75"/>
      <c r="D905" s="75"/>
      <c r="E905" s="75"/>
      <c r="F905" s="73"/>
      <c r="G905" s="73"/>
      <c r="H905" s="74"/>
      <c r="I905" s="121"/>
      <c r="J905" s="121"/>
      <c r="K905" s="121"/>
      <c r="L905" s="121"/>
      <c r="M905" s="121"/>
      <c r="N905" s="98"/>
      <c r="O905" s="98"/>
      <c r="P905" s="98"/>
      <c r="Q905" s="98"/>
      <c r="R905" s="98"/>
      <c r="S905" s="98"/>
      <c r="T905" s="98"/>
    </row>
    <row r="906" spans="2:20">
      <c r="B906" s="75"/>
      <c r="C906" s="75"/>
      <c r="D906" s="75"/>
      <c r="E906" s="75"/>
      <c r="F906" s="73"/>
      <c r="G906" s="73"/>
      <c r="H906" s="74"/>
      <c r="I906" s="121"/>
      <c r="J906" s="121"/>
      <c r="K906" s="121"/>
      <c r="L906" s="121"/>
      <c r="M906" s="121"/>
      <c r="N906" s="98"/>
      <c r="O906" s="98"/>
      <c r="P906" s="98"/>
      <c r="Q906" s="98"/>
      <c r="R906" s="98"/>
      <c r="S906" s="98"/>
      <c r="T906" s="98"/>
    </row>
    <row r="907" spans="2:20">
      <c r="B907" s="75"/>
      <c r="C907" s="75"/>
      <c r="D907" s="75"/>
      <c r="E907" s="75"/>
      <c r="F907" s="73"/>
      <c r="G907" s="73"/>
      <c r="H907" s="74"/>
      <c r="I907" s="121"/>
      <c r="J907" s="121"/>
      <c r="K907" s="121"/>
      <c r="L907" s="121"/>
      <c r="M907" s="121"/>
      <c r="N907" s="98"/>
      <c r="O907" s="98"/>
      <c r="P907" s="98"/>
      <c r="Q907" s="98"/>
      <c r="R907" s="98"/>
      <c r="S907" s="98"/>
      <c r="T907" s="98"/>
    </row>
    <row r="908" spans="2:20">
      <c r="B908" s="75"/>
      <c r="C908" s="75"/>
      <c r="D908" s="75"/>
      <c r="E908" s="75"/>
      <c r="F908" s="73"/>
      <c r="G908" s="73"/>
      <c r="H908" s="74"/>
      <c r="I908" s="121"/>
      <c r="J908" s="121"/>
      <c r="K908" s="121"/>
      <c r="L908" s="121"/>
      <c r="M908" s="121"/>
      <c r="N908" s="98"/>
      <c r="O908" s="98"/>
      <c r="P908" s="98"/>
      <c r="Q908" s="98"/>
      <c r="R908" s="98"/>
      <c r="S908" s="98"/>
      <c r="T908" s="98"/>
    </row>
    <row r="909" spans="2:20">
      <c r="B909" s="75"/>
      <c r="C909" s="75"/>
      <c r="D909" s="75"/>
      <c r="E909" s="75"/>
      <c r="F909" s="73"/>
      <c r="G909" s="73"/>
      <c r="H909" s="74"/>
      <c r="I909" s="121"/>
      <c r="J909" s="121"/>
      <c r="K909" s="121"/>
      <c r="L909" s="121"/>
      <c r="M909" s="121"/>
      <c r="N909" s="98"/>
      <c r="O909" s="98"/>
      <c r="P909" s="98"/>
      <c r="Q909" s="98"/>
      <c r="R909" s="98"/>
      <c r="S909" s="98"/>
      <c r="T909" s="98"/>
    </row>
    <row r="910" spans="2:20">
      <c r="B910" s="75"/>
      <c r="C910" s="75"/>
      <c r="D910" s="75"/>
      <c r="E910" s="75"/>
      <c r="F910" s="73"/>
      <c r="G910" s="73"/>
      <c r="H910" s="74"/>
      <c r="I910" s="121"/>
      <c r="J910" s="121"/>
      <c r="K910" s="121"/>
      <c r="L910" s="121"/>
      <c r="M910" s="121"/>
      <c r="N910" s="98"/>
      <c r="O910" s="98"/>
      <c r="P910" s="98"/>
      <c r="Q910" s="98"/>
      <c r="R910" s="98"/>
      <c r="S910" s="98"/>
      <c r="T910" s="98"/>
    </row>
    <row r="911" spans="2:20">
      <c r="B911" s="75"/>
      <c r="C911" s="75"/>
      <c r="D911" s="75"/>
      <c r="E911" s="75"/>
      <c r="F911" s="73"/>
      <c r="G911" s="73"/>
      <c r="H911" s="74"/>
      <c r="I911" s="121"/>
      <c r="J911" s="121"/>
      <c r="K911" s="121"/>
      <c r="L911" s="121"/>
      <c r="M911" s="121"/>
      <c r="N911" s="98"/>
      <c r="O911" s="98"/>
      <c r="P911" s="98"/>
      <c r="Q911" s="98"/>
      <c r="R911" s="98"/>
      <c r="S911" s="98"/>
      <c r="T911" s="98"/>
    </row>
    <row r="912" spans="2:20">
      <c r="B912" s="75"/>
      <c r="C912" s="75"/>
      <c r="D912" s="75"/>
      <c r="E912" s="75"/>
      <c r="F912" s="73"/>
      <c r="G912" s="73"/>
      <c r="H912" s="74"/>
      <c r="I912" s="121"/>
      <c r="J912" s="121"/>
      <c r="K912" s="121"/>
      <c r="L912" s="121"/>
      <c r="M912" s="121"/>
      <c r="N912" s="98"/>
      <c r="O912" s="98"/>
      <c r="P912" s="98"/>
      <c r="Q912" s="98"/>
      <c r="R912" s="98"/>
      <c r="S912" s="98"/>
      <c r="T912" s="98"/>
    </row>
    <row r="913" spans="2:26">
      <c r="B913" s="75"/>
      <c r="C913" s="75"/>
      <c r="D913" s="75"/>
      <c r="E913" s="75"/>
      <c r="F913" s="73"/>
      <c r="G913" s="73"/>
      <c r="H913" s="74"/>
      <c r="I913" s="121"/>
      <c r="J913" s="121"/>
      <c r="K913" s="121"/>
      <c r="L913" s="121"/>
      <c r="M913" s="121"/>
      <c r="N913" s="98"/>
      <c r="O913" s="98"/>
      <c r="P913" s="98"/>
      <c r="Q913" s="98"/>
      <c r="R913" s="98"/>
      <c r="S913" s="98"/>
      <c r="T913" s="98"/>
    </row>
    <row r="914" spans="2:26">
      <c r="B914" s="75"/>
      <c r="C914" s="75"/>
      <c r="D914" s="75"/>
      <c r="E914" s="75"/>
      <c r="F914" s="73"/>
      <c r="G914" s="73"/>
      <c r="H914" s="74"/>
      <c r="I914" s="121"/>
      <c r="J914" s="121"/>
      <c r="K914" s="121"/>
      <c r="L914" s="121"/>
      <c r="M914" s="121"/>
      <c r="N914" s="98"/>
      <c r="O914" s="98"/>
      <c r="P914" s="98"/>
      <c r="Q914" s="98"/>
      <c r="R914" s="98"/>
      <c r="S914" s="98"/>
      <c r="T914" s="98"/>
    </row>
    <row r="915" spans="2:26">
      <c r="B915" s="75"/>
      <c r="C915" s="75"/>
      <c r="D915" s="75"/>
      <c r="E915" s="75"/>
      <c r="F915" s="73"/>
      <c r="G915" s="73"/>
      <c r="H915" s="74"/>
      <c r="I915" s="121"/>
      <c r="J915" s="121"/>
      <c r="K915" s="121"/>
      <c r="L915" s="121"/>
      <c r="M915" s="121"/>
      <c r="N915" s="98"/>
      <c r="O915" s="98"/>
      <c r="P915" s="98"/>
      <c r="Q915" s="98"/>
      <c r="R915" s="98"/>
      <c r="S915" s="98"/>
      <c r="T915" s="98"/>
      <c r="U915" s="94"/>
      <c r="V915" s="94"/>
      <c r="W915" s="94"/>
      <c r="X915" s="94"/>
      <c r="Y915" s="94"/>
      <c r="Z915" s="94"/>
    </row>
    <row r="916" spans="2:26">
      <c r="B916" s="75"/>
      <c r="C916" s="75"/>
      <c r="D916" s="75"/>
      <c r="E916" s="75"/>
      <c r="F916" s="73"/>
      <c r="G916" s="73"/>
      <c r="H916" s="74"/>
      <c r="I916" s="121"/>
      <c r="J916" s="121"/>
      <c r="K916" s="121"/>
      <c r="L916" s="121"/>
      <c r="M916" s="121"/>
      <c r="N916" s="98"/>
      <c r="O916" s="98"/>
      <c r="P916" s="98"/>
      <c r="Q916" s="98"/>
      <c r="R916" s="98"/>
      <c r="S916" s="98"/>
      <c r="T916" s="98"/>
    </row>
    <row r="917" spans="2:26">
      <c r="B917" s="75"/>
      <c r="C917" s="75"/>
      <c r="D917" s="75"/>
      <c r="E917" s="75"/>
      <c r="F917" s="73"/>
      <c r="G917" s="73"/>
      <c r="H917" s="74"/>
      <c r="I917" s="121"/>
      <c r="J917" s="121"/>
      <c r="K917" s="121"/>
      <c r="L917" s="121"/>
      <c r="M917" s="121"/>
      <c r="N917" s="98"/>
      <c r="O917" s="98"/>
      <c r="P917" s="98"/>
      <c r="Q917" s="98"/>
      <c r="R917" s="98"/>
      <c r="S917" s="98"/>
      <c r="T917" s="98"/>
    </row>
    <row r="918" spans="2:26">
      <c r="B918" s="75"/>
      <c r="C918" s="75"/>
      <c r="D918" s="75"/>
      <c r="E918" s="75"/>
      <c r="F918" s="73"/>
      <c r="G918" s="73"/>
      <c r="H918" s="74"/>
      <c r="I918" s="121"/>
      <c r="J918" s="121"/>
      <c r="K918" s="121"/>
      <c r="L918" s="121"/>
      <c r="M918" s="121"/>
      <c r="N918" s="98"/>
      <c r="O918" s="98"/>
      <c r="P918" s="98"/>
      <c r="Q918" s="98"/>
      <c r="R918" s="98"/>
      <c r="S918" s="98"/>
      <c r="T918" s="98"/>
    </row>
    <row r="919" spans="2:26">
      <c r="B919" s="75"/>
      <c r="C919" s="75"/>
      <c r="D919" s="75"/>
      <c r="E919" s="75"/>
      <c r="F919" s="73"/>
      <c r="G919" s="73"/>
      <c r="H919" s="74"/>
      <c r="I919" s="121"/>
      <c r="J919" s="121"/>
      <c r="K919" s="121"/>
      <c r="L919" s="121"/>
      <c r="M919" s="121"/>
      <c r="N919" s="98"/>
      <c r="O919" s="98"/>
      <c r="P919" s="98"/>
      <c r="Q919" s="98"/>
      <c r="R919" s="98"/>
      <c r="S919" s="98"/>
      <c r="T919" s="98"/>
    </row>
    <row r="920" spans="2:26">
      <c r="B920" s="75"/>
      <c r="C920" s="75"/>
      <c r="D920" s="75"/>
      <c r="E920" s="75"/>
      <c r="F920" s="73"/>
      <c r="G920" s="73"/>
      <c r="H920" s="74"/>
      <c r="I920" s="121"/>
      <c r="J920" s="121"/>
      <c r="K920" s="121"/>
      <c r="L920" s="121"/>
      <c r="M920" s="121"/>
      <c r="N920" s="98"/>
      <c r="O920" s="98"/>
      <c r="P920" s="98"/>
      <c r="Q920" s="98"/>
      <c r="R920" s="98"/>
      <c r="S920" s="98"/>
      <c r="T920" s="98"/>
    </row>
    <row r="921" spans="2:26">
      <c r="B921" s="75"/>
      <c r="C921" s="75"/>
      <c r="D921" s="75"/>
      <c r="E921" s="75"/>
      <c r="F921" s="73"/>
      <c r="G921" s="73"/>
      <c r="H921" s="74"/>
      <c r="I921" s="121"/>
      <c r="J921" s="121"/>
      <c r="K921" s="121"/>
      <c r="L921" s="121"/>
      <c r="M921" s="121"/>
      <c r="N921" s="98"/>
      <c r="O921" s="98"/>
      <c r="P921" s="98"/>
      <c r="Q921" s="98"/>
      <c r="R921" s="98"/>
      <c r="S921" s="98"/>
      <c r="T921" s="98"/>
    </row>
    <row r="922" spans="2:26">
      <c r="B922" s="75"/>
      <c r="C922" s="75"/>
      <c r="D922" s="75"/>
      <c r="E922" s="75"/>
      <c r="F922" s="73"/>
      <c r="G922" s="73"/>
      <c r="H922" s="74"/>
      <c r="I922" s="121"/>
      <c r="J922" s="121"/>
      <c r="K922" s="121"/>
      <c r="L922" s="121"/>
      <c r="M922" s="121"/>
      <c r="N922" s="98"/>
      <c r="O922" s="98"/>
      <c r="P922" s="98"/>
      <c r="Q922" s="98"/>
      <c r="R922" s="98"/>
      <c r="S922" s="98"/>
      <c r="T922" s="98"/>
    </row>
    <row r="923" spans="2:26">
      <c r="B923" s="75"/>
      <c r="C923" s="75"/>
      <c r="D923" s="75"/>
      <c r="E923" s="75"/>
      <c r="F923" s="73"/>
      <c r="G923" s="73"/>
      <c r="H923" s="74"/>
      <c r="I923" s="121"/>
      <c r="J923" s="121"/>
      <c r="K923" s="121"/>
      <c r="L923" s="121"/>
      <c r="M923" s="121"/>
      <c r="N923" s="98"/>
      <c r="O923" s="98"/>
      <c r="P923" s="98"/>
      <c r="Q923" s="98"/>
      <c r="R923" s="98"/>
      <c r="S923" s="98"/>
      <c r="T923" s="98"/>
    </row>
    <row r="924" spans="2:26">
      <c r="B924" s="75"/>
      <c r="C924" s="75"/>
      <c r="D924" s="75"/>
      <c r="E924" s="75"/>
      <c r="F924" s="73"/>
      <c r="G924" s="73"/>
      <c r="H924" s="74"/>
      <c r="I924" s="121"/>
      <c r="J924" s="121"/>
      <c r="K924" s="121"/>
      <c r="L924" s="121"/>
      <c r="M924" s="121"/>
      <c r="N924" s="98"/>
      <c r="O924" s="98"/>
      <c r="P924" s="98"/>
      <c r="Q924" s="98"/>
      <c r="R924" s="98"/>
      <c r="S924" s="98"/>
      <c r="T924" s="98"/>
    </row>
    <row r="925" spans="2:26">
      <c r="B925" s="75"/>
      <c r="C925" s="75"/>
      <c r="D925" s="75"/>
      <c r="E925" s="75"/>
      <c r="F925" s="73"/>
      <c r="G925" s="73"/>
      <c r="H925" s="74"/>
      <c r="I925" s="121"/>
      <c r="J925" s="121"/>
      <c r="K925" s="121"/>
      <c r="L925" s="121"/>
      <c r="M925" s="121"/>
      <c r="N925" s="98"/>
      <c r="O925" s="98"/>
      <c r="P925" s="98"/>
      <c r="Q925" s="98"/>
      <c r="R925" s="98"/>
      <c r="S925" s="98"/>
      <c r="T925" s="98"/>
    </row>
    <row r="926" spans="2:26">
      <c r="B926" s="75"/>
      <c r="C926" s="75"/>
      <c r="D926" s="75"/>
      <c r="E926" s="75"/>
      <c r="F926" s="73"/>
      <c r="G926" s="73"/>
      <c r="H926" s="74"/>
      <c r="I926" s="121"/>
      <c r="J926" s="121"/>
      <c r="K926" s="121"/>
      <c r="L926" s="121"/>
      <c r="M926" s="121"/>
      <c r="N926" s="99"/>
      <c r="O926" s="99"/>
      <c r="P926" s="99"/>
      <c r="Q926" s="99"/>
      <c r="R926" s="99"/>
      <c r="S926" s="99"/>
      <c r="T926" s="99"/>
    </row>
    <row r="927" spans="2:26">
      <c r="B927" s="75"/>
      <c r="C927" s="75"/>
      <c r="D927" s="75"/>
      <c r="E927" s="75"/>
      <c r="F927" s="73"/>
      <c r="G927" s="73"/>
      <c r="H927" s="74"/>
      <c r="I927" s="121"/>
      <c r="J927" s="121"/>
      <c r="K927" s="121"/>
      <c r="L927" s="121"/>
      <c r="M927" s="121"/>
      <c r="N927" s="99"/>
      <c r="O927" s="99"/>
      <c r="P927" s="99"/>
      <c r="Q927" s="99"/>
      <c r="R927" s="99"/>
      <c r="S927" s="99"/>
      <c r="T927" s="99"/>
    </row>
    <row r="928" spans="2:26">
      <c r="B928" s="75"/>
      <c r="C928" s="75"/>
      <c r="D928" s="75"/>
      <c r="E928" s="75"/>
      <c r="F928" s="73"/>
      <c r="G928" s="73"/>
      <c r="H928" s="74"/>
      <c r="I928" s="121"/>
      <c r="J928" s="121"/>
      <c r="K928" s="121"/>
      <c r="L928" s="121"/>
      <c r="M928" s="121"/>
      <c r="N928" s="98"/>
      <c r="O928" s="98"/>
      <c r="P928" s="98"/>
      <c r="Q928" s="98"/>
      <c r="R928" s="98"/>
      <c r="S928" s="98"/>
      <c r="T928" s="98"/>
    </row>
    <row r="929" spans="2:20">
      <c r="B929" s="75"/>
      <c r="C929" s="75"/>
      <c r="D929" s="75"/>
      <c r="E929" s="75"/>
      <c r="F929" s="73"/>
      <c r="G929" s="73"/>
      <c r="H929" s="74"/>
      <c r="I929" s="121"/>
      <c r="J929" s="121"/>
      <c r="K929" s="121"/>
      <c r="L929" s="121"/>
      <c r="M929" s="121"/>
      <c r="N929" s="98"/>
      <c r="O929" s="98"/>
      <c r="P929" s="98"/>
      <c r="Q929" s="98"/>
      <c r="R929" s="98"/>
      <c r="S929" s="98"/>
      <c r="T929" s="98"/>
    </row>
    <row r="930" spans="2:20">
      <c r="B930" s="75"/>
      <c r="C930" s="75"/>
      <c r="D930" s="75"/>
      <c r="E930" s="75"/>
      <c r="F930" s="73"/>
      <c r="G930" s="73"/>
      <c r="H930" s="74"/>
      <c r="I930" s="121"/>
      <c r="J930" s="121"/>
      <c r="K930" s="121"/>
      <c r="L930" s="121"/>
      <c r="M930" s="121"/>
      <c r="N930" s="98"/>
      <c r="O930" s="98"/>
      <c r="P930" s="98"/>
      <c r="Q930" s="98"/>
      <c r="R930" s="98"/>
      <c r="S930" s="98"/>
      <c r="T930" s="98"/>
    </row>
    <row r="931" spans="2:20">
      <c r="B931" s="75"/>
      <c r="C931" s="75"/>
      <c r="D931" s="75"/>
      <c r="E931" s="75"/>
      <c r="F931" s="73"/>
      <c r="G931" s="73"/>
      <c r="H931" s="74"/>
      <c r="I931" s="121"/>
      <c r="J931" s="121"/>
      <c r="K931" s="121"/>
      <c r="L931" s="121"/>
      <c r="M931" s="121"/>
      <c r="N931" s="98"/>
      <c r="O931" s="98"/>
      <c r="P931" s="98"/>
      <c r="Q931" s="98"/>
      <c r="R931" s="98"/>
      <c r="S931" s="98"/>
      <c r="T931" s="98"/>
    </row>
    <row r="932" spans="2:20">
      <c r="B932" s="75"/>
      <c r="C932" s="75"/>
      <c r="D932" s="75"/>
      <c r="E932" s="75"/>
      <c r="F932" s="73"/>
      <c r="G932" s="73"/>
      <c r="H932" s="74"/>
      <c r="I932" s="121"/>
      <c r="J932" s="121"/>
      <c r="K932" s="121"/>
      <c r="L932" s="121"/>
      <c r="M932" s="121"/>
      <c r="N932" s="98"/>
      <c r="O932" s="98"/>
      <c r="P932" s="98"/>
      <c r="Q932" s="98"/>
      <c r="R932" s="98"/>
      <c r="S932" s="98"/>
      <c r="T932" s="98"/>
    </row>
    <row r="933" spans="2:20">
      <c r="B933" s="75"/>
      <c r="C933" s="75"/>
      <c r="D933" s="75"/>
      <c r="E933" s="75"/>
      <c r="F933" s="73"/>
      <c r="G933" s="73"/>
      <c r="H933" s="74"/>
      <c r="I933" s="121"/>
      <c r="J933" s="121"/>
      <c r="K933" s="121"/>
      <c r="L933" s="121"/>
      <c r="M933" s="121"/>
      <c r="N933" s="98"/>
      <c r="O933" s="98"/>
      <c r="P933" s="98"/>
      <c r="Q933" s="98"/>
      <c r="R933" s="98"/>
      <c r="S933" s="98"/>
      <c r="T933" s="98"/>
    </row>
    <row r="934" spans="2:20">
      <c r="B934" s="75"/>
      <c r="C934" s="75"/>
      <c r="D934" s="75"/>
      <c r="E934" s="75"/>
      <c r="F934" s="73"/>
      <c r="G934" s="73"/>
      <c r="H934" s="74"/>
      <c r="I934" s="121"/>
      <c r="J934" s="121"/>
      <c r="K934" s="121"/>
      <c r="L934" s="121"/>
      <c r="M934" s="121"/>
      <c r="N934" s="98"/>
      <c r="O934" s="98"/>
      <c r="P934" s="98"/>
      <c r="Q934" s="98"/>
      <c r="R934" s="98"/>
      <c r="S934" s="98"/>
      <c r="T934" s="98"/>
    </row>
    <row r="935" spans="2:20">
      <c r="B935" s="75"/>
      <c r="C935" s="75"/>
      <c r="D935" s="75"/>
      <c r="E935" s="75"/>
      <c r="F935" s="73"/>
      <c r="G935" s="73"/>
      <c r="H935" s="74"/>
      <c r="I935" s="121"/>
      <c r="J935" s="121"/>
      <c r="K935" s="121"/>
      <c r="L935" s="121"/>
      <c r="M935" s="121"/>
      <c r="N935" s="98"/>
      <c r="O935" s="98"/>
      <c r="P935" s="98"/>
      <c r="Q935" s="98"/>
      <c r="R935" s="98"/>
      <c r="S935" s="98"/>
      <c r="T935" s="98"/>
    </row>
    <row r="936" spans="2:20">
      <c r="B936" s="75"/>
      <c r="C936" s="75"/>
      <c r="D936" s="75"/>
      <c r="E936" s="75"/>
      <c r="F936" s="73"/>
      <c r="G936" s="73"/>
      <c r="H936" s="74"/>
      <c r="I936" s="121"/>
      <c r="J936" s="121"/>
      <c r="K936" s="121"/>
      <c r="L936" s="121"/>
      <c r="M936" s="121"/>
      <c r="N936" s="98"/>
      <c r="O936" s="98"/>
      <c r="P936" s="98"/>
      <c r="Q936" s="98"/>
      <c r="R936" s="98"/>
      <c r="S936" s="98"/>
      <c r="T936" s="98"/>
    </row>
    <row r="937" spans="2:20">
      <c r="B937" s="75"/>
      <c r="C937" s="75"/>
      <c r="D937" s="75"/>
      <c r="E937" s="75"/>
      <c r="F937" s="73"/>
      <c r="G937" s="73"/>
      <c r="H937" s="74"/>
      <c r="I937" s="121"/>
      <c r="J937" s="121"/>
      <c r="K937" s="121"/>
      <c r="L937" s="121"/>
      <c r="M937" s="121"/>
      <c r="N937" s="98"/>
      <c r="O937" s="98"/>
      <c r="P937" s="98"/>
      <c r="Q937" s="98"/>
      <c r="R937" s="98"/>
      <c r="S937" s="98"/>
      <c r="T937" s="98"/>
    </row>
    <row r="938" spans="2:20">
      <c r="B938" s="75"/>
      <c r="C938" s="75"/>
      <c r="D938" s="75"/>
      <c r="E938" s="75"/>
      <c r="F938" s="73"/>
      <c r="G938" s="73"/>
      <c r="H938" s="74"/>
      <c r="I938" s="121"/>
      <c r="J938" s="121"/>
      <c r="K938" s="121"/>
      <c r="L938" s="121"/>
      <c r="M938" s="121"/>
      <c r="N938" s="98"/>
      <c r="O938" s="98"/>
      <c r="P938" s="98"/>
      <c r="Q938" s="98"/>
      <c r="R938" s="98"/>
      <c r="S938" s="98"/>
      <c r="T938" s="98"/>
    </row>
    <row r="939" spans="2:20">
      <c r="B939" s="75"/>
      <c r="C939" s="75"/>
      <c r="D939" s="75"/>
      <c r="E939" s="75"/>
      <c r="F939" s="73"/>
      <c r="G939" s="73"/>
      <c r="H939" s="74"/>
      <c r="I939" s="121"/>
      <c r="J939" s="121"/>
      <c r="K939" s="121"/>
      <c r="L939" s="121"/>
      <c r="M939" s="121"/>
      <c r="N939" s="98"/>
      <c r="O939" s="98"/>
      <c r="P939" s="98"/>
      <c r="Q939" s="98"/>
      <c r="R939" s="98"/>
      <c r="S939" s="98"/>
      <c r="T939" s="98"/>
    </row>
    <row r="940" spans="2:20">
      <c r="B940" s="75"/>
      <c r="C940" s="75"/>
      <c r="D940" s="75"/>
      <c r="E940" s="75"/>
      <c r="F940" s="73"/>
      <c r="G940" s="73"/>
      <c r="H940" s="74"/>
      <c r="I940" s="121"/>
      <c r="J940" s="121"/>
      <c r="K940" s="121"/>
      <c r="L940" s="121"/>
      <c r="M940" s="121"/>
      <c r="N940" s="98"/>
      <c r="O940" s="98"/>
      <c r="P940" s="98"/>
      <c r="Q940" s="98"/>
      <c r="R940" s="98"/>
      <c r="S940" s="98"/>
      <c r="T940" s="98"/>
    </row>
    <row r="941" spans="2:20">
      <c r="B941" s="75"/>
      <c r="C941" s="75"/>
      <c r="D941" s="75"/>
      <c r="E941" s="75"/>
      <c r="F941" s="73"/>
      <c r="G941" s="73"/>
      <c r="H941" s="74"/>
      <c r="I941" s="121"/>
      <c r="J941" s="121"/>
      <c r="K941" s="121"/>
      <c r="L941" s="121"/>
      <c r="M941" s="121"/>
      <c r="N941" s="98"/>
      <c r="O941" s="98"/>
      <c r="P941" s="98"/>
      <c r="Q941" s="98"/>
      <c r="R941" s="98"/>
      <c r="S941" s="98"/>
      <c r="T941" s="98"/>
    </row>
    <row r="942" spans="2:20">
      <c r="B942" s="75"/>
      <c r="C942" s="75"/>
      <c r="D942" s="75"/>
      <c r="E942" s="75"/>
      <c r="F942" s="73"/>
      <c r="G942" s="73"/>
      <c r="H942" s="74"/>
      <c r="I942" s="121"/>
      <c r="J942" s="121"/>
      <c r="K942" s="121"/>
      <c r="L942" s="121"/>
      <c r="M942" s="121"/>
      <c r="N942" s="98"/>
      <c r="O942" s="98"/>
      <c r="P942" s="98"/>
      <c r="Q942" s="98"/>
      <c r="R942" s="98"/>
      <c r="S942" s="98"/>
      <c r="T942" s="98"/>
    </row>
    <row r="943" spans="2:20">
      <c r="B943" s="75"/>
      <c r="C943" s="75"/>
      <c r="D943" s="75"/>
      <c r="E943" s="75"/>
      <c r="F943" s="73"/>
      <c r="G943" s="73"/>
      <c r="H943" s="74"/>
      <c r="I943" s="121"/>
      <c r="J943" s="121"/>
      <c r="K943" s="121"/>
      <c r="L943" s="121"/>
      <c r="M943" s="121"/>
      <c r="N943" s="98"/>
      <c r="O943" s="98"/>
      <c r="P943" s="98"/>
      <c r="Q943" s="98"/>
      <c r="R943" s="98"/>
      <c r="S943" s="98"/>
      <c r="T943" s="98"/>
    </row>
    <row r="944" spans="2:20">
      <c r="B944" s="75"/>
      <c r="C944" s="75"/>
      <c r="D944" s="75"/>
      <c r="E944" s="75"/>
      <c r="F944" s="73"/>
      <c r="G944" s="73"/>
      <c r="H944" s="74"/>
      <c r="I944" s="121"/>
      <c r="J944" s="121"/>
      <c r="K944" s="121"/>
      <c r="L944" s="121"/>
      <c r="M944" s="121"/>
      <c r="N944" s="98"/>
      <c r="O944" s="98"/>
      <c r="P944" s="98"/>
      <c r="Q944" s="98"/>
      <c r="R944" s="98"/>
      <c r="S944" s="98"/>
      <c r="T944" s="98"/>
    </row>
    <row r="945" spans="2:20">
      <c r="B945" s="75"/>
      <c r="C945" s="75"/>
      <c r="D945" s="75"/>
      <c r="E945" s="75"/>
      <c r="F945" s="73"/>
      <c r="G945" s="73"/>
      <c r="H945" s="74"/>
      <c r="I945" s="121"/>
      <c r="J945" s="121"/>
      <c r="K945" s="121"/>
      <c r="L945" s="121"/>
      <c r="M945" s="121"/>
      <c r="N945" s="98"/>
      <c r="O945" s="98"/>
      <c r="P945" s="98"/>
      <c r="Q945" s="98"/>
      <c r="R945" s="98"/>
      <c r="S945" s="98"/>
      <c r="T945" s="98"/>
    </row>
    <row r="946" spans="2:20">
      <c r="B946" s="75"/>
      <c r="C946" s="75"/>
      <c r="D946" s="75"/>
      <c r="E946" s="75"/>
      <c r="F946" s="73"/>
      <c r="G946" s="73"/>
      <c r="H946" s="74"/>
      <c r="I946" s="121"/>
      <c r="J946" s="121"/>
      <c r="K946" s="121"/>
      <c r="L946" s="121"/>
      <c r="M946" s="121"/>
      <c r="N946" s="98"/>
      <c r="O946" s="98"/>
      <c r="P946" s="98"/>
      <c r="Q946" s="98"/>
      <c r="R946" s="98"/>
      <c r="S946" s="98"/>
      <c r="T946" s="98"/>
    </row>
    <row r="947" spans="2:20">
      <c r="B947" s="75"/>
      <c r="C947" s="75"/>
      <c r="D947" s="75"/>
      <c r="E947" s="75"/>
      <c r="F947" s="73"/>
      <c r="G947" s="73"/>
      <c r="H947" s="74"/>
      <c r="I947" s="121"/>
      <c r="J947" s="121"/>
      <c r="K947" s="121"/>
      <c r="L947" s="121"/>
      <c r="M947" s="121"/>
      <c r="N947" s="98"/>
      <c r="O947" s="98"/>
      <c r="P947" s="98"/>
      <c r="Q947" s="98"/>
      <c r="R947" s="98"/>
      <c r="S947" s="98"/>
      <c r="T947" s="98"/>
    </row>
    <row r="948" spans="2:20">
      <c r="B948" s="75"/>
      <c r="C948" s="75"/>
      <c r="D948" s="75"/>
      <c r="E948" s="75"/>
      <c r="F948" s="73"/>
      <c r="G948" s="73"/>
      <c r="H948" s="74"/>
      <c r="I948" s="121"/>
      <c r="J948" s="121"/>
      <c r="K948" s="121"/>
      <c r="L948" s="121"/>
      <c r="M948" s="121"/>
      <c r="N948" s="98"/>
      <c r="O948" s="98"/>
      <c r="P948" s="98"/>
      <c r="Q948" s="98"/>
      <c r="R948" s="98"/>
      <c r="S948" s="98"/>
      <c r="T948" s="98"/>
    </row>
    <row r="949" spans="2:20">
      <c r="B949" s="75"/>
      <c r="C949" s="75"/>
      <c r="D949" s="75"/>
      <c r="E949" s="75"/>
      <c r="F949" s="73"/>
      <c r="G949" s="73"/>
      <c r="H949" s="74"/>
      <c r="I949" s="121"/>
      <c r="J949" s="121"/>
      <c r="K949" s="121"/>
      <c r="L949" s="121"/>
      <c r="M949" s="121"/>
      <c r="N949" s="98"/>
      <c r="O949" s="98"/>
      <c r="P949" s="98"/>
      <c r="Q949" s="98"/>
      <c r="R949" s="98"/>
      <c r="S949" s="98"/>
      <c r="T949" s="98"/>
    </row>
    <row r="950" spans="2:20">
      <c r="B950" s="75"/>
      <c r="C950" s="75"/>
      <c r="D950" s="75"/>
      <c r="E950" s="75"/>
      <c r="F950" s="73"/>
      <c r="G950" s="73"/>
      <c r="H950" s="74"/>
      <c r="I950" s="121"/>
      <c r="J950" s="121"/>
      <c r="K950" s="121"/>
      <c r="L950" s="121"/>
      <c r="M950" s="121"/>
      <c r="N950" s="98"/>
      <c r="O950" s="98"/>
      <c r="P950" s="98"/>
      <c r="Q950" s="98"/>
      <c r="R950" s="98"/>
      <c r="S950" s="98"/>
      <c r="T950" s="98"/>
    </row>
    <row r="951" spans="2:20">
      <c r="B951" s="75"/>
      <c r="C951" s="75"/>
      <c r="D951" s="75"/>
      <c r="E951" s="75"/>
      <c r="F951" s="73"/>
      <c r="G951" s="73"/>
      <c r="H951" s="74"/>
      <c r="I951" s="121"/>
      <c r="J951" s="121"/>
      <c r="K951" s="121"/>
      <c r="L951" s="121"/>
      <c r="M951" s="121"/>
      <c r="N951" s="98"/>
      <c r="O951" s="98"/>
      <c r="P951" s="98"/>
      <c r="Q951" s="98"/>
      <c r="R951" s="98"/>
      <c r="S951" s="98"/>
      <c r="T951" s="98"/>
    </row>
    <row r="952" spans="2:20">
      <c r="B952" s="75"/>
      <c r="C952" s="75"/>
      <c r="D952" s="75"/>
      <c r="E952" s="75"/>
      <c r="F952" s="73"/>
      <c r="G952" s="73"/>
      <c r="H952" s="74"/>
      <c r="I952" s="121"/>
      <c r="J952" s="121"/>
      <c r="K952" s="121"/>
      <c r="L952" s="121"/>
      <c r="M952" s="121"/>
      <c r="N952" s="98"/>
      <c r="O952" s="98"/>
      <c r="P952" s="98"/>
      <c r="Q952" s="98"/>
      <c r="R952" s="98"/>
      <c r="S952" s="98"/>
      <c r="T952" s="98"/>
    </row>
    <row r="953" spans="2:20">
      <c r="B953" s="75"/>
      <c r="C953" s="75"/>
      <c r="D953" s="75"/>
      <c r="E953" s="75"/>
      <c r="F953" s="73"/>
      <c r="G953" s="73"/>
      <c r="H953" s="74"/>
      <c r="I953" s="121"/>
      <c r="J953" s="121"/>
      <c r="K953" s="121"/>
      <c r="L953" s="121"/>
      <c r="M953" s="121"/>
      <c r="N953" s="98"/>
      <c r="O953" s="98"/>
      <c r="P953" s="98"/>
      <c r="Q953" s="98"/>
      <c r="R953" s="98"/>
      <c r="S953" s="98"/>
      <c r="T953" s="98"/>
    </row>
    <row r="954" spans="2:20">
      <c r="B954" s="75"/>
      <c r="C954" s="75"/>
      <c r="D954" s="75"/>
      <c r="E954" s="75"/>
      <c r="F954" s="73"/>
      <c r="G954" s="73"/>
      <c r="H954" s="74"/>
      <c r="I954" s="121"/>
      <c r="J954" s="121"/>
      <c r="K954" s="121"/>
      <c r="L954" s="121"/>
      <c r="M954" s="121"/>
      <c r="N954" s="98"/>
      <c r="O954" s="98"/>
      <c r="P954" s="98"/>
      <c r="Q954" s="98"/>
      <c r="R954" s="98"/>
      <c r="S954" s="98"/>
      <c r="T954" s="98"/>
    </row>
    <row r="955" spans="2:20">
      <c r="B955" s="75"/>
      <c r="C955" s="75"/>
      <c r="D955" s="75"/>
      <c r="E955" s="75"/>
      <c r="F955" s="73"/>
      <c r="G955" s="73"/>
      <c r="H955" s="74"/>
      <c r="I955" s="121"/>
      <c r="J955" s="121"/>
      <c r="K955" s="121"/>
      <c r="L955" s="121"/>
      <c r="M955" s="121"/>
      <c r="N955" s="98"/>
      <c r="O955" s="98"/>
      <c r="P955" s="98"/>
      <c r="Q955" s="98"/>
      <c r="R955" s="98"/>
      <c r="S955" s="98"/>
      <c r="T955" s="98"/>
    </row>
    <row r="956" spans="2:20">
      <c r="B956" s="75"/>
      <c r="C956" s="75"/>
      <c r="D956" s="75"/>
      <c r="E956" s="75"/>
      <c r="F956" s="73"/>
      <c r="G956" s="73"/>
      <c r="H956" s="74"/>
      <c r="I956" s="121"/>
      <c r="J956" s="121"/>
      <c r="K956" s="121"/>
      <c r="L956" s="121"/>
      <c r="M956" s="121"/>
      <c r="N956" s="98"/>
      <c r="O956" s="98"/>
      <c r="P956" s="98"/>
      <c r="Q956" s="98"/>
      <c r="R956" s="98"/>
      <c r="S956" s="98"/>
      <c r="T956" s="98"/>
    </row>
    <row r="957" spans="2:20">
      <c r="B957" s="75"/>
      <c r="C957" s="75"/>
      <c r="D957" s="75"/>
      <c r="E957" s="75"/>
      <c r="F957" s="73"/>
      <c r="G957" s="73"/>
      <c r="H957" s="74"/>
      <c r="I957" s="121"/>
      <c r="J957" s="121"/>
      <c r="K957" s="121"/>
      <c r="L957" s="121"/>
      <c r="M957" s="121"/>
      <c r="N957" s="98"/>
      <c r="O957" s="98"/>
      <c r="P957" s="98"/>
      <c r="Q957" s="98"/>
      <c r="R957" s="98"/>
      <c r="S957" s="98"/>
      <c r="T957" s="98"/>
    </row>
    <row r="958" spans="2:20">
      <c r="B958" s="75"/>
      <c r="C958" s="75"/>
      <c r="D958" s="75"/>
      <c r="E958" s="75"/>
      <c r="F958" s="73"/>
      <c r="G958" s="73"/>
      <c r="H958" s="74"/>
      <c r="I958" s="121"/>
      <c r="J958" s="121"/>
      <c r="K958" s="121"/>
      <c r="L958" s="121"/>
      <c r="M958" s="121"/>
      <c r="N958" s="98"/>
      <c r="O958" s="98"/>
      <c r="P958" s="98"/>
      <c r="Q958" s="98"/>
      <c r="R958" s="98"/>
      <c r="S958" s="98"/>
      <c r="T958" s="98"/>
    </row>
    <row r="959" spans="2:20">
      <c r="B959" s="75"/>
      <c r="C959" s="75"/>
      <c r="D959" s="75"/>
      <c r="E959" s="75"/>
      <c r="F959" s="73"/>
      <c r="G959" s="73"/>
      <c r="H959" s="74"/>
      <c r="I959" s="121"/>
      <c r="J959" s="121"/>
      <c r="K959" s="121"/>
      <c r="L959" s="121"/>
      <c r="M959" s="121"/>
      <c r="N959" s="98"/>
      <c r="O959" s="98"/>
      <c r="P959" s="98"/>
      <c r="Q959" s="98"/>
      <c r="R959" s="98"/>
      <c r="S959" s="98"/>
      <c r="T959" s="98"/>
    </row>
    <row r="960" spans="2:20">
      <c r="B960" s="75"/>
      <c r="C960" s="75"/>
      <c r="D960" s="75"/>
      <c r="E960" s="75"/>
      <c r="F960" s="73"/>
      <c r="G960" s="73"/>
      <c r="H960" s="74"/>
      <c r="I960" s="121"/>
      <c r="J960" s="121"/>
      <c r="K960" s="121"/>
      <c r="L960" s="121"/>
      <c r="M960" s="121"/>
      <c r="N960" s="98"/>
      <c r="O960" s="98"/>
      <c r="P960" s="98"/>
      <c r="Q960" s="98"/>
      <c r="R960" s="98"/>
      <c r="S960" s="98"/>
      <c r="T960" s="98"/>
    </row>
    <row r="961" spans="2:20">
      <c r="B961" s="75"/>
      <c r="C961" s="75"/>
      <c r="D961" s="75"/>
      <c r="E961" s="75"/>
      <c r="F961" s="73"/>
      <c r="G961" s="73"/>
      <c r="H961" s="74"/>
      <c r="I961" s="121"/>
      <c r="J961" s="121"/>
      <c r="K961" s="121"/>
      <c r="L961" s="121"/>
      <c r="M961" s="121"/>
      <c r="N961" s="98"/>
      <c r="O961" s="98"/>
      <c r="P961" s="98"/>
      <c r="Q961" s="98"/>
      <c r="R961" s="98"/>
      <c r="S961" s="98"/>
      <c r="T961" s="98"/>
    </row>
    <row r="962" spans="2:20">
      <c r="B962" s="75"/>
      <c r="C962" s="75"/>
      <c r="D962" s="75"/>
      <c r="E962" s="75"/>
      <c r="F962" s="73"/>
      <c r="G962" s="73"/>
      <c r="H962" s="74"/>
      <c r="I962" s="121"/>
      <c r="J962" s="121"/>
      <c r="K962" s="121"/>
      <c r="L962" s="121"/>
      <c r="M962" s="121"/>
      <c r="N962" s="98"/>
      <c r="O962" s="98"/>
      <c r="P962" s="98"/>
      <c r="Q962" s="98"/>
      <c r="R962" s="98"/>
      <c r="S962" s="98"/>
      <c r="T962" s="98"/>
    </row>
    <row r="963" spans="2:20">
      <c r="B963" s="75"/>
      <c r="C963" s="75"/>
      <c r="D963" s="75"/>
      <c r="E963" s="75"/>
      <c r="F963" s="73"/>
      <c r="G963" s="73"/>
      <c r="H963" s="74"/>
      <c r="I963" s="121"/>
      <c r="J963" s="121"/>
      <c r="K963" s="121"/>
      <c r="L963" s="121"/>
      <c r="M963" s="121"/>
      <c r="N963" s="98"/>
      <c r="O963" s="98"/>
      <c r="P963" s="98"/>
      <c r="Q963" s="98"/>
      <c r="R963" s="98"/>
      <c r="S963" s="98"/>
      <c r="T963" s="98"/>
    </row>
    <row r="964" spans="2:20">
      <c r="B964" s="75"/>
      <c r="C964" s="75"/>
      <c r="D964" s="75"/>
      <c r="E964" s="75"/>
      <c r="F964" s="73"/>
      <c r="G964" s="73"/>
      <c r="H964" s="74"/>
      <c r="I964" s="121"/>
      <c r="J964" s="121"/>
      <c r="K964" s="121"/>
      <c r="L964" s="121"/>
      <c r="M964" s="121"/>
      <c r="N964" s="98"/>
      <c r="O964" s="98"/>
      <c r="P964" s="98"/>
      <c r="Q964" s="98"/>
      <c r="R964" s="98"/>
      <c r="S964" s="98"/>
      <c r="T964" s="98"/>
    </row>
    <row r="965" spans="2:20">
      <c r="B965" s="75"/>
      <c r="C965" s="75"/>
      <c r="D965" s="75"/>
      <c r="E965" s="75"/>
      <c r="F965" s="73"/>
      <c r="G965" s="73"/>
      <c r="H965" s="74"/>
      <c r="I965" s="121"/>
      <c r="J965" s="121"/>
      <c r="K965" s="121"/>
      <c r="L965" s="121"/>
      <c r="M965" s="121"/>
      <c r="N965" s="98"/>
      <c r="O965" s="98"/>
      <c r="P965" s="98"/>
      <c r="Q965" s="98"/>
      <c r="R965" s="98"/>
      <c r="S965" s="98"/>
      <c r="T965" s="98"/>
    </row>
    <row r="966" spans="2:20">
      <c r="B966" s="75"/>
      <c r="C966" s="75"/>
      <c r="D966" s="75"/>
      <c r="E966" s="75"/>
      <c r="F966" s="73"/>
      <c r="G966" s="73"/>
      <c r="H966" s="74"/>
      <c r="I966" s="121"/>
      <c r="J966" s="121"/>
      <c r="K966" s="121"/>
      <c r="L966" s="121"/>
      <c r="M966" s="121"/>
      <c r="N966" s="98"/>
      <c r="O966" s="98"/>
      <c r="P966" s="98"/>
      <c r="Q966" s="98"/>
      <c r="R966" s="98"/>
      <c r="S966" s="98"/>
      <c r="T966" s="98"/>
    </row>
    <row r="967" spans="2:20">
      <c r="B967" s="75"/>
      <c r="C967" s="75"/>
      <c r="D967" s="75"/>
      <c r="E967" s="75"/>
      <c r="F967" s="73"/>
      <c r="G967" s="73"/>
      <c r="H967" s="74"/>
      <c r="I967" s="121"/>
      <c r="J967" s="121"/>
      <c r="K967" s="121"/>
      <c r="L967" s="121"/>
      <c r="M967" s="121"/>
      <c r="N967" s="98"/>
      <c r="O967" s="98"/>
      <c r="P967" s="98"/>
      <c r="Q967" s="98"/>
      <c r="R967" s="98"/>
      <c r="S967" s="98"/>
      <c r="T967" s="98"/>
    </row>
    <row r="968" spans="2:20">
      <c r="B968" s="75"/>
      <c r="C968" s="75"/>
      <c r="D968" s="75"/>
      <c r="E968" s="75"/>
      <c r="F968" s="73"/>
      <c r="G968" s="73"/>
      <c r="H968" s="74"/>
      <c r="I968" s="121"/>
      <c r="J968" s="121"/>
      <c r="K968" s="121"/>
      <c r="L968" s="121"/>
      <c r="M968" s="121"/>
      <c r="N968" s="98"/>
      <c r="O968" s="98"/>
      <c r="P968" s="98"/>
      <c r="Q968" s="98"/>
      <c r="R968" s="98"/>
      <c r="S968" s="98"/>
      <c r="T968" s="98"/>
    </row>
    <row r="969" spans="2:20">
      <c r="B969" s="75"/>
      <c r="C969" s="75"/>
      <c r="D969" s="75"/>
      <c r="E969" s="75"/>
      <c r="F969" s="73"/>
      <c r="G969" s="73"/>
      <c r="H969" s="74"/>
      <c r="I969" s="121"/>
      <c r="J969" s="121"/>
      <c r="K969" s="121"/>
      <c r="L969" s="121"/>
      <c r="M969" s="121"/>
      <c r="N969" s="98"/>
      <c r="O969" s="98"/>
      <c r="P969" s="98"/>
      <c r="Q969" s="98"/>
      <c r="R969" s="98"/>
      <c r="S969" s="98"/>
      <c r="T969" s="98"/>
    </row>
    <row r="970" spans="2:20">
      <c r="B970" s="75"/>
      <c r="C970" s="75"/>
      <c r="D970" s="75"/>
      <c r="E970" s="75"/>
      <c r="F970" s="73"/>
      <c r="G970" s="73"/>
      <c r="H970" s="74"/>
      <c r="I970" s="121"/>
      <c r="J970" s="121"/>
      <c r="K970" s="121"/>
      <c r="L970" s="121"/>
      <c r="M970" s="121"/>
      <c r="N970" s="98"/>
      <c r="O970" s="98"/>
      <c r="P970" s="98"/>
      <c r="Q970" s="98"/>
      <c r="R970" s="98"/>
      <c r="S970" s="98"/>
      <c r="T970" s="98"/>
    </row>
    <row r="971" spans="2:20">
      <c r="B971" s="75"/>
      <c r="C971" s="75"/>
      <c r="D971" s="75"/>
      <c r="E971" s="75"/>
      <c r="F971" s="73"/>
      <c r="G971" s="73"/>
      <c r="H971" s="74"/>
      <c r="I971" s="121"/>
      <c r="J971" s="121"/>
      <c r="K971" s="121"/>
      <c r="L971" s="121"/>
      <c r="M971" s="121"/>
      <c r="N971" s="98"/>
      <c r="O971" s="98"/>
      <c r="P971" s="98"/>
      <c r="Q971" s="98"/>
      <c r="R971" s="98"/>
      <c r="S971" s="98"/>
      <c r="T971" s="98"/>
    </row>
    <row r="972" spans="2:20">
      <c r="B972" s="75"/>
      <c r="C972" s="75"/>
      <c r="D972" s="75"/>
      <c r="E972" s="75"/>
      <c r="F972" s="117"/>
      <c r="G972" s="73"/>
      <c r="H972" s="74"/>
      <c r="I972" s="121"/>
      <c r="J972" s="121"/>
      <c r="K972" s="121"/>
      <c r="L972" s="121"/>
      <c r="M972" s="121"/>
      <c r="N972" s="98"/>
      <c r="O972" s="98"/>
      <c r="P972" s="98"/>
      <c r="Q972" s="98"/>
      <c r="R972" s="98"/>
      <c r="S972" s="98"/>
      <c r="T972" s="98"/>
    </row>
    <row r="973" spans="2:20">
      <c r="B973" s="75"/>
      <c r="C973" s="75"/>
      <c r="D973" s="75"/>
      <c r="E973" s="75"/>
      <c r="F973" s="73"/>
      <c r="G973" s="73"/>
      <c r="H973" s="74"/>
      <c r="I973" s="121"/>
      <c r="J973" s="121"/>
      <c r="K973" s="121"/>
      <c r="L973" s="121"/>
      <c r="M973" s="121"/>
      <c r="N973" s="98"/>
      <c r="O973" s="98"/>
      <c r="P973" s="98"/>
      <c r="Q973" s="98"/>
      <c r="R973" s="98"/>
      <c r="S973" s="98"/>
      <c r="T973" s="98"/>
    </row>
    <row r="974" spans="2:20">
      <c r="B974" s="75"/>
      <c r="C974" s="75"/>
      <c r="D974" s="75"/>
      <c r="E974" s="75"/>
      <c r="F974" s="73"/>
      <c r="G974" s="73"/>
      <c r="H974" s="74"/>
      <c r="I974" s="121"/>
      <c r="J974" s="121"/>
      <c r="K974" s="121"/>
      <c r="L974" s="121"/>
      <c r="M974" s="121"/>
      <c r="N974" s="98"/>
      <c r="O974" s="98"/>
      <c r="P974" s="98"/>
      <c r="Q974" s="98"/>
      <c r="R974" s="98"/>
      <c r="S974" s="98"/>
      <c r="T974" s="98"/>
    </row>
    <row r="975" spans="2:20">
      <c r="B975" s="75"/>
      <c r="C975" s="75"/>
      <c r="D975" s="75"/>
      <c r="E975" s="75"/>
      <c r="F975" s="73"/>
      <c r="G975" s="73"/>
      <c r="H975" s="74"/>
      <c r="I975" s="121"/>
      <c r="J975" s="121"/>
      <c r="K975" s="121"/>
      <c r="L975" s="121"/>
      <c r="M975" s="121"/>
      <c r="N975" s="98"/>
      <c r="O975" s="98"/>
      <c r="P975" s="98"/>
      <c r="Q975" s="98"/>
      <c r="R975" s="98"/>
      <c r="S975" s="98"/>
      <c r="T975" s="98"/>
    </row>
    <row r="976" spans="2:20">
      <c r="B976" s="75"/>
      <c r="C976" s="75"/>
      <c r="D976" s="75"/>
      <c r="E976" s="75"/>
      <c r="F976" s="73"/>
      <c r="G976" s="73"/>
      <c r="H976" s="74"/>
      <c r="I976" s="121"/>
      <c r="J976" s="121"/>
      <c r="K976" s="121"/>
      <c r="L976" s="121"/>
      <c r="M976" s="121"/>
      <c r="N976" s="98"/>
      <c r="O976" s="98"/>
      <c r="P976" s="98"/>
      <c r="Q976" s="98"/>
      <c r="R976" s="98"/>
      <c r="S976" s="98"/>
      <c r="T976" s="98"/>
    </row>
    <row r="977" spans="2:20">
      <c r="B977" s="75"/>
      <c r="C977" s="75"/>
      <c r="D977" s="75"/>
      <c r="E977" s="75"/>
      <c r="F977" s="73"/>
      <c r="G977" s="73"/>
      <c r="H977" s="74"/>
      <c r="I977" s="121"/>
      <c r="J977" s="121"/>
      <c r="K977" s="121"/>
      <c r="L977" s="121"/>
      <c r="M977" s="121"/>
      <c r="N977" s="98"/>
      <c r="O977" s="98"/>
      <c r="P977" s="98"/>
      <c r="Q977" s="98"/>
      <c r="R977" s="98"/>
      <c r="S977" s="98"/>
      <c r="T977" s="98"/>
    </row>
    <row r="978" spans="2:20">
      <c r="B978" s="75"/>
      <c r="C978" s="75"/>
      <c r="D978" s="75"/>
      <c r="E978" s="75"/>
      <c r="F978" s="73"/>
      <c r="G978" s="73"/>
      <c r="H978" s="74"/>
      <c r="I978" s="121"/>
      <c r="J978" s="121"/>
      <c r="K978" s="121"/>
      <c r="L978" s="121"/>
      <c r="M978" s="121"/>
      <c r="N978" s="98"/>
      <c r="O978" s="98"/>
      <c r="P978" s="98"/>
      <c r="Q978" s="98"/>
      <c r="R978" s="98"/>
      <c r="S978" s="98"/>
      <c r="T978" s="98"/>
    </row>
    <row r="979" spans="2:20">
      <c r="B979" s="75"/>
      <c r="C979" s="75"/>
      <c r="D979" s="75"/>
      <c r="E979" s="75"/>
      <c r="F979" s="73"/>
      <c r="G979" s="73"/>
      <c r="H979" s="74"/>
      <c r="I979" s="121"/>
      <c r="J979" s="121"/>
      <c r="K979" s="121"/>
      <c r="L979" s="121"/>
      <c r="M979" s="121"/>
      <c r="N979" s="98"/>
      <c r="O979" s="98"/>
      <c r="P979" s="98"/>
      <c r="Q979" s="98"/>
      <c r="R979" s="98"/>
      <c r="S979" s="98"/>
      <c r="T979" s="98"/>
    </row>
    <row r="980" spans="2:20">
      <c r="B980" s="75"/>
      <c r="C980" s="75"/>
      <c r="D980" s="75"/>
      <c r="E980" s="75"/>
      <c r="F980" s="73"/>
      <c r="G980" s="73"/>
      <c r="H980" s="74"/>
      <c r="I980" s="121"/>
      <c r="J980" s="121"/>
      <c r="K980" s="121"/>
      <c r="L980" s="121"/>
      <c r="M980" s="121"/>
      <c r="N980" s="98"/>
      <c r="O980" s="98"/>
      <c r="P980" s="98"/>
      <c r="Q980" s="98"/>
      <c r="R980" s="98"/>
      <c r="S980" s="98"/>
      <c r="T980" s="98"/>
    </row>
    <row r="981" spans="2:20">
      <c r="B981" s="75"/>
      <c r="C981" s="75"/>
      <c r="D981" s="75"/>
      <c r="E981" s="75"/>
      <c r="F981" s="73"/>
      <c r="G981" s="73"/>
      <c r="H981" s="74"/>
      <c r="I981" s="121"/>
      <c r="J981" s="121"/>
      <c r="K981" s="121"/>
      <c r="L981" s="121"/>
      <c r="M981" s="121"/>
      <c r="N981" s="98"/>
      <c r="O981" s="98"/>
      <c r="P981" s="98"/>
      <c r="Q981" s="98"/>
      <c r="R981" s="98"/>
      <c r="S981" s="98"/>
      <c r="T981" s="98"/>
    </row>
    <row r="982" spans="2:20">
      <c r="B982" s="75"/>
      <c r="C982" s="75"/>
      <c r="D982" s="75"/>
      <c r="E982" s="75"/>
      <c r="F982" s="73"/>
      <c r="G982" s="73"/>
      <c r="H982" s="74"/>
      <c r="I982" s="121"/>
      <c r="J982" s="121"/>
      <c r="K982" s="121"/>
      <c r="L982" s="121"/>
      <c r="M982" s="121"/>
      <c r="N982" s="98"/>
      <c r="O982" s="98"/>
      <c r="P982" s="98"/>
      <c r="Q982" s="98"/>
      <c r="R982" s="98"/>
      <c r="S982" s="98"/>
      <c r="T982" s="98"/>
    </row>
    <row r="983" spans="2:20">
      <c r="B983" s="75"/>
      <c r="C983" s="75"/>
      <c r="D983" s="75"/>
      <c r="E983" s="75"/>
      <c r="F983" s="73"/>
      <c r="G983" s="73"/>
      <c r="H983" s="74"/>
      <c r="I983" s="121"/>
      <c r="J983" s="121"/>
      <c r="K983" s="121"/>
      <c r="L983" s="121"/>
      <c r="M983" s="121"/>
      <c r="N983" s="98"/>
      <c r="O983" s="98"/>
      <c r="P983" s="98"/>
      <c r="Q983" s="98"/>
      <c r="R983" s="98"/>
      <c r="S983" s="98"/>
      <c r="T983" s="98"/>
    </row>
    <row r="984" spans="2:20">
      <c r="B984" s="75"/>
      <c r="C984" s="75"/>
      <c r="D984" s="75"/>
      <c r="E984" s="75"/>
      <c r="F984" s="73"/>
      <c r="G984" s="73"/>
      <c r="H984" s="74"/>
      <c r="I984" s="121"/>
      <c r="J984" s="121"/>
      <c r="K984" s="121"/>
      <c r="L984" s="121"/>
      <c r="M984" s="121"/>
      <c r="N984" s="98"/>
      <c r="O984" s="98"/>
      <c r="P984" s="98"/>
      <c r="Q984" s="98"/>
      <c r="R984" s="98"/>
      <c r="S984" s="98"/>
      <c r="T984" s="98"/>
    </row>
    <row r="985" spans="2:20">
      <c r="B985" s="75"/>
      <c r="C985" s="75"/>
      <c r="D985" s="75"/>
      <c r="E985" s="75"/>
      <c r="F985" s="73"/>
      <c r="G985" s="73"/>
      <c r="H985" s="74"/>
      <c r="I985" s="121"/>
      <c r="J985" s="121"/>
      <c r="K985" s="121"/>
      <c r="L985" s="121"/>
      <c r="M985" s="121"/>
      <c r="N985" s="98"/>
      <c r="O985" s="98"/>
      <c r="P985" s="98"/>
      <c r="Q985" s="98"/>
      <c r="R985" s="98"/>
      <c r="S985" s="98"/>
      <c r="T985" s="98"/>
    </row>
    <row r="986" spans="2:20">
      <c r="B986" s="75"/>
      <c r="C986" s="75"/>
      <c r="D986" s="75"/>
      <c r="E986" s="75"/>
      <c r="F986" s="73"/>
      <c r="G986" s="73"/>
      <c r="H986" s="74"/>
      <c r="I986" s="121"/>
      <c r="J986" s="121"/>
      <c r="K986" s="121"/>
      <c r="L986" s="121"/>
      <c r="M986" s="121"/>
      <c r="N986" s="98"/>
      <c r="O986" s="98"/>
      <c r="P986" s="98"/>
      <c r="Q986" s="98"/>
      <c r="R986" s="98"/>
      <c r="S986" s="98"/>
      <c r="T986" s="98"/>
    </row>
    <row r="987" spans="2:20">
      <c r="B987" s="75"/>
      <c r="C987" s="75"/>
      <c r="D987" s="75"/>
      <c r="E987" s="75"/>
      <c r="F987" s="73"/>
      <c r="G987" s="73"/>
      <c r="H987" s="74"/>
      <c r="I987" s="121"/>
      <c r="J987" s="121"/>
      <c r="K987" s="121"/>
      <c r="L987" s="121"/>
      <c r="M987" s="121"/>
      <c r="N987" s="98"/>
      <c r="O987" s="98"/>
      <c r="P987" s="98"/>
      <c r="Q987" s="98"/>
      <c r="R987" s="98"/>
      <c r="S987" s="98"/>
      <c r="T987" s="98"/>
    </row>
    <row r="988" spans="2:20">
      <c r="B988" s="75"/>
      <c r="C988" s="75"/>
      <c r="D988" s="75"/>
      <c r="E988" s="75"/>
      <c r="F988" s="73"/>
      <c r="G988" s="73"/>
      <c r="H988" s="74"/>
      <c r="I988" s="121"/>
      <c r="J988" s="121"/>
      <c r="K988" s="121"/>
      <c r="L988" s="121"/>
      <c r="M988" s="121"/>
      <c r="N988" s="98"/>
      <c r="O988" s="98"/>
      <c r="P988" s="98"/>
      <c r="Q988" s="98"/>
      <c r="R988" s="98"/>
      <c r="S988" s="98"/>
      <c r="T988" s="98"/>
    </row>
    <row r="989" spans="2:20">
      <c r="B989" s="75"/>
      <c r="C989" s="75"/>
      <c r="D989" s="75"/>
      <c r="E989" s="75"/>
      <c r="F989" s="73"/>
      <c r="G989" s="73"/>
      <c r="H989" s="74"/>
      <c r="I989" s="121"/>
      <c r="J989" s="121"/>
      <c r="K989" s="121"/>
      <c r="L989" s="121"/>
      <c r="M989" s="121"/>
      <c r="N989" s="98"/>
      <c r="O989" s="98"/>
      <c r="P989" s="98"/>
      <c r="Q989" s="98"/>
      <c r="R989" s="98"/>
      <c r="S989" s="98"/>
      <c r="T989" s="98"/>
    </row>
    <row r="990" spans="2:20">
      <c r="B990" s="75"/>
      <c r="C990" s="75"/>
      <c r="D990" s="75"/>
      <c r="E990" s="75"/>
      <c r="F990" s="73"/>
      <c r="G990" s="73"/>
      <c r="H990" s="74"/>
      <c r="I990" s="121"/>
      <c r="J990" s="121"/>
      <c r="K990" s="121"/>
      <c r="L990" s="121"/>
      <c r="M990" s="121"/>
      <c r="N990" s="98"/>
      <c r="O990" s="98"/>
      <c r="P990" s="98"/>
      <c r="Q990" s="98"/>
      <c r="R990" s="98"/>
      <c r="S990" s="98"/>
      <c r="T990" s="98"/>
    </row>
    <row r="991" spans="2:20">
      <c r="B991" s="75"/>
      <c r="C991" s="75"/>
      <c r="D991" s="75"/>
      <c r="E991" s="75"/>
      <c r="F991" s="73"/>
      <c r="G991" s="73"/>
      <c r="H991" s="74"/>
      <c r="I991" s="121"/>
      <c r="J991" s="121"/>
      <c r="K991" s="121"/>
      <c r="L991" s="121"/>
      <c r="M991" s="121"/>
      <c r="N991" s="98"/>
      <c r="O991" s="98"/>
      <c r="P991" s="98"/>
      <c r="Q991" s="98"/>
      <c r="R991" s="98"/>
      <c r="S991" s="98"/>
      <c r="T991" s="98"/>
    </row>
    <row r="992" spans="2:20">
      <c r="B992" s="75"/>
      <c r="C992" s="75"/>
      <c r="D992" s="75"/>
      <c r="E992" s="75"/>
      <c r="F992" s="73"/>
      <c r="G992" s="73"/>
      <c r="H992" s="74"/>
      <c r="I992" s="121"/>
      <c r="J992" s="121"/>
      <c r="K992" s="121"/>
      <c r="L992" s="121"/>
      <c r="M992" s="121"/>
      <c r="N992" s="98"/>
      <c r="O992" s="98"/>
      <c r="P992" s="98"/>
      <c r="Q992" s="98"/>
      <c r="R992" s="98"/>
      <c r="S992" s="98"/>
      <c r="T992" s="98"/>
    </row>
    <row r="993" spans="2:20">
      <c r="B993" s="75"/>
      <c r="C993" s="75"/>
      <c r="D993" s="75"/>
      <c r="E993" s="75"/>
      <c r="F993" s="73"/>
      <c r="G993" s="73"/>
      <c r="H993" s="74"/>
      <c r="I993" s="121"/>
      <c r="J993" s="121"/>
      <c r="K993" s="121"/>
      <c r="L993" s="121"/>
      <c r="M993" s="121"/>
      <c r="N993" s="98"/>
      <c r="O993" s="98"/>
      <c r="P993" s="98"/>
      <c r="Q993" s="98"/>
      <c r="R993" s="98"/>
      <c r="S993" s="98"/>
      <c r="T993" s="98"/>
    </row>
    <row r="994" spans="2:20">
      <c r="B994" s="75"/>
      <c r="C994" s="75"/>
      <c r="D994" s="75"/>
      <c r="E994" s="75"/>
      <c r="F994" s="73"/>
      <c r="G994" s="73"/>
      <c r="H994" s="74"/>
      <c r="I994" s="121"/>
      <c r="J994" s="121"/>
      <c r="K994" s="121"/>
      <c r="L994" s="121"/>
      <c r="M994" s="121"/>
      <c r="N994" s="98"/>
      <c r="O994" s="98"/>
      <c r="P994" s="98"/>
      <c r="Q994" s="98"/>
      <c r="R994" s="98"/>
      <c r="S994" s="98"/>
      <c r="T994" s="98"/>
    </row>
    <row r="995" spans="2:20">
      <c r="B995" s="75"/>
      <c r="C995" s="75"/>
      <c r="D995" s="75"/>
      <c r="E995" s="75"/>
      <c r="F995" s="73"/>
      <c r="G995" s="73"/>
      <c r="H995" s="74"/>
      <c r="I995" s="121"/>
      <c r="J995" s="121"/>
      <c r="K995" s="121"/>
      <c r="L995" s="121"/>
      <c r="M995" s="121"/>
      <c r="N995" s="98"/>
      <c r="O995" s="98"/>
      <c r="P995" s="98"/>
      <c r="Q995" s="98"/>
      <c r="R995" s="98"/>
      <c r="S995" s="98"/>
      <c r="T995" s="98"/>
    </row>
    <row r="996" spans="2:20">
      <c r="B996" s="75"/>
      <c r="C996" s="75"/>
      <c r="D996" s="75"/>
      <c r="E996" s="75"/>
      <c r="F996" s="73"/>
      <c r="G996" s="73"/>
      <c r="H996" s="74"/>
      <c r="I996" s="121"/>
      <c r="J996" s="121"/>
      <c r="K996" s="121"/>
      <c r="L996" s="121"/>
      <c r="M996" s="121"/>
      <c r="N996" s="98"/>
      <c r="O996" s="98"/>
      <c r="P996" s="98"/>
      <c r="Q996" s="98"/>
      <c r="R996" s="98"/>
      <c r="S996" s="98"/>
      <c r="T996" s="98"/>
    </row>
    <row r="997" spans="2:20">
      <c r="B997" s="75"/>
      <c r="C997" s="75"/>
      <c r="D997" s="75"/>
      <c r="E997" s="75"/>
      <c r="F997" s="73"/>
      <c r="G997" s="73"/>
      <c r="H997" s="74"/>
      <c r="I997" s="121"/>
      <c r="J997" s="121"/>
      <c r="K997" s="121"/>
      <c r="L997" s="121"/>
      <c r="M997" s="121"/>
      <c r="N997" s="98"/>
      <c r="O997" s="98"/>
      <c r="P997" s="98"/>
      <c r="Q997" s="98"/>
      <c r="R997" s="98"/>
      <c r="S997" s="98"/>
      <c r="T997" s="98"/>
    </row>
    <row r="998" spans="2:20">
      <c r="B998" s="75"/>
      <c r="C998" s="75"/>
      <c r="D998" s="75"/>
      <c r="E998" s="75"/>
      <c r="F998" s="73"/>
      <c r="G998" s="73"/>
      <c r="H998" s="74"/>
      <c r="I998" s="121"/>
      <c r="J998" s="121"/>
      <c r="K998" s="121"/>
      <c r="L998" s="121"/>
      <c r="M998" s="121"/>
      <c r="N998" s="98"/>
      <c r="O998" s="98"/>
      <c r="P998" s="98"/>
      <c r="Q998" s="98"/>
      <c r="R998" s="98"/>
      <c r="S998" s="98"/>
      <c r="T998" s="98"/>
    </row>
    <row r="999" spans="2:20">
      <c r="B999" s="75"/>
      <c r="C999" s="75"/>
      <c r="D999" s="75"/>
      <c r="E999" s="75"/>
      <c r="F999" s="73"/>
      <c r="G999" s="73"/>
      <c r="H999" s="74"/>
      <c r="I999" s="121"/>
      <c r="J999" s="121"/>
      <c r="K999" s="121"/>
      <c r="L999" s="121"/>
      <c r="M999" s="121"/>
      <c r="N999" s="98"/>
      <c r="O999" s="98"/>
      <c r="P999" s="98"/>
      <c r="Q999" s="98"/>
      <c r="R999" s="98"/>
      <c r="S999" s="98"/>
      <c r="T999" s="98"/>
    </row>
    <row r="1000" spans="2:20">
      <c r="B1000" s="75"/>
      <c r="C1000" s="75"/>
      <c r="D1000" s="75"/>
      <c r="E1000" s="75"/>
      <c r="F1000" s="73"/>
      <c r="G1000" s="73"/>
      <c r="H1000" s="74"/>
      <c r="I1000" s="121"/>
      <c r="J1000" s="121"/>
      <c r="K1000" s="121"/>
      <c r="L1000" s="121"/>
      <c r="M1000" s="121"/>
      <c r="N1000" s="98"/>
      <c r="O1000" s="98"/>
      <c r="P1000" s="98"/>
      <c r="Q1000" s="98"/>
      <c r="R1000" s="98"/>
      <c r="S1000" s="98"/>
      <c r="T1000" s="98"/>
    </row>
    <row r="1001" spans="2:20">
      <c r="B1001" s="75"/>
      <c r="C1001" s="75"/>
      <c r="D1001" s="75"/>
      <c r="E1001" s="75"/>
      <c r="F1001" s="73"/>
      <c r="G1001" s="73"/>
      <c r="H1001" s="74"/>
      <c r="I1001" s="121"/>
      <c r="J1001" s="121"/>
      <c r="K1001" s="121"/>
      <c r="L1001" s="121"/>
      <c r="M1001" s="121"/>
      <c r="N1001" s="98"/>
      <c r="O1001" s="98"/>
      <c r="P1001" s="98"/>
      <c r="Q1001" s="98"/>
      <c r="R1001" s="98"/>
      <c r="S1001" s="98"/>
      <c r="T1001" s="98"/>
    </row>
    <row r="1002" spans="2:20">
      <c r="B1002" s="75"/>
      <c r="C1002" s="75"/>
      <c r="D1002" s="75"/>
      <c r="E1002" s="75"/>
      <c r="F1002" s="73"/>
      <c r="G1002" s="73"/>
      <c r="H1002" s="74"/>
      <c r="I1002" s="121"/>
      <c r="J1002" s="121"/>
      <c r="K1002" s="121"/>
      <c r="L1002" s="121"/>
      <c r="M1002" s="121"/>
      <c r="N1002" s="98"/>
      <c r="O1002" s="98"/>
      <c r="P1002" s="98"/>
      <c r="Q1002" s="98"/>
      <c r="R1002" s="98"/>
      <c r="S1002" s="98"/>
      <c r="T1002" s="98"/>
    </row>
    <row r="1003" spans="2:20">
      <c r="B1003" s="75"/>
      <c r="C1003" s="75"/>
      <c r="D1003" s="75"/>
      <c r="E1003" s="75"/>
      <c r="F1003" s="73"/>
      <c r="G1003" s="73"/>
      <c r="H1003" s="74"/>
      <c r="I1003" s="121"/>
      <c r="J1003" s="121"/>
      <c r="K1003" s="121"/>
      <c r="L1003" s="121"/>
      <c r="M1003" s="121"/>
      <c r="N1003" s="98"/>
      <c r="O1003" s="98"/>
      <c r="P1003" s="98"/>
      <c r="Q1003" s="98"/>
      <c r="R1003" s="98"/>
      <c r="S1003" s="98"/>
      <c r="T1003" s="98"/>
    </row>
    <row r="1004" spans="2:20">
      <c r="B1004" s="75"/>
      <c r="C1004" s="75"/>
      <c r="D1004" s="75"/>
      <c r="E1004" s="75"/>
      <c r="F1004" s="73"/>
      <c r="G1004" s="73"/>
      <c r="H1004" s="74"/>
      <c r="I1004" s="121"/>
      <c r="J1004" s="121"/>
      <c r="K1004" s="121"/>
      <c r="L1004" s="121"/>
      <c r="M1004" s="121"/>
      <c r="N1004" s="98"/>
      <c r="O1004" s="98"/>
      <c r="P1004" s="98"/>
      <c r="Q1004" s="98"/>
      <c r="R1004" s="98"/>
      <c r="S1004" s="98"/>
      <c r="T1004" s="98"/>
    </row>
    <row r="1005" spans="2:20">
      <c r="B1005" s="75"/>
      <c r="C1005" s="75"/>
      <c r="D1005" s="75"/>
      <c r="E1005" s="75"/>
      <c r="F1005" s="73"/>
      <c r="G1005" s="73"/>
      <c r="H1005" s="74"/>
      <c r="I1005" s="121"/>
      <c r="J1005" s="121"/>
      <c r="K1005" s="121"/>
      <c r="L1005" s="121"/>
      <c r="M1005" s="121"/>
      <c r="N1005" s="98"/>
      <c r="O1005" s="98"/>
      <c r="P1005" s="98"/>
      <c r="Q1005" s="98"/>
      <c r="R1005" s="98"/>
      <c r="S1005" s="98"/>
      <c r="T1005" s="98"/>
    </row>
    <row r="1006" spans="2:20">
      <c r="B1006" s="75"/>
      <c r="C1006" s="75"/>
      <c r="D1006" s="75"/>
      <c r="E1006" s="75"/>
      <c r="F1006" s="73"/>
      <c r="G1006" s="73"/>
      <c r="H1006" s="74"/>
      <c r="I1006" s="121"/>
      <c r="J1006" s="121"/>
      <c r="K1006" s="121"/>
      <c r="L1006" s="121"/>
      <c r="M1006" s="121"/>
      <c r="N1006" s="98"/>
      <c r="O1006" s="98"/>
      <c r="P1006" s="98"/>
      <c r="Q1006" s="98"/>
      <c r="R1006" s="98"/>
      <c r="S1006" s="98"/>
      <c r="T1006" s="98"/>
    </row>
    <row r="1007" spans="2:20">
      <c r="B1007" s="75"/>
      <c r="C1007" s="75"/>
      <c r="D1007" s="75"/>
      <c r="E1007" s="75"/>
      <c r="F1007" s="73"/>
      <c r="G1007" s="73"/>
      <c r="H1007" s="74"/>
      <c r="I1007" s="121"/>
      <c r="J1007" s="121"/>
      <c r="K1007" s="121"/>
      <c r="L1007" s="121"/>
      <c r="M1007" s="121"/>
      <c r="N1007" s="98"/>
      <c r="O1007" s="98"/>
      <c r="P1007" s="98"/>
      <c r="Q1007" s="98"/>
      <c r="R1007" s="98"/>
      <c r="S1007" s="98"/>
      <c r="T1007" s="98"/>
    </row>
    <row r="1008" spans="2:20">
      <c r="B1008" s="75"/>
      <c r="C1008" s="75"/>
      <c r="D1008" s="75"/>
      <c r="E1008" s="75"/>
      <c r="F1008" s="73"/>
      <c r="G1008" s="73"/>
      <c r="H1008" s="74"/>
      <c r="I1008" s="121"/>
      <c r="J1008" s="121"/>
      <c r="K1008" s="121"/>
      <c r="L1008" s="121"/>
      <c r="M1008" s="121"/>
      <c r="N1008" s="98"/>
      <c r="O1008" s="98"/>
      <c r="P1008" s="98"/>
      <c r="Q1008" s="98"/>
      <c r="R1008" s="98"/>
      <c r="S1008" s="98"/>
      <c r="T1008" s="98"/>
    </row>
    <row r="1009" spans="2:20">
      <c r="B1009" s="75"/>
      <c r="C1009" s="75"/>
      <c r="D1009" s="75"/>
      <c r="E1009" s="75"/>
      <c r="F1009" s="73"/>
      <c r="G1009" s="73"/>
      <c r="H1009" s="74"/>
      <c r="I1009" s="121"/>
      <c r="J1009" s="121"/>
      <c r="K1009" s="121"/>
      <c r="L1009" s="121"/>
      <c r="M1009" s="121"/>
      <c r="N1009" s="98"/>
      <c r="O1009" s="98"/>
      <c r="P1009" s="98"/>
      <c r="Q1009" s="98"/>
      <c r="R1009" s="98"/>
      <c r="S1009" s="98"/>
      <c r="T1009" s="98"/>
    </row>
    <row r="1010" spans="2:20">
      <c r="B1010" s="75"/>
      <c r="C1010" s="75"/>
      <c r="D1010" s="75"/>
      <c r="E1010" s="75"/>
      <c r="F1010" s="73"/>
      <c r="G1010" s="73"/>
      <c r="H1010" s="74"/>
      <c r="I1010" s="121"/>
      <c r="J1010" s="121"/>
      <c r="K1010" s="121"/>
      <c r="L1010" s="121"/>
      <c r="M1010" s="121"/>
      <c r="N1010" s="98"/>
      <c r="O1010" s="98"/>
      <c r="P1010" s="98"/>
      <c r="Q1010" s="98"/>
      <c r="R1010" s="98"/>
      <c r="S1010" s="98"/>
      <c r="T1010" s="98"/>
    </row>
    <row r="1011" spans="2:20">
      <c r="B1011" s="75"/>
      <c r="C1011" s="75"/>
      <c r="D1011" s="75"/>
      <c r="E1011" s="75"/>
      <c r="F1011" s="73"/>
      <c r="G1011" s="73"/>
      <c r="H1011" s="74"/>
      <c r="I1011" s="121"/>
      <c r="J1011" s="121"/>
      <c r="K1011" s="121"/>
      <c r="L1011" s="121"/>
      <c r="M1011" s="121"/>
      <c r="N1011" s="98"/>
      <c r="O1011" s="98"/>
      <c r="P1011" s="98"/>
      <c r="Q1011" s="98"/>
      <c r="R1011" s="98"/>
      <c r="S1011" s="98"/>
      <c r="T1011" s="98"/>
    </row>
    <row r="1012" spans="2:20">
      <c r="B1012" s="75"/>
      <c r="C1012" s="75"/>
      <c r="D1012" s="75"/>
      <c r="E1012" s="75"/>
      <c r="F1012" s="73"/>
      <c r="G1012" s="73"/>
      <c r="H1012" s="74"/>
      <c r="I1012" s="121"/>
      <c r="J1012" s="121"/>
      <c r="K1012" s="121"/>
      <c r="L1012" s="121"/>
      <c r="M1012" s="121"/>
      <c r="N1012" s="98"/>
      <c r="O1012" s="98"/>
      <c r="P1012" s="98"/>
      <c r="Q1012" s="98"/>
      <c r="R1012" s="98"/>
      <c r="S1012" s="98"/>
      <c r="T1012" s="98"/>
    </row>
    <row r="1013" spans="2:20">
      <c r="B1013" s="75"/>
      <c r="C1013" s="75"/>
      <c r="D1013" s="75"/>
      <c r="E1013" s="75"/>
      <c r="F1013" s="73"/>
      <c r="G1013" s="73"/>
      <c r="H1013" s="74"/>
      <c r="I1013" s="121"/>
      <c r="J1013" s="121"/>
      <c r="K1013" s="121"/>
      <c r="L1013" s="121"/>
      <c r="M1013" s="121"/>
      <c r="N1013" s="98"/>
      <c r="O1013" s="98"/>
      <c r="P1013" s="98"/>
      <c r="Q1013" s="98"/>
      <c r="R1013" s="98"/>
      <c r="S1013" s="98"/>
      <c r="T1013" s="98"/>
    </row>
    <row r="1014" spans="2:20">
      <c r="B1014" s="75"/>
      <c r="C1014" s="75"/>
      <c r="D1014" s="75"/>
      <c r="E1014" s="75"/>
      <c r="F1014" s="73"/>
      <c r="G1014" s="73"/>
      <c r="H1014" s="74"/>
      <c r="I1014" s="121"/>
      <c r="J1014" s="121"/>
      <c r="K1014" s="121"/>
      <c r="L1014" s="121"/>
      <c r="M1014" s="121"/>
      <c r="N1014" s="98"/>
      <c r="O1014" s="98"/>
      <c r="P1014" s="98"/>
      <c r="Q1014" s="98"/>
      <c r="R1014" s="98"/>
      <c r="S1014" s="98"/>
      <c r="T1014" s="98"/>
    </row>
    <row r="1015" spans="2:20">
      <c r="B1015" s="75"/>
      <c r="C1015" s="75"/>
      <c r="D1015" s="75"/>
      <c r="E1015" s="75"/>
      <c r="F1015" s="73"/>
      <c r="G1015" s="73"/>
      <c r="H1015" s="74"/>
      <c r="I1015" s="121"/>
      <c r="J1015" s="121"/>
      <c r="K1015" s="121"/>
      <c r="L1015" s="121"/>
      <c r="M1015" s="121"/>
      <c r="N1015" s="98"/>
      <c r="O1015" s="98"/>
      <c r="P1015" s="98"/>
      <c r="Q1015" s="98"/>
      <c r="R1015" s="98"/>
      <c r="S1015" s="98"/>
      <c r="T1015" s="98"/>
    </row>
    <row r="1016" spans="2:20">
      <c r="B1016" s="75"/>
      <c r="C1016" s="75"/>
      <c r="D1016" s="75"/>
      <c r="E1016" s="75"/>
      <c r="F1016" s="73"/>
      <c r="G1016" s="73"/>
      <c r="H1016" s="74"/>
      <c r="I1016" s="121"/>
      <c r="J1016" s="121"/>
      <c r="K1016" s="121"/>
      <c r="L1016" s="121"/>
      <c r="M1016" s="121"/>
      <c r="N1016" s="98"/>
      <c r="O1016" s="98"/>
      <c r="P1016" s="98"/>
      <c r="Q1016" s="98"/>
      <c r="R1016" s="98"/>
      <c r="S1016" s="98"/>
      <c r="T1016" s="98"/>
    </row>
    <row r="1017" spans="2:20">
      <c r="B1017" s="75"/>
      <c r="C1017" s="75"/>
      <c r="D1017" s="75"/>
      <c r="E1017" s="75"/>
      <c r="F1017" s="73"/>
      <c r="G1017" s="73"/>
      <c r="H1017" s="74"/>
      <c r="I1017" s="121"/>
      <c r="J1017" s="121"/>
      <c r="K1017" s="121"/>
      <c r="L1017" s="121"/>
      <c r="M1017" s="121"/>
      <c r="N1017" s="98"/>
      <c r="O1017" s="98"/>
      <c r="P1017" s="98"/>
      <c r="Q1017" s="98"/>
      <c r="R1017" s="98"/>
      <c r="S1017" s="98"/>
      <c r="T1017" s="98"/>
    </row>
    <row r="1018" spans="2:20">
      <c r="B1018" s="75"/>
      <c r="C1018" s="75"/>
      <c r="D1018" s="75"/>
      <c r="E1018" s="75"/>
      <c r="F1018" s="73"/>
      <c r="G1018" s="73"/>
      <c r="H1018" s="74"/>
      <c r="I1018" s="121"/>
      <c r="J1018" s="121"/>
      <c r="K1018" s="121"/>
      <c r="L1018" s="121"/>
      <c r="M1018" s="121"/>
      <c r="N1018" s="98"/>
      <c r="O1018" s="98"/>
      <c r="P1018" s="98"/>
      <c r="Q1018" s="98"/>
      <c r="R1018" s="98"/>
      <c r="S1018" s="98"/>
      <c r="T1018" s="98"/>
    </row>
    <row r="1019" spans="2:20">
      <c r="B1019" s="75"/>
      <c r="C1019" s="75"/>
      <c r="D1019" s="75"/>
      <c r="E1019" s="75"/>
      <c r="F1019" s="73"/>
      <c r="G1019" s="73"/>
      <c r="H1019" s="74"/>
      <c r="I1019" s="121"/>
      <c r="J1019" s="121"/>
      <c r="K1019" s="121"/>
      <c r="L1019" s="121"/>
      <c r="M1019" s="121"/>
      <c r="N1019" s="98"/>
      <c r="O1019" s="98"/>
      <c r="P1019" s="98"/>
      <c r="Q1019" s="98"/>
      <c r="R1019" s="98"/>
      <c r="S1019" s="98"/>
      <c r="T1019" s="98"/>
    </row>
    <row r="1020" spans="2:20">
      <c r="B1020" s="75"/>
      <c r="C1020" s="75"/>
      <c r="D1020" s="75"/>
      <c r="E1020" s="75"/>
      <c r="F1020" s="73"/>
      <c r="G1020" s="73"/>
      <c r="H1020" s="74"/>
      <c r="I1020" s="121"/>
      <c r="J1020" s="121"/>
      <c r="K1020" s="121"/>
      <c r="L1020" s="121"/>
      <c r="M1020" s="121"/>
      <c r="N1020" s="99"/>
      <c r="O1020" s="99"/>
      <c r="P1020" s="99"/>
      <c r="Q1020" s="99"/>
      <c r="R1020" s="99"/>
      <c r="S1020" s="99"/>
      <c r="T1020" s="99"/>
    </row>
    <row r="1021" spans="2:20">
      <c r="B1021" s="75"/>
      <c r="C1021" s="75"/>
      <c r="D1021" s="75"/>
      <c r="E1021" s="75"/>
      <c r="F1021" s="73"/>
      <c r="G1021" s="73"/>
      <c r="H1021" s="74"/>
      <c r="I1021" s="121"/>
      <c r="J1021" s="121"/>
      <c r="K1021" s="121"/>
      <c r="L1021" s="121"/>
      <c r="M1021" s="121"/>
      <c r="N1021" s="98"/>
      <c r="O1021" s="98"/>
      <c r="P1021" s="98"/>
      <c r="Q1021" s="98"/>
      <c r="R1021" s="98"/>
      <c r="S1021" s="98"/>
      <c r="T1021" s="98"/>
    </row>
    <row r="1022" spans="2:20">
      <c r="B1022" s="75"/>
      <c r="C1022" s="75"/>
      <c r="D1022" s="75"/>
      <c r="E1022" s="75"/>
      <c r="F1022" s="73"/>
      <c r="G1022" s="73"/>
      <c r="H1022" s="74"/>
      <c r="I1022" s="121"/>
      <c r="J1022" s="121"/>
      <c r="K1022" s="121"/>
      <c r="L1022" s="121"/>
      <c r="M1022" s="121"/>
      <c r="N1022" s="99"/>
      <c r="O1022" s="99"/>
      <c r="P1022" s="99"/>
      <c r="Q1022" s="99"/>
      <c r="R1022" s="99"/>
      <c r="S1022" s="99"/>
      <c r="T1022" s="99"/>
    </row>
    <row r="1023" spans="2:20">
      <c r="B1023" s="75"/>
      <c r="C1023" s="75"/>
      <c r="D1023" s="75"/>
      <c r="E1023" s="75"/>
      <c r="F1023" s="73"/>
      <c r="G1023" s="73"/>
      <c r="H1023" s="74"/>
      <c r="I1023" s="121"/>
      <c r="J1023" s="121"/>
      <c r="K1023" s="121"/>
      <c r="L1023" s="121"/>
      <c r="M1023" s="121"/>
      <c r="N1023" s="99"/>
      <c r="O1023" s="99"/>
      <c r="P1023" s="99"/>
      <c r="Q1023" s="99"/>
      <c r="R1023" s="99"/>
      <c r="S1023" s="99"/>
      <c r="T1023" s="99"/>
    </row>
    <row r="1024" spans="2:20">
      <c r="B1024" s="75"/>
      <c r="C1024" s="75"/>
      <c r="D1024" s="75"/>
      <c r="E1024" s="75"/>
      <c r="F1024" s="73"/>
      <c r="G1024" s="73"/>
      <c r="H1024" s="74"/>
      <c r="I1024" s="121"/>
      <c r="J1024" s="121"/>
      <c r="K1024" s="121"/>
      <c r="L1024" s="121"/>
      <c r="M1024" s="121"/>
      <c r="N1024" s="98"/>
      <c r="O1024" s="98"/>
      <c r="P1024" s="98"/>
      <c r="Q1024" s="98"/>
      <c r="R1024" s="98"/>
      <c r="S1024" s="98"/>
      <c r="T1024" s="98"/>
    </row>
    <row r="1025" spans="2:20">
      <c r="B1025" s="75"/>
      <c r="C1025" s="75"/>
      <c r="D1025" s="75"/>
      <c r="E1025" s="75"/>
      <c r="F1025" s="73"/>
      <c r="G1025" s="73"/>
      <c r="H1025" s="74"/>
      <c r="I1025" s="121"/>
      <c r="J1025" s="121"/>
      <c r="K1025" s="121"/>
      <c r="L1025" s="121"/>
      <c r="M1025" s="121"/>
      <c r="N1025" s="98"/>
      <c r="O1025" s="98"/>
      <c r="P1025" s="98"/>
      <c r="Q1025" s="98"/>
      <c r="R1025" s="98"/>
      <c r="S1025" s="98"/>
      <c r="T1025" s="98"/>
    </row>
    <row r="1026" spans="2:20">
      <c r="B1026" s="75"/>
      <c r="C1026" s="75"/>
      <c r="D1026" s="75"/>
      <c r="E1026" s="75"/>
      <c r="F1026" s="73"/>
      <c r="G1026" s="73"/>
      <c r="H1026" s="74"/>
      <c r="I1026" s="121"/>
      <c r="J1026" s="121"/>
      <c r="K1026" s="121"/>
      <c r="L1026" s="121"/>
      <c r="M1026" s="121"/>
      <c r="N1026" s="98"/>
      <c r="O1026" s="98"/>
      <c r="P1026" s="98"/>
      <c r="Q1026" s="98"/>
      <c r="R1026" s="98"/>
      <c r="S1026" s="98"/>
      <c r="T1026" s="98"/>
    </row>
    <row r="1027" spans="2:20">
      <c r="B1027" s="75"/>
      <c r="C1027" s="75"/>
      <c r="D1027" s="75"/>
      <c r="E1027" s="75"/>
      <c r="F1027" s="73"/>
      <c r="G1027" s="73"/>
      <c r="H1027" s="74"/>
      <c r="I1027" s="121"/>
      <c r="J1027" s="121"/>
      <c r="K1027" s="121"/>
      <c r="L1027" s="121"/>
      <c r="M1027" s="121"/>
      <c r="N1027" s="98"/>
      <c r="O1027" s="98"/>
      <c r="P1027" s="98"/>
      <c r="Q1027" s="98"/>
      <c r="R1027" s="98"/>
      <c r="S1027" s="98"/>
      <c r="T1027" s="98"/>
    </row>
    <row r="1028" spans="2:20">
      <c r="B1028" s="75"/>
      <c r="C1028" s="75"/>
      <c r="D1028" s="75"/>
      <c r="E1028" s="75"/>
      <c r="F1028" s="73"/>
      <c r="G1028" s="73"/>
      <c r="H1028" s="74"/>
      <c r="I1028" s="121"/>
      <c r="J1028" s="121"/>
      <c r="K1028" s="121"/>
      <c r="L1028" s="121"/>
      <c r="M1028" s="121"/>
      <c r="N1028" s="98"/>
      <c r="O1028" s="98"/>
      <c r="P1028" s="98"/>
      <c r="Q1028" s="98"/>
      <c r="R1028" s="98"/>
      <c r="S1028" s="98"/>
      <c r="T1028" s="98"/>
    </row>
    <row r="1029" spans="2:20">
      <c r="B1029" s="75"/>
      <c r="C1029" s="75"/>
      <c r="D1029" s="75"/>
      <c r="E1029" s="75"/>
      <c r="F1029" s="73"/>
      <c r="G1029" s="73"/>
      <c r="H1029" s="74"/>
      <c r="I1029" s="121"/>
      <c r="J1029" s="121"/>
      <c r="K1029" s="121"/>
      <c r="L1029" s="121"/>
      <c r="M1029" s="121"/>
      <c r="N1029" s="98"/>
      <c r="O1029" s="98"/>
      <c r="P1029" s="98"/>
      <c r="Q1029" s="98"/>
      <c r="R1029" s="98"/>
      <c r="S1029" s="98"/>
      <c r="T1029" s="98"/>
    </row>
    <row r="1030" spans="2:20">
      <c r="B1030" s="75"/>
      <c r="C1030" s="75"/>
      <c r="D1030" s="75"/>
      <c r="E1030" s="75"/>
      <c r="F1030" s="73"/>
      <c r="G1030" s="73"/>
      <c r="H1030" s="74"/>
      <c r="I1030" s="121"/>
      <c r="J1030" s="121"/>
      <c r="K1030" s="121"/>
      <c r="L1030" s="121"/>
      <c r="M1030" s="121"/>
      <c r="N1030" s="98"/>
      <c r="O1030" s="98"/>
      <c r="P1030" s="98"/>
      <c r="Q1030" s="98"/>
      <c r="R1030" s="98"/>
      <c r="S1030" s="98"/>
      <c r="T1030" s="98"/>
    </row>
    <row r="1031" spans="2:20">
      <c r="B1031" s="75"/>
      <c r="C1031" s="75"/>
      <c r="D1031" s="75"/>
      <c r="E1031" s="75"/>
      <c r="F1031" s="73"/>
      <c r="G1031" s="73"/>
      <c r="H1031" s="74"/>
      <c r="I1031" s="121"/>
      <c r="J1031" s="121"/>
      <c r="K1031" s="121"/>
      <c r="L1031" s="121"/>
      <c r="M1031" s="121"/>
      <c r="N1031" s="98"/>
      <c r="O1031" s="98"/>
      <c r="P1031" s="98"/>
      <c r="Q1031" s="98"/>
      <c r="R1031" s="98"/>
      <c r="S1031" s="98"/>
      <c r="T1031" s="98"/>
    </row>
    <row r="1032" spans="2:20">
      <c r="B1032" s="75"/>
      <c r="C1032" s="75"/>
      <c r="D1032" s="75"/>
      <c r="E1032" s="75"/>
      <c r="F1032" s="73"/>
      <c r="G1032" s="73"/>
      <c r="H1032" s="74"/>
      <c r="I1032" s="121"/>
      <c r="J1032" s="121"/>
      <c r="K1032" s="121"/>
      <c r="L1032" s="121"/>
      <c r="M1032" s="121"/>
      <c r="N1032" s="98"/>
      <c r="O1032" s="98"/>
      <c r="P1032" s="98"/>
      <c r="Q1032" s="98"/>
      <c r="R1032" s="98"/>
      <c r="S1032" s="98"/>
      <c r="T1032" s="98"/>
    </row>
    <row r="1033" spans="2:20">
      <c r="B1033" s="75"/>
      <c r="C1033" s="75"/>
      <c r="D1033" s="75"/>
      <c r="E1033" s="75"/>
      <c r="F1033" s="73"/>
      <c r="G1033" s="73"/>
      <c r="H1033" s="74"/>
      <c r="I1033" s="121"/>
      <c r="J1033" s="121"/>
      <c r="K1033" s="121"/>
      <c r="L1033" s="121"/>
      <c r="M1033" s="121"/>
      <c r="N1033" s="98"/>
      <c r="O1033" s="98"/>
      <c r="P1033" s="98"/>
      <c r="Q1033" s="98"/>
      <c r="R1033" s="98"/>
      <c r="S1033" s="98"/>
      <c r="T1033" s="98"/>
    </row>
    <row r="1034" spans="2:20">
      <c r="B1034" s="75"/>
      <c r="C1034" s="75"/>
      <c r="D1034" s="75"/>
      <c r="E1034" s="75"/>
      <c r="F1034" s="73"/>
      <c r="G1034" s="73"/>
      <c r="H1034" s="74"/>
      <c r="I1034" s="121"/>
      <c r="J1034" s="121"/>
      <c r="K1034" s="121"/>
      <c r="L1034" s="121"/>
      <c r="M1034" s="121"/>
      <c r="N1034" s="98"/>
      <c r="O1034" s="98"/>
      <c r="P1034" s="98"/>
      <c r="Q1034" s="98"/>
      <c r="R1034" s="98"/>
      <c r="S1034" s="98"/>
      <c r="T1034" s="98"/>
    </row>
    <row r="1035" spans="2:20">
      <c r="B1035" s="75"/>
      <c r="C1035" s="75"/>
      <c r="D1035" s="75"/>
      <c r="E1035" s="75"/>
      <c r="F1035" s="73"/>
      <c r="G1035" s="73"/>
      <c r="H1035" s="74"/>
      <c r="I1035" s="121"/>
      <c r="J1035" s="121"/>
      <c r="K1035" s="121"/>
      <c r="L1035" s="121"/>
      <c r="M1035" s="121"/>
      <c r="N1035" s="99"/>
      <c r="O1035" s="99"/>
      <c r="P1035" s="99"/>
      <c r="Q1035" s="99"/>
      <c r="R1035" s="99"/>
      <c r="S1035" s="99"/>
      <c r="T1035" s="99"/>
    </row>
    <row r="1036" spans="2:20">
      <c r="B1036" s="75"/>
      <c r="C1036" s="75"/>
      <c r="D1036" s="75"/>
      <c r="E1036" s="75"/>
      <c r="F1036" s="73"/>
      <c r="G1036" s="73"/>
      <c r="H1036" s="74"/>
      <c r="I1036" s="121"/>
      <c r="J1036" s="121"/>
      <c r="K1036" s="121"/>
      <c r="L1036" s="121"/>
      <c r="M1036" s="121"/>
      <c r="N1036" s="98"/>
      <c r="O1036" s="98"/>
      <c r="P1036" s="98"/>
      <c r="Q1036" s="98"/>
      <c r="R1036" s="98"/>
      <c r="S1036" s="98"/>
      <c r="T1036" s="98"/>
    </row>
    <row r="1037" spans="2:20">
      <c r="B1037" s="75"/>
      <c r="C1037" s="75"/>
      <c r="D1037" s="75"/>
      <c r="E1037" s="75"/>
      <c r="F1037" s="73"/>
      <c r="G1037" s="73"/>
      <c r="H1037" s="74"/>
      <c r="I1037" s="121"/>
      <c r="J1037" s="121"/>
      <c r="K1037" s="121"/>
      <c r="L1037" s="121"/>
      <c r="M1037" s="121"/>
      <c r="N1037" s="98"/>
      <c r="O1037" s="98"/>
      <c r="P1037" s="98"/>
      <c r="Q1037" s="98"/>
      <c r="R1037" s="98"/>
      <c r="S1037" s="98"/>
      <c r="T1037" s="98"/>
    </row>
    <row r="1038" spans="2:20">
      <c r="B1038" s="75"/>
      <c r="C1038" s="75"/>
      <c r="D1038" s="75"/>
      <c r="E1038" s="75"/>
      <c r="F1038" s="73"/>
      <c r="G1038" s="73"/>
      <c r="H1038" s="74"/>
      <c r="I1038" s="121"/>
      <c r="J1038" s="121"/>
      <c r="K1038" s="121"/>
      <c r="L1038" s="121"/>
      <c r="M1038" s="121"/>
      <c r="N1038" s="98"/>
      <c r="O1038" s="98"/>
      <c r="P1038" s="98"/>
      <c r="Q1038" s="98"/>
      <c r="R1038" s="98"/>
      <c r="S1038" s="98"/>
      <c r="T1038" s="98"/>
    </row>
    <row r="1039" spans="2:20">
      <c r="B1039" s="75"/>
      <c r="C1039" s="75"/>
      <c r="D1039" s="75"/>
      <c r="E1039" s="75"/>
      <c r="F1039" s="73"/>
      <c r="G1039" s="73"/>
      <c r="H1039" s="74"/>
      <c r="I1039" s="121"/>
      <c r="J1039" s="121"/>
      <c r="K1039" s="121"/>
      <c r="L1039" s="121"/>
      <c r="M1039" s="121"/>
      <c r="N1039" s="98"/>
      <c r="O1039" s="98"/>
      <c r="P1039" s="98"/>
      <c r="Q1039" s="98"/>
      <c r="R1039" s="98"/>
      <c r="S1039" s="98"/>
      <c r="T1039" s="98"/>
    </row>
    <row r="1040" spans="2:20">
      <c r="B1040" s="75"/>
      <c r="C1040" s="75"/>
      <c r="D1040" s="75"/>
      <c r="E1040" s="75"/>
      <c r="F1040" s="73"/>
      <c r="G1040" s="73"/>
      <c r="H1040" s="74"/>
      <c r="I1040" s="121"/>
      <c r="J1040" s="121"/>
      <c r="K1040" s="121"/>
      <c r="L1040" s="121"/>
      <c r="M1040" s="121"/>
      <c r="N1040" s="98"/>
      <c r="O1040" s="98"/>
      <c r="P1040" s="98"/>
      <c r="Q1040" s="98"/>
      <c r="R1040" s="98"/>
      <c r="S1040" s="98"/>
      <c r="T1040" s="98"/>
    </row>
    <row r="1041" spans="2:20">
      <c r="B1041" s="75"/>
      <c r="C1041" s="75"/>
      <c r="D1041" s="75"/>
      <c r="E1041" s="75"/>
      <c r="F1041" s="73"/>
      <c r="G1041" s="73"/>
      <c r="H1041" s="74"/>
      <c r="I1041" s="121"/>
      <c r="J1041" s="121"/>
      <c r="K1041" s="121"/>
      <c r="L1041" s="121"/>
      <c r="M1041" s="121"/>
      <c r="N1041" s="98"/>
      <c r="O1041" s="98"/>
      <c r="P1041" s="98"/>
      <c r="Q1041" s="98"/>
      <c r="R1041" s="98"/>
      <c r="S1041" s="98"/>
      <c r="T1041" s="98"/>
    </row>
    <row r="1042" spans="2:20">
      <c r="B1042" s="75"/>
      <c r="C1042" s="75"/>
      <c r="D1042" s="75"/>
      <c r="E1042" s="75"/>
      <c r="F1042" s="73"/>
      <c r="G1042" s="73"/>
      <c r="H1042" s="74"/>
      <c r="I1042" s="121"/>
      <c r="J1042" s="121"/>
      <c r="K1042" s="121"/>
      <c r="L1042" s="121"/>
      <c r="M1042" s="121"/>
      <c r="N1042" s="98"/>
      <c r="O1042" s="98"/>
      <c r="P1042" s="98"/>
      <c r="Q1042" s="98"/>
      <c r="R1042" s="98"/>
      <c r="S1042" s="98"/>
      <c r="T1042" s="98"/>
    </row>
    <row r="1043" spans="2:20">
      <c r="B1043" s="75"/>
      <c r="C1043" s="75"/>
      <c r="D1043" s="75"/>
      <c r="E1043" s="75"/>
      <c r="F1043" s="73"/>
      <c r="G1043" s="73"/>
      <c r="H1043" s="74"/>
      <c r="I1043" s="121"/>
      <c r="J1043" s="121"/>
      <c r="K1043" s="121"/>
      <c r="L1043" s="121"/>
      <c r="M1043" s="121"/>
      <c r="N1043" s="98"/>
      <c r="O1043" s="98"/>
      <c r="P1043" s="98"/>
      <c r="Q1043" s="98"/>
      <c r="R1043" s="98"/>
      <c r="S1043" s="98"/>
      <c r="T1043" s="98"/>
    </row>
    <row r="1044" spans="2:20">
      <c r="B1044" s="75"/>
      <c r="C1044" s="75"/>
      <c r="D1044" s="75"/>
      <c r="E1044" s="75"/>
      <c r="F1044" s="73"/>
      <c r="G1044" s="73"/>
      <c r="H1044" s="74"/>
      <c r="I1044" s="121"/>
      <c r="J1044" s="121"/>
      <c r="K1044" s="121"/>
      <c r="L1044" s="121"/>
      <c r="M1044" s="121"/>
      <c r="N1044" s="98"/>
      <c r="O1044" s="98"/>
      <c r="P1044" s="98"/>
      <c r="Q1044" s="98"/>
      <c r="R1044" s="98"/>
      <c r="S1044" s="98"/>
      <c r="T1044" s="98"/>
    </row>
    <row r="1045" spans="2:20">
      <c r="B1045" s="75"/>
      <c r="C1045" s="75"/>
      <c r="D1045" s="75"/>
      <c r="E1045" s="75"/>
      <c r="F1045" s="73"/>
      <c r="G1045" s="73"/>
      <c r="H1045" s="74"/>
      <c r="I1045" s="121"/>
      <c r="J1045" s="121"/>
      <c r="K1045" s="121"/>
      <c r="L1045" s="121"/>
      <c r="M1045" s="121"/>
      <c r="N1045" s="99"/>
      <c r="O1045" s="99"/>
      <c r="P1045" s="99"/>
      <c r="Q1045" s="99"/>
      <c r="R1045" s="99"/>
      <c r="S1045" s="99"/>
      <c r="T1045" s="99"/>
    </row>
    <row r="1046" spans="2:20">
      <c r="B1046" s="75"/>
      <c r="C1046" s="75"/>
      <c r="D1046" s="75"/>
      <c r="E1046" s="75"/>
      <c r="F1046" s="73"/>
      <c r="G1046" s="73"/>
      <c r="H1046" s="74"/>
      <c r="I1046" s="121"/>
      <c r="J1046" s="121"/>
      <c r="K1046" s="121"/>
      <c r="L1046" s="121"/>
      <c r="M1046" s="121"/>
      <c r="N1046" s="99"/>
      <c r="O1046" s="99"/>
      <c r="P1046" s="99"/>
      <c r="Q1046" s="99"/>
      <c r="R1046" s="99"/>
      <c r="S1046" s="99"/>
      <c r="T1046" s="99"/>
    </row>
    <row r="1047" spans="2:20">
      <c r="B1047" s="75"/>
      <c r="C1047" s="75"/>
      <c r="D1047" s="75"/>
      <c r="E1047" s="75"/>
      <c r="F1047" s="73"/>
      <c r="G1047" s="73"/>
      <c r="H1047" s="74"/>
      <c r="I1047" s="121"/>
      <c r="J1047" s="121"/>
      <c r="K1047" s="121"/>
      <c r="L1047" s="121"/>
      <c r="M1047" s="121"/>
      <c r="N1047" s="99"/>
      <c r="O1047" s="99"/>
      <c r="P1047" s="99"/>
      <c r="Q1047" s="99"/>
      <c r="R1047" s="99"/>
      <c r="S1047" s="99"/>
      <c r="T1047" s="99"/>
    </row>
    <row r="1048" spans="2:20">
      <c r="B1048" s="75"/>
      <c r="C1048" s="75"/>
      <c r="D1048" s="75"/>
      <c r="E1048" s="75"/>
      <c r="F1048" s="73"/>
      <c r="G1048" s="73"/>
      <c r="H1048" s="74"/>
      <c r="I1048" s="121"/>
      <c r="J1048" s="121"/>
      <c r="K1048" s="121"/>
      <c r="L1048" s="121"/>
      <c r="M1048" s="121"/>
      <c r="N1048" s="98"/>
      <c r="O1048" s="98"/>
      <c r="P1048" s="98"/>
      <c r="Q1048" s="98"/>
      <c r="R1048" s="98"/>
      <c r="S1048" s="98"/>
      <c r="T1048" s="98"/>
    </row>
    <row r="1049" spans="2:20">
      <c r="B1049" s="75"/>
      <c r="C1049" s="75"/>
      <c r="D1049" s="75"/>
      <c r="E1049" s="75"/>
      <c r="F1049" s="73"/>
      <c r="G1049" s="73"/>
      <c r="H1049" s="74"/>
      <c r="I1049" s="121"/>
      <c r="J1049" s="121"/>
      <c r="K1049" s="121"/>
      <c r="L1049" s="121"/>
      <c r="M1049" s="121"/>
      <c r="N1049" s="98"/>
      <c r="O1049" s="98"/>
      <c r="P1049" s="98"/>
      <c r="Q1049" s="98"/>
      <c r="R1049" s="98"/>
      <c r="S1049" s="98"/>
      <c r="T1049" s="98"/>
    </row>
    <row r="1050" spans="2:20">
      <c r="B1050" s="75"/>
      <c r="C1050" s="75"/>
      <c r="D1050" s="75"/>
      <c r="E1050" s="75"/>
      <c r="F1050" s="73"/>
      <c r="G1050" s="73"/>
      <c r="H1050" s="74"/>
      <c r="I1050" s="121"/>
      <c r="J1050" s="121"/>
      <c r="K1050" s="121"/>
      <c r="L1050" s="121"/>
      <c r="M1050" s="121"/>
      <c r="N1050" s="98"/>
      <c r="O1050" s="98"/>
      <c r="P1050" s="98"/>
      <c r="Q1050" s="98"/>
      <c r="R1050" s="98"/>
      <c r="S1050" s="98"/>
      <c r="T1050" s="98"/>
    </row>
    <row r="1051" spans="2:20">
      <c r="B1051" s="75"/>
      <c r="C1051" s="75"/>
      <c r="D1051" s="75"/>
      <c r="E1051" s="75"/>
      <c r="F1051" s="73"/>
      <c r="G1051" s="73"/>
      <c r="H1051" s="74"/>
      <c r="I1051" s="121"/>
      <c r="J1051" s="121"/>
      <c r="K1051" s="121"/>
      <c r="L1051" s="121"/>
      <c r="M1051" s="121"/>
      <c r="N1051" s="98"/>
      <c r="O1051" s="98"/>
      <c r="P1051" s="98"/>
      <c r="Q1051" s="98"/>
      <c r="R1051" s="98"/>
      <c r="S1051" s="98"/>
      <c r="T1051" s="98"/>
    </row>
    <row r="1052" spans="2:20">
      <c r="B1052" s="75"/>
      <c r="C1052" s="75"/>
      <c r="D1052" s="75"/>
      <c r="E1052" s="75"/>
      <c r="F1052" s="73"/>
      <c r="G1052" s="73"/>
      <c r="H1052" s="74"/>
      <c r="I1052" s="121"/>
      <c r="J1052" s="121"/>
      <c r="K1052" s="121"/>
      <c r="L1052" s="121"/>
      <c r="M1052" s="121"/>
      <c r="N1052" s="98"/>
      <c r="O1052" s="98"/>
      <c r="P1052" s="98"/>
      <c r="Q1052" s="98"/>
      <c r="R1052" s="98"/>
      <c r="S1052" s="98"/>
      <c r="T1052" s="98"/>
    </row>
    <row r="1053" spans="2:20">
      <c r="B1053" s="75"/>
      <c r="C1053" s="75"/>
      <c r="D1053" s="75"/>
      <c r="E1053" s="75"/>
      <c r="F1053" s="73"/>
      <c r="G1053" s="73"/>
      <c r="H1053" s="74"/>
      <c r="I1053" s="121"/>
      <c r="J1053" s="121"/>
      <c r="K1053" s="121"/>
      <c r="L1053" s="121"/>
      <c r="M1053" s="121"/>
      <c r="N1053" s="98"/>
      <c r="O1053" s="98"/>
      <c r="P1053" s="98"/>
      <c r="Q1053" s="98"/>
      <c r="R1053" s="98"/>
      <c r="S1053" s="98"/>
      <c r="T1053" s="98"/>
    </row>
    <row r="1054" spans="2:20">
      <c r="B1054" s="75"/>
      <c r="C1054" s="75"/>
      <c r="D1054" s="75"/>
      <c r="E1054" s="75"/>
      <c r="F1054" s="73"/>
      <c r="G1054" s="73"/>
      <c r="H1054" s="74"/>
      <c r="I1054" s="121"/>
      <c r="J1054" s="121"/>
      <c r="K1054" s="121"/>
      <c r="L1054" s="121"/>
      <c r="M1054" s="121"/>
      <c r="N1054" s="98"/>
      <c r="O1054" s="98"/>
      <c r="P1054" s="98"/>
      <c r="Q1054" s="98"/>
      <c r="R1054" s="98"/>
      <c r="S1054" s="98"/>
      <c r="T1054" s="98"/>
    </row>
    <row r="1055" spans="2:20">
      <c r="B1055" s="75"/>
      <c r="C1055" s="75"/>
      <c r="D1055" s="75"/>
      <c r="E1055" s="75"/>
      <c r="F1055" s="73"/>
      <c r="G1055" s="73"/>
      <c r="H1055" s="74"/>
      <c r="I1055" s="121"/>
      <c r="J1055" s="121"/>
      <c r="K1055" s="121"/>
      <c r="L1055" s="121"/>
      <c r="M1055" s="121"/>
      <c r="N1055" s="98"/>
      <c r="O1055" s="98"/>
      <c r="P1055" s="98"/>
      <c r="Q1055" s="98"/>
      <c r="R1055" s="98"/>
      <c r="S1055" s="98"/>
      <c r="T1055" s="98"/>
    </row>
    <row r="1056" spans="2:20">
      <c r="B1056" s="75"/>
      <c r="C1056" s="75"/>
      <c r="D1056" s="75"/>
      <c r="E1056" s="75"/>
      <c r="F1056" s="73"/>
      <c r="G1056" s="73"/>
      <c r="H1056" s="74"/>
      <c r="I1056" s="121"/>
      <c r="J1056" s="121"/>
      <c r="K1056" s="121"/>
      <c r="L1056" s="121"/>
      <c r="M1056" s="121"/>
      <c r="N1056" s="98"/>
      <c r="O1056" s="98"/>
      <c r="P1056" s="98"/>
      <c r="Q1056" s="98"/>
      <c r="R1056" s="98"/>
      <c r="S1056" s="98"/>
      <c r="T1056" s="98"/>
    </row>
    <row r="1057" spans="2:20">
      <c r="B1057" s="75"/>
      <c r="C1057" s="75"/>
      <c r="D1057" s="75"/>
      <c r="E1057" s="75"/>
      <c r="F1057" s="73"/>
      <c r="G1057" s="73"/>
      <c r="H1057" s="74"/>
      <c r="I1057" s="121"/>
      <c r="J1057" s="121"/>
      <c r="K1057" s="121"/>
      <c r="L1057" s="121"/>
      <c r="M1057" s="121"/>
      <c r="N1057" s="98"/>
      <c r="O1057" s="98"/>
      <c r="P1057" s="98"/>
      <c r="Q1057" s="98"/>
      <c r="R1057" s="98"/>
      <c r="S1057" s="98"/>
      <c r="T1057" s="98"/>
    </row>
    <row r="1058" spans="2:20">
      <c r="B1058" s="75"/>
      <c r="C1058" s="75"/>
      <c r="D1058" s="75"/>
      <c r="E1058" s="75"/>
      <c r="F1058" s="73"/>
      <c r="G1058" s="73"/>
      <c r="H1058" s="74"/>
      <c r="I1058" s="121"/>
      <c r="J1058" s="121"/>
      <c r="K1058" s="121"/>
      <c r="L1058" s="121"/>
      <c r="M1058" s="121"/>
      <c r="N1058" s="99"/>
      <c r="O1058" s="99"/>
      <c r="P1058" s="99"/>
      <c r="Q1058" s="99"/>
      <c r="R1058" s="99"/>
      <c r="S1058" s="99"/>
      <c r="T1058" s="99"/>
    </row>
    <row r="1059" spans="2:20">
      <c r="B1059" s="75"/>
      <c r="C1059" s="75"/>
      <c r="D1059" s="75"/>
      <c r="E1059" s="75"/>
      <c r="F1059" s="73"/>
      <c r="G1059" s="73"/>
      <c r="H1059" s="74"/>
      <c r="I1059" s="121"/>
      <c r="J1059" s="121"/>
      <c r="K1059" s="121"/>
      <c r="L1059" s="121"/>
      <c r="M1059" s="121"/>
      <c r="N1059" s="98"/>
      <c r="O1059" s="98"/>
      <c r="P1059" s="98"/>
      <c r="Q1059" s="98"/>
      <c r="R1059" s="98"/>
      <c r="S1059" s="98"/>
      <c r="T1059" s="98"/>
    </row>
    <row r="1060" spans="2:20">
      <c r="B1060" s="75"/>
      <c r="C1060" s="75"/>
      <c r="D1060" s="75"/>
      <c r="E1060" s="75"/>
      <c r="F1060" s="73"/>
      <c r="G1060" s="73"/>
      <c r="H1060" s="74"/>
      <c r="I1060" s="121"/>
      <c r="J1060" s="121"/>
      <c r="K1060" s="121"/>
      <c r="L1060" s="121"/>
      <c r="M1060" s="121"/>
      <c r="N1060" s="98"/>
      <c r="O1060" s="98"/>
      <c r="P1060" s="98"/>
      <c r="Q1060" s="98"/>
      <c r="R1060" s="98"/>
      <c r="S1060" s="98"/>
      <c r="T1060" s="98"/>
    </row>
    <row r="1061" spans="2:20">
      <c r="B1061" s="75"/>
      <c r="C1061" s="75"/>
      <c r="D1061" s="75"/>
      <c r="E1061" s="75"/>
      <c r="F1061" s="73"/>
      <c r="G1061" s="73"/>
      <c r="H1061" s="74"/>
      <c r="I1061" s="121"/>
      <c r="J1061" s="121"/>
      <c r="K1061" s="121"/>
      <c r="L1061" s="121"/>
      <c r="M1061" s="121"/>
      <c r="N1061" s="121"/>
      <c r="O1061" s="121"/>
      <c r="P1061" s="121"/>
      <c r="Q1061" s="121"/>
      <c r="R1061" s="121"/>
      <c r="S1061" s="121"/>
      <c r="T1061" s="121"/>
    </row>
    <row r="1062" spans="2:20">
      <c r="B1062" s="75"/>
      <c r="C1062" s="75"/>
      <c r="D1062" s="75"/>
      <c r="E1062" s="75"/>
      <c r="F1062" s="73"/>
      <c r="G1062" s="73"/>
      <c r="H1062" s="74"/>
      <c r="I1062" s="121"/>
      <c r="J1062" s="121"/>
      <c r="K1062" s="121"/>
      <c r="L1062" s="121"/>
      <c r="M1062" s="121"/>
      <c r="N1062" s="98"/>
      <c r="O1062" s="98"/>
      <c r="P1062" s="98"/>
      <c r="Q1062" s="98"/>
      <c r="R1062" s="98"/>
      <c r="S1062" s="98"/>
      <c r="T1062" s="98"/>
    </row>
    <row r="1063" spans="2:20">
      <c r="B1063" s="75"/>
      <c r="C1063" s="75"/>
      <c r="D1063" s="75"/>
      <c r="E1063" s="75"/>
      <c r="F1063" s="73"/>
      <c r="G1063" s="73"/>
      <c r="H1063" s="74"/>
      <c r="I1063" s="121"/>
      <c r="J1063" s="121"/>
      <c r="K1063" s="121"/>
      <c r="L1063" s="121"/>
      <c r="M1063" s="121"/>
      <c r="N1063" s="98"/>
      <c r="O1063" s="98"/>
      <c r="P1063" s="98"/>
      <c r="Q1063" s="98"/>
      <c r="R1063" s="98"/>
      <c r="S1063" s="98"/>
      <c r="T1063" s="98"/>
    </row>
    <row r="1064" spans="2:20">
      <c r="B1064" s="75"/>
      <c r="C1064" s="75"/>
      <c r="D1064" s="75"/>
      <c r="E1064" s="75"/>
      <c r="F1064" s="73"/>
      <c r="G1064" s="73"/>
      <c r="H1064" s="74"/>
      <c r="I1064" s="121"/>
      <c r="J1064" s="121"/>
      <c r="K1064" s="121"/>
      <c r="L1064" s="121"/>
      <c r="M1064" s="121"/>
      <c r="N1064" s="98"/>
      <c r="O1064" s="98"/>
      <c r="P1064" s="98"/>
      <c r="Q1064" s="98"/>
      <c r="R1064" s="98"/>
      <c r="S1064" s="98"/>
      <c r="T1064" s="98"/>
    </row>
    <row r="1065" spans="2:20">
      <c r="B1065" s="75"/>
      <c r="C1065" s="75"/>
      <c r="D1065" s="75"/>
      <c r="E1065" s="75"/>
      <c r="F1065" s="73"/>
      <c r="G1065" s="73"/>
      <c r="H1065" s="74"/>
      <c r="I1065" s="121"/>
      <c r="J1065" s="121"/>
      <c r="K1065" s="121"/>
      <c r="L1065" s="121"/>
      <c r="M1065" s="121"/>
      <c r="N1065" s="98"/>
      <c r="O1065" s="98"/>
      <c r="P1065" s="98"/>
      <c r="Q1065" s="98"/>
      <c r="R1065" s="98"/>
      <c r="S1065" s="98"/>
      <c r="T1065" s="98"/>
    </row>
    <row r="1066" spans="2:20">
      <c r="B1066" s="75"/>
      <c r="C1066" s="75"/>
      <c r="D1066" s="75"/>
      <c r="E1066" s="75"/>
      <c r="F1066" s="117"/>
      <c r="G1066" s="73"/>
      <c r="H1066" s="74"/>
      <c r="I1066" s="121"/>
      <c r="J1066" s="121"/>
      <c r="K1066" s="121"/>
      <c r="L1066" s="121"/>
      <c r="M1066" s="121"/>
      <c r="N1066" s="98"/>
      <c r="O1066" s="98"/>
      <c r="P1066" s="98"/>
      <c r="Q1066" s="98"/>
      <c r="R1066" s="98"/>
      <c r="S1066" s="98"/>
      <c r="T1066" s="98"/>
    </row>
    <row r="1067" spans="2:20">
      <c r="B1067" s="75"/>
      <c r="C1067" s="75"/>
      <c r="D1067" s="75"/>
      <c r="E1067" s="75"/>
      <c r="F1067" s="117"/>
      <c r="G1067" s="73"/>
      <c r="H1067" s="74"/>
      <c r="I1067" s="121"/>
      <c r="J1067" s="121"/>
      <c r="K1067" s="121"/>
      <c r="L1067" s="121"/>
      <c r="M1067" s="121"/>
      <c r="N1067" s="98"/>
      <c r="O1067" s="98"/>
      <c r="P1067" s="98"/>
      <c r="Q1067" s="98"/>
      <c r="R1067" s="98"/>
      <c r="S1067" s="98"/>
      <c r="T1067" s="98"/>
    </row>
    <row r="1068" spans="2:20">
      <c r="B1068" s="75"/>
      <c r="C1068" s="75"/>
      <c r="D1068" s="75"/>
      <c r="E1068" s="75"/>
      <c r="F1068" s="73"/>
      <c r="G1068" s="73"/>
      <c r="H1068" s="74"/>
      <c r="I1068" s="121"/>
      <c r="J1068" s="121"/>
      <c r="K1068" s="121"/>
      <c r="L1068" s="121"/>
      <c r="M1068" s="121"/>
      <c r="N1068" s="98"/>
      <c r="O1068" s="98"/>
      <c r="P1068" s="98"/>
      <c r="Q1068" s="98"/>
      <c r="R1068" s="98"/>
      <c r="S1068" s="98"/>
      <c r="T1068" s="98"/>
    </row>
    <row r="1069" spans="2:20">
      <c r="B1069" s="75"/>
      <c r="C1069" s="75"/>
      <c r="D1069" s="75"/>
      <c r="E1069" s="75"/>
      <c r="F1069" s="73"/>
      <c r="G1069" s="73"/>
      <c r="H1069" s="74"/>
      <c r="I1069" s="121"/>
      <c r="J1069" s="121"/>
      <c r="K1069" s="121"/>
      <c r="L1069" s="121"/>
      <c r="M1069" s="121"/>
      <c r="N1069" s="98"/>
      <c r="O1069" s="98"/>
      <c r="P1069" s="98"/>
      <c r="Q1069" s="98"/>
      <c r="R1069" s="98"/>
      <c r="S1069" s="98"/>
      <c r="T1069" s="98"/>
    </row>
    <row r="1070" spans="2:20">
      <c r="B1070" s="75"/>
      <c r="C1070" s="75"/>
      <c r="D1070" s="75"/>
      <c r="E1070" s="75"/>
      <c r="F1070" s="73"/>
      <c r="G1070" s="73"/>
      <c r="H1070" s="74"/>
      <c r="I1070" s="121"/>
      <c r="J1070" s="121"/>
      <c r="K1070" s="121"/>
      <c r="L1070" s="121"/>
      <c r="M1070" s="121"/>
      <c r="N1070" s="98"/>
      <c r="O1070" s="98"/>
      <c r="P1070" s="98"/>
      <c r="Q1070" s="98"/>
      <c r="R1070" s="98"/>
      <c r="S1070" s="98"/>
      <c r="T1070" s="98"/>
    </row>
    <row r="1071" spans="2:20">
      <c r="B1071" s="75"/>
      <c r="C1071" s="75"/>
      <c r="D1071" s="75"/>
      <c r="E1071" s="75"/>
      <c r="F1071" s="73"/>
      <c r="G1071" s="73"/>
      <c r="H1071" s="74"/>
      <c r="I1071" s="121"/>
      <c r="J1071" s="121"/>
      <c r="K1071" s="121"/>
      <c r="L1071" s="121"/>
      <c r="M1071" s="121"/>
      <c r="N1071" s="98"/>
      <c r="O1071" s="98"/>
      <c r="P1071" s="98"/>
      <c r="Q1071" s="98"/>
      <c r="R1071" s="98"/>
      <c r="S1071" s="98"/>
      <c r="T1071" s="98"/>
    </row>
    <row r="1072" spans="2:20">
      <c r="B1072" s="75"/>
      <c r="C1072" s="75"/>
      <c r="D1072" s="75"/>
      <c r="E1072" s="75"/>
      <c r="F1072" s="73"/>
      <c r="G1072" s="73"/>
      <c r="H1072" s="74"/>
      <c r="I1072" s="121"/>
      <c r="J1072" s="121"/>
      <c r="K1072" s="121"/>
      <c r="L1072" s="121"/>
      <c r="M1072" s="121"/>
      <c r="N1072" s="98"/>
      <c r="O1072" s="98"/>
      <c r="P1072" s="98"/>
      <c r="Q1072" s="98"/>
      <c r="R1072" s="98"/>
      <c r="S1072" s="98"/>
      <c r="T1072" s="98"/>
    </row>
    <row r="1073" spans="2:20">
      <c r="B1073" s="75"/>
      <c r="C1073" s="75"/>
      <c r="D1073" s="75"/>
      <c r="E1073" s="75"/>
      <c r="F1073" s="73"/>
      <c r="G1073" s="73"/>
      <c r="H1073" s="74"/>
      <c r="I1073" s="121"/>
      <c r="J1073" s="121"/>
      <c r="K1073" s="121"/>
      <c r="L1073" s="121"/>
      <c r="M1073" s="121"/>
      <c r="N1073" s="98"/>
      <c r="O1073" s="98"/>
      <c r="P1073" s="98"/>
      <c r="Q1073" s="98"/>
      <c r="R1073" s="98"/>
      <c r="S1073" s="98"/>
      <c r="T1073" s="98"/>
    </row>
    <row r="1074" spans="2:20">
      <c r="B1074" s="75"/>
      <c r="C1074" s="75"/>
      <c r="D1074" s="75"/>
      <c r="E1074" s="75"/>
      <c r="F1074" s="73"/>
      <c r="G1074" s="73"/>
      <c r="H1074" s="74"/>
      <c r="I1074" s="121"/>
      <c r="J1074" s="121"/>
      <c r="K1074" s="121"/>
      <c r="L1074" s="121"/>
      <c r="M1074" s="121"/>
      <c r="N1074" s="98"/>
      <c r="O1074" s="98"/>
      <c r="P1074" s="98"/>
      <c r="Q1074" s="98"/>
      <c r="R1074" s="98"/>
      <c r="S1074" s="98"/>
      <c r="T1074" s="98"/>
    </row>
    <row r="1075" spans="2:20">
      <c r="B1075" s="75"/>
      <c r="C1075" s="75"/>
      <c r="D1075" s="75"/>
      <c r="E1075" s="75"/>
      <c r="F1075" s="73"/>
      <c r="G1075" s="73"/>
      <c r="H1075" s="74"/>
      <c r="I1075" s="121"/>
      <c r="J1075" s="121"/>
      <c r="K1075" s="121"/>
      <c r="L1075" s="121"/>
      <c r="M1075" s="121"/>
      <c r="N1075" s="98"/>
      <c r="O1075" s="98"/>
      <c r="P1075" s="98"/>
      <c r="Q1075" s="98"/>
      <c r="R1075" s="98"/>
      <c r="S1075" s="98"/>
      <c r="T1075" s="98"/>
    </row>
    <row r="1076" spans="2:20">
      <c r="B1076" s="75"/>
      <c r="C1076" s="75"/>
      <c r="D1076" s="75"/>
      <c r="E1076" s="75"/>
      <c r="F1076" s="73"/>
      <c r="G1076" s="73"/>
      <c r="H1076" s="74"/>
      <c r="I1076" s="121"/>
      <c r="J1076" s="121"/>
      <c r="K1076" s="121"/>
      <c r="L1076" s="121"/>
      <c r="M1076" s="121"/>
      <c r="N1076" s="98"/>
      <c r="O1076" s="98"/>
      <c r="P1076" s="98"/>
      <c r="Q1076" s="98"/>
      <c r="R1076" s="98"/>
      <c r="S1076" s="98"/>
      <c r="T1076" s="98"/>
    </row>
    <row r="1077" spans="2:20">
      <c r="B1077" s="75"/>
      <c r="C1077" s="75"/>
      <c r="D1077" s="75"/>
      <c r="E1077" s="75"/>
      <c r="F1077" s="73"/>
      <c r="G1077" s="73"/>
      <c r="H1077" s="74"/>
      <c r="I1077" s="121"/>
      <c r="J1077" s="121"/>
      <c r="K1077" s="121"/>
      <c r="L1077" s="121"/>
      <c r="M1077" s="121"/>
      <c r="N1077" s="98"/>
      <c r="O1077" s="98"/>
      <c r="P1077" s="98"/>
      <c r="Q1077" s="98"/>
      <c r="R1077" s="98"/>
      <c r="S1077" s="98"/>
      <c r="T1077" s="98"/>
    </row>
    <row r="1078" spans="2:20">
      <c r="B1078" s="75"/>
      <c r="C1078" s="75"/>
      <c r="D1078" s="75"/>
      <c r="E1078" s="75"/>
      <c r="F1078" s="73"/>
      <c r="G1078" s="73"/>
      <c r="H1078" s="74"/>
      <c r="I1078" s="121"/>
      <c r="J1078" s="121"/>
      <c r="K1078" s="121"/>
      <c r="L1078" s="121"/>
      <c r="M1078" s="121"/>
      <c r="N1078" s="98"/>
      <c r="O1078" s="98"/>
      <c r="P1078" s="98"/>
      <c r="Q1078" s="98"/>
      <c r="R1078" s="98"/>
      <c r="S1078" s="98"/>
      <c r="T1078" s="98"/>
    </row>
    <row r="1079" spans="2:20">
      <c r="B1079" s="75"/>
      <c r="C1079" s="75"/>
      <c r="D1079" s="75"/>
      <c r="E1079" s="75"/>
      <c r="F1079" s="73"/>
      <c r="G1079" s="73"/>
      <c r="H1079" s="74"/>
      <c r="I1079" s="121"/>
      <c r="J1079" s="121"/>
      <c r="K1079" s="121"/>
      <c r="L1079" s="121"/>
      <c r="M1079" s="121"/>
      <c r="N1079" s="98"/>
      <c r="O1079" s="98"/>
      <c r="P1079" s="98"/>
      <c r="Q1079" s="98"/>
      <c r="R1079" s="98"/>
      <c r="S1079" s="98"/>
      <c r="T1079" s="98"/>
    </row>
    <row r="1080" spans="2:20">
      <c r="B1080" s="75"/>
      <c r="C1080" s="75"/>
      <c r="D1080" s="75"/>
      <c r="E1080" s="75"/>
      <c r="F1080" s="73"/>
      <c r="G1080" s="73"/>
      <c r="H1080" s="74"/>
      <c r="I1080" s="121"/>
      <c r="J1080" s="121"/>
      <c r="K1080" s="121"/>
      <c r="L1080" s="121"/>
      <c r="M1080" s="121"/>
      <c r="N1080" s="98"/>
      <c r="O1080" s="98"/>
      <c r="P1080" s="98"/>
      <c r="Q1080" s="98"/>
      <c r="R1080" s="98"/>
      <c r="S1080" s="98"/>
      <c r="T1080" s="98"/>
    </row>
    <row r="1081" spans="2:20">
      <c r="B1081" s="75"/>
      <c r="C1081" s="75"/>
      <c r="D1081" s="75"/>
      <c r="E1081" s="75"/>
      <c r="F1081" s="73"/>
      <c r="G1081" s="73"/>
      <c r="H1081" s="74"/>
      <c r="I1081" s="121"/>
      <c r="J1081" s="121"/>
      <c r="K1081" s="121"/>
      <c r="L1081" s="121"/>
      <c r="M1081" s="121"/>
      <c r="N1081" s="98"/>
      <c r="O1081" s="98"/>
      <c r="P1081" s="98"/>
      <c r="Q1081" s="98"/>
      <c r="R1081" s="98"/>
      <c r="S1081" s="98"/>
      <c r="T1081" s="98"/>
    </row>
    <row r="1082" spans="2:20">
      <c r="B1082" s="75"/>
      <c r="C1082" s="75"/>
      <c r="D1082" s="75"/>
      <c r="E1082" s="75"/>
      <c r="F1082" s="73"/>
      <c r="G1082" s="73"/>
      <c r="H1082" s="74"/>
      <c r="I1082" s="121"/>
      <c r="J1082" s="121"/>
      <c r="K1082" s="121"/>
      <c r="L1082" s="121"/>
      <c r="M1082" s="121"/>
      <c r="N1082" s="98"/>
      <c r="O1082" s="98"/>
      <c r="P1082" s="98"/>
      <c r="Q1082" s="98"/>
      <c r="R1082" s="98"/>
      <c r="S1082" s="98"/>
      <c r="T1082" s="98"/>
    </row>
    <row r="1083" spans="2:20">
      <c r="B1083" s="75"/>
      <c r="C1083" s="75"/>
      <c r="D1083" s="75"/>
      <c r="E1083" s="75"/>
      <c r="F1083" s="73"/>
      <c r="G1083" s="73"/>
      <c r="H1083" s="74"/>
      <c r="I1083" s="121"/>
      <c r="J1083" s="121"/>
      <c r="K1083" s="121"/>
      <c r="L1083" s="121"/>
      <c r="M1083" s="121"/>
      <c r="N1083" s="98"/>
      <c r="O1083" s="98"/>
      <c r="P1083" s="98"/>
      <c r="Q1083" s="98"/>
      <c r="R1083" s="98"/>
      <c r="S1083" s="98"/>
      <c r="T1083" s="98"/>
    </row>
    <row r="1084" spans="2:20">
      <c r="B1084" s="75"/>
      <c r="C1084" s="75"/>
      <c r="D1084" s="75"/>
      <c r="E1084" s="75"/>
      <c r="F1084" s="73"/>
      <c r="G1084" s="73"/>
      <c r="H1084" s="74"/>
      <c r="I1084" s="121"/>
      <c r="J1084" s="121"/>
      <c r="K1084" s="121"/>
      <c r="L1084" s="121"/>
      <c r="M1084" s="121"/>
      <c r="N1084" s="99"/>
      <c r="O1084" s="99"/>
      <c r="P1084" s="99"/>
      <c r="Q1084" s="99"/>
      <c r="R1084" s="99"/>
      <c r="S1084" s="99"/>
      <c r="T1084" s="99"/>
    </row>
    <row r="1085" spans="2:20">
      <c r="B1085" s="75"/>
      <c r="C1085" s="75"/>
      <c r="D1085" s="75"/>
      <c r="E1085" s="75"/>
      <c r="F1085" s="73"/>
      <c r="G1085" s="73"/>
      <c r="H1085" s="74"/>
      <c r="I1085" s="121"/>
      <c r="J1085" s="121"/>
      <c r="K1085" s="121"/>
      <c r="L1085" s="121"/>
      <c r="M1085" s="121"/>
      <c r="N1085" s="98"/>
      <c r="O1085" s="98"/>
      <c r="P1085" s="98"/>
      <c r="Q1085" s="98"/>
      <c r="R1085" s="98"/>
      <c r="S1085" s="98"/>
      <c r="T1085" s="98"/>
    </row>
    <row r="1086" spans="2:20">
      <c r="B1086" s="75"/>
      <c r="C1086" s="75"/>
      <c r="D1086" s="75"/>
      <c r="E1086" s="75"/>
      <c r="F1086" s="73"/>
      <c r="G1086" s="73"/>
      <c r="H1086" s="74"/>
      <c r="I1086" s="121"/>
      <c r="J1086" s="121"/>
      <c r="K1086" s="121"/>
      <c r="L1086" s="121"/>
      <c r="M1086" s="121"/>
      <c r="N1086" s="98"/>
      <c r="O1086" s="98"/>
      <c r="P1086" s="98"/>
      <c r="Q1086" s="98"/>
      <c r="R1086" s="98"/>
      <c r="S1086" s="98"/>
      <c r="T1086" s="98"/>
    </row>
    <row r="1087" spans="2:20">
      <c r="B1087" s="75"/>
      <c r="C1087" s="75"/>
      <c r="D1087" s="75"/>
      <c r="E1087" s="75"/>
      <c r="F1087" s="73"/>
      <c r="G1087" s="73"/>
      <c r="H1087" s="74"/>
      <c r="I1087" s="121"/>
      <c r="J1087" s="121"/>
      <c r="K1087" s="121"/>
      <c r="L1087" s="121"/>
      <c r="M1087" s="121"/>
      <c r="N1087" s="98"/>
      <c r="O1087" s="98"/>
      <c r="P1087" s="98"/>
      <c r="Q1087" s="98"/>
      <c r="R1087" s="98"/>
      <c r="S1087" s="98"/>
      <c r="T1087" s="98"/>
    </row>
    <row r="1088" spans="2:20">
      <c r="B1088" s="75"/>
      <c r="C1088" s="75"/>
      <c r="D1088" s="75"/>
      <c r="E1088" s="75"/>
      <c r="F1088" s="73"/>
      <c r="G1088" s="73"/>
      <c r="H1088" s="74"/>
      <c r="I1088" s="121"/>
      <c r="J1088" s="121"/>
      <c r="K1088" s="121"/>
      <c r="L1088" s="121"/>
      <c r="M1088" s="121"/>
      <c r="N1088" s="99"/>
      <c r="O1088" s="99"/>
      <c r="P1088" s="99"/>
      <c r="Q1088" s="99"/>
      <c r="R1088" s="99"/>
      <c r="S1088" s="99"/>
      <c r="T1088" s="99"/>
    </row>
    <row r="1089" spans="2:20">
      <c r="B1089" s="75"/>
      <c r="C1089" s="75"/>
      <c r="D1089" s="75"/>
      <c r="E1089" s="75"/>
      <c r="F1089" s="73"/>
      <c r="G1089" s="73"/>
      <c r="H1089" s="74"/>
      <c r="I1089" s="121"/>
      <c r="J1089" s="121"/>
      <c r="K1089" s="121"/>
      <c r="L1089" s="121"/>
      <c r="M1089" s="121"/>
      <c r="N1089" s="99"/>
      <c r="O1089" s="99"/>
      <c r="P1089" s="99"/>
      <c r="Q1089" s="99"/>
      <c r="R1089" s="99"/>
      <c r="S1089" s="99"/>
      <c r="T1089" s="99"/>
    </row>
    <row r="1090" spans="2:20">
      <c r="B1090" s="75"/>
      <c r="C1090" s="75"/>
      <c r="D1090" s="75"/>
      <c r="E1090" s="75"/>
      <c r="F1090" s="73"/>
      <c r="G1090" s="73"/>
      <c r="H1090" s="74"/>
      <c r="I1090" s="121"/>
      <c r="J1090" s="121"/>
      <c r="K1090" s="121"/>
      <c r="L1090" s="121"/>
      <c r="M1090" s="121"/>
      <c r="N1090" s="99"/>
      <c r="O1090" s="99"/>
      <c r="P1090" s="99"/>
      <c r="Q1090" s="99"/>
      <c r="R1090" s="99"/>
      <c r="S1090" s="99"/>
      <c r="T1090" s="99"/>
    </row>
    <row r="1091" spans="2:20">
      <c r="B1091" s="75"/>
      <c r="C1091" s="75"/>
      <c r="D1091" s="75"/>
      <c r="E1091" s="75"/>
      <c r="F1091" s="73"/>
      <c r="G1091" s="73"/>
      <c r="H1091" s="74"/>
      <c r="I1091" s="121"/>
      <c r="J1091" s="121"/>
      <c r="K1091" s="121"/>
      <c r="L1091" s="121"/>
      <c r="M1091" s="121"/>
      <c r="N1091" s="99"/>
      <c r="O1091" s="99"/>
      <c r="P1091" s="99"/>
      <c r="Q1091" s="99"/>
      <c r="R1091" s="99"/>
      <c r="S1091" s="99"/>
      <c r="T1091" s="99"/>
    </row>
    <row r="1092" spans="2:20">
      <c r="B1092" s="75"/>
      <c r="C1092" s="75"/>
      <c r="D1092" s="75"/>
      <c r="E1092" s="75"/>
      <c r="F1092" s="73"/>
      <c r="G1092" s="73"/>
      <c r="H1092" s="74"/>
      <c r="I1092" s="121"/>
      <c r="J1092" s="121"/>
      <c r="K1092" s="121"/>
      <c r="L1092" s="121"/>
      <c r="M1092" s="121"/>
      <c r="N1092" s="99"/>
      <c r="O1092" s="99"/>
      <c r="P1092" s="99"/>
      <c r="Q1092" s="99"/>
      <c r="R1092" s="99"/>
      <c r="S1092" s="99"/>
      <c r="T1092" s="99"/>
    </row>
    <row r="1093" spans="2:20">
      <c r="B1093" s="75"/>
      <c r="C1093" s="75"/>
      <c r="D1093" s="75"/>
      <c r="E1093" s="75"/>
      <c r="F1093" s="73"/>
      <c r="G1093" s="73"/>
      <c r="H1093" s="74"/>
      <c r="I1093" s="121"/>
      <c r="J1093" s="121"/>
      <c r="K1093" s="121"/>
      <c r="L1093" s="121"/>
      <c r="M1093" s="121"/>
      <c r="N1093" s="99"/>
      <c r="O1093" s="99"/>
      <c r="P1093" s="99"/>
      <c r="Q1093" s="99"/>
      <c r="R1093" s="99"/>
      <c r="S1093" s="99"/>
      <c r="T1093" s="99"/>
    </row>
    <row r="1094" spans="2:20">
      <c r="B1094" s="75"/>
      <c r="C1094" s="75"/>
      <c r="D1094" s="75"/>
      <c r="E1094" s="75"/>
      <c r="F1094" s="73"/>
      <c r="G1094" s="73"/>
      <c r="H1094" s="74"/>
      <c r="I1094" s="121"/>
      <c r="J1094" s="121"/>
      <c r="K1094" s="121"/>
      <c r="L1094" s="121"/>
      <c r="M1094" s="121"/>
      <c r="N1094" s="99"/>
      <c r="O1094" s="99"/>
      <c r="P1094" s="99"/>
      <c r="Q1094" s="99"/>
      <c r="R1094" s="99"/>
      <c r="S1094" s="99"/>
      <c r="T1094" s="99"/>
    </row>
    <row r="1095" spans="2:20">
      <c r="B1095" s="75"/>
      <c r="C1095" s="75"/>
      <c r="D1095" s="75"/>
      <c r="E1095" s="75"/>
      <c r="F1095" s="73"/>
      <c r="G1095" s="73"/>
      <c r="H1095" s="74"/>
      <c r="I1095" s="121"/>
      <c r="J1095" s="121"/>
      <c r="K1095" s="121"/>
      <c r="L1095" s="121"/>
      <c r="M1095" s="121"/>
      <c r="N1095" s="99"/>
      <c r="O1095" s="99"/>
      <c r="P1095" s="99"/>
      <c r="Q1095" s="99"/>
      <c r="R1095" s="99"/>
      <c r="S1095" s="99"/>
      <c r="T1095" s="99"/>
    </row>
    <row r="1096" spans="2:20">
      <c r="B1096" s="75"/>
      <c r="C1096" s="75"/>
      <c r="D1096" s="75"/>
      <c r="E1096" s="75"/>
      <c r="F1096" s="73"/>
      <c r="G1096" s="73"/>
      <c r="H1096" s="74"/>
      <c r="I1096" s="121"/>
      <c r="J1096" s="121"/>
      <c r="K1096" s="121"/>
      <c r="L1096" s="121"/>
      <c r="M1096" s="121"/>
      <c r="N1096" s="99"/>
      <c r="O1096" s="99"/>
      <c r="P1096" s="99"/>
      <c r="Q1096" s="99"/>
      <c r="R1096" s="99"/>
      <c r="S1096" s="99"/>
      <c r="T1096" s="99"/>
    </row>
    <row r="1097" spans="2:20">
      <c r="B1097" s="75"/>
      <c r="C1097" s="75"/>
      <c r="D1097" s="75"/>
      <c r="E1097" s="75"/>
      <c r="F1097" s="73"/>
      <c r="G1097" s="73"/>
      <c r="H1097" s="74"/>
      <c r="I1097" s="121"/>
      <c r="J1097" s="121"/>
      <c r="K1097" s="121"/>
      <c r="L1097" s="121"/>
      <c r="M1097" s="121"/>
      <c r="N1097" s="99"/>
      <c r="O1097" s="99"/>
      <c r="P1097" s="99"/>
      <c r="Q1097" s="99"/>
      <c r="R1097" s="99"/>
      <c r="S1097" s="99"/>
      <c r="T1097" s="99"/>
    </row>
    <row r="1098" spans="2:20">
      <c r="B1098" s="75"/>
      <c r="C1098" s="75"/>
      <c r="D1098" s="75"/>
      <c r="E1098" s="75"/>
      <c r="F1098" s="73"/>
      <c r="G1098" s="73"/>
      <c r="H1098" s="74"/>
      <c r="I1098" s="121"/>
      <c r="J1098" s="121"/>
      <c r="K1098" s="121"/>
      <c r="L1098" s="121"/>
      <c r="M1098" s="121"/>
      <c r="N1098" s="99"/>
      <c r="O1098" s="99"/>
      <c r="P1098" s="99"/>
      <c r="Q1098" s="99"/>
      <c r="R1098" s="99"/>
      <c r="S1098" s="99"/>
      <c r="T1098" s="99"/>
    </row>
    <row r="1099" spans="2:20">
      <c r="B1099" s="75"/>
      <c r="C1099" s="75"/>
      <c r="D1099" s="75"/>
      <c r="E1099" s="75"/>
      <c r="F1099" s="73"/>
      <c r="G1099" s="73"/>
      <c r="H1099" s="74"/>
      <c r="I1099" s="121"/>
      <c r="J1099" s="121"/>
      <c r="K1099" s="121"/>
      <c r="L1099" s="121"/>
      <c r="M1099" s="121"/>
      <c r="N1099" s="99"/>
      <c r="O1099" s="99"/>
      <c r="P1099" s="99"/>
      <c r="Q1099" s="99"/>
      <c r="R1099" s="99"/>
      <c r="S1099" s="99"/>
      <c r="T1099" s="99"/>
    </row>
    <row r="1100" spans="2:20">
      <c r="B1100" s="75"/>
      <c r="C1100" s="75"/>
      <c r="D1100" s="75"/>
      <c r="E1100" s="75"/>
      <c r="F1100" s="73"/>
      <c r="G1100" s="73"/>
      <c r="H1100" s="74"/>
      <c r="I1100" s="121"/>
      <c r="J1100" s="121"/>
      <c r="K1100" s="121"/>
      <c r="L1100" s="121"/>
      <c r="M1100" s="121"/>
      <c r="N1100" s="99"/>
      <c r="O1100" s="99"/>
      <c r="P1100" s="99"/>
      <c r="Q1100" s="99"/>
      <c r="R1100" s="99"/>
      <c r="S1100" s="99"/>
      <c r="T1100" s="99"/>
    </row>
    <row r="1101" spans="2:20">
      <c r="B1101" s="75"/>
      <c r="C1101" s="75"/>
      <c r="D1101" s="75"/>
      <c r="E1101" s="75"/>
      <c r="F1101" s="73"/>
      <c r="G1101" s="73"/>
      <c r="H1101" s="74"/>
      <c r="I1101" s="121"/>
      <c r="J1101" s="121"/>
      <c r="K1101" s="121"/>
      <c r="L1101" s="121"/>
      <c r="M1101" s="121"/>
      <c r="N1101" s="99"/>
      <c r="O1101" s="99"/>
      <c r="P1101" s="99"/>
      <c r="Q1101" s="99"/>
      <c r="R1101" s="99"/>
      <c r="S1101" s="99"/>
      <c r="T1101" s="99"/>
    </row>
    <row r="1102" spans="2:20">
      <c r="B1102" s="75"/>
      <c r="C1102" s="75"/>
      <c r="D1102" s="75"/>
      <c r="E1102" s="75"/>
      <c r="F1102" s="73"/>
      <c r="G1102" s="73"/>
      <c r="H1102" s="74"/>
      <c r="I1102" s="121"/>
      <c r="J1102" s="121"/>
      <c r="K1102" s="121"/>
      <c r="L1102" s="121"/>
      <c r="M1102" s="121"/>
      <c r="N1102" s="99"/>
      <c r="O1102" s="99"/>
      <c r="P1102" s="99"/>
      <c r="Q1102" s="99"/>
      <c r="R1102" s="99"/>
      <c r="S1102" s="99"/>
      <c r="T1102" s="99"/>
    </row>
    <row r="1103" spans="2:20">
      <c r="B1103" s="75"/>
      <c r="C1103" s="75"/>
      <c r="D1103" s="75"/>
      <c r="E1103" s="75"/>
      <c r="F1103" s="73"/>
      <c r="G1103" s="73"/>
      <c r="H1103" s="74"/>
      <c r="I1103" s="121"/>
      <c r="J1103" s="121"/>
      <c r="K1103" s="121"/>
      <c r="L1103" s="121"/>
      <c r="M1103" s="121"/>
      <c r="N1103" s="99"/>
      <c r="O1103" s="99"/>
      <c r="P1103" s="99"/>
      <c r="Q1103" s="99"/>
      <c r="R1103" s="99"/>
      <c r="S1103" s="99"/>
      <c r="T1103" s="99"/>
    </row>
    <row r="1104" spans="2:20">
      <c r="B1104" s="75"/>
      <c r="C1104" s="75"/>
      <c r="D1104" s="75"/>
      <c r="E1104" s="75"/>
      <c r="F1104" s="73"/>
      <c r="G1104" s="73"/>
      <c r="H1104" s="74"/>
      <c r="I1104" s="121"/>
      <c r="J1104" s="121"/>
      <c r="K1104" s="121"/>
      <c r="L1104" s="121"/>
      <c r="M1104" s="121"/>
      <c r="N1104" s="99"/>
      <c r="O1104" s="99"/>
      <c r="P1104" s="99"/>
      <c r="Q1104" s="99"/>
      <c r="R1104" s="99"/>
      <c r="S1104" s="99"/>
      <c r="T1104" s="99"/>
    </row>
    <row r="1105" spans="2:20">
      <c r="B1105" s="75"/>
      <c r="C1105" s="75"/>
      <c r="D1105" s="75"/>
      <c r="E1105" s="75"/>
      <c r="F1105" s="73"/>
      <c r="G1105" s="73"/>
      <c r="H1105" s="74"/>
      <c r="I1105" s="121"/>
      <c r="J1105" s="121"/>
      <c r="K1105" s="121"/>
      <c r="L1105" s="121"/>
      <c r="M1105" s="121"/>
      <c r="N1105" s="99"/>
      <c r="O1105" s="99"/>
      <c r="P1105" s="99"/>
      <c r="Q1105" s="99"/>
      <c r="R1105" s="99"/>
      <c r="S1105" s="99"/>
      <c r="T1105" s="99"/>
    </row>
    <row r="1106" spans="2:20">
      <c r="B1106" s="75"/>
      <c r="C1106" s="75"/>
      <c r="D1106" s="75"/>
      <c r="E1106" s="75"/>
      <c r="F1106" s="73"/>
      <c r="G1106" s="73"/>
      <c r="H1106" s="74"/>
      <c r="I1106" s="121"/>
      <c r="J1106" s="121"/>
      <c r="K1106" s="121"/>
      <c r="L1106" s="121"/>
      <c r="M1106" s="121"/>
      <c r="N1106" s="99"/>
      <c r="O1106" s="99"/>
      <c r="P1106" s="99"/>
      <c r="Q1106" s="99"/>
      <c r="R1106" s="99"/>
      <c r="S1106" s="99"/>
      <c r="T1106" s="99"/>
    </row>
    <row r="1107" spans="2:20">
      <c r="B1107" s="75"/>
      <c r="C1107" s="75"/>
      <c r="D1107" s="75"/>
      <c r="E1107" s="75"/>
      <c r="F1107" s="73"/>
      <c r="G1107" s="73"/>
      <c r="H1107" s="74"/>
      <c r="I1107" s="121"/>
      <c r="J1107" s="121"/>
      <c r="K1107" s="121"/>
      <c r="L1107" s="121"/>
      <c r="M1107" s="121"/>
      <c r="N1107" s="99"/>
      <c r="O1107" s="99"/>
      <c r="P1107" s="99"/>
      <c r="Q1107" s="99"/>
      <c r="R1107" s="99"/>
      <c r="S1107" s="99"/>
      <c r="T1107" s="99"/>
    </row>
    <row r="1108" spans="2:20">
      <c r="B1108" s="75"/>
      <c r="C1108" s="75"/>
      <c r="D1108" s="75"/>
      <c r="E1108" s="75"/>
      <c r="F1108" s="73"/>
      <c r="G1108" s="73"/>
      <c r="H1108" s="74"/>
      <c r="I1108" s="121"/>
      <c r="J1108" s="121"/>
      <c r="K1108" s="121"/>
      <c r="L1108" s="121"/>
      <c r="M1108" s="121"/>
      <c r="N1108" s="99"/>
      <c r="O1108" s="99"/>
      <c r="P1108" s="99"/>
      <c r="Q1108" s="99"/>
      <c r="R1108" s="99"/>
      <c r="S1108" s="99"/>
      <c r="T1108" s="99"/>
    </row>
    <row r="1109" spans="2:20">
      <c r="B1109" s="75"/>
      <c r="C1109" s="75"/>
      <c r="D1109" s="75"/>
      <c r="E1109" s="75"/>
      <c r="F1109" s="73"/>
      <c r="G1109" s="73"/>
      <c r="H1109" s="74"/>
      <c r="I1109" s="121"/>
      <c r="J1109" s="121"/>
      <c r="K1109" s="121"/>
      <c r="L1109" s="121"/>
      <c r="M1109" s="121"/>
      <c r="N1109" s="99"/>
      <c r="O1109" s="99"/>
      <c r="P1109" s="99"/>
      <c r="Q1109" s="99"/>
      <c r="R1109" s="99"/>
      <c r="S1109" s="99"/>
      <c r="T1109" s="99"/>
    </row>
    <row r="1110" spans="2:20">
      <c r="B1110" s="75"/>
      <c r="C1110" s="75"/>
      <c r="D1110" s="75"/>
      <c r="E1110" s="75"/>
      <c r="F1110" s="73"/>
      <c r="G1110" s="73"/>
      <c r="H1110" s="74"/>
      <c r="I1110" s="121"/>
      <c r="J1110" s="121"/>
      <c r="K1110" s="121"/>
      <c r="L1110" s="121"/>
      <c r="M1110" s="121"/>
      <c r="N1110" s="99"/>
      <c r="O1110" s="99"/>
      <c r="P1110" s="99"/>
      <c r="Q1110" s="99"/>
      <c r="R1110" s="99"/>
      <c r="S1110" s="99"/>
      <c r="T1110" s="99"/>
    </row>
    <row r="1111" spans="2:20">
      <c r="B1111" s="75"/>
      <c r="C1111" s="75"/>
      <c r="D1111" s="75"/>
      <c r="E1111" s="75"/>
      <c r="F1111" s="73"/>
      <c r="G1111" s="73"/>
      <c r="H1111" s="74"/>
      <c r="I1111" s="121"/>
      <c r="J1111" s="121"/>
      <c r="K1111" s="121"/>
      <c r="L1111" s="121"/>
      <c r="M1111" s="121"/>
      <c r="N1111" s="99"/>
      <c r="O1111" s="99"/>
      <c r="P1111" s="99"/>
      <c r="Q1111" s="99"/>
      <c r="R1111" s="99"/>
      <c r="S1111" s="99"/>
      <c r="T1111" s="99"/>
    </row>
    <row r="1112" spans="2:20">
      <c r="B1112" s="75"/>
      <c r="C1112" s="75"/>
      <c r="D1112" s="75"/>
      <c r="E1112" s="75"/>
      <c r="F1112" s="73"/>
      <c r="G1112" s="73"/>
      <c r="H1112" s="74"/>
      <c r="I1112" s="121"/>
      <c r="J1112" s="121"/>
      <c r="K1112" s="121"/>
      <c r="L1112" s="121"/>
      <c r="M1112" s="121"/>
      <c r="N1112" s="99"/>
      <c r="O1112" s="99"/>
      <c r="P1112" s="99"/>
      <c r="Q1112" s="99"/>
      <c r="R1112" s="99"/>
      <c r="S1112" s="99"/>
      <c r="T1112" s="99"/>
    </row>
    <row r="1113" spans="2:20">
      <c r="B1113" s="75"/>
      <c r="C1113" s="75"/>
      <c r="D1113" s="75"/>
      <c r="E1113" s="75"/>
      <c r="F1113" s="73"/>
      <c r="G1113" s="73"/>
      <c r="H1113" s="74"/>
      <c r="I1113" s="121"/>
      <c r="J1113" s="121"/>
      <c r="K1113" s="121"/>
      <c r="L1113" s="121"/>
      <c r="M1113" s="121"/>
      <c r="N1113" s="99"/>
      <c r="O1113" s="99"/>
      <c r="P1113" s="99"/>
      <c r="Q1113" s="99"/>
      <c r="R1113" s="99"/>
      <c r="S1113" s="99"/>
      <c r="T1113" s="99"/>
    </row>
    <row r="1114" spans="2:20">
      <c r="B1114" s="75"/>
      <c r="C1114" s="75"/>
      <c r="D1114" s="75"/>
      <c r="E1114" s="75"/>
      <c r="F1114" s="73"/>
      <c r="G1114" s="73"/>
      <c r="H1114" s="74"/>
      <c r="I1114" s="121"/>
      <c r="J1114" s="121"/>
      <c r="K1114" s="121"/>
      <c r="L1114" s="121"/>
      <c r="M1114" s="121"/>
      <c r="N1114" s="98"/>
      <c r="O1114" s="98"/>
      <c r="P1114" s="98"/>
      <c r="Q1114" s="98"/>
      <c r="R1114" s="98"/>
      <c r="S1114" s="98"/>
      <c r="T1114" s="98"/>
    </row>
    <row r="1115" spans="2:20">
      <c r="B1115" s="75"/>
      <c r="C1115" s="75"/>
      <c r="D1115" s="75"/>
      <c r="E1115" s="75"/>
      <c r="F1115" s="73"/>
      <c r="G1115" s="73"/>
      <c r="H1115" s="74"/>
      <c r="I1115" s="121"/>
      <c r="J1115" s="121"/>
      <c r="K1115" s="121"/>
      <c r="L1115" s="121"/>
      <c r="M1115" s="121"/>
      <c r="N1115" s="99"/>
      <c r="O1115" s="99"/>
      <c r="P1115" s="99"/>
      <c r="Q1115" s="99"/>
      <c r="R1115" s="99"/>
      <c r="S1115" s="99"/>
      <c r="T1115" s="99"/>
    </row>
    <row r="1116" spans="2:20">
      <c r="B1116" s="75"/>
      <c r="C1116" s="75"/>
      <c r="D1116" s="75"/>
      <c r="E1116" s="75"/>
      <c r="F1116" s="73"/>
      <c r="G1116" s="73"/>
      <c r="H1116" s="74"/>
      <c r="I1116" s="121"/>
      <c r="J1116" s="121"/>
      <c r="K1116" s="121"/>
      <c r="L1116" s="121"/>
      <c r="M1116" s="121"/>
      <c r="N1116" s="99"/>
      <c r="O1116" s="99"/>
      <c r="P1116" s="99"/>
      <c r="Q1116" s="99"/>
      <c r="R1116" s="99"/>
      <c r="S1116" s="99"/>
      <c r="T1116" s="99"/>
    </row>
    <row r="1117" spans="2:20">
      <c r="B1117" s="75"/>
      <c r="C1117" s="75"/>
      <c r="D1117" s="75"/>
      <c r="E1117" s="75"/>
      <c r="F1117" s="73"/>
      <c r="G1117" s="73"/>
      <c r="H1117" s="74"/>
      <c r="I1117" s="121"/>
      <c r="J1117" s="121"/>
      <c r="K1117" s="121"/>
      <c r="L1117" s="121"/>
      <c r="M1117" s="121"/>
      <c r="N1117" s="99"/>
      <c r="O1117" s="99"/>
      <c r="P1117" s="99"/>
      <c r="Q1117" s="99"/>
      <c r="R1117" s="99"/>
      <c r="S1117" s="99"/>
      <c r="T1117" s="99"/>
    </row>
    <row r="1118" spans="2:20">
      <c r="B1118" s="75"/>
      <c r="C1118" s="75"/>
      <c r="D1118" s="75"/>
      <c r="E1118" s="75"/>
      <c r="F1118" s="73"/>
      <c r="G1118" s="73"/>
      <c r="H1118" s="74"/>
      <c r="I1118" s="121"/>
      <c r="J1118" s="121"/>
      <c r="K1118" s="121"/>
      <c r="L1118" s="121"/>
      <c r="M1118" s="121"/>
      <c r="N1118" s="99"/>
      <c r="O1118" s="99"/>
      <c r="P1118" s="99"/>
      <c r="Q1118" s="99"/>
      <c r="R1118" s="99"/>
      <c r="S1118" s="99"/>
      <c r="T1118" s="99"/>
    </row>
    <row r="1119" spans="2:20">
      <c r="B1119" s="75"/>
      <c r="C1119" s="75"/>
      <c r="D1119" s="75"/>
      <c r="E1119" s="75"/>
      <c r="F1119" s="73"/>
      <c r="G1119" s="73"/>
      <c r="H1119" s="74"/>
      <c r="I1119" s="121"/>
      <c r="J1119" s="121"/>
      <c r="K1119" s="121"/>
      <c r="L1119" s="121"/>
      <c r="M1119" s="121"/>
      <c r="N1119" s="99"/>
      <c r="O1119" s="99"/>
      <c r="P1119" s="99"/>
      <c r="Q1119" s="99"/>
      <c r="R1119" s="99"/>
      <c r="S1119" s="99"/>
      <c r="T1119" s="99"/>
    </row>
    <row r="1120" spans="2:20">
      <c r="B1120" s="75"/>
      <c r="C1120" s="75"/>
      <c r="D1120" s="75"/>
      <c r="E1120" s="75"/>
      <c r="F1120" s="73"/>
      <c r="G1120" s="73"/>
      <c r="H1120" s="74"/>
      <c r="I1120" s="121"/>
      <c r="J1120" s="121"/>
      <c r="K1120" s="121"/>
      <c r="L1120" s="121"/>
      <c r="M1120" s="121"/>
      <c r="N1120" s="99"/>
      <c r="O1120" s="99"/>
      <c r="P1120" s="99"/>
      <c r="Q1120" s="99"/>
      <c r="R1120" s="99"/>
      <c r="S1120" s="99"/>
      <c r="T1120" s="99"/>
    </row>
    <row r="1121" spans="2:20">
      <c r="B1121" s="75"/>
      <c r="C1121" s="75"/>
      <c r="D1121" s="75"/>
      <c r="E1121" s="75"/>
      <c r="F1121" s="73"/>
      <c r="G1121" s="73"/>
      <c r="H1121" s="74"/>
      <c r="I1121" s="121"/>
      <c r="J1121" s="121"/>
      <c r="K1121" s="121"/>
      <c r="L1121" s="121"/>
      <c r="M1121" s="121"/>
      <c r="N1121" s="99"/>
      <c r="O1121" s="99"/>
      <c r="P1121" s="99"/>
      <c r="Q1121" s="99"/>
      <c r="R1121" s="99"/>
      <c r="S1121" s="99"/>
      <c r="T1121" s="99"/>
    </row>
    <row r="1122" spans="2:20">
      <c r="B1122" s="75"/>
      <c r="C1122" s="75"/>
      <c r="D1122" s="75"/>
      <c r="E1122" s="75"/>
      <c r="F1122" s="73"/>
      <c r="G1122" s="73"/>
      <c r="H1122" s="74"/>
      <c r="I1122" s="121"/>
      <c r="J1122" s="121"/>
      <c r="K1122" s="121"/>
      <c r="L1122" s="121"/>
      <c r="M1122" s="121"/>
      <c r="N1122" s="99"/>
      <c r="O1122" s="99"/>
      <c r="P1122" s="99"/>
      <c r="Q1122" s="99"/>
      <c r="R1122" s="99"/>
      <c r="S1122" s="99"/>
      <c r="T1122" s="99"/>
    </row>
    <row r="1123" spans="2:20">
      <c r="B1123" s="75"/>
      <c r="C1123" s="75"/>
      <c r="D1123" s="75"/>
      <c r="E1123" s="75"/>
      <c r="F1123" s="73"/>
      <c r="G1123" s="73"/>
      <c r="H1123" s="74"/>
      <c r="I1123" s="121"/>
      <c r="J1123" s="121"/>
      <c r="K1123" s="121"/>
      <c r="L1123" s="121"/>
      <c r="M1123" s="121"/>
      <c r="N1123" s="99"/>
      <c r="O1123" s="99"/>
      <c r="P1123" s="99"/>
      <c r="Q1123" s="99"/>
      <c r="R1123" s="99"/>
      <c r="S1123" s="99"/>
      <c r="T1123" s="99"/>
    </row>
    <row r="1124" spans="2:20">
      <c r="B1124" s="75"/>
      <c r="C1124" s="75"/>
      <c r="D1124" s="75"/>
      <c r="E1124" s="75"/>
      <c r="F1124" s="73"/>
      <c r="G1124" s="73"/>
      <c r="H1124" s="74"/>
      <c r="I1124" s="121"/>
      <c r="J1124" s="121"/>
      <c r="K1124" s="121"/>
      <c r="L1124" s="121"/>
      <c r="M1124" s="121"/>
      <c r="N1124" s="99"/>
      <c r="O1124" s="99"/>
      <c r="P1124" s="99"/>
      <c r="Q1124" s="99"/>
      <c r="R1124" s="99"/>
      <c r="S1124" s="99"/>
      <c r="T1124" s="99"/>
    </row>
    <row r="1125" spans="2:20">
      <c r="B1125" s="75"/>
      <c r="C1125" s="75"/>
      <c r="D1125" s="75"/>
      <c r="E1125" s="75"/>
      <c r="F1125" s="117"/>
      <c r="G1125" s="73"/>
      <c r="H1125" s="74"/>
      <c r="I1125" s="121"/>
      <c r="J1125" s="121"/>
      <c r="K1125" s="121"/>
      <c r="L1125" s="121"/>
      <c r="M1125" s="121"/>
      <c r="N1125" s="99"/>
      <c r="O1125" s="99"/>
      <c r="P1125" s="99"/>
      <c r="Q1125" s="99"/>
      <c r="R1125" s="99"/>
      <c r="S1125" s="99"/>
      <c r="T1125" s="99"/>
    </row>
    <row r="1126" spans="2:20">
      <c r="B1126" s="75"/>
      <c r="C1126" s="75"/>
      <c r="D1126" s="75"/>
      <c r="E1126" s="75"/>
      <c r="F1126" s="117"/>
      <c r="G1126" s="73"/>
      <c r="H1126" s="74"/>
      <c r="I1126" s="121"/>
      <c r="J1126" s="121"/>
      <c r="K1126" s="121"/>
      <c r="L1126" s="121"/>
      <c r="M1126" s="121"/>
      <c r="N1126" s="99"/>
      <c r="O1126" s="99"/>
      <c r="P1126" s="99"/>
      <c r="Q1126" s="99"/>
      <c r="R1126" s="99"/>
      <c r="S1126" s="99"/>
      <c r="T1126" s="99"/>
    </row>
    <row r="1127" spans="2:20">
      <c r="B1127" s="75"/>
      <c r="C1127" s="75"/>
      <c r="D1127" s="75"/>
      <c r="E1127" s="75"/>
      <c r="F1127" s="117"/>
      <c r="G1127" s="73"/>
      <c r="H1127" s="74"/>
      <c r="I1127" s="121"/>
      <c r="J1127" s="121"/>
      <c r="K1127" s="121"/>
      <c r="L1127" s="121"/>
      <c r="M1127" s="121"/>
      <c r="N1127" s="99"/>
      <c r="O1127" s="99"/>
      <c r="P1127" s="99"/>
      <c r="Q1127" s="99"/>
      <c r="R1127" s="99"/>
      <c r="S1127" s="99"/>
      <c r="T1127" s="99"/>
    </row>
    <row r="1128" spans="2:20">
      <c r="B1128" s="75"/>
      <c r="C1128" s="75"/>
      <c r="D1128" s="75"/>
      <c r="E1128" s="75"/>
      <c r="F1128" s="73"/>
      <c r="G1128" s="73"/>
      <c r="H1128" s="74"/>
      <c r="I1128" s="121"/>
      <c r="J1128" s="121"/>
      <c r="K1128" s="121"/>
      <c r="L1128" s="121"/>
      <c r="M1128" s="121"/>
      <c r="N1128" s="99"/>
      <c r="O1128" s="99"/>
      <c r="P1128" s="99"/>
      <c r="Q1128" s="99"/>
      <c r="R1128" s="99"/>
      <c r="S1128" s="99"/>
      <c r="T1128" s="99"/>
    </row>
    <row r="1129" spans="2:20">
      <c r="B1129" s="75"/>
      <c r="C1129" s="75"/>
      <c r="D1129" s="75"/>
      <c r="E1129" s="75"/>
      <c r="F1129" s="73"/>
      <c r="G1129" s="73"/>
      <c r="H1129" s="74"/>
      <c r="I1129" s="121"/>
      <c r="J1129" s="121"/>
      <c r="K1129" s="121"/>
      <c r="L1129" s="121"/>
      <c r="M1129" s="121"/>
      <c r="N1129" s="99"/>
      <c r="O1129" s="99"/>
      <c r="P1129" s="99"/>
      <c r="Q1129" s="99"/>
      <c r="R1129" s="99"/>
      <c r="S1129" s="99"/>
      <c r="T1129" s="99"/>
    </row>
    <row r="1130" spans="2:20">
      <c r="B1130" s="75"/>
      <c r="C1130" s="75"/>
      <c r="D1130" s="75"/>
      <c r="E1130" s="75"/>
      <c r="F1130" s="73"/>
      <c r="G1130" s="73"/>
      <c r="H1130" s="74"/>
      <c r="I1130" s="121"/>
      <c r="J1130" s="121"/>
      <c r="K1130" s="121"/>
      <c r="L1130" s="121"/>
      <c r="M1130" s="121"/>
      <c r="N1130" s="99"/>
      <c r="O1130" s="99"/>
      <c r="P1130" s="99"/>
      <c r="Q1130" s="99"/>
      <c r="R1130" s="99"/>
      <c r="S1130" s="99"/>
      <c r="T1130" s="99"/>
    </row>
    <row r="1131" spans="2:20">
      <c r="B1131" s="75"/>
      <c r="C1131" s="75"/>
      <c r="D1131" s="75"/>
      <c r="E1131" s="75"/>
      <c r="F1131" s="73"/>
      <c r="G1131" s="73"/>
      <c r="H1131" s="74"/>
      <c r="I1131" s="121"/>
      <c r="J1131" s="121"/>
      <c r="K1131" s="121"/>
      <c r="L1131" s="121"/>
      <c r="M1131" s="121"/>
      <c r="N1131" s="99"/>
      <c r="O1131" s="99"/>
      <c r="P1131" s="99"/>
      <c r="Q1131" s="99"/>
      <c r="R1131" s="99"/>
      <c r="S1131" s="99"/>
      <c r="T1131" s="99"/>
    </row>
    <row r="1132" spans="2:20">
      <c r="B1132" s="75"/>
      <c r="C1132" s="75"/>
      <c r="D1132" s="75"/>
      <c r="E1132" s="75"/>
      <c r="F1132" s="73"/>
      <c r="G1132" s="73"/>
      <c r="H1132" s="74"/>
      <c r="I1132" s="121"/>
      <c r="J1132" s="121"/>
      <c r="K1132" s="121"/>
      <c r="L1132" s="121"/>
      <c r="M1132" s="121"/>
      <c r="N1132" s="99"/>
      <c r="O1132" s="99"/>
      <c r="P1132" s="99"/>
      <c r="Q1132" s="99"/>
      <c r="R1132" s="99"/>
      <c r="S1132" s="99"/>
      <c r="T1132" s="99"/>
    </row>
    <row r="1133" spans="2:20">
      <c r="B1133" s="75"/>
      <c r="C1133" s="75"/>
      <c r="D1133" s="75"/>
      <c r="E1133" s="75"/>
      <c r="F1133" s="73"/>
      <c r="G1133" s="73"/>
      <c r="H1133" s="74"/>
      <c r="I1133" s="121"/>
      <c r="J1133" s="121"/>
      <c r="K1133" s="121"/>
      <c r="L1133" s="121"/>
      <c r="M1133" s="121"/>
      <c r="N1133" s="99"/>
      <c r="O1133" s="99"/>
      <c r="P1133" s="99"/>
      <c r="Q1133" s="99"/>
      <c r="R1133" s="99"/>
      <c r="S1133" s="99"/>
      <c r="T1133" s="99"/>
    </row>
    <row r="1134" spans="2:20">
      <c r="B1134" s="75"/>
      <c r="C1134" s="75"/>
      <c r="D1134" s="75"/>
      <c r="E1134" s="75"/>
      <c r="F1134" s="73"/>
      <c r="G1134" s="73"/>
      <c r="H1134" s="74"/>
      <c r="I1134" s="121"/>
      <c r="J1134" s="121"/>
      <c r="K1134" s="121"/>
      <c r="L1134" s="121"/>
      <c r="M1134" s="121"/>
      <c r="N1134" s="99"/>
      <c r="O1134" s="99"/>
      <c r="P1134" s="99"/>
      <c r="Q1134" s="99"/>
      <c r="R1134" s="99"/>
      <c r="S1134" s="99"/>
      <c r="T1134" s="99"/>
    </row>
    <row r="1135" spans="2:20">
      <c r="B1135" s="75"/>
      <c r="C1135" s="75"/>
      <c r="D1135" s="75"/>
      <c r="E1135" s="75"/>
      <c r="F1135" s="73"/>
      <c r="G1135" s="73"/>
      <c r="H1135" s="74"/>
      <c r="I1135" s="121"/>
      <c r="J1135" s="121"/>
      <c r="K1135" s="121"/>
      <c r="L1135" s="121"/>
      <c r="M1135" s="121"/>
      <c r="N1135" s="99"/>
      <c r="O1135" s="99"/>
      <c r="P1135" s="99"/>
      <c r="Q1135" s="99"/>
      <c r="R1135" s="99"/>
      <c r="S1135" s="99"/>
      <c r="T1135" s="99"/>
    </row>
    <row r="1136" spans="2:20">
      <c r="B1136" s="75"/>
      <c r="C1136" s="75"/>
      <c r="D1136" s="75"/>
      <c r="E1136" s="75"/>
      <c r="F1136" s="73"/>
      <c r="G1136" s="73"/>
      <c r="H1136" s="74"/>
      <c r="I1136" s="121"/>
      <c r="J1136" s="121"/>
      <c r="K1136" s="121"/>
      <c r="L1136" s="121"/>
      <c r="M1136" s="121"/>
      <c r="N1136" s="99"/>
      <c r="O1136" s="99"/>
      <c r="P1136" s="99"/>
      <c r="Q1136" s="99"/>
      <c r="R1136" s="99"/>
      <c r="S1136" s="99"/>
      <c r="T1136" s="99"/>
    </row>
    <row r="1137" spans="2:20">
      <c r="B1137" s="75"/>
      <c r="C1137" s="75"/>
      <c r="D1137" s="75"/>
      <c r="E1137" s="75"/>
      <c r="F1137" s="73"/>
      <c r="G1137" s="73"/>
      <c r="H1137" s="74"/>
      <c r="I1137" s="121"/>
      <c r="J1137" s="121"/>
      <c r="K1137" s="121"/>
      <c r="L1137" s="121"/>
      <c r="M1137" s="121"/>
      <c r="N1137" s="99"/>
      <c r="O1137" s="99"/>
      <c r="P1137" s="99"/>
      <c r="Q1137" s="99"/>
      <c r="R1137" s="99"/>
      <c r="S1137" s="99"/>
      <c r="T1137" s="99"/>
    </row>
    <row r="1138" spans="2:20">
      <c r="B1138" s="75"/>
      <c r="C1138" s="75"/>
      <c r="D1138" s="75"/>
      <c r="E1138" s="75"/>
      <c r="F1138" s="73"/>
      <c r="G1138" s="73"/>
      <c r="H1138" s="74"/>
      <c r="I1138" s="121"/>
      <c r="J1138" s="121"/>
      <c r="K1138" s="121"/>
      <c r="L1138" s="121"/>
      <c r="M1138" s="121"/>
      <c r="N1138" s="99"/>
      <c r="O1138" s="99"/>
      <c r="P1138" s="99"/>
      <c r="Q1138" s="99"/>
      <c r="R1138" s="99"/>
      <c r="S1138" s="99"/>
      <c r="T1138" s="99"/>
    </row>
    <row r="1139" spans="2:20">
      <c r="B1139" s="75"/>
      <c r="C1139" s="75"/>
      <c r="D1139" s="75"/>
      <c r="E1139" s="75"/>
      <c r="F1139" s="73"/>
      <c r="G1139" s="73"/>
      <c r="H1139" s="74"/>
      <c r="I1139" s="121"/>
      <c r="J1139" s="121"/>
      <c r="K1139" s="121"/>
      <c r="L1139" s="121"/>
      <c r="M1139" s="121"/>
      <c r="N1139" s="99"/>
      <c r="O1139" s="99"/>
      <c r="P1139" s="99"/>
      <c r="Q1139" s="99"/>
      <c r="R1139" s="99"/>
      <c r="S1139" s="99"/>
      <c r="T1139" s="99"/>
    </row>
    <row r="1140" spans="2:20">
      <c r="B1140" s="75"/>
      <c r="C1140" s="75"/>
      <c r="D1140" s="75"/>
      <c r="E1140" s="75"/>
      <c r="F1140" s="73"/>
      <c r="G1140" s="73"/>
      <c r="H1140" s="74"/>
      <c r="I1140" s="121"/>
      <c r="J1140" s="121"/>
      <c r="K1140" s="121"/>
      <c r="L1140" s="121"/>
      <c r="M1140" s="121"/>
      <c r="N1140" s="99"/>
      <c r="O1140" s="99"/>
      <c r="P1140" s="99"/>
      <c r="Q1140" s="99"/>
      <c r="R1140" s="99"/>
      <c r="S1140" s="99"/>
      <c r="T1140" s="99"/>
    </row>
    <row r="1141" spans="2:20">
      <c r="B1141" s="75"/>
      <c r="C1141" s="75"/>
      <c r="D1141" s="75"/>
      <c r="E1141" s="75"/>
      <c r="F1141" s="73"/>
      <c r="G1141" s="73"/>
      <c r="H1141" s="74"/>
      <c r="I1141" s="121"/>
      <c r="J1141" s="121"/>
      <c r="K1141" s="121"/>
      <c r="L1141" s="121"/>
      <c r="M1141" s="121"/>
      <c r="N1141" s="99"/>
      <c r="O1141" s="99"/>
      <c r="P1141" s="99"/>
      <c r="Q1141" s="99"/>
      <c r="R1141" s="99"/>
      <c r="S1141" s="99"/>
      <c r="T1141" s="99"/>
    </row>
    <row r="1142" spans="2:20">
      <c r="B1142" s="75"/>
      <c r="C1142" s="75"/>
      <c r="D1142" s="75"/>
      <c r="E1142" s="75"/>
      <c r="F1142" s="73"/>
      <c r="G1142" s="73"/>
      <c r="H1142" s="74"/>
      <c r="I1142" s="121"/>
      <c r="J1142" s="121"/>
      <c r="K1142" s="121"/>
      <c r="L1142" s="121"/>
      <c r="M1142" s="121"/>
      <c r="N1142" s="99"/>
      <c r="O1142" s="99"/>
      <c r="P1142" s="99"/>
      <c r="Q1142" s="99"/>
      <c r="R1142" s="99"/>
      <c r="S1142" s="99"/>
      <c r="T1142" s="99"/>
    </row>
    <row r="1143" spans="2:20">
      <c r="B1143" s="75"/>
      <c r="C1143" s="75"/>
      <c r="D1143" s="75"/>
      <c r="E1143" s="75"/>
      <c r="F1143" s="73"/>
      <c r="G1143" s="73"/>
      <c r="H1143" s="74"/>
      <c r="I1143" s="121"/>
      <c r="J1143" s="121"/>
      <c r="K1143" s="121"/>
      <c r="L1143" s="121"/>
      <c r="M1143" s="121"/>
      <c r="N1143" s="99"/>
      <c r="O1143" s="99"/>
      <c r="P1143" s="99"/>
      <c r="Q1143" s="99"/>
      <c r="R1143" s="99"/>
      <c r="S1143" s="99"/>
      <c r="T1143" s="99"/>
    </row>
    <row r="1144" spans="2:20">
      <c r="B1144" s="75"/>
      <c r="C1144" s="75"/>
      <c r="D1144" s="75"/>
      <c r="E1144" s="75"/>
      <c r="F1144" s="73"/>
      <c r="G1144" s="73"/>
      <c r="H1144" s="74"/>
      <c r="I1144" s="121"/>
      <c r="J1144" s="121"/>
      <c r="K1144" s="121"/>
      <c r="L1144" s="121"/>
      <c r="M1144" s="121"/>
      <c r="N1144" s="99"/>
      <c r="O1144" s="99"/>
      <c r="P1144" s="99"/>
      <c r="Q1144" s="99"/>
      <c r="R1144" s="99"/>
      <c r="S1144" s="99"/>
      <c r="T1144" s="99"/>
    </row>
    <row r="1145" spans="2:20">
      <c r="B1145" s="75"/>
      <c r="C1145" s="75"/>
      <c r="D1145" s="75"/>
      <c r="E1145" s="75"/>
      <c r="F1145" s="73"/>
      <c r="G1145" s="73"/>
      <c r="H1145" s="74"/>
      <c r="I1145" s="121"/>
      <c r="J1145" s="121"/>
      <c r="K1145" s="121"/>
      <c r="L1145" s="121"/>
      <c r="M1145" s="121"/>
      <c r="N1145" s="99"/>
      <c r="O1145" s="99"/>
      <c r="P1145" s="99"/>
      <c r="Q1145" s="99"/>
      <c r="R1145" s="99"/>
      <c r="S1145" s="99"/>
      <c r="T1145" s="99"/>
    </row>
    <row r="1146" spans="2:20">
      <c r="B1146" s="75"/>
      <c r="C1146" s="75"/>
      <c r="D1146" s="75"/>
      <c r="E1146" s="75"/>
      <c r="F1146" s="73"/>
      <c r="G1146" s="73"/>
      <c r="H1146" s="74"/>
      <c r="I1146" s="121"/>
      <c r="J1146" s="121"/>
      <c r="K1146" s="121"/>
      <c r="L1146" s="121"/>
      <c r="M1146" s="121"/>
      <c r="N1146" s="99"/>
      <c r="O1146" s="99"/>
      <c r="P1146" s="99"/>
      <c r="Q1146" s="99"/>
      <c r="R1146" s="99"/>
      <c r="S1146" s="99"/>
      <c r="T1146" s="99"/>
    </row>
    <row r="1147" spans="2:20">
      <c r="B1147" s="75"/>
      <c r="C1147" s="75"/>
      <c r="D1147" s="75"/>
      <c r="E1147" s="75"/>
      <c r="F1147" s="73"/>
      <c r="G1147" s="73"/>
      <c r="H1147" s="74"/>
      <c r="I1147" s="121"/>
      <c r="J1147" s="121"/>
      <c r="K1147" s="121"/>
      <c r="L1147" s="121"/>
      <c r="M1147" s="121"/>
      <c r="N1147" s="99"/>
      <c r="O1147" s="99"/>
      <c r="P1147" s="99"/>
      <c r="Q1147" s="99"/>
      <c r="R1147" s="99"/>
      <c r="S1147" s="99"/>
      <c r="T1147" s="99"/>
    </row>
    <row r="1148" spans="2:20">
      <c r="B1148" s="75"/>
      <c r="C1148" s="75"/>
      <c r="D1148" s="75"/>
      <c r="E1148" s="75"/>
      <c r="F1148" s="73"/>
      <c r="G1148" s="73"/>
      <c r="H1148" s="74"/>
      <c r="I1148" s="121"/>
      <c r="J1148" s="121"/>
      <c r="K1148" s="121"/>
      <c r="L1148" s="121"/>
      <c r="M1148" s="121"/>
      <c r="N1148" s="99"/>
      <c r="O1148" s="99"/>
      <c r="P1148" s="99"/>
      <c r="Q1148" s="99"/>
      <c r="R1148" s="99"/>
      <c r="S1148" s="99"/>
      <c r="T1148" s="99"/>
    </row>
    <row r="1149" spans="2:20">
      <c r="B1149" s="75"/>
      <c r="C1149" s="75"/>
      <c r="D1149" s="75"/>
      <c r="E1149" s="75"/>
      <c r="F1149" s="73"/>
      <c r="G1149" s="73"/>
      <c r="H1149" s="74"/>
      <c r="I1149" s="121"/>
      <c r="J1149" s="121"/>
      <c r="K1149" s="121"/>
      <c r="L1149" s="121"/>
      <c r="M1149" s="121"/>
      <c r="N1149" s="99"/>
      <c r="O1149" s="99"/>
      <c r="P1149" s="99"/>
      <c r="Q1149" s="99"/>
      <c r="R1149" s="99"/>
      <c r="S1149" s="99"/>
      <c r="T1149" s="99"/>
    </row>
    <row r="1150" spans="2:20">
      <c r="B1150" s="75"/>
      <c r="C1150" s="75"/>
      <c r="D1150" s="75"/>
      <c r="E1150" s="75"/>
      <c r="F1150" s="73"/>
      <c r="G1150" s="73"/>
      <c r="H1150" s="74"/>
      <c r="I1150" s="121"/>
      <c r="J1150" s="121"/>
      <c r="K1150" s="121"/>
      <c r="L1150" s="121"/>
      <c r="M1150" s="121"/>
      <c r="N1150" s="99"/>
      <c r="O1150" s="99"/>
      <c r="P1150" s="99"/>
      <c r="Q1150" s="99"/>
      <c r="R1150" s="99"/>
      <c r="S1150" s="99"/>
      <c r="T1150" s="99"/>
    </row>
    <row r="1151" spans="2:20">
      <c r="B1151" s="75"/>
      <c r="C1151" s="75"/>
      <c r="D1151" s="75"/>
      <c r="E1151" s="75"/>
      <c r="F1151" s="73"/>
      <c r="G1151" s="73"/>
      <c r="H1151" s="74"/>
      <c r="I1151" s="121"/>
      <c r="J1151" s="121"/>
      <c r="K1151" s="121"/>
      <c r="L1151" s="121"/>
      <c r="M1151" s="121"/>
      <c r="N1151" s="99"/>
      <c r="O1151" s="99"/>
      <c r="P1151" s="99"/>
      <c r="Q1151" s="99"/>
      <c r="R1151" s="99"/>
      <c r="S1151" s="99"/>
      <c r="T1151" s="99"/>
    </row>
    <row r="1152" spans="2:20">
      <c r="B1152" s="75"/>
      <c r="C1152" s="75"/>
      <c r="D1152" s="75"/>
      <c r="E1152" s="75"/>
      <c r="F1152" s="73"/>
      <c r="G1152" s="73"/>
      <c r="H1152" s="74"/>
      <c r="I1152" s="121"/>
      <c r="J1152" s="121"/>
      <c r="K1152" s="121"/>
      <c r="L1152" s="121"/>
      <c r="M1152" s="121"/>
      <c r="N1152" s="99"/>
      <c r="O1152" s="99"/>
      <c r="P1152" s="99"/>
      <c r="Q1152" s="99"/>
      <c r="R1152" s="99"/>
      <c r="S1152" s="99"/>
      <c r="T1152" s="99"/>
    </row>
    <row r="1153" spans="2:20">
      <c r="B1153" s="75"/>
      <c r="C1153" s="75"/>
      <c r="D1153" s="75"/>
      <c r="E1153" s="75"/>
      <c r="F1153" s="73"/>
      <c r="G1153" s="73"/>
      <c r="H1153" s="74"/>
      <c r="I1153" s="121"/>
      <c r="J1153" s="121"/>
      <c r="K1153" s="121"/>
      <c r="L1153" s="121"/>
      <c r="M1153" s="121"/>
      <c r="N1153" s="99"/>
      <c r="O1153" s="99"/>
      <c r="P1153" s="99"/>
      <c r="Q1153" s="99"/>
      <c r="R1153" s="99"/>
      <c r="S1153" s="99"/>
      <c r="T1153" s="99"/>
    </row>
    <row r="1154" spans="2:20">
      <c r="B1154" s="75"/>
      <c r="C1154" s="75"/>
      <c r="D1154" s="75"/>
      <c r="E1154" s="75"/>
      <c r="F1154" s="73"/>
      <c r="G1154" s="73"/>
      <c r="H1154" s="74"/>
      <c r="I1154" s="121"/>
      <c r="J1154" s="121"/>
      <c r="K1154" s="121"/>
      <c r="L1154" s="121"/>
      <c r="M1154" s="121"/>
      <c r="N1154" s="99"/>
      <c r="O1154" s="99"/>
      <c r="P1154" s="99"/>
      <c r="Q1154" s="99"/>
      <c r="R1154" s="99"/>
      <c r="S1154" s="99"/>
      <c r="T1154" s="99"/>
    </row>
    <row r="1155" spans="2:20">
      <c r="B1155" s="75"/>
      <c r="C1155" s="75"/>
      <c r="D1155" s="75"/>
      <c r="E1155" s="75"/>
      <c r="F1155" s="73"/>
      <c r="G1155" s="73"/>
      <c r="H1155" s="74"/>
      <c r="I1155" s="121"/>
      <c r="J1155" s="121"/>
      <c r="K1155" s="121"/>
      <c r="L1155" s="121"/>
      <c r="M1155" s="121"/>
      <c r="N1155" s="99"/>
      <c r="O1155" s="99"/>
      <c r="P1155" s="99"/>
      <c r="Q1155" s="99"/>
      <c r="R1155" s="99"/>
      <c r="S1155" s="99"/>
      <c r="T1155" s="99"/>
    </row>
    <row r="1156" spans="2:20">
      <c r="B1156" s="75"/>
      <c r="C1156" s="75"/>
      <c r="D1156" s="75"/>
      <c r="E1156" s="75"/>
      <c r="F1156" s="73"/>
      <c r="G1156" s="73"/>
      <c r="H1156" s="74"/>
      <c r="I1156" s="121"/>
      <c r="J1156" s="121"/>
      <c r="K1156" s="121"/>
      <c r="L1156" s="121"/>
      <c r="M1156" s="121"/>
      <c r="N1156" s="99"/>
      <c r="O1156" s="99"/>
      <c r="P1156" s="99"/>
      <c r="Q1156" s="99"/>
      <c r="R1156" s="99"/>
      <c r="S1156" s="99"/>
      <c r="T1156" s="99"/>
    </row>
    <row r="1157" spans="2:20">
      <c r="B1157" s="75"/>
      <c r="C1157" s="75"/>
      <c r="D1157" s="75"/>
      <c r="E1157" s="75"/>
      <c r="F1157" s="73"/>
      <c r="G1157" s="73"/>
      <c r="H1157" s="74"/>
      <c r="I1157" s="121"/>
      <c r="J1157" s="121"/>
      <c r="K1157" s="121"/>
      <c r="L1157" s="121"/>
      <c r="M1157" s="121"/>
      <c r="N1157" s="99"/>
      <c r="O1157" s="99"/>
      <c r="P1157" s="99"/>
      <c r="Q1157" s="99"/>
      <c r="R1157" s="99"/>
      <c r="S1157" s="99"/>
      <c r="T1157" s="99"/>
    </row>
    <row r="1158" spans="2:20">
      <c r="B1158" s="75"/>
      <c r="C1158" s="75"/>
      <c r="D1158" s="75"/>
      <c r="E1158" s="75"/>
      <c r="F1158" s="73"/>
      <c r="G1158" s="73"/>
      <c r="H1158" s="74"/>
      <c r="I1158" s="121"/>
      <c r="J1158" s="121"/>
      <c r="K1158" s="121"/>
      <c r="L1158" s="121"/>
      <c r="M1158" s="121"/>
      <c r="N1158" s="99"/>
      <c r="O1158" s="99"/>
      <c r="P1158" s="99"/>
      <c r="Q1158" s="99"/>
      <c r="R1158" s="99"/>
      <c r="S1158" s="99"/>
      <c r="T1158" s="99"/>
    </row>
    <row r="1159" spans="2:20">
      <c r="B1159" s="75"/>
      <c r="C1159" s="75"/>
      <c r="D1159" s="75"/>
      <c r="E1159" s="75"/>
      <c r="F1159" s="73"/>
      <c r="G1159" s="73"/>
      <c r="H1159" s="74"/>
      <c r="I1159" s="121"/>
      <c r="J1159" s="121"/>
      <c r="K1159" s="121"/>
      <c r="L1159" s="121"/>
      <c r="M1159" s="121"/>
      <c r="N1159" s="99"/>
      <c r="O1159" s="99"/>
      <c r="P1159" s="99"/>
      <c r="Q1159" s="99"/>
      <c r="R1159" s="99"/>
      <c r="S1159" s="99"/>
      <c r="T1159" s="99"/>
    </row>
    <row r="1160" spans="2:20">
      <c r="B1160" s="75"/>
      <c r="C1160" s="75"/>
      <c r="D1160" s="75"/>
      <c r="E1160" s="75"/>
      <c r="F1160" s="73"/>
      <c r="G1160" s="73"/>
      <c r="H1160" s="74"/>
      <c r="I1160" s="121"/>
      <c r="J1160" s="121"/>
      <c r="K1160" s="121"/>
      <c r="L1160" s="121"/>
      <c r="M1160" s="121"/>
      <c r="N1160" s="99"/>
      <c r="O1160" s="99"/>
      <c r="P1160" s="99"/>
      <c r="Q1160" s="99"/>
      <c r="R1160" s="99"/>
      <c r="S1160" s="99"/>
      <c r="T1160" s="99"/>
    </row>
    <row r="1161" spans="2:20">
      <c r="B1161" s="75"/>
      <c r="C1161" s="75"/>
      <c r="D1161" s="75"/>
      <c r="E1161" s="75"/>
      <c r="F1161" s="73"/>
      <c r="G1161" s="73"/>
      <c r="H1161" s="74"/>
      <c r="I1161" s="121"/>
      <c r="J1161" s="121"/>
      <c r="K1161" s="121"/>
      <c r="L1161" s="121"/>
      <c r="M1161" s="121"/>
      <c r="N1161" s="99"/>
      <c r="O1161" s="99"/>
      <c r="P1161" s="99"/>
      <c r="Q1161" s="99"/>
      <c r="R1161" s="99"/>
      <c r="S1161" s="99"/>
      <c r="T1161" s="99"/>
    </row>
    <row r="1162" spans="2:20">
      <c r="B1162" s="75"/>
      <c r="C1162" s="75"/>
      <c r="D1162" s="75"/>
      <c r="E1162" s="75"/>
      <c r="F1162" s="73"/>
      <c r="G1162" s="73"/>
      <c r="H1162" s="74"/>
      <c r="I1162" s="121"/>
      <c r="J1162" s="121"/>
      <c r="K1162" s="121"/>
      <c r="L1162" s="121"/>
      <c r="M1162" s="121"/>
      <c r="N1162" s="99"/>
      <c r="O1162" s="99"/>
      <c r="P1162" s="99"/>
      <c r="Q1162" s="99"/>
      <c r="R1162" s="99"/>
      <c r="S1162" s="99"/>
      <c r="T1162" s="99"/>
    </row>
    <row r="1163" spans="2:20">
      <c r="B1163" s="75"/>
      <c r="C1163" s="75"/>
      <c r="D1163" s="75"/>
      <c r="E1163" s="75"/>
      <c r="F1163" s="73"/>
      <c r="G1163" s="73"/>
      <c r="H1163" s="74"/>
      <c r="I1163" s="121"/>
      <c r="J1163" s="121"/>
      <c r="K1163" s="121"/>
      <c r="L1163" s="121"/>
      <c r="M1163" s="121"/>
      <c r="N1163" s="99"/>
      <c r="O1163" s="99"/>
      <c r="P1163" s="99"/>
      <c r="Q1163" s="99"/>
      <c r="R1163" s="99"/>
      <c r="S1163" s="99"/>
      <c r="T1163" s="99"/>
    </row>
    <row r="1164" spans="2:20">
      <c r="B1164" s="75"/>
      <c r="C1164" s="75"/>
      <c r="D1164" s="75"/>
      <c r="E1164" s="75"/>
      <c r="F1164" s="73"/>
      <c r="G1164" s="73"/>
      <c r="H1164" s="74"/>
      <c r="I1164" s="121"/>
      <c r="J1164" s="121"/>
      <c r="K1164" s="121"/>
      <c r="L1164" s="121"/>
      <c r="M1164" s="121"/>
      <c r="N1164" s="99"/>
      <c r="O1164" s="99"/>
      <c r="P1164" s="99"/>
      <c r="Q1164" s="99"/>
      <c r="R1164" s="99"/>
      <c r="S1164" s="99"/>
      <c r="T1164" s="99"/>
    </row>
    <row r="1165" spans="2:20">
      <c r="B1165" s="75"/>
      <c r="C1165" s="75"/>
      <c r="D1165" s="75"/>
      <c r="E1165" s="75"/>
      <c r="F1165" s="73"/>
      <c r="G1165" s="73"/>
      <c r="H1165" s="74"/>
      <c r="I1165" s="121"/>
      <c r="J1165" s="121"/>
      <c r="K1165" s="121"/>
      <c r="L1165" s="121"/>
      <c r="M1165" s="121"/>
      <c r="N1165" s="99"/>
      <c r="O1165" s="99"/>
      <c r="P1165" s="99"/>
      <c r="Q1165" s="99"/>
      <c r="R1165" s="99"/>
      <c r="S1165" s="99"/>
      <c r="T1165" s="99"/>
    </row>
    <row r="1166" spans="2:20">
      <c r="B1166" s="75"/>
      <c r="C1166" s="75"/>
      <c r="D1166" s="75"/>
      <c r="E1166" s="75"/>
      <c r="F1166" s="73"/>
      <c r="G1166" s="73"/>
      <c r="H1166" s="74"/>
      <c r="I1166" s="121"/>
      <c r="J1166" s="121"/>
      <c r="K1166" s="121"/>
      <c r="L1166" s="121"/>
      <c r="M1166" s="121"/>
      <c r="N1166" s="99"/>
      <c r="O1166" s="99"/>
      <c r="P1166" s="99"/>
      <c r="Q1166" s="99"/>
      <c r="R1166" s="99"/>
      <c r="S1166" s="99"/>
      <c r="T1166" s="99"/>
    </row>
    <row r="1167" spans="2:20">
      <c r="B1167" s="75"/>
      <c r="C1167" s="75"/>
      <c r="D1167" s="75"/>
      <c r="E1167" s="75"/>
      <c r="F1167" s="73"/>
      <c r="G1167" s="73"/>
      <c r="H1167" s="74"/>
      <c r="I1167" s="121"/>
      <c r="J1167" s="121"/>
      <c r="K1167" s="121"/>
      <c r="L1167" s="121"/>
      <c r="M1167" s="121"/>
      <c r="N1167" s="99"/>
      <c r="O1167" s="99"/>
      <c r="P1167" s="99"/>
      <c r="Q1167" s="99"/>
      <c r="R1167" s="99"/>
      <c r="S1167" s="99"/>
      <c r="T1167" s="99"/>
    </row>
    <row r="1168" spans="2:20">
      <c r="B1168" s="75"/>
      <c r="C1168" s="75"/>
      <c r="D1168" s="75"/>
      <c r="E1168" s="75"/>
      <c r="F1168" s="73"/>
      <c r="G1168" s="73"/>
      <c r="H1168" s="74"/>
      <c r="I1168" s="121"/>
      <c r="J1168" s="121"/>
      <c r="K1168" s="121"/>
      <c r="L1168" s="121"/>
      <c r="M1168" s="121"/>
      <c r="N1168" s="99"/>
      <c r="O1168" s="99"/>
      <c r="P1168" s="99"/>
      <c r="Q1168" s="99"/>
      <c r="R1168" s="99"/>
      <c r="S1168" s="99"/>
      <c r="T1168" s="99"/>
    </row>
    <row r="1169" spans="2:20">
      <c r="B1169" s="75"/>
      <c r="C1169" s="75"/>
      <c r="D1169" s="75"/>
      <c r="E1169" s="75"/>
      <c r="F1169" s="73"/>
      <c r="G1169" s="73"/>
      <c r="H1169" s="74"/>
      <c r="I1169" s="121"/>
      <c r="J1169" s="121"/>
      <c r="K1169" s="121"/>
      <c r="L1169" s="121"/>
      <c r="M1169" s="121"/>
      <c r="N1169" s="99"/>
      <c r="O1169" s="99"/>
      <c r="P1169" s="99"/>
      <c r="Q1169" s="99"/>
      <c r="R1169" s="99"/>
      <c r="S1169" s="99"/>
      <c r="T1169" s="99"/>
    </row>
    <row r="1170" spans="2:20">
      <c r="B1170" s="75"/>
      <c r="C1170" s="75"/>
      <c r="D1170" s="75"/>
      <c r="E1170" s="75"/>
      <c r="F1170" s="73"/>
      <c r="G1170" s="73"/>
      <c r="H1170" s="74"/>
      <c r="I1170" s="121"/>
      <c r="J1170" s="121"/>
      <c r="K1170" s="121"/>
      <c r="L1170" s="121"/>
      <c r="M1170" s="121"/>
      <c r="N1170" s="99"/>
      <c r="O1170" s="99"/>
      <c r="P1170" s="99"/>
      <c r="Q1170" s="99"/>
      <c r="R1170" s="99"/>
      <c r="S1170" s="99"/>
      <c r="T1170" s="99"/>
    </row>
    <row r="1171" spans="2:20">
      <c r="B1171" s="75"/>
      <c r="C1171" s="75"/>
      <c r="D1171" s="75"/>
      <c r="E1171" s="75"/>
      <c r="F1171" s="73"/>
      <c r="G1171" s="73"/>
      <c r="H1171" s="74"/>
      <c r="I1171" s="121"/>
      <c r="J1171" s="121"/>
      <c r="K1171" s="121"/>
      <c r="L1171" s="121"/>
      <c r="M1171" s="121"/>
      <c r="N1171" s="99"/>
      <c r="O1171" s="99"/>
      <c r="P1171" s="99"/>
      <c r="Q1171" s="99"/>
      <c r="R1171" s="99"/>
      <c r="S1171" s="99"/>
      <c r="T1171" s="99"/>
    </row>
    <row r="1172" spans="2:20">
      <c r="B1172" s="75"/>
      <c r="C1172" s="75"/>
      <c r="D1172" s="75"/>
      <c r="E1172" s="75"/>
      <c r="F1172" s="73"/>
      <c r="G1172" s="73"/>
      <c r="H1172" s="74"/>
      <c r="I1172" s="121"/>
      <c r="J1172" s="121"/>
      <c r="K1172" s="121"/>
      <c r="L1172" s="121"/>
      <c r="M1172" s="121"/>
      <c r="N1172" s="99"/>
      <c r="O1172" s="99"/>
      <c r="P1172" s="99"/>
      <c r="Q1172" s="99"/>
      <c r="R1172" s="99"/>
      <c r="S1172" s="99"/>
      <c r="T1172" s="99"/>
    </row>
    <row r="1173" spans="2:20">
      <c r="B1173" s="75"/>
      <c r="C1173" s="75"/>
      <c r="D1173" s="75"/>
      <c r="E1173" s="75"/>
      <c r="F1173" s="73"/>
      <c r="G1173" s="73"/>
      <c r="H1173" s="74"/>
      <c r="I1173" s="121"/>
      <c r="J1173" s="121"/>
      <c r="K1173" s="121"/>
      <c r="L1173" s="121"/>
      <c r="M1173" s="121"/>
      <c r="N1173" s="99"/>
      <c r="O1173" s="99"/>
      <c r="P1173" s="99"/>
      <c r="Q1173" s="99"/>
      <c r="R1173" s="99"/>
      <c r="S1173" s="99"/>
      <c r="T1173" s="99"/>
    </row>
    <row r="1174" spans="2:20">
      <c r="B1174" s="75"/>
      <c r="C1174" s="75"/>
      <c r="D1174" s="75"/>
      <c r="E1174" s="75"/>
      <c r="F1174" s="73"/>
      <c r="G1174" s="73"/>
      <c r="H1174" s="74"/>
      <c r="I1174" s="121"/>
      <c r="J1174" s="121"/>
      <c r="K1174" s="121"/>
      <c r="L1174" s="121"/>
      <c r="M1174" s="121"/>
      <c r="N1174" s="99"/>
      <c r="O1174" s="99"/>
      <c r="P1174" s="99"/>
      <c r="Q1174" s="99"/>
      <c r="R1174" s="99"/>
      <c r="S1174" s="99"/>
      <c r="T1174" s="99"/>
    </row>
    <row r="1175" spans="2:20">
      <c r="B1175" s="75"/>
      <c r="C1175" s="75"/>
      <c r="D1175" s="75"/>
      <c r="E1175" s="75"/>
      <c r="F1175" s="73"/>
      <c r="G1175" s="73"/>
      <c r="H1175" s="74"/>
      <c r="I1175" s="121"/>
      <c r="J1175" s="121"/>
      <c r="K1175" s="121"/>
      <c r="L1175" s="121"/>
      <c r="M1175" s="121"/>
      <c r="N1175" s="99"/>
      <c r="O1175" s="99"/>
      <c r="P1175" s="99"/>
      <c r="Q1175" s="99"/>
      <c r="R1175" s="99"/>
      <c r="S1175" s="99"/>
      <c r="T1175" s="99"/>
    </row>
    <row r="1176" spans="2:20">
      <c r="B1176" s="75"/>
      <c r="C1176" s="75"/>
      <c r="D1176" s="75"/>
      <c r="E1176" s="75"/>
      <c r="F1176" s="73"/>
      <c r="G1176" s="73"/>
      <c r="H1176" s="74"/>
      <c r="I1176" s="121"/>
      <c r="J1176" s="121"/>
      <c r="K1176" s="121"/>
      <c r="L1176" s="121"/>
      <c r="M1176" s="121"/>
      <c r="N1176" s="99"/>
      <c r="O1176" s="99"/>
      <c r="P1176" s="99"/>
      <c r="Q1176" s="99"/>
      <c r="R1176" s="99"/>
      <c r="S1176" s="99"/>
      <c r="T1176" s="99"/>
    </row>
    <row r="1177" spans="2:20">
      <c r="B1177" s="75"/>
      <c r="C1177" s="75"/>
      <c r="D1177" s="75"/>
      <c r="E1177" s="75"/>
      <c r="F1177" s="73"/>
      <c r="G1177" s="73"/>
      <c r="H1177" s="74"/>
      <c r="I1177" s="121"/>
      <c r="J1177" s="121"/>
      <c r="K1177" s="121"/>
      <c r="L1177" s="121"/>
      <c r="M1177" s="121"/>
      <c r="N1177" s="99"/>
      <c r="O1177" s="99"/>
      <c r="P1177" s="99"/>
      <c r="Q1177" s="99"/>
      <c r="R1177" s="99"/>
      <c r="S1177" s="99"/>
      <c r="T1177" s="99"/>
    </row>
    <row r="1178" spans="2:20">
      <c r="B1178" s="75"/>
      <c r="C1178" s="75"/>
      <c r="D1178" s="75"/>
      <c r="E1178" s="75"/>
      <c r="F1178" s="73"/>
      <c r="G1178" s="73"/>
      <c r="H1178" s="74"/>
      <c r="I1178" s="121"/>
      <c r="J1178" s="121"/>
      <c r="K1178" s="121"/>
      <c r="L1178" s="121"/>
      <c r="M1178" s="121"/>
      <c r="N1178" s="99"/>
      <c r="O1178" s="99"/>
      <c r="P1178" s="99"/>
      <c r="Q1178" s="99"/>
      <c r="R1178" s="99"/>
      <c r="S1178" s="99"/>
      <c r="T1178" s="99"/>
    </row>
    <row r="1179" spans="2:20">
      <c r="B1179" s="75"/>
      <c r="C1179" s="75"/>
      <c r="D1179" s="75"/>
      <c r="E1179" s="75"/>
      <c r="F1179" s="73"/>
      <c r="G1179" s="73"/>
      <c r="H1179" s="74"/>
      <c r="I1179" s="121"/>
      <c r="J1179" s="121"/>
      <c r="K1179" s="121"/>
      <c r="L1179" s="121"/>
      <c r="M1179" s="121"/>
      <c r="N1179" s="99"/>
      <c r="O1179" s="99"/>
      <c r="P1179" s="99"/>
      <c r="Q1179" s="99"/>
      <c r="R1179" s="99"/>
      <c r="S1179" s="99"/>
      <c r="T1179" s="99"/>
    </row>
    <row r="1180" spans="2:20">
      <c r="B1180" s="75"/>
      <c r="C1180" s="75"/>
      <c r="D1180" s="75"/>
      <c r="E1180" s="75"/>
      <c r="F1180" s="73"/>
      <c r="G1180" s="73"/>
      <c r="H1180" s="74"/>
      <c r="I1180" s="121"/>
      <c r="J1180" s="121"/>
      <c r="K1180" s="121"/>
      <c r="L1180" s="121"/>
      <c r="M1180" s="121"/>
      <c r="N1180" s="99"/>
      <c r="O1180" s="99"/>
      <c r="P1180" s="99"/>
      <c r="Q1180" s="99"/>
      <c r="R1180" s="99"/>
      <c r="S1180" s="99"/>
      <c r="T1180" s="99"/>
    </row>
    <row r="1181" spans="2:20">
      <c r="B1181" s="75"/>
      <c r="C1181" s="75"/>
      <c r="D1181" s="75"/>
      <c r="E1181" s="75"/>
      <c r="F1181" s="73"/>
      <c r="G1181" s="73"/>
      <c r="H1181" s="74"/>
      <c r="I1181" s="121"/>
      <c r="J1181" s="121"/>
      <c r="K1181" s="121"/>
      <c r="L1181" s="121"/>
      <c r="M1181" s="121"/>
      <c r="N1181" s="99"/>
      <c r="O1181" s="99"/>
      <c r="P1181" s="99"/>
      <c r="Q1181" s="99"/>
      <c r="R1181" s="99"/>
      <c r="S1181" s="99"/>
      <c r="T1181" s="99"/>
    </row>
    <row r="1182" spans="2:20">
      <c r="B1182" s="75"/>
      <c r="C1182" s="75"/>
      <c r="D1182" s="75"/>
      <c r="E1182" s="75"/>
      <c r="F1182" s="73"/>
      <c r="G1182" s="73"/>
      <c r="H1182" s="74"/>
      <c r="I1182" s="121"/>
      <c r="J1182" s="121"/>
      <c r="K1182" s="121"/>
      <c r="L1182" s="121"/>
      <c r="M1182" s="121"/>
      <c r="N1182" s="99"/>
      <c r="O1182" s="99"/>
      <c r="P1182" s="99"/>
      <c r="Q1182" s="99"/>
      <c r="R1182" s="99"/>
      <c r="S1182" s="99"/>
      <c r="T1182" s="99"/>
    </row>
    <row r="1183" spans="2:20">
      <c r="B1183" s="75"/>
      <c r="C1183" s="75"/>
      <c r="D1183" s="75"/>
      <c r="E1183" s="75"/>
      <c r="F1183" s="73"/>
      <c r="G1183" s="73"/>
      <c r="H1183" s="74"/>
      <c r="I1183" s="121"/>
      <c r="J1183" s="121"/>
      <c r="K1183" s="121"/>
      <c r="L1183" s="121"/>
      <c r="M1183" s="121"/>
      <c r="N1183" s="99"/>
      <c r="O1183" s="99"/>
      <c r="P1183" s="99"/>
      <c r="Q1183" s="99"/>
      <c r="R1183" s="99"/>
      <c r="S1183" s="99"/>
      <c r="T1183" s="99"/>
    </row>
    <row r="1184" spans="2:20">
      <c r="B1184" s="75"/>
      <c r="C1184" s="75"/>
      <c r="D1184" s="75"/>
      <c r="E1184" s="75"/>
      <c r="F1184" s="73"/>
      <c r="G1184" s="73"/>
      <c r="H1184" s="74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</row>
    <row r="1185" spans="2:20">
      <c r="B1185" s="75"/>
      <c r="C1185" s="75"/>
      <c r="D1185" s="75"/>
      <c r="E1185" s="75"/>
      <c r="F1185" s="73"/>
      <c r="G1185" s="73"/>
      <c r="H1185" s="74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</row>
    <row r="1186" spans="2:20">
      <c r="B1186" s="75"/>
      <c r="C1186" s="75"/>
      <c r="D1186" s="75"/>
      <c r="E1186" s="75"/>
      <c r="F1186" s="73"/>
      <c r="G1186" s="73"/>
      <c r="H1186" s="74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</row>
    <row r="1187" spans="2:20">
      <c r="B1187" s="75"/>
      <c r="C1187" s="75"/>
      <c r="D1187" s="75"/>
      <c r="E1187" s="75"/>
      <c r="F1187" s="73"/>
      <c r="G1187" s="73"/>
      <c r="H1187" s="74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</row>
    <row r="1188" spans="2:20">
      <c r="B1188" s="75"/>
      <c r="C1188" s="75"/>
      <c r="D1188" s="75"/>
      <c r="E1188" s="75"/>
      <c r="F1188" s="73"/>
      <c r="G1188" s="73"/>
      <c r="H1188" s="74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</row>
    <row r="1189" spans="2:20">
      <c r="B1189" s="75"/>
      <c r="C1189" s="75"/>
      <c r="D1189" s="75"/>
      <c r="E1189" s="75"/>
      <c r="F1189" s="73"/>
      <c r="G1189" s="73"/>
      <c r="H1189" s="74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</row>
    <row r="1190" spans="2:20">
      <c r="B1190" s="75"/>
      <c r="C1190" s="75"/>
      <c r="D1190" s="75"/>
      <c r="E1190" s="75"/>
      <c r="F1190" s="73"/>
      <c r="G1190" s="73"/>
      <c r="H1190" s="74"/>
      <c r="I1190" s="78"/>
      <c r="J1190" s="78"/>
      <c r="K1190" s="159"/>
      <c r="L1190" s="159"/>
      <c r="M1190" s="78"/>
      <c r="N1190" s="78"/>
      <c r="O1190" s="78"/>
      <c r="P1190" s="78"/>
      <c r="Q1190" s="78"/>
      <c r="R1190" s="78"/>
      <c r="S1190" s="78"/>
      <c r="T1190" s="159"/>
    </row>
    <row r="1191" spans="2:20">
      <c r="H1191" s="74" t="s">
        <v>406</v>
      </c>
      <c r="I1191" s="78">
        <v>164.93190000000001</v>
      </c>
      <c r="J1191" s="78">
        <v>754.33484999999996</v>
      </c>
      <c r="K1191" s="159">
        <v>-26.078699999999998</v>
      </c>
      <c r="L1191" s="159">
        <v>353.47163</v>
      </c>
      <c r="M1191" s="78">
        <v>4057.6103650000005</v>
      </c>
      <c r="N1191" s="78">
        <v>2474.6410779999997</v>
      </c>
      <c r="O1191" s="78">
        <v>458.02</v>
      </c>
      <c r="P1191" s="78">
        <v>2130.8807959999999</v>
      </c>
      <c r="Q1191" s="78">
        <v>1975.7148000000002</v>
      </c>
      <c r="R1191" s="78">
        <v>1333.28</v>
      </c>
      <c r="S1191" s="78">
        <v>1510.58</v>
      </c>
      <c r="T1191" s="159">
        <v>4021.4717511725371</v>
      </c>
    </row>
    <row r="1192" spans="2:20">
      <c r="H1192" s="74" t="s">
        <v>356</v>
      </c>
      <c r="I1192" s="78">
        <f>+SUM(DataOB[Jan-24])</f>
        <v>164.93190000000001</v>
      </c>
      <c r="J1192" s="78">
        <f>+SUM(DataOB[Feb-24])</f>
        <v>754.33484999999996</v>
      </c>
      <c r="K1192" s="78">
        <f>+SUM(DataOB[Mar-24])</f>
        <v>-26.078699999999998</v>
      </c>
      <c r="L1192" s="78">
        <f>+SUM(DataOB[Apr-24])</f>
        <v>1058.8250399999999</v>
      </c>
      <c r="M1192" s="78">
        <f>+SUM(DataOB[May-24])</f>
        <v>1637.3506999999997</v>
      </c>
      <c r="N1192" s="78">
        <f>+SUM(DataOB[Jun-24])</f>
        <v>116.27346999999999</v>
      </c>
      <c r="O1192" s="78">
        <f>+SUM(DataOB[Jul-24])</f>
        <v>3435.8683400000004</v>
      </c>
      <c r="P1192" s="78">
        <f>+SUM(DataOB[Aug-24])</f>
        <v>418.906206</v>
      </c>
      <c r="Q1192" s="78">
        <f>+SUM(DataOB[Sep-24])</f>
        <v>798.08989000000008</v>
      </c>
      <c r="R1192" s="78">
        <f>+SUM(DataOB[Oct-24])</f>
        <v>1865.5398899999998</v>
      </c>
      <c r="S1192" s="78">
        <f>+SUBTOTAL(9,DataOB[Nov-24])</f>
        <v>1980.7398900000001</v>
      </c>
      <c r="T1192" s="78">
        <f>+SUM(DataOB[Dec-24])</f>
        <v>3757.3245921725365</v>
      </c>
    </row>
    <row r="1193" spans="2:20">
      <c r="H1193" s="74"/>
      <c r="I1193" s="78">
        <f t="shared" ref="I1193:S1193" si="0">I1191-I1192</f>
        <v>0</v>
      </c>
      <c r="J1193" s="78">
        <f t="shared" si="0"/>
        <v>0</v>
      </c>
      <c r="K1193" s="78">
        <f t="shared" si="0"/>
        <v>0</v>
      </c>
      <c r="L1193" s="78">
        <f t="shared" si="0"/>
        <v>-705.35340999999994</v>
      </c>
      <c r="M1193" s="78">
        <f t="shared" si="0"/>
        <v>2420.2596650000005</v>
      </c>
      <c r="N1193" s="78">
        <f t="shared" si="0"/>
        <v>2358.3676079999996</v>
      </c>
      <c r="O1193" s="78">
        <f t="shared" si="0"/>
        <v>-2977.8483400000005</v>
      </c>
      <c r="P1193" s="78">
        <f t="shared" si="0"/>
        <v>1711.9745899999998</v>
      </c>
      <c r="Q1193" s="78">
        <f t="shared" si="0"/>
        <v>1177.62491</v>
      </c>
      <c r="R1193" s="78">
        <f t="shared" si="0"/>
        <v>-532.25988999999981</v>
      </c>
      <c r="S1193" s="78">
        <f t="shared" si="0"/>
        <v>-470.15989000000013</v>
      </c>
      <c r="T1193" s="78">
        <f t="shared" ref="T1193" si="1">T1191-T1192</f>
        <v>264.14715900000056</v>
      </c>
    </row>
    <row r="1194" spans="2:20">
      <c r="H1194" s="74"/>
      <c r="I1194" s="94"/>
      <c r="J1194" s="94"/>
      <c r="K1194" s="94"/>
      <c r="L1194" s="94"/>
      <c r="M1194" s="94"/>
      <c r="N1194" s="94"/>
      <c r="O1194" s="94"/>
      <c r="P1194" s="94"/>
      <c r="Q1194" s="94"/>
      <c r="R1194" s="94"/>
      <c r="S1194" s="94"/>
      <c r="T1194" s="94"/>
    </row>
    <row r="1195" spans="2:20">
      <c r="H1195" s="74"/>
    </row>
    <row r="1196" spans="2:20">
      <c r="H1196" s="74"/>
    </row>
    <row r="1197" spans="2:20">
      <c r="H1197" s="74"/>
    </row>
    <row r="1198" spans="2:20">
      <c r="H1198" s="74"/>
    </row>
    <row r="1199" spans="2:20">
      <c r="H1199" s="74"/>
    </row>
    <row r="1200" spans="2:20">
      <c r="H1200" s="74"/>
    </row>
    <row r="1201" spans="8:8">
      <c r="H1201" s="74"/>
    </row>
    <row r="1202" spans="8:8">
      <c r="H1202" s="74"/>
    </row>
    <row r="1203" spans="8:8">
      <c r="H1203" s="74"/>
    </row>
    <row r="1204" spans="8:8">
      <c r="H1204" s="74"/>
    </row>
    <row r="1205" spans="8:8">
      <c r="H1205" s="74"/>
    </row>
    <row r="1206" spans="8:8">
      <c r="H1206" s="74"/>
    </row>
    <row r="1207" spans="8:8">
      <c r="H1207" s="74"/>
    </row>
    <row r="1208" spans="8:8">
      <c r="H1208" s="74"/>
    </row>
    <row r="1209" spans="8:8">
      <c r="H1209" s="74"/>
    </row>
    <row r="1210" spans="8:8">
      <c r="H1210" s="74"/>
    </row>
    <row r="1211" spans="8:8">
      <c r="H1211" s="74"/>
    </row>
    <row r="1212" spans="8:8">
      <c r="H1212" s="74"/>
    </row>
    <row r="1213" spans="8:8">
      <c r="H1213" s="74"/>
    </row>
    <row r="1214" spans="8:8">
      <c r="H1214" s="74"/>
    </row>
    <row r="1215" spans="8:8">
      <c r="H1215" s="74"/>
    </row>
    <row r="1216" spans="8:8">
      <c r="H1216" s="74"/>
    </row>
    <row r="1217" spans="8:8">
      <c r="H1217" s="74"/>
    </row>
    <row r="1218" spans="8:8">
      <c r="H1218" s="74"/>
    </row>
    <row r="1219" spans="8:8">
      <c r="H1219" s="74"/>
    </row>
    <row r="1220" spans="8:8">
      <c r="H1220" s="74"/>
    </row>
    <row r="1221" spans="8:8">
      <c r="H1221" s="74"/>
    </row>
    <row r="1222" spans="8:8">
      <c r="H1222" s="74"/>
    </row>
    <row r="1223" spans="8:8">
      <c r="H1223" s="74"/>
    </row>
    <row r="1224" spans="8:8">
      <c r="H1224" s="74"/>
    </row>
    <row r="1225" spans="8:8">
      <c r="H1225" s="74"/>
    </row>
    <row r="1226" spans="8:8">
      <c r="H1226" s="74"/>
    </row>
    <row r="1227" spans="8:8">
      <c r="H1227" s="74"/>
    </row>
    <row r="1228" spans="8:8">
      <c r="H1228" s="74"/>
    </row>
    <row r="1229" spans="8:8">
      <c r="H1229" s="74"/>
    </row>
    <row r="1230" spans="8:8">
      <c r="H1230" s="74"/>
    </row>
    <row r="1231" spans="8:8">
      <c r="H1231" s="74"/>
    </row>
    <row r="1232" spans="8:8">
      <c r="H1232" s="74"/>
    </row>
    <row r="1233" spans="8:8">
      <c r="H1233" s="74"/>
    </row>
    <row r="1234" spans="8:8">
      <c r="H1234" s="74"/>
    </row>
    <row r="1235" spans="8:8">
      <c r="H1235" s="74"/>
    </row>
    <row r="1236" spans="8:8">
      <c r="H1236" s="74"/>
    </row>
    <row r="1237" spans="8:8">
      <c r="H1237" s="74"/>
    </row>
    <row r="1238" spans="8:8">
      <c r="H1238" s="74"/>
    </row>
    <row r="1239" spans="8:8">
      <c r="H1239" s="74"/>
    </row>
    <row r="1240" spans="8:8">
      <c r="H1240" s="74"/>
    </row>
    <row r="1241" spans="8:8">
      <c r="H1241" s="74"/>
    </row>
    <row r="1242" spans="8:8">
      <c r="H1242" s="74"/>
    </row>
    <row r="1243" spans="8:8">
      <c r="H1243" s="74"/>
    </row>
    <row r="1244" spans="8:8">
      <c r="H1244" s="74"/>
    </row>
    <row r="1245" spans="8:8">
      <c r="H1245" s="74"/>
    </row>
    <row r="1246" spans="8:8">
      <c r="H1246" s="74"/>
    </row>
    <row r="1247" spans="8:8">
      <c r="H1247" s="74"/>
    </row>
    <row r="1248" spans="8:8">
      <c r="H1248" s="74"/>
    </row>
    <row r="1249" spans="8:8">
      <c r="H1249" s="74"/>
    </row>
    <row r="1250" spans="8:8">
      <c r="H1250" s="74"/>
    </row>
    <row r="1251" spans="8:8">
      <c r="H1251" s="74"/>
    </row>
    <row r="1252" spans="8:8">
      <c r="H1252" s="74"/>
    </row>
    <row r="1253" spans="8:8">
      <c r="H1253" s="74"/>
    </row>
    <row r="1254" spans="8:8">
      <c r="H1254" s="74"/>
    </row>
    <row r="1255" spans="8:8">
      <c r="H1255" s="74"/>
    </row>
    <row r="1256" spans="8:8">
      <c r="H1256" s="74"/>
    </row>
    <row r="1257" spans="8:8">
      <c r="H1257" s="74"/>
    </row>
    <row r="1258" spans="8:8">
      <c r="H1258" s="74"/>
    </row>
    <row r="1259" spans="8:8">
      <c r="H1259" s="74"/>
    </row>
    <row r="1260" spans="8:8">
      <c r="H1260" s="74"/>
    </row>
    <row r="1261" spans="8:8">
      <c r="H1261" s="74"/>
    </row>
    <row r="1262" spans="8:8">
      <c r="H1262" s="74"/>
    </row>
    <row r="1263" spans="8:8">
      <c r="H1263" s="74"/>
    </row>
    <row r="1264" spans="8:8">
      <c r="H1264" s="74"/>
    </row>
    <row r="1265" spans="8:8">
      <c r="H1265" s="74"/>
    </row>
    <row r="1266" spans="8:8">
      <c r="H1266" s="74"/>
    </row>
    <row r="1267" spans="8:8">
      <c r="H1267" s="74"/>
    </row>
    <row r="1268" spans="8:8">
      <c r="H1268" s="74"/>
    </row>
    <row r="1269" spans="8:8">
      <c r="H1269" s="74"/>
    </row>
    <row r="1270" spans="8:8">
      <c r="H1270" s="74"/>
    </row>
    <row r="1271" spans="8:8">
      <c r="H1271" s="74"/>
    </row>
    <row r="1272" spans="8:8">
      <c r="H1272" s="74"/>
    </row>
    <row r="1273" spans="8:8">
      <c r="H1273" s="74"/>
    </row>
    <row r="1274" spans="8:8">
      <c r="H1274" s="74"/>
    </row>
    <row r="1275" spans="8:8">
      <c r="H1275" s="74"/>
    </row>
    <row r="1276" spans="8:8">
      <c r="H1276" s="74"/>
    </row>
    <row r="1277" spans="8:8">
      <c r="H1277" s="74"/>
    </row>
    <row r="1278" spans="8:8">
      <c r="H1278" s="74"/>
    </row>
    <row r="1279" spans="8:8">
      <c r="H1279" s="74"/>
    </row>
    <row r="1280" spans="8:8">
      <c r="H1280" s="74"/>
    </row>
    <row r="1281" spans="8:8">
      <c r="H1281" s="74"/>
    </row>
    <row r="1282" spans="8:8">
      <c r="H1282" s="74"/>
    </row>
    <row r="1283" spans="8:8">
      <c r="H1283" s="74"/>
    </row>
    <row r="1284" spans="8:8">
      <c r="H1284" s="74"/>
    </row>
    <row r="1285" spans="8:8">
      <c r="H1285" s="74"/>
    </row>
    <row r="1286" spans="8:8">
      <c r="H1286" s="74"/>
    </row>
    <row r="1287" spans="8:8">
      <c r="H1287" s="74"/>
    </row>
    <row r="1288" spans="8:8">
      <c r="H1288" s="74"/>
    </row>
    <row r="1289" spans="8:8">
      <c r="H1289" s="74"/>
    </row>
    <row r="1290" spans="8:8">
      <c r="H1290" s="74"/>
    </row>
    <row r="1291" spans="8:8">
      <c r="H1291" s="74"/>
    </row>
    <row r="1292" spans="8:8">
      <c r="H1292" s="74"/>
    </row>
    <row r="1293" spans="8:8">
      <c r="H1293" s="74"/>
    </row>
    <row r="1294" spans="8:8">
      <c r="H1294" s="74"/>
    </row>
    <row r="1295" spans="8:8">
      <c r="H1295" s="74"/>
    </row>
    <row r="1296" spans="8:8">
      <c r="H1296" s="74"/>
    </row>
    <row r="1297" spans="8:8">
      <c r="H1297" s="74"/>
    </row>
    <row r="1298" spans="8:8">
      <c r="H1298" s="74"/>
    </row>
    <row r="1299" spans="8:8">
      <c r="H1299" s="74"/>
    </row>
    <row r="1300" spans="8:8">
      <c r="H1300" s="74"/>
    </row>
    <row r="1301" spans="8:8">
      <c r="H1301" s="74"/>
    </row>
    <row r="1302" spans="8:8">
      <c r="H1302" s="74"/>
    </row>
    <row r="1303" spans="8:8">
      <c r="H1303" s="74"/>
    </row>
    <row r="1304" spans="8:8">
      <c r="H1304" s="74"/>
    </row>
    <row r="1305" spans="8:8">
      <c r="H1305" s="74"/>
    </row>
    <row r="1306" spans="8:8">
      <c r="H1306" s="74"/>
    </row>
    <row r="1307" spans="8:8">
      <c r="H1307" s="74"/>
    </row>
    <row r="1308" spans="8:8">
      <c r="H1308" s="74"/>
    </row>
    <row r="1309" spans="8:8">
      <c r="H1309" s="74"/>
    </row>
    <row r="1310" spans="8:8">
      <c r="H1310" s="74"/>
    </row>
    <row r="1311" spans="8:8">
      <c r="H1311" s="74"/>
    </row>
    <row r="1312" spans="8:8">
      <c r="H1312" s="74"/>
    </row>
    <row r="1313" spans="8:8">
      <c r="H1313" s="74"/>
    </row>
    <row r="1314" spans="8:8">
      <c r="H1314" s="74"/>
    </row>
    <row r="1315" spans="8:8">
      <c r="H1315" s="74"/>
    </row>
    <row r="1316" spans="8:8">
      <c r="H1316" s="74"/>
    </row>
    <row r="1317" spans="8:8">
      <c r="H1317" s="74"/>
    </row>
    <row r="1318" spans="8:8">
      <c r="H1318" s="74"/>
    </row>
    <row r="1319" spans="8:8">
      <c r="H1319" s="74"/>
    </row>
    <row r="1320" spans="8:8">
      <c r="H1320" s="74"/>
    </row>
    <row r="1321" spans="8:8">
      <c r="H1321" s="74"/>
    </row>
    <row r="1322" spans="8:8">
      <c r="H1322" s="74"/>
    </row>
    <row r="1323" spans="8:8">
      <c r="H1323" s="74"/>
    </row>
    <row r="1324" spans="8:8">
      <c r="H1324" s="74"/>
    </row>
    <row r="1325" spans="8:8">
      <c r="H1325" s="74"/>
    </row>
    <row r="1326" spans="8:8">
      <c r="H1326" s="74"/>
    </row>
    <row r="1327" spans="8:8">
      <c r="H1327" s="74"/>
    </row>
    <row r="1328" spans="8:8">
      <c r="H1328" s="74"/>
    </row>
    <row r="1329" spans="8:8">
      <c r="H1329" s="74"/>
    </row>
    <row r="1330" spans="8:8">
      <c r="H1330" s="74"/>
    </row>
    <row r="1331" spans="8:8">
      <c r="H1331" s="74"/>
    </row>
    <row r="1332" spans="8:8">
      <c r="H1332" s="74"/>
    </row>
    <row r="1333" spans="8:8">
      <c r="H1333" s="74"/>
    </row>
    <row r="1334" spans="8:8">
      <c r="H1334" s="74"/>
    </row>
    <row r="1335" spans="8:8">
      <c r="H1335" s="74"/>
    </row>
    <row r="1336" spans="8:8">
      <c r="H1336" s="74"/>
    </row>
    <row r="1337" spans="8:8">
      <c r="H1337" s="74"/>
    </row>
    <row r="1338" spans="8:8">
      <c r="H1338" s="74"/>
    </row>
    <row r="1339" spans="8:8">
      <c r="H1339" s="74"/>
    </row>
    <row r="1340" spans="8:8">
      <c r="H1340" s="74"/>
    </row>
    <row r="1341" spans="8:8">
      <c r="H1341" s="74"/>
    </row>
    <row r="1342" spans="8:8">
      <c r="H1342" s="74"/>
    </row>
    <row r="1343" spans="8:8">
      <c r="H1343" s="74"/>
    </row>
    <row r="1344" spans="8:8">
      <c r="H1344" s="74"/>
    </row>
    <row r="1345" spans="8:8">
      <c r="H1345" s="74"/>
    </row>
    <row r="1346" spans="8:8">
      <c r="H1346" s="74"/>
    </row>
    <row r="1347" spans="8:8">
      <c r="H1347" s="74"/>
    </row>
    <row r="1348" spans="8:8">
      <c r="H1348" s="74"/>
    </row>
    <row r="1349" spans="8:8">
      <c r="H1349" s="74"/>
    </row>
    <row r="1350" spans="8:8">
      <c r="H1350" s="74"/>
    </row>
    <row r="1351" spans="8:8">
      <c r="H1351" s="74"/>
    </row>
    <row r="1352" spans="8:8">
      <c r="H1352" s="74"/>
    </row>
    <row r="1353" spans="8:8">
      <c r="H1353" s="74"/>
    </row>
    <row r="1354" spans="8:8">
      <c r="H1354" s="74"/>
    </row>
    <row r="1355" spans="8:8">
      <c r="H1355" s="74"/>
    </row>
    <row r="1356" spans="8:8">
      <c r="H1356" s="74"/>
    </row>
    <row r="1357" spans="8:8">
      <c r="H1357" s="74"/>
    </row>
    <row r="1358" spans="8:8">
      <c r="H1358" s="74"/>
    </row>
    <row r="1359" spans="8:8">
      <c r="H1359" s="74"/>
    </row>
    <row r="1360" spans="8:8">
      <c r="H1360" s="74"/>
    </row>
    <row r="1361" spans="8:8">
      <c r="H1361" s="74"/>
    </row>
    <row r="1362" spans="8:8">
      <c r="H1362" s="74"/>
    </row>
    <row r="1363" spans="8:8">
      <c r="H1363" s="74"/>
    </row>
    <row r="1364" spans="8:8">
      <c r="H1364" s="74"/>
    </row>
    <row r="1365" spans="8:8">
      <c r="H1365" s="74"/>
    </row>
    <row r="1366" spans="8:8">
      <c r="H1366" s="74"/>
    </row>
    <row r="1367" spans="8:8">
      <c r="H1367" s="74"/>
    </row>
    <row r="1368" spans="8:8">
      <c r="H1368" s="74"/>
    </row>
    <row r="1369" spans="8:8">
      <c r="H1369" s="74"/>
    </row>
    <row r="1370" spans="8:8">
      <c r="H1370" s="74"/>
    </row>
    <row r="1371" spans="8:8">
      <c r="H1371" s="74"/>
    </row>
    <row r="1372" spans="8:8">
      <c r="H1372" s="74"/>
    </row>
    <row r="1373" spans="8:8">
      <c r="H1373" s="74"/>
    </row>
    <row r="1374" spans="8:8">
      <c r="H1374" s="74"/>
    </row>
    <row r="1375" spans="8:8">
      <c r="H1375" s="74"/>
    </row>
    <row r="1376" spans="8:8">
      <c r="H1376" s="74"/>
    </row>
    <row r="1377" spans="8:8">
      <c r="H1377" s="74"/>
    </row>
    <row r="1378" spans="8:8">
      <c r="H1378" s="74"/>
    </row>
    <row r="1379" spans="8:8">
      <c r="H1379" s="74"/>
    </row>
    <row r="1380" spans="8:8">
      <c r="H1380" s="74"/>
    </row>
    <row r="1381" spans="8:8">
      <c r="H1381" s="74"/>
    </row>
    <row r="1382" spans="8:8">
      <c r="H1382" s="74"/>
    </row>
    <row r="1383" spans="8:8">
      <c r="H1383" s="74"/>
    </row>
    <row r="1384" spans="8:8">
      <c r="H1384" s="74"/>
    </row>
    <row r="1385" spans="8:8">
      <c r="H1385" s="74"/>
    </row>
    <row r="1386" spans="8:8">
      <c r="H1386" s="74"/>
    </row>
    <row r="1387" spans="8:8">
      <c r="H1387" s="74"/>
    </row>
    <row r="1388" spans="8:8">
      <c r="H1388" s="74"/>
    </row>
    <row r="1389" spans="8:8">
      <c r="H1389" s="74"/>
    </row>
    <row r="1390" spans="8:8">
      <c r="H1390" s="74"/>
    </row>
    <row r="1391" spans="8:8">
      <c r="H1391" s="74"/>
    </row>
    <row r="1392" spans="8:8">
      <c r="H1392" s="74"/>
    </row>
    <row r="1393" spans="8:8">
      <c r="H1393" s="74"/>
    </row>
    <row r="1394" spans="8:8">
      <c r="H1394" s="74"/>
    </row>
    <row r="1395" spans="8:8">
      <c r="H1395" s="74"/>
    </row>
    <row r="1396" spans="8:8">
      <c r="H1396" s="74"/>
    </row>
    <row r="1397" spans="8:8">
      <c r="H1397" s="74"/>
    </row>
    <row r="1398" spans="8:8">
      <c r="H1398" s="74"/>
    </row>
    <row r="1399" spans="8:8">
      <c r="H1399" s="74"/>
    </row>
    <row r="1400" spans="8:8">
      <c r="H1400" s="74"/>
    </row>
    <row r="1401" spans="8:8">
      <c r="H1401" s="74"/>
    </row>
    <row r="1402" spans="8:8">
      <c r="H1402" s="74"/>
    </row>
    <row r="1403" spans="8:8">
      <c r="H1403" s="74"/>
    </row>
    <row r="1404" spans="8:8">
      <c r="H1404" s="74"/>
    </row>
    <row r="1405" spans="8:8">
      <c r="H1405" s="74"/>
    </row>
    <row r="1406" spans="8:8">
      <c r="H1406" s="74"/>
    </row>
    <row r="1407" spans="8:8">
      <c r="H1407" s="74"/>
    </row>
    <row r="1408" spans="8:8">
      <c r="H1408" s="74"/>
    </row>
    <row r="1409" spans="8:8">
      <c r="H1409" s="74"/>
    </row>
    <row r="1410" spans="8:8">
      <c r="H1410" s="74"/>
    </row>
    <row r="1411" spans="8:8">
      <c r="H1411" s="74"/>
    </row>
    <row r="1412" spans="8:8">
      <c r="H1412" s="74"/>
    </row>
    <row r="1413" spans="8:8">
      <c r="H1413" s="74"/>
    </row>
    <row r="1414" spans="8:8">
      <c r="H1414" s="74"/>
    </row>
    <row r="1415" spans="8:8">
      <c r="H1415" s="74"/>
    </row>
    <row r="1416" spans="8:8">
      <c r="H1416" s="74"/>
    </row>
    <row r="1417" spans="8:8">
      <c r="H1417" s="74"/>
    </row>
    <row r="1418" spans="8:8">
      <c r="H1418" s="74"/>
    </row>
    <row r="1419" spans="8:8">
      <c r="H1419" s="74"/>
    </row>
    <row r="1420" spans="8:8">
      <c r="H1420" s="74"/>
    </row>
    <row r="1421" spans="8:8">
      <c r="H1421" s="74"/>
    </row>
    <row r="1422" spans="8:8">
      <c r="H1422" s="74"/>
    </row>
    <row r="1423" spans="8:8">
      <c r="H1423" s="74"/>
    </row>
    <row r="1424" spans="8:8">
      <c r="H1424" s="74"/>
    </row>
    <row r="1425" spans="8:8">
      <c r="H1425" s="74"/>
    </row>
    <row r="1426" spans="8:8">
      <c r="H1426" s="74"/>
    </row>
    <row r="1427" spans="8:8">
      <c r="H1427" s="74"/>
    </row>
    <row r="1428" spans="8:8">
      <c r="H1428" s="74"/>
    </row>
    <row r="1429" spans="8:8">
      <c r="H1429" s="74"/>
    </row>
    <row r="1430" spans="8:8">
      <c r="H1430" s="74"/>
    </row>
    <row r="1431" spans="8:8">
      <c r="H1431" s="74"/>
    </row>
    <row r="1432" spans="8:8">
      <c r="H1432" s="74"/>
    </row>
    <row r="1433" spans="8:8">
      <c r="H1433" s="74"/>
    </row>
    <row r="1434" spans="8:8">
      <c r="H1434" s="74"/>
    </row>
    <row r="1435" spans="8:8">
      <c r="H1435" s="74"/>
    </row>
    <row r="1436" spans="8:8">
      <c r="H1436" s="74"/>
    </row>
    <row r="1437" spans="8:8">
      <c r="H1437" s="74"/>
    </row>
    <row r="1438" spans="8:8">
      <c r="H1438" s="74"/>
    </row>
    <row r="1439" spans="8:8">
      <c r="H1439" s="74"/>
    </row>
    <row r="1440" spans="8:8">
      <c r="H1440" s="74"/>
    </row>
    <row r="1441" spans="8:8">
      <c r="H1441" s="74"/>
    </row>
    <row r="1442" spans="8:8">
      <c r="H1442" s="74"/>
    </row>
    <row r="1443" spans="8:8">
      <c r="H1443" s="74"/>
    </row>
    <row r="1444" spans="8:8">
      <c r="H1444" s="74"/>
    </row>
    <row r="1445" spans="8:8">
      <c r="H1445" s="74"/>
    </row>
    <row r="1446" spans="8:8">
      <c r="H1446" s="74"/>
    </row>
    <row r="1447" spans="8:8">
      <c r="H1447" s="74"/>
    </row>
    <row r="1448" spans="8:8">
      <c r="H1448" s="74"/>
    </row>
    <row r="1449" spans="8:8">
      <c r="H1449" s="74"/>
    </row>
    <row r="1450" spans="8:8">
      <c r="H1450" s="74"/>
    </row>
    <row r="1451" spans="8:8">
      <c r="H1451" s="74"/>
    </row>
    <row r="1452" spans="8:8">
      <c r="H1452" s="74"/>
    </row>
    <row r="1453" spans="8:8">
      <c r="H1453" s="74"/>
    </row>
    <row r="1454" spans="8:8">
      <c r="H1454" s="74"/>
    </row>
    <row r="1455" spans="8:8">
      <c r="H1455" s="74"/>
    </row>
    <row r="1456" spans="8:8">
      <c r="H1456" s="74"/>
    </row>
    <row r="1457" spans="8:8">
      <c r="H1457" s="74"/>
    </row>
    <row r="1458" spans="8:8">
      <c r="H1458" s="74"/>
    </row>
    <row r="1459" spans="8:8">
      <c r="H1459" s="74"/>
    </row>
    <row r="1460" spans="8:8">
      <c r="H1460" s="74"/>
    </row>
    <row r="1461" spans="8:8">
      <c r="H1461" s="74"/>
    </row>
    <row r="1462" spans="8:8">
      <c r="H1462" s="74"/>
    </row>
    <row r="1463" spans="8:8">
      <c r="H1463" s="74"/>
    </row>
    <row r="1464" spans="8:8">
      <c r="H1464" s="74"/>
    </row>
    <row r="1465" spans="8:8">
      <c r="H1465" s="74"/>
    </row>
    <row r="1466" spans="8:8">
      <c r="H1466" s="74"/>
    </row>
    <row r="1467" spans="8:8">
      <c r="H1467" s="74"/>
    </row>
    <row r="1468" spans="8:8">
      <c r="H1468" s="74"/>
    </row>
    <row r="1469" spans="8:8">
      <c r="H1469" s="74"/>
    </row>
    <row r="1470" spans="8:8">
      <c r="H1470" s="74"/>
    </row>
    <row r="1471" spans="8:8">
      <c r="H1471" s="74"/>
    </row>
    <row r="1472" spans="8:8">
      <c r="H1472" s="74"/>
    </row>
    <row r="1473" spans="8:8">
      <c r="H1473" s="74"/>
    </row>
    <row r="1474" spans="8:8">
      <c r="H1474" s="74"/>
    </row>
    <row r="1475" spans="8:8">
      <c r="H1475" s="74"/>
    </row>
    <row r="1476" spans="8:8">
      <c r="H1476" s="74"/>
    </row>
    <row r="1477" spans="8:8">
      <c r="H1477" s="74"/>
    </row>
    <row r="1478" spans="8:8">
      <c r="H1478" s="74"/>
    </row>
    <row r="1479" spans="8:8">
      <c r="H1479" s="74"/>
    </row>
    <row r="1480" spans="8:8">
      <c r="H1480" s="74"/>
    </row>
    <row r="1481" spans="8:8">
      <c r="H1481" s="74"/>
    </row>
    <row r="1482" spans="8:8">
      <c r="H1482" s="74"/>
    </row>
    <row r="1483" spans="8:8">
      <c r="H1483" s="74"/>
    </row>
    <row r="1484" spans="8:8">
      <c r="H1484" s="74"/>
    </row>
    <row r="1485" spans="8:8">
      <c r="H1485" s="74"/>
    </row>
    <row r="1486" spans="8:8">
      <c r="H1486" s="74"/>
    </row>
    <row r="1487" spans="8:8">
      <c r="H1487" s="74"/>
    </row>
    <row r="1488" spans="8:8">
      <c r="H1488" s="74"/>
    </row>
    <row r="1489" spans="8:8">
      <c r="H1489" s="74"/>
    </row>
    <row r="1490" spans="8:8">
      <c r="H1490" s="74"/>
    </row>
    <row r="1491" spans="8:8">
      <c r="H1491" s="74"/>
    </row>
    <row r="1492" spans="8:8">
      <c r="H1492" s="74"/>
    </row>
    <row r="1493" spans="8:8">
      <c r="H1493" s="74"/>
    </row>
    <row r="1494" spans="8:8">
      <c r="H1494" s="74"/>
    </row>
    <row r="1495" spans="8:8">
      <c r="H1495" s="74"/>
    </row>
    <row r="1496" spans="8:8">
      <c r="H1496" s="74"/>
    </row>
    <row r="1497" spans="8:8">
      <c r="H1497" s="74"/>
    </row>
    <row r="1498" spans="8:8">
      <c r="H1498" s="74"/>
    </row>
    <row r="1499" spans="8:8">
      <c r="H1499" s="74"/>
    </row>
    <row r="1500" spans="8:8">
      <c r="H1500" s="74"/>
    </row>
    <row r="1501" spans="8:8">
      <c r="H1501" s="74"/>
    </row>
    <row r="1502" spans="8:8">
      <c r="H1502" s="74"/>
    </row>
    <row r="1503" spans="8:8">
      <c r="H1503" s="74"/>
    </row>
    <row r="1504" spans="8:8">
      <c r="H1504" s="74"/>
    </row>
    <row r="1505" spans="8:8">
      <c r="H1505" s="74"/>
    </row>
    <row r="1506" spans="8:8">
      <c r="H1506" s="74"/>
    </row>
    <row r="1507" spans="8:8">
      <c r="H1507" s="74"/>
    </row>
    <row r="1508" spans="8:8">
      <c r="H1508" s="74"/>
    </row>
    <row r="1509" spans="8:8">
      <c r="H1509" s="74"/>
    </row>
    <row r="1510" spans="8:8">
      <c r="H1510" s="74"/>
    </row>
    <row r="1511" spans="8:8">
      <c r="H1511" s="74"/>
    </row>
    <row r="1512" spans="8:8">
      <c r="H1512" s="74"/>
    </row>
    <row r="1513" spans="8:8">
      <c r="H1513" s="74"/>
    </row>
    <row r="1514" spans="8:8">
      <c r="H1514" s="74"/>
    </row>
    <row r="1515" spans="8:8">
      <c r="H1515" s="74"/>
    </row>
    <row r="1516" spans="8:8">
      <c r="H1516" s="74"/>
    </row>
    <row r="1517" spans="8:8">
      <c r="H1517" s="74"/>
    </row>
    <row r="1518" spans="8:8">
      <c r="H1518" s="74"/>
    </row>
    <row r="1519" spans="8:8">
      <c r="H1519" s="74"/>
    </row>
    <row r="1520" spans="8:8">
      <c r="H1520" s="74"/>
    </row>
    <row r="1521" spans="8:8">
      <c r="H1521" s="74"/>
    </row>
    <row r="1522" spans="8:8">
      <c r="H1522" s="74"/>
    </row>
    <row r="1523" spans="8:8">
      <c r="H1523" s="74"/>
    </row>
    <row r="1524" spans="8:8">
      <c r="H1524" s="74"/>
    </row>
    <row r="1525" spans="8:8">
      <c r="H1525" s="74"/>
    </row>
    <row r="1526" spans="8:8">
      <c r="H1526" s="74"/>
    </row>
    <row r="1527" spans="8:8">
      <c r="H1527" s="74"/>
    </row>
    <row r="1528" spans="8:8">
      <c r="H1528" s="74"/>
    </row>
    <row r="1529" spans="8:8">
      <c r="H1529" s="74"/>
    </row>
    <row r="1530" spans="8:8">
      <c r="H1530" s="74"/>
    </row>
    <row r="1531" spans="8:8">
      <c r="H1531" s="74"/>
    </row>
    <row r="1532" spans="8:8">
      <c r="H1532" s="74"/>
    </row>
    <row r="1533" spans="8:8">
      <c r="H1533" s="74"/>
    </row>
    <row r="1534" spans="8:8">
      <c r="H1534" s="74"/>
    </row>
    <row r="1535" spans="8:8">
      <c r="H1535" s="74"/>
    </row>
    <row r="1536" spans="8:8">
      <c r="H1536" s="74"/>
    </row>
    <row r="1537" spans="8:8">
      <c r="H1537" s="74"/>
    </row>
    <row r="1538" spans="8:8">
      <c r="H1538" s="74"/>
    </row>
    <row r="1539" spans="8:8">
      <c r="H1539" s="74"/>
    </row>
    <row r="1540" spans="8:8">
      <c r="H1540" s="74"/>
    </row>
    <row r="1541" spans="8:8">
      <c r="H1541" s="74"/>
    </row>
    <row r="1542" spans="8:8">
      <c r="H1542" s="74"/>
    </row>
    <row r="1543" spans="8:8">
      <c r="H1543" s="74"/>
    </row>
    <row r="1544" spans="8:8">
      <c r="H1544" s="74"/>
    </row>
    <row r="1545" spans="8:8">
      <c r="H1545" s="74"/>
    </row>
    <row r="1546" spans="8:8">
      <c r="H1546" s="74"/>
    </row>
    <row r="1547" spans="8:8">
      <c r="H1547" s="74"/>
    </row>
    <row r="1548" spans="8:8">
      <c r="H1548" s="74"/>
    </row>
    <row r="1549" spans="8:8">
      <c r="H1549" s="74"/>
    </row>
    <row r="1550" spans="8:8">
      <c r="H1550" s="74"/>
    </row>
    <row r="1551" spans="8:8">
      <c r="H1551" s="74"/>
    </row>
    <row r="1552" spans="8:8">
      <c r="H1552" s="74"/>
    </row>
    <row r="1553" spans="8:8">
      <c r="H1553" s="74"/>
    </row>
    <row r="1554" spans="8:8">
      <c r="H1554" s="74"/>
    </row>
    <row r="1555" spans="8:8">
      <c r="H1555" s="74"/>
    </row>
    <row r="1556" spans="8:8">
      <c r="H1556" s="74"/>
    </row>
    <row r="1557" spans="8:8">
      <c r="H1557" s="74"/>
    </row>
    <row r="1558" spans="8:8">
      <c r="H1558" s="74"/>
    </row>
    <row r="1559" spans="8:8">
      <c r="H1559" s="74"/>
    </row>
    <row r="1560" spans="8:8">
      <c r="H1560" s="74"/>
    </row>
    <row r="1561" spans="8:8">
      <c r="H1561" s="74"/>
    </row>
    <row r="1562" spans="8:8">
      <c r="H1562" s="74"/>
    </row>
    <row r="1563" spans="8:8">
      <c r="H1563" s="74"/>
    </row>
    <row r="1564" spans="8:8">
      <c r="H1564" s="74"/>
    </row>
    <row r="1565" spans="8:8">
      <c r="H1565" s="74"/>
    </row>
    <row r="1566" spans="8:8">
      <c r="H1566" s="74"/>
    </row>
    <row r="1567" spans="8:8">
      <c r="H1567" s="74"/>
    </row>
    <row r="1568" spans="8:8">
      <c r="H1568" s="74"/>
    </row>
    <row r="1569" spans="8:8">
      <c r="H1569" s="74"/>
    </row>
    <row r="1570" spans="8:8">
      <c r="H1570" s="74"/>
    </row>
    <row r="1571" spans="8:8">
      <c r="H1571" s="74"/>
    </row>
    <row r="1572" spans="8:8">
      <c r="H1572" s="74"/>
    </row>
    <row r="1573" spans="8:8">
      <c r="H1573" s="74"/>
    </row>
    <row r="1574" spans="8:8">
      <c r="H1574" s="74"/>
    </row>
    <row r="1575" spans="8:8">
      <c r="H1575" s="74"/>
    </row>
    <row r="1576" spans="8:8">
      <c r="H1576" s="74"/>
    </row>
    <row r="1577" spans="8:8">
      <c r="H1577" s="74"/>
    </row>
    <row r="1578" spans="8:8">
      <c r="H1578" s="74"/>
    </row>
    <row r="1579" spans="8:8">
      <c r="H1579" s="74"/>
    </row>
    <row r="1580" spans="8:8">
      <c r="H1580" s="74"/>
    </row>
    <row r="1581" spans="8:8">
      <c r="H1581" s="74"/>
    </row>
    <row r="1582" spans="8:8">
      <c r="H1582" s="74"/>
    </row>
    <row r="1583" spans="8:8">
      <c r="H1583" s="74"/>
    </row>
    <row r="1584" spans="8:8">
      <c r="H1584" s="74"/>
    </row>
    <row r="1585" spans="8:8">
      <c r="H1585" s="74"/>
    </row>
    <row r="1586" spans="8:8">
      <c r="H1586" s="74"/>
    </row>
    <row r="1587" spans="8:8">
      <c r="H1587" s="74"/>
    </row>
    <row r="1588" spans="8:8">
      <c r="H1588" s="74"/>
    </row>
    <row r="1589" spans="8:8">
      <c r="H1589" s="74"/>
    </row>
    <row r="1590" spans="8:8">
      <c r="H1590" s="74"/>
    </row>
    <row r="1591" spans="8:8">
      <c r="H1591" s="74"/>
    </row>
    <row r="1592" spans="8:8">
      <c r="H1592" s="74"/>
    </row>
    <row r="1593" spans="8:8">
      <c r="H1593" s="74"/>
    </row>
    <row r="1594" spans="8:8">
      <c r="H1594" s="74"/>
    </row>
    <row r="1595" spans="8:8">
      <c r="H1595" s="74"/>
    </row>
    <row r="1596" spans="8:8">
      <c r="H1596" s="74"/>
    </row>
    <row r="1597" spans="8:8">
      <c r="H1597" s="74"/>
    </row>
    <row r="1598" spans="8:8">
      <c r="H1598" s="74"/>
    </row>
    <row r="1599" spans="8:8">
      <c r="H1599" s="74"/>
    </row>
    <row r="1600" spans="8:8">
      <c r="H1600" s="74"/>
    </row>
    <row r="1601" spans="8:8">
      <c r="H1601" s="74"/>
    </row>
    <row r="1602" spans="8:8">
      <c r="H1602" s="74"/>
    </row>
    <row r="1603" spans="8:8">
      <c r="H1603" s="74"/>
    </row>
    <row r="1604" spans="8:8">
      <c r="H1604" s="74"/>
    </row>
    <row r="1605" spans="8:8">
      <c r="H1605" s="74"/>
    </row>
    <row r="1606" spans="8:8">
      <c r="H1606" s="74"/>
    </row>
    <row r="1607" spans="8:8">
      <c r="H1607" s="74"/>
    </row>
    <row r="1608" spans="8:8">
      <c r="H1608" s="74"/>
    </row>
    <row r="1609" spans="8:8">
      <c r="H1609" s="74"/>
    </row>
    <row r="1610" spans="8:8">
      <c r="H1610" s="74"/>
    </row>
    <row r="1611" spans="8:8">
      <c r="H1611" s="74"/>
    </row>
    <row r="1612" spans="8:8">
      <c r="H1612" s="74"/>
    </row>
    <row r="1613" spans="8:8">
      <c r="H1613" s="74"/>
    </row>
    <row r="1614" spans="8:8">
      <c r="H1614" s="74"/>
    </row>
    <row r="1615" spans="8:8">
      <c r="H1615" s="74"/>
    </row>
    <row r="1616" spans="8:8">
      <c r="H1616" s="74"/>
    </row>
    <row r="1617" spans="8:8">
      <c r="H1617" s="74"/>
    </row>
    <row r="1618" spans="8:8">
      <c r="H1618" s="74"/>
    </row>
    <row r="1619" spans="8:8">
      <c r="H1619" s="74"/>
    </row>
    <row r="1620" spans="8:8">
      <c r="H1620" s="74"/>
    </row>
    <row r="1621" spans="8:8">
      <c r="H1621" s="74"/>
    </row>
    <row r="1622" spans="8:8">
      <c r="H1622" s="74"/>
    </row>
    <row r="1623" spans="8:8">
      <c r="H1623" s="74"/>
    </row>
    <row r="1624" spans="8:8">
      <c r="H1624" s="74"/>
    </row>
    <row r="1625" spans="8:8">
      <c r="H1625" s="74"/>
    </row>
    <row r="1626" spans="8:8">
      <c r="H1626" s="74"/>
    </row>
    <row r="1627" spans="8:8">
      <c r="H1627" s="74"/>
    </row>
    <row r="1628" spans="8:8">
      <c r="H1628" s="74"/>
    </row>
    <row r="1629" spans="8:8">
      <c r="H1629" s="74"/>
    </row>
    <row r="1630" spans="8:8">
      <c r="H1630" s="74"/>
    </row>
    <row r="1631" spans="8:8">
      <c r="H1631" s="74"/>
    </row>
    <row r="1632" spans="8:8">
      <c r="H1632" s="74"/>
    </row>
    <row r="1633" spans="8:8">
      <c r="H1633" s="74"/>
    </row>
    <row r="1634" spans="8:8">
      <c r="H1634" s="74"/>
    </row>
    <row r="1635" spans="8:8">
      <c r="H1635" s="74"/>
    </row>
    <row r="1636" spans="8:8">
      <c r="H1636" s="74"/>
    </row>
    <row r="1637" spans="8:8">
      <c r="H1637" s="74"/>
    </row>
    <row r="1638" spans="8:8">
      <c r="H1638" s="74"/>
    </row>
    <row r="1639" spans="8:8">
      <c r="H1639" s="74"/>
    </row>
    <row r="1640" spans="8:8">
      <c r="H1640" s="74"/>
    </row>
    <row r="1641" spans="8:8">
      <c r="H1641" s="74"/>
    </row>
    <row r="1642" spans="8:8">
      <c r="H1642" s="74"/>
    </row>
    <row r="1643" spans="8:8">
      <c r="H1643" s="74"/>
    </row>
    <row r="1644" spans="8:8">
      <c r="H1644" s="74"/>
    </row>
    <row r="1645" spans="8:8">
      <c r="H1645" s="74"/>
    </row>
    <row r="1646" spans="8:8">
      <c r="H1646" s="74"/>
    </row>
    <row r="1647" spans="8:8">
      <c r="H1647" s="74"/>
    </row>
    <row r="1648" spans="8:8">
      <c r="H1648" s="74"/>
    </row>
    <row r="1649" spans="8:8">
      <c r="H1649" s="74"/>
    </row>
    <row r="1650" spans="8:8">
      <c r="H1650" s="74"/>
    </row>
    <row r="1651" spans="8:8">
      <c r="H1651" s="74"/>
    </row>
    <row r="1652" spans="8:8">
      <c r="H1652" s="74"/>
    </row>
    <row r="1653" spans="8:8">
      <c r="H1653" s="74"/>
    </row>
    <row r="1654" spans="8:8">
      <c r="H1654" s="74"/>
    </row>
    <row r="1655" spans="8:8">
      <c r="H1655" s="74"/>
    </row>
    <row r="1656" spans="8:8">
      <c r="H1656" s="74"/>
    </row>
    <row r="1657" spans="8:8">
      <c r="H1657" s="74"/>
    </row>
    <row r="1658" spans="8:8">
      <c r="H1658" s="74"/>
    </row>
    <row r="1659" spans="8:8">
      <c r="H1659" s="74"/>
    </row>
    <row r="1660" spans="8:8">
      <c r="H1660" s="74"/>
    </row>
    <row r="1661" spans="8:8">
      <c r="H1661" s="74"/>
    </row>
    <row r="1662" spans="8:8">
      <c r="H1662" s="74"/>
    </row>
    <row r="1663" spans="8:8">
      <c r="H1663" s="74"/>
    </row>
    <row r="1664" spans="8:8">
      <c r="H1664" s="74"/>
    </row>
    <row r="1665" spans="8:8">
      <c r="H1665" s="74"/>
    </row>
    <row r="1666" spans="8:8">
      <c r="H1666" s="74"/>
    </row>
    <row r="1667" spans="8:8">
      <c r="H1667" s="74"/>
    </row>
    <row r="1668" spans="8:8">
      <c r="H1668" s="74"/>
    </row>
    <row r="1669" spans="8:8">
      <c r="H1669" s="74"/>
    </row>
    <row r="1670" spans="8:8">
      <c r="H1670" s="74"/>
    </row>
    <row r="1671" spans="8:8">
      <c r="H1671" s="74"/>
    </row>
    <row r="1672" spans="8:8">
      <c r="H1672" s="74"/>
    </row>
    <row r="1673" spans="8:8">
      <c r="H1673" s="74"/>
    </row>
    <row r="1674" spans="8:8">
      <c r="H1674" s="74"/>
    </row>
    <row r="1675" spans="8:8">
      <c r="H1675" s="74"/>
    </row>
    <row r="1676" spans="8:8">
      <c r="H1676" s="74"/>
    </row>
    <row r="1677" spans="8:8">
      <c r="H1677" s="74"/>
    </row>
    <row r="1678" spans="8:8">
      <c r="H1678" s="74"/>
    </row>
    <row r="1679" spans="8:8">
      <c r="H1679" s="74"/>
    </row>
    <row r="1680" spans="8:8">
      <c r="H1680" s="74"/>
    </row>
    <row r="1681" spans="8:8">
      <c r="H1681" s="74"/>
    </row>
    <row r="1682" spans="8:8">
      <c r="H1682" s="74"/>
    </row>
    <row r="1683" spans="8:8">
      <c r="H1683" s="74"/>
    </row>
    <row r="1684" spans="8:8">
      <c r="H1684" s="74"/>
    </row>
    <row r="1685" spans="8:8">
      <c r="H1685" s="74"/>
    </row>
    <row r="1686" spans="8:8">
      <c r="H1686" s="74"/>
    </row>
    <row r="1687" spans="8:8">
      <c r="H1687" s="74"/>
    </row>
    <row r="1688" spans="8:8">
      <c r="H1688" s="74"/>
    </row>
    <row r="1689" spans="8:8">
      <c r="H1689" s="74"/>
    </row>
    <row r="1690" spans="8:8">
      <c r="H1690" s="74"/>
    </row>
    <row r="1691" spans="8:8">
      <c r="H1691" s="74"/>
    </row>
    <row r="1692" spans="8:8">
      <c r="H1692" s="74"/>
    </row>
    <row r="1693" spans="8:8">
      <c r="H1693" s="74"/>
    </row>
    <row r="1694" spans="8:8">
      <c r="H1694" s="74"/>
    </row>
    <row r="1695" spans="8:8">
      <c r="H1695" s="74"/>
    </row>
    <row r="1696" spans="8:8">
      <c r="H1696" s="74"/>
    </row>
    <row r="1697" spans="8:8">
      <c r="H1697" s="74"/>
    </row>
    <row r="1698" spans="8:8">
      <c r="H1698" s="74"/>
    </row>
    <row r="1699" spans="8:8">
      <c r="H1699" s="74"/>
    </row>
    <row r="1700" spans="8:8">
      <c r="H1700" s="74"/>
    </row>
    <row r="1701" spans="8:8">
      <c r="H1701" s="74"/>
    </row>
    <row r="1702" spans="8:8">
      <c r="H1702" s="74"/>
    </row>
    <row r="1703" spans="8:8">
      <c r="H1703" s="74"/>
    </row>
    <row r="1704" spans="8:8">
      <c r="H1704" s="74"/>
    </row>
    <row r="1705" spans="8:8">
      <c r="H1705" s="74"/>
    </row>
    <row r="1706" spans="8:8">
      <c r="H1706" s="74"/>
    </row>
    <row r="1707" spans="8:8">
      <c r="H1707" s="74"/>
    </row>
    <row r="1708" spans="8:8">
      <c r="H1708" s="74"/>
    </row>
    <row r="1709" spans="8:8">
      <c r="H1709" s="74"/>
    </row>
    <row r="1710" spans="8:8">
      <c r="H1710" s="74"/>
    </row>
    <row r="1711" spans="8:8">
      <c r="H1711" s="74"/>
    </row>
    <row r="1712" spans="8:8">
      <c r="H1712" s="74"/>
    </row>
    <row r="1713" spans="8:8">
      <c r="H1713" s="74"/>
    </row>
    <row r="1714" spans="8:8">
      <c r="H1714" s="74"/>
    </row>
    <row r="1715" spans="8:8">
      <c r="H1715" s="74"/>
    </row>
    <row r="1716" spans="8:8">
      <c r="H1716" s="74"/>
    </row>
    <row r="1717" spans="8:8">
      <c r="H1717" s="74"/>
    </row>
    <row r="1718" spans="8:8">
      <c r="H1718" s="74"/>
    </row>
    <row r="1719" spans="8:8">
      <c r="H1719" s="74"/>
    </row>
    <row r="1720" spans="8:8">
      <c r="H1720" s="74"/>
    </row>
    <row r="1721" spans="8:8">
      <c r="H1721" s="74"/>
    </row>
    <row r="1722" spans="8:8">
      <c r="H1722" s="74"/>
    </row>
    <row r="1723" spans="8:8">
      <c r="H1723" s="74"/>
    </row>
    <row r="1724" spans="8:8">
      <c r="H1724" s="74"/>
    </row>
    <row r="1725" spans="8:8">
      <c r="H1725" s="74"/>
    </row>
    <row r="1726" spans="8:8">
      <c r="H1726" s="74"/>
    </row>
    <row r="1727" spans="8:8">
      <c r="H1727" s="74"/>
    </row>
    <row r="1728" spans="8:8">
      <c r="H1728" s="74"/>
    </row>
    <row r="1729" spans="8:8">
      <c r="H1729" s="74"/>
    </row>
    <row r="1730" spans="8:8">
      <c r="H1730" s="74"/>
    </row>
    <row r="1731" spans="8:8">
      <c r="H1731" s="74"/>
    </row>
    <row r="1732" spans="8:8">
      <c r="H1732" s="74"/>
    </row>
    <row r="1733" spans="8:8">
      <c r="H1733" s="74"/>
    </row>
    <row r="1734" spans="8:8">
      <c r="H1734" s="74"/>
    </row>
    <row r="1735" spans="8:8">
      <c r="H1735" s="74"/>
    </row>
    <row r="1736" spans="8:8">
      <c r="H1736" s="74"/>
    </row>
    <row r="1737" spans="8:8">
      <c r="H1737" s="74"/>
    </row>
    <row r="1738" spans="8:8">
      <c r="H1738" s="74"/>
    </row>
    <row r="1739" spans="8:8">
      <c r="H1739" s="74"/>
    </row>
    <row r="1740" spans="8:8">
      <c r="H1740" s="74"/>
    </row>
    <row r="1741" spans="8:8">
      <c r="H1741" s="74"/>
    </row>
    <row r="1742" spans="8:8">
      <c r="H1742" s="74"/>
    </row>
    <row r="1743" spans="8:8">
      <c r="H1743" s="74"/>
    </row>
    <row r="1744" spans="8:8">
      <c r="H1744" s="74"/>
    </row>
    <row r="1745" spans="8:8">
      <c r="H1745" s="74"/>
    </row>
    <row r="1746" spans="8:8">
      <c r="H1746" s="74"/>
    </row>
    <row r="1747" spans="8:8">
      <c r="H1747" s="74"/>
    </row>
    <row r="1748" spans="8:8">
      <c r="H1748" s="74"/>
    </row>
    <row r="1749" spans="8:8">
      <c r="H1749" s="74"/>
    </row>
    <row r="1750" spans="8:8">
      <c r="H1750" s="74"/>
    </row>
    <row r="1751" spans="8:8">
      <c r="H1751" s="74"/>
    </row>
    <row r="1752" spans="8:8">
      <c r="H1752" s="74"/>
    </row>
    <row r="1753" spans="8:8">
      <c r="H1753" s="74"/>
    </row>
    <row r="1754" spans="8:8">
      <c r="H1754" s="74"/>
    </row>
    <row r="1755" spans="8:8">
      <c r="H1755" s="74"/>
    </row>
    <row r="1756" spans="8:8">
      <c r="H1756" s="74"/>
    </row>
    <row r="1757" spans="8:8">
      <c r="H1757" s="74"/>
    </row>
    <row r="1758" spans="8:8">
      <c r="H1758" s="74"/>
    </row>
    <row r="1759" spans="8:8">
      <c r="H1759" s="74"/>
    </row>
    <row r="1760" spans="8:8">
      <c r="H1760" s="74"/>
    </row>
    <row r="1761" spans="8:8">
      <c r="H1761" s="74"/>
    </row>
    <row r="1762" spans="8:8">
      <c r="H1762" s="74"/>
    </row>
    <row r="1763" spans="8:8">
      <c r="H1763" s="74"/>
    </row>
    <row r="1764" spans="8:8">
      <c r="H1764" s="74"/>
    </row>
    <row r="1765" spans="8:8">
      <c r="H1765" s="74"/>
    </row>
    <row r="1766" spans="8:8">
      <c r="H1766" s="74"/>
    </row>
    <row r="1767" spans="8:8">
      <c r="H1767" s="74"/>
    </row>
    <row r="1768" spans="8:8">
      <c r="H1768" s="74"/>
    </row>
    <row r="1769" spans="8:8">
      <c r="H1769" s="74"/>
    </row>
    <row r="1770" spans="8:8">
      <c r="H1770" s="74"/>
    </row>
    <row r="1771" spans="8:8">
      <c r="H1771" s="74"/>
    </row>
    <row r="1772" spans="8:8">
      <c r="H1772" s="74"/>
    </row>
    <row r="1773" spans="8:8">
      <c r="H1773" s="74"/>
    </row>
    <row r="1774" spans="8:8">
      <c r="H1774" s="74"/>
    </row>
    <row r="1775" spans="8:8">
      <c r="H1775" s="74"/>
    </row>
    <row r="1776" spans="8:8">
      <c r="H1776" s="74"/>
    </row>
    <row r="1777" spans="8:8">
      <c r="H1777" s="74"/>
    </row>
    <row r="1778" spans="8:8">
      <c r="H1778" s="74"/>
    </row>
    <row r="1779" spans="8:8">
      <c r="H1779" s="74"/>
    </row>
    <row r="1780" spans="8:8">
      <c r="H1780" s="74"/>
    </row>
    <row r="1781" spans="8:8">
      <c r="H1781" s="74"/>
    </row>
    <row r="1782" spans="8:8">
      <c r="H1782" s="74"/>
    </row>
    <row r="1783" spans="8:8">
      <c r="H1783" s="74"/>
    </row>
    <row r="1784" spans="8:8">
      <c r="H1784" s="74"/>
    </row>
    <row r="1785" spans="8:8">
      <c r="H1785" s="74"/>
    </row>
    <row r="1786" spans="8:8">
      <c r="H1786" s="74"/>
    </row>
    <row r="1787" spans="8:8">
      <c r="H1787" s="74"/>
    </row>
    <row r="1788" spans="8:8">
      <c r="H1788" s="74"/>
    </row>
    <row r="1789" spans="8:8">
      <c r="H1789" s="74"/>
    </row>
    <row r="1790" spans="8:8">
      <c r="H1790" s="74"/>
    </row>
    <row r="1791" spans="8:8">
      <c r="H1791" s="74"/>
    </row>
    <row r="1792" spans="8:8">
      <c r="H1792" s="74"/>
    </row>
    <row r="1793" spans="8:8">
      <c r="H1793" s="74"/>
    </row>
    <row r="1794" spans="8:8">
      <c r="H1794" s="74"/>
    </row>
    <row r="1795" spans="8:8">
      <c r="H1795" s="74"/>
    </row>
    <row r="1796" spans="8:8">
      <c r="H1796" s="74"/>
    </row>
    <row r="1797" spans="8:8">
      <c r="H1797" s="74"/>
    </row>
    <row r="1798" spans="8:8">
      <c r="H1798" s="74"/>
    </row>
    <row r="1799" spans="8:8">
      <c r="H1799" s="74"/>
    </row>
    <row r="1800" spans="8:8">
      <c r="H1800" s="74"/>
    </row>
    <row r="1801" spans="8:8">
      <c r="H1801" s="74"/>
    </row>
    <row r="1802" spans="8:8">
      <c r="H1802" s="74"/>
    </row>
    <row r="1803" spans="8:8">
      <c r="H1803" s="74"/>
    </row>
    <row r="1804" spans="8:8">
      <c r="H1804" s="74"/>
    </row>
    <row r="1805" spans="8:8">
      <c r="H1805" s="74"/>
    </row>
    <row r="1806" spans="8:8">
      <c r="H1806" s="74"/>
    </row>
    <row r="1807" spans="8:8">
      <c r="H1807" s="74"/>
    </row>
    <row r="1808" spans="8:8">
      <c r="H1808" s="74"/>
    </row>
    <row r="1809" spans="8:8">
      <c r="H1809" s="74"/>
    </row>
    <row r="1810" spans="8:8">
      <c r="H1810" s="74"/>
    </row>
    <row r="1811" spans="8:8">
      <c r="H1811" s="74"/>
    </row>
    <row r="1812" spans="8:8">
      <c r="H1812" s="74"/>
    </row>
    <row r="1813" spans="8:8">
      <c r="H1813" s="74"/>
    </row>
    <row r="1814" spans="8:8">
      <c r="H1814" s="74"/>
    </row>
    <row r="1815" spans="8:8">
      <c r="H1815" s="74"/>
    </row>
    <row r="1816" spans="8:8">
      <c r="H1816" s="74"/>
    </row>
    <row r="1817" spans="8:8">
      <c r="H1817" s="74"/>
    </row>
    <row r="1818" spans="8:8">
      <c r="H1818" s="74"/>
    </row>
    <row r="1819" spans="8:8">
      <c r="H1819" s="74"/>
    </row>
    <row r="1820" spans="8:8">
      <c r="H1820" s="74"/>
    </row>
    <row r="1821" spans="8:8">
      <c r="H1821" s="74"/>
    </row>
    <row r="1822" spans="8:8">
      <c r="H1822" s="74"/>
    </row>
    <row r="1823" spans="8:8">
      <c r="H1823" s="74"/>
    </row>
    <row r="1824" spans="8:8">
      <c r="H1824" s="74"/>
    </row>
    <row r="1825" spans="8:8">
      <c r="H1825" s="74"/>
    </row>
    <row r="1826" spans="8:8">
      <c r="H1826" s="74"/>
    </row>
    <row r="1827" spans="8:8">
      <c r="H1827" s="74"/>
    </row>
    <row r="1828" spans="8:8">
      <c r="H1828" s="74"/>
    </row>
    <row r="1829" spans="8:8">
      <c r="H1829" s="74"/>
    </row>
    <row r="1830" spans="8:8">
      <c r="H1830" s="74"/>
    </row>
    <row r="1831" spans="8:8">
      <c r="H1831" s="74"/>
    </row>
    <row r="1832" spans="8:8">
      <c r="H1832" s="74"/>
    </row>
    <row r="1833" spans="8:8">
      <c r="H1833" s="74"/>
    </row>
    <row r="1834" spans="8:8">
      <c r="H1834" s="74"/>
    </row>
    <row r="1835" spans="8:8">
      <c r="H1835" s="74"/>
    </row>
    <row r="1836" spans="8:8">
      <c r="H1836" s="74"/>
    </row>
    <row r="1837" spans="8:8">
      <c r="H1837" s="74"/>
    </row>
    <row r="1838" spans="8:8">
      <c r="H1838" s="74"/>
    </row>
    <row r="1839" spans="8:8">
      <c r="H1839" s="74"/>
    </row>
    <row r="1840" spans="8:8">
      <c r="H1840" s="74"/>
    </row>
    <row r="1841" spans="8:8">
      <c r="H1841" s="74"/>
    </row>
    <row r="1842" spans="8:8">
      <c r="H1842" s="74"/>
    </row>
    <row r="1843" spans="8:8">
      <c r="H1843" s="74"/>
    </row>
    <row r="1844" spans="8:8">
      <c r="H1844" s="74"/>
    </row>
    <row r="1845" spans="8:8">
      <c r="H1845" s="74"/>
    </row>
    <row r="1846" spans="8:8">
      <c r="H1846" s="74"/>
    </row>
    <row r="1847" spans="8:8">
      <c r="H1847" s="74"/>
    </row>
    <row r="1848" spans="8:8">
      <c r="H1848" s="74"/>
    </row>
    <row r="1849" spans="8:8">
      <c r="H1849" s="74"/>
    </row>
    <row r="1850" spans="8:8">
      <c r="H1850" s="74"/>
    </row>
    <row r="1851" spans="8:8">
      <c r="H1851" s="74"/>
    </row>
    <row r="1852" spans="8:8">
      <c r="H1852" s="74"/>
    </row>
    <row r="1853" spans="8:8">
      <c r="H1853" s="74"/>
    </row>
    <row r="1854" spans="8:8">
      <c r="H1854" s="74"/>
    </row>
    <row r="1855" spans="8:8">
      <c r="H1855" s="74"/>
    </row>
    <row r="1856" spans="8:8">
      <c r="H1856" s="74"/>
    </row>
    <row r="1857" spans="8:8">
      <c r="H1857" s="74"/>
    </row>
    <row r="1858" spans="8:8">
      <c r="H1858" s="74"/>
    </row>
    <row r="1859" spans="8:8">
      <c r="H1859" s="74"/>
    </row>
    <row r="1860" spans="8:8">
      <c r="H1860" s="74"/>
    </row>
    <row r="1861" spans="8:8">
      <c r="H1861" s="74"/>
    </row>
    <row r="1862" spans="8:8">
      <c r="H1862" s="74"/>
    </row>
    <row r="1863" spans="8:8">
      <c r="H1863" s="74"/>
    </row>
    <row r="1864" spans="8:8">
      <c r="H1864" s="74"/>
    </row>
    <row r="1865" spans="8:8">
      <c r="H1865" s="74"/>
    </row>
    <row r="1866" spans="8:8">
      <c r="H1866" s="74"/>
    </row>
    <row r="1867" spans="8:8">
      <c r="H1867" s="74"/>
    </row>
    <row r="1868" spans="8:8">
      <c r="H1868" s="74"/>
    </row>
    <row r="1869" spans="8:8">
      <c r="H1869" s="74"/>
    </row>
    <row r="1870" spans="8:8">
      <c r="H1870" s="74"/>
    </row>
    <row r="1871" spans="8:8">
      <c r="H1871" s="74"/>
    </row>
    <row r="1872" spans="8:8">
      <c r="H1872" s="74"/>
    </row>
    <row r="1873" spans="3:20">
      <c r="H1873" s="74"/>
    </row>
    <row r="1874" spans="3:20">
      <c r="H1874" s="74"/>
    </row>
    <row r="1875" spans="3:20">
      <c r="H1875" s="74"/>
    </row>
    <row r="1876" spans="3:20">
      <c r="H1876" s="74"/>
    </row>
    <row r="1877" spans="3:20">
      <c r="H1877" s="74"/>
    </row>
    <row r="1878" spans="3:20">
      <c r="H1878" s="74"/>
    </row>
    <row r="1879" spans="3:20">
      <c r="H1879" s="74"/>
    </row>
    <row r="1880" spans="3:20">
      <c r="C1880" s="72"/>
      <c r="D1880" s="72"/>
      <c r="E1880" s="72"/>
      <c r="F1880" s="73"/>
      <c r="G1880" s="73"/>
      <c r="H1880" s="74"/>
      <c r="I1880" s="71"/>
      <c r="J1880" s="71"/>
      <c r="K1880" s="71"/>
      <c r="L1880" s="71"/>
      <c r="M1880" s="71"/>
      <c r="N1880" s="71"/>
      <c r="O1880" s="71"/>
      <c r="P1880" s="71"/>
      <c r="Q1880" s="71"/>
      <c r="R1880" s="71"/>
      <c r="S1880" s="71"/>
      <c r="T1880" s="71"/>
    </row>
    <row r="1881" spans="3:20">
      <c r="H1881" s="74"/>
    </row>
    <row r="1882" spans="3:20">
      <c r="H1882" s="74"/>
    </row>
    <row r="1883" spans="3:20">
      <c r="H1883" s="74"/>
    </row>
    <row r="1884" spans="3:20">
      <c r="H1884" s="74"/>
    </row>
    <row r="1885" spans="3:20">
      <c r="H1885" s="74"/>
    </row>
    <row r="1886" spans="3:20">
      <c r="H1886" s="74"/>
    </row>
    <row r="1887" spans="3:20">
      <c r="H1887" s="74"/>
    </row>
    <row r="1888" spans="3:20">
      <c r="H1888" s="74"/>
    </row>
    <row r="1889" spans="8:8">
      <c r="H1889" s="74"/>
    </row>
    <row r="1890" spans="8:8">
      <c r="H1890" s="74"/>
    </row>
    <row r="1891" spans="8:8">
      <c r="H1891" s="74"/>
    </row>
    <row r="1892" spans="8:8">
      <c r="H1892" s="74"/>
    </row>
    <row r="1893" spans="8:8">
      <c r="H1893" s="74"/>
    </row>
    <row r="1894" spans="8:8">
      <c r="H1894" s="74"/>
    </row>
    <row r="1895" spans="8:8">
      <c r="H1895" s="74"/>
    </row>
    <row r="1896" spans="8:8">
      <c r="H1896" s="74"/>
    </row>
    <row r="1897" spans="8:8">
      <c r="H1897" s="74"/>
    </row>
    <row r="1898" spans="8:8">
      <c r="H1898" s="74"/>
    </row>
    <row r="1899" spans="8:8">
      <c r="H1899" s="74"/>
    </row>
    <row r="1900" spans="8:8">
      <c r="H1900" s="74"/>
    </row>
    <row r="1901" spans="8:8">
      <c r="H1901" s="74"/>
    </row>
    <row r="1902" spans="8:8">
      <c r="H1902" s="74"/>
    </row>
    <row r="1903" spans="8:8">
      <c r="H1903" s="74"/>
    </row>
    <row r="1904" spans="8:8">
      <c r="H1904" s="74"/>
    </row>
    <row r="1905" spans="8:8">
      <c r="H1905" s="74"/>
    </row>
    <row r="1906" spans="8:8">
      <c r="H1906" s="74"/>
    </row>
    <row r="1907" spans="8:8">
      <c r="H1907" s="74"/>
    </row>
    <row r="1908" spans="8:8">
      <c r="H1908" s="74"/>
    </row>
    <row r="1909" spans="8:8">
      <c r="H1909" s="74"/>
    </row>
    <row r="1910" spans="8:8">
      <c r="H1910" s="74"/>
    </row>
    <row r="1911" spans="8:8">
      <c r="H1911" s="74"/>
    </row>
    <row r="1912" spans="8:8">
      <c r="H1912" s="74"/>
    </row>
    <row r="1913" spans="8:8">
      <c r="H1913" s="74"/>
    </row>
    <row r="1914" spans="8:8">
      <c r="H1914" s="74"/>
    </row>
    <row r="1915" spans="8:8">
      <c r="H1915" s="74"/>
    </row>
    <row r="1916" spans="8:8">
      <c r="H1916" s="74"/>
    </row>
    <row r="1917" spans="8:8">
      <c r="H1917" s="74"/>
    </row>
    <row r="1918" spans="8:8">
      <c r="H1918" s="74"/>
    </row>
    <row r="1919" spans="8:8">
      <c r="H1919" s="74"/>
    </row>
    <row r="1920" spans="8:8">
      <c r="H1920" s="74"/>
    </row>
    <row r="1921" spans="8:8">
      <c r="H1921" s="74"/>
    </row>
    <row r="1922" spans="8:8">
      <c r="H1922" s="74"/>
    </row>
    <row r="1923" spans="8:8">
      <c r="H1923" s="74"/>
    </row>
    <row r="1924" spans="8:8">
      <c r="H1924" s="74"/>
    </row>
    <row r="1925" spans="8:8">
      <c r="H1925" s="74"/>
    </row>
    <row r="1926" spans="8:8">
      <c r="H1926" s="74"/>
    </row>
    <row r="1927" spans="8:8">
      <c r="H1927" s="74"/>
    </row>
    <row r="1928" spans="8:8">
      <c r="H1928" s="74"/>
    </row>
    <row r="1929" spans="8:8">
      <c r="H1929" s="74"/>
    </row>
    <row r="1930" spans="8:8">
      <c r="H1930" s="74"/>
    </row>
    <row r="1931" spans="8:8">
      <c r="H1931" s="74"/>
    </row>
    <row r="1932" spans="8:8">
      <c r="H1932" s="74"/>
    </row>
    <row r="1933" spans="8:8">
      <c r="H1933" s="74"/>
    </row>
    <row r="1934" spans="8:8">
      <c r="H1934" s="74"/>
    </row>
    <row r="1935" spans="8:8">
      <c r="H1935" s="74"/>
    </row>
    <row r="1936" spans="8:8">
      <c r="H1936" s="74"/>
    </row>
    <row r="1937" spans="8:8">
      <c r="H1937" s="74"/>
    </row>
    <row r="1938" spans="8:8">
      <c r="H1938" s="74"/>
    </row>
    <row r="1939" spans="8:8">
      <c r="H1939" s="74"/>
    </row>
    <row r="1940" spans="8:8">
      <c r="H1940" s="74"/>
    </row>
    <row r="1941" spans="8:8">
      <c r="H1941" s="74"/>
    </row>
    <row r="1942" spans="8:8">
      <c r="H1942" s="74"/>
    </row>
    <row r="1943" spans="8:8">
      <c r="H1943" s="74"/>
    </row>
    <row r="1944" spans="8:8">
      <c r="H1944" s="74"/>
    </row>
    <row r="1945" spans="8:8">
      <c r="H1945" s="74"/>
    </row>
    <row r="1946" spans="8:8">
      <c r="H1946" s="74"/>
    </row>
    <row r="1947" spans="8:8">
      <c r="H1947" s="74"/>
    </row>
    <row r="1948" spans="8:8">
      <c r="H1948" s="74"/>
    </row>
    <row r="1949" spans="8:8">
      <c r="H1949" s="74"/>
    </row>
    <row r="1950" spans="8:8">
      <c r="H1950" s="74"/>
    </row>
    <row r="1951" spans="8:8">
      <c r="H1951" s="74"/>
    </row>
    <row r="1952" spans="8:8">
      <c r="H1952" s="74"/>
    </row>
    <row r="1953" spans="8:8">
      <c r="H1953" s="74"/>
    </row>
    <row r="1954" spans="8:8">
      <c r="H1954" s="74"/>
    </row>
    <row r="1955" spans="8:8">
      <c r="H1955" s="74"/>
    </row>
    <row r="1956" spans="8:8">
      <c r="H1956" s="74"/>
    </row>
    <row r="1957" spans="8:8">
      <c r="H1957" s="74"/>
    </row>
    <row r="1958" spans="8:8">
      <c r="H1958" s="74"/>
    </row>
    <row r="1959" spans="8:8">
      <c r="H1959" s="74"/>
    </row>
    <row r="1960" spans="8:8">
      <c r="H1960" s="74"/>
    </row>
    <row r="1961" spans="8:8">
      <c r="H1961" s="74"/>
    </row>
    <row r="1962" spans="8:8">
      <c r="H1962" s="74"/>
    </row>
    <row r="1963" spans="8:8">
      <c r="H1963" s="74"/>
    </row>
    <row r="1964" spans="8:8">
      <c r="H1964" s="74"/>
    </row>
    <row r="1965" spans="8:8">
      <c r="H1965" s="74"/>
    </row>
    <row r="1966" spans="8:8">
      <c r="H1966" s="74"/>
    </row>
    <row r="1967" spans="8:8">
      <c r="H1967" s="74"/>
    </row>
    <row r="1968" spans="8:8">
      <c r="H1968" s="74"/>
    </row>
    <row r="1969" spans="8:8">
      <c r="H1969" s="74"/>
    </row>
    <row r="1970" spans="8:8">
      <c r="H1970" s="74"/>
    </row>
    <row r="1971" spans="8:8">
      <c r="H1971" s="74"/>
    </row>
    <row r="1972" spans="8:8">
      <c r="H1972" s="74"/>
    </row>
    <row r="1973" spans="8:8">
      <c r="H1973" s="74"/>
    </row>
    <row r="1974" spans="8:8">
      <c r="H1974" s="74"/>
    </row>
    <row r="1975" spans="8:8">
      <c r="H1975" s="74"/>
    </row>
    <row r="1976" spans="8:8">
      <c r="H1976" s="74"/>
    </row>
    <row r="1977" spans="8:8">
      <c r="H1977" s="74"/>
    </row>
    <row r="1978" spans="8:8">
      <c r="H1978" s="74"/>
    </row>
    <row r="1979" spans="8:8">
      <c r="H1979" s="74"/>
    </row>
    <row r="1980" spans="8:8">
      <c r="H1980" s="74"/>
    </row>
    <row r="1981" spans="8:8">
      <c r="H1981" s="74"/>
    </row>
    <row r="1982" spans="8:8">
      <c r="H1982" s="74"/>
    </row>
    <row r="1983" spans="8:8">
      <c r="H1983" s="74"/>
    </row>
    <row r="1984" spans="8:8">
      <c r="H1984" s="74"/>
    </row>
    <row r="1985" spans="8:8">
      <c r="H1985" s="74"/>
    </row>
    <row r="1986" spans="8:8">
      <c r="H1986" s="74"/>
    </row>
    <row r="1987" spans="8:8">
      <c r="H1987" s="74"/>
    </row>
    <row r="1988" spans="8:8">
      <c r="H1988" s="74"/>
    </row>
    <row r="1989" spans="8:8">
      <c r="H1989" s="74"/>
    </row>
    <row r="1990" spans="8:8">
      <c r="H1990" s="74"/>
    </row>
    <row r="1991" spans="8:8">
      <c r="H1991" s="74"/>
    </row>
    <row r="1992" spans="8:8">
      <c r="H1992" s="74"/>
    </row>
    <row r="1993" spans="8:8">
      <c r="H1993" s="74"/>
    </row>
    <row r="1994" spans="8:8">
      <c r="H1994" s="74"/>
    </row>
    <row r="1995" spans="8:8">
      <c r="H1995" s="74"/>
    </row>
    <row r="1996" spans="8:8">
      <c r="H1996" s="74"/>
    </row>
    <row r="1997" spans="8:8">
      <c r="H1997" s="74"/>
    </row>
    <row r="1998" spans="8:8">
      <c r="H1998" s="74"/>
    </row>
    <row r="1999" spans="8:8">
      <c r="H1999" s="74"/>
    </row>
    <row r="2000" spans="8:8">
      <c r="H2000" s="74"/>
    </row>
    <row r="2001" spans="8:8">
      <c r="H2001" s="74"/>
    </row>
    <row r="2002" spans="8:8">
      <c r="H2002" s="74"/>
    </row>
    <row r="2003" spans="8:8">
      <c r="H2003" s="74"/>
    </row>
    <row r="2004" spans="8:8">
      <c r="H2004" s="74"/>
    </row>
    <row r="2005" spans="8:8">
      <c r="H2005" s="74"/>
    </row>
    <row r="2006" spans="8:8">
      <c r="H2006" s="74"/>
    </row>
    <row r="2007" spans="8:8">
      <c r="H2007" s="74"/>
    </row>
    <row r="2008" spans="8:8">
      <c r="H2008" s="74"/>
    </row>
    <row r="2009" spans="8:8">
      <c r="H2009" s="74"/>
    </row>
    <row r="2010" spans="8:8">
      <c r="H2010" s="74"/>
    </row>
    <row r="2011" spans="8:8">
      <c r="H2011" s="74"/>
    </row>
    <row r="2012" spans="8:8">
      <c r="H2012" s="74"/>
    </row>
    <row r="2013" spans="8:8">
      <c r="H2013" s="74"/>
    </row>
    <row r="2014" spans="8:8">
      <c r="H2014" s="74"/>
    </row>
    <row r="2015" spans="8:8">
      <c r="H2015" s="74"/>
    </row>
    <row r="2016" spans="8:8">
      <c r="H2016" s="74"/>
    </row>
    <row r="2017" spans="8:8">
      <c r="H2017" s="74"/>
    </row>
    <row r="2018" spans="8:8">
      <c r="H2018" s="74"/>
    </row>
    <row r="2019" spans="8:8">
      <c r="H2019" s="74"/>
    </row>
    <row r="2020" spans="8:8">
      <c r="H2020" s="74"/>
    </row>
    <row r="2021" spans="8:8">
      <c r="H2021" s="74"/>
    </row>
    <row r="2022" spans="8:8">
      <c r="H2022" s="74"/>
    </row>
    <row r="2023" spans="8:8">
      <c r="H2023" s="74"/>
    </row>
    <row r="2024" spans="8:8">
      <c r="H2024" s="74"/>
    </row>
    <row r="2025" spans="8:8">
      <c r="H2025" s="74"/>
    </row>
    <row r="2026" spans="8:8">
      <c r="H2026" s="74"/>
    </row>
    <row r="2027" spans="8:8">
      <c r="H2027" s="74"/>
    </row>
    <row r="2028" spans="8:8">
      <c r="H2028" s="74"/>
    </row>
    <row r="2029" spans="8:8">
      <c r="H2029" s="74"/>
    </row>
    <row r="2030" spans="8:8">
      <c r="H2030" s="74"/>
    </row>
    <row r="2031" spans="8:8">
      <c r="H2031" s="74"/>
    </row>
    <row r="2032" spans="8:8">
      <c r="H2032" s="74"/>
    </row>
    <row r="2033" spans="8:8">
      <c r="H2033" s="74"/>
    </row>
    <row r="2034" spans="8:8">
      <c r="H2034" s="74"/>
    </row>
    <row r="2035" spans="8:8">
      <c r="H2035" s="74"/>
    </row>
    <row r="2036" spans="8:8">
      <c r="H2036" s="74"/>
    </row>
    <row r="2037" spans="8:8">
      <c r="H2037" s="74"/>
    </row>
    <row r="2038" spans="8:8">
      <c r="H2038" s="74"/>
    </row>
    <row r="2039" spans="8:8">
      <c r="H2039" s="74"/>
    </row>
    <row r="2040" spans="8:8">
      <c r="H2040" s="74"/>
    </row>
    <row r="2041" spans="8:8">
      <c r="H2041" s="74"/>
    </row>
    <row r="2042" spans="8:8">
      <c r="H2042" s="74"/>
    </row>
    <row r="2043" spans="8:8">
      <c r="H2043" s="74"/>
    </row>
    <row r="2044" spans="8:8">
      <c r="H2044" s="74"/>
    </row>
    <row r="2045" spans="8:8">
      <c r="H2045" s="74"/>
    </row>
    <row r="2046" spans="8:8">
      <c r="H2046" s="74"/>
    </row>
    <row r="2047" spans="8:8">
      <c r="H2047" s="74"/>
    </row>
    <row r="2048" spans="8:8">
      <c r="H2048" s="74"/>
    </row>
    <row r="2049" spans="8:8">
      <c r="H2049" s="74"/>
    </row>
    <row r="2050" spans="8:8">
      <c r="H2050" s="74"/>
    </row>
    <row r="2051" spans="8:8">
      <c r="H2051" s="74"/>
    </row>
    <row r="2052" spans="8:8">
      <c r="H2052" s="74"/>
    </row>
    <row r="2053" spans="8:8">
      <c r="H2053" s="74"/>
    </row>
    <row r="2054" spans="8:8">
      <c r="H2054" s="74"/>
    </row>
    <row r="2055" spans="8:8">
      <c r="H2055" s="74"/>
    </row>
    <row r="2056" spans="8:8">
      <c r="H2056" s="74"/>
    </row>
    <row r="2057" spans="8:8">
      <c r="H2057" s="74"/>
    </row>
    <row r="2058" spans="8:8">
      <c r="H2058" s="74"/>
    </row>
    <row r="2059" spans="8:8">
      <c r="H2059" s="74"/>
    </row>
    <row r="2060" spans="8:8">
      <c r="H2060" s="74"/>
    </row>
    <row r="2061" spans="8:8">
      <c r="H2061" s="74"/>
    </row>
    <row r="2062" spans="8:8">
      <c r="H2062" s="74"/>
    </row>
    <row r="2063" spans="8:8">
      <c r="H2063" s="74"/>
    </row>
    <row r="2064" spans="8:8">
      <c r="H2064" s="74"/>
    </row>
    <row r="2065" spans="8:8">
      <c r="H2065" s="74"/>
    </row>
    <row r="2066" spans="8:8">
      <c r="H2066" s="74"/>
    </row>
    <row r="2067" spans="8:8">
      <c r="H2067" s="74"/>
    </row>
    <row r="2068" spans="8:8">
      <c r="H2068" s="74"/>
    </row>
    <row r="2069" spans="8:8">
      <c r="H2069" s="74"/>
    </row>
    <row r="2070" spans="8:8">
      <c r="H2070" s="74"/>
    </row>
    <row r="2071" spans="8:8">
      <c r="H2071" s="74"/>
    </row>
    <row r="2072" spans="8:8">
      <c r="H2072" s="74"/>
    </row>
    <row r="2073" spans="8:8">
      <c r="H2073" s="74"/>
    </row>
    <row r="2074" spans="8:8">
      <c r="H2074" s="74"/>
    </row>
    <row r="2075" spans="8:8">
      <c r="H2075" s="74"/>
    </row>
    <row r="2076" spans="8:8">
      <c r="H2076" s="74"/>
    </row>
    <row r="2077" spans="8:8">
      <c r="H2077" s="74"/>
    </row>
    <row r="2078" spans="8:8">
      <c r="H2078" s="74"/>
    </row>
    <row r="2079" spans="8:8">
      <c r="H2079" s="74"/>
    </row>
    <row r="2080" spans="8:8">
      <c r="H2080" s="74"/>
    </row>
    <row r="2081" spans="8:8">
      <c r="H2081" s="74"/>
    </row>
    <row r="2082" spans="8:8">
      <c r="H2082" s="74"/>
    </row>
    <row r="2083" spans="8:8">
      <c r="H2083" s="74"/>
    </row>
    <row r="2084" spans="8:8">
      <c r="H2084" s="74"/>
    </row>
    <row r="2085" spans="8:8">
      <c r="H2085" s="74"/>
    </row>
    <row r="2086" spans="8:8">
      <c r="H2086" s="74"/>
    </row>
    <row r="2087" spans="8:8">
      <c r="H2087" s="74"/>
    </row>
    <row r="2088" spans="8:8">
      <c r="H2088" s="74"/>
    </row>
    <row r="2089" spans="8:8">
      <c r="H2089" s="74"/>
    </row>
    <row r="2090" spans="8:8">
      <c r="H2090" s="74"/>
    </row>
    <row r="2091" spans="8:8">
      <c r="H2091" s="74"/>
    </row>
    <row r="2092" spans="8:8">
      <c r="H2092" s="74"/>
    </row>
    <row r="2093" spans="8:8">
      <c r="H2093" s="74"/>
    </row>
    <row r="2094" spans="8:8">
      <c r="H2094" s="74"/>
    </row>
    <row r="2095" spans="8:8">
      <c r="H2095" s="74"/>
    </row>
    <row r="2096" spans="8:8">
      <c r="H2096" s="74"/>
    </row>
    <row r="2097" spans="8:8">
      <c r="H2097" s="74"/>
    </row>
    <row r="2098" spans="8:8">
      <c r="H2098" s="74"/>
    </row>
    <row r="2099" spans="8:8">
      <c r="H2099" s="74"/>
    </row>
    <row r="2100" spans="8:8">
      <c r="H2100" s="74"/>
    </row>
    <row r="2101" spans="8:8">
      <c r="H2101" s="74"/>
    </row>
    <row r="2102" spans="8:8">
      <c r="H2102" s="74"/>
    </row>
    <row r="2103" spans="8:8">
      <c r="H2103" s="74"/>
    </row>
    <row r="2104" spans="8:8">
      <c r="H2104" s="74"/>
    </row>
    <row r="2105" spans="8:8">
      <c r="H2105" s="74"/>
    </row>
    <row r="2106" spans="8:8">
      <c r="H2106" s="74"/>
    </row>
    <row r="2107" spans="8:8">
      <c r="H2107" s="74"/>
    </row>
    <row r="2108" spans="8:8">
      <c r="H2108" s="74"/>
    </row>
    <row r="2109" spans="8:8">
      <c r="H2109" s="74"/>
    </row>
    <row r="2110" spans="8:8">
      <c r="H2110" s="74"/>
    </row>
    <row r="2111" spans="8:8">
      <c r="H2111" s="74"/>
    </row>
    <row r="2112" spans="8:8">
      <c r="H2112" s="74"/>
    </row>
    <row r="2113" spans="8:8">
      <c r="H2113" s="74"/>
    </row>
    <row r="2114" spans="8:8">
      <c r="H2114" s="74"/>
    </row>
    <row r="2115" spans="8:8">
      <c r="H2115" s="74"/>
    </row>
    <row r="2116" spans="8:8">
      <c r="H2116" s="74"/>
    </row>
    <row r="2117" spans="8:8">
      <c r="H2117" s="74"/>
    </row>
    <row r="2118" spans="8:8">
      <c r="H2118" s="74"/>
    </row>
    <row r="2119" spans="8:8">
      <c r="H2119" s="74"/>
    </row>
    <row r="2120" spans="8:8">
      <c r="H2120" s="74"/>
    </row>
    <row r="2121" spans="8:8">
      <c r="H2121" s="74"/>
    </row>
    <row r="2122" spans="8:8">
      <c r="H2122" s="74"/>
    </row>
    <row r="2123" spans="8:8">
      <c r="H2123" s="74"/>
    </row>
    <row r="2124" spans="8:8">
      <c r="H2124" s="74"/>
    </row>
    <row r="2125" spans="8:8">
      <c r="H2125" s="74"/>
    </row>
    <row r="2126" spans="8:8">
      <c r="H2126" s="74"/>
    </row>
    <row r="2127" spans="8:8">
      <c r="H2127" s="74"/>
    </row>
    <row r="2128" spans="8:8">
      <c r="H2128" s="74"/>
    </row>
    <row r="2129" spans="8:8">
      <c r="H2129" s="74"/>
    </row>
    <row r="2130" spans="8:8">
      <c r="H2130" s="74"/>
    </row>
    <row r="2131" spans="8:8">
      <c r="H2131" s="74"/>
    </row>
    <row r="2132" spans="8:8">
      <c r="H2132" s="74"/>
    </row>
    <row r="2133" spans="8:8">
      <c r="H2133" s="74"/>
    </row>
    <row r="2134" spans="8:8">
      <c r="H2134" s="74"/>
    </row>
    <row r="2135" spans="8:8">
      <c r="H2135" s="74"/>
    </row>
    <row r="2136" spans="8:8">
      <c r="H2136" s="74"/>
    </row>
    <row r="2137" spans="8:8">
      <c r="H2137" s="74"/>
    </row>
    <row r="2138" spans="8:8">
      <c r="H2138" s="74"/>
    </row>
    <row r="2139" spans="8:8">
      <c r="H2139" s="74"/>
    </row>
    <row r="2140" spans="8:8">
      <c r="H2140" s="74"/>
    </row>
    <row r="2141" spans="8:8">
      <c r="H2141" s="74"/>
    </row>
    <row r="2142" spans="8:8">
      <c r="H2142" s="74"/>
    </row>
    <row r="2143" spans="8:8">
      <c r="H2143" s="74"/>
    </row>
    <row r="2144" spans="8:8">
      <c r="H2144" s="74"/>
    </row>
    <row r="2145" spans="8:8">
      <c r="H2145" s="74"/>
    </row>
    <row r="2146" spans="8:8">
      <c r="H2146" s="74"/>
    </row>
    <row r="2147" spans="8:8">
      <c r="H2147" s="74"/>
    </row>
    <row r="2148" spans="8:8">
      <c r="H2148" s="74"/>
    </row>
    <row r="2149" spans="8:8">
      <c r="H2149" s="74"/>
    </row>
    <row r="2150" spans="8:8">
      <c r="H2150" s="74"/>
    </row>
    <row r="2151" spans="8:8">
      <c r="H2151" s="74"/>
    </row>
    <row r="2152" spans="8:8">
      <c r="H2152" s="74"/>
    </row>
    <row r="2153" spans="8:8">
      <c r="H2153" s="74"/>
    </row>
    <row r="2154" spans="8:8">
      <c r="H2154" s="74"/>
    </row>
    <row r="2155" spans="8:8">
      <c r="H2155" s="74"/>
    </row>
    <row r="2156" spans="8:8">
      <c r="H2156" s="74"/>
    </row>
    <row r="2157" spans="8:8">
      <c r="H2157" s="74"/>
    </row>
    <row r="2158" spans="8:8">
      <c r="H2158" s="74"/>
    </row>
    <row r="2159" spans="8:8">
      <c r="H2159" s="74"/>
    </row>
    <row r="2160" spans="8:8">
      <c r="H2160" s="74"/>
    </row>
    <row r="2161" spans="8:8">
      <c r="H2161" s="74"/>
    </row>
    <row r="2162" spans="8:8">
      <c r="H2162" s="74"/>
    </row>
    <row r="2163" spans="8:8">
      <c r="H2163" s="74"/>
    </row>
    <row r="2164" spans="8:8">
      <c r="H2164" s="74"/>
    </row>
    <row r="2165" spans="8:8">
      <c r="H2165" s="74"/>
    </row>
    <row r="2166" spans="8:8">
      <c r="H2166" s="74"/>
    </row>
    <row r="2167" spans="8:8">
      <c r="H2167" s="74"/>
    </row>
    <row r="2168" spans="8:8">
      <c r="H2168" s="74"/>
    </row>
    <row r="2169" spans="8:8">
      <c r="H2169" s="74"/>
    </row>
    <row r="2170" spans="8:8">
      <c r="H2170" s="74"/>
    </row>
    <row r="2171" spans="8:8">
      <c r="H2171" s="74"/>
    </row>
    <row r="2172" spans="8:8">
      <c r="H2172" s="74"/>
    </row>
    <row r="2173" spans="8:8">
      <c r="H2173" s="74"/>
    </row>
    <row r="2174" spans="8:8">
      <c r="H2174" s="74"/>
    </row>
    <row r="2175" spans="8:8">
      <c r="H2175" s="74"/>
    </row>
    <row r="2176" spans="8:8">
      <c r="H2176" s="74"/>
    </row>
    <row r="2177" spans="8:8">
      <c r="H2177" s="74"/>
    </row>
    <row r="2178" spans="8:8">
      <c r="H2178" s="74"/>
    </row>
    <row r="2179" spans="8:8">
      <c r="H2179" s="74"/>
    </row>
    <row r="2180" spans="8:8">
      <c r="H2180" s="74"/>
    </row>
    <row r="2181" spans="8:8">
      <c r="H2181" s="74"/>
    </row>
    <row r="2182" spans="8:8">
      <c r="H2182" s="74"/>
    </row>
    <row r="2183" spans="8:8">
      <c r="H2183" s="74"/>
    </row>
    <row r="2184" spans="8:8">
      <c r="H2184" s="74"/>
    </row>
    <row r="2185" spans="8:8">
      <c r="H2185" s="74"/>
    </row>
    <row r="2186" spans="8:8">
      <c r="H2186" s="74"/>
    </row>
    <row r="2187" spans="8:8">
      <c r="H2187" s="74"/>
    </row>
    <row r="2188" spans="8:8">
      <c r="H2188" s="74"/>
    </row>
    <row r="2189" spans="8:8">
      <c r="H2189" s="74"/>
    </row>
    <row r="2190" spans="8:8">
      <c r="H2190" s="74"/>
    </row>
    <row r="2191" spans="8:8">
      <c r="H2191" s="74"/>
    </row>
    <row r="2192" spans="8:8">
      <c r="H2192" s="74"/>
    </row>
    <row r="2193" spans="8:8">
      <c r="H2193" s="74"/>
    </row>
    <row r="2194" spans="8:8">
      <c r="H2194" s="74"/>
    </row>
    <row r="2195" spans="8:8">
      <c r="H2195" s="74"/>
    </row>
    <row r="2196" spans="8:8">
      <c r="H2196" s="74"/>
    </row>
    <row r="2197" spans="8:8">
      <c r="H2197" s="74"/>
    </row>
    <row r="2198" spans="8:8">
      <c r="H2198" s="74"/>
    </row>
    <row r="2199" spans="8:8">
      <c r="H2199" s="74"/>
    </row>
    <row r="2200" spans="8:8">
      <c r="H2200" s="74"/>
    </row>
    <row r="2201" spans="8:8">
      <c r="H2201" s="74"/>
    </row>
    <row r="2202" spans="8:8">
      <c r="H2202" s="74"/>
    </row>
    <row r="2203" spans="8:8">
      <c r="H2203" s="74"/>
    </row>
    <row r="2204" spans="8:8">
      <c r="H2204" s="74"/>
    </row>
    <row r="2205" spans="8:8">
      <c r="H2205" s="74"/>
    </row>
    <row r="2206" spans="8:8">
      <c r="H2206" s="74"/>
    </row>
    <row r="2207" spans="8:8">
      <c r="H2207" s="74"/>
    </row>
    <row r="2208" spans="8:8">
      <c r="H2208" s="74"/>
    </row>
    <row r="2209" spans="8:8">
      <c r="H2209" s="74"/>
    </row>
    <row r="2210" spans="8:8">
      <c r="H2210" s="74"/>
    </row>
    <row r="2211" spans="8:8">
      <c r="H2211" s="74"/>
    </row>
    <row r="2212" spans="8:8">
      <c r="H2212" s="74"/>
    </row>
    <row r="2213" spans="8:8">
      <c r="H2213" s="74"/>
    </row>
    <row r="2214" spans="8:8">
      <c r="H2214" s="74"/>
    </row>
    <row r="2215" spans="8:8">
      <c r="H2215" s="74"/>
    </row>
    <row r="2216" spans="8:8">
      <c r="H2216" s="74"/>
    </row>
    <row r="2217" spans="8:8">
      <c r="H2217" s="74"/>
    </row>
    <row r="2218" spans="8:8">
      <c r="H2218" s="74"/>
    </row>
    <row r="2219" spans="8:8">
      <c r="H2219" s="74"/>
    </row>
    <row r="2220" spans="8:8">
      <c r="H2220" s="74"/>
    </row>
    <row r="2221" spans="8:8">
      <c r="H2221" s="74"/>
    </row>
    <row r="2222" spans="8:8">
      <c r="H2222" s="74"/>
    </row>
    <row r="2223" spans="8:8">
      <c r="H2223" s="74"/>
    </row>
    <row r="2224" spans="8:8">
      <c r="H2224" s="74"/>
    </row>
    <row r="2225" spans="8:8">
      <c r="H2225" s="74"/>
    </row>
    <row r="2226" spans="8:8">
      <c r="H2226" s="74"/>
    </row>
    <row r="2227" spans="8:8">
      <c r="H2227" s="74"/>
    </row>
    <row r="2228" spans="8:8">
      <c r="H2228" s="74"/>
    </row>
    <row r="2229" spans="8:8">
      <c r="H2229" s="74"/>
    </row>
    <row r="2230" spans="8:8">
      <c r="H2230" s="74"/>
    </row>
    <row r="2231" spans="8:8">
      <c r="H2231" s="74"/>
    </row>
    <row r="2232" spans="8:8">
      <c r="H2232" s="74"/>
    </row>
    <row r="2233" spans="8:8">
      <c r="H2233" s="74"/>
    </row>
    <row r="2234" spans="8:8">
      <c r="H2234" s="74"/>
    </row>
    <row r="2235" spans="8:8">
      <c r="H2235" s="74"/>
    </row>
    <row r="2236" spans="8:8">
      <c r="H2236" s="74"/>
    </row>
    <row r="2237" spans="8:8">
      <c r="H2237" s="74"/>
    </row>
    <row r="2238" spans="8:8">
      <c r="H2238" s="74"/>
    </row>
    <row r="2239" spans="8:8">
      <c r="H2239" s="74"/>
    </row>
    <row r="2240" spans="8:8">
      <c r="H2240" s="74"/>
    </row>
    <row r="2241" spans="8:8">
      <c r="H2241" s="74"/>
    </row>
    <row r="2242" spans="8:8">
      <c r="H2242" s="74"/>
    </row>
    <row r="2243" spans="8:8">
      <c r="H2243" s="74"/>
    </row>
    <row r="2244" spans="8:8">
      <c r="H2244" s="74"/>
    </row>
    <row r="2245" spans="8:8">
      <c r="H2245" s="74"/>
    </row>
    <row r="2246" spans="8:8">
      <c r="H2246" s="74"/>
    </row>
    <row r="2247" spans="8:8">
      <c r="H2247" s="74"/>
    </row>
    <row r="2248" spans="8:8">
      <c r="H2248" s="74"/>
    </row>
    <row r="2249" spans="8:8">
      <c r="H2249" s="74"/>
    </row>
    <row r="2250" spans="8:8">
      <c r="H2250" s="74"/>
    </row>
    <row r="2251" spans="8:8">
      <c r="H2251" s="74"/>
    </row>
    <row r="2252" spans="8:8">
      <c r="H2252" s="74"/>
    </row>
    <row r="2253" spans="8:8">
      <c r="H2253" s="74"/>
    </row>
    <row r="2254" spans="8:8">
      <c r="H2254" s="74"/>
    </row>
    <row r="2255" spans="8:8">
      <c r="H2255" s="74"/>
    </row>
    <row r="2256" spans="8:8">
      <c r="H2256" s="74"/>
    </row>
    <row r="2257" spans="8:8">
      <c r="H2257" s="74"/>
    </row>
    <row r="2258" spans="8:8">
      <c r="H2258" s="74"/>
    </row>
    <row r="2259" spans="8:8">
      <c r="H2259" s="74"/>
    </row>
    <row r="2260" spans="8:8">
      <c r="H2260" s="74"/>
    </row>
    <row r="2261" spans="8:8">
      <c r="H2261" s="74"/>
    </row>
    <row r="2262" spans="8:8">
      <c r="H2262" s="74"/>
    </row>
    <row r="2263" spans="8:8">
      <c r="H2263" s="74"/>
    </row>
    <row r="2264" spans="8:8">
      <c r="H2264" s="74"/>
    </row>
    <row r="2265" spans="8:8">
      <c r="H2265" s="74"/>
    </row>
    <row r="2266" spans="8:8">
      <c r="H2266" s="74"/>
    </row>
    <row r="2267" spans="8:8">
      <c r="H2267" s="74"/>
    </row>
    <row r="2268" spans="8:8">
      <c r="H2268" s="74"/>
    </row>
    <row r="2269" spans="8:8">
      <c r="H2269" s="74"/>
    </row>
    <row r="2270" spans="8:8">
      <c r="H2270" s="74"/>
    </row>
    <row r="2271" spans="8:8">
      <c r="H2271" s="74"/>
    </row>
    <row r="2272" spans="8:8">
      <c r="H2272" s="74"/>
    </row>
    <row r="2273" spans="8:8">
      <c r="H2273" s="74"/>
    </row>
    <row r="2274" spans="8:8">
      <c r="H2274" s="74"/>
    </row>
    <row r="2275" spans="8:8">
      <c r="H2275" s="74"/>
    </row>
    <row r="2276" spans="8:8">
      <c r="H2276" s="74"/>
    </row>
    <row r="2277" spans="8:8">
      <c r="H2277" s="74"/>
    </row>
    <row r="2278" spans="8:8">
      <c r="H2278" s="74"/>
    </row>
    <row r="2279" spans="8:8">
      <c r="H2279" s="74"/>
    </row>
    <row r="2280" spans="8:8">
      <c r="H2280" s="74"/>
    </row>
    <row r="2281" spans="8:8">
      <c r="H2281" s="74"/>
    </row>
    <row r="2282" spans="8:8">
      <c r="H2282" s="74"/>
    </row>
    <row r="2283" spans="8:8">
      <c r="H2283" s="74"/>
    </row>
    <row r="2284" spans="8:8">
      <c r="H2284" s="74"/>
    </row>
    <row r="2285" spans="8:8">
      <c r="H2285" s="74"/>
    </row>
    <row r="2286" spans="8:8">
      <c r="H2286" s="74"/>
    </row>
    <row r="2287" spans="8:8">
      <c r="H2287" s="74"/>
    </row>
    <row r="2288" spans="8:8">
      <c r="H2288" s="74"/>
    </row>
    <row r="2289" spans="8:8">
      <c r="H2289" s="74"/>
    </row>
    <row r="2290" spans="8:8">
      <c r="H2290" s="74"/>
    </row>
    <row r="2291" spans="8:8">
      <c r="H2291" s="74"/>
    </row>
    <row r="2292" spans="8:8">
      <c r="H2292" s="74"/>
    </row>
    <row r="2293" spans="8:8">
      <c r="H2293" s="74"/>
    </row>
    <row r="2294" spans="8:8">
      <c r="H2294" s="74"/>
    </row>
    <row r="2295" spans="8:8">
      <c r="H2295" s="74"/>
    </row>
    <row r="2296" spans="8:8">
      <c r="H2296" s="74"/>
    </row>
    <row r="2297" spans="8:8">
      <c r="H2297" s="74"/>
    </row>
    <row r="2298" spans="8:8">
      <c r="H2298" s="74"/>
    </row>
    <row r="2299" spans="8:8">
      <c r="H2299" s="74"/>
    </row>
    <row r="2300" spans="8:8">
      <c r="H2300" s="74"/>
    </row>
    <row r="2301" spans="8:8">
      <c r="H2301" s="74"/>
    </row>
    <row r="2302" spans="8:8">
      <c r="H2302" s="74"/>
    </row>
    <row r="2303" spans="8:8">
      <c r="H2303" s="74"/>
    </row>
    <row r="2304" spans="8:8">
      <c r="H2304" s="74"/>
    </row>
    <row r="2305" spans="8:8">
      <c r="H2305" s="74"/>
    </row>
    <row r="2306" spans="8:8">
      <c r="H2306" s="74"/>
    </row>
    <row r="2307" spans="8:8">
      <c r="H2307" s="74"/>
    </row>
    <row r="2308" spans="8:8">
      <c r="H2308" s="74"/>
    </row>
    <row r="2309" spans="8:8">
      <c r="H2309" s="74"/>
    </row>
    <row r="2310" spans="8:8">
      <c r="H2310" s="74"/>
    </row>
    <row r="2311" spans="8:8">
      <c r="H2311" s="74"/>
    </row>
    <row r="2312" spans="8:8">
      <c r="H2312" s="74"/>
    </row>
    <row r="2313" spans="8:8">
      <c r="H2313" s="74"/>
    </row>
    <row r="2314" spans="8:8">
      <c r="H2314" s="74"/>
    </row>
    <row r="2315" spans="8:8">
      <c r="H2315" s="74"/>
    </row>
    <row r="2316" spans="8:8">
      <c r="H2316" s="74"/>
    </row>
    <row r="2317" spans="8:8">
      <c r="H2317" s="74"/>
    </row>
    <row r="2318" spans="8:8">
      <c r="H2318" s="74"/>
    </row>
    <row r="2319" spans="8:8">
      <c r="H2319" s="74"/>
    </row>
    <row r="2320" spans="8:8">
      <c r="H2320" s="74"/>
    </row>
    <row r="2321" spans="8:8">
      <c r="H2321" s="74"/>
    </row>
    <row r="2322" spans="8:8">
      <c r="H2322" s="74"/>
    </row>
    <row r="2323" spans="8:8">
      <c r="H2323" s="74"/>
    </row>
    <row r="2324" spans="8:8">
      <c r="H2324" s="74"/>
    </row>
    <row r="2325" spans="8:8">
      <c r="H2325" s="74"/>
    </row>
    <row r="2326" spans="8:8">
      <c r="H2326" s="74"/>
    </row>
    <row r="2327" spans="8:8">
      <c r="H2327" s="74"/>
    </row>
    <row r="2328" spans="8:8">
      <c r="H2328" s="74"/>
    </row>
    <row r="2329" spans="8:8">
      <c r="H2329" s="74"/>
    </row>
    <row r="2330" spans="8:8">
      <c r="H2330" s="74"/>
    </row>
    <row r="2331" spans="8:8">
      <c r="H2331" s="74"/>
    </row>
    <row r="2332" spans="8:8">
      <c r="H2332" s="74"/>
    </row>
    <row r="2333" spans="8:8">
      <c r="H2333" s="74"/>
    </row>
    <row r="2334" spans="8:8">
      <c r="H2334" s="74"/>
    </row>
    <row r="2335" spans="8:8">
      <c r="H2335" s="74"/>
    </row>
    <row r="2336" spans="8:8">
      <c r="H2336" s="74"/>
    </row>
    <row r="2337" spans="8:8">
      <c r="H2337" s="74"/>
    </row>
    <row r="2338" spans="8:8">
      <c r="H2338" s="74"/>
    </row>
    <row r="2339" spans="8:8">
      <c r="H2339" s="74"/>
    </row>
    <row r="2340" spans="8:8">
      <c r="H2340" s="74"/>
    </row>
    <row r="2341" spans="8:8">
      <c r="H2341" s="74"/>
    </row>
    <row r="2342" spans="8:8">
      <c r="H2342" s="74"/>
    </row>
    <row r="2343" spans="8:8">
      <c r="H2343" s="74"/>
    </row>
    <row r="2344" spans="8:8">
      <c r="H2344" s="74"/>
    </row>
    <row r="2345" spans="8:8">
      <c r="H2345" s="74"/>
    </row>
    <row r="2346" spans="8:8">
      <c r="H2346" s="74"/>
    </row>
    <row r="2347" spans="8:8">
      <c r="H2347" s="74"/>
    </row>
    <row r="2348" spans="8:8">
      <c r="H2348" s="74"/>
    </row>
    <row r="2349" spans="8:8">
      <c r="H2349" s="74"/>
    </row>
    <row r="2350" spans="8:8">
      <c r="H2350" s="74"/>
    </row>
    <row r="2351" spans="8:8">
      <c r="H2351" s="74"/>
    </row>
    <row r="2352" spans="8:8">
      <c r="H2352" s="74"/>
    </row>
    <row r="2353" spans="8:8">
      <c r="H2353" s="74"/>
    </row>
    <row r="2354" spans="8:8">
      <c r="H2354" s="74"/>
    </row>
    <row r="2355" spans="8:8">
      <c r="H2355" s="74"/>
    </row>
    <row r="2356" spans="8:8">
      <c r="H2356" s="74"/>
    </row>
    <row r="2357" spans="8:8">
      <c r="H2357" s="74"/>
    </row>
    <row r="2358" spans="8:8">
      <c r="H2358" s="74"/>
    </row>
    <row r="2359" spans="8:8">
      <c r="H2359" s="74"/>
    </row>
    <row r="2360" spans="8:8">
      <c r="H2360" s="74"/>
    </row>
    <row r="2361" spans="8:8">
      <c r="H2361" s="74"/>
    </row>
    <row r="2362" spans="8:8">
      <c r="H2362" s="74"/>
    </row>
    <row r="2363" spans="8:8">
      <c r="H2363" s="74"/>
    </row>
    <row r="2364" spans="8:8">
      <c r="H2364" s="74"/>
    </row>
    <row r="2365" spans="8:8">
      <c r="H2365" s="74"/>
    </row>
    <row r="2366" spans="8:8">
      <c r="H2366" s="74"/>
    </row>
    <row r="2367" spans="8:8">
      <c r="H2367" s="74"/>
    </row>
    <row r="2368" spans="8:8">
      <c r="H2368" s="74"/>
    </row>
    <row r="2369" spans="8:8">
      <c r="H2369" s="74"/>
    </row>
    <row r="2370" spans="8:8">
      <c r="H2370" s="74"/>
    </row>
    <row r="2371" spans="8:8">
      <c r="H2371" s="74"/>
    </row>
    <row r="2372" spans="8:8">
      <c r="H2372" s="74"/>
    </row>
    <row r="2373" spans="8:8">
      <c r="H2373" s="74"/>
    </row>
    <row r="2374" spans="8:8">
      <c r="H2374" s="74"/>
    </row>
    <row r="2375" spans="8:8">
      <c r="H2375" s="74"/>
    </row>
    <row r="2376" spans="8:8">
      <c r="H2376" s="74"/>
    </row>
    <row r="2377" spans="8:8">
      <c r="H2377" s="74"/>
    </row>
    <row r="2378" spans="8:8">
      <c r="H2378" s="74"/>
    </row>
    <row r="2379" spans="8:8">
      <c r="H2379" s="74"/>
    </row>
    <row r="2380" spans="8:8">
      <c r="H2380" s="74"/>
    </row>
    <row r="2381" spans="8:8">
      <c r="H2381" s="74"/>
    </row>
    <row r="2382" spans="8:8">
      <c r="H2382" s="74"/>
    </row>
    <row r="2383" spans="8:8">
      <c r="H2383" s="74"/>
    </row>
    <row r="2384" spans="8:8">
      <c r="H2384" s="74"/>
    </row>
    <row r="2385" spans="8:8">
      <c r="H2385" s="74"/>
    </row>
    <row r="2386" spans="8:8">
      <c r="H2386" s="74"/>
    </row>
    <row r="2387" spans="8:8">
      <c r="H2387" s="74"/>
    </row>
    <row r="2388" spans="8:8">
      <c r="H2388" s="74"/>
    </row>
    <row r="2389" spans="8:8">
      <c r="H2389" s="74"/>
    </row>
    <row r="2390" spans="8:8">
      <c r="H2390" s="74"/>
    </row>
    <row r="2391" spans="8:8">
      <c r="H2391" s="74"/>
    </row>
    <row r="2392" spans="8:8">
      <c r="H2392" s="74"/>
    </row>
    <row r="2393" spans="8:8">
      <c r="H2393" s="74"/>
    </row>
    <row r="2394" spans="8:8">
      <c r="H2394" s="74"/>
    </row>
    <row r="2395" spans="8:8">
      <c r="H2395" s="74"/>
    </row>
    <row r="2396" spans="8:8">
      <c r="H2396" s="74"/>
    </row>
    <row r="2397" spans="8:8">
      <c r="H2397" s="74"/>
    </row>
    <row r="2398" spans="8:8">
      <c r="H2398" s="74"/>
    </row>
    <row r="2399" spans="8:8">
      <c r="H2399" s="74"/>
    </row>
    <row r="2400" spans="8:8">
      <c r="H2400" s="74"/>
    </row>
    <row r="2401" spans="8:8">
      <c r="H2401" s="74"/>
    </row>
    <row r="2402" spans="8:8">
      <c r="H2402" s="74"/>
    </row>
    <row r="2403" spans="8:8">
      <c r="H2403" s="74"/>
    </row>
    <row r="2404" spans="8:8">
      <c r="H2404" s="74"/>
    </row>
    <row r="2405" spans="8:8">
      <c r="H2405" s="74"/>
    </row>
    <row r="2406" spans="8:8">
      <c r="H2406" s="74"/>
    </row>
    <row r="2407" spans="8:8">
      <c r="H2407" s="74"/>
    </row>
    <row r="2408" spans="8:8">
      <c r="H2408" s="74"/>
    </row>
    <row r="2409" spans="8:8">
      <c r="H2409" s="74"/>
    </row>
    <row r="2410" spans="8:8">
      <c r="H2410" s="74"/>
    </row>
    <row r="2411" spans="8:8">
      <c r="H2411" s="74"/>
    </row>
    <row r="2412" spans="8:8">
      <c r="H2412" s="74"/>
    </row>
    <row r="2413" spans="8:8">
      <c r="H2413" s="74"/>
    </row>
    <row r="2414" spans="8:8">
      <c r="H2414" s="74"/>
    </row>
    <row r="2415" spans="8:8">
      <c r="H2415" s="74"/>
    </row>
    <row r="2416" spans="8:8">
      <c r="H2416" s="74"/>
    </row>
    <row r="2417" spans="8:8">
      <c r="H2417" s="74"/>
    </row>
    <row r="2418" spans="8:8">
      <c r="H2418" s="74"/>
    </row>
    <row r="2419" spans="8:8">
      <c r="H2419" s="74"/>
    </row>
    <row r="2420" spans="8:8">
      <c r="H2420" s="74"/>
    </row>
    <row r="2421" spans="8:8">
      <c r="H2421" s="74"/>
    </row>
    <row r="2422" spans="8:8">
      <c r="H2422" s="74"/>
    </row>
    <row r="2423" spans="8:8">
      <c r="H2423" s="74"/>
    </row>
    <row r="2424" spans="8:8">
      <c r="H2424" s="74"/>
    </row>
    <row r="2425" spans="8:8">
      <c r="H2425" s="74"/>
    </row>
    <row r="2426" spans="8:8">
      <c r="H2426" s="74"/>
    </row>
    <row r="2427" spans="8:8">
      <c r="H2427" s="74"/>
    </row>
    <row r="2428" spans="8:8">
      <c r="H2428" s="74"/>
    </row>
    <row r="2429" spans="8:8">
      <c r="H2429" s="74"/>
    </row>
    <row r="2430" spans="8:8">
      <c r="H2430" s="74"/>
    </row>
    <row r="2431" spans="8:8">
      <c r="H2431" s="74"/>
    </row>
    <row r="2432" spans="8:8">
      <c r="H2432" s="74"/>
    </row>
    <row r="2433" spans="8:8">
      <c r="H2433" s="74"/>
    </row>
    <row r="2434" spans="8:8">
      <c r="H2434" s="74"/>
    </row>
    <row r="2435" spans="8:8">
      <c r="H2435" s="74"/>
    </row>
    <row r="2436" spans="8:8">
      <c r="H2436" s="74"/>
    </row>
    <row r="2437" spans="8:8">
      <c r="H2437" s="74"/>
    </row>
    <row r="2438" spans="8:8">
      <c r="H2438" s="74"/>
    </row>
    <row r="2439" spans="8:8">
      <c r="H2439" s="74"/>
    </row>
    <row r="2440" spans="8:8">
      <c r="H2440" s="74"/>
    </row>
    <row r="2441" spans="8:8">
      <c r="H2441" s="74"/>
    </row>
    <row r="2442" spans="8:8">
      <c r="H2442" s="74"/>
    </row>
    <row r="2443" spans="8:8">
      <c r="H2443" s="74"/>
    </row>
    <row r="2444" spans="8:8">
      <c r="H2444" s="74"/>
    </row>
    <row r="2445" spans="8:8">
      <c r="H2445" s="74"/>
    </row>
    <row r="2446" spans="8:8">
      <c r="H2446" s="74"/>
    </row>
    <row r="2447" spans="8:8">
      <c r="H2447" s="74"/>
    </row>
    <row r="2448" spans="8:8">
      <c r="H2448" s="74"/>
    </row>
    <row r="2449" spans="8:8">
      <c r="H2449" s="74"/>
    </row>
    <row r="2450" spans="8:8">
      <c r="H2450" s="74"/>
    </row>
    <row r="2451" spans="8:8">
      <c r="H2451" s="74"/>
    </row>
    <row r="2452" spans="8:8">
      <c r="H2452" s="74"/>
    </row>
    <row r="2453" spans="8:8">
      <c r="H2453" s="74"/>
    </row>
    <row r="2454" spans="8:8">
      <c r="H2454" s="74"/>
    </row>
    <row r="2455" spans="8:8">
      <c r="H2455" s="74"/>
    </row>
    <row r="2456" spans="8:8">
      <c r="H2456" s="74"/>
    </row>
    <row r="2457" spans="8:8">
      <c r="H2457" s="74"/>
    </row>
    <row r="2458" spans="8:8">
      <c r="H2458" s="74"/>
    </row>
    <row r="2459" spans="8:8">
      <c r="H2459" s="74"/>
    </row>
    <row r="2460" spans="8:8">
      <c r="H2460" s="74"/>
    </row>
    <row r="2461" spans="8:8">
      <c r="H2461" s="74"/>
    </row>
    <row r="2462" spans="8:8">
      <c r="H2462" s="74"/>
    </row>
    <row r="2463" spans="8:8">
      <c r="H2463" s="74"/>
    </row>
    <row r="2464" spans="8:8">
      <c r="H2464" s="74"/>
    </row>
    <row r="2465" spans="8:8">
      <c r="H2465" s="74"/>
    </row>
    <row r="2466" spans="8:8">
      <c r="H2466" s="74"/>
    </row>
    <row r="2467" spans="8:8">
      <c r="H2467" s="74"/>
    </row>
    <row r="2468" spans="8:8">
      <c r="H2468" s="74"/>
    </row>
    <row r="2469" spans="8:8">
      <c r="H2469" s="74"/>
    </row>
    <row r="2470" spans="8:8">
      <c r="H2470" s="74"/>
    </row>
    <row r="2471" spans="8:8">
      <c r="H2471" s="74"/>
    </row>
    <row r="2472" spans="8:8">
      <c r="H2472" s="74"/>
    </row>
    <row r="2473" spans="8:8">
      <c r="H2473" s="74"/>
    </row>
    <row r="2474" spans="8:8">
      <c r="H2474" s="74"/>
    </row>
    <row r="2475" spans="8:8">
      <c r="H2475" s="74"/>
    </row>
    <row r="2476" spans="8:8">
      <c r="H2476" s="74"/>
    </row>
    <row r="2477" spans="8:8">
      <c r="H2477" s="74"/>
    </row>
    <row r="2478" spans="8:8">
      <c r="H2478" s="74"/>
    </row>
    <row r="2479" spans="8:8">
      <c r="H2479" s="74"/>
    </row>
    <row r="2480" spans="8:8">
      <c r="H2480" s="74"/>
    </row>
    <row r="2481" spans="8:8">
      <c r="H2481" s="74"/>
    </row>
    <row r="2482" spans="8:8">
      <c r="H2482" s="74"/>
    </row>
    <row r="2483" spans="8:8">
      <c r="H2483" s="74"/>
    </row>
    <row r="2484" spans="8:8">
      <c r="H2484" s="74"/>
    </row>
    <row r="2485" spans="8:8">
      <c r="H2485" s="74"/>
    </row>
    <row r="2486" spans="8:8">
      <c r="H2486" s="74"/>
    </row>
    <row r="2487" spans="8:8">
      <c r="H2487" s="74"/>
    </row>
    <row r="2488" spans="8:8">
      <c r="H2488" s="74"/>
    </row>
    <row r="2489" spans="8:8">
      <c r="H2489" s="74"/>
    </row>
    <row r="2490" spans="8:8">
      <c r="H2490" s="74"/>
    </row>
    <row r="2491" spans="8:8">
      <c r="H2491" s="74"/>
    </row>
    <row r="2492" spans="8:8">
      <c r="H2492" s="74"/>
    </row>
    <row r="2493" spans="8:8">
      <c r="H2493" s="74"/>
    </row>
    <row r="2494" spans="8:8">
      <c r="H2494" s="74"/>
    </row>
    <row r="2495" spans="8:8">
      <c r="H2495" s="74"/>
    </row>
    <row r="2496" spans="8:8">
      <c r="H2496" s="74"/>
    </row>
    <row r="2497" spans="3:20">
      <c r="H2497" s="74"/>
    </row>
    <row r="2498" spans="3:20">
      <c r="H2498" s="74"/>
    </row>
    <row r="2499" spans="3:20">
      <c r="H2499" s="74"/>
    </row>
    <row r="2500" spans="3:20">
      <c r="H2500" s="74"/>
    </row>
    <row r="2501" spans="3:20">
      <c r="H2501" s="74"/>
    </row>
    <row r="2502" spans="3:20">
      <c r="H2502" s="74"/>
    </row>
    <row r="2503" spans="3:20">
      <c r="H2503" s="74"/>
    </row>
    <row r="2504" spans="3:20">
      <c r="H2504" s="74"/>
    </row>
    <row r="2505" spans="3:20">
      <c r="H2505" s="74"/>
    </row>
    <row r="2506" spans="3:20">
      <c r="H2506" s="74"/>
    </row>
    <row r="2507" spans="3:20">
      <c r="H2507" s="74"/>
    </row>
    <row r="2508" spans="3:20">
      <c r="H2508" s="74"/>
    </row>
    <row r="2509" spans="3:20">
      <c r="H2509" s="74"/>
    </row>
    <row r="2510" spans="3:20">
      <c r="C2510" s="72"/>
      <c r="D2510" s="72"/>
      <c r="E2510" s="72"/>
      <c r="F2510" s="73"/>
      <c r="G2510" s="73"/>
      <c r="H2510" s="74"/>
      <c r="I2510" s="71"/>
      <c r="J2510" s="71"/>
      <c r="K2510" s="71"/>
      <c r="L2510" s="71"/>
      <c r="M2510" s="71"/>
      <c r="N2510" s="71"/>
      <c r="O2510" s="71"/>
      <c r="P2510" s="71"/>
      <c r="Q2510" s="71"/>
      <c r="R2510" s="71"/>
      <c r="S2510" s="71"/>
      <c r="T2510" s="71"/>
    </row>
    <row r="2511" spans="3:20">
      <c r="H2511" s="74"/>
    </row>
    <row r="2512" spans="3:20">
      <c r="H2512" s="74"/>
    </row>
    <row r="2513" spans="8:8">
      <c r="H2513" s="74"/>
    </row>
    <row r="2514" spans="8:8">
      <c r="H2514" s="74"/>
    </row>
    <row r="2515" spans="8:8">
      <c r="H2515" s="74"/>
    </row>
    <row r="2516" spans="8:8">
      <c r="H2516" s="74"/>
    </row>
    <row r="2517" spans="8:8">
      <c r="H2517" s="74"/>
    </row>
    <row r="2518" spans="8:8">
      <c r="H2518" s="74"/>
    </row>
    <row r="2519" spans="8:8">
      <c r="H2519" s="74"/>
    </row>
    <row r="2520" spans="8:8">
      <c r="H2520" s="74"/>
    </row>
    <row r="2521" spans="8:8">
      <c r="H2521" s="74"/>
    </row>
    <row r="2522" spans="8:8">
      <c r="H2522" s="74"/>
    </row>
    <row r="2523" spans="8:8">
      <c r="H2523" s="74"/>
    </row>
    <row r="2524" spans="8:8">
      <c r="H2524" s="74"/>
    </row>
    <row r="2525" spans="8:8">
      <c r="H2525" s="74"/>
    </row>
    <row r="2526" spans="8:8">
      <c r="H2526" s="74"/>
    </row>
    <row r="2527" spans="8:8">
      <c r="H2527" s="74"/>
    </row>
    <row r="2528" spans="8:8">
      <c r="H2528" s="74"/>
    </row>
    <row r="2529" spans="8:8">
      <c r="H2529" s="74"/>
    </row>
    <row r="2530" spans="8:8">
      <c r="H2530" s="74"/>
    </row>
    <row r="2531" spans="8:8">
      <c r="H2531" s="74"/>
    </row>
    <row r="2532" spans="8:8">
      <c r="H2532" s="74"/>
    </row>
    <row r="2533" spans="8:8">
      <c r="H2533" s="74"/>
    </row>
    <row r="2534" spans="8:8">
      <c r="H2534" s="74"/>
    </row>
    <row r="2535" spans="8:8">
      <c r="H2535" s="74"/>
    </row>
    <row r="2536" spans="8:8">
      <c r="H2536" s="74"/>
    </row>
    <row r="2537" spans="8:8">
      <c r="H2537" s="74"/>
    </row>
    <row r="2538" spans="8:8">
      <c r="H2538" s="74"/>
    </row>
    <row r="2539" spans="8:8">
      <c r="H2539" s="74"/>
    </row>
    <row r="2540" spans="8:8">
      <c r="H2540" s="74"/>
    </row>
    <row r="2541" spans="8:8">
      <c r="H2541" s="74"/>
    </row>
    <row r="2542" spans="8:8">
      <c r="H2542" s="74"/>
    </row>
    <row r="2543" spans="8:8">
      <c r="H2543" s="74"/>
    </row>
    <row r="2544" spans="8:8">
      <c r="H2544" s="74"/>
    </row>
    <row r="2545" spans="8:8">
      <c r="H2545" s="74"/>
    </row>
    <row r="2546" spans="8:8">
      <c r="H2546" s="74"/>
    </row>
    <row r="2547" spans="8:8">
      <c r="H2547" s="74"/>
    </row>
    <row r="2548" spans="8:8">
      <c r="H2548" s="74"/>
    </row>
    <row r="2549" spans="8:8">
      <c r="H2549" s="74"/>
    </row>
    <row r="2550" spans="8:8">
      <c r="H2550" s="74"/>
    </row>
    <row r="2551" spans="8:8">
      <c r="H2551" s="74"/>
    </row>
    <row r="2552" spans="8:8">
      <c r="H2552" s="74"/>
    </row>
    <row r="2553" spans="8:8">
      <c r="H2553" s="74"/>
    </row>
    <row r="2554" spans="8:8">
      <c r="H2554" s="74"/>
    </row>
    <row r="2555" spans="8:8">
      <c r="H2555" s="74"/>
    </row>
    <row r="2556" spans="8:8">
      <c r="H2556" s="74"/>
    </row>
    <row r="2557" spans="8:8">
      <c r="H2557" s="74"/>
    </row>
    <row r="2558" spans="8:8">
      <c r="H2558" s="74"/>
    </row>
    <row r="2559" spans="8:8">
      <c r="H2559" s="74"/>
    </row>
    <row r="2560" spans="8:8">
      <c r="H2560" s="74"/>
    </row>
    <row r="2561" spans="8:8">
      <c r="H2561" s="74"/>
    </row>
    <row r="2562" spans="8:8">
      <c r="H2562" s="74"/>
    </row>
    <row r="2563" spans="8:8">
      <c r="H2563" s="74"/>
    </row>
    <row r="2564" spans="8:8">
      <c r="H2564" s="74"/>
    </row>
    <row r="2565" spans="8:8">
      <c r="H2565" s="74"/>
    </row>
    <row r="2566" spans="8:8">
      <c r="H2566" s="74"/>
    </row>
    <row r="2567" spans="8:8">
      <c r="H2567" s="74"/>
    </row>
    <row r="2568" spans="8:8">
      <c r="H2568" s="74"/>
    </row>
    <row r="2569" spans="8:8">
      <c r="H2569" s="74"/>
    </row>
    <row r="2570" spans="8:8">
      <c r="H2570" s="74"/>
    </row>
    <row r="2571" spans="8:8">
      <c r="H2571" s="74"/>
    </row>
    <row r="2572" spans="8:8">
      <c r="H2572" s="74"/>
    </row>
    <row r="2573" spans="8:8">
      <c r="H2573" s="74"/>
    </row>
    <row r="2574" spans="8:8">
      <c r="H2574" s="74"/>
    </row>
    <row r="2575" spans="8:8">
      <c r="H2575" s="74"/>
    </row>
    <row r="2576" spans="8:8">
      <c r="H2576" s="74"/>
    </row>
    <row r="2577" spans="8:8">
      <c r="H2577" s="74"/>
    </row>
    <row r="2578" spans="8:8">
      <c r="H2578" s="74"/>
    </row>
    <row r="2579" spans="8:8">
      <c r="H2579" s="74"/>
    </row>
    <row r="2580" spans="8:8">
      <c r="H2580" s="74"/>
    </row>
    <row r="2581" spans="8:8">
      <c r="H2581" s="74"/>
    </row>
    <row r="2582" spans="8:8">
      <c r="H2582" s="74"/>
    </row>
    <row r="2583" spans="8:8">
      <c r="H2583" s="74"/>
    </row>
    <row r="2584" spans="8:8">
      <c r="H2584" s="74"/>
    </row>
    <row r="2585" spans="8:8">
      <c r="H2585" s="74"/>
    </row>
    <row r="2586" spans="8:8">
      <c r="H2586" s="74"/>
    </row>
    <row r="2587" spans="8:8">
      <c r="H2587" s="74"/>
    </row>
    <row r="2588" spans="8:8">
      <c r="H2588" s="74"/>
    </row>
    <row r="2589" spans="8:8">
      <c r="H2589" s="74"/>
    </row>
    <row r="2590" spans="8:8">
      <c r="H2590" s="74"/>
    </row>
    <row r="2591" spans="8:8">
      <c r="H2591" s="74"/>
    </row>
    <row r="2592" spans="8:8">
      <c r="H2592" s="74"/>
    </row>
    <row r="2593" spans="8:8">
      <c r="H2593" s="74"/>
    </row>
    <row r="2594" spans="8:8">
      <c r="H2594" s="74"/>
    </row>
    <row r="2595" spans="8:8">
      <c r="H2595" s="74"/>
    </row>
    <row r="2596" spans="8:8">
      <c r="H2596" s="74"/>
    </row>
    <row r="2597" spans="8:8">
      <c r="H2597" s="74"/>
    </row>
    <row r="2598" spans="8:8">
      <c r="H2598" s="74"/>
    </row>
    <row r="2599" spans="8:8">
      <c r="H2599" s="74"/>
    </row>
    <row r="2600" spans="8:8">
      <c r="H2600" s="74"/>
    </row>
    <row r="2601" spans="8:8">
      <c r="H2601" s="74"/>
    </row>
    <row r="2602" spans="8:8">
      <c r="H2602" s="74"/>
    </row>
    <row r="2603" spans="8:8">
      <c r="H2603" s="74"/>
    </row>
    <row r="2604" spans="8:8">
      <c r="H2604" s="74"/>
    </row>
    <row r="2605" spans="8:8">
      <c r="H2605" s="74"/>
    </row>
    <row r="2606" spans="8:8">
      <c r="H2606" s="74"/>
    </row>
    <row r="2607" spans="8:8">
      <c r="H2607" s="74"/>
    </row>
    <row r="2608" spans="8:8">
      <c r="H2608" s="74"/>
    </row>
    <row r="2609" spans="8:8">
      <c r="H2609" s="74"/>
    </row>
    <row r="2610" spans="8:8">
      <c r="H2610" s="74"/>
    </row>
    <row r="2611" spans="8:8">
      <c r="H2611" s="74"/>
    </row>
    <row r="2612" spans="8:8">
      <c r="H2612" s="74"/>
    </row>
    <row r="2613" spans="8:8">
      <c r="H2613" s="74"/>
    </row>
    <row r="2614" spans="8:8">
      <c r="H2614" s="74"/>
    </row>
    <row r="2615" spans="8:8">
      <c r="H2615" s="74"/>
    </row>
    <row r="2616" spans="8:8">
      <c r="H2616" s="74"/>
    </row>
    <row r="2617" spans="8:8">
      <c r="H2617" s="74"/>
    </row>
    <row r="2618" spans="8:8">
      <c r="H2618" s="74"/>
    </row>
    <row r="2619" spans="8:8">
      <c r="H2619" s="74"/>
    </row>
    <row r="2620" spans="8:8">
      <c r="H2620" s="74"/>
    </row>
    <row r="2621" spans="8:8">
      <c r="H2621" s="74"/>
    </row>
    <row r="2622" spans="8:8">
      <c r="H2622" s="74"/>
    </row>
    <row r="2623" spans="8:8">
      <c r="H2623" s="74"/>
    </row>
    <row r="2624" spans="8:8">
      <c r="H2624" s="74"/>
    </row>
    <row r="2625" spans="8:8">
      <c r="H2625" s="74"/>
    </row>
    <row r="2626" spans="8:8">
      <c r="H2626" s="74"/>
    </row>
    <row r="2627" spans="8:8">
      <c r="H2627" s="74"/>
    </row>
    <row r="2628" spans="8:8">
      <c r="H2628" s="74"/>
    </row>
    <row r="2629" spans="8:8">
      <c r="H2629" s="74"/>
    </row>
    <row r="2630" spans="8:8">
      <c r="H2630" s="74"/>
    </row>
    <row r="2631" spans="8:8">
      <c r="H2631" s="74"/>
    </row>
    <row r="2632" spans="8:8">
      <c r="H2632" s="74"/>
    </row>
    <row r="2633" spans="8:8">
      <c r="H2633" s="74"/>
    </row>
    <row r="2634" spans="8:8">
      <c r="H2634" s="74"/>
    </row>
    <row r="2635" spans="8:8">
      <c r="H2635" s="74"/>
    </row>
    <row r="2636" spans="8:8">
      <c r="H2636" s="74"/>
    </row>
    <row r="2637" spans="8:8">
      <c r="H2637" s="74"/>
    </row>
    <row r="2638" spans="8:8">
      <c r="H2638" s="74"/>
    </row>
    <row r="2639" spans="8:8">
      <c r="H2639" s="74"/>
    </row>
    <row r="2640" spans="8:8">
      <c r="H2640" s="74"/>
    </row>
    <row r="2641" spans="8:8">
      <c r="H2641" s="74"/>
    </row>
    <row r="2642" spans="8:8">
      <c r="H2642" s="74"/>
    </row>
    <row r="2643" spans="8:8">
      <c r="H2643" s="74"/>
    </row>
    <row r="2644" spans="8:8">
      <c r="H2644" s="74"/>
    </row>
    <row r="2645" spans="8:8">
      <c r="H2645" s="74"/>
    </row>
    <row r="2646" spans="8:8">
      <c r="H2646" s="74"/>
    </row>
    <row r="2647" spans="8:8">
      <c r="H2647" s="74"/>
    </row>
    <row r="2648" spans="8:8">
      <c r="H2648" s="74"/>
    </row>
    <row r="2649" spans="8:8">
      <c r="H2649" s="74"/>
    </row>
    <row r="2650" spans="8:8">
      <c r="H2650" s="74"/>
    </row>
    <row r="2651" spans="8:8">
      <c r="H2651" s="74"/>
    </row>
    <row r="2652" spans="8:8">
      <c r="H2652" s="74"/>
    </row>
    <row r="2653" spans="8:8">
      <c r="H2653" s="74"/>
    </row>
    <row r="2654" spans="8:8">
      <c r="H2654" s="74"/>
    </row>
    <row r="2655" spans="8:8">
      <c r="H2655" s="74"/>
    </row>
    <row r="2656" spans="8:8">
      <c r="H2656" s="74"/>
    </row>
    <row r="2657" spans="8:8">
      <c r="H2657" s="74"/>
    </row>
    <row r="2658" spans="8:8">
      <c r="H2658" s="74"/>
    </row>
    <row r="2659" spans="8:8">
      <c r="H2659" s="74"/>
    </row>
    <row r="2660" spans="8:8">
      <c r="H2660" s="74"/>
    </row>
    <row r="2661" spans="8:8">
      <c r="H2661" s="74"/>
    </row>
    <row r="2662" spans="8:8">
      <c r="H2662" s="74"/>
    </row>
    <row r="2663" spans="8:8">
      <c r="H2663" s="74"/>
    </row>
    <row r="2664" spans="8:8">
      <c r="H2664" s="74"/>
    </row>
    <row r="2665" spans="8:8">
      <c r="H2665" s="74"/>
    </row>
    <row r="2666" spans="8:8">
      <c r="H2666" s="74"/>
    </row>
    <row r="2667" spans="8:8">
      <c r="H2667" s="74"/>
    </row>
    <row r="2668" spans="8:8">
      <c r="H2668" s="74"/>
    </row>
    <row r="2669" spans="8:8">
      <c r="H2669" s="74"/>
    </row>
    <row r="2670" spans="8:8">
      <c r="H2670" s="74"/>
    </row>
    <row r="2671" spans="8:8">
      <c r="H2671" s="74"/>
    </row>
    <row r="2672" spans="8:8">
      <c r="H2672" s="74"/>
    </row>
    <row r="2673" spans="8:8">
      <c r="H2673" s="74"/>
    </row>
    <row r="2674" spans="8:8">
      <c r="H2674" s="74"/>
    </row>
    <row r="2675" spans="8:8">
      <c r="H2675" s="74"/>
    </row>
    <row r="2676" spans="8:8">
      <c r="H2676" s="74"/>
    </row>
    <row r="2677" spans="8:8">
      <c r="H2677" s="74"/>
    </row>
    <row r="2678" spans="8:8">
      <c r="H2678" s="74"/>
    </row>
    <row r="2679" spans="8:8">
      <c r="H2679" s="74"/>
    </row>
    <row r="2680" spans="8:8">
      <c r="H2680" s="74"/>
    </row>
    <row r="2681" spans="8:8">
      <c r="H2681" s="74"/>
    </row>
    <row r="2682" spans="8:8">
      <c r="H2682" s="74"/>
    </row>
    <row r="2683" spans="8:8">
      <c r="H2683" s="74"/>
    </row>
    <row r="2684" spans="8:8">
      <c r="H2684" s="74"/>
    </row>
    <row r="2685" spans="8:8">
      <c r="H2685" s="74"/>
    </row>
    <row r="2686" spans="8:8">
      <c r="H2686" s="74"/>
    </row>
    <row r="2687" spans="8:8">
      <c r="H2687" s="74"/>
    </row>
    <row r="2688" spans="8:8">
      <c r="H2688" s="74"/>
    </row>
    <row r="2689" spans="8:8">
      <c r="H2689" s="74"/>
    </row>
    <row r="2690" spans="8:8">
      <c r="H2690" s="74"/>
    </row>
    <row r="2691" spans="8:8">
      <c r="H2691" s="74"/>
    </row>
    <row r="2692" spans="8:8">
      <c r="H2692" s="74"/>
    </row>
    <row r="2693" spans="8:8">
      <c r="H2693" s="74"/>
    </row>
    <row r="2694" spans="8:8">
      <c r="H2694" s="74"/>
    </row>
    <row r="2695" spans="8:8">
      <c r="H2695" s="74"/>
    </row>
    <row r="2696" spans="8:8">
      <c r="H2696" s="74"/>
    </row>
    <row r="2697" spans="8:8">
      <c r="H2697" s="74"/>
    </row>
    <row r="2698" spans="8:8">
      <c r="H2698" s="74"/>
    </row>
    <row r="2699" spans="8:8">
      <c r="H2699" s="74"/>
    </row>
    <row r="2700" spans="8:8">
      <c r="H2700" s="74"/>
    </row>
    <row r="2701" spans="8:8">
      <c r="H2701" s="74"/>
    </row>
    <row r="2702" spans="8:8">
      <c r="H2702" s="74"/>
    </row>
    <row r="2703" spans="8:8">
      <c r="H2703" s="74"/>
    </row>
    <row r="2704" spans="8:8">
      <c r="H2704" s="74"/>
    </row>
    <row r="2705" spans="8:8">
      <c r="H2705" s="74"/>
    </row>
    <row r="2706" spans="8:8">
      <c r="H2706" s="74"/>
    </row>
    <row r="2707" spans="8:8">
      <c r="H2707" s="74"/>
    </row>
    <row r="2708" spans="8:8">
      <c r="H2708" s="74"/>
    </row>
    <row r="2709" spans="8:8">
      <c r="H2709" s="74"/>
    </row>
    <row r="2710" spans="8:8">
      <c r="H2710" s="74"/>
    </row>
    <row r="2711" spans="8:8">
      <c r="H2711" s="74"/>
    </row>
    <row r="2712" spans="8:8">
      <c r="H2712" s="74"/>
    </row>
    <row r="2713" spans="8:8">
      <c r="H2713" s="74"/>
    </row>
    <row r="2714" spans="8:8">
      <c r="H2714" s="74"/>
    </row>
    <row r="2715" spans="8:8">
      <c r="H2715" s="74"/>
    </row>
    <row r="2716" spans="8:8">
      <c r="H2716" s="74"/>
    </row>
    <row r="2717" spans="8:8">
      <c r="H2717" s="74"/>
    </row>
    <row r="2718" spans="8:8">
      <c r="H2718" s="74"/>
    </row>
    <row r="2719" spans="8:8">
      <c r="H2719" s="74"/>
    </row>
    <row r="2720" spans="8:8">
      <c r="H2720" s="74"/>
    </row>
    <row r="2721" spans="8:8">
      <c r="H2721" s="74"/>
    </row>
    <row r="2722" spans="8:8">
      <c r="H2722" s="74"/>
    </row>
    <row r="2723" spans="8:8">
      <c r="H2723" s="74"/>
    </row>
    <row r="2724" spans="8:8">
      <c r="H2724" s="74"/>
    </row>
    <row r="2725" spans="8:8">
      <c r="H2725" s="74"/>
    </row>
    <row r="2726" spans="8:8">
      <c r="H2726" s="74"/>
    </row>
    <row r="2727" spans="8:8">
      <c r="H2727" s="74"/>
    </row>
    <row r="2728" spans="8:8">
      <c r="H2728" s="74"/>
    </row>
    <row r="2729" spans="8:8">
      <c r="H2729" s="74"/>
    </row>
    <row r="2730" spans="8:8">
      <c r="H2730" s="74"/>
    </row>
    <row r="2731" spans="8:8">
      <c r="H2731" s="74"/>
    </row>
    <row r="2732" spans="8:8">
      <c r="H2732" s="74"/>
    </row>
    <row r="2733" spans="8:8">
      <c r="H2733" s="74"/>
    </row>
    <row r="2734" spans="8:8">
      <c r="H2734" s="74"/>
    </row>
    <row r="2735" spans="8:8">
      <c r="H2735" s="74"/>
    </row>
    <row r="2736" spans="8:8">
      <c r="H2736" s="74"/>
    </row>
    <row r="2737" spans="8:8">
      <c r="H2737" s="74"/>
    </row>
    <row r="2738" spans="8:8">
      <c r="H2738" s="74"/>
    </row>
    <row r="2739" spans="8:8">
      <c r="H2739" s="74"/>
    </row>
    <row r="2740" spans="8:8">
      <c r="H2740" s="74"/>
    </row>
    <row r="2741" spans="8:8">
      <c r="H2741" s="74"/>
    </row>
    <row r="2742" spans="8:8">
      <c r="H2742" s="74"/>
    </row>
    <row r="2743" spans="8:8">
      <c r="H2743" s="74"/>
    </row>
    <row r="2744" spans="8:8">
      <c r="H2744" s="74"/>
    </row>
    <row r="2745" spans="8:8">
      <c r="H2745" s="74"/>
    </row>
    <row r="2746" spans="8:8">
      <c r="H2746" s="74"/>
    </row>
    <row r="2747" spans="8:8">
      <c r="H2747" s="74"/>
    </row>
    <row r="2748" spans="8:8">
      <c r="H2748" s="74"/>
    </row>
    <row r="2749" spans="8:8">
      <c r="H2749" s="74"/>
    </row>
    <row r="2750" spans="8:8">
      <c r="H2750" s="74"/>
    </row>
    <row r="2751" spans="8:8">
      <c r="H2751" s="74"/>
    </row>
    <row r="2752" spans="8:8">
      <c r="H2752" s="74"/>
    </row>
    <row r="2753" spans="8:8">
      <c r="H2753" s="74"/>
    </row>
    <row r="2754" spans="8:8">
      <c r="H2754" s="74"/>
    </row>
    <row r="2755" spans="8:8">
      <c r="H2755" s="74"/>
    </row>
    <row r="2756" spans="8:8">
      <c r="H2756" s="74"/>
    </row>
    <row r="2757" spans="8:8">
      <c r="H2757" s="74"/>
    </row>
    <row r="2758" spans="8:8">
      <c r="H2758" s="74"/>
    </row>
    <row r="2759" spans="8:8">
      <c r="H2759" s="74"/>
    </row>
    <row r="2760" spans="8:8">
      <c r="H2760" s="74"/>
    </row>
    <row r="2761" spans="8:8">
      <c r="H2761" s="74"/>
    </row>
    <row r="2762" spans="8:8">
      <c r="H2762" s="74"/>
    </row>
    <row r="2763" spans="8:8">
      <c r="H2763" s="74"/>
    </row>
    <row r="2764" spans="8:8">
      <c r="H2764" s="74"/>
    </row>
    <row r="2765" spans="8:8">
      <c r="H2765" s="74"/>
    </row>
    <row r="2766" spans="8:8">
      <c r="H2766" s="74"/>
    </row>
    <row r="2767" spans="8:8">
      <c r="H2767" s="74"/>
    </row>
    <row r="2768" spans="8:8">
      <c r="H2768" s="74"/>
    </row>
    <row r="2769" spans="8:8">
      <c r="H2769" s="74"/>
    </row>
    <row r="2770" spans="8:8">
      <c r="H2770" s="74"/>
    </row>
    <row r="2771" spans="8:8">
      <c r="H2771" s="74"/>
    </row>
    <row r="2772" spans="8:8">
      <c r="H2772" s="74"/>
    </row>
    <row r="2773" spans="8:8">
      <c r="H2773" s="74"/>
    </row>
    <row r="2774" spans="8:8">
      <c r="H2774" s="74"/>
    </row>
    <row r="2775" spans="8:8">
      <c r="H2775" s="74"/>
    </row>
    <row r="2776" spans="8:8">
      <c r="H2776" s="74"/>
    </row>
    <row r="2777" spans="8:8">
      <c r="H2777" s="74"/>
    </row>
    <row r="2778" spans="8:8">
      <c r="H2778" s="74"/>
    </row>
    <row r="2779" spans="8:8">
      <c r="H2779" s="74"/>
    </row>
    <row r="2780" spans="8:8">
      <c r="H2780" s="74"/>
    </row>
    <row r="2781" spans="8:8">
      <c r="H2781" s="74"/>
    </row>
    <row r="2782" spans="8:8">
      <c r="H2782" s="74"/>
    </row>
    <row r="2783" spans="8:8">
      <c r="H2783" s="74"/>
    </row>
    <row r="2784" spans="8:8">
      <c r="H2784" s="74"/>
    </row>
    <row r="2785" spans="8:8">
      <c r="H2785" s="74"/>
    </row>
    <row r="2786" spans="8:8">
      <c r="H2786" s="74"/>
    </row>
    <row r="2787" spans="8:8">
      <c r="H2787" s="74"/>
    </row>
    <row r="2788" spans="8:8">
      <c r="H2788" s="74"/>
    </row>
    <row r="2789" spans="8:8">
      <c r="H2789" s="74"/>
    </row>
    <row r="2790" spans="8:8">
      <c r="H2790" s="74"/>
    </row>
    <row r="2791" spans="8:8">
      <c r="H2791" s="74"/>
    </row>
    <row r="2792" spans="8:8">
      <c r="H2792" s="74"/>
    </row>
    <row r="2793" spans="8:8">
      <c r="H2793" s="74"/>
    </row>
    <row r="2794" spans="8:8">
      <c r="H2794" s="74"/>
    </row>
    <row r="2795" spans="8:8">
      <c r="H2795" s="74"/>
    </row>
    <row r="2796" spans="8:8">
      <c r="H2796" s="74"/>
    </row>
    <row r="2797" spans="8:8">
      <c r="H2797" s="74"/>
    </row>
    <row r="2798" spans="8:8">
      <c r="H2798" s="74"/>
    </row>
    <row r="2799" spans="8:8">
      <c r="H2799" s="74"/>
    </row>
    <row r="2800" spans="8:8">
      <c r="H2800" s="74"/>
    </row>
    <row r="2801" spans="8:8">
      <c r="H2801" s="74"/>
    </row>
    <row r="2802" spans="8:8">
      <c r="H2802" s="74"/>
    </row>
    <row r="2803" spans="8:8">
      <c r="H2803" s="74"/>
    </row>
    <row r="2804" spans="8:8">
      <c r="H2804" s="74"/>
    </row>
    <row r="2805" spans="8:8">
      <c r="H2805" s="74"/>
    </row>
    <row r="2806" spans="8:8">
      <c r="H2806" s="74"/>
    </row>
    <row r="2807" spans="8:8">
      <c r="H2807" s="74"/>
    </row>
    <row r="2808" spans="8:8">
      <c r="H2808" s="74"/>
    </row>
    <row r="2809" spans="8:8">
      <c r="H2809" s="74"/>
    </row>
    <row r="2810" spans="8:8">
      <c r="H2810" s="74"/>
    </row>
    <row r="2811" spans="8:8">
      <c r="H2811" s="74"/>
    </row>
    <row r="2812" spans="8:8">
      <c r="H2812" s="74"/>
    </row>
    <row r="2813" spans="8:8">
      <c r="H2813" s="74"/>
    </row>
    <row r="2814" spans="8:8">
      <c r="H2814" s="74"/>
    </row>
    <row r="2815" spans="8:8">
      <c r="H2815" s="74"/>
    </row>
    <row r="2816" spans="8:8">
      <c r="H2816" s="74"/>
    </row>
    <row r="2817" spans="8:8">
      <c r="H2817" s="74"/>
    </row>
    <row r="2818" spans="8:8">
      <c r="H2818" s="74"/>
    </row>
    <row r="2819" spans="8:8">
      <c r="H2819" s="74"/>
    </row>
    <row r="2820" spans="8:8">
      <c r="H2820" s="74"/>
    </row>
    <row r="2821" spans="8:8">
      <c r="H2821" s="74"/>
    </row>
    <row r="2822" spans="8:8">
      <c r="H2822" s="74"/>
    </row>
    <row r="2823" spans="8:8">
      <c r="H2823" s="74"/>
    </row>
    <row r="2824" spans="8:8">
      <c r="H2824" s="74"/>
    </row>
    <row r="2825" spans="8:8">
      <c r="H2825" s="74"/>
    </row>
    <row r="2826" spans="8:8">
      <c r="H2826" s="74"/>
    </row>
    <row r="2827" spans="8:8">
      <c r="H2827" s="74"/>
    </row>
    <row r="2828" spans="8:8">
      <c r="H2828" s="74"/>
    </row>
    <row r="2829" spans="8:8">
      <c r="H2829" s="74"/>
    </row>
    <row r="2830" spans="8:8">
      <c r="H2830" s="74"/>
    </row>
    <row r="2831" spans="8:8">
      <c r="H2831" s="74"/>
    </row>
    <row r="2832" spans="8:8">
      <c r="H2832" s="74"/>
    </row>
    <row r="2833" spans="8:8">
      <c r="H2833" s="74"/>
    </row>
    <row r="2834" spans="8:8">
      <c r="H2834" s="74"/>
    </row>
    <row r="2835" spans="8:8">
      <c r="H2835" s="74"/>
    </row>
    <row r="2836" spans="8:8">
      <c r="H2836" s="74"/>
    </row>
    <row r="2837" spans="8:8">
      <c r="H2837" s="74"/>
    </row>
    <row r="2838" spans="8:8">
      <c r="H2838" s="74"/>
    </row>
    <row r="2839" spans="8:8">
      <c r="H2839" s="74"/>
    </row>
    <row r="2840" spans="8:8">
      <c r="H2840" s="74"/>
    </row>
    <row r="2841" spans="8:8">
      <c r="H2841" s="74"/>
    </row>
    <row r="2842" spans="8:8">
      <c r="H2842" s="74"/>
    </row>
    <row r="2843" spans="8:8">
      <c r="H2843" s="74"/>
    </row>
    <row r="2844" spans="8:8">
      <c r="H2844" s="74"/>
    </row>
    <row r="2845" spans="8:8">
      <c r="H2845" s="74"/>
    </row>
    <row r="2846" spans="8:8">
      <c r="H2846" s="74"/>
    </row>
    <row r="2847" spans="8:8">
      <c r="H2847" s="74"/>
    </row>
    <row r="2848" spans="8:8">
      <c r="H2848" s="74"/>
    </row>
    <row r="2849" spans="8:8">
      <c r="H2849" s="74"/>
    </row>
    <row r="2850" spans="8:8">
      <c r="H2850" s="74"/>
    </row>
    <row r="2851" spans="8:8">
      <c r="H2851" s="74"/>
    </row>
    <row r="2852" spans="8:8">
      <c r="H2852" s="74"/>
    </row>
    <row r="2853" spans="8:8">
      <c r="H2853" s="74"/>
    </row>
    <row r="2854" spans="8:8">
      <c r="H2854" s="74"/>
    </row>
    <row r="2855" spans="8:8">
      <c r="H2855" s="74"/>
    </row>
    <row r="2856" spans="8:8">
      <c r="H2856" s="74"/>
    </row>
    <row r="2857" spans="8:8">
      <c r="H2857" s="74"/>
    </row>
    <row r="2858" spans="8:8">
      <c r="H2858" s="74"/>
    </row>
    <row r="2859" spans="8:8">
      <c r="H2859" s="74"/>
    </row>
    <row r="2860" spans="8:8">
      <c r="H2860" s="74"/>
    </row>
    <row r="2861" spans="8:8">
      <c r="H2861" s="74"/>
    </row>
    <row r="2862" spans="8:8">
      <c r="H2862" s="74"/>
    </row>
    <row r="2863" spans="8:8">
      <c r="H2863" s="74"/>
    </row>
    <row r="2864" spans="8:8">
      <c r="H2864" s="74"/>
    </row>
    <row r="2865" spans="8:8">
      <c r="H2865" s="74"/>
    </row>
    <row r="2866" spans="8:8">
      <c r="H2866" s="74"/>
    </row>
    <row r="2867" spans="8:8">
      <c r="H2867" s="74"/>
    </row>
    <row r="2868" spans="8:8">
      <c r="H2868" s="74"/>
    </row>
    <row r="2869" spans="8:8">
      <c r="H2869" s="74"/>
    </row>
    <row r="2870" spans="8:8">
      <c r="H2870" s="74"/>
    </row>
    <row r="2871" spans="8:8">
      <c r="H2871" s="74"/>
    </row>
    <row r="2872" spans="8:8">
      <c r="H2872" s="74"/>
    </row>
    <row r="2873" spans="8:8">
      <c r="H2873" s="74"/>
    </row>
    <row r="2874" spans="8:8">
      <c r="H2874" s="74"/>
    </row>
    <row r="2875" spans="8:8">
      <c r="H2875" s="74"/>
    </row>
    <row r="2876" spans="8:8">
      <c r="H2876" s="74"/>
    </row>
    <row r="2877" spans="8:8">
      <c r="H2877" s="74"/>
    </row>
    <row r="2878" spans="8:8">
      <c r="H2878" s="74"/>
    </row>
    <row r="2879" spans="8:8">
      <c r="H2879" s="74"/>
    </row>
    <row r="2880" spans="8:8">
      <c r="H2880" s="74"/>
    </row>
    <row r="2881" spans="8:8">
      <c r="H2881" s="74"/>
    </row>
    <row r="2882" spans="8:8">
      <c r="H2882" s="74"/>
    </row>
    <row r="2883" spans="8:8">
      <c r="H2883" s="74"/>
    </row>
    <row r="2884" spans="8:8">
      <c r="H2884" s="74"/>
    </row>
    <row r="2885" spans="8:8">
      <c r="H2885" s="74"/>
    </row>
    <row r="2886" spans="8:8">
      <c r="H2886" s="74"/>
    </row>
    <row r="2887" spans="8:8">
      <c r="H2887" s="74"/>
    </row>
    <row r="2888" spans="8:8">
      <c r="H2888" s="74"/>
    </row>
    <row r="2889" spans="8:8">
      <c r="H2889" s="74"/>
    </row>
    <row r="2890" spans="8:8">
      <c r="H2890" s="74"/>
    </row>
    <row r="2891" spans="8:8">
      <c r="H2891" s="74"/>
    </row>
    <row r="2892" spans="8:8">
      <c r="H2892" s="74"/>
    </row>
    <row r="2893" spans="8:8">
      <c r="H2893" s="74"/>
    </row>
    <row r="2894" spans="8:8">
      <c r="H2894" s="74"/>
    </row>
    <row r="2895" spans="8:8">
      <c r="H2895" s="74"/>
    </row>
    <row r="2896" spans="8:8">
      <c r="H2896" s="74"/>
    </row>
    <row r="2897" spans="8:8">
      <c r="H2897" s="74"/>
    </row>
    <row r="2898" spans="8:8">
      <c r="H2898" s="74"/>
    </row>
    <row r="2899" spans="8:8">
      <c r="H2899" s="74"/>
    </row>
    <row r="2900" spans="8:8">
      <c r="H2900" s="74"/>
    </row>
    <row r="2901" spans="8:8">
      <c r="H2901" s="74"/>
    </row>
    <row r="2902" spans="8:8">
      <c r="H2902" s="74"/>
    </row>
    <row r="2903" spans="8:8">
      <c r="H2903" s="74"/>
    </row>
    <row r="2904" spans="8:8">
      <c r="H2904" s="74"/>
    </row>
    <row r="2905" spans="8:8">
      <c r="H2905" s="74"/>
    </row>
    <row r="2906" spans="8:8">
      <c r="H2906" s="74"/>
    </row>
    <row r="2907" spans="8:8">
      <c r="H2907" s="74"/>
    </row>
    <row r="2908" spans="8:8">
      <c r="H2908" s="74"/>
    </row>
    <row r="2909" spans="8:8">
      <c r="H2909" s="74"/>
    </row>
    <row r="2910" spans="8:8">
      <c r="H2910" s="74"/>
    </row>
    <row r="2911" spans="8:8">
      <c r="H2911" s="74"/>
    </row>
    <row r="2912" spans="8:8">
      <c r="H2912" s="74"/>
    </row>
    <row r="2913" spans="8:8">
      <c r="H2913" s="74"/>
    </row>
    <row r="2914" spans="8:8">
      <c r="H2914" s="74"/>
    </row>
    <row r="2915" spans="8:8">
      <c r="H2915" s="74"/>
    </row>
    <row r="2916" spans="8:8">
      <c r="H2916" s="74"/>
    </row>
    <row r="2917" spans="8:8">
      <c r="H2917" s="74"/>
    </row>
    <row r="2918" spans="8:8">
      <c r="H2918" s="74"/>
    </row>
    <row r="2919" spans="8:8">
      <c r="H2919" s="74"/>
    </row>
    <row r="2920" spans="8:8">
      <c r="H2920" s="74"/>
    </row>
    <row r="2921" spans="8:8">
      <c r="H2921" s="74"/>
    </row>
    <row r="2922" spans="8:8">
      <c r="H2922" s="74"/>
    </row>
    <row r="2923" spans="8:8">
      <c r="H2923" s="74"/>
    </row>
    <row r="2924" spans="8:8">
      <c r="H2924" s="74"/>
    </row>
    <row r="2925" spans="8:8">
      <c r="H2925" s="74"/>
    </row>
    <row r="2926" spans="8:8">
      <c r="H2926" s="74"/>
    </row>
    <row r="2927" spans="8:8">
      <c r="H2927" s="74"/>
    </row>
    <row r="2928" spans="8:8">
      <c r="H2928" s="74"/>
    </row>
    <row r="2929" spans="8:8">
      <c r="H2929" s="74"/>
    </row>
    <row r="2930" spans="8:8">
      <c r="H2930" s="74"/>
    </row>
    <row r="2931" spans="8:8">
      <c r="H2931" s="74"/>
    </row>
    <row r="2932" spans="8:8">
      <c r="H2932" s="74"/>
    </row>
    <row r="2933" spans="8:8">
      <c r="H2933" s="74"/>
    </row>
    <row r="2934" spans="8:8">
      <c r="H2934" s="74"/>
    </row>
    <row r="2935" spans="8:8">
      <c r="H2935" s="74"/>
    </row>
    <row r="2936" spans="8:8">
      <c r="H2936" s="74"/>
    </row>
    <row r="2937" spans="8:8">
      <c r="H2937" s="74"/>
    </row>
    <row r="2938" spans="8:8">
      <c r="H2938" s="74"/>
    </row>
    <row r="2939" spans="8:8">
      <c r="H2939" s="74"/>
    </row>
    <row r="2940" spans="8:8">
      <c r="H2940" s="74"/>
    </row>
    <row r="2941" spans="8:8">
      <c r="H2941" s="74"/>
    </row>
    <row r="2942" spans="8:8">
      <c r="H2942" s="74"/>
    </row>
    <row r="2943" spans="8:8">
      <c r="H2943" s="74"/>
    </row>
    <row r="2944" spans="8:8">
      <c r="H2944" s="74"/>
    </row>
    <row r="2945" spans="8:8">
      <c r="H2945" s="74"/>
    </row>
    <row r="2946" spans="8:8">
      <c r="H2946" s="74"/>
    </row>
    <row r="2947" spans="8:8">
      <c r="H2947" s="74"/>
    </row>
    <row r="2948" spans="8:8">
      <c r="H2948" s="74"/>
    </row>
    <row r="2949" spans="8:8">
      <c r="H2949" s="74"/>
    </row>
    <row r="2950" spans="8:8">
      <c r="H2950" s="74"/>
    </row>
    <row r="2951" spans="8:8">
      <c r="H2951" s="74"/>
    </row>
    <row r="2952" spans="8:8">
      <c r="H2952" s="74"/>
    </row>
    <row r="2953" spans="8:8">
      <c r="H2953" s="74"/>
    </row>
    <row r="2954" spans="8:8">
      <c r="H2954" s="74"/>
    </row>
    <row r="2955" spans="8:8">
      <c r="H2955" s="74"/>
    </row>
    <row r="2956" spans="8:8">
      <c r="H2956" s="74"/>
    </row>
    <row r="2957" spans="8:8">
      <c r="H2957" s="74"/>
    </row>
    <row r="2958" spans="8:8">
      <c r="H2958" s="74"/>
    </row>
    <row r="2959" spans="8:8">
      <c r="H2959" s="74"/>
    </row>
    <row r="2960" spans="8:8">
      <c r="H2960" s="74"/>
    </row>
    <row r="2961" spans="8:8">
      <c r="H2961" s="74"/>
    </row>
    <row r="2962" spans="8:8">
      <c r="H2962" s="74"/>
    </row>
    <row r="2963" spans="8:8">
      <c r="H2963" s="74"/>
    </row>
    <row r="2964" spans="8:8">
      <c r="H2964" s="74"/>
    </row>
    <row r="2965" spans="8:8">
      <c r="H2965" s="74"/>
    </row>
    <row r="2966" spans="8:8">
      <c r="H2966" s="74"/>
    </row>
    <row r="2967" spans="8:8">
      <c r="H2967" s="74"/>
    </row>
    <row r="2968" spans="8:8">
      <c r="H2968" s="74"/>
    </row>
    <row r="2969" spans="8:8">
      <c r="H2969" s="74"/>
    </row>
    <row r="2970" spans="8:8">
      <c r="H2970" s="74"/>
    </row>
    <row r="2971" spans="8:8">
      <c r="H2971" s="74"/>
    </row>
    <row r="2972" spans="8:8">
      <c r="H2972" s="74"/>
    </row>
    <row r="2973" spans="8:8">
      <c r="H2973" s="74"/>
    </row>
    <row r="2974" spans="8:8">
      <c r="H2974" s="74"/>
    </row>
    <row r="2975" spans="8:8">
      <c r="H2975" s="74"/>
    </row>
    <row r="2976" spans="8:8">
      <c r="H2976" s="74"/>
    </row>
    <row r="2977" spans="8:8">
      <c r="H2977" s="74"/>
    </row>
    <row r="2978" spans="8:8">
      <c r="H2978" s="74"/>
    </row>
    <row r="2979" spans="8:8">
      <c r="H2979" s="74"/>
    </row>
    <row r="2980" spans="8:8">
      <c r="H2980" s="74"/>
    </row>
    <row r="2981" spans="8:8">
      <c r="H2981" s="74"/>
    </row>
    <row r="2982" spans="8:8">
      <c r="H2982" s="74"/>
    </row>
    <row r="2983" spans="8:8">
      <c r="H2983" s="74"/>
    </row>
    <row r="2984" spans="8:8">
      <c r="H2984" s="74"/>
    </row>
    <row r="2985" spans="8:8">
      <c r="H2985" s="74"/>
    </row>
    <row r="2986" spans="8:8">
      <c r="H2986" s="74"/>
    </row>
    <row r="2987" spans="8:8">
      <c r="H2987" s="74"/>
    </row>
    <row r="2988" spans="8:8">
      <c r="H2988" s="74"/>
    </row>
    <row r="2989" spans="8:8">
      <c r="H2989" s="74"/>
    </row>
    <row r="2990" spans="8:8">
      <c r="H2990" s="74"/>
    </row>
    <row r="2991" spans="8:8">
      <c r="H2991" s="74"/>
    </row>
    <row r="2992" spans="8:8">
      <c r="H2992" s="74"/>
    </row>
    <row r="2993" spans="8:8">
      <c r="H2993" s="74"/>
    </row>
    <row r="2994" spans="8:8">
      <c r="H2994" s="74"/>
    </row>
    <row r="2995" spans="8:8">
      <c r="H2995" s="74"/>
    </row>
    <row r="2996" spans="8:8">
      <c r="H2996" s="74"/>
    </row>
    <row r="2997" spans="8:8">
      <c r="H2997" s="74"/>
    </row>
    <row r="2998" spans="8:8">
      <c r="H2998" s="74"/>
    </row>
    <row r="2999" spans="8:8">
      <c r="H2999" s="74"/>
    </row>
    <row r="3000" spans="8:8">
      <c r="H3000" s="74"/>
    </row>
    <row r="3001" spans="8:8">
      <c r="H3001" s="74"/>
    </row>
    <row r="3002" spans="8:8">
      <c r="H3002" s="74"/>
    </row>
    <row r="3003" spans="8:8">
      <c r="H3003" s="74"/>
    </row>
    <row r="3004" spans="8:8">
      <c r="H3004" s="74"/>
    </row>
    <row r="3005" spans="8:8">
      <c r="H3005" s="74"/>
    </row>
    <row r="3006" spans="8:8">
      <c r="H3006" s="74"/>
    </row>
    <row r="3007" spans="8:8">
      <c r="H3007" s="74"/>
    </row>
    <row r="3008" spans="8:8">
      <c r="H3008" s="74"/>
    </row>
    <row r="3009" spans="8:8">
      <c r="H3009" s="74"/>
    </row>
    <row r="3010" spans="8:8">
      <c r="H3010" s="74"/>
    </row>
    <row r="3011" spans="8:8">
      <c r="H3011" s="74"/>
    </row>
    <row r="3012" spans="8:8">
      <c r="H3012" s="74"/>
    </row>
    <row r="3013" spans="8:8">
      <c r="H3013" s="74"/>
    </row>
    <row r="3014" spans="8:8">
      <c r="H3014" s="74"/>
    </row>
    <row r="3015" spans="8:8">
      <c r="H3015" s="74"/>
    </row>
    <row r="3016" spans="8:8">
      <c r="H3016" s="74"/>
    </row>
    <row r="3017" spans="8:8">
      <c r="H3017" s="74"/>
    </row>
    <row r="3018" spans="8:8">
      <c r="H3018" s="74"/>
    </row>
    <row r="3019" spans="8:8">
      <c r="H3019" s="74"/>
    </row>
    <row r="3020" spans="8:8">
      <c r="H3020" s="74"/>
    </row>
    <row r="3021" spans="8:8">
      <c r="H3021" s="74"/>
    </row>
    <row r="3022" spans="8:8">
      <c r="H3022" s="74"/>
    </row>
    <row r="3023" spans="8:8">
      <c r="H3023" s="74"/>
    </row>
    <row r="3024" spans="8:8">
      <c r="H3024" s="74"/>
    </row>
    <row r="3025" spans="3:20">
      <c r="H3025" s="74"/>
    </row>
    <row r="3026" spans="3:20">
      <c r="H3026" s="74"/>
    </row>
    <row r="3027" spans="3:20">
      <c r="H3027" s="74"/>
    </row>
    <row r="3028" spans="3:20">
      <c r="H3028" s="74"/>
    </row>
    <row r="3029" spans="3:20">
      <c r="H3029" s="74"/>
    </row>
    <row r="3030" spans="3:20">
      <c r="H3030" s="74"/>
    </row>
    <row r="3031" spans="3:20">
      <c r="H3031" s="74"/>
    </row>
    <row r="3032" spans="3:20">
      <c r="H3032" s="74"/>
    </row>
    <row r="3033" spans="3:20">
      <c r="H3033" s="74"/>
    </row>
    <row r="3034" spans="3:20">
      <c r="H3034" s="74"/>
    </row>
    <row r="3035" spans="3:20">
      <c r="H3035" s="74"/>
    </row>
    <row r="3036" spans="3:20">
      <c r="H3036" s="74"/>
    </row>
    <row r="3037" spans="3:20">
      <c r="H3037" s="74"/>
    </row>
    <row r="3038" spans="3:20">
      <c r="H3038" s="74"/>
    </row>
    <row r="3039" spans="3:20">
      <c r="H3039" s="74"/>
    </row>
    <row r="3040" spans="3:20">
      <c r="C3040" s="72"/>
      <c r="D3040" s="72"/>
      <c r="E3040" s="72"/>
      <c r="F3040" s="73"/>
      <c r="G3040" s="73"/>
      <c r="H3040" s="74"/>
      <c r="I3040" s="71"/>
      <c r="J3040" s="71"/>
      <c r="K3040" s="71"/>
      <c r="L3040" s="71"/>
      <c r="M3040" s="71"/>
      <c r="N3040" s="71"/>
      <c r="O3040" s="71"/>
      <c r="P3040" s="71"/>
      <c r="Q3040" s="71"/>
      <c r="R3040" s="71"/>
      <c r="S3040" s="71"/>
      <c r="T3040" s="71"/>
    </row>
    <row r="3041" spans="8:8">
      <c r="H3041" s="74"/>
    </row>
    <row r="3042" spans="8:8">
      <c r="H3042" s="74"/>
    </row>
    <row r="3043" spans="8:8">
      <c r="H3043" s="74"/>
    </row>
    <row r="3044" spans="8:8">
      <c r="H3044" s="74"/>
    </row>
    <row r="3045" spans="8:8">
      <c r="H3045" s="74"/>
    </row>
    <row r="3046" spans="8:8">
      <c r="H3046" s="74"/>
    </row>
    <row r="3047" spans="8:8">
      <c r="H3047" s="74"/>
    </row>
    <row r="3048" spans="8:8">
      <c r="H3048" s="74"/>
    </row>
    <row r="3049" spans="8:8">
      <c r="H3049" s="74"/>
    </row>
    <row r="3050" spans="8:8">
      <c r="H3050" s="74"/>
    </row>
    <row r="3051" spans="8:8">
      <c r="H3051" s="74"/>
    </row>
    <row r="3052" spans="8:8">
      <c r="H3052" s="74"/>
    </row>
    <row r="3053" spans="8:8">
      <c r="H3053" s="74"/>
    </row>
    <row r="3054" spans="8:8">
      <c r="H3054" s="74"/>
    </row>
    <row r="3055" spans="8:8">
      <c r="H3055" s="74"/>
    </row>
    <row r="3056" spans="8:8">
      <c r="H3056" s="74"/>
    </row>
    <row r="3057" spans="3:20">
      <c r="H3057" s="74"/>
    </row>
    <row r="3058" spans="3:20">
      <c r="H3058" s="74"/>
    </row>
    <row r="3059" spans="3:20">
      <c r="H3059" s="74"/>
    </row>
    <row r="3060" spans="3:20">
      <c r="H3060" s="74"/>
    </row>
    <row r="3061" spans="3:20">
      <c r="H3061" s="74"/>
    </row>
    <row r="3062" spans="3:20">
      <c r="H3062" s="74"/>
    </row>
    <row r="3063" spans="3:20">
      <c r="H3063" s="74"/>
    </row>
    <row r="3064" spans="3:20">
      <c r="H3064" s="74"/>
    </row>
    <row r="3065" spans="3:20">
      <c r="H3065" s="74"/>
    </row>
    <row r="3066" spans="3:20">
      <c r="H3066" s="74"/>
    </row>
    <row r="3067" spans="3:20">
      <c r="H3067" s="74"/>
    </row>
    <row r="3068" spans="3:20">
      <c r="C3068" s="72"/>
      <c r="D3068" s="72"/>
      <c r="E3068" s="72"/>
      <c r="F3068" s="73"/>
      <c r="G3068" s="73"/>
      <c r="H3068" s="74"/>
      <c r="I3068" s="71"/>
      <c r="J3068" s="71"/>
      <c r="K3068" s="71"/>
      <c r="L3068" s="71"/>
      <c r="M3068" s="71"/>
      <c r="N3068" s="71"/>
      <c r="O3068" s="71"/>
      <c r="P3068" s="71"/>
      <c r="Q3068" s="71"/>
      <c r="R3068" s="71"/>
      <c r="S3068" s="71"/>
      <c r="T3068" s="71"/>
    </row>
    <row r="3069" spans="3:20">
      <c r="C3069" s="72"/>
      <c r="D3069" s="72"/>
      <c r="E3069" s="72"/>
      <c r="F3069" s="73"/>
      <c r="G3069" s="73"/>
      <c r="H3069" s="74"/>
      <c r="I3069" s="71"/>
      <c r="J3069" s="71"/>
      <c r="K3069" s="71"/>
      <c r="L3069" s="71"/>
      <c r="M3069" s="71"/>
      <c r="N3069" s="71"/>
      <c r="O3069" s="71"/>
      <c r="P3069" s="71"/>
      <c r="Q3069" s="71"/>
      <c r="R3069" s="71"/>
      <c r="S3069" s="71"/>
      <c r="T3069" s="71"/>
    </row>
    <row r="3070" spans="3:20">
      <c r="H3070" s="74"/>
    </row>
    <row r="3071" spans="3:20">
      <c r="H3071" s="74"/>
    </row>
    <row r="3072" spans="3:20">
      <c r="H3072" s="74"/>
    </row>
    <row r="3073" spans="8:8">
      <c r="H3073" s="74"/>
    </row>
    <row r="3074" spans="8:8">
      <c r="H3074" s="74"/>
    </row>
    <row r="3075" spans="8:8">
      <c r="H3075" s="74"/>
    </row>
    <row r="3076" spans="8:8">
      <c r="H3076" s="74"/>
    </row>
    <row r="3077" spans="8:8">
      <c r="H3077" s="74"/>
    </row>
    <row r="3078" spans="8:8">
      <c r="H3078" s="74"/>
    </row>
    <row r="3079" spans="8:8">
      <c r="H3079" s="74"/>
    </row>
    <row r="3080" spans="8:8">
      <c r="H3080" s="74"/>
    </row>
    <row r="3081" spans="8:8">
      <c r="H3081" s="74"/>
    </row>
    <row r="3082" spans="8:8">
      <c r="H3082" s="74"/>
    </row>
    <row r="3083" spans="8:8">
      <c r="H3083" s="74"/>
    </row>
    <row r="3084" spans="8:8">
      <c r="H3084" s="74"/>
    </row>
    <row r="3085" spans="8:8">
      <c r="H3085" s="74"/>
    </row>
    <row r="3086" spans="8:8">
      <c r="H3086" s="74"/>
    </row>
    <row r="3087" spans="8:8">
      <c r="H3087" s="74"/>
    </row>
    <row r="3088" spans="8:8">
      <c r="H3088" s="74"/>
    </row>
    <row r="3089" spans="8:8">
      <c r="H3089" s="74"/>
    </row>
    <row r="3090" spans="8:8">
      <c r="H3090" s="74"/>
    </row>
    <row r="3091" spans="8:8">
      <c r="H3091" s="74"/>
    </row>
    <row r="3092" spans="8:8">
      <c r="H3092" s="74"/>
    </row>
    <row r="3093" spans="8:8">
      <c r="H3093" s="74"/>
    </row>
    <row r="3094" spans="8:8">
      <c r="H3094" s="74"/>
    </row>
    <row r="3095" spans="8:8">
      <c r="H3095" s="74"/>
    </row>
    <row r="3096" spans="8:8">
      <c r="H3096" s="74"/>
    </row>
    <row r="3097" spans="8:8">
      <c r="H3097" s="74"/>
    </row>
    <row r="3098" spans="8:8">
      <c r="H3098" s="74"/>
    </row>
    <row r="3099" spans="8:8">
      <c r="H3099" s="74"/>
    </row>
    <row r="3100" spans="8:8">
      <c r="H3100" s="74"/>
    </row>
    <row r="3101" spans="8:8">
      <c r="H3101" s="74"/>
    </row>
    <row r="3102" spans="8:8">
      <c r="H3102" s="74"/>
    </row>
    <row r="3103" spans="8:8">
      <c r="H3103" s="74"/>
    </row>
    <row r="3104" spans="8:8">
      <c r="H3104" s="74"/>
    </row>
    <row r="3105" spans="3:20">
      <c r="H3105" s="74"/>
    </row>
    <row r="3106" spans="3:20">
      <c r="H3106" s="74"/>
    </row>
    <row r="3107" spans="3:20">
      <c r="H3107" s="74"/>
    </row>
    <row r="3108" spans="3:20">
      <c r="H3108" s="74"/>
    </row>
    <row r="3109" spans="3:20">
      <c r="H3109" s="74"/>
    </row>
    <row r="3110" spans="3:20">
      <c r="H3110" s="74"/>
    </row>
    <row r="3111" spans="3:20">
      <c r="H3111" s="74"/>
    </row>
    <row r="3112" spans="3:20">
      <c r="H3112" s="74"/>
    </row>
    <row r="3113" spans="3:20">
      <c r="H3113" s="74"/>
    </row>
    <row r="3114" spans="3:20">
      <c r="C3114" s="72"/>
      <c r="D3114" s="72"/>
      <c r="E3114" s="72"/>
      <c r="F3114" s="73"/>
      <c r="G3114" s="73"/>
      <c r="H3114" s="74"/>
      <c r="I3114" s="71"/>
      <c r="J3114" s="71"/>
      <c r="K3114" s="71"/>
      <c r="L3114" s="71"/>
      <c r="M3114" s="71"/>
      <c r="N3114" s="71"/>
      <c r="O3114" s="71"/>
      <c r="P3114" s="71"/>
      <c r="Q3114" s="71"/>
      <c r="R3114" s="71"/>
      <c r="S3114" s="71"/>
      <c r="T3114" s="71"/>
    </row>
    <row r="3115" spans="3:20">
      <c r="C3115" s="72"/>
      <c r="D3115" s="72"/>
      <c r="E3115" s="72"/>
      <c r="F3115" s="73"/>
      <c r="G3115" s="73"/>
      <c r="H3115" s="74"/>
      <c r="I3115" s="71"/>
      <c r="J3115" s="71"/>
      <c r="K3115" s="71"/>
      <c r="L3115" s="71"/>
      <c r="M3115" s="71"/>
      <c r="N3115" s="71"/>
      <c r="O3115" s="71"/>
      <c r="P3115" s="71"/>
      <c r="Q3115" s="71"/>
      <c r="R3115" s="71"/>
      <c r="S3115" s="71"/>
      <c r="T3115" s="71"/>
    </row>
    <row r="3116" spans="3:20">
      <c r="C3116" s="72"/>
      <c r="D3116" s="72"/>
      <c r="E3116" s="72"/>
      <c r="F3116" s="73"/>
      <c r="G3116" s="73"/>
      <c r="H3116" s="74"/>
      <c r="I3116" s="71"/>
      <c r="J3116" s="71"/>
      <c r="K3116" s="71"/>
      <c r="L3116" s="71"/>
      <c r="M3116" s="71"/>
      <c r="N3116" s="71"/>
      <c r="O3116" s="71"/>
      <c r="P3116" s="71"/>
      <c r="Q3116" s="71"/>
      <c r="R3116" s="71"/>
      <c r="S3116" s="71"/>
      <c r="T3116" s="71"/>
    </row>
    <row r="3117" spans="3:20">
      <c r="C3117" s="72"/>
      <c r="D3117" s="72"/>
      <c r="E3117" s="72"/>
      <c r="F3117" s="73"/>
      <c r="G3117" s="73"/>
      <c r="H3117" s="74"/>
      <c r="I3117" s="71"/>
      <c r="J3117" s="71"/>
      <c r="K3117" s="71"/>
      <c r="L3117" s="71"/>
      <c r="M3117" s="71"/>
      <c r="N3117" s="71"/>
      <c r="O3117" s="71"/>
      <c r="P3117" s="71"/>
      <c r="Q3117" s="71"/>
      <c r="R3117" s="71"/>
      <c r="S3117" s="71"/>
      <c r="T3117" s="71"/>
    </row>
  </sheetData>
  <sortState xmlns:xlrd2="http://schemas.microsoft.com/office/spreadsheetml/2017/richdata2" ref="AH2:AH21">
    <sortCondition ref="AH2:AH21"/>
  </sortState>
  <mergeCells count="1">
    <mergeCell ref="Z1:AF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953E87-9EF2-44BA-BC31-9E957D8F67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DATA_ACT</vt:lpstr>
      <vt:lpstr>Detail</vt:lpstr>
      <vt:lpstr>DATA_LF2</vt:lpstr>
      <vt:lpstr>CostCenter</vt:lpstr>
      <vt:lpstr>DATA_LF2!Extract</vt:lpstr>
      <vt:lpstr>LISTCC</vt:lpstr>
      <vt:lpstr>MonthName</vt:lpstr>
      <vt:lpstr>MTD</vt:lpstr>
      <vt:lpstr>Detail!Print_Area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Khoa Nang Thanh</dc:creator>
  <cp:lastModifiedBy>Vu Thi Lan Huong</cp:lastModifiedBy>
  <cp:lastPrinted>2014-03-26T12:50:14Z</cp:lastPrinted>
  <dcterms:created xsi:type="dcterms:W3CDTF">2013-12-07T07:58:48Z</dcterms:created>
  <dcterms:modified xsi:type="dcterms:W3CDTF">2024-08-08T06:58:34Z</dcterms:modified>
</cp:coreProperties>
</file>